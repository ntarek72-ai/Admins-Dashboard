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Line'!$A$1:$X$1001</definedName>
    <definedName name="_xlnm._FilterDatabase" localSheetId="3" hidden="1">'Per Invoice'!$A$1:$U$301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CINNABON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G-J, N-R, T (same order as the system export).</t>
        </is>
      </c>
    </row>
    <row r="6">
      <c r="A6" s="3" t="inlineStr">
        <is>
          <t>3. Green columns (F, K, L, M, S) and the grey helper columns (U-X)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B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(9%) if Local is TRUE, otherwise Imported rate (5%).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1,000 lines and 300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CINNABON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0.09</v>
      </c>
      <c r="D6" t="inlineStr">
        <is>
          <t>Source: Sep sheet (reb = 0.09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Sep sheet (IMP % = 0.05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Line'!$A$2:$A$1001)</f>
        <v/>
      </c>
    </row>
    <row r="11">
      <c r="B11" t="inlineStr">
        <is>
          <t>Invoices (unique Order #)</t>
        </is>
      </c>
      <c r="C11">
        <f>MAX('Per Line'!$V$2:$V$1001)</f>
        <v/>
      </c>
    </row>
    <row r="12">
      <c r="B12" t="inlineStr">
        <is>
          <t>Invoices shown in Per Invoice</t>
        </is>
      </c>
      <c r="C12">
        <f>SUMPRODUCT(--('Per Invoice'!$A$2:$A$301&lt;&gt;""))</f>
        <v/>
      </c>
    </row>
    <row r="13">
      <c r="B13" t="inlineStr">
        <is>
          <t>Grand Total - Per Line (Product Total)</t>
        </is>
      </c>
      <c r="C13" s="7">
        <f>SUM('Per Line'!$N$2:$N$1001)</f>
        <v/>
      </c>
    </row>
    <row r="14">
      <c r="B14" t="inlineStr">
        <is>
          <t>Grand Total - Per Invoice</t>
        </is>
      </c>
      <c r="C14" s="7">
        <f>SUM('Per Invoice'!$S$2:$S$301)</f>
        <v/>
      </c>
    </row>
    <row r="15">
      <c r="B15" t="inlineStr">
        <is>
          <t>Discount - Per Line</t>
        </is>
      </c>
      <c r="C15" s="7">
        <f>SUM('Per Line'!$K$2:$K$1001)</f>
        <v/>
      </c>
    </row>
    <row r="16">
      <c r="B16" t="inlineStr">
        <is>
          <t>Discount - Per Invoice</t>
        </is>
      </c>
      <c r="C16" s="7">
        <f>SUM('Per Invoice'!$Q$2:$Q$301)</f>
        <v/>
      </c>
    </row>
    <row r="17">
      <c r="B17" t="inlineStr">
        <is>
          <t>Co val - Per Line</t>
        </is>
      </c>
      <c r="C17" s="7">
        <f>SUM('Per Line'!$F$2:$F$1001)</f>
        <v/>
      </c>
    </row>
    <row r="18">
      <c r="B18" t="inlineStr">
        <is>
          <t>Co val - Per Invoice</t>
        </is>
      </c>
      <c r="C18" s="7">
        <f>SUM('Per Invoice'!$G$2:$G$301)</f>
        <v/>
      </c>
    </row>
    <row r="19">
      <c r="B19" t="inlineStr">
        <is>
          <t>Net - Per Line</t>
        </is>
      </c>
      <c r="C19" s="7">
        <f>SUM('Per Line'!$M$2:$M$1001)</f>
        <v/>
      </c>
    </row>
    <row r="20">
      <c r="B20" t="inlineStr">
        <is>
          <t>Net - Per Invoice</t>
        </is>
      </c>
      <c r="C20" s="7">
        <f>SUM('Per Invoice'!$T$2:$T$301)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Line'!$A:$A)-1&gt;1000,"TOO MANY LINES - extend template",IF(C11&gt;300,"TOO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  <col width="12" customWidth="1" min="16" max="16"/>
    <col width="17" customWidth="1" min="17" max="17"/>
    <col width="28" customWidth="1" min="18" max="18"/>
    <col width="11" customWidth="1" min="19" max="19"/>
    <col width="12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9" t="inlineStr">
        <is>
          <t>Discount</t>
        </is>
      </c>
      <c r="L1" s="9" t="inlineStr">
        <is>
          <t>Subtotal</t>
        </is>
      </c>
      <c r="M1" s="9" t="inlineStr">
        <is>
          <t>Net</t>
        </is>
      </c>
      <c r="N1" s="8" t="inlineStr">
        <is>
          <t>Total Delivered</t>
        </is>
      </c>
      <c r="O1" s="8" t="inlineStr">
        <is>
          <t>Payment Type</t>
        </is>
      </c>
      <c r="P1" s="8" t="inlineStr">
        <is>
          <t>Session</t>
        </is>
      </c>
      <c r="Q1" s="8" t="inlineStr">
        <is>
          <t>Create Date</t>
        </is>
      </c>
      <c r="R1" s="8" t="inlineStr">
        <is>
          <t>Order Reference</t>
        </is>
      </c>
      <c r="S1" s="9" t="inlineStr">
        <is>
          <t>Rebates</t>
        </is>
      </c>
      <c r="T1" s="8" t="inlineStr">
        <is>
          <t>Product Template - Product Tmpl → Is Local</t>
        </is>
      </c>
      <c r="U1" s="10" t="inlineStr">
        <is>
          <t>Order 1st Row (helper)</t>
        </is>
      </c>
      <c r="V1" s="10" t="inlineStr">
        <is>
          <t>Invoice # (helper)</t>
        </is>
      </c>
      <c r="W1" s="10" t="inlineStr">
        <is>
          <t>Is Local (helper)</t>
        </is>
      </c>
      <c r="X1" s="10" t="inlineStr">
        <is>
          <t>Sort Key (helper)</t>
        </is>
      </c>
    </row>
    <row r="2">
      <c r="F2" s="7">
        <f>IF($A2="","",E2*N2/100)</f>
        <v/>
      </c>
      <c r="J2" s="7" t="n"/>
      <c r="K2" s="7">
        <f>IF($A2="","",S2*N2)</f>
        <v/>
      </c>
      <c r="L2" s="7">
        <f>IF($A2="","",N2-K2)</f>
        <v/>
      </c>
      <c r="M2" s="7">
        <f>IF($A2="","",L2-F2)</f>
        <v/>
      </c>
      <c r="N2" s="7" t="n"/>
      <c r="Q2" s="11" t="n"/>
      <c r="S2">
        <f>IF($A2="","",IF($W2=1,Settings!$C$6,Settings!$C$7)*1)</f>
        <v/>
      </c>
      <c r="U2">
        <f>IF($A2="","",IF(COUNTIF($A$2:$A2,$A2)=1,1,0))</f>
        <v/>
      </c>
      <c r="V2">
        <f>IF($U2=1,SUMPRODUCT(--($X$2:$X$1001&lt;$X2))+1,"")</f>
        <v/>
      </c>
      <c r="W2">
        <f>IF($A2="","",IF(OR($T2=TRUE(),$T2="TRUE"),1,0))</f>
        <v/>
      </c>
      <c r="X2">
        <f>IF($U2=1,IFERROR(IF(VALUE($A2)&lt;100000000,VALUE($A2),1000000000),IFERROR(IF(VALUE(MID($A2,2,20))&lt;100000000,VALUE(MID($A2,2,20)),1000000000),1000000000))+ROW()/100000,"")</f>
        <v/>
      </c>
    </row>
    <row r="3">
      <c r="F3" s="7">
        <f>IF($A3="","",E3*N3/100)</f>
        <v/>
      </c>
      <c r="J3" s="7" t="n"/>
      <c r="K3" s="7">
        <f>IF($A3="","",S3*N3)</f>
        <v/>
      </c>
      <c r="L3" s="7">
        <f>IF($A3="","",N3-K3)</f>
        <v/>
      </c>
      <c r="M3" s="7">
        <f>IF($A3="","",L3-F3)</f>
        <v/>
      </c>
      <c r="N3" s="7" t="n"/>
      <c r="Q3" s="11" t="n"/>
      <c r="S3">
        <f>IF($A3="","",IF($W3=1,Settings!$C$6,Settings!$C$7)*1)</f>
        <v/>
      </c>
      <c r="U3">
        <f>IF($A3="","",IF(COUNTIF($A$2:$A3,$A3)=1,1,0))</f>
        <v/>
      </c>
      <c r="V3">
        <f>IF($U3=1,SUMPRODUCT(--($X$2:$X$1001&lt;$X3))+1,"")</f>
        <v/>
      </c>
      <c r="W3">
        <f>IF($A3="","",IF(OR($T3=TRUE(),$T3="TRUE"),1,0))</f>
        <v/>
      </c>
      <c r="X3">
        <f>IF($U3=1,IFERROR(IF(VALUE($A3)&lt;100000000,VALUE($A3),1000000000),IFERROR(IF(VALUE(MID($A3,2,20))&lt;100000000,VALUE(MID($A3,2,20)),1000000000),1000000000))+ROW()/100000,"")</f>
        <v/>
      </c>
    </row>
    <row r="4">
      <c r="F4" s="7">
        <f>IF($A4="","",E4*N4/100)</f>
        <v/>
      </c>
      <c r="J4" s="7" t="n"/>
      <c r="K4" s="7">
        <f>IF($A4="","",S4*N4)</f>
        <v/>
      </c>
      <c r="L4" s="7">
        <f>IF($A4="","",N4-K4)</f>
        <v/>
      </c>
      <c r="M4" s="7">
        <f>IF($A4="","",L4-F4)</f>
        <v/>
      </c>
      <c r="N4" s="7" t="n"/>
      <c r="Q4" s="11" t="n"/>
      <c r="S4">
        <f>IF($A4="","",IF($W4=1,Settings!$C$6,Settings!$C$7)*1)</f>
        <v/>
      </c>
      <c r="U4">
        <f>IF($A4="","",IF(COUNTIF($A$2:$A4,$A4)=1,1,0))</f>
        <v/>
      </c>
      <c r="V4">
        <f>IF($U4=1,SUMPRODUCT(--($X$2:$X$1001&lt;$X4))+1,"")</f>
        <v/>
      </c>
      <c r="W4">
        <f>IF($A4="","",IF(OR($T4=TRUE(),$T4="TRUE"),1,0))</f>
        <v/>
      </c>
      <c r="X4">
        <f>IF($U4=1,IFERROR(IF(VALUE($A4)&lt;100000000,VALUE($A4),1000000000),IFERROR(IF(VALUE(MID($A4,2,20))&lt;100000000,VALUE(MID($A4,2,20)),1000000000),1000000000))+ROW()/100000,"")</f>
        <v/>
      </c>
    </row>
    <row r="5">
      <c r="F5" s="7">
        <f>IF($A5="","",E5*N5/100)</f>
        <v/>
      </c>
      <c r="J5" s="7" t="n"/>
      <c r="K5" s="7">
        <f>IF($A5="","",S5*N5)</f>
        <v/>
      </c>
      <c r="L5" s="7">
        <f>IF($A5="","",N5-K5)</f>
        <v/>
      </c>
      <c r="M5" s="7">
        <f>IF($A5="","",L5-F5)</f>
        <v/>
      </c>
      <c r="N5" s="7" t="n"/>
      <c r="Q5" s="11" t="n"/>
      <c r="S5">
        <f>IF($A5="","",IF($W5=1,Settings!$C$6,Settings!$C$7)*1)</f>
        <v/>
      </c>
      <c r="U5">
        <f>IF($A5="","",IF(COUNTIF($A$2:$A5,$A5)=1,1,0))</f>
        <v/>
      </c>
      <c r="V5">
        <f>IF($U5=1,SUMPRODUCT(--($X$2:$X$1001&lt;$X5))+1,"")</f>
        <v/>
      </c>
      <c r="W5">
        <f>IF($A5="","",IF(OR($T5=TRUE(),$T5="TRUE"),1,0))</f>
        <v/>
      </c>
      <c r="X5">
        <f>IF($U5=1,IFERROR(IF(VALUE($A5)&lt;100000000,VALUE($A5),1000000000),IFERROR(IF(VALUE(MID($A5,2,20))&lt;100000000,VALUE(MID($A5,2,20)),1000000000),1000000000))+ROW()/100000,"")</f>
        <v/>
      </c>
    </row>
    <row r="6">
      <c r="F6" s="7">
        <f>IF($A6="","",E6*N6/100)</f>
        <v/>
      </c>
      <c r="J6" s="7" t="n"/>
      <c r="K6" s="7">
        <f>IF($A6="","",S6*N6)</f>
        <v/>
      </c>
      <c r="L6" s="7">
        <f>IF($A6="","",N6-K6)</f>
        <v/>
      </c>
      <c r="M6" s="7">
        <f>IF($A6="","",L6-F6)</f>
        <v/>
      </c>
      <c r="N6" s="7" t="n"/>
      <c r="Q6" s="11" t="n"/>
      <c r="S6">
        <f>IF($A6="","",IF($W6=1,Settings!$C$6,Settings!$C$7)*1)</f>
        <v/>
      </c>
      <c r="U6">
        <f>IF($A6="","",IF(COUNTIF($A$2:$A6,$A6)=1,1,0))</f>
        <v/>
      </c>
      <c r="V6">
        <f>IF($U6=1,SUMPRODUCT(--($X$2:$X$1001&lt;$X6))+1,"")</f>
        <v/>
      </c>
      <c r="W6">
        <f>IF($A6="","",IF(OR($T6=TRUE(),$T6="TRUE"),1,0))</f>
        <v/>
      </c>
      <c r="X6">
        <f>IF($U6=1,IFERROR(IF(VALUE($A6)&lt;100000000,VALUE($A6),1000000000),IFERROR(IF(VALUE(MID($A6,2,20))&lt;100000000,VALUE(MID($A6,2,20)),1000000000),1000000000))+ROW()/100000,"")</f>
        <v/>
      </c>
    </row>
    <row r="7">
      <c r="F7" s="7">
        <f>IF($A7="","",E7*N7/100)</f>
        <v/>
      </c>
      <c r="J7" s="7" t="n"/>
      <c r="K7" s="7">
        <f>IF($A7="","",S7*N7)</f>
        <v/>
      </c>
      <c r="L7" s="7">
        <f>IF($A7="","",N7-K7)</f>
        <v/>
      </c>
      <c r="M7" s="7">
        <f>IF($A7="","",L7-F7)</f>
        <v/>
      </c>
      <c r="N7" s="7" t="n"/>
      <c r="Q7" s="11" t="n"/>
      <c r="S7">
        <f>IF($A7="","",IF($W7=1,Settings!$C$6,Settings!$C$7)*1)</f>
        <v/>
      </c>
      <c r="U7">
        <f>IF($A7="","",IF(COUNTIF($A$2:$A7,$A7)=1,1,0))</f>
        <v/>
      </c>
      <c r="V7">
        <f>IF($U7=1,SUMPRODUCT(--($X$2:$X$1001&lt;$X7))+1,"")</f>
        <v/>
      </c>
      <c r="W7">
        <f>IF($A7="","",IF(OR($T7=TRUE(),$T7="TRUE"),1,0))</f>
        <v/>
      </c>
      <c r="X7">
        <f>IF($U7=1,IFERROR(IF(VALUE($A7)&lt;100000000,VALUE($A7),1000000000),IFERROR(IF(VALUE(MID($A7,2,20))&lt;100000000,VALUE(MID($A7,2,20)),1000000000),1000000000))+ROW()/100000,"")</f>
        <v/>
      </c>
    </row>
    <row r="8">
      <c r="F8" s="7">
        <f>IF($A8="","",E8*N8/100)</f>
        <v/>
      </c>
      <c r="J8" s="7" t="n"/>
      <c r="K8" s="7">
        <f>IF($A8="","",S8*N8)</f>
        <v/>
      </c>
      <c r="L8" s="7">
        <f>IF($A8="","",N8-K8)</f>
        <v/>
      </c>
      <c r="M8" s="7">
        <f>IF($A8="","",L8-F8)</f>
        <v/>
      </c>
      <c r="N8" s="7" t="n"/>
      <c r="Q8" s="11" t="n"/>
      <c r="S8">
        <f>IF($A8="","",IF($W8=1,Settings!$C$6,Settings!$C$7)*1)</f>
        <v/>
      </c>
      <c r="U8">
        <f>IF($A8="","",IF(COUNTIF($A$2:$A8,$A8)=1,1,0))</f>
        <v/>
      </c>
      <c r="V8">
        <f>IF($U8=1,SUMPRODUCT(--($X$2:$X$1001&lt;$X8))+1,"")</f>
        <v/>
      </c>
      <c r="W8">
        <f>IF($A8="","",IF(OR($T8=TRUE(),$T8="TRUE"),1,0))</f>
        <v/>
      </c>
      <c r="X8">
        <f>IF($U8=1,IFERROR(IF(VALUE($A8)&lt;100000000,VALUE($A8),1000000000),IFERROR(IF(VALUE(MID($A8,2,20))&lt;100000000,VALUE(MID($A8,2,20)),1000000000),1000000000))+ROW()/100000,"")</f>
        <v/>
      </c>
    </row>
    <row r="9">
      <c r="F9" s="7">
        <f>IF($A9="","",E9*N9/100)</f>
        <v/>
      </c>
      <c r="J9" s="7" t="n"/>
      <c r="K9" s="7">
        <f>IF($A9="","",S9*N9)</f>
        <v/>
      </c>
      <c r="L9" s="7">
        <f>IF($A9="","",N9-K9)</f>
        <v/>
      </c>
      <c r="M9" s="7">
        <f>IF($A9="","",L9-F9)</f>
        <v/>
      </c>
      <c r="N9" s="7" t="n"/>
      <c r="Q9" s="11" t="n"/>
      <c r="S9">
        <f>IF($A9="","",IF($W9=1,Settings!$C$6,Settings!$C$7)*1)</f>
        <v/>
      </c>
      <c r="U9">
        <f>IF($A9="","",IF(COUNTIF($A$2:$A9,$A9)=1,1,0))</f>
        <v/>
      </c>
      <c r="V9">
        <f>IF($U9=1,SUMPRODUCT(--($X$2:$X$1001&lt;$X9))+1,"")</f>
        <v/>
      </c>
      <c r="W9">
        <f>IF($A9="","",IF(OR($T9=TRUE(),$T9="TRUE"),1,0))</f>
        <v/>
      </c>
      <c r="X9">
        <f>IF($U9=1,IFERROR(IF(VALUE($A9)&lt;100000000,VALUE($A9),1000000000),IFERROR(IF(VALUE(MID($A9,2,20))&lt;100000000,VALUE(MID($A9,2,20)),1000000000),1000000000))+ROW()/100000,"")</f>
        <v/>
      </c>
    </row>
    <row r="10">
      <c r="F10" s="7">
        <f>IF($A10="","",E10*N10/100)</f>
        <v/>
      </c>
      <c r="J10" s="7" t="n"/>
      <c r="K10" s="7">
        <f>IF($A10="","",S10*N10)</f>
        <v/>
      </c>
      <c r="L10" s="7">
        <f>IF($A10="","",N10-K10)</f>
        <v/>
      </c>
      <c r="M10" s="7">
        <f>IF($A10="","",L10-F10)</f>
        <v/>
      </c>
      <c r="N10" s="7" t="n"/>
      <c r="Q10" s="11" t="n"/>
      <c r="S10">
        <f>IF($A10="","",IF($W10=1,Settings!$C$6,Settings!$C$7)*1)</f>
        <v/>
      </c>
      <c r="U10">
        <f>IF($A10="","",IF(COUNTIF($A$2:$A10,$A10)=1,1,0))</f>
        <v/>
      </c>
      <c r="V10">
        <f>IF($U10=1,SUMPRODUCT(--($X$2:$X$1001&lt;$X10))+1,"")</f>
        <v/>
      </c>
      <c r="W10">
        <f>IF($A10="","",IF(OR($T10=TRUE(),$T10="TRUE"),1,0))</f>
        <v/>
      </c>
      <c r="X10">
        <f>IF($U10=1,IFERROR(IF(VALUE($A10)&lt;100000000,VALUE($A10),1000000000),IFERROR(IF(VALUE(MID($A10,2,20))&lt;100000000,VALUE(MID($A10,2,20)),1000000000),1000000000))+ROW()/100000,"")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IF($A11="","",E11*N11/100)</f>
        <v/>
      </c>
      <c r="J11" s="7" t="n"/>
      <c r="K11" s="7">
        <f>IF($A11="","",S11*N11)</f>
        <v/>
      </c>
      <c r="L11" s="7">
        <f>IF($A11="","",N11-K11)</f>
        <v/>
      </c>
      <c r="M11" s="7">
        <f>IF($A11="","",L11-F11)</f>
        <v/>
      </c>
      <c r="N11" s="7" t="n"/>
      <c r="Q11" s="11" t="n"/>
      <c r="S11">
        <f>IF($A11="","",IF($W11=1,Settings!$C$6,Settings!$C$7)*1)</f>
        <v/>
      </c>
      <c r="U11">
        <f>IF($A11="","",IF(COUNTIF($A$2:$A11,$A11)=1,1,0))</f>
        <v/>
      </c>
      <c r="V11">
        <f>IF($U11=1,SUMPRODUCT(--($X$2:$X$1001&lt;$X11))+1,"")</f>
        <v/>
      </c>
      <c r="W11">
        <f>IF($A11="","",IF(OR($T11=TRUE(),$T11="TRUE"),1,0))</f>
        <v/>
      </c>
      <c r="X11">
        <f>IF($U11=1,IFERROR(IF(VALUE($A11)&lt;100000000,VALUE($A11),1000000000),IFERROR(IF(VALUE(MID($A11,2,20))&lt;100000000,VALUE(MID($A11,2,20)),1000000000),1000000000))+ROW()/100000,"")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IF($A12="","",E12*N12/100)</f>
        <v/>
      </c>
      <c r="J12" s="7" t="n"/>
      <c r="K12" s="7">
        <f>IF($A12="","",S12*N12)</f>
        <v/>
      </c>
      <c r="L12" s="7">
        <f>IF($A12="","",N12-K12)</f>
        <v/>
      </c>
      <c r="M12" s="7">
        <f>IF($A12="","",L12-F12)</f>
        <v/>
      </c>
      <c r="N12" s="7" t="n"/>
      <c r="Q12" s="11" t="n"/>
      <c r="S12">
        <f>IF($A12="","",IF($W12=1,Settings!$C$6,Settings!$C$7)*1)</f>
        <v/>
      </c>
      <c r="U12">
        <f>IF($A12="","",IF(COUNTIF($A$2:$A12,$A12)=1,1,0))</f>
        <v/>
      </c>
      <c r="V12">
        <f>IF($U12=1,SUMPRODUCT(--($X$2:$X$1001&lt;$X12))+1,"")</f>
        <v/>
      </c>
      <c r="W12">
        <f>IF($A12="","",IF(OR($T12=TRUE(),$T12="TRUE"),1,0))</f>
        <v/>
      </c>
      <c r="X12">
        <f>IF($U12=1,IFERROR(IF(VALUE($A12)&lt;100000000,VALUE($A12),1000000000),IFERROR(IF(VALUE(MID($A12,2,20))&lt;100000000,VALUE(MID($A12,2,20)),1000000000),1000000000))+ROW()/100000,"")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IF($A13="","",E13*N13/100)</f>
        <v/>
      </c>
      <c r="J13" s="7" t="n"/>
      <c r="K13" s="7">
        <f>IF($A13="","",S13*N13)</f>
        <v/>
      </c>
      <c r="L13" s="7">
        <f>IF($A13="","",N13-K13)</f>
        <v/>
      </c>
      <c r="M13" s="7">
        <f>IF($A13="","",L13-F13)</f>
        <v/>
      </c>
      <c r="N13" s="7" t="n"/>
      <c r="Q13" s="11" t="n"/>
      <c r="S13">
        <f>IF($A13="","",IF($W13=1,Settings!$C$6,Settings!$C$7)*1)</f>
        <v/>
      </c>
      <c r="U13">
        <f>IF($A13="","",IF(COUNTIF($A$2:$A13,$A13)=1,1,0))</f>
        <v/>
      </c>
      <c r="V13">
        <f>IF($U13=1,SUMPRODUCT(--($X$2:$X$1001&lt;$X13))+1,"")</f>
        <v/>
      </c>
      <c r="W13">
        <f>IF($A13="","",IF(OR($T13=TRUE(),$T13="TRUE"),1,0))</f>
        <v/>
      </c>
      <c r="X13">
        <f>IF($U13=1,IFERROR(IF(VALUE($A13)&lt;100000000,VALUE($A13),1000000000),IFERROR(IF(VALUE(MID($A13,2,20))&lt;100000000,VALUE(MID($A13,2,20)),1000000000),1000000000))+ROW()/100000,"")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IF($A14="","",E14*N14/100)</f>
        <v/>
      </c>
      <c r="J14" s="7" t="n"/>
      <c r="K14" s="7">
        <f>IF($A14="","",S14*N14)</f>
        <v/>
      </c>
      <c r="L14" s="7">
        <f>IF($A14="","",N14-K14)</f>
        <v/>
      </c>
      <c r="M14" s="7">
        <f>IF($A14="","",L14-F14)</f>
        <v/>
      </c>
      <c r="N14" s="7" t="n"/>
      <c r="Q14" s="11" t="n"/>
      <c r="S14">
        <f>IF($A14="","",IF($W14=1,Settings!$C$6,Settings!$C$7)*1)</f>
        <v/>
      </c>
      <c r="U14">
        <f>IF($A14="","",IF(COUNTIF($A$2:$A14,$A14)=1,1,0))</f>
        <v/>
      </c>
      <c r="V14">
        <f>IF($U14=1,SUMPRODUCT(--($X$2:$X$1001&lt;$X14))+1,"")</f>
        <v/>
      </c>
      <c r="W14">
        <f>IF($A14="","",IF(OR($T14=TRUE(),$T14="TRUE"),1,0))</f>
        <v/>
      </c>
      <c r="X14">
        <f>IF($U14=1,IFERROR(IF(VALUE($A14)&lt;100000000,VALUE($A14),1000000000),IFERROR(IF(VALUE(MID($A14,2,20))&lt;100000000,VALUE(MID($A14,2,20)),1000000000),1000000000))+ROW()/100000,"")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IF($A15="","",E15*N15/100)</f>
        <v/>
      </c>
      <c r="J15" s="7" t="n"/>
      <c r="K15" s="7">
        <f>IF($A15="","",S15*N15)</f>
        <v/>
      </c>
      <c r="L15" s="7">
        <f>IF($A15="","",N15-K15)</f>
        <v/>
      </c>
      <c r="M15" s="7">
        <f>IF($A15="","",L15-F15)</f>
        <v/>
      </c>
      <c r="N15" s="7" t="n"/>
      <c r="Q15" s="11" t="n"/>
      <c r="S15">
        <f>IF($A15="","",IF($W15=1,Settings!$C$6,Settings!$C$7)*1)</f>
        <v/>
      </c>
      <c r="U15">
        <f>IF($A15="","",IF(COUNTIF($A$2:$A15,$A15)=1,1,0))</f>
        <v/>
      </c>
      <c r="V15">
        <f>IF($U15=1,SUMPRODUCT(--($X$2:$X$1001&lt;$X15))+1,"")</f>
        <v/>
      </c>
      <c r="W15">
        <f>IF($A15="","",IF(OR($T15=TRUE(),$T15="TRUE"),1,0))</f>
        <v/>
      </c>
      <c r="X15">
        <f>IF($U15=1,IFERROR(IF(VALUE($A15)&lt;100000000,VALUE($A15),1000000000),IFERROR(IF(VALUE(MID($A15,2,20))&lt;100000000,VALUE(MID($A15,2,20)),1000000000),1000000000))+ROW()/100000,"")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IF($A16="","",E16*N16/100)</f>
        <v/>
      </c>
      <c r="J16" s="7" t="n"/>
      <c r="K16" s="7">
        <f>IF($A16="","",S16*N16)</f>
        <v/>
      </c>
      <c r="L16" s="7">
        <f>IF($A16="","",N16-K16)</f>
        <v/>
      </c>
      <c r="M16" s="7">
        <f>IF($A16="","",L16-F16)</f>
        <v/>
      </c>
      <c r="N16" s="7" t="n"/>
      <c r="Q16" s="11" t="n"/>
      <c r="S16">
        <f>IF($A16="","",IF($W16=1,Settings!$C$6,Settings!$C$7)*1)</f>
        <v/>
      </c>
      <c r="U16">
        <f>IF($A16="","",IF(COUNTIF($A$2:$A16,$A16)=1,1,0))</f>
        <v/>
      </c>
      <c r="V16">
        <f>IF($U16=1,SUMPRODUCT(--($X$2:$X$1001&lt;$X16))+1,"")</f>
        <v/>
      </c>
      <c r="W16">
        <f>IF($A16="","",IF(OR($T16=TRUE(),$T16="TRUE"),1,0))</f>
        <v/>
      </c>
      <c r="X16">
        <f>IF($U16=1,IFERROR(IF(VALUE($A16)&lt;100000000,VALUE($A16),1000000000),IFERROR(IF(VALUE(MID($A16,2,20))&lt;100000000,VALUE(MID($A16,2,20)),1000000000),1000000000))+ROW()/100000,"")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IF($A17="","",E17*N17/100)</f>
        <v/>
      </c>
      <c r="J17" s="7" t="n"/>
      <c r="K17" s="7">
        <f>IF($A17="","",S17*N17)</f>
        <v/>
      </c>
      <c r="L17" s="7">
        <f>IF($A17="","",N17-K17)</f>
        <v/>
      </c>
      <c r="M17" s="7">
        <f>IF($A17="","",L17-F17)</f>
        <v/>
      </c>
      <c r="N17" s="7" t="n"/>
      <c r="Q17" s="11" t="n"/>
      <c r="S17">
        <f>IF($A17="","",IF($W17=1,Settings!$C$6,Settings!$C$7)*1)</f>
        <v/>
      </c>
      <c r="U17">
        <f>IF($A17="","",IF(COUNTIF($A$2:$A17,$A17)=1,1,0))</f>
        <v/>
      </c>
      <c r="V17">
        <f>IF($U17=1,SUMPRODUCT(--($X$2:$X$1001&lt;$X17))+1,"")</f>
        <v/>
      </c>
      <c r="W17">
        <f>IF($A17="","",IF(OR($T17=TRUE(),$T17="TRUE"),1,0))</f>
        <v/>
      </c>
      <c r="X17">
        <f>IF($U17=1,IFERROR(IF(VALUE($A17)&lt;100000000,VALUE($A17),1000000000),IFERROR(IF(VALUE(MID($A17,2,20))&lt;100000000,VALUE(MID($A17,2,20)),1000000000),1000000000))+ROW()/100000,"")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IF($A18="","",E18*N18/100)</f>
        <v/>
      </c>
      <c r="J18" s="7" t="n"/>
      <c r="K18" s="7">
        <f>IF($A18="","",S18*N18)</f>
        <v/>
      </c>
      <c r="L18" s="7">
        <f>IF($A18="","",N18-K18)</f>
        <v/>
      </c>
      <c r="M18" s="7">
        <f>IF($A18="","",L18-F18)</f>
        <v/>
      </c>
      <c r="N18" s="7" t="n"/>
      <c r="Q18" s="11" t="n"/>
      <c r="S18">
        <f>IF($A18="","",IF($W18=1,Settings!$C$6,Settings!$C$7)*1)</f>
        <v/>
      </c>
      <c r="U18">
        <f>IF($A18="","",IF(COUNTIF($A$2:$A18,$A18)=1,1,0))</f>
        <v/>
      </c>
      <c r="V18">
        <f>IF($U18=1,SUMPRODUCT(--($X$2:$X$1001&lt;$X18))+1,"")</f>
        <v/>
      </c>
      <c r="W18">
        <f>IF($A18="","",IF(OR($T18=TRUE(),$T18="TRUE"),1,0))</f>
        <v/>
      </c>
      <c r="X18">
        <f>IF($U18=1,IFERROR(IF(VALUE($A18)&lt;100000000,VALUE($A18),1000000000),IFERROR(IF(VALUE(MID($A18,2,20))&lt;100000000,VALUE(MID($A18,2,20)),1000000000),1000000000))+ROW()/100000,"")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IF($A19="","",E19*N19/100)</f>
        <v/>
      </c>
      <c r="J19" s="7" t="n"/>
      <c r="K19" s="7">
        <f>IF($A19="","",S19*N19)</f>
        <v/>
      </c>
      <c r="L19" s="7">
        <f>IF($A19="","",N19-K19)</f>
        <v/>
      </c>
      <c r="M19" s="7">
        <f>IF($A19="","",L19-F19)</f>
        <v/>
      </c>
      <c r="N19" s="7" t="n"/>
      <c r="Q19" s="11" t="n"/>
      <c r="S19">
        <f>IF($A19="","",IF($W19=1,Settings!$C$6,Settings!$C$7)*1)</f>
        <v/>
      </c>
      <c r="U19">
        <f>IF($A19="","",IF(COUNTIF($A$2:$A19,$A19)=1,1,0))</f>
        <v/>
      </c>
      <c r="V19">
        <f>IF($U19=1,SUMPRODUCT(--($X$2:$X$1001&lt;$X19))+1,"")</f>
        <v/>
      </c>
      <c r="W19">
        <f>IF($A19="","",IF(OR($T19=TRUE(),$T19="TRUE"),1,0))</f>
        <v/>
      </c>
      <c r="X19">
        <f>IF($U19=1,IFERROR(IF(VALUE($A19)&lt;100000000,VALUE($A19),1000000000),IFERROR(IF(VALUE(MID($A19,2,20))&lt;100000000,VALUE(MID($A19,2,20)),1000000000),1000000000))+ROW()/100000,"")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IF($A20="","",E20*N20/100)</f>
        <v/>
      </c>
      <c r="J20" s="7" t="n"/>
      <c r="K20" s="7">
        <f>IF($A20="","",S20*N20)</f>
        <v/>
      </c>
      <c r="L20" s="7">
        <f>IF($A20="","",N20-K20)</f>
        <v/>
      </c>
      <c r="M20" s="7">
        <f>IF($A20="","",L20-F20)</f>
        <v/>
      </c>
      <c r="N20" s="7" t="n"/>
      <c r="Q20" s="11" t="n"/>
      <c r="S20">
        <f>IF($A20="","",IF($W20=1,Settings!$C$6,Settings!$C$7)*1)</f>
        <v/>
      </c>
      <c r="U20">
        <f>IF($A20="","",IF(COUNTIF($A$2:$A20,$A20)=1,1,0))</f>
        <v/>
      </c>
      <c r="V20">
        <f>IF($U20=1,SUMPRODUCT(--($X$2:$X$1001&lt;$X20))+1,"")</f>
        <v/>
      </c>
      <c r="W20">
        <f>IF($A20="","",IF(OR($T20=TRUE(),$T20="TRUE"),1,0))</f>
        <v/>
      </c>
      <c r="X20">
        <f>IF($U20=1,IFERROR(IF(VALUE($A20)&lt;100000000,VALUE($A20),1000000000),IFERROR(IF(VALUE(MID($A20,2,20))&lt;100000000,VALUE(MID($A20,2,20)),1000000000),1000000000))+ROW()/100000,"")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IF($A21="","",E21*N21/100)</f>
        <v/>
      </c>
      <c r="J21" s="7" t="n"/>
      <c r="K21" s="7">
        <f>IF($A21="","",S21*N21)</f>
        <v/>
      </c>
      <c r="L21" s="7">
        <f>IF($A21="","",N21-K21)</f>
        <v/>
      </c>
      <c r="M21" s="7">
        <f>IF($A21="","",L21-F21)</f>
        <v/>
      </c>
      <c r="N21" s="7" t="n"/>
      <c r="Q21" s="11" t="n"/>
      <c r="S21">
        <f>IF($A21="","",IF($W21=1,Settings!$C$6,Settings!$C$7)*1)</f>
        <v/>
      </c>
      <c r="U21">
        <f>IF($A21="","",IF(COUNTIF($A$2:$A21,$A21)=1,1,0))</f>
        <v/>
      </c>
      <c r="V21">
        <f>IF($U21=1,SUMPRODUCT(--($X$2:$X$1001&lt;$X21))+1,"")</f>
        <v/>
      </c>
      <c r="W21">
        <f>IF($A21="","",IF(OR($T21=TRUE(),$T21="TRUE"),1,0))</f>
        <v/>
      </c>
      <c r="X21">
        <f>IF($U21=1,IFERROR(IF(VALUE($A21)&lt;100000000,VALUE($A21),1000000000),IFERROR(IF(VALUE(MID($A21,2,20))&lt;100000000,VALUE(MID($A21,2,20)),1000000000),1000000000))+ROW()/100000,"")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IF($A22="","",E22*N22/100)</f>
        <v/>
      </c>
      <c r="J22" s="7" t="n"/>
      <c r="K22" s="7">
        <f>IF($A22="","",S22*N22)</f>
        <v/>
      </c>
      <c r="L22" s="7">
        <f>IF($A22="","",N22-K22)</f>
        <v/>
      </c>
      <c r="M22" s="7">
        <f>IF($A22="","",L22-F22)</f>
        <v/>
      </c>
      <c r="N22" s="7" t="n"/>
      <c r="Q22" s="11" t="n"/>
      <c r="S22">
        <f>IF($A22="","",IF($W22=1,Settings!$C$6,Settings!$C$7)*1)</f>
        <v/>
      </c>
      <c r="U22">
        <f>IF($A22="","",IF(COUNTIF($A$2:$A22,$A22)=1,1,0))</f>
        <v/>
      </c>
      <c r="V22">
        <f>IF($U22=1,SUMPRODUCT(--($X$2:$X$1001&lt;$X22))+1,"")</f>
        <v/>
      </c>
      <c r="W22">
        <f>IF($A22="","",IF(OR($T22=TRUE(),$T22="TRUE"),1,0))</f>
        <v/>
      </c>
      <c r="X22">
        <f>IF($U22=1,IFERROR(IF(VALUE($A22)&lt;100000000,VALUE($A22),1000000000),IFERROR(IF(VALUE(MID($A22,2,20))&lt;100000000,VALUE(MID($A22,2,20)),1000000000),1000000000))+ROW()/100000,"")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IF($A23="","",E23*N23/100)</f>
        <v/>
      </c>
      <c r="J23" s="7" t="n"/>
      <c r="K23" s="7">
        <f>IF($A23="","",S23*N23)</f>
        <v/>
      </c>
      <c r="L23" s="7">
        <f>IF($A23="","",N23-K23)</f>
        <v/>
      </c>
      <c r="M23" s="7">
        <f>IF($A23="","",L23-F23)</f>
        <v/>
      </c>
      <c r="N23" s="7" t="n"/>
      <c r="Q23" s="11" t="n"/>
      <c r="S23">
        <f>IF($A23="","",IF($W23=1,Settings!$C$6,Settings!$C$7)*1)</f>
        <v/>
      </c>
      <c r="U23">
        <f>IF($A23="","",IF(COUNTIF($A$2:$A23,$A23)=1,1,0))</f>
        <v/>
      </c>
      <c r="V23">
        <f>IF($U23=1,SUMPRODUCT(--($X$2:$X$1001&lt;$X23))+1,"")</f>
        <v/>
      </c>
      <c r="W23">
        <f>IF($A23="","",IF(OR($T23=TRUE(),$T23="TRUE"),1,0))</f>
        <v/>
      </c>
      <c r="X23">
        <f>IF($U23=1,IFERROR(IF(VALUE($A23)&lt;100000000,VALUE($A23),1000000000),IFERROR(IF(VALUE(MID($A23,2,20))&lt;100000000,VALUE(MID($A23,2,20)),1000000000),1000000000))+ROW()/100000,"")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IF($A24="","",E24*N24/100)</f>
        <v/>
      </c>
      <c r="J24" s="7" t="n"/>
      <c r="K24" s="7">
        <f>IF($A24="","",S24*N24)</f>
        <v/>
      </c>
      <c r="L24" s="7">
        <f>IF($A24="","",N24-K24)</f>
        <v/>
      </c>
      <c r="M24" s="7">
        <f>IF($A24="","",L24-F24)</f>
        <v/>
      </c>
      <c r="N24" s="7" t="n"/>
      <c r="Q24" s="11" t="n"/>
      <c r="S24">
        <f>IF($A24="","",IF($W24=1,Settings!$C$6,Settings!$C$7)*1)</f>
        <v/>
      </c>
      <c r="U24">
        <f>IF($A24="","",IF(COUNTIF($A$2:$A24,$A24)=1,1,0))</f>
        <v/>
      </c>
      <c r="V24">
        <f>IF($U24=1,SUMPRODUCT(--($X$2:$X$1001&lt;$X24))+1,"")</f>
        <v/>
      </c>
      <c r="W24">
        <f>IF($A24="","",IF(OR($T24=TRUE(),$T24="TRUE"),1,0))</f>
        <v/>
      </c>
      <c r="X24">
        <f>IF($U24=1,IFERROR(IF(VALUE($A24)&lt;100000000,VALUE($A24),1000000000),IFERROR(IF(VALUE(MID($A24,2,20))&lt;100000000,VALUE(MID($A24,2,20)),1000000000),1000000000))+ROW()/100000,"")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IF($A25="","",E25*N25/100)</f>
        <v/>
      </c>
      <c r="J25" s="7" t="n"/>
      <c r="K25" s="7">
        <f>IF($A25="","",S25*N25)</f>
        <v/>
      </c>
      <c r="L25" s="7">
        <f>IF($A25="","",N25-K25)</f>
        <v/>
      </c>
      <c r="M25" s="7">
        <f>IF($A25="","",L25-F25)</f>
        <v/>
      </c>
      <c r="N25" s="7" t="n"/>
      <c r="Q25" s="11" t="n"/>
      <c r="S25">
        <f>IF($A25="","",IF($W25=1,Settings!$C$6,Settings!$C$7)*1)</f>
        <v/>
      </c>
      <c r="U25">
        <f>IF($A25="","",IF(COUNTIF($A$2:$A25,$A25)=1,1,0))</f>
        <v/>
      </c>
      <c r="V25">
        <f>IF($U25=1,SUMPRODUCT(--($X$2:$X$1001&lt;$X25))+1,"")</f>
        <v/>
      </c>
      <c r="W25">
        <f>IF($A25="","",IF(OR($T25=TRUE(),$T25="TRUE"),1,0))</f>
        <v/>
      </c>
      <c r="X25">
        <f>IF($U25=1,IFERROR(IF(VALUE($A25)&lt;100000000,VALUE($A25),1000000000),IFERROR(IF(VALUE(MID($A25,2,20))&lt;100000000,VALUE(MID($A25,2,20)),1000000000),1000000000))+ROW()/100000,"")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IF($A26="","",E26*N26/100)</f>
        <v/>
      </c>
      <c r="J26" s="7" t="n"/>
      <c r="K26" s="7">
        <f>IF($A26="","",S26*N26)</f>
        <v/>
      </c>
      <c r="L26" s="7">
        <f>IF($A26="","",N26-K26)</f>
        <v/>
      </c>
      <c r="M26" s="7">
        <f>IF($A26="","",L26-F26)</f>
        <v/>
      </c>
      <c r="N26" s="7" t="n"/>
      <c r="Q26" s="11" t="n"/>
      <c r="S26">
        <f>IF($A26="","",IF($W26=1,Settings!$C$6,Settings!$C$7)*1)</f>
        <v/>
      </c>
      <c r="U26">
        <f>IF($A26="","",IF(COUNTIF($A$2:$A26,$A26)=1,1,0))</f>
        <v/>
      </c>
      <c r="V26">
        <f>IF($U26=1,SUMPRODUCT(--($X$2:$X$1001&lt;$X26))+1,"")</f>
        <v/>
      </c>
      <c r="W26">
        <f>IF($A26="","",IF(OR($T26=TRUE(),$T26="TRUE"),1,0))</f>
        <v/>
      </c>
      <c r="X26">
        <f>IF($U26=1,IFERROR(IF(VALUE($A26)&lt;100000000,VALUE($A26),1000000000),IFERROR(IF(VALUE(MID($A26,2,20))&lt;100000000,VALUE(MID($A26,2,20)),1000000000),1000000000))+ROW()/100000,"")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IF($A27="","",E27*N27/100)</f>
        <v/>
      </c>
      <c r="J27" s="7" t="n"/>
      <c r="K27" s="7">
        <f>IF($A27="","",S27*N27)</f>
        <v/>
      </c>
      <c r="L27" s="7">
        <f>IF($A27="","",N27-K27)</f>
        <v/>
      </c>
      <c r="M27" s="7">
        <f>IF($A27="","",L27-F27)</f>
        <v/>
      </c>
      <c r="N27" s="7" t="n"/>
      <c r="Q27" s="11" t="n"/>
      <c r="S27">
        <f>IF($A27="","",IF($W27=1,Settings!$C$6,Settings!$C$7)*1)</f>
        <v/>
      </c>
      <c r="U27">
        <f>IF($A27="","",IF(COUNTIF($A$2:$A27,$A27)=1,1,0))</f>
        <v/>
      </c>
      <c r="V27">
        <f>IF($U27=1,SUMPRODUCT(--($X$2:$X$1001&lt;$X27))+1,"")</f>
        <v/>
      </c>
      <c r="W27">
        <f>IF($A27="","",IF(OR($T27=TRUE(),$T27="TRUE"),1,0))</f>
        <v/>
      </c>
      <c r="X27">
        <f>IF($U27=1,IFERROR(IF(VALUE($A27)&lt;100000000,VALUE($A27),1000000000),IFERROR(IF(VALUE(MID($A27,2,20))&lt;100000000,VALUE(MID($A27,2,20)),1000000000),1000000000))+ROW()/100000,"")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IF($A28="","",E28*N28/100)</f>
        <v/>
      </c>
      <c r="J28" s="7" t="n"/>
      <c r="K28" s="7">
        <f>IF($A28="","",S28*N28)</f>
        <v/>
      </c>
      <c r="L28" s="7">
        <f>IF($A28="","",N28-K28)</f>
        <v/>
      </c>
      <c r="M28" s="7">
        <f>IF($A28="","",L28-F28)</f>
        <v/>
      </c>
      <c r="N28" s="7" t="n"/>
      <c r="Q28" s="11" t="n"/>
      <c r="S28">
        <f>IF($A28="","",IF($W28=1,Settings!$C$6,Settings!$C$7)*1)</f>
        <v/>
      </c>
      <c r="U28">
        <f>IF($A28="","",IF(COUNTIF($A$2:$A28,$A28)=1,1,0))</f>
        <v/>
      </c>
      <c r="V28">
        <f>IF($U28=1,SUMPRODUCT(--($X$2:$X$1001&lt;$X28))+1,"")</f>
        <v/>
      </c>
      <c r="W28">
        <f>IF($A28="","",IF(OR($T28=TRUE(),$T28="TRUE"),1,0))</f>
        <v/>
      </c>
      <c r="X28">
        <f>IF($U28=1,IFERROR(IF(VALUE($A28)&lt;100000000,VALUE($A28),1000000000),IFERROR(IF(VALUE(MID($A28,2,20))&lt;100000000,VALUE(MID($A28,2,20)),1000000000),1000000000))+ROW()/100000,"")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IF($A29="","",E29*N29/100)</f>
        <v/>
      </c>
      <c r="J29" s="7" t="n"/>
      <c r="K29" s="7">
        <f>IF($A29="","",S29*N29)</f>
        <v/>
      </c>
      <c r="L29" s="7">
        <f>IF($A29="","",N29-K29)</f>
        <v/>
      </c>
      <c r="M29" s="7">
        <f>IF($A29="","",L29-F29)</f>
        <v/>
      </c>
      <c r="N29" s="7" t="n"/>
      <c r="Q29" s="11" t="n"/>
      <c r="S29">
        <f>IF($A29="","",IF($W29=1,Settings!$C$6,Settings!$C$7)*1)</f>
        <v/>
      </c>
      <c r="U29">
        <f>IF($A29="","",IF(COUNTIF($A$2:$A29,$A29)=1,1,0))</f>
        <v/>
      </c>
      <c r="V29">
        <f>IF($U29=1,SUMPRODUCT(--($X$2:$X$1001&lt;$X29))+1,"")</f>
        <v/>
      </c>
      <c r="W29">
        <f>IF($A29="","",IF(OR($T29=TRUE(),$T29="TRUE"),1,0))</f>
        <v/>
      </c>
      <c r="X29">
        <f>IF($U29=1,IFERROR(IF(VALUE($A29)&lt;100000000,VALUE($A29),1000000000),IFERROR(IF(VALUE(MID($A29,2,20))&lt;100000000,VALUE(MID($A29,2,20)),1000000000),1000000000))+ROW()/100000,"")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IF($A30="","",E30*N30/100)</f>
        <v/>
      </c>
      <c r="J30" s="7" t="n"/>
      <c r="K30" s="7">
        <f>IF($A30="","",S30*N30)</f>
        <v/>
      </c>
      <c r="L30" s="7">
        <f>IF($A30="","",N30-K30)</f>
        <v/>
      </c>
      <c r="M30" s="7">
        <f>IF($A30="","",L30-F30)</f>
        <v/>
      </c>
      <c r="N30" s="7" t="n"/>
      <c r="Q30" s="11" t="n"/>
      <c r="S30">
        <f>IF($A30="","",IF($W30=1,Settings!$C$6,Settings!$C$7)*1)</f>
        <v/>
      </c>
      <c r="U30">
        <f>IF($A30="","",IF(COUNTIF($A$2:$A30,$A30)=1,1,0))</f>
        <v/>
      </c>
      <c r="V30">
        <f>IF($U30=1,SUMPRODUCT(--($X$2:$X$1001&lt;$X30))+1,"")</f>
        <v/>
      </c>
      <c r="W30">
        <f>IF($A30="","",IF(OR($T30=TRUE(),$T30="TRUE"),1,0))</f>
        <v/>
      </c>
      <c r="X30">
        <f>IF($U30=1,IFERROR(IF(VALUE($A30)&lt;100000000,VALUE($A30),1000000000),IFERROR(IF(VALUE(MID($A30,2,20))&lt;100000000,VALUE(MID($A30,2,20)),1000000000),1000000000))+ROW()/100000,"")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IF($A31="","",E31*N31/100)</f>
        <v/>
      </c>
      <c r="J31" s="7" t="n"/>
      <c r="K31" s="7">
        <f>IF($A31="","",S31*N31)</f>
        <v/>
      </c>
      <c r="L31" s="7">
        <f>IF($A31="","",N31-K31)</f>
        <v/>
      </c>
      <c r="M31" s="7">
        <f>IF($A31="","",L31-F31)</f>
        <v/>
      </c>
      <c r="N31" s="7" t="n"/>
      <c r="Q31" s="11" t="n"/>
      <c r="S31">
        <f>IF($A31="","",IF($W31=1,Settings!$C$6,Settings!$C$7)*1)</f>
        <v/>
      </c>
      <c r="U31">
        <f>IF($A31="","",IF(COUNTIF($A$2:$A31,$A31)=1,1,0))</f>
        <v/>
      </c>
      <c r="V31">
        <f>IF($U31=1,SUMPRODUCT(--($X$2:$X$1001&lt;$X31))+1,"")</f>
        <v/>
      </c>
      <c r="W31">
        <f>IF($A31="","",IF(OR($T31=TRUE(),$T31="TRUE"),1,0))</f>
        <v/>
      </c>
      <c r="X31">
        <f>IF($U31=1,IFERROR(IF(VALUE($A31)&lt;100000000,VALUE($A31),1000000000),IFERROR(IF(VALUE(MID($A31,2,20))&lt;100000000,VALUE(MID($A31,2,20)),1000000000),1000000000))+ROW()/100000,"")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IF($A32="","",E32*N32/100)</f>
        <v/>
      </c>
      <c r="J32" s="7" t="n"/>
      <c r="K32" s="7">
        <f>IF($A32="","",S32*N32)</f>
        <v/>
      </c>
      <c r="L32" s="7">
        <f>IF($A32="","",N32-K32)</f>
        <v/>
      </c>
      <c r="M32" s="7">
        <f>IF($A32="","",L32-F32)</f>
        <v/>
      </c>
      <c r="N32" s="7" t="n"/>
      <c r="Q32" s="11" t="n"/>
      <c r="S32">
        <f>IF($A32="","",IF($W32=1,Settings!$C$6,Settings!$C$7)*1)</f>
        <v/>
      </c>
      <c r="U32">
        <f>IF($A32="","",IF(COUNTIF($A$2:$A32,$A32)=1,1,0))</f>
        <v/>
      </c>
      <c r="V32">
        <f>IF($U32=1,SUMPRODUCT(--($X$2:$X$1001&lt;$X32))+1,"")</f>
        <v/>
      </c>
      <c r="W32">
        <f>IF($A32="","",IF(OR($T32=TRUE(),$T32="TRUE"),1,0))</f>
        <v/>
      </c>
      <c r="X32">
        <f>IF($U32=1,IFERROR(IF(VALUE($A32)&lt;100000000,VALUE($A32),1000000000),IFERROR(IF(VALUE(MID($A32,2,20))&lt;100000000,VALUE(MID($A32,2,20)),1000000000),1000000000))+ROW()/100000,"")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IF($A33="","",E33*N33/100)</f>
        <v/>
      </c>
      <c r="J33" s="7" t="n"/>
      <c r="K33" s="7">
        <f>IF($A33="","",S33*N33)</f>
        <v/>
      </c>
      <c r="L33" s="7">
        <f>IF($A33="","",N33-K33)</f>
        <v/>
      </c>
      <c r="M33" s="7">
        <f>IF($A33="","",L33-F33)</f>
        <v/>
      </c>
      <c r="N33" s="7" t="n"/>
      <c r="Q33" s="11" t="n"/>
      <c r="S33">
        <f>IF($A33="","",IF($W33=1,Settings!$C$6,Settings!$C$7)*1)</f>
        <v/>
      </c>
      <c r="U33">
        <f>IF($A33="","",IF(COUNTIF($A$2:$A33,$A33)=1,1,0))</f>
        <v/>
      </c>
      <c r="V33">
        <f>IF($U33=1,SUMPRODUCT(--($X$2:$X$1001&lt;$X33))+1,"")</f>
        <v/>
      </c>
      <c r="W33">
        <f>IF($A33="","",IF(OR($T33=TRUE(),$T33="TRUE"),1,0))</f>
        <v/>
      </c>
      <c r="X33">
        <f>IF($U33=1,IFERROR(IF(VALUE($A33)&lt;100000000,VALUE($A33),1000000000),IFERROR(IF(VALUE(MID($A33,2,20))&lt;100000000,VALUE(MID($A33,2,20)),1000000000),1000000000))+ROW()/100000,"")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IF($A34="","",E34*N34/100)</f>
        <v/>
      </c>
      <c r="J34" s="7" t="n"/>
      <c r="K34" s="7">
        <f>IF($A34="","",S34*N34)</f>
        <v/>
      </c>
      <c r="L34" s="7">
        <f>IF($A34="","",N34-K34)</f>
        <v/>
      </c>
      <c r="M34" s="7">
        <f>IF($A34="","",L34-F34)</f>
        <v/>
      </c>
      <c r="N34" s="7" t="n"/>
      <c r="Q34" s="11" t="n"/>
      <c r="S34">
        <f>IF($A34="","",IF($W34=1,Settings!$C$6,Settings!$C$7)*1)</f>
        <v/>
      </c>
      <c r="U34">
        <f>IF($A34="","",IF(COUNTIF($A$2:$A34,$A34)=1,1,0))</f>
        <v/>
      </c>
      <c r="V34">
        <f>IF($U34=1,SUMPRODUCT(--($X$2:$X$1001&lt;$X34))+1,"")</f>
        <v/>
      </c>
      <c r="W34">
        <f>IF($A34="","",IF(OR($T34=TRUE(),$T34="TRUE"),1,0))</f>
        <v/>
      </c>
      <c r="X34">
        <f>IF($U34=1,IFERROR(IF(VALUE($A34)&lt;100000000,VALUE($A34),1000000000),IFERROR(IF(VALUE(MID($A34,2,20))&lt;100000000,VALUE(MID($A34,2,20)),1000000000),1000000000))+ROW()/100000,"")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IF($A35="","",E35*N35/100)</f>
        <v/>
      </c>
      <c r="J35" s="7" t="n"/>
      <c r="K35" s="7">
        <f>IF($A35="","",S35*N35)</f>
        <v/>
      </c>
      <c r="L35" s="7">
        <f>IF($A35="","",N35-K35)</f>
        <v/>
      </c>
      <c r="M35" s="7">
        <f>IF($A35="","",L35-F35)</f>
        <v/>
      </c>
      <c r="N35" s="7" t="n"/>
      <c r="Q35" s="11" t="n"/>
      <c r="S35">
        <f>IF($A35="","",IF($W35=1,Settings!$C$6,Settings!$C$7)*1)</f>
        <v/>
      </c>
      <c r="U35">
        <f>IF($A35="","",IF(COUNTIF($A$2:$A35,$A35)=1,1,0))</f>
        <v/>
      </c>
      <c r="V35">
        <f>IF($U35=1,SUMPRODUCT(--($X$2:$X$1001&lt;$X35))+1,"")</f>
        <v/>
      </c>
      <c r="W35">
        <f>IF($A35="","",IF(OR($T35=TRUE(),$T35="TRUE"),1,0))</f>
        <v/>
      </c>
      <c r="X35">
        <f>IF($U35=1,IFERROR(IF(VALUE($A35)&lt;100000000,VALUE($A35),1000000000),IFERROR(IF(VALUE(MID($A35,2,20))&lt;100000000,VALUE(MID($A35,2,20)),1000000000),1000000000))+ROW()/100000,"")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IF($A36="","",E36*N36/100)</f>
        <v/>
      </c>
      <c r="J36" s="7" t="n"/>
      <c r="K36" s="7">
        <f>IF($A36="","",S36*N36)</f>
        <v/>
      </c>
      <c r="L36" s="7">
        <f>IF($A36="","",N36-K36)</f>
        <v/>
      </c>
      <c r="M36" s="7">
        <f>IF($A36="","",L36-F36)</f>
        <v/>
      </c>
      <c r="N36" s="7" t="n"/>
      <c r="Q36" s="11" t="n"/>
      <c r="S36">
        <f>IF($A36="","",IF($W36=1,Settings!$C$6,Settings!$C$7)*1)</f>
        <v/>
      </c>
      <c r="U36">
        <f>IF($A36="","",IF(COUNTIF($A$2:$A36,$A36)=1,1,0))</f>
        <v/>
      </c>
      <c r="V36">
        <f>IF($U36=1,SUMPRODUCT(--($X$2:$X$1001&lt;$X36))+1,"")</f>
        <v/>
      </c>
      <c r="W36">
        <f>IF($A36="","",IF(OR($T36=TRUE(),$T36="TRUE"),1,0))</f>
        <v/>
      </c>
      <c r="X36">
        <f>IF($U36=1,IFERROR(IF(VALUE($A36)&lt;100000000,VALUE($A36),1000000000),IFERROR(IF(VALUE(MID($A36,2,20))&lt;100000000,VALUE(MID($A36,2,20)),1000000000),1000000000))+ROW()/100000,"")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IF($A37="","",E37*N37/100)</f>
        <v/>
      </c>
      <c r="J37" s="7" t="n"/>
      <c r="K37" s="7">
        <f>IF($A37="","",S37*N37)</f>
        <v/>
      </c>
      <c r="L37" s="7">
        <f>IF($A37="","",N37-K37)</f>
        <v/>
      </c>
      <c r="M37" s="7">
        <f>IF($A37="","",L37-F37)</f>
        <v/>
      </c>
      <c r="N37" s="7" t="n"/>
      <c r="Q37" s="11" t="n"/>
      <c r="S37">
        <f>IF($A37="","",IF($W37=1,Settings!$C$6,Settings!$C$7)*1)</f>
        <v/>
      </c>
      <c r="U37">
        <f>IF($A37="","",IF(COUNTIF($A$2:$A37,$A37)=1,1,0))</f>
        <v/>
      </c>
      <c r="V37">
        <f>IF($U37=1,SUMPRODUCT(--($X$2:$X$1001&lt;$X37))+1,"")</f>
        <v/>
      </c>
      <c r="W37">
        <f>IF($A37="","",IF(OR($T37=TRUE(),$T37="TRUE"),1,0))</f>
        <v/>
      </c>
      <c r="X37">
        <f>IF($U37=1,IFERROR(IF(VALUE($A37)&lt;100000000,VALUE($A37),1000000000),IFERROR(IF(VALUE(MID($A37,2,20))&lt;100000000,VALUE(MID($A37,2,20)),1000000000),1000000000))+ROW()/100000,"")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IF($A38="","",E38*N38/100)</f>
        <v/>
      </c>
      <c r="J38" s="7" t="n"/>
      <c r="K38" s="7">
        <f>IF($A38="","",S38*N38)</f>
        <v/>
      </c>
      <c r="L38" s="7">
        <f>IF($A38="","",N38-K38)</f>
        <v/>
      </c>
      <c r="M38" s="7">
        <f>IF($A38="","",L38-F38)</f>
        <v/>
      </c>
      <c r="N38" s="7" t="n"/>
      <c r="Q38" s="11" t="n"/>
      <c r="S38">
        <f>IF($A38="","",IF($W38=1,Settings!$C$6,Settings!$C$7)*1)</f>
        <v/>
      </c>
      <c r="U38">
        <f>IF($A38="","",IF(COUNTIF($A$2:$A38,$A38)=1,1,0))</f>
        <v/>
      </c>
      <c r="V38">
        <f>IF($U38=1,SUMPRODUCT(--($X$2:$X$1001&lt;$X38))+1,"")</f>
        <v/>
      </c>
      <c r="W38">
        <f>IF($A38="","",IF(OR($T38=TRUE(),$T38="TRUE"),1,0))</f>
        <v/>
      </c>
      <c r="X38">
        <f>IF($U38=1,IFERROR(IF(VALUE($A38)&lt;100000000,VALUE($A38),1000000000),IFERROR(IF(VALUE(MID($A38,2,20))&lt;100000000,VALUE(MID($A38,2,20)),1000000000),1000000000))+ROW()/100000,"")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IF($A39="","",E39*N39/100)</f>
        <v/>
      </c>
      <c r="J39" s="7" t="n"/>
      <c r="K39" s="7">
        <f>IF($A39="","",S39*N39)</f>
        <v/>
      </c>
      <c r="L39" s="7">
        <f>IF($A39="","",N39-K39)</f>
        <v/>
      </c>
      <c r="M39" s="7">
        <f>IF($A39="","",L39-F39)</f>
        <v/>
      </c>
      <c r="N39" s="7" t="n"/>
      <c r="Q39" s="11" t="n"/>
      <c r="S39">
        <f>IF($A39="","",IF($W39=1,Settings!$C$6,Settings!$C$7)*1)</f>
        <v/>
      </c>
      <c r="U39">
        <f>IF($A39="","",IF(COUNTIF($A$2:$A39,$A39)=1,1,0))</f>
        <v/>
      </c>
      <c r="V39">
        <f>IF($U39=1,SUMPRODUCT(--($X$2:$X$1001&lt;$X39))+1,"")</f>
        <v/>
      </c>
      <c r="W39">
        <f>IF($A39="","",IF(OR($T39=TRUE(),$T39="TRUE"),1,0))</f>
        <v/>
      </c>
      <c r="X39">
        <f>IF($U39=1,IFERROR(IF(VALUE($A39)&lt;100000000,VALUE($A39),1000000000),IFERROR(IF(VALUE(MID($A39,2,20))&lt;100000000,VALUE(MID($A39,2,20)),1000000000),1000000000))+ROW()/100000,"")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IF($A40="","",E40*N40/100)</f>
        <v/>
      </c>
      <c r="J40" s="7" t="n"/>
      <c r="K40" s="7">
        <f>IF($A40="","",S40*N40)</f>
        <v/>
      </c>
      <c r="L40" s="7">
        <f>IF($A40="","",N40-K40)</f>
        <v/>
      </c>
      <c r="M40" s="7">
        <f>IF($A40="","",L40-F40)</f>
        <v/>
      </c>
      <c r="N40" s="7" t="n"/>
      <c r="Q40" s="11" t="n"/>
      <c r="S40">
        <f>IF($A40="","",IF($W40=1,Settings!$C$6,Settings!$C$7)*1)</f>
        <v/>
      </c>
      <c r="U40">
        <f>IF($A40="","",IF(COUNTIF($A$2:$A40,$A40)=1,1,0))</f>
        <v/>
      </c>
      <c r="V40">
        <f>IF($U40=1,SUMPRODUCT(--($X$2:$X$1001&lt;$X40))+1,"")</f>
        <v/>
      </c>
      <c r="W40">
        <f>IF($A40="","",IF(OR($T40=TRUE(),$T40="TRUE"),1,0))</f>
        <v/>
      </c>
      <c r="X40">
        <f>IF($U40=1,IFERROR(IF(VALUE($A40)&lt;100000000,VALUE($A40),1000000000),IFERROR(IF(VALUE(MID($A40,2,20))&lt;100000000,VALUE(MID($A40,2,20)),1000000000),1000000000))+ROW()/100000,"")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IF($A41="","",E41*N41/100)</f>
        <v/>
      </c>
      <c r="J41" s="7" t="n"/>
      <c r="K41" s="7">
        <f>IF($A41="","",S41*N41)</f>
        <v/>
      </c>
      <c r="L41" s="7">
        <f>IF($A41="","",N41-K41)</f>
        <v/>
      </c>
      <c r="M41" s="7">
        <f>IF($A41="","",L41-F41)</f>
        <v/>
      </c>
      <c r="N41" s="7" t="n"/>
      <c r="Q41" s="11" t="n"/>
      <c r="S41">
        <f>IF($A41="","",IF($W41=1,Settings!$C$6,Settings!$C$7)*1)</f>
        <v/>
      </c>
      <c r="U41">
        <f>IF($A41="","",IF(COUNTIF($A$2:$A41,$A41)=1,1,0))</f>
        <v/>
      </c>
      <c r="V41">
        <f>IF($U41=1,SUMPRODUCT(--($X$2:$X$1001&lt;$X41))+1,"")</f>
        <v/>
      </c>
      <c r="W41">
        <f>IF($A41="","",IF(OR($T41=TRUE(),$T41="TRUE"),1,0))</f>
        <v/>
      </c>
      <c r="X41">
        <f>IF($U41=1,IFERROR(IF(VALUE($A41)&lt;100000000,VALUE($A41),1000000000),IFERROR(IF(VALUE(MID($A41,2,20))&lt;100000000,VALUE(MID($A41,2,20)),1000000000),1000000000))+ROW()/100000,"")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IF($A42="","",E42*N42/100)</f>
        <v/>
      </c>
      <c r="J42" s="7" t="n"/>
      <c r="K42" s="7">
        <f>IF($A42="","",S42*N42)</f>
        <v/>
      </c>
      <c r="L42" s="7">
        <f>IF($A42="","",N42-K42)</f>
        <v/>
      </c>
      <c r="M42" s="7">
        <f>IF($A42="","",L42-F42)</f>
        <v/>
      </c>
      <c r="N42" s="7" t="n"/>
      <c r="Q42" s="11" t="n"/>
      <c r="S42">
        <f>IF($A42="","",IF($W42=1,Settings!$C$6,Settings!$C$7)*1)</f>
        <v/>
      </c>
      <c r="U42">
        <f>IF($A42="","",IF(COUNTIF($A$2:$A42,$A42)=1,1,0))</f>
        <v/>
      </c>
      <c r="V42">
        <f>IF($U42=1,SUMPRODUCT(--($X$2:$X$1001&lt;$X42))+1,"")</f>
        <v/>
      </c>
      <c r="W42">
        <f>IF($A42="","",IF(OR($T42=TRUE(),$T42="TRUE"),1,0))</f>
        <v/>
      </c>
      <c r="X42">
        <f>IF($U42=1,IFERROR(IF(VALUE($A42)&lt;100000000,VALUE($A42),1000000000),IFERROR(IF(VALUE(MID($A42,2,20))&lt;100000000,VALUE(MID($A42,2,20)),1000000000),1000000000))+ROW()/100000,"")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IF($A43="","",E43*N43/100)</f>
        <v/>
      </c>
      <c r="J43" s="7" t="n"/>
      <c r="K43" s="7">
        <f>IF($A43="","",S43*N43)</f>
        <v/>
      </c>
      <c r="L43" s="7">
        <f>IF($A43="","",N43-K43)</f>
        <v/>
      </c>
      <c r="M43" s="7">
        <f>IF($A43="","",L43-F43)</f>
        <v/>
      </c>
      <c r="N43" s="7" t="n"/>
      <c r="Q43" s="11" t="n"/>
      <c r="S43">
        <f>IF($A43="","",IF($W43=1,Settings!$C$6,Settings!$C$7)*1)</f>
        <v/>
      </c>
      <c r="U43">
        <f>IF($A43="","",IF(COUNTIF($A$2:$A43,$A43)=1,1,0))</f>
        <v/>
      </c>
      <c r="V43">
        <f>IF($U43=1,SUMPRODUCT(--($X$2:$X$1001&lt;$X43))+1,"")</f>
        <v/>
      </c>
      <c r="W43">
        <f>IF($A43="","",IF(OR($T43=TRUE(),$T43="TRUE"),1,0))</f>
        <v/>
      </c>
      <c r="X43">
        <f>IF($U43=1,IFERROR(IF(VALUE($A43)&lt;100000000,VALUE($A43),1000000000),IFERROR(IF(VALUE(MID($A43,2,20))&lt;100000000,VALUE(MID($A43,2,20)),1000000000),1000000000))+ROW()/100000,"")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IF($A44="","",E44*N44/100)</f>
        <v/>
      </c>
      <c r="J44" s="7" t="n"/>
      <c r="K44" s="7">
        <f>IF($A44="","",S44*N44)</f>
        <v/>
      </c>
      <c r="L44" s="7">
        <f>IF($A44="","",N44-K44)</f>
        <v/>
      </c>
      <c r="M44" s="7">
        <f>IF($A44="","",L44-F44)</f>
        <v/>
      </c>
      <c r="N44" s="7" t="n"/>
      <c r="Q44" s="11" t="n"/>
      <c r="S44">
        <f>IF($A44="","",IF($W44=1,Settings!$C$6,Settings!$C$7)*1)</f>
        <v/>
      </c>
      <c r="U44">
        <f>IF($A44="","",IF(COUNTIF($A$2:$A44,$A44)=1,1,0))</f>
        <v/>
      </c>
      <c r="V44">
        <f>IF($U44=1,SUMPRODUCT(--($X$2:$X$1001&lt;$X44))+1,"")</f>
        <v/>
      </c>
      <c r="W44">
        <f>IF($A44="","",IF(OR($T44=TRUE(),$T44="TRUE"),1,0))</f>
        <v/>
      </c>
      <c r="X44">
        <f>IF($U44=1,IFERROR(IF(VALUE($A44)&lt;100000000,VALUE($A44),1000000000),IFERROR(IF(VALUE(MID($A44,2,20))&lt;100000000,VALUE(MID($A44,2,20)),1000000000),1000000000))+ROW()/100000,"")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IF($A45="","",E45*N45/100)</f>
        <v/>
      </c>
      <c r="J45" s="7" t="n"/>
      <c r="K45" s="7">
        <f>IF($A45="","",S45*N45)</f>
        <v/>
      </c>
      <c r="L45" s="7">
        <f>IF($A45="","",N45-K45)</f>
        <v/>
      </c>
      <c r="M45" s="7">
        <f>IF($A45="","",L45-F45)</f>
        <v/>
      </c>
      <c r="N45" s="7" t="n"/>
      <c r="Q45" s="11" t="n"/>
      <c r="S45">
        <f>IF($A45="","",IF($W45=1,Settings!$C$6,Settings!$C$7)*1)</f>
        <v/>
      </c>
      <c r="U45">
        <f>IF($A45="","",IF(COUNTIF($A$2:$A45,$A45)=1,1,0))</f>
        <v/>
      </c>
      <c r="V45">
        <f>IF($U45=1,SUMPRODUCT(--($X$2:$X$1001&lt;$X45))+1,"")</f>
        <v/>
      </c>
      <c r="W45">
        <f>IF($A45="","",IF(OR($T45=TRUE(),$T45="TRUE"),1,0))</f>
        <v/>
      </c>
      <c r="X45">
        <f>IF($U45=1,IFERROR(IF(VALUE($A45)&lt;100000000,VALUE($A45),1000000000),IFERROR(IF(VALUE(MID($A45,2,20))&lt;100000000,VALUE(MID($A45,2,20)),1000000000),1000000000))+ROW()/100000,"")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IF($A46="","",E46*N46/100)</f>
        <v/>
      </c>
      <c r="J46" s="7" t="n"/>
      <c r="K46" s="7">
        <f>IF($A46="","",S46*N46)</f>
        <v/>
      </c>
      <c r="L46" s="7">
        <f>IF($A46="","",N46-K46)</f>
        <v/>
      </c>
      <c r="M46" s="7">
        <f>IF($A46="","",L46-F46)</f>
        <v/>
      </c>
      <c r="N46" s="7" t="n"/>
      <c r="Q46" s="11" t="n"/>
      <c r="S46">
        <f>IF($A46="","",IF($W46=1,Settings!$C$6,Settings!$C$7)*1)</f>
        <v/>
      </c>
      <c r="U46">
        <f>IF($A46="","",IF(COUNTIF($A$2:$A46,$A46)=1,1,0))</f>
        <v/>
      </c>
      <c r="V46">
        <f>IF($U46=1,SUMPRODUCT(--($X$2:$X$1001&lt;$X46))+1,"")</f>
        <v/>
      </c>
      <c r="W46">
        <f>IF($A46="","",IF(OR($T46=TRUE(),$T46="TRUE"),1,0))</f>
        <v/>
      </c>
      <c r="X46">
        <f>IF($U46=1,IFERROR(IF(VALUE($A46)&lt;100000000,VALUE($A46),1000000000),IFERROR(IF(VALUE(MID($A46,2,20))&lt;100000000,VALUE(MID($A46,2,20)),1000000000),1000000000))+ROW()/100000,"")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IF($A47="","",E47*N47/100)</f>
        <v/>
      </c>
      <c r="J47" s="7" t="n"/>
      <c r="K47" s="7">
        <f>IF($A47="","",S47*N47)</f>
        <v/>
      </c>
      <c r="L47" s="7">
        <f>IF($A47="","",N47-K47)</f>
        <v/>
      </c>
      <c r="M47" s="7">
        <f>IF($A47="","",L47-F47)</f>
        <v/>
      </c>
      <c r="N47" s="7" t="n"/>
      <c r="Q47" s="11" t="n"/>
      <c r="S47">
        <f>IF($A47="","",IF($W47=1,Settings!$C$6,Settings!$C$7)*1)</f>
        <v/>
      </c>
      <c r="U47">
        <f>IF($A47="","",IF(COUNTIF($A$2:$A47,$A47)=1,1,0))</f>
        <v/>
      </c>
      <c r="V47">
        <f>IF($U47=1,SUMPRODUCT(--($X$2:$X$1001&lt;$X47))+1,"")</f>
        <v/>
      </c>
      <c r="W47">
        <f>IF($A47="","",IF(OR($T47=TRUE(),$T47="TRUE"),1,0))</f>
        <v/>
      </c>
      <c r="X47">
        <f>IF($U47=1,IFERROR(IF(VALUE($A47)&lt;100000000,VALUE($A47),1000000000),IFERROR(IF(VALUE(MID($A47,2,20))&lt;100000000,VALUE(MID($A47,2,20)),1000000000),1000000000))+ROW()/100000,"")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IF($A48="","",E48*N48/100)</f>
        <v/>
      </c>
      <c r="J48" s="7" t="n"/>
      <c r="K48" s="7">
        <f>IF($A48="","",S48*N48)</f>
        <v/>
      </c>
      <c r="L48" s="7">
        <f>IF($A48="","",N48-K48)</f>
        <v/>
      </c>
      <c r="M48" s="7">
        <f>IF($A48="","",L48-F48)</f>
        <v/>
      </c>
      <c r="N48" s="7" t="n"/>
      <c r="Q48" s="11" t="n"/>
      <c r="S48">
        <f>IF($A48="","",IF($W48=1,Settings!$C$6,Settings!$C$7)*1)</f>
        <v/>
      </c>
      <c r="U48">
        <f>IF($A48="","",IF(COUNTIF($A$2:$A48,$A48)=1,1,0))</f>
        <v/>
      </c>
      <c r="V48">
        <f>IF($U48=1,SUMPRODUCT(--($X$2:$X$1001&lt;$X48))+1,"")</f>
        <v/>
      </c>
      <c r="W48">
        <f>IF($A48="","",IF(OR($T48=TRUE(),$T48="TRUE"),1,0))</f>
        <v/>
      </c>
      <c r="X48">
        <f>IF($U48=1,IFERROR(IF(VALUE($A48)&lt;100000000,VALUE($A48),1000000000),IFERROR(IF(VALUE(MID($A48,2,20))&lt;100000000,VALUE(MID($A48,2,20)),1000000000),1000000000))+ROW()/100000,"")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IF($A49="","",E49*N49/100)</f>
        <v/>
      </c>
      <c r="J49" s="7" t="n"/>
      <c r="K49" s="7">
        <f>IF($A49="","",S49*N49)</f>
        <v/>
      </c>
      <c r="L49" s="7">
        <f>IF($A49="","",N49-K49)</f>
        <v/>
      </c>
      <c r="M49" s="7">
        <f>IF($A49="","",L49-F49)</f>
        <v/>
      </c>
      <c r="N49" s="7" t="n"/>
      <c r="Q49" s="11" t="n"/>
      <c r="S49">
        <f>IF($A49="","",IF($W49=1,Settings!$C$6,Settings!$C$7)*1)</f>
        <v/>
      </c>
      <c r="U49">
        <f>IF($A49="","",IF(COUNTIF($A$2:$A49,$A49)=1,1,0))</f>
        <v/>
      </c>
      <c r="V49">
        <f>IF($U49=1,SUMPRODUCT(--($X$2:$X$1001&lt;$X49))+1,"")</f>
        <v/>
      </c>
      <c r="W49">
        <f>IF($A49="","",IF(OR($T49=TRUE(),$T49="TRUE"),1,0))</f>
        <v/>
      </c>
      <c r="X49">
        <f>IF($U49=1,IFERROR(IF(VALUE($A49)&lt;100000000,VALUE($A49),1000000000),IFERROR(IF(VALUE(MID($A49,2,20))&lt;100000000,VALUE(MID($A49,2,20)),1000000000),1000000000))+ROW()/100000,"")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IF($A50="","",E50*N50/100)</f>
        <v/>
      </c>
      <c r="J50" s="7" t="n"/>
      <c r="K50" s="7">
        <f>IF($A50="","",S50*N50)</f>
        <v/>
      </c>
      <c r="L50" s="7">
        <f>IF($A50="","",N50-K50)</f>
        <v/>
      </c>
      <c r="M50" s="7">
        <f>IF($A50="","",L50-F50)</f>
        <v/>
      </c>
      <c r="N50" s="7" t="n"/>
      <c r="Q50" s="11" t="n"/>
      <c r="S50">
        <f>IF($A50="","",IF($W50=1,Settings!$C$6,Settings!$C$7)*1)</f>
        <v/>
      </c>
      <c r="U50">
        <f>IF($A50="","",IF(COUNTIF($A$2:$A50,$A50)=1,1,0))</f>
        <v/>
      </c>
      <c r="V50">
        <f>IF($U50=1,SUMPRODUCT(--($X$2:$X$1001&lt;$X50))+1,"")</f>
        <v/>
      </c>
      <c r="W50">
        <f>IF($A50="","",IF(OR($T50=TRUE(),$T50="TRUE"),1,0))</f>
        <v/>
      </c>
      <c r="X50">
        <f>IF($U50=1,IFERROR(IF(VALUE($A50)&lt;100000000,VALUE($A50),1000000000),IFERROR(IF(VALUE(MID($A50,2,20))&lt;100000000,VALUE(MID($A50,2,20)),1000000000),1000000000))+ROW()/100000,"")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IF($A51="","",E51*N51/100)</f>
        <v/>
      </c>
      <c r="J51" s="7" t="n"/>
      <c r="K51" s="7">
        <f>IF($A51="","",S51*N51)</f>
        <v/>
      </c>
      <c r="L51" s="7">
        <f>IF($A51="","",N51-K51)</f>
        <v/>
      </c>
      <c r="M51" s="7">
        <f>IF($A51="","",L51-F51)</f>
        <v/>
      </c>
      <c r="N51" s="7" t="n"/>
      <c r="Q51" s="11" t="n"/>
      <c r="S51">
        <f>IF($A51="","",IF($W51=1,Settings!$C$6,Settings!$C$7)*1)</f>
        <v/>
      </c>
      <c r="U51">
        <f>IF($A51="","",IF(COUNTIF($A$2:$A51,$A51)=1,1,0))</f>
        <v/>
      </c>
      <c r="V51">
        <f>IF($U51=1,SUMPRODUCT(--($X$2:$X$1001&lt;$X51))+1,"")</f>
        <v/>
      </c>
      <c r="W51">
        <f>IF($A51="","",IF(OR($T51=TRUE(),$T51="TRUE"),1,0))</f>
        <v/>
      </c>
      <c r="X51">
        <f>IF($U51=1,IFERROR(IF(VALUE($A51)&lt;100000000,VALUE($A51),1000000000),IFERROR(IF(VALUE(MID($A51,2,20))&lt;100000000,VALUE(MID($A51,2,20)),1000000000),1000000000))+ROW()/100000,"")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IF($A52="","",E52*N52/100)</f>
        <v/>
      </c>
      <c r="J52" s="7" t="n"/>
      <c r="K52" s="7">
        <f>IF($A52="","",S52*N52)</f>
        <v/>
      </c>
      <c r="L52" s="7">
        <f>IF($A52="","",N52-K52)</f>
        <v/>
      </c>
      <c r="M52" s="7">
        <f>IF($A52="","",L52-F52)</f>
        <v/>
      </c>
      <c r="N52" s="7" t="n"/>
      <c r="Q52" s="11" t="n"/>
      <c r="S52">
        <f>IF($A52="","",IF($W52=1,Settings!$C$6,Settings!$C$7)*1)</f>
        <v/>
      </c>
      <c r="U52">
        <f>IF($A52="","",IF(COUNTIF($A$2:$A52,$A52)=1,1,0))</f>
        <v/>
      </c>
      <c r="V52">
        <f>IF($U52=1,SUMPRODUCT(--($X$2:$X$1001&lt;$X52))+1,"")</f>
        <v/>
      </c>
      <c r="W52">
        <f>IF($A52="","",IF(OR($T52=TRUE(),$T52="TRUE"),1,0))</f>
        <v/>
      </c>
      <c r="X52">
        <f>IF($U52=1,IFERROR(IF(VALUE($A52)&lt;100000000,VALUE($A52),1000000000),IFERROR(IF(VALUE(MID($A52,2,20))&lt;100000000,VALUE(MID($A52,2,20)),1000000000),1000000000))+ROW()/100000,"")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IF($A53="","",E53*N53/100)</f>
        <v/>
      </c>
      <c r="J53" s="7" t="n"/>
      <c r="K53" s="7">
        <f>IF($A53="","",S53*N53)</f>
        <v/>
      </c>
      <c r="L53" s="7">
        <f>IF($A53="","",N53-K53)</f>
        <v/>
      </c>
      <c r="M53" s="7">
        <f>IF($A53="","",L53-F53)</f>
        <v/>
      </c>
      <c r="N53" s="7" t="n"/>
      <c r="Q53" s="11" t="n"/>
      <c r="S53">
        <f>IF($A53="","",IF($W53=1,Settings!$C$6,Settings!$C$7)*1)</f>
        <v/>
      </c>
      <c r="U53">
        <f>IF($A53="","",IF(COUNTIF($A$2:$A53,$A53)=1,1,0))</f>
        <v/>
      </c>
      <c r="V53">
        <f>IF($U53=1,SUMPRODUCT(--($X$2:$X$1001&lt;$X53))+1,"")</f>
        <v/>
      </c>
      <c r="W53">
        <f>IF($A53="","",IF(OR($T53=TRUE(),$T53="TRUE"),1,0))</f>
        <v/>
      </c>
      <c r="X53">
        <f>IF($U53=1,IFERROR(IF(VALUE($A53)&lt;100000000,VALUE($A53),1000000000),IFERROR(IF(VALUE(MID($A53,2,20))&lt;100000000,VALUE(MID($A53,2,20)),1000000000),1000000000))+ROW()/100000,"")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IF($A54="","",E54*N54/100)</f>
        <v/>
      </c>
      <c r="J54" s="7" t="n"/>
      <c r="K54" s="7">
        <f>IF($A54="","",S54*N54)</f>
        <v/>
      </c>
      <c r="L54" s="7">
        <f>IF($A54="","",N54-K54)</f>
        <v/>
      </c>
      <c r="M54" s="7">
        <f>IF($A54="","",L54-F54)</f>
        <v/>
      </c>
      <c r="N54" s="7" t="n"/>
      <c r="Q54" s="11" t="n"/>
      <c r="S54">
        <f>IF($A54="","",IF($W54=1,Settings!$C$6,Settings!$C$7)*1)</f>
        <v/>
      </c>
      <c r="U54">
        <f>IF($A54="","",IF(COUNTIF($A$2:$A54,$A54)=1,1,0))</f>
        <v/>
      </c>
      <c r="V54">
        <f>IF($U54=1,SUMPRODUCT(--($X$2:$X$1001&lt;$X54))+1,"")</f>
        <v/>
      </c>
      <c r="W54">
        <f>IF($A54="","",IF(OR($T54=TRUE(),$T54="TRUE"),1,0))</f>
        <v/>
      </c>
      <c r="X54">
        <f>IF($U54=1,IFERROR(IF(VALUE($A54)&lt;100000000,VALUE($A54),1000000000),IFERROR(IF(VALUE(MID($A54,2,20))&lt;100000000,VALUE(MID($A54,2,20)),1000000000),1000000000))+ROW()/100000,"")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IF($A55="","",E55*N55/100)</f>
        <v/>
      </c>
      <c r="J55" s="7" t="n"/>
      <c r="K55" s="7">
        <f>IF($A55="","",S55*N55)</f>
        <v/>
      </c>
      <c r="L55" s="7">
        <f>IF($A55="","",N55-K55)</f>
        <v/>
      </c>
      <c r="M55" s="7">
        <f>IF($A55="","",L55-F55)</f>
        <v/>
      </c>
      <c r="N55" s="7" t="n"/>
      <c r="Q55" s="11" t="n"/>
      <c r="S55">
        <f>IF($A55="","",IF($W55=1,Settings!$C$6,Settings!$C$7)*1)</f>
        <v/>
      </c>
      <c r="U55">
        <f>IF($A55="","",IF(COUNTIF($A$2:$A55,$A55)=1,1,0))</f>
        <v/>
      </c>
      <c r="V55">
        <f>IF($U55=1,SUMPRODUCT(--($X$2:$X$1001&lt;$X55))+1,"")</f>
        <v/>
      </c>
      <c r="W55">
        <f>IF($A55="","",IF(OR($T55=TRUE(),$T55="TRUE"),1,0))</f>
        <v/>
      </c>
      <c r="X55">
        <f>IF($U55=1,IFERROR(IF(VALUE($A55)&lt;100000000,VALUE($A55),1000000000),IFERROR(IF(VALUE(MID($A55,2,20))&lt;100000000,VALUE(MID($A55,2,20)),1000000000),1000000000))+ROW()/100000,"")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IF($A56="","",E56*N56/100)</f>
        <v/>
      </c>
      <c r="J56" s="7" t="n"/>
      <c r="K56" s="7">
        <f>IF($A56="","",S56*N56)</f>
        <v/>
      </c>
      <c r="L56" s="7">
        <f>IF($A56="","",N56-K56)</f>
        <v/>
      </c>
      <c r="M56" s="7">
        <f>IF($A56="","",L56-F56)</f>
        <v/>
      </c>
      <c r="N56" s="7" t="n"/>
      <c r="Q56" s="11" t="n"/>
      <c r="S56">
        <f>IF($A56="","",IF($W56=1,Settings!$C$6,Settings!$C$7)*1)</f>
        <v/>
      </c>
      <c r="U56">
        <f>IF($A56="","",IF(COUNTIF($A$2:$A56,$A56)=1,1,0))</f>
        <v/>
      </c>
      <c r="V56">
        <f>IF($U56=1,SUMPRODUCT(--($X$2:$X$1001&lt;$X56))+1,"")</f>
        <v/>
      </c>
      <c r="W56">
        <f>IF($A56="","",IF(OR($T56=TRUE(),$T56="TRUE"),1,0))</f>
        <v/>
      </c>
      <c r="X56">
        <f>IF($U56=1,IFERROR(IF(VALUE($A56)&lt;100000000,VALUE($A56),1000000000),IFERROR(IF(VALUE(MID($A56,2,20))&lt;100000000,VALUE(MID($A56,2,20)),1000000000),1000000000))+ROW()/100000,"")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IF($A57="","",E57*N57/100)</f>
        <v/>
      </c>
      <c r="J57" s="7" t="n"/>
      <c r="K57" s="7">
        <f>IF($A57="","",S57*N57)</f>
        <v/>
      </c>
      <c r="L57" s="7">
        <f>IF($A57="","",N57-K57)</f>
        <v/>
      </c>
      <c r="M57" s="7">
        <f>IF($A57="","",L57-F57)</f>
        <v/>
      </c>
      <c r="N57" s="7" t="n"/>
      <c r="Q57" s="11" t="n"/>
      <c r="S57">
        <f>IF($A57="","",IF($W57=1,Settings!$C$6,Settings!$C$7)*1)</f>
        <v/>
      </c>
      <c r="U57">
        <f>IF($A57="","",IF(COUNTIF($A$2:$A57,$A57)=1,1,0))</f>
        <v/>
      </c>
      <c r="V57">
        <f>IF($U57=1,SUMPRODUCT(--($X$2:$X$1001&lt;$X57))+1,"")</f>
        <v/>
      </c>
      <c r="W57">
        <f>IF($A57="","",IF(OR($T57=TRUE(),$T57="TRUE"),1,0))</f>
        <v/>
      </c>
      <c r="X57">
        <f>IF($U57=1,IFERROR(IF(VALUE($A57)&lt;100000000,VALUE($A57),1000000000),IFERROR(IF(VALUE(MID($A57,2,20))&lt;100000000,VALUE(MID($A57,2,20)),1000000000),1000000000))+ROW()/100000,"")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IF($A58="","",E58*N58/100)</f>
        <v/>
      </c>
      <c r="J58" s="7" t="n"/>
      <c r="K58" s="7">
        <f>IF($A58="","",S58*N58)</f>
        <v/>
      </c>
      <c r="L58" s="7">
        <f>IF($A58="","",N58-K58)</f>
        <v/>
      </c>
      <c r="M58" s="7">
        <f>IF($A58="","",L58-F58)</f>
        <v/>
      </c>
      <c r="N58" s="7" t="n"/>
      <c r="Q58" s="11" t="n"/>
      <c r="S58">
        <f>IF($A58="","",IF($W58=1,Settings!$C$6,Settings!$C$7)*1)</f>
        <v/>
      </c>
      <c r="U58">
        <f>IF($A58="","",IF(COUNTIF($A$2:$A58,$A58)=1,1,0))</f>
        <v/>
      </c>
      <c r="V58">
        <f>IF($U58=1,SUMPRODUCT(--($X$2:$X$1001&lt;$X58))+1,"")</f>
        <v/>
      </c>
      <c r="W58">
        <f>IF($A58="","",IF(OR($T58=TRUE(),$T58="TRUE"),1,0))</f>
        <v/>
      </c>
      <c r="X58">
        <f>IF($U58=1,IFERROR(IF(VALUE($A58)&lt;100000000,VALUE($A58),1000000000),IFERROR(IF(VALUE(MID($A58,2,20))&lt;100000000,VALUE(MID($A58,2,20)),1000000000),1000000000))+ROW()/100000,"")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IF($A59="","",E59*N59/100)</f>
        <v/>
      </c>
      <c r="J59" s="7" t="n"/>
      <c r="K59" s="7">
        <f>IF($A59="","",S59*N59)</f>
        <v/>
      </c>
      <c r="L59" s="7">
        <f>IF($A59="","",N59-K59)</f>
        <v/>
      </c>
      <c r="M59" s="7">
        <f>IF($A59="","",L59-F59)</f>
        <v/>
      </c>
      <c r="N59" s="7" t="n"/>
      <c r="Q59" s="11" t="n"/>
      <c r="S59">
        <f>IF($A59="","",IF($W59=1,Settings!$C$6,Settings!$C$7)*1)</f>
        <v/>
      </c>
      <c r="U59">
        <f>IF($A59="","",IF(COUNTIF($A$2:$A59,$A59)=1,1,0))</f>
        <v/>
      </c>
      <c r="V59">
        <f>IF($U59=1,SUMPRODUCT(--($X$2:$X$1001&lt;$X59))+1,"")</f>
        <v/>
      </c>
      <c r="W59">
        <f>IF($A59="","",IF(OR($T59=TRUE(),$T59="TRUE"),1,0))</f>
        <v/>
      </c>
      <c r="X59">
        <f>IF($U59=1,IFERROR(IF(VALUE($A59)&lt;100000000,VALUE($A59),1000000000),IFERROR(IF(VALUE(MID($A59,2,20))&lt;100000000,VALUE(MID($A59,2,20)),1000000000),1000000000))+ROW()/100000,"")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IF($A60="","",E60*N60/100)</f>
        <v/>
      </c>
      <c r="J60" s="7" t="n"/>
      <c r="K60" s="7">
        <f>IF($A60="","",S60*N60)</f>
        <v/>
      </c>
      <c r="L60" s="7">
        <f>IF($A60="","",N60-K60)</f>
        <v/>
      </c>
      <c r="M60" s="7">
        <f>IF($A60="","",L60-F60)</f>
        <v/>
      </c>
      <c r="N60" s="7" t="n"/>
      <c r="Q60" s="11" t="n"/>
      <c r="S60">
        <f>IF($A60="","",IF($W60=1,Settings!$C$6,Settings!$C$7)*1)</f>
        <v/>
      </c>
      <c r="U60">
        <f>IF($A60="","",IF(COUNTIF($A$2:$A60,$A60)=1,1,0))</f>
        <v/>
      </c>
      <c r="V60">
        <f>IF($U60=1,SUMPRODUCT(--($X$2:$X$1001&lt;$X60))+1,"")</f>
        <v/>
      </c>
      <c r="W60">
        <f>IF($A60="","",IF(OR($T60=TRUE(),$T60="TRUE"),1,0))</f>
        <v/>
      </c>
      <c r="X60">
        <f>IF($U60=1,IFERROR(IF(VALUE($A60)&lt;100000000,VALUE($A60),1000000000),IFERROR(IF(VALUE(MID($A60,2,20))&lt;100000000,VALUE(MID($A60,2,20)),1000000000),1000000000))+ROW()/100000,"")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IF($A61="","",E61*N61/100)</f>
        <v/>
      </c>
      <c r="J61" s="7" t="n"/>
      <c r="K61" s="7">
        <f>IF($A61="","",S61*N61)</f>
        <v/>
      </c>
      <c r="L61" s="7">
        <f>IF($A61="","",N61-K61)</f>
        <v/>
      </c>
      <c r="M61" s="7">
        <f>IF($A61="","",L61-F61)</f>
        <v/>
      </c>
      <c r="N61" s="7" t="n"/>
      <c r="Q61" s="11" t="n"/>
      <c r="S61">
        <f>IF($A61="","",IF($W61=1,Settings!$C$6,Settings!$C$7)*1)</f>
        <v/>
      </c>
      <c r="U61">
        <f>IF($A61="","",IF(COUNTIF($A$2:$A61,$A61)=1,1,0))</f>
        <v/>
      </c>
      <c r="V61">
        <f>IF($U61=1,SUMPRODUCT(--($X$2:$X$1001&lt;$X61))+1,"")</f>
        <v/>
      </c>
      <c r="W61">
        <f>IF($A61="","",IF(OR($T61=TRUE(),$T61="TRUE"),1,0))</f>
        <v/>
      </c>
      <c r="X61">
        <f>IF($U61=1,IFERROR(IF(VALUE($A61)&lt;100000000,VALUE($A61),1000000000),IFERROR(IF(VALUE(MID($A61,2,20))&lt;100000000,VALUE(MID($A61,2,20)),1000000000),1000000000))+ROW()/100000,"")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IF($A62="","",E62*N62/100)</f>
        <v/>
      </c>
      <c r="J62" s="7" t="n"/>
      <c r="K62" s="7">
        <f>IF($A62="","",S62*N62)</f>
        <v/>
      </c>
      <c r="L62" s="7">
        <f>IF($A62="","",N62-K62)</f>
        <v/>
      </c>
      <c r="M62" s="7">
        <f>IF($A62="","",L62-F62)</f>
        <v/>
      </c>
      <c r="N62" s="7" t="n"/>
      <c r="Q62" s="11" t="n"/>
      <c r="S62">
        <f>IF($A62="","",IF($W62=1,Settings!$C$6,Settings!$C$7)*1)</f>
        <v/>
      </c>
      <c r="U62">
        <f>IF($A62="","",IF(COUNTIF($A$2:$A62,$A62)=1,1,0))</f>
        <v/>
      </c>
      <c r="V62">
        <f>IF($U62=1,SUMPRODUCT(--($X$2:$X$1001&lt;$X62))+1,"")</f>
        <v/>
      </c>
      <c r="W62">
        <f>IF($A62="","",IF(OR($T62=TRUE(),$T62="TRUE"),1,0))</f>
        <v/>
      </c>
      <c r="X62">
        <f>IF($U62=1,IFERROR(IF(VALUE($A62)&lt;100000000,VALUE($A62),1000000000),IFERROR(IF(VALUE(MID($A62,2,20))&lt;100000000,VALUE(MID($A62,2,20)),1000000000),1000000000))+ROW()/100000,"")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IF($A63="","",E63*N63/100)</f>
        <v/>
      </c>
      <c r="J63" s="7" t="n"/>
      <c r="K63" s="7">
        <f>IF($A63="","",S63*N63)</f>
        <v/>
      </c>
      <c r="L63" s="7">
        <f>IF($A63="","",N63-K63)</f>
        <v/>
      </c>
      <c r="M63" s="7">
        <f>IF($A63="","",L63-F63)</f>
        <v/>
      </c>
      <c r="N63" s="7" t="n"/>
      <c r="Q63" s="11" t="n"/>
      <c r="S63">
        <f>IF($A63="","",IF($W63=1,Settings!$C$6,Settings!$C$7)*1)</f>
        <v/>
      </c>
      <c r="U63">
        <f>IF($A63="","",IF(COUNTIF($A$2:$A63,$A63)=1,1,0))</f>
        <v/>
      </c>
      <c r="V63">
        <f>IF($U63=1,SUMPRODUCT(--($X$2:$X$1001&lt;$X63))+1,"")</f>
        <v/>
      </c>
      <c r="W63">
        <f>IF($A63="","",IF(OR($T63=TRUE(),$T63="TRUE"),1,0))</f>
        <v/>
      </c>
      <c r="X63">
        <f>IF($U63=1,IFERROR(IF(VALUE($A63)&lt;100000000,VALUE($A63),1000000000),IFERROR(IF(VALUE(MID($A63,2,20))&lt;100000000,VALUE(MID($A63,2,20)),1000000000),1000000000))+ROW()/100000,"")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IF($A64="","",E64*N64/100)</f>
        <v/>
      </c>
      <c r="J64" s="7" t="n"/>
      <c r="K64" s="7">
        <f>IF($A64="","",S64*N64)</f>
        <v/>
      </c>
      <c r="L64" s="7">
        <f>IF($A64="","",N64-K64)</f>
        <v/>
      </c>
      <c r="M64" s="7">
        <f>IF($A64="","",L64-F64)</f>
        <v/>
      </c>
      <c r="N64" s="7" t="n"/>
      <c r="Q64" s="11" t="n"/>
      <c r="S64">
        <f>IF($A64="","",IF($W64=1,Settings!$C$6,Settings!$C$7)*1)</f>
        <v/>
      </c>
      <c r="U64">
        <f>IF($A64="","",IF(COUNTIF($A$2:$A64,$A64)=1,1,0))</f>
        <v/>
      </c>
      <c r="V64">
        <f>IF($U64=1,SUMPRODUCT(--($X$2:$X$1001&lt;$X64))+1,"")</f>
        <v/>
      </c>
      <c r="W64">
        <f>IF($A64="","",IF(OR($T64=TRUE(),$T64="TRUE"),1,0))</f>
        <v/>
      </c>
      <c r="X64">
        <f>IF($U64=1,IFERROR(IF(VALUE($A64)&lt;100000000,VALUE($A64),1000000000),IFERROR(IF(VALUE(MID($A64,2,20))&lt;100000000,VALUE(MID($A64,2,20)),1000000000),1000000000))+ROW()/100000,"")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IF($A65="","",E65*N65/100)</f>
        <v/>
      </c>
      <c r="J65" s="7" t="n"/>
      <c r="K65" s="7">
        <f>IF($A65="","",S65*N65)</f>
        <v/>
      </c>
      <c r="L65" s="7">
        <f>IF($A65="","",N65-K65)</f>
        <v/>
      </c>
      <c r="M65" s="7">
        <f>IF($A65="","",L65-F65)</f>
        <v/>
      </c>
      <c r="N65" s="7" t="n"/>
      <c r="Q65" s="11" t="n"/>
      <c r="S65">
        <f>IF($A65="","",IF($W65=1,Settings!$C$6,Settings!$C$7)*1)</f>
        <v/>
      </c>
      <c r="U65">
        <f>IF($A65="","",IF(COUNTIF($A$2:$A65,$A65)=1,1,0))</f>
        <v/>
      </c>
      <c r="V65">
        <f>IF($U65=1,SUMPRODUCT(--($X$2:$X$1001&lt;$X65))+1,"")</f>
        <v/>
      </c>
      <c r="W65">
        <f>IF($A65="","",IF(OR($T65=TRUE(),$T65="TRUE"),1,0))</f>
        <v/>
      </c>
      <c r="X65">
        <f>IF($U65=1,IFERROR(IF(VALUE($A65)&lt;100000000,VALUE($A65),1000000000),IFERROR(IF(VALUE(MID($A65,2,20))&lt;100000000,VALUE(MID($A65,2,20)),1000000000),1000000000))+ROW()/100000,"")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IF($A66="","",E66*N66/100)</f>
        <v/>
      </c>
      <c r="J66" s="7" t="n"/>
      <c r="K66" s="7">
        <f>IF($A66="","",S66*N66)</f>
        <v/>
      </c>
      <c r="L66" s="7">
        <f>IF($A66="","",N66-K66)</f>
        <v/>
      </c>
      <c r="M66" s="7">
        <f>IF($A66="","",L66-F66)</f>
        <v/>
      </c>
      <c r="N66" s="7" t="n"/>
      <c r="Q66" s="11" t="n"/>
      <c r="S66">
        <f>IF($A66="","",IF($W66=1,Settings!$C$6,Settings!$C$7)*1)</f>
        <v/>
      </c>
      <c r="U66">
        <f>IF($A66="","",IF(COUNTIF($A$2:$A66,$A66)=1,1,0))</f>
        <v/>
      </c>
      <c r="V66">
        <f>IF($U66=1,SUMPRODUCT(--($X$2:$X$1001&lt;$X66))+1,"")</f>
        <v/>
      </c>
      <c r="W66">
        <f>IF($A66="","",IF(OR($T66=TRUE(),$T66="TRUE"),1,0))</f>
        <v/>
      </c>
      <c r="X66">
        <f>IF($U66=1,IFERROR(IF(VALUE($A66)&lt;100000000,VALUE($A66),1000000000),IFERROR(IF(VALUE(MID($A66,2,20))&lt;100000000,VALUE(MID($A66,2,20)),1000000000),1000000000))+ROW()/100000,"")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IF($A67="","",E67*N67/100)</f>
        <v/>
      </c>
      <c r="J67" s="7" t="n"/>
      <c r="K67" s="7">
        <f>IF($A67="","",S67*N67)</f>
        <v/>
      </c>
      <c r="L67" s="7">
        <f>IF($A67="","",N67-K67)</f>
        <v/>
      </c>
      <c r="M67" s="7">
        <f>IF($A67="","",L67-F67)</f>
        <v/>
      </c>
      <c r="N67" s="7" t="n"/>
      <c r="Q67" s="11" t="n"/>
      <c r="S67">
        <f>IF($A67="","",IF($W67=1,Settings!$C$6,Settings!$C$7)*1)</f>
        <v/>
      </c>
      <c r="U67">
        <f>IF($A67="","",IF(COUNTIF($A$2:$A67,$A67)=1,1,0))</f>
        <v/>
      </c>
      <c r="V67">
        <f>IF($U67=1,SUMPRODUCT(--($X$2:$X$1001&lt;$X67))+1,"")</f>
        <v/>
      </c>
      <c r="W67">
        <f>IF($A67="","",IF(OR($T67=TRUE(),$T67="TRUE"),1,0))</f>
        <v/>
      </c>
      <c r="X67">
        <f>IF($U67=1,IFERROR(IF(VALUE($A67)&lt;100000000,VALUE($A67),1000000000),IFERROR(IF(VALUE(MID($A67,2,20))&lt;100000000,VALUE(MID($A67,2,20)),1000000000),1000000000))+ROW()/100000,"")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IF($A68="","",E68*N68/100)</f>
        <v/>
      </c>
      <c r="J68" s="7" t="n"/>
      <c r="K68" s="7">
        <f>IF($A68="","",S68*N68)</f>
        <v/>
      </c>
      <c r="L68" s="7">
        <f>IF($A68="","",N68-K68)</f>
        <v/>
      </c>
      <c r="M68" s="7">
        <f>IF($A68="","",L68-F68)</f>
        <v/>
      </c>
      <c r="N68" s="7" t="n"/>
      <c r="Q68" s="11" t="n"/>
      <c r="S68">
        <f>IF($A68="","",IF($W68=1,Settings!$C$6,Settings!$C$7)*1)</f>
        <v/>
      </c>
      <c r="U68">
        <f>IF($A68="","",IF(COUNTIF($A$2:$A68,$A68)=1,1,0))</f>
        <v/>
      </c>
      <c r="V68">
        <f>IF($U68=1,SUMPRODUCT(--($X$2:$X$1001&lt;$X68))+1,"")</f>
        <v/>
      </c>
      <c r="W68">
        <f>IF($A68="","",IF(OR($T68=TRUE(),$T68="TRUE"),1,0))</f>
        <v/>
      </c>
      <c r="X68">
        <f>IF($U68=1,IFERROR(IF(VALUE($A68)&lt;100000000,VALUE($A68),1000000000),IFERROR(IF(VALUE(MID($A68,2,20))&lt;100000000,VALUE(MID($A68,2,20)),1000000000),1000000000))+ROW()/100000,"")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IF($A69="","",E69*N69/100)</f>
        <v/>
      </c>
      <c r="J69" s="7" t="n"/>
      <c r="K69" s="7">
        <f>IF($A69="","",S69*N69)</f>
        <v/>
      </c>
      <c r="L69" s="7">
        <f>IF($A69="","",N69-K69)</f>
        <v/>
      </c>
      <c r="M69" s="7">
        <f>IF($A69="","",L69-F69)</f>
        <v/>
      </c>
      <c r="N69" s="7" t="n"/>
      <c r="Q69" s="11" t="n"/>
      <c r="S69">
        <f>IF($A69="","",IF($W69=1,Settings!$C$6,Settings!$C$7)*1)</f>
        <v/>
      </c>
      <c r="U69">
        <f>IF($A69="","",IF(COUNTIF($A$2:$A69,$A69)=1,1,0))</f>
        <v/>
      </c>
      <c r="V69">
        <f>IF($U69=1,SUMPRODUCT(--($X$2:$X$1001&lt;$X69))+1,"")</f>
        <v/>
      </c>
      <c r="W69">
        <f>IF($A69="","",IF(OR($T69=TRUE(),$T69="TRUE"),1,0))</f>
        <v/>
      </c>
      <c r="X69">
        <f>IF($U69=1,IFERROR(IF(VALUE($A69)&lt;100000000,VALUE($A69),1000000000),IFERROR(IF(VALUE(MID($A69,2,20))&lt;100000000,VALUE(MID($A69,2,20)),1000000000),1000000000))+ROW()/100000,"")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IF($A70="","",E70*N70/100)</f>
        <v/>
      </c>
      <c r="J70" s="7" t="n"/>
      <c r="K70" s="7">
        <f>IF($A70="","",S70*N70)</f>
        <v/>
      </c>
      <c r="L70" s="7">
        <f>IF($A70="","",N70-K70)</f>
        <v/>
      </c>
      <c r="M70" s="7">
        <f>IF($A70="","",L70-F70)</f>
        <v/>
      </c>
      <c r="N70" s="7" t="n"/>
      <c r="Q70" s="11" t="n"/>
      <c r="S70">
        <f>IF($A70="","",IF($W70=1,Settings!$C$6,Settings!$C$7)*1)</f>
        <v/>
      </c>
      <c r="U70">
        <f>IF($A70="","",IF(COUNTIF($A$2:$A70,$A70)=1,1,0))</f>
        <v/>
      </c>
      <c r="V70">
        <f>IF($U70=1,SUMPRODUCT(--($X$2:$X$1001&lt;$X70))+1,"")</f>
        <v/>
      </c>
      <c r="W70">
        <f>IF($A70="","",IF(OR($T70=TRUE(),$T70="TRUE"),1,0))</f>
        <v/>
      </c>
      <c r="X70">
        <f>IF($U70=1,IFERROR(IF(VALUE($A70)&lt;100000000,VALUE($A70),1000000000),IFERROR(IF(VALUE(MID($A70,2,20))&lt;100000000,VALUE(MID($A70,2,20)),1000000000),1000000000))+ROW()/100000,"")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IF($A71="","",E71*N71/100)</f>
        <v/>
      </c>
      <c r="J71" s="7" t="n"/>
      <c r="K71" s="7">
        <f>IF($A71="","",S71*N71)</f>
        <v/>
      </c>
      <c r="L71" s="7">
        <f>IF($A71="","",N71-K71)</f>
        <v/>
      </c>
      <c r="M71" s="7">
        <f>IF($A71="","",L71-F71)</f>
        <v/>
      </c>
      <c r="N71" s="7" t="n"/>
      <c r="Q71" s="11" t="n"/>
      <c r="S71">
        <f>IF($A71="","",IF($W71=1,Settings!$C$6,Settings!$C$7)*1)</f>
        <v/>
      </c>
      <c r="U71">
        <f>IF($A71="","",IF(COUNTIF($A$2:$A71,$A71)=1,1,0))</f>
        <v/>
      </c>
      <c r="V71">
        <f>IF($U71=1,SUMPRODUCT(--($X$2:$X$1001&lt;$X71))+1,"")</f>
        <v/>
      </c>
      <c r="W71">
        <f>IF($A71="","",IF(OR($T71=TRUE(),$T71="TRUE"),1,0))</f>
        <v/>
      </c>
      <c r="X71">
        <f>IF($U71=1,IFERROR(IF(VALUE($A71)&lt;100000000,VALUE($A71),1000000000),IFERROR(IF(VALUE(MID($A71,2,20))&lt;100000000,VALUE(MID($A71,2,20)),1000000000),1000000000))+ROW()/100000,"")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IF($A72="","",E72*N72/100)</f>
        <v/>
      </c>
      <c r="J72" s="7" t="n"/>
      <c r="K72" s="7">
        <f>IF($A72="","",S72*N72)</f>
        <v/>
      </c>
      <c r="L72" s="7">
        <f>IF($A72="","",N72-K72)</f>
        <v/>
      </c>
      <c r="M72" s="7">
        <f>IF($A72="","",L72-F72)</f>
        <v/>
      </c>
      <c r="N72" s="7" t="n"/>
      <c r="Q72" s="11" t="n"/>
      <c r="S72">
        <f>IF($A72="","",IF($W72=1,Settings!$C$6,Settings!$C$7)*1)</f>
        <v/>
      </c>
      <c r="U72">
        <f>IF($A72="","",IF(COUNTIF($A$2:$A72,$A72)=1,1,0))</f>
        <v/>
      </c>
      <c r="V72">
        <f>IF($U72=1,SUMPRODUCT(--($X$2:$X$1001&lt;$X72))+1,"")</f>
        <v/>
      </c>
      <c r="W72">
        <f>IF($A72="","",IF(OR($T72=TRUE(),$T72="TRUE"),1,0))</f>
        <v/>
      </c>
      <c r="X72">
        <f>IF($U72=1,IFERROR(IF(VALUE($A72)&lt;100000000,VALUE($A72),1000000000),IFERROR(IF(VALUE(MID($A72,2,20))&lt;100000000,VALUE(MID($A72,2,20)),1000000000),1000000000))+ROW()/100000,"")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IF($A73="","",E73*N73/100)</f>
        <v/>
      </c>
      <c r="J73" s="7" t="n"/>
      <c r="K73" s="7">
        <f>IF($A73="","",S73*N73)</f>
        <v/>
      </c>
      <c r="L73" s="7">
        <f>IF($A73="","",N73-K73)</f>
        <v/>
      </c>
      <c r="M73" s="7">
        <f>IF($A73="","",L73-F73)</f>
        <v/>
      </c>
      <c r="N73" s="7" t="n"/>
      <c r="Q73" s="11" t="n"/>
      <c r="S73">
        <f>IF($A73="","",IF($W73=1,Settings!$C$6,Settings!$C$7)*1)</f>
        <v/>
      </c>
      <c r="U73">
        <f>IF($A73="","",IF(COUNTIF($A$2:$A73,$A73)=1,1,0))</f>
        <v/>
      </c>
      <c r="V73">
        <f>IF($U73=1,SUMPRODUCT(--($X$2:$X$1001&lt;$X73))+1,"")</f>
        <v/>
      </c>
      <c r="W73">
        <f>IF($A73="","",IF(OR($T73=TRUE(),$T73="TRUE"),1,0))</f>
        <v/>
      </c>
      <c r="X73">
        <f>IF($U73=1,IFERROR(IF(VALUE($A73)&lt;100000000,VALUE($A73),1000000000),IFERROR(IF(VALUE(MID($A73,2,20))&lt;100000000,VALUE(MID($A73,2,20)),1000000000),1000000000))+ROW()/100000,"")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IF($A74="","",E74*N74/100)</f>
        <v/>
      </c>
      <c r="J74" s="7" t="n"/>
      <c r="K74" s="7">
        <f>IF($A74="","",S74*N74)</f>
        <v/>
      </c>
      <c r="L74" s="7">
        <f>IF($A74="","",N74-K74)</f>
        <v/>
      </c>
      <c r="M74" s="7">
        <f>IF($A74="","",L74-F74)</f>
        <v/>
      </c>
      <c r="N74" s="7" t="n"/>
      <c r="Q74" s="11" t="n"/>
      <c r="S74">
        <f>IF($A74="","",IF($W74=1,Settings!$C$6,Settings!$C$7)*1)</f>
        <v/>
      </c>
      <c r="U74">
        <f>IF($A74="","",IF(COUNTIF($A$2:$A74,$A74)=1,1,0))</f>
        <v/>
      </c>
      <c r="V74">
        <f>IF($U74=1,SUMPRODUCT(--($X$2:$X$1001&lt;$X74))+1,"")</f>
        <v/>
      </c>
      <c r="W74">
        <f>IF($A74="","",IF(OR($T74=TRUE(),$T74="TRUE"),1,0))</f>
        <v/>
      </c>
      <c r="X74">
        <f>IF($U74=1,IFERROR(IF(VALUE($A74)&lt;100000000,VALUE($A74),1000000000),IFERROR(IF(VALUE(MID($A74,2,20))&lt;100000000,VALUE(MID($A74,2,20)),1000000000),1000000000))+ROW()/100000,"")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IF($A75="","",E75*N75/100)</f>
        <v/>
      </c>
      <c r="J75" s="7" t="n"/>
      <c r="K75" s="7">
        <f>IF($A75="","",S75*N75)</f>
        <v/>
      </c>
      <c r="L75" s="7">
        <f>IF($A75="","",N75-K75)</f>
        <v/>
      </c>
      <c r="M75" s="7">
        <f>IF($A75="","",L75-F75)</f>
        <v/>
      </c>
      <c r="N75" s="7" t="n"/>
      <c r="Q75" s="11" t="n"/>
      <c r="S75">
        <f>IF($A75="","",IF($W75=1,Settings!$C$6,Settings!$C$7)*1)</f>
        <v/>
      </c>
      <c r="U75">
        <f>IF($A75="","",IF(COUNTIF($A$2:$A75,$A75)=1,1,0))</f>
        <v/>
      </c>
      <c r="V75">
        <f>IF($U75=1,SUMPRODUCT(--($X$2:$X$1001&lt;$X75))+1,"")</f>
        <v/>
      </c>
      <c r="W75">
        <f>IF($A75="","",IF(OR($T75=TRUE(),$T75="TRUE"),1,0))</f>
        <v/>
      </c>
      <c r="X75">
        <f>IF($U75=1,IFERROR(IF(VALUE($A75)&lt;100000000,VALUE($A75),1000000000),IFERROR(IF(VALUE(MID($A75,2,20))&lt;100000000,VALUE(MID($A75,2,20)),1000000000),1000000000))+ROW()/100000,"")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IF($A76="","",E76*N76/100)</f>
        <v/>
      </c>
      <c r="J76" s="7" t="n"/>
      <c r="K76" s="7">
        <f>IF($A76="","",S76*N76)</f>
        <v/>
      </c>
      <c r="L76" s="7">
        <f>IF($A76="","",N76-K76)</f>
        <v/>
      </c>
      <c r="M76" s="7">
        <f>IF($A76="","",L76-F76)</f>
        <v/>
      </c>
      <c r="N76" s="7" t="n"/>
      <c r="Q76" s="11" t="n"/>
      <c r="S76">
        <f>IF($A76="","",IF($W76=1,Settings!$C$6,Settings!$C$7)*1)</f>
        <v/>
      </c>
      <c r="U76">
        <f>IF($A76="","",IF(COUNTIF($A$2:$A76,$A76)=1,1,0))</f>
        <v/>
      </c>
      <c r="V76">
        <f>IF($U76=1,SUMPRODUCT(--($X$2:$X$1001&lt;$X76))+1,"")</f>
        <v/>
      </c>
      <c r="W76">
        <f>IF($A76="","",IF(OR($T76=TRUE(),$T76="TRUE"),1,0))</f>
        <v/>
      </c>
      <c r="X76">
        <f>IF($U76=1,IFERROR(IF(VALUE($A76)&lt;100000000,VALUE($A76),1000000000),IFERROR(IF(VALUE(MID($A76,2,20))&lt;100000000,VALUE(MID($A76,2,20)),1000000000),1000000000))+ROW()/100000,"")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IF($A77="","",E77*N77/100)</f>
        <v/>
      </c>
      <c r="J77" s="7" t="n"/>
      <c r="K77" s="7">
        <f>IF($A77="","",S77*N77)</f>
        <v/>
      </c>
      <c r="L77" s="7">
        <f>IF($A77="","",N77-K77)</f>
        <v/>
      </c>
      <c r="M77" s="7">
        <f>IF($A77="","",L77-F77)</f>
        <v/>
      </c>
      <c r="N77" s="7" t="n"/>
      <c r="Q77" s="11" t="n"/>
      <c r="S77">
        <f>IF($A77="","",IF($W77=1,Settings!$C$6,Settings!$C$7)*1)</f>
        <v/>
      </c>
      <c r="U77">
        <f>IF($A77="","",IF(COUNTIF($A$2:$A77,$A77)=1,1,0))</f>
        <v/>
      </c>
      <c r="V77">
        <f>IF($U77=1,SUMPRODUCT(--($X$2:$X$1001&lt;$X77))+1,"")</f>
        <v/>
      </c>
      <c r="W77">
        <f>IF($A77="","",IF(OR($T77=TRUE(),$T77="TRUE"),1,0))</f>
        <v/>
      </c>
      <c r="X77">
        <f>IF($U77=1,IFERROR(IF(VALUE($A77)&lt;100000000,VALUE($A77),1000000000),IFERROR(IF(VALUE(MID($A77,2,20))&lt;100000000,VALUE(MID($A77,2,20)),1000000000),1000000000))+ROW()/100000,"")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IF($A78="","",E78*N78/100)</f>
        <v/>
      </c>
      <c r="J78" s="7" t="n"/>
      <c r="K78" s="7">
        <f>IF($A78="","",S78*N78)</f>
        <v/>
      </c>
      <c r="L78" s="7">
        <f>IF($A78="","",N78-K78)</f>
        <v/>
      </c>
      <c r="M78" s="7">
        <f>IF($A78="","",L78-F78)</f>
        <v/>
      </c>
      <c r="N78" s="7" t="n"/>
      <c r="Q78" s="11" t="n"/>
      <c r="S78">
        <f>IF($A78="","",IF($W78=1,Settings!$C$6,Settings!$C$7)*1)</f>
        <v/>
      </c>
      <c r="U78">
        <f>IF($A78="","",IF(COUNTIF($A$2:$A78,$A78)=1,1,0))</f>
        <v/>
      </c>
      <c r="V78">
        <f>IF($U78=1,SUMPRODUCT(--($X$2:$X$1001&lt;$X78))+1,"")</f>
        <v/>
      </c>
      <c r="W78">
        <f>IF($A78="","",IF(OR($T78=TRUE(),$T78="TRUE"),1,0))</f>
        <v/>
      </c>
      <c r="X78">
        <f>IF($U78=1,IFERROR(IF(VALUE($A78)&lt;100000000,VALUE($A78),1000000000),IFERROR(IF(VALUE(MID($A78,2,20))&lt;100000000,VALUE(MID($A78,2,20)),1000000000),1000000000))+ROW()/100000,"")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IF($A79="","",E79*N79/100)</f>
        <v/>
      </c>
      <c r="J79" s="7" t="n"/>
      <c r="K79" s="7">
        <f>IF($A79="","",S79*N79)</f>
        <v/>
      </c>
      <c r="L79" s="7">
        <f>IF($A79="","",N79-K79)</f>
        <v/>
      </c>
      <c r="M79" s="7">
        <f>IF($A79="","",L79-F79)</f>
        <v/>
      </c>
      <c r="N79" s="7" t="n"/>
      <c r="Q79" s="11" t="n"/>
      <c r="S79">
        <f>IF($A79="","",IF($W79=1,Settings!$C$6,Settings!$C$7)*1)</f>
        <v/>
      </c>
      <c r="U79">
        <f>IF($A79="","",IF(COUNTIF($A$2:$A79,$A79)=1,1,0))</f>
        <v/>
      </c>
      <c r="V79">
        <f>IF($U79=1,SUMPRODUCT(--($X$2:$X$1001&lt;$X79))+1,"")</f>
        <v/>
      </c>
      <c r="W79">
        <f>IF($A79="","",IF(OR($T79=TRUE(),$T79="TRUE"),1,0))</f>
        <v/>
      </c>
      <c r="X79">
        <f>IF($U79=1,IFERROR(IF(VALUE($A79)&lt;100000000,VALUE($A79),1000000000),IFERROR(IF(VALUE(MID($A79,2,20))&lt;100000000,VALUE(MID($A79,2,20)),1000000000),1000000000))+ROW()/100000,"")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IF($A80="","",E80*N80/100)</f>
        <v/>
      </c>
      <c r="J80" s="7" t="n"/>
      <c r="K80" s="7">
        <f>IF($A80="","",S80*N80)</f>
        <v/>
      </c>
      <c r="L80" s="7">
        <f>IF($A80="","",N80-K80)</f>
        <v/>
      </c>
      <c r="M80" s="7">
        <f>IF($A80="","",L80-F80)</f>
        <v/>
      </c>
      <c r="N80" s="7" t="n"/>
      <c r="Q80" s="11" t="n"/>
      <c r="S80">
        <f>IF($A80="","",IF($W80=1,Settings!$C$6,Settings!$C$7)*1)</f>
        <v/>
      </c>
      <c r="U80">
        <f>IF($A80="","",IF(COUNTIF($A$2:$A80,$A80)=1,1,0))</f>
        <v/>
      </c>
      <c r="V80">
        <f>IF($U80=1,SUMPRODUCT(--($X$2:$X$1001&lt;$X80))+1,"")</f>
        <v/>
      </c>
      <c r="W80">
        <f>IF($A80="","",IF(OR($T80=TRUE(),$T80="TRUE"),1,0))</f>
        <v/>
      </c>
      <c r="X80">
        <f>IF($U80=1,IFERROR(IF(VALUE($A80)&lt;100000000,VALUE($A80),1000000000),IFERROR(IF(VALUE(MID($A80,2,20))&lt;100000000,VALUE(MID($A80,2,20)),1000000000),1000000000))+ROW()/100000,"")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IF($A81="","",E81*N81/100)</f>
        <v/>
      </c>
      <c r="J81" s="7" t="n"/>
      <c r="K81" s="7">
        <f>IF($A81="","",S81*N81)</f>
        <v/>
      </c>
      <c r="L81" s="7">
        <f>IF($A81="","",N81-K81)</f>
        <v/>
      </c>
      <c r="M81" s="7">
        <f>IF($A81="","",L81-F81)</f>
        <v/>
      </c>
      <c r="N81" s="7" t="n"/>
      <c r="Q81" s="11" t="n"/>
      <c r="S81">
        <f>IF($A81="","",IF($W81=1,Settings!$C$6,Settings!$C$7)*1)</f>
        <v/>
      </c>
      <c r="U81">
        <f>IF($A81="","",IF(COUNTIF($A$2:$A81,$A81)=1,1,0))</f>
        <v/>
      </c>
      <c r="V81">
        <f>IF($U81=1,SUMPRODUCT(--($X$2:$X$1001&lt;$X81))+1,"")</f>
        <v/>
      </c>
      <c r="W81">
        <f>IF($A81="","",IF(OR($T81=TRUE(),$T81="TRUE"),1,0))</f>
        <v/>
      </c>
      <c r="X81">
        <f>IF($U81=1,IFERROR(IF(VALUE($A81)&lt;100000000,VALUE($A81),1000000000),IFERROR(IF(VALUE(MID($A81,2,20))&lt;100000000,VALUE(MID($A81,2,20)),1000000000),1000000000))+ROW()/100000,"")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IF($A82="","",E82*N82/100)</f>
        <v/>
      </c>
      <c r="J82" s="7" t="n"/>
      <c r="K82" s="7">
        <f>IF($A82="","",S82*N82)</f>
        <v/>
      </c>
      <c r="L82" s="7">
        <f>IF($A82="","",N82-K82)</f>
        <v/>
      </c>
      <c r="M82" s="7">
        <f>IF($A82="","",L82-F82)</f>
        <v/>
      </c>
      <c r="N82" s="7" t="n"/>
      <c r="Q82" s="11" t="n"/>
      <c r="S82">
        <f>IF($A82="","",IF($W82=1,Settings!$C$6,Settings!$C$7)*1)</f>
        <v/>
      </c>
      <c r="U82">
        <f>IF($A82="","",IF(COUNTIF($A$2:$A82,$A82)=1,1,0))</f>
        <v/>
      </c>
      <c r="V82">
        <f>IF($U82=1,SUMPRODUCT(--($X$2:$X$1001&lt;$X82))+1,"")</f>
        <v/>
      </c>
      <c r="W82">
        <f>IF($A82="","",IF(OR($T82=TRUE(),$T82="TRUE"),1,0))</f>
        <v/>
      </c>
      <c r="X82">
        <f>IF($U82=1,IFERROR(IF(VALUE($A82)&lt;100000000,VALUE($A82),1000000000),IFERROR(IF(VALUE(MID($A82,2,20))&lt;100000000,VALUE(MID($A82,2,20)),1000000000),1000000000))+ROW()/100000,"")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IF($A83="","",E83*N83/100)</f>
        <v/>
      </c>
      <c r="J83" s="7" t="n"/>
      <c r="K83" s="7">
        <f>IF($A83="","",S83*N83)</f>
        <v/>
      </c>
      <c r="L83" s="7">
        <f>IF($A83="","",N83-K83)</f>
        <v/>
      </c>
      <c r="M83" s="7">
        <f>IF($A83="","",L83-F83)</f>
        <v/>
      </c>
      <c r="N83" s="7" t="n"/>
      <c r="Q83" s="11" t="n"/>
      <c r="S83">
        <f>IF($A83="","",IF($W83=1,Settings!$C$6,Settings!$C$7)*1)</f>
        <v/>
      </c>
      <c r="U83">
        <f>IF($A83="","",IF(COUNTIF($A$2:$A83,$A83)=1,1,0))</f>
        <v/>
      </c>
      <c r="V83">
        <f>IF($U83=1,SUMPRODUCT(--($X$2:$X$1001&lt;$X83))+1,"")</f>
        <v/>
      </c>
      <c r="W83">
        <f>IF($A83="","",IF(OR($T83=TRUE(),$T83="TRUE"),1,0))</f>
        <v/>
      </c>
      <c r="X83">
        <f>IF($U83=1,IFERROR(IF(VALUE($A83)&lt;100000000,VALUE($A83),1000000000),IFERROR(IF(VALUE(MID($A83,2,20))&lt;100000000,VALUE(MID($A83,2,20)),1000000000),1000000000))+ROW()/100000,"")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IF($A84="","",E84*N84/100)</f>
        <v/>
      </c>
      <c r="J84" s="7" t="n"/>
      <c r="K84" s="7">
        <f>IF($A84="","",S84*N84)</f>
        <v/>
      </c>
      <c r="L84" s="7">
        <f>IF($A84="","",N84-K84)</f>
        <v/>
      </c>
      <c r="M84" s="7">
        <f>IF($A84="","",L84-F84)</f>
        <v/>
      </c>
      <c r="N84" s="7" t="n"/>
      <c r="Q84" s="11" t="n"/>
      <c r="S84">
        <f>IF($A84="","",IF($W84=1,Settings!$C$6,Settings!$C$7)*1)</f>
        <v/>
      </c>
      <c r="U84">
        <f>IF($A84="","",IF(COUNTIF($A$2:$A84,$A84)=1,1,0))</f>
        <v/>
      </c>
      <c r="V84">
        <f>IF($U84=1,SUMPRODUCT(--($X$2:$X$1001&lt;$X84))+1,"")</f>
        <v/>
      </c>
      <c r="W84">
        <f>IF($A84="","",IF(OR($T84=TRUE(),$T84="TRUE"),1,0))</f>
        <v/>
      </c>
      <c r="X84">
        <f>IF($U84=1,IFERROR(IF(VALUE($A84)&lt;100000000,VALUE($A84),1000000000),IFERROR(IF(VALUE(MID($A84,2,20))&lt;100000000,VALUE(MID($A84,2,20)),1000000000),1000000000))+ROW()/100000,"")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IF($A85="","",E85*N85/100)</f>
        <v/>
      </c>
      <c r="J85" s="7" t="n"/>
      <c r="K85" s="7">
        <f>IF($A85="","",S85*N85)</f>
        <v/>
      </c>
      <c r="L85" s="7">
        <f>IF($A85="","",N85-K85)</f>
        <v/>
      </c>
      <c r="M85" s="7">
        <f>IF($A85="","",L85-F85)</f>
        <v/>
      </c>
      <c r="N85" s="7" t="n"/>
      <c r="Q85" s="11" t="n"/>
      <c r="S85">
        <f>IF($A85="","",IF($W85=1,Settings!$C$6,Settings!$C$7)*1)</f>
        <v/>
      </c>
      <c r="U85">
        <f>IF($A85="","",IF(COUNTIF($A$2:$A85,$A85)=1,1,0))</f>
        <v/>
      </c>
      <c r="V85">
        <f>IF($U85=1,SUMPRODUCT(--($X$2:$X$1001&lt;$X85))+1,"")</f>
        <v/>
      </c>
      <c r="W85">
        <f>IF($A85="","",IF(OR($T85=TRUE(),$T85="TRUE"),1,0))</f>
        <v/>
      </c>
      <c r="X85">
        <f>IF($U85=1,IFERROR(IF(VALUE($A85)&lt;100000000,VALUE($A85),1000000000),IFERROR(IF(VALUE(MID($A85,2,20))&lt;100000000,VALUE(MID($A85,2,20)),1000000000),1000000000))+ROW()/100000,"")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IF($A86="","",E86*N86/100)</f>
        <v/>
      </c>
      <c r="J86" s="7" t="n"/>
      <c r="K86" s="7">
        <f>IF($A86="","",S86*N86)</f>
        <v/>
      </c>
      <c r="L86" s="7">
        <f>IF($A86="","",N86-K86)</f>
        <v/>
      </c>
      <c r="M86" s="7">
        <f>IF($A86="","",L86-F86)</f>
        <v/>
      </c>
      <c r="N86" s="7" t="n"/>
      <c r="Q86" s="11" t="n"/>
      <c r="S86">
        <f>IF($A86="","",IF($W86=1,Settings!$C$6,Settings!$C$7)*1)</f>
        <v/>
      </c>
      <c r="U86">
        <f>IF($A86="","",IF(COUNTIF($A$2:$A86,$A86)=1,1,0))</f>
        <v/>
      </c>
      <c r="V86">
        <f>IF($U86=1,SUMPRODUCT(--($X$2:$X$1001&lt;$X86))+1,"")</f>
        <v/>
      </c>
      <c r="W86">
        <f>IF($A86="","",IF(OR($T86=TRUE(),$T86="TRUE"),1,0))</f>
        <v/>
      </c>
      <c r="X86">
        <f>IF($U86=1,IFERROR(IF(VALUE($A86)&lt;100000000,VALUE($A86),1000000000),IFERROR(IF(VALUE(MID($A86,2,20))&lt;100000000,VALUE(MID($A86,2,20)),1000000000),1000000000))+ROW()/100000,"")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IF($A87="","",E87*N87/100)</f>
        <v/>
      </c>
      <c r="J87" s="7" t="n"/>
      <c r="K87" s="7">
        <f>IF($A87="","",S87*N87)</f>
        <v/>
      </c>
      <c r="L87" s="7">
        <f>IF($A87="","",N87-K87)</f>
        <v/>
      </c>
      <c r="M87" s="7">
        <f>IF($A87="","",L87-F87)</f>
        <v/>
      </c>
      <c r="N87" s="7" t="n"/>
      <c r="Q87" s="11" t="n"/>
      <c r="S87">
        <f>IF($A87="","",IF($W87=1,Settings!$C$6,Settings!$C$7)*1)</f>
        <v/>
      </c>
      <c r="U87">
        <f>IF($A87="","",IF(COUNTIF($A$2:$A87,$A87)=1,1,0))</f>
        <v/>
      </c>
      <c r="V87">
        <f>IF($U87=1,SUMPRODUCT(--($X$2:$X$1001&lt;$X87))+1,"")</f>
        <v/>
      </c>
      <c r="W87">
        <f>IF($A87="","",IF(OR($T87=TRUE(),$T87="TRUE"),1,0))</f>
        <v/>
      </c>
      <c r="X87">
        <f>IF($U87=1,IFERROR(IF(VALUE($A87)&lt;100000000,VALUE($A87),1000000000),IFERROR(IF(VALUE(MID($A87,2,20))&lt;100000000,VALUE(MID($A87,2,20)),1000000000),1000000000))+ROW()/100000,"")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IF($A88="","",E88*N88/100)</f>
        <v/>
      </c>
      <c r="J88" s="7" t="n"/>
      <c r="K88" s="7">
        <f>IF($A88="","",S88*N88)</f>
        <v/>
      </c>
      <c r="L88" s="7">
        <f>IF($A88="","",N88-K88)</f>
        <v/>
      </c>
      <c r="M88" s="7">
        <f>IF($A88="","",L88-F88)</f>
        <v/>
      </c>
      <c r="N88" s="7" t="n"/>
      <c r="Q88" s="11" t="n"/>
      <c r="S88">
        <f>IF($A88="","",IF($W88=1,Settings!$C$6,Settings!$C$7)*1)</f>
        <v/>
      </c>
      <c r="U88">
        <f>IF($A88="","",IF(COUNTIF($A$2:$A88,$A88)=1,1,0))</f>
        <v/>
      </c>
      <c r="V88">
        <f>IF($U88=1,SUMPRODUCT(--($X$2:$X$1001&lt;$X88))+1,"")</f>
        <v/>
      </c>
      <c r="W88">
        <f>IF($A88="","",IF(OR($T88=TRUE(),$T88="TRUE"),1,0))</f>
        <v/>
      </c>
      <c r="X88">
        <f>IF($U88=1,IFERROR(IF(VALUE($A88)&lt;100000000,VALUE($A88),1000000000),IFERROR(IF(VALUE(MID($A88,2,20))&lt;100000000,VALUE(MID($A88,2,20)),1000000000),1000000000))+ROW()/100000,"")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IF($A89="","",E89*N89/100)</f>
        <v/>
      </c>
      <c r="J89" s="7" t="n"/>
      <c r="K89" s="7">
        <f>IF($A89="","",S89*N89)</f>
        <v/>
      </c>
      <c r="L89" s="7">
        <f>IF($A89="","",N89-K89)</f>
        <v/>
      </c>
      <c r="M89" s="7">
        <f>IF($A89="","",L89-F89)</f>
        <v/>
      </c>
      <c r="N89" s="7" t="n"/>
      <c r="Q89" s="11" t="n"/>
      <c r="S89">
        <f>IF($A89="","",IF($W89=1,Settings!$C$6,Settings!$C$7)*1)</f>
        <v/>
      </c>
      <c r="U89">
        <f>IF($A89="","",IF(COUNTIF($A$2:$A89,$A89)=1,1,0))</f>
        <v/>
      </c>
      <c r="V89">
        <f>IF($U89=1,SUMPRODUCT(--($X$2:$X$1001&lt;$X89))+1,"")</f>
        <v/>
      </c>
      <c r="W89">
        <f>IF($A89="","",IF(OR($T89=TRUE(),$T89="TRUE"),1,0))</f>
        <v/>
      </c>
      <c r="X89">
        <f>IF($U89=1,IFERROR(IF(VALUE($A89)&lt;100000000,VALUE($A89),1000000000),IFERROR(IF(VALUE(MID($A89,2,20))&lt;100000000,VALUE(MID($A89,2,20)),1000000000),1000000000))+ROW()/100000,"")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IF($A90="","",E90*N90/100)</f>
        <v/>
      </c>
      <c r="J90" s="7" t="n"/>
      <c r="K90" s="7">
        <f>IF($A90="","",S90*N90)</f>
        <v/>
      </c>
      <c r="L90" s="7">
        <f>IF($A90="","",N90-K90)</f>
        <v/>
      </c>
      <c r="M90" s="7">
        <f>IF($A90="","",L90-F90)</f>
        <v/>
      </c>
      <c r="N90" s="7" t="n"/>
      <c r="Q90" s="11" t="n"/>
      <c r="S90">
        <f>IF($A90="","",IF($W90=1,Settings!$C$6,Settings!$C$7)*1)</f>
        <v/>
      </c>
      <c r="U90">
        <f>IF($A90="","",IF(COUNTIF($A$2:$A90,$A90)=1,1,0))</f>
        <v/>
      </c>
      <c r="V90">
        <f>IF($U90=1,SUMPRODUCT(--($X$2:$X$1001&lt;$X90))+1,"")</f>
        <v/>
      </c>
      <c r="W90">
        <f>IF($A90="","",IF(OR($T90=TRUE(),$T90="TRUE"),1,0))</f>
        <v/>
      </c>
      <c r="X90">
        <f>IF($U90=1,IFERROR(IF(VALUE($A90)&lt;100000000,VALUE($A90),1000000000),IFERROR(IF(VALUE(MID($A90,2,20))&lt;100000000,VALUE(MID($A90,2,20)),1000000000),1000000000))+ROW()/100000,"")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IF($A91="","",E91*N91/100)</f>
        <v/>
      </c>
      <c r="J91" s="7" t="n"/>
      <c r="K91" s="7">
        <f>IF($A91="","",S91*N91)</f>
        <v/>
      </c>
      <c r="L91" s="7">
        <f>IF($A91="","",N91-K91)</f>
        <v/>
      </c>
      <c r="M91" s="7">
        <f>IF($A91="","",L91-F91)</f>
        <v/>
      </c>
      <c r="N91" s="7" t="n"/>
      <c r="Q91" s="11" t="n"/>
      <c r="S91">
        <f>IF($A91="","",IF($W91=1,Settings!$C$6,Settings!$C$7)*1)</f>
        <v/>
      </c>
      <c r="U91">
        <f>IF($A91="","",IF(COUNTIF($A$2:$A91,$A91)=1,1,0))</f>
        <v/>
      </c>
      <c r="V91">
        <f>IF($U91=1,SUMPRODUCT(--($X$2:$X$1001&lt;$X91))+1,"")</f>
        <v/>
      </c>
      <c r="W91">
        <f>IF($A91="","",IF(OR($T91=TRUE(),$T91="TRUE"),1,0))</f>
        <v/>
      </c>
      <c r="X91">
        <f>IF($U91=1,IFERROR(IF(VALUE($A91)&lt;100000000,VALUE($A91),1000000000),IFERROR(IF(VALUE(MID($A91,2,20))&lt;100000000,VALUE(MID($A91,2,20)),1000000000),1000000000))+ROW()/100000,"")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IF($A92="","",E92*N92/100)</f>
        <v/>
      </c>
      <c r="J92" s="7" t="n"/>
      <c r="K92" s="7">
        <f>IF($A92="","",S92*N92)</f>
        <v/>
      </c>
      <c r="L92" s="7">
        <f>IF($A92="","",N92-K92)</f>
        <v/>
      </c>
      <c r="M92" s="7">
        <f>IF($A92="","",L92-F92)</f>
        <v/>
      </c>
      <c r="N92" s="7" t="n"/>
      <c r="Q92" s="11" t="n"/>
      <c r="S92">
        <f>IF($A92="","",IF($W92=1,Settings!$C$6,Settings!$C$7)*1)</f>
        <v/>
      </c>
      <c r="U92">
        <f>IF($A92="","",IF(COUNTIF($A$2:$A92,$A92)=1,1,0))</f>
        <v/>
      </c>
      <c r="V92">
        <f>IF($U92=1,SUMPRODUCT(--($X$2:$X$1001&lt;$X92))+1,"")</f>
        <v/>
      </c>
      <c r="W92">
        <f>IF($A92="","",IF(OR($T92=TRUE(),$T92="TRUE"),1,0))</f>
        <v/>
      </c>
      <c r="X92">
        <f>IF($U92=1,IFERROR(IF(VALUE($A92)&lt;100000000,VALUE($A92),1000000000),IFERROR(IF(VALUE(MID($A92,2,20))&lt;100000000,VALUE(MID($A92,2,20)),1000000000),1000000000))+ROW()/100000,"")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IF($A93="","",E93*N93/100)</f>
        <v/>
      </c>
      <c r="J93" s="7" t="n"/>
      <c r="K93" s="7">
        <f>IF($A93="","",S93*N93)</f>
        <v/>
      </c>
      <c r="L93" s="7">
        <f>IF($A93="","",N93-K93)</f>
        <v/>
      </c>
      <c r="M93" s="7">
        <f>IF($A93="","",L93-F93)</f>
        <v/>
      </c>
      <c r="N93" s="7" t="n"/>
      <c r="Q93" s="11" t="n"/>
      <c r="S93">
        <f>IF($A93="","",IF($W93=1,Settings!$C$6,Settings!$C$7)*1)</f>
        <v/>
      </c>
      <c r="U93">
        <f>IF($A93="","",IF(COUNTIF($A$2:$A93,$A93)=1,1,0))</f>
        <v/>
      </c>
      <c r="V93">
        <f>IF($U93=1,SUMPRODUCT(--($X$2:$X$1001&lt;$X93))+1,"")</f>
        <v/>
      </c>
      <c r="W93">
        <f>IF($A93="","",IF(OR($T93=TRUE(),$T93="TRUE"),1,0))</f>
        <v/>
      </c>
      <c r="X93">
        <f>IF($U93=1,IFERROR(IF(VALUE($A93)&lt;100000000,VALUE($A93),1000000000),IFERROR(IF(VALUE(MID($A93,2,20))&lt;100000000,VALUE(MID($A93,2,20)),1000000000),1000000000))+ROW()/100000,"")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IF($A94="","",E94*N94/100)</f>
        <v/>
      </c>
      <c r="J94" s="7" t="n"/>
      <c r="K94" s="7">
        <f>IF($A94="","",S94*N94)</f>
        <v/>
      </c>
      <c r="L94" s="7">
        <f>IF($A94="","",N94-K94)</f>
        <v/>
      </c>
      <c r="M94" s="7">
        <f>IF($A94="","",L94-F94)</f>
        <v/>
      </c>
      <c r="N94" s="7" t="n"/>
      <c r="Q94" s="11" t="n"/>
      <c r="S94">
        <f>IF($A94="","",IF($W94=1,Settings!$C$6,Settings!$C$7)*1)</f>
        <v/>
      </c>
      <c r="U94">
        <f>IF($A94="","",IF(COUNTIF($A$2:$A94,$A94)=1,1,0))</f>
        <v/>
      </c>
      <c r="V94">
        <f>IF($U94=1,SUMPRODUCT(--($X$2:$X$1001&lt;$X94))+1,"")</f>
        <v/>
      </c>
      <c r="W94">
        <f>IF($A94="","",IF(OR($T94=TRUE(),$T94="TRUE"),1,0))</f>
        <v/>
      </c>
      <c r="X94">
        <f>IF($U94=1,IFERROR(IF(VALUE($A94)&lt;100000000,VALUE($A94),1000000000),IFERROR(IF(VALUE(MID($A94,2,20))&lt;100000000,VALUE(MID($A94,2,20)),1000000000),1000000000))+ROW()/100000,"")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IF($A95="","",E95*N95/100)</f>
        <v/>
      </c>
      <c r="J95" s="7" t="n"/>
      <c r="K95" s="7">
        <f>IF($A95="","",S95*N95)</f>
        <v/>
      </c>
      <c r="L95" s="7">
        <f>IF($A95="","",N95-K95)</f>
        <v/>
      </c>
      <c r="M95" s="7">
        <f>IF($A95="","",L95-F95)</f>
        <v/>
      </c>
      <c r="N95" s="7" t="n"/>
      <c r="Q95" s="11" t="n"/>
      <c r="S95">
        <f>IF($A95="","",IF($W95=1,Settings!$C$6,Settings!$C$7)*1)</f>
        <v/>
      </c>
      <c r="U95">
        <f>IF($A95="","",IF(COUNTIF($A$2:$A95,$A95)=1,1,0))</f>
        <v/>
      </c>
      <c r="V95">
        <f>IF($U95=1,SUMPRODUCT(--($X$2:$X$1001&lt;$X95))+1,"")</f>
        <v/>
      </c>
      <c r="W95">
        <f>IF($A95="","",IF(OR($T95=TRUE(),$T95="TRUE"),1,0))</f>
        <v/>
      </c>
      <c r="X95">
        <f>IF($U95=1,IFERROR(IF(VALUE($A95)&lt;100000000,VALUE($A95),1000000000),IFERROR(IF(VALUE(MID($A95,2,20))&lt;100000000,VALUE(MID($A95,2,20)),1000000000),1000000000))+ROW()/100000,"")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IF($A96="","",E96*N96/100)</f>
        <v/>
      </c>
      <c r="J96" s="7" t="n"/>
      <c r="K96" s="7">
        <f>IF($A96="","",S96*N96)</f>
        <v/>
      </c>
      <c r="L96" s="7">
        <f>IF($A96="","",N96-K96)</f>
        <v/>
      </c>
      <c r="M96" s="7">
        <f>IF($A96="","",L96-F96)</f>
        <v/>
      </c>
      <c r="N96" s="7" t="n"/>
      <c r="Q96" s="11" t="n"/>
      <c r="S96">
        <f>IF($A96="","",IF($W96=1,Settings!$C$6,Settings!$C$7)*1)</f>
        <v/>
      </c>
      <c r="U96">
        <f>IF($A96="","",IF(COUNTIF($A$2:$A96,$A96)=1,1,0))</f>
        <v/>
      </c>
      <c r="V96">
        <f>IF($U96=1,SUMPRODUCT(--($X$2:$X$1001&lt;$X96))+1,"")</f>
        <v/>
      </c>
      <c r="W96">
        <f>IF($A96="","",IF(OR($T96=TRUE(),$T96="TRUE"),1,0))</f>
        <v/>
      </c>
      <c r="X96">
        <f>IF($U96=1,IFERROR(IF(VALUE($A96)&lt;100000000,VALUE($A96),1000000000),IFERROR(IF(VALUE(MID($A96,2,20))&lt;100000000,VALUE(MID($A96,2,20)),1000000000),1000000000))+ROW()/100000,"")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IF($A97="","",E97*N97/100)</f>
        <v/>
      </c>
      <c r="J97" s="7" t="n"/>
      <c r="K97" s="7">
        <f>IF($A97="","",S97*N97)</f>
        <v/>
      </c>
      <c r="L97" s="7">
        <f>IF($A97="","",N97-K97)</f>
        <v/>
      </c>
      <c r="M97" s="7">
        <f>IF($A97="","",L97-F97)</f>
        <v/>
      </c>
      <c r="N97" s="7" t="n"/>
      <c r="Q97" s="11" t="n"/>
      <c r="S97">
        <f>IF($A97="","",IF($W97=1,Settings!$C$6,Settings!$C$7)*1)</f>
        <v/>
      </c>
      <c r="U97">
        <f>IF($A97="","",IF(COUNTIF($A$2:$A97,$A97)=1,1,0))</f>
        <v/>
      </c>
      <c r="V97">
        <f>IF($U97=1,SUMPRODUCT(--($X$2:$X$1001&lt;$X97))+1,"")</f>
        <v/>
      </c>
      <c r="W97">
        <f>IF($A97="","",IF(OR($T97=TRUE(),$T97="TRUE"),1,0))</f>
        <v/>
      </c>
      <c r="X97">
        <f>IF($U97=1,IFERROR(IF(VALUE($A97)&lt;100000000,VALUE($A97),1000000000),IFERROR(IF(VALUE(MID($A97,2,20))&lt;100000000,VALUE(MID($A97,2,20)),1000000000),1000000000))+ROW()/100000,"")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IF($A98="","",E98*N98/100)</f>
        <v/>
      </c>
      <c r="J98" s="7" t="n"/>
      <c r="K98" s="7">
        <f>IF($A98="","",S98*N98)</f>
        <v/>
      </c>
      <c r="L98" s="7">
        <f>IF($A98="","",N98-K98)</f>
        <v/>
      </c>
      <c r="M98" s="7">
        <f>IF($A98="","",L98-F98)</f>
        <v/>
      </c>
      <c r="N98" s="7" t="n"/>
      <c r="Q98" s="11" t="n"/>
      <c r="S98">
        <f>IF($A98="","",IF($W98=1,Settings!$C$6,Settings!$C$7)*1)</f>
        <v/>
      </c>
      <c r="U98">
        <f>IF($A98="","",IF(COUNTIF($A$2:$A98,$A98)=1,1,0))</f>
        <v/>
      </c>
      <c r="V98">
        <f>IF($U98=1,SUMPRODUCT(--($X$2:$X$1001&lt;$X98))+1,"")</f>
        <v/>
      </c>
      <c r="W98">
        <f>IF($A98="","",IF(OR($T98=TRUE(),$T98="TRUE"),1,0))</f>
        <v/>
      </c>
      <c r="X98">
        <f>IF($U98=1,IFERROR(IF(VALUE($A98)&lt;100000000,VALUE($A98),1000000000),IFERROR(IF(VALUE(MID($A98,2,20))&lt;100000000,VALUE(MID($A98,2,20)),1000000000),1000000000))+ROW()/100000,"")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IF($A99="","",E99*N99/100)</f>
        <v/>
      </c>
      <c r="J99" s="7" t="n"/>
      <c r="K99" s="7">
        <f>IF($A99="","",S99*N99)</f>
        <v/>
      </c>
      <c r="L99" s="7">
        <f>IF($A99="","",N99-K99)</f>
        <v/>
      </c>
      <c r="M99" s="7">
        <f>IF($A99="","",L99-F99)</f>
        <v/>
      </c>
      <c r="N99" s="7" t="n"/>
      <c r="Q99" s="11" t="n"/>
      <c r="S99">
        <f>IF($A99="","",IF($W99=1,Settings!$C$6,Settings!$C$7)*1)</f>
        <v/>
      </c>
      <c r="U99">
        <f>IF($A99="","",IF(COUNTIF($A$2:$A99,$A99)=1,1,0))</f>
        <v/>
      </c>
      <c r="V99">
        <f>IF($U99=1,SUMPRODUCT(--($X$2:$X$1001&lt;$X99))+1,"")</f>
        <v/>
      </c>
      <c r="W99">
        <f>IF($A99="","",IF(OR($T99=TRUE(),$T99="TRUE"),1,0))</f>
        <v/>
      </c>
      <c r="X99">
        <f>IF($U99=1,IFERROR(IF(VALUE($A99)&lt;100000000,VALUE($A99),1000000000),IFERROR(IF(VALUE(MID($A99,2,20))&lt;100000000,VALUE(MID($A99,2,20)),1000000000),1000000000))+ROW()/100000,"")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IF($A100="","",E100*N100/100)</f>
        <v/>
      </c>
      <c r="J100" s="7" t="n"/>
      <c r="K100" s="7">
        <f>IF($A100="","",S100*N100)</f>
        <v/>
      </c>
      <c r="L100" s="7">
        <f>IF($A100="","",N100-K100)</f>
        <v/>
      </c>
      <c r="M100" s="7">
        <f>IF($A100="","",L100-F100)</f>
        <v/>
      </c>
      <c r="N100" s="7" t="n"/>
      <c r="Q100" s="11" t="n"/>
      <c r="S100">
        <f>IF($A100="","",IF($W100=1,Settings!$C$6,Settings!$C$7)*1)</f>
        <v/>
      </c>
      <c r="U100">
        <f>IF($A100="","",IF(COUNTIF($A$2:$A100,$A100)=1,1,0))</f>
        <v/>
      </c>
      <c r="V100">
        <f>IF($U100=1,SUMPRODUCT(--($X$2:$X$1001&lt;$X100))+1,"")</f>
        <v/>
      </c>
      <c r="W100">
        <f>IF($A100="","",IF(OR($T100=TRUE(),$T100="TRUE"),1,0))</f>
        <v/>
      </c>
      <c r="X100">
        <f>IF($U100=1,IFERROR(IF(VALUE($A100)&lt;100000000,VALUE($A100),1000000000),IFERROR(IF(VALUE(MID($A100,2,20))&lt;100000000,VALUE(MID($A100,2,20)),1000000000),1000000000))+ROW()/100000,"")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IF($A101="","",E101*N101/100)</f>
        <v/>
      </c>
      <c r="J101" s="7" t="n"/>
      <c r="K101" s="7">
        <f>IF($A101="","",S101*N101)</f>
        <v/>
      </c>
      <c r="L101" s="7">
        <f>IF($A101="","",N101-K101)</f>
        <v/>
      </c>
      <c r="M101" s="7">
        <f>IF($A101="","",L101-F101)</f>
        <v/>
      </c>
      <c r="N101" s="7" t="n"/>
      <c r="Q101" s="11" t="n"/>
      <c r="S101">
        <f>IF($A101="","",IF($W101=1,Settings!$C$6,Settings!$C$7)*1)</f>
        <v/>
      </c>
      <c r="U101">
        <f>IF($A101="","",IF(COUNTIF($A$2:$A101,$A101)=1,1,0))</f>
        <v/>
      </c>
      <c r="V101">
        <f>IF($U101=1,SUMPRODUCT(--($X$2:$X$1001&lt;$X101))+1,"")</f>
        <v/>
      </c>
      <c r="W101">
        <f>IF($A101="","",IF(OR($T101=TRUE(),$T101="TRUE"),1,0))</f>
        <v/>
      </c>
      <c r="X101">
        <f>IF($U101=1,IFERROR(IF(VALUE($A101)&lt;100000000,VALUE($A101),1000000000),IFERROR(IF(VALUE(MID($A101,2,20))&lt;100000000,VALUE(MID($A101,2,20)),1000000000),1000000000))+ROW()/100000,"")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IF($A102="","",E102*N102/100)</f>
        <v/>
      </c>
      <c r="J102" s="7" t="n"/>
      <c r="K102" s="7">
        <f>IF($A102="","",S102*N102)</f>
        <v/>
      </c>
      <c r="L102" s="7">
        <f>IF($A102="","",N102-K102)</f>
        <v/>
      </c>
      <c r="M102" s="7">
        <f>IF($A102="","",L102-F102)</f>
        <v/>
      </c>
      <c r="N102" s="7" t="n"/>
      <c r="Q102" s="11" t="n"/>
      <c r="S102">
        <f>IF($A102="","",IF($W102=1,Settings!$C$6,Settings!$C$7)*1)</f>
        <v/>
      </c>
      <c r="U102">
        <f>IF($A102="","",IF(COUNTIF($A$2:$A102,$A102)=1,1,0))</f>
        <v/>
      </c>
      <c r="V102">
        <f>IF($U102=1,SUMPRODUCT(--($X$2:$X$1001&lt;$X102))+1,"")</f>
        <v/>
      </c>
      <c r="W102">
        <f>IF($A102="","",IF(OR($T102=TRUE(),$T102="TRUE"),1,0))</f>
        <v/>
      </c>
      <c r="X102">
        <f>IF($U102=1,IFERROR(IF(VALUE($A102)&lt;100000000,VALUE($A102),1000000000),IFERROR(IF(VALUE(MID($A102,2,20))&lt;100000000,VALUE(MID($A102,2,20)),1000000000),1000000000))+ROW()/100000,"")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IF($A103="","",E103*N103/100)</f>
        <v/>
      </c>
      <c r="J103" s="7" t="n"/>
      <c r="K103" s="7">
        <f>IF($A103="","",S103*N103)</f>
        <v/>
      </c>
      <c r="L103" s="7">
        <f>IF($A103="","",N103-K103)</f>
        <v/>
      </c>
      <c r="M103" s="7">
        <f>IF($A103="","",L103-F103)</f>
        <v/>
      </c>
      <c r="N103" s="7" t="n"/>
      <c r="Q103" s="11" t="n"/>
      <c r="S103">
        <f>IF($A103="","",IF($W103=1,Settings!$C$6,Settings!$C$7)*1)</f>
        <v/>
      </c>
      <c r="U103">
        <f>IF($A103="","",IF(COUNTIF($A$2:$A103,$A103)=1,1,0))</f>
        <v/>
      </c>
      <c r="V103">
        <f>IF($U103=1,SUMPRODUCT(--($X$2:$X$1001&lt;$X103))+1,"")</f>
        <v/>
      </c>
      <c r="W103">
        <f>IF($A103="","",IF(OR($T103=TRUE(),$T103="TRUE"),1,0))</f>
        <v/>
      </c>
      <c r="X103">
        <f>IF($U103=1,IFERROR(IF(VALUE($A103)&lt;100000000,VALUE($A103),1000000000),IFERROR(IF(VALUE(MID($A103,2,20))&lt;100000000,VALUE(MID($A103,2,20)),1000000000),1000000000))+ROW()/100000,"")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IF($A104="","",E104*N104/100)</f>
        <v/>
      </c>
      <c r="J104" s="7" t="n"/>
      <c r="K104" s="7">
        <f>IF($A104="","",S104*N104)</f>
        <v/>
      </c>
      <c r="L104" s="7">
        <f>IF($A104="","",N104-K104)</f>
        <v/>
      </c>
      <c r="M104" s="7">
        <f>IF($A104="","",L104-F104)</f>
        <v/>
      </c>
      <c r="N104" s="7" t="n"/>
      <c r="Q104" s="11" t="n"/>
      <c r="S104">
        <f>IF($A104="","",IF($W104=1,Settings!$C$6,Settings!$C$7)*1)</f>
        <v/>
      </c>
      <c r="U104">
        <f>IF($A104="","",IF(COUNTIF($A$2:$A104,$A104)=1,1,0))</f>
        <v/>
      </c>
      <c r="V104">
        <f>IF($U104=1,SUMPRODUCT(--($X$2:$X$1001&lt;$X104))+1,"")</f>
        <v/>
      </c>
      <c r="W104">
        <f>IF($A104="","",IF(OR($T104=TRUE(),$T104="TRUE"),1,0))</f>
        <v/>
      </c>
      <c r="X104">
        <f>IF($U104=1,IFERROR(IF(VALUE($A104)&lt;100000000,VALUE($A104),1000000000),IFERROR(IF(VALUE(MID($A104,2,20))&lt;100000000,VALUE(MID($A104,2,20)),1000000000),1000000000))+ROW()/100000,"")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IF($A105="","",E105*N105/100)</f>
        <v/>
      </c>
      <c r="J105" s="7" t="n"/>
      <c r="K105" s="7">
        <f>IF($A105="","",S105*N105)</f>
        <v/>
      </c>
      <c r="L105" s="7">
        <f>IF($A105="","",N105-K105)</f>
        <v/>
      </c>
      <c r="M105" s="7">
        <f>IF($A105="","",L105-F105)</f>
        <v/>
      </c>
      <c r="N105" s="7" t="n"/>
      <c r="Q105" s="11" t="n"/>
      <c r="S105">
        <f>IF($A105="","",IF($W105=1,Settings!$C$6,Settings!$C$7)*1)</f>
        <v/>
      </c>
      <c r="U105">
        <f>IF($A105="","",IF(COUNTIF($A$2:$A105,$A105)=1,1,0))</f>
        <v/>
      </c>
      <c r="V105">
        <f>IF($U105=1,SUMPRODUCT(--($X$2:$X$1001&lt;$X105))+1,"")</f>
        <v/>
      </c>
      <c r="W105">
        <f>IF($A105="","",IF(OR($T105=TRUE(),$T105="TRUE"),1,0))</f>
        <v/>
      </c>
      <c r="X105">
        <f>IF($U105=1,IFERROR(IF(VALUE($A105)&lt;100000000,VALUE($A105),1000000000),IFERROR(IF(VALUE(MID($A105,2,20))&lt;100000000,VALUE(MID($A105,2,20)),1000000000),1000000000))+ROW()/100000,"")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IF($A106="","",E106*N106/100)</f>
        <v/>
      </c>
      <c r="J106" s="7" t="n"/>
      <c r="K106" s="7">
        <f>IF($A106="","",S106*N106)</f>
        <v/>
      </c>
      <c r="L106" s="7">
        <f>IF($A106="","",N106-K106)</f>
        <v/>
      </c>
      <c r="M106" s="7">
        <f>IF($A106="","",L106-F106)</f>
        <v/>
      </c>
      <c r="N106" s="7" t="n"/>
      <c r="Q106" s="11" t="n"/>
      <c r="S106">
        <f>IF($A106="","",IF($W106=1,Settings!$C$6,Settings!$C$7)*1)</f>
        <v/>
      </c>
      <c r="U106">
        <f>IF($A106="","",IF(COUNTIF($A$2:$A106,$A106)=1,1,0))</f>
        <v/>
      </c>
      <c r="V106">
        <f>IF($U106=1,SUMPRODUCT(--($X$2:$X$1001&lt;$X106))+1,"")</f>
        <v/>
      </c>
      <c r="W106">
        <f>IF($A106="","",IF(OR($T106=TRUE(),$T106="TRUE"),1,0))</f>
        <v/>
      </c>
      <c r="X106">
        <f>IF($U106=1,IFERROR(IF(VALUE($A106)&lt;100000000,VALUE($A106),1000000000),IFERROR(IF(VALUE(MID($A106,2,20))&lt;100000000,VALUE(MID($A106,2,20)),1000000000),1000000000))+ROW()/100000,"")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IF($A107="","",E107*N107/100)</f>
        <v/>
      </c>
      <c r="J107" s="7" t="n"/>
      <c r="K107" s="7">
        <f>IF($A107="","",S107*N107)</f>
        <v/>
      </c>
      <c r="L107" s="7">
        <f>IF($A107="","",N107-K107)</f>
        <v/>
      </c>
      <c r="M107" s="7">
        <f>IF($A107="","",L107-F107)</f>
        <v/>
      </c>
      <c r="N107" s="7" t="n"/>
      <c r="Q107" s="11" t="n"/>
      <c r="S107">
        <f>IF($A107="","",IF($W107=1,Settings!$C$6,Settings!$C$7)*1)</f>
        <v/>
      </c>
      <c r="U107">
        <f>IF($A107="","",IF(COUNTIF($A$2:$A107,$A107)=1,1,0))</f>
        <v/>
      </c>
      <c r="V107">
        <f>IF($U107=1,SUMPRODUCT(--($X$2:$X$1001&lt;$X107))+1,"")</f>
        <v/>
      </c>
      <c r="W107">
        <f>IF($A107="","",IF(OR($T107=TRUE(),$T107="TRUE"),1,0))</f>
        <v/>
      </c>
      <c r="X107">
        <f>IF($U107=1,IFERROR(IF(VALUE($A107)&lt;100000000,VALUE($A107),1000000000),IFERROR(IF(VALUE(MID($A107,2,20))&lt;100000000,VALUE(MID($A107,2,20)),1000000000),1000000000))+ROW()/100000,"")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IF($A108="","",E108*N108/100)</f>
        <v/>
      </c>
      <c r="J108" s="7" t="n"/>
      <c r="K108" s="7">
        <f>IF($A108="","",S108*N108)</f>
        <v/>
      </c>
      <c r="L108" s="7">
        <f>IF($A108="","",N108-K108)</f>
        <v/>
      </c>
      <c r="M108" s="7">
        <f>IF($A108="","",L108-F108)</f>
        <v/>
      </c>
      <c r="N108" s="7" t="n"/>
      <c r="Q108" s="11" t="n"/>
      <c r="S108">
        <f>IF($A108="","",IF($W108=1,Settings!$C$6,Settings!$C$7)*1)</f>
        <v/>
      </c>
      <c r="U108">
        <f>IF($A108="","",IF(COUNTIF($A$2:$A108,$A108)=1,1,0))</f>
        <v/>
      </c>
      <c r="V108">
        <f>IF($U108=1,SUMPRODUCT(--($X$2:$X$1001&lt;$X108))+1,"")</f>
        <v/>
      </c>
      <c r="W108">
        <f>IF($A108="","",IF(OR($T108=TRUE(),$T108="TRUE"),1,0))</f>
        <v/>
      </c>
      <c r="X108">
        <f>IF($U108=1,IFERROR(IF(VALUE($A108)&lt;100000000,VALUE($A108),1000000000),IFERROR(IF(VALUE(MID($A108,2,20))&lt;100000000,VALUE(MID($A108,2,20)),1000000000),1000000000))+ROW()/100000,"")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IF($A109="","",E109*N109/100)</f>
        <v/>
      </c>
      <c r="J109" s="7" t="n"/>
      <c r="K109" s="7">
        <f>IF($A109="","",S109*N109)</f>
        <v/>
      </c>
      <c r="L109" s="7">
        <f>IF($A109="","",N109-K109)</f>
        <v/>
      </c>
      <c r="M109" s="7">
        <f>IF($A109="","",L109-F109)</f>
        <v/>
      </c>
      <c r="N109" s="7" t="n"/>
      <c r="Q109" s="11" t="n"/>
      <c r="S109">
        <f>IF($A109="","",IF($W109=1,Settings!$C$6,Settings!$C$7)*1)</f>
        <v/>
      </c>
      <c r="U109">
        <f>IF($A109="","",IF(COUNTIF($A$2:$A109,$A109)=1,1,0))</f>
        <v/>
      </c>
      <c r="V109">
        <f>IF($U109=1,SUMPRODUCT(--($X$2:$X$1001&lt;$X109))+1,"")</f>
        <v/>
      </c>
      <c r="W109">
        <f>IF($A109="","",IF(OR($T109=TRUE(),$T109="TRUE"),1,0))</f>
        <v/>
      </c>
      <c r="X109">
        <f>IF($U109=1,IFERROR(IF(VALUE($A109)&lt;100000000,VALUE($A109),1000000000),IFERROR(IF(VALUE(MID($A109,2,20))&lt;100000000,VALUE(MID($A109,2,20)),1000000000),1000000000))+ROW()/100000,"")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IF($A110="","",E110*N110/100)</f>
        <v/>
      </c>
      <c r="J110" s="7" t="n"/>
      <c r="K110" s="7">
        <f>IF($A110="","",S110*N110)</f>
        <v/>
      </c>
      <c r="L110" s="7">
        <f>IF($A110="","",N110-K110)</f>
        <v/>
      </c>
      <c r="M110" s="7">
        <f>IF($A110="","",L110-F110)</f>
        <v/>
      </c>
      <c r="N110" s="7" t="n"/>
      <c r="Q110" s="11" t="n"/>
      <c r="S110">
        <f>IF($A110="","",IF($W110=1,Settings!$C$6,Settings!$C$7)*1)</f>
        <v/>
      </c>
      <c r="U110">
        <f>IF($A110="","",IF(COUNTIF($A$2:$A110,$A110)=1,1,0))</f>
        <v/>
      </c>
      <c r="V110">
        <f>IF($U110=1,SUMPRODUCT(--($X$2:$X$1001&lt;$X110))+1,"")</f>
        <v/>
      </c>
      <c r="W110">
        <f>IF($A110="","",IF(OR($T110=TRUE(),$T110="TRUE"),1,0))</f>
        <v/>
      </c>
      <c r="X110">
        <f>IF($U110=1,IFERROR(IF(VALUE($A110)&lt;100000000,VALUE($A110),1000000000),IFERROR(IF(VALUE(MID($A110,2,20))&lt;100000000,VALUE(MID($A110,2,20)),1000000000),1000000000))+ROW()/100000,"")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IF($A111="","",E111*N111/100)</f>
        <v/>
      </c>
      <c r="J111" s="7" t="n"/>
      <c r="K111" s="7">
        <f>IF($A111="","",S111*N111)</f>
        <v/>
      </c>
      <c r="L111" s="7">
        <f>IF($A111="","",N111-K111)</f>
        <v/>
      </c>
      <c r="M111" s="7">
        <f>IF($A111="","",L111-F111)</f>
        <v/>
      </c>
      <c r="N111" s="7" t="n"/>
      <c r="Q111" s="11" t="n"/>
      <c r="S111">
        <f>IF($A111="","",IF($W111=1,Settings!$C$6,Settings!$C$7)*1)</f>
        <v/>
      </c>
      <c r="U111">
        <f>IF($A111="","",IF(COUNTIF($A$2:$A111,$A111)=1,1,0))</f>
        <v/>
      </c>
      <c r="V111">
        <f>IF($U111=1,SUMPRODUCT(--($X$2:$X$1001&lt;$X111))+1,"")</f>
        <v/>
      </c>
      <c r="W111">
        <f>IF($A111="","",IF(OR($T111=TRUE(),$T111="TRUE"),1,0))</f>
        <v/>
      </c>
      <c r="X111">
        <f>IF($U111=1,IFERROR(IF(VALUE($A111)&lt;100000000,VALUE($A111),1000000000),IFERROR(IF(VALUE(MID($A111,2,20))&lt;100000000,VALUE(MID($A111,2,20)),1000000000),1000000000))+ROW()/100000,"")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IF($A112="","",E112*N112/100)</f>
        <v/>
      </c>
      <c r="J112" s="7" t="n"/>
      <c r="K112" s="7">
        <f>IF($A112="","",S112*N112)</f>
        <v/>
      </c>
      <c r="L112" s="7">
        <f>IF($A112="","",N112-K112)</f>
        <v/>
      </c>
      <c r="M112" s="7">
        <f>IF($A112="","",L112-F112)</f>
        <v/>
      </c>
      <c r="N112" s="7" t="n"/>
      <c r="Q112" s="11" t="n"/>
      <c r="S112">
        <f>IF($A112="","",IF($W112=1,Settings!$C$6,Settings!$C$7)*1)</f>
        <v/>
      </c>
      <c r="U112">
        <f>IF($A112="","",IF(COUNTIF($A$2:$A112,$A112)=1,1,0))</f>
        <v/>
      </c>
      <c r="V112">
        <f>IF($U112=1,SUMPRODUCT(--($X$2:$X$1001&lt;$X112))+1,"")</f>
        <v/>
      </c>
      <c r="W112">
        <f>IF($A112="","",IF(OR($T112=TRUE(),$T112="TRUE"),1,0))</f>
        <v/>
      </c>
      <c r="X112">
        <f>IF($U112=1,IFERROR(IF(VALUE($A112)&lt;100000000,VALUE($A112),1000000000),IFERROR(IF(VALUE(MID($A112,2,20))&lt;100000000,VALUE(MID($A112,2,20)),1000000000),1000000000))+ROW()/100000,"")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IF($A113="","",E113*N113/100)</f>
        <v/>
      </c>
      <c r="J113" s="7" t="n"/>
      <c r="K113" s="7">
        <f>IF($A113="","",S113*N113)</f>
        <v/>
      </c>
      <c r="L113" s="7">
        <f>IF($A113="","",N113-K113)</f>
        <v/>
      </c>
      <c r="M113" s="7">
        <f>IF($A113="","",L113-F113)</f>
        <v/>
      </c>
      <c r="N113" s="7" t="n"/>
      <c r="Q113" s="11" t="n"/>
      <c r="S113">
        <f>IF($A113="","",IF($W113=1,Settings!$C$6,Settings!$C$7)*1)</f>
        <v/>
      </c>
      <c r="U113">
        <f>IF($A113="","",IF(COUNTIF($A$2:$A113,$A113)=1,1,0))</f>
        <v/>
      </c>
      <c r="V113">
        <f>IF($U113=1,SUMPRODUCT(--($X$2:$X$1001&lt;$X113))+1,"")</f>
        <v/>
      </c>
      <c r="W113">
        <f>IF($A113="","",IF(OR($T113=TRUE(),$T113="TRUE"),1,0))</f>
        <v/>
      </c>
      <c r="X113">
        <f>IF($U113=1,IFERROR(IF(VALUE($A113)&lt;100000000,VALUE($A113),1000000000),IFERROR(IF(VALUE(MID($A113,2,20))&lt;100000000,VALUE(MID($A113,2,20)),1000000000),1000000000))+ROW()/100000,"")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IF($A114="","",E114*N114/100)</f>
        <v/>
      </c>
      <c r="J114" s="7" t="n"/>
      <c r="K114" s="7">
        <f>IF($A114="","",S114*N114)</f>
        <v/>
      </c>
      <c r="L114" s="7">
        <f>IF($A114="","",N114-K114)</f>
        <v/>
      </c>
      <c r="M114" s="7">
        <f>IF($A114="","",L114-F114)</f>
        <v/>
      </c>
      <c r="N114" s="7" t="n"/>
      <c r="Q114" s="11" t="n"/>
      <c r="S114">
        <f>IF($A114="","",IF($W114=1,Settings!$C$6,Settings!$C$7)*1)</f>
        <v/>
      </c>
      <c r="U114">
        <f>IF($A114="","",IF(COUNTIF($A$2:$A114,$A114)=1,1,0))</f>
        <v/>
      </c>
      <c r="V114">
        <f>IF($U114=1,SUMPRODUCT(--($X$2:$X$1001&lt;$X114))+1,"")</f>
        <v/>
      </c>
      <c r="W114">
        <f>IF($A114="","",IF(OR($T114=TRUE(),$T114="TRUE"),1,0))</f>
        <v/>
      </c>
      <c r="X114">
        <f>IF($U114=1,IFERROR(IF(VALUE($A114)&lt;100000000,VALUE($A114),1000000000),IFERROR(IF(VALUE(MID($A114,2,20))&lt;100000000,VALUE(MID($A114,2,20)),1000000000),1000000000))+ROW()/100000,"")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IF($A115="","",E115*N115/100)</f>
        <v/>
      </c>
      <c r="J115" s="7" t="n"/>
      <c r="K115" s="7">
        <f>IF($A115="","",S115*N115)</f>
        <v/>
      </c>
      <c r="L115" s="7">
        <f>IF($A115="","",N115-K115)</f>
        <v/>
      </c>
      <c r="M115" s="7">
        <f>IF($A115="","",L115-F115)</f>
        <v/>
      </c>
      <c r="N115" s="7" t="n"/>
      <c r="Q115" s="11" t="n"/>
      <c r="S115">
        <f>IF($A115="","",IF($W115=1,Settings!$C$6,Settings!$C$7)*1)</f>
        <v/>
      </c>
      <c r="U115">
        <f>IF($A115="","",IF(COUNTIF($A$2:$A115,$A115)=1,1,0))</f>
        <v/>
      </c>
      <c r="V115">
        <f>IF($U115=1,SUMPRODUCT(--($X$2:$X$1001&lt;$X115))+1,"")</f>
        <v/>
      </c>
      <c r="W115">
        <f>IF($A115="","",IF(OR($T115=TRUE(),$T115="TRUE"),1,0))</f>
        <v/>
      </c>
      <c r="X115">
        <f>IF($U115=1,IFERROR(IF(VALUE($A115)&lt;100000000,VALUE($A115),1000000000),IFERROR(IF(VALUE(MID($A115,2,20))&lt;100000000,VALUE(MID($A115,2,20)),1000000000),1000000000))+ROW()/100000,"")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IF($A116="","",E116*N116/100)</f>
        <v/>
      </c>
      <c r="J116" s="7" t="n"/>
      <c r="K116" s="7">
        <f>IF($A116="","",S116*N116)</f>
        <v/>
      </c>
      <c r="L116" s="7">
        <f>IF($A116="","",N116-K116)</f>
        <v/>
      </c>
      <c r="M116" s="7">
        <f>IF($A116="","",L116-F116)</f>
        <v/>
      </c>
      <c r="N116" s="7" t="n"/>
      <c r="Q116" s="11" t="n"/>
      <c r="S116">
        <f>IF($A116="","",IF($W116=1,Settings!$C$6,Settings!$C$7)*1)</f>
        <v/>
      </c>
      <c r="U116">
        <f>IF($A116="","",IF(COUNTIF($A$2:$A116,$A116)=1,1,0))</f>
        <v/>
      </c>
      <c r="V116">
        <f>IF($U116=1,SUMPRODUCT(--($X$2:$X$1001&lt;$X116))+1,"")</f>
        <v/>
      </c>
      <c r="W116">
        <f>IF($A116="","",IF(OR($T116=TRUE(),$T116="TRUE"),1,0))</f>
        <v/>
      </c>
      <c r="X116">
        <f>IF($U116=1,IFERROR(IF(VALUE($A116)&lt;100000000,VALUE($A116),1000000000),IFERROR(IF(VALUE(MID($A116,2,20))&lt;100000000,VALUE(MID($A116,2,20)),1000000000),1000000000))+ROW()/100000,"")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IF($A117="","",E117*N117/100)</f>
        <v/>
      </c>
      <c r="J117" s="7" t="n"/>
      <c r="K117" s="7">
        <f>IF($A117="","",S117*N117)</f>
        <v/>
      </c>
      <c r="L117" s="7">
        <f>IF($A117="","",N117-K117)</f>
        <v/>
      </c>
      <c r="M117" s="7">
        <f>IF($A117="","",L117-F117)</f>
        <v/>
      </c>
      <c r="N117" s="7" t="n"/>
      <c r="Q117" s="11" t="n"/>
      <c r="S117">
        <f>IF($A117="","",IF($W117=1,Settings!$C$6,Settings!$C$7)*1)</f>
        <v/>
      </c>
      <c r="U117">
        <f>IF($A117="","",IF(COUNTIF($A$2:$A117,$A117)=1,1,0))</f>
        <v/>
      </c>
      <c r="V117">
        <f>IF($U117=1,SUMPRODUCT(--($X$2:$X$1001&lt;$X117))+1,"")</f>
        <v/>
      </c>
      <c r="W117">
        <f>IF($A117="","",IF(OR($T117=TRUE(),$T117="TRUE"),1,0))</f>
        <v/>
      </c>
      <c r="X117">
        <f>IF($U117=1,IFERROR(IF(VALUE($A117)&lt;100000000,VALUE($A117),1000000000),IFERROR(IF(VALUE(MID($A117,2,20))&lt;100000000,VALUE(MID($A117,2,20)),1000000000),1000000000))+ROW()/100000,"")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IF($A118="","",E118*N118/100)</f>
        <v/>
      </c>
      <c r="J118" s="7" t="n"/>
      <c r="K118" s="7">
        <f>IF($A118="","",S118*N118)</f>
        <v/>
      </c>
      <c r="L118" s="7">
        <f>IF($A118="","",N118-K118)</f>
        <v/>
      </c>
      <c r="M118" s="7">
        <f>IF($A118="","",L118-F118)</f>
        <v/>
      </c>
      <c r="N118" s="7" t="n"/>
      <c r="Q118" s="11" t="n"/>
      <c r="S118">
        <f>IF($A118="","",IF($W118=1,Settings!$C$6,Settings!$C$7)*1)</f>
        <v/>
      </c>
      <c r="U118">
        <f>IF($A118="","",IF(COUNTIF($A$2:$A118,$A118)=1,1,0))</f>
        <v/>
      </c>
      <c r="V118">
        <f>IF($U118=1,SUMPRODUCT(--($X$2:$X$1001&lt;$X118))+1,"")</f>
        <v/>
      </c>
      <c r="W118">
        <f>IF($A118="","",IF(OR($T118=TRUE(),$T118="TRUE"),1,0))</f>
        <v/>
      </c>
      <c r="X118">
        <f>IF($U118=1,IFERROR(IF(VALUE($A118)&lt;100000000,VALUE($A118),1000000000),IFERROR(IF(VALUE(MID($A118,2,20))&lt;100000000,VALUE(MID($A118,2,20)),1000000000),1000000000))+ROW()/100000,"")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IF($A119="","",E119*N119/100)</f>
        <v/>
      </c>
      <c r="J119" s="7" t="n"/>
      <c r="K119" s="7">
        <f>IF($A119="","",S119*N119)</f>
        <v/>
      </c>
      <c r="L119" s="7">
        <f>IF($A119="","",N119-K119)</f>
        <v/>
      </c>
      <c r="M119" s="7">
        <f>IF($A119="","",L119-F119)</f>
        <v/>
      </c>
      <c r="N119" s="7" t="n"/>
      <c r="Q119" s="11" t="n"/>
      <c r="S119">
        <f>IF($A119="","",IF($W119=1,Settings!$C$6,Settings!$C$7)*1)</f>
        <v/>
      </c>
      <c r="U119">
        <f>IF($A119="","",IF(COUNTIF($A$2:$A119,$A119)=1,1,0))</f>
        <v/>
      </c>
      <c r="V119">
        <f>IF($U119=1,SUMPRODUCT(--($X$2:$X$1001&lt;$X119))+1,"")</f>
        <v/>
      </c>
      <c r="W119">
        <f>IF($A119="","",IF(OR($T119=TRUE(),$T119="TRUE"),1,0))</f>
        <v/>
      </c>
      <c r="X119">
        <f>IF($U119=1,IFERROR(IF(VALUE($A119)&lt;100000000,VALUE($A119),1000000000),IFERROR(IF(VALUE(MID($A119,2,20))&lt;100000000,VALUE(MID($A119,2,20)),1000000000),1000000000))+ROW()/100000,"")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IF($A120="","",E120*N120/100)</f>
        <v/>
      </c>
      <c r="J120" s="7" t="n"/>
      <c r="K120" s="7">
        <f>IF($A120="","",S120*N120)</f>
        <v/>
      </c>
      <c r="L120" s="7">
        <f>IF($A120="","",N120-K120)</f>
        <v/>
      </c>
      <c r="M120" s="7">
        <f>IF($A120="","",L120-F120)</f>
        <v/>
      </c>
      <c r="N120" s="7" t="n"/>
      <c r="Q120" s="11" t="n"/>
      <c r="S120">
        <f>IF($A120="","",IF($W120=1,Settings!$C$6,Settings!$C$7)*1)</f>
        <v/>
      </c>
      <c r="U120">
        <f>IF($A120="","",IF(COUNTIF($A$2:$A120,$A120)=1,1,0))</f>
        <v/>
      </c>
      <c r="V120">
        <f>IF($U120=1,SUMPRODUCT(--($X$2:$X$1001&lt;$X120))+1,"")</f>
        <v/>
      </c>
      <c r="W120">
        <f>IF($A120="","",IF(OR($T120=TRUE(),$T120="TRUE"),1,0))</f>
        <v/>
      </c>
      <c r="X120">
        <f>IF($U120=1,IFERROR(IF(VALUE($A120)&lt;100000000,VALUE($A120),1000000000),IFERROR(IF(VALUE(MID($A120,2,20))&lt;100000000,VALUE(MID($A120,2,20)),1000000000),1000000000))+ROW()/100000,"")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IF($A121="","",E121*N121/100)</f>
        <v/>
      </c>
      <c r="J121" s="7" t="n"/>
      <c r="K121" s="7">
        <f>IF($A121="","",S121*N121)</f>
        <v/>
      </c>
      <c r="L121" s="7">
        <f>IF($A121="","",N121-K121)</f>
        <v/>
      </c>
      <c r="M121" s="7">
        <f>IF($A121="","",L121-F121)</f>
        <v/>
      </c>
      <c r="N121" s="7" t="n"/>
      <c r="Q121" s="11" t="n"/>
      <c r="S121">
        <f>IF($A121="","",IF($W121=1,Settings!$C$6,Settings!$C$7)*1)</f>
        <v/>
      </c>
      <c r="U121">
        <f>IF($A121="","",IF(COUNTIF($A$2:$A121,$A121)=1,1,0))</f>
        <v/>
      </c>
      <c r="V121">
        <f>IF($U121=1,SUMPRODUCT(--($X$2:$X$1001&lt;$X121))+1,"")</f>
        <v/>
      </c>
      <c r="W121">
        <f>IF($A121="","",IF(OR($T121=TRUE(),$T121="TRUE"),1,0))</f>
        <v/>
      </c>
      <c r="X121">
        <f>IF($U121=1,IFERROR(IF(VALUE($A121)&lt;100000000,VALUE($A121),1000000000),IFERROR(IF(VALUE(MID($A121,2,20))&lt;100000000,VALUE(MID($A121,2,20)),1000000000),1000000000))+ROW()/100000,"")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IF($A122="","",E122*N122/100)</f>
        <v/>
      </c>
      <c r="J122" s="7" t="n"/>
      <c r="K122" s="7">
        <f>IF($A122="","",S122*N122)</f>
        <v/>
      </c>
      <c r="L122" s="7">
        <f>IF($A122="","",N122-K122)</f>
        <v/>
      </c>
      <c r="M122" s="7">
        <f>IF($A122="","",L122-F122)</f>
        <v/>
      </c>
      <c r="N122" s="7" t="n"/>
      <c r="Q122" s="11" t="n"/>
      <c r="S122">
        <f>IF($A122="","",IF($W122=1,Settings!$C$6,Settings!$C$7)*1)</f>
        <v/>
      </c>
      <c r="U122">
        <f>IF($A122="","",IF(COUNTIF($A$2:$A122,$A122)=1,1,0))</f>
        <v/>
      </c>
      <c r="V122">
        <f>IF($U122=1,SUMPRODUCT(--($X$2:$X$1001&lt;$X122))+1,"")</f>
        <v/>
      </c>
      <c r="W122">
        <f>IF($A122="","",IF(OR($T122=TRUE(),$T122="TRUE"),1,0))</f>
        <v/>
      </c>
      <c r="X122">
        <f>IF($U122=1,IFERROR(IF(VALUE($A122)&lt;100000000,VALUE($A122),1000000000),IFERROR(IF(VALUE(MID($A122,2,20))&lt;100000000,VALUE(MID($A122,2,20)),1000000000),1000000000))+ROW()/100000,"")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IF($A123="","",E123*N123/100)</f>
        <v/>
      </c>
      <c r="J123" s="7" t="n"/>
      <c r="K123" s="7">
        <f>IF($A123="","",S123*N123)</f>
        <v/>
      </c>
      <c r="L123" s="7">
        <f>IF($A123="","",N123-K123)</f>
        <v/>
      </c>
      <c r="M123" s="7">
        <f>IF($A123="","",L123-F123)</f>
        <v/>
      </c>
      <c r="N123" s="7" t="n"/>
      <c r="Q123" s="11" t="n"/>
      <c r="S123">
        <f>IF($A123="","",IF($W123=1,Settings!$C$6,Settings!$C$7)*1)</f>
        <v/>
      </c>
      <c r="U123">
        <f>IF($A123="","",IF(COUNTIF($A$2:$A123,$A123)=1,1,0))</f>
        <v/>
      </c>
      <c r="V123">
        <f>IF($U123=1,SUMPRODUCT(--($X$2:$X$1001&lt;$X123))+1,"")</f>
        <v/>
      </c>
      <c r="W123">
        <f>IF($A123="","",IF(OR($T123=TRUE(),$T123="TRUE"),1,0))</f>
        <v/>
      </c>
      <c r="X123">
        <f>IF($U123=1,IFERROR(IF(VALUE($A123)&lt;100000000,VALUE($A123),1000000000),IFERROR(IF(VALUE(MID($A123,2,20))&lt;100000000,VALUE(MID($A123,2,20)),1000000000),1000000000))+ROW()/100000,"")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IF($A124="","",E124*N124/100)</f>
        <v/>
      </c>
      <c r="J124" s="7" t="n"/>
      <c r="K124" s="7">
        <f>IF($A124="","",S124*N124)</f>
        <v/>
      </c>
      <c r="L124" s="7">
        <f>IF($A124="","",N124-K124)</f>
        <v/>
      </c>
      <c r="M124" s="7">
        <f>IF($A124="","",L124-F124)</f>
        <v/>
      </c>
      <c r="N124" s="7" t="n"/>
      <c r="Q124" s="11" t="n"/>
      <c r="S124">
        <f>IF($A124="","",IF($W124=1,Settings!$C$6,Settings!$C$7)*1)</f>
        <v/>
      </c>
      <c r="U124">
        <f>IF($A124="","",IF(COUNTIF($A$2:$A124,$A124)=1,1,0))</f>
        <v/>
      </c>
      <c r="V124">
        <f>IF($U124=1,SUMPRODUCT(--($X$2:$X$1001&lt;$X124))+1,"")</f>
        <v/>
      </c>
      <c r="W124">
        <f>IF($A124="","",IF(OR($T124=TRUE(),$T124="TRUE"),1,0))</f>
        <v/>
      </c>
      <c r="X124">
        <f>IF($U124=1,IFERROR(IF(VALUE($A124)&lt;100000000,VALUE($A124),1000000000),IFERROR(IF(VALUE(MID($A124,2,20))&lt;100000000,VALUE(MID($A124,2,20)),1000000000),1000000000))+ROW()/100000,"")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IF($A125="","",E125*N125/100)</f>
        <v/>
      </c>
      <c r="J125" s="7" t="n"/>
      <c r="K125" s="7">
        <f>IF($A125="","",S125*N125)</f>
        <v/>
      </c>
      <c r="L125" s="7">
        <f>IF($A125="","",N125-K125)</f>
        <v/>
      </c>
      <c r="M125" s="7">
        <f>IF($A125="","",L125-F125)</f>
        <v/>
      </c>
      <c r="N125" s="7" t="n"/>
      <c r="Q125" s="11" t="n"/>
      <c r="S125">
        <f>IF($A125="","",IF($W125=1,Settings!$C$6,Settings!$C$7)*1)</f>
        <v/>
      </c>
      <c r="U125">
        <f>IF($A125="","",IF(COUNTIF($A$2:$A125,$A125)=1,1,0))</f>
        <v/>
      </c>
      <c r="V125">
        <f>IF($U125=1,SUMPRODUCT(--($X$2:$X$1001&lt;$X125))+1,"")</f>
        <v/>
      </c>
      <c r="W125">
        <f>IF($A125="","",IF(OR($T125=TRUE(),$T125="TRUE"),1,0))</f>
        <v/>
      </c>
      <c r="X125">
        <f>IF($U125=1,IFERROR(IF(VALUE($A125)&lt;100000000,VALUE($A125),1000000000),IFERROR(IF(VALUE(MID($A125,2,20))&lt;100000000,VALUE(MID($A125,2,20)),1000000000),1000000000))+ROW()/100000,"")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IF($A126="","",E126*N126/100)</f>
        <v/>
      </c>
      <c r="J126" s="7" t="n"/>
      <c r="K126" s="7">
        <f>IF($A126="","",S126*N126)</f>
        <v/>
      </c>
      <c r="L126" s="7">
        <f>IF($A126="","",N126-K126)</f>
        <v/>
      </c>
      <c r="M126" s="7">
        <f>IF($A126="","",L126-F126)</f>
        <v/>
      </c>
      <c r="N126" s="7" t="n"/>
      <c r="Q126" s="11" t="n"/>
      <c r="S126">
        <f>IF($A126="","",IF($W126=1,Settings!$C$6,Settings!$C$7)*1)</f>
        <v/>
      </c>
      <c r="U126">
        <f>IF($A126="","",IF(COUNTIF($A$2:$A126,$A126)=1,1,0))</f>
        <v/>
      </c>
      <c r="V126">
        <f>IF($U126=1,SUMPRODUCT(--($X$2:$X$1001&lt;$X126))+1,"")</f>
        <v/>
      </c>
      <c r="W126">
        <f>IF($A126="","",IF(OR($T126=TRUE(),$T126="TRUE"),1,0))</f>
        <v/>
      </c>
      <c r="X126">
        <f>IF($U126=1,IFERROR(IF(VALUE($A126)&lt;100000000,VALUE($A126),1000000000),IFERROR(IF(VALUE(MID($A126,2,20))&lt;100000000,VALUE(MID($A126,2,20)),1000000000),1000000000))+ROW()/100000,"")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IF($A127="","",E127*N127/100)</f>
        <v/>
      </c>
      <c r="J127" s="7" t="n"/>
      <c r="K127" s="7">
        <f>IF($A127="","",S127*N127)</f>
        <v/>
      </c>
      <c r="L127" s="7">
        <f>IF($A127="","",N127-K127)</f>
        <v/>
      </c>
      <c r="M127" s="7">
        <f>IF($A127="","",L127-F127)</f>
        <v/>
      </c>
      <c r="N127" s="7" t="n"/>
      <c r="Q127" s="11" t="n"/>
      <c r="S127">
        <f>IF($A127="","",IF($W127=1,Settings!$C$6,Settings!$C$7)*1)</f>
        <v/>
      </c>
      <c r="U127">
        <f>IF($A127="","",IF(COUNTIF($A$2:$A127,$A127)=1,1,0))</f>
        <v/>
      </c>
      <c r="V127">
        <f>IF($U127=1,SUMPRODUCT(--($X$2:$X$1001&lt;$X127))+1,"")</f>
        <v/>
      </c>
      <c r="W127">
        <f>IF($A127="","",IF(OR($T127=TRUE(),$T127="TRUE"),1,0))</f>
        <v/>
      </c>
      <c r="X127">
        <f>IF($U127=1,IFERROR(IF(VALUE($A127)&lt;100000000,VALUE($A127),1000000000),IFERROR(IF(VALUE(MID($A127,2,20))&lt;100000000,VALUE(MID($A127,2,20)),1000000000),1000000000))+ROW()/100000,"")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IF($A128="","",E128*N128/100)</f>
        <v/>
      </c>
      <c r="J128" s="7" t="n"/>
      <c r="K128" s="7">
        <f>IF($A128="","",S128*N128)</f>
        <v/>
      </c>
      <c r="L128" s="7">
        <f>IF($A128="","",N128-K128)</f>
        <v/>
      </c>
      <c r="M128" s="7">
        <f>IF($A128="","",L128-F128)</f>
        <v/>
      </c>
      <c r="N128" s="7" t="n"/>
      <c r="Q128" s="11" t="n"/>
      <c r="S128">
        <f>IF($A128="","",IF($W128=1,Settings!$C$6,Settings!$C$7)*1)</f>
        <v/>
      </c>
      <c r="U128">
        <f>IF($A128="","",IF(COUNTIF($A$2:$A128,$A128)=1,1,0))</f>
        <v/>
      </c>
      <c r="V128">
        <f>IF($U128=1,SUMPRODUCT(--($X$2:$X$1001&lt;$X128))+1,"")</f>
        <v/>
      </c>
      <c r="W128">
        <f>IF($A128="","",IF(OR($T128=TRUE(),$T128="TRUE"),1,0))</f>
        <v/>
      </c>
      <c r="X128">
        <f>IF($U128=1,IFERROR(IF(VALUE($A128)&lt;100000000,VALUE($A128),1000000000),IFERROR(IF(VALUE(MID($A128,2,20))&lt;100000000,VALUE(MID($A128,2,20)),1000000000),1000000000))+ROW()/100000,"")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IF($A129="","",E129*N129/100)</f>
        <v/>
      </c>
      <c r="J129" s="7" t="n"/>
      <c r="K129" s="7">
        <f>IF($A129="","",S129*N129)</f>
        <v/>
      </c>
      <c r="L129" s="7">
        <f>IF($A129="","",N129-K129)</f>
        <v/>
      </c>
      <c r="M129" s="7">
        <f>IF($A129="","",L129-F129)</f>
        <v/>
      </c>
      <c r="N129" s="7" t="n"/>
      <c r="Q129" s="11" t="n"/>
      <c r="S129">
        <f>IF($A129="","",IF($W129=1,Settings!$C$6,Settings!$C$7)*1)</f>
        <v/>
      </c>
      <c r="U129">
        <f>IF($A129="","",IF(COUNTIF($A$2:$A129,$A129)=1,1,0))</f>
        <v/>
      </c>
      <c r="V129">
        <f>IF($U129=1,SUMPRODUCT(--($X$2:$X$1001&lt;$X129))+1,"")</f>
        <v/>
      </c>
      <c r="W129">
        <f>IF($A129="","",IF(OR($T129=TRUE(),$T129="TRUE"),1,0))</f>
        <v/>
      </c>
      <c r="X129">
        <f>IF($U129=1,IFERROR(IF(VALUE($A129)&lt;100000000,VALUE($A129),1000000000),IFERROR(IF(VALUE(MID($A129,2,20))&lt;100000000,VALUE(MID($A129,2,20)),1000000000),1000000000))+ROW()/100000,"")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IF($A130="","",E130*N130/100)</f>
        <v/>
      </c>
      <c r="J130" s="7" t="n"/>
      <c r="K130" s="7">
        <f>IF($A130="","",S130*N130)</f>
        <v/>
      </c>
      <c r="L130" s="7">
        <f>IF($A130="","",N130-K130)</f>
        <v/>
      </c>
      <c r="M130" s="7">
        <f>IF($A130="","",L130-F130)</f>
        <v/>
      </c>
      <c r="N130" s="7" t="n"/>
      <c r="Q130" s="11" t="n"/>
      <c r="S130">
        <f>IF($A130="","",IF($W130=1,Settings!$C$6,Settings!$C$7)*1)</f>
        <v/>
      </c>
      <c r="U130">
        <f>IF($A130="","",IF(COUNTIF($A$2:$A130,$A130)=1,1,0))</f>
        <v/>
      </c>
      <c r="V130">
        <f>IF($U130=1,SUMPRODUCT(--($X$2:$X$1001&lt;$X130))+1,"")</f>
        <v/>
      </c>
      <c r="W130">
        <f>IF($A130="","",IF(OR($T130=TRUE(),$T130="TRUE"),1,0))</f>
        <v/>
      </c>
      <c r="X130">
        <f>IF($U130=1,IFERROR(IF(VALUE($A130)&lt;100000000,VALUE($A130),1000000000),IFERROR(IF(VALUE(MID($A130,2,20))&lt;100000000,VALUE(MID($A130,2,20)),1000000000),1000000000))+ROW()/100000,"")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IF($A131="","",E131*N131/100)</f>
        <v/>
      </c>
      <c r="J131" s="7" t="n"/>
      <c r="K131" s="7">
        <f>IF($A131="","",S131*N131)</f>
        <v/>
      </c>
      <c r="L131" s="7">
        <f>IF($A131="","",N131-K131)</f>
        <v/>
      </c>
      <c r="M131" s="7">
        <f>IF($A131="","",L131-F131)</f>
        <v/>
      </c>
      <c r="N131" s="7" t="n"/>
      <c r="Q131" s="11" t="n"/>
      <c r="S131">
        <f>IF($A131="","",IF($W131=1,Settings!$C$6,Settings!$C$7)*1)</f>
        <v/>
      </c>
      <c r="U131">
        <f>IF($A131="","",IF(COUNTIF($A$2:$A131,$A131)=1,1,0))</f>
        <v/>
      </c>
      <c r="V131">
        <f>IF($U131=1,SUMPRODUCT(--($X$2:$X$1001&lt;$X131))+1,"")</f>
        <v/>
      </c>
      <c r="W131">
        <f>IF($A131="","",IF(OR($T131=TRUE(),$T131="TRUE"),1,0))</f>
        <v/>
      </c>
      <c r="X131">
        <f>IF($U131=1,IFERROR(IF(VALUE($A131)&lt;100000000,VALUE($A131),1000000000),IFERROR(IF(VALUE(MID($A131,2,20))&lt;100000000,VALUE(MID($A131,2,20)),1000000000),1000000000))+ROW()/100000,"")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IF($A132="","",E132*N132/100)</f>
        <v/>
      </c>
      <c r="J132" s="7" t="n"/>
      <c r="K132" s="7">
        <f>IF($A132="","",S132*N132)</f>
        <v/>
      </c>
      <c r="L132" s="7">
        <f>IF($A132="","",N132-K132)</f>
        <v/>
      </c>
      <c r="M132" s="7">
        <f>IF($A132="","",L132-F132)</f>
        <v/>
      </c>
      <c r="N132" s="7" t="n"/>
      <c r="Q132" s="11" t="n"/>
      <c r="S132">
        <f>IF($A132="","",IF($W132=1,Settings!$C$6,Settings!$C$7)*1)</f>
        <v/>
      </c>
      <c r="U132">
        <f>IF($A132="","",IF(COUNTIF($A$2:$A132,$A132)=1,1,0))</f>
        <v/>
      </c>
      <c r="V132">
        <f>IF($U132=1,SUMPRODUCT(--($X$2:$X$1001&lt;$X132))+1,"")</f>
        <v/>
      </c>
      <c r="W132">
        <f>IF($A132="","",IF(OR($T132=TRUE(),$T132="TRUE"),1,0))</f>
        <v/>
      </c>
      <c r="X132">
        <f>IF($U132=1,IFERROR(IF(VALUE($A132)&lt;100000000,VALUE($A132),1000000000),IFERROR(IF(VALUE(MID($A132,2,20))&lt;100000000,VALUE(MID($A132,2,20)),1000000000),1000000000))+ROW()/100000,"")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IF($A133="","",E133*N133/100)</f>
        <v/>
      </c>
      <c r="J133" s="7" t="n"/>
      <c r="K133" s="7">
        <f>IF($A133="","",S133*N133)</f>
        <v/>
      </c>
      <c r="L133" s="7">
        <f>IF($A133="","",N133-K133)</f>
        <v/>
      </c>
      <c r="M133" s="7">
        <f>IF($A133="","",L133-F133)</f>
        <v/>
      </c>
      <c r="N133" s="7" t="n"/>
      <c r="Q133" s="11" t="n"/>
      <c r="S133">
        <f>IF($A133="","",IF($W133=1,Settings!$C$6,Settings!$C$7)*1)</f>
        <v/>
      </c>
      <c r="U133">
        <f>IF($A133="","",IF(COUNTIF($A$2:$A133,$A133)=1,1,0))</f>
        <v/>
      </c>
      <c r="V133">
        <f>IF($U133=1,SUMPRODUCT(--($X$2:$X$1001&lt;$X133))+1,"")</f>
        <v/>
      </c>
      <c r="W133">
        <f>IF($A133="","",IF(OR($T133=TRUE(),$T133="TRUE"),1,0))</f>
        <v/>
      </c>
      <c r="X133">
        <f>IF($U133=1,IFERROR(IF(VALUE($A133)&lt;100000000,VALUE($A133),1000000000),IFERROR(IF(VALUE(MID($A133,2,20))&lt;100000000,VALUE(MID($A133,2,20)),1000000000),1000000000))+ROW()/100000,"")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IF($A134="","",E134*N134/100)</f>
        <v/>
      </c>
      <c r="J134" s="7" t="n"/>
      <c r="K134" s="7">
        <f>IF($A134="","",S134*N134)</f>
        <v/>
      </c>
      <c r="L134" s="7">
        <f>IF($A134="","",N134-K134)</f>
        <v/>
      </c>
      <c r="M134" s="7">
        <f>IF($A134="","",L134-F134)</f>
        <v/>
      </c>
      <c r="N134" s="7" t="n"/>
      <c r="Q134" s="11" t="n"/>
      <c r="S134">
        <f>IF($A134="","",IF($W134=1,Settings!$C$6,Settings!$C$7)*1)</f>
        <v/>
      </c>
      <c r="U134">
        <f>IF($A134="","",IF(COUNTIF($A$2:$A134,$A134)=1,1,0))</f>
        <v/>
      </c>
      <c r="V134">
        <f>IF($U134=1,SUMPRODUCT(--($X$2:$X$1001&lt;$X134))+1,"")</f>
        <v/>
      </c>
      <c r="W134">
        <f>IF($A134="","",IF(OR($T134=TRUE(),$T134="TRUE"),1,0))</f>
        <v/>
      </c>
      <c r="X134">
        <f>IF($U134=1,IFERROR(IF(VALUE($A134)&lt;100000000,VALUE($A134),1000000000),IFERROR(IF(VALUE(MID($A134,2,20))&lt;100000000,VALUE(MID($A134,2,20)),1000000000),1000000000))+ROW()/100000,"")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IF($A135="","",E135*N135/100)</f>
        <v/>
      </c>
      <c r="J135" s="7" t="n"/>
      <c r="K135" s="7">
        <f>IF($A135="","",S135*N135)</f>
        <v/>
      </c>
      <c r="L135" s="7">
        <f>IF($A135="","",N135-K135)</f>
        <v/>
      </c>
      <c r="M135" s="7">
        <f>IF($A135="","",L135-F135)</f>
        <v/>
      </c>
      <c r="N135" s="7" t="n"/>
      <c r="Q135" s="11" t="n"/>
      <c r="S135">
        <f>IF($A135="","",IF($W135=1,Settings!$C$6,Settings!$C$7)*1)</f>
        <v/>
      </c>
      <c r="U135">
        <f>IF($A135="","",IF(COUNTIF($A$2:$A135,$A135)=1,1,0))</f>
        <v/>
      </c>
      <c r="V135">
        <f>IF($U135=1,SUMPRODUCT(--($X$2:$X$1001&lt;$X135))+1,"")</f>
        <v/>
      </c>
      <c r="W135">
        <f>IF($A135="","",IF(OR($T135=TRUE(),$T135="TRUE"),1,0))</f>
        <v/>
      </c>
      <c r="X135">
        <f>IF($U135=1,IFERROR(IF(VALUE($A135)&lt;100000000,VALUE($A135),1000000000),IFERROR(IF(VALUE(MID($A135,2,20))&lt;100000000,VALUE(MID($A135,2,20)),1000000000),1000000000))+ROW()/100000,"")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IF($A136="","",E136*N136/100)</f>
        <v/>
      </c>
      <c r="J136" s="7" t="n"/>
      <c r="K136" s="7">
        <f>IF($A136="","",S136*N136)</f>
        <v/>
      </c>
      <c r="L136" s="7">
        <f>IF($A136="","",N136-K136)</f>
        <v/>
      </c>
      <c r="M136" s="7">
        <f>IF($A136="","",L136-F136)</f>
        <v/>
      </c>
      <c r="N136" s="7" t="n"/>
      <c r="Q136" s="11" t="n"/>
      <c r="S136">
        <f>IF($A136="","",IF($W136=1,Settings!$C$6,Settings!$C$7)*1)</f>
        <v/>
      </c>
      <c r="U136">
        <f>IF($A136="","",IF(COUNTIF($A$2:$A136,$A136)=1,1,0))</f>
        <v/>
      </c>
      <c r="V136">
        <f>IF($U136=1,SUMPRODUCT(--($X$2:$X$1001&lt;$X136))+1,"")</f>
        <v/>
      </c>
      <c r="W136">
        <f>IF($A136="","",IF(OR($T136=TRUE(),$T136="TRUE"),1,0))</f>
        <v/>
      </c>
      <c r="X136">
        <f>IF($U136=1,IFERROR(IF(VALUE($A136)&lt;100000000,VALUE($A136),1000000000),IFERROR(IF(VALUE(MID($A136,2,20))&lt;100000000,VALUE(MID($A136,2,20)),1000000000),1000000000))+ROW()/100000,"")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IF($A137="","",E137*N137/100)</f>
        <v/>
      </c>
      <c r="J137" s="7" t="n"/>
      <c r="K137" s="7">
        <f>IF($A137="","",S137*N137)</f>
        <v/>
      </c>
      <c r="L137" s="7">
        <f>IF($A137="","",N137-K137)</f>
        <v/>
      </c>
      <c r="M137" s="7">
        <f>IF($A137="","",L137-F137)</f>
        <v/>
      </c>
      <c r="N137" s="7" t="n"/>
      <c r="Q137" s="11" t="n"/>
      <c r="S137">
        <f>IF($A137="","",IF($W137=1,Settings!$C$6,Settings!$C$7)*1)</f>
        <v/>
      </c>
      <c r="U137">
        <f>IF($A137="","",IF(COUNTIF($A$2:$A137,$A137)=1,1,0))</f>
        <v/>
      </c>
      <c r="V137">
        <f>IF($U137=1,SUMPRODUCT(--($X$2:$X$1001&lt;$X137))+1,"")</f>
        <v/>
      </c>
      <c r="W137">
        <f>IF($A137="","",IF(OR($T137=TRUE(),$T137="TRUE"),1,0))</f>
        <v/>
      </c>
      <c r="X137">
        <f>IF($U137=1,IFERROR(IF(VALUE($A137)&lt;100000000,VALUE($A137),1000000000),IFERROR(IF(VALUE(MID($A137,2,20))&lt;100000000,VALUE(MID($A137,2,20)),1000000000),1000000000))+ROW()/100000,"")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IF($A138="","",E138*N138/100)</f>
        <v/>
      </c>
      <c r="J138" s="7" t="n"/>
      <c r="K138" s="7">
        <f>IF($A138="","",S138*N138)</f>
        <v/>
      </c>
      <c r="L138" s="7">
        <f>IF($A138="","",N138-K138)</f>
        <v/>
      </c>
      <c r="M138" s="7">
        <f>IF($A138="","",L138-F138)</f>
        <v/>
      </c>
      <c r="N138" s="7" t="n"/>
      <c r="Q138" s="11" t="n"/>
      <c r="S138">
        <f>IF($A138="","",IF($W138=1,Settings!$C$6,Settings!$C$7)*1)</f>
        <v/>
      </c>
      <c r="U138">
        <f>IF($A138="","",IF(COUNTIF($A$2:$A138,$A138)=1,1,0))</f>
        <v/>
      </c>
      <c r="V138">
        <f>IF($U138=1,SUMPRODUCT(--($X$2:$X$1001&lt;$X138))+1,"")</f>
        <v/>
      </c>
      <c r="W138">
        <f>IF($A138="","",IF(OR($T138=TRUE(),$T138="TRUE"),1,0))</f>
        <v/>
      </c>
      <c r="X138">
        <f>IF($U138=1,IFERROR(IF(VALUE($A138)&lt;100000000,VALUE($A138),1000000000),IFERROR(IF(VALUE(MID($A138,2,20))&lt;100000000,VALUE(MID($A138,2,20)),1000000000),1000000000))+ROW()/100000,"")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IF($A139="","",E139*N139/100)</f>
        <v/>
      </c>
      <c r="J139" s="7" t="n"/>
      <c r="K139" s="7">
        <f>IF($A139="","",S139*N139)</f>
        <v/>
      </c>
      <c r="L139" s="7">
        <f>IF($A139="","",N139-K139)</f>
        <v/>
      </c>
      <c r="M139" s="7">
        <f>IF($A139="","",L139-F139)</f>
        <v/>
      </c>
      <c r="N139" s="7" t="n"/>
      <c r="Q139" s="11" t="n"/>
      <c r="S139">
        <f>IF($A139="","",IF($W139=1,Settings!$C$6,Settings!$C$7)*1)</f>
        <v/>
      </c>
      <c r="U139">
        <f>IF($A139="","",IF(COUNTIF($A$2:$A139,$A139)=1,1,0))</f>
        <v/>
      </c>
      <c r="V139">
        <f>IF($U139=1,SUMPRODUCT(--($X$2:$X$1001&lt;$X139))+1,"")</f>
        <v/>
      </c>
      <c r="W139">
        <f>IF($A139="","",IF(OR($T139=TRUE(),$T139="TRUE"),1,0))</f>
        <v/>
      </c>
      <c r="X139">
        <f>IF($U139=1,IFERROR(IF(VALUE($A139)&lt;100000000,VALUE($A139),1000000000),IFERROR(IF(VALUE(MID($A139,2,20))&lt;100000000,VALUE(MID($A139,2,20)),1000000000),1000000000))+ROW()/100000,"")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IF($A140="","",E140*N140/100)</f>
        <v/>
      </c>
      <c r="J140" s="7" t="n"/>
      <c r="K140" s="7">
        <f>IF($A140="","",S140*N140)</f>
        <v/>
      </c>
      <c r="L140" s="7">
        <f>IF($A140="","",N140-K140)</f>
        <v/>
      </c>
      <c r="M140" s="7">
        <f>IF($A140="","",L140-F140)</f>
        <v/>
      </c>
      <c r="N140" s="7" t="n"/>
      <c r="Q140" s="11" t="n"/>
      <c r="S140">
        <f>IF($A140="","",IF($W140=1,Settings!$C$6,Settings!$C$7)*1)</f>
        <v/>
      </c>
      <c r="U140">
        <f>IF($A140="","",IF(COUNTIF($A$2:$A140,$A140)=1,1,0))</f>
        <v/>
      </c>
      <c r="V140">
        <f>IF($U140=1,SUMPRODUCT(--($X$2:$X$1001&lt;$X140))+1,"")</f>
        <v/>
      </c>
      <c r="W140">
        <f>IF($A140="","",IF(OR($T140=TRUE(),$T140="TRUE"),1,0))</f>
        <v/>
      </c>
      <c r="X140">
        <f>IF($U140=1,IFERROR(IF(VALUE($A140)&lt;100000000,VALUE($A140),1000000000),IFERROR(IF(VALUE(MID($A140,2,20))&lt;100000000,VALUE(MID($A140,2,20)),1000000000),1000000000))+ROW()/100000,"")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IF($A141="","",E141*N141/100)</f>
        <v/>
      </c>
      <c r="J141" s="7" t="n"/>
      <c r="K141" s="7">
        <f>IF($A141="","",S141*N141)</f>
        <v/>
      </c>
      <c r="L141" s="7">
        <f>IF($A141="","",N141-K141)</f>
        <v/>
      </c>
      <c r="M141" s="7">
        <f>IF($A141="","",L141-F141)</f>
        <v/>
      </c>
      <c r="N141" s="7" t="n"/>
      <c r="Q141" s="11" t="n"/>
      <c r="S141">
        <f>IF($A141="","",IF($W141=1,Settings!$C$6,Settings!$C$7)*1)</f>
        <v/>
      </c>
      <c r="U141">
        <f>IF($A141="","",IF(COUNTIF($A$2:$A141,$A141)=1,1,0))</f>
        <v/>
      </c>
      <c r="V141">
        <f>IF($U141=1,SUMPRODUCT(--($X$2:$X$1001&lt;$X141))+1,"")</f>
        <v/>
      </c>
      <c r="W141">
        <f>IF($A141="","",IF(OR($T141=TRUE(),$T141="TRUE"),1,0))</f>
        <v/>
      </c>
      <c r="X141">
        <f>IF($U141=1,IFERROR(IF(VALUE($A141)&lt;100000000,VALUE($A141),1000000000),IFERROR(IF(VALUE(MID($A141,2,20))&lt;100000000,VALUE(MID($A141,2,20)),1000000000),1000000000))+ROW()/100000,"")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IF($A142="","",E142*N142/100)</f>
        <v/>
      </c>
      <c r="J142" s="7" t="n"/>
      <c r="K142" s="7">
        <f>IF($A142="","",S142*N142)</f>
        <v/>
      </c>
      <c r="L142" s="7">
        <f>IF($A142="","",N142-K142)</f>
        <v/>
      </c>
      <c r="M142" s="7">
        <f>IF($A142="","",L142-F142)</f>
        <v/>
      </c>
      <c r="N142" s="7" t="n"/>
      <c r="Q142" s="11" t="n"/>
      <c r="S142">
        <f>IF($A142="","",IF($W142=1,Settings!$C$6,Settings!$C$7)*1)</f>
        <v/>
      </c>
      <c r="U142">
        <f>IF($A142="","",IF(COUNTIF($A$2:$A142,$A142)=1,1,0))</f>
        <v/>
      </c>
      <c r="V142">
        <f>IF($U142=1,SUMPRODUCT(--($X$2:$X$1001&lt;$X142))+1,"")</f>
        <v/>
      </c>
      <c r="W142">
        <f>IF($A142="","",IF(OR($T142=TRUE(),$T142="TRUE"),1,0))</f>
        <v/>
      </c>
      <c r="X142">
        <f>IF($U142=1,IFERROR(IF(VALUE($A142)&lt;100000000,VALUE($A142),1000000000),IFERROR(IF(VALUE(MID($A142,2,20))&lt;100000000,VALUE(MID($A142,2,20)),1000000000),1000000000))+ROW()/100000,"")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IF($A143="","",E143*N143/100)</f>
        <v/>
      </c>
      <c r="J143" s="7" t="n"/>
      <c r="K143" s="7">
        <f>IF($A143="","",S143*N143)</f>
        <v/>
      </c>
      <c r="L143" s="7">
        <f>IF($A143="","",N143-K143)</f>
        <v/>
      </c>
      <c r="M143" s="7">
        <f>IF($A143="","",L143-F143)</f>
        <v/>
      </c>
      <c r="N143" s="7" t="n"/>
      <c r="Q143" s="11" t="n"/>
      <c r="S143">
        <f>IF($A143="","",IF($W143=1,Settings!$C$6,Settings!$C$7)*1)</f>
        <v/>
      </c>
      <c r="U143">
        <f>IF($A143="","",IF(COUNTIF($A$2:$A143,$A143)=1,1,0))</f>
        <v/>
      </c>
      <c r="V143">
        <f>IF($U143=1,SUMPRODUCT(--($X$2:$X$1001&lt;$X143))+1,"")</f>
        <v/>
      </c>
      <c r="W143">
        <f>IF($A143="","",IF(OR($T143=TRUE(),$T143="TRUE"),1,0))</f>
        <v/>
      </c>
      <c r="X143">
        <f>IF($U143=1,IFERROR(IF(VALUE($A143)&lt;100000000,VALUE($A143),1000000000),IFERROR(IF(VALUE(MID($A143,2,20))&lt;100000000,VALUE(MID($A143,2,20)),1000000000),1000000000))+ROW()/100000,"")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IF($A144="","",E144*N144/100)</f>
        <v/>
      </c>
      <c r="J144" s="7" t="n"/>
      <c r="K144" s="7">
        <f>IF($A144="","",S144*N144)</f>
        <v/>
      </c>
      <c r="L144" s="7">
        <f>IF($A144="","",N144-K144)</f>
        <v/>
      </c>
      <c r="M144" s="7">
        <f>IF($A144="","",L144-F144)</f>
        <v/>
      </c>
      <c r="N144" s="7" t="n"/>
      <c r="Q144" s="11" t="n"/>
      <c r="S144">
        <f>IF($A144="","",IF($W144=1,Settings!$C$6,Settings!$C$7)*1)</f>
        <v/>
      </c>
      <c r="U144">
        <f>IF($A144="","",IF(COUNTIF($A$2:$A144,$A144)=1,1,0))</f>
        <v/>
      </c>
      <c r="V144">
        <f>IF($U144=1,SUMPRODUCT(--($X$2:$X$1001&lt;$X144))+1,"")</f>
        <v/>
      </c>
      <c r="W144">
        <f>IF($A144="","",IF(OR($T144=TRUE(),$T144="TRUE"),1,0))</f>
        <v/>
      </c>
      <c r="X144">
        <f>IF($U144=1,IFERROR(IF(VALUE($A144)&lt;100000000,VALUE($A144),1000000000),IFERROR(IF(VALUE(MID($A144,2,20))&lt;100000000,VALUE(MID($A144,2,20)),1000000000),1000000000))+ROW()/100000,"")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IF($A145="","",E145*N145/100)</f>
        <v/>
      </c>
      <c r="J145" s="7" t="n"/>
      <c r="K145" s="7">
        <f>IF($A145="","",S145*N145)</f>
        <v/>
      </c>
      <c r="L145" s="7">
        <f>IF($A145="","",N145-K145)</f>
        <v/>
      </c>
      <c r="M145" s="7">
        <f>IF($A145="","",L145-F145)</f>
        <v/>
      </c>
      <c r="N145" s="7" t="n"/>
      <c r="Q145" s="11" t="n"/>
      <c r="S145">
        <f>IF($A145="","",IF($W145=1,Settings!$C$6,Settings!$C$7)*1)</f>
        <v/>
      </c>
      <c r="U145">
        <f>IF($A145="","",IF(COUNTIF($A$2:$A145,$A145)=1,1,0))</f>
        <v/>
      </c>
      <c r="V145">
        <f>IF($U145=1,SUMPRODUCT(--($X$2:$X$1001&lt;$X145))+1,"")</f>
        <v/>
      </c>
      <c r="W145">
        <f>IF($A145="","",IF(OR($T145=TRUE(),$T145="TRUE"),1,0))</f>
        <v/>
      </c>
      <c r="X145">
        <f>IF($U145=1,IFERROR(IF(VALUE($A145)&lt;100000000,VALUE($A145),1000000000),IFERROR(IF(VALUE(MID($A145,2,20))&lt;100000000,VALUE(MID($A145,2,20)),1000000000),1000000000))+ROW()/100000,"")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IF($A146="","",E146*N146/100)</f>
        <v/>
      </c>
      <c r="J146" s="7" t="n"/>
      <c r="K146" s="7">
        <f>IF($A146="","",S146*N146)</f>
        <v/>
      </c>
      <c r="L146" s="7">
        <f>IF($A146="","",N146-K146)</f>
        <v/>
      </c>
      <c r="M146" s="7">
        <f>IF($A146="","",L146-F146)</f>
        <v/>
      </c>
      <c r="N146" s="7" t="n"/>
      <c r="Q146" s="11" t="n"/>
      <c r="S146">
        <f>IF($A146="","",IF($W146=1,Settings!$C$6,Settings!$C$7)*1)</f>
        <v/>
      </c>
      <c r="U146">
        <f>IF($A146="","",IF(COUNTIF($A$2:$A146,$A146)=1,1,0))</f>
        <v/>
      </c>
      <c r="V146">
        <f>IF($U146=1,SUMPRODUCT(--($X$2:$X$1001&lt;$X146))+1,"")</f>
        <v/>
      </c>
      <c r="W146">
        <f>IF($A146="","",IF(OR($T146=TRUE(),$T146="TRUE"),1,0))</f>
        <v/>
      </c>
      <c r="X146">
        <f>IF($U146=1,IFERROR(IF(VALUE($A146)&lt;100000000,VALUE($A146),1000000000),IFERROR(IF(VALUE(MID($A146,2,20))&lt;100000000,VALUE(MID($A146,2,20)),1000000000),1000000000))+ROW()/100000,"")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IF($A147="","",E147*N147/100)</f>
        <v/>
      </c>
      <c r="J147" s="7" t="n"/>
      <c r="K147" s="7">
        <f>IF($A147="","",S147*N147)</f>
        <v/>
      </c>
      <c r="L147" s="7">
        <f>IF($A147="","",N147-K147)</f>
        <v/>
      </c>
      <c r="M147" s="7">
        <f>IF($A147="","",L147-F147)</f>
        <v/>
      </c>
      <c r="N147" s="7" t="n"/>
      <c r="Q147" s="11" t="n"/>
      <c r="S147">
        <f>IF($A147="","",IF($W147=1,Settings!$C$6,Settings!$C$7)*1)</f>
        <v/>
      </c>
      <c r="U147">
        <f>IF($A147="","",IF(COUNTIF($A$2:$A147,$A147)=1,1,0))</f>
        <v/>
      </c>
      <c r="V147">
        <f>IF($U147=1,SUMPRODUCT(--($X$2:$X$1001&lt;$X147))+1,"")</f>
        <v/>
      </c>
      <c r="W147">
        <f>IF($A147="","",IF(OR($T147=TRUE(),$T147="TRUE"),1,0))</f>
        <v/>
      </c>
      <c r="X147">
        <f>IF($U147=1,IFERROR(IF(VALUE($A147)&lt;100000000,VALUE($A147),1000000000),IFERROR(IF(VALUE(MID($A147,2,20))&lt;100000000,VALUE(MID($A147,2,20)),1000000000),1000000000))+ROW()/100000,"")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IF($A148="","",E148*N148/100)</f>
        <v/>
      </c>
      <c r="J148" s="7" t="n"/>
      <c r="K148" s="7">
        <f>IF($A148="","",S148*N148)</f>
        <v/>
      </c>
      <c r="L148" s="7">
        <f>IF($A148="","",N148-K148)</f>
        <v/>
      </c>
      <c r="M148" s="7">
        <f>IF($A148="","",L148-F148)</f>
        <v/>
      </c>
      <c r="N148" s="7" t="n"/>
      <c r="Q148" s="11" t="n"/>
      <c r="S148">
        <f>IF($A148="","",IF($W148=1,Settings!$C$6,Settings!$C$7)*1)</f>
        <v/>
      </c>
      <c r="U148">
        <f>IF($A148="","",IF(COUNTIF($A$2:$A148,$A148)=1,1,0))</f>
        <v/>
      </c>
      <c r="V148">
        <f>IF($U148=1,SUMPRODUCT(--($X$2:$X$1001&lt;$X148))+1,"")</f>
        <v/>
      </c>
      <c r="W148">
        <f>IF($A148="","",IF(OR($T148=TRUE(),$T148="TRUE"),1,0))</f>
        <v/>
      </c>
      <c r="X148">
        <f>IF($U148=1,IFERROR(IF(VALUE($A148)&lt;100000000,VALUE($A148),1000000000),IFERROR(IF(VALUE(MID($A148,2,20))&lt;100000000,VALUE(MID($A148,2,20)),1000000000),1000000000))+ROW()/100000,"")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IF($A149="","",E149*N149/100)</f>
        <v/>
      </c>
      <c r="J149" s="7" t="n"/>
      <c r="K149" s="7">
        <f>IF($A149="","",S149*N149)</f>
        <v/>
      </c>
      <c r="L149" s="7">
        <f>IF($A149="","",N149-K149)</f>
        <v/>
      </c>
      <c r="M149" s="7">
        <f>IF($A149="","",L149-F149)</f>
        <v/>
      </c>
      <c r="N149" s="7" t="n"/>
      <c r="Q149" s="11" t="n"/>
      <c r="S149">
        <f>IF($A149="","",IF($W149=1,Settings!$C$6,Settings!$C$7)*1)</f>
        <v/>
      </c>
      <c r="U149">
        <f>IF($A149="","",IF(COUNTIF($A$2:$A149,$A149)=1,1,0))</f>
        <v/>
      </c>
      <c r="V149">
        <f>IF($U149=1,SUMPRODUCT(--($X$2:$X$1001&lt;$X149))+1,"")</f>
        <v/>
      </c>
      <c r="W149">
        <f>IF($A149="","",IF(OR($T149=TRUE(),$T149="TRUE"),1,0))</f>
        <v/>
      </c>
      <c r="X149">
        <f>IF($U149=1,IFERROR(IF(VALUE($A149)&lt;100000000,VALUE($A149),1000000000),IFERROR(IF(VALUE(MID($A149,2,20))&lt;100000000,VALUE(MID($A149,2,20)),1000000000),1000000000))+ROW()/100000,"")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IF($A150="","",E150*N150/100)</f>
        <v/>
      </c>
      <c r="J150" s="7" t="n"/>
      <c r="K150" s="7">
        <f>IF($A150="","",S150*N150)</f>
        <v/>
      </c>
      <c r="L150" s="7">
        <f>IF($A150="","",N150-K150)</f>
        <v/>
      </c>
      <c r="M150" s="7">
        <f>IF($A150="","",L150-F150)</f>
        <v/>
      </c>
      <c r="N150" s="7" t="n"/>
      <c r="Q150" s="11" t="n"/>
      <c r="S150">
        <f>IF($A150="","",IF($W150=1,Settings!$C$6,Settings!$C$7)*1)</f>
        <v/>
      </c>
      <c r="U150">
        <f>IF($A150="","",IF(COUNTIF($A$2:$A150,$A150)=1,1,0))</f>
        <v/>
      </c>
      <c r="V150">
        <f>IF($U150=1,SUMPRODUCT(--($X$2:$X$1001&lt;$X150))+1,"")</f>
        <v/>
      </c>
      <c r="W150">
        <f>IF($A150="","",IF(OR($T150=TRUE(),$T150="TRUE"),1,0))</f>
        <v/>
      </c>
      <c r="X150">
        <f>IF($U150=1,IFERROR(IF(VALUE($A150)&lt;100000000,VALUE($A150),1000000000),IFERROR(IF(VALUE(MID($A150,2,20))&lt;100000000,VALUE(MID($A150,2,20)),1000000000),1000000000))+ROW()/100000,"")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IF($A151="","",E151*N151/100)</f>
        <v/>
      </c>
      <c r="J151" s="7" t="n"/>
      <c r="K151" s="7">
        <f>IF($A151="","",S151*N151)</f>
        <v/>
      </c>
      <c r="L151" s="7">
        <f>IF($A151="","",N151-K151)</f>
        <v/>
      </c>
      <c r="M151" s="7">
        <f>IF($A151="","",L151-F151)</f>
        <v/>
      </c>
      <c r="N151" s="7" t="n"/>
      <c r="Q151" s="11" t="n"/>
      <c r="S151">
        <f>IF($A151="","",IF($W151=1,Settings!$C$6,Settings!$C$7)*1)</f>
        <v/>
      </c>
      <c r="U151">
        <f>IF($A151="","",IF(COUNTIF($A$2:$A151,$A151)=1,1,0))</f>
        <v/>
      </c>
      <c r="V151">
        <f>IF($U151=1,SUMPRODUCT(--($X$2:$X$1001&lt;$X151))+1,"")</f>
        <v/>
      </c>
      <c r="W151">
        <f>IF($A151="","",IF(OR($T151=TRUE(),$T151="TRUE"),1,0))</f>
        <v/>
      </c>
      <c r="X151">
        <f>IF($U151=1,IFERROR(IF(VALUE($A151)&lt;100000000,VALUE($A151),1000000000),IFERROR(IF(VALUE(MID($A151,2,20))&lt;100000000,VALUE(MID($A151,2,20)),1000000000),1000000000))+ROW()/100000,"")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IF($A152="","",E152*N152/100)</f>
        <v/>
      </c>
      <c r="J152" s="7" t="n"/>
      <c r="K152" s="7">
        <f>IF($A152="","",S152*N152)</f>
        <v/>
      </c>
      <c r="L152" s="7">
        <f>IF($A152="","",N152-K152)</f>
        <v/>
      </c>
      <c r="M152" s="7">
        <f>IF($A152="","",L152-F152)</f>
        <v/>
      </c>
      <c r="N152" s="7" t="n"/>
      <c r="Q152" s="11" t="n"/>
      <c r="S152">
        <f>IF($A152="","",IF($W152=1,Settings!$C$6,Settings!$C$7)*1)</f>
        <v/>
      </c>
      <c r="U152">
        <f>IF($A152="","",IF(COUNTIF($A$2:$A152,$A152)=1,1,0))</f>
        <v/>
      </c>
      <c r="V152">
        <f>IF($U152=1,SUMPRODUCT(--($X$2:$X$1001&lt;$X152))+1,"")</f>
        <v/>
      </c>
      <c r="W152">
        <f>IF($A152="","",IF(OR($T152=TRUE(),$T152="TRUE"),1,0))</f>
        <v/>
      </c>
      <c r="X152">
        <f>IF($U152=1,IFERROR(IF(VALUE($A152)&lt;100000000,VALUE($A152),1000000000),IFERROR(IF(VALUE(MID($A152,2,20))&lt;100000000,VALUE(MID($A152,2,20)),1000000000),1000000000))+ROW()/100000,"")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IF($A153="","",E153*N153/100)</f>
        <v/>
      </c>
      <c r="J153" s="7" t="n"/>
      <c r="K153" s="7">
        <f>IF($A153="","",S153*N153)</f>
        <v/>
      </c>
      <c r="L153" s="7">
        <f>IF($A153="","",N153-K153)</f>
        <v/>
      </c>
      <c r="M153" s="7">
        <f>IF($A153="","",L153-F153)</f>
        <v/>
      </c>
      <c r="N153" s="7" t="n"/>
      <c r="Q153" s="11" t="n"/>
      <c r="S153">
        <f>IF($A153="","",IF($W153=1,Settings!$C$6,Settings!$C$7)*1)</f>
        <v/>
      </c>
      <c r="U153">
        <f>IF($A153="","",IF(COUNTIF($A$2:$A153,$A153)=1,1,0))</f>
        <v/>
      </c>
      <c r="V153">
        <f>IF($U153=1,SUMPRODUCT(--($X$2:$X$1001&lt;$X153))+1,"")</f>
        <v/>
      </c>
      <c r="W153">
        <f>IF($A153="","",IF(OR($T153=TRUE(),$T153="TRUE"),1,0))</f>
        <v/>
      </c>
      <c r="X153">
        <f>IF($U153=1,IFERROR(IF(VALUE($A153)&lt;100000000,VALUE($A153),1000000000),IFERROR(IF(VALUE(MID($A153,2,20))&lt;100000000,VALUE(MID($A153,2,20)),1000000000),1000000000))+ROW()/100000,"")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IF($A154="","",E154*N154/100)</f>
        <v/>
      </c>
      <c r="J154" s="7" t="n"/>
      <c r="K154" s="7">
        <f>IF($A154="","",S154*N154)</f>
        <v/>
      </c>
      <c r="L154" s="7">
        <f>IF($A154="","",N154-K154)</f>
        <v/>
      </c>
      <c r="M154" s="7">
        <f>IF($A154="","",L154-F154)</f>
        <v/>
      </c>
      <c r="N154" s="7" t="n"/>
      <c r="Q154" s="11" t="n"/>
      <c r="S154">
        <f>IF($A154="","",IF($W154=1,Settings!$C$6,Settings!$C$7)*1)</f>
        <v/>
      </c>
      <c r="U154">
        <f>IF($A154="","",IF(COUNTIF($A$2:$A154,$A154)=1,1,0))</f>
        <v/>
      </c>
      <c r="V154">
        <f>IF($U154=1,SUMPRODUCT(--($X$2:$X$1001&lt;$X154))+1,"")</f>
        <v/>
      </c>
      <c r="W154">
        <f>IF($A154="","",IF(OR($T154=TRUE(),$T154="TRUE"),1,0))</f>
        <v/>
      </c>
      <c r="X154">
        <f>IF($U154=1,IFERROR(IF(VALUE($A154)&lt;100000000,VALUE($A154),1000000000),IFERROR(IF(VALUE(MID($A154,2,20))&lt;100000000,VALUE(MID($A154,2,20)),1000000000),1000000000))+ROW()/100000,"")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IF($A155="","",E155*N155/100)</f>
        <v/>
      </c>
      <c r="J155" s="7" t="n"/>
      <c r="K155" s="7">
        <f>IF($A155="","",S155*N155)</f>
        <v/>
      </c>
      <c r="L155" s="7">
        <f>IF($A155="","",N155-K155)</f>
        <v/>
      </c>
      <c r="M155" s="7">
        <f>IF($A155="","",L155-F155)</f>
        <v/>
      </c>
      <c r="N155" s="7" t="n"/>
      <c r="Q155" s="11" t="n"/>
      <c r="S155">
        <f>IF($A155="","",IF($W155=1,Settings!$C$6,Settings!$C$7)*1)</f>
        <v/>
      </c>
      <c r="U155">
        <f>IF($A155="","",IF(COUNTIF($A$2:$A155,$A155)=1,1,0))</f>
        <v/>
      </c>
      <c r="V155">
        <f>IF($U155=1,SUMPRODUCT(--($X$2:$X$1001&lt;$X155))+1,"")</f>
        <v/>
      </c>
      <c r="W155">
        <f>IF($A155="","",IF(OR($T155=TRUE(),$T155="TRUE"),1,0))</f>
        <v/>
      </c>
      <c r="X155">
        <f>IF($U155=1,IFERROR(IF(VALUE($A155)&lt;100000000,VALUE($A155),1000000000),IFERROR(IF(VALUE(MID($A155,2,20))&lt;100000000,VALUE(MID($A155,2,20)),1000000000),1000000000))+ROW()/100000,"")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IF($A156="","",E156*N156/100)</f>
        <v/>
      </c>
      <c r="J156" s="7" t="n"/>
      <c r="K156" s="7">
        <f>IF($A156="","",S156*N156)</f>
        <v/>
      </c>
      <c r="L156" s="7">
        <f>IF($A156="","",N156-K156)</f>
        <v/>
      </c>
      <c r="M156" s="7">
        <f>IF($A156="","",L156-F156)</f>
        <v/>
      </c>
      <c r="N156" s="7" t="n"/>
      <c r="Q156" s="11" t="n"/>
      <c r="S156">
        <f>IF($A156="","",IF($W156=1,Settings!$C$6,Settings!$C$7)*1)</f>
        <v/>
      </c>
      <c r="U156">
        <f>IF($A156="","",IF(COUNTIF($A$2:$A156,$A156)=1,1,0))</f>
        <v/>
      </c>
      <c r="V156">
        <f>IF($U156=1,SUMPRODUCT(--($X$2:$X$1001&lt;$X156))+1,"")</f>
        <v/>
      </c>
      <c r="W156">
        <f>IF($A156="","",IF(OR($T156=TRUE(),$T156="TRUE"),1,0))</f>
        <v/>
      </c>
      <c r="X156">
        <f>IF($U156=1,IFERROR(IF(VALUE($A156)&lt;100000000,VALUE($A156),1000000000),IFERROR(IF(VALUE(MID($A156,2,20))&lt;100000000,VALUE(MID($A156,2,20)),1000000000),1000000000))+ROW()/100000,"")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IF($A157="","",E157*N157/100)</f>
        <v/>
      </c>
      <c r="J157" s="7" t="n"/>
      <c r="K157" s="7">
        <f>IF($A157="","",S157*N157)</f>
        <v/>
      </c>
      <c r="L157" s="7">
        <f>IF($A157="","",N157-K157)</f>
        <v/>
      </c>
      <c r="M157" s="7">
        <f>IF($A157="","",L157-F157)</f>
        <v/>
      </c>
      <c r="N157" s="7" t="n"/>
      <c r="Q157" s="11" t="n"/>
      <c r="S157">
        <f>IF($A157="","",IF($W157=1,Settings!$C$6,Settings!$C$7)*1)</f>
        <v/>
      </c>
      <c r="U157">
        <f>IF($A157="","",IF(COUNTIF($A$2:$A157,$A157)=1,1,0))</f>
        <v/>
      </c>
      <c r="V157">
        <f>IF($U157=1,SUMPRODUCT(--($X$2:$X$1001&lt;$X157))+1,"")</f>
        <v/>
      </c>
      <c r="W157">
        <f>IF($A157="","",IF(OR($T157=TRUE(),$T157="TRUE"),1,0))</f>
        <v/>
      </c>
      <c r="X157">
        <f>IF($U157=1,IFERROR(IF(VALUE($A157)&lt;100000000,VALUE($A157),1000000000),IFERROR(IF(VALUE(MID($A157,2,20))&lt;100000000,VALUE(MID($A157,2,20)),1000000000),1000000000))+ROW()/100000,"")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IF($A158="","",E158*N158/100)</f>
        <v/>
      </c>
      <c r="J158" s="7" t="n"/>
      <c r="K158" s="7">
        <f>IF($A158="","",S158*N158)</f>
        <v/>
      </c>
      <c r="L158" s="7">
        <f>IF($A158="","",N158-K158)</f>
        <v/>
      </c>
      <c r="M158" s="7">
        <f>IF($A158="","",L158-F158)</f>
        <v/>
      </c>
      <c r="N158" s="7" t="n"/>
      <c r="Q158" s="11" t="n"/>
      <c r="S158">
        <f>IF($A158="","",IF($W158=1,Settings!$C$6,Settings!$C$7)*1)</f>
        <v/>
      </c>
      <c r="U158">
        <f>IF($A158="","",IF(COUNTIF($A$2:$A158,$A158)=1,1,0))</f>
        <v/>
      </c>
      <c r="V158">
        <f>IF($U158=1,SUMPRODUCT(--($X$2:$X$1001&lt;$X158))+1,"")</f>
        <v/>
      </c>
      <c r="W158">
        <f>IF($A158="","",IF(OR($T158=TRUE(),$T158="TRUE"),1,0))</f>
        <v/>
      </c>
      <c r="X158">
        <f>IF($U158=1,IFERROR(IF(VALUE($A158)&lt;100000000,VALUE($A158),1000000000),IFERROR(IF(VALUE(MID($A158,2,20))&lt;100000000,VALUE(MID($A158,2,20)),1000000000),1000000000))+ROW()/100000,"")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IF($A159="","",E159*N159/100)</f>
        <v/>
      </c>
      <c r="J159" s="7" t="n"/>
      <c r="K159" s="7">
        <f>IF($A159="","",S159*N159)</f>
        <v/>
      </c>
      <c r="L159" s="7">
        <f>IF($A159="","",N159-K159)</f>
        <v/>
      </c>
      <c r="M159" s="7">
        <f>IF($A159="","",L159-F159)</f>
        <v/>
      </c>
      <c r="N159" s="7" t="n"/>
      <c r="Q159" s="11" t="n"/>
      <c r="S159">
        <f>IF($A159="","",IF($W159=1,Settings!$C$6,Settings!$C$7)*1)</f>
        <v/>
      </c>
      <c r="U159">
        <f>IF($A159="","",IF(COUNTIF($A$2:$A159,$A159)=1,1,0))</f>
        <v/>
      </c>
      <c r="V159">
        <f>IF($U159=1,SUMPRODUCT(--($X$2:$X$1001&lt;$X159))+1,"")</f>
        <v/>
      </c>
      <c r="W159">
        <f>IF($A159="","",IF(OR($T159=TRUE(),$T159="TRUE"),1,0))</f>
        <v/>
      </c>
      <c r="X159">
        <f>IF($U159=1,IFERROR(IF(VALUE($A159)&lt;100000000,VALUE($A159),1000000000),IFERROR(IF(VALUE(MID($A159,2,20))&lt;100000000,VALUE(MID($A159,2,20)),1000000000),1000000000))+ROW()/100000,"")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IF($A160="","",E160*N160/100)</f>
        <v/>
      </c>
      <c r="J160" s="7" t="n"/>
      <c r="K160" s="7">
        <f>IF($A160="","",S160*N160)</f>
        <v/>
      </c>
      <c r="L160" s="7">
        <f>IF($A160="","",N160-K160)</f>
        <v/>
      </c>
      <c r="M160" s="7">
        <f>IF($A160="","",L160-F160)</f>
        <v/>
      </c>
      <c r="N160" s="7" t="n"/>
      <c r="Q160" s="11" t="n"/>
      <c r="S160">
        <f>IF($A160="","",IF($W160=1,Settings!$C$6,Settings!$C$7)*1)</f>
        <v/>
      </c>
      <c r="U160">
        <f>IF($A160="","",IF(COUNTIF($A$2:$A160,$A160)=1,1,0))</f>
        <v/>
      </c>
      <c r="V160">
        <f>IF($U160=1,SUMPRODUCT(--($X$2:$X$1001&lt;$X160))+1,"")</f>
        <v/>
      </c>
      <c r="W160">
        <f>IF($A160="","",IF(OR($T160=TRUE(),$T160="TRUE"),1,0))</f>
        <v/>
      </c>
      <c r="X160">
        <f>IF($U160=1,IFERROR(IF(VALUE($A160)&lt;100000000,VALUE($A160),1000000000),IFERROR(IF(VALUE(MID($A160,2,20))&lt;100000000,VALUE(MID($A160,2,20)),1000000000),1000000000))+ROW()/100000,"")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IF($A161="","",E161*N161/100)</f>
        <v/>
      </c>
      <c r="J161" s="7" t="n"/>
      <c r="K161" s="7">
        <f>IF($A161="","",S161*N161)</f>
        <v/>
      </c>
      <c r="L161" s="7">
        <f>IF($A161="","",N161-K161)</f>
        <v/>
      </c>
      <c r="M161" s="7">
        <f>IF($A161="","",L161-F161)</f>
        <v/>
      </c>
      <c r="N161" s="7" t="n"/>
      <c r="Q161" s="11" t="n"/>
      <c r="S161">
        <f>IF($A161="","",IF($W161=1,Settings!$C$6,Settings!$C$7)*1)</f>
        <v/>
      </c>
      <c r="U161">
        <f>IF($A161="","",IF(COUNTIF($A$2:$A161,$A161)=1,1,0))</f>
        <v/>
      </c>
      <c r="V161">
        <f>IF($U161=1,SUMPRODUCT(--($X$2:$X$1001&lt;$X161))+1,"")</f>
        <v/>
      </c>
      <c r="W161">
        <f>IF($A161="","",IF(OR($T161=TRUE(),$T161="TRUE"),1,0))</f>
        <v/>
      </c>
      <c r="X161">
        <f>IF($U161=1,IFERROR(IF(VALUE($A161)&lt;100000000,VALUE($A161),1000000000),IFERROR(IF(VALUE(MID($A161,2,20))&lt;100000000,VALUE(MID($A161,2,20)),1000000000),1000000000))+ROW()/100000,"")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IF($A162="","",E162*N162/100)</f>
        <v/>
      </c>
      <c r="J162" s="7" t="n"/>
      <c r="K162" s="7">
        <f>IF($A162="","",S162*N162)</f>
        <v/>
      </c>
      <c r="L162" s="7">
        <f>IF($A162="","",N162-K162)</f>
        <v/>
      </c>
      <c r="M162" s="7">
        <f>IF($A162="","",L162-F162)</f>
        <v/>
      </c>
      <c r="N162" s="7" t="n"/>
      <c r="Q162" s="11" t="n"/>
      <c r="S162">
        <f>IF($A162="","",IF($W162=1,Settings!$C$6,Settings!$C$7)*1)</f>
        <v/>
      </c>
      <c r="U162">
        <f>IF($A162="","",IF(COUNTIF($A$2:$A162,$A162)=1,1,0))</f>
        <v/>
      </c>
      <c r="V162">
        <f>IF($U162=1,SUMPRODUCT(--($X$2:$X$1001&lt;$X162))+1,"")</f>
        <v/>
      </c>
      <c r="W162">
        <f>IF($A162="","",IF(OR($T162=TRUE(),$T162="TRUE"),1,0))</f>
        <v/>
      </c>
      <c r="X162">
        <f>IF($U162=1,IFERROR(IF(VALUE($A162)&lt;100000000,VALUE($A162),1000000000),IFERROR(IF(VALUE(MID($A162,2,20))&lt;100000000,VALUE(MID($A162,2,20)),1000000000),1000000000))+ROW()/100000,"")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IF($A163="","",E163*N163/100)</f>
        <v/>
      </c>
      <c r="J163" s="7" t="n"/>
      <c r="K163" s="7">
        <f>IF($A163="","",S163*N163)</f>
        <v/>
      </c>
      <c r="L163" s="7">
        <f>IF($A163="","",N163-K163)</f>
        <v/>
      </c>
      <c r="M163" s="7">
        <f>IF($A163="","",L163-F163)</f>
        <v/>
      </c>
      <c r="N163" s="7" t="n"/>
      <c r="Q163" s="11" t="n"/>
      <c r="S163">
        <f>IF($A163="","",IF($W163=1,Settings!$C$6,Settings!$C$7)*1)</f>
        <v/>
      </c>
      <c r="U163">
        <f>IF($A163="","",IF(COUNTIF($A$2:$A163,$A163)=1,1,0))</f>
        <v/>
      </c>
      <c r="V163">
        <f>IF($U163=1,SUMPRODUCT(--($X$2:$X$1001&lt;$X163))+1,"")</f>
        <v/>
      </c>
      <c r="W163">
        <f>IF($A163="","",IF(OR($T163=TRUE(),$T163="TRUE"),1,0))</f>
        <v/>
      </c>
      <c r="X163">
        <f>IF($U163=1,IFERROR(IF(VALUE($A163)&lt;100000000,VALUE($A163),1000000000),IFERROR(IF(VALUE(MID($A163,2,20))&lt;100000000,VALUE(MID($A163,2,20)),1000000000),1000000000))+ROW()/100000,"")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IF($A164="","",E164*N164/100)</f>
        <v/>
      </c>
      <c r="J164" s="7" t="n"/>
      <c r="K164" s="7">
        <f>IF($A164="","",S164*N164)</f>
        <v/>
      </c>
      <c r="L164" s="7">
        <f>IF($A164="","",N164-K164)</f>
        <v/>
      </c>
      <c r="M164" s="7">
        <f>IF($A164="","",L164-F164)</f>
        <v/>
      </c>
      <c r="N164" s="7" t="n"/>
      <c r="Q164" s="11" t="n"/>
      <c r="S164">
        <f>IF($A164="","",IF($W164=1,Settings!$C$6,Settings!$C$7)*1)</f>
        <v/>
      </c>
      <c r="U164">
        <f>IF($A164="","",IF(COUNTIF($A$2:$A164,$A164)=1,1,0))</f>
        <v/>
      </c>
      <c r="V164">
        <f>IF($U164=1,SUMPRODUCT(--($X$2:$X$1001&lt;$X164))+1,"")</f>
        <v/>
      </c>
      <c r="W164">
        <f>IF($A164="","",IF(OR($T164=TRUE(),$T164="TRUE"),1,0))</f>
        <v/>
      </c>
      <c r="X164">
        <f>IF($U164=1,IFERROR(IF(VALUE($A164)&lt;100000000,VALUE($A164),1000000000),IFERROR(IF(VALUE(MID($A164,2,20))&lt;100000000,VALUE(MID($A164,2,20)),1000000000),1000000000))+ROW()/100000,"")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IF($A165="","",E165*N165/100)</f>
        <v/>
      </c>
      <c r="J165" s="7" t="n"/>
      <c r="K165" s="7">
        <f>IF($A165="","",S165*N165)</f>
        <v/>
      </c>
      <c r="L165" s="7">
        <f>IF($A165="","",N165-K165)</f>
        <v/>
      </c>
      <c r="M165" s="7">
        <f>IF($A165="","",L165-F165)</f>
        <v/>
      </c>
      <c r="N165" s="7" t="n"/>
      <c r="Q165" s="11" t="n"/>
      <c r="S165">
        <f>IF($A165="","",IF($W165=1,Settings!$C$6,Settings!$C$7)*1)</f>
        <v/>
      </c>
      <c r="U165">
        <f>IF($A165="","",IF(COUNTIF($A$2:$A165,$A165)=1,1,0))</f>
        <v/>
      </c>
      <c r="V165">
        <f>IF($U165=1,SUMPRODUCT(--($X$2:$X$1001&lt;$X165))+1,"")</f>
        <v/>
      </c>
      <c r="W165">
        <f>IF($A165="","",IF(OR($T165=TRUE(),$T165="TRUE"),1,0))</f>
        <v/>
      </c>
      <c r="X165">
        <f>IF($U165=1,IFERROR(IF(VALUE($A165)&lt;100000000,VALUE($A165),1000000000),IFERROR(IF(VALUE(MID($A165,2,20))&lt;100000000,VALUE(MID($A165,2,20)),1000000000),1000000000))+ROW()/100000,"")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IF($A166="","",E166*N166/100)</f>
        <v/>
      </c>
      <c r="J166" s="7" t="n"/>
      <c r="K166" s="7">
        <f>IF($A166="","",S166*N166)</f>
        <v/>
      </c>
      <c r="L166" s="7">
        <f>IF($A166="","",N166-K166)</f>
        <v/>
      </c>
      <c r="M166" s="7">
        <f>IF($A166="","",L166-F166)</f>
        <v/>
      </c>
      <c r="N166" s="7" t="n"/>
      <c r="Q166" s="11" t="n"/>
      <c r="S166">
        <f>IF($A166="","",IF($W166=1,Settings!$C$6,Settings!$C$7)*1)</f>
        <v/>
      </c>
      <c r="U166">
        <f>IF($A166="","",IF(COUNTIF($A$2:$A166,$A166)=1,1,0))</f>
        <v/>
      </c>
      <c r="V166">
        <f>IF($U166=1,SUMPRODUCT(--($X$2:$X$1001&lt;$X166))+1,"")</f>
        <v/>
      </c>
      <c r="W166">
        <f>IF($A166="","",IF(OR($T166=TRUE(),$T166="TRUE"),1,0))</f>
        <v/>
      </c>
      <c r="X166">
        <f>IF($U166=1,IFERROR(IF(VALUE($A166)&lt;100000000,VALUE($A166),1000000000),IFERROR(IF(VALUE(MID($A166,2,20))&lt;100000000,VALUE(MID($A166,2,20)),1000000000),1000000000))+ROW()/100000,"")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IF($A167="","",E167*N167/100)</f>
        <v/>
      </c>
      <c r="J167" s="7" t="n"/>
      <c r="K167" s="7">
        <f>IF($A167="","",S167*N167)</f>
        <v/>
      </c>
      <c r="L167" s="7">
        <f>IF($A167="","",N167-K167)</f>
        <v/>
      </c>
      <c r="M167" s="7">
        <f>IF($A167="","",L167-F167)</f>
        <v/>
      </c>
      <c r="N167" s="7" t="n"/>
      <c r="Q167" s="11" t="n"/>
      <c r="S167">
        <f>IF($A167="","",IF($W167=1,Settings!$C$6,Settings!$C$7)*1)</f>
        <v/>
      </c>
      <c r="U167">
        <f>IF($A167="","",IF(COUNTIF($A$2:$A167,$A167)=1,1,0))</f>
        <v/>
      </c>
      <c r="V167">
        <f>IF($U167=1,SUMPRODUCT(--($X$2:$X$1001&lt;$X167))+1,"")</f>
        <v/>
      </c>
      <c r="W167">
        <f>IF($A167="","",IF(OR($T167=TRUE(),$T167="TRUE"),1,0))</f>
        <v/>
      </c>
      <c r="X167">
        <f>IF($U167=1,IFERROR(IF(VALUE($A167)&lt;100000000,VALUE($A167),1000000000),IFERROR(IF(VALUE(MID($A167,2,20))&lt;100000000,VALUE(MID($A167,2,20)),1000000000),1000000000))+ROW()/100000,"")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IF($A168="","",E168*N168/100)</f>
        <v/>
      </c>
      <c r="J168" s="7" t="n"/>
      <c r="K168" s="7">
        <f>IF($A168="","",S168*N168)</f>
        <v/>
      </c>
      <c r="L168" s="7">
        <f>IF($A168="","",N168-K168)</f>
        <v/>
      </c>
      <c r="M168" s="7">
        <f>IF($A168="","",L168-F168)</f>
        <v/>
      </c>
      <c r="N168" s="7" t="n"/>
      <c r="Q168" s="11" t="n"/>
      <c r="S168">
        <f>IF($A168="","",IF($W168=1,Settings!$C$6,Settings!$C$7)*1)</f>
        <v/>
      </c>
      <c r="U168">
        <f>IF($A168="","",IF(COUNTIF($A$2:$A168,$A168)=1,1,0))</f>
        <v/>
      </c>
      <c r="V168">
        <f>IF($U168=1,SUMPRODUCT(--($X$2:$X$1001&lt;$X168))+1,"")</f>
        <v/>
      </c>
      <c r="W168">
        <f>IF($A168="","",IF(OR($T168=TRUE(),$T168="TRUE"),1,0))</f>
        <v/>
      </c>
      <c r="X168">
        <f>IF($U168=1,IFERROR(IF(VALUE($A168)&lt;100000000,VALUE($A168),1000000000),IFERROR(IF(VALUE(MID($A168,2,20))&lt;100000000,VALUE(MID($A168,2,20)),1000000000),1000000000))+ROW()/100000,"")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IF($A169="","",E169*N169/100)</f>
        <v/>
      </c>
      <c r="J169" s="7" t="n"/>
      <c r="K169" s="7">
        <f>IF($A169="","",S169*N169)</f>
        <v/>
      </c>
      <c r="L169" s="7">
        <f>IF($A169="","",N169-K169)</f>
        <v/>
      </c>
      <c r="M169" s="7">
        <f>IF($A169="","",L169-F169)</f>
        <v/>
      </c>
      <c r="N169" s="7" t="n"/>
      <c r="Q169" s="11" t="n"/>
      <c r="S169">
        <f>IF($A169="","",IF($W169=1,Settings!$C$6,Settings!$C$7)*1)</f>
        <v/>
      </c>
      <c r="U169">
        <f>IF($A169="","",IF(COUNTIF($A$2:$A169,$A169)=1,1,0))</f>
        <v/>
      </c>
      <c r="V169">
        <f>IF($U169=1,SUMPRODUCT(--($X$2:$X$1001&lt;$X169))+1,"")</f>
        <v/>
      </c>
      <c r="W169">
        <f>IF($A169="","",IF(OR($T169=TRUE(),$T169="TRUE"),1,0))</f>
        <v/>
      </c>
      <c r="X169">
        <f>IF($U169=1,IFERROR(IF(VALUE($A169)&lt;100000000,VALUE($A169),1000000000),IFERROR(IF(VALUE(MID($A169,2,20))&lt;100000000,VALUE(MID($A169,2,20)),1000000000),1000000000))+ROW()/100000,"")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IF($A170="","",E170*N170/100)</f>
        <v/>
      </c>
      <c r="J170" s="7" t="n"/>
      <c r="K170" s="7">
        <f>IF($A170="","",S170*N170)</f>
        <v/>
      </c>
      <c r="L170" s="7">
        <f>IF($A170="","",N170-K170)</f>
        <v/>
      </c>
      <c r="M170" s="7">
        <f>IF($A170="","",L170-F170)</f>
        <v/>
      </c>
      <c r="N170" s="7" t="n"/>
      <c r="Q170" s="11" t="n"/>
      <c r="S170">
        <f>IF($A170="","",IF($W170=1,Settings!$C$6,Settings!$C$7)*1)</f>
        <v/>
      </c>
      <c r="U170">
        <f>IF($A170="","",IF(COUNTIF($A$2:$A170,$A170)=1,1,0))</f>
        <v/>
      </c>
      <c r="V170">
        <f>IF($U170=1,SUMPRODUCT(--($X$2:$X$1001&lt;$X170))+1,"")</f>
        <v/>
      </c>
      <c r="W170">
        <f>IF($A170="","",IF(OR($T170=TRUE(),$T170="TRUE"),1,0))</f>
        <v/>
      </c>
      <c r="X170">
        <f>IF($U170=1,IFERROR(IF(VALUE($A170)&lt;100000000,VALUE($A170),1000000000),IFERROR(IF(VALUE(MID($A170,2,20))&lt;100000000,VALUE(MID($A170,2,20)),1000000000),1000000000))+ROW()/100000,"")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IF($A171="","",E171*N171/100)</f>
        <v/>
      </c>
      <c r="J171" s="7" t="n"/>
      <c r="K171" s="7">
        <f>IF($A171="","",S171*N171)</f>
        <v/>
      </c>
      <c r="L171" s="7">
        <f>IF($A171="","",N171-K171)</f>
        <v/>
      </c>
      <c r="M171" s="7">
        <f>IF($A171="","",L171-F171)</f>
        <v/>
      </c>
      <c r="N171" s="7" t="n"/>
      <c r="Q171" s="11" t="n"/>
      <c r="S171">
        <f>IF($A171="","",IF($W171=1,Settings!$C$6,Settings!$C$7)*1)</f>
        <v/>
      </c>
      <c r="U171">
        <f>IF($A171="","",IF(COUNTIF($A$2:$A171,$A171)=1,1,0))</f>
        <v/>
      </c>
      <c r="V171">
        <f>IF($U171=1,SUMPRODUCT(--($X$2:$X$1001&lt;$X171))+1,"")</f>
        <v/>
      </c>
      <c r="W171">
        <f>IF($A171="","",IF(OR($T171=TRUE(),$T171="TRUE"),1,0))</f>
        <v/>
      </c>
      <c r="X171">
        <f>IF($U171=1,IFERROR(IF(VALUE($A171)&lt;100000000,VALUE($A171),1000000000),IFERROR(IF(VALUE(MID($A171,2,20))&lt;100000000,VALUE(MID($A171,2,20)),1000000000),1000000000))+ROW()/100000,"")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IF($A172="","",E172*N172/100)</f>
        <v/>
      </c>
      <c r="J172" s="7" t="n"/>
      <c r="K172" s="7">
        <f>IF($A172="","",S172*N172)</f>
        <v/>
      </c>
      <c r="L172" s="7">
        <f>IF($A172="","",N172-K172)</f>
        <v/>
      </c>
      <c r="M172" s="7">
        <f>IF($A172="","",L172-F172)</f>
        <v/>
      </c>
      <c r="N172" s="7" t="n"/>
      <c r="Q172" s="11" t="n"/>
      <c r="S172">
        <f>IF($A172="","",IF($W172=1,Settings!$C$6,Settings!$C$7)*1)</f>
        <v/>
      </c>
      <c r="U172">
        <f>IF($A172="","",IF(COUNTIF($A$2:$A172,$A172)=1,1,0))</f>
        <v/>
      </c>
      <c r="V172">
        <f>IF($U172=1,SUMPRODUCT(--($X$2:$X$1001&lt;$X172))+1,"")</f>
        <v/>
      </c>
      <c r="W172">
        <f>IF($A172="","",IF(OR($T172=TRUE(),$T172="TRUE"),1,0))</f>
        <v/>
      </c>
      <c r="X172">
        <f>IF($U172=1,IFERROR(IF(VALUE($A172)&lt;100000000,VALUE($A172),1000000000),IFERROR(IF(VALUE(MID($A172,2,20))&lt;100000000,VALUE(MID($A172,2,20)),1000000000),1000000000))+ROW()/100000,"")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IF($A173="","",E173*N173/100)</f>
        <v/>
      </c>
      <c r="J173" s="7" t="n"/>
      <c r="K173" s="7">
        <f>IF($A173="","",S173*N173)</f>
        <v/>
      </c>
      <c r="L173" s="7">
        <f>IF($A173="","",N173-K173)</f>
        <v/>
      </c>
      <c r="M173" s="7">
        <f>IF($A173="","",L173-F173)</f>
        <v/>
      </c>
      <c r="N173" s="7" t="n"/>
      <c r="Q173" s="11" t="n"/>
      <c r="S173">
        <f>IF($A173="","",IF($W173=1,Settings!$C$6,Settings!$C$7)*1)</f>
        <v/>
      </c>
      <c r="U173">
        <f>IF($A173="","",IF(COUNTIF($A$2:$A173,$A173)=1,1,0))</f>
        <v/>
      </c>
      <c r="V173">
        <f>IF($U173=1,SUMPRODUCT(--($X$2:$X$1001&lt;$X173))+1,"")</f>
        <v/>
      </c>
      <c r="W173">
        <f>IF($A173="","",IF(OR($T173=TRUE(),$T173="TRUE"),1,0))</f>
        <v/>
      </c>
      <c r="X173">
        <f>IF($U173=1,IFERROR(IF(VALUE($A173)&lt;100000000,VALUE($A173),1000000000),IFERROR(IF(VALUE(MID($A173,2,20))&lt;100000000,VALUE(MID($A173,2,20)),1000000000),1000000000))+ROW()/100000,"")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IF($A174="","",E174*N174/100)</f>
        <v/>
      </c>
      <c r="J174" s="7" t="n"/>
      <c r="K174" s="7">
        <f>IF($A174="","",S174*N174)</f>
        <v/>
      </c>
      <c r="L174" s="7">
        <f>IF($A174="","",N174-K174)</f>
        <v/>
      </c>
      <c r="M174" s="7">
        <f>IF($A174="","",L174-F174)</f>
        <v/>
      </c>
      <c r="N174" s="7" t="n"/>
      <c r="Q174" s="11" t="n"/>
      <c r="S174">
        <f>IF($A174="","",IF($W174=1,Settings!$C$6,Settings!$C$7)*1)</f>
        <v/>
      </c>
      <c r="U174">
        <f>IF($A174="","",IF(COUNTIF($A$2:$A174,$A174)=1,1,0))</f>
        <v/>
      </c>
      <c r="V174">
        <f>IF($U174=1,SUMPRODUCT(--($X$2:$X$1001&lt;$X174))+1,"")</f>
        <v/>
      </c>
      <c r="W174">
        <f>IF($A174="","",IF(OR($T174=TRUE(),$T174="TRUE"),1,0))</f>
        <v/>
      </c>
      <c r="X174">
        <f>IF($U174=1,IFERROR(IF(VALUE($A174)&lt;100000000,VALUE($A174),1000000000),IFERROR(IF(VALUE(MID($A174,2,20))&lt;100000000,VALUE(MID($A174,2,20)),1000000000),1000000000))+ROW()/100000,"")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IF($A175="","",E175*N175/100)</f>
        <v/>
      </c>
      <c r="J175" s="7" t="n"/>
      <c r="K175" s="7">
        <f>IF($A175="","",S175*N175)</f>
        <v/>
      </c>
      <c r="L175" s="7">
        <f>IF($A175="","",N175-K175)</f>
        <v/>
      </c>
      <c r="M175" s="7">
        <f>IF($A175="","",L175-F175)</f>
        <v/>
      </c>
      <c r="N175" s="7" t="n"/>
      <c r="Q175" s="11" t="n"/>
      <c r="S175">
        <f>IF($A175="","",IF($W175=1,Settings!$C$6,Settings!$C$7)*1)</f>
        <v/>
      </c>
      <c r="U175">
        <f>IF($A175="","",IF(COUNTIF($A$2:$A175,$A175)=1,1,0))</f>
        <v/>
      </c>
      <c r="V175">
        <f>IF($U175=1,SUMPRODUCT(--($X$2:$X$1001&lt;$X175))+1,"")</f>
        <v/>
      </c>
      <c r="W175">
        <f>IF($A175="","",IF(OR($T175=TRUE(),$T175="TRUE"),1,0))</f>
        <v/>
      </c>
      <c r="X175">
        <f>IF($U175=1,IFERROR(IF(VALUE($A175)&lt;100000000,VALUE($A175),1000000000),IFERROR(IF(VALUE(MID($A175,2,20))&lt;100000000,VALUE(MID($A175,2,20)),1000000000),1000000000))+ROW()/100000,"")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IF($A176="","",E176*N176/100)</f>
        <v/>
      </c>
      <c r="J176" s="7" t="n"/>
      <c r="K176" s="7">
        <f>IF($A176="","",S176*N176)</f>
        <v/>
      </c>
      <c r="L176" s="7">
        <f>IF($A176="","",N176-K176)</f>
        <v/>
      </c>
      <c r="M176" s="7">
        <f>IF($A176="","",L176-F176)</f>
        <v/>
      </c>
      <c r="N176" s="7" t="n"/>
      <c r="Q176" s="11" t="n"/>
      <c r="S176">
        <f>IF($A176="","",IF($W176=1,Settings!$C$6,Settings!$C$7)*1)</f>
        <v/>
      </c>
      <c r="U176">
        <f>IF($A176="","",IF(COUNTIF($A$2:$A176,$A176)=1,1,0))</f>
        <v/>
      </c>
      <c r="V176">
        <f>IF($U176=1,SUMPRODUCT(--($X$2:$X$1001&lt;$X176))+1,"")</f>
        <v/>
      </c>
      <c r="W176">
        <f>IF($A176="","",IF(OR($T176=TRUE(),$T176="TRUE"),1,0))</f>
        <v/>
      </c>
      <c r="X176">
        <f>IF($U176=1,IFERROR(IF(VALUE($A176)&lt;100000000,VALUE($A176),1000000000),IFERROR(IF(VALUE(MID($A176,2,20))&lt;100000000,VALUE(MID($A176,2,20)),1000000000),1000000000))+ROW()/100000,"")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IF($A177="","",E177*N177/100)</f>
        <v/>
      </c>
      <c r="J177" s="7" t="n"/>
      <c r="K177" s="7">
        <f>IF($A177="","",S177*N177)</f>
        <v/>
      </c>
      <c r="L177" s="7">
        <f>IF($A177="","",N177-K177)</f>
        <v/>
      </c>
      <c r="M177" s="7">
        <f>IF($A177="","",L177-F177)</f>
        <v/>
      </c>
      <c r="N177" s="7" t="n"/>
      <c r="Q177" s="11" t="n"/>
      <c r="S177">
        <f>IF($A177="","",IF($W177=1,Settings!$C$6,Settings!$C$7)*1)</f>
        <v/>
      </c>
      <c r="U177">
        <f>IF($A177="","",IF(COUNTIF($A$2:$A177,$A177)=1,1,0))</f>
        <v/>
      </c>
      <c r="V177">
        <f>IF($U177=1,SUMPRODUCT(--($X$2:$X$1001&lt;$X177))+1,"")</f>
        <v/>
      </c>
      <c r="W177">
        <f>IF($A177="","",IF(OR($T177=TRUE(),$T177="TRUE"),1,0))</f>
        <v/>
      </c>
      <c r="X177">
        <f>IF($U177=1,IFERROR(IF(VALUE($A177)&lt;100000000,VALUE($A177),1000000000),IFERROR(IF(VALUE(MID($A177,2,20))&lt;100000000,VALUE(MID($A177,2,20)),1000000000),1000000000))+ROW()/100000,"")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IF($A178="","",E178*N178/100)</f>
        <v/>
      </c>
      <c r="J178" s="7" t="n"/>
      <c r="K178" s="7">
        <f>IF($A178="","",S178*N178)</f>
        <v/>
      </c>
      <c r="L178" s="7">
        <f>IF($A178="","",N178-K178)</f>
        <v/>
      </c>
      <c r="M178" s="7">
        <f>IF($A178="","",L178-F178)</f>
        <v/>
      </c>
      <c r="N178" s="7" t="n"/>
      <c r="Q178" s="11" t="n"/>
      <c r="S178">
        <f>IF($A178="","",IF($W178=1,Settings!$C$6,Settings!$C$7)*1)</f>
        <v/>
      </c>
      <c r="U178">
        <f>IF($A178="","",IF(COUNTIF($A$2:$A178,$A178)=1,1,0))</f>
        <v/>
      </c>
      <c r="V178">
        <f>IF($U178=1,SUMPRODUCT(--($X$2:$X$1001&lt;$X178))+1,"")</f>
        <v/>
      </c>
      <c r="W178">
        <f>IF($A178="","",IF(OR($T178=TRUE(),$T178="TRUE"),1,0))</f>
        <v/>
      </c>
      <c r="X178">
        <f>IF($U178=1,IFERROR(IF(VALUE($A178)&lt;100000000,VALUE($A178),1000000000),IFERROR(IF(VALUE(MID($A178,2,20))&lt;100000000,VALUE(MID($A178,2,20)),1000000000),1000000000))+ROW()/100000,"")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IF($A179="","",E179*N179/100)</f>
        <v/>
      </c>
      <c r="J179" s="7" t="n"/>
      <c r="K179" s="7">
        <f>IF($A179="","",S179*N179)</f>
        <v/>
      </c>
      <c r="L179" s="7">
        <f>IF($A179="","",N179-K179)</f>
        <v/>
      </c>
      <c r="M179" s="7">
        <f>IF($A179="","",L179-F179)</f>
        <v/>
      </c>
      <c r="N179" s="7" t="n"/>
      <c r="Q179" s="11" t="n"/>
      <c r="S179">
        <f>IF($A179="","",IF($W179=1,Settings!$C$6,Settings!$C$7)*1)</f>
        <v/>
      </c>
      <c r="U179">
        <f>IF($A179="","",IF(COUNTIF($A$2:$A179,$A179)=1,1,0))</f>
        <v/>
      </c>
      <c r="V179">
        <f>IF($U179=1,SUMPRODUCT(--($X$2:$X$1001&lt;$X179))+1,"")</f>
        <v/>
      </c>
      <c r="W179">
        <f>IF($A179="","",IF(OR($T179=TRUE(),$T179="TRUE"),1,0))</f>
        <v/>
      </c>
      <c r="X179">
        <f>IF($U179=1,IFERROR(IF(VALUE($A179)&lt;100000000,VALUE($A179),1000000000),IFERROR(IF(VALUE(MID($A179,2,20))&lt;100000000,VALUE(MID($A179,2,20)),1000000000),1000000000))+ROW()/100000,"")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IF($A180="","",E180*N180/100)</f>
        <v/>
      </c>
      <c r="J180" s="7" t="n"/>
      <c r="K180" s="7">
        <f>IF($A180="","",S180*N180)</f>
        <v/>
      </c>
      <c r="L180" s="7">
        <f>IF($A180="","",N180-K180)</f>
        <v/>
      </c>
      <c r="M180" s="7">
        <f>IF($A180="","",L180-F180)</f>
        <v/>
      </c>
      <c r="N180" s="7" t="n"/>
      <c r="Q180" s="11" t="n"/>
      <c r="S180">
        <f>IF($A180="","",IF($W180=1,Settings!$C$6,Settings!$C$7)*1)</f>
        <v/>
      </c>
      <c r="U180">
        <f>IF($A180="","",IF(COUNTIF($A$2:$A180,$A180)=1,1,0))</f>
        <v/>
      </c>
      <c r="V180">
        <f>IF($U180=1,SUMPRODUCT(--($X$2:$X$1001&lt;$X180))+1,"")</f>
        <v/>
      </c>
      <c r="W180">
        <f>IF($A180="","",IF(OR($T180=TRUE(),$T180="TRUE"),1,0))</f>
        <v/>
      </c>
      <c r="X180">
        <f>IF($U180=1,IFERROR(IF(VALUE($A180)&lt;100000000,VALUE($A180),1000000000),IFERROR(IF(VALUE(MID($A180,2,20))&lt;100000000,VALUE(MID($A180,2,20)),1000000000),1000000000))+ROW()/100000,"")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IF($A181="","",E181*N181/100)</f>
        <v/>
      </c>
      <c r="J181" s="7" t="n"/>
      <c r="K181" s="7">
        <f>IF($A181="","",S181*N181)</f>
        <v/>
      </c>
      <c r="L181" s="7">
        <f>IF($A181="","",N181-K181)</f>
        <v/>
      </c>
      <c r="M181" s="7">
        <f>IF($A181="","",L181-F181)</f>
        <v/>
      </c>
      <c r="N181" s="7" t="n"/>
      <c r="Q181" s="11" t="n"/>
      <c r="S181">
        <f>IF($A181="","",IF($W181=1,Settings!$C$6,Settings!$C$7)*1)</f>
        <v/>
      </c>
      <c r="U181">
        <f>IF($A181="","",IF(COUNTIF($A$2:$A181,$A181)=1,1,0))</f>
        <v/>
      </c>
      <c r="V181">
        <f>IF($U181=1,SUMPRODUCT(--($X$2:$X$1001&lt;$X181))+1,"")</f>
        <v/>
      </c>
      <c r="W181">
        <f>IF($A181="","",IF(OR($T181=TRUE(),$T181="TRUE"),1,0))</f>
        <v/>
      </c>
      <c r="X181">
        <f>IF($U181=1,IFERROR(IF(VALUE($A181)&lt;100000000,VALUE($A181),1000000000),IFERROR(IF(VALUE(MID($A181,2,20))&lt;100000000,VALUE(MID($A181,2,20)),1000000000),1000000000))+ROW()/100000,"")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IF($A182="","",E182*N182/100)</f>
        <v/>
      </c>
      <c r="J182" s="7" t="n"/>
      <c r="K182" s="7">
        <f>IF($A182="","",S182*N182)</f>
        <v/>
      </c>
      <c r="L182" s="7">
        <f>IF($A182="","",N182-K182)</f>
        <v/>
      </c>
      <c r="M182" s="7">
        <f>IF($A182="","",L182-F182)</f>
        <v/>
      </c>
      <c r="N182" s="7" t="n"/>
      <c r="Q182" s="11" t="n"/>
      <c r="S182">
        <f>IF($A182="","",IF($W182=1,Settings!$C$6,Settings!$C$7)*1)</f>
        <v/>
      </c>
      <c r="U182">
        <f>IF($A182="","",IF(COUNTIF($A$2:$A182,$A182)=1,1,0))</f>
        <v/>
      </c>
      <c r="V182">
        <f>IF($U182=1,SUMPRODUCT(--($X$2:$X$1001&lt;$X182))+1,"")</f>
        <v/>
      </c>
      <c r="W182">
        <f>IF($A182="","",IF(OR($T182=TRUE(),$T182="TRUE"),1,0))</f>
        <v/>
      </c>
      <c r="X182">
        <f>IF($U182=1,IFERROR(IF(VALUE($A182)&lt;100000000,VALUE($A182),1000000000),IFERROR(IF(VALUE(MID($A182,2,20))&lt;100000000,VALUE(MID($A182,2,20)),1000000000),1000000000))+ROW()/100000,"")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IF($A183="","",E183*N183/100)</f>
        <v/>
      </c>
      <c r="J183" s="7" t="n"/>
      <c r="K183" s="7">
        <f>IF($A183="","",S183*N183)</f>
        <v/>
      </c>
      <c r="L183" s="7">
        <f>IF($A183="","",N183-K183)</f>
        <v/>
      </c>
      <c r="M183" s="7">
        <f>IF($A183="","",L183-F183)</f>
        <v/>
      </c>
      <c r="N183" s="7" t="n"/>
      <c r="Q183" s="11" t="n"/>
      <c r="S183">
        <f>IF($A183="","",IF($W183=1,Settings!$C$6,Settings!$C$7)*1)</f>
        <v/>
      </c>
      <c r="U183">
        <f>IF($A183="","",IF(COUNTIF($A$2:$A183,$A183)=1,1,0))</f>
        <v/>
      </c>
      <c r="V183">
        <f>IF($U183=1,SUMPRODUCT(--($X$2:$X$1001&lt;$X183))+1,"")</f>
        <v/>
      </c>
      <c r="W183">
        <f>IF($A183="","",IF(OR($T183=TRUE(),$T183="TRUE"),1,0))</f>
        <v/>
      </c>
      <c r="X183">
        <f>IF($U183=1,IFERROR(IF(VALUE($A183)&lt;100000000,VALUE($A183),1000000000),IFERROR(IF(VALUE(MID($A183,2,20))&lt;100000000,VALUE(MID($A183,2,20)),1000000000),1000000000))+ROW()/100000,"")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IF($A184="","",E184*N184/100)</f>
        <v/>
      </c>
      <c r="J184" s="7" t="n"/>
      <c r="K184" s="7">
        <f>IF($A184="","",S184*N184)</f>
        <v/>
      </c>
      <c r="L184" s="7">
        <f>IF($A184="","",N184-K184)</f>
        <v/>
      </c>
      <c r="M184" s="7">
        <f>IF($A184="","",L184-F184)</f>
        <v/>
      </c>
      <c r="N184" s="7" t="n"/>
      <c r="Q184" s="11" t="n"/>
      <c r="S184">
        <f>IF($A184="","",IF($W184=1,Settings!$C$6,Settings!$C$7)*1)</f>
        <v/>
      </c>
      <c r="U184">
        <f>IF($A184="","",IF(COUNTIF($A$2:$A184,$A184)=1,1,0))</f>
        <v/>
      </c>
      <c r="V184">
        <f>IF($U184=1,SUMPRODUCT(--($X$2:$X$1001&lt;$X184))+1,"")</f>
        <v/>
      </c>
      <c r="W184">
        <f>IF($A184="","",IF(OR($T184=TRUE(),$T184="TRUE"),1,0))</f>
        <v/>
      </c>
      <c r="X184">
        <f>IF($U184=1,IFERROR(IF(VALUE($A184)&lt;100000000,VALUE($A184),1000000000),IFERROR(IF(VALUE(MID($A184,2,20))&lt;100000000,VALUE(MID($A184,2,20)),1000000000),1000000000))+ROW()/100000,"")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IF($A185="","",E185*N185/100)</f>
        <v/>
      </c>
      <c r="J185" s="7" t="n"/>
      <c r="K185" s="7">
        <f>IF($A185="","",S185*N185)</f>
        <v/>
      </c>
      <c r="L185" s="7">
        <f>IF($A185="","",N185-K185)</f>
        <v/>
      </c>
      <c r="M185" s="7">
        <f>IF($A185="","",L185-F185)</f>
        <v/>
      </c>
      <c r="N185" s="7" t="n"/>
      <c r="Q185" s="11" t="n"/>
      <c r="S185">
        <f>IF($A185="","",IF($W185=1,Settings!$C$6,Settings!$C$7)*1)</f>
        <v/>
      </c>
      <c r="U185">
        <f>IF($A185="","",IF(COUNTIF($A$2:$A185,$A185)=1,1,0))</f>
        <v/>
      </c>
      <c r="V185">
        <f>IF($U185=1,SUMPRODUCT(--($X$2:$X$1001&lt;$X185))+1,"")</f>
        <v/>
      </c>
      <c r="W185">
        <f>IF($A185="","",IF(OR($T185=TRUE(),$T185="TRUE"),1,0))</f>
        <v/>
      </c>
      <c r="X185">
        <f>IF($U185=1,IFERROR(IF(VALUE($A185)&lt;100000000,VALUE($A185),1000000000),IFERROR(IF(VALUE(MID($A185,2,20))&lt;100000000,VALUE(MID($A185,2,20)),1000000000),1000000000))+ROW()/100000,"")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IF($A186="","",E186*N186/100)</f>
        <v/>
      </c>
      <c r="J186" s="7" t="n"/>
      <c r="K186" s="7">
        <f>IF($A186="","",S186*N186)</f>
        <v/>
      </c>
      <c r="L186" s="7">
        <f>IF($A186="","",N186-K186)</f>
        <v/>
      </c>
      <c r="M186" s="7">
        <f>IF($A186="","",L186-F186)</f>
        <v/>
      </c>
      <c r="N186" s="7" t="n"/>
      <c r="Q186" s="11" t="n"/>
      <c r="S186">
        <f>IF($A186="","",IF($W186=1,Settings!$C$6,Settings!$C$7)*1)</f>
        <v/>
      </c>
      <c r="U186">
        <f>IF($A186="","",IF(COUNTIF($A$2:$A186,$A186)=1,1,0))</f>
        <v/>
      </c>
      <c r="V186">
        <f>IF($U186=1,SUMPRODUCT(--($X$2:$X$1001&lt;$X186))+1,"")</f>
        <v/>
      </c>
      <c r="W186">
        <f>IF($A186="","",IF(OR($T186=TRUE(),$T186="TRUE"),1,0))</f>
        <v/>
      </c>
      <c r="X186">
        <f>IF($U186=1,IFERROR(IF(VALUE($A186)&lt;100000000,VALUE($A186),1000000000),IFERROR(IF(VALUE(MID($A186,2,20))&lt;100000000,VALUE(MID($A186,2,20)),1000000000),1000000000))+ROW()/100000,"")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IF($A187="","",E187*N187/100)</f>
        <v/>
      </c>
      <c r="J187" s="7" t="n"/>
      <c r="K187" s="7">
        <f>IF($A187="","",S187*N187)</f>
        <v/>
      </c>
      <c r="L187" s="7">
        <f>IF($A187="","",N187-K187)</f>
        <v/>
      </c>
      <c r="M187" s="7">
        <f>IF($A187="","",L187-F187)</f>
        <v/>
      </c>
      <c r="N187" s="7" t="n"/>
      <c r="Q187" s="11" t="n"/>
      <c r="S187">
        <f>IF($A187="","",IF($W187=1,Settings!$C$6,Settings!$C$7)*1)</f>
        <v/>
      </c>
      <c r="U187">
        <f>IF($A187="","",IF(COUNTIF($A$2:$A187,$A187)=1,1,0))</f>
        <v/>
      </c>
      <c r="V187">
        <f>IF($U187=1,SUMPRODUCT(--($X$2:$X$1001&lt;$X187))+1,"")</f>
        <v/>
      </c>
      <c r="W187">
        <f>IF($A187="","",IF(OR($T187=TRUE(),$T187="TRUE"),1,0))</f>
        <v/>
      </c>
      <c r="X187">
        <f>IF($U187=1,IFERROR(IF(VALUE($A187)&lt;100000000,VALUE($A187),1000000000),IFERROR(IF(VALUE(MID($A187,2,20))&lt;100000000,VALUE(MID($A187,2,20)),1000000000),1000000000))+ROW()/100000,"")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IF($A188="","",E188*N188/100)</f>
        <v/>
      </c>
      <c r="J188" s="7" t="n"/>
      <c r="K188" s="7">
        <f>IF($A188="","",S188*N188)</f>
        <v/>
      </c>
      <c r="L188" s="7">
        <f>IF($A188="","",N188-K188)</f>
        <v/>
      </c>
      <c r="M188" s="7">
        <f>IF($A188="","",L188-F188)</f>
        <v/>
      </c>
      <c r="N188" s="7" t="n"/>
      <c r="Q188" s="11" t="n"/>
      <c r="S188">
        <f>IF($A188="","",IF($W188=1,Settings!$C$6,Settings!$C$7)*1)</f>
        <v/>
      </c>
      <c r="U188">
        <f>IF($A188="","",IF(COUNTIF($A$2:$A188,$A188)=1,1,0))</f>
        <v/>
      </c>
      <c r="V188">
        <f>IF($U188=1,SUMPRODUCT(--($X$2:$X$1001&lt;$X188))+1,"")</f>
        <v/>
      </c>
      <c r="W188">
        <f>IF($A188="","",IF(OR($T188=TRUE(),$T188="TRUE"),1,0))</f>
        <v/>
      </c>
      <c r="X188">
        <f>IF($U188=1,IFERROR(IF(VALUE($A188)&lt;100000000,VALUE($A188),1000000000),IFERROR(IF(VALUE(MID($A188,2,20))&lt;100000000,VALUE(MID($A188,2,20)),1000000000),1000000000))+ROW()/100000,"")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IF($A189="","",E189*N189/100)</f>
        <v/>
      </c>
      <c r="J189" s="7" t="n"/>
      <c r="K189" s="7">
        <f>IF($A189="","",S189*N189)</f>
        <v/>
      </c>
      <c r="L189" s="7">
        <f>IF($A189="","",N189-K189)</f>
        <v/>
      </c>
      <c r="M189" s="7">
        <f>IF($A189="","",L189-F189)</f>
        <v/>
      </c>
      <c r="N189" s="7" t="n"/>
      <c r="Q189" s="11" t="n"/>
      <c r="S189">
        <f>IF($A189="","",IF($W189=1,Settings!$C$6,Settings!$C$7)*1)</f>
        <v/>
      </c>
      <c r="U189">
        <f>IF($A189="","",IF(COUNTIF($A$2:$A189,$A189)=1,1,0))</f>
        <v/>
      </c>
      <c r="V189">
        <f>IF($U189=1,SUMPRODUCT(--($X$2:$X$1001&lt;$X189))+1,"")</f>
        <v/>
      </c>
      <c r="W189">
        <f>IF($A189="","",IF(OR($T189=TRUE(),$T189="TRUE"),1,0))</f>
        <v/>
      </c>
      <c r="X189">
        <f>IF($U189=1,IFERROR(IF(VALUE($A189)&lt;100000000,VALUE($A189),1000000000),IFERROR(IF(VALUE(MID($A189,2,20))&lt;100000000,VALUE(MID($A189,2,20)),1000000000),1000000000))+ROW()/100000,"")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IF($A190="","",E190*N190/100)</f>
        <v/>
      </c>
      <c r="J190" s="7" t="n"/>
      <c r="K190" s="7">
        <f>IF($A190="","",S190*N190)</f>
        <v/>
      </c>
      <c r="L190" s="7">
        <f>IF($A190="","",N190-K190)</f>
        <v/>
      </c>
      <c r="M190" s="7">
        <f>IF($A190="","",L190-F190)</f>
        <v/>
      </c>
      <c r="N190" s="7" t="n"/>
      <c r="Q190" s="11" t="n"/>
      <c r="S190">
        <f>IF($A190="","",IF($W190=1,Settings!$C$6,Settings!$C$7)*1)</f>
        <v/>
      </c>
      <c r="U190">
        <f>IF($A190="","",IF(COUNTIF($A$2:$A190,$A190)=1,1,0))</f>
        <v/>
      </c>
      <c r="V190">
        <f>IF($U190=1,SUMPRODUCT(--($X$2:$X$1001&lt;$X190))+1,"")</f>
        <v/>
      </c>
      <c r="W190">
        <f>IF($A190="","",IF(OR($T190=TRUE(),$T190="TRUE"),1,0))</f>
        <v/>
      </c>
      <c r="X190">
        <f>IF($U190=1,IFERROR(IF(VALUE($A190)&lt;100000000,VALUE($A190),1000000000),IFERROR(IF(VALUE(MID($A190,2,20))&lt;100000000,VALUE(MID($A190,2,20)),1000000000),1000000000))+ROW()/100000,"")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IF($A191="","",E191*N191/100)</f>
        <v/>
      </c>
      <c r="J191" s="7" t="n"/>
      <c r="K191" s="7">
        <f>IF($A191="","",S191*N191)</f>
        <v/>
      </c>
      <c r="L191" s="7">
        <f>IF($A191="","",N191-K191)</f>
        <v/>
      </c>
      <c r="M191" s="7">
        <f>IF($A191="","",L191-F191)</f>
        <v/>
      </c>
      <c r="N191" s="7" t="n"/>
      <c r="Q191" s="11" t="n"/>
      <c r="S191">
        <f>IF($A191="","",IF($W191=1,Settings!$C$6,Settings!$C$7)*1)</f>
        <v/>
      </c>
      <c r="U191">
        <f>IF($A191="","",IF(COUNTIF($A$2:$A191,$A191)=1,1,0))</f>
        <v/>
      </c>
      <c r="V191">
        <f>IF($U191=1,SUMPRODUCT(--($X$2:$X$1001&lt;$X191))+1,"")</f>
        <v/>
      </c>
      <c r="W191">
        <f>IF($A191="","",IF(OR($T191=TRUE(),$T191="TRUE"),1,0))</f>
        <v/>
      </c>
      <c r="X191">
        <f>IF($U191=1,IFERROR(IF(VALUE($A191)&lt;100000000,VALUE($A191),1000000000),IFERROR(IF(VALUE(MID($A191,2,20))&lt;100000000,VALUE(MID($A191,2,20)),1000000000),1000000000))+ROW()/100000,"")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IF($A192="","",E192*N192/100)</f>
        <v/>
      </c>
      <c r="J192" s="7" t="n"/>
      <c r="K192" s="7">
        <f>IF($A192="","",S192*N192)</f>
        <v/>
      </c>
      <c r="L192" s="7">
        <f>IF($A192="","",N192-K192)</f>
        <v/>
      </c>
      <c r="M192" s="7">
        <f>IF($A192="","",L192-F192)</f>
        <v/>
      </c>
      <c r="N192" s="7" t="n"/>
      <c r="Q192" s="11" t="n"/>
      <c r="S192">
        <f>IF($A192="","",IF($W192=1,Settings!$C$6,Settings!$C$7)*1)</f>
        <v/>
      </c>
      <c r="U192">
        <f>IF($A192="","",IF(COUNTIF($A$2:$A192,$A192)=1,1,0))</f>
        <v/>
      </c>
      <c r="V192">
        <f>IF($U192=1,SUMPRODUCT(--($X$2:$X$1001&lt;$X192))+1,"")</f>
        <v/>
      </c>
      <c r="W192">
        <f>IF($A192="","",IF(OR($T192=TRUE(),$T192="TRUE"),1,0))</f>
        <v/>
      </c>
      <c r="X192">
        <f>IF($U192=1,IFERROR(IF(VALUE($A192)&lt;100000000,VALUE($A192),1000000000),IFERROR(IF(VALUE(MID($A192,2,20))&lt;100000000,VALUE(MID($A192,2,20)),1000000000),1000000000))+ROW()/100000,"")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IF($A193="","",E193*N193/100)</f>
        <v/>
      </c>
      <c r="J193" s="7" t="n"/>
      <c r="K193" s="7">
        <f>IF($A193="","",S193*N193)</f>
        <v/>
      </c>
      <c r="L193" s="7">
        <f>IF($A193="","",N193-K193)</f>
        <v/>
      </c>
      <c r="M193" s="7">
        <f>IF($A193="","",L193-F193)</f>
        <v/>
      </c>
      <c r="N193" s="7" t="n"/>
      <c r="Q193" s="11" t="n"/>
      <c r="S193">
        <f>IF($A193="","",IF($W193=1,Settings!$C$6,Settings!$C$7)*1)</f>
        <v/>
      </c>
      <c r="U193">
        <f>IF($A193="","",IF(COUNTIF($A$2:$A193,$A193)=1,1,0))</f>
        <v/>
      </c>
      <c r="V193">
        <f>IF($U193=1,SUMPRODUCT(--($X$2:$X$1001&lt;$X193))+1,"")</f>
        <v/>
      </c>
      <c r="W193">
        <f>IF($A193="","",IF(OR($T193=TRUE(),$T193="TRUE"),1,0))</f>
        <v/>
      </c>
      <c r="X193">
        <f>IF($U193=1,IFERROR(IF(VALUE($A193)&lt;100000000,VALUE($A193),1000000000),IFERROR(IF(VALUE(MID($A193,2,20))&lt;100000000,VALUE(MID($A193,2,20)),1000000000),1000000000))+ROW()/100000,"")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IF($A194="","",E194*N194/100)</f>
        <v/>
      </c>
      <c r="J194" s="7" t="n"/>
      <c r="K194" s="7">
        <f>IF($A194="","",S194*N194)</f>
        <v/>
      </c>
      <c r="L194" s="7">
        <f>IF($A194="","",N194-K194)</f>
        <v/>
      </c>
      <c r="M194" s="7">
        <f>IF($A194="","",L194-F194)</f>
        <v/>
      </c>
      <c r="N194" s="7" t="n"/>
      <c r="Q194" s="11" t="n"/>
      <c r="S194">
        <f>IF($A194="","",IF($W194=1,Settings!$C$6,Settings!$C$7)*1)</f>
        <v/>
      </c>
      <c r="U194">
        <f>IF($A194="","",IF(COUNTIF($A$2:$A194,$A194)=1,1,0))</f>
        <v/>
      </c>
      <c r="V194">
        <f>IF($U194=1,SUMPRODUCT(--($X$2:$X$1001&lt;$X194))+1,"")</f>
        <v/>
      </c>
      <c r="W194">
        <f>IF($A194="","",IF(OR($T194=TRUE(),$T194="TRUE"),1,0))</f>
        <v/>
      </c>
      <c r="X194">
        <f>IF($U194=1,IFERROR(IF(VALUE($A194)&lt;100000000,VALUE($A194),1000000000),IFERROR(IF(VALUE(MID($A194,2,20))&lt;100000000,VALUE(MID($A194,2,20)),1000000000),1000000000))+ROW()/100000,"")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IF($A195="","",E195*N195/100)</f>
        <v/>
      </c>
      <c r="J195" s="7" t="n"/>
      <c r="K195" s="7">
        <f>IF($A195="","",S195*N195)</f>
        <v/>
      </c>
      <c r="L195" s="7">
        <f>IF($A195="","",N195-K195)</f>
        <v/>
      </c>
      <c r="M195" s="7">
        <f>IF($A195="","",L195-F195)</f>
        <v/>
      </c>
      <c r="N195" s="7" t="n"/>
      <c r="Q195" s="11" t="n"/>
      <c r="S195">
        <f>IF($A195="","",IF($W195=1,Settings!$C$6,Settings!$C$7)*1)</f>
        <v/>
      </c>
      <c r="U195">
        <f>IF($A195="","",IF(COUNTIF($A$2:$A195,$A195)=1,1,0))</f>
        <v/>
      </c>
      <c r="V195">
        <f>IF($U195=1,SUMPRODUCT(--($X$2:$X$1001&lt;$X195))+1,"")</f>
        <v/>
      </c>
      <c r="W195">
        <f>IF($A195="","",IF(OR($T195=TRUE(),$T195="TRUE"),1,0))</f>
        <v/>
      </c>
      <c r="X195">
        <f>IF($U195=1,IFERROR(IF(VALUE($A195)&lt;100000000,VALUE($A195),1000000000),IFERROR(IF(VALUE(MID($A195,2,20))&lt;100000000,VALUE(MID($A195,2,20)),1000000000),1000000000))+ROW()/100000,"")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IF($A196="","",E196*N196/100)</f>
        <v/>
      </c>
      <c r="J196" s="7" t="n"/>
      <c r="K196" s="7">
        <f>IF($A196="","",S196*N196)</f>
        <v/>
      </c>
      <c r="L196" s="7">
        <f>IF($A196="","",N196-K196)</f>
        <v/>
      </c>
      <c r="M196" s="7">
        <f>IF($A196="","",L196-F196)</f>
        <v/>
      </c>
      <c r="N196" s="7" t="n"/>
      <c r="Q196" s="11" t="n"/>
      <c r="S196">
        <f>IF($A196="","",IF($W196=1,Settings!$C$6,Settings!$C$7)*1)</f>
        <v/>
      </c>
      <c r="U196">
        <f>IF($A196="","",IF(COUNTIF($A$2:$A196,$A196)=1,1,0))</f>
        <v/>
      </c>
      <c r="V196">
        <f>IF($U196=1,SUMPRODUCT(--($X$2:$X$1001&lt;$X196))+1,"")</f>
        <v/>
      </c>
      <c r="W196">
        <f>IF($A196="","",IF(OR($T196=TRUE(),$T196="TRUE"),1,0))</f>
        <v/>
      </c>
      <c r="X196">
        <f>IF($U196=1,IFERROR(IF(VALUE($A196)&lt;100000000,VALUE($A196),1000000000),IFERROR(IF(VALUE(MID($A196,2,20))&lt;100000000,VALUE(MID($A196,2,20)),1000000000),1000000000))+ROW()/100000,"")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IF($A197="","",E197*N197/100)</f>
        <v/>
      </c>
      <c r="J197" s="7" t="n"/>
      <c r="K197" s="7">
        <f>IF($A197="","",S197*N197)</f>
        <v/>
      </c>
      <c r="L197" s="7">
        <f>IF($A197="","",N197-K197)</f>
        <v/>
      </c>
      <c r="M197" s="7">
        <f>IF($A197="","",L197-F197)</f>
        <v/>
      </c>
      <c r="N197" s="7" t="n"/>
      <c r="Q197" s="11" t="n"/>
      <c r="S197">
        <f>IF($A197="","",IF($W197=1,Settings!$C$6,Settings!$C$7)*1)</f>
        <v/>
      </c>
      <c r="U197">
        <f>IF($A197="","",IF(COUNTIF($A$2:$A197,$A197)=1,1,0))</f>
        <v/>
      </c>
      <c r="V197">
        <f>IF($U197=1,SUMPRODUCT(--($X$2:$X$1001&lt;$X197))+1,"")</f>
        <v/>
      </c>
      <c r="W197">
        <f>IF($A197="","",IF(OR($T197=TRUE(),$T197="TRUE"),1,0))</f>
        <v/>
      </c>
      <c r="X197">
        <f>IF($U197=1,IFERROR(IF(VALUE($A197)&lt;100000000,VALUE($A197),1000000000),IFERROR(IF(VALUE(MID($A197,2,20))&lt;100000000,VALUE(MID($A197,2,20)),1000000000),1000000000))+ROW()/100000,"")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IF($A198="","",E198*N198/100)</f>
        <v/>
      </c>
      <c r="J198" s="7" t="n"/>
      <c r="K198" s="7">
        <f>IF($A198="","",S198*N198)</f>
        <v/>
      </c>
      <c r="L198" s="7">
        <f>IF($A198="","",N198-K198)</f>
        <v/>
      </c>
      <c r="M198" s="7">
        <f>IF($A198="","",L198-F198)</f>
        <v/>
      </c>
      <c r="N198" s="7" t="n"/>
      <c r="Q198" s="11" t="n"/>
      <c r="S198">
        <f>IF($A198="","",IF($W198=1,Settings!$C$6,Settings!$C$7)*1)</f>
        <v/>
      </c>
      <c r="U198">
        <f>IF($A198="","",IF(COUNTIF($A$2:$A198,$A198)=1,1,0))</f>
        <v/>
      </c>
      <c r="V198">
        <f>IF($U198=1,SUMPRODUCT(--($X$2:$X$1001&lt;$X198))+1,"")</f>
        <v/>
      </c>
      <c r="W198">
        <f>IF($A198="","",IF(OR($T198=TRUE(),$T198="TRUE"),1,0))</f>
        <v/>
      </c>
      <c r="X198">
        <f>IF($U198=1,IFERROR(IF(VALUE($A198)&lt;100000000,VALUE($A198),1000000000),IFERROR(IF(VALUE(MID($A198,2,20))&lt;100000000,VALUE(MID($A198,2,20)),1000000000),1000000000))+ROW()/100000,"")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IF($A199="","",E199*N199/100)</f>
        <v/>
      </c>
      <c r="J199" s="7" t="n"/>
      <c r="K199" s="7">
        <f>IF($A199="","",S199*N199)</f>
        <v/>
      </c>
      <c r="L199" s="7">
        <f>IF($A199="","",N199-K199)</f>
        <v/>
      </c>
      <c r="M199" s="7">
        <f>IF($A199="","",L199-F199)</f>
        <v/>
      </c>
      <c r="N199" s="7" t="n"/>
      <c r="Q199" s="11" t="n"/>
      <c r="S199">
        <f>IF($A199="","",IF($W199=1,Settings!$C$6,Settings!$C$7)*1)</f>
        <v/>
      </c>
      <c r="U199">
        <f>IF($A199="","",IF(COUNTIF($A$2:$A199,$A199)=1,1,0))</f>
        <v/>
      </c>
      <c r="V199">
        <f>IF($U199=1,SUMPRODUCT(--($X$2:$X$1001&lt;$X199))+1,"")</f>
        <v/>
      </c>
      <c r="W199">
        <f>IF($A199="","",IF(OR($T199=TRUE(),$T199="TRUE"),1,0))</f>
        <v/>
      </c>
      <c r="X199">
        <f>IF($U199=1,IFERROR(IF(VALUE($A199)&lt;100000000,VALUE($A199),1000000000),IFERROR(IF(VALUE(MID($A199,2,20))&lt;100000000,VALUE(MID($A199,2,20)),1000000000),1000000000))+ROW()/100000,"")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IF($A200="","",E200*N200/100)</f>
        <v/>
      </c>
      <c r="J200" s="7" t="n"/>
      <c r="K200" s="7">
        <f>IF($A200="","",S200*N200)</f>
        <v/>
      </c>
      <c r="L200" s="7">
        <f>IF($A200="","",N200-K200)</f>
        <v/>
      </c>
      <c r="M200" s="7">
        <f>IF($A200="","",L200-F200)</f>
        <v/>
      </c>
      <c r="N200" s="7" t="n"/>
      <c r="Q200" s="11" t="n"/>
      <c r="S200">
        <f>IF($A200="","",IF($W200=1,Settings!$C$6,Settings!$C$7)*1)</f>
        <v/>
      </c>
      <c r="U200">
        <f>IF($A200="","",IF(COUNTIF($A$2:$A200,$A200)=1,1,0))</f>
        <v/>
      </c>
      <c r="V200">
        <f>IF($U200=1,SUMPRODUCT(--($X$2:$X$1001&lt;$X200))+1,"")</f>
        <v/>
      </c>
      <c r="W200">
        <f>IF($A200="","",IF(OR($T200=TRUE(),$T200="TRUE"),1,0))</f>
        <v/>
      </c>
      <c r="X200">
        <f>IF($U200=1,IFERROR(IF(VALUE($A200)&lt;100000000,VALUE($A200),1000000000),IFERROR(IF(VALUE(MID($A200,2,20))&lt;100000000,VALUE(MID($A200,2,20)),1000000000),1000000000))+ROW()/100000,"")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IF($A201="","",E201*N201/100)</f>
        <v/>
      </c>
      <c r="J201" s="7" t="n"/>
      <c r="K201" s="7">
        <f>IF($A201="","",S201*N201)</f>
        <v/>
      </c>
      <c r="L201" s="7">
        <f>IF($A201="","",N201-K201)</f>
        <v/>
      </c>
      <c r="M201" s="7">
        <f>IF($A201="","",L201-F201)</f>
        <v/>
      </c>
      <c r="N201" s="7" t="n"/>
      <c r="Q201" s="11" t="n"/>
      <c r="S201">
        <f>IF($A201="","",IF($W201=1,Settings!$C$6,Settings!$C$7)*1)</f>
        <v/>
      </c>
      <c r="U201">
        <f>IF($A201="","",IF(COUNTIF($A$2:$A201,$A201)=1,1,0))</f>
        <v/>
      </c>
      <c r="V201">
        <f>IF($U201=1,SUMPRODUCT(--($X$2:$X$1001&lt;$X201))+1,"")</f>
        <v/>
      </c>
      <c r="W201">
        <f>IF($A201="","",IF(OR($T201=TRUE(),$T201="TRUE"),1,0))</f>
        <v/>
      </c>
      <c r="X201">
        <f>IF($U201=1,IFERROR(IF(VALUE($A201)&lt;100000000,VALUE($A201),1000000000),IFERROR(IF(VALUE(MID($A201,2,20))&lt;100000000,VALUE(MID($A201,2,20)),1000000000),1000000000))+ROW()/100000,"")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IF($A202="","",E202*N202/100)</f>
        <v/>
      </c>
      <c r="J202" s="7" t="n"/>
      <c r="K202" s="7">
        <f>IF($A202="","",S202*N202)</f>
        <v/>
      </c>
      <c r="L202" s="7">
        <f>IF($A202="","",N202-K202)</f>
        <v/>
      </c>
      <c r="M202" s="7">
        <f>IF($A202="","",L202-F202)</f>
        <v/>
      </c>
      <c r="N202" s="7" t="n"/>
      <c r="Q202" s="11" t="n"/>
      <c r="S202">
        <f>IF($A202="","",IF($W202=1,Settings!$C$6,Settings!$C$7)*1)</f>
        <v/>
      </c>
      <c r="U202">
        <f>IF($A202="","",IF(COUNTIF($A$2:$A202,$A202)=1,1,0))</f>
        <v/>
      </c>
      <c r="V202">
        <f>IF($U202=1,SUMPRODUCT(--($X$2:$X$1001&lt;$X202))+1,"")</f>
        <v/>
      </c>
      <c r="W202">
        <f>IF($A202="","",IF(OR($T202=TRUE(),$T202="TRUE"),1,0))</f>
        <v/>
      </c>
      <c r="X202">
        <f>IF($U202=1,IFERROR(IF(VALUE($A202)&lt;100000000,VALUE($A202),1000000000),IFERROR(IF(VALUE(MID($A202,2,20))&lt;100000000,VALUE(MID($A202,2,20)),1000000000),1000000000))+ROW()/100000,"")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IF($A203="","",E203*N203/100)</f>
        <v/>
      </c>
      <c r="J203" s="7" t="n"/>
      <c r="K203" s="7">
        <f>IF($A203="","",S203*N203)</f>
        <v/>
      </c>
      <c r="L203" s="7">
        <f>IF($A203="","",N203-K203)</f>
        <v/>
      </c>
      <c r="M203" s="7">
        <f>IF($A203="","",L203-F203)</f>
        <v/>
      </c>
      <c r="N203" s="7" t="n"/>
      <c r="Q203" s="11" t="n"/>
      <c r="S203">
        <f>IF($A203="","",IF($W203=1,Settings!$C$6,Settings!$C$7)*1)</f>
        <v/>
      </c>
      <c r="U203">
        <f>IF($A203="","",IF(COUNTIF($A$2:$A203,$A203)=1,1,0))</f>
        <v/>
      </c>
      <c r="V203">
        <f>IF($U203=1,SUMPRODUCT(--($X$2:$X$1001&lt;$X203))+1,"")</f>
        <v/>
      </c>
      <c r="W203">
        <f>IF($A203="","",IF(OR($T203=TRUE(),$T203="TRUE"),1,0))</f>
        <v/>
      </c>
      <c r="X203">
        <f>IF($U203=1,IFERROR(IF(VALUE($A203)&lt;100000000,VALUE($A203),1000000000),IFERROR(IF(VALUE(MID($A203,2,20))&lt;100000000,VALUE(MID($A203,2,20)),1000000000),1000000000))+ROW()/100000,"")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IF($A204="","",E204*N204/100)</f>
        <v/>
      </c>
      <c r="J204" s="7" t="n"/>
      <c r="K204" s="7">
        <f>IF($A204="","",S204*N204)</f>
        <v/>
      </c>
      <c r="L204" s="7">
        <f>IF($A204="","",N204-K204)</f>
        <v/>
      </c>
      <c r="M204" s="7">
        <f>IF($A204="","",L204-F204)</f>
        <v/>
      </c>
      <c r="N204" s="7" t="n"/>
      <c r="Q204" s="11" t="n"/>
      <c r="S204">
        <f>IF($A204="","",IF($W204=1,Settings!$C$6,Settings!$C$7)*1)</f>
        <v/>
      </c>
      <c r="U204">
        <f>IF($A204="","",IF(COUNTIF($A$2:$A204,$A204)=1,1,0))</f>
        <v/>
      </c>
      <c r="V204">
        <f>IF($U204=1,SUMPRODUCT(--($X$2:$X$1001&lt;$X204))+1,"")</f>
        <v/>
      </c>
      <c r="W204">
        <f>IF($A204="","",IF(OR($T204=TRUE(),$T204="TRUE"),1,0))</f>
        <v/>
      </c>
      <c r="X204">
        <f>IF($U204=1,IFERROR(IF(VALUE($A204)&lt;100000000,VALUE($A204),1000000000),IFERROR(IF(VALUE(MID($A204,2,20))&lt;100000000,VALUE(MID($A204,2,20)),1000000000),1000000000))+ROW()/100000,"")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IF($A205="","",E205*N205/100)</f>
        <v/>
      </c>
      <c r="J205" s="7" t="n"/>
      <c r="K205" s="7">
        <f>IF($A205="","",S205*N205)</f>
        <v/>
      </c>
      <c r="L205" s="7">
        <f>IF($A205="","",N205-K205)</f>
        <v/>
      </c>
      <c r="M205" s="7">
        <f>IF($A205="","",L205-F205)</f>
        <v/>
      </c>
      <c r="N205" s="7" t="n"/>
      <c r="Q205" s="11" t="n"/>
      <c r="S205">
        <f>IF($A205="","",IF($W205=1,Settings!$C$6,Settings!$C$7)*1)</f>
        <v/>
      </c>
      <c r="U205">
        <f>IF($A205="","",IF(COUNTIF($A$2:$A205,$A205)=1,1,0))</f>
        <v/>
      </c>
      <c r="V205">
        <f>IF($U205=1,SUMPRODUCT(--($X$2:$X$1001&lt;$X205))+1,"")</f>
        <v/>
      </c>
      <c r="W205">
        <f>IF($A205="","",IF(OR($T205=TRUE(),$T205="TRUE"),1,0))</f>
        <v/>
      </c>
      <c r="X205">
        <f>IF($U205=1,IFERROR(IF(VALUE($A205)&lt;100000000,VALUE($A205),1000000000),IFERROR(IF(VALUE(MID($A205,2,20))&lt;100000000,VALUE(MID($A205,2,20)),1000000000),1000000000))+ROW()/100000,"")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IF($A206="","",E206*N206/100)</f>
        <v/>
      </c>
      <c r="J206" s="7" t="n"/>
      <c r="K206" s="7">
        <f>IF($A206="","",S206*N206)</f>
        <v/>
      </c>
      <c r="L206" s="7">
        <f>IF($A206="","",N206-K206)</f>
        <v/>
      </c>
      <c r="M206" s="7">
        <f>IF($A206="","",L206-F206)</f>
        <v/>
      </c>
      <c r="N206" s="7" t="n"/>
      <c r="Q206" s="11" t="n"/>
      <c r="S206">
        <f>IF($A206="","",IF($W206=1,Settings!$C$6,Settings!$C$7)*1)</f>
        <v/>
      </c>
      <c r="U206">
        <f>IF($A206="","",IF(COUNTIF($A$2:$A206,$A206)=1,1,0))</f>
        <v/>
      </c>
      <c r="V206">
        <f>IF($U206=1,SUMPRODUCT(--($X$2:$X$1001&lt;$X206))+1,"")</f>
        <v/>
      </c>
      <c r="W206">
        <f>IF($A206="","",IF(OR($T206=TRUE(),$T206="TRUE"),1,0))</f>
        <v/>
      </c>
      <c r="X206">
        <f>IF($U206=1,IFERROR(IF(VALUE($A206)&lt;100000000,VALUE($A206),1000000000),IFERROR(IF(VALUE(MID($A206,2,20))&lt;100000000,VALUE(MID($A206,2,20)),1000000000),1000000000))+ROW()/100000,"")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IF($A207="","",E207*N207/100)</f>
        <v/>
      </c>
      <c r="J207" s="7" t="n"/>
      <c r="K207" s="7">
        <f>IF($A207="","",S207*N207)</f>
        <v/>
      </c>
      <c r="L207" s="7">
        <f>IF($A207="","",N207-K207)</f>
        <v/>
      </c>
      <c r="M207" s="7">
        <f>IF($A207="","",L207-F207)</f>
        <v/>
      </c>
      <c r="N207" s="7" t="n"/>
      <c r="Q207" s="11" t="n"/>
      <c r="S207">
        <f>IF($A207="","",IF($W207=1,Settings!$C$6,Settings!$C$7)*1)</f>
        <v/>
      </c>
      <c r="U207">
        <f>IF($A207="","",IF(COUNTIF($A$2:$A207,$A207)=1,1,0))</f>
        <v/>
      </c>
      <c r="V207">
        <f>IF($U207=1,SUMPRODUCT(--($X$2:$X$1001&lt;$X207))+1,"")</f>
        <v/>
      </c>
      <c r="W207">
        <f>IF($A207="","",IF(OR($T207=TRUE(),$T207="TRUE"),1,0))</f>
        <v/>
      </c>
      <c r="X207">
        <f>IF($U207=1,IFERROR(IF(VALUE($A207)&lt;100000000,VALUE($A207),1000000000),IFERROR(IF(VALUE(MID($A207,2,20))&lt;100000000,VALUE(MID($A207,2,20)),1000000000),1000000000))+ROW()/100000,"")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IF($A208="","",E208*N208/100)</f>
        <v/>
      </c>
      <c r="J208" s="7" t="n"/>
      <c r="K208" s="7">
        <f>IF($A208="","",S208*N208)</f>
        <v/>
      </c>
      <c r="L208" s="7">
        <f>IF($A208="","",N208-K208)</f>
        <v/>
      </c>
      <c r="M208" s="7">
        <f>IF($A208="","",L208-F208)</f>
        <v/>
      </c>
      <c r="N208" s="7" t="n"/>
      <c r="Q208" s="11" t="n"/>
      <c r="S208">
        <f>IF($A208="","",IF($W208=1,Settings!$C$6,Settings!$C$7)*1)</f>
        <v/>
      </c>
      <c r="U208">
        <f>IF($A208="","",IF(COUNTIF($A$2:$A208,$A208)=1,1,0))</f>
        <v/>
      </c>
      <c r="V208">
        <f>IF($U208=1,SUMPRODUCT(--($X$2:$X$1001&lt;$X208))+1,"")</f>
        <v/>
      </c>
      <c r="W208">
        <f>IF($A208="","",IF(OR($T208=TRUE(),$T208="TRUE"),1,0))</f>
        <v/>
      </c>
      <c r="X208">
        <f>IF($U208=1,IFERROR(IF(VALUE($A208)&lt;100000000,VALUE($A208),1000000000),IFERROR(IF(VALUE(MID($A208,2,20))&lt;100000000,VALUE(MID($A208,2,20)),1000000000),1000000000))+ROW()/100000,"")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IF($A209="","",E209*N209/100)</f>
        <v/>
      </c>
      <c r="J209" s="7" t="n"/>
      <c r="K209" s="7">
        <f>IF($A209="","",S209*N209)</f>
        <v/>
      </c>
      <c r="L209" s="7">
        <f>IF($A209="","",N209-K209)</f>
        <v/>
      </c>
      <c r="M209" s="7">
        <f>IF($A209="","",L209-F209)</f>
        <v/>
      </c>
      <c r="N209" s="7" t="n"/>
      <c r="Q209" s="11" t="n"/>
      <c r="S209">
        <f>IF($A209="","",IF($W209=1,Settings!$C$6,Settings!$C$7)*1)</f>
        <v/>
      </c>
      <c r="U209">
        <f>IF($A209="","",IF(COUNTIF($A$2:$A209,$A209)=1,1,0))</f>
        <v/>
      </c>
      <c r="V209">
        <f>IF($U209=1,SUMPRODUCT(--($X$2:$X$1001&lt;$X209))+1,"")</f>
        <v/>
      </c>
      <c r="W209">
        <f>IF($A209="","",IF(OR($T209=TRUE(),$T209="TRUE"),1,0))</f>
        <v/>
      </c>
      <c r="X209">
        <f>IF($U209=1,IFERROR(IF(VALUE($A209)&lt;100000000,VALUE($A209),1000000000),IFERROR(IF(VALUE(MID($A209,2,20))&lt;100000000,VALUE(MID($A209,2,20)),1000000000),1000000000))+ROW()/100000,"")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IF($A210="","",E210*N210/100)</f>
        <v/>
      </c>
      <c r="J210" s="7" t="n"/>
      <c r="K210" s="7">
        <f>IF($A210="","",S210*N210)</f>
        <v/>
      </c>
      <c r="L210" s="7">
        <f>IF($A210="","",N210-K210)</f>
        <v/>
      </c>
      <c r="M210" s="7">
        <f>IF($A210="","",L210-F210)</f>
        <v/>
      </c>
      <c r="N210" s="7" t="n"/>
      <c r="Q210" s="11" t="n"/>
      <c r="S210">
        <f>IF($A210="","",IF($W210=1,Settings!$C$6,Settings!$C$7)*1)</f>
        <v/>
      </c>
      <c r="U210">
        <f>IF($A210="","",IF(COUNTIF($A$2:$A210,$A210)=1,1,0))</f>
        <v/>
      </c>
      <c r="V210">
        <f>IF($U210=1,SUMPRODUCT(--($X$2:$X$1001&lt;$X210))+1,"")</f>
        <v/>
      </c>
      <c r="W210">
        <f>IF($A210="","",IF(OR($T210=TRUE(),$T210="TRUE"),1,0))</f>
        <v/>
      </c>
      <c r="X210">
        <f>IF($U210=1,IFERROR(IF(VALUE($A210)&lt;100000000,VALUE($A210),1000000000),IFERROR(IF(VALUE(MID($A210,2,20))&lt;100000000,VALUE(MID($A210,2,20)),1000000000),1000000000))+ROW()/100000,"")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IF($A211="","",E211*N211/100)</f>
        <v/>
      </c>
      <c r="J211" s="7" t="n"/>
      <c r="K211" s="7">
        <f>IF($A211="","",S211*N211)</f>
        <v/>
      </c>
      <c r="L211" s="7">
        <f>IF($A211="","",N211-K211)</f>
        <v/>
      </c>
      <c r="M211" s="7">
        <f>IF($A211="","",L211-F211)</f>
        <v/>
      </c>
      <c r="N211" s="7" t="n"/>
      <c r="Q211" s="11" t="n"/>
      <c r="S211">
        <f>IF($A211="","",IF($W211=1,Settings!$C$6,Settings!$C$7)*1)</f>
        <v/>
      </c>
      <c r="U211">
        <f>IF($A211="","",IF(COUNTIF($A$2:$A211,$A211)=1,1,0))</f>
        <v/>
      </c>
      <c r="V211">
        <f>IF($U211=1,SUMPRODUCT(--($X$2:$X$1001&lt;$X211))+1,"")</f>
        <v/>
      </c>
      <c r="W211">
        <f>IF($A211="","",IF(OR($T211=TRUE(),$T211="TRUE"),1,0))</f>
        <v/>
      </c>
      <c r="X211">
        <f>IF($U211=1,IFERROR(IF(VALUE($A211)&lt;100000000,VALUE($A211),1000000000),IFERROR(IF(VALUE(MID($A211,2,20))&lt;100000000,VALUE(MID($A211,2,20)),1000000000),1000000000))+ROW()/100000,"")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IF($A212="","",E212*N212/100)</f>
        <v/>
      </c>
      <c r="J212" s="7" t="n"/>
      <c r="K212" s="7">
        <f>IF($A212="","",S212*N212)</f>
        <v/>
      </c>
      <c r="L212" s="7">
        <f>IF($A212="","",N212-K212)</f>
        <v/>
      </c>
      <c r="M212" s="7">
        <f>IF($A212="","",L212-F212)</f>
        <v/>
      </c>
      <c r="N212" s="7" t="n"/>
      <c r="Q212" s="11" t="n"/>
      <c r="S212">
        <f>IF($A212="","",IF($W212=1,Settings!$C$6,Settings!$C$7)*1)</f>
        <v/>
      </c>
      <c r="U212">
        <f>IF($A212="","",IF(COUNTIF($A$2:$A212,$A212)=1,1,0))</f>
        <v/>
      </c>
      <c r="V212">
        <f>IF($U212=1,SUMPRODUCT(--($X$2:$X$1001&lt;$X212))+1,"")</f>
        <v/>
      </c>
      <c r="W212">
        <f>IF($A212="","",IF(OR($T212=TRUE(),$T212="TRUE"),1,0))</f>
        <v/>
      </c>
      <c r="X212">
        <f>IF($U212=1,IFERROR(IF(VALUE($A212)&lt;100000000,VALUE($A212),1000000000),IFERROR(IF(VALUE(MID($A212,2,20))&lt;100000000,VALUE(MID($A212,2,20)),1000000000),1000000000))+ROW()/100000,"")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IF($A213="","",E213*N213/100)</f>
        <v/>
      </c>
      <c r="J213" s="7" t="n"/>
      <c r="K213" s="7">
        <f>IF($A213="","",S213*N213)</f>
        <v/>
      </c>
      <c r="L213" s="7">
        <f>IF($A213="","",N213-K213)</f>
        <v/>
      </c>
      <c r="M213" s="7">
        <f>IF($A213="","",L213-F213)</f>
        <v/>
      </c>
      <c r="N213" s="7" t="n"/>
      <c r="Q213" s="11" t="n"/>
      <c r="S213">
        <f>IF($A213="","",IF($W213=1,Settings!$C$6,Settings!$C$7)*1)</f>
        <v/>
      </c>
      <c r="U213">
        <f>IF($A213="","",IF(COUNTIF($A$2:$A213,$A213)=1,1,0))</f>
        <v/>
      </c>
      <c r="V213">
        <f>IF($U213=1,SUMPRODUCT(--($X$2:$X$1001&lt;$X213))+1,"")</f>
        <v/>
      </c>
      <c r="W213">
        <f>IF($A213="","",IF(OR($T213=TRUE(),$T213="TRUE"),1,0))</f>
        <v/>
      </c>
      <c r="X213">
        <f>IF($U213=1,IFERROR(IF(VALUE($A213)&lt;100000000,VALUE($A213),1000000000),IFERROR(IF(VALUE(MID($A213,2,20))&lt;100000000,VALUE(MID($A213,2,20)),1000000000),1000000000))+ROW()/100000,"")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IF($A214="","",E214*N214/100)</f>
        <v/>
      </c>
      <c r="J214" s="7" t="n"/>
      <c r="K214" s="7">
        <f>IF($A214="","",S214*N214)</f>
        <v/>
      </c>
      <c r="L214" s="7">
        <f>IF($A214="","",N214-K214)</f>
        <v/>
      </c>
      <c r="M214" s="7">
        <f>IF($A214="","",L214-F214)</f>
        <v/>
      </c>
      <c r="N214" s="7" t="n"/>
      <c r="Q214" s="11" t="n"/>
      <c r="S214">
        <f>IF($A214="","",IF($W214=1,Settings!$C$6,Settings!$C$7)*1)</f>
        <v/>
      </c>
      <c r="U214">
        <f>IF($A214="","",IF(COUNTIF($A$2:$A214,$A214)=1,1,0))</f>
        <v/>
      </c>
      <c r="V214">
        <f>IF($U214=1,SUMPRODUCT(--($X$2:$X$1001&lt;$X214))+1,"")</f>
        <v/>
      </c>
      <c r="W214">
        <f>IF($A214="","",IF(OR($T214=TRUE(),$T214="TRUE"),1,0))</f>
        <v/>
      </c>
      <c r="X214">
        <f>IF($U214=1,IFERROR(IF(VALUE($A214)&lt;100000000,VALUE($A214),1000000000),IFERROR(IF(VALUE(MID($A214,2,20))&lt;100000000,VALUE(MID($A214,2,20)),1000000000),1000000000))+ROW()/100000,"")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IF($A215="","",E215*N215/100)</f>
        <v/>
      </c>
      <c r="J215" s="7" t="n"/>
      <c r="K215" s="7">
        <f>IF($A215="","",S215*N215)</f>
        <v/>
      </c>
      <c r="L215" s="7">
        <f>IF($A215="","",N215-K215)</f>
        <v/>
      </c>
      <c r="M215" s="7">
        <f>IF($A215="","",L215-F215)</f>
        <v/>
      </c>
      <c r="N215" s="7" t="n"/>
      <c r="Q215" s="11" t="n"/>
      <c r="S215">
        <f>IF($A215="","",IF($W215=1,Settings!$C$6,Settings!$C$7)*1)</f>
        <v/>
      </c>
      <c r="U215">
        <f>IF($A215="","",IF(COUNTIF($A$2:$A215,$A215)=1,1,0))</f>
        <v/>
      </c>
      <c r="V215">
        <f>IF($U215=1,SUMPRODUCT(--($X$2:$X$1001&lt;$X215))+1,"")</f>
        <v/>
      </c>
      <c r="W215">
        <f>IF($A215="","",IF(OR($T215=TRUE(),$T215="TRUE"),1,0))</f>
        <v/>
      </c>
      <c r="X215">
        <f>IF($U215=1,IFERROR(IF(VALUE($A215)&lt;100000000,VALUE($A215),1000000000),IFERROR(IF(VALUE(MID($A215,2,20))&lt;100000000,VALUE(MID($A215,2,20)),1000000000),1000000000))+ROW()/100000,"")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IF($A216="","",E216*N216/100)</f>
        <v/>
      </c>
      <c r="J216" s="7" t="n"/>
      <c r="K216" s="7">
        <f>IF($A216="","",S216*N216)</f>
        <v/>
      </c>
      <c r="L216" s="7">
        <f>IF($A216="","",N216-K216)</f>
        <v/>
      </c>
      <c r="M216" s="7">
        <f>IF($A216="","",L216-F216)</f>
        <v/>
      </c>
      <c r="N216" s="7" t="n"/>
      <c r="Q216" s="11" t="n"/>
      <c r="S216">
        <f>IF($A216="","",IF($W216=1,Settings!$C$6,Settings!$C$7)*1)</f>
        <v/>
      </c>
      <c r="U216">
        <f>IF($A216="","",IF(COUNTIF($A$2:$A216,$A216)=1,1,0))</f>
        <v/>
      </c>
      <c r="V216">
        <f>IF($U216=1,SUMPRODUCT(--($X$2:$X$1001&lt;$X216))+1,"")</f>
        <v/>
      </c>
      <c r="W216">
        <f>IF($A216="","",IF(OR($T216=TRUE(),$T216="TRUE"),1,0))</f>
        <v/>
      </c>
      <c r="X216">
        <f>IF($U216=1,IFERROR(IF(VALUE($A216)&lt;100000000,VALUE($A216),1000000000),IFERROR(IF(VALUE(MID($A216,2,20))&lt;100000000,VALUE(MID($A216,2,20)),1000000000),1000000000))+ROW()/100000,"")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IF($A217="","",E217*N217/100)</f>
        <v/>
      </c>
      <c r="J217" s="7" t="n"/>
      <c r="K217" s="7">
        <f>IF($A217="","",S217*N217)</f>
        <v/>
      </c>
      <c r="L217" s="7">
        <f>IF($A217="","",N217-K217)</f>
        <v/>
      </c>
      <c r="M217" s="7">
        <f>IF($A217="","",L217-F217)</f>
        <v/>
      </c>
      <c r="N217" s="7" t="n"/>
      <c r="Q217" s="11" t="n"/>
      <c r="S217">
        <f>IF($A217="","",IF($W217=1,Settings!$C$6,Settings!$C$7)*1)</f>
        <v/>
      </c>
      <c r="U217">
        <f>IF($A217="","",IF(COUNTIF($A$2:$A217,$A217)=1,1,0))</f>
        <v/>
      </c>
      <c r="V217">
        <f>IF($U217=1,SUMPRODUCT(--($X$2:$X$1001&lt;$X217))+1,"")</f>
        <v/>
      </c>
      <c r="W217">
        <f>IF($A217="","",IF(OR($T217=TRUE(),$T217="TRUE"),1,0))</f>
        <v/>
      </c>
      <c r="X217">
        <f>IF($U217=1,IFERROR(IF(VALUE($A217)&lt;100000000,VALUE($A217),1000000000),IFERROR(IF(VALUE(MID($A217,2,20))&lt;100000000,VALUE(MID($A217,2,20)),1000000000),1000000000))+ROW()/100000,"")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IF($A218="","",E218*N218/100)</f>
        <v/>
      </c>
      <c r="J218" s="7" t="n"/>
      <c r="K218" s="7">
        <f>IF($A218="","",S218*N218)</f>
        <v/>
      </c>
      <c r="L218" s="7">
        <f>IF($A218="","",N218-K218)</f>
        <v/>
      </c>
      <c r="M218" s="7">
        <f>IF($A218="","",L218-F218)</f>
        <v/>
      </c>
      <c r="N218" s="7" t="n"/>
      <c r="Q218" s="11" t="n"/>
      <c r="S218">
        <f>IF($A218="","",IF($W218=1,Settings!$C$6,Settings!$C$7)*1)</f>
        <v/>
      </c>
      <c r="U218">
        <f>IF($A218="","",IF(COUNTIF($A$2:$A218,$A218)=1,1,0))</f>
        <v/>
      </c>
      <c r="V218">
        <f>IF($U218=1,SUMPRODUCT(--($X$2:$X$1001&lt;$X218))+1,"")</f>
        <v/>
      </c>
      <c r="W218">
        <f>IF($A218="","",IF(OR($T218=TRUE(),$T218="TRUE"),1,0))</f>
        <v/>
      </c>
      <c r="X218">
        <f>IF($U218=1,IFERROR(IF(VALUE($A218)&lt;100000000,VALUE($A218),1000000000),IFERROR(IF(VALUE(MID($A218,2,20))&lt;100000000,VALUE(MID($A218,2,20)),1000000000),1000000000))+ROW()/100000,"")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IF($A219="","",E219*N219/100)</f>
        <v/>
      </c>
      <c r="J219" s="7" t="n"/>
      <c r="K219" s="7">
        <f>IF($A219="","",S219*N219)</f>
        <v/>
      </c>
      <c r="L219" s="7">
        <f>IF($A219="","",N219-K219)</f>
        <v/>
      </c>
      <c r="M219" s="7">
        <f>IF($A219="","",L219-F219)</f>
        <v/>
      </c>
      <c r="N219" s="7" t="n"/>
      <c r="Q219" s="11" t="n"/>
      <c r="S219">
        <f>IF($A219="","",IF($W219=1,Settings!$C$6,Settings!$C$7)*1)</f>
        <v/>
      </c>
      <c r="U219">
        <f>IF($A219="","",IF(COUNTIF($A$2:$A219,$A219)=1,1,0))</f>
        <v/>
      </c>
      <c r="V219">
        <f>IF($U219=1,SUMPRODUCT(--($X$2:$X$1001&lt;$X219))+1,"")</f>
        <v/>
      </c>
      <c r="W219">
        <f>IF($A219="","",IF(OR($T219=TRUE(),$T219="TRUE"),1,0))</f>
        <v/>
      </c>
      <c r="X219">
        <f>IF($U219=1,IFERROR(IF(VALUE($A219)&lt;100000000,VALUE($A219),1000000000),IFERROR(IF(VALUE(MID($A219,2,20))&lt;100000000,VALUE(MID($A219,2,20)),1000000000),1000000000))+ROW()/100000,"")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IF($A220="","",E220*N220/100)</f>
        <v/>
      </c>
      <c r="J220" s="7" t="n"/>
      <c r="K220" s="7">
        <f>IF($A220="","",S220*N220)</f>
        <v/>
      </c>
      <c r="L220" s="7">
        <f>IF($A220="","",N220-K220)</f>
        <v/>
      </c>
      <c r="M220" s="7">
        <f>IF($A220="","",L220-F220)</f>
        <v/>
      </c>
      <c r="N220" s="7" t="n"/>
      <c r="Q220" s="11" t="n"/>
      <c r="S220">
        <f>IF($A220="","",IF($W220=1,Settings!$C$6,Settings!$C$7)*1)</f>
        <v/>
      </c>
      <c r="U220">
        <f>IF($A220="","",IF(COUNTIF($A$2:$A220,$A220)=1,1,0))</f>
        <v/>
      </c>
      <c r="V220">
        <f>IF($U220=1,SUMPRODUCT(--($X$2:$X$1001&lt;$X220))+1,"")</f>
        <v/>
      </c>
      <c r="W220">
        <f>IF($A220="","",IF(OR($T220=TRUE(),$T220="TRUE"),1,0))</f>
        <v/>
      </c>
      <c r="X220">
        <f>IF($U220=1,IFERROR(IF(VALUE($A220)&lt;100000000,VALUE($A220),1000000000),IFERROR(IF(VALUE(MID($A220,2,20))&lt;100000000,VALUE(MID($A220,2,20)),1000000000),1000000000))+ROW()/100000,"")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IF($A221="","",E221*N221/100)</f>
        <v/>
      </c>
      <c r="J221" s="7" t="n"/>
      <c r="K221" s="7">
        <f>IF($A221="","",S221*N221)</f>
        <v/>
      </c>
      <c r="L221" s="7">
        <f>IF($A221="","",N221-K221)</f>
        <v/>
      </c>
      <c r="M221" s="7">
        <f>IF($A221="","",L221-F221)</f>
        <v/>
      </c>
      <c r="N221" s="7" t="n"/>
      <c r="Q221" s="11" t="n"/>
      <c r="S221">
        <f>IF($A221="","",IF($W221=1,Settings!$C$6,Settings!$C$7)*1)</f>
        <v/>
      </c>
      <c r="U221">
        <f>IF($A221="","",IF(COUNTIF($A$2:$A221,$A221)=1,1,0))</f>
        <v/>
      </c>
      <c r="V221">
        <f>IF($U221=1,SUMPRODUCT(--($X$2:$X$1001&lt;$X221))+1,"")</f>
        <v/>
      </c>
      <c r="W221">
        <f>IF($A221="","",IF(OR($T221=TRUE(),$T221="TRUE"),1,0))</f>
        <v/>
      </c>
      <c r="X221">
        <f>IF($U221=1,IFERROR(IF(VALUE($A221)&lt;100000000,VALUE($A221),1000000000),IFERROR(IF(VALUE(MID($A221,2,20))&lt;100000000,VALUE(MID($A221,2,20)),1000000000),1000000000))+ROW()/100000,"")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IF($A222="","",E222*N222/100)</f>
        <v/>
      </c>
      <c r="J222" s="7" t="n"/>
      <c r="K222" s="7">
        <f>IF($A222="","",S222*N222)</f>
        <v/>
      </c>
      <c r="L222" s="7">
        <f>IF($A222="","",N222-K222)</f>
        <v/>
      </c>
      <c r="M222" s="7">
        <f>IF($A222="","",L222-F222)</f>
        <v/>
      </c>
      <c r="N222" s="7" t="n"/>
      <c r="Q222" s="11" t="n"/>
      <c r="S222">
        <f>IF($A222="","",IF($W222=1,Settings!$C$6,Settings!$C$7)*1)</f>
        <v/>
      </c>
      <c r="U222">
        <f>IF($A222="","",IF(COUNTIF($A$2:$A222,$A222)=1,1,0))</f>
        <v/>
      </c>
      <c r="V222">
        <f>IF($U222=1,SUMPRODUCT(--($X$2:$X$1001&lt;$X222))+1,"")</f>
        <v/>
      </c>
      <c r="W222">
        <f>IF($A222="","",IF(OR($T222=TRUE(),$T222="TRUE"),1,0))</f>
        <v/>
      </c>
      <c r="X222">
        <f>IF($U222=1,IFERROR(IF(VALUE($A222)&lt;100000000,VALUE($A222),1000000000),IFERROR(IF(VALUE(MID($A222,2,20))&lt;100000000,VALUE(MID($A222,2,20)),1000000000),1000000000))+ROW()/100000,"")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IF($A223="","",E223*N223/100)</f>
        <v/>
      </c>
      <c r="J223" s="7" t="n"/>
      <c r="K223" s="7">
        <f>IF($A223="","",S223*N223)</f>
        <v/>
      </c>
      <c r="L223" s="7">
        <f>IF($A223="","",N223-K223)</f>
        <v/>
      </c>
      <c r="M223" s="7">
        <f>IF($A223="","",L223-F223)</f>
        <v/>
      </c>
      <c r="N223" s="7" t="n"/>
      <c r="Q223" s="11" t="n"/>
      <c r="S223">
        <f>IF($A223="","",IF($W223=1,Settings!$C$6,Settings!$C$7)*1)</f>
        <v/>
      </c>
      <c r="U223">
        <f>IF($A223="","",IF(COUNTIF($A$2:$A223,$A223)=1,1,0))</f>
        <v/>
      </c>
      <c r="V223">
        <f>IF($U223=1,SUMPRODUCT(--($X$2:$X$1001&lt;$X223))+1,"")</f>
        <v/>
      </c>
      <c r="W223">
        <f>IF($A223="","",IF(OR($T223=TRUE(),$T223="TRUE"),1,0))</f>
        <v/>
      </c>
      <c r="X223">
        <f>IF($U223=1,IFERROR(IF(VALUE($A223)&lt;100000000,VALUE($A223),1000000000),IFERROR(IF(VALUE(MID($A223,2,20))&lt;100000000,VALUE(MID($A223,2,20)),1000000000),1000000000))+ROW()/100000,"")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IF($A224="","",E224*N224/100)</f>
        <v/>
      </c>
      <c r="J224" s="7" t="n"/>
      <c r="K224" s="7">
        <f>IF($A224="","",S224*N224)</f>
        <v/>
      </c>
      <c r="L224" s="7">
        <f>IF($A224="","",N224-K224)</f>
        <v/>
      </c>
      <c r="M224" s="7">
        <f>IF($A224="","",L224-F224)</f>
        <v/>
      </c>
      <c r="N224" s="7" t="n"/>
      <c r="Q224" s="11" t="n"/>
      <c r="S224">
        <f>IF($A224="","",IF($W224=1,Settings!$C$6,Settings!$C$7)*1)</f>
        <v/>
      </c>
      <c r="U224">
        <f>IF($A224="","",IF(COUNTIF($A$2:$A224,$A224)=1,1,0))</f>
        <v/>
      </c>
      <c r="V224">
        <f>IF($U224=1,SUMPRODUCT(--($X$2:$X$1001&lt;$X224))+1,"")</f>
        <v/>
      </c>
      <c r="W224">
        <f>IF($A224="","",IF(OR($T224=TRUE(),$T224="TRUE"),1,0))</f>
        <v/>
      </c>
      <c r="X224">
        <f>IF($U224=1,IFERROR(IF(VALUE($A224)&lt;100000000,VALUE($A224),1000000000),IFERROR(IF(VALUE(MID($A224,2,20))&lt;100000000,VALUE(MID($A224,2,20)),1000000000),1000000000))+ROW()/100000,"")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IF($A225="","",E225*N225/100)</f>
        <v/>
      </c>
      <c r="J225" s="7" t="n"/>
      <c r="K225" s="7">
        <f>IF($A225="","",S225*N225)</f>
        <v/>
      </c>
      <c r="L225" s="7">
        <f>IF($A225="","",N225-K225)</f>
        <v/>
      </c>
      <c r="M225" s="7">
        <f>IF($A225="","",L225-F225)</f>
        <v/>
      </c>
      <c r="N225" s="7" t="n"/>
      <c r="Q225" s="11" t="n"/>
      <c r="S225">
        <f>IF($A225="","",IF($W225=1,Settings!$C$6,Settings!$C$7)*1)</f>
        <v/>
      </c>
      <c r="U225">
        <f>IF($A225="","",IF(COUNTIF($A$2:$A225,$A225)=1,1,0))</f>
        <v/>
      </c>
      <c r="V225">
        <f>IF($U225=1,SUMPRODUCT(--($X$2:$X$1001&lt;$X225))+1,"")</f>
        <v/>
      </c>
      <c r="W225">
        <f>IF($A225="","",IF(OR($T225=TRUE(),$T225="TRUE"),1,0))</f>
        <v/>
      </c>
      <c r="X225">
        <f>IF($U225=1,IFERROR(IF(VALUE($A225)&lt;100000000,VALUE($A225),1000000000),IFERROR(IF(VALUE(MID($A225,2,20))&lt;100000000,VALUE(MID($A225,2,20)),1000000000),1000000000))+ROW()/100000,"")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IF($A226="","",E226*N226/100)</f>
        <v/>
      </c>
      <c r="J226" s="7" t="n"/>
      <c r="K226" s="7">
        <f>IF($A226="","",S226*N226)</f>
        <v/>
      </c>
      <c r="L226" s="7">
        <f>IF($A226="","",N226-K226)</f>
        <v/>
      </c>
      <c r="M226" s="7">
        <f>IF($A226="","",L226-F226)</f>
        <v/>
      </c>
      <c r="N226" s="7" t="n"/>
      <c r="Q226" s="11" t="n"/>
      <c r="S226">
        <f>IF($A226="","",IF($W226=1,Settings!$C$6,Settings!$C$7)*1)</f>
        <v/>
      </c>
      <c r="U226">
        <f>IF($A226="","",IF(COUNTIF($A$2:$A226,$A226)=1,1,0))</f>
        <v/>
      </c>
      <c r="V226">
        <f>IF($U226=1,SUMPRODUCT(--($X$2:$X$1001&lt;$X226))+1,"")</f>
        <v/>
      </c>
      <c r="W226">
        <f>IF($A226="","",IF(OR($T226=TRUE(),$T226="TRUE"),1,0))</f>
        <v/>
      </c>
      <c r="X226">
        <f>IF($U226=1,IFERROR(IF(VALUE($A226)&lt;100000000,VALUE($A226),1000000000),IFERROR(IF(VALUE(MID($A226,2,20))&lt;100000000,VALUE(MID($A226,2,20)),1000000000),1000000000))+ROW()/100000,"")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IF($A227="","",E227*N227/100)</f>
        <v/>
      </c>
      <c r="J227" s="7" t="n"/>
      <c r="K227" s="7">
        <f>IF($A227="","",S227*N227)</f>
        <v/>
      </c>
      <c r="L227" s="7">
        <f>IF($A227="","",N227-K227)</f>
        <v/>
      </c>
      <c r="M227" s="7">
        <f>IF($A227="","",L227-F227)</f>
        <v/>
      </c>
      <c r="N227" s="7" t="n"/>
      <c r="Q227" s="11" t="n"/>
      <c r="S227">
        <f>IF($A227="","",IF($W227=1,Settings!$C$6,Settings!$C$7)*1)</f>
        <v/>
      </c>
      <c r="U227">
        <f>IF($A227="","",IF(COUNTIF($A$2:$A227,$A227)=1,1,0))</f>
        <v/>
      </c>
      <c r="V227">
        <f>IF($U227=1,SUMPRODUCT(--($X$2:$X$1001&lt;$X227))+1,"")</f>
        <v/>
      </c>
      <c r="W227">
        <f>IF($A227="","",IF(OR($T227=TRUE(),$T227="TRUE"),1,0))</f>
        <v/>
      </c>
      <c r="X227">
        <f>IF($U227=1,IFERROR(IF(VALUE($A227)&lt;100000000,VALUE($A227),1000000000),IFERROR(IF(VALUE(MID($A227,2,20))&lt;100000000,VALUE(MID($A227,2,20)),1000000000),1000000000))+ROW()/100000,"")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IF($A228="","",E228*N228/100)</f>
        <v/>
      </c>
      <c r="J228" s="7" t="n"/>
      <c r="K228" s="7">
        <f>IF($A228="","",S228*N228)</f>
        <v/>
      </c>
      <c r="L228" s="7">
        <f>IF($A228="","",N228-K228)</f>
        <v/>
      </c>
      <c r="M228" s="7">
        <f>IF($A228="","",L228-F228)</f>
        <v/>
      </c>
      <c r="N228" s="7" t="n"/>
      <c r="Q228" s="11" t="n"/>
      <c r="S228">
        <f>IF($A228="","",IF($W228=1,Settings!$C$6,Settings!$C$7)*1)</f>
        <v/>
      </c>
      <c r="U228">
        <f>IF($A228="","",IF(COUNTIF($A$2:$A228,$A228)=1,1,0))</f>
        <v/>
      </c>
      <c r="V228">
        <f>IF($U228=1,SUMPRODUCT(--($X$2:$X$1001&lt;$X228))+1,"")</f>
        <v/>
      </c>
      <c r="W228">
        <f>IF($A228="","",IF(OR($T228=TRUE(),$T228="TRUE"),1,0))</f>
        <v/>
      </c>
      <c r="X228">
        <f>IF($U228=1,IFERROR(IF(VALUE($A228)&lt;100000000,VALUE($A228),1000000000),IFERROR(IF(VALUE(MID($A228,2,20))&lt;100000000,VALUE(MID($A228,2,20)),1000000000),1000000000))+ROW()/100000,"")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IF($A229="","",E229*N229/100)</f>
        <v/>
      </c>
      <c r="J229" s="7" t="n"/>
      <c r="K229" s="7">
        <f>IF($A229="","",S229*N229)</f>
        <v/>
      </c>
      <c r="L229" s="7">
        <f>IF($A229="","",N229-K229)</f>
        <v/>
      </c>
      <c r="M229" s="7">
        <f>IF($A229="","",L229-F229)</f>
        <v/>
      </c>
      <c r="N229" s="7" t="n"/>
      <c r="Q229" s="11" t="n"/>
      <c r="S229">
        <f>IF($A229="","",IF($W229=1,Settings!$C$6,Settings!$C$7)*1)</f>
        <v/>
      </c>
      <c r="U229">
        <f>IF($A229="","",IF(COUNTIF($A$2:$A229,$A229)=1,1,0))</f>
        <v/>
      </c>
      <c r="V229">
        <f>IF($U229=1,SUMPRODUCT(--($X$2:$X$1001&lt;$X229))+1,"")</f>
        <v/>
      </c>
      <c r="W229">
        <f>IF($A229="","",IF(OR($T229=TRUE(),$T229="TRUE"),1,0))</f>
        <v/>
      </c>
      <c r="X229">
        <f>IF($U229=1,IFERROR(IF(VALUE($A229)&lt;100000000,VALUE($A229),1000000000),IFERROR(IF(VALUE(MID($A229,2,20))&lt;100000000,VALUE(MID($A229,2,20)),1000000000),1000000000))+ROW()/100000,"")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IF($A230="","",E230*N230/100)</f>
        <v/>
      </c>
      <c r="J230" s="7" t="n"/>
      <c r="K230" s="7">
        <f>IF($A230="","",S230*N230)</f>
        <v/>
      </c>
      <c r="L230" s="7">
        <f>IF($A230="","",N230-K230)</f>
        <v/>
      </c>
      <c r="M230" s="7">
        <f>IF($A230="","",L230-F230)</f>
        <v/>
      </c>
      <c r="N230" s="7" t="n"/>
      <c r="Q230" s="11" t="n"/>
      <c r="S230">
        <f>IF($A230="","",IF($W230=1,Settings!$C$6,Settings!$C$7)*1)</f>
        <v/>
      </c>
      <c r="U230">
        <f>IF($A230="","",IF(COUNTIF($A$2:$A230,$A230)=1,1,0))</f>
        <v/>
      </c>
      <c r="V230">
        <f>IF($U230=1,SUMPRODUCT(--($X$2:$X$1001&lt;$X230))+1,"")</f>
        <v/>
      </c>
      <c r="W230">
        <f>IF($A230="","",IF(OR($T230=TRUE(),$T230="TRUE"),1,0))</f>
        <v/>
      </c>
      <c r="X230">
        <f>IF($U230=1,IFERROR(IF(VALUE($A230)&lt;100000000,VALUE($A230),1000000000),IFERROR(IF(VALUE(MID($A230,2,20))&lt;100000000,VALUE(MID($A230,2,20)),1000000000),1000000000))+ROW()/100000,"")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IF($A231="","",E231*N231/100)</f>
        <v/>
      </c>
      <c r="J231" s="7" t="n"/>
      <c r="K231" s="7">
        <f>IF($A231="","",S231*N231)</f>
        <v/>
      </c>
      <c r="L231" s="7">
        <f>IF($A231="","",N231-K231)</f>
        <v/>
      </c>
      <c r="M231" s="7">
        <f>IF($A231="","",L231-F231)</f>
        <v/>
      </c>
      <c r="N231" s="7" t="n"/>
      <c r="Q231" s="11" t="n"/>
      <c r="S231">
        <f>IF($A231="","",IF($W231=1,Settings!$C$6,Settings!$C$7)*1)</f>
        <v/>
      </c>
      <c r="U231">
        <f>IF($A231="","",IF(COUNTIF($A$2:$A231,$A231)=1,1,0))</f>
        <v/>
      </c>
      <c r="V231">
        <f>IF($U231=1,SUMPRODUCT(--($X$2:$X$1001&lt;$X231))+1,"")</f>
        <v/>
      </c>
      <c r="W231">
        <f>IF($A231="","",IF(OR($T231=TRUE(),$T231="TRUE"),1,0))</f>
        <v/>
      </c>
      <c r="X231">
        <f>IF($U231=1,IFERROR(IF(VALUE($A231)&lt;100000000,VALUE($A231),1000000000),IFERROR(IF(VALUE(MID($A231,2,20))&lt;100000000,VALUE(MID($A231,2,20)),1000000000),1000000000))+ROW()/100000,"")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IF($A232="","",E232*N232/100)</f>
        <v/>
      </c>
      <c r="J232" s="7" t="n"/>
      <c r="K232" s="7">
        <f>IF($A232="","",S232*N232)</f>
        <v/>
      </c>
      <c r="L232" s="7">
        <f>IF($A232="","",N232-K232)</f>
        <v/>
      </c>
      <c r="M232" s="7">
        <f>IF($A232="","",L232-F232)</f>
        <v/>
      </c>
      <c r="N232" s="7" t="n"/>
      <c r="Q232" s="11" t="n"/>
      <c r="S232">
        <f>IF($A232="","",IF($W232=1,Settings!$C$6,Settings!$C$7)*1)</f>
        <v/>
      </c>
      <c r="U232">
        <f>IF($A232="","",IF(COUNTIF($A$2:$A232,$A232)=1,1,0))</f>
        <v/>
      </c>
      <c r="V232">
        <f>IF($U232=1,SUMPRODUCT(--($X$2:$X$1001&lt;$X232))+1,"")</f>
        <v/>
      </c>
      <c r="W232">
        <f>IF($A232="","",IF(OR($T232=TRUE(),$T232="TRUE"),1,0))</f>
        <v/>
      </c>
      <c r="X232">
        <f>IF($U232=1,IFERROR(IF(VALUE($A232)&lt;100000000,VALUE($A232),1000000000),IFERROR(IF(VALUE(MID($A232,2,20))&lt;100000000,VALUE(MID($A232,2,20)),1000000000),1000000000))+ROW()/100000,"")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IF($A233="","",E233*N233/100)</f>
        <v/>
      </c>
      <c r="J233" s="7" t="n"/>
      <c r="K233" s="7">
        <f>IF($A233="","",S233*N233)</f>
        <v/>
      </c>
      <c r="L233" s="7">
        <f>IF($A233="","",N233-K233)</f>
        <v/>
      </c>
      <c r="M233" s="7">
        <f>IF($A233="","",L233-F233)</f>
        <v/>
      </c>
      <c r="N233" s="7" t="n"/>
      <c r="Q233" s="11" t="n"/>
      <c r="S233">
        <f>IF($A233="","",IF($W233=1,Settings!$C$6,Settings!$C$7)*1)</f>
        <v/>
      </c>
      <c r="U233">
        <f>IF($A233="","",IF(COUNTIF($A$2:$A233,$A233)=1,1,0))</f>
        <v/>
      </c>
      <c r="V233">
        <f>IF($U233=1,SUMPRODUCT(--($X$2:$X$1001&lt;$X233))+1,"")</f>
        <v/>
      </c>
      <c r="W233">
        <f>IF($A233="","",IF(OR($T233=TRUE(),$T233="TRUE"),1,0))</f>
        <v/>
      </c>
      <c r="X233">
        <f>IF($U233=1,IFERROR(IF(VALUE($A233)&lt;100000000,VALUE($A233),1000000000),IFERROR(IF(VALUE(MID($A233,2,20))&lt;100000000,VALUE(MID($A233,2,20)),1000000000),1000000000))+ROW()/100000,"")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IF($A234="","",E234*N234/100)</f>
        <v/>
      </c>
      <c r="J234" s="7" t="n"/>
      <c r="K234" s="7">
        <f>IF($A234="","",S234*N234)</f>
        <v/>
      </c>
      <c r="L234" s="7">
        <f>IF($A234="","",N234-K234)</f>
        <v/>
      </c>
      <c r="M234" s="7">
        <f>IF($A234="","",L234-F234)</f>
        <v/>
      </c>
      <c r="N234" s="7" t="n"/>
      <c r="Q234" s="11" t="n"/>
      <c r="S234">
        <f>IF($A234="","",IF($W234=1,Settings!$C$6,Settings!$C$7)*1)</f>
        <v/>
      </c>
      <c r="U234">
        <f>IF($A234="","",IF(COUNTIF($A$2:$A234,$A234)=1,1,0))</f>
        <v/>
      </c>
      <c r="V234">
        <f>IF($U234=1,SUMPRODUCT(--($X$2:$X$1001&lt;$X234))+1,"")</f>
        <v/>
      </c>
      <c r="W234">
        <f>IF($A234="","",IF(OR($T234=TRUE(),$T234="TRUE"),1,0))</f>
        <v/>
      </c>
      <c r="X234">
        <f>IF($U234=1,IFERROR(IF(VALUE($A234)&lt;100000000,VALUE($A234),1000000000),IFERROR(IF(VALUE(MID($A234,2,20))&lt;100000000,VALUE(MID($A234,2,20)),1000000000),1000000000))+ROW()/100000,"")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IF($A235="","",E235*N235/100)</f>
        <v/>
      </c>
      <c r="J235" s="7" t="n"/>
      <c r="K235" s="7">
        <f>IF($A235="","",S235*N235)</f>
        <v/>
      </c>
      <c r="L235" s="7">
        <f>IF($A235="","",N235-K235)</f>
        <v/>
      </c>
      <c r="M235" s="7">
        <f>IF($A235="","",L235-F235)</f>
        <v/>
      </c>
      <c r="N235" s="7" t="n"/>
      <c r="Q235" s="11" t="n"/>
      <c r="S235">
        <f>IF($A235="","",IF($W235=1,Settings!$C$6,Settings!$C$7)*1)</f>
        <v/>
      </c>
      <c r="U235">
        <f>IF($A235="","",IF(COUNTIF($A$2:$A235,$A235)=1,1,0))</f>
        <v/>
      </c>
      <c r="V235">
        <f>IF($U235=1,SUMPRODUCT(--($X$2:$X$1001&lt;$X235))+1,"")</f>
        <v/>
      </c>
      <c r="W235">
        <f>IF($A235="","",IF(OR($T235=TRUE(),$T235="TRUE"),1,0))</f>
        <v/>
      </c>
      <c r="X235">
        <f>IF($U235=1,IFERROR(IF(VALUE($A235)&lt;100000000,VALUE($A235),1000000000),IFERROR(IF(VALUE(MID($A235,2,20))&lt;100000000,VALUE(MID($A235,2,20)),1000000000),1000000000))+ROW()/100000,"")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IF($A236="","",E236*N236/100)</f>
        <v/>
      </c>
      <c r="J236" s="7" t="n"/>
      <c r="K236" s="7">
        <f>IF($A236="","",S236*N236)</f>
        <v/>
      </c>
      <c r="L236" s="7">
        <f>IF($A236="","",N236-K236)</f>
        <v/>
      </c>
      <c r="M236" s="7">
        <f>IF($A236="","",L236-F236)</f>
        <v/>
      </c>
      <c r="N236" s="7" t="n"/>
      <c r="Q236" s="11" t="n"/>
      <c r="S236">
        <f>IF($A236="","",IF($W236=1,Settings!$C$6,Settings!$C$7)*1)</f>
        <v/>
      </c>
      <c r="U236">
        <f>IF($A236="","",IF(COUNTIF($A$2:$A236,$A236)=1,1,0))</f>
        <v/>
      </c>
      <c r="V236">
        <f>IF($U236=1,SUMPRODUCT(--($X$2:$X$1001&lt;$X236))+1,"")</f>
        <v/>
      </c>
      <c r="W236">
        <f>IF($A236="","",IF(OR($T236=TRUE(),$T236="TRUE"),1,0))</f>
        <v/>
      </c>
      <c r="X236">
        <f>IF($U236=1,IFERROR(IF(VALUE($A236)&lt;100000000,VALUE($A236),1000000000),IFERROR(IF(VALUE(MID($A236,2,20))&lt;100000000,VALUE(MID($A236,2,20)),1000000000),1000000000))+ROW()/100000,"")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IF($A237="","",E237*N237/100)</f>
        <v/>
      </c>
      <c r="J237" s="7" t="n"/>
      <c r="K237" s="7">
        <f>IF($A237="","",S237*N237)</f>
        <v/>
      </c>
      <c r="L237" s="7">
        <f>IF($A237="","",N237-K237)</f>
        <v/>
      </c>
      <c r="M237" s="7">
        <f>IF($A237="","",L237-F237)</f>
        <v/>
      </c>
      <c r="N237" s="7" t="n"/>
      <c r="Q237" s="11" t="n"/>
      <c r="S237">
        <f>IF($A237="","",IF($W237=1,Settings!$C$6,Settings!$C$7)*1)</f>
        <v/>
      </c>
      <c r="U237">
        <f>IF($A237="","",IF(COUNTIF($A$2:$A237,$A237)=1,1,0))</f>
        <v/>
      </c>
      <c r="V237">
        <f>IF($U237=1,SUMPRODUCT(--($X$2:$X$1001&lt;$X237))+1,"")</f>
        <v/>
      </c>
      <c r="W237">
        <f>IF($A237="","",IF(OR($T237=TRUE(),$T237="TRUE"),1,0))</f>
        <v/>
      </c>
      <c r="X237">
        <f>IF($U237=1,IFERROR(IF(VALUE($A237)&lt;100000000,VALUE($A237),1000000000),IFERROR(IF(VALUE(MID($A237,2,20))&lt;100000000,VALUE(MID($A237,2,20)),1000000000),1000000000))+ROW()/100000,"")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IF($A238="","",E238*N238/100)</f>
        <v/>
      </c>
      <c r="J238" s="7" t="n"/>
      <c r="K238" s="7">
        <f>IF($A238="","",S238*N238)</f>
        <v/>
      </c>
      <c r="L238" s="7">
        <f>IF($A238="","",N238-K238)</f>
        <v/>
      </c>
      <c r="M238" s="7">
        <f>IF($A238="","",L238-F238)</f>
        <v/>
      </c>
      <c r="N238" s="7" t="n"/>
      <c r="Q238" s="11" t="n"/>
      <c r="S238">
        <f>IF($A238="","",IF($W238=1,Settings!$C$6,Settings!$C$7)*1)</f>
        <v/>
      </c>
      <c r="U238">
        <f>IF($A238="","",IF(COUNTIF($A$2:$A238,$A238)=1,1,0))</f>
        <v/>
      </c>
      <c r="V238">
        <f>IF($U238=1,SUMPRODUCT(--($X$2:$X$1001&lt;$X238))+1,"")</f>
        <v/>
      </c>
      <c r="W238">
        <f>IF($A238="","",IF(OR($T238=TRUE(),$T238="TRUE"),1,0))</f>
        <v/>
      </c>
      <c r="X238">
        <f>IF($U238=1,IFERROR(IF(VALUE($A238)&lt;100000000,VALUE($A238),1000000000),IFERROR(IF(VALUE(MID($A238,2,20))&lt;100000000,VALUE(MID($A238,2,20)),1000000000),1000000000))+ROW()/100000,"")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IF($A239="","",E239*N239/100)</f>
        <v/>
      </c>
      <c r="J239" s="7" t="n"/>
      <c r="K239" s="7">
        <f>IF($A239="","",S239*N239)</f>
        <v/>
      </c>
      <c r="L239" s="7">
        <f>IF($A239="","",N239-K239)</f>
        <v/>
      </c>
      <c r="M239" s="7">
        <f>IF($A239="","",L239-F239)</f>
        <v/>
      </c>
      <c r="N239" s="7" t="n"/>
      <c r="Q239" s="11" t="n"/>
      <c r="S239">
        <f>IF($A239="","",IF($W239=1,Settings!$C$6,Settings!$C$7)*1)</f>
        <v/>
      </c>
      <c r="U239">
        <f>IF($A239="","",IF(COUNTIF($A$2:$A239,$A239)=1,1,0))</f>
        <v/>
      </c>
      <c r="V239">
        <f>IF($U239=1,SUMPRODUCT(--($X$2:$X$1001&lt;$X239))+1,"")</f>
        <v/>
      </c>
      <c r="W239">
        <f>IF($A239="","",IF(OR($T239=TRUE(),$T239="TRUE"),1,0))</f>
        <v/>
      </c>
      <c r="X239">
        <f>IF($U239=1,IFERROR(IF(VALUE($A239)&lt;100000000,VALUE($A239),1000000000),IFERROR(IF(VALUE(MID($A239,2,20))&lt;100000000,VALUE(MID($A239,2,20)),1000000000),1000000000))+ROW()/100000,"")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IF($A240="","",E240*N240/100)</f>
        <v/>
      </c>
      <c r="J240" s="7" t="n"/>
      <c r="K240" s="7">
        <f>IF($A240="","",S240*N240)</f>
        <v/>
      </c>
      <c r="L240" s="7">
        <f>IF($A240="","",N240-K240)</f>
        <v/>
      </c>
      <c r="M240" s="7">
        <f>IF($A240="","",L240-F240)</f>
        <v/>
      </c>
      <c r="N240" s="7" t="n"/>
      <c r="Q240" s="11" t="n"/>
      <c r="S240">
        <f>IF($A240="","",IF($W240=1,Settings!$C$6,Settings!$C$7)*1)</f>
        <v/>
      </c>
      <c r="U240">
        <f>IF($A240="","",IF(COUNTIF($A$2:$A240,$A240)=1,1,0))</f>
        <v/>
      </c>
      <c r="V240">
        <f>IF($U240=1,SUMPRODUCT(--($X$2:$X$1001&lt;$X240))+1,"")</f>
        <v/>
      </c>
      <c r="W240">
        <f>IF($A240="","",IF(OR($T240=TRUE(),$T240="TRUE"),1,0))</f>
        <v/>
      </c>
      <c r="X240">
        <f>IF($U240=1,IFERROR(IF(VALUE($A240)&lt;100000000,VALUE($A240),1000000000),IFERROR(IF(VALUE(MID($A240,2,20))&lt;100000000,VALUE(MID($A240,2,20)),1000000000),1000000000))+ROW()/100000,"")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IF($A241="","",E241*N241/100)</f>
        <v/>
      </c>
      <c r="J241" s="7" t="n"/>
      <c r="K241" s="7">
        <f>IF($A241="","",S241*N241)</f>
        <v/>
      </c>
      <c r="L241" s="7">
        <f>IF($A241="","",N241-K241)</f>
        <v/>
      </c>
      <c r="M241" s="7">
        <f>IF($A241="","",L241-F241)</f>
        <v/>
      </c>
      <c r="N241" s="7" t="n"/>
      <c r="Q241" s="11" t="n"/>
      <c r="S241">
        <f>IF($A241="","",IF($W241=1,Settings!$C$6,Settings!$C$7)*1)</f>
        <v/>
      </c>
      <c r="U241">
        <f>IF($A241="","",IF(COUNTIF($A$2:$A241,$A241)=1,1,0))</f>
        <v/>
      </c>
      <c r="V241">
        <f>IF($U241=1,SUMPRODUCT(--($X$2:$X$1001&lt;$X241))+1,"")</f>
        <v/>
      </c>
      <c r="W241">
        <f>IF($A241="","",IF(OR($T241=TRUE(),$T241="TRUE"),1,0))</f>
        <v/>
      </c>
      <c r="X241">
        <f>IF($U241=1,IFERROR(IF(VALUE($A241)&lt;100000000,VALUE($A241),1000000000),IFERROR(IF(VALUE(MID($A241,2,20))&lt;100000000,VALUE(MID($A241,2,20)),1000000000),1000000000))+ROW()/100000,"")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IF($A242="","",E242*N242/100)</f>
        <v/>
      </c>
      <c r="J242" s="7" t="n"/>
      <c r="K242" s="7">
        <f>IF($A242="","",S242*N242)</f>
        <v/>
      </c>
      <c r="L242" s="7">
        <f>IF($A242="","",N242-K242)</f>
        <v/>
      </c>
      <c r="M242" s="7">
        <f>IF($A242="","",L242-F242)</f>
        <v/>
      </c>
      <c r="N242" s="7" t="n"/>
      <c r="Q242" s="11" t="n"/>
      <c r="S242">
        <f>IF($A242="","",IF($W242=1,Settings!$C$6,Settings!$C$7)*1)</f>
        <v/>
      </c>
      <c r="U242">
        <f>IF($A242="","",IF(COUNTIF($A$2:$A242,$A242)=1,1,0))</f>
        <v/>
      </c>
      <c r="V242">
        <f>IF($U242=1,SUMPRODUCT(--($X$2:$X$1001&lt;$X242))+1,"")</f>
        <v/>
      </c>
      <c r="W242">
        <f>IF($A242="","",IF(OR($T242=TRUE(),$T242="TRUE"),1,0))</f>
        <v/>
      </c>
      <c r="X242">
        <f>IF($U242=1,IFERROR(IF(VALUE($A242)&lt;100000000,VALUE($A242),1000000000),IFERROR(IF(VALUE(MID($A242,2,20))&lt;100000000,VALUE(MID($A242,2,20)),1000000000),1000000000))+ROW()/100000,"")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IF($A243="","",E243*N243/100)</f>
        <v/>
      </c>
      <c r="J243" s="7" t="n"/>
      <c r="K243" s="7">
        <f>IF($A243="","",S243*N243)</f>
        <v/>
      </c>
      <c r="L243" s="7">
        <f>IF($A243="","",N243-K243)</f>
        <v/>
      </c>
      <c r="M243" s="7">
        <f>IF($A243="","",L243-F243)</f>
        <v/>
      </c>
      <c r="N243" s="7" t="n"/>
      <c r="Q243" s="11" t="n"/>
      <c r="S243">
        <f>IF($A243="","",IF($W243=1,Settings!$C$6,Settings!$C$7)*1)</f>
        <v/>
      </c>
      <c r="U243">
        <f>IF($A243="","",IF(COUNTIF($A$2:$A243,$A243)=1,1,0))</f>
        <v/>
      </c>
      <c r="V243">
        <f>IF($U243=1,SUMPRODUCT(--($X$2:$X$1001&lt;$X243))+1,"")</f>
        <v/>
      </c>
      <c r="W243">
        <f>IF($A243="","",IF(OR($T243=TRUE(),$T243="TRUE"),1,0))</f>
        <v/>
      </c>
      <c r="X243">
        <f>IF($U243=1,IFERROR(IF(VALUE($A243)&lt;100000000,VALUE($A243),1000000000),IFERROR(IF(VALUE(MID($A243,2,20))&lt;100000000,VALUE(MID($A243,2,20)),1000000000),1000000000))+ROW()/100000,"")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IF($A244="","",E244*N244/100)</f>
        <v/>
      </c>
      <c r="J244" s="7" t="n"/>
      <c r="K244" s="7">
        <f>IF($A244="","",S244*N244)</f>
        <v/>
      </c>
      <c r="L244" s="7">
        <f>IF($A244="","",N244-K244)</f>
        <v/>
      </c>
      <c r="M244" s="7">
        <f>IF($A244="","",L244-F244)</f>
        <v/>
      </c>
      <c r="N244" s="7" t="n"/>
      <c r="Q244" s="11" t="n"/>
      <c r="S244">
        <f>IF($A244="","",IF($W244=1,Settings!$C$6,Settings!$C$7)*1)</f>
        <v/>
      </c>
      <c r="U244">
        <f>IF($A244="","",IF(COUNTIF($A$2:$A244,$A244)=1,1,0))</f>
        <v/>
      </c>
      <c r="V244">
        <f>IF($U244=1,SUMPRODUCT(--($X$2:$X$1001&lt;$X244))+1,"")</f>
        <v/>
      </c>
      <c r="W244">
        <f>IF($A244="","",IF(OR($T244=TRUE(),$T244="TRUE"),1,0))</f>
        <v/>
      </c>
      <c r="X244">
        <f>IF($U244=1,IFERROR(IF(VALUE($A244)&lt;100000000,VALUE($A244),1000000000),IFERROR(IF(VALUE(MID($A244,2,20))&lt;100000000,VALUE(MID($A244,2,20)),1000000000),1000000000))+ROW()/100000,"")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IF($A245="","",E245*N245/100)</f>
        <v/>
      </c>
      <c r="J245" s="7" t="n"/>
      <c r="K245" s="7">
        <f>IF($A245="","",S245*N245)</f>
        <v/>
      </c>
      <c r="L245" s="7">
        <f>IF($A245="","",N245-K245)</f>
        <v/>
      </c>
      <c r="M245" s="7">
        <f>IF($A245="","",L245-F245)</f>
        <v/>
      </c>
      <c r="N245" s="7" t="n"/>
      <c r="Q245" s="11" t="n"/>
      <c r="S245">
        <f>IF($A245="","",IF($W245=1,Settings!$C$6,Settings!$C$7)*1)</f>
        <v/>
      </c>
      <c r="U245">
        <f>IF($A245="","",IF(COUNTIF($A$2:$A245,$A245)=1,1,0))</f>
        <v/>
      </c>
      <c r="V245">
        <f>IF($U245=1,SUMPRODUCT(--($X$2:$X$1001&lt;$X245))+1,"")</f>
        <v/>
      </c>
      <c r="W245">
        <f>IF($A245="","",IF(OR($T245=TRUE(),$T245="TRUE"),1,0))</f>
        <v/>
      </c>
      <c r="X245">
        <f>IF($U245=1,IFERROR(IF(VALUE($A245)&lt;100000000,VALUE($A245),1000000000),IFERROR(IF(VALUE(MID($A245,2,20))&lt;100000000,VALUE(MID($A245,2,20)),1000000000),1000000000))+ROW()/100000,"")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IF($A246="","",E246*N246/100)</f>
        <v/>
      </c>
      <c r="J246" s="7" t="n"/>
      <c r="K246" s="7">
        <f>IF($A246="","",S246*N246)</f>
        <v/>
      </c>
      <c r="L246" s="7">
        <f>IF($A246="","",N246-K246)</f>
        <v/>
      </c>
      <c r="M246" s="7">
        <f>IF($A246="","",L246-F246)</f>
        <v/>
      </c>
      <c r="N246" s="7" t="n"/>
      <c r="Q246" s="11" t="n"/>
      <c r="S246">
        <f>IF($A246="","",IF($W246=1,Settings!$C$6,Settings!$C$7)*1)</f>
        <v/>
      </c>
      <c r="U246">
        <f>IF($A246="","",IF(COUNTIF($A$2:$A246,$A246)=1,1,0))</f>
        <v/>
      </c>
      <c r="V246">
        <f>IF($U246=1,SUMPRODUCT(--($X$2:$X$1001&lt;$X246))+1,"")</f>
        <v/>
      </c>
      <c r="W246">
        <f>IF($A246="","",IF(OR($T246=TRUE(),$T246="TRUE"),1,0))</f>
        <v/>
      </c>
      <c r="X246">
        <f>IF($U246=1,IFERROR(IF(VALUE($A246)&lt;100000000,VALUE($A246),1000000000),IFERROR(IF(VALUE(MID($A246,2,20))&lt;100000000,VALUE(MID($A246,2,20)),1000000000),1000000000))+ROW()/100000,"")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IF($A247="","",E247*N247/100)</f>
        <v/>
      </c>
      <c r="J247" s="7" t="n"/>
      <c r="K247" s="7">
        <f>IF($A247="","",S247*N247)</f>
        <v/>
      </c>
      <c r="L247" s="7">
        <f>IF($A247="","",N247-K247)</f>
        <v/>
      </c>
      <c r="M247" s="7">
        <f>IF($A247="","",L247-F247)</f>
        <v/>
      </c>
      <c r="N247" s="7" t="n"/>
      <c r="Q247" s="11" t="n"/>
      <c r="S247">
        <f>IF($A247="","",IF($W247=1,Settings!$C$6,Settings!$C$7)*1)</f>
        <v/>
      </c>
      <c r="U247">
        <f>IF($A247="","",IF(COUNTIF($A$2:$A247,$A247)=1,1,0))</f>
        <v/>
      </c>
      <c r="V247">
        <f>IF($U247=1,SUMPRODUCT(--($X$2:$X$1001&lt;$X247))+1,"")</f>
        <v/>
      </c>
      <c r="W247">
        <f>IF($A247="","",IF(OR($T247=TRUE(),$T247="TRUE"),1,0))</f>
        <v/>
      </c>
      <c r="X247">
        <f>IF($U247=1,IFERROR(IF(VALUE($A247)&lt;100000000,VALUE($A247),1000000000),IFERROR(IF(VALUE(MID($A247,2,20))&lt;100000000,VALUE(MID($A247,2,20)),1000000000),1000000000))+ROW()/100000,"")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IF($A248="","",E248*N248/100)</f>
        <v/>
      </c>
      <c r="J248" s="7" t="n"/>
      <c r="K248" s="7">
        <f>IF($A248="","",S248*N248)</f>
        <v/>
      </c>
      <c r="L248" s="7">
        <f>IF($A248="","",N248-K248)</f>
        <v/>
      </c>
      <c r="M248" s="7">
        <f>IF($A248="","",L248-F248)</f>
        <v/>
      </c>
      <c r="N248" s="7" t="n"/>
      <c r="Q248" s="11" t="n"/>
      <c r="S248">
        <f>IF($A248="","",IF($W248=1,Settings!$C$6,Settings!$C$7)*1)</f>
        <v/>
      </c>
      <c r="U248">
        <f>IF($A248="","",IF(COUNTIF($A$2:$A248,$A248)=1,1,0))</f>
        <v/>
      </c>
      <c r="V248">
        <f>IF($U248=1,SUMPRODUCT(--($X$2:$X$1001&lt;$X248))+1,"")</f>
        <v/>
      </c>
      <c r="W248">
        <f>IF($A248="","",IF(OR($T248=TRUE(),$T248="TRUE"),1,0))</f>
        <v/>
      </c>
      <c r="X248">
        <f>IF($U248=1,IFERROR(IF(VALUE($A248)&lt;100000000,VALUE($A248),1000000000),IFERROR(IF(VALUE(MID($A248,2,20))&lt;100000000,VALUE(MID($A248,2,20)),1000000000),1000000000))+ROW()/100000,"")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IF($A249="","",E249*N249/100)</f>
        <v/>
      </c>
      <c r="J249" s="7" t="n"/>
      <c r="K249" s="7">
        <f>IF($A249="","",S249*N249)</f>
        <v/>
      </c>
      <c r="L249" s="7">
        <f>IF($A249="","",N249-K249)</f>
        <v/>
      </c>
      <c r="M249" s="7">
        <f>IF($A249="","",L249-F249)</f>
        <v/>
      </c>
      <c r="N249" s="7" t="n"/>
      <c r="Q249" s="11" t="n"/>
      <c r="S249">
        <f>IF($A249="","",IF($W249=1,Settings!$C$6,Settings!$C$7)*1)</f>
        <v/>
      </c>
      <c r="U249">
        <f>IF($A249="","",IF(COUNTIF($A$2:$A249,$A249)=1,1,0))</f>
        <v/>
      </c>
      <c r="V249">
        <f>IF($U249=1,SUMPRODUCT(--($X$2:$X$1001&lt;$X249))+1,"")</f>
        <v/>
      </c>
      <c r="W249">
        <f>IF($A249="","",IF(OR($T249=TRUE(),$T249="TRUE"),1,0))</f>
        <v/>
      </c>
      <c r="X249">
        <f>IF($U249=1,IFERROR(IF(VALUE($A249)&lt;100000000,VALUE($A249),1000000000),IFERROR(IF(VALUE(MID($A249,2,20))&lt;100000000,VALUE(MID($A249,2,20)),1000000000),1000000000))+ROW()/100000,"")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IF($A250="","",E250*N250/100)</f>
        <v/>
      </c>
      <c r="J250" s="7" t="n"/>
      <c r="K250" s="7">
        <f>IF($A250="","",S250*N250)</f>
        <v/>
      </c>
      <c r="L250" s="7">
        <f>IF($A250="","",N250-K250)</f>
        <v/>
      </c>
      <c r="M250" s="7">
        <f>IF($A250="","",L250-F250)</f>
        <v/>
      </c>
      <c r="N250" s="7" t="n"/>
      <c r="Q250" s="11" t="n"/>
      <c r="S250">
        <f>IF($A250="","",IF($W250=1,Settings!$C$6,Settings!$C$7)*1)</f>
        <v/>
      </c>
      <c r="U250">
        <f>IF($A250="","",IF(COUNTIF($A$2:$A250,$A250)=1,1,0))</f>
        <v/>
      </c>
      <c r="V250">
        <f>IF($U250=1,SUMPRODUCT(--($X$2:$X$1001&lt;$X250))+1,"")</f>
        <v/>
      </c>
      <c r="W250">
        <f>IF($A250="","",IF(OR($T250=TRUE(),$T250="TRUE"),1,0))</f>
        <v/>
      </c>
      <c r="X250">
        <f>IF($U250=1,IFERROR(IF(VALUE($A250)&lt;100000000,VALUE($A250),1000000000),IFERROR(IF(VALUE(MID($A250,2,20))&lt;100000000,VALUE(MID($A250,2,20)),1000000000),1000000000))+ROW()/100000,"")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IF($A251="","",E251*N251/100)</f>
        <v/>
      </c>
      <c r="J251" s="7" t="n"/>
      <c r="K251" s="7">
        <f>IF($A251="","",S251*N251)</f>
        <v/>
      </c>
      <c r="L251" s="7">
        <f>IF($A251="","",N251-K251)</f>
        <v/>
      </c>
      <c r="M251" s="7">
        <f>IF($A251="","",L251-F251)</f>
        <v/>
      </c>
      <c r="N251" s="7" t="n"/>
      <c r="Q251" s="11" t="n"/>
      <c r="S251">
        <f>IF($A251="","",IF($W251=1,Settings!$C$6,Settings!$C$7)*1)</f>
        <v/>
      </c>
      <c r="U251">
        <f>IF($A251="","",IF(COUNTIF($A$2:$A251,$A251)=1,1,0))</f>
        <v/>
      </c>
      <c r="V251">
        <f>IF($U251=1,SUMPRODUCT(--($X$2:$X$1001&lt;$X251))+1,"")</f>
        <v/>
      </c>
      <c r="W251">
        <f>IF($A251="","",IF(OR($T251=TRUE(),$T251="TRUE"),1,0))</f>
        <v/>
      </c>
      <c r="X251">
        <f>IF($U251=1,IFERROR(IF(VALUE($A251)&lt;100000000,VALUE($A251),1000000000),IFERROR(IF(VALUE(MID($A251,2,20))&lt;100000000,VALUE(MID($A251,2,20)),1000000000),1000000000))+ROW()/100000,"")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IF($A252="","",E252*N252/100)</f>
        <v/>
      </c>
      <c r="J252" s="7" t="n"/>
      <c r="K252" s="7">
        <f>IF($A252="","",S252*N252)</f>
        <v/>
      </c>
      <c r="L252" s="7">
        <f>IF($A252="","",N252-K252)</f>
        <v/>
      </c>
      <c r="M252" s="7">
        <f>IF($A252="","",L252-F252)</f>
        <v/>
      </c>
      <c r="N252" s="7" t="n"/>
      <c r="Q252" s="11" t="n"/>
      <c r="S252">
        <f>IF($A252="","",IF($W252=1,Settings!$C$6,Settings!$C$7)*1)</f>
        <v/>
      </c>
      <c r="U252">
        <f>IF($A252="","",IF(COUNTIF($A$2:$A252,$A252)=1,1,0))</f>
        <v/>
      </c>
      <c r="V252">
        <f>IF($U252=1,SUMPRODUCT(--($X$2:$X$1001&lt;$X252))+1,"")</f>
        <v/>
      </c>
      <c r="W252">
        <f>IF($A252="","",IF(OR($T252=TRUE(),$T252="TRUE"),1,0))</f>
        <v/>
      </c>
      <c r="X252">
        <f>IF($U252=1,IFERROR(IF(VALUE($A252)&lt;100000000,VALUE($A252),1000000000),IFERROR(IF(VALUE(MID($A252,2,20))&lt;100000000,VALUE(MID($A252,2,20)),1000000000),1000000000))+ROW()/100000,"")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IF($A253="","",E253*N253/100)</f>
        <v/>
      </c>
      <c r="J253" s="7" t="n"/>
      <c r="K253" s="7">
        <f>IF($A253="","",S253*N253)</f>
        <v/>
      </c>
      <c r="L253" s="7">
        <f>IF($A253="","",N253-K253)</f>
        <v/>
      </c>
      <c r="M253" s="7">
        <f>IF($A253="","",L253-F253)</f>
        <v/>
      </c>
      <c r="N253" s="7" t="n"/>
      <c r="Q253" s="11" t="n"/>
      <c r="S253">
        <f>IF($A253="","",IF($W253=1,Settings!$C$6,Settings!$C$7)*1)</f>
        <v/>
      </c>
      <c r="U253">
        <f>IF($A253="","",IF(COUNTIF($A$2:$A253,$A253)=1,1,0))</f>
        <v/>
      </c>
      <c r="V253">
        <f>IF($U253=1,SUMPRODUCT(--($X$2:$X$1001&lt;$X253))+1,"")</f>
        <v/>
      </c>
      <c r="W253">
        <f>IF($A253="","",IF(OR($T253=TRUE(),$T253="TRUE"),1,0))</f>
        <v/>
      </c>
      <c r="X253">
        <f>IF($U253=1,IFERROR(IF(VALUE($A253)&lt;100000000,VALUE($A253),1000000000),IFERROR(IF(VALUE(MID($A253,2,20))&lt;100000000,VALUE(MID($A253,2,20)),1000000000),1000000000))+ROW()/100000,"")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IF($A254="","",E254*N254/100)</f>
        <v/>
      </c>
      <c r="J254" s="7" t="n"/>
      <c r="K254" s="7">
        <f>IF($A254="","",S254*N254)</f>
        <v/>
      </c>
      <c r="L254" s="7">
        <f>IF($A254="","",N254-K254)</f>
        <v/>
      </c>
      <c r="M254" s="7">
        <f>IF($A254="","",L254-F254)</f>
        <v/>
      </c>
      <c r="N254" s="7" t="n"/>
      <c r="Q254" s="11" t="n"/>
      <c r="S254">
        <f>IF($A254="","",IF($W254=1,Settings!$C$6,Settings!$C$7)*1)</f>
        <v/>
      </c>
      <c r="U254">
        <f>IF($A254="","",IF(COUNTIF($A$2:$A254,$A254)=1,1,0))</f>
        <v/>
      </c>
      <c r="V254">
        <f>IF($U254=1,SUMPRODUCT(--($X$2:$X$1001&lt;$X254))+1,"")</f>
        <v/>
      </c>
      <c r="W254">
        <f>IF($A254="","",IF(OR($T254=TRUE(),$T254="TRUE"),1,0))</f>
        <v/>
      </c>
      <c r="X254">
        <f>IF($U254=1,IFERROR(IF(VALUE($A254)&lt;100000000,VALUE($A254),1000000000),IFERROR(IF(VALUE(MID($A254,2,20))&lt;100000000,VALUE(MID($A254,2,20)),1000000000),1000000000))+ROW()/100000,"")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IF($A255="","",E255*N255/100)</f>
        <v/>
      </c>
      <c r="J255" s="7" t="n"/>
      <c r="K255" s="7">
        <f>IF($A255="","",S255*N255)</f>
        <v/>
      </c>
      <c r="L255" s="7">
        <f>IF($A255="","",N255-K255)</f>
        <v/>
      </c>
      <c r="M255" s="7">
        <f>IF($A255="","",L255-F255)</f>
        <v/>
      </c>
      <c r="N255" s="7" t="n"/>
      <c r="Q255" s="11" t="n"/>
      <c r="S255">
        <f>IF($A255="","",IF($W255=1,Settings!$C$6,Settings!$C$7)*1)</f>
        <v/>
      </c>
      <c r="U255">
        <f>IF($A255="","",IF(COUNTIF($A$2:$A255,$A255)=1,1,0))</f>
        <v/>
      </c>
      <c r="V255">
        <f>IF($U255=1,SUMPRODUCT(--($X$2:$X$1001&lt;$X255))+1,"")</f>
        <v/>
      </c>
      <c r="W255">
        <f>IF($A255="","",IF(OR($T255=TRUE(),$T255="TRUE"),1,0))</f>
        <v/>
      </c>
      <c r="X255">
        <f>IF($U255=1,IFERROR(IF(VALUE($A255)&lt;100000000,VALUE($A255),1000000000),IFERROR(IF(VALUE(MID($A255,2,20))&lt;100000000,VALUE(MID($A255,2,20)),1000000000),1000000000))+ROW()/100000,"")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IF($A256="","",E256*N256/100)</f>
        <v/>
      </c>
      <c r="J256" s="7" t="n"/>
      <c r="K256" s="7">
        <f>IF($A256="","",S256*N256)</f>
        <v/>
      </c>
      <c r="L256" s="7">
        <f>IF($A256="","",N256-K256)</f>
        <v/>
      </c>
      <c r="M256" s="7">
        <f>IF($A256="","",L256-F256)</f>
        <v/>
      </c>
      <c r="N256" s="7" t="n"/>
      <c r="Q256" s="11" t="n"/>
      <c r="S256">
        <f>IF($A256="","",IF($W256=1,Settings!$C$6,Settings!$C$7)*1)</f>
        <v/>
      </c>
      <c r="U256">
        <f>IF($A256="","",IF(COUNTIF($A$2:$A256,$A256)=1,1,0))</f>
        <v/>
      </c>
      <c r="V256">
        <f>IF($U256=1,SUMPRODUCT(--($X$2:$X$1001&lt;$X256))+1,"")</f>
        <v/>
      </c>
      <c r="W256">
        <f>IF($A256="","",IF(OR($T256=TRUE(),$T256="TRUE"),1,0))</f>
        <v/>
      </c>
      <c r="X256">
        <f>IF($U256=1,IFERROR(IF(VALUE($A256)&lt;100000000,VALUE($A256),1000000000),IFERROR(IF(VALUE(MID($A256,2,20))&lt;100000000,VALUE(MID($A256,2,20)),1000000000),1000000000))+ROW()/100000,"")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IF($A257="","",E257*N257/100)</f>
        <v/>
      </c>
      <c r="J257" s="7" t="n"/>
      <c r="K257" s="7">
        <f>IF($A257="","",S257*N257)</f>
        <v/>
      </c>
      <c r="L257" s="7">
        <f>IF($A257="","",N257-K257)</f>
        <v/>
      </c>
      <c r="M257" s="7">
        <f>IF($A257="","",L257-F257)</f>
        <v/>
      </c>
      <c r="N257" s="7" t="n"/>
      <c r="Q257" s="11" t="n"/>
      <c r="S257">
        <f>IF($A257="","",IF($W257=1,Settings!$C$6,Settings!$C$7)*1)</f>
        <v/>
      </c>
      <c r="U257">
        <f>IF($A257="","",IF(COUNTIF($A$2:$A257,$A257)=1,1,0))</f>
        <v/>
      </c>
      <c r="V257">
        <f>IF($U257=1,SUMPRODUCT(--($X$2:$X$1001&lt;$X257))+1,"")</f>
        <v/>
      </c>
      <c r="W257">
        <f>IF($A257="","",IF(OR($T257=TRUE(),$T257="TRUE"),1,0))</f>
        <v/>
      </c>
      <c r="X257">
        <f>IF($U257=1,IFERROR(IF(VALUE($A257)&lt;100000000,VALUE($A257),1000000000),IFERROR(IF(VALUE(MID($A257,2,20))&lt;100000000,VALUE(MID($A257,2,20)),1000000000),1000000000))+ROW()/100000,"")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IF($A258="","",E258*N258/100)</f>
        <v/>
      </c>
      <c r="J258" s="7" t="n"/>
      <c r="K258" s="7">
        <f>IF($A258="","",S258*N258)</f>
        <v/>
      </c>
      <c r="L258" s="7">
        <f>IF($A258="","",N258-K258)</f>
        <v/>
      </c>
      <c r="M258" s="7">
        <f>IF($A258="","",L258-F258)</f>
        <v/>
      </c>
      <c r="N258" s="7" t="n"/>
      <c r="Q258" s="11" t="n"/>
      <c r="S258">
        <f>IF($A258="","",IF($W258=1,Settings!$C$6,Settings!$C$7)*1)</f>
        <v/>
      </c>
      <c r="U258">
        <f>IF($A258="","",IF(COUNTIF($A$2:$A258,$A258)=1,1,0))</f>
        <v/>
      </c>
      <c r="V258">
        <f>IF($U258=1,SUMPRODUCT(--($X$2:$X$1001&lt;$X258))+1,"")</f>
        <v/>
      </c>
      <c r="W258">
        <f>IF($A258="","",IF(OR($T258=TRUE(),$T258="TRUE"),1,0))</f>
        <v/>
      </c>
      <c r="X258">
        <f>IF($U258=1,IFERROR(IF(VALUE($A258)&lt;100000000,VALUE($A258),1000000000),IFERROR(IF(VALUE(MID($A258,2,20))&lt;100000000,VALUE(MID($A258,2,20)),1000000000),1000000000))+ROW()/100000,"")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IF($A259="","",E259*N259/100)</f>
        <v/>
      </c>
      <c r="J259" s="7" t="n"/>
      <c r="K259" s="7">
        <f>IF($A259="","",S259*N259)</f>
        <v/>
      </c>
      <c r="L259" s="7">
        <f>IF($A259="","",N259-K259)</f>
        <v/>
      </c>
      <c r="M259" s="7">
        <f>IF($A259="","",L259-F259)</f>
        <v/>
      </c>
      <c r="N259" s="7" t="n"/>
      <c r="Q259" s="11" t="n"/>
      <c r="S259">
        <f>IF($A259="","",IF($W259=1,Settings!$C$6,Settings!$C$7)*1)</f>
        <v/>
      </c>
      <c r="U259">
        <f>IF($A259="","",IF(COUNTIF($A$2:$A259,$A259)=1,1,0))</f>
        <v/>
      </c>
      <c r="V259">
        <f>IF($U259=1,SUMPRODUCT(--($X$2:$X$1001&lt;$X259))+1,"")</f>
        <v/>
      </c>
      <c r="W259">
        <f>IF($A259="","",IF(OR($T259=TRUE(),$T259="TRUE"),1,0))</f>
        <v/>
      </c>
      <c r="X259">
        <f>IF($U259=1,IFERROR(IF(VALUE($A259)&lt;100000000,VALUE($A259),1000000000),IFERROR(IF(VALUE(MID($A259,2,20))&lt;100000000,VALUE(MID($A259,2,20)),1000000000),1000000000))+ROW()/100000,"")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IF($A260="","",E260*N260/100)</f>
        <v/>
      </c>
      <c r="J260" s="7" t="n"/>
      <c r="K260" s="7">
        <f>IF($A260="","",S260*N260)</f>
        <v/>
      </c>
      <c r="L260" s="7">
        <f>IF($A260="","",N260-K260)</f>
        <v/>
      </c>
      <c r="M260" s="7">
        <f>IF($A260="","",L260-F260)</f>
        <v/>
      </c>
      <c r="N260" s="7" t="n"/>
      <c r="Q260" s="11" t="n"/>
      <c r="S260">
        <f>IF($A260="","",IF($W260=1,Settings!$C$6,Settings!$C$7)*1)</f>
        <v/>
      </c>
      <c r="U260">
        <f>IF($A260="","",IF(COUNTIF($A$2:$A260,$A260)=1,1,0))</f>
        <v/>
      </c>
      <c r="V260">
        <f>IF($U260=1,SUMPRODUCT(--($X$2:$X$1001&lt;$X260))+1,"")</f>
        <v/>
      </c>
      <c r="W260">
        <f>IF($A260="","",IF(OR($T260=TRUE(),$T260="TRUE"),1,0))</f>
        <v/>
      </c>
      <c r="X260">
        <f>IF($U260=1,IFERROR(IF(VALUE($A260)&lt;100000000,VALUE($A260),1000000000),IFERROR(IF(VALUE(MID($A260,2,20))&lt;100000000,VALUE(MID($A260,2,20)),1000000000),1000000000))+ROW()/100000,"")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IF($A261="","",E261*N261/100)</f>
        <v/>
      </c>
      <c r="J261" s="7" t="n"/>
      <c r="K261" s="7">
        <f>IF($A261="","",S261*N261)</f>
        <v/>
      </c>
      <c r="L261" s="7">
        <f>IF($A261="","",N261-K261)</f>
        <v/>
      </c>
      <c r="M261" s="7">
        <f>IF($A261="","",L261-F261)</f>
        <v/>
      </c>
      <c r="N261" s="7" t="n"/>
      <c r="Q261" s="11" t="n"/>
      <c r="S261">
        <f>IF($A261="","",IF($W261=1,Settings!$C$6,Settings!$C$7)*1)</f>
        <v/>
      </c>
      <c r="U261">
        <f>IF($A261="","",IF(COUNTIF($A$2:$A261,$A261)=1,1,0))</f>
        <v/>
      </c>
      <c r="V261">
        <f>IF($U261=1,SUMPRODUCT(--($X$2:$X$1001&lt;$X261))+1,"")</f>
        <v/>
      </c>
      <c r="W261">
        <f>IF($A261="","",IF(OR($T261=TRUE(),$T261="TRUE"),1,0))</f>
        <v/>
      </c>
      <c r="X261">
        <f>IF($U261=1,IFERROR(IF(VALUE($A261)&lt;100000000,VALUE($A261),1000000000),IFERROR(IF(VALUE(MID($A261,2,20))&lt;100000000,VALUE(MID($A261,2,20)),1000000000),1000000000))+ROW()/100000,"")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IF($A262="","",E262*N262/100)</f>
        <v/>
      </c>
      <c r="J262" s="7" t="n"/>
      <c r="K262" s="7">
        <f>IF($A262="","",S262*N262)</f>
        <v/>
      </c>
      <c r="L262" s="7">
        <f>IF($A262="","",N262-K262)</f>
        <v/>
      </c>
      <c r="M262" s="7">
        <f>IF($A262="","",L262-F262)</f>
        <v/>
      </c>
      <c r="N262" s="7" t="n"/>
      <c r="Q262" s="11" t="n"/>
      <c r="S262">
        <f>IF($A262="","",IF($W262=1,Settings!$C$6,Settings!$C$7)*1)</f>
        <v/>
      </c>
      <c r="U262">
        <f>IF($A262="","",IF(COUNTIF($A$2:$A262,$A262)=1,1,0))</f>
        <v/>
      </c>
      <c r="V262">
        <f>IF($U262=1,SUMPRODUCT(--($X$2:$X$1001&lt;$X262))+1,"")</f>
        <v/>
      </c>
      <c r="W262">
        <f>IF($A262="","",IF(OR($T262=TRUE(),$T262="TRUE"),1,0))</f>
        <v/>
      </c>
      <c r="X262">
        <f>IF($U262=1,IFERROR(IF(VALUE($A262)&lt;100000000,VALUE($A262),1000000000),IFERROR(IF(VALUE(MID($A262,2,20))&lt;100000000,VALUE(MID($A262,2,20)),1000000000),1000000000))+ROW()/100000,"")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IF($A263="","",E263*N263/100)</f>
        <v/>
      </c>
      <c r="J263" s="7" t="n"/>
      <c r="K263" s="7">
        <f>IF($A263="","",S263*N263)</f>
        <v/>
      </c>
      <c r="L263" s="7">
        <f>IF($A263="","",N263-K263)</f>
        <v/>
      </c>
      <c r="M263" s="7">
        <f>IF($A263="","",L263-F263)</f>
        <v/>
      </c>
      <c r="N263" s="7" t="n"/>
      <c r="Q263" s="11" t="n"/>
      <c r="S263">
        <f>IF($A263="","",IF($W263=1,Settings!$C$6,Settings!$C$7)*1)</f>
        <v/>
      </c>
      <c r="U263">
        <f>IF($A263="","",IF(COUNTIF($A$2:$A263,$A263)=1,1,0))</f>
        <v/>
      </c>
      <c r="V263">
        <f>IF($U263=1,SUMPRODUCT(--($X$2:$X$1001&lt;$X263))+1,"")</f>
        <v/>
      </c>
      <c r="W263">
        <f>IF($A263="","",IF(OR($T263=TRUE(),$T263="TRUE"),1,0))</f>
        <v/>
      </c>
      <c r="X263">
        <f>IF($U263=1,IFERROR(IF(VALUE($A263)&lt;100000000,VALUE($A263),1000000000),IFERROR(IF(VALUE(MID($A263,2,20))&lt;100000000,VALUE(MID($A263,2,20)),1000000000),1000000000))+ROW()/100000,"")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IF($A264="","",E264*N264/100)</f>
        <v/>
      </c>
      <c r="J264" s="7" t="n"/>
      <c r="K264" s="7">
        <f>IF($A264="","",S264*N264)</f>
        <v/>
      </c>
      <c r="L264" s="7">
        <f>IF($A264="","",N264-K264)</f>
        <v/>
      </c>
      <c r="M264" s="7">
        <f>IF($A264="","",L264-F264)</f>
        <v/>
      </c>
      <c r="N264" s="7" t="n"/>
      <c r="Q264" s="11" t="n"/>
      <c r="S264">
        <f>IF($A264="","",IF($W264=1,Settings!$C$6,Settings!$C$7)*1)</f>
        <v/>
      </c>
      <c r="U264">
        <f>IF($A264="","",IF(COUNTIF($A$2:$A264,$A264)=1,1,0))</f>
        <v/>
      </c>
      <c r="V264">
        <f>IF($U264=1,SUMPRODUCT(--($X$2:$X$1001&lt;$X264))+1,"")</f>
        <v/>
      </c>
      <c r="W264">
        <f>IF($A264="","",IF(OR($T264=TRUE(),$T264="TRUE"),1,0))</f>
        <v/>
      </c>
      <c r="X264">
        <f>IF($U264=1,IFERROR(IF(VALUE($A264)&lt;100000000,VALUE($A264),1000000000),IFERROR(IF(VALUE(MID($A264,2,20))&lt;100000000,VALUE(MID($A264,2,20)),1000000000),1000000000))+ROW()/100000,"")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IF($A265="","",E265*N265/100)</f>
        <v/>
      </c>
      <c r="J265" s="7" t="n"/>
      <c r="K265" s="7">
        <f>IF($A265="","",S265*N265)</f>
        <v/>
      </c>
      <c r="L265" s="7">
        <f>IF($A265="","",N265-K265)</f>
        <v/>
      </c>
      <c r="M265" s="7">
        <f>IF($A265="","",L265-F265)</f>
        <v/>
      </c>
      <c r="N265" s="7" t="n"/>
      <c r="Q265" s="11" t="n"/>
      <c r="S265">
        <f>IF($A265="","",IF($W265=1,Settings!$C$6,Settings!$C$7)*1)</f>
        <v/>
      </c>
      <c r="U265">
        <f>IF($A265="","",IF(COUNTIF($A$2:$A265,$A265)=1,1,0))</f>
        <v/>
      </c>
      <c r="V265">
        <f>IF($U265=1,SUMPRODUCT(--($X$2:$X$1001&lt;$X265))+1,"")</f>
        <v/>
      </c>
      <c r="W265">
        <f>IF($A265="","",IF(OR($T265=TRUE(),$T265="TRUE"),1,0))</f>
        <v/>
      </c>
      <c r="X265">
        <f>IF($U265=1,IFERROR(IF(VALUE($A265)&lt;100000000,VALUE($A265),1000000000),IFERROR(IF(VALUE(MID($A265,2,20))&lt;100000000,VALUE(MID($A265,2,20)),1000000000),1000000000))+ROW()/100000,"")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IF($A266="","",E266*N266/100)</f>
        <v/>
      </c>
      <c r="J266" s="7" t="n"/>
      <c r="K266" s="7">
        <f>IF($A266="","",S266*N266)</f>
        <v/>
      </c>
      <c r="L266" s="7">
        <f>IF($A266="","",N266-K266)</f>
        <v/>
      </c>
      <c r="M266" s="7">
        <f>IF($A266="","",L266-F266)</f>
        <v/>
      </c>
      <c r="N266" s="7" t="n"/>
      <c r="Q266" s="11" t="n"/>
      <c r="S266">
        <f>IF($A266="","",IF($W266=1,Settings!$C$6,Settings!$C$7)*1)</f>
        <v/>
      </c>
      <c r="U266">
        <f>IF($A266="","",IF(COUNTIF($A$2:$A266,$A266)=1,1,0))</f>
        <v/>
      </c>
      <c r="V266">
        <f>IF($U266=1,SUMPRODUCT(--($X$2:$X$1001&lt;$X266))+1,"")</f>
        <v/>
      </c>
      <c r="W266">
        <f>IF($A266="","",IF(OR($T266=TRUE(),$T266="TRUE"),1,0))</f>
        <v/>
      </c>
      <c r="X266">
        <f>IF($U266=1,IFERROR(IF(VALUE($A266)&lt;100000000,VALUE($A266),1000000000),IFERROR(IF(VALUE(MID($A266,2,20))&lt;100000000,VALUE(MID($A266,2,20)),1000000000),1000000000))+ROW()/100000,"")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IF($A267="","",E267*N267/100)</f>
        <v/>
      </c>
      <c r="J267" s="7" t="n"/>
      <c r="K267" s="7">
        <f>IF($A267="","",S267*N267)</f>
        <v/>
      </c>
      <c r="L267" s="7">
        <f>IF($A267="","",N267-K267)</f>
        <v/>
      </c>
      <c r="M267" s="7">
        <f>IF($A267="","",L267-F267)</f>
        <v/>
      </c>
      <c r="N267" s="7" t="n"/>
      <c r="Q267" s="11" t="n"/>
      <c r="S267">
        <f>IF($A267="","",IF($W267=1,Settings!$C$6,Settings!$C$7)*1)</f>
        <v/>
      </c>
      <c r="U267">
        <f>IF($A267="","",IF(COUNTIF($A$2:$A267,$A267)=1,1,0))</f>
        <v/>
      </c>
      <c r="V267">
        <f>IF($U267=1,SUMPRODUCT(--($X$2:$X$1001&lt;$X267))+1,"")</f>
        <v/>
      </c>
      <c r="W267">
        <f>IF($A267="","",IF(OR($T267=TRUE(),$T267="TRUE"),1,0))</f>
        <v/>
      </c>
      <c r="X267">
        <f>IF($U267=1,IFERROR(IF(VALUE($A267)&lt;100000000,VALUE($A267),1000000000),IFERROR(IF(VALUE(MID($A267,2,20))&lt;100000000,VALUE(MID($A267,2,20)),1000000000),1000000000))+ROW()/100000,"")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IF($A268="","",E268*N268/100)</f>
        <v/>
      </c>
      <c r="J268" s="7" t="n"/>
      <c r="K268" s="7">
        <f>IF($A268="","",S268*N268)</f>
        <v/>
      </c>
      <c r="L268" s="7">
        <f>IF($A268="","",N268-K268)</f>
        <v/>
      </c>
      <c r="M268" s="7">
        <f>IF($A268="","",L268-F268)</f>
        <v/>
      </c>
      <c r="N268" s="7" t="n"/>
      <c r="Q268" s="11" t="n"/>
      <c r="S268">
        <f>IF($A268="","",IF($W268=1,Settings!$C$6,Settings!$C$7)*1)</f>
        <v/>
      </c>
      <c r="U268">
        <f>IF($A268="","",IF(COUNTIF($A$2:$A268,$A268)=1,1,0))</f>
        <v/>
      </c>
      <c r="V268">
        <f>IF($U268=1,SUMPRODUCT(--($X$2:$X$1001&lt;$X268))+1,"")</f>
        <v/>
      </c>
      <c r="W268">
        <f>IF($A268="","",IF(OR($T268=TRUE(),$T268="TRUE"),1,0))</f>
        <v/>
      </c>
      <c r="X268">
        <f>IF($U268=1,IFERROR(IF(VALUE($A268)&lt;100000000,VALUE($A268),1000000000),IFERROR(IF(VALUE(MID($A268,2,20))&lt;100000000,VALUE(MID($A268,2,20)),1000000000),1000000000))+ROW()/100000,"")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IF($A269="","",E269*N269/100)</f>
        <v/>
      </c>
      <c r="J269" s="7" t="n"/>
      <c r="K269" s="7">
        <f>IF($A269="","",S269*N269)</f>
        <v/>
      </c>
      <c r="L269" s="7">
        <f>IF($A269="","",N269-K269)</f>
        <v/>
      </c>
      <c r="M269" s="7">
        <f>IF($A269="","",L269-F269)</f>
        <v/>
      </c>
      <c r="N269" s="7" t="n"/>
      <c r="Q269" s="11" t="n"/>
      <c r="S269">
        <f>IF($A269="","",IF($W269=1,Settings!$C$6,Settings!$C$7)*1)</f>
        <v/>
      </c>
      <c r="U269">
        <f>IF($A269="","",IF(COUNTIF($A$2:$A269,$A269)=1,1,0))</f>
        <v/>
      </c>
      <c r="V269">
        <f>IF($U269=1,SUMPRODUCT(--($X$2:$X$1001&lt;$X269))+1,"")</f>
        <v/>
      </c>
      <c r="W269">
        <f>IF($A269="","",IF(OR($T269=TRUE(),$T269="TRUE"),1,0))</f>
        <v/>
      </c>
      <c r="X269">
        <f>IF($U269=1,IFERROR(IF(VALUE($A269)&lt;100000000,VALUE($A269),1000000000),IFERROR(IF(VALUE(MID($A269,2,20))&lt;100000000,VALUE(MID($A269,2,20)),1000000000),1000000000))+ROW()/100000,"")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IF($A270="","",E270*N270/100)</f>
        <v/>
      </c>
      <c r="J270" s="7" t="n"/>
      <c r="K270" s="7">
        <f>IF($A270="","",S270*N270)</f>
        <v/>
      </c>
      <c r="L270" s="7">
        <f>IF($A270="","",N270-K270)</f>
        <v/>
      </c>
      <c r="M270" s="7">
        <f>IF($A270="","",L270-F270)</f>
        <v/>
      </c>
      <c r="N270" s="7" t="n"/>
      <c r="Q270" s="11" t="n"/>
      <c r="S270">
        <f>IF($A270="","",IF($W270=1,Settings!$C$6,Settings!$C$7)*1)</f>
        <v/>
      </c>
      <c r="U270">
        <f>IF($A270="","",IF(COUNTIF($A$2:$A270,$A270)=1,1,0))</f>
        <v/>
      </c>
      <c r="V270">
        <f>IF($U270=1,SUMPRODUCT(--($X$2:$X$1001&lt;$X270))+1,"")</f>
        <v/>
      </c>
      <c r="W270">
        <f>IF($A270="","",IF(OR($T270=TRUE(),$T270="TRUE"),1,0))</f>
        <v/>
      </c>
      <c r="X270">
        <f>IF($U270=1,IFERROR(IF(VALUE($A270)&lt;100000000,VALUE($A270),1000000000),IFERROR(IF(VALUE(MID($A270,2,20))&lt;100000000,VALUE(MID($A270,2,20)),1000000000),1000000000))+ROW()/100000,"")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IF($A271="","",E271*N271/100)</f>
        <v/>
      </c>
      <c r="J271" s="7" t="n"/>
      <c r="K271" s="7">
        <f>IF($A271="","",S271*N271)</f>
        <v/>
      </c>
      <c r="L271" s="7">
        <f>IF($A271="","",N271-K271)</f>
        <v/>
      </c>
      <c r="M271" s="7">
        <f>IF($A271="","",L271-F271)</f>
        <v/>
      </c>
      <c r="N271" s="7" t="n"/>
      <c r="Q271" s="11" t="n"/>
      <c r="S271">
        <f>IF($A271="","",IF($W271=1,Settings!$C$6,Settings!$C$7)*1)</f>
        <v/>
      </c>
      <c r="U271">
        <f>IF($A271="","",IF(COUNTIF($A$2:$A271,$A271)=1,1,0))</f>
        <v/>
      </c>
      <c r="V271">
        <f>IF($U271=1,SUMPRODUCT(--($X$2:$X$1001&lt;$X271))+1,"")</f>
        <v/>
      </c>
      <c r="W271">
        <f>IF($A271="","",IF(OR($T271=TRUE(),$T271="TRUE"),1,0))</f>
        <v/>
      </c>
      <c r="X271">
        <f>IF($U271=1,IFERROR(IF(VALUE($A271)&lt;100000000,VALUE($A271),1000000000),IFERROR(IF(VALUE(MID($A271,2,20))&lt;100000000,VALUE(MID($A271,2,20)),1000000000),1000000000))+ROW()/100000,"")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IF($A272="","",E272*N272/100)</f>
        <v/>
      </c>
      <c r="J272" s="7" t="n"/>
      <c r="K272" s="7">
        <f>IF($A272="","",S272*N272)</f>
        <v/>
      </c>
      <c r="L272" s="7">
        <f>IF($A272="","",N272-K272)</f>
        <v/>
      </c>
      <c r="M272" s="7">
        <f>IF($A272="","",L272-F272)</f>
        <v/>
      </c>
      <c r="N272" s="7" t="n"/>
      <c r="Q272" s="11" t="n"/>
      <c r="S272">
        <f>IF($A272="","",IF($W272=1,Settings!$C$6,Settings!$C$7)*1)</f>
        <v/>
      </c>
      <c r="U272">
        <f>IF($A272="","",IF(COUNTIF($A$2:$A272,$A272)=1,1,0))</f>
        <v/>
      </c>
      <c r="V272">
        <f>IF($U272=1,SUMPRODUCT(--($X$2:$X$1001&lt;$X272))+1,"")</f>
        <v/>
      </c>
      <c r="W272">
        <f>IF($A272="","",IF(OR($T272=TRUE(),$T272="TRUE"),1,0))</f>
        <v/>
      </c>
      <c r="X272">
        <f>IF($U272=1,IFERROR(IF(VALUE($A272)&lt;100000000,VALUE($A272),1000000000),IFERROR(IF(VALUE(MID($A272,2,20))&lt;100000000,VALUE(MID($A272,2,20)),1000000000),1000000000))+ROW()/100000,"")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IF($A273="","",E273*N273/100)</f>
        <v/>
      </c>
      <c r="J273" s="7" t="n"/>
      <c r="K273" s="7">
        <f>IF($A273="","",S273*N273)</f>
        <v/>
      </c>
      <c r="L273" s="7">
        <f>IF($A273="","",N273-K273)</f>
        <v/>
      </c>
      <c r="M273" s="7">
        <f>IF($A273="","",L273-F273)</f>
        <v/>
      </c>
      <c r="N273" s="7" t="n"/>
      <c r="Q273" s="11" t="n"/>
      <c r="S273">
        <f>IF($A273="","",IF($W273=1,Settings!$C$6,Settings!$C$7)*1)</f>
        <v/>
      </c>
      <c r="U273">
        <f>IF($A273="","",IF(COUNTIF($A$2:$A273,$A273)=1,1,0))</f>
        <v/>
      </c>
      <c r="V273">
        <f>IF($U273=1,SUMPRODUCT(--($X$2:$X$1001&lt;$X273))+1,"")</f>
        <v/>
      </c>
      <c r="W273">
        <f>IF($A273="","",IF(OR($T273=TRUE(),$T273="TRUE"),1,0))</f>
        <v/>
      </c>
      <c r="X273">
        <f>IF($U273=1,IFERROR(IF(VALUE($A273)&lt;100000000,VALUE($A273),1000000000),IFERROR(IF(VALUE(MID($A273,2,20))&lt;100000000,VALUE(MID($A273,2,20)),1000000000),1000000000))+ROW()/100000,"")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IF($A274="","",E274*N274/100)</f>
        <v/>
      </c>
      <c r="J274" s="7" t="n"/>
      <c r="K274" s="7">
        <f>IF($A274="","",S274*N274)</f>
        <v/>
      </c>
      <c r="L274" s="7">
        <f>IF($A274="","",N274-K274)</f>
        <v/>
      </c>
      <c r="M274" s="7">
        <f>IF($A274="","",L274-F274)</f>
        <v/>
      </c>
      <c r="N274" s="7" t="n"/>
      <c r="Q274" s="11" t="n"/>
      <c r="S274">
        <f>IF($A274="","",IF($W274=1,Settings!$C$6,Settings!$C$7)*1)</f>
        <v/>
      </c>
      <c r="U274">
        <f>IF($A274="","",IF(COUNTIF($A$2:$A274,$A274)=1,1,0))</f>
        <v/>
      </c>
      <c r="V274">
        <f>IF($U274=1,SUMPRODUCT(--($X$2:$X$1001&lt;$X274))+1,"")</f>
        <v/>
      </c>
      <c r="W274">
        <f>IF($A274="","",IF(OR($T274=TRUE(),$T274="TRUE"),1,0))</f>
        <v/>
      </c>
      <c r="X274">
        <f>IF($U274=1,IFERROR(IF(VALUE($A274)&lt;100000000,VALUE($A274),1000000000),IFERROR(IF(VALUE(MID($A274,2,20))&lt;100000000,VALUE(MID($A274,2,20)),1000000000),1000000000))+ROW()/100000,"")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IF($A275="","",E275*N275/100)</f>
        <v/>
      </c>
      <c r="J275" s="7" t="n"/>
      <c r="K275" s="7">
        <f>IF($A275="","",S275*N275)</f>
        <v/>
      </c>
      <c r="L275" s="7">
        <f>IF($A275="","",N275-K275)</f>
        <v/>
      </c>
      <c r="M275" s="7">
        <f>IF($A275="","",L275-F275)</f>
        <v/>
      </c>
      <c r="N275" s="7" t="n"/>
      <c r="Q275" s="11" t="n"/>
      <c r="S275">
        <f>IF($A275="","",IF($W275=1,Settings!$C$6,Settings!$C$7)*1)</f>
        <v/>
      </c>
      <c r="U275">
        <f>IF($A275="","",IF(COUNTIF($A$2:$A275,$A275)=1,1,0))</f>
        <v/>
      </c>
      <c r="V275">
        <f>IF($U275=1,SUMPRODUCT(--($X$2:$X$1001&lt;$X275))+1,"")</f>
        <v/>
      </c>
      <c r="W275">
        <f>IF($A275="","",IF(OR($T275=TRUE(),$T275="TRUE"),1,0))</f>
        <v/>
      </c>
      <c r="X275">
        <f>IF($U275=1,IFERROR(IF(VALUE($A275)&lt;100000000,VALUE($A275),1000000000),IFERROR(IF(VALUE(MID($A275,2,20))&lt;100000000,VALUE(MID($A275,2,20)),1000000000),1000000000))+ROW()/100000,"")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IF($A276="","",E276*N276/100)</f>
        <v/>
      </c>
      <c r="J276" s="7" t="n"/>
      <c r="K276" s="7">
        <f>IF($A276="","",S276*N276)</f>
        <v/>
      </c>
      <c r="L276" s="7">
        <f>IF($A276="","",N276-K276)</f>
        <v/>
      </c>
      <c r="M276" s="7">
        <f>IF($A276="","",L276-F276)</f>
        <v/>
      </c>
      <c r="N276" s="7" t="n"/>
      <c r="Q276" s="11" t="n"/>
      <c r="S276">
        <f>IF($A276="","",IF($W276=1,Settings!$C$6,Settings!$C$7)*1)</f>
        <v/>
      </c>
      <c r="U276">
        <f>IF($A276="","",IF(COUNTIF($A$2:$A276,$A276)=1,1,0))</f>
        <v/>
      </c>
      <c r="V276">
        <f>IF($U276=1,SUMPRODUCT(--($X$2:$X$1001&lt;$X276))+1,"")</f>
        <v/>
      </c>
      <c r="W276">
        <f>IF($A276="","",IF(OR($T276=TRUE(),$T276="TRUE"),1,0))</f>
        <v/>
      </c>
      <c r="X276">
        <f>IF($U276=1,IFERROR(IF(VALUE($A276)&lt;100000000,VALUE($A276),1000000000),IFERROR(IF(VALUE(MID($A276,2,20))&lt;100000000,VALUE(MID($A276,2,20)),1000000000),1000000000))+ROW()/100000,"")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IF($A277="","",E277*N277/100)</f>
        <v/>
      </c>
      <c r="J277" s="7" t="n"/>
      <c r="K277" s="7">
        <f>IF($A277="","",S277*N277)</f>
        <v/>
      </c>
      <c r="L277" s="7">
        <f>IF($A277="","",N277-K277)</f>
        <v/>
      </c>
      <c r="M277" s="7">
        <f>IF($A277="","",L277-F277)</f>
        <v/>
      </c>
      <c r="N277" s="7" t="n"/>
      <c r="Q277" s="11" t="n"/>
      <c r="S277">
        <f>IF($A277="","",IF($W277=1,Settings!$C$6,Settings!$C$7)*1)</f>
        <v/>
      </c>
      <c r="U277">
        <f>IF($A277="","",IF(COUNTIF($A$2:$A277,$A277)=1,1,0))</f>
        <v/>
      </c>
      <c r="V277">
        <f>IF($U277=1,SUMPRODUCT(--($X$2:$X$1001&lt;$X277))+1,"")</f>
        <v/>
      </c>
      <c r="W277">
        <f>IF($A277="","",IF(OR($T277=TRUE(),$T277="TRUE"),1,0))</f>
        <v/>
      </c>
      <c r="X277">
        <f>IF($U277=1,IFERROR(IF(VALUE($A277)&lt;100000000,VALUE($A277),1000000000),IFERROR(IF(VALUE(MID($A277,2,20))&lt;100000000,VALUE(MID($A277,2,20)),1000000000),1000000000))+ROW()/100000,"")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IF($A278="","",E278*N278/100)</f>
        <v/>
      </c>
      <c r="J278" s="7" t="n"/>
      <c r="K278" s="7">
        <f>IF($A278="","",S278*N278)</f>
        <v/>
      </c>
      <c r="L278" s="7">
        <f>IF($A278="","",N278-K278)</f>
        <v/>
      </c>
      <c r="M278" s="7">
        <f>IF($A278="","",L278-F278)</f>
        <v/>
      </c>
      <c r="N278" s="7" t="n"/>
      <c r="Q278" s="11" t="n"/>
      <c r="S278">
        <f>IF($A278="","",IF($W278=1,Settings!$C$6,Settings!$C$7)*1)</f>
        <v/>
      </c>
      <c r="U278">
        <f>IF($A278="","",IF(COUNTIF($A$2:$A278,$A278)=1,1,0))</f>
        <v/>
      </c>
      <c r="V278">
        <f>IF($U278=1,SUMPRODUCT(--($X$2:$X$1001&lt;$X278))+1,"")</f>
        <v/>
      </c>
      <c r="W278">
        <f>IF($A278="","",IF(OR($T278=TRUE(),$T278="TRUE"),1,0))</f>
        <v/>
      </c>
      <c r="X278">
        <f>IF($U278=1,IFERROR(IF(VALUE($A278)&lt;100000000,VALUE($A278),1000000000),IFERROR(IF(VALUE(MID($A278,2,20))&lt;100000000,VALUE(MID($A278,2,20)),1000000000),1000000000))+ROW()/100000,"")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IF($A279="","",E279*N279/100)</f>
        <v/>
      </c>
      <c r="J279" s="7" t="n"/>
      <c r="K279" s="7">
        <f>IF($A279="","",S279*N279)</f>
        <v/>
      </c>
      <c r="L279" s="7">
        <f>IF($A279="","",N279-K279)</f>
        <v/>
      </c>
      <c r="M279" s="7">
        <f>IF($A279="","",L279-F279)</f>
        <v/>
      </c>
      <c r="N279" s="7" t="n"/>
      <c r="Q279" s="11" t="n"/>
      <c r="S279">
        <f>IF($A279="","",IF($W279=1,Settings!$C$6,Settings!$C$7)*1)</f>
        <v/>
      </c>
      <c r="U279">
        <f>IF($A279="","",IF(COUNTIF($A$2:$A279,$A279)=1,1,0))</f>
        <v/>
      </c>
      <c r="V279">
        <f>IF($U279=1,SUMPRODUCT(--($X$2:$X$1001&lt;$X279))+1,"")</f>
        <v/>
      </c>
      <c r="W279">
        <f>IF($A279="","",IF(OR($T279=TRUE(),$T279="TRUE"),1,0))</f>
        <v/>
      </c>
      <c r="X279">
        <f>IF($U279=1,IFERROR(IF(VALUE($A279)&lt;100000000,VALUE($A279),1000000000),IFERROR(IF(VALUE(MID($A279,2,20))&lt;100000000,VALUE(MID($A279,2,20)),1000000000),1000000000))+ROW()/100000,"")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IF($A280="","",E280*N280/100)</f>
        <v/>
      </c>
      <c r="J280" s="7" t="n"/>
      <c r="K280" s="7">
        <f>IF($A280="","",S280*N280)</f>
        <v/>
      </c>
      <c r="L280" s="7">
        <f>IF($A280="","",N280-K280)</f>
        <v/>
      </c>
      <c r="M280" s="7">
        <f>IF($A280="","",L280-F280)</f>
        <v/>
      </c>
      <c r="N280" s="7" t="n"/>
      <c r="Q280" s="11" t="n"/>
      <c r="S280">
        <f>IF($A280="","",IF($W280=1,Settings!$C$6,Settings!$C$7)*1)</f>
        <v/>
      </c>
      <c r="U280">
        <f>IF($A280="","",IF(COUNTIF($A$2:$A280,$A280)=1,1,0))</f>
        <v/>
      </c>
      <c r="V280">
        <f>IF($U280=1,SUMPRODUCT(--($X$2:$X$1001&lt;$X280))+1,"")</f>
        <v/>
      </c>
      <c r="W280">
        <f>IF($A280="","",IF(OR($T280=TRUE(),$T280="TRUE"),1,0))</f>
        <v/>
      </c>
      <c r="X280">
        <f>IF($U280=1,IFERROR(IF(VALUE($A280)&lt;100000000,VALUE($A280),1000000000),IFERROR(IF(VALUE(MID($A280,2,20))&lt;100000000,VALUE(MID($A280,2,20)),1000000000),1000000000))+ROW()/100000,"")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IF($A281="","",E281*N281/100)</f>
        <v/>
      </c>
      <c r="J281" s="7" t="n"/>
      <c r="K281" s="7">
        <f>IF($A281="","",S281*N281)</f>
        <v/>
      </c>
      <c r="L281" s="7">
        <f>IF($A281="","",N281-K281)</f>
        <v/>
      </c>
      <c r="M281" s="7">
        <f>IF($A281="","",L281-F281)</f>
        <v/>
      </c>
      <c r="N281" s="7" t="n"/>
      <c r="Q281" s="11" t="n"/>
      <c r="S281">
        <f>IF($A281="","",IF($W281=1,Settings!$C$6,Settings!$C$7)*1)</f>
        <v/>
      </c>
      <c r="U281">
        <f>IF($A281="","",IF(COUNTIF($A$2:$A281,$A281)=1,1,0))</f>
        <v/>
      </c>
      <c r="V281">
        <f>IF($U281=1,SUMPRODUCT(--($X$2:$X$1001&lt;$X281))+1,"")</f>
        <v/>
      </c>
      <c r="W281">
        <f>IF($A281="","",IF(OR($T281=TRUE(),$T281="TRUE"),1,0))</f>
        <v/>
      </c>
      <c r="X281">
        <f>IF($U281=1,IFERROR(IF(VALUE($A281)&lt;100000000,VALUE($A281),1000000000),IFERROR(IF(VALUE(MID($A281,2,20))&lt;100000000,VALUE(MID($A281,2,20)),1000000000),1000000000))+ROW()/100000,"")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IF($A282="","",E282*N282/100)</f>
        <v/>
      </c>
      <c r="J282" s="7" t="n"/>
      <c r="K282" s="7">
        <f>IF($A282="","",S282*N282)</f>
        <v/>
      </c>
      <c r="L282" s="7">
        <f>IF($A282="","",N282-K282)</f>
        <v/>
      </c>
      <c r="M282" s="7">
        <f>IF($A282="","",L282-F282)</f>
        <v/>
      </c>
      <c r="N282" s="7" t="n"/>
      <c r="Q282" s="11" t="n"/>
      <c r="S282">
        <f>IF($A282="","",IF($W282=1,Settings!$C$6,Settings!$C$7)*1)</f>
        <v/>
      </c>
      <c r="U282">
        <f>IF($A282="","",IF(COUNTIF($A$2:$A282,$A282)=1,1,0))</f>
        <v/>
      </c>
      <c r="V282">
        <f>IF($U282=1,SUMPRODUCT(--($X$2:$X$1001&lt;$X282))+1,"")</f>
        <v/>
      </c>
      <c r="W282">
        <f>IF($A282="","",IF(OR($T282=TRUE(),$T282="TRUE"),1,0))</f>
        <v/>
      </c>
      <c r="X282">
        <f>IF($U282=1,IFERROR(IF(VALUE($A282)&lt;100000000,VALUE($A282),1000000000),IFERROR(IF(VALUE(MID($A282,2,20))&lt;100000000,VALUE(MID($A282,2,20)),1000000000),1000000000))+ROW()/100000,"")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IF($A283="","",E283*N283/100)</f>
        <v/>
      </c>
      <c r="J283" s="7" t="n"/>
      <c r="K283" s="7">
        <f>IF($A283="","",S283*N283)</f>
        <v/>
      </c>
      <c r="L283" s="7">
        <f>IF($A283="","",N283-K283)</f>
        <v/>
      </c>
      <c r="M283" s="7">
        <f>IF($A283="","",L283-F283)</f>
        <v/>
      </c>
      <c r="N283" s="7" t="n"/>
      <c r="Q283" s="11" t="n"/>
      <c r="S283">
        <f>IF($A283="","",IF($W283=1,Settings!$C$6,Settings!$C$7)*1)</f>
        <v/>
      </c>
      <c r="U283">
        <f>IF($A283="","",IF(COUNTIF($A$2:$A283,$A283)=1,1,0))</f>
        <v/>
      </c>
      <c r="V283">
        <f>IF($U283=1,SUMPRODUCT(--($X$2:$X$1001&lt;$X283))+1,"")</f>
        <v/>
      </c>
      <c r="W283">
        <f>IF($A283="","",IF(OR($T283=TRUE(),$T283="TRUE"),1,0))</f>
        <v/>
      </c>
      <c r="X283">
        <f>IF($U283=1,IFERROR(IF(VALUE($A283)&lt;100000000,VALUE($A283),1000000000),IFERROR(IF(VALUE(MID($A283,2,20))&lt;100000000,VALUE(MID($A283,2,20)),1000000000),1000000000))+ROW()/100000,"")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IF($A284="","",E284*N284/100)</f>
        <v/>
      </c>
      <c r="J284" s="7" t="n"/>
      <c r="K284" s="7">
        <f>IF($A284="","",S284*N284)</f>
        <v/>
      </c>
      <c r="L284" s="7">
        <f>IF($A284="","",N284-K284)</f>
        <v/>
      </c>
      <c r="M284" s="7">
        <f>IF($A284="","",L284-F284)</f>
        <v/>
      </c>
      <c r="N284" s="7" t="n"/>
      <c r="Q284" s="11" t="n"/>
      <c r="S284">
        <f>IF($A284="","",IF($W284=1,Settings!$C$6,Settings!$C$7)*1)</f>
        <v/>
      </c>
      <c r="U284">
        <f>IF($A284="","",IF(COUNTIF($A$2:$A284,$A284)=1,1,0))</f>
        <v/>
      </c>
      <c r="V284">
        <f>IF($U284=1,SUMPRODUCT(--($X$2:$X$1001&lt;$X284))+1,"")</f>
        <v/>
      </c>
      <c r="W284">
        <f>IF($A284="","",IF(OR($T284=TRUE(),$T284="TRUE"),1,0))</f>
        <v/>
      </c>
      <c r="X284">
        <f>IF($U284=1,IFERROR(IF(VALUE($A284)&lt;100000000,VALUE($A284),1000000000),IFERROR(IF(VALUE(MID($A284,2,20))&lt;100000000,VALUE(MID($A284,2,20)),1000000000),1000000000))+ROW()/100000,"")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IF($A285="","",E285*N285/100)</f>
        <v/>
      </c>
      <c r="J285" s="7" t="n"/>
      <c r="K285" s="7">
        <f>IF($A285="","",S285*N285)</f>
        <v/>
      </c>
      <c r="L285" s="7">
        <f>IF($A285="","",N285-K285)</f>
        <v/>
      </c>
      <c r="M285" s="7">
        <f>IF($A285="","",L285-F285)</f>
        <v/>
      </c>
      <c r="N285" s="7" t="n"/>
      <c r="Q285" s="11" t="n"/>
      <c r="S285">
        <f>IF($A285="","",IF($W285=1,Settings!$C$6,Settings!$C$7)*1)</f>
        <v/>
      </c>
      <c r="U285">
        <f>IF($A285="","",IF(COUNTIF($A$2:$A285,$A285)=1,1,0))</f>
        <v/>
      </c>
      <c r="V285">
        <f>IF($U285=1,SUMPRODUCT(--($X$2:$X$1001&lt;$X285))+1,"")</f>
        <v/>
      </c>
      <c r="W285">
        <f>IF($A285="","",IF(OR($T285=TRUE(),$T285="TRUE"),1,0))</f>
        <v/>
      </c>
      <c r="X285">
        <f>IF($U285=1,IFERROR(IF(VALUE($A285)&lt;100000000,VALUE($A285),1000000000),IFERROR(IF(VALUE(MID($A285,2,20))&lt;100000000,VALUE(MID($A285,2,20)),1000000000),1000000000))+ROW()/100000,"")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IF($A286="","",E286*N286/100)</f>
        <v/>
      </c>
      <c r="J286" s="7" t="n"/>
      <c r="K286" s="7">
        <f>IF($A286="","",S286*N286)</f>
        <v/>
      </c>
      <c r="L286" s="7">
        <f>IF($A286="","",N286-K286)</f>
        <v/>
      </c>
      <c r="M286" s="7">
        <f>IF($A286="","",L286-F286)</f>
        <v/>
      </c>
      <c r="N286" s="7" t="n"/>
      <c r="Q286" s="11" t="n"/>
      <c r="S286">
        <f>IF($A286="","",IF($W286=1,Settings!$C$6,Settings!$C$7)*1)</f>
        <v/>
      </c>
      <c r="U286">
        <f>IF($A286="","",IF(COUNTIF($A$2:$A286,$A286)=1,1,0))</f>
        <v/>
      </c>
      <c r="V286">
        <f>IF($U286=1,SUMPRODUCT(--($X$2:$X$1001&lt;$X286))+1,"")</f>
        <v/>
      </c>
      <c r="W286">
        <f>IF($A286="","",IF(OR($T286=TRUE(),$T286="TRUE"),1,0))</f>
        <v/>
      </c>
      <c r="X286">
        <f>IF($U286=1,IFERROR(IF(VALUE($A286)&lt;100000000,VALUE($A286),1000000000),IFERROR(IF(VALUE(MID($A286,2,20))&lt;100000000,VALUE(MID($A286,2,20)),1000000000),1000000000))+ROW()/100000,"")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IF($A287="","",E287*N287/100)</f>
        <v/>
      </c>
      <c r="J287" s="7" t="n"/>
      <c r="K287" s="7">
        <f>IF($A287="","",S287*N287)</f>
        <v/>
      </c>
      <c r="L287" s="7">
        <f>IF($A287="","",N287-K287)</f>
        <v/>
      </c>
      <c r="M287" s="7">
        <f>IF($A287="","",L287-F287)</f>
        <v/>
      </c>
      <c r="N287" s="7" t="n"/>
      <c r="Q287" s="11" t="n"/>
      <c r="S287">
        <f>IF($A287="","",IF($W287=1,Settings!$C$6,Settings!$C$7)*1)</f>
        <v/>
      </c>
      <c r="U287">
        <f>IF($A287="","",IF(COUNTIF($A$2:$A287,$A287)=1,1,0))</f>
        <v/>
      </c>
      <c r="V287">
        <f>IF($U287=1,SUMPRODUCT(--($X$2:$X$1001&lt;$X287))+1,"")</f>
        <v/>
      </c>
      <c r="W287">
        <f>IF($A287="","",IF(OR($T287=TRUE(),$T287="TRUE"),1,0))</f>
        <v/>
      </c>
      <c r="X287">
        <f>IF($U287=1,IFERROR(IF(VALUE($A287)&lt;100000000,VALUE($A287),1000000000),IFERROR(IF(VALUE(MID($A287,2,20))&lt;100000000,VALUE(MID($A287,2,20)),1000000000),1000000000))+ROW()/100000,"")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IF($A288="","",E288*N288/100)</f>
        <v/>
      </c>
      <c r="J288" s="7" t="n"/>
      <c r="K288" s="7">
        <f>IF($A288="","",S288*N288)</f>
        <v/>
      </c>
      <c r="L288" s="7">
        <f>IF($A288="","",N288-K288)</f>
        <v/>
      </c>
      <c r="M288" s="7">
        <f>IF($A288="","",L288-F288)</f>
        <v/>
      </c>
      <c r="N288" s="7" t="n"/>
      <c r="Q288" s="11" t="n"/>
      <c r="S288">
        <f>IF($A288="","",IF($W288=1,Settings!$C$6,Settings!$C$7)*1)</f>
        <v/>
      </c>
      <c r="U288">
        <f>IF($A288="","",IF(COUNTIF($A$2:$A288,$A288)=1,1,0))</f>
        <v/>
      </c>
      <c r="V288">
        <f>IF($U288=1,SUMPRODUCT(--($X$2:$X$1001&lt;$X288))+1,"")</f>
        <v/>
      </c>
      <c r="W288">
        <f>IF($A288="","",IF(OR($T288=TRUE(),$T288="TRUE"),1,0))</f>
        <v/>
      </c>
      <c r="X288">
        <f>IF($U288=1,IFERROR(IF(VALUE($A288)&lt;100000000,VALUE($A288),1000000000),IFERROR(IF(VALUE(MID($A288,2,20))&lt;100000000,VALUE(MID($A288,2,20)),1000000000),1000000000))+ROW()/100000,"")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IF($A289="","",E289*N289/100)</f>
        <v/>
      </c>
      <c r="J289" s="7" t="n"/>
      <c r="K289" s="7">
        <f>IF($A289="","",S289*N289)</f>
        <v/>
      </c>
      <c r="L289" s="7">
        <f>IF($A289="","",N289-K289)</f>
        <v/>
      </c>
      <c r="M289" s="7">
        <f>IF($A289="","",L289-F289)</f>
        <v/>
      </c>
      <c r="N289" s="7" t="n"/>
      <c r="Q289" s="11" t="n"/>
      <c r="S289">
        <f>IF($A289="","",IF($W289=1,Settings!$C$6,Settings!$C$7)*1)</f>
        <v/>
      </c>
      <c r="U289">
        <f>IF($A289="","",IF(COUNTIF($A$2:$A289,$A289)=1,1,0))</f>
        <v/>
      </c>
      <c r="V289">
        <f>IF($U289=1,SUMPRODUCT(--($X$2:$X$1001&lt;$X289))+1,"")</f>
        <v/>
      </c>
      <c r="W289">
        <f>IF($A289="","",IF(OR($T289=TRUE(),$T289="TRUE"),1,0))</f>
        <v/>
      </c>
      <c r="X289">
        <f>IF($U289=1,IFERROR(IF(VALUE($A289)&lt;100000000,VALUE($A289),1000000000),IFERROR(IF(VALUE(MID($A289,2,20))&lt;100000000,VALUE(MID($A289,2,20)),1000000000),1000000000))+ROW()/100000,"")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IF($A290="","",E290*N290/100)</f>
        <v/>
      </c>
      <c r="J290" s="7" t="n"/>
      <c r="K290" s="7">
        <f>IF($A290="","",S290*N290)</f>
        <v/>
      </c>
      <c r="L290" s="7">
        <f>IF($A290="","",N290-K290)</f>
        <v/>
      </c>
      <c r="M290" s="7">
        <f>IF($A290="","",L290-F290)</f>
        <v/>
      </c>
      <c r="N290" s="7" t="n"/>
      <c r="Q290" s="11" t="n"/>
      <c r="S290">
        <f>IF($A290="","",IF($W290=1,Settings!$C$6,Settings!$C$7)*1)</f>
        <v/>
      </c>
      <c r="U290">
        <f>IF($A290="","",IF(COUNTIF($A$2:$A290,$A290)=1,1,0))</f>
        <v/>
      </c>
      <c r="V290">
        <f>IF($U290=1,SUMPRODUCT(--($X$2:$X$1001&lt;$X290))+1,"")</f>
        <v/>
      </c>
      <c r="W290">
        <f>IF($A290="","",IF(OR($T290=TRUE(),$T290="TRUE"),1,0))</f>
        <v/>
      </c>
      <c r="X290">
        <f>IF($U290=1,IFERROR(IF(VALUE($A290)&lt;100000000,VALUE($A290),1000000000),IFERROR(IF(VALUE(MID($A290,2,20))&lt;100000000,VALUE(MID($A290,2,20)),1000000000),1000000000))+ROW()/100000,"")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IF($A291="","",E291*N291/100)</f>
        <v/>
      </c>
      <c r="J291" s="7" t="n"/>
      <c r="K291" s="7">
        <f>IF($A291="","",S291*N291)</f>
        <v/>
      </c>
      <c r="L291" s="7">
        <f>IF($A291="","",N291-K291)</f>
        <v/>
      </c>
      <c r="M291" s="7">
        <f>IF($A291="","",L291-F291)</f>
        <v/>
      </c>
      <c r="N291" s="7" t="n"/>
      <c r="Q291" s="11" t="n"/>
      <c r="S291">
        <f>IF($A291="","",IF($W291=1,Settings!$C$6,Settings!$C$7)*1)</f>
        <v/>
      </c>
      <c r="U291">
        <f>IF($A291="","",IF(COUNTIF($A$2:$A291,$A291)=1,1,0))</f>
        <v/>
      </c>
      <c r="V291">
        <f>IF($U291=1,SUMPRODUCT(--($X$2:$X$1001&lt;$X291))+1,"")</f>
        <v/>
      </c>
      <c r="W291">
        <f>IF($A291="","",IF(OR($T291=TRUE(),$T291="TRUE"),1,0))</f>
        <v/>
      </c>
      <c r="X291">
        <f>IF($U291=1,IFERROR(IF(VALUE($A291)&lt;100000000,VALUE($A291),1000000000),IFERROR(IF(VALUE(MID($A291,2,20))&lt;100000000,VALUE(MID($A291,2,20)),1000000000),1000000000))+ROW()/100000,"")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IF($A292="","",E292*N292/100)</f>
        <v/>
      </c>
      <c r="J292" s="7" t="n"/>
      <c r="K292" s="7">
        <f>IF($A292="","",S292*N292)</f>
        <v/>
      </c>
      <c r="L292" s="7">
        <f>IF($A292="","",N292-K292)</f>
        <v/>
      </c>
      <c r="M292" s="7">
        <f>IF($A292="","",L292-F292)</f>
        <v/>
      </c>
      <c r="N292" s="7" t="n"/>
      <c r="Q292" s="11" t="n"/>
      <c r="S292">
        <f>IF($A292="","",IF($W292=1,Settings!$C$6,Settings!$C$7)*1)</f>
        <v/>
      </c>
      <c r="U292">
        <f>IF($A292="","",IF(COUNTIF($A$2:$A292,$A292)=1,1,0))</f>
        <v/>
      </c>
      <c r="V292">
        <f>IF($U292=1,SUMPRODUCT(--($X$2:$X$1001&lt;$X292))+1,"")</f>
        <v/>
      </c>
      <c r="W292">
        <f>IF($A292="","",IF(OR($T292=TRUE(),$T292="TRUE"),1,0))</f>
        <v/>
      </c>
      <c r="X292">
        <f>IF($U292=1,IFERROR(IF(VALUE($A292)&lt;100000000,VALUE($A292),1000000000),IFERROR(IF(VALUE(MID($A292,2,20))&lt;100000000,VALUE(MID($A292,2,20)),1000000000),1000000000))+ROW()/100000,"")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IF($A293="","",E293*N293/100)</f>
        <v/>
      </c>
      <c r="J293" s="7" t="n"/>
      <c r="K293" s="7">
        <f>IF($A293="","",S293*N293)</f>
        <v/>
      </c>
      <c r="L293" s="7">
        <f>IF($A293="","",N293-K293)</f>
        <v/>
      </c>
      <c r="M293" s="7">
        <f>IF($A293="","",L293-F293)</f>
        <v/>
      </c>
      <c r="N293" s="7" t="n"/>
      <c r="Q293" s="11" t="n"/>
      <c r="S293">
        <f>IF($A293="","",IF($W293=1,Settings!$C$6,Settings!$C$7)*1)</f>
        <v/>
      </c>
      <c r="U293">
        <f>IF($A293="","",IF(COUNTIF($A$2:$A293,$A293)=1,1,0))</f>
        <v/>
      </c>
      <c r="V293">
        <f>IF($U293=1,SUMPRODUCT(--($X$2:$X$1001&lt;$X293))+1,"")</f>
        <v/>
      </c>
      <c r="W293">
        <f>IF($A293="","",IF(OR($T293=TRUE(),$T293="TRUE"),1,0))</f>
        <v/>
      </c>
      <c r="X293">
        <f>IF($U293=1,IFERROR(IF(VALUE($A293)&lt;100000000,VALUE($A293),1000000000),IFERROR(IF(VALUE(MID($A293,2,20))&lt;100000000,VALUE(MID($A293,2,20)),1000000000),1000000000))+ROW()/100000,"")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IF($A294="","",E294*N294/100)</f>
        <v/>
      </c>
      <c r="J294" s="7" t="n"/>
      <c r="K294" s="7">
        <f>IF($A294="","",S294*N294)</f>
        <v/>
      </c>
      <c r="L294" s="7">
        <f>IF($A294="","",N294-K294)</f>
        <v/>
      </c>
      <c r="M294" s="7">
        <f>IF($A294="","",L294-F294)</f>
        <v/>
      </c>
      <c r="N294" s="7" t="n"/>
      <c r="Q294" s="11" t="n"/>
      <c r="S294">
        <f>IF($A294="","",IF($W294=1,Settings!$C$6,Settings!$C$7)*1)</f>
        <v/>
      </c>
      <c r="U294">
        <f>IF($A294="","",IF(COUNTIF($A$2:$A294,$A294)=1,1,0))</f>
        <v/>
      </c>
      <c r="V294">
        <f>IF($U294=1,SUMPRODUCT(--($X$2:$X$1001&lt;$X294))+1,"")</f>
        <v/>
      </c>
      <c r="W294">
        <f>IF($A294="","",IF(OR($T294=TRUE(),$T294="TRUE"),1,0))</f>
        <v/>
      </c>
      <c r="X294">
        <f>IF($U294=1,IFERROR(IF(VALUE($A294)&lt;100000000,VALUE($A294),1000000000),IFERROR(IF(VALUE(MID($A294,2,20))&lt;100000000,VALUE(MID($A294,2,20)),1000000000),1000000000))+ROW()/100000,"")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IF($A295="","",E295*N295/100)</f>
        <v/>
      </c>
      <c r="J295" s="7" t="n"/>
      <c r="K295" s="7">
        <f>IF($A295="","",S295*N295)</f>
        <v/>
      </c>
      <c r="L295" s="7">
        <f>IF($A295="","",N295-K295)</f>
        <v/>
      </c>
      <c r="M295" s="7">
        <f>IF($A295="","",L295-F295)</f>
        <v/>
      </c>
      <c r="N295" s="7" t="n"/>
      <c r="Q295" s="11" t="n"/>
      <c r="S295">
        <f>IF($A295="","",IF($W295=1,Settings!$C$6,Settings!$C$7)*1)</f>
        <v/>
      </c>
      <c r="U295">
        <f>IF($A295="","",IF(COUNTIF($A$2:$A295,$A295)=1,1,0))</f>
        <v/>
      </c>
      <c r="V295">
        <f>IF($U295=1,SUMPRODUCT(--($X$2:$X$1001&lt;$X295))+1,"")</f>
        <v/>
      </c>
      <c r="W295">
        <f>IF($A295="","",IF(OR($T295=TRUE(),$T295="TRUE"),1,0))</f>
        <v/>
      </c>
      <c r="X295">
        <f>IF($U295=1,IFERROR(IF(VALUE($A295)&lt;100000000,VALUE($A295),1000000000),IFERROR(IF(VALUE(MID($A295,2,20))&lt;100000000,VALUE(MID($A295,2,20)),1000000000),1000000000))+ROW()/100000,"")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IF($A296="","",E296*N296/100)</f>
        <v/>
      </c>
      <c r="J296" s="7" t="n"/>
      <c r="K296" s="7">
        <f>IF($A296="","",S296*N296)</f>
        <v/>
      </c>
      <c r="L296" s="7">
        <f>IF($A296="","",N296-K296)</f>
        <v/>
      </c>
      <c r="M296" s="7">
        <f>IF($A296="","",L296-F296)</f>
        <v/>
      </c>
      <c r="N296" s="7" t="n"/>
      <c r="Q296" s="11" t="n"/>
      <c r="S296">
        <f>IF($A296="","",IF($W296=1,Settings!$C$6,Settings!$C$7)*1)</f>
        <v/>
      </c>
      <c r="U296">
        <f>IF($A296="","",IF(COUNTIF($A$2:$A296,$A296)=1,1,0))</f>
        <v/>
      </c>
      <c r="V296">
        <f>IF($U296=1,SUMPRODUCT(--($X$2:$X$1001&lt;$X296))+1,"")</f>
        <v/>
      </c>
      <c r="W296">
        <f>IF($A296="","",IF(OR($T296=TRUE(),$T296="TRUE"),1,0))</f>
        <v/>
      </c>
      <c r="X296">
        <f>IF($U296=1,IFERROR(IF(VALUE($A296)&lt;100000000,VALUE($A296),1000000000),IFERROR(IF(VALUE(MID($A296,2,20))&lt;100000000,VALUE(MID($A296,2,20)),1000000000),1000000000))+ROW()/100000,"")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IF($A297="","",E297*N297/100)</f>
        <v/>
      </c>
      <c r="J297" s="7" t="n"/>
      <c r="K297" s="7">
        <f>IF($A297="","",S297*N297)</f>
        <v/>
      </c>
      <c r="L297" s="7">
        <f>IF($A297="","",N297-K297)</f>
        <v/>
      </c>
      <c r="M297" s="7">
        <f>IF($A297="","",L297-F297)</f>
        <v/>
      </c>
      <c r="N297" s="7" t="n"/>
      <c r="Q297" s="11" t="n"/>
      <c r="S297">
        <f>IF($A297="","",IF($W297=1,Settings!$C$6,Settings!$C$7)*1)</f>
        <v/>
      </c>
      <c r="U297">
        <f>IF($A297="","",IF(COUNTIF($A$2:$A297,$A297)=1,1,0))</f>
        <v/>
      </c>
      <c r="V297">
        <f>IF($U297=1,SUMPRODUCT(--($X$2:$X$1001&lt;$X297))+1,"")</f>
        <v/>
      </c>
      <c r="W297">
        <f>IF($A297="","",IF(OR($T297=TRUE(),$T297="TRUE"),1,0))</f>
        <v/>
      </c>
      <c r="X297">
        <f>IF($U297=1,IFERROR(IF(VALUE($A297)&lt;100000000,VALUE($A297),1000000000),IFERROR(IF(VALUE(MID($A297,2,20))&lt;100000000,VALUE(MID($A297,2,20)),1000000000),1000000000))+ROW()/100000,"")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IF($A298="","",E298*N298/100)</f>
        <v/>
      </c>
      <c r="J298" s="7" t="n"/>
      <c r="K298" s="7">
        <f>IF($A298="","",S298*N298)</f>
        <v/>
      </c>
      <c r="L298" s="7">
        <f>IF($A298="","",N298-K298)</f>
        <v/>
      </c>
      <c r="M298" s="7">
        <f>IF($A298="","",L298-F298)</f>
        <v/>
      </c>
      <c r="N298" s="7" t="n"/>
      <c r="Q298" s="11" t="n"/>
      <c r="S298">
        <f>IF($A298="","",IF($W298=1,Settings!$C$6,Settings!$C$7)*1)</f>
        <v/>
      </c>
      <c r="U298">
        <f>IF($A298="","",IF(COUNTIF($A$2:$A298,$A298)=1,1,0))</f>
        <v/>
      </c>
      <c r="V298">
        <f>IF($U298=1,SUMPRODUCT(--($X$2:$X$1001&lt;$X298))+1,"")</f>
        <v/>
      </c>
      <c r="W298">
        <f>IF($A298="","",IF(OR($T298=TRUE(),$T298="TRUE"),1,0))</f>
        <v/>
      </c>
      <c r="X298">
        <f>IF($U298=1,IFERROR(IF(VALUE($A298)&lt;100000000,VALUE($A298),1000000000),IFERROR(IF(VALUE(MID($A298,2,20))&lt;100000000,VALUE(MID($A298,2,20)),1000000000),1000000000))+ROW()/100000,"")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IF($A299="","",E299*N299/100)</f>
        <v/>
      </c>
      <c r="J299" s="7" t="n"/>
      <c r="K299" s="7">
        <f>IF($A299="","",S299*N299)</f>
        <v/>
      </c>
      <c r="L299" s="7">
        <f>IF($A299="","",N299-K299)</f>
        <v/>
      </c>
      <c r="M299" s="7">
        <f>IF($A299="","",L299-F299)</f>
        <v/>
      </c>
      <c r="N299" s="7" t="n"/>
      <c r="Q299" s="11" t="n"/>
      <c r="S299">
        <f>IF($A299="","",IF($W299=1,Settings!$C$6,Settings!$C$7)*1)</f>
        <v/>
      </c>
      <c r="U299">
        <f>IF($A299="","",IF(COUNTIF($A$2:$A299,$A299)=1,1,0))</f>
        <v/>
      </c>
      <c r="V299">
        <f>IF($U299=1,SUMPRODUCT(--($X$2:$X$1001&lt;$X299))+1,"")</f>
        <v/>
      </c>
      <c r="W299">
        <f>IF($A299="","",IF(OR($T299=TRUE(),$T299="TRUE"),1,0))</f>
        <v/>
      </c>
      <c r="X299">
        <f>IF($U299=1,IFERROR(IF(VALUE($A299)&lt;100000000,VALUE($A299),1000000000),IFERROR(IF(VALUE(MID($A299,2,20))&lt;100000000,VALUE(MID($A299,2,20)),1000000000),1000000000))+ROW()/100000,"")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IF($A300="","",E300*N300/100)</f>
        <v/>
      </c>
      <c r="J300" s="7" t="n"/>
      <c r="K300" s="7">
        <f>IF($A300="","",S300*N300)</f>
        <v/>
      </c>
      <c r="L300" s="7">
        <f>IF($A300="","",N300-K300)</f>
        <v/>
      </c>
      <c r="M300" s="7">
        <f>IF($A300="","",L300-F300)</f>
        <v/>
      </c>
      <c r="N300" s="7" t="n"/>
      <c r="Q300" s="11" t="n"/>
      <c r="S300">
        <f>IF($A300="","",IF($W300=1,Settings!$C$6,Settings!$C$7)*1)</f>
        <v/>
      </c>
      <c r="U300">
        <f>IF($A300="","",IF(COUNTIF($A$2:$A300,$A300)=1,1,0))</f>
        <v/>
      </c>
      <c r="V300">
        <f>IF($U300=1,SUMPRODUCT(--($X$2:$X$1001&lt;$X300))+1,"")</f>
        <v/>
      </c>
      <c r="W300">
        <f>IF($A300="","",IF(OR($T300=TRUE(),$T300="TRUE"),1,0))</f>
        <v/>
      </c>
      <c r="X300">
        <f>IF($U300=1,IFERROR(IF(VALUE($A300)&lt;100000000,VALUE($A300),1000000000),IFERROR(IF(VALUE(MID($A300,2,20))&lt;100000000,VALUE(MID($A300,2,20)),1000000000),1000000000))+ROW()/100000,"")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IF($A301="","",E301*N301/100)</f>
        <v/>
      </c>
      <c r="J301" s="7" t="n"/>
      <c r="K301" s="7">
        <f>IF($A301="","",S301*N301)</f>
        <v/>
      </c>
      <c r="L301" s="7">
        <f>IF($A301="","",N301-K301)</f>
        <v/>
      </c>
      <c r="M301" s="7">
        <f>IF($A301="","",L301-F301)</f>
        <v/>
      </c>
      <c r="N301" s="7" t="n"/>
      <c r="Q301" s="11" t="n"/>
      <c r="S301">
        <f>IF($A301="","",IF($W301=1,Settings!$C$6,Settings!$C$7)*1)</f>
        <v/>
      </c>
      <c r="U301">
        <f>IF($A301="","",IF(COUNTIF($A$2:$A301,$A301)=1,1,0))</f>
        <v/>
      </c>
      <c r="V301">
        <f>IF($U301=1,SUMPRODUCT(--($X$2:$X$1001&lt;$X301))+1,"")</f>
        <v/>
      </c>
      <c r="W301">
        <f>IF($A301="","",IF(OR($T301=TRUE(),$T301="TRUE"),1,0))</f>
        <v/>
      </c>
      <c r="X301">
        <f>IF($U301=1,IFERROR(IF(VALUE($A301)&lt;100000000,VALUE($A301),1000000000),IFERROR(IF(VALUE(MID($A301,2,20))&lt;100000000,VALUE(MID($A301,2,20)),1000000000),1000000000))+ROW()/100000,"")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IF($A302="","",E302*N302/100)</f>
        <v/>
      </c>
      <c r="J302" s="7" t="n"/>
      <c r="K302" s="7">
        <f>IF($A302="","",S302*N302)</f>
        <v/>
      </c>
      <c r="L302" s="7">
        <f>IF($A302="","",N302-K302)</f>
        <v/>
      </c>
      <c r="M302" s="7">
        <f>IF($A302="","",L302-F302)</f>
        <v/>
      </c>
      <c r="N302" s="7" t="n"/>
      <c r="Q302" s="11" t="n"/>
      <c r="S302">
        <f>IF($A302="","",IF($W302=1,Settings!$C$6,Settings!$C$7)*1)</f>
        <v/>
      </c>
      <c r="U302">
        <f>IF($A302="","",IF(COUNTIF($A$2:$A302,$A302)=1,1,0))</f>
        <v/>
      </c>
      <c r="V302">
        <f>IF($U302=1,SUMPRODUCT(--($X$2:$X$1001&lt;$X302))+1,"")</f>
        <v/>
      </c>
      <c r="W302">
        <f>IF($A302="","",IF(OR($T302=TRUE(),$T302="TRUE"),1,0))</f>
        <v/>
      </c>
      <c r="X302">
        <f>IF($U302=1,IFERROR(IF(VALUE($A302)&lt;100000000,VALUE($A302),1000000000),IFERROR(IF(VALUE(MID($A302,2,20))&lt;100000000,VALUE(MID($A302,2,20)),1000000000),1000000000))+ROW()/100000,"")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IF($A303="","",E303*N303/100)</f>
        <v/>
      </c>
      <c r="J303" s="7" t="n"/>
      <c r="K303" s="7">
        <f>IF($A303="","",S303*N303)</f>
        <v/>
      </c>
      <c r="L303" s="7">
        <f>IF($A303="","",N303-K303)</f>
        <v/>
      </c>
      <c r="M303" s="7">
        <f>IF($A303="","",L303-F303)</f>
        <v/>
      </c>
      <c r="N303" s="7" t="n"/>
      <c r="Q303" s="11" t="n"/>
      <c r="S303">
        <f>IF($A303="","",IF($W303=1,Settings!$C$6,Settings!$C$7)*1)</f>
        <v/>
      </c>
      <c r="U303">
        <f>IF($A303="","",IF(COUNTIF($A$2:$A303,$A303)=1,1,0))</f>
        <v/>
      </c>
      <c r="V303">
        <f>IF($U303=1,SUMPRODUCT(--($X$2:$X$1001&lt;$X303))+1,"")</f>
        <v/>
      </c>
      <c r="W303">
        <f>IF($A303="","",IF(OR($T303=TRUE(),$T303="TRUE"),1,0))</f>
        <v/>
      </c>
      <c r="X303">
        <f>IF($U303=1,IFERROR(IF(VALUE($A303)&lt;100000000,VALUE($A303),1000000000),IFERROR(IF(VALUE(MID($A303,2,20))&lt;100000000,VALUE(MID($A303,2,20)),1000000000),1000000000))+ROW()/100000,"")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IF($A304="","",E304*N304/100)</f>
        <v/>
      </c>
      <c r="J304" s="7" t="n"/>
      <c r="K304" s="7">
        <f>IF($A304="","",S304*N304)</f>
        <v/>
      </c>
      <c r="L304" s="7">
        <f>IF($A304="","",N304-K304)</f>
        <v/>
      </c>
      <c r="M304" s="7">
        <f>IF($A304="","",L304-F304)</f>
        <v/>
      </c>
      <c r="N304" s="7" t="n"/>
      <c r="Q304" s="11" t="n"/>
      <c r="S304">
        <f>IF($A304="","",IF($W304=1,Settings!$C$6,Settings!$C$7)*1)</f>
        <v/>
      </c>
      <c r="U304">
        <f>IF($A304="","",IF(COUNTIF($A$2:$A304,$A304)=1,1,0))</f>
        <v/>
      </c>
      <c r="V304">
        <f>IF($U304=1,SUMPRODUCT(--($X$2:$X$1001&lt;$X304))+1,"")</f>
        <v/>
      </c>
      <c r="W304">
        <f>IF($A304="","",IF(OR($T304=TRUE(),$T304="TRUE"),1,0))</f>
        <v/>
      </c>
      <c r="X304">
        <f>IF($U304=1,IFERROR(IF(VALUE($A304)&lt;100000000,VALUE($A304),1000000000),IFERROR(IF(VALUE(MID($A304,2,20))&lt;100000000,VALUE(MID($A304,2,20)),1000000000),1000000000))+ROW()/100000,"")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IF($A305="","",E305*N305/100)</f>
        <v/>
      </c>
      <c r="J305" s="7" t="n"/>
      <c r="K305" s="7">
        <f>IF($A305="","",S305*N305)</f>
        <v/>
      </c>
      <c r="L305" s="7">
        <f>IF($A305="","",N305-K305)</f>
        <v/>
      </c>
      <c r="M305" s="7">
        <f>IF($A305="","",L305-F305)</f>
        <v/>
      </c>
      <c r="N305" s="7" t="n"/>
      <c r="Q305" s="11" t="n"/>
      <c r="S305">
        <f>IF($A305="","",IF($W305=1,Settings!$C$6,Settings!$C$7)*1)</f>
        <v/>
      </c>
      <c r="U305">
        <f>IF($A305="","",IF(COUNTIF($A$2:$A305,$A305)=1,1,0))</f>
        <v/>
      </c>
      <c r="V305">
        <f>IF($U305=1,SUMPRODUCT(--($X$2:$X$1001&lt;$X305))+1,"")</f>
        <v/>
      </c>
      <c r="W305">
        <f>IF($A305="","",IF(OR($T305=TRUE(),$T305="TRUE"),1,0))</f>
        <v/>
      </c>
      <c r="X305">
        <f>IF($U305=1,IFERROR(IF(VALUE($A305)&lt;100000000,VALUE($A305),1000000000),IFERROR(IF(VALUE(MID($A305,2,20))&lt;100000000,VALUE(MID($A305,2,20)),1000000000),1000000000))+ROW()/100000,"")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IF($A306="","",E306*N306/100)</f>
        <v/>
      </c>
      <c r="J306" s="7" t="n"/>
      <c r="K306" s="7">
        <f>IF($A306="","",S306*N306)</f>
        <v/>
      </c>
      <c r="L306" s="7">
        <f>IF($A306="","",N306-K306)</f>
        <v/>
      </c>
      <c r="M306" s="7">
        <f>IF($A306="","",L306-F306)</f>
        <v/>
      </c>
      <c r="N306" s="7" t="n"/>
      <c r="Q306" s="11" t="n"/>
      <c r="S306">
        <f>IF($A306="","",IF($W306=1,Settings!$C$6,Settings!$C$7)*1)</f>
        <v/>
      </c>
      <c r="U306">
        <f>IF($A306="","",IF(COUNTIF($A$2:$A306,$A306)=1,1,0))</f>
        <v/>
      </c>
      <c r="V306">
        <f>IF($U306=1,SUMPRODUCT(--($X$2:$X$1001&lt;$X306))+1,"")</f>
        <v/>
      </c>
      <c r="W306">
        <f>IF($A306="","",IF(OR($T306=TRUE(),$T306="TRUE"),1,0))</f>
        <v/>
      </c>
      <c r="X306">
        <f>IF($U306=1,IFERROR(IF(VALUE($A306)&lt;100000000,VALUE($A306),1000000000),IFERROR(IF(VALUE(MID($A306,2,20))&lt;100000000,VALUE(MID($A306,2,20)),1000000000),1000000000))+ROW()/100000,"")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IF($A307="","",E307*N307/100)</f>
        <v/>
      </c>
      <c r="J307" s="7" t="n"/>
      <c r="K307" s="7">
        <f>IF($A307="","",S307*N307)</f>
        <v/>
      </c>
      <c r="L307" s="7">
        <f>IF($A307="","",N307-K307)</f>
        <v/>
      </c>
      <c r="M307" s="7">
        <f>IF($A307="","",L307-F307)</f>
        <v/>
      </c>
      <c r="N307" s="7" t="n"/>
      <c r="Q307" s="11" t="n"/>
      <c r="S307">
        <f>IF($A307="","",IF($W307=1,Settings!$C$6,Settings!$C$7)*1)</f>
        <v/>
      </c>
      <c r="U307">
        <f>IF($A307="","",IF(COUNTIF($A$2:$A307,$A307)=1,1,0))</f>
        <v/>
      </c>
      <c r="V307">
        <f>IF($U307=1,SUMPRODUCT(--($X$2:$X$1001&lt;$X307))+1,"")</f>
        <v/>
      </c>
      <c r="W307">
        <f>IF($A307="","",IF(OR($T307=TRUE(),$T307="TRUE"),1,0))</f>
        <v/>
      </c>
      <c r="X307">
        <f>IF($U307=1,IFERROR(IF(VALUE($A307)&lt;100000000,VALUE($A307),1000000000),IFERROR(IF(VALUE(MID($A307,2,20))&lt;100000000,VALUE(MID($A307,2,20)),1000000000),1000000000))+ROW()/100000,"")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IF($A308="","",E308*N308/100)</f>
        <v/>
      </c>
      <c r="J308" s="7" t="n"/>
      <c r="K308" s="7">
        <f>IF($A308="","",S308*N308)</f>
        <v/>
      </c>
      <c r="L308" s="7">
        <f>IF($A308="","",N308-K308)</f>
        <v/>
      </c>
      <c r="M308" s="7">
        <f>IF($A308="","",L308-F308)</f>
        <v/>
      </c>
      <c r="N308" s="7" t="n"/>
      <c r="Q308" s="11" t="n"/>
      <c r="S308">
        <f>IF($A308="","",IF($W308=1,Settings!$C$6,Settings!$C$7)*1)</f>
        <v/>
      </c>
      <c r="U308">
        <f>IF($A308="","",IF(COUNTIF($A$2:$A308,$A308)=1,1,0))</f>
        <v/>
      </c>
      <c r="V308">
        <f>IF($U308=1,SUMPRODUCT(--($X$2:$X$1001&lt;$X308))+1,"")</f>
        <v/>
      </c>
      <c r="W308">
        <f>IF($A308="","",IF(OR($T308=TRUE(),$T308="TRUE"),1,0))</f>
        <v/>
      </c>
      <c r="X308">
        <f>IF($U308=1,IFERROR(IF(VALUE($A308)&lt;100000000,VALUE($A308),1000000000),IFERROR(IF(VALUE(MID($A308,2,20))&lt;100000000,VALUE(MID($A308,2,20)),1000000000),1000000000))+ROW()/100000,"")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IF($A309="","",E309*N309/100)</f>
        <v/>
      </c>
      <c r="J309" s="7" t="n"/>
      <c r="K309" s="7">
        <f>IF($A309="","",S309*N309)</f>
        <v/>
      </c>
      <c r="L309" s="7">
        <f>IF($A309="","",N309-K309)</f>
        <v/>
      </c>
      <c r="M309" s="7">
        <f>IF($A309="","",L309-F309)</f>
        <v/>
      </c>
      <c r="N309" s="7" t="n"/>
      <c r="Q309" s="11" t="n"/>
      <c r="S309">
        <f>IF($A309="","",IF($W309=1,Settings!$C$6,Settings!$C$7)*1)</f>
        <v/>
      </c>
      <c r="U309">
        <f>IF($A309="","",IF(COUNTIF($A$2:$A309,$A309)=1,1,0))</f>
        <v/>
      </c>
      <c r="V309">
        <f>IF($U309=1,SUMPRODUCT(--($X$2:$X$1001&lt;$X309))+1,"")</f>
        <v/>
      </c>
      <c r="W309">
        <f>IF($A309="","",IF(OR($T309=TRUE(),$T309="TRUE"),1,0))</f>
        <v/>
      </c>
      <c r="X309">
        <f>IF($U309=1,IFERROR(IF(VALUE($A309)&lt;100000000,VALUE($A309),1000000000),IFERROR(IF(VALUE(MID($A309,2,20))&lt;100000000,VALUE(MID($A309,2,20)),1000000000),1000000000))+ROW()/100000,"")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IF($A310="","",E310*N310/100)</f>
        <v/>
      </c>
      <c r="J310" s="7" t="n"/>
      <c r="K310" s="7">
        <f>IF($A310="","",S310*N310)</f>
        <v/>
      </c>
      <c r="L310" s="7">
        <f>IF($A310="","",N310-K310)</f>
        <v/>
      </c>
      <c r="M310" s="7">
        <f>IF($A310="","",L310-F310)</f>
        <v/>
      </c>
      <c r="N310" s="7" t="n"/>
      <c r="Q310" s="11" t="n"/>
      <c r="S310">
        <f>IF($A310="","",IF($W310=1,Settings!$C$6,Settings!$C$7)*1)</f>
        <v/>
      </c>
      <c r="U310">
        <f>IF($A310="","",IF(COUNTIF($A$2:$A310,$A310)=1,1,0))</f>
        <v/>
      </c>
      <c r="V310">
        <f>IF($U310=1,SUMPRODUCT(--($X$2:$X$1001&lt;$X310))+1,"")</f>
        <v/>
      </c>
      <c r="W310">
        <f>IF($A310="","",IF(OR($T310=TRUE(),$T310="TRUE"),1,0))</f>
        <v/>
      </c>
      <c r="X310">
        <f>IF($U310=1,IFERROR(IF(VALUE($A310)&lt;100000000,VALUE($A310),1000000000),IFERROR(IF(VALUE(MID($A310,2,20))&lt;100000000,VALUE(MID($A310,2,20)),1000000000),1000000000))+ROW()/100000,"")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IF($A311="","",E311*N311/100)</f>
        <v/>
      </c>
      <c r="J311" s="7" t="n"/>
      <c r="K311" s="7">
        <f>IF($A311="","",S311*N311)</f>
        <v/>
      </c>
      <c r="L311" s="7">
        <f>IF($A311="","",N311-K311)</f>
        <v/>
      </c>
      <c r="M311" s="7">
        <f>IF($A311="","",L311-F311)</f>
        <v/>
      </c>
      <c r="N311" s="7" t="n"/>
      <c r="Q311" s="11" t="n"/>
      <c r="S311">
        <f>IF($A311="","",IF($W311=1,Settings!$C$6,Settings!$C$7)*1)</f>
        <v/>
      </c>
      <c r="U311">
        <f>IF($A311="","",IF(COUNTIF($A$2:$A311,$A311)=1,1,0))</f>
        <v/>
      </c>
      <c r="V311">
        <f>IF($U311=1,SUMPRODUCT(--($X$2:$X$1001&lt;$X311))+1,"")</f>
        <v/>
      </c>
      <c r="W311">
        <f>IF($A311="","",IF(OR($T311=TRUE(),$T311="TRUE"),1,0))</f>
        <v/>
      </c>
      <c r="X311">
        <f>IF($U311=1,IFERROR(IF(VALUE($A311)&lt;100000000,VALUE($A311),1000000000),IFERROR(IF(VALUE(MID($A311,2,20))&lt;100000000,VALUE(MID($A311,2,20)),1000000000),1000000000))+ROW()/100000,"")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IF($A312="","",E312*N312/100)</f>
        <v/>
      </c>
      <c r="J312" s="7" t="n"/>
      <c r="K312" s="7">
        <f>IF($A312="","",S312*N312)</f>
        <v/>
      </c>
      <c r="L312" s="7">
        <f>IF($A312="","",N312-K312)</f>
        <v/>
      </c>
      <c r="M312" s="7">
        <f>IF($A312="","",L312-F312)</f>
        <v/>
      </c>
      <c r="N312" s="7" t="n"/>
      <c r="Q312" s="11" t="n"/>
      <c r="S312">
        <f>IF($A312="","",IF($W312=1,Settings!$C$6,Settings!$C$7)*1)</f>
        <v/>
      </c>
      <c r="U312">
        <f>IF($A312="","",IF(COUNTIF($A$2:$A312,$A312)=1,1,0))</f>
        <v/>
      </c>
      <c r="V312">
        <f>IF($U312=1,SUMPRODUCT(--($X$2:$X$1001&lt;$X312))+1,"")</f>
        <v/>
      </c>
      <c r="W312">
        <f>IF($A312="","",IF(OR($T312=TRUE(),$T312="TRUE"),1,0))</f>
        <v/>
      </c>
      <c r="X312">
        <f>IF($U312=1,IFERROR(IF(VALUE($A312)&lt;100000000,VALUE($A312),1000000000),IFERROR(IF(VALUE(MID($A312,2,20))&lt;100000000,VALUE(MID($A312,2,20)),1000000000),1000000000))+ROW()/100000,"")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IF($A313="","",E313*N313/100)</f>
        <v/>
      </c>
      <c r="J313" s="7" t="n"/>
      <c r="K313" s="7">
        <f>IF($A313="","",S313*N313)</f>
        <v/>
      </c>
      <c r="L313" s="7">
        <f>IF($A313="","",N313-K313)</f>
        <v/>
      </c>
      <c r="M313" s="7">
        <f>IF($A313="","",L313-F313)</f>
        <v/>
      </c>
      <c r="N313" s="7" t="n"/>
      <c r="Q313" s="11" t="n"/>
      <c r="S313">
        <f>IF($A313="","",IF($W313=1,Settings!$C$6,Settings!$C$7)*1)</f>
        <v/>
      </c>
      <c r="U313">
        <f>IF($A313="","",IF(COUNTIF($A$2:$A313,$A313)=1,1,0))</f>
        <v/>
      </c>
      <c r="V313">
        <f>IF($U313=1,SUMPRODUCT(--($X$2:$X$1001&lt;$X313))+1,"")</f>
        <v/>
      </c>
      <c r="W313">
        <f>IF($A313="","",IF(OR($T313=TRUE(),$T313="TRUE"),1,0))</f>
        <v/>
      </c>
      <c r="X313">
        <f>IF($U313=1,IFERROR(IF(VALUE($A313)&lt;100000000,VALUE($A313),1000000000),IFERROR(IF(VALUE(MID($A313,2,20))&lt;100000000,VALUE(MID($A313,2,20)),1000000000),1000000000))+ROW()/100000,"")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IF($A314="","",E314*N314/100)</f>
        <v/>
      </c>
      <c r="J314" s="7" t="n"/>
      <c r="K314" s="7">
        <f>IF($A314="","",S314*N314)</f>
        <v/>
      </c>
      <c r="L314" s="7">
        <f>IF($A314="","",N314-K314)</f>
        <v/>
      </c>
      <c r="M314" s="7">
        <f>IF($A314="","",L314-F314)</f>
        <v/>
      </c>
      <c r="N314" s="7" t="n"/>
      <c r="Q314" s="11" t="n"/>
      <c r="S314">
        <f>IF($A314="","",IF($W314=1,Settings!$C$6,Settings!$C$7)*1)</f>
        <v/>
      </c>
      <c r="U314">
        <f>IF($A314="","",IF(COUNTIF($A$2:$A314,$A314)=1,1,0))</f>
        <v/>
      </c>
      <c r="V314">
        <f>IF($U314=1,SUMPRODUCT(--($X$2:$X$1001&lt;$X314))+1,"")</f>
        <v/>
      </c>
      <c r="W314">
        <f>IF($A314="","",IF(OR($T314=TRUE(),$T314="TRUE"),1,0))</f>
        <v/>
      </c>
      <c r="X314">
        <f>IF($U314=1,IFERROR(IF(VALUE($A314)&lt;100000000,VALUE($A314),1000000000),IFERROR(IF(VALUE(MID($A314,2,20))&lt;100000000,VALUE(MID($A314,2,20)),1000000000),1000000000))+ROW()/100000,"")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IF($A315="","",E315*N315/100)</f>
        <v/>
      </c>
      <c r="J315" s="7" t="n"/>
      <c r="K315" s="7">
        <f>IF($A315="","",S315*N315)</f>
        <v/>
      </c>
      <c r="L315" s="7">
        <f>IF($A315="","",N315-K315)</f>
        <v/>
      </c>
      <c r="M315" s="7">
        <f>IF($A315="","",L315-F315)</f>
        <v/>
      </c>
      <c r="N315" s="7" t="n"/>
      <c r="Q315" s="11" t="n"/>
      <c r="S315">
        <f>IF($A315="","",IF($W315=1,Settings!$C$6,Settings!$C$7)*1)</f>
        <v/>
      </c>
      <c r="U315">
        <f>IF($A315="","",IF(COUNTIF($A$2:$A315,$A315)=1,1,0))</f>
        <v/>
      </c>
      <c r="V315">
        <f>IF($U315=1,SUMPRODUCT(--($X$2:$X$1001&lt;$X315))+1,"")</f>
        <v/>
      </c>
      <c r="W315">
        <f>IF($A315="","",IF(OR($T315=TRUE(),$T315="TRUE"),1,0))</f>
        <v/>
      </c>
      <c r="X315">
        <f>IF($U315=1,IFERROR(IF(VALUE($A315)&lt;100000000,VALUE($A315),1000000000),IFERROR(IF(VALUE(MID($A315,2,20))&lt;100000000,VALUE(MID($A315,2,20)),1000000000),1000000000))+ROW()/100000,"")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IF($A316="","",E316*N316/100)</f>
        <v/>
      </c>
      <c r="J316" s="7" t="n"/>
      <c r="K316" s="7">
        <f>IF($A316="","",S316*N316)</f>
        <v/>
      </c>
      <c r="L316" s="7">
        <f>IF($A316="","",N316-K316)</f>
        <v/>
      </c>
      <c r="M316" s="7">
        <f>IF($A316="","",L316-F316)</f>
        <v/>
      </c>
      <c r="N316" s="7" t="n"/>
      <c r="Q316" s="11" t="n"/>
      <c r="S316">
        <f>IF($A316="","",IF($W316=1,Settings!$C$6,Settings!$C$7)*1)</f>
        <v/>
      </c>
      <c r="U316">
        <f>IF($A316="","",IF(COUNTIF($A$2:$A316,$A316)=1,1,0))</f>
        <v/>
      </c>
      <c r="V316">
        <f>IF($U316=1,SUMPRODUCT(--($X$2:$X$1001&lt;$X316))+1,"")</f>
        <v/>
      </c>
      <c r="W316">
        <f>IF($A316="","",IF(OR($T316=TRUE(),$T316="TRUE"),1,0))</f>
        <v/>
      </c>
      <c r="X316">
        <f>IF($U316=1,IFERROR(IF(VALUE($A316)&lt;100000000,VALUE($A316),1000000000),IFERROR(IF(VALUE(MID($A316,2,20))&lt;100000000,VALUE(MID($A316,2,20)),1000000000),1000000000))+ROW()/100000,"")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IF($A317="","",E317*N317/100)</f>
        <v/>
      </c>
      <c r="J317" s="7" t="n"/>
      <c r="K317" s="7">
        <f>IF($A317="","",S317*N317)</f>
        <v/>
      </c>
      <c r="L317" s="7">
        <f>IF($A317="","",N317-K317)</f>
        <v/>
      </c>
      <c r="M317" s="7">
        <f>IF($A317="","",L317-F317)</f>
        <v/>
      </c>
      <c r="N317" s="7" t="n"/>
      <c r="Q317" s="11" t="n"/>
      <c r="S317">
        <f>IF($A317="","",IF($W317=1,Settings!$C$6,Settings!$C$7)*1)</f>
        <v/>
      </c>
      <c r="U317">
        <f>IF($A317="","",IF(COUNTIF($A$2:$A317,$A317)=1,1,0))</f>
        <v/>
      </c>
      <c r="V317">
        <f>IF($U317=1,SUMPRODUCT(--($X$2:$X$1001&lt;$X317))+1,"")</f>
        <v/>
      </c>
      <c r="W317">
        <f>IF($A317="","",IF(OR($T317=TRUE(),$T317="TRUE"),1,0))</f>
        <v/>
      </c>
      <c r="X317">
        <f>IF($U317=1,IFERROR(IF(VALUE($A317)&lt;100000000,VALUE($A317),1000000000),IFERROR(IF(VALUE(MID($A317,2,20))&lt;100000000,VALUE(MID($A317,2,20)),1000000000),1000000000))+ROW()/100000,"")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IF($A318="","",E318*N318/100)</f>
        <v/>
      </c>
      <c r="J318" s="7" t="n"/>
      <c r="K318" s="7">
        <f>IF($A318="","",S318*N318)</f>
        <v/>
      </c>
      <c r="L318" s="7">
        <f>IF($A318="","",N318-K318)</f>
        <v/>
      </c>
      <c r="M318" s="7">
        <f>IF($A318="","",L318-F318)</f>
        <v/>
      </c>
      <c r="N318" s="7" t="n"/>
      <c r="Q318" s="11" t="n"/>
      <c r="S318">
        <f>IF($A318="","",IF($W318=1,Settings!$C$6,Settings!$C$7)*1)</f>
        <v/>
      </c>
      <c r="U318">
        <f>IF($A318="","",IF(COUNTIF($A$2:$A318,$A318)=1,1,0))</f>
        <v/>
      </c>
      <c r="V318">
        <f>IF($U318=1,SUMPRODUCT(--($X$2:$X$1001&lt;$X318))+1,"")</f>
        <v/>
      </c>
      <c r="W318">
        <f>IF($A318="","",IF(OR($T318=TRUE(),$T318="TRUE"),1,0))</f>
        <v/>
      </c>
      <c r="X318">
        <f>IF($U318=1,IFERROR(IF(VALUE($A318)&lt;100000000,VALUE($A318),1000000000),IFERROR(IF(VALUE(MID($A318,2,20))&lt;100000000,VALUE(MID($A318,2,20)),1000000000),1000000000))+ROW()/100000,"")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IF($A319="","",E319*N319/100)</f>
        <v/>
      </c>
      <c r="J319" s="7" t="n"/>
      <c r="K319" s="7">
        <f>IF($A319="","",S319*N319)</f>
        <v/>
      </c>
      <c r="L319" s="7">
        <f>IF($A319="","",N319-K319)</f>
        <v/>
      </c>
      <c r="M319" s="7">
        <f>IF($A319="","",L319-F319)</f>
        <v/>
      </c>
      <c r="N319" s="7" t="n"/>
      <c r="Q319" s="11" t="n"/>
      <c r="S319">
        <f>IF($A319="","",IF($W319=1,Settings!$C$6,Settings!$C$7)*1)</f>
        <v/>
      </c>
      <c r="U319">
        <f>IF($A319="","",IF(COUNTIF($A$2:$A319,$A319)=1,1,0))</f>
        <v/>
      </c>
      <c r="V319">
        <f>IF($U319=1,SUMPRODUCT(--($X$2:$X$1001&lt;$X319))+1,"")</f>
        <v/>
      </c>
      <c r="W319">
        <f>IF($A319="","",IF(OR($T319=TRUE(),$T319="TRUE"),1,0))</f>
        <v/>
      </c>
      <c r="X319">
        <f>IF($U319=1,IFERROR(IF(VALUE($A319)&lt;100000000,VALUE($A319),1000000000),IFERROR(IF(VALUE(MID($A319,2,20))&lt;100000000,VALUE(MID($A319,2,20)),1000000000),1000000000))+ROW()/100000,"")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IF($A320="","",E320*N320/100)</f>
        <v/>
      </c>
      <c r="J320" s="7" t="n"/>
      <c r="K320" s="7">
        <f>IF($A320="","",S320*N320)</f>
        <v/>
      </c>
      <c r="L320" s="7">
        <f>IF($A320="","",N320-K320)</f>
        <v/>
      </c>
      <c r="M320" s="7">
        <f>IF($A320="","",L320-F320)</f>
        <v/>
      </c>
      <c r="N320" s="7" t="n"/>
      <c r="Q320" s="11" t="n"/>
      <c r="S320">
        <f>IF($A320="","",IF($W320=1,Settings!$C$6,Settings!$C$7)*1)</f>
        <v/>
      </c>
      <c r="U320">
        <f>IF($A320="","",IF(COUNTIF($A$2:$A320,$A320)=1,1,0))</f>
        <v/>
      </c>
      <c r="V320">
        <f>IF($U320=1,SUMPRODUCT(--($X$2:$X$1001&lt;$X320))+1,"")</f>
        <v/>
      </c>
      <c r="W320">
        <f>IF($A320="","",IF(OR($T320=TRUE(),$T320="TRUE"),1,0))</f>
        <v/>
      </c>
      <c r="X320">
        <f>IF($U320=1,IFERROR(IF(VALUE($A320)&lt;100000000,VALUE($A320),1000000000),IFERROR(IF(VALUE(MID($A320,2,20))&lt;100000000,VALUE(MID($A320,2,20)),1000000000),1000000000))+ROW()/100000,"")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IF($A321="","",E321*N321/100)</f>
        <v/>
      </c>
      <c r="J321" s="7" t="n"/>
      <c r="K321" s="7">
        <f>IF($A321="","",S321*N321)</f>
        <v/>
      </c>
      <c r="L321" s="7">
        <f>IF($A321="","",N321-K321)</f>
        <v/>
      </c>
      <c r="M321" s="7">
        <f>IF($A321="","",L321-F321)</f>
        <v/>
      </c>
      <c r="N321" s="7" t="n"/>
      <c r="Q321" s="11" t="n"/>
      <c r="S321">
        <f>IF($A321="","",IF($W321=1,Settings!$C$6,Settings!$C$7)*1)</f>
        <v/>
      </c>
      <c r="U321">
        <f>IF($A321="","",IF(COUNTIF($A$2:$A321,$A321)=1,1,0))</f>
        <v/>
      </c>
      <c r="V321">
        <f>IF($U321=1,SUMPRODUCT(--($X$2:$X$1001&lt;$X321))+1,"")</f>
        <v/>
      </c>
      <c r="W321">
        <f>IF($A321="","",IF(OR($T321=TRUE(),$T321="TRUE"),1,0))</f>
        <v/>
      </c>
      <c r="X321">
        <f>IF($U321=1,IFERROR(IF(VALUE($A321)&lt;100000000,VALUE($A321),1000000000),IFERROR(IF(VALUE(MID($A321,2,20))&lt;100000000,VALUE(MID($A321,2,20)),1000000000),1000000000))+ROW()/100000,"")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IF($A322="","",E322*N322/100)</f>
        <v/>
      </c>
      <c r="J322" s="7" t="n"/>
      <c r="K322" s="7">
        <f>IF($A322="","",S322*N322)</f>
        <v/>
      </c>
      <c r="L322" s="7">
        <f>IF($A322="","",N322-K322)</f>
        <v/>
      </c>
      <c r="M322" s="7">
        <f>IF($A322="","",L322-F322)</f>
        <v/>
      </c>
      <c r="N322" s="7" t="n"/>
      <c r="Q322" s="11" t="n"/>
      <c r="S322">
        <f>IF($A322="","",IF($W322=1,Settings!$C$6,Settings!$C$7)*1)</f>
        <v/>
      </c>
      <c r="U322">
        <f>IF($A322="","",IF(COUNTIF($A$2:$A322,$A322)=1,1,0))</f>
        <v/>
      </c>
      <c r="V322">
        <f>IF($U322=1,SUMPRODUCT(--($X$2:$X$1001&lt;$X322))+1,"")</f>
        <v/>
      </c>
      <c r="W322">
        <f>IF($A322="","",IF(OR($T322=TRUE(),$T322="TRUE"),1,0))</f>
        <v/>
      </c>
      <c r="X322">
        <f>IF($U322=1,IFERROR(IF(VALUE($A322)&lt;100000000,VALUE($A322),1000000000),IFERROR(IF(VALUE(MID($A322,2,20))&lt;100000000,VALUE(MID($A322,2,20)),1000000000),1000000000))+ROW()/100000,"")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IF($A323="","",E323*N323/100)</f>
        <v/>
      </c>
      <c r="J323" s="7" t="n"/>
      <c r="K323" s="7">
        <f>IF($A323="","",S323*N323)</f>
        <v/>
      </c>
      <c r="L323" s="7">
        <f>IF($A323="","",N323-K323)</f>
        <v/>
      </c>
      <c r="M323" s="7">
        <f>IF($A323="","",L323-F323)</f>
        <v/>
      </c>
      <c r="N323" s="7" t="n"/>
      <c r="Q323" s="11" t="n"/>
      <c r="S323">
        <f>IF($A323="","",IF($W323=1,Settings!$C$6,Settings!$C$7)*1)</f>
        <v/>
      </c>
      <c r="U323">
        <f>IF($A323="","",IF(COUNTIF($A$2:$A323,$A323)=1,1,0))</f>
        <v/>
      </c>
      <c r="V323">
        <f>IF($U323=1,SUMPRODUCT(--($X$2:$X$1001&lt;$X323))+1,"")</f>
        <v/>
      </c>
      <c r="W323">
        <f>IF($A323="","",IF(OR($T323=TRUE(),$T323="TRUE"),1,0))</f>
        <v/>
      </c>
      <c r="X323">
        <f>IF($U323=1,IFERROR(IF(VALUE($A323)&lt;100000000,VALUE($A323),1000000000),IFERROR(IF(VALUE(MID($A323,2,20))&lt;100000000,VALUE(MID($A323,2,20)),1000000000),1000000000))+ROW()/100000,"")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IF($A324="","",E324*N324/100)</f>
        <v/>
      </c>
      <c r="J324" s="7" t="n"/>
      <c r="K324" s="7">
        <f>IF($A324="","",S324*N324)</f>
        <v/>
      </c>
      <c r="L324" s="7">
        <f>IF($A324="","",N324-K324)</f>
        <v/>
      </c>
      <c r="M324" s="7">
        <f>IF($A324="","",L324-F324)</f>
        <v/>
      </c>
      <c r="N324" s="7" t="n"/>
      <c r="Q324" s="11" t="n"/>
      <c r="S324">
        <f>IF($A324="","",IF($W324=1,Settings!$C$6,Settings!$C$7)*1)</f>
        <v/>
      </c>
      <c r="U324">
        <f>IF($A324="","",IF(COUNTIF($A$2:$A324,$A324)=1,1,0))</f>
        <v/>
      </c>
      <c r="V324">
        <f>IF($U324=1,SUMPRODUCT(--($X$2:$X$1001&lt;$X324))+1,"")</f>
        <v/>
      </c>
      <c r="W324">
        <f>IF($A324="","",IF(OR($T324=TRUE(),$T324="TRUE"),1,0))</f>
        <v/>
      </c>
      <c r="X324">
        <f>IF($U324=1,IFERROR(IF(VALUE($A324)&lt;100000000,VALUE($A324),1000000000),IFERROR(IF(VALUE(MID($A324,2,20))&lt;100000000,VALUE(MID($A324,2,20)),1000000000),1000000000))+ROW()/100000,"")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IF($A325="","",E325*N325/100)</f>
        <v/>
      </c>
      <c r="J325" s="7" t="n"/>
      <c r="K325" s="7">
        <f>IF($A325="","",S325*N325)</f>
        <v/>
      </c>
      <c r="L325" s="7">
        <f>IF($A325="","",N325-K325)</f>
        <v/>
      </c>
      <c r="M325" s="7">
        <f>IF($A325="","",L325-F325)</f>
        <v/>
      </c>
      <c r="N325" s="7" t="n"/>
      <c r="Q325" s="11" t="n"/>
      <c r="S325">
        <f>IF($A325="","",IF($W325=1,Settings!$C$6,Settings!$C$7)*1)</f>
        <v/>
      </c>
      <c r="U325">
        <f>IF($A325="","",IF(COUNTIF($A$2:$A325,$A325)=1,1,0))</f>
        <v/>
      </c>
      <c r="V325">
        <f>IF($U325=1,SUMPRODUCT(--($X$2:$X$1001&lt;$X325))+1,"")</f>
        <v/>
      </c>
      <c r="W325">
        <f>IF($A325="","",IF(OR($T325=TRUE(),$T325="TRUE"),1,0))</f>
        <v/>
      </c>
      <c r="X325">
        <f>IF($U325=1,IFERROR(IF(VALUE($A325)&lt;100000000,VALUE($A325),1000000000),IFERROR(IF(VALUE(MID($A325,2,20))&lt;100000000,VALUE(MID($A325,2,20)),1000000000),1000000000))+ROW()/100000,"")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IF($A326="","",E326*N326/100)</f>
        <v/>
      </c>
      <c r="J326" s="7" t="n"/>
      <c r="K326" s="7">
        <f>IF($A326="","",S326*N326)</f>
        <v/>
      </c>
      <c r="L326" s="7">
        <f>IF($A326="","",N326-K326)</f>
        <v/>
      </c>
      <c r="M326" s="7">
        <f>IF($A326="","",L326-F326)</f>
        <v/>
      </c>
      <c r="N326" s="7" t="n"/>
      <c r="Q326" s="11" t="n"/>
      <c r="S326">
        <f>IF($A326="","",IF($W326=1,Settings!$C$6,Settings!$C$7)*1)</f>
        <v/>
      </c>
      <c r="U326">
        <f>IF($A326="","",IF(COUNTIF($A$2:$A326,$A326)=1,1,0))</f>
        <v/>
      </c>
      <c r="V326">
        <f>IF($U326=1,SUMPRODUCT(--($X$2:$X$1001&lt;$X326))+1,"")</f>
        <v/>
      </c>
      <c r="W326">
        <f>IF($A326="","",IF(OR($T326=TRUE(),$T326="TRUE"),1,0))</f>
        <v/>
      </c>
      <c r="X326">
        <f>IF($U326=1,IFERROR(IF(VALUE($A326)&lt;100000000,VALUE($A326),1000000000),IFERROR(IF(VALUE(MID($A326,2,20))&lt;100000000,VALUE(MID($A326,2,20)),1000000000),1000000000))+ROW()/100000,"")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IF($A327="","",E327*N327/100)</f>
        <v/>
      </c>
      <c r="J327" s="7" t="n"/>
      <c r="K327" s="7">
        <f>IF($A327="","",S327*N327)</f>
        <v/>
      </c>
      <c r="L327" s="7">
        <f>IF($A327="","",N327-K327)</f>
        <v/>
      </c>
      <c r="M327" s="7">
        <f>IF($A327="","",L327-F327)</f>
        <v/>
      </c>
      <c r="N327" s="7" t="n"/>
      <c r="Q327" s="11" t="n"/>
      <c r="S327">
        <f>IF($A327="","",IF($W327=1,Settings!$C$6,Settings!$C$7)*1)</f>
        <v/>
      </c>
      <c r="U327">
        <f>IF($A327="","",IF(COUNTIF($A$2:$A327,$A327)=1,1,0))</f>
        <v/>
      </c>
      <c r="V327">
        <f>IF($U327=1,SUMPRODUCT(--($X$2:$X$1001&lt;$X327))+1,"")</f>
        <v/>
      </c>
      <c r="W327">
        <f>IF($A327="","",IF(OR($T327=TRUE(),$T327="TRUE"),1,0))</f>
        <v/>
      </c>
      <c r="X327">
        <f>IF($U327=1,IFERROR(IF(VALUE($A327)&lt;100000000,VALUE($A327),1000000000),IFERROR(IF(VALUE(MID($A327,2,20))&lt;100000000,VALUE(MID($A327,2,20)),1000000000),1000000000))+ROW()/100000,"")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IF($A328="","",E328*N328/100)</f>
        <v/>
      </c>
      <c r="J328" s="7" t="n"/>
      <c r="K328" s="7">
        <f>IF($A328="","",S328*N328)</f>
        <v/>
      </c>
      <c r="L328" s="7">
        <f>IF($A328="","",N328-K328)</f>
        <v/>
      </c>
      <c r="M328" s="7">
        <f>IF($A328="","",L328-F328)</f>
        <v/>
      </c>
      <c r="N328" s="7" t="n"/>
      <c r="Q328" s="11" t="n"/>
      <c r="S328">
        <f>IF($A328="","",IF($W328=1,Settings!$C$6,Settings!$C$7)*1)</f>
        <v/>
      </c>
      <c r="U328">
        <f>IF($A328="","",IF(COUNTIF($A$2:$A328,$A328)=1,1,0))</f>
        <v/>
      </c>
      <c r="V328">
        <f>IF($U328=1,SUMPRODUCT(--($X$2:$X$1001&lt;$X328))+1,"")</f>
        <v/>
      </c>
      <c r="W328">
        <f>IF($A328="","",IF(OR($T328=TRUE(),$T328="TRUE"),1,0))</f>
        <v/>
      </c>
      <c r="X328">
        <f>IF($U328=1,IFERROR(IF(VALUE($A328)&lt;100000000,VALUE($A328),1000000000),IFERROR(IF(VALUE(MID($A328,2,20))&lt;100000000,VALUE(MID($A328,2,20)),1000000000),1000000000))+ROW()/100000,"")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IF($A329="","",E329*N329/100)</f>
        <v/>
      </c>
      <c r="J329" s="7" t="n"/>
      <c r="K329" s="7">
        <f>IF($A329="","",S329*N329)</f>
        <v/>
      </c>
      <c r="L329" s="7">
        <f>IF($A329="","",N329-K329)</f>
        <v/>
      </c>
      <c r="M329" s="7">
        <f>IF($A329="","",L329-F329)</f>
        <v/>
      </c>
      <c r="N329" s="7" t="n"/>
      <c r="Q329" s="11" t="n"/>
      <c r="S329">
        <f>IF($A329="","",IF($W329=1,Settings!$C$6,Settings!$C$7)*1)</f>
        <v/>
      </c>
      <c r="U329">
        <f>IF($A329="","",IF(COUNTIF($A$2:$A329,$A329)=1,1,0))</f>
        <v/>
      </c>
      <c r="V329">
        <f>IF($U329=1,SUMPRODUCT(--($X$2:$X$1001&lt;$X329))+1,"")</f>
        <v/>
      </c>
      <c r="W329">
        <f>IF($A329="","",IF(OR($T329=TRUE(),$T329="TRUE"),1,0))</f>
        <v/>
      </c>
      <c r="X329">
        <f>IF($U329=1,IFERROR(IF(VALUE($A329)&lt;100000000,VALUE($A329),1000000000),IFERROR(IF(VALUE(MID($A329,2,20))&lt;100000000,VALUE(MID($A329,2,20)),1000000000),1000000000))+ROW()/100000,"")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IF($A330="","",E330*N330/100)</f>
        <v/>
      </c>
      <c r="J330" s="7" t="n"/>
      <c r="K330" s="7">
        <f>IF($A330="","",S330*N330)</f>
        <v/>
      </c>
      <c r="L330" s="7">
        <f>IF($A330="","",N330-K330)</f>
        <v/>
      </c>
      <c r="M330" s="7">
        <f>IF($A330="","",L330-F330)</f>
        <v/>
      </c>
      <c r="N330" s="7" t="n"/>
      <c r="Q330" s="11" t="n"/>
      <c r="S330">
        <f>IF($A330="","",IF($W330=1,Settings!$C$6,Settings!$C$7)*1)</f>
        <v/>
      </c>
      <c r="U330">
        <f>IF($A330="","",IF(COUNTIF($A$2:$A330,$A330)=1,1,0))</f>
        <v/>
      </c>
      <c r="V330">
        <f>IF($U330=1,SUMPRODUCT(--($X$2:$X$1001&lt;$X330))+1,"")</f>
        <v/>
      </c>
      <c r="W330">
        <f>IF($A330="","",IF(OR($T330=TRUE(),$T330="TRUE"),1,0))</f>
        <v/>
      </c>
      <c r="X330">
        <f>IF($U330=1,IFERROR(IF(VALUE($A330)&lt;100000000,VALUE($A330),1000000000),IFERROR(IF(VALUE(MID($A330,2,20))&lt;100000000,VALUE(MID($A330,2,20)),1000000000),1000000000))+ROW()/100000,"")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IF($A331="","",E331*N331/100)</f>
        <v/>
      </c>
      <c r="J331" s="7" t="n"/>
      <c r="K331" s="7">
        <f>IF($A331="","",S331*N331)</f>
        <v/>
      </c>
      <c r="L331" s="7">
        <f>IF($A331="","",N331-K331)</f>
        <v/>
      </c>
      <c r="M331" s="7">
        <f>IF($A331="","",L331-F331)</f>
        <v/>
      </c>
      <c r="N331" s="7" t="n"/>
      <c r="Q331" s="11" t="n"/>
      <c r="S331">
        <f>IF($A331="","",IF($W331=1,Settings!$C$6,Settings!$C$7)*1)</f>
        <v/>
      </c>
      <c r="U331">
        <f>IF($A331="","",IF(COUNTIF($A$2:$A331,$A331)=1,1,0))</f>
        <v/>
      </c>
      <c r="V331">
        <f>IF($U331=1,SUMPRODUCT(--($X$2:$X$1001&lt;$X331))+1,"")</f>
        <v/>
      </c>
      <c r="W331">
        <f>IF($A331="","",IF(OR($T331=TRUE(),$T331="TRUE"),1,0))</f>
        <v/>
      </c>
      <c r="X331">
        <f>IF($U331=1,IFERROR(IF(VALUE($A331)&lt;100000000,VALUE($A331),1000000000),IFERROR(IF(VALUE(MID($A331,2,20))&lt;100000000,VALUE(MID($A331,2,20)),1000000000),1000000000))+ROW()/100000,"")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IF($A332="","",E332*N332/100)</f>
        <v/>
      </c>
      <c r="J332" s="7" t="n"/>
      <c r="K332" s="7">
        <f>IF($A332="","",S332*N332)</f>
        <v/>
      </c>
      <c r="L332" s="7">
        <f>IF($A332="","",N332-K332)</f>
        <v/>
      </c>
      <c r="M332" s="7">
        <f>IF($A332="","",L332-F332)</f>
        <v/>
      </c>
      <c r="N332" s="7" t="n"/>
      <c r="Q332" s="11" t="n"/>
      <c r="S332">
        <f>IF($A332="","",IF($W332=1,Settings!$C$6,Settings!$C$7)*1)</f>
        <v/>
      </c>
      <c r="U332">
        <f>IF($A332="","",IF(COUNTIF($A$2:$A332,$A332)=1,1,0))</f>
        <v/>
      </c>
      <c r="V332">
        <f>IF($U332=1,SUMPRODUCT(--($X$2:$X$1001&lt;$X332))+1,"")</f>
        <v/>
      </c>
      <c r="W332">
        <f>IF($A332="","",IF(OR($T332=TRUE(),$T332="TRUE"),1,0))</f>
        <v/>
      </c>
      <c r="X332">
        <f>IF($U332=1,IFERROR(IF(VALUE($A332)&lt;100000000,VALUE($A332),1000000000),IFERROR(IF(VALUE(MID($A332,2,20))&lt;100000000,VALUE(MID($A332,2,20)),1000000000),1000000000))+ROW()/100000,"")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IF($A333="","",E333*N333/100)</f>
        <v/>
      </c>
      <c r="J333" s="7" t="n"/>
      <c r="K333" s="7">
        <f>IF($A333="","",S333*N333)</f>
        <v/>
      </c>
      <c r="L333" s="7">
        <f>IF($A333="","",N333-K333)</f>
        <v/>
      </c>
      <c r="M333" s="7">
        <f>IF($A333="","",L333-F333)</f>
        <v/>
      </c>
      <c r="N333" s="7" t="n"/>
      <c r="Q333" s="11" t="n"/>
      <c r="S333">
        <f>IF($A333="","",IF($W333=1,Settings!$C$6,Settings!$C$7)*1)</f>
        <v/>
      </c>
      <c r="U333">
        <f>IF($A333="","",IF(COUNTIF($A$2:$A333,$A333)=1,1,0))</f>
        <v/>
      </c>
      <c r="V333">
        <f>IF($U333=1,SUMPRODUCT(--($X$2:$X$1001&lt;$X333))+1,"")</f>
        <v/>
      </c>
      <c r="W333">
        <f>IF($A333="","",IF(OR($T333=TRUE(),$T333="TRUE"),1,0))</f>
        <v/>
      </c>
      <c r="X333">
        <f>IF($U333=1,IFERROR(IF(VALUE($A333)&lt;100000000,VALUE($A333),1000000000),IFERROR(IF(VALUE(MID($A333,2,20))&lt;100000000,VALUE(MID($A333,2,20)),1000000000),1000000000))+ROW()/100000,"")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IF($A334="","",E334*N334/100)</f>
        <v/>
      </c>
      <c r="J334" s="7" t="n"/>
      <c r="K334" s="7">
        <f>IF($A334="","",S334*N334)</f>
        <v/>
      </c>
      <c r="L334" s="7">
        <f>IF($A334="","",N334-K334)</f>
        <v/>
      </c>
      <c r="M334" s="7">
        <f>IF($A334="","",L334-F334)</f>
        <v/>
      </c>
      <c r="N334" s="7" t="n"/>
      <c r="Q334" s="11" t="n"/>
      <c r="S334">
        <f>IF($A334="","",IF($W334=1,Settings!$C$6,Settings!$C$7)*1)</f>
        <v/>
      </c>
      <c r="U334">
        <f>IF($A334="","",IF(COUNTIF($A$2:$A334,$A334)=1,1,0))</f>
        <v/>
      </c>
      <c r="V334">
        <f>IF($U334=1,SUMPRODUCT(--($X$2:$X$1001&lt;$X334))+1,"")</f>
        <v/>
      </c>
      <c r="W334">
        <f>IF($A334="","",IF(OR($T334=TRUE(),$T334="TRUE"),1,0))</f>
        <v/>
      </c>
      <c r="X334">
        <f>IF($U334=1,IFERROR(IF(VALUE($A334)&lt;100000000,VALUE($A334),1000000000),IFERROR(IF(VALUE(MID($A334,2,20))&lt;100000000,VALUE(MID($A334,2,20)),1000000000),1000000000))+ROW()/100000,"")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IF($A335="","",E335*N335/100)</f>
        <v/>
      </c>
      <c r="J335" s="7" t="n"/>
      <c r="K335" s="7">
        <f>IF($A335="","",S335*N335)</f>
        <v/>
      </c>
      <c r="L335" s="7">
        <f>IF($A335="","",N335-K335)</f>
        <v/>
      </c>
      <c r="M335" s="7">
        <f>IF($A335="","",L335-F335)</f>
        <v/>
      </c>
      <c r="N335" s="7" t="n"/>
      <c r="Q335" s="11" t="n"/>
      <c r="S335">
        <f>IF($A335="","",IF($W335=1,Settings!$C$6,Settings!$C$7)*1)</f>
        <v/>
      </c>
      <c r="U335">
        <f>IF($A335="","",IF(COUNTIF($A$2:$A335,$A335)=1,1,0))</f>
        <v/>
      </c>
      <c r="V335">
        <f>IF($U335=1,SUMPRODUCT(--($X$2:$X$1001&lt;$X335))+1,"")</f>
        <v/>
      </c>
      <c r="W335">
        <f>IF($A335="","",IF(OR($T335=TRUE(),$T335="TRUE"),1,0))</f>
        <v/>
      </c>
      <c r="X335">
        <f>IF($U335=1,IFERROR(IF(VALUE($A335)&lt;100000000,VALUE($A335),1000000000),IFERROR(IF(VALUE(MID($A335,2,20))&lt;100000000,VALUE(MID($A335,2,20)),1000000000),1000000000))+ROW()/100000,"")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IF($A336="","",E336*N336/100)</f>
        <v/>
      </c>
      <c r="J336" s="7" t="n"/>
      <c r="K336" s="7">
        <f>IF($A336="","",S336*N336)</f>
        <v/>
      </c>
      <c r="L336" s="7">
        <f>IF($A336="","",N336-K336)</f>
        <v/>
      </c>
      <c r="M336" s="7">
        <f>IF($A336="","",L336-F336)</f>
        <v/>
      </c>
      <c r="N336" s="7" t="n"/>
      <c r="Q336" s="11" t="n"/>
      <c r="S336">
        <f>IF($A336="","",IF($W336=1,Settings!$C$6,Settings!$C$7)*1)</f>
        <v/>
      </c>
      <c r="U336">
        <f>IF($A336="","",IF(COUNTIF($A$2:$A336,$A336)=1,1,0))</f>
        <v/>
      </c>
      <c r="V336">
        <f>IF($U336=1,SUMPRODUCT(--($X$2:$X$1001&lt;$X336))+1,"")</f>
        <v/>
      </c>
      <c r="W336">
        <f>IF($A336="","",IF(OR($T336=TRUE(),$T336="TRUE"),1,0))</f>
        <v/>
      </c>
      <c r="X336">
        <f>IF($U336=1,IFERROR(IF(VALUE($A336)&lt;100000000,VALUE($A336),1000000000),IFERROR(IF(VALUE(MID($A336,2,20))&lt;100000000,VALUE(MID($A336,2,20)),1000000000),1000000000))+ROW()/100000,"")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IF($A337="","",E337*N337/100)</f>
        <v/>
      </c>
      <c r="J337" s="7" t="n"/>
      <c r="K337" s="7">
        <f>IF($A337="","",S337*N337)</f>
        <v/>
      </c>
      <c r="L337" s="7">
        <f>IF($A337="","",N337-K337)</f>
        <v/>
      </c>
      <c r="M337" s="7">
        <f>IF($A337="","",L337-F337)</f>
        <v/>
      </c>
      <c r="N337" s="7" t="n"/>
      <c r="Q337" s="11" t="n"/>
      <c r="S337">
        <f>IF($A337="","",IF($W337=1,Settings!$C$6,Settings!$C$7)*1)</f>
        <v/>
      </c>
      <c r="U337">
        <f>IF($A337="","",IF(COUNTIF($A$2:$A337,$A337)=1,1,0))</f>
        <v/>
      </c>
      <c r="V337">
        <f>IF($U337=1,SUMPRODUCT(--($X$2:$X$1001&lt;$X337))+1,"")</f>
        <v/>
      </c>
      <c r="W337">
        <f>IF($A337="","",IF(OR($T337=TRUE(),$T337="TRUE"),1,0))</f>
        <v/>
      </c>
      <c r="X337">
        <f>IF($U337=1,IFERROR(IF(VALUE($A337)&lt;100000000,VALUE($A337),1000000000),IFERROR(IF(VALUE(MID($A337,2,20))&lt;100000000,VALUE(MID($A337,2,20)),1000000000),1000000000))+ROW()/100000,"")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IF($A338="","",E338*N338/100)</f>
        <v/>
      </c>
      <c r="J338" s="7" t="n"/>
      <c r="K338" s="7">
        <f>IF($A338="","",S338*N338)</f>
        <v/>
      </c>
      <c r="L338" s="7">
        <f>IF($A338="","",N338-K338)</f>
        <v/>
      </c>
      <c r="M338" s="7">
        <f>IF($A338="","",L338-F338)</f>
        <v/>
      </c>
      <c r="N338" s="7" t="n"/>
      <c r="Q338" s="11" t="n"/>
      <c r="S338">
        <f>IF($A338="","",IF($W338=1,Settings!$C$6,Settings!$C$7)*1)</f>
        <v/>
      </c>
      <c r="U338">
        <f>IF($A338="","",IF(COUNTIF($A$2:$A338,$A338)=1,1,0))</f>
        <v/>
      </c>
      <c r="V338">
        <f>IF($U338=1,SUMPRODUCT(--($X$2:$X$1001&lt;$X338))+1,"")</f>
        <v/>
      </c>
      <c r="W338">
        <f>IF($A338="","",IF(OR($T338=TRUE(),$T338="TRUE"),1,0))</f>
        <v/>
      </c>
      <c r="X338">
        <f>IF($U338=1,IFERROR(IF(VALUE($A338)&lt;100000000,VALUE($A338),1000000000),IFERROR(IF(VALUE(MID($A338,2,20))&lt;100000000,VALUE(MID($A338,2,20)),1000000000),1000000000))+ROW()/100000,"")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IF($A339="","",E339*N339/100)</f>
        <v/>
      </c>
      <c r="J339" s="7" t="n"/>
      <c r="K339" s="7">
        <f>IF($A339="","",S339*N339)</f>
        <v/>
      </c>
      <c r="L339" s="7">
        <f>IF($A339="","",N339-K339)</f>
        <v/>
      </c>
      <c r="M339" s="7">
        <f>IF($A339="","",L339-F339)</f>
        <v/>
      </c>
      <c r="N339" s="7" t="n"/>
      <c r="Q339" s="11" t="n"/>
      <c r="S339">
        <f>IF($A339="","",IF($W339=1,Settings!$C$6,Settings!$C$7)*1)</f>
        <v/>
      </c>
      <c r="U339">
        <f>IF($A339="","",IF(COUNTIF($A$2:$A339,$A339)=1,1,0))</f>
        <v/>
      </c>
      <c r="V339">
        <f>IF($U339=1,SUMPRODUCT(--($X$2:$X$1001&lt;$X339))+1,"")</f>
        <v/>
      </c>
      <c r="W339">
        <f>IF($A339="","",IF(OR($T339=TRUE(),$T339="TRUE"),1,0))</f>
        <v/>
      </c>
      <c r="X339">
        <f>IF($U339=1,IFERROR(IF(VALUE($A339)&lt;100000000,VALUE($A339),1000000000),IFERROR(IF(VALUE(MID($A339,2,20))&lt;100000000,VALUE(MID($A339,2,20)),1000000000),1000000000))+ROW()/100000,"")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IF($A340="","",E340*N340/100)</f>
        <v/>
      </c>
      <c r="J340" s="7" t="n"/>
      <c r="K340" s="7">
        <f>IF($A340="","",S340*N340)</f>
        <v/>
      </c>
      <c r="L340" s="7">
        <f>IF($A340="","",N340-K340)</f>
        <v/>
      </c>
      <c r="M340" s="7">
        <f>IF($A340="","",L340-F340)</f>
        <v/>
      </c>
      <c r="N340" s="7" t="n"/>
      <c r="Q340" s="11" t="n"/>
      <c r="S340">
        <f>IF($A340="","",IF($W340=1,Settings!$C$6,Settings!$C$7)*1)</f>
        <v/>
      </c>
      <c r="U340">
        <f>IF($A340="","",IF(COUNTIF($A$2:$A340,$A340)=1,1,0))</f>
        <v/>
      </c>
      <c r="V340">
        <f>IF($U340=1,SUMPRODUCT(--($X$2:$X$1001&lt;$X340))+1,"")</f>
        <v/>
      </c>
      <c r="W340">
        <f>IF($A340="","",IF(OR($T340=TRUE(),$T340="TRUE"),1,0))</f>
        <v/>
      </c>
      <c r="X340">
        <f>IF($U340=1,IFERROR(IF(VALUE($A340)&lt;100000000,VALUE($A340),1000000000),IFERROR(IF(VALUE(MID($A340,2,20))&lt;100000000,VALUE(MID($A340,2,20)),1000000000),1000000000))+ROW()/100000,"")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IF($A341="","",E341*N341/100)</f>
        <v/>
      </c>
      <c r="J341" s="7" t="n"/>
      <c r="K341" s="7">
        <f>IF($A341="","",S341*N341)</f>
        <v/>
      </c>
      <c r="L341" s="7">
        <f>IF($A341="","",N341-K341)</f>
        <v/>
      </c>
      <c r="M341" s="7">
        <f>IF($A341="","",L341-F341)</f>
        <v/>
      </c>
      <c r="N341" s="7" t="n"/>
      <c r="Q341" s="11" t="n"/>
      <c r="S341">
        <f>IF($A341="","",IF($W341=1,Settings!$C$6,Settings!$C$7)*1)</f>
        <v/>
      </c>
      <c r="U341">
        <f>IF($A341="","",IF(COUNTIF($A$2:$A341,$A341)=1,1,0))</f>
        <v/>
      </c>
      <c r="V341">
        <f>IF($U341=1,SUMPRODUCT(--($X$2:$X$1001&lt;$X341))+1,"")</f>
        <v/>
      </c>
      <c r="W341">
        <f>IF($A341="","",IF(OR($T341=TRUE(),$T341="TRUE"),1,0))</f>
        <v/>
      </c>
      <c r="X341">
        <f>IF($U341=1,IFERROR(IF(VALUE($A341)&lt;100000000,VALUE($A341),1000000000),IFERROR(IF(VALUE(MID($A341,2,20))&lt;100000000,VALUE(MID($A341,2,20)),1000000000),1000000000))+ROW()/100000,"")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IF($A342="","",E342*N342/100)</f>
        <v/>
      </c>
      <c r="J342" s="7" t="n"/>
      <c r="K342" s="7">
        <f>IF($A342="","",S342*N342)</f>
        <v/>
      </c>
      <c r="L342" s="7">
        <f>IF($A342="","",N342-K342)</f>
        <v/>
      </c>
      <c r="M342" s="7">
        <f>IF($A342="","",L342-F342)</f>
        <v/>
      </c>
      <c r="N342" s="7" t="n"/>
      <c r="Q342" s="11" t="n"/>
      <c r="S342">
        <f>IF($A342="","",IF($W342=1,Settings!$C$6,Settings!$C$7)*1)</f>
        <v/>
      </c>
      <c r="U342">
        <f>IF($A342="","",IF(COUNTIF($A$2:$A342,$A342)=1,1,0))</f>
        <v/>
      </c>
      <c r="V342">
        <f>IF($U342=1,SUMPRODUCT(--($X$2:$X$1001&lt;$X342))+1,"")</f>
        <v/>
      </c>
      <c r="W342">
        <f>IF($A342="","",IF(OR($T342=TRUE(),$T342="TRUE"),1,0))</f>
        <v/>
      </c>
      <c r="X342">
        <f>IF($U342=1,IFERROR(IF(VALUE($A342)&lt;100000000,VALUE($A342),1000000000),IFERROR(IF(VALUE(MID($A342,2,20))&lt;100000000,VALUE(MID($A342,2,20)),1000000000),1000000000))+ROW()/100000,"")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IF($A343="","",E343*N343/100)</f>
        <v/>
      </c>
      <c r="J343" s="7" t="n"/>
      <c r="K343" s="7">
        <f>IF($A343="","",S343*N343)</f>
        <v/>
      </c>
      <c r="L343" s="7">
        <f>IF($A343="","",N343-K343)</f>
        <v/>
      </c>
      <c r="M343" s="7">
        <f>IF($A343="","",L343-F343)</f>
        <v/>
      </c>
      <c r="N343" s="7" t="n"/>
      <c r="Q343" s="11" t="n"/>
      <c r="S343">
        <f>IF($A343="","",IF($W343=1,Settings!$C$6,Settings!$C$7)*1)</f>
        <v/>
      </c>
      <c r="U343">
        <f>IF($A343="","",IF(COUNTIF($A$2:$A343,$A343)=1,1,0))</f>
        <v/>
      </c>
      <c r="V343">
        <f>IF($U343=1,SUMPRODUCT(--($X$2:$X$1001&lt;$X343))+1,"")</f>
        <v/>
      </c>
      <c r="W343">
        <f>IF($A343="","",IF(OR($T343=TRUE(),$T343="TRUE"),1,0))</f>
        <v/>
      </c>
      <c r="X343">
        <f>IF($U343=1,IFERROR(IF(VALUE($A343)&lt;100000000,VALUE($A343),1000000000),IFERROR(IF(VALUE(MID($A343,2,20))&lt;100000000,VALUE(MID($A343,2,20)),1000000000),1000000000))+ROW()/100000,"")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IF($A344="","",E344*N344/100)</f>
        <v/>
      </c>
      <c r="J344" s="7" t="n"/>
      <c r="K344" s="7">
        <f>IF($A344="","",S344*N344)</f>
        <v/>
      </c>
      <c r="L344" s="7">
        <f>IF($A344="","",N344-K344)</f>
        <v/>
      </c>
      <c r="M344" s="7">
        <f>IF($A344="","",L344-F344)</f>
        <v/>
      </c>
      <c r="N344" s="7" t="n"/>
      <c r="Q344" s="11" t="n"/>
      <c r="S344">
        <f>IF($A344="","",IF($W344=1,Settings!$C$6,Settings!$C$7)*1)</f>
        <v/>
      </c>
      <c r="U344">
        <f>IF($A344="","",IF(COUNTIF($A$2:$A344,$A344)=1,1,0))</f>
        <v/>
      </c>
      <c r="V344">
        <f>IF($U344=1,SUMPRODUCT(--($X$2:$X$1001&lt;$X344))+1,"")</f>
        <v/>
      </c>
      <c r="W344">
        <f>IF($A344="","",IF(OR($T344=TRUE(),$T344="TRUE"),1,0))</f>
        <v/>
      </c>
      <c r="X344">
        <f>IF($U344=1,IFERROR(IF(VALUE($A344)&lt;100000000,VALUE($A344),1000000000),IFERROR(IF(VALUE(MID($A344,2,20))&lt;100000000,VALUE(MID($A344,2,20)),1000000000),1000000000))+ROW()/100000,"")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IF($A345="","",E345*N345/100)</f>
        <v/>
      </c>
      <c r="J345" s="7" t="n"/>
      <c r="K345" s="7">
        <f>IF($A345="","",S345*N345)</f>
        <v/>
      </c>
      <c r="L345" s="7">
        <f>IF($A345="","",N345-K345)</f>
        <v/>
      </c>
      <c r="M345" s="7">
        <f>IF($A345="","",L345-F345)</f>
        <v/>
      </c>
      <c r="N345" s="7" t="n"/>
      <c r="Q345" s="11" t="n"/>
      <c r="S345">
        <f>IF($A345="","",IF($W345=1,Settings!$C$6,Settings!$C$7)*1)</f>
        <v/>
      </c>
      <c r="U345">
        <f>IF($A345="","",IF(COUNTIF($A$2:$A345,$A345)=1,1,0))</f>
        <v/>
      </c>
      <c r="V345">
        <f>IF($U345=1,SUMPRODUCT(--($X$2:$X$1001&lt;$X345))+1,"")</f>
        <v/>
      </c>
      <c r="W345">
        <f>IF($A345="","",IF(OR($T345=TRUE(),$T345="TRUE"),1,0))</f>
        <v/>
      </c>
      <c r="X345">
        <f>IF($U345=1,IFERROR(IF(VALUE($A345)&lt;100000000,VALUE($A345),1000000000),IFERROR(IF(VALUE(MID($A345,2,20))&lt;100000000,VALUE(MID($A345,2,20)),1000000000),1000000000))+ROW()/100000,"")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IF($A346="","",E346*N346/100)</f>
        <v/>
      </c>
      <c r="J346" s="7" t="n"/>
      <c r="K346" s="7">
        <f>IF($A346="","",S346*N346)</f>
        <v/>
      </c>
      <c r="L346" s="7">
        <f>IF($A346="","",N346-K346)</f>
        <v/>
      </c>
      <c r="M346" s="7">
        <f>IF($A346="","",L346-F346)</f>
        <v/>
      </c>
      <c r="N346" s="7" t="n"/>
      <c r="Q346" s="11" t="n"/>
      <c r="S346">
        <f>IF($A346="","",IF($W346=1,Settings!$C$6,Settings!$C$7)*1)</f>
        <v/>
      </c>
      <c r="U346">
        <f>IF($A346="","",IF(COUNTIF($A$2:$A346,$A346)=1,1,0))</f>
        <v/>
      </c>
      <c r="V346">
        <f>IF($U346=1,SUMPRODUCT(--($X$2:$X$1001&lt;$X346))+1,"")</f>
        <v/>
      </c>
      <c r="W346">
        <f>IF($A346="","",IF(OR($T346=TRUE(),$T346="TRUE"),1,0))</f>
        <v/>
      </c>
      <c r="X346">
        <f>IF($U346=1,IFERROR(IF(VALUE($A346)&lt;100000000,VALUE($A346),1000000000),IFERROR(IF(VALUE(MID($A346,2,20))&lt;100000000,VALUE(MID($A346,2,20)),1000000000),1000000000))+ROW()/100000,"")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IF($A347="","",E347*N347/100)</f>
        <v/>
      </c>
      <c r="J347" s="7" t="n"/>
      <c r="K347" s="7">
        <f>IF($A347="","",S347*N347)</f>
        <v/>
      </c>
      <c r="L347" s="7">
        <f>IF($A347="","",N347-K347)</f>
        <v/>
      </c>
      <c r="M347" s="7">
        <f>IF($A347="","",L347-F347)</f>
        <v/>
      </c>
      <c r="N347" s="7" t="n"/>
      <c r="Q347" s="11" t="n"/>
      <c r="S347">
        <f>IF($A347="","",IF($W347=1,Settings!$C$6,Settings!$C$7)*1)</f>
        <v/>
      </c>
      <c r="U347">
        <f>IF($A347="","",IF(COUNTIF($A$2:$A347,$A347)=1,1,0))</f>
        <v/>
      </c>
      <c r="V347">
        <f>IF($U347=1,SUMPRODUCT(--($X$2:$X$1001&lt;$X347))+1,"")</f>
        <v/>
      </c>
      <c r="W347">
        <f>IF($A347="","",IF(OR($T347=TRUE(),$T347="TRUE"),1,0))</f>
        <v/>
      </c>
      <c r="X347">
        <f>IF($U347=1,IFERROR(IF(VALUE($A347)&lt;100000000,VALUE($A347),1000000000),IFERROR(IF(VALUE(MID($A347,2,20))&lt;100000000,VALUE(MID($A347,2,20)),1000000000),1000000000))+ROW()/100000,"")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IF($A348="","",E348*N348/100)</f>
        <v/>
      </c>
      <c r="J348" s="7" t="n"/>
      <c r="K348" s="7">
        <f>IF($A348="","",S348*N348)</f>
        <v/>
      </c>
      <c r="L348" s="7">
        <f>IF($A348="","",N348-K348)</f>
        <v/>
      </c>
      <c r="M348" s="7">
        <f>IF($A348="","",L348-F348)</f>
        <v/>
      </c>
      <c r="N348" s="7" t="n"/>
      <c r="Q348" s="11" t="n"/>
      <c r="S348">
        <f>IF($A348="","",IF($W348=1,Settings!$C$6,Settings!$C$7)*1)</f>
        <v/>
      </c>
      <c r="U348">
        <f>IF($A348="","",IF(COUNTIF($A$2:$A348,$A348)=1,1,0))</f>
        <v/>
      </c>
      <c r="V348">
        <f>IF($U348=1,SUMPRODUCT(--($X$2:$X$1001&lt;$X348))+1,"")</f>
        <v/>
      </c>
      <c r="W348">
        <f>IF($A348="","",IF(OR($T348=TRUE(),$T348="TRUE"),1,0))</f>
        <v/>
      </c>
      <c r="X348">
        <f>IF($U348=1,IFERROR(IF(VALUE($A348)&lt;100000000,VALUE($A348),1000000000),IFERROR(IF(VALUE(MID($A348,2,20))&lt;100000000,VALUE(MID($A348,2,20)),1000000000),1000000000))+ROW()/100000,"")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IF($A349="","",E349*N349/100)</f>
        <v/>
      </c>
      <c r="J349" s="7" t="n"/>
      <c r="K349" s="7">
        <f>IF($A349="","",S349*N349)</f>
        <v/>
      </c>
      <c r="L349" s="7">
        <f>IF($A349="","",N349-K349)</f>
        <v/>
      </c>
      <c r="M349" s="7">
        <f>IF($A349="","",L349-F349)</f>
        <v/>
      </c>
      <c r="N349" s="7" t="n"/>
      <c r="Q349" s="11" t="n"/>
      <c r="S349">
        <f>IF($A349="","",IF($W349=1,Settings!$C$6,Settings!$C$7)*1)</f>
        <v/>
      </c>
      <c r="U349">
        <f>IF($A349="","",IF(COUNTIF($A$2:$A349,$A349)=1,1,0))</f>
        <v/>
      </c>
      <c r="V349">
        <f>IF($U349=1,SUMPRODUCT(--($X$2:$X$1001&lt;$X349))+1,"")</f>
        <v/>
      </c>
      <c r="W349">
        <f>IF($A349="","",IF(OR($T349=TRUE(),$T349="TRUE"),1,0))</f>
        <v/>
      </c>
      <c r="X349">
        <f>IF($U349=1,IFERROR(IF(VALUE($A349)&lt;100000000,VALUE($A349),1000000000),IFERROR(IF(VALUE(MID($A349,2,20))&lt;100000000,VALUE(MID($A349,2,20)),1000000000),1000000000))+ROW()/100000,"")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IF($A350="","",E350*N350/100)</f>
        <v/>
      </c>
      <c r="J350" s="7" t="n"/>
      <c r="K350" s="7">
        <f>IF($A350="","",S350*N350)</f>
        <v/>
      </c>
      <c r="L350" s="7">
        <f>IF($A350="","",N350-K350)</f>
        <v/>
      </c>
      <c r="M350" s="7">
        <f>IF($A350="","",L350-F350)</f>
        <v/>
      </c>
      <c r="N350" s="7" t="n"/>
      <c r="Q350" s="11" t="n"/>
      <c r="S350">
        <f>IF($A350="","",IF($W350=1,Settings!$C$6,Settings!$C$7)*1)</f>
        <v/>
      </c>
      <c r="U350">
        <f>IF($A350="","",IF(COUNTIF($A$2:$A350,$A350)=1,1,0))</f>
        <v/>
      </c>
      <c r="V350">
        <f>IF($U350=1,SUMPRODUCT(--($X$2:$X$1001&lt;$X350))+1,"")</f>
        <v/>
      </c>
      <c r="W350">
        <f>IF($A350="","",IF(OR($T350=TRUE(),$T350="TRUE"),1,0))</f>
        <v/>
      </c>
      <c r="X350">
        <f>IF($U350=1,IFERROR(IF(VALUE($A350)&lt;100000000,VALUE($A350),1000000000),IFERROR(IF(VALUE(MID($A350,2,20))&lt;100000000,VALUE(MID($A350,2,20)),1000000000),1000000000))+ROW()/100000,"")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IF($A351="","",E351*N351/100)</f>
        <v/>
      </c>
      <c r="J351" s="7" t="n"/>
      <c r="K351" s="7">
        <f>IF($A351="","",S351*N351)</f>
        <v/>
      </c>
      <c r="L351" s="7">
        <f>IF($A351="","",N351-K351)</f>
        <v/>
      </c>
      <c r="M351" s="7">
        <f>IF($A351="","",L351-F351)</f>
        <v/>
      </c>
      <c r="N351" s="7" t="n"/>
      <c r="Q351" s="11" t="n"/>
      <c r="S351">
        <f>IF($A351="","",IF($W351=1,Settings!$C$6,Settings!$C$7)*1)</f>
        <v/>
      </c>
      <c r="U351">
        <f>IF($A351="","",IF(COUNTIF($A$2:$A351,$A351)=1,1,0))</f>
        <v/>
      </c>
      <c r="V351">
        <f>IF($U351=1,SUMPRODUCT(--($X$2:$X$1001&lt;$X351))+1,"")</f>
        <v/>
      </c>
      <c r="W351">
        <f>IF($A351="","",IF(OR($T351=TRUE(),$T351="TRUE"),1,0))</f>
        <v/>
      </c>
      <c r="X351">
        <f>IF($U351=1,IFERROR(IF(VALUE($A351)&lt;100000000,VALUE($A351),1000000000),IFERROR(IF(VALUE(MID($A351,2,20))&lt;100000000,VALUE(MID($A351,2,20)),1000000000),1000000000))+ROW()/100000,"")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IF($A352="","",E352*N352/100)</f>
        <v/>
      </c>
      <c r="J352" s="7" t="n"/>
      <c r="K352" s="7">
        <f>IF($A352="","",S352*N352)</f>
        <v/>
      </c>
      <c r="L352" s="7">
        <f>IF($A352="","",N352-K352)</f>
        <v/>
      </c>
      <c r="M352" s="7">
        <f>IF($A352="","",L352-F352)</f>
        <v/>
      </c>
      <c r="N352" s="7" t="n"/>
      <c r="Q352" s="11" t="n"/>
      <c r="S352">
        <f>IF($A352="","",IF($W352=1,Settings!$C$6,Settings!$C$7)*1)</f>
        <v/>
      </c>
      <c r="U352">
        <f>IF($A352="","",IF(COUNTIF($A$2:$A352,$A352)=1,1,0))</f>
        <v/>
      </c>
      <c r="V352">
        <f>IF($U352=1,SUMPRODUCT(--($X$2:$X$1001&lt;$X352))+1,"")</f>
        <v/>
      </c>
      <c r="W352">
        <f>IF($A352="","",IF(OR($T352=TRUE(),$T352="TRUE"),1,0))</f>
        <v/>
      </c>
      <c r="X352">
        <f>IF($U352=1,IFERROR(IF(VALUE($A352)&lt;100000000,VALUE($A352),1000000000),IFERROR(IF(VALUE(MID($A352,2,20))&lt;100000000,VALUE(MID($A352,2,20)),1000000000),1000000000))+ROW()/100000,"")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IF($A353="","",E353*N353/100)</f>
        <v/>
      </c>
      <c r="J353" s="7" t="n"/>
      <c r="K353" s="7">
        <f>IF($A353="","",S353*N353)</f>
        <v/>
      </c>
      <c r="L353" s="7">
        <f>IF($A353="","",N353-K353)</f>
        <v/>
      </c>
      <c r="M353" s="7">
        <f>IF($A353="","",L353-F353)</f>
        <v/>
      </c>
      <c r="N353" s="7" t="n"/>
      <c r="Q353" s="11" t="n"/>
      <c r="S353">
        <f>IF($A353="","",IF($W353=1,Settings!$C$6,Settings!$C$7)*1)</f>
        <v/>
      </c>
      <c r="U353">
        <f>IF($A353="","",IF(COUNTIF($A$2:$A353,$A353)=1,1,0))</f>
        <v/>
      </c>
      <c r="V353">
        <f>IF($U353=1,SUMPRODUCT(--($X$2:$X$1001&lt;$X353))+1,"")</f>
        <v/>
      </c>
      <c r="W353">
        <f>IF($A353="","",IF(OR($T353=TRUE(),$T353="TRUE"),1,0))</f>
        <v/>
      </c>
      <c r="X353">
        <f>IF($U353=1,IFERROR(IF(VALUE($A353)&lt;100000000,VALUE($A353),1000000000),IFERROR(IF(VALUE(MID($A353,2,20))&lt;100000000,VALUE(MID($A353,2,20)),1000000000),1000000000))+ROW()/100000,"")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IF($A354="","",E354*N354/100)</f>
        <v/>
      </c>
      <c r="J354" s="7" t="n"/>
      <c r="K354" s="7">
        <f>IF($A354="","",S354*N354)</f>
        <v/>
      </c>
      <c r="L354" s="7">
        <f>IF($A354="","",N354-K354)</f>
        <v/>
      </c>
      <c r="M354" s="7">
        <f>IF($A354="","",L354-F354)</f>
        <v/>
      </c>
      <c r="N354" s="7" t="n"/>
      <c r="Q354" s="11" t="n"/>
      <c r="S354">
        <f>IF($A354="","",IF($W354=1,Settings!$C$6,Settings!$C$7)*1)</f>
        <v/>
      </c>
      <c r="U354">
        <f>IF($A354="","",IF(COUNTIF($A$2:$A354,$A354)=1,1,0))</f>
        <v/>
      </c>
      <c r="V354">
        <f>IF($U354=1,SUMPRODUCT(--($X$2:$X$1001&lt;$X354))+1,"")</f>
        <v/>
      </c>
      <c r="W354">
        <f>IF($A354="","",IF(OR($T354=TRUE(),$T354="TRUE"),1,0))</f>
        <v/>
      </c>
      <c r="X354">
        <f>IF($U354=1,IFERROR(IF(VALUE($A354)&lt;100000000,VALUE($A354),1000000000),IFERROR(IF(VALUE(MID($A354,2,20))&lt;100000000,VALUE(MID($A354,2,20)),1000000000),1000000000))+ROW()/100000,"")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IF($A355="","",E355*N355/100)</f>
        <v/>
      </c>
      <c r="J355" s="7" t="n"/>
      <c r="K355" s="7">
        <f>IF($A355="","",S355*N355)</f>
        <v/>
      </c>
      <c r="L355" s="7">
        <f>IF($A355="","",N355-K355)</f>
        <v/>
      </c>
      <c r="M355" s="7">
        <f>IF($A355="","",L355-F355)</f>
        <v/>
      </c>
      <c r="N355" s="7" t="n"/>
      <c r="Q355" s="11" t="n"/>
      <c r="S355">
        <f>IF($A355="","",IF($W355=1,Settings!$C$6,Settings!$C$7)*1)</f>
        <v/>
      </c>
      <c r="U355">
        <f>IF($A355="","",IF(COUNTIF($A$2:$A355,$A355)=1,1,0))</f>
        <v/>
      </c>
      <c r="V355">
        <f>IF($U355=1,SUMPRODUCT(--($X$2:$X$1001&lt;$X355))+1,"")</f>
        <v/>
      </c>
      <c r="W355">
        <f>IF($A355="","",IF(OR($T355=TRUE(),$T355="TRUE"),1,0))</f>
        <v/>
      </c>
      <c r="X355">
        <f>IF($U355=1,IFERROR(IF(VALUE($A355)&lt;100000000,VALUE($A355),1000000000),IFERROR(IF(VALUE(MID($A355,2,20))&lt;100000000,VALUE(MID($A355,2,20)),1000000000),1000000000))+ROW()/100000,"")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IF($A356="","",E356*N356/100)</f>
        <v/>
      </c>
      <c r="J356" s="7" t="n"/>
      <c r="K356" s="7">
        <f>IF($A356="","",S356*N356)</f>
        <v/>
      </c>
      <c r="L356" s="7">
        <f>IF($A356="","",N356-K356)</f>
        <v/>
      </c>
      <c r="M356" s="7">
        <f>IF($A356="","",L356-F356)</f>
        <v/>
      </c>
      <c r="N356" s="7" t="n"/>
      <c r="Q356" s="11" t="n"/>
      <c r="S356">
        <f>IF($A356="","",IF($W356=1,Settings!$C$6,Settings!$C$7)*1)</f>
        <v/>
      </c>
      <c r="U356">
        <f>IF($A356="","",IF(COUNTIF($A$2:$A356,$A356)=1,1,0))</f>
        <v/>
      </c>
      <c r="V356">
        <f>IF($U356=1,SUMPRODUCT(--($X$2:$X$1001&lt;$X356))+1,"")</f>
        <v/>
      </c>
      <c r="W356">
        <f>IF($A356="","",IF(OR($T356=TRUE(),$T356="TRUE"),1,0))</f>
        <v/>
      </c>
      <c r="X356">
        <f>IF($U356=1,IFERROR(IF(VALUE($A356)&lt;100000000,VALUE($A356),1000000000),IFERROR(IF(VALUE(MID($A356,2,20))&lt;100000000,VALUE(MID($A356,2,20)),1000000000),1000000000))+ROW()/100000,"")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IF($A357="","",E357*N357/100)</f>
        <v/>
      </c>
      <c r="J357" s="7" t="n"/>
      <c r="K357" s="7">
        <f>IF($A357="","",S357*N357)</f>
        <v/>
      </c>
      <c r="L357" s="7">
        <f>IF($A357="","",N357-K357)</f>
        <v/>
      </c>
      <c r="M357" s="7">
        <f>IF($A357="","",L357-F357)</f>
        <v/>
      </c>
      <c r="N357" s="7" t="n"/>
      <c r="Q357" s="11" t="n"/>
      <c r="S357">
        <f>IF($A357="","",IF($W357=1,Settings!$C$6,Settings!$C$7)*1)</f>
        <v/>
      </c>
      <c r="U357">
        <f>IF($A357="","",IF(COUNTIF($A$2:$A357,$A357)=1,1,0))</f>
        <v/>
      </c>
      <c r="V357">
        <f>IF($U357=1,SUMPRODUCT(--($X$2:$X$1001&lt;$X357))+1,"")</f>
        <v/>
      </c>
      <c r="W357">
        <f>IF($A357="","",IF(OR($T357=TRUE(),$T357="TRUE"),1,0))</f>
        <v/>
      </c>
      <c r="X357">
        <f>IF($U357=1,IFERROR(IF(VALUE($A357)&lt;100000000,VALUE($A357),1000000000),IFERROR(IF(VALUE(MID($A357,2,20))&lt;100000000,VALUE(MID($A357,2,20)),1000000000),1000000000))+ROW()/100000,"")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IF($A358="","",E358*N358/100)</f>
        <v/>
      </c>
      <c r="J358" s="7" t="n"/>
      <c r="K358" s="7">
        <f>IF($A358="","",S358*N358)</f>
        <v/>
      </c>
      <c r="L358" s="7">
        <f>IF($A358="","",N358-K358)</f>
        <v/>
      </c>
      <c r="M358" s="7">
        <f>IF($A358="","",L358-F358)</f>
        <v/>
      </c>
      <c r="N358" s="7" t="n"/>
      <c r="Q358" s="11" t="n"/>
      <c r="S358">
        <f>IF($A358="","",IF($W358=1,Settings!$C$6,Settings!$C$7)*1)</f>
        <v/>
      </c>
      <c r="U358">
        <f>IF($A358="","",IF(COUNTIF($A$2:$A358,$A358)=1,1,0))</f>
        <v/>
      </c>
      <c r="V358">
        <f>IF($U358=1,SUMPRODUCT(--($X$2:$X$1001&lt;$X358))+1,"")</f>
        <v/>
      </c>
      <c r="W358">
        <f>IF($A358="","",IF(OR($T358=TRUE(),$T358="TRUE"),1,0))</f>
        <v/>
      </c>
      <c r="X358">
        <f>IF($U358=1,IFERROR(IF(VALUE($A358)&lt;100000000,VALUE($A358),1000000000),IFERROR(IF(VALUE(MID($A358,2,20))&lt;100000000,VALUE(MID($A358,2,20)),1000000000),1000000000))+ROW()/100000,"")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IF($A359="","",E359*N359/100)</f>
        <v/>
      </c>
      <c r="J359" s="7" t="n"/>
      <c r="K359" s="7">
        <f>IF($A359="","",S359*N359)</f>
        <v/>
      </c>
      <c r="L359" s="7">
        <f>IF($A359="","",N359-K359)</f>
        <v/>
      </c>
      <c r="M359" s="7">
        <f>IF($A359="","",L359-F359)</f>
        <v/>
      </c>
      <c r="N359" s="7" t="n"/>
      <c r="Q359" s="11" t="n"/>
      <c r="S359">
        <f>IF($A359="","",IF($W359=1,Settings!$C$6,Settings!$C$7)*1)</f>
        <v/>
      </c>
      <c r="U359">
        <f>IF($A359="","",IF(COUNTIF($A$2:$A359,$A359)=1,1,0))</f>
        <v/>
      </c>
      <c r="V359">
        <f>IF($U359=1,SUMPRODUCT(--($X$2:$X$1001&lt;$X359))+1,"")</f>
        <v/>
      </c>
      <c r="W359">
        <f>IF($A359="","",IF(OR($T359=TRUE(),$T359="TRUE"),1,0))</f>
        <v/>
      </c>
      <c r="X359">
        <f>IF($U359=1,IFERROR(IF(VALUE($A359)&lt;100000000,VALUE($A359),1000000000),IFERROR(IF(VALUE(MID($A359,2,20))&lt;100000000,VALUE(MID($A359,2,20)),1000000000),1000000000))+ROW()/100000,"")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IF($A360="","",E360*N360/100)</f>
        <v/>
      </c>
      <c r="J360" s="7" t="n"/>
      <c r="K360" s="7">
        <f>IF($A360="","",S360*N360)</f>
        <v/>
      </c>
      <c r="L360" s="7">
        <f>IF($A360="","",N360-K360)</f>
        <v/>
      </c>
      <c r="M360" s="7">
        <f>IF($A360="","",L360-F360)</f>
        <v/>
      </c>
      <c r="N360" s="7" t="n"/>
      <c r="Q360" s="11" t="n"/>
      <c r="S360">
        <f>IF($A360="","",IF($W360=1,Settings!$C$6,Settings!$C$7)*1)</f>
        <v/>
      </c>
      <c r="U360">
        <f>IF($A360="","",IF(COUNTIF($A$2:$A360,$A360)=1,1,0))</f>
        <v/>
      </c>
      <c r="V360">
        <f>IF($U360=1,SUMPRODUCT(--($X$2:$X$1001&lt;$X360))+1,"")</f>
        <v/>
      </c>
      <c r="W360">
        <f>IF($A360="","",IF(OR($T360=TRUE(),$T360="TRUE"),1,0))</f>
        <v/>
      </c>
      <c r="X360">
        <f>IF($U360=1,IFERROR(IF(VALUE($A360)&lt;100000000,VALUE($A360),1000000000),IFERROR(IF(VALUE(MID($A360,2,20))&lt;100000000,VALUE(MID($A360,2,20)),1000000000),1000000000))+ROW()/100000,"")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IF($A361="","",E361*N361/100)</f>
        <v/>
      </c>
      <c r="J361" s="7" t="n"/>
      <c r="K361" s="7">
        <f>IF($A361="","",S361*N361)</f>
        <v/>
      </c>
      <c r="L361" s="7">
        <f>IF($A361="","",N361-K361)</f>
        <v/>
      </c>
      <c r="M361" s="7">
        <f>IF($A361="","",L361-F361)</f>
        <v/>
      </c>
      <c r="N361" s="7" t="n"/>
      <c r="Q361" s="11" t="n"/>
      <c r="S361">
        <f>IF($A361="","",IF($W361=1,Settings!$C$6,Settings!$C$7)*1)</f>
        <v/>
      </c>
      <c r="U361">
        <f>IF($A361="","",IF(COUNTIF($A$2:$A361,$A361)=1,1,0))</f>
        <v/>
      </c>
      <c r="V361">
        <f>IF($U361=1,SUMPRODUCT(--($X$2:$X$1001&lt;$X361))+1,"")</f>
        <v/>
      </c>
      <c r="W361">
        <f>IF($A361="","",IF(OR($T361=TRUE(),$T361="TRUE"),1,0))</f>
        <v/>
      </c>
      <c r="X361">
        <f>IF($U361=1,IFERROR(IF(VALUE($A361)&lt;100000000,VALUE($A361),1000000000),IFERROR(IF(VALUE(MID($A361,2,20))&lt;100000000,VALUE(MID($A361,2,20)),1000000000),1000000000))+ROW()/100000,"")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IF($A362="","",E362*N362/100)</f>
        <v/>
      </c>
      <c r="J362" s="7" t="n"/>
      <c r="K362" s="7">
        <f>IF($A362="","",S362*N362)</f>
        <v/>
      </c>
      <c r="L362" s="7">
        <f>IF($A362="","",N362-K362)</f>
        <v/>
      </c>
      <c r="M362" s="7">
        <f>IF($A362="","",L362-F362)</f>
        <v/>
      </c>
      <c r="N362" s="7" t="n"/>
      <c r="Q362" s="11" t="n"/>
      <c r="S362">
        <f>IF($A362="","",IF($W362=1,Settings!$C$6,Settings!$C$7)*1)</f>
        <v/>
      </c>
      <c r="U362">
        <f>IF($A362="","",IF(COUNTIF($A$2:$A362,$A362)=1,1,0))</f>
        <v/>
      </c>
      <c r="V362">
        <f>IF($U362=1,SUMPRODUCT(--($X$2:$X$1001&lt;$X362))+1,"")</f>
        <v/>
      </c>
      <c r="W362">
        <f>IF($A362="","",IF(OR($T362=TRUE(),$T362="TRUE"),1,0))</f>
        <v/>
      </c>
      <c r="X362">
        <f>IF($U362=1,IFERROR(IF(VALUE($A362)&lt;100000000,VALUE($A362),1000000000),IFERROR(IF(VALUE(MID($A362,2,20))&lt;100000000,VALUE(MID($A362,2,20)),1000000000),1000000000))+ROW()/100000,"")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IF($A363="","",E363*N363/100)</f>
        <v/>
      </c>
      <c r="J363" s="7" t="n"/>
      <c r="K363" s="7">
        <f>IF($A363="","",S363*N363)</f>
        <v/>
      </c>
      <c r="L363" s="7">
        <f>IF($A363="","",N363-K363)</f>
        <v/>
      </c>
      <c r="M363" s="7">
        <f>IF($A363="","",L363-F363)</f>
        <v/>
      </c>
      <c r="N363" s="7" t="n"/>
      <c r="Q363" s="11" t="n"/>
      <c r="S363">
        <f>IF($A363="","",IF($W363=1,Settings!$C$6,Settings!$C$7)*1)</f>
        <v/>
      </c>
      <c r="U363">
        <f>IF($A363="","",IF(COUNTIF($A$2:$A363,$A363)=1,1,0))</f>
        <v/>
      </c>
      <c r="V363">
        <f>IF($U363=1,SUMPRODUCT(--($X$2:$X$1001&lt;$X363))+1,"")</f>
        <v/>
      </c>
      <c r="W363">
        <f>IF($A363="","",IF(OR($T363=TRUE(),$T363="TRUE"),1,0))</f>
        <v/>
      </c>
      <c r="X363">
        <f>IF($U363=1,IFERROR(IF(VALUE($A363)&lt;100000000,VALUE($A363),1000000000),IFERROR(IF(VALUE(MID($A363,2,20))&lt;100000000,VALUE(MID($A363,2,20)),1000000000),1000000000))+ROW()/100000,"")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IF($A364="","",E364*N364/100)</f>
        <v/>
      </c>
      <c r="J364" s="7" t="n"/>
      <c r="K364" s="7">
        <f>IF($A364="","",S364*N364)</f>
        <v/>
      </c>
      <c r="L364" s="7">
        <f>IF($A364="","",N364-K364)</f>
        <v/>
      </c>
      <c r="M364" s="7">
        <f>IF($A364="","",L364-F364)</f>
        <v/>
      </c>
      <c r="N364" s="7" t="n"/>
      <c r="Q364" s="11" t="n"/>
      <c r="S364">
        <f>IF($A364="","",IF($W364=1,Settings!$C$6,Settings!$C$7)*1)</f>
        <v/>
      </c>
      <c r="U364">
        <f>IF($A364="","",IF(COUNTIF($A$2:$A364,$A364)=1,1,0))</f>
        <v/>
      </c>
      <c r="V364">
        <f>IF($U364=1,SUMPRODUCT(--($X$2:$X$1001&lt;$X364))+1,"")</f>
        <v/>
      </c>
      <c r="W364">
        <f>IF($A364="","",IF(OR($T364=TRUE(),$T364="TRUE"),1,0))</f>
        <v/>
      </c>
      <c r="X364">
        <f>IF($U364=1,IFERROR(IF(VALUE($A364)&lt;100000000,VALUE($A364),1000000000),IFERROR(IF(VALUE(MID($A364,2,20))&lt;100000000,VALUE(MID($A364,2,20)),1000000000),1000000000))+ROW()/100000,"")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IF($A365="","",E365*N365/100)</f>
        <v/>
      </c>
      <c r="J365" s="7" t="n"/>
      <c r="K365" s="7">
        <f>IF($A365="","",S365*N365)</f>
        <v/>
      </c>
      <c r="L365" s="7">
        <f>IF($A365="","",N365-K365)</f>
        <v/>
      </c>
      <c r="M365" s="7">
        <f>IF($A365="","",L365-F365)</f>
        <v/>
      </c>
      <c r="N365" s="7" t="n"/>
      <c r="Q365" s="11" t="n"/>
      <c r="S365">
        <f>IF($A365="","",IF($W365=1,Settings!$C$6,Settings!$C$7)*1)</f>
        <v/>
      </c>
      <c r="U365">
        <f>IF($A365="","",IF(COUNTIF($A$2:$A365,$A365)=1,1,0))</f>
        <v/>
      </c>
      <c r="V365">
        <f>IF($U365=1,SUMPRODUCT(--($X$2:$X$1001&lt;$X365))+1,"")</f>
        <v/>
      </c>
      <c r="W365">
        <f>IF($A365="","",IF(OR($T365=TRUE(),$T365="TRUE"),1,0))</f>
        <v/>
      </c>
      <c r="X365">
        <f>IF($U365=1,IFERROR(IF(VALUE($A365)&lt;100000000,VALUE($A365),1000000000),IFERROR(IF(VALUE(MID($A365,2,20))&lt;100000000,VALUE(MID($A365,2,20)),1000000000),1000000000))+ROW()/100000,"")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IF($A366="","",E366*N366/100)</f>
        <v/>
      </c>
      <c r="J366" s="7" t="n"/>
      <c r="K366" s="7">
        <f>IF($A366="","",S366*N366)</f>
        <v/>
      </c>
      <c r="L366" s="7">
        <f>IF($A366="","",N366-K366)</f>
        <v/>
      </c>
      <c r="M366" s="7">
        <f>IF($A366="","",L366-F366)</f>
        <v/>
      </c>
      <c r="N366" s="7" t="n"/>
      <c r="Q366" s="11" t="n"/>
      <c r="S366">
        <f>IF($A366="","",IF($W366=1,Settings!$C$6,Settings!$C$7)*1)</f>
        <v/>
      </c>
      <c r="U366">
        <f>IF($A366="","",IF(COUNTIF($A$2:$A366,$A366)=1,1,0))</f>
        <v/>
      </c>
      <c r="V366">
        <f>IF($U366=1,SUMPRODUCT(--($X$2:$X$1001&lt;$X366))+1,"")</f>
        <v/>
      </c>
      <c r="W366">
        <f>IF($A366="","",IF(OR($T366=TRUE(),$T366="TRUE"),1,0))</f>
        <v/>
      </c>
      <c r="X366">
        <f>IF($U366=1,IFERROR(IF(VALUE($A366)&lt;100000000,VALUE($A366),1000000000),IFERROR(IF(VALUE(MID($A366,2,20))&lt;100000000,VALUE(MID($A366,2,20)),1000000000),1000000000))+ROW()/100000,"")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IF($A367="","",E367*N367/100)</f>
        <v/>
      </c>
      <c r="J367" s="7" t="n"/>
      <c r="K367" s="7">
        <f>IF($A367="","",S367*N367)</f>
        <v/>
      </c>
      <c r="L367" s="7">
        <f>IF($A367="","",N367-K367)</f>
        <v/>
      </c>
      <c r="M367" s="7">
        <f>IF($A367="","",L367-F367)</f>
        <v/>
      </c>
      <c r="N367" s="7" t="n"/>
      <c r="Q367" s="11" t="n"/>
      <c r="S367">
        <f>IF($A367="","",IF($W367=1,Settings!$C$6,Settings!$C$7)*1)</f>
        <v/>
      </c>
      <c r="U367">
        <f>IF($A367="","",IF(COUNTIF($A$2:$A367,$A367)=1,1,0))</f>
        <v/>
      </c>
      <c r="V367">
        <f>IF($U367=1,SUMPRODUCT(--($X$2:$X$1001&lt;$X367))+1,"")</f>
        <v/>
      </c>
      <c r="W367">
        <f>IF($A367="","",IF(OR($T367=TRUE(),$T367="TRUE"),1,0))</f>
        <v/>
      </c>
      <c r="X367">
        <f>IF($U367=1,IFERROR(IF(VALUE($A367)&lt;100000000,VALUE($A367),1000000000),IFERROR(IF(VALUE(MID($A367,2,20))&lt;100000000,VALUE(MID($A367,2,20)),1000000000),1000000000))+ROW()/100000,"")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IF($A368="","",E368*N368/100)</f>
        <v/>
      </c>
      <c r="J368" s="7" t="n"/>
      <c r="K368" s="7">
        <f>IF($A368="","",S368*N368)</f>
        <v/>
      </c>
      <c r="L368" s="7">
        <f>IF($A368="","",N368-K368)</f>
        <v/>
      </c>
      <c r="M368" s="7">
        <f>IF($A368="","",L368-F368)</f>
        <v/>
      </c>
      <c r="N368" s="7" t="n"/>
      <c r="Q368" s="11" t="n"/>
      <c r="S368">
        <f>IF($A368="","",IF($W368=1,Settings!$C$6,Settings!$C$7)*1)</f>
        <v/>
      </c>
      <c r="U368">
        <f>IF($A368="","",IF(COUNTIF($A$2:$A368,$A368)=1,1,0))</f>
        <v/>
      </c>
      <c r="V368">
        <f>IF($U368=1,SUMPRODUCT(--($X$2:$X$1001&lt;$X368))+1,"")</f>
        <v/>
      </c>
      <c r="W368">
        <f>IF($A368="","",IF(OR($T368=TRUE(),$T368="TRUE"),1,0))</f>
        <v/>
      </c>
      <c r="X368">
        <f>IF($U368=1,IFERROR(IF(VALUE($A368)&lt;100000000,VALUE($A368),1000000000),IFERROR(IF(VALUE(MID($A368,2,20))&lt;100000000,VALUE(MID($A368,2,20)),1000000000),1000000000))+ROW()/100000,"")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IF($A369="","",E369*N369/100)</f>
        <v/>
      </c>
      <c r="J369" s="7" t="n"/>
      <c r="K369" s="7">
        <f>IF($A369="","",S369*N369)</f>
        <v/>
      </c>
      <c r="L369" s="7">
        <f>IF($A369="","",N369-K369)</f>
        <v/>
      </c>
      <c r="M369" s="7">
        <f>IF($A369="","",L369-F369)</f>
        <v/>
      </c>
      <c r="N369" s="7" t="n"/>
      <c r="Q369" s="11" t="n"/>
      <c r="S369">
        <f>IF($A369="","",IF($W369=1,Settings!$C$6,Settings!$C$7)*1)</f>
        <v/>
      </c>
      <c r="U369">
        <f>IF($A369="","",IF(COUNTIF($A$2:$A369,$A369)=1,1,0))</f>
        <v/>
      </c>
      <c r="V369">
        <f>IF($U369=1,SUMPRODUCT(--($X$2:$X$1001&lt;$X369))+1,"")</f>
        <v/>
      </c>
      <c r="W369">
        <f>IF($A369="","",IF(OR($T369=TRUE(),$T369="TRUE"),1,0))</f>
        <v/>
      </c>
      <c r="X369">
        <f>IF($U369=1,IFERROR(IF(VALUE($A369)&lt;100000000,VALUE($A369),1000000000),IFERROR(IF(VALUE(MID($A369,2,20))&lt;100000000,VALUE(MID($A369,2,20)),1000000000),1000000000))+ROW()/100000,"")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IF($A370="","",E370*N370/100)</f>
        <v/>
      </c>
      <c r="J370" s="7" t="n"/>
      <c r="K370" s="7">
        <f>IF($A370="","",S370*N370)</f>
        <v/>
      </c>
      <c r="L370" s="7">
        <f>IF($A370="","",N370-K370)</f>
        <v/>
      </c>
      <c r="M370" s="7">
        <f>IF($A370="","",L370-F370)</f>
        <v/>
      </c>
      <c r="N370" s="7" t="n"/>
      <c r="Q370" s="11" t="n"/>
      <c r="S370">
        <f>IF($A370="","",IF($W370=1,Settings!$C$6,Settings!$C$7)*1)</f>
        <v/>
      </c>
      <c r="U370">
        <f>IF($A370="","",IF(COUNTIF($A$2:$A370,$A370)=1,1,0))</f>
        <v/>
      </c>
      <c r="V370">
        <f>IF($U370=1,SUMPRODUCT(--($X$2:$X$1001&lt;$X370))+1,"")</f>
        <v/>
      </c>
      <c r="W370">
        <f>IF($A370="","",IF(OR($T370=TRUE(),$T370="TRUE"),1,0))</f>
        <v/>
      </c>
      <c r="X370">
        <f>IF($U370=1,IFERROR(IF(VALUE($A370)&lt;100000000,VALUE($A370),1000000000),IFERROR(IF(VALUE(MID($A370,2,20))&lt;100000000,VALUE(MID($A370,2,20)),1000000000),1000000000))+ROW()/100000,"")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IF($A371="","",E371*N371/100)</f>
        <v/>
      </c>
      <c r="J371" s="7" t="n"/>
      <c r="K371" s="7">
        <f>IF($A371="","",S371*N371)</f>
        <v/>
      </c>
      <c r="L371" s="7">
        <f>IF($A371="","",N371-K371)</f>
        <v/>
      </c>
      <c r="M371" s="7">
        <f>IF($A371="","",L371-F371)</f>
        <v/>
      </c>
      <c r="N371" s="7" t="n"/>
      <c r="Q371" s="11" t="n"/>
      <c r="S371">
        <f>IF($A371="","",IF($W371=1,Settings!$C$6,Settings!$C$7)*1)</f>
        <v/>
      </c>
      <c r="U371">
        <f>IF($A371="","",IF(COUNTIF($A$2:$A371,$A371)=1,1,0))</f>
        <v/>
      </c>
      <c r="V371">
        <f>IF($U371=1,SUMPRODUCT(--($X$2:$X$1001&lt;$X371))+1,"")</f>
        <v/>
      </c>
      <c r="W371">
        <f>IF($A371="","",IF(OR($T371=TRUE(),$T371="TRUE"),1,0))</f>
        <v/>
      </c>
      <c r="X371">
        <f>IF($U371=1,IFERROR(IF(VALUE($A371)&lt;100000000,VALUE($A371),1000000000),IFERROR(IF(VALUE(MID($A371,2,20))&lt;100000000,VALUE(MID($A371,2,20)),1000000000),1000000000))+ROW()/100000,"")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IF($A372="","",E372*N372/100)</f>
        <v/>
      </c>
      <c r="J372" s="7" t="n"/>
      <c r="K372" s="7">
        <f>IF($A372="","",S372*N372)</f>
        <v/>
      </c>
      <c r="L372" s="7">
        <f>IF($A372="","",N372-K372)</f>
        <v/>
      </c>
      <c r="M372" s="7">
        <f>IF($A372="","",L372-F372)</f>
        <v/>
      </c>
      <c r="N372" s="7" t="n"/>
      <c r="Q372" s="11" t="n"/>
      <c r="S372">
        <f>IF($A372="","",IF($W372=1,Settings!$C$6,Settings!$C$7)*1)</f>
        <v/>
      </c>
      <c r="U372">
        <f>IF($A372="","",IF(COUNTIF($A$2:$A372,$A372)=1,1,0))</f>
        <v/>
      </c>
      <c r="V372">
        <f>IF($U372=1,SUMPRODUCT(--($X$2:$X$1001&lt;$X372))+1,"")</f>
        <v/>
      </c>
      <c r="W372">
        <f>IF($A372="","",IF(OR($T372=TRUE(),$T372="TRUE"),1,0))</f>
        <v/>
      </c>
      <c r="X372">
        <f>IF($U372=1,IFERROR(IF(VALUE($A372)&lt;100000000,VALUE($A372),1000000000),IFERROR(IF(VALUE(MID($A372,2,20))&lt;100000000,VALUE(MID($A372,2,20)),1000000000),1000000000))+ROW()/100000,"")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IF($A373="","",E373*N373/100)</f>
        <v/>
      </c>
      <c r="J373" s="7" t="n"/>
      <c r="K373" s="7">
        <f>IF($A373="","",S373*N373)</f>
        <v/>
      </c>
      <c r="L373" s="7">
        <f>IF($A373="","",N373-K373)</f>
        <v/>
      </c>
      <c r="M373" s="7">
        <f>IF($A373="","",L373-F373)</f>
        <v/>
      </c>
      <c r="N373" s="7" t="n"/>
      <c r="Q373" s="11" t="n"/>
      <c r="S373">
        <f>IF($A373="","",IF($W373=1,Settings!$C$6,Settings!$C$7)*1)</f>
        <v/>
      </c>
      <c r="U373">
        <f>IF($A373="","",IF(COUNTIF($A$2:$A373,$A373)=1,1,0))</f>
        <v/>
      </c>
      <c r="V373">
        <f>IF($U373=1,SUMPRODUCT(--($X$2:$X$1001&lt;$X373))+1,"")</f>
        <v/>
      </c>
      <c r="W373">
        <f>IF($A373="","",IF(OR($T373=TRUE(),$T373="TRUE"),1,0))</f>
        <v/>
      </c>
      <c r="X373">
        <f>IF($U373=1,IFERROR(IF(VALUE($A373)&lt;100000000,VALUE($A373),1000000000),IFERROR(IF(VALUE(MID($A373,2,20))&lt;100000000,VALUE(MID($A373,2,20)),1000000000),1000000000))+ROW()/100000,"")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IF($A374="","",E374*N374/100)</f>
        <v/>
      </c>
      <c r="J374" s="7" t="n"/>
      <c r="K374" s="7">
        <f>IF($A374="","",S374*N374)</f>
        <v/>
      </c>
      <c r="L374" s="7">
        <f>IF($A374="","",N374-K374)</f>
        <v/>
      </c>
      <c r="M374" s="7">
        <f>IF($A374="","",L374-F374)</f>
        <v/>
      </c>
      <c r="N374" s="7" t="n"/>
      <c r="Q374" s="11" t="n"/>
      <c r="S374">
        <f>IF($A374="","",IF($W374=1,Settings!$C$6,Settings!$C$7)*1)</f>
        <v/>
      </c>
      <c r="U374">
        <f>IF($A374="","",IF(COUNTIF($A$2:$A374,$A374)=1,1,0))</f>
        <v/>
      </c>
      <c r="V374">
        <f>IF($U374=1,SUMPRODUCT(--($X$2:$X$1001&lt;$X374))+1,"")</f>
        <v/>
      </c>
      <c r="W374">
        <f>IF($A374="","",IF(OR($T374=TRUE(),$T374="TRUE"),1,0))</f>
        <v/>
      </c>
      <c r="X374">
        <f>IF($U374=1,IFERROR(IF(VALUE($A374)&lt;100000000,VALUE($A374),1000000000),IFERROR(IF(VALUE(MID($A374,2,20))&lt;100000000,VALUE(MID($A374,2,20)),1000000000),1000000000))+ROW()/100000,"")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IF($A375="","",E375*N375/100)</f>
        <v/>
      </c>
      <c r="J375" s="7" t="n"/>
      <c r="K375" s="7">
        <f>IF($A375="","",S375*N375)</f>
        <v/>
      </c>
      <c r="L375" s="7">
        <f>IF($A375="","",N375-K375)</f>
        <v/>
      </c>
      <c r="M375" s="7">
        <f>IF($A375="","",L375-F375)</f>
        <v/>
      </c>
      <c r="N375" s="7" t="n"/>
      <c r="Q375" s="11" t="n"/>
      <c r="S375">
        <f>IF($A375="","",IF($W375=1,Settings!$C$6,Settings!$C$7)*1)</f>
        <v/>
      </c>
      <c r="U375">
        <f>IF($A375="","",IF(COUNTIF($A$2:$A375,$A375)=1,1,0))</f>
        <v/>
      </c>
      <c r="V375">
        <f>IF($U375=1,SUMPRODUCT(--($X$2:$X$1001&lt;$X375))+1,"")</f>
        <v/>
      </c>
      <c r="W375">
        <f>IF($A375="","",IF(OR($T375=TRUE(),$T375="TRUE"),1,0))</f>
        <v/>
      </c>
      <c r="X375">
        <f>IF($U375=1,IFERROR(IF(VALUE($A375)&lt;100000000,VALUE($A375),1000000000),IFERROR(IF(VALUE(MID($A375,2,20))&lt;100000000,VALUE(MID($A375,2,20)),1000000000),1000000000))+ROW()/100000,"")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IF($A376="","",E376*N376/100)</f>
        <v/>
      </c>
      <c r="J376" s="7" t="n"/>
      <c r="K376" s="7">
        <f>IF($A376="","",S376*N376)</f>
        <v/>
      </c>
      <c r="L376" s="7">
        <f>IF($A376="","",N376-K376)</f>
        <v/>
      </c>
      <c r="M376" s="7">
        <f>IF($A376="","",L376-F376)</f>
        <v/>
      </c>
      <c r="N376" s="7" t="n"/>
      <c r="Q376" s="11" t="n"/>
      <c r="S376">
        <f>IF($A376="","",IF($W376=1,Settings!$C$6,Settings!$C$7)*1)</f>
        <v/>
      </c>
      <c r="U376">
        <f>IF($A376="","",IF(COUNTIF($A$2:$A376,$A376)=1,1,0))</f>
        <v/>
      </c>
      <c r="V376">
        <f>IF($U376=1,SUMPRODUCT(--($X$2:$X$1001&lt;$X376))+1,"")</f>
        <v/>
      </c>
      <c r="W376">
        <f>IF($A376="","",IF(OR($T376=TRUE(),$T376="TRUE"),1,0))</f>
        <v/>
      </c>
      <c r="X376">
        <f>IF($U376=1,IFERROR(IF(VALUE($A376)&lt;100000000,VALUE($A376),1000000000),IFERROR(IF(VALUE(MID($A376,2,20))&lt;100000000,VALUE(MID($A376,2,20)),1000000000),1000000000))+ROW()/100000,"")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IF($A377="","",E377*N377/100)</f>
        <v/>
      </c>
      <c r="J377" s="7" t="n"/>
      <c r="K377" s="7">
        <f>IF($A377="","",S377*N377)</f>
        <v/>
      </c>
      <c r="L377" s="7">
        <f>IF($A377="","",N377-K377)</f>
        <v/>
      </c>
      <c r="M377" s="7">
        <f>IF($A377="","",L377-F377)</f>
        <v/>
      </c>
      <c r="N377" s="7" t="n"/>
      <c r="Q377" s="11" t="n"/>
      <c r="S377">
        <f>IF($A377="","",IF($W377=1,Settings!$C$6,Settings!$C$7)*1)</f>
        <v/>
      </c>
      <c r="U377">
        <f>IF($A377="","",IF(COUNTIF($A$2:$A377,$A377)=1,1,0))</f>
        <v/>
      </c>
      <c r="V377">
        <f>IF($U377=1,SUMPRODUCT(--($X$2:$X$1001&lt;$X377))+1,"")</f>
        <v/>
      </c>
      <c r="W377">
        <f>IF($A377="","",IF(OR($T377=TRUE(),$T377="TRUE"),1,0))</f>
        <v/>
      </c>
      <c r="X377">
        <f>IF($U377=1,IFERROR(IF(VALUE($A377)&lt;100000000,VALUE($A377),1000000000),IFERROR(IF(VALUE(MID($A377,2,20))&lt;100000000,VALUE(MID($A377,2,20)),1000000000),1000000000))+ROW()/100000,"")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IF($A378="","",E378*N378/100)</f>
        <v/>
      </c>
      <c r="J378" s="7" t="n"/>
      <c r="K378" s="7">
        <f>IF($A378="","",S378*N378)</f>
        <v/>
      </c>
      <c r="L378" s="7">
        <f>IF($A378="","",N378-K378)</f>
        <v/>
      </c>
      <c r="M378" s="7">
        <f>IF($A378="","",L378-F378)</f>
        <v/>
      </c>
      <c r="N378" s="7" t="n"/>
      <c r="Q378" s="11" t="n"/>
      <c r="S378">
        <f>IF($A378="","",IF($W378=1,Settings!$C$6,Settings!$C$7)*1)</f>
        <v/>
      </c>
      <c r="U378">
        <f>IF($A378="","",IF(COUNTIF($A$2:$A378,$A378)=1,1,0))</f>
        <v/>
      </c>
      <c r="V378">
        <f>IF($U378=1,SUMPRODUCT(--($X$2:$X$1001&lt;$X378))+1,"")</f>
        <v/>
      </c>
      <c r="W378">
        <f>IF($A378="","",IF(OR($T378=TRUE(),$T378="TRUE"),1,0))</f>
        <v/>
      </c>
      <c r="X378">
        <f>IF($U378=1,IFERROR(IF(VALUE($A378)&lt;100000000,VALUE($A378),1000000000),IFERROR(IF(VALUE(MID($A378,2,20))&lt;100000000,VALUE(MID($A378,2,20)),1000000000),1000000000))+ROW()/100000,"")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IF($A379="","",E379*N379/100)</f>
        <v/>
      </c>
      <c r="J379" s="7" t="n"/>
      <c r="K379" s="7">
        <f>IF($A379="","",S379*N379)</f>
        <v/>
      </c>
      <c r="L379" s="7">
        <f>IF($A379="","",N379-K379)</f>
        <v/>
      </c>
      <c r="M379" s="7">
        <f>IF($A379="","",L379-F379)</f>
        <v/>
      </c>
      <c r="N379" s="7" t="n"/>
      <c r="Q379" s="11" t="n"/>
      <c r="S379">
        <f>IF($A379="","",IF($W379=1,Settings!$C$6,Settings!$C$7)*1)</f>
        <v/>
      </c>
      <c r="U379">
        <f>IF($A379="","",IF(COUNTIF($A$2:$A379,$A379)=1,1,0))</f>
        <v/>
      </c>
      <c r="V379">
        <f>IF($U379=1,SUMPRODUCT(--($X$2:$X$1001&lt;$X379))+1,"")</f>
        <v/>
      </c>
      <c r="W379">
        <f>IF($A379="","",IF(OR($T379=TRUE(),$T379="TRUE"),1,0))</f>
        <v/>
      </c>
      <c r="X379">
        <f>IF($U379=1,IFERROR(IF(VALUE($A379)&lt;100000000,VALUE($A379),1000000000),IFERROR(IF(VALUE(MID($A379,2,20))&lt;100000000,VALUE(MID($A379,2,20)),1000000000),1000000000))+ROW()/100000,"")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IF($A380="","",E380*N380/100)</f>
        <v/>
      </c>
      <c r="J380" s="7" t="n"/>
      <c r="K380" s="7">
        <f>IF($A380="","",S380*N380)</f>
        <v/>
      </c>
      <c r="L380" s="7">
        <f>IF($A380="","",N380-K380)</f>
        <v/>
      </c>
      <c r="M380" s="7">
        <f>IF($A380="","",L380-F380)</f>
        <v/>
      </c>
      <c r="N380" s="7" t="n"/>
      <c r="Q380" s="11" t="n"/>
      <c r="S380">
        <f>IF($A380="","",IF($W380=1,Settings!$C$6,Settings!$C$7)*1)</f>
        <v/>
      </c>
      <c r="U380">
        <f>IF($A380="","",IF(COUNTIF($A$2:$A380,$A380)=1,1,0))</f>
        <v/>
      </c>
      <c r="V380">
        <f>IF($U380=1,SUMPRODUCT(--($X$2:$X$1001&lt;$X380))+1,"")</f>
        <v/>
      </c>
      <c r="W380">
        <f>IF($A380="","",IF(OR($T380=TRUE(),$T380="TRUE"),1,0))</f>
        <v/>
      </c>
      <c r="X380">
        <f>IF($U380=1,IFERROR(IF(VALUE($A380)&lt;100000000,VALUE($A380),1000000000),IFERROR(IF(VALUE(MID($A380,2,20))&lt;100000000,VALUE(MID($A380,2,20)),1000000000),1000000000))+ROW()/100000,"")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IF($A381="","",E381*N381/100)</f>
        <v/>
      </c>
      <c r="J381" s="7" t="n"/>
      <c r="K381" s="7">
        <f>IF($A381="","",S381*N381)</f>
        <v/>
      </c>
      <c r="L381" s="7">
        <f>IF($A381="","",N381-K381)</f>
        <v/>
      </c>
      <c r="M381" s="7">
        <f>IF($A381="","",L381-F381)</f>
        <v/>
      </c>
      <c r="N381" s="7" t="n"/>
      <c r="Q381" s="11" t="n"/>
      <c r="S381">
        <f>IF($A381="","",IF($W381=1,Settings!$C$6,Settings!$C$7)*1)</f>
        <v/>
      </c>
      <c r="U381">
        <f>IF($A381="","",IF(COUNTIF($A$2:$A381,$A381)=1,1,0))</f>
        <v/>
      </c>
      <c r="V381">
        <f>IF($U381=1,SUMPRODUCT(--($X$2:$X$1001&lt;$X381))+1,"")</f>
        <v/>
      </c>
      <c r="W381">
        <f>IF($A381="","",IF(OR($T381=TRUE(),$T381="TRUE"),1,0))</f>
        <v/>
      </c>
      <c r="X381">
        <f>IF($U381=1,IFERROR(IF(VALUE($A381)&lt;100000000,VALUE($A381),1000000000),IFERROR(IF(VALUE(MID($A381,2,20))&lt;100000000,VALUE(MID($A381,2,20)),1000000000),1000000000))+ROW()/100000,"")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IF($A382="","",E382*N382/100)</f>
        <v/>
      </c>
      <c r="J382" s="7" t="n"/>
      <c r="K382" s="7">
        <f>IF($A382="","",S382*N382)</f>
        <v/>
      </c>
      <c r="L382" s="7">
        <f>IF($A382="","",N382-K382)</f>
        <v/>
      </c>
      <c r="M382" s="7">
        <f>IF($A382="","",L382-F382)</f>
        <v/>
      </c>
      <c r="N382" s="7" t="n"/>
      <c r="Q382" s="11" t="n"/>
      <c r="S382">
        <f>IF($A382="","",IF($W382=1,Settings!$C$6,Settings!$C$7)*1)</f>
        <v/>
      </c>
      <c r="U382">
        <f>IF($A382="","",IF(COUNTIF($A$2:$A382,$A382)=1,1,0))</f>
        <v/>
      </c>
      <c r="V382">
        <f>IF($U382=1,SUMPRODUCT(--($X$2:$X$1001&lt;$X382))+1,"")</f>
        <v/>
      </c>
      <c r="W382">
        <f>IF($A382="","",IF(OR($T382=TRUE(),$T382="TRUE"),1,0))</f>
        <v/>
      </c>
      <c r="X382">
        <f>IF($U382=1,IFERROR(IF(VALUE($A382)&lt;100000000,VALUE($A382),1000000000),IFERROR(IF(VALUE(MID($A382,2,20))&lt;100000000,VALUE(MID($A382,2,20)),1000000000),1000000000))+ROW()/100000,"")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IF($A383="","",E383*N383/100)</f>
        <v/>
      </c>
      <c r="J383" s="7" t="n"/>
      <c r="K383" s="7">
        <f>IF($A383="","",S383*N383)</f>
        <v/>
      </c>
      <c r="L383" s="7">
        <f>IF($A383="","",N383-K383)</f>
        <v/>
      </c>
      <c r="M383" s="7">
        <f>IF($A383="","",L383-F383)</f>
        <v/>
      </c>
      <c r="N383" s="7" t="n"/>
      <c r="Q383" s="11" t="n"/>
      <c r="S383">
        <f>IF($A383="","",IF($W383=1,Settings!$C$6,Settings!$C$7)*1)</f>
        <v/>
      </c>
      <c r="U383">
        <f>IF($A383="","",IF(COUNTIF($A$2:$A383,$A383)=1,1,0))</f>
        <v/>
      </c>
      <c r="V383">
        <f>IF($U383=1,SUMPRODUCT(--($X$2:$X$1001&lt;$X383))+1,"")</f>
        <v/>
      </c>
      <c r="W383">
        <f>IF($A383="","",IF(OR($T383=TRUE(),$T383="TRUE"),1,0))</f>
        <v/>
      </c>
      <c r="X383">
        <f>IF($U383=1,IFERROR(IF(VALUE($A383)&lt;100000000,VALUE($A383),1000000000),IFERROR(IF(VALUE(MID($A383,2,20))&lt;100000000,VALUE(MID($A383,2,20)),1000000000),1000000000))+ROW()/100000,"")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IF($A384="","",E384*N384/100)</f>
        <v/>
      </c>
      <c r="J384" s="7" t="n"/>
      <c r="K384" s="7">
        <f>IF($A384="","",S384*N384)</f>
        <v/>
      </c>
      <c r="L384" s="7">
        <f>IF($A384="","",N384-K384)</f>
        <v/>
      </c>
      <c r="M384" s="7">
        <f>IF($A384="","",L384-F384)</f>
        <v/>
      </c>
      <c r="N384" s="7" t="n"/>
      <c r="Q384" s="11" t="n"/>
      <c r="S384">
        <f>IF($A384="","",IF($W384=1,Settings!$C$6,Settings!$C$7)*1)</f>
        <v/>
      </c>
      <c r="U384">
        <f>IF($A384="","",IF(COUNTIF($A$2:$A384,$A384)=1,1,0))</f>
        <v/>
      </c>
      <c r="V384">
        <f>IF($U384=1,SUMPRODUCT(--($X$2:$X$1001&lt;$X384))+1,"")</f>
        <v/>
      </c>
      <c r="W384">
        <f>IF($A384="","",IF(OR($T384=TRUE(),$T384="TRUE"),1,0))</f>
        <v/>
      </c>
      <c r="X384">
        <f>IF($U384=1,IFERROR(IF(VALUE($A384)&lt;100000000,VALUE($A384),1000000000),IFERROR(IF(VALUE(MID($A384,2,20))&lt;100000000,VALUE(MID($A384,2,20)),1000000000),1000000000))+ROW()/100000,"")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IF($A385="","",E385*N385/100)</f>
        <v/>
      </c>
      <c r="J385" s="7" t="n"/>
      <c r="K385" s="7">
        <f>IF($A385="","",S385*N385)</f>
        <v/>
      </c>
      <c r="L385" s="7">
        <f>IF($A385="","",N385-K385)</f>
        <v/>
      </c>
      <c r="M385" s="7">
        <f>IF($A385="","",L385-F385)</f>
        <v/>
      </c>
      <c r="N385" s="7" t="n"/>
      <c r="Q385" s="11" t="n"/>
      <c r="S385">
        <f>IF($A385="","",IF($W385=1,Settings!$C$6,Settings!$C$7)*1)</f>
        <v/>
      </c>
      <c r="U385">
        <f>IF($A385="","",IF(COUNTIF($A$2:$A385,$A385)=1,1,0))</f>
        <v/>
      </c>
      <c r="V385">
        <f>IF($U385=1,SUMPRODUCT(--($X$2:$X$1001&lt;$X385))+1,"")</f>
        <v/>
      </c>
      <c r="W385">
        <f>IF($A385="","",IF(OR($T385=TRUE(),$T385="TRUE"),1,0))</f>
        <v/>
      </c>
      <c r="X385">
        <f>IF($U385=1,IFERROR(IF(VALUE($A385)&lt;100000000,VALUE($A385),1000000000),IFERROR(IF(VALUE(MID($A385,2,20))&lt;100000000,VALUE(MID($A385,2,20)),1000000000),1000000000))+ROW()/100000,"")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IF($A386="","",E386*N386/100)</f>
        <v/>
      </c>
      <c r="J386" s="7" t="n"/>
      <c r="K386" s="7">
        <f>IF($A386="","",S386*N386)</f>
        <v/>
      </c>
      <c r="L386" s="7">
        <f>IF($A386="","",N386-K386)</f>
        <v/>
      </c>
      <c r="M386" s="7">
        <f>IF($A386="","",L386-F386)</f>
        <v/>
      </c>
      <c r="N386" s="7" t="n"/>
      <c r="Q386" s="11" t="n"/>
      <c r="S386">
        <f>IF($A386="","",IF($W386=1,Settings!$C$6,Settings!$C$7)*1)</f>
        <v/>
      </c>
      <c r="U386">
        <f>IF($A386="","",IF(COUNTIF($A$2:$A386,$A386)=1,1,0))</f>
        <v/>
      </c>
      <c r="V386">
        <f>IF($U386=1,SUMPRODUCT(--($X$2:$X$1001&lt;$X386))+1,"")</f>
        <v/>
      </c>
      <c r="W386">
        <f>IF($A386="","",IF(OR($T386=TRUE(),$T386="TRUE"),1,0))</f>
        <v/>
      </c>
      <c r="X386">
        <f>IF($U386=1,IFERROR(IF(VALUE($A386)&lt;100000000,VALUE($A386),1000000000),IFERROR(IF(VALUE(MID($A386,2,20))&lt;100000000,VALUE(MID($A386,2,20)),1000000000),1000000000))+ROW()/100000,"")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IF($A387="","",E387*N387/100)</f>
        <v/>
      </c>
      <c r="J387" s="7" t="n"/>
      <c r="K387" s="7">
        <f>IF($A387="","",S387*N387)</f>
        <v/>
      </c>
      <c r="L387" s="7">
        <f>IF($A387="","",N387-K387)</f>
        <v/>
      </c>
      <c r="M387" s="7">
        <f>IF($A387="","",L387-F387)</f>
        <v/>
      </c>
      <c r="N387" s="7" t="n"/>
      <c r="Q387" s="11" t="n"/>
      <c r="S387">
        <f>IF($A387="","",IF($W387=1,Settings!$C$6,Settings!$C$7)*1)</f>
        <v/>
      </c>
      <c r="U387">
        <f>IF($A387="","",IF(COUNTIF($A$2:$A387,$A387)=1,1,0))</f>
        <v/>
      </c>
      <c r="V387">
        <f>IF($U387=1,SUMPRODUCT(--($X$2:$X$1001&lt;$X387))+1,"")</f>
        <v/>
      </c>
      <c r="W387">
        <f>IF($A387="","",IF(OR($T387=TRUE(),$T387="TRUE"),1,0))</f>
        <v/>
      </c>
      <c r="X387">
        <f>IF($U387=1,IFERROR(IF(VALUE($A387)&lt;100000000,VALUE($A387),1000000000),IFERROR(IF(VALUE(MID($A387,2,20))&lt;100000000,VALUE(MID($A387,2,20)),1000000000),1000000000))+ROW()/100000,"")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IF($A388="","",E388*N388/100)</f>
        <v/>
      </c>
      <c r="J388" s="7" t="n"/>
      <c r="K388" s="7">
        <f>IF($A388="","",S388*N388)</f>
        <v/>
      </c>
      <c r="L388" s="7">
        <f>IF($A388="","",N388-K388)</f>
        <v/>
      </c>
      <c r="M388" s="7">
        <f>IF($A388="","",L388-F388)</f>
        <v/>
      </c>
      <c r="N388" s="7" t="n"/>
      <c r="Q388" s="11" t="n"/>
      <c r="S388">
        <f>IF($A388="","",IF($W388=1,Settings!$C$6,Settings!$C$7)*1)</f>
        <v/>
      </c>
      <c r="U388">
        <f>IF($A388="","",IF(COUNTIF($A$2:$A388,$A388)=1,1,0))</f>
        <v/>
      </c>
      <c r="V388">
        <f>IF($U388=1,SUMPRODUCT(--($X$2:$X$1001&lt;$X388))+1,"")</f>
        <v/>
      </c>
      <c r="W388">
        <f>IF($A388="","",IF(OR($T388=TRUE(),$T388="TRUE"),1,0))</f>
        <v/>
      </c>
      <c r="X388">
        <f>IF($U388=1,IFERROR(IF(VALUE($A388)&lt;100000000,VALUE($A388),1000000000),IFERROR(IF(VALUE(MID($A388,2,20))&lt;100000000,VALUE(MID($A388,2,20)),1000000000),1000000000))+ROW()/100000,"")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IF($A389="","",E389*N389/100)</f>
        <v/>
      </c>
      <c r="J389" s="7" t="n"/>
      <c r="K389" s="7">
        <f>IF($A389="","",S389*N389)</f>
        <v/>
      </c>
      <c r="L389" s="7">
        <f>IF($A389="","",N389-K389)</f>
        <v/>
      </c>
      <c r="M389" s="7">
        <f>IF($A389="","",L389-F389)</f>
        <v/>
      </c>
      <c r="N389" s="7" t="n"/>
      <c r="Q389" s="11" t="n"/>
      <c r="S389">
        <f>IF($A389="","",IF($W389=1,Settings!$C$6,Settings!$C$7)*1)</f>
        <v/>
      </c>
      <c r="U389">
        <f>IF($A389="","",IF(COUNTIF($A$2:$A389,$A389)=1,1,0))</f>
        <v/>
      </c>
      <c r="V389">
        <f>IF($U389=1,SUMPRODUCT(--($X$2:$X$1001&lt;$X389))+1,"")</f>
        <v/>
      </c>
      <c r="W389">
        <f>IF($A389="","",IF(OR($T389=TRUE(),$T389="TRUE"),1,0))</f>
        <v/>
      </c>
      <c r="X389">
        <f>IF($U389=1,IFERROR(IF(VALUE($A389)&lt;100000000,VALUE($A389),1000000000),IFERROR(IF(VALUE(MID($A389,2,20))&lt;100000000,VALUE(MID($A389,2,20)),1000000000),1000000000))+ROW()/100000,"")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IF($A390="","",E390*N390/100)</f>
        <v/>
      </c>
      <c r="J390" s="7" t="n"/>
      <c r="K390" s="7">
        <f>IF($A390="","",S390*N390)</f>
        <v/>
      </c>
      <c r="L390" s="7">
        <f>IF($A390="","",N390-K390)</f>
        <v/>
      </c>
      <c r="M390" s="7">
        <f>IF($A390="","",L390-F390)</f>
        <v/>
      </c>
      <c r="N390" s="7" t="n"/>
      <c r="Q390" s="11" t="n"/>
      <c r="S390">
        <f>IF($A390="","",IF($W390=1,Settings!$C$6,Settings!$C$7)*1)</f>
        <v/>
      </c>
      <c r="U390">
        <f>IF($A390="","",IF(COUNTIF($A$2:$A390,$A390)=1,1,0))</f>
        <v/>
      </c>
      <c r="V390">
        <f>IF($U390=1,SUMPRODUCT(--($X$2:$X$1001&lt;$X390))+1,"")</f>
        <v/>
      </c>
      <c r="W390">
        <f>IF($A390="","",IF(OR($T390=TRUE(),$T390="TRUE"),1,0))</f>
        <v/>
      </c>
      <c r="X390">
        <f>IF($U390=1,IFERROR(IF(VALUE($A390)&lt;100000000,VALUE($A390),1000000000),IFERROR(IF(VALUE(MID($A390,2,20))&lt;100000000,VALUE(MID($A390,2,20)),1000000000),1000000000))+ROW()/100000,"")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IF($A391="","",E391*N391/100)</f>
        <v/>
      </c>
      <c r="J391" s="7" t="n"/>
      <c r="K391" s="7">
        <f>IF($A391="","",S391*N391)</f>
        <v/>
      </c>
      <c r="L391" s="7">
        <f>IF($A391="","",N391-K391)</f>
        <v/>
      </c>
      <c r="M391" s="7">
        <f>IF($A391="","",L391-F391)</f>
        <v/>
      </c>
      <c r="N391" s="7" t="n"/>
      <c r="Q391" s="11" t="n"/>
      <c r="S391">
        <f>IF($A391="","",IF($W391=1,Settings!$C$6,Settings!$C$7)*1)</f>
        <v/>
      </c>
      <c r="U391">
        <f>IF($A391="","",IF(COUNTIF($A$2:$A391,$A391)=1,1,0))</f>
        <v/>
      </c>
      <c r="V391">
        <f>IF($U391=1,SUMPRODUCT(--($X$2:$X$1001&lt;$X391))+1,"")</f>
        <v/>
      </c>
      <c r="W391">
        <f>IF($A391="","",IF(OR($T391=TRUE(),$T391="TRUE"),1,0))</f>
        <v/>
      </c>
      <c r="X391">
        <f>IF($U391=1,IFERROR(IF(VALUE($A391)&lt;100000000,VALUE($A391),1000000000),IFERROR(IF(VALUE(MID($A391,2,20))&lt;100000000,VALUE(MID($A391,2,20)),1000000000),1000000000))+ROW()/100000,"")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IF($A392="","",E392*N392/100)</f>
        <v/>
      </c>
      <c r="J392" s="7" t="n"/>
      <c r="K392" s="7">
        <f>IF($A392="","",S392*N392)</f>
        <v/>
      </c>
      <c r="L392" s="7">
        <f>IF($A392="","",N392-K392)</f>
        <v/>
      </c>
      <c r="M392" s="7">
        <f>IF($A392="","",L392-F392)</f>
        <v/>
      </c>
      <c r="N392" s="7" t="n"/>
      <c r="Q392" s="11" t="n"/>
      <c r="S392">
        <f>IF($A392="","",IF($W392=1,Settings!$C$6,Settings!$C$7)*1)</f>
        <v/>
      </c>
      <c r="U392">
        <f>IF($A392="","",IF(COUNTIF($A$2:$A392,$A392)=1,1,0))</f>
        <v/>
      </c>
      <c r="V392">
        <f>IF($U392=1,SUMPRODUCT(--($X$2:$X$1001&lt;$X392))+1,"")</f>
        <v/>
      </c>
      <c r="W392">
        <f>IF($A392="","",IF(OR($T392=TRUE(),$T392="TRUE"),1,0))</f>
        <v/>
      </c>
      <c r="X392">
        <f>IF($U392=1,IFERROR(IF(VALUE($A392)&lt;100000000,VALUE($A392),1000000000),IFERROR(IF(VALUE(MID($A392,2,20))&lt;100000000,VALUE(MID($A392,2,20)),1000000000),1000000000))+ROW()/100000,"")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IF($A393="","",E393*N393/100)</f>
        <v/>
      </c>
      <c r="J393" s="7" t="n"/>
      <c r="K393" s="7">
        <f>IF($A393="","",S393*N393)</f>
        <v/>
      </c>
      <c r="L393" s="7">
        <f>IF($A393="","",N393-K393)</f>
        <v/>
      </c>
      <c r="M393" s="7">
        <f>IF($A393="","",L393-F393)</f>
        <v/>
      </c>
      <c r="N393" s="7" t="n"/>
      <c r="Q393" s="11" t="n"/>
      <c r="S393">
        <f>IF($A393="","",IF($W393=1,Settings!$C$6,Settings!$C$7)*1)</f>
        <v/>
      </c>
      <c r="U393">
        <f>IF($A393="","",IF(COUNTIF($A$2:$A393,$A393)=1,1,0))</f>
        <v/>
      </c>
      <c r="V393">
        <f>IF($U393=1,SUMPRODUCT(--($X$2:$X$1001&lt;$X393))+1,"")</f>
        <v/>
      </c>
      <c r="W393">
        <f>IF($A393="","",IF(OR($T393=TRUE(),$T393="TRUE"),1,0))</f>
        <v/>
      </c>
      <c r="X393">
        <f>IF($U393=1,IFERROR(IF(VALUE($A393)&lt;100000000,VALUE($A393),1000000000),IFERROR(IF(VALUE(MID($A393,2,20))&lt;100000000,VALUE(MID($A393,2,20)),1000000000),1000000000))+ROW()/100000,"")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IF($A394="","",E394*N394/100)</f>
        <v/>
      </c>
      <c r="J394" s="7" t="n"/>
      <c r="K394" s="7">
        <f>IF($A394="","",S394*N394)</f>
        <v/>
      </c>
      <c r="L394" s="7">
        <f>IF($A394="","",N394-K394)</f>
        <v/>
      </c>
      <c r="M394" s="7">
        <f>IF($A394="","",L394-F394)</f>
        <v/>
      </c>
      <c r="N394" s="7" t="n"/>
      <c r="Q394" s="11" t="n"/>
      <c r="S394">
        <f>IF($A394="","",IF($W394=1,Settings!$C$6,Settings!$C$7)*1)</f>
        <v/>
      </c>
      <c r="U394">
        <f>IF($A394="","",IF(COUNTIF($A$2:$A394,$A394)=1,1,0))</f>
        <v/>
      </c>
      <c r="V394">
        <f>IF($U394=1,SUMPRODUCT(--($X$2:$X$1001&lt;$X394))+1,"")</f>
        <v/>
      </c>
      <c r="W394">
        <f>IF($A394="","",IF(OR($T394=TRUE(),$T394="TRUE"),1,0))</f>
        <v/>
      </c>
      <c r="X394">
        <f>IF($U394=1,IFERROR(IF(VALUE($A394)&lt;100000000,VALUE($A394),1000000000),IFERROR(IF(VALUE(MID($A394,2,20))&lt;100000000,VALUE(MID($A394,2,20)),1000000000),1000000000))+ROW()/100000,"")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IF($A395="","",E395*N395/100)</f>
        <v/>
      </c>
      <c r="J395" s="7" t="n"/>
      <c r="K395" s="7">
        <f>IF($A395="","",S395*N395)</f>
        <v/>
      </c>
      <c r="L395" s="7">
        <f>IF($A395="","",N395-K395)</f>
        <v/>
      </c>
      <c r="M395" s="7">
        <f>IF($A395="","",L395-F395)</f>
        <v/>
      </c>
      <c r="N395" s="7" t="n"/>
      <c r="Q395" s="11" t="n"/>
      <c r="S395">
        <f>IF($A395="","",IF($W395=1,Settings!$C$6,Settings!$C$7)*1)</f>
        <v/>
      </c>
      <c r="U395">
        <f>IF($A395="","",IF(COUNTIF($A$2:$A395,$A395)=1,1,0))</f>
        <v/>
      </c>
      <c r="V395">
        <f>IF($U395=1,SUMPRODUCT(--($X$2:$X$1001&lt;$X395))+1,"")</f>
        <v/>
      </c>
      <c r="W395">
        <f>IF($A395="","",IF(OR($T395=TRUE(),$T395="TRUE"),1,0))</f>
        <v/>
      </c>
      <c r="X395">
        <f>IF($U395=1,IFERROR(IF(VALUE($A395)&lt;100000000,VALUE($A395),1000000000),IFERROR(IF(VALUE(MID($A395,2,20))&lt;100000000,VALUE(MID($A395,2,20)),1000000000),1000000000))+ROW()/100000,"")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IF($A396="","",E396*N396/100)</f>
        <v/>
      </c>
      <c r="J396" s="7" t="n"/>
      <c r="K396" s="7">
        <f>IF($A396="","",S396*N396)</f>
        <v/>
      </c>
      <c r="L396" s="7">
        <f>IF($A396="","",N396-K396)</f>
        <v/>
      </c>
      <c r="M396" s="7">
        <f>IF($A396="","",L396-F396)</f>
        <v/>
      </c>
      <c r="N396" s="7" t="n"/>
      <c r="Q396" s="11" t="n"/>
      <c r="S396">
        <f>IF($A396="","",IF($W396=1,Settings!$C$6,Settings!$C$7)*1)</f>
        <v/>
      </c>
      <c r="U396">
        <f>IF($A396="","",IF(COUNTIF($A$2:$A396,$A396)=1,1,0))</f>
        <v/>
      </c>
      <c r="V396">
        <f>IF($U396=1,SUMPRODUCT(--($X$2:$X$1001&lt;$X396))+1,"")</f>
        <v/>
      </c>
      <c r="W396">
        <f>IF($A396="","",IF(OR($T396=TRUE(),$T396="TRUE"),1,0))</f>
        <v/>
      </c>
      <c r="X396">
        <f>IF($U396=1,IFERROR(IF(VALUE($A396)&lt;100000000,VALUE($A396),1000000000),IFERROR(IF(VALUE(MID($A396,2,20))&lt;100000000,VALUE(MID($A396,2,20)),1000000000),1000000000))+ROW()/100000,"")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IF($A397="","",E397*N397/100)</f>
        <v/>
      </c>
      <c r="J397" s="7" t="n"/>
      <c r="K397" s="7">
        <f>IF($A397="","",S397*N397)</f>
        <v/>
      </c>
      <c r="L397" s="7">
        <f>IF($A397="","",N397-K397)</f>
        <v/>
      </c>
      <c r="M397" s="7">
        <f>IF($A397="","",L397-F397)</f>
        <v/>
      </c>
      <c r="N397" s="7" t="n"/>
      <c r="Q397" s="11" t="n"/>
      <c r="S397">
        <f>IF($A397="","",IF($W397=1,Settings!$C$6,Settings!$C$7)*1)</f>
        <v/>
      </c>
      <c r="U397">
        <f>IF($A397="","",IF(COUNTIF($A$2:$A397,$A397)=1,1,0))</f>
        <v/>
      </c>
      <c r="V397">
        <f>IF($U397=1,SUMPRODUCT(--($X$2:$X$1001&lt;$X397))+1,"")</f>
        <v/>
      </c>
      <c r="W397">
        <f>IF($A397="","",IF(OR($T397=TRUE(),$T397="TRUE"),1,0))</f>
        <v/>
      </c>
      <c r="X397">
        <f>IF($U397=1,IFERROR(IF(VALUE($A397)&lt;100000000,VALUE($A397),1000000000),IFERROR(IF(VALUE(MID($A397,2,20))&lt;100000000,VALUE(MID($A397,2,20)),1000000000),1000000000))+ROW()/100000,"")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IF($A398="","",E398*N398/100)</f>
        <v/>
      </c>
      <c r="J398" s="7" t="n"/>
      <c r="K398" s="7">
        <f>IF($A398="","",S398*N398)</f>
        <v/>
      </c>
      <c r="L398" s="7">
        <f>IF($A398="","",N398-K398)</f>
        <v/>
      </c>
      <c r="M398" s="7">
        <f>IF($A398="","",L398-F398)</f>
        <v/>
      </c>
      <c r="N398" s="7" t="n"/>
      <c r="Q398" s="11" t="n"/>
      <c r="S398">
        <f>IF($A398="","",IF($W398=1,Settings!$C$6,Settings!$C$7)*1)</f>
        <v/>
      </c>
      <c r="U398">
        <f>IF($A398="","",IF(COUNTIF($A$2:$A398,$A398)=1,1,0))</f>
        <v/>
      </c>
      <c r="V398">
        <f>IF($U398=1,SUMPRODUCT(--($X$2:$X$1001&lt;$X398))+1,"")</f>
        <v/>
      </c>
      <c r="W398">
        <f>IF($A398="","",IF(OR($T398=TRUE(),$T398="TRUE"),1,0))</f>
        <v/>
      </c>
      <c r="X398">
        <f>IF($U398=1,IFERROR(IF(VALUE($A398)&lt;100000000,VALUE($A398),1000000000),IFERROR(IF(VALUE(MID($A398,2,20))&lt;100000000,VALUE(MID($A398,2,20)),1000000000),1000000000))+ROW()/100000,"")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IF($A399="","",E399*N399/100)</f>
        <v/>
      </c>
      <c r="J399" s="7" t="n"/>
      <c r="K399" s="7">
        <f>IF($A399="","",S399*N399)</f>
        <v/>
      </c>
      <c r="L399" s="7">
        <f>IF($A399="","",N399-K399)</f>
        <v/>
      </c>
      <c r="M399" s="7">
        <f>IF($A399="","",L399-F399)</f>
        <v/>
      </c>
      <c r="N399" s="7" t="n"/>
      <c r="Q399" s="11" t="n"/>
      <c r="S399">
        <f>IF($A399="","",IF($W399=1,Settings!$C$6,Settings!$C$7)*1)</f>
        <v/>
      </c>
      <c r="U399">
        <f>IF($A399="","",IF(COUNTIF($A$2:$A399,$A399)=1,1,0))</f>
        <v/>
      </c>
      <c r="V399">
        <f>IF($U399=1,SUMPRODUCT(--($X$2:$X$1001&lt;$X399))+1,"")</f>
        <v/>
      </c>
      <c r="W399">
        <f>IF($A399="","",IF(OR($T399=TRUE(),$T399="TRUE"),1,0))</f>
        <v/>
      </c>
      <c r="X399">
        <f>IF($U399=1,IFERROR(IF(VALUE($A399)&lt;100000000,VALUE($A399),1000000000),IFERROR(IF(VALUE(MID($A399,2,20))&lt;100000000,VALUE(MID($A399,2,20)),1000000000),1000000000))+ROW()/100000,"")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IF($A400="","",E400*N400/100)</f>
        <v/>
      </c>
      <c r="J400" s="7" t="n"/>
      <c r="K400" s="7">
        <f>IF($A400="","",S400*N400)</f>
        <v/>
      </c>
      <c r="L400" s="7">
        <f>IF($A400="","",N400-K400)</f>
        <v/>
      </c>
      <c r="M400" s="7">
        <f>IF($A400="","",L400-F400)</f>
        <v/>
      </c>
      <c r="N400" s="7" t="n"/>
      <c r="Q400" s="11" t="n"/>
      <c r="S400">
        <f>IF($A400="","",IF($W400=1,Settings!$C$6,Settings!$C$7)*1)</f>
        <v/>
      </c>
      <c r="U400">
        <f>IF($A400="","",IF(COUNTIF($A$2:$A400,$A400)=1,1,0))</f>
        <v/>
      </c>
      <c r="V400">
        <f>IF($U400=1,SUMPRODUCT(--($X$2:$X$1001&lt;$X400))+1,"")</f>
        <v/>
      </c>
      <c r="W400">
        <f>IF($A400="","",IF(OR($T400=TRUE(),$T400="TRUE"),1,0))</f>
        <v/>
      </c>
      <c r="X400">
        <f>IF($U400=1,IFERROR(IF(VALUE($A400)&lt;100000000,VALUE($A400),1000000000),IFERROR(IF(VALUE(MID($A400,2,20))&lt;100000000,VALUE(MID($A400,2,20)),1000000000),1000000000))+ROW()/100000,"")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IF($A401="","",E401*N401/100)</f>
        <v/>
      </c>
      <c r="J401" s="7" t="n"/>
      <c r="K401" s="7">
        <f>IF($A401="","",S401*N401)</f>
        <v/>
      </c>
      <c r="L401" s="7">
        <f>IF($A401="","",N401-K401)</f>
        <v/>
      </c>
      <c r="M401" s="7">
        <f>IF($A401="","",L401-F401)</f>
        <v/>
      </c>
      <c r="N401" s="7" t="n"/>
      <c r="Q401" s="11" t="n"/>
      <c r="S401">
        <f>IF($A401="","",IF($W401=1,Settings!$C$6,Settings!$C$7)*1)</f>
        <v/>
      </c>
      <c r="U401">
        <f>IF($A401="","",IF(COUNTIF($A$2:$A401,$A401)=1,1,0))</f>
        <v/>
      </c>
      <c r="V401">
        <f>IF($U401=1,SUMPRODUCT(--($X$2:$X$1001&lt;$X401))+1,"")</f>
        <v/>
      </c>
      <c r="W401">
        <f>IF($A401="","",IF(OR($T401=TRUE(),$T401="TRUE"),1,0))</f>
        <v/>
      </c>
      <c r="X401">
        <f>IF($U401=1,IFERROR(IF(VALUE($A401)&lt;100000000,VALUE($A401),1000000000),IFERROR(IF(VALUE(MID($A401,2,20))&lt;100000000,VALUE(MID($A401,2,20)),1000000000),1000000000))+ROW()/100000,"")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IF($A402="","",E402*N402/100)</f>
        <v/>
      </c>
      <c r="J402" s="7" t="n"/>
      <c r="K402" s="7">
        <f>IF($A402="","",S402*N402)</f>
        <v/>
      </c>
      <c r="L402" s="7">
        <f>IF($A402="","",N402-K402)</f>
        <v/>
      </c>
      <c r="M402" s="7">
        <f>IF($A402="","",L402-F402)</f>
        <v/>
      </c>
      <c r="N402" s="7" t="n"/>
      <c r="Q402" s="11" t="n"/>
      <c r="S402">
        <f>IF($A402="","",IF($W402=1,Settings!$C$6,Settings!$C$7)*1)</f>
        <v/>
      </c>
      <c r="U402">
        <f>IF($A402="","",IF(COUNTIF($A$2:$A402,$A402)=1,1,0))</f>
        <v/>
      </c>
      <c r="V402">
        <f>IF($U402=1,SUMPRODUCT(--($X$2:$X$1001&lt;$X402))+1,"")</f>
        <v/>
      </c>
      <c r="W402">
        <f>IF($A402="","",IF(OR($T402=TRUE(),$T402="TRUE"),1,0))</f>
        <v/>
      </c>
      <c r="X402">
        <f>IF($U402=1,IFERROR(IF(VALUE($A402)&lt;100000000,VALUE($A402),1000000000),IFERROR(IF(VALUE(MID($A402,2,20))&lt;100000000,VALUE(MID($A402,2,20)),1000000000),1000000000))+ROW()/100000,"")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IF($A403="","",E403*N403/100)</f>
        <v/>
      </c>
      <c r="J403" s="7" t="n"/>
      <c r="K403" s="7">
        <f>IF($A403="","",S403*N403)</f>
        <v/>
      </c>
      <c r="L403" s="7">
        <f>IF($A403="","",N403-K403)</f>
        <v/>
      </c>
      <c r="M403" s="7">
        <f>IF($A403="","",L403-F403)</f>
        <v/>
      </c>
      <c r="N403" s="7" t="n"/>
      <c r="Q403" s="11" t="n"/>
      <c r="S403">
        <f>IF($A403="","",IF($W403=1,Settings!$C$6,Settings!$C$7)*1)</f>
        <v/>
      </c>
      <c r="U403">
        <f>IF($A403="","",IF(COUNTIF($A$2:$A403,$A403)=1,1,0))</f>
        <v/>
      </c>
      <c r="V403">
        <f>IF($U403=1,SUMPRODUCT(--($X$2:$X$1001&lt;$X403))+1,"")</f>
        <v/>
      </c>
      <c r="W403">
        <f>IF($A403="","",IF(OR($T403=TRUE(),$T403="TRUE"),1,0))</f>
        <v/>
      </c>
      <c r="X403">
        <f>IF($U403=1,IFERROR(IF(VALUE($A403)&lt;100000000,VALUE($A403),1000000000),IFERROR(IF(VALUE(MID($A403,2,20))&lt;100000000,VALUE(MID($A403,2,20)),1000000000),1000000000))+ROW()/100000,"")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IF($A404="","",E404*N404/100)</f>
        <v/>
      </c>
      <c r="J404" s="7" t="n"/>
      <c r="K404" s="7">
        <f>IF($A404="","",S404*N404)</f>
        <v/>
      </c>
      <c r="L404" s="7">
        <f>IF($A404="","",N404-K404)</f>
        <v/>
      </c>
      <c r="M404" s="7">
        <f>IF($A404="","",L404-F404)</f>
        <v/>
      </c>
      <c r="N404" s="7" t="n"/>
      <c r="Q404" s="11" t="n"/>
      <c r="S404">
        <f>IF($A404="","",IF($W404=1,Settings!$C$6,Settings!$C$7)*1)</f>
        <v/>
      </c>
      <c r="U404">
        <f>IF($A404="","",IF(COUNTIF($A$2:$A404,$A404)=1,1,0))</f>
        <v/>
      </c>
      <c r="V404">
        <f>IF($U404=1,SUMPRODUCT(--($X$2:$X$1001&lt;$X404))+1,"")</f>
        <v/>
      </c>
      <c r="W404">
        <f>IF($A404="","",IF(OR($T404=TRUE(),$T404="TRUE"),1,0))</f>
        <v/>
      </c>
      <c r="X404">
        <f>IF($U404=1,IFERROR(IF(VALUE($A404)&lt;100000000,VALUE($A404),1000000000),IFERROR(IF(VALUE(MID($A404,2,20))&lt;100000000,VALUE(MID($A404,2,20)),1000000000),1000000000))+ROW()/100000,"")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IF($A405="","",E405*N405/100)</f>
        <v/>
      </c>
      <c r="J405" s="7" t="n"/>
      <c r="K405" s="7">
        <f>IF($A405="","",S405*N405)</f>
        <v/>
      </c>
      <c r="L405" s="7">
        <f>IF($A405="","",N405-K405)</f>
        <v/>
      </c>
      <c r="M405" s="7">
        <f>IF($A405="","",L405-F405)</f>
        <v/>
      </c>
      <c r="N405" s="7" t="n"/>
      <c r="Q405" s="11" t="n"/>
      <c r="S405">
        <f>IF($A405="","",IF($W405=1,Settings!$C$6,Settings!$C$7)*1)</f>
        <v/>
      </c>
      <c r="U405">
        <f>IF($A405="","",IF(COUNTIF($A$2:$A405,$A405)=1,1,0))</f>
        <v/>
      </c>
      <c r="V405">
        <f>IF($U405=1,SUMPRODUCT(--($X$2:$X$1001&lt;$X405))+1,"")</f>
        <v/>
      </c>
      <c r="W405">
        <f>IF($A405="","",IF(OR($T405=TRUE(),$T405="TRUE"),1,0))</f>
        <v/>
      </c>
      <c r="X405">
        <f>IF($U405=1,IFERROR(IF(VALUE($A405)&lt;100000000,VALUE($A405),1000000000),IFERROR(IF(VALUE(MID($A405,2,20))&lt;100000000,VALUE(MID($A405,2,20)),1000000000),1000000000))+ROW()/100000,"")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IF($A406="","",E406*N406/100)</f>
        <v/>
      </c>
      <c r="J406" s="7" t="n"/>
      <c r="K406" s="7">
        <f>IF($A406="","",S406*N406)</f>
        <v/>
      </c>
      <c r="L406" s="7">
        <f>IF($A406="","",N406-K406)</f>
        <v/>
      </c>
      <c r="M406" s="7">
        <f>IF($A406="","",L406-F406)</f>
        <v/>
      </c>
      <c r="N406" s="7" t="n"/>
      <c r="Q406" s="11" t="n"/>
      <c r="S406">
        <f>IF($A406="","",IF($W406=1,Settings!$C$6,Settings!$C$7)*1)</f>
        <v/>
      </c>
      <c r="U406">
        <f>IF($A406="","",IF(COUNTIF($A$2:$A406,$A406)=1,1,0))</f>
        <v/>
      </c>
      <c r="V406">
        <f>IF($U406=1,SUMPRODUCT(--($X$2:$X$1001&lt;$X406))+1,"")</f>
        <v/>
      </c>
      <c r="W406">
        <f>IF($A406="","",IF(OR($T406=TRUE(),$T406="TRUE"),1,0))</f>
        <v/>
      </c>
      <c r="X406">
        <f>IF($U406=1,IFERROR(IF(VALUE($A406)&lt;100000000,VALUE($A406),1000000000),IFERROR(IF(VALUE(MID($A406,2,20))&lt;100000000,VALUE(MID($A406,2,20)),1000000000),1000000000))+ROW()/100000,"")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IF($A407="","",E407*N407/100)</f>
        <v/>
      </c>
      <c r="J407" s="7" t="n"/>
      <c r="K407" s="7">
        <f>IF($A407="","",S407*N407)</f>
        <v/>
      </c>
      <c r="L407" s="7">
        <f>IF($A407="","",N407-K407)</f>
        <v/>
      </c>
      <c r="M407" s="7">
        <f>IF($A407="","",L407-F407)</f>
        <v/>
      </c>
      <c r="N407" s="7" t="n"/>
      <c r="Q407" s="11" t="n"/>
      <c r="S407">
        <f>IF($A407="","",IF($W407=1,Settings!$C$6,Settings!$C$7)*1)</f>
        <v/>
      </c>
      <c r="U407">
        <f>IF($A407="","",IF(COUNTIF($A$2:$A407,$A407)=1,1,0))</f>
        <v/>
      </c>
      <c r="V407">
        <f>IF($U407=1,SUMPRODUCT(--($X$2:$X$1001&lt;$X407))+1,"")</f>
        <v/>
      </c>
      <c r="W407">
        <f>IF($A407="","",IF(OR($T407=TRUE(),$T407="TRUE"),1,0))</f>
        <v/>
      </c>
      <c r="X407">
        <f>IF($U407=1,IFERROR(IF(VALUE($A407)&lt;100000000,VALUE($A407),1000000000),IFERROR(IF(VALUE(MID($A407,2,20))&lt;100000000,VALUE(MID($A407,2,20)),1000000000),1000000000))+ROW()/100000,"")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IF($A408="","",E408*N408/100)</f>
        <v/>
      </c>
      <c r="J408" s="7" t="n"/>
      <c r="K408" s="7">
        <f>IF($A408="","",S408*N408)</f>
        <v/>
      </c>
      <c r="L408" s="7">
        <f>IF($A408="","",N408-K408)</f>
        <v/>
      </c>
      <c r="M408" s="7">
        <f>IF($A408="","",L408-F408)</f>
        <v/>
      </c>
      <c r="N408" s="7" t="n"/>
      <c r="Q408" s="11" t="n"/>
      <c r="S408">
        <f>IF($A408="","",IF($W408=1,Settings!$C$6,Settings!$C$7)*1)</f>
        <v/>
      </c>
      <c r="U408">
        <f>IF($A408="","",IF(COUNTIF($A$2:$A408,$A408)=1,1,0))</f>
        <v/>
      </c>
      <c r="V408">
        <f>IF($U408=1,SUMPRODUCT(--($X$2:$X$1001&lt;$X408))+1,"")</f>
        <v/>
      </c>
      <c r="W408">
        <f>IF($A408="","",IF(OR($T408=TRUE(),$T408="TRUE"),1,0))</f>
        <v/>
      </c>
      <c r="X408">
        <f>IF($U408=1,IFERROR(IF(VALUE($A408)&lt;100000000,VALUE($A408),1000000000),IFERROR(IF(VALUE(MID($A408,2,20))&lt;100000000,VALUE(MID($A408,2,20)),1000000000),1000000000))+ROW()/100000,"")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IF($A409="","",E409*N409/100)</f>
        <v/>
      </c>
      <c r="J409" s="7" t="n"/>
      <c r="K409" s="7">
        <f>IF($A409="","",S409*N409)</f>
        <v/>
      </c>
      <c r="L409" s="7">
        <f>IF($A409="","",N409-K409)</f>
        <v/>
      </c>
      <c r="M409" s="7">
        <f>IF($A409="","",L409-F409)</f>
        <v/>
      </c>
      <c r="N409" s="7" t="n"/>
      <c r="Q409" s="11" t="n"/>
      <c r="S409">
        <f>IF($A409="","",IF($W409=1,Settings!$C$6,Settings!$C$7)*1)</f>
        <v/>
      </c>
      <c r="U409">
        <f>IF($A409="","",IF(COUNTIF($A$2:$A409,$A409)=1,1,0))</f>
        <v/>
      </c>
      <c r="V409">
        <f>IF($U409=1,SUMPRODUCT(--($X$2:$X$1001&lt;$X409))+1,"")</f>
        <v/>
      </c>
      <c r="W409">
        <f>IF($A409="","",IF(OR($T409=TRUE(),$T409="TRUE"),1,0))</f>
        <v/>
      </c>
      <c r="X409">
        <f>IF($U409=1,IFERROR(IF(VALUE($A409)&lt;100000000,VALUE($A409),1000000000),IFERROR(IF(VALUE(MID($A409,2,20))&lt;100000000,VALUE(MID($A409,2,20)),1000000000),1000000000))+ROW()/100000,"")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IF($A410="","",E410*N410/100)</f>
        <v/>
      </c>
      <c r="J410" s="7" t="n"/>
      <c r="K410" s="7">
        <f>IF($A410="","",S410*N410)</f>
        <v/>
      </c>
      <c r="L410" s="7">
        <f>IF($A410="","",N410-K410)</f>
        <v/>
      </c>
      <c r="M410" s="7">
        <f>IF($A410="","",L410-F410)</f>
        <v/>
      </c>
      <c r="N410" s="7" t="n"/>
      <c r="Q410" s="11" t="n"/>
      <c r="S410">
        <f>IF($A410="","",IF($W410=1,Settings!$C$6,Settings!$C$7)*1)</f>
        <v/>
      </c>
      <c r="U410">
        <f>IF($A410="","",IF(COUNTIF($A$2:$A410,$A410)=1,1,0))</f>
        <v/>
      </c>
      <c r="V410">
        <f>IF($U410=1,SUMPRODUCT(--($X$2:$X$1001&lt;$X410))+1,"")</f>
        <v/>
      </c>
      <c r="W410">
        <f>IF($A410="","",IF(OR($T410=TRUE(),$T410="TRUE"),1,0))</f>
        <v/>
      </c>
      <c r="X410">
        <f>IF($U410=1,IFERROR(IF(VALUE($A410)&lt;100000000,VALUE($A410),1000000000),IFERROR(IF(VALUE(MID($A410,2,20))&lt;100000000,VALUE(MID($A410,2,20)),1000000000),1000000000))+ROW()/100000,"")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IF($A411="","",E411*N411/100)</f>
        <v/>
      </c>
      <c r="J411" s="7" t="n"/>
      <c r="K411" s="7">
        <f>IF($A411="","",S411*N411)</f>
        <v/>
      </c>
      <c r="L411" s="7">
        <f>IF($A411="","",N411-K411)</f>
        <v/>
      </c>
      <c r="M411" s="7">
        <f>IF($A411="","",L411-F411)</f>
        <v/>
      </c>
      <c r="N411" s="7" t="n"/>
      <c r="Q411" s="11" t="n"/>
      <c r="S411">
        <f>IF($A411="","",IF($W411=1,Settings!$C$6,Settings!$C$7)*1)</f>
        <v/>
      </c>
      <c r="U411">
        <f>IF($A411="","",IF(COUNTIF($A$2:$A411,$A411)=1,1,0))</f>
        <v/>
      </c>
      <c r="V411">
        <f>IF($U411=1,SUMPRODUCT(--($X$2:$X$1001&lt;$X411))+1,"")</f>
        <v/>
      </c>
      <c r="W411">
        <f>IF($A411="","",IF(OR($T411=TRUE(),$T411="TRUE"),1,0))</f>
        <v/>
      </c>
      <c r="X411">
        <f>IF($U411=1,IFERROR(IF(VALUE($A411)&lt;100000000,VALUE($A411),1000000000),IFERROR(IF(VALUE(MID($A411,2,20))&lt;100000000,VALUE(MID($A411,2,20)),1000000000),1000000000))+ROW()/100000,"")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IF($A412="","",E412*N412/100)</f>
        <v/>
      </c>
      <c r="J412" s="7" t="n"/>
      <c r="K412" s="7">
        <f>IF($A412="","",S412*N412)</f>
        <v/>
      </c>
      <c r="L412" s="7">
        <f>IF($A412="","",N412-K412)</f>
        <v/>
      </c>
      <c r="M412" s="7">
        <f>IF($A412="","",L412-F412)</f>
        <v/>
      </c>
      <c r="N412" s="7" t="n"/>
      <c r="Q412" s="11" t="n"/>
      <c r="S412">
        <f>IF($A412="","",IF($W412=1,Settings!$C$6,Settings!$C$7)*1)</f>
        <v/>
      </c>
      <c r="U412">
        <f>IF($A412="","",IF(COUNTIF($A$2:$A412,$A412)=1,1,0))</f>
        <v/>
      </c>
      <c r="V412">
        <f>IF($U412=1,SUMPRODUCT(--($X$2:$X$1001&lt;$X412))+1,"")</f>
        <v/>
      </c>
      <c r="W412">
        <f>IF($A412="","",IF(OR($T412=TRUE(),$T412="TRUE"),1,0))</f>
        <v/>
      </c>
      <c r="X412">
        <f>IF($U412=1,IFERROR(IF(VALUE($A412)&lt;100000000,VALUE($A412),1000000000),IFERROR(IF(VALUE(MID($A412,2,20))&lt;100000000,VALUE(MID($A412,2,20)),1000000000),1000000000))+ROW()/100000,"")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IF($A413="","",E413*N413/100)</f>
        <v/>
      </c>
      <c r="J413" s="7" t="n"/>
      <c r="K413" s="7">
        <f>IF($A413="","",S413*N413)</f>
        <v/>
      </c>
      <c r="L413" s="7">
        <f>IF($A413="","",N413-K413)</f>
        <v/>
      </c>
      <c r="M413" s="7">
        <f>IF($A413="","",L413-F413)</f>
        <v/>
      </c>
      <c r="N413" s="7" t="n"/>
      <c r="Q413" s="11" t="n"/>
      <c r="S413">
        <f>IF($A413="","",IF($W413=1,Settings!$C$6,Settings!$C$7)*1)</f>
        <v/>
      </c>
      <c r="U413">
        <f>IF($A413="","",IF(COUNTIF($A$2:$A413,$A413)=1,1,0))</f>
        <v/>
      </c>
      <c r="V413">
        <f>IF($U413=1,SUMPRODUCT(--($X$2:$X$1001&lt;$X413))+1,"")</f>
        <v/>
      </c>
      <c r="W413">
        <f>IF($A413="","",IF(OR($T413=TRUE(),$T413="TRUE"),1,0))</f>
        <v/>
      </c>
      <c r="X413">
        <f>IF($U413=1,IFERROR(IF(VALUE($A413)&lt;100000000,VALUE($A413),1000000000),IFERROR(IF(VALUE(MID($A413,2,20))&lt;100000000,VALUE(MID($A413,2,20)),1000000000),1000000000))+ROW()/100000,"")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IF($A414="","",E414*N414/100)</f>
        <v/>
      </c>
      <c r="J414" s="7" t="n"/>
      <c r="K414" s="7">
        <f>IF($A414="","",S414*N414)</f>
        <v/>
      </c>
      <c r="L414" s="7">
        <f>IF($A414="","",N414-K414)</f>
        <v/>
      </c>
      <c r="M414" s="7">
        <f>IF($A414="","",L414-F414)</f>
        <v/>
      </c>
      <c r="N414" s="7" t="n"/>
      <c r="Q414" s="11" t="n"/>
      <c r="S414">
        <f>IF($A414="","",IF($W414=1,Settings!$C$6,Settings!$C$7)*1)</f>
        <v/>
      </c>
      <c r="U414">
        <f>IF($A414="","",IF(COUNTIF($A$2:$A414,$A414)=1,1,0))</f>
        <v/>
      </c>
      <c r="V414">
        <f>IF($U414=1,SUMPRODUCT(--($X$2:$X$1001&lt;$X414))+1,"")</f>
        <v/>
      </c>
      <c r="W414">
        <f>IF($A414="","",IF(OR($T414=TRUE(),$T414="TRUE"),1,0))</f>
        <v/>
      </c>
      <c r="X414">
        <f>IF($U414=1,IFERROR(IF(VALUE($A414)&lt;100000000,VALUE($A414),1000000000),IFERROR(IF(VALUE(MID($A414,2,20))&lt;100000000,VALUE(MID($A414,2,20)),1000000000),1000000000))+ROW()/100000,"")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IF($A415="","",E415*N415/100)</f>
        <v/>
      </c>
      <c r="J415" s="7" t="n"/>
      <c r="K415" s="7">
        <f>IF($A415="","",S415*N415)</f>
        <v/>
      </c>
      <c r="L415" s="7">
        <f>IF($A415="","",N415-K415)</f>
        <v/>
      </c>
      <c r="M415" s="7">
        <f>IF($A415="","",L415-F415)</f>
        <v/>
      </c>
      <c r="N415" s="7" t="n"/>
      <c r="Q415" s="11" t="n"/>
      <c r="S415">
        <f>IF($A415="","",IF($W415=1,Settings!$C$6,Settings!$C$7)*1)</f>
        <v/>
      </c>
      <c r="U415">
        <f>IF($A415="","",IF(COUNTIF($A$2:$A415,$A415)=1,1,0))</f>
        <v/>
      </c>
      <c r="V415">
        <f>IF($U415=1,SUMPRODUCT(--($X$2:$X$1001&lt;$X415))+1,"")</f>
        <v/>
      </c>
      <c r="W415">
        <f>IF($A415="","",IF(OR($T415=TRUE(),$T415="TRUE"),1,0))</f>
        <v/>
      </c>
      <c r="X415">
        <f>IF($U415=1,IFERROR(IF(VALUE($A415)&lt;100000000,VALUE($A415),1000000000),IFERROR(IF(VALUE(MID($A415,2,20))&lt;100000000,VALUE(MID($A415,2,20)),1000000000),1000000000))+ROW()/100000,"")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IF($A416="","",E416*N416/100)</f>
        <v/>
      </c>
      <c r="J416" s="7" t="n"/>
      <c r="K416" s="7">
        <f>IF($A416="","",S416*N416)</f>
        <v/>
      </c>
      <c r="L416" s="7">
        <f>IF($A416="","",N416-K416)</f>
        <v/>
      </c>
      <c r="M416" s="7">
        <f>IF($A416="","",L416-F416)</f>
        <v/>
      </c>
      <c r="N416" s="7" t="n"/>
      <c r="Q416" s="11" t="n"/>
      <c r="S416">
        <f>IF($A416="","",IF($W416=1,Settings!$C$6,Settings!$C$7)*1)</f>
        <v/>
      </c>
      <c r="U416">
        <f>IF($A416="","",IF(COUNTIF($A$2:$A416,$A416)=1,1,0))</f>
        <v/>
      </c>
      <c r="V416">
        <f>IF($U416=1,SUMPRODUCT(--($X$2:$X$1001&lt;$X416))+1,"")</f>
        <v/>
      </c>
      <c r="W416">
        <f>IF($A416="","",IF(OR($T416=TRUE(),$T416="TRUE"),1,0))</f>
        <v/>
      </c>
      <c r="X416">
        <f>IF($U416=1,IFERROR(IF(VALUE($A416)&lt;100000000,VALUE($A416),1000000000),IFERROR(IF(VALUE(MID($A416,2,20))&lt;100000000,VALUE(MID($A416,2,20)),1000000000),1000000000))+ROW()/100000,"")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IF($A417="","",E417*N417/100)</f>
        <v/>
      </c>
      <c r="J417" s="7" t="n"/>
      <c r="K417" s="7">
        <f>IF($A417="","",S417*N417)</f>
        <v/>
      </c>
      <c r="L417" s="7">
        <f>IF($A417="","",N417-K417)</f>
        <v/>
      </c>
      <c r="M417" s="7">
        <f>IF($A417="","",L417-F417)</f>
        <v/>
      </c>
      <c r="N417" s="7" t="n"/>
      <c r="Q417" s="11" t="n"/>
      <c r="S417">
        <f>IF($A417="","",IF($W417=1,Settings!$C$6,Settings!$C$7)*1)</f>
        <v/>
      </c>
      <c r="U417">
        <f>IF($A417="","",IF(COUNTIF($A$2:$A417,$A417)=1,1,0))</f>
        <v/>
      </c>
      <c r="V417">
        <f>IF($U417=1,SUMPRODUCT(--($X$2:$X$1001&lt;$X417))+1,"")</f>
        <v/>
      </c>
      <c r="W417">
        <f>IF($A417="","",IF(OR($T417=TRUE(),$T417="TRUE"),1,0))</f>
        <v/>
      </c>
      <c r="X417">
        <f>IF($U417=1,IFERROR(IF(VALUE($A417)&lt;100000000,VALUE($A417),1000000000),IFERROR(IF(VALUE(MID($A417,2,20))&lt;100000000,VALUE(MID($A417,2,20)),1000000000),1000000000))+ROW()/100000,"")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IF($A418="","",E418*N418/100)</f>
        <v/>
      </c>
      <c r="J418" s="7" t="n"/>
      <c r="K418" s="7">
        <f>IF($A418="","",S418*N418)</f>
        <v/>
      </c>
      <c r="L418" s="7">
        <f>IF($A418="","",N418-K418)</f>
        <v/>
      </c>
      <c r="M418" s="7">
        <f>IF($A418="","",L418-F418)</f>
        <v/>
      </c>
      <c r="N418" s="7" t="n"/>
      <c r="Q418" s="11" t="n"/>
      <c r="S418">
        <f>IF($A418="","",IF($W418=1,Settings!$C$6,Settings!$C$7)*1)</f>
        <v/>
      </c>
      <c r="U418">
        <f>IF($A418="","",IF(COUNTIF($A$2:$A418,$A418)=1,1,0))</f>
        <v/>
      </c>
      <c r="V418">
        <f>IF($U418=1,SUMPRODUCT(--($X$2:$X$1001&lt;$X418))+1,"")</f>
        <v/>
      </c>
      <c r="W418">
        <f>IF($A418="","",IF(OR($T418=TRUE(),$T418="TRUE"),1,0))</f>
        <v/>
      </c>
      <c r="X418">
        <f>IF($U418=1,IFERROR(IF(VALUE($A418)&lt;100000000,VALUE($A418),1000000000),IFERROR(IF(VALUE(MID($A418,2,20))&lt;100000000,VALUE(MID($A418,2,20)),1000000000),1000000000))+ROW()/100000,"")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IF($A419="","",E419*N419/100)</f>
        <v/>
      </c>
      <c r="J419" s="7" t="n"/>
      <c r="K419" s="7">
        <f>IF($A419="","",S419*N419)</f>
        <v/>
      </c>
      <c r="L419" s="7">
        <f>IF($A419="","",N419-K419)</f>
        <v/>
      </c>
      <c r="M419" s="7">
        <f>IF($A419="","",L419-F419)</f>
        <v/>
      </c>
      <c r="N419" s="7" t="n"/>
      <c r="Q419" s="11" t="n"/>
      <c r="S419">
        <f>IF($A419="","",IF($W419=1,Settings!$C$6,Settings!$C$7)*1)</f>
        <v/>
      </c>
      <c r="U419">
        <f>IF($A419="","",IF(COUNTIF($A$2:$A419,$A419)=1,1,0))</f>
        <v/>
      </c>
      <c r="V419">
        <f>IF($U419=1,SUMPRODUCT(--($X$2:$X$1001&lt;$X419))+1,"")</f>
        <v/>
      </c>
      <c r="W419">
        <f>IF($A419="","",IF(OR($T419=TRUE(),$T419="TRUE"),1,0))</f>
        <v/>
      </c>
      <c r="X419">
        <f>IF($U419=1,IFERROR(IF(VALUE($A419)&lt;100000000,VALUE($A419),1000000000),IFERROR(IF(VALUE(MID($A419,2,20))&lt;100000000,VALUE(MID($A419,2,20)),1000000000),1000000000))+ROW()/100000,"")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IF($A420="","",E420*N420/100)</f>
        <v/>
      </c>
      <c r="J420" s="7" t="n"/>
      <c r="K420" s="7">
        <f>IF($A420="","",S420*N420)</f>
        <v/>
      </c>
      <c r="L420" s="7">
        <f>IF($A420="","",N420-K420)</f>
        <v/>
      </c>
      <c r="M420" s="7">
        <f>IF($A420="","",L420-F420)</f>
        <v/>
      </c>
      <c r="N420" s="7" t="n"/>
      <c r="Q420" s="11" t="n"/>
      <c r="S420">
        <f>IF($A420="","",IF($W420=1,Settings!$C$6,Settings!$C$7)*1)</f>
        <v/>
      </c>
      <c r="U420">
        <f>IF($A420="","",IF(COUNTIF($A$2:$A420,$A420)=1,1,0))</f>
        <v/>
      </c>
      <c r="V420">
        <f>IF($U420=1,SUMPRODUCT(--($X$2:$X$1001&lt;$X420))+1,"")</f>
        <v/>
      </c>
      <c r="W420">
        <f>IF($A420="","",IF(OR($T420=TRUE(),$T420="TRUE"),1,0))</f>
        <v/>
      </c>
      <c r="X420">
        <f>IF($U420=1,IFERROR(IF(VALUE($A420)&lt;100000000,VALUE($A420),1000000000),IFERROR(IF(VALUE(MID($A420,2,20))&lt;100000000,VALUE(MID($A420,2,20)),1000000000),1000000000))+ROW()/100000,"")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IF($A421="","",E421*N421/100)</f>
        <v/>
      </c>
      <c r="J421" s="7" t="n"/>
      <c r="K421" s="7">
        <f>IF($A421="","",S421*N421)</f>
        <v/>
      </c>
      <c r="L421" s="7">
        <f>IF($A421="","",N421-K421)</f>
        <v/>
      </c>
      <c r="M421" s="7">
        <f>IF($A421="","",L421-F421)</f>
        <v/>
      </c>
      <c r="N421" s="7" t="n"/>
      <c r="Q421" s="11" t="n"/>
      <c r="S421">
        <f>IF($A421="","",IF($W421=1,Settings!$C$6,Settings!$C$7)*1)</f>
        <v/>
      </c>
      <c r="U421">
        <f>IF($A421="","",IF(COUNTIF($A$2:$A421,$A421)=1,1,0))</f>
        <v/>
      </c>
      <c r="V421">
        <f>IF($U421=1,SUMPRODUCT(--($X$2:$X$1001&lt;$X421))+1,"")</f>
        <v/>
      </c>
      <c r="W421">
        <f>IF($A421="","",IF(OR($T421=TRUE(),$T421="TRUE"),1,0))</f>
        <v/>
      </c>
      <c r="X421">
        <f>IF($U421=1,IFERROR(IF(VALUE($A421)&lt;100000000,VALUE($A421),1000000000),IFERROR(IF(VALUE(MID($A421,2,20))&lt;100000000,VALUE(MID($A421,2,20)),1000000000),1000000000))+ROW()/100000,"")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IF($A422="","",E422*N422/100)</f>
        <v/>
      </c>
      <c r="J422" s="7" t="n"/>
      <c r="K422" s="7">
        <f>IF($A422="","",S422*N422)</f>
        <v/>
      </c>
      <c r="L422" s="7">
        <f>IF($A422="","",N422-K422)</f>
        <v/>
      </c>
      <c r="M422" s="7">
        <f>IF($A422="","",L422-F422)</f>
        <v/>
      </c>
      <c r="N422" s="7" t="n"/>
      <c r="Q422" s="11" t="n"/>
      <c r="S422">
        <f>IF($A422="","",IF($W422=1,Settings!$C$6,Settings!$C$7)*1)</f>
        <v/>
      </c>
      <c r="U422">
        <f>IF($A422="","",IF(COUNTIF($A$2:$A422,$A422)=1,1,0))</f>
        <v/>
      </c>
      <c r="V422">
        <f>IF($U422=1,SUMPRODUCT(--($X$2:$X$1001&lt;$X422))+1,"")</f>
        <v/>
      </c>
      <c r="W422">
        <f>IF($A422="","",IF(OR($T422=TRUE(),$T422="TRUE"),1,0))</f>
        <v/>
      </c>
      <c r="X422">
        <f>IF($U422=1,IFERROR(IF(VALUE($A422)&lt;100000000,VALUE($A422),1000000000),IFERROR(IF(VALUE(MID($A422,2,20))&lt;100000000,VALUE(MID($A422,2,20)),1000000000),1000000000))+ROW()/100000,"")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IF($A423="","",E423*N423/100)</f>
        <v/>
      </c>
      <c r="J423" s="7" t="n"/>
      <c r="K423" s="7">
        <f>IF($A423="","",S423*N423)</f>
        <v/>
      </c>
      <c r="L423" s="7">
        <f>IF($A423="","",N423-K423)</f>
        <v/>
      </c>
      <c r="M423" s="7">
        <f>IF($A423="","",L423-F423)</f>
        <v/>
      </c>
      <c r="N423" s="7" t="n"/>
      <c r="Q423" s="11" t="n"/>
      <c r="S423">
        <f>IF($A423="","",IF($W423=1,Settings!$C$6,Settings!$C$7)*1)</f>
        <v/>
      </c>
      <c r="U423">
        <f>IF($A423="","",IF(COUNTIF($A$2:$A423,$A423)=1,1,0))</f>
        <v/>
      </c>
      <c r="V423">
        <f>IF($U423=1,SUMPRODUCT(--($X$2:$X$1001&lt;$X423))+1,"")</f>
        <v/>
      </c>
      <c r="W423">
        <f>IF($A423="","",IF(OR($T423=TRUE(),$T423="TRUE"),1,0))</f>
        <v/>
      </c>
      <c r="X423">
        <f>IF($U423=1,IFERROR(IF(VALUE($A423)&lt;100000000,VALUE($A423),1000000000),IFERROR(IF(VALUE(MID($A423,2,20))&lt;100000000,VALUE(MID($A423,2,20)),1000000000),1000000000))+ROW()/100000,"")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IF($A424="","",E424*N424/100)</f>
        <v/>
      </c>
      <c r="J424" s="7" t="n"/>
      <c r="K424" s="7">
        <f>IF($A424="","",S424*N424)</f>
        <v/>
      </c>
      <c r="L424" s="7">
        <f>IF($A424="","",N424-K424)</f>
        <v/>
      </c>
      <c r="M424" s="7">
        <f>IF($A424="","",L424-F424)</f>
        <v/>
      </c>
      <c r="N424" s="7" t="n"/>
      <c r="Q424" s="11" t="n"/>
      <c r="S424">
        <f>IF($A424="","",IF($W424=1,Settings!$C$6,Settings!$C$7)*1)</f>
        <v/>
      </c>
      <c r="U424">
        <f>IF($A424="","",IF(COUNTIF($A$2:$A424,$A424)=1,1,0))</f>
        <v/>
      </c>
      <c r="V424">
        <f>IF($U424=1,SUMPRODUCT(--($X$2:$X$1001&lt;$X424))+1,"")</f>
        <v/>
      </c>
      <c r="W424">
        <f>IF($A424="","",IF(OR($T424=TRUE(),$T424="TRUE"),1,0))</f>
        <v/>
      </c>
      <c r="X424">
        <f>IF($U424=1,IFERROR(IF(VALUE($A424)&lt;100000000,VALUE($A424),1000000000),IFERROR(IF(VALUE(MID($A424,2,20))&lt;100000000,VALUE(MID($A424,2,20)),1000000000),1000000000))+ROW()/100000,"")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IF($A425="","",E425*N425/100)</f>
        <v/>
      </c>
      <c r="J425" s="7" t="n"/>
      <c r="K425" s="7">
        <f>IF($A425="","",S425*N425)</f>
        <v/>
      </c>
      <c r="L425" s="7">
        <f>IF($A425="","",N425-K425)</f>
        <v/>
      </c>
      <c r="M425" s="7">
        <f>IF($A425="","",L425-F425)</f>
        <v/>
      </c>
      <c r="N425" s="7" t="n"/>
      <c r="Q425" s="11" t="n"/>
      <c r="S425">
        <f>IF($A425="","",IF($W425=1,Settings!$C$6,Settings!$C$7)*1)</f>
        <v/>
      </c>
      <c r="U425">
        <f>IF($A425="","",IF(COUNTIF($A$2:$A425,$A425)=1,1,0))</f>
        <v/>
      </c>
      <c r="V425">
        <f>IF($U425=1,SUMPRODUCT(--($X$2:$X$1001&lt;$X425))+1,"")</f>
        <v/>
      </c>
      <c r="W425">
        <f>IF($A425="","",IF(OR($T425=TRUE(),$T425="TRUE"),1,0))</f>
        <v/>
      </c>
      <c r="X425">
        <f>IF($U425=1,IFERROR(IF(VALUE($A425)&lt;100000000,VALUE($A425),1000000000),IFERROR(IF(VALUE(MID($A425,2,20))&lt;100000000,VALUE(MID($A425,2,20)),1000000000),1000000000))+ROW()/100000,"")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IF($A426="","",E426*N426/100)</f>
        <v/>
      </c>
      <c r="J426" s="7" t="n"/>
      <c r="K426" s="7">
        <f>IF($A426="","",S426*N426)</f>
        <v/>
      </c>
      <c r="L426" s="7">
        <f>IF($A426="","",N426-K426)</f>
        <v/>
      </c>
      <c r="M426" s="7">
        <f>IF($A426="","",L426-F426)</f>
        <v/>
      </c>
      <c r="N426" s="7" t="n"/>
      <c r="Q426" s="11" t="n"/>
      <c r="S426">
        <f>IF($A426="","",IF($W426=1,Settings!$C$6,Settings!$C$7)*1)</f>
        <v/>
      </c>
      <c r="U426">
        <f>IF($A426="","",IF(COUNTIF($A$2:$A426,$A426)=1,1,0))</f>
        <v/>
      </c>
      <c r="V426">
        <f>IF($U426=1,SUMPRODUCT(--($X$2:$X$1001&lt;$X426))+1,"")</f>
        <v/>
      </c>
      <c r="W426">
        <f>IF($A426="","",IF(OR($T426=TRUE(),$T426="TRUE"),1,0))</f>
        <v/>
      </c>
      <c r="X426">
        <f>IF($U426=1,IFERROR(IF(VALUE($A426)&lt;100000000,VALUE($A426),1000000000),IFERROR(IF(VALUE(MID($A426,2,20))&lt;100000000,VALUE(MID($A426,2,20)),1000000000),1000000000))+ROW()/100000,"")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IF($A427="","",E427*N427/100)</f>
        <v/>
      </c>
      <c r="J427" s="7" t="n"/>
      <c r="K427" s="7">
        <f>IF($A427="","",S427*N427)</f>
        <v/>
      </c>
      <c r="L427" s="7">
        <f>IF($A427="","",N427-K427)</f>
        <v/>
      </c>
      <c r="M427" s="7">
        <f>IF($A427="","",L427-F427)</f>
        <v/>
      </c>
      <c r="N427" s="7" t="n"/>
      <c r="Q427" s="11" t="n"/>
      <c r="S427">
        <f>IF($A427="","",IF($W427=1,Settings!$C$6,Settings!$C$7)*1)</f>
        <v/>
      </c>
      <c r="U427">
        <f>IF($A427="","",IF(COUNTIF($A$2:$A427,$A427)=1,1,0))</f>
        <v/>
      </c>
      <c r="V427">
        <f>IF($U427=1,SUMPRODUCT(--($X$2:$X$1001&lt;$X427))+1,"")</f>
        <v/>
      </c>
      <c r="W427">
        <f>IF($A427="","",IF(OR($T427=TRUE(),$T427="TRUE"),1,0))</f>
        <v/>
      </c>
      <c r="X427">
        <f>IF($U427=1,IFERROR(IF(VALUE($A427)&lt;100000000,VALUE($A427),1000000000),IFERROR(IF(VALUE(MID($A427,2,20))&lt;100000000,VALUE(MID($A427,2,20)),1000000000),1000000000))+ROW()/100000,"")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IF($A428="","",E428*N428/100)</f>
        <v/>
      </c>
      <c r="J428" s="7" t="n"/>
      <c r="K428" s="7">
        <f>IF($A428="","",S428*N428)</f>
        <v/>
      </c>
      <c r="L428" s="7">
        <f>IF($A428="","",N428-K428)</f>
        <v/>
      </c>
      <c r="M428" s="7">
        <f>IF($A428="","",L428-F428)</f>
        <v/>
      </c>
      <c r="N428" s="7" t="n"/>
      <c r="Q428" s="11" t="n"/>
      <c r="S428">
        <f>IF($A428="","",IF($W428=1,Settings!$C$6,Settings!$C$7)*1)</f>
        <v/>
      </c>
      <c r="U428">
        <f>IF($A428="","",IF(COUNTIF($A$2:$A428,$A428)=1,1,0))</f>
        <v/>
      </c>
      <c r="V428">
        <f>IF($U428=1,SUMPRODUCT(--($X$2:$X$1001&lt;$X428))+1,"")</f>
        <v/>
      </c>
      <c r="W428">
        <f>IF($A428="","",IF(OR($T428=TRUE(),$T428="TRUE"),1,0))</f>
        <v/>
      </c>
      <c r="X428">
        <f>IF($U428=1,IFERROR(IF(VALUE($A428)&lt;100000000,VALUE($A428),1000000000),IFERROR(IF(VALUE(MID($A428,2,20))&lt;100000000,VALUE(MID($A428,2,20)),1000000000),1000000000))+ROW()/100000,"")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IF($A429="","",E429*N429/100)</f>
        <v/>
      </c>
      <c r="J429" s="7" t="n"/>
      <c r="K429" s="7">
        <f>IF($A429="","",S429*N429)</f>
        <v/>
      </c>
      <c r="L429" s="7">
        <f>IF($A429="","",N429-K429)</f>
        <v/>
      </c>
      <c r="M429" s="7">
        <f>IF($A429="","",L429-F429)</f>
        <v/>
      </c>
      <c r="N429" s="7" t="n"/>
      <c r="Q429" s="11" t="n"/>
      <c r="S429">
        <f>IF($A429="","",IF($W429=1,Settings!$C$6,Settings!$C$7)*1)</f>
        <v/>
      </c>
      <c r="U429">
        <f>IF($A429="","",IF(COUNTIF($A$2:$A429,$A429)=1,1,0))</f>
        <v/>
      </c>
      <c r="V429">
        <f>IF($U429=1,SUMPRODUCT(--($X$2:$X$1001&lt;$X429))+1,"")</f>
        <v/>
      </c>
      <c r="W429">
        <f>IF($A429="","",IF(OR($T429=TRUE(),$T429="TRUE"),1,0))</f>
        <v/>
      </c>
      <c r="X429">
        <f>IF($U429=1,IFERROR(IF(VALUE($A429)&lt;100000000,VALUE($A429),1000000000),IFERROR(IF(VALUE(MID($A429,2,20))&lt;100000000,VALUE(MID($A429,2,20)),1000000000),1000000000))+ROW()/100000,"")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IF($A430="","",E430*N430/100)</f>
        <v/>
      </c>
      <c r="J430" s="7" t="n"/>
      <c r="K430" s="7">
        <f>IF($A430="","",S430*N430)</f>
        <v/>
      </c>
      <c r="L430" s="7">
        <f>IF($A430="","",N430-K430)</f>
        <v/>
      </c>
      <c r="M430" s="7">
        <f>IF($A430="","",L430-F430)</f>
        <v/>
      </c>
      <c r="N430" s="7" t="n"/>
      <c r="Q430" s="11" t="n"/>
      <c r="S430">
        <f>IF($A430="","",IF($W430=1,Settings!$C$6,Settings!$C$7)*1)</f>
        <v/>
      </c>
      <c r="U430">
        <f>IF($A430="","",IF(COUNTIF($A$2:$A430,$A430)=1,1,0))</f>
        <v/>
      </c>
      <c r="V430">
        <f>IF($U430=1,SUMPRODUCT(--($X$2:$X$1001&lt;$X430))+1,"")</f>
        <v/>
      </c>
      <c r="W430">
        <f>IF($A430="","",IF(OR($T430=TRUE(),$T430="TRUE"),1,0))</f>
        <v/>
      </c>
      <c r="X430">
        <f>IF($U430=1,IFERROR(IF(VALUE($A430)&lt;100000000,VALUE($A430),1000000000),IFERROR(IF(VALUE(MID($A430,2,20))&lt;100000000,VALUE(MID($A430,2,20)),1000000000),1000000000))+ROW()/100000,"")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IF($A431="","",E431*N431/100)</f>
        <v/>
      </c>
      <c r="J431" s="7" t="n"/>
      <c r="K431" s="7">
        <f>IF($A431="","",S431*N431)</f>
        <v/>
      </c>
      <c r="L431" s="7">
        <f>IF($A431="","",N431-K431)</f>
        <v/>
      </c>
      <c r="M431" s="7">
        <f>IF($A431="","",L431-F431)</f>
        <v/>
      </c>
      <c r="N431" s="7" t="n"/>
      <c r="Q431" s="11" t="n"/>
      <c r="S431">
        <f>IF($A431="","",IF($W431=1,Settings!$C$6,Settings!$C$7)*1)</f>
        <v/>
      </c>
      <c r="U431">
        <f>IF($A431="","",IF(COUNTIF($A$2:$A431,$A431)=1,1,0))</f>
        <v/>
      </c>
      <c r="V431">
        <f>IF($U431=1,SUMPRODUCT(--($X$2:$X$1001&lt;$X431))+1,"")</f>
        <v/>
      </c>
      <c r="W431">
        <f>IF($A431="","",IF(OR($T431=TRUE(),$T431="TRUE"),1,0))</f>
        <v/>
      </c>
      <c r="X431">
        <f>IF($U431=1,IFERROR(IF(VALUE($A431)&lt;100000000,VALUE($A431),1000000000),IFERROR(IF(VALUE(MID($A431,2,20))&lt;100000000,VALUE(MID($A431,2,20)),1000000000),1000000000))+ROW()/100000,"")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IF($A432="","",E432*N432/100)</f>
        <v/>
      </c>
      <c r="J432" s="7" t="n"/>
      <c r="K432" s="7">
        <f>IF($A432="","",S432*N432)</f>
        <v/>
      </c>
      <c r="L432" s="7">
        <f>IF($A432="","",N432-K432)</f>
        <v/>
      </c>
      <c r="M432" s="7">
        <f>IF($A432="","",L432-F432)</f>
        <v/>
      </c>
      <c r="N432" s="7" t="n"/>
      <c r="Q432" s="11" t="n"/>
      <c r="S432">
        <f>IF($A432="","",IF($W432=1,Settings!$C$6,Settings!$C$7)*1)</f>
        <v/>
      </c>
      <c r="U432">
        <f>IF($A432="","",IF(COUNTIF($A$2:$A432,$A432)=1,1,0))</f>
        <v/>
      </c>
      <c r="V432">
        <f>IF($U432=1,SUMPRODUCT(--($X$2:$X$1001&lt;$X432))+1,"")</f>
        <v/>
      </c>
      <c r="W432">
        <f>IF($A432="","",IF(OR($T432=TRUE(),$T432="TRUE"),1,0))</f>
        <v/>
      </c>
      <c r="X432">
        <f>IF($U432=1,IFERROR(IF(VALUE($A432)&lt;100000000,VALUE($A432),1000000000),IFERROR(IF(VALUE(MID($A432,2,20))&lt;100000000,VALUE(MID($A432,2,20)),1000000000),1000000000))+ROW()/100000,"")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IF($A433="","",E433*N433/100)</f>
        <v/>
      </c>
      <c r="J433" s="7" t="n"/>
      <c r="K433" s="7">
        <f>IF($A433="","",S433*N433)</f>
        <v/>
      </c>
      <c r="L433" s="7">
        <f>IF($A433="","",N433-K433)</f>
        <v/>
      </c>
      <c r="M433" s="7">
        <f>IF($A433="","",L433-F433)</f>
        <v/>
      </c>
      <c r="N433" s="7" t="n"/>
      <c r="Q433" s="11" t="n"/>
      <c r="S433">
        <f>IF($A433="","",IF($W433=1,Settings!$C$6,Settings!$C$7)*1)</f>
        <v/>
      </c>
      <c r="U433">
        <f>IF($A433="","",IF(COUNTIF($A$2:$A433,$A433)=1,1,0))</f>
        <v/>
      </c>
      <c r="V433">
        <f>IF($U433=1,SUMPRODUCT(--($X$2:$X$1001&lt;$X433))+1,"")</f>
        <v/>
      </c>
      <c r="W433">
        <f>IF($A433="","",IF(OR($T433=TRUE(),$T433="TRUE"),1,0))</f>
        <v/>
      </c>
      <c r="X433">
        <f>IF($U433=1,IFERROR(IF(VALUE($A433)&lt;100000000,VALUE($A433),1000000000),IFERROR(IF(VALUE(MID($A433,2,20))&lt;100000000,VALUE(MID($A433,2,20)),1000000000),1000000000))+ROW()/100000,"")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IF($A434="","",E434*N434/100)</f>
        <v/>
      </c>
      <c r="J434" s="7" t="n"/>
      <c r="K434" s="7">
        <f>IF($A434="","",S434*N434)</f>
        <v/>
      </c>
      <c r="L434" s="7">
        <f>IF($A434="","",N434-K434)</f>
        <v/>
      </c>
      <c r="M434" s="7">
        <f>IF($A434="","",L434-F434)</f>
        <v/>
      </c>
      <c r="N434" s="7" t="n"/>
      <c r="Q434" s="11" t="n"/>
      <c r="S434">
        <f>IF($A434="","",IF($W434=1,Settings!$C$6,Settings!$C$7)*1)</f>
        <v/>
      </c>
      <c r="U434">
        <f>IF($A434="","",IF(COUNTIF($A$2:$A434,$A434)=1,1,0))</f>
        <v/>
      </c>
      <c r="V434">
        <f>IF($U434=1,SUMPRODUCT(--($X$2:$X$1001&lt;$X434))+1,"")</f>
        <v/>
      </c>
      <c r="W434">
        <f>IF($A434="","",IF(OR($T434=TRUE(),$T434="TRUE"),1,0))</f>
        <v/>
      </c>
      <c r="X434">
        <f>IF($U434=1,IFERROR(IF(VALUE($A434)&lt;100000000,VALUE($A434),1000000000),IFERROR(IF(VALUE(MID($A434,2,20))&lt;100000000,VALUE(MID($A434,2,20)),1000000000),1000000000))+ROW()/100000,"")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IF($A435="","",E435*N435/100)</f>
        <v/>
      </c>
      <c r="J435" s="7" t="n"/>
      <c r="K435" s="7">
        <f>IF($A435="","",S435*N435)</f>
        <v/>
      </c>
      <c r="L435" s="7">
        <f>IF($A435="","",N435-K435)</f>
        <v/>
      </c>
      <c r="M435" s="7">
        <f>IF($A435="","",L435-F435)</f>
        <v/>
      </c>
      <c r="N435" s="7" t="n"/>
      <c r="Q435" s="11" t="n"/>
      <c r="S435">
        <f>IF($A435="","",IF($W435=1,Settings!$C$6,Settings!$C$7)*1)</f>
        <v/>
      </c>
      <c r="U435">
        <f>IF($A435="","",IF(COUNTIF($A$2:$A435,$A435)=1,1,0))</f>
        <v/>
      </c>
      <c r="V435">
        <f>IF($U435=1,SUMPRODUCT(--($X$2:$X$1001&lt;$X435))+1,"")</f>
        <v/>
      </c>
      <c r="W435">
        <f>IF($A435="","",IF(OR($T435=TRUE(),$T435="TRUE"),1,0))</f>
        <v/>
      </c>
      <c r="X435">
        <f>IF($U435=1,IFERROR(IF(VALUE($A435)&lt;100000000,VALUE($A435),1000000000),IFERROR(IF(VALUE(MID($A435,2,20))&lt;100000000,VALUE(MID($A435,2,20)),1000000000),1000000000))+ROW()/100000,"")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IF($A436="","",E436*N436/100)</f>
        <v/>
      </c>
      <c r="J436" s="7" t="n"/>
      <c r="K436" s="7">
        <f>IF($A436="","",S436*N436)</f>
        <v/>
      </c>
      <c r="L436" s="7">
        <f>IF($A436="","",N436-K436)</f>
        <v/>
      </c>
      <c r="M436" s="7">
        <f>IF($A436="","",L436-F436)</f>
        <v/>
      </c>
      <c r="N436" s="7" t="n"/>
      <c r="Q436" s="11" t="n"/>
      <c r="S436">
        <f>IF($A436="","",IF($W436=1,Settings!$C$6,Settings!$C$7)*1)</f>
        <v/>
      </c>
      <c r="U436">
        <f>IF($A436="","",IF(COUNTIF($A$2:$A436,$A436)=1,1,0))</f>
        <v/>
      </c>
      <c r="V436">
        <f>IF($U436=1,SUMPRODUCT(--($X$2:$X$1001&lt;$X436))+1,"")</f>
        <v/>
      </c>
      <c r="W436">
        <f>IF($A436="","",IF(OR($T436=TRUE(),$T436="TRUE"),1,0))</f>
        <v/>
      </c>
      <c r="X436">
        <f>IF($U436=1,IFERROR(IF(VALUE($A436)&lt;100000000,VALUE($A436),1000000000),IFERROR(IF(VALUE(MID($A436,2,20))&lt;100000000,VALUE(MID($A436,2,20)),1000000000),1000000000))+ROW()/100000,"")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IF($A437="","",E437*N437/100)</f>
        <v/>
      </c>
      <c r="J437" s="7" t="n"/>
      <c r="K437" s="7">
        <f>IF($A437="","",S437*N437)</f>
        <v/>
      </c>
      <c r="L437" s="7">
        <f>IF($A437="","",N437-K437)</f>
        <v/>
      </c>
      <c r="M437" s="7">
        <f>IF($A437="","",L437-F437)</f>
        <v/>
      </c>
      <c r="N437" s="7" t="n"/>
      <c r="Q437" s="11" t="n"/>
      <c r="S437">
        <f>IF($A437="","",IF($W437=1,Settings!$C$6,Settings!$C$7)*1)</f>
        <v/>
      </c>
      <c r="U437">
        <f>IF($A437="","",IF(COUNTIF($A$2:$A437,$A437)=1,1,0))</f>
        <v/>
      </c>
      <c r="V437">
        <f>IF($U437=1,SUMPRODUCT(--($X$2:$X$1001&lt;$X437))+1,"")</f>
        <v/>
      </c>
      <c r="W437">
        <f>IF($A437="","",IF(OR($T437=TRUE(),$T437="TRUE"),1,0))</f>
        <v/>
      </c>
      <c r="X437">
        <f>IF($U437=1,IFERROR(IF(VALUE($A437)&lt;100000000,VALUE($A437),1000000000),IFERROR(IF(VALUE(MID($A437,2,20))&lt;100000000,VALUE(MID($A437,2,20)),1000000000),1000000000))+ROW()/100000,"")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IF($A438="","",E438*N438/100)</f>
        <v/>
      </c>
      <c r="J438" s="7" t="n"/>
      <c r="K438" s="7">
        <f>IF($A438="","",S438*N438)</f>
        <v/>
      </c>
      <c r="L438" s="7">
        <f>IF($A438="","",N438-K438)</f>
        <v/>
      </c>
      <c r="M438" s="7">
        <f>IF($A438="","",L438-F438)</f>
        <v/>
      </c>
      <c r="N438" s="7" t="n"/>
      <c r="Q438" s="11" t="n"/>
      <c r="S438">
        <f>IF($A438="","",IF($W438=1,Settings!$C$6,Settings!$C$7)*1)</f>
        <v/>
      </c>
      <c r="U438">
        <f>IF($A438="","",IF(COUNTIF($A$2:$A438,$A438)=1,1,0))</f>
        <v/>
      </c>
      <c r="V438">
        <f>IF($U438=1,SUMPRODUCT(--($X$2:$X$1001&lt;$X438))+1,"")</f>
        <v/>
      </c>
      <c r="W438">
        <f>IF($A438="","",IF(OR($T438=TRUE(),$T438="TRUE"),1,0))</f>
        <v/>
      </c>
      <c r="X438">
        <f>IF($U438=1,IFERROR(IF(VALUE($A438)&lt;100000000,VALUE($A438),1000000000),IFERROR(IF(VALUE(MID($A438,2,20))&lt;100000000,VALUE(MID($A438,2,20)),1000000000),1000000000))+ROW()/100000,"")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IF($A439="","",E439*N439/100)</f>
        <v/>
      </c>
      <c r="J439" s="7" t="n"/>
      <c r="K439" s="7">
        <f>IF($A439="","",S439*N439)</f>
        <v/>
      </c>
      <c r="L439" s="7">
        <f>IF($A439="","",N439-K439)</f>
        <v/>
      </c>
      <c r="M439" s="7">
        <f>IF($A439="","",L439-F439)</f>
        <v/>
      </c>
      <c r="N439" s="7" t="n"/>
      <c r="Q439" s="11" t="n"/>
      <c r="S439">
        <f>IF($A439="","",IF($W439=1,Settings!$C$6,Settings!$C$7)*1)</f>
        <v/>
      </c>
      <c r="U439">
        <f>IF($A439="","",IF(COUNTIF($A$2:$A439,$A439)=1,1,0))</f>
        <v/>
      </c>
      <c r="V439">
        <f>IF($U439=1,SUMPRODUCT(--($X$2:$X$1001&lt;$X439))+1,"")</f>
        <v/>
      </c>
      <c r="W439">
        <f>IF($A439="","",IF(OR($T439=TRUE(),$T439="TRUE"),1,0))</f>
        <v/>
      </c>
      <c r="X439">
        <f>IF($U439=1,IFERROR(IF(VALUE($A439)&lt;100000000,VALUE($A439),1000000000),IFERROR(IF(VALUE(MID($A439,2,20))&lt;100000000,VALUE(MID($A439,2,20)),1000000000),1000000000))+ROW()/100000,"")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IF($A440="","",E440*N440/100)</f>
        <v/>
      </c>
      <c r="J440" s="7" t="n"/>
      <c r="K440" s="7">
        <f>IF($A440="","",S440*N440)</f>
        <v/>
      </c>
      <c r="L440" s="7">
        <f>IF($A440="","",N440-K440)</f>
        <v/>
      </c>
      <c r="M440" s="7">
        <f>IF($A440="","",L440-F440)</f>
        <v/>
      </c>
      <c r="N440" s="7" t="n"/>
      <c r="Q440" s="11" t="n"/>
      <c r="S440">
        <f>IF($A440="","",IF($W440=1,Settings!$C$6,Settings!$C$7)*1)</f>
        <v/>
      </c>
      <c r="U440">
        <f>IF($A440="","",IF(COUNTIF($A$2:$A440,$A440)=1,1,0))</f>
        <v/>
      </c>
      <c r="V440">
        <f>IF($U440=1,SUMPRODUCT(--($X$2:$X$1001&lt;$X440))+1,"")</f>
        <v/>
      </c>
      <c r="W440">
        <f>IF($A440="","",IF(OR($T440=TRUE(),$T440="TRUE"),1,0))</f>
        <v/>
      </c>
      <c r="X440">
        <f>IF($U440=1,IFERROR(IF(VALUE($A440)&lt;100000000,VALUE($A440),1000000000),IFERROR(IF(VALUE(MID($A440,2,20))&lt;100000000,VALUE(MID($A440,2,20)),1000000000),1000000000))+ROW()/100000,"")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IF($A441="","",E441*N441/100)</f>
        <v/>
      </c>
      <c r="J441" s="7" t="n"/>
      <c r="K441" s="7">
        <f>IF($A441="","",S441*N441)</f>
        <v/>
      </c>
      <c r="L441" s="7">
        <f>IF($A441="","",N441-K441)</f>
        <v/>
      </c>
      <c r="M441" s="7">
        <f>IF($A441="","",L441-F441)</f>
        <v/>
      </c>
      <c r="N441" s="7" t="n"/>
      <c r="Q441" s="11" t="n"/>
      <c r="S441">
        <f>IF($A441="","",IF($W441=1,Settings!$C$6,Settings!$C$7)*1)</f>
        <v/>
      </c>
      <c r="U441">
        <f>IF($A441="","",IF(COUNTIF($A$2:$A441,$A441)=1,1,0))</f>
        <v/>
      </c>
      <c r="V441">
        <f>IF($U441=1,SUMPRODUCT(--($X$2:$X$1001&lt;$X441))+1,"")</f>
        <v/>
      </c>
      <c r="W441">
        <f>IF($A441="","",IF(OR($T441=TRUE(),$T441="TRUE"),1,0))</f>
        <v/>
      </c>
      <c r="X441">
        <f>IF($U441=1,IFERROR(IF(VALUE($A441)&lt;100000000,VALUE($A441),1000000000),IFERROR(IF(VALUE(MID($A441,2,20))&lt;100000000,VALUE(MID($A441,2,20)),1000000000),1000000000))+ROW()/100000,"")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IF($A442="","",E442*N442/100)</f>
        <v/>
      </c>
      <c r="J442" s="7" t="n"/>
      <c r="K442" s="7">
        <f>IF($A442="","",S442*N442)</f>
        <v/>
      </c>
      <c r="L442" s="7">
        <f>IF($A442="","",N442-K442)</f>
        <v/>
      </c>
      <c r="M442" s="7">
        <f>IF($A442="","",L442-F442)</f>
        <v/>
      </c>
      <c r="N442" s="7" t="n"/>
      <c r="Q442" s="11" t="n"/>
      <c r="S442">
        <f>IF($A442="","",IF($W442=1,Settings!$C$6,Settings!$C$7)*1)</f>
        <v/>
      </c>
      <c r="U442">
        <f>IF($A442="","",IF(COUNTIF($A$2:$A442,$A442)=1,1,0))</f>
        <v/>
      </c>
      <c r="V442">
        <f>IF($U442=1,SUMPRODUCT(--($X$2:$X$1001&lt;$X442))+1,"")</f>
        <v/>
      </c>
      <c r="W442">
        <f>IF($A442="","",IF(OR($T442=TRUE(),$T442="TRUE"),1,0))</f>
        <v/>
      </c>
      <c r="X442">
        <f>IF($U442=1,IFERROR(IF(VALUE($A442)&lt;100000000,VALUE($A442),1000000000),IFERROR(IF(VALUE(MID($A442,2,20))&lt;100000000,VALUE(MID($A442,2,20)),1000000000),1000000000))+ROW()/100000,"")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IF($A443="","",E443*N443/100)</f>
        <v/>
      </c>
      <c r="J443" s="7" t="n"/>
      <c r="K443" s="7">
        <f>IF($A443="","",S443*N443)</f>
        <v/>
      </c>
      <c r="L443" s="7">
        <f>IF($A443="","",N443-K443)</f>
        <v/>
      </c>
      <c r="M443" s="7">
        <f>IF($A443="","",L443-F443)</f>
        <v/>
      </c>
      <c r="N443" s="7" t="n"/>
      <c r="Q443" s="11" t="n"/>
      <c r="S443">
        <f>IF($A443="","",IF($W443=1,Settings!$C$6,Settings!$C$7)*1)</f>
        <v/>
      </c>
      <c r="U443">
        <f>IF($A443="","",IF(COUNTIF($A$2:$A443,$A443)=1,1,0))</f>
        <v/>
      </c>
      <c r="V443">
        <f>IF($U443=1,SUMPRODUCT(--($X$2:$X$1001&lt;$X443))+1,"")</f>
        <v/>
      </c>
      <c r="W443">
        <f>IF($A443="","",IF(OR($T443=TRUE(),$T443="TRUE"),1,0))</f>
        <v/>
      </c>
      <c r="X443">
        <f>IF($U443=1,IFERROR(IF(VALUE($A443)&lt;100000000,VALUE($A443),1000000000),IFERROR(IF(VALUE(MID($A443,2,20))&lt;100000000,VALUE(MID($A443,2,20)),1000000000),1000000000))+ROW()/100000,"")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IF($A444="","",E444*N444/100)</f>
        <v/>
      </c>
      <c r="J444" s="7" t="n"/>
      <c r="K444" s="7">
        <f>IF($A444="","",S444*N444)</f>
        <v/>
      </c>
      <c r="L444" s="7">
        <f>IF($A444="","",N444-K444)</f>
        <v/>
      </c>
      <c r="M444" s="7">
        <f>IF($A444="","",L444-F444)</f>
        <v/>
      </c>
      <c r="N444" s="7" t="n"/>
      <c r="Q444" s="11" t="n"/>
      <c r="S444">
        <f>IF($A444="","",IF($W444=1,Settings!$C$6,Settings!$C$7)*1)</f>
        <v/>
      </c>
      <c r="U444">
        <f>IF($A444="","",IF(COUNTIF($A$2:$A444,$A444)=1,1,0))</f>
        <v/>
      </c>
      <c r="V444">
        <f>IF($U444=1,SUMPRODUCT(--($X$2:$X$1001&lt;$X444))+1,"")</f>
        <v/>
      </c>
      <c r="W444">
        <f>IF($A444="","",IF(OR($T444=TRUE(),$T444="TRUE"),1,0))</f>
        <v/>
      </c>
      <c r="X444">
        <f>IF($U444=1,IFERROR(IF(VALUE($A444)&lt;100000000,VALUE($A444),1000000000),IFERROR(IF(VALUE(MID($A444,2,20))&lt;100000000,VALUE(MID($A444,2,20)),1000000000),1000000000))+ROW()/100000,"")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IF($A445="","",E445*N445/100)</f>
        <v/>
      </c>
      <c r="J445" s="7" t="n"/>
      <c r="K445" s="7">
        <f>IF($A445="","",S445*N445)</f>
        <v/>
      </c>
      <c r="L445" s="7">
        <f>IF($A445="","",N445-K445)</f>
        <v/>
      </c>
      <c r="M445" s="7">
        <f>IF($A445="","",L445-F445)</f>
        <v/>
      </c>
      <c r="N445" s="7" t="n"/>
      <c r="Q445" s="11" t="n"/>
      <c r="S445">
        <f>IF($A445="","",IF($W445=1,Settings!$C$6,Settings!$C$7)*1)</f>
        <v/>
      </c>
      <c r="U445">
        <f>IF($A445="","",IF(COUNTIF($A$2:$A445,$A445)=1,1,0))</f>
        <v/>
      </c>
      <c r="V445">
        <f>IF($U445=1,SUMPRODUCT(--($X$2:$X$1001&lt;$X445))+1,"")</f>
        <v/>
      </c>
      <c r="W445">
        <f>IF($A445="","",IF(OR($T445=TRUE(),$T445="TRUE"),1,0))</f>
        <v/>
      </c>
      <c r="X445">
        <f>IF($U445=1,IFERROR(IF(VALUE($A445)&lt;100000000,VALUE($A445),1000000000),IFERROR(IF(VALUE(MID($A445,2,20))&lt;100000000,VALUE(MID($A445,2,20)),1000000000),1000000000))+ROW()/100000,"")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IF($A446="","",E446*N446/100)</f>
        <v/>
      </c>
      <c r="J446" s="7" t="n"/>
      <c r="K446" s="7">
        <f>IF($A446="","",S446*N446)</f>
        <v/>
      </c>
      <c r="L446" s="7">
        <f>IF($A446="","",N446-K446)</f>
        <v/>
      </c>
      <c r="M446" s="7">
        <f>IF($A446="","",L446-F446)</f>
        <v/>
      </c>
      <c r="N446" s="7" t="n"/>
      <c r="Q446" s="11" t="n"/>
      <c r="S446">
        <f>IF($A446="","",IF($W446=1,Settings!$C$6,Settings!$C$7)*1)</f>
        <v/>
      </c>
      <c r="U446">
        <f>IF($A446="","",IF(COUNTIF($A$2:$A446,$A446)=1,1,0))</f>
        <v/>
      </c>
      <c r="V446">
        <f>IF($U446=1,SUMPRODUCT(--($X$2:$X$1001&lt;$X446))+1,"")</f>
        <v/>
      </c>
      <c r="W446">
        <f>IF($A446="","",IF(OR($T446=TRUE(),$T446="TRUE"),1,0))</f>
        <v/>
      </c>
      <c r="X446">
        <f>IF($U446=1,IFERROR(IF(VALUE($A446)&lt;100000000,VALUE($A446),1000000000),IFERROR(IF(VALUE(MID($A446,2,20))&lt;100000000,VALUE(MID($A446,2,20)),1000000000),1000000000))+ROW()/100000,"")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IF($A447="","",E447*N447/100)</f>
        <v/>
      </c>
      <c r="J447" s="7" t="n"/>
      <c r="K447" s="7">
        <f>IF($A447="","",S447*N447)</f>
        <v/>
      </c>
      <c r="L447" s="7">
        <f>IF($A447="","",N447-K447)</f>
        <v/>
      </c>
      <c r="M447" s="7">
        <f>IF($A447="","",L447-F447)</f>
        <v/>
      </c>
      <c r="N447" s="7" t="n"/>
      <c r="Q447" s="11" t="n"/>
      <c r="S447">
        <f>IF($A447="","",IF($W447=1,Settings!$C$6,Settings!$C$7)*1)</f>
        <v/>
      </c>
      <c r="U447">
        <f>IF($A447="","",IF(COUNTIF($A$2:$A447,$A447)=1,1,0))</f>
        <v/>
      </c>
      <c r="V447">
        <f>IF($U447=1,SUMPRODUCT(--($X$2:$X$1001&lt;$X447))+1,"")</f>
        <v/>
      </c>
      <c r="W447">
        <f>IF($A447="","",IF(OR($T447=TRUE(),$T447="TRUE"),1,0))</f>
        <v/>
      </c>
      <c r="X447">
        <f>IF($U447=1,IFERROR(IF(VALUE($A447)&lt;100000000,VALUE($A447),1000000000),IFERROR(IF(VALUE(MID($A447,2,20))&lt;100000000,VALUE(MID($A447,2,20)),1000000000),1000000000))+ROW()/100000,"")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IF($A448="","",E448*N448/100)</f>
        <v/>
      </c>
      <c r="J448" s="7" t="n"/>
      <c r="K448" s="7">
        <f>IF($A448="","",S448*N448)</f>
        <v/>
      </c>
      <c r="L448" s="7">
        <f>IF($A448="","",N448-K448)</f>
        <v/>
      </c>
      <c r="M448" s="7">
        <f>IF($A448="","",L448-F448)</f>
        <v/>
      </c>
      <c r="N448" s="7" t="n"/>
      <c r="Q448" s="11" t="n"/>
      <c r="S448">
        <f>IF($A448="","",IF($W448=1,Settings!$C$6,Settings!$C$7)*1)</f>
        <v/>
      </c>
      <c r="U448">
        <f>IF($A448="","",IF(COUNTIF($A$2:$A448,$A448)=1,1,0))</f>
        <v/>
      </c>
      <c r="V448">
        <f>IF($U448=1,SUMPRODUCT(--($X$2:$X$1001&lt;$X448))+1,"")</f>
        <v/>
      </c>
      <c r="W448">
        <f>IF($A448="","",IF(OR($T448=TRUE(),$T448="TRUE"),1,0))</f>
        <v/>
      </c>
      <c r="X448">
        <f>IF($U448=1,IFERROR(IF(VALUE($A448)&lt;100000000,VALUE($A448),1000000000),IFERROR(IF(VALUE(MID($A448,2,20))&lt;100000000,VALUE(MID($A448,2,20)),1000000000),1000000000))+ROW()/100000,"")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IF($A449="","",E449*N449/100)</f>
        <v/>
      </c>
      <c r="J449" s="7" t="n"/>
      <c r="K449" s="7">
        <f>IF($A449="","",S449*N449)</f>
        <v/>
      </c>
      <c r="L449" s="7">
        <f>IF($A449="","",N449-K449)</f>
        <v/>
      </c>
      <c r="M449" s="7">
        <f>IF($A449="","",L449-F449)</f>
        <v/>
      </c>
      <c r="N449" s="7" t="n"/>
      <c r="Q449" s="11" t="n"/>
      <c r="S449">
        <f>IF($A449="","",IF($W449=1,Settings!$C$6,Settings!$C$7)*1)</f>
        <v/>
      </c>
      <c r="U449">
        <f>IF($A449="","",IF(COUNTIF($A$2:$A449,$A449)=1,1,0))</f>
        <v/>
      </c>
      <c r="V449">
        <f>IF($U449=1,SUMPRODUCT(--($X$2:$X$1001&lt;$X449))+1,"")</f>
        <v/>
      </c>
      <c r="W449">
        <f>IF($A449="","",IF(OR($T449=TRUE(),$T449="TRUE"),1,0))</f>
        <v/>
      </c>
      <c r="X449">
        <f>IF($U449=1,IFERROR(IF(VALUE($A449)&lt;100000000,VALUE($A449),1000000000),IFERROR(IF(VALUE(MID($A449,2,20))&lt;100000000,VALUE(MID($A449,2,20)),1000000000),1000000000))+ROW()/100000,"")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IF($A450="","",E450*N450/100)</f>
        <v/>
      </c>
      <c r="J450" s="7" t="n"/>
      <c r="K450" s="7">
        <f>IF($A450="","",S450*N450)</f>
        <v/>
      </c>
      <c r="L450" s="7">
        <f>IF($A450="","",N450-K450)</f>
        <v/>
      </c>
      <c r="M450" s="7">
        <f>IF($A450="","",L450-F450)</f>
        <v/>
      </c>
      <c r="N450" s="7" t="n"/>
      <c r="Q450" s="11" t="n"/>
      <c r="S450">
        <f>IF($A450="","",IF($W450=1,Settings!$C$6,Settings!$C$7)*1)</f>
        <v/>
      </c>
      <c r="U450">
        <f>IF($A450="","",IF(COUNTIF($A$2:$A450,$A450)=1,1,0))</f>
        <v/>
      </c>
      <c r="V450">
        <f>IF($U450=1,SUMPRODUCT(--($X$2:$X$1001&lt;$X450))+1,"")</f>
        <v/>
      </c>
      <c r="W450">
        <f>IF($A450="","",IF(OR($T450=TRUE(),$T450="TRUE"),1,0))</f>
        <v/>
      </c>
      <c r="X450">
        <f>IF($U450=1,IFERROR(IF(VALUE($A450)&lt;100000000,VALUE($A450),1000000000),IFERROR(IF(VALUE(MID($A450,2,20))&lt;100000000,VALUE(MID($A450,2,20)),1000000000),1000000000))+ROW()/100000,"")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IF($A451="","",E451*N451/100)</f>
        <v/>
      </c>
      <c r="J451" s="7" t="n"/>
      <c r="K451" s="7">
        <f>IF($A451="","",S451*N451)</f>
        <v/>
      </c>
      <c r="L451" s="7">
        <f>IF($A451="","",N451-K451)</f>
        <v/>
      </c>
      <c r="M451" s="7">
        <f>IF($A451="","",L451-F451)</f>
        <v/>
      </c>
      <c r="N451" s="7" t="n"/>
      <c r="Q451" s="11" t="n"/>
      <c r="S451">
        <f>IF($A451="","",IF($W451=1,Settings!$C$6,Settings!$C$7)*1)</f>
        <v/>
      </c>
      <c r="U451">
        <f>IF($A451="","",IF(COUNTIF($A$2:$A451,$A451)=1,1,0))</f>
        <v/>
      </c>
      <c r="V451">
        <f>IF($U451=1,SUMPRODUCT(--($X$2:$X$1001&lt;$X451))+1,"")</f>
        <v/>
      </c>
      <c r="W451">
        <f>IF($A451="","",IF(OR($T451=TRUE(),$T451="TRUE"),1,0))</f>
        <v/>
      </c>
      <c r="X451">
        <f>IF($U451=1,IFERROR(IF(VALUE($A451)&lt;100000000,VALUE($A451),1000000000),IFERROR(IF(VALUE(MID($A451,2,20))&lt;100000000,VALUE(MID($A451,2,20)),1000000000),1000000000))+ROW()/100000,"")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IF($A452="","",E452*N452/100)</f>
        <v/>
      </c>
      <c r="J452" s="7" t="n"/>
      <c r="K452" s="7">
        <f>IF($A452="","",S452*N452)</f>
        <v/>
      </c>
      <c r="L452" s="7">
        <f>IF($A452="","",N452-K452)</f>
        <v/>
      </c>
      <c r="M452" s="7">
        <f>IF($A452="","",L452-F452)</f>
        <v/>
      </c>
      <c r="N452" s="7" t="n"/>
      <c r="Q452" s="11" t="n"/>
      <c r="S452">
        <f>IF($A452="","",IF($W452=1,Settings!$C$6,Settings!$C$7)*1)</f>
        <v/>
      </c>
      <c r="U452">
        <f>IF($A452="","",IF(COUNTIF($A$2:$A452,$A452)=1,1,0))</f>
        <v/>
      </c>
      <c r="V452">
        <f>IF($U452=1,SUMPRODUCT(--($X$2:$X$1001&lt;$X452))+1,"")</f>
        <v/>
      </c>
      <c r="W452">
        <f>IF($A452="","",IF(OR($T452=TRUE(),$T452="TRUE"),1,0))</f>
        <v/>
      </c>
      <c r="X452">
        <f>IF($U452=1,IFERROR(IF(VALUE($A452)&lt;100000000,VALUE($A452),1000000000),IFERROR(IF(VALUE(MID($A452,2,20))&lt;100000000,VALUE(MID($A452,2,20)),1000000000),1000000000))+ROW()/100000,"")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IF($A453="","",E453*N453/100)</f>
        <v/>
      </c>
      <c r="J453" s="7" t="n"/>
      <c r="K453" s="7">
        <f>IF($A453="","",S453*N453)</f>
        <v/>
      </c>
      <c r="L453" s="7">
        <f>IF($A453="","",N453-K453)</f>
        <v/>
      </c>
      <c r="M453" s="7">
        <f>IF($A453="","",L453-F453)</f>
        <v/>
      </c>
      <c r="N453" s="7" t="n"/>
      <c r="Q453" s="11" t="n"/>
      <c r="S453">
        <f>IF($A453="","",IF($W453=1,Settings!$C$6,Settings!$C$7)*1)</f>
        <v/>
      </c>
      <c r="U453">
        <f>IF($A453="","",IF(COUNTIF($A$2:$A453,$A453)=1,1,0))</f>
        <v/>
      </c>
      <c r="V453">
        <f>IF($U453=1,SUMPRODUCT(--($X$2:$X$1001&lt;$X453))+1,"")</f>
        <v/>
      </c>
      <c r="W453">
        <f>IF($A453="","",IF(OR($T453=TRUE(),$T453="TRUE"),1,0))</f>
        <v/>
      </c>
      <c r="X453">
        <f>IF($U453=1,IFERROR(IF(VALUE($A453)&lt;100000000,VALUE($A453),1000000000),IFERROR(IF(VALUE(MID($A453,2,20))&lt;100000000,VALUE(MID($A453,2,20)),1000000000),1000000000))+ROW()/100000,"")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IF($A454="","",E454*N454/100)</f>
        <v/>
      </c>
      <c r="J454" s="7" t="n"/>
      <c r="K454" s="7">
        <f>IF($A454="","",S454*N454)</f>
        <v/>
      </c>
      <c r="L454" s="7">
        <f>IF($A454="","",N454-K454)</f>
        <v/>
      </c>
      <c r="M454" s="7">
        <f>IF($A454="","",L454-F454)</f>
        <v/>
      </c>
      <c r="N454" s="7" t="n"/>
      <c r="Q454" s="11" t="n"/>
      <c r="S454">
        <f>IF($A454="","",IF($W454=1,Settings!$C$6,Settings!$C$7)*1)</f>
        <v/>
      </c>
      <c r="U454">
        <f>IF($A454="","",IF(COUNTIF($A$2:$A454,$A454)=1,1,0))</f>
        <v/>
      </c>
      <c r="V454">
        <f>IF($U454=1,SUMPRODUCT(--($X$2:$X$1001&lt;$X454))+1,"")</f>
        <v/>
      </c>
      <c r="W454">
        <f>IF($A454="","",IF(OR($T454=TRUE(),$T454="TRUE"),1,0))</f>
        <v/>
      </c>
      <c r="X454">
        <f>IF($U454=1,IFERROR(IF(VALUE($A454)&lt;100000000,VALUE($A454),1000000000),IFERROR(IF(VALUE(MID($A454,2,20))&lt;100000000,VALUE(MID($A454,2,20)),1000000000),1000000000))+ROW()/100000,"")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IF($A455="","",E455*N455/100)</f>
        <v/>
      </c>
      <c r="J455" s="7" t="n"/>
      <c r="K455" s="7">
        <f>IF($A455="","",S455*N455)</f>
        <v/>
      </c>
      <c r="L455" s="7">
        <f>IF($A455="","",N455-K455)</f>
        <v/>
      </c>
      <c r="M455" s="7">
        <f>IF($A455="","",L455-F455)</f>
        <v/>
      </c>
      <c r="N455" s="7" t="n"/>
      <c r="Q455" s="11" t="n"/>
      <c r="S455">
        <f>IF($A455="","",IF($W455=1,Settings!$C$6,Settings!$C$7)*1)</f>
        <v/>
      </c>
      <c r="U455">
        <f>IF($A455="","",IF(COUNTIF($A$2:$A455,$A455)=1,1,0))</f>
        <v/>
      </c>
      <c r="V455">
        <f>IF($U455=1,SUMPRODUCT(--($X$2:$X$1001&lt;$X455))+1,"")</f>
        <v/>
      </c>
      <c r="W455">
        <f>IF($A455="","",IF(OR($T455=TRUE(),$T455="TRUE"),1,0))</f>
        <v/>
      </c>
      <c r="X455">
        <f>IF($U455=1,IFERROR(IF(VALUE($A455)&lt;100000000,VALUE($A455),1000000000),IFERROR(IF(VALUE(MID($A455,2,20))&lt;100000000,VALUE(MID($A455,2,20)),1000000000),1000000000))+ROW()/100000,"")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IF($A456="","",E456*N456/100)</f>
        <v/>
      </c>
      <c r="J456" s="7" t="n"/>
      <c r="K456" s="7">
        <f>IF($A456="","",S456*N456)</f>
        <v/>
      </c>
      <c r="L456" s="7">
        <f>IF($A456="","",N456-K456)</f>
        <v/>
      </c>
      <c r="M456" s="7">
        <f>IF($A456="","",L456-F456)</f>
        <v/>
      </c>
      <c r="N456" s="7" t="n"/>
      <c r="Q456" s="11" t="n"/>
      <c r="S456">
        <f>IF($A456="","",IF($W456=1,Settings!$C$6,Settings!$C$7)*1)</f>
        <v/>
      </c>
      <c r="U456">
        <f>IF($A456="","",IF(COUNTIF($A$2:$A456,$A456)=1,1,0))</f>
        <v/>
      </c>
      <c r="V456">
        <f>IF($U456=1,SUMPRODUCT(--($X$2:$X$1001&lt;$X456))+1,"")</f>
        <v/>
      </c>
      <c r="W456">
        <f>IF($A456="","",IF(OR($T456=TRUE(),$T456="TRUE"),1,0))</f>
        <v/>
      </c>
      <c r="X456">
        <f>IF($U456=1,IFERROR(IF(VALUE($A456)&lt;100000000,VALUE($A456),1000000000),IFERROR(IF(VALUE(MID($A456,2,20))&lt;100000000,VALUE(MID($A456,2,20)),1000000000),1000000000))+ROW()/100000,"")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IF($A457="","",E457*N457/100)</f>
        <v/>
      </c>
      <c r="J457" s="7" t="n"/>
      <c r="K457" s="7">
        <f>IF($A457="","",S457*N457)</f>
        <v/>
      </c>
      <c r="L457" s="7">
        <f>IF($A457="","",N457-K457)</f>
        <v/>
      </c>
      <c r="M457" s="7">
        <f>IF($A457="","",L457-F457)</f>
        <v/>
      </c>
      <c r="N457" s="7" t="n"/>
      <c r="Q457" s="11" t="n"/>
      <c r="S457">
        <f>IF($A457="","",IF($W457=1,Settings!$C$6,Settings!$C$7)*1)</f>
        <v/>
      </c>
      <c r="U457">
        <f>IF($A457="","",IF(COUNTIF($A$2:$A457,$A457)=1,1,0))</f>
        <v/>
      </c>
      <c r="V457">
        <f>IF($U457=1,SUMPRODUCT(--($X$2:$X$1001&lt;$X457))+1,"")</f>
        <v/>
      </c>
      <c r="W457">
        <f>IF($A457="","",IF(OR($T457=TRUE(),$T457="TRUE"),1,0))</f>
        <v/>
      </c>
      <c r="X457">
        <f>IF($U457=1,IFERROR(IF(VALUE($A457)&lt;100000000,VALUE($A457),1000000000),IFERROR(IF(VALUE(MID($A457,2,20))&lt;100000000,VALUE(MID($A457,2,20)),1000000000),1000000000))+ROW()/100000,"")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IF($A458="","",E458*N458/100)</f>
        <v/>
      </c>
      <c r="J458" s="7" t="n"/>
      <c r="K458" s="7">
        <f>IF($A458="","",S458*N458)</f>
        <v/>
      </c>
      <c r="L458" s="7">
        <f>IF($A458="","",N458-K458)</f>
        <v/>
      </c>
      <c r="M458" s="7">
        <f>IF($A458="","",L458-F458)</f>
        <v/>
      </c>
      <c r="N458" s="7" t="n"/>
      <c r="Q458" s="11" t="n"/>
      <c r="S458">
        <f>IF($A458="","",IF($W458=1,Settings!$C$6,Settings!$C$7)*1)</f>
        <v/>
      </c>
      <c r="U458">
        <f>IF($A458="","",IF(COUNTIF($A$2:$A458,$A458)=1,1,0))</f>
        <v/>
      </c>
      <c r="V458">
        <f>IF($U458=1,SUMPRODUCT(--($X$2:$X$1001&lt;$X458))+1,"")</f>
        <v/>
      </c>
      <c r="W458">
        <f>IF($A458="","",IF(OR($T458=TRUE(),$T458="TRUE"),1,0))</f>
        <v/>
      </c>
      <c r="X458">
        <f>IF($U458=1,IFERROR(IF(VALUE($A458)&lt;100000000,VALUE($A458),1000000000),IFERROR(IF(VALUE(MID($A458,2,20))&lt;100000000,VALUE(MID($A458,2,20)),1000000000),1000000000))+ROW()/100000,"")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IF($A459="","",E459*N459/100)</f>
        <v/>
      </c>
      <c r="J459" s="7" t="n"/>
      <c r="K459" s="7">
        <f>IF($A459="","",S459*N459)</f>
        <v/>
      </c>
      <c r="L459" s="7">
        <f>IF($A459="","",N459-K459)</f>
        <v/>
      </c>
      <c r="M459" s="7">
        <f>IF($A459="","",L459-F459)</f>
        <v/>
      </c>
      <c r="N459" s="7" t="n"/>
      <c r="Q459" s="11" t="n"/>
      <c r="S459">
        <f>IF($A459="","",IF($W459=1,Settings!$C$6,Settings!$C$7)*1)</f>
        <v/>
      </c>
      <c r="U459">
        <f>IF($A459="","",IF(COUNTIF($A$2:$A459,$A459)=1,1,0))</f>
        <v/>
      </c>
      <c r="V459">
        <f>IF($U459=1,SUMPRODUCT(--($X$2:$X$1001&lt;$X459))+1,"")</f>
        <v/>
      </c>
      <c r="W459">
        <f>IF($A459="","",IF(OR($T459=TRUE(),$T459="TRUE"),1,0))</f>
        <v/>
      </c>
      <c r="X459">
        <f>IF($U459=1,IFERROR(IF(VALUE($A459)&lt;100000000,VALUE($A459),1000000000),IFERROR(IF(VALUE(MID($A459,2,20))&lt;100000000,VALUE(MID($A459,2,20)),1000000000),1000000000))+ROW()/100000,"")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IF($A460="","",E460*N460/100)</f>
        <v/>
      </c>
      <c r="J460" s="7" t="n"/>
      <c r="K460" s="7">
        <f>IF($A460="","",S460*N460)</f>
        <v/>
      </c>
      <c r="L460" s="7">
        <f>IF($A460="","",N460-K460)</f>
        <v/>
      </c>
      <c r="M460" s="7">
        <f>IF($A460="","",L460-F460)</f>
        <v/>
      </c>
      <c r="N460" s="7" t="n"/>
      <c r="Q460" s="11" t="n"/>
      <c r="S460">
        <f>IF($A460="","",IF($W460=1,Settings!$C$6,Settings!$C$7)*1)</f>
        <v/>
      </c>
      <c r="U460">
        <f>IF($A460="","",IF(COUNTIF($A$2:$A460,$A460)=1,1,0))</f>
        <v/>
      </c>
      <c r="V460">
        <f>IF($U460=1,SUMPRODUCT(--($X$2:$X$1001&lt;$X460))+1,"")</f>
        <v/>
      </c>
      <c r="W460">
        <f>IF($A460="","",IF(OR($T460=TRUE(),$T460="TRUE"),1,0))</f>
        <v/>
      </c>
      <c r="X460">
        <f>IF($U460=1,IFERROR(IF(VALUE($A460)&lt;100000000,VALUE($A460),1000000000),IFERROR(IF(VALUE(MID($A460,2,20))&lt;100000000,VALUE(MID($A460,2,20)),1000000000),1000000000))+ROW()/100000,"")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IF($A461="","",E461*N461/100)</f>
        <v/>
      </c>
      <c r="J461" s="7" t="n"/>
      <c r="K461" s="7">
        <f>IF($A461="","",S461*N461)</f>
        <v/>
      </c>
      <c r="L461" s="7">
        <f>IF($A461="","",N461-K461)</f>
        <v/>
      </c>
      <c r="M461" s="7">
        <f>IF($A461="","",L461-F461)</f>
        <v/>
      </c>
      <c r="N461" s="7" t="n"/>
      <c r="Q461" s="11" t="n"/>
      <c r="S461">
        <f>IF($A461="","",IF($W461=1,Settings!$C$6,Settings!$C$7)*1)</f>
        <v/>
      </c>
      <c r="U461">
        <f>IF($A461="","",IF(COUNTIF($A$2:$A461,$A461)=1,1,0))</f>
        <v/>
      </c>
      <c r="V461">
        <f>IF($U461=1,SUMPRODUCT(--($X$2:$X$1001&lt;$X461))+1,"")</f>
        <v/>
      </c>
      <c r="W461">
        <f>IF($A461="","",IF(OR($T461=TRUE(),$T461="TRUE"),1,0))</f>
        <v/>
      </c>
      <c r="X461">
        <f>IF($U461=1,IFERROR(IF(VALUE($A461)&lt;100000000,VALUE($A461),1000000000),IFERROR(IF(VALUE(MID($A461,2,20))&lt;100000000,VALUE(MID($A461,2,20)),1000000000),1000000000))+ROW()/100000,"")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IF($A462="","",E462*N462/100)</f>
        <v/>
      </c>
      <c r="J462" s="7" t="n"/>
      <c r="K462" s="7">
        <f>IF($A462="","",S462*N462)</f>
        <v/>
      </c>
      <c r="L462" s="7">
        <f>IF($A462="","",N462-K462)</f>
        <v/>
      </c>
      <c r="M462" s="7">
        <f>IF($A462="","",L462-F462)</f>
        <v/>
      </c>
      <c r="N462" s="7" t="n"/>
      <c r="Q462" s="11" t="n"/>
      <c r="S462">
        <f>IF($A462="","",IF($W462=1,Settings!$C$6,Settings!$C$7)*1)</f>
        <v/>
      </c>
      <c r="U462">
        <f>IF($A462="","",IF(COUNTIF($A$2:$A462,$A462)=1,1,0))</f>
        <v/>
      </c>
      <c r="V462">
        <f>IF($U462=1,SUMPRODUCT(--($X$2:$X$1001&lt;$X462))+1,"")</f>
        <v/>
      </c>
      <c r="W462">
        <f>IF($A462="","",IF(OR($T462=TRUE(),$T462="TRUE"),1,0))</f>
        <v/>
      </c>
      <c r="X462">
        <f>IF($U462=1,IFERROR(IF(VALUE($A462)&lt;100000000,VALUE($A462),1000000000),IFERROR(IF(VALUE(MID($A462,2,20))&lt;100000000,VALUE(MID($A462,2,20)),1000000000),1000000000))+ROW()/100000,"")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IF($A463="","",E463*N463/100)</f>
        <v/>
      </c>
      <c r="J463" s="7" t="n"/>
      <c r="K463" s="7">
        <f>IF($A463="","",S463*N463)</f>
        <v/>
      </c>
      <c r="L463" s="7">
        <f>IF($A463="","",N463-K463)</f>
        <v/>
      </c>
      <c r="M463" s="7">
        <f>IF($A463="","",L463-F463)</f>
        <v/>
      </c>
      <c r="N463" s="7" t="n"/>
      <c r="Q463" s="11" t="n"/>
      <c r="S463">
        <f>IF($A463="","",IF($W463=1,Settings!$C$6,Settings!$C$7)*1)</f>
        <v/>
      </c>
      <c r="U463">
        <f>IF($A463="","",IF(COUNTIF($A$2:$A463,$A463)=1,1,0))</f>
        <v/>
      </c>
      <c r="V463">
        <f>IF($U463=1,SUMPRODUCT(--($X$2:$X$1001&lt;$X463))+1,"")</f>
        <v/>
      </c>
      <c r="W463">
        <f>IF($A463="","",IF(OR($T463=TRUE(),$T463="TRUE"),1,0))</f>
        <v/>
      </c>
      <c r="X463">
        <f>IF($U463=1,IFERROR(IF(VALUE($A463)&lt;100000000,VALUE($A463),1000000000),IFERROR(IF(VALUE(MID($A463,2,20))&lt;100000000,VALUE(MID($A463,2,20)),1000000000),1000000000))+ROW()/100000,"")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IF($A464="","",E464*N464/100)</f>
        <v/>
      </c>
      <c r="J464" s="7" t="n"/>
      <c r="K464" s="7">
        <f>IF($A464="","",S464*N464)</f>
        <v/>
      </c>
      <c r="L464" s="7">
        <f>IF($A464="","",N464-K464)</f>
        <v/>
      </c>
      <c r="M464" s="7">
        <f>IF($A464="","",L464-F464)</f>
        <v/>
      </c>
      <c r="N464" s="7" t="n"/>
      <c r="Q464" s="11" t="n"/>
      <c r="S464">
        <f>IF($A464="","",IF($W464=1,Settings!$C$6,Settings!$C$7)*1)</f>
        <v/>
      </c>
      <c r="U464">
        <f>IF($A464="","",IF(COUNTIF($A$2:$A464,$A464)=1,1,0))</f>
        <v/>
      </c>
      <c r="V464">
        <f>IF($U464=1,SUMPRODUCT(--($X$2:$X$1001&lt;$X464))+1,"")</f>
        <v/>
      </c>
      <c r="W464">
        <f>IF($A464="","",IF(OR($T464=TRUE(),$T464="TRUE"),1,0))</f>
        <v/>
      </c>
      <c r="X464">
        <f>IF($U464=1,IFERROR(IF(VALUE($A464)&lt;100000000,VALUE($A464),1000000000),IFERROR(IF(VALUE(MID($A464,2,20))&lt;100000000,VALUE(MID($A464,2,20)),1000000000),1000000000))+ROW()/100000,"")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IF($A465="","",E465*N465/100)</f>
        <v/>
      </c>
      <c r="J465" s="7" t="n"/>
      <c r="K465" s="7">
        <f>IF($A465="","",S465*N465)</f>
        <v/>
      </c>
      <c r="L465" s="7">
        <f>IF($A465="","",N465-K465)</f>
        <v/>
      </c>
      <c r="M465" s="7">
        <f>IF($A465="","",L465-F465)</f>
        <v/>
      </c>
      <c r="N465" s="7" t="n"/>
      <c r="Q465" s="11" t="n"/>
      <c r="S465">
        <f>IF($A465="","",IF($W465=1,Settings!$C$6,Settings!$C$7)*1)</f>
        <v/>
      </c>
      <c r="U465">
        <f>IF($A465="","",IF(COUNTIF($A$2:$A465,$A465)=1,1,0))</f>
        <v/>
      </c>
      <c r="V465">
        <f>IF($U465=1,SUMPRODUCT(--($X$2:$X$1001&lt;$X465))+1,"")</f>
        <v/>
      </c>
      <c r="W465">
        <f>IF($A465="","",IF(OR($T465=TRUE(),$T465="TRUE"),1,0))</f>
        <v/>
      </c>
      <c r="X465">
        <f>IF($U465=1,IFERROR(IF(VALUE($A465)&lt;100000000,VALUE($A465),1000000000),IFERROR(IF(VALUE(MID($A465,2,20))&lt;100000000,VALUE(MID($A465,2,20)),1000000000),1000000000))+ROW()/100000,"")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IF($A466="","",E466*N466/100)</f>
        <v/>
      </c>
      <c r="J466" s="7" t="n"/>
      <c r="K466" s="7">
        <f>IF($A466="","",S466*N466)</f>
        <v/>
      </c>
      <c r="L466" s="7">
        <f>IF($A466="","",N466-K466)</f>
        <v/>
      </c>
      <c r="M466" s="7">
        <f>IF($A466="","",L466-F466)</f>
        <v/>
      </c>
      <c r="N466" s="7" t="n"/>
      <c r="Q466" s="11" t="n"/>
      <c r="S466">
        <f>IF($A466="","",IF($W466=1,Settings!$C$6,Settings!$C$7)*1)</f>
        <v/>
      </c>
      <c r="U466">
        <f>IF($A466="","",IF(COUNTIF($A$2:$A466,$A466)=1,1,0))</f>
        <v/>
      </c>
      <c r="V466">
        <f>IF($U466=1,SUMPRODUCT(--($X$2:$X$1001&lt;$X466))+1,"")</f>
        <v/>
      </c>
      <c r="W466">
        <f>IF($A466="","",IF(OR($T466=TRUE(),$T466="TRUE"),1,0))</f>
        <v/>
      </c>
      <c r="X466">
        <f>IF($U466=1,IFERROR(IF(VALUE($A466)&lt;100000000,VALUE($A466),1000000000),IFERROR(IF(VALUE(MID($A466,2,20))&lt;100000000,VALUE(MID($A466,2,20)),1000000000),1000000000))+ROW()/100000,"")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IF($A467="","",E467*N467/100)</f>
        <v/>
      </c>
      <c r="J467" s="7" t="n"/>
      <c r="K467" s="7">
        <f>IF($A467="","",S467*N467)</f>
        <v/>
      </c>
      <c r="L467" s="7">
        <f>IF($A467="","",N467-K467)</f>
        <v/>
      </c>
      <c r="M467" s="7">
        <f>IF($A467="","",L467-F467)</f>
        <v/>
      </c>
      <c r="N467" s="7" t="n"/>
      <c r="Q467" s="11" t="n"/>
      <c r="S467">
        <f>IF($A467="","",IF($W467=1,Settings!$C$6,Settings!$C$7)*1)</f>
        <v/>
      </c>
      <c r="U467">
        <f>IF($A467="","",IF(COUNTIF($A$2:$A467,$A467)=1,1,0))</f>
        <v/>
      </c>
      <c r="V467">
        <f>IF($U467=1,SUMPRODUCT(--($X$2:$X$1001&lt;$X467))+1,"")</f>
        <v/>
      </c>
      <c r="W467">
        <f>IF($A467="","",IF(OR($T467=TRUE(),$T467="TRUE"),1,0))</f>
        <v/>
      </c>
      <c r="X467">
        <f>IF($U467=1,IFERROR(IF(VALUE($A467)&lt;100000000,VALUE($A467),1000000000),IFERROR(IF(VALUE(MID($A467,2,20))&lt;100000000,VALUE(MID($A467,2,20)),1000000000),1000000000))+ROW()/100000,"")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IF($A468="","",E468*N468/100)</f>
        <v/>
      </c>
      <c r="J468" s="7" t="n"/>
      <c r="K468" s="7">
        <f>IF($A468="","",S468*N468)</f>
        <v/>
      </c>
      <c r="L468" s="7">
        <f>IF($A468="","",N468-K468)</f>
        <v/>
      </c>
      <c r="M468" s="7">
        <f>IF($A468="","",L468-F468)</f>
        <v/>
      </c>
      <c r="N468" s="7" t="n"/>
      <c r="Q468" s="11" t="n"/>
      <c r="S468">
        <f>IF($A468="","",IF($W468=1,Settings!$C$6,Settings!$C$7)*1)</f>
        <v/>
      </c>
      <c r="U468">
        <f>IF($A468="","",IF(COUNTIF($A$2:$A468,$A468)=1,1,0))</f>
        <v/>
      </c>
      <c r="V468">
        <f>IF($U468=1,SUMPRODUCT(--($X$2:$X$1001&lt;$X468))+1,"")</f>
        <v/>
      </c>
      <c r="W468">
        <f>IF($A468="","",IF(OR($T468=TRUE(),$T468="TRUE"),1,0))</f>
        <v/>
      </c>
      <c r="X468">
        <f>IF($U468=1,IFERROR(IF(VALUE($A468)&lt;100000000,VALUE($A468),1000000000),IFERROR(IF(VALUE(MID($A468,2,20))&lt;100000000,VALUE(MID($A468,2,20)),1000000000),1000000000))+ROW()/100000,"")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IF($A469="","",E469*N469/100)</f>
        <v/>
      </c>
      <c r="J469" s="7" t="n"/>
      <c r="K469" s="7">
        <f>IF($A469="","",S469*N469)</f>
        <v/>
      </c>
      <c r="L469" s="7">
        <f>IF($A469="","",N469-K469)</f>
        <v/>
      </c>
      <c r="M469" s="7">
        <f>IF($A469="","",L469-F469)</f>
        <v/>
      </c>
      <c r="N469" s="7" t="n"/>
      <c r="Q469" s="11" t="n"/>
      <c r="S469">
        <f>IF($A469="","",IF($W469=1,Settings!$C$6,Settings!$C$7)*1)</f>
        <v/>
      </c>
      <c r="U469">
        <f>IF($A469="","",IF(COUNTIF($A$2:$A469,$A469)=1,1,0))</f>
        <v/>
      </c>
      <c r="V469">
        <f>IF($U469=1,SUMPRODUCT(--($X$2:$X$1001&lt;$X469))+1,"")</f>
        <v/>
      </c>
      <c r="W469">
        <f>IF($A469="","",IF(OR($T469=TRUE(),$T469="TRUE"),1,0))</f>
        <v/>
      </c>
      <c r="X469">
        <f>IF($U469=1,IFERROR(IF(VALUE($A469)&lt;100000000,VALUE($A469),1000000000),IFERROR(IF(VALUE(MID($A469,2,20))&lt;100000000,VALUE(MID($A469,2,20)),1000000000),1000000000))+ROW()/100000,"")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IF($A470="","",E470*N470/100)</f>
        <v/>
      </c>
      <c r="J470" s="7" t="n"/>
      <c r="K470" s="7">
        <f>IF($A470="","",S470*N470)</f>
        <v/>
      </c>
      <c r="L470" s="7">
        <f>IF($A470="","",N470-K470)</f>
        <v/>
      </c>
      <c r="M470" s="7">
        <f>IF($A470="","",L470-F470)</f>
        <v/>
      </c>
      <c r="N470" s="7" t="n"/>
      <c r="Q470" s="11" t="n"/>
      <c r="S470">
        <f>IF($A470="","",IF($W470=1,Settings!$C$6,Settings!$C$7)*1)</f>
        <v/>
      </c>
      <c r="U470">
        <f>IF($A470="","",IF(COUNTIF($A$2:$A470,$A470)=1,1,0))</f>
        <v/>
      </c>
      <c r="V470">
        <f>IF($U470=1,SUMPRODUCT(--($X$2:$X$1001&lt;$X470))+1,"")</f>
        <v/>
      </c>
      <c r="W470">
        <f>IF($A470="","",IF(OR($T470=TRUE(),$T470="TRUE"),1,0))</f>
        <v/>
      </c>
      <c r="X470">
        <f>IF($U470=1,IFERROR(IF(VALUE($A470)&lt;100000000,VALUE($A470),1000000000),IFERROR(IF(VALUE(MID($A470,2,20))&lt;100000000,VALUE(MID($A470,2,20)),1000000000),1000000000))+ROW()/100000,"")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IF($A471="","",E471*N471/100)</f>
        <v/>
      </c>
      <c r="J471" s="7" t="n"/>
      <c r="K471" s="7">
        <f>IF($A471="","",S471*N471)</f>
        <v/>
      </c>
      <c r="L471" s="7">
        <f>IF($A471="","",N471-K471)</f>
        <v/>
      </c>
      <c r="M471" s="7">
        <f>IF($A471="","",L471-F471)</f>
        <v/>
      </c>
      <c r="N471" s="7" t="n"/>
      <c r="Q471" s="11" t="n"/>
      <c r="S471">
        <f>IF($A471="","",IF($W471=1,Settings!$C$6,Settings!$C$7)*1)</f>
        <v/>
      </c>
      <c r="U471">
        <f>IF($A471="","",IF(COUNTIF($A$2:$A471,$A471)=1,1,0))</f>
        <v/>
      </c>
      <c r="V471">
        <f>IF($U471=1,SUMPRODUCT(--($X$2:$X$1001&lt;$X471))+1,"")</f>
        <v/>
      </c>
      <c r="W471">
        <f>IF($A471="","",IF(OR($T471=TRUE(),$T471="TRUE"),1,0))</f>
        <v/>
      </c>
      <c r="X471">
        <f>IF($U471=1,IFERROR(IF(VALUE($A471)&lt;100000000,VALUE($A471),1000000000),IFERROR(IF(VALUE(MID($A471,2,20))&lt;100000000,VALUE(MID($A471,2,20)),1000000000),1000000000))+ROW()/100000,"")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IF($A472="","",E472*N472/100)</f>
        <v/>
      </c>
      <c r="J472" s="7" t="n"/>
      <c r="K472" s="7">
        <f>IF($A472="","",S472*N472)</f>
        <v/>
      </c>
      <c r="L472" s="7">
        <f>IF($A472="","",N472-K472)</f>
        <v/>
      </c>
      <c r="M472" s="7">
        <f>IF($A472="","",L472-F472)</f>
        <v/>
      </c>
      <c r="N472" s="7" t="n"/>
      <c r="Q472" s="11" t="n"/>
      <c r="S472">
        <f>IF($A472="","",IF($W472=1,Settings!$C$6,Settings!$C$7)*1)</f>
        <v/>
      </c>
      <c r="U472">
        <f>IF($A472="","",IF(COUNTIF($A$2:$A472,$A472)=1,1,0))</f>
        <v/>
      </c>
      <c r="V472">
        <f>IF($U472=1,SUMPRODUCT(--($X$2:$X$1001&lt;$X472))+1,"")</f>
        <v/>
      </c>
      <c r="W472">
        <f>IF($A472="","",IF(OR($T472=TRUE(),$T472="TRUE"),1,0))</f>
        <v/>
      </c>
      <c r="X472">
        <f>IF($U472=1,IFERROR(IF(VALUE($A472)&lt;100000000,VALUE($A472),1000000000),IFERROR(IF(VALUE(MID($A472,2,20))&lt;100000000,VALUE(MID($A472,2,20)),1000000000),1000000000))+ROW()/100000,"")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IF($A473="","",E473*N473/100)</f>
        <v/>
      </c>
      <c r="J473" s="7" t="n"/>
      <c r="K473" s="7">
        <f>IF($A473="","",S473*N473)</f>
        <v/>
      </c>
      <c r="L473" s="7">
        <f>IF($A473="","",N473-K473)</f>
        <v/>
      </c>
      <c r="M473" s="7">
        <f>IF($A473="","",L473-F473)</f>
        <v/>
      </c>
      <c r="N473" s="7" t="n"/>
      <c r="Q473" s="11" t="n"/>
      <c r="S473">
        <f>IF($A473="","",IF($W473=1,Settings!$C$6,Settings!$C$7)*1)</f>
        <v/>
      </c>
      <c r="U473">
        <f>IF($A473="","",IF(COUNTIF($A$2:$A473,$A473)=1,1,0))</f>
        <v/>
      </c>
      <c r="V473">
        <f>IF($U473=1,SUMPRODUCT(--($X$2:$X$1001&lt;$X473))+1,"")</f>
        <v/>
      </c>
      <c r="W473">
        <f>IF($A473="","",IF(OR($T473=TRUE(),$T473="TRUE"),1,0))</f>
        <v/>
      </c>
      <c r="X473">
        <f>IF($U473=1,IFERROR(IF(VALUE($A473)&lt;100000000,VALUE($A473),1000000000),IFERROR(IF(VALUE(MID($A473,2,20))&lt;100000000,VALUE(MID($A473,2,20)),1000000000),1000000000))+ROW()/100000,"")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IF($A474="","",E474*N474/100)</f>
        <v/>
      </c>
      <c r="J474" s="7" t="n"/>
      <c r="K474" s="7">
        <f>IF($A474="","",S474*N474)</f>
        <v/>
      </c>
      <c r="L474" s="7">
        <f>IF($A474="","",N474-K474)</f>
        <v/>
      </c>
      <c r="M474" s="7">
        <f>IF($A474="","",L474-F474)</f>
        <v/>
      </c>
      <c r="N474" s="7" t="n"/>
      <c r="Q474" s="11" t="n"/>
      <c r="S474">
        <f>IF($A474="","",IF($W474=1,Settings!$C$6,Settings!$C$7)*1)</f>
        <v/>
      </c>
      <c r="U474">
        <f>IF($A474="","",IF(COUNTIF($A$2:$A474,$A474)=1,1,0))</f>
        <v/>
      </c>
      <c r="V474">
        <f>IF($U474=1,SUMPRODUCT(--($X$2:$X$1001&lt;$X474))+1,"")</f>
        <v/>
      </c>
      <c r="W474">
        <f>IF($A474="","",IF(OR($T474=TRUE(),$T474="TRUE"),1,0))</f>
        <v/>
      </c>
      <c r="X474">
        <f>IF($U474=1,IFERROR(IF(VALUE($A474)&lt;100000000,VALUE($A474),1000000000),IFERROR(IF(VALUE(MID($A474,2,20))&lt;100000000,VALUE(MID($A474,2,20)),1000000000),1000000000))+ROW()/100000,"")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IF($A475="","",E475*N475/100)</f>
        <v/>
      </c>
      <c r="J475" s="7" t="n"/>
      <c r="K475" s="7">
        <f>IF($A475="","",S475*N475)</f>
        <v/>
      </c>
      <c r="L475" s="7">
        <f>IF($A475="","",N475-K475)</f>
        <v/>
      </c>
      <c r="M475" s="7">
        <f>IF($A475="","",L475-F475)</f>
        <v/>
      </c>
      <c r="N475" s="7" t="n"/>
      <c r="Q475" s="11" t="n"/>
      <c r="S475">
        <f>IF($A475="","",IF($W475=1,Settings!$C$6,Settings!$C$7)*1)</f>
        <v/>
      </c>
      <c r="U475">
        <f>IF($A475="","",IF(COUNTIF($A$2:$A475,$A475)=1,1,0))</f>
        <v/>
      </c>
      <c r="V475">
        <f>IF($U475=1,SUMPRODUCT(--($X$2:$X$1001&lt;$X475))+1,"")</f>
        <v/>
      </c>
      <c r="W475">
        <f>IF($A475="","",IF(OR($T475=TRUE(),$T475="TRUE"),1,0))</f>
        <v/>
      </c>
      <c r="X475">
        <f>IF($U475=1,IFERROR(IF(VALUE($A475)&lt;100000000,VALUE($A475),1000000000),IFERROR(IF(VALUE(MID($A475,2,20))&lt;100000000,VALUE(MID($A475,2,20)),1000000000),1000000000))+ROW()/100000,"")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IF($A476="","",E476*N476/100)</f>
        <v/>
      </c>
      <c r="J476" s="7" t="n"/>
      <c r="K476" s="7">
        <f>IF($A476="","",S476*N476)</f>
        <v/>
      </c>
      <c r="L476" s="7">
        <f>IF($A476="","",N476-K476)</f>
        <v/>
      </c>
      <c r="M476" s="7">
        <f>IF($A476="","",L476-F476)</f>
        <v/>
      </c>
      <c r="N476" s="7" t="n"/>
      <c r="Q476" s="11" t="n"/>
      <c r="S476">
        <f>IF($A476="","",IF($W476=1,Settings!$C$6,Settings!$C$7)*1)</f>
        <v/>
      </c>
      <c r="U476">
        <f>IF($A476="","",IF(COUNTIF($A$2:$A476,$A476)=1,1,0))</f>
        <v/>
      </c>
      <c r="V476">
        <f>IF($U476=1,SUMPRODUCT(--($X$2:$X$1001&lt;$X476))+1,"")</f>
        <v/>
      </c>
      <c r="W476">
        <f>IF($A476="","",IF(OR($T476=TRUE(),$T476="TRUE"),1,0))</f>
        <v/>
      </c>
      <c r="X476">
        <f>IF($U476=1,IFERROR(IF(VALUE($A476)&lt;100000000,VALUE($A476),1000000000),IFERROR(IF(VALUE(MID($A476,2,20))&lt;100000000,VALUE(MID($A476,2,20)),1000000000),1000000000))+ROW()/100000,"")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IF($A477="","",E477*N477/100)</f>
        <v/>
      </c>
      <c r="J477" s="7" t="n"/>
      <c r="K477" s="7">
        <f>IF($A477="","",S477*N477)</f>
        <v/>
      </c>
      <c r="L477" s="7">
        <f>IF($A477="","",N477-K477)</f>
        <v/>
      </c>
      <c r="M477" s="7">
        <f>IF($A477="","",L477-F477)</f>
        <v/>
      </c>
      <c r="N477" s="7" t="n"/>
      <c r="Q477" s="11" t="n"/>
      <c r="S477">
        <f>IF($A477="","",IF($W477=1,Settings!$C$6,Settings!$C$7)*1)</f>
        <v/>
      </c>
      <c r="U477">
        <f>IF($A477="","",IF(COUNTIF($A$2:$A477,$A477)=1,1,0))</f>
        <v/>
      </c>
      <c r="V477">
        <f>IF($U477=1,SUMPRODUCT(--($X$2:$X$1001&lt;$X477))+1,"")</f>
        <v/>
      </c>
      <c r="W477">
        <f>IF($A477="","",IF(OR($T477=TRUE(),$T477="TRUE"),1,0))</f>
        <v/>
      </c>
      <c r="X477">
        <f>IF($U477=1,IFERROR(IF(VALUE($A477)&lt;100000000,VALUE($A477),1000000000),IFERROR(IF(VALUE(MID($A477,2,20))&lt;100000000,VALUE(MID($A477,2,20)),1000000000),1000000000))+ROW()/100000,"")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IF($A478="","",E478*N478/100)</f>
        <v/>
      </c>
      <c r="J478" s="7" t="n"/>
      <c r="K478" s="7">
        <f>IF($A478="","",S478*N478)</f>
        <v/>
      </c>
      <c r="L478" s="7">
        <f>IF($A478="","",N478-K478)</f>
        <v/>
      </c>
      <c r="M478" s="7">
        <f>IF($A478="","",L478-F478)</f>
        <v/>
      </c>
      <c r="N478" s="7" t="n"/>
      <c r="Q478" s="11" t="n"/>
      <c r="S478">
        <f>IF($A478="","",IF($W478=1,Settings!$C$6,Settings!$C$7)*1)</f>
        <v/>
      </c>
      <c r="U478">
        <f>IF($A478="","",IF(COUNTIF($A$2:$A478,$A478)=1,1,0))</f>
        <v/>
      </c>
      <c r="V478">
        <f>IF($U478=1,SUMPRODUCT(--($X$2:$X$1001&lt;$X478))+1,"")</f>
        <v/>
      </c>
      <c r="W478">
        <f>IF($A478="","",IF(OR($T478=TRUE(),$T478="TRUE"),1,0))</f>
        <v/>
      </c>
      <c r="X478">
        <f>IF($U478=1,IFERROR(IF(VALUE($A478)&lt;100000000,VALUE($A478),1000000000),IFERROR(IF(VALUE(MID($A478,2,20))&lt;100000000,VALUE(MID($A478,2,20)),1000000000),1000000000))+ROW()/100000,"")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IF($A479="","",E479*N479/100)</f>
        <v/>
      </c>
      <c r="J479" s="7" t="n"/>
      <c r="K479" s="7">
        <f>IF($A479="","",S479*N479)</f>
        <v/>
      </c>
      <c r="L479" s="7">
        <f>IF($A479="","",N479-K479)</f>
        <v/>
      </c>
      <c r="M479" s="7">
        <f>IF($A479="","",L479-F479)</f>
        <v/>
      </c>
      <c r="N479" s="7" t="n"/>
      <c r="Q479" s="11" t="n"/>
      <c r="S479">
        <f>IF($A479="","",IF($W479=1,Settings!$C$6,Settings!$C$7)*1)</f>
        <v/>
      </c>
      <c r="U479">
        <f>IF($A479="","",IF(COUNTIF($A$2:$A479,$A479)=1,1,0))</f>
        <v/>
      </c>
      <c r="V479">
        <f>IF($U479=1,SUMPRODUCT(--($X$2:$X$1001&lt;$X479))+1,"")</f>
        <v/>
      </c>
      <c r="W479">
        <f>IF($A479="","",IF(OR($T479=TRUE(),$T479="TRUE"),1,0))</f>
        <v/>
      </c>
      <c r="X479">
        <f>IF($U479=1,IFERROR(IF(VALUE($A479)&lt;100000000,VALUE($A479),1000000000),IFERROR(IF(VALUE(MID($A479,2,20))&lt;100000000,VALUE(MID($A479,2,20)),1000000000),1000000000))+ROW()/100000,"")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IF($A480="","",E480*N480/100)</f>
        <v/>
      </c>
      <c r="J480" s="7" t="n"/>
      <c r="K480" s="7">
        <f>IF($A480="","",S480*N480)</f>
        <v/>
      </c>
      <c r="L480" s="7">
        <f>IF($A480="","",N480-K480)</f>
        <v/>
      </c>
      <c r="M480" s="7">
        <f>IF($A480="","",L480-F480)</f>
        <v/>
      </c>
      <c r="N480" s="7" t="n"/>
      <c r="Q480" s="11" t="n"/>
      <c r="S480">
        <f>IF($A480="","",IF($W480=1,Settings!$C$6,Settings!$C$7)*1)</f>
        <v/>
      </c>
      <c r="U480">
        <f>IF($A480="","",IF(COUNTIF($A$2:$A480,$A480)=1,1,0))</f>
        <v/>
      </c>
      <c r="V480">
        <f>IF($U480=1,SUMPRODUCT(--($X$2:$X$1001&lt;$X480))+1,"")</f>
        <v/>
      </c>
      <c r="W480">
        <f>IF($A480="","",IF(OR($T480=TRUE(),$T480="TRUE"),1,0))</f>
        <v/>
      </c>
      <c r="X480">
        <f>IF($U480=1,IFERROR(IF(VALUE($A480)&lt;100000000,VALUE($A480),1000000000),IFERROR(IF(VALUE(MID($A480,2,20))&lt;100000000,VALUE(MID($A480,2,20)),1000000000),1000000000))+ROW()/100000,"")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IF($A481="","",E481*N481/100)</f>
        <v/>
      </c>
      <c r="J481" s="7" t="n"/>
      <c r="K481" s="7">
        <f>IF($A481="","",S481*N481)</f>
        <v/>
      </c>
      <c r="L481" s="7">
        <f>IF($A481="","",N481-K481)</f>
        <v/>
      </c>
      <c r="M481" s="7">
        <f>IF($A481="","",L481-F481)</f>
        <v/>
      </c>
      <c r="N481" s="7" t="n"/>
      <c r="Q481" s="11" t="n"/>
      <c r="S481">
        <f>IF($A481="","",IF($W481=1,Settings!$C$6,Settings!$C$7)*1)</f>
        <v/>
      </c>
      <c r="U481">
        <f>IF($A481="","",IF(COUNTIF($A$2:$A481,$A481)=1,1,0))</f>
        <v/>
      </c>
      <c r="V481">
        <f>IF($U481=1,SUMPRODUCT(--($X$2:$X$1001&lt;$X481))+1,"")</f>
        <v/>
      </c>
      <c r="W481">
        <f>IF($A481="","",IF(OR($T481=TRUE(),$T481="TRUE"),1,0))</f>
        <v/>
      </c>
      <c r="X481">
        <f>IF($U481=1,IFERROR(IF(VALUE($A481)&lt;100000000,VALUE($A481),1000000000),IFERROR(IF(VALUE(MID($A481,2,20))&lt;100000000,VALUE(MID($A481,2,20)),1000000000),1000000000))+ROW()/100000,"")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IF($A482="","",E482*N482/100)</f>
        <v/>
      </c>
      <c r="J482" s="7" t="n"/>
      <c r="K482" s="7">
        <f>IF($A482="","",S482*N482)</f>
        <v/>
      </c>
      <c r="L482" s="7">
        <f>IF($A482="","",N482-K482)</f>
        <v/>
      </c>
      <c r="M482" s="7">
        <f>IF($A482="","",L482-F482)</f>
        <v/>
      </c>
      <c r="N482" s="7" t="n"/>
      <c r="Q482" s="11" t="n"/>
      <c r="S482">
        <f>IF($A482="","",IF($W482=1,Settings!$C$6,Settings!$C$7)*1)</f>
        <v/>
      </c>
      <c r="U482">
        <f>IF($A482="","",IF(COUNTIF($A$2:$A482,$A482)=1,1,0))</f>
        <v/>
      </c>
      <c r="V482">
        <f>IF($U482=1,SUMPRODUCT(--($X$2:$X$1001&lt;$X482))+1,"")</f>
        <v/>
      </c>
      <c r="W482">
        <f>IF($A482="","",IF(OR($T482=TRUE(),$T482="TRUE"),1,0))</f>
        <v/>
      </c>
      <c r="X482">
        <f>IF($U482=1,IFERROR(IF(VALUE($A482)&lt;100000000,VALUE($A482),1000000000),IFERROR(IF(VALUE(MID($A482,2,20))&lt;100000000,VALUE(MID($A482,2,20)),1000000000),1000000000))+ROW()/100000,"")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IF($A483="","",E483*N483/100)</f>
        <v/>
      </c>
      <c r="J483" s="7" t="n"/>
      <c r="K483" s="7">
        <f>IF($A483="","",S483*N483)</f>
        <v/>
      </c>
      <c r="L483" s="7">
        <f>IF($A483="","",N483-K483)</f>
        <v/>
      </c>
      <c r="M483" s="7">
        <f>IF($A483="","",L483-F483)</f>
        <v/>
      </c>
      <c r="N483" s="7" t="n"/>
      <c r="Q483" s="11" t="n"/>
      <c r="S483">
        <f>IF($A483="","",IF($W483=1,Settings!$C$6,Settings!$C$7)*1)</f>
        <v/>
      </c>
      <c r="U483">
        <f>IF($A483="","",IF(COUNTIF($A$2:$A483,$A483)=1,1,0))</f>
        <v/>
      </c>
      <c r="V483">
        <f>IF($U483=1,SUMPRODUCT(--($X$2:$X$1001&lt;$X483))+1,"")</f>
        <v/>
      </c>
      <c r="W483">
        <f>IF($A483="","",IF(OR($T483=TRUE(),$T483="TRUE"),1,0))</f>
        <v/>
      </c>
      <c r="X483">
        <f>IF($U483=1,IFERROR(IF(VALUE($A483)&lt;100000000,VALUE($A483),1000000000),IFERROR(IF(VALUE(MID($A483,2,20))&lt;100000000,VALUE(MID($A483,2,20)),1000000000),1000000000))+ROW()/100000,"")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IF($A484="","",E484*N484/100)</f>
        <v/>
      </c>
      <c r="J484" s="7" t="n"/>
      <c r="K484" s="7">
        <f>IF($A484="","",S484*N484)</f>
        <v/>
      </c>
      <c r="L484" s="7">
        <f>IF($A484="","",N484-K484)</f>
        <v/>
      </c>
      <c r="M484" s="7">
        <f>IF($A484="","",L484-F484)</f>
        <v/>
      </c>
      <c r="N484" s="7" t="n"/>
      <c r="Q484" s="11" t="n"/>
      <c r="S484">
        <f>IF($A484="","",IF($W484=1,Settings!$C$6,Settings!$C$7)*1)</f>
        <v/>
      </c>
      <c r="U484">
        <f>IF($A484="","",IF(COUNTIF($A$2:$A484,$A484)=1,1,0))</f>
        <v/>
      </c>
      <c r="V484">
        <f>IF($U484=1,SUMPRODUCT(--($X$2:$X$1001&lt;$X484))+1,"")</f>
        <v/>
      </c>
      <c r="W484">
        <f>IF($A484="","",IF(OR($T484=TRUE(),$T484="TRUE"),1,0))</f>
        <v/>
      </c>
      <c r="X484">
        <f>IF($U484=1,IFERROR(IF(VALUE($A484)&lt;100000000,VALUE($A484),1000000000),IFERROR(IF(VALUE(MID($A484,2,20))&lt;100000000,VALUE(MID($A484,2,20)),1000000000),1000000000))+ROW()/100000,"")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IF($A485="","",E485*N485/100)</f>
        <v/>
      </c>
      <c r="J485" s="7" t="n"/>
      <c r="K485" s="7">
        <f>IF($A485="","",S485*N485)</f>
        <v/>
      </c>
      <c r="L485" s="7">
        <f>IF($A485="","",N485-K485)</f>
        <v/>
      </c>
      <c r="M485" s="7">
        <f>IF($A485="","",L485-F485)</f>
        <v/>
      </c>
      <c r="N485" s="7" t="n"/>
      <c r="Q485" s="11" t="n"/>
      <c r="S485">
        <f>IF($A485="","",IF($W485=1,Settings!$C$6,Settings!$C$7)*1)</f>
        <v/>
      </c>
      <c r="U485">
        <f>IF($A485="","",IF(COUNTIF($A$2:$A485,$A485)=1,1,0))</f>
        <v/>
      </c>
      <c r="V485">
        <f>IF($U485=1,SUMPRODUCT(--($X$2:$X$1001&lt;$X485))+1,"")</f>
        <v/>
      </c>
      <c r="W485">
        <f>IF($A485="","",IF(OR($T485=TRUE(),$T485="TRUE"),1,0))</f>
        <v/>
      </c>
      <c r="X485">
        <f>IF($U485=1,IFERROR(IF(VALUE($A485)&lt;100000000,VALUE($A485),1000000000),IFERROR(IF(VALUE(MID($A485,2,20))&lt;100000000,VALUE(MID($A485,2,20)),1000000000),1000000000))+ROW()/100000,"")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IF($A486="","",E486*N486/100)</f>
        <v/>
      </c>
      <c r="J486" s="7" t="n"/>
      <c r="K486" s="7">
        <f>IF($A486="","",S486*N486)</f>
        <v/>
      </c>
      <c r="L486" s="7">
        <f>IF($A486="","",N486-K486)</f>
        <v/>
      </c>
      <c r="M486" s="7">
        <f>IF($A486="","",L486-F486)</f>
        <v/>
      </c>
      <c r="N486" s="7" t="n"/>
      <c r="Q486" s="11" t="n"/>
      <c r="S486">
        <f>IF($A486="","",IF($W486=1,Settings!$C$6,Settings!$C$7)*1)</f>
        <v/>
      </c>
      <c r="U486">
        <f>IF($A486="","",IF(COUNTIF($A$2:$A486,$A486)=1,1,0))</f>
        <v/>
      </c>
      <c r="V486">
        <f>IF($U486=1,SUMPRODUCT(--($X$2:$X$1001&lt;$X486))+1,"")</f>
        <v/>
      </c>
      <c r="W486">
        <f>IF($A486="","",IF(OR($T486=TRUE(),$T486="TRUE"),1,0))</f>
        <v/>
      </c>
      <c r="X486">
        <f>IF($U486=1,IFERROR(IF(VALUE($A486)&lt;100000000,VALUE($A486),1000000000),IFERROR(IF(VALUE(MID($A486,2,20))&lt;100000000,VALUE(MID($A486,2,20)),1000000000),1000000000))+ROW()/100000,"")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IF($A487="","",E487*N487/100)</f>
        <v/>
      </c>
      <c r="J487" s="7" t="n"/>
      <c r="K487" s="7">
        <f>IF($A487="","",S487*N487)</f>
        <v/>
      </c>
      <c r="L487" s="7">
        <f>IF($A487="","",N487-K487)</f>
        <v/>
      </c>
      <c r="M487" s="7">
        <f>IF($A487="","",L487-F487)</f>
        <v/>
      </c>
      <c r="N487" s="7" t="n"/>
      <c r="Q487" s="11" t="n"/>
      <c r="S487">
        <f>IF($A487="","",IF($W487=1,Settings!$C$6,Settings!$C$7)*1)</f>
        <v/>
      </c>
      <c r="U487">
        <f>IF($A487="","",IF(COUNTIF($A$2:$A487,$A487)=1,1,0))</f>
        <v/>
      </c>
      <c r="V487">
        <f>IF($U487=1,SUMPRODUCT(--($X$2:$X$1001&lt;$X487))+1,"")</f>
        <v/>
      </c>
      <c r="W487">
        <f>IF($A487="","",IF(OR($T487=TRUE(),$T487="TRUE"),1,0))</f>
        <v/>
      </c>
      <c r="X487">
        <f>IF($U487=1,IFERROR(IF(VALUE($A487)&lt;100000000,VALUE($A487),1000000000),IFERROR(IF(VALUE(MID($A487,2,20))&lt;100000000,VALUE(MID($A487,2,20)),1000000000),1000000000))+ROW()/100000,"")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IF($A488="","",E488*N488/100)</f>
        <v/>
      </c>
      <c r="J488" s="7" t="n"/>
      <c r="K488" s="7">
        <f>IF($A488="","",S488*N488)</f>
        <v/>
      </c>
      <c r="L488" s="7">
        <f>IF($A488="","",N488-K488)</f>
        <v/>
      </c>
      <c r="M488" s="7">
        <f>IF($A488="","",L488-F488)</f>
        <v/>
      </c>
      <c r="N488" s="7" t="n"/>
      <c r="Q488" s="11" t="n"/>
      <c r="S488">
        <f>IF($A488="","",IF($W488=1,Settings!$C$6,Settings!$C$7)*1)</f>
        <v/>
      </c>
      <c r="U488">
        <f>IF($A488="","",IF(COUNTIF($A$2:$A488,$A488)=1,1,0))</f>
        <v/>
      </c>
      <c r="V488">
        <f>IF($U488=1,SUMPRODUCT(--($X$2:$X$1001&lt;$X488))+1,"")</f>
        <v/>
      </c>
      <c r="W488">
        <f>IF($A488="","",IF(OR($T488=TRUE(),$T488="TRUE"),1,0))</f>
        <v/>
      </c>
      <c r="X488">
        <f>IF($U488=1,IFERROR(IF(VALUE($A488)&lt;100000000,VALUE($A488),1000000000),IFERROR(IF(VALUE(MID($A488,2,20))&lt;100000000,VALUE(MID($A488,2,20)),1000000000),1000000000))+ROW()/100000,"")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IF($A489="","",E489*N489/100)</f>
        <v/>
      </c>
      <c r="J489" s="7" t="n"/>
      <c r="K489" s="7">
        <f>IF($A489="","",S489*N489)</f>
        <v/>
      </c>
      <c r="L489" s="7">
        <f>IF($A489="","",N489-K489)</f>
        <v/>
      </c>
      <c r="M489" s="7">
        <f>IF($A489="","",L489-F489)</f>
        <v/>
      </c>
      <c r="N489" s="7" t="n"/>
      <c r="Q489" s="11" t="n"/>
      <c r="S489">
        <f>IF($A489="","",IF($W489=1,Settings!$C$6,Settings!$C$7)*1)</f>
        <v/>
      </c>
      <c r="U489">
        <f>IF($A489="","",IF(COUNTIF($A$2:$A489,$A489)=1,1,0))</f>
        <v/>
      </c>
      <c r="V489">
        <f>IF($U489=1,SUMPRODUCT(--($X$2:$X$1001&lt;$X489))+1,"")</f>
        <v/>
      </c>
      <c r="W489">
        <f>IF($A489="","",IF(OR($T489=TRUE(),$T489="TRUE"),1,0))</f>
        <v/>
      </c>
      <c r="X489">
        <f>IF($U489=1,IFERROR(IF(VALUE($A489)&lt;100000000,VALUE($A489),1000000000),IFERROR(IF(VALUE(MID($A489,2,20))&lt;100000000,VALUE(MID($A489,2,20)),1000000000),1000000000))+ROW()/100000,"")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IF($A490="","",E490*N490/100)</f>
        <v/>
      </c>
      <c r="J490" s="7" t="n"/>
      <c r="K490" s="7">
        <f>IF($A490="","",S490*N490)</f>
        <v/>
      </c>
      <c r="L490" s="7">
        <f>IF($A490="","",N490-K490)</f>
        <v/>
      </c>
      <c r="M490" s="7">
        <f>IF($A490="","",L490-F490)</f>
        <v/>
      </c>
      <c r="N490" s="7" t="n"/>
      <c r="Q490" s="11" t="n"/>
      <c r="S490">
        <f>IF($A490="","",IF($W490=1,Settings!$C$6,Settings!$C$7)*1)</f>
        <v/>
      </c>
      <c r="U490">
        <f>IF($A490="","",IF(COUNTIF($A$2:$A490,$A490)=1,1,0))</f>
        <v/>
      </c>
      <c r="V490">
        <f>IF($U490=1,SUMPRODUCT(--($X$2:$X$1001&lt;$X490))+1,"")</f>
        <v/>
      </c>
      <c r="W490">
        <f>IF($A490="","",IF(OR($T490=TRUE(),$T490="TRUE"),1,0))</f>
        <v/>
      </c>
      <c r="X490">
        <f>IF($U490=1,IFERROR(IF(VALUE($A490)&lt;100000000,VALUE($A490),1000000000),IFERROR(IF(VALUE(MID($A490,2,20))&lt;100000000,VALUE(MID($A490,2,20)),1000000000),1000000000))+ROW()/100000,"")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IF($A491="","",E491*N491/100)</f>
        <v/>
      </c>
      <c r="J491" s="7" t="n"/>
      <c r="K491" s="7">
        <f>IF($A491="","",S491*N491)</f>
        <v/>
      </c>
      <c r="L491" s="7">
        <f>IF($A491="","",N491-K491)</f>
        <v/>
      </c>
      <c r="M491" s="7">
        <f>IF($A491="","",L491-F491)</f>
        <v/>
      </c>
      <c r="N491" s="7" t="n"/>
      <c r="Q491" s="11" t="n"/>
      <c r="S491">
        <f>IF($A491="","",IF($W491=1,Settings!$C$6,Settings!$C$7)*1)</f>
        <v/>
      </c>
      <c r="U491">
        <f>IF($A491="","",IF(COUNTIF($A$2:$A491,$A491)=1,1,0))</f>
        <v/>
      </c>
      <c r="V491">
        <f>IF($U491=1,SUMPRODUCT(--($X$2:$X$1001&lt;$X491))+1,"")</f>
        <v/>
      </c>
      <c r="W491">
        <f>IF($A491="","",IF(OR($T491=TRUE(),$T491="TRUE"),1,0))</f>
        <v/>
      </c>
      <c r="X491">
        <f>IF($U491=1,IFERROR(IF(VALUE($A491)&lt;100000000,VALUE($A491),1000000000),IFERROR(IF(VALUE(MID($A491,2,20))&lt;100000000,VALUE(MID($A491,2,20)),1000000000),1000000000))+ROW()/100000,"")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IF($A492="","",E492*N492/100)</f>
        <v/>
      </c>
      <c r="J492" s="7" t="n"/>
      <c r="K492" s="7">
        <f>IF($A492="","",S492*N492)</f>
        <v/>
      </c>
      <c r="L492" s="7">
        <f>IF($A492="","",N492-K492)</f>
        <v/>
      </c>
      <c r="M492" s="7">
        <f>IF($A492="","",L492-F492)</f>
        <v/>
      </c>
      <c r="N492" s="7" t="n"/>
      <c r="Q492" s="11" t="n"/>
      <c r="S492">
        <f>IF($A492="","",IF($W492=1,Settings!$C$6,Settings!$C$7)*1)</f>
        <v/>
      </c>
      <c r="U492">
        <f>IF($A492="","",IF(COUNTIF($A$2:$A492,$A492)=1,1,0))</f>
        <v/>
      </c>
      <c r="V492">
        <f>IF($U492=1,SUMPRODUCT(--($X$2:$X$1001&lt;$X492))+1,"")</f>
        <v/>
      </c>
      <c r="W492">
        <f>IF($A492="","",IF(OR($T492=TRUE(),$T492="TRUE"),1,0))</f>
        <v/>
      </c>
      <c r="X492">
        <f>IF($U492=1,IFERROR(IF(VALUE($A492)&lt;100000000,VALUE($A492),1000000000),IFERROR(IF(VALUE(MID($A492,2,20))&lt;100000000,VALUE(MID($A492,2,20)),1000000000),1000000000))+ROW()/100000,"")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IF($A493="","",E493*N493/100)</f>
        <v/>
      </c>
      <c r="J493" s="7" t="n"/>
      <c r="K493" s="7">
        <f>IF($A493="","",S493*N493)</f>
        <v/>
      </c>
      <c r="L493" s="7">
        <f>IF($A493="","",N493-K493)</f>
        <v/>
      </c>
      <c r="M493" s="7">
        <f>IF($A493="","",L493-F493)</f>
        <v/>
      </c>
      <c r="N493" s="7" t="n"/>
      <c r="Q493" s="11" t="n"/>
      <c r="S493">
        <f>IF($A493="","",IF($W493=1,Settings!$C$6,Settings!$C$7)*1)</f>
        <v/>
      </c>
      <c r="U493">
        <f>IF($A493="","",IF(COUNTIF($A$2:$A493,$A493)=1,1,0))</f>
        <v/>
      </c>
      <c r="V493">
        <f>IF($U493=1,SUMPRODUCT(--($X$2:$X$1001&lt;$X493))+1,"")</f>
        <v/>
      </c>
      <c r="W493">
        <f>IF($A493="","",IF(OR($T493=TRUE(),$T493="TRUE"),1,0))</f>
        <v/>
      </c>
      <c r="X493">
        <f>IF($U493=1,IFERROR(IF(VALUE($A493)&lt;100000000,VALUE($A493),1000000000),IFERROR(IF(VALUE(MID($A493,2,20))&lt;100000000,VALUE(MID($A493,2,20)),1000000000),1000000000))+ROW()/100000,"")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IF($A494="","",E494*N494/100)</f>
        <v/>
      </c>
      <c r="J494" s="7" t="n"/>
      <c r="K494" s="7">
        <f>IF($A494="","",S494*N494)</f>
        <v/>
      </c>
      <c r="L494" s="7">
        <f>IF($A494="","",N494-K494)</f>
        <v/>
      </c>
      <c r="M494" s="7">
        <f>IF($A494="","",L494-F494)</f>
        <v/>
      </c>
      <c r="N494" s="7" t="n"/>
      <c r="Q494" s="11" t="n"/>
      <c r="S494">
        <f>IF($A494="","",IF($W494=1,Settings!$C$6,Settings!$C$7)*1)</f>
        <v/>
      </c>
      <c r="U494">
        <f>IF($A494="","",IF(COUNTIF($A$2:$A494,$A494)=1,1,0))</f>
        <v/>
      </c>
      <c r="V494">
        <f>IF($U494=1,SUMPRODUCT(--($X$2:$X$1001&lt;$X494))+1,"")</f>
        <v/>
      </c>
      <c r="W494">
        <f>IF($A494="","",IF(OR($T494=TRUE(),$T494="TRUE"),1,0))</f>
        <v/>
      </c>
      <c r="X494">
        <f>IF($U494=1,IFERROR(IF(VALUE($A494)&lt;100000000,VALUE($A494),1000000000),IFERROR(IF(VALUE(MID($A494,2,20))&lt;100000000,VALUE(MID($A494,2,20)),1000000000),1000000000))+ROW()/100000,"")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IF($A495="","",E495*N495/100)</f>
        <v/>
      </c>
      <c r="J495" s="7" t="n"/>
      <c r="K495" s="7">
        <f>IF($A495="","",S495*N495)</f>
        <v/>
      </c>
      <c r="L495" s="7">
        <f>IF($A495="","",N495-K495)</f>
        <v/>
      </c>
      <c r="M495" s="7">
        <f>IF($A495="","",L495-F495)</f>
        <v/>
      </c>
      <c r="N495" s="7" t="n"/>
      <c r="Q495" s="11" t="n"/>
      <c r="S495">
        <f>IF($A495="","",IF($W495=1,Settings!$C$6,Settings!$C$7)*1)</f>
        <v/>
      </c>
      <c r="U495">
        <f>IF($A495="","",IF(COUNTIF($A$2:$A495,$A495)=1,1,0))</f>
        <v/>
      </c>
      <c r="V495">
        <f>IF($U495=1,SUMPRODUCT(--($X$2:$X$1001&lt;$X495))+1,"")</f>
        <v/>
      </c>
      <c r="W495">
        <f>IF($A495="","",IF(OR($T495=TRUE(),$T495="TRUE"),1,0))</f>
        <v/>
      </c>
      <c r="X495">
        <f>IF($U495=1,IFERROR(IF(VALUE($A495)&lt;100000000,VALUE($A495),1000000000),IFERROR(IF(VALUE(MID($A495,2,20))&lt;100000000,VALUE(MID($A495,2,20)),1000000000),1000000000))+ROW()/100000,"")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IF($A496="","",E496*N496/100)</f>
        <v/>
      </c>
      <c r="J496" s="7" t="n"/>
      <c r="K496" s="7">
        <f>IF($A496="","",S496*N496)</f>
        <v/>
      </c>
      <c r="L496" s="7">
        <f>IF($A496="","",N496-K496)</f>
        <v/>
      </c>
      <c r="M496" s="7">
        <f>IF($A496="","",L496-F496)</f>
        <v/>
      </c>
      <c r="N496" s="7" t="n"/>
      <c r="Q496" s="11" t="n"/>
      <c r="S496">
        <f>IF($A496="","",IF($W496=1,Settings!$C$6,Settings!$C$7)*1)</f>
        <v/>
      </c>
      <c r="U496">
        <f>IF($A496="","",IF(COUNTIF($A$2:$A496,$A496)=1,1,0))</f>
        <v/>
      </c>
      <c r="V496">
        <f>IF($U496=1,SUMPRODUCT(--($X$2:$X$1001&lt;$X496))+1,"")</f>
        <v/>
      </c>
      <c r="W496">
        <f>IF($A496="","",IF(OR($T496=TRUE(),$T496="TRUE"),1,0))</f>
        <v/>
      </c>
      <c r="X496">
        <f>IF($U496=1,IFERROR(IF(VALUE($A496)&lt;100000000,VALUE($A496),1000000000),IFERROR(IF(VALUE(MID($A496,2,20))&lt;100000000,VALUE(MID($A496,2,20)),1000000000),1000000000))+ROW()/100000,"")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IF($A497="","",E497*N497/100)</f>
        <v/>
      </c>
      <c r="J497" s="7" t="n"/>
      <c r="K497" s="7">
        <f>IF($A497="","",S497*N497)</f>
        <v/>
      </c>
      <c r="L497" s="7">
        <f>IF($A497="","",N497-K497)</f>
        <v/>
      </c>
      <c r="M497" s="7">
        <f>IF($A497="","",L497-F497)</f>
        <v/>
      </c>
      <c r="N497" s="7" t="n"/>
      <c r="Q497" s="11" t="n"/>
      <c r="S497">
        <f>IF($A497="","",IF($W497=1,Settings!$C$6,Settings!$C$7)*1)</f>
        <v/>
      </c>
      <c r="U497">
        <f>IF($A497="","",IF(COUNTIF($A$2:$A497,$A497)=1,1,0))</f>
        <v/>
      </c>
      <c r="V497">
        <f>IF($U497=1,SUMPRODUCT(--($X$2:$X$1001&lt;$X497))+1,"")</f>
        <v/>
      </c>
      <c r="W497">
        <f>IF($A497="","",IF(OR($T497=TRUE(),$T497="TRUE"),1,0))</f>
        <v/>
      </c>
      <c r="X497">
        <f>IF($U497=1,IFERROR(IF(VALUE($A497)&lt;100000000,VALUE($A497),1000000000),IFERROR(IF(VALUE(MID($A497,2,20))&lt;100000000,VALUE(MID($A497,2,20)),1000000000),1000000000))+ROW()/100000,"")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IF($A498="","",E498*N498/100)</f>
        <v/>
      </c>
      <c r="J498" s="7" t="n"/>
      <c r="K498" s="7">
        <f>IF($A498="","",S498*N498)</f>
        <v/>
      </c>
      <c r="L498" s="7">
        <f>IF($A498="","",N498-K498)</f>
        <v/>
      </c>
      <c r="M498" s="7">
        <f>IF($A498="","",L498-F498)</f>
        <v/>
      </c>
      <c r="N498" s="7" t="n"/>
      <c r="Q498" s="11" t="n"/>
      <c r="S498">
        <f>IF($A498="","",IF($W498=1,Settings!$C$6,Settings!$C$7)*1)</f>
        <v/>
      </c>
      <c r="U498">
        <f>IF($A498="","",IF(COUNTIF($A$2:$A498,$A498)=1,1,0))</f>
        <v/>
      </c>
      <c r="V498">
        <f>IF($U498=1,SUMPRODUCT(--($X$2:$X$1001&lt;$X498))+1,"")</f>
        <v/>
      </c>
      <c r="W498">
        <f>IF($A498="","",IF(OR($T498=TRUE(),$T498="TRUE"),1,0))</f>
        <v/>
      </c>
      <c r="X498">
        <f>IF($U498=1,IFERROR(IF(VALUE($A498)&lt;100000000,VALUE($A498),1000000000),IFERROR(IF(VALUE(MID($A498,2,20))&lt;100000000,VALUE(MID($A498,2,20)),1000000000),1000000000))+ROW()/100000,"")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IF($A499="","",E499*N499/100)</f>
        <v/>
      </c>
      <c r="J499" s="7" t="n"/>
      <c r="K499" s="7">
        <f>IF($A499="","",S499*N499)</f>
        <v/>
      </c>
      <c r="L499" s="7">
        <f>IF($A499="","",N499-K499)</f>
        <v/>
      </c>
      <c r="M499" s="7">
        <f>IF($A499="","",L499-F499)</f>
        <v/>
      </c>
      <c r="N499" s="7" t="n"/>
      <c r="Q499" s="11" t="n"/>
      <c r="S499">
        <f>IF($A499="","",IF($W499=1,Settings!$C$6,Settings!$C$7)*1)</f>
        <v/>
      </c>
      <c r="U499">
        <f>IF($A499="","",IF(COUNTIF($A$2:$A499,$A499)=1,1,0))</f>
        <v/>
      </c>
      <c r="V499">
        <f>IF($U499=1,SUMPRODUCT(--($X$2:$X$1001&lt;$X499))+1,"")</f>
        <v/>
      </c>
      <c r="W499">
        <f>IF($A499="","",IF(OR($T499=TRUE(),$T499="TRUE"),1,0))</f>
        <v/>
      </c>
      <c r="X499">
        <f>IF($U499=1,IFERROR(IF(VALUE($A499)&lt;100000000,VALUE($A499),1000000000),IFERROR(IF(VALUE(MID($A499,2,20))&lt;100000000,VALUE(MID($A499,2,20)),1000000000),1000000000))+ROW()/100000,"")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IF($A500="","",E500*N500/100)</f>
        <v/>
      </c>
      <c r="J500" s="7" t="n"/>
      <c r="K500" s="7">
        <f>IF($A500="","",S500*N500)</f>
        <v/>
      </c>
      <c r="L500" s="7">
        <f>IF($A500="","",N500-K500)</f>
        <v/>
      </c>
      <c r="M500" s="7">
        <f>IF($A500="","",L500-F500)</f>
        <v/>
      </c>
      <c r="N500" s="7" t="n"/>
      <c r="Q500" s="11" t="n"/>
      <c r="S500">
        <f>IF($A500="","",IF($W500=1,Settings!$C$6,Settings!$C$7)*1)</f>
        <v/>
      </c>
      <c r="U500">
        <f>IF($A500="","",IF(COUNTIF($A$2:$A500,$A500)=1,1,0))</f>
        <v/>
      </c>
      <c r="V500">
        <f>IF($U500=1,SUMPRODUCT(--($X$2:$X$1001&lt;$X500))+1,"")</f>
        <v/>
      </c>
      <c r="W500">
        <f>IF($A500="","",IF(OR($T500=TRUE(),$T500="TRUE"),1,0))</f>
        <v/>
      </c>
      <c r="X500">
        <f>IF($U500=1,IFERROR(IF(VALUE($A500)&lt;100000000,VALUE($A500),1000000000),IFERROR(IF(VALUE(MID($A500,2,20))&lt;100000000,VALUE(MID($A500,2,20)),1000000000),1000000000))+ROW()/100000,"")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IF($A501="","",E501*N501/100)</f>
        <v/>
      </c>
      <c r="J501" s="7" t="n"/>
      <c r="K501" s="7">
        <f>IF($A501="","",S501*N501)</f>
        <v/>
      </c>
      <c r="L501" s="7">
        <f>IF($A501="","",N501-K501)</f>
        <v/>
      </c>
      <c r="M501" s="7">
        <f>IF($A501="","",L501-F501)</f>
        <v/>
      </c>
      <c r="N501" s="7" t="n"/>
      <c r="Q501" s="11" t="n"/>
      <c r="S501">
        <f>IF($A501="","",IF($W501=1,Settings!$C$6,Settings!$C$7)*1)</f>
        <v/>
      </c>
      <c r="U501">
        <f>IF($A501="","",IF(COUNTIF($A$2:$A501,$A501)=1,1,0))</f>
        <v/>
      </c>
      <c r="V501">
        <f>IF($U501=1,SUMPRODUCT(--($X$2:$X$1001&lt;$X501))+1,"")</f>
        <v/>
      </c>
      <c r="W501">
        <f>IF($A501="","",IF(OR($T501=TRUE(),$T501="TRUE"),1,0))</f>
        <v/>
      </c>
      <c r="X501">
        <f>IF($U501=1,IFERROR(IF(VALUE($A501)&lt;100000000,VALUE($A501),1000000000),IFERROR(IF(VALUE(MID($A501,2,20))&lt;100000000,VALUE(MID($A501,2,20)),1000000000),1000000000))+ROW()/100000,"")</f>
        <v/>
      </c>
    </row>
    <row r="502">
      <c r="F502" s="7">
        <f>IF($A502="","",E502*N502/100)</f>
        <v/>
      </c>
      <c r="J502" s="7" t="n"/>
      <c r="K502" s="7">
        <f>IF($A502="","",S502*N502)</f>
        <v/>
      </c>
      <c r="L502" s="7">
        <f>IF($A502="","",N502-K502)</f>
        <v/>
      </c>
      <c r="M502" s="7">
        <f>IF($A502="","",L502-F502)</f>
        <v/>
      </c>
      <c r="N502" s="7" t="n"/>
      <c r="Q502" s="11" t="n"/>
      <c r="S502">
        <f>IF($A502="","",IF($W502=1,Settings!$C$6,Settings!$C$7)*1)</f>
        <v/>
      </c>
      <c r="U502">
        <f>IF($A502="","",IF(COUNTIF($A$2:$A502,$A502)=1,1,0))</f>
        <v/>
      </c>
      <c r="V502">
        <f>IF($U502=1,SUMPRODUCT(--($X$2:$X$1001&lt;$X502))+1,"")</f>
        <v/>
      </c>
      <c r="W502">
        <f>IF($A502="","",IF(OR($T502=TRUE(),$T502="TRUE"),1,0))</f>
        <v/>
      </c>
      <c r="X502">
        <f>IF($U502=1,IFERROR(IF(VALUE($A502)&lt;100000000,VALUE($A502),1000000000),IFERROR(IF(VALUE(MID($A502,2,20))&lt;100000000,VALUE(MID($A502,2,20)),1000000000),1000000000))+ROW()/100000,"")</f>
        <v/>
      </c>
    </row>
    <row r="503">
      <c r="F503" s="7">
        <f>IF($A503="","",E503*N503/100)</f>
        <v/>
      </c>
      <c r="J503" s="7" t="n"/>
      <c r="K503" s="7">
        <f>IF($A503="","",S503*N503)</f>
        <v/>
      </c>
      <c r="L503" s="7">
        <f>IF($A503="","",N503-K503)</f>
        <v/>
      </c>
      <c r="M503" s="7">
        <f>IF($A503="","",L503-F503)</f>
        <v/>
      </c>
      <c r="N503" s="7" t="n"/>
      <c r="Q503" s="11" t="n"/>
      <c r="S503">
        <f>IF($A503="","",IF($W503=1,Settings!$C$6,Settings!$C$7)*1)</f>
        <v/>
      </c>
      <c r="U503">
        <f>IF($A503="","",IF(COUNTIF($A$2:$A503,$A503)=1,1,0))</f>
        <v/>
      </c>
      <c r="V503">
        <f>IF($U503=1,SUMPRODUCT(--($X$2:$X$1001&lt;$X503))+1,"")</f>
        <v/>
      </c>
      <c r="W503">
        <f>IF($A503="","",IF(OR($T503=TRUE(),$T503="TRUE"),1,0))</f>
        <v/>
      </c>
      <c r="X503">
        <f>IF($U503=1,IFERROR(IF(VALUE($A503)&lt;100000000,VALUE($A503),1000000000),IFERROR(IF(VALUE(MID($A503,2,20))&lt;100000000,VALUE(MID($A503,2,20)),1000000000),1000000000))+ROW()/100000,"")</f>
        <v/>
      </c>
    </row>
    <row r="504">
      <c r="F504" s="7">
        <f>IF($A504="","",E504*N504/100)</f>
        <v/>
      </c>
      <c r="J504" s="7" t="n"/>
      <c r="K504" s="7">
        <f>IF($A504="","",S504*N504)</f>
        <v/>
      </c>
      <c r="L504" s="7">
        <f>IF($A504="","",N504-K504)</f>
        <v/>
      </c>
      <c r="M504" s="7">
        <f>IF($A504="","",L504-F504)</f>
        <v/>
      </c>
      <c r="N504" s="7" t="n"/>
      <c r="Q504" s="11" t="n"/>
      <c r="S504">
        <f>IF($A504="","",IF($W504=1,Settings!$C$6,Settings!$C$7)*1)</f>
        <v/>
      </c>
      <c r="U504">
        <f>IF($A504="","",IF(COUNTIF($A$2:$A504,$A504)=1,1,0))</f>
        <v/>
      </c>
      <c r="V504">
        <f>IF($U504=1,SUMPRODUCT(--($X$2:$X$1001&lt;$X504))+1,"")</f>
        <v/>
      </c>
      <c r="W504">
        <f>IF($A504="","",IF(OR($T504=TRUE(),$T504="TRUE"),1,0))</f>
        <v/>
      </c>
      <c r="X504">
        <f>IF($U504=1,IFERROR(IF(VALUE($A504)&lt;100000000,VALUE($A504),1000000000),IFERROR(IF(VALUE(MID($A504,2,20))&lt;100000000,VALUE(MID($A504,2,20)),1000000000),1000000000))+ROW()/100000,"")</f>
        <v/>
      </c>
    </row>
    <row r="505">
      <c r="F505" s="7">
        <f>IF($A505="","",E505*N505/100)</f>
        <v/>
      </c>
      <c r="J505" s="7" t="n"/>
      <c r="K505" s="7">
        <f>IF($A505="","",S505*N505)</f>
        <v/>
      </c>
      <c r="L505" s="7">
        <f>IF($A505="","",N505-K505)</f>
        <v/>
      </c>
      <c r="M505" s="7">
        <f>IF($A505="","",L505-F505)</f>
        <v/>
      </c>
      <c r="N505" s="7" t="n"/>
      <c r="Q505" s="11" t="n"/>
      <c r="S505">
        <f>IF($A505="","",IF($W505=1,Settings!$C$6,Settings!$C$7)*1)</f>
        <v/>
      </c>
      <c r="U505">
        <f>IF($A505="","",IF(COUNTIF($A$2:$A505,$A505)=1,1,0))</f>
        <v/>
      </c>
      <c r="V505">
        <f>IF($U505=1,SUMPRODUCT(--($X$2:$X$1001&lt;$X505))+1,"")</f>
        <v/>
      </c>
      <c r="W505">
        <f>IF($A505="","",IF(OR($T505=TRUE(),$T505="TRUE"),1,0))</f>
        <v/>
      </c>
      <c r="X505">
        <f>IF($U505=1,IFERROR(IF(VALUE($A505)&lt;100000000,VALUE($A505),1000000000),IFERROR(IF(VALUE(MID($A505,2,20))&lt;100000000,VALUE(MID($A505,2,20)),1000000000),1000000000))+ROW()/100000,"")</f>
        <v/>
      </c>
    </row>
    <row r="506">
      <c r="F506" s="7">
        <f>IF($A506="","",E506*N506/100)</f>
        <v/>
      </c>
      <c r="J506" s="7" t="n"/>
      <c r="K506" s="7">
        <f>IF($A506="","",S506*N506)</f>
        <v/>
      </c>
      <c r="L506" s="7">
        <f>IF($A506="","",N506-K506)</f>
        <v/>
      </c>
      <c r="M506" s="7">
        <f>IF($A506="","",L506-F506)</f>
        <v/>
      </c>
      <c r="N506" s="7" t="n"/>
      <c r="Q506" s="11" t="n"/>
      <c r="S506">
        <f>IF($A506="","",IF($W506=1,Settings!$C$6,Settings!$C$7)*1)</f>
        <v/>
      </c>
      <c r="U506">
        <f>IF($A506="","",IF(COUNTIF($A$2:$A506,$A506)=1,1,0))</f>
        <v/>
      </c>
      <c r="V506">
        <f>IF($U506=1,SUMPRODUCT(--($X$2:$X$1001&lt;$X506))+1,"")</f>
        <v/>
      </c>
      <c r="W506">
        <f>IF($A506="","",IF(OR($T506=TRUE(),$T506="TRUE"),1,0))</f>
        <v/>
      </c>
      <c r="X506">
        <f>IF($U506=1,IFERROR(IF(VALUE($A506)&lt;100000000,VALUE($A506),1000000000),IFERROR(IF(VALUE(MID($A506,2,20))&lt;100000000,VALUE(MID($A506,2,20)),1000000000),1000000000))+ROW()/100000,"")</f>
        <v/>
      </c>
    </row>
    <row r="507">
      <c r="F507" s="7">
        <f>IF($A507="","",E507*N507/100)</f>
        <v/>
      </c>
      <c r="J507" s="7" t="n"/>
      <c r="K507" s="7">
        <f>IF($A507="","",S507*N507)</f>
        <v/>
      </c>
      <c r="L507" s="7">
        <f>IF($A507="","",N507-K507)</f>
        <v/>
      </c>
      <c r="M507" s="7">
        <f>IF($A507="","",L507-F507)</f>
        <v/>
      </c>
      <c r="N507" s="7" t="n"/>
      <c r="Q507" s="11" t="n"/>
      <c r="S507">
        <f>IF($A507="","",IF($W507=1,Settings!$C$6,Settings!$C$7)*1)</f>
        <v/>
      </c>
      <c r="U507">
        <f>IF($A507="","",IF(COUNTIF($A$2:$A507,$A507)=1,1,0))</f>
        <v/>
      </c>
      <c r="V507">
        <f>IF($U507=1,SUMPRODUCT(--($X$2:$X$1001&lt;$X507))+1,"")</f>
        <v/>
      </c>
      <c r="W507">
        <f>IF($A507="","",IF(OR($T507=TRUE(),$T507="TRUE"),1,0))</f>
        <v/>
      </c>
      <c r="X507">
        <f>IF($U507=1,IFERROR(IF(VALUE($A507)&lt;100000000,VALUE($A507),1000000000),IFERROR(IF(VALUE(MID($A507,2,20))&lt;100000000,VALUE(MID($A507,2,20)),1000000000),1000000000))+ROW()/100000,"")</f>
        <v/>
      </c>
    </row>
    <row r="508">
      <c r="F508" s="7">
        <f>IF($A508="","",E508*N508/100)</f>
        <v/>
      </c>
      <c r="J508" s="7" t="n"/>
      <c r="K508" s="7">
        <f>IF($A508="","",S508*N508)</f>
        <v/>
      </c>
      <c r="L508" s="7">
        <f>IF($A508="","",N508-K508)</f>
        <v/>
      </c>
      <c r="M508" s="7">
        <f>IF($A508="","",L508-F508)</f>
        <v/>
      </c>
      <c r="N508" s="7" t="n"/>
      <c r="Q508" s="11" t="n"/>
      <c r="S508">
        <f>IF($A508="","",IF($W508=1,Settings!$C$6,Settings!$C$7)*1)</f>
        <v/>
      </c>
      <c r="U508">
        <f>IF($A508="","",IF(COUNTIF($A$2:$A508,$A508)=1,1,0))</f>
        <v/>
      </c>
      <c r="V508">
        <f>IF($U508=1,SUMPRODUCT(--($X$2:$X$1001&lt;$X508))+1,"")</f>
        <v/>
      </c>
      <c r="W508">
        <f>IF($A508="","",IF(OR($T508=TRUE(),$T508="TRUE"),1,0))</f>
        <v/>
      </c>
      <c r="X508">
        <f>IF($U508=1,IFERROR(IF(VALUE($A508)&lt;100000000,VALUE($A508),1000000000),IFERROR(IF(VALUE(MID($A508,2,20))&lt;100000000,VALUE(MID($A508,2,20)),1000000000),1000000000))+ROW()/100000,"")</f>
        <v/>
      </c>
    </row>
    <row r="509">
      <c r="F509" s="7">
        <f>IF($A509="","",E509*N509/100)</f>
        <v/>
      </c>
      <c r="J509" s="7" t="n"/>
      <c r="K509" s="7">
        <f>IF($A509="","",S509*N509)</f>
        <v/>
      </c>
      <c r="L509" s="7">
        <f>IF($A509="","",N509-K509)</f>
        <v/>
      </c>
      <c r="M509" s="7">
        <f>IF($A509="","",L509-F509)</f>
        <v/>
      </c>
      <c r="N509" s="7" t="n"/>
      <c r="Q509" s="11" t="n"/>
      <c r="S509">
        <f>IF($A509="","",IF($W509=1,Settings!$C$6,Settings!$C$7)*1)</f>
        <v/>
      </c>
      <c r="U509">
        <f>IF($A509="","",IF(COUNTIF($A$2:$A509,$A509)=1,1,0))</f>
        <v/>
      </c>
      <c r="V509">
        <f>IF($U509=1,SUMPRODUCT(--($X$2:$X$1001&lt;$X509))+1,"")</f>
        <v/>
      </c>
      <c r="W509">
        <f>IF($A509="","",IF(OR($T509=TRUE(),$T509="TRUE"),1,0))</f>
        <v/>
      </c>
      <c r="X509">
        <f>IF($U509=1,IFERROR(IF(VALUE($A509)&lt;100000000,VALUE($A509),1000000000),IFERROR(IF(VALUE(MID($A509,2,20))&lt;100000000,VALUE(MID($A509,2,20)),1000000000),1000000000))+ROW()/100000,"")</f>
        <v/>
      </c>
    </row>
    <row r="510">
      <c r="F510" s="7">
        <f>IF($A510="","",E510*N510/100)</f>
        <v/>
      </c>
      <c r="J510" s="7" t="n"/>
      <c r="K510" s="7">
        <f>IF($A510="","",S510*N510)</f>
        <v/>
      </c>
      <c r="L510" s="7">
        <f>IF($A510="","",N510-K510)</f>
        <v/>
      </c>
      <c r="M510" s="7">
        <f>IF($A510="","",L510-F510)</f>
        <v/>
      </c>
      <c r="N510" s="7" t="n"/>
      <c r="Q510" s="11" t="n"/>
      <c r="S510">
        <f>IF($A510="","",IF($W510=1,Settings!$C$6,Settings!$C$7)*1)</f>
        <v/>
      </c>
      <c r="U510">
        <f>IF($A510="","",IF(COUNTIF($A$2:$A510,$A510)=1,1,0))</f>
        <v/>
      </c>
      <c r="V510">
        <f>IF($U510=1,SUMPRODUCT(--($X$2:$X$1001&lt;$X510))+1,"")</f>
        <v/>
      </c>
      <c r="W510">
        <f>IF($A510="","",IF(OR($T510=TRUE(),$T510="TRUE"),1,0))</f>
        <v/>
      </c>
      <c r="X510">
        <f>IF($U510=1,IFERROR(IF(VALUE($A510)&lt;100000000,VALUE($A510),1000000000),IFERROR(IF(VALUE(MID($A510,2,20))&lt;100000000,VALUE(MID($A510,2,20)),1000000000),1000000000))+ROW()/100000,"")</f>
        <v/>
      </c>
    </row>
    <row r="511">
      <c r="F511" s="7">
        <f>IF($A511="","",E511*N511/100)</f>
        <v/>
      </c>
      <c r="J511" s="7" t="n"/>
      <c r="K511" s="7">
        <f>IF($A511="","",S511*N511)</f>
        <v/>
      </c>
      <c r="L511" s="7">
        <f>IF($A511="","",N511-K511)</f>
        <v/>
      </c>
      <c r="M511" s="7">
        <f>IF($A511="","",L511-F511)</f>
        <v/>
      </c>
      <c r="N511" s="7" t="n"/>
      <c r="Q511" s="11" t="n"/>
      <c r="S511">
        <f>IF($A511="","",IF($W511=1,Settings!$C$6,Settings!$C$7)*1)</f>
        <v/>
      </c>
      <c r="U511">
        <f>IF($A511="","",IF(COUNTIF($A$2:$A511,$A511)=1,1,0))</f>
        <v/>
      </c>
      <c r="V511">
        <f>IF($U511=1,SUMPRODUCT(--($X$2:$X$1001&lt;$X511))+1,"")</f>
        <v/>
      </c>
      <c r="W511">
        <f>IF($A511="","",IF(OR($T511=TRUE(),$T511="TRUE"),1,0))</f>
        <v/>
      </c>
      <c r="X511">
        <f>IF($U511=1,IFERROR(IF(VALUE($A511)&lt;100000000,VALUE($A511),1000000000),IFERROR(IF(VALUE(MID($A511,2,20))&lt;100000000,VALUE(MID($A511,2,20)),1000000000),1000000000))+ROW()/100000,"")</f>
        <v/>
      </c>
    </row>
    <row r="512">
      <c r="F512" s="7">
        <f>IF($A512="","",E512*N512/100)</f>
        <v/>
      </c>
      <c r="J512" s="7" t="n"/>
      <c r="K512" s="7">
        <f>IF($A512="","",S512*N512)</f>
        <v/>
      </c>
      <c r="L512" s="7">
        <f>IF($A512="","",N512-K512)</f>
        <v/>
      </c>
      <c r="M512" s="7">
        <f>IF($A512="","",L512-F512)</f>
        <v/>
      </c>
      <c r="N512" s="7" t="n"/>
      <c r="Q512" s="11" t="n"/>
      <c r="S512">
        <f>IF($A512="","",IF($W512=1,Settings!$C$6,Settings!$C$7)*1)</f>
        <v/>
      </c>
      <c r="U512">
        <f>IF($A512="","",IF(COUNTIF($A$2:$A512,$A512)=1,1,0))</f>
        <v/>
      </c>
      <c r="V512">
        <f>IF($U512=1,SUMPRODUCT(--($X$2:$X$1001&lt;$X512))+1,"")</f>
        <v/>
      </c>
      <c r="W512">
        <f>IF($A512="","",IF(OR($T512=TRUE(),$T512="TRUE"),1,0))</f>
        <v/>
      </c>
      <c r="X512">
        <f>IF($U512=1,IFERROR(IF(VALUE($A512)&lt;100000000,VALUE($A512),1000000000),IFERROR(IF(VALUE(MID($A512,2,20))&lt;100000000,VALUE(MID($A512,2,20)),1000000000),1000000000))+ROW()/100000,"")</f>
        <v/>
      </c>
    </row>
    <row r="513">
      <c r="F513" s="7">
        <f>IF($A513="","",E513*N513/100)</f>
        <v/>
      </c>
      <c r="J513" s="7" t="n"/>
      <c r="K513" s="7">
        <f>IF($A513="","",S513*N513)</f>
        <v/>
      </c>
      <c r="L513" s="7">
        <f>IF($A513="","",N513-K513)</f>
        <v/>
      </c>
      <c r="M513" s="7">
        <f>IF($A513="","",L513-F513)</f>
        <v/>
      </c>
      <c r="N513" s="7" t="n"/>
      <c r="Q513" s="11" t="n"/>
      <c r="S513">
        <f>IF($A513="","",IF($W513=1,Settings!$C$6,Settings!$C$7)*1)</f>
        <v/>
      </c>
      <c r="U513">
        <f>IF($A513="","",IF(COUNTIF($A$2:$A513,$A513)=1,1,0))</f>
        <v/>
      </c>
      <c r="V513">
        <f>IF($U513=1,SUMPRODUCT(--($X$2:$X$1001&lt;$X513))+1,"")</f>
        <v/>
      </c>
      <c r="W513">
        <f>IF($A513="","",IF(OR($T513=TRUE(),$T513="TRUE"),1,0))</f>
        <v/>
      </c>
      <c r="X513">
        <f>IF($U513=1,IFERROR(IF(VALUE($A513)&lt;100000000,VALUE($A513),1000000000),IFERROR(IF(VALUE(MID($A513,2,20))&lt;100000000,VALUE(MID($A513,2,20)),1000000000),1000000000))+ROW()/100000,"")</f>
        <v/>
      </c>
    </row>
    <row r="514">
      <c r="F514" s="7">
        <f>IF($A514="","",E514*N514/100)</f>
        <v/>
      </c>
      <c r="J514" s="7" t="n"/>
      <c r="K514" s="7">
        <f>IF($A514="","",S514*N514)</f>
        <v/>
      </c>
      <c r="L514" s="7">
        <f>IF($A514="","",N514-K514)</f>
        <v/>
      </c>
      <c r="M514" s="7">
        <f>IF($A514="","",L514-F514)</f>
        <v/>
      </c>
      <c r="N514" s="7" t="n"/>
      <c r="Q514" s="11" t="n"/>
      <c r="S514">
        <f>IF($A514="","",IF($W514=1,Settings!$C$6,Settings!$C$7)*1)</f>
        <v/>
      </c>
      <c r="U514">
        <f>IF($A514="","",IF(COUNTIF($A$2:$A514,$A514)=1,1,0))</f>
        <v/>
      </c>
      <c r="V514">
        <f>IF($U514=1,SUMPRODUCT(--($X$2:$X$1001&lt;$X514))+1,"")</f>
        <v/>
      </c>
      <c r="W514">
        <f>IF($A514="","",IF(OR($T514=TRUE(),$T514="TRUE"),1,0))</f>
        <v/>
      </c>
      <c r="X514">
        <f>IF($U514=1,IFERROR(IF(VALUE($A514)&lt;100000000,VALUE($A514),1000000000),IFERROR(IF(VALUE(MID($A514,2,20))&lt;100000000,VALUE(MID($A514,2,20)),1000000000),1000000000))+ROW()/100000,"")</f>
        <v/>
      </c>
    </row>
    <row r="515">
      <c r="F515" s="7">
        <f>IF($A515="","",E515*N515/100)</f>
        <v/>
      </c>
      <c r="J515" s="7" t="n"/>
      <c r="K515" s="7">
        <f>IF($A515="","",S515*N515)</f>
        <v/>
      </c>
      <c r="L515" s="7">
        <f>IF($A515="","",N515-K515)</f>
        <v/>
      </c>
      <c r="M515" s="7">
        <f>IF($A515="","",L515-F515)</f>
        <v/>
      </c>
      <c r="N515" s="7" t="n"/>
      <c r="Q515" s="11" t="n"/>
      <c r="S515">
        <f>IF($A515="","",IF($W515=1,Settings!$C$6,Settings!$C$7)*1)</f>
        <v/>
      </c>
      <c r="U515">
        <f>IF($A515="","",IF(COUNTIF($A$2:$A515,$A515)=1,1,0))</f>
        <v/>
      </c>
      <c r="V515">
        <f>IF($U515=1,SUMPRODUCT(--($X$2:$X$1001&lt;$X515))+1,"")</f>
        <v/>
      </c>
      <c r="W515">
        <f>IF($A515="","",IF(OR($T515=TRUE(),$T515="TRUE"),1,0))</f>
        <v/>
      </c>
      <c r="X515">
        <f>IF($U515=1,IFERROR(IF(VALUE($A515)&lt;100000000,VALUE($A515),1000000000),IFERROR(IF(VALUE(MID($A515,2,20))&lt;100000000,VALUE(MID($A515,2,20)),1000000000),1000000000))+ROW()/100000,"")</f>
        <v/>
      </c>
    </row>
    <row r="516">
      <c r="F516" s="7">
        <f>IF($A516="","",E516*N516/100)</f>
        <v/>
      </c>
      <c r="J516" s="7" t="n"/>
      <c r="K516" s="7">
        <f>IF($A516="","",S516*N516)</f>
        <v/>
      </c>
      <c r="L516" s="7">
        <f>IF($A516="","",N516-K516)</f>
        <v/>
      </c>
      <c r="M516" s="7">
        <f>IF($A516="","",L516-F516)</f>
        <v/>
      </c>
      <c r="N516" s="7" t="n"/>
      <c r="Q516" s="11" t="n"/>
      <c r="S516">
        <f>IF($A516="","",IF($W516=1,Settings!$C$6,Settings!$C$7)*1)</f>
        <v/>
      </c>
      <c r="U516">
        <f>IF($A516="","",IF(COUNTIF($A$2:$A516,$A516)=1,1,0))</f>
        <v/>
      </c>
      <c r="V516">
        <f>IF($U516=1,SUMPRODUCT(--($X$2:$X$1001&lt;$X516))+1,"")</f>
        <v/>
      </c>
      <c r="W516">
        <f>IF($A516="","",IF(OR($T516=TRUE(),$T516="TRUE"),1,0))</f>
        <v/>
      </c>
      <c r="X516">
        <f>IF($U516=1,IFERROR(IF(VALUE($A516)&lt;100000000,VALUE($A516),1000000000),IFERROR(IF(VALUE(MID($A516,2,20))&lt;100000000,VALUE(MID($A516,2,20)),1000000000),1000000000))+ROW()/100000,"")</f>
        <v/>
      </c>
    </row>
    <row r="517">
      <c r="F517" s="7">
        <f>IF($A517="","",E517*N517/100)</f>
        <v/>
      </c>
      <c r="J517" s="7" t="n"/>
      <c r="K517" s="7">
        <f>IF($A517="","",S517*N517)</f>
        <v/>
      </c>
      <c r="L517" s="7">
        <f>IF($A517="","",N517-K517)</f>
        <v/>
      </c>
      <c r="M517" s="7">
        <f>IF($A517="","",L517-F517)</f>
        <v/>
      </c>
      <c r="N517" s="7" t="n"/>
      <c r="Q517" s="11" t="n"/>
      <c r="S517">
        <f>IF($A517="","",IF($W517=1,Settings!$C$6,Settings!$C$7)*1)</f>
        <v/>
      </c>
      <c r="U517">
        <f>IF($A517="","",IF(COUNTIF($A$2:$A517,$A517)=1,1,0))</f>
        <v/>
      </c>
      <c r="V517">
        <f>IF($U517=1,SUMPRODUCT(--($X$2:$X$1001&lt;$X517))+1,"")</f>
        <v/>
      </c>
      <c r="W517">
        <f>IF($A517="","",IF(OR($T517=TRUE(),$T517="TRUE"),1,0))</f>
        <v/>
      </c>
      <c r="X517">
        <f>IF($U517=1,IFERROR(IF(VALUE($A517)&lt;100000000,VALUE($A517),1000000000),IFERROR(IF(VALUE(MID($A517,2,20))&lt;100000000,VALUE(MID($A517,2,20)),1000000000),1000000000))+ROW()/100000,"")</f>
        <v/>
      </c>
    </row>
    <row r="518">
      <c r="F518" s="7">
        <f>IF($A518="","",E518*N518/100)</f>
        <v/>
      </c>
      <c r="J518" s="7" t="n"/>
      <c r="K518" s="7">
        <f>IF($A518="","",S518*N518)</f>
        <v/>
      </c>
      <c r="L518" s="7">
        <f>IF($A518="","",N518-K518)</f>
        <v/>
      </c>
      <c r="M518" s="7">
        <f>IF($A518="","",L518-F518)</f>
        <v/>
      </c>
      <c r="N518" s="7" t="n"/>
      <c r="Q518" s="11" t="n"/>
      <c r="S518">
        <f>IF($A518="","",IF($W518=1,Settings!$C$6,Settings!$C$7)*1)</f>
        <v/>
      </c>
      <c r="U518">
        <f>IF($A518="","",IF(COUNTIF($A$2:$A518,$A518)=1,1,0))</f>
        <v/>
      </c>
      <c r="V518">
        <f>IF($U518=1,SUMPRODUCT(--($X$2:$X$1001&lt;$X518))+1,"")</f>
        <v/>
      </c>
      <c r="W518">
        <f>IF($A518="","",IF(OR($T518=TRUE(),$T518="TRUE"),1,0))</f>
        <v/>
      </c>
      <c r="X518">
        <f>IF($U518=1,IFERROR(IF(VALUE($A518)&lt;100000000,VALUE($A518),1000000000),IFERROR(IF(VALUE(MID($A518,2,20))&lt;100000000,VALUE(MID($A518,2,20)),1000000000),1000000000))+ROW()/100000,"")</f>
        <v/>
      </c>
    </row>
    <row r="519">
      <c r="F519" s="7">
        <f>IF($A519="","",E519*N519/100)</f>
        <v/>
      </c>
      <c r="J519" s="7" t="n"/>
      <c r="K519" s="7">
        <f>IF($A519="","",S519*N519)</f>
        <v/>
      </c>
      <c r="L519" s="7">
        <f>IF($A519="","",N519-K519)</f>
        <v/>
      </c>
      <c r="M519" s="7">
        <f>IF($A519="","",L519-F519)</f>
        <v/>
      </c>
      <c r="N519" s="7" t="n"/>
      <c r="Q519" s="11" t="n"/>
      <c r="S519">
        <f>IF($A519="","",IF($W519=1,Settings!$C$6,Settings!$C$7)*1)</f>
        <v/>
      </c>
      <c r="U519">
        <f>IF($A519="","",IF(COUNTIF($A$2:$A519,$A519)=1,1,0))</f>
        <v/>
      </c>
      <c r="V519">
        <f>IF($U519=1,SUMPRODUCT(--($X$2:$X$1001&lt;$X519))+1,"")</f>
        <v/>
      </c>
      <c r="W519">
        <f>IF($A519="","",IF(OR($T519=TRUE(),$T519="TRUE"),1,0))</f>
        <v/>
      </c>
      <c r="X519">
        <f>IF($U519=1,IFERROR(IF(VALUE($A519)&lt;100000000,VALUE($A519),1000000000),IFERROR(IF(VALUE(MID($A519,2,20))&lt;100000000,VALUE(MID($A519,2,20)),1000000000),1000000000))+ROW()/100000,"")</f>
        <v/>
      </c>
    </row>
    <row r="520">
      <c r="F520" s="7">
        <f>IF($A520="","",E520*N520/100)</f>
        <v/>
      </c>
      <c r="J520" s="7" t="n"/>
      <c r="K520" s="7">
        <f>IF($A520="","",S520*N520)</f>
        <v/>
      </c>
      <c r="L520" s="7">
        <f>IF($A520="","",N520-K520)</f>
        <v/>
      </c>
      <c r="M520" s="7">
        <f>IF($A520="","",L520-F520)</f>
        <v/>
      </c>
      <c r="N520" s="7" t="n"/>
      <c r="Q520" s="11" t="n"/>
      <c r="S520">
        <f>IF($A520="","",IF($W520=1,Settings!$C$6,Settings!$C$7)*1)</f>
        <v/>
      </c>
      <c r="U520">
        <f>IF($A520="","",IF(COUNTIF($A$2:$A520,$A520)=1,1,0))</f>
        <v/>
      </c>
      <c r="V520">
        <f>IF($U520=1,SUMPRODUCT(--($X$2:$X$1001&lt;$X520))+1,"")</f>
        <v/>
      </c>
      <c r="W520">
        <f>IF($A520="","",IF(OR($T520=TRUE(),$T520="TRUE"),1,0))</f>
        <v/>
      </c>
      <c r="X520">
        <f>IF($U520=1,IFERROR(IF(VALUE($A520)&lt;100000000,VALUE($A520),1000000000),IFERROR(IF(VALUE(MID($A520,2,20))&lt;100000000,VALUE(MID($A520,2,20)),1000000000),1000000000))+ROW()/100000,"")</f>
        <v/>
      </c>
    </row>
    <row r="521">
      <c r="F521" s="7">
        <f>IF($A521="","",E521*N521/100)</f>
        <v/>
      </c>
      <c r="J521" s="7" t="n"/>
      <c r="K521" s="7">
        <f>IF($A521="","",S521*N521)</f>
        <v/>
      </c>
      <c r="L521" s="7">
        <f>IF($A521="","",N521-K521)</f>
        <v/>
      </c>
      <c r="M521" s="7">
        <f>IF($A521="","",L521-F521)</f>
        <v/>
      </c>
      <c r="N521" s="7" t="n"/>
      <c r="Q521" s="11" t="n"/>
      <c r="S521">
        <f>IF($A521="","",IF($W521=1,Settings!$C$6,Settings!$C$7)*1)</f>
        <v/>
      </c>
      <c r="U521">
        <f>IF($A521="","",IF(COUNTIF($A$2:$A521,$A521)=1,1,0))</f>
        <v/>
      </c>
      <c r="V521">
        <f>IF($U521=1,SUMPRODUCT(--($X$2:$X$1001&lt;$X521))+1,"")</f>
        <v/>
      </c>
      <c r="W521">
        <f>IF($A521="","",IF(OR($T521=TRUE(),$T521="TRUE"),1,0))</f>
        <v/>
      </c>
      <c r="X521">
        <f>IF($U521=1,IFERROR(IF(VALUE($A521)&lt;100000000,VALUE($A521),1000000000),IFERROR(IF(VALUE(MID($A521,2,20))&lt;100000000,VALUE(MID($A521,2,20)),1000000000),1000000000))+ROW()/100000,"")</f>
        <v/>
      </c>
    </row>
    <row r="522">
      <c r="F522" s="7">
        <f>IF($A522="","",E522*N522/100)</f>
        <v/>
      </c>
      <c r="J522" s="7" t="n"/>
      <c r="K522" s="7">
        <f>IF($A522="","",S522*N522)</f>
        <v/>
      </c>
      <c r="L522" s="7">
        <f>IF($A522="","",N522-K522)</f>
        <v/>
      </c>
      <c r="M522" s="7">
        <f>IF($A522="","",L522-F522)</f>
        <v/>
      </c>
      <c r="N522" s="7" t="n"/>
      <c r="Q522" s="11" t="n"/>
      <c r="S522">
        <f>IF($A522="","",IF($W522=1,Settings!$C$6,Settings!$C$7)*1)</f>
        <v/>
      </c>
      <c r="U522">
        <f>IF($A522="","",IF(COUNTIF($A$2:$A522,$A522)=1,1,0))</f>
        <v/>
      </c>
      <c r="V522">
        <f>IF($U522=1,SUMPRODUCT(--($X$2:$X$1001&lt;$X522))+1,"")</f>
        <v/>
      </c>
      <c r="W522">
        <f>IF($A522="","",IF(OR($T522=TRUE(),$T522="TRUE"),1,0))</f>
        <v/>
      </c>
      <c r="X522">
        <f>IF($U522=1,IFERROR(IF(VALUE($A522)&lt;100000000,VALUE($A522),1000000000),IFERROR(IF(VALUE(MID($A522,2,20))&lt;100000000,VALUE(MID($A522,2,20)),1000000000),1000000000))+ROW()/100000,"")</f>
        <v/>
      </c>
    </row>
    <row r="523">
      <c r="F523" s="7">
        <f>IF($A523="","",E523*N523/100)</f>
        <v/>
      </c>
      <c r="J523" s="7" t="n"/>
      <c r="K523" s="7">
        <f>IF($A523="","",S523*N523)</f>
        <v/>
      </c>
      <c r="L523" s="7">
        <f>IF($A523="","",N523-K523)</f>
        <v/>
      </c>
      <c r="M523" s="7">
        <f>IF($A523="","",L523-F523)</f>
        <v/>
      </c>
      <c r="N523" s="7" t="n"/>
      <c r="Q523" s="11" t="n"/>
      <c r="S523">
        <f>IF($A523="","",IF($W523=1,Settings!$C$6,Settings!$C$7)*1)</f>
        <v/>
      </c>
      <c r="U523">
        <f>IF($A523="","",IF(COUNTIF($A$2:$A523,$A523)=1,1,0))</f>
        <v/>
      </c>
      <c r="V523">
        <f>IF($U523=1,SUMPRODUCT(--($X$2:$X$1001&lt;$X523))+1,"")</f>
        <v/>
      </c>
      <c r="W523">
        <f>IF($A523="","",IF(OR($T523=TRUE(),$T523="TRUE"),1,0))</f>
        <v/>
      </c>
      <c r="X523">
        <f>IF($U523=1,IFERROR(IF(VALUE($A523)&lt;100000000,VALUE($A523),1000000000),IFERROR(IF(VALUE(MID($A523,2,20))&lt;100000000,VALUE(MID($A523,2,20)),1000000000),1000000000))+ROW()/100000,"")</f>
        <v/>
      </c>
    </row>
    <row r="524">
      <c r="F524" s="7">
        <f>IF($A524="","",E524*N524/100)</f>
        <v/>
      </c>
      <c r="J524" s="7" t="n"/>
      <c r="K524" s="7">
        <f>IF($A524="","",S524*N524)</f>
        <v/>
      </c>
      <c r="L524" s="7">
        <f>IF($A524="","",N524-K524)</f>
        <v/>
      </c>
      <c r="M524" s="7">
        <f>IF($A524="","",L524-F524)</f>
        <v/>
      </c>
      <c r="N524" s="7" t="n"/>
      <c r="Q524" s="11" t="n"/>
      <c r="S524">
        <f>IF($A524="","",IF($W524=1,Settings!$C$6,Settings!$C$7)*1)</f>
        <v/>
      </c>
      <c r="U524">
        <f>IF($A524="","",IF(COUNTIF($A$2:$A524,$A524)=1,1,0))</f>
        <v/>
      </c>
      <c r="V524">
        <f>IF($U524=1,SUMPRODUCT(--($X$2:$X$1001&lt;$X524))+1,"")</f>
        <v/>
      </c>
      <c r="W524">
        <f>IF($A524="","",IF(OR($T524=TRUE(),$T524="TRUE"),1,0))</f>
        <v/>
      </c>
      <c r="X524">
        <f>IF($U524=1,IFERROR(IF(VALUE($A524)&lt;100000000,VALUE($A524),1000000000),IFERROR(IF(VALUE(MID($A524,2,20))&lt;100000000,VALUE(MID($A524,2,20)),1000000000),1000000000))+ROW()/100000,"")</f>
        <v/>
      </c>
    </row>
    <row r="525">
      <c r="F525" s="7">
        <f>IF($A525="","",E525*N525/100)</f>
        <v/>
      </c>
      <c r="J525" s="7" t="n"/>
      <c r="K525" s="7">
        <f>IF($A525="","",S525*N525)</f>
        <v/>
      </c>
      <c r="L525" s="7">
        <f>IF($A525="","",N525-K525)</f>
        <v/>
      </c>
      <c r="M525" s="7">
        <f>IF($A525="","",L525-F525)</f>
        <v/>
      </c>
      <c r="N525" s="7" t="n"/>
      <c r="Q525" s="11" t="n"/>
      <c r="S525">
        <f>IF($A525="","",IF($W525=1,Settings!$C$6,Settings!$C$7)*1)</f>
        <v/>
      </c>
      <c r="U525">
        <f>IF($A525="","",IF(COUNTIF($A$2:$A525,$A525)=1,1,0))</f>
        <v/>
      </c>
      <c r="V525">
        <f>IF($U525=1,SUMPRODUCT(--($X$2:$X$1001&lt;$X525))+1,"")</f>
        <v/>
      </c>
      <c r="W525">
        <f>IF($A525="","",IF(OR($T525=TRUE(),$T525="TRUE"),1,0))</f>
        <v/>
      </c>
      <c r="X525">
        <f>IF($U525=1,IFERROR(IF(VALUE($A525)&lt;100000000,VALUE($A525),1000000000),IFERROR(IF(VALUE(MID($A525,2,20))&lt;100000000,VALUE(MID($A525,2,20)),1000000000),1000000000))+ROW()/100000,"")</f>
        <v/>
      </c>
    </row>
    <row r="526">
      <c r="F526" s="7">
        <f>IF($A526="","",E526*N526/100)</f>
        <v/>
      </c>
      <c r="J526" s="7" t="n"/>
      <c r="K526" s="7">
        <f>IF($A526="","",S526*N526)</f>
        <v/>
      </c>
      <c r="L526" s="7">
        <f>IF($A526="","",N526-K526)</f>
        <v/>
      </c>
      <c r="M526" s="7">
        <f>IF($A526="","",L526-F526)</f>
        <v/>
      </c>
      <c r="N526" s="7" t="n"/>
      <c r="Q526" s="11" t="n"/>
      <c r="S526">
        <f>IF($A526="","",IF($W526=1,Settings!$C$6,Settings!$C$7)*1)</f>
        <v/>
      </c>
      <c r="U526">
        <f>IF($A526="","",IF(COUNTIF($A$2:$A526,$A526)=1,1,0))</f>
        <v/>
      </c>
      <c r="V526">
        <f>IF($U526=1,SUMPRODUCT(--($X$2:$X$1001&lt;$X526))+1,"")</f>
        <v/>
      </c>
      <c r="W526">
        <f>IF($A526="","",IF(OR($T526=TRUE(),$T526="TRUE"),1,0))</f>
        <v/>
      </c>
      <c r="X526">
        <f>IF($U526=1,IFERROR(IF(VALUE($A526)&lt;100000000,VALUE($A526),1000000000),IFERROR(IF(VALUE(MID($A526,2,20))&lt;100000000,VALUE(MID($A526,2,20)),1000000000),1000000000))+ROW()/100000,"")</f>
        <v/>
      </c>
    </row>
    <row r="527">
      <c r="F527" s="7">
        <f>IF($A527="","",E527*N527/100)</f>
        <v/>
      </c>
      <c r="J527" s="7" t="n"/>
      <c r="K527" s="7">
        <f>IF($A527="","",S527*N527)</f>
        <v/>
      </c>
      <c r="L527" s="7">
        <f>IF($A527="","",N527-K527)</f>
        <v/>
      </c>
      <c r="M527" s="7">
        <f>IF($A527="","",L527-F527)</f>
        <v/>
      </c>
      <c r="N527" s="7" t="n"/>
      <c r="Q527" s="11" t="n"/>
      <c r="S527">
        <f>IF($A527="","",IF($W527=1,Settings!$C$6,Settings!$C$7)*1)</f>
        <v/>
      </c>
      <c r="U527">
        <f>IF($A527="","",IF(COUNTIF($A$2:$A527,$A527)=1,1,0))</f>
        <v/>
      </c>
      <c r="V527">
        <f>IF($U527=1,SUMPRODUCT(--($X$2:$X$1001&lt;$X527))+1,"")</f>
        <v/>
      </c>
      <c r="W527">
        <f>IF($A527="","",IF(OR($T527=TRUE(),$T527="TRUE"),1,0))</f>
        <v/>
      </c>
      <c r="X527">
        <f>IF($U527=1,IFERROR(IF(VALUE($A527)&lt;100000000,VALUE($A527),1000000000),IFERROR(IF(VALUE(MID($A527,2,20))&lt;100000000,VALUE(MID($A527,2,20)),1000000000),1000000000))+ROW()/100000,"")</f>
        <v/>
      </c>
    </row>
    <row r="528">
      <c r="F528" s="7">
        <f>IF($A528="","",E528*N528/100)</f>
        <v/>
      </c>
      <c r="J528" s="7" t="n"/>
      <c r="K528" s="7">
        <f>IF($A528="","",S528*N528)</f>
        <v/>
      </c>
      <c r="L528" s="7">
        <f>IF($A528="","",N528-K528)</f>
        <v/>
      </c>
      <c r="M528" s="7">
        <f>IF($A528="","",L528-F528)</f>
        <v/>
      </c>
      <c r="N528" s="7" t="n"/>
      <c r="Q528" s="11" t="n"/>
      <c r="S528">
        <f>IF($A528="","",IF($W528=1,Settings!$C$6,Settings!$C$7)*1)</f>
        <v/>
      </c>
      <c r="U528">
        <f>IF($A528="","",IF(COUNTIF($A$2:$A528,$A528)=1,1,0))</f>
        <v/>
      </c>
      <c r="V528">
        <f>IF($U528=1,SUMPRODUCT(--($X$2:$X$1001&lt;$X528))+1,"")</f>
        <v/>
      </c>
      <c r="W528">
        <f>IF($A528="","",IF(OR($T528=TRUE(),$T528="TRUE"),1,0))</f>
        <v/>
      </c>
      <c r="X528">
        <f>IF($U528=1,IFERROR(IF(VALUE($A528)&lt;100000000,VALUE($A528),1000000000),IFERROR(IF(VALUE(MID($A528,2,20))&lt;100000000,VALUE(MID($A528,2,20)),1000000000),1000000000))+ROW()/100000,"")</f>
        <v/>
      </c>
    </row>
    <row r="529">
      <c r="F529" s="7">
        <f>IF($A529="","",E529*N529/100)</f>
        <v/>
      </c>
      <c r="J529" s="7" t="n"/>
      <c r="K529" s="7">
        <f>IF($A529="","",S529*N529)</f>
        <v/>
      </c>
      <c r="L529" s="7">
        <f>IF($A529="","",N529-K529)</f>
        <v/>
      </c>
      <c r="M529" s="7">
        <f>IF($A529="","",L529-F529)</f>
        <v/>
      </c>
      <c r="N529" s="7" t="n"/>
      <c r="Q529" s="11" t="n"/>
      <c r="S529">
        <f>IF($A529="","",IF($W529=1,Settings!$C$6,Settings!$C$7)*1)</f>
        <v/>
      </c>
      <c r="U529">
        <f>IF($A529="","",IF(COUNTIF($A$2:$A529,$A529)=1,1,0))</f>
        <v/>
      </c>
      <c r="V529">
        <f>IF($U529=1,SUMPRODUCT(--($X$2:$X$1001&lt;$X529))+1,"")</f>
        <v/>
      </c>
      <c r="W529">
        <f>IF($A529="","",IF(OR($T529=TRUE(),$T529="TRUE"),1,0))</f>
        <v/>
      </c>
      <c r="X529">
        <f>IF($U529=1,IFERROR(IF(VALUE($A529)&lt;100000000,VALUE($A529),1000000000),IFERROR(IF(VALUE(MID($A529,2,20))&lt;100000000,VALUE(MID($A529,2,20)),1000000000),1000000000))+ROW()/100000,"")</f>
        <v/>
      </c>
    </row>
    <row r="530">
      <c r="F530" s="7">
        <f>IF($A530="","",E530*N530/100)</f>
        <v/>
      </c>
      <c r="J530" s="7" t="n"/>
      <c r="K530" s="7">
        <f>IF($A530="","",S530*N530)</f>
        <v/>
      </c>
      <c r="L530" s="7">
        <f>IF($A530="","",N530-K530)</f>
        <v/>
      </c>
      <c r="M530" s="7">
        <f>IF($A530="","",L530-F530)</f>
        <v/>
      </c>
      <c r="N530" s="7" t="n"/>
      <c r="Q530" s="11" t="n"/>
      <c r="S530">
        <f>IF($A530="","",IF($W530=1,Settings!$C$6,Settings!$C$7)*1)</f>
        <v/>
      </c>
      <c r="U530">
        <f>IF($A530="","",IF(COUNTIF($A$2:$A530,$A530)=1,1,0))</f>
        <v/>
      </c>
      <c r="V530">
        <f>IF($U530=1,SUMPRODUCT(--($X$2:$X$1001&lt;$X530))+1,"")</f>
        <v/>
      </c>
      <c r="W530">
        <f>IF($A530="","",IF(OR($T530=TRUE(),$T530="TRUE"),1,0))</f>
        <v/>
      </c>
      <c r="X530">
        <f>IF($U530=1,IFERROR(IF(VALUE($A530)&lt;100000000,VALUE($A530),1000000000),IFERROR(IF(VALUE(MID($A530,2,20))&lt;100000000,VALUE(MID($A530,2,20)),1000000000),1000000000))+ROW()/100000,"")</f>
        <v/>
      </c>
    </row>
    <row r="531">
      <c r="F531" s="7">
        <f>IF($A531="","",E531*N531/100)</f>
        <v/>
      </c>
      <c r="J531" s="7" t="n"/>
      <c r="K531" s="7">
        <f>IF($A531="","",S531*N531)</f>
        <v/>
      </c>
      <c r="L531" s="7">
        <f>IF($A531="","",N531-K531)</f>
        <v/>
      </c>
      <c r="M531" s="7">
        <f>IF($A531="","",L531-F531)</f>
        <v/>
      </c>
      <c r="N531" s="7" t="n"/>
      <c r="Q531" s="11" t="n"/>
      <c r="S531">
        <f>IF($A531="","",IF($W531=1,Settings!$C$6,Settings!$C$7)*1)</f>
        <v/>
      </c>
      <c r="U531">
        <f>IF($A531="","",IF(COUNTIF($A$2:$A531,$A531)=1,1,0))</f>
        <v/>
      </c>
      <c r="V531">
        <f>IF($U531=1,SUMPRODUCT(--($X$2:$X$1001&lt;$X531))+1,"")</f>
        <v/>
      </c>
      <c r="W531">
        <f>IF($A531="","",IF(OR($T531=TRUE(),$T531="TRUE"),1,0))</f>
        <v/>
      </c>
      <c r="X531">
        <f>IF($U531=1,IFERROR(IF(VALUE($A531)&lt;100000000,VALUE($A531),1000000000),IFERROR(IF(VALUE(MID($A531,2,20))&lt;100000000,VALUE(MID($A531,2,20)),1000000000),1000000000))+ROW()/100000,"")</f>
        <v/>
      </c>
    </row>
    <row r="532">
      <c r="F532" s="7">
        <f>IF($A532="","",E532*N532/100)</f>
        <v/>
      </c>
      <c r="J532" s="7" t="n"/>
      <c r="K532" s="7">
        <f>IF($A532="","",S532*N532)</f>
        <v/>
      </c>
      <c r="L532" s="7">
        <f>IF($A532="","",N532-K532)</f>
        <v/>
      </c>
      <c r="M532" s="7">
        <f>IF($A532="","",L532-F532)</f>
        <v/>
      </c>
      <c r="N532" s="7" t="n"/>
      <c r="Q532" s="11" t="n"/>
      <c r="S532">
        <f>IF($A532="","",IF($W532=1,Settings!$C$6,Settings!$C$7)*1)</f>
        <v/>
      </c>
      <c r="U532">
        <f>IF($A532="","",IF(COUNTIF($A$2:$A532,$A532)=1,1,0))</f>
        <v/>
      </c>
      <c r="V532">
        <f>IF($U532=1,SUMPRODUCT(--($X$2:$X$1001&lt;$X532))+1,"")</f>
        <v/>
      </c>
      <c r="W532">
        <f>IF($A532="","",IF(OR($T532=TRUE(),$T532="TRUE"),1,0))</f>
        <v/>
      </c>
      <c r="X532">
        <f>IF($U532=1,IFERROR(IF(VALUE($A532)&lt;100000000,VALUE($A532),1000000000),IFERROR(IF(VALUE(MID($A532,2,20))&lt;100000000,VALUE(MID($A532,2,20)),1000000000),1000000000))+ROW()/100000,"")</f>
        <v/>
      </c>
    </row>
    <row r="533">
      <c r="F533" s="7">
        <f>IF($A533="","",E533*N533/100)</f>
        <v/>
      </c>
      <c r="J533" s="7" t="n"/>
      <c r="K533" s="7">
        <f>IF($A533="","",S533*N533)</f>
        <v/>
      </c>
      <c r="L533" s="7">
        <f>IF($A533="","",N533-K533)</f>
        <v/>
      </c>
      <c r="M533" s="7">
        <f>IF($A533="","",L533-F533)</f>
        <v/>
      </c>
      <c r="N533" s="7" t="n"/>
      <c r="Q533" s="11" t="n"/>
      <c r="S533">
        <f>IF($A533="","",IF($W533=1,Settings!$C$6,Settings!$C$7)*1)</f>
        <v/>
      </c>
      <c r="U533">
        <f>IF($A533="","",IF(COUNTIF($A$2:$A533,$A533)=1,1,0))</f>
        <v/>
      </c>
      <c r="V533">
        <f>IF($U533=1,SUMPRODUCT(--($X$2:$X$1001&lt;$X533))+1,"")</f>
        <v/>
      </c>
      <c r="W533">
        <f>IF($A533="","",IF(OR($T533=TRUE(),$T533="TRUE"),1,0))</f>
        <v/>
      </c>
      <c r="X533">
        <f>IF($U533=1,IFERROR(IF(VALUE($A533)&lt;100000000,VALUE($A533),1000000000),IFERROR(IF(VALUE(MID($A533,2,20))&lt;100000000,VALUE(MID($A533,2,20)),1000000000),1000000000))+ROW()/100000,"")</f>
        <v/>
      </c>
    </row>
    <row r="534">
      <c r="F534" s="7">
        <f>IF($A534="","",E534*N534/100)</f>
        <v/>
      </c>
      <c r="J534" s="7" t="n"/>
      <c r="K534" s="7">
        <f>IF($A534="","",S534*N534)</f>
        <v/>
      </c>
      <c r="L534" s="7">
        <f>IF($A534="","",N534-K534)</f>
        <v/>
      </c>
      <c r="M534" s="7">
        <f>IF($A534="","",L534-F534)</f>
        <v/>
      </c>
      <c r="N534" s="7" t="n"/>
      <c r="Q534" s="11" t="n"/>
      <c r="S534">
        <f>IF($A534="","",IF($W534=1,Settings!$C$6,Settings!$C$7)*1)</f>
        <v/>
      </c>
      <c r="U534">
        <f>IF($A534="","",IF(COUNTIF($A$2:$A534,$A534)=1,1,0))</f>
        <v/>
      </c>
      <c r="V534">
        <f>IF($U534=1,SUMPRODUCT(--($X$2:$X$1001&lt;$X534))+1,"")</f>
        <v/>
      </c>
      <c r="W534">
        <f>IF($A534="","",IF(OR($T534=TRUE(),$T534="TRUE"),1,0))</f>
        <v/>
      </c>
      <c r="X534">
        <f>IF($U534=1,IFERROR(IF(VALUE($A534)&lt;100000000,VALUE($A534),1000000000),IFERROR(IF(VALUE(MID($A534,2,20))&lt;100000000,VALUE(MID($A534,2,20)),1000000000),1000000000))+ROW()/100000,"")</f>
        <v/>
      </c>
    </row>
    <row r="535">
      <c r="F535" s="7">
        <f>IF($A535="","",E535*N535/100)</f>
        <v/>
      </c>
      <c r="J535" s="7" t="n"/>
      <c r="K535" s="7">
        <f>IF($A535="","",S535*N535)</f>
        <v/>
      </c>
      <c r="L535" s="7">
        <f>IF($A535="","",N535-K535)</f>
        <v/>
      </c>
      <c r="M535" s="7">
        <f>IF($A535="","",L535-F535)</f>
        <v/>
      </c>
      <c r="N535" s="7" t="n"/>
      <c r="Q535" s="11" t="n"/>
      <c r="S535">
        <f>IF($A535="","",IF($W535=1,Settings!$C$6,Settings!$C$7)*1)</f>
        <v/>
      </c>
      <c r="U535">
        <f>IF($A535="","",IF(COUNTIF($A$2:$A535,$A535)=1,1,0))</f>
        <v/>
      </c>
      <c r="V535">
        <f>IF($U535=1,SUMPRODUCT(--($X$2:$X$1001&lt;$X535))+1,"")</f>
        <v/>
      </c>
      <c r="W535">
        <f>IF($A535="","",IF(OR($T535=TRUE(),$T535="TRUE"),1,0))</f>
        <v/>
      </c>
      <c r="X535">
        <f>IF($U535=1,IFERROR(IF(VALUE($A535)&lt;100000000,VALUE($A535),1000000000),IFERROR(IF(VALUE(MID($A535,2,20))&lt;100000000,VALUE(MID($A535,2,20)),1000000000),1000000000))+ROW()/100000,"")</f>
        <v/>
      </c>
    </row>
    <row r="536">
      <c r="F536" s="7">
        <f>IF($A536="","",E536*N536/100)</f>
        <v/>
      </c>
      <c r="J536" s="7" t="n"/>
      <c r="K536" s="7">
        <f>IF($A536="","",S536*N536)</f>
        <v/>
      </c>
      <c r="L536" s="7">
        <f>IF($A536="","",N536-K536)</f>
        <v/>
      </c>
      <c r="M536" s="7">
        <f>IF($A536="","",L536-F536)</f>
        <v/>
      </c>
      <c r="N536" s="7" t="n"/>
      <c r="Q536" s="11" t="n"/>
      <c r="S536">
        <f>IF($A536="","",IF($W536=1,Settings!$C$6,Settings!$C$7)*1)</f>
        <v/>
      </c>
      <c r="U536">
        <f>IF($A536="","",IF(COUNTIF($A$2:$A536,$A536)=1,1,0))</f>
        <v/>
      </c>
      <c r="V536">
        <f>IF($U536=1,SUMPRODUCT(--($X$2:$X$1001&lt;$X536))+1,"")</f>
        <v/>
      </c>
      <c r="W536">
        <f>IF($A536="","",IF(OR($T536=TRUE(),$T536="TRUE"),1,0))</f>
        <v/>
      </c>
      <c r="X536">
        <f>IF($U536=1,IFERROR(IF(VALUE($A536)&lt;100000000,VALUE($A536),1000000000),IFERROR(IF(VALUE(MID($A536,2,20))&lt;100000000,VALUE(MID($A536,2,20)),1000000000),1000000000))+ROW()/100000,"")</f>
        <v/>
      </c>
    </row>
    <row r="537">
      <c r="F537" s="7">
        <f>IF($A537="","",E537*N537/100)</f>
        <v/>
      </c>
      <c r="J537" s="7" t="n"/>
      <c r="K537" s="7">
        <f>IF($A537="","",S537*N537)</f>
        <v/>
      </c>
      <c r="L537" s="7">
        <f>IF($A537="","",N537-K537)</f>
        <v/>
      </c>
      <c r="M537" s="7">
        <f>IF($A537="","",L537-F537)</f>
        <v/>
      </c>
      <c r="N537" s="7" t="n"/>
      <c r="Q537" s="11" t="n"/>
      <c r="S537">
        <f>IF($A537="","",IF($W537=1,Settings!$C$6,Settings!$C$7)*1)</f>
        <v/>
      </c>
      <c r="U537">
        <f>IF($A537="","",IF(COUNTIF($A$2:$A537,$A537)=1,1,0))</f>
        <v/>
      </c>
      <c r="V537">
        <f>IF($U537=1,SUMPRODUCT(--($X$2:$X$1001&lt;$X537))+1,"")</f>
        <v/>
      </c>
      <c r="W537">
        <f>IF($A537="","",IF(OR($T537=TRUE(),$T537="TRUE"),1,0))</f>
        <v/>
      </c>
      <c r="X537">
        <f>IF($U537=1,IFERROR(IF(VALUE($A537)&lt;100000000,VALUE($A537),1000000000),IFERROR(IF(VALUE(MID($A537,2,20))&lt;100000000,VALUE(MID($A537,2,20)),1000000000),1000000000))+ROW()/100000,"")</f>
        <v/>
      </c>
    </row>
    <row r="538">
      <c r="F538" s="7">
        <f>IF($A538="","",E538*N538/100)</f>
        <v/>
      </c>
      <c r="J538" s="7" t="n"/>
      <c r="K538" s="7">
        <f>IF($A538="","",S538*N538)</f>
        <v/>
      </c>
      <c r="L538" s="7">
        <f>IF($A538="","",N538-K538)</f>
        <v/>
      </c>
      <c r="M538" s="7">
        <f>IF($A538="","",L538-F538)</f>
        <v/>
      </c>
      <c r="N538" s="7" t="n"/>
      <c r="Q538" s="11" t="n"/>
      <c r="S538">
        <f>IF($A538="","",IF($W538=1,Settings!$C$6,Settings!$C$7)*1)</f>
        <v/>
      </c>
      <c r="U538">
        <f>IF($A538="","",IF(COUNTIF($A$2:$A538,$A538)=1,1,0))</f>
        <v/>
      </c>
      <c r="V538">
        <f>IF($U538=1,SUMPRODUCT(--($X$2:$X$1001&lt;$X538))+1,"")</f>
        <v/>
      </c>
      <c r="W538">
        <f>IF($A538="","",IF(OR($T538=TRUE(),$T538="TRUE"),1,0))</f>
        <v/>
      </c>
      <c r="X538">
        <f>IF($U538=1,IFERROR(IF(VALUE($A538)&lt;100000000,VALUE($A538),1000000000),IFERROR(IF(VALUE(MID($A538,2,20))&lt;100000000,VALUE(MID($A538,2,20)),1000000000),1000000000))+ROW()/100000,"")</f>
        <v/>
      </c>
    </row>
    <row r="539">
      <c r="F539" s="7">
        <f>IF($A539="","",E539*N539/100)</f>
        <v/>
      </c>
      <c r="J539" s="7" t="n"/>
      <c r="K539" s="7">
        <f>IF($A539="","",S539*N539)</f>
        <v/>
      </c>
      <c r="L539" s="7">
        <f>IF($A539="","",N539-K539)</f>
        <v/>
      </c>
      <c r="M539" s="7">
        <f>IF($A539="","",L539-F539)</f>
        <v/>
      </c>
      <c r="N539" s="7" t="n"/>
      <c r="Q539" s="11" t="n"/>
      <c r="S539">
        <f>IF($A539="","",IF($W539=1,Settings!$C$6,Settings!$C$7)*1)</f>
        <v/>
      </c>
      <c r="U539">
        <f>IF($A539="","",IF(COUNTIF($A$2:$A539,$A539)=1,1,0))</f>
        <v/>
      </c>
      <c r="V539">
        <f>IF($U539=1,SUMPRODUCT(--($X$2:$X$1001&lt;$X539))+1,"")</f>
        <v/>
      </c>
      <c r="W539">
        <f>IF($A539="","",IF(OR($T539=TRUE(),$T539="TRUE"),1,0))</f>
        <v/>
      </c>
      <c r="X539">
        <f>IF($U539=1,IFERROR(IF(VALUE($A539)&lt;100000000,VALUE($A539),1000000000),IFERROR(IF(VALUE(MID($A539,2,20))&lt;100000000,VALUE(MID($A539,2,20)),1000000000),1000000000))+ROW()/100000,"")</f>
        <v/>
      </c>
    </row>
    <row r="540">
      <c r="F540" s="7">
        <f>IF($A540="","",E540*N540/100)</f>
        <v/>
      </c>
      <c r="J540" s="7" t="n"/>
      <c r="K540" s="7">
        <f>IF($A540="","",S540*N540)</f>
        <v/>
      </c>
      <c r="L540" s="7">
        <f>IF($A540="","",N540-K540)</f>
        <v/>
      </c>
      <c r="M540" s="7">
        <f>IF($A540="","",L540-F540)</f>
        <v/>
      </c>
      <c r="N540" s="7" t="n"/>
      <c r="Q540" s="11" t="n"/>
      <c r="S540">
        <f>IF($A540="","",IF($W540=1,Settings!$C$6,Settings!$C$7)*1)</f>
        <v/>
      </c>
      <c r="U540">
        <f>IF($A540="","",IF(COUNTIF($A$2:$A540,$A540)=1,1,0))</f>
        <v/>
      </c>
      <c r="V540">
        <f>IF($U540=1,SUMPRODUCT(--($X$2:$X$1001&lt;$X540))+1,"")</f>
        <v/>
      </c>
      <c r="W540">
        <f>IF($A540="","",IF(OR($T540=TRUE(),$T540="TRUE"),1,0))</f>
        <v/>
      </c>
      <c r="X540">
        <f>IF($U540=1,IFERROR(IF(VALUE($A540)&lt;100000000,VALUE($A540),1000000000),IFERROR(IF(VALUE(MID($A540,2,20))&lt;100000000,VALUE(MID($A540,2,20)),1000000000),1000000000))+ROW()/100000,"")</f>
        <v/>
      </c>
    </row>
    <row r="541">
      <c r="F541" s="7">
        <f>IF($A541="","",E541*N541/100)</f>
        <v/>
      </c>
      <c r="J541" s="7" t="n"/>
      <c r="K541" s="7">
        <f>IF($A541="","",S541*N541)</f>
        <v/>
      </c>
      <c r="L541" s="7">
        <f>IF($A541="","",N541-K541)</f>
        <v/>
      </c>
      <c r="M541" s="7">
        <f>IF($A541="","",L541-F541)</f>
        <v/>
      </c>
      <c r="N541" s="7" t="n"/>
      <c r="Q541" s="11" t="n"/>
      <c r="S541">
        <f>IF($A541="","",IF($W541=1,Settings!$C$6,Settings!$C$7)*1)</f>
        <v/>
      </c>
      <c r="U541">
        <f>IF($A541="","",IF(COUNTIF($A$2:$A541,$A541)=1,1,0))</f>
        <v/>
      </c>
      <c r="V541">
        <f>IF($U541=1,SUMPRODUCT(--($X$2:$X$1001&lt;$X541))+1,"")</f>
        <v/>
      </c>
      <c r="W541">
        <f>IF($A541="","",IF(OR($T541=TRUE(),$T541="TRUE"),1,0))</f>
        <v/>
      </c>
      <c r="X541">
        <f>IF($U541=1,IFERROR(IF(VALUE($A541)&lt;100000000,VALUE($A541),1000000000),IFERROR(IF(VALUE(MID($A541,2,20))&lt;100000000,VALUE(MID($A541,2,20)),1000000000),1000000000))+ROW()/100000,"")</f>
        <v/>
      </c>
    </row>
    <row r="542">
      <c r="F542" s="7">
        <f>IF($A542="","",E542*N542/100)</f>
        <v/>
      </c>
      <c r="J542" s="7" t="n"/>
      <c r="K542" s="7">
        <f>IF($A542="","",S542*N542)</f>
        <v/>
      </c>
      <c r="L542" s="7">
        <f>IF($A542="","",N542-K542)</f>
        <v/>
      </c>
      <c r="M542" s="7">
        <f>IF($A542="","",L542-F542)</f>
        <v/>
      </c>
      <c r="N542" s="7" t="n"/>
      <c r="Q542" s="11" t="n"/>
      <c r="S542">
        <f>IF($A542="","",IF($W542=1,Settings!$C$6,Settings!$C$7)*1)</f>
        <v/>
      </c>
      <c r="U542">
        <f>IF($A542="","",IF(COUNTIF($A$2:$A542,$A542)=1,1,0))</f>
        <v/>
      </c>
      <c r="V542">
        <f>IF($U542=1,SUMPRODUCT(--($X$2:$X$1001&lt;$X542))+1,"")</f>
        <v/>
      </c>
      <c r="W542">
        <f>IF($A542="","",IF(OR($T542=TRUE(),$T542="TRUE"),1,0))</f>
        <v/>
      </c>
      <c r="X542">
        <f>IF($U542=1,IFERROR(IF(VALUE($A542)&lt;100000000,VALUE($A542),1000000000),IFERROR(IF(VALUE(MID($A542,2,20))&lt;100000000,VALUE(MID($A542,2,20)),1000000000),1000000000))+ROW()/100000,"")</f>
        <v/>
      </c>
    </row>
    <row r="543">
      <c r="F543" s="7">
        <f>IF($A543="","",E543*N543/100)</f>
        <v/>
      </c>
      <c r="J543" s="7" t="n"/>
      <c r="K543" s="7">
        <f>IF($A543="","",S543*N543)</f>
        <v/>
      </c>
      <c r="L543" s="7">
        <f>IF($A543="","",N543-K543)</f>
        <v/>
      </c>
      <c r="M543" s="7">
        <f>IF($A543="","",L543-F543)</f>
        <v/>
      </c>
      <c r="N543" s="7" t="n"/>
      <c r="Q543" s="11" t="n"/>
      <c r="S543">
        <f>IF($A543="","",IF($W543=1,Settings!$C$6,Settings!$C$7)*1)</f>
        <v/>
      </c>
      <c r="U543">
        <f>IF($A543="","",IF(COUNTIF($A$2:$A543,$A543)=1,1,0))</f>
        <v/>
      </c>
      <c r="V543">
        <f>IF($U543=1,SUMPRODUCT(--($X$2:$X$1001&lt;$X543))+1,"")</f>
        <v/>
      </c>
      <c r="W543">
        <f>IF($A543="","",IF(OR($T543=TRUE(),$T543="TRUE"),1,0))</f>
        <v/>
      </c>
      <c r="X543">
        <f>IF($U543=1,IFERROR(IF(VALUE($A543)&lt;100000000,VALUE($A543),1000000000),IFERROR(IF(VALUE(MID($A543,2,20))&lt;100000000,VALUE(MID($A543,2,20)),1000000000),1000000000))+ROW()/100000,"")</f>
        <v/>
      </c>
    </row>
    <row r="544">
      <c r="F544" s="7">
        <f>IF($A544="","",E544*N544/100)</f>
        <v/>
      </c>
      <c r="J544" s="7" t="n"/>
      <c r="K544" s="7">
        <f>IF($A544="","",S544*N544)</f>
        <v/>
      </c>
      <c r="L544" s="7">
        <f>IF($A544="","",N544-K544)</f>
        <v/>
      </c>
      <c r="M544" s="7">
        <f>IF($A544="","",L544-F544)</f>
        <v/>
      </c>
      <c r="N544" s="7" t="n"/>
      <c r="Q544" s="11" t="n"/>
      <c r="S544">
        <f>IF($A544="","",IF($W544=1,Settings!$C$6,Settings!$C$7)*1)</f>
        <v/>
      </c>
      <c r="U544">
        <f>IF($A544="","",IF(COUNTIF($A$2:$A544,$A544)=1,1,0))</f>
        <v/>
      </c>
      <c r="V544">
        <f>IF($U544=1,SUMPRODUCT(--($X$2:$X$1001&lt;$X544))+1,"")</f>
        <v/>
      </c>
      <c r="W544">
        <f>IF($A544="","",IF(OR($T544=TRUE(),$T544="TRUE"),1,0))</f>
        <v/>
      </c>
      <c r="X544">
        <f>IF($U544=1,IFERROR(IF(VALUE($A544)&lt;100000000,VALUE($A544),1000000000),IFERROR(IF(VALUE(MID($A544,2,20))&lt;100000000,VALUE(MID($A544,2,20)),1000000000),1000000000))+ROW()/100000,"")</f>
        <v/>
      </c>
    </row>
    <row r="545">
      <c r="F545" s="7">
        <f>IF($A545="","",E545*N545/100)</f>
        <v/>
      </c>
      <c r="J545" s="7" t="n"/>
      <c r="K545" s="7">
        <f>IF($A545="","",S545*N545)</f>
        <v/>
      </c>
      <c r="L545" s="7">
        <f>IF($A545="","",N545-K545)</f>
        <v/>
      </c>
      <c r="M545" s="7">
        <f>IF($A545="","",L545-F545)</f>
        <v/>
      </c>
      <c r="N545" s="7" t="n"/>
      <c r="Q545" s="11" t="n"/>
      <c r="S545">
        <f>IF($A545="","",IF($W545=1,Settings!$C$6,Settings!$C$7)*1)</f>
        <v/>
      </c>
      <c r="U545">
        <f>IF($A545="","",IF(COUNTIF($A$2:$A545,$A545)=1,1,0))</f>
        <v/>
      </c>
      <c r="V545">
        <f>IF($U545=1,SUMPRODUCT(--($X$2:$X$1001&lt;$X545))+1,"")</f>
        <v/>
      </c>
      <c r="W545">
        <f>IF($A545="","",IF(OR($T545=TRUE(),$T545="TRUE"),1,0))</f>
        <v/>
      </c>
      <c r="X545">
        <f>IF($U545=1,IFERROR(IF(VALUE($A545)&lt;100000000,VALUE($A545),1000000000),IFERROR(IF(VALUE(MID($A545,2,20))&lt;100000000,VALUE(MID($A545,2,20)),1000000000),1000000000))+ROW()/100000,"")</f>
        <v/>
      </c>
    </row>
    <row r="546">
      <c r="F546" s="7">
        <f>IF($A546="","",E546*N546/100)</f>
        <v/>
      </c>
      <c r="J546" s="7" t="n"/>
      <c r="K546" s="7">
        <f>IF($A546="","",S546*N546)</f>
        <v/>
      </c>
      <c r="L546" s="7">
        <f>IF($A546="","",N546-K546)</f>
        <v/>
      </c>
      <c r="M546" s="7">
        <f>IF($A546="","",L546-F546)</f>
        <v/>
      </c>
      <c r="N546" s="7" t="n"/>
      <c r="Q546" s="11" t="n"/>
      <c r="S546">
        <f>IF($A546="","",IF($W546=1,Settings!$C$6,Settings!$C$7)*1)</f>
        <v/>
      </c>
      <c r="U546">
        <f>IF($A546="","",IF(COUNTIF($A$2:$A546,$A546)=1,1,0))</f>
        <v/>
      </c>
      <c r="V546">
        <f>IF($U546=1,SUMPRODUCT(--($X$2:$X$1001&lt;$X546))+1,"")</f>
        <v/>
      </c>
      <c r="W546">
        <f>IF($A546="","",IF(OR($T546=TRUE(),$T546="TRUE"),1,0))</f>
        <v/>
      </c>
      <c r="X546">
        <f>IF($U546=1,IFERROR(IF(VALUE($A546)&lt;100000000,VALUE($A546),1000000000),IFERROR(IF(VALUE(MID($A546,2,20))&lt;100000000,VALUE(MID($A546,2,20)),1000000000),1000000000))+ROW()/100000,"")</f>
        <v/>
      </c>
    </row>
    <row r="547">
      <c r="F547" s="7">
        <f>IF($A547="","",E547*N547/100)</f>
        <v/>
      </c>
      <c r="J547" s="7" t="n"/>
      <c r="K547" s="7">
        <f>IF($A547="","",S547*N547)</f>
        <v/>
      </c>
      <c r="L547" s="7">
        <f>IF($A547="","",N547-K547)</f>
        <v/>
      </c>
      <c r="M547" s="7">
        <f>IF($A547="","",L547-F547)</f>
        <v/>
      </c>
      <c r="N547" s="7" t="n"/>
      <c r="Q547" s="11" t="n"/>
      <c r="S547">
        <f>IF($A547="","",IF($W547=1,Settings!$C$6,Settings!$C$7)*1)</f>
        <v/>
      </c>
      <c r="U547">
        <f>IF($A547="","",IF(COUNTIF($A$2:$A547,$A547)=1,1,0))</f>
        <v/>
      </c>
      <c r="V547">
        <f>IF($U547=1,SUMPRODUCT(--($X$2:$X$1001&lt;$X547))+1,"")</f>
        <v/>
      </c>
      <c r="W547">
        <f>IF($A547="","",IF(OR($T547=TRUE(),$T547="TRUE"),1,0))</f>
        <v/>
      </c>
      <c r="X547">
        <f>IF($U547=1,IFERROR(IF(VALUE($A547)&lt;100000000,VALUE($A547),1000000000),IFERROR(IF(VALUE(MID($A547,2,20))&lt;100000000,VALUE(MID($A547,2,20)),1000000000),1000000000))+ROW()/100000,"")</f>
        <v/>
      </c>
    </row>
    <row r="548">
      <c r="F548" s="7">
        <f>IF($A548="","",E548*N548/100)</f>
        <v/>
      </c>
      <c r="J548" s="7" t="n"/>
      <c r="K548" s="7">
        <f>IF($A548="","",S548*N548)</f>
        <v/>
      </c>
      <c r="L548" s="7">
        <f>IF($A548="","",N548-K548)</f>
        <v/>
      </c>
      <c r="M548" s="7">
        <f>IF($A548="","",L548-F548)</f>
        <v/>
      </c>
      <c r="N548" s="7" t="n"/>
      <c r="Q548" s="11" t="n"/>
      <c r="S548">
        <f>IF($A548="","",IF($W548=1,Settings!$C$6,Settings!$C$7)*1)</f>
        <v/>
      </c>
      <c r="U548">
        <f>IF($A548="","",IF(COUNTIF($A$2:$A548,$A548)=1,1,0))</f>
        <v/>
      </c>
      <c r="V548">
        <f>IF($U548=1,SUMPRODUCT(--($X$2:$X$1001&lt;$X548))+1,"")</f>
        <v/>
      </c>
      <c r="W548">
        <f>IF($A548="","",IF(OR($T548=TRUE(),$T548="TRUE"),1,0))</f>
        <v/>
      </c>
      <c r="X548">
        <f>IF($U548=1,IFERROR(IF(VALUE($A548)&lt;100000000,VALUE($A548),1000000000),IFERROR(IF(VALUE(MID($A548,2,20))&lt;100000000,VALUE(MID($A548,2,20)),1000000000),1000000000))+ROW()/100000,"")</f>
        <v/>
      </c>
    </row>
    <row r="549">
      <c r="F549" s="7">
        <f>IF($A549="","",E549*N549/100)</f>
        <v/>
      </c>
      <c r="J549" s="7" t="n"/>
      <c r="K549" s="7">
        <f>IF($A549="","",S549*N549)</f>
        <v/>
      </c>
      <c r="L549" s="7">
        <f>IF($A549="","",N549-K549)</f>
        <v/>
      </c>
      <c r="M549" s="7">
        <f>IF($A549="","",L549-F549)</f>
        <v/>
      </c>
      <c r="N549" s="7" t="n"/>
      <c r="Q549" s="11" t="n"/>
      <c r="S549">
        <f>IF($A549="","",IF($W549=1,Settings!$C$6,Settings!$C$7)*1)</f>
        <v/>
      </c>
      <c r="U549">
        <f>IF($A549="","",IF(COUNTIF($A$2:$A549,$A549)=1,1,0))</f>
        <v/>
      </c>
      <c r="V549">
        <f>IF($U549=1,SUMPRODUCT(--($X$2:$X$1001&lt;$X549))+1,"")</f>
        <v/>
      </c>
      <c r="W549">
        <f>IF($A549="","",IF(OR($T549=TRUE(),$T549="TRUE"),1,0))</f>
        <v/>
      </c>
      <c r="X549">
        <f>IF($U549=1,IFERROR(IF(VALUE($A549)&lt;100000000,VALUE($A549),1000000000),IFERROR(IF(VALUE(MID($A549,2,20))&lt;100000000,VALUE(MID($A549,2,20)),1000000000),1000000000))+ROW()/100000,"")</f>
        <v/>
      </c>
    </row>
    <row r="550">
      <c r="F550" s="7">
        <f>IF($A550="","",E550*N550/100)</f>
        <v/>
      </c>
      <c r="J550" s="7" t="n"/>
      <c r="K550" s="7">
        <f>IF($A550="","",S550*N550)</f>
        <v/>
      </c>
      <c r="L550" s="7">
        <f>IF($A550="","",N550-K550)</f>
        <v/>
      </c>
      <c r="M550" s="7">
        <f>IF($A550="","",L550-F550)</f>
        <v/>
      </c>
      <c r="N550" s="7" t="n"/>
      <c r="Q550" s="11" t="n"/>
      <c r="S550">
        <f>IF($A550="","",IF($W550=1,Settings!$C$6,Settings!$C$7)*1)</f>
        <v/>
      </c>
      <c r="U550">
        <f>IF($A550="","",IF(COUNTIF($A$2:$A550,$A550)=1,1,0))</f>
        <v/>
      </c>
      <c r="V550">
        <f>IF($U550=1,SUMPRODUCT(--($X$2:$X$1001&lt;$X550))+1,"")</f>
        <v/>
      </c>
      <c r="W550">
        <f>IF($A550="","",IF(OR($T550=TRUE(),$T550="TRUE"),1,0))</f>
        <v/>
      </c>
      <c r="X550">
        <f>IF($U550=1,IFERROR(IF(VALUE($A550)&lt;100000000,VALUE($A550),1000000000),IFERROR(IF(VALUE(MID($A550,2,20))&lt;100000000,VALUE(MID($A550,2,20)),1000000000),1000000000))+ROW()/100000,"")</f>
        <v/>
      </c>
    </row>
    <row r="551">
      <c r="F551" s="7">
        <f>IF($A551="","",E551*N551/100)</f>
        <v/>
      </c>
      <c r="J551" s="7" t="n"/>
      <c r="K551" s="7">
        <f>IF($A551="","",S551*N551)</f>
        <v/>
      </c>
      <c r="L551" s="7">
        <f>IF($A551="","",N551-K551)</f>
        <v/>
      </c>
      <c r="M551" s="7">
        <f>IF($A551="","",L551-F551)</f>
        <v/>
      </c>
      <c r="N551" s="7" t="n"/>
      <c r="Q551" s="11" t="n"/>
      <c r="S551">
        <f>IF($A551="","",IF($W551=1,Settings!$C$6,Settings!$C$7)*1)</f>
        <v/>
      </c>
      <c r="U551">
        <f>IF($A551="","",IF(COUNTIF($A$2:$A551,$A551)=1,1,0))</f>
        <v/>
      </c>
      <c r="V551">
        <f>IF($U551=1,SUMPRODUCT(--($X$2:$X$1001&lt;$X551))+1,"")</f>
        <v/>
      </c>
      <c r="W551">
        <f>IF($A551="","",IF(OR($T551=TRUE(),$T551="TRUE"),1,0))</f>
        <v/>
      </c>
      <c r="X551">
        <f>IF($U551=1,IFERROR(IF(VALUE($A551)&lt;100000000,VALUE($A551),1000000000),IFERROR(IF(VALUE(MID($A551,2,20))&lt;100000000,VALUE(MID($A551,2,20)),1000000000),1000000000))+ROW()/100000,"")</f>
        <v/>
      </c>
    </row>
    <row r="552">
      <c r="F552" s="7">
        <f>IF($A552="","",E552*N552/100)</f>
        <v/>
      </c>
      <c r="J552" s="7" t="n"/>
      <c r="K552" s="7">
        <f>IF($A552="","",S552*N552)</f>
        <v/>
      </c>
      <c r="L552" s="7">
        <f>IF($A552="","",N552-K552)</f>
        <v/>
      </c>
      <c r="M552" s="7">
        <f>IF($A552="","",L552-F552)</f>
        <v/>
      </c>
      <c r="N552" s="7" t="n"/>
      <c r="Q552" s="11" t="n"/>
      <c r="S552">
        <f>IF($A552="","",IF($W552=1,Settings!$C$6,Settings!$C$7)*1)</f>
        <v/>
      </c>
      <c r="U552">
        <f>IF($A552="","",IF(COUNTIF($A$2:$A552,$A552)=1,1,0))</f>
        <v/>
      </c>
      <c r="V552">
        <f>IF($U552=1,SUMPRODUCT(--($X$2:$X$1001&lt;$X552))+1,"")</f>
        <v/>
      </c>
      <c r="W552">
        <f>IF($A552="","",IF(OR($T552=TRUE(),$T552="TRUE"),1,0))</f>
        <v/>
      </c>
      <c r="X552">
        <f>IF($U552=1,IFERROR(IF(VALUE($A552)&lt;100000000,VALUE($A552),1000000000),IFERROR(IF(VALUE(MID($A552,2,20))&lt;100000000,VALUE(MID($A552,2,20)),1000000000),1000000000))+ROW()/100000,"")</f>
        <v/>
      </c>
    </row>
    <row r="553">
      <c r="F553" s="7">
        <f>IF($A553="","",E553*N553/100)</f>
        <v/>
      </c>
      <c r="J553" s="7" t="n"/>
      <c r="K553" s="7">
        <f>IF($A553="","",S553*N553)</f>
        <v/>
      </c>
      <c r="L553" s="7">
        <f>IF($A553="","",N553-K553)</f>
        <v/>
      </c>
      <c r="M553" s="7">
        <f>IF($A553="","",L553-F553)</f>
        <v/>
      </c>
      <c r="N553" s="7" t="n"/>
      <c r="Q553" s="11" t="n"/>
      <c r="S553">
        <f>IF($A553="","",IF($W553=1,Settings!$C$6,Settings!$C$7)*1)</f>
        <v/>
      </c>
      <c r="U553">
        <f>IF($A553="","",IF(COUNTIF($A$2:$A553,$A553)=1,1,0))</f>
        <v/>
      </c>
      <c r="V553">
        <f>IF($U553=1,SUMPRODUCT(--($X$2:$X$1001&lt;$X553))+1,"")</f>
        <v/>
      </c>
      <c r="W553">
        <f>IF($A553="","",IF(OR($T553=TRUE(),$T553="TRUE"),1,0))</f>
        <v/>
      </c>
      <c r="X553">
        <f>IF($U553=1,IFERROR(IF(VALUE($A553)&lt;100000000,VALUE($A553),1000000000),IFERROR(IF(VALUE(MID($A553,2,20))&lt;100000000,VALUE(MID($A553,2,20)),1000000000),1000000000))+ROW()/100000,"")</f>
        <v/>
      </c>
    </row>
    <row r="554">
      <c r="F554" s="7">
        <f>IF($A554="","",E554*N554/100)</f>
        <v/>
      </c>
      <c r="J554" s="7" t="n"/>
      <c r="K554" s="7">
        <f>IF($A554="","",S554*N554)</f>
        <v/>
      </c>
      <c r="L554" s="7">
        <f>IF($A554="","",N554-K554)</f>
        <v/>
      </c>
      <c r="M554" s="7">
        <f>IF($A554="","",L554-F554)</f>
        <v/>
      </c>
      <c r="N554" s="7" t="n"/>
      <c r="Q554" s="11" t="n"/>
      <c r="S554">
        <f>IF($A554="","",IF($W554=1,Settings!$C$6,Settings!$C$7)*1)</f>
        <v/>
      </c>
      <c r="U554">
        <f>IF($A554="","",IF(COUNTIF($A$2:$A554,$A554)=1,1,0))</f>
        <v/>
      </c>
      <c r="V554">
        <f>IF($U554=1,SUMPRODUCT(--($X$2:$X$1001&lt;$X554))+1,"")</f>
        <v/>
      </c>
      <c r="W554">
        <f>IF($A554="","",IF(OR($T554=TRUE(),$T554="TRUE"),1,0))</f>
        <v/>
      </c>
      <c r="X554">
        <f>IF($U554=1,IFERROR(IF(VALUE($A554)&lt;100000000,VALUE($A554),1000000000),IFERROR(IF(VALUE(MID($A554,2,20))&lt;100000000,VALUE(MID($A554,2,20)),1000000000),1000000000))+ROW()/100000,"")</f>
        <v/>
      </c>
    </row>
    <row r="555">
      <c r="F555" s="7">
        <f>IF($A555="","",E555*N555/100)</f>
        <v/>
      </c>
      <c r="J555" s="7" t="n"/>
      <c r="K555" s="7">
        <f>IF($A555="","",S555*N555)</f>
        <v/>
      </c>
      <c r="L555" s="7">
        <f>IF($A555="","",N555-K555)</f>
        <v/>
      </c>
      <c r="M555" s="7">
        <f>IF($A555="","",L555-F555)</f>
        <v/>
      </c>
      <c r="N555" s="7" t="n"/>
      <c r="Q555" s="11" t="n"/>
      <c r="S555">
        <f>IF($A555="","",IF($W555=1,Settings!$C$6,Settings!$C$7)*1)</f>
        <v/>
      </c>
      <c r="U555">
        <f>IF($A555="","",IF(COUNTIF($A$2:$A555,$A555)=1,1,0))</f>
        <v/>
      </c>
      <c r="V555">
        <f>IF($U555=1,SUMPRODUCT(--($X$2:$X$1001&lt;$X555))+1,"")</f>
        <v/>
      </c>
      <c r="W555">
        <f>IF($A555="","",IF(OR($T555=TRUE(),$T555="TRUE"),1,0))</f>
        <v/>
      </c>
      <c r="X555">
        <f>IF($U555=1,IFERROR(IF(VALUE($A555)&lt;100000000,VALUE($A555),1000000000),IFERROR(IF(VALUE(MID($A555,2,20))&lt;100000000,VALUE(MID($A555,2,20)),1000000000),1000000000))+ROW()/100000,"")</f>
        <v/>
      </c>
    </row>
    <row r="556">
      <c r="F556" s="7">
        <f>IF($A556="","",E556*N556/100)</f>
        <v/>
      </c>
      <c r="J556" s="7" t="n"/>
      <c r="K556" s="7">
        <f>IF($A556="","",S556*N556)</f>
        <v/>
      </c>
      <c r="L556" s="7">
        <f>IF($A556="","",N556-K556)</f>
        <v/>
      </c>
      <c r="M556" s="7">
        <f>IF($A556="","",L556-F556)</f>
        <v/>
      </c>
      <c r="N556" s="7" t="n"/>
      <c r="Q556" s="11" t="n"/>
      <c r="S556">
        <f>IF($A556="","",IF($W556=1,Settings!$C$6,Settings!$C$7)*1)</f>
        <v/>
      </c>
      <c r="U556">
        <f>IF($A556="","",IF(COUNTIF($A$2:$A556,$A556)=1,1,0))</f>
        <v/>
      </c>
      <c r="V556">
        <f>IF($U556=1,SUMPRODUCT(--($X$2:$X$1001&lt;$X556))+1,"")</f>
        <v/>
      </c>
      <c r="W556">
        <f>IF($A556="","",IF(OR($T556=TRUE(),$T556="TRUE"),1,0))</f>
        <v/>
      </c>
      <c r="X556">
        <f>IF($U556=1,IFERROR(IF(VALUE($A556)&lt;100000000,VALUE($A556),1000000000),IFERROR(IF(VALUE(MID($A556,2,20))&lt;100000000,VALUE(MID($A556,2,20)),1000000000),1000000000))+ROW()/100000,"")</f>
        <v/>
      </c>
    </row>
    <row r="557">
      <c r="F557" s="7">
        <f>IF($A557="","",E557*N557/100)</f>
        <v/>
      </c>
      <c r="J557" s="7" t="n"/>
      <c r="K557" s="7">
        <f>IF($A557="","",S557*N557)</f>
        <v/>
      </c>
      <c r="L557" s="7">
        <f>IF($A557="","",N557-K557)</f>
        <v/>
      </c>
      <c r="M557" s="7">
        <f>IF($A557="","",L557-F557)</f>
        <v/>
      </c>
      <c r="N557" s="7" t="n"/>
      <c r="Q557" s="11" t="n"/>
      <c r="S557">
        <f>IF($A557="","",IF($W557=1,Settings!$C$6,Settings!$C$7)*1)</f>
        <v/>
      </c>
      <c r="U557">
        <f>IF($A557="","",IF(COUNTIF($A$2:$A557,$A557)=1,1,0))</f>
        <v/>
      </c>
      <c r="V557">
        <f>IF($U557=1,SUMPRODUCT(--($X$2:$X$1001&lt;$X557))+1,"")</f>
        <v/>
      </c>
      <c r="W557">
        <f>IF($A557="","",IF(OR($T557=TRUE(),$T557="TRUE"),1,0))</f>
        <v/>
      </c>
      <c r="X557">
        <f>IF($U557=1,IFERROR(IF(VALUE($A557)&lt;100000000,VALUE($A557),1000000000),IFERROR(IF(VALUE(MID($A557,2,20))&lt;100000000,VALUE(MID($A557,2,20)),1000000000),1000000000))+ROW()/100000,"")</f>
        <v/>
      </c>
    </row>
    <row r="558">
      <c r="F558" s="7">
        <f>IF($A558="","",E558*N558/100)</f>
        <v/>
      </c>
      <c r="J558" s="7" t="n"/>
      <c r="K558" s="7">
        <f>IF($A558="","",S558*N558)</f>
        <v/>
      </c>
      <c r="L558" s="7">
        <f>IF($A558="","",N558-K558)</f>
        <v/>
      </c>
      <c r="M558" s="7">
        <f>IF($A558="","",L558-F558)</f>
        <v/>
      </c>
      <c r="N558" s="7" t="n"/>
      <c r="Q558" s="11" t="n"/>
      <c r="S558">
        <f>IF($A558="","",IF($W558=1,Settings!$C$6,Settings!$C$7)*1)</f>
        <v/>
      </c>
      <c r="U558">
        <f>IF($A558="","",IF(COUNTIF($A$2:$A558,$A558)=1,1,0))</f>
        <v/>
      </c>
      <c r="V558">
        <f>IF($U558=1,SUMPRODUCT(--($X$2:$X$1001&lt;$X558))+1,"")</f>
        <v/>
      </c>
      <c r="W558">
        <f>IF($A558="","",IF(OR($T558=TRUE(),$T558="TRUE"),1,0))</f>
        <v/>
      </c>
      <c r="X558">
        <f>IF($U558=1,IFERROR(IF(VALUE($A558)&lt;100000000,VALUE($A558),1000000000),IFERROR(IF(VALUE(MID($A558,2,20))&lt;100000000,VALUE(MID($A558,2,20)),1000000000),1000000000))+ROW()/100000,"")</f>
        <v/>
      </c>
    </row>
    <row r="559">
      <c r="F559" s="7">
        <f>IF($A559="","",E559*N559/100)</f>
        <v/>
      </c>
      <c r="J559" s="7" t="n"/>
      <c r="K559" s="7">
        <f>IF($A559="","",S559*N559)</f>
        <v/>
      </c>
      <c r="L559" s="7">
        <f>IF($A559="","",N559-K559)</f>
        <v/>
      </c>
      <c r="M559" s="7">
        <f>IF($A559="","",L559-F559)</f>
        <v/>
      </c>
      <c r="N559" s="7" t="n"/>
      <c r="Q559" s="11" t="n"/>
      <c r="S559">
        <f>IF($A559="","",IF($W559=1,Settings!$C$6,Settings!$C$7)*1)</f>
        <v/>
      </c>
      <c r="U559">
        <f>IF($A559="","",IF(COUNTIF($A$2:$A559,$A559)=1,1,0))</f>
        <v/>
      </c>
      <c r="V559">
        <f>IF($U559=1,SUMPRODUCT(--($X$2:$X$1001&lt;$X559))+1,"")</f>
        <v/>
      </c>
      <c r="W559">
        <f>IF($A559="","",IF(OR($T559=TRUE(),$T559="TRUE"),1,0))</f>
        <v/>
      </c>
      <c r="X559">
        <f>IF($U559=1,IFERROR(IF(VALUE($A559)&lt;100000000,VALUE($A559),1000000000),IFERROR(IF(VALUE(MID($A559,2,20))&lt;100000000,VALUE(MID($A559,2,20)),1000000000),1000000000))+ROW()/100000,"")</f>
        <v/>
      </c>
    </row>
    <row r="560">
      <c r="F560" s="7">
        <f>IF($A560="","",E560*N560/100)</f>
        <v/>
      </c>
      <c r="J560" s="7" t="n"/>
      <c r="K560" s="7">
        <f>IF($A560="","",S560*N560)</f>
        <v/>
      </c>
      <c r="L560" s="7">
        <f>IF($A560="","",N560-K560)</f>
        <v/>
      </c>
      <c r="M560" s="7">
        <f>IF($A560="","",L560-F560)</f>
        <v/>
      </c>
      <c r="N560" s="7" t="n"/>
      <c r="Q560" s="11" t="n"/>
      <c r="S560">
        <f>IF($A560="","",IF($W560=1,Settings!$C$6,Settings!$C$7)*1)</f>
        <v/>
      </c>
      <c r="U560">
        <f>IF($A560="","",IF(COUNTIF($A$2:$A560,$A560)=1,1,0))</f>
        <v/>
      </c>
      <c r="V560">
        <f>IF($U560=1,SUMPRODUCT(--($X$2:$X$1001&lt;$X560))+1,"")</f>
        <v/>
      </c>
      <c r="W560">
        <f>IF($A560="","",IF(OR($T560=TRUE(),$T560="TRUE"),1,0))</f>
        <v/>
      </c>
      <c r="X560">
        <f>IF($U560=1,IFERROR(IF(VALUE($A560)&lt;100000000,VALUE($A560),1000000000),IFERROR(IF(VALUE(MID($A560,2,20))&lt;100000000,VALUE(MID($A560,2,20)),1000000000),1000000000))+ROW()/100000,"")</f>
        <v/>
      </c>
    </row>
    <row r="561">
      <c r="F561" s="7">
        <f>IF($A561="","",E561*N561/100)</f>
        <v/>
      </c>
      <c r="J561" s="7" t="n"/>
      <c r="K561" s="7">
        <f>IF($A561="","",S561*N561)</f>
        <v/>
      </c>
      <c r="L561" s="7">
        <f>IF($A561="","",N561-K561)</f>
        <v/>
      </c>
      <c r="M561" s="7">
        <f>IF($A561="","",L561-F561)</f>
        <v/>
      </c>
      <c r="N561" s="7" t="n"/>
      <c r="Q561" s="11" t="n"/>
      <c r="S561">
        <f>IF($A561="","",IF($W561=1,Settings!$C$6,Settings!$C$7)*1)</f>
        <v/>
      </c>
      <c r="U561">
        <f>IF($A561="","",IF(COUNTIF($A$2:$A561,$A561)=1,1,0))</f>
        <v/>
      </c>
      <c r="V561">
        <f>IF($U561=1,SUMPRODUCT(--($X$2:$X$1001&lt;$X561))+1,"")</f>
        <v/>
      </c>
      <c r="W561">
        <f>IF($A561="","",IF(OR($T561=TRUE(),$T561="TRUE"),1,0))</f>
        <v/>
      </c>
      <c r="X561">
        <f>IF($U561=1,IFERROR(IF(VALUE($A561)&lt;100000000,VALUE($A561),1000000000),IFERROR(IF(VALUE(MID($A561,2,20))&lt;100000000,VALUE(MID($A561,2,20)),1000000000),1000000000))+ROW()/100000,"")</f>
        <v/>
      </c>
    </row>
    <row r="562">
      <c r="F562" s="7">
        <f>IF($A562="","",E562*N562/100)</f>
        <v/>
      </c>
      <c r="J562" s="7" t="n"/>
      <c r="K562" s="7">
        <f>IF($A562="","",S562*N562)</f>
        <v/>
      </c>
      <c r="L562" s="7">
        <f>IF($A562="","",N562-K562)</f>
        <v/>
      </c>
      <c r="M562" s="7">
        <f>IF($A562="","",L562-F562)</f>
        <v/>
      </c>
      <c r="N562" s="7" t="n"/>
      <c r="Q562" s="11" t="n"/>
      <c r="S562">
        <f>IF($A562="","",IF($W562=1,Settings!$C$6,Settings!$C$7)*1)</f>
        <v/>
      </c>
      <c r="U562">
        <f>IF($A562="","",IF(COUNTIF($A$2:$A562,$A562)=1,1,0))</f>
        <v/>
      </c>
      <c r="V562">
        <f>IF($U562=1,SUMPRODUCT(--($X$2:$X$1001&lt;$X562))+1,"")</f>
        <v/>
      </c>
      <c r="W562">
        <f>IF($A562="","",IF(OR($T562=TRUE(),$T562="TRUE"),1,0))</f>
        <v/>
      </c>
      <c r="X562">
        <f>IF($U562=1,IFERROR(IF(VALUE($A562)&lt;100000000,VALUE($A562),1000000000),IFERROR(IF(VALUE(MID($A562,2,20))&lt;100000000,VALUE(MID($A562,2,20)),1000000000),1000000000))+ROW()/100000,"")</f>
        <v/>
      </c>
    </row>
    <row r="563">
      <c r="F563" s="7">
        <f>IF($A563="","",E563*N563/100)</f>
        <v/>
      </c>
      <c r="J563" s="7" t="n"/>
      <c r="K563" s="7">
        <f>IF($A563="","",S563*N563)</f>
        <v/>
      </c>
      <c r="L563" s="7">
        <f>IF($A563="","",N563-K563)</f>
        <v/>
      </c>
      <c r="M563" s="7">
        <f>IF($A563="","",L563-F563)</f>
        <v/>
      </c>
      <c r="N563" s="7" t="n"/>
      <c r="Q563" s="11" t="n"/>
      <c r="S563">
        <f>IF($A563="","",IF($W563=1,Settings!$C$6,Settings!$C$7)*1)</f>
        <v/>
      </c>
      <c r="U563">
        <f>IF($A563="","",IF(COUNTIF($A$2:$A563,$A563)=1,1,0))</f>
        <v/>
      </c>
      <c r="V563">
        <f>IF($U563=1,SUMPRODUCT(--($X$2:$X$1001&lt;$X563))+1,"")</f>
        <v/>
      </c>
      <c r="W563">
        <f>IF($A563="","",IF(OR($T563=TRUE(),$T563="TRUE"),1,0))</f>
        <v/>
      </c>
      <c r="X563">
        <f>IF($U563=1,IFERROR(IF(VALUE($A563)&lt;100000000,VALUE($A563),1000000000),IFERROR(IF(VALUE(MID($A563,2,20))&lt;100000000,VALUE(MID($A563,2,20)),1000000000),1000000000))+ROW()/100000,"")</f>
        <v/>
      </c>
    </row>
    <row r="564">
      <c r="F564" s="7">
        <f>IF($A564="","",E564*N564/100)</f>
        <v/>
      </c>
      <c r="J564" s="7" t="n"/>
      <c r="K564" s="7">
        <f>IF($A564="","",S564*N564)</f>
        <v/>
      </c>
      <c r="L564" s="7">
        <f>IF($A564="","",N564-K564)</f>
        <v/>
      </c>
      <c r="M564" s="7">
        <f>IF($A564="","",L564-F564)</f>
        <v/>
      </c>
      <c r="N564" s="7" t="n"/>
      <c r="Q564" s="11" t="n"/>
      <c r="S564">
        <f>IF($A564="","",IF($W564=1,Settings!$C$6,Settings!$C$7)*1)</f>
        <v/>
      </c>
      <c r="U564">
        <f>IF($A564="","",IF(COUNTIF($A$2:$A564,$A564)=1,1,0))</f>
        <v/>
      </c>
      <c r="V564">
        <f>IF($U564=1,SUMPRODUCT(--($X$2:$X$1001&lt;$X564))+1,"")</f>
        <v/>
      </c>
      <c r="W564">
        <f>IF($A564="","",IF(OR($T564=TRUE(),$T564="TRUE"),1,0))</f>
        <v/>
      </c>
      <c r="X564">
        <f>IF($U564=1,IFERROR(IF(VALUE($A564)&lt;100000000,VALUE($A564),1000000000),IFERROR(IF(VALUE(MID($A564,2,20))&lt;100000000,VALUE(MID($A564,2,20)),1000000000),1000000000))+ROW()/100000,"")</f>
        <v/>
      </c>
    </row>
    <row r="565">
      <c r="F565" s="7">
        <f>IF($A565="","",E565*N565/100)</f>
        <v/>
      </c>
      <c r="J565" s="7" t="n"/>
      <c r="K565" s="7">
        <f>IF($A565="","",S565*N565)</f>
        <v/>
      </c>
      <c r="L565" s="7">
        <f>IF($A565="","",N565-K565)</f>
        <v/>
      </c>
      <c r="M565" s="7">
        <f>IF($A565="","",L565-F565)</f>
        <v/>
      </c>
      <c r="N565" s="7" t="n"/>
      <c r="Q565" s="11" t="n"/>
      <c r="S565">
        <f>IF($A565="","",IF($W565=1,Settings!$C$6,Settings!$C$7)*1)</f>
        <v/>
      </c>
      <c r="U565">
        <f>IF($A565="","",IF(COUNTIF($A$2:$A565,$A565)=1,1,0))</f>
        <v/>
      </c>
      <c r="V565">
        <f>IF($U565=1,SUMPRODUCT(--($X$2:$X$1001&lt;$X565))+1,"")</f>
        <v/>
      </c>
      <c r="W565">
        <f>IF($A565="","",IF(OR($T565=TRUE(),$T565="TRUE"),1,0))</f>
        <v/>
      </c>
      <c r="X565">
        <f>IF($U565=1,IFERROR(IF(VALUE($A565)&lt;100000000,VALUE($A565),1000000000),IFERROR(IF(VALUE(MID($A565,2,20))&lt;100000000,VALUE(MID($A565,2,20)),1000000000),1000000000))+ROW()/100000,"")</f>
        <v/>
      </c>
    </row>
    <row r="566">
      <c r="F566" s="7">
        <f>IF($A566="","",E566*N566/100)</f>
        <v/>
      </c>
      <c r="J566" s="7" t="n"/>
      <c r="K566" s="7">
        <f>IF($A566="","",S566*N566)</f>
        <v/>
      </c>
      <c r="L566" s="7">
        <f>IF($A566="","",N566-K566)</f>
        <v/>
      </c>
      <c r="M566" s="7">
        <f>IF($A566="","",L566-F566)</f>
        <v/>
      </c>
      <c r="N566" s="7" t="n"/>
      <c r="Q566" s="11" t="n"/>
      <c r="S566">
        <f>IF($A566="","",IF($W566=1,Settings!$C$6,Settings!$C$7)*1)</f>
        <v/>
      </c>
      <c r="U566">
        <f>IF($A566="","",IF(COUNTIF($A$2:$A566,$A566)=1,1,0))</f>
        <v/>
      </c>
      <c r="V566">
        <f>IF($U566=1,SUMPRODUCT(--($X$2:$X$1001&lt;$X566))+1,"")</f>
        <v/>
      </c>
      <c r="W566">
        <f>IF($A566="","",IF(OR($T566=TRUE(),$T566="TRUE"),1,0))</f>
        <v/>
      </c>
      <c r="X566">
        <f>IF($U566=1,IFERROR(IF(VALUE($A566)&lt;100000000,VALUE($A566),1000000000),IFERROR(IF(VALUE(MID($A566,2,20))&lt;100000000,VALUE(MID($A566,2,20)),1000000000),1000000000))+ROW()/100000,"")</f>
        <v/>
      </c>
    </row>
    <row r="567">
      <c r="F567" s="7">
        <f>IF($A567="","",E567*N567/100)</f>
        <v/>
      </c>
      <c r="J567" s="7" t="n"/>
      <c r="K567" s="7">
        <f>IF($A567="","",S567*N567)</f>
        <v/>
      </c>
      <c r="L567" s="7">
        <f>IF($A567="","",N567-K567)</f>
        <v/>
      </c>
      <c r="M567" s="7">
        <f>IF($A567="","",L567-F567)</f>
        <v/>
      </c>
      <c r="N567" s="7" t="n"/>
      <c r="Q567" s="11" t="n"/>
      <c r="S567">
        <f>IF($A567="","",IF($W567=1,Settings!$C$6,Settings!$C$7)*1)</f>
        <v/>
      </c>
      <c r="U567">
        <f>IF($A567="","",IF(COUNTIF($A$2:$A567,$A567)=1,1,0))</f>
        <v/>
      </c>
      <c r="V567">
        <f>IF($U567=1,SUMPRODUCT(--($X$2:$X$1001&lt;$X567))+1,"")</f>
        <v/>
      </c>
      <c r="W567">
        <f>IF($A567="","",IF(OR($T567=TRUE(),$T567="TRUE"),1,0))</f>
        <v/>
      </c>
      <c r="X567">
        <f>IF($U567=1,IFERROR(IF(VALUE($A567)&lt;100000000,VALUE($A567),1000000000),IFERROR(IF(VALUE(MID($A567,2,20))&lt;100000000,VALUE(MID($A567,2,20)),1000000000),1000000000))+ROW()/100000,"")</f>
        <v/>
      </c>
    </row>
    <row r="568">
      <c r="F568" s="7">
        <f>IF($A568="","",E568*N568/100)</f>
        <v/>
      </c>
      <c r="J568" s="7" t="n"/>
      <c r="K568" s="7">
        <f>IF($A568="","",S568*N568)</f>
        <v/>
      </c>
      <c r="L568" s="7">
        <f>IF($A568="","",N568-K568)</f>
        <v/>
      </c>
      <c r="M568" s="7">
        <f>IF($A568="","",L568-F568)</f>
        <v/>
      </c>
      <c r="N568" s="7" t="n"/>
      <c r="Q568" s="11" t="n"/>
      <c r="S568">
        <f>IF($A568="","",IF($W568=1,Settings!$C$6,Settings!$C$7)*1)</f>
        <v/>
      </c>
      <c r="U568">
        <f>IF($A568="","",IF(COUNTIF($A$2:$A568,$A568)=1,1,0))</f>
        <v/>
      </c>
      <c r="V568">
        <f>IF($U568=1,SUMPRODUCT(--($X$2:$X$1001&lt;$X568))+1,"")</f>
        <v/>
      </c>
      <c r="W568">
        <f>IF($A568="","",IF(OR($T568=TRUE(),$T568="TRUE"),1,0))</f>
        <v/>
      </c>
      <c r="X568">
        <f>IF($U568=1,IFERROR(IF(VALUE($A568)&lt;100000000,VALUE($A568),1000000000),IFERROR(IF(VALUE(MID($A568,2,20))&lt;100000000,VALUE(MID($A568,2,20)),1000000000),1000000000))+ROW()/100000,"")</f>
        <v/>
      </c>
    </row>
    <row r="569">
      <c r="F569" s="7">
        <f>IF($A569="","",E569*N569/100)</f>
        <v/>
      </c>
      <c r="J569" s="7" t="n"/>
      <c r="K569" s="7">
        <f>IF($A569="","",S569*N569)</f>
        <v/>
      </c>
      <c r="L569" s="7">
        <f>IF($A569="","",N569-K569)</f>
        <v/>
      </c>
      <c r="M569" s="7">
        <f>IF($A569="","",L569-F569)</f>
        <v/>
      </c>
      <c r="N569" s="7" t="n"/>
      <c r="Q569" s="11" t="n"/>
      <c r="S569">
        <f>IF($A569="","",IF($W569=1,Settings!$C$6,Settings!$C$7)*1)</f>
        <v/>
      </c>
      <c r="U569">
        <f>IF($A569="","",IF(COUNTIF($A$2:$A569,$A569)=1,1,0))</f>
        <v/>
      </c>
      <c r="V569">
        <f>IF($U569=1,SUMPRODUCT(--($X$2:$X$1001&lt;$X569))+1,"")</f>
        <v/>
      </c>
      <c r="W569">
        <f>IF($A569="","",IF(OR($T569=TRUE(),$T569="TRUE"),1,0))</f>
        <v/>
      </c>
      <c r="X569">
        <f>IF($U569=1,IFERROR(IF(VALUE($A569)&lt;100000000,VALUE($A569),1000000000),IFERROR(IF(VALUE(MID($A569,2,20))&lt;100000000,VALUE(MID($A569,2,20)),1000000000),1000000000))+ROW()/100000,"")</f>
        <v/>
      </c>
    </row>
    <row r="570">
      <c r="F570" s="7">
        <f>IF($A570="","",E570*N570/100)</f>
        <v/>
      </c>
      <c r="J570" s="7" t="n"/>
      <c r="K570" s="7">
        <f>IF($A570="","",S570*N570)</f>
        <v/>
      </c>
      <c r="L570" s="7">
        <f>IF($A570="","",N570-K570)</f>
        <v/>
      </c>
      <c r="M570" s="7">
        <f>IF($A570="","",L570-F570)</f>
        <v/>
      </c>
      <c r="N570" s="7" t="n"/>
      <c r="Q570" s="11" t="n"/>
      <c r="S570">
        <f>IF($A570="","",IF($W570=1,Settings!$C$6,Settings!$C$7)*1)</f>
        <v/>
      </c>
      <c r="U570">
        <f>IF($A570="","",IF(COUNTIF($A$2:$A570,$A570)=1,1,0))</f>
        <v/>
      </c>
      <c r="V570">
        <f>IF($U570=1,SUMPRODUCT(--($X$2:$X$1001&lt;$X570))+1,"")</f>
        <v/>
      </c>
      <c r="W570">
        <f>IF($A570="","",IF(OR($T570=TRUE(),$T570="TRUE"),1,0))</f>
        <v/>
      </c>
      <c r="X570">
        <f>IF($U570=1,IFERROR(IF(VALUE($A570)&lt;100000000,VALUE($A570),1000000000),IFERROR(IF(VALUE(MID($A570,2,20))&lt;100000000,VALUE(MID($A570,2,20)),1000000000),1000000000))+ROW()/100000,"")</f>
        <v/>
      </c>
    </row>
    <row r="571">
      <c r="F571" s="7">
        <f>IF($A571="","",E571*N571/100)</f>
        <v/>
      </c>
      <c r="J571" s="7" t="n"/>
      <c r="K571" s="7">
        <f>IF($A571="","",S571*N571)</f>
        <v/>
      </c>
      <c r="L571" s="7">
        <f>IF($A571="","",N571-K571)</f>
        <v/>
      </c>
      <c r="M571" s="7">
        <f>IF($A571="","",L571-F571)</f>
        <v/>
      </c>
      <c r="N571" s="7" t="n"/>
      <c r="Q571" s="11" t="n"/>
      <c r="S571">
        <f>IF($A571="","",IF($W571=1,Settings!$C$6,Settings!$C$7)*1)</f>
        <v/>
      </c>
      <c r="U571">
        <f>IF($A571="","",IF(COUNTIF($A$2:$A571,$A571)=1,1,0))</f>
        <v/>
      </c>
      <c r="V571">
        <f>IF($U571=1,SUMPRODUCT(--($X$2:$X$1001&lt;$X571))+1,"")</f>
        <v/>
      </c>
      <c r="W571">
        <f>IF($A571="","",IF(OR($T571=TRUE(),$T571="TRUE"),1,0))</f>
        <v/>
      </c>
      <c r="X571">
        <f>IF($U571=1,IFERROR(IF(VALUE($A571)&lt;100000000,VALUE($A571),1000000000),IFERROR(IF(VALUE(MID($A571,2,20))&lt;100000000,VALUE(MID($A571,2,20)),1000000000),1000000000))+ROW()/100000,"")</f>
        <v/>
      </c>
    </row>
    <row r="572">
      <c r="F572" s="7">
        <f>IF($A572="","",E572*N572/100)</f>
        <v/>
      </c>
      <c r="J572" s="7" t="n"/>
      <c r="K572" s="7">
        <f>IF($A572="","",S572*N572)</f>
        <v/>
      </c>
      <c r="L572" s="7">
        <f>IF($A572="","",N572-K572)</f>
        <v/>
      </c>
      <c r="M572" s="7">
        <f>IF($A572="","",L572-F572)</f>
        <v/>
      </c>
      <c r="N572" s="7" t="n"/>
      <c r="Q572" s="11" t="n"/>
      <c r="S572">
        <f>IF($A572="","",IF($W572=1,Settings!$C$6,Settings!$C$7)*1)</f>
        <v/>
      </c>
      <c r="U572">
        <f>IF($A572="","",IF(COUNTIF($A$2:$A572,$A572)=1,1,0))</f>
        <v/>
      </c>
      <c r="V572">
        <f>IF($U572=1,SUMPRODUCT(--($X$2:$X$1001&lt;$X572))+1,"")</f>
        <v/>
      </c>
      <c r="W572">
        <f>IF($A572="","",IF(OR($T572=TRUE(),$T572="TRUE"),1,0))</f>
        <v/>
      </c>
      <c r="X572">
        <f>IF($U572=1,IFERROR(IF(VALUE($A572)&lt;100000000,VALUE($A572),1000000000),IFERROR(IF(VALUE(MID($A572,2,20))&lt;100000000,VALUE(MID($A572,2,20)),1000000000),1000000000))+ROW()/100000,"")</f>
        <v/>
      </c>
    </row>
    <row r="573">
      <c r="F573" s="7">
        <f>IF($A573="","",E573*N573/100)</f>
        <v/>
      </c>
      <c r="J573" s="7" t="n"/>
      <c r="K573" s="7">
        <f>IF($A573="","",S573*N573)</f>
        <v/>
      </c>
      <c r="L573" s="7">
        <f>IF($A573="","",N573-K573)</f>
        <v/>
      </c>
      <c r="M573" s="7">
        <f>IF($A573="","",L573-F573)</f>
        <v/>
      </c>
      <c r="N573" s="7" t="n"/>
      <c r="Q573" s="11" t="n"/>
      <c r="S573">
        <f>IF($A573="","",IF($W573=1,Settings!$C$6,Settings!$C$7)*1)</f>
        <v/>
      </c>
      <c r="U573">
        <f>IF($A573="","",IF(COUNTIF($A$2:$A573,$A573)=1,1,0))</f>
        <v/>
      </c>
      <c r="V573">
        <f>IF($U573=1,SUMPRODUCT(--($X$2:$X$1001&lt;$X573))+1,"")</f>
        <v/>
      </c>
      <c r="W573">
        <f>IF($A573="","",IF(OR($T573=TRUE(),$T573="TRUE"),1,0))</f>
        <v/>
      </c>
      <c r="X573">
        <f>IF($U573=1,IFERROR(IF(VALUE($A573)&lt;100000000,VALUE($A573),1000000000),IFERROR(IF(VALUE(MID($A573,2,20))&lt;100000000,VALUE(MID($A573,2,20)),1000000000),1000000000))+ROW()/100000,"")</f>
        <v/>
      </c>
    </row>
    <row r="574">
      <c r="F574" s="7">
        <f>IF($A574="","",E574*N574/100)</f>
        <v/>
      </c>
      <c r="J574" s="7" t="n"/>
      <c r="K574" s="7">
        <f>IF($A574="","",S574*N574)</f>
        <v/>
      </c>
      <c r="L574" s="7">
        <f>IF($A574="","",N574-K574)</f>
        <v/>
      </c>
      <c r="M574" s="7">
        <f>IF($A574="","",L574-F574)</f>
        <v/>
      </c>
      <c r="N574" s="7" t="n"/>
      <c r="Q574" s="11" t="n"/>
      <c r="S574">
        <f>IF($A574="","",IF($W574=1,Settings!$C$6,Settings!$C$7)*1)</f>
        <v/>
      </c>
      <c r="U574">
        <f>IF($A574="","",IF(COUNTIF($A$2:$A574,$A574)=1,1,0))</f>
        <v/>
      </c>
      <c r="V574">
        <f>IF($U574=1,SUMPRODUCT(--($X$2:$X$1001&lt;$X574))+1,"")</f>
        <v/>
      </c>
      <c r="W574">
        <f>IF($A574="","",IF(OR($T574=TRUE(),$T574="TRUE"),1,0))</f>
        <v/>
      </c>
      <c r="X574">
        <f>IF($U574=1,IFERROR(IF(VALUE($A574)&lt;100000000,VALUE($A574),1000000000),IFERROR(IF(VALUE(MID($A574,2,20))&lt;100000000,VALUE(MID($A574,2,20)),1000000000),1000000000))+ROW()/100000,"")</f>
        <v/>
      </c>
    </row>
    <row r="575">
      <c r="F575" s="7">
        <f>IF($A575="","",E575*N575/100)</f>
        <v/>
      </c>
      <c r="J575" s="7" t="n"/>
      <c r="K575" s="7">
        <f>IF($A575="","",S575*N575)</f>
        <v/>
      </c>
      <c r="L575" s="7">
        <f>IF($A575="","",N575-K575)</f>
        <v/>
      </c>
      <c r="M575" s="7">
        <f>IF($A575="","",L575-F575)</f>
        <v/>
      </c>
      <c r="N575" s="7" t="n"/>
      <c r="Q575" s="11" t="n"/>
      <c r="S575">
        <f>IF($A575="","",IF($W575=1,Settings!$C$6,Settings!$C$7)*1)</f>
        <v/>
      </c>
      <c r="U575">
        <f>IF($A575="","",IF(COUNTIF($A$2:$A575,$A575)=1,1,0))</f>
        <v/>
      </c>
      <c r="V575">
        <f>IF($U575=1,SUMPRODUCT(--($X$2:$X$1001&lt;$X575))+1,"")</f>
        <v/>
      </c>
      <c r="W575">
        <f>IF($A575="","",IF(OR($T575=TRUE(),$T575="TRUE"),1,0))</f>
        <v/>
      </c>
      <c r="X575">
        <f>IF($U575=1,IFERROR(IF(VALUE($A575)&lt;100000000,VALUE($A575),1000000000),IFERROR(IF(VALUE(MID($A575,2,20))&lt;100000000,VALUE(MID($A575,2,20)),1000000000),1000000000))+ROW()/100000,"")</f>
        <v/>
      </c>
    </row>
    <row r="576">
      <c r="F576" s="7">
        <f>IF($A576="","",E576*N576/100)</f>
        <v/>
      </c>
      <c r="J576" s="7" t="n"/>
      <c r="K576" s="7">
        <f>IF($A576="","",S576*N576)</f>
        <v/>
      </c>
      <c r="L576" s="7">
        <f>IF($A576="","",N576-K576)</f>
        <v/>
      </c>
      <c r="M576" s="7">
        <f>IF($A576="","",L576-F576)</f>
        <v/>
      </c>
      <c r="N576" s="7" t="n"/>
      <c r="Q576" s="11" t="n"/>
      <c r="S576">
        <f>IF($A576="","",IF($W576=1,Settings!$C$6,Settings!$C$7)*1)</f>
        <v/>
      </c>
      <c r="U576">
        <f>IF($A576="","",IF(COUNTIF($A$2:$A576,$A576)=1,1,0))</f>
        <v/>
      </c>
      <c r="V576">
        <f>IF($U576=1,SUMPRODUCT(--($X$2:$X$1001&lt;$X576))+1,"")</f>
        <v/>
      </c>
      <c r="W576">
        <f>IF($A576="","",IF(OR($T576=TRUE(),$T576="TRUE"),1,0))</f>
        <v/>
      </c>
      <c r="X576">
        <f>IF($U576=1,IFERROR(IF(VALUE($A576)&lt;100000000,VALUE($A576),1000000000),IFERROR(IF(VALUE(MID($A576,2,20))&lt;100000000,VALUE(MID($A576,2,20)),1000000000),1000000000))+ROW()/100000,"")</f>
        <v/>
      </c>
    </row>
    <row r="577">
      <c r="F577" s="7">
        <f>IF($A577="","",E577*N577/100)</f>
        <v/>
      </c>
      <c r="J577" s="7" t="n"/>
      <c r="K577" s="7">
        <f>IF($A577="","",S577*N577)</f>
        <v/>
      </c>
      <c r="L577" s="7">
        <f>IF($A577="","",N577-K577)</f>
        <v/>
      </c>
      <c r="M577" s="7">
        <f>IF($A577="","",L577-F577)</f>
        <v/>
      </c>
      <c r="N577" s="7" t="n"/>
      <c r="Q577" s="11" t="n"/>
      <c r="S577">
        <f>IF($A577="","",IF($W577=1,Settings!$C$6,Settings!$C$7)*1)</f>
        <v/>
      </c>
      <c r="U577">
        <f>IF($A577="","",IF(COUNTIF($A$2:$A577,$A577)=1,1,0))</f>
        <v/>
      </c>
      <c r="V577">
        <f>IF($U577=1,SUMPRODUCT(--($X$2:$X$1001&lt;$X577))+1,"")</f>
        <v/>
      </c>
      <c r="W577">
        <f>IF($A577="","",IF(OR($T577=TRUE(),$T577="TRUE"),1,0))</f>
        <v/>
      </c>
      <c r="X577">
        <f>IF($U577=1,IFERROR(IF(VALUE($A577)&lt;100000000,VALUE($A577),1000000000),IFERROR(IF(VALUE(MID($A577,2,20))&lt;100000000,VALUE(MID($A577,2,20)),1000000000),1000000000))+ROW()/100000,"")</f>
        <v/>
      </c>
    </row>
    <row r="578">
      <c r="F578" s="7">
        <f>IF($A578="","",E578*N578/100)</f>
        <v/>
      </c>
      <c r="J578" s="7" t="n"/>
      <c r="K578" s="7">
        <f>IF($A578="","",S578*N578)</f>
        <v/>
      </c>
      <c r="L578" s="7">
        <f>IF($A578="","",N578-K578)</f>
        <v/>
      </c>
      <c r="M578" s="7">
        <f>IF($A578="","",L578-F578)</f>
        <v/>
      </c>
      <c r="N578" s="7" t="n"/>
      <c r="Q578" s="11" t="n"/>
      <c r="S578">
        <f>IF($A578="","",IF($W578=1,Settings!$C$6,Settings!$C$7)*1)</f>
        <v/>
      </c>
      <c r="U578">
        <f>IF($A578="","",IF(COUNTIF($A$2:$A578,$A578)=1,1,0))</f>
        <v/>
      </c>
      <c r="V578">
        <f>IF($U578=1,SUMPRODUCT(--($X$2:$X$1001&lt;$X578))+1,"")</f>
        <v/>
      </c>
      <c r="W578">
        <f>IF($A578="","",IF(OR($T578=TRUE(),$T578="TRUE"),1,0))</f>
        <v/>
      </c>
      <c r="X578">
        <f>IF($U578=1,IFERROR(IF(VALUE($A578)&lt;100000000,VALUE($A578),1000000000),IFERROR(IF(VALUE(MID($A578,2,20))&lt;100000000,VALUE(MID($A578,2,20)),1000000000),1000000000))+ROW()/100000,"")</f>
        <v/>
      </c>
    </row>
    <row r="579">
      <c r="F579" s="7">
        <f>IF($A579="","",E579*N579/100)</f>
        <v/>
      </c>
      <c r="J579" s="7" t="n"/>
      <c r="K579" s="7">
        <f>IF($A579="","",S579*N579)</f>
        <v/>
      </c>
      <c r="L579" s="7">
        <f>IF($A579="","",N579-K579)</f>
        <v/>
      </c>
      <c r="M579" s="7">
        <f>IF($A579="","",L579-F579)</f>
        <v/>
      </c>
      <c r="N579" s="7" t="n"/>
      <c r="Q579" s="11" t="n"/>
      <c r="S579">
        <f>IF($A579="","",IF($W579=1,Settings!$C$6,Settings!$C$7)*1)</f>
        <v/>
      </c>
      <c r="U579">
        <f>IF($A579="","",IF(COUNTIF($A$2:$A579,$A579)=1,1,0))</f>
        <v/>
      </c>
      <c r="V579">
        <f>IF($U579=1,SUMPRODUCT(--($X$2:$X$1001&lt;$X579))+1,"")</f>
        <v/>
      </c>
      <c r="W579">
        <f>IF($A579="","",IF(OR($T579=TRUE(),$T579="TRUE"),1,0))</f>
        <v/>
      </c>
      <c r="X579">
        <f>IF($U579=1,IFERROR(IF(VALUE($A579)&lt;100000000,VALUE($A579),1000000000),IFERROR(IF(VALUE(MID($A579,2,20))&lt;100000000,VALUE(MID($A579,2,20)),1000000000),1000000000))+ROW()/100000,"")</f>
        <v/>
      </c>
    </row>
    <row r="580">
      <c r="F580" s="7">
        <f>IF($A580="","",E580*N580/100)</f>
        <v/>
      </c>
      <c r="J580" s="7" t="n"/>
      <c r="K580" s="7">
        <f>IF($A580="","",S580*N580)</f>
        <v/>
      </c>
      <c r="L580" s="7">
        <f>IF($A580="","",N580-K580)</f>
        <v/>
      </c>
      <c r="M580" s="7">
        <f>IF($A580="","",L580-F580)</f>
        <v/>
      </c>
      <c r="N580" s="7" t="n"/>
      <c r="Q580" s="11" t="n"/>
      <c r="S580">
        <f>IF($A580="","",IF($W580=1,Settings!$C$6,Settings!$C$7)*1)</f>
        <v/>
      </c>
      <c r="U580">
        <f>IF($A580="","",IF(COUNTIF($A$2:$A580,$A580)=1,1,0))</f>
        <v/>
      </c>
      <c r="V580">
        <f>IF($U580=1,SUMPRODUCT(--($X$2:$X$1001&lt;$X580))+1,"")</f>
        <v/>
      </c>
      <c r="W580">
        <f>IF($A580="","",IF(OR($T580=TRUE(),$T580="TRUE"),1,0))</f>
        <v/>
      </c>
      <c r="X580">
        <f>IF($U580=1,IFERROR(IF(VALUE($A580)&lt;100000000,VALUE($A580),1000000000),IFERROR(IF(VALUE(MID($A580,2,20))&lt;100000000,VALUE(MID($A580,2,20)),1000000000),1000000000))+ROW()/100000,"")</f>
        <v/>
      </c>
    </row>
    <row r="581">
      <c r="F581" s="7">
        <f>IF($A581="","",E581*N581/100)</f>
        <v/>
      </c>
      <c r="J581" s="7" t="n"/>
      <c r="K581" s="7">
        <f>IF($A581="","",S581*N581)</f>
        <v/>
      </c>
      <c r="L581" s="7">
        <f>IF($A581="","",N581-K581)</f>
        <v/>
      </c>
      <c r="M581" s="7">
        <f>IF($A581="","",L581-F581)</f>
        <v/>
      </c>
      <c r="N581" s="7" t="n"/>
      <c r="Q581" s="11" t="n"/>
      <c r="S581">
        <f>IF($A581="","",IF($W581=1,Settings!$C$6,Settings!$C$7)*1)</f>
        <v/>
      </c>
      <c r="U581">
        <f>IF($A581="","",IF(COUNTIF($A$2:$A581,$A581)=1,1,0))</f>
        <v/>
      </c>
      <c r="V581">
        <f>IF($U581=1,SUMPRODUCT(--($X$2:$X$1001&lt;$X581))+1,"")</f>
        <v/>
      </c>
      <c r="W581">
        <f>IF($A581="","",IF(OR($T581=TRUE(),$T581="TRUE"),1,0))</f>
        <v/>
      </c>
      <c r="X581">
        <f>IF($U581=1,IFERROR(IF(VALUE($A581)&lt;100000000,VALUE($A581),1000000000),IFERROR(IF(VALUE(MID($A581,2,20))&lt;100000000,VALUE(MID($A581,2,20)),1000000000),1000000000))+ROW()/100000,"")</f>
        <v/>
      </c>
    </row>
    <row r="582">
      <c r="F582" s="7">
        <f>IF($A582="","",E582*N582/100)</f>
        <v/>
      </c>
      <c r="J582" s="7" t="n"/>
      <c r="K582" s="7">
        <f>IF($A582="","",S582*N582)</f>
        <v/>
      </c>
      <c r="L582" s="7">
        <f>IF($A582="","",N582-K582)</f>
        <v/>
      </c>
      <c r="M582" s="7">
        <f>IF($A582="","",L582-F582)</f>
        <v/>
      </c>
      <c r="N582" s="7" t="n"/>
      <c r="Q582" s="11" t="n"/>
      <c r="S582">
        <f>IF($A582="","",IF($W582=1,Settings!$C$6,Settings!$C$7)*1)</f>
        <v/>
      </c>
      <c r="U582">
        <f>IF($A582="","",IF(COUNTIF($A$2:$A582,$A582)=1,1,0))</f>
        <v/>
      </c>
      <c r="V582">
        <f>IF($U582=1,SUMPRODUCT(--($X$2:$X$1001&lt;$X582))+1,"")</f>
        <v/>
      </c>
      <c r="W582">
        <f>IF($A582="","",IF(OR($T582=TRUE(),$T582="TRUE"),1,0))</f>
        <v/>
      </c>
      <c r="X582">
        <f>IF($U582=1,IFERROR(IF(VALUE($A582)&lt;100000000,VALUE($A582),1000000000),IFERROR(IF(VALUE(MID($A582,2,20))&lt;100000000,VALUE(MID($A582,2,20)),1000000000),1000000000))+ROW()/100000,"")</f>
        <v/>
      </c>
    </row>
    <row r="583">
      <c r="F583" s="7">
        <f>IF($A583="","",E583*N583/100)</f>
        <v/>
      </c>
      <c r="J583" s="7" t="n"/>
      <c r="K583" s="7">
        <f>IF($A583="","",S583*N583)</f>
        <v/>
      </c>
      <c r="L583" s="7">
        <f>IF($A583="","",N583-K583)</f>
        <v/>
      </c>
      <c r="M583" s="7">
        <f>IF($A583="","",L583-F583)</f>
        <v/>
      </c>
      <c r="N583" s="7" t="n"/>
      <c r="Q583" s="11" t="n"/>
      <c r="S583">
        <f>IF($A583="","",IF($W583=1,Settings!$C$6,Settings!$C$7)*1)</f>
        <v/>
      </c>
      <c r="U583">
        <f>IF($A583="","",IF(COUNTIF($A$2:$A583,$A583)=1,1,0))</f>
        <v/>
      </c>
      <c r="V583">
        <f>IF($U583=1,SUMPRODUCT(--($X$2:$X$1001&lt;$X583))+1,"")</f>
        <v/>
      </c>
      <c r="W583">
        <f>IF($A583="","",IF(OR($T583=TRUE(),$T583="TRUE"),1,0))</f>
        <v/>
      </c>
      <c r="X583">
        <f>IF($U583=1,IFERROR(IF(VALUE($A583)&lt;100000000,VALUE($A583),1000000000),IFERROR(IF(VALUE(MID($A583,2,20))&lt;100000000,VALUE(MID($A583,2,20)),1000000000),1000000000))+ROW()/100000,"")</f>
        <v/>
      </c>
    </row>
    <row r="584">
      <c r="F584" s="7">
        <f>IF($A584="","",E584*N584/100)</f>
        <v/>
      </c>
      <c r="J584" s="7" t="n"/>
      <c r="K584" s="7">
        <f>IF($A584="","",S584*N584)</f>
        <v/>
      </c>
      <c r="L584" s="7">
        <f>IF($A584="","",N584-K584)</f>
        <v/>
      </c>
      <c r="M584" s="7">
        <f>IF($A584="","",L584-F584)</f>
        <v/>
      </c>
      <c r="N584" s="7" t="n"/>
      <c r="Q584" s="11" t="n"/>
      <c r="S584">
        <f>IF($A584="","",IF($W584=1,Settings!$C$6,Settings!$C$7)*1)</f>
        <v/>
      </c>
      <c r="U584">
        <f>IF($A584="","",IF(COUNTIF($A$2:$A584,$A584)=1,1,0))</f>
        <v/>
      </c>
      <c r="V584">
        <f>IF($U584=1,SUMPRODUCT(--($X$2:$X$1001&lt;$X584))+1,"")</f>
        <v/>
      </c>
      <c r="W584">
        <f>IF($A584="","",IF(OR($T584=TRUE(),$T584="TRUE"),1,0))</f>
        <v/>
      </c>
      <c r="X584">
        <f>IF($U584=1,IFERROR(IF(VALUE($A584)&lt;100000000,VALUE($A584),1000000000),IFERROR(IF(VALUE(MID($A584,2,20))&lt;100000000,VALUE(MID($A584,2,20)),1000000000),1000000000))+ROW()/100000,"")</f>
        <v/>
      </c>
    </row>
    <row r="585">
      <c r="F585" s="7">
        <f>IF($A585="","",E585*N585/100)</f>
        <v/>
      </c>
      <c r="J585" s="7" t="n"/>
      <c r="K585" s="7">
        <f>IF($A585="","",S585*N585)</f>
        <v/>
      </c>
      <c r="L585" s="7">
        <f>IF($A585="","",N585-K585)</f>
        <v/>
      </c>
      <c r="M585" s="7">
        <f>IF($A585="","",L585-F585)</f>
        <v/>
      </c>
      <c r="N585" s="7" t="n"/>
      <c r="Q585" s="11" t="n"/>
      <c r="S585">
        <f>IF($A585="","",IF($W585=1,Settings!$C$6,Settings!$C$7)*1)</f>
        <v/>
      </c>
      <c r="U585">
        <f>IF($A585="","",IF(COUNTIF($A$2:$A585,$A585)=1,1,0))</f>
        <v/>
      </c>
      <c r="V585">
        <f>IF($U585=1,SUMPRODUCT(--($X$2:$X$1001&lt;$X585))+1,"")</f>
        <v/>
      </c>
      <c r="W585">
        <f>IF($A585="","",IF(OR($T585=TRUE(),$T585="TRUE"),1,0))</f>
        <v/>
      </c>
      <c r="X585">
        <f>IF($U585=1,IFERROR(IF(VALUE($A585)&lt;100000000,VALUE($A585),1000000000),IFERROR(IF(VALUE(MID($A585,2,20))&lt;100000000,VALUE(MID($A585,2,20)),1000000000),1000000000))+ROW()/100000,"")</f>
        <v/>
      </c>
    </row>
    <row r="586">
      <c r="F586" s="7">
        <f>IF($A586="","",E586*N586/100)</f>
        <v/>
      </c>
      <c r="J586" s="7" t="n"/>
      <c r="K586" s="7">
        <f>IF($A586="","",S586*N586)</f>
        <v/>
      </c>
      <c r="L586" s="7">
        <f>IF($A586="","",N586-K586)</f>
        <v/>
      </c>
      <c r="M586" s="7">
        <f>IF($A586="","",L586-F586)</f>
        <v/>
      </c>
      <c r="N586" s="7" t="n"/>
      <c r="Q586" s="11" t="n"/>
      <c r="S586">
        <f>IF($A586="","",IF($W586=1,Settings!$C$6,Settings!$C$7)*1)</f>
        <v/>
      </c>
      <c r="U586">
        <f>IF($A586="","",IF(COUNTIF($A$2:$A586,$A586)=1,1,0))</f>
        <v/>
      </c>
      <c r="V586">
        <f>IF($U586=1,SUMPRODUCT(--($X$2:$X$1001&lt;$X586))+1,"")</f>
        <v/>
      </c>
      <c r="W586">
        <f>IF($A586="","",IF(OR($T586=TRUE(),$T586="TRUE"),1,0))</f>
        <v/>
      </c>
      <c r="X586">
        <f>IF($U586=1,IFERROR(IF(VALUE($A586)&lt;100000000,VALUE($A586),1000000000),IFERROR(IF(VALUE(MID($A586,2,20))&lt;100000000,VALUE(MID($A586,2,20)),1000000000),1000000000))+ROW()/100000,"")</f>
        <v/>
      </c>
    </row>
    <row r="587">
      <c r="F587" s="7">
        <f>IF($A587="","",E587*N587/100)</f>
        <v/>
      </c>
      <c r="J587" s="7" t="n"/>
      <c r="K587" s="7">
        <f>IF($A587="","",S587*N587)</f>
        <v/>
      </c>
      <c r="L587" s="7">
        <f>IF($A587="","",N587-K587)</f>
        <v/>
      </c>
      <c r="M587" s="7">
        <f>IF($A587="","",L587-F587)</f>
        <v/>
      </c>
      <c r="N587" s="7" t="n"/>
      <c r="Q587" s="11" t="n"/>
      <c r="S587">
        <f>IF($A587="","",IF($W587=1,Settings!$C$6,Settings!$C$7)*1)</f>
        <v/>
      </c>
      <c r="U587">
        <f>IF($A587="","",IF(COUNTIF($A$2:$A587,$A587)=1,1,0))</f>
        <v/>
      </c>
      <c r="V587">
        <f>IF($U587=1,SUMPRODUCT(--($X$2:$X$1001&lt;$X587))+1,"")</f>
        <v/>
      </c>
      <c r="W587">
        <f>IF($A587="","",IF(OR($T587=TRUE(),$T587="TRUE"),1,0))</f>
        <v/>
      </c>
      <c r="X587">
        <f>IF($U587=1,IFERROR(IF(VALUE($A587)&lt;100000000,VALUE($A587),1000000000),IFERROR(IF(VALUE(MID($A587,2,20))&lt;100000000,VALUE(MID($A587,2,20)),1000000000),1000000000))+ROW()/100000,"")</f>
        <v/>
      </c>
    </row>
    <row r="588">
      <c r="F588" s="7">
        <f>IF($A588="","",E588*N588/100)</f>
        <v/>
      </c>
      <c r="J588" s="7" t="n"/>
      <c r="K588" s="7">
        <f>IF($A588="","",S588*N588)</f>
        <v/>
      </c>
      <c r="L588" s="7">
        <f>IF($A588="","",N588-K588)</f>
        <v/>
      </c>
      <c r="M588" s="7">
        <f>IF($A588="","",L588-F588)</f>
        <v/>
      </c>
      <c r="N588" s="7" t="n"/>
      <c r="Q588" s="11" t="n"/>
      <c r="S588">
        <f>IF($A588="","",IF($W588=1,Settings!$C$6,Settings!$C$7)*1)</f>
        <v/>
      </c>
      <c r="U588">
        <f>IF($A588="","",IF(COUNTIF($A$2:$A588,$A588)=1,1,0))</f>
        <v/>
      </c>
      <c r="V588">
        <f>IF($U588=1,SUMPRODUCT(--($X$2:$X$1001&lt;$X588))+1,"")</f>
        <v/>
      </c>
      <c r="W588">
        <f>IF($A588="","",IF(OR($T588=TRUE(),$T588="TRUE"),1,0))</f>
        <v/>
      </c>
      <c r="X588">
        <f>IF($U588=1,IFERROR(IF(VALUE($A588)&lt;100000000,VALUE($A588),1000000000),IFERROR(IF(VALUE(MID($A588,2,20))&lt;100000000,VALUE(MID($A588,2,20)),1000000000),1000000000))+ROW()/100000,"")</f>
        <v/>
      </c>
    </row>
    <row r="589">
      <c r="F589" s="7">
        <f>IF($A589="","",E589*N589/100)</f>
        <v/>
      </c>
      <c r="J589" s="7" t="n"/>
      <c r="K589" s="7">
        <f>IF($A589="","",S589*N589)</f>
        <v/>
      </c>
      <c r="L589" s="7">
        <f>IF($A589="","",N589-K589)</f>
        <v/>
      </c>
      <c r="M589" s="7">
        <f>IF($A589="","",L589-F589)</f>
        <v/>
      </c>
      <c r="N589" s="7" t="n"/>
      <c r="Q589" s="11" t="n"/>
      <c r="S589">
        <f>IF($A589="","",IF($W589=1,Settings!$C$6,Settings!$C$7)*1)</f>
        <v/>
      </c>
      <c r="U589">
        <f>IF($A589="","",IF(COUNTIF($A$2:$A589,$A589)=1,1,0))</f>
        <v/>
      </c>
      <c r="V589">
        <f>IF($U589=1,SUMPRODUCT(--($X$2:$X$1001&lt;$X589))+1,"")</f>
        <v/>
      </c>
      <c r="W589">
        <f>IF($A589="","",IF(OR($T589=TRUE(),$T589="TRUE"),1,0))</f>
        <v/>
      </c>
      <c r="X589">
        <f>IF($U589=1,IFERROR(IF(VALUE($A589)&lt;100000000,VALUE($A589),1000000000),IFERROR(IF(VALUE(MID($A589,2,20))&lt;100000000,VALUE(MID($A589,2,20)),1000000000),1000000000))+ROW()/100000,"")</f>
        <v/>
      </c>
    </row>
    <row r="590">
      <c r="F590" s="7">
        <f>IF($A590="","",E590*N590/100)</f>
        <v/>
      </c>
      <c r="J590" s="7" t="n"/>
      <c r="K590" s="7">
        <f>IF($A590="","",S590*N590)</f>
        <v/>
      </c>
      <c r="L590" s="7">
        <f>IF($A590="","",N590-K590)</f>
        <v/>
      </c>
      <c r="M590" s="7">
        <f>IF($A590="","",L590-F590)</f>
        <v/>
      </c>
      <c r="N590" s="7" t="n"/>
      <c r="Q590" s="11" t="n"/>
      <c r="S590">
        <f>IF($A590="","",IF($W590=1,Settings!$C$6,Settings!$C$7)*1)</f>
        <v/>
      </c>
      <c r="U590">
        <f>IF($A590="","",IF(COUNTIF($A$2:$A590,$A590)=1,1,0))</f>
        <v/>
      </c>
      <c r="V590">
        <f>IF($U590=1,SUMPRODUCT(--($X$2:$X$1001&lt;$X590))+1,"")</f>
        <v/>
      </c>
      <c r="W590">
        <f>IF($A590="","",IF(OR($T590=TRUE(),$T590="TRUE"),1,0))</f>
        <v/>
      </c>
      <c r="X590">
        <f>IF($U590=1,IFERROR(IF(VALUE($A590)&lt;100000000,VALUE($A590),1000000000),IFERROR(IF(VALUE(MID($A590,2,20))&lt;100000000,VALUE(MID($A590,2,20)),1000000000),1000000000))+ROW()/100000,"")</f>
        <v/>
      </c>
    </row>
    <row r="591">
      <c r="F591" s="7">
        <f>IF($A591="","",E591*N591/100)</f>
        <v/>
      </c>
      <c r="J591" s="7" t="n"/>
      <c r="K591" s="7">
        <f>IF($A591="","",S591*N591)</f>
        <v/>
      </c>
      <c r="L591" s="7">
        <f>IF($A591="","",N591-K591)</f>
        <v/>
      </c>
      <c r="M591" s="7">
        <f>IF($A591="","",L591-F591)</f>
        <v/>
      </c>
      <c r="N591" s="7" t="n"/>
      <c r="Q591" s="11" t="n"/>
      <c r="S591">
        <f>IF($A591="","",IF($W591=1,Settings!$C$6,Settings!$C$7)*1)</f>
        <v/>
      </c>
      <c r="U591">
        <f>IF($A591="","",IF(COUNTIF($A$2:$A591,$A591)=1,1,0))</f>
        <v/>
      </c>
      <c r="V591">
        <f>IF($U591=1,SUMPRODUCT(--($X$2:$X$1001&lt;$X591))+1,"")</f>
        <v/>
      </c>
      <c r="W591">
        <f>IF($A591="","",IF(OR($T591=TRUE(),$T591="TRUE"),1,0))</f>
        <v/>
      </c>
      <c r="X591">
        <f>IF($U591=1,IFERROR(IF(VALUE($A591)&lt;100000000,VALUE($A591),1000000000),IFERROR(IF(VALUE(MID($A591,2,20))&lt;100000000,VALUE(MID($A591,2,20)),1000000000),1000000000))+ROW()/100000,"")</f>
        <v/>
      </c>
    </row>
    <row r="592">
      <c r="F592" s="7">
        <f>IF($A592="","",E592*N592/100)</f>
        <v/>
      </c>
      <c r="J592" s="7" t="n"/>
      <c r="K592" s="7">
        <f>IF($A592="","",S592*N592)</f>
        <v/>
      </c>
      <c r="L592" s="7">
        <f>IF($A592="","",N592-K592)</f>
        <v/>
      </c>
      <c r="M592" s="7">
        <f>IF($A592="","",L592-F592)</f>
        <v/>
      </c>
      <c r="N592" s="7" t="n"/>
      <c r="Q592" s="11" t="n"/>
      <c r="S592">
        <f>IF($A592="","",IF($W592=1,Settings!$C$6,Settings!$C$7)*1)</f>
        <v/>
      </c>
      <c r="U592">
        <f>IF($A592="","",IF(COUNTIF($A$2:$A592,$A592)=1,1,0))</f>
        <v/>
      </c>
      <c r="V592">
        <f>IF($U592=1,SUMPRODUCT(--($X$2:$X$1001&lt;$X592))+1,"")</f>
        <v/>
      </c>
      <c r="W592">
        <f>IF($A592="","",IF(OR($T592=TRUE(),$T592="TRUE"),1,0))</f>
        <v/>
      </c>
      <c r="X592">
        <f>IF($U592=1,IFERROR(IF(VALUE($A592)&lt;100000000,VALUE($A592),1000000000),IFERROR(IF(VALUE(MID($A592,2,20))&lt;100000000,VALUE(MID($A592,2,20)),1000000000),1000000000))+ROW()/100000,"")</f>
        <v/>
      </c>
    </row>
    <row r="593">
      <c r="F593" s="7">
        <f>IF($A593="","",E593*N593/100)</f>
        <v/>
      </c>
      <c r="J593" s="7" t="n"/>
      <c r="K593" s="7">
        <f>IF($A593="","",S593*N593)</f>
        <v/>
      </c>
      <c r="L593" s="7">
        <f>IF($A593="","",N593-K593)</f>
        <v/>
      </c>
      <c r="M593" s="7">
        <f>IF($A593="","",L593-F593)</f>
        <v/>
      </c>
      <c r="N593" s="7" t="n"/>
      <c r="Q593" s="11" t="n"/>
      <c r="S593">
        <f>IF($A593="","",IF($W593=1,Settings!$C$6,Settings!$C$7)*1)</f>
        <v/>
      </c>
      <c r="U593">
        <f>IF($A593="","",IF(COUNTIF($A$2:$A593,$A593)=1,1,0))</f>
        <v/>
      </c>
      <c r="V593">
        <f>IF($U593=1,SUMPRODUCT(--($X$2:$X$1001&lt;$X593))+1,"")</f>
        <v/>
      </c>
      <c r="W593">
        <f>IF($A593="","",IF(OR($T593=TRUE(),$T593="TRUE"),1,0))</f>
        <v/>
      </c>
      <c r="X593">
        <f>IF($U593=1,IFERROR(IF(VALUE($A593)&lt;100000000,VALUE($A593),1000000000),IFERROR(IF(VALUE(MID($A593,2,20))&lt;100000000,VALUE(MID($A593,2,20)),1000000000),1000000000))+ROW()/100000,"")</f>
        <v/>
      </c>
    </row>
    <row r="594">
      <c r="F594" s="7">
        <f>IF($A594="","",E594*N594/100)</f>
        <v/>
      </c>
      <c r="J594" s="7" t="n"/>
      <c r="K594" s="7">
        <f>IF($A594="","",S594*N594)</f>
        <v/>
      </c>
      <c r="L594" s="7">
        <f>IF($A594="","",N594-K594)</f>
        <v/>
      </c>
      <c r="M594" s="7">
        <f>IF($A594="","",L594-F594)</f>
        <v/>
      </c>
      <c r="N594" s="7" t="n"/>
      <c r="Q594" s="11" t="n"/>
      <c r="S594">
        <f>IF($A594="","",IF($W594=1,Settings!$C$6,Settings!$C$7)*1)</f>
        <v/>
      </c>
      <c r="U594">
        <f>IF($A594="","",IF(COUNTIF($A$2:$A594,$A594)=1,1,0))</f>
        <v/>
      </c>
      <c r="V594">
        <f>IF($U594=1,SUMPRODUCT(--($X$2:$X$1001&lt;$X594))+1,"")</f>
        <v/>
      </c>
      <c r="W594">
        <f>IF($A594="","",IF(OR($T594=TRUE(),$T594="TRUE"),1,0))</f>
        <v/>
      </c>
      <c r="X594">
        <f>IF($U594=1,IFERROR(IF(VALUE($A594)&lt;100000000,VALUE($A594),1000000000),IFERROR(IF(VALUE(MID($A594,2,20))&lt;100000000,VALUE(MID($A594,2,20)),1000000000),1000000000))+ROW()/100000,"")</f>
        <v/>
      </c>
    </row>
    <row r="595">
      <c r="F595" s="7">
        <f>IF($A595="","",E595*N595/100)</f>
        <v/>
      </c>
      <c r="J595" s="7" t="n"/>
      <c r="K595" s="7">
        <f>IF($A595="","",S595*N595)</f>
        <v/>
      </c>
      <c r="L595" s="7">
        <f>IF($A595="","",N595-K595)</f>
        <v/>
      </c>
      <c r="M595" s="7">
        <f>IF($A595="","",L595-F595)</f>
        <v/>
      </c>
      <c r="N595" s="7" t="n"/>
      <c r="Q595" s="11" t="n"/>
      <c r="S595">
        <f>IF($A595="","",IF($W595=1,Settings!$C$6,Settings!$C$7)*1)</f>
        <v/>
      </c>
      <c r="U595">
        <f>IF($A595="","",IF(COUNTIF($A$2:$A595,$A595)=1,1,0))</f>
        <v/>
      </c>
      <c r="V595">
        <f>IF($U595=1,SUMPRODUCT(--($X$2:$X$1001&lt;$X595))+1,"")</f>
        <v/>
      </c>
      <c r="W595">
        <f>IF($A595="","",IF(OR($T595=TRUE(),$T595="TRUE"),1,0))</f>
        <v/>
      </c>
      <c r="X595">
        <f>IF($U595=1,IFERROR(IF(VALUE($A595)&lt;100000000,VALUE($A595),1000000000),IFERROR(IF(VALUE(MID($A595,2,20))&lt;100000000,VALUE(MID($A595,2,20)),1000000000),1000000000))+ROW()/100000,"")</f>
        <v/>
      </c>
    </row>
    <row r="596">
      <c r="F596" s="7">
        <f>IF($A596="","",E596*N596/100)</f>
        <v/>
      </c>
      <c r="J596" s="7" t="n"/>
      <c r="K596" s="7">
        <f>IF($A596="","",S596*N596)</f>
        <v/>
      </c>
      <c r="L596" s="7">
        <f>IF($A596="","",N596-K596)</f>
        <v/>
      </c>
      <c r="M596" s="7">
        <f>IF($A596="","",L596-F596)</f>
        <v/>
      </c>
      <c r="N596" s="7" t="n"/>
      <c r="Q596" s="11" t="n"/>
      <c r="S596">
        <f>IF($A596="","",IF($W596=1,Settings!$C$6,Settings!$C$7)*1)</f>
        <v/>
      </c>
      <c r="U596">
        <f>IF($A596="","",IF(COUNTIF($A$2:$A596,$A596)=1,1,0))</f>
        <v/>
      </c>
      <c r="V596">
        <f>IF($U596=1,SUMPRODUCT(--($X$2:$X$1001&lt;$X596))+1,"")</f>
        <v/>
      </c>
      <c r="W596">
        <f>IF($A596="","",IF(OR($T596=TRUE(),$T596="TRUE"),1,0))</f>
        <v/>
      </c>
      <c r="X596">
        <f>IF($U596=1,IFERROR(IF(VALUE($A596)&lt;100000000,VALUE($A596),1000000000),IFERROR(IF(VALUE(MID($A596,2,20))&lt;100000000,VALUE(MID($A596,2,20)),1000000000),1000000000))+ROW()/100000,"")</f>
        <v/>
      </c>
    </row>
    <row r="597">
      <c r="F597" s="7">
        <f>IF($A597="","",E597*N597/100)</f>
        <v/>
      </c>
      <c r="J597" s="7" t="n"/>
      <c r="K597" s="7">
        <f>IF($A597="","",S597*N597)</f>
        <v/>
      </c>
      <c r="L597" s="7">
        <f>IF($A597="","",N597-K597)</f>
        <v/>
      </c>
      <c r="M597" s="7">
        <f>IF($A597="","",L597-F597)</f>
        <v/>
      </c>
      <c r="N597" s="7" t="n"/>
      <c r="Q597" s="11" t="n"/>
      <c r="S597">
        <f>IF($A597="","",IF($W597=1,Settings!$C$6,Settings!$C$7)*1)</f>
        <v/>
      </c>
      <c r="U597">
        <f>IF($A597="","",IF(COUNTIF($A$2:$A597,$A597)=1,1,0))</f>
        <v/>
      </c>
      <c r="V597">
        <f>IF($U597=1,SUMPRODUCT(--($X$2:$X$1001&lt;$X597))+1,"")</f>
        <v/>
      </c>
      <c r="W597">
        <f>IF($A597="","",IF(OR($T597=TRUE(),$T597="TRUE"),1,0))</f>
        <v/>
      </c>
      <c r="X597">
        <f>IF($U597=1,IFERROR(IF(VALUE($A597)&lt;100000000,VALUE($A597),1000000000),IFERROR(IF(VALUE(MID($A597,2,20))&lt;100000000,VALUE(MID($A597,2,20)),1000000000),1000000000))+ROW()/100000,"")</f>
        <v/>
      </c>
    </row>
    <row r="598">
      <c r="F598" s="7">
        <f>IF($A598="","",E598*N598/100)</f>
        <v/>
      </c>
      <c r="J598" s="7" t="n"/>
      <c r="K598" s="7">
        <f>IF($A598="","",S598*N598)</f>
        <v/>
      </c>
      <c r="L598" s="7">
        <f>IF($A598="","",N598-K598)</f>
        <v/>
      </c>
      <c r="M598" s="7">
        <f>IF($A598="","",L598-F598)</f>
        <v/>
      </c>
      <c r="N598" s="7" t="n"/>
      <c r="Q598" s="11" t="n"/>
      <c r="S598">
        <f>IF($A598="","",IF($W598=1,Settings!$C$6,Settings!$C$7)*1)</f>
        <v/>
      </c>
      <c r="U598">
        <f>IF($A598="","",IF(COUNTIF($A$2:$A598,$A598)=1,1,0))</f>
        <v/>
      </c>
      <c r="V598">
        <f>IF($U598=1,SUMPRODUCT(--($X$2:$X$1001&lt;$X598))+1,"")</f>
        <v/>
      </c>
      <c r="W598">
        <f>IF($A598="","",IF(OR($T598=TRUE(),$T598="TRUE"),1,0))</f>
        <v/>
      </c>
      <c r="X598">
        <f>IF($U598=1,IFERROR(IF(VALUE($A598)&lt;100000000,VALUE($A598),1000000000),IFERROR(IF(VALUE(MID($A598,2,20))&lt;100000000,VALUE(MID($A598,2,20)),1000000000),1000000000))+ROW()/100000,"")</f>
        <v/>
      </c>
    </row>
    <row r="599">
      <c r="F599" s="7">
        <f>IF($A599="","",E599*N599/100)</f>
        <v/>
      </c>
      <c r="J599" s="7" t="n"/>
      <c r="K599" s="7">
        <f>IF($A599="","",S599*N599)</f>
        <v/>
      </c>
      <c r="L599" s="7">
        <f>IF($A599="","",N599-K599)</f>
        <v/>
      </c>
      <c r="M599" s="7">
        <f>IF($A599="","",L599-F599)</f>
        <v/>
      </c>
      <c r="N599" s="7" t="n"/>
      <c r="Q599" s="11" t="n"/>
      <c r="S599">
        <f>IF($A599="","",IF($W599=1,Settings!$C$6,Settings!$C$7)*1)</f>
        <v/>
      </c>
      <c r="U599">
        <f>IF($A599="","",IF(COUNTIF($A$2:$A599,$A599)=1,1,0))</f>
        <v/>
      </c>
      <c r="V599">
        <f>IF($U599=1,SUMPRODUCT(--($X$2:$X$1001&lt;$X599))+1,"")</f>
        <v/>
      </c>
      <c r="W599">
        <f>IF($A599="","",IF(OR($T599=TRUE(),$T599="TRUE"),1,0))</f>
        <v/>
      </c>
      <c r="X599">
        <f>IF($U599=1,IFERROR(IF(VALUE($A599)&lt;100000000,VALUE($A599),1000000000),IFERROR(IF(VALUE(MID($A599,2,20))&lt;100000000,VALUE(MID($A599,2,20)),1000000000),1000000000))+ROW()/100000,"")</f>
        <v/>
      </c>
    </row>
    <row r="600">
      <c r="F600" s="7">
        <f>IF($A600="","",E600*N600/100)</f>
        <v/>
      </c>
      <c r="J600" s="7" t="n"/>
      <c r="K600" s="7">
        <f>IF($A600="","",S600*N600)</f>
        <v/>
      </c>
      <c r="L600" s="7">
        <f>IF($A600="","",N600-K600)</f>
        <v/>
      </c>
      <c r="M600" s="7">
        <f>IF($A600="","",L600-F600)</f>
        <v/>
      </c>
      <c r="N600" s="7" t="n"/>
      <c r="Q600" s="11" t="n"/>
      <c r="S600">
        <f>IF($A600="","",IF($W600=1,Settings!$C$6,Settings!$C$7)*1)</f>
        <v/>
      </c>
      <c r="U600">
        <f>IF($A600="","",IF(COUNTIF($A$2:$A600,$A600)=1,1,0))</f>
        <v/>
      </c>
      <c r="V600">
        <f>IF($U600=1,SUMPRODUCT(--($X$2:$X$1001&lt;$X600))+1,"")</f>
        <v/>
      </c>
      <c r="W600">
        <f>IF($A600="","",IF(OR($T600=TRUE(),$T600="TRUE"),1,0))</f>
        <v/>
      </c>
      <c r="X600">
        <f>IF($U600=1,IFERROR(IF(VALUE($A600)&lt;100000000,VALUE($A600),1000000000),IFERROR(IF(VALUE(MID($A600,2,20))&lt;100000000,VALUE(MID($A600,2,20)),1000000000),1000000000))+ROW()/100000,"")</f>
        <v/>
      </c>
    </row>
    <row r="601">
      <c r="F601" s="7">
        <f>IF($A601="","",E601*N601/100)</f>
        <v/>
      </c>
      <c r="J601" s="7" t="n"/>
      <c r="K601" s="7">
        <f>IF($A601="","",S601*N601)</f>
        <v/>
      </c>
      <c r="L601" s="7">
        <f>IF($A601="","",N601-K601)</f>
        <v/>
      </c>
      <c r="M601" s="7">
        <f>IF($A601="","",L601-F601)</f>
        <v/>
      </c>
      <c r="N601" s="7" t="n"/>
      <c r="Q601" s="11" t="n"/>
      <c r="S601">
        <f>IF($A601="","",IF($W601=1,Settings!$C$6,Settings!$C$7)*1)</f>
        <v/>
      </c>
      <c r="U601">
        <f>IF($A601="","",IF(COUNTIF($A$2:$A601,$A601)=1,1,0))</f>
        <v/>
      </c>
      <c r="V601">
        <f>IF($U601=1,SUMPRODUCT(--($X$2:$X$1001&lt;$X601))+1,"")</f>
        <v/>
      </c>
      <c r="W601">
        <f>IF($A601="","",IF(OR($T601=TRUE(),$T601="TRUE"),1,0))</f>
        <v/>
      </c>
      <c r="X601">
        <f>IF($U601=1,IFERROR(IF(VALUE($A601)&lt;100000000,VALUE($A601),1000000000),IFERROR(IF(VALUE(MID($A601,2,20))&lt;100000000,VALUE(MID($A601,2,20)),1000000000),1000000000))+ROW()/100000,"")</f>
        <v/>
      </c>
    </row>
    <row r="602">
      <c r="F602" s="7">
        <f>IF($A602="","",E602*N602/100)</f>
        <v/>
      </c>
      <c r="J602" s="7" t="n"/>
      <c r="K602" s="7">
        <f>IF($A602="","",S602*N602)</f>
        <v/>
      </c>
      <c r="L602" s="7">
        <f>IF($A602="","",N602-K602)</f>
        <v/>
      </c>
      <c r="M602" s="7">
        <f>IF($A602="","",L602-F602)</f>
        <v/>
      </c>
      <c r="N602" s="7" t="n"/>
      <c r="Q602" s="11" t="n"/>
      <c r="S602">
        <f>IF($A602="","",IF($W602=1,Settings!$C$6,Settings!$C$7)*1)</f>
        <v/>
      </c>
      <c r="U602">
        <f>IF($A602="","",IF(COUNTIF($A$2:$A602,$A602)=1,1,0))</f>
        <v/>
      </c>
      <c r="V602">
        <f>IF($U602=1,SUMPRODUCT(--($X$2:$X$1001&lt;$X602))+1,"")</f>
        <v/>
      </c>
      <c r="W602">
        <f>IF($A602="","",IF(OR($T602=TRUE(),$T602="TRUE"),1,0))</f>
        <v/>
      </c>
      <c r="X602">
        <f>IF($U602=1,IFERROR(IF(VALUE($A602)&lt;100000000,VALUE($A602),1000000000),IFERROR(IF(VALUE(MID($A602,2,20))&lt;100000000,VALUE(MID($A602,2,20)),1000000000),1000000000))+ROW()/100000,"")</f>
        <v/>
      </c>
    </row>
    <row r="603">
      <c r="F603" s="7">
        <f>IF($A603="","",E603*N603/100)</f>
        <v/>
      </c>
      <c r="J603" s="7" t="n"/>
      <c r="K603" s="7">
        <f>IF($A603="","",S603*N603)</f>
        <v/>
      </c>
      <c r="L603" s="7">
        <f>IF($A603="","",N603-K603)</f>
        <v/>
      </c>
      <c r="M603" s="7">
        <f>IF($A603="","",L603-F603)</f>
        <v/>
      </c>
      <c r="N603" s="7" t="n"/>
      <c r="Q603" s="11" t="n"/>
      <c r="S603">
        <f>IF($A603="","",IF($W603=1,Settings!$C$6,Settings!$C$7)*1)</f>
        <v/>
      </c>
      <c r="U603">
        <f>IF($A603="","",IF(COUNTIF($A$2:$A603,$A603)=1,1,0))</f>
        <v/>
      </c>
      <c r="V603">
        <f>IF($U603=1,SUMPRODUCT(--($X$2:$X$1001&lt;$X603))+1,"")</f>
        <v/>
      </c>
      <c r="W603">
        <f>IF($A603="","",IF(OR($T603=TRUE(),$T603="TRUE"),1,0))</f>
        <v/>
      </c>
      <c r="X603">
        <f>IF($U603=1,IFERROR(IF(VALUE($A603)&lt;100000000,VALUE($A603),1000000000),IFERROR(IF(VALUE(MID($A603,2,20))&lt;100000000,VALUE(MID($A603,2,20)),1000000000),1000000000))+ROW()/100000,"")</f>
        <v/>
      </c>
    </row>
    <row r="604">
      <c r="F604" s="7">
        <f>IF($A604="","",E604*N604/100)</f>
        <v/>
      </c>
      <c r="J604" s="7" t="n"/>
      <c r="K604" s="7">
        <f>IF($A604="","",S604*N604)</f>
        <v/>
      </c>
      <c r="L604" s="7">
        <f>IF($A604="","",N604-K604)</f>
        <v/>
      </c>
      <c r="M604" s="7">
        <f>IF($A604="","",L604-F604)</f>
        <v/>
      </c>
      <c r="N604" s="7" t="n"/>
      <c r="Q604" s="11" t="n"/>
      <c r="S604">
        <f>IF($A604="","",IF($W604=1,Settings!$C$6,Settings!$C$7)*1)</f>
        <v/>
      </c>
      <c r="U604">
        <f>IF($A604="","",IF(COUNTIF($A$2:$A604,$A604)=1,1,0))</f>
        <v/>
      </c>
      <c r="V604">
        <f>IF($U604=1,SUMPRODUCT(--($X$2:$X$1001&lt;$X604))+1,"")</f>
        <v/>
      </c>
      <c r="W604">
        <f>IF($A604="","",IF(OR($T604=TRUE(),$T604="TRUE"),1,0))</f>
        <v/>
      </c>
      <c r="X604">
        <f>IF($U604=1,IFERROR(IF(VALUE($A604)&lt;100000000,VALUE($A604),1000000000),IFERROR(IF(VALUE(MID($A604,2,20))&lt;100000000,VALUE(MID($A604,2,20)),1000000000),1000000000))+ROW()/100000,"")</f>
        <v/>
      </c>
    </row>
    <row r="605">
      <c r="F605" s="7">
        <f>IF($A605="","",E605*N605/100)</f>
        <v/>
      </c>
      <c r="J605" s="7" t="n"/>
      <c r="K605" s="7">
        <f>IF($A605="","",S605*N605)</f>
        <v/>
      </c>
      <c r="L605" s="7">
        <f>IF($A605="","",N605-K605)</f>
        <v/>
      </c>
      <c r="M605" s="7">
        <f>IF($A605="","",L605-F605)</f>
        <v/>
      </c>
      <c r="N605" s="7" t="n"/>
      <c r="Q605" s="11" t="n"/>
      <c r="S605">
        <f>IF($A605="","",IF($W605=1,Settings!$C$6,Settings!$C$7)*1)</f>
        <v/>
      </c>
      <c r="U605">
        <f>IF($A605="","",IF(COUNTIF($A$2:$A605,$A605)=1,1,0))</f>
        <v/>
      </c>
      <c r="V605">
        <f>IF($U605=1,SUMPRODUCT(--($X$2:$X$1001&lt;$X605))+1,"")</f>
        <v/>
      </c>
      <c r="W605">
        <f>IF($A605="","",IF(OR($T605=TRUE(),$T605="TRUE"),1,0))</f>
        <v/>
      </c>
      <c r="X605">
        <f>IF($U605=1,IFERROR(IF(VALUE($A605)&lt;100000000,VALUE($A605),1000000000),IFERROR(IF(VALUE(MID($A605,2,20))&lt;100000000,VALUE(MID($A605,2,20)),1000000000),1000000000))+ROW()/100000,"")</f>
        <v/>
      </c>
    </row>
    <row r="606">
      <c r="F606" s="7">
        <f>IF($A606="","",E606*N606/100)</f>
        <v/>
      </c>
      <c r="J606" s="7" t="n"/>
      <c r="K606" s="7">
        <f>IF($A606="","",S606*N606)</f>
        <v/>
      </c>
      <c r="L606" s="7">
        <f>IF($A606="","",N606-K606)</f>
        <v/>
      </c>
      <c r="M606" s="7">
        <f>IF($A606="","",L606-F606)</f>
        <v/>
      </c>
      <c r="N606" s="7" t="n"/>
      <c r="Q606" s="11" t="n"/>
      <c r="S606">
        <f>IF($A606="","",IF($W606=1,Settings!$C$6,Settings!$C$7)*1)</f>
        <v/>
      </c>
      <c r="U606">
        <f>IF($A606="","",IF(COUNTIF($A$2:$A606,$A606)=1,1,0))</f>
        <v/>
      </c>
      <c r="V606">
        <f>IF($U606=1,SUMPRODUCT(--($X$2:$X$1001&lt;$X606))+1,"")</f>
        <v/>
      </c>
      <c r="W606">
        <f>IF($A606="","",IF(OR($T606=TRUE(),$T606="TRUE"),1,0))</f>
        <v/>
      </c>
      <c r="X606">
        <f>IF($U606=1,IFERROR(IF(VALUE($A606)&lt;100000000,VALUE($A606),1000000000),IFERROR(IF(VALUE(MID($A606,2,20))&lt;100000000,VALUE(MID($A606,2,20)),1000000000),1000000000))+ROW()/100000,"")</f>
        <v/>
      </c>
    </row>
    <row r="607">
      <c r="F607" s="7">
        <f>IF($A607="","",E607*N607/100)</f>
        <v/>
      </c>
      <c r="J607" s="7" t="n"/>
      <c r="K607" s="7">
        <f>IF($A607="","",S607*N607)</f>
        <v/>
      </c>
      <c r="L607" s="7">
        <f>IF($A607="","",N607-K607)</f>
        <v/>
      </c>
      <c r="M607" s="7">
        <f>IF($A607="","",L607-F607)</f>
        <v/>
      </c>
      <c r="N607" s="7" t="n"/>
      <c r="Q607" s="11" t="n"/>
      <c r="S607">
        <f>IF($A607="","",IF($W607=1,Settings!$C$6,Settings!$C$7)*1)</f>
        <v/>
      </c>
      <c r="U607">
        <f>IF($A607="","",IF(COUNTIF($A$2:$A607,$A607)=1,1,0))</f>
        <v/>
      </c>
      <c r="V607">
        <f>IF($U607=1,SUMPRODUCT(--($X$2:$X$1001&lt;$X607))+1,"")</f>
        <v/>
      </c>
      <c r="W607">
        <f>IF($A607="","",IF(OR($T607=TRUE(),$T607="TRUE"),1,0))</f>
        <v/>
      </c>
      <c r="X607">
        <f>IF($U607=1,IFERROR(IF(VALUE($A607)&lt;100000000,VALUE($A607),1000000000),IFERROR(IF(VALUE(MID($A607,2,20))&lt;100000000,VALUE(MID($A607,2,20)),1000000000),1000000000))+ROW()/100000,"")</f>
        <v/>
      </c>
    </row>
    <row r="608">
      <c r="F608" s="7">
        <f>IF($A608="","",E608*N608/100)</f>
        <v/>
      </c>
      <c r="J608" s="7" t="n"/>
      <c r="K608" s="7">
        <f>IF($A608="","",S608*N608)</f>
        <v/>
      </c>
      <c r="L608" s="7">
        <f>IF($A608="","",N608-K608)</f>
        <v/>
      </c>
      <c r="M608" s="7">
        <f>IF($A608="","",L608-F608)</f>
        <v/>
      </c>
      <c r="N608" s="7" t="n"/>
      <c r="Q608" s="11" t="n"/>
      <c r="S608">
        <f>IF($A608="","",IF($W608=1,Settings!$C$6,Settings!$C$7)*1)</f>
        <v/>
      </c>
      <c r="U608">
        <f>IF($A608="","",IF(COUNTIF($A$2:$A608,$A608)=1,1,0))</f>
        <v/>
      </c>
      <c r="V608">
        <f>IF($U608=1,SUMPRODUCT(--($X$2:$X$1001&lt;$X608))+1,"")</f>
        <v/>
      </c>
      <c r="W608">
        <f>IF($A608="","",IF(OR($T608=TRUE(),$T608="TRUE"),1,0))</f>
        <v/>
      </c>
      <c r="X608">
        <f>IF($U608=1,IFERROR(IF(VALUE($A608)&lt;100000000,VALUE($A608),1000000000),IFERROR(IF(VALUE(MID($A608,2,20))&lt;100000000,VALUE(MID($A608,2,20)),1000000000),1000000000))+ROW()/100000,"")</f>
        <v/>
      </c>
    </row>
    <row r="609">
      <c r="F609" s="7">
        <f>IF($A609="","",E609*N609/100)</f>
        <v/>
      </c>
      <c r="J609" s="7" t="n"/>
      <c r="K609" s="7">
        <f>IF($A609="","",S609*N609)</f>
        <v/>
      </c>
      <c r="L609" s="7">
        <f>IF($A609="","",N609-K609)</f>
        <v/>
      </c>
      <c r="M609" s="7">
        <f>IF($A609="","",L609-F609)</f>
        <v/>
      </c>
      <c r="N609" s="7" t="n"/>
      <c r="Q609" s="11" t="n"/>
      <c r="S609">
        <f>IF($A609="","",IF($W609=1,Settings!$C$6,Settings!$C$7)*1)</f>
        <v/>
      </c>
      <c r="U609">
        <f>IF($A609="","",IF(COUNTIF($A$2:$A609,$A609)=1,1,0))</f>
        <v/>
      </c>
      <c r="V609">
        <f>IF($U609=1,SUMPRODUCT(--($X$2:$X$1001&lt;$X609))+1,"")</f>
        <v/>
      </c>
      <c r="W609">
        <f>IF($A609="","",IF(OR($T609=TRUE(),$T609="TRUE"),1,0))</f>
        <v/>
      </c>
      <c r="X609">
        <f>IF($U609=1,IFERROR(IF(VALUE($A609)&lt;100000000,VALUE($A609),1000000000),IFERROR(IF(VALUE(MID($A609,2,20))&lt;100000000,VALUE(MID($A609,2,20)),1000000000),1000000000))+ROW()/100000,"")</f>
        <v/>
      </c>
    </row>
    <row r="610">
      <c r="F610" s="7">
        <f>IF($A610="","",E610*N610/100)</f>
        <v/>
      </c>
      <c r="J610" s="7" t="n"/>
      <c r="K610" s="7">
        <f>IF($A610="","",S610*N610)</f>
        <v/>
      </c>
      <c r="L610" s="7">
        <f>IF($A610="","",N610-K610)</f>
        <v/>
      </c>
      <c r="M610" s="7">
        <f>IF($A610="","",L610-F610)</f>
        <v/>
      </c>
      <c r="N610" s="7" t="n"/>
      <c r="Q610" s="11" t="n"/>
      <c r="S610">
        <f>IF($A610="","",IF($W610=1,Settings!$C$6,Settings!$C$7)*1)</f>
        <v/>
      </c>
      <c r="U610">
        <f>IF($A610="","",IF(COUNTIF($A$2:$A610,$A610)=1,1,0))</f>
        <v/>
      </c>
      <c r="V610">
        <f>IF($U610=1,SUMPRODUCT(--($X$2:$X$1001&lt;$X610))+1,"")</f>
        <v/>
      </c>
      <c r="W610">
        <f>IF($A610="","",IF(OR($T610=TRUE(),$T610="TRUE"),1,0))</f>
        <v/>
      </c>
      <c r="X610">
        <f>IF($U610=1,IFERROR(IF(VALUE($A610)&lt;100000000,VALUE($A610),1000000000),IFERROR(IF(VALUE(MID($A610,2,20))&lt;100000000,VALUE(MID($A610,2,20)),1000000000),1000000000))+ROW()/100000,"")</f>
        <v/>
      </c>
    </row>
    <row r="611">
      <c r="F611" s="7">
        <f>IF($A611="","",E611*N611/100)</f>
        <v/>
      </c>
      <c r="J611" s="7" t="n"/>
      <c r="K611" s="7">
        <f>IF($A611="","",S611*N611)</f>
        <v/>
      </c>
      <c r="L611" s="7">
        <f>IF($A611="","",N611-K611)</f>
        <v/>
      </c>
      <c r="M611" s="7">
        <f>IF($A611="","",L611-F611)</f>
        <v/>
      </c>
      <c r="N611" s="7" t="n"/>
      <c r="Q611" s="11" t="n"/>
      <c r="S611">
        <f>IF($A611="","",IF($W611=1,Settings!$C$6,Settings!$C$7)*1)</f>
        <v/>
      </c>
      <c r="U611">
        <f>IF($A611="","",IF(COUNTIF($A$2:$A611,$A611)=1,1,0))</f>
        <v/>
      </c>
      <c r="V611">
        <f>IF($U611=1,SUMPRODUCT(--($X$2:$X$1001&lt;$X611))+1,"")</f>
        <v/>
      </c>
      <c r="W611">
        <f>IF($A611="","",IF(OR($T611=TRUE(),$T611="TRUE"),1,0))</f>
        <v/>
      </c>
      <c r="X611">
        <f>IF($U611=1,IFERROR(IF(VALUE($A611)&lt;100000000,VALUE($A611),1000000000),IFERROR(IF(VALUE(MID($A611,2,20))&lt;100000000,VALUE(MID($A611,2,20)),1000000000),1000000000))+ROW()/100000,"")</f>
        <v/>
      </c>
    </row>
    <row r="612">
      <c r="F612" s="7">
        <f>IF($A612="","",E612*N612/100)</f>
        <v/>
      </c>
      <c r="J612" s="7" t="n"/>
      <c r="K612" s="7">
        <f>IF($A612="","",S612*N612)</f>
        <v/>
      </c>
      <c r="L612" s="7">
        <f>IF($A612="","",N612-K612)</f>
        <v/>
      </c>
      <c r="M612" s="7">
        <f>IF($A612="","",L612-F612)</f>
        <v/>
      </c>
      <c r="N612" s="7" t="n"/>
      <c r="Q612" s="11" t="n"/>
      <c r="S612">
        <f>IF($A612="","",IF($W612=1,Settings!$C$6,Settings!$C$7)*1)</f>
        <v/>
      </c>
      <c r="U612">
        <f>IF($A612="","",IF(COUNTIF($A$2:$A612,$A612)=1,1,0))</f>
        <v/>
      </c>
      <c r="V612">
        <f>IF($U612=1,SUMPRODUCT(--($X$2:$X$1001&lt;$X612))+1,"")</f>
        <v/>
      </c>
      <c r="W612">
        <f>IF($A612="","",IF(OR($T612=TRUE(),$T612="TRUE"),1,0))</f>
        <v/>
      </c>
      <c r="X612">
        <f>IF($U612=1,IFERROR(IF(VALUE($A612)&lt;100000000,VALUE($A612),1000000000),IFERROR(IF(VALUE(MID($A612,2,20))&lt;100000000,VALUE(MID($A612,2,20)),1000000000),1000000000))+ROW()/100000,"")</f>
        <v/>
      </c>
    </row>
    <row r="613">
      <c r="F613" s="7">
        <f>IF($A613="","",E613*N613/100)</f>
        <v/>
      </c>
      <c r="J613" s="7" t="n"/>
      <c r="K613" s="7">
        <f>IF($A613="","",S613*N613)</f>
        <v/>
      </c>
      <c r="L613" s="7">
        <f>IF($A613="","",N613-K613)</f>
        <v/>
      </c>
      <c r="M613" s="7">
        <f>IF($A613="","",L613-F613)</f>
        <v/>
      </c>
      <c r="N613" s="7" t="n"/>
      <c r="Q613" s="11" t="n"/>
      <c r="S613">
        <f>IF($A613="","",IF($W613=1,Settings!$C$6,Settings!$C$7)*1)</f>
        <v/>
      </c>
      <c r="U613">
        <f>IF($A613="","",IF(COUNTIF($A$2:$A613,$A613)=1,1,0))</f>
        <v/>
      </c>
      <c r="V613">
        <f>IF($U613=1,SUMPRODUCT(--($X$2:$X$1001&lt;$X613))+1,"")</f>
        <v/>
      </c>
      <c r="W613">
        <f>IF($A613="","",IF(OR($T613=TRUE(),$T613="TRUE"),1,0))</f>
        <v/>
      </c>
      <c r="X613">
        <f>IF($U613=1,IFERROR(IF(VALUE($A613)&lt;100000000,VALUE($A613),1000000000),IFERROR(IF(VALUE(MID($A613,2,20))&lt;100000000,VALUE(MID($A613,2,20)),1000000000),1000000000))+ROW()/100000,"")</f>
        <v/>
      </c>
    </row>
    <row r="614">
      <c r="F614" s="7">
        <f>IF($A614="","",E614*N614/100)</f>
        <v/>
      </c>
      <c r="J614" s="7" t="n"/>
      <c r="K614" s="7">
        <f>IF($A614="","",S614*N614)</f>
        <v/>
      </c>
      <c r="L614" s="7">
        <f>IF($A614="","",N614-K614)</f>
        <v/>
      </c>
      <c r="M614" s="7">
        <f>IF($A614="","",L614-F614)</f>
        <v/>
      </c>
      <c r="N614" s="7" t="n"/>
      <c r="Q614" s="11" t="n"/>
      <c r="S614">
        <f>IF($A614="","",IF($W614=1,Settings!$C$6,Settings!$C$7)*1)</f>
        <v/>
      </c>
      <c r="U614">
        <f>IF($A614="","",IF(COUNTIF($A$2:$A614,$A614)=1,1,0))</f>
        <v/>
      </c>
      <c r="V614">
        <f>IF($U614=1,SUMPRODUCT(--($X$2:$X$1001&lt;$X614))+1,"")</f>
        <v/>
      </c>
      <c r="W614">
        <f>IF($A614="","",IF(OR($T614=TRUE(),$T614="TRUE"),1,0))</f>
        <v/>
      </c>
      <c r="X614">
        <f>IF($U614=1,IFERROR(IF(VALUE($A614)&lt;100000000,VALUE($A614),1000000000),IFERROR(IF(VALUE(MID($A614,2,20))&lt;100000000,VALUE(MID($A614,2,20)),1000000000),1000000000))+ROW()/100000,"")</f>
        <v/>
      </c>
    </row>
    <row r="615">
      <c r="F615" s="7">
        <f>IF($A615="","",E615*N615/100)</f>
        <v/>
      </c>
      <c r="J615" s="7" t="n"/>
      <c r="K615" s="7">
        <f>IF($A615="","",S615*N615)</f>
        <v/>
      </c>
      <c r="L615" s="7">
        <f>IF($A615="","",N615-K615)</f>
        <v/>
      </c>
      <c r="M615" s="7">
        <f>IF($A615="","",L615-F615)</f>
        <v/>
      </c>
      <c r="N615" s="7" t="n"/>
      <c r="Q615" s="11" t="n"/>
      <c r="S615">
        <f>IF($A615="","",IF($W615=1,Settings!$C$6,Settings!$C$7)*1)</f>
        <v/>
      </c>
      <c r="U615">
        <f>IF($A615="","",IF(COUNTIF($A$2:$A615,$A615)=1,1,0))</f>
        <v/>
      </c>
      <c r="V615">
        <f>IF($U615=1,SUMPRODUCT(--($X$2:$X$1001&lt;$X615))+1,"")</f>
        <v/>
      </c>
      <c r="W615">
        <f>IF($A615="","",IF(OR($T615=TRUE(),$T615="TRUE"),1,0))</f>
        <v/>
      </c>
      <c r="X615">
        <f>IF($U615=1,IFERROR(IF(VALUE($A615)&lt;100000000,VALUE($A615),1000000000),IFERROR(IF(VALUE(MID($A615,2,20))&lt;100000000,VALUE(MID($A615,2,20)),1000000000),1000000000))+ROW()/100000,"")</f>
        <v/>
      </c>
    </row>
    <row r="616">
      <c r="F616" s="7">
        <f>IF($A616="","",E616*N616/100)</f>
        <v/>
      </c>
      <c r="J616" s="7" t="n"/>
      <c r="K616" s="7">
        <f>IF($A616="","",S616*N616)</f>
        <v/>
      </c>
      <c r="L616" s="7">
        <f>IF($A616="","",N616-K616)</f>
        <v/>
      </c>
      <c r="M616" s="7">
        <f>IF($A616="","",L616-F616)</f>
        <v/>
      </c>
      <c r="N616" s="7" t="n"/>
      <c r="Q616" s="11" t="n"/>
      <c r="S616">
        <f>IF($A616="","",IF($W616=1,Settings!$C$6,Settings!$C$7)*1)</f>
        <v/>
      </c>
      <c r="U616">
        <f>IF($A616="","",IF(COUNTIF($A$2:$A616,$A616)=1,1,0))</f>
        <v/>
      </c>
      <c r="V616">
        <f>IF($U616=1,SUMPRODUCT(--($X$2:$X$1001&lt;$X616))+1,"")</f>
        <v/>
      </c>
      <c r="W616">
        <f>IF($A616="","",IF(OR($T616=TRUE(),$T616="TRUE"),1,0))</f>
        <v/>
      </c>
      <c r="X616">
        <f>IF($U616=1,IFERROR(IF(VALUE($A616)&lt;100000000,VALUE($A616),1000000000),IFERROR(IF(VALUE(MID($A616,2,20))&lt;100000000,VALUE(MID($A616,2,20)),1000000000),1000000000))+ROW()/100000,"")</f>
        <v/>
      </c>
    </row>
    <row r="617">
      <c r="F617" s="7">
        <f>IF($A617="","",E617*N617/100)</f>
        <v/>
      </c>
      <c r="J617" s="7" t="n"/>
      <c r="K617" s="7">
        <f>IF($A617="","",S617*N617)</f>
        <v/>
      </c>
      <c r="L617" s="7">
        <f>IF($A617="","",N617-K617)</f>
        <v/>
      </c>
      <c r="M617" s="7">
        <f>IF($A617="","",L617-F617)</f>
        <v/>
      </c>
      <c r="N617" s="7" t="n"/>
      <c r="Q617" s="11" t="n"/>
      <c r="S617">
        <f>IF($A617="","",IF($W617=1,Settings!$C$6,Settings!$C$7)*1)</f>
        <v/>
      </c>
      <c r="U617">
        <f>IF($A617="","",IF(COUNTIF($A$2:$A617,$A617)=1,1,0))</f>
        <v/>
      </c>
      <c r="V617">
        <f>IF($U617=1,SUMPRODUCT(--($X$2:$X$1001&lt;$X617))+1,"")</f>
        <v/>
      </c>
      <c r="W617">
        <f>IF($A617="","",IF(OR($T617=TRUE(),$T617="TRUE"),1,0))</f>
        <v/>
      </c>
      <c r="X617">
        <f>IF($U617=1,IFERROR(IF(VALUE($A617)&lt;100000000,VALUE($A617),1000000000),IFERROR(IF(VALUE(MID($A617,2,20))&lt;100000000,VALUE(MID($A617,2,20)),1000000000),1000000000))+ROW()/100000,"")</f>
        <v/>
      </c>
    </row>
    <row r="618">
      <c r="F618" s="7">
        <f>IF($A618="","",E618*N618/100)</f>
        <v/>
      </c>
      <c r="J618" s="7" t="n"/>
      <c r="K618" s="7">
        <f>IF($A618="","",S618*N618)</f>
        <v/>
      </c>
      <c r="L618" s="7">
        <f>IF($A618="","",N618-K618)</f>
        <v/>
      </c>
      <c r="M618" s="7">
        <f>IF($A618="","",L618-F618)</f>
        <v/>
      </c>
      <c r="N618" s="7" t="n"/>
      <c r="Q618" s="11" t="n"/>
      <c r="S618">
        <f>IF($A618="","",IF($W618=1,Settings!$C$6,Settings!$C$7)*1)</f>
        <v/>
      </c>
      <c r="U618">
        <f>IF($A618="","",IF(COUNTIF($A$2:$A618,$A618)=1,1,0))</f>
        <v/>
      </c>
      <c r="V618">
        <f>IF($U618=1,SUMPRODUCT(--($X$2:$X$1001&lt;$X618))+1,"")</f>
        <v/>
      </c>
      <c r="W618">
        <f>IF($A618="","",IF(OR($T618=TRUE(),$T618="TRUE"),1,0))</f>
        <v/>
      </c>
      <c r="X618">
        <f>IF($U618=1,IFERROR(IF(VALUE($A618)&lt;100000000,VALUE($A618),1000000000),IFERROR(IF(VALUE(MID($A618,2,20))&lt;100000000,VALUE(MID($A618,2,20)),1000000000),1000000000))+ROW()/100000,"")</f>
        <v/>
      </c>
    </row>
    <row r="619">
      <c r="F619" s="7">
        <f>IF($A619="","",E619*N619/100)</f>
        <v/>
      </c>
      <c r="J619" s="7" t="n"/>
      <c r="K619" s="7">
        <f>IF($A619="","",S619*N619)</f>
        <v/>
      </c>
      <c r="L619" s="7">
        <f>IF($A619="","",N619-K619)</f>
        <v/>
      </c>
      <c r="M619" s="7">
        <f>IF($A619="","",L619-F619)</f>
        <v/>
      </c>
      <c r="N619" s="7" t="n"/>
      <c r="Q619" s="11" t="n"/>
      <c r="S619">
        <f>IF($A619="","",IF($W619=1,Settings!$C$6,Settings!$C$7)*1)</f>
        <v/>
      </c>
      <c r="U619">
        <f>IF($A619="","",IF(COUNTIF($A$2:$A619,$A619)=1,1,0))</f>
        <v/>
      </c>
      <c r="V619">
        <f>IF($U619=1,SUMPRODUCT(--($X$2:$X$1001&lt;$X619))+1,"")</f>
        <v/>
      </c>
      <c r="W619">
        <f>IF($A619="","",IF(OR($T619=TRUE(),$T619="TRUE"),1,0))</f>
        <v/>
      </c>
      <c r="X619">
        <f>IF($U619=1,IFERROR(IF(VALUE($A619)&lt;100000000,VALUE($A619),1000000000),IFERROR(IF(VALUE(MID($A619,2,20))&lt;100000000,VALUE(MID($A619,2,20)),1000000000),1000000000))+ROW()/100000,"")</f>
        <v/>
      </c>
    </row>
    <row r="620">
      <c r="F620" s="7">
        <f>IF($A620="","",E620*N620/100)</f>
        <v/>
      </c>
      <c r="J620" s="7" t="n"/>
      <c r="K620" s="7">
        <f>IF($A620="","",S620*N620)</f>
        <v/>
      </c>
      <c r="L620" s="7">
        <f>IF($A620="","",N620-K620)</f>
        <v/>
      </c>
      <c r="M620" s="7">
        <f>IF($A620="","",L620-F620)</f>
        <v/>
      </c>
      <c r="N620" s="7" t="n"/>
      <c r="Q620" s="11" t="n"/>
      <c r="S620">
        <f>IF($A620="","",IF($W620=1,Settings!$C$6,Settings!$C$7)*1)</f>
        <v/>
      </c>
      <c r="U620">
        <f>IF($A620="","",IF(COUNTIF($A$2:$A620,$A620)=1,1,0))</f>
        <v/>
      </c>
      <c r="V620">
        <f>IF($U620=1,SUMPRODUCT(--($X$2:$X$1001&lt;$X620))+1,"")</f>
        <v/>
      </c>
      <c r="W620">
        <f>IF($A620="","",IF(OR($T620=TRUE(),$T620="TRUE"),1,0))</f>
        <v/>
      </c>
      <c r="X620">
        <f>IF($U620=1,IFERROR(IF(VALUE($A620)&lt;100000000,VALUE($A620),1000000000),IFERROR(IF(VALUE(MID($A620,2,20))&lt;100000000,VALUE(MID($A620,2,20)),1000000000),1000000000))+ROW()/100000,"")</f>
        <v/>
      </c>
    </row>
    <row r="621">
      <c r="F621" s="7">
        <f>IF($A621="","",E621*N621/100)</f>
        <v/>
      </c>
      <c r="J621" s="7" t="n"/>
      <c r="K621" s="7">
        <f>IF($A621="","",S621*N621)</f>
        <v/>
      </c>
      <c r="L621" s="7">
        <f>IF($A621="","",N621-K621)</f>
        <v/>
      </c>
      <c r="M621" s="7">
        <f>IF($A621="","",L621-F621)</f>
        <v/>
      </c>
      <c r="N621" s="7" t="n"/>
      <c r="Q621" s="11" t="n"/>
      <c r="S621">
        <f>IF($A621="","",IF($W621=1,Settings!$C$6,Settings!$C$7)*1)</f>
        <v/>
      </c>
      <c r="U621">
        <f>IF($A621="","",IF(COUNTIF($A$2:$A621,$A621)=1,1,0))</f>
        <v/>
      </c>
      <c r="V621">
        <f>IF($U621=1,SUMPRODUCT(--($X$2:$X$1001&lt;$X621))+1,"")</f>
        <v/>
      </c>
      <c r="W621">
        <f>IF($A621="","",IF(OR($T621=TRUE(),$T621="TRUE"),1,0))</f>
        <v/>
      </c>
      <c r="X621">
        <f>IF($U621=1,IFERROR(IF(VALUE($A621)&lt;100000000,VALUE($A621),1000000000),IFERROR(IF(VALUE(MID($A621,2,20))&lt;100000000,VALUE(MID($A621,2,20)),1000000000),1000000000))+ROW()/100000,"")</f>
        <v/>
      </c>
    </row>
    <row r="622">
      <c r="F622" s="7">
        <f>IF($A622="","",E622*N622/100)</f>
        <v/>
      </c>
      <c r="J622" s="7" t="n"/>
      <c r="K622" s="7">
        <f>IF($A622="","",S622*N622)</f>
        <v/>
      </c>
      <c r="L622" s="7">
        <f>IF($A622="","",N622-K622)</f>
        <v/>
      </c>
      <c r="M622" s="7">
        <f>IF($A622="","",L622-F622)</f>
        <v/>
      </c>
      <c r="N622" s="7" t="n"/>
      <c r="Q622" s="11" t="n"/>
      <c r="S622">
        <f>IF($A622="","",IF($W622=1,Settings!$C$6,Settings!$C$7)*1)</f>
        <v/>
      </c>
      <c r="U622">
        <f>IF($A622="","",IF(COUNTIF($A$2:$A622,$A622)=1,1,0))</f>
        <v/>
      </c>
      <c r="V622">
        <f>IF($U622=1,SUMPRODUCT(--($X$2:$X$1001&lt;$X622))+1,"")</f>
        <v/>
      </c>
      <c r="W622">
        <f>IF($A622="","",IF(OR($T622=TRUE(),$T622="TRUE"),1,0))</f>
        <v/>
      </c>
      <c r="X622">
        <f>IF($U622=1,IFERROR(IF(VALUE($A622)&lt;100000000,VALUE($A622),1000000000),IFERROR(IF(VALUE(MID($A622,2,20))&lt;100000000,VALUE(MID($A622,2,20)),1000000000),1000000000))+ROW()/100000,"")</f>
        <v/>
      </c>
    </row>
    <row r="623">
      <c r="F623" s="7">
        <f>IF($A623="","",E623*N623/100)</f>
        <v/>
      </c>
      <c r="J623" s="7" t="n"/>
      <c r="K623" s="7">
        <f>IF($A623="","",S623*N623)</f>
        <v/>
      </c>
      <c r="L623" s="7">
        <f>IF($A623="","",N623-K623)</f>
        <v/>
      </c>
      <c r="M623" s="7">
        <f>IF($A623="","",L623-F623)</f>
        <v/>
      </c>
      <c r="N623" s="7" t="n"/>
      <c r="Q623" s="11" t="n"/>
      <c r="S623">
        <f>IF($A623="","",IF($W623=1,Settings!$C$6,Settings!$C$7)*1)</f>
        <v/>
      </c>
      <c r="U623">
        <f>IF($A623="","",IF(COUNTIF($A$2:$A623,$A623)=1,1,0))</f>
        <v/>
      </c>
      <c r="V623">
        <f>IF($U623=1,SUMPRODUCT(--($X$2:$X$1001&lt;$X623))+1,"")</f>
        <v/>
      </c>
      <c r="W623">
        <f>IF($A623="","",IF(OR($T623=TRUE(),$T623="TRUE"),1,0))</f>
        <v/>
      </c>
      <c r="X623">
        <f>IF($U623=1,IFERROR(IF(VALUE($A623)&lt;100000000,VALUE($A623),1000000000),IFERROR(IF(VALUE(MID($A623,2,20))&lt;100000000,VALUE(MID($A623,2,20)),1000000000),1000000000))+ROW()/100000,"")</f>
        <v/>
      </c>
    </row>
    <row r="624">
      <c r="F624" s="7">
        <f>IF($A624="","",E624*N624/100)</f>
        <v/>
      </c>
      <c r="J624" s="7" t="n"/>
      <c r="K624" s="7">
        <f>IF($A624="","",S624*N624)</f>
        <v/>
      </c>
      <c r="L624" s="7">
        <f>IF($A624="","",N624-K624)</f>
        <v/>
      </c>
      <c r="M624" s="7">
        <f>IF($A624="","",L624-F624)</f>
        <v/>
      </c>
      <c r="N624" s="7" t="n"/>
      <c r="Q624" s="11" t="n"/>
      <c r="S624">
        <f>IF($A624="","",IF($W624=1,Settings!$C$6,Settings!$C$7)*1)</f>
        <v/>
      </c>
      <c r="U624">
        <f>IF($A624="","",IF(COUNTIF($A$2:$A624,$A624)=1,1,0))</f>
        <v/>
      </c>
      <c r="V624">
        <f>IF($U624=1,SUMPRODUCT(--($X$2:$X$1001&lt;$X624))+1,"")</f>
        <v/>
      </c>
      <c r="W624">
        <f>IF($A624="","",IF(OR($T624=TRUE(),$T624="TRUE"),1,0))</f>
        <v/>
      </c>
      <c r="X624">
        <f>IF($U624=1,IFERROR(IF(VALUE($A624)&lt;100000000,VALUE($A624),1000000000),IFERROR(IF(VALUE(MID($A624,2,20))&lt;100000000,VALUE(MID($A624,2,20)),1000000000),1000000000))+ROW()/100000,"")</f>
        <v/>
      </c>
    </row>
    <row r="625">
      <c r="F625" s="7">
        <f>IF($A625="","",E625*N625/100)</f>
        <v/>
      </c>
      <c r="J625" s="7" t="n"/>
      <c r="K625" s="7">
        <f>IF($A625="","",S625*N625)</f>
        <v/>
      </c>
      <c r="L625" s="7">
        <f>IF($A625="","",N625-K625)</f>
        <v/>
      </c>
      <c r="M625" s="7">
        <f>IF($A625="","",L625-F625)</f>
        <v/>
      </c>
      <c r="N625" s="7" t="n"/>
      <c r="Q625" s="11" t="n"/>
      <c r="S625">
        <f>IF($A625="","",IF($W625=1,Settings!$C$6,Settings!$C$7)*1)</f>
        <v/>
      </c>
      <c r="U625">
        <f>IF($A625="","",IF(COUNTIF($A$2:$A625,$A625)=1,1,0))</f>
        <v/>
      </c>
      <c r="V625">
        <f>IF($U625=1,SUMPRODUCT(--($X$2:$X$1001&lt;$X625))+1,"")</f>
        <v/>
      </c>
      <c r="W625">
        <f>IF($A625="","",IF(OR($T625=TRUE(),$T625="TRUE"),1,0))</f>
        <v/>
      </c>
      <c r="X625">
        <f>IF($U625=1,IFERROR(IF(VALUE($A625)&lt;100000000,VALUE($A625),1000000000),IFERROR(IF(VALUE(MID($A625,2,20))&lt;100000000,VALUE(MID($A625,2,20)),1000000000),1000000000))+ROW()/100000,"")</f>
        <v/>
      </c>
    </row>
    <row r="626">
      <c r="F626" s="7">
        <f>IF($A626="","",E626*N626/100)</f>
        <v/>
      </c>
      <c r="J626" s="7" t="n"/>
      <c r="K626" s="7">
        <f>IF($A626="","",S626*N626)</f>
        <v/>
      </c>
      <c r="L626" s="7">
        <f>IF($A626="","",N626-K626)</f>
        <v/>
      </c>
      <c r="M626" s="7">
        <f>IF($A626="","",L626-F626)</f>
        <v/>
      </c>
      <c r="N626" s="7" t="n"/>
      <c r="Q626" s="11" t="n"/>
      <c r="S626">
        <f>IF($A626="","",IF($W626=1,Settings!$C$6,Settings!$C$7)*1)</f>
        <v/>
      </c>
      <c r="U626">
        <f>IF($A626="","",IF(COUNTIF($A$2:$A626,$A626)=1,1,0))</f>
        <v/>
      </c>
      <c r="V626">
        <f>IF($U626=1,SUMPRODUCT(--($X$2:$X$1001&lt;$X626))+1,"")</f>
        <v/>
      </c>
      <c r="W626">
        <f>IF($A626="","",IF(OR($T626=TRUE(),$T626="TRUE"),1,0))</f>
        <v/>
      </c>
      <c r="X626">
        <f>IF($U626=1,IFERROR(IF(VALUE($A626)&lt;100000000,VALUE($A626),1000000000),IFERROR(IF(VALUE(MID($A626,2,20))&lt;100000000,VALUE(MID($A626,2,20)),1000000000),1000000000))+ROW()/100000,"")</f>
        <v/>
      </c>
    </row>
    <row r="627">
      <c r="F627" s="7">
        <f>IF($A627="","",E627*N627/100)</f>
        <v/>
      </c>
      <c r="J627" s="7" t="n"/>
      <c r="K627" s="7">
        <f>IF($A627="","",S627*N627)</f>
        <v/>
      </c>
      <c r="L627" s="7">
        <f>IF($A627="","",N627-K627)</f>
        <v/>
      </c>
      <c r="M627" s="7">
        <f>IF($A627="","",L627-F627)</f>
        <v/>
      </c>
      <c r="N627" s="7" t="n"/>
      <c r="Q627" s="11" t="n"/>
      <c r="S627">
        <f>IF($A627="","",IF($W627=1,Settings!$C$6,Settings!$C$7)*1)</f>
        <v/>
      </c>
      <c r="U627">
        <f>IF($A627="","",IF(COUNTIF($A$2:$A627,$A627)=1,1,0))</f>
        <v/>
      </c>
      <c r="V627">
        <f>IF($U627=1,SUMPRODUCT(--($X$2:$X$1001&lt;$X627))+1,"")</f>
        <v/>
      </c>
      <c r="W627">
        <f>IF($A627="","",IF(OR($T627=TRUE(),$T627="TRUE"),1,0))</f>
        <v/>
      </c>
      <c r="X627">
        <f>IF($U627=1,IFERROR(IF(VALUE($A627)&lt;100000000,VALUE($A627),1000000000),IFERROR(IF(VALUE(MID($A627,2,20))&lt;100000000,VALUE(MID($A627,2,20)),1000000000),1000000000))+ROW()/100000,"")</f>
        <v/>
      </c>
    </row>
    <row r="628">
      <c r="F628" s="7">
        <f>IF($A628="","",E628*N628/100)</f>
        <v/>
      </c>
      <c r="J628" s="7" t="n"/>
      <c r="K628" s="7">
        <f>IF($A628="","",S628*N628)</f>
        <v/>
      </c>
      <c r="L628" s="7">
        <f>IF($A628="","",N628-K628)</f>
        <v/>
      </c>
      <c r="M628" s="7">
        <f>IF($A628="","",L628-F628)</f>
        <v/>
      </c>
      <c r="N628" s="7" t="n"/>
      <c r="Q628" s="11" t="n"/>
      <c r="S628">
        <f>IF($A628="","",IF($W628=1,Settings!$C$6,Settings!$C$7)*1)</f>
        <v/>
      </c>
      <c r="U628">
        <f>IF($A628="","",IF(COUNTIF($A$2:$A628,$A628)=1,1,0))</f>
        <v/>
      </c>
      <c r="V628">
        <f>IF($U628=1,SUMPRODUCT(--($X$2:$X$1001&lt;$X628))+1,"")</f>
        <v/>
      </c>
      <c r="W628">
        <f>IF($A628="","",IF(OR($T628=TRUE(),$T628="TRUE"),1,0))</f>
        <v/>
      </c>
      <c r="X628">
        <f>IF($U628=1,IFERROR(IF(VALUE($A628)&lt;100000000,VALUE($A628),1000000000),IFERROR(IF(VALUE(MID($A628,2,20))&lt;100000000,VALUE(MID($A628,2,20)),1000000000),1000000000))+ROW()/100000,"")</f>
        <v/>
      </c>
    </row>
    <row r="629">
      <c r="F629" s="7">
        <f>IF($A629="","",E629*N629/100)</f>
        <v/>
      </c>
      <c r="J629" s="7" t="n"/>
      <c r="K629" s="7">
        <f>IF($A629="","",S629*N629)</f>
        <v/>
      </c>
      <c r="L629" s="7">
        <f>IF($A629="","",N629-K629)</f>
        <v/>
      </c>
      <c r="M629" s="7">
        <f>IF($A629="","",L629-F629)</f>
        <v/>
      </c>
      <c r="N629" s="7" t="n"/>
      <c r="Q629" s="11" t="n"/>
      <c r="S629">
        <f>IF($A629="","",IF($W629=1,Settings!$C$6,Settings!$C$7)*1)</f>
        <v/>
      </c>
      <c r="U629">
        <f>IF($A629="","",IF(COUNTIF($A$2:$A629,$A629)=1,1,0))</f>
        <v/>
      </c>
      <c r="V629">
        <f>IF($U629=1,SUMPRODUCT(--($X$2:$X$1001&lt;$X629))+1,"")</f>
        <v/>
      </c>
      <c r="W629">
        <f>IF($A629="","",IF(OR($T629=TRUE(),$T629="TRUE"),1,0))</f>
        <v/>
      </c>
      <c r="X629">
        <f>IF($U629=1,IFERROR(IF(VALUE($A629)&lt;100000000,VALUE($A629),1000000000),IFERROR(IF(VALUE(MID($A629,2,20))&lt;100000000,VALUE(MID($A629,2,20)),1000000000),1000000000))+ROW()/100000,"")</f>
        <v/>
      </c>
    </row>
    <row r="630">
      <c r="F630" s="7">
        <f>IF($A630="","",E630*N630/100)</f>
        <v/>
      </c>
      <c r="J630" s="7" t="n"/>
      <c r="K630" s="7">
        <f>IF($A630="","",S630*N630)</f>
        <v/>
      </c>
      <c r="L630" s="7">
        <f>IF($A630="","",N630-K630)</f>
        <v/>
      </c>
      <c r="M630" s="7">
        <f>IF($A630="","",L630-F630)</f>
        <v/>
      </c>
      <c r="N630" s="7" t="n"/>
      <c r="Q630" s="11" t="n"/>
      <c r="S630">
        <f>IF($A630="","",IF($W630=1,Settings!$C$6,Settings!$C$7)*1)</f>
        <v/>
      </c>
      <c r="U630">
        <f>IF($A630="","",IF(COUNTIF($A$2:$A630,$A630)=1,1,0))</f>
        <v/>
      </c>
      <c r="V630">
        <f>IF($U630=1,SUMPRODUCT(--($X$2:$X$1001&lt;$X630))+1,"")</f>
        <v/>
      </c>
      <c r="W630">
        <f>IF($A630="","",IF(OR($T630=TRUE(),$T630="TRUE"),1,0))</f>
        <v/>
      </c>
      <c r="X630">
        <f>IF($U630=1,IFERROR(IF(VALUE($A630)&lt;100000000,VALUE($A630),1000000000),IFERROR(IF(VALUE(MID($A630,2,20))&lt;100000000,VALUE(MID($A630,2,20)),1000000000),1000000000))+ROW()/100000,"")</f>
        <v/>
      </c>
    </row>
    <row r="631">
      <c r="F631" s="7">
        <f>IF($A631="","",E631*N631/100)</f>
        <v/>
      </c>
      <c r="J631" s="7" t="n"/>
      <c r="K631" s="7">
        <f>IF($A631="","",S631*N631)</f>
        <v/>
      </c>
      <c r="L631" s="7">
        <f>IF($A631="","",N631-K631)</f>
        <v/>
      </c>
      <c r="M631" s="7">
        <f>IF($A631="","",L631-F631)</f>
        <v/>
      </c>
      <c r="N631" s="7" t="n"/>
      <c r="Q631" s="11" t="n"/>
      <c r="S631">
        <f>IF($A631="","",IF($W631=1,Settings!$C$6,Settings!$C$7)*1)</f>
        <v/>
      </c>
      <c r="U631">
        <f>IF($A631="","",IF(COUNTIF($A$2:$A631,$A631)=1,1,0))</f>
        <v/>
      </c>
      <c r="V631">
        <f>IF($U631=1,SUMPRODUCT(--($X$2:$X$1001&lt;$X631))+1,"")</f>
        <v/>
      </c>
      <c r="W631">
        <f>IF($A631="","",IF(OR($T631=TRUE(),$T631="TRUE"),1,0))</f>
        <v/>
      </c>
      <c r="X631">
        <f>IF($U631=1,IFERROR(IF(VALUE($A631)&lt;100000000,VALUE($A631),1000000000),IFERROR(IF(VALUE(MID($A631,2,20))&lt;100000000,VALUE(MID($A631,2,20)),1000000000),1000000000))+ROW()/100000,"")</f>
        <v/>
      </c>
    </row>
    <row r="632">
      <c r="F632" s="7">
        <f>IF($A632="","",E632*N632/100)</f>
        <v/>
      </c>
      <c r="J632" s="7" t="n"/>
      <c r="K632" s="7">
        <f>IF($A632="","",S632*N632)</f>
        <v/>
      </c>
      <c r="L632" s="7">
        <f>IF($A632="","",N632-K632)</f>
        <v/>
      </c>
      <c r="M632" s="7">
        <f>IF($A632="","",L632-F632)</f>
        <v/>
      </c>
      <c r="N632" s="7" t="n"/>
      <c r="Q632" s="11" t="n"/>
      <c r="S632">
        <f>IF($A632="","",IF($W632=1,Settings!$C$6,Settings!$C$7)*1)</f>
        <v/>
      </c>
      <c r="U632">
        <f>IF($A632="","",IF(COUNTIF($A$2:$A632,$A632)=1,1,0))</f>
        <v/>
      </c>
      <c r="V632">
        <f>IF($U632=1,SUMPRODUCT(--($X$2:$X$1001&lt;$X632))+1,"")</f>
        <v/>
      </c>
      <c r="W632">
        <f>IF($A632="","",IF(OR($T632=TRUE(),$T632="TRUE"),1,0))</f>
        <v/>
      </c>
      <c r="X632">
        <f>IF($U632=1,IFERROR(IF(VALUE($A632)&lt;100000000,VALUE($A632),1000000000),IFERROR(IF(VALUE(MID($A632,2,20))&lt;100000000,VALUE(MID($A632,2,20)),1000000000),1000000000))+ROW()/100000,"")</f>
        <v/>
      </c>
    </row>
    <row r="633">
      <c r="F633" s="7">
        <f>IF($A633="","",E633*N633/100)</f>
        <v/>
      </c>
      <c r="J633" s="7" t="n"/>
      <c r="K633" s="7">
        <f>IF($A633="","",S633*N633)</f>
        <v/>
      </c>
      <c r="L633" s="7">
        <f>IF($A633="","",N633-K633)</f>
        <v/>
      </c>
      <c r="M633" s="7">
        <f>IF($A633="","",L633-F633)</f>
        <v/>
      </c>
      <c r="N633" s="7" t="n"/>
      <c r="Q633" s="11" t="n"/>
      <c r="S633">
        <f>IF($A633="","",IF($W633=1,Settings!$C$6,Settings!$C$7)*1)</f>
        <v/>
      </c>
      <c r="U633">
        <f>IF($A633="","",IF(COUNTIF($A$2:$A633,$A633)=1,1,0))</f>
        <v/>
      </c>
      <c r="V633">
        <f>IF($U633=1,SUMPRODUCT(--($X$2:$X$1001&lt;$X633))+1,"")</f>
        <v/>
      </c>
      <c r="W633">
        <f>IF($A633="","",IF(OR($T633=TRUE(),$T633="TRUE"),1,0))</f>
        <v/>
      </c>
      <c r="X633">
        <f>IF($U633=1,IFERROR(IF(VALUE($A633)&lt;100000000,VALUE($A633),1000000000),IFERROR(IF(VALUE(MID($A633,2,20))&lt;100000000,VALUE(MID($A633,2,20)),1000000000),1000000000))+ROW()/100000,"")</f>
        <v/>
      </c>
    </row>
    <row r="634">
      <c r="F634" s="7">
        <f>IF($A634="","",E634*N634/100)</f>
        <v/>
      </c>
      <c r="J634" s="7" t="n"/>
      <c r="K634" s="7">
        <f>IF($A634="","",S634*N634)</f>
        <v/>
      </c>
      <c r="L634" s="7">
        <f>IF($A634="","",N634-K634)</f>
        <v/>
      </c>
      <c r="M634" s="7">
        <f>IF($A634="","",L634-F634)</f>
        <v/>
      </c>
      <c r="N634" s="7" t="n"/>
      <c r="Q634" s="11" t="n"/>
      <c r="S634">
        <f>IF($A634="","",IF($W634=1,Settings!$C$6,Settings!$C$7)*1)</f>
        <v/>
      </c>
      <c r="U634">
        <f>IF($A634="","",IF(COUNTIF($A$2:$A634,$A634)=1,1,0))</f>
        <v/>
      </c>
      <c r="V634">
        <f>IF($U634=1,SUMPRODUCT(--($X$2:$X$1001&lt;$X634))+1,"")</f>
        <v/>
      </c>
      <c r="W634">
        <f>IF($A634="","",IF(OR($T634=TRUE(),$T634="TRUE"),1,0))</f>
        <v/>
      </c>
      <c r="X634">
        <f>IF($U634=1,IFERROR(IF(VALUE($A634)&lt;100000000,VALUE($A634),1000000000),IFERROR(IF(VALUE(MID($A634,2,20))&lt;100000000,VALUE(MID($A634,2,20)),1000000000),1000000000))+ROW()/100000,"")</f>
        <v/>
      </c>
    </row>
    <row r="635">
      <c r="F635" s="7">
        <f>IF($A635="","",E635*N635/100)</f>
        <v/>
      </c>
      <c r="J635" s="7" t="n"/>
      <c r="K635" s="7">
        <f>IF($A635="","",S635*N635)</f>
        <v/>
      </c>
      <c r="L635" s="7">
        <f>IF($A635="","",N635-K635)</f>
        <v/>
      </c>
      <c r="M635" s="7">
        <f>IF($A635="","",L635-F635)</f>
        <v/>
      </c>
      <c r="N635" s="7" t="n"/>
      <c r="Q635" s="11" t="n"/>
      <c r="S635">
        <f>IF($A635="","",IF($W635=1,Settings!$C$6,Settings!$C$7)*1)</f>
        <v/>
      </c>
      <c r="U635">
        <f>IF($A635="","",IF(COUNTIF($A$2:$A635,$A635)=1,1,0))</f>
        <v/>
      </c>
      <c r="V635">
        <f>IF($U635=1,SUMPRODUCT(--($X$2:$X$1001&lt;$X635))+1,"")</f>
        <v/>
      </c>
      <c r="W635">
        <f>IF($A635="","",IF(OR($T635=TRUE(),$T635="TRUE"),1,0))</f>
        <v/>
      </c>
      <c r="X635">
        <f>IF($U635=1,IFERROR(IF(VALUE($A635)&lt;100000000,VALUE($A635),1000000000),IFERROR(IF(VALUE(MID($A635,2,20))&lt;100000000,VALUE(MID($A635,2,20)),1000000000),1000000000))+ROW()/100000,"")</f>
        <v/>
      </c>
    </row>
    <row r="636">
      <c r="F636" s="7">
        <f>IF($A636="","",E636*N636/100)</f>
        <v/>
      </c>
      <c r="J636" s="7" t="n"/>
      <c r="K636" s="7">
        <f>IF($A636="","",S636*N636)</f>
        <v/>
      </c>
      <c r="L636" s="7">
        <f>IF($A636="","",N636-K636)</f>
        <v/>
      </c>
      <c r="M636" s="7">
        <f>IF($A636="","",L636-F636)</f>
        <v/>
      </c>
      <c r="N636" s="7" t="n"/>
      <c r="Q636" s="11" t="n"/>
      <c r="S636">
        <f>IF($A636="","",IF($W636=1,Settings!$C$6,Settings!$C$7)*1)</f>
        <v/>
      </c>
      <c r="U636">
        <f>IF($A636="","",IF(COUNTIF($A$2:$A636,$A636)=1,1,0))</f>
        <v/>
      </c>
      <c r="V636">
        <f>IF($U636=1,SUMPRODUCT(--($X$2:$X$1001&lt;$X636))+1,"")</f>
        <v/>
      </c>
      <c r="W636">
        <f>IF($A636="","",IF(OR($T636=TRUE(),$T636="TRUE"),1,0))</f>
        <v/>
      </c>
      <c r="X636">
        <f>IF($U636=1,IFERROR(IF(VALUE($A636)&lt;100000000,VALUE($A636),1000000000),IFERROR(IF(VALUE(MID($A636,2,20))&lt;100000000,VALUE(MID($A636,2,20)),1000000000),1000000000))+ROW()/100000,"")</f>
        <v/>
      </c>
    </row>
    <row r="637">
      <c r="F637" s="7">
        <f>IF($A637="","",E637*N637/100)</f>
        <v/>
      </c>
      <c r="J637" s="7" t="n"/>
      <c r="K637" s="7">
        <f>IF($A637="","",S637*N637)</f>
        <v/>
      </c>
      <c r="L637" s="7">
        <f>IF($A637="","",N637-K637)</f>
        <v/>
      </c>
      <c r="M637" s="7">
        <f>IF($A637="","",L637-F637)</f>
        <v/>
      </c>
      <c r="N637" s="7" t="n"/>
      <c r="Q637" s="11" t="n"/>
      <c r="S637">
        <f>IF($A637="","",IF($W637=1,Settings!$C$6,Settings!$C$7)*1)</f>
        <v/>
      </c>
      <c r="U637">
        <f>IF($A637="","",IF(COUNTIF($A$2:$A637,$A637)=1,1,0))</f>
        <v/>
      </c>
      <c r="V637">
        <f>IF($U637=1,SUMPRODUCT(--($X$2:$X$1001&lt;$X637))+1,"")</f>
        <v/>
      </c>
      <c r="W637">
        <f>IF($A637="","",IF(OR($T637=TRUE(),$T637="TRUE"),1,0))</f>
        <v/>
      </c>
      <c r="X637">
        <f>IF($U637=1,IFERROR(IF(VALUE($A637)&lt;100000000,VALUE($A637),1000000000),IFERROR(IF(VALUE(MID($A637,2,20))&lt;100000000,VALUE(MID($A637,2,20)),1000000000),1000000000))+ROW()/100000,"")</f>
        <v/>
      </c>
    </row>
    <row r="638">
      <c r="F638" s="7">
        <f>IF($A638="","",E638*N638/100)</f>
        <v/>
      </c>
      <c r="J638" s="7" t="n"/>
      <c r="K638" s="7">
        <f>IF($A638="","",S638*N638)</f>
        <v/>
      </c>
      <c r="L638" s="7">
        <f>IF($A638="","",N638-K638)</f>
        <v/>
      </c>
      <c r="M638" s="7">
        <f>IF($A638="","",L638-F638)</f>
        <v/>
      </c>
      <c r="N638" s="7" t="n"/>
      <c r="Q638" s="11" t="n"/>
      <c r="S638">
        <f>IF($A638="","",IF($W638=1,Settings!$C$6,Settings!$C$7)*1)</f>
        <v/>
      </c>
      <c r="U638">
        <f>IF($A638="","",IF(COUNTIF($A$2:$A638,$A638)=1,1,0))</f>
        <v/>
      </c>
      <c r="V638">
        <f>IF($U638=1,SUMPRODUCT(--($X$2:$X$1001&lt;$X638))+1,"")</f>
        <v/>
      </c>
      <c r="W638">
        <f>IF($A638="","",IF(OR($T638=TRUE(),$T638="TRUE"),1,0))</f>
        <v/>
      </c>
      <c r="X638">
        <f>IF($U638=1,IFERROR(IF(VALUE($A638)&lt;100000000,VALUE($A638),1000000000),IFERROR(IF(VALUE(MID($A638,2,20))&lt;100000000,VALUE(MID($A638,2,20)),1000000000),1000000000))+ROW()/100000,"")</f>
        <v/>
      </c>
    </row>
    <row r="639">
      <c r="F639" s="7">
        <f>IF($A639="","",E639*N639/100)</f>
        <v/>
      </c>
      <c r="J639" s="7" t="n"/>
      <c r="K639" s="7">
        <f>IF($A639="","",S639*N639)</f>
        <v/>
      </c>
      <c r="L639" s="7">
        <f>IF($A639="","",N639-K639)</f>
        <v/>
      </c>
      <c r="M639" s="7">
        <f>IF($A639="","",L639-F639)</f>
        <v/>
      </c>
      <c r="N639" s="7" t="n"/>
      <c r="Q639" s="11" t="n"/>
      <c r="S639">
        <f>IF($A639="","",IF($W639=1,Settings!$C$6,Settings!$C$7)*1)</f>
        <v/>
      </c>
      <c r="U639">
        <f>IF($A639="","",IF(COUNTIF($A$2:$A639,$A639)=1,1,0))</f>
        <v/>
      </c>
      <c r="V639">
        <f>IF($U639=1,SUMPRODUCT(--($X$2:$X$1001&lt;$X639))+1,"")</f>
        <v/>
      </c>
      <c r="W639">
        <f>IF($A639="","",IF(OR($T639=TRUE(),$T639="TRUE"),1,0))</f>
        <v/>
      </c>
      <c r="X639">
        <f>IF($U639=1,IFERROR(IF(VALUE($A639)&lt;100000000,VALUE($A639),1000000000),IFERROR(IF(VALUE(MID($A639,2,20))&lt;100000000,VALUE(MID($A639,2,20)),1000000000),1000000000))+ROW()/100000,"")</f>
        <v/>
      </c>
    </row>
    <row r="640">
      <c r="F640" s="7">
        <f>IF($A640="","",E640*N640/100)</f>
        <v/>
      </c>
      <c r="J640" s="7" t="n"/>
      <c r="K640" s="7">
        <f>IF($A640="","",S640*N640)</f>
        <v/>
      </c>
      <c r="L640" s="7">
        <f>IF($A640="","",N640-K640)</f>
        <v/>
      </c>
      <c r="M640" s="7">
        <f>IF($A640="","",L640-F640)</f>
        <v/>
      </c>
      <c r="N640" s="7" t="n"/>
      <c r="Q640" s="11" t="n"/>
      <c r="S640">
        <f>IF($A640="","",IF($W640=1,Settings!$C$6,Settings!$C$7)*1)</f>
        <v/>
      </c>
      <c r="U640">
        <f>IF($A640="","",IF(COUNTIF($A$2:$A640,$A640)=1,1,0))</f>
        <v/>
      </c>
      <c r="V640">
        <f>IF($U640=1,SUMPRODUCT(--($X$2:$X$1001&lt;$X640))+1,"")</f>
        <v/>
      </c>
      <c r="W640">
        <f>IF($A640="","",IF(OR($T640=TRUE(),$T640="TRUE"),1,0))</f>
        <v/>
      </c>
      <c r="X640">
        <f>IF($U640=1,IFERROR(IF(VALUE($A640)&lt;100000000,VALUE($A640),1000000000),IFERROR(IF(VALUE(MID($A640,2,20))&lt;100000000,VALUE(MID($A640,2,20)),1000000000),1000000000))+ROW()/100000,"")</f>
        <v/>
      </c>
    </row>
    <row r="641">
      <c r="F641" s="7">
        <f>IF($A641="","",E641*N641/100)</f>
        <v/>
      </c>
      <c r="J641" s="7" t="n"/>
      <c r="K641" s="7">
        <f>IF($A641="","",S641*N641)</f>
        <v/>
      </c>
      <c r="L641" s="7">
        <f>IF($A641="","",N641-K641)</f>
        <v/>
      </c>
      <c r="M641" s="7">
        <f>IF($A641="","",L641-F641)</f>
        <v/>
      </c>
      <c r="N641" s="7" t="n"/>
      <c r="Q641" s="11" t="n"/>
      <c r="S641">
        <f>IF($A641="","",IF($W641=1,Settings!$C$6,Settings!$C$7)*1)</f>
        <v/>
      </c>
      <c r="U641">
        <f>IF($A641="","",IF(COUNTIF($A$2:$A641,$A641)=1,1,0))</f>
        <v/>
      </c>
      <c r="V641">
        <f>IF($U641=1,SUMPRODUCT(--($X$2:$X$1001&lt;$X641))+1,"")</f>
        <v/>
      </c>
      <c r="W641">
        <f>IF($A641="","",IF(OR($T641=TRUE(),$T641="TRUE"),1,0))</f>
        <v/>
      </c>
      <c r="X641">
        <f>IF($U641=1,IFERROR(IF(VALUE($A641)&lt;100000000,VALUE($A641),1000000000),IFERROR(IF(VALUE(MID($A641,2,20))&lt;100000000,VALUE(MID($A641,2,20)),1000000000),1000000000))+ROW()/100000,"")</f>
        <v/>
      </c>
    </row>
    <row r="642">
      <c r="F642" s="7">
        <f>IF($A642="","",E642*N642/100)</f>
        <v/>
      </c>
      <c r="J642" s="7" t="n"/>
      <c r="K642" s="7">
        <f>IF($A642="","",S642*N642)</f>
        <v/>
      </c>
      <c r="L642" s="7">
        <f>IF($A642="","",N642-K642)</f>
        <v/>
      </c>
      <c r="M642" s="7">
        <f>IF($A642="","",L642-F642)</f>
        <v/>
      </c>
      <c r="N642" s="7" t="n"/>
      <c r="Q642" s="11" t="n"/>
      <c r="S642">
        <f>IF($A642="","",IF($W642=1,Settings!$C$6,Settings!$C$7)*1)</f>
        <v/>
      </c>
      <c r="U642">
        <f>IF($A642="","",IF(COUNTIF($A$2:$A642,$A642)=1,1,0))</f>
        <v/>
      </c>
      <c r="V642">
        <f>IF($U642=1,SUMPRODUCT(--($X$2:$X$1001&lt;$X642))+1,"")</f>
        <v/>
      </c>
      <c r="W642">
        <f>IF($A642="","",IF(OR($T642=TRUE(),$T642="TRUE"),1,0))</f>
        <v/>
      </c>
      <c r="X642">
        <f>IF($U642=1,IFERROR(IF(VALUE($A642)&lt;100000000,VALUE($A642),1000000000),IFERROR(IF(VALUE(MID($A642,2,20))&lt;100000000,VALUE(MID($A642,2,20)),1000000000),1000000000))+ROW()/100000,"")</f>
        <v/>
      </c>
    </row>
    <row r="643">
      <c r="F643" s="7">
        <f>IF($A643="","",E643*N643/100)</f>
        <v/>
      </c>
      <c r="J643" s="7" t="n"/>
      <c r="K643" s="7">
        <f>IF($A643="","",S643*N643)</f>
        <v/>
      </c>
      <c r="L643" s="7">
        <f>IF($A643="","",N643-K643)</f>
        <v/>
      </c>
      <c r="M643" s="7">
        <f>IF($A643="","",L643-F643)</f>
        <v/>
      </c>
      <c r="N643" s="7" t="n"/>
      <c r="Q643" s="11" t="n"/>
      <c r="S643">
        <f>IF($A643="","",IF($W643=1,Settings!$C$6,Settings!$C$7)*1)</f>
        <v/>
      </c>
      <c r="U643">
        <f>IF($A643="","",IF(COUNTIF($A$2:$A643,$A643)=1,1,0))</f>
        <v/>
      </c>
      <c r="V643">
        <f>IF($U643=1,SUMPRODUCT(--($X$2:$X$1001&lt;$X643))+1,"")</f>
        <v/>
      </c>
      <c r="W643">
        <f>IF($A643="","",IF(OR($T643=TRUE(),$T643="TRUE"),1,0))</f>
        <v/>
      </c>
      <c r="X643">
        <f>IF($U643=1,IFERROR(IF(VALUE($A643)&lt;100000000,VALUE($A643),1000000000),IFERROR(IF(VALUE(MID($A643,2,20))&lt;100000000,VALUE(MID($A643,2,20)),1000000000),1000000000))+ROW()/100000,"")</f>
        <v/>
      </c>
    </row>
    <row r="644">
      <c r="F644" s="7">
        <f>IF($A644="","",E644*N644/100)</f>
        <v/>
      </c>
      <c r="J644" s="7" t="n"/>
      <c r="K644" s="7">
        <f>IF($A644="","",S644*N644)</f>
        <v/>
      </c>
      <c r="L644" s="7">
        <f>IF($A644="","",N644-K644)</f>
        <v/>
      </c>
      <c r="M644" s="7">
        <f>IF($A644="","",L644-F644)</f>
        <v/>
      </c>
      <c r="N644" s="7" t="n"/>
      <c r="Q644" s="11" t="n"/>
      <c r="S644">
        <f>IF($A644="","",IF($W644=1,Settings!$C$6,Settings!$C$7)*1)</f>
        <v/>
      </c>
      <c r="U644">
        <f>IF($A644="","",IF(COUNTIF($A$2:$A644,$A644)=1,1,0))</f>
        <v/>
      </c>
      <c r="V644">
        <f>IF($U644=1,SUMPRODUCT(--($X$2:$X$1001&lt;$X644))+1,"")</f>
        <v/>
      </c>
      <c r="W644">
        <f>IF($A644="","",IF(OR($T644=TRUE(),$T644="TRUE"),1,0))</f>
        <v/>
      </c>
      <c r="X644">
        <f>IF($U644=1,IFERROR(IF(VALUE($A644)&lt;100000000,VALUE($A644),1000000000),IFERROR(IF(VALUE(MID($A644,2,20))&lt;100000000,VALUE(MID($A644,2,20)),1000000000),1000000000))+ROW()/100000,"")</f>
        <v/>
      </c>
    </row>
    <row r="645">
      <c r="F645" s="7">
        <f>IF($A645="","",E645*N645/100)</f>
        <v/>
      </c>
      <c r="J645" s="7" t="n"/>
      <c r="K645" s="7">
        <f>IF($A645="","",S645*N645)</f>
        <v/>
      </c>
      <c r="L645" s="7">
        <f>IF($A645="","",N645-K645)</f>
        <v/>
      </c>
      <c r="M645" s="7">
        <f>IF($A645="","",L645-F645)</f>
        <v/>
      </c>
      <c r="N645" s="7" t="n"/>
      <c r="Q645" s="11" t="n"/>
      <c r="S645">
        <f>IF($A645="","",IF($W645=1,Settings!$C$6,Settings!$C$7)*1)</f>
        <v/>
      </c>
      <c r="U645">
        <f>IF($A645="","",IF(COUNTIF($A$2:$A645,$A645)=1,1,0))</f>
        <v/>
      </c>
      <c r="V645">
        <f>IF($U645=1,SUMPRODUCT(--($X$2:$X$1001&lt;$X645))+1,"")</f>
        <v/>
      </c>
      <c r="W645">
        <f>IF($A645="","",IF(OR($T645=TRUE(),$T645="TRUE"),1,0))</f>
        <v/>
      </c>
      <c r="X645">
        <f>IF($U645=1,IFERROR(IF(VALUE($A645)&lt;100000000,VALUE($A645),1000000000),IFERROR(IF(VALUE(MID($A645,2,20))&lt;100000000,VALUE(MID($A645,2,20)),1000000000),1000000000))+ROW()/100000,"")</f>
        <v/>
      </c>
    </row>
    <row r="646">
      <c r="F646" s="7">
        <f>IF($A646="","",E646*N646/100)</f>
        <v/>
      </c>
      <c r="J646" s="7" t="n"/>
      <c r="K646" s="7">
        <f>IF($A646="","",S646*N646)</f>
        <v/>
      </c>
      <c r="L646" s="7">
        <f>IF($A646="","",N646-K646)</f>
        <v/>
      </c>
      <c r="M646" s="7">
        <f>IF($A646="","",L646-F646)</f>
        <v/>
      </c>
      <c r="N646" s="7" t="n"/>
      <c r="Q646" s="11" t="n"/>
      <c r="S646">
        <f>IF($A646="","",IF($W646=1,Settings!$C$6,Settings!$C$7)*1)</f>
        <v/>
      </c>
      <c r="U646">
        <f>IF($A646="","",IF(COUNTIF($A$2:$A646,$A646)=1,1,0))</f>
        <v/>
      </c>
      <c r="V646">
        <f>IF($U646=1,SUMPRODUCT(--($X$2:$X$1001&lt;$X646))+1,"")</f>
        <v/>
      </c>
      <c r="W646">
        <f>IF($A646="","",IF(OR($T646=TRUE(),$T646="TRUE"),1,0))</f>
        <v/>
      </c>
      <c r="X646">
        <f>IF($U646=1,IFERROR(IF(VALUE($A646)&lt;100000000,VALUE($A646),1000000000),IFERROR(IF(VALUE(MID($A646,2,20))&lt;100000000,VALUE(MID($A646,2,20)),1000000000),1000000000))+ROW()/100000,"")</f>
        <v/>
      </c>
    </row>
    <row r="647">
      <c r="F647" s="7">
        <f>IF($A647="","",E647*N647/100)</f>
        <v/>
      </c>
      <c r="J647" s="7" t="n"/>
      <c r="K647" s="7">
        <f>IF($A647="","",S647*N647)</f>
        <v/>
      </c>
      <c r="L647" s="7">
        <f>IF($A647="","",N647-K647)</f>
        <v/>
      </c>
      <c r="M647" s="7">
        <f>IF($A647="","",L647-F647)</f>
        <v/>
      </c>
      <c r="N647" s="7" t="n"/>
      <c r="Q647" s="11" t="n"/>
      <c r="S647">
        <f>IF($A647="","",IF($W647=1,Settings!$C$6,Settings!$C$7)*1)</f>
        <v/>
      </c>
      <c r="U647">
        <f>IF($A647="","",IF(COUNTIF($A$2:$A647,$A647)=1,1,0))</f>
        <v/>
      </c>
      <c r="V647">
        <f>IF($U647=1,SUMPRODUCT(--($X$2:$X$1001&lt;$X647))+1,"")</f>
        <v/>
      </c>
      <c r="W647">
        <f>IF($A647="","",IF(OR($T647=TRUE(),$T647="TRUE"),1,0))</f>
        <v/>
      </c>
      <c r="X647">
        <f>IF($U647=1,IFERROR(IF(VALUE($A647)&lt;100000000,VALUE($A647),1000000000),IFERROR(IF(VALUE(MID($A647,2,20))&lt;100000000,VALUE(MID($A647,2,20)),1000000000),1000000000))+ROW()/100000,"")</f>
        <v/>
      </c>
    </row>
    <row r="648">
      <c r="F648" s="7">
        <f>IF($A648="","",E648*N648/100)</f>
        <v/>
      </c>
      <c r="J648" s="7" t="n"/>
      <c r="K648" s="7">
        <f>IF($A648="","",S648*N648)</f>
        <v/>
      </c>
      <c r="L648" s="7">
        <f>IF($A648="","",N648-K648)</f>
        <v/>
      </c>
      <c r="M648" s="7">
        <f>IF($A648="","",L648-F648)</f>
        <v/>
      </c>
      <c r="N648" s="7" t="n"/>
      <c r="Q648" s="11" t="n"/>
      <c r="S648">
        <f>IF($A648="","",IF($W648=1,Settings!$C$6,Settings!$C$7)*1)</f>
        <v/>
      </c>
      <c r="U648">
        <f>IF($A648="","",IF(COUNTIF($A$2:$A648,$A648)=1,1,0))</f>
        <v/>
      </c>
      <c r="V648">
        <f>IF($U648=1,SUMPRODUCT(--($X$2:$X$1001&lt;$X648))+1,"")</f>
        <v/>
      </c>
      <c r="W648">
        <f>IF($A648="","",IF(OR($T648=TRUE(),$T648="TRUE"),1,0))</f>
        <v/>
      </c>
      <c r="X648">
        <f>IF($U648=1,IFERROR(IF(VALUE($A648)&lt;100000000,VALUE($A648),1000000000),IFERROR(IF(VALUE(MID($A648,2,20))&lt;100000000,VALUE(MID($A648,2,20)),1000000000),1000000000))+ROW()/100000,"")</f>
        <v/>
      </c>
    </row>
    <row r="649">
      <c r="F649" s="7">
        <f>IF($A649="","",E649*N649/100)</f>
        <v/>
      </c>
      <c r="J649" s="7" t="n"/>
      <c r="K649" s="7">
        <f>IF($A649="","",S649*N649)</f>
        <v/>
      </c>
      <c r="L649" s="7">
        <f>IF($A649="","",N649-K649)</f>
        <v/>
      </c>
      <c r="M649" s="7">
        <f>IF($A649="","",L649-F649)</f>
        <v/>
      </c>
      <c r="N649" s="7" t="n"/>
      <c r="Q649" s="11" t="n"/>
      <c r="S649">
        <f>IF($A649="","",IF($W649=1,Settings!$C$6,Settings!$C$7)*1)</f>
        <v/>
      </c>
      <c r="U649">
        <f>IF($A649="","",IF(COUNTIF($A$2:$A649,$A649)=1,1,0))</f>
        <v/>
      </c>
      <c r="V649">
        <f>IF($U649=1,SUMPRODUCT(--($X$2:$X$1001&lt;$X649))+1,"")</f>
        <v/>
      </c>
      <c r="W649">
        <f>IF($A649="","",IF(OR($T649=TRUE(),$T649="TRUE"),1,0))</f>
        <v/>
      </c>
      <c r="X649">
        <f>IF($U649=1,IFERROR(IF(VALUE($A649)&lt;100000000,VALUE($A649),1000000000),IFERROR(IF(VALUE(MID($A649,2,20))&lt;100000000,VALUE(MID($A649,2,20)),1000000000),1000000000))+ROW()/100000,"")</f>
        <v/>
      </c>
    </row>
    <row r="650">
      <c r="F650" s="7">
        <f>IF($A650="","",E650*N650/100)</f>
        <v/>
      </c>
      <c r="J650" s="7" t="n"/>
      <c r="K650" s="7">
        <f>IF($A650="","",S650*N650)</f>
        <v/>
      </c>
      <c r="L650" s="7">
        <f>IF($A650="","",N650-K650)</f>
        <v/>
      </c>
      <c r="M650" s="7">
        <f>IF($A650="","",L650-F650)</f>
        <v/>
      </c>
      <c r="N650" s="7" t="n"/>
      <c r="Q650" s="11" t="n"/>
      <c r="S650">
        <f>IF($A650="","",IF($W650=1,Settings!$C$6,Settings!$C$7)*1)</f>
        <v/>
      </c>
      <c r="U650">
        <f>IF($A650="","",IF(COUNTIF($A$2:$A650,$A650)=1,1,0))</f>
        <v/>
      </c>
      <c r="V650">
        <f>IF($U650=1,SUMPRODUCT(--($X$2:$X$1001&lt;$X650))+1,"")</f>
        <v/>
      </c>
      <c r="W650">
        <f>IF($A650="","",IF(OR($T650=TRUE(),$T650="TRUE"),1,0))</f>
        <v/>
      </c>
      <c r="X650">
        <f>IF($U650=1,IFERROR(IF(VALUE($A650)&lt;100000000,VALUE($A650),1000000000),IFERROR(IF(VALUE(MID($A650,2,20))&lt;100000000,VALUE(MID($A650,2,20)),1000000000),1000000000))+ROW()/100000,"")</f>
        <v/>
      </c>
    </row>
    <row r="651">
      <c r="F651" s="7">
        <f>IF($A651="","",E651*N651/100)</f>
        <v/>
      </c>
      <c r="J651" s="7" t="n"/>
      <c r="K651" s="7">
        <f>IF($A651="","",S651*N651)</f>
        <v/>
      </c>
      <c r="L651" s="7">
        <f>IF($A651="","",N651-K651)</f>
        <v/>
      </c>
      <c r="M651" s="7">
        <f>IF($A651="","",L651-F651)</f>
        <v/>
      </c>
      <c r="N651" s="7" t="n"/>
      <c r="Q651" s="11" t="n"/>
      <c r="S651">
        <f>IF($A651="","",IF($W651=1,Settings!$C$6,Settings!$C$7)*1)</f>
        <v/>
      </c>
      <c r="U651">
        <f>IF($A651="","",IF(COUNTIF($A$2:$A651,$A651)=1,1,0))</f>
        <v/>
      </c>
      <c r="V651">
        <f>IF($U651=1,SUMPRODUCT(--($X$2:$X$1001&lt;$X651))+1,"")</f>
        <v/>
      </c>
      <c r="W651">
        <f>IF($A651="","",IF(OR($T651=TRUE(),$T651="TRUE"),1,0))</f>
        <v/>
      </c>
      <c r="X651">
        <f>IF($U651=1,IFERROR(IF(VALUE($A651)&lt;100000000,VALUE($A651),1000000000),IFERROR(IF(VALUE(MID($A651,2,20))&lt;100000000,VALUE(MID($A651,2,20)),1000000000),1000000000))+ROW()/100000,"")</f>
        <v/>
      </c>
    </row>
    <row r="652">
      <c r="F652" s="7">
        <f>IF($A652="","",E652*N652/100)</f>
        <v/>
      </c>
      <c r="J652" s="7" t="n"/>
      <c r="K652" s="7">
        <f>IF($A652="","",S652*N652)</f>
        <v/>
      </c>
      <c r="L652" s="7">
        <f>IF($A652="","",N652-K652)</f>
        <v/>
      </c>
      <c r="M652" s="7">
        <f>IF($A652="","",L652-F652)</f>
        <v/>
      </c>
      <c r="N652" s="7" t="n"/>
      <c r="Q652" s="11" t="n"/>
      <c r="S652">
        <f>IF($A652="","",IF($W652=1,Settings!$C$6,Settings!$C$7)*1)</f>
        <v/>
      </c>
      <c r="U652">
        <f>IF($A652="","",IF(COUNTIF($A$2:$A652,$A652)=1,1,0))</f>
        <v/>
      </c>
      <c r="V652">
        <f>IF($U652=1,SUMPRODUCT(--($X$2:$X$1001&lt;$X652))+1,"")</f>
        <v/>
      </c>
      <c r="W652">
        <f>IF($A652="","",IF(OR($T652=TRUE(),$T652="TRUE"),1,0))</f>
        <v/>
      </c>
      <c r="X652">
        <f>IF($U652=1,IFERROR(IF(VALUE($A652)&lt;100000000,VALUE($A652),1000000000),IFERROR(IF(VALUE(MID($A652,2,20))&lt;100000000,VALUE(MID($A652,2,20)),1000000000),1000000000))+ROW()/100000,"")</f>
        <v/>
      </c>
    </row>
    <row r="653">
      <c r="F653" s="7">
        <f>IF($A653="","",E653*N653/100)</f>
        <v/>
      </c>
      <c r="J653" s="7" t="n"/>
      <c r="K653" s="7">
        <f>IF($A653="","",S653*N653)</f>
        <v/>
      </c>
      <c r="L653" s="7">
        <f>IF($A653="","",N653-K653)</f>
        <v/>
      </c>
      <c r="M653" s="7">
        <f>IF($A653="","",L653-F653)</f>
        <v/>
      </c>
      <c r="N653" s="7" t="n"/>
      <c r="Q653" s="11" t="n"/>
      <c r="S653">
        <f>IF($A653="","",IF($W653=1,Settings!$C$6,Settings!$C$7)*1)</f>
        <v/>
      </c>
      <c r="U653">
        <f>IF($A653="","",IF(COUNTIF($A$2:$A653,$A653)=1,1,0))</f>
        <v/>
      </c>
      <c r="V653">
        <f>IF($U653=1,SUMPRODUCT(--($X$2:$X$1001&lt;$X653))+1,"")</f>
        <v/>
      </c>
      <c r="W653">
        <f>IF($A653="","",IF(OR($T653=TRUE(),$T653="TRUE"),1,0))</f>
        <v/>
      </c>
      <c r="X653">
        <f>IF($U653=1,IFERROR(IF(VALUE($A653)&lt;100000000,VALUE($A653),1000000000),IFERROR(IF(VALUE(MID($A653,2,20))&lt;100000000,VALUE(MID($A653,2,20)),1000000000),1000000000))+ROW()/100000,"")</f>
        <v/>
      </c>
    </row>
    <row r="654">
      <c r="F654" s="7">
        <f>IF($A654="","",E654*N654/100)</f>
        <v/>
      </c>
      <c r="J654" s="7" t="n"/>
      <c r="K654" s="7">
        <f>IF($A654="","",S654*N654)</f>
        <v/>
      </c>
      <c r="L654" s="7">
        <f>IF($A654="","",N654-K654)</f>
        <v/>
      </c>
      <c r="M654" s="7">
        <f>IF($A654="","",L654-F654)</f>
        <v/>
      </c>
      <c r="N654" s="7" t="n"/>
      <c r="Q654" s="11" t="n"/>
      <c r="S654">
        <f>IF($A654="","",IF($W654=1,Settings!$C$6,Settings!$C$7)*1)</f>
        <v/>
      </c>
      <c r="U654">
        <f>IF($A654="","",IF(COUNTIF($A$2:$A654,$A654)=1,1,0))</f>
        <v/>
      </c>
      <c r="V654">
        <f>IF($U654=1,SUMPRODUCT(--($X$2:$X$1001&lt;$X654))+1,"")</f>
        <v/>
      </c>
      <c r="W654">
        <f>IF($A654="","",IF(OR($T654=TRUE(),$T654="TRUE"),1,0))</f>
        <v/>
      </c>
      <c r="X654">
        <f>IF($U654=1,IFERROR(IF(VALUE($A654)&lt;100000000,VALUE($A654),1000000000),IFERROR(IF(VALUE(MID($A654,2,20))&lt;100000000,VALUE(MID($A654,2,20)),1000000000),1000000000))+ROW()/100000,"")</f>
        <v/>
      </c>
    </row>
    <row r="655">
      <c r="F655" s="7">
        <f>IF($A655="","",E655*N655/100)</f>
        <v/>
      </c>
      <c r="J655" s="7" t="n"/>
      <c r="K655" s="7">
        <f>IF($A655="","",S655*N655)</f>
        <v/>
      </c>
      <c r="L655" s="7">
        <f>IF($A655="","",N655-K655)</f>
        <v/>
      </c>
      <c r="M655" s="7">
        <f>IF($A655="","",L655-F655)</f>
        <v/>
      </c>
      <c r="N655" s="7" t="n"/>
      <c r="Q655" s="11" t="n"/>
      <c r="S655">
        <f>IF($A655="","",IF($W655=1,Settings!$C$6,Settings!$C$7)*1)</f>
        <v/>
      </c>
      <c r="U655">
        <f>IF($A655="","",IF(COUNTIF($A$2:$A655,$A655)=1,1,0))</f>
        <v/>
      </c>
      <c r="V655">
        <f>IF($U655=1,SUMPRODUCT(--($X$2:$X$1001&lt;$X655))+1,"")</f>
        <v/>
      </c>
      <c r="W655">
        <f>IF($A655="","",IF(OR($T655=TRUE(),$T655="TRUE"),1,0))</f>
        <v/>
      </c>
      <c r="X655">
        <f>IF($U655=1,IFERROR(IF(VALUE($A655)&lt;100000000,VALUE($A655),1000000000),IFERROR(IF(VALUE(MID($A655,2,20))&lt;100000000,VALUE(MID($A655,2,20)),1000000000),1000000000))+ROW()/100000,"")</f>
        <v/>
      </c>
    </row>
    <row r="656">
      <c r="F656" s="7">
        <f>IF($A656="","",E656*N656/100)</f>
        <v/>
      </c>
      <c r="J656" s="7" t="n"/>
      <c r="K656" s="7">
        <f>IF($A656="","",S656*N656)</f>
        <v/>
      </c>
      <c r="L656" s="7">
        <f>IF($A656="","",N656-K656)</f>
        <v/>
      </c>
      <c r="M656" s="7">
        <f>IF($A656="","",L656-F656)</f>
        <v/>
      </c>
      <c r="N656" s="7" t="n"/>
      <c r="Q656" s="11" t="n"/>
      <c r="S656">
        <f>IF($A656="","",IF($W656=1,Settings!$C$6,Settings!$C$7)*1)</f>
        <v/>
      </c>
      <c r="U656">
        <f>IF($A656="","",IF(COUNTIF($A$2:$A656,$A656)=1,1,0))</f>
        <v/>
      </c>
      <c r="V656">
        <f>IF($U656=1,SUMPRODUCT(--($X$2:$X$1001&lt;$X656))+1,"")</f>
        <v/>
      </c>
      <c r="W656">
        <f>IF($A656="","",IF(OR($T656=TRUE(),$T656="TRUE"),1,0))</f>
        <v/>
      </c>
      <c r="X656">
        <f>IF($U656=1,IFERROR(IF(VALUE($A656)&lt;100000000,VALUE($A656),1000000000),IFERROR(IF(VALUE(MID($A656,2,20))&lt;100000000,VALUE(MID($A656,2,20)),1000000000),1000000000))+ROW()/100000,"")</f>
        <v/>
      </c>
    </row>
    <row r="657">
      <c r="F657" s="7">
        <f>IF($A657="","",E657*N657/100)</f>
        <v/>
      </c>
      <c r="J657" s="7" t="n"/>
      <c r="K657" s="7">
        <f>IF($A657="","",S657*N657)</f>
        <v/>
      </c>
      <c r="L657" s="7">
        <f>IF($A657="","",N657-K657)</f>
        <v/>
      </c>
      <c r="M657" s="7">
        <f>IF($A657="","",L657-F657)</f>
        <v/>
      </c>
      <c r="N657" s="7" t="n"/>
      <c r="Q657" s="11" t="n"/>
      <c r="S657">
        <f>IF($A657="","",IF($W657=1,Settings!$C$6,Settings!$C$7)*1)</f>
        <v/>
      </c>
      <c r="U657">
        <f>IF($A657="","",IF(COUNTIF($A$2:$A657,$A657)=1,1,0))</f>
        <v/>
      </c>
      <c r="V657">
        <f>IF($U657=1,SUMPRODUCT(--($X$2:$X$1001&lt;$X657))+1,"")</f>
        <v/>
      </c>
      <c r="W657">
        <f>IF($A657="","",IF(OR($T657=TRUE(),$T657="TRUE"),1,0))</f>
        <v/>
      </c>
      <c r="X657">
        <f>IF($U657=1,IFERROR(IF(VALUE($A657)&lt;100000000,VALUE($A657),1000000000),IFERROR(IF(VALUE(MID($A657,2,20))&lt;100000000,VALUE(MID($A657,2,20)),1000000000),1000000000))+ROW()/100000,"")</f>
        <v/>
      </c>
    </row>
    <row r="658">
      <c r="F658" s="7">
        <f>IF($A658="","",E658*N658/100)</f>
        <v/>
      </c>
      <c r="J658" s="7" t="n"/>
      <c r="K658" s="7">
        <f>IF($A658="","",S658*N658)</f>
        <v/>
      </c>
      <c r="L658" s="7">
        <f>IF($A658="","",N658-K658)</f>
        <v/>
      </c>
      <c r="M658" s="7">
        <f>IF($A658="","",L658-F658)</f>
        <v/>
      </c>
      <c r="N658" s="7" t="n"/>
      <c r="Q658" s="11" t="n"/>
      <c r="S658">
        <f>IF($A658="","",IF($W658=1,Settings!$C$6,Settings!$C$7)*1)</f>
        <v/>
      </c>
      <c r="U658">
        <f>IF($A658="","",IF(COUNTIF($A$2:$A658,$A658)=1,1,0))</f>
        <v/>
      </c>
      <c r="V658">
        <f>IF($U658=1,SUMPRODUCT(--($X$2:$X$1001&lt;$X658))+1,"")</f>
        <v/>
      </c>
      <c r="W658">
        <f>IF($A658="","",IF(OR($T658=TRUE(),$T658="TRUE"),1,0))</f>
        <v/>
      </c>
      <c r="X658">
        <f>IF($U658=1,IFERROR(IF(VALUE($A658)&lt;100000000,VALUE($A658),1000000000),IFERROR(IF(VALUE(MID($A658,2,20))&lt;100000000,VALUE(MID($A658,2,20)),1000000000),1000000000))+ROW()/100000,"")</f>
        <v/>
      </c>
    </row>
    <row r="659">
      <c r="F659" s="7">
        <f>IF($A659="","",E659*N659/100)</f>
        <v/>
      </c>
      <c r="J659" s="7" t="n"/>
      <c r="K659" s="7">
        <f>IF($A659="","",S659*N659)</f>
        <v/>
      </c>
      <c r="L659" s="7">
        <f>IF($A659="","",N659-K659)</f>
        <v/>
      </c>
      <c r="M659" s="7">
        <f>IF($A659="","",L659-F659)</f>
        <v/>
      </c>
      <c r="N659" s="7" t="n"/>
      <c r="Q659" s="11" t="n"/>
      <c r="S659">
        <f>IF($A659="","",IF($W659=1,Settings!$C$6,Settings!$C$7)*1)</f>
        <v/>
      </c>
      <c r="U659">
        <f>IF($A659="","",IF(COUNTIF($A$2:$A659,$A659)=1,1,0))</f>
        <v/>
      </c>
      <c r="V659">
        <f>IF($U659=1,SUMPRODUCT(--($X$2:$X$1001&lt;$X659))+1,"")</f>
        <v/>
      </c>
      <c r="W659">
        <f>IF($A659="","",IF(OR($T659=TRUE(),$T659="TRUE"),1,0))</f>
        <v/>
      </c>
      <c r="X659">
        <f>IF($U659=1,IFERROR(IF(VALUE($A659)&lt;100000000,VALUE($A659),1000000000),IFERROR(IF(VALUE(MID($A659,2,20))&lt;100000000,VALUE(MID($A659,2,20)),1000000000),1000000000))+ROW()/100000,"")</f>
        <v/>
      </c>
    </row>
    <row r="660">
      <c r="F660" s="7">
        <f>IF($A660="","",E660*N660/100)</f>
        <v/>
      </c>
      <c r="J660" s="7" t="n"/>
      <c r="K660" s="7">
        <f>IF($A660="","",S660*N660)</f>
        <v/>
      </c>
      <c r="L660" s="7">
        <f>IF($A660="","",N660-K660)</f>
        <v/>
      </c>
      <c r="M660" s="7">
        <f>IF($A660="","",L660-F660)</f>
        <v/>
      </c>
      <c r="N660" s="7" t="n"/>
      <c r="Q660" s="11" t="n"/>
      <c r="S660">
        <f>IF($A660="","",IF($W660=1,Settings!$C$6,Settings!$C$7)*1)</f>
        <v/>
      </c>
      <c r="U660">
        <f>IF($A660="","",IF(COUNTIF($A$2:$A660,$A660)=1,1,0))</f>
        <v/>
      </c>
      <c r="V660">
        <f>IF($U660=1,SUMPRODUCT(--($X$2:$X$1001&lt;$X660))+1,"")</f>
        <v/>
      </c>
      <c r="W660">
        <f>IF($A660="","",IF(OR($T660=TRUE(),$T660="TRUE"),1,0))</f>
        <v/>
      </c>
      <c r="X660">
        <f>IF($U660=1,IFERROR(IF(VALUE($A660)&lt;100000000,VALUE($A660),1000000000),IFERROR(IF(VALUE(MID($A660,2,20))&lt;100000000,VALUE(MID($A660,2,20)),1000000000),1000000000))+ROW()/100000,"")</f>
        <v/>
      </c>
    </row>
    <row r="661">
      <c r="F661" s="7">
        <f>IF($A661="","",E661*N661/100)</f>
        <v/>
      </c>
      <c r="J661" s="7" t="n"/>
      <c r="K661" s="7">
        <f>IF($A661="","",S661*N661)</f>
        <v/>
      </c>
      <c r="L661" s="7">
        <f>IF($A661="","",N661-K661)</f>
        <v/>
      </c>
      <c r="M661" s="7">
        <f>IF($A661="","",L661-F661)</f>
        <v/>
      </c>
      <c r="N661" s="7" t="n"/>
      <c r="Q661" s="11" t="n"/>
      <c r="S661">
        <f>IF($A661="","",IF($W661=1,Settings!$C$6,Settings!$C$7)*1)</f>
        <v/>
      </c>
      <c r="U661">
        <f>IF($A661="","",IF(COUNTIF($A$2:$A661,$A661)=1,1,0))</f>
        <v/>
      </c>
      <c r="V661">
        <f>IF($U661=1,SUMPRODUCT(--($X$2:$X$1001&lt;$X661))+1,"")</f>
        <v/>
      </c>
      <c r="W661">
        <f>IF($A661="","",IF(OR($T661=TRUE(),$T661="TRUE"),1,0))</f>
        <v/>
      </c>
      <c r="X661">
        <f>IF($U661=1,IFERROR(IF(VALUE($A661)&lt;100000000,VALUE($A661),1000000000),IFERROR(IF(VALUE(MID($A661,2,20))&lt;100000000,VALUE(MID($A661,2,20)),1000000000),1000000000))+ROW()/100000,"")</f>
        <v/>
      </c>
    </row>
    <row r="662">
      <c r="F662" s="7">
        <f>IF($A662="","",E662*N662/100)</f>
        <v/>
      </c>
      <c r="J662" s="7" t="n"/>
      <c r="K662" s="7">
        <f>IF($A662="","",S662*N662)</f>
        <v/>
      </c>
      <c r="L662" s="7">
        <f>IF($A662="","",N662-K662)</f>
        <v/>
      </c>
      <c r="M662" s="7">
        <f>IF($A662="","",L662-F662)</f>
        <v/>
      </c>
      <c r="N662" s="7" t="n"/>
      <c r="Q662" s="11" t="n"/>
      <c r="S662">
        <f>IF($A662="","",IF($W662=1,Settings!$C$6,Settings!$C$7)*1)</f>
        <v/>
      </c>
      <c r="U662">
        <f>IF($A662="","",IF(COUNTIF($A$2:$A662,$A662)=1,1,0))</f>
        <v/>
      </c>
      <c r="V662">
        <f>IF($U662=1,SUMPRODUCT(--($X$2:$X$1001&lt;$X662))+1,"")</f>
        <v/>
      </c>
      <c r="W662">
        <f>IF($A662="","",IF(OR($T662=TRUE(),$T662="TRUE"),1,0))</f>
        <v/>
      </c>
      <c r="X662">
        <f>IF($U662=1,IFERROR(IF(VALUE($A662)&lt;100000000,VALUE($A662),1000000000),IFERROR(IF(VALUE(MID($A662,2,20))&lt;100000000,VALUE(MID($A662,2,20)),1000000000),1000000000))+ROW()/100000,"")</f>
        <v/>
      </c>
    </row>
    <row r="663">
      <c r="F663" s="7">
        <f>IF($A663="","",E663*N663/100)</f>
        <v/>
      </c>
      <c r="J663" s="7" t="n"/>
      <c r="K663" s="7">
        <f>IF($A663="","",S663*N663)</f>
        <v/>
      </c>
      <c r="L663" s="7">
        <f>IF($A663="","",N663-K663)</f>
        <v/>
      </c>
      <c r="M663" s="7">
        <f>IF($A663="","",L663-F663)</f>
        <v/>
      </c>
      <c r="N663" s="7" t="n"/>
      <c r="Q663" s="11" t="n"/>
      <c r="S663">
        <f>IF($A663="","",IF($W663=1,Settings!$C$6,Settings!$C$7)*1)</f>
        <v/>
      </c>
      <c r="U663">
        <f>IF($A663="","",IF(COUNTIF($A$2:$A663,$A663)=1,1,0))</f>
        <v/>
      </c>
      <c r="V663">
        <f>IF($U663=1,SUMPRODUCT(--($X$2:$X$1001&lt;$X663))+1,"")</f>
        <v/>
      </c>
      <c r="W663">
        <f>IF($A663="","",IF(OR($T663=TRUE(),$T663="TRUE"),1,0))</f>
        <v/>
      </c>
      <c r="X663">
        <f>IF($U663=1,IFERROR(IF(VALUE($A663)&lt;100000000,VALUE($A663),1000000000),IFERROR(IF(VALUE(MID($A663,2,20))&lt;100000000,VALUE(MID($A663,2,20)),1000000000),1000000000))+ROW()/100000,"")</f>
        <v/>
      </c>
    </row>
    <row r="664">
      <c r="F664" s="7">
        <f>IF($A664="","",E664*N664/100)</f>
        <v/>
      </c>
      <c r="J664" s="7" t="n"/>
      <c r="K664" s="7">
        <f>IF($A664="","",S664*N664)</f>
        <v/>
      </c>
      <c r="L664" s="7">
        <f>IF($A664="","",N664-K664)</f>
        <v/>
      </c>
      <c r="M664" s="7">
        <f>IF($A664="","",L664-F664)</f>
        <v/>
      </c>
      <c r="N664" s="7" t="n"/>
      <c r="Q664" s="11" t="n"/>
      <c r="S664">
        <f>IF($A664="","",IF($W664=1,Settings!$C$6,Settings!$C$7)*1)</f>
        <v/>
      </c>
      <c r="U664">
        <f>IF($A664="","",IF(COUNTIF($A$2:$A664,$A664)=1,1,0))</f>
        <v/>
      </c>
      <c r="V664">
        <f>IF($U664=1,SUMPRODUCT(--($X$2:$X$1001&lt;$X664))+1,"")</f>
        <v/>
      </c>
      <c r="W664">
        <f>IF($A664="","",IF(OR($T664=TRUE(),$T664="TRUE"),1,0))</f>
        <v/>
      </c>
      <c r="X664">
        <f>IF($U664=1,IFERROR(IF(VALUE($A664)&lt;100000000,VALUE($A664),1000000000),IFERROR(IF(VALUE(MID($A664,2,20))&lt;100000000,VALUE(MID($A664,2,20)),1000000000),1000000000))+ROW()/100000,"")</f>
        <v/>
      </c>
    </row>
    <row r="665">
      <c r="F665" s="7">
        <f>IF($A665="","",E665*N665/100)</f>
        <v/>
      </c>
      <c r="J665" s="7" t="n"/>
      <c r="K665" s="7">
        <f>IF($A665="","",S665*N665)</f>
        <v/>
      </c>
      <c r="L665" s="7">
        <f>IF($A665="","",N665-K665)</f>
        <v/>
      </c>
      <c r="M665" s="7">
        <f>IF($A665="","",L665-F665)</f>
        <v/>
      </c>
      <c r="N665" s="7" t="n"/>
      <c r="Q665" s="11" t="n"/>
      <c r="S665">
        <f>IF($A665="","",IF($W665=1,Settings!$C$6,Settings!$C$7)*1)</f>
        <v/>
      </c>
      <c r="U665">
        <f>IF($A665="","",IF(COUNTIF($A$2:$A665,$A665)=1,1,0))</f>
        <v/>
      </c>
      <c r="V665">
        <f>IF($U665=1,SUMPRODUCT(--($X$2:$X$1001&lt;$X665))+1,"")</f>
        <v/>
      </c>
      <c r="W665">
        <f>IF($A665="","",IF(OR($T665=TRUE(),$T665="TRUE"),1,0))</f>
        <v/>
      </c>
      <c r="X665">
        <f>IF($U665=1,IFERROR(IF(VALUE($A665)&lt;100000000,VALUE($A665),1000000000),IFERROR(IF(VALUE(MID($A665,2,20))&lt;100000000,VALUE(MID($A665,2,20)),1000000000),1000000000))+ROW()/100000,"")</f>
        <v/>
      </c>
    </row>
    <row r="666">
      <c r="F666" s="7">
        <f>IF($A666="","",E666*N666/100)</f>
        <v/>
      </c>
      <c r="J666" s="7" t="n"/>
      <c r="K666" s="7">
        <f>IF($A666="","",S666*N666)</f>
        <v/>
      </c>
      <c r="L666" s="7">
        <f>IF($A666="","",N666-K666)</f>
        <v/>
      </c>
      <c r="M666" s="7">
        <f>IF($A666="","",L666-F666)</f>
        <v/>
      </c>
      <c r="N666" s="7" t="n"/>
      <c r="Q666" s="11" t="n"/>
      <c r="S666">
        <f>IF($A666="","",IF($W666=1,Settings!$C$6,Settings!$C$7)*1)</f>
        <v/>
      </c>
      <c r="U666">
        <f>IF($A666="","",IF(COUNTIF($A$2:$A666,$A666)=1,1,0))</f>
        <v/>
      </c>
      <c r="V666">
        <f>IF($U666=1,SUMPRODUCT(--($X$2:$X$1001&lt;$X666))+1,"")</f>
        <v/>
      </c>
      <c r="W666">
        <f>IF($A666="","",IF(OR($T666=TRUE(),$T666="TRUE"),1,0))</f>
        <v/>
      </c>
      <c r="X666">
        <f>IF($U666=1,IFERROR(IF(VALUE($A666)&lt;100000000,VALUE($A666),1000000000),IFERROR(IF(VALUE(MID($A666,2,20))&lt;100000000,VALUE(MID($A666,2,20)),1000000000),1000000000))+ROW()/100000,"")</f>
        <v/>
      </c>
    </row>
    <row r="667">
      <c r="F667" s="7">
        <f>IF($A667="","",E667*N667/100)</f>
        <v/>
      </c>
      <c r="J667" s="7" t="n"/>
      <c r="K667" s="7">
        <f>IF($A667="","",S667*N667)</f>
        <v/>
      </c>
      <c r="L667" s="7">
        <f>IF($A667="","",N667-K667)</f>
        <v/>
      </c>
      <c r="M667" s="7">
        <f>IF($A667="","",L667-F667)</f>
        <v/>
      </c>
      <c r="N667" s="7" t="n"/>
      <c r="Q667" s="11" t="n"/>
      <c r="S667">
        <f>IF($A667="","",IF($W667=1,Settings!$C$6,Settings!$C$7)*1)</f>
        <v/>
      </c>
      <c r="U667">
        <f>IF($A667="","",IF(COUNTIF($A$2:$A667,$A667)=1,1,0))</f>
        <v/>
      </c>
      <c r="V667">
        <f>IF($U667=1,SUMPRODUCT(--($X$2:$X$1001&lt;$X667))+1,"")</f>
        <v/>
      </c>
      <c r="W667">
        <f>IF($A667="","",IF(OR($T667=TRUE(),$T667="TRUE"),1,0))</f>
        <v/>
      </c>
      <c r="X667">
        <f>IF($U667=1,IFERROR(IF(VALUE($A667)&lt;100000000,VALUE($A667),1000000000),IFERROR(IF(VALUE(MID($A667,2,20))&lt;100000000,VALUE(MID($A667,2,20)),1000000000),1000000000))+ROW()/100000,"")</f>
        <v/>
      </c>
    </row>
    <row r="668">
      <c r="F668" s="7">
        <f>IF($A668="","",E668*N668/100)</f>
        <v/>
      </c>
      <c r="J668" s="7" t="n"/>
      <c r="K668" s="7">
        <f>IF($A668="","",S668*N668)</f>
        <v/>
      </c>
      <c r="L668" s="7">
        <f>IF($A668="","",N668-K668)</f>
        <v/>
      </c>
      <c r="M668" s="7">
        <f>IF($A668="","",L668-F668)</f>
        <v/>
      </c>
      <c r="N668" s="7" t="n"/>
      <c r="Q668" s="11" t="n"/>
      <c r="S668">
        <f>IF($A668="","",IF($W668=1,Settings!$C$6,Settings!$C$7)*1)</f>
        <v/>
      </c>
      <c r="U668">
        <f>IF($A668="","",IF(COUNTIF($A$2:$A668,$A668)=1,1,0))</f>
        <v/>
      </c>
      <c r="V668">
        <f>IF($U668=1,SUMPRODUCT(--($X$2:$X$1001&lt;$X668))+1,"")</f>
        <v/>
      </c>
      <c r="W668">
        <f>IF($A668="","",IF(OR($T668=TRUE(),$T668="TRUE"),1,0))</f>
        <v/>
      </c>
      <c r="X668">
        <f>IF($U668=1,IFERROR(IF(VALUE($A668)&lt;100000000,VALUE($A668),1000000000),IFERROR(IF(VALUE(MID($A668,2,20))&lt;100000000,VALUE(MID($A668,2,20)),1000000000),1000000000))+ROW()/100000,"")</f>
        <v/>
      </c>
    </row>
    <row r="669">
      <c r="F669" s="7">
        <f>IF($A669="","",E669*N669/100)</f>
        <v/>
      </c>
      <c r="J669" s="7" t="n"/>
      <c r="K669" s="7">
        <f>IF($A669="","",S669*N669)</f>
        <v/>
      </c>
      <c r="L669" s="7">
        <f>IF($A669="","",N669-K669)</f>
        <v/>
      </c>
      <c r="M669" s="7">
        <f>IF($A669="","",L669-F669)</f>
        <v/>
      </c>
      <c r="N669" s="7" t="n"/>
      <c r="Q669" s="11" t="n"/>
      <c r="S669">
        <f>IF($A669="","",IF($W669=1,Settings!$C$6,Settings!$C$7)*1)</f>
        <v/>
      </c>
      <c r="U669">
        <f>IF($A669="","",IF(COUNTIF($A$2:$A669,$A669)=1,1,0))</f>
        <v/>
      </c>
      <c r="V669">
        <f>IF($U669=1,SUMPRODUCT(--($X$2:$X$1001&lt;$X669))+1,"")</f>
        <v/>
      </c>
      <c r="W669">
        <f>IF($A669="","",IF(OR($T669=TRUE(),$T669="TRUE"),1,0))</f>
        <v/>
      </c>
      <c r="X669">
        <f>IF($U669=1,IFERROR(IF(VALUE($A669)&lt;100000000,VALUE($A669),1000000000),IFERROR(IF(VALUE(MID($A669,2,20))&lt;100000000,VALUE(MID($A669,2,20)),1000000000),1000000000))+ROW()/100000,"")</f>
        <v/>
      </c>
    </row>
    <row r="670">
      <c r="F670" s="7">
        <f>IF($A670="","",E670*N670/100)</f>
        <v/>
      </c>
      <c r="J670" s="7" t="n"/>
      <c r="K670" s="7">
        <f>IF($A670="","",S670*N670)</f>
        <v/>
      </c>
      <c r="L670" s="7">
        <f>IF($A670="","",N670-K670)</f>
        <v/>
      </c>
      <c r="M670" s="7">
        <f>IF($A670="","",L670-F670)</f>
        <v/>
      </c>
      <c r="N670" s="7" t="n"/>
      <c r="Q670" s="11" t="n"/>
      <c r="S670">
        <f>IF($A670="","",IF($W670=1,Settings!$C$6,Settings!$C$7)*1)</f>
        <v/>
      </c>
      <c r="U670">
        <f>IF($A670="","",IF(COUNTIF($A$2:$A670,$A670)=1,1,0))</f>
        <v/>
      </c>
      <c r="V670">
        <f>IF($U670=1,SUMPRODUCT(--($X$2:$X$1001&lt;$X670))+1,"")</f>
        <v/>
      </c>
      <c r="W670">
        <f>IF($A670="","",IF(OR($T670=TRUE(),$T670="TRUE"),1,0))</f>
        <v/>
      </c>
      <c r="X670">
        <f>IF($U670=1,IFERROR(IF(VALUE($A670)&lt;100000000,VALUE($A670),1000000000),IFERROR(IF(VALUE(MID($A670,2,20))&lt;100000000,VALUE(MID($A670,2,20)),1000000000),1000000000))+ROW()/100000,"")</f>
        <v/>
      </c>
    </row>
    <row r="671">
      <c r="F671" s="7">
        <f>IF($A671="","",E671*N671/100)</f>
        <v/>
      </c>
      <c r="J671" s="7" t="n"/>
      <c r="K671" s="7">
        <f>IF($A671="","",S671*N671)</f>
        <v/>
      </c>
      <c r="L671" s="7">
        <f>IF($A671="","",N671-K671)</f>
        <v/>
      </c>
      <c r="M671" s="7">
        <f>IF($A671="","",L671-F671)</f>
        <v/>
      </c>
      <c r="N671" s="7" t="n"/>
      <c r="Q671" s="11" t="n"/>
      <c r="S671">
        <f>IF($A671="","",IF($W671=1,Settings!$C$6,Settings!$C$7)*1)</f>
        <v/>
      </c>
      <c r="U671">
        <f>IF($A671="","",IF(COUNTIF($A$2:$A671,$A671)=1,1,0))</f>
        <v/>
      </c>
      <c r="V671">
        <f>IF($U671=1,SUMPRODUCT(--($X$2:$X$1001&lt;$X671))+1,"")</f>
        <v/>
      </c>
      <c r="W671">
        <f>IF($A671="","",IF(OR($T671=TRUE(),$T671="TRUE"),1,0))</f>
        <v/>
      </c>
      <c r="X671">
        <f>IF($U671=1,IFERROR(IF(VALUE($A671)&lt;100000000,VALUE($A671),1000000000),IFERROR(IF(VALUE(MID($A671,2,20))&lt;100000000,VALUE(MID($A671,2,20)),1000000000),1000000000))+ROW()/100000,"")</f>
        <v/>
      </c>
    </row>
    <row r="672">
      <c r="F672" s="7">
        <f>IF($A672="","",E672*N672/100)</f>
        <v/>
      </c>
      <c r="J672" s="7" t="n"/>
      <c r="K672" s="7">
        <f>IF($A672="","",S672*N672)</f>
        <v/>
      </c>
      <c r="L672" s="7">
        <f>IF($A672="","",N672-K672)</f>
        <v/>
      </c>
      <c r="M672" s="7">
        <f>IF($A672="","",L672-F672)</f>
        <v/>
      </c>
      <c r="N672" s="7" t="n"/>
      <c r="Q672" s="11" t="n"/>
      <c r="S672">
        <f>IF($A672="","",IF($W672=1,Settings!$C$6,Settings!$C$7)*1)</f>
        <v/>
      </c>
      <c r="U672">
        <f>IF($A672="","",IF(COUNTIF($A$2:$A672,$A672)=1,1,0))</f>
        <v/>
      </c>
      <c r="V672">
        <f>IF($U672=1,SUMPRODUCT(--($X$2:$X$1001&lt;$X672))+1,"")</f>
        <v/>
      </c>
      <c r="W672">
        <f>IF($A672="","",IF(OR($T672=TRUE(),$T672="TRUE"),1,0))</f>
        <v/>
      </c>
      <c r="X672">
        <f>IF($U672=1,IFERROR(IF(VALUE($A672)&lt;100000000,VALUE($A672),1000000000),IFERROR(IF(VALUE(MID($A672,2,20))&lt;100000000,VALUE(MID($A672,2,20)),1000000000),1000000000))+ROW()/100000,"")</f>
        <v/>
      </c>
    </row>
    <row r="673">
      <c r="F673" s="7">
        <f>IF($A673="","",E673*N673/100)</f>
        <v/>
      </c>
      <c r="J673" s="7" t="n"/>
      <c r="K673" s="7">
        <f>IF($A673="","",S673*N673)</f>
        <v/>
      </c>
      <c r="L673" s="7">
        <f>IF($A673="","",N673-K673)</f>
        <v/>
      </c>
      <c r="M673" s="7">
        <f>IF($A673="","",L673-F673)</f>
        <v/>
      </c>
      <c r="N673" s="7" t="n"/>
      <c r="Q673" s="11" t="n"/>
      <c r="S673">
        <f>IF($A673="","",IF($W673=1,Settings!$C$6,Settings!$C$7)*1)</f>
        <v/>
      </c>
      <c r="U673">
        <f>IF($A673="","",IF(COUNTIF($A$2:$A673,$A673)=1,1,0))</f>
        <v/>
      </c>
      <c r="V673">
        <f>IF($U673=1,SUMPRODUCT(--($X$2:$X$1001&lt;$X673))+1,"")</f>
        <v/>
      </c>
      <c r="W673">
        <f>IF($A673="","",IF(OR($T673=TRUE(),$T673="TRUE"),1,0))</f>
        <v/>
      </c>
      <c r="X673">
        <f>IF($U673=1,IFERROR(IF(VALUE($A673)&lt;100000000,VALUE($A673),1000000000),IFERROR(IF(VALUE(MID($A673,2,20))&lt;100000000,VALUE(MID($A673,2,20)),1000000000),1000000000))+ROW()/100000,"")</f>
        <v/>
      </c>
    </row>
    <row r="674">
      <c r="F674" s="7">
        <f>IF($A674="","",E674*N674/100)</f>
        <v/>
      </c>
      <c r="J674" s="7" t="n"/>
      <c r="K674" s="7">
        <f>IF($A674="","",S674*N674)</f>
        <v/>
      </c>
      <c r="L674" s="7">
        <f>IF($A674="","",N674-K674)</f>
        <v/>
      </c>
      <c r="M674" s="7">
        <f>IF($A674="","",L674-F674)</f>
        <v/>
      </c>
      <c r="N674" s="7" t="n"/>
      <c r="Q674" s="11" t="n"/>
      <c r="S674">
        <f>IF($A674="","",IF($W674=1,Settings!$C$6,Settings!$C$7)*1)</f>
        <v/>
      </c>
      <c r="U674">
        <f>IF($A674="","",IF(COUNTIF($A$2:$A674,$A674)=1,1,0))</f>
        <v/>
      </c>
      <c r="V674">
        <f>IF($U674=1,SUMPRODUCT(--($X$2:$X$1001&lt;$X674))+1,"")</f>
        <v/>
      </c>
      <c r="W674">
        <f>IF($A674="","",IF(OR($T674=TRUE(),$T674="TRUE"),1,0))</f>
        <v/>
      </c>
      <c r="X674">
        <f>IF($U674=1,IFERROR(IF(VALUE($A674)&lt;100000000,VALUE($A674),1000000000),IFERROR(IF(VALUE(MID($A674,2,20))&lt;100000000,VALUE(MID($A674,2,20)),1000000000),1000000000))+ROW()/100000,"")</f>
        <v/>
      </c>
    </row>
    <row r="675">
      <c r="F675" s="7">
        <f>IF($A675="","",E675*N675/100)</f>
        <v/>
      </c>
      <c r="J675" s="7" t="n"/>
      <c r="K675" s="7">
        <f>IF($A675="","",S675*N675)</f>
        <v/>
      </c>
      <c r="L675" s="7">
        <f>IF($A675="","",N675-K675)</f>
        <v/>
      </c>
      <c r="M675" s="7">
        <f>IF($A675="","",L675-F675)</f>
        <v/>
      </c>
      <c r="N675" s="7" t="n"/>
      <c r="Q675" s="11" t="n"/>
      <c r="S675">
        <f>IF($A675="","",IF($W675=1,Settings!$C$6,Settings!$C$7)*1)</f>
        <v/>
      </c>
      <c r="U675">
        <f>IF($A675="","",IF(COUNTIF($A$2:$A675,$A675)=1,1,0))</f>
        <v/>
      </c>
      <c r="V675">
        <f>IF($U675=1,SUMPRODUCT(--($X$2:$X$1001&lt;$X675))+1,"")</f>
        <v/>
      </c>
      <c r="W675">
        <f>IF($A675="","",IF(OR($T675=TRUE(),$T675="TRUE"),1,0))</f>
        <v/>
      </c>
      <c r="X675">
        <f>IF($U675=1,IFERROR(IF(VALUE($A675)&lt;100000000,VALUE($A675),1000000000),IFERROR(IF(VALUE(MID($A675,2,20))&lt;100000000,VALUE(MID($A675,2,20)),1000000000),1000000000))+ROW()/100000,"")</f>
        <v/>
      </c>
    </row>
    <row r="676">
      <c r="F676" s="7">
        <f>IF($A676="","",E676*N676/100)</f>
        <v/>
      </c>
      <c r="J676" s="7" t="n"/>
      <c r="K676" s="7">
        <f>IF($A676="","",S676*N676)</f>
        <v/>
      </c>
      <c r="L676" s="7">
        <f>IF($A676="","",N676-K676)</f>
        <v/>
      </c>
      <c r="M676" s="7">
        <f>IF($A676="","",L676-F676)</f>
        <v/>
      </c>
      <c r="N676" s="7" t="n"/>
      <c r="Q676" s="11" t="n"/>
      <c r="S676">
        <f>IF($A676="","",IF($W676=1,Settings!$C$6,Settings!$C$7)*1)</f>
        <v/>
      </c>
      <c r="U676">
        <f>IF($A676="","",IF(COUNTIF($A$2:$A676,$A676)=1,1,0))</f>
        <v/>
      </c>
      <c r="V676">
        <f>IF($U676=1,SUMPRODUCT(--($X$2:$X$1001&lt;$X676))+1,"")</f>
        <v/>
      </c>
      <c r="W676">
        <f>IF($A676="","",IF(OR($T676=TRUE(),$T676="TRUE"),1,0))</f>
        <v/>
      </c>
      <c r="X676">
        <f>IF($U676=1,IFERROR(IF(VALUE($A676)&lt;100000000,VALUE($A676),1000000000),IFERROR(IF(VALUE(MID($A676,2,20))&lt;100000000,VALUE(MID($A676,2,20)),1000000000),1000000000))+ROW()/100000,"")</f>
        <v/>
      </c>
    </row>
    <row r="677">
      <c r="F677" s="7">
        <f>IF($A677="","",E677*N677/100)</f>
        <v/>
      </c>
      <c r="J677" s="7" t="n"/>
      <c r="K677" s="7">
        <f>IF($A677="","",S677*N677)</f>
        <v/>
      </c>
      <c r="L677" s="7">
        <f>IF($A677="","",N677-K677)</f>
        <v/>
      </c>
      <c r="M677" s="7">
        <f>IF($A677="","",L677-F677)</f>
        <v/>
      </c>
      <c r="N677" s="7" t="n"/>
      <c r="Q677" s="11" t="n"/>
      <c r="S677">
        <f>IF($A677="","",IF($W677=1,Settings!$C$6,Settings!$C$7)*1)</f>
        <v/>
      </c>
      <c r="U677">
        <f>IF($A677="","",IF(COUNTIF($A$2:$A677,$A677)=1,1,0))</f>
        <v/>
      </c>
      <c r="V677">
        <f>IF($U677=1,SUMPRODUCT(--($X$2:$X$1001&lt;$X677))+1,"")</f>
        <v/>
      </c>
      <c r="W677">
        <f>IF($A677="","",IF(OR($T677=TRUE(),$T677="TRUE"),1,0))</f>
        <v/>
      </c>
      <c r="X677">
        <f>IF($U677=1,IFERROR(IF(VALUE($A677)&lt;100000000,VALUE($A677),1000000000),IFERROR(IF(VALUE(MID($A677,2,20))&lt;100000000,VALUE(MID($A677,2,20)),1000000000),1000000000))+ROW()/100000,"")</f>
        <v/>
      </c>
    </row>
    <row r="678">
      <c r="F678" s="7">
        <f>IF($A678="","",E678*N678/100)</f>
        <v/>
      </c>
      <c r="J678" s="7" t="n"/>
      <c r="K678" s="7">
        <f>IF($A678="","",S678*N678)</f>
        <v/>
      </c>
      <c r="L678" s="7">
        <f>IF($A678="","",N678-K678)</f>
        <v/>
      </c>
      <c r="M678" s="7">
        <f>IF($A678="","",L678-F678)</f>
        <v/>
      </c>
      <c r="N678" s="7" t="n"/>
      <c r="Q678" s="11" t="n"/>
      <c r="S678">
        <f>IF($A678="","",IF($W678=1,Settings!$C$6,Settings!$C$7)*1)</f>
        <v/>
      </c>
      <c r="U678">
        <f>IF($A678="","",IF(COUNTIF($A$2:$A678,$A678)=1,1,0))</f>
        <v/>
      </c>
      <c r="V678">
        <f>IF($U678=1,SUMPRODUCT(--($X$2:$X$1001&lt;$X678))+1,"")</f>
        <v/>
      </c>
      <c r="W678">
        <f>IF($A678="","",IF(OR($T678=TRUE(),$T678="TRUE"),1,0))</f>
        <v/>
      </c>
      <c r="X678">
        <f>IF($U678=1,IFERROR(IF(VALUE($A678)&lt;100000000,VALUE($A678),1000000000),IFERROR(IF(VALUE(MID($A678,2,20))&lt;100000000,VALUE(MID($A678,2,20)),1000000000),1000000000))+ROW()/100000,"")</f>
        <v/>
      </c>
    </row>
    <row r="679">
      <c r="F679" s="7">
        <f>IF($A679="","",E679*N679/100)</f>
        <v/>
      </c>
      <c r="J679" s="7" t="n"/>
      <c r="K679" s="7">
        <f>IF($A679="","",S679*N679)</f>
        <v/>
      </c>
      <c r="L679" s="7">
        <f>IF($A679="","",N679-K679)</f>
        <v/>
      </c>
      <c r="M679" s="7">
        <f>IF($A679="","",L679-F679)</f>
        <v/>
      </c>
      <c r="N679" s="7" t="n"/>
      <c r="Q679" s="11" t="n"/>
      <c r="S679">
        <f>IF($A679="","",IF($W679=1,Settings!$C$6,Settings!$C$7)*1)</f>
        <v/>
      </c>
      <c r="U679">
        <f>IF($A679="","",IF(COUNTIF($A$2:$A679,$A679)=1,1,0))</f>
        <v/>
      </c>
      <c r="V679">
        <f>IF($U679=1,SUMPRODUCT(--($X$2:$X$1001&lt;$X679))+1,"")</f>
        <v/>
      </c>
      <c r="W679">
        <f>IF($A679="","",IF(OR($T679=TRUE(),$T679="TRUE"),1,0))</f>
        <v/>
      </c>
      <c r="X679">
        <f>IF($U679=1,IFERROR(IF(VALUE($A679)&lt;100000000,VALUE($A679),1000000000),IFERROR(IF(VALUE(MID($A679,2,20))&lt;100000000,VALUE(MID($A679,2,20)),1000000000),1000000000))+ROW()/100000,"")</f>
        <v/>
      </c>
    </row>
    <row r="680">
      <c r="F680" s="7">
        <f>IF($A680="","",E680*N680/100)</f>
        <v/>
      </c>
      <c r="J680" s="7" t="n"/>
      <c r="K680" s="7">
        <f>IF($A680="","",S680*N680)</f>
        <v/>
      </c>
      <c r="L680" s="7">
        <f>IF($A680="","",N680-K680)</f>
        <v/>
      </c>
      <c r="M680" s="7">
        <f>IF($A680="","",L680-F680)</f>
        <v/>
      </c>
      <c r="N680" s="7" t="n"/>
      <c r="Q680" s="11" t="n"/>
      <c r="S680">
        <f>IF($A680="","",IF($W680=1,Settings!$C$6,Settings!$C$7)*1)</f>
        <v/>
      </c>
      <c r="U680">
        <f>IF($A680="","",IF(COUNTIF($A$2:$A680,$A680)=1,1,0))</f>
        <v/>
      </c>
      <c r="V680">
        <f>IF($U680=1,SUMPRODUCT(--($X$2:$X$1001&lt;$X680))+1,"")</f>
        <v/>
      </c>
      <c r="W680">
        <f>IF($A680="","",IF(OR($T680=TRUE(),$T680="TRUE"),1,0))</f>
        <v/>
      </c>
      <c r="X680">
        <f>IF($U680=1,IFERROR(IF(VALUE($A680)&lt;100000000,VALUE($A680),1000000000),IFERROR(IF(VALUE(MID($A680,2,20))&lt;100000000,VALUE(MID($A680,2,20)),1000000000),1000000000))+ROW()/100000,"")</f>
        <v/>
      </c>
    </row>
    <row r="681">
      <c r="F681" s="7">
        <f>IF($A681="","",E681*N681/100)</f>
        <v/>
      </c>
      <c r="J681" s="7" t="n"/>
      <c r="K681" s="7">
        <f>IF($A681="","",S681*N681)</f>
        <v/>
      </c>
      <c r="L681" s="7">
        <f>IF($A681="","",N681-K681)</f>
        <v/>
      </c>
      <c r="M681" s="7">
        <f>IF($A681="","",L681-F681)</f>
        <v/>
      </c>
      <c r="N681" s="7" t="n"/>
      <c r="Q681" s="11" t="n"/>
      <c r="S681">
        <f>IF($A681="","",IF($W681=1,Settings!$C$6,Settings!$C$7)*1)</f>
        <v/>
      </c>
      <c r="U681">
        <f>IF($A681="","",IF(COUNTIF($A$2:$A681,$A681)=1,1,0))</f>
        <v/>
      </c>
      <c r="V681">
        <f>IF($U681=1,SUMPRODUCT(--($X$2:$X$1001&lt;$X681))+1,"")</f>
        <v/>
      </c>
      <c r="W681">
        <f>IF($A681="","",IF(OR($T681=TRUE(),$T681="TRUE"),1,0))</f>
        <v/>
      </c>
      <c r="X681">
        <f>IF($U681=1,IFERROR(IF(VALUE($A681)&lt;100000000,VALUE($A681),1000000000),IFERROR(IF(VALUE(MID($A681,2,20))&lt;100000000,VALUE(MID($A681,2,20)),1000000000),1000000000))+ROW()/100000,"")</f>
        <v/>
      </c>
    </row>
    <row r="682">
      <c r="F682" s="7">
        <f>IF($A682="","",E682*N682/100)</f>
        <v/>
      </c>
      <c r="J682" s="7" t="n"/>
      <c r="K682" s="7">
        <f>IF($A682="","",S682*N682)</f>
        <v/>
      </c>
      <c r="L682" s="7">
        <f>IF($A682="","",N682-K682)</f>
        <v/>
      </c>
      <c r="M682" s="7">
        <f>IF($A682="","",L682-F682)</f>
        <v/>
      </c>
      <c r="N682" s="7" t="n"/>
      <c r="Q682" s="11" t="n"/>
      <c r="S682">
        <f>IF($A682="","",IF($W682=1,Settings!$C$6,Settings!$C$7)*1)</f>
        <v/>
      </c>
      <c r="U682">
        <f>IF($A682="","",IF(COUNTIF($A$2:$A682,$A682)=1,1,0))</f>
        <v/>
      </c>
      <c r="V682">
        <f>IF($U682=1,SUMPRODUCT(--($X$2:$X$1001&lt;$X682))+1,"")</f>
        <v/>
      </c>
      <c r="W682">
        <f>IF($A682="","",IF(OR($T682=TRUE(),$T682="TRUE"),1,0))</f>
        <v/>
      </c>
      <c r="X682">
        <f>IF($U682=1,IFERROR(IF(VALUE($A682)&lt;100000000,VALUE($A682),1000000000),IFERROR(IF(VALUE(MID($A682,2,20))&lt;100000000,VALUE(MID($A682,2,20)),1000000000),1000000000))+ROW()/100000,"")</f>
        <v/>
      </c>
    </row>
    <row r="683">
      <c r="F683" s="7">
        <f>IF($A683="","",E683*N683/100)</f>
        <v/>
      </c>
      <c r="J683" s="7" t="n"/>
      <c r="K683" s="7">
        <f>IF($A683="","",S683*N683)</f>
        <v/>
      </c>
      <c r="L683" s="7">
        <f>IF($A683="","",N683-K683)</f>
        <v/>
      </c>
      <c r="M683" s="7">
        <f>IF($A683="","",L683-F683)</f>
        <v/>
      </c>
      <c r="N683" s="7" t="n"/>
      <c r="Q683" s="11" t="n"/>
      <c r="S683">
        <f>IF($A683="","",IF($W683=1,Settings!$C$6,Settings!$C$7)*1)</f>
        <v/>
      </c>
      <c r="U683">
        <f>IF($A683="","",IF(COUNTIF($A$2:$A683,$A683)=1,1,0))</f>
        <v/>
      </c>
      <c r="V683">
        <f>IF($U683=1,SUMPRODUCT(--($X$2:$X$1001&lt;$X683))+1,"")</f>
        <v/>
      </c>
      <c r="W683">
        <f>IF($A683="","",IF(OR($T683=TRUE(),$T683="TRUE"),1,0))</f>
        <v/>
      </c>
      <c r="X683">
        <f>IF($U683=1,IFERROR(IF(VALUE($A683)&lt;100000000,VALUE($A683),1000000000),IFERROR(IF(VALUE(MID($A683,2,20))&lt;100000000,VALUE(MID($A683,2,20)),1000000000),1000000000))+ROW()/100000,"")</f>
        <v/>
      </c>
    </row>
    <row r="684">
      <c r="F684" s="7">
        <f>IF($A684="","",E684*N684/100)</f>
        <v/>
      </c>
      <c r="J684" s="7" t="n"/>
      <c r="K684" s="7">
        <f>IF($A684="","",S684*N684)</f>
        <v/>
      </c>
      <c r="L684" s="7">
        <f>IF($A684="","",N684-K684)</f>
        <v/>
      </c>
      <c r="M684" s="7">
        <f>IF($A684="","",L684-F684)</f>
        <v/>
      </c>
      <c r="N684" s="7" t="n"/>
      <c r="Q684" s="11" t="n"/>
      <c r="S684">
        <f>IF($A684="","",IF($W684=1,Settings!$C$6,Settings!$C$7)*1)</f>
        <v/>
      </c>
      <c r="U684">
        <f>IF($A684="","",IF(COUNTIF($A$2:$A684,$A684)=1,1,0))</f>
        <v/>
      </c>
      <c r="V684">
        <f>IF($U684=1,SUMPRODUCT(--($X$2:$X$1001&lt;$X684))+1,"")</f>
        <v/>
      </c>
      <c r="W684">
        <f>IF($A684="","",IF(OR($T684=TRUE(),$T684="TRUE"),1,0))</f>
        <v/>
      </c>
      <c r="X684">
        <f>IF($U684=1,IFERROR(IF(VALUE($A684)&lt;100000000,VALUE($A684),1000000000),IFERROR(IF(VALUE(MID($A684,2,20))&lt;100000000,VALUE(MID($A684,2,20)),1000000000),1000000000))+ROW()/100000,"")</f>
        <v/>
      </c>
    </row>
    <row r="685">
      <c r="F685" s="7">
        <f>IF($A685="","",E685*N685/100)</f>
        <v/>
      </c>
      <c r="J685" s="7" t="n"/>
      <c r="K685" s="7">
        <f>IF($A685="","",S685*N685)</f>
        <v/>
      </c>
      <c r="L685" s="7">
        <f>IF($A685="","",N685-K685)</f>
        <v/>
      </c>
      <c r="M685" s="7">
        <f>IF($A685="","",L685-F685)</f>
        <v/>
      </c>
      <c r="N685" s="7" t="n"/>
      <c r="Q685" s="11" t="n"/>
      <c r="S685">
        <f>IF($A685="","",IF($W685=1,Settings!$C$6,Settings!$C$7)*1)</f>
        <v/>
      </c>
      <c r="U685">
        <f>IF($A685="","",IF(COUNTIF($A$2:$A685,$A685)=1,1,0))</f>
        <v/>
      </c>
      <c r="V685">
        <f>IF($U685=1,SUMPRODUCT(--($X$2:$X$1001&lt;$X685))+1,"")</f>
        <v/>
      </c>
      <c r="W685">
        <f>IF($A685="","",IF(OR($T685=TRUE(),$T685="TRUE"),1,0))</f>
        <v/>
      </c>
      <c r="X685">
        <f>IF($U685=1,IFERROR(IF(VALUE($A685)&lt;100000000,VALUE($A685),1000000000),IFERROR(IF(VALUE(MID($A685,2,20))&lt;100000000,VALUE(MID($A685,2,20)),1000000000),1000000000))+ROW()/100000,"")</f>
        <v/>
      </c>
    </row>
    <row r="686">
      <c r="F686" s="7">
        <f>IF($A686="","",E686*N686/100)</f>
        <v/>
      </c>
      <c r="J686" s="7" t="n"/>
      <c r="K686" s="7">
        <f>IF($A686="","",S686*N686)</f>
        <v/>
      </c>
      <c r="L686" s="7">
        <f>IF($A686="","",N686-K686)</f>
        <v/>
      </c>
      <c r="M686" s="7">
        <f>IF($A686="","",L686-F686)</f>
        <v/>
      </c>
      <c r="N686" s="7" t="n"/>
      <c r="Q686" s="11" t="n"/>
      <c r="S686">
        <f>IF($A686="","",IF($W686=1,Settings!$C$6,Settings!$C$7)*1)</f>
        <v/>
      </c>
      <c r="U686">
        <f>IF($A686="","",IF(COUNTIF($A$2:$A686,$A686)=1,1,0))</f>
        <v/>
      </c>
      <c r="V686">
        <f>IF($U686=1,SUMPRODUCT(--($X$2:$X$1001&lt;$X686))+1,"")</f>
        <v/>
      </c>
      <c r="W686">
        <f>IF($A686="","",IF(OR($T686=TRUE(),$T686="TRUE"),1,0))</f>
        <v/>
      </c>
      <c r="X686">
        <f>IF($U686=1,IFERROR(IF(VALUE($A686)&lt;100000000,VALUE($A686),1000000000),IFERROR(IF(VALUE(MID($A686,2,20))&lt;100000000,VALUE(MID($A686,2,20)),1000000000),1000000000))+ROW()/100000,"")</f>
        <v/>
      </c>
    </row>
    <row r="687">
      <c r="F687" s="7">
        <f>IF($A687="","",E687*N687/100)</f>
        <v/>
      </c>
      <c r="J687" s="7" t="n"/>
      <c r="K687" s="7">
        <f>IF($A687="","",S687*N687)</f>
        <v/>
      </c>
      <c r="L687" s="7">
        <f>IF($A687="","",N687-K687)</f>
        <v/>
      </c>
      <c r="M687" s="7">
        <f>IF($A687="","",L687-F687)</f>
        <v/>
      </c>
      <c r="N687" s="7" t="n"/>
      <c r="Q687" s="11" t="n"/>
      <c r="S687">
        <f>IF($A687="","",IF($W687=1,Settings!$C$6,Settings!$C$7)*1)</f>
        <v/>
      </c>
      <c r="U687">
        <f>IF($A687="","",IF(COUNTIF($A$2:$A687,$A687)=1,1,0))</f>
        <v/>
      </c>
      <c r="V687">
        <f>IF($U687=1,SUMPRODUCT(--($X$2:$X$1001&lt;$X687))+1,"")</f>
        <v/>
      </c>
      <c r="W687">
        <f>IF($A687="","",IF(OR($T687=TRUE(),$T687="TRUE"),1,0))</f>
        <v/>
      </c>
      <c r="X687">
        <f>IF($U687=1,IFERROR(IF(VALUE($A687)&lt;100000000,VALUE($A687),1000000000),IFERROR(IF(VALUE(MID($A687,2,20))&lt;100000000,VALUE(MID($A687,2,20)),1000000000),1000000000))+ROW()/100000,"")</f>
        <v/>
      </c>
    </row>
    <row r="688">
      <c r="F688" s="7">
        <f>IF($A688="","",E688*N688/100)</f>
        <v/>
      </c>
      <c r="J688" s="7" t="n"/>
      <c r="K688" s="7">
        <f>IF($A688="","",S688*N688)</f>
        <v/>
      </c>
      <c r="L688" s="7">
        <f>IF($A688="","",N688-K688)</f>
        <v/>
      </c>
      <c r="M688" s="7">
        <f>IF($A688="","",L688-F688)</f>
        <v/>
      </c>
      <c r="N688" s="7" t="n"/>
      <c r="Q688" s="11" t="n"/>
      <c r="S688">
        <f>IF($A688="","",IF($W688=1,Settings!$C$6,Settings!$C$7)*1)</f>
        <v/>
      </c>
      <c r="U688">
        <f>IF($A688="","",IF(COUNTIF($A$2:$A688,$A688)=1,1,0))</f>
        <v/>
      </c>
      <c r="V688">
        <f>IF($U688=1,SUMPRODUCT(--($X$2:$X$1001&lt;$X688))+1,"")</f>
        <v/>
      </c>
      <c r="W688">
        <f>IF($A688="","",IF(OR($T688=TRUE(),$T688="TRUE"),1,0))</f>
        <v/>
      </c>
      <c r="X688">
        <f>IF($U688=1,IFERROR(IF(VALUE($A688)&lt;100000000,VALUE($A688),1000000000),IFERROR(IF(VALUE(MID($A688,2,20))&lt;100000000,VALUE(MID($A688,2,20)),1000000000),1000000000))+ROW()/100000,"")</f>
        <v/>
      </c>
    </row>
    <row r="689">
      <c r="F689" s="7">
        <f>IF($A689="","",E689*N689/100)</f>
        <v/>
      </c>
      <c r="J689" s="7" t="n"/>
      <c r="K689" s="7">
        <f>IF($A689="","",S689*N689)</f>
        <v/>
      </c>
      <c r="L689" s="7">
        <f>IF($A689="","",N689-K689)</f>
        <v/>
      </c>
      <c r="M689" s="7">
        <f>IF($A689="","",L689-F689)</f>
        <v/>
      </c>
      <c r="N689" s="7" t="n"/>
      <c r="Q689" s="11" t="n"/>
      <c r="S689">
        <f>IF($A689="","",IF($W689=1,Settings!$C$6,Settings!$C$7)*1)</f>
        <v/>
      </c>
      <c r="U689">
        <f>IF($A689="","",IF(COUNTIF($A$2:$A689,$A689)=1,1,0))</f>
        <v/>
      </c>
      <c r="V689">
        <f>IF($U689=1,SUMPRODUCT(--($X$2:$X$1001&lt;$X689))+1,"")</f>
        <v/>
      </c>
      <c r="W689">
        <f>IF($A689="","",IF(OR($T689=TRUE(),$T689="TRUE"),1,0))</f>
        <v/>
      </c>
      <c r="X689">
        <f>IF($U689=1,IFERROR(IF(VALUE($A689)&lt;100000000,VALUE($A689),1000000000),IFERROR(IF(VALUE(MID($A689,2,20))&lt;100000000,VALUE(MID($A689,2,20)),1000000000),1000000000))+ROW()/100000,"")</f>
        <v/>
      </c>
    </row>
    <row r="690">
      <c r="F690" s="7">
        <f>IF($A690="","",E690*N690/100)</f>
        <v/>
      </c>
      <c r="J690" s="7" t="n"/>
      <c r="K690" s="7">
        <f>IF($A690="","",S690*N690)</f>
        <v/>
      </c>
      <c r="L690" s="7">
        <f>IF($A690="","",N690-K690)</f>
        <v/>
      </c>
      <c r="M690" s="7">
        <f>IF($A690="","",L690-F690)</f>
        <v/>
      </c>
      <c r="N690" s="7" t="n"/>
      <c r="Q690" s="11" t="n"/>
      <c r="S690">
        <f>IF($A690="","",IF($W690=1,Settings!$C$6,Settings!$C$7)*1)</f>
        <v/>
      </c>
      <c r="U690">
        <f>IF($A690="","",IF(COUNTIF($A$2:$A690,$A690)=1,1,0))</f>
        <v/>
      </c>
      <c r="V690">
        <f>IF($U690=1,SUMPRODUCT(--($X$2:$X$1001&lt;$X690))+1,"")</f>
        <v/>
      </c>
      <c r="W690">
        <f>IF($A690="","",IF(OR($T690=TRUE(),$T690="TRUE"),1,0))</f>
        <v/>
      </c>
      <c r="X690">
        <f>IF($U690=1,IFERROR(IF(VALUE($A690)&lt;100000000,VALUE($A690),1000000000),IFERROR(IF(VALUE(MID($A690,2,20))&lt;100000000,VALUE(MID($A690,2,20)),1000000000),1000000000))+ROW()/100000,"")</f>
        <v/>
      </c>
    </row>
    <row r="691">
      <c r="F691" s="7">
        <f>IF($A691="","",E691*N691/100)</f>
        <v/>
      </c>
      <c r="J691" s="7" t="n"/>
      <c r="K691" s="7">
        <f>IF($A691="","",S691*N691)</f>
        <v/>
      </c>
      <c r="L691" s="7">
        <f>IF($A691="","",N691-K691)</f>
        <v/>
      </c>
      <c r="M691" s="7">
        <f>IF($A691="","",L691-F691)</f>
        <v/>
      </c>
      <c r="N691" s="7" t="n"/>
      <c r="Q691" s="11" t="n"/>
      <c r="S691">
        <f>IF($A691="","",IF($W691=1,Settings!$C$6,Settings!$C$7)*1)</f>
        <v/>
      </c>
      <c r="U691">
        <f>IF($A691="","",IF(COUNTIF($A$2:$A691,$A691)=1,1,0))</f>
        <v/>
      </c>
      <c r="V691">
        <f>IF($U691=1,SUMPRODUCT(--($X$2:$X$1001&lt;$X691))+1,"")</f>
        <v/>
      </c>
      <c r="W691">
        <f>IF($A691="","",IF(OR($T691=TRUE(),$T691="TRUE"),1,0))</f>
        <v/>
      </c>
      <c r="X691">
        <f>IF($U691=1,IFERROR(IF(VALUE($A691)&lt;100000000,VALUE($A691),1000000000),IFERROR(IF(VALUE(MID($A691,2,20))&lt;100000000,VALUE(MID($A691,2,20)),1000000000),1000000000))+ROW()/100000,"")</f>
        <v/>
      </c>
    </row>
    <row r="692">
      <c r="F692" s="7">
        <f>IF($A692="","",E692*N692/100)</f>
        <v/>
      </c>
      <c r="J692" s="7" t="n"/>
      <c r="K692" s="7">
        <f>IF($A692="","",S692*N692)</f>
        <v/>
      </c>
      <c r="L692" s="7">
        <f>IF($A692="","",N692-K692)</f>
        <v/>
      </c>
      <c r="M692" s="7">
        <f>IF($A692="","",L692-F692)</f>
        <v/>
      </c>
      <c r="N692" s="7" t="n"/>
      <c r="Q692" s="11" t="n"/>
      <c r="S692">
        <f>IF($A692="","",IF($W692=1,Settings!$C$6,Settings!$C$7)*1)</f>
        <v/>
      </c>
      <c r="U692">
        <f>IF($A692="","",IF(COUNTIF($A$2:$A692,$A692)=1,1,0))</f>
        <v/>
      </c>
      <c r="V692">
        <f>IF($U692=1,SUMPRODUCT(--($X$2:$X$1001&lt;$X692))+1,"")</f>
        <v/>
      </c>
      <c r="W692">
        <f>IF($A692="","",IF(OR($T692=TRUE(),$T692="TRUE"),1,0))</f>
        <v/>
      </c>
      <c r="X692">
        <f>IF($U692=1,IFERROR(IF(VALUE($A692)&lt;100000000,VALUE($A692),1000000000),IFERROR(IF(VALUE(MID($A692,2,20))&lt;100000000,VALUE(MID($A692,2,20)),1000000000),1000000000))+ROW()/100000,"")</f>
        <v/>
      </c>
    </row>
    <row r="693">
      <c r="F693" s="7">
        <f>IF($A693="","",E693*N693/100)</f>
        <v/>
      </c>
      <c r="J693" s="7" t="n"/>
      <c r="K693" s="7">
        <f>IF($A693="","",S693*N693)</f>
        <v/>
      </c>
      <c r="L693" s="7">
        <f>IF($A693="","",N693-K693)</f>
        <v/>
      </c>
      <c r="M693" s="7">
        <f>IF($A693="","",L693-F693)</f>
        <v/>
      </c>
      <c r="N693" s="7" t="n"/>
      <c r="Q693" s="11" t="n"/>
      <c r="S693">
        <f>IF($A693="","",IF($W693=1,Settings!$C$6,Settings!$C$7)*1)</f>
        <v/>
      </c>
      <c r="U693">
        <f>IF($A693="","",IF(COUNTIF($A$2:$A693,$A693)=1,1,0))</f>
        <v/>
      </c>
      <c r="V693">
        <f>IF($U693=1,SUMPRODUCT(--($X$2:$X$1001&lt;$X693))+1,"")</f>
        <v/>
      </c>
      <c r="W693">
        <f>IF($A693="","",IF(OR($T693=TRUE(),$T693="TRUE"),1,0))</f>
        <v/>
      </c>
      <c r="X693">
        <f>IF($U693=1,IFERROR(IF(VALUE($A693)&lt;100000000,VALUE($A693),1000000000),IFERROR(IF(VALUE(MID($A693,2,20))&lt;100000000,VALUE(MID($A693,2,20)),1000000000),1000000000))+ROW()/100000,"")</f>
        <v/>
      </c>
    </row>
    <row r="694">
      <c r="F694" s="7">
        <f>IF($A694="","",E694*N694/100)</f>
        <v/>
      </c>
      <c r="J694" s="7" t="n"/>
      <c r="K694" s="7">
        <f>IF($A694="","",S694*N694)</f>
        <v/>
      </c>
      <c r="L694" s="7">
        <f>IF($A694="","",N694-K694)</f>
        <v/>
      </c>
      <c r="M694" s="7">
        <f>IF($A694="","",L694-F694)</f>
        <v/>
      </c>
      <c r="N694" s="7" t="n"/>
      <c r="Q694" s="11" t="n"/>
      <c r="S694">
        <f>IF($A694="","",IF($W694=1,Settings!$C$6,Settings!$C$7)*1)</f>
        <v/>
      </c>
      <c r="U694">
        <f>IF($A694="","",IF(COUNTIF($A$2:$A694,$A694)=1,1,0))</f>
        <v/>
      </c>
      <c r="V694">
        <f>IF($U694=1,SUMPRODUCT(--($X$2:$X$1001&lt;$X694))+1,"")</f>
        <v/>
      </c>
      <c r="W694">
        <f>IF($A694="","",IF(OR($T694=TRUE(),$T694="TRUE"),1,0))</f>
        <v/>
      </c>
      <c r="X694">
        <f>IF($U694=1,IFERROR(IF(VALUE($A694)&lt;100000000,VALUE($A694),1000000000),IFERROR(IF(VALUE(MID($A694,2,20))&lt;100000000,VALUE(MID($A694,2,20)),1000000000),1000000000))+ROW()/100000,"")</f>
        <v/>
      </c>
    </row>
    <row r="695">
      <c r="F695" s="7">
        <f>IF($A695="","",E695*N695/100)</f>
        <v/>
      </c>
      <c r="J695" s="7" t="n"/>
      <c r="K695" s="7">
        <f>IF($A695="","",S695*N695)</f>
        <v/>
      </c>
      <c r="L695" s="7">
        <f>IF($A695="","",N695-K695)</f>
        <v/>
      </c>
      <c r="M695" s="7">
        <f>IF($A695="","",L695-F695)</f>
        <v/>
      </c>
      <c r="N695" s="7" t="n"/>
      <c r="Q695" s="11" t="n"/>
      <c r="S695">
        <f>IF($A695="","",IF($W695=1,Settings!$C$6,Settings!$C$7)*1)</f>
        <v/>
      </c>
      <c r="U695">
        <f>IF($A695="","",IF(COUNTIF($A$2:$A695,$A695)=1,1,0))</f>
        <v/>
      </c>
      <c r="V695">
        <f>IF($U695=1,SUMPRODUCT(--($X$2:$X$1001&lt;$X695))+1,"")</f>
        <v/>
      </c>
      <c r="W695">
        <f>IF($A695="","",IF(OR($T695=TRUE(),$T695="TRUE"),1,0))</f>
        <v/>
      </c>
      <c r="X695">
        <f>IF($U695=1,IFERROR(IF(VALUE($A695)&lt;100000000,VALUE($A695),1000000000),IFERROR(IF(VALUE(MID($A695,2,20))&lt;100000000,VALUE(MID($A695,2,20)),1000000000),1000000000))+ROW()/100000,"")</f>
        <v/>
      </c>
    </row>
    <row r="696">
      <c r="F696" s="7">
        <f>IF($A696="","",E696*N696/100)</f>
        <v/>
      </c>
      <c r="J696" s="7" t="n"/>
      <c r="K696" s="7">
        <f>IF($A696="","",S696*N696)</f>
        <v/>
      </c>
      <c r="L696" s="7">
        <f>IF($A696="","",N696-K696)</f>
        <v/>
      </c>
      <c r="M696" s="7">
        <f>IF($A696="","",L696-F696)</f>
        <v/>
      </c>
      <c r="N696" s="7" t="n"/>
      <c r="Q696" s="11" t="n"/>
      <c r="S696">
        <f>IF($A696="","",IF($W696=1,Settings!$C$6,Settings!$C$7)*1)</f>
        <v/>
      </c>
      <c r="U696">
        <f>IF($A696="","",IF(COUNTIF($A$2:$A696,$A696)=1,1,0))</f>
        <v/>
      </c>
      <c r="V696">
        <f>IF($U696=1,SUMPRODUCT(--($X$2:$X$1001&lt;$X696))+1,"")</f>
        <v/>
      </c>
      <c r="W696">
        <f>IF($A696="","",IF(OR($T696=TRUE(),$T696="TRUE"),1,0))</f>
        <v/>
      </c>
      <c r="X696">
        <f>IF($U696=1,IFERROR(IF(VALUE($A696)&lt;100000000,VALUE($A696),1000000000),IFERROR(IF(VALUE(MID($A696,2,20))&lt;100000000,VALUE(MID($A696,2,20)),1000000000),1000000000))+ROW()/100000,"")</f>
        <v/>
      </c>
    </row>
    <row r="697">
      <c r="F697" s="7">
        <f>IF($A697="","",E697*N697/100)</f>
        <v/>
      </c>
      <c r="J697" s="7" t="n"/>
      <c r="K697" s="7">
        <f>IF($A697="","",S697*N697)</f>
        <v/>
      </c>
      <c r="L697" s="7">
        <f>IF($A697="","",N697-K697)</f>
        <v/>
      </c>
      <c r="M697" s="7">
        <f>IF($A697="","",L697-F697)</f>
        <v/>
      </c>
      <c r="N697" s="7" t="n"/>
      <c r="Q697" s="11" t="n"/>
      <c r="S697">
        <f>IF($A697="","",IF($W697=1,Settings!$C$6,Settings!$C$7)*1)</f>
        <v/>
      </c>
      <c r="U697">
        <f>IF($A697="","",IF(COUNTIF($A$2:$A697,$A697)=1,1,0))</f>
        <v/>
      </c>
      <c r="V697">
        <f>IF($U697=1,SUMPRODUCT(--($X$2:$X$1001&lt;$X697))+1,"")</f>
        <v/>
      </c>
      <c r="W697">
        <f>IF($A697="","",IF(OR($T697=TRUE(),$T697="TRUE"),1,0))</f>
        <v/>
      </c>
      <c r="X697">
        <f>IF($U697=1,IFERROR(IF(VALUE($A697)&lt;100000000,VALUE($A697),1000000000),IFERROR(IF(VALUE(MID($A697,2,20))&lt;100000000,VALUE(MID($A697,2,20)),1000000000),1000000000))+ROW()/100000,"")</f>
        <v/>
      </c>
    </row>
    <row r="698">
      <c r="F698" s="7">
        <f>IF($A698="","",E698*N698/100)</f>
        <v/>
      </c>
      <c r="J698" s="7" t="n"/>
      <c r="K698" s="7">
        <f>IF($A698="","",S698*N698)</f>
        <v/>
      </c>
      <c r="L698" s="7">
        <f>IF($A698="","",N698-K698)</f>
        <v/>
      </c>
      <c r="M698" s="7">
        <f>IF($A698="","",L698-F698)</f>
        <v/>
      </c>
      <c r="N698" s="7" t="n"/>
      <c r="Q698" s="11" t="n"/>
      <c r="S698">
        <f>IF($A698="","",IF($W698=1,Settings!$C$6,Settings!$C$7)*1)</f>
        <v/>
      </c>
      <c r="U698">
        <f>IF($A698="","",IF(COUNTIF($A$2:$A698,$A698)=1,1,0))</f>
        <v/>
      </c>
      <c r="V698">
        <f>IF($U698=1,SUMPRODUCT(--($X$2:$X$1001&lt;$X698))+1,"")</f>
        <v/>
      </c>
      <c r="W698">
        <f>IF($A698="","",IF(OR($T698=TRUE(),$T698="TRUE"),1,0))</f>
        <v/>
      </c>
      <c r="X698">
        <f>IF($U698=1,IFERROR(IF(VALUE($A698)&lt;100000000,VALUE($A698),1000000000),IFERROR(IF(VALUE(MID($A698,2,20))&lt;100000000,VALUE(MID($A698,2,20)),1000000000),1000000000))+ROW()/100000,"")</f>
        <v/>
      </c>
    </row>
    <row r="699">
      <c r="F699" s="7">
        <f>IF($A699="","",E699*N699/100)</f>
        <v/>
      </c>
      <c r="J699" s="7" t="n"/>
      <c r="K699" s="7">
        <f>IF($A699="","",S699*N699)</f>
        <v/>
      </c>
      <c r="L699" s="7">
        <f>IF($A699="","",N699-K699)</f>
        <v/>
      </c>
      <c r="M699" s="7">
        <f>IF($A699="","",L699-F699)</f>
        <v/>
      </c>
      <c r="N699" s="7" t="n"/>
      <c r="Q699" s="11" t="n"/>
      <c r="S699">
        <f>IF($A699="","",IF($W699=1,Settings!$C$6,Settings!$C$7)*1)</f>
        <v/>
      </c>
      <c r="U699">
        <f>IF($A699="","",IF(COUNTIF($A$2:$A699,$A699)=1,1,0))</f>
        <v/>
      </c>
      <c r="V699">
        <f>IF($U699=1,SUMPRODUCT(--($X$2:$X$1001&lt;$X699))+1,"")</f>
        <v/>
      </c>
      <c r="W699">
        <f>IF($A699="","",IF(OR($T699=TRUE(),$T699="TRUE"),1,0))</f>
        <v/>
      </c>
      <c r="X699">
        <f>IF($U699=1,IFERROR(IF(VALUE($A699)&lt;100000000,VALUE($A699),1000000000),IFERROR(IF(VALUE(MID($A699,2,20))&lt;100000000,VALUE(MID($A699,2,20)),1000000000),1000000000))+ROW()/100000,"")</f>
        <v/>
      </c>
    </row>
    <row r="700">
      <c r="F700" s="7">
        <f>IF($A700="","",E700*N700/100)</f>
        <v/>
      </c>
      <c r="J700" s="7" t="n"/>
      <c r="K700" s="7">
        <f>IF($A700="","",S700*N700)</f>
        <v/>
      </c>
      <c r="L700" s="7">
        <f>IF($A700="","",N700-K700)</f>
        <v/>
      </c>
      <c r="M700" s="7">
        <f>IF($A700="","",L700-F700)</f>
        <v/>
      </c>
      <c r="N700" s="7" t="n"/>
      <c r="Q700" s="11" t="n"/>
      <c r="S700">
        <f>IF($A700="","",IF($W700=1,Settings!$C$6,Settings!$C$7)*1)</f>
        <v/>
      </c>
      <c r="U700">
        <f>IF($A700="","",IF(COUNTIF($A$2:$A700,$A700)=1,1,0))</f>
        <v/>
      </c>
      <c r="V700">
        <f>IF($U700=1,SUMPRODUCT(--($X$2:$X$1001&lt;$X700))+1,"")</f>
        <v/>
      </c>
      <c r="W700">
        <f>IF($A700="","",IF(OR($T700=TRUE(),$T700="TRUE"),1,0))</f>
        <v/>
      </c>
      <c r="X700">
        <f>IF($U700=1,IFERROR(IF(VALUE($A700)&lt;100000000,VALUE($A700),1000000000),IFERROR(IF(VALUE(MID($A700,2,20))&lt;100000000,VALUE(MID($A700,2,20)),1000000000),1000000000))+ROW()/100000,"")</f>
        <v/>
      </c>
    </row>
    <row r="701">
      <c r="F701" s="7">
        <f>IF($A701="","",E701*N701/100)</f>
        <v/>
      </c>
      <c r="J701" s="7" t="n"/>
      <c r="K701" s="7">
        <f>IF($A701="","",S701*N701)</f>
        <v/>
      </c>
      <c r="L701" s="7">
        <f>IF($A701="","",N701-K701)</f>
        <v/>
      </c>
      <c r="M701" s="7">
        <f>IF($A701="","",L701-F701)</f>
        <v/>
      </c>
      <c r="N701" s="7" t="n"/>
      <c r="Q701" s="11" t="n"/>
      <c r="S701">
        <f>IF($A701="","",IF($W701=1,Settings!$C$6,Settings!$C$7)*1)</f>
        <v/>
      </c>
      <c r="U701">
        <f>IF($A701="","",IF(COUNTIF($A$2:$A701,$A701)=1,1,0))</f>
        <v/>
      </c>
      <c r="V701">
        <f>IF($U701=1,SUMPRODUCT(--($X$2:$X$1001&lt;$X701))+1,"")</f>
        <v/>
      </c>
      <c r="W701">
        <f>IF($A701="","",IF(OR($T701=TRUE(),$T701="TRUE"),1,0))</f>
        <v/>
      </c>
      <c r="X701">
        <f>IF($U701=1,IFERROR(IF(VALUE($A701)&lt;100000000,VALUE($A701),1000000000),IFERROR(IF(VALUE(MID($A701,2,20))&lt;100000000,VALUE(MID($A701,2,20)),1000000000),1000000000))+ROW()/100000,"")</f>
        <v/>
      </c>
    </row>
    <row r="702">
      <c r="F702" s="7">
        <f>IF($A702="","",E702*N702/100)</f>
        <v/>
      </c>
      <c r="J702" s="7" t="n"/>
      <c r="K702" s="7">
        <f>IF($A702="","",S702*N702)</f>
        <v/>
      </c>
      <c r="L702" s="7">
        <f>IF($A702="","",N702-K702)</f>
        <v/>
      </c>
      <c r="M702" s="7">
        <f>IF($A702="","",L702-F702)</f>
        <v/>
      </c>
      <c r="N702" s="7" t="n"/>
      <c r="Q702" s="11" t="n"/>
      <c r="S702">
        <f>IF($A702="","",IF($W702=1,Settings!$C$6,Settings!$C$7)*1)</f>
        <v/>
      </c>
      <c r="U702">
        <f>IF($A702="","",IF(COUNTIF($A$2:$A702,$A702)=1,1,0))</f>
        <v/>
      </c>
      <c r="V702">
        <f>IF($U702=1,SUMPRODUCT(--($X$2:$X$1001&lt;$X702))+1,"")</f>
        <v/>
      </c>
      <c r="W702">
        <f>IF($A702="","",IF(OR($T702=TRUE(),$T702="TRUE"),1,0))</f>
        <v/>
      </c>
      <c r="X702">
        <f>IF($U702=1,IFERROR(IF(VALUE($A702)&lt;100000000,VALUE($A702),1000000000),IFERROR(IF(VALUE(MID($A702,2,20))&lt;100000000,VALUE(MID($A702,2,20)),1000000000),1000000000))+ROW()/100000,"")</f>
        <v/>
      </c>
    </row>
    <row r="703">
      <c r="F703" s="7">
        <f>IF($A703="","",E703*N703/100)</f>
        <v/>
      </c>
      <c r="J703" s="7" t="n"/>
      <c r="K703" s="7">
        <f>IF($A703="","",S703*N703)</f>
        <v/>
      </c>
      <c r="L703" s="7">
        <f>IF($A703="","",N703-K703)</f>
        <v/>
      </c>
      <c r="M703" s="7">
        <f>IF($A703="","",L703-F703)</f>
        <v/>
      </c>
      <c r="N703" s="7" t="n"/>
      <c r="Q703" s="11" t="n"/>
      <c r="S703">
        <f>IF($A703="","",IF($W703=1,Settings!$C$6,Settings!$C$7)*1)</f>
        <v/>
      </c>
      <c r="U703">
        <f>IF($A703="","",IF(COUNTIF($A$2:$A703,$A703)=1,1,0))</f>
        <v/>
      </c>
      <c r="V703">
        <f>IF($U703=1,SUMPRODUCT(--($X$2:$X$1001&lt;$X703))+1,"")</f>
        <v/>
      </c>
      <c r="W703">
        <f>IF($A703="","",IF(OR($T703=TRUE(),$T703="TRUE"),1,0))</f>
        <v/>
      </c>
      <c r="X703">
        <f>IF($U703=1,IFERROR(IF(VALUE($A703)&lt;100000000,VALUE($A703),1000000000),IFERROR(IF(VALUE(MID($A703,2,20))&lt;100000000,VALUE(MID($A703,2,20)),1000000000),1000000000))+ROW()/100000,"")</f>
        <v/>
      </c>
    </row>
    <row r="704">
      <c r="F704" s="7">
        <f>IF($A704="","",E704*N704/100)</f>
        <v/>
      </c>
      <c r="J704" s="7" t="n"/>
      <c r="K704" s="7">
        <f>IF($A704="","",S704*N704)</f>
        <v/>
      </c>
      <c r="L704" s="7">
        <f>IF($A704="","",N704-K704)</f>
        <v/>
      </c>
      <c r="M704" s="7">
        <f>IF($A704="","",L704-F704)</f>
        <v/>
      </c>
      <c r="N704" s="7" t="n"/>
      <c r="Q704" s="11" t="n"/>
      <c r="S704">
        <f>IF($A704="","",IF($W704=1,Settings!$C$6,Settings!$C$7)*1)</f>
        <v/>
      </c>
      <c r="U704">
        <f>IF($A704="","",IF(COUNTIF($A$2:$A704,$A704)=1,1,0))</f>
        <v/>
      </c>
      <c r="V704">
        <f>IF($U704=1,SUMPRODUCT(--($X$2:$X$1001&lt;$X704))+1,"")</f>
        <v/>
      </c>
      <c r="W704">
        <f>IF($A704="","",IF(OR($T704=TRUE(),$T704="TRUE"),1,0))</f>
        <v/>
      </c>
      <c r="X704">
        <f>IF($U704=1,IFERROR(IF(VALUE($A704)&lt;100000000,VALUE($A704),1000000000),IFERROR(IF(VALUE(MID($A704,2,20))&lt;100000000,VALUE(MID($A704,2,20)),1000000000),1000000000))+ROW()/100000,"")</f>
        <v/>
      </c>
    </row>
    <row r="705">
      <c r="F705" s="7">
        <f>IF($A705="","",E705*N705/100)</f>
        <v/>
      </c>
      <c r="J705" s="7" t="n"/>
      <c r="K705" s="7">
        <f>IF($A705="","",S705*N705)</f>
        <v/>
      </c>
      <c r="L705" s="7">
        <f>IF($A705="","",N705-K705)</f>
        <v/>
      </c>
      <c r="M705" s="7">
        <f>IF($A705="","",L705-F705)</f>
        <v/>
      </c>
      <c r="N705" s="7" t="n"/>
      <c r="Q705" s="11" t="n"/>
      <c r="S705">
        <f>IF($A705="","",IF($W705=1,Settings!$C$6,Settings!$C$7)*1)</f>
        <v/>
      </c>
      <c r="U705">
        <f>IF($A705="","",IF(COUNTIF($A$2:$A705,$A705)=1,1,0))</f>
        <v/>
      </c>
      <c r="V705">
        <f>IF($U705=1,SUMPRODUCT(--($X$2:$X$1001&lt;$X705))+1,"")</f>
        <v/>
      </c>
      <c r="W705">
        <f>IF($A705="","",IF(OR($T705=TRUE(),$T705="TRUE"),1,0))</f>
        <v/>
      </c>
      <c r="X705">
        <f>IF($U705=1,IFERROR(IF(VALUE($A705)&lt;100000000,VALUE($A705),1000000000),IFERROR(IF(VALUE(MID($A705,2,20))&lt;100000000,VALUE(MID($A705,2,20)),1000000000),1000000000))+ROW()/100000,"")</f>
        <v/>
      </c>
    </row>
    <row r="706">
      <c r="F706" s="7">
        <f>IF($A706="","",E706*N706/100)</f>
        <v/>
      </c>
      <c r="J706" s="7" t="n"/>
      <c r="K706" s="7">
        <f>IF($A706="","",S706*N706)</f>
        <v/>
      </c>
      <c r="L706" s="7">
        <f>IF($A706="","",N706-K706)</f>
        <v/>
      </c>
      <c r="M706" s="7">
        <f>IF($A706="","",L706-F706)</f>
        <v/>
      </c>
      <c r="N706" s="7" t="n"/>
      <c r="Q706" s="11" t="n"/>
      <c r="S706">
        <f>IF($A706="","",IF($W706=1,Settings!$C$6,Settings!$C$7)*1)</f>
        <v/>
      </c>
      <c r="U706">
        <f>IF($A706="","",IF(COUNTIF($A$2:$A706,$A706)=1,1,0))</f>
        <v/>
      </c>
      <c r="V706">
        <f>IF($U706=1,SUMPRODUCT(--($X$2:$X$1001&lt;$X706))+1,"")</f>
        <v/>
      </c>
      <c r="W706">
        <f>IF($A706="","",IF(OR($T706=TRUE(),$T706="TRUE"),1,0))</f>
        <v/>
      </c>
      <c r="X706">
        <f>IF($U706=1,IFERROR(IF(VALUE($A706)&lt;100000000,VALUE($A706),1000000000),IFERROR(IF(VALUE(MID($A706,2,20))&lt;100000000,VALUE(MID($A706,2,20)),1000000000),1000000000))+ROW()/100000,"")</f>
        <v/>
      </c>
    </row>
    <row r="707">
      <c r="F707" s="7">
        <f>IF($A707="","",E707*N707/100)</f>
        <v/>
      </c>
      <c r="J707" s="7" t="n"/>
      <c r="K707" s="7">
        <f>IF($A707="","",S707*N707)</f>
        <v/>
      </c>
      <c r="L707" s="7">
        <f>IF($A707="","",N707-K707)</f>
        <v/>
      </c>
      <c r="M707" s="7">
        <f>IF($A707="","",L707-F707)</f>
        <v/>
      </c>
      <c r="N707" s="7" t="n"/>
      <c r="Q707" s="11" t="n"/>
      <c r="S707">
        <f>IF($A707="","",IF($W707=1,Settings!$C$6,Settings!$C$7)*1)</f>
        <v/>
      </c>
      <c r="U707">
        <f>IF($A707="","",IF(COUNTIF($A$2:$A707,$A707)=1,1,0))</f>
        <v/>
      </c>
      <c r="V707">
        <f>IF($U707=1,SUMPRODUCT(--($X$2:$X$1001&lt;$X707))+1,"")</f>
        <v/>
      </c>
      <c r="W707">
        <f>IF($A707="","",IF(OR($T707=TRUE(),$T707="TRUE"),1,0))</f>
        <v/>
      </c>
      <c r="X707">
        <f>IF($U707=1,IFERROR(IF(VALUE($A707)&lt;100000000,VALUE($A707),1000000000),IFERROR(IF(VALUE(MID($A707,2,20))&lt;100000000,VALUE(MID($A707,2,20)),1000000000),1000000000))+ROW()/100000,"")</f>
        <v/>
      </c>
    </row>
    <row r="708">
      <c r="F708" s="7">
        <f>IF($A708="","",E708*N708/100)</f>
        <v/>
      </c>
      <c r="J708" s="7" t="n"/>
      <c r="K708" s="7">
        <f>IF($A708="","",S708*N708)</f>
        <v/>
      </c>
      <c r="L708" s="7">
        <f>IF($A708="","",N708-K708)</f>
        <v/>
      </c>
      <c r="M708" s="7">
        <f>IF($A708="","",L708-F708)</f>
        <v/>
      </c>
      <c r="N708" s="7" t="n"/>
      <c r="Q708" s="11" t="n"/>
      <c r="S708">
        <f>IF($A708="","",IF($W708=1,Settings!$C$6,Settings!$C$7)*1)</f>
        <v/>
      </c>
      <c r="U708">
        <f>IF($A708="","",IF(COUNTIF($A$2:$A708,$A708)=1,1,0))</f>
        <v/>
      </c>
      <c r="V708">
        <f>IF($U708=1,SUMPRODUCT(--($X$2:$X$1001&lt;$X708))+1,"")</f>
        <v/>
      </c>
      <c r="W708">
        <f>IF($A708="","",IF(OR($T708=TRUE(),$T708="TRUE"),1,0))</f>
        <v/>
      </c>
      <c r="X708">
        <f>IF($U708=1,IFERROR(IF(VALUE($A708)&lt;100000000,VALUE($A708),1000000000),IFERROR(IF(VALUE(MID($A708,2,20))&lt;100000000,VALUE(MID($A708,2,20)),1000000000),1000000000))+ROW()/100000,"")</f>
        <v/>
      </c>
    </row>
    <row r="709">
      <c r="F709" s="7">
        <f>IF($A709="","",E709*N709/100)</f>
        <v/>
      </c>
      <c r="J709" s="7" t="n"/>
      <c r="K709" s="7">
        <f>IF($A709="","",S709*N709)</f>
        <v/>
      </c>
      <c r="L709" s="7">
        <f>IF($A709="","",N709-K709)</f>
        <v/>
      </c>
      <c r="M709" s="7">
        <f>IF($A709="","",L709-F709)</f>
        <v/>
      </c>
      <c r="N709" s="7" t="n"/>
      <c r="Q709" s="11" t="n"/>
      <c r="S709">
        <f>IF($A709="","",IF($W709=1,Settings!$C$6,Settings!$C$7)*1)</f>
        <v/>
      </c>
      <c r="U709">
        <f>IF($A709="","",IF(COUNTIF($A$2:$A709,$A709)=1,1,0))</f>
        <v/>
      </c>
      <c r="V709">
        <f>IF($U709=1,SUMPRODUCT(--($X$2:$X$1001&lt;$X709))+1,"")</f>
        <v/>
      </c>
      <c r="W709">
        <f>IF($A709="","",IF(OR($T709=TRUE(),$T709="TRUE"),1,0))</f>
        <v/>
      </c>
      <c r="X709">
        <f>IF($U709=1,IFERROR(IF(VALUE($A709)&lt;100000000,VALUE($A709),1000000000),IFERROR(IF(VALUE(MID($A709,2,20))&lt;100000000,VALUE(MID($A709,2,20)),1000000000),1000000000))+ROW()/100000,"")</f>
        <v/>
      </c>
    </row>
    <row r="710">
      <c r="F710" s="7">
        <f>IF($A710="","",E710*N710/100)</f>
        <v/>
      </c>
      <c r="J710" s="7" t="n"/>
      <c r="K710" s="7">
        <f>IF($A710="","",S710*N710)</f>
        <v/>
      </c>
      <c r="L710" s="7">
        <f>IF($A710="","",N710-K710)</f>
        <v/>
      </c>
      <c r="M710" s="7">
        <f>IF($A710="","",L710-F710)</f>
        <v/>
      </c>
      <c r="N710" s="7" t="n"/>
      <c r="Q710" s="11" t="n"/>
      <c r="S710">
        <f>IF($A710="","",IF($W710=1,Settings!$C$6,Settings!$C$7)*1)</f>
        <v/>
      </c>
      <c r="U710">
        <f>IF($A710="","",IF(COUNTIF($A$2:$A710,$A710)=1,1,0))</f>
        <v/>
      </c>
      <c r="V710">
        <f>IF($U710=1,SUMPRODUCT(--($X$2:$X$1001&lt;$X710))+1,"")</f>
        <v/>
      </c>
      <c r="W710">
        <f>IF($A710="","",IF(OR($T710=TRUE(),$T710="TRUE"),1,0))</f>
        <v/>
      </c>
      <c r="X710">
        <f>IF($U710=1,IFERROR(IF(VALUE($A710)&lt;100000000,VALUE($A710),1000000000),IFERROR(IF(VALUE(MID($A710,2,20))&lt;100000000,VALUE(MID($A710,2,20)),1000000000),1000000000))+ROW()/100000,"")</f>
        <v/>
      </c>
    </row>
    <row r="711">
      <c r="F711" s="7">
        <f>IF($A711="","",E711*N711/100)</f>
        <v/>
      </c>
      <c r="J711" s="7" t="n"/>
      <c r="K711" s="7">
        <f>IF($A711="","",S711*N711)</f>
        <v/>
      </c>
      <c r="L711" s="7">
        <f>IF($A711="","",N711-K711)</f>
        <v/>
      </c>
      <c r="M711" s="7">
        <f>IF($A711="","",L711-F711)</f>
        <v/>
      </c>
      <c r="N711" s="7" t="n"/>
      <c r="Q711" s="11" t="n"/>
      <c r="S711">
        <f>IF($A711="","",IF($W711=1,Settings!$C$6,Settings!$C$7)*1)</f>
        <v/>
      </c>
      <c r="U711">
        <f>IF($A711="","",IF(COUNTIF($A$2:$A711,$A711)=1,1,0))</f>
        <v/>
      </c>
      <c r="V711">
        <f>IF($U711=1,SUMPRODUCT(--($X$2:$X$1001&lt;$X711))+1,"")</f>
        <v/>
      </c>
      <c r="W711">
        <f>IF($A711="","",IF(OR($T711=TRUE(),$T711="TRUE"),1,0))</f>
        <v/>
      </c>
      <c r="X711">
        <f>IF($U711=1,IFERROR(IF(VALUE($A711)&lt;100000000,VALUE($A711),1000000000),IFERROR(IF(VALUE(MID($A711,2,20))&lt;100000000,VALUE(MID($A711,2,20)),1000000000),1000000000))+ROW()/100000,"")</f>
        <v/>
      </c>
    </row>
    <row r="712">
      <c r="F712" s="7">
        <f>IF($A712="","",E712*N712/100)</f>
        <v/>
      </c>
      <c r="J712" s="7" t="n"/>
      <c r="K712" s="7">
        <f>IF($A712="","",S712*N712)</f>
        <v/>
      </c>
      <c r="L712" s="7">
        <f>IF($A712="","",N712-K712)</f>
        <v/>
      </c>
      <c r="M712" s="7">
        <f>IF($A712="","",L712-F712)</f>
        <v/>
      </c>
      <c r="N712" s="7" t="n"/>
      <c r="Q712" s="11" t="n"/>
      <c r="S712">
        <f>IF($A712="","",IF($W712=1,Settings!$C$6,Settings!$C$7)*1)</f>
        <v/>
      </c>
      <c r="U712">
        <f>IF($A712="","",IF(COUNTIF($A$2:$A712,$A712)=1,1,0))</f>
        <v/>
      </c>
      <c r="V712">
        <f>IF($U712=1,SUMPRODUCT(--($X$2:$X$1001&lt;$X712))+1,"")</f>
        <v/>
      </c>
      <c r="W712">
        <f>IF($A712="","",IF(OR($T712=TRUE(),$T712="TRUE"),1,0))</f>
        <v/>
      </c>
      <c r="X712">
        <f>IF($U712=1,IFERROR(IF(VALUE($A712)&lt;100000000,VALUE($A712),1000000000),IFERROR(IF(VALUE(MID($A712,2,20))&lt;100000000,VALUE(MID($A712,2,20)),1000000000),1000000000))+ROW()/100000,"")</f>
        <v/>
      </c>
    </row>
    <row r="713">
      <c r="F713" s="7">
        <f>IF($A713="","",E713*N713/100)</f>
        <v/>
      </c>
      <c r="J713" s="7" t="n"/>
      <c r="K713" s="7">
        <f>IF($A713="","",S713*N713)</f>
        <v/>
      </c>
      <c r="L713" s="7">
        <f>IF($A713="","",N713-K713)</f>
        <v/>
      </c>
      <c r="M713" s="7">
        <f>IF($A713="","",L713-F713)</f>
        <v/>
      </c>
      <c r="N713" s="7" t="n"/>
      <c r="Q713" s="11" t="n"/>
      <c r="S713">
        <f>IF($A713="","",IF($W713=1,Settings!$C$6,Settings!$C$7)*1)</f>
        <v/>
      </c>
      <c r="U713">
        <f>IF($A713="","",IF(COUNTIF($A$2:$A713,$A713)=1,1,0))</f>
        <v/>
      </c>
      <c r="V713">
        <f>IF($U713=1,SUMPRODUCT(--($X$2:$X$1001&lt;$X713))+1,"")</f>
        <v/>
      </c>
      <c r="W713">
        <f>IF($A713="","",IF(OR($T713=TRUE(),$T713="TRUE"),1,0))</f>
        <v/>
      </c>
      <c r="X713">
        <f>IF($U713=1,IFERROR(IF(VALUE($A713)&lt;100000000,VALUE($A713),1000000000),IFERROR(IF(VALUE(MID($A713,2,20))&lt;100000000,VALUE(MID($A713,2,20)),1000000000),1000000000))+ROW()/100000,"")</f>
        <v/>
      </c>
    </row>
    <row r="714">
      <c r="F714" s="7">
        <f>IF($A714="","",E714*N714/100)</f>
        <v/>
      </c>
      <c r="J714" s="7" t="n"/>
      <c r="K714" s="7">
        <f>IF($A714="","",S714*N714)</f>
        <v/>
      </c>
      <c r="L714" s="7">
        <f>IF($A714="","",N714-K714)</f>
        <v/>
      </c>
      <c r="M714" s="7">
        <f>IF($A714="","",L714-F714)</f>
        <v/>
      </c>
      <c r="N714" s="7" t="n"/>
      <c r="Q714" s="11" t="n"/>
      <c r="S714">
        <f>IF($A714="","",IF($W714=1,Settings!$C$6,Settings!$C$7)*1)</f>
        <v/>
      </c>
      <c r="U714">
        <f>IF($A714="","",IF(COUNTIF($A$2:$A714,$A714)=1,1,0))</f>
        <v/>
      </c>
      <c r="V714">
        <f>IF($U714=1,SUMPRODUCT(--($X$2:$X$1001&lt;$X714))+1,"")</f>
        <v/>
      </c>
      <c r="W714">
        <f>IF($A714="","",IF(OR($T714=TRUE(),$T714="TRUE"),1,0))</f>
        <v/>
      </c>
      <c r="X714">
        <f>IF($U714=1,IFERROR(IF(VALUE($A714)&lt;100000000,VALUE($A714),1000000000),IFERROR(IF(VALUE(MID($A714,2,20))&lt;100000000,VALUE(MID($A714,2,20)),1000000000),1000000000))+ROW()/100000,"")</f>
        <v/>
      </c>
    </row>
    <row r="715">
      <c r="F715" s="7">
        <f>IF($A715="","",E715*N715/100)</f>
        <v/>
      </c>
      <c r="J715" s="7" t="n"/>
      <c r="K715" s="7">
        <f>IF($A715="","",S715*N715)</f>
        <v/>
      </c>
      <c r="L715" s="7">
        <f>IF($A715="","",N715-K715)</f>
        <v/>
      </c>
      <c r="M715" s="7">
        <f>IF($A715="","",L715-F715)</f>
        <v/>
      </c>
      <c r="N715" s="7" t="n"/>
      <c r="Q715" s="11" t="n"/>
      <c r="S715">
        <f>IF($A715="","",IF($W715=1,Settings!$C$6,Settings!$C$7)*1)</f>
        <v/>
      </c>
      <c r="U715">
        <f>IF($A715="","",IF(COUNTIF($A$2:$A715,$A715)=1,1,0))</f>
        <v/>
      </c>
      <c r="V715">
        <f>IF($U715=1,SUMPRODUCT(--($X$2:$X$1001&lt;$X715))+1,"")</f>
        <v/>
      </c>
      <c r="W715">
        <f>IF($A715="","",IF(OR($T715=TRUE(),$T715="TRUE"),1,0))</f>
        <v/>
      </c>
      <c r="X715">
        <f>IF($U715=1,IFERROR(IF(VALUE($A715)&lt;100000000,VALUE($A715),1000000000),IFERROR(IF(VALUE(MID($A715,2,20))&lt;100000000,VALUE(MID($A715,2,20)),1000000000),1000000000))+ROW()/100000,"")</f>
        <v/>
      </c>
    </row>
    <row r="716">
      <c r="F716" s="7">
        <f>IF($A716="","",E716*N716/100)</f>
        <v/>
      </c>
      <c r="J716" s="7" t="n"/>
      <c r="K716" s="7">
        <f>IF($A716="","",S716*N716)</f>
        <v/>
      </c>
      <c r="L716" s="7">
        <f>IF($A716="","",N716-K716)</f>
        <v/>
      </c>
      <c r="M716" s="7">
        <f>IF($A716="","",L716-F716)</f>
        <v/>
      </c>
      <c r="N716" s="7" t="n"/>
      <c r="Q716" s="11" t="n"/>
      <c r="S716">
        <f>IF($A716="","",IF($W716=1,Settings!$C$6,Settings!$C$7)*1)</f>
        <v/>
      </c>
      <c r="U716">
        <f>IF($A716="","",IF(COUNTIF($A$2:$A716,$A716)=1,1,0))</f>
        <v/>
      </c>
      <c r="V716">
        <f>IF($U716=1,SUMPRODUCT(--($X$2:$X$1001&lt;$X716))+1,"")</f>
        <v/>
      </c>
      <c r="W716">
        <f>IF($A716="","",IF(OR($T716=TRUE(),$T716="TRUE"),1,0))</f>
        <v/>
      </c>
      <c r="X716">
        <f>IF($U716=1,IFERROR(IF(VALUE($A716)&lt;100000000,VALUE($A716),1000000000),IFERROR(IF(VALUE(MID($A716,2,20))&lt;100000000,VALUE(MID($A716,2,20)),1000000000),1000000000))+ROW()/100000,"")</f>
        <v/>
      </c>
    </row>
    <row r="717">
      <c r="F717" s="7">
        <f>IF($A717="","",E717*N717/100)</f>
        <v/>
      </c>
      <c r="J717" s="7" t="n"/>
      <c r="K717" s="7">
        <f>IF($A717="","",S717*N717)</f>
        <v/>
      </c>
      <c r="L717" s="7">
        <f>IF($A717="","",N717-K717)</f>
        <v/>
      </c>
      <c r="M717" s="7">
        <f>IF($A717="","",L717-F717)</f>
        <v/>
      </c>
      <c r="N717" s="7" t="n"/>
      <c r="Q717" s="11" t="n"/>
      <c r="S717">
        <f>IF($A717="","",IF($W717=1,Settings!$C$6,Settings!$C$7)*1)</f>
        <v/>
      </c>
      <c r="U717">
        <f>IF($A717="","",IF(COUNTIF($A$2:$A717,$A717)=1,1,0))</f>
        <v/>
      </c>
      <c r="V717">
        <f>IF($U717=1,SUMPRODUCT(--($X$2:$X$1001&lt;$X717))+1,"")</f>
        <v/>
      </c>
      <c r="W717">
        <f>IF($A717="","",IF(OR($T717=TRUE(),$T717="TRUE"),1,0))</f>
        <v/>
      </c>
      <c r="X717">
        <f>IF($U717=1,IFERROR(IF(VALUE($A717)&lt;100000000,VALUE($A717),1000000000),IFERROR(IF(VALUE(MID($A717,2,20))&lt;100000000,VALUE(MID($A717,2,20)),1000000000),1000000000))+ROW()/100000,"")</f>
        <v/>
      </c>
    </row>
    <row r="718">
      <c r="F718" s="7">
        <f>IF($A718="","",E718*N718/100)</f>
        <v/>
      </c>
      <c r="J718" s="7" t="n"/>
      <c r="K718" s="7">
        <f>IF($A718="","",S718*N718)</f>
        <v/>
      </c>
      <c r="L718" s="7">
        <f>IF($A718="","",N718-K718)</f>
        <v/>
      </c>
      <c r="M718" s="7">
        <f>IF($A718="","",L718-F718)</f>
        <v/>
      </c>
      <c r="N718" s="7" t="n"/>
      <c r="Q718" s="11" t="n"/>
      <c r="S718">
        <f>IF($A718="","",IF($W718=1,Settings!$C$6,Settings!$C$7)*1)</f>
        <v/>
      </c>
      <c r="U718">
        <f>IF($A718="","",IF(COUNTIF($A$2:$A718,$A718)=1,1,0))</f>
        <v/>
      </c>
      <c r="V718">
        <f>IF($U718=1,SUMPRODUCT(--($X$2:$X$1001&lt;$X718))+1,"")</f>
        <v/>
      </c>
      <c r="W718">
        <f>IF($A718="","",IF(OR($T718=TRUE(),$T718="TRUE"),1,0))</f>
        <v/>
      </c>
      <c r="X718">
        <f>IF($U718=1,IFERROR(IF(VALUE($A718)&lt;100000000,VALUE($A718),1000000000),IFERROR(IF(VALUE(MID($A718,2,20))&lt;100000000,VALUE(MID($A718,2,20)),1000000000),1000000000))+ROW()/100000,"")</f>
        <v/>
      </c>
    </row>
    <row r="719">
      <c r="F719" s="7">
        <f>IF($A719="","",E719*N719/100)</f>
        <v/>
      </c>
      <c r="J719" s="7" t="n"/>
      <c r="K719" s="7">
        <f>IF($A719="","",S719*N719)</f>
        <v/>
      </c>
      <c r="L719" s="7">
        <f>IF($A719="","",N719-K719)</f>
        <v/>
      </c>
      <c r="M719" s="7">
        <f>IF($A719="","",L719-F719)</f>
        <v/>
      </c>
      <c r="N719" s="7" t="n"/>
      <c r="Q719" s="11" t="n"/>
      <c r="S719">
        <f>IF($A719="","",IF($W719=1,Settings!$C$6,Settings!$C$7)*1)</f>
        <v/>
      </c>
      <c r="U719">
        <f>IF($A719="","",IF(COUNTIF($A$2:$A719,$A719)=1,1,0))</f>
        <v/>
      </c>
      <c r="V719">
        <f>IF($U719=1,SUMPRODUCT(--($X$2:$X$1001&lt;$X719))+1,"")</f>
        <v/>
      </c>
      <c r="W719">
        <f>IF($A719="","",IF(OR($T719=TRUE(),$T719="TRUE"),1,0))</f>
        <v/>
      </c>
      <c r="X719">
        <f>IF($U719=1,IFERROR(IF(VALUE($A719)&lt;100000000,VALUE($A719),1000000000),IFERROR(IF(VALUE(MID($A719,2,20))&lt;100000000,VALUE(MID($A719,2,20)),1000000000),1000000000))+ROW()/100000,"")</f>
        <v/>
      </c>
    </row>
    <row r="720">
      <c r="F720" s="7">
        <f>IF($A720="","",E720*N720/100)</f>
        <v/>
      </c>
      <c r="J720" s="7" t="n"/>
      <c r="K720" s="7">
        <f>IF($A720="","",S720*N720)</f>
        <v/>
      </c>
      <c r="L720" s="7">
        <f>IF($A720="","",N720-K720)</f>
        <v/>
      </c>
      <c r="M720" s="7">
        <f>IF($A720="","",L720-F720)</f>
        <v/>
      </c>
      <c r="N720" s="7" t="n"/>
      <c r="Q720" s="11" t="n"/>
      <c r="S720">
        <f>IF($A720="","",IF($W720=1,Settings!$C$6,Settings!$C$7)*1)</f>
        <v/>
      </c>
      <c r="U720">
        <f>IF($A720="","",IF(COUNTIF($A$2:$A720,$A720)=1,1,0))</f>
        <v/>
      </c>
      <c r="V720">
        <f>IF($U720=1,SUMPRODUCT(--($X$2:$X$1001&lt;$X720))+1,"")</f>
        <v/>
      </c>
      <c r="W720">
        <f>IF($A720="","",IF(OR($T720=TRUE(),$T720="TRUE"),1,0))</f>
        <v/>
      </c>
      <c r="X720">
        <f>IF($U720=1,IFERROR(IF(VALUE($A720)&lt;100000000,VALUE($A720),1000000000),IFERROR(IF(VALUE(MID($A720,2,20))&lt;100000000,VALUE(MID($A720,2,20)),1000000000),1000000000))+ROW()/100000,"")</f>
        <v/>
      </c>
    </row>
    <row r="721">
      <c r="F721" s="7">
        <f>IF($A721="","",E721*N721/100)</f>
        <v/>
      </c>
      <c r="J721" s="7" t="n"/>
      <c r="K721" s="7">
        <f>IF($A721="","",S721*N721)</f>
        <v/>
      </c>
      <c r="L721" s="7">
        <f>IF($A721="","",N721-K721)</f>
        <v/>
      </c>
      <c r="M721" s="7">
        <f>IF($A721="","",L721-F721)</f>
        <v/>
      </c>
      <c r="N721" s="7" t="n"/>
      <c r="Q721" s="11" t="n"/>
      <c r="S721">
        <f>IF($A721="","",IF($W721=1,Settings!$C$6,Settings!$C$7)*1)</f>
        <v/>
      </c>
      <c r="U721">
        <f>IF($A721="","",IF(COUNTIF($A$2:$A721,$A721)=1,1,0))</f>
        <v/>
      </c>
      <c r="V721">
        <f>IF($U721=1,SUMPRODUCT(--($X$2:$X$1001&lt;$X721))+1,"")</f>
        <v/>
      </c>
      <c r="W721">
        <f>IF($A721="","",IF(OR($T721=TRUE(),$T721="TRUE"),1,0))</f>
        <v/>
      </c>
      <c r="X721">
        <f>IF($U721=1,IFERROR(IF(VALUE($A721)&lt;100000000,VALUE($A721),1000000000),IFERROR(IF(VALUE(MID($A721,2,20))&lt;100000000,VALUE(MID($A721,2,20)),1000000000),1000000000))+ROW()/100000,"")</f>
        <v/>
      </c>
    </row>
    <row r="722">
      <c r="F722" s="7">
        <f>IF($A722="","",E722*N722/100)</f>
        <v/>
      </c>
      <c r="J722" s="7" t="n"/>
      <c r="K722" s="7">
        <f>IF($A722="","",S722*N722)</f>
        <v/>
      </c>
      <c r="L722" s="7">
        <f>IF($A722="","",N722-K722)</f>
        <v/>
      </c>
      <c r="M722" s="7">
        <f>IF($A722="","",L722-F722)</f>
        <v/>
      </c>
      <c r="N722" s="7" t="n"/>
      <c r="Q722" s="11" t="n"/>
      <c r="S722">
        <f>IF($A722="","",IF($W722=1,Settings!$C$6,Settings!$C$7)*1)</f>
        <v/>
      </c>
      <c r="U722">
        <f>IF($A722="","",IF(COUNTIF($A$2:$A722,$A722)=1,1,0))</f>
        <v/>
      </c>
      <c r="V722">
        <f>IF($U722=1,SUMPRODUCT(--($X$2:$X$1001&lt;$X722))+1,"")</f>
        <v/>
      </c>
      <c r="W722">
        <f>IF($A722="","",IF(OR($T722=TRUE(),$T722="TRUE"),1,0))</f>
        <v/>
      </c>
      <c r="X722">
        <f>IF($U722=1,IFERROR(IF(VALUE($A722)&lt;100000000,VALUE($A722),1000000000),IFERROR(IF(VALUE(MID($A722,2,20))&lt;100000000,VALUE(MID($A722,2,20)),1000000000),1000000000))+ROW()/100000,"")</f>
        <v/>
      </c>
    </row>
    <row r="723">
      <c r="F723" s="7">
        <f>IF($A723="","",E723*N723/100)</f>
        <v/>
      </c>
      <c r="J723" s="7" t="n"/>
      <c r="K723" s="7">
        <f>IF($A723="","",S723*N723)</f>
        <v/>
      </c>
      <c r="L723" s="7">
        <f>IF($A723="","",N723-K723)</f>
        <v/>
      </c>
      <c r="M723" s="7">
        <f>IF($A723="","",L723-F723)</f>
        <v/>
      </c>
      <c r="N723" s="7" t="n"/>
      <c r="Q723" s="11" t="n"/>
      <c r="S723">
        <f>IF($A723="","",IF($W723=1,Settings!$C$6,Settings!$C$7)*1)</f>
        <v/>
      </c>
      <c r="U723">
        <f>IF($A723="","",IF(COUNTIF($A$2:$A723,$A723)=1,1,0))</f>
        <v/>
      </c>
      <c r="V723">
        <f>IF($U723=1,SUMPRODUCT(--($X$2:$X$1001&lt;$X723))+1,"")</f>
        <v/>
      </c>
      <c r="W723">
        <f>IF($A723="","",IF(OR($T723=TRUE(),$T723="TRUE"),1,0))</f>
        <v/>
      </c>
      <c r="X723">
        <f>IF($U723=1,IFERROR(IF(VALUE($A723)&lt;100000000,VALUE($A723),1000000000),IFERROR(IF(VALUE(MID($A723,2,20))&lt;100000000,VALUE(MID($A723,2,20)),1000000000),1000000000))+ROW()/100000,"")</f>
        <v/>
      </c>
    </row>
    <row r="724">
      <c r="F724" s="7">
        <f>IF($A724="","",E724*N724/100)</f>
        <v/>
      </c>
      <c r="J724" s="7" t="n"/>
      <c r="K724" s="7">
        <f>IF($A724="","",S724*N724)</f>
        <v/>
      </c>
      <c r="L724" s="7">
        <f>IF($A724="","",N724-K724)</f>
        <v/>
      </c>
      <c r="M724" s="7">
        <f>IF($A724="","",L724-F724)</f>
        <v/>
      </c>
      <c r="N724" s="7" t="n"/>
      <c r="Q724" s="11" t="n"/>
      <c r="S724">
        <f>IF($A724="","",IF($W724=1,Settings!$C$6,Settings!$C$7)*1)</f>
        <v/>
      </c>
      <c r="U724">
        <f>IF($A724="","",IF(COUNTIF($A$2:$A724,$A724)=1,1,0))</f>
        <v/>
      </c>
      <c r="V724">
        <f>IF($U724=1,SUMPRODUCT(--($X$2:$X$1001&lt;$X724))+1,"")</f>
        <v/>
      </c>
      <c r="W724">
        <f>IF($A724="","",IF(OR($T724=TRUE(),$T724="TRUE"),1,0))</f>
        <v/>
      </c>
      <c r="X724">
        <f>IF($U724=1,IFERROR(IF(VALUE($A724)&lt;100000000,VALUE($A724),1000000000),IFERROR(IF(VALUE(MID($A724,2,20))&lt;100000000,VALUE(MID($A724,2,20)),1000000000),1000000000))+ROW()/100000,"")</f>
        <v/>
      </c>
    </row>
    <row r="725">
      <c r="F725" s="7">
        <f>IF($A725="","",E725*N725/100)</f>
        <v/>
      </c>
      <c r="J725" s="7" t="n"/>
      <c r="K725" s="7">
        <f>IF($A725="","",S725*N725)</f>
        <v/>
      </c>
      <c r="L725" s="7">
        <f>IF($A725="","",N725-K725)</f>
        <v/>
      </c>
      <c r="M725" s="7">
        <f>IF($A725="","",L725-F725)</f>
        <v/>
      </c>
      <c r="N725" s="7" t="n"/>
      <c r="Q725" s="11" t="n"/>
      <c r="S725">
        <f>IF($A725="","",IF($W725=1,Settings!$C$6,Settings!$C$7)*1)</f>
        <v/>
      </c>
      <c r="U725">
        <f>IF($A725="","",IF(COUNTIF($A$2:$A725,$A725)=1,1,0))</f>
        <v/>
      </c>
      <c r="V725">
        <f>IF($U725=1,SUMPRODUCT(--($X$2:$X$1001&lt;$X725))+1,"")</f>
        <v/>
      </c>
      <c r="W725">
        <f>IF($A725="","",IF(OR($T725=TRUE(),$T725="TRUE"),1,0))</f>
        <v/>
      </c>
      <c r="X725">
        <f>IF($U725=1,IFERROR(IF(VALUE($A725)&lt;100000000,VALUE($A725),1000000000),IFERROR(IF(VALUE(MID($A725,2,20))&lt;100000000,VALUE(MID($A725,2,20)),1000000000),1000000000))+ROW()/100000,"")</f>
        <v/>
      </c>
    </row>
    <row r="726">
      <c r="F726" s="7">
        <f>IF($A726="","",E726*N726/100)</f>
        <v/>
      </c>
      <c r="J726" s="7" t="n"/>
      <c r="K726" s="7">
        <f>IF($A726="","",S726*N726)</f>
        <v/>
      </c>
      <c r="L726" s="7">
        <f>IF($A726="","",N726-K726)</f>
        <v/>
      </c>
      <c r="M726" s="7">
        <f>IF($A726="","",L726-F726)</f>
        <v/>
      </c>
      <c r="N726" s="7" t="n"/>
      <c r="Q726" s="11" t="n"/>
      <c r="S726">
        <f>IF($A726="","",IF($W726=1,Settings!$C$6,Settings!$C$7)*1)</f>
        <v/>
      </c>
      <c r="U726">
        <f>IF($A726="","",IF(COUNTIF($A$2:$A726,$A726)=1,1,0))</f>
        <v/>
      </c>
      <c r="V726">
        <f>IF($U726=1,SUMPRODUCT(--($X$2:$X$1001&lt;$X726))+1,"")</f>
        <v/>
      </c>
      <c r="W726">
        <f>IF($A726="","",IF(OR($T726=TRUE(),$T726="TRUE"),1,0))</f>
        <v/>
      </c>
      <c r="X726">
        <f>IF($U726=1,IFERROR(IF(VALUE($A726)&lt;100000000,VALUE($A726),1000000000),IFERROR(IF(VALUE(MID($A726,2,20))&lt;100000000,VALUE(MID($A726,2,20)),1000000000),1000000000))+ROW()/100000,"")</f>
        <v/>
      </c>
    </row>
    <row r="727">
      <c r="F727" s="7">
        <f>IF($A727="","",E727*N727/100)</f>
        <v/>
      </c>
      <c r="J727" s="7" t="n"/>
      <c r="K727" s="7">
        <f>IF($A727="","",S727*N727)</f>
        <v/>
      </c>
      <c r="L727" s="7">
        <f>IF($A727="","",N727-K727)</f>
        <v/>
      </c>
      <c r="M727" s="7">
        <f>IF($A727="","",L727-F727)</f>
        <v/>
      </c>
      <c r="N727" s="7" t="n"/>
      <c r="Q727" s="11" t="n"/>
      <c r="S727">
        <f>IF($A727="","",IF($W727=1,Settings!$C$6,Settings!$C$7)*1)</f>
        <v/>
      </c>
      <c r="U727">
        <f>IF($A727="","",IF(COUNTIF($A$2:$A727,$A727)=1,1,0))</f>
        <v/>
      </c>
      <c r="V727">
        <f>IF($U727=1,SUMPRODUCT(--($X$2:$X$1001&lt;$X727))+1,"")</f>
        <v/>
      </c>
      <c r="W727">
        <f>IF($A727="","",IF(OR($T727=TRUE(),$T727="TRUE"),1,0))</f>
        <v/>
      </c>
      <c r="X727">
        <f>IF($U727=1,IFERROR(IF(VALUE($A727)&lt;100000000,VALUE($A727),1000000000),IFERROR(IF(VALUE(MID($A727,2,20))&lt;100000000,VALUE(MID($A727,2,20)),1000000000),1000000000))+ROW()/100000,"")</f>
        <v/>
      </c>
    </row>
    <row r="728">
      <c r="F728" s="7">
        <f>IF($A728="","",E728*N728/100)</f>
        <v/>
      </c>
      <c r="J728" s="7" t="n"/>
      <c r="K728" s="7">
        <f>IF($A728="","",S728*N728)</f>
        <v/>
      </c>
      <c r="L728" s="7">
        <f>IF($A728="","",N728-K728)</f>
        <v/>
      </c>
      <c r="M728" s="7">
        <f>IF($A728="","",L728-F728)</f>
        <v/>
      </c>
      <c r="N728" s="7" t="n"/>
      <c r="Q728" s="11" t="n"/>
      <c r="S728">
        <f>IF($A728="","",IF($W728=1,Settings!$C$6,Settings!$C$7)*1)</f>
        <v/>
      </c>
      <c r="U728">
        <f>IF($A728="","",IF(COUNTIF($A$2:$A728,$A728)=1,1,0))</f>
        <v/>
      </c>
      <c r="V728">
        <f>IF($U728=1,SUMPRODUCT(--($X$2:$X$1001&lt;$X728))+1,"")</f>
        <v/>
      </c>
      <c r="W728">
        <f>IF($A728="","",IF(OR($T728=TRUE(),$T728="TRUE"),1,0))</f>
        <v/>
      </c>
      <c r="X728">
        <f>IF($U728=1,IFERROR(IF(VALUE($A728)&lt;100000000,VALUE($A728),1000000000),IFERROR(IF(VALUE(MID($A728,2,20))&lt;100000000,VALUE(MID($A728,2,20)),1000000000),1000000000))+ROW()/100000,"")</f>
        <v/>
      </c>
    </row>
    <row r="729">
      <c r="F729" s="7">
        <f>IF($A729="","",E729*N729/100)</f>
        <v/>
      </c>
      <c r="J729" s="7" t="n"/>
      <c r="K729" s="7">
        <f>IF($A729="","",S729*N729)</f>
        <v/>
      </c>
      <c r="L729" s="7">
        <f>IF($A729="","",N729-K729)</f>
        <v/>
      </c>
      <c r="M729" s="7">
        <f>IF($A729="","",L729-F729)</f>
        <v/>
      </c>
      <c r="N729" s="7" t="n"/>
      <c r="Q729" s="11" t="n"/>
      <c r="S729">
        <f>IF($A729="","",IF($W729=1,Settings!$C$6,Settings!$C$7)*1)</f>
        <v/>
      </c>
      <c r="U729">
        <f>IF($A729="","",IF(COUNTIF($A$2:$A729,$A729)=1,1,0))</f>
        <v/>
      </c>
      <c r="V729">
        <f>IF($U729=1,SUMPRODUCT(--($X$2:$X$1001&lt;$X729))+1,"")</f>
        <v/>
      </c>
      <c r="W729">
        <f>IF($A729="","",IF(OR($T729=TRUE(),$T729="TRUE"),1,0))</f>
        <v/>
      </c>
      <c r="X729">
        <f>IF($U729=1,IFERROR(IF(VALUE($A729)&lt;100000000,VALUE($A729),1000000000),IFERROR(IF(VALUE(MID($A729,2,20))&lt;100000000,VALUE(MID($A729,2,20)),1000000000),1000000000))+ROW()/100000,"")</f>
        <v/>
      </c>
    </row>
    <row r="730">
      <c r="F730" s="7">
        <f>IF($A730="","",E730*N730/100)</f>
        <v/>
      </c>
      <c r="J730" s="7" t="n"/>
      <c r="K730" s="7">
        <f>IF($A730="","",S730*N730)</f>
        <v/>
      </c>
      <c r="L730" s="7">
        <f>IF($A730="","",N730-K730)</f>
        <v/>
      </c>
      <c r="M730" s="7">
        <f>IF($A730="","",L730-F730)</f>
        <v/>
      </c>
      <c r="N730" s="7" t="n"/>
      <c r="Q730" s="11" t="n"/>
      <c r="S730">
        <f>IF($A730="","",IF($W730=1,Settings!$C$6,Settings!$C$7)*1)</f>
        <v/>
      </c>
      <c r="U730">
        <f>IF($A730="","",IF(COUNTIF($A$2:$A730,$A730)=1,1,0))</f>
        <v/>
      </c>
      <c r="V730">
        <f>IF($U730=1,SUMPRODUCT(--($X$2:$X$1001&lt;$X730))+1,"")</f>
        <v/>
      </c>
      <c r="W730">
        <f>IF($A730="","",IF(OR($T730=TRUE(),$T730="TRUE"),1,0))</f>
        <v/>
      </c>
      <c r="X730">
        <f>IF($U730=1,IFERROR(IF(VALUE($A730)&lt;100000000,VALUE($A730),1000000000),IFERROR(IF(VALUE(MID($A730,2,20))&lt;100000000,VALUE(MID($A730,2,20)),1000000000),1000000000))+ROW()/100000,"")</f>
        <v/>
      </c>
    </row>
    <row r="731">
      <c r="F731" s="7">
        <f>IF($A731="","",E731*N731/100)</f>
        <v/>
      </c>
      <c r="J731" s="7" t="n"/>
      <c r="K731" s="7">
        <f>IF($A731="","",S731*N731)</f>
        <v/>
      </c>
      <c r="L731" s="7">
        <f>IF($A731="","",N731-K731)</f>
        <v/>
      </c>
      <c r="M731" s="7">
        <f>IF($A731="","",L731-F731)</f>
        <v/>
      </c>
      <c r="N731" s="7" t="n"/>
      <c r="Q731" s="11" t="n"/>
      <c r="S731">
        <f>IF($A731="","",IF($W731=1,Settings!$C$6,Settings!$C$7)*1)</f>
        <v/>
      </c>
      <c r="U731">
        <f>IF($A731="","",IF(COUNTIF($A$2:$A731,$A731)=1,1,0))</f>
        <v/>
      </c>
      <c r="V731">
        <f>IF($U731=1,SUMPRODUCT(--($X$2:$X$1001&lt;$X731))+1,"")</f>
        <v/>
      </c>
      <c r="W731">
        <f>IF($A731="","",IF(OR($T731=TRUE(),$T731="TRUE"),1,0))</f>
        <v/>
      </c>
      <c r="X731">
        <f>IF($U731=1,IFERROR(IF(VALUE($A731)&lt;100000000,VALUE($A731),1000000000),IFERROR(IF(VALUE(MID($A731,2,20))&lt;100000000,VALUE(MID($A731,2,20)),1000000000),1000000000))+ROW()/100000,"")</f>
        <v/>
      </c>
    </row>
    <row r="732">
      <c r="F732" s="7">
        <f>IF($A732="","",E732*N732/100)</f>
        <v/>
      </c>
      <c r="J732" s="7" t="n"/>
      <c r="K732" s="7">
        <f>IF($A732="","",S732*N732)</f>
        <v/>
      </c>
      <c r="L732" s="7">
        <f>IF($A732="","",N732-K732)</f>
        <v/>
      </c>
      <c r="M732" s="7">
        <f>IF($A732="","",L732-F732)</f>
        <v/>
      </c>
      <c r="N732" s="7" t="n"/>
      <c r="Q732" s="11" t="n"/>
      <c r="S732">
        <f>IF($A732="","",IF($W732=1,Settings!$C$6,Settings!$C$7)*1)</f>
        <v/>
      </c>
      <c r="U732">
        <f>IF($A732="","",IF(COUNTIF($A$2:$A732,$A732)=1,1,0))</f>
        <v/>
      </c>
      <c r="V732">
        <f>IF($U732=1,SUMPRODUCT(--($X$2:$X$1001&lt;$X732))+1,"")</f>
        <v/>
      </c>
      <c r="W732">
        <f>IF($A732="","",IF(OR($T732=TRUE(),$T732="TRUE"),1,0))</f>
        <v/>
      </c>
      <c r="X732">
        <f>IF($U732=1,IFERROR(IF(VALUE($A732)&lt;100000000,VALUE($A732),1000000000),IFERROR(IF(VALUE(MID($A732,2,20))&lt;100000000,VALUE(MID($A732,2,20)),1000000000),1000000000))+ROW()/100000,"")</f>
        <v/>
      </c>
    </row>
    <row r="733">
      <c r="F733" s="7">
        <f>IF($A733="","",E733*N733/100)</f>
        <v/>
      </c>
      <c r="J733" s="7" t="n"/>
      <c r="K733" s="7">
        <f>IF($A733="","",S733*N733)</f>
        <v/>
      </c>
      <c r="L733" s="7">
        <f>IF($A733="","",N733-K733)</f>
        <v/>
      </c>
      <c r="M733" s="7">
        <f>IF($A733="","",L733-F733)</f>
        <v/>
      </c>
      <c r="N733" s="7" t="n"/>
      <c r="Q733" s="11" t="n"/>
      <c r="S733">
        <f>IF($A733="","",IF($W733=1,Settings!$C$6,Settings!$C$7)*1)</f>
        <v/>
      </c>
      <c r="U733">
        <f>IF($A733="","",IF(COUNTIF($A$2:$A733,$A733)=1,1,0))</f>
        <v/>
      </c>
      <c r="V733">
        <f>IF($U733=1,SUMPRODUCT(--($X$2:$X$1001&lt;$X733))+1,"")</f>
        <v/>
      </c>
      <c r="W733">
        <f>IF($A733="","",IF(OR($T733=TRUE(),$T733="TRUE"),1,0))</f>
        <v/>
      </c>
      <c r="X733">
        <f>IF($U733=1,IFERROR(IF(VALUE($A733)&lt;100000000,VALUE($A733),1000000000),IFERROR(IF(VALUE(MID($A733,2,20))&lt;100000000,VALUE(MID($A733,2,20)),1000000000),1000000000))+ROW()/100000,"")</f>
        <v/>
      </c>
    </row>
    <row r="734">
      <c r="F734" s="7">
        <f>IF($A734="","",E734*N734/100)</f>
        <v/>
      </c>
      <c r="J734" s="7" t="n"/>
      <c r="K734" s="7">
        <f>IF($A734="","",S734*N734)</f>
        <v/>
      </c>
      <c r="L734" s="7">
        <f>IF($A734="","",N734-K734)</f>
        <v/>
      </c>
      <c r="M734" s="7">
        <f>IF($A734="","",L734-F734)</f>
        <v/>
      </c>
      <c r="N734" s="7" t="n"/>
      <c r="Q734" s="11" t="n"/>
      <c r="S734">
        <f>IF($A734="","",IF($W734=1,Settings!$C$6,Settings!$C$7)*1)</f>
        <v/>
      </c>
      <c r="U734">
        <f>IF($A734="","",IF(COUNTIF($A$2:$A734,$A734)=1,1,0))</f>
        <v/>
      </c>
      <c r="V734">
        <f>IF($U734=1,SUMPRODUCT(--($X$2:$X$1001&lt;$X734))+1,"")</f>
        <v/>
      </c>
      <c r="W734">
        <f>IF($A734="","",IF(OR($T734=TRUE(),$T734="TRUE"),1,0))</f>
        <v/>
      </c>
      <c r="X734">
        <f>IF($U734=1,IFERROR(IF(VALUE($A734)&lt;100000000,VALUE($A734),1000000000),IFERROR(IF(VALUE(MID($A734,2,20))&lt;100000000,VALUE(MID($A734,2,20)),1000000000),1000000000))+ROW()/100000,"")</f>
        <v/>
      </c>
    </row>
    <row r="735">
      <c r="F735" s="7">
        <f>IF($A735="","",E735*N735/100)</f>
        <v/>
      </c>
      <c r="J735" s="7" t="n"/>
      <c r="K735" s="7">
        <f>IF($A735="","",S735*N735)</f>
        <v/>
      </c>
      <c r="L735" s="7">
        <f>IF($A735="","",N735-K735)</f>
        <v/>
      </c>
      <c r="M735" s="7">
        <f>IF($A735="","",L735-F735)</f>
        <v/>
      </c>
      <c r="N735" s="7" t="n"/>
      <c r="Q735" s="11" t="n"/>
      <c r="S735">
        <f>IF($A735="","",IF($W735=1,Settings!$C$6,Settings!$C$7)*1)</f>
        <v/>
      </c>
      <c r="U735">
        <f>IF($A735="","",IF(COUNTIF($A$2:$A735,$A735)=1,1,0))</f>
        <v/>
      </c>
      <c r="V735">
        <f>IF($U735=1,SUMPRODUCT(--($X$2:$X$1001&lt;$X735))+1,"")</f>
        <v/>
      </c>
      <c r="W735">
        <f>IF($A735="","",IF(OR($T735=TRUE(),$T735="TRUE"),1,0))</f>
        <v/>
      </c>
      <c r="X735">
        <f>IF($U735=1,IFERROR(IF(VALUE($A735)&lt;100000000,VALUE($A735),1000000000),IFERROR(IF(VALUE(MID($A735,2,20))&lt;100000000,VALUE(MID($A735,2,20)),1000000000),1000000000))+ROW()/100000,"")</f>
        <v/>
      </c>
    </row>
    <row r="736">
      <c r="F736" s="7">
        <f>IF($A736="","",E736*N736/100)</f>
        <v/>
      </c>
      <c r="J736" s="7" t="n"/>
      <c r="K736" s="7">
        <f>IF($A736="","",S736*N736)</f>
        <v/>
      </c>
      <c r="L736" s="7">
        <f>IF($A736="","",N736-K736)</f>
        <v/>
      </c>
      <c r="M736" s="7">
        <f>IF($A736="","",L736-F736)</f>
        <v/>
      </c>
      <c r="N736" s="7" t="n"/>
      <c r="Q736" s="11" t="n"/>
      <c r="S736">
        <f>IF($A736="","",IF($W736=1,Settings!$C$6,Settings!$C$7)*1)</f>
        <v/>
      </c>
      <c r="U736">
        <f>IF($A736="","",IF(COUNTIF($A$2:$A736,$A736)=1,1,0))</f>
        <v/>
      </c>
      <c r="V736">
        <f>IF($U736=1,SUMPRODUCT(--($X$2:$X$1001&lt;$X736))+1,"")</f>
        <v/>
      </c>
      <c r="W736">
        <f>IF($A736="","",IF(OR($T736=TRUE(),$T736="TRUE"),1,0))</f>
        <v/>
      </c>
      <c r="X736">
        <f>IF($U736=1,IFERROR(IF(VALUE($A736)&lt;100000000,VALUE($A736),1000000000),IFERROR(IF(VALUE(MID($A736,2,20))&lt;100000000,VALUE(MID($A736,2,20)),1000000000),1000000000))+ROW()/100000,"")</f>
        <v/>
      </c>
    </row>
    <row r="737">
      <c r="F737" s="7">
        <f>IF($A737="","",E737*N737/100)</f>
        <v/>
      </c>
      <c r="J737" s="7" t="n"/>
      <c r="K737" s="7">
        <f>IF($A737="","",S737*N737)</f>
        <v/>
      </c>
      <c r="L737" s="7">
        <f>IF($A737="","",N737-K737)</f>
        <v/>
      </c>
      <c r="M737" s="7">
        <f>IF($A737="","",L737-F737)</f>
        <v/>
      </c>
      <c r="N737" s="7" t="n"/>
      <c r="Q737" s="11" t="n"/>
      <c r="S737">
        <f>IF($A737="","",IF($W737=1,Settings!$C$6,Settings!$C$7)*1)</f>
        <v/>
      </c>
      <c r="U737">
        <f>IF($A737="","",IF(COUNTIF($A$2:$A737,$A737)=1,1,0))</f>
        <v/>
      </c>
      <c r="V737">
        <f>IF($U737=1,SUMPRODUCT(--($X$2:$X$1001&lt;$X737))+1,"")</f>
        <v/>
      </c>
      <c r="W737">
        <f>IF($A737="","",IF(OR($T737=TRUE(),$T737="TRUE"),1,0))</f>
        <v/>
      </c>
      <c r="X737">
        <f>IF($U737=1,IFERROR(IF(VALUE($A737)&lt;100000000,VALUE($A737),1000000000),IFERROR(IF(VALUE(MID($A737,2,20))&lt;100000000,VALUE(MID($A737,2,20)),1000000000),1000000000))+ROW()/100000,"")</f>
        <v/>
      </c>
    </row>
    <row r="738">
      <c r="F738" s="7">
        <f>IF($A738="","",E738*N738/100)</f>
        <v/>
      </c>
      <c r="J738" s="7" t="n"/>
      <c r="K738" s="7">
        <f>IF($A738="","",S738*N738)</f>
        <v/>
      </c>
      <c r="L738" s="7">
        <f>IF($A738="","",N738-K738)</f>
        <v/>
      </c>
      <c r="M738" s="7">
        <f>IF($A738="","",L738-F738)</f>
        <v/>
      </c>
      <c r="N738" s="7" t="n"/>
      <c r="Q738" s="11" t="n"/>
      <c r="S738">
        <f>IF($A738="","",IF($W738=1,Settings!$C$6,Settings!$C$7)*1)</f>
        <v/>
      </c>
      <c r="U738">
        <f>IF($A738="","",IF(COUNTIF($A$2:$A738,$A738)=1,1,0))</f>
        <v/>
      </c>
      <c r="V738">
        <f>IF($U738=1,SUMPRODUCT(--($X$2:$X$1001&lt;$X738))+1,"")</f>
        <v/>
      </c>
      <c r="W738">
        <f>IF($A738="","",IF(OR($T738=TRUE(),$T738="TRUE"),1,0))</f>
        <v/>
      </c>
      <c r="X738">
        <f>IF($U738=1,IFERROR(IF(VALUE($A738)&lt;100000000,VALUE($A738),1000000000),IFERROR(IF(VALUE(MID($A738,2,20))&lt;100000000,VALUE(MID($A738,2,20)),1000000000),1000000000))+ROW()/100000,"")</f>
        <v/>
      </c>
    </row>
    <row r="739">
      <c r="F739" s="7">
        <f>IF($A739="","",E739*N739/100)</f>
        <v/>
      </c>
      <c r="J739" s="7" t="n"/>
      <c r="K739" s="7">
        <f>IF($A739="","",S739*N739)</f>
        <v/>
      </c>
      <c r="L739" s="7">
        <f>IF($A739="","",N739-K739)</f>
        <v/>
      </c>
      <c r="M739" s="7">
        <f>IF($A739="","",L739-F739)</f>
        <v/>
      </c>
      <c r="N739" s="7" t="n"/>
      <c r="Q739" s="11" t="n"/>
      <c r="S739">
        <f>IF($A739="","",IF($W739=1,Settings!$C$6,Settings!$C$7)*1)</f>
        <v/>
      </c>
      <c r="U739">
        <f>IF($A739="","",IF(COUNTIF($A$2:$A739,$A739)=1,1,0))</f>
        <v/>
      </c>
      <c r="V739">
        <f>IF($U739=1,SUMPRODUCT(--($X$2:$X$1001&lt;$X739))+1,"")</f>
        <v/>
      </c>
      <c r="W739">
        <f>IF($A739="","",IF(OR($T739=TRUE(),$T739="TRUE"),1,0))</f>
        <v/>
      </c>
      <c r="X739">
        <f>IF($U739=1,IFERROR(IF(VALUE($A739)&lt;100000000,VALUE($A739),1000000000),IFERROR(IF(VALUE(MID($A739,2,20))&lt;100000000,VALUE(MID($A739,2,20)),1000000000),1000000000))+ROW()/100000,"")</f>
        <v/>
      </c>
    </row>
    <row r="740">
      <c r="F740" s="7">
        <f>IF($A740="","",E740*N740/100)</f>
        <v/>
      </c>
      <c r="J740" s="7" t="n"/>
      <c r="K740" s="7">
        <f>IF($A740="","",S740*N740)</f>
        <v/>
      </c>
      <c r="L740" s="7">
        <f>IF($A740="","",N740-K740)</f>
        <v/>
      </c>
      <c r="M740" s="7">
        <f>IF($A740="","",L740-F740)</f>
        <v/>
      </c>
      <c r="N740" s="7" t="n"/>
      <c r="Q740" s="11" t="n"/>
      <c r="S740">
        <f>IF($A740="","",IF($W740=1,Settings!$C$6,Settings!$C$7)*1)</f>
        <v/>
      </c>
      <c r="U740">
        <f>IF($A740="","",IF(COUNTIF($A$2:$A740,$A740)=1,1,0))</f>
        <v/>
      </c>
      <c r="V740">
        <f>IF($U740=1,SUMPRODUCT(--($X$2:$X$1001&lt;$X740))+1,"")</f>
        <v/>
      </c>
      <c r="W740">
        <f>IF($A740="","",IF(OR($T740=TRUE(),$T740="TRUE"),1,0))</f>
        <v/>
      </c>
      <c r="X740">
        <f>IF($U740=1,IFERROR(IF(VALUE($A740)&lt;100000000,VALUE($A740),1000000000),IFERROR(IF(VALUE(MID($A740,2,20))&lt;100000000,VALUE(MID($A740,2,20)),1000000000),1000000000))+ROW()/100000,"")</f>
        <v/>
      </c>
    </row>
    <row r="741">
      <c r="F741" s="7">
        <f>IF($A741="","",E741*N741/100)</f>
        <v/>
      </c>
      <c r="J741" s="7" t="n"/>
      <c r="K741" s="7">
        <f>IF($A741="","",S741*N741)</f>
        <v/>
      </c>
      <c r="L741" s="7">
        <f>IF($A741="","",N741-K741)</f>
        <v/>
      </c>
      <c r="M741" s="7">
        <f>IF($A741="","",L741-F741)</f>
        <v/>
      </c>
      <c r="N741" s="7" t="n"/>
      <c r="Q741" s="11" t="n"/>
      <c r="S741">
        <f>IF($A741="","",IF($W741=1,Settings!$C$6,Settings!$C$7)*1)</f>
        <v/>
      </c>
      <c r="U741">
        <f>IF($A741="","",IF(COUNTIF($A$2:$A741,$A741)=1,1,0))</f>
        <v/>
      </c>
      <c r="V741">
        <f>IF($U741=1,SUMPRODUCT(--($X$2:$X$1001&lt;$X741))+1,"")</f>
        <v/>
      </c>
      <c r="W741">
        <f>IF($A741="","",IF(OR($T741=TRUE(),$T741="TRUE"),1,0))</f>
        <v/>
      </c>
      <c r="X741">
        <f>IF($U741=1,IFERROR(IF(VALUE($A741)&lt;100000000,VALUE($A741),1000000000),IFERROR(IF(VALUE(MID($A741,2,20))&lt;100000000,VALUE(MID($A741,2,20)),1000000000),1000000000))+ROW()/100000,"")</f>
        <v/>
      </c>
    </row>
    <row r="742">
      <c r="F742" s="7">
        <f>IF($A742="","",E742*N742/100)</f>
        <v/>
      </c>
      <c r="J742" s="7" t="n"/>
      <c r="K742" s="7">
        <f>IF($A742="","",S742*N742)</f>
        <v/>
      </c>
      <c r="L742" s="7">
        <f>IF($A742="","",N742-K742)</f>
        <v/>
      </c>
      <c r="M742" s="7">
        <f>IF($A742="","",L742-F742)</f>
        <v/>
      </c>
      <c r="N742" s="7" t="n"/>
      <c r="Q742" s="11" t="n"/>
      <c r="S742">
        <f>IF($A742="","",IF($W742=1,Settings!$C$6,Settings!$C$7)*1)</f>
        <v/>
      </c>
      <c r="U742">
        <f>IF($A742="","",IF(COUNTIF($A$2:$A742,$A742)=1,1,0))</f>
        <v/>
      </c>
      <c r="V742">
        <f>IF($U742=1,SUMPRODUCT(--($X$2:$X$1001&lt;$X742))+1,"")</f>
        <v/>
      </c>
      <c r="W742">
        <f>IF($A742="","",IF(OR($T742=TRUE(),$T742="TRUE"),1,0))</f>
        <v/>
      </c>
      <c r="X742">
        <f>IF($U742=1,IFERROR(IF(VALUE($A742)&lt;100000000,VALUE($A742),1000000000),IFERROR(IF(VALUE(MID($A742,2,20))&lt;100000000,VALUE(MID($A742,2,20)),1000000000),1000000000))+ROW()/100000,"")</f>
        <v/>
      </c>
    </row>
    <row r="743">
      <c r="F743" s="7">
        <f>IF($A743="","",E743*N743/100)</f>
        <v/>
      </c>
      <c r="J743" s="7" t="n"/>
      <c r="K743" s="7">
        <f>IF($A743="","",S743*N743)</f>
        <v/>
      </c>
      <c r="L743" s="7">
        <f>IF($A743="","",N743-K743)</f>
        <v/>
      </c>
      <c r="M743" s="7">
        <f>IF($A743="","",L743-F743)</f>
        <v/>
      </c>
      <c r="N743" s="7" t="n"/>
      <c r="Q743" s="11" t="n"/>
      <c r="S743">
        <f>IF($A743="","",IF($W743=1,Settings!$C$6,Settings!$C$7)*1)</f>
        <v/>
      </c>
      <c r="U743">
        <f>IF($A743="","",IF(COUNTIF($A$2:$A743,$A743)=1,1,0))</f>
        <v/>
      </c>
      <c r="V743">
        <f>IF($U743=1,SUMPRODUCT(--($X$2:$X$1001&lt;$X743))+1,"")</f>
        <v/>
      </c>
      <c r="W743">
        <f>IF($A743="","",IF(OR($T743=TRUE(),$T743="TRUE"),1,0))</f>
        <v/>
      </c>
      <c r="X743">
        <f>IF($U743=1,IFERROR(IF(VALUE($A743)&lt;100000000,VALUE($A743),1000000000),IFERROR(IF(VALUE(MID($A743,2,20))&lt;100000000,VALUE(MID($A743,2,20)),1000000000),1000000000))+ROW()/100000,"")</f>
        <v/>
      </c>
    </row>
    <row r="744">
      <c r="F744" s="7">
        <f>IF($A744="","",E744*N744/100)</f>
        <v/>
      </c>
      <c r="J744" s="7" t="n"/>
      <c r="K744" s="7">
        <f>IF($A744="","",S744*N744)</f>
        <v/>
      </c>
      <c r="L744" s="7">
        <f>IF($A744="","",N744-K744)</f>
        <v/>
      </c>
      <c r="M744" s="7">
        <f>IF($A744="","",L744-F744)</f>
        <v/>
      </c>
      <c r="N744" s="7" t="n"/>
      <c r="Q744" s="11" t="n"/>
      <c r="S744">
        <f>IF($A744="","",IF($W744=1,Settings!$C$6,Settings!$C$7)*1)</f>
        <v/>
      </c>
      <c r="U744">
        <f>IF($A744="","",IF(COUNTIF($A$2:$A744,$A744)=1,1,0))</f>
        <v/>
      </c>
      <c r="V744">
        <f>IF($U744=1,SUMPRODUCT(--($X$2:$X$1001&lt;$X744))+1,"")</f>
        <v/>
      </c>
      <c r="W744">
        <f>IF($A744="","",IF(OR($T744=TRUE(),$T744="TRUE"),1,0))</f>
        <v/>
      </c>
      <c r="X744">
        <f>IF($U744=1,IFERROR(IF(VALUE($A744)&lt;100000000,VALUE($A744),1000000000),IFERROR(IF(VALUE(MID($A744,2,20))&lt;100000000,VALUE(MID($A744,2,20)),1000000000),1000000000))+ROW()/100000,"")</f>
        <v/>
      </c>
    </row>
    <row r="745">
      <c r="F745" s="7">
        <f>IF($A745="","",E745*N745/100)</f>
        <v/>
      </c>
      <c r="J745" s="7" t="n"/>
      <c r="K745" s="7">
        <f>IF($A745="","",S745*N745)</f>
        <v/>
      </c>
      <c r="L745" s="7">
        <f>IF($A745="","",N745-K745)</f>
        <v/>
      </c>
      <c r="M745" s="7">
        <f>IF($A745="","",L745-F745)</f>
        <v/>
      </c>
      <c r="N745" s="7" t="n"/>
      <c r="Q745" s="11" t="n"/>
      <c r="S745">
        <f>IF($A745="","",IF($W745=1,Settings!$C$6,Settings!$C$7)*1)</f>
        <v/>
      </c>
      <c r="U745">
        <f>IF($A745="","",IF(COUNTIF($A$2:$A745,$A745)=1,1,0))</f>
        <v/>
      </c>
      <c r="V745">
        <f>IF($U745=1,SUMPRODUCT(--($X$2:$X$1001&lt;$X745))+1,"")</f>
        <v/>
      </c>
      <c r="W745">
        <f>IF($A745="","",IF(OR($T745=TRUE(),$T745="TRUE"),1,0))</f>
        <v/>
      </c>
      <c r="X745">
        <f>IF($U745=1,IFERROR(IF(VALUE($A745)&lt;100000000,VALUE($A745),1000000000),IFERROR(IF(VALUE(MID($A745,2,20))&lt;100000000,VALUE(MID($A745,2,20)),1000000000),1000000000))+ROW()/100000,"")</f>
        <v/>
      </c>
    </row>
    <row r="746">
      <c r="F746" s="7">
        <f>IF($A746="","",E746*N746/100)</f>
        <v/>
      </c>
      <c r="J746" s="7" t="n"/>
      <c r="K746" s="7">
        <f>IF($A746="","",S746*N746)</f>
        <v/>
      </c>
      <c r="L746" s="7">
        <f>IF($A746="","",N746-K746)</f>
        <v/>
      </c>
      <c r="M746" s="7">
        <f>IF($A746="","",L746-F746)</f>
        <v/>
      </c>
      <c r="N746" s="7" t="n"/>
      <c r="Q746" s="11" t="n"/>
      <c r="S746">
        <f>IF($A746="","",IF($W746=1,Settings!$C$6,Settings!$C$7)*1)</f>
        <v/>
      </c>
      <c r="U746">
        <f>IF($A746="","",IF(COUNTIF($A$2:$A746,$A746)=1,1,0))</f>
        <v/>
      </c>
      <c r="V746">
        <f>IF($U746=1,SUMPRODUCT(--($X$2:$X$1001&lt;$X746))+1,"")</f>
        <v/>
      </c>
      <c r="W746">
        <f>IF($A746="","",IF(OR($T746=TRUE(),$T746="TRUE"),1,0))</f>
        <v/>
      </c>
      <c r="X746">
        <f>IF($U746=1,IFERROR(IF(VALUE($A746)&lt;100000000,VALUE($A746),1000000000),IFERROR(IF(VALUE(MID($A746,2,20))&lt;100000000,VALUE(MID($A746,2,20)),1000000000),1000000000))+ROW()/100000,"")</f>
        <v/>
      </c>
    </row>
    <row r="747">
      <c r="F747" s="7">
        <f>IF($A747="","",E747*N747/100)</f>
        <v/>
      </c>
      <c r="J747" s="7" t="n"/>
      <c r="K747" s="7">
        <f>IF($A747="","",S747*N747)</f>
        <v/>
      </c>
      <c r="L747" s="7">
        <f>IF($A747="","",N747-K747)</f>
        <v/>
      </c>
      <c r="M747" s="7">
        <f>IF($A747="","",L747-F747)</f>
        <v/>
      </c>
      <c r="N747" s="7" t="n"/>
      <c r="Q747" s="11" t="n"/>
      <c r="S747">
        <f>IF($A747="","",IF($W747=1,Settings!$C$6,Settings!$C$7)*1)</f>
        <v/>
      </c>
      <c r="U747">
        <f>IF($A747="","",IF(COUNTIF($A$2:$A747,$A747)=1,1,0))</f>
        <v/>
      </c>
      <c r="V747">
        <f>IF($U747=1,SUMPRODUCT(--($X$2:$X$1001&lt;$X747))+1,"")</f>
        <v/>
      </c>
      <c r="W747">
        <f>IF($A747="","",IF(OR($T747=TRUE(),$T747="TRUE"),1,0))</f>
        <v/>
      </c>
      <c r="X747">
        <f>IF($U747=1,IFERROR(IF(VALUE($A747)&lt;100000000,VALUE($A747),1000000000),IFERROR(IF(VALUE(MID($A747,2,20))&lt;100000000,VALUE(MID($A747,2,20)),1000000000),1000000000))+ROW()/100000,"")</f>
        <v/>
      </c>
    </row>
    <row r="748">
      <c r="F748" s="7">
        <f>IF($A748="","",E748*N748/100)</f>
        <v/>
      </c>
      <c r="J748" s="7" t="n"/>
      <c r="K748" s="7">
        <f>IF($A748="","",S748*N748)</f>
        <v/>
      </c>
      <c r="L748" s="7">
        <f>IF($A748="","",N748-K748)</f>
        <v/>
      </c>
      <c r="M748" s="7">
        <f>IF($A748="","",L748-F748)</f>
        <v/>
      </c>
      <c r="N748" s="7" t="n"/>
      <c r="Q748" s="11" t="n"/>
      <c r="S748">
        <f>IF($A748="","",IF($W748=1,Settings!$C$6,Settings!$C$7)*1)</f>
        <v/>
      </c>
      <c r="U748">
        <f>IF($A748="","",IF(COUNTIF($A$2:$A748,$A748)=1,1,0))</f>
        <v/>
      </c>
      <c r="V748">
        <f>IF($U748=1,SUMPRODUCT(--($X$2:$X$1001&lt;$X748))+1,"")</f>
        <v/>
      </c>
      <c r="W748">
        <f>IF($A748="","",IF(OR($T748=TRUE(),$T748="TRUE"),1,0))</f>
        <v/>
      </c>
      <c r="X748">
        <f>IF($U748=1,IFERROR(IF(VALUE($A748)&lt;100000000,VALUE($A748),1000000000),IFERROR(IF(VALUE(MID($A748,2,20))&lt;100000000,VALUE(MID($A748,2,20)),1000000000),1000000000))+ROW()/100000,"")</f>
        <v/>
      </c>
    </row>
    <row r="749">
      <c r="F749" s="7">
        <f>IF($A749="","",E749*N749/100)</f>
        <v/>
      </c>
      <c r="J749" s="7" t="n"/>
      <c r="K749" s="7">
        <f>IF($A749="","",S749*N749)</f>
        <v/>
      </c>
      <c r="L749" s="7">
        <f>IF($A749="","",N749-K749)</f>
        <v/>
      </c>
      <c r="M749" s="7">
        <f>IF($A749="","",L749-F749)</f>
        <v/>
      </c>
      <c r="N749" s="7" t="n"/>
      <c r="Q749" s="11" t="n"/>
      <c r="S749">
        <f>IF($A749="","",IF($W749=1,Settings!$C$6,Settings!$C$7)*1)</f>
        <v/>
      </c>
      <c r="U749">
        <f>IF($A749="","",IF(COUNTIF($A$2:$A749,$A749)=1,1,0))</f>
        <v/>
      </c>
      <c r="V749">
        <f>IF($U749=1,SUMPRODUCT(--($X$2:$X$1001&lt;$X749))+1,"")</f>
        <v/>
      </c>
      <c r="W749">
        <f>IF($A749="","",IF(OR($T749=TRUE(),$T749="TRUE"),1,0))</f>
        <v/>
      </c>
      <c r="X749">
        <f>IF($U749=1,IFERROR(IF(VALUE($A749)&lt;100000000,VALUE($A749),1000000000),IFERROR(IF(VALUE(MID($A749,2,20))&lt;100000000,VALUE(MID($A749,2,20)),1000000000),1000000000))+ROW()/100000,"")</f>
        <v/>
      </c>
    </row>
    <row r="750">
      <c r="F750" s="7">
        <f>IF($A750="","",E750*N750/100)</f>
        <v/>
      </c>
      <c r="J750" s="7" t="n"/>
      <c r="K750" s="7">
        <f>IF($A750="","",S750*N750)</f>
        <v/>
      </c>
      <c r="L750" s="7">
        <f>IF($A750="","",N750-K750)</f>
        <v/>
      </c>
      <c r="M750" s="7">
        <f>IF($A750="","",L750-F750)</f>
        <v/>
      </c>
      <c r="N750" s="7" t="n"/>
      <c r="Q750" s="11" t="n"/>
      <c r="S750">
        <f>IF($A750="","",IF($W750=1,Settings!$C$6,Settings!$C$7)*1)</f>
        <v/>
      </c>
      <c r="U750">
        <f>IF($A750="","",IF(COUNTIF($A$2:$A750,$A750)=1,1,0))</f>
        <v/>
      </c>
      <c r="V750">
        <f>IF($U750=1,SUMPRODUCT(--($X$2:$X$1001&lt;$X750))+1,"")</f>
        <v/>
      </c>
      <c r="W750">
        <f>IF($A750="","",IF(OR($T750=TRUE(),$T750="TRUE"),1,0))</f>
        <v/>
      </c>
      <c r="X750">
        <f>IF($U750=1,IFERROR(IF(VALUE($A750)&lt;100000000,VALUE($A750),1000000000),IFERROR(IF(VALUE(MID($A750,2,20))&lt;100000000,VALUE(MID($A750,2,20)),1000000000),1000000000))+ROW()/100000,"")</f>
        <v/>
      </c>
    </row>
    <row r="751">
      <c r="F751" s="7">
        <f>IF($A751="","",E751*N751/100)</f>
        <v/>
      </c>
      <c r="J751" s="7" t="n"/>
      <c r="K751" s="7">
        <f>IF($A751="","",S751*N751)</f>
        <v/>
      </c>
      <c r="L751" s="7">
        <f>IF($A751="","",N751-K751)</f>
        <v/>
      </c>
      <c r="M751" s="7">
        <f>IF($A751="","",L751-F751)</f>
        <v/>
      </c>
      <c r="N751" s="7" t="n"/>
      <c r="Q751" s="11" t="n"/>
      <c r="S751">
        <f>IF($A751="","",IF($W751=1,Settings!$C$6,Settings!$C$7)*1)</f>
        <v/>
      </c>
      <c r="U751">
        <f>IF($A751="","",IF(COUNTIF($A$2:$A751,$A751)=1,1,0))</f>
        <v/>
      </c>
      <c r="V751">
        <f>IF($U751=1,SUMPRODUCT(--($X$2:$X$1001&lt;$X751))+1,"")</f>
        <v/>
      </c>
      <c r="W751">
        <f>IF($A751="","",IF(OR($T751=TRUE(),$T751="TRUE"),1,0))</f>
        <v/>
      </c>
      <c r="X751">
        <f>IF($U751=1,IFERROR(IF(VALUE($A751)&lt;100000000,VALUE($A751),1000000000),IFERROR(IF(VALUE(MID($A751,2,20))&lt;100000000,VALUE(MID($A751,2,20)),1000000000),1000000000))+ROW()/100000,"")</f>
        <v/>
      </c>
    </row>
    <row r="752">
      <c r="F752" s="7">
        <f>IF($A752="","",E752*N752/100)</f>
        <v/>
      </c>
      <c r="J752" s="7" t="n"/>
      <c r="K752" s="7">
        <f>IF($A752="","",S752*N752)</f>
        <v/>
      </c>
      <c r="L752" s="7">
        <f>IF($A752="","",N752-K752)</f>
        <v/>
      </c>
      <c r="M752" s="7">
        <f>IF($A752="","",L752-F752)</f>
        <v/>
      </c>
      <c r="N752" s="7" t="n"/>
      <c r="Q752" s="11" t="n"/>
      <c r="S752">
        <f>IF($A752="","",IF($W752=1,Settings!$C$6,Settings!$C$7)*1)</f>
        <v/>
      </c>
      <c r="U752">
        <f>IF($A752="","",IF(COUNTIF($A$2:$A752,$A752)=1,1,0))</f>
        <v/>
      </c>
      <c r="V752">
        <f>IF($U752=1,SUMPRODUCT(--($X$2:$X$1001&lt;$X752))+1,"")</f>
        <v/>
      </c>
      <c r="W752">
        <f>IF($A752="","",IF(OR($T752=TRUE(),$T752="TRUE"),1,0))</f>
        <v/>
      </c>
      <c r="X752">
        <f>IF($U752=1,IFERROR(IF(VALUE($A752)&lt;100000000,VALUE($A752),1000000000),IFERROR(IF(VALUE(MID($A752,2,20))&lt;100000000,VALUE(MID($A752,2,20)),1000000000),1000000000))+ROW()/100000,"")</f>
        <v/>
      </c>
    </row>
    <row r="753">
      <c r="F753" s="7">
        <f>IF($A753="","",E753*N753/100)</f>
        <v/>
      </c>
      <c r="J753" s="7" t="n"/>
      <c r="K753" s="7">
        <f>IF($A753="","",S753*N753)</f>
        <v/>
      </c>
      <c r="L753" s="7">
        <f>IF($A753="","",N753-K753)</f>
        <v/>
      </c>
      <c r="M753" s="7">
        <f>IF($A753="","",L753-F753)</f>
        <v/>
      </c>
      <c r="N753" s="7" t="n"/>
      <c r="Q753" s="11" t="n"/>
      <c r="S753">
        <f>IF($A753="","",IF($W753=1,Settings!$C$6,Settings!$C$7)*1)</f>
        <v/>
      </c>
      <c r="U753">
        <f>IF($A753="","",IF(COUNTIF($A$2:$A753,$A753)=1,1,0))</f>
        <v/>
      </c>
      <c r="V753">
        <f>IF($U753=1,SUMPRODUCT(--($X$2:$X$1001&lt;$X753))+1,"")</f>
        <v/>
      </c>
      <c r="W753">
        <f>IF($A753="","",IF(OR($T753=TRUE(),$T753="TRUE"),1,0))</f>
        <v/>
      </c>
      <c r="X753">
        <f>IF($U753=1,IFERROR(IF(VALUE($A753)&lt;100000000,VALUE($A753),1000000000),IFERROR(IF(VALUE(MID($A753,2,20))&lt;100000000,VALUE(MID($A753,2,20)),1000000000),1000000000))+ROW()/100000,"")</f>
        <v/>
      </c>
    </row>
    <row r="754">
      <c r="F754" s="7">
        <f>IF($A754="","",E754*N754/100)</f>
        <v/>
      </c>
      <c r="J754" s="7" t="n"/>
      <c r="K754" s="7">
        <f>IF($A754="","",S754*N754)</f>
        <v/>
      </c>
      <c r="L754" s="7">
        <f>IF($A754="","",N754-K754)</f>
        <v/>
      </c>
      <c r="M754" s="7">
        <f>IF($A754="","",L754-F754)</f>
        <v/>
      </c>
      <c r="N754" s="7" t="n"/>
      <c r="Q754" s="11" t="n"/>
      <c r="S754">
        <f>IF($A754="","",IF($W754=1,Settings!$C$6,Settings!$C$7)*1)</f>
        <v/>
      </c>
      <c r="U754">
        <f>IF($A754="","",IF(COUNTIF($A$2:$A754,$A754)=1,1,0))</f>
        <v/>
      </c>
      <c r="V754">
        <f>IF($U754=1,SUMPRODUCT(--($X$2:$X$1001&lt;$X754))+1,"")</f>
        <v/>
      </c>
      <c r="W754">
        <f>IF($A754="","",IF(OR($T754=TRUE(),$T754="TRUE"),1,0))</f>
        <v/>
      </c>
      <c r="X754">
        <f>IF($U754=1,IFERROR(IF(VALUE($A754)&lt;100000000,VALUE($A754),1000000000),IFERROR(IF(VALUE(MID($A754,2,20))&lt;100000000,VALUE(MID($A754,2,20)),1000000000),1000000000))+ROW()/100000,"")</f>
        <v/>
      </c>
    </row>
    <row r="755">
      <c r="F755" s="7">
        <f>IF($A755="","",E755*N755/100)</f>
        <v/>
      </c>
      <c r="J755" s="7" t="n"/>
      <c r="K755" s="7">
        <f>IF($A755="","",S755*N755)</f>
        <v/>
      </c>
      <c r="L755" s="7">
        <f>IF($A755="","",N755-K755)</f>
        <v/>
      </c>
      <c r="M755" s="7">
        <f>IF($A755="","",L755-F755)</f>
        <v/>
      </c>
      <c r="N755" s="7" t="n"/>
      <c r="Q755" s="11" t="n"/>
      <c r="S755">
        <f>IF($A755="","",IF($W755=1,Settings!$C$6,Settings!$C$7)*1)</f>
        <v/>
      </c>
      <c r="U755">
        <f>IF($A755="","",IF(COUNTIF($A$2:$A755,$A755)=1,1,0))</f>
        <v/>
      </c>
      <c r="V755">
        <f>IF($U755=1,SUMPRODUCT(--($X$2:$X$1001&lt;$X755))+1,"")</f>
        <v/>
      </c>
      <c r="W755">
        <f>IF($A755="","",IF(OR($T755=TRUE(),$T755="TRUE"),1,0))</f>
        <v/>
      </c>
      <c r="X755">
        <f>IF($U755=1,IFERROR(IF(VALUE($A755)&lt;100000000,VALUE($A755),1000000000),IFERROR(IF(VALUE(MID($A755,2,20))&lt;100000000,VALUE(MID($A755,2,20)),1000000000),1000000000))+ROW()/100000,"")</f>
        <v/>
      </c>
    </row>
    <row r="756">
      <c r="F756" s="7">
        <f>IF($A756="","",E756*N756/100)</f>
        <v/>
      </c>
      <c r="J756" s="7" t="n"/>
      <c r="K756" s="7">
        <f>IF($A756="","",S756*N756)</f>
        <v/>
      </c>
      <c r="L756" s="7">
        <f>IF($A756="","",N756-K756)</f>
        <v/>
      </c>
      <c r="M756" s="7">
        <f>IF($A756="","",L756-F756)</f>
        <v/>
      </c>
      <c r="N756" s="7" t="n"/>
      <c r="Q756" s="11" t="n"/>
      <c r="S756">
        <f>IF($A756="","",IF($W756=1,Settings!$C$6,Settings!$C$7)*1)</f>
        <v/>
      </c>
      <c r="U756">
        <f>IF($A756="","",IF(COUNTIF($A$2:$A756,$A756)=1,1,0))</f>
        <v/>
      </c>
      <c r="V756">
        <f>IF($U756=1,SUMPRODUCT(--($X$2:$X$1001&lt;$X756))+1,"")</f>
        <v/>
      </c>
      <c r="W756">
        <f>IF($A756="","",IF(OR($T756=TRUE(),$T756="TRUE"),1,0))</f>
        <v/>
      </c>
      <c r="X756">
        <f>IF($U756=1,IFERROR(IF(VALUE($A756)&lt;100000000,VALUE($A756),1000000000),IFERROR(IF(VALUE(MID($A756,2,20))&lt;100000000,VALUE(MID($A756,2,20)),1000000000),1000000000))+ROW()/100000,"")</f>
        <v/>
      </c>
    </row>
    <row r="757">
      <c r="F757" s="7">
        <f>IF($A757="","",E757*N757/100)</f>
        <v/>
      </c>
      <c r="J757" s="7" t="n"/>
      <c r="K757" s="7">
        <f>IF($A757="","",S757*N757)</f>
        <v/>
      </c>
      <c r="L757" s="7">
        <f>IF($A757="","",N757-K757)</f>
        <v/>
      </c>
      <c r="M757" s="7">
        <f>IF($A757="","",L757-F757)</f>
        <v/>
      </c>
      <c r="N757" s="7" t="n"/>
      <c r="Q757" s="11" t="n"/>
      <c r="S757">
        <f>IF($A757="","",IF($W757=1,Settings!$C$6,Settings!$C$7)*1)</f>
        <v/>
      </c>
      <c r="U757">
        <f>IF($A757="","",IF(COUNTIF($A$2:$A757,$A757)=1,1,0))</f>
        <v/>
      </c>
      <c r="V757">
        <f>IF($U757=1,SUMPRODUCT(--($X$2:$X$1001&lt;$X757))+1,"")</f>
        <v/>
      </c>
      <c r="W757">
        <f>IF($A757="","",IF(OR($T757=TRUE(),$T757="TRUE"),1,0))</f>
        <v/>
      </c>
      <c r="X757">
        <f>IF($U757=1,IFERROR(IF(VALUE($A757)&lt;100000000,VALUE($A757),1000000000),IFERROR(IF(VALUE(MID($A757,2,20))&lt;100000000,VALUE(MID($A757,2,20)),1000000000),1000000000))+ROW()/100000,"")</f>
        <v/>
      </c>
    </row>
    <row r="758">
      <c r="F758" s="7">
        <f>IF($A758="","",E758*N758/100)</f>
        <v/>
      </c>
      <c r="J758" s="7" t="n"/>
      <c r="K758" s="7">
        <f>IF($A758="","",S758*N758)</f>
        <v/>
      </c>
      <c r="L758" s="7">
        <f>IF($A758="","",N758-K758)</f>
        <v/>
      </c>
      <c r="M758" s="7">
        <f>IF($A758="","",L758-F758)</f>
        <v/>
      </c>
      <c r="N758" s="7" t="n"/>
      <c r="Q758" s="11" t="n"/>
      <c r="S758">
        <f>IF($A758="","",IF($W758=1,Settings!$C$6,Settings!$C$7)*1)</f>
        <v/>
      </c>
      <c r="U758">
        <f>IF($A758="","",IF(COUNTIF($A$2:$A758,$A758)=1,1,0))</f>
        <v/>
      </c>
      <c r="V758">
        <f>IF($U758=1,SUMPRODUCT(--($X$2:$X$1001&lt;$X758))+1,"")</f>
        <v/>
      </c>
      <c r="W758">
        <f>IF($A758="","",IF(OR($T758=TRUE(),$T758="TRUE"),1,0))</f>
        <v/>
      </c>
      <c r="X758">
        <f>IF($U758=1,IFERROR(IF(VALUE($A758)&lt;100000000,VALUE($A758),1000000000),IFERROR(IF(VALUE(MID($A758,2,20))&lt;100000000,VALUE(MID($A758,2,20)),1000000000),1000000000))+ROW()/100000,"")</f>
        <v/>
      </c>
    </row>
    <row r="759">
      <c r="F759" s="7">
        <f>IF($A759="","",E759*N759/100)</f>
        <v/>
      </c>
      <c r="J759" s="7" t="n"/>
      <c r="K759" s="7">
        <f>IF($A759="","",S759*N759)</f>
        <v/>
      </c>
      <c r="L759" s="7">
        <f>IF($A759="","",N759-K759)</f>
        <v/>
      </c>
      <c r="M759" s="7">
        <f>IF($A759="","",L759-F759)</f>
        <v/>
      </c>
      <c r="N759" s="7" t="n"/>
      <c r="Q759" s="11" t="n"/>
      <c r="S759">
        <f>IF($A759="","",IF($W759=1,Settings!$C$6,Settings!$C$7)*1)</f>
        <v/>
      </c>
      <c r="U759">
        <f>IF($A759="","",IF(COUNTIF($A$2:$A759,$A759)=1,1,0))</f>
        <v/>
      </c>
      <c r="V759">
        <f>IF($U759=1,SUMPRODUCT(--($X$2:$X$1001&lt;$X759))+1,"")</f>
        <v/>
      </c>
      <c r="W759">
        <f>IF($A759="","",IF(OR($T759=TRUE(),$T759="TRUE"),1,0))</f>
        <v/>
      </c>
      <c r="X759">
        <f>IF($U759=1,IFERROR(IF(VALUE($A759)&lt;100000000,VALUE($A759),1000000000),IFERROR(IF(VALUE(MID($A759,2,20))&lt;100000000,VALUE(MID($A759,2,20)),1000000000),1000000000))+ROW()/100000,"")</f>
        <v/>
      </c>
    </row>
    <row r="760">
      <c r="F760" s="7">
        <f>IF($A760="","",E760*N760/100)</f>
        <v/>
      </c>
      <c r="J760" s="7" t="n"/>
      <c r="K760" s="7">
        <f>IF($A760="","",S760*N760)</f>
        <v/>
      </c>
      <c r="L760" s="7">
        <f>IF($A760="","",N760-K760)</f>
        <v/>
      </c>
      <c r="M760" s="7">
        <f>IF($A760="","",L760-F760)</f>
        <v/>
      </c>
      <c r="N760" s="7" t="n"/>
      <c r="Q760" s="11" t="n"/>
      <c r="S760">
        <f>IF($A760="","",IF($W760=1,Settings!$C$6,Settings!$C$7)*1)</f>
        <v/>
      </c>
      <c r="U760">
        <f>IF($A760="","",IF(COUNTIF($A$2:$A760,$A760)=1,1,0))</f>
        <v/>
      </c>
      <c r="V760">
        <f>IF($U760=1,SUMPRODUCT(--($X$2:$X$1001&lt;$X760))+1,"")</f>
        <v/>
      </c>
      <c r="W760">
        <f>IF($A760="","",IF(OR($T760=TRUE(),$T760="TRUE"),1,0))</f>
        <v/>
      </c>
      <c r="X760">
        <f>IF($U760=1,IFERROR(IF(VALUE($A760)&lt;100000000,VALUE($A760),1000000000),IFERROR(IF(VALUE(MID($A760,2,20))&lt;100000000,VALUE(MID($A760,2,20)),1000000000),1000000000))+ROW()/100000,"")</f>
        <v/>
      </c>
    </row>
    <row r="761">
      <c r="F761" s="7">
        <f>IF($A761="","",E761*N761/100)</f>
        <v/>
      </c>
      <c r="J761" s="7" t="n"/>
      <c r="K761" s="7">
        <f>IF($A761="","",S761*N761)</f>
        <v/>
      </c>
      <c r="L761" s="7">
        <f>IF($A761="","",N761-K761)</f>
        <v/>
      </c>
      <c r="M761" s="7">
        <f>IF($A761="","",L761-F761)</f>
        <v/>
      </c>
      <c r="N761" s="7" t="n"/>
      <c r="Q761" s="11" t="n"/>
      <c r="S761">
        <f>IF($A761="","",IF($W761=1,Settings!$C$6,Settings!$C$7)*1)</f>
        <v/>
      </c>
      <c r="U761">
        <f>IF($A761="","",IF(COUNTIF($A$2:$A761,$A761)=1,1,0))</f>
        <v/>
      </c>
      <c r="V761">
        <f>IF($U761=1,SUMPRODUCT(--($X$2:$X$1001&lt;$X761))+1,"")</f>
        <v/>
      </c>
      <c r="W761">
        <f>IF($A761="","",IF(OR($T761=TRUE(),$T761="TRUE"),1,0))</f>
        <v/>
      </c>
      <c r="X761">
        <f>IF($U761=1,IFERROR(IF(VALUE($A761)&lt;100000000,VALUE($A761),1000000000),IFERROR(IF(VALUE(MID($A761,2,20))&lt;100000000,VALUE(MID($A761,2,20)),1000000000),1000000000))+ROW()/100000,"")</f>
        <v/>
      </c>
    </row>
    <row r="762">
      <c r="F762" s="7">
        <f>IF($A762="","",E762*N762/100)</f>
        <v/>
      </c>
      <c r="J762" s="7" t="n"/>
      <c r="K762" s="7">
        <f>IF($A762="","",S762*N762)</f>
        <v/>
      </c>
      <c r="L762" s="7">
        <f>IF($A762="","",N762-K762)</f>
        <v/>
      </c>
      <c r="M762" s="7">
        <f>IF($A762="","",L762-F762)</f>
        <v/>
      </c>
      <c r="N762" s="7" t="n"/>
      <c r="Q762" s="11" t="n"/>
      <c r="S762">
        <f>IF($A762="","",IF($W762=1,Settings!$C$6,Settings!$C$7)*1)</f>
        <v/>
      </c>
      <c r="U762">
        <f>IF($A762="","",IF(COUNTIF($A$2:$A762,$A762)=1,1,0))</f>
        <v/>
      </c>
      <c r="V762">
        <f>IF($U762=1,SUMPRODUCT(--($X$2:$X$1001&lt;$X762))+1,"")</f>
        <v/>
      </c>
      <c r="W762">
        <f>IF($A762="","",IF(OR($T762=TRUE(),$T762="TRUE"),1,0))</f>
        <v/>
      </c>
      <c r="X762">
        <f>IF($U762=1,IFERROR(IF(VALUE($A762)&lt;100000000,VALUE($A762),1000000000),IFERROR(IF(VALUE(MID($A762,2,20))&lt;100000000,VALUE(MID($A762,2,20)),1000000000),1000000000))+ROW()/100000,"")</f>
        <v/>
      </c>
    </row>
    <row r="763">
      <c r="F763" s="7">
        <f>IF($A763="","",E763*N763/100)</f>
        <v/>
      </c>
      <c r="J763" s="7" t="n"/>
      <c r="K763" s="7">
        <f>IF($A763="","",S763*N763)</f>
        <v/>
      </c>
      <c r="L763" s="7">
        <f>IF($A763="","",N763-K763)</f>
        <v/>
      </c>
      <c r="M763" s="7">
        <f>IF($A763="","",L763-F763)</f>
        <v/>
      </c>
      <c r="N763" s="7" t="n"/>
      <c r="Q763" s="11" t="n"/>
      <c r="S763">
        <f>IF($A763="","",IF($W763=1,Settings!$C$6,Settings!$C$7)*1)</f>
        <v/>
      </c>
      <c r="U763">
        <f>IF($A763="","",IF(COUNTIF($A$2:$A763,$A763)=1,1,0))</f>
        <v/>
      </c>
      <c r="V763">
        <f>IF($U763=1,SUMPRODUCT(--($X$2:$X$1001&lt;$X763))+1,"")</f>
        <v/>
      </c>
      <c r="W763">
        <f>IF($A763="","",IF(OR($T763=TRUE(),$T763="TRUE"),1,0))</f>
        <v/>
      </c>
      <c r="X763">
        <f>IF($U763=1,IFERROR(IF(VALUE($A763)&lt;100000000,VALUE($A763),1000000000),IFERROR(IF(VALUE(MID($A763,2,20))&lt;100000000,VALUE(MID($A763,2,20)),1000000000),1000000000))+ROW()/100000,"")</f>
        <v/>
      </c>
    </row>
    <row r="764">
      <c r="F764" s="7">
        <f>IF($A764="","",E764*N764/100)</f>
        <v/>
      </c>
      <c r="J764" s="7" t="n"/>
      <c r="K764" s="7">
        <f>IF($A764="","",S764*N764)</f>
        <v/>
      </c>
      <c r="L764" s="7">
        <f>IF($A764="","",N764-K764)</f>
        <v/>
      </c>
      <c r="M764" s="7">
        <f>IF($A764="","",L764-F764)</f>
        <v/>
      </c>
      <c r="N764" s="7" t="n"/>
      <c r="Q764" s="11" t="n"/>
      <c r="S764">
        <f>IF($A764="","",IF($W764=1,Settings!$C$6,Settings!$C$7)*1)</f>
        <v/>
      </c>
      <c r="U764">
        <f>IF($A764="","",IF(COUNTIF($A$2:$A764,$A764)=1,1,0))</f>
        <v/>
      </c>
      <c r="V764">
        <f>IF($U764=1,SUMPRODUCT(--($X$2:$X$1001&lt;$X764))+1,"")</f>
        <v/>
      </c>
      <c r="W764">
        <f>IF($A764="","",IF(OR($T764=TRUE(),$T764="TRUE"),1,0))</f>
        <v/>
      </c>
      <c r="X764">
        <f>IF($U764=1,IFERROR(IF(VALUE($A764)&lt;100000000,VALUE($A764),1000000000),IFERROR(IF(VALUE(MID($A764,2,20))&lt;100000000,VALUE(MID($A764,2,20)),1000000000),1000000000))+ROW()/100000,"")</f>
        <v/>
      </c>
    </row>
    <row r="765">
      <c r="F765" s="7">
        <f>IF($A765="","",E765*N765/100)</f>
        <v/>
      </c>
      <c r="J765" s="7" t="n"/>
      <c r="K765" s="7">
        <f>IF($A765="","",S765*N765)</f>
        <v/>
      </c>
      <c r="L765" s="7">
        <f>IF($A765="","",N765-K765)</f>
        <v/>
      </c>
      <c r="M765" s="7">
        <f>IF($A765="","",L765-F765)</f>
        <v/>
      </c>
      <c r="N765" s="7" t="n"/>
      <c r="Q765" s="11" t="n"/>
      <c r="S765">
        <f>IF($A765="","",IF($W765=1,Settings!$C$6,Settings!$C$7)*1)</f>
        <v/>
      </c>
      <c r="U765">
        <f>IF($A765="","",IF(COUNTIF($A$2:$A765,$A765)=1,1,0))</f>
        <v/>
      </c>
      <c r="V765">
        <f>IF($U765=1,SUMPRODUCT(--($X$2:$X$1001&lt;$X765))+1,"")</f>
        <v/>
      </c>
      <c r="W765">
        <f>IF($A765="","",IF(OR($T765=TRUE(),$T765="TRUE"),1,0))</f>
        <v/>
      </c>
      <c r="X765">
        <f>IF($U765=1,IFERROR(IF(VALUE($A765)&lt;100000000,VALUE($A765),1000000000),IFERROR(IF(VALUE(MID($A765,2,20))&lt;100000000,VALUE(MID($A765,2,20)),1000000000),1000000000))+ROW()/100000,"")</f>
        <v/>
      </c>
    </row>
    <row r="766">
      <c r="F766" s="7">
        <f>IF($A766="","",E766*N766/100)</f>
        <v/>
      </c>
      <c r="J766" s="7" t="n"/>
      <c r="K766" s="7">
        <f>IF($A766="","",S766*N766)</f>
        <v/>
      </c>
      <c r="L766" s="7">
        <f>IF($A766="","",N766-K766)</f>
        <v/>
      </c>
      <c r="M766" s="7">
        <f>IF($A766="","",L766-F766)</f>
        <v/>
      </c>
      <c r="N766" s="7" t="n"/>
      <c r="Q766" s="11" t="n"/>
      <c r="S766">
        <f>IF($A766="","",IF($W766=1,Settings!$C$6,Settings!$C$7)*1)</f>
        <v/>
      </c>
      <c r="U766">
        <f>IF($A766="","",IF(COUNTIF($A$2:$A766,$A766)=1,1,0))</f>
        <v/>
      </c>
      <c r="V766">
        <f>IF($U766=1,SUMPRODUCT(--($X$2:$X$1001&lt;$X766))+1,"")</f>
        <v/>
      </c>
      <c r="W766">
        <f>IF($A766="","",IF(OR($T766=TRUE(),$T766="TRUE"),1,0))</f>
        <v/>
      </c>
      <c r="X766">
        <f>IF($U766=1,IFERROR(IF(VALUE($A766)&lt;100000000,VALUE($A766),1000000000),IFERROR(IF(VALUE(MID($A766,2,20))&lt;100000000,VALUE(MID($A766,2,20)),1000000000),1000000000))+ROW()/100000,"")</f>
        <v/>
      </c>
    </row>
    <row r="767">
      <c r="F767" s="7">
        <f>IF($A767="","",E767*N767/100)</f>
        <v/>
      </c>
      <c r="J767" s="7" t="n"/>
      <c r="K767" s="7">
        <f>IF($A767="","",S767*N767)</f>
        <v/>
      </c>
      <c r="L767" s="7">
        <f>IF($A767="","",N767-K767)</f>
        <v/>
      </c>
      <c r="M767" s="7">
        <f>IF($A767="","",L767-F767)</f>
        <v/>
      </c>
      <c r="N767" s="7" t="n"/>
      <c r="Q767" s="11" t="n"/>
      <c r="S767">
        <f>IF($A767="","",IF($W767=1,Settings!$C$6,Settings!$C$7)*1)</f>
        <v/>
      </c>
      <c r="U767">
        <f>IF($A767="","",IF(COUNTIF($A$2:$A767,$A767)=1,1,0))</f>
        <v/>
      </c>
      <c r="V767">
        <f>IF($U767=1,SUMPRODUCT(--($X$2:$X$1001&lt;$X767))+1,"")</f>
        <v/>
      </c>
      <c r="W767">
        <f>IF($A767="","",IF(OR($T767=TRUE(),$T767="TRUE"),1,0))</f>
        <v/>
      </c>
      <c r="X767">
        <f>IF($U767=1,IFERROR(IF(VALUE($A767)&lt;100000000,VALUE($A767),1000000000),IFERROR(IF(VALUE(MID($A767,2,20))&lt;100000000,VALUE(MID($A767,2,20)),1000000000),1000000000))+ROW()/100000,"")</f>
        <v/>
      </c>
    </row>
    <row r="768">
      <c r="F768" s="7">
        <f>IF($A768="","",E768*N768/100)</f>
        <v/>
      </c>
      <c r="J768" s="7" t="n"/>
      <c r="K768" s="7">
        <f>IF($A768="","",S768*N768)</f>
        <v/>
      </c>
      <c r="L768" s="7">
        <f>IF($A768="","",N768-K768)</f>
        <v/>
      </c>
      <c r="M768" s="7">
        <f>IF($A768="","",L768-F768)</f>
        <v/>
      </c>
      <c r="N768" s="7" t="n"/>
      <c r="Q768" s="11" t="n"/>
      <c r="S768">
        <f>IF($A768="","",IF($W768=1,Settings!$C$6,Settings!$C$7)*1)</f>
        <v/>
      </c>
      <c r="U768">
        <f>IF($A768="","",IF(COUNTIF($A$2:$A768,$A768)=1,1,0))</f>
        <v/>
      </c>
      <c r="V768">
        <f>IF($U768=1,SUMPRODUCT(--($X$2:$X$1001&lt;$X768))+1,"")</f>
        <v/>
      </c>
      <c r="W768">
        <f>IF($A768="","",IF(OR($T768=TRUE(),$T768="TRUE"),1,0))</f>
        <v/>
      </c>
      <c r="X768">
        <f>IF($U768=1,IFERROR(IF(VALUE($A768)&lt;100000000,VALUE($A768),1000000000),IFERROR(IF(VALUE(MID($A768,2,20))&lt;100000000,VALUE(MID($A768,2,20)),1000000000),1000000000))+ROW()/100000,"")</f>
        <v/>
      </c>
    </row>
    <row r="769">
      <c r="F769" s="7">
        <f>IF($A769="","",E769*N769/100)</f>
        <v/>
      </c>
      <c r="J769" s="7" t="n"/>
      <c r="K769" s="7">
        <f>IF($A769="","",S769*N769)</f>
        <v/>
      </c>
      <c r="L769" s="7">
        <f>IF($A769="","",N769-K769)</f>
        <v/>
      </c>
      <c r="M769" s="7">
        <f>IF($A769="","",L769-F769)</f>
        <v/>
      </c>
      <c r="N769" s="7" t="n"/>
      <c r="Q769" s="11" t="n"/>
      <c r="S769">
        <f>IF($A769="","",IF($W769=1,Settings!$C$6,Settings!$C$7)*1)</f>
        <v/>
      </c>
      <c r="U769">
        <f>IF($A769="","",IF(COUNTIF($A$2:$A769,$A769)=1,1,0))</f>
        <v/>
      </c>
      <c r="V769">
        <f>IF($U769=1,SUMPRODUCT(--($X$2:$X$1001&lt;$X769))+1,"")</f>
        <v/>
      </c>
      <c r="W769">
        <f>IF($A769="","",IF(OR($T769=TRUE(),$T769="TRUE"),1,0))</f>
        <v/>
      </c>
      <c r="X769">
        <f>IF($U769=1,IFERROR(IF(VALUE($A769)&lt;100000000,VALUE($A769),1000000000),IFERROR(IF(VALUE(MID($A769,2,20))&lt;100000000,VALUE(MID($A769,2,20)),1000000000),1000000000))+ROW()/100000,"")</f>
        <v/>
      </c>
    </row>
    <row r="770">
      <c r="F770" s="7">
        <f>IF($A770="","",E770*N770/100)</f>
        <v/>
      </c>
      <c r="J770" s="7" t="n"/>
      <c r="K770" s="7">
        <f>IF($A770="","",S770*N770)</f>
        <v/>
      </c>
      <c r="L770" s="7">
        <f>IF($A770="","",N770-K770)</f>
        <v/>
      </c>
      <c r="M770" s="7">
        <f>IF($A770="","",L770-F770)</f>
        <v/>
      </c>
      <c r="N770" s="7" t="n"/>
      <c r="Q770" s="11" t="n"/>
      <c r="S770">
        <f>IF($A770="","",IF($W770=1,Settings!$C$6,Settings!$C$7)*1)</f>
        <v/>
      </c>
      <c r="U770">
        <f>IF($A770="","",IF(COUNTIF($A$2:$A770,$A770)=1,1,0))</f>
        <v/>
      </c>
      <c r="V770">
        <f>IF($U770=1,SUMPRODUCT(--($X$2:$X$1001&lt;$X770))+1,"")</f>
        <v/>
      </c>
      <c r="W770">
        <f>IF($A770="","",IF(OR($T770=TRUE(),$T770="TRUE"),1,0))</f>
        <v/>
      </c>
      <c r="X770">
        <f>IF($U770=1,IFERROR(IF(VALUE($A770)&lt;100000000,VALUE($A770),1000000000),IFERROR(IF(VALUE(MID($A770,2,20))&lt;100000000,VALUE(MID($A770,2,20)),1000000000),1000000000))+ROW()/100000,"")</f>
        <v/>
      </c>
    </row>
    <row r="771">
      <c r="F771" s="7">
        <f>IF($A771="","",E771*N771/100)</f>
        <v/>
      </c>
      <c r="J771" s="7" t="n"/>
      <c r="K771" s="7">
        <f>IF($A771="","",S771*N771)</f>
        <v/>
      </c>
      <c r="L771" s="7">
        <f>IF($A771="","",N771-K771)</f>
        <v/>
      </c>
      <c r="M771" s="7">
        <f>IF($A771="","",L771-F771)</f>
        <v/>
      </c>
      <c r="N771" s="7" t="n"/>
      <c r="Q771" s="11" t="n"/>
      <c r="S771">
        <f>IF($A771="","",IF($W771=1,Settings!$C$6,Settings!$C$7)*1)</f>
        <v/>
      </c>
      <c r="U771">
        <f>IF($A771="","",IF(COUNTIF($A$2:$A771,$A771)=1,1,0))</f>
        <v/>
      </c>
      <c r="V771">
        <f>IF($U771=1,SUMPRODUCT(--($X$2:$X$1001&lt;$X771))+1,"")</f>
        <v/>
      </c>
      <c r="W771">
        <f>IF($A771="","",IF(OR($T771=TRUE(),$T771="TRUE"),1,0))</f>
        <v/>
      </c>
      <c r="X771">
        <f>IF($U771=1,IFERROR(IF(VALUE($A771)&lt;100000000,VALUE($A771),1000000000),IFERROR(IF(VALUE(MID($A771,2,20))&lt;100000000,VALUE(MID($A771,2,20)),1000000000),1000000000))+ROW()/100000,"")</f>
        <v/>
      </c>
    </row>
    <row r="772">
      <c r="F772" s="7">
        <f>IF($A772="","",E772*N772/100)</f>
        <v/>
      </c>
      <c r="J772" s="7" t="n"/>
      <c r="K772" s="7">
        <f>IF($A772="","",S772*N772)</f>
        <v/>
      </c>
      <c r="L772" s="7">
        <f>IF($A772="","",N772-K772)</f>
        <v/>
      </c>
      <c r="M772" s="7">
        <f>IF($A772="","",L772-F772)</f>
        <v/>
      </c>
      <c r="N772" s="7" t="n"/>
      <c r="Q772" s="11" t="n"/>
      <c r="S772">
        <f>IF($A772="","",IF($W772=1,Settings!$C$6,Settings!$C$7)*1)</f>
        <v/>
      </c>
      <c r="U772">
        <f>IF($A772="","",IF(COUNTIF($A$2:$A772,$A772)=1,1,0))</f>
        <v/>
      </c>
      <c r="V772">
        <f>IF($U772=1,SUMPRODUCT(--($X$2:$X$1001&lt;$X772))+1,"")</f>
        <v/>
      </c>
      <c r="W772">
        <f>IF($A772="","",IF(OR($T772=TRUE(),$T772="TRUE"),1,0))</f>
        <v/>
      </c>
      <c r="X772">
        <f>IF($U772=1,IFERROR(IF(VALUE($A772)&lt;100000000,VALUE($A772),1000000000),IFERROR(IF(VALUE(MID($A772,2,20))&lt;100000000,VALUE(MID($A772,2,20)),1000000000),1000000000))+ROW()/100000,"")</f>
        <v/>
      </c>
    </row>
    <row r="773">
      <c r="F773" s="7">
        <f>IF($A773="","",E773*N773/100)</f>
        <v/>
      </c>
      <c r="J773" s="7" t="n"/>
      <c r="K773" s="7">
        <f>IF($A773="","",S773*N773)</f>
        <v/>
      </c>
      <c r="L773" s="7">
        <f>IF($A773="","",N773-K773)</f>
        <v/>
      </c>
      <c r="M773" s="7">
        <f>IF($A773="","",L773-F773)</f>
        <v/>
      </c>
      <c r="N773" s="7" t="n"/>
      <c r="Q773" s="11" t="n"/>
      <c r="S773">
        <f>IF($A773="","",IF($W773=1,Settings!$C$6,Settings!$C$7)*1)</f>
        <v/>
      </c>
      <c r="U773">
        <f>IF($A773="","",IF(COUNTIF($A$2:$A773,$A773)=1,1,0))</f>
        <v/>
      </c>
      <c r="V773">
        <f>IF($U773=1,SUMPRODUCT(--($X$2:$X$1001&lt;$X773))+1,"")</f>
        <v/>
      </c>
      <c r="W773">
        <f>IF($A773="","",IF(OR($T773=TRUE(),$T773="TRUE"),1,0))</f>
        <v/>
      </c>
      <c r="X773">
        <f>IF($U773=1,IFERROR(IF(VALUE($A773)&lt;100000000,VALUE($A773),1000000000),IFERROR(IF(VALUE(MID($A773,2,20))&lt;100000000,VALUE(MID($A773,2,20)),1000000000),1000000000))+ROW()/100000,"")</f>
        <v/>
      </c>
    </row>
    <row r="774">
      <c r="F774" s="7">
        <f>IF($A774="","",E774*N774/100)</f>
        <v/>
      </c>
      <c r="J774" s="7" t="n"/>
      <c r="K774" s="7">
        <f>IF($A774="","",S774*N774)</f>
        <v/>
      </c>
      <c r="L774" s="7">
        <f>IF($A774="","",N774-K774)</f>
        <v/>
      </c>
      <c r="M774" s="7">
        <f>IF($A774="","",L774-F774)</f>
        <v/>
      </c>
      <c r="N774" s="7" t="n"/>
      <c r="Q774" s="11" t="n"/>
      <c r="S774">
        <f>IF($A774="","",IF($W774=1,Settings!$C$6,Settings!$C$7)*1)</f>
        <v/>
      </c>
      <c r="U774">
        <f>IF($A774="","",IF(COUNTIF($A$2:$A774,$A774)=1,1,0))</f>
        <v/>
      </c>
      <c r="V774">
        <f>IF($U774=1,SUMPRODUCT(--($X$2:$X$1001&lt;$X774))+1,"")</f>
        <v/>
      </c>
      <c r="W774">
        <f>IF($A774="","",IF(OR($T774=TRUE(),$T774="TRUE"),1,0))</f>
        <v/>
      </c>
      <c r="X774">
        <f>IF($U774=1,IFERROR(IF(VALUE($A774)&lt;100000000,VALUE($A774),1000000000),IFERROR(IF(VALUE(MID($A774,2,20))&lt;100000000,VALUE(MID($A774,2,20)),1000000000),1000000000))+ROW()/100000,"")</f>
        <v/>
      </c>
    </row>
    <row r="775">
      <c r="F775" s="7">
        <f>IF($A775="","",E775*N775/100)</f>
        <v/>
      </c>
      <c r="J775" s="7" t="n"/>
      <c r="K775" s="7">
        <f>IF($A775="","",S775*N775)</f>
        <v/>
      </c>
      <c r="L775" s="7">
        <f>IF($A775="","",N775-K775)</f>
        <v/>
      </c>
      <c r="M775" s="7">
        <f>IF($A775="","",L775-F775)</f>
        <v/>
      </c>
      <c r="N775" s="7" t="n"/>
      <c r="Q775" s="11" t="n"/>
      <c r="S775">
        <f>IF($A775="","",IF($W775=1,Settings!$C$6,Settings!$C$7)*1)</f>
        <v/>
      </c>
      <c r="U775">
        <f>IF($A775="","",IF(COUNTIF($A$2:$A775,$A775)=1,1,0))</f>
        <v/>
      </c>
      <c r="V775">
        <f>IF($U775=1,SUMPRODUCT(--($X$2:$X$1001&lt;$X775))+1,"")</f>
        <v/>
      </c>
      <c r="W775">
        <f>IF($A775="","",IF(OR($T775=TRUE(),$T775="TRUE"),1,0))</f>
        <v/>
      </c>
      <c r="X775">
        <f>IF($U775=1,IFERROR(IF(VALUE($A775)&lt;100000000,VALUE($A775),1000000000),IFERROR(IF(VALUE(MID($A775,2,20))&lt;100000000,VALUE(MID($A775,2,20)),1000000000),1000000000))+ROW()/100000,"")</f>
        <v/>
      </c>
    </row>
    <row r="776">
      <c r="F776" s="7">
        <f>IF($A776="","",E776*N776/100)</f>
        <v/>
      </c>
      <c r="J776" s="7" t="n"/>
      <c r="K776" s="7">
        <f>IF($A776="","",S776*N776)</f>
        <v/>
      </c>
      <c r="L776" s="7">
        <f>IF($A776="","",N776-K776)</f>
        <v/>
      </c>
      <c r="M776" s="7">
        <f>IF($A776="","",L776-F776)</f>
        <v/>
      </c>
      <c r="N776" s="7" t="n"/>
      <c r="Q776" s="11" t="n"/>
      <c r="S776">
        <f>IF($A776="","",IF($W776=1,Settings!$C$6,Settings!$C$7)*1)</f>
        <v/>
      </c>
      <c r="U776">
        <f>IF($A776="","",IF(COUNTIF($A$2:$A776,$A776)=1,1,0))</f>
        <v/>
      </c>
      <c r="V776">
        <f>IF($U776=1,SUMPRODUCT(--($X$2:$X$1001&lt;$X776))+1,"")</f>
        <v/>
      </c>
      <c r="W776">
        <f>IF($A776="","",IF(OR($T776=TRUE(),$T776="TRUE"),1,0))</f>
        <v/>
      </c>
      <c r="X776">
        <f>IF($U776=1,IFERROR(IF(VALUE($A776)&lt;100000000,VALUE($A776),1000000000),IFERROR(IF(VALUE(MID($A776,2,20))&lt;100000000,VALUE(MID($A776,2,20)),1000000000),1000000000))+ROW()/100000,"")</f>
        <v/>
      </c>
    </row>
    <row r="777">
      <c r="F777" s="7">
        <f>IF($A777="","",E777*N777/100)</f>
        <v/>
      </c>
      <c r="J777" s="7" t="n"/>
      <c r="K777" s="7">
        <f>IF($A777="","",S777*N777)</f>
        <v/>
      </c>
      <c r="L777" s="7">
        <f>IF($A777="","",N777-K777)</f>
        <v/>
      </c>
      <c r="M777" s="7">
        <f>IF($A777="","",L777-F777)</f>
        <v/>
      </c>
      <c r="N777" s="7" t="n"/>
      <c r="Q777" s="11" t="n"/>
      <c r="S777">
        <f>IF($A777="","",IF($W777=1,Settings!$C$6,Settings!$C$7)*1)</f>
        <v/>
      </c>
      <c r="U777">
        <f>IF($A777="","",IF(COUNTIF($A$2:$A777,$A777)=1,1,0))</f>
        <v/>
      </c>
      <c r="V777">
        <f>IF($U777=1,SUMPRODUCT(--($X$2:$X$1001&lt;$X777))+1,"")</f>
        <v/>
      </c>
      <c r="W777">
        <f>IF($A777="","",IF(OR($T777=TRUE(),$T777="TRUE"),1,0))</f>
        <v/>
      </c>
      <c r="X777">
        <f>IF($U777=1,IFERROR(IF(VALUE($A777)&lt;100000000,VALUE($A777),1000000000),IFERROR(IF(VALUE(MID($A777,2,20))&lt;100000000,VALUE(MID($A777,2,20)),1000000000),1000000000))+ROW()/100000,"")</f>
        <v/>
      </c>
    </row>
    <row r="778">
      <c r="F778" s="7">
        <f>IF($A778="","",E778*N778/100)</f>
        <v/>
      </c>
      <c r="J778" s="7" t="n"/>
      <c r="K778" s="7">
        <f>IF($A778="","",S778*N778)</f>
        <v/>
      </c>
      <c r="L778" s="7">
        <f>IF($A778="","",N778-K778)</f>
        <v/>
      </c>
      <c r="M778" s="7">
        <f>IF($A778="","",L778-F778)</f>
        <v/>
      </c>
      <c r="N778" s="7" t="n"/>
      <c r="Q778" s="11" t="n"/>
      <c r="S778">
        <f>IF($A778="","",IF($W778=1,Settings!$C$6,Settings!$C$7)*1)</f>
        <v/>
      </c>
      <c r="U778">
        <f>IF($A778="","",IF(COUNTIF($A$2:$A778,$A778)=1,1,0))</f>
        <v/>
      </c>
      <c r="V778">
        <f>IF($U778=1,SUMPRODUCT(--($X$2:$X$1001&lt;$X778))+1,"")</f>
        <v/>
      </c>
      <c r="W778">
        <f>IF($A778="","",IF(OR($T778=TRUE(),$T778="TRUE"),1,0))</f>
        <v/>
      </c>
      <c r="X778">
        <f>IF($U778=1,IFERROR(IF(VALUE($A778)&lt;100000000,VALUE($A778),1000000000),IFERROR(IF(VALUE(MID($A778,2,20))&lt;100000000,VALUE(MID($A778,2,20)),1000000000),1000000000))+ROW()/100000,"")</f>
        <v/>
      </c>
    </row>
    <row r="779">
      <c r="F779" s="7">
        <f>IF($A779="","",E779*N779/100)</f>
        <v/>
      </c>
      <c r="J779" s="7" t="n"/>
      <c r="K779" s="7">
        <f>IF($A779="","",S779*N779)</f>
        <v/>
      </c>
      <c r="L779" s="7">
        <f>IF($A779="","",N779-K779)</f>
        <v/>
      </c>
      <c r="M779" s="7">
        <f>IF($A779="","",L779-F779)</f>
        <v/>
      </c>
      <c r="N779" s="7" t="n"/>
      <c r="Q779" s="11" t="n"/>
      <c r="S779">
        <f>IF($A779="","",IF($W779=1,Settings!$C$6,Settings!$C$7)*1)</f>
        <v/>
      </c>
      <c r="U779">
        <f>IF($A779="","",IF(COUNTIF($A$2:$A779,$A779)=1,1,0))</f>
        <v/>
      </c>
      <c r="V779">
        <f>IF($U779=1,SUMPRODUCT(--($X$2:$X$1001&lt;$X779))+1,"")</f>
        <v/>
      </c>
      <c r="W779">
        <f>IF($A779="","",IF(OR($T779=TRUE(),$T779="TRUE"),1,0))</f>
        <v/>
      </c>
      <c r="X779">
        <f>IF($U779=1,IFERROR(IF(VALUE($A779)&lt;100000000,VALUE($A779),1000000000),IFERROR(IF(VALUE(MID($A779,2,20))&lt;100000000,VALUE(MID($A779,2,20)),1000000000),1000000000))+ROW()/100000,"")</f>
        <v/>
      </c>
    </row>
    <row r="780">
      <c r="F780" s="7">
        <f>IF($A780="","",E780*N780/100)</f>
        <v/>
      </c>
      <c r="J780" s="7" t="n"/>
      <c r="K780" s="7">
        <f>IF($A780="","",S780*N780)</f>
        <v/>
      </c>
      <c r="L780" s="7">
        <f>IF($A780="","",N780-K780)</f>
        <v/>
      </c>
      <c r="M780" s="7">
        <f>IF($A780="","",L780-F780)</f>
        <v/>
      </c>
      <c r="N780" s="7" t="n"/>
      <c r="Q780" s="11" t="n"/>
      <c r="S780">
        <f>IF($A780="","",IF($W780=1,Settings!$C$6,Settings!$C$7)*1)</f>
        <v/>
      </c>
      <c r="U780">
        <f>IF($A780="","",IF(COUNTIF($A$2:$A780,$A780)=1,1,0))</f>
        <v/>
      </c>
      <c r="V780">
        <f>IF($U780=1,SUMPRODUCT(--($X$2:$X$1001&lt;$X780))+1,"")</f>
        <v/>
      </c>
      <c r="W780">
        <f>IF($A780="","",IF(OR($T780=TRUE(),$T780="TRUE"),1,0))</f>
        <v/>
      </c>
      <c r="X780">
        <f>IF($U780=1,IFERROR(IF(VALUE($A780)&lt;100000000,VALUE($A780),1000000000),IFERROR(IF(VALUE(MID($A780,2,20))&lt;100000000,VALUE(MID($A780,2,20)),1000000000),1000000000))+ROW()/100000,"")</f>
        <v/>
      </c>
    </row>
    <row r="781">
      <c r="F781" s="7">
        <f>IF($A781="","",E781*N781/100)</f>
        <v/>
      </c>
      <c r="J781" s="7" t="n"/>
      <c r="K781" s="7">
        <f>IF($A781="","",S781*N781)</f>
        <v/>
      </c>
      <c r="L781" s="7">
        <f>IF($A781="","",N781-K781)</f>
        <v/>
      </c>
      <c r="M781" s="7">
        <f>IF($A781="","",L781-F781)</f>
        <v/>
      </c>
      <c r="N781" s="7" t="n"/>
      <c r="Q781" s="11" t="n"/>
      <c r="S781">
        <f>IF($A781="","",IF($W781=1,Settings!$C$6,Settings!$C$7)*1)</f>
        <v/>
      </c>
      <c r="U781">
        <f>IF($A781="","",IF(COUNTIF($A$2:$A781,$A781)=1,1,0))</f>
        <v/>
      </c>
      <c r="V781">
        <f>IF($U781=1,SUMPRODUCT(--($X$2:$X$1001&lt;$X781))+1,"")</f>
        <v/>
      </c>
      <c r="W781">
        <f>IF($A781="","",IF(OR($T781=TRUE(),$T781="TRUE"),1,0))</f>
        <v/>
      </c>
      <c r="X781">
        <f>IF($U781=1,IFERROR(IF(VALUE($A781)&lt;100000000,VALUE($A781),1000000000),IFERROR(IF(VALUE(MID($A781,2,20))&lt;100000000,VALUE(MID($A781,2,20)),1000000000),1000000000))+ROW()/100000,"")</f>
        <v/>
      </c>
    </row>
    <row r="782">
      <c r="F782" s="7">
        <f>IF($A782="","",E782*N782/100)</f>
        <v/>
      </c>
      <c r="J782" s="7" t="n"/>
      <c r="K782" s="7">
        <f>IF($A782="","",S782*N782)</f>
        <v/>
      </c>
      <c r="L782" s="7">
        <f>IF($A782="","",N782-K782)</f>
        <v/>
      </c>
      <c r="M782" s="7">
        <f>IF($A782="","",L782-F782)</f>
        <v/>
      </c>
      <c r="N782" s="7" t="n"/>
      <c r="Q782" s="11" t="n"/>
      <c r="S782">
        <f>IF($A782="","",IF($W782=1,Settings!$C$6,Settings!$C$7)*1)</f>
        <v/>
      </c>
      <c r="U782">
        <f>IF($A782="","",IF(COUNTIF($A$2:$A782,$A782)=1,1,0))</f>
        <v/>
      </c>
      <c r="V782">
        <f>IF($U782=1,SUMPRODUCT(--($X$2:$X$1001&lt;$X782))+1,"")</f>
        <v/>
      </c>
      <c r="W782">
        <f>IF($A782="","",IF(OR($T782=TRUE(),$T782="TRUE"),1,0))</f>
        <v/>
      </c>
      <c r="X782">
        <f>IF($U782=1,IFERROR(IF(VALUE($A782)&lt;100000000,VALUE($A782),1000000000),IFERROR(IF(VALUE(MID($A782,2,20))&lt;100000000,VALUE(MID($A782,2,20)),1000000000),1000000000))+ROW()/100000,"")</f>
        <v/>
      </c>
    </row>
    <row r="783">
      <c r="F783" s="7">
        <f>IF($A783="","",E783*N783/100)</f>
        <v/>
      </c>
      <c r="J783" s="7" t="n"/>
      <c r="K783" s="7">
        <f>IF($A783="","",S783*N783)</f>
        <v/>
      </c>
      <c r="L783" s="7">
        <f>IF($A783="","",N783-K783)</f>
        <v/>
      </c>
      <c r="M783" s="7">
        <f>IF($A783="","",L783-F783)</f>
        <v/>
      </c>
      <c r="N783" s="7" t="n"/>
      <c r="Q783" s="11" t="n"/>
      <c r="S783">
        <f>IF($A783="","",IF($W783=1,Settings!$C$6,Settings!$C$7)*1)</f>
        <v/>
      </c>
      <c r="U783">
        <f>IF($A783="","",IF(COUNTIF($A$2:$A783,$A783)=1,1,0))</f>
        <v/>
      </c>
      <c r="V783">
        <f>IF($U783=1,SUMPRODUCT(--($X$2:$X$1001&lt;$X783))+1,"")</f>
        <v/>
      </c>
      <c r="W783">
        <f>IF($A783="","",IF(OR($T783=TRUE(),$T783="TRUE"),1,0))</f>
        <v/>
      </c>
      <c r="X783">
        <f>IF($U783=1,IFERROR(IF(VALUE($A783)&lt;100000000,VALUE($A783),1000000000),IFERROR(IF(VALUE(MID($A783,2,20))&lt;100000000,VALUE(MID($A783,2,20)),1000000000),1000000000))+ROW()/100000,"")</f>
        <v/>
      </c>
    </row>
    <row r="784">
      <c r="F784" s="7">
        <f>IF($A784="","",E784*N784/100)</f>
        <v/>
      </c>
      <c r="J784" s="7" t="n"/>
      <c r="K784" s="7">
        <f>IF($A784="","",S784*N784)</f>
        <v/>
      </c>
      <c r="L784" s="7">
        <f>IF($A784="","",N784-K784)</f>
        <v/>
      </c>
      <c r="M784" s="7">
        <f>IF($A784="","",L784-F784)</f>
        <v/>
      </c>
      <c r="N784" s="7" t="n"/>
      <c r="Q784" s="11" t="n"/>
      <c r="S784">
        <f>IF($A784="","",IF($W784=1,Settings!$C$6,Settings!$C$7)*1)</f>
        <v/>
      </c>
      <c r="U784">
        <f>IF($A784="","",IF(COUNTIF($A$2:$A784,$A784)=1,1,0))</f>
        <v/>
      </c>
      <c r="V784">
        <f>IF($U784=1,SUMPRODUCT(--($X$2:$X$1001&lt;$X784))+1,"")</f>
        <v/>
      </c>
      <c r="W784">
        <f>IF($A784="","",IF(OR($T784=TRUE(),$T784="TRUE"),1,0))</f>
        <v/>
      </c>
      <c r="X784">
        <f>IF($U784=1,IFERROR(IF(VALUE($A784)&lt;100000000,VALUE($A784),1000000000),IFERROR(IF(VALUE(MID($A784,2,20))&lt;100000000,VALUE(MID($A784,2,20)),1000000000),1000000000))+ROW()/100000,"")</f>
        <v/>
      </c>
    </row>
    <row r="785">
      <c r="F785" s="7">
        <f>IF($A785="","",E785*N785/100)</f>
        <v/>
      </c>
      <c r="J785" s="7" t="n"/>
      <c r="K785" s="7">
        <f>IF($A785="","",S785*N785)</f>
        <v/>
      </c>
      <c r="L785" s="7">
        <f>IF($A785="","",N785-K785)</f>
        <v/>
      </c>
      <c r="M785" s="7">
        <f>IF($A785="","",L785-F785)</f>
        <v/>
      </c>
      <c r="N785" s="7" t="n"/>
      <c r="Q785" s="11" t="n"/>
      <c r="S785">
        <f>IF($A785="","",IF($W785=1,Settings!$C$6,Settings!$C$7)*1)</f>
        <v/>
      </c>
      <c r="U785">
        <f>IF($A785="","",IF(COUNTIF($A$2:$A785,$A785)=1,1,0))</f>
        <v/>
      </c>
      <c r="V785">
        <f>IF($U785=1,SUMPRODUCT(--($X$2:$X$1001&lt;$X785))+1,"")</f>
        <v/>
      </c>
      <c r="W785">
        <f>IF($A785="","",IF(OR($T785=TRUE(),$T785="TRUE"),1,0))</f>
        <v/>
      </c>
      <c r="X785">
        <f>IF($U785=1,IFERROR(IF(VALUE($A785)&lt;100000000,VALUE($A785),1000000000),IFERROR(IF(VALUE(MID($A785,2,20))&lt;100000000,VALUE(MID($A785,2,20)),1000000000),1000000000))+ROW()/100000,"")</f>
        <v/>
      </c>
    </row>
    <row r="786">
      <c r="F786" s="7">
        <f>IF($A786="","",E786*N786/100)</f>
        <v/>
      </c>
      <c r="J786" s="7" t="n"/>
      <c r="K786" s="7">
        <f>IF($A786="","",S786*N786)</f>
        <v/>
      </c>
      <c r="L786" s="7">
        <f>IF($A786="","",N786-K786)</f>
        <v/>
      </c>
      <c r="M786" s="7">
        <f>IF($A786="","",L786-F786)</f>
        <v/>
      </c>
      <c r="N786" s="7" t="n"/>
      <c r="Q786" s="11" t="n"/>
      <c r="S786">
        <f>IF($A786="","",IF($W786=1,Settings!$C$6,Settings!$C$7)*1)</f>
        <v/>
      </c>
      <c r="U786">
        <f>IF($A786="","",IF(COUNTIF($A$2:$A786,$A786)=1,1,0))</f>
        <v/>
      </c>
      <c r="V786">
        <f>IF($U786=1,SUMPRODUCT(--($X$2:$X$1001&lt;$X786))+1,"")</f>
        <v/>
      </c>
      <c r="W786">
        <f>IF($A786="","",IF(OR($T786=TRUE(),$T786="TRUE"),1,0))</f>
        <v/>
      </c>
      <c r="X786">
        <f>IF($U786=1,IFERROR(IF(VALUE($A786)&lt;100000000,VALUE($A786),1000000000),IFERROR(IF(VALUE(MID($A786,2,20))&lt;100000000,VALUE(MID($A786,2,20)),1000000000),1000000000))+ROW()/100000,"")</f>
        <v/>
      </c>
    </row>
    <row r="787">
      <c r="F787" s="7">
        <f>IF($A787="","",E787*N787/100)</f>
        <v/>
      </c>
      <c r="J787" s="7" t="n"/>
      <c r="K787" s="7">
        <f>IF($A787="","",S787*N787)</f>
        <v/>
      </c>
      <c r="L787" s="7">
        <f>IF($A787="","",N787-K787)</f>
        <v/>
      </c>
      <c r="M787" s="7">
        <f>IF($A787="","",L787-F787)</f>
        <v/>
      </c>
      <c r="N787" s="7" t="n"/>
      <c r="Q787" s="11" t="n"/>
      <c r="S787">
        <f>IF($A787="","",IF($W787=1,Settings!$C$6,Settings!$C$7)*1)</f>
        <v/>
      </c>
      <c r="U787">
        <f>IF($A787="","",IF(COUNTIF($A$2:$A787,$A787)=1,1,0))</f>
        <v/>
      </c>
      <c r="V787">
        <f>IF($U787=1,SUMPRODUCT(--($X$2:$X$1001&lt;$X787))+1,"")</f>
        <v/>
      </c>
      <c r="W787">
        <f>IF($A787="","",IF(OR($T787=TRUE(),$T787="TRUE"),1,0))</f>
        <v/>
      </c>
      <c r="X787">
        <f>IF($U787=1,IFERROR(IF(VALUE($A787)&lt;100000000,VALUE($A787),1000000000),IFERROR(IF(VALUE(MID($A787,2,20))&lt;100000000,VALUE(MID($A787,2,20)),1000000000),1000000000))+ROW()/100000,"")</f>
        <v/>
      </c>
    </row>
    <row r="788">
      <c r="F788" s="7">
        <f>IF($A788="","",E788*N788/100)</f>
        <v/>
      </c>
      <c r="J788" s="7" t="n"/>
      <c r="K788" s="7">
        <f>IF($A788="","",S788*N788)</f>
        <v/>
      </c>
      <c r="L788" s="7">
        <f>IF($A788="","",N788-K788)</f>
        <v/>
      </c>
      <c r="M788" s="7">
        <f>IF($A788="","",L788-F788)</f>
        <v/>
      </c>
      <c r="N788" s="7" t="n"/>
      <c r="Q788" s="11" t="n"/>
      <c r="S788">
        <f>IF($A788="","",IF($W788=1,Settings!$C$6,Settings!$C$7)*1)</f>
        <v/>
      </c>
      <c r="U788">
        <f>IF($A788="","",IF(COUNTIF($A$2:$A788,$A788)=1,1,0))</f>
        <v/>
      </c>
      <c r="V788">
        <f>IF($U788=1,SUMPRODUCT(--($X$2:$X$1001&lt;$X788))+1,"")</f>
        <v/>
      </c>
      <c r="W788">
        <f>IF($A788="","",IF(OR($T788=TRUE(),$T788="TRUE"),1,0))</f>
        <v/>
      </c>
      <c r="X788">
        <f>IF($U788=1,IFERROR(IF(VALUE($A788)&lt;100000000,VALUE($A788),1000000000),IFERROR(IF(VALUE(MID($A788,2,20))&lt;100000000,VALUE(MID($A788,2,20)),1000000000),1000000000))+ROW()/100000,"")</f>
        <v/>
      </c>
    </row>
    <row r="789">
      <c r="F789" s="7">
        <f>IF($A789="","",E789*N789/100)</f>
        <v/>
      </c>
      <c r="J789" s="7" t="n"/>
      <c r="K789" s="7">
        <f>IF($A789="","",S789*N789)</f>
        <v/>
      </c>
      <c r="L789" s="7">
        <f>IF($A789="","",N789-K789)</f>
        <v/>
      </c>
      <c r="M789" s="7">
        <f>IF($A789="","",L789-F789)</f>
        <v/>
      </c>
      <c r="N789" s="7" t="n"/>
      <c r="Q789" s="11" t="n"/>
      <c r="S789">
        <f>IF($A789="","",IF($W789=1,Settings!$C$6,Settings!$C$7)*1)</f>
        <v/>
      </c>
      <c r="U789">
        <f>IF($A789="","",IF(COUNTIF($A$2:$A789,$A789)=1,1,0))</f>
        <v/>
      </c>
      <c r="V789">
        <f>IF($U789=1,SUMPRODUCT(--($X$2:$X$1001&lt;$X789))+1,"")</f>
        <v/>
      </c>
      <c r="W789">
        <f>IF($A789="","",IF(OR($T789=TRUE(),$T789="TRUE"),1,0))</f>
        <v/>
      </c>
      <c r="X789">
        <f>IF($U789=1,IFERROR(IF(VALUE($A789)&lt;100000000,VALUE($A789),1000000000),IFERROR(IF(VALUE(MID($A789,2,20))&lt;100000000,VALUE(MID($A789,2,20)),1000000000),1000000000))+ROW()/100000,"")</f>
        <v/>
      </c>
    </row>
    <row r="790">
      <c r="F790" s="7">
        <f>IF($A790="","",E790*N790/100)</f>
        <v/>
      </c>
      <c r="J790" s="7" t="n"/>
      <c r="K790" s="7">
        <f>IF($A790="","",S790*N790)</f>
        <v/>
      </c>
      <c r="L790" s="7">
        <f>IF($A790="","",N790-K790)</f>
        <v/>
      </c>
      <c r="M790" s="7">
        <f>IF($A790="","",L790-F790)</f>
        <v/>
      </c>
      <c r="N790" s="7" t="n"/>
      <c r="Q790" s="11" t="n"/>
      <c r="S790">
        <f>IF($A790="","",IF($W790=1,Settings!$C$6,Settings!$C$7)*1)</f>
        <v/>
      </c>
      <c r="U790">
        <f>IF($A790="","",IF(COUNTIF($A$2:$A790,$A790)=1,1,0))</f>
        <v/>
      </c>
      <c r="V790">
        <f>IF($U790=1,SUMPRODUCT(--($X$2:$X$1001&lt;$X790))+1,"")</f>
        <v/>
      </c>
      <c r="W790">
        <f>IF($A790="","",IF(OR($T790=TRUE(),$T790="TRUE"),1,0))</f>
        <v/>
      </c>
      <c r="X790">
        <f>IF($U790=1,IFERROR(IF(VALUE($A790)&lt;100000000,VALUE($A790),1000000000),IFERROR(IF(VALUE(MID($A790,2,20))&lt;100000000,VALUE(MID($A790,2,20)),1000000000),1000000000))+ROW()/100000,"")</f>
        <v/>
      </c>
    </row>
    <row r="791">
      <c r="F791" s="7">
        <f>IF($A791="","",E791*N791/100)</f>
        <v/>
      </c>
      <c r="J791" s="7" t="n"/>
      <c r="K791" s="7">
        <f>IF($A791="","",S791*N791)</f>
        <v/>
      </c>
      <c r="L791" s="7">
        <f>IF($A791="","",N791-K791)</f>
        <v/>
      </c>
      <c r="M791" s="7">
        <f>IF($A791="","",L791-F791)</f>
        <v/>
      </c>
      <c r="N791" s="7" t="n"/>
      <c r="Q791" s="11" t="n"/>
      <c r="S791">
        <f>IF($A791="","",IF($W791=1,Settings!$C$6,Settings!$C$7)*1)</f>
        <v/>
      </c>
      <c r="U791">
        <f>IF($A791="","",IF(COUNTIF($A$2:$A791,$A791)=1,1,0))</f>
        <v/>
      </c>
      <c r="V791">
        <f>IF($U791=1,SUMPRODUCT(--($X$2:$X$1001&lt;$X791))+1,"")</f>
        <v/>
      </c>
      <c r="W791">
        <f>IF($A791="","",IF(OR($T791=TRUE(),$T791="TRUE"),1,0))</f>
        <v/>
      </c>
      <c r="X791">
        <f>IF($U791=1,IFERROR(IF(VALUE($A791)&lt;100000000,VALUE($A791),1000000000),IFERROR(IF(VALUE(MID($A791,2,20))&lt;100000000,VALUE(MID($A791,2,20)),1000000000),1000000000))+ROW()/100000,"")</f>
        <v/>
      </c>
    </row>
    <row r="792">
      <c r="F792" s="7">
        <f>IF($A792="","",E792*N792/100)</f>
        <v/>
      </c>
      <c r="J792" s="7" t="n"/>
      <c r="K792" s="7">
        <f>IF($A792="","",S792*N792)</f>
        <v/>
      </c>
      <c r="L792" s="7">
        <f>IF($A792="","",N792-K792)</f>
        <v/>
      </c>
      <c r="M792" s="7">
        <f>IF($A792="","",L792-F792)</f>
        <v/>
      </c>
      <c r="N792" s="7" t="n"/>
      <c r="Q792" s="11" t="n"/>
      <c r="S792">
        <f>IF($A792="","",IF($W792=1,Settings!$C$6,Settings!$C$7)*1)</f>
        <v/>
      </c>
      <c r="U792">
        <f>IF($A792="","",IF(COUNTIF($A$2:$A792,$A792)=1,1,0))</f>
        <v/>
      </c>
      <c r="V792">
        <f>IF($U792=1,SUMPRODUCT(--($X$2:$X$1001&lt;$X792))+1,"")</f>
        <v/>
      </c>
      <c r="W792">
        <f>IF($A792="","",IF(OR($T792=TRUE(),$T792="TRUE"),1,0))</f>
        <v/>
      </c>
      <c r="X792">
        <f>IF($U792=1,IFERROR(IF(VALUE($A792)&lt;100000000,VALUE($A792),1000000000),IFERROR(IF(VALUE(MID($A792,2,20))&lt;100000000,VALUE(MID($A792,2,20)),1000000000),1000000000))+ROW()/100000,"")</f>
        <v/>
      </c>
    </row>
    <row r="793">
      <c r="F793" s="7">
        <f>IF($A793="","",E793*N793/100)</f>
        <v/>
      </c>
      <c r="J793" s="7" t="n"/>
      <c r="K793" s="7">
        <f>IF($A793="","",S793*N793)</f>
        <v/>
      </c>
      <c r="L793" s="7">
        <f>IF($A793="","",N793-K793)</f>
        <v/>
      </c>
      <c r="M793" s="7">
        <f>IF($A793="","",L793-F793)</f>
        <v/>
      </c>
      <c r="N793" s="7" t="n"/>
      <c r="Q793" s="11" t="n"/>
      <c r="S793">
        <f>IF($A793="","",IF($W793=1,Settings!$C$6,Settings!$C$7)*1)</f>
        <v/>
      </c>
      <c r="U793">
        <f>IF($A793="","",IF(COUNTIF($A$2:$A793,$A793)=1,1,0))</f>
        <v/>
      </c>
      <c r="V793">
        <f>IF($U793=1,SUMPRODUCT(--($X$2:$X$1001&lt;$X793))+1,"")</f>
        <v/>
      </c>
      <c r="W793">
        <f>IF($A793="","",IF(OR($T793=TRUE(),$T793="TRUE"),1,0))</f>
        <v/>
      </c>
      <c r="X793">
        <f>IF($U793=1,IFERROR(IF(VALUE($A793)&lt;100000000,VALUE($A793),1000000000),IFERROR(IF(VALUE(MID($A793,2,20))&lt;100000000,VALUE(MID($A793,2,20)),1000000000),1000000000))+ROW()/100000,"")</f>
        <v/>
      </c>
    </row>
    <row r="794">
      <c r="F794" s="7">
        <f>IF($A794="","",E794*N794/100)</f>
        <v/>
      </c>
      <c r="J794" s="7" t="n"/>
      <c r="K794" s="7">
        <f>IF($A794="","",S794*N794)</f>
        <v/>
      </c>
      <c r="L794" s="7">
        <f>IF($A794="","",N794-K794)</f>
        <v/>
      </c>
      <c r="M794" s="7">
        <f>IF($A794="","",L794-F794)</f>
        <v/>
      </c>
      <c r="N794" s="7" t="n"/>
      <c r="Q794" s="11" t="n"/>
      <c r="S794">
        <f>IF($A794="","",IF($W794=1,Settings!$C$6,Settings!$C$7)*1)</f>
        <v/>
      </c>
      <c r="U794">
        <f>IF($A794="","",IF(COUNTIF($A$2:$A794,$A794)=1,1,0))</f>
        <v/>
      </c>
      <c r="V794">
        <f>IF($U794=1,SUMPRODUCT(--($X$2:$X$1001&lt;$X794))+1,"")</f>
        <v/>
      </c>
      <c r="W794">
        <f>IF($A794="","",IF(OR($T794=TRUE(),$T794="TRUE"),1,0))</f>
        <v/>
      </c>
      <c r="X794">
        <f>IF($U794=1,IFERROR(IF(VALUE($A794)&lt;100000000,VALUE($A794),1000000000),IFERROR(IF(VALUE(MID($A794,2,20))&lt;100000000,VALUE(MID($A794,2,20)),1000000000),1000000000))+ROW()/100000,"")</f>
        <v/>
      </c>
    </row>
    <row r="795">
      <c r="F795" s="7">
        <f>IF($A795="","",E795*N795/100)</f>
        <v/>
      </c>
      <c r="J795" s="7" t="n"/>
      <c r="K795" s="7">
        <f>IF($A795="","",S795*N795)</f>
        <v/>
      </c>
      <c r="L795" s="7">
        <f>IF($A795="","",N795-K795)</f>
        <v/>
      </c>
      <c r="M795" s="7">
        <f>IF($A795="","",L795-F795)</f>
        <v/>
      </c>
      <c r="N795" s="7" t="n"/>
      <c r="Q795" s="11" t="n"/>
      <c r="S795">
        <f>IF($A795="","",IF($W795=1,Settings!$C$6,Settings!$C$7)*1)</f>
        <v/>
      </c>
      <c r="U795">
        <f>IF($A795="","",IF(COUNTIF($A$2:$A795,$A795)=1,1,0))</f>
        <v/>
      </c>
      <c r="V795">
        <f>IF($U795=1,SUMPRODUCT(--($X$2:$X$1001&lt;$X795))+1,"")</f>
        <v/>
      </c>
      <c r="W795">
        <f>IF($A795="","",IF(OR($T795=TRUE(),$T795="TRUE"),1,0))</f>
        <v/>
      </c>
      <c r="X795">
        <f>IF($U795=1,IFERROR(IF(VALUE($A795)&lt;100000000,VALUE($A795),1000000000),IFERROR(IF(VALUE(MID($A795,2,20))&lt;100000000,VALUE(MID($A795,2,20)),1000000000),1000000000))+ROW()/100000,"")</f>
        <v/>
      </c>
    </row>
    <row r="796">
      <c r="F796" s="7">
        <f>IF($A796="","",E796*N796/100)</f>
        <v/>
      </c>
      <c r="J796" s="7" t="n"/>
      <c r="K796" s="7">
        <f>IF($A796="","",S796*N796)</f>
        <v/>
      </c>
      <c r="L796" s="7">
        <f>IF($A796="","",N796-K796)</f>
        <v/>
      </c>
      <c r="M796" s="7">
        <f>IF($A796="","",L796-F796)</f>
        <v/>
      </c>
      <c r="N796" s="7" t="n"/>
      <c r="Q796" s="11" t="n"/>
      <c r="S796">
        <f>IF($A796="","",IF($W796=1,Settings!$C$6,Settings!$C$7)*1)</f>
        <v/>
      </c>
      <c r="U796">
        <f>IF($A796="","",IF(COUNTIF($A$2:$A796,$A796)=1,1,0))</f>
        <v/>
      </c>
      <c r="V796">
        <f>IF($U796=1,SUMPRODUCT(--($X$2:$X$1001&lt;$X796))+1,"")</f>
        <v/>
      </c>
      <c r="W796">
        <f>IF($A796="","",IF(OR($T796=TRUE(),$T796="TRUE"),1,0))</f>
        <v/>
      </c>
      <c r="X796">
        <f>IF($U796=1,IFERROR(IF(VALUE($A796)&lt;100000000,VALUE($A796),1000000000),IFERROR(IF(VALUE(MID($A796,2,20))&lt;100000000,VALUE(MID($A796,2,20)),1000000000),1000000000))+ROW()/100000,"")</f>
        <v/>
      </c>
    </row>
    <row r="797">
      <c r="F797" s="7">
        <f>IF($A797="","",E797*N797/100)</f>
        <v/>
      </c>
      <c r="J797" s="7" t="n"/>
      <c r="K797" s="7">
        <f>IF($A797="","",S797*N797)</f>
        <v/>
      </c>
      <c r="L797" s="7">
        <f>IF($A797="","",N797-K797)</f>
        <v/>
      </c>
      <c r="M797" s="7">
        <f>IF($A797="","",L797-F797)</f>
        <v/>
      </c>
      <c r="N797" s="7" t="n"/>
      <c r="Q797" s="11" t="n"/>
      <c r="S797">
        <f>IF($A797="","",IF($W797=1,Settings!$C$6,Settings!$C$7)*1)</f>
        <v/>
      </c>
      <c r="U797">
        <f>IF($A797="","",IF(COUNTIF($A$2:$A797,$A797)=1,1,0))</f>
        <v/>
      </c>
      <c r="V797">
        <f>IF($U797=1,SUMPRODUCT(--($X$2:$X$1001&lt;$X797))+1,"")</f>
        <v/>
      </c>
      <c r="W797">
        <f>IF($A797="","",IF(OR($T797=TRUE(),$T797="TRUE"),1,0))</f>
        <v/>
      </c>
      <c r="X797">
        <f>IF($U797=1,IFERROR(IF(VALUE($A797)&lt;100000000,VALUE($A797),1000000000),IFERROR(IF(VALUE(MID($A797,2,20))&lt;100000000,VALUE(MID($A797,2,20)),1000000000),1000000000))+ROW()/100000,"")</f>
        <v/>
      </c>
    </row>
    <row r="798">
      <c r="F798" s="7">
        <f>IF($A798="","",E798*N798/100)</f>
        <v/>
      </c>
      <c r="J798" s="7" t="n"/>
      <c r="K798" s="7">
        <f>IF($A798="","",S798*N798)</f>
        <v/>
      </c>
      <c r="L798" s="7">
        <f>IF($A798="","",N798-K798)</f>
        <v/>
      </c>
      <c r="M798" s="7">
        <f>IF($A798="","",L798-F798)</f>
        <v/>
      </c>
      <c r="N798" s="7" t="n"/>
      <c r="Q798" s="11" t="n"/>
      <c r="S798">
        <f>IF($A798="","",IF($W798=1,Settings!$C$6,Settings!$C$7)*1)</f>
        <v/>
      </c>
      <c r="U798">
        <f>IF($A798="","",IF(COUNTIF($A$2:$A798,$A798)=1,1,0))</f>
        <v/>
      </c>
      <c r="V798">
        <f>IF($U798=1,SUMPRODUCT(--($X$2:$X$1001&lt;$X798))+1,"")</f>
        <v/>
      </c>
      <c r="W798">
        <f>IF($A798="","",IF(OR($T798=TRUE(),$T798="TRUE"),1,0))</f>
        <v/>
      </c>
      <c r="X798">
        <f>IF($U798=1,IFERROR(IF(VALUE($A798)&lt;100000000,VALUE($A798),1000000000),IFERROR(IF(VALUE(MID($A798,2,20))&lt;100000000,VALUE(MID($A798,2,20)),1000000000),1000000000))+ROW()/100000,"")</f>
        <v/>
      </c>
    </row>
    <row r="799">
      <c r="F799" s="7">
        <f>IF($A799="","",E799*N799/100)</f>
        <v/>
      </c>
      <c r="J799" s="7" t="n"/>
      <c r="K799" s="7">
        <f>IF($A799="","",S799*N799)</f>
        <v/>
      </c>
      <c r="L799" s="7">
        <f>IF($A799="","",N799-K799)</f>
        <v/>
      </c>
      <c r="M799" s="7">
        <f>IF($A799="","",L799-F799)</f>
        <v/>
      </c>
      <c r="N799" s="7" t="n"/>
      <c r="Q799" s="11" t="n"/>
      <c r="S799">
        <f>IF($A799="","",IF($W799=1,Settings!$C$6,Settings!$C$7)*1)</f>
        <v/>
      </c>
      <c r="U799">
        <f>IF($A799="","",IF(COUNTIF($A$2:$A799,$A799)=1,1,0))</f>
        <v/>
      </c>
      <c r="V799">
        <f>IF($U799=1,SUMPRODUCT(--($X$2:$X$1001&lt;$X799))+1,"")</f>
        <v/>
      </c>
      <c r="W799">
        <f>IF($A799="","",IF(OR($T799=TRUE(),$T799="TRUE"),1,0))</f>
        <v/>
      </c>
      <c r="X799">
        <f>IF($U799=1,IFERROR(IF(VALUE($A799)&lt;100000000,VALUE($A799),1000000000),IFERROR(IF(VALUE(MID($A799,2,20))&lt;100000000,VALUE(MID($A799,2,20)),1000000000),1000000000))+ROW()/100000,"")</f>
        <v/>
      </c>
    </row>
    <row r="800">
      <c r="F800" s="7">
        <f>IF($A800="","",E800*N800/100)</f>
        <v/>
      </c>
      <c r="J800" s="7" t="n"/>
      <c r="K800" s="7">
        <f>IF($A800="","",S800*N800)</f>
        <v/>
      </c>
      <c r="L800" s="7">
        <f>IF($A800="","",N800-K800)</f>
        <v/>
      </c>
      <c r="M800" s="7">
        <f>IF($A800="","",L800-F800)</f>
        <v/>
      </c>
      <c r="N800" s="7" t="n"/>
      <c r="Q800" s="11" t="n"/>
      <c r="S800">
        <f>IF($A800="","",IF($W800=1,Settings!$C$6,Settings!$C$7)*1)</f>
        <v/>
      </c>
      <c r="U800">
        <f>IF($A800="","",IF(COUNTIF($A$2:$A800,$A800)=1,1,0))</f>
        <v/>
      </c>
      <c r="V800">
        <f>IF($U800=1,SUMPRODUCT(--($X$2:$X$1001&lt;$X800))+1,"")</f>
        <v/>
      </c>
      <c r="W800">
        <f>IF($A800="","",IF(OR($T800=TRUE(),$T800="TRUE"),1,0))</f>
        <v/>
      </c>
      <c r="X800">
        <f>IF($U800=1,IFERROR(IF(VALUE($A800)&lt;100000000,VALUE($A800),1000000000),IFERROR(IF(VALUE(MID($A800,2,20))&lt;100000000,VALUE(MID($A800,2,20)),1000000000),1000000000))+ROW()/100000,"")</f>
        <v/>
      </c>
    </row>
    <row r="801">
      <c r="F801" s="7">
        <f>IF($A801="","",E801*N801/100)</f>
        <v/>
      </c>
      <c r="J801" s="7" t="n"/>
      <c r="K801" s="7">
        <f>IF($A801="","",S801*N801)</f>
        <v/>
      </c>
      <c r="L801" s="7">
        <f>IF($A801="","",N801-K801)</f>
        <v/>
      </c>
      <c r="M801" s="7">
        <f>IF($A801="","",L801-F801)</f>
        <v/>
      </c>
      <c r="N801" s="7" t="n"/>
      <c r="Q801" s="11" t="n"/>
      <c r="S801">
        <f>IF($A801="","",IF($W801=1,Settings!$C$6,Settings!$C$7)*1)</f>
        <v/>
      </c>
      <c r="U801">
        <f>IF($A801="","",IF(COUNTIF($A$2:$A801,$A801)=1,1,0))</f>
        <v/>
      </c>
      <c r="V801">
        <f>IF($U801=1,SUMPRODUCT(--($X$2:$X$1001&lt;$X801))+1,"")</f>
        <v/>
      </c>
      <c r="W801">
        <f>IF($A801="","",IF(OR($T801=TRUE(),$T801="TRUE"),1,0))</f>
        <v/>
      </c>
      <c r="X801">
        <f>IF($U801=1,IFERROR(IF(VALUE($A801)&lt;100000000,VALUE($A801),1000000000),IFERROR(IF(VALUE(MID($A801,2,20))&lt;100000000,VALUE(MID($A801,2,20)),1000000000),1000000000))+ROW()/100000,"")</f>
        <v/>
      </c>
    </row>
    <row r="802">
      <c r="F802" s="7">
        <f>IF($A802="","",E802*N802/100)</f>
        <v/>
      </c>
      <c r="J802" s="7" t="n"/>
      <c r="K802" s="7">
        <f>IF($A802="","",S802*N802)</f>
        <v/>
      </c>
      <c r="L802" s="7">
        <f>IF($A802="","",N802-K802)</f>
        <v/>
      </c>
      <c r="M802" s="7">
        <f>IF($A802="","",L802-F802)</f>
        <v/>
      </c>
      <c r="N802" s="7" t="n"/>
      <c r="Q802" s="11" t="n"/>
      <c r="S802">
        <f>IF($A802="","",IF($W802=1,Settings!$C$6,Settings!$C$7)*1)</f>
        <v/>
      </c>
      <c r="U802">
        <f>IF($A802="","",IF(COUNTIF($A$2:$A802,$A802)=1,1,0))</f>
        <v/>
      </c>
      <c r="V802">
        <f>IF($U802=1,SUMPRODUCT(--($X$2:$X$1001&lt;$X802))+1,"")</f>
        <v/>
      </c>
      <c r="W802">
        <f>IF($A802="","",IF(OR($T802=TRUE(),$T802="TRUE"),1,0))</f>
        <v/>
      </c>
      <c r="X802">
        <f>IF($U802=1,IFERROR(IF(VALUE($A802)&lt;100000000,VALUE($A802),1000000000),IFERROR(IF(VALUE(MID($A802,2,20))&lt;100000000,VALUE(MID($A802,2,20)),1000000000),1000000000))+ROW()/100000,"")</f>
        <v/>
      </c>
    </row>
    <row r="803">
      <c r="F803" s="7">
        <f>IF($A803="","",E803*N803/100)</f>
        <v/>
      </c>
      <c r="J803" s="7" t="n"/>
      <c r="K803" s="7">
        <f>IF($A803="","",S803*N803)</f>
        <v/>
      </c>
      <c r="L803" s="7">
        <f>IF($A803="","",N803-K803)</f>
        <v/>
      </c>
      <c r="M803" s="7">
        <f>IF($A803="","",L803-F803)</f>
        <v/>
      </c>
      <c r="N803" s="7" t="n"/>
      <c r="Q803" s="11" t="n"/>
      <c r="S803">
        <f>IF($A803="","",IF($W803=1,Settings!$C$6,Settings!$C$7)*1)</f>
        <v/>
      </c>
      <c r="U803">
        <f>IF($A803="","",IF(COUNTIF($A$2:$A803,$A803)=1,1,0))</f>
        <v/>
      </c>
      <c r="V803">
        <f>IF($U803=1,SUMPRODUCT(--($X$2:$X$1001&lt;$X803))+1,"")</f>
        <v/>
      </c>
      <c r="W803">
        <f>IF($A803="","",IF(OR($T803=TRUE(),$T803="TRUE"),1,0))</f>
        <v/>
      </c>
      <c r="X803">
        <f>IF($U803=1,IFERROR(IF(VALUE($A803)&lt;100000000,VALUE($A803),1000000000),IFERROR(IF(VALUE(MID($A803,2,20))&lt;100000000,VALUE(MID($A803,2,20)),1000000000),1000000000))+ROW()/100000,"")</f>
        <v/>
      </c>
    </row>
    <row r="804">
      <c r="F804" s="7">
        <f>IF($A804="","",E804*N804/100)</f>
        <v/>
      </c>
      <c r="J804" s="7" t="n"/>
      <c r="K804" s="7">
        <f>IF($A804="","",S804*N804)</f>
        <v/>
      </c>
      <c r="L804" s="7">
        <f>IF($A804="","",N804-K804)</f>
        <v/>
      </c>
      <c r="M804" s="7">
        <f>IF($A804="","",L804-F804)</f>
        <v/>
      </c>
      <c r="N804" s="7" t="n"/>
      <c r="Q804" s="11" t="n"/>
      <c r="S804">
        <f>IF($A804="","",IF($W804=1,Settings!$C$6,Settings!$C$7)*1)</f>
        <v/>
      </c>
      <c r="U804">
        <f>IF($A804="","",IF(COUNTIF($A$2:$A804,$A804)=1,1,0))</f>
        <v/>
      </c>
      <c r="V804">
        <f>IF($U804=1,SUMPRODUCT(--($X$2:$X$1001&lt;$X804))+1,"")</f>
        <v/>
      </c>
      <c r="W804">
        <f>IF($A804="","",IF(OR($T804=TRUE(),$T804="TRUE"),1,0))</f>
        <v/>
      </c>
      <c r="X804">
        <f>IF($U804=1,IFERROR(IF(VALUE($A804)&lt;100000000,VALUE($A804),1000000000),IFERROR(IF(VALUE(MID($A804,2,20))&lt;100000000,VALUE(MID($A804,2,20)),1000000000),1000000000))+ROW()/100000,"")</f>
        <v/>
      </c>
    </row>
    <row r="805">
      <c r="F805" s="7">
        <f>IF($A805="","",E805*N805/100)</f>
        <v/>
      </c>
      <c r="J805" s="7" t="n"/>
      <c r="K805" s="7">
        <f>IF($A805="","",S805*N805)</f>
        <v/>
      </c>
      <c r="L805" s="7">
        <f>IF($A805="","",N805-K805)</f>
        <v/>
      </c>
      <c r="M805" s="7">
        <f>IF($A805="","",L805-F805)</f>
        <v/>
      </c>
      <c r="N805" s="7" t="n"/>
      <c r="Q805" s="11" t="n"/>
      <c r="S805">
        <f>IF($A805="","",IF($W805=1,Settings!$C$6,Settings!$C$7)*1)</f>
        <v/>
      </c>
      <c r="U805">
        <f>IF($A805="","",IF(COUNTIF($A$2:$A805,$A805)=1,1,0))</f>
        <v/>
      </c>
      <c r="V805">
        <f>IF($U805=1,SUMPRODUCT(--($X$2:$X$1001&lt;$X805))+1,"")</f>
        <v/>
      </c>
      <c r="W805">
        <f>IF($A805="","",IF(OR($T805=TRUE(),$T805="TRUE"),1,0))</f>
        <v/>
      </c>
      <c r="X805">
        <f>IF($U805=1,IFERROR(IF(VALUE($A805)&lt;100000000,VALUE($A805),1000000000),IFERROR(IF(VALUE(MID($A805,2,20))&lt;100000000,VALUE(MID($A805,2,20)),1000000000),1000000000))+ROW()/100000,"")</f>
        <v/>
      </c>
    </row>
    <row r="806">
      <c r="F806" s="7">
        <f>IF($A806="","",E806*N806/100)</f>
        <v/>
      </c>
      <c r="J806" s="7" t="n"/>
      <c r="K806" s="7">
        <f>IF($A806="","",S806*N806)</f>
        <v/>
      </c>
      <c r="L806" s="7">
        <f>IF($A806="","",N806-K806)</f>
        <v/>
      </c>
      <c r="M806" s="7">
        <f>IF($A806="","",L806-F806)</f>
        <v/>
      </c>
      <c r="N806" s="7" t="n"/>
      <c r="Q806" s="11" t="n"/>
      <c r="S806">
        <f>IF($A806="","",IF($W806=1,Settings!$C$6,Settings!$C$7)*1)</f>
        <v/>
      </c>
      <c r="U806">
        <f>IF($A806="","",IF(COUNTIF($A$2:$A806,$A806)=1,1,0))</f>
        <v/>
      </c>
      <c r="V806">
        <f>IF($U806=1,SUMPRODUCT(--($X$2:$X$1001&lt;$X806))+1,"")</f>
        <v/>
      </c>
      <c r="W806">
        <f>IF($A806="","",IF(OR($T806=TRUE(),$T806="TRUE"),1,0))</f>
        <v/>
      </c>
      <c r="X806">
        <f>IF($U806=1,IFERROR(IF(VALUE($A806)&lt;100000000,VALUE($A806),1000000000),IFERROR(IF(VALUE(MID($A806,2,20))&lt;100000000,VALUE(MID($A806,2,20)),1000000000),1000000000))+ROW()/100000,"")</f>
        <v/>
      </c>
    </row>
    <row r="807">
      <c r="F807" s="7">
        <f>IF($A807="","",E807*N807/100)</f>
        <v/>
      </c>
      <c r="J807" s="7" t="n"/>
      <c r="K807" s="7">
        <f>IF($A807="","",S807*N807)</f>
        <v/>
      </c>
      <c r="L807" s="7">
        <f>IF($A807="","",N807-K807)</f>
        <v/>
      </c>
      <c r="M807" s="7">
        <f>IF($A807="","",L807-F807)</f>
        <v/>
      </c>
      <c r="N807" s="7" t="n"/>
      <c r="Q807" s="11" t="n"/>
      <c r="S807">
        <f>IF($A807="","",IF($W807=1,Settings!$C$6,Settings!$C$7)*1)</f>
        <v/>
      </c>
      <c r="U807">
        <f>IF($A807="","",IF(COUNTIF($A$2:$A807,$A807)=1,1,0))</f>
        <v/>
      </c>
      <c r="V807">
        <f>IF($U807=1,SUMPRODUCT(--($X$2:$X$1001&lt;$X807))+1,"")</f>
        <v/>
      </c>
      <c r="W807">
        <f>IF($A807="","",IF(OR($T807=TRUE(),$T807="TRUE"),1,0))</f>
        <v/>
      </c>
      <c r="X807">
        <f>IF($U807=1,IFERROR(IF(VALUE($A807)&lt;100000000,VALUE($A807),1000000000),IFERROR(IF(VALUE(MID($A807,2,20))&lt;100000000,VALUE(MID($A807,2,20)),1000000000),1000000000))+ROW()/100000,"")</f>
        <v/>
      </c>
    </row>
    <row r="808">
      <c r="F808" s="7">
        <f>IF($A808="","",E808*N808/100)</f>
        <v/>
      </c>
      <c r="J808" s="7" t="n"/>
      <c r="K808" s="7">
        <f>IF($A808="","",S808*N808)</f>
        <v/>
      </c>
      <c r="L808" s="7">
        <f>IF($A808="","",N808-K808)</f>
        <v/>
      </c>
      <c r="M808" s="7">
        <f>IF($A808="","",L808-F808)</f>
        <v/>
      </c>
      <c r="N808" s="7" t="n"/>
      <c r="Q808" s="11" t="n"/>
      <c r="S808">
        <f>IF($A808="","",IF($W808=1,Settings!$C$6,Settings!$C$7)*1)</f>
        <v/>
      </c>
      <c r="U808">
        <f>IF($A808="","",IF(COUNTIF($A$2:$A808,$A808)=1,1,0))</f>
        <v/>
      </c>
      <c r="V808">
        <f>IF($U808=1,SUMPRODUCT(--($X$2:$X$1001&lt;$X808))+1,"")</f>
        <v/>
      </c>
      <c r="W808">
        <f>IF($A808="","",IF(OR($T808=TRUE(),$T808="TRUE"),1,0))</f>
        <v/>
      </c>
      <c r="X808">
        <f>IF($U808=1,IFERROR(IF(VALUE($A808)&lt;100000000,VALUE($A808),1000000000),IFERROR(IF(VALUE(MID($A808,2,20))&lt;100000000,VALUE(MID($A808,2,20)),1000000000),1000000000))+ROW()/100000,"")</f>
        <v/>
      </c>
    </row>
    <row r="809">
      <c r="F809" s="7">
        <f>IF($A809="","",E809*N809/100)</f>
        <v/>
      </c>
      <c r="J809" s="7" t="n"/>
      <c r="K809" s="7">
        <f>IF($A809="","",S809*N809)</f>
        <v/>
      </c>
      <c r="L809" s="7">
        <f>IF($A809="","",N809-K809)</f>
        <v/>
      </c>
      <c r="M809" s="7">
        <f>IF($A809="","",L809-F809)</f>
        <v/>
      </c>
      <c r="N809" s="7" t="n"/>
      <c r="Q809" s="11" t="n"/>
      <c r="S809">
        <f>IF($A809="","",IF($W809=1,Settings!$C$6,Settings!$C$7)*1)</f>
        <v/>
      </c>
      <c r="U809">
        <f>IF($A809="","",IF(COUNTIF($A$2:$A809,$A809)=1,1,0))</f>
        <v/>
      </c>
      <c r="V809">
        <f>IF($U809=1,SUMPRODUCT(--($X$2:$X$1001&lt;$X809))+1,"")</f>
        <v/>
      </c>
      <c r="W809">
        <f>IF($A809="","",IF(OR($T809=TRUE(),$T809="TRUE"),1,0))</f>
        <v/>
      </c>
      <c r="X809">
        <f>IF($U809=1,IFERROR(IF(VALUE($A809)&lt;100000000,VALUE($A809),1000000000),IFERROR(IF(VALUE(MID($A809,2,20))&lt;100000000,VALUE(MID($A809,2,20)),1000000000),1000000000))+ROW()/100000,"")</f>
        <v/>
      </c>
    </row>
    <row r="810">
      <c r="F810" s="7">
        <f>IF($A810="","",E810*N810/100)</f>
        <v/>
      </c>
      <c r="J810" s="7" t="n"/>
      <c r="K810" s="7">
        <f>IF($A810="","",S810*N810)</f>
        <v/>
      </c>
      <c r="L810" s="7">
        <f>IF($A810="","",N810-K810)</f>
        <v/>
      </c>
      <c r="M810" s="7">
        <f>IF($A810="","",L810-F810)</f>
        <v/>
      </c>
      <c r="N810" s="7" t="n"/>
      <c r="Q810" s="11" t="n"/>
      <c r="S810">
        <f>IF($A810="","",IF($W810=1,Settings!$C$6,Settings!$C$7)*1)</f>
        <v/>
      </c>
      <c r="U810">
        <f>IF($A810="","",IF(COUNTIF($A$2:$A810,$A810)=1,1,0))</f>
        <v/>
      </c>
      <c r="V810">
        <f>IF($U810=1,SUMPRODUCT(--($X$2:$X$1001&lt;$X810))+1,"")</f>
        <v/>
      </c>
      <c r="W810">
        <f>IF($A810="","",IF(OR($T810=TRUE(),$T810="TRUE"),1,0))</f>
        <v/>
      </c>
      <c r="X810">
        <f>IF($U810=1,IFERROR(IF(VALUE($A810)&lt;100000000,VALUE($A810),1000000000),IFERROR(IF(VALUE(MID($A810,2,20))&lt;100000000,VALUE(MID($A810,2,20)),1000000000),1000000000))+ROW()/100000,"")</f>
        <v/>
      </c>
    </row>
    <row r="811">
      <c r="F811" s="7">
        <f>IF($A811="","",E811*N811/100)</f>
        <v/>
      </c>
      <c r="J811" s="7" t="n"/>
      <c r="K811" s="7">
        <f>IF($A811="","",S811*N811)</f>
        <v/>
      </c>
      <c r="L811" s="7">
        <f>IF($A811="","",N811-K811)</f>
        <v/>
      </c>
      <c r="M811" s="7">
        <f>IF($A811="","",L811-F811)</f>
        <v/>
      </c>
      <c r="N811" s="7" t="n"/>
      <c r="Q811" s="11" t="n"/>
      <c r="S811">
        <f>IF($A811="","",IF($W811=1,Settings!$C$6,Settings!$C$7)*1)</f>
        <v/>
      </c>
      <c r="U811">
        <f>IF($A811="","",IF(COUNTIF($A$2:$A811,$A811)=1,1,0))</f>
        <v/>
      </c>
      <c r="V811">
        <f>IF($U811=1,SUMPRODUCT(--($X$2:$X$1001&lt;$X811))+1,"")</f>
        <v/>
      </c>
      <c r="W811">
        <f>IF($A811="","",IF(OR($T811=TRUE(),$T811="TRUE"),1,0))</f>
        <v/>
      </c>
      <c r="X811">
        <f>IF($U811=1,IFERROR(IF(VALUE($A811)&lt;100000000,VALUE($A811),1000000000),IFERROR(IF(VALUE(MID($A811,2,20))&lt;100000000,VALUE(MID($A811,2,20)),1000000000),1000000000))+ROW()/100000,"")</f>
        <v/>
      </c>
    </row>
    <row r="812">
      <c r="F812" s="7">
        <f>IF($A812="","",E812*N812/100)</f>
        <v/>
      </c>
      <c r="J812" s="7" t="n"/>
      <c r="K812" s="7">
        <f>IF($A812="","",S812*N812)</f>
        <v/>
      </c>
      <c r="L812" s="7">
        <f>IF($A812="","",N812-K812)</f>
        <v/>
      </c>
      <c r="M812" s="7">
        <f>IF($A812="","",L812-F812)</f>
        <v/>
      </c>
      <c r="N812" s="7" t="n"/>
      <c r="Q812" s="11" t="n"/>
      <c r="S812">
        <f>IF($A812="","",IF($W812=1,Settings!$C$6,Settings!$C$7)*1)</f>
        <v/>
      </c>
      <c r="U812">
        <f>IF($A812="","",IF(COUNTIF($A$2:$A812,$A812)=1,1,0))</f>
        <v/>
      </c>
      <c r="V812">
        <f>IF($U812=1,SUMPRODUCT(--($X$2:$X$1001&lt;$X812))+1,"")</f>
        <v/>
      </c>
      <c r="W812">
        <f>IF($A812="","",IF(OR($T812=TRUE(),$T812="TRUE"),1,0))</f>
        <v/>
      </c>
      <c r="X812">
        <f>IF($U812=1,IFERROR(IF(VALUE($A812)&lt;100000000,VALUE($A812),1000000000),IFERROR(IF(VALUE(MID($A812,2,20))&lt;100000000,VALUE(MID($A812,2,20)),1000000000),1000000000))+ROW()/100000,"")</f>
        <v/>
      </c>
    </row>
    <row r="813">
      <c r="F813" s="7">
        <f>IF($A813="","",E813*N813/100)</f>
        <v/>
      </c>
      <c r="J813" s="7" t="n"/>
      <c r="K813" s="7">
        <f>IF($A813="","",S813*N813)</f>
        <v/>
      </c>
      <c r="L813" s="7">
        <f>IF($A813="","",N813-K813)</f>
        <v/>
      </c>
      <c r="M813" s="7">
        <f>IF($A813="","",L813-F813)</f>
        <v/>
      </c>
      <c r="N813" s="7" t="n"/>
      <c r="Q813" s="11" t="n"/>
      <c r="S813">
        <f>IF($A813="","",IF($W813=1,Settings!$C$6,Settings!$C$7)*1)</f>
        <v/>
      </c>
      <c r="U813">
        <f>IF($A813="","",IF(COUNTIF($A$2:$A813,$A813)=1,1,0))</f>
        <v/>
      </c>
      <c r="V813">
        <f>IF($U813=1,SUMPRODUCT(--($X$2:$X$1001&lt;$X813))+1,"")</f>
        <v/>
      </c>
      <c r="W813">
        <f>IF($A813="","",IF(OR($T813=TRUE(),$T813="TRUE"),1,0))</f>
        <v/>
      </c>
      <c r="X813">
        <f>IF($U813=1,IFERROR(IF(VALUE($A813)&lt;100000000,VALUE($A813),1000000000),IFERROR(IF(VALUE(MID($A813,2,20))&lt;100000000,VALUE(MID($A813,2,20)),1000000000),1000000000))+ROW()/100000,"")</f>
        <v/>
      </c>
    </row>
    <row r="814">
      <c r="F814" s="7">
        <f>IF($A814="","",E814*N814/100)</f>
        <v/>
      </c>
      <c r="J814" s="7" t="n"/>
      <c r="K814" s="7">
        <f>IF($A814="","",S814*N814)</f>
        <v/>
      </c>
      <c r="L814" s="7">
        <f>IF($A814="","",N814-K814)</f>
        <v/>
      </c>
      <c r="M814" s="7">
        <f>IF($A814="","",L814-F814)</f>
        <v/>
      </c>
      <c r="N814" s="7" t="n"/>
      <c r="Q814" s="11" t="n"/>
      <c r="S814">
        <f>IF($A814="","",IF($W814=1,Settings!$C$6,Settings!$C$7)*1)</f>
        <v/>
      </c>
      <c r="U814">
        <f>IF($A814="","",IF(COUNTIF($A$2:$A814,$A814)=1,1,0))</f>
        <v/>
      </c>
      <c r="V814">
        <f>IF($U814=1,SUMPRODUCT(--($X$2:$X$1001&lt;$X814))+1,"")</f>
        <v/>
      </c>
      <c r="W814">
        <f>IF($A814="","",IF(OR($T814=TRUE(),$T814="TRUE"),1,0))</f>
        <v/>
      </c>
      <c r="X814">
        <f>IF($U814=1,IFERROR(IF(VALUE($A814)&lt;100000000,VALUE($A814),1000000000),IFERROR(IF(VALUE(MID($A814,2,20))&lt;100000000,VALUE(MID($A814,2,20)),1000000000),1000000000))+ROW()/100000,"")</f>
        <v/>
      </c>
    </row>
    <row r="815">
      <c r="F815" s="7">
        <f>IF($A815="","",E815*N815/100)</f>
        <v/>
      </c>
      <c r="J815" s="7" t="n"/>
      <c r="K815" s="7">
        <f>IF($A815="","",S815*N815)</f>
        <v/>
      </c>
      <c r="L815" s="7">
        <f>IF($A815="","",N815-K815)</f>
        <v/>
      </c>
      <c r="M815" s="7">
        <f>IF($A815="","",L815-F815)</f>
        <v/>
      </c>
      <c r="N815" s="7" t="n"/>
      <c r="Q815" s="11" t="n"/>
      <c r="S815">
        <f>IF($A815="","",IF($W815=1,Settings!$C$6,Settings!$C$7)*1)</f>
        <v/>
      </c>
      <c r="U815">
        <f>IF($A815="","",IF(COUNTIF($A$2:$A815,$A815)=1,1,0))</f>
        <v/>
      </c>
      <c r="V815">
        <f>IF($U815=1,SUMPRODUCT(--($X$2:$X$1001&lt;$X815))+1,"")</f>
        <v/>
      </c>
      <c r="W815">
        <f>IF($A815="","",IF(OR($T815=TRUE(),$T815="TRUE"),1,0))</f>
        <v/>
      </c>
      <c r="X815">
        <f>IF($U815=1,IFERROR(IF(VALUE($A815)&lt;100000000,VALUE($A815),1000000000),IFERROR(IF(VALUE(MID($A815,2,20))&lt;100000000,VALUE(MID($A815,2,20)),1000000000),1000000000))+ROW()/100000,"")</f>
        <v/>
      </c>
    </row>
    <row r="816">
      <c r="F816" s="7">
        <f>IF($A816="","",E816*N816/100)</f>
        <v/>
      </c>
      <c r="J816" s="7" t="n"/>
      <c r="K816" s="7">
        <f>IF($A816="","",S816*N816)</f>
        <v/>
      </c>
      <c r="L816" s="7">
        <f>IF($A816="","",N816-K816)</f>
        <v/>
      </c>
      <c r="M816" s="7">
        <f>IF($A816="","",L816-F816)</f>
        <v/>
      </c>
      <c r="N816" s="7" t="n"/>
      <c r="Q816" s="11" t="n"/>
      <c r="S816">
        <f>IF($A816="","",IF($W816=1,Settings!$C$6,Settings!$C$7)*1)</f>
        <v/>
      </c>
      <c r="U816">
        <f>IF($A816="","",IF(COUNTIF($A$2:$A816,$A816)=1,1,0))</f>
        <v/>
      </c>
      <c r="V816">
        <f>IF($U816=1,SUMPRODUCT(--($X$2:$X$1001&lt;$X816))+1,"")</f>
        <v/>
      </c>
      <c r="W816">
        <f>IF($A816="","",IF(OR($T816=TRUE(),$T816="TRUE"),1,0))</f>
        <v/>
      </c>
      <c r="X816">
        <f>IF($U816=1,IFERROR(IF(VALUE($A816)&lt;100000000,VALUE($A816),1000000000),IFERROR(IF(VALUE(MID($A816,2,20))&lt;100000000,VALUE(MID($A816,2,20)),1000000000),1000000000))+ROW()/100000,"")</f>
        <v/>
      </c>
    </row>
    <row r="817">
      <c r="F817" s="7">
        <f>IF($A817="","",E817*N817/100)</f>
        <v/>
      </c>
      <c r="J817" s="7" t="n"/>
      <c r="K817" s="7">
        <f>IF($A817="","",S817*N817)</f>
        <v/>
      </c>
      <c r="L817" s="7">
        <f>IF($A817="","",N817-K817)</f>
        <v/>
      </c>
      <c r="M817" s="7">
        <f>IF($A817="","",L817-F817)</f>
        <v/>
      </c>
      <c r="N817" s="7" t="n"/>
      <c r="Q817" s="11" t="n"/>
      <c r="S817">
        <f>IF($A817="","",IF($W817=1,Settings!$C$6,Settings!$C$7)*1)</f>
        <v/>
      </c>
      <c r="U817">
        <f>IF($A817="","",IF(COUNTIF($A$2:$A817,$A817)=1,1,0))</f>
        <v/>
      </c>
      <c r="V817">
        <f>IF($U817=1,SUMPRODUCT(--($X$2:$X$1001&lt;$X817))+1,"")</f>
        <v/>
      </c>
      <c r="W817">
        <f>IF($A817="","",IF(OR($T817=TRUE(),$T817="TRUE"),1,0))</f>
        <v/>
      </c>
      <c r="X817">
        <f>IF($U817=1,IFERROR(IF(VALUE($A817)&lt;100000000,VALUE($A817),1000000000),IFERROR(IF(VALUE(MID($A817,2,20))&lt;100000000,VALUE(MID($A817,2,20)),1000000000),1000000000))+ROW()/100000,"")</f>
        <v/>
      </c>
    </row>
    <row r="818">
      <c r="F818" s="7">
        <f>IF($A818="","",E818*N818/100)</f>
        <v/>
      </c>
      <c r="J818" s="7" t="n"/>
      <c r="K818" s="7">
        <f>IF($A818="","",S818*N818)</f>
        <v/>
      </c>
      <c r="L818" s="7">
        <f>IF($A818="","",N818-K818)</f>
        <v/>
      </c>
      <c r="M818" s="7">
        <f>IF($A818="","",L818-F818)</f>
        <v/>
      </c>
      <c r="N818" s="7" t="n"/>
      <c r="Q818" s="11" t="n"/>
      <c r="S818">
        <f>IF($A818="","",IF($W818=1,Settings!$C$6,Settings!$C$7)*1)</f>
        <v/>
      </c>
      <c r="U818">
        <f>IF($A818="","",IF(COUNTIF($A$2:$A818,$A818)=1,1,0))</f>
        <v/>
      </c>
      <c r="V818">
        <f>IF($U818=1,SUMPRODUCT(--($X$2:$X$1001&lt;$X818))+1,"")</f>
        <v/>
      </c>
      <c r="W818">
        <f>IF($A818="","",IF(OR($T818=TRUE(),$T818="TRUE"),1,0))</f>
        <v/>
      </c>
      <c r="X818">
        <f>IF($U818=1,IFERROR(IF(VALUE($A818)&lt;100000000,VALUE($A818),1000000000),IFERROR(IF(VALUE(MID($A818,2,20))&lt;100000000,VALUE(MID($A818,2,20)),1000000000),1000000000))+ROW()/100000,"")</f>
        <v/>
      </c>
    </row>
    <row r="819">
      <c r="F819" s="7">
        <f>IF($A819="","",E819*N819/100)</f>
        <v/>
      </c>
      <c r="J819" s="7" t="n"/>
      <c r="K819" s="7">
        <f>IF($A819="","",S819*N819)</f>
        <v/>
      </c>
      <c r="L819" s="7">
        <f>IF($A819="","",N819-K819)</f>
        <v/>
      </c>
      <c r="M819" s="7">
        <f>IF($A819="","",L819-F819)</f>
        <v/>
      </c>
      <c r="N819" s="7" t="n"/>
      <c r="Q819" s="11" t="n"/>
      <c r="S819">
        <f>IF($A819="","",IF($W819=1,Settings!$C$6,Settings!$C$7)*1)</f>
        <v/>
      </c>
      <c r="U819">
        <f>IF($A819="","",IF(COUNTIF($A$2:$A819,$A819)=1,1,0))</f>
        <v/>
      </c>
      <c r="V819">
        <f>IF($U819=1,SUMPRODUCT(--($X$2:$X$1001&lt;$X819))+1,"")</f>
        <v/>
      </c>
      <c r="W819">
        <f>IF($A819="","",IF(OR($T819=TRUE(),$T819="TRUE"),1,0))</f>
        <v/>
      </c>
      <c r="X819">
        <f>IF($U819=1,IFERROR(IF(VALUE($A819)&lt;100000000,VALUE($A819),1000000000),IFERROR(IF(VALUE(MID($A819,2,20))&lt;100000000,VALUE(MID($A819,2,20)),1000000000),1000000000))+ROW()/100000,"")</f>
        <v/>
      </c>
    </row>
    <row r="820">
      <c r="F820" s="7">
        <f>IF($A820="","",E820*N820/100)</f>
        <v/>
      </c>
      <c r="J820" s="7" t="n"/>
      <c r="K820" s="7">
        <f>IF($A820="","",S820*N820)</f>
        <v/>
      </c>
      <c r="L820" s="7">
        <f>IF($A820="","",N820-K820)</f>
        <v/>
      </c>
      <c r="M820" s="7">
        <f>IF($A820="","",L820-F820)</f>
        <v/>
      </c>
      <c r="N820" s="7" t="n"/>
      <c r="Q820" s="11" t="n"/>
      <c r="S820">
        <f>IF($A820="","",IF($W820=1,Settings!$C$6,Settings!$C$7)*1)</f>
        <v/>
      </c>
      <c r="U820">
        <f>IF($A820="","",IF(COUNTIF($A$2:$A820,$A820)=1,1,0))</f>
        <v/>
      </c>
      <c r="V820">
        <f>IF($U820=1,SUMPRODUCT(--($X$2:$X$1001&lt;$X820))+1,"")</f>
        <v/>
      </c>
      <c r="W820">
        <f>IF($A820="","",IF(OR($T820=TRUE(),$T820="TRUE"),1,0))</f>
        <v/>
      </c>
      <c r="X820">
        <f>IF($U820=1,IFERROR(IF(VALUE($A820)&lt;100000000,VALUE($A820),1000000000),IFERROR(IF(VALUE(MID($A820,2,20))&lt;100000000,VALUE(MID($A820,2,20)),1000000000),1000000000))+ROW()/100000,"")</f>
        <v/>
      </c>
    </row>
    <row r="821">
      <c r="F821" s="7">
        <f>IF($A821="","",E821*N821/100)</f>
        <v/>
      </c>
      <c r="J821" s="7" t="n"/>
      <c r="K821" s="7">
        <f>IF($A821="","",S821*N821)</f>
        <v/>
      </c>
      <c r="L821" s="7">
        <f>IF($A821="","",N821-K821)</f>
        <v/>
      </c>
      <c r="M821" s="7">
        <f>IF($A821="","",L821-F821)</f>
        <v/>
      </c>
      <c r="N821" s="7" t="n"/>
      <c r="Q821" s="11" t="n"/>
      <c r="S821">
        <f>IF($A821="","",IF($W821=1,Settings!$C$6,Settings!$C$7)*1)</f>
        <v/>
      </c>
      <c r="U821">
        <f>IF($A821="","",IF(COUNTIF($A$2:$A821,$A821)=1,1,0))</f>
        <v/>
      </c>
      <c r="V821">
        <f>IF($U821=1,SUMPRODUCT(--($X$2:$X$1001&lt;$X821))+1,"")</f>
        <v/>
      </c>
      <c r="W821">
        <f>IF($A821="","",IF(OR($T821=TRUE(),$T821="TRUE"),1,0))</f>
        <v/>
      </c>
      <c r="X821">
        <f>IF($U821=1,IFERROR(IF(VALUE($A821)&lt;100000000,VALUE($A821),1000000000),IFERROR(IF(VALUE(MID($A821,2,20))&lt;100000000,VALUE(MID($A821,2,20)),1000000000),1000000000))+ROW()/100000,"")</f>
        <v/>
      </c>
    </row>
    <row r="822">
      <c r="F822" s="7">
        <f>IF($A822="","",E822*N822/100)</f>
        <v/>
      </c>
      <c r="J822" s="7" t="n"/>
      <c r="K822" s="7">
        <f>IF($A822="","",S822*N822)</f>
        <v/>
      </c>
      <c r="L822" s="7">
        <f>IF($A822="","",N822-K822)</f>
        <v/>
      </c>
      <c r="M822" s="7">
        <f>IF($A822="","",L822-F822)</f>
        <v/>
      </c>
      <c r="N822" s="7" t="n"/>
      <c r="Q822" s="11" t="n"/>
      <c r="S822">
        <f>IF($A822="","",IF($W822=1,Settings!$C$6,Settings!$C$7)*1)</f>
        <v/>
      </c>
      <c r="U822">
        <f>IF($A822="","",IF(COUNTIF($A$2:$A822,$A822)=1,1,0))</f>
        <v/>
      </c>
      <c r="V822">
        <f>IF($U822=1,SUMPRODUCT(--($X$2:$X$1001&lt;$X822))+1,"")</f>
        <v/>
      </c>
      <c r="W822">
        <f>IF($A822="","",IF(OR($T822=TRUE(),$T822="TRUE"),1,0))</f>
        <v/>
      </c>
      <c r="X822">
        <f>IF($U822=1,IFERROR(IF(VALUE($A822)&lt;100000000,VALUE($A822),1000000000),IFERROR(IF(VALUE(MID($A822,2,20))&lt;100000000,VALUE(MID($A822,2,20)),1000000000),1000000000))+ROW()/100000,"")</f>
        <v/>
      </c>
    </row>
    <row r="823">
      <c r="F823" s="7">
        <f>IF($A823="","",E823*N823/100)</f>
        <v/>
      </c>
      <c r="J823" s="7" t="n"/>
      <c r="K823" s="7">
        <f>IF($A823="","",S823*N823)</f>
        <v/>
      </c>
      <c r="L823" s="7">
        <f>IF($A823="","",N823-K823)</f>
        <v/>
      </c>
      <c r="M823" s="7">
        <f>IF($A823="","",L823-F823)</f>
        <v/>
      </c>
      <c r="N823" s="7" t="n"/>
      <c r="Q823" s="11" t="n"/>
      <c r="S823">
        <f>IF($A823="","",IF($W823=1,Settings!$C$6,Settings!$C$7)*1)</f>
        <v/>
      </c>
      <c r="U823">
        <f>IF($A823="","",IF(COUNTIF($A$2:$A823,$A823)=1,1,0))</f>
        <v/>
      </c>
      <c r="V823">
        <f>IF($U823=1,SUMPRODUCT(--($X$2:$X$1001&lt;$X823))+1,"")</f>
        <v/>
      </c>
      <c r="W823">
        <f>IF($A823="","",IF(OR($T823=TRUE(),$T823="TRUE"),1,0))</f>
        <v/>
      </c>
      <c r="X823">
        <f>IF($U823=1,IFERROR(IF(VALUE($A823)&lt;100000000,VALUE($A823),1000000000),IFERROR(IF(VALUE(MID($A823,2,20))&lt;100000000,VALUE(MID($A823,2,20)),1000000000),1000000000))+ROW()/100000,"")</f>
        <v/>
      </c>
    </row>
    <row r="824">
      <c r="F824" s="7">
        <f>IF($A824="","",E824*N824/100)</f>
        <v/>
      </c>
      <c r="J824" s="7" t="n"/>
      <c r="K824" s="7">
        <f>IF($A824="","",S824*N824)</f>
        <v/>
      </c>
      <c r="L824" s="7">
        <f>IF($A824="","",N824-K824)</f>
        <v/>
      </c>
      <c r="M824" s="7">
        <f>IF($A824="","",L824-F824)</f>
        <v/>
      </c>
      <c r="N824" s="7" t="n"/>
      <c r="Q824" s="11" t="n"/>
      <c r="S824">
        <f>IF($A824="","",IF($W824=1,Settings!$C$6,Settings!$C$7)*1)</f>
        <v/>
      </c>
      <c r="U824">
        <f>IF($A824="","",IF(COUNTIF($A$2:$A824,$A824)=1,1,0))</f>
        <v/>
      </c>
      <c r="V824">
        <f>IF($U824=1,SUMPRODUCT(--($X$2:$X$1001&lt;$X824))+1,"")</f>
        <v/>
      </c>
      <c r="W824">
        <f>IF($A824="","",IF(OR($T824=TRUE(),$T824="TRUE"),1,0))</f>
        <v/>
      </c>
      <c r="X824">
        <f>IF($U824=1,IFERROR(IF(VALUE($A824)&lt;100000000,VALUE($A824),1000000000),IFERROR(IF(VALUE(MID($A824,2,20))&lt;100000000,VALUE(MID($A824,2,20)),1000000000),1000000000))+ROW()/100000,"")</f>
        <v/>
      </c>
    </row>
    <row r="825">
      <c r="F825" s="7">
        <f>IF($A825="","",E825*N825/100)</f>
        <v/>
      </c>
      <c r="J825" s="7" t="n"/>
      <c r="K825" s="7">
        <f>IF($A825="","",S825*N825)</f>
        <v/>
      </c>
      <c r="L825" s="7">
        <f>IF($A825="","",N825-K825)</f>
        <v/>
      </c>
      <c r="M825" s="7">
        <f>IF($A825="","",L825-F825)</f>
        <v/>
      </c>
      <c r="N825" s="7" t="n"/>
      <c r="Q825" s="11" t="n"/>
      <c r="S825">
        <f>IF($A825="","",IF($W825=1,Settings!$C$6,Settings!$C$7)*1)</f>
        <v/>
      </c>
      <c r="U825">
        <f>IF($A825="","",IF(COUNTIF($A$2:$A825,$A825)=1,1,0))</f>
        <v/>
      </c>
      <c r="V825">
        <f>IF($U825=1,SUMPRODUCT(--($X$2:$X$1001&lt;$X825))+1,"")</f>
        <v/>
      </c>
      <c r="W825">
        <f>IF($A825="","",IF(OR($T825=TRUE(),$T825="TRUE"),1,0))</f>
        <v/>
      </c>
      <c r="X825">
        <f>IF($U825=1,IFERROR(IF(VALUE($A825)&lt;100000000,VALUE($A825),1000000000),IFERROR(IF(VALUE(MID($A825,2,20))&lt;100000000,VALUE(MID($A825,2,20)),1000000000),1000000000))+ROW()/100000,"")</f>
        <v/>
      </c>
    </row>
    <row r="826">
      <c r="F826" s="7">
        <f>IF($A826="","",E826*N826/100)</f>
        <v/>
      </c>
      <c r="J826" s="7" t="n"/>
      <c r="K826" s="7">
        <f>IF($A826="","",S826*N826)</f>
        <v/>
      </c>
      <c r="L826" s="7">
        <f>IF($A826="","",N826-K826)</f>
        <v/>
      </c>
      <c r="M826" s="7">
        <f>IF($A826="","",L826-F826)</f>
        <v/>
      </c>
      <c r="N826" s="7" t="n"/>
      <c r="Q826" s="11" t="n"/>
      <c r="S826">
        <f>IF($A826="","",IF($W826=1,Settings!$C$6,Settings!$C$7)*1)</f>
        <v/>
      </c>
      <c r="U826">
        <f>IF($A826="","",IF(COUNTIF($A$2:$A826,$A826)=1,1,0))</f>
        <v/>
      </c>
      <c r="V826">
        <f>IF($U826=1,SUMPRODUCT(--($X$2:$X$1001&lt;$X826))+1,"")</f>
        <v/>
      </c>
      <c r="W826">
        <f>IF($A826="","",IF(OR($T826=TRUE(),$T826="TRUE"),1,0))</f>
        <v/>
      </c>
      <c r="X826">
        <f>IF($U826=1,IFERROR(IF(VALUE($A826)&lt;100000000,VALUE($A826),1000000000),IFERROR(IF(VALUE(MID($A826,2,20))&lt;100000000,VALUE(MID($A826,2,20)),1000000000),1000000000))+ROW()/100000,"")</f>
        <v/>
      </c>
    </row>
    <row r="827">
      <c r="F827" s="7">
        <f>IF($A827="","",E827*N827/100)</f>
        <v/>
      </c>
      <c r="J827" s="7" t="n"/>
      <c r="K827" s="7">
        <f>IF($A827="","",S827*N827)</f>
        <v/>
      </c>
      <c r="L827" s="7">
        <f>IF($A827="","",N827-K827)</f>
        <v/>
      </c>
      <c r="M827" s="7">
        <f>IF($A827="","",L827-F827)</f>
        <v/>
      </c>
      <c r="N827" s="7" t="n"/>
      <c r="Q827" s="11" t="n"/>
      <c r="S827">
        <f>IF($A827="","",IF($W827=1,Settings!$C$6,Settings!$C$7)*1)</f>
        <v/>
      </c>
      <c r="U827">
        <f>IF($A827="","",IF(COUNTIF($A$2:$A827,$A827)=1,1,0))</f>
        <v/>
      </c>
      <c r="V827">
        <f>IF($U827=1,SUMPRODUCT(--($X$2:$X$1001&lt;$X827))+1,"")</f>
        <v/>
      </c>
      <c r="W827">
        <f>IF($A827="","",IF(OR($T827=TRUE(),$T827="TRUE"),1,0))</f>
        <v/>
      </c>
      <c r="X827">
        <f>IF($U827=1,IFERROR(IF(VALUE($A827)&lt;100000000,VALUE($A827),1000000000),IFERROR(IF(VALUE(MID($A827,2,20))&lt;100000000,VALUE(MID($A827,2,20)),1000000000),1000000000))+ROW()/100000,"")</f>
        <v/>
      </c>
    </row>
    <row r="828">
      <c r="F828" s="7">
        <f>IF($A828="","",E828*N828/100)</f>
        <v/>
      </c>
      <c r="J828" s="7" t="n"/>
      <c r="K828" s="7">
        <f>IF($A828="","",S828*N828)</f>
        <v/>
      </c>
      <c r="L828" s="7">
        <f>IF($A828="","",N828-K828)</f>
        <v/>
      </c>
      <c r="M828" s="7">
        <f>IF($A828="","",L828-F828)</f>
        <v/>
      </c>
      <c r="N828" s="7" t="n"/>
      <c r="Q828" s="11" t="n"/>
      <c r="S828">
        <f>IF($A828="","",IF($W828=1,Settings!$C$6,Settings!$C$7)*1)</f>
        <v/>
      </c>
      <c r="U828">
        <f>IF($A828="","",IF(COUNTIF($A$2:$A828,$A828)=1,1,0))</f>
        <v/>
      </c>
      <c r="V828">
        <f>IF($U828=1,SUMPRODUCT(--($X$2:$X$1001&lt;$X828))+1,"")</f>
        <v/>
      </c>
      <c r="W828">
        <f>IF($A828="","",IF(OR($T828=TRUE(),$T828="TRUE"),1,0))</f>
        <v/>
      </c>
      <c r="X828">
        <f>IF($U828=1,IFERROR(IF(VALUE($A828)&lt;100000000,VALUE($A828),1000000000),IFERROR(IF(VALUE(MID($A828,2,20))&lt;100000000,VALUE(MID($A828,2,20)),1000000000),1000000000))+ROW()/100000,"")</f>
        <v/>
      </c>
    </row>
    <row r="829">
      <c r="F829" s="7">
        <f>IF($A829="","",E829*N829/100)</f>
        <v/>
      </c>
      <c r="J829" s="7" t="n"/>
      <c r="K829" s="7">
        <f>IF($A829="","",S829*N829)</f>
        <v/>
      </c>
      <c r="L829" s="7">
        <f>IF($A829="","",N829-K829)</f>
        <v/>
      </c>
      <c r="M829" s="7">
        <f>IF($A829="","",L829-F829)</f>
        <v/>
      </c>
      <c r="N829" s="7" t="n"/>
      <c r="Q829" s="11" t="n"/>
      <c r="S829">
        <f>IF($A829="","",IF($W829=1,Settings!$C$6,Settings!$C$7)*1)</f>
        <v/>
      </c>
      <c r="U829">
        <f>IF($A829="","",IF(COUNTIF($A$2:$A829,$A829)=1,1,0))</f>
        <v/>
      </c>
      <c r="V829">
        <f>IF($U829=1,SUMPRODUCT(--($X$2:$X$1001&lt;$X829))+1,"")</f>
        <v/>
      </c>
      <c r="W829">
        <f>IF($A829="","",IF(OR($T829=TRUE(),$T829="TRUE"),1,0))</f>
        <v/>
      </c>
      <c r="X829">
        <f>IF($U829=1,IFERROR(IF(VALUE($A829)&lt;100000000,VALUE($A829),1000000000),IFERROR(IF(VALUE(MID($A829,2,20))&lt;100000000,VALUE(MID($A829,2,20)),1000000000),1000000000))+ROW()/100000,"")</f>
        <v/>
      </c>
    </row>
    <row r="830">
      <c r="F830" s="7">
        <f>IF($A830="","",E830*N830/100)</f>
        <v/>
      </c>
      <c r="J830" s="7" t="n"/>
      <c r="K830" s="7">
        <f>IF($A830="","",S830*N830)</f>
        <v/>
      </c>
      <c r="L830" s="7">
        <f>IF($A830="","",N830-K830)</f>
        <v/>
      </c>
      <c r="M830" s="7">
        <f>IF($A830="","",L830-F830)</f>
        <v/>
      </c>
      <c r="N830" s="7" t="n"/>
      <c r="Q830" s="11" t="n"/>
      <c r="S830">
        <f>IF($A830="","",IF($W830=1,Settings!$C$6,Settings!$C$7)*1)</f>
        <v/>
      </c>
      <c r="U830">
        <f>IF($A830="","",IF(COUNTIF($A$2:$A830,$A830)=1,1,0))</f>
        <v/>
      </c>
      <c r="V830">
        <f>IF($U830=1,SUMPRODUCT(--($X$2:$X$1001&lt;$X830))+1,"")</f>
        <v/>
      </c>
      <c r="W830">
        <f>IF($A830="","",IF(OR($T830=TRUE(),$T830="TRUE"),1,0))</f>
        <v/>
      </c>
      <c r="X830">
        <f>IF($U830=1,IFERROR(IF(VALUE($A830)&lt;100000000,VALUE($A830),1000000000),IFERROR(IF(VALUE(MID($A830,2,20))&lt;100000000,VALUE(MID($A830,2,20)),1000000000),1000000000))+ROW()/100000,"")</f>
        <v/>
      </c>
    </row>
    <row r="831">
      <c r="F831" s="7">
        <f>IF($A831="","",E831*N831/100)</f>
        <v/>
      </c>
      <c r="J831" s="7" t="n"/>
      <c r="K831" s="7">
        <f>IF($A831="","",S831*N831)</f>
        <v/>
      </c>
      <c r="L831" s="7">
        <f>IF($A831="","",N831-K831)</f>
        <v/>
      </c>
      <c r="M831" s="7">
        <f>IF($A831="","",L831-F831)</f>
        <v/>
      </c>
      <c r="N831" s="7" t="n"/>
      <c r="Q831" s="11" t="n"/>
      <c r="S831">
        <f>IF($A831="","",IF($W831=1,Settings!$C$6,Settings!$C$7)*1)</f>
        <v/>
      </c>
      <c r="U831">
        <f>IF($A831="","",IF(COUNTIF($A$2:$A831,$A831)=1,1,0))</f>
        <v/>
      </c>
      <c r="V831">
        <f>IF($U831=1,SUMPRODUCT(--($X$2:$X$1001&lt;$X831))+1,"")</f>
        <v/>
      </c>
      <c r="W831">
        <f>IF($A831="","",IF(OR($T831=TRUE(),$T831="TRUE"),1,0))</f>
        <v/>
      </c>
      <c r="X831">
        <f>IF($U831=1,IFERROR(IF(VALUE($A831)&lt;100000000,VALUE($A831),1000000000),IFERROR(IF(VALUE(MID($A831,2,20))&lt;100000000,VALUE(MID($A831,2,20)),1000000000),1000000000))+ROW()/100000,"")</f>
        <v/>
      </c>
    </row>
    <row r="832">
      <c r="F832" s="7">
        <f>IF($A832="","",E832*N832/100)</f>
        <v/>
      </c>
      <c r="J832" s="7" t="n"/>
      <c r="K832" s="7">
        <f>IF($A832="","",S832*N832)</f>
        <v/>
      </c>
      <c r="L832" s="7">
        <f>IF($A832="","",N832-K832)</f>
        <v/>
      </c>
      <c r="M832" s="7">
        <f>IF($A832="","",L832-F832)</f>
        <v/>
      </c>
      <c r="N832" s="7" t="n"/>
      <c r="Q832" s="11" t="n"/>
      <c r="S832">
        <f>IF($A832="","",IF($W832=1,Settings!$C$6,Settings!$C$7)*1)</f>
        <v/>
      </c>
      <c r="U832">
        <f>IF($A832="","",IF(COUNTIF($A$2:$A832,$A832)=1,1,0))</f>
        <v/>
      </c>
      <c r="V832">
        <f>IF($U832=1,SUMPRODUCT(--($X$2:$X$1001&lt;$X832))+1,"")</f>
        <v/>
      </c>
      <c r="W832">
        <f>IF($A832="","",IF(OR($T832=TRUE(),$T832="TRUE"),1,0))</f>
        <v/>
      </c>
      <c r="X832">
        <f>IF($U832=1,IFERROR(IF(VALUE($A832)&lt;100000000,VALUE($A832),1000000000),IFERROR(IF(VALUE(MID($A832,2,20))&lt;100000000,VALUE(MID($A832,2,20)),1000000000),1000000000))+ROW()/100000,"")</f>
        <v/>
      </c>
    </row>
    <row r="833">
      <c r="F833" s="7">
        <f>IF($A833="","",E833*N833/100)</f>
        <v/>
      </c>
      <c r="J833" s="7" t="n"/>
      <c r="K833" s="7">
        <f>IF($A833="","",S833*N833)</f>
        <v/>
      </c>
      <c r="L833" s="7">
        <f>IF($A833="","",N833-K833)</f>
        <v/>
      </c>
      <c r="M833" s="7">
        <f>IF($A833="","",L833-F833)</f>
        <v/>
      </c>
      <c r="N833" s="7" t="n"/>
      <c r="Q833" s="11" t="n"/>
      <c r="S833">
        <f>IF($A833="","",IF($W833=1,Settings!$C$6,Settings!$C$7)*1)</f>
        <v/>
      </c>
      <c r="U833">
        <f>IF($A833="","",IF(COUNTIF($A$2:$A833,$A833)=1,1,0))</f>
        <v/>
      </c>
      <c r="V833">
        <f>IF($U833=1,SUMPRODUCT(--($X$2:$X$1001&lt;$X833))+1,"")</f>
        <v/>
      </c>
      <c r="W833">
        <f>IF($A833="","",IF(OR($T833=TRUE(),$T833="TRUE"),1,0))</f>
        <v/>
      </c>
      <c r="X833">
        <f>IF($U833=1,IFERROR(IF(VALUE($A833)&lt;100000000,VALUE($A833),1000000000),IFERROR(IF(VALUE(MID($A833,2,20))&lt;100000000,VALUE(MID($A833,2,20)),1000000000),1000000000))+ROW()/100000,"")</f>
        <v/>
      </c>
    </row>
    <row r="834">
      <c r="F834" s="7">
        <f>IF($A834="","",E834*N834/100)</f>
        <v/>
      </c>
      <c r="J834" s="7" t="n"/>
      <c r="K834" s="7">
        <f>IF($A834="","",S834*N834)</f>
        <v/>
      </c>
      <c r="L834" s="7">
        <f>IF($A834="","",N834-K834)</f>
        <v/>
      </c>
      <c r="M834" s="7">
        <f>IF($A834="","",L834-F834)</f>
        <v/>
      </c>
      <c r="N834" s="7" t="n"/>
      <c r="Q834" s="11" t="n"/>
      <c r="S834">
        <f>IF($A834="","",IF($W834=1,Settings!$C$6,Settings!$C$7)*1)</f>
        <v/>
      </c>
      <c r="U834">
        <f>IF($A834="","",IF(COUNTIF($A$2:$A834,$A834)=1,1,0))</f>
        <v/>
      </c>
      <c r="V834">
        <f>IF($U834=1,SUMPRODUCT(--($X$2:$X$1001&lt;$X834))+1,"")</f>
        <v/>
      </c>
      <c r="W834">
        <f>IF($A834="","",IF(OR($T834=TRUE(),$T834="TRUE"),1,0))</f>
        <v/>
      </c>
      <c r="X834">
        <f>IF($U834=1,IFERROR(IF(VALUE($A834)&lt;100000000,VALUE($A834),1000000000),IFERROR(IF(VALUE(MID($A834,2,20))&lt;100000000,VALUE(MID($A834,2,20)),1000000000),1000000000))+ROW()/100000,"")</f>
        <v/>
      </c>
    </row>
    <row r="835">
      <c r="F835" s="7">
        <f>IF($A835="","",E835*N835/100)</f>
        <v/>
      </c>
      <c r="J835" s="7" t="n"/>
      <c r="K835" s="7">
        <f>IF($A835="","",S835*N835)</f>
        <v/>
      </c>
      <c r="L835" s="7">
        <f>IF($A835="","",N835-K835)</f>
        <v/>
      </c>
      <c r="M835" s="7">
        <f>IF($A835="","",L835-F835)</f>
        <v/>
      </c>
      <c r="N835" s="7" t="n"/>
      <c r="Q835" s="11" t="n"/>
      <c r="S835">
        <f>IF($A835="","",IF($W835=1,Settings!$C$6,Settings!$C$7)*1)</f>
        <v/>
      </c>
      <c r="U835">
        <f>IF($A835="","",IF(COUNTIF($A$2:$A835,$A835)=1,1,0))</f>
        <v/>
      </c>
      <c r="V835">
        <f>IF($U835=1,SUMPRODUCT(--($X$2:$X$1001&lt;$X835))+1,"")</f>
        <v/>
      </c>
      <c r="W835">
        <f>IF($A835="","",IF(OR($T835=TRUE(),$T835="TRUE"),1,0))</f>
        <v/>
      </c>
      <c r="X835">
        <f>IF($U835=1,IFERROR(IF(VALUE($A835)&lt;100000000,VALUE($A835),1000000000),IFERROR(IF(VALUE(MID($A835,2,20))&lt;100000000,VALUE(MID($A835,2,20)),1000000000),1000000000))+ROW()/100000,"")</f>
        <v/>
      </c>
    </row>
    <row r="836">
      <c r="F836" s="7">
        <f>IF($A836="","",E836*N836/100)</f>
        <v/>
      </c>
      <c r="J836" s="7" t="n"/>
      <c r="K836" s="7">
        <f>IF($A836="","",S836*N836)</f>
        <v/>
      </c>
      <c r="L836" s="7">
        <f>IF($A836="","",N836-K836)</f>
        <v/>
      </c>
      <c r="M836" s="7">
        <f>IF($A836="","",L836-F836)</f>
        <v/>
      </c>
      <c r="N836" s="7" t="n"/>
      <c r="Q836" s="11" t="n"/>
      <c r="S836">
        <f>IF($A836="","",IF($W836=1,Settings!$C$6,Settings!$C$7)*1)</f>
        <v/>
      </c>
      <c r="U836">
        <f>IF($A836="","",IF(COUNTIF($A$2:$A836,$A836)=1,1,0))</f>
        <v/>
      </c>
      <c r="V836">
        <f>IF($U836=1,SUMPRODUCT(--($X$2:$X$1001&lt;$X836))+1,"")</f>
        <v/>
      </c>
      <c r="W836">
        <f>IF($A836="","",IF(OR($T836=TRUE(),$T836="TRUE"),1,0))</f>
        <v/>
      </c>
      <c r="X836">
        <f>IF($U836=1,IFERROR(IF(VALUE($A836)&lt;100000000,VALUE($A836),1000000000),IFERROR(IF(VALUE(MID($A836,2,20))&lt;100000000,VALUE(MID($A836,2,20)),1000000000),1000000000))+ROW()/100000,"")</f>
        <v/>
      </c>
    </row>
    <row r="837">
      <c r="F837" s="7">
        <f>IF($A837="","",E837*N837/100)</f>
        <v/>
      </c>
      <c r="J837" s="7" t="n"/>
      <c r="K837" s="7">
        <f>IF($A837="","",S837*N837)</f>
        <v/>
      </c>
      <c r="L837" s="7">
        <f>IF($A837="","",N837-K837)</f>
        <v/>
      </c>
      <c r="M837" s="7">
        <f>IF($A837="","",L837-F837)</f>
        <v/>
      </c>
      <c r="N837" s="7" t="n"/>
      <c r="Q837" s="11" t="n"/>
      <c r="S837">
        <f>IF($A837="","",IF($W837=1,Settings!$C$6,Settings!$C$7)*1)</f>
        <v/>
      </c>
      <c r="U837">
        <f>IF($A837="","",IF(COUNTIF($A$2:$A837,$A837)=1,1,0))</f>
        <v/>
      </c>
      <c r="V837">
        <f>IF($U837=1,SUMPRODUCT(--($X$2:$X$1001&lt;$X837))+1,"")</f>
        <v/>
      </c>
      <c r="W837">
        <f>IF($A837="","",IF(OR($T837=TRUE(),$T837="TRUE"),1,0))</f>
        <v/>
      </c>
      <c r="X837">
        <f>IF($U837=1,IFERROR(IF(VALUE($A837)&lt;100000000,VALUE($A837),1000000000),IFERROR(IF(VALUE(MID($A837,2,20))&lt;100000000,VALUE(MID($A837,2,20)),1000000000),1000000000))+ROW()/100000,"")</f>
        <v/>
      </c>
    </row>
    <row r="838">
      <c r="F838" s="7">
        <f>IF($A838="","",E838*N838/100)</f>
        <v/>
      </c>
      <c r="J838" s="7" t="n"/>
      <c r="K838" s="7">
        <f>IF($A838="","",S838*N838)</f>
        <v/>
      </c>
      <c r="L838" s="7">
        <f>IF($A838="","",N838-K838)</f>
        <v/>
      </c>
      <c r="M838" s="7">
        <f>IF($A838="","",L838-F838)</f>
        <v/>
      </c>
      <c r="N838" s="7" t="n"/>
      <c r="Q838" s="11" t="n"/>
      <c r="S838">
        <f>IF($A838="","",IF($W838=1,Settings!$C$6,Settings!$C$7)*1)</f>
        <v/>
      </c>
      <c r="U838">
        <f>IF($A838="","",IF(COUNTIF($A$2:$A838,$A838)=1,1,0))</f>
        <v/>
      </c>
      <c r="V838">
        <f>IF($U838=1,SUMPRODUCT(--($X$2:$X$1001&lt;$X838))+1,"")</f>
        <v/>
      </c>
      <c r="W838">
        <f>IF($A838="","",IF(OR($T838=TRUE(),$T838="TRUE"),1,0))</f>
        <v/>
      </c>
      <c r="X838">
        <f>IF($U838=1,IFERROR(IF(VALUE($A838)&lt;100000000,VALUE($A838),1000000000),IFERROR(IF(VALUE(MID($A838,2,20))&lt;100000000,VALUE(MID($A838,2,20)),1000000000),1000000000))+ROW()/100000,"")</f>
        <v/>
      </c>
    </row>
    <row r="839">
      <c r="F839" s="7">
        <f>IF($A839="","",E839*N839/100)</f>
        <v/>
      </c>
      <c r="J839" s="7" t="n"/>
      <c r="K839" s="7">
        <f>IF($A839="","",S839*N839)</f>
        <v/>
      </c>
      <c r="L839" s="7">
        <f>IF($A839="","",N839-K839)</f>
        <v/>
      </c>
      <c r="M839" s="7">
        <f>IF($A839="","",L839-F839)</f>
        <v/>
      </c>
      <c r="N839" s="7" t="n"/>
      <c r="Q839" s="11" t="n"/>
      <c r="S839">
        <f>IF($A839="","",IF($W839=1,Settings!$C$6,Settings!$C$7)*1)</f>
        <v/>
      </c>
      <c r="U839">
        <f>IF($A839="","",IF(COUNTIF($A$2:$A839,$A839)=1,1,0))</f>
        <v/>
      </c>
      <c r="V839">
        <f>IF($U839=1,SUMPRODUCT(--($X$2:$X$1001&lt;$X839))+1,"")</f>
        <v/>
      </c>
      <c r="W839">
        <f>IF($A839="","",IF(OR($T839=TRUE(),$T839="TRUE"),1,0))</f>
        <v/>
      </c>
      <c r="X839">
        <f>IF($U839=1,IFERROR(IF(VALUE($A839)&lt;100000000,VALUE($A839),1000000000),IFERROR(IF(VALUE(MID($A839,2,20))&lt;100000000,VALUE(MID($A839,2,20)),1000000000),1000000000))+ROW()/100000,"")</f>
        <v/>
      </c>
    </row>
    <row r="840">
      <c r="F840" s="7">
        <f>IF($A840="","",E840*N840/100)</f>
        <v/>
      </c>
      <c r="J840" s="7" t="n"/>
      <c r="K840" s="7">
        <f>IF($A840="","",S840*N840)</f>
        <v/>
      </c>
      <c r="L840" s="7">
        <f>IF($A840="","",N840-K840)</f>
        <v/>
      </c>
      <c r="M840" s="7">
        <f>IF($A840="","",L840-F840)</f>
        <v/>
      </c>
      <c r="N840" s="7" t="n"/>
      <c r="Q840" s="11" t="n"/>
      <c r="S840">
        <f>IF($A840="","",IF($W840=1,Settings!$C$6,Settings!$C$7)*1)</f>
        <v/>
      </c>
      <c r="U840">
        <f>IF($A840="","",IF(COUNTIF($A$2:$A840,$A840)=1,1,0))</f>
        <v/>
      </c>
      <c r="V840">
        <f>IF($U840=1,SUMPRODUCT(--($X$2:$X$1001&lt;$X840))+1,"")</f>
        <v/>
      </c>
      <c r="W840">
        <f>IF($A840="","",IF(OR($T840=TRUE(),$T840="TRUE"),1,0))</f>
        <v/>
      </c>
      <c r="X840">
        <f>IF($U840=1,IFERROR(IF(VALUE($A840)&lt;100000000,VALUE($A840),1000000000),IFERROR(IF(VALUE(MID($A840,2,20))&lt;100000000,VALUE(MID($A840,2,20)),1000000000),1000000000))+ROW()/100000,"")</f>
        <v/>
      </c>
    </row>
    <row r="841">
      <c r="F841" s="7">
        <f>IF($A841="","",E841*N841/100)</f>
        <v/>
      </c>
      <c r="J841" s="7" t="n"/>
      <c r="K841" s="7">
        <f>IF($A841="","",S841*N841)</f>
        <v/>
      </c>
      <c r="L841" s="7">
        <f>IF($A841="","",N841-K841)</f>
        <v/>
      </c>
      <c r="M841" s="7">
        <f>IF($A841="","",L841-F841)</f>
        <v/>
      </c>
      <c r="N841" s="7" t="n"/>
      <c r="Q841" s="11" t="n"/>
      <c r="S841">
        <f>IF($A841="","",IF($W841=1,Settings!$C$6,Settings!$C$7)*1)</f>
        <v/>
      </c>
      <c r="U841">
        <f>IF($A841="","",IF(COUNTIF($A$2:$A841,$A841)=1,1,0))</f>
        <v/>
      </c>
      <c r="V841">
        <f>IF($U841=1,SUMPRODUCT(--($X$2:$X$1001&lt;$X841))+1,"")</f>
        <v/>
      </c>
      <c r="W841">
        <f>IF($A841="","",IF(OR($T841=TRUE(),$T841="TRUE"),1,0))</f>
        <v/>
      </c>
      <c r="X841">
        <f>IF($U841=1,IFERROR(IF(VALUE($A841)&lt;100000000,VALUE($A841),1000000000),IFERROR(IF(VALUE(MID($A841,2,20))&lt;100000000,VALUE(MID($A841,2,20)),1000000000),1000000000))+ROW()/100000,"")</f>
        <v/>
      </c>
    </row>
    <row r="842">
      <c r="F842" s="7">
        <f>IF($A842="","",E842*N842/100)</f>
        <v/>
      </c>
      <c r="J842" s="7" t="n"/>
      <c r="K842" s="7">
        <f>IF($A842="","",S842*N842)</f>
        <v/>
      </c>
      <c r="L842" s="7">
        <f>IF($A842="","",N842-K842)</f>
        <v/>
      </c>
      <c r="M842" s="7">
        <f>IF($A842="","",L842-F842)</f>
        <v/>
      </c>
      <c r="N842" s="7" t="n"/>
      <c r="Q842" s="11" t="n"/>
      <c r="S842">
        <f>IF($A842="","",IF($W842=1,Settings!$C$6,Settings!$C$7)*1)</f>
        <v/>
      </c>
      <c r="U842">
        <f>IF($A842="","",IF(COUNTIF($A$2:$A842,$A842)=1,1,0))</f>
        <v/>
      </c>
      <c r="V842">
        <f>IF($U842=1,SUMPRODUCT(--($X$2:$X$1001&lt;$X842))+1,"")</f>
        <v/>
      </c>
      <c r="W842">
        <f>IF($A842="","",IF(OR($T842=TRUE(),$T842="TRUE"),1,0))</f>
        <v/>
      </c>
      <c r="X842">
        <f>IF($U842=1,IFERROR(IF(VALUE($A842)&lt;100000000,VALUE($A842),1000000000),IFERROR(IF(VALUE(MID($A842,2,20))&lt;100000000,VALUE(MID($A842,2,20)),1000000000),1000000000))+ROW()/100000,"")</f>
        <v/>
      </c>
    </row>
    <row r="843">
      <c r="F843" s="7">
        <f>IF($A843="","",E843*N843/100)</f>
        <v/>
      </c>
      <c r="J843" s="7" t="n"/>
      <c r="K843" s="7">
        <f>IF($A843="","",S843*N843)</f>
        <v/>
      </c>
      <c r="L843" s="7">
        <f>IF($A843="","",N843-K843)</f>
        <v/>
      </c>
      <c r="M843" s="7">
        <f>IF($A843="","",L843-F843)</f>
        <v/>
      </c>
      <c r="N843" s="7" t="n"/>
      <c r="Q843" s="11" t="n"/>
      <c r="S843">
        <f>IF($A843="","",IF($W843=1,Settings!$C$6,Settings!$C$7)*1)</f>
        <v/>
      </c>
      <c r="U843">
        <f>IF($A843="","",IF(COUNTIF($A$2:$A843,$A843)=1,1,0))</f>
        <v/>
      </c>
      <c r="V843">
        <f>IF($U843=1,SUMPRODUCT(--($X$2:$X$1001&lt;$X843))+1,"")</f>
        <v/>
      </c>
      <c r="W843">
        <f>IF($A843="","",IF(OR($T843=TRUE(),$T843="TRUE"),1,0))</f>
        <v/>
      </c>
      <c r="X843">
        <f>IF($U843=1,IFERROR(IF(VALUE($A843)&lt;100000000,VALUE($A843),1000000000),IFERROR(IF(VALUE(MID($A843,2,20))&lt;100000000,VALUE(MID($A843,2,20)),1000000000),1000000000))+ROW()/100000,"")</f>
        <v/>
      </c>
    </row>
    <row r="844">
      <c r="F844" s="7">
        <f>IF($A844="","",E844*N844/100)</f>
        <v/>
      </c>
      <c r="J844" s="7" t="n"/>
      <c r="K844" s="7">
        <f>IF($A844="","",S844*N844)</f>
        <v/>
      </c>
      <c r="L844" s="7">
        <f>IF($A844="","",N844-K844)</f>
        <v/>
      </c>
      <c r="M844" s="7">
        <f>IF($A844="","",L844-F844)</f>
        <v/>
      </c>
      <c r="N844" s="7" t="n"/>
      <c r="Q844" s="11" t="n"/>
      <c r="S844">
        <f>IF($A844="","",IF($W844=1,Settings!$C$6,Settings!$C$7)*1)</f>
        <v/>
      </c>
      <c r="U844">
        <f>IF($A844="","",IF(COUNTIF($A$2:$A844,$A844)=1,1,0))</f>
        <v/>
      </c>
      <c r="V844">
        <f>IF($U844=1,SUMPRODUCT(--($X$2:$X$1001&lt;$X844))+1,"")</f>
        <v/>
      </c>
      <c r="W844">
        <f>IF($A844="","",IF(OR($T844=TRUE(),$T844="TRUE"),1,0))</f>
        <v/>
      </c>
      <c r="X844">
        <f>IF($U844=1,IFERROR(IF(VALUE($A844)&lt;100000000,VALUE($A844),1000000000),IFERROR(IF(VALUE(MID($A844,2,20))&lt;100000000,VALUE(MID($A844,2,20)),1000000000),1000000000))+ROW()/100000,"")</f>
        <v/>
      </c>
    </row>
    <row r="845">
      <c r="F845" s="7">
        <f>IF($A845="","",E845*N845/100)</f>
        <v/>
      </c>
      <c r="J845" s="7" t="n"/>
      <c r="K845" s="7">
        <f>IF($A845="","",S845*N845)</f>
        <v/>
      </c>
      <c r="L845" s="7">
        <f>IF($A845="","",N845-K845)</f>
        <v/>
      </c>
      <c r="M845" s="7">
        <f>IF($A845="","",L845-F845)</f>
        <v/>
      </c>
      <c r="N845" s="7" t="n"/>
      <c r="Q845" s="11" t="n"/>
      <c r="S845">
        <f>IF($A845="","",IF($W845=1,Settings!$C$6,Settings!$C$7)*1)</f>
        <v/>
      </c>
      <c r="U845">
        <f>IF($A845="","",IF(COUNTIF($A$2:$A845,$A845)=1,1,0))</f>
        <v/>
      </c>
      <c r="V845">
        <f>IF($U845=1,SUMPRODUCT(--($X$2:$X$1001&lt;$X845))+1,"")</f>
        <v/>
      </c>
      <c r="W845">
        <f>IF($A845="","",IF(OR($T845=TRUE(),$T845="TRUE"),1,0))</f>
        <v/>
      </c>
      <c r="X845">
        <f>IF($U845=1,IFERROR(IF(VALUE($A845)&lt;100000000,VALUE($A845),1000000000),IFERROR(IF(VALUE(MID($A845,2,20))&lt;100000000,VALUE(MID($A845,2,20)),1000000000),1000000000))+ROW()/100000,"")</f>
        <v/>
      </c>
    </row>
    <row r="846">
      <c r="F846" s="7">
        <f>IF($A846="","",E846*N846/100)</f>
        <v/>
      </c>
      <c r="J846" s="7" t="n"/>
      <c r="K846" s="7">
        <f>IF($A846="","",S846*N846)</f>
        <v/>
      </c>
      <c r="L846" s="7">
        <f>IF($A846="","",N846-K846)</f>
        <v/>
      </c>
      <c r="M846" s="7">
        <f>IF($A846="","",L846-F846)</f>
        <v/>
      </c>
      <c r="N846" s="7" t="n"/>
      <c r="Q846" s="11" t="n"/>
      <c r="S846">
        <f>IF($A846="","",IF($W846=1,Settings!$C$6,Settings!$C$7)*1)</f>
        <v/>
      </c>
      <c r="U846">
        <f>IF($A846="","",IF(COUNTIF($A$2:$A846,$A846)=1,1,0))</f>
        <v/>
      </c>
      <c r="V846">
        <f>IF($U846=1,SUMPRODUCT(--($X$2:$X$1001&lt;$X846))+1,"")</f>
        <v/>
      </c>
      <c r="W846">
        <f>IF($A846="","",IF(OR($T846=TRUE(),$T846="TRUE"),1,0))</f>
        <v/>
      </c>
      <c r="X846">
        <f>IF($U846=1,IFERROR(IF(VALUE($A846)&lt;100000000,VALUE($A846),1000000000),IFERROR(IF(VALUE(MID($A846,2,20))&lt;100000000,VALUE(MID($A846,2,20)),1000000000),1000000000))+ROW()/100000,"")</f>
        <v/>
      </c>
    </row>
    <row r="847">
      <c r="F847" s="7">
        <f>IF($A847="","",E847*N847/100)</f>
        <v/>
      </c>
      <c r="J847" s="7" t="n"/>
      <c r="K847" s="7">
        <f>IF($A847="","",S847*N847)</f>
        <v/>
      </c>
      <c r="L847" s="7">
        <f>IF($A847="","",N847-K847)</f>
        <v/>
      </c>
      <c r="M847" s="7">
        <f>IF($A847="","",L847-F847)</f>
        <v/>
      </c>
      <c r="N847" s="7" t="n"/>
      <c r="Q847" s="11" t="n"/>
      <c r="S847">
        <f>IF($A847="","",IF($W847=1,Settings!$C$6,Settings!$C$7)*1)</f>
        <v/>
      </c>
      <c r="U847">
        <f>IF($A847="","",IF(COUNTIF($A$2:$A847,$A847)=1,1,0))</f>
        <v/>
      </c>
      <c r="V847">
        <f>IF($U847=1,SUMPRODUCT(--($X$2:$X$1001&lt;$X847))+1,"")</f>
        <v/>
      </c>
      <c r="W847">
        <f>IF($A847="","",IF(OR($T847=TRUE(),$T847="TRUE"),1,0))</f>
        <v/>
      </c>
      <c r="X847">
        <f>IF($U847=1,IFERROR(IF(VALUE($A847)&lt;100000000,VALUE($A847),1000000000),IFERROR(IF(VALUE(MID($A847,2,20))&lt;100000000,VALUE(MID($A847,2,20)),1000000000),1000000000))+ROW()/100000,"")</f>
        <v/>
      </c>
    </row>
    <row r="848">
      <c r="F848" s="7">
        <f>IF($A848="","",E848*N848/100)</f>
        <v/>
      </c>
      <c r="J848" s="7" t="n"/>
      <c r="K848" s="7">
        <f>IF($A848="","",S848*N848)</f>
        <v/>
      </c>
      <c r="L848" s="7">
        <f>IF($A848="","",N848-K848)</f>
        <v/>
      </c>
      <c r="M848" s="7">
        <f>IF($A848="","",L848-F848)</f>
        <v/>
      </c>
      <c r="N848" s="7" t="n"/>
      <c r="Q848" s="11" t="n"/>
      <c r="S848">
        <f>IF($A848="","",IF($W848=1,Settings!$C$6,Settings!$C$7)*1)</f>
        <v/>
      </c>
      <c r="U848">
        <f>IF($A848="","",IF(COUNTIF($A$2:$A848,$A848)=1,1,0))</f>
        <v/>
      </c>
      <c r="V848">
        <f>IF($U848=1,SUMPRODUCT(--($X$2:$X$1001&lt;$X848))+1,"")</f>
        <v/>
      </c>
      <c r="W848">
        <f>IF($A848="","",IF(OR($T848=TRUE(),$T848="TRUE"),1,0))</f>
        <v/>
      </c>
      <c r="X848">
        <f>IF($U848=1,IFERROR(IF(VALUE($A848)&lt;100000000,VALUE($A848),1000000000),IFERROR(IF(VALUE(MID($A848,2,20))&lt;100000000,VALUE(MID($A848,2,20)),1000000000),1000000000))+ROW()/100000,"")</f>
        <v/>
      </c>
    </row>
    <row r="849">
      <c r="F849" s="7">
        <f>IF($A849="","",E849*N849/100)</f>
        <v/>
      </c>
      <c r="J849" s="7" t="n"/>
      <c r="K849" s="7">
        <f>IF($A849="","",S849*N849)</f>
        <v/>
      </c>
      <c r="L849" s="7">
        <f>IF($A849="","",N849-K849)</f>
        <v/>
      </c>
      <c r="M849" s="7">
        <f>IF($A849="","",L849-F849)</f>
        <v/>
      </c>
      <c r="N849" s="7" t="n"/>
      <c r="Q849" s="11" t="n"/>
      <c r="S849">
        <f>IF($A849="","",IF($W849=1,Settings!$C$6,Settings!$C$7)*1)</f>
        <v/>
      </c>
      <c r="U849">
        <f>IF($A849="","",IF(COUNTIF($A$2:$A849,$A849)=1,1,0))</f>
        <v/>
      </c>
      <c r="V849">
        <f>IF($U849=1,SUMPRODUCT(--($X$2:$X$1001&lt;$X849))+1,"")</f>
        <v/>
      </c>
      <c r="W849">
        <f>IF($A849="","",IF(OR($T849=TRUE(),$T849="TRUE"),1,0))</f>
        <v/>
      </c>
      <c r="X849">
        <f>IF($U849=1,IFERROR(IF(VALUE($A849)&lt;100000000,VALUE($A849),1000000000),IFERROR(IF(VALUE(MID($A849,2,20))&lt;100000000,VALUE(MID($A849,2,20)),1000000000),1000000000))+ROW()/100000,"")</f>
        <v/>
      </c>
    </row>
    <row r="850">
      <c r="F850" s="7">
        <f>IF($A850="","",E850*N850/100)</f>
        <v/>
      </c>
      <c r="J850" s="7" t="n"/>
      <c r="K850" s="7">
        <f>IF($A850="","",S850*N850)</f>
        <v/>
      </c>
      <c r="L850" s="7">
        <f>IF($A850="","",N850-K850)</f>
        <v/>
      </c>
      <c r="M850" s="7">
        <f>IF($A850="","",L850-F850)</f>
        <v/>
      </c>
      <c r="N850" s="7" t="n"/>
      <c r="Q850" s="11" t="n"/>
      <c r="S850">
        <f>IF($A850="","",IF($W850=1,Settings!$C$6,Settings!$C$7)*1)</f>
        <v/>
      </c>
      <c r="U850">
        <f>IF($A850="","",IF(COUNTIF($A$2:$A850,$A850)=1,1,0))</f>
        <v/>
      </c>
      <c r="V850">
        <f>IF($U850=1,SUMPRODUCT(--($X$2:$X$1001&lt;$X850))+1,"")</f>
        <v/>
      </c>
      <c r="W850">
        <f>IF($A850="","",IF(OR($T850=TRUE(),$T850="TRUE"),1,0))</f>
        <v/>
      </c>
      <c r="X850">
        <f>IF($U850=1,IFERROR(IF(VALUE($A850)&lt;100000000,VALUE($A850),1000000000),IFERROR(IF(VALUE(MID($A850,2,20))&lt;100000000,VALUE(MID($A850,2,20)),1000000000),1000000000))+ROW()/100000,"")</f>
        <v/>
      </c>
    </row>
    <row r="851">
      <c r="F851" s="7">
        <f>IF($A851="","",E851*N851/100)</f>
        <v/>
      </c>
      <c r="J851" s="7" t="n"/>
      <c r="K851" s="7">
        <f>IF($A851="","",S851*N851)</f>
        <v/>
      </c>
      <c r="L851" s="7">
        <f>IF($A851="","",N851-K851)</f>
        <v/>
      </c>
      <c r="M851" s="7">
        <f>IF($A851="","",L851-F851)</f>
        <v/>
      </c>
      <c r="N851" s="7" t="n"/>
      <c r="Q851" s="11" t="n"/>
      <c r="S851">
        <f>IF($A851="","",IF($W851=1,Settings!$C$6,Settings!$C$7)*1)</f>
        <v/>
      </c>
      <c r="U851">
        <f>IF($A851="","",IF(COUNTIF($A$2:$A851,$A851)=1,1,0))</f>
        <v/>
      </c>
      <c r="V851">
        <f>IF($U851=1,SUMPRODUCT(--($X$2:$X$1001&lt;$X851))+1,"")</f>
        <v/>
      </c>
      <c r="W851">
        <f>IF($A851="","",IF(OR($T851=TRUE(),$T851="TRUE"),1,0))</f>
        <v/>
      </c>
      <c r="X851">
        <f>IF($U851=1,IFERROR(IF(VALUE($A851)&lt;100000000,VALUE($A851),1000000000),IFERROR(IF(VALUE(MID($A851,2,20))&lt;100000000,VALUE(MID($A851,2,20)),1000000000),1000000000))+ROW()/100000,"")</f>
        <v/>
      </c>
    </row>
    <row r="852">
      <c r="F852" s="7">
        <f>IF($A852="","",E852*N852/100)</f>
        <v/>
      </c>
      <c r="J852" s="7" t="n"/>
      <c r="K852" s="7">
        <f>IF($A852="","",S852*N852)</f>
        <v/>
      </c>
      <c r="L852" s="7">
        <f>IF($A852="","",N852-K852)</f>
        <v/>
      </c>
      <c r="M852" s="7">
        <f>IF($A852="","",L852-F852)</f>
        <v/>
      </c>
      <c r="N852" s="7" t="n"/>
      <c r="Q852" s="11" t="n"/>
      <c r="S852">
        <f>IF($A852="","",IF($W852=1,Settings!$C$6,Settings!$C$7)*1)</f>
        <v/>
      </c>
      <c r="U852">
        <f>IF($A852="","",IF(COUNTIF($A$2:$A852,$A852)=1,1,0))</f>
        <v/>
      </c>
      <c r="V852">
        <f>IF($U852=1,SUMPRODUCT(--($X$2:$X$1001&lt;$X852))+1,"")</f>
        <v/>
      </c>
      <c r="W852">
        <f>IF($A852="","",IF(OR($T852=TRUE(),$T852="TRUE"),1,0))</f>
        <v/>
      </c>
      <c r="X852">
        <f>IF($U852=1,IFERROR(IF(VALUE($A852)&lt;100000000,VALUE($A852),1000000000),IFERROR(IF(VALUE(MID($A852,2,20))&lt;100000000,VALUE(MID($A852,2,20)),1000000000),1000000000))+ROW()/100000,"")</f>
        <v/>
      </c>
    </row>
    <row r="853">
      <c r="F853" s="7">
        <f>IF($A853="","",E853*N853/100)</f>
        <v/>
      </c>
      <c r="J853" s="7" t="n"/>
      <c r="K853" s="7">
        <f>IF($A853="","",S853*N853)</f>
        <v/>
      </c>
      <c r="L853" s="7">
        <f>IF($A853="","",N853-K853)</f>
        <v/>
      </c>
      <c r="M853" s="7">
        <f>IF($A853="","",L853-F853)</f>
        <v/>
      </c>
      <c r="N853" s="7" t="n"/>
      <c r="Q853" s="11" t="n"/>
      <c r="S853">
        <f>IF($A853="","",IF($W853=1,Settings!$C$6,Settings!$C$7)*1)</f>
        <v/>
      </c>
      <c r="U853">
        <f>IF($A853="","",IF(COUNTIF($A$2:$A853,$A853)=1,1,0))</f>
        <v/>
      </c>
      <c r="V853">
        <f>IF($U853=1,SUMPRODUCT(--($X$2:$X$1001&lt;$X853))+1,"")</f>
        <v/>
      </c>
      <c r="W853">
        <f>IF($A853="","",IF(OR($T853=TRUE(),$T853="TRUE"),1,0))</f>
        <v/>
      </c>
      <c r="X853">
        <f>IF($U853=1,IFERROR(IF(VALUE($A853)&lt;100000000,VALUE($A853),1000000000),IFERROR(IF(VALUE(MID($A853,2,20))&lt;100000000,VALUE(MID($A853,2,20)),1000000000),1000000000))+ROW()/100000,"")</f>
        <v/>
      </c>
    </row>
    <row r="854">
      <c r="F854" s="7">
        <f>IF($A854="","",E854*N854/100)</f>
        <v/>
      </c>
      <c r="J854" s="7" t="n"/>
      <c r="K854" s="7">
        <f>IF($A854="","",S854*N854)</f>
        <v/>
      </c>
      <c r="L854" s="7">
        <f>IF($A854="","",N854-K854)</f>
        <v/>
      </c>
      <c r="M854" s="7">
        <f>IF($A854="","",L854-F854)</f>
        <v/>
      </c>
      <c r="N854" s="7" t="n"/>
      <c r="Q854" s="11" t="n"/>
      <c r="S854">
        <f>IF($A854="","",IF($W854=1,Settings!$C$6,Settings!$C$7)*1)</f>
        <v/>
      </c>
      <c r="U854">
        <f>IF($A854="","",IF(COUNTIF($A$2:$A854,$A854)=1,1,0))</f>
        <v/>
      </c>
      <c r="V854">
        <f>IF($U854=1,SUMPRODUCT(--($X$2:$X$1001&lt;$X854))+1,"")</f>
        <v/>
      </c>
      <c r="W854">
        <f>IF($A854="","",IF(OR($T854=TRUE(),$T854="TRUE"),1,0))</f>
        <v/>
      </c>
      <c r="X854">
        <f>IF($U854=1,IFERROR(IF(VALUE($A854)&lt;100000000,VALUE($A854),1000000000),IFERROR(IF(VALUE(MID($A854,2,20))&lt;100000000,VALUE(MID($A854,2,20)),1000000000),1000000000))+ROW()/100000,"")</f>
        <v/>
      </c>
    </row>
    <row r="855">
      <c r="F855" s="7">
        <f>IF($A855="","",E855*N855/100)</f>
        <v/>
      </c>
      <c r="J855" s="7" t="n"/>
      <c r="K855" s="7">
        <f>IF($A855="","",S855*N855)</f>
        <v/>
      </c>
      <c r="L855" s="7">
        <f>IF($A855="","",N855-K855)</f>
        <v/>
      </c>
      <c r="M855" s="7">
        <f>IF($A855="","",L855-F855)</f>
        <v/>
      </c>
      <c r="N855" s="7" t="n"/>
      <c r="Q855" s="11" t="n"/>
      <c r="S855">
        <f>IF($A855="","",IF($W855=1,Settings!$C$6,Settings!$C$7)*1)</f>
        <v/>
      </c>
      <c r="U855">
        <f>IF($A855="","",IF(COUNTIF($A$2:$A855,$A855)=1,1,0))</f>
        <v/>
      </c>
      <c r="V855">
        <f>IF($U855=1,SUMPRODUCT(--($X$2:$X$1001&lt;$X855))+1,"")</f>
        <v/>
      </c>
      <c r="W855">
        <f>IF($A855="","",IF(OR($T855=TRUE(),$T855="TRUE"),1,0))</f>
        <v/>
      </c>
      <c r="X855">
        <f>IF($U855=1,IFERROR(IF(VALUE($A855)&lt;100000000,VALUE($A855),1000000000),IFERROR(IF(VALUE(MID($A855,2,20))&lt;100000000,VALUE(MID($A855,2,20)),1000000000),1000000000))+ROW()/100000,"")</f>
        <v/>
      </c>
    </row>
    <row r="856">
      <c r="F856" s="7">
        <f>IF($A856="","",E856*N856/100)</f>
        <v/>
      </c>
      <c r="J856" s="7" t="n"/>
      <c r="K856" s="7">
        <f>IF($A856="","",S856*N856)</f>
        <v/>
      </c>
      <c r="L856" s="7">
        <f>IF($A856="","",N856-K856)</f>
        <v/>
      </c>
      <c r="M856" s="7">
        <f>IF($A856="","",L856-F856)</f>
        <v/>
      </c>
      <c r="N856" s="7" t="n"/>
      <c r="Q856" s="11" t="n"/>
      <c r="S856">
        <f>IF($A856="","",IF($W856=1,Settings!$C$6,Settings!$C$7)*1)</f>
        <v/>
      </c>
      <c r="U856">
        <f>IF($A856="","",IF(COUNTIF($A$2:$A856,$A856)=1,1,0))</f>
        <v/>
      </c>
      <c r="V856">
        <f>IF($U856=1,SUMPRODUCT(--($X$2:$X$1001&lt;$X856))+1,"")</f>
        <v/>
      </c>
      <c r="W856">
        <f>IF($A856="","",IF(OR($T856=TRUE(),$T856="TRUE"),1,0))</f>
        <v/>
      </c>
      <c r="X856">
        <f>IF($U856=1,IFERROR(IF(VALUE($A856)&lt;100000000,VALUE($A856),1000000000),IFERROR(IF(VALUE(MID($A856,2,20))&lt;100000000,VALUE(MID($A856,2,20)),1000000000),1000000000))+ROW()/100000,"")</f>
        <v/>
      </c>
    </row>
    <row r="857">
      <c r="F857" s="7">
        <f>IF($A857="","",E857*N857/100)</f>
        <v/>
      </c>
      <c r="J857" s="7" t="n"/>
      <c r="K857" s="7">
        <f>IF($A857="","",S857*N857)</f>
        <v/>
      </c>
      <c r="L857" s="7">
        <f>IF($A857="","",N857-K857)</f>
        <v/>
      </c>
      <c r="M857" s="7">
        <f>IF($A857="","",L857-F857)</f>
        <v/>
      </c>
      <c r="N857" s="7" t="n"/>
      <c r="Q857" s="11" t="n"/>
      <c r="S857">
        <f>IF($A857="","",IF($W857=1,Settings!$C$6,Settings!$C$7)*1)</f>
        <v/>
      </c>
      <c r="U857">
        <f>IF($A857="","",IF(COUNTIF($A$2:$A857,$A857)=1,1,0))</f>
        <v/>
      </c>
      <c r="V857">
        <f>IF($U857=1,SUMPRODUCT(--($X$2:$X$1001&lt;$X857))+1,"")</f>
        <v/>
      </c>
      <c r="W857">
        <f>IF($A857="","",IF(OR($T857=TRUE(),$T857="TRUE"),1,0))</f>
        <v/>
      </c>
      <c r="X857">
        <f>IF($U857=1,IFERROR(IF(VALUE($A857)&lt;100000000,VALUE($A857),1000000000),IFERROR(IF(VALUE(MID($A857,2,20))&lt;100000000,VALUE(MID($A857,2,20)),1000000000),1000000000))+ROW()/100000,"")</f>
        <v/>
      </c>
    </row>
    <row r="858">
      <c r="F858" s="7">
        <f>IF($A858="","",E858*N858/100)</f>
        <v/>
      </c>
      <c r="J858" s="7" t="n"/>
      <c r="K858" s="7">
        <f>IF($A858="","",S858*N858)</f>
        <v/>
      </c>
      <c r="L858" s="7">
        <f>IF($A858="","",N858-K858)</f>
        <v/>
      </c>
      <c r="M858" s="7">
        <f>IF($A858="","",L858-F858)</f>
        <v/>
      </c>
      <c r="N858" s="7" t="n"/>
      <c r="Q858" s="11" t="n"/>
      <c r="S858">
        <f>IF($A858="","",IF($W858=1,Settings!$C$6,Settings!$C$7)*1)</f>
        <v/>
      </c>
      <c r="U858">
        <f>IF($A858="","",IF(COUNTIF($A$2:$A858,$A858)=1,1,0))</f>
        <v/>
      </c>
      <c r="V858">
        <f>IF($U858=1,SUMPRODUCT(--($X$2:$X$1001&lt;$X858))+1,"")</f>
        <v/>
      </c>
      <c r="W858">
        <f>IF($A858="","",IF(OR($T858=TRUE(),$T858="TRUE"),1,0))</f>
        <v/>
      </c>
      <c r="X858">
        <f>IF($U858=1,IFERROR(IF(VALUE($A858)&lt;100000000,VALUE($A858),1000000000),IFERROR(IF(VALUE(MID($A858,2,20))&lt;100000000,VALUE(MID($A858,2,20)),1000000000),1000000000))+ROW()/100000,"")</f>
        <v/>
      </c>
    </row>
    <row r="859">
      <c r="F859" s="7">
        <f>IF($A859="","",E859*N859/100)</f>
        <v/>
      </c>
      <c r="J859" s="7" t="n"/>
      <c r="K859" s="7">
        <f>IF($A859="","",S859*N859)</f>
        <v/>
      </c>
      <c r="L859" s="7">
        <f>IF($A859="","",N859-K859)</f>
        <v/>
      </c>
      <c r="M859" s="7">
        <f>IF($A859="","",L859-F859)</f>
        <v/>
      </c>
      <c r="N859" s="7" t="n"/>
      <c r="Q859" s="11" t="n"/>
      <c r="S859">
        <f>IF($A859="","",IF($W859=1,Settings!$C$6,Settings!$C$7)*1)</f>
        <v/>
      </c>
      <c r="U859">
        <f>IF($A859="","",IF(COUNTIF($A$2:$A859,$A859)=1,1,0))</f>
        <v/>
      </c>
      <c r="V859">
        <f>IF($U859=1,SUMPRODUCT(--($X$2:$X$1001&lt;$X859))+1,"")</f>
        <v/>
      </c>
      <c r="W859">
        <f>IF($A859="","",IF(OR($T859=TRUE(),$T859="TRUE"),1,0))</f>
        <v/>
      </c>
      <c r="X859">
        <f>IF($U859=1,IFERROR(IF(VALUE($A859)&lt;100000000,VALUE($A859),1000000000),IFERROR(IF(VALUE(MID($A859,2,20))&lt;100000000,VALUE(MID($A859,2,20)),1000000000),1000000000))+ROW()/100000,"")</f>
        <v/>
      </c>
    </row>
    <row r="860">
      <c r="F860" s="7">
        <f>IF($A860="","",E860*N860/100)</f>
        <v/>
      </c>
      <c r="J860" s="7" t="n"/>
      <c r="K860" s="7">
        <f>IF($A860="","",S860*N860)</f>
        <v/>
      </c>
      <c r="L860" s="7">
        <f>IF($A860="","",N860-K860)</f>
        <v/>
      </c>
      <c r="M860" s="7">
        <f>IF($A860="","",L860-F860)</f>
        <v/>
      </c>
      <c r="N860" s="7" t="n"/>
      <c r="Q860" s="11" t="n"/>
      <c r="S860">
        <f>IF($A860="","",IF($W860=1,Settings!$C$6,Settings!$C$7)*1)</f>
        <v/>
      </c>
      <c r="U860">
        <f>IF($A860="","",IF(COUNTIF($A$2:$A860,$A860)=1,1,0))</f>
        <v/>
      </c>
      <c r="V860">
        <f>IF($U860=1,SUMPRODUCT(--($X$2:$X$1001&lt;$X860))+1,"")</f>
        <v/>
      </c>
      <c r="W860">
        <f>IF($A860="","",IF(OR($T860=TRUE(),$T860="TRUE"),1,0))</f>
        <v/>
      </c>
      <c r="X860">
        <f>IF($U860=1,IFERROR(IF(VALUE($A860)&lt;100000000,VALUE($A860),1000000000),IFERROR(IF(VALUE(MID($A860,2,20))&lt;100000000,VALUE(MID($A860,2,20)),1000000000),1000000000))+ROW()/100000,"")</f>
        <v/>
      </c>
    </row>
    <row r="861">
      <c r="F861" s="7">
        <f>IF($A861="","",E861*N861/100)</f>
        <v/>
      </c>
      <c r="J861" s="7" t="n"/>
      <c r="K861" s="7">
        <f>IF($A861="","",S861*N861)</f>
        <v/>
      </c>
      <c r="L861" s="7">
        <f>IF($A861="","",N861-K861)</f>
        <v/>
      </c>
      <c r="M861" s="7">
        <f>IF($A861="","",L861-F861)</f>
        <v/>
      </c>
      <c r="N861" s="7" t="n"/>
      <c r="Q861" s="11" t="n"/>
      <c r="S861">
        <f>IF($A861="","",IF($W861=1,Settings!$C$6,Settings!$C$7)*1)</f>
        <v/>
      </c>
      <c r="U861">
        <f>IF($A861="","",IF(COUNTIF($A$2:$A861,$A861)=1,1,0))</f>
        <v/>
      </c>
      <c r="V861">
        <f>IF($U861=1,SUMPRODUCT(--($X$2:$X$1001&lt;$X861))+1,"")</f>
        <v/>
      </c>
      <c r="W861">
        <f>IF($A861="","",IF(OR($T861=TRUE(),$T861="TRUE"),1,0))</f>
        <v/>
      </c>
      <c r="X861">
        <f>IF($U861=1,IFERROR(IF(VALUE($A861)&lt;100000000,VALUE($A861),1000000000),IFERROR(IF(VALUE(MID($A861,2,20))&lt;100000000,VALUE(MID($A861,2,20)),1000000000),1000000000))+ROW()/100000,"")</f>
        <v/>
      </c>
    </row>
    <row r="862">
      <c r="F862" s="7">
        <f>IF($A862="","",E862*N862/100)</f>
        <v/>
      </c>
      <c r="J862" s="7" t="n"/>
      <c r="K862" s="7">
        <f>IF($A862="","",S862*N862)</f>
        <v/>
      </c>
      <c r="L862" s="7">
        <f>IF($A862="","",N862-K862)</f>
        <v/>
      </c>
      <c r="M862" s="7">
        <f>IF($A862="","",L862-F862)</f>
        <v/>
      </c>
      <c r="N862" s="7" t="n"/>
      <c r="Q862" s="11" t="n"/>
      <c r="S862">
        <f>IF($A862="","",IF($W862=1,Settings!$C$6,Settings!$C$7)*1)</f>
        <v/>
      </c>
      <c r="U862">
        <f>IF($A862="","",IF(COUNTIF($A$2:$A862,$A862)=1,1,0))</f>
        <v/>
      </c>
      <c r="V862">
        <f>IF($U862=1,SUMPRODUCT(--($X$2:$X$1001&lt;$X862))+1,"")</f>
        <v/>
      </c>
      <c r="W862">
        <f>IF($A862="","",IF(OR($T862=TRUE(),$T862="TRUE"),1,0))</f>
        <v/>
      </c>
      <c r="X862">
        <f>IF($U862=1,IFERROR(IF(VALUE($A862)&lt;100000000,VALUE($A862),1000000000),IFERROR(IF(VALUE(MID($A862,2,20))&lt;100000000,VALUE(MID($A862,2,20)),1000000000),1000000000))+ROW()/100000,"")</f>
        <v/>
      </c>
    </row>
    <row r="863">
      <c r="F863" s="7">
        <f>IF($A863="","",E863*N863/100)</f>
        <v/>
      </c>
      <c r="J863" s="7" t="n"/>
      <c r="K863" s="7">
        <f>IF($A863="","",S863*N863)</f>
        <v/>
      </c>
      <c r="L863" s="7">
        <f>IF($A863="","",N863-K863)</f>
        <v/>
      </c>
      <c r="M863" s="7">
        <f>IF($A863="","",L863-F863)</f>
        <v/>
      </c>
      <c r="N863" s="7" t="n"/>
      <c r="Q863" s="11" t="n"/>
      <c r="S863">
        <f>IF($A863="","",IF($W863=1,Settings!$C$6,Settings!$C$7)*1)</f>
        <v/>
      </c>
      <c r="U863">
        <f>IF($A863="","",IF(COUNTIF($A$2:$A863,$A863)=1,1,0))</f>
        <v/>
      </c>
      <c r="V863">
        <f>IF($U863=1,SUMPRODUCT(--($X$2:$X$1001&lt;$X863))+1,"")</f>
        <v/>
      </c>
      <c r="W863">
        <f>IF($A863="","",IF(OR($T863=TRUE(),$T863="TRUE"),1,0))</f>
        <v/>
      </c>
      <c r="X863">
        <f>IF($U863=1,IFERROR(IF(VALUE($A863)&lt;100000000,VALUE($A863),1000000000),IFERROR(IF(VALUE(MID($A863,2,20))&lt;100000000,VALUE(MID($A863,2,20)),1000000000),1000000000))+ROW()/100000,"")</f>
        <v/>
      </c>
    </row>
    <row r="864">
      <c r="F864" s="7">
        <f>IF($A864="","",E864*N864/100)</f>
        <v/>
      </c>
      <c r="J864" s="7" t="n"/>
      <c r="K864" s="7">
        <f>IF($A864="","",S864*N864)</f>
        <v/>
      </c>
      <c r="L864" s="7">
        <f>IF($A864="","",N864-K864)</f>
        <v/>
      </c>
      <c r="M864" s="7">
        <f>IF($A864="","",L864-F864)</f>
        <v/>
      </c>
      <c r="N864" s="7" t="n"/>
      <c r="Q864" s="11" t="n"/>
      <c r="S864">
        <f>IF($A864="","",IF($W864=1,Settings!$C$6,Settings!$C$7)*1)</f>
        <v/>
      </c>
      <c r="U864">
        <f>IF($A864="","",IF(COUNTIF($A$2:$A864,$A864)=1,1,0))</f>
        <v/>
      </c>
      <c r="V864">
        <f>IF($U864=1,SUMPRODUCT(--($X$2:$X$1001&lt;$X864))+1,"")</f>
        <v/>
      </c>
      <c r="W864">
        <f>IF($A864="","",IF(OR($T864=TRUE(),$T864="TRUE"),1,0))</f>
        <v/>
      </c>
      <c r="X864">
        <f>IF($U864=1,IFERROR(IF(VALUE($A864)&lt;100000000,VALUE($A864),1000000000),IFERROR(IF(VALUE(MID($A864,2,20))&lt;100000000,VALUE(MID($A864,2,20)),1000000000),1000000000))+ROW()/100000,"")</f>
        <v/>
      </c>
    </row>
    <row r="865">
      <c r="F865" s="7">
        <f>IF($A865="","",E865*N865/100)</f>
        <v/>
      </c>
      <c r="J865" s="7" t="n"/>
      <c r="K865" s="7">
        <f>IF($A865="","",S865*N865)</f>
        <v/>
      </c>
      <c r="L865" s="7">
        <f>IF($A865="","",N865-K865)</f>
        <v/>
      </c>
      <c r="M865" s="7">
        <f>IF($A865="","",L865-F865)</f>
        <v/>
      </c>
      <c r="N865" s="7" t="n"/>
      <c r="Q865" s="11" t="n"/>
      <c r="S865">
        <f>IF($A865="","",IF($W865=1,Settings!$C$6,Settings!$C$7)*1)</f>
        <v/>
      </c>
      <c r="U865">
        <f>IF($A865="","",IF(COUNTIF($A$2:$A865,$A865)=1,1,0))</f>
        <v/>
      </c>
      <c r="V865">
        <f>IF($U865=1,SUMPRODUCT(--($X$2:$X$1001&lt;$X865))+1,"")</f>
        <v/>
      </c>
      <c r="W865">
        <f>IF($A865="","",IF(OR($T865=TRUE(),$T865="TRUE"),1,0))</f>
        <v/>
      </c>
      <c r="X865">
        <f>IF($U865=1,IFERROR(IF(VALUE($A865)&lt;100000000,VALUE($A865),1000000000),IFERROR(IF(VALUE(MID($A865,2,20))&lt;100000000,VALUE(MID($A865,2,20)),1000000000),1000000000))+ROW()/100000,"")</f>
        <v/>
      </c>
    </row>
    <row r="866">
      <c r="F866" s="7">
        <f>IF($A866="","",E866*N866/100)</f>
        <v/>
      </c>
      <c r="J866" s="7" t="n"/>
      <c r="K866" s="7">
        <f>IF($A866="","",S866*N866)</f>
        <v/>
      </c>
      <c r="L866" s="7">
        <f>IF($A866="","",N866-K866)</f>
        <v/>
      </c>
      <c r="M866" s="7">
        <f>IF($A866="","",L866-F866)</f>
        <v/>
      </c>
      <c r="N866" s="7" t="n"/>
      <c r="Q866" s="11" t="n"/>
      <c r="S866">
        <f>IF($A866="","",IF($W866=1,Settings!$C$6,Settings!$C$7)*1)</f>
        <v/>
      </c>
      <c r="U866">
        <f>IF($A866="","",IF(COUNTIF($A$2:$A866,$A866)=1,1,0))</f>
        <v/>
      </c>
      <c r="V866">
        <f>IF($U866=1,SUMPRODUCT(--($X$2:$X$1001&lt;$X866))+1,"")</f>
        <v/>
      </c>
      <c r="W866">
        <f>IF($A866="","",IF(OR($T866=TRUE(),$T866="TRUE"),1,0))</f>
        <v/>
      </c>
      <c r="X866">
        <f>IF($U866=1,IFERROR(IF(VALUE($A866)&lt;100000000,VALUE($A866),1000000000),IFERROR(IF(VALUE(MID($A866,2,20))&lt;100000000,VALUE(MID($A866,2,20)),1000000000),1000000000))+ROW()/100000,"")</f>
        <v/>
      </c>
    </row>
    <row r="867">
      <c r="F867" s="7">
        <f>IF($A867="","",E867*N867/100)</f>
        <v/>
      </c>
      <c r="J867" s="7" t="n"/>
      <c r="K867" s="7">
        <f>IF($A867="","",S867*N867)</f>
        <v/>
      </c>
      <c r="L867" s="7">
        <f>IF($A867="","",N867-K867)</f>
        <v/>
      </c>
      <c r="M867" s="7">
        <f>IF($A867="","",L867-F867)</f>
        <v/>
      </c>
      <c r="N867" s="7" t="n"/>
      <c r="Q867" s="11" t="n"/>
      <c r="S867">
        <f>IF($A867="","",IF($W867=1,Settings!$C$6,Settings!$C$7)*1)</f>
        <v/>
      </c>
      <c r="U867">
        <f>IF($A867="","",IF(COUNTIF($A$2:$A867,$A867)=1,1,0))</f>
        <v/>
      </c>
      <c r="V867">
        <f>IF($U867=1,SUMPRODUCT(--($X$2:$X$1001&lt;$X867))+1,"")</f>
        <v/>
      </c>
      <c r="W867">
        <f>IF($A867="","",IF(OR($T867=TRUE(),$T867="TRUE"),1,0))</f>
        <v/>
      </c>
      <c r="X867">
        <f>IF($U867=1,IFERROR(IF(VALUE($A867)&lt;100000000,VALUE($A867),1000000000),IFERROR(IF(VALUE(MID($A867,2,20))&lt;100000000,VALUE(MID($A867,2,20)),1000000000),1000000000))+ROW()/100000,"")</f>
        <v/>
      </c>
    </row>
    <row r="868">
      <c r="F868" s="7">
        <f>IF($A868="","",E868*N868/100)</f>
        <v/>
      </c>
      <c r="J868" s="7" t="n"/>
      <c r="K868" s="7">
        <f>IF($A868="","",S868*N868)</f>
        <v/>
      </c>
      <c r="L868" s="7">
        <f>IF($A868="","",N868-K868)</f>
        <v/>
      </c>
      <c r="M868" s="7">
        <f>IF($A868="","",L868-F868)</f>
        <v/>
      </c>
      <c r="N868" s="7" t="n"/>
      <c r="Q868" s="11" t="n"/>
      <c r="S868">
        <f>IF($A868="","",IF($W868=1,Settings!$C$6,Settings!$C$7)*1)</f>
        <v/>
      </c>
      <c r="U868">
        <f>IF($A868="","",IF(COUNTIF($A$2:$A868,$A868)=1,1,0))</f>
        <v/>
      </c>
      <c r="V868">
        <f>IF($U868=1,SUMPRODUCT(--($X$2:$X$1001&lt;$X868))+1,"")</f>
        <v/>
      </c>
      <c r="W868">
        <f>IF($A868="","",IF(OR($T868=TRUE(),$T868="TRUE"),1,0))</f>
        <v/>
      </c>
      <c r="X868">
        <f>IF($U868=1,IFERROR(IF(VALUE($A868)&lt;100000000,VALUE($A868),1000000000),IFERROR(IF(VALUE(MID($A868,2,20))&lt;100000000,VALUE(MID($A868,2,20)),1000000000),1000000000))+ROW()/100000,"")</f>
        <v/>
      </c>
    </row>
    <row r="869">
      <c r="F869" s="7">
        <f>IF($A869="","",E869*N869/100)</f>
        <v/>
      </c>
      <c r="J869" s="7" t="n"/>
      <c r="K869" s="7">
        <f>IF($A869="","",S869*N869)</f>
        <v/>
      </c>
      <c r="L869" s="7">
        <f>IF($A869="","",N869-K869)</f>
        <v/>
      </c>
      <c r="M869" s="7">
        <f>IF($A869="","",L869-F869)</f>
        <v/>
      </c>
      <c r="N869" s="7" t="n"/>
      <c r="Q869" s="11" t="n"/>
      <c r="S869">
        <f>IF($A869="","",IF($W869=1,Settings!$C$6,Settings!$C$7)*1)</f>
        <v/>
      </c>
      <c r="U869">
        <f>IF($A869="","",IF(COUNTIF($A$2:$A869,$A869)=1,1,0))</f>
        <v/>
      </c>
      <c r="V869">
        <f>IF($U869=1,SUMPRODUCT(--($X$2:$X$1001&lt;$X869))+1,"")</f>
        <v/>
      </c>
      <c r="W869">
        <f>IF($A869="","",IF(OR($T869=TRUE(),$T869="TRUE"),1,0))</f>
        <v/>
      </c>
      <c r="X869">
        <f>IF($U869=1,IFERROR(IF(VALUE($A869)&lt;100000000,VALUE($A869),1000000000),IFERROR(IF(VALUE(MID($A869,2,20))&lt;100000000,VALUE(MID($A869,2,20)),1000000000),1000000000))+ROW()/100000,"")</f>
        <v/>
      </c>
    </row>
    <row r="870">
      <c r="F870" s="7">
        <f>IF($A870="","",E870*N870/100)</f>
        <v/>
      </c>
      <c r="J870" s="7" t="n"/>
      <c r="K870" s="7">
        <f>IF($A870="","",S870*N870)</f>
        <v/>
      </c>
      <c r="L870" s="7">
        <f>IF($A870="","",N870-K870)</f>
        <v/>
      </c>
      <c r="M870" s="7">
        <f>IF($A870="","",L870-F870)</f>
        <v/>
      </c>
      <c r="N870" s="7" t="n"/>
      <c r="Q870" s="11" t="n"/>
      <c r="S870">
        <f>IF($A870="","",IF($W870=1,Settings!$C$6,Settings!$C$7)*1)</f>
        <v/>
      </c>
      <c r="U870">
        <f>IF($A870="","",IF(COUNTIF($A$2:$A870,$A870)=1,1,0))</f>
        <v/>
      </c>
      <c r="V870">
        <f>IF($U870=1,SUMPRODUCT(--($X$2:$X$1001&lt;$X870))+1,"")</f>
        <v/>
      </c>
      <c r="W870">
        <f>IF($A870="","",IF(OR($T870=TRUE(),$T870="TRUE"),1,0))</f>
        <v/>
      </c>
      <c r="X870">
        <f>IF($U870=1,IFERROR(IF(VALUE($A870)&lt;100000000,VALUE($A870),1000000000),IFERROR(IF(VALUE(MID($A870,2,20))&lt;100000000,VALUE(MID($A870,2,20)),1000000000),1000000000))+ROW()/100000,"")</f>
        <v/>
      </c>
    </row>
    <row r="871">
      <c r="F871" s="7">
        <f>IF($A871="","",E871*N871/100)</f>
        <v/>
      </c>
      <c r="J871" s="7" t="n"/>
      <c r="K871" s="7">
        <f>IF($A871="","",S871*N871)</f>
        <v/>
      </c>
      <c r="L871" s="7">
        <f>IF($A871="","",N871-K871)</f>
        <v/>
      </c>
      <c r="M871" s="7">
        <f>IF($A871="","",L871-F871)</f>
        <v/>
      </c>
      <c r="N871" s="7" t="n"/>
      <c r="Q871" s="11" t="n"/>
      <c r="S871">
        <f>IF($A871="","",IF($W871=1,Settings!$C$6,Settings!$C$7)*1)</f>
        <v/>
      </c>
      <c r="U871">
        <f>IF($A871="","",IF(COUNTIF($A$2:$A871,$A871)=1,1,0))</f>
        <v/>
      </c>
      <c r="V871">
        <f>IF($U871=1,SUMPRODUCT(--($X$2:$X$1001&lt;$X871))+1,"")</f>
        <v/>
      </c>
      <c r="W871">
        <f>IF($A871="","",IF(OR($T871=TRUE(),$T871="TRUE"),1,0))</f>
        <v/>
      </c>
      <c r="X871">
        <f>IF($U871=1,IFERROR(IF(VALUE($A871)&lt;100000000,VALUE($A871),1000000000),IFERROR(IF(VALUE(MID($A871,2,20))&lt;100000000,VALUE(MID($A871,2,20)),1000000000),1000000000))+ROW()/100000,"")</f>
        <v/>
      </c>
    </row>
    <row r="872">
      <c r="F872" s="7">
        <f>IF($A872="","",E872*N872/100)</f>
        <v/>
      </c>
      <c r="J872" s="7" t="n"/>
      <c r="K872" s="7">
        <f>IF($A872="","",S872*N872)</f>
        <v/>
      </c>
      <c r="L872" s="7">
        <f>IF($A872="","",N872-K872)</f>
        <v/>
      </c>
      <c r="M872" s="7">
        <f>IF($A872="","",L872-F872)</f>
        <v/>
      </c>
      <c r="N872" s="7" t="n"/>
      <c r="Q872" s="11" t="n"/>
      <c r="S872">
        <f>IF($A872="","",IF($W872=1,Settings!$C$6,Settings!$C$7)*1)</f>
        <v/>
      </c>
      <c r="U872">
        <f>IF($A872="","",IF(COUNTIF($A$2:$A872,$A872)=1,1,0))</f>
        <v/>
      </c>
      <c r="V872">
        <f>IF($U872=1,SUMPRODUCT(--($X$2:$X$1001&lt;$X872))+1,"")</f>
        <v/>
      </c>
      <c r="W872">
        <f>IF($A872="","",IF(OR($T872=TRUE(),$T872="TRUE"),1,0))</f>
        <v/>
      </c>
      <c r="X872">
        <f>IF($U872=1,IFERROR(IF(VALUE($A872)&lt;100000000,VALUE($A872),1000000000),IFERROR(IF(VALUE(MID($A872,2,20))&lt;100000000,VALUE(MID($A872,2,20)),1000000000),1000000000))+ROW()/100000,"")</f>
        <v/>
      </c>
    </row>
    <row r="873">
      <c r="F873" s="7">
        <f>IF($A873="","",E873*N873/100)</f>
        <v/>
      </c>
      <c r="J873" s="7" t="n"/>
      <c r="K873" s="7">
        <f>IF($A873="","",S873*N873)</f>
        <v/>
      </c>
      <c r="L873" s="7">
        <f>IF($A873="","",N873-K873)</f>
        <v/>
      </c>
      <c r="M873" s="7">
        <f>IF($A873="","",L873-F873)</f>
        <v/>
      </c>
      <c r="N873" s="7" t="n"/>
      <c r="Q873" s="11" t="n"/>
      <c r="S873">
        <f>IF($A873="","",IF($W873=1,Settings!$C$6,Settings!$C$7)*1)</f>
        <v/>
      </c>
      <c r="U873">
        <f>IF($A873="","",IF(COUNTIF($A$2:$A873,$A873)=1,1,0))</f>
        <v/>
      </c>
      <c r="V873">
        <f>IF($U873=1,SUMPRODUCT(--($X$2:$X$1001&lt;$X873))+1,"")</f>
        <v/>
      </c>
      <c r="W873">
        <f>IF($A873="","",IF(OR($T873=TRUE(),$T873="TRUE"),1,0))</f>
        <v/>
      </c>
      <c r="X873">
        <f>IF($U873=1,IFERROR(IF(VALUE($A873)&lt;100000000,VALUE($A873),1000000000),IFERROR(IF(VALUE(MID($A873,2,20))&lt;100000000,VALUE(MID($A873,2,20)),1000000000),1000000000))+ROW()/100000,"")</f>
        <v/>
      </c>
    </row>
    <row r="874">
      <c r="F874" s="7">
        <f>IF($A874="","",E874*N874/100)</f>
        <v/>
      </c>
      <c r="J874" s="7" t="n"/>
      <c r="K874" s="7">
        <f>IF($A874="","",S874*N874)</f>
        <v/>
      </c>
      <c r="L874" s="7">
        <f>IF($A874="","",N874-K874)</f>
        <v/>
      </c>
      <c r="M874" s="7">
        <f>IF($A874="","",L874-F874)</f>
        <v/>
      </c>
      <c r="N874" s="7" t="n"/>
      <c r="Q874" s="11" t="n"/>
      <c r="S874">
        <f>IF($A874="","",IF($W874=1,Settings!$C$6,Settings!$C$7)*1)</f>
        <v/>
      </c>
      <c r="U874">
        <f>IF($A874="","",IF(COUNTIF($A$2:$A874,$A874)=1,1,0))</f>
        <v/>
      </c>
      <c r="V874">
        <f>IF($U874=1,SUMPRODUCT(--($X$2:$X$1001&lt;$X874))+1,"")</f>
        <v/>
      </c>
      <c r="W874">
        <f>IF($A874="","",IF(OR($T874=TRUE(),$T874="TRUE"),1,0))</f>
        <v/>
      </c>
      <c r="X874">
        <f>IF($U874=1,IFERROR(IF(VALUE($A874)&lt;100000000,VALUE($A874),1000000000),IFERROR(IF(VALUE(MID($A874,2,20))&lt;100000000,VALUE(MID($A874,2,20)),1000000000),1000000000))+ROW()/100000,"")</f>
        <v/>
      </c>
    </row>
    <row r="875">
      <c r="F875" s="7">
        <f>IF($A875="","",E875*N875/100)</f>
        <v/>
      </c>
      <c r="J875" s="7" t="n"/>
      <c r="K875" s="7">
        <f>IF($A875="","",S875*N875)</f>
        <v/>
      </c>
      <c r="L875" s="7">
        <f>IF($A875="","",N875-K875)</f>
        <v/>
      </c>
      <c r="M875" s="7">
        <f>IF($A875="","",L875-F875)</f>
        <v/>
      </c>
      <c r="N875" s="7" t="n"/>
      <c r="Q875" s="11" t="n"/>
      <c r="S875">
        <f>IF($A875="","",IF($W875=1,Settings!$C$6,Settings!$C$7)*1)</f>
        <v/>
      </c>
      <c r="U875">
        <f>IF($A875="","",IF(COUNTIF($A$2:$A875,$A875)=1,1,0))</f>
        <v/>
      </c>
      <c r="V875">
        <f>IF($U875=1,SUMPRODUCT(--($X$2:$X$1001&lt;$X875))+1,"")</f>
        <v/>
      </c>
      <c r="W875">
        <f>IF($A875="","",IF(OR($T875=TRUE(),$T875="TRUE"),1,0))</f>
        <v/>
      </c>
      <c r="X875">
        <f>IF($U875=1,IFERROR(IF(VALUE($A875)&lt;100000000,VALUE($A875),1000000000),IFERROR(IF(VALUE(MID($A875,2,20))&lt;100000000,VALUE(MID($A875,2,20)),1000000000),1000000000))+ROW()/100000,"")</f>
        <v/>
      </c>
    </row>
    <row r="876">
      <c r="F876" s="7">
        <f>IF($A876="","",E876*N876/100)</f>
        <v/>
      </c>
      <c r="J876" s="7" t="n"/>
      <c r="K876" s="7">
        <f>IF($A876="","",S876*N876)</f>
        <v/>
      </c>
      <c r="L876" s="7">
        <f>IF($A876="","",N876-K876)</f>
        <v/>
      </c>
      <c r="M876" s="7">
        <f>IF($A876="","",L876-F876)</f>
        <v/>
      </c>
      <c r="N876" s="7" t="n"/>
      <c r="Q876" s="11" t="n"/>
      <c r="S876">
        <f>IF($A876="","",IF($W876=1,Settings!$C$6,Settings!$C$7)*1)</f>
        <v/>
      </c>
      <c r="U876">
        <f>IF($A876="","",IF(COUNTIF($A$2:$A876,$A876)=1,1,0))</f>
        <v/>
      </c>
      <c r="V876">
        <f>IF($U876=1,SUMPRODUCT(--($X$2:$X$1001&lt;$X876))+1,"")</f>
        <v/>
      </c>
      <c r="W876">
        <f>IF($A876="","",IF(OR($T876=TRUE(),$T876="TRUE"),1,0))</f>
        <v/>
      </c>
      <c r="X876">
        <f>IF($U876=1,IFERROR(IF(VALUE($A876)&lt;100000000,VALUE($A876),1000000000),IFERROR(IF(VALUE(MID($A876,2,20))&lt;100000000,VALUE(MID($A876,2,20)),1000000000),1000000000))+ROW()/100000,"")</f>
        <v/>
      </c>
    </row>
    <row r="877">
      <c r="F877" s="7">
        <f>IF($A877="","",E877*N877/100)</f>
        <v/>
      </c>
      <c r="J877" s="7" t="n"/>
      <c r="K877" s="7">
        <f>IF($A877="","",S877*N877)</f>
        <v/>
      </c>
      <c r="L877" s="7">
        <f>IF($A877="","",N877-K877)</f>
        <v/>
      </c>
      <c r="M877" s="7">
        <f>IF($A877="","",L877-F877)</f>
        <v/>
      </c>
      <c r="N877" s="7" t="n"/>
      <c r="Q877" s="11" t="n"/>
      <c r="S877">
        <f>IF($A877="","",IF($W877=1,Settings!$C$6,Settings!$C$7)*1)</f>
        <v/>
      </c>
      <c r="U877">
        <f>IF($A877="","",IF(COUNTIF($A$2:$A877,$A877)=1,1,0))</f>
        <v/>
      </c>
      <c r="V877">
        <f>IF($U877=1,SUMPRODUCT(--($X$2:$X$1001&lt;$X877))+1,"")</f>
        <v/>
      </c>
      <c r="W877">
        <f>IF($A877="","",IF(OR($T877=TRUE(),$T877="TRUE"),1,0))</f>
        <v/>
      </c>
      <c r="X877">
        <f>IF($U877=1,IFERROR(IF(VALUE($A877)&lt;100000000,VALUE($A877),1000000000),IFERROR(IF(VALUE(MID($A877,2,20))&lt;100000000,VALUE(MID($A877,2,20)),1000000000),1000000000))+ROW()/100000,"")</f>
        <v/>
      </c>
    </row>
    <row r="878">
      <c r="F878" s="7">
        <f>IF($A878="","",E878*N878/100)</f>
        <v/>
      </c>
      <c r="J878" s="7" t="n"/>
      <c r="K878" s="7">
        <f>IF($A878="","",S878*N878)</f>
        <v/>
      </c>
      <c r="L878" s="7">
        <f>IF($A878="","",N878-K878)</f>
        <v/>
      </c>
      <c r="M878" s="7">
        <f>IF($A878="","",L878-F878)</f>
        <v/>
      </c>
      <c r="N878" s="7" t="n"/>
      <c r="Q878" s="11" t="n"/>
      <c r="S878">
        <f>IF($A878="","",IF($W878=1,Settings!$C$6,Settings!$C$7)*1)</f>
        <v/>
      </c>
      <c r="U878">
        <f>IF($A878="","",IF(COUNTIF($A$2:$A878,$A878)=1,1,0))</f>
        <v/>
      </c>
      <c r="V878">
        <f>IF($U878=1,SUMPRODUCT(--($X$2:$X$1001&lt;$X878))+1,"")</f>
        <v/>
      </c>
      <c r="W878">
        <f>IF($A878="","",IF(OR($T878=TRUE(),$T878="TRUE"),1,0))</f>
        <v/>
      </c>
      <c r="X878">
        <f>IF($U878=1,IFERROR(IF(VALUE($A878)&lt;100000000,VALUE($A878),1000000000),IFERROR(IF(VALUE(MID($A878,2,20))&lt;100000000,VALUE(MID($A878,2,20)),1000000000),1000000000))+ROW()/100000,"")</f>
        <v/>
      </c>
    </row>
    <row r="879">
      <c r="F879" s="7">
        <f>IF($A879="","",E879*N879/100)</f>
        <v/>
      </c>
      <c r="J879" s="7" t="n"/>
      <c r="K879" s="7">
        <f>IF($A879="","",S879*N879)</f>
        <v/>
      </c>
      <c r="L879" s="7">
        <f>IF($A879="","",N879-K879)</f>
        <v/>
      </c>
      <c r="M879" s="7">
        <f>IF($A879="","",L879-F879)</f>
        <v/>
      </c>
      <c r="N879" s="7" t="n"/>
      <c r="Q879" s="11" t="n"/>
      <c r="S879">
        <f>IF($A879="","",IF($W879=1,Settings!$C$6,Settings!$C$7)*1)</f>
        <v/>
      </c>
      <c r="U879">
        <f>IF($A879="","",IF(COUNTIF($A$2:$A879,$A879)=1,1,0))</f>
        <v/>
      </c>
      <c r="V879">
        <f>IF($U879=1,SUMPRODUCT(--($X$2:$X$1001&lt;$X879))+1,"")</f>
        <v/>
      </c>
      <c r="W879">
        <f>IF($A879="","",IF(OR($T879=TRUE(),$T879="TRUE"),1,0))</f>
        <v/>
      </c>
      <c r="X879">
        <f>IF($U879=1,IFERROR(IF(VALUE($A879)&lt;100000000,VALUE($A879),1000000000),IFERROR(IF(VALUE(MID($A879,2,20))&lt;100000000,VALUE(MID($A879,2,20)),1000000000),1000000000))+ROW()/100000,"")</f>
        <v/>
      </c>
    </row>
    <row r="880">
      <c r="F880" s="7">
        <f>IF($A880="","",E880*N880/100)</f>
        <v/>
      </c>
      <c r="J880" s="7" t="n"/>
      <c r="K880" s="7">
        <f>IF($A880="","",S880*N880)</f>
        <v/>
      </c>
      <c r="L880" s="7">
        <f>IF($A880="","",N880-K880)</f>
        <v/>
      </c>
      <c r="M880" s="7">
        <f>IF($A880="","",L880-F880)</f>
        <v/>
      </c>
      <c r="N880" s="7" t="n"/>
      <c r="Q880" s="11" t="n"/>
      <c r="S880">
        <f>IF($A880="","",IF($W880=1,Settings!$C$6,Settings!$C$7)*1)</f>
        <v/>
      </c>
      <c r="U880">
        <f>IF($A880="","",IF(COUNTIF($A$2:$A880,$A880)=1,1,0))</f>
        <v/>
      </c>
      <c r="V880">
        <f>IF($U880=1,SUMPRODUCT(--($X$2:$X$1001&lt;$X880))+1,"")</f>
        <v/>
      </c>
      <c r="W880">
        <f>IF($A880="","",IF(OR($T880=TRUE(),$T880="TRUE"),1,0))</f>
        <v/>
      </c>
      <c r="X880">
        <f>IF($U880=1,IFERROR(IF(VALUE($A880)&lt;100000000,VALUE($A880),1000000000),IFERROR(IF(VALUE(MID($A880,2,20))&lt;100000000,VALUE(MID($A880,2,20)),1000000000),1000000000))+ROW()/100000,"")</f>
        <v/>
      </c>
    </row>
    <row r="881">
      <c r="F881" s="7">
        <f>IF($A881="","",E881*N881/100)</f>
        <v/>
      </c>
      <c r="J881" s="7" t="n"/>
      <c r="K881" s="7">
        <f>IF($A881="","",S881*N881)</f>
        <v/>
      </c>
      <c r="L881" s="7">
        <f>IF($A881="","",N881-K881)</f>
        <v/>
      </c>
      <c r="M881" s="7">
        <f>IF($A881="","",L881-F881)</f>
        <v/>
      </c>
      <c r="N881" s="7" t="n"/>
      <c r="Q881" s="11" t="n"/>
      <c r="S881">
        <f>IF($A881="","",IF($W881=1,Settings!$C$6,Settings!$C$7)*1)</f>
        <v/>
      </c>
      <c r="U881">
        <f>IF($A881="","",IF(COUNTIF($A$2:$A881,$A881)=1,1,0))</f>
        <v/>
      </c>
      <c r="V881">
        <f>IF($U881=1,SUMPRODUCT(--($X$2:$X$1001&lt;$X881))+1,"")</f>
        <v/>
      </c>
      <c r="W881">
        <f>IF($A881="","",IF(OR($T881=TRUE(),$T881="TRUE"),1,0))</f>
        <v/>
      </c>
      <c r="X881">
        <f>IF($U881=1,IFERROR(IF(VALUE($A881)&lt;100000000,VALUE($A881),1000000000),IFERROR(IF(VALUE(MID($A881,2,20))&lt;100000000,VALUE(MID($A881,2,20)),1000000000),1000000000))+ROW()/100000,"")</f>
        <v/>
      </c>
    </row>
    <row r="882">
      <c r="F882" s="7">
        <f>IF($A882="","",E882*N882/100)</f>
        <v/>
      </c>
      <c r="J882" s="7" t="n"/>
      <c r="K882" s="7">
        <f>IF($A882="","",S882*N882)</f>
        <v/>
      </c>
      <c r="L882" s="7">
        <f>IF($A882="","",N882-K882)</f>
        <v/>
      </c>
      <c r="M882" s="7">
        <f>IF($A882="","",L882-F882)</f>
        <v/>
      </c>
      <c r="N882" s="7" t="n"/>
      <c r="Q882" s="11" t="n"/>
      <c r="S882">
        <f>IF($A882="","",IF($W882=1,Settings!$C$6,Settings!$C$7)*1)</f>
        <v/>
      </c>
      <c r="U882">
        <f>IF($A882="","",IF(COUNTIF($A$2:$A882,$A882)=1,1,0))</f>
        <v/>
      </c>
      <c r="V882">
        <f>IF($U882=1,SUMPRODUCT(--($X$2:$X$1001&lt;$X882))+1,"")</f>
        <v/>
      </c>
      <c r="W882">
        <f>IF($A882="","",IF(OR($T882=TRUE(),$T882="TRUE"),1,0))</f>
        <v/>
      </c>
      <c r="X882">
        <f>IF($U882=1,IFERROR(IF(VALUE($A882)&lt;100000000,VALUE($A882),1000000000),IFERROR(IF(VALUE(MID($A882,2,20))&lt;100000000,VALUE(MID($A882,2,20)),1000000000),1000000000))+ROW()/100000,"")</f>
        <v/>
      </c>
    </row>
    <row r="883">
      <c r="F883" s="7">
        <f>IF($A883="","",E883*N883/100)</f>
        <v/>
      </c>
      <c r="J883" s="7" t="n"/>
      <c r="K883" s="7">
        <f>IF($A883="","",S883*N883)</f>
        <v/>
      </c>
      <c r="L883" s="7">
        <f>IF($A883="","",N883-K883)</f>
        <v/>
      </c>
      <c r="M883" s="7">
        <f>IF($A883="","",L883-F883)</f>
        <v/>
      </c>
      <c r="N883" s="7" t="n"/>
      <c r="Q883" s="11" t="n"/>
      <c r="S883">
        <f>IF($A883="","",IF($W883=1,Settings!$C$6,Settings!$C$7)*1)</f>
        <v/>
      </c>
      <c r="U883">
        <f>IF($A883="","",IF(COUNTIF($A$2:$A883,$A883)=1,1,0))</f>
        <v/>
      </c>
      <c r="V883">
        <f>IF($U883=1,SUMPRODUCT(--($X$2:$X$1001&lt;$X883))+1,"")</f>
        <v/>
      </c>
      <c r="W883">
        <f>IF($A883="","",IF(OR($T883=TRUE(),$T883="TRUE"),1,0))</f>
        <v/>
      </c>
      <c r="X883">
        <f>IF($U883=1,IFERROR(IF(VALUE($A883)&lt;100000000,VALUE($A883),1000000000),IFERROR(IF(VALUE(MID($A883,2,20))&lt;100000000,VALUE(MID($A883,2,20)),1000000000),1000000000))+ROW()/100000,"")</f>
        <v/>
      </c>
    </row>
    <row r="884">
      <c r="F884" s="7">
        <f>IF($A884="","",E884*N884/100)</f>
        <v/>
      </c>
      <c r="J884" s="7" t="n"/>
      <c r="K884" s="7">
        <f>IF($A884="","",S884*N884)</f>
        <v/>
      </c>
      <c r="L884" s="7">
        <f>IF($A884="","",N884-K884)</f>
        <v/>
      </c>
      <c r="M884" s="7">
        <f>IF($A884="","",L884-F884)</f>
        <v/>
      </c>
      <c r="N884" s="7" t="n"/>
      <c r="Q884" s="11" t="n"/>
      <c r="S884">
        <f>IF($A884="","",IF($W884=1,Settings!$C$6,Settings!$C$7)*1)</f>
        <v/>
      </c>
      <c r="U884">
        <f>IF($A884="","",IF(COUNTIF($A$2:$A884,$A884)=1,1,0))</f>
        <v/>
      </c>
      <c r="V884">
        <f>IF($U884=1,SUMPRODUCT(--($X$2:$X$1001&lt;$X884))+1,"")</f>
        <v/>
      </c>
      <c r="W884">
        <f>IF($A884="","",IF(OR($T884=TRUE(),$T884="TRUE"),1,0))</f>
        <v/>
      </c>
      <c r="X884">
        <f>IF($U884=1,IFERROR(IF(VALUE($A884)&lt;100000000,VALUE($A884),1000000000),IFERROR(IF(VALUE(MID($A884,2,20))&lt;100000000,VALUE(MID($A884,2,20)),1000000000),1000000000))+ROW()/100000,"")</f>
        <v/>
      </c>
    </row>
    <row r="885">
      <c r="F885" s="7">
        <f>IF($A885="","",E885*N885/100)</f>
        <v/>
      </c>
      <c r="J885" s="7" t="n"/>
      <c r="K885" s="7">
        <f>IF($A885="","",S885*N885)</f>
        <v/>
      </c>
      <c r="L885" s="7">
        <f>IF($A885="","",N885-K885)</f>
        <v/>
      </c>
      <c r="M885" s="7">
        <f>IF($A885="","",L885-F885)</f>
        <v/>
      </c>
      <c r="N885" s="7" t="n"/>
      <c r="Q885" s="11" t="n"/>
      <c r="S885">
        <f>IF($A885="","",IF($W885=1,Settings!$C$6,Settings!$C$7)*1)</f>
        <v/>
      </c>
      <c r="U885">
        <f>IF($A885="","",IF(COUNTIF($A$2:$A885,$A885)=1,1,0))</f>
        <v/>
      </c>
      <c r="V885">
        <f>IF($U885=1,SUMPRODUCT(--($X$2:$X$1001&lt;$X885))+1,"")</f>
        <v/>
      </c>
      <c r="W885">
        <f>IF($A885="","",IF(OR($T885=TRUE(),$T885="TRUE"),1,0))</f>
        <v/>
      </c>
      <c r="X885">
        <f>IF($U885=1,IFERROR(IF(VALUE($A885)&lt;100000000,VALUE($A885),1000000000),IFERROR(IF(VALUE(MID($A885,2,20))&lt;100000000,VALUE(MID($A885,2,20)),1000000000),1000000000))+ROW()/100000,"")</f>
        <v/>
      </c>
    </row>
    <row r="886">
      <c r="F886" s="7">
        <f>IF($A886="","",E886*N886/100)</f>
        <v/>
      </c>
      <c r="J886" s="7" t="n"/>
      <c r="K886" s="7">
        <f>IF($A886="","",S886*N886)</f>
        <v/>
      </c>
      <c r="L886" s="7">
        <f>IF($A886="","",N886-K886)</f>
        <v/>
      </c>
      <c r="M886" s="7">
        <f>IF($A886="","",L886-F886)</f>
        <v/>
      </c>
      <c r="N886" s="7" t="n"/>
      <c r="Q886" s="11" t="n"/>
      <c r="S886">
        <f>IF($A886="","",IF($W886=1,Settings!$C$6,Settings!$C$7)*1)</f>
        <v/>
      </c>
      <c r="U886">
        <f>IF($A886="","",IF(COUNTIF($A$2:$A886,$A886)=1,1,0))</f>
        <v/>
      </c>
      <c r="V886">
        <f>IF($U886=1,SUMPRODUCT(--($X$2:$X$1001&lt;$X886))+1,"")</f>
        <v/>
      </c>
      <c r="W886">
        <f>IF($A886="","",IF(OR($T886=TRUE(),$T886="TRUE"),1,0))</f>
        <v/>
      </c>
      <c r="X886">
        <f>IF($U886=1,IFERROR(IF(VALUE($A886)&lt;100000000,VALUE($A886),1000000000),IFERROR(IF(VALUE(MID($A886,2,20))&lt;100000000,VALUE(MID($A886,2,20)),1000000000),1000000000))+ROW()/100000,"")</f>
        <v/>
      </c>
    </row>
    <row r="887">
      <c r="F887" s="7">
        <f>IF($A887="","",E887*N887/100)</f>
        <v/>
      </c>
      <c r="J887" s="7" t="n"/>
      <c r="K887" s="7">
        <f>IF($A887="","",S887*N887)</f>
        <v/>
      </c>
      <c r="L887" s="7">
        <f>IF($A887="","",N887-K887)</f>
        <v/>
      </c>
      <c r="M887" s="7">
        <f>IF($A887="","",L887-F887)</f>
        <v/>
      </c>
      <c r="N887" s="7" t="n"/>
      <c r="Q887" s="11" t="n"/>
      <c r="S887">
        <f>IF($A887="","",IF($W887=1,Settings!$C$6,Settings!$C$7)*1)</f>
        <v/>
      </c>
      <c r="U887">
        <f>IF($A887="","",IF(COUNTIF($A$2:$A887,$A887)=1,1,0))</f>
        <v/>
      </c>
      <c r="V887">
        <f>IF($U887=1,SUMPRODUCT(--($X$2:$X$1001&lt;$X887))+1,"")</f>
        <v/>
      </c>
      <c r="W887">
        <f>IF($A887="","",IF(OR($T887=TRUE(),$T887="TRUE"),1,0))</f>
        <v/>
      </c>
      <c r="X887">
        <f>IF($U887=1,IFERROR(IF(VALUE($A887)&lt;100000000,VALUE($A887),1000000000),IFERROR(IF(VALUE(MID($A887,2,20))&lt;100000000,VALUE(MID($A887,2,20)),1000000000),1000000000))+ROW()/100000,"")</f>
        <v/>
      </c>
    </row>
    <row r="888">
      <c r="F888" s="7">
        <f>IF($A888="","",E888*N888/100)</f>
        <v/>
      </c>
      <c r="J888" s="7" t="n"/>
      <c r="K888" s="7">
        <f>IF($A888="","",S888*N888)</f>
        <v/>
      </c>
      <c r="L888" s="7">
        <f>IF($A888="","",N888-K888)</f>
        <v/>
      </c>
      <c r="M888" s="7">
        <f>IF($A888="","",L888-F888)</f>
        <v/>
      </c>
      <c r="N888" s="7" t="n"/>
      <c r="Q888" s="11" t="n"/>
      <c r="S888">
        <f>IF($A888="","",IF($W888=1,Settings!$C$6,Settings!$C$7)*1)</f>
        <v/>
      </c>
      <c r="U888">
        <f>IF($A888="","",IF(COUNTIF($A$2:$A888,$A888)=1,1,0))</f>
        <v/>
      </c>
      <c r="V888">
        <f>IF($U888=1,SUMPRODUCT(--($X$2:$X$1001&lt;$X888))+1,"")</f>
        <v/>
      </c>
      <c r="W888">
        <f>IF($A888="","",IF(OR($T888=TRUE(),$T888="TRUE"),1,0))</f>
        <v/>
      </c>
      <c r="X888">
        <f>IF($U888=1,IFERROR(IF(VALUE($A888)&lt;100000000,VALUE($A888),1000000000),IFERROR(IF(VALUE(MID($A888,2,20))&lt;100000000,VALUE(MID($A888,2,20)),1000000000),1000000000))+ROW()/100000,"")</f>
        <v/>
      </c>
    </row>
    <row r="889">
      <c r="F889" s="7">
        <f>IF($A889="","",E889*N889/100)</f>
        <v/>
      </c>
      <c r="J889" s="7" t="n"/>
      <c r="K889" s="7">
        <f>IF($A889="","",S889*N889)</f>
        <v/>
      </c>
      <c r="L889" s="7">
        <f>IF($A889="","",N889-K889)</f>
        <v/>
      </c>
      <c r="M889" s="7">
        <f>IF($A889="","",L889-F889)</f>
        <v/>
      </c>
      <c r="N889" s="7" t="n"/>
      <c r="Q889" s="11" t="n"/>
      <c r="S889">
        <f>IF($A889="","",IF($W889=1,Settings!$C$6,Settings!$C$7)*1)</f>
        <v/>
      </c>
      <c r="U889">
        <f>IF($A889="","",IF(COUNTIF($A$2:$A889,$A889)=1,1,0))</f>
        <v/>
      </c>
      <c r="V889">
        <f>IF($U889=1,SUMPRODUCT(--($X$2:$X$1001&lt;$X889))+1,"")</f>
        <v/>
      </c>
      <c r="W889">
        <f>IF($A889="","",IF(OR($T889=TRUE(),$T889="TRUE"),1,0))</f>
        <v/>
      </c>
      <c r="X889">
        <f>IF($U889=1,IFERROR(IF(VALUE($A889)&lt;100000000,VALUE($A889),1000000000),IFERROR(IF(VALUE(MID($A889,2,20))&lt;100000000,VALUE(MID($A889,2,20)),1000000000),1000000000))+ROW()/100000,"")</f>
        <v/>
      </c>
    </row>
    <row r="890">
      <c r="F890" s="7">
        <f>IF($A890="","",E890*N890/100)</f>
        <v/>
      </c>
      <c r="J890" s="7" t="n"/>
      <c r="K890" s="7">
        <f>IF($A890="","",S890*N890)</f>
        <v/>
      </c>
      <c r="L890" s="7">
        <f>IF($A890="","",N890-K890)</f>
        <v/>
      </c>
      <c r="M890" s="7">
        <f>IF($A890="","",L890-F890)</f>
        <v/>
      </c>
      <c r="N890" s="7" t="n"/>
      <c r="Q890" s="11" t="n"/>
      <c r="S890">
        <f>IF($A890="","",IF($W890=1,Settings!$C$6,Settings!$C$7)*1)</f>
        <v/>
      </c>
      <c r="U890">
        <f>IF($A890="","",IF(COUNTIF($A$2:$A890,$A890)=1,1,0))</f>
        <v/>
      </c>
      <c r="V890">
        <f>IF($U890=1,SUMPRODUCT(--($X$2:$X$1001&lt;$X890))+1,"")</f>
        <v/>
      </c>
      <c r="W890">
        <f>IF($A890="","",IF(OR($T890=TRUE(),$T890="TRUE"),1,0))</f>
        <v/>
      </c>
      <c r="X890">
        <f>IF($U890=1,IFERROR(IF(VALUE($A890)&lt;100000000,VALUE($A890),1000000000),IFERROR(IF(VALUE(MID($A890,2,20))&lt;100000000,VALUE(MID($A890,2,20)),1000000000),1000000000))+ROW()/100000,"")</f>
        <v/>
      </c>
    </row>
    <row r="891">
      <c r="F891" s="7">
        <f>IF($A891="","",E891*N891/100)</f>
        <v/>
      </c>
      <c r="J891" s="7" t="n"/>
      <c r="K891" s="7">
        <f>IF($A891="","",S891*N891)</f>
        <v/>
      </c>
      <c r="L891" s="7">
        <f>IF($A891="","",N891-K891)</f>
        <v/>
      </c>
      <c r="M891" s="7">
        <f>IF($A891="","",L891-F891)</f>
        <v/>
      </c>
      <c r="N891" s="7" t="n"/>
      <c r="Q891" s="11" t="n"/>
      <c r="S891">
        <f>IF($A891="","",IF($W891=1,Settings!$C$6,Settings!$C$7)*1)</f>
        <v/>
      </c>
      <c r="U891">
        <f>IF($A891="","",IF(COUNTIF($A$2:$A891,$A891)=1,1,0))</f>
        <v/>
      </c>
      <c r="V891">
        <f>IF($U891=1,SUMPRODUCT(--($X$2:$X$1001&lt;$X891))+1,"")</f>
        <v/>
      </c>
      <c r="W891">
        <f>IF($A891="","",IF(OR($T891=TRUE(),$T891="TRUE"),1,0))</f>
        <v/>
      </c>
      <c r="X891">
        <f>IF($U891=1,IFERROR(IF(VALUE($A891)&lt;100000000,VALUE($A891),1000000000),IFERROR(IF(VALUE(MID($A891,2,20))&lt;100000000,VALUE(MID($A891,2,20)),1000000000),1000000000))+ROW()/100000,"")</f>
        <v/>
      </c>
    </row>
    <row r="892">
      <c r="F892" s="7">
        <f>IF($A892="","",E892*N892/100)</f>
        <v/>
      </c>
      <c r="J892" s="7" t="n"/>
      <c r="K892" s="7">
        <f>IF($A892="","",S892*N892)</f>
        <v/>
      </c>
      <c r="L892" s="7">
        <f>IF($A892="","",N892-K892)</f>
        <v/>
      </c>
      <c r="M892" s="7">
        <f>IF($A892="","",L892-F892)</f>
        <v/>
      </c>
      <c r="N892" s="7" t="n"/>
      <c r="Q892" s="11" t="n"/>
      <c r="S892">
        <f>IF($A892="","",IF($W892=1,Settings!$C$6,Settings!$C$7)*1)</f>
        <v/>
      </c>
      <c r="U892">
        <f>IF($A892="","",IF(COUNTIF($A$2:$A892,$A892)=1,1,0))</f>
        <v/>
      </c>
      <c r="V892">
        <f>IF($U892=1,SUMPRODUCT(--($X$2:$X$1001&lt;$X892))+1,"")</f>
        <v/>
      </c>
      <c r="W892">
        <f>IF($A892="","",IF(OR($T892=TRUE(),$T892="TRUE"),1,0))</f>
        <v/>
      </c>
      <c r="X892">
        <f>IF($U892=1,IFERROR(IF(VALUE($A892)&lt;100000000,VALUE($A892),1000000000),IFERROR(IF(VALUE(MID($A892,2,20))&lt;100000000,VALUE(MID($A892,2,20)),1000000000),1000000000))+ROW()/100000,"")</f>
        <v/>
      </c>
    </row>
    <row r="893">
      <c r="F893" s="7">
        <f>IF($A893="","",E893*N893/100)</f>
        <v/>
      </c>
      <c r="J893" s="7" t="n"/>
      <c r="K893" s="7">
        <f>IF($A893="","",S893*N893)</f>
        <v/>
      </c>
      <c r="L893" s="7">
        <f>IF($A893="","",N893-K893)</f>
        <v/>
      </c>
      <c r="M893" s="7">
        <f>IF($A893="","",L893-F893)</f>
        <v/>
      </c>
      <c r="N893" s="7" t="n"/>
      <c r="Q893" s="11" t="n"/>
      <c r="S893">
        <f>IF($A893="","",IF($W893=1,Settings!$C$6,Settings!$C$7)*1)</f>
        <v/>
      </c>
      <c r="U893">
        <f>IF($A893="","",IF(COUNTIF($A$2:$A893,$A893)=1,1,0))</f>
        <v/>
      </c>
      <c r="V893">
        <f>IF($U893=1,SUMPRODUCT(--($X$2:$X$1001&lt;$X893))+1,"")</f>
        <v/>
      </c>
      <c r="W893">
        <f>IF($A893="","",IF(OR($T893=TRUE(),$T893="TRUE"),1,0))</f>
        <v/>
      </c>
      <c r="X893">
        <f>IF($U893=1,IFERROR(IF(VALUE($A893)&lt;100000000,VALUE($A893),1000000000),IFERROR(IF(VALUE(MID($A893,2,20))&lt;100000000,VALUE(MID($A893,2,20)),1000000000),1000000000))+ROW()/100000,"")</f>
        <v/>
      </c>
    </row>
    <row r="894">
      <c r="F894" s="7">
        <f>IF($A894="","",E894*N894/100)</f>
        <v/>
      </c>
      <c r="J894" s="7" t="n"/>
      <c r="K894" s="7">
        <f>IF($A894="","",S894*N894)</f>
        <v/>
      </c>
      <c r="L894" s="7">
        <f>IF($A894="","",N894-K894)</f>
        <v/>
      </c>
      <c r="M894" s="7">
        <f>IF($A894="","",L894-F894)</f>
        <v/>
      </c>
      <c r="N894" s="7" t="n"/>
      <c r="Q894" s="11" t="n"/>
      <c r="S894">
        <f>IF($A894="","",IF($W894=1,Settings!$C$6,Settings!$C$7)*1)</f>
        <v/>
      </c>
      <c r="U894">
        <f>IF($A894="","",IF(COUNTIF($A$2:$A894,$A894)=1,1,0))</f>
        <v/>
      </c>
      <c r="V894">
        <f>IF($U894=1,SUMPRODUCT(--($X$2:$X$1001&lt;$X894))+1,"")</f>
        <v/>
      </c>
      <c r="W894">
        <f>IF($A894="","",IF(OR($T894=TRUE(),$T894="TRUE"),1,0))</f>
        <v/>
      </c>
      <c r="X894">
        <f>IF($U894=1,IFERROR(IF(VALUE($A894)&lt;100000000,VALUE($A894),1000000000),IFERROR(IF(VALUE(MID($A894,2,20))&lt;100000000,VALUE(MID($A894,2,20)),1000000000),1000000000))+ROW()/100000,"")</f>
        <v/>
      </c>
    </row>
    <row r="895">
      <c r="F895" s="7">
        <f>IF($A895="","",E895*N895/100)</f>
        <v/>
      </c>
      <c r="J895" s="7" t="n"/>
      <c r="K895" s="7">
        <f>IF($A895="","",S895*N895)</f>
        <v/>
      </c>
      <c r="L895" s="7">
        <f>IF($A895="","",N895-K895)</f>
        <v/>
      </c>
      <c r="M895" s="7">
        <f>IF($A895="","",L895-F895)</f>
        <v/>
      </c>
      <c r="N895" s="7" t="n"/>
      <c r="Q895" s="11" t="n"/>
      <c r="S895">
        <f>IF($A895="","",IF($W895=1,Settings!$C$6,Settings!$C$7)*1)</f>
        <v/>
      </c>
      <c r="U895">
        <f>IF($A895="","",IF(COUNTIF($A$2:$A895,$A895)=1,1,0))</f>
        <v/>
      </c>
      <c r="V895">
        <f>IF($U895=1,SUMPRODUCT(--($X$2:$X$1001&lt;$X895))+1,"")</f>
        <v/>
      </c>
      <c r="W895">
        <f>IF($A895="","",IF(OR($T895=TRUE(),$T895="TRUE"),1,0))</f>
        <v/>
      </c>
      <c r="X895">
        <f>IF($U895=1,IFERROR(IF(VALUE($A895)&lt;100000000,VALUE($A895),1000000000),IFERROR(IF(VALUE(MID($A895,2,20))&lt;100000000,VALUE(MID($A895,2,20)),1000000000),1000000000))+ROW()/100000,"")</f>
        <v/>
      </c>
    </row>
    <row r="896">
      <c r="F896" s="7">
        <f>IF($A896="","",E896*N896/100)</f>
        <v/>
      </c>
      <c r="J896" s="7" t="n"/>
      <c r="K896" s="7">
        <f>IF($A896="","",S896*N896)</f>
        <v/>
      </c>
      <c r="L896" s="7">
        <f>IF($A896="","",N896-K896)</f>
        <v/>
      </c>
      <c r="M896" s="7">
        <f>IF($A896="","",L896-F896)</f>
        <v/>
      </c>
      <c r="N896" s="7" t="n"/>
      <c r="Q896" s="11" t="n"/>
      <c r="S896">
        <f>IF($A896="","",IF($W896=1,Settings!$C$6,Settings!$C$7)*1)</f>
        <v/>
      </c>
      <c r="U896">
        <f>IF($A896="","",IF(COUNTIF($A$2:$A896,$A896)=1,1,0))</f>
        <v/>
      </c>
      <c r="V896">
        <f>IF($U896=1,SUMPRODUCT(--($X$2:$X$1001&lt;$X896))+1,"")</f>
        <v/>
      </c>
      <c r="W896">
        <f>IF($A896="","",IF(OR($T896=TRUE(),$T896="TRUE"),1,0))</f>
        <v/>
      </c>
      <c r="X896">
        <f>IF($U896=1,IFERROR(IF(VALUE($A896)&lt;100000000,VALUE($A896),1000000000),IFERROR(IF(VALUE(MID($A896,2,20))&lt;100000000,VALUE(MID($A896,2,20)),1000000000),1000000000))+ROW()/100000,"")</f>
        <v/>
      </c>
    </row>
    <row r="897">
      <c r="F897" s="7">
        <f>IF($A897="","",E897*N897/100)</f>
        <v/>
      </c>
      <c r="J897" s="7" t="n"/>
      <c r="K897" s="7">
        <f>IF($A897="","",S897*N897)</f>
        <v/>
      </c>
      <c r="L897" s="7">
        <f>IF($A897="","",N897-K897)</f>
        <v/>
      </c>
      <c r="M897" s="7">
        <f>IF($A897="","",L897-F897)</f>
        <v/>
      </c>
      <c r="N897" s="7" t="n"/>
      <c r="Q897" s="11" t="n"/>
      <c r="S897">
        <f>IF($A897="","",IF($W897=1,Settings!$C$6,Settings!$C$7)*1)</f>
        <v/>
      </c>
      <c r="U897">
        <f>IF($A897="","",IF(COUNTIF($A$2:$A897,$A897)=1,1,0))</f>
        <v/>
      </c>
      <c r="V897">
        <f>IF($U897=1,SUMPRODUCT(--($X$2:$X$1001&lt;$X897))+1,"")</f>
        <v/>
      </c>
      <c r="W897">
        <f>IF($A897="","",IF(OR($T897=TRUE(),$T897="TRUE"),1,0))</f>
        <v/>
      </c>
      <c r="X897">
        <f>IF($U897=1,IFERROR(IF(VALUE($A897)&lt;100000000,VALUE($A897),1000000000),IFERROR(IF(VALUE(MID($A897,2,20))&lt;100000000,VALUE(MID($A897,2,20)),1000000000),1000000000))+ROW()/100000,"")</f>
        <v/>
      </c>
    </row>
    <row r="898">
      <c r="F898" s="7">
        <f>IF($A898="","",E898*N898/100)</f>
        <v/>
      </c>
      <c r="J898" s="7" t="n"/>
      <c r="K898" s="7">
        <f>IF($A898="","",S898*N898)</f>
        <v/>
      </c>
      <c r="L898" s="7">
        <f>IF($A898="","",N898-K898)</f>
        <v/>
      </c>
      <c r="M898" s="7">
        <f>IF($A898="","",L898-F898)</f>
        <v/>
      </c>
      <c r="N898" s="7" t="n"/>
      <c r="Q898" s="11" t="n"/>
      <c r="S898">
        <f>IF($A898="","",IF($W898=1,Settings!$C$6,Settings!$C$7)*1)</f>
        <v/>
      </c>
      <c r="U898">
        <f>IF($A898="","",IF(COUNTIF($A$2:$A898,$A898)=1,1,0))</f>
        <v/>
      </c>
      <c r="V898">
        <f>IF($U898=1,SUMPRODUCT(--($X$2:$X$1001&lt;$X898))+1,"")</f>
        <v/>
      </c>
      <c r="W898">
        <f>IF($A898="","",IF(OR($T898=TRUE(),$T898="TRUE"),1,0))</f>
        <v/>
      </c>
      <c r="X898">
        <f>IF($U898=1,IFERROR(IF(VALUE($A898)&lt;100000000,VALUE($A898),1000000000),IFERROR(IF(VALUE(MID($A898,2,20))&lt;100000000,VALUE(MID($A898,2,20)),1000000000),1000000000))+ROW()/100000,"")</f>
        <v/>
      </c>
    </row>
    <row r="899">
      <c r="F899" s="7">
        <f>IF($A899="","",E899*N899/100)</f>
        <v/>
      </c>
      <c r="J899" s="7" t="n"/>
      <c r="K899" s="7">
        <f>IF($A899="","",S899*N899)</f>
        <v/>
      </c>
      <c r="L899" s="7">
        <f>IF($A899="","",N899-K899)</f>
        <v/>
      </c>
      <c r="M899" s="7">
        <f>IF($A899="","",L899-F899)</f>
        <v/>
      </c>
      <c r="N899" s="7" t="n"/>
      <c r="Q899" s="11" t="n"/>
      <c r="S899">
        <f>IF($A899="","",IF($W899=1,Settings!$C$6,Settings!$C$7)*1)</f>
        <v/>
      </c>
      <c r="U899">
        <f>IF($A899="","",IF(COUNTIF($A$2:$A899,$A899)=1,1,0))</f>
        <v/>
      </c>
      <c r="V899">
        <f>IF($U899=1,SUMPRODUCT(--($X$2:$X$1001&lt;$X899))+1,"")</f>
        <v/>
      </c>
      <c r="W899">
        <f>IF($A899="","",IF(OR($T899=TRUE(),$T899="TRUE"),1,0))</f>
        <v/>
      </c>
      <c r="X899">
        <f>IF($U899=1,IFERROR(IF(VALUE($A899)&lt;100000000,VALUE($A899),1000000000),IFERROR(IF(VALUE(MID($A899,2,20))&lt;100000000,VALUE(MID($A899,2,20)),1000000000),1000000000))+ROW()/100000,"")</f>
        <v/>
      </c>
    </row>
    <row r="900">
      <c r="F900" s="7">
        <f>IF($A900="","",E900*N900/100)</f>
        <v/>
      </c>
      <c r="J900" s="7" t="n"/>
      <c r="K900" s="7">
        <f>IF($A900="","",S900*N900)</f>
        <v/>
      </c>
      <c r="L900" s="7">
        <f>IF($A900="","",N900-K900)</f>
        <v/>
      </c>
      <c r="M900" s="7">
        <f>IF($A900="","",L900-F900)</f>
        <v/>
      </c>
      <c r="N900" s="7" t="n"/>
      <c r="Q900" s="11" t="n"/>
      <c r="S900">
        <f>IF($A900="","",IF($W900=1,Settings!$C$6,Settings!$C$7)*1)</f>
        <v/>
      </c>
      <c r="U900">
        <f>IF($A900="","",IF(COUNTIF($A$2:$A900,$A900)=1,1,0))</f>
        <v/>
      </c>
      <c r="V900">
        <f>IF($U900=1,SUMPRODUCT(--($X$2:$X$1001&lt;$X900))+1,"")</f>
        <v/>
      </c>
      <c r="W900">
        <f>IF($A900="","",IF(OR($T900=TRUE(),$T900="TRUE"),1,0))</f>
        <v/>
      </c>
      <c r="X900">
        <f>IF($U900=1,IFERROR(IF(VALUE($A900)&lt;100000000,VALUE($A900),1000000000),IFERROR(IF(VALUE(MID($A900,2,20))&lt;100000000,VALUE(MID($A900,2,20)),1000000000),1000000000))+ROW()/100000,"")</f>
        <v/>
      </c>
    </row>
    <row r="901">
      <c r="F901" s="7">
        <f>IF($A901="","",E901*N901/100)</f>
        <v/>
      </c>
      <c r="J901" s="7" t="n"/>
      <c r="K901" s="7">
        <f>IF($A901="","",S901*N901)</f>
        <v/>
      </c>
      <c r="L901" s="7">
        <f>IF($A901="","",N901-K901)</f>
        <v/>
      </c>
      <c r="M901" s="7">
        <f>IF($A901="","",L901-F901)</f>
        <v/>
      </c>
      <c r="N901" s="7" t="n"/>
      <c r="Q901" s="11" t="n"/>
      <c r="S901">
        <f>IF($A901="","",IF($W901=1,Settings!$C$6,Settings!$C$7)*1)</f>
        <v/>
      </c>
      <c r="U901">
        <f>IF($A901="","",IF(COUNTIF($A$2:$A901,$A901)=1,1,0))</f>
        <v/>
      </c>
      <c r="V901">
        <f>IF($U901=1,SUMPRODUCT(--($X$2:$X$1001&lt;$X901))+1,"")</f>
        <v/>
      </c>
      <c r="W901">
        <f>IF($A901="","",IF(OR($T901=TRUE(),$T901="TRUE"),1,0))</f>
        <v/>
      </c>
      <c r="X901">
        <f>IF($U901=1,IFERROR(IF(VALUE($A901)&lt;100000000,VALUE($A901),1000000000),IFERROR(IF(VALUE(MID($A901,2,20))&lt;100000000,VALUE(MID($A901,2,20)),1000000000),1000000000))+ROW()/100000,"")</f>
        <v/>
      </c>
    </row>
    <row r="902">
      <c r="F902" s="7">
        <f>IF($A902="","",E902*N902/100)</f>
        <v/>
      </c>
      <c r="J902" s="7" t="n"/>
      <c r="K902" s="7">
        <f>IF($A902="","",S902*N902)</f>
        <v/>
      </c>
      <c r="L902" s="7">
        <f>IF($A902="","",N902-K902)</f>
        <v/>
      </c>
      <c r="M902" s="7">
        <f>IF($A902="","",L902-F902)</f>
        <v/>
      </c>
      <c r="N902" s="7" t="n"/>
      <c r="Q902" s="11" t="n"/>
      <c r="S902">
        <f>IF($A902="","",IF($W902=1,Settings!$C$6,Settings!$C$7)*1)</f>
        <v/>
      </c>
      <c r="U902">
        <f>IF($A902="","",IF(COUNTIF($A$2:$A902,$A902)=1,1,0))</f>
        <v/>
      </c>
      <c r="V902">
        <f>IF($U902=1,SUMPRODUCT(--($X$2:$X$1001&lt;$X902))+1,"")</f>
        <v/>
      </c>
      <c r="W902">
        <f>IF($A902="","",IF(OR($T902=TRUE(),$T902="TRUE"),1,0))</f>
        <v/>
      </c>
      <c r="X902">
        <f>IF($U902=1,IFERROR(IF(VALUE($A902)&lt;100000000,VALUE($A902),1000000000),IFERROR(IF(VALUE(MID($A902,2,20))&lt;100000000,VALUE(MID($A902,2,20)),1000000000),1000000000))+ROW()/100000,"")</f>
        <v/>
      </c>
    </row>
    <row r="903">
      <c r="F903" s="7">
        <f>IF($A903="","",E903*N903/100)</f>
        <v/>
      </c>
      <c r="J903" s="7" t="n"/>
      <c r="K903" s="7">
        <f>IF($A903="","",S903*N903)</f>
        <v/>
      </c>
      <c r="L903" s="7">
        <f>IF($A903="","",N903-K903)</f>
        <v/>
      </c>
      <c r="M903" s="7">
        <f>IF($A903="","",L903-F903)</f>
        <v/>
      </c>
      <c r="N903" s="7" t="n"/>
      <c r="Q903" s="11" t="n"/>
      <c r="S903">
        <f>IF($A903="","",IF($W903=1,Settings!$C$6,Settings!$C$7)*1)</f>
        <v/>
      </c>
      <c r="U903">
        <f>IF($A903="","",IF(COUNTIF($A$2:$A903,$A903)=1,1,0))</f>
        <v/>
      </c>
      <c r="V903">
        <f>IF($U903=1,SUMPRODUCT(--($X$2:$X$1001&lt;$X903))+1,"")</f>
        <v/>
      </c>
      <c r="W903">
        <f>IF($A903="","",IF(OR($T903=TRUE(),$T903="TRUE"),1,0))</f>
        <v/>
      </c>
      <c r="X903">
        <f>IF($U903=1,IFERROR(IF(VALUE($A903)&lt;100000000,VALUE($A903),1000000000),IFERROR(IF(VALUE(MID($A903,2,20))&lt;100000000,VALUE(MID($A903,2,20)),1000000000),1000000000))+ROW()/100000,"")</f>
        <v/>
      </c>
    </row>
    <row r="904">
      <c r="F904" s="7">
        <f>IF($A904="","",E904*N904/100)</f>
        <v/>
      </c>
      <c r="J904" s="7" t="n"/>
      <c r="K904" s="7">
        <f>IF($A904="","",S904*N904)</f>
        <v/>
      </c>
      <c r="L904" s="7">
        <f>IF($A904="","",N904-K904)</f>
        <v/>
      </c>
      <c r="M904" s="7">
        <f>IF($A904="","",L904-F904)</f>
        <v/>
      </c>
      <c r="N904" s="7" t="n"/>
      <c r="Q904" s="11" t="n"/>
      <c r="S904">
        <f>IF($A904="","",IF($W904=1,Settings!$C$6,Settings!$C$7)*1)</f>
        <v/>
      </c>
      <c r="U904">
        <f>IF($A904="","",IF(COUNTIF($A$2:$A904,$A904)=1,1,0))</f>
        <v/>
      </c>
      <c r="V904">
        <f>IF($U904=1,SUMPRODUCT(--($X$2:$X$1001&lt;$X904))+1,"")</f>
        <v/>
      </c>
      <c r="W904">
        <f>IF($A904="","",IF(OR($T904=TRUE(),$T904="TRUE"),1,0))</f>
        <v/>
      </c>
      <c r="X904">
        <f>IF($U904=1,IFERROR(IF(VALUE($A904)&lt;100000000,VALUE($A904),1000000000),IFERROR(IF(VALUE(MID($A904,2,20))&lt;100000000,VALUE(MID($A904,2,20)),1000000000),1000000000))+ROW()/100000,"")</f>
        <v/>
      </c>
    </row>
    <row r="905">
      <c r="F905" s="7">
        <f>IF($A905="","",E905*N905/100)</f>
        <v/>
      </c>
      <c r="J905" s="7" t="n"/>
      <c r="K905" s="7">
        <f>IF($A905="","",S905*N905)</f>
        <v/>
      </c>
      <c r="L905" s="7">
        <f>IF($A905="","",N905-K905)</f>
        <v/>
      </c>
      <c r="M905" s="7">
        <f>IF($A905="","",L905-F905)</f>
        <v/>
      </c>
      <c r="N905" s="7" t="n"/>
      <c r="Q905" s="11" t="n"/>
      <c r="S905">
        <f>IF($A905="","",IF($W905=1,Settings!$C$6,Settings!$C$7)*1)</f>
        <v/>
      </c>
      <c r="U905">
        <f>IF($A905="","",IF(COUNTIF($A$2:$A905,$A905)=1,1,0))</f>
        <v/>
      </c>
      <c r="V905">
        <f>IF($U905=1,SUMPRODUCT(--($X$2:$X$1001&lt;$X905))+1,"")</f>
        <v/>
      </c>
      <c r="W905">
        <f>IF($A905="","",IF(OR($T905=TRUE(),$T905="TRUE"),1,0))</f>
        <v/>
      </c>
      <c r="X905">
        <f>IF($U905=1,IFERROR(IF(VALUE($A905)&lt;100000000,VALUE($A905),1000000000),IFERROR(IF(VALUE(MID($A905,2,20))&lt;100000000,VALUE(MID($A905,2,20)),1000000000),1000000000))+ROW()/100000,"")</f>
        <v/>
      </c>
    </row>
    <row r="906">
      <c r="F906" s="7">
        <f>IF($A906="","",E906*N906/100)</f>
        <v/>
      </c>
      <c r="J906" s="7" t="n"/>
      <c r="K906" s="7">
        <f>IF($A906="","",S906*N906)</f>
        <v/>
      </c>
      <c r="L906" s="7">
        <f>IF($A906="","",N906-K906)</f>
        <v/>
      </c>
      <c r="M906" s="7">
        <f>IF($A906="","",L906-F906)</f>
        <v/>
      </c>
      <c r="N906" s="7" t="n"/>
      <c r="Q906" s="11" t="n"/>
      <c r="S906">
        <f>IF($A906="","",IF($W906=1,Settings!$C$6,Settings!$C$7)*1)</f>
        <v/>
      </c>
      <c r="U906">
        <f>IF($A906="","",IF(COUNTIF($A$2:$A906,$A906)=1,1,0))</f>
        <v/>
      </c>
      <c r="V906">
        <f>IF($U906=1,SUMPRODUCT(--($X$2:$X$1001&lt;$X906))+1,"")</f>
        <v/>
      </c>
      <c r="W906">
        <f>IF($A906="","",IF(OR($T906=TRUE(),$T906="TRUE"),1,0))</f>
        <v/>
      </c>
      <c r="X906">
        <f>IF($U906=1,IFERROR(IF(VALUE($A906)&lt;100000000,VALUE($A906),1000000000),IFERROR(IF(VALUE(MID($A906,2,20))&lt;100000000,VALUE(MID($A906,2,20)),1000000000),1000000000))+ROW()/100000,"")</f>
        <v/>
      </c>
    </row>
    <row r="907">
      <c r="F907" s="7">
        <f>IF($A907="","",E907*N907/100)</f>
        <v/>
      </c>
      <c r="J907" s="7" t="n"/>
      <c r="K907" s="7">
        <f>IF($A907="","",S907*N907)</f>
        <v/>
      </c>
      <c r="L907" s="7">
        <f>IF($A907="","",N907-K907)</f>
        <v/>
      </c>
      <c r="M907" s="7">
        <f>IF($A907="","",L907-F907)</f>
        <v/>
      </c>
      <c r="N907" s="7" t="n"/>
      <c r="Q907" s="11" t="n"/>
      <c r="S907">
        <f>IF($A907="","",IF($W907=1,Settings!$C$6,Settings!$C$7)*1)</f>
        <v/>
      </c>
      <c r="U907">
        <f>IF($A907="","",IF(COUNTIF($A$2:$A907,$A907)=1,1,0))</f>
        <v/>
      </c>
      <c r="V907">
        <f>IF($U907=1,SUMPRODUCT(--($X$2:$X$1001&lt;$X907))+1,"")</f>
        <v/>
      </c>
      <c r="W907">
        <f>IF($A907="","",IF(OR($T907=TRUE(),$T907="TRUE"),1,0))</f>
        <v/>
      </c>
      <c r="X907">
        <f>IF($U907=1,IFERROR(IF(VALUE($A907)&lt;100000000,VALUE($A907),1000000000),IFERROR(IF(VALUE(MID($A907,2,20))&lt;100000000,VALUE(MID($A907,2,20)),1000000000),1000000000))+ROW()/100000,"")</f>
        <v/>
      </c>
    </row>
    <row r="908">
      <c r="F908" s="7">
        <f>IF($A908="","",E908*N908/100)</f>
        <v/>
      </c>
      <c r="J908" s="7" t="n"/>
      <c r="K908" s="7">
        <f>IF($A908="","",S908*N908)</f>
        <v/>
      </c>
      <c r="L908" s="7">
        <f>IF($A908="","",N908-K908)</f>
        <v/>
      </c>
      <c r="M908" s="7">
        <f>IF($A908="","",L908-F908)</f>
        <v/>
      </c>
      <c r="N908" s="7" t="n"/>
      <c r="Q908" s="11" t="n"/>
      <c r="S908">
        <f>IF($A908="","",IF($W908=1,Settings!$C$6,Settings!$C$7)*1)</f>
        <v/>
      </c>
      <c r="U908">
        <f>IF($A908="","",IF(COUNTIF($A$2:$A908,$A908)=1,1,0))</f>
        <v/>
      </c>
      <c r="V908">
        <f>IF($U908=1,SUMPRODUCT(--($X$2:$X$1001&lt;$X908))+1,"")</f>
        <v/>
      </c>
      <c r="W908">
        <f>IF($A908="","",IF(OR($T908=TRUE(),$T908="TRUE"),1,0))</f>
        <v/>
      </c>
      <c r="X908">
        <f>IF($U908=1,IFERROR(IF(VALUE($A908)&lt;100000000,VALUE($A908),1000000000),IFERROR(IF(VALUE(MID($A908,2,20))&lt;100000000,VALUE(MID($A908,2,20)),1000000000),1000000000))+ROW()/100000,"")</f>
        <v/>
      </c>
    </row>
    <row r="909">
      <c r="F909" s="7">
        <f>IF($A909="","",E909*N909/100)</f>
        <v/>
      </c>
      <c r="J909" s="7" t="n"/>
      <c r="K909" s="7">
        <f>IF($A909="","",S909*N909)</f>
        <v/>
      </c>
      <c r="L909" s="7">
        <f>IF($A909="","",N909-K909)</f>
        <v/>
      </c>
      <c r="M909" s="7">
        <f>IF($A909="","",L909-F909)</f>
        <v/>
      </c>
      <c r="N909" s="7" t="n"/>
      <c r="Q909" s="11" t="n"/>
      <c r="S909">
        <f>IF($A909="","",IF($W909=1,Settings!$C$6,Settings!$C$7)*1)</f>
        <v/>
      </c>
      <c r="U909">
        <f>IF($A909="","",IF(COUNTIF($A$2:$A909,$A909)=1,1,0))</f>
        <v/>
      </c>
      <c r="V909">
        <f>IF($U909=1,SUMPRODUCT(--($X$2:$X$1001&lt;$X909))+1,"")</f>
        <v/>
      </c>
      <c r="W909">
        <f>IF($A909="","",IF(OR($T909=TRUE(),$T909="TRUE"),1,0))</f>
        <v/>
      </c>
      <c r="X909">
        <f>IF($U909=1,IFERROR(IF(VALUE($A909)&lt;100000000,VALUE($A909),1000000000),IFERROR(IF(VALUE(MID($A909,2,20))&lt;100000000,VALUE(MID($A909,2,20)),1000000000),1000000000))+ROW()/100000,"")</f>
        <v/>
      </c>
    </row>
    <row r="910">
      <c r="F910" s="7">
        <f>IF($A910="","",E910*N910/100)</f>
        <v/>
      </c>
      <c r="J910" s="7" t="n"/>
      <c r="K910" s="7">
        <f>IF($A910="","",S910*N910)</f>
        <v/>
      </c>
      <c r="L910" s="7">
        <f>IF($A910="","",N910-K910)</f>
        <v/>
      </c>
      <c r="M910" s="7">
        <f>IF($A910="","",L910-F910)</f>
        <v/>
      </c>
      <c r="N910" s="7" t="n"/>
      <c r="Q910" s="11" t="n"/>
      <c r="S910">
        <f>IF($A910="","",IF($W910=1,Settings!$C$6,Settings!$C$7)*1)</f>
        <v/>
      </c>
      <c r="U910">
        <f>IF($A910="","",IF(COUNTIF($A$2:$A910,$A910)=1,1,0))</f>
        <v/>
      </c>
      <c r="V910">
        <f>IF($U910=1,SUMPRODUCT(--($X$2:$X$1001&lt;$X910))+1,"")</f>
        <v/>
      </c>
      <c r="W910">
        <f>IF($A910="","",IF(OR($T910=TRUE(),$T910="TRUE"),1,0))</f>
        <v/>
      </c>
      <c r="X910">
        <f>IF($U910=1,IFERROR(IF(VALUE($A910)&lt;100000000,VALUE($A910),1000000000),IFERROR(IF(VALUE(MID($A910,2,20))&lt;100000000,VALUE(MID($A910,2,20)),1000000000),1000000000))+ROW()/100000,"")</f>
        <v/>
      </c>
    </row>
    <row r="911">
      <c r="F911" s="7">
        <f>IF($A911="","",E911*N911/100)</f>
        <v/>
      </c>
      <c r="J911" s="7" t="n"/>
      <c r="K911" s="7">
        <f>IF($A911="","",S911*N911)</f>
        <v/>
      </c>
      <c r="L911" s="7">
        <f>IF($A911="","",N911-K911)</f>
        <v/>
      </c>
      <c r="M911" s="7">
        <f>IF($A911="","",L911-F911)</f>
        <v/>
      </c>
      <c r="N911" s="7" t="n"/>
      <c r="Q911" s="11" t="n"/>
      <c r="S911">
        <f>IF($A911="","",IF($W911=1,Settings!$C$6,Settings!$C$7)*1)</f>
        <v/>
      </c>
      <c r="U911">
        <f>IF($A911="","",IF(COUNTIF($A$2:$A911,$A911)=1,1,0))</f>
        <v/>
      </c>
      <c r="V911">
        <f>IF($U911=1,SUMPRODUCT(--($X$2:$X$1001&lt;$X911))+1,"")</f>
        <v/>
      </c>
      <c r="W911">
        <f>IF($A911="","",IF(OR($T911=TRUE(),$T911="TRUE"),1,0))</f>
        <v/>
      </c>
      <c r="X911">
        <f>IF($U911=1,IFERROR(IF(VALUE($A911)&lt;100000000,VALUE($A911),1000000000),IFERROR(IF(VALUE(MID($A911,2,20))&lt;100000000,VALUE(MID($A911,2,20)),1000000000),1000000000))+ROW()/100000,"")</f>
        <v/>
      </c>
    </row>
    <row r="912">
      <c r="F912" s="7">
        <f>IF($A912="","",E912*N912/100)</f>
        <v/>
      </c>
      <c r="J912" s="7" t="n"/>
      <c r="K912" s="7">
        <f>IF($A912="","",S912*N912)</f>
        <v/>
      </c>
      <c r="L912" s="7">
        <f>IF($A912="","",N912-K912)</f>
        <v/>
      </c>
      <c r="M912" s="7">
        <f>IF($A912="","",L912-F912)</f>
        <v/>
      </c>
      <c r="N912" s="7" t="n"/>
      <c r="Q912" s="11" t="n"/>
      <c r="S912">
        <f>IF($A912="","",IF($W912=1,Settings!$C$6,Settings!$C$7)*1)</f>
        <v/>
      </c>
      <c r="U912">
        <f>IF($A912="","",IF(COUNTIF($A$2:$A912,$A912)=1,1,0))</f>
        <v/>
      </c>
      <c r="V912">
        <f>IF($U912=1,SUMPRODUCT(--($X$2:$X$1001&lt;$X912))+1,"")</f>
        <v/>
      </c>
      <c r="W912">
        <f>IF($A912="","",IF(OR($T912=TRUE(),$T912="TRUE"),1,0))</f>
        <v/>
      </c>
      <c r="X912">
        <f>IF($U912=1,IFERROR(IF(VALUE($A912)&lt;100000000,VALUE($A912),1000000000),IFERROR(IF(VALUE(MID($A912,2,20))&lt;100000000,VALUE(MID($A912,2,20)),1000000000),1000000000))+ROW()/100000,"")</f>
        <v/>
      </c>
    </row>
    <row r="913">
      <c r="F913" s="7">
        <f>IF($A913="","",E913*N913/100)</f>
        <v/>
      </c>
      <c r="J913" s="7" t="n"/>
      <c r="K913" s="7">
        <f>IF($A913="","",S913*N913)</f>
        <v/>
      </c>
      <c r="L913" s="7">
        <f>IF($A913="","",N913-K913)</f>
        <v/>
      </c>
      <c r="M913" s="7">
        <f>IF($A913="","",L913-F913)</f>
        <v/>
      </c>
      <c r="N913" s="7" t="n"/>
      <c r="Q913" s="11" t="n"/>
      <c r="S913">
        <f>IF($A913="","",IF($W913=1,Settings!$C$6,Settings!$C$7)*1)</f>
        <v/>
      </c>
      <c r="U913">
        <f>IF($A913="","",IF(COUNTIF($A$2:$A913,$A913)=1,1,0))</f>
        <v/>
      </c>
      <c r="V913">
        <f>IF($U913=1,SUMPRODUCT(--($X$2:$X$1001&lt;$X913))+1,"")</f>
        <v/>
      </c>
      <c r="W913">
        <f>IF($A913="","",IF(OR($T913=TRUE(),$T913="TRUE"),1,0))</f>
        <v/>
      </c>
      <c r="X913">
        <f>IF($U913=1,IFERROR(IF(VALUE($A913)&lt;100000000,VALUE($A913),1000000000),IFERROR(IF(VALUE(MID($A913,2,20))&lt;100000000,VALUE(MID($A913,2,20)),1000000000),1000000000))+ROW()/100000,"")</f>
        <v/>
      </c>
    </row>
    <row r="914">
      <c r="F914" s="7">
        <f>IF($A914="","",E914*N914/100)</f>
        <v/>
      </c>
      <c r="J914" s="7" t="n"/>
      <c r="K914" s="7">
        <f>IF($A914="","",S914*N914)</f>
        <v/>
      </c>
      <c r="L914" s="7">
        <f>IF($A914="","",N914-K914)</f>
        <v/>
      </c>
      <c r="M914" s="7">
        <f>IF($A914="","",L914-F914)</f>
        <v/>
      </c>
      <c r="N914" s="7" t="n"/>
      <c r="Q914" s="11" t="n"/>
      <c r="S914">
        <f>IF($A914="","",IF($W914=1,Settings!$C$6,Settings!$C$7)*1)</f>
        <v/>
      </c>
      <c r="U914">
        <f>IF($A914="","",IF(COUNTIF($A$2:$A914,$A914)=1,1,0))</f>
        <v/>
      </c>
      <c r="V914">
        <f>IF($U914=1,SUMPRODUCT(--($X$2:$X$1001&lt;$X914))+1,"")</f>
        <v/>
      </c>
      <c r="W914">
        <f>IF($A914="","",IF(OR($T914=TRUE(),$T914="TRUE"),1,0))</f>
        <v/>
      </c>
      <c r="X914">
        <f>IF($U914=1,IFERROR(IF(VALUE($A914)&lt;100000000,VALUE($A914),1000000000),IFERROR(IF(VALUE(MID($A914,2,20))&lt;100000000,VALUE(MID($A914,2,20)),1000000000),1000000000))+ROW()/100000,"")</f>
        <v/>
      </c>
    </row>
    <row r="915">
      <c r="F915" s="7">
        <f>IF($A915="","",E915*N915/100)</f>
        <v/>
      </c>
      <c r="J915" s="7" t="n"/>
      <c r="K915" s="7">
        <f>IF($A915="","",S915*N915)</f>
        <v/>
      </c>
      <c r="L915" s="7">
        <f>IF($A915="","",N915-K915)</f>
        <v/>
      </c>
      <c r="M915" s="7">
        <f>IF($A915="","",L915-F915)</f>
        <v/>
      </c>
      <c r="N915" s="7" t="n"/>
      <c r="Q915" s="11" t="n"/>
      <c r="S915">
        <f>IF($A915="","",IF($W915=1,Settings!$C$6,Settings!$C$7)*1)</f>
        <v/>
      </c>
      <c r="U915">
        <f>IF($A915="","",IF(COUNTIF($A$2:$A915,$A915)=1,1,0))</f>
        <v/>
      </c>
      <c r="V915">
        <f>IF($U915=1,SUMPRODUCT(--($X$2:$X$1001&lt;$X915))+1,"")</f>
        <v/>
      </c>
      <c r="W915">
        <f>IF($A915="","",IF(OR($T915=TRUE(),$T915="TRUE"),1,0))</f>
        <v/>
      </c>
      <c r="X915">
        <f>IF($U915=1,IFERROR(IF(VALUE($A915)&lt;100000000,VALUE($A915),1000000000),IFERROR(IF(VALUE(MID($A915,2,20))&lt;100000000,VALUE(MID($A915,2,20)),1000000000),1000000000))+ROW()/100000,"")</f>
        <v/>
      </c>
    </row>
    <row r="916">
      <c r="F916" s="7">
        <f>IF($A916="","",E916*N916/100)</f>
        <v/>
      </c>
      <c r="J916" s="7" t="n"/>
      <c r="K916" s="7">
        <f>IF($A916="","",S916*N916)</f>
        <v/>
      </c>
      <c r="L916" s="7">
        <f>IF($A916="","",N916-K916)</f>
        <v/>
      </c>
      <c r="M916" s="7">
        <f>IF($A916="","",L916-F916)</f>
        <v/>
      </c>
      <c r="N916" s="7" t="n"/>
      <c r="Q916" s="11" t="n"/>
      <c r="S916">
        <f>IF($A916="","",IF($W916=1,Settings!$C$6,Settings!$C$7)*1)</f>
        <v/>
      </c>
      <c r="U916">
        <f>IF($A916="","",IF(COUNTIF($A$2:$A916,$A916)=1,1,0))</f>
        <v/>
      </c>
      <c r="V916">
        <f>IF($U916=1,SUMPRODUCT(--($X$2:$X$1001&lt;$X916))+1,"")</f>
        <v/>
      </c>
      <c r="W916">
        <f>IF($A916="","",IF(OR($T916=TRUE(),$T916="TRUE"),1,0))</f>
        <v/>
      </c>
      <c r="X916">
        <f>IF($U916=1,IFERROR(IF(VALUE($A916)&lt;100000000,VALUE($A916),1000000000),IFERROR(IF(VALUE(MID($A916,2,20))&lt;100000000,VALUE(MID($A916,2,20)),1000000000),1000000000))+ROW()/100000,"")</f>
        <v/>
      </c>
    </row>
    <row r="917">
      <c r="F917" s="7">
        <f>IF($A917="","",E917*N917/100)</f>
        <v/>
      </c>
      <c r="J917" s="7" t="n"/>
      <c r="K917" s="7">
        <f>IF($A917="","",S917*N917)</f>
        <v/>
      </c>
      <c r="L917" s="7">
        <f>IF($A917="","",N917-K917)</f>
        <v/>
      </c>
      <c r="M917" s="7">
        <f>IF($A917="","",L917-F917)</f>
        <v/>
      </c>
      <c r="N917" s="7" t="n"/>
      <c r="Q917" s="11" t="n"/>
      <c r="S917">
        <f>IF($A917="","",IF($W917=1,Settings!$C$6,Settings!$C$7)*1)</f>
        <v/>
      </c>
      <c r="U917">
        <f>IF($A917="","",IF(COUNTIF($A$2:$A917,$A917)=1,1,0))</f>
        <v/>
      </c>
      <c r="V917">
        <f>IF($U917=1,SUMPRODUCT(--($X$2:$X$1001&lt;$X917))+1,"")</f>
        <v/>
      </c>
      <c r="W917">
        <f>IF($A917="","",IF(OR($T917=TRUE(),$T917="TRUE"),1,0))</f>
        <v/>
      </c>
      <c r="X917">
        <f>IF($U917=1,IFERROR(IF(VALUE($A917)&lt;100000000,VALUE($A917),1000000000),IFERROR(IF(VALUE(MID($A917,2,20))&lt;100000000,VALUE(MID($A917,2,20)),1000000000),1000000000))+ROW()/100000,"")</f>
        <v/>
      </c>
    </row>
    <row r="918">
      <c r="F918" s="7">
        <f>IF($A918="","",E918*N918/100)</f>
        <v/>
      </c>
      <c r="J918" s="7" t="n"/>
      <c r="K918" s="7">
        <f>IF($A918="","",S918*N918)</f>
        <v/>
      </c>
      <c r="L918" s="7">
        <f>IF($A918="","",N918-K918)</f>
        <v/>
      </c>
      <c r="M918" s="7">
        <f>IF($A918="","",L918-F918)</f>
        <v/>
      </c>
      <c r="N918" s="7" t="n"/>
      <c r="Q918" s="11" t="n"/>
      <c r="S918">
        <f>IF($A918="","",IF($W918=1,Settings!$C$6,Settings!$C$7)*1)</f>
        <v/>
      </c>
      <c r="U918">
        <f>IF($A918="","",IF(COUNTIF($A$2:$A918,$A918)=1,1,0))</f>
        <v/>
      </c>
      <c r="V918">
        <f>IF($U918=1,SUMPRODUCT(--($X$2:$X$1001&lt;$X918))+1,"")</f>
        <v/>
      </c>
      <c r="W918">
        <f>IF($A918="","",IF(OR($T918=TRUE(),$T918="TRUE"),1,0))</f>
        <v/>
      </c>
      <c r="X918">
        <f>IF($U918=1,IFERROR(IF(VALUE($A918)&lt;100000000,VALUE($A918),1000000000),IFERROR(IF(VALUE(MID($A918,2,20))&lt;100000000,VALUE(MID($A918,2,20)),1000000000),1000000000))+ROW()/100000,"")</f>
        <v/>
      </c>
    </row>
    <row r="919">
      <c r="F919" s="7">
        <f>IF($A919="","",E919*N919/100)</f>
        <v/>
      </c>
      <c r="J919" s="7" t="n"/>
      <c r="K919" s="7">
        <f>IF($A919="","",S919*N919)</f>
        <v/>
      </c>
      <c r="L919" s="7">
        <f>IF($A919="","",N919-K919)</f>
        <v/>
      </c>
      <c r="M919" s="7">
        <f>IF($A919="","",L919-F919)</f>
        <v/>
      </c>
      <c r="N919" s="7" t="n"/>
      <c r="Q919" s="11" t="n"/>
      <c r="S919">
        <f>IF($A919="","",IF($W919=1,Settings!$C$6,Settings!$C$7)*1)</f>
        <v/>
      </c>
      <c r="U919">
        <f>IF($A919="","",IF(COUNTIF($A$2:$A919,$A919)=1,1,0))</f>
        <v/>
      </c>
      <c r="V919">
        <f>IF($U919=1,SUMPRODUCT(--($X$2:$X$1001&lt;$X919))+1,"")</f>
        <v/>
      </c>
      <c r="W919">
        <f>IF($A919="","",IF(OR($T919=TRUE(),$T919="TRUE"),1,0))</f>
        <v/>
      </c>
      <c r="X919">
        <f>IF($U919=1,IFERROR(IF(VALUE($A919)&lt;100000000,VALUE($A919),1000000000),IFERROR(IF(VALUE(MID($A919,2,20))&lt;100000000,VALUE(MID($A919,2,20)),1000000000),1000000000))+ROW()/100000,"")</f>
        <v/>
      </c>
    </row>
    <row r="920">
      <c r="F920" s="7">
        <f>IF($A920="","",E920*N920/100)</f>
        <v/>
      </c>
      <c r="J920" s="7" t="n"/>
      <c r="K920" s="7">
        <f>IF($A920="","",S920*N920)</f>
        <v/>
      </c>
      <c r="L920" s="7">
        <f>IF($A920="","",N920-K920)</f>
        <v/>
      </c>
      <c r="M920" s="7">
        <f>IF($A920="","",L920-F920)</f>
        <v/>
      </c>
      <c r="N920" s="7" t="n"/>
      <c r="Q920" s="11" t="n"/>
      <c r="S920">
        <f>IF($A920="","",IF($W920=1,Settings!$C$6,Settings!$C$7)*1)</f>
        <v/>
      </c>
      <c r="U920">
        <f>IF($A920="","",IF(COUNTIF($A$2:$A920,$A920)=1,1,0))</f>
        <v/>
      </c>
      <c r="V920">
        <f>IF($U920=1,SUMPRODUCT(--($X$2:$X$1001&lt;$X920))+1,"")</f>
        <v/>
      </c>
      <c r="W920">
        <f>IF($A920="","",IF(OR($T920=TRUE(),$T920="TRUE"),1,0))</f>
        <v/>
      </c>
      <c r="X920">
        <f>IF($U920=1,IFERROR(IF(VALUE($A920)&lt;100000000,VALUE($A920),1000000000),IFERROR(IF(VALUE(MID($A920,2,20))&lt;100000000,VALUE(MID($A920,2,20)),1000000000),1000000000))+ROW()/100000,"")</f>
        <v/>
      </c>
    </row>
    <row r="921">
      <c r="F921" s="7">
        <f>IF($A921="","",E921*N921/100)</f>
        <v/>
      </c>
      <c r="J921" s="7" t="n"/>
      <c r="K921" s="7">
        <f>IF($A921="","",S921*N921)</f>
        <v/>
      </c>
      <c r="L921" s="7">
        <f>IF($A921="","",N921-K921)</f>
        <v/>
      </c>
      <c r="M921" s="7">
        <f>IF($A921="","",L921-F921)</f>
        <v/>
      </c>
      <c r="N921" s="7" t="n"/>
      <c r="Q921" s="11" t="n"/>
      <c r="S921">
        <f>IF($A921="","",IF($W921=1,Settings!$C$6,Settings!$C$7)*1)</f>
        <v/>
      </c>
      <c r="U921">
        <f>IF($A921="","",IF(COUNTIF($A$2:$A921,$A921)=1,1,0))</f>
        <v/>
      </c>
      <c r="V921">
        <f>IF($U921=1,SUMPRODUCT(--($X$2:$X$1001&lt;$X921))+1,"")</f>
        <v/>
      </c>
      <c r="W921">
        <f>IF($A921="","",IF(OR($T921=TRUE(),$T921="TRUE"),1,0))</f>
        <v/>
      </c>
      <c r="X921">
        <f>IF($U921=1,IFERROR(IF(VALUE($A921)&lt;100000000,VALUE($A921),1000000000),IFERROR(IF(VALUE(MID($A921,2,20))&lt;100000000,VALUE(MID($A921,2,20)),1000000000),1000000000))+ROW()/100000,"")</f>
        <v/>
      </c>
    </row>
    <row r="922">
      <c r="F922" s="7">
        <f>IF($A922="","",E922*N922/100)</f>
        <v/>
      </c>
      <c r="J922" s="7" t="n"/>
      <c r="K922" s="7">
        <f>IF($A922="","",S922*N922)</f>
        <v/>
      </c>
      <c r="L922" s="7">
        <f>IF($A922="","",N922-K922)</f>
        <v/>
      </c>
      <c r="M922" s="7">
        <f>IF($A922="","",L922-F922)</f>
        <v/>
      </c>
      <c r="N922" s="7" t="n"/>
      <c r="Q922" s="11" t="n"/>
      <c r="S922">
        <f>IF($A922="","",IF($W922=1,Settings!$C$6,Settings!$C$7)*1)</f>
        <v/>
      </c>
      <c r="U922">
        <f>IF($A922="","",IF(COUNTIF($A$2:$A922,$A922)=1,1,0))</f>
        <v/>
      </c>
      <c r="V922">
        <f>IF($U922=1,SUMPRODUCT(--($X$2:$X$1001&lt;$X922))+1,"")</f>
        <v/>
      </c>
      <c r="W922">
        <f>IF($A922="","",IF(OR($T922=TRUE(),$T922="TRUE"),1,0))</f>
        <v/>
      </c>
      <c r="X922">
        <f>IF($U922=1,IFERROR(IF(VALUE($A922)&lt;100000000,VALUE($A922),1000000000),IFERROR(IF(VALUE(MID($A922,2,20))&lt;100000000,VALUE(MID($A922,2,20)),1000000000),1000000000))+ROW()/100000,"")</f>
        <v/>
      </c>
    </row>
    <row r="923">
      <c r="F923" s="7">
        <f>IF($A923="","",E923*N923/100)</f>
        <v/>
      </c>
      <c r="J923" s="7" t="n"/>
      <c r="K923" s="7">
        <f>IF($A923="","",S923*N923)</f>
        <v/>
      </c>
      <c r="L923" s="7">
        <f>IF($A923="","",N923-K923)</f>
        <v/>
      </c>
      <c r="M923" s="7">
        <f>IF($A923="","",L923-F923)</f>
        <v/>
      </c>
      <c r="N923" s="7" t="n"/>
      <c r="Q923" s="11" t="n"/>
      <c r="S923">
        <f>IF($A923="","",IF($W923=1,Settings!$C$6,Settings!$C$7)*1)</f>
        <v/>
      </c>
      <c r="U923">
        <f>IF($A923="","",IF(COUNTIF($A$2:$A923,$A923)=1,1,0))</f>
        <v/>
      </c>
      <c r="V923">
        <f>IF($U923=1,SUMPRODUCT(--($X$2:$X$1001&lt;$X923))+1,"")</f>
        <v/>
      </c>
      <c r="W923">
        <f>IF($A923="","",IF(OR($T923=TRUE(),$T923="TRUE"),1,0))</f>
        <v/>
      </c>
      <c r="X923">
        <f>IF($U923=1,IFERROR(IF(VALUE($A923)&lt;100000000,VALUE($A923),1000000000),IFERROR(IF(VALUE(MID($A923,2,20))&lt;100000000,VALUE(MID($A923,2,20)),1000000000),1000000000))+ROW()/100000,"")</f>
        <v/>
      </c>
    </row>
    <row r="924">
      <c r="F924" s="7">
        <f>IF($A924="","",E924*N924/100)</f>
        <v/>
      </c>
      <c r="J924" s="7" t="n"/>
      <c r="K924" s="7">
        <f>IF($A924="","",S924*N924)</f>
        <v/>
      </c>
      <c r="L924" s="7">
        <f>IF($A924="","",N924-K924)</f>
        <v/>
      </c>
      <c r="M924" s="7">
        <f>IF($A924="","",L924-F924)</f>
        <v/>
      </c>
      <c r="N924" s="7" t="n"/>
      <c r="Q924" s="11" t="n"/>
      <c r="S924">
        <f>IF($A924="","",IF($W924=1,Settings!$C$6,Settings!$C$7)*1)</f>
        <v/>
      </c>
      <c r="U924">
        <f>IF($A924="","",IF(COUNTIF($A$2:$A924,$A924)=1,1,0))</f>
        <v/>
      </c>
      <c r="V924">
        <f>IF($U924=1,SUMPRODUCT(--($X$2:$X$1001&lt;$X924))+1,"")</f>
        <v/>
      </c>
      <c r="W924">
        <f>IF($A924="","",IF(OR($T924=TRUE(),$T924="TRUE"),1,0))</f>
        <v/>
      </c>
      <c r="X924">
        <f>IF($U924=1,IFERROR(IF(VALUE($A924)&lt;100000000,VALUE($A924),1000000000),IFERROR(IF(VALUE(MID($A924,2,20))&lt;100000000,VALUE(MID($A924,2,20)),1000000000),1000000000))+ROW()/100000,"")</f>
        <v/>
      </c>
    </row>
    <row r="925">
      <c r="F925" s="7">
        <f>IF($A925="","",E925*N925/100)</f>
        <v/>
      </c>
      <c r="J925" s="7" t="n"/>
      <c r="K925" s="7">
        <f>IF($A925="","",S925*N925)</f>
        <v/>
      </c>
      <c r="L925" s="7">
        <f>IF($A925="","",N925-K925)</f>
        <v/>
      </c>
      <c r="M925" s="7">
        <f>IF($A925="","",L925-F925)</f>
        <v/>
      </c>
      <c r="N925" s="7" t="n"/>
      <c r="Q925" s="11" t="n"/>
      <c r="S925">
        <f>IF($A925="","",IF($W925=1,Settings!$C$6,Settings!$C$7)*1)</f>
        <v/>
      </c>
      <c r="U925">
        <f>IF($A925="","",IF(COUNTIF($A$2:$A925,$A925)=1,1,0))</f>
        <v/>
      </c>
      <c r="V925">
        <f>IF($U925=1,SUMPRODUCT(--($X$2:$X$1001&lt;$X925))+1,"")</f>
        <v/>
      </c>
      <c r="W925">
        <f>IF($A925="","",IF(OR($T925=TRUE(),$T925="TRUE"),1,0))</f>
        <v/>
      </c>
      <c r="X925">
        <f>IF($U925=1,IFERROR(IF(VALUE($A925)&lt;100000000,VALUE($A925),1000000000),IFERROR(IF(VALUE(MID($A925,2,20))&lt;100000000,VALUE(MID($A925,2,20)),1000000000),1000000000))+ROW()/100000,"")</f>
        <v/>
      </c>
    </row>
    <row r="926">
      <c r="F926" s="7">
        <f>IF($A926="","",E926*N926/100)</f>
        <v/>
      </c>
      <c r="J926" s="7" t="n"/>
      <c r="K926" s="7">
        <f>IF($A926="","",S926*N926)</f>
        <v/>
      </c>
      <c r="L926" s="7">
        <f>IF($A926="","",N926-K926)</f>
        <v/>
      </c>
      <c r="M926" s="7">
        <f>IF($A926="","",L926-F926)</f>
        <v/>
      </c>
      <c r="N926" s="7" t="n"/>
      <c r="Q926" s="11" t="n"/>
      <c r="S926">
        <f>IF($A926="","",IF($W926=1,Settings!$C$6,Settings!$C$7)*1)</f>
        <v/>
      </c>
      <c r="U926">
        <f>IF($A926="","",IF(COUNTIF($A$2:$A926,$A926)=1,1,0))</f>
        <v/>
      </c>
      <c r="V926">
        <f>IF($U926=1,SUMPRODUCT(--($X$2:$X$1001&lt;$X926))+1,"")</f>
        <v/>
      </c>
      <c r="W926">
        <f>IF($A926="","",IF(OR($T926=TRUE(),$T926="TRUE"),1,0))</f>
        <v/>
      </c>
      <c r="X926">
        <f>IF($U926=1,IFERROR(IF(VALUE($A926)&lt;100000000,VALUE($A926),1000000000),IFERROR(IF(VALUE(MID($A926,2,20))&lt;100000000,VALUE(MID($A926,2,20)),1000000000),1000000000))+ROW()/100000,"")</f>
        <v/>
      </c>
    </row>
    <row r="927">
      <c r="F927" s="7">
        <f>IF($A927="","",E927*N927/100)</f>
        <v/>
      </c>
      <c r="J927" s="7" t="n"/>
      <c r="K927" s="7">
        <f>IF($A927="","",S927*N927)</f>
        <v/>
      </c>
      <c r="L927" s="7">
        <f>IF($A927="","",N927-K927)</f>
        <v/>
      </c>
      <c r="M927" s="7">
        <f>IF($A927="","",L927-F927)</f>
        <v/>
      </c>
      <c r="N927" s="7" t="n"/>
      <c r="Q927" s="11" t="n"/>
      <c r="S927">
        <f>IF($A927="","",IF($W927=1,Settings!$C$6,Settings!$C$7)*1)</f>
        <v/>
      </c>
      <c r="U927">
        <f>IF($A927="","",IF(COUNTIF($A$2:$A927,$A927)=1,1,0))</f>
        <v/>
      </c>
      <c r="V927">
        <f>IF($U927=1,SUMPRODUCT(--($X$2:$X$1001&lt;$X927))+1,"")</f>
        <v/>
      </c>
      <c r="W927">
        <f>IF($A927="","",IF(OR($T927=TRUE(),$T927="TRUE"),1,0))</f>
        <v/>
      </c>
      <c r="X927">
        <f>IF($U927=1,IFERROR(IF(VALUE($A927)&lt;100000000,VALUE($A927),1000000000),IFERROR(IF(VALUE(MID($A927,2,20))&lt;100000000,VALUE(MID($A927,2,20)),1000000000),1000000000))+ROW()/100000,"")</f>
        <v/>
      </c>
    </row>
    <row r="928">
      <c r="F928" s="7">
        <f>IF($A928="","",E928*N928/100)</f>
        <v/>
      </c>
      <c r="J928" s="7" t="n"/>
      <c r="K928" s="7">
        <f>IF($A928="","",S928*N928)</f>
        <v/>
      </c>
      <c r="L928" s="7">
        <f>IF($A928="","",N928-K928)</f>
        <v/>
      </c>
      <c r="M928" s="7">
        <f>IF($A928="","",L928-F928)</f>
        <v/>
      </c>
      <c r="N928" s="7" t="n"/>
      <c r="Q928" s="11" t="n"/>
      <c r="S928">
        <f>IF($A928="","",IF($W928=1,Settings!$C$6,Settings!$C$7)*1)</f>
        <v/>
      </c>
      <c r="U928">
        <f>IF($A928="","",IF(COUNTIF($A$2:$A928,$A928)=1,1,0))</f>
        <v/>
      </c>
      <c r="V928">
        <f>IF($U928=1,SUMPRODUCT(--($X$2:$X$1001&lt;$X928))+1,"")</f>
        <v/>
      </c>
      <c r="W928">
        <f>IF($A928="","",IF(OR($T928=TRUE(),$T928="TRUE"),1,0))</f>
        <v/>
      </c>
      <c r="X928">
        <f>IF($U928=1,IFERROR(IF(VALUE($A928)&lt;100000000,VALUE($A928),1000000000),IFERROR(IF(VALUE(MID($A928,2,20))&lt;100000000,VALUE(MID($A928,2,20)),1000000000),1000000000))+ROW()/100000,"")</f>
        <v/>
      </c>
    </row>
    <row r="929">
      <c r="F929" s="7">
        <f>IF($A929="","",E929*N929/100)</f>
        <v/>
      </c>
      <c r="J929" s="7" t="n"/>
      <c r="K929" s="7">
        <f>IF($A929="","",S929*N929)</f>
        <v/>
      </c>
      <c r="L929" s="7">
        <f>IF($A929="","",N929-K929)</f>
        <v/>
      </c>
      <c r="M929" s="7">
        <f>IF($A929="","",L929-F929)</f>
        <v/>
      </c>
      <c r="N929" s="7" t="n"/>
      <c r="Q929" s="11" t="n"/>
      <c r="S929">
        <f>IF($A929="","",IF($W929=1,Settings!$C$6,Settings!$C$7)*1)</f>
        <v/>
      </c>
      <c r="U929">
        <f>IF($A929="","",IF(COUNTIF($A$2:$A929,$A929)=1,1,0))</f>
        <v/>
      </c>
      <c r="V929">
        <f>IF($U929=1,SUMPRODUCT(--($X$2:$X$1001&lt;$X929))+1,"")</f>
        <v/>
      </c>
      <c r="W929">
        <f>IF($A929="","",IF(OR($T929=TRUE(),$T929="TRUE"),1,0))</f>
        <v/>
      </c>
      <c r="X929">
        <f>IF($U929=1,IFERROR(IF(VALUE($A929)&lt;100000000,VALUE($A929),1000000000),IFERROR(IF(VALUE(MID($A929,2,20))&lt;100000000,VALUE(MID($A929,2,20)),1000000000),1000000000))+ROW()/100000,"")</f>
        <v/>
      </c>
    </row>
    <row r="930">
      <c r="F930" s="7">
        <f>IF($A930="","",E930*N930/100)</f>
        <v/>
      </c>
      <c r="J930" s="7" t="n"/>
      <c r="K930" s="7">
        <f>IF($A930="","",S930*N930)</f>
        <v/>
      </c>
      <c r="L930" s="7">
        <f>IF($A930="","",N930-K930)</f>
        <v/>
      </c>
      <c r="M930" s="7">
        <f>IF($A930="","",L930-F930)</f>
        <v/>
      </c>
      <c r="N930" s="7" t="n"/>
      <c r="Q930" s="11" t="n"/>
      <c r="S930">
        <f>IF($A930="","",IF($W930=1,Settings!$C$6,Settings!$C$7)*1)</f>
        <v/>
      </c>
      <c r="U930">
        <f>IF($A930="","",IF(COUNTIF($A$2:$A930,$A930)=1,1,0))</f>
        <v/>
      </c>
      <c r="V930">
        <f>IF($U930=1,SUMPRODUCT(--($X$2:$X$1001&lt;$X930))+1,"")</f>
        <v/>
      </c>
      <c r="W930">
        <f>IF($A930="","",IF(OR($T930=TRUE(),$T930="TRUE"),1,0))</f>
        <v/>
      </c>
      <c r="X930">
        <f>IF($U930=1,IFERROR(IF(VALUE($A930)&lt;100000000,VALUE($A930),1000000000),IFERROR(IF(VALUE(MID($A930,2,20))&lt;100000000,VALUE(MID($A930,2,20)),1000000000),1000000000))+ROW()/100000,"")</f>
        <v/>
      </c>
    </row>
    <row r="931">
      <c r="F931" s="7">
        <f>IF($A931="","",E931*N931/100)</f>
        <v/>
      </c>
      <c r="J931" s="7" t="n"/>
      <c r="K931" s="7">
        <f>IF($A931="","",S931*N931)</f>
        <v/>
      </c>
      <c r="L931" s="7">
        <f>IF($A931="","",N931-K931)</f>
        <v/>
      </c>
      <c r="M931" s="7">
        <f>IF($A931="","",L931-F931)</f>
        <v/>
      </c>
      <c r="N931" s="7" t="n"/>
      <c r="Q931" s="11" t="n"/>
      <c r="S931">
        <f>IF($A931="","",IF($W931=1,Settings!$C$6,Settings!$C$7)*1)</f>
        <v/>
      </c>
      <c r="U931">
        <f>IF($A931="","",IF(COUNTIF($A$2:$A931,$A931)=1,1,0))</f>
        <v/>
      </c>
      <c r="V931">
        <f>IF($U931=1,SUMPRODUCT(--($X$2:$X$1001&lt;$X931))+1,"")</f>
        <v/>
      </c>
      <c r="W931">
        <f>IF($A931="","",IF(OR($T931=TRUE(),$T931="TRUE"),1,0))</f>
        <v/>
      </c>
      <c r="X931">
        <f>IF($U931=1,IFERROR(IF(VALUE($A931)&lt;100000000,VALUE($A931),1000000000),IFERROR(IF(VALUE(MID($A931,2,20))&lt;100000000,VALUE(MID($A931,2,20)),1000000000),1000000000))+ROW()/100000,"")</f>
        <v/>
      </c>
    </row>
    <row r="932">
      <c r="F932" s="7">
        <f>IF($A932="","",E932*N932/100)</f>
        <v/>
      </c>
      <c r="J932" s="7" t="n"/>
      <c r="K932" s="7">
        <f>IF($A932="","",S932*N932)</f>
        <v/>
      </c>
      <c r="L932" s="7">
        <f>IF($A932="","",N932-K932)</f>
        <v/>
      </c>
      <c r="M932" s="7">
        <f>IF($A932="","",L932-F932)</f>
        <v/>
      </c>
      <c r="N932" s="7" t="n"/>
      <c r="Q932" s="11" t="n"/>
      <c r="S932">
        <f>IF($A932="","",IF($W932=1,Settings!$C$6,Settings!$C$7)*1)</f>
        <v/>
      </c>
      <c r="U932">
        <f>IF($A932="","",IF(COUNTIF($A$2:$A932,$A932)=1,1,0))</f>
        <v/>
      </c>
      <c r="V932">
        <f>IF($U932=1,SUMPRODUCT(--($X$2:$X$1001&lt;$X932))+1,"")</f>
        <v/>
      </c>
      <c r="W932">
        <f>IF($A932="","",IF(OR($T932=TRUE(),$T932="TRUE"),1,0))</f>
        <v/>
      </c>
      <c r="X932">
        <f>IF($U932=1,IFERROR(IF(VALUE($A932)&lt;100000000,VALUE($A932),1000000000),IFERROR(IF(VALUE(MID($A932,2,20))&lt;100000000,VALUE(MID($A932,2,20)),1000000000),1000000000))+ROW()/100000,"")</f>
        <v/>
      </c>
    </row>
    <row r="933">
      <c r="F933" s="7">
        <f>IF($A933="","",E933*N933/100)</f>
        <v/>
      </c>
      <c r="J933" s="7" t="n"/>
      <c r="K933" s="7">
        <f>IF($A933="","",S933*N933)</f>
        <v/>
      </c>
      <c r="L933" s="7">
        <f>IF($A933="","",N933-K933)</f>
        <v/>
      </c>
      <c r="M933" s="7">
        <f>IF($A933="","",L933-F933)</f>
        <v/>
      </c>
      <c r="N933" s="7" t="n"/>
      <c r="Q933" s="11" t="n"/>
      <c r="S933">
        <f>IF($A933="","",IF($W933=1,Settings!$C$6,Settings!$C$7)*1)</f>
        <v/>
      </c>
      <c r="U933">
        <f>IF($A933="","",IF(COUNTIF($A$2:$A933,$A933)=1,1,0))</f>
        <v/>
      </c>
      <c r="V933">
        <f>IF($U933=1,SUMPRODUCT(--($X$2:$X$1001&lt;$X933))+1,"")</f>
        <v/>
      </c>
      <c r="W933">
        <f>IF($A933="","",IF(OR($T933=TRUE(),$T933="TRUE"),1,0))</f>
        <v/>
      </c>
      <c r="X933">
        <f>IF($U933=1,IFERROR(IF(VALUE($A933)&lt;100000000,VALUE($A933),1000000000),IFERROR(IF(VALUE(MID($A933,2,20))&lt;100000000,VALUE(MID($A933,2,20)),1000000000),1000000000))+ROW()/100000,"")</f>
        <v/>
      </c>
    </row>
    <row r="934">
      <c r="F934" s="7">
        <f>IF($A934="","",E934*N934/100)</f>
        <v/>
      </c>
      <c r="J934" s="7" t="n"/>
      <c r="K934" s="7">
        <f>IF($A934="","",S934*N934)</f>
        <v/>
      </c>
      <c r="L934" s="7">
        <f>IF($A934="","",N934-K934)</f>
        <v/>
      </c>
      <c r="M934" s="7">
        <f>IF($A934="","",L934-F934)</f>
        <v/>
      </c>
      <c r="N934" s="7" t="n"/>
      <c r="Q934" s="11" t="n"/>
      <c r="S934">
        <f>IF($A934="","",IF($W934=1,Settings!$C$6,Settings!$C$7)*1)</f>
        <v/>
      </c>
      <c r="U934">
        <f>IF($A934="","",IF(COUNTIF($A$2:$A934,$A934)=1,1,0))</f>
        <v/>
      </c>
      <c r="V934">
        <f>IF($U934=1,SUMPRODUCT(--($X$2:$X$1001&lt;$X934))+1,"")</f>
        <v/>
      </c>
      <c r="W934">
        <f>IF($A934="","",IF(OR($T934=TRUE(),$T934="TRUE"),1,0))</f>
        <v/>
      </c>
      <c r="X934">
        <f>IF($U934=1,IFERROR(IF(VALUE($A934)&lt;100000000,VALUE($A934),1000000000),IFERROR(IF(VALUE(MID($A934,2,20))&lt;100000000,VALUE(MID($A934,2,20)),1000000000),1000000000))+ROW()/100000,"")</f>
        <v/>
      </c>
    </row>
    <row r="935">
      <c r="F935" s="7">
        <f>IF($A935="","",E935*N935/100)</f>
        <v/>
      </c>
      <c r="J935" s="7" t="n"/>
      <c r="K935" s="7">
        <f>IF($A935="","",S935*N935)</f>
        <v/>
      </c>
      <c r="L935" s="7">
        <f>IF($A935="","",N935-K935)</f>
        <v/>
      </c>
      <c r="M935" s="7">
        <f>IF($A935="","",L935-F935)</f>
        <v/>
      </c>
      <c r="N935" s="7" t="n"/>
      <c r="Q935" s="11" t="n"/>
      <c r="S935">
        <f>IF($A935="","",IF($W935=1,Settings!$C$6,Settings!$C$7)*1)</f>
        <v/>
      </c>
      <c r="U935">
        <f>IF($A935="","",IF(COUNTIF($A$2:$A935,$A935)=1,1,0))</f>
        <v/>
      </c>
      <c r="V935">
        <f>IF($U935=1,SUMPRODUCT(--($X$2:$X$1001&lt;$X935))+1,"")</f>
        <v/>
      </c>
      <c r="W935">
        <f>IF($A935="","",IF(OR($T935=TRUE(),$T935="TRUE"),1,0))</f>
        <v/>
      </c>
      <c r="X935">
        <f>IF($U935=1,IFERROR(IF(VALUE($A935)&lt;100000000,VALUE($A935),1000000000),IFERROR(IF(VALUE(MID($A935,2,20))&lt;100000000,VALUE(MID($A935,2,20)),1000000000),1000000000))+ROW()/100000,"")</f>
        <v/>
      </c>
    </row>
    <row r="936">
      <c r="F936" s="7">
        <f>IF($A936="","",E936*N936/100)</f>
        <v/>
      </c>
      <c r="J936" s="7" t="n"/>
      <c r="K936" s="7">
        <f>IF($A936="","",S936*N936)</f>
        <v/>
      </c>
      <c r="L936" s="7">
        <f>IF($A936="","",N936-K936)</f>
        <v/>
      </c>
      <c r="M936" s="7">
        <f>IF($A936="","",L936-F936)</f>
        <v/>
      </c>
      <c r="N936" s="7" t="n"/>
      <c r="Q936" s="11" t="n"/>
      <c r="S936">
        <f>IF($A936="","",IF($W936=1,Settings!$C$6,Settings!$C$7)*1)</f>
        <v/>
      </c>
      <c r="U936">
        <f>IF($A936="","",IF(COUNTIF($A$2:$A936,$A936)=1,1,0))</f>
        <v/>
      </c>
      <c r="V936">
        <f>IF($U936=1,SUMPRODUCT(--($X$2:$X$1001&lt;$X936))+1,"")</f>
        <v/>
      </c>
      <c r="W936">
        <f>IF($A936="","",IF(OR($T936=TRUE(),$T936="TRUE"),1,0))</f>
        <v/>
      </c>
      <c r="X936">
        <f>IF($U936=1,IFERROR(IF(VALUE($A936)&lt;100000000,VALUE($A936),1000000000),IFERROR(IF(VALUE(MID($A936,2,20))&lt;100000000,VALUE(MID($A936,2,20)),1000000000),1000000000))+ROW()/100000,"")</f>
        <v/>
      </c>
    </row>
    <row r="937">
      <c r="F937" s="7">
        <f>IF($A937="","",E937*N937/100)</f>
        <v/>
      </c>
      <c r="J937" s="7" t="n"/>
      <c r="K937" s="7">
        <f>IF($A937="","",S937*N937)</f>
        <v/>
      </c>
      <c r="L937" s="7">
        <f>IF($A937="","",N937-K937)</f>
        <v/>
      </c>
      <c r="M937" s="7">
        <f>IF($A937="","",L937-F937)</f>
        <v/>
      </c>
      <c r="N937" s="7" t="n"/>
      <c r="Q937" s="11" t="n"/>
      <c r="S937">
        <f>IF($A937="","",IF($W937=1,Settings!$C$6,Settings!$C$7)*1)</f>
        <v/>
      </c>
      <c r="U937">
        <f>IF($A937="","",IF(COUNTIF($A$2:$A937,$A937)=1,1,0))</f>
        <v/>
      </c>
      <c r="V937">
        <f>IF($U937=1,SUMPRODUCT(--($X$2:$X$1001&lt;$X937))+1,"")</f>
        <v/>
      </c>
      <c r="W937">
        <f>IF($A937="","",IF(OR($T937=TRUE(),$T937="TRUE"),1,0))</f>
        <v/>
      </c>
      <c r="X937">
        <f>IF($U937=1,IFERROR(IF(VALUE($A937)&lt;100000000,VALUE($A937),1000000000),IFERROR(IF(VALUE(MID($A937,2,20))&lt;100000000,VALUE(MID($A937,2,20)),1000000000),1000000000))+ROW()/100000,"")</f>
        <v/>
      </c>
    </row>
    <row r="938">
      <c r="F938" s="7">
        <f>IF($A938="","",E938*N938/100)</f>
        <v/>
      </c>
      <c r="J938" s="7" t="n"/>
      <c r="K938" s="7">
        <f>IF($A938="","",S938*N938)</f>
        <v/>
      </c>
      <c r="L938" s="7">
        <f>IF($A938="","",N938-K938)</f>
        <v/>
      </c>
      <c r="M938" s="7">
        <f>IF($A938="","",L938-F938)</f>
        <v/>
      </c>
      <c r="N938" s="7" t="n"/>
      <c r="Q938" s="11" t="n"/>
      <c r="S938">
        <f>IF($A938="","",IF($W938=1,Settings!$C$6,Settings!$C$7)*1)</f>
        <v/>
      </c>
      <c r="U938">
        <f>IF($A938="","",IF(COUNTIF($A$2:$A938,$A938)=1,1,0))</f>
        <v/>
      </c>
      <c r="V938">
        <f>IF($U938=1,SUMPRODUCT(--($X$2:$X$1001&lt;$X938))+1,"")</f>
        <v/>
      </c>
      <c r="W938">
        <f>IF($A938="","",IF(OR($T938=TRUE(),$T938="TRUE"),1,0))</f>
        <v/>
      </c>
      <c r="X938">
        <f>IF($U938=1,IFERROR(IF(VALUE($A938)&lt;100000000,VALUE($A938),1000000000),IFERROR(IF(VALUE(MID($A938,2,20))&lt;100000000,VALUE(MID($A938,2,20)),1000000000),1000000000))+ROW()/100000,"")</f>
        <v/>
      </c>
    </row>
    <row r="939">
      <c r="F939" s="7">
        <f>IF($A939="","",E939*N939/100)</f>
        <v/>
      </c>
      <c r="J939" s="7" t="n"/>
      <c r="K939" s="7">
        <f>IF($A939="","",S939*N939)</f>
        <v/>
      </c>
      <c r="L939" s="7">
        <f>IF($A939="","",N939-K939)</f>
        <v/>
      </c>
      <c r="M939" s="7">
        <f>IF($A939="","",L939-F939)</f>
        <v/>
      </c>
      <c r="N939" s="7" t="n"/>
      <c r="Q939" s="11" t="n"/>
      <c r="S939">
        <f>IF($A939="","",IF($W939=1,Settings!$C$6,Settings!$C$7)*1)</f>
        <v/>
      </c>
      <c r="U939">
        <f>IF($A939="","",IF(COUNTIF($A$2:$A939,$A939)=1,1,0))</f>
        <v/>
      </c>
      <c r="V939">
        <f>IF($U939=1,SUMPRODUCT(--($X$2:$X$1001&lt;$X939))+1,"")</f>
        <v/>
      </c>
      <c r="W939">
        <f>IF($A939="","",IF(OR($T939=TRUE(),$T939="TRUE"),1,0))</f>
        <v/>
      </c>
      <c r="X939">
        <f>IF($U939=1,IFERROR(IF(VALUE($A939)&lt;100000000,VALUE($A939),1000000000),IFERROR(IF(VALUE(MID($A939,2,20))&lt;100000000,VALUE(MID($A939,2,20)),1000000000),1000000000))+ROW()/100000,"")</f>
        <v/>
      </c>
    </row>
    <row r="940">
      <c r="F940" s="7">
        <f>IF($A940="","",E940*N940/100)</f>
        <v/>
      </c>
      <c r="J940" s="7" t="n"/>
      <c r="K940" s="7">
        <f>IF($A940="","",S940*N940)</f>
        <v/>
      </c>
      <c r="L940" s="7">
        <f>IF($A940="","",N940-K940)</f>
        <v/>
      </c>
      <c r="M940" s="7">
        <f>IF($A940="","",L940-F940)</f>
        <v/>
      </c>
      <c r="N940" s="7" t="n"/>
      <c r="Q940" s="11" t="n"/>
      <c r="S940">
        <f>IF($A940="","",IF($W940=1,Settings!$C$6,Settings!$C$7)*1)</f>
        <v/>
      </c>
      <c r="U940">
        <f>IF($A940="","",IF(COUNTIF($A$2:$A940,$A940)=1,1,0))</f>
        <v/>
      </c>
      <c r="V940">
        <f>IF($U940=1,SUMPRODUCT(--($X$2:$X$1001&lt;$X940))+1,"")</f>
        <v/>
      </c>
      <c r="W940">
        <f>IF($A940="","",IF(OR($T940=TRUE(),$T940="TRUE"),1,0))</f>
        <v/>
      </c>
      <c r="X940">
        <f>IF($U940=1,IFERROR(IF(VALUE($A940)&lt;100000000,VALUE($A940),1000000000),IFERROR(IF(VALUE(MID($A940,2,20))&lt;100000000,VALUE(MID($A940,2,20)),1000000000),1000000000))+ROW()/100000,"")</f>
        <v/>
      </c>
    </row>
    <row r="941">
      <c r="F941" s="7">
        <f>IF($A941="","",E941*N941/100)</f>
        <v/>
      </c>
      <c r="J941" s="7" t="n"/>
      <c r="K941" s="7">
        <f>IF($A941="","",S941*N941)</f>
        <v/>
      </c>
      <c r="L941" s="7">
        <f>IF($A941="","",N941-K941)</f>
        <v/>
      </c>
      <c r="M941" s="7">
        <f>IF($A941="","",L941-F941)</f>
        <v/>
      </c>
      <c r="N941" s="7" t="n"/>
      <c r="Q941" s="11" t="n"/>
      <c r="S941">
        <f>IF($A941="","",IF($W941=1,Settings!$C$6,Settings!$C$7)*1)</f>
        <v/>
      </c>
      <c r="U941">
        <f>IF($A941="","",IF(COUNTIF($A$2:$A941,$A941)=1,1,0))</f>
        <v/>
      </c>
      <c r="V941">
        <f>IF($U941=1,SUMPRODUCT(--($X$2:$X$1001&lt;$X941))+1,"")</f>
        <v/>
      </c>
      <c r="W941">
        <f>IF($A941="","",IF(OR($T941=TRUE(),$T941="TRUE"),1,0))</f>
        <v/>
      </c>
      <c r="X941">
        <f>IF($U941=1,IFERROR(IF(VALUE($A941)&lt;100000000,VALUE($A941),1000000000),IFERROR(IF(VALUE(MID($A941,2,20))&lt;100000000,VALUE(MID($A941,2,20)),1000000000),1000000000))+ROW()/100000,"")</f>
        <v/>
      </c>
    </row>
    <row r="942">
      <c r="F942" s="7">
        <f>IF($A942="","",E942*N942/100)</f>
        <v/>
      </c>
      <c r="J942" s="7" t="n"/>
      <c r="K942" s="7">
        <f>IF($A942="","",S942*N942)</f>
        <v/>
      </c>
      <c r="L942" s="7">
        <f>IF($A942="","",N942-K942)</f>
        <v/>
      </c>
      <c r="M942" s="7">
        <f>IF($A942="","",L942-F942)</f>
        <v/>
      </c>
      <c r="N942" s="7" t="n"/>
      <c r="Q942" s="11" t="n"/>
      <c r="S942">
        <f>IF($A942="","",IF($W942=1,Settings!$C$6,Settings!$C$7)*1)</f>
        <v/>
      </c>
      <c r="U942">
        <f>IF($A942="","",IF(COUNTIF($A$2:$A942,$A942)=1,1,0))</f>
        <v/>
      </c>
      <c r="V942">
        <f>IF($U942=1,SUMPRODUCT(--($X$2:$X$1001&lt;$X942))+1,"")</f>
        <v/>
      </c>
      <c r="W942">
        <f>IF($A942="","",IF(OR($T942=TRUE(),$T942="TRUE"),1,0))</f>
        <v/>
      </c>
      <c r="X942">
        <f>IF($U942=1,IFERROR(IF(VALUE($A942)&lt;100000000,VALUE($A942),1000000000),IFERROR(IF(VALUE(MID($A942,2,20))&lt;100000000,VALUE(MID($A942,2,20)),1000000000),1000000000))+ROW()/100000,"")</f>
        <v/>
      </c>
    </row>
    <row r="943">
      <c r="F943" s="7">
        <f>IF($A943="","",E943*N943/100)</f>
        <v/>
      </c>
      <c r="J943" s="7" t="n"/>
      <c r="K943" s="7">
        <f>IF($A943="","",S943*N943)</f>
        <v/>
      </c>
      <c r="L943" s="7">
        <f>IF($A943="","",N943-K943)</f>
        <v/>
      </c>
      <c r="M943" s="7">
        <f>IF($A943="","",L943-F943)</f>
        <v/>
      </c>
      <c r="N943" s="7" t="n"/>
      <c r="Q943" s="11" t="n"/>
      <c r="S943">
        <f>IF($A943="","",IF($W943=1,Settings!$C$6,Settings!$C$7)*1)</f>
        <v/>
      </c>
      <c r="U943">
        <f>IF($A943="","",IF(COUNTIF($A$2:$A943,$A943)=1,1,0))</f>
        <v/>
      </c>
      <c r="V943">
        <f>IF($U943=1,SUMPRODUCT(--($X$2:$X$1001&lt;$X943))+1,"")</f>
        <v/>
      </c>
      <c r="W943">
        <f>IF($A943="","",IF(OR($T943=TRUE(),$T943="TRUE"),1,0))</f>
        <v/>
      </c>
      <c r="X943">
        <f>IF($U943=1,IFERROR(IF(VALUE($A943)&lt;100000000,VALUE($A943),1000000000),IFERROR(IF(VALUE(MID($A943,2,20))&lt;100000000,VALUE(MID($A943,2,20)),1000000000),1000000000))+ROW()/100000,"")</f>
        <v/>
      </c>
    </row>
    <row r="944">
      <c r="F944" s="7">
        <f>IF($A944="","",E944*N944/100)</f>
        <v/>
      </c>
      <c r="J944" s="7" t="n"/>
      <c r="K944" s="7">
        <f>IF($A944="","",S944*N944)</f>
        <v/>
      </c>
      <c r="L944" s="7">
        <f>IF($A944="","",N944-K944)</f>
        <v/>
      </c>
      <c r="M944" s="7">
        <f>IF($A944="","",L944-F944)</f>
        <v/>
      </c>
      <c r="N944" s="7" t="n"/>
      <c r="Q944" s="11" t="n"/>
      <c r="S944">
        <f>IF($A944="","",IF($W944=1,Settings!$C$6,Settings!$C$7)*1)</f>
        <v/>
      </c>
      <c r="U944">
        <f>IF($A944="","",IF(COUNTIF($A$2:$A944,$A944)=1,1,0))</f>
        <v/>
      </c>
      <c r="V944">
        <f>IF($U944=1,SUMPRODUCT(--($X$2:$X$1001&lt;$X944))+1,"")</f>
        <v/>
      </c>
      <c r="W944">
        <f>IF($A944="","",IF(OR($T944=TRUE(),$T944="TRUE"),1,0))</f>
        <v/>
      </c>
      <c r="X944">
        <f>IF($U944=1,IFERROR(IF(VALUE($A944)&lt;100000000,VALUE($A944),1000000000),IFERROR(IF(VALUE(MID($A944,2,20))&lt;100000000,VALUE(MID($A944,2,20)),1000000000),1000000000))+ROW()/100000,"")</f>
        <v/>
      </c>
    </row>
    <row r="945">
      <c r="F945" s="7">
        <f>IF($A945="","",E945*N945/100)</f>
        <v/>
      </c>
      <c r="J945" s="7" t="n"/>
      <c r="K945" s="7">
        <f>IF($A945="","",S945*N945)</f>
        <v/>
      </c>
      <c r="L945" s="7">
        <f>IF($A945="","",N945-K945)</f>
        <v/>
      </c>
      <c r="M945" s="7">
        <f>IF($A945="","",L945-F945)</f>
        <v/>
      </c>
      <c r="N945" s="7" t="n"/>
      <c r="Q945" s="11" t="n"/>
      <c r="S945">
        <f>IF($A945="","",IF($W945=1,Settings!$C$6,Settings!$C$7)*1)</f>
        <v/>
      </c>
      <c r="U945">
        <f>IF($A945="","",IF(COUNTIF($A$2:$A945,$A945)=1,1,0))</f>
        <v/>
      </c>
      <c r="V945">
        <f>IF($U945=1,SUMPRODUCT(--($X$2:$X$1001&lt;$X945))+1,"")</f>
        <v/>
      </c>
      <c r="W945">
        <f>IF($A945="","",IF(OR($T945=TRUE(),$T945="TRUE"),1,0))</f>
        <v/>
      </c>
      <c r="X945">
        <f>IF($U945=1,IFERROR(IF(VALUE($A945)&lt;100000000,VALUE($A945),1000000000),IFERROR(IF(VALUE(MID($A945,2,20))&lt;100000000,VALUE(MID($A945,2,20)),1000000000),1000000000))+ROW()/100000,"")</f>
        <v/>
      </c>
    </row>
    <row r="946">
      <c r="F946" s="7">
        <f>IF($A946="","",E946*N946/100)</f>
        <v/>
      </c>
      <c r="J946" s="7" t="n"/>
      <c r="K946" s="7">
        <f>IF($A946="","",S946*N946)</f>
        <v/>
      </c>
      <c r="L946" s="7">
        <f>IF($A946="","",N946-K946)</f>
        <v/>
      </c>
      <c r="M946" s="7">
        <f>IF($A946="","",L946-F946)</f>
        <v/>
      </c>
      <c r="N946" s="7" t="n"/>
      <c r="Q946" s="11" t="n"/>
      <c r="S946">
        <f>IF($A946="","",IF($W946=1,Settings!$C$6,Settings!$C$7)*1)</f>
        <v/>
      </c>
      <c r="U946">
        <f>IF($A946="","",IF(COUNTIF($A$2:$A946,$A946)=1,1,0))</f>
        <v/>
      </c>
      <c r="V946">
        <f>IF($U946=1,SUMPRODUCT(--($X$2:$X$1001&lt;$X946))+1,"")</f>
        <v/>
      </c>
      <c r="W946">
        <f>IF($A946="","",IF(OR($T946=TRUE(),$T946="TRUE"),1,0))</f>
        <v/>
      </c>
      <c r="X946">
        <f>IF($U946=1,IFERROR(IF(VALUE($A946)&lt;100000000,VALUE($A946),1000000000),IFERROR(IF(VALUE(MID($A946,2,20))&lt;100000000,VALUE(MID($A946,2,20)),1000000000),1000000000))+ROW()/100000,"")</f>
        <v/>
      </c>
    </row>
    <row r="947">
      <c r="F947" s="7">
        <f>IF($A947="","",E947*N947/100)</f>
        <v/>
      </c>
      <c r="J947" s="7" t="n"/>
      <c r="K947" s="7">
        <f>IF($A947="","",S947*N947)</f>
        <v/>
      </c>
      <c r="L947" s="7">
        <f>IF($A947="","",N947-K947)</f>
        <v/>
      </c>
      <c r="M947" s="7">
        <f>IF($A947="","",L947-F947)</f>
        <v/>
      </c>
      <c r="N947" s="7" t="n"/>
      <c r="Q947" s="11" t="n"/>
      <c r="S947">
        <f>IF($A947="","",IF($W947=1,Settings!$C$6,Settings!$C$7)*1)</f>
        <v/>
      </c>
      <c r="U947">
        <f>IF($A947="","",IF(COUNTIF($A$2:$A947,$A947)=1,1,0))</f>
        <v/>
      </c>
      <c r="V947">
        <f>IF($U947=1,SUMPRODUCT(--($X$2:$X$1001&lt;$X947))+1,"")</f>
        <v/>
      </c>
      <c r="W947">
        <f>IF($A947="","",IF(OR($T947=TRUE(),$T947="TRUE"),1,0))</f>
        <v/>
      </c>
      <c r="X947">
        <f>IF($U947=1,IFERROR(IF(VALUE($A947)&lt;100000000,VALUE($A947),1000000000),IFERROR(IF(VALUE(MID($A947,2,20))&lt;100000000,VALUE(MID($A947,2,20)),1000000000),1000000000))+ROW()/100000,"")</f>
        <v/>
      </c>
    </row>
    <row r="948">
      <c r="F948" s="7">
        <f>IF($A948="","",E948*N948/100)</f>
        <v/>
      </c>
      <c r="J948" s="7" t="n"/>
      <c r="K948" s="7">
        <f>IF($A948="","",S948*N948)</f>
        <v/>
      </c>
      <c r="L948" s="7">
        <f>IF($A948="","",N948-K948)</f>
        <v/>
      </c>
      <c r="M948" s="7">
        <f>IF($A948="","",L948-F948)</f>
        <v/>
      </c>
      <c r="N948" s="7" t="n"/>
      <c r="Q948" s="11" t="n"/>
      <c r="S948">
        <f>IF($A948="","",IF($W948=1,Settings!$C$6,Settings!$C$7)*1)</f>
        <v/>
      </c>
      <c r="U948">
        <f>IF($A948="","",IF(COUNTIF($A$2:$A948,$A948)=1,1,0))</f>
        <v/>
      </c>
      <c r="V948">
        <f>IF($U948=1,SUMPRODUCT(--($X$2:$X$1001&lt;$X948))+1,"")</f>
        <v/>
      </c>
      <c r="W948">
        <f>IF($A948="","",IF(OR($T948=TRUE(),$T948="TRUE"),1,0))</f>
        <v/>
      </c>
      <c r="X948">
        <f>IF($U948=1,IFERROR(IF(VALUE($A948)&lt;100000000,VALUE($A948),1000000000),IFERROR(IF(VALUE(MID($A948,2,20))&lt;100000000,VALUE(MID($A948,2,20)),1000000000),1000000000))+ROW()/100000,"")</f>
        <v/>
      </c>
    </row>
    <row r="949">
      <c r="F949" s="7">
        <f>IF($A949="","",E949*N949/100)</f>
        <v/>
      </c>
      <c r="J949" s="7" t="n"/>
      <c r="K949" s="7">
        <f>IF($A949="","",S949*N949)</f>
        <v/>
      </c>
      <c r="L949" s="7">
        <f>IF($A949="","",N949-K949)</f>
        <v/>
      </c>
      <c r="M949" s="7">
        <f>IF($A949="","",L949-F949)</f>
        <v/>
      </c>
      <c r="N949" s="7" t="n"/>
      <c r="Q949" s="11" t="n"/>
      <c r="S949">
        <f>IF($A949="","",IF($W949=1,Settings!$C$6,Settings!$C$7)*1)</f>
        <v/>
      </c>
      <c r="U949">
        <f>IF($A949="","",IF(COUNTIF($A$2:$A949,$A949)=1,1,0))</f>
        <v/>
      </c>
      <c r="V949">
        <f>IF($U949=1,SUMPRODUCT(--($X$2:$X$1001&lt;$X949))+1,"")</f>
        <v/>
      </c>
      <c r="W949">
        <f>IF($A949="","",IF(OR($T949=TRUE(),$T949="TRUE"),1,0))</f>
        <v/>
      </c>
      <c r="X949">
        <f>IF($U949=1,IFERROR(IF(VALUE($A949)&lt;100000000,VALUE($A949),1000000000),IFERROR(IF(VALUE(MID($A949,2,20))&lt;100000000,VALUE(MID($A949,2,20)),1000000000),1000000000))+ROW()/100000,"")</f>
        <v/>
      </c>
    </row>
    <row r="950">
      <c r="F950" s="7">
        <f>IF($A950="","",E950*N950/100)</f>
        <v/>
      </c>
      <c r="J950" s="7" t="n"/>
      <c r="K950" s="7">
        <f>IF($A950="","",S950*N950)</f>
        <v/>
      </c>
      <c r="L950" s="7">
        <f>IF($A950="","",N950-K950)</f>
        <v/>
      </c>
      <c r="M950" s="7">
        <f>IF($A950="","",L950-F950)</f>
        <v/>
      </c>
      <c r="N950" s="7" t="n"/>
      <c r="Q950" s="11" t="n"/>
      <c r="S950">
        <f>IF($A950="","",IF($W950=1,Settings!$C$6,Settings!$C$7)*1)</f>
        <v/>
      </c>
      <c r="U950">
        <f>IF($A950="","",IF(COUNTIF($A$2:$A950,$A950)=1,1,0))</f>
        <v/>
      </c>
      <c r="V950">
        <f>IF($U950=1,SUMPRODUCT(--($X$2:$X$1001&lt;$X950))+1,"")</f>
        <v/>
      </c>
      <c r="W950">
        <f>IF($A950="","",IF(OR($T950=TRUE(),$T950="TRUE"),1,0))</f>
        <v/>
      </c>
      <c r="X950">
        <f>IF($U950=1,IFERROR(IF(VALUE($A950)&lt;100000000,VALUE($A950),1000000000),IFERROR(IF(VALUE(MID($A950,2,20))&lt;100000000,VALUE(MID($A950,2,20)),1000000000),1000000000))+ROW()/100000,"")</f>
        <v/>
      </c>
    </row>
    <row r="951">
      <c r="F951" s="7">
        <f>IF($A951="","",E951*N951/100)</f>
        <v/>
      </c>
      <c r="J951" s="7" t="n"/>
      <c r="K951" s="7">
        <f>IF($A951="","",S951*N951)</f>
        <v/>
      </c>
      <c r="L951" s="7">
        <f>IF($A951="","",N951-K951)</f>
        <v/>
      </c>
      <c r="M951" s="7">
        <f>IF($A951="","",L951-F951)</f>
        <v/>
      </c>
      <c r="N951" s="7" t="n"/>
      <c r="Q951" s="11" t="n"/>
      <c r="S951">
        <f>IF($A951="","",IF($W951=1,Settings!$C$6,Settings!$C$7)*1)</f>
        <v/>
      </c>
      <c r="U951">
        <f>IF($A951="","",IF(COUNTIF($A$2:$A951,$A951)=1,1,0))</f>
        <v/>
      </c>
      <c r="V951">
        <f>IF($U951=1,SUMPRODUCT(--($X$2:$X$1001&lt;$X951))+1,"")</f>
        <v/>
      </c>
      <c r="W951">
        <f>IF($A951="","",IF(OR($T951=TRUE(),$T951="TRUE"),1,0))</f>
        <v/>
      </c>
      <c r="X951">
        <f>IF($U951=1,IFERROR(IF(VALUE($A951)&lt;100000000,VALUE($A951),1000000000),IFERROR(IF(VALUE(MID($A951,2,20))&lt;100000000,VALUE(MID($A951,2,20)),1000000000),1000000000))+ROW()/100000,"")</f>
        <v/>
      </c>
    </row>
    <row r="952">
      <c r="F952" s="7">
        <f>IF($A952="","",E952*N952/100)</f>
        <v/>
      </c>
      <c r="J952" s="7" t="n"/>
      <c r="K952" s="7">
        <f>IF($A952="","",S952*N952)</f>
        <v/>
      </c>
      <c r="L952" s="7">
        <f>IF($A952="","",N952-K952)</f>
        <v/>
      </c>
      <c r="M952" s="7">
        <f>IF($A952="","",L952-F952)</f>
        <v/>
      </c>
      <c r="N952" s="7" t="n"/>
      <c r="Q952" s="11" t="n"/>
      <c r="S952">
        <f>IF($A952="","",IF($W952=1,Settings!$C$6,Settings!$C$7)*1)</f>
        <v/>
      </c>
      <c r="U952">
        <f>IF($A952="","",IF(COUNTIF($A$2:$A952,$A952)=1,1,0))</f>
        <v/>
      </c>
      <c r="V952">
        <f>IF($U952=1,SUMPRODUCT(--($X$2:$X$1001&lt;$X952))+1,"")</f>
        <v/>
      </c>
      <c r="W952">
        <f>IF($A952="","",IF(OR($T952=TRUE(),$T952="TRUE"),1,0))</f>
        <v/>
      </c>
      <c r="X952">
        <f>IF($U952=1,IFERROR(IF(VALUE($A952)&lt;100000000,VALUE($A952),1000000000),IFERROR(IF(VALUE(MID($A952,2,20))&lt;100000000,VALUE(MID($A952,2,20)),1000000000),1000000000))+ROW()/100000,"")</f>
        <v/>
      </c>
    </row>
    <row r="953">
      <c r="F953" s="7">
        <f>IF($A953="","",E953*N953/100)</f>
        <v/>
      </c>
      <c r="J953" s="7" t="n"/>
      <c r="K953" s="7">
        <f>IF($A953="","",S953*N953)</f>
        <v/>
      </c>
      <c r="L953" s="7">
        <f>IF($A953="","",N953-K953)</f>
        <v/>
      </c>
      <c r="M953" s="7">
        <f>IF($A953="","",L953-F953)</f>
        <v/>
      </c>
      <c r="N953" s="7" t="n"/>
      <c r="Q953" s="11" t="n"/>
      <c r="S953">
        <f>IF($A953="","",IF($W953=1,Settings!$C$6,Settings!$C$7)*1)</f>
        <v/>
      </c>
      <c r="U953">
        <f>IF($A953="","",IF(COUNTIF($A$2:$A953,$A953)=1,1,0))</f>
        <v/>
      </c>
      <c r="V953">
        <f>IF($U953=1,SUMPRODUCT(--($X$2:$X$1001&lt;$X953))+1,"")</f>
        <v/>
      </c>
      <c r="W953">
        <f>IF($A953="","",IF(OR($T953=TRUE(),$T953="TRUE"),1,0))</f>
        <v/>
      </c>
      <c r="X953">
        <f>IF($U953=1,IFERROR(IF(VALUE($A953)&lt;100000000,VALUE($A953),1000000000),IFERROR(IF(VALUE(MID($A953,2,20))&lt;100000000,VALUE(MID($A953,2,20)),1000000000),1000000000))+ROW()/100000,"")</f>
        <v/>
      </c>
    </row>
    <row r="954">
      <c r="F954" s="7">
        <f>IF($A954="","",E954*N954/100)</f>
        <v/>
      </c>
      <c r="J954" s="7" t="n"/>
      <c r="K954" s="7">
        <f>IF($A954="","",S954*N954)</f>
        <v/>
      </c>
      <c r="L954" s="7">
        <f>IF($A954="","",N954-K954)</f>
        <v/>
      </c>
      <c r="M954" s="7">
        <f>IF($A954="","",L954-F954)</f>
        <v/>
      </c>
      <c r="N954" s="7" t="n"/>
      <c r="Q954" s="11" t="n"/>
      <c r="S954">
        <f>IF($A954="","",IF($W954=1,Settings!$C$6,Settings!$C$7)*1)</f>
        <v/>
      </c>
      <c r="U954">
        <f>IF($A954="","",IF(COUNTIF($A$2:$A954,$A954)=1,1,0))</f>
        <v/>
      </c>
      <c r="V954">
        <f>IF($U954=1,SUMPRODUCT(--($X$2:$X$1001&lt;$X954))+1,"")</f>
        <v/>
      </c>
      <c r="W954">
        <f>IF($A954="","",IF(OR($T954=TRUE(),$T954="TRUE"),1,0))</f>
        <v/>
      </c>
      <c r="X954">
        <f>IF($U954=1,IFERROR(IF(VALUE($A954)&lt;100000000,VALUE($A954),1000000000),IFERROR(IF(VALUE(MID($A954,2,20))&lt;100000000,VALUE(MID($A954,2,20)),1000000000),1000000000))+ROW()/100000,"")</f>
        <v/>
      </c>
    </row>
    <row r="955">
      <c r="F955" s="7">
        <f>IF($A955="","",E955*N955/100)</f>
        <v/>
      </c>
      <c r="J955" s="7" t="n"/>
      <c r="K955" s="7">
        <f>IF($A955="","",S955*N955)</f>
        <v/>
      </c>
      <c r="L955" s="7">
        <f>IF($A955="","",N955-K955)</f>
        <v/>
      </c>
      <c r="M955" s="7">
        <f>IF($A955="","",L955-F955)</f>
        <v/>
      </c>
      <c r="N955" s="7" t="n"/>
      <c r="Q955" s="11" t="n"/>
      <c r="S955">
        <f>IF($A955="","",IF($W955=1,Settings!$C$6,Settings!$C$7)*1)</f>
        <v/>
      </c>
      <c r="U955">
        <f>IF($A955="","",IF(COUNTIF($A$2:$A955,$A955)=1,1,0))</f>
        <v/>
      </c>
      <c r="V955">
        <f>IF($U955=1,SUMPRODUCT(--($X$2:$X$1001&lt;$X955))+1,"")</f>
        <v/>
      </c>
      <c r="W955">
        <f>IF($A955="","",IF(OR($T955=TRUE(),$T955="TRUE"),1,0))</f>
        <v/>
      </c>
      <c r="X955">
        <f>IF($U955=1,IFERROR(IF(VALUE($A955)&lt;100000000,VALUE($A955),1000000000),IFERROR(IF(VALUE(MID($A955,2,20))&lt;100000000,VALUE(MID($A955,2,20)),1000000000),1000000000))+ROW()/100000,"")</f>
        <v/>
      </c>
    </row>
    <row r="956">
      <c r="F956" s="7">
        <f>IF($A956="","",E956*N956/100)</f>
        <v/>
      </c>
      <c r="J956" s="7" t="n"/>
      <c r="K956" s="7">
        <f>IF($A956="","",S956*N956)</f>
        <v/>
      </c>
      <c r="L956" s="7">
        <f>IF($A956="","",N956-K956)</f>
        <v/>
      </c>
      <c r="M956" s="7">
        <f>IF($A956="","",L956-F956)</f>
        <v/>
      </c>
      <c r="N956" s="7" t="n"/>
      <c r="Q956" s="11" t="n"/>
      <c r="S956">
        <f>IF($A956="","",IF($W956=1,Settings!$C$6,Settings!$C$7)*1)</f>
        <v/>
      </c>
      <c r="U956">
        <f>IF($A956="","",IF(COUNTIF($A$2:$A956,$A956)=1,1,0))</f>
        <v/>
      </c>
      <c r="V956">
        <f>IF($U956=1,SUMPRODUCT(--($X$2:$X$1001&lt;$X956))+1,"")</f>
        <v/>
      </c>
      <c r="W956">
        <f>IF($A956="","",IF(OR($T956=TRUE(),$T956="TRUE"),1,0))</f>
        <v/>
      </c>
      <c r="X956">
        <f>IF($U956=1,IFERROR(IF(VALUE($A956)&lt;100000000,VALUE($A956),1000000000),IFERROR(IF(VALUE(MID($A956,2,20))&lt;100000000,VALUE(MID($A956,2,20)),1000000000),1000000000))+ROW()/100000,"")</f>
        <v/>
      </c>
    </row>
    <row r="957">
      <c r="F957" s="7">
        <f>IF($A957="","",E957*N957/100)</f>
        <v/>
      </c>
      <c r="J957" s="7" t="n"/>
      <c r="K957" s="7">
        <f>IF($A957="","",S957*N957)</f>
        <v/>
      </c>
      <c r="L957" s="7">
        <f>IF($A957="","",N957-K957)</f>
        <v/>
      </c>
      <c r="M957" s="7">
        <f>IF($A957="","",L957-F957)</f>
        <v/>
      </c>
      <c r="N957" s="7" t="n"/>
      <c r="Q957" s="11" t="n"/>
      <c r="S957">
        <f>IF($A957="","",IF($W957=1,Settings!$C$6,Settings!$C$7)*1)</f>
        <v/>
      </c>
      <c r="U957">
        <f>IF($A957="","",IF(COUNTIF($A$2:$A957,$A957)=1,1,0))</f>
        <v/>
      </c>
      <c r="V957">
        <f>IF($U957=1,SUMPRODUCT(--($X$2:$X$1001&lt;$X957))+1,"")</f>
        <v/>
      </c>
      <c r="W957">
        <f>IF($A957="","",IF(OR($T957=TRUE(),$T957="TRUE"),1,0))</f>
        <v/>
      </c>
      <c r="X957">
        <f>IF($U957=1,IFERROR(IF(VALUE($A957)&lt;100000000,VALUE($A957),1000000000),IFERROR(IF(VALUE(MID($A957,2,20))&lt;100000000,VALUE(MID($A957,2,20)),1000000000),1000000000))+ROW()/100000,"")</f>
        <v/>
      </c>
    </row>
    <row r="958">
      <c r="F958" s="7">
        <f>IF($A958="","",E958*N958/100)</f>
        <v/>
      </c>
      <c r="J958" s="7" t="n"/>
      <c r="K958" s="7">
        <f>IF($A958="","",S958*N958)</f>
        <v/>
      </c>
      <c r="L958" s="7">
        <f>IF($A958="","",N958-K958)</f>
        <v/>
      </c>
      <c r="M958" s="7">
        <f>IF($A958="","",L958-F958)</f>
        <v/>
      </c>
      <c r="N958" s="7" t="n"/>
      <c r="Q958" s="11" t="n"/>
      <c r="S958">
        <f>IF($A958="","",IF($W958=1,Settings!$C$6,Settings!$C$7)*1)</f>
        <v/>
      </c>
      <c r="U958">
        <f>IF($A958="","",IF(COUNTIF($A$2:$A958,$A958)=1,1,0))</f>
        <v/>
      </c>
      <c r="V958">
        <f>IF($U958=1,SUMPRODUCT(--($X$2:$X$1001&lt;$X958))+1,"")</f>
        <v/>
      </c>
      <c r="W958">
        <f>IF($A958="","",IF(OR($T958=TRUE(),$T958="TRUE"),1,0))</f>
        <v/>
      </c>
      <c r="X958">
        <f>IF($U958=1,IFERROR(IF(VALUE($A958)&lt;100000000,VALUE($A958),1000000000),IFERROR(IF(VALUE(MID($A958,2,20))&lt;100000000,VALUE(MID($A958,2,20)),1000000000),1000000000))+ROW()/100000,"")</f>
        <v/>
      </c>
    </row>
    <row r="959">
      <c r="F959" s="7">
        <f>IF($A959="","",E959*N959/100)</f>
        <v/>
      </c>
      <c r="J959" s="7" t="n"/>
      <c r="K959" s="7">
        <f>IF($A959="","",S959*N959)</f>
        <v/>
      </c>
      <c r="L959" s="7">
        <f>IF($A959="","",N959-K959)</f>
        <v/>
      </c>
      <c r="M959" s="7">
        <f>IF($A959="","",L959-F959)</f>
        <v/>
      </c>
      <c r="N959" s="7" t="n"/>
      <c r="Q959" s="11" t="n"/>
      <c r="S959">
        <f>IF($A959="","",IF($W959=1,Settings!$C$6,Settings!$C$7)*1)</f>
        <v/>
      </c>
      <c r="U959">
        <f>IF($A959="","",IF(COUNTIF($A$2:$A959,$A959)=1,1,0))</f>
        <v/>
      </c>
      <c r="V959">
        <f>IF($U959=1,SUMPRODUCT(--($X$2:$X$1001&lt;$X959))+1,"")</f>
        <v/>
      </c>
      <c r="W959">
        <f>IF($A959="","",IF(OR($T959=TRUE(),$T959="TRUE"),1,0))</f>
        <v/>
      </c>
      <c r="X959">
        <f>IF($U959=1,IFERROR(IF(VALUE($A959)&lt;100000000,VALUE($A959),1000000000),IFERROR(IF(VALUE(MID($A959,2,20))&lt;100000000,VALUE(MID($A959,2,20)),1000000000),1000000000))+ROW()/100000,"")</f>
        <v/>
      </c>
    </row>
    <row r="960">
      <c r="F960" s="7">
        <f>IF($A960="","",E960*N960/100)</f>
        <v/>
      </c>
      <c r="J960" s="7" t="n"/>
      <c r="K960" s="7">
        <f>IF($A960="","",S960*N960)</f>
        <v/>
      </c>
      <c r="L960" s="7">
        <f>IF($A960="","",N960-K960)</f>
        <v/>
      </c>
      <c r="M960" s="7">
        <f>IF($A960="","",L960-F960)</f>
        <v/>
      </c>
      <c r="N960" s="7" t="n"/>
      <c r="Q960" s="11" t="n"/>
      <c r="S960">
        <f>IF($A960="","",IF($W960=1,Settings!$C$6,Settings!$C$7)*1)</f>
        <v/>
      </c>
      <c r="U960">
        <f>IF($A960="","",IF(COUNTIF($A$2:$A960,$A960)=1,1,0))</f>
        <v/>
      </c>
      <c r="V960">
        <f>IF($U960=1,SUMPRODUCT(--($X$2:$X$1001&lt;$X960))+1,"")</f>
        <v/>
      </c>
      <c r="W960">
        <f>IF($A960="","",IF(OR($T960=TRUE(),$T960="TRUE"),1,0))</f>
        <v/>
      </c>
      <c r="X960">
        <f>IF($U960=1,IFERROR(IF(VALUE($A960)&lt;100000000,VALUE($A960),1000000000),IFERROR(IF(VALUE(MID($A960,2,20))&lt;100000000,VALUE(MID($A960,2,20)),1000000000),1000000000))+ROW()/100000,"")</f>
        <v/>
      </c>
    </row>
    <row r="961">
      <c r="F961" s="7">
        <f>IF($A961="","",E961*N961/100)</f>
        <v/>
      </c>
      <c r="J961" s="7" t="n"/>
      <c r="K961" s="7">
        <f>IF($A961="","",S961*N961)</f>
        <v/>
      </c>
      <c r="L961" s="7">
        <f>IF($A961="","",N961-K961)</f>
        <v/>
      </c>
      <c r="M961" s="7">
        <f>IF($A961="","",L961-F961)</f>
        <v/>
      </c>
      <c r="N961" s="7" t="n"/>
      <c r="Q961" s="11" t="n"/>
      <c r="S961">
        <f>IF($A961="","",IF($W961=1,Settings!$C$6,Settings!$C$7)*1)</f>
        <v/>
      </c>
      <c r="U961">
        <f>IF($A961="","",IF(COUNTIF($A$2:$A961,$A961)=1,1,0))</f>
        <v/>
      </c>
      <c r="V961">
        <f>IF($U961=1,SUMPRODUCT(--($X$2:$X$1001&lt;$X961))+1,"")</f>
        <v/>
      </c>
      <c r="W961">
        <f>IF($A961="","",IF(OR($T961=TRUE(),$T961="TRUE"),1,0))</f>
        <v/>
      </c>
      <c r="X961">
        <f>IF($U961=1,IFERROR(IF(VALUE($A961)&lt;100000000,VALUE($A961),1000000000),IFERROR(IF(VALUE(MID($A961,2,20))&lt;100000000,VALUE(MID($A961,2,20)),1000000000),1000000000))+ROW()/100000,"")</f>
        <v/>
      </c>
    </row>
    <row r="962">
      <c r="F962" s="7">
        <f>IF($A962="","",E962*N962/100)</f>
        <v/>
      </c>
      <c r="J962" s="7" t="n"/>
      <c r="K962" s="7">
        <f>IF($A962="","",S962*N962)</f>
        <v/>
      </c>
      <c r="L962" s="7">
        <f>IF($A962="","",N962-K962)</f>
        <v/>
      </c>
      <c r="M962" s="7">
        <f>IF($A962="","",L962-F962)</f>
        <v/>
      </c>
      <c r="N962" s="7" t="n"/>
      <c r="Q962" s="11" t="n"/>
      <c r="S962">
        <f>IF($A962="","",IF($W962=1,Settings!$C$6,Settings!$C$7)*1)</f>
        <v/>
      </c>
      <c r="U962">
        <f>IF($A962="","",IF(COUNTIF($A$2:$A962,$A962)=1,1,0))</f>
        <v/>
      </c>
      <c r="V962">
        <f>IF($U962=1,SUMPRODUCT(--($X$2:$X$1001&lt;$X962))+1,"")</f>
        <v/>
      </c>
      <c r="W962">
        <f>IF($A962="","",IF(OR($T962=TRUE(),$T962="TRUE"),1,0))</f>
        <v/>
      </c>
      <c r="X962">
        <f>IF($U962=1,IFERROR(IF(VALUE($A962)&lt;100000000,VALUE($A962),1000000000),IFERROR(IF(VALUE(MID($A962,2,20))&lt;100000000,VALUE(MID($A962,2,20)),1000000000),1000000000))+ROW()/100000,"")</f>
        <v/>
      </c>
    </row>
    <row r="963">
      <c r="F963" s="7">
        <f>IF($A963="","",E963*N963/100)</f>
        <v/>
      </c>
      <c r="J963" s="7" t="n"/>
      <c r="K963" s="7">
        <f>IF($A963="","",S963*N963)</f>
        <v/>
      </c>
      <c r="L963" s="7">
        <f>IF($A963="","",N963-K963)</f>
        <v/>
      </c>
      <c r="M963" s="7">
        <f>IF($A963="","",L963-F963)</f>
        <v/>
      </c>
      <c r="N963" s="7" t="n"/>
      <c r="Q963" s="11" t="n"/>
      <c r="S963">
        <f>IF($A963="","",IF($W963=1,Settings!$C$6,Settings!$C$7)*1)</f>
        <v/>
      </c>
      <c r="U963">
        <f>IF($A963="","",IF(COUNTIF($A$2:$A963,$A963)=1,1,0))</f>
        <v/>
      </c>
      <c r="V963">
        <f>IF($U963=1,SUMPRODUCT(--($X$2:$X$1001&lt;$X963))+1,"")</f>
        <v/>
      </c>
      <c r="W963">
        <f>IF($A963="","",IF(OR($T963=TRUE(),$T963="TRUE"),1,0))</f>
        <v/>
      </c>
      <c r="X963">
        <f>IF($U963=1,IFERROR(IF(VALUE($A963)&lt;100000000,VALUE($A963),1000000000),IFERROR(IF(VALUE(MID($A963,2,20))&lt;100000000,VALUE(MID($A963,2,20)),1000000000),1000000000))+ROW()/100000,"")</f>
        <v/>
      </c>
    </row>
    <row r="964">
      <c r="F964" s="7">
        <f>IF($A964="","",E964*N964/100)</f>
        <v/>
      </c>
      <c r="J964" s="7" t="n"/>
      <c r="K964" s="7">
        <f>IF($A964="","",S964*N964)</f>
        <v/>
      </c>
      <c r="L964" s="7">
        <f>IF($A964="","",N964-K964)</f>
        <v/>
      </c>
      <c r="M964" s="7">
        <f>IF($A964="","",L964-F964)</f>
        <v/>
      </c>
      <c r="N964" s="7" t="n"/>
      <c r="Q964" s="11" t="n"/>
      <c r="S964">
        <f>IF($A964="","",IF($W964=1,Settings!$C$6,Settings!$C$7)*1)</f>
        <v/>
      </c>
      <c r="U964">
        <f>IF($A964="","",IF(COUNTIF($A$2:$A964,$A964)=1,1,0))</f>
        <v/>
      </c>
      <c r="V964">
        <f>IF($U964=1,SUMPRODUCT(--($X$2:$X$1001&lt;$X964))+1,"")</f>
        <v/>
      </c>
      <c r="W964">
        <f>IF($A964="","",IF(OR($T964=TRUE(),$T964="TRUE"),1,0))</f>
        <v/>
      </c>
      <c r="X964">
        <f>IF($U964=1,IFERROR(IF(VALUE($A964)&lt;100000000,VALUE($A964),1000000000),IFERROR(IF(VALUE(MID($A964,2,20))&lt;100000000,VALUE(MID($A964,2,20)),1000000000),1000000000))+ROW()/100000,"")</f>
        <v/>
      </c>
    </row>
    <row r="965">
      <c r="F965" s="7">
        <f>IF($A965="","",E965*N965/100)</f>
        <v/>
      </c>
      <c r="J965" s="7" t="n"/>
      <c r="K965" s="7">
        <f>IF($A965="","",S965*N965)</f>
        <v/>
      </c>
      <c r="L965" s="7">
        <f>IF($A965="","",N965-K965)</f>
        <v/>
      </c>
      <c r="M965" s="7">
        <f>IF($A965="","",L965-F965)</f>
        <v/>
      </c>
      <c r="N965" s="7" t="n"/>
      <c r="Q965" s="11" t="n"/>
      <c r="S965">
        <f>IF($A965="","",IF($W965=1,Settings!$C$6,Settings!$C$7)*1)</f>
        <v/>
      </c>
      <c r="U965">
        <f>IF($A965="","",IF(COUNTIF($A$2:$A965,$A965)=1,1,0))</f>
        <v/>
      </c>
      <c r="V965">
        <f>IF($U965=1,SUMPRODUCT(--($X$2:$X$1001&lt;$X965))+1,"")</f>
        <v/>
      </c>
      <c r="W965">
        <f>IF($A965="","",IF(OR($T965=TRUE(),$T965="TRUE"),1,0))</f>
        <v/>
      </c>
      <c r="X965">
        <f>IF($U965=1,IFERROR(IF(VALUE($A965)&lt;100000000,VALUE($A965),1000000000),IFERROR(IF(VALUE(MID($A965,2,20))&lt;100000000,VALUE(MID($A965,2,20)),1000000000),1000000000))+ROW()/100000,"")</f>
        <v/>
      </c>
    </row>
    <row r="966">
      <c r="F966" s="7">
        <f>IF($A966="","",E966*N966/100)</f>
        <v/>
      </c>
      <c r="J966" s="7" t="n"/>
      <c r="K966" s="7">
        <f>IF($A966="","",S966*N966)</f>
        <v/>
      </c>
      <c r="L966" s="7">
        <f>IF($A966="","",N966-K966)</f>
        <v/>
      </c>
      <c r="M966" s="7">
        <f>IF($A966="","",L966-F966)</f>
        <v/>
      </c>
      <c r="N966" s="7" t="n"/>
      <c r="Q966" s="11" t="n"/>
      <c r="S966">
        <f>IF($A966="","",IF($W966=1,Settings!$C$6,Settings!$C$7)*1)</f>
        <v/>
      </c>
      <c r="U966">
        <f>IF($A966="","",IF(COUNTIF($A$2:$A966,$A966)=1,1,0))</f>
        <v/>
      </c>
      <c r="V966">
        <f>IF($U966=1,SUMPRODUCT(--($X$2:$X$1001&lt;$X966))+1,"")</f>
        <v/>
      </c>
      <c r="W966">
        <f>IF($A966="","",IF(OR($T966=TRUE(),$T966="TRUE"),1,0))</f>
        <v/>
      </c>
      <c r="X966">
        <f>IF($U966=1,IFERROR(IF(VALUE($A966)&lt;100000000,VALUE($A966),1000000000),IFERROR(IF(VALUE(MID($A966,2,20))&lt;100000000,VALUE(MID($A966,2,20)),1000000000),1000000000))+ROW()/100000,"")</f>
        <v/>
      </c>
    </row>
    <row r="967">
      <c r="F967" s="7">
        <f>IF($A967="","",E967*N967/100)</f>
        <v/>
      </c>
      <c r="J967" s="7" t="n"/>
      <c r="K967" s="7">
        <f>IF($A967="","",S967*N967)</f>
        <v/>
      </c>
      <c r="L967" s="7">
        <f>IF($A967="","",N967-K967)</f>
        <v/>
      </c>
      <c r="M967" s="7">
        <f>IF($A967="","",L967-F967)</f>
        <v/>
      </c>
      <c r="N967" s="7" t="n"/>
      <c r="Q967" s="11" t="n"/>
      <c r="S967">
        <f>IF($A967="","",IF($W967=1,Settings!$C$6,Settings!$C$7)*1)</f>
        <v/>
      </c>
      <c r="U967">
        <f>IF($A967="","",IF(COUNTIF($A$2:$A967,$A967)=1,1,0))</f>
        <v/>
      </c>
      <c r="V967">
        <f>IF($U967=1,SUMPRODUCT(--($X$2:$X$1001&lt;$X967))+1,"")</f>
        <v/>
      </c>
      <c r="W967">
        <f>IF($A967="","",IF(OR($T967=TRUE(),$T967="TRUE"),1,0))</f>
        <v/>
      </c>
      <c r="X967">
        <f>IF($U967=1,IFERROR(IF(VALUE($A967)&lt;100000000,VALUE($A967),1000000000),IFERROR(IF(VALUE(MID($A967,2,20))&lt;100000000,VALUE(MID($A967,2,20)),1000000000),1000000000))+ROW()/100000,"")</f>
        <v/>
      </c>
    </row>
    <row r="968">
      <c r="F968" s="7">
        <f>IF($A968="","",E968*N968/100)</f>
        <v/>
      </c>
      <c r="J968" s="7" t="n"/>
      <c r="K968" s="7">
        <f>IF($A968="","",S968*N968)</f>
        <v/>
      </c>
      <c r="L968" s="7">
        <f>IF($A968="","",N968-K968)</f>
        <v/>
      </c>
      <c r="M968" s="7">
        <f>IF($A968="","",L968-F968)</f>
        <v/>
      </c>
      <c r="N968" s="7" t="n"/>
      <c r="Q968" s="11" t="n"/>
      <c r="S968">
        <f>IF($A968="","",IF($W968=1,Settings!$C$6,Settings!$C$7)*1)</f>
        <v/>
      </c>
      <c r="U968">
        <f>IF($A968="","",IF(COUNTIF($A$2:$A968,$A968)=1,1,0))</f>
        <v/>
      </c>
      <c r="V968">
        <f>IF($U968=1,SUMPRODUCT(--($X$2:$X$1001&lt;$X968))+1,"")</f>
        <v/>
      </c>
      <c r="W968">
        <f>IF($A968="","",IF(OR($T968=TRUE(),$T968="TRUE"),1,0))</f>
        <v/>
      </c>
      <c r="X968">
        <f>IF($U968=1,IFERROR(IF(VALUE($A968)&lt;100000000,VALUE($A968),1000000000),IFERROR(IF(VALUE(MID($A968,2,20))&lt;100000000,VALUE(MID($A968,2,20)),1000000000),1000000000))+ROW()/100000,"")</f>
        <v/>
      </c>
    </row>
    <row r="969">
      <c r="F969" s="7">
        <f>IF($A969="","",E969*N969/100)</f>
        <v/>
      </c>
      <c r="J969" s="7" t="n"/>
      <c r="K969" s="7">
        <f>IF($A969="","",S969*N969)</f>
        <v/>
      </c>
      <c r="L969" s="7">
        <f>IF($A969="","",N969-K969)</f>
        <v/>
      </c>
      <c r="M969" s="7">
        <f>IF($A969="","",L969-F969)</f>
        <v/>
      </c>
      <c r="N969" s="7" t="n"/>
      <c r="Q969" s="11" t="n"/>
      <c r="S969">
        <f>IF($A969="","",IF($W969=1,Settings!$C$6,Settings!$C$7)*1)</f>
        <v/>
      </c>
      <c r="U969">
        <f>IF($A969="","",IF(COUNTIF($A$2:$A969,$A969)=1,1,0))</f>
        <v/>
      </c>
      <c r="V969">
        <f>IF($U969=1,SUMPRODUCT(--($X$2:$X$1001&lt;$X969))+1,"")</f>
        <v/>
      </c>
      <c r="W969">
        <f>IF($A969="","",IF(OR($T969=TRUE(),$T969="TRUE"),1,0))</f>
        <v/>
      </c>
      <c r="X969">
        <f>IF($U969=1,IFERROR(IF(VALUE($A969)&lt;100000000,VALUE($A969),1000000000),IFERROR(IF(VALUE(MID($A969,2,20))&lt;100000000,VALUE(MID($A969,2,20)),1000000000),1000000000))+ROW()/100000,"")</f>
        <v/>
      </c>
    </row>
    <row r="970">
      <c r="F970" s="7">
        <f>IF($A970="","",E970*N970/100)</f>
        <v/>
      </c>
      <c r="J970" s="7" t="n"/>
      <c r="K970" s="7">
        <f>IF($A970="","",S970*N970)</f>
        <v/>
      </c>
      <c r="L970" s="7">
        <f>IF($A970="","",N970-K970)</f>
        <v/>
      </c>
      <c r="M970" s="7">
        <f>IF($A970="","",L970-F970)</f>
        <v/>
      </c>
      <c r="N970" s="7" t="n"/>
      <c r="Q970" s="11" t="n"/>
      <c r="S970">
        <f>IF($A970="","",IF($W970=1,Settings!$C$6,Settings!$C$7)*1)</f>
        <v/>
      </c>
      <c r="U970">
        <f>IF($A970="","",IF(COUNTIF($A$2:$A970,$A970)=1,1,0))</f>
        <v/>
      </c>
      <c r="V970">
        <f>IF($U970=1,SUMPRODUCT(--($X$2:$X$1001&lt;$X970))+1,"")</f>
        <v/>
      </c>
      <c r="W970">
        <f>IF($A970="","",IF(OR($T970=TRUE(),$T970="TRUE"),1,0))</f>
        <v/>
      </c>
      <c r="X970">
        <f>IF($U970=1,IFERROR(IF(VALUE($A970)&lt;100000000,VALUE($A970),1000000000),IFERROR(IF(VALUE(MID($A970,2,20))&lt;100000000,VALUE(MID($A970,2,20)),1000000000),1000000000))+ROW()/100000,"")</f>
        <v/>
      </c>
    </row>
    <row r="971">
      <c r="F971" s="7">
        <f>IF($A971="","",E971*N971/100)</f>
        <v/>
      </c>
      <c r="J971" s="7" t="n"/>
      <c r="K971" s="7">
        <f>IF($A971="","",S971*N971)</f>
        <v/>
      </c>
      <c r="L971" s="7">
        <f>IF($A971="","",N971-K971)</f>
        <v/>
      </c>
      <c r="M971" s="7">
        <f>IF($A971="","",L971-F971)</f>
        <v/>
      </c>
      <c r="N971" s="7" t="n"/>
      <c r="Q971" s="11" t="n"/>
      <c r="S971">
        <f>IF($A971="","",IF($W971=1,Settings!$C$6,Settings!$C$7)*1)</f>
        <v/>
      </c>
      <c r="U971">
        <f>IF($A971="","",IF(COUNTIF($A$2:$A971,$A971)=1,1,0))</f>
        <v/>
      </c>
      <c r="V971">
        <f>IF($U971=1,SUMPRODUCT(--($X$2:$X$1001&lt;$X971))+1,"")</f>
        <v/>
      </c>
      <c r="W971">
        <f>IF($A971="","",IF(OR($T971=TRUE(),$T971="TRUE"),1,0))</f>
        <v/>
      </c>
      <c r="X971">
        <f>IF($U971=1,IFERROR(IF(VALUE($A971)&lt;100000000,VALUE($A971),1000000000),IFERROR(IF(VALUE(MID($A971,2,20))&lt;100000000,VALUE(MID($A971,2,20)),1000000000),1000000000))+ROW()/100000,"")</f>
        <v/>
      </c>
    </row>
    <row r="972">
      <c r="F972" s="7">
        <f>IF($A972="","",E972*N972/100)</f>
        <v/>
      </c>
      <c r="J972" s="7" t="n"/>
      <c r="K972" s="7">
        <f>IF($A972="","",S972*N972)</f>
        <v/>
      </c>
      <c r="L972" s="7">
        <f>IF($A972="","",N972-K972)</f>
        <v/>
      </c>
      <c r="M972" s="7">
        <f>IF($A972="","",L972-F972)</f>
        <v/>
      </c>
      <c r="N972" s="7" t="n"/>
      <c r="Q972" s="11" t="n"/>
      <c r="S972">
        <f>IF($A972="","",IF($W972=1,Settings!$C$6,Settings!$C$7)*1)</f>
        <v/>
      </c>
      <c r="U972">
        <f>IF($A972="","",IF(COUNTIF($A$2:$A972,$A972)=1,1,0))</f>
        <v/>
      </c>
      <c r="V972">
        <f>IF($U972=1,SUMPRODUCT(--($X$2:$X$1001&lt;$X972))+1,"")</f>
        <v/>
      </c>
      <c r="W972">
        <f>IF($A972="","",IF(OR($T972=TRUE(),$T972="TRUE"),1,0))</f>
        <v/>
      </c>
      <c r="X972">
        <f>IF($U972=1,IFERROR(IF(VALUE($A972)&lt;100000000,VALUE($A972),1000000000),IFERROR(IF(VALUE(MID($A972,2,20))&lt;100000000,VALUE(MID($A972,2,20)),1000000000),1000000000))+ROW()/100000,"")</f>
        <v/>
      </c>
    </row>
    <row r="973">
      <c r="F973" s="7">
        <f>IF($A973="","",E973*N973/100)</f>
        <v/>
      </c>
      <c r="J973" s="7" t="n"/>
      <c r="K973" s="7">
        <f>IF($A973="","",S973*N973)</f>
        <v/>
      </c>
      <c r="L973" s="7">
        <f>IF($A973="","",N973-K973)</f>
        <v/>
      </c>
      <c r="M973" s="7">
        <f>IF($A973="","",L973-F973)</f>
        <v/>
      </c>
      <c r="N973" s="7" t="n"/>
      <c r="Q973" s="11" t="n"/>
      <c r="S973">
        <f>IF($A973="","",IF($W973=1,Settings!$C$6,Settings!$C$7)*1)</f>
        <v/>
      </c>
      <c r="U973">
        <f>IF($A973="","",IF(COUNTIF($A$2:$A973,$A973)=1,1,0))</f>
        <v/>
      </c>
      <c r="V973">
        <f>IF($U973=1,SUMPRODUCT(--($X$2:$X$1001&lt;$X973))+1,"")</f>
        <v/>
      </c>
      <c r="W973">
        <f>IF($A973="","",IF(OR($T973=TRUE(),$T973="TRUE"),1,0))</f>
        <v/>
      </c>
      <c r="X973">
        <f>IF($U973=1,IFERROR(IF(VALUE($A973)&lt;100000000,VALUE($A973),1000000000),IFERROR(IF(VALUE(MID($A973,2,20))&lt;100000000,VALUE(MID($A973,2,20)),1000000000),1000000000))+ROW()/100000,"")</f>
        <v/>
      </c>
    </row>
    <row r="974">
      <c r="F974" s="7">
        <f>IF($A974="","",E974*N974/100)</f>
        <v/>
      </c>
      <c r="J974" s="7" t="n"/>
      <c r="K974" s="7">
        <f>IF($A974="","",S974*N974)</f>
        <v/>
      </c>
      <c r="L974" s="7">
        <f>IF($A974="","",N974-K974)</f>
        <v/>
      </c>
      <c r="M974" s="7">
        <f>IF($A974="","",L974-F974)</f>
        <v/>
      </c>
      <c r="N974" s="7" t="n"/>
      <c r="Q974" s="11" t="n"/>
      <c r="S974">
        <f>IF($A974="","",IF($W974=1,Settings!$C$6,Settings!$C$7)*1)</f>
        <v/>
      </c>
      <c r="U974">
        <f>IF($A974="","",IF(COUNTIF($A$2:$A974,$A974)=1,1,0))</f>
        <v/>
      </c>
      <c r="V974">
        <f>IF($U974=1,SUMPRODUCT(--($X$2:$X$1001&lt;$X974))+1,"")</f>
        <v/>
      </c>
      <c r="W974">
        <f>IF($A974="","",IF(OR($T974=TRUE(),$T974="TRUE"),1,0))</f>
        <v/>
      </c>
      <c r="X974">
        <f>IF($U974=1,IFERROR(IF(VALUE($A974)&lt;100000000,VALUE($A974),1000000000),IFERROR(IF(VALUE(MID($A974,2,20))&lt;100000000,VALUE(MID($A974,2,20)),1000000000),1000000000))+ROW()/100000,"")</f>
        <v/>
      </c>
    </row>
    <row r="975">
      <c r="F975" s="7">
        <f>IF($A975="","",E975*N975/100)</f>
        <v/>
      </c>
      <c r="J975" s="7" t="n"/>
      <c r="K975" s="7">
        <f>IF($A975="","",S975*N975)</f>
        <v/>
      </c>
      <c r="L975" s="7">
        <f>IF($A975="","",N975-K975)</f>
        <v/>
      </c>
      <c r="M975" s="7">
        <f>IF($A975="","",L975-F975)</f>
        <v/>
      </c>
      <c r="N975" s="7" t="n"/>
      <c r="Q975" s="11" t="n"/>
      <c r="S975">
        <f>IF($A975="","",IF($W975=1,Settings!$C$6,Settings!$C$7)*1)</f>
        <v/>
      </c>
      <c r="U975">
        <f>IF($A975="","",IF(COUNTIF($A$2:$A975,$A975)=1,1,0))</f>
        <v/>
      </c>
      <c r="V975">
        <f>IF($U975=1,SUMPRODUCT(--($X$2:$X$1001&lt;$X975))+1,"")</f>
        <v/>
      </c>
      <c r="W975">
        <f>IF($A975="","",IF(OR($T975=TRUE(),$T975="TRUE"),1,0))</f>
        <v/>
      </c>
      <c r="X975">
        <f>IF($U975=1,IFERROR(IF(VALUE($A975)&lt;100000000,VALUE($A975),1000000000),IFERROR(IF(VALUE(MID($A975,2,20))&lt;100000000,VALUE(MID($A975,2,20)),1000000000),1000000000))+ROW()/100000,"")</f>
        <v/>
      </c>
    </row>
    <row r="976">
      <c r="F976" s="7">
        <f>IF($A976="","",E976*N976/100)</f>
        <v/>
      </c>
      <c r="J976" s="7" t="n"/>
      <c r="K976" s="7">
        <f>IF($A976="","",S976*N976)</f>
        <v/>
      </c>
      <c r="L976" s="7">
        <f>IF($A976="","",N976-K976)</f>
        <v/>
      </c>
      <c r="M976" s="7">
        <f>IF($A976="","",L976-F976)</f>
        <v/>
      </c>
      <c r="N976" s="7" t="n"/>
      <c r="Q976" s="11" t="n"/>
      <c r="S976">
        <f>IF($A976="","",IF($W976=1,Settings!$C$6,Settings!$C$7)*1)</f>
        <v/>
      </c>
      <c r="U976">
        <f>IF($A976="","",IF(COUNTIF($A$2:$A976,$A976)=1,1,0))</f>
        <v/>
      </c>
      <c r="V976">
        <f>IF($U976=1,SUMPRODUCT(--($X$2:$X$1001&lt;$X976))+1,"")</f>
        <v/>
      </c>
      <c r="W976">
        <f>IF($A976="","",IF(OR($T976=TRUE(),$T976="TRUE"),1,0))</f>
        <v/>
      </c>
      <c r="X976">
        <f>IF($U976=1,IFERROR(IF(VALUE($A976)&lt;100000000,VALUE($A976),1000000000),IFERROR(IF(VALUE(MID($A976,2,20))&lt;100000000,VALUE(MID($A976,2,20)),1000000000),1000000000))+ROW()/100000,"")</f>
        <v/>
      </c>
    </row>
    <row r="977">
      <c r="F977" s="7">
        <f>IF($A977="","",E977*N977/100)</f>
        <v/>
      </c>
      <c r="J977" s="7" t="n"/>
      <c r="K977" s="7">
        <f>IF($A977="","",S977*N977)</f>
        <v/>
      </c>
      <c r="L977" s="7">
        <f>IF($A977="","",N977-K977)</f>
        <v/>
      </c>
      <c r="M977" s="7">
        <f>IF($A977="","",L977-F977)</f>
        <v/>
      </c>
      <c r="N977" s="7" t="n"/>
      <c r="Q977" s="11" t="n"/>
      <c r="S977">
        <f>IF($A977="","",IF($W977=1,Settings!$C$6,Settings!$C$7)*1)</f>
        <v/>
      </c>
      <c r="U977">
        <f>IF($A977="","",IF(COUNTIF($A$2:$A977,$A977)=1,1,0))</f>
        <v/>
      </c>
      <c r="V977">
        <f>IF($U977=1,SUMPRODUCT(--($X$2:$X$1001&lt;$X977))+1,"")</f>
        <v/>
      </c>
      <c r="W977">
        <f>IF($A977="","",IF(OR($T977=TRUE(),$T977="TRUE"),1,0))</f>
        <v/>
      </c>
      <c r="X977">
        <f>IF($U977=1,IFERROR(IF(VALUE($A977)&lt;100000000,VALUE($A977),1000000000),IFERROR(IF(VALUE(MID($A977,2,20))&lt;100000000,VALUE(MID($A977,2,20)),1000000000),1000000000))+ROW()/100000,"")</f>
        <v/>
      </c>
    </row>
    <row r="978">
      <c r="F978" s="7">
        <f>IF($A978="","",E978*N978/100)</f>
        <v/>
      </c>
      <c r="J978" s="7" t="n"/>
      <c r="K978" s="7">
        <f>IF($A978="","",S978*N978)</f>
        <v/>
      </c>
      <c r="L978" s="7">
        <f>IF($A978="","",N978-K978)</f>
        <v/>
      </c>
      <c r="M978" s="7">
        <f>IF($A978="","",L978-F978)</f>
        <v/>
      </c>
      <c r="N978" s="7" t="n"/>
      <c r="Q978" s="11" t="n"/>
      <c r="S978">
        <f>IF($A978="","",IF($W978=1,Settings!$C$6,Settings!$C$7)*1)</f>
        <v/>
      </c>
      <c r="U978">
        <f>IF($A978="","",IF(COUNTIF($A$2:$A978,$A978)=1,1,0))</f>
        <v/>
      </c>
      <c r="V978">
        <f>IF($U978=1,SUMPRODUCT(--($X$2:$X$1001&lt;$X978))+1,"")</f>
        <v/>
      </c>
      <c r="W978">
        <f>IF($A978="","",IF(OR($T978=TRUE(),$T978="TRUE"),1,0))</f>
        <v/>
      </c>
      <c r="X978">
        <f>IF($U978=1,IFERROR(IF(VALUE($A978)&lt;100000000,VALUE($A978),1000000000),IFERROR(IF(VALUE(MID($A978,2,20))&lt;100000000,VALUE(MID($A978,2,20)),1000000000),1000000000))+ROW()/100000,"")</f>
        <v/>
      </c>
    </row>
    <row r="979">
      <c r="F979" s="7">
        <f>IF($A979="","",E979*N979/100)</f>
        <v/>
      </c>
      <c r="J979" s="7" t="n"/>
      <c r="K979" s="7">
        <f>IF($A979="","",S979*N979)</f>
        <v/>
      </c>
      <c r="L979" s="7">
        <f>IF($A979="","",N979-K979)</f>
        <v/>
      </c>
      <c r="M979" s="7">
        <f>IF($A979="","",L979-F979)</f>
        <v/>
      </c>
      <c r="N979" s="7" t="n"/>
      <c r="Q979" s="11" t="n"/>
      <c r="S979">
        <f>IF($A979="","",IF($W979=1,Settings!$C$6,Settings!$C$7)*1)</f>
        <v/>
      </c>
      <c r="U979">
        <f>IF($A979="","",IF(COUNTIF($A$2:$A979,$A979)=1,1,0))</f>
        <v/>
      </c>
      <c r="V979">
        <f>IF($U979=1,SUMPRODUCT(--($X$2:$X$1001&lt;$X979))+1,"")</f>
        <v/>
      </c>
      <c r="W979">
        <f>IF($A979="","",IF(OR($T979=TRUE(),$T979="TRUE"),1,0))</f>
        <v/>
      </c>
      <c r="X979">
        <f>IF($U979=1,IFERROR(IF(VALUE($A979)&lt;100000000,VALUE($A979),1000000000),IFERROR(IF(VALUE(MID($A979,2,20))&lt;100000000,VALUE(MID($A979,2,20)),1000000000),1000000000))+ROW()/100000,"")</f>
        <v/>
      </c>
    </row>
    <row r="980">
      <c r="F980" s="7">
        <f>IF($A980="","",E980*N980/100)</f>
        <v/>
      </c>
      <c r="J980" s="7" t="n"/>
      <c r="K980" s="7">
        <f>IF($A980="","",S980*N980)</f>
        <v/>
      </c>
      <c r="L980" s="7">
        <f>IF($A980="","",N980-K980)</f>
        <v/>
      </c>
      <c r="M980" s="7">
        <f>IF($A980="","",L980-F980)</f>
        <v/>
      </c>
      <c r="N980" s="7" t="n"/>
      <c r="Q980" s="11" t="n"/>
      <c r="S980">
        <f>IF($A980="","",IF($W980=1,Settings!$C$6,Settings!$C$7)*1)</f>
        <v/>
      </c>
      <c r="U980">
        <f>IF($A980="","",IF(COUNTIF($A$2:$A980,$A980)=1,1,0))</f>
        <v/>
      </c>
      <c r="V980">
        <f>IF($U980=1,SUMPRODUCT(--($X$2:$X$1001&lt;$X980))+1,"")</f>
        <v/>
      </c>
      <c r="W980">
        <f>IF($A980="","",IF(OR($T980=TRUE(),$T980="TRUE"),1,0))</f>
        <v/>
      </c>
      <c r="X980">
        <f>IF($U980=1,IFERROR(IF(VALUE($A980)&lt;100000000,VALUE($A980),1000000000),IFERROR(IF(VALUE(MID($A980,2,20))&lt;100000000,VALUE(MID($A980,2,20)),1000000000),1000000000))+ROW()/100000,"")</f>
        <v/>
      </c>
    </row>
    <row r="981">
      <c r="F981" s="7">
        <f>IF($A981="","",E981*N981/100)</f>
        <v/>
      </c>
      <c r="J981" s="7" t="n"/>
      <c r="K981" s="7">
        <f>IF($A981="","",S981*N981)</f>
        <v/>
      </c>
      <c r="L981" s="7">
        <f>IF($A981="","",N981-K981)</f>
        <v/>
      </c>
      <c r="M981" s="7">
        <f>IF($A981="","",L981-F981)</f>
        <v/>
      </c>
      <c r="N981" s="7" t="n"/>
      <c r="Q981" s="11" t="n"/>
      <c r="S981">
        <f>IF($A981="","",IF($W981=1,Settings!$C$6,Settings!$C$7)*1)</f>
        <v/>
      </c>
      <c r="U981">
        <f>IF($A981="","",IF(COUNTIF($A$2:$A981,$A981)=1,1,0))</f>
        <v/>
      </c>
      <c r="V981">
        <f>IF($U981=1,SUMPRODUCT(--($X$2:$X$1001&lt;$X981))+1,"")</f>
        <v/>
      </c>
      <c r="W981">
        <f>IF($A981="","",IF(OR($T981=TRUE(),$T981="TRUE"),1,0))</f>
        <v/>
      </c>
      <c r="X981">
        <f>IF($U981=1,IFERROR(IF(VALUE($A981)&lt;100000000,VALUE($A981),1000000000),IFERROR(IF(VALUE(MID($A981,2,20))&lt;100000000,VALUE(MID($A981,2,20)),1000000000),1000000000))+ROW()/100000,"")</f>
        <v/>
      </c>
    </row>
    <row r="982">
      <c r="F982" s="7">
        <f>IF($A982="","",E982*N982/100)</f>
        <v/>
      </c>
      <c r="J982" s="7" t="n"/>
      <c r="K982" s="7">
        <f>IF($A982="","",S982*N982)</f>
        <v/>
      </c>
      <c r="L982" s="7">
        <f>IF($A982="","",N982-K982)</f>
        <v/>
      </c>
      <c r="M982" s="7">
        <f>IF($A982="","",L982-F982)</f>
        <v/>
      </c>
      <c r="N982" s="7" t="n"/>
      <c r="Q982" s="11" t="n"/>
      <c r="S982">
        <f>IF($A982="","",IF($W982=1,Settings!$C$6,Settings!$C$7)*1)</f>
        <v/>
      </c>
      <c r="U982">
        <f>IF($A982="","",IF(COUNTIF($A$2:$A982,$A982)=1,1,0))</f>
        <v/>
      </c>
      <c r="V982">
        <f>IF($U982=1,SUMPRODUCT(--($X$2:$X$1001&lt;$X982))+1,"")</f>
        <v/>
      </c>
      <c r="W982">
        <f>IF($A982="","",IF(OR($T982=TRUE(),$T982="TRUE"),1,0))</f>
        <v/>
      </c>
      <c r="X982">
        <f>IF($U982=1,IFERROR(IF(VALUE($A982)&lt;100000000,VALUE($A982),1000000000),IFERROR(IF(VALUE(MID($A982,2,20))&lt;100000000,VALUE(MID($A982,2,20)),1000000000),1000000000))+ROW()/100000,"")</f>
        <v/>
      </c>
    </row>
    <row r="983">
      <c r="F983" s="7">
        <f>IF($A983="","",E983*N983/100)</f>
        <v/>
      </c>
      <c r="J983" s="7" t="n"/>
      <c r="K983" s="7">
        <f>IF($A983="","",S983*N983)</f>
        <v/>
      </c>
      <c r="L983" s="7">
        <f>IF($A983="","",N983-K983)</f>
        <v/>
      </c>
      <c r="M983" s="7">
        <f>IF($A983="","",L983-F983)</f>
        <v/>
      </c>
      <c r="N983" s="7" t="n"/>
      <c r="Q983" s="11" t="n"/>
      <c r="S983">
        <f>IF($A983="","",IF($W983=1,Settings!$C$6,Settings!$C$7)*1)</f>
        <v/>
      </c>
      <c r="U983">
        <f>IF($A983="","",IF(COUNTIF($A$2:$A983,$A983)=1,1,0))</f>
        <v/>
      </c>
      <c r="V983">
        <f>IF($U983=1,SUMPRODUCT(--($X$2:$X$1001&lt;$X983))+1,"")</f>
        <v/>
      </c>
      <c r="W983">
        <f>IF($A983="","",IF(OR($T983=TRUE(),$T983="TRUE"),1,0))</f>
        <v/>
      </c>
      <c r="X983">
        <f>IF($U983=1,IFERROR(IF(VALUE($A983)&lt;100000000,VALUE($A983),1000000000),IFERROR(IF(VALUE(MID($A983,2,20))&lt;100000000,VALUE(MID($A983,2,20)),1000000000),1000000000))+ROW()/100000,"")</f>
        <v/>
      </c>
    </row>
    <row r="984">
      <c r="F984" s="7">
        <f>IF($A984="","",E984*N984/100)</f>
        <v/>
      </c>
      <c r="J984" s="7" t="n"/>
      <c r="K984" s="7">
        <f>IF($A984="","",S984*N984)</f>
        <v/>
      </c>
      <c r="L984" s="7">
        <f>IF($A984="","",N984-K984)</f>
        <v/>
      </c>
      <c r="M984" s="7">
        <f>IF($A984="","",L984-F984)</f>
        <v/>
      </c>
      <c r="N984" s="7" t="n"/>
      <c r="Q984" s="11" t="n"/>
      <c r="S984">
        <f>IF($A984="","",IF($W984=1,Settings!$C$6,Settings!$C$7)*1)</f>
        <v/>
      </c>
      <c r="U984">
        <f>IF($A984="","",IF(COUNTIF($A$2:$A984,$A984)=1,1,0))</f>
        <v/>
      </c>
      <c r="V984">
        <f>IF($U984=1,SUMPRODUCT(--($X$2:$X$1001&lt;$X984))+1,"")</f>
        <v/>
      </c>
      <c r="W984">
        <f>IF($A984="","",IF(OR($T984=TRUE(),$T984="TRUE"),1,0))</f>
        <v/>
      </c>
      <c r="X984">
        <f>IF($U984=1,IFERROR(IF(VALUE($A984)&lt;100000000,VALUE($A984),1000000000),IFERROR(IF(VALUE(MID($A984,2,20))&lt;100000000,VALUE(MID($A984,2,20)),1000000000),1000000000))+ROW()/100000,"")</f>
        <v/>
      </c>
    </row>
    <row r="985">
      <c r="F985" s="7">
        <f>IF($A985="","",E985*N985/100)</f>
        <v/>
      </c>
      <c r="J985" s="7" t="n"/>
      <c r="K985" s="7">
        <f>IF($A985="","",S985*N985)</f>
        <v/>
      </c>
      <c r="L985" s="7">
        <f>IF($A985="","",N985-K985)</f>
        <v/>
      </c>
      <c r="M985" s="7">
        <f>IF($A985="","",L985-F985)</f>
        <v/>
      </c>
      <c r="N985" s="7" t="n"/>
      <c r="Q985" s="11" t="n"/>
      <c r="S985">
        <f>IF($A985="","",IF($W985=1,Settings!$C$6,Settings!$C$7)*1)</f>
        <v/>
      </c>
      <c r="U985">
        <f>IF($A985="","",IF(COUNTIF($A$2:$A985,$A985)=1,1,0))</f>
        <v/>
      </c>
      <c r="V985">
        <f>IF($U985=1,SUMPRODUCT(--($X$2:$X$1001&lt;$X985))+1,"")</f>
        <v/>
      </c>
      <c r="W985">
        <f>IF($A985="","",IF(OR($T985=TRUE(),$T985="TRUE"),1,0))</f>
        <v/>
      </c>
      <c r="X985">
        <f>IF($U985=1,IFERROR(IF(VALUE($A985)&lt;100000000,VALUE($A985),1000000000),IFERROR(IF(VALUE(MID($A985,2,20))&lt;100000000,VALUE(MID($A985,2,20)),1000000000),1000000000))+ROW()/100000,"")</f>
        <v/>
      </c>
    </row>
    <row r="986">
      <c r="F986" s="7">
        <f>IF($A986="","",E986*N986/100)</f>
        <v/>
      </c>
      <c r="J986" s="7" t="n"/>
      <c r="K986" s="7">
        <f>IF($A986="","",S986*N986)</f>
        <v/>
      </c>
      <c r="L986" s="7">
        <f>IF($A986="","",N986-K986)</f>
        <v/>
      </c>
      <c r="M986" s="7">
        <f>IF($A986="","",L986-F986)</f>
        <v/>
      </c>
      <c r="N986" s="7" t="n"/>
      <c r="Q986" s="11" t="n"/>
      <c r="S986">
        <f>IF($A986="","",IF($W986=1,Settings!$C$6,Settings!$C$7)*1)</f>
        <v/>
      </c>
      <c r="U986">
        <f>IF($A986="","",IF(COUNTIF($A$2:$A986,$A986)=1,1,0))</f>
        <v/>
      </c>
      <c r="V986">
        <f>IF($U986=1,SUMPRODUCT(--($X$2:$X$1001&lt;$X986))+1,"")</f>
        <v/>
      </c>
      <c r="W986">
        <f>IF($A986="","",IF(OR($T986=TRUE(),$T986="TRUE"),1,0))</f>
        <v/>
      </c>
      <c r="X986">
        <f>IF($U986=1,IFERROR(IF(VALUE($A986)&lt;100000000,VALUE($A986),1000000000),IFERROR(IF(VALUE(MID($A986,2,20))&lt;100000000,VALUE(MID($A986,2,20)),1000000000),1000000000))+ROW()/100000,"")</f>
        <v/>
      </c>
    </row>
    <row r="987">
      <c r="F987" s="7">
        <f>IF($A987="","",E987*N987/100)</f>
        <v/>
      </c>
      <c r="J987" s="7" t="n"/>
      <c r="K987" s="7">
        <f>IF($A987="","",S987*N987)</f>
        <v/>
      </c>
      <c r="L987" s="7">
        <f>IF($A987="","",N987-K987)</f>
        <v/>
      </c>
      <c r="M987" s="7">
        <f>IF($A987="","",L987-F987)</f>
        <v/>
      </c>
      <c r="N987" s="7" t="n"/>
      <c r="Q987" s="11" t="n"/>
      <c r="S987">
        <f>IF($A987="","",IF($W987=1,Settings!$C$6,Settings!$C$7)*1)</f>
        <v/>
      </c>
      <c r="U987">
        <f>IF($A987="","",IF(COUNTIF($A$2:$A987,$A987)=1,1,0))</f>
        <v/>
      </c>
      <c r="V987">
        <f>IF($U987=1,SUMPRODUCT(--($X$2:$X$1001&lt;$X987))+1,"")</f>
        <v/>
      </c>
      <c r="W987">
        <f>IF($A987="","",IF(OR($T987=TRUE(),$T987="TRUE"),1,0))</f>
        <v/>
      </c>
      <c r="X987">
        <f>IF($U987=1,IFERROR(IF(VALUE($A987)&lt;100000000,VALUE($A987),1000000000),IFERROR(IF(VALUE(MID($A987,2,20))&lt;100000000,VALUE(MID($A987,2,20)),1000000000),1000000000))+ROW()/100000,"")</f>
        <v/>
      </c>
    </row>
    <row r="988">
      <c r="F988" s="7">
        <f>IF($A988="","",E988*N988/100)</f>
        <v/>
      </c>
      <c r="J988" s="7" t="n"/>
      <c r="K988" s="7">
        <f>IF($A988="","",S988*N988)</f>
        <v/>
      </c>
      <c r="L988" s="7">
        <f>IF($A988="","",N988-K988)</f>
        <v/>
      </c>
      <c r="M988" s="7">
        <f>IF($A988="","",L988-F988)</f>
        <v/>
      </c>
      <c r="N988" s="7" t="n"/>
      <c r="Q988" s="11" t="n"/>
      <c r="S988">
        <f>IF($A988="","",IF($W988=1,Settings!$C$6,Settings!$C$7)*1)</f>
        <v/>
      </c>
      <c r="U988">
        <f>IF($A988="","",IF(COUNTIF($A$2:$A988,$A988)=1,1,0))</f>
        <v/>
      </c>
      <c r="V988">
        <f>IF($U988=1,SUMPRODUCT(--($X$2:$X$1001&lt;$X988))+1,"")</f>
        <v/>
      </c>
      <c r="W988">
        <f>IF($A988="","",IF(OR($T988=TRUE(),$T988="TRUE"),1,0))</f>
        <v/>
      </c>
      <c r="X988">
        <f>IF($U988=1,IFERROR(IF(VALUE($A988)&lt;100000000,VALUE($A988),1000000000),IFERROR(IF(VALUE(MID($A988,2,20))&lt;100000000,VALUE(MID($A988,2,20)),1000000000),1000000000))+ROW()/100000,"")</f>
        <v/>
      </c>
    </row>
    <row r="989">
      <c r="F989" s="7">
        <f>IF($A989="","",E989*N989/100)</f>
        <v/>
      </c>
      <c r="J989" s="7" t="n"/>
      <c r="K989" s="7">
        <f>IF($A989="","",S989*N989)</f>
        <v/>
      </c>
      <c r="L989" s="7">
        <f>IF($A989="","",N989-K989)</f>
        <v/>
      </c>
      <c r="M989" s="7">
        <f>IF($A989="","",L989-F989)</f>
        <v/>
      </c>
      <c r="N989" s="7" t="n"/>
      <c r="Q989" s="11" t="n"/>
      <c r="S989">
        <f>IF($A989="","",IF($W989=1,Settings!$C$6,Settings!$C$7)*1)</f>
        <v/>
      </c>
      <c r="U989">
        <f>IF($A989="","",IF(COUNTIF($A$2:$A989,$A989)=1,1,0))</f>
        <v/>
      </c>
      <c r="V989">
        <f>IF($U989=1,SUMPRODUCT(--($X$2:$X$1001&lt;$X989))+1,"")</f>
        <v/>
      </c>
      <c r="W989">
        <f>IF($A989="","",IF(OR($T989=TRUE(),$T989="TRUE"),1,0))</f>
        <v/>
      </c>
      <c r="X989">
        <f>IF($U989=1,IFERROR(IF(VALUE($A989)&lt;100000000,VALUE($A989),1000000000),IFERROR(IF(VALUE(MID($A989,2,20))&lt;100000000,VALUE(MID($A989,2,20)),1000000000),1000000000))+ROW()/100000,"")</f>
        <v/>
      </c>
    </row>
    <row r="990">
      <c r="F990" s="7">
        <f>IF($A990="","",E990*N990/100)</f>
        <v/>
      </c>
      <c r="J990" s="7" t="n"/>
      <c r="K990" s="7">
        <f>IF($A990="","",S990*N990)</f>
        <v/>
      </c>
      <c r="L990" s="7">
        <f>IF($A990="","",N990-K990)</f>
        <v/>
      </c>
      <c r="M990" s="7">
        <f>IF($A990="","",L990-F990)</f>
        <v/>
      </c>
      <c r="N990" s="7" t="n"/>
      <c r="Q990" s="11" t="n"/>
      <c r="S990">
        <f>IF($A990="","",IF($W990=1,Settings!$C$6,Settings!$C$7)*1)</f>
        <v/>
      </c>
      <c r="U990">
        <f>IF($A990="","",IF(COUNTIF($A$2:$A990,$A990)=1,1,0))</f>
        <v/>
      </c>
      <c r="V990">
        <f>IF($U990=1,SUMPRODUCT(--($X$2:$X$1001&lt;$X990))+1,"")</f>
        <v/>
      </c>
      <c r="W990">
        <f>IF($A990="","",IF(OR($T990=TRUE(),$T990="TRUE"),1,0))</f>
        <v/>
      </c>
      <c r="X990">
        <f>IF($U990=1,IFERROR(IF(VALUE($A990)&lt;100000000,VALUE($A990),1000000000),IFERROR(IF(VALUE(MID($A990,2,20))&lt;100000000,VALUE(MID($A990,2,20)),1000000000),1000000000))+ROW()/100000,"")</f>
        <v/>
      </c>
    </row>
    <row r="991">
      <c r="F991" s="7">
        <f>IF($A991="","",E991*N991/100)</f>
        <v/>
      </c>
      <c r="J991" s="7" t="n"/>
      <c r="K991" s="7">
        <f>IF($A991="","",S991*N991)</f>
        <v/>
      </c>
      <c r="L991" s="7">
        <f>IF($A991="","",N991-K991)</f>
        <v/>
      </c>
      <c r="M991" s="7">
        <f>IF($A991="","",L991-F991)</f>
        <v/>
      </c>
      <c r="N991" s="7" t="n"/>
      <c r="Q991" s="11" t="n"/>
      <c r="S991">
        <f>IF($A991="","",IF($W991=1,Settings!$C$6,Settings!$C$7)*1)</f>
        <v/>
      </c>
      <c r="U991">
        <f>IF($A991="","",IF(COUNTIF($A$2:$A991,$A991)=1,1,0))</f>
        <v/>
      </c>
      <c r="V991">
        <f>IF($U991=1,SUMPRODUCT(--($X$2:$X$1001&lt;$X991))+1,"")</f>
        <v/>
      </c>
      <c r="W991">
        <f>IF($A991="","",IF(OR($T991=TRUE(),$T991="TRUE"),1,0))</f>
        <v/>
      </c>
      <c r="X991">
        <f>IF($U991=1,IFERROR(IF(VALUE($A991)&lt;100000000,VALUE($A991),1000000000),IFERROR(IF(VALUE(MID($A991,2,20))&lt;100000000,VALUE(MID($A991,2,20)),1000000000),1000000000))+ROW()/100000,"")</f>
        <v/>
      </c>
    </row>
    <row r="992">
      <c r="F992" s="7">
        <f>IF($A992="","",E992*N992/100)</f>
        <v/>
      </c>
      <c r="J992" s="7" t="n"/>
      <c r="K992" s="7">
        <f>IF($A992="","",S992*N992)</f>
        <v/>
      </c>
      <c r="L992" s="7">
        <f>IF($A992="","",N992-K992)</f>
        <v/>
      </c>
      <c r="M992" s="7">
        <f>IF($A992="","",L992-F992)</f>
        <v/>
      </c>
      <c r="N992" s="7" t="n"/>
      <c r="Q992" s="11" t="n"/>
      <c r="S992">
        <f>IF($A992="","",IF($W992=1,Settings!$C$6,Settings!$C$7)*1)</f>
        <v/>
      </c>
      <c r="U992">
        <f>IF($A992="","",IF(COUNTIF($A$2:$A992,$A992)=1,1,0))</f>
        <v/>
      </c>
      <c r="V992">
        <f>IF($U992=1,SUMPRODUCT(--($X$2:$X$1001&lt;$X992))+1,"")</f>
        <v/>
      </c>
      <c r="W992">
        <f>IF($A992="","",IF(OR($T992=TRUE(),$T992="TRUE"),1,0))</f>
        <v/>
      </c>
      <c r="X992">
        <f>IF($U992=1,IFERROR(IF(VALUE($A992)&lt;100000000,VALUE($A992),1000000000),IFERROR(IF(VALUE(MID($A992,2,20))&lt;100000000,VALUE(MID($A992,2,20)),1000000000),1000000000))+ROW()/100000,"")</f>
        <v/>
      </c>
    </row>
    <row r="993">
      <c r="F993" s="7">
        <f>IF($A993="","",E993*N993/100)</f>
        <v/>
      </c>
      <c r="J993" s="7" t="n"/>
      <c r="K993" s="7">
        <f>IF($A993="","",S993*N993)</f>
        <v/>
      </c>
      <c r="L993" s="7">
        <f>IF($A993="","",N993-K993)</f>
        <v/>
      </c>
      <c r="M993" s="7">
        <f>IF($A993="","",L993-F993)</f>
        <v/>
      </c>
      <c r="N993" s="7" t="n"/>
      <c r="Q993" s="11" t="n"/>
      <c r="S993">
        <f>IF($A993="","",IF($W993=1,Settings!$C$6,Settings!$C$7)*1)</f>
        <v/>
      </c>
      <c r="U993">
        <f>IF($A993="","",IF(COUNTIF($A$2:$A993,$A993)=1,1,0))</f>
        <v/>
      </c>
      <c r="V993">
        <f>IF($U993=1,SUMPRODUCT(--($X$2:$X$1001&lt;$X993))+1,"")</f>
        <v/>
      </c>
      <c r="W993">
        <f>IF($A993="","",IF(OR($T993=TRUE(),$T993="TRUE"),1,0))</f>
        <v/>
      </c>
      <c r="X993">
        <f>IF($U993=1,IFERROR(IF(VALUE($A993)&lt;100000000,VALUE($A993),1000000000),IFERROR(IF(VALUE(MID($A993,2,20))&lt;100000000,VALUE(MID($A993,2,20)),1000000000),1000000000))+ROW()/100000,"")</f>
        <v/>
      </c>
    </row>
    <row r="994">
      <c r="F994" s="7">
        <f>IF($A994="","",E994*N994/100)</f>
        <v/>
      </c>
      <c r="J994" s="7" t="n"/>
      <c r="K994" s="7">
        <f>IF($A994="","",S994*N994)</f>
        <v/>
      </c>
      <c r="L994" s="7">
        <f>IF($A994="","",N994-K994)</f>
        <v/>
      </c>
      <c r="M994" s="7">
        <f>IF($A994="","",L994-F994)</f>
        <v/>
      </c>
      <c r="N994" s="7" t="n"/>
      <c r="Q994" s="11" t="n"/>
      <c r="S994">
        <f>IF($A994="","",IF($W994=1,Settings!$C$6,Settings!$C$7)*1)</f>
        <v/>
      </c>
      <c r="U994">
        <f>IF($A994="","",IF(COUNTIF($A$2:$A994,$A994)=1,1,0))</f>
        <v/>
      </c>
      <c r="V994">
        <f>IF($U994=1,SUMPRODUCT(--($X$2:$X$1001&lt;$X994))+1,"")</f>
        <v/>
      </c>
      <c r="W994">
        <f>IF($A994="","",IF(OR($T994=TRUE(),$T994="TRUE"),1,0))</f>
        <v/>
      </c>
      <c r="X994">
        <f>IF($U994=1,IFERROR(IF(VALUE($A994)&lt;100000000,VALUE($A994),1000000000),IFERROR(IF(VALUE(MID($A994,2,20))&lt;100000000,VALUE(MID($A994,2,20)),1000000000),1000000000))+ROW()/100000,"")</f>
        <v/>
      </c>
    </row>
    <row r="995">
      <c r="F995" s="7">
        <f>IF($A995="","",E995*N995/100)</f>
        <v/>
      </c>
      <c r="J995" s="7" t="n"/>
      <c r="K995" s="7">
        <f>IF($A995="","",S995*N995)</f>
        <v/>
      </c>
      <c r="L995" s="7">
        <f>IF($A995="","",N995-K995)</f>
        <v/>
      </c>
      <c r="M995" s="7">
        <f>IF($A995="","",L995-F995)</f>
        <v/>
      </c>
      <c r="N995" s="7" t="n"/>
      <c r="Q995" s="11" t="n"/>
      <c r="S995">
        <f>IF($A995="","",IF($W995=1,Settings!$C$6,Settings!$C$7)*1)</f>
        <v/>
      </c>
      <c r="U995">
        <f>IF($A995="","",IF(COUNTIF($A$2:$A995,$A995)=1,1,0))</f>
        <v/>
      </c>
      <c r="V995">
        <f>IF($U995=1,SUMPRODUCT(--($X$2:$X$1001&lt;$X995))+1,"")</f>
        <v/>
      </c>
      <c r="W995">
        <f>IF($A995="","",IF(OR($T995=TRUE(),$T995="TRUE"),1,0))</f>
        <v/>
      </c>
      <c r="X995">
        <f>IF($U995=1,IFERROR(IF(VALUE($A995)&lt;100000000,VALUE($A995),1000000000),IFERROR(IF(VALUE(MID($A995,2,20))&lt;100000000,VALUE(MID($A995,2,20)),1000000000),1000000000))+ROW()/100000,"")</f>
        <v/>
      </c>
    </row>
    <row r="996">
      <c r="F996" s="7">
        <f>IF($A996="","",E996*N996/100)</f>
        <v/>
      </c>
      <c r="J996" s="7" t="n"/>
      <c r="K996" s="7">
        <f>IF($A996="","",S996*N996)</f>
        <v/>
      </c>
      <c r="L996" s="7">
        <f>IF($A996="","",N996-K996)</f>
        <v/>
      </c>
      <c r="M996" s="7">
        <f>IF($A996="","",L996-F996)</f>
        <v/>
      </c>
      <c r="N996" s="7" t="n"/>
      <c r="Q996" s="11" t="n"/>
      <c r="S996">
        <f>IF($A996="","",IF($W996=1,Settings!$C$6,Settings!$C$7)*1)</f>
        <v/>
      </c>
      <c r="U996">
        <f>IF($A996="","",IF(COUNTIF($A$2:$A996,$A996)=1,1,0))</f>
        <v/>
      </c>
      <c r="V996">
        <f>IF($U996=1,SUMPRODUCT(--($X$2:$X$1001&lt;$X996))+1,"")</f>
        <v/>
      </c>
      <c r="W996">
        <f>IF($A996="","",IF(OR($T996=TRUE(),$T996="TRUE"),1,0))</f>
        <v/>
      </c>
      <c r="X996">
        <f>IF($U996=1,IFERROR(IF(VALUE($A996)&lt;100000000,VALUE($A996),1000000000),IFERROR(IF(VALUE(MID($A996,2,20))&lt;100000000,VALUE(MID($A996,2,20)),1000000000),1000000000))+ROW()/100000,"")</f>
        <v/>
      </c>
    </row>
    <row r="997">
      <c r="F997" s="7">
        <f>IF($A997="","",E997*N997/100)</f>
        <v/>
      </c>
      <c r="J997" s="7" t="n"/>
      <c r="K997" s="7">
        <f>IF($A997="","",S997*N997)</f>
        <v/>
      </c>
      <c r="L997" s="7">
        <f>IF($A997="","",N997-K997)</f>
        <v/>
      </c>
      <c r="M997" s="7">
        <f>IF($A997="","",L997-F997)</f>
        <v/>
      </c>
      <c r="N997" s="7" t="n"/>
      <c r="Q997" s="11" t="n"/>
      <c r="S997">
        <f>IF($A997="","",IF($W997=1,Settings!$C$6,Settings!$C$7)*1)</f>
        <v/>
      </c>
      <c r="U997">
        <f>IF($A997="","",IF(COUNTIF($A$2:$A997,$A997)=1,1,0))</f>
        <v/>
      </c>
      <c r="V997">
        <f>IF($U997=1,SUMPRODUCT(--($X$2:$X$1001&lt;$X997))+1,"")</f>
        <v/>
      </c>
      <c r="W997">
        <f>IF($A997="","",IF(OR($T997=TRUE(),$T997="TRUE"),1,0))</f>
        <v/>
      </c>
      <c r="X997">
        <f>IF($U997=1,IFERROR(IF(VALUE($A997)&lt;100000000,VALUE($A997),1000000000),IFERROR(IF(VALUE(MID($A997,2,20))&lt;100000000,VALUE(MID($A997,2,20)),1000000000),1000000000))+ROW()/100000,"")</f>
        <v/>
      </c>
    </row>
    <row r="998">
      <c r="F998" s="7">
        <f>IF($A998="","",E998*N998/100)</f>
        <v/>
      </c>
      <c r="J998" s="7" t="n"/>
      <c r="K998" s="7">
        <f>IF($A998="","",S998*N998)</f>
        <v/>
      </c>
      <c r="L998" s="7">
        <f>IF($A998="","",N998-K998)</f>
        <v/>
      </c>
      <c r="M998" s="7">
        <f>IF($A998="","",L998-F998)</f>
        <v/>
      </c>
      <c r="N998" s="7" t="n"/>
      <c r="Q998" s="11" t="n"/>
      <c r="S998">
        <f>IF($A998="","",IF($W998=1,Settings!$C$6,Settings!$C$7)*1)</f>
        <v/>
      </c>
      <c r="U998">
        <f>IF($A998="","",IF(COUNTIF($A$2:$A998,$A998)=1,1,0))</f>
        <v/>
      </c>
      <c r="V998">
        <f>IF($U998=1,SUMPRODUCT(--($X$2:$X$1001&lt;$X998))+1,"")</f>
        <v/>
      </c>
      <c r="W998">
        <f>IF($A998="","",IF(OR($T998=TRUE(),$T998="TRUE"),1,0))</f>
        <v/>
      </c>
      <c r="X998">
        <f>IF($U998=1,IFERROR(IF(VALUE($A998)&lt;100000000,VALUE($A998),1000000000),IFERROR(IF(VALUE(MID($A998,2,20))&lt;100000000,VALUE(MID($A998,2,20)),1000000000),1000000000))+ROW()/100000,"")</f>
        <v/>
      </c>
    </row>
    <row r="999">
      <c r="F999" s="7">
        <f>IF($A999="","",E999*N999/100)</f>
        <v/>
      </c>
      <c r="J999" s="7" t="n"/>
      <c r="K999" s="7">
        <f>IF($A999="","",S999*N999)</f>
        <v/>
      </c>
      <c r="L999" s="7">
        <f>IF($A999="","",N999-K999)</f>
        <v/>
      </c>
      <c r="M999" s="7">
        <f>IF($A999="","",L999-F999)</f>
        <v/>
      </c>
      <c r="N999" s="7" t="n"/>
      <c r="Q999" s="11" t="n"/>
      <c r="S999">
        <f>IF($A999="","",IF($W999=1,Settings!$C$6,Settings!$C$7)*1)</f>
        <v/>
      </c>
      <c r="U999">
        <f>IF($A999="","",IF(COUNTIF($A$2:$A999,$A999)=1,1,0))</f>
        <v/>
      </c>
      <c r="V999">
        <f>IF($U999=1,SUMPRODUCT(--($X$2:$X$1001&lt;$X999))+1,"")</f>
        <v/>
      </c>
      <c r="W999">
        <f>IF($A999="","",IF(OR($T999=TRUE(),$T999="TRUE"),1,0))</f>
        <v/>
      </c>
      <c r="X999">
        <f>IF($U999=1,IFERROR(IF(VALUE($A999)&lt;100000000,VALUE($A999),1000000000),IFERROR(IF(VALUE(MID($A999,2,20))&lt;100000000,VALUE(MID($A999,2,20)),1000000000),1000000000))+ROW()/100000,"")</f>
        <v/>
      </c>
    </row>
    <row r="1000">
      <c r="F1000" s="7">
        <f>IF($A1000="","",E1000*N1000/100)</f>
        <v/>
      </c>
      <c r="J1000" s="7" t="n"/>
      <c r="K1000" s="7">
        <f>IF($A1000="","",S1000*N1000)</f>
        <v/>
      </c>
      <c r="L1000" s="7">
        <f>IF($A1000="","",N1000-K1000)</f>
        <v/>
      </c>
      <c r="M1000" s="7">
        <f>IF($A1000="","",L1000-F1000)</f>
        <v/>
      </c>
      <c r="N1000" s="7" t="n"/>
      <c r="Q1000" s="11" t="n"/>
      <c r="S1000">
        <f>IF($A1000="","",IF($W1000=1,Settings!$C$6,Settings!$C$7)*1)</f>
        <v/>
      </c>
      <c r="U1000">
        <f>IF($A1000="","",IF(COUNTIF($A$2:$A1000,$A1000)=1,1,0))</f>
        <v/>
      </c>
      <c r="V1000">
        <f>IF($U1000=1,SUMPRODUCT(--($X$2:$X$1001&lt;$X1000))+1,"")</f>
        <v/>
      </c>
      <c r="W1000">
        <f>IF($A1000="","",IF(OR($T1000=TRUE(),$T1000="TRUE"),1,0))</f>
        <v/>
      </c>
      <c r="X1000">
        <f>IF($U1000=1,IFERROR(IF(VALUE($A1000)&lt;100000000,VALUE($A1000),1000000000),IFERROR(IF(VALUE(MID($A1000,2,20))&lt;100000000,VALUE(MID($A1000,2,20)),1000000000),1000000000))+ROW()/100000,"")</f>
        <v/>
      </c>
    </row>
    <row r="1001">
      <c r="F1001" s="7">
        <f>IF($A1001="","",E1001*N1001/100)</f>
        <v/>
      </c>
      <c r="J1001" s="7" t="n"/>
      <c r="K1001" s="7">
        <f>IF($A1001="","",S1001*N1001)</f>
        <v/>
      </c>
      <c r="L1001" s="7">
        <f>IF($A1001="","",N1001-K1001)</f>
        <v/>
      </c>
      <c r="M1001" s="7">
        <f>IF($A1001="","",L1001-F1001)</f>
        <v/>
      </c>
      <c r="N1001" s="7" t="n"/>
      <c r="Q1001" s="11" t="n"/>
      <c r="S1001">
        <f>IF($A1001="","",IF($W1001=1,Settings!$C$6,Settings!$C$7)*1)</f>
        <v/>
      </c>
      <c r="U1001">
        <f>IF($A1001="","",IF(COUNTIF($A$2:$A1001,$A1001)=1,1,0))</f>
        <v/>
      </c>
      <c r="V1001">
        <f>IF($U1001=1,SUMPRODUCT(--($X$2:$X$1001&lt;$X1001))+1,"")</f>
        <v/>
      </c>
      <c r="W1001">
        <f>IF($A1001="","",IF(OR($T1001=TRUE(),$T1001="TRUE"),1,0))</f>
        <v/>
      </c>
      <c r="X1001">
        <f>IF($U1001=1,IFERROR(IF(VALUE($A1001)&lt;100000000,VALUE($A1001),1000000000),IFERROR(IF(VALUE(MID($A1001,2,20))&lt;100000000,VALUE(MID($A1001,2,20)),1000000000),1000000000))+ROW()/100000,"")</f>
        <v/>
      </c>
    </row>
  </sheetData>
  <autoFilter ref="A1:X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3" customWidth="1" min="8" max="8"/>
    <col width="17" customWidth="1" min="9" max="9"/>
    <col width="2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9" t="inlineStr">
        <is>
          <t>Pos Reference</t>
        </is>
      </c>
      <c r="B1" s="8" t="inlineStr">
        <is>
          <t>Invoice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Payment Type</t>
        </is>
      </c>
      <c r="I1" s="9" t="inlineStr">
        <is>
          <t>Create Date</t>
        </is>
      </c>
      <c r="J1" s="9" t="inlineStr">
        <is>
          <t>Order Reference</t>
        </is>
      </c>
      <c r="K1" s="9" t="inlineStr">
        <is>
          <t>IMP %</t>
        </is>
      </c>
      <c r="L1" s="9" t="inlineStr">
        <is>
          <t>IMP</t>
        </is>
      </c>
      <c r="M1" s="9" t="inlineStr">
        <is>
          <t>IMP VAL</t>
        </is>
      </c>
      <c r="N1" s="9" t="inlineStr">
        <is>
          <t>LOC %</t>
        </is>
      </c>
      <c r="O1" s="9" t="inlineStr">
        <is>
          <t>LOC</t>
        </is>
      </c>
      <c r="P1" s="9" t="inlineStr">
        <is>
          <t>LOC VAL</t>
        </is>
      </c>
      <c r="Q1" s="9" t="inlineStr">
        <is>
          <t>TOTAL VAL</t>
        </is>
      </c>
      <c r="R1" s="9" t="inlineStr">
        <is>
          <t>SUBTOTAL</t>
        </is>
      </c>
      <c r="S1" s="9" t="inlineStr">
        <is>
          <t>Grand Total</t>
        </is>
      </c>
      <c r="T1" s="9" t="inlineStr">
        <is>
          <t>NET</t>
        </is>
      </c>
      <c r="U1" s="10" t="inlineStr">
        <is>
          <t>Src Row (helper)</t>
        </is>
      </c>
    </row>
    <row r="2">
      <c r="A2">
        <f>IF($U2="","",INDEX('Per Line'!$A$2:$A$1001,$U2)&amp;"")</f>
        <v/>
      </c>
      <c r="B2" s="12" t="n"/>
      <c r="C2">
        <f>IF($U2="","",INDEX('Per Line'!$B$2:$B$1001,$U2)&amp;"")</f>
        <v/>
      </c>
      <c r="D2">
        <f>IF($U2="","",INDEX('Per Line'!$C$2:$C$1001,$U2)&amp;"")</f>
        <v/>
      </c>
      <c r="E2">
        <f>IF($U2="","",INDEX('Per Line'!$D$2:$D$1001,$U2)&amp;"")</f>
        <v/>
      </c>
      <c r="F2">
        <f>IF($U2="","",INDEX('Per Line'!$E$2:$E$1001,$U2))</f>
        <v/>
      </c>
      <c r="G2" s="7">
        <f>IF($U2="","",F2*S2/100)</f>
        <v/>
      </c>
      <c r="H2">
        <f>IF($U2="","",INDEX('Per Line'!$O$2:$O$1001,$U2)&amp;"")</f>
        <v/>
      </c>
      <c r="I2" s="11">
        <f>IF($U2="","",INDEX('Per Line'!$Q$2:$Q$1001,$U2))</f>
        <v/>
      </c>
      <c r="J2">
        <f>IF($U2="","",INDEX('Per Line'!$R$2:$R$1001,$U2)&amp;"")</f>
        <v/>
      </c>
      <c r="K2">
        <f>IF($U2="","",Settings!$C$7)</f>
        <v/>
      </c>
      <c r="L2" s="7">
        <f>IF($U2="","",SUMIFS('Per Line'!$N$2:$N$1001,'Per Line'!$A$2:$A$1001,$A2,'Per Line'!$W$2:$W$1001,0))</f>
        <v/>
      </c>
      <c r="M2" s="7">
        <f>IF($U2="","",L2*K2)</f>
        <v/>
      </c>
      <c r="N2">
        <f>IF($U2="","",Settings!$C$6)</f>
        <v/>
      </c>
      <c r="O2" s="7">
        <f>IF($U2="","",SUMIFS('Per Line'!$N$2:$N$1001,'Per Line'!$A$2:$A$1001,$A2,'Per Line'!$W$2:$W$1001,1))</f>
        <v/>
      </c>
      <c r="P2" s="7">
        <f>IF($U2="","",O2*N2)</f>
        <v/>
      </c>
      <c r="Q2" s="7">
        <f>IF($U2="","",P2+M2)</f>
        <v/>
      </c>
      <c r="R2" s="7">
        <f>IF($U2="","",S2-Q2)</f>
        <v/>
      </c>
      <c r="S2" s="7">
        <f>IF($U2="","",L2+O2)</f>
        <v/>
      </c>
      <c r="T2" s="7">
        <f>IF($U2="","",S2-Q2-G2)</f>
        <v/>
      </c>
      <c r="U2" s="13">
        <f>IF(ROWS($U$2:$U2)&lt;=MAX('Per Line'!$V$2:$V$1001),MATCH(ROWS($U$2:$U2),'Per Line'!$V$2:$V$1001,0),"")</f>
        <v/>
      </c>
    </row>
    <row r="3">
      <c r="A3">
        <f>IF($U3="","",INDEX('Per Line'!$A$2:$A$1001,$U3)&amp;"")</f>
        <v/>
      </c>
      <c r="B3" s="12" t="n"/>
      <c r="C3">
        <f>IF($U3="","",INDEX('Per Line'!$B$2:$B$1001,$U3)&amp;"")</f>
        <v/>
      </c>
      <c r="D3">
        <f>IF($U3="","",INDEX('Per Line'!$C$2:$C$1001,$U3)&amp;"")</f>
        <v/>
      </c>
      <c r="E3">
        <f>IF($U3="","",INDEX('Per Line'!$D$2:$D$1001,$U3)&amp;"")</f>
        <v/>
      </c>
      <c r="F3">
        <f>IF($U3="","",INDEX('Per Line'!$E$2:$E$1001,$U3))</f>
        <v/>
      </c>
      <c r="G3" s="7">
        <f>IF($U3="","",F3*S3/100)</f>
        <v/>
      </c>
      <c r="H3">
        <f>IF($U3="","",INDEX('Per Line'!$O$2:$O$1001,$U3)&amp;"")</f>
        <v/>
      </c>
      <c r="I3" s="11">
        <f>IF($U3="","",INDEX('Per Line'!$Q$2:$Q$1001,$U3))</f>
        <v/>
      </c>
      <c r="J3">
        <f>IF($U3="","",INDEX('Per Line'!$R$2:$R$1001,$U3)&amp;"")</f>
        <v/>
      </c>
      <c r="K3">
        <f>IF($U3="","",Settings!$C$7)</f>
        <v/>
      </c>
      <c r="L3" s="7">
        <f>IF($U3="","",SUMIFS('Per Line'!$N$2:$N$1001,'Per Line'!$A$2:$A$1001,$A3,'Per Line'!$W$2:$W$1001,0))</f>
        <v/>
      </c>
      <c r="M3" s="7">
        <f>IF($U3="","",L3*K3)</f>
        <v/>
      </c>
      <c r="N3">
        <f>IF($U3="","",Settings!$C$6)</f>
        <v/>
      </c>
      <c r="O3" s="7">
        <f>IF($U3="","",SUMIFS('Per Line'!$N$2:$N$1001,'Per Line'!$A$2:$A$1001,$A3,'Per Line'!$W$2:$W$1001,1))</f>
        <v/>
      </c>
      <c r="P3" s="7">
        <f>IF($U3="","",O3*N3)</f>
        <v/>
      </c>
      <c r="Q3" s="7">
        <f>IF($U3="","",P3+M3)</f>
        <v/>
      </c>
      <c r="R3" s="7">
        <f>IF($U3="","",S3-Q3)</f>
        <v/>
      </c>
      <c r="S3" s="7">
        <f>IF($U3="","",L3+O3)</f>
        <v/>
      </c>
      <c r="T3" s="7">
        <f>IF($U3="","",S3-Q3-G3)</f>
        <v/>
      </c>
      <c r="U3" s="13">
        <f>IF(ROWS($U$2:$U3)&lt;=MAX('Per Line'!$V$2:$V$1001),MATCH(ROWS($U$2:$U3),'Per Line'!$V$2:$V$1001,0),"")</f>
        <v/>
      </c>
    </row>
    <row r="4">
      <c r="A4">
        <f>IF($U4="","",INDEX('Per Line'!$A$2:$A$1001,$U4)&amp;"")</f>
        <v/>
      </c>
      <c r="B4" s="12" t="n"/>
      <c r="C4">
        <f>IF($U4="","",INDEX('Per Line'!$B$2:$B$1001,$U4)&amp;"")</f>
        <v/>
      </c>
      <c r="D4">
        <f>IF($U4="","",INDEX('Per Line'!$C$2:$C$1001,$U4)&amp;"")</f>
        <v/>
      </c>
      <c r="E4">
        <f>IF($U4="","",INDEX('Per Line'!$D$2:$D$1001,$U4)&amp;"")</f>
        <v/>
      </c>
      <c r="F4">
        <f>IF($U4="","",INDEX('Per Line'!$E$2:$E$1001,$U4))</f>
        <v/>
      </c>
      <c r="G4" s="7">
        <f>IF($U4="","",F4*S4/100)</f>
        <v/>
      </c>
      <c r="H4">
        <f>IF($U4="","",INDEX('Per Line'!$O$2:$O$1001,$U4)&amp;"")</f>
        <v/>
      </c>
      <c r="I4" s="11">
        <f>IF($U4="","",INDEX('Per Line'!$Q$2:$Q$1001,$U4))</f>
        <v/>
      </c>
      <c r="J4">
        <f>IF($U4="","",INDEX('Per Line'!$R$2:$R$1001,$U4)&amp;"")</f>
        <v/>
      </c>
      <c r="K4">
        <f>IF($U4="","",Settings!$C$7)</f>
        <v/>
      </c>
      <c r="L4" s="7">
        <f>IF($U4="","",SUMIFS('Per Line'!$N$2:$N$1001,'Per Line'!$A$2:$A$1001,$A4,'Per Line'!$W$2:$W$1001,0))</f>
        <v/>
      </c>
      <c r="M4" s="7">
        <f>IF($U4="","",L4*K4)</f>
        <v/>
      </c>
      <c r="N4">
        <f>IF($U4="","",Settings!$C$6)</f>
        <v/>
      </c>
      <c r="O4" s="7">
        <f>IF($U4="","",SUMIFS('Per Line'!$N$2:$N$1001,'Per Line'!$A$2:$A$1001,$A4,'Per Line'!$W$2:$W$1001,1))</f>
        <v/>
      </c>
      <c r="P4" s="7">
        <f>IF($U4="","",O4*N4)</f>
        <v/>
      </c>
      <c r="Q4" s="7">
        <f>IF($U4="","",P4+M4)</f>
        <v/>
      </c>
      <c r="R4" s="7">
        <f>IF($U4="","",S4-Q4)</f>
        <v/>
      </c>
      <c r="S4" s="7">
        <f>IF($U4="","",L4+O4)</f>
        <v/>
      </c>
      <c r="T4" s="7">
        <f>IF($U4="","",S4-Q4-G4)</f>
        <v/>
      </c>
      <c r="U4" s="13">
        <f>IF(ROWS($U$2:$U4)&lt;=MAX('Per Line'!$V$2:$V$1001),MATCH(ROWS($U$2:$U4),'Per Line'!$V$2:$V$1001,0),"")</f>
        <v/>
      </c>
    </row>
    <row r="5">
      <c r="A5">
        <f>IF($U5="","",INDEX('Per Line'!$A$2:$A$1001,$U5)&amp;"")</f>
        <v/>
      </c>
      <c r="B5" s="12" t="n"/>
      <c r="C5">
        <f>IF($U5="","",INDEX('Per Line'!$B$2:$B$1001,$U5)&amp;"")</f>
        <v/>
      </c>
      <c r="D5">
        <f>IF($U5="","",INDEX('Per Line'!$C$2:$C$1001,$U5)&amp;"")</f>
        <v/>
      </c>
      <c r="E5">
        <f>IF($U5="","",INDEX('Per Line'!$D$2:$D$1001,$U5)&amp;"")</f>
        <v/>
      </c>
      <c r="F5">
        <f>IF($U5="","",INDEX('Per Line'!$E$2:$E$1001,$U5))</f>
        <v/>
      </c>
      <c r="G5" s="7">
        <f>IF($U5="","",F5*S5/100)</f>
        <v/>
      </c>
      <c r="H5">
        <f>IF($U5="","",INDEX('Per Line'!$O$2:$O$1001,$U5)&amp;"")</f>
        <v/>
      </c>
      <c r="I5" s="11">
        <f>IF($U5="","",INDEX('Per Line'!$Q$2:$Q$1001,$U5))</f>
        <v/>
      </c>
      <c r="J5">
        <f>IF($U5="","",INDEX('Per Line'!$R$2:$R$1001,$U5)&amp;"")</f>
        <v/>
      </c>
      <c r="K5">
        <f>IF($U5="","",Settings!$C$7)</f>
        <v/>
      </c>
      <c r="L5" s="7">
        <f>IF($U5="","",SUMIFS('Per Line'!$N$2:$N$1001,'Per Line'!$A$2:$A$1001,$A5,'Per Line'!$W$2:$W$1001,0))</f>
        <v/>
      </c>
      <c r="M5" s="7">
        <f>IF($U5="","",L5*K5)</f>
        <v/>
      </c>
      <c r="N5">
        <f>IF($U5="","",Settings!$C$6)</f>
        <v/>
      </c>
      <c r="O5" s="7">
        <f>IF($U5="","",SUMIFS('Per Line'!$N$2:$N$1001,'Per Line'!$A$2:$A$1001,$A5,'Per Line'!$W$2:$W$1001,1))</f>
        <v/>
      </c>
      <c r="P5" s="7">
        <f>IF($U5="","",O5*N5)</f>
        <v/>
      </c>
      <c r="Q5" s="7">
        <f>IF($U5="","",P5+M5)</f>
        <v/>
      </c>
      <c r="R5" s="7">
        <f>IF($U5="","",S5-Q5)</f>
        <v/>
      </c>
      <c r="S5" s="7">
        <f>IF($U5="","",L5+O5)</f>
        <v/>
      </c>
      <c r="T5" s="7">
        <f>IF($U5="","",S5-Q5-G5)</f>
        <v/>
      </c>
      <c r="U5" s="13">
        <f>IF(ROWS($U$2:$U5)&lt;=MAX('Per Line'!$V$2:$V$1001),MATCH(ROWS($U$2:$U5),'Per Line'!$V$2:$V$1001,0),"")</f>
        <v/>
      </c>
    </row>
    <row r="6">
      <c r="A6">
        <f>IF($U6="","",INDEX('Per Line'!$A$2:$A$1001,$U6)&amp;"")</f>
        <v/>
      </c>
      <c r="B6" s="12" t="n"/>
      <c r="C6">
        <f>IF($U6="","",INDEX('Per Line'!$B$2:$B$1001,$U6)&amp;"")</f>
        <v/>
      </c>
      <c r="D6">
        <f>IF($U6="","",INDEX('Per Line'!$C$2:$C$1001,$U6)&amp;"")</f>
        <v/>
      </c>
      <c r="E6">
        <f>IF($U6="","",INDEX('Per Line'!$D$2:$D$1001,$U6)&amp;"")</f>
        <v/>
      </c>
      <c r="F6">
        <f>IF($U6="","",INDEX('Per Line'!$E$2:$E$1001,$U6))</f>
        <v/>
      </c>
      <c r="G6" s="7">
        <f>IF($U6="","",F6*S6/100)</f>
        <v/>
      </c>
      <c r="H6">
        <f>IF($U6="","",INDEX('Per Line'!$O$2:$O$1001,$U6)&amp;"")</f>
        <v/>
      </c>
      <c r="I6" s="11">
        <f>IF($U6="","",INDEX('Per Line'!$Q$2:$Q$1001,$U6))</f>
        <v/>
      </c>
      <c r="J6">
        <f>IF($U6="","",INDEX('Per Line'!$R$2:$R$1001,$U6)&amp;"")</f>
        <v/>
      </c>
      <c r="K6">
        <f>IF($U6="","",Settings!$C$7)</f>
        <v/>
      </c>
      <c r="L6" s="7">
        <f>IF($U6="","",SUMIFS('Per Line'!$N$2:$N$1001,'Per Line'!$A$2:$A$1001,$A6,'Per Line'!$W$2:$W$1001,0))</f>
        <v/>
      </c>
      <c r="M6" s="7">
        <f>IF($U6="","",L6*K6)</f>
        <v/>
      </c>
      <c r="N6">
        <f>IF($U6="","",Settings!$C$6)</f>
        <v/>
      </c>
      <c r="O6" s="7">
        <f>IF($U6="","",SUMIFS('Per Line'!$N$2:$N$1001,'Per Line'!$A$2:$A$1001,$A6,'Per Line'!$W$2:$W$1001,1))</f>
        <v/>
      </c>
      <c r="P6" s="7">
        <f>IF($U6="","",O6*N6)</f>
        <v/>
      </c>
      <c r="Q6" s="7">
        <f>IF($U6="","",P6+M6)</f>
        <v/>
      </c>
      <c r="R6" s="7">
        <f>IF($U6="","",S6-Q6)</f>
        <v/>
      </c>
      <c r="S6" s="7">
        <f>IF($U6="","",L6+O6)</f>
        <v/>
      </c>
      <c r="T6" s="7">
        <f>IF($U6="","",S6-Q6-G6)</f>
        <v/>
      </c>
      <c r="U6" s="13">
        <f>IF(ROWS($U$2:$U6)&lt;=MAX('Per Line'!$V$2:$V$1001),MATCH(ROWS($U$2:$U6),'Per Line'!$V$2:$V$1001,0),"")</f>
        <v/>
      </c>
    </row>
    <row r="7">
      <c r="A7">
        <f>IF($U7="","",INDEX('Per Line'!$A$2:$A$1001,$U7)&amp;"")</f>
        <v/>
      </c>
      <c r="B7" s="12" t="n"/>
      <c r="C7">
        <f>IF($U7="","",INDEX('Per Line'!$B$2:$B$1001,$U7)&amp;"")</f>
        <v/>
      </c>
      <c r="D7">
        <f>IF($U7="","",INDEX('Per Line'!$C$2:$C$1001,$U7)&amp;"")</f>
        <v/>
      </c>
      <c r="E7">
        <f>IF($U7="","",INDEX('Per Line'!$D$2:$D$1001,$U7)&amp;"")</f>
        <v/>
      </c>
      <c r="F7">
        <f>IF($U7="","",INDEX('Per Line'!$E$2:$E$1001,$U7))</f>
        <v/>
      </c>
      <c r="G7" s="7">
        <f>IF($U7="","",F7*S7/100)</f>
        <v/>
      </c>
      <c r="H7">
        <f>IF($U7="","",INDEX('Per Line'!$O$2:$O$1001,$U7)&amp;"")</f>
        <v/>
      </c>
      <c r="I7" s="11">
        <f>IF($U7="","",INDEX('Per Line'!$Q$2:$Q$1001,$U7))</f>
        <v/>
      </c>
      <c r="J7">
        <f>IF($U7="","",INDEX('Per Line'!$R$2:$R$1001,$U7)&amp;"")</f>
        <v/>
      </c>
      <c r="K7">
        <f>IF($U7="","",Settings!$C$7)</f>
        <v/>
      </c>
      <c r="L7" s="7">
        <f>IF($U7="","",SUMIFS('Per Line'!$N$2:$N$1001,'Per Line'!$A$2:$A$1001,$A7,'Per Line'!$W$2:$W$1001,0))</f>
        <v/>
      </c>
      <c r="M7" s="7">
        <f>IF($U7="","",L7*K7)</f>
        <v/>
      </c>
      <c r="N7">
        <f>IF($U7="","",Settings!$C$6)</f>
        <v/>
      </c>
      <c r="O7" s="7">
        <f>IF($U7="","",SUMIFS('Per Line'!$N$2:$N$1001,'Per Line'!$A$2:$A$1001,$A7,'Per Line'!$W$2:$W$1001,1))</f>
        <v/>
      </c>
      <c r="P7" s="7">
        <f>IF($U7="","",O7*N7)</f>
        <v/>
      </c>
      <c r="Q7" s="7">
        <f>IF($U7="","",P7+M7)</f>
        <v/>
      </c>
      <c r="R7" s="7">
        <f>IF($U7="","",S7-Q7)</f>
        <v/>
      </c>
      <c r="S7" s="7">
        <f>IF($U7="","",L7+O7)</f>
        <v/>
      </c>
      <c r="T7" s="7">
        <f>IF($U7="","",S7-Q7-G7)</f>
        <v/>
      </c>
      <c r="U7" s="13">
        <f>IF(ROWS($U$2:$U7)&lt;=MAX('Per Line'!$V$2:$V$1001),MATCH(ROWS($U$2:$U7),'Per Line'!$V$2:$V$1001,0),"")</f>
        <v/>
      </c>
    </row>
    <row r="8">
      <c r="A8">
        <f>IF($U8="","",INDEX('Per Line'!$A$2:$A$1001,$U8)&amp;"")</f>
        <v/>
      </c>
      <c r="B8" s="12" t="n"/>
      <c r="C8">
        <f>IF($U8="","",INDEX('Per Line'!$B$2:$B$1001,$U8)&amp;"")</f>
        <v/>
      </c>
      <c r="D8">
        <f>IF($U8="","",INDEX('Per Line'!$C$2:$C$1001,$U8)&amp;"")</f>
        <v/>
      </c>
      <c r="E8">
        <f>IF($U8="","",INDEX('Per Line'!$D$2:$D$1001,$U8)&amp;"")</f>
        <v/>
      </c>
      <c r="F8">
        <f>IF($U8="","",INDEX('Per Line'!$E$2:$E$1001,$U8))</f>
        <v/>
      </c>
      <c r="G8" s="7">
        <f>IF($U8="","",F8*S8/100)</f>
        <v/>
      </c>
      <c r="H8">
        <f>IF($U8="","",INDEX('Per Line'!$O$2:$O$1001,$U8)&amp;"")</f>
        <v/>
      </c>
      <c r="I8" s="11">
        <f>IF($U8="","",INDEX('Per Line'!$Q$2:$Q$1001,$U8))</f>
        <v/>
      </c>
      <c r="J8">
        <f>IF($U8="","",INDEX('Per Line'!$R$2:$R$1001,$U8)&amp;"")</f>
        <v/>
      </c>
      <c r="K8">
        <f>IF($U8="","",Settings!$C$7)</f>
        <v/>
      </c>
      <c r="L8" s="7">
        <f>IF($U8="","",SUMIFS('Per Line'!$N$2:$N$1001,'Per Line'!$A$2:$A$1001,$A8,'Per Line'!$W$2:$W$1001,0))</f>
        <v/>
      </c>
      <c r="M8" s="7">
        <f>IF($U8="","",L8*K8)</f>
        <v/>
      </c>
      <c r="N8">
        <f>IF($U8="","",Settings!$C$6)</f>
        <v/>
      </c>
      <c r="O8" s="7">
        <f>IF($U8="","",SUMIFS('Per Line'!$N$2:$N$1001,'Per Line'!$A$2:$A$1001,$A8,'Per Line'!$W$2:$W$1001,1))</f>
        <v/>
      </c>
      <c r="P8" s="7">
        <f>IF($U8="","",O8*N8)</f>
        <v/>
      </c>
      <c r="Q8" s="7">
        <f>IF($U8="","",P8+M8)</f>
        <v/>
      </c>
      <c r="R8" s="7">
        <f>IF($U8="","",S8-Q8)</f>
        <v/>
      </c>
      <c r="S8" s="7">
        <f>IF($U8="","",L8+O8)</f>
        <v/>
      </c>
      <c r="T8" s="7">
        <f>IF($U8="","",S8-Q8-G8)</f>
        <v/>
      </c>
      <c r="U8" s="13">
        <f>IF(ROWS($U$2:$U8)&lt;=MAX('Per Line'!$V$2:$V$1001),MATCH(ROWS($U$2:$U8),'Per Line'!$V$2:$V$1001,0),"")</f>
        <v/>
      </c>
    </row>
    <row r="9">
      <c r="A9">
        <f>IF($U9="","",INDEX('Per Line'!$A$2:$A$1001,$U9)&amp;"")</f>
        <v/>
      </c>
      <c r="B9" s="12" t="n"/>
      <c r="C9">
        <f>IF($U9="","",INDEX('Per Line'!$B$2:$B$1001,$U9)&amp;"")</f>
        <v/>
      </c>
      <c r="D9">
        <f>IF($U9="","",INDEX('Per Line'!$C$2:$C$1001,$U9)&amp;"")</f>
        <v/>
      </c>
      <c r="E9">
        <f>IF($U9="","",INDEX('Per Line'!$D$2:$D$1001,$U9)&amp;"")</f>
        <v/>
      </c>
      <c r="F9">
        <f>IF($U9="","",INDEX('Per Line'!$E$2:$E$1001,$U9))</f>
        <v/>
      </c>
      <c r="G9" s="7">
        <f>IF($U9="","",F9*S9/100)</f>
        <v/>
      </c>
      <c r="H9">
        <f>IF($U9="","",INDEX('Per Line'!$O$2:$O$1001,$U9)&amp;"")</f>
        <v/>
      </c>
      <c r="I9" s="11">
        <f>IF($U9="","",INDEX('Per Line'!$Q$2:$Q$1001,$U9))</f>
        <v/>
      </c>
      <c r="J9">
        <f>IF($U9="","",INDEX('Per Line'!$R$2:$R$1001,$U9)&amp;"")</f>
        <v/>
      </c>
      <c r="K9">
        <f>IF($U9="","",Settings!$C$7)</f>
        <v/>
      </c>
      <c r="L9" s="7">
        <f>IF($U9="","",SUMIFS('Per Line'!$N$2:$N$1001,'Per Line'!$A$2:$A$1001,$A9,'Per Line'!$W$2:$W$1001,0))</f>
        <v/>
      </c>
      <c r="M9" s="7">
        <f>IF($U9="","",L9*K9)</f>
        <v/>
      </c>
      <c r="N9">
        <f>IF($U9="","",Settings!$C$6)</f>
        <v/>
      </c>
      <c r="O9" s="7">
        <f>IF($U9="","",SUMIFS('Per Line'!$N$2:$N$1001,'Per Line'!$A$2:$A$1001,$A9,'Per Line'!$W$2:$W$1001,1))</f>
        <v/>
      </c>
      <c r="P9" s="7">
        <f>IF($U9="","",O9*N9)</f>
        <v/>
      </c>
      <c r="Q9" s="7">
        <f>IF($U9="","",P9+M9)</f>
        <v/>
      </c>
      <c r="R9" s="7">
        <f>IF($U9="","",S9-Q9)</f>
        <v/>
      </c>
      <c r="S9" s="7">
        <f>IF($U9="","",L9+O9)</f>
        <v/>
      </c>
      <c r="T9" s="7">
        <f>IF($U9="","",S9-Q9-G9)</f>
        <v/>
      </c>
      <c r="U9" s="13">
        <f>IF(ROWS($U$2:$U9)&lt;=MAX('Per Line'!$V$2:$V$1001),MATCH(ROWS($U$2:$U9),'Per Line'!$V$2:$V$1001,0),"")</f>
        <v/>
      </c>
    </row>
    <row r="10">
      <c r="A10">
        <f>IF($U10="","",INDEX('Per Line'!$A$2:$A$1001,$U10)&amp;"")</f>
        <v/>
      </c>
      <c r="B10" s="12" t="n"/>
      <c r="C10">
        <f>IF($U10="","",INDEX('Per Line'!$B$2:$B$1001,$U10)&amp;"")</f>
        <v/>
      </c>
      <c r="D10">
        <f>IF($U10="","",INDEX('Per Line'!$C$2:$C$1001,$U10)&amp;"")</f>
        <v/>
      </c>
      <c r="E10">
        <f>IF($U10="","",INDEX('Per Line'!$D$2:$D$1001,$U10)&amp;"")</f>
        <v/>
      </c>
      <c r="F10">
        <f>IF($U10="","",INDEX('Per Line'!$E$2:$E$1001,$U10))</f>
        <v/>
      </c>
      <c r="G10" s="7">
        <f>IF($U10="","",F10*S10/100)</f>
        <v/>
      </c>
      <c r="H10">
        <f>IF($U10="","",INDEX('Per Line'!$O$2:$O$1001,$U10)&amp;"")</f>
        <v/>
      </c>
      <c r="I10" s="11">
        <f>IF($U10="","",INDEX('Per Line'!$Q$2:$Q$1001,$U10))</f>
        <v/>
      </c>
      <c r="J10">
        <f>IF($U10="","",INDEX('Per Line'!$R$2:$R$1001,$U10)&amp;"")</f>
        <v/>
      </c>
      <c r="K10">
        <f>IF($U10="","",Settings!$C$7)</f>
        <v/>
      </c>
      <c r="L10" s="7">
        <f>IF($U10="","",SUMIFS('Per Line'!$N$2:$N$1001,'Per Line'!$A$2:$A$1001,$A10,'Per Line'!$W$2:$W$1001,0))</f>
        <v/>
      </c>
      <c r="M10" s="7">
        <f>IF($U10="","",L10*K10)</f>
        <v/>
      </c>
      <c r="N10">
        <f>IF($U10="","",Settings!$C$6)</f>
        <v/>
      </c>
      <c r="O10" s="7">
        <f>IF($U10="","",SUMIFS('Per Line'!$N$2:$N$1001,'Per Line'!$A$2:$A$1001,$A10,'Per Line'!$W$2:$W$1001,1))</f>
        <v/>
      </c>
      <c r="P10" s="7">
        <f>IF($U10="","",O10*N10)</f>
        <v/>
      </c>
      <c r="Q10" s="7">
        <f>IF($U10="","",P10+M10)</f>
        <v/>
      </c>
      <c r="R10" s="7">
        <f>IF($U10="","",S10-Q10)</f>
        <v/>
      </c>
      <c r="S10" s="7">
        <f>IF($U10="","",L10+O10)</f>
        <v/>
      </c>
      <c r="T10" s="7">
        <f>IF($U10="","",S10-Q10-G10)</f>
        <v/>
      </c>
      <c r="U10" s="13">
        <f>IF(ROWS($U$2:$U10)&lt;=MAX('Per Line'!$V$2:$V$1001),MATCH(ROWS($U$2:$U10),'Per Line'!$V$2:$V$1001,0),"")</f>
        <v/>
      </c>
    </row>
    <row r="11">
      <c r="A11">
        <f>IF($U11="","",INDEX('Per Line'!$A$2:$A$1001,$U11)&amp;"")</f>
        <v/>
      </c>
      <c r="B11" s="12" t="n"/>
      <c r="C11">
        <f>IF($U11="","",INDEX('Per Line'!$B$2:$B$1001,$U11)&amp;"")</f>
        <v/>
      </c>
      <c r="D11">
        <f>IF($U11="","",INDEX('Per Line'!$C$2:$C$1001,$U11)&amp;"")</f>
        <v/>
      </c>
      <c r="E11">
        <f>IF($U11="","",INDEX('Per Line'!$D$2:$D$1001,$U11)&amp;"")</f>
        <v/>
      </c>
      <c r="F11">
        <f>IF($U11="","",INDEX('Per Line'!$E$2:$E$1001,$U11))</f>
        <v/>
      </c>
      <c r="G11" s="7">
        <f>IF($U11="","",F11*S11/100)</f>
        <v/>
      </c>
      <c r="H11">
        <f>IF($U11="","",INDEX('Per Line'!$O$2:$O$1001,$U11)&amp;"")</f>
        <v/>
      </c>
      <c r="I11" s="11">
        <f>IF($U11="","",INDEX('Per Line'!$Q$2:$Q$1001,$U11))</f>
        <v/>
      </c>
      <c r="J11">
        <f>IF($U11="","",INDEX('Per Line'!$R$2:$R$1001,$U11)&amp;"")</f>
        <v/>
      </c>
      <c r="K11">
        <f>IF($U11="","",Settings!$C$7)</f>
        <v/>
      </c>
      <c r="L11" s="7">
        <f>IF($U11="","",SUMIFS('Per Line'!$N$2:$N$1001,'Per Line'!$A$2:$A$1001,$A11,'Per Line'!$W$2:$W$1001,0))</f>
        <v/>
      </c>
      <c r="M11" s="7">
        <f>IF($U11="","",L11*K11)</f>
        <v/>
      </c>
      <c r="N11">
        <f>IF($U11="","",Settings!$C$6)</f>
        <v/>
      </c>
      <c r="O11" s="7">
        <f>IF($U11="","",SUMIFS('Per Line'!$N$2:$N$1001,'Per Line'!$A$2:$A$1001,$A11,'Per Line'!$W$2:$W$1001,1))</f>
        <v/>
      </c>
      <c r="P11" s="7">
        <f>IF($U11="","",O11*N11)</f>
        <v/>
      </c>
      <c r="Q11" s="7">
        <f>IF($U11="","",P11+M11)</f>
        <v/>
      </c>
      <c r="R11" s="7">
        <f>IF($U11="","",S11-Q11)</f>
        <v/>
      </c>
      <c r="S11" s="7">
        <f>IF($U11="","",L11+O11)</f>
        <v/>
      </c>
      <c r="T11" s="7">
        <f>IF($U11="","",S11-Q11-G11)</f>
        <v/>
      </c>
      <c r="U11" s="13">
        <f>IF(ROWS($U$2:$U11)&lt;=MAX('Per Line'!$V$2:$V$1001),MATCH(ROWS($U$2:$U11),'Per Line'!$V$2:$V$1001,0),"")</f>
        <v/>
      </c>
    </row>
    <row r="12">
      <c r="A12">
        <f>IF($U12="","",INDEX('Per Line'!$A$2:$A$1001,$U12)&amp;"")</f>
        <v/>
      </c>
      <c r="B12" s="12" t="n"/>
      <c r="C12">
        <f>IF($U12="","",INDEX('Per Line'!$B$2:$B$1001,$U12)&amp;"")</f>
        <v/>
      </c>
      <c r="D12">
        <f>IF($U12="","",INDEX('Per Line'!$C$2:$C$1001,$U12)&amp;"")</f>
        <v/>
      </c>
      <c r="E12">
        <f>IF($U12="","",INDEX('Per Line'!$D$2:$D$1001,$U12)&amp;"")</f>
        <v/>
      </c>
      <c r="F12">
        <f>IF($U12="","",INDEX('Per Line'!$E$2:$E$1001,$U12))</f>
        <v/>
      </c>
      <c r="G12" s="7">
        <f>IF($U12="","",F12*S12/100)</f>
        <v/>
      </c>
      <c r="H12">
        <f>IF($U12="","",INDEX('Per Line'!$O$2:$O$1001,$U12)&amp;"")</f>
        <v/>
      </c>
      <c r="I12" s="11">
        <f>IF($U12="","",INDEX('Per Line'!$Q$2:$Q$1001,$U12))</f>
        <v/>
      </c>
      <c r="J12">
        <f>IF($U12="","",INDEX('Per Line'!$R$2:$R$1001,$U12)&amp;"")</f>
        <v/>
      </c>
      <c r="K12">
        <f>IF($U12="","",Settings!$C$7)</f>
        <v/>
      </c>
      <c r="L12" s="7">
        <f>IF($U12="","",SUMIFS('Per Line'!$N$2:$N$1001,'Per Line'!$A$2:$A$1001,$A12,'Per Line'!$W$2:$W$1001,0))</f>
        <v/>
      </c>
      <c r="M12" s="7">
        <f>IF($U12="","",L12*K12)</f>
        <v/>
      </c>
      <c r="N12">
        <f>IF($U12="","",Settings!$C$6)</f>
        <v/>
      </c>
      <c r="O12" s="7">
        <f>IF($U12="","",SUMIFS('Per Line'!$N$2:$N$1001,'Per Line'!$A$2:$A$1001,$A12,'Per Line'!$W$2:$W$1001,1))</f>
        <v/>
      </c>
      <c r="P12" s="7">
        <f>IF($U12="","",O12*N12)</f>
        <v/>
      </c>
      <c r="Q12" s="7">
        <f>IF($U12="","",P12+M12)</f>
        <v/>
      </c>
      <c r="R12" s="7">
        <f>IF($U12="","",S12-Q12)</f>
        <v/>
      </c>
      <c r="S12" s="7">
        <f>IF($U12="","",L12+O12)</f>
        <v/>
      </c>
      <c r="T12" s="7">
        <f>IF($U12="","",S12-Q12-G12)</f>
        <v/>
      </c>
      <c r="U12" s="13">
        <f>IF(ROWS($U$2:$U12)&lt;=MAX('Per Line'!$V$2:$V$1001),MATCH(ROWS($U$2:$U12),'Per Line'!$V$2:$V$1001,0),"")</f>
        <v/>
      </c>
    </row>
    <row r="13">
      <c r="A13">
        <f>IF($U13="","",INDEX('Per Line'!$A$2:$A$1001,$U13)&amp;"")</f>
        <v/>
      </c>
      <c r="B13" s="12" t="n"/>
      <c r="C13">
        <f>IF($U13="","",INDEX('Per Line'!$B$2:$B$1001,$U13)&amp;"")</f>
        <v/>
      </c>
      <c r="D13">
        <f>IF($U13="","",INDEX('Per Line'!$C$2:$C$1001,$U13)&amp;"")</f>
        <v/>
      </c>
      <c r="E13">
        <f>IF($U13="","",INDEX('Per Line'!$D$2:$D$1001,$U13)&amp;"")</f>
        <v/>
      </c>
      <c r="F13">
        <f>IF($U13="","",INDEX('Per Line'!$E$2:$E$1001,$U13))</f>
        <v/>
      </c>
      <c r="G13" s="7">
        <f>IF($U13="","",F13*S13/100)</f>
        <v/>
      </c>
      <c r="H13">
        <f>IF($U13="","",INDEX('Per Line'!$O$2:$O$1001,$U13)&amp;"")</f>
        <v/>
      </c>
      <c r="I13" s="11">
        <f>IF($U13="","",INDEX('Per Line'!$Q$2:$Q$1001,$U13))</f>
        <v/>
      </c>
      <c r="J13">
        <f>IF($U13="","",INDEX('Per Line'!$R$2:$R$1001,$U13)&amp;"")</f>
        <v/>
      </c>
      <c r="K13">
        <f>IF($U13="","",Settings!$C$7)</f>
        <v/>
      </c>
      <c r="L13" s="7">
        <f>IF($U13="","",SUMIFS('Per Line'!$N$2:$N$1001,'Per Line'!$A$2:$A$1001,$A13,'Per Line'!$W$2:$W$1001,0))</f>
        <v/>
      </c>
      <c r="M13" s="7">
        <f>IF($U13="","",L13*K13)</f>
        <v/>
      </c>
      <c r="N13">
        <f>IF($U13="","",Settings!$C$6)</f>
        <v/>
      </c>
      <c r="O13" s="7">
        <f>IF($U13="","",SUMIFS('Per Line'!$N$2:$N$1001,'Per Line'!$A$2:$A$1001,$A13,'Per Line'!$W$2:$W$1001,1))</f>
        <v/>
      </c>
      <c r="P13" s="7">
        <f>IF($U13="","",O13*N13)</f>
        <v/>
      </c>
      <c r="Q13" s="7">
        <f>IF($U13="","",P13+M13)</f>
        <v/>
      </c>
      <c r="R13" s="7">
        <f>IF($U13="","",S13-Q13)</f>
        <v/>
      </c>
      <c r="S13" s="7">
        <f>IF($U13="","",L13+O13)</f>
        <v/>
      </c>
      <c r="T13" s="7">
        <f>IF($U13="","",S13-Q13-G13)</f>
        <v/>
      </c>
      <c r="U13" s="13">
        <f>IF(ROWS($U$2:$U13)&lt;=MAX('Per Line'!$V$2:$V$1001),MATCH(ROWS($U$2:$U13),'Per Line'!$V$2:$V$1001,0),"")</f>
        <v/>
      </c>
    </row>
    <row r="14">
      <c r="A14">
        <f>IF($U14="","",INDEX('Per Line'!$A$2:$A$1001,$U14)&amp;"")</f>
        <v/>
      </c>
      <c r="B14" s="12" t="n"/>
      <c r="C14">
        <f>IF($U14="","",INDEX('Per Line'!$B$2:$B$1001,$U14)&amp;"")</f>
        <v/>
      </c>
      <c r="D14">
        <f>IF($U14="","",INDEX('Per Line'!$C$2:$C$1001,$U14)&amp;"")</f>
        <v/>
      </c>
      <c r="E14">
        <f>IF($U14="","",INDEX('Per Line'!$D$2:$D$1001,$U14)&amp;"")</f>
        <v/>
      </c>
      <c r="F14">
        <f>IF($U14="","",INDEX('Per Line'!$E$2:$E$1001,$U14))</f>
        <v/>
      </c>
      <c r="G14" s="7">
        <f>IF($U14="","",F14*S14/100)</f>
        <v/>
      </c>
      <c r="H14">
        <f>IF($U14="","",INDEX('Per Line'!$O$2:$O$1001,$U14)&amp;"")</f>
        <v/>
      </c>
      <c r="I14" s="11">
        <f>IF($U14="","",INDEX('Per Line'!$Q$2:$Q$1001,$U14))</f>
        <v/>
      </c>
      <c r="J14">
        <f>IF($U14="","",INDEX('Per Line'!$R$2:$R$1001,$U14)&amp;"")</f>
        <v/>
      </c>
      <c r="K14">
        <f>IF($U14="","",Settings!$C$7)</f>
        <v/>
      </c>
      <c r="L14" s="7">
        <f>IF($U14="","",SUMIFS('Per Line'!$N$2:$N$1001,'Per Line'!$A$2:$A$1001,$A14,'Per Line'!$W$2:$W$1001,0))</f>
        <v/>
      </c>
      <c r="M14" s="7">
        <f>IF($U14="","",L14*K14)</f>
        <v/>
      </c>
      <c r="N14">
        <f>IF($U14="","",Settings!$C$6)</f>
        <v/>
      </c>
      <c r="O14" s="7">
        <f>IF($U14="","",SUMIFS('Per Line'!$N$2:$N$1001,'Per Line'!$A$2:$A$1001,$A14,'Per Line'!$W$2:$W$1001,1))</f>
        <v/>
      </c>
      <c r="P14" s="7">
        <f>IF($U14="","",O14*N14)</f>
        <v/>
      </c>
      <c r="Q14" s="7">
        <f>IF($U14="","",P14+M14)</f>
        <v/>
      </c>
      <c r="R14" s="7">
        <f>IF($U14="","",S14-Q14)</f>
        <v/>
      </c>
      <c r="S14" s="7">
        <f>IF($U14="","",L14+O14)</f>
        <v/>
      </c>
      <c r="T14" s="7">
        <f>IF($U14="","",S14-Q14-G14)</f>
        <v/>
      </c>
      <c r="U14" s="13">
        <f>IF(ROWS($U$2:$U14)&lt;=MAX('Per Line'!$V$2:$V$1001),MATCH(ROWS($U$2:$U14),'Per Line'!$V$2:$V$1001,0),"")</f>
        <v/>
      </c>
    </row>
    <row r="15">
      <c r="A15">
        <f>IF($U15="","",INDEX('Per Line'!$A$2:$A$1001,$U15)&amp;"")</f>
        <v/>
      </c>
      <c r="B15" s="12" t="n"/>
      <c r="C15">
        <f>IF($U15="","",INDEX('Per Line'!$B$2:$B$1001,$U15)&amp;"")</f>
        <v/>
      </c>
      <c r="D15">
        <f>IF($U15="","",INDEX('Per Line'!$C$2:$C$1001,$U15)&amp;"")</f>
        <v/>
      </c>
      <c r="E15">
        <f>IF($U15="","",INDEX('Per Line'!$D$2:$D$1001,$U15)&amp;"")</f>
        <v/>
      </c>
      <c r="F15">
        <f>IF($U15="","",INDEX('Per Line'!$E$2:$E$1001,$U15))</f>
        <v/>
      </c>
      <c r="G15" s="7">
        <f>IF($U15="","",F15*S15/100)</f>
        <v/>
      </c>
      <c r="H15">
        <f>IF($U15="","",INDEX('Per Line'!$O$2:$O$1001,$U15)&amp;"")</f>
        <v/>
      </c>
      <c r="I15" s="11">
        <f>IF($U15="","",INDEX('Per Line'!$Q$2:$Q$1001,$U15))</f>
        <v/>
      </c>
      <c r="J15">
        <f>IF($U15="","",INDEX('Per Line'!$R$2:$R$1001,$U15)&amp;"")</f>
        <v/>
      </c>
      <c r="K15">
        <f>IF($U15="","",Settings!$C$7)</f>
        <v/>
      </c>
      <c r="L15" s="7">
        <f>IF($U15="","",SUMIFS('Per Line'!$N$2:$N$1001,'Per Line'!$A$2:$A$1001,$A15,'Per Line'!$W$2:$W$1001,0))</f>
        <v/>
      </c>
      <c r="M15" s="7">
        <f>IF($U15="","",L15*K15)</f>
        <v/>
      </c>
      <c r="N15">
        <f>IF($U15="","",Settings!$C$6)</f>
        <v/>
      </c>
      <c r="O15" s="7">
        <f>IF($U15="","",SUMIFS('Per Line'!$N$2:$N$1001,'Per Line'!$A$2:$A$1001,$A15,'Per Line'!$W$2:$W$1001,1))</f>
        <v/>
      </c>
      <c r="P15" s="7">
        <f>IF($U15="","",O15*N15)</f>
        <v/>
      </c>
      <c r="Q15" s="7">
        <f>IF($U15="","",P15+M15)</f>
        <v/>
      </c>
      <c r="R15" s="7">
        <f>IF($U15="","",S15-Q15)</f>
        <v/>
      </c>
      <c r="S15" s="7">
        <f>IF($U15="","",L15+O15)</f>
        <v/>
      </c>
      <c r="T15" s="7">
        <f>IF($U15="","",S15-Q15-G15)</f>
        <v/>
      </c>
      <c r="U15" s="13">
        <f>IF(ROWS($U$2:$U15)&lt;=MAX('Per Line'!$V$2:$V$1001),MATCH(ROWS($U$2:$U15),'Per Line'!$V$2:$V$1001,0),"")</f>
        <v/>
      </c>
    </row>
    <row r="16">
      <c r="A16">
        <f>IF($U16="","",INDEX('Per Line'!$A$2:$A$1001,$U16)&amp;"")</f>
        <v/>
      </c>
      <c r="B16" s="12" t="n"/>
      <c r="C16">
        <f>IF($U16="","",INDEX('Per Line'!$B$2:$B$1001,$U16)&amp;"")</f>
        <v/>
      </c>
      <c r="D16">
        <f>IF($U16="","",INDEX('Per Line'!$C$2:$C$1001,$U16)&amp;"")</f>
        <v/>
      </c>
      <c r="E16">
        <f>IF($U16="","",INDEX('Per Line'!$D$2:$D$1001,$U16)&amp;"")</f>
        <v/>
      </c>
      <c r="F16">
        <f>IF($U16="","",INDEX('Per Line'!$E$2:$E$1001,$U16))</f>
        <v/>
      </c>
      <c r="G16" s="7">
        <f>IF($U16="","",F16*S16/100)</f>
        <v/>
      </c>
      <c r="H16">
        <f>IF($U16="","",INDEX('Per Line'!$O$2:$O$1001,$U16)&amp;"")</f>
        <v/>
      </c>
      <c r="I16" s="11">
        <f>IF($U16="","",INDEX('Per Line'!$Q$2:$Q$1001,$U16))</f>
        <v/>
      </c>
      <c r="J16">
        <f>IF($U16="","",INDEX('Per Line'!$R$2:$R$1001,$U16)&amp;"")</f>
        <v/>
      </c>
      <c r="K16">
        <f>IF($U16="","",Settings!$C$7)</f>
        <v/>
      </c>
      <c r="L16" s="7">
        <f>IF($U16="","",SUMIFS('Per Line'!$N$2:$N$1001,'Per Line'!$A$2:$A$1001,$A16,'Per Line'!$W$2:$W$1001,0))</f>
        <v/>
      </c>
      <c r="M16" s="7">
        <f>IF($U16="","",L16*K16)</f>
        <v/>
      </c>
      <c r="N16">
        <f>IF($U16="","",Settings!$C$6)</f>
        <v/>
      </c>
      <c r="O16" s="7">
        <f>IF($U16="","",SUMIFS('Per Line'!$N$2:$N$1001,'Per Line'!$A$2:$A$1001,$A16,'Per Line'!$W$2:$W$1001,1))</f>
        <v/>
      </c>
      <c r="P16" s="7">
        <f>IF($U16="","",O16*N16)</f>
        <v/>
      </c>
      <c r="Q16" s="7">
        <f>IF($U16="","",P16+M16)</f>
        <v/>
      </c>
      <c r="R16" s="7">
        <f>IF($U16="","",S16-Q16)</f>
        <v/>
      </c>
      <c r="S16" s="7">
        <f>IF($U16="","",L16+O16)</f>
        <v/>
      </c>
      <c r="T16" s="7">
        <f>IF($U16="","",S16-Q16-G16)</f>
        <v/>
      </c>
      <c r="U16" s="13">
        <f>IF(ROWS($U$2:$U16)&lt;=MAX('Per Line'!$V$2:$V$1001),MATCH(ROWS($U$2:$U16),'Per Line'!$V$2:$V$1001,0),"")</f>
        <v/>
      </c>
    </row>
    <row r="17">
      <c r="A17">
        <f>IF($U17="","",INDEX('Per Line'!$A$2:$A$1001,$U17)&amp;"")</f>
        <v/>
      </c>
      <c r="B17" s="12" t="n"/>
      <c r="C17">
        <f>IF($U17="","",INDEX('Per Line'!$B$2:$B$1001,$U17)&amp;"")</f>
        <v/>
      </c>
      <c r="D17">
        <f>IF($U17="","",INDEX('Per Line'!$C$2:$C$1001,$U17)&amp;"")</f>
        <v/>
      </c>
      <c r="E17">
        <f>IF($U17="","",INDEX('Per Line'!$D$2:$D$1001,$U17)&amp;"")</f>
        <v/>
      </c>
      <c r="F17">
        <f>IF($U17="","",INDEX('Per Line'!$E$2:$E$1001,$U17))</f>
        <v/>
      </c>
      <c r="G17" s="7">
        <f>IF($U17="","",F17*S17/100)</f>
        <v/>
      </c>
      <c r="H17">
        <f>IF($U17="","",INDEX('Per Line'!$O$2:$O$1001,$U17)&amp;"")</f>
        <v/>
      </c>
      <c r="I17" s="11">
        <f>IF($U17="","",INDEX('Per Line'!$Q$2:$Q$1001,$U17))</f>
        <v/>
      </c>
      <c r="J17">
        <f>IF($U17="","",INDEX('Per Line'!$R$2:$R$1001,$U17)&amp;"")</f>
        <v/>
      </c>
      <c r="K17">
        <f>IF($U17="","",Settings!$C$7)</f>
        <v/>
      </c>
      <c r="L17" s="7">
        <f>IF($U17="","",SUMIFS('Per Line'!$N$2:$N$1001,'Per Line'!$A$2:$A$1001,$A17,'Per Line'!$W$2:$W$1001,0))</f>
        <v/>
      </c>
      <c r="M17" s="7">
        <f>IF($U17="","",L17*K17)</f>
        <v/>
      </c>
      <c r="N17">
        <f>IF($U17="","",Settings!$C$6)</f>
        <v/>
      </c>
      <c r="O17" s="7">
        <f>IF($U17="","",SUMIFS('Per Line'!$N$2:$N$1001,'Per Line'!$A$2:$A$1001,$A17,'Per Line'!$W$2:$W$1001,1))</f>
        <v/>
      </c>
      <c r="P17" s="7">
        <f>IF($U17="","",O17*N17)</f>
        <v/>
      </c>
      <c r="Q17" s="7">
        <f>IF($U17="","",P17+M17)</f>
        <v/>
      </c>
      <c r="R17" s="7">
        <f>IF($U17="","",S17-Q17)</f>
        <v/>
      </c>
      <c r="S17" s="7">
        <f>IF($U17="","",L17+O17)</f>
        <v/>
      </c>
      <c r="T17" s="7">
        <f>IF($U17="","",S17-Q17-G17)</f>
        <v/>
      </c>
      <c r="U17" s="13">
        <f>IF(ROWS($U$2:$U17)&lt;=MAX('Per Line'!$V$2:$V$1001),MATCH(ROWS($U$2:$U17),'Per Line'!$V$2:$V$1001,0),"")</f>
        <v/>
      </c>
    </row>
    <row r="18">
      <c r="A18">
        <f>IF($U18="","",INDEX('Per Line'!$A$2:$A$1001,$U18)&amp;"")</f>
        <v/>
      </c>
      <c r="B18" s="12" t="n"/>
      <c r="C18">
        <f>IF($U18="","",INDEX('Per Line'!$B$2:$B$1001,$U18)&amp;"")</f>
        <v/>
      </c>
      <c r="D18">
        <f>IF($U18="","",INDEX('Per Line'!$C$2:$C$1001,$U18)&amp;"")</f>
        <v/>
      </c>
      <c r="E18">
        <f>IF($U18="","",INDEX('Per Line'!$D$2:$D$1001,$U18)&amp;"")</f>
        <v/>
      </c>
      <c r="F18">
        <f>IF($U18="","",INDEX('Per Line'!$E$2:$E$1001,$U18))</f>
        <v/>
      </c>
      <c r="G18" s="7">
        <f>IF($U18="","",F18*S18/100)</f>
        <v/>
      </c>
      <c r="H18">
        <f>IF($U18="","",INDEX('Per Line'!$O$2:$O$1001,$U18)&amp;"")</f>
        <v/>
      </c>
      <c r="I18" s="11">
        <f>IF($U18="","",INDEX('Per Line'!$Q$2:$Q$1001,$U18))</f>
        <v/>
      </c>
      <c r="J18">
        <f>IF($U18="","",INDEX('Per Line'!$R$2:$R$1001,$U18)&amp;"")</f>
        <v/>
      </c>
      <c r="K18">
        <f>IF($U18="","",Settings!$C$7)</f>
        <v/>
      </c>
      <c r="L18" s="7">
        <f>IF($U18="","",SUMIFS('Per Line'!$N$2:$N$1001,'Per Line'!$A$2:$A$1001,$A18,'Per Line'!$W$2:$W$1001,0))</f>
        <v/>
      </c>
      <c r="M18" s="7">
        <f>IF($U18="","",L18*K18)</f>
        <v/>
      </c>
      <c r="N18">
        <f>IF($U18="","",Settings!$C$6)</f>
        <v/>
      </c>
      <c r="O18" s="7">
        <f>IF($U18="","",SUMIFS('Per Line'!$N$2:$N$1001,'Per Line'!$A$2:$A$1001,$A18,'Per Line'!$W$2:$W$1001,1))</f>
        <v/>
      </c>
      <c r="P18" s="7">
        <f>IF($U18="","",O18*N18)</f>
        <v/>
      </c>
      <c r="Q18" s="7">
        <f>IF($U18="","",P18+M18)</f>
        <v/>
      </c>
      <c r="R18" s="7">
        <f>IF($U18="","",S18-Q18)</f>
        <v/>
      </c>
      <c r="S18" s="7">
        <f>IF($U18="","",L18+O18)</f>
        <v/>
      </c>
      <c r="T18" s="7">
        <f>IF($U18="","",S18-Q18-G18)</f>
        <v/>
      </c>
      <c r="U18" s="13">
        <f>IF(ROWS($U$2:$U18)&lt;=MAX('Per Line'!$V$2:$V$1001),MATCH(ROWS($U$2:$U18),'Per Line'!$V$2:$V$1001,0),"")</f>
        <v/>
      </c>
    </row>
    <row r="19">
      <c r="A19">
        <f>IF($U19="","",INDEX('Per Line'!$A$2:$A$1001,$U19)&amp;"")</f>
        <v/>
      </c>
      <c r="B19" s="12" t="n"/>
      <c r="C19">
        <f>IF($U19="","",INDEX('Per Line'!$B$2:$B$1001,$U19)&amp;"")</f>
        <v/>
      </c>
      <c r="D19">
        <f>IF($U19="","",INDEX('Per Line'!$C$2:$C$1001,$U19)&amp;"")</f>
        <v/>
      </c>
      <c r="E19">
        <f>IF($U19="","",INDEX('Per Line'!$D$2:$D$1001,$U19)&amp;"")</f>
        <v/>
      </c>
      <c r="F19">
        <f>IF($U19="","",INDEX('Per Line'!$E$2:$E$1001,$U19))</f>
        <v/>
      </c>
      <c r="G19" s="7">
        <f>IF($U19="","",F19*S19/100)</f>
        <v/>
      </c>
      <c r="H19">
        <f>IF($U19="","",INDEX('Per Line'!$O$2:$O$1001,$U19)&amp;"")</f>
        <v/>
      </c>
      <c r="I19" s="11">
        <f>IF($U19="","",INDEX('Per Line'!$Q$2:$Q$1001,$U19))</f>
        <v/>
      </c>
      <c r="J19">
        <f>IF($U19="","",INDEX('Per Line'!$R$2:$R$1001,$U19)&amp;"")</f>
        <v/>
      </c>
      <c r="K19">
        <f>IF($U19="","",Settings!$C$7)</f>
        <v/>
      </c>
      <c r="L19" s="7">
        <f>IF($U19="","",SUMIFS('Per Line'!$N$2:$N$1001,'Per Line'!$A$2:$A$1001,$A19,'Per Line'!$W$2:$W$1001,0))</f>
        <v/>
      </c>
      <c r="M19" s="7">
        <f>IF($U19="","",L19*K19)</f>
        <v/>
      </c>
      <c r="N19">
        <f>IF($U19="","",Settings!$C$6)</f>
        <v/>
      </c>
      <c r="O19" s="7">
        <f>IF($U19="","",SUMIFS('Per Line'!$N$2:$N$1001,'Per Line'!$A$2:$A$1001,$A19,'Per Line'!$W$2:$W$1001,1))</f>
        <v/>
      </c>
      <c r="P19" s="7">
        <f>IF($U19="","",O19*N19)</f>
        <v/>
      </c>
      <c r="Q19" s="7">
        <f>IF($U19="","",P19+M19)</f>
        <v/>
      </c>
      <c r="R19" s="7">
        <f>IF($U19="","",S19-Q19)</f>
        <v/>
      </c>
      <c r="S19" s="7">
        <f>IF($U19="","",L19+O19)</f>
        <v/>
      </c>
      <c r="T19" s="7">
        <f>IF($U19="","",S19-Q19-G19)</f>
        <v/>
      </c>
      <c r="U19" s="13">
        <f>IF(ROWS($U$2:$U19)&lt;=MAX('Per Line'!$V$2:$V$1001),MATCH(ROWS($U$2:$U19),'Per Line'!$V$2:$V$1001,0),"")</f>
        <v/>
      </c>
    </row>
    <row r="20">
      <c r="A20">
        <f>IF($U20="","",INDEX('Per Line'!$A$2:$A$1001,$U20)&amp;"")</f>
        <v/>
      </c>
      <c r="B20" s="12" t="n"/>
      <c r="C20">
        <f>IF($U20="","",INDEX('Per Line'!$B$2:$B$1001,$U20)&amp;"")</f>
        <v/>
      </c>
      <c r="D20">
        <f>IF($U20="","",INDEX('Per Line'!$C$2:$C$1001,$U20)&amp;"")</f>
        <v/>
      </c>
      <c r="E20">
        <f>IF($U20="","",INDEX('Per Line'!$D$2:$D$1001,$U20)&amp;"")</f>
        <v/>
      </c>
      <c r="F20">
        <f>IF($U20="","",INDEX('Per Line'!$E$2:$E$1001,$U20))</f>
        <v/>
      </c>
      <c r="G20" s="7">
        <f>IF($U20="","",F20*S20/100)</f>
        <v/>
      </c>
      <c r="H20">
        <f>IF($U20="","",INDEX('Per Line'!$O$2:$O$1001,$U20)&amp;"")</f>
        <v/>
      </c>
      <c r="I20" s="11">
        <f>IF($U20="","",INDEX('Per Line'!$Q$2:$Q$1001,$U20))</f>
        <v/>
      </c>
      <c r="J20">
        <f>IF($U20="","",INDEX('Per Line'!$R$2:$R$1001,$U20)&amp;"")</f>
        <v/>
      </c>
      <c r="K20">
        <f>IF($U20="","",Settings!$C$7)</f>
        <v/>
      </c>
      <c r="L20" s="7">
        <f>IF($U20="","",SUMIFS('Per Line'!$N$2:$N$1001,'Per Line'!$A$2:$A$1001,$A20,'Per Line'!$W$2:$W$1001,0))</f>
        <v/>
      </c>
      <c r="M20" s="7">
        <f>IF($U20="","",L20*K20)</f>
        <v/>
      </c>
      <c r="N20">
        <f>IF($U20="","",Settings!$C$6)</f>
        <v/>
      </c>
      <c r="O20" s="7">
        <f>IF($U20="","",SUMIFS('Per Line'!$N$2:$N$1001,'Per Line'!$A$2:$A$1001,$A20,'Per Line'!$W$2:$W$1001,1))</f>
        <v/>
      </c>
      <c r="P20" s="7">
        <f>IF($U20="","",O20*N20)</f>
        <v/>
      </c>
      <c r="Q20" s="7">
        <f>IF($U20="","",P20+M20)</f>
        <v/>
      </c>
      <c r="R20" s="7">
        <f>IF($U20="","",S20-Q20)</f>
        <v/>
      </c>
      <c r="S20" s="7">
        <f>IF($U20="","",L20+O20)</f>
        <v/>
      </c>
      <c r="T20" s="7">
        <f>IF($U20="","",S20-Q20-G20)</f>
        <v/>
      </c>
      <c r="U20" s="13">
        <f>IF(ROWS($U$2:$U20)&lt;=MAX('Per Line'!$V$2:$V$1001),MATCH(ROWS($U$2:$U20),'Per Line'!$V$2:$V$1001,0),"")</f>
        <v/>
      </c>
    </row>
    <row r="21">
      <c r="A21">
        <f>IF($U21="","",INDEX('Per Line'!$A$2:$A$1001,$U21)&amp;"")</f>
        <v/>
      </c>
      <c r="B21" s="12" t="n"/>
      <c r="C21">
        <f>IF($U21="","",INDEX('Per Line'!$B$2:$B$1001,$U21)&amp;"")</f>
        <v/>
      </c>
      <c r="D21">
        <f>IF($U21="","",INDEX('Per Line'!$C$2:$C$1001,$U21)&amp;"")</f>
        <v/>
      </c>
      <c r="E21">
        <f>IF($U21="","",INDEX('Per Line'!$D$2:$D$1001,$U21)&amp;"")</f>
        <v/>
      </c>
      <c r="F21">
        <f>IF($U21="","",INDEX('Per Line'!$E$2:$E$1001,$U21))</f>
        <v/>
      </c>
      <c r="G21" s="7">
        <f>IF($U21="","",F21*S21/100)</f>
        <v/>
      </c>
      <c r="H21">
        <f>IF($U21="","",INDEX('Per Line'!$O$2:$O$1001,$U21)&amp;"")</f>
        <v/>
      </c>
      <c r="I21" s="11">
        <f>IF($U21="","",INDEX('Per Line'!$Q$2:$Q$1001,$U21))</f>
        <v/>
      </c>
      <c r="J21">
        <f>IF($U21="","",INDEX('Per Line'!$R$2:$R$1001,$U21)&amp;"")</f>
        <v/>
      </c>
      <c r="K21">
        <f>IF($U21="","",Settings!$C$7)</f>
        <v/>
      </c>
      <c r="L21" s="7">
        <f>IF($U21="","",SUMIFS('Per Line'!$N$2:$N$1001,'Per Line'!$A$2:$A$1001,$A21,'Per Line'!$W$2:$W$1001,0))</f>
        <v/>
      </c>
      <c r="M21" s="7">
        <f>IF($U21="","",L21*K21)</f>
        <v/>
      </c>
      <c r="N21">
        <f>IF($U21="","",Settings!$C$6)</f>
        <v/>
      </c>
      <c r="O21" s="7">
        <f>IF($U21="","",SUMIFS('Per Line'!$N$2:$N$1001,'Per Line'!$A$2:$A$1001,$A21,'Per Line'!$W$2:$W$1001,1))</f>
        <v/>
      </c>
      <c r="P21" s="7">
        <f>IF($U21="","",O21*N21)</f>
        <v/>
      </c>
      <c r="Q21" s="7">
        <f>IF($U21="","",P21+M21)</f>
        <v/>
      </c>
      <c r="R21" s="7">
        <f>IF($U21="","",S21-Q21)</f>
        <v/>
      </c>
      <c r="S21" s="7">
        <f>IF($U21="","",L21+O21)</f>
        <v/>
      </c>
      <c r="T21" s="7">
        <f>IF($U21="","",S21-Q21-G21)</f>
        <v/>
      </c>
      <c r="U21" s="13">
        <f>IF(ROWS($U$2:$U21)&lt;=MAX('Per Line'!$V$2:$V$1001),MATCH(ROWS($U$2:$U21),'Per Line'!$V$2:$V$1001,0),"")</f>
        <v/>
      </c>
    </row>
    <row r="22">
      <c r="A22">
        <f>IF($U22="","",INDEX('Per Line'!$A$2:$A$1001,$U22)&amp;"")</f>
        <v/>
      </c>
      <c r="B22" s="12" t="n"/>
      <c r="C22">
        <f>IF($U22="","",INDEX('Per Line'!$B$2:$B$1001,$U22)&amp;"")</f>
        <v/>
      </c>
      <c r="D22">
        <f>IF($U22="","",INDEX('Per Line'!$C$2:$C$1001,$U22)&amp;"")</f>
        <v/>
      </c>
      <c r="E22">
        <f>IF($U22="","",INDEX('Per Line'!$D$2:$D$1001,$U22)&amp;"")</f>
        <v/>
      </c>
      <c r="F22">
        <f>IF($U22="","",INDEX('Per Line'!$E$2:$E$1001,$U22))</f>
        <v/>
      </c>
      <c r="G22" s="7">
        <f>IF($U22="","",F22*S22/100)</f>
        <v/>
      </c>
      <c r="H22">
        <f>IF($U22="","",INDEX('Per Line'!$O$2:$O$1001,$U22)&amp;"")</f>
        <v/>
      </c>
      <c r="I22" s="11">
        <f>IF($U22="","",INDEX('Per Line'!$Q$2:$Q$1001,$U22))</f>
        <v/>
      </c>
      <c r="J22">
        <f>IF($U22="","",INDEX('Per Line'!$R$2:$R$1001,$U22)&amp;"")</f>
        <v/>
      </c>
      <c r="K22">
        <f>IF($U22="","",Settings!$C$7)</f>
        <v/>
      </c>
      <c r="L22" s="7">
        <f>IF($U22="","",SUMIFS('Per Line'!$N$2:$N$1001,'Per Line'!$A$2:$A$1001,$A22,'Per Line'!$W$2:$W$1001,0))</f>
        <v/>
      </c>
      <c r="M22" s="7">
        <f>IF($U22="","",L22*K22)</f>
        <v/>
      </c>
      <c r="N22">
        <f>IF($U22="","",Settings!$C$6)</f>
        <v/>
      </c>
      <c r="O22" s="7">
        <f>IF($U22="","",SUMIFS('Per Line'!$N$2:$N$1001,'Per Line'!$A$2:$A$1001,$A22,'Per Line'!$W$2:$W$1001,1))</f>
        <v/>
      </c>
      <c r="P22" s="7">
        <f>IF($U22="","",O22*N22)</f>
        <v/>
      </c>
      <c r="Q22" s="7">
        <f>IF($U22="","",P22+M22)</f>
        <v/>
      </c>
      <c r="R22" s="7">
        <f>IF($U22="","",S22-Q22)</f>
        <v/>
      </c>
      <c r="S22" s="7">
        <f>IF($U22="","",L22+O22)</f>
        <v/>
      </c>
      <c r="T22" s="7">
        <f>IF($U22="","",S22-Q22-G22)</f>
        <v/>
      </c>
      <c r="U22" s="13">
        <f>IF(ROWS($U$2:$U22)&lt;=MAX('Per Line'!$V$2:$V$1001),MATCH(ROWS($U$2:$U22),'Per Line'!$V$2:$V$1001,0),"")</f>
        <v/>
      </c>
    </row>
    <row r="23">
      <c r="A23">
        <f>IF($U23="","",INDEX('Per Line'!$A$2:$A$1001,$U23)&amp;"")</f>
        <v/>
      </c>
      <c r="B23" s="12" t="n"/>
      <c r="C23">
        <f>IF($U23="","",INDEX('Per Line'!$B$2:$B$1001,$U23)&amp;"")</f>
        <v/>
      </c>
      <c r="D23">
        <f>IF($U23="","",INDEX('Per Line'!$C$2:$C$1001,$U23)&amp;"")</f>
        <v/>
      </c>
      <c r="E23">
        <f>IF($U23="","",INDEX('Per Line'!$D$2:$D$1001,$U23)&amp;"")</f>
        <v/>
      </c>
      <c r="F23">
        <f>IF($U23="","",INDEX('Per Line'!$E$2:$E$1001,$U23))</f>
        <v/>
      </c>
      <c r="G23" s="7">
        <f>IF($U23="","",F23*S23/100)</f>
        <v/>
      </c>
      <c r="H23">
        <f>IF($U23="","",INDEX('Per Line'!$O$2:$O$1001,$U23)&amp;"")</f>
        <v/>
      </c>
      <c r="I23" s="11">
        <f>IF($U23="","",INDEX('Per Line'!$Q$2:$Q$1001,$U23))</f>
        <v/>
      </c>
      <c r="J23">
        <f>IF($U23="","",INDEX('Per Line'!$R$2:$R$1001,$U23)&amp;"")</f>
        <v/>
      </c>
      <c r="K23">
        <f>IF($U23="","",Settings!$C$7)</f>
        <v/>
      </c>
      <c r="L23" s="7">
        <f>IF($U23="","",SUMIFS('Per Line'!$N$2:$N$1001,'Per Line'!$A$2:$A$1001,$A23,'Per Line'!$W$2:$W$1001,0))</f>
        <v/>
      </c>
      <c r="M23" s="7">
        <f>IF($U23="","",L23*K23)</f>
        <v/>
      </c>
      <c r="N23">
        <f>IF($U23="","",Settings!$C$6)</f>
        <v/>
      </c>
      <c r="O23" s="7">
        <f>IF($U23="","",SUMIFS('Per Line'!$N$2:$N$1001,'Per Line'!$A$2:$A$1001,$A23,'Per Line'!$W$2:$W$1001,1))</f>
        <v/>
      </c>
      <c r="P23" s="7">
        <f>IF($U23="","",O23*N23)</f>
        <v/>
      </c>
      <c r="Q23" s="7">
        <f>IF($U23="","",P23+M23)</f>
        <v/>
      </c>
      <c r="R23" s="7">
        <f>IF($U23="","",S23-Q23)</f>
        <v/>
      </c>
      <c r="S23" s="7">
        <f>IF($U23="","",L23+O23)</f>
        <v/>
      </c>
      <c r="T23" s="7">
        <f>IF($U23="","",S23-Q23-G23)</f>
        <v/>
      </c>
      <c r="U23" s="13">
        <f>IF(ROWS($U$2:$U23)&lt;=MAX('Per Line'!$V$2:$V$1001),MATCH(ROWS($U$2:$U23),'Per Line'!$V$2:$V$1001,0),"")</f>
        <v/>
      </c>
    </row>
    <row r="24">
      <c r="A24">
        <f>IF($U24="","",INDEX('Per Line'!$A$2:$A$1001,$U24)&amp;"")</f>
        <v/>
      </c>
      <c r="B24" s="12" t="n"/>
      <c r="C24">
        <f>IF($U24="","",INDEX('Per Line'!$B$2:$B$1001,$U24)&amp;"")</f>
        <v/>
      </c>
      <c r="D24">
        <f>IF($U24="","",INDEX('Per Line'!$C$2:$C$1001,$U24)&amp;"")</f>
        <v/>
      </c>
      <c r="E24">
        <f>IF($U24="","",INDEX('Per Line'!$D$2:$D$1001,$U24)&amp;"")</f>
        <v/>
      </c>
      <c r="F24">
        <f>IF($U24="","",INDEX('Per Line'!$E$2:$E$1001,$U24))</f>
        <v/>
      </c>
      <c r="G24" s="7">
        <f>IF($U24="","",F24*S24/100)</f>
        <v/>
      </c>
      <c r="H24">
        <f>IF($U24="","",INDEX('Per Line'!$O$2:$O$1001,$U24)&amp;"")</f>
        <v/>
      </c>
      <c r="I24" s="11">
        <f>IF($U24="","",INDEX('Per Line'!$Q$2:$Q$1001,$U24))</f>
        <v/>
      </c>
      <c r="J24">
        <f>IF($U24="","",INDEX('Per Line'!$R$2:$R$1001,$U24)&amp;"")</f>
        <v/>
      </c>
      <c r="K24">
        <f>IF($U24="","",Settings!$C$7)</f>
        <v/>
      </c>
      <c r="L24" s="7">
        <f>IF($U24="","",SUMIFS('Per Line'!$N$2:$N$1001,'Per Line'!$A$2:$A$1001,$A24,'Per Line'!$W$2:$W$1001,0))</f>
        <v/>
      </c>
      <c r="M24" s="7">
        <f>IF($U24="","",L24*K24)</f>
        <v/>
      </c>
      <c r="N24">
        <f>IF($U24="","",Settings!$C$6)</f>
        <v/>
      </c>
      <c r="O24" s="7">
        <f>IF($U24="","",SUMIFS('Per Line'!$N$2:$N$1001,'Per Line'!$A$2:$A$1001,$A24,'Per Line'!$W$2:$W$1001,1))</f>
        <v/>
      </c>
      <c r="P24" s="7">
        <f>IF($U24="","",O24*N24)</f>
        <v/>
      </c>
      <c r="Q24" s="7">
        <f>IF($U24="","",P24+M24)</f>
        <v/>
      </c>
      <c r="R24" s="7">
        <f>IF($U24="","",S24-Q24)</f>
        <v/>
      </c>
      <c r="S24" s="7">
        <f>IF($U24="","",L24+O24)</f>
        <v/>
      </c>
      <c r="T24" s="7">
        <f>IF($U24="","",S24-Q24-G24)</f>
        <v/>
      </c>
      <c r="U24" s="13">
        <f>IF(ROWS($U$2:$U24)&lt;=MAX('Per Line'!$V$2:$V$1001),MATCH(ROWS($U$2:$U24),'Per Line'!$V$2:$V$1001,0),"")</f>
        <v/>
      </c>
    </row>
    <row r="25">
      <c r="A25">
        <f>IF($U25="","",INDEX('Per Line'!$A$2:$A$1001,$U25)&amp;"")</f>
        <v/>
      </c>
      <c r="B25" s="12" t="n"/>
      <c r="C25">
        <f>IF($U25="","",INDEX('Per Line'!$B$2:$B$1001,$U25)&amp;"")</f>
        <v/>
      </c>
      <c r="D25">
        <f>IF($U25="","",INDEX('Per Line'!$C$2:$C$1001,$U25)&amp;"")</f>
        <v/>
      </c>
      <c r="E25">
        <f>IF($U25="","",INDEX('Per Line'!$D$2:$D$1001,$U25)&amp;"")</f>
        <v/>
      </c>
      <c r="F25">
        <f>IF($U25="","",INDEX('Per Line'!$E$2:$E$1001,$U25))</f>
        <v/>
      </c>
      <c r="G25" s="7">
        <f>IF($U25="","",F25*S25/100)</f>
        <v/>
      </c>
      <c r="H25">
        <f>IF($U25="","",INDEX('Per Line'!$O$2:$O$1001,$U25)&amp;"")</f>
        <v/>
      </c>
      <c r="I25" s="11">
        <f>IF($U25="","",INDEX('Per Line'!$Q$2:$Q$1001,$U25))</f>
        <v/>
      </c>
      <c r="J25">
        <f>IF($U25="","",INDEX('Per Line'!$R$2:$R$1001,$U25)&amp;"")</f>
        <v/>
      </c>
      <c r="K25">
        <f>IF($U25="","",Settings!$C$7)</f>
        <v/>
      </c>
      <c r="L25" s="7">
        <f>IF($U25="","",SUMIFS('Per Line'!$N$2:$N$1001,'Per Line'!$A$2:$A$1001,$A25,'Per Line'!$W$2:$W$1001,0))</f>
        <v/>
      </c>
      <c r="M25" s="7">
        <f>IF($U25="","",L25*K25)</f>
        <v/>
      </c>
      <c r="N25">
        <f>IF($U25="","",Settings!$C$6)</f>
        <v/>
      </c>
      <c r="O25" s="7">
        <f>IF($U25="","",SUMIFS('Per Line'!$N$2:$N$1001,'Per Line'!$A$2:$A$1001,$A25,'Per Line'!$W$2:$W$1001,1))</f>
        <v/>
      </c>
      <c r="P25" s="7">
        <f>IF($U25="","",O25*N25)</f>
        <v/>
      </c>
      <c r="Q25" s="7">
        <f>IF($U25="","",P25+M25)</f>
        <v/>
      </c>
      <c r="R25" s="7">
        <f>IF($U25="","",S25-Q25)</f>
        <v/>
      </c>
      <c r="S25" s="7">
        <f>IF($U25="","",L25+O25)</f>
        <v/>
      </c>
      <c r="T25" s="7">
        <f>IF($U25="","",S25-Q25-G25)</f>
        <v/>
      </c>
      <c r="U25" s="13">
        <f>IF(ROWS($U$2:$U25)&lt;=MAX('Per Line'!$V$2:$V$1001),MATCH(ROWS($U$2:$U25),'Per Line'!$V$2:$V$1001,0),"")</f>
        <v/>
      </c>
    </row>
    <row r="26">
      <c r="A26">
        <f>IF($U26="","",INDEX('Per Line'!$A$2:$A$1001,$U26)&amp;"")</f>
        <v/>
      </c>
      <c r="B26" s="12" t="n"/>
      <c r="C26">
        <f>IF($U26="","",INDEX('Per Line'!$B$2:$B$1001,$U26)&amp;"")</f>
        <v/>
      </c>
      <c r="D26">
        <f>IF($U26="","",INDEX('Per Line'!$C$2:$C$1001,$U26)&amp;"")</f>
        <v/>
      </c>
      <c r="E26">
        <f>IF($U26="","",INDEX('Per Line'!$D$2:$D$1001,$U26)&amp;"")</f>
        <v/>
      </c>
      <c r="F26">
        <f>IF($U26="","",INDEX('Per Line'!$E$2:$E$1001,$U26))</f>
        <v/>
      </c>
      <c r="G26" s="7">
        <f>IF($U26="","",F26*S26/100)</f>
        <v/>
      </c>
      <c r="H26">
        <f>IF($U26="","",INDEX('Per Line'!$O$2:$O$1001,$U26)&amp;"")</f>
        <v/>
      </c>
      <c r="I26" s="11">
        <f>IF($U26="","",INDEX('Per Line'!$Q$2:$Q$1001,$U26))</f>
        <v/>
      </c>
      <c r="J26">
        <f>IF($U26="","",INDEX('Per Line'!$R$2:$R$1001,$U26)&amp;"")</f>
        <v/>
      </c>
      <c r="K26">
        <f>IF($U26="","",Settings!$C$7)</f>
        <v/>
      </c>
      <c r="L26" s="7">
        <f>IF($U26="","",SUMIFS('Per Line'!$N$2:$N$1001,'Per Line'!$A$2:$A$1001,$A26,'Per Line'!$W$2:$W$1001,0))</f>
        <v/>
      </c>
      <c r="M26" s="7">
        <f>IF($U26="","",L26*K26)</f>
        <v/>
      </c>
      <c r="N26">
        <f>IF($U26="","",Settings!$C$6)</f>
        <v/>
      </c>
      <c r="O26" s="7">
        <f>IF($U26="","",SUMIFS('Per Line'!$N$2:$N$1001,'Per Line'!$A$2:$A$1001,$A26,'Per Line'!$W$2:$W$1001,1))</f>
        <v/>
      </c>
      <c r="P26" s="7">
        <f>IF($U26="","",O26*N26)</f>
        <v/>
      </c>
      <c r="Q26" s="7">
        <f>IF($U26="","",P26+M26)</f>
        <v/>
      </c>
      <c r="R26" s="7">
        <f>IF($U26="","",S26-Q26)</f>
        <v/>
      </c>
      <c r="S26" s="7">
        <f>IF($U26="","",L26+O26)</f>
        <v/>
      </c>
      <c r="T26" s="7">
        <f>IF($U26="","",S26-Q26-G26)</f>
        <v/>
      </c>
      <c r="U26" s="13">
        <f>IF(ROWS($U$2:$U26)&lt;=MAX('Per Line'!$V$2:$V$1001),MATCH(ROWS($U$2:$U26),'Per Line'!$V$2:$V$1001,0),"")</f>
        <v/>
      </c>
    </row>
    <row r="27">
      <c r="A27">
        <f>IF($U27="","",INDEX('Per Line'!$A$2:$A$1001,$U27)&amp;"")</f>
        <v/>
      </c>
      <c r="B27" s="12" t="n"/>
      <c r="C27">
        <f>IF($U27="","",INDEX('Per Line'!$B$2:$B$1001,$U27)&amp;"")</f>
        <v/>
      </c>
      <c r="D27">
        <f>IF($U27="","",INDEX('Per Line'!$C$2:$C$1001,$U27)&amp;"")</f>
        <v/>
      </c>
      <c r="E27">
        <f>IF($U27="","",INDEX('Per Line'!$D$2:$D$1001,$U27)&amp;"")</f>
        <v/>
      </c>
      <c r="F27">
        <f>IF($U27="","",INDEX('Per Line'!$E$2:$E$1001,$U27))</f>
        <v/>
      </c>
      <c r="G27" s="7">
        <f>IF($U27="","",F27*S27/100)</f>
        <v/>
      </c>
      <c r="H27">
        <f>IF($U27="","",INDEX('Per Line'!$O$2:$O$1001,$U27)&amp;"")</f>
        <v/>
      </c>
      <c r="I27" s="11">
        <f>IF($U27="","",INDEX('Per Line'!$Q$2:$Q$1001,$U27))</f>
        <v/>
      </c>
      <c r="J27">
        <f>IF($U27="","",INDEX('Per Line'!$R$2:$R$1001,$U27)&amp;"")</f>
        <v/>
      </c>
      <c r="K27">
        <f>IF($U27="","",Settings!$C$7)</f>
        <v/>
      </c>
      <c r="L27" s="7">
        <f>IF($U27="","",SUMIFS('Per Line'!$N$2:$N$1001,'Per Line'!$A$2:$A$1001,$A27,'Per Line'!$W$2:$W$1001,0))</f>
        <v/>
      </c>
      <c r="M27" s="7">
        <f>IF($U27="","",L27*K27)</f>
        <v/>
      </c>
      <c r="N27">
        <f>IF($U27="","",Settings!$C$6)</f>
        <v/>
      </c>
      <c r="O27" s="7">
        <f>IF($U27="","",SUMIFS('Per Line'!$N$2:$N$1001,'Per Line'!$A$2:$A$1001,$A27,'Per Line'!$W$2:$W$1001,1))</f>
        <v/>
      </c>
      <c r="P27" s="7">
        <f>IF($U27="","",O27*N27)</f>
        <v/>
      </c>
      <c r="Q27" s="7">
        <f>IF($U27="","",P27+M27)</f>
        <v/>
      </c>
      <c r="R27" s="7">
        <f>IF($U27="","",S27-Q27)</f>
        <v/>
      </c>
      <c r="S27" s="7">
        <f>IF($U27="","",L27+O27)</f>
        <v/>
      </c>
      <c r="T27" s="7">
        <f>IF($U27="","",S27-Q27-G27)</f>
        <v/>
      </c>
      <c r="U27" s="13">
        <f>IF(ROWS($U$2:$U27)&lt;=MAX('Per Line'!$V$2:$V$1001),MATCH(ROWS($U$2:$U27),'Per Line'!$V$2:$V$1001,0),"")</f>
        <v/>
      </c>
    </row>
    <row r="28">
      <c r="A28">
        <f>IF($U28="","",INDEX('Per Line'!$A$2:$A$1001,$U28)&amp;"")</f>
        <v/>
      </c>
      <c r="B28" s="12" t="n"/>
      <c r="C28">
        <f>IF($U28="","",INDEX('Per Line'!$B$2:$B$1001,$U28)&amp;"")</f>
        <v/>
      </c>
      <c r="D28">
        <f>IF($U28="","",INDEX('Per Line'!$C$2:$C$1001,$U28)&amp;"")</f>
        <v/>
      </c>
      <c r="E28">
        <f>IF($U28="","",INDEX('Per Line'!$D$2:$D$1001,$U28)&amp;"")</f>
        <v/>
      </c>
      <c r="F28">
        <f>IF($U28="","",INDEX('Per Line'!$E$2:$E$1001,$U28))</f>
        <v/>
      </c>
      <c r="G28" s="7">
        <f>IF($U28="","",F28*S28/100)</f>
        <v/>
      </c>
      <c r="H28">
        <f>IF($U28="","",INDEX('Per Line'!$O$2:$O$1001,$U28)&amp;"")</f>
        <v/>
      </c>
      <c r="I28" s="11">
        <f>IF($U28="","",INDEX('Per Line'!$Q$2:$Q$1001,$U28))</f>
        <v/>
      </c>
      <c r="J28">
        <f>IF($U28="","",INDEX('Per Line'!$R$2:$R$1001,$U28)&amp;"")</f>
        <v/>
      </c>
      <c r="K28">
        <f>IF($U28="","",Settings!$C$7)</f>
        <v/>
      </c>
      <c r="L28" s="7">
        <f>IF($U28="","",SUMIFS('Per Line'!$N$2:$N$1001,'Per Line'!$A$2:$A$1001,$A28,'Per Line'!$W$2:$W$1001,0))</f>
        <v/>
      </c>
      <c r="M28" s="7">
        <f>IF($U28="","",L28*K28)</f>
        <v/>
      </c>
      <c r="N28">
        <f>IF($U28="","",Settings!$C$6)</f>
        <v/>
      </c>
      <c r="O28" s="7">
        <f>IF($U28="","",SUMIFS('Per Line'!$N$2:$N$1001,'Per Line'!$A$2:$A$1001,$A28,'Per Line'!$W$2:$W$1001,1))</f>
        <v/>
      </c>
      <c r="P28" s="7">
        <f>IF($U28="","",O28*N28)</f>
        <v/>
      </c>
      <c r="Q28" s="7">
        <f>IF($U28="","",P28+M28)</f>
        <v/>
      </c>
      <c r="R28" s="7">
        <f>IF($U28="","",S28-Q28)</f>
        <v/>
      </c>
      <c r="S28" s="7">
        <f>IF($U28="","",L28+O28)</f>
        <v/>
      </c>
      <c r="T28" s="7">
        <f>IF($U28="","",S28-Q28-G28)</f>
        <v/>
      </c>
      <c r="U28" s="13">
        <f>IF(ROWS($U$2:$U28)&lt;=MAX('Per Line'!$V$2:$V$1001),MATCH(ROWS($U$2:$U28),'Per Line'!$V$2:$V$1001,0),"")</f>
        <v/>
      </c>
    </row>
    <row r="29">
      <c r="A29">
        <f>IF($U29="","",INDEX('Per Line'!$A$2:$A$1001,$U29)&amp;"")</f>
        <v/>
      </c>
      <c r="B29" s="12" t="n"/>
      <c r="C29">
        <f>IF($U29="","",INDEX('Per Line'!$B$2:$B$1001,$U29)&amp;"")</f>
        <v/>
      </c>
      <c r="D29">
        <f>IF($U29="","",INDEX('Per Line'!$C$2:$C$1001,$U29)&amp;"")</f>
        <v/>
      </c>
      <c r="E29">
        <f>IF($U29="","",INDEX('Per Line'!$D$2:$D$1001,$U29)&amp;"")</f>
        <v/>
      </c>
      <c r="F29">
        <f>IF($U29="","",INDEX('Per Line'!$E$2:$E$1001,$U29))</f>
        <v/>
      </c>
      <c r="G29" s="7">
        <f>IF($U29="","",F29*S29/100)</f>
        <v/>
      </c>
      <c r="H29">
        <f>IF($U29="","",INDEX('Per Line'!$O$2:$O$1001,$U29)&amp;"")</f>
        <v/>
      </c>
      <c r="I29" s="11">
        <f>IF($U29="","",INDEX('Per Line'!$Q$2:$Q$1001,$U29))</f>
        <v/>
      </c>
      <c r="J29">
        <f>IF($U29="","",INDEX('Per Line'!$R$2:$R$1001,$U29)&amp;"")</f>
        <v/>
      </c>
      <c r="K29">
        <f>IF($U29="","",Settings!$C$7)</f>
        <v/>
      </c>
      <c r="L29" s="7">
        <f>IF($U29="","",SUMIFS('Per Line'!$N$2:$N$1001,'Per Line'!$A$2:$A$1001,$A29,'Per Line'!$W$2:$W$1001,0))</f>
        <v/>
      </c>
      <c r="M29" s="7">
        <f>IF($U29="","",L29*K29)</f>
        <v/>
      </c>
      <c r="N29">
        <f>IF($U29="","",Settings!$C$6)</f>
        <v/>
      </c>
      <c r="O29" s="7">
        <f>IF($U29="","",SUMIFS('Per Line'!$N$2:$N$1001,'Per Line'!$A$2:$A$1001,$A29,'Per Line'!$W$2:$W$1001,1))</f>
        <v/>
      </c>
      <c r="P29" s="7">
        <f>IF($U29="","",O29*N29)</f>
        <v/>
      </c>
      <c r="Q29" s="7">
        <f>IF($U29="","",P29+M29)</f>
        <v/>
      </c>
      <c r="R29" s="7">
        <f>IF($U29="","",S29-Q29)</f>
        <v/>
      </c>
      <c r="S29" s="7">
        <f>IF($U29="","",L29+O29)</f>
        <v/>
      </c>
      <c r="T29" s="7">
        <f>IF($U29="","",S29-Q29-G29)</f>
        <v/>
      </c>
      <c r="U29" s="13">
        <f>IF(ROWS($U$2:$U29)&lt;=MAX('Per Line'!$V$2:$V$1001),MATCH(ROWS($U$2:$U29),'Per Line'!$V$2:$V$1001,0),"")</f>
        <v/>
      </c>
    </row>
    <row r="30">
      <c r="A30">
        <f>IF($U30="","",INDEX('Per Line'!$A$2:$A$1001,$U30)&amp;"")</f>
        <v/>
      </c>
      <c r="B30" s="12" t="n"/>
      <c r="C30">
        <f>IF($U30="","",INDEX('Per Line'!$B$2:$B$1001,$U30)&amp;"")</f>
        <v/>
      </c>
      <c r="D30">
        <f>IF($U30="","",INDEX('Per Line'!$C$2:$C$1001,$U30)&amp;"")</f>
        <v/>
      </c>
      <c r="E30">
        <f>IF($U30="","",INDEX('Per Line'!$D$2:$D$1001,$U30)&amp;"")</f>
        <v/>
      </c>
      <c r="F30">
        <f>IF($U30="","",INDEX('Per Line'!$E$2:$E$1001,$U30))</f>
        <v/>
      </c>
      <c r="G30" s="7">
        <f>IF($U30="","",F30*S30/100)</f>
        <v/>
      </c>
      <c r="H30">
        <f>IF($U30="","",INDEX('Per Line'!$O$2:$O$1001,$U30)&amp;"")</f>
        <v/>
      </c>
      <c r="I30" s="11">
        <f>IF($U30="","",INDEX('Per Line'!$Q$2:$Q$1001,$U30))</f>
        <v/>
      </c>
      <c r="J30">
        <f>IF($U30="","",INDEX('Per Line'!$R$2:$R$1001,$U30)&amp;"")</f>
        <v/>
      </c>
      <c r="K30">
        <f>IF($U30="","",Settings!$C$7)</f>
        <v/>
      </c>
      <c r="L30" s="7">
        <f>IF($U30="","",SUMIFS('Per Line'!$N$2:$N$1001,'Per Line'!$A$2:$A$1001,$A30,'Per Line'!$W$2:$W$1001,0))</f>
        <v/>
      </c>
      <c r="M30" s="7">
        <f>IF($U30="","",L30*K30)</f>
        <v/>
      </c>
      <c r="N30">
        <f>IF($U30="","",Settings!$C$6)</f>
        <v/>
      </c>
      <c r="O30" s="7">
        <f>IF($U30="","",SUMIFS('Per Line'!$N$2:$N$1001,'Per Line'!$A$2:$A$1001,$A30,'Per Line'!$W$2:$W$1001,1))</f>
        <v/>
      </c>
      <c r="P30" s="7">
        <f>IF($U30="","",O30*N30)</f>
        <v/>
      </c>
      <c r="Q30" s="7">
        <f>IF($U30="","",P30+M30)</f>
        <v/>
      </c>
      <c r="R30" s="7">
        <f>IF($U30="","",S30-Q30)</f>
        <v/>
      </c>
      <c r="S30" s="7">
        <f>IF($U30="","",L30+O30)</f>
        <v/>
      </c>
      <c r="T30" s="7">
        <f>IF($U30="","",S30-Q30-G30)</f>
        <v/>
      </c>
      <c r="U30" s="13">
        <f>IF(ROWS($U$2:$U30)&lt;=MAX('Per Line'!$V$2:$V$1001),MATCH(ROWS($U$2:$U30),'Per Line'!$V$2:$V$1001,0),"")</f>
        <v/>
      </c>
    </row>
    <row r="31">
      <c r="A31">
        <f>IF($U31="","",INDEX('Per Line'!$A$2:$A$1001,$U31)&amp;"")</f>
        <v/>
      </c>
      <c r="B31" s="12" t="n"/>
      <c r="C31">
        <f>IF($U31="","",INDEX('Per Line'!$B$2:$B$1001,$U31)&amp;"")</f>
        <v/>
      </c>
      <c r="D31">
        <f>IF($U31="","",INDEX('Per Line'!$C$2:$C$1001,$U31)&amp;"")</f>
        <v/>
      </c>
      <c r="E31">
        <f>IF($U31="","",INDEX('Per Line'!$D$2:$D$1001,$U31)&amp;"")</f>
        <v/>
      </c>
      <c r="F31">
        <f>IF($U31="","",INDEX('Per Line'!$E$2:$E$1001,$U31))</f>
        <v/>
      </c>
      <c r="G31" s="7">
        <f>IF($U31="","",F31*S31/100)</f>
        <v/>
      </c>
      <c r="H31">
        <f>IF($U31="","",INDEX('Per Line'!$O$2:$O$1001,$U31)&amp;"")</f>
        <v/>
      </c>
      <c r="I31" s="11">
        <f>IF($U31="","",INDEX('Per Line'!$Q$2:$Q$1001,$U31))</f>
        <v/>
      </c>
      <c r="J31">
        <f>IF($U31="","",INDEX('Per Line'!$R$2:$R$1001,$U31)&amp;"")</f>
        <v/>
      </c>
      <c r="K31">
        <f>IF($U31="","",Settings!$C$7)</f>
        <v/>
      </c>
      <c r="L31" s="7">
        <f>IF($U31="","",SUMIFS('Per Line'!$N$2:$N$1001,'Per Line'!$A$2:$A$1001,$A31,'Per Line'!$W$2:$W$1001,0))</f>
        <v/>
      </c>
      <c r="M31" s="7">
        <f>IF($U31="","",L31*K31)</f>
        <v/>
      </c>
      <c r="N31">
        <f>IF($U31="","",Settings!$C$6)</f>
        <v/>
      </c>
      <c r="O31" s="7">
        <f>IF($U31="","",SUMIFS('Per Line'!$N$2:$N$1001,'Per Line'!$A$2:$A$1001,$A31,'Per Line'!$W$2:$W$1001,1))</f>
        <v/>
      </c>
      <c r="P31" s="7">
        <f>IF($U31="","",O31*N31)</f>
        <v/>
      </c>
      <c r="Q31" s="7">
        <f>IF($U31="","",P31+M31)</f>
        <v/>
      </c>
      <c r="R31" s="7">
        <f>IF($U31="","",S31-Q31)</f>
        <v/>
      </c>
      <c r="S31" s="7">
        <f>IF($U31="","",L31+O31)</f>
        <v/>
      </c>
      <c r="T31" s="7">
        <f>IF($U31="","",S31-Q31-G31)</f>
        <v/>
      </c>
      <c r="U31" s="13">
        <f>IF(ROWS($U$2:$U31)&lt;=MAX('Per Line'!$V$2:$V$1001),MATCH(ROWS($U$2:$U31),'Per Line'!$V$2:$V$1001,0),"")</f>
        <v/>
      </c>
    </row>
    <row r="32">
      <c r="A32">
        <f>IF($U32="","",INDEX('Per Line'!$A$2:$A$1001,$U32)&amp;"")</f>
        <v/>
      </c>
      <c r="B32" s="12" t="n"/>
      <c r="C32">
        <f>IF($U32="","",INDEX('Per Line'!$B$2:$B$1001,$U32)&amp;"")</f>
        <v/>
      </c>
      <c r="D32">
        <f>IF($U32="","",INDEX('Per Line'!$C$2:$C$1001,$U32)&amp;"")</f>
        <v/>
      </c>
      <c r="E32">
        <f>IF($U32="","",INDEX('Per Line'!$D$2:$D$1001,$U32)&amp;"")</f>
        <v/>
      </c>
      <c r="F32">
        <f>IF($U32="","",INDEX('Per Line'!$E$2:$E$1001,$U32))</f>
        <v/>
      </c>
      <c r="G32" s="7">
        <f>IF($U32="","",F32*S32/100)</f>
        <v/>
      </c>
      <c r="H32">
        <f>IF($U32="","",INDEX('Per Line'!$O$2:$O$1001,$U32)&amp;"")</f>
        <v/>
      </c>
      <c r="I32" s="11">
        <f>IF($U32="","",INDEX('Per Line'!$Q$2:$Q$1001,$U32))</f>
        <v/>
      </c>
      <c r="J32">
        <f>IF($U32="","",INDEX('Per Line'!$R$2:$R$1001,$U32)&amp;"")</f>
        <v/>
      </c>
      <c r="K32">
        <f>IF($U32="","",Settings!$C$7)</f>
        <v/>
      </c>
      <c r="L32" s="7">
        <f>IF($U32="","",SUMIFS('Per Line'!$N$2:$N$1001,'Per Line'!$A$2:$A$1001,$A32,'Per Line'!$W$2:$W$1001,0))</f>
        <v/>
      </c>
      <c r="M32" s="7">
        <f>IF($U32="","",L32*K32)</f>
        <v/>
      </c>
      <c r="N32">
        <f>IF($U32="","",Settings!$C$6)</f>
        <v/>
      </c>
      <c r="O32" s="7">
        <f>IF($U32="","",SUMIFS('Per Line'!$N$2:$N$1001,'Per Line'!$A$2:$A$1001,$A32,'Per Line'!$W$2:$W$1001,1))</f>
        <v/>
      </c>
      <c r="P32" s="7">
        <f>IF($U32="","",O32*N32)</f>
        <v/>
      </c>
      <c r="Q32" s="7">
        <f>IF($U32="","",P32+M32)</f>
        <v/>
      </c>
      <c r="R32" s="7">
        <f>IF($U32="","",S32-Q32)</f>
        <v/>
      </c>
      <c r="S32" s="7">
        <f>IF($U32="","",L32+O32)</f>
        <v/>
      </c>
      <c r="T32" s="7">
        <f>IF($U32="","",S32-Q32-G32)</f>
        <v/>
      </c>
      <c r="U32" s="13">
        <f>IF(ROWS($U$2:$U32)&lt;=MAX('Per Line'!$V$2:$V$1001),MATCH(ROWS($U$2:$U32),'Per Line'!$V$2:$V$1001,0),"")</f>
        <v/>
      </c>
    </row>
    <row r="33">
      <c r="A33">
        <f>IF($U33="","",INDEX('Per Line'!$A$2:$A$1001,$U33)&amp;"")</f>
        <v/>
      </c>
      <c r="B33" s="12" t="n"/>
      <c r="C33">
        <f>IF($U33="","",INDEX('Per Line'!$B$2:$B$1001,$U33)&amp;"")</f>
        <v/>
      </c>
      <c r="D33">
        <f>IF($U33="","",INDEX('Per Line'!$C$2:$C$1001,$U33)&amp;"")</f>
        <v/>
      </c>
      <c r="E33">
        <f>IF($U33="","",INDEX('Per Line'!$D$2:$D$1001,$U33)&amp;"")</f>
        <v/>
      </c>
      <c r="F33">
        <f>IF($U33="","",INDEX('Per Line'!$E$2:$E$1001,$U33))</f>
        <v/>
      </c>
      <c r="G33" s="7">
        <f>IF($U33="","",F33*S33/100)</f>
        <v/>
      </c>
      <c r="H33">
        <f>IF($U33="","",INDEX('Per Line'!$O$2:$O$1001,$U33)&amp;"")</f>
        <v/>
      </c>
      <c r="I33" s="11">
        <f>IF($U33="","",INDEX('Per Line'!$Q$2:$Q$1001,$U33))</f>
        <v/>
      </c>
      <c r="J33">
        <f>IF($U33="","",INDEX('Per Line'!$R$2:$R$1001,$U33)&amp;"")</f>
        <v/>
      </c>
      <c r="K33">
        <f>IF($U33="","",Settings!$C$7)</f>
        <v/>
      </c>
      <c r="L33" s="7">
        <f>IF($U33="","",SUMIFS('Per Line'!$N$2:$N$1001,'Per Line'!$A$2:$A$1001,$A33,'Per Line'!$W$2:$W$1001,0))</f>
        <v/>
      </c>
      <c r="M33" s="7">
        <f>IF($U33="","",L33*K33)</f>
        <v/>
      </c>
      <c r="N33">
        <f>IF($U33="","",Settings!$C$6)</f>
        <v/>
      </c>
      <c r="O33" s="7">
        <f>IF($U33="","",SUMIFS('Per Line'!$N$2:$N$1001,'Per Line'!$A$2:$A$1001,$A33,'Per Line'!$W$2:$W$1001,1))</f>
        <v/>
      </c>
      <c r="P33" s="7">
        <f>IF($U33="","",O33*N33)</f>
        <v/>
      </c>
      <c r="Q33" s="7">
        <f>IF($U33="","",P33+M33)</f>
        <v/>
      </c>
      <c r="R33" s="7">
        <f>IF($U33="","",S33-Q33)</f>
        <v/>
      </c>
      <c r="S33" s="7">
        <f>IF($U33="","",L33+O33)</f>
        <v/>
      </c>
      <c r="T33" s="7">
        <f>IF($U33="","",S33-Q33-G33)</f>
        <v/>
      </c>
      <c r="U33" s="13">
        <f>IF(ROWS($U$2:$U33)&lt;=MAX('Per Line'!$V$2:$V$1001),MATCH(ROWS($U$2:$U33),'Per Line'!$V$2:$V$1001,0),"")</f>
        <v/>
      </c>
    </row>
    <row r="34">
      <c r="A34">
        <f>IF($U34="","",INDEX('Per Line'!$A$2:$A$1001,$U34)&amp;"")</f>
        <v/>
      </c>
      <c r="B34" s="12" t="n"/>
      <c r="C34">
        <f>IF($U34="","",INDEX('Per Line'!$B$2:$B$1001,$U34)&amp;"")</f>
        <v/>
      </c>
      <c r="D34">
        <f>IF($U34="","",INDEX('Per Line'!$C$2:$C$1001,$U34)&amp;"")</f>
        <v/>
      </c>
      <c r="E34">
        <f>IF($U34="","",INDEX('Per Line'!$D$2:$D$1001,$U34)&amp;"")</f>
        <v/>
      </c>
      <c r="F34">
        <f>IF($U34="","",INDEX('Per Line'!$E$2:$E$1001,$U34))</f>
        <v/>
      </c>
      <c r="G34" s="7">
        <f>IF($U34="","",F34*S34/100)</f>
        <v/>
      </c>
      <c r="H34">
        <f>IF($U34="","",INDEX('Per Line'!$O$2:$O$1001,$U34)&amp;"")</f>
        <v/>
      </c>
      <c r="I34" s="11">
        <f>IF($U34="","",INDEX('Per Line'!$Q$2:$Q$1001,$U34))</f>
        <v/>
      </c>
      <c r="J34">
        <f>IF($U34="","",INDEX('Per Line'!$R$2:$R$1001,$U34)&amp;"")</f>
        <v/>
      </c>
      <c r="K34">
        <f>IF($U34="","",Settings!$C$7)</f>
        <v/>
      </c>
      <c r="L34" s="7">
        <f>IF($U34="","",SUMIFS('Per Line'!$N$2:$N$1001,'Per Line'!$A$2:$A$1001,$A34,'Per Line'!$W$2:$W$1001,0))</f>
        <v/>
      </c>
      <c r="M34" s="7">
        <f>IF($U34="","",L34*K34)</f>
        <v/>
      </c>
      <c r="N34">
        <f>IF($U34="","",Settings!$C$6)</f>
        <v/>
      </c>
      <c r="O34" s="7">
        <f>IF($U34="","",SUMIFS('Per Line'!$N$2:$N$1001,'Per Line'!$A$2:$A$1001,$A34,'Per Line'!$W$2:$W$1001,1))</f>
        <v/>
      </c>
      <c r="P34" s="7">
        <f>IF($U34="","",O34*N34)</f>
        <v/>
      </c>
      <c r="Q34" s="7">
        <f>IF($U34="","",P34+M34)</f>
        <v/>
      </c>
      <c r="R34" s="7">
        <f>IF($U34="","",S34-Q34)</f>
        <v/>
      </c>
      <c r="S34" s="7">
        <f>IF($U34="","",L34+O34)</f>
        <v/>
      </c>
      <c r="T34" s="7">
        <f>IF($U34="","",S34-Q34-G34)</f>
        <v/>
      </c>
      <c r="U34" s="13">
        <f>IF(ROWS($U$2:$U34)&lt;=MAX('Per Line'!$V$2:$V$1001),MATCH(ROWS($U$2:$U34),'Per Line'!$V$2:$V$1001,0),"")</f>
        <v/>
      </c>
    </row>
    <row r="35">
      <c r="A35">
        <f>IF($U35="","",INDEX('Per Line'!$A$2:$A$1001,$U35)&amp;"")</f>
        <v/>
      </c>
      <c r="B35" s="12" t="n"/>
      <c r="C35">
        <f>IF($U35="","",INDEX('Per Line'!$B$2:$B$1001,$U35)&amp;"")</f>
        <v/>
      </c>
      <c r="D35">
        <f>IF($U35="","",INDEX('Per Line'!$C$2:$C$1001,$U35)&amp;"")</f>
        <v/>
      </c>
      <c r="E35">
        <f>IF($U35="","",INDEX('Per Line'!$D$2:$D$1001,$U35)&amp;"")</f>
        <v/>
      </c>
      <c r="F35">
        <f>IF($U35="","",INDEX('Per Line'!$E$2:$E$1001,$U35))</f>
        <v/>
      </c>
      <c r="G35" s="7">
        <f>IF($U35="","",F35*S35/100)</f>
        <v/>
      </c>
      <c r="H35">
        <f>IF($U35="","",INDEX('Per Line'!$O$2:$O$1001,$U35)&amp;"")</f>
        <v/>
      </c>
      <c r="I35" s="11">
        <f>IF($U35="","",INDEX('Per Line'!$Q$2:$Q$1001,$U35))</f>
        <v/>
      </c>
      <c r="J35">
        <f>IF($U35="","",INDEX('Per Line'!$R$2:$R$1001,$U35)&amp;"")</f>
        <v/>
      </c>
      <c r="K35">
        <f>IF($U35="","",Settings!$C$7)</f>
        <v/>
      </c>
      <c r="L35" s="7">
        <f>IF($U35="","",SUMIFS('Per Line'!$N$2:$N$1001,'Per Line'!$A$2:$A$1001,$A35,'Per Line'!$W$2:$W$1001,0))</f>
        <v/>
      </c>
      <c r="M35" s="7">
        <f>IF($U35="","",L35*K35)</f>
        <v/>
      </c>
      <c r="N35">
        <f>IF($U35="","",Settings!$C$6)</f>
        <v/>
      </c>
      <c r="O35" s="7">
        <f>IF($U35="","",SUMIFS('Per Line'!$N$2:$N$1001,'Per Line'!$A$2:$A$1001,$A35,'Per Line'!$W$2:$W$1001,1))</f>
        <v/>
      </c>
      <c r="P35" s="7">
        <f>IF($U35="","",O35*N35)</f>
        <v/>
      </c>
      <c r="Q35" s="7">
        <f>IF($U35="","",P35+M35)</f>
        <v/>
      </c>
      <c r="R35" s="7">
        <f>IF($U35="","",S35-Q35)</f>
        <v/>
      </c>
      <c r="S35" s="7">
        <f>IF($U35="","",L35+O35)</f>
        <v/>
      </c>
      <c r="T35" s="7">
        <f>IF($U35="","",S35-Q35-G35)</f>
        <v/>
      </c>
      <c r="U35" s="13">
        <f>IF(ROWS($U$2:$U35)&lt;=MAX('Per Line'!$V$2:$V$1001),MATCH(ROWS($U$2:$U35),'Per Line'!$V$2:$V$1001,0),"")</f>
        <v/>
      </c>
    </row>
    <row r="36">
      <c r="A36">
        <f>IF($U36="","",INDEX('Per Line'!$A$2:$A$1001,$U36)&amp;"")</f>
        <v/>
      </c>
      <c r="B36" s="12" t="n"/>
      <c r="C36">
        <f>IF($U36="","",INDEX('Per Line'!$B$2:$B$1001,$U36)&amp;"")</f>
        <v/>
      </c>
      <c r="D36">
        <f>IF($U36="","",INDEX('Per Line'!$C$2:$C$1001,$U36)&amp;"")</f>
        <v/>
      </c>
      <c r="E36">
        <f>IF($U36="","",INDEX('Per Line'!$D$2:$D$1001,$U36)&amp;"")</f>
        <v/>
      </c>
      <c r="F36">
        <f>IF($U36="","",INDEX('Per Line'!$E$2:$E$1001,$U36))</f>
        <v/>
      </c>
      <c r="G36" s="7">
        <f>IF($U36="","",F36*S36/100)</f>
        <v/>
      </c>
      <c r="H36">
        <f>IF($U36="","",INDEX('Per Line'!$O$2:$O$1001,$U36)&amp;"")</f>
        <v/>
      </c>
      <c r="I36" s="11">
        <f>IF($U36="","",INDEX('Per Line'!$Q$2:$Q$1001,$U36))</f>
        <v/>
      </c>
      <c r="J36">
        <f>IF($U36="","",INDEX('Per Line'!$R$2:$R$1001,$U36)&amp;"")</f>
        <v/>
      </c>
      <c r="K36">
        <f>IF($U36="","",Settings!$C$7)</f>
        <v/>
      </c>
      <c r="L36" s="7">
        <f>IF($U36="","",SUMIFS('Per Line'!$N$2:$N$1001,'Per Line'!$A$2:$A$1001,$A36,'Per Line'!$W$2:$W$1001,0))</f>
        <v/>
      </c>
      <c r="M36" s="7">
        <f>IF($U36="","",L36*K36)</f>
        <v/>
      </c>
      <c r="N36">
        <f>IF($U36="","",Settings!$C$6)</f>
        <v/>
      </c>
      <c r="O36" s="7">
        <f>IF($U36="","",SUMIFS('Per Line'!$N$2:$N$1001,'Per Line'!$A$2:$A$1001,$A36,'Per Line'!$W$2:$W$1001,1))</f>
        <v/>
      </c>
      <c r="P36" s="7">
        <f>IF($U36="","",O36*N36)</f>
        <v/>
      </c>
      <c r="Q36" s="7">
        <f>IF($U36="","",P36+M36)</f>
        <v/>
      </c>
      <c r="R36" s="7">
        <f>IF($U36="","",S36-Q36)</f>
        <v/>
      </c>
      <c r="S36" s="7">
        <f>IF($U36="","",L36+O36)</f>
        <v/>
      </c>
      <c r="T36" s="7">
        <f>IF($U36="","",S36-Q36-G36)</f>
        <v/>
      </c>
      <c r="U36" s="13">
        <f>IF(ROWS($U$2:$U36)&lt;=MAX('Per Line'!$V$2:$V$1001),MATCH(ROWS($U$2:$U36),'Per Line'!$V$2:$V$1001,0),"")</f>
        <v/>
      </c>
    </row>
    <row r="37">
      <c r="A37">
        <f>IF($U37="","",INDEX('Per Line'!$A$2:$A$1001,$U37)&amp;"")</f>
        <v/>
      </c>
      <c r="B37" s="12" t="n"/>
      <c r="C37">
        <f>IF($U37="","",INDEX('Per Line'!$B$2:$B$1001,$U37)&amp;"")</f>
        <v/>
      </c>
      <c r="D37">
        <f>IF($U37="","",INDEX('Per Line'!$C$2:$C$1001,$U37)&amp;"")</f>
        <v/>
      </c>
      <c r="E37">
        <f>IF($U37="","",INDEX('Per Line'!$D$2:$D$1001,$U37)&amp;"")</f>
        <v/>
      </c>
      <c r="F37">
        <f>IF($U37="","",INDEX('Per Line'!$E$2:$E$1001,$U37))</f>
        <v/>
      </c>
      <c r="G37" s="7">
        <f>IF($U37="","",F37*S37/100)</f>
        <v/>
      </c>
      <c r="H37">
        <f>IF($U37="","",INDEX('Per Line'!$O$2:$O$1001,$U37)&amp;"")</f>
        <v/>
      </c>
      <c r="I37" s="11">
        <f>IF($U37="","",INDEX('Per Line'!$Q$2:$Q$1001,$U37))</f>
        <v/>
      </c>
      <c r="J37">
        <f>IF($U37="","",INDEX('Per Line'!$R$2:$R$1001,$U37)&amp;"")</f>
        <v/>
      </c>
      <c r="K37">
        <f>IF($U37="","",Settings!$C$7)</f>
        <v/>
      </c>
      <c r="L37" s="7">
        <f>IF($U37="","",SUMIFS('Per Line'!$N$2:$N$1001,'Per Line'!$A$2:$A$1001,$A37,'Per Line'!$W$2:$W$1001,0))</f>
        <v/>
      </c>
      <c r="M37" s="7">
        <f>IF($U37="","",L37*K37)</f>
        <v/>
      </c>
      <c r="N37">
        <f>IF($U37="","",Settings!$C$6)</f>
        <v/>
      </c>
      <c r="O37" s="7">
        <f>IF($U37="","",SUMIFS('Per Line'!$N$2:$N$1001,'Per Line'!$A$2:$A$1001,$A37,'Per Line'!$W$2:$W$1001,1))</f>
        <v/>
      </c>
      <c r="P37" s="7">
        <f>IF($U37="","",O37*N37)</f>
        <v/>
      </c>
      <c r="Q37" s="7">
        <f>IF($U37="","",P37+M37)</f>
        <v/>
      </c>
      <c r="R37" s="7">
        <f>IF($U37="","",S37-Q37)</f>
        <v/>
      </c>
      <c r="S37" s="7">
        <f>IF($U37="","",L37+O37)</f>
        <v/>
      </c>
      <c r="T37" s="7">
        <f>IF($U37="","",S37-Q37-G37)</f>
        <v/>
      </c>
      <c r="U37" s="13">
        <f>IF(ROWS($U$2:$U37)&lt;=MAX('Per Line'!$V$2:$V$1001),MATCH(ROWS($U$2:$U37),'Per Line'!$V$2:$V$1001,0),"")</f>
        <v/>
      </c>
    </row>
    <row r="38">
      <c r="A38">
        <f>IF($U38="","",INDEX('Per Line'!$A$2:$A$1001,$U38)&amp;"")</f>
        <v/>
      </c>
      <c r="B38" s="12" t="n"/>
      <c r="C38">
        <f>IF($U38="","",INDEX('Per Line'!$B$2:$B$1001,$U38)&amp;"")</f>
        <v/>
      </c>
      <c r="D38">
        <f>IF($U38="","",INDEX('Per Line'!$C$2:$C$1001,$U38)&amp;"")</f>
        <v/>
      </c>
      <c r="E38">
        <f>IF($U38="","",INDEX('Per Line'!$D$2:$D$1001,$U38)&amp;"")</f>
        <v/>
      </c>
      <c r="F38">
        <f>IF($U38="","",INDEX('Per Line'!$E$2:$E$1001,$U38))</f>
        <v/>
      </c>
      <c r="G38" s="7">
        <f>IF($U38="","",F38*S38/100)</f>
        <v/>
      </c>
      <c r="H38">
        <f>IF($U38="","",INDEX('Per Line'!$O$2:$O$1001,$U38)&amp;"")</f>
        <v/>
      </c>
      <c r="I38" s="11">
        <f>IF($U38="","",INDEX('Per Line'!$Q$2:$Q$1001,$U38))</f>
        <v/>
      </c>
      <c r="J38">
        <f>IF($U38="","",INDEX('Per Line'!$R$2:$R$1001,$U38)&amp;"")</f>
        <v/>
      </c>
      <c r="K38">
        <f>IF($U38="","",Settings!$C$7)</f>
        <v/>
      </c>
      <c r="L38" s="7">
        <f>IF($U38="","",SUMIFS('Per Line'!$N$2:$N$1001,'Per Line'!$A$2:$A$1001,$A38,'Per Line'!$W$2:$W$1001,0))</f>
        <v/>
      </c>
      <c r="M38" s="7">
        <f>IF($U38="","",L38*K38)</f>
        <v/>
      </c>
      <c r="N38">
        <f>IF($U38="","",Settings!$C$6)</f>
        <v/>
      </c>
      <c r="O38" s="7">
        <f>IF($U38="","",SUMIFS('Per Line'!$N$2:$N$1001,'Per Line'!$A$2:$A$1001,$A38,'Per Line'!$W$2:$W$1001,1))</f>
        <v/>
      </c>
      <c r="P38" s="7">
        <f>IF($U38="","",O38*N38)</f>
        <v/>
      </c>
      <c r="Q38" s="7">
        <f>IF($U38="","",P38+M38)</f>
        <v/>
      </c>
      <c r="R38" s="7">
        <f>IF($U38="","",S38-Q38)</f>
        <v/>
      </c>
      <c r="S38" s="7">
        <f>IF($U38="","",L38+O38)</f>
        <v/>
      </c>
      <c r="T38" s="7">
        <f>IF($U38="","",S38-Q38-G38)</f>
        <v/>
      </c>
      <c r="U38" s="13">
        <f>IF(ROWS($U$2:$U38)&lt;=MAX('Per Line'!$V$2:$V$1001),MATCH(ROWS($U$2:$U38),'Per Line'!$V$2:$V$1001,0),"")</f>
        <v/>
      </c>
    </row>
    <row r="39">
      <c r="A39">
        <f>IF($U39="","",INDEX('Per Line'!$A$2:$A$1001,$U39)&amp;"")</f>
        <v/>
      </c>
      <c r="B39" s="12" t="n"/>
      <c r="C39">
        <f>IF($U39="","",INDEX('Per Line'!$B$2:$B$1001,$U39)&amp;"")</f>
        <v/>
      </c>
      <c r="D39">
        <f>IF($U39="","",INDEX('Per Line'!$C$2:$C$1001,$U39)&amp;"")</f>
        <v/>
      </c>
      <c r="E39">
        <f>IF($U39="","",INDEX('Per Line'!$D$2:$D$1001,$U39)&amp;"")</f>
        <v/>
      </c>
      <c r="F39">
        <f>IF($U39="","",INDEX('Per Line'!$E$2:$E$1001,$U39))</f>
        <v/>
      </c>
      <c r="G39" s="7">
        <f>IF($U39="","",F39*S39/100)</f>
        <v/>
      </c>
      <c r="H39">
        <f>IF($U39="","",INDEX('Per Line'!$O$2:$O$1001,$U39)&amp;"")</f>
        <v/>
      </c>
      <c r="I39" s="11">
        <f>IF($U39="","",INDEX('Per Line'!$Q$2:$Q$1001,$U39))</f>
        <v/>
      </c>
      <c r="J39">
        <f>IF($U39="","",INDEX('Per Line'!$R$2:$R$1001,$U39)&amp;"")</f>
        <v/>
      </c>
      <c r="K39">
        <f>IF($U39="","",Settings!$C$7)</f>
        <v/>
      </c>
      <c r="L39" s="7">
        <f>IF($U39="","",SUMIFS('Per Line'!$N$2:$N$1001,'Per Line'!$A$2:$A$1001,$A39,'Per Line'!$W$2:$W$1001,0))</f>
        <v/>
      </c>
      <c r="M39" s="7">
        <f>IF($U39="","",L39*K39)</f>
        <v/>
      </c>
      <c r="N39">
        <f>IF($U39="","",Settings!$C$6)</f>
        <v/>
      </c>
      <c r="O39" s="7">
        <f>IF($U39="","",SUMIFS('Per Line'!$N$2:$N$1001,'Per Line'!$A$2:$A$1001,$A39,'Per Line'!$W$2:$W$1001,1))</f>
        <v/>
      </c>
      <c r="P39" s="7">
        <f>IF($U39="","",O39*N39)</f>
        <v/>
      </c>
      <c r="Q39" s="7">
        <f>IF($U39="","",P39+M39)</f>
        <v/>
      </c>
      <c r="R39" s="7">
        <f>IF($U39="","",S39-Q39)</f>
        <v/>
      </c>
      <c r="S39" s="7">
        <f>IF($U39="","",L39+O39)</f>
        <v/>
      </c>
      <c r="T39" s="7">
        <f>IF($U39="","",S39-Q39-G39)</f>
        <v/>
      </c>
      <c r="U39" s="13">
        <f>IF(ROWS($U$2:$U39)&lt;=MAX('Per Line'!$V$2:$V$1001),MATCH(ROWS($U$2:$U39),'Per Line'!$V$2:$V$1001,0),"")</f>
        <v/>
      </c>
    </row>
    <row r="40">
      <c r="A40">
        <f>IF($U40="","",INDEX('Per Line'!$A$2:$A$1001,$U40)&amp;"")</f>
        <v/>
      </c>
      <c r="B40" s="12" t="n"/>
      <c r="C40">
        <f>IF($U40="","",INDEX('Per Line'!$B$2:$B$1001,$U40)&amp;"")</f>
        <v/>
      </c>
      <c r="D40">
        <f>IF($U40="","",INDEX('Per Line'!$C$2:$C$1001,$U40)&amp;"")</f>
        <v/>
      </c>
      <c r="E40">
        <f>IF($U40="","",INDEX('Per Line'!$D$2:$D$1001,$U40)&amp;"")</f>
        <v/>
      </c>
      <c r="F40">
        <f>IF($U40="","",INDEX('Per Line'!$E$2:$E$1001,$U40))</f>
        <v/>
      </c>
      <c r="G40" s="7">
        <f>IF($U40="","",F40*S40/100)</f>
        <v/>
      </c>
      <c r="H40">
        <f>IF($U40="","",INDEX('Per Line'!$O$2:$O$1001,$U40)&amp;"")</f>
        <v/>
      </c>
      <c r="I40" s="11">
        <f>IF($U40="","",INDEX('Per Line'!$Q$2:$Q$1001,$U40))</f>
        <v/>
      </c>
      <c r="J40">
        <f>IF($U40="","",INDEX('Per Line'!$R$2:$R$1001,$U40)&amp;"")</f>
        <v/>
      </c>
      <c r="K40">
        <f>IF($U40="","",Settings!$C$7)</f>
        <v/>
      </c>
      <c r="L40" s="7">
        <f>IF($U40="","",SUMIFS('Per Line'!$N$2:$N$1001,'Per Line'!$A$2:$A$1001,$A40,'Per Line'!$W$2:$W$1001,0))</f>
        <v/>
      </c>
      <c r="M40" s="7">
        <f>IF($U40="","",L40*K40)</f>
        <v/>
      </c>
      <c r="N40">
        <f>IF($U40="","",Settings!$C$6)</f>
        <v/>
      </c>
      <c r="O40" s="7">
        <f>IF($U40="","",SUMIFS('Per Line'!$N$2:$N$1001,'Per Line'!$A$2:$A$1001,$A40,'Per Line'!$W$2:$W$1001,1))</f>
        <v/>
      </c>
      <c r="P40" s="7">
        <f>IF($U40="","",O40*N40)</f>
        <v/>
      </c>
      <c r="Q40" s="7">
        <f>IF($U40="","",P40+M40)</f>
        <v/>
      </c>
      <c r="R40" s="7">
        <f>IF($U40="","",S40-Q40)</f>
        <v/>
      </c>
      <c r="S40" s="7">
        <f>IF($U40="","",L40+O40)</f>
        <v/>
      </c>
      <c r="T40" s="7">
        <f>IF($U40="","",S40-Q40-G40)</f>
        <v/>
      </c>
      <c r="U40" s="13">
        <f>IF(ROWS($U$2:$U40)&lt;=MAX('Per Line'!$V$2:$V$1001),MATCH(ROWS($U$2:$U40),'Per Line'!$V$2:$V$1001,0),"")</f>
        <v/>
      </c>
    </row>
    <row r="41">
      <c r="A41">
        <f>IF($U41="","",INDEX('Per Line'!$A$2:$A$1001,$U41)&amp;"")</f>
        <v/>
      </c>
      <c r="B41" s="12" t="n"/>
      <c r="C41">
        <f>IF($U41="","",INDEX('Per Line'!$B$2:$B$1001,$U41)&amp;"")</f>
        <v/>
      </c>
      <c r="D41">
        <f>IF($U41="","",INDEX('Per Line'!$C$2:$C$1001,$U41)&amp;"")</f>
        <v/>
      </c>
      <c r="E41">
        <f>IF($U41="","",INDEX('Per Line'!$D$2:$D$1001,$U41)&amp;"")</f>
        <v/>
      </c>
      <c r="F41">
        <f>IF($U41="","",INDEX('Per Line'!$E$2:$E$1001,$U41))</f>
        <v/>
      </c>
      <c r="G41" s="7">
        <f>IF($U41="","",F41*S41/100)</f>
        <v/>
      </c>
      <c r="H41">
        <f>IF($U41="","",INDEX('Per Line'!$O$2:$O$1001,$U41)&amp;"")</f>
        <v/>
      </c>
      <c r="I41" s="11">
        <f>IF($U41="","",INDEX('Per Line'!$Q$2:$Q$1001,$U41))</f>
        <v/>
      </c>
      <c r="J41">
        <f>IF($U41="","",INDEX('Per Line'!$R$2:$R$1001,$U41)&amp;"")</f>
        <v/>
      </c>
      <c r="K41">
        <f>IF($U41="","",Settings!$C$7)</f>
        <v/>
      </c>
      <c r="L41" s="7">
        <f>IF($U41="","",SUMIFS('Per Line'!$N$2:$N$1001,'Per Line'!$A$2:$A$1001,$A41,'Per Line'!$W$2:$W$1001,0))</f>
        <v/>
      </c>
      <c r="M41" s="7">
        <f>IF($U41="","",L41*K41)</f>
        <v/>
      </c>
      <c r="N41">
        <f>IF($U41="","",Settings!$C$6)</f>
        <v/>
      </c>
      <c r="O41" s="7">
        <f>IF($U41="","",SUMIFS('Per Line'!$N$2:$N$1001,'Per Line'!$A$2:$A$1001,$A41,'Per Line'!$W$2:$W$1001,1))</f>
        <v/>
      </c>
      <c r="P41" s="7">
        <f>IF($U41="","",O41*N41)</f>
        <v/>
      </c>
      <c r="Q41" s="7">
        <f>IF($U41="","",P41+M41)</f>
        <v/>
      </c>
      <c r="R41" s="7">
        <f>IF($U41="","",S41-Q41)</f>
        <v/>
      </c>
      <c r="S41" s="7">
        <f>IF($U41="","",L41+O41)</f>
        <v/>
      </c>
      <c r="T41" s="7">
        <f>IF($U41="","",S41-Q41-G41)</f>
        <v/>
      </c>
      <c r="U41" s="13">
        <f>IF(ROWS($U$2:$U41)&lt;=MAX('Per Line'!$V$2:$V$1001),MATCH(ROWS($U$2:$U41),'Per Line'!$V$2:$V$1001,0),"")</f>
        <v/>
      </c>
    </row>
    <row r="42">
      <c r="A42">
        <f>IF($U42="","",INDEX('Per Line'!$A$2:$A$1001,$U42)&amp;"")</f>
        <v/>
      </c>
      <c r="B42" s="12" t="n"/>
      <c r="C42">
        <f>IF($U42="","",INDEX('Per Line'!$B$2:$B$1001,$U42)&amp;"")</f>
        <v/>
      </c>
      <c r="D42">
        <f>IF($U42="","",INDEX('Per Line'!$C$2:$C$1001,$U42)&amp;"")</f>
        <v/>
      </c>
      <c r="E42">
        <f>IF($U42="","",INDEX('Per Line'!$D$2:$D$1001,$U42)&amp;"")</f>
        <v/>
      </c>
      <c r="F42">
        <f>IF($U42="","",INDEX('Per Line'!$E$2:$E$1001,$U42))</f>
        <v/>
      </c>
      <c r="G42" s="7">
        <f>IF($U42="","",F42*S42/100)</f>
        <v/>
      </c>
      <c r="H42">
        <f>IF($U42="","",INDEX('Per Line'!$O$2:$O$1001,$U42)&amp;"")</f>
        <v/>
      </c>
      <c r="I42" s="11">
        <f>IF($U42="","",INDEX('Per Line'!$Q$2:$Q$1001,$U42))</f>
        <v/>
      </c>
      <c r="J42">
        <f>IF($U42="","",INDEX('Per Line'!$R$2:$R$1001,$U42)&amp;"")</f>
        <v/>
      </c>
      <c r="K42">
        <f>IF($U42="","",Settings!$C$7)</f>
        <v/>
      </c>
      <c r="L42" s="7">
        <f>IF($U42="","",SUMIFS('Per Line'!$N$2:$N$1001,'Per Line'!$A$2:$A$1001,$A42,'Per Line'!$W$2:$W$1001,0))</f>
        <v/>
      </c>
      <c r="M42" s="7">
        <f>IF($U42="","",L42*K42)</f>
        <v/>
      </c>
      <c r="N42">
        <f>IF($U42="","",Settings!$C$6)</f>
        <v/>
      </c>
      <c r="O42" s="7">
        <f>IF($U42="","",SUMIFS('Per Line'!$N$2:$N$1001,'Per Line'!$A$2:$A$1001,$A42,'Per Line'!$W$2:$W$1001,1))</f>
        <v/>
      </c>
      <c r="P42" s="7">
        <f>IF($U42="","",O42*N42)</f>
        <v/>
      </c>
      <c r="Q42" s="7">
        <f>IF($U42="","",P42+M42)</f>
        <v/>
      </c>
      <c r="R42" s="7">
        <f>IF($U42="","",S42-Q42)</f>
        <v/>
      </c>
      <c r="S42" s="7">
        <f>IF($U42="","",L42+O42)</f>
        <v/>
      </c>
      <c r="T42" s="7">
        <f>IF($U42="","",S42-Q42-G42)</f>
        <v/>
      </c>
      <c r="U42" s="13">
        <f>IF(ROWS($U$2:$U42)&lt;=MAX('Per Line'!$V$2:$V$1001),MATCH(ROWS($U$2:$U42),'Per Line'!$V$2:$V$1001,0),"")</f>
        <v/>
      </c>
    </row>
    <row r="43">
      <c r="A43">
        <f>IF($U43="","",INDEX('Per Line'!$A$2:$A$1001,$U43)&amp;"")</f>
        <v/>
      </c>
      <c r="B43" s="12" t="n"/>
      <c r="C43">
        <f>IF($U43="","",INDEX('Per Line'!$B$2:$B$1001,$U43)&amp;"")</f>
        <v/>
      </c>
      <c r="D43">
        <f>IF($U43="","",INDEX('Per Line'!$C$2:$C$1001,$U43)&amp;"")</f>
        <v/>
      </c>
      <c r="E43">
        <f>IF($U43="","",INDEX('Per Line'!$D$2:$D$1001,$U43)&amp;"")</f>
        <v/>
      </c>
      <c r="F43">
        <f>IF($U43="","",INDEX('Per Line'!$E$2:$E$1001,$U43))</f>
        <v/>
      </c>
      <c r="G43" s="7">
        <f>IF($U43="","",F43*S43/100)</f>
        <v/>
      </c>
      <c r="H43">
        <f>IF($U43="","",INDEX('Per Line'!$O$2:$O$1001,$U43)&amp;"")</f>
        <v/>
      </c>
      <c r="I43" s="11">
        <f>IF($U43="","",INDEX('Per Line'!$Q$2:$Q$1001,$U43))</f>
        <v/>
      </c>
      <c r="J43">
        <f>IF($U43="","",INDEX('Per Line'!$R$2:$R$1001,$U43)&amp;"")</f>
        <v/>
      </c>
      <c r="K43">
        <f>IF($U43="","",Settings!$C$7)</f>
        <v/>
      </c>
      <c r="L43" s="7">
        <f>IF($U43="","",SUMIFS('Per Line'!$N$2:$N$1001,'Per Line'!$A$2:$A$1001,$A43,'Per Line'!$W$2:$W$1001,0))</f>
        <v/>
      </c>
      <c r="M43" s="7">
        <f>IF($U43="","",L43*K43)</f>
        <v/>
      </c>
      <c r="N43">
        <f>IF($U43="","",Settings!$C$6)</f>
        <v/>
      </c>
      <c r="O43" s="7">
        <f>IF($U43="","",SUMIFS('Per Line'!$N$2:$N$1001,'Per Line'!$A$2:$A$1001,$A43,'Per Line'!$W$2:$W$1001,1))</f>
        <v/>
      </c>
      <c r="P43" s="7">
        <f>IF($U43="","",O43*N43)</f>
        <v/>
      </c>
      <c r="Q43" s="7">
        <f>IF($U43="","",P43+M43)</f>
        <v/>
      </c>
      <c r="R43" s="7">
        <f>IF($U43="","",S43-Q43)</f>
        <v/>
      </c>
      <c r="S43" s="7">
        <f>IF($U43="","",L43+O43)</f>
        <v/>
      </c>
      <c r="T43" s="7">
        <f>IF($U43="","",S43-Q43-G43)</f>
        <v/>
      </c>
      <c r="U43" s="13">
        <f>IF(ROWS($U$2:$U43)&lt;=MAX('Per Line'!$V$2:$V$1001),MATCH(ROWS($U$2:$U43),'Per Line'!$V$2:$V$1001,0),"")</f>
        <v/>
      </c>
    </row>
    <row r="44">
      <c r="A44">
        <f>IF($U44="","",INDEX('Per Line'!$A$2:$A$1001,$U44)&amp;"")</f>
        <v/>
      </c>
      <c r="B44" s="12" t="n"/>
      <c r="C44">
        <f>IF($U44="","",INDEX('Per Line'!$B$2:$B$1001,$U44)&amp;"")</f>
        <v/>
      </c>
      <c r="D44">
        <f>IF($U44="","",INDEX('Per Line'!$C$2:$C$1001,$U44)&amp;"")</f>
        <v/>
      </c>
      <c r="E44">
        <f>IF($U44="","",INDEX('Per Line'!$D$2:$D$1001,$U44)&amp;"")</f>
        <v/>
      </c>
      <c r="F44">
        <f>IF($U44="","",INDEX('Per Line'!$E$2:$E$1001,$U44))</f>
        <v/>
      </c>
      <c r="G44" s="7">
        <f>IF($U44="","",F44*S44/100)</f>
        <v/>
      </c>
      <c r="H44">
        <f>IF($U44="","",INDEX('Per Line'!$O$2:$O$1001,$U44)&amp;"")</f>
        <v/>
      </c>
      <c r="I44" s="11">
        <f>IF($U44="","",INDEX('Per Line'!$Q$2:$Q$1001,$U44))</f>
        <v/>
      </c>
      <c r="J44">
        <f>IF($U44="","",INDEX('Per Line'!$R$2:$R$1001,$U44)&amp;"")</f>
        <v/>
      </c>
      <c r="K44">
        <f>IF($U44="","",Settings!$C$7)</f>
        <v/>
      </c>
      <c r="L44" s="7">
        <f>IF($U44="","",SUMIFS('Per Line'!$N$2:$N$1001,'Per Line'!$A$2:$A$1001,$A44,'Per Line'!$W$2:$W$1001,0))</f>
        <v/>
      </c>
      <c r="M44" s="7">
        <f>IF($U44="","",L44*K44)</f>
        <v/>
      </c>
      <c r="N44">
        <f>IF($U44="","",Settings!$C$6)</f>
        <v/>
      </c>
      <c r="O44" s="7">
        <f>IF($U44="","",SUMIFS('Per Line'!$N$2:$N$1001,'Per Line'!$A$2:$A$1001,$A44,'Per Line'!$W$2:$W$1001,1))</f>
        <v/>
      </c>
      <c r="P44" s="7">
        <f>IF($U44="","",O44*N44)</f>
        <v/>
      </c>
      <c r="Q44" s="7">
        <f>IF($U44="","",P44+M44)</f>
        <v/>
      </c>
      <c r="R44" s="7">
        <f>IF($U44="","",S44-Q44)</f>
        <v/>
      </c>
      <c r="S44" s="7">
        <f>IF($U44="","",L44+O44)</f>
        <v/>
      </c>
      <c r="T44" s="7">
        <f>IF($U44="","",S44-Q44-G44)</f>
        <v/>
      </c>
      <c r="U44" s="13">
        <f>IF(ROWS($U$2:$U44)&lt;=MAX('Per Line'!$V$2:$V$1001),MATCH(ROWS($U$2:$U44),'Per Line'!$V$2:$V$1001,0),"")</f>
        <v/>
      </c>
    </row>
    <row r="45">
      <c r="A45">
        <f>IF($U45="","",INDEX('Per Line'!$A$2:$A$1001,$U45)&amp;"")</f>
        <v/>
      </c>
      <c r="B45" s="12" t="n"/>
      <c r="C45">
        <f>IF($U45="","",INDEX('Per Line'!$B$2:$B$1001,$U45)&amp;"")</f>
        <v/>
      </c>
      <c r="D45">
        <f>IF($U45="","",INDEX('Per Line'!$C$2:$C$1001,$U45)&amp;"")</f>
        <v/>
      </c>
      <c r="E45">
        <f>IF($U45="","",INDEX('Per Line'!$D$2:$D$1001,$U45)&amp;"")</f>
        <v/>
      </c>
      <c r="F45">
        <f>IF($U45="","",INDEX('Per Line'!$E$2:$E$1001,$U45))</f>
        <v/>
      </c>
      <c r="G45" s="7">
        <f>IF($U45="","",F45*S45/100)</f>
        <v/>
      </c>
      <c r="H45">
        <f>IF($U45="","",INDEX('Per Line'!$O$2:$O$1001,$U45)&amp;"")</f>
        <v/>
      </c>
      <c r="I45" s="11">
        <f>IF($U45="","",INDEX('Per Line'!$Q$2:$Q$1001,$U45))</f>
        <v/>
      </c>
      <c r="J45">
        <f>IF($U45="","",INDEX('Per Line'!$R$2:$R$1001,$U45)&amp;"")</f>
        <v/>
      </c>
      <c r="K45">
        <f>IF($U45="","",Settings!$C$7)</f>
        <v/>
      </c>
      <c r="L45" s="7">
        <f>IF($U45="","",SUMIFS('Per Line'!$N$2:$N$1001,'Per Line'!$A$2:$A$1001,$A45,'Per Line'!$W$2:$W$1001,0))</f>
        <v/>
      </c>
      <c r="M45" s="7">
        <f>IF($U45="","",L45*K45)</f>
        <v/>
      </c>
      <c r="N45">
        <f>IF($U45="","",Settings!$C$6)</f>
        <v/>
      </c>
      <c r="O45" s="7">
        <f>IF($U45="","",SUMIFS('Per Line'!$N$2:$N$1001,'Per Line'!$A$2:$A$1001,$A45,'Per Line'!$W$2:$W$1001,1))</f>
        <v/>
      </c>
      <c r="P45" s="7">
        <f>IF($U45="","",O45*N45)</f>
        <v/>
      </c>
      <c r="Q45" s="7">
        <f>IF($U45="","",P45+M45)</f>
        <v/>
      </c>
      <c r="R45" s="7">
        <f>IF($U45="","",S45-Q45)</f>
        <v/>
      </c>
      <c r="S45" s="7">
        <f>IF($U45="","",L45+O45)</f>
        <v/>
      </c>
      <c r="T45" s="7">
        <f>IF($U45="","",S45-Q45-G45)</f>
        <v/>
      </c>
      <c r="U45" s="13">
        <f>IF(ROWS($U$2:$U45)&lt;=MAX('Per Line'!$V$2:$V$1001),MATCH(ROWS($U$2:$U45),'Per Line'!$V$2:$V$1001,0),"")</f>
        <v/>
      </c>
    </row>
    <row r="46">
      <c r="A46">
        <f>IF($U46="","",INDEX('Per Line'!$A$2:$A$1001,$U46)&amp;"")</f>
        <v/>
      </c>
      <c r="B46" s="12" t="n"/>
      <c r="C46">
        <f>IF($U46="","",INDEX('Per Line'!$B$2:$B$1001,$U46)&amp;"")</f>
        <v/>
      </c>
      <c r="D46">
        <f>IF($U46="","",INDEX('Per Line'!$C$2:$C$1001,$U46)&amp;"")</f>
        <v/>
      </c>
      <c r="E46">
        <f>IF($U46="","",INDEX('Per Line'!$D$2:$D$1001,$U46)&amp;"")</f>
        <v/>
      </c>
      <c r="F46">
        <f>IF($U46="","",INDEX('Per Line'!$E$2:$E$1001,$U46))</f>
        <v/>
      </c>
      <c r="G46" s="7">
        <f>IF($U46="","",F46*S46/100)</f>
        <v/>
      </c>
      <c r="H46">
        <f>IF($U46="","",INDEX('Per Line'!$O$2:$O$1001,$U46)&amp;"")</f>
        <v/>
      </c>
      <c r="I46" s="11">
        <f>IF($U46="","",INDEX('Per Line'!$Q$2:$Q$1001,$U46))</f>
        <v/>
      </c>
      <c r="J46">
        <f>IF($U46="","",INDEX('Per Line'!$R$2:$R$1001,$U46)&amp;"")</f>
        <v/>
      </c>
      <c r="K46">
        <f>IF($U46="","",Settings!$C$7)</f>
        <v/>
      </c>
      <c r="L46" s="7">
        <f>IF($U46="","",SUMIFS('Per Line'!$N$2:$N$1001,'Per Line'!$A$2:$A$1001,$A46,'Per Line'!$W$2:$W$1001,0))</f>
        <v/>
      </c>
      <c r="M46" s="7">
        <f>IF($U46="","",L46*K46)</f>
        <v/>
      </c>
      <c r="N46">
        <f>IF($U46="","",Settings!$C$6)</f>
        <v/>
      </c>
      <c r="O46" s="7">
        <f>IF($U46="","",SUMIFS('Per Line'!$N$2:$N$1001,'Per Line'!$A$2:$A$1001,$A46,'Per Line'!$W$2:$W$1001,1))</f>
        <v/>
      </c>
      <c r="P46" s="7">
        <f>IF($U46="","",O46*N46)</f>
        <v/>
      </c>
      <c r="Q46" s="7">
        <f>IF($U46="","",P46+M46)</f>
        <v/>
      </c>
      <c r="R46" s="7">
        <f>IF($U46="","",S46-Q46)</f>
        <v/>
      </c>
      <c r="S46" s="7">
        <f>IF($U46="","",L46+O46)</f>
        <v/>
      </c>
      <c r="T46" s="7">
        <f>IF($U46="","",S46-Q46-G46)</f>
        <v/>
      </c>
      <c r="U46" s="13">
        <f>IF(ROWS($U$2:$U46)&lt;=MAX('Per Line'!$V$2:$V$1001),MATCH(ROWS($U$2:$U46),'Per Line'!$V$2:$V$1001,0),"")</f>
        <v/>
      </c>
    </row>
    <row r="47">
      <c r="A47">
        <f>IF($U47="","",INDEX('Per Line'!$A$2:$A$1001,$U47)&amp;"")</f>
        <v/>
      </c>
      <c r="B47" s="12" t="n"/>
      <c r="C47">
        <f>IF($U47="","",INDEX('Per Line'!$B$2:$B$1001,$U47)&amp;"")</f>
        <v/>
      </c>
      <c r="D47">
        <f>IF($U47="","",INDEX('Per Line'!$C$2:$C$1001,$U47)&amp;"")</f>
        <v/>
      </c>
      <c r="E47">
        <f>IF($U47="","",INDEX('Per Line'!$D$2:$D$1001,$U47)&amp;"")</f>
        <v/>
      </c>
      <c r="F47">
        <f>IF($U47="","",INDEX('Per Line'!$E$2:$E$1001,$U47))</f>
        <v/>
      </c>
      <c r="G47" s="7">
        <f>IF($U47="","",F47*S47/100)</f>
        <v/>
      </c>
      <c r="H47">
        <f>IF($U47="","",INDEX('Per Line'!$O$2:$O$1001,$U47)&amp;"")</f>
        <v/>
      </c>
      <c r="I47" s="11">
        <f>IF($U47="","",INDEX('Per Line'!$Q$2:$Q$1001,$U47))</f>
        <v/>
      </c>
      <c r="J47">
        <f>IF($U47="","",INDEX('Per Line'!$R$2:$R$1001,$U47)&amp;"")</f>
        <v/>
      </c>
      <c r="K47">
        <f>IF($U47="","",Settings!$C$7)</f>
        <v/>
      </c>
      <c r="L47" s="7">
        <f>IF($U47="","",SUMIFS('Per Line'!$N$2:$N$1001,'Per Line'!$A$2:$A$1001,$A47,'Per Line'!$W$2:$W$1001,0))</f>
        <v/>
      </c>
      <c r="M47" s="7">
        <f>IF($U47="","",L47*K47)</f>
        <v/>
      </c>
      <c r="N47">
        <f>IF($U47="","",Settings!$C$6)</f>
        <v/>
      </c>
      <c r="O47" s="7">
        <f>IF($U47="","",SUMIFS('Per Line'!$N$2:$N$1001,'Per Line'!$A$2:$A$1001,$A47,'Per Line'!$W$2:$W$1001,1))</f>
        <v/>
      </c>
      <c r="P47" s="7">
        <f>IF($U47="","",O47*N47)</f>
        <v/>
      </c>
      <c r="Q47" s="7">
        <f>IF($U47="","",P47+M47)</f>
        <v/>
      </c>
      <c r="R47" s="7">
        <f>IF($U47="","",S47-Q47)</f>
        <v/>
      </c>
      <c r="S47" s="7">
        <f>IF($U47="","",L47+O47)</f>
        <v/>
      </c>
      <c r="T47" s="7">
        <f>IF($U47="","",S47-Q47-G47)</f>
        <v/>
      </c>
      <c r="U47" s="13">
        <f>IF(ROWS($U$2:$U47)&lt;=MAX('Per Line'!$V$2:$V$1001),MATCH(ROWS($U$2:$U47),'Per Line'!$V$2:$V$1001,0),"")</f>
        <v/>
      </c>
    </row>
    <row r="48">
      <c r="A48">
        <f>IF($U48="","",INDEX('Per Line'!$A$2:$A$1001,$U48)&amp;"")</f>
        <v/>
      </c>
      <c r="B48" s="12" t="n"/>
      <c r="C48">
        <f>IF($U48="","",INDEX('Per Line'!$B$2:$B$1001,$U48)&amp;"")</f>
        <v/>
      </c>
      <c r="D48">
        <f>IF($U48="","",INDEX('Per Line'!$C$2:$C$1001,$U48)&amp;"")</f>
        <v/>
      </c>
      <c r="E48">
        <f>IF($U48="","",INDEX('Per Line'!$D$2:$D$1001,$U48)&amp;"")</f>
        <v/>
      </c>
      <c r="F48">
        <f>IF($U48="","",INDEX('Per Line'!$E$2:$E$1001,$U48))</f>
        <v/>
      </c>
      <c r="G48" s="7">
        <f>IF($U48="","",F48*S48/100)</f>
        <v/>
      </c>
      <c r="H48">
        <f>IF($U48="","",INDEX('Per Line'!$O$2:$O$1001,$U48)&amp;"")</f>
        <v/>
      </c>
      <c r="I48" s="11">
        <f>IF($U48="","",INDEX('Per Line'!$Q$2:$Q$1001,$U48))</f>
        <v/>
      </c>
      <c r="J48">
        <f>IF($U48="","",INDEX('Per Line'!$R$2:$R$1001,$U48)&amp;"")</f>
        <v/>
      </c>
      <c r="K48">
        <f>IF($U48="","",Settings!$C$7)</f>
        <v/>
      </c>
      <c r="L48" s="7">
        <f>IF($U48="","",SUMIFS('Per Line'!$N$2:$N$1001,'Per Line'!$A$2:$A$1001,$A48,'Per Line'!$W$2:$W$1001,0))</f>
        <v/>
      </c>
      <c r="M48" s="7">
        <f>IF($U48="","",L48*K48)</f>
        <v/>
      </c>
      <c r="N48">
        <f>IF($U48="","",Settings!$C$6)</f>
        <v/>
      </c>
      <c r="O48" s="7">
        <f>IF($U48="","",SUMIFS('Per Line'!$N$2:$N$1001,'Per Line'!$A$2:$A$1001,$A48,'Per Line'!$W$2:$W$1001,1))</f>
        <v/>
      </c>
      <c r="P48" s="7">
        <f>IF($U48="","",O48*N48)</f>
        <v/>
      </c>
      <c r="Q48" s="7">
        <f>IF($U48="","",P48+M48)</f>
        <v/>
      </c>
      <c r="R48" s="7">
        <f>IF($U48="","",S48-Q48)</f>
        <v/>
      </c>
      <c r="S48" s="7">
        <f>IF($U48="","",L48+O48)</f>
        <v/>
      </c>
      <c r="T48" s="7">
        <f>IF($U48="","",S48-Q48-G48)</f>
        <v/>
      </c>
      <c r="U48" s="13">
        <f>IF(ROWS($U$2:$U48)&lt;=MAX('Per Line'!$V$2:$V$1001),MATCH(ROWS($U$2:$U48),'Per Line'!$V$2:$V$1001,0),"")</f>
        <v/>
      </c>
    </row>
    <row r="49">
      <c r="A49">
        <f>IF($U49="","",INDEX('Per Line'!$A$2:$A$1001,$U49)&amp;"")</f>
        <v/>
      </c>
      <c r="B49" s="12" t="n"/>
      <c r="C49">
        <f>IF($U49="","",INDEX('Per Line'!$B$2:$B$1001,$U49)&amp;"")</f>
        <v/>
      </c>
      <c r="D49">
        <f>IF($U49="","",INDEX('Per Line'!$C$2:$C$1001,$U49)&amp;"")</f>
        <v/>
      </c>
      <c r="E49">
        <f>IF($U49="","",INDEX('Per Line'!$D$2:$D$1001,$U49)&amp;"")</f>
        <v/>
      </c>
      <c r="F49">
        <f>IF($U49="","",INDEX('Per Line'!$E$2:$E$1001,$U49))</f>
        <v/>
      </c>
      <c r="G49" s="7">
        <f>IF($U49="","",F49*S49/100)</f>
        <v/>
      </c>
      <c r="H49">
        <f>IF($U49="","",INDEX('Per Line'!$O$2:$O$1001,$U49)&amp;"")</f>
        <v/>
      </c>
      <c r="I49" s="11">
        <f>IF($U49="","",INDEX('Per Line'!$Q$2:$Q$1001,$U49))</f>
        <v/>
      </c>
      <c r="J49">
        <f>IF($U49="","",INDEX('Per Line'!$R$2:$R$1001,$U49)&amp;"")</f>
        <v/>
      </c>
      <c r="K49">
        <f>IF($U49="","",Settings!$C$7)</f>
        <v/>
      </c>
      <c r="L49" s="7">
        <f>IF($U49="","",SUMIFS('Per Line'!$N$2:$N$1001,'Per Line'!$A$2:$A$1001,$A49,'Per Line'!$W$2:$W$1001,0))</f>
        <v/>
      </c>
      <c r="M49" s="7">
        <f>IF($U49="","",L49*K49)</f>
        <v/>
      </c>
      <c r="N49">
        <f>IF($U49="","",Settings!$C$6)</f>
        <v/>
      </c>
      <c r="O49" s="7">
        <f>IF($U49="","",SUMIFS('Per Line'!$N$2:$N$1001,'Per Line'!$A$2:$A$1001,$A49,'Per Line'!$W$2:$W$1001,1))</f>
        <v/>
      </c>
      <c r="P49" s="7">
        <f>IF($U49="","",O49*N49)</f>
        <v/>
      </c>
      <c r="Q49" s="7">
        <f>IF($U49="","",P49+M49)</f>
        <v/>
      </c>
      <c r="R49" s="7">
        <f>IF($U49="","",S49-Q49)</f>
        <v/>
      </c>
      <c r="S49" s="7">
        <f>IF($U49="","",L49+O49)</f>
        <v/>
      </c>
      <c r="T49" s="7">
        <f>IF($U49="","",S49-Q49-G49)</f>
        <v/>
      </c>
      <c r="U49" s="13">
        <f>IF(ROWS($U$2:$U49)&lt;=MAX('Per Line'!$V$2:$V$1001),MATCH(ROWS($U$2:$U49),'Per Line'!$V$2:$V$1001,0),"")</f>
        <v/>
      </c>
    </row>
    <row r="50">
      <c r="A50">
        <f>IF($U50="","",INDEX('Per Line'!$A$2:$A$1001,$U50)&amp;"")</f>
        <v/>
      </c>
      <c r="B50" s="12" t="n"/>
      <c r="C50">
        <f>IF($U50="","",INDEX('Per Line'!$B$2:$B$1001,$U50)&amp;"")</f>
        <v/>
      </c>
      <c r="D50">
        <f>IF($U50="","",INDEX('Per Line'!$C$2:$C$1001,$U50)&amp;"")</f>
        <v/>
      </c>
      <c r="E50">
        <f>IF($U50="","",INDEX('Per Line'!$D$2:$D$1001,$U50)&amp;"")</f>
        <v/>
      </c>
      <c r="F50">
        <f>IF($U50="","",INDEX('Per Line'!$E$2:$E$1001,$U50))</f>
        <v/>
      </c>
      <c r="G50" s="7">
        <f>IF($U50="","",F50*S50/100)</f>
        <v/>
      </c>
      <c r="H50">
        <f>IF($U50="","",INDEX('Per Line'!$O$2:$O$1001,$U50)&amp;"")</f>
        <v/>
      </c>
      <c r="I50" s="11">
        <f>IF($U50="","",INDEX('Per Line'!$Q$2:$Q$1001,$U50))</f>
        <v/>
      </c>
      <c r="J50">
        <f>IF($U50="","",INDEX('Per Line'!$R$2:$R$1001,$U50)&amp;"")</f>
        <v/>
      </c>
      <c r="K50">
        <f>IF($U50="","",Settings!$C$7)</f>
        <v/>
      </c>
      <c r="L50" s="7">
        <f>IF($U50="","",SUMIFS('Per Line'!$N$2:$N$1001,'Per Line'!$A$2:$A$1001,$A50,'Per Line'!$W$2:$W$1001,0))</f>
        <v/>
      </c>
      <c r="M50" s="7">
        <f>IF($U50="","",L50*K50)</f>
        <v/>
      </c>
      <c r="N50">
        <f>IF($U50="","",Settings!$C$6)</f>
        <v/>
      </c>
      <c r="O50" s="7">
        <f>IF($U50="","",SUMIFS('Per Line'!$N$2:$N$1001,'Per Line'!$A$2:$A$1001,$A50,'Per Line'!$W$2:$W$1001,1))</f>
        <v/>
      </c>
      <c r="P50" s="7">
        <f>IF($U50="","",O50*N50)</f>
        <v/>
      </c>
      <c r="Q50" s="7">
        <f>IF($U50="","",P50+M50)</f>
        <v/>
      </c>
      <c r="R50" s="7">
        <f>IF($U50="","",S50-Q50)</f>
        <v/>
      </c>
      <c r="S50" s="7">
        <f>IF($U50="","",L50+O50)</f>
        <v/>
      </c>
      <c r="T50" s="7">
        <f>IF($U50="","",S50-Q50-G50)</f>
        <v/>
      </c>
      <c r="U50" s="13">
        <f>IF(ROWS($U$2:$U50)&lt;=MAX('Per Line'!$V$2:$V$1001),MATCH(ROWS($U$2:$U50),'Per Line'!$V$2:$V$1001,0),"")</f>
        <v/>
      </c>
    </row>
    <row r="51">
      <c r="A51">
        <f>IF($U51="","",INDEX('Per Line'!$A$2:$A$1001,$U51)&amp;"")</f>
        <v/>
      </c>
      <c r="B51" s="12" t="n"/>
      <c r="C51">
        <f>IF($U51="","",INDEX('Per Line'!$B$2:$B$1001,$U51)&amp;"")</f>
        <v/>
      </c>
      <c r="D51">
        <f>IF($U51="","",INDEX('Per Line'!$C$2:$C$1001,$U51)&amp;"")</f>
        <v/>
      </c>
      <c r="E51">
        <f>IF($U51="","",INDEX('Per Line'!$D$2:$D$1001,$U51)&amp;"")</f>
        <v/>
      </c>
      <c r="F51">
        <f>IF($U51="","",INDEX('Per Line'!$E$2:$E$1001,$U51))</f>
        <v/>
      </c>
      <c r="G51" s="7">
        <f>IF($U51="","",F51*S51/100)</f>
        <v/>
      </c>
      <c r="H51">
        <f>IF($U51="","",INDEX('Per Line'!$O$2:$O$1001,$U51)&amp;"")</f>
        <v/>
      </c>
      <c r="I51" s="11">
        <f>IF($U51="","",INDEX('Per Line'!$Q$2:$Q$1001,$U51))</f>
        <v/>
      </c>
      <c r="J51">
        <f>IF($U51="","",INDEX('Per Line'!$R$2:$R$1001,$U51)&amp;"")</f>
        <v/>
      </c>
      <c r="K51">
        <f>IF($U51="","",Settings!$C$7)</f>
        <v/>
      </c>
      <c r="L51" s="7">
        <f>IF($U51="","",SUMIFS('Per Line'!$N$2:$N$1001,'Per Line'!$A$2:$A$1001,$A51,'Per Line'!$W$2:$W$1001,0))</f>
        <v/>
      </c>
      <c r="M51" s="7">
        <f>IF($U51="","",L51*K51)</f>
        <v/>
      </c>
      <c r="N51">
        <f>IF($U51="","",Settings!$C$6)</f>
        <v/>
      </c>
      <c r="O51" s="7">
        <f>IF($U51="","",SUMIFS('Per Line'!$N$2:$N$1001,'Per Line'!$A$2:$A$1001,$A51,'Per Line'!$W$2:$W$1001,1))</f>
        <v/>
      </c>
      <c r="P51" s="7">
        <f>IF($U51="","",O51*N51)</f>
        <v/>
      </c>
      <c r="Q51" s="7">
        <f>IF($U51="","",P51+M51)</f>
        <v/>
      </c>
      <c r="R51" s="7">
        <f>IF($U51="","",S51-Q51)</f>
        <v/>
      </c>
      <c r="S51" s="7">
        <f>IF($U51="","",L51+O51)</f>
        <v/>
      </c>
      <c r="T51" s="7">
        <f>IF($U51="","",S51-Q51-G51)</f>
        <v/>
      </c>
      <c r="U51" s="13">
        <f>IF(ROWS($U$2:$U51)&lt;=MAX('Per Line'!$V$2:$V$1001),MATCH(ROWS($U$2:$U51),'Per Line'!$V$2:$V$1001,0),"")</f>
        <v/>
      </c>
    </row>
    <row r="52">
      <c r="A52">
        <f>IF($U52="","",INDEX('Per Line'!$A$2:$A$1001,$U52)&amp;"")</f>
        <v/>
      </c>
      <c r="B52" s="12" t="n"/>
      <c r="C52">
        <f>IF($U52="","",INDEX('Per Line'!$B$2:$B$1001,$U52)&amp;"")</f>
        <v/>
      </c>
      <c r="D52">
        <f>IF($U52="","",INDEX('Per Line'!$C$2:$C$1001,$U52)&amp;"")</f>
        <v/>
      </c>
      <c r="E52">
        <f>IF($U52="","",INDEX('Per Line'!$D$2:$D$1001,$U52)&amp;"")</f>
        <v/>
      </c>
      <c r="F52">
        <f>IF($U52="","",INDEX('Per Line'!$E$2:$E$1001,$U52))</f>
        <v/>
      </c>
      <c r="G52" s="7">
        <f>IF($U52="","",F52*S52/100)</f>
        <v/>
      </c>
      <c r="H52">
        <f>IF($U52="","",INDEX('Per Line'!$O$2:$O$1001,$U52)&amp;"")</f>
        <v/>
      </c>
      <c r="I52" s="11">
        <f>IF($U52="","",INDEX('Per Line'!$Q$2:$Q$1001,$U52))</f>
        <v/>
      </c>
      <c r="J52">
        <f>IF($U52="","",INDEX('Per Line'!$R$2:$R$1001,$U52)&amp;"")</f>
        <v/>
      </c>
      <c r="K52">
        <f>IF($U52="","",Settings!$C$7)</f>
        <v/>
      </c>
      <c r="L52" s="7">
        <f>IF($U52="","",SUMIFS('Per Line'!$N$2:$N$1001,'Per Line'!$A$2:$A$1001,$A52,'Per Line'!$W$2:$W$1001,0))</f>
        <v/>
      </c>
      <c r="M52" s="7">
        <f>IF($U52="","",L52*K52)</f>
        <v/>
      </c>
      <c r="N52">
        <f>IF($U52="","",Settings!$C$6)</f>
        <v/>
      </c>
      <c r="O52" s="7">
        <f>IF($U52="","",SUMIFS('Per Line'!$N$2:$N$1001,'Per Line'!$A$2:$A$1001,$A52,'Per Line'!$W$2:$W$1001,1))</f>
        <v/>
      </c>
      <c r="P52" s="7">
        <f>IF($U52="","",O52*N52)</f>
        <v/>
      </c>
      <c r="Q52" s="7">
        <f>IF($U52="","",P52+M52)</f>
        <v/>
      </c>
      <c r="R52" s="7">
        <f>IF($U52="","",S52-Q52)</f>
        <v/>
      </c>
      <c r="S52" s="7">
        <f>IF($U52="","",L52+O52)</f>
        <v/>
      </c>
      <c r="T52" s="7">
        <f>IF($U52="","",S52-Q52-G52)</f>
        <v/>
      </c>
      <c r="U52" s="13">
        <f>IF(ROWS($U$2:$U52)&lt;=MAX('Per Line'!$V$2:$V$1001),MATCH(ROWS($U$2:$U52),'Per Line'!$V$2:$V$1001,0),"")</f>
        <v/>
      </c>
    </row>
    <row r="53">
      <c r="A53">
        <f>IF($U53="","",INDEX('Per Line'!$A$2:$A$1001,$U53)&amp;"")</f>
        <v/>
      </c>
      <c r="B53" s="12" t="n"/>
      <c r="C53">
        <f>IF($U53="","",INDEX('Per Line'!$B$2:$B$1001,$U53)&amp;"")</f>
        <v/>
      </c>
      <c r="D53">
        <f>IF($U53="","",INDEX('Per Line'!$C$2:$C$1001,$U53)&amp;"")</f>
        <v/>
      </c>
      <c r="E53">
        <f>IF($U53="","",INDEX('Per Line'!$D$2:$D$1001,$U53)&amp;"")</f>
        <v/>
      </c>
      <c r="F53">
        <f>IF($U53="","",INDEX('Per Line'!$E$2:$E$1001,$U53))</f>
        <v/>
      </c>
      <c r="G53" s="7">
        <f>IF($U53="","",F53*S53/100)</f>
        <v/>
      </c>
      <c r="H53">
        <f>IF($U53="","",INDEX('Per Line'!$O$2:$O$1001,$U53)&amp;"")</f>
        <v/>
      </c>
      <c r="I53" s="11">
        <f>IF($U53="","",INDEX('Per Line'!$Q$2:$Q$1001,$U53))</f>
        <v/>
      </c>
      <c r="J53">
        <f>IF($U53="","",INDEX('Per Line'!$R$2:$R$1001,$U53)&amp;"")</f>
        <v/>
      </c>
      <c r="K53">
        <f>IF($U53="","",Settings!$C$7)</f>
        <v/>
      </c>
      <c r="L53" s="7">
        <f>IF($U53="","",SUMIFS('Per Line'!$N$2:$N$1001,'Per Line'!$A$2:$A$1001,$A53,'Per Line'!$W$2:$W$1001,0))</f>
        <v/>
      </c>
      <c r="M53" s="7">
        <f>IF($U53="","",L53*K53)</f>
        <v/>
      </c>
      <c r="N53">
        <f>IF($U53="","",Settings!$C$6)</f>
        <v/>
      </c>
      <c r="O53" s="7">
        <f>IF($U53="","",SUMIFS('Per Line'!$N$2:$N$1001,'Per Line'!$A$2:$A$1001,$A53,'Per Line'!$W$2:$W$1001,1))</f>
        <v/>
      </c>
      <c r="P53" s="7">
        <f>IF($U53="","",O53*N53)</f>
        <v/>
      </c>
      <c r="Q53" s="7">
        <f>IF($U53="","",P53+M53)</f>
        <v/>
      </c>
      <c r="R53" s="7">
        <f>IF($U53="","",S53-Q53)</f>
        <v/>
      </c>
      <c r="S53" s="7">
        <f>IF($U53="","",L53+O53)</f>
        <v/>
      </c>
      <c r="T53" s="7">
        <f>IF($U53="","",S53-Q53-G53)</f>
        <v/>
      </c>
      <c r="U53" s="13">
        <f>IF(ROWS($U$2:$U53)&lt;=MAX('Per Line'!$V$2:$V$1001),MATCH(ROWS($U$2:$U53),'Per Line'!$V$2:$V$1001,0),"")</f>
        <v/>
      </c>
    </row>
    <row r="54">
      <c r="A54">
        <f>IF($U54="","",INDEX('Per Line'!$A$2:$A$1001,$U54)&amp;"")</f>
        <v/>
      </c>
      <c r="B54" s="12" t="n"/>
      <c r="C54">
        <f>IF($U54="","",INDEX('Per Line'!$B$2:$B$1001,$U54)&amp;"")</f>
        <v/>
      </c>
      <c r="D54">
        <f>IF($U54="","",INDEX('Per Line'!$C$2:$C$1001,$U54)&amp;"")</f>
        <v/>
      </c>
      <c r="E54">
        <f>IF($U54="","",INDEX('Per Line'!$D$2:$D$1001,$U54)&amp;"")</f>
        <v/>
      </c>
      <c r="F54">
        <f>IF($U54="","",INDEX('Per Line'!$E$2:$E$1001,$U54))</f>
        <v/>
      </c>
      <c r="G54" s="7">
        <f>IF($U54="","",F54*S54/100)</f>
        <v/>
      </c>
      <c r="H54">
        <f>IF($U54="","",INDEX('Per Line'!$O$2:$O$1001,$U54)&amp;"")</f>
        <v/>
      </c>
      <c r="I54" s="11">
        <f>IF($U54="","",INDEX('Per Line'!$Q$2:$Q$1001,$U54))</f>
        <v/>
      </c>
      <c r="J54">
        <f>IF($U54="","",INDEX('Per Line'!$R$2:$R$1001,$U54)&amp;"")</f>
        <v/>
      </c>
      <c r="K54">
        <f>IF($U54="","",Settings!$C$7)</f>
        <v/>
      </c>
      <c r="L54" s="7">
        <f>IF($U54="","",SUMIFS('Per Line'!$N$2:$N$1001,'Per Line'!$A$2:$A$1001,$A54,'Per Line'!$W$2:$W$1001,0))</f>
        <v/>
      </c>
      <c r="M54" s="7">
        <f>IF($U54="","",L54*K54)</f>
        <v/>
      </c>
      <c r="N54">
        <f>IF($U54="","",Settings!$C$6)</f>
        <v/>
      </c>
      <c r="O54" s="7">
        <f>IF($U54="","",SUMIFS('Per Line'!$N$2:$N$1001,'Per Line'!$A$2:$A$1001,$A54,'Per Line'!$W$2:$W$1001,1))</f>
        <v/>
      </c>
      <c r="P54" s="7">
        <f>IF($U54="","",O54*N54)</f>
        <v/>
      </c>
      <c r="Q54" s="7">
        <f>IF($U54="","",P54+M54)</f>
        <v/>
      </c>
      <c r="R54" s="7">
        <f>IF($U54="","",S54-Q54)</f>
        <v/>
      </c>
      <c r="S54" s="7">
        <f>IF($U54="","",L54+O54)</f>
        <v/>
      </c>
      <c r="T54" s="7">
        <f>IF($U54="","",S54-Q54-G54)</f>
        <v/>
      </c>
      <c r="U54" s="13">
        <f>IF(ROWS($U$2:$U54)&lt;=MAX('Per Line'!$V$2:$V$1001),MATCH(ROWS($U$2:$U54),'Per Line'!$V$2:$V$1001,0),"")</f>
        <v/>
      </c>
    </row>
    <row r="55">
      <c r="A55">
        <f>IF($U55="","",INDEX('Per Line'!$A$2:$A$1001,$U55)&amp;"")</f>
        <v/>
      </c>
      <c r="B55" s="12" t="n"/>
      <c r="C55">
        <f>IF($U55="","",INDEX('Per Line'!$B$2:$B$1001,$U55)&amp;"")</f>
        <v/>
      </c>
      <c r="D55">
        <f>IF($U55="","",INDEX('Per Line'!$C$2:$C$1001,$U55)&amp;"")</f>
        <v/>
      </c>
      <c r="E55">
        <f>IF($U55="","",INDEX('Per Line'!$D$2:$D$1001,$U55)&amp;"")</f>
        <v/>
      </c>
      <c r="F55">
        <f>IF($U55="","",INDEX('Per Line'!$E$2:$E$1001,$U55))</f>
        <v/>
      </c>
      <c r="G55" s="7">
        <f>IF($U55="","",F55*S55/100)</f>
        <v/>
      </c>
      <c r="H55">
        <f>IF($U55="","",INDEX('Per Line'!$O$2:$O$1001,$U55)&amp;"")</f>
        <v/>
      </c>
      <c r="I55" s="11">
        <f>IF($U55="","",INDEX('Per Line'!$Q$2:$Q$1001,$U55))</f>
        <v/>
      </c>
      <c r="J55">
        <f>IF($U55="","",INDEX('Per Line'!$R$2:$R$1001,$U55)&amp;"")</f>
        <v/>
      </c>
      <c r="K55">
        <f>IF($U55="","",Settings!$C$7)</f>
        <v/>
      </c>
      <c r="L55" s="7">
        <f>IF($U55="","",SUMIFS('Per Line'!$N$2:$N$1001,'Per Line'!$A$2:$A$1001,$A55,'Per Line'!$W$2:$W$1001,0))</f>
        <v/>
      </c>
      <c r="M55" s="7">
        <f>IF($U55="","",L55*K55)</f>
        <v/>
      </c>
      <c r="N55">
        <f>IF($U55="","",Settings!$C$6)</f>
        <v/>
      </c>
      <c r="O55" s="7">
        <f>IF($U55="","",SUMIFS('Per Line'!$N$2:$N$1001,'Per Line'!$A$2:$A$1001,$A55,'Per Line'!$W$2:$W$1001,1))</f>
        <v/>
      </c>
      <c r="P55" s="7">
        <f>IF($U55="","",O55*N55)</f>
        <v/>
      </c>
      <c r="Q55" s="7">
        <f>IF($U55="","",P55+M55)</f>
        <v/>
      </c>
      <c r="R55" s="7">
        <f>IF($U55="","",S55-Q55)</f>
        <v/>
      </c>
      <c r="S55" s="7">
        <f>IF($U55="","",L55+O55)</f>
        <v/>
      </c>
      <c r="T55" s="7">
        <f>IF($U55="","",S55-Q55-G55)</f>
        <v/>
      </c>
      <c r="U55" s="13">
        <f>IF(ROWS($U$2:$U55)&lt;=MAX('Per Line'!$V$2:$V$1001),MATCH(ROWS($U$2:$U55),'Per Line'!$V$2:$V$1001,0),"")</f>
        <v/>
      </c>
    </row>
    <row r="56">
      <c r="A56">
        <f>IF($U56="","",INDEX('Per Line'!$A$2:$A$1001,$U56)&amp;"")</f>
        <v/>
      </c>
      <c r="B56" s="12" t="n"/>
      <c r="C56">
        <f>IF($U56="","",INDEX('Per Line'!$B$2:$B$1001,$U56)&amp;"")</f>
        <v/>
      </c>
      <c r="D56">
        <f>IF($U56="","",INDEX('Per Line'!$C$2:$C$1001,$U56)&amp;"")</f>
        <v/>
      </c>
      <c r="E56">
        <f>IF($U56="","",INDEX('Per Line'!$D$2:$D$1001,$U56)&amp;"")</f>
        <v/>
      </c>
      <c r="F56">
        <f>IF($U56="","",INDEX('Per Line'!$E$2:$E$1001,$U56))</f>
        <v/>
      </c>
      <c r="G56" s="7">
        <f>IF($U56="","",F56*S56/100)</f>
        <v/>
      </c>
      <c r="H56">
        <f>IF($U56="","",INDEX('Per Line'!$O$2:$O$1001,$U56)&amp;"")</f>
        <v/>
      </c>
      <c r="I56" s="11">
        <f>IF($U56="","",INDEX('Per Line'!$Q$2:$Q$1001,$U56))</f>
        <v/>
      </c>
      <c r="J56">
        <f>IF($U56="","",INDEX('Per Line'!$R$2:$R$1001,$U56)&amp;"")</f>
        <v/>
      </c>
      <c r="K56">
        <f>IF($U56="","",Settings!$C$7)</f>
        <v/>
      </c>
      <c r="L56" s="7">
        <f>IF($U56="","",SUMIFS('Per Line'!$N$2:$N$1001,'Per Line'!$A$2:$A$1001,$A56,'Per Line'!$W$2:$W$1001,0))</f>
        <v/>
      </c>
      <c r="M56" s="7">
        <f>IF($U56="","",L56*K56)</f>
        <v/>
      </c>
      <c r="N56">
        <f>IF($U56="","",Settings!$C$6)</f>
        <v/>
      </c>
      <c r="O56" s="7">
        <f>IF($U56="","",SUMIFS('Per Line'!$N$2:$N$1001,'Per Line'!$A$2:$A$1001,$A56,'Per Line'!$W$2:$W$1001,1))</f>
        <v/>
      </c>
      <c r="P56" s="7">
        <f>IF($U56="","",O56*N56)</f>
        <v/>
      </c>
      <c r="Q56" s="7">
        <f>IF($U56="","",P56+M56)</f>
        <v/>
      </c>
      <c r="R56" s="7">
        <f>IF($U56="","",S56-Q56)</f>
        <v/>
      </c>
      <c r="S56" s="7">
        <f>IF($U56="","",L56+O56)</f>
        <v/>
      </c>
      <c r="T56" s="7">
        <f>IF($U56="","",S56-Q56-G56)</f>
        <v/>
      </c>
      <c r="U56" s="13">
        <f>IF(ROWS($U$2:$U56)&lt;=MAX('Per Line'!$V$2:$V$1001),MATCH(ROWS($U$2:$U56),'Per Line'!$V$2:$V$1001,0),"")</f>
        <v/>
      </c>
    </row>
    <row r="57">
      <c r="A57">
        <f>IF($U57="","",INDEX('Per Line'!$A$2:$A$1001,$U57)&amp;"")</f>
        <v/>
      </c>
      <c r="B57" s="12" t="n"/>
      <c r="C57">
        <f>IF($U57="","",INDEX('Per Line'!$B$2:$B$1001,$U57)&amp;"")</f>
        <v/>
      </c>
      <c r="D57">
        <f>IF($U57="","",INDEX('Per Line'!$C$2:$C$1001,$U57)&amp;"")</f>
        <v/>
      </c>
      <c r="E57">
        <f>IF($U57="","",INDEX('Per Line'!$D$2:$D$1001,$U57)&amp;"")</f>
        <v/>
      </c>
      <c r="F57">
        <f>IF($U57="","",INDEX('Per Line'!$E$2:$E$1001,$U57))</f>
        <v/>
      </c>
      <c r="G57" s="7">
        <f>IF($U57="","",F57*S57/100)</f>
        <v/>
      </c>
      <c r="H57">
        <f>IF($U57="","",INDEX('Per Line'!$O$2:$O$1001,$U57)&amp;"")</f>
        <v/>
      </c>
      <c r="I57" s="11">
        <f>IF($U57="","",INDEX('Per Line'!$Q$2:$Q$1001,$U57))</f>
        <v/>
      </c>
      <c r="J57">
        <f>IF($U57="","",INDEX('Per Line'!$R$2:$R$1001,$U57)&amp;"")</f>
        <v/>
      </c>
      <c r="K57">
        <f>IF($U57="","",Settings!$C$7)</f>
        <v/>
      </c>
      <c r="L57" s="7">
        <f>IF($U57="","",SUMIFS('Per Line'!$N$2:$N$1001,'Per Line'!$A$2:$A$1001,$A57,'Per Line'!$W$2:$W$1001,0))</f>
        <v/>
      </c>
      <c r="M57" s="7">
        <f>IF($U57="","",L57*K57)</f>
        <v/>
      </c>
      <c r="N57">
        <f>IF($U57="","",Settings!$C$6)</f>
        <v/>
      </c>
      <c r="O57" s="7">
        <f>IF($U57="","",SUMIFS('Per Line'!$N$2:$N$1001,'Per Line'!$A$2:$A$1001,$A57,'Per Line'!$W$2:$W$1001,1))</f>
        <v/>
      </c>
      <c r="P57" s="7">
        <f>IF($U57="","",O57*N57)</f>
        <v/>
      </c>
      <c r="Q57" s="7">
        <f>IF($U57="","",P57+M57)</f>
        <v/>
      </c>
      <c r="R57" s="7">
        <f>IF($U57="","",S57-Q57)</f>
        <v/>
      </c>
      <c r="S57" s="7">
        <f>IF($U57="","",L57+O57)</f>
        <v/>
      </c>
      <c r="T57" s="7">
        <f>IF($U57="","",S57-Q57-G57)</f>
        <v/>
      </c>
      <c r="U57" s="13">
        <f>IF(ROWS($U$2:$U57)&lt;=MAX('Per Line'!$V$2:$V$1001),MATCH(ROWS($U$2:$U57),'Per Line'!$V$2:$V$1001,0),"")</f>
        <v/>
      </c>
    </row>
    <row r="58">
      <c r="A58">
        <f>IF($U58="","",INDEX('Per Line'!$A$2:$A$1001,$U58)&amp;"")</f>
        <v/>
      </c>
      <c r="B58" s="12" t="n"/>
      <c r="C58">
        <f>IF($U58="","",INDEX('Per Line'!$B$2:$B$1001,$U58)&amp;"")</f>
        <v/>
      </c>
      <c r="D58">
        <f>IF($U58="","",INDEX('Per Line'!$C$2:$C$1001,$U58)&amp;"")</f>
        <v/>
      </c>
      <c r="E58">
        <f>IF($U58="","",INDEX('Per Line'!$D$2:$D$1001,$U58)&amp;"")</f>
        <v/>
      </c>
      <c r="F58">
        <f>IF($U58="","",INDEX('Per Line'!$E$2:$E$1001,$U58))</f>
        <v/>
      </c>
      <c r="G58" s="7">
        <f>IF($U58="","",F58*S58/100)</f>
        <v/>
      </c>
      <c r="H58">
        <f>IF($U58="","",INDEX('Per Line'!$O$2:$O$1001,$U58)&amp;"")</f>
        <v/>
      </c>
      <c r="I58" s="11">
        <f>IF($U58="","",INDEX('Per Line'!$Q$2:$Q$1001,$U58))</f>
        <v/>
      </c>
      <c r="J58">
        <f>IF($U58="","",INDEX('Per Line'!$R$2:$R$1001,$U58)&amp;"")</f>
        <v/>
      </c>
      <c r="K58">
        <f>IF($U58="","",Settings!$C$7)</f>
        <v/>
      </c>
      <c r="L58" s="7">
        <f>IF($U58="","",SUMIFS('Per Line'!$N$2:$N$1001,'Per Line'!$A$2:$A$1001,$A58,'Per Line'!$W$2:$W$1001,0))</f>
        <v/>
      </c>
      <c r="M58" s="7">
        <f>IF($U58="","",L58*K58)</f>
        <v/>
      </c>
      <c r="N58">
        <f>IF($U58="","",Settings!$C$6)</f>
        <v/>
      </c>
      <c r="O58" s="7">
        <f>IF($U58="","",SUMIFS('Per Line'!$N$2:$N$1001,'Per Line'!$A$2:$A$1001,$A58,'Per Line'!$W$2:$W$1001,1))</f>
        <v/>
      </c>
      <c r="P58" s="7">
        <f>IF($U58="","",O58*N58)</f>
        <v/>
      </c>
      <c r="Q58" s="7">
        <f>IF($U58="","",P58+M58)</f>
        <v/>
      </c>
      <c r="R58" s="7">
        <f>IF($U58="","",S58-Q58)</f>
        <v/>
      </c>
      <c r="S58" s="7">
        <f>IF($U58="","",L58+O58)</f>
        <v/>
      </c>
      <c r="T58" s="7">
        <f>IF($U58="","",S58-Q58-G58)</f>
        <v/>
      </c>
      <c r="U58" s="13">
        <f>IF(ROWS($U$2:$U58)&lt;=MAX('Per Line'!$V$2:$V$1001),MATCH(ROWS($U$2:$U58),'Per Line'!$V$2:$V$1001,0),"")</f>
        <v/>
      </c>
    </row>
    <row r="59">
      <c r="A59">
        <f>IF($U59="","",INDEX('Per Line'!$A$2:$A$1001,$U59)&amp;"")</f>
        <v/>
      </c>
      <c r="B59" s="12" t="n"/>
      <c r="C59">
        <f>IF($U59="","",INDEX('Per Line'!$B$2:$B$1001,$U59)&amp;"")</f>
        <v/>
      </c>
      <c r="D59">
        <f>IF($U59="","",INDEX('Per Line'!$C$2:$C$1001,$U59)&amp;"")</f>
        <v/>
      </c>
      <c r="E59">
        <f>IF($U59="","",INDEX('Per Line'!$D$2:$D$1001,$U59)&amp;"")</f>
        <v/>
      </c>
      <c r="F59">
        <f>IF($U59="","",INDEX('Per Line'!$E$2:$E$1001,$U59))</f>
        <v/>
      </c>
      <c r="G59" s="7">
        <f>IF($U59="","",F59*S59/100)</f>
        <v/>
      </c>
      <c r="H59">
        <f>IF($U59="","",INDEX('Per Line'!$O$2:$O$1001,$U59)&amp;"")</f>
        <v/>
      </c>
      <c r="I59" s="11">
        <f>IF($U59="","",INDEX('Per Line'!$Q$2:$Q$1001,$U59))</f>
        <v/>
      </c>
      <c r="J59">
        <f>IF($U59="","",INDEX('Per Line'!$R$2:$R$1001,$U59)&amp;"")</f>
        <v/>
      </c>
      <c r="K59">
        <f>IF($U59="","",Settings!$C$7)</f>
        <v/>
      </c>
      <c r="L59" s="7">
        <f>IF($U59="","",SUMIFS('Per Line'!$N$2:$N$1001,'Per Line'!$A$2:$A$1001,$A59,'Per Line'!$W$2:$W$1001,0))</f>
        <v/>
      </c>
      <c r="M59" s="7">
        <f>IF($U59="","",L59*K59)</f>
        <v/>
      </c>
      <c r="N59">
        <f>IF($U59="","",Settings!$C$6)</f>
        <v/>
      </c>
      <c r="O59" s="7">
        <f>IF($U59="","",SUMIFS('Per Line'!$N$2:$N$1001,'Per Line'!$A$2:$A$1001,$A59,'Per Line'!$W$2:$W$1001,1))</f>
        <v/>
      </c>
      <c r="P59" s="7">
        <f>IF($U59="","",O59*N59)</f>
        <v/>
      </c>
      <c r="Q59" s="7">
        <f>IF($U59="","",P59+M59)</f>
        <v/>
      </c>
      <c r="R59" s="7">
        <f>IF($U59="","",S59-Q59)</f>
        <v/>
      </c>
      <c r="S59" s="7">
        <f>IF($U59="","",L59+O59)</f>
        <v/>
      </c>
      <c r="T59" s="7">
        <f>IF($U59="","",S59-Q59-G59)</f>
        <v/>
      </c>
      <c r="U59" s="13">
        <f>IF(ROWS($U$2:$U59)&lt;=MAX('Per Line'!$V$2:$V$1001),MATCH(ROWS($U$2:$U59),'Per Line'!$V$2:$V$1001,0),"")</f>
        <v/>
      </c>
    </row>
    <row r="60">
      <c r="A60">
        <f>IF($U60="","",INDEX('Per Line'!$A$2:$A$1001,$U60)&amp;"")</f>
        <v/>
      </c>
      <c r="B60" s="12" t="n"/>
      <c r="C60">
        <f>IF($U60="","",INDEX('Per Line'!$B$2:$B$1001,$U60)&amp;"")</f>
        <v/>
      </c>
      <c r="D60">
        <f>IF($U60="","",INDEX('Per Line'!$C$2:$C$1001,$U60)&amp;"")</f>
        <v/>
      </c>
      <c r="E60">
        <f>IF($U60="","",INDEX('Per Line'!$D$2:$D$1001,$U60)&amp;"")</f>
        <v/>
      </c>
      <c r="F60">
        <f>IF($U60="","",INDEX('Per Line'!$E$2:$E$1001,$U60))</f>
        <v/>
      </c>
      <c r="G60" s="7">
        <f>IF($U60="","",F60*S60/100)</f>
        <v/>
      </c>
      <c r="H60">
        <f>IF($U60="","",INDEX('Per Line'!$O$2:$O$1001,$U60)&amp;"")</f>
        <v/>
      </c>
      <c r="I60" s="11">
        <f>IF($U60="","",INDEX('Per Line'!$Q$2:$Q$1001,$U60))</f>
        <v/>
      </c>
      <c r="J60">
        <f>IF($U60="","",INDEX('Per Line'!$R$2:$R$1001,$U60)&amp;"")</f>
        <v/>
      </c>
      <c r="K60">
        <f>IF($U60="","",Settings!$C$7)</f>
        <v/>
      </c>
      <c r="L60" s="7">
        <f>IF($U60="","",SUMIFS('Per Line'!$N$2:$N$1001,'Per Line'!$A$2:$A$1001,$A60,'Per Line'!$W$2:$W$1001,0))</f>
        <v/>
      </c>
      <c r="M60" s="7">
        <f>IF($U60="","",L60*K60)</f>
        <v/>
      </c>
      <c r="N60">
        <f>IF($U60="","",Settings!$C$6)</f>
        <v/>
      </c>
      <c r="O60" s="7">
        <f>IF($U60="","",SUMIFS('Per Line'!$N$2:$N$1001,'Per Line'!$A$2:$A$1001,$A60,'Per Line'!$W$2:$W$1001,1))</f>
        <v/>
      </c>
      <c r="P60" s="7">
        <f>IF($U60="","",O60*N60)</f>
        <v/>
      </c>
      <c r="Q60" s="7">
        <f>IF($U60="","",P60+M60)</f>
        <v/>
      </c>
      <c r="R60" s="7">
        <f>IF($U60="","",S60-Q60)</f>
        <v/>
      </c>
      <c r="S60" s="7">
        <f>IF($U60="","",L60+O60)</f>
        <v/>
      </c>
      <c r="T60" s="7">
        <f>IF($U60="","",S60-Q60-G60)</f>
        <v/>
      </c>
      <c r="U60" s="13">
        <f>IF(ROWS($U$2:$U60)&lt;=MAX('Per Line'!$V$2:$V$1001),MATCH(ROWS($U$2:$U60),'Per Line'!$V$2:$V$1001,0),"")</f>
        <v/>
      </c>
    </row>
    <row r="61">
      <c r="A61">
        <f>IF($U61="","",INDEX('Per Line'!$A$2:$A$1001,$U61)&amp;"")</f>
        <v/>
      </c>
      <c r="B61" s="12" t="n"/>
      <c r="C61">
        <f>IF($U61="","",INDEX('Per Line'!$B$2:$B$1001,$U61)&amp;"")</f>
        <v/>
      </c>
      <c r="D61">
        <f>IF($U61="","",INDEX('Per Line'!$C$2:$C$1001,$U61)&amp;"")</f>
        <v/>
      </c>
      <c r="E61">
        <f>IF($U61="","",INDEX('Per Line'!$D$2:$D$1001,$U61)&amp;"")</f>
        <v/>
      </c>
      <c r="F61">
        <f>IF($U61="","",INDEX('Per Line'!$E$2:$E$1001,$U61))</f>
        <v/>
      </c>
      <c r="G61" s="7">
        <f>IF($U61="","",F61*S61/100)</f>
        <v/>
      </c>
      <c r="H61">
        <f>IF($U61="","",INDEX('Per Line'!$O$2:$O$1001,$U61)&amp;"")</f>
        <v/>
      </c>
      <c r="I61" s="11">
        <f>IF($U61="","",INDEX('Per Line'!$Q$2:$Q$1001,$U61))</f>
        <v/>
      </c>
      <c r="J61">
        <f>IF($U61="","",INDEX('Per Line'!$R$2:$R$1001,$U61)&amp;"")</f>
        <v/>
      </c>
      <c r="K61">
        <f>IF($U61="","",Settings!$C$7)</f>
        <v/>
      </c>
      <c r="L61" s="7">
        <f>IF($U61="","",SUMIFS('Per Line'!$N$2:$N$1001,'Per Line'!$A$2:$A$1001,$A61,'Per Line'!$W$2:$W$1001,0))</f>
        <v/>
      </c>
      <c r="M61" s="7">
        <f>IF($U61="","",L61*K61)</f>
        <v/>
      </c>
      <c r="N61">
        <f>IF($U61="","",Settings!$C$6)</f>
        <v/>
      </c>
      <c r="O61" s="7">
        <f>IF($U61="","",SUMIFS('Per Line'!$N$2:$N$1001,'Per Line'!$A$2:$A$1001,$A61,'Per Line'!$W$2:$W$1001,1))</f>
        <v/>
      </c>
      <c r="P61" s="7">
        <f>IF($U61="","",O61*N61)</f>
        <v/>
      </c>
      <c r="Q61" s="7">
        <f>IF($U61="","",P61+M61)</f>
        <v/>
      </c>
      <c r="R61" s="7">
        <f>IF($U61="","",S61-Q61)</f>
        <v/>
      </c>
      <c r="S61" s="7">
        <f>IF($U61="","",L61+O61)</f>
        <v/>
      </c>
      <c r="T61" s="7">
        <f>IF($U61="","",S61-Q61-G61)</f>
        <v/>
      </c>
      <c r="U61" s="13">
        <f>IF(ROWS($U$2:$U61)&lt;=MAX('Per Line'!$V$2:$V$1001),MATCH(ROWS($U$2:$U61),'Per Line'!$V$2:$V$1001,0),"")</f>
        <v/>
      </c>
    </row>
    <row r="62">
      <c r="A62">
        <f>IF($U62="","",INDEX('Per Line'!$A$2:$A$1001,$U62)&amp;"")</f>
        <v/>
      </c>
      <c r="B62" s="12" t="n"/>
      <c r="C62">
        <f>IF($U62="","",INDEX('Per Line'!$B$2:$B$1001,$U62)&amp;"")</f>
        <v/>
      </c>
      <c r="D62">
        <f>IF($U62="","",INDEX('Per Line'!$C$2:$C$1001,$U62)&amp;"")</f>
        <v/>
      </c>
      <c r="E62">
        <f>IF($U62="","",INDEX('Per Line'!$D$2:$D$1001,$U62)&amp;"")</f>
        <v/>
      </c>
      <c r="F62">
        <f>IF($U62="","",INDEX('Per Line'!$E$2:$E$1001,$U62))</f>
        <v/>
      </c>
      <c r="G62" s="7">
        <f>IF($U62="","",F62*S62/100)</f>
        <v/>
      </c>
      <c r="H62">
        <f>IF($U62="","",INDEX('Per Line'!$O$2:$O$1001,$U62)&amp;"")</f>
        <v/>
      </c>
      <c r="I62" s="11">
        <f>IF($U62="","",INDEX('Per Line'!$Q$2:$Q$1001,$U62))</f>
        <v/>
      </c>
      <c r="J62">
        <f>IF($U62="","",INDEX('Per Line'!$R$2:$R$1001,$U62)&amp;"")</f>
        <v/>
      </c>
      <c r="K62">
        <f>IF($U62="","",Settings!$C$7)</f>
        <v/>
      </c>
      <c r="L62" s="7">
        <f>IF($U62="","",SUMIFS('Per Line'!$N$2:$N$1001,'Per Line'!$A$2:$A$1001,$A62,'Per Line'!$W$2:$W$1001,0))</f>
        <v/>
      </c>
      <c r="M62" s="7">
        <f>IF($U62="","",L62*K62)</f>
        <v/>
      </c>
      <c r="N62">
        <f>IF($U62="","",Settings!$C$6)</f>
        <v/>
      </c>
      <c r="O62" s="7">
        <f>IF($U62="","",SUMIFS('Per Line'!$N$2:$N$1001,'Per Line'!$A$2:$A$1001,$A62,'Per Line'!$W$2:$W$1001,1))</f>
        <v/>
      </c>
      <c r="P62" s="7">
        <f>IF($U62="","",O62*N62)</f>
        <v/>
      </c>
      <c r="Q62" s="7">
        <f>IF($U62="","",P62+M62)</f>
        <v/>
      </c>
      <c r="R62" s="7">
        <f>IF($U62="","",S62-Q62)</f>
        <v/>
      </c>
      <c r="S62" s="7">
        <f>IF($U62="","",L62+O62)</f>
        <v/>
      </c>
      <c r="T62" s="7">
        <f>IF($U62="","",S62-Q62-G62)</f>
        <v/>
      </c>
      <c r="U62" s="13">
        <f>IF(ROWS($U$2:$U62)&lt;=MAX('Per Line'!$V$2:$V$1001),MATCH(ROWS($U$2:$U62),'Per Line'!$V$2:$V$1001,0),"")</f>
        <v/>
      </c>
    </row>
    <row r="63">
      <c r="A63">
        <f>IF($U63="","",INDEX('Per Line'!$A$2:$A$1001,$U63)&amp;"")</f>
        <v/>
      </c>
      <c r="B63" s="12" t="n"/>
      <c r="C63">
        <f>IF($U63="","",INDEX('Per Line'!$B$2:$B$1001,$U63)&amp;"")</f>
        <v/>
      </c>
      <c r="D63">
        <f>IF($U63="","",INDEX('Per Line'!$C$2:$C$1001,$U63)&amp;"")</f>
        <v/>
      </c>
      <c r="E63">
        <f>IF($U63="","",INDEX('Per Line'!$D$2:$D$1001,$U63)&amp;"")</f>
        <v/>
      </c>
      <c r="F63">
        <f>IF($U63="","",INDEX('Per Line'!$E$2:$E$1001,$U63))</f>
        <v/>
      </c>
      <c r="G63" s="7">
        <f>IF($U63="","",F63*S63/100)</f>
        <v/>
      </c>
      <c r="H63">
        <f>IF($U63="","",INDEX('Per Line'!$O$2:$O$1001,$U63)&amp;"")</f>
        <v/>
      </c>
      <c r="I63" s="11">
        <f>IF($U63="","",INDEX('Per Line'!$Q$2:$Q$1001,$U63))</f>
        <v/>
      </c>
      <c r="J63">
        <f>IF($U63="","",INDEX('Per Line'!$R$2:$R$1001,$U63)&amp;"")</f>
        <v/>
      </c>
      <c r="K63">
        <f>IF($U63="","",Settings!$C$7)</f>
        <v/>
      </c>
      <c r="L63" s="7">
        <f>IF($U63="","",SUMIFS('Per Line'!$N$2:$N$1001,'Per Line'!$A$2:$A$1001,$A63,'Per Line'!$W$2:$W$1001,0))</f>
        <v/>
      </c>
      <c r="M63" s="7">
        <f>IF($U63="","",L63*K63)</f>
        <v/>
      </c>
      <c r="N63">
        <f>IF($U63="","",Settings!$C$6)</f>
        <v/>
      </c>
      <c r="O63" s="7">
        <f>IF($U63="","",SUMIFS('Per Line'!$N$2:$N$1001,'Per Line'!$A$2:$A$1001,$A63,'Per Line'!$W$2:$W$1001,1))</f>
        <v/>
      </c>
      <c r="P63" s="7">
        <f>IF($U63="","",O63*N63)</f>
        <v/>
      </c>
      <c r="Q63" s="7">
        <f>IF($U63="","",P63+M63)</f>
        <v/>
      </c>
      <c r="R63" s="7">
        <f>IF($U63="","",S63-Q63)</f>
        <v/>
      </c>
      <c r="S63" s="7">
        <f>IF($U63="","",L63+O63)</f>
        <v/>
      </c>
      <c r="T63" s="7">
        <f>IF($U63="","",S63-Q63-G63)</f>
        <v/>
      </c>
      <c r="U63" s="13">
        <f>IF(ROWS($U$2:$U63)&lt;=MAX('Per Line'!$V$2:$V$1001),MATCH(ROWS($U$2:$U63),'Per Line'!$V$2:$V$1001,0),"")</f>
        <v/>
      </c>
    </row>
    <row r="64">
      <c r="A64">
        <f>IF($U64="","",INDEX('Per Line'!$A$2:$A$1001,$U64)&amp;"")</f>
        <v/>
      </c>
      <c r="B64" s="12" t="n"/>
      <c r="C64">
        <f>IF($U64="","",INDEX('Per Line'!$B$2:$B$1001,$U64)&amp;"")</f>
        <v/>
      </c>
      <c r="D64">
        <f>IF($U64="","",INDEX('Per Line'!$C$2:$C$1001,$U64)&amp;"")</f>
        <v/>
      </c>
      <c r="E64">
        <f>IF($U64="","",INDEX('Per Line'!$D$2:$D$1001,$U64)&amp;"")</f>
        <v/>
      </c>
      <c r="F64">
        <f>IF($U64="","",INDEX('Per Line'!$E$2:$E$1001,$U64))</f>
        <v/>
      </c>
      <c r="G64" s="7">
        <f>IF($U64="","",F64*S64/100)</f>
        <v/>
      </c>
      <c r="H64">
        <f>IF($U64="","",INDEX('Per Line'!$O$2:$O$1001,$U64)&amp;"")</f>
        <v/>
      </c>
      <c r="I64" s="11">
        <f>IF($U64="","",INDEX('Per Line'!$Q$2:$Q$1001,$U64))</f>
        <v/>
      </c>
      <c r="J64">
        <f>IF($U64="","",INDEX('Per Line'!$R$2:$R$1001,$U64)&amp;"")</f>
        <v/>
      </c>
      <c r="K64">
        <f>IF($U64="","",Settings!$C$7)</f>
        <v/>
      </c>
      <c r="L64" s="7">
        <f>IF($U64="","",SUMIFS('Per Line'!$N$2:$N$1001,'Per Line'!$A$2:$A$1001,$A64,'Per Line'!$W$2:$W$1001,0))</f>
        <v/>
      </c>
      <c r="M64" s="7">
        <f>IF($U64="","",L64*K64)</f>
        <v/>
      </c>
      <c r="N64">
        <f>IF($U64="","",Settings!$C$6)</f>
        <v/>
      </c>
      <c r="O64" s="7">
        <f>IF($U64="","",SUMIFS('Per Line'!$N$2:$N$1001,'Per Line'!$A$2:$A$1001,$A64,'Per Line'!$W$2:$W$1001,1))</f>
        <v/>
      </c>
      <c r="P64" s="7">
        <f>IF($U64="","",O64*N64)</f>
        <v/>
      </c>
      <c r="Q64" s="7">
        <f>IF($U64="","",P64+M64)</f>
        <v/>
      </c>
      <c r="R64" s="7">
        <f>IF($U64="","",S64-Q64)</f>
        <v/>
      </c>
      <c r="S64" s="7">
        <f>IF($U64="","",L64+O64)</f>
        <v/>
      </c>
      <c r="T64" s="7">
        <f>IF($U64="","",S64-Q64-G64)</f>
        <v/>
      </c>
      <c r="U64" s="13">
        <f>IF(ROWS($U$2:$U64)&lt;=MAX('Per Line'!$V$2:$V$1001),MATCH(ROWS($U$2:$U64),'Per Line'!$V$2:$V$1001,0),"")</f>
        <v/>
      </c>
    </row>
    <row r="65">
      <c r="A65">
        <f>IF($U65="","",INDEX('Per Line'!$A$2:$A$1001,$U65)&amp;"")</f>
        <v/>
      </c>
      <c r="B65" s="12" t="n"/>
      <c r="C65">
        <f>IF($U65="","",INDEX('Per Line'!$B$2:$B$1001,$U65)&amp;"")</f>
        <v/>
      </c>
      <c r="D65">
        <f>IF($U65="","",INDEX('Per Line'!$C$2:$C$1001,$U65)&amp;"")</f>
        <v/>
      </c>
      <c r="E65">
        <f>IF($U65="","",INDEX('Per Line'!$D$2:$D$1001,$U65)&amp;"")</f>
        <v/>
      </c>
      <c r="F65">
        <f>IF($U65="","",INDEX('Per Line'!$E$2:$E$1001,$U65))</f>
        <v/>
      </c>
      <c r="G65" s="7">
        <f>IF($U65="","",F65*S65/100)</f>
        <v/>
      </c>
      <c r="H65">
        <f>IF($U65="","",INDEX('Per Line'!$O$2:$O$1001,$U65)&amp;"")</f>
        <v/>
      </c>
      <c r="I65" s="11">
        <f>IF($U65="","",INDEX('Per Line'!$Q$2:$Q$1001,$U65))</f>
        <v/>
      </c>
      <c r="J65">
        <f>IF($U65="","",INDEX('Per Line'!$R$2:$R$1001,$U65)&amp;"")</f>
        <v/>
      </c>
      <c r="K65">
        <f>IF($U65="","",Settings!$C$7)</f>
        <v/>
      </c>
      <c r="L65" s="7">
        <f>IF($U65="","",SUMIFS('Per Line'!$N$2:$N$1001,'Per Line'!$A$2:$A$1001,$A65,'Per Line'!$W$2:$W$1001,0))</f>
        <v/>
      </c>
      <c r="M65" s="7">
        <f>IF($U65="","",L65*K65)</f>
        <v/>
      </c>
      <c r="N65">
        <f>IF($U65="","",Settings!$C$6)</f>
        <v/>
      </c>
      <c r="O65" s="7">
        <f>IF($U65="","",SUMIFS('Per Line'!$N$2:$N$1001,'Per Line'!$A$2:$A$1001,$A65,'Per Line'!$W$2:$W$1001,1))</f>
        <v/>
      </c>
      <c r="P65" s="7">
        <f>IF($U65="","",O65*N65)</f>
        <v/>
      </c>
      <c r="Q65" s="7">
        <f>IF($U65="","",P65+M65)</f>
        <v/>
      </c>
      <c r="R65" s="7">
        <f>IF($U65="","",S65-Q65)</f>
        <v/>
      </c>
      <c r="S65" s="7">
        <f>IF($U65="","",L65+O65)</f>
        <v/>
      </c>
      <c r="T65" s="7">
        <f>IF($U65="","",S65-Q65-G65)</f>
        <v/>
      </c>
      <c r="U65" s="13">
        <f>IF(ROWS($U$2:$U65)&lt;=MAX('Per Line'!$V$2:$V$1001),MATCH(ROWS($U$2:$U65),'Per Line'!$V$2:$V$1001,0),"")</f>
        <v/>
      </c>
    </row>
    <row r="66">
      <c r="A66">
        <f>IF($U66="","",INDEX('Per Line'!$A$2:$A$1001,$U66)&amp;"")</f>
        <v/>
      </c>
      <c r="B66" s="12" t="n"/>
      <c r="C66">
        <f>IF($U66="","",INDEX('Per Line'!$B$2:$B$1001,$U66)&amp;"")</f>
        <v/>
      </c>
      <c r="D66">
        <f>IF($U66="","",INDEX('Per Line'!$C$2:$C$1001,$U66)&amp;"")</f>
        <v/>
      </c>
      <c r="E66">
        <f>IF($U66="","",INDEX('Per Line'!$D$2:$D$1001,$U66)&amp;"")</f>
        <v/>
      </c>
      <c r="F66">
        <f>IF($U66="","",INDEX('Per Line'!$E$2:$E$1001,$U66))</f>
        <v/>
      </c>
      <c r="G66" s="7">
        <f>IF($U66="","",F66*S66/100)</f>
        <v/>
      </c>
      <c r="H66">
        <f>IF($U66="","",INDEX('Per Line'!$O$2:$O$1001,$U66)&amp;"")</f>
        <v/>
      </c>
      <c r="I66" s="11">
        <f>IF($U66="","",INDEX('Per Line'!$Q$2:$Q$1001,$U66))</f>
        <v/>
      </c>
      <c r="J66">
        <f>IF($U66="","",INDEX('Per Line'!$R$2:$R$1001,$U66)&amp;"")</f>
        <v/>
      </c>
      <c r="K66">
        <f>IF($U66="","",Settings!$C$7)</f>
        <v/>
      </c>
      <c r="L66" s="7">
        <f>IF($U66="","",SUMIFS('Per Line'!$N$2:$N$1001,'Per Line'!$A$2:$A$1001,$A66,'Per Line'!$W$2:$W$1001,0))</f>
        <v/>
      </c>
      <c r="M66" s="7">
        <f>IF($U66="","",L66*K66)</f>
        <v/>
      </c>
      <c r="N66">
        <f>IF($U66="","",Settings!$C$6)</f>
        <v/>
      </c>
      <c r="O66" s="7">
        <f>IF($U66="","",SUMIFS('Per Line'!$N$2:$N$1001,'Per Line'!$A$2:$A$1001,$A66,'Per Line'!$W$2:$W$1001,1))</f>
        <v/>
      </c>
      <c r="P66" s="7">
        <f>IF($U66="","",O66*N66)</f>
        <v/>
      </c>
      <c r="Q66" s="7">
        <f>IF($U66="","",P66+M66)</f>
        <v/>
      </c>
      <c r="R66" s="7">
        <f>IF($U66="","",S66-Q66)</f>
        <v/>
      </c>
      <c r="S66" s="7">
        <f>IF($U66="","",L66+O66)</f>
        <v/>
      </c>
      <c r="T66" s="7">
        <f>IF($U66="","",S66-Q66-G66)</f>
        <v/>
      </c>
      <c r="U66" s="13">
        <f>IF(ROWS($U$2:$U66)&lt;=MAX('Per Line'!$V$2:$V$1001),MATCH(ROWS($U$2:$U66),'Per Line'!$V$2:$V$1001,0),"")</f>
        <v/>
      </c>
    </row>
    <row r="67">
      <c r="A67">
        <f>IF($U67="","",INDEX('Per Line'!$A$2:$A$1001,$U67)&amp;"")</f>
        <v/>
      </c>
      <c r="B67" s="12" t="n"/>
      <c r="C67">
        <f>IF($U67="","",INDEX('Per Line'!$B$2:$B$1001,$U67)&amp;"")</f>
        <v/>
      </c>
      <c r="D67">
        <f>IF($U67="","",INDEX('Per Line'!$C$2:$C$1001,$U67)&amp;"")</f>
        <v/>
      </c>
      <c r="E67">
        <f>IF($U67="","",INDEX('Per Line'!$D$2:$D$1001,$U67)&amp;"")</f>
        <v/>
      </c>
      <c r="F67">
        <f>IF($U67="","",INDEX('Per Line'!$E$2:$E$1001,$U67))</f>
        <v/>
      </c>
      <c r="G67" s="7">
        <f>IF($U67="","",F67*S67/100)</f>
        <v/>
      </c>
      <c r="H67">
        <f>IF($U67="","",INDEX('Per Line'!$O$2:$O$1001,$U67)&amp;"")</f>
        <v/>
      </c>
      <c r="I67" s="11">
        <f>IF($U67="","",INDEX('Per Line'!$Q$2:$Q$1001,$U67))</f>
        <v/>
      </c>
      <c r="J67">
        <f>IF($U67="","",INDEX('Per Line'!$R$2:$R$1001,$U67)&amp;"")</f>
        <v/>
      </c>
      <c r="K67">
        <f>IF($U67="","",Settings!$C$7)</f>
        <v/>
      </c>
      <c r="L67" s="7">
        <f>IF($U67="","",SUMIFS('Per Line'!$N$2:$N$1001,'Per Line'!$A$2:$A$1001,$A67,'Per Line'!$W$2:$W$1001,0))</f>
        <v/>
      </c>
      <c r="M67" s="7">
        <f>IF($U67="","",L67*K67)</f>
        <v/>
      </c>
      <c r="N67">
        <f>IF($U67="","",Settings!$C$6)</f>
        <v/>
      </c>
      <c r="O67" s="7">
        <f>IF($U67="","",SUMIFS('Per Line'!$N$2:$N$1001,'Per Line'!$A$2:$A$1001,$A67,'Per Line'!$W$2:$W$1001,1))</f>
        <v/>
      </c>
      <c r="P67" s="7">
        <f>IF($U67="","",O67*N67)</f>
        <v/>
      </c>
      <c r="Q67" s="7">
        <f>IF($U67="","",P67+M67)</f>
        <v/>
      </c>
      <c r="R67" s="7">
        <f>IF($U67="","",S67-Q67)</f>
        <v/>
      </c>
      <c r="S67" s="7">
        <f>IF($U67="","",L67+O67)</f>
        <v/>
      </c>
      <c r="T67" s="7">
        <f>IF($U67="","",S67-Q67-G67)</f>
        <v/>
      </c>
      <c r="U67" s="13">
        <f>IF(ROWS($U$2:$U67)&lt;=MAX('Per Line'!$V$2:$V$1001),MATCH(ROWS($U$2:$U67),'Per Line'!$V$2:$V$1001,0),"")</f>
        <v/>
      </c>
    </row>
    <row r="68">
      <c r="A68">
        <f>IF($U68="","",INDEX('Per Line'!$A$2:$A$1001,$U68)&amp;"")</f>
        <v/>
      </c>
      <c r="B68" s="12" t="n"/>
      <c r="C68">
        <f>IF($U68="","",INDEX('Per Line'!$B$2:$B$1001,$U68)&amp;"")</f>
        <v/>
      </c>
      <c r="D68">
        <f>IF($U68="","",INDEX('Per Line'!$C$2:$C$1001,$U68)&amp;"")</f>
        <v/>
      </c>
      <c r="E68">
        <f>IF($U68="","",INDEX('Per Line'!$D$2:$D$1001,$U68)&amp;"")</f>
        <v/>
      </c>
      <c r="F68">
        <f>IF($U68="","",INDEX('Per Line'!$E$2:$E$1001,$U68))</f>
        <v/>
      </c>
      <c r="G68" s="7">
        <f>IF($U68="","",F68*S68/100)</f>
        <v/>
      </c>
      <c r="H68">
        <f>IF($U68="","",INDEX('Per Line'!$O$2:$O$1001,$U68)&amp;"")</f>
        <v/>
      </c>
      <c r="I68" s="11">
        <f>IF($U68="","",INDEX('Per Line'!$Q$2:$Q$1001,$U68))</f>
        <v/>
      </c>
      <c r="J68">
        <f>IF($U68="","",INDEX('Per Line'!$R$2:$R$1001,$U68)&amp;"")</f>
        <v/>
      </c>
      <c r="K68">
        <f>IF($U68="","",Settings!$C$7)</f>
        <v/>
      </c>
      <c r="L68" s="7">
        <f>IF($U68="","",SUMIFS('Per Line'!$N$2:$N$1001,'Per Line'!$A$2:$A$1001,$A68,'Per Line'!$W$2:$W$1001,0))</f>
        <v/>
      </c>
      <c r="M68" s="7">
        <f>IF($U68="","",L68*K68)</f>
        <v/>
      </c>
      <c r="N68">
        <f>IF($U68="","",Settings!$C$6)</f>
        <v/>
      </c>
      <c r="O68" s="7">
        <f>IF($U68="","",SUMIFS('Per Line'!$N$2:$N$1001,'Per Line'!$A$2:$A$1001,$A68,'Per Line'!$W$2:$W$1001,1))</f>
        <v/>
      </c>
      <c r="P68" s="7">
        <f>IF($U68="","",O68*N68)</f>
        <v/>
      </c>
      <c r="Q68" s="7">
        <f>IF($U68="","",P68+M68)</f>
        <v/>
      </c>
      <c r="R68" s="7">
        <f>IF($U68="","",S68-Q68)</f>
        <v/>
      </c>
      <c r="S68" s="7">
        <f>IF($U68="","",L68+O68)</f>
        <v/>
      </c>
      <c r="T68" s="7">
        <f>IF($U68="","",S68-Q68-G68)</f>
        <v/>
      </c>
      <c r="U68" s="13">
        <f>IF(ROWS($U$2:$U68)&lt;=MAX('Per Line'!$V$2:$V$1001),MATCH(ROWS($U$2:$U68),'Per Line'!$V$2:$V$1001,0),"")</f>
        <v/>
      </c>
    </row>
    <row r="69">
      <c r="A69">
        <f>IF($U69="","",INDEX('Per Line'!$A$2:$A$1001,$U69)&amp;"")</f>
        <v/>
      </c>
      <c r="B69" s="12" t="n"/>
      <c r="C69">
        <f>IF($U69="","",INDEX('Per Line'!$B$2:$B$1001,$U69)&amp;"")</f>
        <v/>
      </c>
      <c r="D69">
        <f>IF($U69="","",INDEX('Per Line'!$C$2:$C$1001,$U69)&amp;"")</f>
        <v/>
      </c>
      <c r="E69">
        <f>IF($U69="","",INDEX('Per Line'!$D$2:$D$1001,$U69)&amp;"")</f>
        <v/>
      </c>
      <c r="F69">
        <f>IF($U69="","",INDEX('Per Line'!$E$2:$E$1001,$U69))</f>
        <v/>
      </c>
      <c r="G69" s="7">
        <f>IF($U69="","",F69*S69/100)</f>
        <v/>
      </c>
      <c r="H69">
        <f>IF($U69="","",INDEX('Per Line'!$O$2:$O$1001,$U69)&amp;"")</f>
        <v/>
      </c>
      <c r="I69" s="11">
        <f>IF($U69="","",INDEX('Per Line'!$Q$2:$Q$1001,$U69))</f>
        <v/>
      </c>
      <c r="J69">
        <f>IF($U69="","",INDEX('Per Line'!$R$2:$R$1001,$U69)&amp;"")</f>
        <v/>
      </c>
      <c r="K69">
        <f>IF($U69="","",Settings!$C$7)</f>
        <v/>
      </c>
      <c r="L69" s="7">
        <f>IF($U69="","",SUMIFS('Per Line'!$N$2:$N$1001,'Per Line'!$A$2:$A$1001,$A69,'Per Line'!$W$2:$W$1001,0))</f>
        <v/>
      </c>
      <c r="M69" s="7">
        <f>IF($U69="","",L69*K69)</f>
        <v/>
      </c>
      <c r="N69">
        <f>IF($U69="","",Settings!$C$6)</f>
        <v/>
      </c>
      <c r="O69" s="7">
        <f>IF($U69="","",SUMIFS('Per Line'!$N$2:$N$1001,'Per Line'!$A$2:$A$1001,$A69,'Per Line'!$W$2:$W$1001,1))</f>
        <v/>
      </c>
      <c r="P69" s="7">
        <f>IF($U69="","",O69*N69)</f>
        <v/>
      </c>
      <c r="Q69" s="7">
        <f>IF($U69="","",P69+M69)</f>
        <v/>
      </c>
      <c r="R69" s="7">
        <f>IF($U69="","",S69-Q69)</f>
        <v/>
      </c>
      <c r="S69" s="7">
        <f>IF($U69="","",L69+O69)</f>
        <v/>
      </c>
      <c r="T69" s="7">
        <f>IF($U69="","",S69-Q69-G69)</f>
        <v/>
      </c>
      <c r="U69" s="13">
        <f>IF(ROWS($U$2:$U69)&lt;=MAX('Per Line'!$V$2:$V$1001),MATCH(ROWS($U$2:$U69),'Per Line'!$V$2:$V$1001,0),"")</f>
        <v/>
      </c>
    </row>
    <row r="70">
      <c r="A70">
        <f>IF($U70="","",INDEX('Per Line'!$A$2:$A$1001,$U70)&amp;"")</f>
        <v/>
      </c>
      <c r="B70" s="12" t="n"/>
      <c r="C70">
        <f>IF($U70="","",INDEX('Per Line'!$B$2:$B$1001,$U70)&amp;"")</f>
        <v/>
      </c>
      <c r="D70">
        <f>IF($U70="","",INDEX('Per Line'!$C$2:$C$1001,$U70)&amp;"")</f>
        <v/>
      </c>
      <c r="E70">
        <f>IF($U70="","",INDEX('Per Line'!$D$2:$D$1001,$U70)&amp;"")</f>
        <v/>
      </c>
      <c r="F70">
        <f>IF($U70="","",INDEX('Per Line'!$E$2:$E$1001,$U70))</f>
        <v/>
      </c>
      <c r="G70" s="7">
        <f>IF($U70="","",F70*S70/100)</f>
        <v/>
      </c>
      <c r="H70">
        <f>IF($U70="","",INDEX('Per Line'!$O$2:$O$1001,$U70)&amp;"")</f>
        <v/>
      </c>
      <c r="I70" s="11">
        <f>IF($U70="","",INDEX('Per Line'!$Q$2:$Q$1001,$U70))</f>
        <v/>
      </c>
      <c r="J70">
        <f>IF($U70="","",INDEX('Per Line'!$R$2:$R$1001,$U70)&amp;"")</f>
        <v/>
      </c>
      <c r="K70">
        <f>IF($U70="","",Settings!$C$7)</f>
        <v/>
      </c>
      <c r="L70" s="7">
        <f>IF($U70="","",SUMIFS('Per Line'!$N$2:$N$1001,'Per Line'!$A$2:$A$1001,$A70,'Per Line'!$W$2:$W$1001,0))</f>
        <v/>
      </c>
      <c r="M70" s="7">
        <f>IF($U70="","",L70*K70)</f>
        <v/>
      </c>
      <c r="N70">
        <f>IF($U70="","",Settings!$C$6)</f>
        <v/>
      </c>
      <c r="O70" s="7">
        <f>IF($U70="","",SUMIFS('Per Line'!$N$2:$N$1001,'Per Line'!$A$2:$A$1001,$A70,'Per Line'!$W$2:$W$1001,1))</f>
        <v/>
      </c>
      <c r="P70" s="7">
        <f>IF($U70="","",O70*N70)</f>
        <v/>
      </c>
      <c r="Q70" s="7">
        <f>IF($U70="","",P70+M70)</f>
        <v/>
      </c>
      <c r="R70" s="7">
        <f>IF($U70="","",S70-Q70)</f>
        <v/>
      </c>
      <c r="S70" s="7">
        <f>IF($U70="","",L70+O70)</f>
        <v/>
      </c>
      <c r="T70" s="7">
        <f>IF($U70="","",S70-Q70-G70)</f>
        <v/>
      </c>
      <c r="U70" s="13">
        <f>IF(ROWS($U$2:$U70)&lt;=MAX('Per Line'!$V$2:$V$1001),MATCH(ROWS($U$2:$U70),'Per Line'!$V$2:$V$1001,0),"")</f>
        <v/>
      </c>
    </row>
    <row r="71">
      <c r="A71">
        <f>IF($U71="","",INDEX('Per Line'!$A$2:$A$1001,$U71)&amp;"")</f>
        <v/>
      </c>
      <c r="B71" s="12" t="n"/>
      <c r="C71">
        <f>IF($U71="","",INDEX('Per Line'!$B$2:$B$1001,$U71)&amp;"")</f>
        <v/>
      </c>
      <c r="D71">
        <f>IF($U71="","",INDEX('Per Line'!$C$2:$C$1001,$U71)&amp;"")</f>
        <v/>
      </c>
      <c r="E71">
        <f>IF($U71="","",INDEX('Per Line'!$D$2:$D$1001,$U71)&amp;"")</f>
        <v/>
      </c>
      <c r="F71">
        <f>IF($U71="","",INDEX('Per Line'!$E$2:$E$1001,$U71))</f>
        <v/>
      </c>
      <c r="G71" s="7">
        <f>IF($U71="","",F71*S71/100)</f>
        <v/>
      </c>
      <c r="H71">
        <f>IF($U71="","",INDEX('Per Line'!$O$2:$O$1001,$U71)&amp;"")</f>
        <v/>
      </c>
      <c r="I71" s="11">
        <f>IF($U71="","",INDEX('Per Line'!$Q$2:$Q$1001,$U71))</f>
        <v/>
      </c>
      <c r="J71">
        <f>IF($U71="","",INDEX('Per Line'!$R$2:$R$1001,$U71)&amp;"")</f>
        <v/>
      </c>
      <c r="K71">
        <f>IF($U71="","",Settings!$C$7)</f>
        <v/>
      </c>
      <c r="L71" s="7">
        <f>IF($U71="","",SUMIFS('Per Line'!$N$2:$N$1001,'Per Line'!$A$2:$A$1001,$A71,'Per Line'!$W$2:$W$1001,0))</f>
        <v/>
      </c>
      <c r="M71" s="7">
        <f>IF($U71="","",L71*K71)</f>
        <v/>
      </c>
      <c r="N71">
        <f>IF($U71="","",Settings!$C$6)</f>
        <v/>
      </c>
      <c r="O71" s="7">
        <f>IF($U71="","",SUMIFS('Per Line'!$N$2:$N$1001,'Per Line'!$A$2:$A$1001,$A71,'Per Line'!$W$2:$W$1001,1))</f>
        <v/>
      </c>
      <c r="P71" s="7">
        <f>IF($U71="","",O71*N71)</f>
        <v/>
      </c>
      <c r="Q71" s="7">
        <f>IF($U71="","",P71+M71)</f>
        <v/>
      </c>
      <c r="R71" s="7">
        <f>IF($U71="","",S71-Q71)</f>
        <v/>
      </c>
      <c r="S71" s="7">
        <f>IF($U71="","",L71+O71)</f>
        <v/>
      </c>
      <c r="T71" s="7">
        <f>IF($U71="","",S71-Q71-G71)</f>
        <v/>
      </c>
      <c r="U71" s="13">
        <f>IF(ROWS($U$2:$U71)&lt;=MAX('Per Line'!$V$2:$V$1001),MATCH(ROWS($U$2:$U71),'Per Line'!$V$2:$V$1001,0),"")</f>
        <v/>
      </c>
    </row>
    <row r="72">
      <c r="A72">
        <f>IF($U72="","",INDEX('Per Line'!$A$2:$A$1001,$U72)&amp;"")</f>
        <v/>
      </c>
      <c r="B72" s="12" t="n"/>
      <c r="C72">
        <f>IF($U72="","",INDEX('Per Line'!$B$2:$B$1001,$U72)&amp;"")</f>
        <v/>
      </c>
      <c r="D72">
        <f>IF($U72="","",INDEX('Per Line'!$C$2:$C$1001,$U72)&amp;"")</f>
        <v/>
      </c>
      <c r="E72">
        <f>IF($U72="","",INDEX('Per Line'!$D$2:$D$1001,$U72)&amp;"")</f>
        <v/>
      </c>
      <c r="F72">
        <f>IF($U72="","",INDEX('Per Line'!$E$2:$E$1001,$U72))</f>
        <v/>
      </c>
      <c r="G72" s="7">
        <f>IF($U72="","",F72*S72/100)</f>
        <v/>
      </c>
      <c r="H72">
        <f>IF($U72="","",INDEX('Per Line'!$O$2:$O$1001,$U72)&amp;"")</f>
        <v/>
      </c>
      <c r="I72" s="11">
        <f>IF($U72="","",INDEX('Per Line'!$Q$2:$Q$1001,$U72))</f>
        <v/>
      </c>
      <c r="J72">
        <f>IF($U72="","",INDEX('Per Line'!$R$2:$R$1001,$U72)&amp;"")</f>
        <v/>
      </c>
      <c r="K72">
        <f>IF($U72="","",Settings!$C$7)</f>
        <v/>
      </c>
      <c r="L72" s="7">
        <f>IF($U72="","",SUMIFS('Per Line'!$N$2:$N$1001,'Per Line'!$A$2:$A$1001,$A72,'Per Line'!$W$2:$W$1001,0))</f>
        <v/>
      </c>
      <c r="M72" s="7">
        <f>IF($U72="","",L72*K72)</f>
        <v/>
      </c>
      <c r="N72">
        <f>IF($U72="","",Settings!$C$6)</f>
        <v/>
      </c>
      <c r="O72" s="7">
        <f>IF($U72="","",SUMIFS('Per Line'!$N$2:$N$1001,'Per Line'!$A$2:$A$1001,$A72,'Per Line'!$W$2:$W$1001,1))</f>
        <v/>
      </c>
      <c r="P72" s="7">
        <f>IF($U72="","",O72*N72)</f>
        <v/>
      </c>
      <c r="Q72" s="7">
        <f>IF($U72="","",P72+M72)</f>
        <v/>
      </c>
      <c r="R72" s="7">
        <f>IF($U72="","",S72-Q72)</f>
        <v/>
      </c>
      <c r="S72" s="7">
        <f>IF($U72="","",L72+O72)</f>
        <v/>
      </c>
      <c r="T72" s="7">
        <f>IF($U72="","",S72-Q72-G72)</f>
        <v/>
      </c>
      <c r="U72" s="13">
        <f>IF(ROWS($U$2:$U72)&lt;=MAX('Per Line'!$V$2:$V$1001),MATCH(ROWS($U$2:$U72),'Per Line'!$V$2:$V$1001,0),"")</f>
        <v/>
      </c>
    </row>
    <row r="73">
      <c r="A73">
        <f>IF($U73="","",INDEX('Per Line'!$A$2:$A$1001,$U73)&amp;"")</f>
        <v/>
      </c>
      <c r="B73" s="12" t="n"/>
      <c r="C73">
        <f>IF($U73="","",INDEX('Per Line'!$B$2:$B$1001,$U73)&amp;"")</f>
        <v/>
      </c>
      <c r="D73">
        <f>IF($U73="","",INDEX('Per Line'!$C$2:$C$1001,$U73)&amp;"")</f>
        <v/>
      </c>
      <c r="E73">
        <f>IF($U73="","",INDEX('Per Line'!$D$2:$D$1001,$U73)&amp;"")</f>
        <v/>
      </c>
      <c r="F73">
        <f>IF($U73="","",INDEX('Per Line'!$E$2:$E$1001,$U73))</f>
        <v/>
      </c>
      <c r="G73" s="7">
        <f>IF($U73="","",F73*S73/100)</f>
        <v/>
      </c>
      <c r="H73">
        <f>IF($U73="","",INDEX('Per Line'!$O$2:$O$1001,$U73)&amp;"")</f>
        <v/>
      </c>
      <c r="I73" s="11">
        <f>IF($U73="","",INDEX('Per Line'!$Q$2:$Q$1001,$U73))</f>
        <v/>
      </c>
      <c r="J73">
        <f>IF($U73="","",INDEX('Per Line'!$R$2:$R$1001,$U73)&amp;"")</f>
        <v/>
      </c>
      <c r="K73">
        <f>IF($U73="","",Settings!$C$7)</f>
        <v/>
      </c>
      <c r="L73" s="7">
        <f>IF($U73="","",SUMIFS('Per Line'!$N$2:$N$1001,'Per Line'!$A$2:$A$1001,$A73,'Per Line'!$W$2:$W$1001,0))</f>
        <v/>
      </c>
      <c r="M73" s="7">
        <f>IF($U73="","",L73*K73)</f>
        <v/>
      </c>
      <c r="N73">
        <f>IF($U73="","",Settings!$C$6)</f>
        <v/>
      </c>
      <c r="O73" s="7">
        <f>IF($U73="","",SUMIFS('Per Line'!$N$2:$N$1001,'Per Line'!$A$2:$A$1001,$A73,'Per Line'!$W$2:$W$1001,1))</f>
        <v/>
      </c>
      <c r="P73" s="7">
        <f>IF($U73="","",O73*N73)</f>
        <v/>
      </c>
      <c r="Q73" s="7">
        <f>IF($U73="","",P73+M73)</f>
        <v/>
      </c>
      <c r="R73" s="7">
        <f>IF($U73="","",S73-Q73)</f>
        <v/>
      </c>
      <c r="S73" s="7">
        <f>IF($U73="","",L73+O73)</f>
        <v/>
      </c>
      <c r="T73" s="7">
        <f>IF($U73="","",S73-Q73-G73)</f>
        <v/>
      </c>
      <c r="U73" s="13">
        <f>IF(ROWS($U$2:$U73)&lt;=MAX('Per Line'!$V$2:$V$1001),MATCH(ROWS($U$2:$U73),'Per Line'!$V$2:$V$1001,0),"")</f>
        <v/>
      </c>
    </row>
    <row r="74">
      <c r="A74">
        <f>IF($U74="","",INDEX('Per Line'!$A$2:$A$1001,$U74)&amp;"")</f>
        <v/>
      </c>
      <c r="B74" s="12" t="n"/>
      <c r="C74">
        <f>IF($U74="","",INDEX('Per Line'!$B$2:$B$1001,$U74)&amp;"")</f>
        <v/>
      </c>
      <c r="D74">
        <f>IF($U74="","",INDEX('Per Line'!$C$2:$C$1001,$U74)&amp;"")</f>
        <v/>
      </c>
      <c r="E74">
        <f>IF($U74="","",INDEX('Per Line'!$D$2:$D$1001,$U74)&amp;"")</f>
        <v/>
      </c>
      <c r="F74">
        <f>IF($U74="","",INDEX('Per Line'!$E$2:$E$1001,$U74))</f>
        <v/>
      </c>
      <c r="G74" s="7">
        <f>IF($U74="","",F74*S74/100)</f>
        <v/>
      </c>
      <c r="H74">
        <f>IF($U74="","",INDEX('Per Line'!$O$2:$O$1001,$U74)&amp;"")</f>
        <v/>
      </c>
      <c r="I74" s="11">
        <f>IF($U74="","",INDEX('Per Line'!$Q$2:$Q$1001,$U74))</f>
        <v/>
      </c>
      <c r="J74">
        <f>IF($U74="","",INDEX('Per Line'!$R$2:$R$1001,$U74)&amp;"")</f>
        <v/>
      </c>
      <c r="K74">
        <f>IF($U74="","",Settings!$C$7)</f>
        <v/>
      </c>
      <c r="L74" s="7">
        <f>IF($U74="","",SUMIFS('Per Line'!$N$2:$N$1001,'Per Line'!$A$2:$A$1001,$A74,'Per Line'!$W$2:$W$1001,0))</f>
        <v/>
      </c>
      <c r="M74" s="7">
        <f>IF($U74="","",L74*K74)</f>
        <v/>
      </c>
      <c r="N74">
        <f>IF($U74="","",Settings!$C$6)</f>
        <v/>
      </c>
      <c r="O74" s="7">
        <f>IF($U74="","",SUMIFS('Per Line'!$N$2:$N$1001,'Per Line'!$A$2:$A$1001,$A74,'Per Line'!$W$2:$W$1001,1))</f>
        <v/>
      </c>
      <c r="P74" s="7">
        <f>IF($U74="","",O74*N74)</f>
        <v/>
      </c>
      <c r="Q74" s="7">
        <f>IF($U74="","",P74+M74)</f>
        <v/>
      </c>
      <c r="R74" s="7">
        <f>IF($U74="","",S74-Q74)</f>
        <v/>
      </c>
      <c r="S74" s="7">
        <f>IF($U74="","",L74+O74)</f>
        <v/>
      </c>
      <c r="T74" s="7">
        <f>IF($U74="","",S74-Q74-G74)</f>
        <v/>
      </c>
      <c r="U74" s="13">
        <f>IF(ROWS($U$2:$U74)&lt;=MAX('Per Line'!$V$2:$V$1001),MATCH(ROWS($U$2:$U74),'Per Line'!$V$2:$V$1001,0),"")</f>
        <v/>
      </c>
    </row>
    <row r="75">
      <c r="A75">
        <f>IF($U75="","",INDEX('Per Line'!$A$2:$A$1001,$U75)&amp;"")</f>
        <v/>
      </c>
      <c r="B75" s="12" t="n"/>
      <c r="C75">
        <f>IF($U75="","",INDEX('Per Line'!$B$2:$B$1001,$U75)&amp;"")</f>
        <v/>
      </c>
      <c r="D75">
        <f>IF($U75="","",INDEX('Per Line'!$C$2:$C$1001,$U75)&amp;"")</f>
        <v/>
      </c>
      <c r="E75">
        <f>IF($U75="","",INDEX('Per Line'!$D$2:$D$1001,$U75)&amp;"")</f>
        <v/>
      </c>
      <c r="F75">
        <f>IF($U75="","",INDEX('Per Line'!$E$2:$E$1001,$U75))</f>
        <v/>
      </c>
      <c r="G75" s="7">
        <f>IF($U75="","",F75*S75/100)</f>
        <v/>
      </c>
      <c r="H75">
        <f>IF($U75="","",INDEX('Per Line'!$O$2:$O$1001,$U75)&amp;"")</f>
        <v/>
      </c>
      <c r="I75" s="11">
        <f>IF($U75="","",INDEX('Per Line'!$Q$2:$Q$1001,$U75))</f>
        <v/>
      </c>
      <c r="J75">
        <f>IF($U75="","",INDEX('Per Line'!$R$2:$R$1001,$U75)&amp;"")</f>
        <v/>
      </c>
      <c r="K75">
        <f>IF($U75="","",Settings!$C$7)</f>
        <v/>
      </c>
      <c r="L75" s="7">
        <f>IF($U75="","",SUMIFS('Per Line'!$N$2:$N$1001,'Per Line'!$A$2:$A$1001,$A75,'Per Line'!$W$2:$W$1001,0))</f>
        <v/>
      </c>
      <c r="M75" s="7">
        <f>IF($U75="","",L75*K75)</f>
        <v/>
      </c>
      <c r="N75">
        <f>IF($U75="","",Settings!$C$6)</f>
        <v/>
      </c>
      <c r="O75" s="7">
        <f>IF($U75="","",SUMIFS('Per Line'!$N$2:$N$1001,'Per Line'!$A$2:$A$1001,$A75,'Per Line'!$W$2:$W$1001,1))</f>
        <v/>
      </c>
      <c r="P75" s="7">
        <f>IF($U75="","",O75*N75)</f>
        <v/>
      </c>
      <c r="Q75" s="7">
        <f>IF($U75="","",P75+M75)</f>
        <v/>
      </c>
      <c r="R75" s="7">
        <f>IF($U75="","",S75-Q75)</f>
        <v/>
      </c>
      <c r="S75" s="7">
        <f>IF($U75="","",L75+O75)</f>
        <v/>
      </c>
      <c r="T75" s="7">
        <f>IF($U75="","",S75-Q75-G75)</f>
        <v/>
      </c>
      <c r="U75" s="13">
        <f>IF(ROWS($U$2:$U75)&lt;=MAX('Per Line'!$V$2:$V$1001),MATCH(ROWS($U$2:$U75),'Per Line'!$V$2:$V$1001,0),"")</f>
        <v/>
      </c>
    </row>
    <row r="76">
      <c r="A76">
        <f>IF($U76="","",INDEX('Per Line'!$A$2:$A$1001,$U76)&amp;"")</f>
        <v/>
      </c>
      <c r="B76" s="12" t="n"/>
      <c r="C76">
        <f>IF($U76="","",INDEX('Per Line'!$B$2:$B$1001,$U76)&amp;"")</f>
        <v/>
      </c>
      <c r="D76">
        <f>IF($U76="","",INDEX('Per Line'!$C$2:$C$1001,$U76)&amp;"")</f>
        <v/>
      </c>
      <c r="E76">
        <f>IF($U76="","",INDEX('Per Line'!$D$2:$D$1001,$U76)&amp;"")</f>
        <v/>
      </c>
      <c r="F76">
        <f>IF($U76="","",INDEX('Per Line'!$E$2:$E$1001,$U76))</f>
        <v/>
      </c>
      <c r="G76" s="7">
        <f>IF($U76="","",F76*S76/100)</f>
        <v/>
      </c>
      <c r="H76">
        <f>IF($U76="","",INDEX('Per Line'!$O$2:$O$1001,$U76)&amp;"")</f>
        <v/>
      </c>
      <c r="I76" s="11">
        <f>IF($U76="","",INDEX('Per Line'!$Q$2:$Q$1001,$U76))</f>
        <v/>
      </c>
      <c r="J76">
        <f>IF($U76="","",INDEX('Per Line'!$R$2:$R$1001,$U76)&amp;"")</f>
        <v/>
      </c>
      <c r="K76">
        <f>IF($U76="","",Settings!$C$7)</f>
        <v/>
      </c>
      <c r="L76" s="7">
        <f>IF($U76="","",SUMIFS('Per Line'!$N$2:$N$1001,'Per Line'!$A$2:$A$1001,$A76,'Per Line'!$W$2:$W$1001,0))</f>
        <v/>
      </c>
      <c r="M76" s="7">
        <f>IF($U76="","",L76*K76)</f>
        <v/>
      </c>
      <c r="N76">
        <f>IF($U76="","",Settings!$C$6)</f>
        <v/>
      </c>
      <c r="O76" s="7">
        <f>IF($U76="","",SUMIFS('Per Line'!$N$2:$N$1001,'Per Line'!$A$2:$A$1001,$A76,'Per Line'!$W$2:$W$1001,1))</f>
        <v/>
      </c>
      <c r="P76" s="7">
        <f>IF($U76="","",O76*N76)</f>
        <v/>
      </c>
      <c r="Q76" s="7">
        <f>IF($U76="","",P76+M76)</f>
        <v/>
      </c>
      <c r="R76" s="7">
        <f>IF($U76="","",S76-Q76)</f>
        <v/>
      </c>
      <c r="S76" s="7">
        <f>IF($U76="","",L76+O76)</f>
        <v/>
      </c>
      <c r="T76" s="7">
        <f>IF($U76="","",S76-Q76-G76)</f>
        <v/>
      </c>
      <c r="U76" s="13">
        <f>IF(ROWS($U$2:$U76)&lt;=MAX('Per Line'!$V$2:$V$1001),MATCH(ROWS($U$2:$U76),'Per Line'!$V$2:$V$1001,0),"")</f>
        <v/>
      </c>
    </row>
    <row r="77">
      <c r="A77">
        <f>IF($U77="","",INDEX('Per Line'!$A$2:$A$1001,$U77)&amp;"")</f>
        <v/>
      </c>
      <c r="B77" s="12" t="n"/>
      <c r="C77">
        <f>IF($U77="","",INDEX('Per Line'!$B$2:$B$1001,$U77)&amp;"")</f>
        <v/>
      </c>
      <c r="D77">
        <f>IF($U77="","",INDEX('Per Line'!$C$2:$C$1001,$U77)&amp;"")</f>
        <v/>
      </c>
      <c r="E77">
        <f>IF($U77="","",INDEX('Per Line'!$D$2:$D$1001,$U77)&amp;"")</f>
        <v/>
      </c>
      <c r="F77">
        <f>IF($U77="","",INDEX('Per Line'!$E$2:$E$1001,$U77))</f>
        <v/>
      </c>
      <c r="G77" s="7">
        <f>IF($U77="","",F77*S77/100)</f>
        <v/>
      </c>
      <c r="H77">
        <f>IF($U77="","",INDEX('Per Line'!$O$2:$O$1001,$U77)&amp;"")</f>
        <v/>
      </c>
      <c r="I77" s="11">
        <f>IF($U77="","",INDEX('Per Line'!$Q$2:$Q$1001,$U77))</f>
        <v/>
      </c>
      <c r="J77">
        <f>IF($U77="","",INDEX('Per Line'!$R$2:$R$1001,$U77)&amp;"")</f>
        <v/>
      </c>
      <c r="K77">
        <f>IF($U77="","",Settings!$C$7)</f>
        <v/>
      </c>
      <c r="L77" s="7">
        <f>IF($U77="","",SUMIFS('Per Line'!$N$2:$N$1001,'Per Line'!$A$2:$A$1001,$A77,'Per Line'!$W$2:$W$1001,0))</f>
        <v/>
      </c>
      <c r="M77" s="7">
        <f>IF($U77="","",L77*K77)</f>
        <v/>
      </c>
      <c r="N77">
        <f>IF($U77="","",Settings!$C$6)</f>
        <v/>
      </c>
      <c r="O77" s="7">
        <f>IF($U77="","",SUMIFS('Per Line'!$N$2:$N$1001,'Per Line'!$A$2:$A$1001,$A77,'Per Line'!$W$2:$W$1001,1))</f>
        <v/>
      </c>
      <c r="P77" s="7">
        <f>IF($U77="","",O77*N77)</f>
        <v/>
      </c>
      <c r="Q77" s="7">
        <f>IF($U77="","",P77+M77)</f>
        <v/>
      </c>
      <c r="R77" s="7">
        <f>IF($U77="","",S77-Q77)</f>
        <v/>
      </c>
      <c r="S77" s="7">
        <f>IF($U77="","",L77+O77)</f>
        <v/>
      </c>
      <c r="T77" s="7">
        <f>IF($U77="","",S77-Q77-G77)</f>
        <v/>
      </c>
      <c r="U77" s="13">
        <f>IF(ROWS($U$2:$U77)&lt;=MAX('Per Line'!$V$2:$V$1001),MATCH(ROWS($U$2:$U77),'Per Line'!$V$2:$V$1001,0),"")</f>
        <v/>
      </c>
    </row>
    <row r="78">
      <c r="A78">
        <f>IF($U78="","",INDEX('Per Line'!$A$2:$A$1001,$U78)&amp;"")</f>
        <v/>
      </c>
      <c r="B78" s="12" t="n"/>
      <c r="C78">
        <f>IF($U78="","",INDEX('Per Line'!$B$2:$B$1001,$U78)&amp;"")</f>
        <v/>
      </c>
      <c r="D78">
        <f>IF($U78="","",INDEX('Per Line'!$C$2:$C$1001,$U78)&amp;"")</f>
        <v/>
      </c>
      <c r="E78">
        <f>IF($U78="","",INDEX('Per Line'!$D$2:$D$1001,$U78)&amp;"")</f>
        <v/>
      </c>
      <c r="F78">
        <f>IF($U78="","",INDEX('Per Line'!$E$2:$E$1001,$U78))</f>
        <v/>
      </c>
      <c r="G78" s="7">
        <f>IF($U78="","",F78*S78/100)</f>
        <v/>
      </c>
      <c r="H78">
        <f>IF($U78="","",INDEX('Per Line'!$O$2:$O$1001,$U78)&amp;"")</f>
        <v/>
      </c>
      <c r="I78" s="11">
        <f>IF($U78="","",INDEX('Per Line'!$Q$2:$Q$1001,$U78))</f>
        <v/>
      </c>
      <c r="J78">
        <f>IF($U78="","",INDEX('Per Line'!$R$2:$R$1001,$U78)&amp;"")</f>
        <v/>
      </c>
      <c r="K78">
        <f>IF($U78="","",Settings!$C$7)</f>
        <v/>
      </c>
      <c r="L78" s="7">
        <f>IF($U78="","",SUMIFS('Per Line'!$N$2:$N$1001,'Per Line'!$A$2:$A$1001,$A78,'Per Line'!$W$2:$W$1001,0))</f>
        <v/>
      </c>
      <c r="M78" s="7">
        <f>IF($U78="","",L78*K78)</f>
        <v/>
      </c>
      <c r="N78">
        <f>IF($U78="","",Settings!$C$6)</f>
        <v/>
      </c>
      <c r="O78" s="7">
        <f>IF($U78="","",SUMIFS('Per Line'!$N$2:$N$1001,'Per Line'!$A$2:$A$1001,$A78,'Per Line'!$W$2:$W$1001,1))</f>
        <v/>
      </c>
      <c r="P78" s="7">
        <f>IF($U78="","",O78*N78)</f>
        <v/>
      </c>
      <c r="Q78" s="7">
        <f>IF($U78="","",P78+M78)</f>
        <v/>
      </c>
      <c r="R78" s="7">
        <f>IF($U78="","",S78-Q78)</f>
        <v/>
      </c>
      <c r="S78" s="7">
        <f>IF($U78="","",L78+O78)</f>
        <v/>
      </c>
      <c r="T78" s="7">
        <f>IF($U78="","",S78-Q78-G78)</f>
        <v/>
      </c>
      <c r="U78" s="13">
        <f>IF(ROWS($U$2:$U78)&lt;=MAX('Per Line'!$V$2:$V$1001),MATCH(ROWS($U$2:$U78),'Per Line'!$V$2:$V$1001,0),"")</f>
        <v/>
      </c>
    </row>
    <row r="79">
      <c r="A79">
        <f>IF($U79="","",INDEX('Per Line'!$A$2:$A$1001,$U79)&amp;"")</f>
        <v/>
      </c>
      <c r="B79" s="12" t="n"/>
      <c r="C79">
        <f>IF($U79="","",INDEX('Per Line'!$B$2:$B$1001,$U79)&amp;"")</f>
        <v/>
      </c>
      <c r="D79">
        <f>IF($U79="","",INDEX('Per Line'!$C$2:$C$1001,$U79)&amp;"")</f>
        <v/>
      </c>
      <c r="E79">
        <f>IF($U79="","",INDEX('Per Line'!$D$2:$D$1001,$U79)&amp;"")</f>
        <v/>
      </c>
      <c r="F79">
        <f>IF($U79="","",INDEX('Per Line'!$E$2:$E$1001,$U79))</f>
        <v/>
      </c>
      <c r="G79" s="7">
        <f>IF($U79="","",F79*S79/100)</f>
        <v/>
      </c>
      <c r="H79">
        <f>IF($U79="","",INDEX('Per Line'!$O$2:$O$1001,$U79)&amp;"")</f>
        <v/>
      </c>
      <c r="I79" s="11">
        <f>IF($U79="","",INDEX('Per Line'!$Q$2:$Q$1001,$U79))</f>
        <v/>
      </c>
      <c r="J79">
        <f>IF($U79="","",INDEX('Per Line'!$R$2:$R$1001,$U79)&amp;"")</f>
        <v/>
      </c>
      <c r="K79">
        <f>IF($U79="","",Settings!$C$7)</f>
        <v/>
      </c>
      <c r="L79" s="7">
        <f>IF($U79="","",SUMIFS('Per Line'!$N$2:$N$1001,'Per Line'!$A$2:$A$1001,$A79,'Per Line'!$W$2:$W$1001,0))</f>
        <v/>
      </c>
      <c r="M79" s="7">
        <f>IF($U79="","",L79*K79)</f>
        <v/>
      </c>
      <c r="N79">
        <f>IF($U79="","",Settings!$C$6)</f>
        <v/>
      </c>
      <c r="O79" s="7">
        <f>IF($U79="","",SUMIFS('Per Line'!$N$2:$N$1001,'Per Line'!$A$2:$A$1001,$A79,'Per Line'!$W$2:$W$1001,1))</f>
        <v/>
      </c>
      <c r="P79" s="7">
        <f>IF($U79="","",O79*N79)</f>
        <v/>
      </c>
      <c r="Q79" s="7">
        <f>IF($U79="","",P79+M79)</f>
        <v/>
      </c>
      <c r="R79" s="7">
        <f>IF($U79="","",S79-Q79)</f>
        <v/>
      </c>
      <c r="S79" s="7">
        <f>IF($U79="","",L79+O79)</f>
        <v/>
      </c>
      <c r="T79" s="7">
        <f>IF($U79="","",S79-Q79-G79)</f>
        <v/>
      </c>
      <c r="U79" s="13">
        <f>IF(ROWS($U$2:$U79)&lt;=MAX('Per Line'!$V$2:$V$1001),MATCH(ROWS($U$2:$U79),'Per Line'!$V$2:$V$1001,0),"")</f>
        <v/>
      </c>
    </row>
    <row r="80">
      <c r="A80">
        <f>IF($U80="","",INDEX('Per Line'!$A$2:$A$1001,$U80)&amp;"")</f>
        <v/>
      </c>
      <c r="B80" s="12" t="n"/>
      <c r="C80">
        <f>IF($U80="","",INDEX('Per Line'!$B$2:$B$1001,$U80)&amp;"")</f>
        <v/>
      </c>
      <c r="D80">
        <f>IF($U80="","",INDEX('Per Line'!$C$2:$C$1001,$U80)&amp;"")</f>
        <v/>
      </c>
      <c r="E80">
        <f>IF($U80="","",INDEX('Per Line'!$D$2:$D$1001,$U80)&amp;"")</f>
        <v/>
      </c>
      <c r="F80">
        <f>IF($U80="","",INDEX('Per Line'!$E$2:$E$1001,$U80))</f>
        <v/>
      </c>
      <c r="G80" s="7">
        <f>IF($U80="","",F80*S80/100)</f>
        <v/>
      </c>
      <c r="H80">
        <f>IF($U80="","",INDEX('Per Line'!$O$2:$O$1001,$U80)&amp;"")</f>
        <v/>
      </c>
      <c r="I80" s="11">
        <f>IF($U80="","",INDEX('Per Line'!$Q$2:$Q$1001,$U80))</f>
        <v/>
      </c>
      <c r="J80">
        <f>IF($U80="","",INDEX('Per Line'!$R$2:$R$1001,$U80)&amp;"")</f>
        <v/>
      </c>
      <c r="K80">
        <f>IF($U80="","",Settings!$C$7)</f>
        <v/>
      </c>
      <c r="L80" s="7">
        <f>IF($U80="","",SUMIFS('Per Line'!$N$2:$N$1001,'Per Line'!$A$2:$A$1001,$A80,'Per Line'!$W$2:$W$1001,0))</f>
        <v/>
      </c>
      <c r="M80" s="7">
        <f>IF($U80="","",L80*K80)</f>
        <v/>
      </c>
      <c r="N80">
        <f>IF($U80="","",Settings!$C$6)</f>
        <v/>
      </c>
      <c r="O80" s="7">
        <f>IF($U80="","",SUMIFS('Per Line'!$N$2:$N$1001,'Per Line'!$A$2:$A$1001,$A80,'Per Line'!$W$2:$W$1001,1))</f>
        <v/>
      </c>
      <c r="P80" s="7">
        <f>IF($U80="","",O80*N80)</f>
        <v/>
      </c>
      <c r="Q80" s="7">
        <f>IF($U80="","",P80+M80)</f>
        <v/>
      </c>
      <c r="R80" s="7">
        <f>IF($U80="","",S80-Q80)</f>
        <v/>
      </c>
      <c r="S80" s="7">
        <f>IF($U80="","",L80+O80)</f>
        <v/>
      </c>
      <c r="T80" s="7">
        <f>IF($U80="","",S80-Q80-G80)</f>
        <v/>
      </c>
      <c r="U80" s="13">
        <f>IF(ROWS($U$2:$U80)&lt;=MAX('Per Line'!$V$2:$V$1001),MATCH(ROWS($U$2:$U80),'Per Line'!$V$2:$V$1001,0),"")</f>
        <v/>
      </c>
    </row>
    <row r="81">
      <c r="A81">
        <f>IF($U81="","",INDEX('Per Line'!$A$2:$A$1001,$U81)&amp;"")</f>
        <v/>
      </c>
      <c r="B81" s="12" t="n"/>
      <c r="C81">
        <f>IF($U81="","",INDEX('Per Line'!$B$2:$B$1001,$U81)&amp;"")</f>
        <v/>
      </c>
      <c r="D81">
        <f>IF($U81="","",INDEX('Per Line'!$C$2:$C$1001,$U81)&amp;"")</f>
        <v/>
      </c>
      <c r="E81">
        <f>IF($U81="","",INDEX('Per Line'!$D$2:$D$1001,$U81)&amp;"")</f>
        <v/>
      </c>
      <c r="F81">
        <f>IF($U81="","",INDEX('Per Line'!$E$2:$E$1001,$U81))</f>
        <v/>
      </c>
      <c r="G81" s="7">
        <f>IF($U81="","",F81*S81/100)</f>
        <v/>
      </c>
      <c r="H81">
        <f>IF($U81="","",INDEX('Per Line'!$O$2:$O$1001,$U81)&amp;"")</f>
        <v/>
      </c>
      <c r="I81" s="11">
        <f>IF($U81="","",INDEX('Per Line'!$Q$2:$Q$1001,$U81))</f>
        <v/>
      </c>
      <c r="J81">
        <f>IF($U81="","",INDEX('Per Line'!$R$2:$R$1001,$U81)&amp;"")</f>
        <v/>
      </c>
      <c r="K81">
        <f>IF($U81="","",Settings!$C$7)</f>
        <v/>
      </c>
      <c r="L81" s="7">
        <f>IF($U81="","",SUMIFS('Per Line'!$N$2:$N$1001,'Per Line'!$A$2:$A$1001,$A81,'Per Line'!$W$2:$W$1001,0))</f>
        <v/>
      </c>
      <c r="M81" s="7">
        <f>IF($U81="","",L81*K81)</f>
        <v/>
      </c>
      <c r="N81">
        <f>IF($U81="","",Settings!$C$6)</f>
        <v/>
      </c>
      <c r="O81" s="7">
        <f>IF($U81="","",SUMIFS('Per Line'!$N$2:$N$1001,'Per Line'!$A$2:$A$1001,$A81,'Per Line'!$W$2:$W$1001,1))</f>
        <v/>
      </c>
      <c r="P81" s="7">
        <f>IF($U81="","",O81*N81)</f>
        <v/>
      </c>
      <c r="Q81" s="7">
        <f>IF($U81="","",P81+M81)</f>
        <v/>
      </c>
      <c r="R81" s="7">
        <f>IF($U81="","",S81-Q81)</f>
        <v/>
      </c>
      <c r="S81" s="7">
        <f>IF($U81="","",L81+O81)</f>
        <v/>
      </c>
      <c r="T81" s="7">
        <f>IF($U81="","",S81-Q81-G81)</f>
        <v/>
      </c>
      <c r="U81" s="13">
        <f>IF(ROWS($U$2:$U81)&lt;=MAX('Per Line'!$V$2:$V$1001),MATCH(ROWS($U$2:$U81),'Per Line'!$V$2:$V$1001,0),"")</f>
        <v/>
      </c>
    </row>
    <row r="82">
      <c r="A82">
        <f>IF($U82="","",INDEX('Per Line'!$A$2:$A$1001,$U82)&amp;"")</f>
        <v/>
      </c>
      <c r="B82" s="12" t="n"/>
      <c r="C82">
        <f>IF($U82="","",INDEX('Per Line'!$B$2:$B$1001,$U82)&amp;"")</f>
        <v/>
      </c>
      <c r="D82">
        <f>IF($U82="","",INDEX('Per Line'!$C$2:$C$1001,$U82)&amp;"")</f>
        <v/>
      </c>
      <c r="E82">
        <f>IF($U82="","",INDEX('Per Line'!$D$2:$D$1001,$U82)&amp;"")</f>
        <v/>
      </c>
      <c r="F82">
        <f>IF($U82="","",INDEX('Per Line'!$E$2:$E$1001,$U82))</f>
        <v/>
      </c>
      <c r="G82" s="7">
        <f>IF($U82="","",F82*S82/100)</f>
        <v/>
      </c>
      <c r="H82">
        <f>IF($U82="","",INDEX('Per Line'!$O$2:$O$1001,$U82)&amp;"")</f>
        <v/>
      </c>
      <c r="I82" s="11">
        <f>IF($U82="","",INDEX('Per Line'!$Q$2:$Q$1001,$U82))</f>
        <v/>
      </c>
      <c r="J82">
        <f>IF($U82="","",INDEX('Per Line'!$R$2:$R$1001,$U82)&amp;"")</f>
        <v/>
      </c>
      <c r="K82">
        <f>IF($U82="","",Settings!$C$7)</f>
        <v/>
      </c>
      <c r="L82" s="7">
        <f>IF($U82="","",SUMIFS('Per Line'!$N$2:$N$1001,'Per Line'!$A$2:$A$1001,$A82,'Per Line'!$W$2:$W$1001,0))</f>
        <v/>
      </c>
      <c r="M82" s="7">
        <f>IF($U82="","",L82*K82)</f>
        <v/>
      </c>
      <c r="N82">
        <f>IF($U82="","",Settings!$C$6)</f>
        <v/>
      </c>
      <c r="O82" s="7">
        <f>IF($U82="","",SUMIFS('Per Line'!$N$2:$N$1001,'Per Line'!$A$2:$A$1001,$A82,'Per Line'!$W$2:$W$1001,1))</f>
        <v/>
      </c>
      <c r="P82" s="7">
        <f>IF($U82="","",O82*N82)</f>
        <v/>
      </c>
      <c r="Q82" s="7">
        <f>IF($U82="","",P82+M82)</f>
        <v/>
      </c>
      <c r="R82" s="7">
        <f>IF($U82="","",S82-Q82)</f>
        <v/>
      </c>
      <c r="S82" s="7">
        <f>IF($U82="","",L82+O82)</f>
        <v/>
      </c>
      <c r="T82" s="7">
        <f>IF($U82="","",S82-Q82-G82)</f>
        <v/>
      </c>
      <c r="U82" s="13">
        <f>IF(ROWS($U$2:$U82)&lt;=MAX('Per Line'!$V$2:$V$1001),MATCH(ROWS($U$2:$U82),'Per Line'!$V$2:$V$1001,0),"")</f>
        <v/>
      </c>
    </row>
    <row r="83">
      <c r="A83">
        <f>IF($U83="","",INDEX('Per Line'!$A$2:$A$1001,$U83)&amp;"")</f>
        <v/>
      </c>
      <c r="B83" s="12" t="n"/>
      <c r="C83">
        <f>IF($U83="","",INDEX('Per Line'!$B$2:$B$1001,$U83)&amp;"")</f>
        <v/>
      </c>
      <c r="D83">
        <f>IF($U83="","",INDEX('Per Line'!$C$2:$C$1001,$U83)&amp;"")</f>
        <v/>
      </c>
      <c r="E83">
        <f>IF($U83="","",INDEX('Per Line'!$D$2:$D$1001,$U83)&amp;"")</f>
        <v/>
      </c>
      <c r="F83">
        <f>IF($U83="","",INDEX('Per Line'!$E$2:$E$1001,$U83))</f>
        <v/>
      </c>
      <c r="G83" s="7">
        <f>IF($U83="","",F83*S83/100)</f>
        <v/>
      </c>
      <c r="H83">
        <f>IF($U83="","",INDEX('Per Line'!$O$2:$O$1001,$U83)&amp;"")</f>
        <v/>
      </c>
      <c r="I83" s="11">
        <f>IF($U83="","",INDEX('Per Line'!$Q$2:$Q$1001,$U83))</f>
        <v/>
      </c>
      <c r="J83">
        <f>IF($U83="","",INDEX('Per Line'!$R$2:$R$1001,$U83)&amp;"")</f>
        <v/>
      </c>
      <c r="K83">
        <f>IF($U83="","",Settings!$C$7)</f>
        <v/>
      </c>
      <c r="L83" s="7">
        <f>IF($U83="","",SUMIFS('Per Line'!$N$2:$N$1001,'Per Line'!$A$2:$A$1001,$A83,'Per Line'!$W$2:$W$1001,0))</f>
        <v/>
      </c>
      <c r="M83" s="7">
        <f>IF($U83="","",L83*K83)</f>
        <v/>
      </c>
      <c r="N83">
        <f>IF($U83="","",Settings!$C$6)</f>
        <v/>
      </c>
      <c r="O83" s="7">
        <f>IF($U83="","",SUMIFS('Per Line'!$N$2:$N$1001,'Per Line'!$A$2:$A$1001,$A83,'Per Line'!$W$2:$W$1001,1))</f>
        <v/>
      </c>
      <c r="P83" s="7">
        <f>IF($U83="","",O83*N83)</f>
        <v/>
      </c>
      <c r="Q83" s="7">
        <f>IF($U83="","",P83+M83)</f>
        <v/>
      </c>
      <c r="R83" s="7">
        <f>IF($U83="","",S83-Q83)</f>
        <v/>
      </c>
      <c r="S83" s="7">
        <f>IF($U83="","",L83+O83)</f>
        <v/>
      </c>
      <c r="T83" s="7">
        <f>IF($U83="","",S83-Q83-G83)</f>
        <v/>
      </c>
      <c r="U83" s="13">
        <f>IF(ROWS($U$2:$U83)&lt;=MAX('Per Line'!$V$2:$V$1001),MATCH(ROWS($U$2:$U83),'Per Line'!$V$2:$V$1001,0),"")</f>
        <v/>
      </c>
    </row>
    <row r="84">
      <c r="A84">
        <f>IF($U84="","",INDEX('Per Line'!$A$2:$A$1001,$U84)&amp;"")</f>
        <v/>
      </c>
      <c r="B84" s="12" t="n"/>
      <c r="C84">
        <f>IF($U84="","",INDEX('Per Line'!$B$2:$B$1001,$U84)&amp;"")</f>
        <v/>
      </c>
      <c r="D84">
        <f>IF($U84="","",INDEX('Per Line'!$C$2:$C$1001,$U84)&amp;"")</f>
        <v/>
      </c>
      <c r="E84">
        <f>IF($U84="","",INDEX('Per Line'!$D$2:$D$1001,$U84)&amp;"")</f>
        <v/>
      </c>
      <c r="F84">
        <f>IF($U84="","",INDEX('Per Line'!$E$2:$E$1001,$U84))</f>
        <v/>
      </c>
      <c r="G84" s="7">
        <f>IF($U84="","",F84*S84/100)</f>
        <v/>
      </c>
      <c r="H84">
        <f>IF($U84="","",INDEX('Per Line'!$O$2:$O$1001,$U84)&amp;"")</f>
        <v/>
      </c>
      <c r="I84" s="11">
        <f>IF($U84="","",INDEX('Per Line'!$Q$2:$Q$1001,$U84))</f>
        <v/>
      </c>
      <c r="J84">
        <f>IF($U84="","",INDEX('Per Line'!$R$2:$R$1001,$U84)&amp;"")</f>
        <v/>
      </c>
      <c r="K84">
        <f>IF($U84="","",Settings!$C$7)</f>
        <v/>
      </c>
      <c r="L84" s="7">
        <f>IF($U84="","",SUMIFS('Per Line'!$N$2:$N$1001,'Per Line'!$A$2:$A$1001,$A84,'Per Line'!$W$2:$W$1001,0))</f>
        <v/>
      </c>
      <c r="M84" s="7">
        <f>IF($U84="","",L84*K84)</f>
        <v/>
      </c>
      <c r="N84">
        <f>IF($U84="","",Settings!$C$6)</f>
        <v/>
      </c>
      <c r="O84" s="7">
        <f>IF($U84="","",SUMIFS('Per Line'!$N$2:$N$1001,'Per Line'!$A$2:$A$1001,$A84,'Per Line'!$W$2:$W$1001,1))</f>
        <v/>
      </c>
      <c r="P84" s="7">
        <f>IF($U84="","",O84*N84)</f>
        <v/>
      </c>
      <c r="Q84" s="7">
        <f>IF($U84="","",P84+M84)</f>
        <v/>
      </c>
      <c r="R84" s="7">
        <f>IF($U84="","",S84-Q84)</f>
        <v/>
      </c>
      <c r="S84" s="7">
        <f>IF($U84="","",L84+O84)</f>
        <v/>
      </c>
      <c r="T84" s="7">
        <f>IF($U84="","",S84-Q84-G84)</f>
        <v/>
      </c>
      <c r="U84" s="13">
        <f>IF(ROWS($U$2:$U84)&lt;=MAX('Per Line'!$V$2:$V$1001),MATCH(ROWS($U$2:$U84),'Per Line'!$V$2:$V$1001,0),"")</f>
        <v/>
      </c>
    </row>
    <row r="85">
      <c r="A85">
        <f>IF($U85="","",INDEX('Per Line'!$A$2:$A$1001,$U85)&amp;"")</f>
        <v/>
      </c>
      <c r="B85" s="12" t="n"/>
      <c r="C85">
        <f>IF($U85="","",INDEX('Per Line'!$B$2:$B$1001,$U85)&amp;"")</f>
        <v/>
      </c>
      <c r="D85">
        <f>IF($U85="","",INDEX('Per Line'!$C$2:$C$1001,$U85)&amp;"")</f>
        <v/>
      </c>
      <c r="E85">
        <f>IF($U85="","",INDEX('Per Line'!$D$2:$D$1001,$U85)&amp;"")</f>
        <v/>
      </c>
      <c r="F85">
        <f>IF($U85="","",INDEX('Per Line'!$E$2:$E$1001,$U85))</f>
        <v/>
      </c>
      <c r="G85" s="7">
        <f>IF($U85="","",F85*S85/100)</f>
        <v/>
      </c>
      <c r="H85">
        <f>IF($U85="","",INDEX('Per Line'!$O$2:$O$1001,$U85)&amp;"")</f>
        <v/>
      </c>
      <c r="I85" s="11">
        <f>IF($U85="","",INDEX('Per Line'!$Q$2:$Q$1001,$U85))</f>
        <v/>
      </c>
      <c r="J85">
        <f>IF($U85="","",INDEX('Per Line'!$R$2:$R$1001,$U85)&amp;"")</f>
        <v/>
      </c>
      <c r="K85">
        <f>IF($U85="","",Settings!$C$7)</f>
        <v/>
      </c>
      <c r="L85" s="7">
        <f>IF($U85="","",SUMIFS('Per Line'!$N$2:$N$1001,'Per Line'!$A$2:$A$1001,$A85,'Per Line'!$W$2:$W$1001,0))</f>
        <v/>
      </c>
      <c r="M85" s="7">
        <f>IF($U85="","",L85*K85)</f>
        <v/>
      </c>
      <c r="N85">
        <f>IF($U85="","",Settings!$C$6)</f>
        <v/>
      </c>
      <c r="O85" s="7">
        <f>IF($U85="","",SUMIFS('Per Line'!$N$2:$N$1001,'Per Line'!$A$2:$A$1001,$A85,'Per Line'!$W$2:$W$1001,1))</f>
        <v/>
      </c>
      <c r="P85" s="7">
        <f>IF($U85="","",O85*N85)</f>
        <v/>
      </c>
      <c r="Q85" s="7">
        <f>IF($U85="","",P85+M85)</f>
        <v/>
      </c>
      <c r="R85" s="7">
        <f>IF($U85="","",S85-Q85)</f>
        <v/>
      </c>
      <c r="S85" s="7">
        <f>IF($U85="","",L85+O85)</f>
        <v/>
      </c>
      <c r="T85" s="7">
        <f>IF($U85="","",S85-Q85-G85)</f>
        <v/>
      </c>
      <c r="U85" s="13">
        <f>IF(ROWS($U$2:$U85)&lt;=MAX('Per Line'!$V$2:$V$1001),MATCH(ROWS($U$2:$U85),'Per Line'!$V$2:$V$1001,0),"")</f>
        <v/>
      </c>
    </row>
    <row r="86">
      <c r="A86">
        <f>IF($U86="","",INDEX('Per Line'!$A$2:$A$1001,$U86)&amp;"")</f>
        <v/>
      </c>
      <c r="B86" s="12" t="n"/>
      <c r="C86">
        <f>IF($U86="","",INDEX('Per Line'!$B$2:$B$1001,$U86)&amp;"")</f>
        <v/>
      </c>
      <c r="D86">
        <f>IF($U86="","",INDEX('Per Line'!$C$2:$C$1001,$U86)&amp;"")</f>
        <v/>
      </c>
      <c r="E86">
        <f>IF($U86="","",INDEX('Per Line'!$D$2:$D$1001,$U86)&amp;"")</f>
        <v/>
      </c>
      <c r="F86">
        <f>IF($U86="","",INDEX('Per Line'!$E$2:$E$1001,$U86))</f>
        <v/>
      </c>
      <c r="G86" s="7">
        <f>IF($U86="","",F86*S86/100)</f>
        <v/>
      </c>
      <c r="H86">
        <f>IF($U86="","",INDEX('Per Line'!$O$2:$O$1001,$U86)&amp;"")</f>
        <v/>
      </c>
      <c r="I86" s="11">
        <f>IF($U86="","",INDEX('Per Line'!$Q$2:$Q$1001,$U86))</f>
        <v/>
      </c>
      <c r="J86">
        <f>IF($U86="","",INDEX('Per Line'!$R$2:$R$1001,$U86)&amp;"")</f>
        <v/>
      </c>
      <c r="K86">
        <f>IF($U86="","",Settings!$C$7)</f>
        <v/>
      </c>
      <c r="L86" s="7">
        <f>IF($U86="","",SUMIFS('Per Line'!$N$2:$N$1001,'Per Line'!$A$2:$A$1001,$A86,'Per Line'!$W$2:$W$1001,0))</f>
        <v/>
      </c>
      <c r="M86" s="7">
        <f>IF($U86="","",L86*K86)</f>
        <v/>
      </c>
      <c r="N86">
        <f>IF($U86="","",Settings!$C$6)</f>
        <v/>
      </c>
      <c r="O86" s="7">
        <f>IF($U86="","",SUMIFS('Per Line'!$N$2:$N$1001,'Per Line'!$A$2:$A$1001,$A86,'Per Line'!$W$2:$W$1001,1))</f>
        <v/>
      </c>
      <c r="P86" s="7">
        <f>IF($U86="","",O86*N86)</f>
        <v/>
      </c>
      <c r="Q86" s="7">
        <f>IF($U86="","",P86+M86)</f>
        <v/>
      </c>
      <c r="R86" s="7">
        <f>IF($U86="","",S86-Q86)</f>
        <v/>
      </c>
      <c r="S86" s="7">
        <f>IF($U86="","",L86+O86)</f>
        <v/>
      </c>
      <c r="T86" s="7">
        <f>IF($U86="","",S86-Q86-G86)</f>
        <v/>
      </c>
      <c r="U86" s="13">
        <f>IF(ROWS($U$2:$U86)&lt;=MAX('Per Line'!$V$2:$V$1001),MATCH(ROWS($U$2:$U86),'Per Line'!$V$2:$V$1001,0),"")</f>
        <v/>
      </c>
    </row>
    <row r="87">
      <c r="A87">
        <f>IF($U87="","",INDEX('Per Line'!$A$2:$A$1001,$U87)&amp;"")</f>
        <v/>
      </c>
      <c r="B87" s="12" t="n"/>
      <c r="C87">
        <f>IF($U87="","",INDEX('Per Line'!$B$2:$B$1001,$U87)&amp;"")</f>
        <v/>
      </c>
      <c r="D87">
        <f>IF($U87="","",INDEX('Per Line'!$C$2:$C$1001,$U87)&amp;"")</f>
        <v/>
      </c>
      <c r="E87">
        <f>IF($U87="","",INDEX('Per Line'!$D$2:$D$1001,$U87)&amp;"")</f>
        <v/>
      </c>
      <c r="F87">
        <f>IF($U87="","",INDEX('Per Line'!$E$2:$E$1001,$U87))</f>
        <v/>
      </c>
      <c r="G87" s="7">
        <f>IF($U87="","",F87*S87/100)</f>
        <v/>
      </c>
      <c r="H87">
        <f>IF($U87="","",INDEX('Per Line'!$O$2:$O$1001,$U87)&amp;"")</f>
        <v/>
      </c>
      <c r="I87" s="11">
        <f>IF($U87="","",INDEX('Per Line'!$Q$2:$Q$1001,$U87))</f>
        <v/>
      </c>
      <c r="J87">
        <f>IF($U87="","",INDEX('Per Line'!$R$2:$R$1001,$U87)&amp;"")</f>
        <v/>
      </c>
      <c r="K87">
        <f>IF($U87="","",Settings!$C$7)</f>
        <v/>
      </c>
      <c r="L87" s="7">
        <f>IF($U87="","",SUMIFS('Per Line'!$N$2:$N$1001,'Per Line'!$A$2:$A$1001,$A87,'Per Line'!$W$2:$W$1001,0))</f>
        <v/>
      </c>
      <c r="M87" s="7">
        <f>IF($U87="","",L87*K87)</f>
        <v/>
      </c>
      <c r="N87">
        <f>IF($U87="","",Settings!$C$6)</f>
        <v/>
      </c>
      <c r="O87" s="7">
        <f>IF($U87="","",SUMIFS('Per Line'!$N$2:$N$1001,'Per Line'!$A$2:$A$1001,$A87,'Per Line'!$W$2:$W$1001,1))</f>
        <v/>
      </c>
      <c r="P87" s="7">
        <f>IF($U87="","",O87*N87)</f>
        <v/>
      </c>
      <c r="Q87" s="7">
        <f>IF($U87="","",P87+M87)</f>
        <v/>
      </c>
      <c r="R87" s="7">
        <f>IF($U87="","",S87-Q87)</f>
        <v/>
      </c>
      <c r="S87" s="7">
        <f>IF($U87="","",L87+O87)</f>
        <v/>
      </c>
      <c r="T87" s="7">
        <f>IF($U87="","",S87-Q87-G87)</f>
        <v/>
      </c>
      <c r="U87" s="13">
        <f>IF(ROWS($U$2:$U87)&lt;=MAX('Per Line'!$V$2:$V$1001),MATCH(ROWS($U$2:$U87),'Per Line'!$V$2:$V$1001,0),"")</f>
        <v/>
      </c>
    </row>
    <row r="88">
      <c r="A88">
        <f>IF($U88="","",INDEX('Per Line'!$A$2:$A$1001,$U88)&amp;"")</f>
        <v/>
      </c>
      <c r="B88" s="12" t="n"/>
      <c r="C88">
        <f>IF($U88="","",INDEX('Per Line'!$B$2:$B$1001,$U88)&amp;"")</f>
        <v/>
      </c>
      <c r="D88">
        <f>IF($U88="","",INDEX('Per Line'!$C$2:$C$1001,$U88)&amp;"")</f>
        <v/>
      </c>
      <c r="E88">
        <f>IF($U88="","",INDEX('Per Line'!$D$2:$D$1001,$U88)&amp;"")</f>
        <v/>
      </c>
      <c r="F88">
        <f>IF($U88="","",INDEX('Per Line'!$E$2:$E$1001,$U88))</f>
        <v/>
      </c>
      <c r="G88" s="7">
        <f>IF($U88="","",F88*S88/100)</f>
        <v/>
      </c>
      <c r="H88">
        <f>IF($U88="","",INDEX('Per Line'!$O$2:$O$1001,$U88)&amp;"")</f>
        <v/>
      </c>
      <c r="I88" s="11">
        <f>IF($U88="","",INDEX('Per Line'!$Q$2:$Q$1001,$U88))</f>
        <v/>
      </c>
      <c r="J88">
        <f>IF($U88="","",INDEX('Per Line'!$R$2:$R$1001,$U88)&amp;"")</f>
        <v/>
      </c>
      <c r="K88">
        <f>IF($U88="","",Settings!$C$7)</f>
        <v/>
      </c>
      <c r="L88" s="7">
        <f>IF($U88="","",SUMIFS('Per Line'!$N$2:$N$1001,'Per Line'!$A$2:$A$1001,$A88,'Per Line'!$W$2:$W$1001,0))</f>
        <v/>
      </c>
      <c r="M88" s="7">
        <f>IF($U88="","",L88*K88)</f>
        <v/>
      </c>
      <c r="N88">
        <f>IF($U88="","",Settings!$C$6)</f>
        <v/>
      </c>
      <c r="O88" s="7">
        <f>IF($U88="","",SUMIFS('Per Line'!$N$2:$N$1001,'Per Line'!$A$2:$A$1001,$A88,'Per Line'!$W$2:$W$1001,1))</f>
        <v/>
      </c>
      <c r="P88" s="7">
        <f>IF($U88="","",O88*N88)</f>
        <v/>
      </c>
      <c r="Q88" s="7">
        <f>IF($U88="","",P88+M88)</f>
        <v/>
      </c>
      <c r="R88" s="7">
        <f>IF($U88="","",S88-Q88)</f>
        <v/>
      </c>
      <c r="S88" s="7">
        <f>IF($U88="","",L88+O88)</f>
        <v/>
      </c>
      <c r="T88" s="7">
        <f>IF($U88="","",S88-Q88-G88)</f>
        <v/>
      </c>
      <c r="U88" s="13">
        <f>IF(ROWS($U$2:$U88)&lt;=MAX('Per Line'!$V$2:$V$1001),MATCH(ROWS($U$2:$U88),'Per Line'!$V$2:$V$1001,0),"")</f>
        <v/>
      </c>
    </row>
    <row r="89">
      <c r="A89">
        <f>IF($U89="","",INDEX('Per Line'!$A$2:$A$1001,$U89)&amp;"")</f>
        <v/>
      </c>
      <c r="B89" s="12" t="n"/>
      <c r="C89">
        <f>IF($U89="","",INDEX('Per Line'!$B$2:$B$1001,$U89)&amp;"")</f>
        <v/>
      </c>
      <c r="D89">
        <f>IF($U89="","",INDEX('Per Line'!$C$2:$C$1001,$U89)&amp;"")</f>
        <v/>
      </c>
      <c r="E89">
        <f>IF($U89="","",INDEX('Per Line'!$D$2:$D$1001,$U89)&amp;"")</f>
        <v/>
      </c>
      <c r="F89">
        <f>IF($U89="","",INDEX('Per Line'!$E$2:$E$1001,$U89))</f>
        <v/>
      </c>
      <c r="G89" s="7">
        <f>IF($U89="","",F89*S89/100)</f>
        <v/>
      </c>
      <c r="H89">
        <f>IF($U89="","",INDEX('Per Line'!$O$2:$O$1001,$U89)&amp;"")</f>
        <v/>
      </c>
      <c r="I89" s="11">
        <f>IF($U89="","",INDEX('Per Line'!$Q$2:$Q$1001,$U89))</f>
        <v/>
      </c>
      <c r="J89">
        <f>IF($U89="","",INDEX('Per Line'!$R$2:$R$1001,$U89)&amp;"")</f>
        <v/>
      </c>
      <c r="K89">
        <f>IF($U89="","",Settings!$C$7)</f>
        <v/>
      </c>
      <c r="L89" s="7">
        <f>IF($U89="","",SUMIFS('Per Line'!$N$2:$N$1001,'Per Line'!$A$2:$A$1001,$A89,'Per Line'!$W$2:$W$1001,0))</f>
        <v/>
      </c>
      <c r="M89" s="7">
        <f>IF($U89="","",L89*K89)</f>
        <v/>
      </c>
      <c r="N89">
        <f>IF($U89="","",Settings!$C$6)</f>
        <v/>
      </c>
      <c r="O89" s="7">
        <f>IF($U89="","",SUMIFS('Per Line'!$N$2:$N$1001,'Per Line'!$A$2:$A$1001,$A89,'Per Line'!$W$2:$W$1001,1))</f>
        <v/>
      </c>
      <c r="P89" s="7">
        <f>IF($U89="","",O89*N89)</f>
        <v/>
      </c>
      <c r="Q89" s="7">
        <f>IF($U89="","",P89+M89)</f>
        <v/>
      </c>
      <c r="R89" s="7">
        <f>IF($U89="","",S89-Q89)</f>
        <v/>
      </c>
      <c r="S89" s="7">
        <f>IF($U89="","",L89+O89)</f>
        <v/>
      </c>
      <c r="T89" s="7">
        <f>IF($U89="","",S89-Q89-G89)</f>
        <v/>
      </c>
      <c r="U89" s="13">
        <f>IF(ROWS($U$2:$U89)&lt;=MAX('Per Line'!$V$2:$V$1001),MATCH(ROWS($U$2:$U89),'Per Line'!$V$2:$V$1001,0),"")</f>
        <v/>
      </c>
    </row>
    <row r="90">
      <c r="A90">
        <f>IF($U90="","",INDEX('Per Line'!$A$2:$A$1001,$U90)&amp;"")</f>
        <v/>
      </c>
      <c r="B90" s="12" t="n"/>
      <c r="C90">
        <f>IF($U90="","",INDEX('Per Line'!$B$2:$B$1001,$U90)&amp;"")</f>
        <v/>
      </c>
      <c r="D90">
        <f>IF($U90="","",INDEX('Per Line'!$C$2:$C$1001,$U90)&amp;"")</f>
        <v/>
      </c>
      <c r="E90">
        <f>IF($U90="","",INDEX('Per Line'!$D$2:$D$1001,$U90)&amp;"")</f>
        <v/>
      </c>
      <c r="F90">
        <f>IF($U90="","",INDEX('Per Line'!$E$2:$E$1001,$U90))</f>
        <v/>
      </c>
      <c r="G90" s="7">
        <f>IF($U90="","",F90*S90/100)</f>
        <v/>
      </c>
      <c r="H90">
        <f>IF($U90="","",INDEX('Per Line'!$O$2:$O$1001,$U90)&amp;"")</f>
        <v/>
      </c>
      <c r="I90" s="11">
        <f>IF($U90="","",INDEX('Per Line'!$Q$2:$Q$1001,$U90))</f>
        <v/>
      </c>
      <c r="J90">
        <f>IF($U90="","",INDEX('Per Line'!$R$2:$R$1001,$U90)&amp;"")</f>
        <v/>
      </c>
      <c r="K90">
        <f>IF($U90="","",Settings!$C$7)</f>
        <v/>
      </c>
      <c r="L90" s="7">
        <f>IF($U90="","",SUMIFS('Per Line'!$N$2:$N$1001,'Per Line'!$A$2:$A$1001,$A90,'Per Line'!$W$2:$W$1001,0))</f>
        <v/>
      </c>
      <c r="M90" s="7">
        <f>IF($U90="","",L90*K90)</f>
        <v/>
      </c>
      <c r="N90">
        <f>IF($U90="","",Settings!$C$6)</f>
        <v/>
      </c>
      <c r="O90" s="7">
        <f>IF($U90="","",SUMIFS('Per Line'!$N$2:$N$1001,'Per Line'!$A$2:$A$1001,$A90,'Per Line'!$W$2:$W$1001,1))</f>
        <v/>
      </c>
      <c r="P90" s="7">
        <f>IF($U90="","",O90*N90)</f>
        <v/>
      </c>
      <c r="Q90" s="7">
        <f>IF($U90="","",P90+M90)</f>
        <v/>
      </c>
      <c r="R90" s="7">
        <f>IF($U90="","",S90-Q90)</f>
        <v/>
      </c>
      <c r="S90" s="7">
        <f>IF($U90="","",L90+O90)</f>
        <v/>
      </c>
      <c r="T90" s="7">
        <f>IF($U90="","",S90-Q90-G90)</f>
        <v/>
      </c>
      <c r="U90" s="13">
        <f>IF(ROWS($U$2:$U90)&lt;=MAX('Per Line'!$V$2:$V$1001),MATCH(ROWS($U$2:$U90),'Per Line'!$V$2:$V$1001,0),"")</f>
        <v/>
      </c>
    </row>
    <row r="91">
      <c r="A91">
        <f>IF($U91="","",INDEX('Per Line'!$A$2:$A$1001,$U91)&amp;"")</f>
        <v/>
      </c>
      <c r="B91" s="12" t="n"/>
      <c r="C91">
        <f>IF($U91="","",INDEX('Per Line'!$B$2:$B$1001,$U91)&amp;"")</f>
        <v/>
      </c>
      <c r="D91">
        <f>IF($U91="","",INDEX('Per Line'!$C$2:$C$1001,$U91)&amp;"")</f>
        <v/>
      </c>
      <c r="E91">
        <f>IF($U91="","",INDEX('Per Line'!$D$2:$D$1001,$U91)&amp;"")</f>
        <v/>
      </c>
      <c r="F91">
        <f>IF($U91="","",INDEX('Per Line'!$E$2:$E$1001,$U91))</f>
        <v/>
      </c>
      <c r="G91" s="7">
        <f>IF($U91="","",F91*S91/100)</f>
        <v/>
      </c>
      <c r="H91">
        <f>IF($U91="","",INDEX('Per Line'!$O$2:$O$1001,$U91)&amp;"")</f>
        <v/>
      </c>
      <c r="I91" s="11">
        <f>IF($U91="","",INDEX('Per Line'!$Q$2:$Q$1001,$U91))</f>
        <v/>
      </c>
      <c r="J91">
        <f>IF($U91="","",INDEX('Per Line'!$R$2:$R$1001,$U91)&amp;"")</f>
        <v/>
      </c>
      <c r="K91">
        <f>IF($U91="","",Settings!$C$7)</f>
        <v/>
      </c>
      <c r="L91" s="7">
        <f>IF($U91="","",SUMIFS('Per Line'!$N$2:$N$1001,'Per Line'!$A$2:$A$1001,$A91,'Per Line'!$W$2:$W$1001,0))</f>
        <v/>
      </c>
      <c r="M91" s="7">
        <f>IF($U91="","",L91*K91)</f>
        <v/>
      </c>
      <c r="N91">
        <f>IF($U91="","",Settings!$C$6)</f>
        <v/>
      </c>
      <c r="O91" s="7">
        <f>IF($U91="","",SUMIFS('Per Line'!$N$2:$N$1001,'Per Line'!$A$2:$A$1001,$A91,'Per Line'!$W$2:$W$1001,1))</f>
        <v/>
      </c>
      <c r="P91" s="7">
        <f>IF($U91="","",O91*N91)</f>
        <v/>
      </c>
      <c r="Q91" s="7">
        <f>IF($U91="","",P91+M91)</f>
        <v/>
      </c>
      <c r="R91" s="7">
        <f>IF($U91="","",S91-Q91)</f>
        <v/>
      </c>
      <c r="S91" s="7">
        <f>IF($U91="","",L91+O91)</f>
        <v/>
      </c>
      <c r="T91" s="7">
        <f>IF($U91="","",S91-Q91-G91)</f>
        <v/>
      </c>
      <c r="U91" s="13">
        <f>IF(ROWS($U$2:$U91)&lt;=MAX('Per Line'!$V$2:$V$1001),MATCH(ROWS($U$2:$U91),'Per Line'!$V$2:$V$1001,0),"")</f>
        <v/>
      </c>
    </row>
    <row r="92">
      <c r="A92">
        <f>IF($U92="","",INDEX('Per Line'!$A$2:$A$1001,$U92)&amp;"")</f>
        <v/>
      </c>
      <c r="B92" s="12" t="n"/>
      <c r="C92">
        <f>IF($U92="","",INDEX('Per Line'!$B$2:$B$1001,$U92)&amp;"")</f>
        <v/>
      </c>
      <c r="D92">
        <f>IF($U92="","",INDEX('Per Line'!$C$2:$C$1001,$U92)&amp;"")</f>
        <v/>
      </c>
      <c r="E92">
        <f>IF($U92="","",INDEX('Per Line'!$D$2:$D$1001,$U92)&amp;"")</f>
        <v/>
      </c>
      <c r="F92">
        <f>IF($U92="","",INDEX('Per Line'!$E$2:$E$1001,$U92))</f>
        <v/>
      </c>
      <c r="G92" s="7">
        <f>IF($U92="","",F92*S92/100)</f>
        <v/>
      </c>
      <c r="H92">
        <f>IF($U92="","",INDEX('Per Line'!$O$2:$O$1001,$U92)&amp;"")</f>
        <v/>
      </c>
      <c r="I92" s="11">
        <f>IF($U92="","",INDEX('Per Line'!$Q$2:$Q$1001,$U92))</f>
        <v/>
      </c>
      <c r="J92">
        <f>IF($U92="","",INDEX('Per Line'!$R$2:$R$1001,$U92)&amp;"")</f>
        <v/>
      </c>
      <c r="K92">
        <f>IF($U92="","",Settings!$C$7)</f>
        <v/>
      </c>
      <c r="L92" s="7">
        <f>IF($U92="","",SUMIFS('Per Line'!$N$2:$N$1001,'Per Line'!$A$2:$A$1001,$A92,'Per Line'!$W$2:$W$1001,0))</f>
        <v/>
      </c>
      <c r="M92" s="7">
        <f>IF($U92="","",L92*K92)</f>
        <v/>
      </c>
      <c r="N92">
        <f>IF($U92="","",Settings!$C$6)</f>
        <v/>
      </c>
      <c r="O92" s="7">
        <f>IF($U92="","",SUMIFS('Per Line'!$N$2:$N$1001,'Per Line'!$A$2:$A$1001,$A92,'Per Line'!$W$2:$W$1001,1))</f>
        <v/>
      </c>
      <c r="P92" s="7">
        <f>IF($U92="","",O92*N92)</f>
        <v/>
      </c>
      <c r="Q92" s="7">
        <f>IF($U92="","",P92+M92)</f>
        <v/>
      </c>
      <c r="R92" s="7">
        <f>IF($U92="","",S92-Q92)</f>
        <v/>
      </c>
      <c r="S92" s="7">
        <f>IF($U92="","",L92+O92)</f>
        <v/>
      </c>
      <c r="T92" s="7">
        <f>IF($U92="","",S92-Q92-G92)</f>
        <v/>
      </c>
      <c r="U92" s="13">
        <f>IF(ROWS($U$2:$U92)&lt;=MAX('Per Line'!$V$2:$V$1001),MATCH(ROWS($U$2:$U92),'Per Line'!$V$2:$V$1001,0),"")</f>
        <v/>
      </c>
    </row>
    <row r="93">
      <c r="A93">
        <f>IF($U93="","",INDEX('Per Line'!$A$2:$A$1001,$U93)&amp;"")</f>
        <v/>
      </c>
      <c r="B93" s="12" t="n"/>
      <c r="C93">
        <f>IF($U93="","",INDEX('Per Line'!$B$2:$B$1001,$U93)&amp;"")</f>
        <v/>
      </c>
      <c r="D93">
        <f>IF($U93="","",INDEX('Per Line'!$C$2:$C$1001,$U93)&amp;"")</f>
        <v/>
      </c>
      <c r="E93">
        <f>IF($U93="","",INDEX('Per Line'!$D$2:$D$1001,$U93)&amp;"")</f>
        <v/>
      </c>
      <c r="F93">
        <f>IF($U93="","",INDEX('Per Line'!$E$2:$E$1001,$U93))</f>
        <v/>
      </c>
      <c r="G93" s="7">
        <f>IF($U93="","",F93*S93/100)</f>
        <v/>
      </c>
      <c r="H93">
        <f>IF($U93="","",INDEX('Per Line'!$O$2:$O$1001,$U93)&amp;"")</f>
        <v/>
      </c>
      <c r="I93" s="11">
        <f>IF($U93="","",INDEX('Per Line'!$Q$2:$Q$1001,$U93))</f>
        <v/>
      </c>
      <c r="J93">
        <f>IF($U93="","",INDEX('Per Line'!$R$2:$R$1001,$U93)&amp;"")</f>
        <v/>
      </c>
      <c r="K93">
        <f>IF($U93="","",Settings!$C$7)</f>
        <v/>
      </c>
      <c r="L93" s="7">
        <f>IF($U93="","",SUMIFS('Per Line'!$N$2:$N$1001,'Per Line'!$A$2:$A$1001,$A93,'Per Line'!$W$2:$W$1001,0))</f>
        <v/>
      </c>
      <c r="M93" s="7">
        <f>IF($U93="","",L93*K93)</f>
        <v/>
      </c>
      <c r="N93">
        <f>IF($U93="","",Settings!$C$6)</f>
        <v/>
      </c>
      <c r="O93" s="7">
        <f>IF($U93="","",SUMIFS('Per Line'!$N$2:$N$1001,'Per Line'!$A$2:$A$1001,$A93,'Per Line'!$W$2:$W$1001,1))</f>
        <v/>
      </c>
      <c r="P93" s="7">
        <f>IF($U93="","",O93*N93)</f>
        <v/>
      </c>
      <c r="Q93" s="7">
        <f>IF($U93="","",P93+M93)</f>
        <v/>
      </c>
      <c r="R93" s="7">
        <f>IF($U93="","",S93-Q93)</f>
        <v/>
      </c>
      <c r="S93" s="7">
        <f>IF($U93="","",L93+O93)</f>
        <v/>
      </c>
      <c r="T93" s="7">
        <f>IF($U93="","",S93-Q93-G93)</f>
        <v/>
      </c>
      <c r="U93" s="13">
        <f>IF(ROWS($U$2:$U93)&lt;=MAX('Per Line'!$V$2:$V$1001),MATCH(ROWS($U$2:$U93),'Per Line'!$V$2:$V$1001,0),"")</f>
        <v/>
      </c>
    </row>
    <row r="94">
      <c r="A94">
        <f>IF($U94="","",INDEX('Per Line'!$A$2:$A$1001,$U94)&amp;"")</f>
        <v/>
      </c>
      <c r="B94" s="12" t="n"/>
      <c r="C94">
        <f>IF($U94="","",INDEX('Per Line'!$B$2:$B$1001,$U94)&amp;"")</f>
        <v/>
      </c>
      <c r="D94">
        <f>IF($U94="","",INDEX('Per Line'!$C$2:$C$1001,$U94)&amp;"")</f>
        <v/>
      </c>
      <c r="E94">
        <f>IF($U94="","",INDEX('Per Line'!$D$2:$D$1001,$U94)&amp;"")</f>
        <v/>
      </c>
      <c r="F94">
        <f>IF($U94="","",INDEX('Per Line'!$E$2:$E$1001,$U94))</f>
        <v/>
      </c>
      <c r="G94" s="7">
        <f>IF($U94="","",F94*S94/100)</f>
        <v/>
      </c>
      <c r="H94">
        <f>IF($U94="","",INDEX('Per Line'!$O$2:$O$1001,$U94)&amp;"")</f>
        <v/>
      </c>
      <c r="I94" s="11">
        <f>IF($U94="","",INDEX('Per Line'!$Q$2:$Q$1001,$U94))</f>
        <v/>
      </c>
      <c r="J94">
        <f>IF($U94="","",INDEX('Per Line'!$R$2:$R$1001,$U94)&amp;"")</f>
        <v/>
      </c>
      <c r="K94">
        <f>IF($U94="","",Settings!$C$7)</f>
        <v/>
      </c>
      <c r="L94" s="7">
        <f>IF($U94="","",SUMIFS('Per Line'!$N$2:$N$1001,'Per Line'!$A$2:$A$1001,$A94,'Per Line'!$W$2:$W$1001,0))</f>
        <v/>
      </c>
      <c r="M94" s="7">
        <f>IF($U94="","",L94*K94)</f>
        <v/>
      </c>
      <c r="N94">
        <f>IF($U94="","",Settings!$C$6)</f>
        <v/>
      </c>
      <c r="O94" s="7">
        <f>IF($U94="","",SUMIFS('Per Line'!$N$2:$N$1001,'Per Line'!$A$2:$A$1001,$A94,'Per Line'!$W$2:$W$1001,1))</f>
        <v/>
      </c>
      <c r="P94" s="7">
        <f>IF($U94="","",O94*N94)</f>
        <v/>
      </c>
      <c r="Q94" s="7">
        <f>IF($U94="","",P94+M94)</f>
        <v/>
      </c>
      <c r="R94" s="7">
        <f>IF($U94="","",S94-Q94)</f>
        <v/>
      </c>
      <c r="S94" s="7">
        <f>IF($U94="","",L94+O94)</f>
        <v/>
      </c>
      <c r="T94" s="7">
        <f>IF($U94="","",S94-Q94-G94)</f>
        <v/>
      </c>
      <c r="U94" s="13">
        <f>IF(ROWS($U$2:$U94)&lt;=MAX('Per Line'!$V$2:$V$1001),MATCH(ROWS($U$2:$U94),'Per Line'!$V$2:$V$1001,0),"")</f>
        <v/>
      </c>
    </row>
    <row r="95">
      <c r="A95">
        <f>IF($U95="","",INDEX('Per Line'!$A$2:$A$1001,$U95)&amp;"")</f>
        <v/>
      </c>
      <c r="B95" s="12" t="n"/>
      <c r="C95">
        <f>IF($U95="","",INDEX('Per Line'!$B$2:$B$1001,$U95)&amp;"")</f>
        <v/>
      </c>
      <c r="D95">
        <f>IF($U95="","",INDEX('Per Line'!$C$2:$C$1001,$U95)&amp;"")</f>
        <v/>
      </c>
      <c r="E95">
        <f>IF($U95="","",INDEX('Per Line'!$D$2:$D$1001,$U95)&amp;"")</f>
        <v/>
      </c>
      <c r="F95">
        <f>IF($U95="","",INDEX('Per Line'!$E$2:$E$1001,$U95))</f>
        <v/>
      </c>
      <c r="G95" s="7">
        <f>IF($U95="","",F95*S95/100)</f>
        <v/>
      </c>
      <c r="H95">
        <f>IF($U95="","",INDEX('Per Line'!$O$2:$O$1001,$U95)&amp;"")</f>
        <v/>
      </c>
      <c r="I95" s="11">
        <f>IF($U95="","",INDEX('Per Line'!$Q$2:$Q$1001,$U95))</f>
        <v/>
      </c>
      <c r="J95">
        <f>IF($U95="","",INDEX('Per Line'!$R$2:$R$1001,$U95)&amp;"")</f>
        <v/>
      </c>
      <c r="K95">
        <f>IF($U95="","",Settings!$C$7)</f>
        <v/>
      </c>
      <c r="L95" s="7">
        <f>IF($U95="","",SUMIFS('Per Line'!$N$2:$N$1001,'Per Line'!$A$2:$A$1001,$A95,'Per Line'!$W$2:$W$1001,0))</f>
        <v/>
      </c>
      <c r="M95" s="7">
        <f>IF($U95="","",L95*K95)</f>
        <v/>
      </c>
      <c r="N95">
        <f>IF($U95="","",Settings!$C$6)</f>
        <v/>
      </c>
      <c r="O95" s="7">
        <f>IF($U95="","",SUMIFS('Per Line'!$N$2:$N$1001,'Per Line'!$A$2:$A$1001,$A95,'Per Line'!$W$2:$W$1001,1))</f>
        <v/>
      </c>
      <c r="P95" s="7">
        <f>IF($U95="","",O95*N95)</f>
        <v/>
      </c>
      <c r="Q95" s="7">
        <f>IF($U95="","",P95+M95)</f>
        <v/>
      </c>
      <c r="R95" s="7">
        <f>IF($U95="","",S95-Q95)</f>
        <v/>
      </c>
      <c r="S95" s="7">
        <f>IF($U95="","",L95+O95)</f>
        <v/>
      </c>
      <c r="T95" s="7">
        <f>IF($U95="","",S95-Q95-G95)</f>
        <v/>
      </c>
      <c r="U95" s="13">
        <f>IF(ROWS($U$2:$U95)&lt;=MAX('Per Line'!$V$2:$V$1001),MATCH(ROWS($U$2:$U95),'Per Line'!$V$2:$V$1001,0),"")</f>
        <v/>
      </c>
    </row>
    <row r="96">
      <c r="A96">
        <f>IF($U96="","",INDEX('Per Line'!$A$2:$A$1001,$U96)&amp;"")</f>
        <v/>
      </c>
      <c r="B96" s="12" t="n"/>
      <c r="C96">
        <f>IF($U96="","",INDEX('Per Line'!$B$2:$B$1001,$U96)&amp;"")</f>
        <v/>
      </c>
      <c r="D96">
        <f>IF($U96="","",INDEX('Per Line'!$C$2:$C$1001,$U96)&amp;"")</f>
        <v/>
      </c>
      <c r="E96">
        <f>IF($U96="","",INDEX('Per Line'!$D$2:$D$1001,$U96)&amp;"")</f>
        <v/>
      </c>
      <c r="F96">
        <f>IF($U96="","",INDEX('Per Line'!$E$2:$E$1001,$U96))</f>
        <v/>
      </c>
      <c r="G96" s="7">
        <f>IF($U96="","",F96*S96/100)</f>
        <v/>
      </c>
      <c r="H96">
        <f>IF($U96="","",INDEX('Per Line'!$O$2:$O$1001,$U96)&amp;"")</f>
        <v/>
      </c>
      <c r="I96" s="11">
        <f>IF($U96="","",INDEX('Per Line'!$Q$2:$Q$1001,$U96))</f>
        <v/>
      </c>
      <c r="J96">
        <f>IF($U96="","",INDEX('Per Line'!$R$2:$R$1001,$U96)&amp;"")</f>
        <v/>
      </c>
      <c r="K96">
        <f>IF($U96="","",Settings!$C$7)</f>
        <v/>
      </c>
      <c r="L96" s="7">
        <f>IF($U96="","",SUMIFS('Per Line'!$N$2:$N$1001,'Per Line'!$A$2:$A$1001,$A96,'Per Line'!$W$2:$W$1001,0))</f>
        <v/>
      </c>
      <c r="M96" s="7">
        <f>IF($U96="","",L96*K96)</f>
        <v/>
      </c>
      <c r="N96">
        <f>IF($U96="","",Settings!$C$6)</f>
        <v/>
      </c>
      <c r="O96" s="7">
        <f>IF($U96="","",SUMIFS('Per Line'!$N$2:$N$1001,'Per Line'!$A$2:$A$1001,$A96,'Per Line'!$W$2:$W$1001,1))</f>
        <v/>
      </c>
      <c r="P96" s="7">
        <f>IF($U96="","",O96*N96)</f>
        <v/>
      </c>
      <c r="Q96" s="7">
        <f>IF($U96="","",P96+M96)</f>
        <v/>
      </c>
      <c r="R96" s="7">
        <f>IF($U96="","",S96-Q96)</f>
        <v/>
      </c>
      <c r="S96" s="7">
        <f>IF($U96="","",L96+O96)</f>
        <v/>
      </c>
      <c r="T96" s="7">
        <f>IF($U96="","",S96-Q96-G96)</f>
        <v/>
      </c>
      <c r="U96" s="13">
        <f>IF(ROWS($U$2:$U96)&lt;=MAX('Per Line'!$V$2:$V$1001),MATCH(ROWS($U$2:$U96),'Per Line'!$V$2:$V$1001,0),"")</f>
        <v/>
      </c>
    </row>
    <row r="97">
      <c r="A97">
        <f>IF($U97="","",INDEX('Per Line'!$A$2:$A$1001,$U97)&amp;"")</f>
        <v/>
      </c>
      <c r="B97" s="12" t="n"/>
      <c r="C97">
        <f>IF($U97="","",INDEX('Per Line'!$B$2:$B$1001,$U97)&amp;"")</f>
        <v/>
      </c>
      <c r="D97">
        <f>IF($U97="","",INDEX('Per Line'!$C$2:$C$1001,$U97)&amp;"")</f>
        <v/>
      </c>
      <c r="E97">
        <f>IF($U97="","",INDEX('Per Line'!$D$2:$D$1001,$U97)&amp;"")</f>
        <v/>
      </c>
      <c r="F97">
        <f>IF($U97="","",INDEX('Per Line'!$E$2:$E$1001,$U97))</f>
        <v/>
      </c>
      <c r="G97" s="7">
        <f>IF($U97="","",F97*S97/100)</f>
        <v/>
      </c>
      <c r="H97">
        <f>IF($U97="","",INDEX('Per Line'!$O$2:$O$1001,$U97)&amp;"")</f>
        <v/>
      </c>
      <c r="I97" s="11">
        <f>IF($U97="","",INDEX('Per Line'!$Q$2:$Q$1001,$U97))</f>
        <v/>
      </c>
      <c r="J97">
        <f>IF($U97="","",INDEX('Per Line'!$R$2:$R$1001,$U97)&amp;"")</f>
        <v/>
      </c>
      <c r="K97">
        <f>IF($U97="","",Settings!$C$7)</f>
        <v/>
      </c>
      <c r="L97" s="7">
        <f>IF($U97="","",SUMIFS('Per Line'!$N$2:$N$1001,'Per Line'!$A$2:$A$1001,$A97,'Per Line'!$W$2:$W$1001,0))</f>
        <v/>
      </c>
      <c r="M97" s="7">
        <f>IF($U97="","",L97*K97)</f>
        <v/>
      </c>
      <c r="N97">
        <f>IF($U97="","",Settings!$C$6)</f>
        <v/>
      </c>
      <c r="O97" s="7">
        <f>IF($U97="","",SUMIFS('Per Line'!$N$2:$N$1001,'Per Line'!$A$2:$A$1001,$A97,'Per Line'!$W$2:$W$1001,1))</f>
        <v/>
      </c>
      <c r="P97" s="7">
        <f>IF($U97="","",O97*N97)</f>
        <v/>
      </c>
      <c r="Q97" s="7">
        <f>IF($U97="","",P97+M97)</f>
        <v/>
      </c>
      <c r="R97" s="7">
        <f>IF($U97="","",S97-Q97)</f>
        <v/>
      </c>
      <c r="S97" s="7">
        <f>IF($U97="","",L97+O97)</f>
        <v/>
      </c>
      <c r="T97" s="7">
        <f>IF($U97="","",S97-Q97-G97)</f>
        <v/>
      </c>
      <c r="U97" s="13">
        <f>IF(ROWS($U$2:$U97)&lt;=MAX('Per Line'!$V$2:$V$1001),MATCH(ROWS($U$2:$U97),'Per Line'!$V$2:$V$1001,0),"")</f>
        <v/>
      </c>
    </row>
    <row r="98">
      <c r="A98">
        <f>IF($U98="","",INDEX('Per Line'!$A$2:$A$1001,$U98)&amp;"")</f>
        <v/>
      </c>
      <c r="B98" s="12" t="n"/>
      <c r="C98">
        <f>IF($U98="","",INDEX('Per Line'!$B$2:$B$1001,$U98)&amp;"")</f>
        <v/>
      </c>
      <c r="D98">
        <f>IF($U98="","",INDEX('Per Line'!$C$2:$C$1001,$U98)&amp;"")</f>
        <v/>
      </c>
      <c r="E98">
        <f>IF($U98="","",INDEX('Per Line'!$D$2:$D$1001,$U98)&amp;"")</f>
        <v/>
      </c>
      <c r="F98">
        <f>IF($U98="","",INDEX('Per Line'!$E$2:$E$1001,$U98))</f>
        <v/>
      </c>
      <c r="G98" s="7">
        <f>IF($U98="","",F98*S98/100)</f>
        <v/>
      </c>
      <c r="H98">
        <f>IF($U98="","",INDEX('Per Line'!$O$2:$O$1001,$U98)&amp;"")</f>
        <v/>
      </c>
      <c r="I98" s="11">
        <f>IF($U98="","",INDEX('Per Line'!$Q$2:$Q$1001,$U98))</f>
        <v/>
      </c>
      <c r="J98">
        <f>IF($U98="","",INDEX('Per Line'!$R$2:$R$1001,$U98)&amp;"")</f>
        <v/>
      </c>
      <c r="K98">
        <f>IF($U98="","",Settings!$C$7)</f>
        <v/>
      </c>
      <c r="L98" s="7">
        <f>IF($U98="","",SUMIFS('Per Line'!$N$2:$N$1001,'Per Line'!$A$2:$A$1001,$A98,'Per Line'!$W$2:$W$1001,0))</f>
        <v/>
      </c>
      <c r="M98" s="7">
        <f>IF($U98="","",L98*K98)</f>
        <v/>
      </c>
      <c r="N98">
        <f>IF($U98="","",Settings!$C$6)</f>
        <v/>
      </c>
      <c r="O98" s="7">
        <f>IF($U98="","",SUMIFS('Per Line'!$N$2:$N$1001,'Per Line'!$A$2:$A$1001,$A98,'Per Line'!$W$2:$W$1001,1))</f>
        <v/>
      </c>
      <c r="P98" s="7">
        <f>IF($U98="","",O98*N98)</f>
        <v/>
      </c>
      <c r="Q98" s="7">
        <f>IF($U98="","",P98+M98)</f>
        <v/>
      </c>
      <c r="R98" s="7">
        <f>IF($U98="","",S98-Q98)</f>
        <v/>
      </c>
      <c r="S98" s="7">
        <f>IF($U98="","",L98+O98)</f>
        <v/>
      </c>
      <c r="T98" s="7">
        <f>IF($U98="","",S98-Q98-G98)</f>
        <v/>
      </c>
      <c r="U98" s="13">
        <f>IF(ROWS($U$2:$U98)&lt;=MAX('Per Line'!$V$2:$V$1001),MATCH(ROWS($U$2:$U98),'Per Line'!$V$2:$V$1001,0),"")</f>
        <v/>
      </c>
    </row>
    <row r="99">
      <c r="A99">
        <f>IF($U99="","",INDEX('Per Line'!$A$2:$A$1001,$U99)&amp;"")</f>
        <v/>
      </c>
      <c r="B99" s="12" t="n"/>
      <c r="C99">
        <f>IF($U99="","",INDEX('Per Line'!$B$2:$B$1001,$U99)&amp;"")</f>
        <v/>
      </c>
      <c r="D99">
        <f>IF($U99="","",INDEX('Per Line'!$C$2:$C$1001,$U99)&amp;"")</f>
        <v/>
      </c>
      <c r="E99">
        <f>IF($U99="","",INDEX('Per Line'!$D$2:$D$1001,$U99)&amp;"")</f>
        <v/>
      </c>
      <c r="F99">
        <f>IF($U99="","",INDEX('Per Line'!$E$2:$E$1001,$U99))</f>
        <v/>
      </c>
      <c r="G99" s="7">
        <f>IF($U99="","",F99*S99/100)</f>
        <v/>
      </c>
      <c r="H99">
        <f>IF($U99="","",INDEX('Per Line'!$O$2:$O$1001,$U99)&amp;"")</f>
        <v/>
      </c>
      <c r="I99" s="11">
        <f>IF($U99="","",INDEX('Per Line'!$Q$2:$Q$1001,$U99))</f>
        <v/>
      </c>
      <c r="J99">
        <f>IF($U99="","",INDEX('Per Line'!$R$2:$R$1001,$U99)&amp;"")</f>
        <v/>
      </c>
      <c r="K99">
        <f>IF($U99="","",Settings!$C$7)</f>
        <v/>
      </c>
      <c r="L99" s="7">
        <f>IF($U99="","",SUMIFS('Per Line'!$N$2:$N$1001,'Per Line'!$A$2:$A$1001,$A99,'Per Line'!$W$2:$W$1001,0))</f>
        <v/>
      </c>
      <c r="M99" s="7">
        <f>IF($U99="","",L99*K99)</f>
        <v/>
      </c>
      <c r="N99">
        <f>IF($U99="","",Settings!$C$6)</f>
        <v/>
      </c>
      <c r="O99" s="7">
        <f>IF($U99="","",SUMIFS('Per Line'!$N$2:$N$1001,'Per Line'!$A$2:$A$1001,$A99,'Per Line'!$W$2:$W$1001,1))</f>
        <v/>
      </c>
      <c r="P99" s="7">
        <f>IF($U99="","",O99*N99)</f>
        <v/>
      </c>
      <c r="Q99" s="7">
        <f>IF($U99="","",P99+M99)</f>
        <v/>
      </c>
      <c r="R99" s="7">
        <f>IF($U99="","",S99-Q99)</f>
        <v/>
      </c>
      <c r="S99" s="7">
        <f>IF($U99="","",L99+O99)</f>
        <v/>
      </c>
      <c r="T99" s="7">
        <f>IF($U99="","",S99-Q99-G99)</f>
        <v/>
      </c>
      <c r="U99" s="13">
        <f>IF(ROWS($U$2:$U99)&lt;=MAX('Per Line'!$V$2:$V$1001),MATCH(ROWS($U$2:$U99),'Per Line'!$V$2:$V$1001,0),"")</f>
        <v/>
      </c>
    </row>
    <row r="100">
      <c r="A100">
        <f>IF($U100="","",INDEX('Per Line'!$A$2:$A$1001,$U100)&amp;"")</f>
        <v/>
      </c>
      <c r="B100" s="12" t="n"/>
      <c r="C100">
        <f>IF($U100="","",INDEX('Per Line'!$B$2:$B$1001,$U100)&amp;"")</f>
        <v/>
      </c>
      <c r="D100">
        <f>IF($U100="","",INDEX('Per Line'!$C$2:$C$1001,$U100)&amp;"")</f>
        <v/>
      </c>
      <c r="E100">
        <f>IF($U100="","",INDEX('Per Line'!$D$2:$D$1001,$U100)&amp;"")</f>
        <v/>
      </c>
      <c r="F100">
        <f>IF($U100="","",INDEX('Per Line'!$E$2:$E$1001,$U100))</f>
        <v/>
      </c>
      <c r="G100" s="7">
        <f>IF($U100="","",F100*S100/100)</f>
        <v/>
      </c>
      <c r="H100">
        <f>IF($U100="","",INDEX('Per Line'!$O$2:$O$1001,$U100)&amp;"")</f>
        <v/>
      </c>
      <c r="I100" s="11">
        <f>IF($U100="","",INDEX('Per Line'!$Q$2:$Q$1001,$U100))</f>
        <v/>
      </c>
      <c r="J100">
        <f>IF($U100="","",INDEX('Per Line'!$R$2:$R$1001,$U100)&amp;"")</f>
        <v/>
      </c>
      <c r="K100">
        <f>IF($U100="","",Settings!$C$7)</f>
        <v/>
      </c>
      <c r="L100" s="7">
        <f>IF($U100="","",SUMIFS('Per Line'!$N$2:$N$1001,'Per Line'!$A$2:$A$1001,$A100,'Per Line'!$W$2:$W$1001,0))</f>
        <v/>
      </c>
      <c r="M100" s="7">
        <f>IF($U100="","",L100*K100)</f>
        <v/>
      </c>
      <c r="N100">
        <f>IF($U100="","",Settings!$C$6)</f>
        <v/>
      </c>
      <c r="O100" s="7">
        <f>IF($U100="","",SUMIFS('Per Line'!$N$2:$N$1001,'Per Line'!$A$2:$A$1001,$A100,'Per Line'!$W$2:$W$1001,1))</f>
        <v/>
      </c>
      <c r="P100" s="7">
        <f>IF($U100="","",O100*N100)</f>
        <v/>
      </c>
      <c r="Q100" s="7">
        <f>IF($U100="","",P100+M100)</f>
        <v/>
      </c>
      <c r="R100" s="7">
        <f>IF($U100="","",S100-Q100)</f>
        <v/>
      </c>
      <c r="S100" s="7">
        <f>IF($U100="","",L100+O100)</f>
        <v/>
      </c>
      <c r="T100" s="7">
        <f>IF($U100="","",S100-Q100-G100)</f>
        <v/>
      </c>
      <c r="U100" s="13">
        <f>IF(ROWS($U$2:$U100)&lt;=MAX('Per Line'!$V$2:$V$1001),MATCH(ROWS($U$2:$U100),'Per Line'!$V$2:$V$1001,0),"")</f>
        <v/>
      </c>
    </row>
    <row r="101">
      <c r="A101">
        <f>IF($U101="","",INDEX('Per Line'!$A$2:$A$1001,$U101)&amp;"")</f>
        <v/>
      </c>
      <c r="B101" s="12" t="n"/>
      <c r="C101">
        <f>IF($U101="","",INDEX('Per Line'!$B$2:$B$1001,$U101)&amp;"")</f>
        <v/>
      </c>
      <c r="D101">
        <f>IF($U101="","",INDEX('Per Line'!$C$2:$C$1001,$U101)&amp;"")</f>
        <v/>
      </c>
      <c r="E101">
        <f>IF($U101="","",INDEX('Per Line'!$D$2:$D$1001,$U101)&amp;"")</f>
        <v/>
      </c>
      <c r="F101">
        <f>IF($U101="","",INDEX('Per Line'!$E$2:$E$1001,$U101))</f>
        <v/>
      </c>
      <c r="G101" s="7">
        <f>IF($U101="","",F101*S101/100)</f>
        <v/>
      </c>
      <c r="H101">
        <f>IF($U101="","",INDEX('Per Line'!$O$2:$O$1001,$U101)&amp;"")</f>
        <v/>
      </c>
      <c r="I101" s="11">
        <f>IF($U101="","",INDEX('Per Line'!$Q$2:$Q$1001,$U101))</f>
        <v/>
      </c>
      <c r="J101">
        <f>IF($U101="","",INDEX('Per Line'!$R$2:$R$1001,$U101)&amp;"")</f>
        <v/>
      </c>
      <c r="K101">
        <f>IF($U101="","",Settings!$C$7)</f>
        <v/>
      </c>
      <c r="L101" s="7">
        <f>IF($U101="","",SUMIFS('Per Line'!$N$2:$N$1001,'Per Line'!$A$2:$A$1001,$A101,'Per Line'!$W$2:$W$1001,0))</f>
        <v/>
      </c>
      <c r="M101" s="7">
        <f>IF($U101="","",L101*K101)</f>
        <v/>
      </c>
      <c r="N101">
        <f>IF($U101="","",Settings!$C$6)</f>
        <v/>
      </c>
      <c r="O101" s="7">
        <f>IF($U101="","",SUMIFS('Per Line'!$N$2:$N$1001,'Per Line'!$A$2:$A$1001,$A101,'Per Line'!$W$2:$W$1001,1))</f>
        <v/>
      </c>
      <c r="P101" s="7">
        <f>IF($U101="","",O101*N101)</f>
        <v/>
      </c>
      <c r="Q101" s="7">
        <f>IF($U101="","",P101+M101)</f>
        <v/>
      </c>
      <c r="R101" s="7">
        <f>IF($U101="","",S101-Q101)</f>
        <v/>
      </c>
      <c r="S101" s="7">
        <f>IF($U101="","",L101+O101)</f>
        <v/>
      </c>
      <c r="T101" s="7">
        <f>IF($U101="","",S101-Q101-G101)</f>
        <v/>
      </c>
      <c r="U101" s="13">
        <f>IF(ROWS($U$2:$U101)&lt;=MAX('Per Line'!$V$2:$V$1001),MATCH(ROWS($U$2:$U101),'Per Line'!$V$2:$V$1001,0),"")</f>
        <v/>
      </c>
    </row>
    <row r="102">
      <c r="A102">
        <f>IF($U102="","",INDEX('Per Line'!$A$2:$A$1001,$U102)&amp;"")</f>
        <v/>
      </c>
      <c r="B102" s="12" t="n"/>
      <c r="C102">
        <f>IF($U102="","",INDEX('Per Line'!$B$2:$B$1001,$U102)&amp;"")</f>
        <v/>
      </c>
      <c r="D102">
        <f>IF($U102="","",INDEX('Per Line'!$C$2:$C$1001,$U102)&amp;"")</f>
        <v/>
      </c>
      <c r="E102">
        <f>IF($U102="","",INDEX('Per Line'!$D$2:$D$1001,$U102)&amp;"")</f>
        <v/>
      </c>
      <c r="F102">
        <f>IF($U102="","",INDEX('Per Line'!$E$2:$E$1001,$U102))</f>
        <v/>
      </c>
      <c r="G102" s="7">
        <f>IF($U102="","",F102*S102/100)</f>
        <v/>
      </c>
      <c r="H102">
        <f>IF($U102="","",INDEX('Per Line'!$O$2:$O$1001,$U102)&amp;"")</f>
        <v/>
      </c>
      <c r="I102" s="11">
        <f>IF($U102="","",INDEX('Per Line'!$Q$2:$Q$1001,$U102))</f>
        <v/>
      </c>
      <c r="J102">
        <f>IF($U102="","",INDEX('Per Line'!$R$2:$R$1001,$U102)&amp;"")</f>
        <v/>
      </c>
      <c r="K102">
        <f>IF($U102="","",Settings!$C$7)</f>
        <v/>
      </c>
      <c r="L102" s="7">
        <f>IF($U102="","",SUMIFS('Per Line'!$N$2:$N$1001,'Per Line'!$A$2:$A$1001,$A102,'Per Line'!$W$2:$W$1001,0))</f>
        <v/>
      </c>
      <c r="M102" s="7">
        <f>IF($U102="","",L102*K102)</f>
        <v/>
      </c>
      <c r="N102">
        <f>IF($U102="","",Settings!$C$6)</f>
        <v/>
      </c>
      <c r="O102" s="7">
        <f>IF($U102="","",SUMIFS('Per Line'!$N$2:$N$1001,'Per Line'!$A$2:$A$1001,$A102,'Per Line'!$W$2:$W$1001,1))</f>
        <v/>
      </c>
      <c r="P102" s="7">
        <f>IF($U102="","",O102*N102)</f>
        <v/>
      </c>
      <c r="Q102" s="7">
        <f>IF($U102="","",P102+M102)</f>
        <v/>
      </c>
      <c r="R102" s="7">
        <f>IF($U102="","",S102-Q102)</f>
        <v/>
      </c>
      <c r="S102" s="7">
        <f>IF($U102="","",L102+O102)</f>
        <v/>
      </c>
      <c r="T102" s="7">
        <f>IF($U102="","",S102-Q102-G102)</f>
        <v/>
      </c>
      <c r="U102" s="13">
        <f>IF(ROWS($U$2:$U102)&lt;=MAX('Per Line'!$V$2:$V$1001),MATCH(ROWS($U$2:$U102),'Per Line'!$V$2:$V$1001,0),"")</f>
        <v/>
      </c>
    </row>
    <row r="103">
      <c r="A103">
        <f>IF($U103="","",INDEX('Per Line'!$A$2:$A$1001,$U103)&amp;"")</f>
        <v/>
      </c>
      <c r="B103" s="12" t="n"/>
      <c r="C103">
        <f>IF($U103="","",INDEX('Per Line'!$B$2:$B$1001,$U103)&amp;"")</f>
        <v/>
      </c>
      <c r="D103">
        <f>IF($U103="","",INDEX('Per Line'!$C$2:$C$1001,$U103)&amp;"")</f>
        <v/>
      </c>
      <c r="E103">
        <f>IF($U103="","",INDEX('Per Line'!$D$2:$D$1001,$U103)&amp;"")</f>
        <v/>
      </c>
      <c r="F103">
        <f>IF($U103="","",INDEX('Per Line'!$E$2:$E$1001,$U103))</f>
        <v/>
      </c>
      <c r="G103" s="7">
        <f>IF($U103="","",F103*S103/100)</f>
        <v/>
      </c>
      <c r="H103">
        <f>IF($U103="","",INDEX('Per Line'!$O$2:$O$1001,$U103)&amp;"")</f>
        <v/>
      </c>
      <c r="I103" s="11">
        <f>IF($U103="","",INDEX('Per Line'!$Q$2:$Q$1001,$U103))</f>
        <v/>
      </c>
      <c r="J103">
        <f>IF($U103="","",INDEX('Per Line'!$R$2:$R$1001,$U103)&amp;"")</f>
        <v/>
      </c>
      <c r="K103">
        <f>IF($U103="","",Settings!$C$7)</f>
        <v/>
      </c>
      <c r="L103" s="7">
        <f>IF($U103="","",SUMIFS('Per Line'!$N$2:$N$1001,'Per Line'!$A$2:$A$1001,$A103,'Per Line'!$W$2:$W$1001,0))</f>
        <v/>
      </c>
      <c r="M103" s="7">
        <f>IF($U103="","",L103*K103)</f>
        <v/>
      </c>
      <c r="N103">
        <f>IF($U103="","",Settings!$C$6)</f>
        <v/>
      </c>
      <c r="O103" s="7">
        <f>IF($U103="","",SUMIFS('Per Line'!$N$2:$N$1001,'Per Line'!$A$2:$A$1001,$A103,'Per Line'!$W$2:$W$1001,1))</f>
        <v/>
      </c>
      <c r="P103" s="7">
        <f>IF($U103="","",O103*N103)</f>
        <v/>
      </c>
      <c r="Q103" s="7">
        <f>IF($U103="","",P103+M103)</f>
        <v/>
      </c>
      <c r="R103" s="7">
        <f>IF($U103="","",S103-Q103)</f>
        <v/>
      </c>
      <c r="S103" s="7">
        <f>IF($U103="","",L103+O103)</f>
        <v/>
      </c>
      <c r="T103" s="7">
        <f>IF($U103="","",S103-Q103-G103)</f>
        <v/>
      </c>
      <c r="U103" s="13">
        <f>IF(ROWS($U$2:$U103)&lt;=MAX('Per Line'!$V$2:$V$1001),MATCH(ROWS($U$2:$U103),'Per Line'!$V$2:$V$1001,0),"")</f>
        <v/>
      </c>
    </row>
    <row r="104">
      <c r="A104">
        <f>IF($U104="","",INDEX('Per Line'!$A$2:$A$1001,$U104)&amp;"")</f>
        <v/>
      </c>
      <c r="B104" s="12" t="n"/>
      <c r="C104">
        <f>IF($U104="","",INDEX('Per Line'!$B$2:$B$1001,$U104)&amp;"")</f>
        <v/>
      </c>
      <c r="D104">
        <f>IF($U104="","",INDEX('Per Line'!$C$2:$C$1001,$U104)&amp;"")</f>
        <v/>
      </c>
      <c r="E104">
        <f>IF($U104="","",INDEX('Per Line'!$D$2:$D$1001,$U104)&amp;"")</f>
        <v/>
      </c>
      <c r="F104">
        <f>IF($U104="","",INDEX('Per Line'!$E$2:$E$1001,$U104))</f>
        <v/>
      </c>
      <c r="G104" s="7">
        <f>IF($U104="","",F104*S104/100)</f>
        <v/>
      </c>
      <c r="H104">
        <f>IF($U104="","",INDEX('Per Line'!$O$2:$O$1001,$U104)&amp;"")</f>
        <v/>
      </c>
      <c r="I104" s="11">
        <f>IF($U104="","",INDEX('Per Line'!$Q$2:$Q$1001,$U104))</f>
        <v/>
      </c>
      <c r="J104">
        <f>IF($U104="","",INDEX('Per Line'!$R$2:$R$1001,$U104)&amp;"")</f>
        <v/>
      </c>
      <c r="K104">
        <f>IF($U104="","",Settings!$C$7)</f>
        <v/>
      </c>
      <c r="L104" s="7">
        <f>IF($U104="","",SUMIFS('Per Line'!$N$2:$N$1001,'Per Line'!$A$2:$A$1001,$A104,'Per Line'!$W$2:$W$1001,0))</f>
        <v/>
      </c>
      <c r="M104" s="7">
        <f>IF($U104="","",L104*K104)</f>
        <v/>
      </c>
      <c r="N104">
        <f>IF($U104="","",Settings!$C$6)</f>
        <v/>
      </c>
      <c r="O104" s="7">
        <f>IF($U104="","",SUMIFS('Per Line'!$N$2:$N$1001,'Per Line'!$A$2:$A$1001,$A104,'Per Line'!$W$2:$W$1001,1))</f>
        <v/>
      </c>
      <c r="P104" s="7">
        <f>IF($U104="","",O104*N104)</f>
        <v/>
      </c>
      <c r="Q104" s="7">
        <f>IF($U104="","",P104+M104)</f>
        <v/>
      </c>
      <c r="R104" s="7">
        <f>IF($U104="","",S104-Q104)</f>
        <v/>
      </c>
      <c r="S104" s="7">
        <f>IF($U104="","",L104+O104)</f>
        <v/>
      </c>
      <c r="T104" s="7">
        <f>IF($U104="","",S104-Q104-G104)</f>
        <v/>
      </c>
      <c r="U104" s="13">
        <f>IF(ROWS($U$2:$U104)&lt;=MAX('Per Line'!$V$2:$V$1001),MATCH(ROWS($U$2:$U104),'Per Line'!$V$2:$V$1001,0),"")</f>
        <v/>
      </c>
    </row>
    <row r="105">
      <c r="A105">
        <f>IF($U105="","",INDEX('Per Line'!$A$2:$A$1001,$U105)&amp;"")</f>
        <v/>
      </c>
      <c r="B105" s="12" t="n"/>
      <c r="C105">
        <f>IF($U105="","",INDEX('Per Line'!$B$2:$B$1001,$U105)&amp;"")</f>
        <v/>
      </c>
      <c r="D105">
        <f>IF($U105="","",INDEX('Per Line'!$C$2:$C$1001,$U105)&amp;"")</f>
        <v/>
      </c>
      <c r="E105">
        <f>IF($U105="","",INDEX('Per Line'!$D$2:$D$1001,$U105)&amp;"")</f>
        <v/>
      </c>
      <c r="F105">
        <f>IF($U105="","",INDEX('Per Line'!$E$2:$E$1001,$U105))</f>
        <v/>
      </c>
      <c r="G105" s="7">
        <f>IF($U105="","",F105*S105/100)</f>
        <v/>
      </c>
      <c r="H105">
        <f>IF($U105="","",INDEX('Per Line'!$O$2:$O$1001,$U105)&amp;"")</f>
        <v/>
      </c>
      <c r="I105" s="11">
        <f>IF($U105="","",INDEX('Per Line'!$Q$2:$Q$1001,$U105))</f>
        <v/>
      </c>
      <c r="J105">
        <f>IF($U105="","",INDEX('Per Line'!$R$2:$R$1001,$U105)&amp;"")</f>
        <v/>
      </c>
      <c r="K105">
        <f>IF($U105="","",Settings!$C$7)</f>
        <v/>
      </c>
      <c r="L105" s="7">
        <f>IF($U105="","",SUMIFS('Per Line'!$N$2:$N$1001,'Per Line'!$A$2:$A$1001,$A105,'Per Line'!$W$2:$W$1001,0))</f>
        <v/>
      </c>
      <c r="M105" s="7">
        <f>IF($U105="","",L105*K105)</f>
        <v/>
      </c>
      <c r="N105">
        <f>IF($U105="","",Settings!$C$6)</f>
        <v/>
      </c>
      <c r="O105" s="7">
        <f>IF($U105="","",SUMIFS('Per Line'!$N$2:$N$1001,'Per Line'!$A$2:$A$1001,$A105,'Per Line'!$W$2:$W$1001,1))</f>
        <v/>
      </c>
      <c r="P105" s="7">
        <f>IF($U105="","",O105*N105)</f>
        <v/>
      </c>
      <c r="Q105" s="7">
        <f>IF($U105="","",P105+M105)</f>
        <v/>
      </c>
      <c r="R105" s="7">
        <f>IF($U105="","",S105-Q105)</f>
        <v/>
      </c>
      <c r="S105" s="7">
        <f>IF($U105="","",L105+O105)</f>
        <v/>
      </c>
      <c r="T105" s="7">
        <f>IF($U105="","",S105-Q105-G105)</f>
        <v/>
      </c>
      <c r="U105" s="13">
        <f>IF(ROWS($U$2:$U105)&lt;=MAX('Per Line'!$V$2:$V$1001),MATCH(ROWS($U$2:$U105),'Per Line'!$V$2:$V$1001,0),"")</f>
        <v/>
      </c>
    </row>
    <row r="106">
      <c r="A106">
        <f>IF($U106="","",INDEX('Per Line'!$A$2:$A$1001,$U106)&amp;"")</f>
        <v/>
      </c>
      <c r="B106" s="12" t="n"/>
      <c r="C106">
        <f>IF($U106="","",INDEX('Per Line'!$B$2:$B$1001,$U106)&amp;"")</f>
        <v/>
      </c>
      <c r="D106">
        <f>IF($U106="","",INDEX('Per Line'!$C$2:$C$1001,$U106)&amp;"")</f>
        <v/>
      </c>
      <c r="E106">
        <f>IF($U106="","",INDEX('Per Line'!$D$2:$D$1001,$U106)&amp;"")</f>
        <v/>
      </c>
      <c r="F106">
        <f>IF($U106="","",INDEX('Per Line'!$E$2:$E$1001,$U106))</f>
        <v/>
      </c>
      <c r="G106" s="7">
        <f>IF($U106="","",F106*S106/100)</f>
        <v/>
      </c>
      <c r="H106">
        <f>IF($U106="","",INDEX('Per Line'!$O$2:$O$1001,$U106)&amp;"")</f>
        <v/>
      </c>
      <c r="I106" s="11">
        <f>IF($U106="","",INDEX('Per Line'!$Q$2:$Q$1001,$U106))</f>
        <v/>
      </c>
      <c r="J106">
        <f>IF($U106="","",INDEX('Per Line'!$R$2:$R$1001,$U106)&amp;"")</f>
        <v/>
      </c>
      <c r="K106">
        <f>IF($U106="","",Settings!$C$7)</f>
        <v/>
      </c>
      <c r="L106" s="7">
        <f>IF($U106="","",SUMIFS('Per Line'!$N$2:$N$1001,'Per Line'!$A$2:$A$1001,$A106,'Per Line'!$W$2:$W$1001,0))</f>
        <v/>
      </c>
      <c r="M106" s="7">
        <f>IF($U106="","",L106*K106)</f>
        <v/>
      </c>
      <c r="N106">
        <f>IF($U106="","",Settings!$C$6)</f>
        <v/>
      </c>
      <c r="O106" s="7">
        <f>IF($U106="","",SUMIFS('Per Line'!$N$2:$N$1001,'Per Line'!$A$2:$A$1001,$A106,'Per Line'!$W$2:$W$1001,1))</f>
        <v/>
      </c>
      <c r="P106" s="7">
        <f>IF($U106="","",O106*N106)</f>
        <v/>
      </c>
      <c r="Q106" s="7">
        <f>IF($U106="","",P106+M106)</f>
        <v/>
      </c>
      <c r="R106" s="7">
        <f>IF($U106="","",S106-Q106)</f>
        <v/>
      </c>
      <c r="S106" s="7">
        <f>IF($U106="","",L106+O106)</f>
        <v/>
      </c>
      <c r="T106" s="7">
        <f>IF($U106="","",S106-Q106-G106)</f>
        <v/>
      </c>
      <c r="U106" s="13">
        <f>IF(ROWS($U$2:$U106)&lt;=MAX('Per Line'!$V$2:$V$1001),MATCH(ROWS($U$2:$U106),'Per Line'!$V$2:$V$1001,0),"")</f>
        <v/>
      </c>
    </row>
    <row r="107">
      <c r="A107">
        <f>IF($U107="","",INDEX('Per Line'!$A$2:$A$1001,$U107)&amp;"")</f>
        <v/>
      </c>
      <c r="B107" s="12" t="n"/>
      <c r="C107">
        <f>IF($U107="","",INDEX('Per Line'!$B$2:$B$1001,$U107)&amp;"")</f>
        <v/>
      </c>
      <c r="D107">
        <f>IF($U107="","",INDEX('Per Line'!$C$2:$C$1001,$U107)&amp;"")</f>
        <v/>
      </c>
      <c r="E107">
        <f>IF($U107="","",INDEX('Per Line'!$D$2:$D$1001,$U107)&amp;"")</f>
        <v/>
      </c>
      <c r="F107">
        <f>IF($U107="","",INDEX('Per Line'!$E$2:$E$1001,$U107))</f>
        <v/>
      </c>
      <c r="G107" s="7">
        <f>IF($U107="","",F107*S107/100)</f>
        <v/>
      </c>
      <c r="H107">
        <f>IF($U107="","",INDEX('Per Line'!$O$2:$O$1001,$U107)&amp;"")</f>
        <v/>
      </c>
      <c r="I107" s="11">
        <f>IF($U107="","",INDEX('Per Line'!$Q$2:$Q$1001,$U107))</f>
        <v/>
      </c>
      <c r="J107">
        <f>IF($U107="","",INDEX('Per Line'!$R$2:$R$1001,$U107)&amp;"")</f>
        <v/>
      </c>
      <c r="K107">
        <f>IF($U107="","",Settings!$C$7)</f>
        <v/>
      </c>
      <c r="L107" s="7">
        <f>IF($U107="","",SUMIFS('Per Line'!$N$2:$N$1001,'Per Line'!$A$2:$A$1001,$A107,'Per Line'!$W$2:$W$1001,0))</f>
        <v/>
      </c>
      <c r="M107" s="7">
        <f>IF($U107="","",L107*K107)</f>
        <v/>
      </c>
      <c r="N107">
        <f>IF($U107="","",Settings!$C$6)</f>
        <v/>
      </c>
      <c r="O107" s="7">
        <f>IF($U107="","",SUMIFS('Per Line'!$N$2:$N$1001,'Per Line'!$A$2:$A$1001,$A107,'Per Line'!$W$2:$W$1001,1))</f>
        <v/>
      </c>
      <c r="P107" s="7">
        <f>IF($U107="","",O107*N107)</f>
        <v/>
      </c>
      <c r="Q107" s="7">
        <f>IF($U107="","",P107+M107)</f>
        <v/>
      </c>
      <c r="R107" s="7">
        <f>IF($U107="","",S107-Q107)</f>
        <v/>
      </c>
      <c r="S107" s="7">
        <f>IF($U107="","",L107+O107)</f>
        <v/>
      </c>
      <c r="T107" s="7">
        <f>IF($U107="","",S107-Q107-G107)</f>
        <v/>
      </c>
      <c r="U107" s="13">
        <f>IF(ROWS($U$2:$U107)&lt;=MAX('Per Line'!$V$2:$V$1001),MATCH(ROWS($U$2:$U107),'Per Line'!$V$2:$V$1001,0),"")</f>
        <v/>
      </c>
    </row>
    <row r="108">
      <c r="A108">
        <f>IF($U108="","",INDEX('Per Line'!$A$2:$A$1001,$U108)&amp;"")</f>
        <v/>
      </c>
      <c r="B108" s="12" t="n"/>
      <c r="C108">
        <f>IF($U108="","",INDEX('Per Line'!$B$2:$B$1001,$U108)&amp;"")</f>
        <v/>
      </c>
      <c r="D108">
        <f>IF($U108="","",INDEX('Per Line'!$C$2:$C$1001,$U108)&amp;"")</f>
        <v/>
      </c>
      <c r="E108">
        <f>IF($U108="","",INDEX('Per Line'!$D$2:$D$1001,$U108)&amp;"")</f>
        <v/>
      </c>
      <c r="F108">
        <f>IF($U108="","",INDEX('Per Line'!$E$2:$E$1001,$U108))</f>
        <v/>
      </c>
      <c r="G108" s="7">
        <f>IF($U108="","",F108*S108/100)</f>
        <v/>
      </c>
      <c r="H108">
        <f>IF($U108="","",INDEX('Per Line'!$O$2:$O$1001,$U108)&amp;"")</f>
        <v/>
      </c>
      <c r="I108" s="11">
        <f>IF($U108="","",INDEX('Per Line'!$Q$2:$Q$1001,$U108))</f>
        <v/>
      </c>
      <c r="J108">
        <f>IF($U108="","",INDEX('Per Line'!$R$2:$R$1001,$U108)&amp;"")</f>
        <v/>
      </c>
      <c r="K108">
        <f>IF($U108="","",Settings!$C$7)</f>
        <v/>
      </c>
      <c r="L108" s="7">
        <f>IF($U108="","",SUMIFS('Per Line'!$N$2:$N$1001,'Per Line'!$A$2:$A$1001,$A108,'Per Line'!$W$2:$W$1001,0))</f>
        <v/>
      </c>
      <c r="M108" s="7">
        <f>IF($U108="","",L108*K108)</f>
        <v/>
      </c>
      <c r="N108">
        <f>IF($U108="","",Settings!$C$6)</f>
        <v/>
      </c>
      <c r="O108" s="7">
        <f>IF($U108="","",SUMIFS('Per Line'!$N$2:$N$1001,'Per Line'!$A$2:$A$1001,$A108,'Per Line'!$W$2:$W$1001,1))</f>
        <v/>
      </c>
      <c r="P108" s="7">
        <f>IF($U108="","",O108*N108)</f>
        <v/>
      </c>
      <c r="Q108" s="7">
        <f>IF($U108="","",P108+M108)</f>
        <v/>
      </c>
      <c r="R108" s="7">
        <f>IF($U108="","",S108-Q108)</f>
        <v/>
      </c>
      <c r="S108" s="7">
        <f>IF($U108="","",L108+O108)</f>
        <v/>
      </c>
      <c r="T108" s="7">
        <f>IF($U108="","",S108-Q108-G108)</f>
        <v/>
      </c>
      <c r="U108" s="13">
        <f>IF(ROWS($U$2:$U108)&lt;=MAX('Per Line'!$V$2:$V$1001),MATCH(ROWS($U$2:$U108),'Per Line'!$V$2:$V$1001,0),"")</f>
        <v/>
      </c>
    </row>
    <row r="109">
      <c r="A109">
        <f>IF($U109="","",INDEX('Per Line'!$A$2:$A$1001,$U109)&amp;"")</f>
        <v/>
      </c>
      <c r="B109" s="12" t="n"/>
      <c r="C109">
        <f>IF($U109="","",INDEX('Per Line'!$B$2:$B$1001,$U109)&amp;"")</f>
        <v/>
      </c>
      <c r="D109">
        <f>IF($U109="","",INDEX('Per Line'!$C$2:$C$1001,$U109)&amp;"")</f>
        <v/>
      </c>
      <c r="E109">
        <f>IF($U109="","",INDEX('Per Line'!$D$2:$D$1001,$U109)&amp;"")</f>
        <v/>
      </c>
      <c r="F109">
        <f>IF($U109="","",INDEX('Per Line'!$E$2:$E$1001,$U109))</f>
        <v/>
      </c>
      <c r="G109" s="7">
        <f>IF($U109="","",F109*S109/100)</f>
        <v/>
      </c>
      <c r="H109">
        <f>IF($U109="","",INDEX('Per Line'!$O$2:$O$1001,$U109)&amp;"")</f>
        <v/>
      </c>
      <c r="I109" s="11">
        <f>IF($U109="","",INDEX('Per Line'!$Q$2:$Q$1001,$U109))</f>
        <v/>
      </c>
      <c r="J109">
        <f>IF($U109="","",INDEX('Per Line'!$R$2:$R$1001,$U109)&amp;"")</f>
        <v/>
      </c>
      <c r="K109">
        <f>IF($U109="","",Settings!$C$7)</f>
        <v/>
      </c>
      <c r="L109" s="7">
        <f>IF($U109="","",SUMIFS('Per Line'!$N$2:$N$1001,'Per Line'!$A$2:$A$1001,$A109,'Per Line'!$W$2:$W$1001,0))</f>
        <v/>
      </c>
      <c r="M109" s="7">
        <f>IF($U109="","",L109*K109)</f>
        <v/>
      </c>
      <c r="N109">
        <f>IF($U109="","",Settings!$C$6)</f>
        <v/>
      </c>
      <c r="O109" s="7">
        <f>IF($U109="","",SUMIFS('Per Line'!$N$2:$N$1001,'Per Line'!$A$2:$A$1001,$A109,'Per Line'!$W$2:$W$1001,1))</f>
        <v/>
      </c>
      <c r="P109" s="7">
        <f>IF($U109="","",O109*N109)</f>
        <v/>
      </c>
      <c r="Q109" s="7">
        <f>IF($U109="","",P109+M109)</f>
        <v/>
      </c>
      <c r="R109" s="7">
        <f>IF($U109="","",S109-Q109)</f>
        <v/>
      </c>
      <c r="S109" s="7">
        <f>IF($U109="","",L109+O109)</f>
        <v/>
      </c>
      <c r="T109" s="7">
        <f>IF($U109="","",S109-Q109-G109)</f>
        <v/>
      </c>
      <c r="U109" s="13">
        <f>IF(ROWS($U$2:$U109)&lt;=MAX('Per Line'!$V$2:$V$1001),MATCH(ROWS($U$2:$U109),'Per Line'!$V$2:$V$1001,0),"")</f>
        <v/>
      </c>
    </row>
    <row r="110">
      <c r="A110">
        <f>IF($U110="","",INDEX('Per Line'!$A$2:$A$1001,$U110)&amp;"")</f>
        <v/>
      </c>
      <c r="B110" s="12" t="n"/>
      <c r="C110">
        <f>IF($U110="","",INDEX('Per Line'!$B$2:$B$1001,$U110)&amp;"")</f>
        <v/>
      </c>
      <c r="D110">
        <f>IF($U110="","",INDEX('Per Line'!$C$2:$C$1001,$U110)&amp;"")</f>
        <v/>
      </c>
      <c r="E110">
        <f>IF($U110="","",INDEX('Per Line'!$D$2:$D$1001,$U110)&amp;"")</f>
        <v/>
      </c>
      <c r="F110">
        <f>IF($U110="","",INDEX('Per Line'!$E$2:$E$1001,$U110))</f>
        <v/>
      </c>
      <c r="G110" s="7">
        <f>IF($U110="","",F110*S110/100)</f>
        <v/>
      </c>
      <c r="H110">
        <f>IF($U110="","",INDEX('Per Line'!$O$2:$O$1001,$U110)&amp;"")</f>
        <v/>
      </c>
      <c r="I110" s="11">
        <f>IF($U110="","",INDEX('Per Line'!$Q$2:$Q$1001,$U110))</f>
        <v/>
      </c>
      <c r="J110">
        <f>IF($U110="","",INDEX('Per Line'!$R$2:$R$1001,$U110)&amp;"")</f>
        <v/>
      </c>
      <c r="K110">
        <f>IF($U110="","",Settings!$C$7)</f>
        <v/>
      </c>
      <c r="L110" s="7">
        <f>IF($U110="","",SUMIFS('Per Line'!$N$2:$N$1001,'Per Line'!$A$2:$A$1001,$A110,'Per Line'!$W$2:$W$1001,0))</f>
        <v/>
      </c>
      <c r="M110" s="7">
        <f>IF($U110="","",L110*K110)</f>
        <v/>
      </c>
      <c r="N110">
        <f>IF($U110="","",Settings!$C$6)</f>
        <v/>
      </c>
      <c r="O110" s="7">
        <f>IF($U110="","",SUMIFS('Per Line'!$N$2:$N$1001,'Per Line'!$A$2:$A$1001,$A110,'Per Line'!$W$2:$W$1001,1))</f>
        <v/>
      </c>
      <c r="P110" s="7">
        <f>IF($U110="","",O110*N110)</f>
        <v/>
      </c>
      <c r="Q110" s="7">
        <f>IF($U110="","",P110+M110)</f>
        <v/>
      </c>
      <c r="R110" s="7">
        <f>IF($U110="","",S110-Q110)</f>
        <v/>
      </c>
      <c r="S110" s="7">
        <f>IF($U110="","",L110+O110)</f>
        <v/>
      </c>
      <c r="T110" s="7">
        <f>IF($U110="","",S110-Q110-G110)</f>
        <v/>
      </c>
      <c r="U110" s="13">
        <f>IF(ROWS($U$2:$U110)&lt;=MAX('Per Line'!$V$2:$V$1001),MATCH(ROWS($U$2:$U110),'Per Line'!$V$2:$V$1001,0),"")</f>
        <v/>
      </c>
    </row>
    <row r="111">
      <c r="A111">
        <f>IF($U111="","",INDEX('Per Line'!$A$2:$A$1001,$U111)&amp;"")</f>
        <v/>
      </c>
      <c r="B111" s="12" t="n"/>
      <c r="C111">
        <f>IF($U111="","",INDEX('Per Line'!$B$2:$B$1001,$U111)&amp;"")</f>
        <v/>
      </c>
      <c r="D111">
        <f>IF($U111="","",INDEX('Per Line'!$C$2:$C$1001,$U111)&amp;"")</f>
        <v/>
      </c>
      <c r="E111">
        <f>IF($U111="","",INDEX('Per Line'!$D$2:$D$1001,$U111)&amp;"")</f>
        <v/>
      </c>
      <c r="F111">
        <f>IF($U111="","",INDEX('Per Line'!$E$2:$E$1001,$U111))</f>
        <v/>
      </c>
      <c r="G111" s="7">
        <f>IF($U111="","",F111*S111/100)</f>
        <v/>
      </c>
      <c r="H111">
        <f>IF($U111="","",INDEX('Per Line'!$O$2:$O$1001,$U111)&amp;"")</f>
        <v/>
      </c>
      <c r="I111" s="11">
        <f>IF($U111="","",INDEX('Per Line'!$Q$2:$Q$1001,$U111))</f>
        <v/>
      </c>
      <c r="J111">
        <f>IF($U111="","",INDEX('Per Line'!$R$2:$R$1001,$U111)&amp;"")</f>
        <v/>
      </c>
      <c r="K111">
        <f>IF($U111="","",Settings!$C$7)</f>
        <v/>
      </c>
      <c r="L111" s="7">
        <f>IF($U111="","",SUMIFS('Per Line'!$N$2:$N$1001,'Per Line'!$A$2:$A$1001,$A111,'Per Line'!$W$2:$W$1001,0))</f>
        <v/>
      </c>
      <c r="M111" s="7">
        <f>IF($U111="","",L111*K111)</f>
        <v/>
      </c>
      <c r="N111">
        <f>IF($U111="","",Settings!$C$6)</f>
        <v/>
      </c>
      <c r="O111" s="7">
        <f>IF($U111="","",SUMIFS('Per Line'!$N$2:$N$1001,'Per Line'!$A$2:$A$1001,$A111,'Per Line'!$W$2:$W$1001,1))</f>
        <v/>
      </c>
      <c r="P111" s="7">
        <f>IF($U111="","",O111*N111)</f>
        <v/>
      </c>
      <c r="Q111" s="7">
        <f>IF($U111="","",P111+M111)</f>
        <v/>
      </c>
      <c r="R111" s="7">
        <f>IF($U111="","",S111-Q111)</f>
        <v/>
      </c>
      <c r="S111" s="7">
        <f>IF($U111="","",L111+O111)</f>
        <v/>
      </c>
      <c r="T111" s="7">
        <f>IF($U111="","",S111-Q111-G111)</f>
        <v/>
      </c>
      <c r="U111" s="13">
        <f>IF(ROWS($U$2:$U111)&lt;=MAX('Per Line'!$V$2:$V$1001),MATCH(ROWS($U$2:$U111),'Per Line'!$V$2:$V$1001,0),"")</f>
        <v/>
      </c>
    </row>
    <row r="112">
      <c r="A112">
        <f>IF($U112="","",INDEX('Per Line'!$A$2:$A$1001,$U112)&amp;"")</f>
        <v/>
      </c>
      <c r="B112" s="12" t="n"/>
      <c r="C112">
        <f>IF($U112="","",INDEX('Per Line'!$B$2:$B$1001,$U112)&amp;"")</f>
        <v/>
      </c>
      <c r="D112">
        <f>IF($U112="","",INDEX('Per Line'!$C$2:$C$1001,$U112)&amp;"")</f>
        <v/>
      </c>
      <c r="E112">
        <f>IF($U112="","",INDEX('Per Line'!$D$2:$D$1001,$U112)&amp;"")</f>
        <v/>
      </c>
      <c r="F112">
        <f>IF($U112="","",INDEX('Per Line'!$E$2:$E$1001,$U112))</f>
        <v/>
      </c>
      <c r="G112" s="7">
        <f>IF($U112="","",F112*S112/100)</f>
        <v/>
      </c>
      <c r="H112">
        <f>IF($U112="","",INDEX('Per Line'!$O$2:$O$1001,$U112)&amp;"")</f>
        <v/>
      </c>
      <c r="I112" s="11">
        <f>IF($U112="","",INDEX('Per Line'!$Q$2:$Q$1001,$U112))</f>
        <v/>
      </c>
      <c r="J112">
        <f>IF($U112="","",INDEX('Per Line'!$R$2:$R$1001,$U112)&amp;"")</f>
        <v/>
      </c>
      <c r="K112">
        <f>IF($U112="","",Settings!$C$7)</f>
        <v/>
      </c>
      <c r="L112" s="7">
        <f>IF($U112="","",SUMIFS('Per Line'!$N$2:$N$1001,'Per Line'!$A$2:$A$1001,$A112,'Per Line'!$W$2:$W$1001,0))</f>
        <v/>
      </c>
      <c r="M112" s="7">
        <f>IF($U112="","",L112*K112)</f>
        <v/>
      </c>
      <c r="N112">
        <f>IF($U112="","",Settings!$C$6)</f>
        <v/>
      </c>
      <c r="O112" s="7">
        <f>IF($U112="","",SUMIFS('Per Line'!$N$2:$N$1001,'Per Line'!$A$2:$A$1001,$A112,'Per Line'!$W$2:$W$1001,1))</f>
        <v/>
      </c>
      <c r="P112" s="7">
        <f>IF($U112="","",O112*N112)</f>
        <v/>
      </c>
      <c r="Q112" s="7">
        <f>IF($U112="","",P112+M112)</f>
        <v/>
      </c>
      <c r="R112" s="7">
        <f>IF($U112="","",S112-Q112)</f>
        <v/>
      </c>
      <c r="S112" s="7">
        <f>IF($U112="","",L112+O112)</f>
        <v/>
      </c>
      <c r="T112" s="7">
        <f>IF($U112="","",S112-Q112-G112)</f>
        <v/>
      </c>
      <c r="U112" s="13">
        <f>IF(ROWS($U$2:$U112)&lt;=MAX('Per Line'!$V$2:$V$1001),MATCH(ROWS($U$2:$U112),'Per Line'!$V$2:$V$1001,0),"")</f>
        <v/>
      </c>
    </row>
    <row r="113">
      <c r="A113">
        <f>IF($U113="","",INDEX('Per Line'!$A$2:$A$1001,$U113)&amp;"")</f>
        <v/>
      </c>
      <c r="B113" s="12" t="n"/>
      <c r="C113">
        <f>IF($U113="","",INDEX('Per Line'!$B$2:$B$1001,$U113)&amp;"")</f>
        <v/>
      </c>
      <c r="D113">
        <f>IF($U113="","",INDEX('Per Line'!$C$2:$C$1001,$U113)&amp;"")</f>
        <v/>
      </c>
      <c r="E113">
        <f>IF($U113="","",INDEX('Per Line'!$D$2:$D$1001,$U113)&amp;"")</f>
        <v/>
      </c>
      <c r="F113">
        <f>IF($U113="","",INDEX('Per Line'!$E$2:$E$1001,$U113))</f>
        <v/>
      </c>
      <c r="G113" s="7">
        <f>IF($U113="","",F113*S113/100)</f>
        <v/>
      </c>
      <c r="H113">
        <f>IF($U113="","",INDEX('Per Line'!$O$2:$O$1001,$U113)&amp;"")</f>
        <v/>
      </c>
      <c r="I113" s="11">
        <f>IF($U113="","",INDEX('Per Line'!$Q$2:$Q$1001,$U113))</f>
        <v/>
      </c>
      <c r="J113">
        <f>IF($U113="","",INDEX('Per Line'!$R$2:$R$1001,$U113)&amp;"")</f>
        <v/>
      </c>
      <c r="K113">
        <f>IF($U113="","",Settings!$C$7)</f>
        <v/>
      </c>
      <c r="L113" s="7">
        <f>IF($U113="","",SUMIFS('Per Line'!$N$2:$N$1001,'Per Line'!$A$2:$A$1001,$A113,'Per Line'!$W$2:$W$1001,0))</f>
        <v/>
      </c>
      <c r="M113" s="7">
        <f>IF($U113="","",L113*K113)</f>
        <v/>
      </c>
      <c r="N113">
        <f>IF($U113="","",Settings!$C$6)</f>
        <v/>
      </c>
      <c r="O113" s="7">
        <f>IF($U113="","",SUMIFS('Per Line'!$N$2:$N$1001,'Per Line'!$A$2:$A$1001,$A113,'Per Line'!$W$2:$W$1001,1))</f>
        <v/>
      </c>
      <c r="P113" s="7">
        <f>IF($U113="","",O113*N113)</f>
        <v/>
      </c>
      <c r="Q113" s="7">
        <f>IF($U113="","",P113+M113)</f>
        <v/>
      </c>
      <c r="R113" s="7">
        <f>IF($U113="","",S113-Q113)</f>
        <v/>
      </c>
      <c r="S113" s="7">
        <f>IF($U113="","",L113+O113)</f>
        <v/>
      </c>
      <c r="T113" s="7">
        <f>IF($U113="","",S113-Q113-G113)</f>
        <v/>
      </c>
      <c r="U113" s="13">
        <f>IF(ROWS($U$2:$U113)&lt;=MAX('Per Line'!$V$2:$V$1001),MATCH(ROWS($U$2:$U113),'Per Line'!$V$2:$V$1001,0),"")</f>
        <v/>
      </c>
    </row>
    <row r="114">
      <c r="A114">
        <f>IF($U114="","",INDEX('Per Line'!$A$2:$A$1001,$U114)&amp;"")</f>
        <v/>
      </c>
      <c r="B114" s="12" t="n"/>
      <c r="C114">
        <f>IF($U114="","",INDEX('Per Line'!$B$2:$B$1001,$U114)&amp;"")</f>
        <v/>
      </c>
      <c r="D114">
        <f>IF($U114="","",INDEX('Per Line'!$C$2:$C$1001,$U114)&amp;"")</f>
        <v/>
      </c>
      <c r="E114">
        <f>IF($U114="","",INDEX('Per Line'!$D$2:$D$1001,$U114)&amp;"")</f>
        <v/>
      </c>
      <c r="F114">
        <f>IF($U114="","",INDEX('Per Line'!$E$2:$E$1001,$U114))</f>
        <v/>
      </c>
      <c r="G114" s="7">
        <f>IF($U114="","",F114*S114/100)</f>
        <v/>
      </c>
      <c r="H114">
        <f>IF($U114="","",INDEX('Per Line'!$O$2:$O$1001,$U114)&amp;"")</f>
        <v/>
      </c>
      <c r="I114" s="11">
        <f>IF($U114="","",INDEX('Per Line'!$Q$2:$Q$1001,$U114))</f>
        <v/>
      </c>
      <c r="J114">
        <f>IF($U114="","",INDEX('Per Line'!$R$2:$R$1001,$U114)&amp;"")</f>
        <v/>
      </c>
      <c r="K114">
        <f>IF($U114="","",Settings!$C$7)</f>
        <v/>
      </c>
      <c r="L114" s="7">
        <f>IF($U114="","",SUMIFS('Per Line'!$N$2:$N$1001,'Per Line'!$A$2:$A$1001,$A114,'Per Line'!$W$2:$W$1001,0))</f>
        <v/>
      </c>
      <c r="M114" s="7">
        <f>IF($U114="","",L114*K114)</f>
        <v/>
      </c>
      <c r="N114">
        <f>IF($U114="","",Settings!$C$6)</f>
        <v/>
      </c>
      <c r="O114" s="7">
        <f>IF($U114="","",SUMIFS('Per Line'!$N$2:$N$1001,'Per Line'!$A$2:$A$1001,$A114,'Per Line'!$W$2:$W$1001,1))</f>
        <v/>
      </c>
      <c r="P114" s="7">
        <f>IF($U114="","",O114*N114)</f>
        <v/>
      </c>
      <c r="Q114" s="7">
        <f>IF($U114="","",P114+M114)</f>
        <v/>
      </c>
      <c r="R114" s="7">
        <f>IF($U114="","",S114-Q114)</f>
        <v/>
      </c>
      <c r="S114" s="7">
        <f>IF($U114="","",L114+O114)</f>
        <v/>
      </c>
      <c r="T114" s="7">
        <f>IF($U114="","",S114-Q114-G114)</f>
        <v/>
      </c>
      <c r="U114" s="13">
        <f>IF(ROWS($U$2:$U114)&lt;=MAX('Per Line'!$V$2:$V$1001),MATCH(ROWS($U$2:$U114),'Per Line'!$V$2:$V$1001,0),"")</f>
        <v/>
      </c>
    </row>
    <row r="115">
      <c r="A115">
        <f>IF($U115="","",INDEX('Per Line'!$A$2:$A$1001,$U115)&amp;"")</f>
        <v/>
      </c>
      <c r="B115" s="12" t="n"/>
      <c r="C115">
        <f>IF($U115="","",INDEX('Per Line'!$B$2:$B$1001,$U115)&amp;"")</f>
        <v/>
      </c>
      <c r="D115">
        <f>IF($U115="","",INDEX('Per Line'!$C$2:$C$1001,$U115)&amp;"")</f>
        <v/>
      </c>
      <c r="E115">
        <f>IF($U115="","",INDEX('Per Line'!$D$2:$D$1001,$U115)&amp;"")</f>
        <v/>
      </c>
      <c r="F115">
        <f>IF($U115="","",INDEX('Per Line'!$E$2:$E$1001,$U115))</f>
        <v/>
      </c>
      <c r="G115" s="7">
        <f>IF($U115="","",F115*S115/100)</f>
        <v/>
      </c>
      <c r="H115">
        <f>IF($U115="","",INDEX('Per Line'!$O$2:$O$1001,$U115)&amp;"")</f>
        <v/>
      </c>
      <c r="I115" s="11">
        <f>IF($U115="","",INDEX('Per Line'!$Q$2:$Q$1001,$U115))</f>
        <v/>
      </c>
      <c r="J115">
        <f>IF($U115="","",INDEX('Per Line'!$R$2:$R$1001,$U115)&amp;"")</f>
        <v/>
      </c>
      <c r="K115">
        <f>IF($U115="","",Settings!$C$7)</f>
        <v/>
      </c>
      <c r="L115" s="7">
        <f>IF($U115="","",SUMIFS('Per Line'!$N$2:$N$1001,'Per Line'!$A$2:$A$1001,$A115,'Per Line'!$W$2:$W$1001,0))</f>
        <v/>
      </c>
      <c r="M115" s="7">
        <f>IF($U115="","",L115*K115)</f>
        <v/>
      </c>
      <c r="N115">
        <f>IF($U115="","",Settings!$C$6)</f>
        <v/>
      </c>
      <c r="O115" s="7">
        <f>IF($U115="","",SUMIFS('Per Line'!$N$2:$N$1001,'Per Line'!$A$2:$A$1001,$A115,'Per Line'!$W$2:$W$1001,1))</f>
        <v/>
      </c>
      <c r="P115" s="7">
        <f>IF($U115="","",O115*N115)</f>
        <v/>
      </c>
      <c r="Q115" s="7">
        <f>IF($U115="","",P115+M115)</f>
        <v/>
      </c>
      <c r="R115" s="7">
        <f>IF($U115="","",S115-Q115)</f>
        <v/>
      </c>
      <c r="S115" s="7">
        <f>IF($U115="","",L115+O115)</f>
        <v/>
      </c>
      <c r="T115" s="7">
        <f>IF($U115="","",S115-Q115-G115)</f>
        <v/>
      </c>
      <c r="U115" s="13">
        <f>IF(ROWS($U$2:$U115)&lt;=MAX('Per Line'!$V$2:$V$1001),MATCH(ROWS($U$2:$U115),'Per Line'!$V$2:$V$1001,0),"")</f>
        <v/>
      </c>
    </row>
    <row r="116">
      <c r="A116">
        <f>IF($U116="","",INDEX('Per Line'!$A$2:$A$1001,$U116)&amp;"")</f>
        <v/>
      </c>
      <c r="B116" s="12" t="n"/>
      <c r="C116">
        <f>IF($U116="","",INDEX('Per Line'!$B$2:$B$1001,$U116)&amp;"")</f>
        <v/>
      </c>
      <c r="D116">
        <f>IF($U116="","",INDEX('Per Line'!$C$2:$C$1001,$U116)&amp;"")</f>
        <v/>
      </c>
      <c r="E116">
        <f>IF($U116="","",INDEX('Per Line'!$D$2:$D$1001,$U116)&amp;"")</f>
        <v/>
      </c>
      <c r="F116">
        <f>IF($U116="","",INDEX('Per Line'!$E$2:$E$1001,$U116))</f>
        <v/>
      </c>
      <c r="G116" s="7">
        <f>IF($U116="","",F116*S116/100)</f>
        <v/>
      </c>
      <c r="H116">
        <f>IF($U116="","",INDEX('Per Line'!$O$2:$O$1001,$U116)&amp;"")</f>
        <v/>
      </c>
      <c r="I116" s="11">
        <f>IF($U116="","",INDEX('Per Line'!$Q$2:$Q$1001,$U116))</f>
        <v/>
      </c>
      <c r="J116">
        <f>IF($U116="","",INDEX('Per Line'!$R$2:$R$1001,$U116)&amp;"")</f>
        <v/>
      </c>
      <c r="K116">
        <f>IF($U116="","",Settings!$C$7)</f>
        <v/>
      </c>
      <c r="L116" s="7">
        <f>IF($U116="","",SUMIFS('Per Line'!$N$2:$N$1001,'Per Line'!$A$2:$A$1001,$A116,'Per Line'!$W$2:$W$1001,0))</f>
        <v/>
      </c>
      <c r="M116" s="7">
        <f>IF($U116="","",L116*K116)</f>
        <v/>
      </c>
      <c r="N116">
        <f>IF($U116="","",Settings!$C$6)</f>
        <v/>
      </c>
      <c r="O116" s="7">
        <f>IF($U116="","",SUMIFS('Per Line'!$N$2:$N$1001,'Per Line'!$A$2:$A$1001,$A116,'Per Line'!$W$2:$W$1001,1))</f>
        <v/>
      </c>
      <c r="P116" s="7">
        <f>IF($U116="","",O116*N116)</f>
        <v/>
      </c>
      <c r="Q116" s="7">
        <f>IF($U116="","",P116+M116)</f>
        <v/>
      </c>
      <c r="R116" s="7">
        <f>IF($U116="","",S116-Q116)</f>
        <v/>
      </c>
      <c r="S116" s="7">
        <f>IF($U116="","",L116+O116)</f>
        <v/>
      </c>
      <c r="T116" s="7">
        <f>IF($U116="","",S116-Q116-G116)</f>
        <v/>
      </c>
      <c r="U116" s="13">
        <f>IF(ROWS($U$2:$U116)&lt;=MAX('Per Line'!$V$2:$V$1001),MATCH(ROWS($U$2:$U116),'Per Line'!$V$2:$V$1001,0),"")</f>
        <v/>
      </c>
    </row>
    <row r="117">
      <c r="A117">
        <f>IF($U117="","",INDEX('Per Line'!$A$2:$A$1001,$U117)&amp;"")</f>
        <v/>
      </c>
      <c r="B117" s="12" t="n"/>
      <c r="C117">
        <f>IF($U117="","",INDEX('Per Line'!$B$2:$B$1001,$U117)&amp;"")</f>
        <v/>
      </c>
      <c r="D117">
        <f>IF($U117="","",INDEX('Per Line'!$C$2:$C$1001,$U117)&amp;"")</f>
        <v/>
      </c>
      <c r="E117">
        <f>IF($U117="","",INDEX('Per Line'!$D$2:$D$1001,$U117)&amp;"")</f>
        <v/>
      </c>
      <c r="F117">
        <f>IF($U117="","",INDEX('Per Line'!$E$2:$E$1001,$U117))</f>
        <v/>
      </c>
      <c r="G117" s="7">
        <f>IF($U117="","",F117*S117/100)</f>
        <v/>
      </c>
      <c r="H117">
        <f>IF($U117="","",INDEX('Per Line'!$O$2:$O$1001,$U117)&amp;"")</f>
        <v/>
      </c>
      <c r="I117" s="11">
        <f>IF($U117="","",INDEX('Per Line'!$Q$2:$Q$1001,$U117))</f>
        <v/>
      </c>
      <c r="J117">
        <f>IF($U117="","",INDEX('Per Line'!$R$2:$R$1001,$U117)&amp;"")</f>
        <v/>
      </c>
      <c r="K117">
        <f>IF($U117="","",Settings!$C$7)</f>
        <v/>
      </c>
      <c r="L117" s="7">
        <f>IF($U117="","",SUMIFS('Per Line'!$N$2:$N$1001,'Per Line'!$A$2:$A$1001,$A117,'Per Line'!$W$2:$W$1001,0))</f>
        <v/>
      </c>
      <c r="M117" s="7">
        <f>IF($U117="","",L117*K117)</f>
        <v/>
      </c>
      <c r="N117">
        <f>IF($U117="","",Settings!$C$6)</f>
        <v/>
      </c>
      <c r="O117" s="7">
        <f>IF($U117="","",SUMIFS('Per Line'!$N$2:$N$1001,'Per Line'!$A$2:$A$1001,$A117,'Per Line'!$W$2:$W$1001,1))</f>
        <v/>
      </c>
      <c r="P117" s="7">
        <f>IF($U117="","",O117*N117)</f>
        <v/>
      </c>
      <c r="Q117" s="7">
        <f>IF($U117="","",P117+M117)</f>
        <v/>
      </c>
      <c r="R117" s="7">
        <f>IF($U117="","",S117-Q117)</f>
        <v/>
      </c>
      <c r="S117" s="7">
        <f>IF($U117="","",L117+O117)</f>
        <v/>
      </c>
      <c r="T117" s="7">
        <f>IF($U117="","",S117-Q117-G117)</f>
        <v/>
      </c>
      <c r="U117" s="13">
        <f>IF(ROWS($U$2:$U117)&lt;=MAX('Per Line'!$V$2:$V$1001),MATCH(ROWS($U$2:$U117),'Per Line'!$V$2:$V$1001,0),"")</f>
        <v/>
      </c>
    </row>
    <row r="118">
      <c r="A118">
        <f>IF($U118="","",INDEX('Per Line'!$A$2:$A$1001,$U118)&amp;"")</f>
        <v/>
      </c>
      <c r="B118" s="12" t="n"/>
      <c r="C118">
        <f>IF($U118="","",INDEX('Per Line'!$B$2:$B$1001,$U118)&amp;"")</f>
        <v/>
      </c>
      <c r="D118">
        <f>IF($U118="","",INDEX('Per Line'!$C$2:$C$1001,$U118)&amp;"")</f>
        <v/>
      </c>
      <c r="E118">
        <f>IF($U118="","",INDEX('Per Line'!$D$2:$D$1001,$U118)&amp;"")</f>
        <v/>
      </c>
      <c r="F118">
        <f>IF($U118="","",INDEX('Per Line'!$E$2:$E$1001,$U118))</f>
        <v/>
      </c>
      <c r="G118" s="7">
        <f>IF($U118="","",F118*S118/100)</f>
        <v/>
      </c>
      <c r="H118">
        <f>IF($U118="","",INDEX('Per Line'!$O$2:$O$1001,$U118)&amp;"")</f>
        <v/>
      </c>
      <c r="I118" s="11">
        <f>IF($U118="","",INDEX('Per Line'!$Q$2:$Q$1001,$U118))</f>
        <v/>
      </c>
      <c r="J118">
        <f>IF($U118="","",INDEX('Per Line'!$R$2:$R$1001,$U118)&amp;"")</f>
        <v/>
      </c>
      <c r="K118">
        <f>IF($U118="","",Settings!$C$7)</f>
        <v/>
      </c>
      <c r="L118" s="7">
        <f>IF($U118="","",SUMIFS('Per Line'!$N$2:$N$1001,'Per Line'!$A$2:$A$1001,$A118,'Per Line'!$W$2:$W$1001,0))</f>
        <v/>
      </c>
      <c r="M118" s="7">
        <f>IF($U118="","",L118*K118)</f>
        <v/>
      </c>
      <c r="N118">
        <f>IF($U118="","",Settings!$C$6)</f>
        <v/>
      </c>
      <c r="O118" s="7">
        <f>IF($U118="","",SUMIFS('Per Line'!$N$2:$N$1001,'Per Line'!$A$2:$A$1001,$A118,'Per Line'!$W$2:$W$1001,1))</f>
        <v/>
      </c>
      <c r="P118" s="7">
        <f>IF($U118="","",O118*N118)</f>
        <v/>
      </c>
      <c r="Q118" s="7">
        <f>IF($U118="","",P118+M118)</f>
        <v/>
      </c>
      <c r="R118" s="7">
        <f>IF($U118="","",S118-Q118)</f>
        <v/>
      </c>
      <c r="S118" s="7">
        <f>IF($U118="","",L118+O118)</f>
        <v/>
      </c>
      <c r="T118" s="7">
        <f>IF($U118="","",S118-Q118-G118)</f>
        <v/>
      </c>
      <c r="U118" s="13">
        <f>IF(ROWS($U$2:$U118)&lt;=MAX('Per Line'!$V$2:$V$1001),MATCH(ROWS($U$2:$U118),'Per Line'!$V$2:$V$1001,0),"")</f>
        <v/>
      </c>
    </row>
    <row r="119">
      <c r="A119">
        <f>IF($U119="","",INDEX('Per Line'!$A$2:$A$1001,$U119)&amp;"")</f>
        <v/>
      </c>
      <c r="B119" s="12" t="n"/>
      <c r="C119">
        <f>IF($U119="","",INDEX('Per Line'!$B$2:$B$1001,$U119)&amp;"")</f>
        <v/>
      </c>
      <c r="D119">
        <f>IF($U119="","",INDEX('Per Line'!$C$2:$C$1001,$U119)&amp;"")</f>
        <v/>
      </c>
      <c r="E119">
        <f>IF($U119="","",INDEX('Per Line'!$D$2:$D$1001,$U119)&amp;"")</f>
        <v/>
      </c>
      <c r="F119">
        <f>IF($U119="","",INDEX('Per Line'!$E$2:$E$1001,$U119))</f>
        <v/>
      </c>
      <c r="G119" s="7">
        <f>IF($U119="","",F119*S119/100)</f>
        <v/>
      </c>
      <c r="H119">
        <f>IF($U119="","",INDEX('Per Line'!$O$2:$O$1001,$U119)&amp;"")</f>
        <v/>
      </c>
      <c r="I119" s="11">
        <f>IF($U119="","",INDEX('Per Line'!$Q$2:$Q$1001,$U119))</f>
        <v/>
      </c>
      <c r="J119">
        <f>IF($U119="","",INDEX('Per Line'!$R$2:$R$1001,$U119)&amp;"")</f>
        <v/>
      </c>
      <c r="K119">
        <f>IF($U119="","",Settings!$C$7)</f>
        <v/>
      </c>
      <c r="L119" s="7">
        <f>IF($U119="","",SUMIFS('Per Line'!$N$2:$N$1001,'Per Line'!$A$2:$A$1001,$A119,'Per Line'!$W$2:$W$1001,0))</f>
        <v/>
      </c>
      <c r="M119" s="7">
        <f>IF($U119="","",L119*K119)</f>
        <v/>
      </c>
      <c r="N119">
        <f>IF($U119="","",Settings!$C$6)</f>
        <v/>
      </c>
      <c r="O119" s="7">
        <f>IF($U119="","",SUMIFS('Per Line'!$N$2:$N$1001,'Per Line'!$A$2:$A$1001,$A119,'Per Line'!$W$2:$W$1001,1))</f>
        <v/>
      </c>
      <c r="P119" s="7">
        <f>IF($U119="","",O119*N119)</f>
        <v/>
      </c>
      <c r="Q119" s="7">
        <f>IF($U119="","",P119+M119)</f>
        <v/>
      </c>
      <c r="R119" s="7">
        <f>IF($U119="","",S119-Q119)</f>
        <v/>
      </c>
      <c r="S119" s="7">
        <f>IF($U119="","",L119+O119)</f>
        <v/>
      </c>
      <c r="T119" s="7">
        <f>IF($U119="","",S119-Q119-G119)</f>
        <v/>
      </c>
      <c r="U119" s="13">
        <f>IF(ROWS($U$2:$U119)&lt;=MAX('Per Line'!$V$2:$V$1001),MATCH(ROWS($U$2:$U119),'Per Line'!$V$2:$V$1001,0),"")</f>
        <v/>
      </c>
    </row>
    <row r="120">
      <c r="A120">
        <f>IF($U120="","",INDEX('Per Line'!$A$2:$A$1001,$U120)&amp;"")</f>
        <v/>
      </c>
      <c r="B120" s="12" t="n"/>
      <c r="C120">
        <f>IF($U120="","",INDEX('Per Line'!$B$2:$B$1001,$U120)&amp;"")</f>
        <v/>
      </c>
      <c r="D120">
        <f>IF($U120="","",INDEX('Per Line'!$C$2:$C$1001,$U120)&amp;"")</f>
        <v/>
      </c>
      <c r="E120">
        <f>IF($U120="","",INDEX('Per Line'!$D$2:$D$1001,$U120)&amp;"")</f>
        <v/>
      </c>
      <c r="F120">
        <f>IF($U120="","",INDEX('Per Line'!$E$2:$E$1001,$U120))</f>
        <v/>
      </c>
      <c r="G120" s="7">
        <f>IF($U120="","",F120*S120/100)</f>
        <v/>
      </c>
      <c r="H120">
        <f>IF($U120="","",INDEX('Per Line'!$O$2:$O$1001,$U120)&amp;"")</f>
        <v/>
      </c>
      <c r="I120" s="11">
        <f>IF($U120="","",INDEX('Per Line'!$Q$2:$Q$1001,$U120))</f>
        <v/>
      </c>
      <c r="J120">
        <f>IF($U120="","",INDEX('Per Line'!$R$2:$R$1001,$U120)&amp;"")</f>
        <v/>
      </c>
      <c r="K120">
        <f>IF($U120="","",Settings!$C$7)</f>
        <v/>
      </c>
      <c r="L120" s="7">
        <f>IF($U120="","",SUMIFS('Per Line'!$N$2:$N$1001,'Per Line'!$A$2:$A$1001,$A120,'Per Line'!$W$2:$W$1001,0))</f>
        <v/>
      </c>
      <c r="M120" s="7">
        <f>IF($U120="","",L120*K120)</f>
        <v/>
      </c>
      <c r="N120">
        <f>IF($U120="","",Settings!$C$6)</f>
        <v/>
      </c>
      <c r="O120" s="7">
        <f>IF($U120="","",SUMIFS('Per Line'!$N$2:$N$1001,'Per Line'!$A$2:$A$1001,$A120,'Per Line'!$W$2:$W$1001,1))</f>
        <v/>
      </c>
      <c r="P120" s="7">
        <f>IF($U120="","",O120*N120)</f>
        <v/>
      </c>
      <c r="Q120" s="7">
        <f>IF($U120="","",P120+M120)</f>
        <v/>
      </c>
      <c r="R120" s="7">
        <f>IF($U120="","",S120-Q120)</f>
        <v/>
      </c>
      <c r="S120" s="7">
        <f>IF($U120="","",L120+O120)</f>
        <v/>
      </c>
      <c r="T120" s="7">
        <f>IF($U120="","",S120-Q120-G120)</f>
        <v/>
      </c>
      <c r="U120" s="13">
        <f>IF(ROWS($U$2:$U120)&lt;=MAX('Per Line'!$V$2:$V$1001),MATCH(ROWS($U$2:$U120),'Per Line'!$V$2:$V$1001,0),"")</f>
        <v/>
      </c>
    </row>
    <row r="121">
      <c r="A121">
        <f>IF($U121="","",INDEX('Per Line'!$A$2:$A$1001,$U121)&amp;"")</f>
        <v/>
      </c>
      <c r="B121" s="12" t="n"/>
      <c r="C121">
        <f>IF($U121="","",INDEX('Per Line'!$B$2:$B$1001,$U121)&amp;"")</f>
        <v/>
      </c>
      <c r="D121">
        <f>IF($U121="","",INDEX('Per Line'!$C$2:$C$1001,$U121)&amp;"")</f>
        <v/>
      </c>
      <c r="E121">
        <f>IF($U121="","",INDEX('Per Line'!$D$2:$D$1001,$U121)&amp;"")</f>
        <v/>
      </c>
      <c r="F121">
        <f>IF($U121="","",INDEX('Per Line'!$E$2:$E$1001,$U121))</f>
        <v/>
      </c>
      <c r="G121" s="7">
        <f>IF($U121="","",F121*S121/100)</f>
        <v/>
      </c>
      <c r="H121">
        <f>IF($U121="","",INDEX('Per Line'!$O$2:$O$1001,$U121)&amp;"")</f>
        <v/>
      </c>
      <c r="I121" s="11">
        <f>IF($U121="","",INDEX('Per Line'!$Q$2:$Q$1001,$U121))</f>
        <v/>
      </c>
      <c r="J121">
        <f>IF($U121="","",INDEX('Per Line'!$R$2:$R$1001,$U121)&amp;"")</f>
        <v/>
      </c>
      <c r="K121">
        <f>IF($U121="","",Settings!$C$7)</f>
        <v/>
      </c>
      <c r="L121" s="7">
        <f>IF($U121="","",SUMIFS('Per Line'!$N$2:$N$1001,'Per Line'!$A$2:$A$1001,$A121,'Per Line'!$W$2:$W$1001,0))</f>
        <v/>
      </c>
      <c r="M121" s="7">
        <f>IF($U121="","",L121*K121)</f>
        <v/>
      </c>
      <c r="N121">
        <f>IF($U121="","",Settings!$C$6)</f>
        <v/>
      </c>
      <c r="O121" s="7">
        <f>IF($U121="","",SUMIFS('Per Line'!$N$2:$N$1001,'Per Line'!$A$2:$A$1001,$A121,'Per Line'!$W$2:$W$1001,1))</f>
        <v/>
      </c>
      <c r="P121" s="7">
        <f>IF($U121="","",O121*N121)</f>
        <v/>
      </c>
      <c r="Q121" s="7">
        <f>IF($U121="","",P121+M121)</f>
        <v/>
      </c>
      <c r="R121" s="7">
        <f>IF($U121="","",S121-Q121)</f>
        <v/>
      </c>
      <c r="S121" s="7">
        <f>IF($U121="","",L121+O121)</f>
        <v/>
      </c>
      <c r="T121" s="7">
        <f>IF($U121="","",S121-Q121-G121)</f>
        <v/>
      </c>
      <c r="U121" s="13">
        <f>IF(ROWS($U$2:$U121)&lt;=MAX('Per Line'!$V$2:$V$1001),MATCH(ROWS($U$2:$U121),'Per Line'!$V$2:$V$1001,0),"")</f>
        <v/>
      </c>
    </row>
    <row r="122">
      <c r="A122">
        <f>IF($U122="","",INDEX('Per Line'!$A$2:$A$1001,$U122)&amp;"")</f>
        <v/>
      </c>
      <c r="B122" s="12" t="n"/>
      <c r="C122">
        <f>IF($U122="","",INDEX('Per Line'!$B$2:$B$1001,$U122)&amp;"")</f>
        <v/>
      </c>
      <c r="D122">
        <f>IF($U122="","",INDEX('Per Line'!$C$2:$C$1001,$U122)&amp;"")</f>
        <v/>
      </c>
      <c r="E122">
        <f>IF($U122="","",INDEX('Per Line'!$D$2:$D$1001,$U122)&amp;"")</f>
        <v/>
      </c>
      <c r="F122">
        <f>IF($U122="","",INDEX('Per Line'!$E$2:$E$1001,$U122))</f>
        <v/>
      </c>
      <c r="G122" s="7">
        <f>IF($U122="","",F122*S122/100)</f>
        <v/>
      </c>
      <c r="H122">
        <f>IF($U122="","",INDEX('Per Line'!$O$2:$O$1001,$U122)&amp;"")</f>
        <v/>
      </c>
      <c r="I122" s="11">
        <f>IF($U122="","",INDEX('Per Line'!$Q$2:$Q$1001,$U122))</f>
        <v/>
      </c>
      <c r="J122">
        <f>IF($U122="","",INDEX('Per Line'!$R$2:$R$1001,$U122)&amp;"")</f>
        <v/>
      </c>
      <c r="K122">
        <f>IF($U122="","",Settings!$C$7)</f>
        <v/>
      </c>
      <c r="L122" s="7">
        <f>IF($U122="","",SUMIFS('Per Line'!$N$2:$N$1001,'Per Line'!$A$2:$A$1001,$A122,'Per Line'!$W$2:$W$1001,0))</f>
        <v/>
      </c>
      <c r="M122" s="7">
        <f>IF($U122="","",L122*K122)</f>
        <v/>
      </c>
      <c r="N122">
        <f>IF($U122="","",Settings!$C$6)</f>
        <v/>
      </c>
      <c r="O122" s="7">
        <f>IF($U122="","",SUMIFS('Per Line'!$N$2:$N$1001,'Per Line'!$A$2:$A$1001,$A122,'Per Line'!$W$2:$W$1001,1))</f>
        <v/>
      </c>
      <c r="P122" s="7">
        <f>IF($U122="","",O122*N122)</f>
        <v/>
      </c>
      <c r="Q122" s="7">
        <f>IF($U122="","",P122+M122)</f>
        <v/>
      </c>
      <c r="R122" s="7">
        <f>IF($U122="","",S122-Q122)</f>
        <v/>
      </c>
      <c r="S122" s="7">
        <f>IF($U122="","",L122+O122)</f>
        <v/>
      </c>
      <c r="T122" s="7">
        <f>IF($U122="","",S122-Q122-G122)</f>
        <v/>
      </c>
      <c r="U122" s="13">
        <f>IF(ROWS($U$2:$U122)&lt;=MAX('Per Line'!$V$2:$V$1001),MATCH(ROWS($U$2:$U122),'Per Line'!$V$2:$V$1001,0),"")</f>
        <v/>
      </c>
    </row>
    <row r="123">
      <c r="A123">
        <f>IF($U123="","",INDEX('Per Line'!$A$2:$A$1001,$U123)&amp;"")</f>
        <v/>
      </c>
      <c r="B123" s="12" t="n"/>
      <c r="C123">
        <f>IF($U123="","",INDEX('Per Line'!$B$2:$B$1001,$U123)&amp;"")</f>
        <v/>
      </c>
      <c r="D123">
        <f>IF($U123="","",INDEX('Per Line'!$C$2:$C$1001,$U123)&amp;"")</f>
        <v/>
      </c>
      <c r="E123">
        <f>IF($U123="","",INDEX('Per Line'!$D$2:$D$1001,$U123)&amp;"")</f>
        <v/>
      </c>
      <c r="F123">
        <f>IF($U123="","",INDEX('Per Line'!$E$2:$E$1001,$U123))</f>
        <v/>
      </c>
      <c r="G123" s="7">
        <f>IF($U123="","",F123*S123/100)</f>
        <v/>
      </c>
      <c r="H123">
        <f>IF($U123="","",INDEX('Per Line'!$O$2:$O$1001,$U123)&amp;"")</f>
        <v/>
      </c>
      <c r="I123" s="11">
        <f>IF($U123="","",INDEX('Per Line'!$Q$2:$Q$1001,$U123))</f>
        <v/>
      </c>
      <c r="J123">
        <f>IF($U123="","",INDEX('Per Line'!$R$2:$R$1001,$U123)&amp;"")</f>
        <v/>
      </c>
      <c r="K123">
        <f>IF($U123="","",Settings!$C$7)</f>
        <v/>
      </c>
      <c r="L123" s="7">
        <f>IF($U123="","",SUMIFS('Per Line'!$N$2:$N$1001,'Per Line'!$A$2:$A$1001,$A123,'Per Line'!$W$2:$W$1001,0))</f>
        <v/>
      </c>
      <c r="M123" s="7">
        <f>IF($U123="","",L123*K123)</f>
        <v/>
      </c>
      <c r="N123">
        <f>IF($U123="","",Settings!$C$6)</f>
        <v/>
      </c>
      <c r="O123" s="7">
        <f>IF($U123="","",SUMIFS('Per Line'!$N$2:$N$1001,'Per Line'!$A$2:$A$1001,$A123,'Per Line'!$W$2:$W$1001,1))</f>
        <v/>
      </c>
      <c r="P123" s="7">
        <f>IF($U123="","",O123*N123)</f>
        <v/>
      </c>
      <c r="Q123" s="7">
        <f>IF($U123="","",P123+M123)</f>
        <v/>
      </c>
      <c r="R123" s="7">
        <f>IF($U123="","",S123-Q123)</f>
        <v/>
      </c>
      <c r="S123" s="7">
        <f>IF($U123="","",L123+O123)</f>
        <v/>
      </c>
      <c r="T123" s="7">
        <f>IF($U123="","",S123-Q123-G123)</f>
        <v/>
      </c>
      <c r="U123" s="13">
        <f>IF(ROWS($U$2:$U123)&lt;=MAX('Per Line'!$V$2:$V$1001),MATCH(ROWS($U$2:$U123),'Per Line'!$V$2:$V$1001,0),"")</f>
        <v/>
      </c>
    </row>
    <row r="124">
      <c r="A124">
        <f>IF($U124="","",INDEX('Per Line'!$A$2:$A$1001,$U124)&amp;"")</f>
        <v/>
      </c>
      <c r="B124" s="12" t="n"/>
      <c r="C124">
        <f>IF($U124="","",INDEX('Per Line'!$B$2:$B$1001,$U124)&amp;"")</f>
        <v/>
      </c>
      <c r="D124">
        <f>IF($U124="","",INDEX('Per Line'!$C$2:$C$1001,$U124)&amp;"")</f>
        <v/>
      </c>
      <c r="E124">
        <f>IF($U124="","",INDEX('Per Line'!$D$2:$D$1001,$U124)&amp;"")</f>
        <v/>
      </c>
      <c r="F124">
        <f>IF($U124="","",INDEX('Per Line'!$E$2:$E$1001,$U124))</f>
        <v/>
      </c>
      <c r="G124" s="7">
        <f>IF($U124="","",F124*S124/100)</f>
        <v/>
      </c>
      <c r="H124">
        <f>IF($U124="","",INDEX('Per Line'!$O$2:$O$1001,$U124)&amp;"")</f>
        <v/>
      </c>
      <c r="I124" s="11">
        <f>IF($U124="","",INDEX('Per Line'!$Q$2:$Q$1001,$U124))</f>
        <v/>
      </c>
      <c r="J124">
        <f>IF($U124="","",INDEX('Per Line'!$R$2:$R$1001,$U124)&amp;"")</f>
        <v/>
      </c>
      <c r="K124">
        <f>IF($U124="","",Settings!$C$7)</f>
        <v/>
      </c>
      <c r="L124" s="7">
        <f>IF($U124="","",SUMIFS('Per Line'!$N$2:$N$1001,'Per Line'!$A$2:$A$1001,$A124,'Per Line'!$W$2:$W$1001,0))</f>
        <v/>
      </c>
      <c r="M124" s="7">
        <f>IF($U124="","",L124*K124)</f>
        <v/>
      </c>
      <c r="N124">
        <f>IF($U124="","",Settings!$C$6)</f>
        <v/>
      </c>
      <c r="O124" s="7">
        <f>IF($U124="","",SUMIFS('Per Line'!$N$2:$N$1001,'Per Line'!$A$2:$A$1001,$A124,'Per Line'!$W$2:$W$1001,1))</f>
        <v/>
      </c>
      <c r="P124" s="7">
        <f>IF($U124="","",O124*N124)</f>
        <v/>
      </c>
      <c r="Q124" s="7">
        <f>IF($U124="","",P124+M124)</f>
        <v/>
      </c>
      <c r="R124" s="7">
        <f>IF($U124="","",S124-Q124)</f>
        <v/>
      </c>
      <c r="S124" s="7">
        <f>IF($U124="","",L124+O124)</f>
        <v/>
      </c>
      <c r="T124" s="7">
        <f>IF($U124="","",S124-Q124-G124)</f>
        <v/>
      </c>
      <c r="U124" s="13">
        <f>IF(ROWS($U$2:$U124)&lt;=MAX('Per Line'!$V$2:$V$1001),MATCH(ROWS($U$2:$U124),'Per Line'!$V$2:$V$1001,0),"")</f>
        <v/>
      </c>
    </row>
    <row r="125">
      <c r="A125">
        <f>IF($U125="","",INDEX('Per Line'!$A$2:$A$1001,$U125)&amp;"")</f>
        <v/>
      </c>
      <c r="B125" s="12" t="n"/>
      <c r="C125">
        <f>IF($U125="","",INDEX('Per Line'!$B$2:$B$1001,$U125)&amp;"")</f>
        <v/>
      </c>
      <c r="D125">
        <f>IF($U125="","",INDEX('Per Line'!$C$2:$C$1001,$U125)&amp;"")</f>
        <v/>
      </c>
      <c r="E125">
        <f>IF($U125="","",INDEX('Per Line'!$D$2:$D$1001,$U125)&amp;"")</f>
        <v/>
      </c>
      <c r="F125">
        <f>IF($U125="","",INDEX('Per Line'!$E$2:$E$1001,$U125))</f>
        <v/>
      </c>
      <c r="G125" s="7">
        <f>IF($U125="","",F125*S125/100)</f>
        <v/>
      </c>
      <c r="H125">
        <f>IF($U125="","",INDEX('Per Line'!$O$2:$O$1001,$U125)&amp;"")</f>
        <v/>
      </c>
      <c r="I125" s="11">
        <f>IF($U125="","",INDEX('Per Line'!$Q$2:$Q$1001,$U125))</f>
        <v/>
      </c>
      <c r="J125">
        <f>IF($U125="","",INDEX('Per Line'!$R$2:$R$1001,$U125)&amp;"")</f>
        <v/>
      </c>
      <c r="K125">
        <f>IF($U125="","",Settings!$C$7)</f>
        <v/>
      </c>
      <c r="L125" s="7">
        <f>IF($U125="","",SUMIFS('Per Line'!$N$2:$N$1001,'Per Line'!$A$2:$A$1001,$A125,'Per Line'!$W$2:$W$1001,0))</f>
        <v/>
      </c>
      <c r="M125" s="7">
        <f>IF($U125="","",L125*K125)</f>
        <v/>
      </c>
      <c r="N125">
        <f>IF($U125="","",Settings!$C$6)</f>
        <v/>
      </c>
      <c r="O125" s="7">
        <f>IF($U125="","",SUMIFS('Per Line'!$N$2:$N$1001,'Per Line'!$A$2:$A$1001,$A125,'Per Line'!$W$2:$W$1001,1))</f>
        <v/>
      </c>
      <c r="P125" s="7">
        <f>IF($U125="","",O125*N125)</f>
        <v/>
      </c>
      <c r="Q125" s="7">
        <f>IF($U125="","",P125+M125)</f>
        <v/>
      </c>
      <c r="R125" s="7">
        <f>IF($U125="","",S125-Q125)</f>
        <v/>
      </c>
      <c r="S125" s="7">
        <f>IF($U125="","",L125+O125)</f>
        <v/>
      </c>
      <c r="T125" s="7">
        <f>IF($U125="","",S125-Q125-G125)</f>
        <v/>
      </c>
      <c r="U125" s="13">
        <f>IF(ROWS($U$2:$U125)&lt;=MAX('Per Line'!$V$2:$V$1001),MATCH(ROWS($U$2:$U125),'Per Line'!$V$2:$V$1001,0),"")</f>
        <v/>
      </c>
    </row>
    <row r="126">
      <c r="A126">
        <f>IF($U126="","",INDEX('Per Line'!$A$2:$A$1001,$U126)&amp;"")</f>
        <v/>
      </c>
      <c r="B126" s="12" t="n"/>
      <c r="C126">
        <f>IF($U126="","",INDEX('Per Line'!$B$2:$B$1001,$U126)&amp;"")</f>
        <v/>
      </c>
      <c r="D126">
        <f>IF($U126="","",INDEX('Per Line'!$C$2:$C$1001,$U126)&amp;"")</f>
        <v/>
      </c>
      <c r="E126">
        <f>IF($U126="","",INDEX('Per Line'!$D$2:$D$1001,$U126)&amp;"")</f>
        <v/>
      </c>
      <c r="F126">
        <f>IF($U126="","",INDEX('Per Line'!$E$2:$E$1001,$U126))</f>
        <v/>
      </c>
      <c r="G126" s="7">
        <f>IF($U126="","",F126*S126/100)</f>
        <v/>
      </c>
      <c r="H126">
        <f>IF($U126="","",INDEX('Per Line'!$O$2:$O$1001,$U126)&amp;"")</f>
        <v/>
      </c>
      <c r="I126" s="11">
        <f>IF($U126="","",INDEX('Per Line'!$Q$2:$Q$1001,$U126))</f>
        <v/>
      </c>
      <c r="J126">
        <f>IF($U126="","",INDEX('Per Line'!$R$2:$R$1001,$U126)&amp;"")</f>
        <v/>
      </c>
      <c r="K126">
        <f>IF($U126="","",Settings!$C$7)</f>
        <v/>
      </c>
      <c r="L126" s="7">
        <f>IF($U126="","",SUMIFS('Per Line'!$N$2:$N$1001,'Per Line'!$A$2:$A$1001,$A126,'Per Line'!$W$2:$W$1001,0))</f>
        <v/>
      </c>
      <c r="M126" s="7">
        <f>IF($U126="","",L126*K126)</f>
        <v/>
      </c>
      <c r="N126">
        <f>IF($U126="","",Settings!$C$6)</f>
        <v/>
      </c>
      <c r="O126" s="7">
        <f>IF($U126="","",SUMIFS('Per Line'!$N$2:$N$1001,'Per Line'!$A$2:$A$1001,$A126,'Per Line'!$W$2:$W$1001,1))</f>
        <v/>
      </c>
      <c r="P126" s="7">
        <f>IF($U126="","",O126*N126)</f>
        <v/>
      </c>
      <c r="Q126" s="7">
        <f>IF($U126="","",P126+M126)</f>
        <v/>
      </c>
      <c r="R126" s="7">
        <f>IF($U126="","",S126-Q126)</f>
        <v/>
      </c>
      <c r="S126" s="7">
        <f>IF($U126="","",L126+O126)</f>
        <v/>
      </c>
      <c r="T126" s="7">
        <f>IF($U126="","",S126-Q126-G126)</f>
        <v/>
      </c>
      <c r="U126" s="13">
        <f>IF(ROWS($U$2:$U126)&lt;=MAX('Per Line'!$V$2:$V$1001),MATCH(ROWS($U$2:$U126),'Per Line'!$V$2:$V$1001,0),"")</f>
        <v/>
      </c>
    </row>
    <row r="127">
      <c r="A127">
        <f>IF($U127="","",INDEX('Per Line'!$A$2:$A$1001,$U127)&amp;"")</f>
        <v/>
      </c>
      <c r="B127" s="12" t="n"/>
      <c r="C127">
        <f>IF($U127="","",INDEX('Per Line'!$B$2:$B$1001,$U127)&amp;"")</f>
        <v/>
      </c>
      <c r="D127">
        <f>IF($U127="","",INDEX('Per Line'!$C$2:$C$1001,$U127)&amp;"")</f>
        <v/>
      </c>
      <c r="E127">
        <f>IF($U127="","",INDEX('Per Line'!$D$2:$D$1001,$U127)&amp;"")</f>
        <v/>
      </c>
      <c r="F127">
        <f>IF($U127="","",INDEX('Per Line'!$E$2:$E$1001,$U127))</f>
        <v/>
      </c>
      <c r="G127" s="7">
        <f>IF($U127="","",F127*S127/100)</f>
        <v/>
      </c>
      <c r="H127">
        <f>IF($U127="","",INDEX('Per Line'!$O$2:$O$1001,$U127)&amp;"")</f>
        <v/>
      </c>
      <c r="I127" s="11">
        <f>IF($U127="","",INDEX('Per Line'!$Q$2:$Q$1001,$U127))</f>
        <v/>
      </c>
      <c r="J127">
        <f>IF($U127="","",INDEX('Per Line'!$R$2:$R$1001,$U127)&amp;"")</f>
        <v/>
      </c>
      <c r="K127">
        <f>IF($U127="","",Settings!$C$7)</f>
        <v/>
      </c>
      <c r="L127" s="7">
        <f>IF($U127="","",SUMIFS('Per Line'!$N$2:$N$1001,'Per Line'!$A$2:$A$1001,$A127,'Per Line'!$W$2:$W$1001,0))</f>
        <v/>
      </c>
      <c r="M127" s="7">
        <f>IF($U127="","",L127*K127)</f>
        <v/>
      </c>
      <c r="N127">
        <f>IF($U127="","",Settings!$C$6)</f>
        <v/>
      </c>
      <c r="O127" s="7">
        <f>IF($U127="","",SUMIFS('Per Line'!$N$2:$N$1001,'Per Line'!$A$2:$A$1001,$A127,'Per Line'!$W$2:$W$1001,1))</f>
        <v/>
      </c>
      <c r="P127" s="7">
        <f>IF($U127="","",O127*N127)</f>
        <v/>
      </c>
      <c r="Q127" s="7">
        <f>IF($U127="","",P127+M127)</f>
        <v/>
      </c>
      <c r="R127" s="7">
        <f>IF($U127="","",S127-Q127)</f>
        <v/>
      </c>
      <c r="S127" s="7">
        <f>IF($U127="","",L127+O127)</f>
        <v/>
      </c>
      <c r="T127" s="7">
        <f>IF($U127="","",S127-Q127-G127)</f>
        <v/>
      </c>
      <c r="U127" s="13">
        <f>IF(ROWS($U$2:$U127)&lt;=MAX('Per Line'!$V$2:$V$1001),MATCH(ROWS($U$2:$U127),'Per Line'!$V$2:$V$1001,0),"")</f>
        <v/>
      </c>
    </row>
    <row r="128">
      <c r="A128">
        <f>IF($U128="","",INDEX('Per Line'!$A$2:$A$1001,$U128)&amp;"")</f>
        <v/>
      </c>
      <c r="B128" s="12" t="n"/>
      <c r="C128">
        <f>IF($U128="","",INDEX('Per Line'!$B$2:$B$1001,$U128)&amp;"")</f>
        <v/>
      </c>
      <c r="D128">
        <f>IF($U128="","",INDEX('Per Line'!$C$2:$C$1001,$U128)&amp;"")</f>
        <v/>
      </c>
      <c r="E128">
        <f>IF($U128="","",INDEX('Per Line'!$D$2:$D$1001,$U128)&amp;"")</f>
        <v/>
      </c>
      <c r="F128">
        <f>IF($U128="","",INDEX('Per Line'!$E$2:$E$1001,$U128))</f>
        <v/>
      </c>
      <c r="G128" s="7">
        <f>IF($U128="","",F128*S128/100)</f>
        <v/>
      </c>
      <c r="H128">
        <f>IF($U128="","",INDEX('Per Line'!$O$2:$O$1001,$U128)&amp;"")</f>
        <v/>
      </c>
      <c r="I128" s="11">
        <f>IF($U128="","",INDEX('Per Line'!$Q$2:$Q$1001,$U128))</f>
        <v/>
      </c>
      <c r="J128">
        <f>IF($U128="","",INDEX('Per Line'!$R$2:$R$1001,$U128)&amp;"")</f>
        <v/>
      </c>
      <c r="K128">
        <f>IF($U128="","",Settings!$C$7)</f>
        <v/>
      </c>
      <c r="L128" s="7">
        <f>IF($U128="","",SUMIFS('Per Line'!$N$2:$N$1001,'Per Line'!$A$2:$A$1001,$A128,'Per Line'!$W$2:$W$1001,0))</f>
        <v/>
      </c>
      <c r="M128" s="7">
        <f>IF($U128="","",L128*K128)</f>
        <v/>
      </c>
      <c r="N128">
        <f>IF($U128="","",Settings!$C$6)</f>
        <v/>
      </c>
      <c r="O128" s="7">
        <f>IF($U128="","",SUMIFS('Per Line'!$N$2:$N$1001,'Per Line'!$A$2:$A$1001,$A128,'Per Line'!$W$2:$W$1001,1))</f>
        <v/>
      </c>
      <c r="P128" s="7">
        <f>IF($U128="","",O128*N128)</f>
        <v/>
      </c>
      <c r="Q128" s="7">
        <f>IF($U128="","",P128+M128)</f>
        <v/>
      </c>
      <c r="R128" s="7">
        <f>IF($U128="","",S128-Q128)</f>
        <v/>
      </c>
      <c r="S128" s="7">
        <f>IF($U128="","",L128+O128)</f>
        <v/>
      </c>
      <c r="T128" s="7">
        <f>IF($U128="","",S128-Q128-G128)</f>
        <v/>
      </c>
      <c r="U128" s="13">
        <f>IF(ROWS($U$2:$U128)&lt;=MAX('Per Line'!$V$2:$V$1001),MATCH(ROWS($U$2:$U128),'Per Line'!$V$2:$V$1001,0),"")</f>
        <v/>
      </c>
    </row>
    <row r="129">
      <c r="A129">
        <f>IF($U129="","",INDEX('Per Line'!$A$2:$A$1001,$U129)&amp;"")</f>
        <v/>
      </c>
      <c r="B129" s="12" t="n"/>
      <c r="C129">
        <f>IF($U129="","",INDEX('Per Line'!$B$2:$B$1001,$U129)&amp;"")</f>
        <v/>
      </c>
      <c r="D129">
        <f>IF($U129="","",INDEX('Per Line'!$C$2:$C$1001,$U129)&amp;"")</f>
        <v/>
      </c>
      <c r="E129">
        <f>IF($U129="","",INDEX('Per Line'!$D$2:$D$1001,$U129)&amp;"")</f>
        <v/>
      </c>
      <c r="F129">
        <f>IF($U129="","",INDEX('Per Line'!$E$2:$E$1001,$U129))</f>
        <v/>
      </c>
      <c r="G129" s="7">
        <f>IF($U129="","",F129*S129/100)</f>
        <v/>
      </c>
      <c r="H129">
        <f>IF($U129="","",INDEX('Per Line'!$O$2:$O$1001,$U129)&amp;"")</f>
        <v/>
      </c>
      <c r="I129" s="11">
        <f>IF($U129="","",INDEX('Per Line'!$Q$2:$Q$1001,$U129))</f>
        <v/>
      </c>
      <c r="J129">
        <f>IF($U129="","",INDEX('Per Line'!$R$2:$R$1001,$U129)&amp;"")</f>
        <v/>
      </c>
      <c r="K129">
        <f>IF($U129="","",Settings!$C$7)</f>
        <v/>
      </c>
      <c r="L129" s="7">
        <f>IF($U129="","",SUMIFS('Per Line'!$N$2:$N$1001,'Per Line'!$A$2:$A$1001,$A129,'Per Line'!$W$2:$W$1001,0))</f>
        <v/>
      </c>
      <c r="M129" s="7">
        <f>IF($U129="","",L129*K129)</f>
        <v/>
      </c>
      <c r="N129">
        <f>IF($U129="","",Settings!$C$6)</f>
        <v/>
      </c>
      <c r="O129" s="7">
        <f>IF($U129="","",SUMIFS('Per Line'!$N$2:$N$1001,'Per Line'!$A$2:$A$1001,$A129,'Per Line'!$W$2:$W$1001,1))</f>
        <v/>
      </c>
      <c r="P129" s="7">
        <f>IF($U129="","",O129*N129)</f>
        <v/>
      </c>
      <c r="Q129" s="7">
        <f>IF($U129="","",P129+M129)</f>
        <v/>
      </c>
      <c r="R129" s="7">
        <f>IF($U129="","",S129-Q129)</f>
        <v/>
      </c>
      <c r="S129" s="7">
        <f>IF($U129="","",L129+O129)</f>
        <v/>
      </c>
      <c r="T129" s="7">
        <f>IF($U129="","",S129-Q129-G129)</f>
        <v/>
      </c>
      <c r="U129" s="13">
        <f>IF(ROWS($U$2:$U129)&lt;=MAX('Per Line'!$V$2:$V$1001),MATCH(ROWS($U$2:$U129),'Per Line'!$V$2:$V$1001,0),"")</f>
        <v/>
      </c>
    </row>
    <row r="130">
      <c r="A130">
        <f>IF($U130="","",INDEX('Per Line'!$A$2:$A$1001,$U130)&amp;"")</f>
        <v/>
      </c>
      <c r="B130" s="12" t="n"/>
      <c r="C130">
        <f>IF($U130="","",INDEX('Per Line'!$B$2:$B$1001,$U130)&amp;"")</f>
        <v/>
      </c>
      <c r="D130">
        <f>IF($U130="","",INDEX('Per Line'!$C$2:$C$1001,$U130)&amp;"")</f>
        <v/>
      </c>
      <c r="E130">
        <f>IF($U130="","",INDEX('Per Line'!$D$2:$D$1001,$U130)&amp;"")</f>
        <v/>
      </c>
      <c r="F130">
        <f>IF($U130="","",INDEX('Per Line'!$E$2:$E$1001,$U130))</f>
        <v/>
      </c>
      <c r="G130" s="7">
        <f>IF($U130="","",F130*S130/100)</f>
        <v/>
      </c>
      <c r="H130">
        <f>IF($U130="","",INDEX('Per Line'!$O$2:$O$1001,$U130)&amp;"")</f>
        <v/>
      </c>
      <c r="I130" s="11">
        <f>IF($U130="","",INDEX('Per Line'!$Q$2:$Q$1001,$U130))</f>
        <v/>
      </c>
      <c r="J130">
        <f>IF($U130="","",INDEX('Per Line'!$R$2:$R$1001,$U130)&amp;"")</f>
        <v/>
      </c>
      <c r="K130">
        <f>IF($U130="","",Settings!$C$7)</f>
        <v/>
      </c>
      <c r="L130" s="7">
        <f>IF($U130="","",SUMIFS('Per Line'!$N$2:$N$1001,'Per Line'!$A$2:$A$1001,$A130,'Per Line'!$W$2:$W$1001,0))</f>
        <v/>
      </c>
      <c r="M130" s="7">
        <f>IF($U130="","",L130*K130)</f>
        <v/>
      </c>
      <c r="N130">
        <f>IF($U130="","",Settings!$C$6)</f>
        <v/>
      </c>
      <c r="O130" s="7">
        <f>IF($U130="","",SUMIFS('Per Line'!$N$2:$N$1001,'Per Line'!$A$2:$A$1001,$A130,'Per Line'!$W$2:$W$1001,1))</f>
        <v/>
      </c>
      <c r="P130" s="7">
        <f>IF($U130="","",O130*N130)</f>
        <v/>
      </c>
      <c r="Q130" s="7">
        <f>IF($U130="","",P130+M130)</f>
        <v/>
      </c>
      <c r="R130" s="7">
        <f>IF($U130="","",S130-Q130)</f>
        <v/>
      </c>
      <c r="S130" s="7">
        <f>IF($U130="","",L130+O130)</f>
        <v/>
      </c>
      <c r="T130" s="7">
        <f>IF($U130="","",S130-Q130-G130)</f>
        <v/>
      </c>
      <c r="U130" s="13">
        <f>IF(ROWS($U$2:$U130)&lt;=MAX('Per Line'!$V$2:$V$1001),MATCH(ROWS($U$2:$U130),'Per Line'!$V$2:$V$1001,0),"")</f>
        <v/>
      </c>
    </row>
    <row r="131">
      <c r="A131">
        <f>IF($U131="","",INDEX('Per Line'!$A$2:$A$1001,$U131)&amp;"")</f>
        <v/>
      </c>
      <c r="B131" s="12" t="n"/>
      <c r="C131">
        <f>IF($U131="","",INDEX('Per Line'!$B$2:$B$1001,$U131)&amp;"")</f>
        <v/>
      </c>
      <c r="D131">
        <f>IF($U131="","",INDEX('Per Line'!$C$2:$C$1001,$U131)&amp;"")</f>
        <v/>
      </c>
      <c r="E131">
        <f>IF($U131="","",INDEX('Per Line'!$D$2:$D$1001,$U131)&amp;"")</f>
        <v/>
      </c>
      <c r="F131">
        <f>IF($U131="","",INDEX('Per Line'!$E$2:$E$1001,$U131))</f>
        <v/>
      </c>
      <c r="G131" s="7">
        <f>IF($U131="","",F131*S131/100)</f>
        <v/>
      </c>
      <c r="H131">
        <f>IF($U131="","",INDEX('Per Line'!$O$2:$O$1001,$U131)&amp;"")</f>
        <v/>
      </c>
      <c r="I131" s="11">
        <f>IF($U131="","",INDEX('Per Line'!$Q$2:$Q$1001,$U131))</f>
        <v/>
      </c>
      <c r="J131">
        <f>IF($U131="","",INDEX('Per Line'!$R$2:$R$1001,$U131)&amp;"")</f>
        <v/>
      </c>
      <c r="K131">
        <f>IF($U131="","",Settings!$C$7)</f>
        <v/>
      </c>
      <c r="L131" s="7">
        <f>IF($U131="","",SUMIFS('Per Line'!$N$2:$N$1001,'Per Line'!$A$2:$A$1001,$A131,'Per Line'!$W$2:$W$1001,0))</f>
        <v/>
      </c>
      <c r="M131" s="7">
        <f>IF($U131="","",L131*K131)</f>
        <v/>
      </c>
      <c r="N131">
        <f>IF($U131="","",Settings!$C$6)</f>
        <v/>
      </c>
      <c r="O131" s="7">
        <f>IF($U131="","",SUMIFS('Per Line'!$N$2:$N$1001,'Per Line'!$A$2:$A$1001,$A131,'Per Line'!$W$2:$W$1001,1))</f>
        <v/>
      </c>
      <c r="P131" s="7">
        <f>IF($U131="","",O131*N131)</f>
        <v/>
      </c>
      <c r="Q131" s="7">
        <f>IF($U131="","",P131+M131)</f>
        <v/>
      </c>
      <c r="R131" s="7">
        <f>IF($U131="","",S131-Q131)</f>
        <v/>
      </c>
      <c r="S131" s="7">
        <f>IF($U131="","",L131+O131)</f>
        <v/>
      </c>
      <c r="T131" s="7">
        <f>IF($U131="","",S131-Q131-G131)</f>
        <v/>
      </c>
      <c r="U131" s="13">
        <f>IF(ROWS($U$2:$U131)&lt;=MAX('Per Line'!$V$2:$V$1001),MATCH(ROWS($U$2:$U131),'Per Line'!$V$2:$V$1001,0),"")</f>
        <v/>
      </c>
    </row>
    <row r="132">
      <c r="A132">
        <f>IF($U132="","",INDEX('Per Line'!$A$2:$A$1001,$U132)&amp;"")</f>
        <v/>
      </c>
      <c r="B132" s="12" t="n"/>
      <c r="C132">
        <f>IF($U132="","",INDEX('Per Line'!$B$2:$B$1001,$U132)&amp;"")</f>
        <v/>
      </c>
      <c r="D132">
        <f>IF($U132="","",INDEX('Per Line'!$C$2:$C$1001,$U132)&amp;"")</f>
        <v/>
      </c>
      <c r="E132">
        <f>IF($U132="","",INDEX('Per Line'!$D$2:$D$1001,$U132)&amp;"")</f>
        <v/>
      </c>
      <c r="F132">
        <f>IF($U132="","",INDEX('Per Line'!$E$2:$E$1001,$U132))</f>
        <v/>
      </c>
      <c r="G132" s="7">
        <f>IF($U132="","",F132*S132/100)</f>
        <v/>
      </c>
      <c r="H132">
        <f>IF($U132="","",INDEX('Per Line'!$O$2:$O$1001,$U132)&amp;"")</f>
        <v/>
      </c>
      <c r="I132" s="11">
        <f>IF($U132="","",INDEX('Per Line'!$Q$2:$Q$1001,$U132))</f>
        <v/>
      </c>
      <c r="J132">
        <f>IF($U132="","",INDEX('Per Line'!$R$2:$R$1001,$U132)&amp;"")</f>
        <v/>
      </c>
      <c r="K132">
        <f>IF($U132="","",Settings!$C$7)</f>
        <v/>
      </c>
      <c r="L132" s="7">
        <f>IF($U132="","",SUMIFS('Per Line'!$N$2:$N$1001,'Per Line'!$A$2:$A$1001,$A132,'Per Line'!$W$2:$W$1001,0))</f>
        <v/>
      </c>
      <c r="M132" s="7">
        <f>IF($U132="","",L132*K132)</f>
        <v/>
      </c>
      <c r="N132">
        <f>IF($U132="","",Settings!$C$6)</f>
        <v/>
      </c>
      <c r="O132" s="7">
        <f>IF($U132="","",SUMIFS('Per Line'!$N$2:$N$1001,'Per Line'!$A$2:$A$1001,$A132,'Per Line'!$W$2:$W$1001,1))</f>
        <v/>
      </c>
      <c r="P132" s="7">
        <f>IF($U132="","",O132*N132)</f>
        <v/>
      </c>
      <c r="Q132" s="7">
        <f>IF($U132="","",P132+M132)</f>
        <v/>
      </c>
      <c r="R132" s="7">
        <f>IF($U132="","",S132-Q132)</f>
        <v/>
      </c>
      <c r="S132" s="7">
        <f>IF($U132="","",L132+O132)</f>
        <v/>
      </c>
      <c r="T132" s="7">
        <f>IF($U132="","",S132-Q132-G132)</f>
        <v/>
      </c>
      <c r="U132" s="13">
        <f>IF(ROWS($U$2:$U132)&lt;=MAX('Per Line'!$V$2:$V$1001),MATCH(ROWS($U$2:$U132),'Per Line'!$V$2:$V$1001,0),"")</f>
        <v/>
      </c>
    </row>
    <row r="133">
      <c r="A133">
        <f>IF($U133="","",INDEX('Per Line'!$A$2:$A$1001,$U133)&amp;"")</f>
        <v/>
      </c>
      <c r="B133" s="12" t="n"/>
      <c r="C133">
        <f>IF($U133="","",INDEX('Per Line'!$B$2:$B$1001,$U133)&amp;"")</f>
        <v/>
      </c>
      <c r="D133">
        <f>IF($U133="","",INDEX('Per Line'!$C$2:$C$1001,$U133)&amp;"")</f>
        <v/>
      </c>
      <c r="E133">
        <f>IF($U133="","",INDEX('Per Line'!$D$2:$D$1001,$U133)&amp;"")</f>
        <v/>
      </c>
      <c r="F133">
        <f>IF($U133="","",INDEX('Per Line'!$E$2:$E$1001,$U133))</f>
        <v/>
      </c>
      <c r="G133" s="7">
        <f>IF($U133="","",F133*S133/100)</f>
        <v/>
      </c>
      <c r="H133">
        <f>IF($U133="","",INDEX('Per Line'!$O$2:$O$1001,$U133)&amp;"")</f>
        <v/>
      </c>
      <c r="I133" s="11">
        <f>IF($U133="","",INDEX('Per Line'!$Q$2:$Q$1001,$U133))</f>
        <v/>
      </c>
      <c r="J133">
        <f>IF($U133="","",INDEX('Per Line'!$R$2:$R$1001,$U133)&amp;"")</f>
        <v/>
      </c>
      <c r="K133">
        <f>IF($U133="","",Settings!$C$7)</f>
        <v/>
      </c>
      <c r="L133" s="7">
        <f>IF($U133="","",SUMIFS('Per Line'!$N$2:$N$1001,'Per Line'!$A$2:$A$1001,$A133,'Per Line'!$W$2:$W$1001,0))</f>
        <v/>
      </c>
      <c r="M133" s="7">
        <f>IF($U133="","",L133*K133)</f>
        <v/>
      </c>
      <c r="N133">
        <f>IF($U133="","",Settings!$C$6)</f>
        <v/>
      </c>
      <c r="O133" s="7">
        <f>IF($U133="","",SUMIFS('Per Line'!$N$2:$N$1001,'Per Line'!$A$2:$A$1001,$A133,'Per Line'!$W$2:$W$1001,1))</f>
        <v/>
      </c>
      <c r="P133" s="7">
        <f>IF($U133="","",O133*N133)</f>
        <v/>
      </c>
      <c r="Q133" s="7">
        <f>IF($U133="","",P133+M133)</f>
        <v/>
      </c>
      <c r="R133" s="7">
        <f>IF($U133="","",S133-Q133)</f>
        <v/>
      </c>
      <c r="S133" s="7">
        <f>IF($U133="","",L133+O133)</f>
        <v/>
      </c>
      <c r="T133" s="7">
        <f>IF($U133="","",S133-Q133-G133)</f>
        <v/>
      </c>
      <c r="U133" s="13">
        <f>IF(ROWS($U$2:$U133)&lt;=MAX('Per Line'!$V$2:$V$1001),MATCH(ROWS($U$2:$U133),'Per Line'!$V$2:$V$1001,0),"")</f>
        <v/>
      </c>
    </row>
    <row r="134">
      <c r="A134">
        <f>IF($U134="","",INDEX('Per Line'!$A$2:$A$1001,$U134)&amp;"")</f>
        <v/>
      </c>
      <c r="B134" s="12" t="n"/>
      <c r="C134">
        <f>IF($U134="","",INDEX('Per Line'!$B$2:$B$1001,$U134)&amp;"")</f>
        <v/>
      </c>
      <c r="D134">
        <f>IF($U134="","",INDEX('Per Line'!$C$2:$C$1001,$U134)&amp;"")</f>
        <v/>
      </c>
      <c r="E134">
        <f>IF($U134="","",INDEX('Per Line'!$D$2:$D$1001,$U134)&amp;"")</f>
        <v/>
      </c>
      <c r="F134">
        <f>IF($U134="","",INDEX('Per Line'!$E$2:$E$1001,$U134))</f>
        <v/>
      </c>
      <c r="G134" s="7">
        <f>IF($U134="","",F134*S134/100)</f>
        <v/>
      </c>
      <c r="H134">
        <f>IF($U134="","",INDEX('Per Line'!$O$2:$O$1001,$U134)&amp;"")</f>
        <v/>
      </c>
      <c r="I134" s="11">
        <f>IF($U134="","",INDEX('Per Line'!$Q$2:$Q$1001,$U134))</f>
        <v/>
      </c>
      <c r="J134">
        <f>IF($U134="","",INDEX('Per Line'!$R$2:$R$1001,$U134)&amp;"")</f>
        <v/>
      </c>
      <c r="K134">
        <f>IF($U134="","",Settings!$C$7)</f>
        <v/>
      </c>
      <c r="L134" s="7">
        <f>IF($U134="","",SUMIFS('Per Line'!$N$2:$N$1001,'Per Line'!$A$2:$A$1001,$A134,'Per Line'!$W$2:$W$1001,0))</f>
        <v/>
      </c>
      <c r="M134" s="7">
        <f>IF($U134="","",L134*K134)</f>
        <v/>
      </c>
      <c r="N134">
        <f>IF($U134="","",Settings!$C$6)</f>
        <v/>
      </c>
      <c r="O134" s="7">
        <f>IF($U134="","",SUMIFS('Per Line'!$N$2:$N$1001,'Per Line'!$A$2:$A$1001,$A134,'Per Line'!$W$2:$W$1001,1))</f>
        <v/>
      </c>
      <c r="P134" s="7">
        <f>IF($U134="","",O134*N134)</f>
        <v/>
      </c>
      <c r="Q134" s="7">
        <f>IF($U134="","",P134+M134)</f>
        <v/>
      </c>
      <c r="R134" s="7">
        <f>IF($U134="","",S134-Q134)</f>
        <v/>
      </c>
      <c r="S134" s="7">
        <f>IF($U134="","",L134+O134)</f>
        <v/>
      </c>
      <c r="T134" s="7">
        <f>IF($U134="","",S134-Q134-G134)</f>
        <v/>
      </c>
      <c r="U134" s="13">
        <f>IF(ROWS($U$2:$U134)&lt;=MAX('Per Line'!$V$2:$V$1001),MATCH(ROWS($U$2:$U134),'Per Line'!$V$2:$V$1001,0),"")</f>
        <v/>
      </c>
    </row>
    <row r="135">
      <c r="A135">
        <f>IF($U135="","",INDEX('Per Line'!$A$2:$A$1001,$U135)&amp;"")</f>
        <v/>
      </c>
      <c r="B135" s="12" t="n"/>
      <c r="C135">
        <f>IF($U135="","",INDEX('Per Line'!$B$2:$B$1001,$U135)&amp;"")</f>
        <v/>
      </c>
      <c r="D135">
        <f>IF($U135="","",INDEX('Per Line'!$C$2:$C$1001,$U135)&amp;"")</f>
        <v/>
      </c>
      <c r="E135">
        <f>IF($U135="","",INDEX('Per Line'!$D$2:$D$1001,$U135)&amp;"")</f>
        <v/>
      </c>
      <c r="F135">
        <f>IF($U135="","",INDEX('Per Line'!$E$2:$E$1001,$U135))</f>
        <v/>
      </c>
      <c r="G135" s="7">
        <f>IF($U135="","",F135*S135/100)</f>
        <v/>
      </c>
      <c r="H135">
        <f>IF($U135="","",INDEX('Per Line'!$O$2:$O$1001,$U135)&amp;"")</f>
        <v/>
      </c>
      <c r="I135" s="11">
        <f>IF($U135="","",INDEX('Per Line'!$Q$2:$Q$1001,$U135))</f>
        <v/>
      </c>
      <c r="J135">
        <f>IF($U135="","",INDEX('Per Line'!$R$2:$R$1001,$U135)&amp;"")</f>
        <v/>
      </c>
      <c r="K135">
        <f>IF($U135="","",Settings!$C$7)</f>
        <v/>
      </c>
      <c r="L135" s="7">
        <f>IF($U135="","",SUMIFS('Per Line'!$N$2:$N$1001,'Per Line'!$A$2:$A$1001,$A135,'Per Line'!$W$2:$W$1001,0))</f>
        <v/>
      </c>
      <c r="M135" s="7">
        <f>IF($U135="","",L135*K135)</f>
        <v/>
      </c>
      <c r="N135">
        <f>IF($U135="","",Settings!$C$6)</f>
        <v/>
      </c>
      <c r="O135" s="7">
        <f>IF($U135="","",SUMIFS('Per Line'!$N$2:$N$1001,'Per Line'!$A$2:$A$1001,$A135,'Per Line'!$W$2:$W$1001,1))</f>
        <v/>
      </c>
      <c r="P135" s="7">
        <f>IF($U135="","",O135*N135)</f>
        <v/>
      </c>
      <c r="Q135" s="7">
        <f>IF($U135="","",P135+M135)</f>
        <v/>
      </c>
      <c r="R135" s="7">
        <f>IF($U135="","",S135-Q135)</f>
        <v/>
      </c>
      <c r="S135" s="7">
        <f>IF($U135="","",L135+O135)</f>
        <v/>
      </c>
      <c r="T135" s="7">
        <f>IF($U135="","",S135-Q135-G135)</f>
        <v/>
      </c>
      <c r="U135" s="13">
        <f>IF(ROWS($U$2:$U135)&lt;=MAX('Per Line'!$V$2:$V$1001),MATCH(ROWS($U$2:$U135),'Per Line'!$V$2:$V$1001,0),"")</f>
        <v/>
      </c>
    </row>
    <row r="136">
      <c r="A136">
        <f>IF($U136="","",INDEX('Per Line'!$A$2:$A$1001,$U136)&amp;"")</f>
        <v/>
      </c>
      <c r="B136" s="12" t="n"/>
      <c r="C136">
        <f>IF($U136="","",INDEX('Per Line'!$B$2:$B$1001,$U136)&amp;"")</f>
        <v/>
      </c>
      <c r="D136">
        <f>IF($U136="","",INDEX('Per Line'!$C$2:$C$1001,$U136)&amp;"")</f>
        <v/>
      </c>
      <c r="E136">
        <f>IF($U136="","",INDEX('Per Line'!$D$2:$D$1001,$U136)&amp;"")</f>
        <v/>
      </c>
      <c r="F136">
        <f>IF($U136="","",INDEX('Per Line'!$E$2:$E$1001,$U136))</f>
        <v/>
      </c>
      <c r="G136" s="7">
        <f>IF($U136="","",F136*S136/100)</f>
        <v/>
      </c>
      <c r="H136">
        <f>IF($U136="","",INDEX('Per Line'!$O$2:$O$1001,$U136)&amp;"")</f>
        <v/>
      </c>
      <c r="I136" s="11">
        <f>IF($U136="","",INDEX('Per Line'!$Q$2:$Q$1001,$U136))</f>
        <v/>
      </c>
      <c r="J136">
        <f>IF($U136="","",INDEX('Per Line'!$R$2:$R$1001,$U136)&amp;"")</f>
        <v/>
      </c>
      <c r="K136">
        <f>IF($U136="","",Settings!$C$7)</f>
        <v/>
      </c>
      <c r="L136" s="7">
        <f>IF($U136="","",SUMIFS('Per Line'!$N$2:$N$1001,'Per Line'!$A$2:$A$1001,$A136,'Per Line'!$W$2:$W$1001,0))</f>
        <v/>
      </c>
      <c r="M136" s="7">
        <f>IF($U136="","",L136*K136)</f>
        <v/>
      </c>
      <c r="N136">
        <f>IF($U136="","",Settings!$C$6)</f>
        <v/>
      </c>
      <c r="O136" s="7">
        <f>IF($U136="","",SUMIFS('Per Line'!$N$2:$N$1001,'Per Line'!$A$2:$A$1001,$A136,'Per Line'!$W$2:$W$1001,1))</f>
        <v/>
      </c>
      <c r="P136" s="7">
        <f>IF($U136="","",O136*N136)</f>
        <v/>
      </c>
      <c r="Q136" s="7">
        <f>IF($U136="","",P136+M136)</f>
        <v/>
      </c>
      <c r="R136" s="7">
        <f>IF($U136="","",S136-Q136)</f>
        <v/>
      </c>
      <c r="S136" s="7">
        <f>IF($U136="","",L136+O136)</f>
        <v/>
      </c>
      <c r="T136" s="7">
        <f>IF($U136="","",S136-Q136-G136)</f>
        <v/>
      </c>
      <c r="U136" s="13">
        <f>IF(ROWS($U$2:$U136)&lt;=MAX('Per Line'!$V$2:$V$1001),MATCH(ROWS($U$2:$U136),'Per Line'!$V$2:$V$1001,0),"")</f>
        <v/>
      </c>
    </row>
    <row r="137">
      <c r="A137">
        <f>IF($U137="","",INDEX('Per Line'!$A$2:$A$1001,$U137)&amp;"")</f>
        <v/>
      </c>
      <c r="B137" s="12" t="n"/>
      <c r="C137">
        <f>IF($U137="","",INDEX('Per Line'!$B$2:$B$1001,$U137)&amp;"")</f>
        <v/>
      </c>
      <c r="D137">
        <f>IF($U137="","",INDEX('Per Line'!$C$2:$C$1001,$U137)&amp;"")</f>
        <v/>
      </c>
      <c r="E137">
        <f>IF($U137="","",INDEX('Per Line'!$D$2:$D$1001,$U137)&amp;"")</f>
        <v/>
      </c>
      <c r="F137">
        <f>IF($U137="","",INDEX('Per Line'!$E$2:$E$1001,$U137))</f>
        <v/>
      </c>
      <c r="G137" s="7">
        <f>IF($U137="","",F137*S137/100)</f>
        <v/>
      </c>
      <c r="H137">
        <f>IF($U137="","",INDEX('Per Line'!$O$2:$O$1001,$U137)&amp;"")</f>
        <v/>
      </c>
      <c r="I137" s="11">
        <f>IF($U137="","",INDEX('Per Line'!$Q$2:$Q$1001,$U137))</f>
        <v/>
      </c>
      <c r="J137">
        <f>IF($U137="","",INDEX('Per Line'!$R$2:$R$1001,$U137)&amp;"")</f>
        <v/>
      </c>
      <c r="K137">
        <f>IF($U137="","",Settings!$C$7)</f>
        <v/>
      </c>
      <c r="L137" s="7">
        <f>IF($U137="","",SUMIFS('Per Line'!$N$2:$N$1001,'Per Line'!$A$2:$A$1001,$A137,'Per Line'!$W$2:$W$1001,0))</f>
        <v/>
      </c>
      <c r="M137" s="7">
        <f>IF($U137="","",L137*K137)</f>
        <v/>
      </c>
      <c r="N137">
        <f>IF($U137="","",Settings!$C$6)</f>
        <v/>
      </c>
      <c r="O137" s="7">
        <f>IF($U137="","",SUMIFS('Per Line'!$N$2:$N$1001,'Per Line'!$A$2:$A$1001,$A137,'Per Line'!$W$2:$W$1001,1))</f>
        <v/>
      </c>
      <c r="P137" s="7">
        <f>IF($U137="","",O137*N137)</f>
        <v/>
      </c>
      <c r="Q137" s="7">
        <f>IF($U137="","",P137+M137)</f>
        <v/>
      </c>
      <c r="R137" s="7">
        <f>IF($U137="","",S137-Q137)</f>
        <v/>
      </c>
      <c r="S137" s="7">
        <f>IF($U137="","",L137+O137)</f>
        <v/>
      </c>
      <c r="T137" s="7">
        <f>IF($U137="","",S137-Q137-G137)</f>
        <v/>
      </c>
      <c r="U137" s="13">
        <f>IF(ROWS($U$2:$U137)&lt;=MAX('Per Line'!$V$2:$V$1001),MATCH(ROWS($U$2:$U137),'Per Line'!$V$2:$V$1001,0),"")</f>
        <v/>
      </c>
    </row>
    <row r="138">
      <c r="A138">
        <f>IF($U138="","",INDEX('Per Line'!$A$2:$A$1001,$U138)&amp;"")</f>
        <v/>
      </c>
      <c r="B138" s="12" t="n"/>
      <c r="C138">
        <f>IF($U138="","",INDEX('Per Line'!$B$2:$B$1001,$U138)&amp;"")</f>
        <v/>
      </c>
      <c r="D138">
        <f>IF($U138="","",INDEX('Per Line'!$C$2:$C$1001,$U138)&amp;"")</f>
        <v/>
      </c>
      <c r="E138">
        <f>IF($U138="","",INDEX('Per Line'!$D$2:$D$1001,$U138)&amp;"")</f>
        <v/>
      </c>
      <c r="F138">
        <f>IF($U138="","",INDEX('Per Line'!$E$2:$E$1001,$U138))</f>
        <v/>
      </c>
      <c r="G138" s="7">
        <f>IF($U138="","",F138*S138/100)</f>
        <v/>
      </c>
      <c r="H138">
        <f>IF($U138="","",INDEX('Per Line'!$O$2:$O$1001,$U138)&amp;"")</f>
        <v/>
      </c>
      <c r="I138" s="11">
        <f>IF($U138="","",INDEX('Per Line'!$Q$2:$Q$1001,$U138))</f>
        <v/>
      </c>
      <c r="J138">
        <f>IF($U138="","",INDEX('Per Line'!$R$2:$R$1001,$U138)&amp;"")</f>
        <v/>
      </c>
      <c r="K138">
        <f>IF($U138="","",Settings!$C$7)</f>
        <v/>
      </c>
      <c r="L138" s="7">
        <f>IF($U138="","",SUMIFS('Per Line'!$N$2:$N$1001,'Per Line'!$A$2:$A$1001,$A138,'Per Line'!$W$2:$W$1001,0))</f>
        <v/>
      </c>
      <c r="M138" s="7">
        <f>IF($U138="","",L138*K138)</f>
        <v/>
      </c>
      <c r="N138">
        <f>IF($U138="","",Settings!$C$6)</f>
        <v/>
      </c>
      <c r="O138" s="7">
        <f>IF($U138="","",SUMIFS('Per Line'!$N$2:$N$1001,'Per Line'!$A$2:$A$1001,$A138,'Per Line'!$W$2:$W$1001,1))</f>
        <v/>
      </c>
      <c r="P138" s="7">
        <f>IF($U138="","",O138*N138)</f>
        <v/>
      </c>
      <c r="Q138" s="7">
        <f>IF($U138="","",P138+M138)</f>
        <v/>
      </c>
      <c r="R138" s="7">
        <f>IF($U138="","",S138-Q138)</f>
        <v/>
      </c>
      <c r="S138" s="7">
        <f>IF($U138="","",L138+O138)</f>
        <v/>
      </c>
      <c r="T138" s="7">
        <f>IF($U138="","",S138-Q138-G138)</f>
        <v/>
      </c>
      <c r="U138" s="13">
        <f>IF(ROWS($U$2:$U138)&lt;=MAX('Per Line'!$V$2:$V$1001),MATCH(ROWS($U$2:$U138),'Per Line'!$V$2:$V$1001,0),"")</f>
        <v/>
      </c>
    </row>
    <row r="139">
      <c r="A139">
        <f>IF($U139="","",INDEX('Per Line'!$A$2:$A$1001,$U139)&amp;"")</f>
        <v/>
      </c>
      <c r="B139" s="12" t="n"/>
      <c r="C139">
        <f>IF($U139="","",INDEX('Per Line'!$B$2:$B$1001,$U139)&amp;"")</f>
        <v/>
      </c>
      <c r="D139">
        <f>IF($U139="","",INDEX('Per Line'!$C$2:$C$1001,$U139)&amp;"")</f>
        <v/>
      </c>
      <c r="E139">
        <f>IF($U139="","",INDEX('Per Line'!$D$2:$D$1001,$U139)&amp;"")</f>
        <v/>
      </c>
      <c r="F139">
        <f>IF($U139="","",INDEX('Per Line'!$E$2:$E$1001,$U139))</f>
        <v/>
      </c>
      <c r="G139" s="7">
        <f>IF($U139="","",F139*S139/100)</f>
        <v/>
      </c>
      <c r="H139">
        <f>IF($U139="","",INDEX('Per Line'!$O$2:$O$1001,$U139)&amp;"")</f>
        <v/>
      </c>
      <c r="I139" s="11">
        <f>IF($U139="","",INDEX('Per Line'!$Q$2:$Q$1001,$U139))</f>
        <v/>
      </c>
      <c r="J139">
        <f>IF($U139="","",INDEX('Per Line'!$R$2:$R$1001,$U139)&amp;"")</f>
        <v/>
      </c>
      <c r="K139">
        <f>IF($U139="","",Settings!$C$7)</f>
        <v/>
      </c>
      <c r="L139" s="7">
        <f>IF($U139="","",SUMIFS('Per Line'!$N$2:$N$1001,'Per Line'!$A$2:$A$1001,$A139,'Per Line'!$W$2:$W$1001,0))</f>
        <v/>
      </c>
      <c r="M139" s="7">
        <f>IF($U139="","",L139*K139)</f>
        <v/>
      </c>
      <c r="N139">
        <f>IF($U139="","",Settings!$C$6)</f>
        <v/>
      </c>
      <c r="O139" s="7">
        <f>IF($U139="","",SUMIFS('Per Line'!$N$2:$N$1001,'Per Line'!$A$2:$A$1001,$A139,'Per Line'!$W$2:$W$1001,1))</f>
        <v/>
      </c>
      <c r="P139" s="7">
        <f>IF($U139="","",O139*N139)</f>
        <v/>
      </c>
      <c r="Q139" s="7">
        <f>IF($U139="","",P139+M139)</f>
        <v/>
      </c>
      <c r="R139" s="7">
        <f>IF($U139="","",S139-Q139)</f>
        <v/>
      </c>
      <c r="S139" s="7">
        <f>IF($U139="","",L139+O139)</f>
        <v/>
      </c>
      <c r="T139" s="7">
        <f>IF($U139="","",S139-Q139-G139)</f>
        <v/>
      </c>
      <c r="U139" s="13">
        <f>IF(ROWS($U$2:$U139)&lt;=MAX('Per Line'!$V$2:$V$1001),MATCH(ROWS($U$2:$U139),'Per Line'!$V$2:$V$1001,0),"")</f>
        <v/>
      </c>
    </row>
    <row r="140">
      <c r="A140">
        <f>IF($U140="","",INDEX('Per Line'!$A$2:$A$1001,$U140)&amp;"")</f>
        <v/>
      </c>
      <c r="B140" s="12" t="n"/>
      <c r="C140">
        <f>IF($U140="","",INDEX('Per Line'!$B$2:$B$1001,$U140)&amp;"")</f>
        <v/>
      </c>
      <c r="D140">
        <f>IF($U140="","",INDEX('Per Line'!$C$2:$C$1001,$U140)&amp;"")</f>
        <v/>
      </c>
      <c r="E140">
        <f>IF($U140="","",INDEX('Per Line'!$D$2:$D$1001,$U140)&amp;"")</f>
        <v/>
      </c>
      <c r="F140">
        <f>IF($U140="","",INDEX('Per Line'!$E$2:$E$1001,$U140))</f>
        <v/>
      </c>
      <c r="G140" s="7">
        <f>IF($U140="","",F140*S140/100)</f>
        <v/>
      </c>
      <c r="H140">
        <f>IF($U140="","",INDEX('Per Line'!$O$2:$O$1001,$U140)&amp;"")</f>
        <v/>
      </c>
      <c r="I140" s="11">
        <f>IF($U140="","",INDEX('Per Line'!$Q$2:$Q$1001,$U140))</f>
        <v/>
      </c>
      <c r="J140">
        <f>IF($U140="","",INDEX('Per Line'!$R$2:$R$1001,$U140)&amp;"")</f>
        <v/>
      </c>
      <c r="K140">
        <f>IF($U140="","",Settings!$C$7)</f>
        <v/>
      </c>
      <c r="L140" s="7">
        <f>IF($U140="","",SUMIFS('Per Line'!$N$2:$N$1001,'Per Line'!$A$2:$A$1001,$A140,'Per Line'!$W$2:$W$1001,0))</f>
        <v/>
      </c>
      <c r="M140" s="7">
        <f>IF($U140="","",L140*K140)</f>
        <v/>
      </c>
      <c r="N140">
        <f>IF($U140="","",Settings!$C$6)</f>
        <v/>
      </c>
      <c r="O140" s="7">
        <f>IF($U140="","",SUMIFS('Per Line'!$N$2:$N$1001,'Per Line'!$A$2:$A$1001,$A140,'Per Line'!$W$2:$W$1001,1))</f>
        <v/>
      </c>
      <c r="P140" s="7">
        <f>IF($U140="","",O140*N140)</f>
        <v/>
      </c>
      <c r="Q140" s="7">
        <f>IF($U140="","",P140+M140)</f>
        <v/>
      </c>
      <c r="R140" s="7">
        <f>IF($U140="","",S140-Q140)</f>
        <v/>
      </c>
      <c r="S140" s="7">
        <f>IF($U140="","",L140+O140)</f>
        <v/>
      </c>
      <c r="T140" s="7">
        <f>IF($U140="","",S140-Q140-G140)</f>
        <v/>
      </c>
      <c r="U140" s="13">
        <f>IF(ROWS($U$2:$U140)&lt;=MAX('Per Line'!$V$2:$V$1001),MATCH(ROWS($U$2:$U140),'Per Line'!$V$2:$V$1001,0),"")</f>
        <v/>
      </c>
    </row>
    <row r="141">
      <c r="A141">
        <f>IF($U141="","",INDEX('Per Line'!$A$2:$A$1001,$U141)&amp;"")</f>
        <v/>
      </c>
      <c r="B141" s="12" t="n"/>
      <c r="C141">
        <f>IF($U141="","",INDEX('Per Line'!$B$2:$B$1001,$U141)&amp;"")</f>
        <v/>
      </c>
      <c r="D141">
        <f>IF($U141="","",INDEX('Per Line'!$C$2:$C$1001,$U141)&amp;"")</f>
        <v/>
      </c>
      <c r="E141">
        <f>IF($U141="","",INDEX('Per Line'!$D$2:$D$1001,$U141)&amp;"")</f>
        <v/>
      </c>
      <c r="F141">
        <f>IF($U141="","",INDEX('Per Line'!$E$2:$E$1001,$U141))</f>
        <v/>
      </c>
      <c r="G141" s="7">
        <f>IF($U141="","",F141*S141/100)</f>
        <v/>
      </c>
      <c r="H141">
        <f>IF($U141="","",INDEX('Per Line'!$O$2:$O$1001,$U141)&amp;"")</f>
        <v/>
      </c>
      <c r="I141" s="11">
        <f>IF($U141="","",INDEX('Per Line'!$Q$2:$Q$1001,$U141))</f>
        <v/>
      </c>
      <c r="J141">
        <f>IF($U141="","",INDEX('Per Line'!$R$2:$R$1001,$U141)&amp;"")</f>
        <v/>
      </c>
      <c r="K141">
        <f>IF($U141="","",Settings!$C$7)</f>
        <v/>
      </c>
      <c r="L141" s="7">
        <f>IF($U141="","",SUMIFS('Per Line'!$N$2:$N$1001,'Per Line'!$A$2:$A$1001,$A141,'Per Line'!$W$2:$W$1001,0))</f>
        <v/>
      </c>
      <c r="M141" s="7">
        <f>IF($U141="","",L141*K141)</f>
        <v/>
      </c>
      <c r="N141">
        <f>IF($U141="","",Settings!$C$6)</f>
        <v/>
      </c>
      <c r="O141" s="7">
        <f>IF($U141="","",SUMIFS('Per Line'!$N$2:$N$1001,'Per Line'!$A$2:$A$1001,$A141,'Per Line'!$W$2:$W$1001,1))</f>
        <v/>
      </c>
      <c r="P141" s="7">
        <f>IF($U141="","",O141*N141)</f>
        <v/>
      </c>
      <c r="Q141" s="7">
        <f>IF($U141="","",P141+M141)</f>
        <v/>
      </c>
      <c r="R141" s="7">
        <f>IF($U141="","",S141-Q141)</f>
        <v/>
      </c>
      <c r="S141" s="7">
        <f>IF($U141="","",L141+O141)</f>
        <v/>
      </c>
      <c r="T141" s="7">
        <f>IF($U141="","",S141-Q141-G141)</f>
        <v/>
      </c>
      <c r="U141" s="13">
        <f>IF(ROWS($U$2:$U141)&lt;=MAX('Per Line'!$V$2:$V$1001),MATCH(ROWS($U$2:$U141),'Per Line'!$V$2:$V$1001,0),"")</f>
        <v/>
      </c>
    </row>
    <row r="142">
      <c r="A142">
        <f>IF($U142="","",INDEX('Per Line'!$A$2:$A$1001,$U142)&amp;"")</f>
        <v/>
      </c>
      <c r="B142" s="12" t="n"/>
      <c r="C142">
        <f>IF($U142="","",INDEX('Per Line'!$B$2:$B$1001,$U142)&amp;"")</f>
        <v/>
      </c>
      <c r="D142">
        <f>IF($U142="","",INDEX('Per Line'!$C$2:$C$1001,$U142)&amp;"")</f>
        <v/>
      </c>
      <c r="E142">
        <f>IF($U142="","",INDEX('Per Line'!$D$2:$D$1001,$U142)&amp;"")</f>
        <v/>
      </c>
      <c r="F142">
        <f>IF($U142="","",INDEX('Per Line'!$E$2:$E$1001,$U142))</f>
        <v/>
      </c>
      <c r="G142" s="7">
        <f>IF($U142="","",F142*S142/100)</f>
        <v/>
      </c>
      <c r="H142">
        <f>IF($U142="","",INDEX('Per Line'!$O$2:$O$1001,$U142)&amp;"")</f>
        <v/>
      </c>
      <c r="I142" s="11">
        <f>IF($U142="","",INDEX('Per Line'!$Q$2:$Q$1001,$U142))</f>
        <v/>
      </c>
      <c r="J142">
        <f>IF($U142="","",INDEX('Per Line'!$R$2:$R$1001,$U142)&amp;"")</f>
        <v/>
      </c>
      <c r="K142">
        <f>IF($U142="","",Settings!$C$7)</f>
        <v/>
      </c>
      <c r="L142" s="7">
        <f>IF($U142="","",SUMIFS('Per Line'!$N$2:$N$1001,'Per Line'!$A$2:$A$1001,$A142,'Per Line'!$W$2:$W$1001,0))</f>
        <v/>
      </c>
      <c r="M142" s="7">
        <f>IF($U142="","",L142*K142)</f>
        <v/>
      </c>
      <c r="N142">
        <f>IF($U142="","",Settings!$C$6)</f>
        <v/>
      </c>
      <c r="O142" s="7">
        <f>IF($U142="","",SUMIFS('Per Line'!$N$2:$N$1001,'Per Line'!$A$2:$A$1001,$A142,'Per Line'!$W$2:$W$1001,1))</f>
        <v/>
      </c>
      <c r="P142" s="7">
        <f>IF($U142="","",O142*N142)</f>
        <v/>
      </c>
      <c r="Q142" s="7">
        <f>IF($U142="","",P142+M142)</f>
        <v/>
      </c>
      <c r="R142" s="7">
        <f>IF($U142="","",S142-Q142)</f>
        <v/>
      </c>
      <c r="S142" s="7">
        <f>IF($U142="","",L142+O142)</f>
        <v/>
      </c>
      <c r="T142" s="7">
        <f>IF($U142="","",S142-Q142-G142)</f>
        <v/>
      </c>
      <c r="U142" s="13">
        <f>IF(ROWS($U$2:$U142)&lt;=MAX('Per Line'!$V$2:$V$1001),MATCH(ROWS($U$2:$U142),'Per Line'!$V$2:$V$1001,0),"")</f>
        <v/>
      </c>
    </row>
    <row r="143">
      <c r="A143">
        <f>IF($U143="","",INDEX('Per Line'!$A$2:$A$1001,$U143)&amp;"")</f>
        <v/>
      </c>
      <c r="B143" s="12" t="n"/>
      <c r="C143">
        <f>IF($U143="","",INDEX('Per Line'!$B$2:$B$1001,$U143)&amp;"")</f>
        <v/>
      </c>
      <c r="D143">
        <f>IF($U143="","",INDEX('Per Line'!$C$2:$C$1001,$U143)&amp;"")</f>
        <v/>
      </c>
      <c r="E143">
        <f>IF($U143="","",INDEX('Per Line'!$D$2:$D$1001,$U143)&amp;"")</f>
        <v/>
      </c>
      <c r="F143">
        <f>IF($U143="","",INDEX('Per Line'!$E$2:$E$1001,$U143))</f>
        <v/>
      </c>
      <c r="G143" s="7">
        <f>IF($U143="","",F143*S143/100)</f>
        <v/>
      </c>
      <c r="H143">
        <f>IF($U143="","",INDEX('Per Line'!$O$2:$O$1001,$U143)&amp;"")</f>
        <v/>
      </c>
      <c r="I143" s="11">
        <f>IF($U143="","",INDEX('Per Line'!$Q$2:$Q$1001,$U143))</f>
        <v/>
      </c>
      <c r="J143">
        <f>IF($U143="","",INDEX('Per Line'!$R$2:$R$1001,$U143)&amp;"")</f>
        <v/>
      </c>
      <c r="K143">
        <f>IF($U143="","",Settings!$C$7)</f>
        <v/>
      </c>
      <c r="L143" s="7">
        <f>IF($U143="","",SUMIFS('Per Line'!$N$2:$N$1001,'Per Line'!$A$2:$A$1001,$A143,'Per Line'!$W$2:$W$1001,0))</f>
        <v/>
      </c>
      <c r="M143" s="7">
        <f>IF($U143="","",L143*K143)</f>
        <v/>
      </c>
      <c r="N143">
        <f>IF($U143="","",Settings!$C$6)</f>
        <v/>
      </c>
      <c r="O143" s="7">
        <f>IF($U143="","",SUMIFS('Per Line'!$N$2:$N$1001,'Per Line'!$A$2:$A$1001,$A143,'Per Line'!$W$2:$W$1001,1))</f>
        <v/>
      </c>
      <c r="P143" s="7">
        <f>IF($U143="","",O143*N143)</f>
        <v/>
      </c>
      <c r="Q143" s="7">
        <f>IF($U143="","",P143+M143)</f>
        <v/>
      </c>
      <c r="R143" s="7">
        <f>IF($U143="","",S143-Q143)</f>
        <v/>
      </c>
      <c r="S143" s="7">
        <f>IF($U143="","",L143+O143)</f>
        <v/>
      </c>
      <c r="T143" s="7">
        <f>IF($U143="","",S143-Q143-G143)</f>
        <v/>
      </c>
      <c r="U143" s="13">
        <f>IF(ROWS($U$2:$U143)&lt;=MAX('Per Line'!$V$2:$V$1001),MATCH(ROWS($U$2:$U143),'Per Line'!$V$2:$V$1001,0),"")</f>
        <v/>
      </c>
    </row>
    <row r="144">
      <c r="A144">
        <f>IF($U144="","",INDEX('Per Line'!$A$2:$A$1001,$U144)&amp;"")</f>
        <v/>
      </c>
      <c r="B144" s="12" t="n"/>
      <c r="C144">
        <f>IF($U144="","",INDEX('Per Line'!$B$2:$B$1001,$U144)&amp;"")</f>
        <v/>
      </c>
      <c r="D144">
        <f>IF($U144="","",INDEX('Per Line'!$C$2:$C$1001,$U144)&amp;"")</f>
        <v/>
      </c>
      <c r="E144">
        <f>IF($U144="","",INDEX('Per Line'!$D$2:$D$1001,$U144)&amp;"")</f>
        <v/>
      </c>
      <c r="F144">
        <f>IF($U144="","",INDEX('Per Line'!$E$2:$E$1001,$U144))</f>
        <v/>
      </c>
      <c r="G144" s="7">
        <f>IF($U144="","",F144*S144/100)</f>
        <v/>
      </c>
      <c r="H144">
        <f>IF($U144="","",INDEX('Per Line'!$O$2:$O$1001,$U144)&amp;"")</f>
        <v/>
      </c>
      <c r="I144" s="11">
        <f>IF($U144="","",INDEX('Per Line'!$Q$2:$Q$1001,$U144))</f>
        <v/>
      </c>
      <c r="J144">
        <f>IF($U144="","",INDEX('Per Line'!$R$2:$R$1001,$U144)&amp;"")</f>
        <v/>
      </c>
      <c r="K144">
        <f>IF($U144="","",Settings!$C$7)</f>
        <v/>
      </c>
      <c r="L144" s="7">
        <f>IF($U144="","",SUMIFS('Per Line'!$N$2:$N$1001,'Per Line'!$A$2:$A$1001,$A144,'Per Line'!$W$2:$W$1001,0))</f>
        <v/>
      </c>
      <c r="M144" s="7">
        <f>IF($U144="","",L144*K144)</f>
        <v/>
      </c>
      <c r="N144">
        <f>IF($U144="","",Settings!$C$6)</f>
        <v/>
      </c>
      <c r="O144" s="7">
        <f>IF($U144="","",SUMIFS('Per Line'!$N$2:$N$1001,'Per Line'!$A$2:$A$1001,$A144,'Per Line'!$W$2:$W$1001,1))</f>
        <v/>
      </c>
      <c r="P144" s="7">
        <f>IF($U144="","",O144*N144)</f>
        <v/>
      </c>
      <c r="Q144" s="7">
        <f>IF($U144="","",P144+M144)</f>
        <v/>
      </c>
      <c r="R144" s="7">
        <f>IF($U144="","",S144-Q144)</f>
        <v/>
      </c>
      <c r="S144" s="7">
        <f>IF($U144="","",L144+O144)</f>
        <v/>
      </c>
      <c r="T144" s="7">
        <f>IF($U144="","",S144-Q144-G144)</f>
        <v/>
      </c>
      <c r="U144" s="13">
        <f>IF(ROWS($U$2:$U144)&lt;=MAX('Per Line'!$V$2:$V$1001),MATCH(ROWS($U$2:$U144),'Per Line'!$V$2:$V$1001,0),"")</f>
        <v/>
      </c>
    </row>
    <row r="145">
      <c r="A145">
        <f>IF($U145="","",INDEX('Per Line'!$A$2:$A$1001,$U145)&amp;"")</f>
        <v/>
      </c>
      <c r="B145" s="12" t="n"/>
      <c r="C145">
        <f>IF($U145="","",INDEX('Per Line'!$B$2:$B$1001,$U145)&amp;"")</f>
        <v/>
      </c>
      <c r="D145">
        <f>IF($U145="","",INDEX('Per Line'!$C$2:$C$1001,$U145)&amp;"")</f>
        <v/>
      </c>
      <c r="E145">
        <f>IF($U145="","",INDEX('Per Line'!$D$2:$D$1001,$U145)&amp;"")</f>
        <v/>
      </c>
      <c r="F145">
        <f>IF($U145="","",INDEX('Per Line'!$E$2:$E$1001,$U145))</f>
        <v/>
      </c>
      <c r="G145" s="7">
        <f>IF($U145="","",F145*S145/100)</f>
        <v/>
      </c>
      <c r="H145">
        <f>IF($U145="","",INDEX('Per Line'!$O$2:$O$1001,$U145)&amp;"")</f>
        <v/>
      </c>
      <c r="I145" s="11">
        <f>IF($U145="","",INDEX('Per Line'!$Q$2:$Q$1001,$U145))</f>
        <v/>
      </c>
      <c r="J145">
        <f>IF($U145="","",INDEX('Per Line'!$R$2:$R$1001,$U145)&amp;"")</f>
        <v/>
      </c>
      <c r="K145">
        <f>IF($U145="","",Settings!$C$7)</f>
        <v/>
      </c>
      <c r="L145" s="7">
        <f>IF($U145="","",SUMIFS('Per Line'!$N$2:$N$1001,'Per Line'!$A$2:$A$1001,$A145,'Per Line'!$W$2:$W$1001,0))</f>
        <v/>
      </c>
      <c r="M145" s="7">
        <f>IF($U145="","",L145*K145)</f>
        <v/>
      </c>
      <c r="N145">
        <f>IF($U145="","",Settings!$C$6)</f>
        <v/>
      </c>
      <c r="O145" s="7">
        <f>IF($U145="","",SUMIFS('Per Line'!$N$2:$N$1001,'Per Line'!$A$2:$A$1001,$A145,'Per Line'!$W$2:$W$1001,1))</f>
        <v/>
      </c>
      <c r="P145" s="7">
        <f>IF($U145="","",O145*N145)</f>
        <v/>
      </c>
      <c r="Q145" s="7">
        <f>IF($U145="","",P145+M145)</f>
        <v/>
      </c>
      <c r="R145" s="7">
        <f>IF($U145="","",S145-Q145)</f>
        <v/>
      </c>
      <c r="S145" s="7">
        <f>IF($U145="","",L145+O145)</f>
        <v/>
      </c>
      <c r="T145" s="7">
        <f>IF($U145="","",S145-Q145-G145)</f>
        <v/>
      </c>
      <c r="U145" s="13">
        <f>IF(ROWS($U$2:$U145)&lt;=MAX('Per Line'!$V$2:$V$1001),MATCH(ROWS($U$2:$U145),'Per Line'!$V$2:$V$1001,0),"")</f>
        <v/>
      </c>
    </row>
    <row r="146">
      <c r="A146">
        <f>IF($U146="","",INDEX('Per Line'!$A$2:$A$1001,$U146)&amp;"")</f>
        <v/>
      </c>
      <c r="B146" s="12" t="n"/>
      <c r="C146">
        <f>IF($U146="","",INDEX('Per Line'!$B$2:$B$1001,$U146)&amp;"")</f>
        <v/>
      </c>
      <c r="D146">
        <f>IF($U146="","",INDEX('Per Line'!$C$2:$C$1001,$U146)&amp;"")</f>
        <v/>
      </c>
      <c r="E146">
        <f>IF($U146="","",INDEX('Per Line'!$D$2:$D$1001,$U146)&amp;"")</f>
        <v/>
      </c>
      <c r="F146">
        <f>IF($U146="","",INDEX('Per Line'!$E$2:$E$1001,$U146))</f>
        <v/>
      </c>
      <c r="G146" s="7">
        <f>IF($U146="","",F146*S146/100)</f>
        <v/>
      </c>
      <c r="H146">
        <f>IF($U146="","",INDEX('Per Line'!$O$2:$O$1001,$U146)&amp;"")</f>
        <v/>
      </c>
      <c r="I146" s="11">
        <f>IF($U146="","",INDEX('Per Line'!$Q$2:$Q$1001,$U146))</f>
        <v/>
      </c>
      <c r="J146">
        <f>IF($U146="","",INDEX('Per Line'!$R$2:$R$1001,$U146)&amp;"")</f>
        <v/>
      </c>
      <c r="K146">
        <f>IF($U146="","",Settings!$C$7)</f>
        <v/>
      </c>
      <c r="L146" s="7">
        <f>IF($U146="","",SUMIFS('Per Line'!$N$2:$N$1001,'Per Line'!$A$2:$A$1001,$A146,'Per Line'!$W$2:$W$1001,0))</f>
        <v/>
      </c>
      <c r="M146" s="7">
        <f>IF($U146="","",L146*K146)</f>
        <v/>
      </c>
      <c r="N146">
        <f>IF($U146="","",Settings!$C$6)</f>
        <v/>
      </c>
      <c r="O146" s="7">
        <f>IF($U146="","",SUMIFS('Per Line'!$N$2:$N$1001,'Per Line'!$A$2:$A$1001,$A146,'Per Line'!$W$2:$W$1001,1))</f>
        <v/>
      </c>
      <c r="P146" s="7">
        <f>IF($U146="","",O146*N146)</f>
        <v/>
      </c>
      <c r="Q146" s="7">
        <f>IF($U146="","",P146+M146)</f>
        <v/>
      </c>
      <c r="R146" s="7">
        <f>IF($U146="","",S146-Q146)</f>
        <v/>
      </c>
      <c r="S146" s="7">
        <f>IF($U146="","",L146+O146)</f>
        <v/>
      </c>
      <c r="T146" s="7">
        <f>IF($U146="","",S146-Q146-G146)</f>
        <v/>
      </c>
      <c r="U146" s="13">
        <f>IF(ROWS($U$2:$U146)&lt;=MAX('Per Line'!$V$2:$V$1001),MATCH(ROWS($U$2:$U146),'Per Line'!$V$2:$V$1001,0),"")</f>
        <v/>
      </c>
    </row>
    <row r="147">
      <c r="A147">
        <f>IF($U147="","",INDEX('Per Line'!$A$2:$A$1001,$U147)&amp;"")</f>
        <v/>
      </c>
      <c r="B147" s="12" t="n"/>
      <c r="C147">
        <f>IF($U147="","",INDEX('Per Line'!$B$2:$B$1001,$U147)&amp;"")</f>
        <v/>
      </c>
      <c r="D147">
        <f>IF($U147="","",INDEX('Per Line'!$C$2:$C$1001,$U147)&amp;"")</f>
        <v/>
      </c>
      <c r="E147">
        <f>IF($U147="","",INDEX('Per Line'!$D$2:$D$1001,$U147)&amp;"")</f>
        <v/>
      </c>
      <c r="F147">
        <f>IF($U147="","",INDEX('Per Line'!$E$2:$E$1001,$U147))</f>
        <v/>
      </c>
      <c r="G147" s="7">
        <f>IF($U147="","",F147*S147/100)</f>
        <v/>
      </c>
      <c r="H147">
        <f>IF($U147="","",INDEX('Per Line'!$O$2:$O$1001,$U147)&amp;"")</f>
        <v/>
      </c>
      <c r="I147" s="11">
        <f>IF($U147="","",INDEX('Per Line'!$Q$2:$Q$1001,$U147))</f>
        <v/>
      </c>
      <c r="J147">
        <f>IF($U147="","",INDEX('Per Line'!$R$2:$R$1001,$U147)&amp;"")</f>
        <v/>
      </c>
      <c r="K147">
        <f>IF($U147="","",Settings!$C$7)</f>
        <v/>
      </c>
      <c r="L147" s="7">
        <f>IF($U147="","",SUMIFS('Per Line'!$N$2:$N$1001,'Per Line'!$A$2:$A$1001,$A147,'Per Line'!$W$2:$W$1001,0))</f>
        <v/>
      </c>
      <c r="M147" s="7">
        <f>IF($U147="","",L147*K147)</f>
        <v/>
      </c>
      <c r="N147">
        <f>IF($U147="","",Settings!$C$6)</f>
        <v/>
      </c>
      <c r="O147" s="7">
        <f>IF($U147="","",SUMIFS('Per Line'!$N$2:$N$1001,'Per Line'!$A$2:$A$1001,$A147,'Per Line'!$W$2:$W$1001,1))</f>
        <v/>
      </c>
      <c r="P147" s="7">
        <f>IF($U147="","",O147*N147)</f>
        <v/>
      </c>
      <c r="Q147" s="7">
        <f>IF($U147="","",P147+M147)</f>
        <v/>
      </c>
      <c r="R147" s="7">
        <f>IF($U147="","",S147-Q147)</f>
        <v/>
      </c>
      <c r="S147" s="7">
        <f>IF($U147="","",L147+O147)</f>
        <v/>
      </c>
      <c r="T147" s="7">
        <f>IF($U147="","",S147-Q147-G147)</f>
        <v/>
      </c>
      <c r="U147" s="13">
        <f>IF(ROWS($U$2:$U147)&lt;=MAX('Per Line'!$V$2:$V$1001),MATCH(ROWS($U$2:$U147),'Per Line'!$V$2:$V$1001,0),"")</f>
        <v/>
      </c>
    </row>
    <row r="148">
      <c r="A148">
        <f>IF($U148="","",INDEX('Per Line'!$A$2:$A$1001,$U148)&amp;"")</f>
        <v/>
      </c>
      <c r="B148" s="12" t="n"/>
      <c r="C148">
        <f>IF($U148="","",INDEX('Per Line'!$B$2:$B$1001,$U148)&amp;"")</f>
        <v/>
      </c>
      <c r="D148">
        <f>IF($U148="","",INDEX('Per Line'!$C$2:$C$1001,$U148)&amp;"")</f>
        <v/>
      </c>
      <c r="E148">
        <f>IF($U148="","",INDEX('Per Line'!$D$2:$D$1001,$U148)&amp;"")</f>
        <v/>
      </c>
      <c r="F148">
        <f>IF($U148="","",INDEX('Per Line'!$E$2:$E$1001,$U148))</f>
        <v/>
      </c>
      <c r="G148" s="7">
        <f>IF($U148="","",F148*S148/100)</f>
        <v/>
      </c>
      <c r="H148">
        <f>IF($U148="","",INDEX('Per Line'!$O$2:$O$1001,$U148)&amp;"")</f>
        <v/>
      </c>
      <c r="I148" s="11">
        <f>IF($U148="","",INDEX('Per Line'!$Q$2:$Q$1001,$U148))</f>
        <v/>
      </c>
      <c r="J148">
        <f>IF($U148="","",INDEX('Per Line'!$R$2:$R$1001,$U148)&amp;"")</f>
        <v/>
      </c>
      <c r="K148">
        <f>IF($U148="","",Settings!$C$7)</f>
        <v/>
      </c>
      <c r="L148" s="7">
        <f>IF($U148="","",SUMIFS('Per Line'!$N$2:$N$1001,'Per Line'!$A$2:$A$1001,$A148,'Per Line'!$W$2:$W$1001,0))</f>
        <v/>
      </c>
      <c r="M148" s="7">
        <f>IF($U148="","",L148*K148)</f>
        <v/>
      </c>
      <c r="N148">
        <f>IF($U148="","",Settings!$C$6)</f>
        <v/>
      </c>
      <c r="O148" s="7">
        <f>IF($U148="","",SUMIFS('Per Line'!$N$2:$N$1001,'Per Line'!$A$2:$A$1001,$A148,'Per Line'!$W$2:$W$1001,1))</f>
        <v/>
      </c>
      <c r="P148" s="7">
        <f>IF($U148="","",O148*N148)</f>
        <v/>
      </c>
      <c r="Q148" s="7">
        <f>IF($U148="","",P148+M148)</f>
        <v/>
      </c>
      <c r="R148" s="7">
        <f>IF($U148="","",S148-Q148)</f>
        <v/>
      </c>
      <c r="S148" s="7">
        <f>IF($U148="","",L148+O148)</f>
        <v/>
      </c>
      <c r="T148" s="7">
        <f>IF($U148="","",S148-Q148-G148)</f>
        <v/>
      </c>
      <c r="U148" s="13">
        <f>IF(ROWS($U$2:$U148)&lt;=MAX('Per Line'!$V$2:$V$1001),MATCH(ROWS($U$2:$U148),'Per Line'!$V$2:$V$1001,0),"")</f>
        <v/>
      </c>
    </row>
    <row r="149">
      <c r="A149">
        <f>IF($U149="","",INDEX('Per Line'!$A$2:$A$1001,$U149)&amp;"")</f>
        <v/>
      </c>
      <c r="B149" s="12" t="n"/>
      <c r="C149">
        <f>IF($U149="","",INDEX('Per Line'!$B$2:$B$1001,$U149)&amp;"")</f>
        <v/>
      </c>
      <c r="D149">
        <f>IF($U149="","",INDEX('Per Line'!$C$2:$C$1001,$U149)&amp;"")</f>
        <v/>
      </c>
      <c r="E149">
        <f>IF($U149="","",INDEX('Per Line'!$D$2:$D$1001,$U149)&amp;"")</f>
        <v/>
      </c>
      <c r="F149">
        <f>IF($U149="","",INDEX('Per Line'!$E$2:$E$1001,$U149))</f>
        <v/>
      </c>
      <c r="G149" s="7">
        <f>IF($U149="","",F149*S149/100)</f>
        <v/>
      </c>
      <c r="H149">
        <f>IF($U149="","",INDEX('Per Line'!$O$2:$O$1001,$U149)&amp;"")</f>
        <v/>
      </c>
      <c r="I149" s="11">
        <f>IF($U149="","",INDEX('Per Line'!$Q$2:$Q$1001,$U149))</f>
        <v/>
      </c>
      <c r="J149">
        <f>IF($U149="","",INDEX('Per Line'!$R$2:$R$1001,$U149)&amp;"")</f>
        <v/>
      </c>
      <c r="K149">
        <f>IF($U149="","",Settings!$C$7)</f>
        <v/>
      </c>
      <c r="L149" s="7">
        <f>IF($U149="","",SUMIFS('Per Line'!$N$2:$N$1001,'Per Line'!$A$2:$A$1001,$A149,'Per Line'!$W$2:$W$1001,0))</f>
        <v/>
      </c>
      <c r="M149" s="7">
        <f>IF($U149="","",L149*K149)</f>
        <v/>
      </c>
      <c r="N149">
        <f>IF($U149="","",Settings!$C$6)</f>
        <v/>
      </c>
      <c r="O149" s="7">
        <f>IF($U149="","",SUMIFS('Per Line'!$N$2:$N$1001,'Per Line'!$A$2:$A$1001,$A149,'Per Line'!$W$2:$W$1001,1))</f>
        <v/>
      </c>
      <c r="P149" s="7">
        <f>IF($U149="","",O149*N149)</f>
        <v/>
      </c>
      <c r="Q149" s="7">
        <f>IF($U149="","",P149+M149)</f>
        <v/>
      </c>
      <c r="R149" s="7">
        <f>IF($U149="","",S149-Q149)</f>
        <v/>
      </c>
      <c r="S149" s="7">
        <f>IF($U149="","",L149+O149)</f>
        <v/>
      </c>
      <c r="T149" s="7">
        <f>IF($U149="","",S149-Q149-G149)</f>
        <v/>
      </c>
      <c r="U149" s="13">
        <f>IF(ROWS($U$2:$U149)&lt;=MAX('Per Line'!$V$2:$V$1001),MATCH(ROWS($U$2:$U149),'Per Line'!$V$2:$V$1001,0),"")</f>
        <v/>
      </c>
    </row>
    <row r="150">
      <c r="A150">
        <f>IF($U150="","",INDEX('Per Line'!$A$2:$A$1001,$U150)&amp;"")</f>
        <v/>
      </c>
      <c r="B150" s="12" t="n"/>
      <c r="C150">
        <f>IF($U150="","",INDEX('Per Line'!$B$2:$B$1001,$U150)&amp;"")</f>
        <v/>
      </c>
      <c r="D150">
        <f>IF($U150="","",INDEX('Per Line'!$C$2:$C$1001,$U150)&amp;"")</f>
        <v/>
      </c>
      <c r="E150">
        <f>IF($U150="","",INDEX('Per Line'!$D$2:$D$1001,$U150)&amp;"")</f>
        <v/>
      </c>
      <c r="F150">
        <f>IF($U150="","",INDEX('Per Line'!$E$2:$E$1001,$U150))</f>
        <v/>
      </c>
      <c r="G150" s="7">
        <f>IF($U150="","",F150*S150/100)</f>
        <v/>
      </c>
      <c r="H150">
        <f>IF($U150="","",INDEX('Per Line'!$O$2:$O$1001,$U150)&amp;"")</f>
        <v/>
      </c>
      <c r="I150" s="11">
        <f>IF($U150="","",INDEX('Per Line'!$Q$2:$Q$1001,$U150))</f>
        <v/>
      </c>
      <c r="J150">
        <f>IF($U150="","",INDEX('Per Line'!$R$2:$R$1001,$U150)&amp;"")</f>
        <v/>
      </c>
      <c r="K150">
        <f>IF($U150="","",Settings!$C$7)</f>
        <v/>
      </c>
      <c r="L150" s="7">
        <f>IF($U150="","",SUMIFS('Per Line'!$N$2:$N$1001,'Per Line'!$A$2:$A$1001,$A150,'Per Line'!$W$2:$W$1001,0))</f>
        <v/>
      </c>
      <c r="M150" s="7">
        <f>IF($U150="","",L150*K150)</f>
        <v/>
      </c>
      <c r="N150">
        <f>IF($U150="","",Settings!$C$6)</f>
        <v/>
      </c>
      <c r="O150" s="7">
        <f>IF($U150="","",SUMIFS('Per Line'!$N$2:$N$1001,'Per Line'!$A$2:$A$1001,$A150,'Per Line'!$W$2:$W$1001,1))</f>
        <v/>
      </c>
      <c r="P150" s="7">
        <f>IF($U150="","",O150*N150)</f>
        <v/>
      </c>
      <c r="Q150" s="7">
        <f>IF($U150="","",P150+M150)</f>
        <v/>
      </c>
      <c r="R150" s="7">
        <f>IF($U150="","",S150-Q150)</f>
        <v/>
      </c>
      <c r="S150" s="7">
        <f>IF($U150="","",L150+O150)</f>
        <v/>
      </c>
      <c r="T150" s="7">
        <f>IF($U150="","",S150-Q150-G150)</f>
        <v/>
      </c>
      <c r="U150" s="13">
        <f>IF(ROWS($U$2:$U150)&lt;=MAX('Per Line'!$V$2:$V$1001),MATCH(ROWS($U$2:$U150),'Per Line'!$V$2:$V$1001,0),"")</f>
        <v/>
      </c>
    </row>
    <row r="151">
      <c r="A151">
        <f>IF($U151="","",INDEX('Per Line'!$A$2:$A$1001,$U151)&amp;"")</f>
        <v/>
      </c>
      <c r="B151" s="12" t="n"/>
      <c r="C151">
        <f>IF($U151="","",INDEX('Per Line'!$B$2:$B$1001,$U151)&amp;"")</f>
        <v/>
      </c>
      <c r="D151">
        <f>IF($U151="","",INDEX('Per Line'!$C$2:$C$1001,$U151)&amp;"")</f>
        <v/>
      </c>
      <c r="E151">
        <f>IF($U151="","",INDEX('Per Line'!$D$2:$D$1001,$U151)&amp;"")</f>
        <v/>
      </c>
      <c r="F151">
        <f>IF($U151="","",INDEX('Per Line'!$E$2:$E$1001,$U151))</f>
        <v/>
      </c>
      <c r="G151" s="7">
        <f>IF($U151="","",F151*S151/100)</f>
        <v/>
      </c>
      <c r="H151">
        <f>IF($U151="","",INDEX('Per Line'!$O$2:$O$1001,$U151)&amp;"")</f>
        <v/>
      </c>
      <c r="I151" s="11">
        <f>IF($U151="","",INDEX('Per Line'!$Q$2:$Q$1001,$U151))</f>
        <v/>
      </c>
      <c r="J151">
        <f>IF($U151="","",INDEX('Per Line'!$R$2:$R$1001,$U151)&amp;"")</f>
        <v/>
      </c>
      <c r="K151">
        <f>IF($U151="","",Settings!$C$7)</f>
        <v/>
      </c>
      <c r="L151" s="7">
        <f>IF($U151="","",SUMIFS('Per Line'!$N$2:$N$1001,'Per Line'!$A$2:$A$1001,$A151,'Per Line'!$W$2:$W$1001,0))</f>
        <v/>
      </c>
      <c r="M151" s="7">
        <f>IF($U151="","",L151*K151)</f>
        <v/>
      </c>
      <c r="N151">
        <f>IF($U151="","",Settings!$C$6)</f>
        <v/>
      </c>
      <c r="O151" s="7">
        <f>IF($U151="","",SUMIFS('Per Line'!$N$2:$N$1001,'Per Line'!$A$2:$A$1001,$A151,'Per Line'!$W$2:$W$1001,1))</f>
        <v/>
      </c>
      <c r="P151" s="7">
        <f>IF($U151="","",O151*N151)</f>
        <v/>
      </c>
      <c r="Q151" s="7">
        <f>IF($U151="","",P151+M151)</f>
        <v/>
      </c>
      <c r="R151" s="7">
        <f>IF($U151="","",S151-Q151)</f>
        <v/>
      </c>
      <c r="S151" s="7">
        <f>IF($U151="","",L151+O151)</f>
        <v/>
      </c>
      <c r="T151" s="7">
        <f>IF($U151="","",S151-Q151-G151)</f>
        <v/>
      </c>
      <c r="U151" s="13">
        <f>IF(ROWS($U$2:$U151)&lt;=MAX('Per Line'!$V$2:$V$1001),MATCH(ROWS($U$2:$U151),'Per Line'!$V$2:$V$1001,0),"")</f>
        <v/>
      </c>
    </row>
    <row r="152">
      <c r="A152">
        <f>IF($U152="","",INDEX('Per Line'!$A$2:$A$1001,$U152)&amp;"")</f>
        <v/>
      </c>
      <c r="B152" s="12" t="n"/>
      <c r="C152">
        <f>IF($U152="","",INDEX('Per Line'!$B$2:$B$1001,$U152)&amp;"")</f>
        <v/>
      </c>
      <c r="D152">
        <f>IF($U152="","",INDEX('Per Line'!$C$2:$C$1001,$U152)&amp;"")</f>
        <v/>
      </c>
      <c r="E152">
        <f>IF($U152="","",INDEX('Per Line'!$D$2:$D$1001,$U152)&amp;"")</f>
        <v/>
      </c>
      <c r="F152">
        <f>IF($U152="","",INDEX('Per Line'!$E$2:$E$1001,$U152))</f>
        <v/>
      </c>
      <c r="G152" s="7">
        <f>IF($U152="","",F152*S152/100)</f>
        <v/>
      </c>
      <c r="H152">
        <f>IF($U152="","",INDEX('Per Line'!$O$2:$O$1001,$U152)&amp;"")</f>
        <v/>
      </c>
      <c r="I152" s="11">
        <f>IF($U152="","",INDEX('Per Line'!$Q$2:$Q$1001,$U152))</f>
        <v/>
      </c>
      <c r="J152">
        <f>IF($U152="","",INDEX('Per Line'!$R$2:$R$1001,$U152)&amp;"")</f>
        <v/>
      </c>
      <c r="K152">
        <f>IF($U152="","",Settings!$C$7)</f>
        <v/>
      </c>
      <c r="L152" s="7">
        <f>IF($U152="","",SUMIFS('Per Line'!$N$2:$N$1001,'Per Line'!$A$2:$A$1001,$A152,'Per Line'!$W$2:$W$1001,0))</f>
        <v/>
      </c>
      <c r="M152" s="7">
        <f>IF($U152="","",L152*K152)</f>
        <v/>
      </c>
      <c r="N152">
        <f>IF($U152="","",Settings!$C$6)</f>
        <v/>
      </c>
      <c r="O152" s="7">
        <f>IF($U152="","",SUMIFS('Per Line'!$N$2:$N$1001,'Per Line'!$A$2:$A$1001,$A152,'Per Line'!$W$2:$W$1001,1))</f>
        <v/>
      </c>
      <c r="P152" s="7">
        <f>IF($U152="","",O152*N152)</f>
        <v/>
      </c>
      <c r="Q152" s="7">
        <f>IF($U152="","",P152+M152)</f>
        <v/>
      </c>
      <c r="R152" s="7">
        <f>IF($U152="","",S152-Q152)</f>
        <v/>
      </c>
      <c r="S152" s="7">
        <f>IF($U152="","",L152+O152)</f>
        <v/>
      </c>
      <c r="T152" s="7">
        <f>IF($U152="","",S152-Q152-G152)</f>
        <v/>
      </c>
      <c r="U152" s="13">
        <f>IF(ROWS($U$2:$U152)&lt;=MAX('Per Line'!$V$2:$V$1001),MATCH(ROWS($U$2:$U152),'Per Line'!$V$2:$V$1001,0),"")</f>
        <v/>
      </c>
    </row>
    <row r="153">
      <c r="A153">
        <f>IF($U153="","",INDEX('Per Line'!$A$2:$A$1001,$U153)&amp;"")</f>
        <v/>
      </c>
      <c r="B153" s="12" t="n"/>
      <c r="C153">
        <f>IF($U153="","",INDEX('Per Line'!$B$2:$B$1001,$U153)&amp;"")</f>
        <v/>
      </c>
      <c r="D153">
        <f>IF($U153="","",INDEX('Per Line'!$C$2:$C$1001,$U153)&amp;"")</f>
        <v/>
      </c>
      <c r="E153">
        <f>IF($U153="","",INDEX('Per Line'!$D$2:$D$1001,$U153)&amp;"")</f>
        <v/>
      </c>
      <c r="F153">
        <f>IF($U153="","",INDEX('Per Line'!$E$2:$E$1001,$U153))</f>
        <v/>
      </c>
      <c r="G153" s="7">
        <f>IF($U153="","",F153*S153/100)</f>
        <v/>
      </c>
      <c r="H153">
        <f>IF($U153="","",INDEX('Per Line'!$O$2:$O$1001,$U153)&amp;"")</f>
        <v/>
      </c>
      <c r="I153" s="11">
        <f>IF($U153="","",INDEX('Per Line'!$Q$2:$Q$1001,$U153))</f>
        <v/>
      </c>
      <c r="J153">
        <f>IF($U153="","",INDEX('Per Line'!$R$2:$R$1001,$U153)&amp;"")</f>
        <v/>
      </c>
      <c r="K153">
        <f>IF($U153="","",Settings!$C$7)</f>
        <v/>
      </c>
      <c r="L153" s="7">
        <f>IF($U153="","",SUMIFS('Per Line'!$N$2:$N$1001,'Per Line'!$A$2:$A$1001,$A153,'Per Line'!$W$2:$W$1001,0))</f>
        <v/>
      </c>
      <c r="M153" s="7">
        <f>IF($U153="","",L153*K153)</f>
        <v/>
      </c>
      <c r="N153">
        <f>IF($U153="","",Settings!$C$6)</f>
        <v/>
      </c>
      <c r="O153" s="7">
        <f>IF($U153="","",SUMIFS('Per Line'!$N$2:$N$1001,'Per Line'!$A$2:$A$1001,$A153,'Per Line'!$W$2:$W$1001,1))</f>
        <v/>
      </c>
      <c r="P153" s="7">
        <f>IF($U153="","",O153*N153)</f>
        <v/>
      </c>
      <c r="Q153" s="7">
        <f>IF($U153="","",P153+M153)</f>
        <v/>
      </c>
      <c r="R153" s="7">
        <f>IF($U153="","",S153-Q153)</f>
        <v/>
      </c>
      <c r="S153" s="7">
        <f>IF($U153="","",L153+O153)</f>
        <v/>
      </c>
      <c r="T153" s="7">
        <f>IF($U153="","",S153-Q153-G153)</f>
        <v/>
      </c>
      <c r="U153" s="13">
        <f>IF(ROWS($U$2:$U153)&lt;=MAX('Per Line'!$V$2:$V$1001),MATCH(ROWS($U$2:$U153),'Per Line'!$V$2:$V$1001,0),"")</f>
        <v/>
      </c>
    </row>
    <row r="154">
      <c r="A154">
        <f>IF($U154="","",INDEX('Per Line'!$A$2:$A$1001,$U154)&amp;"")</f>
        <v/>
      </c>
      <c r="B154" s="12" t="n"/>
      <c r="C154">
        <f>IF($U154="","",INDEX('Per Line'!$B$2:$B$1001,$U154)&amp;"")</f>
        <v/>
      </c>
      <c r="D154">
        <f>IF($U154="","",INDEX('Per Line'!$C$2:$C$1001,$U154)&amp;"")</f>
        <v/>
      </c>
      <c r="E154">
        <f>IF($U154="","",INDEX('Per Line'!$D$2:$D$1001,$U154)&amp;"")</f>
        <v/>
      </c>
      <c r="F154">
        <f>IF($U154="","",INDEX('Per Line'!$E$2:$E$1001,$U154))</f>
        <v/>
      </c>
      <c r="G154" s="7">
        <f>IF($U154="","",F154*S154/100)</f>
        <v/>
      </c>
      <c r="H154">
        <f>IF($U154="","",INDEX('Per Line'!$O$2:$O$1001,$U154)&amp;"")</f>
        <v/>
      </c>
      <c r="I154" s="11">
        <f>IF($U154="","",INDEX('Per Line'!$Q$2:$Q$1001,$U154))</f>
        <v/>
      </c>
      <c r="J154">
        <f>IF($U154="","",INDEX('Per Line'!$R$2:$R$1001,$U154)&amp;"")</f>
        <v/>
      </c>
      <c r="K154">
        <f>IF($U154="","",Settings!$C$7)</f>
        <v/>
      </c>
      <c r="L154" s="7">
        <f>IF($U154="","",SUMIFS('Per Line'!$N$2:$N$1001,'Per Line'!$A$2:$A$1001,$A154,'Per Line'!$W$2:$W$1001,0))</f>
        <v/>
      </c>
      <c r="M154" s="7">
        <f>IF($U154="","",L154*K154)</f>
        <v/>
      </c>
      <c r="N154">
        <f>IF($U154="","",Settings!$C$6)</f>
        <v/>
      </c>
      <c r="O154" s="7">
        <f>IF($U154="","",SUMIFS('Per Line'!$N$2:$N$1001,'Per Line'!$A$2:$A$1001,$A154,'Per Line'!$W$2:$W$1001,1))</f>
        <v/>
      </c>
      <c r="P154" s="7">
        <f>IF($U154="","",O154*N154)</f>
        <v/>
      </c>
      <c r="Q154" s="7">
        <f>IF($U154="","",P154+M154)</f>
        <v/>
      </c>
      <c r="R154" s="7">
        <f>IF($U154="","",S154-Q154)</f>
        <v/>
      </c>
      <c r="S154" s="7">
        <f>IF($U154="","",L154+O154)</f>
        <v/>
      </c>
      <c r="T154" s="7">
        <f>IF($U154="","",S154-Q154-G154)</f>
        <v/>
      </c>
      <c r="U154" s="13">
        <f>IF(ROWS($U$2:$U154)&lt;=MAX('Per Line'!$V$2:$V$1001),MATCH(ROWS($U$2:$U154),'Per Line'!$V$2:$V$1001,0),"")</f>
        <v/>
      </c>
    </row>
    <row r="155">
      <c r="A155">
        <f>IF($U155="","",INDEX('Per Line'!$A$2:$A$1001,$U155)&amp;"")</f>
        <v/>
      </c>
      <c r="B155" s="12" t="n"/>
      <c r="C155">
        <f>IF($U155="","",INDEX('Per Line'!$B$2:$B$1001,$U155)&amp;"")</f>
        <v/>
      </c>
      <c r="D155">
        <f>IF($U155="","",INDEX('Per Line'!$C$2:$C$1001,$U155)&amp;"")</f>
        <v/>
      </c>
      <c r="E155">
        <f>IF($U155="","",INDEX('Per Line'!$D$2:$D$1001,$U155)&amp;"")</f>
        <v/>
      </c>
      <c r="F155">
        <f>IF($U155="","",INDEX('Per Line'!$E$2:$E$1001,$U155))</f>
        <v/>
      </c>
      <c r="G155" s="7">
        <f>IF($U155="","",F155*S155/100)</f>
        <v/>
      </c>
      <c r="H155">
        <f>IF($U155="","",INDEX('Per Line'!$O$2:$O$1001,$U155)&amp;"")</f>
        <v/>
      </c>
      <c r="I155" s="11">
        <f>IF($U155="","",INDEX('Per Line'!$Q$2:$Q$1001,$U155))</f>
        <v/>
      </c>
      <c r="J155">
        <f>IF($U155="","",INDEX('Per Line'!$R$2:$R$1001,$U155)&amp;"")</f>
        <v/>
      </c>
      <c r="K155">
        <f>IF($U155="","",Settings!$C$7)</f>
        <v/>
      </c>
      <c r="L155" s="7">
        <f>IF($U155="","",SUMIFS('Per Line'!$N$2:$N$1001,'Per Line'!$A$2:$A$1001,$A155,'Per Line'!$W$2:$W$1001,0))</f>
        <v/>
      </c>
      <c r="M155" s="7">
        <f>IF($U155="","",L155*K155)</f>
        <v/>
      </c>
      <c r="N155">
        <f>IF($U155="","",Settings!$C$6)</f>
        <v/>
      </c>
      <c r="O155" s="7">
        <f>IF($U155="","",SUMIFS('Per Line'!$N$2:$N$1001,'Per Line'!$A$2:$A$1001,$A155,'Per Line'!$W$2:$W$1001,1))</f>
        <v/>
      </c>
      <c r="P155" s="7">
        <f>IF($U155="","",O155*N155)</f>
        <v/>
      </c>
      <c r="Q155" s="7">
        <f>IF($U155="","",P155+M155)</f>
        <v/>
      </c>
      <c r="R155" s="7">
        <f>IF($U155="","",S155-Q155)</f>
        <v/>
      </c>
      <c r="S155" s="7">
        <f>IF($U155="","",L155+O155)</f>
        <v/>
      </c>
      <c r="T155" s="7">
        <f>IF($U155="","",S155-Q155-G155)</f>
        <v/>
      </c>
      <c r="U155" s="13">
        <f>IF(ROWS($U$2:$U155)&lt;=MAX('Per Line'!$V$2:$V$1001),MATCH(ROWS($U$2:$U155),'Per Line'!$V$2:$V$1001,0),"")</f>
        <v/>
      </c>
    </row>
    <row r="156">
      <c r="A156">
        <f>IF($U156="","",INDEX('Per Line'!$A$2:$A$1001,$U156)&amp;"")</f>
        <v/>
      </c>
      <c r="B156" s="12" t="n"/>
      <c r="C156">
        <f>IF($U156="","",INDEX('Per Line'!$B$2:$B$1001,$U156)&amp;"")</f>
        <v/>
      </c>
      <c r="D156">
        <f>IF($U156="","",INDEX('Per Line'!$C$2:$C$1001,$U156)&amp;"")</f>
        <v/>
      </c>
      <c r="E156">
        <f>IF($U156="","",INDEX('Per Line'!$D$2:$D$1001,$U156)&amp;"")</f>
        <v/>
      </c>
      <c r="F156">
        <f>IF($U156="","",INDEX('Per Line'!$E$2:$E$1001,$U156))</f>
        <v/>
      </c>
      <c r="G156" s="7">
        <f>IF($U156="","",F156*S156/100)</f>
        <v/>
      </c>
      <c r="H156">
        <f>IF($U156="","",INDEX('Per Line'!$O$2:$O$1001,$U156)&amp;"")</f>
        <v/>
      </c>
      <c r="I156" s="11">
        <f>IF($U156="","",INDEX('Per Line'!$Q$2:$Q$1001,$U156))</f>
        <v/>
      </c>
      <c r="J156">
        <f>IF($U156="","",INDEX('Per Line'!$R$2:$R$1001,$U156)&amp;"")</f>
        <v/>
      </c>
      <c r="K156">
        <f>IF($U156="","",Settings!$C$7)</f>
        <v/>
      </c>
      <c r="L156" s="7">
        <f>IF($U156="","",SUMIFS('Per Line'!$N$2:$N$1001,'Per Line'!$A$2:$A$1001,$A156,'Per Line'!$W$2:$W$1001,0))</f>
        <v/>
      </c>
      <c r="M156" s="7">
        <f>IF($U156="","",L156*K156)</f>
        <v/>
      </c>
      <c r="N156">
        <f>IF($U156="","",Settings!$C$6)</f>
        <v/>
      </c>
      <c r="O156" s="7">
        <f>IF($U156="","",SUMIFS('Per Line'!$N$2:$N$1001,'Per Line'!$A$2:$A$1001,$A156,'Per Line'!$W$2:$W$1001,1))</f>
        <v/>
      </c>
      <c r="P156" s="7">
        <f>IF($U156="","",O156*N156)</f>
        <v/>
      </c>
      <c r="Q156" s="7">
        <f>IF($U156="","",P156+M156)</f>
        <v/>
      </c>
      <c r="R156" s="7">
        <f>IF($U156="","",S156-Q156)</f>
        <v/>
      </c>
      <c r="S156" s="7">
        <f>IF($U156="","",L156+O156)</f>
        <v/>
      </c>
      <c r="T156" s="7">
        <f>IF($U156="","",S156-Q156-G156)</f>
        <v/>
      </c>
      <c r="U156" s="13">
        <f>IF(ROWS($U$2:$U156)&lt;=MAX('Per Line'!$V$2:$V$1001),MATCH(ROWS($U$2:$U156),'Per Line'!$V$2:$V$1001,0),"")</f>
        <v/>
      </c>
    </row>
    <row r="157">
      <c r="A157">
        <f>IF($U157="","",INDEX('Per Line'!$A$2:$A$1001,$U157)&amp;"")</f>
        <v/>
      </c>
      <c r="B157" s="12" t="n"/>
      <c r="C157">
        <f>IF($U157="","",INDEX('Per Line'!$B$2:$B$1001,$U157)&amp;"")</f>
        <v/>
      </c>
      <c r="D157">
        <f>IF($U157="","",INDEX('Per Line'!$C$2:$C$1001,$U157)&amp;"")</f>
        <v/>
      </c>
      <c r="E157">
        <f>IF($U157="","",INDEX('Per Line'!$D$2:$D$1001,$U157)&amp;"")</f>
        <v/>
      </c>
      <c r="F157">
        <f>IF($U157="","",INDEX('Per Line'!$E$2:$E$1001,$U157))</f>
        <v/>
      </c>
      <c r="G157" s="7">
        <f>IF($U157="","",F157*S157/100)</f>
        <v/>
      </c>
      <c r="H157">
        <f>IF($U157="","",INDEX('Per Line'!$O$2:$O$1001,$U157)&amp;"")</f>
        <v/>
      </c>
      <c r="I157" s="11">
        <f>IF($U157="","",INDEX('Per Line'!$Q$2:$Q$1001,$U157))</f>
        <v/>
      </c>
      <c r="J157">
        <f>IF($U157="","",INDEX('Per Line'!$R$2:$R$1001,$U157)&amp;"")</f>
        <v/>
      </c>
      <c r="K157">
        <f>IF($U157="","",Settings!$C$7)</f>
        <v/>
      </c>
      <c r="L157" s="7">
        <f>IF($U157="","",SUMIFS('Per Line'!$N$2:$N$1001,'Per Line'!$A$2:$A$1001,$A157,'Per Line'!$W$2:$W$1001,0))</f>
        <v/>
      </c>
      <c r="M157" s="7">
        <f>IF($U157="","",L157*K157)</f>
        <v/>
      </c>
      <c r="N157">
        <f>IF($U157="","",Settings!$C$6)</f>
        <v/>
      </c>
      <c r="O157" s="7">
        <f>IF($U157="","",SUMIFS('Per Line'!$N$2:$N$1001,'Per Line'!$A$2:$A$1001,$A157,'Per Line'!$W$2:$W$1001,1))</f>
        <v/>
      </c>
      <c r="P157" s="7">
        <f>IF($U157="","",O157*N157)</f>
        <v/>
      </c>
      <c r="Q157" s="7">
        <f>IF($U157="","",P157+M157)</f>
        <v/>
      </c>
      <c r="R157" s="7">
        <f>IF($U157="","",S157-Q157)</f>
        <v/>
      </c>
      <c r="S157" s="7">
        <f>IF($U157="","",L157+O157)</f>
        <v/>
      </c>
      <c r="T157" s="7">
        <f>IF($U157="","",S157-Q157-G157)</f>
        <v/>
      </c>
      <c r="U157" s="13">
        <f>IF(ROWS($U$2:$U157)&lt;=MAX('Per Line'!$V$2:$V$1001),MATCH(ROWS($U$2:$U157),'Per Line'!$V$2:$V$1001,0),"")</f>
        <v/>
      </c>
    </row>
    <row r="158">
      <c r="A158">
        <f>IF($U158="","",INDEX('Per Line'!$A$2:$A$1001,$U158)&amp;"")</f>
        <v/>
      </c>
      <c r="B158" s="12" t="n"/>
      <c r="C158">
        <f>IF($U158="","",INDEX('Per Line'!$B$2:$B$1001,$U158)&amp;"")</f>
        <v/>
      </c>
      <c r="D158">
        <f>IF($U158="","",INDEX('Per Line'!$C$2:$C$1001,$U158)&amp;"")</f>
        <v/>
      </c>
      <c r="E158">
        <f>IF($U158="","",INDEX('Per Line'!$D$2:$D$1001,$U158)&amp;"")</f>
        <v/>
      </c>
      <c r="F158">
        <f>IF($U158="","",INDEX('Per Line'!$E$2:$E$1001,$U158))</f>
        <v/>
      </c>
      <c r="G158" s="7">
        <f>IF($U158="","",F158*S158/100)</f>
        <v/>
      </c>
      <c r="H158">
        <f>IF($U158="","",INDEX('Per Line'!$O$2:$O$1001,$U158)&amp;"")</f>
        <v/>
      </c>
      <c r="I158" s="11">
        <f>IF($U158="","",INDEX('Per Line'!$Q$2:$Q$1001,$U158))</f>
        <v/>
      </c>
      <c r="J158">
        <f>IF($U158="","",INDEX('Per Line'!$R$2:$R$1001,$U158)&amp;"")</f>
        <v/>
      </c>
      <c r="K158">
        <f>IF($U158="","",Settings!$C$7)</f>
        <v/>
      </c>
      <c r="L158" s="7">
        <f>IF($U158="","",SUMIFS('Per Line'!$N$2:$N$1001,'Per Line'!$A$2:$A$1001,$A158,'Per Line'!$W$2:$W$1001,0))</f>
        <v/>
      </c>
      <c r="M158" s="7">
        <f>IF($U158="","",L158*K158)</f>
        <v/>
      </c>
      <c r="N158">
        <f>IF($U158="","",Settings!$C$6)</f>
        <v/>
      </c>
      <c r="O158" s="7">
        <f>IF($U158="","",SUMIFS('Per Line'!$N$2:$N$1001,'Per Line'!$A$2:$A$1001,$A158,'Per Line'!$W$2:$W$1001,1))</f>
        <v/>
      </c>
      <c r="P158" s="7">
        <f>IF($U158="","",O158*N158)</f>
        <v/>
      </c>
      <c r="Q158" s="7">
        <f>IF($U158="","",P158+M158)</f>
        <v/>
      </c>
      <c r="R158" s="7">
        <f>IF($U158="","",S158-Q158)</f>
        <v/>
      </c>
      <c r="S158" s="7">
        <f>IF($U158="","",L158+O158)</f>
        <v/>
      </c>
      <c r="T158" s="7">
        <f>IF($U158="","",S158-Q158-G158)</f>
        <v/>
      </c>
      <c r="U158" s="13">
        <f>IF(ROWS($U$2:$U158)&lt;=MAX('Per Line'!$V$2:$V$1001),MATCH(ROWS($U$2:$U158),'Per Line'!$V$2:$V$1001,0),"")</f>
        <v/>
      </c>
    </row>
    <row r="159">
      <c r="A159">
        <f>IF($U159="","",INDEX('Per Line'!$A$2:$A$1001,$U159)&amp;"")</f>
        <v/>
      </c>
      <c r="B159" s="12" t="n"/>
      <c r="C159">
        <f>IF($U159="","",INDEX('Per Line'!$B$2:$B$1001,$U159)&amp;"")</f>
        <v/>
      </c>
      <c r="D159">
        <f>IF($U159="","",INDEX('Per Line'!$C$2:$C$1001,$U159)&amp;"")</f>
        <v/>
      </c>
      <c r="E159">
        <f>IF($U159="","",INDEX('Per Line'!$D$2:$D$1001,$U159)&amp;"")</f>
        <v/>
      </c>
      <c r="F159">
        <f>IF($U159="","",INDEX('Per Line'!$E$2:$E$1001,$U159))</f>
        <v/>
      </c>
      <c r="G159" s="7">
        <f>IF($U159="","",F159*S159/100)</f>
        <v/>
      </c>
      <c r="H159">
        <f>IF($U159="","",INDEX('Per Line'!$O$2:$O$1001,$U159)&amp;"")</f>
        <v/>
      </c>
      <c r="I159" s="11">
        <f>IF($U159="","",INDEX('Per Line'!$Q$2:$Q$1001,$U159))</f>
        <v/>
      </c>
      <c r="J159">
        <f>IF($U159="","",INDEX('Per Line'!$R$2:$R$1001,$U159)&amp;"")</f>
        <v/>
      </c>
      <c r="K159">
        <f>IF($U159="","",Settings!$C$7)</f>
        <v/>
      </c>
      <c r="L159" s="7">
        <f>IF($U159="","",SUMIFS('Per Line'!$N$2:$N$1001,'Per Line'!$A$2:$A$1001,$A159,'Per Line'!$W$2:$W$1001,0))</f>
        <v/>
      </c>
      <c r="M159" s="7">
        <f>IF($U159="","",L159*K159)</f>
        <v/>
      </c>
      <c r="N159">
        <f>IF($U159="","",Settings!$C$6)</f>
        <v/>
      </c>
      <c r="O159" s="7">
        <f>IF($U159="","",SUMIFS('Per Line'!$N$2:$N$1001,'Per Line'!$A$2:$A$1001,$A159,'Per Line'!$W$2:$W$1001,1))</f>
        <v/>
      </c>
      <c r="P159" s="7">
        <f>IF($U159="","",O159*N159)</f>
        <v/>
      </c>
      <c r="Q159" s="7">
        <f>IF($U159="","",P159+M159)</f>
        <v/>
      </c>
      <c r="R159" s="7">
        <f>IF($U159="","",S159-Q159)</f>
        <v/>
      </c>
      <c r="S159" s="7">
        <f>IF($U159="","",L159+O159)</f>
        <v/>
      </c>
      <c r="T159" s="7">
        <f>IF($U159="","",S159-Q159-G159)</f>
        <v/>
      </c>
      <c r="U159" s="13">
        <f>IF(ROWS($U$2:$U159)&lt;=MAX('Per Line'!$V$2:$V$1001),MATCH(ROWS($U$2:$U159),'Per Line'!$V$2:$V$1001,0),"")</f>
        <v/>
      </c>
    </row>
    <row r="160">
      <c r="A160">
        <f>IF($U160="","",INDEX('Per Line'!$A$2:$A$1001,$U160)&amp;"")</f>
        <v/>
      </c>
      <c r="B160" s="12" t="n"/>
      <c r="C160">
        <f>IF($U160="","",INDEX('Per Line'!$B$2:$B$1001,$U160)&amp;"")</f>
        <v/>
      </c>
      <c r="D160">
        <f>IF($U160="","",INDEX('Per Line'!$C$2:$C$1001,$U160)&amp;"")</f>
        <v/>
      </c>
      <c r="E160">
        <f>IF($U160="","",INDEX('Per Line'!$D$2:$D$1001,$U160)&amp;"")</f>
        <v/>
      </c>
      <c r="F160">
        <f>IF($U160="","",INDEX('Per Line'!$E$2:$E$1001,$U160))</f>
        <v/>
      </c>
      <c r="G160" s="7">
        <f>IF($U160="","",F160*S160/100)</f>
        <v/>
      </c>
      <c r="H160">
        <f>IF($U160="","",INDEX('Per Line'!$O$2:$O$1001,$U160)&amp;"")</f>
        <v/>
      </c>
      <c r="I160" s="11">
        <f>IF($U160="","",INDEX('Per Line'!$Q$2:$Q$1001,$U160))</f>
        <v/>
      </c>
      <c r="J160">
        <f>IF($U160="","",INDEX('Per Line'!$R$2:$R$1001,$U160)&amp;"")</f>
        <v/>
      </c>
      <c r="K160">
        <f>IF($U160="","",Settings!$C$7)</f>
        <v/>
      </c>
      <c r="L160" s="7">
        <f>IF($U160="","",SUMIFS('Per Line'!$N$2:$N$1001,'Per Line'!$A$2:$A$1001,$A160,'Per Line'!$W$2:$W$1001,0))</f>
        <v/>
      </c>
      <c r="M160" s="7">
        <f>IF($U160="","",L160*K160)</f>
        <v/>
      </c>
      <c r="N160">
        <f>IF($U160="","",Settings!$C$6)</f>
        <v/>
      </c>
      <c r="O160" s="7">
        <f>IF($U160="","",SUMIFS('Per Line'!$N$2:$N$1001,'Per Line'!$A$2:$A$1001,$A160,'Per Line'!$W$2:$W$1001,1))</f>
        <v/>
      </c>
      <c r="P160" s="7">
        <f>IF($U160="","",O160*N160)</f>
        <v/>
      </c>
      <c r="Q160" s="7">
        <f>IF($U160="","",P160+M160)</f>
        <v/>
      </c>
      <c r="R160" s="7">
        <f>IF($U160="","",S160-Q160)</f>
        <v/>
      </c>
      <c r="S160" s="7">
        <f>IF($U160="","",L160+O160)</f>
        <v/>
      </c>
      <c r="T160" s="7">
        <f>IF($U160="","",S160-Q160-G160)</f>
        <v/>
      </c>
      <c r="U160" s="13">
        <f>IF(ROWS($U$2:$U160)&lt;=MAX('Per Line'!$V$2:$V$1001),MATCH(ROWS($U$2:$U160),'Per Line'!$V$2:$V$1001,0),"")</f>
        <v/>
      </c>
    </row>
    <row r="161">
      <c r="A161">
        <f>IF($U161="","",INDEX('Per Line'!$A$2:$A$1001,$U161)&amp;"")</f>
        <v/>
      </c>
      <c r="B161" s="12" t="n"/>
      <c r="C161">
        <f>IF($U161="","",INDEX('Per Line'!$B$2:$B$1001,$U161)&amp;"")</f>
        <v/>
      </c>
      <c r="D161">
        <f>IF($U161="","",INDEX('Per Line'!$C$2:$C$1001,$U161)&amp;"")</f>
        <v/>
      </c>
      <c r="E161">
        <f>IF($U161="","",INDEX('Per Line'!$D$2:$D$1001,$U161)&amp;"")</f>
        <v/>
      </c>
      <c r="F161">
        <f>IF($U161="","",INDEX('Per Line'!$E$2:$E$1001,$U161))</f>
        <v/>
      </c>
      <c r="G161" s="7">
        <f>IF($U161="","",F161*S161/100)</f>
        <v/>
      </c>
      <c r="H161">
        <f>IF($U161="","",INDEX('Per Line'!$O$2:$O$1001,$U161)&amp;"")</f>
        <v/>
      </c>
      <c r="I161" s="11">
        <f>IF($U161="","",INDEX('Per Line'!$Q$2:$Q$1001,$U161))</f>
        <v/>
      </c>
      <c r="J161">
        <f>IF($U161="","",INDEX('Per Line'!$R$2:$R$1001,$U161)&amp;"")</f>
        <v/>
      </c>
      <c r="K161">
        <f>IF($U161="","",Settings!$C$7)</f>
        <v/>
      </c>
      <c r="L161" s="7">
        <f>IF($U161="","",SUMIFS('Per Line'!$N$2:$N$1001,'Per Line'!$A$2:$A$1001,$A161,'Per Line'!$W$2:$W$1001,0))</f>
        <v/>
      </c>
      <c r="M161" s="7">
        <f>IF($U161="","",L161*K161)</f>
        <v/>
      </c>
      <c r="N161">
        <f>IF($U161="","",Settings!$C$6)</f>
        <v/>
      </c>
      <c r="O161" s="7">
        <f>IF($U161="","",SUMIFS('Per Line'!$N$2:$N$1001,'Per Line'!$A$2:$A$1001,$A161,'Per Line'!$W$2:$W$1001,1))</f>
        <v/>
      </c>
      <c r="P161" s="7">
        <f>IF($U161="","",O161*N161)</f>
        <v/>
      </c>
      <c r="Q161" s="7">
        <f>IF($U161="","",P161+M161)</f>
        <v/>
      </c>
      <c r="R161" s="7">
        <f>IF($U161="","",S161-Q161)</f>
        <v/>
      </c>
      <c r="S161" s="7">
        <f>IF($U161="","",L161+O161)</f>
        <v/>
      </c>
      <c r="T161" s="7">
        <f>IF($U161="","",S161-Q161-G161)</f>
        <v/>
      </c>
      <c r="U161" s="13">
        <f>IF(ROWS($U$2:$U161)&lt;=MAX('Per Line'!$V$2:$V$1001),MATCH(ROWS($U$2:$U161),'Per Line'!$V$2:$V$1001,0),"")</f>
        <v/>
      </c>
    </row>
    <row r="162">
      <c r="A162">
        <f>IF($U162="","",INDEX('Per Line'!$A$2:$A$1001,$U162)&amp;"")</f>
        <v/>
      </c>
      <c r="B162" s="12" t="n"/>
      <c r="C162">
        <f>IF($U162="","",INDEX('Per Line'!$B$2:$B$1001,$U162)&amp;"")</f>
        <v/>
      </c>
      <c r="D162">
        <f>IF($U162="","",INDEX('Per Line'!$C$2:$C$1001,$U162)&amp;"")</f>
        <v/>
      </c>
      <c r="E162">
        <f>IF($U162="","",INDEX('Per Line'!$D$2:$D$1001,$U162)&amp;"")</f>
        <v/>
      </c>
      <c r="F162">
        <f>IF($U162="","",INDEX('Per Line'!$E$2:$E$1001,$U162))</f>
        <v/>
      </c>
      <c r="G162" s="7">
        <f>IF($U162="","",F162*S162/100)</f>
        <v/>
      </c>
      <c r="H162">
        <f>IF($U162="","",INDEX('Per Line'!$O$2:$O$1001,$U162)&amp;"")</f>
        <v/>
      </c>
      <c r="I162" s="11">
        <f>IF($U162="","",INDEX('Per Line'!$Q$2:$Q$1001,$U162))</f>
        <v/>
      </c>
      <c r="J162">
        <f>IF($U162="","",INDEX('Per Line'!$R$2:$R$1001,$U162)&amp;"")</f>
        <v/>
      </c>
      <c r="K162">
        <f>IF($U162="","",Settings!$C$7)</f>
        <v/>
      </c>
      <c r="L162" s="7">
        <f>IF($U162="","",SUMIFS('Per Line'!$N$2:$N$1001,'Per Line'!$A$2:$A$1001,$A162,'Per Line'!$W$2:$W$1001,0))</f>
        <v/>
      </c>
      <c r="M162" s="7">
        <f>IF($U162="","",L162*K162)</f>
        <v/>
      </c>
      <c r="N162">
        <f>IF($U162="","",Settings!$C$6)</f>
        <v/>
      </c>
      <c r="O162" s="7">
        <f>IF($U162="","",SUMIFS('Per Line'!$N$2:$N$1001,'Per Line'!$A$2:$A$1001,$A162,'Per Line'!$W$2:$W$1001,1))</f>
        <v/>
      </c>
      <c r="P162" s="7">
        <f>IF($U162="","",O162*N162)</f>
        <v/>
      </c>
      <c r="Q162" s="7">
        <f>IF($U162="","",P162+M162)</f>
        <v/>
      </c>
      <c r="R162" s="7">
        <f>IF($U162="","",S162-Q162)</f>
        <v/>
      </c>
      <c r="S162" s="7">
        <f>IF($U162="","",L162+O162)</f>
        <v/>
      </c>
      <c r="T162" s="7">
        <f>IF($U162="","",S162-Q162-G162)</f>
        <v/>
      </c>
      <c r="U162" s="13">
        <f>IF(ROWS($U$2:$U162)&lt;=MAX('Per Line'!$V$2:$V$1001),MATCH(ROWS($U$2:$U162),'Per Line'!$V$2:$V$1001,0),"")</f>
        <v/>
      </c>
    </row>
    <row r="163">
      <c r="A163">
        <f>IF($U163="","",INDEX('Per Line'!$A$2:$A$1001,$U163)&amp;"")</f>
        <v/>
      </c>
      <c r="B163" s="12" t="n"/>
      <c r="C163">
        <f>IF($U163="","",INDEX('Per Line'!$B$2:$B$1001,$U163)&amp;"")</f>
        <v/>
      </c>
      <c r="D163">
        <f>IF($U163="","",INDEX('Per Line'!$C$2:$C$1001,$U163)&amp;"")</f>
        <v/>
      </c>
      <c r="E163">
        <f>IF($U163="","",INDEX('Per Line'!$D$2:$D$1001,$U163)&amp;"")</f>
        <v/>
      </c>
      <c r="F163">
        <f>IF($U163="","",INDEX('Per Line'!$E$2:$E$1001,$U163))</f>
        <v/>
      </c>
      <c r="G163" s="7">
        <f>IF($U163="","",F163*S163/100)</f>
        <v/>
      </c>
      <c r="H163">
        <f>IF($U163="","",INDEX('Per Line'!$O$2:$O$1001,$U163)&amp;"")</f>
        <v/>
      </c>
      <c r="I163" s="11">
        <f>IF($U163="","",INDEX('Per Line'!$Q$2:$Q$1001,$U163))</f>
        <v/>
      </c>
      <c r="J163">
        <f>IF($U163="","",INDEX('Per Line'!$R$2:$R$1001,$U163)&amp;"")</f>
        <v/>
      </c>
      <c r="K163">
        <f>IF($U163="","",Settings!$C$7)</f>
        <v/>
      </c>
      <c r="L163" s="7">
        <f>IF($U163="","",SUMIFS('Per Line'!$N$2:$N$1001,'Per Line'!$A$2:$A$1001,$A163,'Per Line'!$W$2:$W$1001,0))</f>
        <v/>
      </c>
      <c r="M163" s="7">
        <f>IF($U163="","",L163*K163)</f>
        <v/>
      </c>
      <c r="N163">
        <f>IF($U163="","",Settings!$C$6)</f>
        <v/>
      </c>
      <c r="O163" s="7">
        <f>IF($U163="","",SUMIFS('Per Line'!$N$2:$N$1001,'Per Line'!$A$2:$A$1001,$A163,'Per Line'!$W$2:$W$1001,1))</f>
        <v/>
      </c>
      <c r="P163" s="7">
        <f>IF($U163="","",O163*N163)</f>
        <v/>
      </c>
      <c r="Q163" s="7">
        <f>IF($U163="","",P163+M163)</f>
        <v/>
      </c>
      <c r="R163" s="7">
        <f>IF($U163="","",S163-Q163)</f>
        <v/>
      </c>
      <c r="S163" s="7">
        <f>IF($U163="","",L163+O163)</f>
        <v/>
      </c>
      <c r="T163" s="7">
        <f>IF($U163="","",S163-Q163-G163)</f>
        <v/>
      </c>
      <c r="U163" s="13">
        <f>IF(ROWS($U$2:$U163)&lt;=MAX('Per Line'!$V$2:$V$1001),MATCH(ROWS($U$2:$U163),'Per Line'!$V$2:$V$1001,0),"")</f>
        <v/>
      </c>
    </row>
    <row r="164">
      <c r="A164">
        <f>IF($U164="","",INDEX('Per Line'!$A$2:$A$1001,$U164)&amp;"")</f>
        <v/>
      </c>
      <c r="B164" s="12" t="n"/>
      <c r="C164">
        <f>IF($U164="","",INDEX('Per Line'!$B$2:$B$1001,$U164)&amp;"")</f>
        <v/>
      </c>
      <c r="D164">
        <f>IF($U164="","",INDEX('Per Line'!$C$2:$C$1001,$U164)&amp;"")</f>
        <v/>
      </c>
      <c r="E164">
        <f>IF($U164="","",INDEX('Per Line'!$D$2:$D$1001,$U164)&amp;"")</f>
        <v/>
      </c>
      <c r="F164">
        <f>IF($U164="","",INDEX('Per Line'!$E$2:$E$1001,$U164))</f>
        <v/>
      </c>
      <c r="G164" s="7">
        <f>IF($U164="","",F164*S164/100)</f>
        <v/>
      </c>
      <c r="H164">
        <f>IF($U164="","",INDEX('Per Line'!$O$2:$O$1001,$U164)&amp;"")</f>
        <v/>
      </c>
      <c r="I164" s="11">
        <f>IF($U164="","",INDEX('Per Line'!$Q$2:$Q$1001,$U164))</f>
        <v/>
      </c>
      <c r="J164">
        <f>IF($U164="","",INDEX('Per Line'!$R$2:$R$1001,$U164)&amp;"")</f>
        <v/>
      </c>
      <c r="K164">
        <f>IF($U164="","",Settings!$C$7)</f>
        <v/>
      </c>
      <c r="L164" s="7">
        <f>IF($U164="","",SUMIFS('Per Line'!$N$2:$N$1001,'Per Line'!$A$2:$A$1001,$A164,'Per Line'!$W$2:$W$1001,0))</f>
        <v/>
      </c>
      <c r="M164" s="7">
        <f>IF($U164="","",L164*K164)</f>
        <v/>
      </c>
      <c r="N164">
        <f>IF($U164="","",Settings!$C$6)</f>
        <v/>
      </c>
      <c r="O164" s="7">
        <f>IF($U164="","",SUMIFS('Per Line'!$N$2:$N$1001,'Per Line'!$A$2:$A$1001,$A164,'Per Line'!$W$2:$W$1001,1))</f>
        <v/>
      </c>
      <c r="P164" s="7">
        <f>IF($U164="","",O164*N164)</f>
        <v/>
      </c>
      <c r="Q164" s="7">
        <f>IF($U164="","",P164+M164)</f>
        <v/>
      </c>
      <c r="R164" s="7">
        <f>IF($U164="","",S164-Q164)</f>
        <v/>
      </c>
      <c r="S164" s="7">
        <f>IF($U164="","",L164+O164)</f>
        <v/>
      </c>
      <c r="T164" s="7">
        <f>IF($U164="","",S164-Q164-G164)</f>
        <v/>
      </c>
      <c r="U164" s="13">
        <f>IF(ROWS($U$2:$U164)&lt;=MAX('Per Line'!$V$2:$V$1001),MATCH(ROWS($U$2:$U164),'Per Line'!$V$2:$V$1001,0),"")</f>
        <v/>
      </c>
    </row>
    <row r="165">
      <c r="A165">
        <f>IF($U165="","",INDEX('Per Line'!$A$2:$A$1001,$U165)&amp;"")</f>
        <v/>
      </c>
      <c r="B165" s="12" t="n"/>
      <c r="C165">
        <f>IF($U165="","",INDEX('Per Line'!$B$2:$B$1001,$U165)&amp;"")</f>
        <v/>
      </c>
      <c r="D165">
        <f>IF($U165="","",INDEX('Per Line'!$C$2:$C$1001,$U165)&amp;"")</f>
        <v/>
      </c>
      <c r="E165">
        <f>IF($U165="","",INDEX('Per Line'!$D$2:$D$1001,$U165)&amp;"")</f>
        <v/>
      </c>
      <c r="F165">
        <f>IF($U165="","",INDEX('Per Line'!$E$2:$E$1001,$U165))</f>
        <v/>
      </c>
      <c r="G165" s="7">
        <f>IF($U165="","",F165*S165/100)</f>
        <v/>
      </c>
      <c r="H165">
        <f>IF($U165="","",INDEX('Per Line'!$O$2:$O$1001,$U165)&amp;"")</f>
        <v/>
      </c>
      <c r="I165" s="11">
        <f>IF($U165="","",INDEX('Per Line'!$Q$2:$Q$1001,$U165))</f>
        <v/>
      </c>
      <c r="J165">
        <f>IF($U165="","",INDEX('Per Line'!$R$2:$R$1001,$U165)&amp;"")</f>
        <v/>
      </c>
      <c r="K165">
        <f>IF($U165="","",Settings!$C$7)</f>
        <v/>
      </c>
      <c r="L165" s="7">
        <f>IF($U165="","",SUMIFS('Per Line'!$N$2:$N$1001,'Per Line'!$A$2:$A$1001,$A165,'Per Line'!$W$2:$W$1001,0))</f>
        <v/>
      </c>
      <c r="M165" s="7">
        <f>IF($U165="","",L165*K165)</f>
        <v/>
      </c>
      <c r="N165">
        <f>IF($U165="","",Settings!$C$6)</f>
        <v/>
      </c>
      <c r="O165" s="7">
        <f>IF($U165="","",SUMIFS('Per Line'!$N$2:$N$1001,'Per Line'!$A$2:$A$1001,$A165,'Per Line'!$W$2:$W$1001,1))</f>
        <v/>
      </c>
      <c r="P165" s="7">
        <f>IF($U165="","",O165*N165)</f>
        <v/>
      </c>
      <c r="Q165" s="7">
        <f>IF($U165="","",P165+M165)</f>
        <v/>
      </c>
      <c r="R165" s="7">
        <f>IF($U165="","",S165-Q165)</f>
        <v/>
      </c>
      <c r="S165" s="7">
        <f>IF($U165="","",L165+O165)</f>
        <v/>
      </c>
      <c r="T165" s="7">
        <f>IF($U165="","",S165-Q165-G165)</f>
        <v/>
      </c>
      <c r="U165" s="13">
        <f>IF(ROWS($U$2:$U165)&lt;=MAX('Per Line'!$V$2:$V$1001),MATCH(ROWS($U$2:$U165),'Per Line'!$V$2:$V$1001,0),"")</f>
        <v/>
      </c>
    </row>
    <row r="166">
      <c r="A166">
        <f>IF($U166="","",INDEX('Per Line'!$A$2:$A$1001,$U166)&amp;"")</f>
        <v/>
      </c>
      <c r="B166" s="12" t="n"/>
      <c r="C166">
        <f>IF($U166="","",INDEX('Per Line'!$B$2:$B$1001,$U166)&amp;"")</f>
        <v/>
      </c>
      <c r="D166">
        <f>IF($U166="","",INDEX('Per Line'!$C$2:$C$1001,$U166)&amp;"")</f>
        <v/>
      </c>
      <c r="E166">
        <f>IF($U166="","",INDEX('Per Line'!$D$2:$D$1001,$U166)&amp;"")</f>
        <v/>
      </c>
      <c r="F166">
        <f>IF($U166="","",INDEX('Per Line'!$E$2:$E$1001,$U166))</f>
        <v/>
      </c>
      <c r="G166" s="7">
        <f>IF($U166="","",F166*S166/100)</f>
        <v/>
      </c>
      <c r="H166">
        <f>IF($U166="","",INDEX('Per Line'!$O$2:$O$1001,$U166)&amp;"")</f>
        <v/>
      </c>
      <c r="I166" s="11">
        <f>IF($U166="","",INDEX('Per Line'!$Q$2:$Q$1001,$U166))</f>
        <v/>
      </c>
      <c r="J166">
        <f>IF($U166="","",INDEX('Per Line'!$R$2:$R$1001,$U166)&amp;"")</f>
        <v/>
      </c>
      <c r="K166">
        <f>IF($U166="","",Settings!$C$7)</f>
        <v/>
      </c>
      <c r="L166" s="7">
        <f>IF($U166="","",SUMIFS('Per Line'!$N$2:$N$1001,'Per Line'!$A$2:$A$1001,$A166,'Per Line'!$W$2:$W$1001,0))</f>
        <v/>
      </c>
      <c r="M166" s="7">
        <f>IF($U166="","",L166*K166)</f>
        <v/>
      </c>
      <c r="N166">
        <f>IF($U166="","",Settings!$C$6)</f>
        <v/>
      </c>
      <c r="O166" s="7">
        <f>IF($U166="","",SUMIFS('Per Line'!$N$2:$N$1001,'Per Line'!$A$2:$A$1001,$A166,'Per Line'!$W$2:$W$1001,1))</f>
        <v/>
      </c>
      <c r="P166" s="7">
        <f>IF($U166="","",O166*N166)</f>
        <v/>
      </c>
      <c r="Q166" s="7">
        <f>IF($U166="","",P166+M166)</f>
        <v/>
      </c>
      <c r="R166" s="7">
        <f>IF($U166="","",S166-Q166)</f>
        <v/>
      </c>
      <c r="S166" s="7">
        <f>IF($U166="","",L166+O166)</f>
        <v/>
      </c>
      <c r="T166" s="7">
        <f>IF($U166="","",S166-Q166-G166)</f>
        <v/>
      </c>
      <c r="U166" s="13">
        <f>IF(ROWS($U$2:$U166)&lt;=MAX('Per Line'!$V$2:$V$1001),MATCH(ROWS($U$2:$U166),'Per Line'!$V$2:$V$1001,0),"")</f>
        <v/>
      </c>
    </row>
    <row r="167">
      <c r="A167">
        <f>IF($U167="","",INDEX('Per Line'!$A$2:$A$1001,$U167)&amp;"")</f>
        <v/>
      </c>
      <c r="B167" s="12" t="n"/>
      <c r="C167">
        <f>IF($U167="","",INDEX('Per Line'!$B$2:$B$1001,$U167)&amp;"")</f>
        <v/>
      </c>
      <c r="D167">
        <f>IF($U167="","",INDEX('Per Line'!$C$2:$C$1001,$U167)&amp;"")</f>
        <v/>
      </c>
      <c r="E167">
        <f>IF($U167="","",INDEX('Per Line'!$D$2:$D$1001,$U167)&amp;"")</f>
        <v/>
      </c>
      <c r="F167">
        <f>IF($U167="","",INDEX('Per Line'!$E$2:$E$1001,$U167))</f>
        <v/>
      </c>
      <c r="G167" s="7">
        <f>IF($U167="","",F167*S167/100)</f>
        <v/>
      </c>
      <c r="H167">
        <f>IF($U167="","",INDEX('Per Line'!$O$2:$O$1001,$U167)&amp;"")</f>
        <v/>
      </c>
      <c r="I167" s="11">
        <f>IF($U167="","",INDEX('Per Line'!$Q$2:$Q$1001,$U167))</f>
        <v/>
      </c>
      <c r="J167">
        <f>IF($U167="","",INDEX('Per Line'!$R$2:$R$1001,$U167)&amp;"")</f>
        <v/>
      </c>
      <c r="K167">
        <f>IF($U167="","",Settings!$C$7)</f>
        <v/>
      </c>
      <c r="L167" s="7">
        <f>IF($U167="","",SUMIFS('Per Line'!$N$2:$N$1001,'Per Line'!$A$2:$A$1001,$A167,'Per Line'!$W$2:$W$1001,0))</f>
        <v/>
      </c>
      <c r="M167" s="7">
        <f>IF($U167="","",L167*K167)</f>
        <v/>
      </c>
      <c r="N167">
        <f>IF($U167="","",Settings!$C$6)</f>
        <v/>
      </c>
      <c r="O167" s="7">
        <f>IF($U167="","",SUMIFS('Per Line'!$N$2:$N$1001,'Per Line'!$A$2:$A$1001,$A167,'Per Line'!$W$2:$W$1001,1))</f>
        <v/>
      </c>
      <c r="P167" s="7">
        <f>IF($U167="","",O167*N167)</f>
        <v/>
      </c>
      <c r="Q167" s="7">
        <f>IF($U167="","",P167+M167)</f>
        <v/>
      </c>
      <c r="R167" s="7">
        <f>IF($U167="","",S167-Q167)</f>
        <v/>
      </c>
      <c r="S167" s="7">
        <f>IF($U167="","",L167+O167)</f>
        <v/>
      </c>
      <c r="T167" s="7">
        <f>IF($U167="","",S167-Q167-G167)</f>
        <v/>
      </c>
      <c r="U167" s="13">
        <f>IF(ROWS($U$2:$U167)&lt;=MAX('Per Line'!$V$2:$V$1001),MATCH(ROWS($U$2:$U167),'Per Line'!$V$2:$V$1001,0),"")</f>
        <v/>
      </c>
    </row>
    <row r="168">
      <c r="A168">
        <f>IF($U168="","",INDEX('Per Line'!$A$2:$A$1001,$U168)&amp;"")</f>
        <v/>
      </c>
      <c r="B168" s="12" t="n"/>
      <c r="C168">
        <f>IF($U168="","",INDEX('Per Line'!$B$2:$B$1001,$U168)&amp;"")</f>
        <v/>
      </c>
      <c r="D168">
        <f>IF($U168="","",INDEX('Per Line'!$C$2:$C$1001,$U168)&amp;"")</f>
        <v/>
      </c>
      <c r="E168">
        <f>IF($U168="","",INDEX('Per Line'!$D$2:$D$1001,$U168)&amp;"")</f>
        <v/>
      </c>
      <c r="F168">
        <f>IF($U168="","",INDEX('Per Line'!$E$2:$E$1001,$U168))</f>
        <v/>
      </c>
      <c r="G168" s="7">
        <f>IF($U168="","",F168*S168/100)</f>
        <v/>
      </c>
      <c r="H168">
        <f>IF($U168="","",INDEX('Per Line'!$O$2:$O$1001,$U168)&amp;"")</f>
        <v/>
      </c>
      <c r="I168" s="11">
        <f>IF($U168="","",INDEX('Per Line'!$Q$2:$Q$1001,$U168))</f>
        <v/>
      </c>
      <c r="J168">
        <f>IF($U168="","",INDEX('Per Line'!$R$2:$R$1001,$U168)&amp;"")</f>
        <v/>
      </c>
      <c r="K168">
        <f>IF($U168="","",Settings!$C$7)</f>
        <v/>
      </c>
      <c r="L168" s="7">
        <f>IF($U168="","",SUMIFS('Per Line'!$N$2:$N$1001,'Per Line'!$A$2:$A$1001,$A168,'Per Line'!$W$2:$W$1001,0))</f>
        <v/>
      </c>
      <c r="M168" s="7">
        <f>IF($U168="","",L168*K168)</f>
        <v/>
      </c>
      <c r="N168">
        <f>IF($U168="","",Settings!$C$6)</f>
        <v/>
      </c>
      <c r="O168" s="7">
        <f>IF($U168="","",SUMIFS('Per Line'!$N$2:$N$1001,'Per Line'!$A$2:$A$1001,$A168,'Per Line'!$W$2:$W$1001,1))</f>
        <v/>
      </c>
      <c r="P168" s="7">
        <f>IF($U168="","",O168*N168)</f>
        <v/>
      </c>
      <c r="Q168" s="7">
        <f>IF($U168="","",P168+M168)</f>
        <v/>
      </c>
      <c r="R168" s="7">
        <f>IF($U168="","",S168-Q168)</f>
        <v/>
      </c>
      <c r="S168" s="7">
        <f>IF($U168="","",L168+O168)</f>
        <v/>
      </c>
      <c r="T168" s="7">
        <f>IF($U168="","",S168-Q168-G168)</f>
        <v/>
      </c>
      <c r="U168" s="13">
        <f>IF(ROWS($U$2:$U168)&lt;=MAX('Per Line'!$V$2:$V$1001),MATCH(ROWS($U$2:$U168),'Per Line'!$V$2:$V$1001,0),"")</f>
        <v/>
      </c>
    </row>
    <row r="169">
      <c r="A169">
        <f>IF($U169="","",INDEX('Per Line'!$A$2:$A$1001,$U169)&amp;"")</f>
        <v/>
      </c>
      <c r="B169" s="12" t="n"/>
      <c r="C169">
        <f>IF($U169="","",INDEX('Per Line'!$B$2:$B$1001,$U169)&amp;"")</f>
        <v/>
      </c>
      <c r="D169">
        <f>IF($U169="","",INDEX('Per Line'!$C$2:$C$1001,$U169)&amp;"")</f>
        <v/>
      </c>
      <c r="E169">
        <f>IF($U169="","",INDEX('Per Line'!$D$2:$D$1001,$U169)&amp;"")</f>
        <v/>
      </c>
      <c r="F169">
        <f>IF($U169="","",INDEX('Per Line'!$E$2:$E$1001,$U169))</f>
        <v/>
      </c>
      <c r="G169" s="7">
        <f>IF($U169="","",F169*S169/100)</f>
        <v/>
      </c>
      <c r="H169">
        <f>IF($U169="","",INDEX('Per Line'!$O$2:$O$1001,$U169)&amp;"")</f>
        <v/>
      </c>
      <c r="I169" s="11">
        <f>IF($U169="","",INDEX('Per Line'!$Q$2:$Q$1001,$U169))</f>
        <v/>
      </c>
      <c r="J169">
        <f>IF($U169="","",INDEX('Per Line'!$R$2:$R$1001,$U169)&amp;"")</f>
        <v/>
      </c>
      <c r="K169">
        <f>IF($U169="","",Settings!$C$7)</f>
        <v/>
      </c>
      <c r="L169" s="7">
        <f>IF($U169="","",SUMIFS('Per Line'!$N$2:$N$1001,'Per Line'!$A$2:$A$1001,$A169,'Per Line'!$W$2:$W$1001,0))</f>
        <v/>
      </c>
      <c r="M169" s="7">
        <f>IF($U169="","",L169*K169)</f>
        <v/>
      </c>
      <c r="N169">
        <f>IF($U169="","",Settings!$C$6)</f>
        <v/>
      </c>
      <c r="O169" s="7">
        <f>IF($U169="","",SUMIFS('Per Line'!$N$2:$N$1001,'Per Line'!$A$2:$A$1001,$A169,'Per Line'!$W$2:$W$1001,1))</f>
        <v/>
      </c>
      <c r="P169" s="7">
        <f>IF($U169="","",O169*N169)</f>
        <v/>
      </c>
      <c r="Q169" s="7">
        <f>IF($U169="","",P169+M169)</f>
        <v/>
      </c>
      <c r="R169" s="7">
        <f>IF($U169="","",S169-Q169)</f>
        <v/>
      </c>
      <c r="S169" s="7">
        <f>IF($U169="","",L169+O169)</f>
        <v/>
      </c>
      <c r="T169" s="7">
        <f>IF($U169="","",S169-Q169-G169)</f>
        <v/>
      </c>
      <c r="U169" s="13">
        <f>IF(ROWS($U$2:$U169)&lt;=MAX('Per Line'!$V$2:$V$1001),MATCH(ROWS($U$2:$U169),'Per Line'!$V$2:$V$1001,0),"")</f>
        <v/>
      </c>
    </row>
    <row r="170">
      <c r="A170">
        <f>IF($U170="","",INDEX('Per Line'!$A$2:$A$1001,$U170)&amp;"")</f>
        <v/>
      </c>
      <c r="B170" s="12" t="n"/>
      <c r="C170">
        <f>IF($U170="","",INDEX('Per Line'!$B$2:$B$1001,$U170)&amp;"")</f>
        <v/>
      </c>
      <c r="D170">
        <f>IF($U170="","",INDEX('Per Line'!$C$2:$C$1001,$U170)&amp;"")</f>
        <v/>
      </c>
      <c r="E170">
        <f>IF($U170="","",INDEX('Per Line'!$D$2:$D$1001,$U170)&amp;"")</f>
        <v/>
      </c>
      <c r="F170">
        <f>IF($U170="","",INDEX('Per Line'!$E$2:$E$1001,$U170))</f>
        <v/>
      </c>
      <c r="G170" s="7">
        <f>IF($U170="","",F170*S170/100)</f>
        <v/>
      </c>
      <c r="H170">
        <f>IF($U170="","",INDEX('Per Line'!$O$2:$O$1001,$U170)&amp;"")</f>
        <v/>
      </c>
      <c r="I170" s="11">
        <f>IF($U170="","",INDEX('Per Line'!$Q$2:$Q$1001,$U170))</f>
        <v/>
      </c>
      <c r="J170">
        <f>IF($U170="","",INDEX('Per Line'!$R$2:$R$1001,$U170)&amp;"")</f>
        <v/>
      </c>
      <c r="K170">
        <f>IF($U170="","",Settings!$C$7)</f>
        <v/>
      </c>
      <c r="L170" s="7">
        <f>IF($U170="","",SUMIFS('Per Line'!$N$2:$N$1001,'Per Line'!$A$2:$A$1001,$A170,'Per Line'!$W$2:$W$1001,0))</f>
        <v/>
      </c>
      <c r="M170" s="7">
        <f>IF($U170="","",L170*K170)</f>
        <v/>
      </c>
      <c r="N170">
        <f>IF($U170="","",Settings!$C$6)</f>
        <v/>
      </c>
      <c r="O170" s="7">
        <f>IF($U170="","",SUMIFS('Per Line'!$N$2:$N$1001,'Per Line'!$A$2:$A$1001,$A170,'Per Line'!$W$2:$W$1001,1))</f>
        <v/>
      </c>
      <c r="P170" s="7">
        <f>IF($U170="","",O170*N170)</f>
        <v/>
      </c>
      <c r="Q170" s="7">
        <f>IF($U170="","",P170+M170)</f>
        <v/>
      </c>
      <c r="R170" s="7">
        <f>IF($U170="","",S170-Q170)</f>
        <v/>
      </c>
      <c r="S170" s="7">
        <f>IF($U170="","",L170+O170)</f>
        <v/>
      </c>
      <c r="T170" s="7">
        <f>IF($U170="","",S170-Q170-G170)</f>
        <v/>
      </c>
      <c r="U170" s="13">
        <f>IF(ROWS($U$2:$U170)&lt;=MAX('Per Line'!$V$2:$V$1001),MATCH(ROWS($U$2:$U170),'Per Line'!$V$2:$V$1001,0),"")</f>
        <v/>
      </c>
    </row>
    <row r="171">
      <c r="A171">
        <f>IF($U171="","",INDEX('Per Line'!$A$2:$A$1001,$U171)&amp;"")</f>
        <v/>
      </c>
      <c r="B171" s="12" t="n"/>
      <c r="C171">
        <f>IF($U171="","",INDEX('Per Line'!$B$2:$B$1001,$U171)&amp;"")</f>
        <v/>
      </c>
      <c r="D171">
        <f>IF($U171="","",INDEX('Per Line'!$C$2:$C$1001,$U171)&amp;"")</f>
        <v/>
      </c>
      <c r="E171">
        <f>IF($U171="","",INDEX('Per Line'!$D$2:$D$1001,$U171)&amp;"")</f>
        <v/>
      </c>
      <c r="F171">
        <f>IF($U171="","",INDEX('Per Line'!$E$2:$E$1001,$U171))</f>
        <v/>
      </c>
      <c r="G171" s="7">
        <f>IF($U171="","",F171*S171/100)</f>
        <v/>
      </c>
      <c r="H171">
        <f>IF($U171="","",INDEX('Per Line'!$O$2:$O$1001,$U171)&amp;"")</f>
        <v/>
      </c>
      <c r="I171" s="11">
        <f>IF($U171="","",INDEX('Per Line'!$Q$2:$Q$1001,$U171))</f>
        <v/>
      </c>
      <c r="J171">
        <f>IF($U171="","",INDEX('Per Line'!$R$2:$R$1001,$U171)&amp;"")</f>
        <v/>
      </c>
      <c r="K171">
        <f>IF($U171="","",Settings!$C$7)</f>
        <v/>
      </c>
      <c r="L171" s="7">
        <f>IF($U171="","",SUMIFS('Per Line'!$N$2:$N$1001,'Per Line'!$A$2:$A$1001,$A171,'Per Line'!$W$2:$W$1001,0))</f>
        <v/>
      </c>
      <c r="M171" s="7">
        <f>IF($U171="","",L171*K171)</f>
        <v/>
      </c>
      <c r="N171">
        <f>IF($U171="","",Settings!$C$6)</f>
        <v/>
      </c>
      <c r="O171" s="7">
        <f>IF($U171="","",SUMIFS('Per Line'!$N$2:$N$1001,'Per Line'!$A$2:$A$1001,$A171,'Per Line'!$W$2:$W$1001,1))</f>
        <v/>
      </c>
      <c r="P171" s="7">
        <f>IF($U171="","",O171*N171)</f>
        <v/>
      </c>
      <c r="Q171" s="7">
        <f>IF($U171="","",P171+M171)</f>
        <v/>
      </c>
      <c r="R171" s="7">
        <f>IF($U171="","",S171-Q171)</f>
        <v/>
      </c>
      <c r="S171" s="7">
        <f>IF($U171="","",L171+O171)</f>
        <v/>
      </c>
      <c r="T171" s="7">
        <f>IF($U171="","",S171-Q171-G171)</f>
        <v/>
      </c>
      <c r="U171" s="13">
        <f>IF(ROWS($U$2:$U171)&lt;=MAX('Per Line'!$V$2:$V$1001),MATCH(ROWS($U$2:$U171),'Per Line'!$V$2:$V$1001,0),"")</f>
        <v/>
      </c>
    </row>
    <row r="172">
      <c r="A172">
        <f>IF($U172="","",INDEX('Per Line'!$A$2:$A$1001,$U172)&amp;"")</f>
        <v/>
      </c>
      <c r="B172" s="12" t="n"/>
      <c r="C172">
        <f>IF($U172="","",INDEX('Per Line'!$B$2:$B$1001,$U172)&amp;"")</f>
        <v/>
      </c>
      <c r="D172">
        <f>IF($U172="","",INDEX('Per Line'!$C$2:$C$1001,$U172)&amp;"")</f>
        <v/>
      </c>
      <c r="E172">
        <f>IF($U172="","",INDEX('Per Line'!$D$2:$D$1001,$U172)&amp;"")</f>
        <v/>
      </c>
      <c r="F172">
        <f>IF($U172="","",INDEX('Per Line'!$E$2:$E$1001,$U172))</f>
        <v/>
      </c>
      <c r="G172" s="7">
        <f>IF($U172="","",F172*S172/100)</f>
        <v/>
      </c>
      <c r="H172">
        <f>IF($U172="","",INDEX('Per Line'!$O$2:$O$1001,$U172)&amp;"")</f>
        <v/>
      </c>
      <c r="I172" s="11">
        <f>IF($U172="","",INDEX('Per Line'!$Q$2:$Q$1001,$U172))</f>
        <v/>
      </c>
      <c r="J172">
        <f>IF($U172="","",INDEX('Per Line'!$R$2:$R$1001,$U172)&amp;"")</f>
        <v/>
      </c>
      <c r="K172">
        <f>IF($U172="","",Settings!$C$7)</f>
        <v/>
      </c>
      <c r="L172" s="7">
        <f>IF($U172="","",SUMIFS('Per Line'!$N$2:$N$1001,'Per Line'!$A$2:$A$1001,$A172,'Per Line'!$W$2:$W$1001,0))</f>
        <v/>
      </c>
      <c r="M172" s="7">
        <f>IF($U172="","",L172*K172)</f>
        <v/>
      </c>
      <c r="N172">
        <f>IF($U172="","",Settings!$C$6)</f>
        <v/>
      </c>
      <c r="O172" s="7">
        <f>IF($U172="","",SUMIFS('Per Line'!$N$2:$N$1001,'Per Line'!$A$2:$A$1001,$A172,'Per Line'!$W$2:$W$1001,1))</f>
        <v/>
      </c>
      <c r="P172" s="7">
        <f>IF($U172="","",O172*N172)</f>
        <v/>
      </c>
      <c r="Q172" s="7">
        <f>IF($U172="","",P172+M172)</f>
        <v/>
      </c>
      <c r="R172" s="7">
        <f>IF($U172="","",S172-Q172)</f>
        <v/>
      </c>
      <c r="S172" s="7">
        <f>IF($U172="","",L172+O172)</f>
        <v/>
      </c>
      <c r="T172" s="7">
        <f>IF($U172="","",S172-Q172-G172)</f>
        <v/>
      </c>
      <c r="U172" s="13">
        <f>IF(ROWS($U$2:$U172)&lt;=MAX('Per Line'!$V$2:$V$1001),MATCH(ROWS($U$2:$U172),'Per Line'!$V$2:$V$1001,0),"")</f>
        <v/>
      </c>
    </row>
    <row r="173">
      <c r="A173">
        <f>IF($U173="","",INDEX('Per Line'!$A$2:$A$1001,$U173)&amp;"")</f>
        <v/>
      </c>
      <c r="B173" s="12" t="n"/>
      <c r="C173">
        <f>IF($U173="","",INDEX('Per Line'!$B$2:$B$1001,$U173)&amp;"")</f>
        <v/>
      </c>
      <c r="D173">
        <f>IF($U173="","",INDEX('Per Line'!$C$2:$C$1001,$U173)&amp;"")</f>
        <v/>
      </c>
      <c r="E173">
        <f>IF($U173="","",INDEX('Per Line'!$D$2:$D$1001,$U173)&amp;"")</f>
        <v/>
      </c>
      <c r="F173">
        <f>IF($U173="","",INDEX('Per Line'!$E$2:$E$1001,$U173))</f>
        <v/>
      </c>
      <c r="G173" s="7">
        <f>IF($U173="","",F173*S173/100)</f>
        <v/>
      </c>
      <c r="H173">
        <f>IF($U173="","",INDEX('Per Line'!$O$2:$O$1001,$U173)&amp;"")</f>
        <v/>
      </c>
      <c r="I173" s="11">
        <f>IF($U173="","",INDEX('Per Line'!$Q$2:$Q$1001,$U173))</f>
        <v/>
      </c>
      <c r="J173">
        <f>IF($U173="","",INDEX('Per Line'!$R$2:$R$1001,$U173)&amp;"")</f>
        <v/>
      </c>
      <c r="K173">
        <f>IF($U173="","",Settings!$C$7)</f>
        <v/>
      </c>
      <c r="L173" s="7">
        <f>IF($U173="","",SUMIFS('Per Line'!$N$2:$N$1001,'Per Line'!$A$2:$A$1001,$A173,'Per Line'!$W$2:$W$1001,0))</f>
        <v/>
      </c>
      <c r="M173" s="7">
        <f>IF($U173="","",L173*K173)</f>
        <v/>
      </c>
      <c r="N173">
        <f>IF($U173="","",Settings!$C$6)</f>
        <v/>
      </c>
      <c r="O173" s="7">
        <f>IF($U173="","",SUMIFS('Per Line'!$N$2:$N$1001,'Per Line'!$A$2:$A$1001,$A173,'Per Line'!$W$2:$W$1001,1))</f>
        <v/>
      </c>
      <c r="P173" s="7">
        <f>IF($U173="","",O173*N173)</f>
        <v/>
      </c>
      <c r="Q173" s="7">
        <f>IF($U173="","",P173+M173)</f>
        <v/>
      </c>
      <c r="R173" s="7">
        <f>IF($U173="","",S173-Q173)</f>
        <v/>
      </c>
      <c r="S173" s="7">
        <f>IF($U173="","",L173+O173)</f>
        <v/>
      </c>
      <c r="T173" s="7">
        <f>IF($U173="","",S173-Q173-G173)</f>
        <v/>
      </c>
      <c r="U173" s="13">
        <f>IF(ROWS($U$2:$U173)&lt;=MAX('Per Line'!$V$2:$V$1001),MATCH(ROWS($U$2:$U173),'Per Line'!$V$2:$V$1001,0),"")</f>
        <v/>
      </c>
    </row>
    <row r="174">
      <c r="A174">
        <f>IF($U174="","",INDEX('Per Line'!$A$2:$A$1001,$U174)&amp;"")</f>
        <v/>
      </c>
      <c r="B174" s="12" t="n"/>
      <c r="C174">
        <f>IF($U174="","",INDEX('Per Line'!$B$2:$B$1001,$U174)&amp;"")</f>
        <v/>
      </c>
      <c r="D174">
        <f>IF($U174="","",INDEX('Per Line'!$C$2:$C$1001,$U174)&amp;"")</f>
        <v/>
      </c>
      <c r="E174">
        <f>IF($U174="","",INDEX('Per Line'!$D$2:$D$1001,$U174)&amp;"")</f>
        <v/>
      </c>
      <c r="F174">
        <f>IF($U174="","",INDEX('Per Line'!$E$2:$E$1001,$U174))</f>
        <v/>
      </c>
      <c r="G174" s="7">
        <f>IF($U174="","",F174*S174/100)</f>
        <v/>
      </c>
      <c r="H174">
        <f>IF($U174="","",INDEX('Per Line'!$O$2:$O$1001,$U174)&amp;"")</f>
        <v/>
      </c>
      <c r="I174" s="11">
        <f>IF($U174="","",INDEX('Per Line'!$Q$2:$Q$1001,$U174))</f>
        <v/>
      </c>
      <c r="J174">
        <f>IF($U174="","",INDEX('Per Line'!$R$2:$R$1001,$U174)&amp;"")</f>
        <v/>
      </c>
      <c r="K174">
        <f>IF($U174="","",Settings!$C$7)</f>
        <v/>
      </c>
      <c r="L174" s="7">
        <f>IF($U174="","",SUMIFS('Per Line'!$N$2:$N$1001,'Per Line'!$A$2:$A$1001,$A174,'Per Line'!$W$2:$W$1001,0))</f>
        <v/>
      </c>
      <c r="M174" s="7">
        <f>IF($U174="","",L174*K174)</f>
        <v/>
      </c>
      <c r="N174">
        <f>IF($U174="","",Settings!$C$6)</f>
        <v/>
      </c>
      <c r="O174" s="7">
        <f>IF($U174="","",SUMIFS('Per Line'!$N$2:$N$1001,'Per Line'!$A$2:$A$1001,$A174,'Per Line'!$W$2:$W$1001,1))</f>
        <v/>
      </c>
      <c r="P174" s="7">
        <f>IF($U174="","",O174*N174)</f>
        <v/>
      </c>
      <c r="Q174" s="7">
        <f>IF($U174="","",P174+M174)</f>
        <v/>
      </c>
      <c r="R174" s="7">
        <f>IF($U174="","",S174-Q174)</f>
        <v/>
      </c>
      <c r="S174" s="7">
        <f>IF($U174="","",L174+O174)</f>
        <v/>
      </c>
      <c r="T174" s="7">
        <f>IF($U174="","",S174-Q174-G174)</f>
        <v/>
      </c>
      <c r="U174" s="13">
        <f>IF(ROWS($U$2:$U174)&lt;=MAX('Per Line'!$V$2:$V$1001),MATCH(ROWS($U$2:$U174),'Per Line'!$V$2:$V$1001,0),"")</f>
        <v/>
      </c>
    </row>
    <row r="175">
      <c r="A175">
        <f>IF($U175="","",INDEX('Per Line'!$A$2:$A$1001,$U175)&amp;"")</f>
        <v/>
      </c>
      <c r="B175" s="12" t="n"/>
      <c r="C175">
        <f>IF($U175="","",INDEX('Per Line'!$B$2:$B$1001,$U175)&amp;"")</f>
        <v/>
      </c>
      <c r="D175">
        <f>IF($U175="","",INDEX('Per Line'!$C$2:$C$1001,$U175)&amp;"")</f>
        <v/>
      </c>
      <c r="E175">
        <f>IF($U175="","",INDEX('Per Line'!$D$2:$D$1001,$U175)&amp;"")</f>
        <v/>
      </c>
      <c r="F175">
        <f>IF($U175="","",INDEX('Per Line'!$E$2:$E$1001,$U175))</f>
        <v/>
      </c>
      <c r="G175" s="7">
        <f>IF($U175="","",F175*S175/100)</f>
        <v/>
      </c>
      <c r="H175">
        <f>IF($U175="","",INDEX('Per Line'!$O$2:$O$1001,$U175)&amp;"")</f>
        <v/>
      </c>
      <c r="I175" s="11">
        <f>IF($U175="","",INDEX('Per Line'!$Q$2:$Q$1001,$U175))</f>
        <v/>
      </c>
      <c r="J175">
        <f>IF($U175="","",INDEX('Per Line'!$R$2:$R$1001,$U175)&amp;"")</f>
        <v/>
      </c>
      <c r="K175">
        <f>IF($U175="","",Settings!$C$7)</f>
        <v/>
      </c>
      <c r="L175" s="7">
        <f>IF($U175="","",SUMIFS('Per Line'!$N$2:$N$1001,'Per Line'!$A$2:$A$1001,$A175,'Per Line'!$W$2:$W$1001,0))</f>
        <v/>
      </c>
      <c r="M175" s="7">
        <f>IF($U175="","",L175*K175)</f>
        <v/>
      </c>
      <c r="N175">
        <f>IF($U175="","",Settings!$C$6)</f>
        <v/>
      </c>
      <c r="O175" s="7">
        <f>IF($U175="","",SUMIFS('Per Line'!$N$2:$N$1001,'Per Line'!$A$2:$A$1001,$A175,'Per Line'!$W$2:$W$1001,1))</f>
        <v/>
      </c>
      <c r="P175" s="7">
        <f>IF($U175="","",O175*N175)</f>
        <v/>
      </c>
      <c r="Q175" s="7">
        <f>IF($U175="","",P175+M175)</f>
        <v/>
      </c>
      <c r="R175" s="7">
        <f>IF($U175="","",S175-Q175)</f>
        <v/>
      </c>
      <c r="S175" s="7">
        <f>IF($U175="","",L175+O175)</f>
        <v/>
      </c>
      <c r="T175" s="7">
        <f>IF($U175="","",S175-Q175-G175)</f>
        <v/>
      </c>
      <c r="U175" s="13">
        <f>IF(ROWS($U$2:$U175)&lt;=MAX('Per Line'!$V$2:$V$1001),MATCH(ROWS($U$2:$U175),'Per Line'!$V$2:$V$1001,0),"")</f>
        <v/>
      </c>
    </row>
    <row r="176">
      <c r="A176">
        <f>IF($U176="","",INDEX('Per Line'!$A$2:$A$1001,$U176)&amp;"")</f>
        <v/>
      </c>
      <c r="B176" s="12" t="n"/>
      <c r="C176">
        <f>IF($U176="","",INDEX('Per Line'!$B$2:$B$1001,$U176)&amp;"")</f>
        <v/>
      </c>
      <c r="D176">
        <f>IF($U176="","",INDEX('Per Line'!$C$2:$C$1001,$U176)&amp;"")</f>
        <v/>
      </c>
      <c r="E176">
        <f>IF($U176="","",INDEX('Per Line'!$D$2:$D$1001,$U176)&amp;"")</f>
        <v/>
      </c>
      <c r="F176">
        <f>IF($U176="","",INDEX('Per Line'!$E$2:$E$1001,$U176))</f>
        <v/>
      </c>
      <c r="G176" s="7">
        <f>IF($U176="","",F176*S176/100)</f>
        <v/>
      </c>
      <c r="H176">
        <f>IF($U176="","",INDEX('Per Line'!$O$2:$O$1001,$U176)&amp;"")</f>
        <v/>
      </c>
      <c r="I176" s="11">
        <f>IF($U176="","",INDEX('Per Line'!$Q$2:$Q$1001,$U176))</f>
        <v/>
      </c>
      <c r="J176">
        <f>IF($U176="","",INDEX('Per Line'!$R$2:$R$1001,$U176)&amp;"")</f>
        <v/>
      </c>
      <c r="K176">
        <f>IF($U176="","",Settings!$C$7)</f>
        <v/>
      </c>
      <c r="L176" s="7">
        <f>IF($U176="","",SUMIFS('Per Line'!$N$2:$N$1001,'Per Line'!$A$2:$A$1001,$A176,'Per Line'!$W$2:$W$1001,0))</f>
        <v/>
      </c>
      <c r="M176" s="7">
        <f>IF($U176="","",L176*K176)</f>
        <v/>
      </c>
      <c r="N176">
        <f>IF($U176="","",Settings!$C$6)</f>
        <v/>
      </c>
      <c r="O176" s="7">
        <f>IF($U176="","",SUMIFS('Per Line'!$N$2:$N$1001,'Per Line'!$A$2:$A$1001,$A176,'Per Line'!$W$2:$W$1001,1))</f>
        <v/>
      </c>
      <c r="P176" s="7">
        <f>IF($U176="","",O176*N176)</f>
        <v/>
      </c>
      <c r="Q176" s="7">
        <f>IF($U176="","",P176+M176)</f>
        <v/>
      </c>
      <c r="R176" s="7">
        <f>IF($U176="","",S176-Q176)</f>
        <v/>
      </c>
      <c r="S176" s="7">
        <f>IF($U176="","",L176+O176)</f>
        <v/>
      </c>
      <c r="T176" s="7">
        <f>IF($U176="","",S176-Q176-G176)</f>
        <v/>
      </c>
      <c r="U176" s="13">
        <f>IF(ROWS($U$2:$U176)&lt;=MAX('Per Line'!$V$2:$V$1001),MATCH(ROWS($U$2:$U176),'Per Line'!$V$2:$V$1001,0),"")</f>
        <v/>
      </c>
    </row>
    <row r="177">
      <c r="A177">
        <f>IF($U177="","",INDEX('Per Line'!$A$2:$A$1001,$U177)&amp;"")</f>
        <v/>
      </c>
      <c r="B177" s="12" t="n"/>
      <c r="C177">
        <f>IF($U177="","",INDEX('Per Line'!$B$2:$B$1001,$U177)&amp;"")</f>
        <v/>
      </c>
      <c r="D177">
        <f>IF($U177="","",INDEX('Per Line'!$C$2:$C$1001,$U177)&amp;"")</f>
        <v/>
      </c>
      <c r="E177">
        <f>IF($U177="","",INDEX('Per Line'!$D$2:$D$1001,$U177)&amp;"")</f>
        <v/>
      </c>
      <c r="F177">
        <f>IF($U177="","",INDEX('Per Line'!$E$2:$E$1001,$U177))</f>
        <v/>
      </c>
      <c r="G177" s="7">
        <f>IF($U177="","",F177*S177/100)</f>
        <v/>
      </c>
      <c r="H177">
        <f>IF($U177="","",INDEX('Per Line'!$O$2:$O$1001,$U177)&amp;"")</f>
        <v/>
      </c>
      <c r="I177" s="11">
        <f>IF($U177="","",INDEX('Per Line'!$Q$2:$Q$1001,$U177))</f>
        <v/>
      </c>
      <c r="J177">
        <f>IF($U177="","",INDEX('Per Line'!$R$2:$R$1001,$U177)&amp;"")</f>
        <v/>
      </c>
      <c r="K177">
        <f>IF($U177="","",Settings!$C$7)</f>
        <v/>
      </c>
      <c r="L177" s="7">
        <f>IF($U177="","",SUMIFS('Per Line'!$N$2:$N$1001,'Per Line'!$A$2:$A$1001,$A177,'Per Line'!$W$2:$W$1001,0))</f>
        <v/>
      </c>
      <c r="M177" s="7">
        <f>IF($U177="","",L177*K177)</f>
        <v/>
      </c>
      <c r="N177">
        <f>IF($U177="","",Settings!$C$6)</f>
        <v/>
      </c>
      <c r="O177" s="7">
        <f>IF($U177="","",SUMIFS('Per Line'!$N$2:$N$1001,'Per Line'!$A$2:$A$1001,$A177,'Per Line'!$W$2:$W$1001,1))</f>
        <v/>
      </c>
      <c r="P177" s="7">
        <f>IF($U177="","",O177*N177)</f>
        <v/>
      </c>
      <c r="Q177" s="7">
        <f>IF($U177="","",P177+M177)</f>
        <v/>
      </c>
      <c r="R177" s="7">
        <f>IF($U177="","",S177-Q177)</f>
        <v/>
      </c>
      <c r="S177" s="7">
        <f>IF($U177="","",L177+O177)</f>
        <v/>
      </c>
      <c r="T177" s="7">
        <f>IF($U177="","",S177-Q177-G177)</f>
        <v/>
      </c>
      <c r="U177" s="13">
        <f>IF(ROWS($U$2:$U177)&lt;=MAX('Per Line'!$V$2:$V$1001),MATCH(ROWS($U$2:$U177),'Per Line'!$V$2:$V$1001,0),"")</f>
        <v/>
      </c>
    </row>
    <row r="178">
      <c r="A178">
        <f>IF($U178="","",INDEX('Per Line'!$A$2:$A$1001,$U178)&amp;"")</f>
        <v/>
      </c>
      <c r="B178" s="12" t="n"/>
      <c r="C178">
        <f>IF($U178="","",INDEX('Per Line'!$B$2:$B$1001,$U178)&amp;"")</f>
        <v/>
      </c>
      <c r="D178">
        <f>IF($U178="","",INDEX('Per Line'!$C$2:$C$1001,$U178)&amp;"")</f>
        <v/>
      </c>
      <c r="E178">
        <f>IF($U178="","",INDEX('Per Line'!$D$2:$D$1001,$U178)&amp;"")</f>
        <v/>
      </c>
      <c r="F178">
        <f>IF($U178="","",INDEX('Per Line'!$E$2:$E$1001,$U178))</f>
        <v/>
      </c>
      <c r="G178" s="7">
        <f>IF($U178="","",F178*S178/100)</f>
        <v/>
      </c>
      <c r="H178">
        <f>IF($U178="","",INDEX('Per Line'!$O$2:$O$1001,$U178)&amp;"")</f>
        <v/>
      </c>
      <c r="I178" s="11">
        <f>IF($U178="","",INDEX('Per Line'!$Q$2:$Q$1001,$U178))</f>
        <v/>
      </c>
      <c r="J178">
        <f>IF($U178="","",INDEX('Per Line'!$R$2:$R$1001,$U178)&amp;"")</f>
        <v/>
      </c>
      <c r="K178">
        <f>IF($U178="","",Settings!$C$7)</f>
        <v/>
      </c>
      <c r="L178" s="7">
        <f>IF($U178="","",SUMIFS('Per Line'!$N$2:$N$1001,'Per Line'!$A$2:$A$1001,$A178,'Per Line'!$W$2:$W$1001,0))</f>
        <v/>
      </c>
      <c r="M178" s="7">
        <f>IF($U178="","",L178*K178)</f>
        <v/>
      </c>
      <c r="N178">
        <f>IF($U178="","",Settings!$C$6)</f>
        <v/>
      </c>
      <c r="O178" s="7">
        <f>IF($U178="","",SUMIFS('Per Line'!$N$2:$N$1001,'Per Line'!$A$2:$A$1001,$A178,'Per Line'!$W$2:$W$1001,1))</f>
        <v/>
      </c>
      <c r="P178" s="7">
        <f>IF($U178="","",O178*N178)</f>
        <v/>
      </c>
      <c r="Q178" s="7">
        <f>IF($U178="","",P178+M178)</f>
        <v/>
      </c>
      <c r="R178" s="7">
        <f>IF($U178="","",S178-Q178)</f>
        <v/>
      </c>
      <c r="S178" s="7">
        <f>IF($U178="","",L178+O178)</f>
        <v/>
      </c>
      <c r="T178" s="7">
        <f>IF($U178="","",S178-Q178-G178)</f>
        <v/>
      </c>
      <c r="U178" s="13">
        <f>IF(ROWS($U$2:$U178)&lt;=MAX('Per Line'!$V$2:$V$1001),MATCH(ROWS($U$2:$U178),'Per Line'!$V$2:$V$1001,0),"")</f>
        <v/>
      </c>
    </row>
    <row r="179">
      <c r="A179">
        <f>IF($U179="","",INDEX('Per Line'!$A$2:$A$1001,$U179)&amp;"")</f>
        <v/>
      </c>
      <c r="B179" s="12" t="n"/>
      <c r="C179">
        <f>IF($U179="","",INDEX('Per Line'!$B$2:$B$1001,$U179)&amp;"")</f>
        <v/>
      </c>
      <c r="D179">
        <f>IF($U179="","",INDEX('Per Line'!$C$2:$C$1001,$U179)&amp;"")</f>
        <v/>
      </c>
      <c r="E179">
        <f>IF($U179="","",INDEX('Per Line'!$D$2:$D$1001,$U179)&amp;"")</f>
        <v/>
      </c>
      <c r="F179">
        <f>IF($U179="","",INDEX('Per Line'!$E$2:$E$1001,$U179))</f>
        <v/>
      </c>
      <c r="G179" s="7">
        <f>IF($U179="","",F179*S179/100)</f>
        <v/>
      </c>
      <c r="H179">
        <f>IF($U179="","",INDEX('Per Line'!$O$2:$O$1001,$U179)&amp;"")</f>
        <v/>
      </c>
      <c r="I179" s="11">
        <f>IF($U179="","",INDEX('Per Line'!$Q$2:$Q$1001,$U179))</f>
        <v/>
      </c>
      <c r="J179">
        <f>IF($U179="","",INDEX('Per Line'!$R$2:$R$1001,$U179)&amp;"")</f>
        <v/>
      </c>
      <c r="K179">
        <f>IF($U179="","",Settings!$C$7)</f>
        <v/>
      </c>
      <c r="L179" s="7">
        <f>IF($U179="","",SUMIFS('Per Line'!$N$2:$N$1001,'Per Line'!$A$2:$A$1001,$A179,'Per Line'!$W$2:$W$1001,0))</f>
        <v/>
      </c>
      <c r="M179" s="7">
        <f>IF($U179="","",L179*K179)</f>
        <v/>
      </c>
      <c r="N179">
        <f>IF($U179="","",Settings!$C$6)</f>
        <v/>
      </c>
      <c r="O179" s="7">
        <f>IF($U179="","",SUMIFS('Per Line'!$N$2:$N$1001,'Per Line'!$A$2:$A$1001,$A179,'Per Line'!$W$2:$W$1001,1))</f>
        <v/>
      </c>
      <c r="P179" s="7">
        <f>IF($U179="","",O179*N179)</f>
        <v/>
      </c>
      <c r="Q179" s="7">
        <f>IF($U179="","",P179+M179)</f>
        <v/>
      </c>
      <c r="R179" s="7">
        <f>IF($U179="","",S179-Q179)</f>
        <v/>
      </c>
      <c r="S179" s="7">
        <f>IF($U179="","",L179+O179)</f>
        <v/>
      </c>
      <c r="T179" s="7">
        <f>IF($U179="","",S179-Q179-G179)</f>
        <v/>
      </c>
      <c r="U179" s="13">
        <f>IF(ROWS($U$2:$U179)&lt;=MAX('Per Line'!$V$2:$V$1001),MATCH(ROWS($U$2:$U179),'Per Line'!$V$2:$V$1001,0),"")</f>
        <v/>
      </c>
    </row>
    <row r="180">
      <c r="A180">
        <f>IF($U180="","",INDEX('Per Line'!$A$2:$A$1001,$U180)&amp;"")</f>
        <v/>
      </c>
      <c r="B180" s="12" t="n"/>
      <c r="C180">
        <f>IF($U180="","",INDEX('Per Line'!$B$2:$B$1001,$U180)&amp;"")</f>
        <v/>
      </c>
      <c r="D180">
        <f>IF($U180="","",INDEX('Per Line'!$C$2:$C$1001,$U180)&amp;"")</f>
        <v/>
      </c>
      <c r="E180">
        <f>IF($U180="","",INDEX('Per Line'!$D$2:$D$1001,$U180)&amp;"")</f>
        <v/>
      </c>
      <c r="F180">
        <f>IF($U180="","",INDEX('Per Line'!$E$2:$E$1001,$U180))</f>
        <v/>
      </c>
      <c r="G180" s="7">
        <f>IF($U180="","",F180*S180/100)</f>
        <v/>
      </c>
      <c r="H180">
        <f>IF($U180="","",INDEX('Per Line'!$O$2:$O$1001,$U180)&amp;"")</f>
        <v/>
      </c>
      <c r="I180" s="11">
        <f>IF($U180="","",INDEX('Per Line'!$Q$2:$Q$1001,$U180))</f>
        <v/>
      </c>
      <c r="J180">
        <f>IF($U180="","",INDEX('Per Line'!$R$2:$R$1001,$U180)&amp;"")</f>
        <v/>
      </c>
      <c r="K180">
        <f>IF($U180="","",Settings!$C$7)</f>
        <v/>
      </c>
      <c r="L180" s="7">
        <f>IF($U180="","",SUMIFS('Per Line'!$N$2:$N$1001,'Per Line'!$A$2:$A$1001,$A180,'Per Line'!$W$2:$W$1001,0))</f>
        <v/>
      </c>
      <c r="M180" s="7">
        <f>IF($U180="","",L180*K180)</f>
        <v/>
      </c>
      <c r="N180">
        <f>IF($U180="","",Settings!$C$6)</f>
        <v/>
      </c>
      <c r="O180" s="7">
        <f>IF($U180="","",SUMIFS('Per Line'!$N$2:$N$1001,'Per Line'!$A$2:$A$1001,$A180,'Per Line'!$W$2:$W$1001,1))</f>
        <v/>
      </c>
      <c r="P180" s="7">
        <f>IF($U180="","",O180*N180)</f>
        <v/>
      </c>
      <c r="Q180" s="7">
        <f>IF($U180="","",P180+M180)</f>
        <v/>
      </c>
      <c r="R180" s="7">
        <f>IF($U180="","",S180-Q180)</f>
        <v/>
      </c>
      <c r="S180" s="7">
        <f>IF($U180="","",L180+O180)</f>
        <v/>
      </c>
      <c r="T180" s="7">
        <f>IF($U180="","",S180-Q180-G180)</f>
        <v/>
      </c>
      <c r="U180" s="13">
        <f>IF(ROWS($U$2:$U180)&lt;=MAX('Per Line'!$V$2:$V$1001),MATCH(ROWS($U$2:$U180),'Per Line'!$V$2:$V$1001,0),"")</f>
        <v/>
      </c>
    </row>
    <row r="181">
      <c r="A181">
        <f>IF($U181="","",INDEX('Per Line'!$A$2:$A$1001,$U181)&amp;"")</f>
        <v/>
      </c>
      <c r="B181" s="12" t="n"/>
      <c r="C181">
        <f>IF($U181="","",INDEX('Per Line'!$B$2:$B$1001,$U181)&amp;"")</f>
        <v/>
      </c>
      <c r="D181">
        <f>IF($U181="","",INDEX('Per Line'!$C$2:$C$1001,$U181)&amp;"")</f>
        <v/>
      </c>
      <c r="E181">
        <f>IF($U181="","",INDEX('Per Line'!$D$2:$D$1001,$U181)&amp;"")</f>
        <v/>
      </c>
      <c r="F181">
        <f>IF($U181="","",INDEX('Per Line'!$E$2:$E$1001,$U181))</f>
        <v/>
      </c>
      <c r="G181" s="7">
        <f>IF($U181="","",F181*S181/100)</f>
        <v/>
      </c>
      <c r="H181">
        <f>IF($U181="","",INDEX('Per Line'!$O$2:$O$1001,$U181)&amp;"")</f>
        <v/>
      </c>
      <c r="I181" s="11">
        <f>IF($U181="","",INDEX('Per Line'!$Q$2:$Q$1001,$U181))</f>
        <v/>
      </c>
      <c r="J181">
        <f>IF($U181="","",INDEX('Per Line'!$R$2:$R$1001,$U181)&amp;"")</f>
        <v/>
      </c>
      <c r="K181">
        <f>IF($U181="","",Settings!$C$7)</f>
        <v/>
      </c>
      <c r="L181" s="7">
        <f>IF($U181="","",SUMIFS('Per Line'!$N$2:$N$1001,'Per Line'!$A$2:$A$1001,$A181,'Per Line'!$W$2:$W$1001,0))</f>
        <v/>
      </c>
      <c r="M181" s="7">
        <f>IF($U181="","",L181*K181)</f>
        <v/>
      </c>
      <c r="N181">
        <f>IF($U181="","",Settings!$C$6)</f>
        <v/>
      </c>
      <c r="O181" s="7">
        <f>IF($U181="","",SUMIFS('Per Line'!$N$2:$N$1001,'Per Line'!$A$2:$A$1001,$A181,'Per Line'!$W$2:$W$1001,1))</f>
        <v/>
      </c>
      <c r="P181" s="7">
        <f>IF($U181="","",O181*N181)</f>
        <v/>
      </c>
      <c r="Q181" s="7">
        <f>IF($U181="","",P181+M181)</f>
        <v/>
      </c>
      <c r="R181" s="7">
        <f>IF($U181="","",S181-Q181)</f>
        <v/>
      </c>
      <c r="S181" s="7">
        <f>IF($U181="","",L181+O181)</f>
        <v/>
      </c>
      <c r="T181" s="7">
        <f>IF($U181="","",S181-Q181-G181)</f>
        <v/>
      </c>
      <c r="U181" s="13">
        <f>IF(ROWS($U$2:$U181)&lt;=MAX('Per Line'!$V$2:$V$1001),MATCH(ROWS($U$2:$U181),'Per Line'!$V$2:$V$1001,0),"")</f>
        <v/>
      </c>
    </row>
    <row r="182">
      <c r="A182">
        <f>IF($U182="","",INDEX('Per Line'!$A$2:$A$1001,$U182)&amp;"")</f>
        <v/>
      </c>
      <c r="B182" s="12" t="n"/>
      <c r="C182">
        <f>IF($U182="","",INDEX('Per Line'!$B$2:$B$1001,$U182)&amp;"")</f>
        <v/>
      </c>
      <c r="D182">
        <f>IF($U182="","",INDEX('Per Line'!$C$2:$C$1001,$U182)&amp;"")</f>
        <v/>
      </c>
      <c r="E182">
        <f>IF($U182="","",INDEX('Per Line'!$D$2:$D$1001,$U182)&amp;"")</f>
        <v/>
      </c>
      <c r="F182">
        <f>IF($U182="","",INDEX('Per Line'!$E$2:$E$1001,$U182))</f>
        <v/>
      </c>
      <c r="G182" s="7">
        <f>IF($U182="","",F182*S182/100)</f>
        <v/>
      </c>
      <c r="H182">
        <f>IF($U182="","",INDEX('Per Line'!$O$2:$O$1001,$U182)&amp;"")</f>
        <v/>
      </c>
      <c r="I182" s="11">
        <f>IF($U182="","",INDEX('Per Line'!$Q$2:$Q$1001,$U182))</f>
        <v/>
      </c>
      <c r="J182">
        <f>IF($U182="","",INDEX('Per Line'!$R$2:$R$1001,$U182)&amp;"")</f>
        <v/>
      </c>
      <c r="K182">
        <f>IF($U182="","",Settings!$C$7)</f>
        <v/>
      </c>
      <c r="L182" s="7">
        <f>IF($U182="","",SUMIFS('Per Line'!$N$2:$N$1001,'Per Line'!$A$2:$A$1001,$A182,'Per Line'!$W$2:$W$1001,0))</f>
        <v/>
      </c>
      <c r="M182" s="7">
        <f>IF($U182="","",L182*K182)</f>
        <v/>
      </c>
      <c r="N182">
        <f>IF($U182="","",Settings!$C$6)</f>
        <v/>
      </c>
      <c r="O182" s="7">
        <f>IF($U182="","",SUMIFS('Per Line'!$N$2:$N$1001,'Per Line'!$A$2:$A$1001,$A182,'Per Line'!$W$2:$W$1001,1))</f>
        <v/>
      </c>
      <c r="P182" s="7">
        <f>IF($U182="","",O182*N182)</f>
        <v/>
      </c>
      <c r="Q182" s="7">
        <f>IF($U182="","",P182+M182)</f>
        <v/>
      </c>
      <c r="R182" s="7">
        <f>IF($U182="","",S182-Q182)</f>
        <v/>
      </c>
      <c r="S182" s="7">
        <f>IF($U182="","",L182+O182)</f>
        <v/>
      </c>
      <c r="T182" s="7">
        <f>IF($U182="","",S182-Q182-G182)</f>
        <v/>
      </c>
      <c r="U182" s="13">
        <f>IF(ROWS($U$2:$U182)&lt;=MAX('Per Line'!$V$2:$V$1001),MATCH(ROWS($U$2:$U182),'Per Line'!$V$2:$V$1001,0),"")</f>
        <v/>
      </c>
    </row>
    <row r="183">
      <c r="A183">
        <f>IF($U183="","",INDEX('Per Line'!$A$2:$A$1001,$U183)&amp;"")</f>
        <v/>
      </c>
      <c r="B183" s="12" t="n"/>
      <c r="C183">
        <f>IF($U183="","",INDEX('Per Line'!$B$2:$B$1001,$U183)&amp;"")</f>
        <v/>
      </c>
      <c r="D183">
        <f>IF($U183="","",INDEX('Per Line'!$C$2:$C$1001,$U183)&amp;"")</f>
        <v/>
      </c>
      <c r="E183">
        <f>IF($U183="","",INDEX('Per Line'!$D$2:$D$1001,$U183)&amp;"")</f>
        <v/>
      </c>
      <c r="F183">
        <f>IF($U183="","",INDEX('Per Line'!$E$2:$E$1001,$U183))</f>
        <v/>
      </c>
      <c r="G183" s="7">
        <f>IF($U183="","",F183*S183/100)</f>
        <v/>
      </c>
      <c r="H183">
        <f>IF($U183="","",INDEX('Per Line'!$O$2:$O$1001,$U183)&amp;"")</f>
        <v/>
      </c>
      <c r="I183" s="11">
        <f>IF($U183="","",INDEX('Per Line'!$Q$2:$Q$1001,$U183))</f>
        <v/>
      </c>
      <c r="J183">
        <f>IF($U183="","",INDEX('Per Line'!$R$2:$R$1001,$U183)&amp;"")</f>
        <v/>
      </c>
      <c r="K183">
        <f>IF($U183="","",Settings!$C$7)</f>
        <v/>
      </c>
      <c r="L183" s="7">
        <f>IF($U183="","",SUMIFS('Per Line'!$N$2:$N$1001,'Per Line'!$A$2:$A$1001,$A183,'Per Line'!$W$2:$W$1001,0))</f>
        <v/>
      </c>
      <c r="M183" s="7">
        <f>IF($U183="","",L183*K183)</f>
        <v/>
      </c>
      <c r="N183">
        <f>IF($U183="","",Settings!$C$6)</f>
        <v/>
      </c>
      <c r="O183" s="7">
        <f>IF($U183="","",SUMIFS('Per Line'!$N$2:$N$1001,'Per Line'!$A$2:$A$1001,$A183,'Per Line'!$W$2:$W$1001,1))</f>
        <v/>
      </c>
      <c r="P183" s="7">
        <f>IF($U183="","",O183*N183)</f>
        <v/>
      </c>
      <c r="Q183" s="7">
        <f>IF($U183="","",P183+M183)</f>
        <v/>
      </c>
      <c r="R183" s="7">
        <f>IF($U183="","",S183-Q183)</f>
        <v/>
      </c>
      <c r="S183" s="7">
        <f>IF($U183="","",L183+O183)</f>
        <v/>
      </c>
      <c r="T183" s="7">
        <f>IF($U183="","",S183-Q183-G183)</f>
        <v/>
      </c>
      <c r="U183" s="13">
        <f>IF(ROWS($U$2:$U183)&lt;=MAX('Per Line'!$V$2:$V$1001),MATCH(ROWS($U$2:$U183),'Per Line'!$V$2:$V$1001,0),"")</f>
        <v/>
      </c>
    </row>
    <row r="184">
      <c r="A184">
        <f>IF($U184="","",INDEX('Per Line'!$A$2:$A$1001,$U184)&amp;"")</f>
        <v/>
      </c>
      <c r="B184" s="12" t="n"/>
      <c r="C184">
        <f>IF($U184="","",INDEX('Per Line'!$B$2:$B$1001,$U184)&amp;"")</f>
        <v/>
      </c>
      <c r="D184">
        <f>IF($U184="","",INDEX('Per Line'!$C$2:$C$1001,$U184)&amp;"")</f>
        <v/>
      </c>
      <c r="E184">
        <f>IF($U184="","",INDEX('Per Line'!$D$2:$D$1001,$U184)&amp;"")</f>
        <v/>
      </c>
      <c r="F184">
        <f>IF($U184="","",INDEX('Per Line'!$E$2:$E$1001,$U184))</f>
        <v/>
      </c>
      <c r="G184" s="7">
        <f>IF($U184="","",F184*S184/100)</f>
        <v/>
      </c>
      <c r="H184">
        <f>IF($U184="","",INDEX('Per Line'!$O$2:$O$1001,$U184)&amp;"")</f>
        <v/>
      </c>
      <c r="I184" s="11">
        <f>IF($U184="","",INDEX('Per Line'!$Q$2:$Q$1001,$U184))</f>
        <v/>
      </c>
      <c r="J184">
        <f>IF($U184="","",INDEX('Per Line'!$R$2:$R$1001,$U184)&amp;"")</f>
        <v/>
      </c>
      <c r="K184">
        <f>IF($U184="","",Settings!$C$7)</f>
        <v/>
      </c>
      <c r="L184" s="7">
        <f>IF($U184="","",SUMIFS('Per Line'!$N$2:$N$1001,'Per Line'!$A$2:$A$1001,$A184,'Per Line'!$W$2:$W$1001,0))</f>
        <v/>
      </c>
      <c r="M184" s="7">
        <f>IF($U184="","",L184*K184)</f>
        <v/>
      </c>
      <c r="N184">
        <f>IF($U184="","",Settings!$C$6)</f>
        <v/>
      </c>
      <c r="O184" s="7">
        <f>IF($U184="","",SUMIFS('Per Line'!$N$2:$N$1001,'Per Line'!$A$2:$A$1001,$A184,'Per Line'!$W$2:$W$1001,1))</f>
        <v/>
      </c>
      <c r="P184" s="7">
        <f>IF($U184="","",O184*N184)</f>
        <v/>
      </c>
      <c r="Q184" s="7">
        <f>IF($U184="","",P184+M184)</f>
        <v/>
      </c>
      <c r="R184" s="7">
        <f>IF($U184="","",S184-Q184)</f>
        <v/>
      </c>
      <c r="S184" s="7">
        <f>IF($U184="","",L184+O184)</f>
        <v/>
      </c>
      <c r="T184" s="7">
        <f>IF($U184="","",S184-Q184-G184)</f>
        <v/>
      </c>
      <c r="U184" s="13">
        <f>IF(ROWS($U$2:$U184)&lt;=MAX('Per Line'!$V$2:$V$1001),MATCH(ROWS($U$2:$U184),'Per Line'!$V$2:$V$1001,0),"")</f>
        <v/>
      </c>
    </row>
    <row r="185">
      <c r="A185">
        <f>IF($U185="","",INDEX('Per Line'!$A$2:$A$1001,$U185)&amp;"")</f>
        <v/>
      </c>
      <c r="B185" s="12" t="n"/>
      <c r="C185">
        <f>IF($U185="","",INDEX('Per Line'!$B$2:$B$1001,$U185)&amp;"")</f>
        <v/>
      </c>
      <c r="D185">
        <f>IF($U185="","",INDEX('Per Line'!$C$2:$C$1001,$U185)&amp;"")</f>
        <v/>
      </c>
      <c r="E185">
        <f>IF($U185="","",INDEX('Per Line'!$D$2:$D$1001,$U185)&amp;"")</f>
        <v/>
      </c>
      <c r="F185">
        <f>IF($U185="","",INDEX('Per Line'!$E$2:$E$1001,$U185))</f>
        <v/>
      </c>
      <c r="G185" s="7">
        <f>IF($U185="","",F185*S185/100)</f>
        <v/>
      </c>
      <c r="H185">
        <f>IF($U185="","",INDEX('Per Line'!$O$2:$O$1001,$U185)&amp;"")</f>
        <v/>
      </c>
      <c r="I185" s="11">
        <f>IF($U185="","",INDEX('Per Line'!$Q$2:$Q$1001,$U185))</f>
        <v/>
      </c>
      <c r="J185">
        <f>IF($U185="","",INDEX('Per Line'!$R$2:$R$1001,$U185)&amp;"")</f>
        <v/>
      </c>
      <c r="K185">
        <f>IF($U185="","",Settings!$C$7)</f>
        <v/>
      </c>
      <c r="L185" s="7">
        <f>IF($U185="","",SUMIFS('Per Line'!$N$2:$N$1001,'Per Line'!$A$2:$A$1001,$A185,'Per Line'!$W$2:$W$1001,0))</f>
        <v/>
      </c>
      <c r="M185" s="7">
        <f>IF($U185="","",L185*K185)</f>
        <v/>
      </c>
      <c r="N185">
        <f>IF($U185="","",Settings!$C$6)</f>
        <v/>
      </c>
      <c r="O185" s="7">
        <f>IF($U185="","",SUMIFS('Per Line'!$N$2:$N$1001,'Per Line'!$A$2:$A$1001,$A185,'Per Line'!$W$2:$W$1001,1))</f>
        <v/>
      </c>
      <c r="P185" s="7">
        <f>IF($U185="","",O185*N185)</f>
        <v/>
      </c>
      <c r="Q185" s="7">
        <f>IF($U185="","",P185+M185)</f>
        <v/>
      </c>
      <c r="R185" s="7">
        <f>IF($U185="","",S185-Q185)</f>
        <v/>
      </c>
      <c r="S185" s="7">
        <f>IF($U185="","",L185+O185)</f>
        <v/>
      </c>
      <c r="T185" s="7">
        <f>IF($U185="","",S185-Q185-G185)</f>
        <v/>
      </c>
      <c r="U185" s="13">
        <f>IF(ROWS($U$2:$U185)&lt;=MAX('Per Line'!$V$2:$V$1001),MATCH(ROWS($U$2:$U185),'Per Line'!$V$2:$V$1001,0),"")</f>
        <v/>
      </c>
    </row>
    <row r="186">
      <c r="A186">
        <f>IF($U186="","",INDEX('Per Line'!$A$2:$A$1001,$U186)&amp;"")</f>
        <v/>
      </c>
      <c r="B186" s="12" t="n"/>
      <c r="C186">
        <f>IF($U186="","",INDEX('Per Line'!$B$2:$B$1001,$U186)&amp;"")</f>
        <v/>
      </c>
      <c r="D186">
        <f>IF($U186="","",INDEX('Per Line'!$C$2:$C$1001,$U186)&amp;"")</f>
        <v/>
      </c>
      <c r="E186">
        <f>IF($U186="","",INDEX('Per Line'!$D$2:$D$1001,$U186)&amp;"")</f>
        <v/>
      </c>
      <c r="F186">
        <f>IF($U186="","",INDEX('Per Line'!$E$2:$E$1001,$U186))</f>
        <v/>
      </c>
      <c r="G186" s="7">
        <f>IF($U186="","",F186*S186/100)</f>
        <v/>
      </c>
      <c r="H186">
        <f>IF($U186="","",INDEX('Per Line'!$O$2:$O$1001,$U186)&amp;"")</f>
        <v/>
      </c>
      <c r="I186" s="11">
        <f>IF($U186="","",INDEX('Per Line'!$Q$2:$Q$1001,$U186))</f>
        <v/>
      </c>
      <c r="J186">
        <f>IF($U186="","",INDEX('Per Line'!$R$2:$R$1001,$U186)&amp;"")</f>
        <v/>
      </c>
      <c r="K186">
        <f>IF($U186="","",Settings!$C$7)</f>
        <v/>
      </c>
      <c r="L186" s="7">
        <f>IF($U186="","",SUMIFS('Per Line'!$N$2:$N$1001,'Per Line'!$A$2:$A$1001,$A186,'Per Line'!$W$2:$W$1001,0))</f>
        <v/>
      </c>
      <c r="M186" s="7">
        <f>IF($U186="","",L186*K186)</f>
        <v/>
      </c>
      <c r="N186">
        <f>IF($U186="","",Settings!$C$6)</f>
        <v/>
      </c>
      <c r="O186" s="7">
        <f>IF($U186="","",SUMIFS('Per Line'!$N$2:$N$1001,'Per Line'!$A$2:$A$1001,$A186,'Per Line'!$W$2:$W$1001,1))</f>
        <v/>
      </c>
      <c r="P186" s="7">
        <f>IF($U186="","",O186*N186)</f>
        <v/>
      </c>
      <c r="Q186" s="7">
        <f>IF($U186="","",P186+M186)</f>
        <v/>
      </c>
      <c r="R186" s="7">
        <f>IF($U186="","",S186-Q186)</f>
        <v/>
      </c>
      <c r="S186" s="7">
        <f>IF($U186="","",L186+O186)</f>
        <v/>
      </c>
      <c r="T186" s="7">
        <f>IF($U186="","",S186-Q186-G186)</f>
        <v/>
      </c>
      <c r="U186" s="13">
        <f>IF(ROWS($U$2:$U186)&lt;=MAX('Per Line'!$V$2:$V$1001),MATCH(ROWS($U$2:$U186),'Per Line'!$V$2:$V$1001,0),"")</f>
        <v/>
      </c>
    </row>
    <row r="187">
      <c r="A187">
        <f>IF($U187="","",INDEX('Per Line'!$A$2:$A$1001,$U187)&amp;"")</f>
        <v/>
      </c>
      <c r="B187" s="12" t="n"/>
      <c r="C187">
        <f>IF($U187="","",INDEX('Per Line'!$B$2:$B$1001,$U187)&amp;"")</f>
        <v/>
      </c>
      <c r="D187">
        <f>IF($U187="","",INDEX('Per Line'!$C$2:$C$1001,$U187)&amp;"")</f>
        <v/>
      </c>
      <c r="E187">
        <f>IF($U187="","",INDEX('Per Line'!$D$2:$D$1001,$U187)&amp;"")</f>
        <v/>
      </c>
      <c r="F187">
        <f>IF($U187="","",INDEX('Per Line'!$E$2:$E$1001,$U187))</f>
        <v/>
      </c>
      <c r="G187" s="7">
        <f>IF($U187="","",F187*S187/100)</f>
        <v/>
      </c>
      <c r="H187">
        <f>IF($U187="","",INDEX('Per Line'!$O$2:$O$1001,$U187)&amp;"")</f>
        <v/>
      </c>
      <c r="I187" s="11">
        <f>IF($U187="","",INDEX('Per Line'!$Q$2:$Q$1001,$U187))</f>
        <v/>
      </c>
      <c r="J187">
        <f>IF($U187="","",INDEX('Per Line'!$R$2:$R$1001,$U187)&amp;"")</f>
        <v/>
      </c>
      <c r="K187">
        <f>IF($U187="","",Settings!$C$7)</f>
        <v/>
      </c>
      <c r="L187" s="7">
        <f>IF($U187="","",SUMIFS('Per Line'!$N$2:$N$1001,'Per Line'!$A$2:$A$1001,$A187,'Per Line'!$W$2:$W$1001,0))</f>
        <v/>
      </c>
      <c r="M187" s="7">
        <f>IF($U187="","",L187*K187)</f>
        <v/>
      </c>
      <c r="N187">
        <f>IF($U187="","",Settings!$C$6)</f>
        <v/>
      </c>
      <c r="O187" s="7">
        <f>IF($U187="","",SUMIFS('Per Line'!$N$2:$N$1001,'Per Line'!$A$2:$A$1001,$A187,'Per Line'!$W$2:$W$1001,1))</f>
        <v/>
      </c>
      <c r="P187" s="7">
        <f>IF($U187="","",O187*N187)</f>
        <v/>
      </c>
      <c r="Q187" s="7">
        <f>IF($U187="","",P187+M187)</f>
        <v/>
      </c>
      <c r="R187" s="7">
        <f>IF($U187="","",S187-Q187)</f>
        <v/>
      </c>
      <c r="S187" s="7">
        <f>IF($U187="","",L187+O187)</f>
        <v/>
      </c>
      <c r="T187" s="7">
        <f>IF($U187="","",S187-Q187-G187)</f>
        <v/>
      </c>
      <c r="U187" s="13">
        <f>IF(ROWS($U$2:$U187)&lt;=MAX('Per Line'!$V$2:$V$1001),MATCH(ROWS($U$2:$U187),'Per Line'!$V$2:$V$1001,0),"")</f>
        <v/>
      </c>
    </row>
    <row r="188">
      <c r="A188">
        <f>IF($U188="","",INDEX('Per Line'!$A$2:$A$1001,$U188)&amp;"")</f>
        <v/>
      </c>
      <c r="B188" s="12" t="n"/>
      <c r="C188">
        <f>IF($U188="","",INDEX('Per Line'!$B$2:$B$1001,$U188)&amp;"")</f>
        <v/>
      </c>
      <c r="D188">
        <f>IF($U188="","",INDEX('Per Line'!$C$2:$C$1001,$U188)&amp;"")</f>
        <v/>
      </c>
      <c r="E188">
        <f>IF($U188="","",INDEX('Per Line'!$D$2:$D$1001,$U188)&amp;"")</f>
        <v/>
      </c>
      <c r="F188">
        <f>IF($U188="","",INDEX('Per Line'!$E$2:$E$1001,$U188))</f>
        <v/>
      </c>
      <c r="G188" s="7">
        <f>IF($U188="","",F188*S188/100)</f>
        <v/>
      </c>
      <c r="H188">
        <f>IF($U188="","",INDEX('Per Line'!$O$2:$O$1001,$U188)&amp;"")</f>
        <v/>
      </c>
      <c r="I188" s="11">
        <f>IF($U188="","",INDEX('Per Line'!$Q$2:$Q$1001,$U188))</f>
        <v/>
      </c>
      <c r="J188">
        <f>IF($U188="","",INDEX('Per Line'!$R$2:$R$1001,$U188)&amp;"")</f>
        <v/>
      </c>
      <c r="K188">
        <f>IF($U188="","",Settings!$C$7)</f>
        <v/>
      </c>
      <c r="L188" s="7">
        <f>IF($U188="","",SUMIFS('Per Line'!$N$2:$N$1001,'Per Line'!$A$2:$A$1001,$A188,'Per Line'!$W$2:$W$1001,0))</f>
        <v/>
      </c>
      <c r="M188" s="7">
        <f>IF($U188="","",L188*K188)</f>
        <v/>
      </c>
      <c r="N188">
        <f>IF($U188="","",Settings!$C$6)</f>
        <v/>
      </c>
      <c r="O188" s="7">
        <f>IF($U188="","",SUMIFS('Per Line'!$N$2:$N$1001,'Per Line'!$A$2:$A$1001,$A188,'Per Line'!$W$2:$W$1001,1))</f>
        <v/>
      </c>
      <c r="P188" s="7">
        <f>IF($U188="","",O188*N188)</f>
        <v/>
      </c>
      <c r="Q188" s="7">
        <f>IF($U188="","",P188+M188)</f>
        <v/>
      </c>
      <c r="R188" s="7">
        <f>IF($U188="","",S188-Q188)</f>
        <v/>
      </c>
      <c r="S188" s="7">
        <f>IF($U188="","",L188+O188)</f>
        <v/>
      </c>
      <c r="T188" s="7">
        <f>IF($U188="","",S188-Q188-G188)</f>
        <v/>
      </c>
      <c r="U188" s="13">
        <f>IF(ROWS($U$2:$U188)&lt;=MAX('Per Line'!$V$2:$V$1001),MATCH(ROWS($U$2:$U188),'Per Line'!$V$2:$V$1001,0),"")</f>
        <v/>
      </c>
    </row>
    <row r="189">
      <c r="A189">
        <f>IF($U189="","",INDEX('Per Line'!$A$2:$A$1001,$U189)&amp;"")</f>
        <v/>
      </c>
      <c r="B189" s="12" t="n"/>
      <c r="C189">
        <f>IF($U189="","",INDEX('Per Line'!$B$2:$B$1001,$U189)&amp;"")</f>
        <v/>
      </c>
      <c r="D189">
        <f>IF($U189="","",INDEX('Per Line'!$C$2:$C$1001,$U189)&amp;"")</f>
        <v/>
      </c>
      <c r="E189">
        <f>IF($U189="","",INDEX('Per Line'!$D$2:$D$1001,$U189)&amp;"")</f>
        <v/>
      </c>
      <c r="F189">
        <f>IF($U189="","",INDEX('Per Line'!$E$2:$E$1001,$U189))</f>
        <v/>
      </c>
      <c r="G189" s="7">
        <f>IF($U189="","",F189*S189/100)</f>
        <v/>
      </c>
      <c r="H189">
        <f>IF($U189="","",INDEX('Per Line'!$O$2:$O$1001,$U189)&amp;"")</f>
        <v/>
      </c>
      <c r="I189" s="11">
        <f>IF($U189="","",INDEX('Per Line'!$Q$2:$Q$1001,$U189))</f>
        <v/>
      </c>
      <c r="J189">
        <f>IF($U189="","",INDEX('Per Line'!$R$2:$R$1001,$U189)&amp;"")</f>
        <v/>
      </c>
      <c r="K189">
        <f>IF($U189="","",Settings!$C$7)</f>
        <v/>
      </c>
      <c r="L189" s="7">
        <f>IF($U189="","",SUMIFS('Per Line'!$N$2:$N$1001,'Per Line'!$A$2:$A$1001,$A189,'Per Line'!$W$2:$W$1001,0))</f>
        <v/>
      </c>
      <c r="M189" s="7">
        <f>IF($U189="","",L189*K189)</f>
        <v/>
      </c>
      <c r="N189">
        <f>IF($U189="","",Settings!$C$6)</f>
        <v/>
      </c>
      <c r="O189" s="7">
        <f>IF($U189="","",SUMIFS('Per Line'!$N$2:$N$1001,'Per Line'!$A$2:$A$1001,$A189,'Per Line'!$W$2:$W$1001,1))</f>
        <v/>
      </c>
      <c r="P189" s="7">
        <f>IF($U189="","",O189*N189)</f>
        <v/>
      </c>
      <c r="Q189" s="7">
        <f>IF($U189="","",P189+M189)</f>
        <v/>
      </c>
      <c r="R189" s="7">
        <f>IF($U189="","",S189-Q189)</f>
        <v/>
      </c>
      <c r="S189" s="7">
        <f>IF($U189="","",L189+O189)</f>
        <v/>
      </c>
      <c r="T189" s="7">
        <f>IF($U189="","",S189-Q189-G189)</f>
        <v/>
      </c>
      <c r="U189" s="13">
        <f>IF(ROWS($U$2:$U189)&lt;=MAX('Per Line'!$V$2:$V$1001),MATCH(ROWS($U$2:$U189),'Per Line'!$V$2:$V$1001,0),"")</f>
        <v/>
      </c>
    </row>
    <row r="190">
      <c r="A190">
        <f>IF($U190="","",INDEX('Per Line'!$A$2:$A$1001,$U190)&amp;"")</f>
        <v/>
      </c>
      <c r="B190" s="12" t="n"/>
      <c r="C190">
        <f>IF($U190="","",INDEX('Per Line'!$B$2:$B$1001,$U190)&amp;"")</f>
        <v/>
      </c>
      <c r="D190">
        <f>IF($U190="","",INDEX('Per Line'!$C$2:$C$1001,$U190)&amp;"")</f>
        <v/>
      </c>
      <c r="E190">
        <f>IF($U190="","",INDEX('Per Line'!$D$2:$D$1001,$U190)&amp;"")</f>
        <v/>
      </c>
      <c r="F190">
        <f>IF($U190="","",INDEX('Per Line'!$E$2:$E$1001,$U190))</f>
        <v/>
      </c>
      <c r="G190" s="7">
        <f>IF($U190="","",F190*S190/100)</f>
        <v/>
      </c>
      <c r="H190">
        <f>IF($U190="","",INDEX('Per Line'!$O$2:$O$1001,$U190)&amp;"")</f>
        <v/>
      </c>
      <c r="I190" s="11">
        <f>IF($U190="","",INDEX('Per Line'!$Q$2:$Q$1001,$U190))</f>
        <v/>
      </c>
      <c r="J190">
        <f>IF($U190="","",INDEX('Per Line'!$R$2:$R$1001,$U190)&amp;"")</f>
        <v/>
      </c>
      <c r="K190">
        <f>IF($U190="","",Settings!$C$7)</f>
        <v/>
      </c>
      <c r="L190" s="7">
        <f>IF($U190="","",SUMIFS('Per Line'!$N$2:$N$1001,'Per Line'!$A$2:$A$1001,$A190,'Per Line'!$W$2:$W$1001,0))</f>
        <v/>
      </c>
      <c r="M190" s="7">
        <f>IF($U190="","",L190*K190)</f>
        <v/>
      </c>
      <c r="N190">
        <f>IF($U190="","",Settings!$C$6)</f>
        <v/>
      </c>
      <c r="O190" s="7">
        <f>IF($U190="","",SUMIFS('Per Line'!$N$2:$N$1001,'Per Line'!$A$2:$A$1001,$A190,'Per Line'!$W$2:$W$1001,1))</f>
        <v/>
      </c>
      <c r="P190" s="7">
        <f>IF($U190="","",O190*N190)</f>
        <v/>
      </c>
      <c r="Q190" s="7">
        <f>IF($U190="","",P190+M190)</f>
        <v/>
      </c>
      <c r="R190" s="7">
        <f>IF($U190="","",S190-Q190)</f>
        <v/>
      </c>
      <c r="S190" s="7">
        <f>IF($U190="","",L190+O190)</f>
        <v/>
      </c>
      <c r="T190" s="7">
        <f>IF($U190="","",S190-Q190-G190)</f>
        <v/>
      </c>
      <c r="U190" s="13">
        <f>IF(ROWS($U$2:$U190)&lt;=MAX('Per Line'!$V$2:$V$1001),MATCH(ROWS($U$2:$U190),'Per Line'!$V$2:$V$1001,0),"")</f>
        <v/>
      </c>
    </row>
    <row r="191">
      <c r="A191">
        <f>IF($U191="","",INDEX('Per Line'!$A$2:$A$1001,$U191)&amp;"")</f>
        <v/>
      </c>
      <c r="B191" s="12" t="n"/>
      <c r="C191">
        <f>IF($U191="","",INDEX('Per Line'!$B$2:$B$1001,$U191)&amp;"")</f>
        <v/>
      </c>
      <c r="D191">
        <f>IF($U191="","",INDEX('Per Line'!$C$2:$C$1001,$U191)&amp;"")</f>
        <v/>
      </c>
      <c r="E191">
        <f>IF($U191="","",INDEX('Per Line'!$D$2:$D$1001,$U191)&amp;"")</f>
        <v/>
      </c>
      <c r="F191">
        <f>IF($U191="","",INDEX('Per Line'!$E$2:$E$1001,$U191))</f>
        <v/>
      </c>
      <c r="G191" s="7">
        <f>IF($U191="","",F191*S191/100)</f>
        <v/>
      </c>
      <c r="H191">
        <f>IF($U191="","",INDEX('Per Line'!$O$2:$O$1001,$U191)&amp;"")</f>
        <v/>
      </c>
      <c r="I191" s="11">
        <f>IF($U191="","",INDEX('Per Line'!$Q$2:$Q$1001,$U191))</f>
        <v/>
      </c>
      <c r="J191">
        <f>IF($U191="","",INDEX('Per Line'!$R$2:$R$1001,$U191)&amp;"")</f>
        <v/>
      </c>
      <c r="K191">
        <f>IF($U191="","",Settings!$C$7)</f>
        <v/>
      </c>
      <c r="L191" s="7">
        <f>IF($U191="","",SUMIFS('Per Line'!$N$2:$N$1001,'Per Line'!$A$2:$A$1001,$A191,'Per Line'!$W$2:$W$1001,0))</f>
        <v/>
      </c>
      <c r="M191" s="7">
        <f>IF($U191="","",L191*K191)</f>
        <v/>
      </c>
      <c r="N191">
        <f>IF($U191="","",Settings!$C$6)</f>
        <v/>
      </c>
      <c r="O191" s="7">
        <f>IF($U191="","",SUMIFS('Per Line'!$N$2:$N$1001,'Per Line'!$A$2:$A$1001,$A191,'Per Line'!$W$2:$W$1001,1))</f>
        <v/>
      </c>
      <c r="P191" s="7">
        <f>IF($U191="","",O191*N191)</f>
        <v/>
      </c>
      <c r="Q191" s="7">
        <f>IF($U191="","",P191+M191)</f>
        <v/>
      </c>
      <c r="R191" s="7">
        <f>IF($U191="","",S191-Q191)</f>
        <v/>
      </c>
      <c r="S191" s="7">
        <f>IF($U191="","",L191+O191)</f>
        <v/>
      </c>
      <c r="T191" s="7">
        <f>IF($U191="","",S191-Q191-G191)</f>
        <v/>
      </c>
      <c r="U191" s="13">
        <f>IF(ROWS($U$2:$U191)&lt;=MAX('Per Line'!$V$2:$V$1001),MATCH(ROWS($U$2:$U191),'Per Line'!$V$2:$V$1001,0),"")</f>
        <v/>
      </c>
    </row>
    <row r="192">
      <c r="A192">
        <f>IF($U192="","",INDEX('Per Line'!$A$2:$A$1001,$U192)&amp;"")</f>
        <v/>
      </c>
      <c r="B192" s="12" t="n"/>
      <c r="C192">
        <f>IF($U192="","",INDEX('Per Line'!$B$2:$B$1001,$U192)&amp;"")</f>
        <v/>
      </c>
      <c r="D192">
        <f>IF($U192="","",INDEX('Per Line'!$C$2:$C$1001,$U192)&amp;"")</f>
        <v/>
      </c>
      <c r="E192">
        <f>IF($U192="","",INDEX('Per Line'!$D$2:$D$1001,$U192)&amp;"")</f>
        <v/>
      </c>
      <c r="F192">
        <f>IF($U192="","",INDEX('Per Line'!$E$2:$E$1001,$U192))</f>
        <v/>
      </c>
      <c r="G192" s="7">
        <f>IF($U192="","",F192*S192/100)</f>
        <v/>
      </c>
      <c r="H192">
        <f>IF($U192="","",INDEX('Per Line'!$O$2:$O$1001,$U192)&amp;"")</f>
        <v/>
      </c>
      <c r="I192" s="11">
        <f>IF($U192="","",INDEX('Per Line'!$Q$2:$Q$1001,$U192))</f>
        <v/>
      </c>
      <c r="J192">
        <f>IF($U192="","",INDEX('Per Line'!$R$2:$R$1001,$U192)&amp;"")</f>
        <v/>
      </c>
      <c r="K192">
        <f>IF($U192="","",Settings!$C$7)</f>
        <v/>
      </c>
      <c r="L192" s="7">
        <f>IF($U192="","",SUMIFS('Per Line'!$N$2:$N$1001,'Per Line'!$A$2:$A$1001,$A192,'Per Line'!$W$2:$W$1001,0))</f>
        <v/>
      </c>
      <c r="M192" s="7">
        <f>IF($U192="","",L192*K192)</f>
        <v/>
      </c>
      <c r="N192">
        <f>IF($U192="","",Settings!$C$6)</f>
        <v/>
      </c>
      <c r="O192" s="7">
        <f>IF($U192="","",SUMIFS('Per Line'!$N$2:$N$1001,'Per Line'!$A$2:$A$1001,$A192,'Per Line'!$W$2:$W$1001,1))</f>
        <v/>
      </c>
      <c r="P192" s="7">
        <f>IF($U192="","",O192*N192)</f>
        <v/>
      </c>
      <c r="Q192" s="7">
        <f>IF($U192="","",P192+M192)</f>
        <v/>
      </c>
      <c r="R192" s="7">
        <f>IF($U192="","",S192-Q192)</f>
        <v/>
      </c>
      <c r="S192" s="7">
        <f>IF($U192="","",L192+O192)</f>
        <v/>
      </c>
      <c r="T192" s="7">
        <f>IF($U192="","",S192-Q192-G192)</f>
        <v/>
      </c>
      <c r="U192" s="13">
        <f>IF(ROWS($U$2:$U192)&lt;=MAX('Per Line'!$V$2:$V$1001),MATCH(ROWS($U$2:$U192),'Per Line'!$V$2:$V$1001,0),"")</f>
        <v/>
      </c>
    </row>
    <row r="193">
      <c r="A193">
        <f>IF($U193="","",INDEX('Per Line'!$A$2:$A$1001,$U193)&amp;"")</f>
        <v/>
      </c>
      <c r="B193" s="12" t="n"/>
      <c r="C193">
        <f>IF($U193="","",INDEX('Per Line'!$B$2:$B$1001,$U193)&amp;"")</f>
        <v/>
      </c>
      <c r="D193">
        <f>IF($U193="","",INDEX('Per Line'!$C$2:$C$1001,$U193)&amp;"")</f>
        <v/>
      </c>
      <c r="E193">
        <f>IF($U193="","",INDEX('Per Line'!$D$2:$D$1001,$U193)&amp;"")</f>
        <v/>
      </c>
      <c r="F193">
        <f>IF($U193="","",INDEX('Per Line'!$E$2:$E$1001,$U193))</f>
        <v/>
      </c>
      <c r="G193" s="7">
        <f>IF($U193="","",F193*S193/100)</f>
        <v/>
      </c>
      <c r="H193">
        <f>IF($U193="","",INDEX('Per Line'!$O$2:$O$1001,$U193)&amp;"")</f>
        <v/>
      </c>
      <c r="I193" s="11">
        <f>IF($U193="","",INDEX('Per Line'!$Q$2:$Q$1001,$U193))</f>
        <v/>
      </c>
      <c r="J193">
        <f>IF($U193="","",INDEX('Per Line'!$R$2:$R$1001,$U193)&amp;"")</f>
        <v/>
      </c>
      <c r="K193">
        <f>IF($U193="","",Settings!$C$7)</f>
        <v/>
      </c>
      <c r="L193" s="7">
        <f>IF($U193="","",SUMIFS('Per Line'!$N$2:$N$1001,'Per Line'!$A$2:$A$1001,$A193,'Per Line'!$W$2:$W$1001,0))</f>
        <v/>
      </c>
      <c r="M193" s="7">
        <f>IF($U193="","",L193*K193)</f>
        <v/>
      </c>
      <c r="N193">
        <f>IF($U193="","",Settings!$C$6)</f>
        <v/>
      </c>
      <c r="O193" s="7">
        <f>IF($U193="","",SUMIFS('Per Line'!$N$2:$N$1001,'Per Line'!$A$2:$A$1001,$A193,'Per Line'!$W$2:$W$1001,1))</f>
        <v/>
      </c>
      <c r="P193" s="7">
        <f>IF($U193="","",O193*N193)</f>
        <v/>
      </c>
      <c r="Q193" s="7">
        <f>IF($U193="","",P193+M193)</f>
        <v/>
      </c>
      <c r="R193" s="7">
        <f>IF($U193="","",S193-Q193)</f>
        <v/>
      </c>
      <c r="S193" s="7">
        <f>IF($U193="","",L193+O193)</f>
        <v/>
      </c>
      <c r="T193" s="7">
        <f>IF($U193="","",S193-Q193-G193)</f>
        <v/>
      </c>
      <c r="U193" s="13">
        <f>IF(ROWS($U$2:$U193)&lt;=MAX('Per Line'!$V$2:$V$1001),MATCH(ROWS($U$2:$U193),'Per Line'!$V$2:$V$1001,0),"")</f>
        <v/>
      </c>
    </row>
    <row r="194">
      <c r="A194">
        <f>IF($U194="","",INDEX('Per Line'!$A$2:$A$1001,$U194)&amp;"")</f>
        <v/>
      </c>
      <c r="B194" s="12" t="n"/>
      <c r="C194">
        <f>IF($U194="","",INDEX('Per Line'!$B$2:$B$1001,$U194)&amp;"")</f>
        <v/>
      </c>
      <c r="D194">
        <f>IF($U194="","",INDEX('Per Line'!$C$2:$C$1001,$U194)&amp;"")</f>
        <v/>
      </c>
      <c r="E194">
        <f>IF($U194="","",INDEX('Per Line'!$D$2:$D$1001,$U194)&amp;"")</f>
        <v/>
      </c>
      <c r="F194">
        <f>IF($U194="","",INDEX('Per Line'!$E$2:$E$1001,$U194))</f>
        <v/>
      </c>
      <c r="G194" s="7">
        <f>IF($U194="","",F194*S194/100)</f>
        <v/>
      </c>
      <c r="H194">
        <f>IF($U194="","",INDEX('Per Line'!$O$2:$O$1001,$U194)&amp;"")</f>
        <v/>
      </c>
      <c r="I194" s="11">
        <f>IF($U194="","",INDEX('Per Line'!$Q$2:$Q$1001,$U194))</f>
        <v/>
      </c>
      <c r="J194">
        <f>IF($U194="","",INDEX('Per Line'!$R$2:$R$1001,$U194)&amp;"")</f>
        <v/>
      </c>
      <c r="K194">
        <f>IF($U194="","",Settings!$C$7)</f>
        <v/>
      </c>
      <c r="L194" s="7">
        <f>IF($U194="","",SUMIFS('Per Line'!$N$2:$N$1001,'Per Line'!$A$2:$A$1001,$A194,'Per Line'!$W$2:$W$1001,0))</f>
        <v/>
      </c>
      <c r="M194" s="7">
        <f>IF($U194="","",L194*K194)</f>
        <v/>
      </c>
      <c r="N194">
        <f>IF($U194="","",Settings!$C$6)</f>
        <v/>
      </c>
      <c r="O194" s="7">
        <f>IF($U194="","",SUMIFS('Per Line'!$N$2:$N$1001,'Per Line'!$A$2:$A$1001,$A194,'Per Line'!$W$2:$W$1001,1))</f>
        <v/>
      </c>
      <c r="P194" s="7">
        <f>IF($U194="","",O194*N194)</f>
        <v/>
      </c>
      <c r="Q194" s="7">
        <f>IF($U194="","",P194+M194)</f>
        <v/>
      </c>
      <c r="R194" s="7">
        <f>IF($U194="","",S194-Q194)</f>
        <v/>
      </c>
      <c r="S194" s="7">
        <f>IF($U194="","",L194+O194)</f>
        <v/>
      </c>
      <c r="T194" s="7">
        <f>IF($U194="","",S194-Q194-G194)</f>
        <v/>
      </c>
      <c r="U194" s="13">
        <f>IF(ROWS($U$2:$U194)&lt;=MAX('Per Line'!$V$2:$V$1001),MATCH(ROWS($U$2:$U194),'Per Line'!$V$2:$V$1001,0),"")</f>
        <v/>
      </c>
    </row>
    <row r="195">
      <c r="A195">
        <f>IF($U195="","",INDEX('Per Line'!$A$2:$A$1001,$U195)&amp;"")</f>
        <v/>
      </c>
      <c r="B195" s="12" t="n"/>
      <c r="C195">
        <f>IF($U195="","",INDEX('Per Line'!$B$2:$B$1001,$U195)&amp;"")</f>
        <v/>
      </c>
      <c r="D195">
        <f>IF($U195="","",INDEX('Per Line'!$C$2:$C$1001,$U195)&amp;"")</f>
        <v/>
      </c>
      <c r="E195">
        <f>IF($U195="","",INDEX('Per Line'!$D$2:$D$1001,$U195)&amp;"")</f>
        <v/>
      </c>
      <c r="F195">
        <f>IF($U195="","",INDEX('Per Line'!$E$2:$E$1001,$U195))</f>
        <v/>
      </c>
      <c r="G195" s="7">
        <f>IF($U195="","",F195*S195/100)</f>
        <v/>
      </c>
      <c r="H195">
        <f>IF($U195="","",INDEX('Per Line'!$O$2:$O$1001,$U195)&amp;"")</f>
        <v/>
      </c>
      <c r="I195" s="11">
        <f>IF($U195="","",INDEX('Per Line'!$Q$2:$Q$1001,$U195))</f>
        <v/>
      </c>
      <c r="J195">
        <f>IF($U195="","",INDEX('Per Line'!$R$2:$R$1001,$U195)&amp;"")</f>
        <v/>
      </c>
      <c r="K195">
        <f>IF($U195="","",Settings!$C$7)</f>
        <v/>
      </c>
      <c r="L195" s="7">
        <f>IF($U195="","",SUMIFS('Per Line'!$N$2:$N$1001,'Per Line'!$A$2:$A$1001,$A195,'Per Line'!$W$2:$W$1001,0))</f>
        <v/>
      </c>
      <c r="M195" s="7">
        <f>IF($U195="","",L195*K195)</f>
        <v/>
      </c>
      <c r="N195">
        <f>IF($U195="","",Settings!$C$6)</f>
        <v/>
      </c>
      <c r="O195" s="7">
        <f>IF($U195="","",SUMIFS('Per Line'!$N$2:$N$1001,'Per Line'!$A$2:$A$1001,$A195,'Per Line'!$W$2:$W$1001,1))</f>
        <v/>
      </c>
      <c r="P195" s="7">
        <f>IF($U195="","",O195*N195)</f>
        <v/>
      </c>
      <c r="Q195" s="7">
        <f>IF($U195="","",P195+M195)</f>
        <v/>
      </c>
      <c r="R195" s="7">
        <f>IF($U195="","",S195-Q195)</f>
        <v/>
      </c>
      <c r="S195" s="7">
        <f>IF($U195="","",L195+O195)</f>
        <v/>
      </c>
      <c r="T195" s="7">
        <f>IF($U195="","",S195-Q195-G195)</f>
        <v/>
      </c>
      <c r="U195" s="13">
        <f>IF(ROWS($U$2:$U195)&lt;=MAX('Per Line'!$V$2:$V$1001),MATCH(ROWS($U$2:$U195),'Per Line'!$V$2:$V$1001,0),"")</f>
        <v/>
      </c>
    </row>
    <row r="196">
      <c r="A196">
        <f>IF($U196="","",INDEX('Per Line'!$A$2:$A$1001,$U196)&amp;"")</f>
        <v/>
      </c>
      <c r="B196" s="12" t="n"/>
      <c r="C196">
        <f>IF($U196="","",INDEX('Per Line'!$B$2:$B$1001,$U196)&amp;"")</f>
        <v/>
      </c>
      <c r="D196">
        <f>IF($U196="","",INDEX('Per Line'!$C$2:$C$1001,$U196)&amp;"")</f>
        <v/>
      </c>
      <c r="E196">
        <f>IF($U196="","",INDEX('Per Line'!$D$2:$D$1001,$U196)&amp;"")</f>
        <v/>
      </c>
      <c r="F196">
        <f>IF($U196="","",INDEX('Per Line'!$E$2:$E$1001,$U196))</f>
        <v/>
      </c>
      <c r="G196" s="7">
        <f>IF($U196="","",F196*S196/100)</f>
        <v/>
      </c>
      <c r="H196">
        <f>IF($U196="","",INDEX('Per Line'!$O$2:$O$1001,$U196)&amp;"")</f>
        <v/>
      </c>
      <c r="I196" s="11">
        <f>IF($U196="","",INDEX('Per Line'!$Q$2:$Q$1001,$U196))</f>
        <v/>
      </c>
      <c r="J196">
        <f>IF($U196="","",INDEX('Per Line'!$R$2:$R$1001,$U196)&amp;"")</f>
        <v/>
      </c>
      <c r="K196">
        <f>IF($U196="","",Settings!$C$7)</f>
        <v/>
      </c>
      <c r="L196" s="7">
        <f>IF($U196="","",SUMIFS('Per Line'!$N$2:$N$1001,'Per Line'!$A$2:$A$1001,$A196,'Per Line'!$W$2:$W$1001,0))</f>
        <v/>
      </c>
      <c r="M196" s="7">
        <f>IF($U196="","",L196*K196)</f>
        <v/>
      </c>
      <c r="N196">
        <f>IF($U196="","",Settings!$C$6)</f>
        <v/>
      </c>
      <c r="O196" s="7">
        <f>IF($U196="","",SUMIFS('Per Line'!$N$2:$N$1001,'Per Line'!$A$2:$A$1001,$A196,'Per Line'!$W$2:$W$1001,1))</f>
        <v/>
      </c>
      <c r="P196" s="7">
        <f>IF($U196="","",O196*N196)</f>
        <v/>
      </c>
      <c r="Q196" s="7">
        <f>IF($U196="","",P196+M196)</f>
        <v/>
      </c>
      <c r="R196" s="7">
        <f>IF($U196="","",S196-Q196)</f>
        <v/>
      </c>
      <c r="S196" s="7">
        <f>IF($U196="","",L196+O196)</f>
        <v/>
      </c>
      <c r="T196" s="7">
        <f>IF($U196="","",S196-Q196-G196)</f>
        <v/>
      </c>
      <c r="U196" s="13">
        <f>IF(ROWS($U$2:$U196)&lt;=MAX('Per Line'!$V$2:$V$1001),MATCH(ROWS($U$2:$U196),'Per Line'!$V$2:$V$1001,0),"")</f>
        <v/>
      </c>
    </row>
    <row r="197">
      <c r="A197">
        <f>IF($U197="","",INDEX('Per Line'!$A$2:$A$1001,$U197)&amp;"")</f>
        <v/>
      </c>
      <c r="B197" s="12" t="n"/>
      <c r="C197">
        <f>IF($U197="","",INDEX('Per Line'!$B$2:$B$1001,$U197)&amp;"")</f>
        <v/>
      </c>
      <c r="D197">
        <f>IF($U197="","",INDEX('Per Line'!$C$2:$C$1001,$U197)&amp;"")</f>
        <v/>
      </c>
      <c r="E197">
        <f>IF($U197="","",INDEX('Per Line'!$D$2:$D$1001,$U197)&amp;"")</f>
        <v/>
      </c>
      <c r="F197">
        <f>IF($U197="","",INDEX('Per Line'!$E$2:$E$1001,$U197))</f>
        <v/>
      </c>
      <c r="G197" s="7">
        <f>IF($U197="","",F197*S197/100)</f>
        <v/>
      </c>
      <c r="H197">
        <f>IF($U197="","",INDEX('Per Line'!$O$2:$O$1001,$U197)&amp;"")</f>
        <v/>
      </c>
      <c r="I197" s="11">
        <f>IF($U197="","",INDEX('Per Line'!$Q$2:$Q$1001,$U197))</f>
        <v/>
      </c>
      <c r="J197">
        <f>IF($U197="","",INDEX('Per Line'!$R$2:$R$1001,$U197)&amp;"")</f>
        <v/>
      </c>
      <c r="K197">
        <f>IF($U197="","",Settings!$C$7)</f>
        <v/>
      </c>
      <c r="L197" s="7">
        <f>IF($U197="","",SUMIFS('Per Line'!$N$2:$N$1001,'Per Line'!$A$2:$A$1001,$A197,'Per Line'!$W$2:$W$1001,0))</f>
        <v/>
      </c>
      <c r="M197" s="7">
        <f>IF($U197="","",L197*K197)</f>
        <v/>
      </c>
      <c r="N197">
        <f>IF($U197="","",Settings!$C$6)</f>
        <v/>
      </c>
      <c r="O197" s="7">
        <f>IF($U197="","",SUMIFS('Per Line'!$N$2:$N$1001,'Per Line'!$A$2:$A$1001,$A197,'Per Line'!$W$2:$W$1001,1))</f>
        <v/>
      </c>
      <c r="P197" s="7">
        <f>IF($U197="","",O197*N197)</f>
        <v/>
      </c>
      <c r="Q197" s="7">
        <f>IF($U197="","",P197+M197)</f>
        <v/>
      </c>
      <c r="R197" s="7">
        <f>IF($U197="","",S197-Q197)</f>
        <v/>
      </c>
      <c r="S197" s="7">
        <f>IF($U197="","",L197+O197)</f>
        <v/>
      </c>
      <c r="T197" s="7">
        <f>IF($U197="","",S197-Q197-G197)</f>
        <v/>
      </c>
      <c r="U197" s="13">
        <f>IF(ROWS($U$2:$U197)&lt;=MAX('Per Line'!$V$2:$V$1001),MATCH(ROWS($U$2:$U197),'Per Line'!$V$2:$V$1001,0),"")</f>
        <v/>
      </c>
    </row>
    <row r="198">
      <c r="A198">
        <f>IF($U198="","",INDEX('Per Line'!$A$2:$A$1001,$U198)&amp;"")</f>
        <v/>
      </c>
      <c r="B198" s="12" t="n"/>
      <c r="C198">
        <f>IF($U198="","",INDEX('Per Line'!$B$2:$B$1001,$U198)&amp;"")</f>
        <v/>
      </c>
      <c r="D198">
        <f>IF($U198="","",INDEX('Per Line'!$C$2:$C$1001,$U198)&amp;"")</f>
        <v/>
      </c>
      <c r="E198">
        <f>IF($U198="","",INDEX('Per Line'!$D$2:$D$1001,$U198)&amp;"")</f>
        <v/>
      </c>
      <c r="F198">
        <f>IF($U198="","",INDEX('Per Line'!$E$2:$E$1001,$U198))</f>
        <v/>
      </c>
      <c r="G198" s="7">
        <f>IF($U198="","",F198*S198/100)</f>
        <v/>
      </c>
      <c r="H198">
        <f>IF($U198="","",INDEX('Per Line'!$O$2:$O$1001,$U198)&amp;"")</f>
        <v/>
      </c>
      <c r="I198" s="11">
        <f>IF($U198="","",INDEX('Per Line'!$Q$2:$Q$1001,$U198))</f>
        <v/>
      </c>
      <c r="J198">
        <f>IF($U198="","",INDEX('Per Line'!$R$2:$R$1001,$U198)&amp;"")</f>
        <v/>
      </c>
      <c r="K198">
        <f>IF($U198="","",Settings!$C$7)</f>
        <v/>
      </c>
      <c r="L198" s="7">
        <f>IF($U198="","",SUMIFS('Per Line'!$N$2:$N$1001,'Per Line'!$A$2:$A$1001,$A198,'Per Line'!$W$2:$W$1001,0))</f>
        <v/>
      </c>
      <c r="M198" s="7">
        <f>IF($U198="","",L198*K198)</f>
        <v/>
      </c>
      <c r="N198">
        <f>IF($U198="","",Settings!$C$6)</f>
        <v/>
      </c>
      <c r="O198" s="7">
        <f>IF($U198="","",SUMIFS('Per Line'!$N$2:$N$1001,'Per Line'!$A$2:$A$1001,$A198,'Per Line'!$W$2:$W$1001,1))</f>
        <v/>
      </c>
      <c r="P198" s="7">
        <f>IF($U198="","",O198*N198)</f>
        <v/>
      </c>
      <c r="Q198" s="7">
        <f>IF($U198="","",P198+M198)</f>
        <v/>
      </c>
      <c r="R198" s="7">
        <f>IF($U198="","",S198-Q198)</f>
        <v/>
      </c>
      <c r="S198" s="7">
        <f>IF($U198="","",L198+O198)</f>
        <v/>
      </c>
      <c r="T198" s="7">
        <f>IF($U198="","",S198-Q198-G198)</f>
        <v/>
      </c>
      <c r="U198" s="13">
        <f>IF(ROWS($U$2:$U198)&lt;=MAX('Per Line'!$V$2:$V$1001),MATCH(ROWS($U$2:$U198),'Per Line'!$V$2:$V$1001,0),"")</f>
        <v/>
      </c>
    </row>
    <row r="199">
      <c r="A199">
        <f>IF($U199="","",INDEX('Per Line'!$A$2:$A$1001,$U199)&amp;"")</f>
        <v/>
      </c>
      <c r="B199" s="12" t="n"/>
      <c r="C199">
        <f>IF($U199="","",INDEX('Per Line'!$B$2:$B$1001,$U199)&amp;"")</f>
        <v/>
      </c>
      <c r="D199">
        <f>IF($U199="","",INDEX('Per Line'!$C$2:$C$1001,$U199)&amp;"")</f>
        <v/>
      </c>
      <c r="E199">
        <f>IF($U199="","",INDEX('Per Line'!$D$2:$D$1001,$U199)&amp;"")</f>
        <v/>
      </c>
      <c r="F199">
        <f>IF($U199="","",INDEX('Per Line'!$E$2:$E$1001,$U199))</f>
        <v/>
      </c>
      <c r="G199" s="7">
        <f>IF($U199="","",F199*S199/100)</f>
        <v/>
      </c>
      <c r="H199">
        <f>IF($U199="","",INDEX('Per Line'!$O$2:$O$1001,$U199)&amp;"")</f>
        <v/>
      </c>
      <c r="I199" s="11">
        <f>IF($U199="","",INDEX('Per Line'!$Q$2:$Q$1001,$U199))</f>
        <v/>
      </c>
      <c r="J199">
        <f>IF($U199="","",INDEX('Per Line'!$R$2:$R$1001,$U199)&amp;"")</f>
        <v/>
      </c>
      <c r="K199">
        <f>IF($U199="","",Settings!$C$7)</f>
        <v/>
      </c>
      <c r="L199" s="7">
        <f>IF($U199="","",SUMIFS('Per Line'!$N$2:$N$1001,'Per Line'!$A$2:$A$1001,$A199,'Per Line'!$W$2:$W$1001,0))</f>
        <v/>
      </c>
      <c r="M199" s="7">
        <f>IF($U199="","",L199*K199)</f>
        <v/>
      </c>
      <c r="N199">
        <f>IF($U199="","",Settings!$C$6)</f>
        <v/>
      </c>
      <c r="O199" s="7">
        <f>IF($U199="","",SUMIFS('Per Line'!$N$2:$N$1001,'Per Line'!$A$2:$A$1001,$A199,'Per Line'!$W$2:$W$1001,1))</f>
        <v/>
      </c>
      <c r="P199" s="7">
        <f>IF($U199="","",O199*N199)</f>
        <v/>
      </c>
      <c r="Q199" s="7">
        <f>IF($U199="","",P199+M199)</f>
        <v/>
      </c>
      <c r="R199" s="7">
        <f>IF($U199="","",S199-Q199)</f>
        <v/>
      </c>
      <c r="S199" s="7">
        <f>IF($U199="","",L199+O199)</f>
        <v/>
      </c>
      <c r="T199" s="7">
        <f>IF($U199="","",S199-Q199-G199)</f>
        <v/>
      </c>
      <c r="U199" s="13">
        <f>IF(ROWS($U$2:$U199)&lt;=MAX('Per Line'!$V$2:$V$1001),MATCH(ROWS($U$2:$U199),'Per Line'!$V$2:$V$1001,0),"")</f>
        <v/>
      </c>
    </row>
    <row r="200">
      <c r="A200">
        <f>IF($U200="","",INDEX('Per Line'!$A$2:$A$1001,$U200)&amp;"")</f>
        <v/>
      </c>
      <c r="B200" s="12" t="n"/>
      <c r="C200">
        <f>IF($U200="","",INDEX('Per Line'!$B$2:$B$1001,$U200)&amp;"")</f>
        <v/>
      </c>
      <c r="D200">
        <f>IF($U200="","",INDEX('Per Line'!$C$2:$C$1001,$U200)&amp;"")</f>
        <v/>
      </c>
      <c r="E200">
        <f>IF($U200="","",INDEX('Per Line'!$D$2:$D$1001,$U200)&amp;"")</f>
        <v/>
      </c>
      <c r="F200">
        <f>IF($U200="","",INDEX('Per Line'!$E$2:$E$1001,$U200))</f>
        <v/>
      </c>
      <c r="G200" s="7">
        <f>IF($U200="","",F200*S200/100)</f>
        <v/>
      </c>
      <c r="H200">
        <f>IF($U200="","",INDEX('Per Line'!$O$2:$O$1001,$U200)&amp;"")</f>
        <v/>
      </c>
      <c r="I200" s="11">
        <f>IF($U200="","",INDEX('Per Line'!$Q$2:$Q$1001,$U200))</f>
        <v/>
      </c>
      <c r="J200">
        <f>IF($U200="","",INDEX('Per Line'!$R$2:$R$1001,$U200)&amp;"")</f>
        <v/>
      </c>
      <c r="K200">
        <f>IF($U200="","",Settings!$C$7)</f>
        <v/>
      </c>
      <c r="L200" s="7">
        <f>IF($U200="","",SUMIFS('Per Line'!$N$2:$N$1001,'Per Line'!$A$2:$A$1001,$A200,'Per Line'!$W$2:$W$1001,0))</f>
        <v/>
      </c>
      <c r="M200" s="7">
        <f>IF($U200="","",L200*K200)</f>
        <v/>
      </c>
      <c r="N200">
        <f>IF($U200="","",Settings!$C$6)</f>
        <v/>
      </c>
      <c r="O200" s="7">
        <f>IF($U200="","",SUMIFS('Per Line'!$N$2:$N$1001,'Per Line'!$A$2:$A$1001,$A200,'Per Line'!$W$2:$W$1001,1))</f>
        <v/>
      </c>
      <c r="P200" s="7">
        <f>IF($U200="","",O200*N200)</f>
        <v/>
      </c>
      <c r="Q200" s="7">
        <f>IF($U200="","",P200+M200)</f>
        <v/>
      </c>
      <c r="R200" s="7">
        <f>IF($U200="","",S200-Q200)</f>
        <v/>
      </c>
      <c r="S200" s="7">
        <f>IF($U200="","",L200+O200)</f>
        <v/>
      </c>
      <c r="T200" s="7">
        <f>IF($U200="","",S200-Q200-G200)</f>
        <v/>
      </c>
      <c r="U200" s="13">
        <f>IF(ROWS($U$2:$U200)&lt;=MAX('Per Line'!$V$2:$V$1001),MATCH(ROWS($U$2:$U200),'Per Line'!$V$2:$V$1001,0),"")</f>
        <v/>
      </c>
    </row>
    <row r="201">
      <c r="A201">
        <f>IF($U201="","",INDEX('Per Line'!$A$2:$A$1001,$U201)&amp;"")</f>
        <v/>
      </c>
      <c r="B201" s="12" t="n"/>
      <c r="C201">
        <f>IF($U201="","",INDEX('Per Line'!$B$2:$B$1001,$U201)&amp;"")</f>
        <v/>
      </c>
      <c r="D201">
        <f>IF($U201="","",INDEX('Per Line'!$C$2:$C$1001,$U201)&amp;"")</f>
        <v/>
      </c>
      <c r="E201">
        <f>IF($U201="","",INDEX('Per Line'!$D$2:$D$1001,$U201)&amp;"")</f>
        <v/>
      </c>
      <c r="F201">
        <f>IF($U201="","",INDEX('Per Line'!$E$2:$E$1001,$U201))</f>
        <v/>
      </c>
      <c r="G201" s="7">
        <f>IF($U201="","",F201*S201/100)</f>
        <v/>
      </c>
      <c r="H201">
        <f>IF($U201="","",INDEX('Per Line'!$O$2:$O$1001,$U201)&amp;"")</f>
        <v/>
      </c>
      <c r="I201" s="11">
        <f>IF($U201="","",INDEX('Per Line'!$Q$2:$Q$1001,$U201))</f>
        <v/>
      </c>
      <c r="J201">
        <f>IF($U201="","",INDEX('Per Line'!$R$2:$R$1001,$U201)&amp;"")</f>
        <v/>
      </c>
      <c r="K201">
        <f>IF($U201="","",Settings!$C$7)</f>
        <v/>
      </c>
      <c r="L201" s="7">
        <f>IF($U201="","",SUMIFS('Per Line'!$N$2:$N$1001,'Per Line'!$A$2:$A$1001,$A201,'Per Line'!$W$2:$W$1001,0))</f>
        <v/>
      </c>
      <c r="M201" s="7">
        <f>IF($U201="","",L201*K201)</f>
        <v/>
      </c>
      <c r="N201">
        <f>IF($U201="","",Settings!$C$6)</f>
        <v/>
      </c>
      <c r="O201" s="7">
        <f>IF($U201="","",SUMIFS('Per Line'!$N$2:$N$1001,'Per Line'!$A$2:$A$1001,$A201,'Per Line'!$W$2:$W$1001,1))</f>
        <v/>
      </c>
      <c r="P201" s="7">
        <f>IF($U201="","",O201*N201)</f>
        <v/>
      </c>
      <c r="Q201" s="7">
        <f>IF($U201="","",P201+M201)</f>
        <v/>
      </c>
      <c r="R201" s="7">
        <f>IF($U201="","",S201-Q201)</f>
        <v/>
      </c>
      <c r="S201" s="7">
        <f>IF($U201="","",L201+O201)</f>
        <v/>
      </c>
      <c r="T201" s="7">
        <f>IF($U201="","",S201-Q201-G201)</f>
        <v/>
      </c>
      <c r="U201" s="13">
        <f>IF(ROWS($U$2:$U201)&lt;=MAX('Per Line'!$V$2:$V$1001),MATCH(ROWS($U$2:$U201),'Per Line'!$V$2:$V$1001,0),"")</f>
        <v/>
      </c>
    </row>
    <row r="202">
      <c r="A202">
        <f>IF($U202="","",INDEX('Per Line'!$A$2:$A$1001,$U202)&amp;"")</f>
        <v/>
      </c>
      <c r="B202" s="12" t="n"/>
      <c r="C202">
        <f>IF($U202="","",INDEX('Per Line'!$B$2:$B$1001,$U202)&amp;"")</f>
        <v/>
      </c>
      <c r="D202">
        <f>IF($U202="","",INDEX('Per Line'!$C$2:$C$1001,$U202)&amp;"")</f>
        <v/>
      </c>
      <c r="E202">
        <f>IF($U202="","",INDEX('Per Line'!$D$2:$D$1001,$U202)&amp;"")</f>
        <v/>
      </c>
      <c r="F202">
        <f>IF($U202="","",INDEX('Per Line'!$E$2:$E$1001,$U202))</f>
        <v/>
      </c>
      <c r="G202" s="7">
        <f>IF($U202="","",F202*S202/100)</f>
        <v/>
      </c>
      <c r="H202">
        <f>IF($U202="","",INDEX('Per Line'!$O$2:$O$1001,$U202)&amp;"")</f>
        <v/>
      </c>
      <c r="I202" s="11">
        <f>IF($U202="","",INDEX('Per Line'!$Q$2:$Q$1001,$U202))</f>
        <v/>
      </c>
      <c r="J202">
        <f>IF($U202="","",INDEX('Per Line'!$R$2:$R$1001,$U202)&amp;"")</f>
        <v/>
      </c>
      <c r="K202">
        <f>IF($U202="","",Settings!$C$7)</f>
        <v/>
      </c>
      <c r="L202" s="7">
        <f>IF($U202="","",SUMIFS('Per Line'!$N$2:$N$1001,'Per Line'!$A$2:$A$1001,$A202,'Per Line'!$W$2:$W$1001,0))</f>
        <v/>
      </c>
      <c r="M202" s="7">
        <f>IF($U202="","",L202*K202)</f>
        <v/>
      </c>
      <c r="N202">
        <f>IF($U202="","",Settings!$C$6)</f>
        <v/>
      </c>
      <c r="O202" s="7">
        <f>IF($U202="","",SUMIFS('Per Line'!$N$2:$N$1001,'Per Line'!$A$2:$A$1001,$A202,'Per Line'!$W$2:$W$1001,1))</f>
        <v/>
      </c>
      <c r="P202" s="7">
        <f>IF($U202="","",O202*N202)</f>
        <v/>
      </c>
      <c r="Q202" s="7">
        <f>IF($U202="","",P202+M202)</f>
        <v/>
      </c>
      <c r="R202" s="7">
        <f>IF($U202="","",S202-Q202)</f>
        <v/>
      </c>
      <c r="S202" s="7">
        <f>IF($U202="","",L202+O202)</f>
        <v/>
      </c>
      <c r="T202" s="7">
        <f>IF($U202="","",S202-Q202-G202)</f>
        <v/>
      </c>
      <c r="U202" s="13">
        <f>IF(ROWS($U$2:$U202)&lt;=MAX('Per Line'!$V$2:$V$1001),MATCH(ROWS($U$2:$U202),'Per Line'!$V$2:$V$1001,0),"")</f>
        <v/>
      </c>
    </row>
    <row r="203">
      <c r="A203">
        <f>IF($U203="","",INDEX('Per Line'!$A$2:$A$1001,$U203)&amp;"")</f>
        <v/>
      </c>
      <c r="B203" s="12" t="n"/>
      <c r="C203">
        <f>IF($U203="","",INDEX('Per Line'!$B$2:$B$1001,$U203)&amp;"")</f>
        <v/>
      </c>
      <c r="D203">
        <f>IF($U203="","",INDEX('Per Line'!$C$2:$C$1001,$U203)&amp;"")</f>
        <v/>
      </c>
      <c r="E203">
        <f>IF($U203="","",INDEX('Per Line'!$D$2:$D$1001,$U203)&amp;"")</f>
        <v/>
      </c>
      <c r="F203">
        <f>IF($U203="","",INDEX('Per Line'!$E$2:$E$1001,$U203))</f>
        <v/>
      </c>
      <c r="G203" s="7">
        <f>IF($U203="","",F203*S203/100)</f>
        <v/>
      </c>
      <c r="H203">
        <f>IF($U203="","",INDEX('Per Line'!$O$2:$O$1001,$U203)&amp;"")</f>
        <v/>
      </c>
      <c r="I203" s="11">
        <f>IF($U203="","",INDEX('Per Line'!$Q$2:$Q$1001,$U203))</f>
        <v/>
      </c>
      <c r="J203">
        <f>IF($U203="","",INDEX('Per Line'!$R$2:$R$1001,$U203)&amp;"")</f>
        <v/>
      </c>
      <c r="K203">
        <f>IF($U203="","",Settings!$C$7)</f>
        <v/>
      </c>
      <c r="L203" s="7">
        <f>IF($U203="","",SUMIFS('Per Line'!$N$2:$N$1001,'Per Line'!$A$2:$A$1001,$A203,'Per Line'!$W$2:$W$1001,0))</f>
        <v/>
      </c>
      <c r="M203" s="7">
        <f>IF($U203="","",L203*K203)</f>
        <v/>
      </c>
      <c r="N203">
        <f>IF($U203="","",Settings!$C$6)</f>
        <v/>
      </c>
      <c r="O203" s="7">
        <f>IF($U203="","",SUMIFS('Per Line'!$N$2:$N$1001,'Per Line'!$A$2:$A$1001,$A203,'Per Line'!$W$2:$W$1001,1))</f>
        <v/>
      </c>
      <c r="P203" s="7">
        <f>IF($U203="","",O203*N203)</f>
        <v/>
      </c>
      <c r="Q203" s="7">
        <f>IF($U203="","",P203+M203)</f>
        <v/>
      </c>
      <c r="R203" s="7">
        <f>IF($U203="","",S203-Q203)</f>
        <v/>
      </c>
      <c r="S203" s="7">
        <f>IF($U203="","",L203+O203)</f>
        <v/>
      </c>
      <c r="T203" s="7">
        <f>IF($U203="","",S203-Q203-G203)</f>
        <v/>
      </c>
      <c r="U203" s="13">
        <f>IF(ROWS($U$2:$U203)&lt;=MAX('Per Line'!$V$2:$V$1001),MATCH(ROWS($U$2:$U203),'Per Line'!$V$2:$V$1001,0),"")</f>
        <v/>
      </c>
    </row>
    <row r="204">
      <c r="A204">
        <f>IF($U204="","",INDEX('Per Line'!$A$2:$A$1001,$U204)&amp;"")</f>
        <v/>
      </c>
      <c r="B204" s="12" t="n"/>
      <c r="C204">
        <f>IF($U204="","",INDEX('Per Line'!$B$2:$B$1001,$U204)&amp;"")</f>
        <v/>
      </c>
      <c r="D204">
        <f>IF($U204="","",INDEX('Per Line'!$C$2:$C$1001,$U204)&amp;"")</f>
        <v/>
      </c>
      <c r="E204">
        <f>IF($U204="","",INDEX('Per Line'!$D$2:$D$1001,$U204)&amp;"")</f>
        <v/>
      </c>
      <c r="F204">
        <f>IF($U204="","",INDEX('Per Line'!$E$2:$E$1001,$U204))</f>
        <v/>
      </c>
      <c r="G204" s="7">
        <f>IF($U204="","",F204*S204/100)</f>
        <v/>
      </c>
      <c r="H204">
        <f>IF($U204="","",INDEX('Per Line'!$O$2:$O$1001,$U204)&amp;"")</f>
        <v/>
      </c>
      <c r="I204" s="11">
        <f>IF($U204="","",INDEX('Per Line'!$Q$2:$Q$1001,$U204))</f>
        <v/>
      </c>
      <c r="J204">
        <f>IF($U204="","",INDEX('Per Line'!$R$2:$R$1001,$U204)&amp;"")</f>
        <v/>
      </c>
      <c r="K204">
        <f>IF($U204="","",Settings!$C$7)</f>
        <v/>
      </c>
      <c r="L204" s="7">
        <f>IF($U204="","",SUMIFS('Per Line'!$N$2:$N$1001,'Per Line'!$A$2:$A$1001,$A204,'Per Line'!$W$2:$W$1001,0))</f>
        <v/>
      </c>
      <c r="M204" s="7">
        <f>IF($U204="","",L204*K204)</f>
        <v/>
      </c>
      <c r="N204">
        <f>IF($U204="","",Settings!$C$6)</f>
        <v/>
      </c>
      <c r="O204" s="7">
        <f>IF($U204="","",SUMIFS('Per Line'!$N$2:$N$1001,'Per Line'!$A$2:$A$1001,$A204,'Per Line'!$W$2:$W$1001,1))</f>
        <v/>
      </c>
      <c r="P204" s="7">
        <f>IF($U204="","",O204*N204)</f>
        <v/>
      </c>
      <c r="Q204" s="7">
        <f>IF($U204="","",P204+M204)</f>
        <v/>
      </c>
      <c r="R204" s="7">
        <f>IF($U204="","",S204-Q204)</f>
        <v/>
      </c>
      <c r="S204" s="7">
        <f>IF($U204="","",L204+O204)</f>
        <v/>
      </c>
      <c r="T204" s="7">
        <f>IF($U204="","",S204-Q204-G204)</f>
        <v/>
      </c>
      <c r="U204" s="13">
        <f>IF(ROWS($U$2:$U204)&lt;=MAX('Per Line'!$V$2:$V$1001),MATCH(ROWS($U$2:$U204),'Per Line'!$V$2:$V$1001,0),"")</f>
        <v/>
      </c>
    </row>
    <row r="205">
      <c r="A205">
        <f>IF($U205="","",INDEX('Per Line'!$A$2:$A$1001,$U205)&amp;"")</f>
        <v/>
      </c>
      <c r="B205" s="12" t="n"/>
      <c r="C205">
        <f>IF($U205="","",INDEX('Per Line'!$B$2:$B$1001,$U205)&amp;"")</f>
        <v/>
      </c>
      <c r="D205">
        <f>IF($U205="","",INDEX('Per Line'!$C$2:$C$1001,$U205)&amp;"")</f>
        <v/>
      </c>
      <c r="E205">
        <f>IF($U205="","",INDEX('Per Line'!$D$2:$D$1001,$U205)&amp;"")</f>
        <v/>
      </c>
      <c r="F205">
        <f>IF($U205="","",INDEX('Per Line'!$E$2:$E$1001,$U205))</f>
        <v/>
      </c>
      <c r="G205" s="7">
        <f>IF($U205="","",F205*S205/100)</f>
        <v/>
      </c>
      <c r="H205">
        <f>IF($U205="","",INDEX('Per Line'!$O$2:$O$1001,$U205)&amp;"")</f>
        <v/>
      </c>
      <c r="I205" s="11">
        <f>IF($U205="","",INDEX('Per Line'!$Q$2:$Q$1001,$U205))</f>
        <v/>
      </c>
      <c r="J205">
        <f>IF($U205="","",INDEX('Per Line'!$R$2:$R$1001,$U205)&amp;"")</f>
        <v/>
      </c>
      <c r="K205">
        <f>IF($U205="","",Settings!$C$7)</f>
        <v/>
      </c>
      <c r="L205" s="7">
        <f>IF($U205="","",SUMIFS('Per Line'!$N$2:$N$1001,'Per Line'!$A$2:$A$1001,$A205,'Per Line'!$W$2:$W$1001,0))</f>
        <v/>
      </c>
      <c r="M205" s="7">
        <f>IF($U205="","",L205*K205)</f>
        <v/>
      </c>
      <c r="N205">
        <f>IF($U205="","",Settings!$C$6)</f>
        <v/>
      </c>
      <c r="O205" s="7">
        <f>IF($U205="","",SUMIFS('Per Line'!$N$2:$N$1001,'Per Line'!$A$2:$A$1001,$A205,'Per Line'!$W$2:$W$1001,1))</f>
        <v/>
      </c>
      <c r="P205" s="7">
        <f>IF($U205="","",O205*N205)</f>
        <v/>
      </c>
      <c r="Q205" s="7">
        <f>IF($U205="","",P205+M205)</f>
        <v/>
      </c>
      <c r="R205" s="7">
        <f>IF($U205="","",S205-Q205)</f>
        <v/>
      </c>
      <c r="S205" s="7">
        <f>IF($U205="","",L205+O205)</f>
        <v/>
      </c>
      <c r="T205" s="7">
        <f>IF($U205="","",S205-Q205-G205)</f>
        <v/>
      </c>
      <c r="U205" s="13">
        <f>IF(ROWS($U$2:$U205)&lt;=MAX('Per Line'!$V$2:$V$1001),MATCH(ROWS($U$2:$U205),'Per Line'!$V$2:$V$1001,0),"")</f>
        <v/>
      </c>
    </row>
    <row r="206">
      <c r="A206">
        <f>IF($U206="","",INDEX('Per Line'!$A$2:$A$1001,$U206)&amp;"")</f>
        <v/>
      </c>
      <c r="B206" s="12" t="n"/>
      <c r="C206">
        <f>IF($U206="","",INDEX('Per Line'!$B$2:$B$1001,$U206)&amp;"")</f>
        <v/>
      </c>
      <c r="D206">
        <f>IF($U206="","",INDEX('Per Line'!$C$2:$C$1001,$U206)&amp;"")</f>
        <v/>
      </c>
      <c r="E206">
        <f>IF($U206="","",INDEX('Per Line'!$D$2:$D$1001,$U206)&amp;"")</f>
        <v/>
      </c>
      <c r="F206">
        <f>IF($U206="","",INDEX('Per Line'!$E$2:$E$1001,$U206))</f>
        <v/>
      </c>
      <c r="G206" s="7">
        <f>IF($U206="","",F206*S206/100)</f>
        <v/>
      </c>
      <c r="H206">
        <f>IF($U206="","",INDEX('Per Line'!$O$2:$O$1001,$U206)&amp;"")</f>
        <v/>
      </c>
      <c r="I206" s="11">
        <f>IF($U206="","",INDEX('Per Line'!$Q$2:$Q$1001,$U206))</f>
        <v/>
      </c>
      <c r="J206">
        <f>IF($U206="","",INDEX('Per Line'!$R$2:$R$1001,$U206)&amp;"")</f>
        <v/>
      </c>
      <c r="K206">
        <f>IF($U206="","",Settings!$C$7)</f>
        <v/>
      </c>
      <c r="L206" s="7">
        <f>IF($U206="","",SUMIFS('Per Line'!$N$2:$N$1001,'Per Line'!$A$2:$A$1001,$A206,'Per Line'!$W$2:$W$1001,0))</f>
        <v/>
      </c>
      <c r="M206" s="7">
        <f>IF($U206="","",L206*K206)</f>
        <v/>
      </c>
      <c r="N206">
        <f>IF($U206="","",Settings!$C$6)</f>
        <v/>
      </c>
      <c r="O206" s="7">
        <f>IF($U206="","",SUMIFS('Per Line'!$N$2:$N$1001,'Per Line'!$A$2:$A$1001,$A206,'Per Line'!$W$2:$W$1001,1))</f>
        <v/>
      </c>
      <c r="P206" s="7">
        <f>IF($U206="","",O206*N206)</f>
        <v/>
      </c>
      <c r="Q206" s="7">
        <f>IF($U206="","",P206+M206)</f>
        <v/>
      </c>
      <c r="R206" s="7">
        <f>IF($U206="","",S206-Q206)</f>
        <v/>
      </c>
      <c r="S206" s="7">
        <f>IF($U206="","",L206+O206)</f>
        <v/>
      </c>
      <c r="T206" s="7">
        <f>IF($U206="","",S206-Q206-G206)</f>
        <v/>
      </c>
      <c r="U206" s="13">
        <f>IF(ROWS($U$2:$U206)&lt;=MAX('Per Line'!$V$2:$V$1001),MATCH(ROWS($U$2:$U206),'Per Line'!$V$2:$V$1001,0),"")</f>
        <v/>
      </c>
    </row>
    <row r="207">
      <c r="A207">
        <f>IF($U207="","",INDEX('Per Line'!$A$2:$A$1001,$U207)&amp;"")</f>
        <v/>
      </c>
      <c r="B207" s="12" t="n"/>
      <c r="C207">
        <f>IF($U207="","",INDEX('Per Line'!$B$2:$B$1001,$U207)&amp;"")</f>
        <v/>
      </c>
      <c r="D207">
        <f>IF($U207="","",INDEX('Per Line'!$C$2:$C$1001,$U207)&amp;"")</f>
        <v/>
      </c>
      <c r="E207">
        <f>IF($U207="","",INDEX('Per Line'!$D$2:$D$1001,$U207)&amp;"")</f>
        <v/>
      </c>
      <c r="F207">
        <f>IF($U207="","",INDEX('Per Line'!$E$2:$E$1001,$U207))</f>
        <v/>
      </c>
      <c r="G207" s="7">
        <f>IF($U207="","",F207*S207/100)</f>
        <v/>
      </c>
      <c r="H207">
        <f>IF($U207="","",INDEX('Per Line'!$O$2:$O$1001,$U207)&amp;"")</f>
        <v/>
      </c>
      <c r="I207" s="11">
        <f>IF($U207="","",INDEX('Per Line'!$Q$2:$Q$1001,$U207))</f>
        <v/>
      </c>
      <c r="J207">
        <f>IF($U207="","",INDEX('Per Line'!$R$2:$R$1001,$U207)&amp;"")</f>
        <v/>
      </c>
      <c r="K207">
        <f>IF($U207="","",Settings!$C$7)</f>
        <v/>
      </c>
      <c r="L207" s="7">
        <f>IF($U207="","",SUMIFS('Per Line'!$N$2:$N$1001,'Per Line'!$A$2:$A$1001,$A207,'Per Line'!$W$2:$W$1001,0))</f>
        <v/>
      </c>
      <c r="M207" s="7">
        <f>IF($U207="","",L207*K207)</f>
        <v/>
      </c>
      <c r="N207">
        <f>IF($U207="","",Settings!$C$6)</f>
        <v/>
      </c>
      <c r="O207" s="7">
        <f>IF($U207="","",SUMIFS('Per Line'!$N$2:$N$1001,'Per Line'!$A$2:$A$1001,$A207,'Per Line'!$W$2:$W$1001,1))</f>
        <v/>
      </c>
      <c r="P207" s="7">
        <f>IF($U207="","",O207*N207)</f>
        <v/>
      </c>
      <c r="Q207" s="7">
        <f>IF($U207="","",P207+M207)</f>
        <v/>
      </c>
      <c r="R207" s="7">
        <f>IF($U207="","",S207-Q207)</f>
        <v/>
      </c>
      <c r="S207" s="7">
        <f>IF($U207="","",L207+O207)</f>
        <v/>
      </c>
      <c r="T207" s="7">
        <f>IF($U207="","",S207-Q207-G207)</f>
        <v/>
      </c>
      <c r="U207" s="13">
        <f>IF(ROWS($U$2:$U207)&lt;=MAX('Per Line'!$V$2:$V$1001),MATCH(ROWS($U$2:$U207),'Per Line'!$V$2:$V$1001,0),"")</f>
        <v/>
      </c>
    </row>
    <row r="208">
      <c r="A208">
        <f>IF($U208="","",INDEX('Per Line'!$A$2:$A$1001,$U208)&amp;"")</f>
        <v/>
      </c>
      <c r="B208" s="12" t="n"/>
      <c r="C208">
        <f>IF($U208="","",INDEX('Per Line'!$B$2:$B$1001,$U208)&amp;"")</f>
        <v/>
      </c>
      <c r="D208">
        <f>IF($U208="","",INDEX('Per Line'!$C$2:$C$1001,$U208)&amp;"")</f>
        <v/>
      </c>
      <c r="E208">
        <f>IF($U208="","",INDEX('Per Line'!$D$2:$D$1001,$U208)&amp;"")</f>
        <v/>
      </c>
      <c r="F208">
        <f>IF($U208="","",INDEX('Per Line'!$E$2:$E$1001,$U208))</f>
        <v/>
      </c>
      <c r="G208" s="7">
        <f>IF($U208="","",F208*S208/100)</f>
        <v/>
      </c>
      <c r="H208">
        <f>IF($U208="","",INDEX('Per Line'!$O$2:$O$1001,$U208)&amp;"")</f>
        <v/>
      </c>
      <c r="I208" s="11">
        <f>IF($U208="","",INDEX('Per Line'!$Q$2:$Q$1001,$U208))</f>
        <v/>
      </c>
      <c r="J208">
        <f>IF($U208="","",INDEX('Per Line'!$R$2:$R$1001,$U208)&amp;"")</f>
        <v/>
      </c>
      <c r="K208">
        <f>IF($U208="","",Settings!$C$7)</f>
        <v/>
      </c>
      <c r="L208" s="7">
        <f>IF($U208="","",SUMIFS('Per Line'!$N$2:$N$1001,'Per Line'!$A$2:$A$1001,$A208,'Per Line'!$W$2:$W$1001,0))</f>
        <v/>
      </c>
      <c r="M208" s="7">
        <f>IF($U208="","",L208*K208)</f>
        <v/>
      </c>
      <c r="N208">
        <f>IF($U208="","",Settings!$C$6)</f>
        <v/>
      </c>
      <c r="O208" s="7">
        <f>IF($U208="","",SUMIFS('Per Line'!$N$2:$N$1001,'Per Line'!$A$2:$A$1001,$A208,'Per Line'!$W$2:$W$1001,1))</f>
        <v/>
      </c>
      <c r="P208" s="7">
        <f>IF($U208="","",O208*N208)</f>
        <v/>
      </c>
      <c r="Q208" s="7">
        <f>IF($U208="","",P208+M208)</f>
        <v/>
      </c>
      <c r="R208" s="7">
        <f>IF($U208="","",S208-Q208)</f>
        <v/>
      </c>
      <c r="S208" s="7">
        <f>IF($U208="","",L208+O208)</f>
        <v/>
      </c>
      <c r="T208" s="7">
        <f>IF($U208="","",S208-Q208-G208)</f>
        <v/>
      </c>
      <c r="U208" s="13">
        <f>IF(ROWS($U$2:$U208)&lt;=MAX('Per Line'!$V$2:$V$1001),MATCH(ROWS($U$2:$U208),'Per Line'!$V$2:$V$1001,0),"")</f>
        <v/>
      </c>
    </row>
    <row r="209">
      <c r="A209">
        <f>IF($U209="","",INDEX('Per Line'!$A$2:$A$1001,$U209)&amp;"")</f>
        <v/>
      </c>
      <c r="B209" s="12" t="n"/>
      <c r="C209">
        <f>IF($U209="","",INDEX('Per Line'!$B$2:$B$1001,$U209)&amp;"")</f>
        <v/>
      </c>
      <c r="D209">
        <f>IF($U209="","",INDEX('Per Line'!$C$2:$C$1001,$U209)&amp;"")</f>
        <v/>
      </c>
      <c r="E209">
        <f>IF($U209="","",INDEX('Per Line'!$D$2:$D$1001,$U209)&amp;"")</f>
        <v/>
      </c>
      <c r="F209">
        <f>IF($U209="","",INDEX('Per Line'!$E$2:$E$1001,$U209))</f>
        <v/>
      </c>
      <c r="G209" s="7">
        <f>IF($U209="","",F209*S209/100)</f>
        <v/>
      </c>
      <c r="H209">
        <f>IF($U209="","",INDEX('Per Line'!$O$2:$O$1001,$U209)&amp;"")</f>
        <v/>
      </c>
      <c r="I209" s="11">
        <f>IF($U209="","",INDEX('Per Line'!$Q$2:$Q$1001,$U209))</f>
        <v/>
      </c>
      <c r="J209">
        <f>IF($U209="","",INDEX('Per Line'!$R$2:$R$1001,$U209)&amp;"")</f>
        <v/>
      </c>
      <c r="K209">
        <f>IF($U209="","",Settings!$C$7)</f>
        <v/>
      </c>
      <c r="L209" s="7">
        <f>IF($U209="","",SUMIFS('Per Line'!$N$2:$N$1001,'Per Line'!$A$2:$A$1001,$A209,'Per Line'!$W$2:$W$1001,0))</f>
        <v/>
      </c>
      <c r="M209" s="7">
        <f>IF($U209="","",L209*K209)</f>
        <v/>
      </c>
      <c r="N209">
        <f>IF($U209="","",Settings!$C$6)</f>
        <v/>
      </c>
      <c r="O209" s="7">
        <f>IF($U209="","",SUMIFS('Per Line'!$N$2:$N$1001,'Per Line'!$A$2:$A$1001,$A209,'Per Line'!$W$2:$W$1001,1))</f>
        <v/>
      </c>
      <c r="P209" s="7">
        <f>IF($U209="","",O209*N209)</f>
        <v/>
      </c>
      <c r="Q209" s="7">
        <f>IF($U209="","",P209+M209)</f>
        <v/>
      </c>
      <c r="R209" s="7">
        <f>IF($U209="","",S209-Q209)</f>
        <v/>
      </c>
      <c r="S209" s="7">
        <f>IF($U209="","",L209+O209)</f>
        <v/>
      </c>
      <c r="T209" s="7">
        <f>IF($U209="","",S209-Q209-G209)</f>
        <v/>
      </c>
      <c r="U209" s="13">
        <f>IF(ROWS($U$2:$U209)&lt;=MAX('Per Line'!$V$2:$V$1001),MATCH(ROWS($U$2:$U209),'Per Line'!$V$2:$V$1001,0),"")</f>
        <v/>
      </c>
    </row>
    <row r="210">
      <c r="A210">
        <f>IF($U210="","",INDEX('Per Line'!$A$2:$A$1001,$U210)&amp;"")</f>
        <v/>
      </c>
      <c r="B210" s="12" t="n"/>
      <c r="C210">
        <f>IF($U210="","",INDEX('Per Line'!$B$2:$B$1001,$U210)&amp;"")</f>
        <v/>
      </c>
      <c r="D210">
        <f>IF($U210="","",INDEX('Per Line'!$C$2:$C$1001,$U210)&amp;"")</f>
        <v/>
      </c>
      <c r="E210">
        <f>IF($U210="","",INDEX('Per Line'!$D$2:$D$1001,$U210)&amp;"")</f>
        <v/>
      </c>
      <c r="F210">
        <f>IF($U210="","",INDEX('Per Line'!$E$2:$E$1001,$U210))</f>
        <v/>
      </c>
      <c r="G210" s="7">
        <f>IF($U210="","",F210*S210/100)</f>
        <v/>
      </c>
      <c r="H210">
        <f>IF($U210="","",INDEX('Per Line'!$O$2:$O$1001,$U210)&amp;"")</f>
        <v/>
      </c>
      <c r="I210" s="11">
        <f>IF($U210="","",INDEX('Per Line'!$Q$2:$Q$1001,$U210))</f>
        <v/>
      </c>
      <c r="J210">
        <f>IF($U210="","",INDEX('Per Line'!$R$2:$R$1001,$U210)&amp;"")</f>
        <v/>
      </c>
      <c r="K210">
        <f>IF($U210="","",Settings!$C$7)</f>
        <v/>
      </c>
      <c r="L210" s="7">
        <f>IF($U210="","",SUMIFS('Per Line'!$N$2:$N$1001,'Per Line'!$A$2:$A$1001,$A210,'Per Line'!$W$2:$W$1001,0))</f>
        <v/>
      </c>
      <c r="M210" s="7">
        <f>IF($U210="","",L210*K210)</f>
        <v/>
      </c>
      <c r="N210">
        <f>IF($U210="","",Settings!$C$6)</f>
        <v/>
      </c>
      <c r="O210" s="7">
        <f>IF($U210="","",SUMIFS('Per Line'!$N$2:$N$1001,'Per Line'!$A$2:$A$1001,$A210,'Per Line'!$W$2:$W$1001,1))</f>
        <v/>
      </c>
      <c r="P210" s="7">
        <f>IF($U210="","",O210*N210)</f>
        <v/>
      </c>
      <c r="Q210" s="7">
        <f>IF($U210="","",P210+M210)</f>
        <v/>
      </c>
      <c r="R210" s="7">
        <f>IF($U210="","",S210-Q210)</f>
        <v/>
      </c>
      <c r="S210" s="7">
        <f>IF($U210="","",L210+O210)</f>
        <v/>
      </c>
      <c r="T210" s="7">
        <f>IF($U210="","",S210-Q210-G210)</f>
        <v/>
      </c>
      <c r="U210" s="13">
        <f>IF(ROWS($U$2:$U210)&lt;=MAX('Per Line'!$V$2:$V$1001),MATCH(ROWS($U$2:$U210),'Per Line'!$V$2:$V$1001,0),"")</f>
        <v/>
      </c>
    </row>
    <row r="211">
      <c r="A211">
        <f>IF($U211="","",INDEX('Per Line'!$A$2:$A$1001,$U211)&amp;"")</f>
        <v/>
      </c>
      <c r="B211" s="12" t="n"/>
      <c r="C211">
        <f>IF($U211="","",INDEX('Per Line'!$B$2:$B$1001,$U211)&amp;"")</f>
        <v/>
      </c>
      <c r="D211">
        <f>IF($U211="","",INDEX('Per Line'!$C$2:$C$1001,$U211)&amp;"")</f>
        <v/>
      </c>
      <c r="E211">
        <f>IF($U211="","",INDEX('Per Line'!$D$2:$D$1001,$U211)&amp;"")</f>
        <v/>
      </c>
      <c r="F211">
        <f>IF($U211="","",INDEX('Per Line'!$E$2:$E$1001,$U211))</f>
        <v/>
      </c>
      <c r="G211" s="7">
        <f>IF($U211="","",F211*S211/100)</f>
        <v/>
      </c>
      <c r="H211">
        <f>IF($U211="","",INDEX('Per Line'!$O$2:$O$1001,$U211)&amp;"")</f>
        <v/>
      </c>
      <c r="I211" s="11">
        <f>IF($U211="","",INDEX('Per Line'!$Q$2:$Q$1001,$U211))</f>
        <v/>
      </c>
      <c r="J211">
        <f>IF($U211="","",INDEX('Per Line'!$R$2:$R$1001,$U211)&amp;"")</f>
        <v/>
      </c>
      <c r="K211">
        <f>IF($U211="","",Settings!$C$7)</f>
        <v/>
      </c>
      <c r="L211" s="7">
        <f>IF($U211="","",SUMIFS('Per Line'!$N$2:$N$1001,'Per Line'!$A$2:$A$1001,$A211,'Per Line'!$W$2:$W$1001,0))</f>
        <v/>
      </c>
      <c r="M211" s="7">
        <f>IF($U211="","",L211*K211)</f>
        <v/>
      </c>
      <c r="N211">
        <f>IF($U211="","",Settings!$C$6)</f>
        <v/>
      </c>
      <c r="O211" s="7">
        <f>IF($U211="","",SUMIFS('Per Line'!$N$2:$N$1001,'Per Line'!$A$2:$A$1001,$A211,'Per Line'!$W$2:$W$1001,1))</f>
        <v/>
      </c>
      <c r="P211" s="7">
        <f>IF($U211="","",O211*N211)</f>
        <v/>
      </c>
      <c r="Q211" s="7">
        <f>IF($U211="","",P211+M211)</f>
        <v/>
      </c>
      <c r="R211" s="7">
        <f>IF($U211="","",S211-Q211)</f>
        <v/>
      </c>
      <c r="S211" s="7">
        <f>IF($U211="","",L211+O211)</f>
        <v/>
      </c>
      <c r="T211" s="7">
        <f>IF($U211="","",S211-Q211-G211)</f>
        <v/>
      </c>
      <c r="U211" s="13">
        <f>IF(ROWS($U$2:$U211)&lt;=MAX('Per Line'!$V$2:$V$1001),MATCH(ROWS($U$2:$U211),'Per Line'!$V$2:$V$1001,0),"")</f>
        <v/>
      </c>
    </row>
    <row r="212">
      <c r="A212">
        <f>IF($U212="","",INDEX('Per Line'!$A$2:$A$1001,$U212)&amp;"")</f>
        <v/>
      </c>
      <c r="B212" s="12" t="n"/>
      <c r="C212">
        <f>IF($U212="","",INDEX('Per Line'!$B$2:$B$1001,$U212)&amp;"")</f>
        <v/>
      </c>
      <c r="D212">
        <f>IF($U212="","",INDEX('Per Line'!$C$2:$C$1001,$U212)&amp;"")</f>
        <v/>
      </c>
      <c r="E212">
        <f>IF($U212="","",INDEX('Per Line'!$D$2:$D$1001,$U212)&amp;"")</f>
        <v/>
      </c>
      <c r="F212">
        <f>IF($U212="","",INDEX('Per Line'!$E$2:$E$1001,$U212))</f>
        <v/>
      </c>
      <c r="G212" s="7">
        <f>IF($U212="","",F212*S212/100)</f>
        <v/>
      </c>
      <c r="H212">
        <f>IF($U212="","",INDEX('Per Line'!$O$2:$O$1001,$U212)&amp;"")</f>
        <v/>
      </c>
      <c r="I212" s="11">
        <f>IF($U212="","",INDEX('Per Line'!$Q$2:$Q$1001,$U212))</f>
        <v/>
      </c>
      <c r="J212">
        <f>IF($U212="","",INDEX('Per Line'!$R$2:$R$1001,$U212)&amp;"")</f>
        <v/>
      </c>
      <c r="K212">
        <f>IF($U212="","",Settings!$C$7)</f>
        <v/>
      </c>
      <c r="L212" s="7">
        <f>IF($U212="","",SUMIFS('Per Line'!$N$2:$N$1001,'Per Line'!$A$2:$A$1001,$A212,'Per Line'!$W$2:$W$1001,0))</f>
        <v/>
      </c>
      <c r="M212" s="7">
        <f>IF($U212="","",L212*K212)</f>
        <v/>
      </c>
      <c r="N212">
        <f>IF($U212="","",Settings!$C$6)</f>
        <v/>
      </c>
      <c r="O212" s="7">
        <f>IF($U212="","",SUMIFS('Per Line'!$N$2:$N$1001,'Per Line'!$A$2:$A$1001,$A212,'Per Line'!$W$2:$W$1001,1))</f>
        <v/>
      </c>
      <c r="P212" s="7">
        <f>IF($U212="","",O212*N212)</f>
        <v/>
      </c>
      <c r="Q212" s="7">
        <f>IF($U212="","",P212+M212)</f>
        <v/>
      </c>
      <c r="R212" s="7">
        <f>IF($U212="","",S212-Q212)</f>
        <v/>
      </c>
      <c r="S212" s="7">
        <f>IF($U212="","",L212+O212)</f>
        <v/>
      </c>
      <c r="T212" s="7">
        <f>IF($U212="","",S212-Q212-G212)</f>
        <v/>
      </c>
      <c r="U212" s="13">
        <f>IF(ROWS($U$2:$U212)&lt;=MAX('Per Line'!$V$2:$V$1001),MATCH(ROWS($U$2:$U212),'Per Line'!$V$2:$V$1001,0),"")</f>
        <v/>
      </c>
    </row>
    <row r="213">
      <c r="A213">
        <f>IF($U213="","",INDEX('Per Line'!$A$2:$A$1001,$U213)&amp;"")</f>
        <v/>
      </c>
      <c r="B213" s="12" t="n"/>
      <c r="C213">
        <f>IF($U213="","",INDEX('Per Line'!$B$2:$B$1001,$U213)&amp;"")</f>
        <v/>
      </c>
      <c r="D213">
        <f>IF($U213="","",INDEX('Per Line'!$C$2:$C$1001,$U213)&amp;"")</f>
        <v/>
      </c>
      <c r="E213">
        <f>IF($U213="","",INDEX('Per Line'!$D$2:$D$1001,$U213)&amp;"")</f>
        <v/>
      </c>
      <c r="F213">
        <f>IF($U213="","",INDEX('Per Line'!$E$2:$E$1001,$U213))</f>
        <v/>
      </c>
      <c r="G213" s="7">
        <f>IF($U213="","",F213*S213/100)</f>
        <v/>
      </c>
      <c r="H213">
        <f>IF($U213="","",INDEX('Per Line'!$O$2:$O$1001,$U213)&amp;"")</f>
        <v/>
      </c>
      <c r="I213" s="11">
        <f>IF($U213="","",INDEX('Per Line'!$Q$2:$Q$1001,$U213))</f>
        <v/>
      </c>
      <c r="J213">
        <f>IF($U213="","",INDEX('Per Line'!$R$2:$R$1001,$U213)&amp;"")</f>
        <v/>
      </c>
      <c r="K213">
        <f>IF($U213="","",Settings!$C$7)</f>
        <v/>
      </c>
      <c r="L213" s="7">
        <f>IF($U213="","",SUMIFS('Per Line'!$N$2:$N$1001,'Per Line'!$A$2:$A$1001,$A213,'Per Line'!$W$2:$W$1001,0))</f>
        <v/>
      </c>
      <c r="M213" s="7">
        <f>IF($U213="","",L213*K213)</f>
        <v/>
      </c>
      <c r="N213">
        <f>IF($U213="","",Settings!$C$6)</f>
        <v/>
      </c>
      <c r="O213" s="7">
        <f>IF($U213="","",SUMIFS('Per Line'!$N$2:$N$1001,'Per Line'!$A$2:$A$1001,$A213,'Per Line'!$W$2:$W$1001,1))</f>
        <v/>
      </c>
      <c r="P213" s="7">
        <f>IF($U213="","",O213*N213)</f>
        <v/>
      </c>
      <c r="Q213" s="7">
        <f>IF($U213="","",P213+M213)</f>
        <v/>
      </c>
      <c r="R213" s="7">
        <f>IF($U213="","",S213-Q213)</f>
        <v/>
      </c>
      <c r="S213" s="7">
        <f>IF($U213="","",L213+O213)</f>
        <v/>
      </c>
      <c r="T213" s="7">
        <f>IF($U213="","",S213-Q213-G213)</f>
        <v/>
      </c>
      <c r="U213" s="13">
        <f>IF(ROWS($U$2:$U213)&lt;=MAX('Per Line'!$V$2:$V$1001),MATCH(ROWS($U$2:$U213),'Per Line'!$V$2:$V$1001,0),"")</f>
        <v/>
      </c>
    </row>
    <row r="214">
      <c r="A214">
        <f>IF($U214="","",INDEX('Per Line'!$A$2:$A$1001,$U214)&amp;"")</f>
        <v/>
      </c>
      <c r="B214" s="12" t="n"/>
      <c r="C214">
        <f>IF($U214="","",INDEX('Per Line'!$B$2:$B$1001,$U214)&amp;"")</f>
        <v/>
      </c>
      <c r="D214">
        <f>IF($U214="","",INDEX('Per Line'!$C$2:$C$1001,$U214)&amp;"")</f>
        <v/>
      </c>
      <c r="E214">
        <f>IF($U214="","",INDEX('Per Line'!$D$2:$D$1001,$U214)&amp;"")</f>
        <v/>
      </c>
      <c r="F214">
        <f>IF($U214="","",INDEX('Per Line'!$E$2:$E$1001,$U214))</f>
        <v/>
      </c>
      <c r="G214" s="7">
        <f>IF($U214="","",F214*S214/100)</f>
        <v/>
      </c>
      <c r="H214">
        <f>IF($U214="","",INDEX('Per Line'!$O$2:$O$1001,$U214)&amp;"")</f>
        <v/>
      </c>
      <c r="I214" s="11">
        <f>IF($U214="","",INDEX('Per Line'!$Q$2:$Q$1001,$U214))</f>
        <v/>
      </c>
      <c r="J214">
        <f>IF($U214="","",INDEX('Per Line'!$R$2:$R$1001,$U214)&amp;"")</f>
        <v/>
      </c>
      <c r="K214">
        <f>IF($U214="","",Settings!$C$7)</f>
        <v/>
      </c>
      <c r="L214" s="7">
        <f>IF($U214="","",SUMIFS('Per Line'!$N$2:$N$1001,'Per Line'!$A$2:$A$1001,$A214,'Per Line'!$W$2:$W$1001,0))</f>
        <v/>
      </c>
      <c r="M214" s="7">
        <f>IF($U214="","",L214*K214)</f>
        <v/>
      </c>
      <c r="N214">
        <f>IF($U214="","",Settings!$C$6)</f>
        <v/>
      </c>
      <c r="O214" s="7">
        <f>IF($U214="","",SUMIFS('Per Line'!$N$2:$N$1001,'Per Line'!$A$2:$A$1001,$A214,'Per Line'!$W$2:$W$1001,1))</f>
        <v/>
      </c>
      <c r="P214" s="7">
        <f>IF($U214="","",O214*N214)</f>
        <v/>
      </c>
      <c r="Q214" s="7">
        <f>IF($U214="","",P214+M214)</f>
        <v/>
      </c>
      <c r="R214" s="7">
        <f>IF($U214="","",S214-Q214)</f>
        <v/>
      </c>
      <c r="S214" s="7">
        <f>IF($U214="","",L214+O214)</f>
        <v/>
      </c>
      <c r="T214" s="7">
        <f>IF($U214="","",S214-Q214-G214)</f>
        <v/>
      </c>
      <c r="U214" s="13">
        <f>IF(ROWS($U$2:$U214)&lt;=MAX('Per Line'!$V$2:$V$1001),MATCH(ROWS($U$2:$U214),'Per Line'!$V$2:$V$1001,0),"")</f>
        <v/>
      </c>
    </row>
    <row r="215">
      <c r="A215">
        <f>IF($U215="","",INDEX('Per Line'!$A$2:$A$1001,$U215)&amp;"")</f>
        <v/>
      </c>
      <c r="B215" s="12" t="n"/>
      <c r="C215">
        <f>IF($U215="","",INDEX('Per Line'!$B$2:$B$1001,$U215)&amp;"")</f>
        <v/>
      </c>
      <c r="D215">
        <f>IF($U215="","",INDEX('Per Line'!$C$2:$C$1001,$U215)&amp;"")</f>
        <v/>
      </c>
      <c r="E215">
        <f>IF($U215="","",INDEX('Per Line'!$D$2:$D$1001,$U215)&amp;"")</f>
        <v/>
      </c>
      <c r="F215">
        <f>IF($U215="","",INDEX('Per Line'!$E$2:$E$1001,$U215))</f>
        <v/>
      </c>
      <c r="G215" s="7">
        <f>IF($U215="","",F215*S215/100)</f>
        <v/>
      </c>
      <c r="H215">
        <f>IF($U215="","",INDEX('Per Line'!$O$2:$O$1001,$U215)&amp;"")</f>
        <v/>
      </c>
      <c r="I215" s="11">
        <f>IF($U215="","",INDEX('Per Line'!$Q$2:$Q$1001,$U215))</f>
        <v/>
      </c>
      <c r="J215">
        <f>IF($U215="","",INDEX('Per Line'!$R$2:$R$1001,$U215)&amp;"")</f>
        <v/>
      </c>
      <c r="K215">
        <f>IF($U215="","",Settings!$C$7)</f>
        <v/>
      </c>
      <c r="L215" s="7">
        <f>IF($U215="","",SUMIFS('Per Line'!$N$2:$N$1001,'Per Line'!$A$2:$A$1001,$A215,'Per Line'!$W$2:$W$1001,0))</f>
        <v/>
      </c>
      <c r="M215" s="7">
        <f>IF($U215="","",L215*K215)</f>
        <v/>
      </c>
      <c r="N215">
        <f>IF($U215="","",Settings!$C$6)</f>
        <v/>
      </c>
      <c r="O215" s="7">
        <f>IF($U215="","",SUMIFS('Per Line'!$N$2:$N$1001,'Per Line'!$A$2:$A$1001,$A215,'Per Line'!$W$2:$W$1001,1))</f>
        <v/>
      </c>
      <c r="P215" s="7">
        <f>IF($U215="","",O215*N215)</f>
        <v/>
      </c>
      <c r="Q215" s="7">
        <f>IF($U215="","",P215+M215)</f>
        <v/>
      </c>
      <c r="R215" s="7">
        <f>IF($U215="","",S215-Q215)</f>
        <v/>
      </c>
      <c r="S215" s="7">
        <f>IF($U215="","",L215+O215)</f>
        <v/>
      </c>
      <c r="T215" s="7">
        <f>IF($U215="","",S215-Q215-G215)</f>
        <v/>
      </c>
      <c r="U215" s="13">
        <f>IF(ROWS($U$2:$U215)&lt;=MAX('Per Line'!$V$2:$V$1001),MATCH(ROWS($U$2:$U215),'Per Line'!$V$2:$V$1001,0),"")</f>
        <v/>
      </c>
    </row>
    <row r="216">
      <c r="A216">
        <f>IF($U216="","",INDEX('Per Line'!$A$2:$A$1001,$U216)&amp;"")</f>
        <v/>
      </c>
      <c r="B216" s="12" t="n"/>
      <c r="C216">
        <f>IF($U216="","",INDEX('Per Line'!$B$2:$B$1001,$U216)&amp;"")</f>
        <v/>
      </c>
      <c r="D216">
        <f>IF($U216="","",INDEX('Per Line'!$C$2:$C$1001,$U216)&amp;"")</f>
        <v/>
      </c>
      <c r="E216">
        <f>IF($U216="","",INDEX('Per Line'!$D$2:$D$1001,$U216)&amp;"")</f>
        <v/>
      </c>
      <c r="F216">
        <f>IF($U216="","",INDEX('Per Line'!$E$2:$E$1001,$U216))</f>
        <v/>
      </c>
      <c r="G216" s="7">
        <f>IF($U216="","",F216*S216/100)</f>
        <v/>
      </c>
      <c r="H216">
        <f>IF($U216="","",INDEX('Per Line'!$O$2:$O$1001,$U216)&amp;"")</f>
        <v/>
      </c>
      <c r="I216" s="11">
        <f>IF($U216="","",INDEX('Per Line'!$Q$2:$Q$1001,$U216))</f>
        <v/>
      </c>
      <c r="J216">
        <f>IF($U216="","",INDEX('Per Line'!$R$2:$R$1001,$U216)&amp;"")</f>
        <v/>
      </c>
      <c r="K216">
        <f>IF($U216="","",Settings!$C$7)</f>
        <v/>
      </c>
      <c r="L216" s="7">
        <f>IF($U216="","",SUMIFS('Per Line'!$N$2:$N$1001,'Per Line'!$A$2:$A$1001,$A216,'Per Line'!$W$2:$W$1001,0))</f>
        <v/>
      </c>
      <c r="M216" s="7">
        <f>IF($U216="","",L216*K216)</f>
        <v/>
      </c>
      <c r="N216">
        <f>IF($U216="","",Settings!$C$6)</f>
        <v/>
      </c>
      <c r="O216" s="7">
        <f>IF($U216="","",SUMIFS('Per Line'!$N$2:$N$1001,'Per Line'!$A$2:$A$1001,$A216,'Per Line'!$W$2:$W$1001,1))</f>
        <v/>
      </c>
      <c r="P216" s="7">
        <f>IF($U216="","",O216*N216)</f>
        <v/>
      </c>
      <c r="Q216" s="7">
        <f>IF($U216="","",P216+M216)</f>
        <v/>
      </c>
      <c r="R216" s="7">
        <f>IF($U216="","",S216-Q216)</f>
        <v/>
      </c>
      <c r="S216" s="7">
        <f>IF($U216="","",L216+O216)</f>
        <v/>
      </c>
      <c r="T216" s="7">
        <f>IF($U216="","",S216-Q216-G216)</f>
        <v/>
      </c>
      <c r="U216" s="13">
        <f>IF(ROWS($U$2:$U216)&lt;=MAX('Per Line'!$V$2:$V$1001),MATCH(ROWS($U$2:$U216),'Per Line'!$V$2:$V$1001,0),"")</f>
        <v/>
      </c>
    </row>
    <row r="217">
      <c r="A217">
        <f>IF($U217="","",INDEX('Per Line'!$A$2:$A$1001,$U217)&amp;"")</f>
        <v/>
      </c>
      <c r="B217" s="12" t="n"/>
      <c r="C217">
        <f>IF($U217="","",INDEX('Per Line'!$B$2:$B$1001,$U217)&amp;"")</f>
        <v/>
      </c>
      <c r="D217">
        <f>IF($U217="","",INDEX('Per Line'!$C$2:$C$1001,$U217)&amp;"")</f>
        <v/>
      </c>
      <c r="E217">
        <f>IF($U217="","",INDEX('Per Line'!$D$2:$D$1001,$U217)&amp;"")</f>
        <v/>
      </c>
      <c r="F217">
        <f>IF($U217="","",INDEX('Per Line'!$E$2:$E$1001,$U217))</f>
        <v/>
      </c>
      <c r="G217" s="7">
        <f>IF($U217="","",F217*S217/100)</f>
        <v/>
      </c>
      <c r="H217">
        <f>IF($U217="","",INDEX('Per Line'!$O$2:$O$1001,$U217)&amp;"")</f>
        <v/>
      </c>
      <c r="I217" s="11">
        <f>IF($U217="","",INDEX('Per Line'!$Q$2:$Q$1001,$U217))</f>
        <v/>
      </c>
      <c r="J217">
        <f>IF($U217="","",INDEX('Per Line'!$R$2:$R$1001,$U217)&amp;"")</f>
        <v/>
      </c>
      <c r="K217">
        <f>IF($U217="","",Settings!$C$7)</f>
        <v/>
      </c>
      <c r="L217" s="7">
        <f>IF($U217="","",SUMIFS('Per Line'!$N$2:$N$1001,'Per Line'!$A$2:$A$1001,$A217,'Per Line'!$W$2:$W$1001,0))</f>
        <v/>
      </c>
      <c r="M217" s="7">
        <f>IF($U217="","",L217*K217)</f>
        <v/>
      </c>
      <c r="N217">
        <f>IF($U217="","",Settings!$C$6)</f>
        <v/>
      </c>
      <c r="O217" s="7">
        <f>IF($U217="","",SUMIFS('Per Line'!$N$2:$N$1001,'Per Line'!$A$2:$A$1001,$A217,'Per Line'!$W$2:$W$1001,1))</f>
        <v/>
      </c>
      <c r="P217" s="7">
        <f>IF($U217="","",O217*N217)</f>
        <v/>
      </c>
      <c r="Q217" s="7">
        <f>IF($U217="","",P217+M217)</f>
        <v/>
      </c>
      <c r="R217" s="7">
        <f>IF($U217="","",S217-Q217)</f>
        <v/>
      </c>
      <c r="S217" s="7">
        <f>IF($U217="","",L217+O217)</f>
        <v/>
      </c>
      <c r="T217" s="7">
        <f>IF($U217="","",S217-Q217-G217)</f>
        <v/>
      </c>
      <c r="U217" s="13">
        <f>IF(ROWS($U$2:$U217)&lt;=MAX('Per Line'!$V$2:$V$1001),MATCH(ROWS($U$2:$U217),'Per Line'!$V$2:$V$1001,0),"")</f>
        <v/>
      </c>
    </row>
    <row r="218">
      <c r="A218">
        <f>IF($U218="","",INDEX('Per Line'!$A$2:$A$1001,$U218)&amp;"")</f>
        <v/>
      </c>
      <c r="B218" s="12" t="n"/>
      <c r="C218">
        <f>IF($U218="","",INDEX('Per Line'!$B$2:$B$1001,$U218)&amp;"")</f>
        <v/>
      </c>
      <c r="D218">
        <f>IF($U218="","",INDEX('Per Line'!$C$2:$C$1001,$U218)&amp;"")</f>
        <v/>
      </c>
      <c r="E218">
        <f>IF($U218="","",INDEX('Per Line'!$D$2:$D$1001,$U218)&amp;"")</f>
        <v/>
      </c>
      <c r="F218">
        <f>IF($U218="","",INDEX('Per Line'!$E$2:$E$1001,$U218))</f>
        <v/>
      </c>
      <c r="G218" s="7">
        <f>IF($U218="","",F218*S218/100)</f>
        <v/>
      </c>
      <c r="H218">
        <f>IF($U218="","",INDEX('Per Line'!$O$2:$O$1001,$U218)&amp;"")</f>
        <v/>
      </c>
      <c r="I218" s="11">
        <f>IF($U218="","",INDEX('Per Line'!$Q$2:$Q$1001,$U218))</f>
        <v/>
      </c>
      <c r="J218">
        <f>IF($U218="","",INDEX('Per Line'!$R$2:$R$1001,$U218)&amp;"")</f>
        <v/>
      </c>
      <c r="K218">
        <f>IF($U218="","",Settings!$C$7)</f>
        <v/>
      </c>
      <c r="L218" s="7">
        <f>IF($U218="","",SUMIFS('Per Line'!$N$2:$N$1001,'Per Line'!$A$2:$A$1001,$A218,'Per Line'!$W$2:$W$1001,0))</f>
        <v/>
      </c>
      <c r="M218" s="7">
        <f>IF($U218="","",L218*K218)</f>
        <v/>
      </c>
      <c r="N218">
        <f>IF($U218="","",Settings!$C$6)</f>
        <v/>
      </c>
      <c r="O218" s="7">
        <f>IF($U218="","",SUMIFS('Per Line'!$N$2:$N$1001,'Per Line'!$A$2:$A$1001,$A218,'Per Line'!$W$2:$W$1001,1))</f>
        <v/>
      </c>
      <c r="P218" s="7">
        <f>IF($U218="","",O218*N218)</f>
        <v/>
      </c>
      <c r="Q218" s="7">
        <f>IF($U218="","",P218+M218)</f>
        <v/>
      </c>
      <c r="R218" s="7">
        <f>IF($U218="","",S218-Q218)</f>
        <v/>
      </c>
      <c r="S218" s="7">
        <f>IF($U218="","",L218+O218)</f>
        <v/>
      </c>
      <c r="T218" s="7">
        <f>IF($U218="","",S218-Q218-G218)</f>
        <v/>
      </c>
      <c r="U218" s="13">
        <f>IF(ROWS($U$2:$U218)&lt;=MAX('Per Line'!$V$2:$V$1001),MATCH(ROWS($U$2:$U218),'Per Line'!$V$2:$V$1001,0),"")</f>
        <v/>
      </c>
    </row>
    <row r="219">
      <c r="A219">
        <f>IF($U219="","",INDEX('Per Line'!$A$2:$A$1001,$U219)&amp;"")</f>
        <v/>
      </c>
      <c r="B219" s="12" t="n"/>
      <c r="C219">
        <f>IF($U219="","",INDEX('Per Line'!$B$2:$B$1001,$U219)&amp;"")</f>
        <v/>
      </c>
      <c r="D219">
        <f>IF($U219="","",INDEX('Per Line'!$C$2:$C$1001,$U219)&amp;"")</f>
        <v/>
      </c>
      <c r="E219">
        <f>IF($U219="","",INDEX('Per Line'!$D$2:$D$1001,$U219)&amp;"")</f>
        <v/>
      </c>
      <c r="F219">
        <f>IF($U219="","",INDEX('Per Line'!$E$2:$E$1001,$U219))</f>
        <v/>
      </c>
      <c r="G219" s="7">
        <f>IF($U219="","",F219*S219/100)</f>
        <v/>
      </c>
      <c r="H219">
        <f>IF($U219="","",INDEX('Per Line'!$O$2:$O$1001,$U219)&amp;"")</f>
        <v/>
      </c>
      <c r="I219" s="11">
        <f>IF($U219="","",INDEX('Per Line'!$Q$2:$Q$1001,$U219))</f>
        <v/>
      </c>
      <c r="J219">
        <f>IF($U219="","",INDEX('Per Line'!$R$2:$R$1001,$U219)&amp;"")</f>
        <v/>
      </c>
      <c r="K219">
        <f>IF($U219="","",Settings!$C$7)</f>
        <v/>
      </c>
      <c r="L219" s="7">
        <f>IF($U219="","",SUMIFS('Per Line'!$N$2:$N$1001,'Per Line'!$A$2:$A$1001,$A219,'Per Line'!$W$2:$W$1001,0))</f>
        <v/>
      </c>
      <c r="M219" s="7">
        <f>IF($U219="","",L219*K219)</f>
        <v/>
      </c>
      <c r="N219">
        <f>IF($U219="","",Settings!$C$6)</f>
        <v/>
      </c>
      <c r="O219" s="7">
        <f>IF($U219="","",SUMIFS('Per Line'!$N$2:$N$1001,'Per Line'!$A$2:$A$1001,$A219,'Per Line'!$W$2:$W$1001,1))</f>
        <v/>
      </c>
      <c r="P219" s="7">
        <f>IF($U219="","",O219*N219)</f>
        <v/>
      </c>
      <c r="Q219" s="7">
        <f>IF($U219="","",P219+M219)</f>
        <v/>
      </c>
      <c r="R219" s="7">
        <f>IF($U219="","",S219-Q219)</f>
        <v/>
      </c>
      <c r="S219" s="7">
        <f>IF($U219="","",L219+O219)</f>
        <v/>
      </c>
      <c r="T219" s="7">
        <f>IF($U219="","",S219-Q219-G219)</f>
        <v/>
      </c>
      <c r="U219" s="13">
        <f>IF(ROWS($U$2:$U219)&lt;=MAX('Per Line'!$V$2:$V$1001),MATCH(ROWS($U$2:$U219),'Per Line'!$V$2:$V$1001,0),"")</f>
        <v/>
      </c>
    </row>
    <row r="220">
      <c r="A220">
        <f>IF($U220="","",INDEX('Per Line'!$A$2:$A$1001,$U220)&amp;"")</f>
        <v/>
      </c>
      <c r="B220" s="12" t="n"/>
      <c r="C220">
        <f>IF($U220="","",INDEX('Per Line'!$B$2:$B$1001,$U220)&amp;"")</f>
        <v/>
      </c>
      <c r="D220">
        <f>IF($U220="","",INDEX('Per Line'!$C$2:$C$1001,$U220)&amp;"")</f>
        <v/>
      </c>
      <c r="E220">
        <f>IF($U220="","",INDEX('Per Line'!$D$2:$D$1001,$U220)&amp;"")</f>
        <v/>
      </c>
      <c r="F220">
        <f>IF($U220="","",INDEX('Per Line'!$E$2:$E$1001,$U220))</f>
        <v/>
      </c>
      <c r="G220" s="7">
        <f>IF($U220="","",F220*S220/100)</f>
        <v/>
      </c>
      <c r="H220">
        <f>IF($U220="","",INDEX('Per Line'!$O$2:$O$1001,$U220)&amp;"")</f>
        <v/>
      </c>
      <c r="I220" s="11">
        <f>IF($U220="","",INDEX('Per Line'!$Q$2:$Q$1001,$U220))</f>
        <v/>
      </c>
      <c r="J220">
        <f>IF($U220="","",INDEX('Per Line'!$R$2:$R$1001,$U220)&amp;"")</f>
        <v/>
      </c>
      <c r="K220">
        <f>IF($U220="","",Settings!$C$7)</f>
        <v/>
      </c>
      <c r="L220" s="7">
        <f>IF($U220="","",SUMIFS('Per Line'!$N$2:$N$1001,'Per Line'!$A$2:$A$1001,$A220,'Per Line'!$W$2:$W$1001,0))</f>
        <v/>
      </c>
      <c r="M220" s="7">
        <f>IF($U220="","",L220*K220)</f>
        <v/>
      </c>
      <c r="N220">
        <f>IF($U220="","",Settings!$C$6)</f>
        <v/>
      </c>
      <c r="O220" s="7">
        <f>IF($U220="","",SUMIFS('Per Line'!$N$2:$N$1001,'Per Line'!$A$2:$A$1001,$A220,'Per Line'!$W$2:$W$1001,1))</f>
        <v/>
      </c>
      <c r="P220" s="7">
        <f>IF($U220="","",O220*N220)</f>
        <v/>
      </c>
      <c r="Q220" s="7">
        <f>IF($U220="","",P220+M220)</f>
        <v/>
      </c>
      <c r="R220" s="7">
        <f>IF($U220="","",S220-Q220)</f>
        <v/>
      </c>
      <c r="S220" s="7">
        <f>IF($U220="","",L220+O220)</f>
        <v/>
      </c>
      <c r="T220" s="7">
        <f>IF($U220="","",S220-Q220-G220)</f>
        <v/>
      </c>
      <c r="U220" s="13">
        <f>IF(ROWS($U$2:$U220)&lt;=MAX('Per Line'!$V$2:$V$1001),MATCH(ROWS($U$2:$U220),'Per Line'!$V$2:$V$1001,0),"")</f>
        <v/>
      </c>
    </row>
    <row r="221">
      <c r="A221">
        <f>IF($U221="","",INDEX('Per Line'!$A$2:$A$1001,$U221)&amp;"")</f>
        <v/>
      </c>
      <c r="B221" s="12" t="n"/>
      <c r="C221">
        <f>IF($U221="","",INDEX('Per Line'!$B$2:$B$1001,$U221)&amp;"")</f>
        <v/>
      </c>
      <c r="D221">
        <f>IF($U221="","",INDEX('Per Line'!$C$2:$C$1001,$U221)&amp;"")</f>
        <v/>
      </c>
      <c r="E221">
        <f>IF($U221="","",INDEX('Per Line'!$D$2:$D$1001,$U221)&amp;"")</f>
        <v/>
      </c>
      <c r="F221">
        <f>IF($U221="","",INDEX('Per Line'!$E$2:$E$1001,$U221))</f>
        <v/>
      </c>
      <c r="G221" s="7">
        <f>IF($U221="","",F221*S221/100)</f>
        <v/>
      </c>
      <c r="H221">
        <f>IF($U221="","",INDEX('Per Line'!$O$2:$O$1001,$U221)&amp;"")</f>
        <v/>
      </c>
      <c r="I221" s="11">
        <f>IF($U221="","",INDEX('Per Line'!$Q$2:$Q$1001,$U221))</f>
        <v/>
      </c>
      <c r="J221">
        <f>IF($U221="","",INDEX('Per Line'!$R$2:$R$1001,$U221)&amp;"")</f>
        <v/>
      </c>
      <c r="K221">
        <f>IF($U221="","",Settings!$C$7)</f>
        <v/>
      </c>
      <c r="L221" s="7">
        <f>IF($U221="","",SUMIFS('Per Line'!$N$2:$N$1001,'Per Line'!$A$2:$A$1001,$A221,'Per Line'!$W$2:$W$1001,0))</f>
        <v/>
      </c>
      <c r="M221" s="7">
        <f>IF($U221="","",L221*K221)</f>
        <v/>
      </c>
      <c r="N221">
        <f>IF($U221="","",Settings!$C$6)</f>
        <v/>
      </c>
      <c r="O221" s="7">
        <f>IF($U221="","",SUMIFS('Per Line'!$N$2:$N$1001,'Per Line'!$A$2:$A$1001,$A221,'Per Line'!$W$2:$W$1001,1))</f>
        <v/>
      </c>
      <c r="P221" s="7">
        <f>IF($U221="","",O221*N221)</f>
        <v/>
      </c>
      <c r="Q221" s="7">
        <f>IF($U221="","",P221+M221)</f>
        <v/>
      </c>
      <c r="R221" s="7">
        <f>IF($U221="","",S221-Q221)</f>
        <v/>
      </c>
      <c r="S221" s="7">
        <f>IF($U221="","",L221+O221)</f>
        <v/>
      </c>
      <c r="T221" s="7">
        <f>IF($U221="","",S221-Q221-G221)</f>
        <v/>
      </c>
      <c r="U221" s="13">
        <f>IF(ROWS($U$2:$U221)&lt;=MAX('Per Line'!$V$2:$V$1001),MATCH(ROWS($U$2:$U221),'Per Line'!$V$2:$V$1001,0),"")</f>
        <v/>
      </c>
    </row>
    <row r="222">
      <c r="A222">
        <f>IF($U222="","",INDEX('Per Line'!$A$2:$A$1001,$U222)&amp;"")</f>
        <v/>
      </c>
      <c r="B222" s="12" t="n"/>
      <c r="C222">
        <f>IF($U222="","",INDEX('Per Line'!$B$2:$B$1001,$U222)&amp;"")</f>
        <v/>
      </c>
      <c r="D222">
        <f>IF($U222="","",INDEX('Per Line'!$C$2:$C$1001,$U222)&amp;"")</f>
        <v/>
      </c>
      <c r="E222">
        <f>IF($U222="","",INDEX('Per Line'!$D$2:$D$1001,$U222)&amp;"")</f>
        <v/>
      </c>
      <c r="F222">
        <f>IF($U222="","",INDEX('Per Line'!$E$2:$E$1001,$U222))</f>
        <v/>
      </c>
      <c r="G222" s="7">
        <f>IF($U222="","",F222*S222/100)</f>
        <v/>
      </c>
      <c r="H222">
        <f>IF($U222="","",INDEX('Per Line'!$O$2:$O$1001,$U222)&amp;"")</f>
        <v/>
      </c>
      <c r="I222" s="11">
        <f>IF($U222="","",INDEX('Per Line'!$Q$2:$Q$1001,$U222))</f>
        <v/>
      </c>
      <c r="J222">
        <f>IF($U222="","",INDEX('Per Line'!$R$2:$R$1001,$U222)&amp;"")</f>
        <v/>
      </c>
      <c r="K222">
        <f>IF($U222="","",Settings!$C$7)</f>
        <v/>
      </c>
      <c r="L222" s="7">
        <f>IF($U222="","",SUMIFS('Per Line'!$N$2:$N$1001,'Per Line'!$A$2:$A$1001,$A222,'Per Line'!$W$2:$W$1001,0))</f>
        <v/>
      </c>
      <c r="M222" s="7">
        <f>IF($U222="","",L222*K222)</f>
        <v/>
      </c>
      <c r="N222">
        <f>IF($U222="","",Settings!$C$6)</f>
        <v/>
      </c>
      <c r="O222" s="7">
        <f>IF($U222="","",SUMIFS('Per Line'!$N$2:$N$1001,'Per Line'!$A$2:$A$1001,$A222,'Per Line'!$W$2:$W$1001,1))</f>
        <v/>
      </c>
      <c r="P222" s="7">
        <f>IF($U222="","",O222*N222)</f>
        <v/>
      </c>
      <c r="Q222" s="7">
        <f>IF($U222="","",P222+M222)</f>
        <v/>
      </c>
      <c r="R222" s="7">
        <f>IF($U222="","",S222-Q222)</f>
        <v/>
      </c>
      <c r="S222" s="7">
        <f>IF($U222="","",L222+O222)</f>
        <v/>
      </c>
      <c r="T222" s="7">
        <f>IF($U222="","",S222-Q222-G222)</f>
        <v/>
      </c>
      <c r="U222" s="13">
        <f>IF(ROWS($U$2:$U222)&lt;=MAX('Per Line'!$V$2:$V$1001),MATCH(ROWS($U$2:$U222),'Per Line'!$V$2:$V$1001,0),"")</f>
        <v/>
      </c>
    </row>
    <row r="223">
      <c r="A223">
        <f>IF($U223="","",INDEX('Per Line'!$A$2:$A$1001,$U223)&amp;"")</f>
        <v/>
      </c>
      <c r="B223" s="12" t="n"/>
      <c r="C223">
        <f>IF($U223="","",INDEX('Per Line'!$B$2:$B$1001,$U223)&amp;"")</f>
        <v/>
      </c>
      <c r="D223">
        <f>IF($U223="","",INDEX('Per Line'!$C$2:$C$1001,$U223)&amp;"")</f>
        <v/>
      </c>
      <c r="E223">
        <f>IF($U223="","",INDEX('Per Line'!$D$2:$D$1001,$U223)&amp;"")</f>
        <v/>
      </c>
      <c r="F223">
        <f>IF($U223="","",INDEX('Per Line'!$E$2:$E$1001,$U223))</f>
        <v/>
      </c>
      <c r="G223" s="7">
        <f>IF($U223="","",F223*S223/100)</f>
        <v/>
      </c>
      <c r="H223">
        <f>IF($U223="","",INDEX('Per Line'!$O$2:$O$1001,$U223)&amp;"")</f>
        <v/>
      </c>
      <c r="I223" s="11">
        <f>IF($U223="","",INDEX('Per Line'!$Q$2:$Q$1001,$U223))</f>
        <v/>
      </c>
      <c r="J223">
        <f>IF($U223="","",INDEX('Per Line'!$R$2:$R$1001,$U223)&amp;"")</f>
        <v/>
      </c>
      <c r="K223">
        <f>IF($U223="","",Settings!$C$7)</f>
        <v/>
      </c>
      <c r="L223" s="7">
        <f>IF($U223="","",SUMIFS('Per Line'!$N$2:$N$1001,'Per Line'!$A$2:$A$1001,$A223,'Per Line'!$W$2:$W$1001,0))</f>
        <v/>
      </c>
      <c r="M223" s="7">
        <f>IF($U223="","",L223*K223)</f>
        <v/>
      </c>
      <c r="N223">
        <f>IF($U223="","",Settings!$C$6)</f>
        <v/>
      </c>
      <c r="O223" s="7">
        <f>IF($U223="","",SUMIFS('Per Line'!$N$2:$N$1001,'Per Line'!$A$2:$A$1001,$A223,'Per Line'!$W$2:$W$1001,1))</f>
        <v/>
      </c>
      <c r="P223" s="7">
        <f>IF($U223="","",O223*N223)</f>
        <v/>
      </c>
      <c r="Q223" s="7">
        <f>IF($U223="","",P223+M223)</f>
        <v/>
      </c>
      <c r="R223" s="7">
        <f>IF($U223="","",S223-Q223)</f>
        <v/>
      </c>
      <c r="S223" s="7">
        <f>IF($U223="","",L223+O223)</f>
        <v/>
      </c>
      <c r="T223" s="7">
        <f>IF($U223="","",S223-Q223-G223)</f>
        <v/>
      </c>
      <c r="U223" s="13">
        <f>IF(ROWS($U$2:$U223)&lt;=MAX('Per Line'!$V$2:$V$1001),MATCH(ROWS($U$2:$U223),'Per Line'!$V$2:$V$1001,0),"")</f>
        <v/>
      </c>
    </row>
    <row r="224">
      <c r="A224">
        <f>IF($U224="","",INDEX('Per Line'!$A$2:$A$1001,$U224)&amp;"")</f>
        <v/>
      </c>
      <c r="B224" s="12" t="n"/>
      <c r="C224">
        <f>IF($U224="","",INDEX('Per Line'!$B$2:$B$1001,$U224)&amp;"")</f>
        <v/>
      </c>
      <c r="D224">
        <f>IF($U224="","",INDEX('Per Line'!$C$2:$C$1001,$U224)&amp;"")</f>
        <v/>
      </c>
      <c r="E224">
        <f>IF($U224="","",INDEX('Per Line'!$D$2:$D$1001,$U224)&amp;"")</f>
        <v/>
      </c>
      <c r="F224">
        <f>IF($U224="","",INDEX('Per Line'!$E$2:$E$1001,$U224))</f>
        <v/>
      </c>
      <c r="G224" s="7">
        <f>IF($U224="","",F224*S224/100)</f>
        <v/>
      </c>
      <c r="H224">
        <f>IF($U224="","",INDEX('Per Line'!$O$2:$O$1001,$U224)&amp;"")</f>
        <v/>
      </c>
      <c r="I224" s="11">
        <f>IF($U224="","",INDEX('Per Line'!$Q$2:$Q$1001,$U224))</f>
        <v/>
      </c>
      <c r="J224">
        <f>IF($U224="","",INDEX('Per Line'!$R$2:$R$1001,$U224)&amp;"")</f>
        <v/>
      </c>
      <c r="K224">
        <f>IF($U224="","",Settings!$C$7)</f>
        <v/>
      </c>
      <c r="L224" s="7">
        <f>IF($U224="","",SUMIFS('Per Line'!$N$2:$N$1001,'Per Line'!$A$2:$A$1001,$A224,'Per Line'!$W$2:$W$1001,0))</f>
        <v/>
      </c>
      <c r="M224" s="7">
        <f>IF($U224="","",L224*K224)</f>
        <v/>
      </c>
      <c r="N224">
        <f>IF($U224="","",Settings!$C$6)</f>
        <v/>
      </c>
      <c r="O224" s="7">
        <f>IF($U224="","",SUMIFS('Per Line'!$N$2:$N$1001,'Per Line'!$A$2:$A$1001,$A224,'Per Line'!$W$2:$W$1001,1))</f>
        <v/>
      </c>
      <c r="P224" s="7">
        <f>IF($U224="","",O224*N224)</f>
        <v/>
      </c>
      <c r="Q224" s="7">
        <f>IF($U224="","",P224+M224)</f>
        <v/>
      </c>
      <c r="R224" s="7">
        <f>IF($U224="","",S224-Q224)</f>
        <v/>
      </c>
      <c r="S224" s="7">
        <f>IF($U224="","",L224+O224)</f>
        <v/>
      </c>
      <c r="T224" s="7">
        <f>IF($U224="","",S224-Q224-G224)</f>
        <v/>
      </c>
      <c r="U224" s="13">
        <f>IF(ROWS($U$2:$U224)&lt;=MAX('Per Line'!$V$2:$V$1001),MATCH(ROWS($U$2:$U224),'Per Line'!$V$2:$V$1001,0),"")</f>
        <v/>
      </c>
    </row>
    <row r="225">
      <c r="A225">
        <f>IF($U225="","",INDEX('Per Line'!$A$2:$A$1001,$U225)&amp;"")</f>
        <v/>
      </c>
      <c r="B225" s="12" t="n"/>
      <c r="C225">
        <f>IF($U225="","",INDEX('Per Line'!$B$2:$B$1001,$U225)&amp;"")</f>
        <v/>
      </c>
      <c r="D225">
        <f>IF($U225="","",INDEX('Per Line'!$C$2:$C$1001,$U225)&amp;"")</f>
        <v/>
      </c>
      <c r="E225">
        <f>IF($U225="","",INDEX('Per Line'!$D$2:$D$1001,$U225)&amp;"")</f>
        <v/>
      </c>
      <c r="F225">
        <f>IF($U225="","",INDEX('Per Line'!$E$2:$E$1001,$U225))</f>
        <v/>
      </c>
      <c r="G225" s="7">
        <f>IF($U225="","",F225*S225/100)</f>
        <v/>
      </c>
      <c r="H225">
        <f>IF($U225="","",INDEX('Per Line'!$O$2:$O$1001,$U225)&amp;"")</f>
        <v/>
      </c>
      <c r="I225" s="11">
        <f>IF($U225="","",INDEX('Per Line'!$Q$2:$Q$1001,$U225))</f>
        <v/>
      </c>
      <c r="J225">
        <f>IF($U225="","",INDEX('Per Line'!$R$2:$R$1001,$U225)&amp;"")</f>
        <v/>
      </c>
      <c r="K225">
        <f>IF($U225="","",Settings!$C$7)</f>
        <v/>
      </c>
      <c r="L225" s="7">
        <f>IF($U225="","",SUMIFS('Per Line'!$N$2:$N$1001,'Per Line'!$A$2:$A$1001,$A225,'Per Line'!$W$2:$W$1001,0))</f>
        <v/>
      </c>
      <c r="M225" s="7">
        <f>IF($U225="","",L225*K225)</f>
        <v/>
      </c>
      <c r="N225">
        <f>IF($U225="","",Settings!$C$6)</f>
        <v/>
      </c>
      <c r="O225" s="7">
        <f>IF($U225="","",SUMIFS('Per Line'!$N$2:$N$1001,'Per Line'!$A$2:$A$1001,$A225,'Per Line'!$W$2:$W$1001,1))</f>
        <v/>
      </c>
      <c r="P225" s="7">
        <f>IF($U225="","",O225*N225)</f>
        <v/>
      </c>
      <c r="Q225" s="7">
        <f>IF($U225="","",P225+M225)</f>
        <v/>
      </c>
      <c r="R225" s="7">
        <f>IF($U225="","",S225-Q225)</f>
        <v/>
      </c>
      <c r="S225" s="7">
        <f>IF($U225="","",L225+O225)</f>
        <v/>
      </c>
      <c r="T225" s="7">
        <f>IF($U225="","",S225-Q225-G225)</f>
        <v/>
      </c>
      <c r="U225" s="13">
        <f>IF(ROWS($U$2:$U225)&lt;=MAX('Per Line'!$V$2:$V$1001),MATCH(ROWS($U$2:$U225),'Per Line'!$V$2:$V$1001,0),"")</f>
        <v/>
      </c>
    </row>
    <row r="226">
      <c r="A226">
        <f>IF($U226="","",INDEX('Per Line'!$A$2:$A$1001,$U226)&amp;"")</f>
        <v/>
      </c>
      <c r="B226" s="12" t="n"/>
      <c r="C226">
        <f>IF($U226="","",INDEX('Per Line'!$B$2:$B$1001,$U226)&amp;"")</f>
        <v/>
      </c>
      <c r="D226">
        <f>IF($U226="","",INDEX('Per Line'!$C$2:$C$1001,$U226)&amp;"")</f>
        <v/>
      </c>
      <c r="E226">
        <f>IF($U226="","",INDEX('Per Line'!$D$2:$D$1001,$U226)&amp;"")</f>
        <v/>
      </c>
      <c r="F226">
        <f>IF($U226="","",INDEX('Per Line'!$E$2:$E$1001,$U226))</f>
        <v/>
      </c>
      <c r="G226" s="7">
        <f>IF($U226="","",F226*S226/100)</f>
        <v/>
      </c>
      <c r="H226">
        <f>IF($U226="","",INDEX('Per Line'!$O$2:$O$1001,$U226)&amp;"")</f>
        <v/>
      </c>
      <c r="I226" s="11">
        <f>IF($U226="","",INDEX('Per Line'!$Q$2:$Q$1001,$U226))</f>
        <v/>
      </c>
      <c r="J226">
        <f>IF($U226="","",INDEX('Per Line'!$R$2:$R$1001,$U226)&amp;"")</f>
        <v/>
      </c>
      <c r="K226">
        <f>IF($U226="","",Settings!$C$7)</f>
        <v/>
      </c>
      <c r="L226" s="7">
        <f>IF($U226="","",SUMIFS('Per Line'!$N$2:$N$1001,'Per Line'!$A$2:$A$1001,$A226,'Per Line'!$W$2:$W$1001,0))</f>
        <v/>
      </c>
      <c r="M226" s="7">
        <f>IF($U226="","",L226*K226)</f>
        <v/>
      </c>
      <c r="N226">
        <f>IF($U226="","",Settings!$C$6)</f>
        <v/>
      </c>
      <c r="O226" s="7">
        <f>IF($U226="","",SUMIFS('Per Line'!$N$2:$N$1001,'Per Line'!$A$2:$A$1001,$A226,'Per Line'!$W$2:$W$1001,1))</f>
        <v/>
      </c>
      <c r="P226" s="7">
        <f>IF($U226="","",O226*N226)</f>
        <v/>
      </c>
      <c r="Q226" s="7">
        <f>IF($U226="","",P226+M226)</f>
        <v/>
      </c>
      <c r="R226" s="7">
        <f>IF($U226="","",S226-Q226)</f>
        <v/>
      </c>
      <c r="S226" s="7">
        <f>IF($U226="","",L226+O226)</f>
        <v/>
      </c>
      <c r="T226" s="7">
        <f>IF($U226="","",S226-Q226-G226)</f>
        <v/>
      </c>
      <c r="U226" s="13">
        <f>IF(ROWS($U$2:$U226)&lt;=MAX('Per Line'!$V$2:$V$1001),MATCH(ROWS($U$2:$U226),'Per Line'!$V$2:$V$1001,0),"")</f>
        <v/>
      </c>
    </row>
    <row r="227">
      <c r="A227">
        <f>IF($U227="","",INDEX('Per Line'!$A$2:$A$1001,$U227)&amp;"")</f>
        <v/>
      </c>
      <c r="B227" s="12" t="n"/>
      <c r="C227">
        <f>IF($U227="","",INDEX('Per Line'!$B$2:$B$1001,$U227)&amp;"")</f>
        <v/>
      </c>
      <c r="D227">
        <f>IF($U227="","",INDEX('Per Line'!$C$2:$C$1001,$U227)&amp;"")</f>
        <v/>
      </c>
      <c r="E227">
        <f>IF($U227="","",INDEX('Per Line'!$D$2:$D$1001,$U227)&amp;"")</f>
        <v/>
      </c>
      <c r="F227">
        <f>IF($U227="","",INDEX('Per Line'!$E$2:$E$1001,$U227))</f>
        <v/>
      </c>
      <c r="G227" s="7">
        <f>IF($U227="","",F227*S227/100)</f>
        <v/>
      </c>
      <c r="H227">
        <f>IF($U227="","",INDEX('Per Line'!$O$2:$O$1001,$U227)&amp;"")</f>
        <v/>
      </c>
      <c r="I227" s="11">
        <f>IF($U227="","",INDEX('Per Line'!$Q$2:$Q$1001,$U227))</f>
        <v/>
      </c>
      <c r="J227">
        <f>IF($U227="","",INDEX('Per Line'!$R$2:$R$1001,$U227)&amp;"")</f>
        <v/>
      </c>
      <c r="K227">
        <f>IF($U227="","",Settings!$C$7)</f>
        <v/>
      </c>
      <c r="L227" s="7">
        <f>IF($U227="","",SUMIFS('Per Line'!$N$2:$N$1001,'Per Line'!$A$2:$A$1001,$A227,'Per Line'!$W$2:$W$1001,0))</f>
        <v/>
      </c>
      <c r="M227" s="7">
        <f>IF($U227="","",L227*K227)</f>
        <v/>
      </c>
      <c r="N227">
        <f>IF($U227="","",Settings!$C$6)</f>
        <v/>
      </c>
      <c r="O227" s="7">
        <f>IF($U227="","",SUMIFS('Per Line'!$N$2:$N$1001,'Per Line'!$A$2:$A$1001,$A227,'Per Line'!$W$2:$W$1001,1))</f>
        <v/>
      </c>
      <c r="P227" s="7">
        <f>IF($U227="","",O227*N227)</f>
        <v/>
      </c>
      <c r="Q227" s="7">
        <f>IF($U227="","",P227+M227)</f>
        <v/>
      </c>
      <c r="R227" s="7">
        <f>IF($U227="","",S227-Q227)</f>
        <v/>
      </c>
      <c r="S227" s="7">
        <f>IF($U227="","",L227+O227)</f>
        <v/>
      </c>
      <c r="T227" s="7">
        <f>IF($U227="","",S227-Q227-G227)</f>
        <v/>
      </c>
      <c r="U227" s="13">
        <f>IF(ROWS($U$2:$U227)&lt;=MAX('Per Line'!$V$2:$V$1001),MATCH(ROWS($U$2:$U227),'Per Line'!$V$2:$V$1001,0),"")</f>
        <v/>
      </c>
    </row>
    <row r="228">
      <c r="A228">
        <f>IF($U228="","",INDEX('Per Line'!$A$2:$A$1001,$U228)&amp;"")</f>
        <v/>
      </c>
      <c r="B228" s="12" t="n"/>
      <c r="C228">
        <f>IF($U228="","",INDEX('Per Line'!$B$2:$B$1001,$U228)&amp;"")</f>
        <v/>
      </c>
      <c r="D228">
        <f>IF($U228="","",INDEX('Per Line'!$C$2:$C$1001,$U228)&amp;"")</f>
        <v/>
      </c>
      <c r="E228">
        <f>IF($U228="","",INDEX('Per Line'!$D$2:$D$1001,$U228)&amp;"")</f>
        <v/>
      </c>
      <c r="F228">
        <f>IF($U228="","",INDEX('Per Line'!$E$2:$E$1001,$U228))</f>
        <v/>
      </c>
      <c r="G228" s="7">
        <f>IF($U228="","",F228*S228/100)</f>
        <v/>
      </c>
      <c r="H228">
        <f>IF($U228="","",INDEX('Per Line'!$O$2:$O$1001,$U228)&amp;"")</f>
        <v/>
      </c>
      <c r="I228" s="11">
        <f>IF($U228="","",INDEX('Per Line'!$Q$2:$Q$1001,$U228))</f>
        <v/>
      </c>
      <c r="J228">
        <f>IF($U228="","",INDEX('Per Line'!$R$2:$R$1001,$U228)&amp;"")</f>
        <v/>
      </c>
      <c r="K228">
        <f>IF($U228="","",Settings!$C$7)</f>
        <v/>
      </c>
      <c r="L228" s="7">
        <f>IF($U228="","",SUMIFS('Per Line'!$N$2:$N$1001,'Per Line'!$A$2:$A$1001,$A228,'Per Line'!$W$2:$W$1001,0))</f>
        <v/>
      </c>
      <c r="M228" s="7">
        <f>IF($U228="","",L228*K228)</f>
        <v/>
      </c>
      <c r="N228">
        <f>IF($U228="","",Settings!$C$6)</f>
        <v/>
      </c>
      <c r="O228" s="7">
        <f>IF($U228="","",SUMIFS('Per Line'!$N$2:$N$1001,'Per Line'!$A$2:$A$1001,$A228,'Per Line'!$W$2:$W$1001,1))</f>
        <v/>
      </c>
      <c r="P228" s="7">
        <f>IF($U228="","",O228*N228)</f>
        <v/>
      </c>
      <c r="Q228" s="7">
        <f>IF($U228="","",P228+M228)</f>
        <v/>
      </c>
      <c r="R228" s="7">
        <f>IF($U228="","",S228-Q228)</f>
        <v/>
      </c>
      <c r="S228" s="7">
        <f>IF($U228="","",L228+O228)</f>
        <v/>
      </c>
      <c r="T228" s="7">
        <f>IF($U228="","",S228-Q228-G228)</f>
        <v/>
      </c>
      <c r="U228" s="13">
        <f>IF(ROWS($U$2:$U228)&lt;=MAX('Per Line'!$V$2:$V$1001),MATCH(ROWS($U$2:$U228),'Per Line'!$V$2:$V$1001,0),"")</f>
        <v/>
      </c>
    </row>
    <row r="229">
      <c r="A229">
        <f>IF($U229="","",INDEX('Per Line'!$A$2:$A$1001,$U229)&amp;"")</f>
        <v/>
      </c>
      <c r="B229" s="12" t="n"/>
      <c r="C229">
        <f>IF($U229="","",INDEX('Per Line'!$B$2:$B$1001,$U229)&amp;"")</f>
        <v/>
      </c>
      <c r="D229">
        <f>IF($U229="","",INDEX('Per Line'!$C$2:$C$1001,$U229)&amp;"")</f>
        <v/>
      </c>
      <c r="E229">
        <f>IF($U229="","",INDEX('Per Line'!$D$2:$D$1001,$U229)&amp;"")</f>
        <v/>
      </c>
      <c r="F229">
        <f>IF($U229="","",INDEX('Per Line'!$E$2:$E$1001,$U229))</f>
        <v/>
      </c>
      <c r="G229" s="7">
        <f>IF($U229="","",F229*S229/100)</f>
        <v/>
      </c>
      <c r="H229">
        <f>IF($U229="","",INDEX('Per Line'!$O$2:$O$1001,$U229)&amp;"")</f>
        <v/>
      </c>
      <c r="I229" s="11">
        <f>IF($U229="","",INDEX('Per Line'!$Q$2:$Q$1001,$U229))</f>
        <v/>
      </c>
      <c r="J229">
        <f>IF($U229="","",INDEX('Per Line'!$R$2:$R$1001,$U229)&amp;"")</f>
        <v/>
      </c>
      <c r="K229">
        <f>IF($U229="","",Settings!$C$7)</f>
        <v/>
      </c>
      <c r="L229" s="7">
        <f>IF($U229="","",SUMIFS('Per Line'!$N$2:$N$1001,'Per Line'!$A$2:$A$1001,$A229,'Per Line'!$W$2:$W$1001,0))</f>
        <v/>
      </c>
      <c r="M229" s="7">
        <f>IF($U229="","",L229*K229)</f>
        <v/>
      </c>
      <c r="N229">
        <f>IF($U229="","",Settings!$C$6)</f>
        <v/>
      </c>
      <c r="O229" s="7">
        <f>IF($U229="","",SUMIFS('Per Line'!$N$2:$N$1001,'Per Line'!$A$2:$A$1001,$A229,'Per Line'!$W$2:$W$1001,1))</f>
        <v/>
      </c>
      <c r="P229" s="7">
        <f>IF($U229="","",O229*N229)</f>
        <v/>
      </c>
      <c r="Q229" s="7">
        <f>IF($U229="","",P229+M229)</f>
        <v/>
      </c>
      <c r="R229" s="7">
        <f>IF($U229="","",S229-Q229)</f>
        <v/>
      </c>
      <c r="S229" s="7">
        <f>IF($U229="","",L229+O229)</f>
        <v/>
      </c>
      <c r="T229" s="7">
        <f>IF($U229="","",S229-Q229-G229)</f>
        <v/>
      </c>
      <c r="U229" s="13">
        <f>IF(ROWS($U$2:$U229)&lt;=MAX('Per Line'!$V$2:$V$1001),MATCH(ROWS($U$2:$U229),'Per Line'!$V$2:$V$1001,0),"")</f>
        <v/>
      </c>
    </row>
    <row r="230">
      <c r="A230">
        <f>IF($U230="","",INDEX('Per Line'!$A$2:$A$1001,$U230)&amp;"")</f>
        <v/>
      </c>
      <c r="B230" s="12" t="n"/>
      <c r="C230">
        <f>IF($U230="","",INDEX('Per Line'!$B$2:$B$1001,$U230)&amp;"")</f>
        <v/>
      </c>
      <c r="D230">
        <f>IF($U230="","",INDEX('Per Line'!$C$2:$C$1001,$U230)&amp;"")</f>
        <v/>
      </c>
      <c r="E230">
        <f>IF($U230="","",INDEX('Per Line'!$D$2:$D$1001,$U230)&amp;"")</f>
        <v/>
      </c>
      <c r="F230">
        <f>IF($U230="","",INDEX('Per Line'!$E$2:$E$1001,$U230))</f>
        <v/>
      </c>
      <c r="G230" s="7">
        <f>IF($U230="","",F230*S230/100)</f>
        <v/>
      </c>
      <c r="H230">
        <f>IF($U230="","",INDEX('Per Line'!$O$2:$O$1001,$U230)&amp;"")</f>
        <v/>
      </c>
      <c r="I230" s="11">
        <f>IF($U230="","",INDEX('Per Line'!$Q$2:$Q$1001,$U230))</f>
        <v/>
      </c>
      <c r="J230">
        <f>IF($U230="","",INDEX('Per Line'!$R$2:$R$1001,$U230)&amp;"")</f>
        <v/>
      </c>
      <c r="K230">
        <f>IF($U230="","",Settings!$C$7)</f>
        <v/>
      </c>
      <c r="L230" s="7">
        <f>IF($U230="","",SUMIFS('Per Line'!$N$2:$N$1001,'Per Line'!$A$2:$A$1001,$A230,'Per Line'!$W$2:$W$1001,0))</f>
        <v/>
      </c>
      <c r="M230" s="7">
        <f>IF($U230="","",L230*K230)</f>
        <v/>
      </c>
      <c r="N230">
        <f>IF($U230="","",Settings!$C$6)</f>
        <v/>
      </c>
      <c r="O230" s="7">
        <f>IF($U230="","",SUMIFS('Per Line'!$N$2:$N$1001,'Per Line'!$A$2:$A$1001,$A230,'Per Line'!$W$2:$W$1001,1))</f>
        <v/>
      </c>
      <c r="P230" s="7">
        <f>IF($U230="","",O230*N230)</f>
        <v/>
      </c>
      <c r="Q230" s="7">
        <f>IF($U230="","",P230+M230)</f>
        <v/>
      </c>
      <c r="R230" s="7">
        <f>IF($U230="","",S230-Q230)</f>
        <v/>
      </c>
      <c r="S230" s="7">
        <f>IF($U230="","",L230+O230)</f>
        <v/>
      </c>
      <c r="T230" s="7">
        <f>IF($U230="","",S230-Q230-G230)</f>
        <v/>
      </c>
      <c r="U230" s="13">
        <f>IF(ROWS($U$2:$U230)&lt;=MAX('Per Line'!$V$2:$V$1001),MATCH(ROWS($U$2:$U230),'Per Line'!$V$2:$V$1001,0),"")</f>
        <v/>
      </c>
    </row>
    <row r="231">
      <c r="A231">
        <f>IF($U231="","",INDEX('Per Line'!$A$2:$A$1001,$U231)&amp;"")</f>
        <v/>
      </c>
      <c r="B231" s="12" t="n"/>
      <c r="C231">
        <f>IF($U231="","",INDEX('Per Line'!$B$2:$B$1001,$U231)&amp;"")</f>
        <v/>
      </c>
      <c r="D231">
        <f>IF($U231="","",INDEX('Per Line'!$C$2:$C$1001,$U231)&amp;"")</f>
        <v/>
      </c>
      <c r="E231">
        <f>IF($U231="","",INDEX('Per Line'!$D$2:$D$1001,$U231)&amp;"")</f>
        <v/>
      </c>
      <c r="F231">
        <f>IF($U231="","",INDEX('Per Line'!$E$2:$E$1001,$U231))</f>
        <v/>
      </c>
      <c r="G231" s="7">
        <f>IF($U231="","",F231*S231/100)</f>
        <v/>
      </c>
      <c r="H231">
        <f>IF($U231="","",INDEX('Per Line'!$O$2:$O$1001,$U231)&amp;"")</f>
        <v/>
      </c>
      <c r="I231" s="11">
        <f>IF($U231="","",INDEX('Per Line'!$Q$2:$Q$1001,$U231))</f>
        <v/>
      </c>
      <c r="J231">
        <f>IF($U231="","",INDEX('Per Line'!$R$2:$R$1001,$U231)&amp;"")</f>
        <v/>
      </c>
      <c r="K231">
        <f>IF($U231="","",Settings!$C$7)</f>
        <v/>
      </c>
      <c r="L231" s="7">
        <f>IF($U231="","",SUMIFS('Per Line'!$N$2:$N$1001,'Per Line'!$A$2:$A$1001,$A231,'Per Line'!$W$2:$W$1001,0))</f>
        <v/>
      </c>
      <c r="M231" s="7">
        <f>IF($U231="","",L231*K231)</f>
        <v/>
      </c>
      <c r="N231">
        <f>IF($U231="","",Settings!$C$6)</f>
        <v/>
      </c>
      <c r="O231" s="7">
        <f>IF($U231="","",SUMIFS('Per Line'!$N$2:$N$1001,'Per Line'!$A$2:$A$1001,$A231,'Per Line'!$W$2:$W$1001,1))</f>
        <v/>
      </c>
      <c r="P231" s="7">
        <f>IF($U231="","",O231*N231)</f>
        <v/>
      </c>
      <c r="Q231" s="7">
        <f>IF($U231="","",P231+M231)</f>
        <v/>
      </c>
      <c r="R231" s="7">
        <f>IF($U231="","",S231-Q231)</f>
        <v/>
      </c>
      <c r="S231" s="7">
        <f>IF($U231="","",L231+O231)</f>
        <v/>
      </c>
      <c r="T231" s="7">
        <f>IF($U231="","",S231-Q231-G231)</f>
        <v/>
      </c>
      <c r="U231" s="13">
        <f>IF(ROWS($U$2:$U231)&lt;=MAX('Per Line'!$V$2:$V$1001),MATCH(ROWS($U$2:$U231),'Per Line'!$V$2:$V$1001,0),"")</f>
        <v/>
      </c>
    </row>
    <row r="232">
      <c r="A232">
        <f>IF($U232="","",INDEX('Per Line'!$A$2:$A$1001,$U232)&amp;"")</f>
        <v/>
      </c>
      <c r="B232" s="12" t="n"/>
      <c r="C232">
        <f>IF($U232="","",INDEX('Per Line'!$B$2:$B$1001,$U232)&amp;"")</f>
        <v/>
      </c>
      <c r="D232">
        <f>IF($U232="","",INDEX('Per Line'!$C$2:$C$1001,$U232)&amp;"")</f>
        <v/>
      </c>
      <c r="E232">
        <f>IF($U232="","",INDEX('Per Line'!$D$2:$D$1001,$U232)&amp;"")</f>
        <v/>
      </c>
      <c r="F232">
        <f>IF($U232="","",INDEX('Per Line'!$E$2:$E$1001,$U232))</f>
        <v/>
      </c>
      <c r="G232" s="7">
        <f>IF($U232="","",F232*S232/100)</f>
        <v/>
      </c>
      <c r="H232">
        <f>IF($U232="","",INDEX('Per Line'!$O$2:$O$1001,$U232)&amp;"")</f>
        <v/>
      </c>
      <c r="I232" s="11">
        <f>IF($U232="","",INDEX('Per Line'!$Q$2:$Q$1001,$U232))</f>
        <v/>
      </c>
      <c r="J232">
        <f>IF($U232="","",INDEX('Per Line'!$R$2:$R$1001,$U232)&amp;"")</f>
        <v/>
      </c>
      <c r="K232">
        <f>IF($U232="","",Settings!$C$7)</f>
        <v/>
      </c>
      <c r="L232" s="7">
        <f>IF($U232="","",SUMIFS('Per Line'!$N$2:$N$1001,'Per Line'!$A$2:$A$1001,$A232,'Per Line'!$W$2:$W$1001,0))</f>
        <v/>
      </c>
      <c r="M232" s="7">
        <f>IF($U232="","",L232*K232)</f>
        <v/>
      </c>
      <c r="N232">
        <f>IF($U232="","",Settings!$C$6)</f>
        <v/>
      </c>
      <c r="O232" s="7">
        <f>IF($U232="","",SUMIFS('Per Line'!$N$2:$N$1001,'Per Line'!$A$2:$A$1001,$A232,'Per Line'!$W$2:$W$1001,1))</f>
        <v/>
      </c>
      <c r="P232" s="7">
        <f>IF($U232="","",O232*N232)</f>
        <v/>
      </c>
      <c r="Q232" s="7">
        <f>IF($U232="","",P232+M232)</f>
        <v/>
      </c>
      <c r="R232" s="7">
        <f>IF($U232="","",S232-Q232)</f>
        <v/>
      </c>
      <c r="S232" s="7">
        <f>IF($U232="","",L232+O232)</f>
        <v/>
      </c>
      <c r="T232" s="7">
        <f>IF($U232="","",S232-Q232-G232)</f>
        <v/>
      </c>
      <c r="U232" s="13">
        <f>IF(ROWS($U$2:$U232)&lt;=MAX('Per Line'!$V$2:$V$1001),MATCH(ROWS($U$2:$U232),'Per Line'!$V$2:$V$1001,0),"")</f>
        <v/>
      </c>
    </row>
    <row r="233">
      <c r="A233">
        <f>IF($U233="","",INDEX('Per Line'!$A$2:$A$1001,$U233)&amp;"")</f>
        <v/>
      </c>
      <c r="B233" s="12" t="n"/>
      <c r="C233">
        <f>IF($U233="","",INDEX('Per Line'!$B$2:$B$1001,$U233)&amp;"")</f>
        <v/>
      </c>
      <c r="D233">
        <f>IF($U233="","",INDEX('Per Line'!$C$2:$C$1001,$U233)&amp;"")</f>
        <v/>
      </c>
      <c r="E233">
        <f>IF($U233="","",INDEX('Per Line'!$D$2:$D$1001,$U233)&amp;"")</f>
        <v/>
      </c>
      <c r="F233">
        <f>IF($U233="","",INDEX('Per Line'!$E$2:$E$1001,$U233))</f>
        <v/>
      </c>
      <c r="G233" s="7">
        <f>IF($U233="","",F233*S233/100)</f>
        <v/>
      </c>
      <c r="H233">
        <f>IF($U233="","",INDEX('Per Line'!$O$2:$O$1001,$U233)&amp;"")</f>
        <v/>
      </c>
      <c r="I233" s="11">
        <f>IF($U233="","",INDEX('Per Line'!$Q$2:$Q$1001,$U233))</f>
        <v/>
      </c>
      <c r="J233">
        <f>IF($U233="","",INDEX('Per Line'!$R$2:$R$1001,$U233)&amp;"")</f>
        <v/>
      </c>
      <c r="K233">
        <f>IF($U233="","",Settings!$C$7)</f>
        <v/>
      </c>
      <c r="L233" s="7">
        <f>IF($U233="","",SUMIFS('Per Line'!$N$2:$N$1001,'Per Line'!$A$2:$A$1001,$A233,'Per Line'!$W$2:$W$1001,0))</f>
        <v/>
      </c>
      <c r="M233" s="7">
        <f>IF($U233="","",L233*K233)</f>
        <v/>
      </c>
      <c r="N233">
        <f>IF($U233="","",Settings!$C$6)</f>
        <v/>
      </c>
      <c r="O233" s="7">
        <f>IF($U233="","",SUMIFS('Per Line'!$N$2:$N$1001,'Per Line'!$A$2:$A$1001,$A233,'Per Line'!$W$2:$W$1001,1))</f>
        <v/>
      </c>
      <c r="P233" s="7">
        <f>IF($U233="","",O233*N233)</f>
        <v/>
      </c>
      <c r="Q233" s="7">
        <f>IF($U233="","",P233+M233)</f>
        <v/>
      </c>
      <c r="R233" s="7">
        <f>IF($U233="","",S233-Q233)</f>
        <v/>
      </c>
      <c r="S233" s="7">
        <f>IF($U233="","",L233+O233)</f>
        <v/>
      </c>
      <c r="T233" s="7">
        <f>IF($U233="","",S233-Q233-G233)</f>
        <v/>
      </c>
      <c r="U233" s="13">
        <f>IF(ROWS($U$2:$U233)&lt;=MAX('Per Line'!$V$2:$V$1001),MATCH(ROWS($U$2:$U233),'Per Line'!$V$2:$V$1001,0),"")</f>
        <v/>
      </c>
    </row>
    <row r="234">
      <c r="A234">
        <f>IF($U234="","",INDEX('Per Line'!$A$2:$A$1001,$U234)&amp;"")</f>
        <v/>
      </c>
      <c r="B234" s="12" t="n"/>
      <c r="C234">
        <f>IF($U234="","",INDEX('Per Line'!$B$2:$B$1001,$U234)&amp;"")</f>
        <v/>
      </c>
      <c r="D234">
        <f>IF($U234="","",INDEX('Per Line'!$C$2:$C$1001,$U234)&amp;"")</f>
        <v/>
      </c>
      <c r="E234">
        <f>IF($U234="","",INDEX('Per Line'!$D$2:$D$1001,$U234)&amp;"")</f>
        <v/>
      </c>
      <c r="F234">
        <f>IF($U234="","",INDEX('Per Line'!$E$2:$E$1001,$U234))</f>
        <v/>
      </c>
      <c r="G234" s="7">
        <f>IF($U234="","",F234*S234/100)</f>
        <v/>
      </c>
      <c r="H234">
        <f>IF($U234="","",INDEX('Per Line'!$O$2:$O$1001,$U234)&amp;"")</f>
        <v/>
      </c>
      <c r="I234" s="11">
        <f>IF($U234="","",INDEX('Per Line'!$Q$2:$Q$1001,$U234))</f>
        <v/>
      </c>
      <c r="J234">
        <f>IF($U234="","",INDEX('Per Line'!$R$2:$R$1001,$U234)&amp;"")</f>
        <v/>
      </c>
      <c r="K234">
        <f>IF($U234="","",Settings!$C$7)</f>
        <v/>
      </c>
      <c r="L234" s="7">
        <f>IF($U234="","",SUMIFS('Per Line'!$N$2:$N$1001,'Per Line'!$A$2:$A$1001,$A234,'Per Line'!$W$2:$W$1001,0))</f>
        <v/>
      </c>
      <c r="M234" s="7">
        <f>IF($U234="","",L234*K234)</f>
        <v/>
      </c>
      <c r="N234">
        <f>IF($U234="","",Settings!$C$6)</f>
        <v/>
      </c>
      <c r="O234" s="7">
        <f>IF($U234="","",SUMIFS('Per Line'!$N$2:$N$1001,'Per Line'!$A$2:$A$1001,$A234,'Per Line'!$W$2:$W$1001,1))</f>
        <v/>
      </c>
      <c r="P234" s="7">
        <f>IF($U234="","",O234*N234)</f>
        <v/>
      </c>
      <c r="Q234" s="7">
        <f>IF($U234="","",P234+M234)</f>
        <v/>
      </c>
      <c r="R234" s="7">
        <f>IF($U234="","",S234-Q234)</f>
        <v/>
      </c>
      <c r="S234" s="7">
        <f>IF($U234="","",L234+O234)</f>
        <v/>
      </c>
      <c r="T234" s="7">
        <f>IF($U234="","",S234-Q234-G234)</f>
        <v/>
      </c>
      <c r="U234" s="13">
        <f>IF(ROWS($U$2:$U234)&lt;=MAX('Per Line'!$V$2:$V$1001),MATCH(ROWS($U$2:$U234),'Per Line'!$V$2:$V$1001,0),"")</f>
        <v/>
      </c>
    </row>
    <row r="235">
      <c r="A235">
        <f>IF($U235="","",INDEX('Per Line'!$A$2:$A$1001,$U235)&amp;"")</f>
        <v/>
      </c>
      <c r="B235" s="12" t="n"/>
      <c r="C235">
        <f>IF($U235="","",INDEX('Per Line'!$B$2:$B$1001,$U235)&amp;"")</f>
        <v/>
      </c>
      <c r="D235">
        <f>IF($U235="","",INDEX('Per Line'!$C$2:$C$1001,$U235)&amp;"")</f>
        <v/>
      </c>
      <c r="E235">
        <f>IF($U235="","",INDEX('Per Line'!$D$2:$D$1001,$U235)&amp;"")</f>
        <v/>
      </c>
      <c r="F235">
        <f>IF($U235="","",INDEX('Per Line'!$E$2:$E$1001,$U235))</f>
        <v/>
      </c>
      <c r="G235" s="7">
        <f>IF($U235="","",F235*S235/100)</f>
        <v/>
      </c>
      <c r="H235">
        <f>IF($U235="","",INDEX('Per Line'!$O$2:$O$1001,$U235)&amp;"")</f>
        <v/>
      </c>
      <c r="I235" s="11">
        <f>IF($U235="","",INDEX('Per Line'!$Q$2:$Q$1001,$U235))</f>
        <v/>
      </c>
      <c r="J235">
        <f>IF($U235="","",INDEX('Per Line'!$R$2:$R$1001,$U235)&amp;"")</f>
        <v/>
      </c>
      <c r="K235">
        <f>IF($U235="","",Settings!$C$7)</f>
        <v/>
      </c>
      <c r="L235" s="7">
        <f>IF($U235="","",SUMIFS('Per Line'!$N$2:$N$1001,'Per Line'!$A$2:$A$1001,$A235,'Per Line'!$W$2:$W$1001,0))</f>
        <v/>
      </c>
      <c r="M235" s="7">
        <f>IF($U235="","",L235*K235)</f>
        <v/>
      </c>
      <c r="N235">
        <f>IF($U235="","",Settings!$C$6)</f>
        <v/>
      </c>
      <c r="O235" s="7">
        <f>IF($U235="","",SUMIFS('Per Line'!$N$2:$N$1001,'Per Line'!$A$2:$A$1001,$A235,'Per Line'!$W$2:$W$1001,1))</f>
        <v/>
      </c>
      <c r="P235" s="7">
        <f>IF($U235="","",O235*N235)</f>
        <v/>
      </c>
      <c r="Q235" s="7">
        <f>IF($U235="","",P235+M235)</f>
        <v/>
      </c>
      <c r="R235" s="7">
        <f>IF($U235="","",S235-Q235)</f>
        <v/>
      </c>
      <c r="S235" s="7">
        <f>IF($U235="","",L235+O235)</f>
        <v/>
      </c>
      <c r="T235" s="7">
        <f>IF($U235="","",S235-Q235-G235)</f>
        <v/>
      </c>
      <c r="U235" s="13">
        <f>IF(ROWS($U$2:$U235)&lt;=MAX('Per Line'!$V$2:$V$1001),MATCH(ROWS($U$2:$U235),'Per Line'!$V$2:$V$1001,0),"")</f>
        <v/>
      </c>
    </row>
    <row r="236">
      <c r="A236">
        <f>IF($U236="","",INDEX('Per Line'!$A$2:$A$1001,$U236)&amp;"")</f>
        <v/>
      </c>
      <c r="B236" s="12" t="n"/>
      <c r="C236">
        <f>IF($U236="","",INDEX('Per Line'!$B$2:$B$1001,$U236)&amp;"")</f>
        <v/>
      </c>
      <c r="D236">
        <f>IF($U236="","",INDEX('Per Line'!$C$2:$C$1001,$U236)&amp;"")</f>
        <v/>
      </c>
      <c r="E236">
        <f>IF($U236="","",INDEX('Per Line'!$D$2:$D$1001,$U236)&amp;"")</f>
        <v/>
      </c>
      <c r="F236">
        <f>IF($U236="","",INDEX('Per Line'!$E$2:$E$1001,$U236))</f>
        <v/>
      </c>
      <c r="G236" s="7">
        <f>IF($U236="","",F236*S236/100)</f>
        <v/>
      </c>
      <c r="H236">
        <f>IF($U236="","",INDEX('Per Line'!$O$2:$O$1001,$U236)&amp;"")</f>
        <v/>
      </c>
      <c r="I236" s="11">
        <f>IF($U236="","",INDEX('Per Line'!$Q$2:$Q$1001,$U236))</f>
        <v/>
      </c>
      <c r="J236">
        <f>IF($U236="","",INDEX('Per Line'!$R$2:$R$1001,$U236)&amp;"")</f>
        <v/>
      </c>
      <c r="K236">
        <f>IF($U236="","",Settings!$C$7)</f>
        <v/>
      </c>
      <c r="L236" s="7">
        <f>IF($U236="","",SUMIFS('Per Line'!$N$2:$N$1001,'Per Line'!$A$2:$A$1001,$A236,'Per Line'!$W$2:$W$1001,0))</f>
        <v/>
      </c>
      <c r="M236" s="7">
        <f>IF($U236="","",L236*K236)</f>
        <v/>
      </c>
      <c r="N236">
        <f>IF($U236="","",Settings!$C$6)</f>
        <v/>
      </c>
      <c r="O236" s="7">
        <f>IF($U236="","",SUMIFS('Per Line'!$N$2:$N$1001,'Per Line'!$A$2:$A$1001,$A236,'Per Line'!$W$2:$W$1001,1))</f>
        <v/>
      </c>
      <c r="P236" s="7">
        <f>IF($U236="","",O236*N236)</f>
        <v/>
      </c>
      <c r="Q236" s="7">
        <f>IF($U236="","",P236+M236)</f>
        <v/>
      </c>
      <c r="R236" s="7">
        <f>IF($U236="","",S236-Q236)</f>
        <v/>
      </c>
      <c r="S236" s="7">
        <f>IF($U236="","",L236+O236)</f>
        <v/>
      </c>
      <c r="T236" s="7">
        <f>IF($U236="","",S236-Q236-G236)</f>
        <v/>
      </c>
      <c r="U236" s="13">
        <f>IF(ROWS($U$2:$U236)&lt;=MAX('Per Line'!$V$2:$V$1001),MATCH(ROWS($U$2:$U236),'Per Line'!$V$2:$V$1001,0),"")</f>
        <v/>
      </c>
    </row>
    <row r="237">
      <c r="A237">
        <f>IF($U237="","",INDEX('Per Line'!$A$2:$A$1001,$U237)&amp;"")</f>
        <v/>
      </c>
      <c r="B237" s="12" t="n"/>
      <c r="C237">
        <f>IF($U237="","",INDEX('Per Line'!$B$2:$B$1001,$U237)&amp;"")</f>
        <v/>
      </c>
      <c r="D237">
        <f>IF($U237="","",INDEX('Per Line'!$C$2:$C$1001,$U237)&amp;"")</f>
        <v/>
      </c>
      <c r="E237">
        <f>IF($U237="","",INDEX('Per Line'!$D$2:$D$1001,$U237)&amp;"")</f>
        <v/>
      </c>
      <c r="F237">
        <f>IF($U237="","",INDEX('Per Line'!$E$2:$E$1001,$U237))</f>
        <v/>
      </c>
      <c r="G237" s="7">
        <f>IF($U237="","",F237*S237/100)</f>
        <v/>
      </c>
      <c r="H237">
        <f>IF($U237="","",INDEX('Per Line'!$O$2:$O$1001,$U237)&amp;"")</f>
        <v/>
      </c>
      <c r="I237" s="11">
        <f>IF($U237="","",INDEX('Per Line'!$Q$2:$Q$1001,$U237))</f>
        <v/>
      </c>
      <c r="J237">
        <f>IF($U237="","",INDEX('Per Line'!$R$2:$R$1001,$U237)&amp;"")</f>
        <v/>
      </c>
      <c r="K237">
        <f>IF($U237="","",Settings!$C$7)</f>
        <v/>
      </c>
      <c r="L237" s="7">
        <f>IF($U237="","",SUMIFS('Per Line'!$N$2:$N$1001,'Per Line'!$A$2:$A$1001,$A237,'Per Line'!$W$2:$W$1001,0))</f>
        <v/>
      </c>
      <c r="M237" s="7">
        <f>IF($U237="","",L237*K237)</f>
        <v/>
      </c>
      <c r="N237">
        <f>IF($U237="","",Settings!$C$6)</f>
        <v/>
      </c>
      <c r="O237" s="7">
        <f>IF($U237="","",SUMIFS('Per Line'!$N$2:$N$1001,'Per Line'!$A$2:$A$1001,$A237,'Per Line'!$W$2:$W$1001,1))</f>
        <v/>
      </c>
      <c r="P237" s="7">
        <f>IF($U237="","",O237*N237)</f>
        <v/>
      </c>
      <c r="Q237" s="7">
        <f>IF($U237="","",P237+M237)</f>
        <v/>
      </c>
      <c r="R237" s="7">
        <f>IF($U237="","",S237-Q237)</f>
        <v/>
      </c>
      <c r="S237" s="7">
        <f>IF($U237="","",L237+O237)</f>
        <v/>
      </c>
      <c r="T237" s="7">
        <f>IF($U237="","",S237-Q237-G237)</f>
        <v/>
      </c>
      <c r="U237" s="13">
        <f>IF(ROWS($U$2:$U237)&lt;=MAX('Per Line'!$V$2:$V$1001),MATCH(ROWS($U$2:$U237),'Per Line'!$V$2:$V$1001,0),"")</f>
        <v/>
      </c>
    </row>
    <row r="238">
      <c r="A238">
        <f>IF($U238="","",INDEX('Per Line'!$A$2:$A$1001,$U238)&amp;"")</f>
        <v/>
      </c>
      <c r="B238" s="12" t="n"/>
      <c r="C238">
        <f>IF($U238="","",INDEX('Per Line'!$B$2:$B$1001,$U238)&amp;"")</f>
        <v/>
      </c>
      <c r="D238">
        <f>IF($U238="","",INDEX('Per Line'!$C$2:$C$1001,$U238)&amp;"")</f>
        <v/>
      </c>
      <c r="E238">
        <f>IF($U238="","",INDEX('Per Line'!$D$2:$D$1001,$U238)&amp;"")</f>
        <v/>
      </c>
      <c r="F238">
        <f>IF($U238="","",INDEX('Per Line'!$E$2:$E$1001,$U238))</f>
        <v/>
      </c>
      <c r="G238" s="7">
        <f>IF($U238="","",F238*S238/100)</f>
        <v/>
      </c>
      <c r="H238">
        <f>IF($U238="","",INDEX('Per Line'!$O$2:$O$1001,$U238)&amp;"")</f>
        <v/>
      </c>
      <c r="I238" s="11">
        <f>IF($U238="","",INDEX('Per Line'!$Q$2:$Q$1001,$U238))</f>
        <v/>
      </c>
      <c r="J238">
        <f>IF($U238="","",INDEX('Per Line'!$R$2:$R$1001,$U238)&amp;"")</f>
        <v/>
      </c>
      <c r="K238">
        <f>IF($U238="","",Settings!$C$7)</f>
        <v/>
      </c>
      <c r="L238" s="7">
        <f>IF($U238="","",SUMIFS('Per Line'!$N$2:$N$1001,'Per Line'!$A$2:$A$1001,$A238,'Per Line'!$W$2:$W$1001,0))</f>
        <v/>
      </c>
      <c r="M238" s="7">
        <f>IF($U238="","",L238*K238)</f>
        <v/>
      </c>
      <c r="N238">
        <f>IF($U238="","",Settings!$C$6)</f>
        <v/>
      </c>
      <c r="O238" s="7">
        <f>IF($U238="","",SUMIFS('Per Line'!$N$2:$N$1001,'Per Line'!$A$2:$A$1001,$A238,'Per Line'!$W$2:$W$1001,1))</f>
        <v/>
      </c>
      <c r="P238" s="7">
        <f>IF($U238="","",O238*N238)</f>
        <v/>
      </c>
      <c r="Q238" s="7">
        <f>IF($U238="","",P238+M238)</f>
        <v/>
      </c>
      <c r="R238" s="7">
        <f>IF($U238="","",S238-Q238)</f>
        <v/>
      </c>
      <c r="S238" s="7">
        <f>IF($U238="","",L238+O238)</f>
        <v/>
      </c>
      <c r="T238" s="7">
        <f>IF($U238="","",S238-Q238-G238)</f>
        <v/>
      </c>
      <c r="U238" s="13">
        <f>IF(ROWS($U$2:$U238)&lt;=MAX('Per Line'!$V$2:$V$1001),MATCH(ROWS($U$2:$U238),'Per Line'!$V$2:$V$1001,0),"")</f>
        <v/>
      </c>
    </row>
    <row r="239">
      <c r="A239">
        <f>IF($U239="","",INDEX('Per Line'!$A$2:$A$1001,$U239)&amp;"")</f>
        <v/>
      </c>
      <c r="B239" s="12" t="n"/>
      <c r="C239">
        <f>IF($U239="","",INDEX('Per Line'!$B$2:$B$1001,$U239)&amp;"")</f>
        <v/>
      </c>
      <c r="D239">
        <f>IF($U239="","",INDEX('Per Line'!$C$2:$C$1001,$U239)&amp;"")</f>
        <v/>
      </c>
      <c r="E239">
        <f>IF($U239="","",INDEX('Per Line'!$D$2:$D$1001,$U239)&amp;"")</f>
        <v/>
      </c>
      <c r="F239">
        <f>IF($U239="","",INDEX('Per Line'!$E$2:$E$1001,$U239))</f>
        <v/>
      </c>
      <c r="G239" s="7">
        <f>IF($U239="","",F239*S239/100)</f>
        <v/>
      </c>
      <c r="H239">
        <f>IF($U239="","",INDEX('Per Line'!$O$2:$O$1001,$U239)&amp;"")</f>
        <v/>
      </c>
      <c r="I239" s="11">
        <f>IF($U239="","",INDEX('Per Line'!$Q$2:$Q$1001,$U239))</f>
        <v/>
      </c>
      <c r="J239">
        <f>IF($U239="","",INDEX('Per Line'!$R$2:$R$1001,$U239)&amp;"")</f>
        <v/>
      </c>
      <c r="K239">
        <f>IF($U239="","",Settings!$C$7)</f>
        <v/>
      </c>
      <c r="L239" s="7">
        <f>IF($U239="","",SUMIFS('Per Line'!$N$2:$N$1001,'Per Line'!$A$2:$A$1001,$A239,'Per Line'!$W$2:$W$1001,0))</f>
        <v/>
      </c>
      <c r="M239" s="7">
        <f>IF($U239="","",L239*K239)</f>
        <v/>
      </c>
      <c r="N239">
        <f>IF($U239="","",Settings!$C$6)</f>
        <v/>
      </c>
      <c r="O239" s="7">
        <f>IF($U239="","",SUMIFS('Per Line'!$N$2:$N$1001,'Per Line'!$A$2:$A$1001,$A239,'Per Line'!$W$2:$W$1001,1))</f>
        <v/>
      </c>
      <c r="P239" s="7">
        <f>IF($U239="","",O239*N239)</f>
        <v/>
      </c>
      <c r="Q239" s="7">
        <f>IF($U239="","",P239+M239)</f>
        <v/>
      </c>
      <c r="R239" s="7">
        <f>IF($U239="","",S239-Q239)</f>
        <v/>
      </c>
      <c r="S239" s="7">
        <f>IF($U239="","",L239+O239)</f>
        <v/>
      </c>
      <c r="T239" s="7">
        <f>IF($U239="","",S239-Q239-G239)</f>
        <v/>
      </c>
      <c r="U239" s="13">
        <f>IF(ROWS($U$2:$U239)&lt;=MAX('Per Line'!$V$2:$V$1001),MATCH(ROWS($U$2:$U239),'Per Line'!$V$2:$V$1001,0),"")</f>
        <v/>
      </c>
    </row>
    <row r="240">
      <c r="A240">
        <f>IF($U240="","",INDEX('Per Line'!$A$2:$A$1001,$U240)&amp;"")</f>
        <v/>
      </c>
      <c r="B240" s="12" t="n"/>
      <c r="C240">
        <f>IF($U240="","",INDEX('Per Line'!$B$2:$B$1001,$U240)&amp;"")</f>
        <v/>
      </c>
      <c r="D240">
        <f>IF($U240="","",INDEX('Per Line'!$C$2:$C$1001,$U240)&amp;"")</f>
        <v/>
      </c>
      <c r="E240">
        <f>IF($U240="","",INDEX('Per Line'!$D$2:$D$1001,$U240)&amp;"")</f>
        <v/>
      </c>
      <c r="F240">
        <f>IF($U240="","",INDEX('Per Line'!$E$2:$E$1001,$U240))</f>
        <v/>
      </c>
      <c r="G240" s="7">
        <f>IF($U240="","",F240*S240/100)</f>
        <v/>
      </c>
      <c r="H240">
        <f>IF($U240="","",INDEX('Per Line'!$O$2:$O$1001,$U240)&amp;"")</f>
        <v/>
      </c>
      <c r="I240" s="11">
        <f>IF($U240="","",INDEX('Per Line'!$Q$2:$Q$1001,$U240))</f>
        <v/>
      </c>
      <c r="J240">
        <f>IF($U240="","",INDEX('Per Line'!$R$2:$R$1001,$U240)&amp;"")</f>
        <v/>
      </c>
      <c r="K240">
        <f>IF($U240="","",Settings!$C$7)</f>
        <v/>
      </c>
      <c r="L240" s="7">
        <f>IF($U240="","",SUMIFS('Per Line'!$N$2:$N$1001,'Per Line'!$A$2:$A$1001,$A240,'Per Line'!$W$2:$W$1001,0))</f>
        <v/>
      </c>
      <c r="M240" s="7">
        <f>IF($U240="","",L240*K240)</f>
        <v/>
      </c>
      <c r="N240">
        <f>IF($U240="","",Settings!$C$6)</f>
        <v/>
      </c>
      <c r="O240" s="7">
        <f>IF($U240="","",SUMIFS('Per Line'!$N$2:$N$1001,'Per Line'!$A$2:$A$1001,$A240,'Per Line'!$W$2:$W$1001,1))</f>
        <v/>
      </c>
      <c r="P240" s="7">
        <f>IF($U240="","",O240*N240)</f>
        <v/>
      </c>
      <c r="Q240" s="7">
        <f>IF($U240="","",P240+M240)</f>
        <v/>
      </c>
      <c r="R240" s="7">
        <f>IF($U240="","",S240-Q240)</f>
        <v/>
      </c>
      <c r="S240" s="7">
        <f>IF($U240="","",L240+O240)</f>
        <v/>
      </c>
      <c r="T240" s="7">
        <f>IF($U240="","",S240-Q240-G240)</f>
        <v/>
      </c>
      <c r="U240" s="13">
        <f>IF(ROWS($U$2:$U240)&lt;=MAX('Per Line'!$V$2:$V$1001),MATCH(ROWS($U$2:$U240),'Per Line'!$V$2:$V$1001,0),"")</f>
        <v/>
      </c>
    </row>
    <row r="241">
      <c r="A241">
        <f>IF($U241="","",INDEX('Per Line'!$A$2:$A$1001,$U241)&amp;"")</f>
        <v/>
      </c>
      <c r="B241" s="12" t="n"/>
      <c r="C241">
        <f>IF($U241="","",INDEX('Per Line'!$B$2:$B$1001,$U241)&amp;"")</f>
        <v/>
      </c>
      <c r="D241">
        <f>IF($U241="","",INDEX('Per Line'!$C$2:$C$1001,$U241)&amp;"")</f>
        <v/>
      </c>
      <c r="E241">
        <f>IF($U241="","",INDEX('Per Line'!$D$2:$D$1001,$U241)&amp;"")</f>
        <v/>
      </c>
      <c r="F241">
        <f>IF($U241="","",INDEX('Per Line'!$E$2:$E$1001,$U241))</f>
        <v/>
      </c>
      <c r="G241" s="7">
        <f>IF($U241="","",F241*S241/100)</f>
        <v/>
      </c>
      <c r="H241">
        <f>IF($U241="","",INDEX('Per Line'!$O$2:$O$1001,$U241)&amp;"")</f>
        <v/>
      </c>
      <c r="I241" s="11">
        <f>IF($U241="","",INDEX('Per Line'!$Q$2:$Q$1001,$U241))</f>
        <v/>
      </c>
      <c r="J241">
        <f>IF($U241="","",INDEX('Per Line'!$R$2:$R$1001,$U241)&amp;"")</f>
        <v/>
      </c>
      <c r="K241">
        <f>IF($U241="","",Settings!$C$7)</f>
        <v/>
      </c>
      <c r="L241" s="7">
        <f>IF($U241="","",SUMIFS('Per Line'!$N$2:$N$1001,'Per Line'!$A$2:$A$1001,$A241,'Per Line'!$W$2:$W$1001,0))</f>
        <v/>
      </c>
      <c r="M241" s="7">
        <f>IF($U241="","",L241*K241)</f>
        <v/>
      </c>
      <c r="N241">
        <f>IF($U241="","",Settings!$C$6)</f>
        <v/>
      </c>
      <c r="O241" s="7">
        <f>IF($U241="","",SUMIFS('Per Line'!$N$2:$N$1001,'Per Line'!$A$2:$A$1001,$A241,'Per Line'!$W$2:$W$1001,1))</f>
        <v/>
      </c>
      <c r="P241" s="7">
        <f>IF($U241="","",O241*N241)</f>
        <v/>
      </c>
      <c r="Q241" s="7">
        <f>IF($U241="","",P241+M241)</f>
        <v/>
      </c>
      <c r="R241" s="7">
        <f>IF($U241="","",S241-Q241)</f>
        <v/>
      </c>
      <c r="S241" s="7">
        <f>IF($U241="","",L241+O241)</f>
        <v/>
      </c>
      <c r="T241" s="7">
        <f>IF($U241="","",S241-Q241-G241)</f>
        <v/>
      </c>
      <c r="U241" s="13">
        <f>IF(ROWS($U$2:$U241)&lt;=MAX('Per Line'!$V$2:$V$1001),MATCH(ROWS($U$2:$U241),'Per Line'!$V$2:$V$1001,0),"")</f>
        <v/>
      </c>
    </row>
    <row r="242">
      <c r="A242">
        <f>IF($U242="","",INDEX('Per Line'!$A$2:$A$1001,$U242)&amp;"")</f>
        <v/>
      </c>
      <c r="B242" s="12" t="n"/>
      <c r="C242">
        <f>IF($U242="","",INDEX('Per Line'!$B$2:$B$1001,$U242)&amp;"")</f>
        <v/>
      </c>
      <c r="D242">
        <f>IF($U242="","",INDEX('Per Line'!$C$2:$C$1001,$U242)&amp;"")</f>
        <v/>
      </c>
      <c r="E242">
        <f>IF($U242="","",INDEX('Per Line'!$D$2:$D$1001,$U242)&amp;"")</f>
        <v/>
      </c>
      <c r="F242">
        <f>IF($U242="","",INDEX('Per Line'!$E$2:$E$1001,$U242))</f>
        <v/>
      </c>
      <c r="G242" s="7">
        <f>IF($U242="","",F242*S242/100)</f>
        <v/>
      </c>
      <c r="H242">
        <f>IF($U242="","",INDEX('Per Line'!$O$2:$O$1001,$U242)&amp;"")</f>
        <v/>
      </c>
      <c r="I242" s="11">
        <f>IF($U242="","",INDEX('Per Line'!$Q$2:$Q$1001,$U242))</f>
        <v/>
      </c>
      <c r="J242">
        <f>IF($U242="","",INDEX('Per Line'!$R$2:$R$1001,$U242)&amp;"")</f>
        <v/>
      </c>
      <c r="K242">
        <f>IF($U242="","",Settings!$C$7)</f>
        <v/>
      </c>
      <c r="L242" s="7">
        <f>IF($U242="","",SUMIFS('Per Line'!$N$2:$N$1001,'Per Line'!$A$2:$A$1001,$A242,'Per Line'!$W$2:$W$1001,0))</f>
        <v/>
      </c>
      <c r="M242" s="7">
        <f>IF($U242="","",L242*K242)</f>
        <v/>
      </c>
      <c r="N242">
        <f>IF($U242="","",Settings!$C$6)</f>
        <v/>
      </c>
      <c r="O242" s="7">
        <f>IF($U242="","",SUMIFS('Per Line'!$N$2:$N$1001,'Per Line'!$A$2:$A$1001,$A242,'Per Line'!$W$2:$W$1001,1))</f>
        <v/>
      </c>
      <c r="P242" s="7">
        <f>IF($U242="","",O242*N242)</f>
        <v/>
      </c>
      <c r="Q242" s="7">
        <f>IF($U242="","",P242+M242)</f>
        <v/>
      </c>
      <c r="R242" s="7">
        <f>IF($U242="","",S242-Q242)</f>
        <v/>
      </c>
      <c r="S242" s="7">
        <f>IF($U242="","",L242+O242)</f>
        <v/>
      </c>
      <c r="T242" s="7">
        <f>IF($U242="","",S242-Q242-G242)</f>
        <v/>
      </c>
      <c r="U242" s="13">
        <f>IF(ROWS($U$2:$U242)&lt;=MAX('Per Line'!$V$2:$V$1001),MATCH(ROWS($U$2:$U242),'Per Line'!$V$2:$V$1001,0),"")</f>
        <v/>
      </c>
    </row>
    <row r="243">
      <c r="A243">
        <f>IF($U243="","",INDEX('Per Line'!$A$2:$A$1001,$U243)&amp;"")</f>
        <v/>
      </c>
      <c r="B243" s="12" t="n"/>
      <c r="C243">
        <f>IF($U243="","",INDEX('Per Line'!$B$2:$B$1001,$U243)&amp;"")</f>
        <v/>
      </c>
      <c r="D243">
        <f>IF($U243="","",INDEX('Per Line'!$C$2:$C$1001,$U243)&amp;"")</f>
        <v/>
      </c>
      <c r="E243">
        <f>IF($U243="","",INDEX('Per Line'!$D$2:$D$1001,$U243)&amp;"")</f>
        <v/>
      </c>
      <c r="F243">
        <f>IF($U243="","",INDEX('Per Line'!$E$2:$E$1001,$U243))</f>
        <v/>
      </c>
      <c r="G243" s="7">
        <f>IF($U243="","",F243*S243/100)</f>
        <v/>
      </c>
      <c r="H243">
        <f>IF($U243="","",INDEX('Per Line'!$O$2:$O$1001,$U243)&amp;"")</f>
        <v/>
      </c>
      <c r="I243" s="11">
        <f>IF($U243="","",INDEX('Per Line'!$Q$2:$Q$1001,$U243))</f>
        <v/>
      </c>
      <c r="J243">
        <f>IF($U243="","",INDEX('Per Line'!$R$2:$R$1001,$U243)&amp;"")</f>
        <v/>
      </c>
      <c r="K243">
        <f>IF($U243="","",Settings!$C$7)</f>
        <v/>
      </c>
      <c r="L243" s="7">
        <f>IF($U243="","",SUMIFS('Per Line'!$N$2:$N$1001,'Per Line'!$A$2:$A$1001,$A243,'Per Line'!$W$2:$W$1001,0))</f>
        <v/>
      </c>
      <c r="M243" s="7">
        <f>IF($U243="","",L243*K243)</f>
        <v/>
      </c>
      <c r="N243">
        <f>IF($U243="","",Settings!$C$6)</f>
        <v/>
      </c>
      <c r="O243" s="7">
        <f>IF($U243="","",SUMIFS('Per Line'!$N$2:$N$1001,'Per Line'!$A$2:$A$1001,$A243,'Per Line'!$W$2:$W$1001,1))</f>
        <v/>
      </c>
      <c r="P243" s="7">
        <f>IF($U243="","",O243*N243)</f>
        <v/>
      </c>
      <c r="Q243" s="7">
        <f>IF($U243="","",P243+M243)</f>
        <v/>
      </c>
      <c r="R243" s="7">
        <f>IF($U243="","",S243-Q243)</f>
        <v/>
      </c>
      <c r="S243" s="7">
        <f>IF($U243="","",L243+O243)</f>
        <v/>
      </c>
      <c r="T243" s="7">
        <f>IF($U243="","",S243-Q243-G243)</f>
        <v/>
      </c>
      <c r="U243" s="13">
        <f>IF(ROWS($U$2:$U243)&lt;=MAX('Per Line'!$V$2:$V$1001),MATCH(ROWS($U$2:$U243),'Per Line'!$V$2:$V$1001,0),"")</f>
        <v/>
      </c>
    </row>
    <row r="244">
      <c r="A244">
        <f>IF($U244="","",INDEX('Per Line'!$A$2:$A$1001,$U244)&amp;"")</f>
        <v/>
      </c>
      <c r="B244" s="12" t="n"/>
      <c r="C244">
        <f>IF($U244="","",INDEX('Per Line'!$B$2:$B$1001,$U244)&amp;"")</f>
        <v/>
      </c>
      <c r="D244">
        <f>IF($U244="","",INDEX('Per Line'!$C$2:$C$1001,$U244)&amp;"")</f>
        <v/>
      </c>
      <c r="E244">
        <f>IF($U244="","",INDEX('Per Line'!$D$2:$D$1001,$U244)&amp;"")</f>
        <v/>
      </c>
      <c r="F244">
        <f>IF($U244="","",INDEX('Per Line'!$E$2:$E$1001,$U244))</f>
        <v/>
      </c>
      <c r="G244" s="7">
        <f>IF($U244="","",F244*S244/100)</f>
        <v/>
      </c>
      <c r="H244">
        <f>IF($U244="","",INDEX('Per Line'!$O$2:$O$1001,$U244)&amp;"")</f>
        <v/>
      </c>
      <c r="I244" s="11">
        <f>IF($U244="","",INDEX('Per Line'!$Q$2:$Q$1001,$U244))</f>
        <v/>
      </c>
      <c r="J244">
        <f>IF($U244="","",INDEX('Per Line'!$R$2:$R$1001,$U244)&amp;"")</f>
        <v/>
      </c>
      <c r="K244">
        <f>IF($U244="","",Settings!$C$7)</f>
        <v/>
      </c>
      <c r="L244" s="7">
        <f>IF($U244="","",SUMIFS('Per Line'!$N$2:$N$1001,'Per Line'!$A$2:$A$1001,$A244,'Per Line'!$W$2:$W$1001,0))</f>
        <v/>
      </c>
      <c r="M244" s="7">
        <f>IF($U244="","",L244*K244)</f>
        <v/>
      </c>
      <c r="N244">
        <f>IF($U244="","",Settings!$C$6)</f>
        <v/>
      </c>
      <c r="O244" s="7">
        <f>IF($U244="","",SUMIFS('Per Line'!$N$2:$N$1001,'Per Line'!$A$2:$A$1001,$A244,'Per Line'!$W$2:$W$1001,1))</f>
        <v/>
      </c>
      <c r="P244" s="7">
        <f>IF($U244="","",O244*N244)</f>
        <v/>
      </c>
      <c r="Q244" s="7">
        <f>IF($U244="","",P244+M244)</f>
        <v/>
      </c>
      <c r="R244" s="7">
        <f>IF($U244="","",S244-Q244)</f>
        <v/>
      </c>
      <c r="S244" s="7">
        <f>IF($U244="","",L244+O244)</f>
        <v/>
      </c>
      <c r="T244" s="7">
        <f>IF($U244="","",S244-Q244-G244)</f>
        <v/>
      </c>
      <c r="U244" s="13">
        <f>IF(ROWS($U$2:$U244)&lt;=MAX('Per Line'!$V$2:$V$1001),MATCH(ROWS($U$2:$U244),'Per Line'!$V$2:$V$1001,0),"")</f>
        <v/>
      </c>
    </row>
    <row r="245">
      <c r="A245">
        <f>IF($U245="","",INDEX('Per Line'!$A$2:$A$1001,$U245)&amp;"")</f>
        <v/>
      </c>
      <c r="B245" s="12" t="n"/>
      <c r="C245">
        <f>IF($U245="","",INDEX('Per Line'!$B$2:$B$1001,$U245)&amp;"")</f>
        <v/>
      </c>
      <c r="D245">
        <f>IF($U245="","",INDEX('Per Line'!$C$2:$C$1001,$U245)&amp;"")</f>
        <v/>
      </c>
      <c r="E245">
        <f>IF($U245="","",INDEX('Per Line'!$D$2:$D$1001,$U245)&amp;"")</f>
        <v/>
      </c>
      <c r="F245">
        <f>IF($U245="","",INDEX('Per Line'!$E$2:$E$1001,$U245))</f>
        <v/>
      </c>
      <c r="G245" s="7">
        <f>IF($U245="","",F245*S245/100)</f>
        <v/>
      </c>
      <c r="H245">
        <f>IF($U245="","",INDEX('Per Line'!$O$2:$O$1001,$U245)&amp;"")</f>
        <v/>
      </c>
      <c r="I245" s="11">
        <f>IF($U245="","",INDEX('Per Line'!$Q$2:$Q$1001,$U245))</f>
        <v/>
      </c>
      <c r="J245">
        <f>IF($U245="","",INDEX('Per Line'!$R$2:$R$1001,$U245)&amp;"")</f>
        <v/>
      </c>
      <c r="K245">
        <f>IF($U245="","",Settings!$C$7)</f>
        <v/>
      </c>
      <c r="L245" s="7">
        <f>IF($U245="","",SUMIFS('Per Line'!$N$2:$N$1001,'Per Line'!$A$2:$A$1001,$A245,'Per Line'!$W$2:$W$1001,0))</f>
        <v/>
      </c>
      <c r="M245" s="7">
        <f>IF($U245="","",L245*K245)</f>
        <v/>
      </c>
      <c r="N245">
        <f>IF($U245="","",Settings!$C$6)</f>
        <v/>
      </c>
      <c r="O245" s="7">
        <f>IF($U245="","",SUMIFS('Per Line'!$N$2:$N$1001,'Per Line'!$A$2:$A$1001,$A245,'Per Line'!$W$2:$W$1001,1))</f>
        <v/>
      </c>
      <c r="P245" s="7">
        <f>IF($U245="","",O245*N245)</f>
        <v/>
      </c>
      <c r="Q245" s="7">
        <f>IF($U245="","",P245+M245)</f>
        <v/>
      </c>
      <c r="R245" s="7">
        <f>IF($U245="","",S245-Q245)</f>
        <v/>
      </c>
      <c r="S245" s="7">
        <f>IF($U245="","",L245+O245)</f>
        <v/>
      </c>
      <c r="T245" s="7">
        <f>IF($U245="","",S245-Q245-G245)</f>
        <v/>
      </c>
      <c r="U245" s="13">
        <f>IF(ROWS($U$2:$U245)&lt;=MAX('Per Line'!$V$2:$V$1001),MATCH(ROWS($U$2:$U245),'Per Line'!$V$2:$V$1001,0),"")</f>
        <v/>
      </c>
    </row>
    <row r="246">
      <c r="A246">
        <f>IF($U246="","",INDEX('Per Line'!$A$2:$A$1001,$U246)&amp;"")</f>
        <v/>
      </c>
      <c r="B246" s="12" t="n"/>
      <c r="C246">
        <f>IF($U246="","",INDEX('Per Line'!$B$2:$B$1001,$U246)&amp;"")</f>
        <v/>
      </c>
      <c r="D246">
        <f>IF($U246="","",INDEX('Per Line'!$C$2:$C$1001,$U246)&amp;"")</f>
        <v/>
      </c>
      <c r="E246">
        <f>IF($U246="","",INDEX('Per Line'!$D$2:$D$1001,$U246)&amp;"")</f>
        <v/>
      </c>
      <c r="F246">
        <f>IF($U246="","",INDEX('Per Line'!$E$2:$E$1001,$U246))</f>
        <v/>
      </c>
      <c r="G246" s="7">
        <f>IF($U246="","",F246*S246/100)</f>
        <v/>
      </c>
      <c r="H246">
        <f>IF($U246="","",INDEX('Per Line'!$O$2:$O$1001,$U246)&amp;"")</f>
        <v/>
      </c>
      <c r="I246" s="11">
        <f>IF($U246="","",INDEX('Per Line'!$Q$2:$Q$1001,$U246))</f>
        <v/>
      </c>
      <c r="J246">
        <f>IF($U246="","",INDEX('Per Line'!$R$2:$R$1001,$U246)&amp;"")</f>
        <v/>
      </c>
      <c r="K246">
        <f>IF($U246="","",Settings!$C$7)</f>
        <v/>
      </c>
      <c r="L246" s="7">
        <f>IF($U246="","",SUMIFS('Per Line'!$N$2:$N$1001,'Per Line'!$A$2:$A$1001,$A246,'Per Line'!$W$2:$W$1001,0))</f>
        <v/>
      </c>
      <c r="M246" s="7">
        <f>IF($U246="","",L246*K246)</f>
        <v/>
      </c>
      <c r="N246">
        <f>IF($U246="","",Settings!$C$6)</f>
        <v/>
      </c>
      <c r="O246" s="7">
        <f>IF($U246="","",SUMIFS('Per Line'!$N$2:$N$1001,'Per Line'!$A$2:$A$1001,$A246,'Per Line'!$W$2:$W$1001,1))</f>
        <v/>
      </c>
      <c r="P246" s="7">
        <f>IF($U246="","",O246*N246)</f>
        <v/>
      </c>
      <c r="Q246" s="7">
        <f>IF($U246="","",P246+M246)</f>
        <v/>
      </c>
      <c r="R246" s="7">
        <f>IF($U246="","",S246-Q246)</f>
        <v/>
      </c>
      <c r="S246" s="7">
        <f>IF($U246="","",L246+O246)</f>
        <v/>
      </c>
      <c r="T246" s="7">
        <f>IF($U246="","",S246-Q246-G246)</f>
        <v/>
      </c>
      <c r="U246" s="13">
        <f>IF(ROWS($U$2:$U246)&lt;=MAX('Per Line'!$V$2:$V$1001),MATCH(ROWS($U$2:$U246),'Per Line'!$V$2:$V$1001,0),"")</f>
        <v/>
      </c>
    </row>
    <row r="247">
      <c r="A247">
        <f>IF($U247="","",INDEX('Per Line'!$A$2:$A$1001,$U247)&amp;"")</f>
        <v/>
      </c>
      <c r="B247" s="12" t="n"/>
      <c r="C247">
        <f>IF($U247="","",INDEX('Per Line'!$B$2:$B$1001,$U247)&amp;"")</f>
        <v/>
      </c>
      <c r="D247">
        <f>IF($U247="","",INDEX('Per Line'!$C$2:$C$1001,$U247)&amp;"")</f>
        <v/>
      </c>
      <c r="E247">
        <f>IF($U247="","",INDEX('Per Line'!$D$2:$D$1001,$U247)&amp;"")</f>
        <v/>
      </c>
      <c r="F247">
        <f>IF($U247="","",INDEX('Per Line'!$E$2:$E$1001,$U247))</f>
        <v/>
      </c>
      <c r="G247" s="7">
        <f>IF($U247="","",F247*S247/100)</f>
        <v/>
      </c>
      <c r="H247">
        <f>IF($U247="","",INDEX('Per Line'!$O$2:$O$1001,$U247)&amp;"")</f>
        <v/>
      </c>
      <c r="I247" s="11">
        <f>IF($U247="","",INDEX('Per Line'!$Q$2:$Q$1001,$U247))</f>
        <v/>
      </c>
      <c r="J247">
        <f>IF($U247="","",INDEX('Per Line'!$R$2:$R$1001,$U247)&amp;"")</f>
        <v/>
      </c>
      <c r="K247">
        <f>IF($U247="","",Settings!$C$7)</f>
        <v/>
      </c>
      <c r="L247" s="7">
        <f>IF($U247="","",SUMIFS('Per Line'!$N$2:$N$1001,'Per Line'!$A$2:$A$1001,$A247,'Per Line'!$W$2:$W$1001,0))</f>
        <v/>
      </c>
      <c r="M247" s="7">
        <f>IF($U247="","",L247*K247)</f>
        <v/>
      </c>
      <c r="N247">
        <f>IF($U247="","",Settings!$C$6)</f>
        <v/>
      </c>
      <c r="O247" s="7">
        <f>IF($U247="","",SUMIFS('Per Line'!$N$2:$N$1001,'Per Line'!$A$2:$A$1001,$A247,'Per Line'!$W$2:$W$1001,1))</f>
        <v/>
      </c>
      <c r="P247" s="7">
        <f>IF($U247="","",O247*N247)</f>
        <v/>
      </c>
      <c r="Q247" s="7">
        <f>IF($U247="","",P247+M247)</f>
        <v/>
      </c>
      <c r="R247" s="7">
        <f>IF($U247="","",S247-Q247)</f>
        <v/>
      </c>
      <c r="S247" s="7">
        <f>IF($U247="","",L247+O247)</f>
        <v/>
      </c>
      <c r="T247" s="7">
        <f>IF($U247="","",S247-Q247-G247)</f>
        <v/>
      </c>
      <c r="U247" s="13">
        <f>IF(ROWS($U$2:$U247)&lt;=MAX('Per Line'!$V$2:$V$1001),MATCH(ROWS($U$2:$U247),'Per Line'!$V$2:$V$1001,0),"")</f>
        <v/>
      </c>
    </row>
    <row r="248">
      <c r="A248">
        <f>IF($U248="","",INDEX('Per Line'!$A$2:$A$1001,$U248)&amp;"")</f>
        <v/>
      </c>
      <c r="B248" s="12" t="n"/>
      <c r="C248">
        <f>IF($U248="","",INDEX('Per Line'!$B$2:$B$1001,$U248)&amp;"")</f>
        <v/>
      </c>
      <c r="D248">
        <f>IF($U248="","",INDEX('Per Line'!$C$2:$C$1001,$U248)&amp;"")</f>
        <v/>
      </c>
      <c r="E248">
        <f>IF($U248="","",INDEX('Per Line'!$D$2:$D$1001,$U248)&amp;"")</f>
        <v/>
      </c>
      <c r="F248">
        <f>IF($U248="","",INDEX('Per Line'!$E$2:$E$1001,$U248))</f>
        <v/>
      </c>
      <c r="G248" s="7">
        <f>IF($U248="","",F248*S248/100)</f>
        <v/>
      </c>
      <c r="H248">
        <f>IF($U248="","",INDEX('Per Line'!$O$2:$O$1001,$U248)&amp;"")</f>
        <v/>
      </c>
      <c r="I248" s="11">
        <f>IF($U248="","",INDEX('Per Line'!$Q$2:$Q$1001,$U248))</f>
        <v/>
      </c>
      <c r="J248">
        <f>IF($U248="","",INDEX('Per Line'!$R$2:$R$1001,$U248)&amp;"")</f>
        <v/>
      </c>
      <c r="K248">
        <f>IF($U248="","",Settings!$C$7)</f>
        <v/>
      </c>
      <c r="L248" s="7">
        <f>IF($U248="","",SUMIFS('Per Line'!$N$2:$N$1001,'Per Line'!$A$2:$A$1001,$A248,'Per Line'!$W$2:$W$1001,0))</f>
        <v/>
      </c>
      <c r="M248" s="7">
        <f>IF($U248="","",L248*K248)</f>
        <v/>
      </c>
      <c r="N248">
        <f>IF($U248="","",Settings!$C$6)</f>
        <v/>
      </c>
      <c r="O248" s="7">
        <f>IF($U248="","",SUMIFS('Per Line'!$N$2:$N$1001,'Per Line'!$A$2:$A$1001,$A248,'Per Line'!$W$2:$W$1001,1))</f>
        <v/>
      </c>
      <c r="P248" s="7">
        <f>IF($U248="","",O248*N248)</f>
        <v/>
      </c>
      <c r="Q248" s="7">
        <f>IF($U248="","",P248+M248)</f>
        <v/>
      </c>
      <c r="R248" s="7">
        <f>IF($U248="","",S248-Q248)</f>
        <v/>
      </c>
      <c r="S248" s="7">
        <f>IF($U248="","",L248+O248)</f>
        <v/>
      </c>
      <c r="T248" s="7">
        <f>IF($U248="","",S248-Q248-G248)</f>
        <v/>
      </c>
      <c r="U248" s="13">
        <f>IF(ROWS($U$2:$U248)&lt;=MAX('Per Line'!$V$2:$V$1001),MATCH(ROWS($U$2:$U248),'Per Line'!$V$2:$V$1001,0),"")</f>
        <v/>
      </c>
    </row>
    <row r="249">
      <c r="A249">
        <f>IF($U249="","",INDEX('Per Line'!$A$2:$A$1001,$U249)&amp;"")</f>
        <v/>
      </c>
      <c r="B249" s="12" t="n"/>
      <c r="C249">
        <f>IF($U249="","",INDEX('Per Line'!$B$2:$B$1001,$U249)&amp;"")</f>
        <v/>
      </c>
      <c r="D249">
        <f>IF($U249="","",INDEX('Per Line'!$C$2:$C$1001,$U249)&amp;"")</f>
        <v/>
      </c>
      <c r="E249">
        <f>IF($U249="","",INDEX('Per Line'!$D$2:$D$1001,$U249)&amp;"")</f>
        <v/>
      </c>
      <c r="F249">
        <f>IF($U249="","",INDEX('Per Line'!$E$2:$E$1001,$U249))</f>
        <v/>
      </c>
      <c r="G249" s="7">
        <f>IF($U249="","",F249*S249/100)</f>
        <v/>
      </c>
      <c r="H249">
        <f>IF($U249="","",INDEX('Per Line'!$O$2:$O$1001,$U249)&amp;"")</f>
        <v/>
      </c>
      <c r="I249" s="11">
        <f>IF($U249="","",INDEX('Per Line'!$Q$2:$Q$1001,$U249))</f>
        <v/>
      </c>
      <c r="J249">
        <f>IF($U249="","",INDEX('Per Line'!$R$2:$R$1001,$U249)&amp;"")</f>
        <v/>
      </c>
      <c r="K249">
        <f>IF($U249="","",Settings!$C$7)</f>
        <v/>
      </c>
      <c r="L249" s="7">
        <f>IF($U249="","",SUMIFS('Per Line'!$N$2:$N$1001,'Per Line'!$A$2:$A$1001,$A249,'Per Line'!$W$2:$W$1001,0))</f>
        <v/>
      </c>
      <c r="M249" s="7">
        <f>IF($U249="","",L249*K249)</f>
        <v/>
      </c>
      <c r="N249">
        <f>IF($U249="","",Settings!$C$6)</f>
        <v/>
      </c>
      <c r="O249" s="7">
        <f>IF($U249="","",SUMIFS('Per Line'!$N$2:$N$1001,'Per Line'!$A$2:$A$1001,$A249,'Per Line'!$W$2:$W$1001,1))</f>
        <v/>
      </c>
      <c r="P249" s="7">
        <f>IF($U249="","",O249*N249)</f>
        <v/>
      </c>
      <c r="Q249" s="7">
        <f>IF($U249="","",P249+M249)</f>
        <v/>
      </c>
      <c r="R249" s="7">
        <f>IF($U249="","",S249-Q249)</f>
        <v/>
      </c>
      <c r="S249" s="7">
        <f>IF($U249="","",L249+O249)</f>
        <v/>
      </c>
      <c r="T249" s="7">
        <f>IF($U249="","",S249-Q249-G249)</f>
        <v/>
      </c>
      <c r="U249" s="13">
        <f>IF(ROWS($U$2:$U249)&lt;=MAX('Per Line'!$V$2:$V$1001),MATCH(ROWS($U$2:$U249),'Per Line'!$V$2:$V$1001,0),"")</f>
        <v/>
      </c>
    </row>
    <row r="250">
      <c r="A250">
        <f>IF($U250="","",INDEX('Per Line'!$A$2:$A$1001,$U250)&amp;"")</f>
        <v/>
      </c>
      <c r="B250" s="12" t="n"/>
      <c r="C250">
        <f>IF($U250="","",INDEX('Per Line'!$B$2:$B$1001,$U250)&amp;"")</f>
        <v/>
      </c>
      <c r="D250">
        <f>IF($U250="","",INDEX('Per Line'!$C$2:$C$1001,$U250)&amp;"")</f>
        <v/>
      </c>
      <c r="E250">
        <f>IF($U250="","",INDEX('Per Line'!$D$2:$D$1001,$U250)&amp;"")</f>
        <v/>
      </c>
      <c r="F250">
        <f>IF($U250="","",INDEX('Per Line'!$E$2:$E$1001,$U250))</f>
        <v/>
      </c>
      <c r="G250" s="7">
        <f>IF($U250="","",F250*S250/100)</f>
        <v/>
      </c>
      <c r="H250">
        <f>IF($U250="","",INDEX('Per Line'!$O$2:$O$1001,$U250)&amp;"")</f>
        <v/>
      </c>
      <c r="I250" s="11">
        <f>IF($U250="","",INDEX('Per Line'!$Q$2:$Q$1001,$U250))</f>
        <v/>
      </c>
      <c r="J250">
        <f>IF($U250="","",INDEX('Per Line'!$R$2:$R$1001,$U250)&amp;"")</f>
        <v/>
      </c>
      <c r="K250">
        <f>IF($U250="","",Settings!$C$7)</f>
        <v/>
      </c>
      <c r="L250" s="7">
        <f>IF($U250="","",SUMIFS('Per Line'!$N$2:$N$1001,'Per Line'!$A$2:$A$1001,$A250,'Per Line'!$W$2:$W$1001,0))</f>
        <v/>
      </c>
      <c r="M250" s="7">
        <f>IF($U250="","",L250*K250)</f>
        <v/>
      </c>
      <c r="N250">
        <f>IF($U250="","",Settings!$C$6)</f>
        <v/>
      </c>
      <c r="O250" s="7">
        <f>IF($U250="","",SUMIFS('Per Line'!$N$2:$N$1001,'Per Line'!$A$2:$A$1001,$A250,'Per Line'!$W$2:$W$1001,1))</f>
        <v/>
      </c>
      <c r="P250" s="7">
        <f>IF($U250="","",O250*N250)</f>
        <v/>
      </c>
      <c r="Q250" s="7">
        <f>IF($U250="","",P250+M250)</f>
        <v/>
      </c>
      <c r="R250" s="7">
        <f>IF($U250="","",S250-Q250)</f>
        <v/>
      </c>
      <c r="S250" s="7">
        <f>IF($U250="","",L250+O250)</f>
        <v/>
      </c>
      <c r="T250" s="7">
        <f>IF($U250="","",S250-Q250-G250)</f>
        <v/>
      </c>
      <c r="U250" s="13">
        <f>IF(ROWS($U$2:$U250)&lt;=MAX('Per Line'!$V$2:$V$1001),MATCH(ROWS($U$2:$U250),'Per Line'!$V$2:$V$1001,0),"")</f>
        <v/>
      </c>
    </row>
    <row r="251">
      <c r="A251">
        <f>IF($U251="","",INDEX('Per Line'!$A$2:$A$1001,$U251)&amp;"")</f>
        <v/>
      </c>
      <c r="B251" s="12" t="n"/>
      <c r="C251">
        <f>IF($U251="","",INDEX('Per Line'!$B$2:$B$1001,$U251)&amp;"")</f>
        <v/>
      </c>
      <c r="D251">
        <f>IF($U251="","",INDEX('Per Line'!$C$2:$C$1001,$U251)&amp;"")</f>
        <v/>
      </c>
      <c r="E251">
        <f>IF($U251="","",INDEX('Per Line'!$D$2:$D$1001,$U251)&amp;"")</f>
        <v/>
      </c>
      <c r="F251">
        <f>IF($U251="","",INDEX('Per Line'!$E$2:$E$1001,$U251))</f>
        <v/>
      </c>
      <c r="G251" s="7">
        <f>IF($U251="","",F251*S251/100)</f>
        <v/>
      </c>
      <c r="H251">
        <f>IF($U251="","",INDEX('Per Line'!$O$2:$O$1001,$U251)&amp;"")</f>
        <v/>
      </c>
      <c r="I251" s="11">
        <f>IF($U251="","",INDEX('Per Line'!$Q$2:$Q$1001,$U251))</f>
        <v/>
      </c>
      <c r="J251">
        <f>IF($U251="","",INDEX('Per Line'!$R$2:$R$1001,$U251)&amp;"")</f>
        <v/>
      </c>
      <c r="K251">
        <f>IF($U251="","",Settings!$C$7)</f>
        <v/>
      </c>
      <c r="L251" s="7">
        <f>IF($U251="","",SUMIFS('Per Line'!$N$2:$N$1001,'Per Line'!$A$2:$A$1001,$A251,'Per Line'!$W$2:$W$1001,0))</f>
        <v/>
      </c>
      <c r="M251" s="7">
        <f>IF($U251="","",L251*K251)</f>
        <v/>
      </c>
      <c r="N251">
        <f>IF($U251="","",Settings!$C$6)</f>
        <v/>
      </c>
      <c r="O251" s="7">
        <f>IF($U251="","",SUMIFS('Per Line'!$N$2:$N$1001,'Per Line'!$A$2:$A$1001,$A251,'Per Line'!$W$2:$W$1001,1))</f>
        <v/>
      </c>
      <c r="P251" s="7">
        <f>IF($U251="","",O251*N251)</f>
        <v/>
      </c>
      <c r="Q251" s="7">
        <f>IF($U251="","",P251+M251)</f>
        <v/>
      </c>
      <c r="R251" s="7">
        <f>IF($U251="","",S251-Q251)</f>
        <v/>
      </c>
      <c r="S251" s="7">
        <f>IF($U251="","",L251+O251)</f>
        <v/>
      </c>
      <c r="T251" s="7">
        <f>IF($U251="","",S251-Q251-G251)</f>
        <v/>
      </c>
      <c r="U251" s="13">
        <f>IF(ROWS($U$2:$U251)&lt;=MAX('Per Line'!$V$2:$V$1001),MATCH(ROWS($U$2:$U251),'Per Line'!$V$2:$V$1001,0),"")</f>
        <v/>
      </c>
    </row>
    <row r="252">
      <c r="A252">
        <f>IF($U252="","",INDEX('Per Line'!$A$2:$A$1001,$U252)&amp;"")</f>
        <v/>
      </c>
      <c r="B252" s="12" t="n"/>
      <c r="C252">
        <f>IF($U252="","",INDEX('Per Line'!$B$2:$B$1001,$U252)&amp;"")</f>
        <v/>
      </c>
      <c r="D252">
        <f>IF($U252="","",INDEX('Per Line'!$C$2:$C$1001,$U252)&amp;"")</f>
        <v/>
      </c>
      <c r="E252">
        <f>IF($U252="","",INDEX('Per Line'!$D$2:$D$1001,$U252)&amp;"")</f>
        <v/>
      </c>
      <c r="F252">
        <f>IF($U252="","",INDEX('Per Line'!$E$2:$E$1001,$U252))</f>
        <v/>
      </c>
      <c r="G252" s="7">
        <f>IF($U252="","",F252*S252/100)</f>
        <v/>
      </c>
      <c r="H252">
        <f>IF($U252="","",INDEX('Per Line'!$O$2:$O$1001,$U252)&amp;"")</f>
        <v/>
      </c>
      <c r="I252" s="11">
        <f>IF($U252="","",INDEX('Per Line'!$Q$2:$Q$1001,$U252))</f>
        <v/>
      </c>
      <c r="J252">
        <f>IF($U252="","",INDEX('Per Line'!$R$2:$R$1001,$U252)&amp;"")</f>
        <v/>
      </c>
      <c r="K252">
        <f>IF($U252="","",Settings!$C$7)</f>
        <v/>
      </c>
      <c r="L252" s="7">
        <f>IF($U252="","",SUMIFS('Per Line'!$N$2:$N$1001,'Per Line'!$A$2:$A$1001,$A252,'Per Line'!$W$2:$W$1001,0))</f>
        <v/>
      </c>
      <c r="M252" s="7">
        <f>IF($U252="","",L252*K252)</f>
        <v/>
      </c>
      <c r="N252">
        <f>IF($U252="","",Settings!$C$6)</f>
        <v/>
      </c>
      <c r="O252" s="7">
        <f>IF($U252="","",SUMIFS('Per Line'!$N$2:$N$1001,'Per Line'!$A$2:$A$1001,$A252,'Per Line'!$W$2:$W$1001,1))</f>
        <v/>
      </c>
      <c r="P252" s="7">
        <f>IF($U252="","",O252*N252)</f>
        <v/>
      </c>
      <c r="Q252" s="7">
        <f>IF($U252="","",P252+M252)</f>
        <v/>
      </c>
      <c r="R252" s="7">
        <f>IF($U252="","",S252-Q252)</f>
        <v/>
      </c>
      <c r="S252" s="7">
        <f>IF($U252="","",L252+O252)</f>
        <v/>
      </c>
      <c r="T252" s="7">
        <f>IF($U252="","",S252-Q252-G252)</f>
        <v/>
      </c>
      <c r="U252" s="13">
        <f>IF(ROWS($U$2:$U252)&lt;=MAX('Per Line'!$V$2:$V$1001),MATCH(ROWS($U$2:$U252),'Per Line'!$V$2:$V$1001,0),"")</f>
        <v/>
      </c>
    </row>
    <row r="253">
      <c r="A253">
        <f>IF($U253="","",INDEX('Per Line'!$A$2:$A$1001,$U253)&amp;"")</f>
        <v/>
      </c>
      <c r="B253" s="12" t="n"/>
      <c r="C253">
        <f>IF($U253="","",INDEX('Per Line'!$B$2:$B$1001,$U253)&amp;"")</f>
        <v/>
      </c>
      <c r="D253">
        <f>IF($U253="","",INDEX('Per Line'!$C$2:$C$1001,$U253)&amp;"")</f>
        <v/>
      </c>
      <c r="E253">
        <f>IF($U253="","",INDEX('Per Line'!$D$2:$D$1001,$U253)&amp;"")</f>
        <v/>
      </c>
      <c r="F253">
        <f>IF($U253="","",INDEX('Per Line'!$E$2:$E$1001,$U253))</f>
        <v/>
      </c>
      <c r="G253" s="7">
        <f>IF($U253="","",F253*S253/100)</f>
        <v/>
      </c>
      <c r="H253">
        <f>IF($U253="","",INDEX('Per Line'!$O$2:$O$1001,$U253)&amp;"")</f>
        <v/>
      </c>
      <c r="I253" s="11">
        <f>IF($U253="","",INDEX('Per Line'!$Q$2:$Q$1001,$U253))</f>
        <v/>
      </c>
      <c r="J253">
        <f>IF($U253="","",INDEX('Per Line'!$R$2:$R$1001,$U253)&amp;"")</f>
        <v/>
      </c>
      <c r="K253">
        <f>IF($U253="","",Settings!$C$7)</f>
        <v/>
      </c>
      <c r="L253" s="7">
        <f>IF($U253="","",SUMIFS('Per Line'!$N$2:$N$1001,'Per Line'!$A$2:$A$1001,$A253,'Per Line'!$W$2:$W$1001,0))</f>
        <v/>
      </c>
      <c r="M253" s="7">
        <f>IF($U253="","",L253*K253)</f>
        <v/>
      </c>
      <c r="N253">
        <f>IF($U253="","",Settings!$C$6)</f>
        <v/>
      </c>
      <c r="O253" s="7">
        <f>IF($U253="","",SUMIFS('Per Line'!$N$2:$N$1001,'Per Line'!$A$2:$A$1001,$A253,'Per Line'!$W$2:$W$1001,1))</f>
        <v/>
      </c>
      <c r="P253" s="7">
        <f>IF($U253="","",O253*N253)</f>
        <v/>
      </c>
      <c r="Q253" s="7">
        <f>IF($U253="","",P253+M253)</f>
        <v/>
      </c>
      <c r="R253" s="7">
        <f>IF($U253="","",S253-Q253)</f>
        <v/>
      </c>
      <c r="S253" s="7">
        <f>IF($U253="","",L253+O253)</f>
        <v/>
      </c>
      <c r="T253" s="7">
        <f>IF($U253="","",S253-Q253-G253)</f>
        <v/>
      </c>
      <c r="U253" s="13">
        <f>IF(ROWS($U$2:$U253)&lt;=MAX('Per Line'!$V$2:$V$1001),MATCH(ROWS($U$2:$U253),'Per Line'!$V$2:$V$1001,0),"")</f>
        <v/>
      </c>
    </row>
    <row r="254">
      <c r="A254">
        <f>IF($U254="","",INDEX('Per Line'!$A$2:$A$1001,$U254)&amp;"")</f>
        <v/>
      </c>
      <c r="B254" s="12" t="n"/>
      <c r="C254">
        <f>IF($U254="","",INDEX('Per Line'!$B$2:$B$1001,$U254)&amp;"")</f>
        <v/>
      </c>
      <c r="D254">
        <f>IF($U254="","",INDEX('Per Line'!$C$2:$C$1001,$U254)&amp;"")</f>
        <v/>
      </c>
      <c r="E254">
        <f>IF($U254="","",INDEX('Per Line'!$D$2:$D$1001,$U254)&amp;"")</f>
        <v/>
      </c>
      <c r="F254">
        <f>IF($U254="","",INDEX('Per Line'!$E$2:$E$1001,$U254))</f>
        <v/>
      </c>
      <c r="G254" s="7">
        <f>IF($U254="","",F254*S254/100)</f>
        <v/>
      </c>
      <c r="H254">
        <f>IF($U254="","",INDEX('Per Line'!$O$2:$O$1001,$U254)&amp;"")</f>
        <v/>
      </c>
      <c r="I254" s="11">
        <f>IF($U254="","",INDEX('Per Line'!$Q$2:$Q$1001,$U254))</f>
        <v/>
      </c>
      <c r="J254">
        <f>IF($U254="","",INDEX('Per Line'!$R$2:$R$1001,$U254)&amp;"")</f>
        <v/>
      </c>
      <c r="K254">
        <f>IF($U254="","",Settings!$C$7)</f>
        <v/>
      </c>
      <c r="L254" s="7">
        <f>IF($U254="","",SUMIFS('Per Line'!$N$2:$N$1001,'Per Line'!$A$2:$A$1001,$A254,'Per Line'!$W$2:$W$1001,0))</f>
        <v/>
      </c>
      <c r="M254" s="7">
        <f>IF($U254="","",L254*K254)</f>
        <v/>
      </c>
      <c r="N254">
        <f>IF($U254="","",Settings!$C$6)</f>
        <v/>
      </c>
      <c r="O254" s="7">
        <f>IF($U254="","",SUMIFS('Per Line'!$N$2:$N$1001,'Per Line'!$A$2:$A$1001,$A254,'Per Line'!$W$2:$W$1001,1))</f>
        <v/>
      </c>
      <c r="P254" s="7">
        <f>IF($U254="","",O254*N254)</f>
        <v/>
      </c>
      <c r="Q254" s="7">
        <f>IF($U254="","",P254+M254)</f>
        <v/>
      </c>
      <c r="R254" s="7">
        <f>IF($U254="","",S254-Q254)</f>
        <v/>
      </c>
      <c r="S254" s="7">
        <f>IF($U254="","",L254+O254)</f>
        <v/>
      </c>
      <c r="T254" s="7">
        <f>IF($U254="","",S254-Q254-G254)</f>
        <v/>
      </c>
      <c r="U254" s="13">
        <f>IF(ROWS($U$2:$U254)&lt;=MAX('Per Line'!$V$2:$V$1001),MATCH(ROWS($U$2:$U254),'Per Line'!$V$2:$V$1001,0),"")</f>
        <v/>
      </c>
    </row>
    <row r="255">
      <c r="A255">
        <f>IF($U255="","",INDEX('Per Line'!$A$2:$A$1001,$U255)&amp;"")</f>
        <v/>
      </c>
      <c r="B255" s="12" t="n"/>
      <c r="C255">
        <f>IF($U255="","",INDEX('Per Line'!$B$2:$B$1001,$U255)&amp;"")</f>
        <v/>
      </c>
      <c r="D255">
        <f>IF($U255="","",INDEX('Per Line'!$C$2:$C$1001,$U255)&amp;"")</f>
        <v/>
      </c>
      <c r="E255">
        <f>IF($U255="","",INDEX('Per Line'!$D$2:$D$1001,$U255)&amp;"")</f>
        <v/>
      </c>
      <c r="F255">
        <f>IF($U255="","",INDEX('Per Line'!$E$2:$E$1001,$U255))</f>
        <v/>
      </c>
      <c r="G255" s="7">
        <f>IF($U255="","",F255*S255/100)</f>
        <v/>
      </c>
      <c r="H255">
        <f>IF($U255="","",INDEX('Per Line'!$O$2:$O$1001,$U255)&amp;"")</f>
        <v/>
      </c>
      <c r="I255" s="11">
        <f>IF($U255="","",INDEX('Per Line'!$Q$2:$Q$1001,$U255))</f>
        <v/>
      </c>
      <c r="J255">
        <f>IF($U255="","",INDEX('Per Line'!$R$2:$R$1001,$U255)&amp;"")</f>
        <v/>
      </c>
      <c r="K255">
        <f>IF($U255="","",Settings!$C$7)</f>
        <v/>
      </c>
      <c r="L255" s="7">
        <f>IF($U255="","",SUMIFS('Per Line'!$N$2:$N$1001,'Per Line'!$A$2:$A$1001,$A255,'Per Line'!$W$2:$W$1001,0))</f>
        <v/>
      </c>
      <c r="M255" s="7">
        <f>IF($U255="","",L255*K255)</f>
        <v/>
      </c>
      <c r="N255">
        <f>IF($U255="","",Settings!$C$6)</f>
        <v/>
      </c>
      <c r="O255" s="7">
        <f>IF($U255="","",SUMIFS('Per Line'!$N$2:$N$1001,'Per Line'!$A$2:$A$1001,$A255,'Per Line'!$W$2:$W$1001,1))</f>
        <v/>
      </c>
      <c r="P255" s="7">
        <f>IF($U255="","",O255*N255)</f>
        <v/>
      </c>
      <c r="Q255" s="7">
        <f>IF($U255="","",P255+M255)</f>
        <v/>
      </c>
      <c r="R255" s="7">
        <f>IF($U255="","",S255-Q255)</f>
        <v/>
      </c>
      <c r="S255" s="7">
        <f>IF($U255="","",L255+O255)</f>
        <v/>
      </c>
      <c r="T255" s="7">
        <f>IF($U255="","",S255-Q255-G255)</f>
        <v/>
      </c>
      <c r="U255" s="13">
        <f>IF(ROWS($U$2:$U255)&lt;=MAX('Per Line'!$V$2:$V$1001),MATCH(ROWS($U$2:$U255),'Per Line'!$V$2:$V$1001,0),"")</f>
        <v/>
      </c>
    </row>
    <row r="256">
      <c r="A256">
        <f>IF($U256="","",INDEX('Per Line'!$A$2:$A$1001,$U256)&amp;"")</f>
        <v/>
      </c>
      <c r="B256" s="12" t="n"/>
      <c r="C256">
        <f>IF($U256="","",INDEX('Per Line'!$B$2:$B$1001,$U256)&amp;"")</f>
        <v/>
      </c>
      <c r="D256">
        <f>IF($U256="","",INDEX('Per Line'!$C$2:$C$1001,$U256)&amp;"")</f>
        <v/>
      </c>
      <c r="E256">
        <f>IF($U256="","",INDEX('Per Line'!$D$2:$D$1001,$U256)&amp;"")</f>
        <v/>
      </c>
      <c r="F256">
        <f>IF($U256="","",INDEX('Per Line'!$E$2:$E$1001,$U256))</f>
        <v/>
      </c>
      <c r="G256" s="7">
        <f>IF($U256="","",F256*S256/100)</f>
        <v/>
      </c>
      <c r="H256">
        <f>IF($U256="","",INDEX('Per Line'!$O$2:$O$1001,$U256)&amp;"")</f>
        <v/>
      </c>
      <c r="I256" s="11">
        <f>IF($U256="","",INDEX('Per Line'!$Q$2:$Q$1001,$U256))</f>
        <v/>
      </c>
      <c r="J256">
        <f>IF($U256="","",INDEX('Per Line'!$R$2:$R$1001,$U256)&amp;"")</f>
        <v/>
      </c>
      <c r="K256">
        <f>IF($U256="","",Settings!$C$7)</f>
        <v/>
      </c>
      <c r="L256" s="7">
        <f>IF($U256="","",SUMIFS('Per Line'!$N$2:$N$1001,'Per Line'!$A$2:$A$1001,$A256,'Per Line'!$W$2:$W$1001,0))</f>
        <v/>
      </c>
      <c r="M256" s="7">
        <f>IF($U256="","",L256*K256)</f>
        <v/>
      </c>
      <c r="N256">
        <f>IF($U256="","",Settings!$C$6)</f>
        <v/>
      </c>
      <c r="O256" s="7">
        <f>IF($U256="","",SUMIFS('Per Line'!$N$2:$N$1001,'Per Line'!$A$2:$A$1001,$A256,'Per Line'!$W$2:$W$1001,1))</f>
        <v/>
      </c>
      <c r="P256" s="7">
        <f>IF($U256="","",O256*N256)</f>
        <v/>
      </c>
      <c r="Q256" s="7">
        <f>IF($U256="","",P256+M256)</f>
        <v/>
      </c>
      <c r="R256" s="7">
        <f>IF($U256="","",S256-Q256)</f>
        <v/>
      </c>
      <c r="S256" s="7">
        <f>IF($U256="","",L256+O256)</f>
        <v/>
      </c>
      <c r="T256" s="7">
        <f>IF($U256="","",S256-Q256-G256)</f>
        <v/>
      </c>
      <c r="U256" s="13">
        <f>IF(ROWS($U$2:$U256)&lt;=MAX('Per Line'!$V$2:$V$1001),MATCH(ROWS($U$2:$U256),'Per Line'!$V$2:$V$1001,0),"")</f>
        <v/>
      </c>
    </row>
    <row r="257">
      <c r="A257">
        <f>IF($U257="","",INDEX('Per Line'!$A$2:$A$1001,$U257)&amp;"")</f>
        <v/>
      </c>
      <c r="B257" s="12" t="n"/>
      <c r="C257">
        <f>IF($U257="","",INDEX('Per Line'!$B$2:$B$1001,$U257)&amp;"")</f>
        <v/>
      </c>
      <c r="D257">
        <f>IF($U257="","",INDEX('Per Line'!$C$2:$C$1001,$U257)&amp;"")</f>
        <v/>
      </c>
      <c r="E257">
        <f>IF($U257="","",INDEX('Per Line'!$D$2:$D$1001,$U257)&amp;"")</f>
        <v/>
      </c>
      <c r="F257">
        <f>IF($U257="","",INDEX('Per Line'!$E$2:$E$1001,$U257))</f>
        <v/>
      </c>
      <c r="G257" s="7">
        <f>IF($U257="","",F257*S257/100)</f>
        <v/>
      </c>
      <c r="H257">
        <f>IF($U257="","",INDEX('Per Line'!$O$2:$O$1001,$U257)&amp;"")</f>
        <v/>
      </c>
      <c r="I257" s="11">
        <f>IF($U257="","",INDEX('Per Line'!$Q$2:$Q$1001,$U257))</f>
        <v/>
      </c>
      <c r="J257">
        <f>IF($U257="","",INDEX('Per Line'!$R$2:$R$1001,$U257)&amp;"")</f>
        <v/>
      </c>
      <c r="K257">
        <f>IF($U257="","",Settings!$C$7)</f>
        <v/>
      </c>
      <c r="L257" s="7">
        <f>IF($U257="","",SUMIFS('Per Line'!$N$2:$N$1001,'Per Line'!$A$2:$A$1001,$A257,'Per Line'!$W$2:$W$1001,0))</f>
        <v/>
      </c>
      <c r="M257" s="7">
        <f>IF($U257="","",L257*K257)</f>
        <v/>
      </c>
      <c r="N257">
        <f>IF($U257="","",Settings!$C$6)</f>
        <v/>
      </c>
      <c r="O257" s="7">
        <f>IF($U257="","",SUMIFS('Per Line'!$N$2:$N$1001,'Per Line'!$A$2:$A$1001,$A257,'Per Line'!$W$2:$W$1001,1))</f>
        <v/>
      </c>
      <c r="P257" s="7">
        <f>IF($U257="","",O257*N257)</f>
        <v/>
      </c>
      <c r="Q257" s="7">
        <f>IF($U257="","",P257+M257)</f>
        <v/>
      </c>
      <c r="R257" s="7">
        <f>IF($U257="","",S257-Q257)</f>
        <v/>
      </c>
      <c r="S257" s="7">
        <f>IF($U257="","",L257+O257)</f>
        <v/>
      </c>
      <c r="T257" s="7">
        <f>IF($U257="","",S257-Q257-G257)</f>
        <v/>
      </c>
      <c r="U257" s="13">
        <f>IF(ROWS($U$2:$U257)&lt;=MAX('Per Line'!$V$2:$V$1001),MATCH(ROWS($U$2:$U257),'Per Line'!$V$2:$V$1001,0),"")</f>
        <v/>
      </c>
    </row>
    <row r="258">
      <c r="A258">
        <f>IF($U258="","",INDEX('Per Line'!$A$2:$A$1001,$U258)&amp;"")</f>
        <v/>
      </c>
      <c r="B258" s="12" t="n"/>
      <c r="C258">
        <f>IF($U258="","",INDEX('Per Line'!$B$2:$B$1001,$U258)&amp;"")</f>
        <v/>
      </c>
      <c r="D258">
        <f>IF($U258="","",INDEX('Per Line'!$C$2:$C$1001,$U258)&amp;"")</f>
        <v/>
      </c>
      <c r="E258">
        <f>IF($U258="","",INDEX('Per Line'!$D$2:$D$1001,$U258)&amp;"")</f>
        <v/>
      </c>
      <c r="F258">
        <f>IF($U258="","",INDEX('Per Line'!$E$2:$E$1001,$U258))</f>
        <v/>
      </c>
      <c r="G258" s="7">
        <f>IF($U258="","",F258*S258/100)</f>
        <v/>
      </c>
      <c r="H258">
        <f>IF($U258="","",INDEX('Per Line'!$O$2:$O$1001,$U258)&amp;"")</f>
        <v/>
      </c>
      <c r="I258" s="11">
        <f>IF($U258="","",INDEX('Per Line'!$Q$2:$Q$1001,$U258))</f>
        <v/>
      </c>
      <c r="J258">
        <f>IF($U258="","",INDEX('Per Line'!$R$2:$R$1001,$U258)&amp;"")</f>
        <v/>
      </c>
      <c r="K258">
        <f>IF($U258="","",Settings!$C$7)</f>
        <v/>
      </c>
      <c r="L258" s="7">
        <f>IF($U258="","",SUMIFS('Per Line'!$N$2:$N$1001,'Per Line'!$A$2:$A$1001,$A258,'Per Line'!$W$2:$W$1001,0))</f>
        <v/>
      </c>
      <c r="M258" s="7">
        <f>IF($U258="","",L258*K258)</f>
        <v/>
      </c>
      <c r="N258">
        <f>IF($U258="","",Settings!$C$6)</f>
        <v/>
      </c>
      <c r="O258" s="7">
        <f>IF($U258="","",SUMIFS('Per Line'!$N$2:$N$1001,'Per Line'!$A$2:$A$1001,$A258,'Per Line'!$W$2:$W$1001,1))</f>
        <v/>
      </c>
      <c r="P258" s="7">
        <f>IF($U258="","",O258*N258)</f>
        <v/>
      </c>
      <c r="Q258" s="7">
        <f>IF($U258="","",P258+M258)</f>
        <v/>
      </c>
      <c r="R258" s="7">
        <f>IF($U258="","",S258-Q258)</f>
        <v/>
      </c>
      <c r="S258" s="7">
        <f>IF($U258="","",L258+O258)</f>
        <v/>
      </c>
      <c r="T258" s="7">
        <f>IF($U258="","",S258-Q258-G258)</f>
        <v/>
      </c>
      <c r="U258" s="13">
        <f>IF(ROWS($U$2:$U258)&lt;=MAX('Per Line'!$V$2:$V$1001),MATCH(ROWS($U$2:$U258),'Per Line'!$V$2:$V$1001,0),"")</f>
        <v/>
      </c>
    </row>
    <row r="259">
      <c r="A259">
        <f>IF($U259="","",INDEX('Per Line'!$A$2:$A$1001,$U259)&amp;"")</f>
        <v/>
      </c>
      <c r="B259" s="12" t="n"/>
      <c r="C259">
        <f>IF($U259="","",INDEX('Per Line'!$B$2:$B$1001,$U259)&amp;"")</f>
        <v/>
      </c>
      <c r="D259">
        <f>IF($U259="","",INDEX('Per Line'!$C$2:$C$1001,$U259)&amp;"")</f>
        <v/>
      </c>
      <c r="E259">
        <f>IF($U259="","",INDEX('Per Line'!$D$2:$D$1001,$U259)&amp;"")</f>
        <v/>
      </c>
      <c r="F259">
        <f>IF($U259="","",INDEX('Per Line'!$E$2:$E$1001,$U259))</f>
        <v/>
      </c>
      <c r="G259" s="7">
        <f>IF($U259="","",F259*S259/100)</f>
        <v/>
      </c>
      <c r="H259">
        <f>IF($U259="","",INDEX('Per Line'!$O$2:$O$1001,$U259)&amp;"")</f>
        <v/>
      </c>
      <c r="I259" s="11">
        <f>IF($U259="","",INDEX('Per Line'!$Q$2:$Q$1001,$U259))</f>
        <v/>
      </c>
      <c r="J259">
        <f>IF($U259="","",INDEX('Per Line'!$R$2:$R$1001,$U259)&amp;"")</f>
        <v/>
      </c>
      <c r="K259">
        <f>IF($U259="","",Settings!$C$7)</f>
        <v/>
      </c>
      <c r="L259" s="7">
        <f>IF($U259="","",SUMIFS('Per Line'!$N$2:$N$1001,'Per Line'!$A$2:$A$1001,$A259,'Per Line'!$W$2:$W$1001,0))</f>
        <v/>
      </c>
      <c r="M259" s="7">
        <f>IF($U259="","",L259*K259)</f>
        <v/>
      </c>
      <c r="N259">
        <f>IF($U259="","",Settings!$C$6)</f>
        <v/>
      </c>
      <c r="O259" s="7">
        <f>IF($U259="","",SUMIFS('Per Line'!$N$2:$N$1001,'Per Line'!$A$2:$A$1001,$A259,'Per Line'!$W$2:$W$1001,1))</f>
        <v/>
      </c>
      <c r="P259" s="7">
        <f>IF($U259="","",O259*N259)</f>
        <v/>
      </c>
      <c r="Q259" s="7">
        <f>IF($U259="","",P259+M259)</f>
        <v/>
      </c>
      <c r="R259" s="7">
        <f>IF($U259="","",S259-Q259)</f>
        <v/>
      </c>
      <c r="S259" s="7">
        <f>IF($U259="","",L259+O259)</f>
        <v/>
      </c>
      <c r="T259" s="7">
        <f>IF($U259="","",S259-Q259-G259)</f>
        <v/>
      </c>
      <c r="U259" s="13">
        <f>IF(ROWS($U$2:$U259)&lt;=MAX('Per Line'!$V$2:$V$1001),MATCH(ROWS($U$2:$U259),'Per Line'!$V$2:$V$1001,0),"")</f>
        <v/>
      </c>
    </row>
    <row r="260">
      <c r="A260">
        <f>IF($U260="","",INDEX('Per Line'!$A$2:$A$1001,$U260)&amp;"")</f>
        <v/>
      </c>
      <c r="B260" s="12" t="n"/>
      <c r="C260">
        <f>IF($U260="","",INDEX('Per Line'!$B$2:$B$1001,$U260)&amp;"")</f>
        <v/>
      </c>
      <c r="D260">
        <f>IF($U260="","",INDEX('Per Line'!$C$2:$C$1001,$U260)&amp;"")</f>
        <v/>
      </c>
      <c r="E260">
        <f>IF($U260="","",INDEX('Per Line'!$D$2:$D$1001,$U260)&amp;"")</f>
        <v/>
      </c>
      <c r="F260">
        <f>IF($U260="","",INDEX('Per Line'!$E$2:$E$1001,$U260))</f>
        <v/>
      </c>
      <c r="G260" s="7">
        <f>IF($U260="","",F260*S260/100)</f>
        <v/>
      </c>
      <c r="H260">
        <f>IF($U260="","",INDEX('Per Line'!$O$2:$O$1001,$U260)&amp;"")</f>
        <v/>
      </c>
      <c r="I260" s="11">
        <f>IF($U260="","",INDEX('Per Line'!$Q$2:$Q$1001,$U260))</f>
        <v/>
      </c>
      <c r="J260">
        <f>IF($U260="","",INDEX('Per Line'!$R$2:$R$1001,$U260)&amp;"")</f>
        <v/>
      </c>
      <c r="K260">
        <f>IF($U260="","",Settings!$C$7)</f>
        <v/>
      </c>
      <c r="L260" s="7">
        <f>IF($U260="","",SUMIFS('Per Line'!$N$2:$N$1001,'Per Line'!$A$2:$A$1001,$A260,'Per Line'!$W$2:$W$1001,0))</f>
        <v/>
      </c>
      <c r="M260" s="7">
        <f>IF($U260="","",L260*K260)</f>
        <v/>
      </c>
      <c r="N260">
        <f>IF($U260="","",Settings!$C$6)</f>
        <v/>
      </c>
      <c r="O260" s="7">
        <f>IF($U260="","",SUMIFS('Per Line'!$N$2:$N$1001,'Per Line'!$A$2:$A$1001,$A260,'Per Line'!$W$2:$W$1001,1))</f>
        <v/>
      </c>
      <c r="P260" s="7">
        <f>IF($U260="","",O260*N260)</f>
        <v/>
      </c>
      <c r="Q260" s="7">
        <f>IF($U260="","",P260+M260)</f>
        <v/>
      </c>
      <c r="R260" s="7">
        <f>IF($U260="","",S260-Q260)</f>
        <v/>
      </c>
      <c r="S260" s="7">
        <f>IF($U260="","",L260+O260)</f>
        <v/>
      </c>
      <c r="T260" s="7">
        <f>IF($U260="","",S260-Q260-G260)</f>
        <v/>
      </c>
      <c r="U260" s="13">
        <f>IF(ROWS($U$2:$U260)&lt;=MAX('Per Line'!$V$2:$V$1001),MATCH(ROWS($U$2:$U260),'Per Line'!$V$2:$V$1001,0),"")</f>
        <v/>
      </c>
    </row>
    <row r="261">
      <c r="A261">
        <f>IF($U261="","",INDEX('Per Line'!$A$2:$A$1001,$U261)&amp;"")</f>
        <v/>
      </c>
      <c r="B261" s="12" t="n"/>
      <c r="C261">
        <f>IF($U261="","",INDEX('Per Line'!$B$2:$B$1001,$U261)&amp;"")</f>
        <v/>
      </c>
      <c r="D261">
        <f>IF($U261="","",INDEX('Per Line'!$C$2:$C$1001,$U261)&amp;"")</f>
        <v/>
      </c>
      <c r="E261">
        <f>IF($U261="","",INDEX('Per Line'!$D$2:$D$1001,$U261)&amp;"")</f>
        <v/>
      </c>
      <c r="F261">
        <f>IF($U261="","",INDEX('Per Line'!$E$2:$E$1001,$U261))</f>
        <v/>
      </c>
      <c r="G261" s="7">
        <f>IF($U261="","",F261*S261/100)</f>
        <v/>
      </c>
      <c r="H261">
        <f>IF($U261="","",INDEX('Per Line'!$O$2:$O$1001,$U261)&amp;"")</f>
        <v/>
      </c>
      <c r="I261" s="11">
        <f>IF($U261="","",INDEX('Per Line'!$Q$2:$Q$1001,$U261))</f>
        <v/>
      </c>
      <c r="J261">
        <f>IF($U261="","",INDEX('Per Line'!$R$2:$R$1001,$U261)&amp;"")</f>
        <v/>
      </c>
      <c r="K261">
        <f>IF($U261="","",Settings!$C$7)</f>
        <v/>
      </c>
      <c r="L261" s="7">
        <f>IF($U261="","",SUMIFS('Per Line'!$N$2:$N$1001,'Per Line'!$A$2:$A$1001,$A261,'Per Line'!$W$2:$W$1001,0))</f>
        <v/>
      </c>
      <c r="M261" s="7">
        <f>IF($U261="","",L261*K261)</f>
        <v/>
      </c>
      <c r="N261">
        <f>IF($U261="","",Settings!$C$6)</f>
        <v/>
      </c>
      <c r="O261" s="7">
        <f>IF($U261="","",SUMIFS('Per Line'!$N$2:$N$1001,'Per Line'!$A$2:$A$1001,$A261,'Per Line'!$W$2:$W$1001,1))</f>
        <v/>
      </c>
      <c r="P261" s="7">
        <f>IF($U261="","",O261*N261)</f>
        <v/>
      </c>
      <c r="Q261" s="7">
        <f>IF($U261="","",P261+M261)</f>
        <v/>
      </c>
      <c r="R261" s="7">
        <f>IF($U261="","",S261-Q261)</f>
        <v/>
      </c>
      <c r="S261" s="7">
        <f>IF($U261="","",L261+O261)</f>
        <v/>
      </c>
      <c r="T261" s="7">
        <f>IF($U261="","",S261-Q261-G261)</f>
        <v/>
      </c>
      <c r="U261" s="13">
        <f>IF(ROWS($U$2:$U261)&lt;=MAX('Per Line'!$V$2:$V$1001),MATCH(ROWS($U$2:$U261),'Per Line'!$V$2:$V$1001,0),"")</f>
        <v/>
      </c>
    </row>
    <row r="262">
      <c r="A262">
        <f>IF($U262="","",INDEX('Per Line'!$A$2:$A$1001,$U262)&amp;"")</f>
        <v/>
      </c>
      <c r="B262" s="12" t="n"/>
      <c r="C262">
        <f>IF($U262="","",INDEX('Per Line'!$B$2:$B$1001,$U262)&amp;"")</f>
        <v/>
      </c>
      <c r="D262">
        <f>IF($U262="","",INDEX('Per Line'!$C$2:$C$1001,$U262)&amp;"")</f>
        <v/>
      </c>
      <c r="E262">
        <f>IF($U262="","",INDEX('Per Line'!$D$2:$D$1001,$U262)&amp;"")</f>
        <v/>
      </c>
      <c r="F262">
        <f>IF($U262="","",INDEX('Per Line'!$E$2:$E$1001,$U262))</f>
        <v/>
      </c>
      <c r="G262" s="7">
        <f>IF($U262="","",F262*S262/100)</f>
        <v/>
      </c>
      <c r="H262">
        <f>IF($U262="","",INDEX('Per Line'!$O$2:$O$1001,$U262)&amp;"")</f>
        <v/>
      </c>
      <c r="I262" s="11">
        <f>IF($U262="","",INDEX('Per Line'!$Q$2:$Q$1001,$U262))</f>
        <v/>
      </c>
      <c r="J262">
        <f>IF($U262="","",INDEX('Per Line'!$R$2:$R$1001,$U262)&amp;"")</f>
        <v/>
      </c>
      <c r="K262">
        <f>IF($U262="","",Settings!$C$7)</f>
        <v/>
      </c>
      <c r="L262" s="7">
        <f>IF($U262="","",SUMIFS('Per Line'!$N$2:$N$1001,'Per Line'!$A$2:$A$1001,$A262,'Per Line'!$W$2:$W$1001,0))</f>
        <v/>
      </c>
      <c r="M262" s="7">
        <f>IF($U262="","",L262*K262)</f>
        <v/>
      </c>
      <c r="N262">
        <f>IF($U262="","",Settings!$C$6)</f>
        <v/>
      </c>
      <c r="O262" s="7">
        <f>IF($U262="","",SUMIFS('Per Line'!$N$2:$N$1001,'Per Line'!$A$2:$A$1001,$A262,'Per Line'!$W$2:$W$1001,1))</f>
        <v/>
      </c>
      <c r="P262" s="7">
        <f>IF($U262="","",O262*N262)</f>
        <v/>
      </c>
      <c r="Q262" s="7">
        <f>IF($U262="","",P262+M262)</f>
        <v/>
      </c>
      <c r="R262" s="7">
        <f>IF($U262="","",S262-Q262)</f>
        <v/>
      </c>
      <c r="S262" s="7">
        <f>IF($U262="","",L262+O262)</f>
        <v/>
      </c>
      <c r="T262" s="7">
        <f>IF($U262="","",S262-Q262-G262)</f>
        <v/>
      </c>
      <c r="U262" s="13">
        <f>IF(ROWS($U$2:$U262)&lt;=MAX('Per Line'!$V$2:$V$1001),MATCH(ROWS($U$2:$U262),'Per Line'!$V$2:$V$1001,0),"")</f>
        <v/>
      </c>
    </row>
    <row r="263">
      <c r="A263">
        <f>IF($U263="","",INDEX('Per Line'!$A$2:$A$1001,$U263)&amp;"")</f>
        <v/>
      </c>
      <c r="B263" s="12" t="n"/>
      <c r="C263">
        <f>IF($U263="","",INDEX('Per Line'!$B$2:$B$1001,$U263)&amp;"")</f>
        <v/>
      </c>
      <c r="D263">
        <f>IF($U263="","",INDEX('Per Line'!$C$2:$C$1001,$U263)&amp;"")</f>
        <v/>
      </c>
      <c r="E263">
        <f>IF($U263="","",INDEX('Per Line'!$D$2:$D$1001,$U263)&amp;"")</f>
        <v/>
      </c>
      <c r="F263">
        <f>IF($U263="","",INDEX('Per Line'!$E$2:$E$1001,$U263))</f>
        <v/>
      </c>
      <c r="G263" s="7">
        <f>IF($U263="","",F263*S263/100)</f>
        <v/>
      </c>
      <c r="H263">
        <f>IF($U263="","",INDEX('Per Line'!$O$2:$O$1001,$U263)&amp;"")</f>
        <v/>
      </c>
      <c r="I263" s="11">
        <f>IF($U263="","",INDEX('Per Line'!$Q$2:$Q$1001,$U263))</f>
        <v/>
      </c>
      <c r="J263">
        <f>IF($U263="","",INDEX('Per Line'!$R$2:$R$1001,$U263)&amp;"")</f>
        <v/>
      </c>
      <c r="K263">
        <f>IF($U263="","",Settings!$C$7)</f>
        <v/>
      </c>
      <c r="L263" s="7">
        <f>IF($U263="","",SUMIFS('Per Line'!$N$2:$N$1001,'Per Line'!$A$2:$A$1001,$A263,'Per Line'!$W$2:$W$1001,0))</f>
        <v/>
      </c>
      <c r="M263" s="7">
        <f>IF($U263="","",L263*K263)</f>
        <v/>
      </c>
      <c r="N263">
        <f>IF($U263="","",Settings!$C$6)</f>
        <v/>
      </c>
      <c r="O263" s="7">
        <f>IF($U263="","",SUMIFS('Per Line'!$N$2:$N$1001,'Per Line'!$A$2:$A$1001,$A263,'Per Line'!$W$2:$W$1001,1))</f>
        <v/>
      </c>
      <c r="P263" s="7">
        <f>IF($U263="","",O263*N263)</f>
        <v/>
      </c>
      <c r="Q263" s="7">
        <f>IF($U263="","",P263+M263)</f>
        <v/>
      </c>
      <c r="R263" s="7">
        <f>IF($U263="","",S263-Q263)</f>
        <v/>
      </c>
      <c r="S263" s="7">
        <f>IF($U263="","",L263+O263)</f>
        <v/>
      </c>
      <c r="T263" s="7">
        <f>IF($U263="","",S263-Q263-G263)</f>
        <v/>
      </c>
      <c r="U263" s="13">
        <f>IF(ROWS($U$2:$U263)&lt;=MAX('Per Line'!$V$2:$V$1001),MATCH(ROWS($U$2:$U263),'Per Line'!$V$2:$V$1001,0),"")</f>
        <v/>
      </c>
    </row>
    <row r="264">
      <c r="A264">
        <f>IF($U264="","",INDEX('Per Line'!$A$2:$A$1001,$U264)&amp;"")</f>
        <v/>
      </c>
      <c r="B264" s="12" t="n"/>
      <c r="C264">
        <f>IF($U264="","",INDEX('Per Line'!$B$2:$B$1001,$U264)&amp;"")</f>
        <v/>
      </c>
      <c r="D264">
        <f>IF($U264="","",INDEX('Per Line'!$C$2:$C$1001,$U264)&amp;"")</f>
        <v/>
      </c>
      <c r="E264">
        <f>IF($U264="","",INDEX('Per Line'!$D$2:$D$1001,$U264)&amp;"")</f>
        <v/>
      </c>
      <c r="F264">
        <f>IF($U264="","",INDEX('Per Line'!$E$2:$E$1001,$U264))</f>
        <v/>
      </c>
      <c r="G264" s="7">
        <f>IF($U264="","",F264*S264/100)</f>
        <v/>
      </c>
      <c r="H264">
        <f>IF($U264="","",INDEX('Per Line'!$O$2:$O$1001,$U264)&amp;"")</f>
        <v/>
      </c>
      <c r="I264" s="11">
        <f>IF($U264="","",INDEX('Per Line'!$Q$2:$Q$1001,$U264))</f>
        <v/>
      </c>
      <c r="J264">
        <f>IF($U264="","",INDEX('Per Line'!$R$2:$R$1001,$U264)&amp;"")</f>
        <v/>
      </c>
      <c r="K264">
        <f>IF($U264="","",Settings!$C$7)</f>
        <v/>
      </c>
      <c r="L264" s="7">
        <f>IF($U264="","",SUMIFS('Per Line'!$N$2:$N$1001,'Per Line'!$A$2:$A$1001,$A264,'Per Line'!$W$2:$W$1001,0))</f>
        <v/>
      </c>
      <c r="M264" s="7">
        <f>IF($U264="","",L264*K264)</f>
        <v/>
      </c>
      <c r="N264">
        <f>IF($U264="","",Settings!$C$6)</f>
        <v/>
      </c>
      <c r="O264" s="7">
        <f>IF($U264="","",SUMIFS('Per Line'!$N$2:$N$1001,'Per Line'!$A$2:$A$1001,$A264,'Per Line'!$W$2:$W$1001,1))</f>
        <v/>
      </c>
      <c r="P264" s="7">
        <f>IF($U264="","",O264*N264)</f>
        <v/>
      </c>
      <c r="Q264" s="7">
        <f>IF($U264="","",P264+M264)</f>
        <v/>
      </c>
      <c r="R264" s="7">
        <f>IF($U264="","",S264-Q264)</f>
        <v/>
      </c>
      <c r="S264" s="7">
        <f>IF($U264="","",L264+O264)</f>
        <v/>
      </c>
      <c r="T264" s="7">
        <f>IF($U264="","",S264-Q264-G264)</f>
        <v/>
      </c>
      <c r="U264" s="13">
        <f>IF(ROWS($U$2:$U264)&lt;=MAX('Per Line'!$V$2:$V$1001),MATCH(ROWS($U$2:$U264),'Per Line'!$V$2:$V$1001,0),"")</f>
        <v/>
      </c>
    </row>
    <row r="265">
      <c r="A265">
        <f>IF($U265="","",INDEX('Per Line'!$A$2:$A$1001,$U265)&amp;"")</f>
        <v/>
      </c>
      <c r="B265" s="12" t="n"/>
      <c r="C265">
        <f>IF($U265="","",INDEX('Per Line'!$B$2:$B$1001,$U265)&amp;"")</f>
        <v/>
      </c>
      <c r="D265">
        <f>IF($U265="","",INDEX('Per Line'!$C$2:$C$1001,$U265)&amp;"")</f>
        <v/>
      </c>
      <c r="E265">
        <f>IF($U265="","",INDEX('Per Line'!$D$2:$D$1001,$U265)&amp;"")</f>
        <v/>
      </c>
      <c r="F265">
        <f>IF($U265="","",INDEX('Per Line'!$E$2:$E$1001,$U265))</f>
        <v/>
      </c>
      <c r="G265" s="7">
        <f>IF($U265="","",F265*S265/100)</f>
        <v/>
      </c>
      <c r="H265">
        <f>IF($U265="","",INDEX('Per Line'!$O$2:$O$1001,$U265)&amp;"")</f>
        <v/>
      </c>
      <c r="I265" s="11">
        <f>IF($U265="","",INDEX('Per Line'!$Q$2:$Q$1001,$U265))</f>
        <v/>
      </c>
      <c r="J265">
        <f>IF($U265="","",INDEX('Per Line'!$R$2:$R$1001,$U265)&amp;"")</f>
        <v/>
      </c>
      <c r="K265">
        <f>IF($U265="","",Settings!$C$7)</f>
        <v/>
      </c>
      <c r="L265" s="7">
        <f>IF($U265="","",SUMIFS('Per Line'!$N$2:$N$1001,'Per Line'!$A$2:$A$1001,$A265,'Per Line'!$W$2:$W$1001,0))</f>
        <v/>
      </c>
      <c r="M265" s="7">
        <f>IF($U265="","",L265*K265)</f>
        <v/>
      </c>
      <c r="N265">
        <f>IF($U265="","",Settings!$C$6)</f>
        <v/>
      </c>
      <c r="O265" s="7">
        <f>IF($U265="","",SUMIFS('Per Line'!$N$2:$N$1001,'Per Line'!$A$2:$A$1001,$A265,'Per Line'!$W$2:$W$1001,1))</f>
        <v/>
      </c>
      <c r="P265" s="7">
        <f>IF($U265="","",O265*N265)</f>
        <v/>
      </c>
      <c r="Q265" s="7">
        <f>IF($U265="","",P265+M265)</f>
        <v/>
      </c>
      <c r="R265" s="7">
        <f>IF($U265="","",S265-Q265)</f>
        <v/>
      </c>
      <c r="S265" s="7">
        <f>IF($U265="","",L265+O265)</f>
        <v/>
      </c>
      <c r="T265" s="7">
        <f>IF($U265="","",S265-Q265-G265)</f>
        <v/>
      </c>
      <c r="U265" s="13">
        <f>IF(ROWS($U$2:$U265)&lt;=MAX('Per Line'!$V$2:$V$1001),MATCH(ROWS($U$2:$U265),'Per Line'!$V$2:$V$1001,0),"")</f>
        <v/>
      </c>
    </row>
    <row r="266">
      <c r="A266">
        <f>IF($U266="","",INDEX('Per Line'!$A$2:$A$1001,$U266)&amp;"")</f>
        <v/>
      </c>
      <c r="B266" s="12" t="n"/>
      <c r="C266">
        <f>IF($U266="","",INDEX('Per Line'!$B$2:$B$1001,$U266)&amp;"")</f>
        <v/>
      </c>
      <c r="D266">
        <f>IF($U266="","",INDEX('Per Line'!$C$2:$C$1001,$U266)&amp;"")</f>
        <v/>
      </c>
      <c r="E266">
        <f>IF($U266="","",INDEX('Per Line'!$D$2:$D$1001,$U266)&amp;"")</f>
        <v/>
      </c>
      <c r="F266">
        <f>IF($U266="","",INDEX('Per Line'!$E$2:$E$1001,$U266))</f>
        <v/>
      </c>
      <c r="G266" s="7">
        <f>IF($U266="","",F266*S266/100)</f>
        <v/>
      </c>
      <c r="H266">
        <f>IF($U266="","",INDEX('Per Line'!$O$2:$O$1001,$U266)&amp;"")</f>
        <v/>
      </c>
      <c r="I266" s="11">
        <f>IF($U266="","",INDEX('Per Line'!$Q$2:$Q$1001,$U266))</f>
        <v/>
      </c>
      <c r="J266">
        <f>IF($U266="","",INDEX('Per Line'!$R$2:$R$1001,$U266)&amp;"")</f>
        <v/>
      </c>
      <c r="K266">
        <f>IF($U266="","",Settings!$C$7)</f>
        <v/>
      </c>
      <c r="L266" s="7">
        <f>IF($U266="","",SUMIFS('Per Line'!$N$2:$N$1001,'Per Line'!$A$2:$A$1001,$A266,'Per Line'!$W$2:$W$1001,0))</f>
        <v/>
      </c>
      <c r="M266" s="7">
        <f>IF($U266="","",L266*K266)</f>
        <v/>
      </c>
      <c r="N266">
        <f>IF($U266="","",Settings!$C$6)</f>
        <v/>
      </c>
      <c r="O266" s="7">
        <f>IF($U266="","",SUMIFS('Per Line'!$N$2:$N$1001,'Per Line'!$A$2:$A$1001,$A266,'Per Line'!$W$2:$W$1001,1))</f>
        <v/>
      </c>
      <c r="P266" s="7">
        <f>IF($U266="","",O266*N266)</f>
        <v/>
      </c>
      <c r="Q266" s="7">
        <f>IF($U266="","",P266+M266)</f>
        <v/>
      </c>
      <c r="R266" s="7">
        <f>IF($U266="","",S266-Q266)</f>
        <v/>
      </c>
      <c r="S266" s="7">
        <f>IF($U266="","",L266+O266)</f>
        <v/>
      </c>
      <c r="T266" s="7">
        <f>IF($U266="","",S266-Q266-G266)</f>
        <v/>
      </c>
      <c r="U266" s="13">
        <f>IF(ROWS($U$2:$U266)&lt;=MAX('Per Line'!$V$2:$V$1001),MATCH(ROWS($U$2:$U266),'Per Line'!$V$2:$V$1001,0),"")</f>
        <v/>
      </c>
    </row>
    <row r="267">
      <c r="A267">
        <f>IF($U267="","",INDEX('Per Line'!$A$2:$A$1001,$U267)&amp;"")</f>
        <v/>
      </c>
      <c r="B267" s="12" t="n"/>
      <c r="C267">
        <f>IF($U267="","",INDEX('Per Line'!$B$2:$B$1001,$U267)&amp;"")</f>
        <v/>
      </c>
      <c r="D267">
        <f>IF($U267="","",INDEX('Per Line'!$C$2:$C$1001,$U267)&amp;"")</f>
        <v/>
      </c>
      <c r="E267">
        <f>IF($U267="","",INDEX('Per Line'!$D$2:$D$1001,$U267)&amp;"")</f>
        <v/>
      </c>
      <c r="F267">
        <f>IF($U267="","",INDEX('Per Line'!$E$2:$E$1001,$U267))</f>
        <v/>
      </c>
      <c r="G267" s="7">
        <f>IF($U267="","",F267*S267/100)</f>
        <v/>
      </c>
      <c r="H267">
        <f>IF($U267="","",INDEX('Per Line'!$O$2:$O$1001,$U267)&amp;"")</f>
        <v/>
      </c>
      <c r="I267" s="11">
        <f>IF($U267="","",INDEX('Per Line'!$Q$2:$Q$1001,$U267))</f>
        <v/>
      </c>
      <c r="J267">
        <f>IF($U267="","",INDEX('Per Line'!$R$2:$R$1001,$U267)&amp;"")</f>
        <v/>
      </c>
      <c r="K267">
        <f>IF($U267="","",Settings!$C$7)</f>
        <v/>
      </c>
      <c r="L267" s="7">
        <f>IF($U267="","",SUMIFS('Per Line'!$N$2:$N$1001,'Per Line'!$A$2:$A$1001,$A267,'Per Line'!$W$2:$W$1001,0))</f>
        <v/>
      </c>
      <c r="M267" s="7">
        <f>IF($U267="","",L267*K267)</f>
        <v/>
      </c>
      <c r="N267">
        <f>IF($U267="","",Settings!$C$6)</f>
        <v/>
      </c>
      <c r="O267" s="7">
        <f>IF($U267="","",SUMIFS('Per Line'!$N$2:$N$1001,'Per Line'!$A$2:$A$1001,$A267,'Per Line'!$W$2:$W$1001,1))</f>
        <v/>
      </c>
      <c r="P267" s="7">
        <f>IF($U267="","",O267*N267)</f>
        <v/>
      </c>
      <c r="Q267" s="7">
        <f>IF($U267="","",P267+M267)</f>
        <v/>
      </c>
      <c r="R267" s="7">
        <f>IF($U267="","",S267-Q267)</f>
        <v/>
      </c>
      <c r="S267" s="7">
        <f>IF($U267="","",L267+O267)</f>
        <v/>
      </c>
      <c r="T267" s="7">
        <f>IF($U267="","",S267-Q267-G267)</f>
        <v/>
      </c>
      <c r="U267" s="13">
        <f>IF(ROWS($U$2:$U267)&lt;=MAX('Per Line'!$V$2:$V$1001),MATCH(ROWS($U$2:$U267),'Per Line'!$V$2:$V$1001,0),"")</f>
        <v/>
      </c>
    </row>
    <row r="268">
      <c r="A268">
        <f>IF($U268="","",INDEX('Per Line'!$A$2:$A$1001,$U268)&amp;"")</f>
        <v/>
      </c>
      <c r="B268" s="12" t="n"/>
      <c r="C268">
        <f>IF($U268="","",INDEX('Per Line'!$B$2:$B$1001,$U268)&amp;"")</f>
        <v/>
      </c>
      <c r="D268">
        <f>IF($U268="","",INDEX('Per Line'!$C$2:$C$1001,$U268)&amp;"")</f>
        <v/>
      </c>
      <c r="E268">
        <f>IF($U268="","",INDEX('Per Line'!$D$2:$D$1001,$U268)&amp;"")</f>
        <v/>
      </c>
      <c r="F268">
        <f>IF($U268="","",INDEX('Per Line'!$E$2:$E$1001,$U268))</f>
        <v/>
      </c>
      <c r="G268" s="7">
        <f>IF($U268="","",F268*S268/100)</f>
        <v/>
      </c>
      <c r="H268">
        <f>IF($U268="","",INDEX('Per Line'!$O$2:$O$1001,$U268)&amp;"")</f>
        <v/>
      </c>
      <c r="I268" s="11">
        <f>IF($U268="","",INDEX('Per Line'!$Q$2:$Q$1001,$U268))</f>
        <v/>
      </c>
      <c r="J268">
        <f>IF($U268="","",INDEX('Per Line'!$R$2:$R$1001,$U268)&amp;"")</f>
        <v/>
      </c>
      <c r="K268">
        <f>IF($U268="","",Settings!$C$7)</f>
        <v/>
      </c>
      <c r="L268" s="7">
        <f>IF($U268="","",SUMIFS('Per Line'!$N$2:$N$1001,'Per Line'!$A$2:$A$1001,$A268,'Per Line'!$W$2:$W$1001,0))</f>
        <v/>
      </c>
      <c r="M268" s="7">
        <f>IF($U268="","",L268*K268)</f>
        <v/>
      </c>
      <c r="N268">
        <f>IF($U268="","",Settings!$C$6)</f>
        <v/>
      </c>
      <c r="O268" s="7">
        <f>IF($U268="","",SUMIFS('Per Line'!$N$2:$N$1001,'Per Line'!$A$2:$A$1001,$A268,'Per Line'!$W$2:$W$1001,1))</f>
        <v/>
      </c>
      <c r="P268" s="7">
        <f>IF($U268="","",O268*N268)</f>
        <v/>
      </c>
      <c r="Q268" s="7">
        <f>IF($U268="","",P268+M268)</f>
        <v/>
      </c>
      <c r="R268" s="7">
        <f>IF($U268="","",S268-Q268)</f>
        <v/>
      </c>
      <c r="S268" s="7">
        <f>IF($U268="","",L268+O268)</f>
        <v/>
      </c>
      <c r="T268" s="7">
        <f>IF($U268="","",S268-Q268-G268)</f>
        <v/>
      </c>
      <c r="U268" s="13">
        <f>IF(ROWS($U$2:$U268)&lt;=MAX('Per Line'!$V$2:$V$1001),MATCH(ROWS($U$2:$U268),'Per Line'!$V$2:$V$1001,0),"")</f>
        <v/>
      </c>
    </row>
    <row r="269">
      <c r="A269">
        <f>IF($U269="","",INDEX('Per Line'!$A$2:$A$1001,$U269)&amp;"")</f>
        <v/>
      </c>
      <c r="B269" s="12" t="n"/>
      <c r="C269">
        <f>IF($U269="","",INDEX('Per Line'!$B$2:$B$1001,$U269)&amp;"")</f>
        <v/>
      </c>
      <c r="D269">
        <f>IF($U269="","",INDEX('Per Line'!$C$2:$C$1001,$U269)&amp;"")</f>
        <v/>
      </c>
      <c r="E269">
        <f>IF($U269="","",INDEX('Per Line'!$D$2:$D$1001,$U269)&amp;"")</f>
        <v/>
      </c>
      <c r="F269">
        <f>IF($U269="","",INDEX('Per Line'!$E$2:$E$1001,$U269))</f>
        <v/>
      </c>
      <c r="G269" s="7">
        <f>IF($U269="","",F269*S269/100)</f>
        <v/>
      </c>
      <c r="H269">
        <f>IF($U269="","",INDEX('Per Line'!$O$2:$O$1001,$U269)&amp;"")</f>
        <v/>
      </c>
      <c r="I269" s="11">
        <f>IF($U269="","",INDEX('Per Line'!$Q$2:$Q$1001,$U269))</f>
        <v/>
      </c>
      <c r="J269">
        <f>IF($U269="","",INDEX('Per Line'!$R$2:$R$1001,$U269)&amp;"")</f>
        <v/>
      </c>
      <c r="K269">
        <f>IF($U269="","",Settings!$C$7)</f>
        <v/>
      </c>
      <c r="L269" s="7">
        <f>IF($U269="","",SUMIFS('Per Line'!$N$2:$N$1001,'Per Line'!$A$2:$A$1001,$A269,'Per Line'!$W$2:$W$1001,0))</f>
        <v/>
      </c>
      <c r="M269" s="7">
        <f>IF($U269="","",L269*K269)</f>
        <v/>
      </c>
      <c r="N269">
        <f>IF($U269="","",Settings!$C$6)</f>
        <v/>
      </c>
      <c r="O269" s="7">
        <f>IF($U269="","",SUMIFS('Per Line'!$N$2:$N$1001,'Per Line'!$A$2:$A$1001,$A269,'Per Line'!$W$2:$W$1001,1))</f>
        <v/>
      </c>
      <c r="P269" s="7">
        <f>IF($U269="","",O269*N269)</f>
        <v/>
      </c>
      <c r="Q269" s="7">
        <f>IF($U269="","",P269+M269)</f>
        <v/>
      </c>
      <c r="R269" s="7">
        <f>IF($U269="","",S269-Q269)</f>
        <v/>
      </c>
      <c r="S269" s="7">
        <f>IF($U269="","",L269+O269)</f>
        <v/>
      </c>
      <c r="T269" s="7">
        <f>IF($U269="","",S269-Q269-G269)</f>
        <v/>
      </c>
      <c r="U269" s="13">
        <f>IF(ROWS($U$2:$U269)&lt;=MAX('Per Line'!$V$2:$V$1001),MATCH(ROWS($U$2:$U269),'Per Line'!$V$2:$V$1001,0),"")</f>
        <v/>
      </c>
    </row>
    <row r="270">
      <c r="A270">
        <f>IF($U270="","",INDEX('Per Line'!$A$2:$A$1001,$U270)&amp;"")</f>
        <v/>
      </c>
      <c r="B270" s="12" t="n"/>
      <c r="C270">
        <f>IF($U270="","",INDEX('Per Line'!$B$2:$B$1001,$U270)&amp;"")</f>
        <v/>
      </c>
      <c r="D270">
        <f>IF($U270="","",INDEX('Per Line'!$C$2:$C$1001,$U270)&amp;"")</f>
        <v/>
      </c>
      <c r="E270">
        <f>IF($U270="","",INDEX('Per Line'!$D$2:$D$1001,$U270)&amp;"")</f>
        <v/>
      </c>
      <c r="F270">
        <f>IF($U270="","",INDEX('Per Line'!$E$2:$E$1001,$U270))</f>
        <v/>
      </c>
      <c r="G270" s="7">
        <f>IF($U270="","",F270*S270/100)</f>
        <v/>
      </c>
      <c r="H270">
        <f>IF($U270="","",INDEX('Per Line'!$O$2:$O$1001,$U270)&amp;"")</f>
        <v/>
      </c>
      <c r="I270" s="11">
        <f>IF($U270="","",INDEX('Per Line'!$Q$2:$Q$1001,$U270))</f>
        <v/>
      </c>
      <c r="J270">
        <f>IF($U270="","",INDEX('Per Line'!$R$2:$R$1001,$U270)&amp;"")</f>
        <v/>
      </c>
      <c r="K270">
        <f>IF($U270="","",Settings!$C$7)</f>
        <v/>
      </c>
      <c r="L270" s="7">
        <f>IF($U270="","",SUMIFS('Per Line'!$N$2:$N$1001,'Per Line'!$A$2:$A$1001,$A270,'Per Line'!$W$2:$W$1001,0))</f>
        <v/>
      </c>
      <c r="M270" s="7">
        <f>IF($U270="","",L270*K270)</f>
        <v/>
      </c>
      <c r="N270">
        <f>IF($U270="","",Settings!$C$6)</f>
        <v/>
      </c>
      <c r="O270" s="7">
        <f>IF($U270="","",SUMIFS('Per Line'!$N$2:$N$1001,'Per Line'!$A$2:$A$1001,$A270,'Per Line'!$W$2:$W$1001,1))</f>
        <v/>
      </c>
      <c r="P270" s="7">
        <f>IF($U270="","",O270*N270)</f>
        <v/>
      </c>
      <c r="Q270" s="7">
        <f>IF($U270="","",P270+M270)</f>
        <v/>
      </c>
      <c r="R270" s="7">
        <f>IF($U270="","",S270-Q270)</f>
        <v/>
      </c>
      <c r="S270" s="7">
        <f>IF($U270="","",L270+O270)</f>
        <v/>
      </c>
      <c r="T270" s="7">
        <f>IF($U270="","",S270-Q270-G270)</f>
        <v/>
      </c>
      <c r="U270" s="13">
        <f>IF(ROWS($U$2:$U270)&lt;=MAX('Per Line'!$V$2:$V$1001),MATCH(ROWS($U$2:$U270),'Per Line'!$V$2:$V$1001,0),"")</f>
        <v/>
      </c>
    </row>
    <row r="271">
      <c r="A271">
        <f>IF($U271="","",INDEX('Per Line'!$A$2:$A$1001,$U271)&amp;"")</f>
        <v/>
      </c>
      <c r="B271" s="12" t="n"/>
      <c r="C271">
        <f>IF($U271="","",INDEX('Per Line'!$B$2:$B$1001,$U271)&amp;"")</f>
        <v/>
      </c>
      <c r="D271">
        <f>IF($U271="","",INDEX('Per Line'!$C$2:$C$1001,$U271)&amp;"")</f>
        <v/>
      </c>
      <c r="E271">
        <f>IF($U271="","",INDEX('Per Line'!$D$2:$D$1001,$U271)&amp;"")</f>
        <v/>
      </c>
      <c r="F271">
        <f>IF($U271="","",INDEX('Per Line'!$E$2:$E$1001,$U271))</f>
        <v/>
      </c>
      <c r="G271" s="7">
        <f>IF($U271="","",F271*S271/100)</f>
        <v/>
      </c>
      <c r="H271">
        <f>IF($U271="","",INDEX('Per Line'!$O$2:$O$1001,$U271)&amp;"")</f>
        <v/>
      </c>
      <c r="I271" s="11">
        <f>IF($U271="","",INDEX('Per Line'!$Q$2:$Q$1001,$U271))</f>
        <v/>
      </c>
      <c r="J271">
        <f>IF($U271="","",INDEX('Per Line'!$R$2:$R$1001,$U271)&amp;"")</f>
        <v/>
      </c>
      <c r="K271">
        <f>IF($U271="","",Settings!$C$7)</f>
        <v/>
      </c>
      <c r="L271" s="7">
        <f>IF($U271="","",SUMIFS('Per Line'!$N$2:$N$1001,'Per Line'!$A$2:$A$1001,$A271,'Per Line'!$W$2:$W$1001,0))</f>
        <v/>
      </c>
      <c r="M271" s="7">
        <f>IF($U271="","",L271*K271)</f>
        <v/>
      </c>
      <c r="N271">
        <f>IF($U271="","",Settings!$C$6)</f>
        <v/>
      </c>
      <c r="O271" s="7">
        <f>IF($U271="","",SUMIFS('Per Line'!$N$2:$N$1001,'Per Line'!$A$2:$A$1001,$A271,'Per Line'!$W$2:$W$1001,1))</f>
        <v/>
      </c>
      <c r="P271" s="7">
        <f>IF($U271="","",O271*N271)</f>
        <v/>
      </c>
      <c r="Q271" s="7">
        <f>IF($U271="","",P271+M271)</f>
        <v/>
      </c>
      <c r="R271" s="7">
        <f>IF($U271="","",S271-Q271)</f>
        <v/>
      </c>
      <c r="S271" s="7">
        <f>IF($U271="","",L271+O271)</f>
        <v/>
      </c>
      <c r="T271" s="7">
        <f>IF($U271="","",S271-Q271-G271)</f>
        <v/>
      </c>
      <c r="U271" s="13">
        <f>IF(ROWS($U$2:$U271)&lt;=MAX('Per Line'!$V$2:$V$1001),MATCH(ROWS($U$2:$U271),'Per Line'!$V$2:$V$1001,0),"")</f>
        <v/>
      </c>
    </row>
    <row r="272">
      <c r="A272">
        <f>IF($U272="","",INDEX('Per Line'!$A$2:$A$1001,$U272)&amp;"")</f>
        <v/>
      </c>
      <c r="B272" s="12" t="n"/>
      <c r="C272">
        <f>IF($U272="","",INDEX('Per Line'!$B$2:$B$1001,$U272)&amp;"")</f>
        <v/>
      </c>
      <c r="D272">
        <f>IF($U272="","",INDEX('Per Line'!$C$2:$C$1001,$U272)&amp;"")</f>
        <v/>
      </c>
      <c r="E272">
        <f>IF($U272="","",INDEX('Per Line'!$D$2:$D$1001,$U272)&amp;"")</f>
        <v/>
      </c>
      <c r="F272">
        <f>IF($U272="","",INDEX('Per Line'!$E$2:$E$1001,$U272))</f>
        <v/>
      </c>
      <c r="G272" s="7">
        <f>IF($U272="","",F272*S272/100)</f>
        <v/>
      </c>
      <c r="H272">
        <f>IF($U272="","",INDEX('Per Line'!$O$2:$O$1001,$U272)&amp;"")</f>
        <v/>
      </c>
      <c r="I272" s="11">
        <f>IF($U272="","",INDEX('Per Line'!$Q$2:$Q$1001,$U272))</f>
        <v/>
      </c>
      <c r="J272">
        <f>IF($U272="","",INDEX('Per Line'!$R$2:$R$1001,$U272)&amp;"")</f>
        <v/>
      </c>
      <c r="K272">
        <f>IF($U272="","",Settings!$C$7)</f>
        <v/>
      </c>
      <c r="L272" s="7">
        <f>IF($U272="","",SUMIFS('Per Line'!$N$2:$N$1001,'Per Line'!$A$2:$A$1001,$A272,'Per Line'!$W$2:$W$1001,0))</f>
        <v/>
      </c>
      <c r="M272" s="7">
        <f>IF($U272="","",L272*K272)</f>
        <v/>
      </c>
      <c r="N272">
        <f>IF($U272="","",Settings!$C$6)</f>
        <v/>
      </c>
      <c r="O272" s="7">
        <f>IF($U272="","",SUMIFS('Per Line'!$N$2:$N$1001,'Per Line'!$A$2:$A$1001,$A272,'Per Line'!$W$2:$W$1001,1))</f>
        <v/>
      </c>
      <c r="P272" s="7">
        <f>IF($U272="","",O272*N272)</f>
        <v/>
      </c>
      <c r="Q272" s="7">
        <f>IF($U272="","",P272+M272)</f>
        <v/>
      </c>
      <c r="R272" s="7">
        <f>IF($U272="","",S272-Q272)</f>
        <v/>
      </c>
      <c r="S272" s="7">
        <f>IF($U272="","",L272+O272)</f>
        <v/>
      </c>
      <c r="T272" s="7">
        <f>IF($U272="","",S272-Q272-G272)</f>
        <v/>
      </c>
      <c r="U272" s="13">
        <f>IF(ROWS($U$2:$U272)&lt;=MAX('Per Line'!$V$2:$V$1001),MATCH(ROWS($U$2:$U272),'Per Line'!$V$2:$V$1001,0),"")</f>
        <v/>
      </c>
    </row>
    <row r="273">
      <c r="A273">
        <f>IF($U273="","",INDEX('Per Line'!$A$2:$A$1001,$U273)&amp;"")</f>
        <v/>
      </c>
      <c r="B273" s="12" t="n"/>
      <c r="C273">
        <f>IF($U273="","",INDEX('Per Line'!$B$2:$B$1001,$U273)&amp;"")</f>
        <v/>
      </c>
      <c r="D273">
        <f>IF($U273="","",INDEX('Per Line'!$C$2:$C$1001,$U273)&amp;"")</f>
        <v/>
      </c>
      <c r="E273">
        <f>IF($U273="","",INDEX('Per Line'!$D$2:$D$1001,$U273)&amp;"")</f>
        <v/>
      </c>
      <c r="F273">
        <f>IF($U273="","",INDEX('Per Line'!$E$2:$E$1001,$U273))</f>
        <v/>
      </c>
      <c r="G273" s="7">
        <f>IF($U273="","",F273*S273/100)</f>
        <v/>
      </c>
      <c r="H273">
        <f>IF($U273="","",INDEX('Per Line'!$O$2:$O$1001,$U273)&amp;"")</f>
        <v/>
      </c>
      <c r="I273" s="11">
        <f>IF($U273="","",INDEX('Per Line'!$Q$2:$Q$1001,$U273))</f>
        <v/>
      </c>
      <c r="J273">
        <f>IF($U273="","",INDEX('Per Line'!$R$2:$R$1001,$U273)&amp;"")</f>
        <v/>
      </c>
      <c r="K273">
        <f>IF($U273="","",Settings!$C$7)</f>
        <v/>
      </c>
      <c r="L273" s="7">
        <f>IF($U273="","",SUMIFS('Per Line'!$N$2:$N$1001,'Per Line'!$A$2:$A$1001,$A273,'Per Line'!$W$2:$W$1001,0))</f>
        <v/>
      </c>
      <c r="M273" s="7">
        <f>IF($U273="","",L273*K273)</f>
        <v/>
      </c>
      <c r="N273">
        <f>IF($U273="","",Settings!$C$6)</f>
        <v/>
      </c>
      <c r="O273" s="7">
        <f>IF($U273="","",SUMIFS('Per Line'!$N$2:$N$1001,'Per Line'!$A$2:$A$1001,$A273,'Per Line'!$W$2:$W$1001,1))</f>
        <v/>
      </c>
      <c r="P273" s="7">
        <f>IF($U273="","",O273*N273)</f>
        <v/>
      </c>
      <c r="Q273" s="7">
        <f>IF($U273="","",P273+M273)</f>
        <v/>
      </c>
      <c r="R273" s="7">
        <f>IF($U273="","",S273-Q273)</f>
        <v/>
      </c>
      <c r="S273" s="7">
        <f>IF($U273="","",L273+O273)</f>
        <v/>
      </c>
      <c r="T273" s="7">
        <f>IF($U273="","",S273-Q273-G273)</f>
        <v/>
      </c>
      <c r="U273" s="13">
        <f>IF(ROWS($U$2:$U273)&lt;=MAX('Per Line'!$V$2:$V$1001),MATCH(ROWS($U$2:$U273),'Per Line'!$V$2:$V$1001,0),"")</f>
        <v/>
      </c>
    </row>
    <row r="274">
      <c r="A274">
        <f>IF($U274="","",INDEX('Per Line'!$A$2:$A$1001,$U274)&amp;"")</f>
        <v/>
      </c>
      <c r="B274" s="12" t="n"/>
      <c r="C274">
        <f>IF($U274="","",INDEX('Per Line'!$B$2:$B$1001,$U274)&amp;"")</f>
        <v/>
      </c>
      <c r="D274">
        <f>IF($U274="","",INDEX('Per Line'!$C$2:$C$1001,$U274)&amp;"")</f>
        <v/>
      </c>
      <c r="E274">
        <f>IF($U274="","",INDEX('Per Line'!$D$2:$D$1001,$U274)&amp;"")</f>
        <v/>
      </c>
      <c r="F274">
        <f>IF($U274="","",INDEX('Per Line'!$E$2:$E$1001,$U274))</f>
        <v/>
      </c>
      <c r="G274" s="7">
        <f>IF($U274="","",F274*S274/100)</f>
        <v/>
      </c>
      <c r="H274">
        <f>IF($U274="","",INDEX('Per Line'!$O$2:$O$1001,$U274)&amp;"")</f>
        <v/>
      </c>
      <c r="I274" s="11">
        <f>IF($U274="","",INDEX('Per Line'!$Q$2:$Q$1001,$U274))</f>
        <v/>
      </c>
      <c r="J274">
        <f>IF($U274="","",INDEX('Per Line'!$R$2:$R$1001,$U274)&amp;"")</f>
        <v/>
      </c>
      <c r="K274">
        <f>IF($U274="","",Settings!$C$7)</f>
        <v/>
      </c>
      <c r="L274" s="7">
        <f>IF($U274="","",SUMIFS('Per Line'!$N$2:$N$1001,'Per Line'!$A$2:$A$1001,$A274,'Per Line'!$W$2:$W$1001,0))</f>
        <v/>
      </c>
      <c r="M274" s="7">
        <f>IF($U274="","",L274*K274)</f>
        <v/>
      </c>
      <c r="N274">
        <f>IF($U274="","",Settings!$C$6)</f>
        <v/>
      </c>
      <c r="O274" s="7">
        <f>IF($U274="","",SUMIFS('Per Line'!$N$2:$N$1001,'Per Line'!$A$2:$A$1001,$A274,'Per Line'!$W$2:$W$1001,1))</f>
        <v/>
      </c>
      <c r="P274" s="7">
        <f>IF($U274="","",O274*N274)</f>
        <v/>
      </c>
      <c r="Q274" s="7">
        <f>IF($U274="","",P274+M274)</f>
        <v/>
      </c>
      <c r="R274" s="7">
        <f>IF($U274="","",S274-Q274)</f>
        <v/>
      </c>
      <c r="S274" s="7">
        <f>IF($U274="","",L274+O274)</f>
        <v/>
      </c>
      <c r="T274" s="7">
        <f>IF($U274="","",S274-Q274-G274)</f>
        <v/>
      </c>
      <c r="U274" s="13">
        <f>IF(ROWS($U$2:$U274)&lt;=MAX('Per Line'!$V$2:$V$1001),MATCH(ROWS($U$2:$U274),'Per Line'!$V$2:$V$1001,0),"")</f>
        <v/>
      </c>
    </row>
    <row r="275">
      <c r="A275">
        <f>IF($U275="","",INDEX('Per Line'!$A$2:$A$1001,$U275)&amp;"")</f>
        <v/>
      </c>
      <c r="B275" s="12" t="n"/>
      <c r="C275">
        <f>IF($U275="","",INDEX('Per Line'!$B$2:$B$1001,$U275)&amp;"")</f>
        <v/>
      </c>
      <c r="D275">
        <f>IF($U275="","",INDEX('Per Line'!$C$2:$C$1001,$U275)&amp;"")</f>
        <v/>
      </c>
      <c r="E275">
        <f>IF($U275="","",INDEX('Per Line'!$D$2:$D$1001,$U275)&amp;"")</f>
        <v/>
      </c>
      <c r="F275">
        <f>IF($U275="","",INDEX('Per Line'!$E$2:$E$1001,$U275))</f>
        <v/>
      </c>
      <c r="G275" s="7">
        <f>IF($U275="","",F275*S275/100)</f>
        <v/>
      </c>
      <c r="H275">
        <f>IF($U275="","",INDEX('Per Line'!$O$2:$O$1001,$U275)&amp;"")</f>
        <v/>
      </c>
      <c r="I275" s="11">
        <f>IF($U275="","",INDEX('Per Line'!$Q$2:$Q$1001,$U275))</f>
        <v/>
      </c>
      <c r="J275">
        <f>IF($U275="","",INDEX('Per Line'!$R$2:$R$1001,$U275)&amp;"")</f>
        <v/>
      </c>
      <c r="K275">
        <f>IF($U275="","",Settings!$C$7)</f>
        <v/>
      </c>
      <c r="L275" s="7">
        <f>IF($U275="","",SUMIFS('Per Line'!$N$2:$N$1001,'Per Line'!$A$2:$A$1001,$A275,'Per Line'!$W$2:$W$1001,0))</f>
        <v/>
      </c>
      <c r="M275" s="7">
        <f>IF($U275="","",L275*K275)</f>
        <v/>
      </c>
      <c r="N275">
        <f>IF($U275="","",Settings!$C$6)</f>
        <v/>
      </c>
      <c r="O275" s="7">
        <f>IF($U275="","",SUMIFS('Per Line'!$N$2:$N$1001,'Per Line'!$A$2:$A$1001,$A275,'Per Line'!$W$2:$W$1001,1))</f>
        <v/>
      </c>
      <c r="P275" s="7">
        <f>IF($U275="","",O275*N275)</f>
        <v/>
      </c>
      <c r="Q275" s="7">
        <f>IF($U275="","",P275+M275)</f>
        <v/>
      </c>
      <c r="R275" s="7">
        <f>IF($U275="","",S275-Q275)</f>
        <v/>
      </c>
      <c r="S275" s="7">
        <f>IF($U275="","",L275+O275)</f>
        <v/>
      </c>
      <c r="T275" s="7">
        <f>IF($U275="","",S275-Q275-G275)</f>
        <v/>
      </c>
      <c r="U275" s="13">
        <f>IF(ROWS($U$2:$U275)&lt;=MAX('Per Line'!$V$2:$V$1001),MATCH(ROWS($U$2:$U275),'Per Line'!$V$2:$V$1001,0),"")</f>
        <v/>
      </c>
    </row>
    <row r="276">
      <c r="A276">
        <f>IF($U276="","",INDEX('Per Line'!$A$2:$A$1001,$U276)&amp;"")</f>
        <v/>
      </c>
      <c r="B276" s="12" t="n"/>
      <c r="C276">
        <f>IF($U276="","",INDEX('Per Line'!$B$2:$B$1001,$U276)&amp;"")</f>
        <v/>
      </c>
      <c r="D276">
        <f>IF($U276="","",INDEX('Per Line'!$C$2:$C$1001,$U276)&amp;"")</f>
        <v/>
      </c>
      <c r="E276">
        <f>IF($U276="","",INDEX('Per Line'!$D$2:$D$1001,$U276)&amp;"")</f>
        <v/>
      </c>
      <c r="F276">
        <f>IF($U276="","",INDEX('Per Line'!$E$2:$E$1001,$U276))</f>
        <v/>
      </c>
      <c r="G276" s="7">
        <f>IF($U276="","",F276*S276/100)</f>
        <v/>
      </c>
      <c r="H276">
        <f>IF($U276="","",INDEX('Per Line'!$O$2:$O$1001,$U276)&amp;"")</f>
        <v/>
      </c>
      <c r="I276" s="11">
        <f>IF($U276="","",INDEX('Per Line'!$Q$2:$Q$1001,$U276))</f>
        <v/>
      </c>
      <c r="J276">
        <f>IF($U276="","",INDEX('Per Line'!$R$2:$R$1001,$U276)&amp;"")</f>
        <v/>
      </c>
      <c r="K276">
        <f>IF($U276="","",Settings!$C$7)</f>
        <v/>
      </c>
      <c r="L276" s="7">
        <f>IF($U276="","",SUMIFS('Per Line'!$N$2:$N$1001,'Per Line'!$A$2:$A$1001,$A276,'Per Line'!$W$2:$W$1001,0))</f>
        <v/>
      </c>
      <c r="M276" s="7">
        <f>IF($U276="","",L276*K276)</f>
        <v/>
      </c>
      <c r="N276">
        <f>IF($U276="","",Settings!$C$6)</f>
        <v/>
      </c>
      <c r="O276" s="7">
        <f>IF($U276="","",SUMIFS('Per Line'!$N$2:$N$1001,'Per Line'!$A$2:$A$1001,$A276,'Per Line'!$W$2:$W$1001,1))</f>
        <v/>
      </c>
      <c r="P276" s="7">
        <f>IF($U276="","",O276*N276)</f>
        <v/>
      </c>
      <c r="Q276" s="7">
        <f>IF($U276="","",P276+M276)</f>
        <v/>
      </c>
      <c r="R276" s="7">
        <f>IF($U276="","",S276-Q276)</f>
        <v/>
      </c>
      <c r="S276" s="7">
        <f>IF($U276="","",L276+O276)</f>
        <v/>
      </c>
      <c r="T276" s="7">
        <f>IF($U276="","",S276-Q276-G276)</f>
        <v/>
      </c>
      <c r="U276" s="13">
        <f>IF(ROWS($U$2:$U276)&lt;=MAX('Per Line'!$V$2:$V$1001),MATCH(ROWS($U$2:$U276),'Per Line'!$V$2:$V$1001,0),"")</f>
        <v/>
      </c>
    </row>
    <row r="277">
      <c r="A277">
        <f>IF($U277="","",INDEX('Per Line'!$A$2:$A$1001,$U277)&amp;"")</f>
        <v/>
      </c>
      <c r="B277" s="12" t="n"/>
      <c r="C277">
        <f>IF($U277="","",INDEX('Per Line'!$B$2:$B$1001,$U277)&amp;"")</f>
        <v/>
      </c>
      <c r="D277">
        <f>IF($U277="","",INDEX('Per Line'!$C$2:$C$1001,$U277)&amp;"")</f>
        <v/>
      </c>
      <c r="E277">
        <f>IF($U277="","",INDEX('Per Line'!$D$2:$D$1001,$U277)&amp;"")</f>
        <v/>
      </c>
      <c r="F277">
        <f>IF($U277="","",INDEX('Per Line'!$E$2:$E$1001,$U277))</f>
        <v/>
      </c>
      <c r="G277" s="7">
        <f>IF($U277="","",F277*S277/100)</f>
        <v/>
      </c>
      <c r="H277">
        <f>IF($U277="","",INDEX('Per Line'!$O$2:$O$1001,$U277)&amp;"")</f>
        <v/>
      </c>
      <c r="I277" s="11">
        <f>IF($U277="","",INDEX('Per Line'!$Q$2:$Q$1001,$U277))</f>
        <v/>
      </c>
      <c r="J277">
        <f>IF($U277="","",INDEX('Per Line'!$R$2:$R$1001,$U277)&amp;"")</f>
        <v/>
      </c>
      <c r="K277">
        <f>IF($U277="","",Settings!$C$7)</f>
        <v/>
      </c>
      <c r="L277" s="7">
        <f>IF($U277="","",SUMIFS('Per Line'!$N$2:$N$1001,'Per Line'!$A$2:$A$1001,$A277,'Per Line'!$W$2:$W$1001,0))</f>
        <v/>
      </c>
      <c r="M277" s="7">
        <f>IF($U277="","",L277*K277)</f>
        <v/>
      </c>
      <c r="N277">
        <f>IF($U277="","",Settings!$C$6)</f>
        <v/>
      </c>
      <c r="O277" s="7">
        <f>IF($U277="","",SUMIFS('Per Line'!$N$2:$N$1001,'Per Line'!$A$2:$A$1001,$A277,'Per Line'!$W$2:$W$1001,1))</f>
        <v/>
      </c>
      <c r="P277" s="7">
        <f>IF($U277="","",O277*N277)</f>
        <v/>
      </c>
      <c r="Q277" s="7">
        <f>IF($U277="","",P277+M277)</f>
        <v/>
      </c>
      <c r="R277" s="7">
        <f>IF($U277="","",S277-Q277)</f>
        <v/>
      </c>
      <c r="S277" s="7">
        <f>IF($U277="","",L277+O277)</f>
        <v/>
      </c>
      <c r="T277" s="7">
        <f>IF($U277="","",S277-Q277-G277)</f>
        <v/>
      </c>
      <c r="U277" s="13">
        <f>IF(ROWS($U$2:$U277)&lt;=MAX('Per Line'!$V$2:$V$1001),MATCH(ROWS($U$2:$U277),'Per Line'!$V$2:$V$1001,0),"")</f>
        <v/>
      </c>
    </row>
    <row r="278">
      <c r="A278">
        <f>IF($U278="","",INDEX('Per Line'!$A$2:$A$1001,$U278)&amp;"")</f>
        <v/>
      </c>
      <c r="B278" s="12" t="n"/>
      <c r="C278">
        <f>IF($U278="","",INDEX('Per Line'!$B$2:$B$1001,$U278)&amp;"")</f>
        <v/>
      </c>
      <c r="D278">
        <f>IF($U278="","",INDEX('Per Line'!$C$2:$C$1001,$U278)&amp;"")</f>
        <v/>
      </c>
      <c r="E278">
        <f>IF($U278="","",INDEX('Per Line'!$D$2:$D$1001,$U278)&amp;"")</f>
        <v/>
      </c>
      <c r="F278">
        <f>IF($U278="","",INDEX('Per Line'!$E$2:$E$1001,$U278))</f>
        <v/>
      </c>
      <c r="G278" s="7">
        <f>IF($U278="","",F278*S278/100)</f>
        <v/>
      </c>
      <c r="H278">
        <f>IF($U278="","",INDEX('Per Line'!$O$2:$O$1001,$U278)&amp;"")</f>
        <v/>
      </c>
      <c r="I278" s="11">
        <f>IF($U278="","",INDEX('Per Line'!$Q$2:$Q$1001,$U278))</f>
        <v/>
      </c>
      <c r="J278">
        <f>IF($U278="","",INDEX('Per Line'!$R$2:$R$1001,$U278)&amp;"")</f>
        <v/>
      </c>
      <c r="K278">
        <f>IF($U278="","",Settings!$C$7)</f>
        <v/>
      </c>
      <c r="L278" s="7">
        <f>IF($U278="","",SUMIFS('Per Line'!$N$2:$N$1001,'Per Line'!$A$2:$A$1001,$A278,'Per Line'!$W$2:$W$1001,0))</f>
        <v/>
      </c>
      <c r="M278" s="7">
        <f>IF($U278="","",L278*K278)</f>
        <v/>
      </c>
      <c r="N278">
        <f>IF($U278="","",Settings!$C$6)</f>
        <v/>
      </c>
      <c r="O278" s="7">
        <f>IF($U278="","",SUMIFS('Per Line'!$N$2:$N$1001,'Per Line'!$A$2:$A$1001,$A278,'Per Line'!$W$2:$W$1001,1))</f>
        <v/>
      </c>
      <c r="P278" s="7">
        <f>IF($U278="","",O278*N278)</f>
        <v/>
      </c>
      <c r="Q278" s="7">
        <f>IF($U278="","",P278+M278)</f>
        <v/>
      </c>
      <c r="R278" s="7">
        <f>IF($U278="","",S278-Q278)</f>
        <v/>
      </c>
      <c r="S278" s="7">
        <f>IF($U278="","",L278+O278)</f>
        <v/>
      </c>
      <c r="T278" s="7">
        <f>IF($U278="","",S278-Q278-G278)</f>
        <v/>
      </c>
      <c r="U278" s="13">
        <f>IF(ROWS($U$2:$U278)&lt;=MAX('Per Line'!$V$2:$V$1001),MATCH(ROWS($U$2:$U278),'Per Line'!$V$2:$V$1001,0),"")</f>
        <v/>
      </c>
    </row>
    <row r="279">
      <c r="A279">
        <f>IF($U279="","",INDEX('Per Line'!$A$2:$A$1001,$U279)&amp;"")</f>
        <v/>
      </c>
      <c r="B279" s="12" t="n"/>
      <c r="C279">
        <f>IF($U279="","",INDEX('Per Line'!$B$2:$B$1001,$U279)&amp;"")</f>
        <v/>
      </c>
      <c r="D279">
        <f>IF($U279="","",INDEX('Per Line'!$C$2:$C$1001,$U279)&amp;"")</f>
        <v/>
      </c>
      <c r="E279">
        <f>IF($U279="","",INDEX('Per Line'!$D$2:$D$1001,$U279)&amp;"")</f>
        <v/>
      </c>
      <c r="F279">
        <f>IF($U279="","",INDEX('Per Line'!$E$2:$E$1001,$U279))</f>
        <v/>
      </c>
      <c r="G279" s="7">
        <f>IF($U279="","",F279*S279/100)</f>
        <v/>
      </c>
      <c r="H279">
        <f>IF($U279="","",INDEX('Per Line'!$O$2:$O$1001,$U279)&amp;"")</f>
        <v/>
      </c>
      <c r="I279" s="11">
        <f>IF($U279="","",INDEX('Per Line'!$Q$2:$Q$1001,$U279))</f>
        <v/>
      </c>
      <c r="J279">
        <f>IF($U279="","",INDEX('Per Line'!$R$2:$R$1001,$U279)&amp;"")</f>
        <v/>
      </c>
      <c r="K279">
        <f>IF($U279="","",Settings!$C$7)</f>
        <v/>
      </c>
      <c r="L279" s="7">
        <f>IF($U279="","",SUMIFS('Per Line'!$N$2:$N$1001,'Per Line'!$A$2:$A$1001,$A279,'Per Line'!$W$2:$W$1001,0))</f>
        <v/>
      </c>
      <c r="M279" s="7">
        <f>IF($U279="","",L279*K279)</f>
        <v/>
      </c>
      <c r="N279">
        <f>IF($U279="","",Settings!$C$6)</f>
        <v/>
      </c>
      <c r="O279" s="7">
        <f>IF($U279="","",SUMIFS('Per Line'!$N$2:$N$1001,'Per Line'!$A$2:$A$1001,$A279,'Per Line'!$W$2:$W$1001,1))</f>
        <v/>
      </c>
      <c r="P279" s="7">
        <f>IF($U279="","",O279*N279)</f>
        <v/>
      </c>
      <c r="Q279" s="7">
        <f>IF($U279="","",P279+M279)</f>
        <v/>
      </c>
      <c r="R279" s="7">
        <f>IF($U279="","",S279-Q279)</f>
        <v/>
      </c>
      <c r="S279" s="7">
        <f>IF($U279="","",L279+O279)</f>
        <v/>
      </c>
      <c r="T279" s="7">
        <f>IF($U279="","",S279-Q279-G279)</f>
        <v/>
      </c>
      <c r="U279" s="13">
        <f>IF(ROWS($U$2:$U279)&lt;=MAX('Per Line'!$V$2:$V$1001),MATCH(ROWS($U$2:$U279),'Per Line'!$V$2:$V$1001,0),"")</f>
        <v/>
      </c>
    </row>
    <row r="280">
      <c r="A280">
        <f>IF($U280="","",INDEX('Per Line'!$A$2:$A$1001,$U280)&amp;"")</f>
        <v/>
      </c>
      <c r="B280" s="12" t="n"/>
      <c r="C280">
        <f>IF($U280="","",INDEX('Per Line'!$B$2:$B$1001,$U280)&amp;"")</f>
        <v/>
      </c>
      <c r="D280">
        <f>IF($U280="","",INDEX('Per Line'!$C$2:$C$1001,$U280)&amp;"")</f>
        <v/>
      </c>
      <c r="E280">
        <f>IF($U280="","",INDEX('Per Line'!$D$2:$D$1001,$U280)&amp;"")</f>
        <v/>
      </c>
      <c r="F280">
        <f>IF($U280="","",INDEX('Per Line'!$E$2:$E$1001,$U280))</f>
        <v/>
      </c>
      <c r="G280" s="7">
        <f>IF($U280="","",F280*S280/100)</f>
        <v/>
      </c>
      <c r="H280">
        <f>IF($U280="","",INDEX('Per Line'!$O$2:$O$1001,$U280)&amp;"")</f>
        <v/>
      </c>
      <c r="I280" s="11">
        <f>IF($U280="","",INDEX('Per Line'!$Q$2:$Q$1001,$U280))</f>
        <v/>
      </c>
      <c r="J280">
        <f>IF($U280="","",INDEX('Per Line'!$R$2:$R$1001,$U280)&amp;"")</f>
        <v/>
      </c>
      <c r="K280">
        <f>IF($U280="","",Settings!$C$7)</f>
        <v/>
      </c>
      <c r="L280" s="7">
        <f>IF($U280="","",SUMIFS('Per Line'!$N$2:$N$1001,'Per Line'!$A$2:$A$1001,$A280,'Per Line'!$W$2:$W$1001,0))</f>
        <v/>
      </c>
      <c r="M280" s="7">
        <f>IF($U280="","",L280*K280)</f>
        <v/>
      </c>
      <c r="N280">
        <f>IF($U280="","",Settings!$C$6)</f>
        <v/>
      </c>
      <c r="O280" s="7">
        <f>IF($U280="","",SUMIFS('Per Line'!$N$2:$N$1001,'Per Line'!$A$2:$A$1001,$A280,'Per Line'!$W$2:$W$1001,1))</f>
        <v/>
      </c>
      <c r="P280" s="7">
        <f>IF($U280="","",O280*N280)</f>
        <v/>
      </c>
      <c r="Q280" s="7">
        <f>IF($U280="","",P280+M280)</f>
        <v/>
      </c>
      <c r="R280" s="7">
        <f>IF($U280="","",S280-Q280)</f>
        <v/>
      </c>
      <c r="S280" s="7">
        <f>IF($U280="","",L280+O280)</f>
        <v/>
      </c>
      <c r="T280" s="7">
        <f>IF($U280="","",S280-Q280-G280)</f>
        <v/>
      </c>
      <c r="U280" s="13">
        <f>IF(ROWS($U$2:$U280)&lt;=MAX('Per Line'!$V$2:$V$1001),MATCH(ROWS($U$2:$U280),'Per Line'!$V$2:$V$1001,0),"")</f>
        <v/>
      </c>
    </row>
    <row r="281">
      <c r="A281">
        <f>IF($U281="","",INDEX('Per Line'!$A$2:$A$1001,$U281)&amp;"")</f>
        <v/>
      </c>
      <c r="B281" s="12" t="n"/>
      <c r="C281">
        <f>IF($U281="","",INDEX('Per Line'!$B$2:$B$1001,$U281)&amp;"")</f>
        <v/>
      </c>
      <c r="D281">
        <f>IF($U281="","",INDEX('Per Line'!$C$2:$C$1001,$U281)&amp;"")</f>
        <v/>
      </c>
      <c r="E281">
        <f>IF($U281="","",INDEX('Per Line'!$D$2:$D$1001,$U281)&amp;"")</f>
        <v/>
      </c>
      <c r="F281">
        <f>IF($U281="","",INDEX('Per Line'!$E$2:$E$1001,$U281))</f>
        <v/>
      </c>
      <c r="G281" s="7">
        <f>IF($U281="","",F281*S281/100)</f>
        <v/>
      </c>
      <c r="H281">
        <f>IF($U281="","",INDEX('Per Line'!$O$2:$O$1001,$U281)&amp;"")</f>
        <v/>
      </c>
      <c r="I281" s="11">
        <f>IF($U281="","",INDEX('Per Line'!$Q$2:$Q$1001,$U281))</f>
        <v/>
      </c>
      <c r="J281">
        <f>IF($U281="","",INDEX('Per Line'!$R$2:$R$1001,$U281)&amp;"")</f>
        <v/>
      </c>
      <c r="K281">
        <f>IF($U281="","",Settings!$C$7)</f>
        <v/>
      </c>
      <c r="L281" s="7">
        <f>IF($U281="","",SUMIFS('Per Line'!$N$2:$N$1001,'Per Line'!$A$2:$A$1001,$A281,'Per Line'!$W$2:$W$1001,0))</f>
        <v/>
      </c>
      <c r="M281" s="7">
        <f>IF($U281="","",L281*K281)</f>
        <v/>
      </c>
      <c r="N281">
        <f>IF($U281="","",Settings!$C$6)</f>
        <v/>
      </c>
      <c r="O281" s="7">
        <f>IF($U281="","",SUMIFS('Per Line'!$N$2:$N$1001,'Per Line'!$A$2:$A$1001,$A281,'Per Line'!$W$2:$W$1001,1))</f>
        <v/>
      </c>
      <c r="P281" s="7">
        <f>IF($U281="","",O281*N281)</f>
        <v/>
      </c>
      <c r="Q281" s="7">
        <f>IF($U281="","",P281+M281)</f>
        <v/>
      </c>
      <c r="R281" s="7">
        <f>IF($U281="","",S281-Q281)</f>
        <v/>
      </c>
      <c r="S281" s="7">
        <f>IF($U281="","",L281+O281)</f>
        <v/>
      </c>
      <c r="T281" s="7">
        <f>IF($U281="","",S281-Q281-G281)</f>
        <v/>
      </c>
      <c r="U281" s="13">
        <f>IF(ROWS($U$2:$U281)&lt;=MAX('Per Line'!$V$2:$V$1001),MATCH(ROWS($U$2:$U281),'Per Line'!$V$2:$V$1001,0),"")</f>
        <v/>
      </c>
    </row>
    <row r="282">
      <c r="A282">
        <f>IF($U282="","",INDEX('Per Line'!$A$2:$A$1001,$U282)&amp;"")</f>
        <v/>
      </c>
      <c r="B282" s="12" t="n"/>
      <c r="C282">
        <f>IF($U282="","",INDEX('Per Line'!$B$2:$B$1001,$U282)&amp;"")</f>
        <v/>
      </c>
      <c r="D282">
        <f>IF($U282="","",INDEX('Per Line'!$C$2:$C$1001,$U282)&amp;"")</f>
        <v/>
      </c>
      <c r="E282">
        <f>IF($U282="","",INDEX('Per Line'!$D$2:$D$1001,$U282)&amp;"")</f>
        <v/>
      </c>
      <c r="F282">
        <f>IF($U282="","",INDEX('Per Line'!$E$2:$E$1001,$U282))</f>
        <v/>
      </c>
      <c r="G282" s="7">
        <f>IF($U282="","",F282*S282/100)</f>
        <v/>
      </c>
      <c r="H282">
        <f>IF($U282="","",INDEX('Per Line'!$O$2:$O$1001,$U282)&amp;"")</f>
        <v/>
      </c>
      <c r="I282" s="11">
        <f>IF($U282="","",INDEX('Per Line'!$Q$2:$Q$1001,$U282))</f>
        <v/>
      </c>
      <c r="J282">
        <f>IF($U282="","",INDEX('Per Line'!$R$2:$R$1001,$U282)&amp;"")</f>
        <v/>
      </c>
      <c r="K282">
        <f>IF($U282="","",Settings!$C$7)</f>
        <v/>
      </c>
      <c r="L282" s="7">
        <f>IF($U282="","",SUMIFS('Per Line'!$N$2:$N$1001,'Per Line'!$A$2:$A$1001,$A282,'Per Line'!$W$2:$W$1001,0))</f>
        <v/>
      </c>
      <c r="M282" s="7">
        <f>IF($U282="","",L282*K282)</f>
        <v/>
      </c>
      <c r="N282">
        <f>IF($U282="","",Settings!$C$6)</f>
        <v/>
      </c>
      <c r="O282" s="7">
        <f>IF($U282="","",SUMIFS('Per Line'!$N$2:$N$1001,'Per Line'!$A$2:$A$1001,$A282,'Per Line'!$W$2:$W$1001,1))</f>
        <v/>
      </c>
      <c r="P282" s="7">
        <f>IF($U282="","",O282*N282)</f>
        <v/>
      </c>
      <c r="Q282" s="7">
        <f>IF($U282="","",P282+M282)</f>
        <v/>
      </c>
      <c r="R282" s="7">
        <f>IF($U282="","",S282-Q282)</f>
        <v/>
      </c>
      <c r="S282" s="7">
        <f>IF($U282="","",L282+O282)</f>
        <v/>
      </c>
      <c r="T282" s="7">
        <f>IF($U282="","",S282-Q282-G282)</f>
        <v/>
      </c>
      <c r="U282" s="13">
        <f>IF(ROWS($U$2:$U282)&lt;=MAX('Per Line'!$V$2:$V$1001),MATCH(ROWS($U$2:$U282),'Per Line'!$V$2:$V$1001,0),"")</f>
        <v/>
      </c>
    </row>
    <row r="283">
      <c r="A283">
        <f>IF($U283="","",INDEX('Per Line'!$A$2:$A$1001,$U283)&amp;"")</f>
        <v/>
      </c>
      <c r="B283" s="12" t="n"/>
      <c r="C283">
        <f>IF($U283="","",INDEX('Per Line'!$B$2:$B$1001,$U283)&amp;"")</f>
        <v/>
      </c>
      <c r="D283">
        <f>IF($U283="","",INDEX('Per Line'!$C$2:$C$1001,$U283)&amp;"")</f>
        <v/>
      </c>
      <c r="E283">
        <f>IF($U283="","",INDEX('Per Line'!$D$2:$D$1001,$U283)&amp;"")</f>
        <v/>
      </c>
      <c r="F283">
        <f>IF($U283="","",INDEX('Per Line'!$E$2:$E$1001,$U283))</f>
        <v/>
      </c>
      <c r="G283" s="7">
        <f>IF($U283="","",F283*S283/100)</f>
        <v/>
      </c>
      <c r="H283">
        <f>IF($U283="","",INDEX('Per Line'!$O$2:$O$1001,$U283)&amp;"")</f>
        <v/>
      </c>
      <c r="I283" s="11">
        <f>IF($U283="","",INDEX('Per Line'!$Q$2:$Q$1001,$U283))</f>
        <v/>
      </c>
      <c r="J283">
        <f>IF($U283="","",INDEX('Per Line'!$R$2:$R$1001,$U283)&amp;"")</f>
        <v/>
      </c>
      <c r="K283">
        <f>IF($U283="","",Settings!$C$7)</f>
        <v/>
      </c>
      <c r="L283" s="7">
        <f>IF($U283="","",SUMIFS('Per Line'!$N$2:$N$1001,'Per Line'!$A$2:$A$1001,$A283,'Per Line'!$W$2:$W$1001,0))</f>
        <v/>
      </c>
      <c r="M283" s="7">
        <f>IF($U283="","",L283*K283)</f>
        <v/>
      </c>
      <c r="N283">
        <f>IF($U283="","",Settings!$C$6)</f>
        <v/>
      </c>
      <c r="O283" s="7">
        <f>IF($U283="","",SUMIFS('Per Line'!$N$2:$N$1001,'Per Line'!$A$2:$A$1001,$A283,'Per Line'!$W$2:$W$1001,1))</f>
        <v/>
      </c>
      <c r="P283" s="7">
        <f>IF($U283="","",O283*N283)</f>
        <v/>
      </c>
      <c r="Q283" s="7">
        <f>IF($U283="","",P283+M283)</f>
        <v/>
      </c>
      <c r="R283" s="7">
        <f>IF($U283="","",S283-Q283)</f>
        <v/>
      </c>
      <c r="S283" s="7">
        <f>IF($U283="","",L283+O283)</f>
        <v/>
      </c>
      <c r="T283" s="7">
        <f>IF($U283="","",S283-Q283-G283)</f>
        <v/>
      </c>
      <c r="U283" s="13">
        <f>IF(ROWS($U$2:$U283)&lt;=MAX('Per Line'!$V$2:$V$1001),MATCH(ROWS($U$2:$U283),'Per Line'!$V$2:$V$1001,0),"")</f>
        <v/>
      </c>
    </row>
    <row r="284">
      <c r="A284">
        <f>IF($U284="","",INDEX('Per Line'!$A$2:$A$1001,$U284)&amp;"")</f>
        <v/>
      </c>
      <c r="B284" s="12" t="n"/>
      <c r="C284">
        <f>IF($U284="","",INDEX('Per Line'!$B$2:$B$1001,$U284)&amp;"")</f>
        <v/>
      </c>
      <c r="D284">
        <f>IF($U284="","",INDEX('Per Line'!$C$2:$C$1001,$U284)&amp;"")</f>
        <v/>
      </c>
      <c r="E284">
        <f>IF($U284="","",INDEX('Per Line'!$D$2:$D$1001,$U284)&amp;"")</f>
        <v/>
      </c>
      <c r="F284">
        <f>IF($U284="","",INDEX('Per Line'!$E$2:$E$1001,$U284))</f>
        <v/>
      </c>
      <c r="G284" s="7">
        <f>IF($U284="","",F284*S284/100)</f>
        <v/>
      </c>
      <c r="H284">
        <f>IF($U284="","",INDEX('Per Line'!$O$2:$O$1001,$U284)&amp;"")</f>
        <v/>
      </c>
      <c r="I284" s="11">
        <f>IF($U284="","",INDEX('Per Line'!$Q$2:$Q$1001,$U284))</f>
        <v/>
      </c>
      <c r="J284">
        <f>IF($U284="","",INDEX('Per Line'!$R$2:$R$1001,$U284)&amp;"")</f>
        <v/>
      </c>
      <c r="K284">
        <f>IF($U284="","",Settings!$C$7)</f>
        <v/>
      </c>
      <c r="L284" s="7">
        <f>IF($U284="","",SUMIFS('Per Line'!$N$2:$N$1001,'Per Line'!$A$2:$A$1001,$A284,'Per Line'!$W$2:$W$1001,0))</f>
        <v/>
      </c>
      <c r="M284" s="7">
        <f>IF($U284="","",L284*K284)</f>
        <v/>
      </c>
      <c r="N284">
        <f>IF($U284="","",Settings!$C$6)</f>
        <v/>
      </c>
      <c r="O284" s="7">
        <f>IF($U284="","",SUMIFS('Per Line'!$N$2:$N$1001,'Per Line'!$A$2:$A$1001,$A284,'Per Line'!$W$2:$W$1001,1))</f>
        <v/>
      </c>
      <c r="P284" s="7">
        <f>IF($U284="","",O284*N284)</f>
        <v/>
      </c>
      <c r="Q284" s="7">
        <f>IF($U284="","",P284+M284)</f>
        <v/>
      </c>
      <c r="R284" s="7">
        <f>IF($U284="","",S284-Q284)</f>
        <v/>
      </c>
      <c r="S284" s="7">
        <f>IF($U284="","",L284+O284)</f>
        <v/>
      </c>
      <c r="T284" s="7">
        <f>IF($U284="","",S284-Q284-G284)</f>
        <v/>
      </c>
      <c r="U284" s="13">
        <f>IF(ROWS($U$2:$U284)&lt;=MAX('Per Line'!$V$2:$V$1001),MATCH(ROWS($U$2:$U284),'Per Line'!$V$2:$V$1001,0),"")</f>
        <v/>
      </c>
    </row>
    <row r="285">
      <c r="A285">
        <f>IF($U285="","",INDEX('Per Line'!$A$2:$A$1001,$U285)&amp;"")</f>
        <v/>
      </c>
      <c r="B285" s="12" t="n"/>
      <c r="C285">
        <f>IF($U285="","",INDEX('Per Line'!$B$2:$B$1001,$U285)&amp;"")</f>
        <v/>
      </c>
      <c r="D285">
        <f>IF($U285="","",INDEX('Per Line'!$C$2:$C$1001,$U285)&amp;"")</f>
        <v/>
      </c>
      <c r="E285">
        <f>IF($U285="","",INDEX('Per Line'!$D$2:$D$1001,$U285)&amp;"")</f>
        <v/>
      </c>
      <c r="F285">
        <f>IF($U285="","",INDEX('Per Line'!$E$2:$E$1001,$U285))</f>
        <v/>
      </c>
      <c r="G285" s="7">
        <f>IF($U285="","",F285*S285/100)</f>
        <v/>
      </c>
      <c r="H285">
        <f>IF($U285="","",INDEX('Per Line'!$O$2:$O$1001,$U285)&amp;"")</f>
        <v/>
      </c>
      <c r="I285" s="11">
        <f>IF($U285="","",INDEX('Per Line'!$Q$2:$Q$1001,$U285))</f>
        <v/>
      </c>
      <c r="J285">
        <f>IF($U285="","",INDEX('Per Line'!$R$2:$R$1001,$U285)&amp;"")</f>
        <v/>
      </c>
      <c r="K285">
        <f>IF($U285="","",Settings!$C$7)</f>
        <v/>
      </c>
      <c r="L285" s="7">
        <f>IF($U285="","",SUMIFS('Per Line'!$N$2:$N$1001,'Per Line'!$A$2:$A$1001,$A285,'Per Line'!$W$2:$W$1001,0))</f>
        <v/>
      </c>
      <c r="M285" s="7">
        <f>IF($U285="","",L285*K285)</f>
        <v/>
      </c>
      <c r="N285">
        <f>IF($U285="","",Settings!$C$6)</f>
        <v/>
      </c>
      <c r="O285" s="7">
        <f>IF($U285="","",SUMIFS('Per Line'!$N$2:$N$1001,'Per Line'!$A$2:$A$1001,$A285,'Per Line'!$W$2:$W$1001,1))</f>
        <v/>
      </c>
      <c r="P285" s="7">
        <f>IF($U285="","",O285*N285)</f>
        <v/>
      </c>
      <c r="Q285" s="7">
        <f>IF($U285="","",P285+M285)</f>
        <v/>
      </c>
      <c r="R285" s="7">
        <f>IF($U285="","",S285-Q285)</f>
        <v/>
      </c>
      <c r="S285" s="7">
        <f>IF($U285="","",L285+O285)</f>
        <v/>
      </c>
      <c r="T285" s="7">
        <f>IF($U285="","",S285-Q285-G285)</f>
        <v/>
      </c>
      <c r="U285" s="13">
        <f>IF(ROWS($U$2:$U285)&lt;=MAX('Per Line'!$V$2:$V$1001),MATCH(ROWS($U$2:$U285),'Per Line'!$V$2:$V$1001,0),"")</f>
        <v/>
      </c>
    </row>
    <row r="286">
      <c r="A286">
        <f>IF($U286="","",INDEX('Per Line'!$A$2:$A$1001,$U286)&amp;"")</f>
        <v/>
      </c>
      <c r="B286" s="12" t="n"/>
      <c r="C286">
        <f>IF($U286="","",INDEX('Per Line'!$B$2:$B$1001,$U286)&amp;"")</f>
        <v/>
      </c>
      <c r="D286">
        <f>IF($U286="","",INDEX('Per Line'!$C$2:$C$1001,$U286)&amp;"")</f>
        <v/>
      </c>
      <c r="E286">
        <f>IF($U286="","",INDEX('Per Line'!$D$2:$D$1001,$U286)&amp;"")</f>
        <v/>
      </c>
      <c r="F286">
        <f>IF($U286="","",INDEX('Per Line'!$E$2:$E$1001,$U286))</f>
        <v/>
      </c>
      <c r="G286" s="7">
        <f>IF($U286="","",F286*S286/100)</f>
        <v/>
      </c>
      <c r="H286">
        <f>IF($U286="","",INDEX('Per Line'!$O$2:$O$1001,$U286)&amp;"")</f>
        <v/>
      </c>
      <c r="I286" s="11">
        <f>IF($U286="","",INDEX('Per Line'!$Q$2:$Q$1001,$U286))</f>
        <v/>
      </c>
      <c r="J286">
        <f>IF($U286="","",INDEX('Per Line'!$R$2:$R$1001,$U286)&amp;"")</f>
        <v/>
      </c>
      <c r="K286">
        <f>IF($U286="","",Settings!$C$7)</f>
        <v/>
      </c>
      <c r="L286" s="7">
        <f>IF($U286="","",SUMIFS('Per Line'!$N$2:$N$1001,'Per Line'!$A$2:$A$1001,$A286,'Per Line'!$W$2:$W$1001,0))</f>
        <v/>
      </c>
      <c r="M286" s="7">
        <f>IF($U286="","",L286*K286)</f>
        <v/>
      </c>
      <c r="N286">
        <f>IF($U286="","",Settings!$C$6)</f>
        <v/>
      </c>
      <c r="O286" s="7">
        <f>IF($U286="","",SUMIFS('Per Line'!$N$2:$N$1001,'Per Line'!$A$2:$A$1001,$A286,'Per Line'!$W$2:$W$1001,1))</f>
        <v/>
      </c>
      <c r="P286" s="7">
        <f>IF($U286="","",O286*N286)</f>
        <v/>
      </c>
      <c r="Q286" s="7">
        <f>IF($U286="","",P286+M286)</f>
        <v/>
      </c>
      <c r="R286" s="7">
        <f>IF($U286="","",S286-Q286)</f>
        <v/>
      </c>
      <c r="S286" s="7">
        <f>IF($U286="","",L286+O286)</f>
        <v/>
      </c>
      <c r="T286" s="7">
        <f>IF($U286="","",S286-Q286-G286)</f>
        <v/>
      </c>
      <c r="U286" s="13">
        <f>IF(ROWS($U$2:$U286)&lt;=MAX('Per Line'!$V$2:$V$1001),MATCH(ROWS($U$2:$U286),'Per Line'!$V$2:$V$1001,0),"")</f>
        <v/>
      </c>
    </row>
    <row r="287">
      <c r="A287">
        <f>IF($U287="","",INDEX('Per Line'!$A$2:$A$1001,$U287)&amp;"")</f>
        <v/>
      </c>
      <c r="B287" s="12" t="n"/>
      <c r="C287">
        <f>IF($U287="","",INDEX('Per Line'!$B$2:$B$1001,$U287)&amp;"")</f>
        <v/>
      </c>
      <c r="D287">
        <f>IF($U287="","",INDEX('Per Line'!$C$2:$C$1001,$U287)&amp;"")</f>
        <v/>
      </c>
      <c r="E287">
        <f>IF($U287="","",INDEX('Per Line'!$D$2:$D$1001,$U287)&amp;"")</f>
        <v/>
      </c>
      <c r="F287">
        <f>IF($U287="","",INDEX('Per Line'!$E$2:$E$1001,$U287))</f>
        <v/>
      </c>
      <c r="G287" s="7">
        <f>IF($U287="","",F287*S287/100)</f>
        <v/>
      </c>
      <c r="H287">
        <f>IF($U287="","",INDEX('Per Line'!$O$2:$O$1001,$U287)&amp;"")</f>
        <v/>
      </c>
      <c r="I287" s="11">
        <f>IF($U287="","",INDEX('Per Line'!$Q$2:$Q$1001,$U287))</f>
        <v/>
      </c>
      <c r="J287">
        <f>IF($U287="","",INDEX('Per Line'!$R$2:$R$1001,$U287)&amp;"")</f>
        <v/>
      </c>
      <c r="K287">
        <f>IF($U287="","",Settings!$C$7)</f>
        <v/>
      </c>
      <c r="L287" s="7">
        <f>IF($U287="","",SUMIFS('Per Line'!$N$2:$N$1001,'Per Line'!$A$2:$A$1001,$A287,'Per Line'!$W$2:$W$1001,0))</f>
        <v/>
      </c>
      <c r="M287" s="7">
        <f>IF($U287="","",L287*K287)</f>
        <v/>
      </c>
      <c r="N287">
        <f>IF($U287="","",Settings!$C$6)</f>
        <v/>
      </c>
      <c r="O287" s="7">
        <f>IF($U287="","",SUMIFS('Per Line'!$N$2:$N$1001,'Per Line'!$A$2:$A$1001,$A287,'Per Line'!$W$2:$W$1001,1))</f>
        <v/>
      </c>
      <c r="P287" s="7">
        <f>IF($U287="","",O287*N287)</f>
        <v/>
      </c>
      <c r="Q287" s="7">
        <f>IF($U287="","",P287+M287)</f>
        <v/>
      </c>
      <c r="R287" s="7">
        <f>IF($U287="","",S287-Q287)</f>
        <v/>
      </c>
      <c r="S287" s="7">
        <f>IF($U287="","",L287+O287)</f>
        <v/>
      </c>
      <c r="T287" s="7">
        <f>IF($U287="","",S287-Q287-G287)</f>
        <v/>
      </c>
      <c r="U287" s="13">
        <f>IF(ROWS($U$2:$U287)&lt;=MAX('Per Line'!$V$2:$V$1001),MATCH(ROWS($U$2:$U287),'Per Line'!$V$2:$V$1001,0),"")</f>
        <v/>
      </c>
    </row>
    <row r="288">
      <c r="A288">
        <f>IF($U288="","",INDEX('Per Line'!$A$2:$A$1001,$U288)&amp;"")</f>
        <v/>
      </c>
      <c r="B288" s="12" t="n"/>
      <c r="C288">
        <f>IF($U288="","",INDEX('Per Line'!$B$2:$B$1001,$U288)&amp;"")</f>
        <v/>
      </c>
      <c r="D288">
        <f>IF($U288="","",INDEX('Per Line'!$C$2:$C$1001,$U288)&amp;"")</f>
        <v/>
      </c>
      <c r="E288">
        <f>IF($U288="","",INDEX('Per Line'!$D$2:$D$1001,$U288)&amp;"")</f>
        <v/>
      </c>
      <c r="F288">
        <f>IF($U288="","",INDEX('Per Line'!$E$2:$E$1001,$U288))</f>
        <v/>
      </c>
      <c r="G288" s="7">
        <f>IF($U288="","",F288*S288/100)</f>
        <v/>
      </c>
      <c r="H288">
        <f>IF($U288="","",INDEX('Per Line'!$O$2:$O$1001,$U288)&amp;"")</f>
        <v/>
      </c>
      <c r="I288" s="11">
        <f>IF($U288="","",INDEX('Per Line'!$Q$2:$Q$1001,$U288))</f>
        <v/>
      </c>
      <c r="J288">
        <f>IF($U288="","",INDEX('Per Line'!$R$2:$R$1001,$U288)&amp;"")</f>
        <v/>
      </c>
      <c r="K288">
        <f>IF($U288="","",Settings!$C$7)</f>
        <v/>
      </c>
      <c r="L288" s="7">
        <f>IF($U288="","",SUMIFS('Per Line'!$N$2:$N$1001,'Per Line'!$A$2:$A$1001,$A288,'Per Line'!$W$2:$W$1001,0))</f>
        <v/>
      </c>
      <c r="M288" s="7">
        <f>IF($U288="","",L288*K288)</f>
        <v/>
      </c>
      <c r="N288">
        <f>IF($U288="","",Settings!$C$6)</f>
        <v/>
      </c>
      <c r="O288" s="7">
        <f>IF($U288="","",SUMIFS('Per Line'!$N$2:$N$1001,'Per Line'!$A$2:$A$1001,$A288,'Per Line'!$W$2:$W$1001,1))</f>
        <v/>
      </c>
      <c r="P288" s="7">
        <f>IF($U288="","",O288*N288)</f>
        <v/>
      </c>
      <c r="Q288" s="7">
        <f>IF($U288="","",P288+M288)</f>
        <v/>
      </c>
      <c r="R288" s="7">
        <f>IF($U288="","",S288-Q288)</f>
        <v/>
      </c>
      <c r="S288" s="7">
        <f>IF($U288="","",L288+O288)</f>
        <v/>
      </c>
      <c r="T288" s="7">
        <f>IF($U288="","",S288-Q288-G288)</f>
        <v/>
      </c>
      <c r="U288" s="13">
        <f>IF(ROWS($U$2:$U288)&lt;=MAX('Per Line'!$V$2:$V$1001),MATCH(ROWS($U$2:$U288),'Per Line'!$V$2:$V$1001,0),"")</f>
        <v/>
      </c>
    </row>
    <row r="289">
      <c r="A289">
        <f>IF($U289="","",INDEX('Per Line'!$A$2:$A$1001,$U289)&amp;"")</f>
        <v/>
      </c>
      <c r="B289" s="12" t="n"/>
      <c r="C289">
        <f>IF($U289="","",INDEX('Per Line'!$B$2:$B$1001,$U289)&amp;"")</f>
        <v/>
      </c>
      <c r="D289">
        <f>IF($U289="","",INDEX('Per Line'!$C$2:$C$1001,$U289)&amp;"")</f>
        <v/>
      </c>
      <c r="E289">
        <f>IF($U289="","",INDEX('Per Line'!$D$2:$D$1001,$U289)&amp;"")</f>
        <v/>
      </c>
      <c r="F289">
        <f>IF($U289="","",INDEX('Per Line'!$E$2:$E$1001,$U289))</f>
        <v/>
      </c>
      <c r="G289" s="7">
        <f>IF($U289="","",F289*S289/100)</f>
        <v/>
      </c>
      <c r="H289">
        <f>IF($U289="","",INDEX('Per Line'!$O$2:$O$1001,$U289)&amp;"")</f>
        <v/>
      </c>
      <c r="I289" s="11">
        <f>IF($U289="","",INDEX('Per Line'!$Q$2:$Q$1001,$U289))</f>
        <v/>
      </c>
      <c r="J289">
        <f>IF($U289="","",INDEX('Per Line'!$R$2:$R$1001,$U289)&amp;"")</f>
        <v/>
      </c>
      <c r="K289">
        <f>IF($U289="","",Settings!$C$7)</f>
        <v/>
      </c>
      <c r="L289" s="7">
        <f>IF($U289="","",SUMIFS('Per Line'!$N$2:$N$1001,'Per Line'!$A$2:$A$1001,$A289,'Per Line'!$W$2:$W$1001,0))</f>
        <v/>
      </c>
      <c r="M289" s="7">
        <f>IF($U289="","",L289*K289)</f>
        <v/>
      </c>
      <c r="N289">
        <f>IF($U289="","",Settings!$C$6)</f>
        <v/>
      </c>
      <c r="O289" s="7">
        <f>IF($U289="","",SUMIFS('Per Line'!$N$2:$N$1001,'Per Line'!$A$2:$A$1001,$A289,'Per Line'!$W$2:$W$1001,1))</f>
        <v/>
      </c>
      <c r="P289" s="7">
        <f>IF($U289="","",O289*N289)</f>
        <v/>
      </c>
      <c r="Q289" s="7">
        <f>IF($U289="","",P289+M289)</f>
        <v/>
      </c>
      <c r="R289" s="7">
        <f>IF($U289="","",S289-Q289)</f>
        <v/>
      </c>
      <c r="S289" s="7">
        <f>IF($U289="","",L289+O289)</f>
        <v/>
      </c>
      <c r="T289" s="7">
        <f>IF($U289="","",S289-Q289-G289)</f>
        <v/>
      </c>
      <c r="U289" s="13">
        <f>IF(ROWS($U$2:$U289)&lt;=MAX('Per Line'!$V$2:$V$1001),MATCH(ROWS($U$2:$U289),'Per Line'!$V$2:$V$1001,0),"")</f>
        <v/>
      </c>
    </row>
    <row r="290">
      <c r="A290">
        <f>IF($U290="","",INDEX('Per Line'!$A$2:$A$1001,$U290)&amp;"")</f>
        <v/>
      </c>
      <c r="B290" s="12" t="n"/>
      <c r="C290">
        <f>IF($U290="","",INDEX('Per Line'!$B$2:$B$1001,$U290)&amp;"")</f>
        <v/>
      </c>
      <c r="D290">
        <f>IF($U290="","",INDEX('Per Line'!$C$2:$C$1001,$U290)&amp;"")</f>
        <v/>
      </c>
      <c r="E290">
        <f>IF($U290="","",INDEX('Per Line'!$D$2:$D$1001,$U290)&amp;"")</f>
        <v/>
      </c>
      <c r="F290">
        <f>IF($U290="","",INDEX('Per Line'!$E$2:$E$1001,$U290))</f>
        <v/>
      </c>
      <c r="G290" s="7">
        <f>IF($U290="","",F290*S290/100)</f>
        <v/>
      </c>
      <c r="H290">
        <f>IF($U290="","",INDEX('Per Line'!$O$2:$O$1001,$U290)&amp;"")</f>
        <v/>
      </c>
      <c r="I290" s="11">
        <f>IF($U290="","",INDEX('Per Line'!$Q$2:$Q$1001,$U290))</f>
        <v/>
      </c>
      <c r="J290">
        <f>IF($U290="","",INDEX('Per Line'!$R$2:$R$1001,$U290)&amp;"")</f>
        <v/>
      </c>
      <c r="K290">
        <f>IF($U290="","",Settings!$C$7)</f>
        <v/>
      </c>
      <c r="L290" s="7">
        <f>IF($U290="","",SUMIFS('Per Line'!$N$2:$N$1001,'Per Line'!$A$2:$A$1001,$A290,'Per Line'!$W$2:$W$1001,0))</f>
        <v/>
      </c>
      <c r="M290" s="7">
        <f>IF($U290="","",L290*K290)</f>
        <v/>
      </c>
      <c r="N290">
        <f>IF($U290="","",Settings!$C$6)</f>
        <v/>
      </c>
      <c r="O290" s="7">
        <f>IF($U290="","",SUMIFS('Per Line'!$N$2:$N$1001,'Per Line'!$A$2:$A$1001,$A290,'Per Line'!$W$2:$W$1001,1))</f>
        <v/>
      </c>
      <c r="P290" s="7">
        <f>IF($U290="","",O290*N290)</f>
        <v/>
      </c>
      <c r="Q290" s="7">
        <f>IF($U290="","",P290+M290)</f>
        <v/>
      </c>
      <c r="R290" s="7">
        <f>IF($U290="","",S290-Q290)</f>
        <v/>
      </c>
      <c r="S290" s="7">
        <f>IF($U290="","",L290+O290)</f>
        <v/>
      </c>
      <c r="T290" s="7">
        <f>IF($U290="","",S290-Q290-G290)</f>
        <v/>
      </c>
      <c r="U290" s="13">
        <f>IF(ROWS($U$2:$U290)&lt;=MAX('Per Line'!$V$2:$V$1001),MATCH(ROWS($U$2:$U290),'Per Line'!$V$2:$V$1001,0),"")</f>
        <v/>
      </c>
    </row>
    <row r="291">
      <c r="A291">
        <f>IF($U291="","",INDEX('Per Line'!$A$2:$A$1001,$U291)&amp;"")</f>
        <v/>
      </c>
      <c r="B291" s="12" t="n"/>
      <c r="C291">
        <f>IF($U291="","",INDEX('Per Line'!$B$2:$B$1001,$U291)&amp;"")</f>
        <v/>
      </c>
      <c r="D291">
        <f>IF($U291="","",INDEX('Per Line'!$C$2:$C$1001,$U291)&amp;"")</f>
        <v/>
      </c>
      <c r="E291">
        <f>IF($U291="","",INDEX('Per Line'!$D$2:$D$1001,$U291)&amp;"")</f>
        <v/>
      </c>
      <c r="F291">
        <f>IF($U291="","",INDEX('Per Line'!$E$2:$E$1001,$U291))</f>
        <v/>
      </c>
      <c r="G291" s="7">
        <f>IF($U291="","",F291*S291/100)</f>
        <v/>
      </c>
      <c r="H291">
        <f>IF($U291="","",INDEX('Per Line'!$O$2:$O$1001,$U291)&amp;"")</f>
        <v/>
      </c>
      <c r="I291" s="11">
        <f>IF($U291="","",INDEX('Per Line'!$Q$2:$Q$1001,$U291))</f>
        <v/>
      </c>
      <c r="J291">
        <f>IF($U291="","",INDEX('Per Line'!$R$2:$R$1001,$U291)&amp;"")</f>
        <v/>
      </c>
      <c r="K291">
        <f>IF($U291="","",Settings!$C$7)</f>
        <v/>
      </c>
      <c r="L291" s="7">
        <f>IF($U291="","",SUMIFS('Per Line'!$N$2:$N$1001,'Per Line'!$A$2:$A$1001,$A291,'Per Line'!$W$2:$W$1001,0))</f>
        <v/>
      </c>
      <c r="M291" s="7">
        <f>IF($U291="","",L291*K291)</f>
        <v/>
      </c>
      <c r="N291">
        <f>IF($U291="","",Settings!$C$6)</f>
        <v/>
      </c>
      <c r="O291" s="7">
        <f>IF($U291="","",SUMIFS('Per Line'!$N$2:$N$1001,'Per Line'!$A$2:$A$1001,$A291,'Per Line'!$W$2:$W$1001,1))</f>
        <v/>
      </c>
      <c r="P291" s="7">
        <f>IF($U291="","",O291*N291)</f>
        <v/>
      </c>
      <c r="Q291" s="7">
        <f>IF($U291="","",P291+M291)</f>
        <v/>
      </c>
      <c r="R291" s="7">
        <f>IF($U291="","",S291-Q291)</f>
        <v/>
      </c>
      <c r="S291" s="7">
        <f>IF($U291="","",L291+O291)</f>
        <v/>
      </c>
      <c r="T291" s="7">
        <f>IF($U291="","",S291-Q291-G291)</f>
        <v/>
      </c>
      <c r="U291" s="13">
        <f>IF(ROWS($U$2:$U291)&lt;=MAX('Per Line'!$V$2:$V$1001),MATCH(ROWS($U$2:$U291),'Per Line'!$V$2:$V$1001,0),"")</f>
        <v/>
      </c>
    </row>
    <row r="292">
      <c r="A292">
        <f>IF($U292="","",INDEX('Per Line'!$A$2:$A$1001,$U292)&amp;"")</f>
        <v/>
      </c>
      <c r="B292" s="12" t="n"/>
      <c r="C292">
        <f>IF($U292="","",INDEX('Per Line'!$B$2:$B$1001,$U292)&amp;"")</f>
        <v/>
      </c>
      <c r="D292">
        <f>IF($U292="","",INDEX('Per Line'!$C$2:$C$1001,$U292)&amp;"")</f>
        <v/>
      </c>
      <c r="E292">
        <f>IF($U292="","",INDEX('Per Line'!$D$2:$D$1001,$U292)&amp;"")</f>
        <v/>
      </c>
      <c r="F292">
        <f>IF($U292="","",INDEX('Per Line'!$E$2:$E$1001,$U292))</f>
        <v/>
      </c>
      <c r="G292" s="7">
        <f>IF($U292="","",F292*S292/100)</f>
        <v/>
      </c>
      <c r="H292">
        <f>IF($U292="","",INDEX('Per Line'!$O$2:$O$1001,$U292)&amp;"")</f>
        <v/>
      </c>
      <c r="I292" s="11">
        <f>IF($U292="","",INDEX('Per Line'!$Q$2:$Q$1001,$U292))</f>
        <v/>
      </c>
      <c r="J292">
        <f>IF($U292="","",INDEX('Per Line'!$R$2:$R$1001,$U292)&amp;"")</f>
        <v/>
      </c>
      <c r="K292">
        <f>IF($U292="","",Settings!$C$7)</f>
        <v/>
      </c>
      <c r="L292" s="7">
        <f>IF($U292="","",SUMIFS('Per Line'!$N$2:$N$1001,'Per Line'!$A$2:$A$1001,$A292,'Per Line'!$W$2:$W$1001,0))</f>
        <v/>
      </c>
      <c r="M292" s="7">
        <f>IF($U292="","",L292*K292)</f>
        <v/>
      </c>
      <c r="N292">
        <f>IF($U292="","",Settings!$C$6)</f>
        <v/>
      </c>
      <c r="O292" s="7">
        <f>IF($U292="","",SUMIFS('Per Line'!$N$2:$N$1001,'Per Line'!$A$2:$A$1001,$A292,'Per Line'!$W$2:$W$1001,1))</f>
        <v/>
      </c>
      <c r="P292" s="7">
        <f>IF($U292="","",O292*N292)</f>
        <v/>
      </c>
      <c r="Q292" s="7">
        <f>IF($U292="","",P292+M292)</f>
        <v/>
      </c>
      <c r="R292" s="7">
        <f>IF($U292="","",S292-Q292)</f>
        <v/>
      </c>
      <c r="S292" s="7">
        <f>IF($U292="","",L292+O292)</f>
        <v/>
      </c>
      <c r="T292" s="7">
        <f>IF($U292="","",S292-Q292-G292)</f>
        <v/>
      </c>
      <c r="U292" s="13">
        <f>IF(ROWS($U$2:$U292)&lt;=MAX('Per Line'!$V$2:$V$1001),MATCH(ROWS($U$2:$U292),'Per Line'!$V$2:$V$1001,0),"")</f>
        <v/>
      </c>
    </row>
    <row r="293">
      <c r="A293">
        <f>IF($U293="","",INDEX('Per Line'!$A$2:$A$1001,$U293)&amp;"")</f>
        <v/>
      </c>
      <c r="B293" s="12" t="n"/>
      <c r="C293">
        <f>IF($U293="","",INDEX('Per Line'!$B$2:$B$1001,$U293)&amp;"")</f>
        <v/>
      </c>
      <c r="D293">
        <f>IF($U293="","",INDEX('Per Line'!$C$2:$C$1001,$U293)&amp;"")</f>
        <v/>
      </c>
      <c r="E293">
        <f>IF($U293="","",INDEX('Per Line'!$D$2:$D$1001,$U293)&amp;"")</f>
        <v/>
      </c>
      <c r="F293">
        <f>IF($U293="","",INDEX('Per Line'!$E$2:$E$1001,$U293))</f>
        <v/>
      </c>
      <c r="G293" s="7">
        <f>IF($U293="","",F293*S293/100)</f>
        <v/>
      </c>
      <c r="H293">
        <f>IF($U293="","",INDEX('Per Line'!$O$2:$O$1001,$U293)&amp;"")</f>
        <v/>
      </c>
      <c r="I293" s="11">
        <f>IF($U293="","",INDEX('Per Line'!$Q$2:$Q$1001,$U293))</f>
        <v/>
      </c>
      <c r="J293">
        <f>IF($U293="","",INDEX('Per Line'!$R$2:$R$1001,$U293)&amp;"")</f>
        <v/>
      </c>
      <c r="K293">
        <f>IF($U293="","",Settings!$C$7)</f>
        <v/>
      </c>
      <c r="L293" s="7">
        <f>IF($U293="","",SUMIFS('Per Line'!$N$2:$N$1001,'Per Line'!$A$2:$A$1001,$A293,'Per Line'!$W$2:$W$1001,0))</f>
        <v/>
      </c>
      <c r="M293" s="7">
        <f>IF($U293="","",L293*K293)</f>
        <v/>
      </c>
      <c r="N293">
        <f>IF($U293="","",Settings!$C$6)</f>
        <v/>
      </c>
      <c r="O293" s="7">
        <f>IF($U293="","",SUMIFS('Per Line'!$N$2:$N$1001,'Per Line'!$A$2:$A$1001,$A293,'Per Line'!$W$2:$W$1001,1))</f>
        <v/>
      </c>
      <c r="P293" s="7">
        <f>IF($U293="","",O293*N293)</f>
        <v/>
      </c>
      <c r="Q293" s="7">
        <f>IF($U293="","",P293+M293)</f>
        <v/>
      </c>
      <c r="R293" s="7">
        <f>IF($U293="","",S293-Q293)</f>
        <v/>
      </c>
      <c r="S293" s="7">
        <f>IF($U293="","",L293+O293)</f>
        <v/>
      </c>
      <c r="T293" s="7">
        <f>IF($U293="","",S293-Q293-G293)</f>
        <v/>
      </c>
      <c r="U293" s="13">
        <f>IF(ROWS($U$2:$U293)&lt;=MAX('Per Line'!$V$2:$V$1001),MATCH(ROWS($U$2:$U293),'Per Line'!$V$2:$V$1001,0),"")</f>
        <v/>
      </c>
    </row>
    <row r="294">
      <c r="A294">
        <f>IF($U294="","",INDEX('Per Line'!$A$2:$A$1001,$U294)&amp;"")</f>
        <v/>
      </c>
      <c r="B294" s="12" t="n"/>
      <c r="C294">
        <f>IF($U294="","",INDEX('Per Line'!$B$2:$B$1001,$U294)&amp;"")</f>
        <v/>
      </c>
      <c r="D294">
        <f>IF($U294="","",INDEX('Per Line'!$C$2:$C$1001,$U294)&amp;"")</f>
        <v/>
      </c>
      <c r="E294">
        <f>IF($U294="","",INDEX('Per Line'!$D$2:$D$1001,$U294)&amp;"")</f>
        <v/>
      </c>
      <c r="F294">
        <f>IF($U294="","",INDEX('Per Line'!$E$2:$E$1001,$U294))</f>
        <v/>
      </c>
      <c r="G294" s="7">
        <f>IF($U294="","",F294*S294/100)</f>
        <v/>
      </c>
      <c r="H294">
        <f>IF($U294="","",INDEX('Per Line'!$O$2:$O$1001,$U294)&amp;"")</f>
        <v/>
      </c>
      <c r="I294" s="11">
        <f>IF($U294="","",INDEX('Per Line'!$Q$2:$Q$1001,$U294))</f>
        <v/>
      </c>
      <c r="J294">
        <f>IF($U294="","",INDEX('Per Line'!$R$2:$R$1001,$U294)&amp;"")</f>
        <v/>
      </c>
      <c r="K294">
        <f>IF($U294="","",Settings!$C$7)</f>
        <v/>
      </c>
      <c r="L294" s="7">
        <f>IF($U294="","",SUMIFS('Per Line'!$N$2:$N$1001,'Per Line'!$A$2:$A$1001,$A294,'Per Line'!$W$2:$W$1001,0))</f>
        <v/>
      </c>
      <c r="M294" s="7">
        <f>IF($U294="","",L294*K294)</f>
        <v/>
      </c>
      <c r="N294">
        <f>IF($U294="","",Settings!$C$6)</f>
        <v/>
      </c>
      <c r="O294" s="7">
        <f>IF($U294="","",SUMIFS('Per Line'!$N$2:$N$1001,'Per Line'!$A$2:$A$1001,$A294,'Per Line'!$W$2:$W$1001,1))</f>
        <v/>
      </c>
      <c r="P294" s="7">
        <f>IF($U294="","",O294*N294)</f>
        <v/>
      </c>
      <c r="Q294" s="7">
        <f>IF($U294="","",P294+M294)</f>
        <v/>
      </c>
      <c r="R294" s="7">
        <f>IF($U294="","",S294-Q294)</f>
        <v/>
      </c>
      <c r="S294" s="7">
        <f>IF($U294="","",L294+O294)</f>
        <v/>
      </c>
      <c r="T294" s="7">
        <f>IF($U294="","",S294-Q294-G294)</f>
        <v/>
      </c>
      <c r="U294" s="13">
        <f>IF(ROWS($U$2:$U294)&lt;=MAX('Per Line'!$V$2:$V$1001),MATCH(ROWS($U$2:$U294),'Per Line'!$V$2:$V$1001,0),"")</f>
        <v/>
      </c>
    </row>
    <row r="295">
      <c r="A295">
        <f>IF($U295="","",INDEX('Per Line'!$A$2:$A$1001,$U295)&amp;"")</f>
        <v/>
      </c>
      <c r="B295" s="12" t="n"/>
      <c r="C295">
        <f>IF($U295="","",INDEX('Per Line'!$B$2:$B$1001,$U295)&amp;"")</f>
        <v/>
      </c>
      <c r="D295">
        <f>IF($U295="","",INDEX('Per Line'!$C$2:$C$1001,$U295)&amp;"")</f>
        <v/>
      </c>
      <c r="E295">
        <f>IF($U295="","",INDEX('Per Line'!$D$2:$D$1001,$U295)&amp;"")</f>
        <v/>
      </c>
      <c r="F295">
        <f>IF($U295="","",INDEX('Per Line'!$E$2:$E$1001,$U295))</f>
        <v/>
      </c>
      <c r="G295" s="7">
        <f>IF($U295="","",F295*S295/100)</f>
        <v/>
      </c>
      <c r="H295">
        <f>IF($U295="","",INDEX('Per Line'!$O$2:$O$1001,$U295)&amp;"")</f>
        <v/>
      </c>
      <c r="I295" s="11">
        <f>IF($U295="","",INDEX('Per Line'!$Q$2:$Q$1001,$U295))</f>
        <v/>
      </c>
      <c r="J295">
        <f>IF($U295="","",INDEX('Per Line'!$R$2:$R$1001,$U295)&amp;"")</f>
        <v/>
      </c>
      <c r="K295">
        <f>IF($U295="","",Settings!$C$7)</f>
        <v/>
      </c>
      <c r="L295" s="7">
        <f>IF($U295="","",SUMIFS('Per Line'!$N$2:$N$1001,'Per Line'!$A$2:$A$1001,$A295,'Per Line'!$W$2:$W$1001,0))</f>
        <v/>
      </c>
      <c r="M295" s="7">
        <f>IF($U295="","",L295*K295)</f>
        <v/>
      </c>
      <c r="N295">
        <f>IF($U295="","",Settings!$C$6)</f>
        <v/>
      </c>
      <c r="O295" s="7">
        <f>IF($U295="","",SUMIFS('Per Line'!$N$2:$N$1001,'Per Line'!$A$2:$A$1001,$A295,'Per Line'!$W$2:$W$1001,1))</f>
        <v/>
      </c>
      <c r="P295" s="7">
        <f>IF($U295="","",O295*N295)</f>
        <v/>
      </c>
      <c r="Q295" s="7">
        <f>IF($U295="","",P295+M295)</f>
        <v/>
      </c>
      <c r="R295" s="7">
        <f>IF($U295="","",S295-Q295)</f>
        <v/>
      </c>
      <c r="S295" s="7">
        <f>IF($U295="","",L295+O295)</f>
        <v/>
      </c>
      <c r="T295" s="7">
        <f>IF($U295="","",S295-Q295-G295)</f>
        <v/>
      </c>
      <c r="U295" s="13">
        <f>IF(ROWS($U$2:$U295)&lt;=MAX('Per Line'!$V$2:$V$1001),MATCH(ROWS($U$2:$U295),'Per Line'!$V$2:$V$1001,0),"")</f>
        <v/>
      </c>
    </row>
    <row r="296">
      <c r="A296">
        <f>IF($U296="","",INDEX('Per Line'!$A$2:$A$1001,$U296)&amp;"")</f>
        <v/>
      </c>
      <c r="B296" s="12" t="n"/>
      <c r="C296">
        <f>IF($U296="","",INDEX('Per Line'!$B$2:$B$1001,$U296)&amp;"")</f>
        <v/>
      </c>
      <c r="D296">
        <f>IF($U296="","",INDEX('Per Line'!$C$2:$C$1001,$U296)&amp;"")</f>
        <v/>
      </c>
      <c r="E296">
        <f>IF($U296="","",INDEX('Per Line'!$D$2:$D$1001,$U296)&amp;"")</f>
        <v/>
      </c>
      <c r="F296">
        <f>IF($U296="","",INDEX('Per Line'!$E$2:$E$1001,$U296))</f>
        <v/>
      </c>
      <c r="G296" s="7">
        <f>IF($U296="","",F296*S296/100)</f>
        <v/>
      </c>
      <c r="H296">
        <f>IF($U296="","",INDEX('Per Line'!$O$2:$O$1001,$U296)&amp;"")</f>
        <v/>
      </c>
      <c r="I296" s="11">
        <f>IF($U296="","",INDEX('Per Line'!$Q$2:$Q$1001,$U296))</f>
        <v/>
      </c>
      <c r="J296">
        <f>IF($U296="","",INDEX('Per Line'!$R$2:$R$1001,$U296)&amp;"")</f>
        <v/>
      </c>
      <c r="K296">
        <f>IF($U296="","",Settings!$C$7)</f>
        <v/>
      </c>
      <c r="L296" s="7">
        <f>IF($U296="","",SUMIFS('Per Line'!$N$2:$N$1001,'Per Line'!$A$2:$A$1001,$A296,'Per Line'!$W$2:$W$1001,0))</f>
        <v/>
      </c>
      <c r="M296" s="7">
        <f>IF($U296="","",L296*K296)</f>
        <v/>
      </c>
      <c r="N296">
        <f>IF($U296="","",Settings!$C$6)</f>
        <v/>
      </c>
      <c r="O296" s="7">
        <f>IF($U296="","",SUMIFS('Per Line'!$N$2:$N$1001,'Per Line'!$A$2:$A$1001,$A296,'Per Line'!$W$2:$W$1001,1))</f>
        <v/>
      </c>
      <c r="P296" s="7">
        <f>IF($U296="","",O296*N296)</f>
        <v/>
      </c>
      <c r="Q296" s="7">
        <f>IF($U296="","",P296+M296)</f>
        <v/>
      </c>
      <c r="R296" s="7">
        <f>IF($U296="","",S296-Q296)</f>
        <v/>
      </c>
      <c r="S296" s="7">
        <f>IF($U296="","",L296+O296)</f>
        <v/>
      </c>
      <c r="T296" s="7">
        <f>IF($U296="","",S296-Q296-G296)</f>
        <v/>
      </c>
      <c r="U296" s="13">
        <f>IF(ROWS($U$2:$U296)&lt;=MAX('Per Line'!$V$2:$V$1001),MATCH(ROWS($U$2:$U296),'Per Line'!$V$2:$V$1001,0),"")</f>
        <v/>
      </c>
    </row>
    <row r="297">
      <c r="A297">
        <f>IF($U297="","",INDEX('Per Line'!$A$2:$A$1001,$U297)&amp;"")</f>
        <v/>
      </c>
      <c r="B297" s="12" t="n"/>
      <c r="C297">
        <f>IF($U297="","",INDEX('Per Line'!$B$2:$B$1001,$U297)&amp;"")</f>
        <v/>
      </c>
      <c r="D297">
        <f>IF($U297="","",INDEX('Per Line'!$C$2:$C$1001,$U297)&amp;"")</f>
        <v/>
      </c>
      <c r="E297">
        <f>IF($U297="","",INDEX('Per Line'!$D$2:$D$1001,$U297)&amp;"")</f>
        <v/>
      </c>
      <c r="F297">
        <f>IF($U297="","",INDEX('Per Line'!$E$2:$E$1001,$U297))</f>
        <v/>
      </c>
      <c r="G297" s="7">
        <f>IF($U297="","",F297*S297/100)</f>
        <v/>
      </c>
      <c r="H297">
        <f>IF($U297="","",INDEX('Per Line'!$O$2:$O$1001,$U297)&amp;"")</f>
        <v/>
      </c>
      <c r="I297" s="11">
        <f>IF($U297="","",INDEX('Per Line'!$Q$2:$Q$1001,$U297))</f>
        <v/>
      </c>
      <c r="J297">
        <f>IF($U297="","",INDEX('Per Line'!$R$2:$R$1001,$U297)&amp;"")</f>
        <v/>
      </c>
      <c r="K297">
        <f>IF($U297="","",Settings!$C$7)</f>
        <v/>
      </c>
      <c r="L297" s="7">
        <f>IF($U297="","",SUMIFS('Per Line'!$N$2:$N$1001,'Per Line'!$A$2:$A$1001,$A297,'Per Line'!$W$2:$W$1001,0))</f>
        <v/>
      </c>
      <c r="M297" s="7">
        <f>IF($U297="","",L297*K297)</f>
        <v/>
      </c>
      <c r="N297">
        <f>IF($U297="","",Settings!$C$6)</f>
        <v/>
      </c>
      <c r="O297" s="7">
        <f>IF($U297="","",SUMIFS('Per Line'!$N$2:$N$1001,'Per Line'!$A$2:$A$1001,$A297,'Per Line'!$W$2:$W$1001,1))</f>
        <v/>
      </c>
      <c r="P297" s="7">
        <f>IF($U297="","",O297*N297)</f>
        <v/>
      </c>
      <c r="Q297" s="7">
        <f>IF($U297="","",P297+M297)</f>
        <v/>
      </c>
      <c r="R297" s="7">
        <f>IF($U297="","",S297-Q297)</f>
        <v/>
      </c>
      <c r="S297" s="7">
        <f>IF($U297="","",L297+O297)</f>
        <v/>
      </c>
      <c r="T297" s="7">
        <f>IF($U297="","",S297-Q297-G297)</f>
        <v/>
      </c>
      <c r="U297" s="13">
        <f>IF(ROWS($U$2:$U297)&lt;=MAX('Per Line'!$V$2:$V$1001),MATCH(ROWS($U$2:$U297),'Per Line'!$V$2:$V$1001,0),"")</f>
        <v/>
      </c>
    </row>
    <row r="298">
      <c r="A298">
        <f>IF($U298="","",INDEX('Per Line'!$A$2:$A$1001,$U298)&amp;"")</f>
        <v/>
      </c>
      <c r="B298" s="12" t="n"/>
      <c r="C298">
        <f>IF($U298="","",INDEX('Per Line'!$B$2:$B$1001,$U298)&amp;"")</f>
        <v/>
      </c>
      <c r="D298">
        <f>IF($U298="","",INDEX('Per Line'!$C$2:$C$1001,$U298)&amp;"")</f>
        <v/>
      </c>
      <c r="E298">
        <f>IF($U298="","",INDEX('Per Line'!$D$2:$D$1001,$U298)&amp;"")</f>
        <v/>
      </c>
      <c r="F298">
        <f>IF($U298="","",INDEX('Per Line'!$E$2:$E$1001,$U298))</f>
        <v/>
      </c>
      <c r="G298" s="7">
        <f>IF($U298="","",F298*S298/100)</f>
        <v/>
      </c>
      <c r="H298">
        <f>IF($U298="","",INDEX('Per Line'!$O$2:$O$1001,$U298)&amp;"")</f>
        <v/>
      </c>
      <c r="I298" s="11">
        <f>IF($U298="","",INDEX('Per Line'!$Q$2:$Q$1001,$U298))</f>
        <v/>
      </c>
      <c r="J298">
        <f>IF($U298="","",INDEX('Per Line'!$R$2:$R$1001,$U298)&amp;"")</f>
        <v/>
      </c>
      <c r="K298">
        <f>IF($U298="","",Settings!$C$7)</f>
        <v/>
      </c>
      <c r="L298" s="7">
        <f>IF($U298="","",SUMIFS('Per Line'!$N$2:$N$1001,'Per Line'!$A$2:$A$1001,$A298,'Per Line'!$W$2:$W$1001,0))</f>
        <v/>
      </c>
      <c r="M298" s="7">
        <f>IF($U298="","",L298*K298)</f>
        <v/>
      </c>
      <c r="N298">
        <f>IF($U298="","",Settings!$C$6)</f>
        <v/>
      </c>
      <c r="O298" s="7">
        <f>IF($U298="","",SUMIFS('Per Line'!$N$2:$N$1001,'Per Line'!$A$2:$A$1001,$A298,'Per Line'!$W$2:$W$1001,1))</f>
        <v/>
      </c>
      <c r="P298" s="7">
        <f>IF($U298="","",O298*N298)</f>
        <v/>
      </c>
      <c r="Q298" s="7">
        <f>IF($U298="","",P298+M298)</f>
        <v/>
      </c>
      <c r="R298" s="7">
        <f>IF($U298="","",S298-Q298)</f>
        <v/>
      </c>
      <c r="S298" s="7">
        <f>IF($U298="","",L298+O298)</f>
        <v/>
      </c>
      <c r="T298" s="7">
        <f>IF($U298="","",S298-Q298-G298)</f>
        <v/>
      </c>
      <c r="U298" s="13">
        <f>IF(ROWS($U$2:$U298)&lt;=MAX('Per Line'!$V$2:$V$1001),MATCH(ROWS($U$2:$U298),'Per Line'!$V$2:$V$1001,0),"")</f>
        <v/>
      </c>
    </row>
    <row r="299">
      <c r="A299">
        <f>IF($U299="","",INDEX('Per Line'!$A$2:$A$1001,$U299)&amp;"")</f>
        <v/>
      </c>
      <c r="B299" s="12" t="n"/>
      <c r="C299">
        <f>IF($U299="","",INDEX('Per Line'!$B$2:$B$1001,$U299)&amp;"")</f>
        <v/>
      </c>
      <c r="D299">
        <f>IF($U299="","",INDEX('Per Line'!$C$2:$C$1001,$U299)&amp;"")</f>
        <v/>
      </c>
      <c r="E299">
        <f>IF($U299="","",INDEX('Per Line'!$D$2:$D$1001,$U299)&amp;"")</f>
        <v/>
      </c>
      <c r="F299">
        <f>IF($U299="","",INDEX('Per Line'!$E$2:$E$1001,$U299))</f>
        <v/>
      </c>
      <c r="G299" s="7">
        <f>IF($U299="","",F299*S299/100)</f>
        <v/>
      </c>
      <c r="H299">
        <f>IF($U299="","",INDEX('Per Line'!$O$2:$O$1001,$U299)&amp;"")</f>
        <v/>
      </c>
      <c r="I299" s="11">
        <f>IF($U299="","",INDEX('Per Line'!$Q$2:$Q$1001,$U299))</f>
        <v/>
      </c>
      <c r="J299">
        <f>IF($U299="","",INDEX('Per Line'!$R$2:$R$1001,$U299)&amp;"")</f>
        <v/>
      </c>
      <c r="K299">
        <f>IF($U299="","",Settings!$C$7)</f>
        <v/>
      </c>
      <c r="L299" s="7">
        <f>IF($U299="","",SUMIFS('Per Line'!$N$2:$N$1001,'Per Line'!$A$2:$A$1001,$A299,'Per Line'!$W$2:$W$1001,0))</f>
        <v/>
      </c>
      <c r="M299" s="7">
        <f>IF($U299="","",L299*K299)</f>
        <v/>
      </c>
      <c r="N299">
        <f>IF($U299="","",Settings!$C$6)</f>
        <v/>
      </c>
      <c r="O299" s="7">
        <f>IF($U299="","",SUMIFS('Per Line'!$N$2:$N$1001,'Per Line'!$A$2:$A$1001,$A299,'Per Line'!$W$2:$W$1001,1))</f>
        <v/>
      </c>
      <c r="P299" s="7">
        <f>IF($U299="","",O299*N299)</f>
        <v/>
      </c>
      <c r="Q299" s="7">
        <f>IF($U299="","",P299+M299)</f>
        <v/>
      </c>
      <c r="R299" s="7">
        <f>IF($U299="","",S299-Q299)</f>
        <v/>
      </c>
      <c r="S299" s="7">
        <f>IF($U299="","",L299+O299)</f>
        <v/>
      </c>
      <c r="T299" s="7">
        <f>IF($U299="","",S299-Q299-G299)</f>
        <v/>
      </c>
      <c r="U299" s="13">
        <f>IF(ROWS($U$2:$U299)&lt;=MAX('Per Line'!$V$2:$V$1001),MATCH(ROWS($U$2:$U299),'Per Line'!$V$2:$V$1001,0),"")</f>
        <v/>
      </c>
    </row>
    <row r="300">
      <c r="A300">
        <f>IF($U300="","",INDEX('Per Line'!$A$2:$A$1001,$U300)&amp;"")</f>
        <v/>
      </c>
      <c r="B300" s="12" t="n"/>
      <c r="C300">
        <f>IF($U300="","",INDEX('Per Line'!$B$2:$B$1001,$U300)&amp;"")</f>
        <v/>
      </c>
      <c r="D300">
        <f>IF($U300="","",INDEX('Per Line'!$C$2:$C$1001,$U300)&amp;"")</f>
        <v/>
      </c>
      <c r="E300">
        <f>IF($U300="","",INDEX('Per Line'!$D$2:$D$1001,$U300)&amp;"")</f>
        <v/>
      </c>
      <c r="F300">
        <f>IF($U300="","",INDEX('Per Line'!$E$2:$E$1001,$U300))</f>
        <v/>
      </c>
      <c r="G300" s="7">
        <f>IF($U300="","",F300*S300/100)</f>
        <v/>
      </c>
      <c r="H300">
        <f>IF($U300="","",INDEX('Per Line'!$O$2:$O$1001,$U300)&amp;"")</f>
        <v/>
      </c>
      <c r="I300" s="11">
        <f>IF($U300="","",INDEX('Per Line'!$Q$2:$Q$1001,$U300))</f>
        <v/>
      </c>
      <c r="J300">
        <f>IF($U300="","",INDEX('Per Line'!$R$2:$R$1001,$U300)&amp;"")</f>
        <v/>
      </c>
      <c r="K300">
        <f>IF($U300="","",Settings!$C$7)</f>
        <v/>
      </c>
      <c r="L300" s="7">
        <f>IF($U300="","",SUMIFS('Per Line'!$N$2:$N$1001,'Per Line'!$A$2:$A$1001,$A300,'Per Line'!$W$2:$W$1001,0))</f>
        <v/>
      </c>
      <c r="M300" s="7">
        <f>IF($U300="","",L300*K300)</f>
        <v/>
      </c>
      <c r="N300">
        <f>IF($U300="","",Settings!$C$6)</f>
        <v/>
      </c>
      <c r="O300" s="7">
        <f>IF($U300="","",SUMIFS('Per Line'!$N$2:$N$1001,'Per Line'!$A$2:$A$1001,$A300,'Per Line'!$W$2:$W$1001,1))</f>
        <v/>
      </c>
      <c r="P300" s="7">
        <f>IF($U300="","",O300*N300)</f>
        <v/>
      </c>
      <c r="Q300" s="7">
        <f>IF($U300="","",P300+M300)</f>
        <v/>
      </c>
      <c r="R300" s="7">
        <f>IF($U300="","",S300-Q300)</f>
        <v/>
      </c>
      <c r="S300" s="7">
        <f>IF($U300="","",L300+O300)</f>
        <v/>
      </c>
      <c r="T300" s="7">
        <f>IF($U300="","",S300-Q300-G300)</f>
        <v/>
      </c>
      <c r="U300" s="13">
        <f>IF(ROWS($U$2:$U300)&lt;=MAX('Per Line'!$V$2:$V$1001),MATCH(ROWS($U$2:$U300),'Per Line'!$V$2:$V$1001,0),"")</f>
        <v/>
      </c>
    </row>
    <row r="301">
      <c r="A301">
        <f>IF($U301="","",INDEX('Per Line'!$A$2:$A$1001,$U301)&amp;"")</f>
        <v/>
      </c>
      <c r="B301" s="12" t="n"/>
      <c r="C301">
        <f>IF($U301="","",INDEX('Per Line'!$B$2:$B$1001,$U301)&amp;"")</f>
        <v/>
      </c>
      <c r="D301">
        <f>IF($U301="","",INDEX('Per Line'!$C$2:$C$1001,$U301)&amp;"")</f>
        <v/>
      </c>
      <c r="E301">
        <f>IF($U301="","",INDEX('Per Line'!$D$2:$D$1001,$U301)&amp;"")</f>
        <v/>
      </c>
      <c r="F301">
        <f>IF($U301="","",INDEX('Per Line'!$E$2:$E$1001,$U301))</f>
        <v/>
      </c>
      <c r="G301" s="7">
        <f>IF($U301="","",F301*S301/100)</f>
        <v/>
      </c>
      <c r="H301">
        <f>IF($U301="","",INDEX('Per Line'!$O$2:$O$1001,$U301)&amp;"")</f>
        <v/>
      </c>
      <c r="I301" s="11">
        <f>IF($U301="","",INDEX('Per Line'!$Q$2:$Q$1001,$U301))</f>
        <v/>
      </c>
      <c r="J301">
        <f>IF($U301="","",INDEX('Per Line'!$R$2:$R$1001,$U301)&amp;"")</f>
        <v/>
      </c>
      <c r="K301">
        <f>IF($U301="","",Settings!$C$7)</f>
        <v/>
      </c>
      <c r="L301" s="7">
        <f>IF($U301="","",SUMIFS('Per Line'!$N$2:$N$1001,'Per Line'!$A$2:$A$1001,$A301,'Per Line'!$W$2:$W$1001,0))</f>
        <v/>
      </c>
      <c r="M301" s="7">
        <f>IF($U301="","",L301*K301)</f>
        <v/>
      </c>
      <c r="N301">
        <f>IF($U301="","",Settings!$C$6)</f>
        <v/>
      </c>
      <c r="O301" s="7">
        <f>IF($U301="","",SUMIFS('Per Line'!$N$2:$N$1001,'Per Line'!$A$2:$A$1001,$A301,'Per Line'!$W$2:$W$1001,1))</f>
        <v/>
      </c>
      <c r="P301" s="7">
        <f>IF($U301="","",O301*N301)</f>
        <v/>
      </c>
      <c r="Q301" s="7">
        <f>IF($U301="","",P301+M301)</f>
        <v/>
      </c>
      <c r="R301" s="7">
        <f>IF($U301="","",S301-Q301)</f>
        <v/>
      </c>
      <c r="S301" s="7">
        <f>IF($U301="","",L301+O301)</f>
        <v/>
      </c>
      <c r="T301" s="7">
        <f>IF($U301="","",S301-Q301-G301)</f>
        <v/>
      </c>
      <c r="U301" s="13">
        <f>IF(ROWS($U$2:$U301)&lt;=MAX('Per Line'!$V$2:$V$1001),MATCH(ROWS($U$2:$U301),'Per Line'!$V$2:$V$1001,0),"")</f>
        <v/>
      </c>
    </row>
  </sheetData>
  <autoFilter ref="A1:U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2026-10-20T11:35:21Z</dcterms:created>
  <dcterms:modified xmlns:dcterms="http://purl.org/dc/terms/" xmlns:xsi="http://www.w3.org/2001/XMLSchema-instance" xsi:type="dcterms:W3CDTF">2026-10-20T11:35:21Z</dcterms:modified>
</cp:coreProperties>
</file>