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Line'!$A$1:$AO$1601</definedName>
    <definedName name="_xlnm._FilterDatabase" localSheetId="3" hidden="1">'Per Invoice'!$A$1:$AH$401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AXA SERVICES EGYPT - OFFLINE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O-V, Z-AA, AC-AJ (same order as the system export).</t>
        </is>
      </c>
    </row>
    <row r="6">
      <c r="A6" s="3" t="inlineStr">
        <is>
          <t>3. Green columns (N, W, X, Y,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Subtotal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(7%). Lines with 'Special Rebates?' = Yes get 5%.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1,600 lines and 400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AXA SERVICES EGYPT - OFFLINE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Tuboscope; Lake View; Masters Travel Service - AXA; SKY; Partner PEO; Rotana Audio; Hesco Engineering; ACC ...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AXA sheets (Rebates = 14 on Local lines).</t>
        </is>
      </c>
    </row>
    <row r="7">
      <c r="B7" t="inlineStr">
        <is>
          <t>Imported (IMP) products rebate %</t>
        </is>
      </c>
      <c r="C7" s="5" t="n">
        <v>0.07000000000000001</v>
      </c>
      <c r="D7" t="inlineStr">
        <is>
          <t>Source: AXA sheets (Rebates = 7 on non-local lines).</t>
        </is>
      </c>
    </row>
    <row r="8">
      <c r="B8" t="inlineStr">
        <is>
          <t>Special rebate % (Special Rebates? = Yes)</t>
        </is>
      </c>
      <c r="C8" s="5" t="n">
        <v>0.05</v>
      </c>
      <c r="D8" t="inlineStr">
        <is>
          <t>Lines flagged Special Rebates? = Yes get this rate (local or imported).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Line'!$D$2:$D$1601)</f>
        <v/>
      </c>
    </row>
    <row r="11">
      <c r="B11" t="inlineStr">
        <is>
          <t>Invoices (unique Order #)</t>
        </is>
      </c>
      <c r="C11">
        <f>MAX('Per Line'!$AL$2:$AL$1601)</f>
        <v/>
      </c>
    </row>
    <row r="12">
      <c r="B12" t="inlineStr">
        <is>
          <t>Invoices shown in Per Invoice</t>
        </is>
      </c>
      <c r="C12">
        <f>SUMPRODUCT(--('Per Invoice'!$B$2:$B$401&lt;&gt;""))</f>
        <v/>
      </c>
    </row>
    <row r="13">
      <c r="B13" t="inlineStr">
        <is>
          <t>Grand Total - Per Line (Product Total)</t>
        </is>
      </c>
      <c r="C13" s="7">
        <f>SUM('Per Line'!$V$2:$V$1601)</f>
        <v/>
      </c>
    </row>
    <row r="14">
      <c r="B14" t="inlineStr">
        <is>
          <t>Grand Total - Per Invoice</t>
        </is>
      </c>
      <c r="C14" s="7">
        <f>SUM('Per Invoice'!$AF$2:$AF$401)</f>
        <v/>
      </c>
    </row>
    <row r="15">
      <c r="B15" t="inlineStr">
        <is>
          <t>Discount - Per Line</t>
        </is>
      </c>
      <c r="C15" s="7">
        <f>SUM('Per Line'!$W$2:$W$1601)</f>
        <v/>
      </c>
    </row>
    <row r="16">
      <c r="B16" t="inlineStr">
        <is>
          <t>Discount - Per Invoice</t>
        </is>
      </c>
      <c r="C16" s="7">
        <f>SUM('Per Invoice'!$AD$2:$AD$401)</f>
        <v/>
      </c>
    </row>
    <row r="17">
      <c r="B17" t="inlineStr">
        <is>
          <t>Co val - Per Line</t>
        </is>
      </c>
      <c r="C17" s="7">
        <f>SUM('Per Line'!$N$2:$N$1601)</f>
        <v/>
      </c>
    </row>
    <row r="18">
      <c r="B18" t="inlineStr">
        <is>
          <t>Co val - Per Invoice</t>
        </is>
      </c>
      <c r="C18" s="7">
        <f>SUM('Per Invoice'!$N$2:$N$401)</f>
        <v/>
      </c>
    </row>
    <row r="19">
      <c r="B19" t="inlineStr">
        <is>
          <t>Net - Per Line</t>
        </is>
      </c>
      <c r="C19" s="7">
        <f>SUM('Per Line'!$Y$2:$Y$1601)</f>
        <v/>
      </c>
    </row>
    <row r="20">
      <c r="B20" t="inlineStr">
        <is>
          <t>Net - Per Invoice</t>
        </is>
      </c>
      <c r="C20" s="7">
        <f>SUM('Per Invoice'!$AG$2:$AG$401)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Line'!$D:$D)-1&gt;1600,"TOO MANY LINES - extend template",IF(C11&gt;400,"TOO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36" customWidth="1" min="26" max="26"/>
    <col width="12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Batch ID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By Patient</t>
        </is>
      </c>
      <c r="P1" s="8" t="inlineStr">
        <is>
          <t>heisenberg id</t>
        </is>
      </c>
      <c r="Q1" s="8" t="inlineStr">
        <is>
          <t>Product Name</t>
        </is>
      </c>
      <c r="R1" s="8" t="inlineStr">
        <is>
          <t>Local</t>
        </is>
      </c>
      <c r="S1" s="8" t="inlineStr">
        <is>
          <t>Unit</t>
        </is>
      </c>
      <c r="T1" s="8" t="inlineStr">
        <is>
          <t>Quantity</t>
        </is>
      </c>
      <c r="U1" s="8" t="inlineStr">
        <is>
          <t>Unit Price</t>
        </is>
      </c>
      <c r="V1" s="8" t="inlineStr">
        <is>
          <t>Product Total</t>
        </is>
      </c>
      <c r="W1" s="9" t="inlineStr">
        <is>
          <t>Discount</t>
        </is>
      </c>
      <c r="X1" s="9" t="inlineStr">
        <is>
          <t>Subtotal</t>
        </is>
      </c>
      <c r="Y1" s="9" t="inlineStr">
        <is>
          <t>Net</t>
        </is>
      </c>
      <c r="Z1" s="8" t="inlineStr">
        <is>
          <t>ERX ID</t>
        </is>
      </c>
      <c r="AA1" s="8" t="inlineStr">
        <is>
          <t>Special Rebates?</t>
        </is>
      </c>
      <c r="AB1" s="9" t="inlineStr">
        <is>
          <t>Rebates</t>
        </is>
      </c>
      <c r="AC1" s="8" t="inlineStr">
        <is>
          <t>Approval Type</t>
        </is>
      </c>
      <c r="AD1" s="8" t="inlineStr">
        <is>
          <t>Max Limit</t>
        </is>
      </c>
      <c r="AE1" s="8" t="inlineStr">
        <is>
          <t>Exceeding Limit</t>
        </is>
      </c>
      <c r="AF1" s="8" t="inlineStr">
        <is>
          <t>Amount collected from customer</t>
        </is>
      </c>
      <c r="AG1" s="8" t="inlineStr">
        <is>
          <t>By Patient (Delivered)</t>
        </is>
      </c>
      <c r="AH1" s="8" t="inlineStr">
        <is>
          <t>Dispense Number</t>
        </is>
      </c>
      <c r="AI1" s="8" t="inlineStr">
        <is>
          <t>Dispense Date</t>
        </is>
      </c>
      <c r="AJ1" s="8" t="inlineStr">
        <is>
          <t>Has OTP?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IF($D2="","",M2*X2/100)</f>
        <v/>
      </c>
      <c r="O2" s="7" t="n"/>
      <c r="U2" s="7" t="n"/>
      <c r="V2" s="7" t="n"/>
      <c r="W2" s="7">
        <f>IF($D2="","",V2*AB2/100)</f>
        <v/>
      </c>
      <c r="X2" s="7">
        <f>IF($D2="","",V2-W2)</f>
        <v/>
      </c>
      <c r="Y2" s="7">
        <f>IF($D2="","",X2-N2)</f>
        <v/>
      </c>
      <c r="AB2">
        <f>IF($D2="","",IF($AN2=1,Settings!$C$8,IF($AM2=1,Settings!$C$6,Settings!$C$7))*100)</f>
        <v/>
      </c>
      <c r="AF2" s="7" t="n"/>
      <c r="AI2" s="11" t="n"/>
      <c r="AK2">
        <f>IF($D2="","",IF(COUNTIF($D$2:$D2,$D2)=1,1,0))</f>
        <v/>
      </c>
      <c r="AL2">
        <f>IF($AK2=1,SUMPRODUCT(--($AO$2:$AO$1601&lt;$AO2))+1,"")</f>
        <v/>
      </c>
      <c r="AM2">
        <f>IF($D2="","",IF(OR($R2=TRUE(),$R2="TRUE"),1,0))</f>
        <v/>
      </c>
      <c r="AN2">
        <f>IF($D2="","",IF($AA2="Yes",1,0))</f>
        <v/>
      </c>
      <c r="AO2">
        <f>IF($AK2=1,IFERROR(IF(VALUE($D2)&lt;100000000,VALUE($D2),1000000000),IFERROR(IF(VALUE(MID($D2,2,20))&lt;100000000,VALUE(MID($D2,2,20)),1000000000),1000000000))+ROW()/100000,"")</f>
        <v/>
      </c>
    </row>
    <row r="3">
      <c r="F3" s="11" t="n"/>
      <c r="N3" s="7">
        <f>IF($D3="","",M3*X3/100)</f>
        <v/>
      </c>
      <c r="O3" s="7" t="n"/>
      <c r="U3" s="7" t="n"/>
      <c r="V3" s="7" t="n"/>
      <c r="W3" s="7">
        <f>IF($D3="","",V3*AB3/100)</f>
        <v/>
      </c>
      <c r="X3" s="7">
        <f>IF($D3="","",V3-W3)</f>
        <v/>
      </c>
      <c r="Y3" s="7">
        <f>IF($D3="","",X3-N3)</f>
        <v/>
      </c>
      <c r="AB3">
        <f>IF($D3="","",IF($AN3=1,Settings!$C$8,IF($AM3=1,Settings!$C$6,Settings!$C$7))*100)</f>
        <v/>
      </c>
      <c r="AF3" s="7" t="n"/>
      <c r="AI3" s="11" t="n"/>
      <c r="AK3">
        <f>IF($D3="","",IF(COUNTIF($D$2:$D3,$D3)=1,1,0))</f>
        <v/>
      </c>
      <c r="AL3">
        <f>IF($AK3=1,SUMPRODUCT(--($AO$2:$AO$1601&lt;$AO3))+1,"")</f>
        <v/>
      </c>
      <c r="AM3">
        <f>IF($D3="","",IF(OR($R3=TRUE(),$R3="TRUE"),1,0))</f>
        <v/>
      </c>
      <c r="AN3">
        <f>IF($D3="","",IF($AA3="Yes",1,0))</f>
        <v/>
      </c>
      <c r="AO3">
        <f>IF($AK3=1,IFERROR(IF(VALUE($D3)&lt;100000000,VALUE($D3),1000000000),IFERROR(IF(VALUE(MID($D3,2,20))&lt;100000000,VALUE(MID($D3,2,20)),1000000000),1000000000))+ROW()/100000,"")</f>
        <v/>
      </c>
    </row>
    <row r="4">
      <c r="F4" s="11" t="n"/>
      <c r="N4" s="7">
        <f>IF($D4="","",M4*X4/100)</f>
        <v/>
      </c>
      <c r="O4" s="7" t="n"/>
      <c r="U4" s="7" t="n"/>
      <c r="V4" s="7" t="n"/>
      <c r="W4" s="7">
        <f>IF($D4="","",V4*AB4/100)</f>
        <v/>
      </c>
      <c r="X4" s="7">
        <f>IF($D4="","",V4-W4)</f>
        <v/>
      </c>
      <c r="Y4" s="7">
        <f>IF($D4="","",X4-N4)</f>
        <v/>
      </c>
      <c r="AB4">
        <f>IF($D4="","",IF($AN4=1,Settings!$C$8,IF($AM4=1,Settings!$C$6,Settings!$C$7))*100)</f>
        <v/>
      </c>
      <c r="AF4" s="7" t="n"/>
      <c r="AI4" s="11" t="n"/>
      <c r="AK4">
        <f>IF($D4="","",IF(COUNTIF($D$2:$D4,$D4)=1,1,0))</f>
        <v/>
      </c>
      <c r="AL4">
        <f>IF($AK4=1,SUMPRODUCT(--($AO$2:$AO$1601&lt;$AO4))+1,"")</f>
        <v/>
      </c>
      <c r="AM4">
        <f>IF($D4="","",IF(OR($R4=TRUE(),$R4="TRUE"),1,0))</f>
        <v/>
      </c>
      <c r="AN4">
        <f>IF($D4="","",IF($AA4="Yes",1,0))</f>
        <v/>
      </c>
      <c r="AO4">
        <f>IF($AK4=1,IFERROR(IF(VALUE($D4)&lt;100000000,VALUE($D4),1000000000),IFERROR(IF(VALUE(MID($D4,2,20))&lt;100000000,VALUE(MID($D4,2,20)),1000000000),1000000000))+ROW()/100000,"")</f>
        <v/>
      </c>
    </row>
    <row r="5">
      <c r="F5" s="11" t="n"/>
      <c r="N5" s="7">
        <f>IF($D5="","",M5*X5/100)</f>
        <v/>
      </c>
      <c r="O5" s="7" t="n"/>
      <c r="U5" s="7" t="n"/>
      <c r="V5" s="7" t="n"/>
      <c r="W5" s="7">
        <f>IF($D5="","",V5*AB5/100)</f>
        <v/>
      </c>
      <c r="X5" s="7">
        <f>IF($D5="","",V5-W5)</f>
        <v/>
      </c>
      <c r="Y5" s="7">
        <f>IF($D5="","",X5-N5)</f>
        <v/>
      </c>
      <c r="AB5">
        <f>IF($D5="","",IF($AN5=1,Settings!$C$8,IF($AM5=1,Settings!$C$6,Settings!$C$7))*100)</f>
        <v/>
      </c>
      <c r="AF5" s="7" t="n"/>
      <c r="AI5" s="11" t="n"/>
      <c r="AK5">
        <f>IF($D5="","",IF(COUNTIF($D$2:$D5,$D5)=1,1,0))</f>
        <v/>
      </c>
      <c r="AL5">
        <f>IF($AK5=1,SUMPRODUCT(--($AO$2:$AO$1601&lt;$AO5))+1,"")</f>
        <v/>
      </c>
      <c r="AM5">
        <f>IF($D5="","",IF(OR($R5=TRUE(),$R5="TRUE"),1,0))</f>
        <v/>
      </c>
      <c r="AN5">
        <f>IF($D5="","",IF($AA5="Yes",1,0))</f>
        <v/>
      </c>
      <c r="AO5">
        <f>IF($AK5=1,IFERROR(IF(VALUE($D5)&lt;100000000,VALUE($D5),1000000000),IFERROR(IF(VALUE(MID($D5,2,20))&lt;100000000,VALUE(MID($D5,2,20)),1000000000),1000000000))+ROW()/100000,"")</f>
        <v/>
      </c>
    </row>
    <row r="6">
      <c r="F6" s="11" t="n"/>
      <c r="N6" s="7">
        <f>IF($D6="","",M6*X6/100)</f>
        <v/>
      </c>
      <c r="O6" s="7" t="n"/>
      <c r="U6" s="7" t="n"/>
      <c r="V6" s="7" t="n"/>
      <c r="W6" s="7">
        <f>IF($D6="","",V6*AB6/100)</f>
        <v/>
      </c>
      <c r="X6" s="7">
        <f>IF($D6="","",V6-W6)</f>
        <v/>
      </c>
      <c r="Y6" s="7">
        <f>IF($D6="","",X6-N6)</f>
        <v/>
      </c>
      <c r="AB6">
        <f>IF($D6="","",IF($AN6=1,Settings!$C$8,IF($AM6=1,Settings!$C$6,Settings!$C$7))*100)</f>
        <v/>
      </c>
      <c r="AF6" s="7" t="n"/>
      <c r="AI6" s="11" t="n"/>
      <c r="AK6">
        <f>IF($D6="","",IF(COUNTIF($D$2:$D6,$D6)=1,1,0))</f>
        <v/>
      </c>
      <c r="AL6">
        <f>IF($AK6=1,SUMPRODUCT(--($AO$2:$AO$1601&lt;$AO6))+1,"")</f>
        <v/>
      </c>
      <c r="AM6">
        <f>IF($D6="","",IF(OR($R6=TRUE(),$R6="TRUE"),1,0))</f>
        <v/>
      </c>
      <c r="AN6">
        <f>IF($D6="","",IF($AA6="Yes",1,0))</f>
        <v/>
      </c>
      <c r="AO6">
        <f>IF($AK6=1,IFERROR(IF(VALUE($D6)&lt;100000000,VALUE($D6),1000000000),IFERROR(IF(VALUE(MID($D6,2,20))&lt;100000000,VALUE(MID($D6,2,20)),1000000000),1000000000))+ROW()/100000,"")</f>
        <v/>
      </c>
    </row>
    <row r="7">
      <c r="F7" s="11" t="n"/>
      <c r="N7" s="7">
        <f>IF($D7="","",M7*X7/100)</f>
        <v/>
      </c>
      <c r="O7" s="7" t="n"/>
      <c r="U7" s="7" t="n"/>
      <c r="V7" s="7" t="n"/>
      <c r="W7" s="7">
        <f>IF($D7="","",V7*AB7/100)</f>
        <v/>
      </c>
      <c r="X7" s="7">
        <f>IF($D7="","",V7-W7)</f>
        <v/>
      </c>
      <c r="Y7" s="7">
        <f>IF($D7="","",X7-N7)</f>
        <v/>
      </c>
      <c r="AB7">
        <f>IF($D7="","",IF($AN7=1,Settings!$C$8,IF($AM7=1,Settings!$C$6,Settings!$C$7))*100)</f>
        <v/>
      </c>
      <c r="AF7" s="7" t="n"/>
      <c r="AI7" s="11" t="n"/>
      <c r="AK7">
        <f>IF($D7="","",IF(COUNTIF($D$2:$D7,$D7)=1,1,0))</f>
        <v/>
      </c>
      <c r="AL7">
        <f>IF($AK7=1,SUMPRODUCT(--($AO$2:$AO$1601&lt;$AO7))+1,"")</f>
        <v/>
      </c>
      <c r="AM7">
        <f>IF($D7="","",IF(OR($R7=TRUE(),$R7="TRUE"),1,0))</f>
        <v/>
      </c>
      <c r="AN7">
        <f>IF($D7="","",IF($AA7="Yes",1,0))</f>
        <v/>
      </c>
      <c r="AO7">
        <f>IF($AK7=1,IFERROR(IF(VALUE($D7)&lt;100000000,VALUE($D7),1000000000),IFERROR(IF(VALUE(MID($D7,2,20))&lt;100000000,VALUE(MID($D7,2,20)),1000000000),1000000000))+ROW()/100000,"")</f>
        <v/>
      </c>
    </row>
    <row r="8">
      <c r="F8" s="11" t="n"/>
      <c r="N8" s="7">
        <f>IF($D8="","",M8*X8/100)</f>
        <v/>
      </c>
      <c r="O8" s="7" t="n"/>
      <c r="U8" s="7" t="n"/>
      <c r="V8" s="7" t="n"/>
      <c r="W8" s="7">
        <f>IF($D8="","",V8*AB8/100)</f>
        <v/>
      </c>
      <c r="X8" s="7">
        <f>IF($D8="","",V8-W8)</f>
        <v/>
      </c>
      <c r="Y8" s="7">
        <f>IF($D8="","",X8-N8)</f>
        <v/>
      </c>
      <c r="AB8">
        <f>IF($D8="","",IF($AN8=1,Settings!$C$8,IF($AM8=1,Settings!$C$6,Settings!$C$7))*100)</f>
        <v/>
      </c>
      <c r="AF8" s="7" t="n"/>
      <c r="AI8" s="11" t="n"/>
      <c r="AK8">
        <f>IF($D8="","",IF(COUNTIF($D$2:$D8,$D8)=1,1,0))</f>
        <v/>
      </c>
      <c r="AL8">
        <f>IF($AK8=1,SUMPRODUCT(--($AO$2:$AO$1601&lt;$AO8))+1,"")</f>
        <v/>
      </c>
      <c r="AM8">
        <f>IF($D8="","",IF(OR($R8=TRUE(),$R8="TRUE"),1,0))</f>
        <v/>
      </c>
      <c r="AN8">
        <f>IF($D8="","",IF($AA8="Yes",1,0))</f>
        <v/>
      </c>
      <c r="AO8">
        <f>IF($AK8=1,IFERROR(IF(VALUE($D8)&lt;100000000,VALUE($D8),1000000000),IFERROR(IF(VALUE(MID($D8,2,20))&lt;100000000,VALUE(MID($D8,2,20)),1000000000),1000000000))+ROW()/100000,"")</f>
        <v/>
      </c>
    </row>
    <row r="9">
      <c r="F9" s="11" t="n"/>
      <c r="N9" s="7">
        <f>IF($D9="","",M9*X9/100)</f>
        <v/>
      </c>
      <c r="O9" s="7" t="n"/>
      <c r="U9" s="7" t="n"/>
      <c r="V9" s="7" t="n"/>
      <c r="W9" s="7">
        <f>IF($D9="","",V9*AB9/100)</f>
        <v/>
      </c>
      <c r="X9" s="7">
        <f>IF($D9="","",V9-W9)</f>
        <v/>
      </c>
      <c r="Y9" s="7">
        <f>IF($D9="","",X9-N9)</f>
        <v/>
      </c>
      <c r="AB9">
        <f>IF($D9="","",IF($AN9=1,Settings!$C$8,IF($AM9=1,Settings!$C$6,Settings!$C$7))*100)</f>
        <v/>
      </c>
      <c r="AF9" s="7" t="n"/>
      <c r="AI9" s="11" t="n"/>
      <c r="AK9">
        <f>IF($D9="","",IF(COUNTIF($D$2:$D9,$D9)=1,1,0))</f>
        <v/>
      </c>
      <c r="AL9">
        <f>IF($AK9=1,SUMPRODUCT(--($AO$2:$AO$1601&lt;$AO9))+1,"")</f>
        <v/>
      </c>
      <c r="AM9">
        <f>IF($D9="","",IF(OR($R9=TRUE(),$R9="TRUE"),1,0))</f>
        <v/>
      </c>
      <c r="AN9">
        <f>IF($D9="","",IF($AA9="Yes",1,0))</f>
        <v/>
      </c>
      <c r="AO9">
        <f>IF($AK9=1,IFERROR(IF(VALUE($D9)&lt;100000000,VALUE($D9),1000000000),IFERROR(IF(VALUE(MID($D9,2,20))&lt;100000000,VALUE(MID($D9,2,20)),1000000000),1000000000))+ROW()/100000,"")</f>
        <v/>
      </c>
    </row>
    <row r="10">
      <c r="F10" s="11" t="n"/>
      <c r="N10" s="7">
        <f>IF($D10="","",M10*X10/100)</f>
        <v/>
      </c>
      <c r="O10" s="7" t="n"/>
      <c r="U10" s="7" t="n"/>
      <c r="V10" s="7" t="n"/>
      <c r="W10" s="7">
        <f>IF($D10="","",V10*AB10/100)</f>
        <v/>
      </c>
      <c r="X10" s="7">
        <f>IF($D10="","",V10-W10)</f>
        <v/>
      </c>
      <c r="Y10" s="7">
        <f>IF($D10="","",X10-N10)</f>
        <v/>
      </c>
      <c r="AB10">
        <f>IF($D10="","",IF($AN10=1,Settings!$C$8,IF($AM10=1,Settings!$C$6,Settings!$C$7))*100)</f>
        <v/>
      </c>
      <c r="AF10" s="7" t="n"/>
      <c r="AI10" s="11" t="n"/>
      <c r="AK10">
        <f>IF($D10="","",IF(COUNTIF($D$2:$D10,$D10)=1,1,0))</f>
        <v/>
      </c>
      <c r="AL10">
        <f>IF($AK10=1,SUMPRODUCT(--($AO$2:$AO$1601&lt;$AO10))+1,"")</f>
        <v/>
      </c>
      <c r="AM10">
        <f>IF($D10="","",IF(OR($R10=TRUE(),$R10="TRUE"),1,0))</f>
        <v/>
      </c>
      <c r="AN10">
        <f>IF($D10="","",IF($AA10="Yes",1,0))</f>
        <v/>
      </c>
      <c r="AO10">
        <f>IF($AK10=1,IFERROR(IF(VALUE($D10)&lt;100000000,VALUE($D10),1000000000),IFERROR(IF(VALUE(MID($D10,2,20))&lt;100000000,VALUE(MID($D10,2,20)),1000000000),1000000000))+ROW()/100000,"")</f>
        <v/>
      </c>
    </row>
    <row r="11">
      <c r="F11" s="11" t="n"/>
      <c r="N11" s="7">
        <f>IF($D11="","",M11*X11/100)</f>
        <v/>
      </c>
      <c r="O11" s="7" t="n"/>
      <c r="U11" s="7" t="n"/>
      <c r="V11" s="7" t="n"/>
      <c r="W11" s="7">
        <f>IF($D11="","",V11*AB11/100)</f>
        <v/>
      </c>
      <c r="X11" s="7">
        <f>IF($D11="","",V11-W11)</f>
        <v/>
      </c>
      <c r="Y11" s="7">
        <f>IF($D11="","",X11-N11)</f>
        <v/>
      </c>
      <c r="AB11">
        <f>IF($D11="","",IF($AN11=1,Settings!$C$8,IF($AM11=1,Settings!$C$6,Settings!$C$7))*100)</f>
        <v/>
      </c>
      <c r="AF11" s="7" t="n"/>
      <c r="AI11" s="11" t="n"/>
      <c r="AK11">
        <f>IF($D11="","",IF(COUNTIF($D$2:$D11,$D11)=1,1,0))</f>
        <v/>
      </c>
      <c r="AL11">
        <f>IF($AK11=1,SUMPRODUCT(--($AO$2:$AO$1601&lt;$AO11))+1,"")</f>
        <v/>
      </c>
      <c r="AM11">
        <f>IF($D11="","",IF(OR($R11=TRUE(),$R11="TRUE"),1,0))</f>
        <v/>
      </c>
      <c r="AN11">
        <f>IF($D11="","",IF($AA11="Yes",1,0))</f>
        <v/>
      </c>
      <c r="AO11">
        <f>IF($AK11=1,IFERROR(IF(VALUE($D11)&lt;100000000,VALUE($D11),1000000000),IFERROR(IF(VALUE(MID($D11,2,20))&lt;100000000,VALUE(MID($D11,2,20)),1000000000),1000000000))+ROW()/100000,"")</f>
        <v/>
      </c>
    </row>
    <row r="12">
      <c r="F12" s="11" t="n"/>
      <c r="N12" s="7">
        <f>IF($D12="","",M12*X12/100)</f>
        <v/>
      </c>
      <c r="O12" s="7" t="n"/>
      <c r="U12" s="7" t="n"/>
      <c r="V12" s="7" t="n"/>
      <c r="W12" s="7">
        <f>IF($D12="","",V12*AB12/100)</f>
        <v/>
      </c>
      <c r="X12" s="7">
        <f>IF($D12="","",V12-W12)</f>
        <v/>
      </c>
      <c r="Y12" s="7">
        <f>IF($D12="","",X12-N12)</f>
        <v/>
      </c>
      <c r="AB12">
        <f>IF($D12="","",IF($AN12=1,Settings!$C$8,IF($AM12=1,Settings!$C$6,Settings!$C$7))*100)</f>
        <v/>
      </c>
      <c r="AF12" s="7" t="n"/>
      <c r="AI12" s="11" t="n"/>
      <c r="AK12">
        <f>IF($D12="","",IF(COUNTIF($D$2:$D12,$D12)=1,1,0))</f>
        <v/>
      </c>
      <c r="AL12">
        <f>IF($AK12=1,SUMPRODUCT(--($AO$2:$AO$1601&lt;$AO12))+1,"")</f>
        <v/>
      </c>
      <c r="AM12">
        <f>IF($D12="","",IF(OR($R12=TRUE(),$R12="TRUE"),1,0))</f>
        <v/>
      </c>
      <c r="AN12">
        <f>IF($D12="","",IF($AA12="Yes",1,0))</f>
        <v/>
      </c>
      <c r="AO12">
        <f>IF($AK12=1,IFERROR(IF(VALUE($D12)&lt;100000000,VALUE($D12),1000000000),IFERROR(IF(VALUE(MID($D12,2,20))&lt;100000000,VALUE(MID($D12,2,20)),1000000000),1000000000))+ROW()/100000,"")</f>
        <v/>
      </c>
    </row>
    <row r="13">
      <c r="F13" s="11" t="n"/>
      <c r="N13" s="7">
        <f>IF($D13="","",M13*X13/100)</f>
        <v/>
      </c>
      <c r="O13" s="7" t="n"/>
      <c r="U13" s="7" t="n"/>
      <c r="V13" s="7" t="n"/>
      <c r="W13" s="7">
        <f>IF($D13="","",V13*AB13/100)</f>
        <v/>
      </c>
      <c r="X13" s="7">
        <f>IF($D13="","",V13-W13)</f>
        <v/>
      </c>
      <c r="Y13" s="7">
        <f>IF($D13="","",X13-N13)</f>
        <v/>
      </c>
      <c r="AB13">
        <f>IF($D13="","",IF($AN13=1,Settings!$C$8,IF($AM13=1,Settings!$C$6,Settings!$C$7))*100)</f>
        <v/>
      </c>
      <c r="AF13" s="7" t="n"/>
      <c r="AI13" s="11" t="n"/>
      <c r="AK13">
        <f>IF($D13="","",IF(COUNTIF($D$2:$D13,$D13)=1,1,0))</f>
        <v/>
      </c>
      <c r="AL13">
        <f>IF($AK13=1,SUMPRODUCT(--($AO$2:$AO$1601&lt;$AO13))+1,"")</f>
        <v/>
      </c>
      <c r="AM13">
        <f>IF($D13="","",IF(OR($R13=TRUE(),$R13="TRUE"),1,0))</f>
        <v/>
      </c>
      <c r="AN13">
        <f>IF($D13="","",IF($AA13="Yes",1,0))</f>
        <v/>
      </c>
      <c r="AO13">
        <f>IF($AK13=1,IFERROR(IF(VALUE($D13)&lt;100000000,VALUE($D13),1000000000),IFERROR(IF(VALUE(MID($D13,2,20))&lt;100000000,VALUE(MID($D13,2,20)),1000000000),1000000000))+ROW()/100000,"")</f>
        <v/>
      </c>
    </row>
    <row r="14">
      <c r="F14" s="11" t="n"/>
      <c r="N14" s="7">
        <f>IF($D14="","",M14*X14/100)</f>
        <v/>
      </c>
      <c r="O14" s="7" t="n"/>
      <c r="U14" s="7" t="n"/>
      <c r="V14" s="7" t="n"/>
      <c r="W14" s="7">
        <f>IF($D14="","",V14*AB14/100)</f>
        <v/>
      </c>
      <c r="X14" s="7">
        <f>IF($D14="","",V14-W14)</f>
        <v/>
      </c>
      <c r="Y14" s="7">
        <f>IF($D14="","",X14-N14)</f>
        <v/>
      </c>
      <c r="AB14">
        <f>IF($D14="","",IF($AN14=1,Settings!$C$8,IF($AM14=1,Settings!$C$6,Settings!$C$7))*100)</f>
        <v/>
      </c>
      <c r="AF14" s="7" t="n"/>
      <c r="AI14" s="11" t="n"/>
      <c r="AK14">
        <f>IF($D14="","",IF(COUNTIF($D$2:$D14,$D14)=1,1,0))</f>
        <v/>
      </c>
      <c r="AL14">
        <f>IF($AK14=1,SUMPRODUCT(--($AO$2:$AO$1601&lt;$AO14))+1,"")</f>
        <v/>
      </c>
      <c r="AM14">
        <f>IF($D14="","",IF(OR($R14=TRUE(),$R14="TRUE"),1,0))</f>
        <v/>
      </c>
      <c r="AN14">
        <f>IF($D14="","",IF($AA14="Yes",1,0))</f>
        <v/>
      </c>
      <c r="AO14">
        <f>IF($AK14=1,IFERROR(IF(VALUE($D14)&lt;100000000,VALUE($D14),1000000000),IFERROR(IF(VALUE(MID($D14,2,20))&lt;100000000,VALUE(MID($D14,2,20)),1000000000),1000000000))+ROW()/100000,"")</f>
        <v/>
      </c>
    </row>
    <row r="15">
      <c r="F15" s="11" t="n"/>
      <c r="N15" s="7">
        <f>IF($D15="","",M15*X15/100)</f>
        <v/>
      </c>
      <c r="O15" s="7" t="n"/>
      <c r="U15" s="7" t="n"/>
      <c r="V15" s="7" t="n"/>
      <c r="W15" s="7">
        <f>IF($D15="","",V15*AB15/100)</f>
        <v/>
      </c>
      <c r="X15" s="7">
        <f>IF($D15="","",V15-W15)</f>
        <v/>
      </c>
      <c r="Y15" s="7">
        <f>IF($D15="","",X15-N15)</f>
        <v/>
      </c>
      <c r="AB15">
        <f>IF($D15="","",IF($AN15=1,Settings!$C$8,IF($AM15=1,Settings!$C$6,Settings!$C$7))*100)</f>
        <v/>
      </c>
      <c r="AF15" s="7" t="n"/>
      <c r="AI15" s="11" t="n"/>
      <c r="AK15">
        <f>IF($D15="","",IF(COUNTIF($D$2:$D15,$D15)=1,1,0))</f>
        <v/>
      </c>
      <c r="AL15">
        <f>IF($AK15=1,SUMPRODUCT(--($AO$2:$AO$1601&lt;$AO15))+1,"")</f>
        <v/>
      </c>
      <c r="AM15">
        <f>IF($D15="","",IF(OR($R15=TRUE(),$R15="TRUE"),1,0))</f>
        <v/>
      </c>
      <c r="AN15">
        <f>IF($D15="","",IF($AA15="Yes",1,0))</f>
        <v/>
      </c>
      <c r="AO15">
        <f>IF($AK15=1,IFERROR(IF(VALUE($D15)&lt;100000000,VALUE($D15),1000000000),IFERROR(IF(VALUE(MID($D15,2,20))&lt;100000000,VALUE(MID($D15,2,20)),1000000000),1000000000))+ROW()/100000,"")</f>
        <v/>
      </c>
    </row>
    <row r="16">
      <c r="F16" s="11" t="n"/>
      <c r="N16" s="7">
        <f>IF($D16="","",M16*X16/100)</f>
        <v/>
      </c>
      <c r="O16" s="7" t="n"/>
      <c r="U16" s="7" t="n"/>
      <c r="V16" s="7" t="n"/>
      <c r="W16" s="7">
        <f>IF($D16="","",V16*AB16/100)</f>
        <v/>
      </c>
      <c r="X16" s="7">
        <f>IF($D16="","",V16-W16)</f>
        <v/>
      </c>
      <c r="Y16" s="7">
        <f>IF($D16="","",X16-N16)</f>
        <v/>
      </c>
      <c r="AB16">
        <f>IF($D16="","",IF($AN16=1,Settings!$C$8,IF($AM16=1,Settings!$C$6,Settings!$C$7))*100)</f>
        <v/>
      </c>
      <c r="AF16" s="7" t="n"/>
      <c r="AI16" s="11" t="n"/>
      <c r="AK16">
        <f>IF($D16="","",IF(COUNTIF($D$2:$D16,$D16)=1,1,0))</f>
        <v/>
      </c>
      <c r="AL16">
        <f>IF($AK16=1,SUMPRODUCT(--($AO$2:$AO$1601&lt;$AO16))+1,"")</f>
        <v/>
      </c>
      <c r="AM16">
        <f>IF($D16="","",IF(OR($R16=TRUE(),$R16="TRUE"),1,0))</f>
        <v/>
      </c>
      <c r="AN16">
        <f>IF($D16="","",IF($AA16="Yes",1,0))</f>
        <v/>
      </c>
      <c r="AO16">
        <f>IF($AK16=1,IFERROR(IF(VALUE($D16)&lt;100000000,VALUE($D16),1000000000),IFERROR(IF(VALUE(MID($D16,2,20))&lt;100000000,VALUE(MID($D16,2,20)),1000000000),1000000000))+ROW()/100000,"")</f>
        <v/>
      </c>
    </row>
    <row r="17">
      <c r="F17" s="11" t="n"/>
      <c r="N17" s="7">
        <f>IF($D17="","",M17*X17/100)</f>
        <v/>
      </c>
      <c r="O17" s="7" t="n"/>
      <c r="U17" s="7" t="n"/>
      <c r="V17" s="7" t="n"/>
      <c r="W17" s="7">
        <f>IF($D17="","",V17*AB17/100)</f>
        <v/>
      </c>
      <c r="X17" s="7">
        <f>IF($D17="","",V17-W17)</f>
        <v/>
      </c>
      <c r="Y17" s="7">
        <f>IF($D17="","",X17-N17)</f>
        <v/>
      </c>
      <c r="AB17">
        <f>IF($D17="","",IF($AN17=1,Settings!$C$8,IF($AM17=1,Settings!$C$6,Settings!$C$7))*100)</f>
        <v/>
      </c>
      <c r="AF17" s="7" t="n"/>
      <c r="AI17" s="11" t="n"/>
      <c r="AK17">
        <f>IF($D17="","",IF(COUNTIF($D$2:$D17,$D17)=1,1,0))</f>
        <v/>
      </c>
      <c r="AL17">
        <f>IF($AK17=1,SUMPRODUCT(--($AO$2:$AO$1601&lt;$AO17))+1,"")</f>
        <v/>
      </c>
      <c r="AM17">
        <f>IF($D17="","",IF(OR($R17=TRUE(),$R17="TRUE"),1,0))</f>
        <v/>
      </c>
      <c r="AN17">
        <f>IF($D17="","",IF($AA17="Yes",1,0))</f>
        <v/>
      </c>
      <c r="AO17">
        <f>IF($AK17=1,IFERROR(IF(VALUE($D17)&lt;100000000,VALUE($D17),1000000000),IFERROR(IF(VALUE(MID($D17,2,20))&lt;100000000,VALUE(MID($D17,2,20)),1000000000),1000000000))+ROW()/100000,"")</f>
        <v/>
      </c>
    </row>
    <row r="18">
      <c r="F18" s="11" t="n"/>
      <c r="N18" s="7">
        <f>IF($D18="","",M18*X18/100)</f>
        <v/>
      </c>
      <c r="O18" s="7" t="n"/>
      <c r="U18" s="7" t="n"/>
      <c r="V18" s="7" t="n"/>
      <c r="W18" s="7">
        <f>IF($D18="","",V18*AB18/100)</f>
        <v/>
      </c>
      <c r="X18" s="7">
        <f>IF($D18="","",V18-W18)</f>
        <v/>
      </c>
      <c r="Y18" s="7">
        <f>IF($D18="","",X18-N18)</f>
        <v/>
      </c>
      <c r="AB18">
        <f>IF($D18="","",IF($AN18=1,Settings!$C$8,IF($AM18=1,Settings!$C$6,Settings!$C$7))*100)</f>
        <v/>
      </c>
      <c r="AF18" s="7" t="n"/>
      <c r="AI18" s="11" t="n"/>
      <c r="AK18">
        <f>IF($D18="","",IF(COUNTIF($D$2:$D18,$D18)=1,1,0))</f>
        <v/>
      </c>
      <c r="AL18">
        <f>IF($AK18=1,SUMPRODUCT(--($AO$2:$AO$1601&lt;$AO18))+1,"")</f>
        <v/>
      </c>
      <c r="AM18">
        <f>IF($D18="","",IF(OR($R18=TRUE(),$R18="TRUE"),1,0))</f>
        <v/>
      </c>
      <c r="AN18">
        <f>IF($D18="","",IF($AA18="Yes",1,0))</f>
        <v/>
      </c>
      <c r="AO18">
        <f>IF($AK18=1,IFERROR(IF(VALUE($D18)&lt;100000000,VALUE($D18),1000000000),IFERROR(IF(VALUE(MID($D18,2,20))&lt;100000000,VALUE(MID($D18,2,20)),1000000000),1000000000))+ROW()/100000,"")</f>
        <v/>
      </c>
    </row>
    <row r="19">
      <c r="F19" s="11" t="n"/>
      <c r="N19" s="7">
        <f>IF($D19="","",M19*X19/100)</f>
        <v/>
      </c>
      <c r="O19" s="7" t="n"/>
      <c r="U19" s="7" t="n"/>
      <c r="V19" s="7" t="n"/>
      <c r="W19" s="7">
        <f>IF($D19="","",V19*AB19/100)</f>
        <v/>
      </c>
      <c r="X19" s="7">
        <f>IF($D19="","",V19-W19)</f>
        <v/>
      </c>
      <c r="Y19" s="7">
        <f>IF($D19="","",X19-N19)</f>
        <v/>
      </c>
      <c r="AB19">
        <f>IF($D19="","",IF($AN19=1,Settings!$C$8,IF($AM19=1,Settings!$C$6,Settings!$C$7))*100)</f>
        <v/>
      </c>
      <c r="AF19" s="7" t="n"/>
      <c r="AI19" s="11" t="n"/>
      <c r="AK19">
        <f>IF($D19="","",IF(COUNTIF($D$2:$D19,$D19)=1,1,0))</f>
        <v/>
      </c>
      <c r="AL19">
        <f>IF($AK19=1,SUMPRODUCT(--($AO$2:$AO$1601&lt;$AO19))+1,"")</f>
        <v/>
      </c>
      <c r="AM19">
        <f>IF($D19="","",IF(OR($R19=TRUE(),$R19="TRUE"),1,0))</f>
        <v/>
      </c>
      <c r="AN19">
        <f>IF($D19="","",IF($AA19="Yes",1,0))</f>
        <v/>
      </c>
      <c r="AO19">
        <f>IF($AK19=1,IFERROR(IF(VALUE($D19)&lt;100000000,VALUE($D19),1000000000),IFERROR(IF(VALUE(MID($D19,2,20))&lt;100000000,VALUE(MID($D19,2,20)),1000000000),1000000000))+ROW()/100000,"")</f>
        <v/>
      </c>
    </row>
    <row r="20">
      <c r="F20" s="11" t="n"/>
      <c r="N20" s="7">
        <f>IF($D20="","",M20*X20/100)</f>
        <v/>
      </c>
      <c r="O20" s="7" t="n"/>
      <c r="U20" s="7" t="n"/>
      <c r="V20" s="7" t="n"/>
      <c r="W20" s="7">
        <f>IF($D20="","",V20*AB20/100)</f>
        <v/>
      </c>
      <c r="X20" s="7">
        <f>IF($D20="","",V20-W20)</f>
        <v/>
      </c>
      <c r="Y20" s="7">
        <f>IF($D20="","",X20-N20)</f>
        <v/>
      </c>
      <c r="AB20">
        <f>IF($D20="","",IF($AN20=1,Settings!$C$8,IF($AM20=1,Settings!$C$6,Settings!$C$7))*100)</f>
        <v/>
      </c>
      <c r="AF20" s="7" t="n"/>
      <c r="AI20" s="11" t="n"/>
      <c r="AK20">
        <f>IF($D20="","",IF(COUNTIF($D$2:$D20,$D20)=1,1,0))</f>
        <v/>
      </c>
      <c r="AL20">
        <f>IF($AK20=1,SUMPRODUCT(--($AO$2:$AO$1601&lt;$AO20))+1,"")</f>
        <v/>
      </c>
      <c r="AM20">
        <f>IF($D20="","",IF(OR($R20=TRUE(),$R20="TRUE"),1,0))</f>
        <v/>
      </c>
      <c r="AN20">
        <f>IF($D20="","",IF($AA20="Yes",1,0))</f>
        <v/>
      </c>
      <c r="AO20">
        <f>IF($AK20=1,IFERROR(IF(VALUE($D20)&lt;100000000,VALUE($D20),1000000000),IFERROR(IF(VALUE(MID($D20,2,20))&lt;100000000,VALUE(MID($D20,2,20)),1000000000),1000000000))+ROW()/100000,"")</f>
        <v/>
      </c>
    </row>
    <row r="21">
      <c r="F21" s="11" t="n"/>
      <c r="N21" s="7">
        <f>IF($D21="","",M21*X21/100)</f>
        <v/>
      </c>
      <c r="O21" s="7" t="n"/>
      <c r="U21" s="7" t="n"/>
      <c r="V21" s="7" t="n"/>
      <c r="W21" s="7">
        <f>IF($D21="","",V21*AB21/100)</f>
        <v/>
      </c>
      <c r="X21" s="7">
        <f>IF($D21="","",V21-W21)</f>
        <v/>
      </c>
      <c r="Y21" s="7">
        <f>IF($D21="","",X21-N21)</f>
        <v/>
      </c>
      <c r="AB21">
        <f>IF($D21="","",IF($AN21=1,Settings!$C$8,IF($AM21=1,Settings!$C$6,Settings!$C$7))*100)</f>
        <v/>
      </c>
      <c r="AF21" s="7" t="n"/>
      <c r="AI21" s="11" t="n"/>
      <c r="AK21">
        <f>IF($D21="","",IF(COUNTIF($D$2:$D21,$D21)=1,1,0))</f>
        <v/>
      </c>
      <c r="AL21">
        <f>IF($AK21=1,SUMPRODUCT(--($AO$2:$AO$1601&lt;$AO21))+1,"")</f>
        <v/>
      </c>
      <c r="AM21">
        <f>IF($D21="","",IF(OR($R21=TRUE(),$R21="TRUE"),1,0))</f>
        <v/>
      </c>
      <c r="AN21">
        <f>IF($D21="","",IF($AA21="Yes",1,0))</f>
        <v/>
      </c>
      <c r="AO21">
        <f>IF($AK21=1,IFERROR(IF(VALUE($D21)&lt;100000000,VALUE($D21),1000000000),IFERROR(IF(VALUE(MID($D21,2,20))&lt;100000000,VALUE(MID($D21,2,20)),1000000000),1000000000))+ROW()/100000,"")</f>
        <v/>
      </c>
    </row>
    <row r="22">
      <c r="F22" s="11" t="n"/>
      <c r="N22" s="7">
        <f>IF($D22="","",M22*X22/100)</f>
        <v/>
      </c>
      <c r="O22" s="7" t="n"/>
      <c r="U22" s="7" t="n"/>
      <c r="V22" s="7" t="n"/>
      <c r="W22" s="7">
        <f>IF($D22="","",V22*AB22/100)</f>
        <v/>
      </c>
      <c r="X22" s="7">
        <f>IF($D22="","",V22-W22)</f>
        <v/>
      </c>
      <c r="Y22" s="7">
        <f>IF($D22="","",X22-N22)</f>
        <v/>
      </c>
      <c r="AB22">
        <f>IF($D22="","",IF($AN22=1,Settings!$C$8,IF($AM22=1,Settings!$C$6,Settings!$C$7))*100)</f>
        <v/>
      </c>
      <c r="AF22" s="7" t="n"/>
      <c r="AI22" s="11" t="n"/>
      <c r="AK22">
        <f>IF($D22="","",IF(COUNTIF($D$2:$D22,$D22)=1,1,0))</f>
        <v/>
      </c>
      <c r="AL22">
        <f>IF($AK22=1,SUMPRODUCT(--($AO$2:$AO$1601&lt;$AO22))+1,"")</f>
        <v/>
      </c>
      <c r="AM22">
        <f>IF($D22="","",IF(OR($R22=TRUE(),$R22="TRUE"),1,0))</f>
        <v/>
      </c>
      <c r="AN22">
        <f>IF($D22="","",IF($AA22="Yes",1,0))</f>
        <v/>
      </c>
      <c r="AO22">
        <f>IF($AK22=1,IFERROR(IF(VALUE($D22)&lt;100000000,VALUE($D22),1000000000),IFERROR(IF(VALUE(MID($D22,2,20))&lt;100000000,VALUE(MID($D22,2,20)),1000000000),1000000000))+ROW()/100000,"")</f>
        <v/>
      </c>
    </row>
    <row r="23">
      <c r="F23" s="11" t="n"/>
      <c r="N23" s="7">
        <f>IF($D23="","",M23*X23/100)</f>
        <v/>
      </c>
      <c r="O23" s="7" t="n"/>
      <c r="U23" s="7" t="n"/>
      <c r="V23" s="7" t="n"/>
      <c r="W23" s="7">
        <f>IF($D23="","",V23*AB23/100)</f>
        <v/>
      </c>
      <c r="X23" s="7">
        <f>IF($D23="","",V23-W23)</f>
        <v/>
      </c>
      <c r="Y23" s="7">
        <f>IF($D23="","",X23-N23)</f>
        <v/>
      </c>
      <c r="AB23">
        <f>IF($D23="","",IF($AN23=1,Settings!$C$8,IF($AM23=1,Settings!$C$6,Settings!$C$7))*100)</f>
        <v/>
      </c>
      <c r="AF23" s="7" t="n"/>
      <c r="AI23" s="11" t="n"/>
      <c r="AK23">
        <f>IF($D23="","",IF(COUNTIF($D$2:$D23,$D23)=1,1,0))</f>
        <v/>
      </c>
      <c r="AL23">
        <f>IF($AK23=1,SUMPRODUCT(--($AO$2:$AO$1601&lt;$AO23))+1,"")</f>
        <v/>
      </c>
      <c r="AM23">
        <f>IF($D23="","",IF(OR($R23=TRUE(),$R23="TRUE"),1,0))</f>
        <v/>
      </c>
      <c r="AN23">
        <f>IF($D23="","",IF($AA23="Yes",1,0))</f>
        <v/>
      </c>
      <c r="AO23">
        <f>IF($AK23=1,IFERROR(IF(VALUE($D23)&lt;100000000,VALUE($D23),1000000000),IFERROR(IF(VALUE(MID($D23,2,20))&lt;100000000,VALUE(MID($D23,2,20)),1000000000),1000000000))+ROW()/100000,"")</f>
        <v/>
      </c>
    </row>
    <row r="24">
      <c r="F24" s="11" t="n"/>
      <c r="N24" s="7">
        <f>IF($D24="","",M24*X24/100)</f>
        <v/>
      </c>
      <c r="O24" s="7" t="n"/>
      <c r="U24" s="7" t="n"/>
      <c r="V24" s="7" t="n"/>
      <c r="W24" s="7">
        <f>IF($D24="","",V24*AB24/100)</f>
        <v/>
      </c>
      <c r="X24" s="7">
        <f>IF($D24="","",V24-W24)</f>
        <v/>
      </c>
      <c r="Y24" s="7">
        <f>IF($D24="","",X24-N24)</f>
        <v/>
      </c>
      <c r="AB24">
        <f>IF($D24="","",IF($AN24=1,Settings!$C$8,IF($AM24=1,Settings!$C$6,Settings!$C$7))*100)</f>
        <v/>
      </c>
      <c r="AF24" s="7" t="n"/>
      <c r="AI24" s="11" t="n"/>
      <c r="AK24">
        <f>IF($D24="","",IF(COUNTIF($D$2:$D24,$D24)=1,1,0))</f>
        <v/>
      </c>
      <c r="AL24">
        <f>IF($AK24=1,SUMPRODUCT(--($AO$2:$AO$1601&lt;$AO24))+1,"")</f>
        <v/>
      </c>
      <c r="AM24">
        <f>IF($D24="","",IF(OR($R24=TRUE(),$R24="TRUE"),1,0))</f>
        <v/>
      </c>
      <c r="AN24">
        <f>IF($D24="","",IF($AA24="Yes",1,0))</f>
        <v/>
      </c>
      <c r="AO24">
        <f>IF($AK24=1,IFERROR(IF(VALUE($D24)&lt;100000000,VALUE($D24),1000000000),IFERROR(IF(VALUE(MID($D24,2,20))&lt;100000000,VALUE(MID($D24,2,20)),1000000000),1000000000))+ROW()/100000,"")</f>
        <v/>
      </c>
    </row>
    <row r="25">
      <c r="F25" s="11" t="n"/>
      <c r="N25" s="7">
        <f>IF($D25="","",M25*X25/100)</f>
        <v/>
      </c>
      <c r="O25" s="7" t="n"/>
      <c r="U25" s="7" t="n"/>
      <c r="V25" s="7" t="n"/>
      <c r="W25" s="7">
        <f>IF($D25="","",V25*AB25/100)</f>
        <v/>
      </c>
      <c r="X25" s="7">
        <f>IF($D25="","",V25-W25)</f>
        <v/>
      </c>
      <c r="Y25" s="7">
        <f>IF($D25="","",X25-N25)</f>
        <v/>
      </c>
      <c r="AB25">
        <f>IF($D25="","",IF($AN25=1,Settings!$C$8,IF($AM25=1,Settings!$C$6,Settings!$C$7))*100)</f>
        <v/>
      </c>
      <c r="AF25" s="7" t="n"/>
      <c r="AI25" s="11" t="n"/>
      <c r="AK25">
        <f>IF($D25="","",IF(COUNTIF($D$2:$D25,$D25)=1,1,0))</f>
        <v/>
      </c>
      <c r="AL25">
        <f>IF($AK25=1,SUMPRODUCT(--($AO$2:$AO$1601&lt;$AO25))+1,"")</f>
        <v/>
      </c>
      <c r="AM25">
        <f>IF($D25="","",IF(OR($R25=TRUE(),$R25="TRUE"),1,0))</f>
        <v/>
      </c>
      <c r="AN25">
        <f>IF($D25="","",IF($AA25="Yes",1,0))</f>
        <v/>
      </c>
      <c r="AO25">
        <f>IF($AK25=1,IFERROR(IF(VALUE($D25)&lt;100000000,VALUE($D25),1000000000),IFERROR(IF(VALUE(MID($D25,2,20))&lt;100000000,VALUE(MID($D25,2,20)),1000000000),1000000000))+ROW()/100000,"")</f>
        <v/>
      </c>
    </row>
    <row r="26">
      <c r="F26" s="11" t="n"/>
      <c r="N26" s="7">
        <f>IF($D26="","",M26*X26/100)</f>
        <v/>
      </c>
      <c r="O26" s="7" t="n"/>
      <c r="U26" s="7" t="n"/>
      <c r="V26" s="7" t="n"/>
      <c r="W26" s="7">
        <f>IF($D26="","",V26*AB26/100)</f>
        <v/>
      </c>
      <c r="X26" s="7">
        <f>IF($D26="","",V26-W26)</f>
        <v/>
      </c>
      <c r="Y26" s="7">
        <f>IF($D26="","",X26-N26)</f>
        <v/>
      </c>
      <c r="AB26">
        <f>IF($D26="","",IF($AN26=1,Settings!$C$8,IF($AM26=1,Settings!$C$6,Settings!$C$7))*100)</f>
        <v/>
      </c>
      <c r="AF26" s="7" t="n"/>
      <c r="AI26" s="11" t="n"/>
      <c r="AK26">
        <f>IF($D26="","",IF(COUNTIF($D$2:$D26,$D26)=1,1,0))</f>
        <v/>
      </c>
      <c r="AL26">
        <f>IF($AK26=1,SUMPRODUCT(--($AO$2:$AO$1601&lt;$AO26))+1,"")</f>
        <v/>
      </c>
      <c r="AM26">
        <f>IF($D26="","",IF(OR($R26=TRUE(),$R26="TRUE"),1,0))</f>
        <v/>
      </c>
      <c r="AN26">
        <f>IF($D26="","",IF($AA26="Yes",1,0))</f>
        <v/>
      </c>
      <c r="AO26">
        <f>IF($AK26=1,IFERROR(IF(VALUE($D26)&lt;100000000,VALUE($D26),1000000000),IFERROR(IF(VALUE(MID($D26,2,20))&lt;100000000,VALUE(MID($D26,2,20)),1000000000),1000000000))+ROW()/100000,"")</f>
        <v/>
      </c>
    </row>
    <row r="27">
      <c r="F27" s="11" t="n"/>
      <c r="N27" s="7">
        <f>IF($D27="","",M27*X27/100)</f>
        <v/>
      </c>
      <c r="O27" s="7" t="n"/>
      <c r="U27" s="7" t="n"/>
      <c r="V27" s="7" t="n"/>
      <c r="W27" s="7">
        <f>IF($D27="","",V27*AB27/100)</f>
        <v/>
      </c>
      <c r="X27" s="7">
        <f>IF($D27="","",V27-W27)</f>
        <v/>
      </c>
      <c r="Y27" s="7">
        <f>IF($D27="","",X27-N27)</f>
        <v/>
      </c>
      <c r="AB27">
        <f>IF($D27="","",IF($AN27=1,Settings!$C$8,IF($AM27=1,Settings!$C$6,Settings!$C$7))*100)</f>
        <v/>
      </c>
      <c r="AF27" s="7" t="n"/>
      <c r="AI27" s="11" t="n"/>
      <c r="AK27">
        <f>IF($D27="","",IF(COUNTIF($D$2:$D27,$D27)=1,1,0))</f>
        <v/>
      </c>
      <c r="AL27">
        <f>IF($AK27=1,SUMPRODUCT(--($AO$2:$AO$1601&lt;$AO27))+1,"")</f>
        <v/>
      </c>
      <c r="AM27">
        <f>IF($D27="","",IF(OR($R27=TRUE(),$R27="TRUE"),1,0))</f>
        <v/>
      </c>
      <c r="AN27">
        <f>IF($D27="","",IF($AA27="Yes",1,0))</f>
        <v/>
      </c>
      <c r="AO27">
        <f>IF($AK27=1,IFERROR(IF(VALUE($D27)&lt;100000000,VALUE($D27),1000000000),IFERROR(IF(VALUE(MID($D27,2,20))&lt;100000000,VALUE(MID($D27,2,20)),1000000000),1000000000))+ROW()/100000,"")</f>
        <v/>
      </c>
    </row>
    <row r="28">
      <c r="F28" s="11" t="n"/>
      <c r="N28" s="7">
        <f>IF($D28="","",M28*X28/100)</f>
        <v/>
      </c>
      <c r="O28" s="7" t="n"/>
      <c r="U28" s="7" t="n"/>
      <c r="V28" s="7" t="n"/>
      <c r="W28" s="7">
        <f>IF($D28="","",V28*AB28/100)</f>
        <v/>
      </c>
      <c r="X28" s="7">
        <f>IF($D28="","",V28-W28)</f>
        <v/>
      </c>
      <c r="Y28" s="7">
        <f>IF($D28="","",X28-N28)</f>
        <v/>
      </c>
      <c r="AB28">
        <f>IF($D28="","",IF($AN28=1,Settings!$C$8,IF($AM28=1,Settings!$C$6,Settings!$C$7))*100)</f>
        <v/>
      </c>
      <c r="AF28" s="7" t="n"/>
      <c r="AI28" s="11" t="n"/>
      <c r="AK28">
        <f>IF($D28="","",IF(COUNTIF($D$2:$D28,$D28)=1,1,0))</f>
        <v/>
      </c>
      <c r="AL28">
        <f>IF($AK28=1,SUMPRODUCT(--($AO$2:$AO$1601&lt;$AO28))+1,"")</f>
        <v/>
      </c>
      <c r="AM28">
        <f>IF($D28="","",IF(OR($R28=TRUE(),$R28="TRUE"),1,0))</f>
        <v/>
      </c>
      <c r="AN28">
        <f>IF($D28="","",IF($AA28="Yes",1,0))</f>
        <v/>
      </c>
      <c r="AO28">
        <f>IF($AK28=1,IFERROR(IF(VALUE($D28)&lt;100000000,VALUE($D28),1000000000),IFERROR(IF(VALUE(MID($D28,2,20))&lt;100000000,VALUE(MID($D28,2,20)),1000000000),1000000000))+ROW()/100000,"")</f>
        <v/>
      </c>
    </row>
    <row r="29">
      <c r="F29" s="11" t="n"/>
      <c r="N29" s="7">
        <f>IF($D29="","",M29*X29/100)</f>
        <v/>
      </c>
      <c r="O29" s="7" t="n"/>
      <c r="U29" s="7" t="n"/>
      <c r="V29" s="7" t="n"/>
      <c r="W29" s="7">
        <f>IF($D29="","",V29*AB29/100)</f>
        <v/>
      </c>
      <c r="X29" s="7">
        <f>IF($D29="","",V29-W29)</f>
        <v/>
      </c>
      <c r="Y29" s="7">
        <f>IF($D29="","",X29-N29)</f>
        <v/>
      </c>
      <c r="AB29">
        <f>IF($D29="","",IF($AN29=1,Settings!$C$8,IF($AM29=1,Settings!$C$6,Settings!$C$7))*100)</f>
        <v/>
      </c>
      <c r="AF29" s="7" t="n"/>
      <c r="AI29" s="11" t="n"/>
      <c r="AK29">
        <f>IF($D29="","",IF(COUNTIF($D$2:$D29,$D29)=1,1,0))</f>
        <v/>
      </c>
      <c r="AL29">
        <f>IF($AK29=1,SUMPRODUCT(--($AO$2:$AO$1601&lt;$AO29))+1,"")</f>
        <v/>
      </c>
      <c r="AM29">
        <f>IF($D29="","",IF(OR($R29=TRUE(),$R29="TRUE"),1,0))</f>
        <v/>
      </c>
      <c r="AN29">
        <f>IF($D29="","",IF($AA29="Yes",1,0))</f>
        <v/>
      </c>
      <c r="AO29">
        <f>IF($AK29=1,IFERROR(IF(VALUE($D29)&lt;100000000,VALUE($D29),1000000000),IFERROR(IF(VALUE(MID($D29,2,20))&lt;100000000,VALUE(MID($D29,2,20)),1000000000),1000000000))+ROW()/100000,"")</f>
        <v/>
      </c>
    </row>
    <row r="30">
      <c r="F30" s="11" t="n"/>
      <c r="N30" s="7">
        <f>IF($D30="","",M30*X30/100)</f>
        <v/>
      </c>
      <c r="O30" s="7" t="n"/>
      <c r="U30" s="7" t="n"/>
      <c r="V30" s="7" t="n"/>
      <c r="W30" s="7">
        <f>IF($D30="","",V30*AB30/100)</f>
        <v/>
      </c>
      <c r="X30" s="7">
        <f>IF($D30="","",V30-W30)</f>
        <v/>
      </c>
      <c r="Y30" s="7">
        <f>IF($D30="","",X30-N30)</f>
        <v/>
      </c>
      <c r="AB30">
        <f>IF($D30="","",IF($AN30=1,Settings!$C$8,IF($AM30=1,Settings!$C$6,Settings!$C$7))*100)</f>
        <v/>
      </c>
      <c r="AF30" s="7" t="n"/>
      <c r="AI30" s="11" t="n"/>
      <c r="AK30">
        <f>IF($D30="","",IF(COUNTIF($D$2:$D30,$D30)=1,1,0))</f>
        <v/>
      </c>
      <c r="AL30">
        <f>IF($AK30=1,SUMPRODUCT(--($AO$2:$AO$1601&lt;$AO30))+1,"")</f>
        <v/>
      </c>
      <c r="AM30">
        <f>IF($D30="","",IF(OR($R30=TRUE(),$R30="TRUE"),1,0))</f>
        <v/>
      </c>
      <c r="AN30">
        <f>IF($D30="","",IF($AA30="Yes",1,0))</f>
        <v/>
      </c>
      <c r="AO30">
        <f>IF($AK30=1,IFERROR(IF(VALUE($D30)&lt;100000000,VALUE($D30),1000000000),IFERROR(IF(VALUE(MID($D30,2,20))&lt;100000000,VALUE(MID($D30,2,20)),1000000000),1000000000))+ROW()/100000,"")</f>
        <v/>
      </c>
    </row>
    <row r="31">
      <c r="F31" s="11" t="n"/>
      <c r="N31" s="7">
        <f>IF($D31="","",M31*X31/100)</f>
        <v/>
      </c>
      <c r="O31" s="7" t="n"/>
      <c r="U31" s="7" t="n"/>
      <c r="V31" s="7" t="n"/>
      <c r="W31" s="7">
        <f>IF($D31="","",V31*AB31/100)</f>
        <v/>
      </c>
      <c r="X31" s="7">
        <f>IF($D31="","",V31-W31)</f>
        <v/>
      </c>
      <c r="Y31" s="7">
        <f>IF($D31="","",X31-N31)</f>
        <v/>
      </c>
      <c r="AB31">
        <f>IF($D31="","",IF($AN31=1,Settings!$C$8,IF($AM31=1,Settings!$C$6,Settings!$C$7))*100)</f>
        <v/>
      </c>
      <c r="AF31" s="7" t="n"/>
      <c r="AI31" s="11" t="n"/>
      <c r="AK31">
        <f>IF($D31="","",IF(COUNTIF($D$2:$D31,$D31)=1,1,0))</f>
        <v/>
      </c>
      <c r="AL31">
        <f>IF($AK31=1,SUMPRODUCT(--($AO$2:$AO$1601&lt;$AO31))+1,"")</f>
        <v/>
      </c>
      <c r="AM31">
        <f>IF($D31="","",IF(OR($R31=TRUE(),$R31="TRUE"),1,0))</f>
        <v/>
      </c>
      <c r="AN31">
        <f>IF($D31="","",IF($AA31="Yes",1,0))</f>
        <v/>
      </c>
      <c r="AO31">
        <f>IF($AK31=1,IFERROR(IF(VALUE($D31)&lt;100000000,VALUE($D31),1000000000),IFERROR(IF(VALUE(MID($D31,2,20))&lt;100000000,VALUE(MID($D31,2,20)),1000000000),1000000000))+ROW()/100000,"")</f>
        <v/>
      </c>
    </row>
    <row r="32">
      <c r="F32" s="11" t="n"/>
      <c r="N32" s="7">
        <f>IF($D32="","",M32*X32/100)</f>
        <v/>
      </c>
      <c r="O32" s="7" t="n"/>
      <c r="U32" s="7" t="n"/>
      <c r="V32" s="7" t="n"/>
      <c r="W32" s="7">
        <f>IF($D32="","",V32*AB32/100)</f>
        <v/>
      </c>
      <c r="X32" s="7">
        <f>IF($D32="","",V32-W32)</f>
        <v/>
      </c>
      <c r="Y32" s="7">
        <f>IF($D32="","",X32-N32)</f>
        <v/>
      </c>
      <c r="AB32">
        <f>IF($D32="","",IF($AN32=1,Settings!$C$8,IF($AM32=1,Settings!$C$6,Settings!$C$7))*100)</f>
        <v/>
      </c>
      <c r="AF32" s="7" t="n"/>
      <c r="AI32" s="11" t="n"/>
      <c r="AK32">
        <f>IF($D32="","",IF(COUNTIF($D$2:$D32,$D32)=1,1,0))</f>
        <v/>
      </c>
      <c r="AL32">
        <f>IF($AK32=1,SUMPRODUCT(--($AO$2:$AO$1601&lt;$AO32))+1,"")</f>
        <v/>
      </c>
      <c r="AM32">
        <f>IF($D32="","",IF(OR($R32=TRUE(),$R32="TRUE"),1,0))</f>
        <v/>
      </c>
      <c r="AN32">
        <f>IF($D32="","",IF($AA32="Yes",1,0))</f>
        <v/>
      </c>
      <c r="AO32">
        <f>IF($AK32=1,IFERROR(IF(VALUE($D32)&lt;100000000,VALUE($D32),1000000000),IFERROR(IF(VALUE(MID($D32,2,20))&lt;100000000,VALUE(MID($D32,2,20)),1000000000),1000000000))+ROW()/100000,"")</f>
        <v/>
      </c>
    </row>
    <row r="33">
      <c r="F33" s="11" t="n"/>
      <c r="N33" s="7">
        <f>IF($D33="","",M33*X33/100)</f>
        <v/>
      </c>
      <c r="O33" s="7" t="n"/>
      <c r="U33" s="7" t="n"/>
      <c r="V33" s="7" t="n"/>
      <c r="W33" s="7">
        <f>IF($D33="","",V33*AB33/100)</f>
        <v/>
      </c>
      <c r="X33" s="7">
        <f>IF($D33="","",V33-W33)</f>
        <v/>
      </c>
      <c r="Y33" s="7">
        <f>IF($D33="","",X33-N33)</f>
        <v/>
      </c>
      <c r="AB33">
        <f>IF($D33="","",IF($AN33=1,Settings!$C$8,IF($AM33=1,Settings!$C$6,Settings!$C$7))*100)</f>
        <v/>
      </c>
      <c r="AF33" s="7" t="n"/>
      <c r="AI33" s="11" t="n"/>
      <c r="AK33">
        <f>IF($D33="","",IF(COUNTIF($D$2:$D33,$D33)=1,1,0))</f>
        <v/>
      </c>
      <c r="AL33">
        <f>IF($AK33=1,SUMPRODUCT(--($AO$2:$AO$1601&lt;$AO33))+1,"")</f>
        <v/>
      </c>
      <c r="AM33">
        <f>IF($D33="","",IF(OR($R33=TRUE(),$R33="TRUE"),1,0))</f>
        <v/>
      </c>
      <c r="AN33">
        <f>IF($D33="","",IF($AA33="Yes",1,0))</f>
        <v/>
      </c>
      <c r="AO33">
        <f>IF($AK33=1,IFERROR(IF(VALUE($D33)&lt;100000000,VALUE($D33),1000000000),IFERROR(IF(VALUE(MID($D33,2,20))&lt;100000000,VALUE(MID($D33,2,20)),1000000000),1000000000))+ROW()/100000,"")</f>
        <v/>
      </c>
    </row>
    <row r="34">
      <c r="F34" s="11" t="n"/>
      <c r="N34" s="7">
        <f>IF($D34="","",M34*X34/100)</f>
        <v/>
      </c>
      <c r="O34" s="7" t="n"/>
      <c r="U34" s="7" t="n"/>
      <c r="V34" s="7" t="n"/>
      <c r="W34" s="7">
        <f>IF($D34="","",V34*AB34/100)</f>
        <v/>
      </c>
      <c r="X34" s="7">
        <f>IF($D34="","",V34-W34)</f>
        <v/>
      </c>
      <c r="Y34" s="7">
        <f>IF($D34="","",X34-N34)</f>
        <v/>
      </c>
      <c r="AB34">
        <f>IF($D34="","",IF($AN34=1,Settings!$C$8,IF($AM34=1,Settings!$C$6,Settings!$C$7))*100)</f>
        <v/>
      </c>
      <c r="AF34" s="7" t="n"/>
      <c r="AI34" s="11" t="n"/>
      <c r="AK34">
        <f>IF($D34="","",IF(COUNTIF($D$2:$D34,$D34)=1,1,0))</f>
        <v/>
      </c>
      <c r="AL34">
        <f>IF($AK34=1,SUMPRODUCT(--($AO$2:$AO$1601&lt;$AO34))+1,"")</f>
        <v/>
      </c>
      <c r="AM34">
        <f>IF($D34="","",IF(OR($R34=TRUE(),$R34="TRUE"),1,0))</f>
        <v/>
      </c>
      <c r="AN34">
        <f>IF($D34="","",IF($AA34="Yes",1,0))</f>
        <v/>
      </c>
      <c r="AO34">
        <f>IF($AK34=1,IFERROR(IF(VALUE($D34)&lt;100000000,VALUE($D34),1000000000),IFERROR(IF(VALUE(MID($D34,2,20))&lt;100000000,VALUE(MID($D34,2,20)),1000000000),1000000000))+ROW()/100000,"")</f>
        <v/>
      </c>
    </row>
    <row r="35">
      <c r="F35" s="11" t="n"/>
      <c r="N35" s="7">
        <f>IF($D35="","",M35*X35/100)</f>
        <v/>
      </c>
      <c r="O35" s="7" t="n"/>
      <c r="U35" s="7" t="n"/>
      <c r="V35" s="7" t="n"/>
      <c r="W35" s="7">
        <f>IF($D35="","",V35*AB35/100)</f>
        <v/>
      </c>
      <c r="X35" s="7">
        <f>IF($D35="","",V35-W35)</f>
        <v/>
      </c>
      <c r="Y35" s="7">
        <f>IF($D35="","",X35-N35)</f>
        <v/>
      </c>
      <c r="AB35">
        <f>IF($D35="","",IF($AN35=1,Settings!$C$8,IF($AM35=1,Settings!$C$6,Settings!$C$7))*100)</f>
        <v/>
      </c>
      <c r="AF35" s="7" t="n"/>
      <c r="AI35" s="11" t="n"/>
      <c r="AK35">
        <f>IF($D35="","",IF(COUNTIF($D$2:$D35,$D35)=1,1,0))</f>
        <v/>
      </c>
      <c r="AL35">
        <f>IF($AK35=1,SUMPRODUCT(--($AO$2:$AO$1601&lt;$AO35))+1,"")</f>
        <v/>
      </c>
      <c r="AM35">
        <f>IF($D35="","",IF(OR($R35=TRUE(),$R35="TRUE"),1,0))</f>
        <v/>
      </c>
      <c r="AN35">
        <f>IF($D35="","",IF($AA35="Yes",1,0))</f>
        <v/>
      </c>
      <c r="AO35">
        <f>IF($AK35=1,IFERROR(IF(VALUE($D35)&lt;100000000,VALUE($D35),1000000000),IFERROR(IF(VALUE(MID($D35,2,20))&lt;100000000,VALUE(MID($D35,2,20)),1000000000),1000000000))+ROW()/100000,"")</f>
        <v/>
      </c>
    </row>
    <row r="36">
      <c r="F36" s="11" t="n"/>
      <c r="N36" s="7">
        <f>IF($D36="","",M36*X36/100)</f>
        <v/>
      </c>
      <c r="O36" s="7" t="n"/>
      <c r="U36" s="7" t="n"/>
      <c r="V36" s="7" t="n"/>
      <c r="W36" s="7">
        <f>IF($D36="","",V36*AB36/100)</f>
        <v/>
      </c>
      <c r="X36" s="7">
        <f>IF($D36="","",V36-W36)</f>
        <v/>
      </c>
      <c r="Y36" s="7">
        <f>IF($D36="","",X36-N36)</f>
        <v/>
      </c>
      <c r="AB36">
        <f>IF($D36="","",IF($AN36=1,Settings!$C$8,IF($AM36=1,Settings!$C$6,Settings!$C$7))*100)</f>
        <v/>
      </c>
      <c r="AF36" s="7" t="n"/>
      <c r="AI36" s="11" t="n"/>
      <c r="AK36">
        <f>IF($D36="","",IF(COUNTIF($D$2:$D36,$D36)=1,1,0))</f>
        <v/>
      </c>
      <c r="AL36">
        <f>IF($AK36=1,SUMPRODUCT(--($AO$2:$AO$1601&lt;$AO36))+1,"")</f>
        <v/>
      </c>
      <c r="AM36">
        <f>IF($D36="","",IF(OR($R36=TRUE(),$R36="TRUE"),1,0))</f>
        <v/>
      </c>
      <c r="AN36">
        <f>IF($D36="","",IF($AA36="Yes",1,0))</f>
        <v/>
      </c>
      <c r="AO36">
        <f>IF($AK36=1,IFERROR(IF(VALUE($D36)&lt;100000000,VALUE($D36),1000000000),IFERROR(IF(VALUE(MID($D36,2,20))&lt;100000000,VALUE(MID($D36,2,20)),1000000000),1000000000))+ROW()/100000,"")</f>
        <v/>
      </c>
    </row>
    <row r="37">
      <c r="F37" s="11" t="n"/>
      <c r="N37" s="7">
        <f>IF($D37="","",M37*X37/100)</f>
        <v/>
      </c>
      <c r="O37" s="7" t="n"/>
      <c r="U37" s="7" t="n"/>
      <c r="V37" s="7" t="n"/>
      <c r="W37" s="7">
        <f>IF($D37="","",V37*AB37/100)</f>
        <v/>
      </c>
      <c r="X37" s="7">
        <f>IF($D37="","",V37-W37)</f>
        <v/>
      </c>
      <c r="Y37" s="7">
        <f>IF($D37="","",X37-N37)</f>
        <v/>
      </c>
      <c r="AB37">
        <f>IF($D37="","",IF($AN37=1,Settings!$C$8,IF($AM37=1,Settings!$C$6,Settings!$C$7))*100)</f>
        <v/>
      </c>
      <c r="AF37" s="7" t="n"/>
      <c r="AI37" s="11" t="n"/>
      <c r="AK37">
        <f>IF($D37="","",IF(COUNTIF($D$2:$D37,$D37)=1,1,0))</f>
        <v/>
      </c>
      <c r="AL37">
        <f>IF($AK37=1,SUMPRODUCT(--($AO$2:$AO$1601&lt;$AO37))+1,"")</f>
        <v/>
      </c>
      <c r="AM37">
        <f>IF($D37="","",IF(OR($R37=TRUE(),$R37="TRUE"),1,0))</f>
        <v/>
      </c>
      <c r="AN37">
        <f>IF($D37="","",IF($AA37="Yes",1,0))</f>
        <v/>
      </c>
      <c r="AO37">
        <f>IF($AK37=1,IFERROR(IF(VALUE($D37)&lt;100000000,VALUE($D37),1000000000),IFERROR(IF(VALUE(MID($D37,2,20))&lt;100000000,VALUE(MID($D37,2,20)),1000000000),1000000000))+ROW()/100000,"")</f>
        <v/>
      </c>
    </row>
    <row r="38">
      <c r="F38" s="11" t="n"/>
      <c r="N38" s="7">
        <f>IF($D38="","",M38*X38/100)</f>
        <v/>
      </c>
      <c r="O38" s="7" t="n"/>
      <c r="U38" s="7" t="n"/>
      <c r="V38" s="7" t="n"/>
      <c r="W38" s="7">
        <f>IF($D38="","",V38*AB38/100)</f>
        <v/>
      </c>
      <c r="X38" s="7">
        <f>IF($D38="","",V38-W38)</f>
        <v/>
      </c>
      <c r="Y38" s="7">
        <f>IF($D38="","",X38-N38)</f>
        <v/>
      </c>
      <c r="AB38">
        <f>IF($D38="","",IF($AN38=1,Settings!$C$8,IF($AM38=1,Settings!$C$6,Settings!$C$7))*100)</f>
        <v/>
      </c>
      <c r="AF38" s="7" t="n"/>
      <c r="AI38" s="11" t="n"/>
      <c r="AK38">
        <f>IF($D38="","",IF(COUNTIF($D$2:$D38,$D38)=1,1,0))</f>
        <v/>
      </c>
      <c r="AL38">
        <f>IF($AK38=1,SUMPRODUCT(--($AO$2:$AO$1601&lt;$AO38))+1,"")</f>
        <v/>
      </c>
      <c r="AM38">
        <f>IF($D38="","",IF(OR($R38=TRUE(),$R38="TRUE"),1,0))</f>
        <v/>
      </c>
      <c r="AN38">
        <f>IF($D38="","",IF($AA38="Yes",1,0))</f>
        <v/>
      </c>
      <c r="AO38">
        <f>IF($AK38=1,IFERROR(IF(VALUE($D38)&lt;100000000,VALUE($D38),1000000000),IFERROR(IF(VALUE(MID($D38,2,20))&lt;100000000,VALUE(MID($D38,2,20)),1000000000),1000000000))+ROW()/100000,"")</f>
        <v/>
      </c>
    </row>
    <row r="39">
      <c r="F39" s="11" t="n"/>
      <c r="N39" s="7">
        <f>IF($D39="","",M39*X39/100)</f>
        <v/>
      </c>
      <c r="O39" s="7" t="n"/>
      <c r="U39" s="7" t="n"/>
      <c r="V39" s="7" t="n"/>
      <c r="W39" s="7">
        <f>IF($D39="","",V39*AB39/100)</f>
        <v/>
      </c>
      <c r="X39" s="7">
        <f>IF($D39="","",V39-W39)</f>
        <v/>
      </c>
      <c r="Y39" s="7">
        <f>IF($D39="","",X39-N39)</f>
        <v/>
      </c>
      <c r="AB39">
        <f>IF($D39="","",IF($AN39=1,Settings!$C$8,IF($AM39=1,Settings!$C$6,Settings!$C$7))*100)</f>
        <v/>
      </c>
      <c r="AF39" s="7" t="n"/>
      <c r="AI39" s="11" t="n"/>
      <c r="AK39">
        <f>IF($D39="","",IF(COUNTIF($D$2:$D39,$D39)=1,1,0))</f>
        <v/>
      </c>
      <c r="AL39">
        <f>IF($AK39=1,SUMPRODUCT(--($AO$2:$AO$1601&lt;$AO39))+1,"")</f>
        <v/>
      </c>
      <c r="AM39">
        <f>IF($D39="","",IF(OR($R39=TRUE(),$R39="TRUE"),1,0))</f>
        <v/>
      </c>
      <c r="AN39">
        <f>IF($D39="","",IF($AA39="Yes",1,0))</f>
        <v/>
      </c>
      <c r="AO39">
        <f>IF($AK39=1,IFERROR(IF(VALUE($D39)&lt;100000000,VALUE($D39),1000000000),IFERROR(IF(VALUE(MID($D39,2,20))&lt;100000000,VALUE(MID($D39,2,20)),1000000000),1000000000))+ROW()/100000,"")</f>
        <v/>
      </c>
    </row>
    <row r="40">
      <c r="F40" s="11" t="n"/>
      <c r="N40" s="7">
        <f>IF($D40="","",M40*X40/100)</f>
        <v/>
      </c>
      <c r="O40" s="7" t="n"/>
      <c r="U40" s="7" t="n"/>
      <c r="V40" s="7" t="n"/>
      <c r="W40" s="7">
        <f>IF($D40="","",V40*AB40/100)</f>
        <v/>
      </c>
      <c r="X40" s="7">
        <f>IF($D40="","",V40-W40)</f>
        <v/>
      </c>
      <c r="Y40" s="7">
        <f>IF($D40="","",X40-N40)</f>
        <v/>
      </c>
      <c r="AB40">
        <f>IF($D40="","",IF($AN40=1,Settings!$C$8,IF($AM40=1,Settings!$C$6,Settings!$C$7))*100)</f>
        <v/>
      </c>
      <c r="AF40" s="7" t="n"/>
      <c r="AI40" s="11" t="n"/>
      <c r="AK40">
        <f>IF($D40="","",IF(COUNTIF($D$2:$D40,$D40)=1,1,0))</f>
        <v/>
      </c>
      <c r="AL40">
        <f>IF($AK40=1,SUMPRODUCT(--($AO$2:$AO$1601&lt;$AO40))+1,"")</f>
        <v/>
      </c>
      <c r="AM40">
        <f>IF($D40="","",IF(OR($R40=TRUE(),$R40="TRUE"),1,0))</f>
        <v/>
      </c>
      <c r="AN40">
        <f>IF($D40="","",IF($AA40="Yes",1,0))</f>
        <v/>
      </c>
      <c r="AO40">
        <f>IF($AK40=1,IFERROR(IF(VALUE($D40)&lt;100000000,VALUE($D40),1000000000),IFERROR(IF(VALUE(MID($D40,2,20))&lt;100000000,VALUE(MID($D40,2,20)),1000000000),1000000000))+ROW()/100000,"")</f>
        <v/>
      </c>
    </row>
    <row r="41">
      <c r="F41" s="11" t="n"/>
      <c r="N41" s="7">
        <f>IF($D41="","",M41*X41/100)</f>
        <v/>
      </c>
      <c r="O41" s="7" t="n"/>
      <c r="U41" s="7" t="n"/>
      <c r="V41" s="7" t="n"/>
      <c r="W41" s="7">
        <f>IF($D41="","",V41*AB41/100)</f>
        <v/>
      </c>
      <c r="X41" s="7">
        <f>IF($D41="","",V41-W41)</f>
        <v/>
      </c>
      <c r="Y41" s="7">
        <f>IF($D41="","",X41-N41)</f>
        <v/>
      </c>
      <c r="AB41">
        <f>IF($D41="","",IF($AN41=1,Settings!$C$8,IF($AM41=1,Settings!$C$6,Settings!$C$7))*100)</f>
        <v/>
      </c>
      <c r="AF41" s="7" t="n"/>
      <c r="AI41" s="11" t="n"/>
      <c r="AK41">
        <f>IF($D41="","",IF(COUNTIF($D$2:$D41,$D41)=1,1,0))</f>
        <v/>
      </c>
      <c r="AL41">
        <f>IF($AK41=1,SUMPRODUCT(--($AO$2:$AO$1601&lt;$AO41))+1,"")</f>
        <v/>
      </c>
      <c r="AM41">
        <f>IF($D41="","",IF(OR($R41=TRUE(),$R41="TRUE"),1,0))</f>
        <v/>
      </c>
      <c r="AN41">
        <f>IF($D41="","",IF($AA41="Yes",1,0))</f>
        <v/>
      </c>
      <c r="AO41">
        <f>IF($AK41=1,IFERROR(IF(VALUE($D41)&lt;100000000,VALUE($D41),1000000000),IFERROR(IF(VALUE(MID($D41,2,20))&lt;100000000,VALUE(MID($D41,2,20)),1000000000),1000000000))+ROW()/100000,"")</f>
        <v/>
      </c>
    </row>
    <row r="42">
      <c r="F42" s="11" t="n"/>
      <c r="N42" s="7">
        <f>IF($D42="","",M42*X42/100)</f>
        <v/>
      </c>
      <c r="O42" s="7" t="n"/>
      <c r="U42" s="7" t="n"/>
      <c r="V42" s="7" t="n"/>
      <c r="W42" s="7">
        <f>IF($D42="","",V42*AB42/100)</f>
        <v/>
      </c>
      <c r="X42" s="7">
        <f>IF($D42="","",V42-W42)</f>
        <v/>
      </c>
      <c r="Y42" s="7">
        <f>IF($D42="","",X42-N42)</f>
        <v/>
      </c>
      <c r="AB42">
        <f>IF($D42="","",IF($AN42=1,Settings!$C$8,IF($AM42=1,Settings!$C$6,Settings!$C$7))*100)</f>
        <v/>
      </c>
      <c r="AF42" s="7" t="n"/>
      <c r="AI42" s="11" t="n"/>
      <c r="AK42">
        <f>IF($D42="","",IF(COUNTIF($D$2:$D42,$D42)=1,1,0))</f>
        <v/>
      </c>
      <c r="AL42">
        <f>IF($AK42=1,SUMPRODUCT(--($AO$2:$AO$1601&lt;$AO42))+1,"")</f>
        <v/>
      </c>
      <c r="AM42">
        <f>IF($D42="","",IF(OR($R42=TRUE(),$R42="TRUE"),1,0))</f>
        <v/>
      </c>
      <c r="AN42">
        <f>IF($D42="","",IF($AA42="Yes",1,0))</f>
        <v/>
      </c>
      <c r="AO42">
        <f>IF($AK42=1,IFERROR(IF(VALUE($D42)&lt;100000000,VALUE($D42),1000000000),IFERROR(IF(VALUE(MID($D42,2,20))&lt;100000000,VALUE(MID($D42,2,20)),1000000000),1000000000))+ROW()/100000,"")</f>
        <v/>
      </c>
    </row>
    <row r="43">
      <c r="F43" s="11" t="n"/>
      <c r="N43" s="7">
        <f>IF($D43="","",M43*X43/100)</f>
        <v/>
      </c>
      <c r="O43" s="7" t="n"/>
      <c r="U43" s="7" t="n"/>
      <c r="V43" s="7" t="n"/>
      <c r="W43" s="7">
        <f>IF($D43="","",V43*AB43/100)</f>
        <v/>
      </c>
      <c r="X43" s="7">
        <f>IF($D43="","",V43-W43)</f>
        <v/>
      </c>
      <c r="Y43" s="7">
        <f>IF($D43="","",X43-N43)</f>
        <v/>
      </c>
      <c r="AB43">
        <f>IF($D43="","",IF($AN43=1,Settings!$C$8,IF($AM43=1,Settings!$C$6,Settings!$C$7))*100)</f>
        <v/>
      </c>
      <c r="AF43" s="7" t="n"/>
      <c r="AI43" s="11" t="n"/>
      <c r="AK43">
        <f>IF($D43="","",IF(COUNTIF($D$2:$D43,$D43)=1,1,0))</f>
        <v/>
      </c>
      <c r="AL43">
        <f>IF($AK43=1,SUMPRODUCT(--($AO$2:$AO$1601&lt;$AO43))+1,"")</f>
        <v/>
      </c>
      <c r="AM43">
        <f>IF($D43="","",IF(OR($R43=TRUE(),$R43="TRUE"),1,0))</f>
        <v/>
      </c>
      <c r="AN43">
        <f>IF($D43="","",IF($AA43="Yes",1,0))</f>
        <v/>
      </c>
      <c r="AO43">
        <f>IF($AK43=1,IFERROR(IF(VALUE($D43)&lt;100000000,VALUE($D43),1000000000),IFERROR(IF(VALUE(MID($D43,2,20))&lt;100000000,VALUE(MID($D43,2,20)),1000000000),1000000000))+ROW()/100000,"")</f>
        <v/>
      </c>
    </row>
    <row r="44">
      <c r="F44" s="11" t="n"/>
      <c r="N44" s="7">
        <f>IF($D44="","",M44*X44/100)</f>
        <v/>
      </c>
      <c r="O44" s="7" t="n"/>
      <c r="U44" s="7" t="n"/>
      <c r="V44" s="7" t="n"/>
      <c r="W44" s="7">
        <f>IF($D44="","",V44*AB44/100)</f>
        <v/>
      </c>
      <c r="X44" s="7">
        <f>IF($D44="","",V44-W44)</f>
        <v/>
      </c>
      <c r="Y44" s="7">
        <f>IF($D44="","",X44-N44)</f>
        <v/>
      </c>
      <c r="AB44">
        <f>IF($D44="","",IF($AN44=1,Settings!$C$8,IF($AM44=1,Settings!$C$6,Settings!$C$7))*100)</f>
        <v/>
      </c>
      <c r="AF44" s="7" t="n"/>
      <c r="AI44" s="11" t="n"/>
      <c r="AK44">
        <f>IF($D44="","",IF(COUNTIF($D$2:$D44,$D44)=1,1,0))</f>
        <v/>
      </c>
      <c r="AL44">
        <f>IF($AK44=1,SUMPRODUCT(--($AO$2:$AO$1601&lt;$AO44))+1,"")</f>
        <v/>
      </c>
      <c r="AM44">
        <f>IF($D44="","",IF(OR($R44=TRUE(),$R44="TRUE"),1,0))</f>
        <v/>
      </c>
      <c r="AN44">
        <f>IF($D44="","",IF($AA44="Yes",1,0))</f>
        <v/>
      </c>
      <c r="AO44">
        <f>IF($AK44=1,IFERROR(IF(VALUE($D44)&lt;100000000,VALUE($D44),1000000000),IFERROR(IF(VALUE(MID($D44,2,20))&lt;100000000,VALUE(MID($D44,2,20)),1000000000),1000000000))+ROW()/100000,"")</f>
        <v/>
      </c>
    </row>
    <row r="45">
      <c r="F45" s="11" t="n"/>
      <c r="N45" s="7">
        <f>IF($D45="","",M45*X45/100)</f>
        <v/>
      </c>
      <c r="O45" s="7" t="n"/>
      <c r="U45" s="7" t="n"/>
      <c r="V45" s="7" t="n"/>
      <c r="W45" s="7">
        <f>IF($D45="","",V45*AB45/100)</f>
        <v/>
      </c>
      <c r="X45" s="7">
        <f>IF($D45="","",V45-W45)</f>
        <v/>
      </c>
      <c r="Y45" s="7">
        <f>IF($D45="","",X45-N45)</f>
        <v/>
      </c>
      <c r="AB45">
        <f>IF($D45="","",IF($AN45=1,Settings!$C$8,IF($AM45=1,Settings!$C$6,Settings!$C$7))*100)</f>
        <v/>
      </c>
      <c r="AF45" s="7" t="n"/>
      <c r="AI45" s="11" t="n"/>
      <c r="AK45">
        <f>IF($D45="","",IF(COUNTIF($D$2:$D45,$D45)=1,1,0))</f>
        <v/>
      </c>
      <c r="AL45">
        <f>IF($AK45=1,SUMPRODUCT(--($AO$2:$AO$1601&lt;$AO45))+1,"")</f>
        <v/>
      </c>
      <c r="AM45">
        <f>IF($D45="","",IF(OR($R45=TRUE(),$R45="TRUE"),1,0))</f>
        <v/>
      </c>
      <c r="AN45">
        <f>IF($D45="","",IF($AA45="Yes",1,0))</f>
        <v/>
      </c>
      <c r="AO45">
        <f>IF($AK45=1,IFERROR(IF(VALUE($D45)&lt;100000000,VALUE($D45),1000000000),IFERROR(IF(VALUE(MID($D45,2,20))&lt;100000000,VALUE(MID($D45,2,20)),1000000000),1000000000))+ROW()/100000,"")</f>
        <v/>
      </c>
    </row>
    <row r="46">
      <c r="F46" s="11" t="n"/>
      <c r="N46" s="7">
        <f>IF($D46="","",M46*X46/100)</f>
        <v/>
      </c>
      <c r="O46" s="7" t="n"/>
      <c r="U46" s="7" t="n"/>
      <c r="V46" s="7" t="n"/>
      <c r="W46" s="7">
        <f>IF($D46="","",V46*AB46/100)</f>
        <v/>
      </c>
      <c r="X46" s="7">
        <f>IF($D46="","",V46-W46)</f>
        <v/>
      </c>
      <c r="Y46" s="7">
        <f>IF($D46="","",X46-N46)</f>
        <v/>
      </c>
      <c r="AB46">
        <f>IF($D46="","",IF($AN46=1,Settings!$C$8,IF($AM46=1,Settings!$C$6,Settings!$C$7))*100)</f>
        <v/>
      </c>
      <c r="AF46" s="7" t="n"/>
      <c r="AI46" s="11" t="n"/>
      <c r="AK46">
        <f>IF($D46="","",IF(COUNTIF($D$2:$D46,$D46)=1,1,0))</f>
        <v/>
      </c>
      <c r="AL46">
        <f>IF($AK46=1,SUMPRODUCT(--($AO$2:$AO$1601&lt;$AO46))+1,"")</f>
        <v/>
      </c>
      <c r="AM46">
        <f>IF($D46="","",IF(OR($R46=TRUE(),$R46="TRUE"),1,0))</f>
        <v/>
      </c>
      <c r="AN46">
        <f>IF($D46="","",IF($AA46="Yes",1,0))</f>
        <v/>
      </c>
      <c r="AO46">
        <f>IF($AK46=1,IFERROR(IF(VALUE($D46)&lt;100000000,VALUE($D46),1000000000),IFERROR(IF(VALUE(MID($D46,2,20))&lt;100000000,VALUE(MID($D46,2,20)),1000000000),1000000000))+ROW()/100000,"")</f>
        <v/>
      </c>
    </row>
    <row r="47">
      <c r="F47" s="11" t="n"/>
      <c r="N47" s="7">
        <f>IF($D47="","",M47*X47/100)</f>
        <v/>
      </c>
      <c r="O47" s="7" t="n"/>
      <c r="U47" s="7" t="n"/>
      <c r="V47" s="7" t="n"/>
      <c r="W47" s="7">
        <f>IF($D47="","",V47*AB47/100)</f>
        <v/>
      </c>
      <c r="X47" s="7">
        <f>IF($D47="","",V47-W47)</f>
        <v/>
      </c>
      <c r="Y47" s="7">
        <f>IF($D47="","",X47-N47)</f>
        <v/>
      </c>
      <c r="AB47">
        <f>IF($D47="","",IF($AN47=1,Settings!$C$8,IF($AM47=1,Settings!$C$6,Settings!$C$7))*100)</f>
        <v/>
      </c>
      <c r="AF47" s="7" t="n"/>
      <c r="AI47" s="11" t="n"/>
      <c r="AK47">
        <f>IF($D47="","",IF(COUNTIF($D$2:$D47,$D47)=1,1,0))</f>
        <v/>
      </c>
      <c r="AL47">
        <f>IF($AK47=1,SUMPRODUCT(--($AO$2:$AO$1601&lt;$AO47))+1,"")</f>
        <v/>
      </c>
      <c r="AM47">
        <f>IF($D47="","",IF(OR($R47=TRUE(),$R47="TRUE"),1,0))</f>
        <v/>
      </c>
      <c r="AN47">
        <f>IF($D47="","",IF($AA47="Yes",1,0))</f>
        <v/>
      </c>
      <c r="AO47">
        <f>IF($AK47=1,IFERROR(IF(VALUE($D47)&lt;100000000,VALUE($D47),1000000000),IFERROR(IF(VALUE(MID($D47,2,20))&lt;100000000,VALUE(MID($D47,2,20)),1000000000),1000000000))+ROW()/100000,"")</f>
        <v/>
      </c>
    </row>
    <row r="48">
      <c r="F48" s="11" t="n"/>
      <c r="N48" s="7">
        <f>IF($D48="","",M48*X48/100)</f>
        <v/>
      </c>
      <c r="O48" s="7" t="n"/>
      <c r="U48" s="7" t="n"/>
      <c r="V48" s="7" t="n"/>
      <c r="W48" s="7">
        <f>IF($D48="","",V48*AB48/100)</f>
        <v/>
      </c>
      <c r="X48" s="7">
        <f>IF($D48="","",V48-W48)</f>
        <v/>
      </c>
      <c r="Y48" s="7">
        <f>IF($D48="","",X48-N48)</f>
        <v/>
      </c>
      <c r="AB48">
        <f>IF($D48="","",IF($AN48=1,Settings!$C$8,IF($AM48=1,Settings!$C$6,Settings!$C$7))*100)</f>
        <v/>
      </c>
      <c r="AF48" s="7" t="n"/>
      <c r="AI48" s="11" t="n"/>
      <c r="AK48">
        <f>IF($D48="","",IF(COUNTIF($D$2:$D48,$D48)=1,1,0))</f>
        <v/>
      </c>
      <c r="AL48">
        <f>IF($AK48=1,SUMPRODUCT(--($AO$2:$AO$1601&lt;$AO48))+1,"")</f>
        <v/>
      </c>
      <c r="AM48">
        <f>IF($D48="","",IF(OR($R48=TRUE(),$R48="TRUE"),1,0))</f>
        <v/>
      </c>
      <c r="AN48">
        <f>IF($D48="","",IF($AA48="Yes",1,0))</f>
        <v/>
      </c>
      <c r="AO48">
        <f>IF($AK48=1,IFERROR(IF(VALUE($D48)&lt;100000000,VALUE($D48),1000000000),IFERROR(IF(VALUE(MID($D48,2,20))&lt;100000000,VALUE(MID($D48,2,20)),1000000000),1000000000))+ROW()/100000,"")</f>
        <v/>
      </c>
    </row>
    <row r="49">
      <c r="F49" s="11" t="n"/>
      <c r="N49" s="7">
        <f>IF($D49="","",M49*X49/100)</f>
        <v/>
      </c>
      <c r="O49" s="7" t="n"/>
      <c r="U49" s="7" t="n"/>
      <c r="V49" s="7" t="n"/>
      <c r="W49" s="7">
        <f>IF($D49="","",V49*AB49/100)</f>
        <v/>
      </c>
      <c r="X49" s="7">
        <f>IF($D49="","",V49-W49)</f>
        <v/>
      </c>
      <c r="Y49" s="7">
        <f>IF($D49="","",X49-N49)</f>
        <v/>
      </c>
      <c r="AB49">
        <f>IF($D49="","",IF($AN49=1,Settings!$C$8,IF($AM49=1,Settings!$C$6,Settings!$C$7))*100)</f>
        <v/>
      </c>
      <c r="AF49" s="7" t="n"/>
      <c r="AI49" s="11" t="n"/>
      <c r="AK49">
        <f>IF($D49="","",IF(COUNTIF($D$2:$D49,$D49)=1,1,0))</f>
        <v/>
      </c>
      <c r="AL49">
        <f>IF($AK49=1,SUMPRODUCT(--($AO$2:$AO$1601&lt;$AO49))+1,"")</f>
        <v/>
      </c>
      <c r="AM49">
        <f>IF($D49="","",IF(OR($R49=TRUE(),$R49="TRUE"),1,0))</f>
        <v/>
      </c>
      <c r="AN49">
        <f>IF($D49="","",IF($AA49="Yes",1,0))</f>
        <v/>
      </c>
      <c r="AO49">
        <f>IF($AK49=1,IFERROR(IF(VALUE($D49)&lt;100000000,VALUE($D49),1000000000),IFERROR(IF(VALUE(MID($D49,2,20))&lt;100000000,VALUE(MID($D49,2,20)),1000000000),1000000000))+ROW()/100000,"")</f>
        <v/>
      </c>
    </row>
    <row r="50">
      <c r="F50" s="11" t="n"/>
      <c r="N50" s="7">
        <f>IF($D50="","",M50*X50/100)</f>
        <v/>
      </c>
      <c r="O50" s="7" t="n"/>
      <c r="U50" s="7" t="n"/>
      <c r="V50" s="7" t="n"/>
      <c r="W50" s="7">
        <f>IF($D50="","",V50*AB50/100)</f>
        <v/>
      </c>
      <c r="X50" s="7">
        <f>IF($D50="","",V50-W50)</f>
        <v/>
      </c>
      <c r="Y50" s="7">
        <f>IF($D50="","",X50-N50)</f>
        <v/>
      </c>
      <c r="AB50">
        <f>IF($D50="","",IF($AN50=1,Settings!$C$8,IF($AM50=1,Settings!$C$6,Settings!$C$7))*100)</f>
        <v/>
      </c>
      <c r="AF50" s="7" t="n"/>
      <c r="AI50" s="11" t="n"/>
      <c r="AK50">
        <f>IF($D50="","",IF(COUNTIF($D$2:$D50,$D50)=1,1,0))</f>
        <v/>
      </c>
      <c r="AL50">
        <f>IF($AK50=1,SUMPRODUCT(--($AO$2:$AO$1601&lt;$AO50))+1,"")</f>
        <v/>
      </c>
      <c r="AM50">
        <f>IF($D50="","",IF(OR($R50=TRUE(),$R50="TRUE"),1,0))</f>
        <v/>
      </c>
      <c r="AN50">
        <f>IF($D50="","",IF($AA50="Yes",1,0))</f>
        <v/>
      </c>
      <c r="AO50">
        <f>IF($AK50=1,IFERROR(IF(VALUE($D50)&lt;100000000,VALUE($D50),1000000000),IFERROR(IF(VALUE(MID($D50,2,20))&lt;100000000,VALUE(MID($D50,2,20)),1000000000),1000000000))+ROW()/100000,"")</f>
        <v/>
      </c>
    </row>
    <row r="51">
      <c r="F51" s="11" t="n"/>
      <c r="N51" s="7">
        <f>IF($D51="","",M51*X51/100)</f>
        <v/>
      </c>
      <c r="O51" s="7" t="n"/>
      <c r="U51" s="7" t="n"/>
      <c r="V51" s="7" t="n"/>
      <c r="W51" s="7">
        <f>IF($D51="","",V51*AB51/100)</f>
        <v/>
      </c>
      <c r="X51" s="7">
        <f>IF($D51="","",V51-W51)</f>
        <v/>
      </c>
      <c r="Y51" s="7">
        <f>IF($D51="","",X51-N51)</f>
        <v/>
      </c>
      <c r="AB51">
        <f>IF($D51="","",IF($AN51=1,Settings!$C$8,IF($AM51=1,Settings!$C$6,Settings!$C$7))*100)</f>
        <v/>
      </c>
      <c r="AF51" s="7" t="n"/>
      <c r="AI51" s="11" t="n"/>
      <c r="AK51">
        <f>IF($D51="","",IF(COUNTIF($D$2:$D51,$D51)=1,1,0))</f>
        <v/>
      </c>
      <c r="AL51">
        <f>IF($AK51=1,SUMPRODUCT(--($AO$2:$AO$1601&lt;$AO51))+1,"")</f>
        <v/>
      </c>
      <c r="AM51">
        <f>IF($D51="","",IF(OR($R51=TRUE(),$R51="TRUE"),1,0))</f>
        <v/>
      </c>
      <c r="AN51">
        <f>IF($D51="","",IF($AA51="Yes",1,0))</f>
        <v/>
      </c>
      <c r="AO51">
        <f>IF($AK51=1,IFERROR(IF(VALUE($D51)&lt;100000000,VALUE($D51),1000000000),IFERROR(IF(VALUE(MID($D51,2,20))&lt;100000000,VALUE(MID($D51,2,20)),1000000000),1000000000))+ROW()/100000,"")</f>
        <v/>
      </c>
    </row>
    <row r="52">
      <c r="F52" s="11" t="n"/>
      <c r="N52" s="7">
        <f>IF($D52="","",M52*X52/100)</f>
        <v/>
      </c>
      <c r="O52" s="7" t="n"/>
      <c r="U52" s="7" t="n"/>
      <c r="V52" s="7" t="n"/>
      <c r="W52" s="7">
        <f>IF($D52="","",V52*AB52/100)</f>
        <v/>
      </c>
      <c r="X52" s="7">
        <f>IF($D52="","",V52-W52)</f>
        <v/>
      </c>
      <c r="Y52" s="7">
        <f>IF($D52="","",X52-N52)</f>
        <v/>
      </c>
      <c r="AB52">
        <f>IF($D52="","",IF($AN52=1,Settings!$C$8,IF($AM52=1,Settings!$C$6,Settings!$C$7))*100)</f>
        <v/>
      </c>
      <c r="AF52" s="7" t="n"/>
      <c r="AI52" s="11" t="n"/>
      <c r="AK52">
        <f>IF($D52="","",IF(COUNTIF($D$2:$D52,$D52)=1,1,0))</f>
        <v/>
      </c>
      <c r="AL52">
        <f>IF($AK52=1,SUMPRODUCT(--($AO$2:$AO$1601&lt;$AO52))+1,"")</f>
        <v/>
      </c>
      <c r="AM52">
        <f>IF($D52="","",IF(OR($R52=TRUE(),$R52="TRUE"),1,0))</f>
        <v/>
      </c>
      <c r="AN52">
        <f>IF($D52="","",IF($AA52="Yes",1,0))</f>
        <v/>
      </c>
      <c r="AO52">
        <f>IF($AK52=1,IFERROR(IF(VALUE($D52)&lt;100000000,VALUE($D52),1000000000),IFERROR(IF(VALUE(MID($D52,2,20))&lt;100000000,VALUE(MID($D52,2,20)),1000000000),1000000000))+ROW()/100000,"")</f>
        <v/>
      </c>
    </row>
    <row r="53">
      <c r="F53" s="11" t="n"/>
      <c r="N53" s="7">
        <f>IF($D53="","",M53*X53/100)</f>
        <v/>
      </c>
      <c r="O53" s="7" t="n"/>
      <c r="U53" s="7" t="n"/>
      <c r="V53" s="7" t="n"/>
      <c r="W53" s="7">
        <f>IF($D53="","",V53*AB53/100)</f>
        <v/>
      </c>
      <c r="X53" s="7">
        <f>IF($D53="","",V53-W53)</f>
        <v/>
      </c>
      <c r="Y53" s="7">
        <f>IF($D53="","",X53-N53)</f>
        <v/>
      </c>
      <c r="AB53">
        <f>IF($D53="","",IF($AN53=1,Settings!$C$8,IF($AM53=1,Settings!$C$6,Settings!$C$7))*100)</f>
        <v/>
      </c>
      <c r="AF53" s="7" t="n"/>
      <c r="AI53" s="11" t="n"/>
      <c r="AK53">
        <f>IF($D53="","",IF(COUNTIF($D$2:$D53,$D53)=1,1,0))</f>
        <v/>
      </c>
      <c r="AL53">
        <f>IF($AK53=1,SUMPRODUCT(--($AO$2:$AO$1601&lt;$AO53))+1,"")</f>
        <v/>
      </c>
      <c r="AM53">
        <f>IF($D53="","",IF(OR($R53=TRUE(),$R53="TRUE"),1,0))</f>
        <v/>
      </c>
      <c r="AN53">
        <f>IF($D53="","",IF($AA53="Yes",1,0))</f>
        <v/>
      </c>
      <c r="AO53">
        <f>IF($AK53=1,IFERROR(IF(VALUE($D53)&lt;100000000,VALUE($D53),1000000000),IFERROR(IF(VALUE(MID($D53,2,20))&lt;100000000,VALUE(MID($D53,2,20)),1000000000),1000000000))+ROW()/100000,"")</f>
        <v/>
      </c>
    </row>
    <row r="54">
      <c r="F54" s="11" t="n"/>
      <c r="N54" s="7">
        <f>IF($D54="","",M54*X54/100)</f>
        <v/>
      </c>
      <c r="O54" s="7" t="n"/>
      <c r="U54" s="7" t="n"/>
      <c r="V54" s="7" t="n"/>
      <c r="W54" s="7">
        <f>IF($D54="","",V54*AB54/100)</f>
        <v/>
      </c>
      <c r="X54" s="7">
        <f>IF($D54="","",V54-W54)</f>
        <v/>
      </c>
      <c r="Y54" s="7">
        <f>IF($D54="","",X54-N54)</f>
        <v/>
      </c>
      <c r="AB54">
        <f>IF($D54="","",IF($AN54=1,Settings!$C$8,IF($AM54=1,Settings!$C$6,Settings!$C$7))*100)</f>
        <v/>
      </c>
      <c r="AF54" s="7" t="n"/>
      <c r="AI54" s="11" t="n"/>
      <c r="AK54">
        <f>IF($D54="","",IF(COUNTIF($D$2:$D54,$D54)=1,1,0))</f>
        <v/>
      </c>
      <c r="AL54">
        <f>IF($AK54=1,SUMPRODUCT(--($AO$2:$AO$1601&lt;$AO54))+1,"")</f>
        <v/>
      </c>
      <c r="AM54">
        <f>IF($D54="","",IF(OR($R54=TRUE(),$R54="TRUE"),1,0))</f>
        <v/>
      </c>
      <c r="AN54">
        <f>IF($D54="","",IF($AA54="Yes",1,0))</f>
        <v/>
      </c>
      <c r="AO54">
        <f>IF($AK54=1,IFERROR(IF(VALUE($D54)&lt;100000000,VALUE($D54),1000000000),IFERROR(IF(VALUE(MID($D54,2,20))&lt;100000000,VALUE(MID($D54,2,20)),1000000000),1000000000))+ROW()/100000,"")</f>
        <v/>
      </c>
    </row>
    <row r="55">
      <c r="F55" s="11" t="n"/>
      <c r="N55" s="7">
        <f>IF($D55="","",M55*X55/100)</f>
        <v/>
      </c>
      <c r="O55" s="7" t="n"/>
      <c r="U55" s="7" t="n"/>
      <c r="V55" s="7" t="n"/>
      <c r="W55" s="7">
        <f>IF($D55="","",V55*AB55/100)</f>
        <v/>
      </c>
      <c r="X55" s="7">
        <f>IF($D55="","",V55-W55)</f>
        <v/>
      </c>
      <c r="Y55" s="7">
        <f>IF($D55="","",X55-N55)</f>
        <v/>
      </c>
      <c r="AB55">
        <f>IF($D55="","",IF($AN55=1,Settings!$C$8,IF($AM55=1,Settings!$C$6,Settings!$C$7))*100)</f>
        <v/>
      </c>
      <c r="AF55" s="7" t="n"/>
      <c r="AI55" s="11" t="n"/>
      <c r="AK55">
        <f>IF($D55="","",IF(COUNTIF($D$2:$D55,$D55)=1,1,0))</f>
        <v/>
      </c>
      <c r="AL55">
        <f>IF($AK55=1,SUMPRODUCT(--($AO$2:$AO$1601&lt;$AO55))+1,"")</f>
        <v/>
      </c>
      <c r="AM55">
        <f>IF($D55="","",IF(OR($R55=TRUE(),$R55="TRUE"),1,0))</f>
        <v/>
      </c>
      <c r="AN55">
        <f>IF($D55="","",IF($AA55="Yes",1,0))</f>
        <v/>
      </c>
      <c r="AO55">
        <f>IF($AK55=1,IFERROR(IF(VALUE($D55)&lt;100000000,VALUE($D55),1000000000),IFERROR(IF(VALUE(MID($D55,2,20))&lt;100000000,VALUE(MID($D55,2,20)),1000000000),1000000000))+ROW()/100000,"")</f>
        <v/>
      </c>
    </row>
    <row r="56">
      <c r="F56" s="11" t="n"/>
      <c r="N56" s="7">
        <f>IF($D56="","",M56*X56/100)</f>
        <v/>
      </c>
      <c r="O56" s="7" t="n"/>
      <c r="U56" s="7" t="n"/>
      <c r="V56" s="7" t="n"/>
      <c r="W56" s="7">
        <f>IF($D56="","",V56*AB56/100)</f>
        <v/>
      </c>
      <c r="X56" s="7">
        <f>IF($D56="","",V56-W56)</f>
        <v/>
      </c>
      <c r="Y56" s="7">
        <f>IF($D56="","",X56-N56)</f>
        <v/>
      </c>
      <c r="AB56">
        <f>IF($D56="","",IF($AN56=1,Settings!$C$8,IF($AM56=1,Settings!$C$6,Settings!$C$7))*100)</f>
        <v/>
      </c>
      <c r="AF56" s="7" t="n"/>
      <c r="AI56" s="11" t="n"/>
      <c r="AK56">
        <f>IF($D56="","",IF(COUNTIF($D$2:$D56,$D56)=1,1,0))</f>
        <v/>
      </c>
      <c r="AL56">
        <f>IF($AK56=1,SUMPRODUCT(--($AO$2:$AO$1601&lt;$AO56))+1,"")</f>
        <v/>
      </c>
      <c r="AM56">
        <f>IF($D56="","",IF(OR($R56=TRUE(),$R56="TRUE"),1,0))</f>
        <v/>
      </c>
      <c r="AN56">
        <f>IF($D56="","",IF($AA56="Yes",1,0))</f>
        <v/>
      </c>
      <c r="AO56">
        <f>IF($AK56=1,IFERROR(IF(VALUE($D56)&lt;100000000,VALUE($D56),1000000000),IFERROR(IF(VALUE(MID($D56,2,20))&lt;100000000,VALUE(MID($D56,2,20)),1000000000),1000000000))+ROW()/100000,"")</f>
        <v/>
      </c>
    </row>
    <row r="57">
      <c r="F57" s="11" t="n"/>
      <c r="N57" s="7">
        <f>IF($D57="","",M57*X57/100)</f>
        <v/>
      </c>
      <c r="O57" s="7" t="n"/>
      <c r="U57" s="7" t="n"/>
      <c r="V57" s="7" t="n"/>
      <c r="W57" s="7">
        <f>IF($D57="","",V57*AB57/100)</f>
        <v/>
      </c>
      <c r="X57" s="7">
        <f>IF($D57="","",V57-W57)</f>
        <v/>
      </c>
      <c r="Y57" s="7">
        <f>IF($D57="","",X57-N57)</f>
        <v/>
      </c>
      <c r="AB57">
        <f>IF($D57="","",IF($AN57=1,Settings!$C$8,IF($AM57=1,Settings!$C$6,Settings!$C$7))*100)</f>
        <v/>
      </c>
      <c r="AF57" s="7" t="n"/>
      <c r="AI57" s="11" t="n"/>
      <c r="AK57">
        <f>IF($D57="","",IF(COUNTIF($D$2:$D57,$D57)=1,1,0))</f>
        <v/>
      </c>
      <c r="AL57">
        <f>IF($AK57=1,SUMPRODUCT(--($AO$2:$AO$1601&lt;$AO57))+1,"")</f>
        <v/>
      </c>
      <c r="AM57">
        <f>IF($D57="","",IF(OR($R57=TRUE(),$R57="TRUE"),1,0))</f>
        <v/>
      </c>
      <c r="AN57">
        <f>IF($D57="","",IF($AA57="Yes",1,0))</f>
        <v/>
      </c>
      <c r="AO57">
        <f>IF($AK57=1,IFERROR(IF(VALUE($D57)&lt;100000000,VALUE($D57),1000000000),IFERROR(IF(VALUE(MID($D57,2,20))&lt;100000000,VALUE(MID($D57,2,20)),1000000000),1000000000))+ROW()/100000,"")</f>
        <v/>
      </c>
    </row>
    <row r="58">
      <c r="F58" s="11" t="n"/>
      <c r="N58" s="7">
        <f>IF($D58="","",M58*X58/100)</f>
        <v/>
      </c>
      <c r="O58" s="7" t="n"/>
      <c r="U58" s="7" t="n"/>
      <c r="V58" s="7" t="n"/>
      <c r="W58" s="7">
        <f>IF($D58="","",V58*AB58/100)</f>
        <v/>
      </c>
      <c r="X58" s="7">
        <f>IF($D58="","",V58-W58)</f>
        <v/>
      </c>
      <c r="Y58" s="7">
        <f>IF($D58="","",X58-N58)</f>
        <v/>
      </c>
      <c r="AB58">
        <f>IF($D58="","",IF($AN58=1,Settings!$C$8,IF($AM58=1,Settings!$C$6,Settings!$C$7))*100)</f>
        <v/>
      </c>
      <c r="AF58" s="7" t="n"/>
      <c r="AI58" s="11" t="n"/>
      <c r="AK58">
        <f>IF($D58="","",IF(COUNTIF($D$2:$D58,$D58)=1,1,0))</f>
        <v/>
      </c>
      <c r="AL58">
        <f>IF($AK58=1,SUMPRODUCT(--($AO$2:$AO$1601&lt;$AO58))+1,"")</f>
        <v/>
      </c>
      <c r="AM58">
        <f>IF($D58="","",IF(OR($R58=TRUE(),$R58="TRUE"),1,0))</f>
        <v/>
      </c>
      <c r="AN58">
        <f>IF($D58="","",IF($AA58="Yes",1,0))</f>
        <v/>
      </c>
      <c r="AO58">
        <f>IF($AK58=1,IFERROR(IF(VALUE($D58)&lt;100000000,VALUE($D58),1000000000),IFERROR(IF(VALUE(MID($D58,2,20))&lt;100000000,VALUE(MID($D58,2,20)),1000000000),1000000000))+ROW()/100000,"")</f>
        <v/>
      </c>
    </row>
    <row r="59">
      <c r="F59" s="11" t="n"/>
      <c r="N59" s="7">
        <f>IF($D59="","",M59*X59/100)</f>
        <v/>
      </c>
      <c r="O59" s="7" t="n"/>
      <c r="U59" s="7" t="n"/>
      <c r="V59" s="7" t="n"/>
      <c r="W59" s="7">
        <f>IF($D59="","",V59*AB59/100)</f>
        <v/>
      </c>
      <c r="X59" s="7">
        <f>IF($D59="","",V59-W59)</f>
        <v/>
      </c>
      <c r="Y59" s="7">
        <f>IF($D59="","",X59-N59)</f>
        <v/>
      </c>
      <c r="AB59">
        <f>IF($D59="","",IF($AN59=1,Settings!$C$8,IF($AM59=1,Settings!$C$6,Settings!$C$7))*100)</f>
        <v/>
      </c>
      <c r="AF59" s="7" t="n"/>
      <c r="AI59" s="11" t="n"/>
      <c r="AK59">
        <f>IF($D59="","",IF(COUNTIF($D$2:$D59,$D59)=1,1,0))</f>
        <v/>
      </c>
      <c r="AL59">
        <f>IF($AK59=1,SUMPRODUCT(--($AO$2:$AO$1601&lt;$AO59))+1,"")</f>
        <v/>
      </c>
      <c r="AM59">
        <f>IF($D59="","",IF(OR($R59=TRUE(),$R59="TRUE"),1,0))</f>
        <v/>
      </c>
      <c r="AN59">
        <f>IF($D59="","",IF($AA59="Yes",1,0))</f>
        <v/>
      </c>
      <c r="AO59">
        <f>IF($AK59=1,IFERROR(IF(VALUE($D59)&lt;100000000,VALUE($D59),1000000000),IFERROR(IF(VALUE(MID($D59,2,20))&lt;100000000,VALUE(MID($D59,2,20)),1000000000),1000000000))+ROW()/100000,"")</f>
        <v/>
      </c>
    </row>
    <row r="60">
      <c r="F60" s="11" t="n"/>
      <c r="N60" s="7">
        <f>IF($D60="","",M60*X60/100)</f>
        <v/>
      </c>
      <c r="O60" s="7" t="n"/>
      <c r="U60" s="7" t="n"/>
      <c r="V60" s="7" t="n"/>
      <c r="W60" s="7">
        <f>IF($D60="","",V60*AB60/100)</f>
        <v/>
      </c>
      <c r="X60" s="7">
        <f>IF($D60="","",V60-W60)</f>
        <v/>
      </c>
      <c r="Y60" s="7">
        <f>IF($D60="","",X60-N60)</f>
        <v/>
      </c>
      <c r="AB60">
        <f>IF($D60="","",IF($AN60=1,Settings!$C$8,IF($AM60=1,Settings!$C$6,Settings!$C$7))*100)</f>
        <v/>
      </c>
      <c r="AF60" s="7" t="n"/>
      <c r="AI60" s="11" t="n"/>
      <c r="AK60">
        <f>IF($D60="","",IF(COUNTIF($D$2:$D60,$D60)=1,1,0))</f>
        <v/>
      </c>
      <c r="AL60">
        <f>IF($AK60=1,SUMPRODUCT(--($AO$2:$AO$1601&lt;$AO60))+1,"")</f>
        <v/>
      </c>
      <c r="AM60">
        <f>IF($D60="","",IF(OR($R60=TRUE(),$R60="TRUE"),1,0))</f>
        <v/>
      </c>
      <c r="AN60">
        <f>IF($D60="","",IF($AA60="Yes",1,0))</f>
        <v/>
      </c>
      <c r="AO60">
        <f>IF($AK60=1,IFERROR(IF(VALUE($D60)&lt;100000000,VALUE($D60),1000000000),IFERROR(IF(VALUE(MID($D60,2,20))&lt;100000000,VALUE(MID($D60,2,20)),1000000000),1000000000))+ROW()/100000,"")</f>
        <v/>
      </c>
    </row>
    <row r="61">
      <c r="F61" s="11" t="n"/>
      <c r="N61" s="7">
        <f>IF($D61="","",M61*X61/100)</f>
        <v/>
      </c>
      <c r="O61" s="7" t="n"/>
      <c r="U61" s="7" t="n"/>
      <c r="V61" s="7" t="n"/>
      <c r="W61" s="7">
        <f>IF($D61="","",V61*AB61/100)</f>
        <v/>
      </c>
      <c r="X61" s="7">
        <f>IF($D61="","",V61-W61)</f>
        <v/>
      </c>
      <c r="Y61" s="7">
        <f>IF($D61="","",X61-N61)</f>
        <v/>
      </c>
      <c r="AB61">
        <f>IF($D61="","",IF($AN61=1,Settings!$C$8,IF($AM61=1,Settings!$C$6,Settings!$C$7))*100)</f>
        <v/>
      </c>
      <c r="AF61" s="7" t="n"/>
      <c r="AI61" s="11" t="n"/>
      <c r="AK61">
        <f>IF($D61="","",IF(COUNTIF($D$2:$D61,$D61)=1,1,0))</f>
        <v/>
      </c>
      <c r="AL61">
        <f>IF($AK61=1,SUMPRODUCT(--($AO$2:$AO$1601&lt;$AO61))+1,"")</f>
        <v/>
      </c>
      <c r="AM61">
        <f>IF($D61="","",IF(OR($R61=TRUE(),$R61="TRUE"),1,0))</f>
        <v/>
      </c>
      <c r="AN61">
        <f>IF($D61="","",IF($AA61="Yes",1,0))</f>
        <v/>
      </c>
      <c r="AO61">
        <f>IF($AK61=1,IFERROR(IF(VALUE($D61)&lt;100000000,VALUE($D61),1000000000),IFERROR(IF(VALUE(MID($D61,2,20))&lt;100000000,VALUE(MID($D61,2,20)),1000000000),1000000000))+ROW()/100000,"")</f>
        <v/>
      </c>
    </row>
    <row r="62">
      <c r="F62" s="11" t="n"/>
      <c r="N62" s="7">
        <f>IF($D62="","",M62*X62/100)</f>
        <v/>
      </c>
      <c r="O62" s="7" t="n"/>
      <c r="U62" s="7" t="n"/>
      <c r="V62" s="7" t="n"/>
      <c r="W62" s="7">
        <f>IF($D62="","",V62*AB62/100)</f>
        <v/>
      </c>
      <c r="X62" s="7">
        <f>IF($D62="","",V62-W62)</f>
        <v/>
      </c>
      <c r="Y62" s="7">
        <f>IF($D62="","",X62-N62)</f>
        <v/>
      </c>
      <c r="AB62">
        <f>IF($D62="","",IF($AN62=1,Settings!$C$8,IF($AM62=1,Settings!$C$6,Settings!$C$7))*100)</f>
        <v/>
      </c>
      <c r="AF62" s="7" t="n"/>
      <c r="AI62" s="11" t="n"/>
      <c r="AK62">
        <f>IF($D62="","",IF(COUNTIF($D$2:$D62,$D62)=1,1,0))</f>
        <v/>
      </c>
      <c r="AL62">
        <f>IF($AK62=1,SUMPRODUCT(--($AO$2:$AO$1601&lt;$AO62))+1,"")</f>
        <v/>
      </c>
      <c r="AM62">
        <f>IF($D62="","",IF(OR($R62=TRUE(),$R62="TRUE"),1,0))</f>
        <v/>
      </c>
      <c r="AN62">
        <f>IF($D62="","",IF($AA62="Yes",1,0))</f>
        <v/>
      </c>
      <c r="AO62">
        <f>IF($AK62=1,IFERROR(IF(VALUE($D62)&lt;100000000,VALUE($D62),1000000000),IFERROR(IF(VALUE(MID($D62,2,20))&lt;100000000,VALUE(MID($D62,2,20)),1000000000),1000000000))+ROW()/100000,"")</f>
        <v/>
      </c>
    </row>
    <row r="63">
      <c r="F63" s="11" t="n"/>
      <c r="N63" s="7">
        <f>IF($D63="","",M63*X63/100)</f>
        <v/>
      </c>
      <c r="O63" s="7" t="n"/>
      <c r="U63" s="7" t="n"/>
      <c r="V63" s="7" t="n"/>
      <c r="W63" s="7">
        <f>IF($D63="","",V63*AB63/100)</f>
        <v/>
      </c>
      <c r="X63" s="7">
        <f>IF($D63="","",V63-W63)</f>
        <v/>
      </c>
      <c r="Y63" s="7">
        <f>IF($D63="","",X63-N63)</f>
        <v/>
      </c>
      <c r="AB63">
        <f>IF($D63="","",IF($AN63=1,Settings!$C$8,IF($AM63=1,Settings!$C$6,Settings!$C$7))*100)</f>
        <v/>
      </c>
      <c r="AF63" s="7" t="n"/>
      <c r="AI63" s="11" t="n"/>
      <c r="AK63">
        <f>IF($D63="","",IF(COUNTIF($D$2:$D63,$D63)=1,1,0))</f>
        <v/>
      </c>
      <c r="AL63">
        <f>IF($AK63=1,SUMPRODUCT(--($AO$2:$AO$1601&lt;$AO63))+1,"")</f>
        <v/>
      </c>
      <c r="AM63">
        <f>IF($D63="","",IF(OR($R63=TRUE(),$R63="TRUE"),1,0))</f>
        <v/>
      </c>
      <c r="AN63">
        <f>IF($D63="","",IF($AA63="Yes",1,0))</f>
        <v/>
      </c>
      <c r="AO63">
        <f>IF($AK63=1,IFERROR(IF(VALUE($D63)&lt;100000000,VALUE($D63),1000000000),IFERROR(IF(VALUE(MID($D63,2,20))&lt;100000000,VALUE(MID($D63,2,20)),1000000000),1000000000))+ROW()/100000,"")</f>
        <v/>
      </c>
    </row>
    <row r="64">
      <c r="F64" s="11" t="n"/>
      <c r="N64" s="7">
        <f>IF($D64="","",M64*X64/100)</f>
        <v/>
      </c>
      <c r="O64" s="7" t="n"/>
      <c r="U64" s="7" t="n"/>
      <c r="V64" s="7" t="n"/>
      <c r="W64" s="7">
        <f>IF($D64="","",V64*AB64/100)</f>
        <v/>
      </c>
      <c r="X64" s="7">
        <f>IF($D64="","",V64-W64)</f>
        <v/>
      </c>
      <c r="Y64" s="7">
        <f>IF($D64="","",X64-N64)</f>
        <v/>
      </c>
      <c r="AB64">
        <f>IF($D64="","",IF($AN64=1,Settings!$C$8,IF($AM64=1,Settings!$C$6,Settings!$C$7))*100)</f>
        <v/>
      </c>
      <c r="AF64" s="7" t="n"/>
      <c r="AI64" s="11" t="n"/>
      <c r="AK64">
        <f>IF($D64="","",IF(COUNTIF($D$2:$D64,$D64)=1,1,0))</f>
        <v/>
      </c>
      <c r="AL64">
        <f>IF($AK64=1,SUMPRODUCT(--($AO$2:$AO$1601&lt;$AO64))+1,"")</f>
        <v/>
      </c>
      <c r="AM64">
        <f>IF($D64="","",IF(OR($R64=TRUE(),$R64="TRUE"),1,0))</f>
        <v/>
      </c>
      <c r="AN64">
        <f>IF($D64="","",IF($AA64="Yes",1,0))</f>
        <v/>
      </c>
      <c r="AO64">
        <f>IF($AK64=1,IFERROR(IF(VALUE($D64)&lt;100000000,VALUE($D64),1000000000),IFERROR(IF(VALUE(MID($D64,2,20))&lt;100000000,VALUE(MID($D64,2,20)),1000000000),1000000000))+ROW()/100000,"")</f>
        <v/>
      </c>
    </row>
    <row r="65">
      <c r="F65" s="11" t="n"/>
      <c r="N65" s="7">
        <f>IF($D65="","",M65*X65/100)</f>
        <v/>
      </c>
      <c r="O65" s="7" t="n"/>
      <c r="U65" s="7" t="n"/>
      <c r="V65" s="7" t="n"/>
      <c r="W65" s="7">
        <f>IF($D65="","",V65*AB65/100)</f>
        <v/>
      </c>
      <c r="X65" s="7">
        <f>IF($D65="","",V65-W65)</f>
        <v/>
      </c>
      <c r="Y65" s="7">
        <f>IF($D65="","",X65-N65)</f>
        <v/>
      </c>
      <c r="AB65">
        <f>IF($D65="","",IF($AN65=1,Settings!$C$8,IF($AM65=1,Settings!$C$6,Settings!$C$7))*100)</f>
        <v/>
      </c>
      <c r="AF65" s="7" t="n"/>
      <c r="AI65" s="11" t="n"/>
      <c r="AK65">
        <f>IF($D65="","",IF(COUNTIF($D$2:$D65,$D65)=1,1,0))</f>
        <v/>
      </c>
      <c r="AL65">
        <f>IF($AK65=1,SUMPRODUCT(--($AO$2:$AO$1601&lt;$AO65))+1,"")</f>
        <v/>
      </c>
      <c r="AM65">
        <f>IF($D65="","",IF(OR($R65=TRUE(),$R65="TRUE"),1,0))</f>
        <v/>
      </c>
      <c r="AN65">
        <f>IF($D65="","",IF($AA65="Yes",1,0))</f>
        <v/>
      </c>
      <c r="AO65">
        <f>IF($AK65=1,IFERROR(IF(VALUE($D65)&lt;100000000,VALUE($D65),1000000000),IFERROR(IF(VALUE(MID($D65,2,20))&lt;100000000,VALUE(MID($D65,2,20)),1000000000),1000000000))+ROW()/100000,"")</f>
        <v/>
      </c>
    </row>
    <row r="66">
      <c r="F66" s="11" t="n"/>
      <c r="N66" s="7">
        <f>IF($D66="","",M66*X66/100)</f>
        <v/>
      </c>
      <c r="O66" s="7" t="n"/>
      <c r="U66" s="7" t="n"/>
      <c r="V66" s="7" t="n"/>
      <c r="W66" s="7">
        <f>IF($D66="","",V66*AB66/100)</f>
        <v/>
      </c>
      <c r="X66" s="7">
        <f>IF($D66="","",V66-W66)</f>
        <v/>
      </c>
      <c r="Y66" s="7">
        <f>IF($D66="","",X66-N66)</f>
        <v/>
      </c>
      <c r="AB66">
        <f>IF($D66="","",IF($AN66=1,Settings!$C$8,IF($AM66=1,Settings!$C$6,Settings!$C$7))*100)</f>
        <v/>
      </c>
      <c r="AF66" s="7" t="n"/>
      <c r="AI66" s="11" t="n"/>
      <c r="AK66">
        <f>IF($D66="","",IF(COUNTIF($D$2:$D66,$D66)=1,1,0))</f>
        <v/>
      </c>
      <c r="AL66">
        <f>IF($AK66=1,SUMPRODUCT(--($AO$2:$AO$1601&lt;$AO66))+1,"")</f>
        <v/>
      </c>
      <c r="AM66">
        <f>IF($D66="","",IF(OR($R66=TRUE(),$R66="TRUE"),1,0))</f>
        <v/>
      </c>
      <c r="AN66">
        <f>IF($D66="","",IF($AA66="Yes",1,0))</f>
        <v/>
      </c>
      <c r="AO66">
        <f>IF($AK66=1,IFERROR(IF(VALUE($D66)&lt;100000000,VALUE($D66),1000000000),IFERROR(IF(VALUE(MID($D66,2,20))&lt;100000000,VALUE(MID($D66,2,20)),1000000000),1000000000))+ROW()/100000,"")</f>
        <v/>
      </c>
    </row>
    <row r="67">
      <c r="F67" s="11" t="n"/>
      <c r="N67" s="7">
        <f>IF($D67="","",M67*X67/100)</f>
        <v/>
      </c>
      <c r="O67" s="7" t="n"/>
      <c r="U67" s="7" t="n"/>
      <c r="V67" s="7" t="n"/>
      <c r="W67" s="7">
        <f>IF($D67="","",V67*AB67/100)</f>
        <v/>
      </c>
      <c r="X67" s="7">
        <f>IF($D67="","",V67-W67)</f>
        <v/>
      </c>
      <c r="Y67" s="7">
        <f>IF($D67="","",X67-N67)</f>
        <v/>
      </c>
      <c r="AB67">
        <f>IF($D67="","",IF($AN67=1,Settings!$C$8,IF($AM67=1,Settings!$C$6,Settings!$C$7))*100)</f>
        <v/>
      </c>
      <c r="AF67" s="7" t="n"/>
      <c r="AI67" s="11" t="n"/>
      <c r="AK67">
        <f>IF($D67="","",IF(COUNTIF($D$2:$D67,$D67)=1,1,0))</f>
        <v/>
      </c>
      <c r="AL67">
        <f>IF($AK67=1,SUMPRODUCT(--($AO$2:$AO$1601&lt;$AO67))+1,"")</f>
        <v/>
      </c>
      <c r="AM67">
        <f>IF($D67="","",IF(OR($R67=TRUE(),$R67="TRUE"),1,0))</f>
        <v/>
      </c>
      <c r="AN67">
        <f>IF($D67="","",IF($AA67="Yes",1,0))</f>
        <v/>
      </c>
      <c r="AO67">
        <f>IF($AK67=1,IFERROR(IF(VALUE($D67)&lt;100000000,VALUE($D67),1000000000),IFERROR(IF(VALUE(MID($D67,2,20))&lt;100000000,VALUE(MID($D67,2,20)),1000000000),1000000000))+ROW()/100000,"")</f>
        <v/>
      </c>
    </row>
    <row r="68">
      <c r="F68" s="11" t="n"/>
      <c r="N68" s="7">
        <f>IF($D68="","",M68*X68/100)</f>
        <v/>
      </c>
      <c r="O68" s="7" t="n"/>
      <c r="U68" s="7" t="n"/>
      <c r="V68" s="7" t="n"/>
      <c r="W68" s="7">
        <f>IF($D68="","",V68*AB68/100)</f>
        <v/>
      </c>
      <c r="X68" s="7">
        <f>IF($D68="","",V68-W68)</f>
        <v/>
      </c>
      <c r="Y68" s="7">
        <f>IF($D68="","",X68-N68)</f>
        <v/>
      </c>
      <c r="AB68">
        <f>IF($D68="","",IF($AN68=1,Settings!$C$8,IF($AM68=1,Settings!$C$6,Settings!$C$7))*100)</f>
        <v/>
      </c>
      <c r="AF68" s="7" t="n"/>
      <c r="AI68" s="11" t="n"/>
      <c r="AK68">
        <f>IF($D68="","",IF(COUNTIF($D$2:$D68,$D68)=1,1,0))</f>
        <v/>
      </c>
      <c r="AL68">
        <f>IF($AK68=1,SUMPRODUCT(--($AO$2:$AO$1601&lt;$AO68))+1,"")</f>
        <v/>
      </c>
      <c r="AM68">
        <f>IF($D68="","",IF(OR($R68=TRUE(),$R68="TRUE"),1,0))</f>
        <v/>
      </c>
      <c r="AN68">
        <f>IF($D68="","",IF($AA68="Yes",1,0))</f>
        <v/>
      </c>
      <c r="AO68">
        <f>IF($AK68=1,IFERROR(IF(VALUE($D68)&lt;100000000,VALUE($D68),1000000000),IFERROR(IF(VALUE(MID($D68,2,20))&lt;100000000,VALUE(MID($D68,2,20)),1000000000),1000000000))+ROW()/100000,"")</f>
        <v/>
      </c>
    </row>
    <row r="69">
      <c r="F69" s="11" t="n"/>
      <c r="N69" s="7">
        <f>IF($D69="","",M69*X69/100)</f>
        <v/>
      </c>
      <c r="O69" s="7" t="n"/>
      <c r="U69" s="7" t="n"/>
      <c r="V69" s="7" t="n"/>
      <c r="W69" s="7">
        <f>IF($D69="","",V69*AB69/100)</f>
        <v/>
      </c>
      <c r="X69" s="7">
        <f>IF($D69="","",V69-W69)</f>
        <v/>
      </c>
      <c r="Y69" s="7">
        <f>IF($D69="","",X69-N69)</f>
        <v/>
      </c>
      <c r="AB69">
        <f>IF($D69="","",IF($AN69=1,Settings!$C$8,IF($AM69=1,Settings!$C$6,Settings!$C$7))*100)</f>
        <v/>
      </c>
      <c r="AF69" s="7" t="n"/>
      <c r="AI69" s="11" t="n"/>
      <c r="AK69">
        <f>IF($D69="","",IF(COUNTIF($D$2:$D69,$D69)=1,1,0))</f>
        <v/>
      </c>
      <c r="AL69">
        <f>IF($AK69=1,SUMPRODUCT(--($AO$2:$AO$1601&lt;$AO69))+1,"")</f>
        <v/>
      </c>
      <c r="AM69">
        <f>IF($D69="","",IF(OR($R69=TRUE(),$R69="TRUE"),1,0))</f>
        <v/>
      </c>
      <c r="AN69">
        <f>IF($D69="","",IF($AA69="Yes",1,0))</f>
        <v/>
      </c>
      <c r="AO69">
        <f>IF($AK69=1,IFERROR(IF(VALUE($D69)&lt;100000000,VALUE($D69),1000000000),IFERROR(IF(VALUE(MID($D69,2,20))&lt;100000000,VALUE(MID($D69,2,20)),1000000000),1000000000))+ROW()/100000,"")</f>
        <v/>
      </c>
    </row>
    <row r="70">
      <c r="F70" s="11" t="n"/>
      <c r="N70" s="7">
        <f>IF($D70="","",M70*X70/100)</f>
        <v/>
      </c>
      <c r="O70" s="7" t="n"/>
      <c r="U70" s="7" t="n"/>
      <c r="V70" s="7" t="n"/>
      <c r="W70" s="7">
        <f>IF($D70="","",V70*AB70/100)</f>
        <v/>
      </c>
      <c r="X70" s="7">
        <f>IF($D70="","",V70-W70)</f>
        <v/>
      </c>
      <c r="Y70" s="7">
        <f>IF($D70="","",X70-N70)</f>
        <v/>
      </c>
      <c r="AB70">
        <f>IF($D70="","",IF($AN70=1,Settings!$C$8,IF($AM70=1,Settings!$C$6,Settings!$C$7))*100)</f>
        <v/>
      </c>
      <c r="AF70" s="7" t="n"/>
      <c r="AI70" s="11" t="n"/>
      <c r="AK70">
        <f>IF($D70="","",IF(COUNTIF($D$2:$D70,$D70)=1,1,0))</f>
        <v/>
      </c>
      <c r="AL70">
        <f>IF($AK70=1,SUMPRODUCT(--($AO$2:$AO$1601&lt;$AO70))+1,"")</f>
        <v/>
      </c>
      <c r="AM70">
        <f>IF($D70="","",IF(OR($R70=TRUE(),$R70="TRUE"),1,0))</f>
        <v/>
      </c>
      <c r="AN70">
        <f>IF($D70="","",IF($AA70="Yes",1,0))</f>
        <v/>
      </c>
      <c r="AO70">
        <f>IF($AK70=1,IFERROR(IF(VALUE($D70)&lt;100000000,VALUE($D70),1000000000),IFERROR(IF(VALUE(MID($D70,2,20))&lt;100000000,VALUE(MID($D70,2,20)),1000000000),1000000000))+ROW()/100000,"")</f>
        <v/>
      </c>
    </row>
    <row r="71">
      <c r="F71" s="11" t="n"/>
      <c r="N71" s="7">
        <f>IF($D71="","",M71*X71/100)</f>
        <v/>
      </c>
      <c r="O71" s="7" t="n"/>
      <c r="U71" s="7" t="n"/>
      <c r="V71" s="7" t="n"/>
      <c r="W71" s="7">
        <f>IF($D71="","",V71*AB71/100)</f>
        <v/>
      </c>
      <c r="X71" s="7">
        <f>IF($D71="","",V71-W71)</f>
        <v/>
      </c>
      <c r="Y71" s="7">
        <f>IF($D71="","",X71-N71)</f>
        <v/>
      </c>
      <c r="AB71">
        <f>IF($D71="","",IF($AN71=1,Settings!$C$8,IF($AM71=1,Settings!$C$6,Settings!$C$7))*100)</f>
        <v/>
      </c>
      <c r="AF71" s="7" t="n"/>
      <c r="AI71" s="11" t="n"/>
      <c r="AK71">
        <f>IF($D71="","",IF(COUNTIF($D$2:$D71,$D71)=1,1,0))</f>
        <v/>
      </c>
      <c r="AL71">
        <f>IF($AK71=1,SUMPRODUCT(--($AO$2:$AO$1601&lt;$AO71))+1,"")</f>
        <v/>
      </c>
      <c r="AM71">
        <f>IF($D71="","",IF(OR($R71=TRUE(),$R71="TRUE"),1,0))</f>
        <v/>
      </c>
      <c r="AN71">
        <f>IF($D71="","",IF($AA71="Yes",1,0))</f>
        <v/>
      </c>
      <c r="AO71">
        <f>IF($AK71=1,IFERROR(IF(VALUE($D71)&lt;100000000,VALUE($D71),1000000000),IFERROR(IF(VALUE(MID($D71,2,20))&lt;100000000,VALUE(MID($D71,2,20)),1000000000),1000000000))+ROW()/100000,"")</f>
        <v/>
      </c>
    </row>
    <row r="72">
      <c r="F72" s="11" t="n"/>
      <c r="N72" s="7">
        <f>IF($D72="","",M72*X72/100)</f>
        <v/>
      </c>
      <c r="O72" s="7" t="n"/>
      <c r="U72" s="7" t="n"/>
      <c r="V72" s="7" t="n"/>
      <c r="W72" s="7">
        <f>IF($D72="","",V72*AB72/100)</f>
        <v/>
      </c>
      <c r="X72" s="7">
        <f>IF($D72="","",V72-W72)</f>
        <v/>
      </c>
      <c r="Y72" s="7">
        <f>IF($D72="","",X72-N72)</f>
        <v/>
      </c>
      <c r="AB72">
        <f>IF($D72="","",IF($AN72=1,Settings!$C$8,IF($AM72=1,Settings!$C$6,Settings!$C$7))*100)</f>
        <v/>
      </c>
      <c r="AF72" s="7" t="n"/>
      <c r="AI72" s="11" t="n"/>
      <c r="AK72">
        <f>IF($D72="","",IF(COUNTIF($D$2:$D72,$D72)=1,1,0))</f>
        <v/>
      </c>
      <c r="AL72">
        <f>IF($AK72=1,SUMPRODUCT(--($AO$2:$AO$1601&lt;$AO72))+1,"")</f>
        <v/>
      </c>
      <c r="AM72">
        <f>IF($D72="","",IF(OR($R72=TRUE(),$R72="TRUE"),1,0))</f>
        <v/>
      </c>
      <c r="AN72">
        <f>IF($D72="","",IF($AA72="Yes",1,0))</f>
        <v/>
      </c>
      <c r="AO72">
        <f>IF($AK72=1,IFERROR(IF(VALUE($D72)&lt;100000000,VALUE($D72),1000000000),IFERROR(IF(VALUE(MID($D72,2,20))&lt;100000000,VALUE(MID($D72,2,20)),1000000000),1000000000))+ROW()/100000,"")</f>
        <v/>
      </c>
    </row>
    <row r="73">
      <c r="F73" s="11" t="n"/>
      <c r="N73" s="7">
        <f>IF($D73="","",M73*X73/100)</f>
        <v/>
      </c>
      <c r="O73" s="7" t="n"/>
      <c r="U73" s="7" t="n"/>
      <c r="V73" s="7" t="n"/>
      <c r="W73" s="7">
        <f>IF($D73="","",V73*AB73/100)</f>
        <v/>
      </c>
      <c r="X73" s="7">
        <f>IF($D73="","",V73-W73)</f>
        <v/>
      </c>
      <c r="Y73" s="7">
        <f>IF($D73="","",X73-N73)</f>
        <v/>
      </c>
      <c r="AB73">
        <f>IF($D73="","",IF($AN73=1,Settings!$C$8,IF($AM73=1,Settings!$C$6,Settings!$C$7))*100)</f>
        <v/>
      </c>
      <c r="AF73" s="7" t="n"/>
      <c r="AI73" s="11" t="n"/>
      <c r="AK73">
        <f>IF($D73="","",IF(COUNTIF($D$2:$D73,$D73)=1,1,0))</f>
        <v/>
      </c>
      <c r="AL73">
        <f>IF($AK73=1,SUMPRODUCT(--($AO$2:$AO$1601&lt;$AO73))+1,"")</f>
        <v/>
      </c>
      <c r="AM73">
        <f>IF($D73="","",IF(OR($R73=TRUE(),$R73="TRUE"),1,0))</f>
        <v/>
      </c>
      <c r="AN73">
        <f>IF($D73="","",IF($AA73="Yes",1,0))</f>
        <v/>
      </c>
      <c r="AO73">
        <f>IF($AK73=1,IFERROR(IF(VALUE($D73)&lt;100000000,VALUE($D73),1000000000),IFERROR(IF(VALUE(MID($D73,2,20))&lt;100000000,VALUE(MID($D73,2,20)),1000000000),1000000000))+ROW()/100000,"")</f>
        <v/>
      </c>
    </row>
    <row r="74">
      <c r="F74" s="11" t="n"/>
      <c r="N74" s="7">
        <f>IF($D74="","",M74*X74/100)</f>
        <v/>
      </c>
      <c r="O74" s="7" t="n"/>
      <c r="U74" s="7" t="n"/>
      <c r="V74" s="7" t="n"/>
      <c r="W74" s="7">
        <f>IF($D74="","",V74*AB74/100)</f>
        <v/>
      </c>
      <c r="X74" s="7">
        <f>IF($D74="","",V74-W74)</f>
        <v/>
      </c>
      <c r="Y74" s="7">
        <f>IF($D74="","",X74-N74)</f>
        <v/>
      </c>
      <c r="AB74">
        <f>IF($D74="","",IF($AN74=1,Settings!$C$8,IF($AM74=1,Settings!$C$6,Settings!$C$7))*100)</f>
        <v/>
      </c>
      <c r="AF74" s="7" t="n"/>
      <c r="AI74" s="11" t="n"/>
      <c r="AK74">
        <f>IF($D74="","",IF(COUNTIF($D$2:$D74,$D74)=1,1,0))</f>
        <v/>
      </c>
      <c r="AL74">
        <f>IF($AK74=1,SUMPRODUCT(--($AO$2:$AO$1601&lt;$AO74))+1,"")</f>
        <v/>
      </c>
      <c r="AM74">
        <f>IF($D74="","",IF(OR($R74=TRUE(),$R74="TRUE"),1,0))</f>
        <v/>
      </c>
      <c r="AN74">
        <f>IF($D74="","",IF($AA74="Yes",1,0))</f>
        <v/>
      </c>
      <c r="AO74">
        <f>IF($AK74=1,IFERROR(IF(VALUE($D74)&lt;100000000,VALUE($D74),1000000000),IFERROR(IF(VALUE(MID($D74,2,20))&lt;100000000,VALUE(MID($D74,2,20)),1000000000),1000000000))+ROW()/100000,"")</f>
        <v/>
      </c>
    </row>
    <row r="75">
      <c r="F75" s="11" t="n"/>
      <c r="N75" s="7">
        <f>IF($D75="","",M75*X75/100)</f>
        <v/>
      </c>
      <c r="O75" s="7" t="n"/>
      <c r="U75" s="7" t="n"/>
      <c r="V75" s="7" t="n"/>
      <c r="W75" s="7">
        <f>IF($D75="","",V75*AB75/100)</f>
        <v/>
      </c>
      <c r="X75" s="7">
        <f>IF($D75="","",V75-W75)</f>
        <v/>
      </c>
      <c r="Y75" s="7">
        <f>IF($D75="","",X75-N75)</f>
        <v/>
      </c>
      <c r="AB75">
        <f>IF($D75="","",IF($AN75=1,Settings!$C$8,IF($AM75=1,Settings!$C$6,Settings!$C$7))*100)</f>
        <v/>
      </c>
      <c r="AF75" s="7" t="n"/>
      <c r="AI75" s="11" t="n"/>
      <c r="AK75">
        <f>IF($D75="","",IF(COUNTIF($D$2:$D75,$D75)=1,1,0))</f>
        <v/>
      </c>
      <c r="AL75">
        <f>IF($AK75=1,SUMPRODUCT(--($AO$2:$AO$1601&lt;$AO75))+1,"")</f>
        <v/>
      </c>
      <c r="AM75">
        <f>IF($D75="","",IF(OR($R75=TRUE(),$R75="TRUE"),1,0))</f>
        <v/>
      </c>
      <c r="AN75">
        <f>IF($D75="","",IF($AA75="Yes",1,0))</f>
        <v/>
      </c>
      <c r="AO75">
        <f>IF($AK75=1,IFERROR(IF(VALUE($D75)&lt;100000000,VALUE($D75),1000000000),IFERROR(IF(VALUE(MID($D75,2,20))&lt;100000000,VALUE(MID($D75,2,20)),1000000000),1000000000))+ROW()/100000,"")</f>
        <v/>
      </c>
    </row>
    <row r="76">
      <c r="F76" s="11" t="n"/>
      <c r="N76" s="7">
        <f>IF($D76="","",M76*X76/100)</f>
        <v/>
      </c>
      <c r="O76" s="7" t="n"/>
      <c r="U76" s="7" t="n"/>
      <c r="V76" s="7" t="n"/>
      <c r="W76" s="7">
        <f>IF($D76="","",V76*AB76/100)</f>
        <v/>
      </c>
      <c r="X76" s="7">
        <f>IF($D76="","",V76-W76)</f>
        <v/>
      </c>
      <c r="Y76" s="7">
        <f>IF($D76="","",X76-N76)</f>
        <v/>
      </c>
      <c r="AB76">
        <f>IF($D76="","",IF($AN76=1,Settings!$C$8,IF($AM76=1,Settings!$C$6,Settings!$C$7))*100)</f>
        <v/>
      </c>
      <c r="AF76" s="7" t="n"/>
      <c r="AI76" s="11" t="n"/>
      <c r="AK76">
        <f>IF($D76="","",IF(COUNTIF($D$2:$D76,$D76)=1,1,0))</f>
        <v/>
      </c>
      <c r="AL76">
        <f>IF($AK76=1,SUMPRODUCT(--($AO$2:$AO$1601&lt;$AO76))+1,"")</f>
        <v/>
      </c>
      <c r="AM76">
        <f>IF($D76="","",IF(OR($R76=TRUE(),$R76="TRUE"),1,0))</f>
        <v/>
      </c>
      <c r="AN76">
        <f>IF($D76="","",IF($AA76="Yes",1,0))</f>
        <v/>
      </c>
      <c r="AO76">
        <f>IF($AK76=1,IFERROR(IF(VALUE($D76)&lt;100000000,VALUE($D76),1000000000),IFERROR(IF(VALUE(MID($D76,2,20))&lt;100000000,VALUE(MID($D76,2,20)),1000000000),1000000000))+ROW()/100000,"")</f>
        <v/>
      </c>
    </row>
    <row r="77">
      <c r="F77" s="11" t="n"/>
      <c r="N77" s="7">
        <f>IF($D77="","",M77*X77/100)</f>
        <v/>
      </c>
      <c r="O77" s="7" t="n"/>
      <c r="U77" s="7" t="n"/>
      <c r="V77" s="7" t="n"/>
      <c r="W77" s="7">
        <f>IF($D77="","",V77*AB77/100)</f>
        <v/>
      </c>
      <c r="X77" s="7">
        <f>IF($D77="","",V77-W77)</f>
        <v/>
      </c>
      <c r="Y77" s="7">
        <f>IF($D77="","",X77-N77)</f>
        <v/>
      </c>
      <c r="AB77">
        <f>IF($D77="","",IF($AN77=1,Settings!$C$8,IF($AM77=1,Settings!$C$6,Settings!$C$7))*100)</f>
        <v/>
      </c>
      <c r="AF77" s="7" t="n"/>
      <c r="AI77" s="11" t="n"/>
      <c r="AK77">
        <f>IF($D77="","",IF(COUNTIF($D$2:$D77,$D77)=1,1,0))</f>
        <v/>
      </c>
      <c r="AL77">
        <f>IF($AK77=1,SUMPRODUCT(--($AO$2:$AO$1601&lt;$AO77))+1,"")</f>
        <v/>
      </c>
      <c r="AM77">
        <f>IF($D77="","",IF(OR($R77=TRUE(),$R77="TRUE"),1,0))</f>
        <v/>
      </c>
      <c r="AN77">
        <f>IF($D77="","",IF($AA77="Yes",1,0))</f>
        <v/>
      </c>
      <c r="AO77">
        <f>IF($AK77=1,IFERROR(IF(VALUE($D77)&lt;100000000,VALUE($D77),1000000000),IFERROR(IF(VALUE(MID($D77,2,20))&lt;100000000,VALUE(MID($D77,2,20)),1000000000),1000000000))+ROW()/100000,"")</f>
        <v/>
      </c>
    </row>
    <row r="78">
      <c r="F78" s="11" t="n"/>
      <c r="N78" s="7">
        <f>IF($D78="","",M78*X78/100)</f>
        <v/>
      </c>
      <c r="O78" s="7" t="n"/>
      <c r="U78" s="7" t="n"/>
      <c r="V78" s="7" t="n"/>
      <c r="W78" s="7">
        <f>IF($D78="","",V78*AB78/100)</f>
        <v/>
      </c>
      <c r="X78" s="7">
        <f>IF($D78="","",V78-W78)</f>
        <v/>
      </c>
      <c r="Y78" s="7">
        <f>IF($D78="","",X78-N78)</f>
        <v/>
      </c>
      <c r="AB78">
        <f>IF($D78="","",IF($AN78=1,Settings!$C$8,IF($AM78=1,Settings!$C$6,Settings!$C$7))*100)</f>
        <v/>
      </c>
      <c r="AF78" s="7" t="n"/>
      <c r="AI78" s="11" t="n"/>
      <c r="AK78">
        <f>IF($D78="","",IF(COUNTIF($D$2:$D78,$D78)=1,1,0))</f>
        <v/>
      </c>
      <c r="AL78">
        <f>IF($AK78=1,SUMPRODUCT(--($AO$2:$AO$1601&lt;$AO78))+1,"")</f>
        <v/>
      </c>
      <c r="AM78">
        <f>IF($D78="","",IF(OR($R78=TRUE(),$R78="TRUE"),1,0))</f>
        <v/>
      </c>
      <c r="AN78">
        <f>IF($D78="","",IF($AA78="Yes",1,0))</f>
        <v/>
      </c>
      <c r="AO78">
        <f>IF($AK78=1,IFERROR(IF(VALUE($D78)&lt;100000000,VALUE($D78),1000000000),IFERROR(IF(VALUE(MID($D78,2,20))&lt;100000000,VALUE(MID($D78,2,20)),1000000000),1000000000))+ROW()/100000,"")</f>
        <v/>
      </c>
    </row>
    <row r="79">
      <c r="F79" s="11" t="n"/>
      <c r="N79" s="7">
        <f>IF($D79="","",M79*X79/100)</f>
        <v/>
      </c>
      <c r="O79" s="7" t="n"/>
      <c r="U79" s="7" t="n"/>
      <c r="V79" s="7" t="n"/>
      <c r="W79" s="7">
        <f>IF($D79="","",V79*AB79/100)</f>
        <v/>
      </c>
      <c r="X79" s="7">
        <f>IF($D79="","",V79-W79)</f>
        <v/>
      </c>
      <c r="Y79" s="7">
        <f>IF($D79="","",X79-N79)</f>
        <v/>
      </c>
      <c r="AB79">
        <f>IF($D79="","",IF($AN79=1,Settings!$C$8,IF($AM79=1,Settings!$C$6,Settings!$C$7))*100)</f>
        <v/>
      </c>
      <c r="AF79" s="7" t="n"/>
      <c r="AI79" s="11" t="n"/>
      <c r="AK79">
        <f>IF($D79="","",IF(COUNTIF($D$2:$D79,$D79)=1,1,0))</f>
        <v/>
      </c>
      <c r="AL79">
        <f>IF($AK79=1,SUMPRODUCT(--($AO$2:$AO$1601&lt;$AO79))+1,"")</f>
        <v/>
      </c>
      <c r="AM79">
        <f>IF($D79="","",IF(OR($R79=TRUE(),$R79="TRUE"),1,0))</f>
        <v/>
      </c>
      <c r="AN79">
        <f>IF($D79="","",IF($AA79="Yes",1,0))</f>
        <v/>
      </c>
      <c r="AO79">
        <f>IF($AK79=1,IFERROR(IF(VALUE($D79)&lt;100000000,VALUE($D79),1000000000),IFERROR(IF(VALUE(MID($D79,2,20))&lt;100000000,VALUE(MID($D79,2,20)),1000000000),1000000000))+ROW()/100000,"")</f>
        <v/>
      </c>
    </row>
    <row r="80">
      <c r="F80" s="11" t="n"/>
      <c r="N80" s="7">
        <f>IF($D80="","",M80*X80/100)</f>
        <v/>
      </c>
      <c r="O80" s="7" t="n"/>
      <c r="U80" s="7" t="n"/>
      <c r="V80" s="7" t="n"/>
      <c r="W80" s="7">
        <f>IF($D80="","",V80*AB80/100)</f>
        <v/>
      </c>
      <c r="X80" s="7">
        <f>IF($D80="","",V80-W80)</f>
        <v/>
      </c>
      <c r="Y80" s="7">
        <f>IF($D80="","",X80-N80)</f>
        <v/>
      </c>
      <c r="AB80">
        <f>IF($D80="","",IF($AN80=1,Settings!$C$8,IF($AM80=1,Settings!$C$6,Settings!$C$7))*100)</f>
        <v/>
      </c>
      <c r="AF80" s="7" t="n"/>
      <c r="AI80" s="11" t="n"/>
      <c r="AK80">
        <f>IF($D80="","",IF(COUNTIF($D$2:$D80,$D80)=1,1,0))</f>
        <v/>
      </c>
      <c r="AL80">
        <f>IF($AK80=1,SUMPRODUCT(--($AO$2:$AO$1601&lt;$AO80))+1,"")</f>
        <v/>
      </c>
      <c r="AM80">
        <f>IF($D80="","",IF(OR($R80=TRUE(),$R80="TRUE"),1,0))</f>
        <v/>
      </c>
      <c r="AN80">
        <f>IF($D80="","",IF($AA80="Yes",1,0))</f>
        <v/>
      </c>
      <c r="AO80">
        <f>IF($AK80=1,IFERROR(IF(VALUE($D80)&lt;100000000,VALUE($D80),1000000000),IFERROR(IF(VALUE(MID($D80,2,20))&lt;100000000,VALUE(MID($D80,2,20)),1000000000),1000000000))+ROW()/100000,"")</f>
        <v/>
      </c>
    </row>
    <row r="81">
      <c r="F81" s="11" t="n"/>
      <c r="N81" s="7">
        <f>IF($D81="","",M81*X81/100)</f>
        <v/>
      </c>
      <c r="O81" s="7" t="n"/>
      <c r="U81" s="7" t="n"/>
      <c r="V81" s="7" t="n"/>
      <c r="W81" s="7">
        <f>IF($D81="","",V81*AB81/100)</f>
        <v/>
      </c>
      <c r="X81" s="7">
        <f>IF($D81="","",V81-W81)</f>
        <v/>
      </c>
      <c r="Y81" s="7">
        <f>IF($D81="","",X81-N81)</f>
        <v/>
      </c>
      <c r="AB81">
        <f>IF($D81="","",IF($AN81=1,Settings!$C$8,IF($AM81=1,Settings!$C$6,Settings!$C$7))*100)</f>
        <v/>
      </c>
      <c r="AF81" s="7" t="n"/>
      <c r="AI81" s="11" t="n"/>
      <c r="AK81">
        <f>IF($D81="","",IF(COUNTIF($D$2:$D81,$D81)=1,1,0))</f>
        <v/>
      </c>
      <c r="AL81">
        <f>IF($AK81=1,SUMPRODUCT(--($AO$2:$AO$1601&lt;$AO81))+1,"")</f>
        <v/>
      </c>
      <c r="AM81">
        <f>IF($D81="","",IF(OR($R81=TRUE(),$R81="TRUE"),1,0))</f>
        <v/>
      </c>
      <c r="AN81">
        <f>IF($D81="","",IF($AA81="Yes",1,0))</f>
        <v/>
      </c>
      <c r="AO81">
        <f>IF($AK81=1,IFERROR(IF(VALUE($D81)&lt;100000000,VALUE($D81),1000000000),IFERROR(IF(VALUE(MID($D81,2,20))&lt;100000000,VALUE(MID($D81,2,20)),1000000000),1000000000))+ROW()/100000,"")</f>
        <v/>
      </c>
    </row>
    <row r="82">
      <c r="F82" s="11" t="n"/>
      <c r="N82" s="7">
        <f>IF($D82="","",M82*X82/100)</f>
        <v/>
      </c>
      <c r="O82" s="7" t="n"/>
      <c r="U82" s="7" t="n"/>
      <c r="V82" s="7" t="n"/>
      <c r="W82" s="7">
        <f>IF($D82="","",V82*AB82/100)</f>
        <v/>
      </c>
      <c r="X82" s="7">
        <f>IF($D82="","",V82-W82)</f>
        <v/>
      </c>
      <c r="Y82" s="7">
        <f>IF($D82="","",X82-N82)</f>
        <v/>
      </c>
      <c r="AB82">
        <f>IF($D82="","",IF($AN82=1,Settings!$C$8,IF($AM82=1,Settings!$C$6,Settings!$C$7))*100)</f>
        <v/>
      </c>
      <c r="AF82" s="7" t="n"/>
      <c r="AI82" s="11" t="n"/>
      <c r="AK82">
        <f>IF($D82="","",IF(COUNTIF($D$2:$D82,$D82)=1,1,0))</f>
        <v/>
      </c>
      <c r="AL82">
        <f>IF($AK82=1,SUMPRODUCT(--($AO$2:$AO$1601&lt;$AO82))+1,"")</f>
        <v/>
      </c>
      <c r="AM82">
        <f>IF($D82="","",IF(OR($R82=TRUE(),$R82="TRUE"),1,0))</f>
        <v/>
      </c>
      <c r="AN82">
        <f>IF($D82="","",IF($AA82="Yes",1,0))</f>
        <v/>
      </c>
      <c r="AO82">
        <f>IF($AK82=1,IFERROR(IF(VALUE($D82)&lt;100000000,VALUE($D82),1000000000),IFERROR(IF(VALUE(MID($D82,2,20))&lt;100000000,VALUE(MID($D82,2,20)),1000000000),1000000000))+ROW()/100000,"")</f>
        <v/>
      </c>
    </row>
    <row r="83">
      <c r="F83" s="11" t="n"/>
      <c r="N83" s="7">
        <f>IF($D83="","",M83*X83/100)</f>
        <v/>
      </c>
      <c r="O83" s="7" t="n"/>
      <c r="U83" s="7" t="n"/>
      <c r="V83" s="7" t="n"/>
      <c r="W83" s="7">
        <f>IF($D83="","",V83*AB83/100)</f>
        <v/>
      </c>
      <c r="X83" s="7">
        <f>IF($D83="","",V83-W83)</f>
        <v/>
      </c>
      <c r="Y83" s="7">
        <f>IF($D83="","",X83-N83)</f>
        <v/>
      </c>
      <c r="AB83">
        <f>IF($D83="","",IF($AN83=1,Settings!$C$8,IF($AM83=1,Settings!$C$6,Settings!$C$7))*100)</f>
        <v/>
      </c>
      <c r="AF83" s="7" t="n"/>
      <c r="AI83" s="11" t="n"/>
      <c r="AK83">
        <f>IF($D83="","",IF(COUNTIF($D$2:$D83,$D83)=1,1,0))</f>
        <v/>
      </c>
      <c r="AL83">
        <f>IF($AK83=1,SUMPRODUCT(--($AO$2:$AO$1601&lt;$AO83))+1,"")</f>
        <v/>
      </c>
      <c r="AM83">
        <f>IF($D83="","",IF(OR($R83=TRUE(),$R83="TRUE"),1,0))</f>
        <v/>
      </c>
      <c r="AN83">
        <f>IF($D83="","",IF($AA83="Yes",1,0))</f>
        <v/>
      </c>
      <c r="AO83">
        <f>IF($AK83=1,IFERROR(IF(VALUE($D83)&lt;100000000,VALUE($D83),1000000000),IFERROR(IF(VALUE(MID($D83,2,20))&lt;100000000,VALUE(MID($D83,2,20)),1000000000),1000000000))+ROW()/100000,"")</f>
        <v/>
      </c>
    </row>
    <row r="84">
      <c r="F84" s="11" t="n"/>
      <c r="N84" s="7">
        <f>IF($D84="","",M84*X84/100)</f>
        <v/>
      </c>
      <c r="O84" s="7" t="n"/>
      <c r="U84" s="7" t="n"/>
      <c r="V84" s="7" t="n"/>
      <c r="W84" s="7">
        <f>IF($D84="","",V84*AB84/100)</f>
        <v/>
      </c>
      <c r="X84" s="7">
        <f>IF($D84="","",V84-W84)</f>
        <v/>
      </c>
      <c r="Y84" s="7">
        <f>IF($D84="","",X84-N84)</f>
        <v/>
      </c>
      <c r="AB84">
        <f>IF($D84="","",IF($AN84=1,Settings!$C$8,IF($AM84=1,Settings!$C$6,Settings!$C$7))*100)</f>
        <v/>
      </c>
      <c r="AF84" s="7" t="n"/>
      <c r="AI84" s="11" t="n"/>
      <c r="AK84">
        <f>IF($D84="","",IF(COUNTIF($D$2:$D84,$D84)=1,1,0))</f>
        <v/>
      </c>
      <c r="AL84">
        <f>IF($AK84=1,SUMPRODUCT(--($AO$2:$AO$1601&lt;$AO84))+1,"")</f>
        <v/>
      </c>
      <c r="AM84">
        <f>IF($D84="","",IF(OR($R84=TRUE(),$R84="TRUE"),1,0))</f>
        <v/>
      </c>
      <c r="AN84">
        <f>IF($D84="","",IF($AA84="Yes",1,0))</f>
        <v/>
      </c>
      <c r="AO84">
        <f>IF($AK84=1,IFERROR(IF(VALUE($D84)&lt;100000000,VALUE($D84),1000000000),IFERROR(IF(VALUE(MID($D84,2,20))&lt;100000000,VALUE(MID($D84,2,20)),1000000000),1000000000))+ROW()/100000,"")</f>
        <v/>
      </c>
    </row>
    <row r="85">
      <c r="F85" s="11" t="n"/>
      <c r="N85" s="7">
        <f>IF($D85="","",M85*X85/100)</f>
        <v/>
      </c>
      <c r="O85" s="7" t="n"/>
      <c r="U85" s="7" t="n"/>
      <c r="V85" s="7" t="n"/>
      <c r="W85" s="7">
        <f>IF($D85="","",V85*AB85/100)</f>
        <v/>
      </c>
      <c r="X85" s="7">
        <f>IF($D85="","",V85-W85)</f>
        <v/>
      </c>
      <c r="Y85" s="7">
        <f>IF($D85="","",X85-N85)</f>
        <v/>
      </c>
      <c r="AB85">
        <f>IF($D85="","",IF($AN85=1,Settings!$C$8,IF($AM85=1,Settings!$C$6,Settings!$C$7))*100)</f>
        <v/>
      </c>
      <c r="AF85" s="7" t="n"/>
      <c r="AI85" s="11" t="n"/>
      <c r="AK85">
        <f>IF($D85="","",IF(COUNTIF($D$2:$D85,$D85)=1,1,0))</f>
        <v/>
      </c>
      <c r="AL85">
        <f>IF($AK85=1,SUMPRODUCT(--($AO$2:$AO$1601&lt;$AO85))+1,"")</f>
        <v/>
      </c>
      <c r="AM85">
        <f>IF($D85="","",IF(OR($R85=TRUE(),$R85="TRUE"),1,0))</f>
        <v/>
      </c>
      <c r="AN85">
        <f>IF($D85="","",IF($AA85="Yes",1,0))</f>
        <v/>
      </c>
      <c r="AO85">
        <f>IF($AK85=1,IFERROR(IF(VALUE($D85)&lt;100000000,VALUE($D85),1000000000),IFERROR(IF(VALUE(MID($D85,2,20))&lt;100000000,VALUE(MID($D85,2,20)),1000000000),1000000000))+ROW()/100000,"")</f>
        <v/>
      </c>
    </row>
    <row r="86">
      <c r="F86" s="11" t="n"/>
      <c r="N86" s="7">
        <f>IF($D86="","",M86*X86/100)</f>
        <v/>
      </c>
      <c r="O86" s="7" t="n"/>
      <c r="U86" s="7" t="n"/>
      <c r="V86" s="7" t="n"/>
      <c r="W86" s="7">
        <f>IF($D86="","",V86*AB86/100)</f>
        <v/>
      </c>
      <c r="X86" s="7">
        <f>IF($D86="","",V86-W86)</f>
        <v/>
      </c>
      <c r="Y86" s="7">
        <f>IF($D86="","",X86-N86)</f>
        <v/>
      </c>
      <c r="AB86">
        <f>IF($D86="","",IF($AN86=1,Settings!$C$8,IF($AM86=1,Settings!$C$6,Settings!$C$7))*100)</f>
        <v/>
      </c>
      <c r="AF86" s="7" t="n"/>
      <c r="AI86" s="11" t="n"/>
      <c r="AK86">
        <f>IF($D86="","",IF(COUNTIF($D$2:$D86,$D86)=1,1,0))</f>
        <v/>
      </c>
      <c r="AL86">
        <f>IF($AK86=1,SUMPRODUCT(--($AO$2:$AO$1601&lt;$AO86))+1,"")</f>
        <v/>
      </c>
      <c r="AM86">
        <f>IF($D86="","",IF(OR($R86=TRUE(),$R86="TRUE"),1,0))</f>
        <v/>
      </c>
      <c r="AN86">
        <f>IF($D86="","",IF($AA86="Yes",1,0))</f>
        <v/>
      </c>
      <c r="AO86">
        <f>IF($AK86=1,IFERROR(IF(VALUE($D86)&lt;100000000,VALUE($D86),1000000000),IFERROR(IF(VALUE(MID($D86,2,20))&lt;100000000,VALUE(MID($D86,2,20)),1000000000),1000000000))+ROW()/100000,"")</f>
        <v/>
      </c>
    </row>
    <row r="87">
      <c r="F87" s="11" t="n"/>
      <c r="N87" s="7">
        <f>IF($D87="","",M87*X87/100)</f>
        <v/>
      </c>
      <c r="O87" s="7" t="n"/>
      <c r="U87" s="7" t="n"/>
      <c r="V87" s="7" t="n"/>
      <c r="W87" s="7">
        <f>IF($D87="","",V87*AB87/100)</f>
        <v/>
      </c>
      <c r="X87" s="7">
        <f>IF($D87="","",V87-W87)</f>
        <v/>
      </c>
      <c r="Y87" s="7">
        <f>IF($D87="","",X87-N87)</f>
        <v/>
      </c>
      <c r="AB87">
        <f>IF($D87="","",IF($AN87=1,Settings!$C$8,IF($AM87=1,Settings!$C$6,Settings!$C$7))*100)</f>
        <v/>
      </c>
      <c r="AF87" s="7" t="n"/>
      <c r="AI87" s="11" t="n"/>
      <c r="AK87">
        <f>IF($D87="","",IF(COUNTIF($D$2:$D87,$D87)=1,1,0))</f>
        <v/>
      </c>
      <c r="AL87">
        <f>IF($AK87=1,SUMPRODUCT(--($AO$2:$AO$1601&lt;$AO87))+1,"")</f>
        <v/>
      </c>
      <c r="AM87">
        <f>IF($D87="","",IF(OR($R87=TRUE(),$R87="TRUE"),1,0))</f>
        <v/>
      </c>
      <c r="AN87">
        <f>IF($D87="","",IF($AA87="Yes",1,0))</f>
        <v/>
      </c>
      <c r="AO87">
        <f>IF($AK87=1,IFERROR(IF(VALUE($D87)&lt;100000000,VALUE($D87),1000000000),IFERROR(IF(VALUE(MID($D87,2,20))&lt;100000000,VALUE(MID($D87,2,20)),1000000000),1000000000))+ROW()/100000,"")</f>
        <v/>
      </c>
    </row>
    <row r="88">
      <c r="F88" s="11" t="n"/>
      <c r="N88" s="7">
        <f>IF($D88="","",M88*X88/100)</f>
        <v/>
      </c>
      <c r="O88" s="7" t="n"/>
      <c r="U88" s="7" t="n"/>
      <c r="V88" s="7" t="n"/>
      <c r="W88" s="7">
        <f>IF($D88="","",V88*AB88/100)</f>
        <v/>
      </c>
      <c r="X88" s="7">
        <f>IF($D88="","",V88-W88)</f>
        <v/>
      </c>
      <c r="Y88" s="7">
        <f>IF($D88="","",X88-N88)</f>
        <v/>
      </c>
      <c r="AB88">
        <f>IF($D88="","",IF($AN88=1,Settings!$C$8,IF($AM88=1,Settings!$C$6,Settings!$C$7))*100)</f>
        <v/>
      </c>
      <c r="AF88" s="7" t="n"/>
      <c r="AI88" s="11" t="n"/>
      <c r="AK88">
        <f>IF($D88="","",IF(COUNTIF($D$2:$D88,$D88)=1,1,0))</f>
        <v/>
      </c>
      <c r="AL88">
        <f>IF($AK88=1,SUMPRODUCT(--($AO$2:$AO$1601&lt;$AO88))+1,"")</f>
        <v/>
      </c>
      <c r="AM88">
        <f>IF($D88="","",IF(OR($R88=TRUE(),$R88="TRUE"),1,0))</f>
        <v/>
      </c>
      <c r="AN88">
        <f>IF($D88="","",IF($AA88="Yes",1,0))</f>
        <v/>
      </c>
      <c r="AO88">
        <f>IF($AK88=1,IFERROR(IF(VALUE($D88)&lt;100000000,VALUE($D88),1000000000),IFERROR(IF(VALUE(MID($D88,2,20))&lt;100000000,VALUE(MID($D88,2,20)),1000000000),1000000000))+ROW()/100000,"")</f>
        <v/>
      </c>
    </row>
    <row r="89">
      <c r="F89" s="11" t="n"/>
      <c r="N89" s="7">
        <f>IF($D89="","",M89*X89/100)</f>
        <v/>
      </c>
      <c r="O89" s="7" t="n"/>
      <c r="U89" s="7" t="n"/>
      <c r="V89" s="7" t="n"/>
      <c r="W89" s="7">
        <f>IF($D89="","",V89*AB89/100)</f>
        <v/>
      </c>
      <c r="X89" s="7">
        <f>IF($D89="","",V89-W89)</f>
        <v/>
      </c>
      <c r="Y89" s="7">
        <f>IF($D89="","",X89-N89)</f>
        <v/>
      </c>
      <c r="AB89">
        <f>IF($D89="","",IF($AN89=1,Settings!$C$8,IF($AM89=1,Settings!$C$6,Settings!$C$7))*100)</f>
        <v/>
      </c>
      <c r="AF89" s="7" t="n"/>
      <c r="AI89" s="11" t="n"/>
      <c r="AK89">
        <f>IF($D89="","",IF(COUNTIF($D$2:$D89,$D89)=1,1,0))</f>
        <v/>
      </c>
      <c r="AL89">
        <f>IF($AK89=1,SUMPRODUCT(--($AO$2:$AO$1601&lt;$AO89))+1,"")</f>
        <v/>
      </c>
      <c r="AM89">
        <f>IF($D89="","",IF(OR($R89=TRUE(),$R89="TRUE"),1,0))</f>
        <v/>
      </c>
      <c r="AN89">
        <f>IF($D89="","",IF($AA89="Yes",1,0))</f>
        <v/>
      </c>
      <c r="AO89">
        <f>IF($AK89=1,IFERROR(IF(VALUE($D89)&lt;100000000,VALUE($D89),1000000000),IFERROR(IF(VALUE(MID($D89,2,20))&lt;100000000,VALUE(MID($D89,2,20)),1000000000),1000000000))+ROW()/100000,"")</f>
        <v/>
      </c>
    </row>
    <row r="90">
      <c r="F90" s="11" t="n"/>
      <c r="N90" s="7">
        <f>IF($D90="","",M90*X90/100)</f>
        <v/>
      </c>
      <c r="O90" s="7" t="n"/>
      <c r="U90" s="7" t="n"/>
      <c r="V90" s="7" t="n"/>
      <c r="W90" s="7">
        <f>IF($D90="","",V90*AB90/100)</f>
        <v/>
      </c>
      <c r="X90" s="7">
        <f>IF($D90="","",V90-W90)</f>
        <v/>
      </c>
      <c r="Y90" s="7">
        <f>IF($D90="","",X90-N90)</f>
        <v/>
      </c>
      <c r="AB90">
        <f>IF($D90="","",IF($AN90=1,Settings!$C$8,IF($AM90=1,Settings!$C$6,Settings!$C$7))*100)</f>
        <v/>
      </c>
      <c r="AF90" s="7" t="n"/>
      <c r="AI90" s="11" t="n"/>
      <c r="AK90">
        <f>IF($D90="","",IF(COUNTIF($D$2:$D90,$D90)=1,1,0))</f>
        <v/>
      </c>
      <c r="AL90">
        <f>IF($AK90=1,SUMPRODUCT(--($AO$2:$AO$1601&lt;$AO90))+1,"")</f>
        <v/>
      </c>
      <c r="AM90">
        <f>IF($D90="","",IF(OR($R90=TRUE(),$R90="TRUE"),1,0))</f>
        <v/>
      </c>
      <c r="AN90">
        <f>IF($D90="","",IF($AA90="Yes",1,0))</f>
        <v/>
      </c>
      <c r="AO90">
        <f>IF($AK90=1,IFERROR(IF(VALUE($D90)&lt;100000000,VALUE($D90),1000000000),IFERROR(IF(VALUE(MID($D90,2,20))&lt;100000000,VALUE(MID($D90,2,20)),1000000000),1000000000))+ROW()/100000,"")</f>
        <v/>
      </c>
    </row>
    <row r="91">
      <c r="F91" s="11" t="n"/>
      <c r="N91" s="7">
        <f>IF($D91="","",M91*X91/100)</f>
        <v/>
      </c>
      <c r="O91" s="7" t="n"/>
      <c r="U91" s="7" t="n"/>
      <c r="V91" s="7" t="n"/>
      <c r="W91" s="7">
        <f>IF($D91="","",V91*AB91/100)</f>
        <v/>
      </c>
      <c r="X91" s="7">
        <f>IF($D91="","",V91-W91)</f>
        <v/>
      </c>
      <c r="Y91" s="7">
        <f>IF($D91="","",X91-N91)</f>
        <v/>
      </c>
      <c r="AB91">
        <f>IF($D91="","",IF($AN91=1,Settings!$C$8,IF($AM91=1,Settings!$C$6,Settings!$C$7))*100)</f>
        <v/>
      </c>
      <c r="AF91" s="7" t="n"/>
      <c r="AI91" s="11" t="n"/>
      <c r="AK91">
        <f>IF($D91="","",IF(COUNTIF($D$2:$D91,$D91)=1,1,0))</f>
        <v/>
      </c>
      <c r="AL91">
        <f>IF($AK91=1,SUMPRODUCT(--($AO$2:$AO$1601&lt;$AO91))+1,"")</f>
        <v/>
      </c>
      <c r="AM91">
        <f>IF($D91="","",IF(OR($R91=TRUE(),$R91="TRUE"),1,0))</f>
        <v/>
      </c>
      <c r="AN91">
        <f>IF($D91="","",IF($AA91="Yes",1,0))</f>
        <v/>
      </c>
      <c r="AO91">
        <f>IF($AK91=1,IFERROR(IF(VALUE($D91)&lt;100000000,VALUE($D91),1000000000),IFERROR(IF(VALUE(MID($D91,2,20))&lt;100000000,VALUE(MID($D91,2,20)),1000000000),1000000000))+ROW()/100000,"")</f>
        <v/>
      </c>
    </row>
    <row r="92">
      <c r="F92" s="11" t="n"/>
      <c r="N92" s="7">
        <f>IF($D92="","",M92*X92/100)</f>
        <v/>
      </c>
      <c r="O92" s="7" t="n"/>
      <c r="U92" s="7" t="n"/>
      <c r="V92" s="7" t="n"/>
      <c r="W92" s="7">
        <f>IF($D92="","",V92*AB92/100)</f>
        <v/>
      </c>
      <c r="X92" s="7">
        <f>IF($D92="","",V92-W92)</f>
        <v/>
      </c>
      <c r="Y92" s="7">
        <f>IF($D92="","",X92-N92)</f>
        <v/>
      </c>
      <c r="AB92">
        <f>IF($D92="","",IF($AN92=1,Settings!$C$8,IF($AM92=1,Settings!$C$6,Settings!$C$7))*100)</f>
        <v/>
      </c>
      <c r="AF92" s="7" t="n"/>
      <c r="AI92" s="11" t="n"/>
      <c r="AK92">
        <f>IF($D92="","",IF(COUNTIF($D$2:$D92,$D92)=1,1,0))</f>
        <v/>
      </c>
      <c r="AL92">
        <f>IF($AK92=1,SUMPRODUCT(--($AO$2:$AO$1601&lt;$AO92))+1,"")</f>
        <v/>
      </c>
      <c r="AM92">
        <f>IF($D92="","",IF(OR($R92=TRUE(),$R92="TRUE"),1,0))</f>
        <v/>
      </c>
      <c r="AN92">
        <f>IF($D92="","",IF($AA92="Yes",1,0))</f>
        <v/>
      </c>
      <c r="AO92">
        <f>IF($AK92=1,IFERROR(IF(VALUE($D92)&lt;100000000,VALUE($D92),1000000000),IFERROR(IF(VALUE(MID($D92,2,20))&lt;100000000,VALUE(MID($D92,2,20)),1000000000),1000000000))+ROW()/100000,"")</f>
        <v/>
      </c>
    </row>
    <row r="93">
      <c r="F93" s="11" t="n"/>
      <c r="N93" s="7">
        <f>IF($D93="","",M93*X93/100)</f>
        <v/>
      </c>
      <c r="O93" s="7" t="n"/>
      <c r="U93" s="7" t="n"/>
      <c r="V93" s="7" t="n"/>
      <c r="W93" s="7">
        <f>IF($D93="","",V93*AB93/100)</f>
        <v/>
      </c>
      <c r="X93" s="7">
        <f>IF($D93="","",V93-W93)</f>
        <v/>
      </c>
      <c r="Y93" s="7">
        <f>IF($D93="","",X93-N93)</f>
        <v/>
      </c>
      <c r="AB93">
        <f>IF($D93="","",IF($AN93=1,Settings!$C$8,IF($AM93=1,Settings!$C$6,Settings!$C$7))*100)</f>
        <v/>
      </c>
      <c r="AF93" s="7" t="n"/>
      <c r="AI93" s="11" t="n"/>
      <c r="AK93">
        <f>IF($D93="","",IF(COUNTIF($D$2:$D93,$D93)=1,1,0))</f>
        <v/>
      </c>
      <c r="AL93">
        <f>IF($AK93=1,SUMPRODUCT(--($AO$2:$AO$1601&lt;$AO93))+1,"")</f>
        <v/>
      </c>
      <c r="AM93">
        <f>IF($D93="","",IF(OR($R93=TRUE(),$R93="TRUE"),1,0))</f>
        <v/>
      </c>
      <c r="AN93">
        <f>IF($D93="","",IF($AA93="Yes",1,0))</f>
        <v/>
      </c>
      <c r="AO93">
        <f>IF($AK93=1,IFERROR(IF(VALUE($D93)&lt;100000000,VALUE($D93),1000000000),IFERROR(IF(VALUE(MID($D93,2,20))&lt;100000000,VALUE(MID($D93,2,20)),1000000000),1000000000))+ROW()/100000,"")</f>
        <v/>
      </c>
    </row>
    <row r="94">
      <c r="F94" s="11" t="n"/>
      <c r="N94" s="7">
        <f>IF($D94="","",M94*X94/100)</f>
        <v/>
      </c>
      <c r="O94" s="7" t="n"/>
      <c r="U94" s="7" t="n"/>
      <c r="V94" s="7" t="n"/>
      <c r="W94" s="7">
        <f>IF($D94="","",V94*AB94/100)</f>
        <v/>
      </c>
      <c r="X94" s="7">
        <f>IF($D94="","",V94-W94)</f>
        <v/>
      </c>
      <c r="Y94" s="7">
        <f>IF($D94="","",X94-N94)</f>
        <v/>
      </c>
      <c r="AB94">
        <f>IF($D94="","",IF($AN94=1,Settings!$C$8,IF($AM94=1,Settings!$C$6,Settings!$C$7))*100)</f>
        <v/>
      </c>
      <c r="AF94" s="7" t="n"/>
      <c r="AI94" s="11" t="n"/>
      <c r="AK94">
        <f>IF($D94="","",IF(COUNTIF($D$2:$D94,$D94)=1,1,0))</f>
        <v/>
      </c>
      <c r="AL94">
        <f>IF($AK94=1,SUMPRODUCT(--($AO$2:$AO$1601&lt;$AO94))+1,"")</f>
        <v/>
      </c>
      <c r="AM94">
        <f>IF($D94="","",IF(OR($R94=TRUE(),$R94="TRUE"),1,0))</f>
        <v/>
      </c>
      <c r="AN94">
        <f>IF($D94="","",IF($AA94="Yes",1,0))</f>
        <v/>
      </c>
      <c r="AO94">
        <f>IF($AK94=1,IFERROR(IF(VALUE($D94)&lt;100000000,VALUE($D94),1000000000),IFERROR(IF(VALUE(MID($D94,2,20))&lt;100000000,VALUE(MID($D94,2,20)),1000000000),1000000000))+ROW()/100000,"")</f>
        <v/>
      </c>
    </row>
    <row r="95">
      <c r="F95" s="11" t="n"/>
      <c r="N95" s="7">
        <f>IF($D95="","",M95*X95/100)</f>
        <v/>
      </c>
      <c r="O95" s="7" t="n"/>
      <c r="U95" s="7" t="n"/>
      <c r="V95" s="7" t="n"/>
      <c r="W95" s="7">
        <f>IF($D95="","",V95*AB95/100)</f>
        <v/>
      </c>
      <c r="X95" s="7">
        <f>IF($D95="","",V95-W95)</f>
        <v/>
      </c>
      <c r="Y95" s="7">
        <f>IF($D95="","",X95-N95)</f>
        <v/>
      </c>
      <c r="AB95">
        <f>IF($D95="","",IF($AN95=1,Settings!$C$8,IF($AM95=1,Settings!$C$6,Settings!$C$7))*100)</f>
        <v/>
      </c>
      <c r="AF95" s="7" t="n"/>
      <c r="AI95" s="11" t="n"/>
      <c r="AK95">
        <f>IF($D95="","",IF(COUNTIF($D$2:$D95,$D95)=1,1,0))</f>
        <v/>
      </c>
      <c r="AL95">
        <f>IF($AK95=1,SUMPRODUCT(--($AO$2:$AO$1601&lt;$AO95))+1,"")</f>
        <v/>
      </c>
      <c r="AM95">
        <f>IF($D95="","",IF(OR($R95=TRUE(),$R95="TRUE"),1,0))</f>
        <v/>
      </c>
      <c r="AN95">
        <f>IF($D95="","",IF($AA95="Yes",1,0))</f>
        <v/>
      </c>
      <c r="AO95">
        <f>IF($AK95=1,IFERROR(IF(VALUE($D95)&lt;100000000,VALUE($D95),1000000000),IFERROR(IF(VALUE(MID($D95,2,20))&lt;100000000,VALUE(MID($D95,2,20)),1000000000),1000000000))+ROW()/100000,"")</f>
        <v/>
      </c>
    </row>
    <row r="96">
      <c r="F96" s="11" t="n"/>
      <c r="N96" s="7">
        <f>IF($D96="","",M96*X96/100)</f>
        <v/>
      </c>
      <c r="O96" s="7" t="n"/>
      <c r="U96" s="7" t="n"/>
      <c r="V96" s="7" t="n"/>
      <c r="W96" s="7">
        <f>IF($D96="","",V96*AB96/100)</f>
        <v/>
      </c>
      <c r="X96" s="7">
        <f>IF($D96="","",V96-W96)</f>
        <v/>
      </c>
      <c r="Y96" s="7">
        <f>IF($D96="","",X96-N96)</f>
        <v/>
      </c>
      <c r="AB96">
        <f>IF($D96="","",IF($AN96=1,Settings!$C$8,IF($AM96=1,Settings!$C$6,Settings!$C$7))*100)</f>
        <v/>
      </c>
      <c r="AF96" s="7" t="n"/>
      <c r="AI96" s="11" t="n"/>
      <c r="AK96">
        <f>IF($D96="","",IF(COUNTIF($D$2:$D96,$D96)=1,1,0))</f>
        <v/>
      </c>
      <c r="AL96">
        <f>IF($AK96=1,SUMPRODUCT(--($AO$2:$AO$1601&lt;$AO96))+1,"")</f>
        <v/>
      </c>
      <c r="AM96">
        <f>IF($D96="","",IF(OR($R96=TRUE(),$R96="TRUE"),1,0))</f>
        <v/>
      </c>
      <c r="AN96">
        <f>IF($D96="","",IF($AA96="Yes",1,0))</f>
        <v/>
      </c>
      <c r="AO96">
        <f>IF($AK96=1,IFERROR(IF(VALUE($D96)&lt;100000000,VALUE($D96),1000000000),IFERROR(IF(VALUE(MID($D96,2,20))&lt;100000000,VALUE(MID($D96,2,20)),1000000000),1000000000))+ROW()/100000,"")</f>
        <v/>
      </c>
    </row>
    <row r="97">
      <c r="F97" s="11" t="n"/>
      <c r="N97" s="7">
        <f>IF($D97="","",M97*X97/100)</f>
        <v/>
      </c>
      <c r="O97" s="7" t="n"/>
      <c r="U97" s="7" t="n"/>
      <c r="V97" s="7" t="n"/>
      <c r="W97" s="7">
        <f>IF($D97="","",V97*AB97/100)</f>
        <v/>
      </c>
      <c r="X97" s="7">
        <f>IF($D97="","",V97-W97)</f>
        <v/>
      </c>
      <c r="Y97" s="7">
        <f>IF($D97="","",X97-N97)</f>
        <v/>
      </c>
      <c r="AB97">
        <f>IF($D97="","",IF($AN97=1,Settings!$C$8,IF($AM97=1,Settings!$C$6,Settings!$C$7))*100)</f>
        <v/>
      </c>
      <c r="AF97" s="7" t="n"/>
      <c r="AI97" s="11" t="n"/>
      <c r="AK97">
        <f>IF($D97="","",IF(COUNTIF($D$2:$D97,$D97)=1,1,0))</f>
        <v/>
      </c>
      <c r="AL97">
        <f>IF($AK97=1,SUMPRODUCT(--($AO$2:$AO$1601&lt;$AO97))+1,"")</f>
        <v/>
      </c>
      <c r="AM97">
        <f>IF($D97="","",IF(OR($R97=TRUE(),$R97="TRUE"),1,0))</f>
        <v/>
      </c>
      <c r="AN97">
        <f>IF($D97="","",IF($AA97="Yes",1,0))</f>
        <v/>
      </c>
      <c r="AO97">
        <f>IF($AK97=1,IFERROR(IF(VALUE($D97)&lt;100000000,VALUE($D97),1000000000),IFERROR(IF(VALUE(MID($D97,2,20))&lt;100000000,VALUE(MID($D97,2,20)),1000000000),1000000000))+ROW()/100000,"")</f>
        <v/>
      </c>
    </row>
    <row r="98">
      <c r="F98" s="11" t="n"/>
      <c r="N98" s="7">
        <f>IF($D98="","",M98*X98/100)</f>
        <v/>
      </c>
      <c r="O98" s="7" t="n"/>
      <c r="U98" s="7" t="n"/>
      <c r="V98" s="7" t="n"/>
      <c r="W98" s="7">
        <f>IF($D98="","",V98*AB98/100)</f>
        <v/>
      </c>
      <c r="X98" s="7">
        <f>IF($D98="","",V98-W98)</f>
        <v/>
      </c>
      <c r="Y98" s="7">
        <f>IF($D98="","",X98-N98)</f>
        <v/>
      </c>
      <c r="AB98">
        <f>IF($D98="","",IF($AN98=1,Settings!$C$8,IF($AM98=1,Settings!$C$6,Settings!$C$7))*100)</f>
        <v/>
      </c>
      <c r="AF98" s="7" t="n"/>
      <c r="AI98" s="11" t="n"/>
      <c r="AK98">
        <f>IF($D98="","",IF(COUNTIF($D$2:$D98,$D98)=1,1,0))</f>
        <v/>
      </c>
      <c r="AL98">
        <f>IF($AK98=1,SUMPRODUCT(--($AO$2:$AO$1601&lt;$AO98))+1,"")</f>
        <v/>
      </c>
      <c r="AM98">
        <f>IF($D98="","",IF(OR($R98=TRUE(),$R98="TRUE"),1,0))</f>
        <v/>
      </c>
      <c r="AN98">
        <f>IF($D98="","",IF($AA98="Yes",1,0))</f>
        <v/>
      </c>
      <c r="AO98">
        <f>IF($AK98=1,IFERROR(IF(VALUE($D98)&lt;100000000,VALUE($D98),1000000000),IFERROR(IF(VALUE(MID($D98,2,20))&lt;100000000,VALUE(MID($D98,2,20)),1000000000),1000000000))+ROW()/100000,"")</f>
        <v/>
      </c>
    </row>
    <row r="99">
      <c r="F99" s="11" t="n"/>
      <c r="N99" s="7">
        <f>IF($D99="","",M99*X99/100)</f>
        <v/>
      </c>
      <c r="O99" s="7" t="n"/>
      <c r="U99" s="7" t="n"/>
      <c r="V99" s="7" t="n"/>
      <c r="W99" s="7">
        <f>IF($D99="","",V99*AB99/100)</f>
        <v/>
      </c>
      <c r="X99" s="7">
        <f>IF($D99="","",V99-W99)</f>
        <v/>
      </c>
      <c r="Y99" s="7">
        <f>IF($D99="","",X99-N99)</f>
        <v/>
      </c>
      <c r="AB99">
        <f>IF($D99="","",IF($AN99=1,Settings!$C$8,IF($AM99=1,Settings!$C$6,Settings!$C$7))*100)</f>
        <v/>
      </c>
      <c r="AF99" s="7" t="n"/>
      <c r="AI99" s="11" t="n"/>
      <c r="AK99">
        <f>IF($D99="","",IF(COUNTIF($D$2:$D99,$D99)=1,1,0))</f>
        <v/>
      </c>
      <c r="AL99">
        <f>IF($AK99=1,SUMPRODUCT(--($AO$2:$AO$1601&lt;$AO99))+1,"")</f>
        <v/>
      </c>
      <c r="AM99">
        <f>IF($D99="","",IF(OR($R99=TRUE(),$R99="TRUE"),1,0))</f>
        <v/>
      </c>
      <c r="AN99">
        <f>IF($D99="","",IF($AA99="Yes",1,0))</f>
        <v/>
      </c>
      <c r="AO99">
        <f>IF($AK99=1,IFERROR(IF(VALUE($D99)&lt;100000000,VALUE($D99),1000000000),IFERROR(IF(VALUE(MID($D99,2,20))&lt;100000000,VALUE(MID($D99,2,20)),1000000000),1000000000))+ROW()/100000,"")</f>
        <v/>
      </c>
    </row>
    <row r="100">
      <c r="F100" s="11" t="n"/>
      <c r="N100" s="7">
        <f>IF($D100="","",M100*X100/100)</f>
        <v/>
      </c>
      <c r="O100" s="7" t="n"/>
      <c r="U100" s="7" t="n"/>
      <c r="V100" s="7" t="n"/>
      <c r="W100" s="7">
        <f>IF($D100="","",V100*AB100/100)</f>
        <v/>
      </c>
      <c r="X100" s="7">
        <f>IF($D100="","",V100-W100)</f>
        <v/>
      </c>
      <c r="Y100" s="7">
        <f>IF($D100="","",X100-N100)</f>
        <v/>
      </c>
      <c r="AB100">
        <f>IF($D100="","",IF($AN100=1,Settings!$C$8,IF($AM100=1,Settings!$C$6,Settings!$C$7))*100)</f>
        <v/>
      </c>
      <c r="AF100" s="7" t="n"/>
      <c r="AI100" s="11" t="n"/>
      <c r="AK100">
        <f>IF($D100="","",IF(COUNTIF($D$2:$D100,$D100)=1,1,0))</f>
        <v/>
      </c>
      <c r="AL100">
        <f>IF($AK100=1,SUMPRODUCT(--($AO$2:$AO$1601&lt;$AO100))+1,"")</f>
        <v/>
      </c>
      <c r="AM100">
        <f>IF($D100="","",IF(OR($R100=TRUE(),$R100="TRUE"),1,0))</f>
        <v/>
      </c>
      <c r="AN100">
        <f>IF($D100="","",IF($AA100="Yes",1,0))</f>
        <v/>
      </c>
      <c r="AO100">
        <f>IF($AK100=1,IFERROR(IF(VALUE($D100)&lt;100000000,VALUE($D100),1000000000),IFERROR(IF(VALUE(MID($D100,2,20))&lt;100000000,VALUE(MID($D100,2,20)),1000000000),1000000000))+ROW()/100000,"")</f>
        <v/>
      </c>
    </row>
    <row r="101">
      <c r="F101" s="11" t="n"/>
      <c r="N101" s="7">
        <f>IF($D101="","",M101*X101/100)</f>
        <v/>
      </c>
      <c r="O101" s="7" t="n"/>
      <c r="U101" s="7" t="n"/>
      <c r="V101" s="7" t="n"/>
      <c r="W101" s="7">
        <f>IF($D101="","",V101*AB101/100)</f>
        <v/>
      </c>
      <c r="X101" s="7">
        <f>IF($D101="","",V101-W101)</f>
        <v/>
      </c>
      <c r="Y101" s="7">
        <f>IF($D101="","",X101-N101)</f>
        <v/>
      </c>
      <c r="AB101">
        <f>IF($D101="","",IF($AN101=1,Settings!$C$8,IF($AM101=1,Settings!$C$6,Settings!$C$7))*100)</f>
        <v/>
      </c>
      <c r="AF101" s="7" t="n"/>
      <c r="AI101" s="11" t="n"/>
      <c r="AK101">
        <f>IF($D101="","",IF(COUNTIF($D$2:$D101,$D101)=1,1,0))</f>
        <v/>
      </c>
      <c r="AL101">
        <f>IF($AK101=1,SUMPRODUCT(--($AO$2:$AO$1601&lt;$AO101))+1,"")</f>
        <v/>
      </c>
      <c r="AM101">
        <f>IF($D101="","",IF(OR($R101=TRUE(),$R101="TRUE"),1,0))</f>
        <v/>
      </c>
      <c r="AN101">
        <f>IF($D101="","",IF($AA101="Yes",1,0))</f>
        <v/>
      </c>
      <c r="AO101">
        <f>IF($AK101=1,IFERROR(IF(VALUE($D101)&lt;100000000,VALUE($D101),1000000000),IFERROR(IF(VALUE(MID($D101,2,20))&lt;100000000,VALUE(MID($D101,2,20)),1000000000),1000000000))+ROW()/100000,"")</f>
        <v/>
      </c>
    </row>
    <row r="102">
      <c r="F102" s="11" t="n"/>
      <c r="N102" s="7">
        <f>IF($D102="","",M102*X102/100)</f>
        <v/>
      </c>
      <c r="O102" s="7" t="n"/>
      <c r="U102" s="7" t="n"/>
      <c r="V102" s="7" t="n"/>
      <c r="W102" s="7">
        <f>IF($D102="","",V102*AB102/100)</f>
        <v/>
      </c>
      <c r="X102" s="7">
        <f>IF($D102="","",V102-W102)</f>
        <v/>
      </c>
      <c r="Y102" s="7">
        <f>IF($D102="","",X102-N102)</f>
        <v/>
      </c>
      <c r="AB102">
        <f>IF($D102="","",IF($AN102=1,Settings!$C$8,IF($AM102=1,Settings!$C$6,Settings!$C$7))*100)</f>
        <v/>
      </c>
      <c r="AF102" s="7" t="n"/>
      <c r="AI102" s="11" t="n"/>
      <c r="AK102">
        <f>IF($D102="","",IF(COUNTIF($D$2:$D102,$D102)=1,1,0))</f>
        <v/>
      </c>
      <c r="AL102">
        <f>IF($AK102=1,SUMPRODUCT(--($AO$2:$AO$1601&lt;$AO102))+1,"")</f>
        <v/>
      </c>
      <c r="AM102">
        <f>IF($D102="","",IF(OR($R102=TRUE(),$R102="TRUE"),1,0))</f>
        <v/>
      </c>
      <c r="AN102">
        <f>IF($D102="","",IF($AA102="Yes",1,0))</f>
        <v/>
      </c>
      <c r="AO102">
        <f>IF($AK102=1,IFERROR(IF(VALUE($D102)&lt;100000000,VALUE($D102),1000000000),IFERROR(IF(VALUE(MID($D102,2,20))&lt;100000000,VALUE(MID($D102,2,20)),1000000000),1000000000))+ROW()/100000,"")</f>
        <v/>
      </c>
    </row>
    <row r="103">
      <c r="F103" s="11" t="n"/>
      <c r="N103" s="7">
        <f>IF($D103="","",M103*X103/100)</f>
        <v/>
      </c>
      <c r="O103" s="7" t="n"/>
      <c r="U103" s="7" t="n"/>
      <c r="V103" s="7" t="n"/>
      <c r="W103" s="7">
        <f>IF($D103="","",V103*AB103/100)</f>
        <v/>
      </c>
      <c r="X103" s="7">
        <f>IF($D103="","",V103-W103)</f>
        <v/>
      </c>
      <c r="Y103" s="7">
        <f>IF($D103="","",X103-N103)</f>
        <v/>
      </c>
      <c r="AB103">
        <f>IF($D103="","",IF($AN103=1,Settings!$C$8,IF($AM103=1,Settings!$C$6,Settings!$C$7))*100)</f>
        <v/>
      </c>
      <c r="AF103" s="7" t="n"/>
      <c r="AI103" s="11" t="n"/>
      <c r="AK103">
        <f>IF($D103="","",IF(COUNTIF($D$2:$D103,$D103)=1,1,0))</f>
        <v/>
      </c>
      <c r="AL103">
        <f>IF($AK103=1,SUMPRODUCT(--($AO$2:$AO$1601&lt;$AO103))+1,"")</f>
        <v/>
      </c>
      <c r="AM103">
        <f>IF($D103="","",IF(OR($R103=TRUE(),$R103="TRUE"),1,0))</f>
        <v/>
      </c>
      <c r="AN103">
        <f>IF($D103="","",IF($AA103="Yes",1,0))</f>
        <v/>
      </c>
      <c r="AO103">
        <f>IF($AK103=1,IFERROR(IF(VALUE($D103)&lt;100000000,VALUE($D103),1000000000),IFERROR(IF(VALUE(MID($D103,2,20))&lt;100000000,VALUE(MID($D103,2,20)),1000000000),1000000000))+ROW()/100000,"")</f>
        <v/>
      </c>
    </row>
    <row r="104">
      <c r="F104" s="11" t="n"/>
      <c r="N104" s="7">
        <f>IF($D104="","",M104*X104/100)</f>
        <v/>
      </c>
      <c r="O104" s="7" t="n"/>
      <c r="U104" s="7" t="n"/>
      <c r="V104" s="7" t="n"/>
      <c r="W104" s="7">
        <f>IF($D104="","",V104*AB104/100)</f>
        <v/>
      </c>
      <c r="X104" s="7">
        <f>IF($D104="","",V104-W104)</f>
        <v/>
      </c>
      <c r="Y104" s="7">
        <f>IF($D104="","",X104-N104)</f>
        <v/>
      </c>
      <c r="AB104">
        <f>IF($D104="","",IF($AN104=1,Settings!$C$8,IF($AM104=1,Settings!$C$6,Settings!$C$7))*100)</f>
        <v/>
      </c>
      <c r="AF104" s="7" t="n"/>
      <c r="AI104" s="11" t="n"/>
      <c r="AK104">
        <f>IF($D104="","",IF(COUNTIF($D$2:$D104,$D104)=1,1,0))</f>
        <v/>
      </c>
      <c r="AL104">
        <f>IF($AK104=1,SUMPRODUCT(--($AO$2:$AO$1601&lt;$AO104))+1,"")</f>
        <v/>
      </c>
      <c r="AM104">
        <f>IF($D104="","",IF(OR($R104=TRUE(),$R104="TRUE"),1,0))</f>
        <v/>
      </c>
      <c r="AN104">
        <f>IF($D104="","",IF($AA104="Yes",1,0))</f>
        <v/>
      </c>
      <c r="AO104">
        <f>IF($AK104=1,IFERROR(IF(VALUE($D104)&lt;100000000,VALUE($D104),1000000000),IFERROR(IF(VALUE(MID($D104,2,20))&lt;100000000,VALUE(MID($D104,2,20)),1000000000),1000000000))+ROW()/100000,"")</f>
        <v/>
      </c>
    </row>
    <row r="105">
      <c r="F105" s="11" t="n"/>
      <c r="N105" s="7">
        <f>IF($D105="","",M105*X105/100)</f>
        <v/>
      </c>
      <c r="O105" s="7" t="n"/>
      <c r="U105" s="7" t="n"/>
      <c r="V105" s="7" t="n"/>
      <c r="W105" s="7">
        <f>IF($D105="","",V105*AB105/100)</f>
        <v/>
      </c>
      <c r="X105" s="7">
        <f>IF($D105="","",V105-W105)</f>
        <v/>
      </c>
      <c r="Y105" s="7">
        <f>IF($D105="","",X105-N105)</f>
        <v/>
      </c>
      <c r="AB105">
        <f>IF($D105="","",IF($AN105=1,Settings!$C$8,IF($AM105=1,Settings!$C$6,Settings!$C$7))*100)</f>
        <v/>
      </c>
      <c r="AF105" s="7" t="n"/>
      <c r="AI105" s="11" t="n"/>
      <c r="AK105">
        <f>IF($D105="","",IF(COUNTIF($D$2:$D105,$D105)=1,1,0))</f>
        <v/>
      </c>
      <c r="AL105">
        <f>IF($AK105=1,SUMPRODUCT(--($AO$2:$AO$1601&lt;$AO105))+1,"")</f>
        <v/>
      </c>
      <c r="AM105">
        <f>IF($D105="","",IF(OR($R105=TRUE(),$R105="TRUE"),1,0))</f>
        <v/>
      </c>
      <c r="AN105">
        <f>IF($D105="","",IF($AA105="Yes",1,0))</f>
        <v/>
      </c>
      <c r="AO105">
        <f>IF($AK105=1,IFERROR(IF(VALUE($D105)&lt;100000000,VALUE($D105),1000000000),IFERROR(IF(VALUE(MID($D105,2,20))&lt;100000000,VALUE(MID($D105,2,20)),1000000000),1000000000))+ROW()/100000,"")</f>
        <v/>
      </c>
    </row>
    <row r="106">
      <c r="F106" s="11" t="n"/>
      <c r="N106" s="7">
        <f>IF($D106="","",M106*X106/100)</f>
        <v/>
      </c>
      <c r="O106" s="7" t="n"/>
      <c r="U106" s="7" t="n"/>
      <c r="V106" s="7" t="n"/>
      <c r="W106" s="7">
        <f>IF($D106="","",V106*AB106/100)</f>
        <v/>
      </c>
      <c r="X106" s="7">
        <f>IF($D106="","",V106-W106)</f>
        <v/>
      </c>
      <c r="Y106" s="7">
        <f>IF($D106="","",X106-N106)</f>
        <v/>
      </c>
      <c r="AB106">
        <f>IF($D106="","",IF($AN106=1,Settings!$C$8,IF($AM106=1,Settings!$C$6,Settings!$C$7))*100)</f>
        <v/>
      </c>
      <c r="AF106" s="7" t="n"/>
      <c r="AI106" s="11" t="n"/>
      <c r="AK106">
        <f>IF($D106="","",IF(COUNTIF($D$2:$D106,$D106)=1,1,0))</f>
        <v/>
      </c>
      <c r="AL106">
        <f>IF($AK106=1,SUMPRODUCT(--($AO$2:$AO$1601&lt;$AO106))+1,"")</f>
        <v/>
      </c>
      <c r="AM106">
        <f>IF($D106="","",IF(OR($R106=TRUE(),$R106="TRUE"),1,0))</f>
        <v/>
      </c>
      <c r="AN106">
        <f>IF($D106="","",IF($AA106="Yes",1,0))</f>
        <v/>
      </c>
      <c r="AO106">
        <f>IF($AK106=1,IFERROR(IF(VALUE($D106)&lt;100000000,VALUE($D106),1000000000),IFERROR(IF(VALUE(MID($D106,2,20))&lt;100000000,VALUE(MID($D106,2,20)),1000000000),1000000000))+ROW()/100000,"")</f>
        <v/>
      </c>
    </row>
    <row r="107">
      <c r="F107" s="11" t="n"/>
      <c r="N107" s="7">
        <f>IF($D107="","",M107*X107/100)</f>
        <v/>
      </c>
      <c r="O107" s="7" t="n"/>
      <c r="U107" s="7" t="n"/>
      <c r="V107" s="7" t="n"/>
      <c r="W107" s="7">
        <f>IF($D107="","",V107*AB107/100)</f>
        <v/>
      </c>
      <c r="X107" s="7">
        <f>IF($D107="","",V107-W107)</f>
        <v/>
      </c>
      <c r="Y107" s="7">
        <f>IF($D107="","",X107-N107)</f>
        <v/>
      </c>
      <c r="AB107">
        <f>IF($D107="","",IF($AN107=1,Settings!$C$8,IF($AM107=1,Settings!$C$6,Settings!$C$7))*100)</f>
        <v/>
      </c>
      <c r="AF107" s="7" t="n"/>
      <c r="AI107" s="11" t="n"/>
      <c r="AK107">
        <f>IF($D107="","",IF(COUNTIF($D$2:$D107,$D107)=1,1,0))</f>
        <v/>
      </c>
      <c r="AL107">
        <f>IF($AK107=1,SUMPRODUCT(--($AO$2:$AO$1601&lt;$AO107))+1,"")</f>
        <v/>
      </c>
      <c r="AM107">
        <f>IF($D107="","",IF(OR($R107=TRUE(),$R107="TRUE"),1,0))</f>
        <v/>
      </c>
      <c r="AN107">
        <f>IF($D107="","",IF($AA107="Yes",1,0))</f>
        <v/>
      </c>
      <c r="AO107">
        <f>IF($AK107=1,IFERROR(IF(VALUE($D107)&lt;100000000,VALUE($D107),1000000000),IFERROR(IF(VALUE(MID($D107,2,20))&lt;100000000,VALUE(MID($D107,2,20)),1000000000),1000000000))+ROW()/100000,"")</f>
        <v/>
      </c>
    </row>
    <row r="108">
      <c r="F108" s="11" t="n"/>
      <c r="N108" s="7">
        <f>IF($D108="","",M108*X108/100)</f>
        <v/>
      </c>
      <c r="O108" s="7" t="n"/>
      <c r="U108" s="7" t="n"/>
      <c r="V108" s="7" t="n"/>
      <c r="W108" s="7">
        <f>IF($D108="","",V108*AB108/100)</f>
        <v/>
      </c>
      <c r="X108" s="7">
        <f>IF($D108="","",V108-W108)</f>
        <v/>
      </c>
      <c r="Y108" s="7">
        <f>IF($D108="","",X108-N108)</f>
        <v/>
      </c>
      <c r="AB108">
        <f>IF($D108="","",IF($AN108=1,Settings!$C$8,IF($AM108=1,Settings!$C$6,Settings!$C$7))*100)</f>
        <v/>
      </c>
      <c r="AF108" s="7" t="n"/>
      <c r="AI108" s="11" t="n"/>
      <c r="AK108">
        <f>IF($D108="","",IF(COUNTIF($D$2:$D108,$D108)=1,1,0))</f>
        <v/>
      </c>
      <c r="AL108">
        <f>IF($AK108=1,SUMPRODUCT(--($AO$2:$AO$1601&lt;$AO108))+1,"")</f>
        <v/>
      </c>
      <c r="AM108">
        <f>IF($D108="","",IF(OR($R108=TRUE(),$R108="TRUE"),1,0))</f>
        <v/>
      </c>
      <c r="AN108">
        <f>IF($D108="","",IF($AA108="Yes",1,0))</f>
        <v/>
      </c>
      <c r="AO108">
        <f>IF($AK108=1,IFERROR(IF(VALUE($D108)&lt;100000000,VALUE($D108),1000000000),IFERROR(IF(VALUE(MID($D108,2,20))&lt;100000000,VALUE(MID($D108,2,20)),1000000000),1000000000))+ROW()/100000,"")</f>
        <v/>
      </c>
    </row>
    <row r="109">
      <c r="F109" s="11" t="n"/>
      <c r="N109" s="7">
        <f>IF($D109="","",M109*X109/100)</f>
        <v/>
      </c>
      <c r="O109" s="7" t="n"/>
      <c r="U109" s="7" t="n"/>
      <c r="V109" s="7" t="n"/>
      <c r="W109" s="7">
        <f>IF($D109="","",V109*AB109/100)</f>
        <v/>
      </c>
      <c r="X109" s="7">
        <f>IF($D109="","",V109-W109)</f>
        <v/>
      </c>
      <c r="Y109" s="7">
        <f>IF($D109="","",X109-N109)</f>
        <v/>
      </c>
      <c r="AB109">
        <f>IF($D109="","",IF($AN109=1,Settings!$C$8,IF($AM109=1,Settings!$C$6,Settings!$C$7))*100)</f>
        <v/>
      </c>
      <c r="AF109" s="7" t="n"/>
      <c r="AI109" s="11" t="n"/>
      <c r="AK109">
        <f>IF($D109="","",IF(COUNTIF($D$2:$D109,$D109)=1,1,0))</f>
        <v/>
      </c>
      <c r="AL109">
        <f>IF($AK109=1,SUMPRODUCT(--($AO$2:$AO$1601&lt;$AO109))+1,"")</f>
        <v/>
      </c>
      <c r="AM109">
        <f>IF($D109="","",IF(OR($R109=TRUE(),$R109="TRUE"),1,0))</f>
        <v/>
      </c>
      <c r="AN109">
        <f>IF($D109="","",IF($AA109="Yes",1,0))</f>
        <v/>
      </c>
      <c r="AO109">
        <f>IF($AK109=1,IFERROR(IF(VALUE($D109)&lt;100000000,VALUE($D109),1000000000),IFERROR(IF(VALUE(MID($D109,2,20))&lt;100000000,VALUE(MID($D109,2,20)),1000000000),1000000000))+ROW()/100000,"")</f>
        <v/>
      </c>
    </row>
    <row r="110">
      <c r="F110" s="11" t="n"/>
      <c r="N110" s="7">
        <f>IF($D110="","",M110*X110/100)</f>
        <v/>
      </c>
      <c r="O110" s="7" t="n"/>
      <c r="U110" s="7" t="n"/>
      <c r="V110" s="7" t="n"/>
      <c r="W110" s="7">
        <f>IF($D110="","",V110*AB110/100)</f>
        <v/>
      </c>
      <c r="X110" s="7">
        <f>IF($D110="","",V110-W110)</f>
        <v/>
      </c>
      <c r="Y110" s="7">
        <f>IF($D110="","",X110-N110)</f>
        <v/>
      </c>
      <c r="AB110">
        <f>IF($D110="","",IF($AN110=1,Settings!$C$8,IF($AM110=1,Settings!$C$6,Settings!$C$7))*100)</f>
        <v/>
      </c>
      <c r="AF110" s="7" t="n"/>
      <c r="AI110" s="11" t="n"/>
      <c r="AK110">
        <f>IF($D110="","",IF(COUNTIF($D$2:$D110,$D110)=1,1,0))</f>
        <v/>
      </c>
      <c r="AL110">
        <f>IF($AK110=1,SUMPRODUCT(--($AO$2:$AO$1601&lt;$AO110))+1,"")</f>
        <v/>
      </c>
      <c r="AM110">
        <f>IF($D110="","",IF(OR($R110=TRUE(),$R110="TRUE"),1,0))</f>
        <v/>
      </c>
      <c r="AN110">
        <f>IF($D110="","",IF($AA110="Yes",1,0))</f>
        <v/>
      </c>
      <c r="AO110">
        <f>IF($AK110=1,IFERROR(IF(VALUE($D110)&lt;100000000,VALUE($D110),1000000000),IFERROR(IF(VALUE(MID($D110,2,20))&lt;100000000,VALUE(MID($D110,2,20)),1000000000),1000000000))+ROW()/100000,"")</f>
        <v/>
      </c>
    </row>
    <row r="111">
      <c r="F111" s="11" t="n"/>
      <c r="N111" s="7">
        <f>IF($D111="","",M111*X111/100)</f>
        <v/>
      </c>
      <c r="O111" s="7" t="n"/>
      <c r="U111" s="7" t="n"/>
      <c r="V111" s="7" t="n"/>
      <c r="W111" s="7">
        <f>IF($D111="","",V111*AB111/100)</f>
        <v/>
      </c>
      <c r="X111" s="7">
        <f>IF($D111="","",V111-W111)</f>
        <v/>
      </c>
      <c r="Y111" s="7">
        <f>IF($D111="","",X111-N111)</f>
        <v/>
      </c>
      <c r="AB111">
        <f>IF($D111="","",IF($AN111=1,Settings!$C$8,IF($AM111=1,Settings!$C$6,Settings!$C$7))*100)</f>
        <v/>
      </c>
      <c r="AF111" s="7" t="n"/>
      <c r="AI111" s="11" t="n"/>
      <c r="AK111">
        <f>IF($D111="","",IF(COUNTIF($D$2:$D111,$D111)=1,1,0))</f>
        <v/>
      </c>
      <c r="AL111">
        <f>IF($AK111=1,SUMPRODUCT(--($AO$2:$AO$1601&lt;$AO111))+1,"")</f>
        <v/>
      </c>
      <c r="AM111">
        <f>IF($D111="","",IF(OR($R111=TRUE(),$R111="TRUE"),1,0))</f>
        <v/>
      </c>
      <c r="AN111">
        <f>IF($D111="","",IF($AA111="Yes",1,0))</f>
        <v/>
      </c>
      <c r="AO111">
        <f>IF($AK111=1,IFERROR(IF(VALUE($D111)&lt;100000000,VALUE($D111),1000000000),IFERROR(IF(VALUE(MID($D111,2,20))&lt;100000000,VALUE(MID($D111,2,20)),1000000000),1000000000))+ROW()/100000,"")</f>
        <v/>
      </c>
    </row>
    <row r="112">
      <c r="F112" s="11" t="n"/>
      <c r="N112" s="7">
        <f>IF($D112="","",M112*X112/100)</f>
        <v/>
      </c>
      <c r="O112" s="7" t="n"/>
      <c r="U112" s="7" t="n"/>
      <c r="V112" s="7" t="n"/>
      <c r="W112" s="7">
        <f>IF($D112="","",V112*AB112/100)</f>
        <v/>
      </c>
      <c r="X112" s="7">
        <f>IF($D112="","",V112-W112)</f>
        <v/>
      </c>
      <c r="Y112" s="7">
        <f>IF($D112="","",X112-N112)</f>
        <v/>
      </c>
      <c r="AB112">
        <f>IF($D112="","",IF($AN112=1,Settings!$C$8,IF($AM112=1,Settings!$C$6,Settings!$C$7))*100)</f>
        <v/>
      </c>
      <c r="AF112" s="7" t="n"/>
      <c r="AI112" s="11" t="n"/>
      <c r="AK112">
        <f>IF($D112="","",IF(COUNTIF($D$2:$D112,$D112)=1,1,0))</f>
        <v/>
      </c>
      <c r="AL112">
        <f>IF($AK112=1,SUMPRODUCT(--($AO$2:$AO$1601&lt;$AO112))+1,"")</f>
        <v/>
      </c>
      <c r="AM112">
        <f>IF($D112="","",IF(OR($R112=TRUE(),$R112="TRUE"),1,0))</f>
        <v/>
      </c>
      <c r="AN112">
        <f>IF($D112="","",IF($AA112="Yes",1,0))</f>
        <v/>
      </c>
      <c r="AO112">
        <f>IF($AK112=1,IFERROR(IF(VALUE($D112)&lt;100000000,VALUE($D112),1000000000),IFERROR(IF(VALUE(MID($D112,2,20))&lt;100000000,VALUE(MID($D112,2,20)),1000000000),1000000000))+ROW()/100000,"")</f>
        <v/>
      </c>
    </row>
    <row r="113">
      <c r="F113" s="11" t="n"/>
      <c r="N113" s="7">
        <f>IF($D113="","",M113*X113/100)</f>
        <v/>
      </c>
      <c r="O113" s="7" t="n"/>
      <c r="U113" s="7" t="n"/>
      <c r="V113" s="7" t="n"/>
      <c r="W113" s="7">
        <f>IF($D113="","",V113*AB113/100)</f>
        <v/>
      </c>
      <c r="X113" s="7">
        <f>IF($D113="","",V113-W113)</f>
        <v/>
      </c>
      <c r="Y113" s="7">
        <f>IF($D113="","",X113-N113)</f>
        <v/>
      </c>
      <c r="AB113">
        <f>IF($D113="","",IF($AN113=1,Settings!$C$8,IF($AM113=1,Settings!$C$6,Settings!$C$7))*100)</f>
        <v/>
      </c>
      <c r="AF113" s="7" t="n"/>
      <c r="AI113" s="11" t="n"/>
      <c r="AK113">
        <f>IF($D113="","",IF(COUNTIF($D$2:$D113,$D113)=1,1,0))</f>
        <v/>
      </c>
      <c r="AL113">
        <f>IF($AK113=1,SUMPRODUCT(--($AO$2:$AO$1601&lt;$AO113))+1,"")</f>
        <v/>
      </c>
      <c r="AM113">
        <f>IF($D113="","",IF(OR($R113=TRUE(),$R113="TRUE"),1,0))</f>
        <v/>
      </c>
      <c r="AN113">
        <f>IF($D113="","",IF($AA113="Yes",1,0))</f>
        <v/>
      </c>
      <c r="AO113">
        <f>IF($AK113=1,IFERROR(IF(VALUE($D113)&lt;100000000,VALUE($D113),1000000000),IFERROR(IF(VALUE(MID($D113,2,20))&lt;100000000,VALUE(MID($D113,2,20)),1000000000),1000000000))+ROW()/100000,"")</f>
        <v/>
      </c>
    </row>
    <row r="114">
      <c r="F114" s="11" t="n"/>
      <c r="N114" s="7">
        <f>IF($D114="","",M114*X114/100)</f>
        <v/>
      </c>
      <c r="O114" s="7" t="n"/>
      <c r="U114" s="7" t="n"/>
      <c r="V114" s="7" t="n"/>
      <c r="W114" s="7">
        <f>IF($D114="","",V114*AB114/100)</f>
        <v/>
      </c>
      <c r="X114" s="7">
        <f>IF($D114="","",V114-W114)</f>
        <v/>
      </c>
      <c r="Y114" s="7">
        <f>IF($D114="","",X114-N114)</f>
        <v/>
      </c>
      <c r="AB114">
        <f>IF($D114="","",IF($AN114=1,Settings!$C$8,IF($AM114=1,Settings!$C$6,Settings!$C$7))*100)</f>
        <v/>
      </c>
      <c r="AF114" s="7" t="n"/>
      <c r="AI114" s="11" t="n"/>
      <c r="AK114">
        <f>IF($D114="","",IF(COUNTIF($D$2:$D114,$D114)=1,1,0))</f>
        <v/>
      </c>
      <c r="AL114">
        <f>IF($AK114=1,SUMPRODUCT(--($AO$2:$AO$1601&lt;$AO114))+1,"")</f>
        <v/>
      </c>
      <c r="AM114">
        <f>IF($D114="","",IF(OR($R114=TRUE(),$R114="TRUE"),1,0))</f>
        <v/>
      </c>
      <c r="AN114">
        <f>IF($D114="","",IF($AA114="Yes",1,0))</f>
        <v/>
      </c>
      <c r="AO114">
        <f>IF($AK114=1,IFERROR(IF(VALUE($D114)&lt;100000000,VALUE($D114),1000000000),IFERROR(IF(VALUE(MID($D114,2,20))&lt;100000000,VALUE(MID($D114,2,20)),1000000000),1000000000))+ROW()/100000,"")</f>
        <v/>
      </c>
    </row>
    <row r="115">
      <c r="F115" s="11" t="n"/>
      <c r="N115" s="7">
        <f>IF($D115="","",M115*X115/100)</f>
        <v/>
      </c>
      <c r="O115" s="7" t="n"/>
      <c r="U115" s="7" t="n"/>
      <c r="V115" s="7" t="n"/>
      <c r="W115" s="7">
        <f>IF($D115="","",V115*AB115/100)</f>
        <v/>
      </c>
      <c r="X115" s="7">
        <f>IF($D115="","",V115-W115)</f>
        <v/>
      </c>
      <c r="Y115" s="7">
        <f>IF($D115="","",X115-N115)</f>
        <v/>
      </c>
      <c r="AB115">
        <f>IF($D115="","",IF($AN115=1,Settings!$C$8,IF($AM115=1,Settings!$C$6,Settings!$C$7))*100)</f>
        <v/>
      </c>
      <c r="AF115" s="7" t="n"/>
      <c r="AI115" s="11" t="n"/>
      <c r="AK115">
        <f>IF($D115="","",IF(COUNTIF($D$2:$D115,$D115)=1,1,0))</f>
        <v/>
      </c>
      <c r="AL115">
        <f>IF($AK115=1,SUMPRODUCT(--($AO$2:$AO$1601&lt;$AO115))+1,"")</f>
        <v/>
      </c>
      <c r="AM115">
        <f>IF($D115="","",IF(OR($R115=TRUE(),$R115="TRUE"),1,0))</f>
        <v/>
      </c>
      <c r="AN115">
        <f>IF($D115="","",IF($AA115="Yes",1,0))</f>
        <v/>
      </c>
      <c r="AO115">
        <f>IF($AK115=1,IFERROR(IF(VALUE($D115)&lt;100000000,VALUE($D115),1000000000),IFERROR(IF(VALUE(MID($D115,2,20))&lt;100000000,VALUE(MID($D115,2,20)),1000000000),1000000000))+ROW()/100000,"")</f>
        <v/>
      </c>
    </row>
    <row r="116">
      <c r="F116" s="11" t="n"/>
      <c r="N116" s="7">
        <f>IF($D116="","",M116*X116/100)</f>
        <v/>
      </c>
      <c r="O116" s="7" t="n"/>
      <c r="U116" s="7" t="n"/>
      <c r="V116" s="7" t="n"/>
      <c r="W116" s="7">
        <f>IF($D116="","",V116*AB116/100)</f>
        <v/>
      </c>
      <c r="X116" s="7">
        <f>IF($D116="","",V116-W116)</f>
        <v/>
      </c>
      <c r="Y116" s="7">
        <f>IF($D116="","",X116-N116)</f>
        <v/>
      </c>
      <c r="AB116">
        <f>IF($D116="","",IF($AN116=1,Settings!$C$8,IF($AM116=1,Settings!$C$6,Settings!$C$7))*100)</f>
        <v/>
      </c>
      <c r="AF116" s="7" t="n"/>
      <c r="AI116" s="11" t="n"/>
      <c r="AK116">
        <f>IF($D116="","",IF(COUNTIF($D$2:$D116,$D116)=1,1,0))</f>
        <v/>
      </c>
      <c r="AL116">
        <f>IF($AK116=1,SUMPRODUCT(--($AO$2:$AO$1601&lt;$AO116))+1,"")</f>
        <v/>
      </c>
      <c r="AM116">
        <f>IF($D116="","",IF(OR($R116=TRUE(),$R116="TRUE"),1,0))</f>
        <v/>
      </c>
      <c r="AN116">
        <f>IF($D116="","",IF($AA116="Yes",1,0))</f>
        <v/>
      </c>
      <c r="AO116">
        <f>IF($AK116=1,IFERROR(IF(VALUE($D116)&lt;100000000,VALUE($D116),1000000000),IFERROR(IF(VALUE(MID($D116,2,20))&lt;100000000,VALUE(MID($D116,2,20)),1000000000),1000000000))+ROW()/100000,"")</f>
        <v/>
      </c>
    </row>
    <row r="117">
      <c r="F117" s="11" t="n"/>
      <c r="N117" s="7">
        <f>IF($D117="","",M117*X117/100)</f>
        <v/>
      </c>
      <c r="O117" s="7" t="n"/>
      <c r="U117" s="7" t="n"/>
      <c r="V117" s="7" t="n"/>
      <c r="W117" s="7">
        <f>IF($D117="","",V117*AB117/100)</f>
        <v/>
      </c>
      <c r="X117" s="7">
        <f>IF($D117="","",V117-W117)</f>
        <v/>
      </c>
      <c r="Y117" s="7">
        <f>IF($D117="","",X117-N117)</f>
        <v/>
      </c>
      <c r="AB117">
        <f>IF($D117="","",IF($AN117=1,Settings!$C$8,IF($AM117=1,Settings!$C$6,Settings!$C$7))*100)</f>
        <v/>
      </c>
      <c r="AF117" s="7" t="n"/>
      <c r="AI117" s="11" t="n"/>
      <c r="AK117">
        <f>IF($D117="","",IF(COUNTIF($D$2:$D117,$D117)=1,1,0))</f>
        <v/>
      </c>
      <c r="AL117">
        <f>IF($AK117=1,SUMPRODUCT(--($AO$2:$AO$1601&lt;$AO117))+1,"")</f>
        <v/>
      </c>
      <c r="AM117">
        <f>IF($D117="","",IF(OR($R117=TRUE(),$R117="TRUE"),1,0))</f>
        <v/>
      </c>
      <c r="AN117">
        <f>IF($D117="","",IF($AA117="Yes",1,0))</f>
        <v/>
      </c>
      <c r="AO117">
        <f>IF($AK117=1,IFERROR(IF(VALUE($D117)&lt;100000000,VALUE($D117),1000000000),IFERROR(IF(VALUE(MID($D117,2,20))&lt;100000000,VALUE(MID($D117,2,20)),1000000000),1000000000))+ROW()/100000,"")</f>
        <v/>
      </c>
    </row>
    <row r="118">
      <c r="F118" s="11" t="n"/>
      <c r="N118" s="7">
        <f>IF($D118="","",M118*X118/100)</f>
        <v/>
      </c>
      <c r="O118" s="7" t="n"/>
      <c r="U118" s="7" t="n"/>
      <c r="V118" s="7" t="n"/>
      <c r="W118" s="7">
        <f>IF($D118="","",V118*AB118/100)</f>
        <v/>
      </c>
      <c r="X118" s="7">
        <f>IF($D118="","",V118-W118)</f>
        <v/>
      </c>
      <c r="Y118" s="7">
        <f>IF($D118="","",X118-N118)</f>
        <v/>
      </c>
      <c r="AB118">
        <f>IF($D118="","",IF($AN118=1,Settings!$C$8,IF($AM118=1,Settings!$C$6,Settings!$C$7))*100)</f>
        <v/>
      </c>
      <c r="AF118" s="7" t="n"/>
      <c r="AI118" s="11" t="n"/>
      <c r="AK118">
        <f>IF($D118="","",IF(COUNTIF($D$2:$D118,$D118)=1,1,0))</f>
        <v/>
      </c>
      <c r="AL118">
        <f>IF($AK118=1,SUMPRODUCT(--($AO$2:$AO$1601&lt;$AO118))+1,"")</f>
        <v/>
      </c>
      <c r="AM118">
        <f>IF($D118="","",IF(OR($R118=TRUE(),$R118="TRUE"),1,0))</f>
        <v/>
      </c>
      <c r="AN118">
        <f>IF($D118="","",IF($AA118="Yes",1,0))</f>
        <v/>
      </c>
      <c r="AO118">
        <f>IF($AK118=1,IFERROR(IF(VALUE($D118)&lt;100000000,VALUE($D118),1000000000),IFERROR(IF(VALUE(MID($D118,2,20))&lt;100000000,VALUE(MID($D118,2,20)),1000000000),1000000000))+ROW()/100000,"")</f>
        <v/>
      </c>
    </row>
    <row r="119">
      <c r="F119" s="11" t="n"/>
      <c r="N119" s="7">
        <f>IF($D119="","",M119*X119/100)</f>
        <v/>
      </c>
      <c r="O119" s="7" t="n"/>
      <c r="U119" s="7" t="n"/>
      <c r="V119" s="7" t="n"/>
      <c r="W119" s="7">
        <f>IF($D119="","",V119*AB119/100)</f>
        <v/>
      </c>
      <c r="X119" s="7">
        <f>IF($D119="","",V119-W119)</f>
        <v/>
      </c>
      <c r="Y119" s="7">
        <f>IF($D119="","",X119-N119)</f>
        <v/>
      </c>
      <c r="AB119">
        <f>IF($D119="","",IF($AN119=1,Settings!$C$8,IF($AM119=1,Settings!$C$6,Settings!$C$7))*100)</f>
        <v/>
      </c>
      <c r="AF119" s="7" t="n"/>
      <c r="AI119" s="11" t="n"/>
      <c r="AK119">
        <f>IF($D119="","",IF(COUNTIF($D$2:$D119,$D119)=1,1,0))</f>
        <v/>
      </c>
      <c r="AL119">
        <f>IF($AK119=1,SUMPRODUCT(--($AO$2:$AO$1601&lt;$AO119))+1,"")</f>
        <v/>
      </c>
      <c r="AM119">
        <f>IF($D119="","",IF(OR($R119=TRUE(),$R119="TRUE"),1,0))</f>
        <v/>
      </c>
      <c r="AN119">
        <f>IF($D119="","",IF($AA119="Yes",1,0))</f>
        <v/>
      </c>
      <c r="AO119">
        <f>IF($AK119=1,IFERROR(IF(VALUE($D119)&lt;100000000,VALUE($D119),1000000000),IFERROR(IF(VALUE(MID($D119,2,20))&lt;100000000,VALUE(MID($D119,2,20)),1000000000),1000000000))+ROW()/100000,"")</f>
        <v/>
      </c>
    </row>
    <row r="120">
      <c r="F120" s="11" t="n"/>
      <c r="N120" s="7">
        <f>IF($D120="","",M120*X120/100)</f>
        <v/>
      </c>
      <c r="O120" s="7" t="n"/>
      <c r="U120" s="7" t="n"/>
      <c r="V120" s="7" t="n"/>
      <c r="W120" s="7">
        <f>IF($D120="","",V120*AB120/100)</f>
        <v/>
      </c>
      <c r="X120" s="7">
        <f>IF($D120="","",V120-W120)</f>
        <v/>
      </c>
      <c r="Y120" s="7">
        <f>IF($D120="","",X120-N120)</f>
        <v/>
      </c>
      <c r="AB120">
        <f>IF($D120="","",IF($AN120=1,Settings!$C$8,IF($AM120=1,Settings!$C$6,Settings!$C$7))*100)</f>
        <v/>
      </c>
      <c r="AF120" s="7" t="n"/>
      <c r="AI120" s="11" t="n"/>
      <c r="AK120">
        <f>IF($D120="","",IF(COUNTIF($D$2:$D120,$D120)=1,1,0))</f>
        <v/>
      </c>
      <c r="AL120">
        <f>IF($AK120=1,SUMPRODUCT(--($AO$2:$AO$1601&lt;$AO120))+1,"")</f>
        <v/>
      </c>
      <c r="AM120">
        <f>IF($D120="","",IF(OR($R120=TRUE(),$R120="TRUE"),1,0))</f>
        <v/>
      </c>
      <c r="AN120">
        <f>IF($D120="","",IF($AA120="Yes",1,0))</f>
        <v/>
      </c>
      <c r="AO120">
        <f>IF($AK120=1,IFERROR(IF(VALUE($D120)&lt;100000000,VALUE($D120),1000000000),IFERROR(IF(VALUE(MID($D120,2,20))&lt;100000000,VALUE(MID($D120,2,20)),1000000000),1000000000))+ROW()/100000,"")</f>
        <v/>
      </c>
    </row>
    <row r="121">
      <c r="F121" s="11" t="n"/>
      <c r="N121" s="7">
        <f>IF($D121="","",M121*X121/100)</f>
        <v/>
      </c>
      <c r="O121" s="7" t="n"/>
      <c r="U121" s="7" t="n"/>
      <c r="V121" s="7" t="n"/>
      <c r="W121" s="7">
        <f>IF($D121="","",V121*AB121/100)</f>
        <v/>
      </c>
      <c r="X121" s="7">
        <f>IF($D121="","",V121-W121)</f>
        <v/>
      </c>
      <c r="Y121" s="7">
        <f>IF($D121="","",X121-N121)</f>
        <v/>
      </c>
      <c r="AB121">
        <f>IF($D121="","",IF($AN121=1,Settings!$C$8,IF($AM121=1,Settings!$C$6,Settings!$C$7))*100)</f>
        <v/>
      </c>
      <c r="AF121" s="7" t="n"/>
      <c r="AI121" s="11" t="n"/>
      <c r="AK121">
        <f>IF($D121="","",IF(COUNTIF($D$2:$D121,$D121)=1,1,0))</f>
        <v/>
      </c>
      <c r="AL121">
        <f>IF($AK121=1,SUMPRODUCT(--($AO$2:$AO$1601&lt;$AO121))+1,"")</f>
        <v/>
      </c>
      <c r="AM121">
        <f>IF($D121="","",IF(OR($R121=TRUE(),$R121="TRUE"),1,0))</f>
        <v/>
      </c>
      <c r="AN121">
        <f>IF($D121="","",IF($AA121="Yes",1,0))</f>
        <v/>
      </c>
      <c r="AO121">
        <f>IF($AK121=1,IFERROR(IF(VALUE($D121)&lt;100000000,VALUE($D121),1000000000),IFERROR(IF(VALUE(MID($D121,2,20))&lt;100000000,VALUE(MID($D121,2,20)),1000000000),1000000000))+ROW()/100000,"")</f>
        <v/>
      </c>
    </row>
    <row r="122">
      <c r="F122" s="11" t="n"/>
      <c r="N122" s="7">
        <f>IF($D122="","",M122*X122/100)</f>
        <v/>
      </c>
      <c r="O122" s="7" t="n"/>
      <c r="U122" s="7" t="n"/>
      <c r="V122" s="7" t="n"/>
      <c r="W122" s="7">
        <f>IF($D122="","",V122*AB122/100)</f>
        <v/>
      </c>
      <c r="X122" s="7">
        <f>IF($D122="","",V122-W122)</f>
        <v/>
      </c>
      <c r="Y122" s="7">
        <f>IF($D122="","",X122-N122)</f>
        <v/>
      </c>
      <c r="AB122">
        <f>IF($D122="","",IF($AN122=1,Settings!$C$8,IF($AM122=1,Settings!$C$6,Settings!$C$7))*100)</f>
        <v/>
      </c>
      <c r="AF122" s="7" t="n"/>
      <c r="AI122" s="11" t="n"/>
      <c r="AK122">
        <f>IF($D122="","",IF(COUNTIF($D$2:$D122,$D122)=1,1,0))</f>
        <v/>
      </c>
      <c r="AL122">
        <f>IF($AK122=1,SUMPRODUCT(--($AO$2:$AO$1601&lt;$AO122))+1,"")</f>
        <v/>
      </c>
      <c r="AM122">
        <f>IF($D122="","",IF(OR($R122=TRUE(),$R122="TRUE"),1,0))</f>
        <v/>
      </c>
      <c r="AN122">
        <f>IF($D122="","",IF($AA122="Yes",1,0))</f>
        <v/>
      </c>
      <c r="AO122">
        <f>IF($AK122=1,IFERROR(IF(VALUE($D122)&lt;100000000,VALUE($D122),1000000000),IFERROR(IF(VALUE(MID($D122,2,20))&lt;100000000,VALUE(MID($D122,2,20)),1000000000),1000000000))+ROW()/100000,"")</f>
        <v/>
      </c>
    </row>
    <row r="123">
      <c r="F123" s="11" t="n"/>
      <c r="N123" s="7">
        <f>IF($D123="","",M123*X123/100)</f>
        <v/>
      </c>
      <c r="O123" s="7" t="n"/>
      <c r="U123" s="7" t="n"/>
      <c r="V123" s="7" t="n"/>
      <c r="W123" s="7">
        <f>IF($D123="","",V123*AB123/100)</f>
        <v/>
      </c>
      <c r="X123" s="7">
        <f>IF($D123="","",V123-W123)</f>
        <v/>
      </c>
      <c r="Y123" s="7">
        <f>IF($D123="","",X123-N123)</f>
        <v/>
      </c>
      <c r="AB123">
        <f>IF($D123="","",IF($AN123=1,Settings!$C$8,IF($AM123=1,Settings!$C$6,Settings!$C$7))*100)</f>
        <v/>
      </c>
      <c r="AF123" s="7" t="n"/>
      <c r="AI123" s="11" t="n"/>
      <c r="AK123">
        <f>IF($D123="","",IF(COUNTIF($D$2:$D123,$D123)=1,1,0))</f>
        <v/>
      </c>
      <c r="AL123">
        <f>IF($AK123=1,SUMPRODUCT(--($AO$2:$AO$1601&lt;$AO123))+1,"")</f>
        <v/>
      </c>
      <c r="AM123">
        <f>IF($D123="","",IF(OR($R123=TRUE(),$R123="TRUE"),1,0))</f>
        <v/>
      </c>
      <c r="AN123">
        <f>IF($D123="","",IF($AA123="Yes",1,0))</f>
        <v/>
      </c>
      <c r="AO123">
        <f>IF($AK123=1,IFERROR(IF(VALUE($D123)&lt;100000000,VALUE($D123),1000000000),IFERROR(IF(VALUE(MID($D123,2,20))&lt;100000000,VALUE(MID($D123,2,20)),1000000000),1000000000))+ROW()/100000,"")</f>
        <v/>
      </c>
    </row>
    <row r="124">
      <c r="F124" s="11" t="n"/>
      <c r="N124" s="7">
        <f>IF($D124="","",M124*X124/100)</f>
        <v/>
      </c>
      <c r="O124" s="7" t="n"/>
      <c r="U124" s="7" t="n"/>
      <c r="V124" s="7" t="n"/>
      <c r="W124" s="7">
        <f>IF($D124="","",V124*AB124/100)</f>
        <v/>
      </c>
      <c r="X124" s="7">
        <f>IF($D124="","",V124-W124)</f>
        <v/>
      </c>
      <c r="Y124" s="7">
        <f>IF($D124="","",X124-N124)</f>
        <v/>
      </c>
      <c r="AB124">
        <f>IF($D124="","",IF($AN124=1,Settings!$C$8,IF($AM124=1,Settings!$C$6,Settings!$C$7))*100)</f>
        <v/>
      </c>
      <c r="AF124" s="7" t="n"/>
      <c r="AI124" s="11" t="n"/>
      <c r="AK124">
        <f>IF($D124="","",IF(COUNTIF($D$2:$D124,$D124)=1,1,0))</f>
        <v/>
      </c>
      <c r="AL124">
        <f>IF($AK124=1,SUMPRODUCT(--($AO$2:$AO$1601&lt;$AO124))+1,"")</f>
        <v/>
      </c>
      <c r="AM124">
        <f>IF($D124="","",IF(OR($R124=TRUE(),$R124="TRUE"),1,0))</f>
        <v/>
      </c>
      <c r="AN124">
        <f>IF($D124="","",IF($AA124="Yes",1,0))</f>
        <v/>
      </c>
      <c r="AO124">
        <f>IF($AK124=1,IFERROR(IF(VALUE($D124)&lt;100000000,VALUE($D124),1000000000),IFERROR(IF(VALUE(MID($D124,2,20))&lt;100000000,VALUE(MID($D124,2,20)),1000000000),1000000000))+ROW()/100000,"")</f>
        <v/>
      </c>
    </row>
    <row r="125">
      <c r="F125" s="11" t="n"/>
      <c r="N125" s="7">
        <f>IF($D125="","",M125*X125/100)</f>
        <v/>
      </c>
      <c r="O125" s="7" t="n"/>
      <c r="U125" s="7" t="n"/>
      <c r="V125" s="7" t="n"/>
      <c r="W125" s="7">
        <f>IF($D125="","",V125*AB125/100)</f>
        <v/>
      </c>
      <c r="X125" s="7">
        <f>IF($D125="","",V125-W125)</f>
        <v/>
      </c>
      <c r="Y125" s="7">
        <f>IF($D125="","",X125-N125)</f>
        <v/>
      </c>
      <c r="AB125">
        <f>IF($D125="","",IF($AN125=1,Settings!$C$8,IF($AM125=1,Settings!$C$6,Settings!$C$7))*100)</f>
        <v/>
      </c>
      <c r="AF125" s="7" t="n"/>
      <c r="AI125" s="11" t="n"/>
      <c r="AK125">
        <f>IF($D125="","",IF(COUNTIF($D$2:$D125,$D125)=1,1,0))</f>
        <v/>
      </c>
      <c r="AL125">
        <f>IF($AK125=1,SUMPRODUCT(--($AO$2:$AO$1601&lt;$AO125))+1,"")</f>
        <v/>
      </c>
      <c r="AM125">
        <f>IF($D125="","",IF(OR($R125=TRUE(),$R125="TRUE"),1,0))</f>
        <v/>
      </c>
      <c r="AN125">
        <f>IF($D125="","",IF($AA125="Yes",1,0))</f>
        <v/>
      </c>
      <c r="AO125">
        <f>IF($AK125=1,IFERROR(IF(VALUE($D125)&lt;100000000,VALUE($D125),1000000000),IFERROR(IF(VALUE(MID($D125,2,20))&lt;100000000,VALUE(MID($D125,2,20)),1000000000),1000000000))+ROW()/100000,"")</f>
        <v/>
      </c>
    </row>
    <row r="126">
      <c r="F126" s="11" t="n"/>
      <c r="N126" s="7">
        <f>IF($D126="","",M126*X126/100)</f>
        <v/>
      </c>
      <c r="O126" s="7" t="n"/>
      <c r="U126" s="7" t="n"/>
      <c r="V126" s="7" t="n"/>
      <c r="W126" s="7">
        <f>IF($D126="","",V126*AB126/100)</f>
        <v/>
      </c>
      <c r="X126" s="7">
        <f>IF($D126="","",V126-W126)</f>
        <v/>
      </c>
      <c r="Y126" s="7">
        <f>IF($D126="","",X126-N126)</f>
        <v/>
      </c>
      <c r="AB126">
        <f>IF($D126="","",IF($AN126=1,Settings!$C$8,IF($AM126=1,Settings!$C$6,Settings!$C$7))*100)</f>
        <v/>
      </c>
      <c r="AF126" s="7" t="n"/>
      <c r="AI126" s="11" t="n"/>
      <c r="AK126">
        <f>IF($D126="","",IF(COUNTIF($D$2:$D126,$D126)=1,1,0))</f>
        <v/>
      </c>
      <c r="AL126">
        <f>IF($AK126=1,SUMPRODUCT(--($AO$2:$AO$1601&lt;$AO126))+1,"")</f>
        <v/>
      </c>
      <c r="AM126">
        <f>IF($D126="","",IF(OR($R126=TRUE(),$R126="TRUE"),1,0))</f>
        <v/>
      </c>
      <c r="AN126">
        <f>IF($D126="","",IF($AA126="Yes",1,0))</f>
        <v/>
      </c>
      <c r="AO126">
        <f>IF($AK126=1,IFERROR(IF(VALUE($D126)&lt;100000000,VALUE($D126),1000000000),IFERROR(IF(VALUE(MID($D126,2,20))&lt;100000000,VALUE(MID($D126,2,20)),1000000000),1000000000))+ROW()/100000,"")</f>
        <v/>
      </c>
    </row>
    <row r="127">
      <c r="F127" s="11" t="n"/>
      <c r="N127" s="7">
        <f>IF($D127="","",M127*X127/100)</f>
        <v/>
      </c>
      <c r="O127" s="7" t="n"/>
      <c r="U127" s="7" t="n"/>
      <c r="V127" s="7" t="n"/>
      <c r="W127" s="7">
        <f>IF($D127="","",V127*AB127/100)</f>
        <v/>
      </c>
      <c r="X127" s="7">
        <f>IF($D127="","",V127-W127)</f>
        <v/>
      </c>
      <c r="Y127" s="7">
        <f>IF($D127="","",X127-N127)</f>
        <v/>
      </c>
      <c r="AB127">
        <f>IF($D127="","",IF($AN127=1,Settings!$C$8,IF($AM127=1,Settings!$C$6,Settings!$C$7))*100)</f>
        <v/>
      </c>
      <c r="AF127" s="7" t="n"/>
      <c r="AI127" s="11" t="n"/>
      <c r="AK127">
        <f>IF($D127="","",IF(COUNTIF($D$2:$D127,$D127)=1,1,0))</f>
        <v/>
      </c>
      <c r="AL127">
        <f>IF($AK127=1,SUMPRODUCT(--($AO$2:$AO$1601&lt;$AO127))+1,"")</f>
        <v/>
      </c>
      <c r="AM127">
        <f>IF($D127="","",IF(OR($R127=TRUE(),$R127="TRUE"),1,0))</f>
        <v/>
      </c>
      <c r="AN127">
        <f>IF($D127="","",IF($AA127="Yes",1,0))</f>
        <v/>
      </c>
      <c r="AO127">
        <f>IF($AK127=1,IFERROR(IF(VALUE($D127)&lt;100000000,VALUE($D127),1000000000),IFERROR(IF(VALUE(MID($D127,2,20))&lt;100000000,VALUE(MID($D127,2,20)),1000000000),1000000000))+ROW()/100000,"")</f>
        <v/>
      </c>
    </row>
    <row r="128">
      <c r="F128" s="11" t="n"/>
      <c r="N128" s="7">
        <f>IF($D128="","",M128*X128/100)</f>
        <v/>
      </c>
      <c r="O128" s="7" t="n"/>
      <c r="U128" s="7" t="n"/>
      <c r="V128" s="7" t="n"/>
      <c r="W128" s="7">
        <f>IF($D128="","",V128*AB128/100)</f>
        <v/>
      </c>
      <c r="X128" s="7">
        <f>IF($D128="","",V128-W128)</f>
        <v/>
      </c>
      <c r="Y128" s="7">
        <f>IF($D128="","",X128-N128)</f>
        <v/>
      </c>
      <c r="AB128">
        <f>IF($D128="","",IF($AN128=1,Settings!$C$8,IF($AM128=1,Settings!$C$6,Settings!$C$7))*100)</f>
        <v/>
      </c>
      <c r="AF128" s="7" t="n"/>
      <c r="AI128" s="11" t="n"/>
      <c r="AK128">
        <f>IF($D128="","",IF(COUNTIF($D$2:$D128,$D128)=1,1,0))</f>
        <v/>
      </c>
      <c r="AL128">
        <f>IF($AK128=1,SUMPRODUCT(--($AO$2:$AO$1601&lt;$AO128))+1,"")</f>
        <v/>
      </c>
      <c r="AM128">
        <f>IF($D128="","",IF(OR($R128=TRUE(),$R128="TRUE"),1,0))</f>
        <v/>
      </c>
      <c r="AN128">
        <f>IF($D128="","",IF($AA128="Yes",1,0))</f>
        <v/>
      </c>
      <c r="AO128">
        <f>IF($AK128=1,IFERROR(IF(VALUE($D128)&lt;100000000,VALUE($D128),1000000000),IFERROR(IF(VALUE(MID($D128,2,20))&lt;100000000,VALUE(MID($D128,2,20)),1000000000),1000000000))+ROW()/100000,"")</f>
        <v/>
      </c>
    </row>
    <row r="129">
      <c r="F129" s="11" t="n"/>
      <c r="N129" s="7">
        <f>IF($D129="","",M129*X129/100)</f>
        <v/>
      </c>
      <c r="O129" s="7" t="n"/>
      <c r="U129" s="7" t="n"/>
      <c r="V129" s="7" t="n"/>
      <c r="W129" s="7">
        <f>IF($D129="","",V129*AB129/100)</f>
        <v/>
      </c>
      <c r="X129" s="7">
        <f>IF($D129="","",V129-W129)</f>
        <v/>
      </c>
      <c r="Y129" s="7">
        <f>IF($D129="","",X129-N129)</f>
        <v/>
      </c>
      <c r="AB129">
        <f>IF($D129="","",IF($AN129=1,Settings!$C$8,IF($AM129=1,Settings!$C$6,Settings!$C$7))*100)</f>
        <v/>
      </c>
      <c r="AF129" s="7" t="n"/>
      <c r="AI129" s="11" t="n"/>
      <c r="AK129">
        <f>IF($D129="","",IF(COUNTIF($D$2:$D129,$D129)=1,1,0))</f>
        <v/>
      </c>
      <c r="AL129">
        <f>IF($AK129=1,SUMPRODUCT(--($AO$2:$AO$1601&lt;$AO129))+1,"")</f>
        <v/>
      </c>
      <c r="AM129">
        <f>IF($D129="","",IF(OR($R129=TRUE(),$R129="TRUE"),1,0))</f>
        <v/>
      </c>
      <c r="AN129">
        <f>IF($D129="","",IF($AA129="Yes",1,0))</f>
        <v/>
      </c>
      <c r="AO129">
        <f>IF($AK129=1,IFERROR(IF(VALUE($D129)&lt;100000000,VALUE($D129),1000000000),IFERROR(IF(VALUE(MID($D129,2,20))&lt;100000000,VALUE(MID($D129,2,20)),1000000000),1000000000))+ROW()/100000,"")</f>
        <v/>
      </c>
    </row>
    <row r="130">
      <c r="F130" s="11" t="n"/>
      <c r="N130" s="7">
        <f>IF($D130="","",M130*X130/100)</f>
        <v/>
      </c>
      <c r="O130" s="7" t="n"/>
      <c r="U130" s="7" t="n"/>
      <c r="V130" s="7" t="n"/>
      <c r="W130" s="7">
        <f>IF($D130="","",V130*AB130/100)</f>
        <v/>
      </c>
      <c r="X130" s="7">
        <f>IF($D130="","",V130-W130)</f>
        <v/>
      </c>
      <c r="Y130" s="7">
        <f>IF($D130="","",X130-N130)</f>
        <v/>
      </c>
      <c r="AB130">
        <f>IF($D130="","",IF($AN130=1,Settings!$C$8,IF($AM130=1,Settings!$C$6,Settings!$C$7))*100)</f>
        <v/>
      </c>
      <c r="AF130" s="7" t="n"/>
      <c r="AI130" s="11" t="n"/>
      <c r="AK130">
        <f>IF($D130="","",IF(COUNTIF($D$2:$D130,$D130)=1,1,0))</f>
        <v/>
      </c>
      <c r="AL130">
        <f>IF($AK130=1,SUMPRODUCT(--($AO$2:$AO$1601&lt;$AO130))+1,"")</f>
        <v/>
      </c>
      <c r="AM130">
        <f>IF($D130="","",IF(OR($R130=TRUE(),$R130="TRUE"),1,0))</f>
        <v/>
      </c>
      <c r="AN130">
        <f>IF($D130="","",IF($AA130="Yes",1,0))</f>
        <v/>
      </c>
      <c r="AO130">
        <f>IF($AK130=1,IFERROR(IF(VALUE($D130)&lt;100000000,VALUE($D130),1000000000),IFERROR(IF(VALUE(MID($D130,2,20))&lt;100000000,VALUE(MID($D130,2,20)),1000000000),1000000000))+ROW()/100000,"")</f>
        <v/>
      </c>
    </row>
    <row r="131">
      <c r="F131" s="11" t="n"/>
      <c r="N131" s="7">
        <f>IF($D131="","",M131*X131/100)</f>
        <v/>
      </c>
      <c r="O131" s="7" t="n"/>
      <c r="U131" s="7" t="n"/>
      <c r="V131" s="7" t="n"/>
      <c r="W131" s="7">
        <f>IF($D131="","",V131*AB131/100)</f>
        <v/>
      </c>
      <c r="X131" s="7">
        <f>IF($D131="","",V131-W131)</f>
        <v/>
      </c>
      <c r="Y131" s="7">
        <f>IF($D131="","",X131-N131)</f>
        <v/>
      </c>
      <c r="AB131">
        <f>IF($D131="","",IF($AN131=1,Settings!$C$8,IF($AM131=1,Settings!$C$6,Settings!$C$7))*100)</f>
        <v/>
      </c>
      <c r="AF131" s="7" t="n"/>
      <c r="AI131" s="11" t="n"/>
      <c r="AK131">
        <f>IF($D131="","",IF(COUNTIF($D$2:$D131,$D131)=1,1,0))</f>
        <v/>
      </c>
      <c r="AL131">
        <f>IF($AK131=1,SUMPRODUCT(--($AO$2:$AO$1601&lt;$AO131))+1,"")</f>
        <v/>
      </c>
      <c r="AM131">
        <f>IF($D131="","",IF(OR($R131=TRUE(),$R131="TRUE"),1,0))</f>
        <v/>
      </c>
      <c r="AN131">
        <f>IF($D131="","",IF($AA131="Yes",1,0))</f>
        <v/>
      </c>
      <c r="AO131">
        <f>IF($AK131=1,IFERROR(IF(VALUE($D131)&lt;100000000,VALUE($D131),1000000000),IFERROR(IF(VALUE(MID($D131,2,20))&lt;100000000,VALUE(MID($D131,2,20)),1000000000),1000000000))+ROW()/100000,"")</f>
        <v/>
      </c>
    </row>
    <row r="132">
      <c r="F132" s="11" t="n"/>
      <c r="N132" s="7">
        <f>IF($D132="","",M132*X132/100)</f>
        <v/>
      </c>
      <c r="O132" s="7" t="n"/>
      <c r="U132" s="7" t="n"/>
      <c r="V132" s="7" t="n"/>
      <c r="W132" s="7">
        <f>IF($D132="","",V132*AB132/100)</f>
        <v/>
      </c>
      <c r="X132" s="7">
        <f>IF($D132="","",V132-W132)</f>
        <v/>
      </c>
      <c r="Y132" s="7">
        <f>IF($D132="","",X132-N132)</f>
        <v/>
      </c>
      <c r="AB132">
        <f>IF($D132="","",IF($AN132=1,Settings!$C$8,IF($AM132=1,Settings!$C$6,Settings!$C$7))*100)</f>
        <v/>
      </c>
      <c r="AF132" s="7" t="n"/>
      <c r="AI132" s="11" t="n"/>
      <c r="AK132">
        <f>IF($D132="","",IF(COUNTIF($D$2:$D132,$D132)=1,1,0))</f>
        <v/>
      </c>
      <c r="AL132">
        <f>IF($AK132=1,SUMPRODUCT(--($AO$2:$AO$1601&lt;$AO132))+1,"")</f>
        <v/>
      </c>
      <c r="AM132">
        <f>IF($D132="","",IF(OR($R132=TRUE(),$R132="TRUE"),1,0))</f>
        <v/>
      </c>
      <c r="AN132">
        <f>IF($D132="","",IF($AA132="Yes",1,0))</f>
        <v/>
      </c>
      <c r="AO132">
        <f>IF($AK132=1,IFERROR(IF(VALUE($D132)&lt;100000000,VALUE($D132),1000000000),IFERROR(IF(VALUE(MID($D132,2,20))&lt;100000000,VALUE(MID($D132,2,20)),1000000000),1000000000))+ROW()/100000,"")</f>
        <v/>
      </c>
    </row>
    <row r="133">
      <c r="F133" s="11" t="n"/>
      <c r="N133" s="7">
        <f>IF($D133="","",M133*X133/100)</f>
        <v/>
      </c>
      <c r="O133" s="7" t="n"/>
      <c r="U133" s="7" t="n"/>
      <c r="V133" s="7" t="n"/>
      <c r="W133" s="7">
        <f>IF($D133="","",V133*AB133/100)</f>
        <v/>
      </c>
      <c r="X133" s="7">
        <f>IF($D133="","",V133-W133)</f>
        <v/>
      </c>
      <c r="Y133" s="7">
        <f>IF($D133="","",X133-N133)</f>
        <v/>
      </c>
      <c r="AB133">
        <f>IF($D133="","",IF($AN133=1,Settings!$C$8,IF($AM133=1,Settings!$C$6,Settings!$C$7))*100)</f>
        <v/>
      </c>
      <c r="AF133" s="7" t="n"/>
      <c r="AI133" s="11" t="n"/>
      <c r="AK133">
        <f>IF($D133="","",IF(COUNTIF($D$2:$D133,$D133)=1,1,0))</f>
        <v/>
      </c>
      <c r="AL133">
        <f>IF($AK133=1,SUMPRODUCT(--($AO$2:$AO$1601&lt;$AO133))+1,"")</f>
        <v/>
      </c>
      <c r="AM133">
        <f>IF($D133="","",IF(OR($R133=TRUE(),$R133="TRUE"),1,0))</f>
        <v/>
      </c>
      <c r="AN133">
        <f>IF($D133="","",IF($AA133="Yes",1,0))</f>
        <v/>
      </c>
      <c r="AO133">
        <f>IF($AK133=1,IFERROR(IF(VALUE($D133)&lt;100000000,VALUE($D133),1000000000),IFERROR(IF(VALUE(MID($D133,2,20))&lt;100000000,VALUE(MID($D133,2,20)),1000000000),1000000000))+ROW()/100000,"")</f>
        <v/>
      </c>
    </row>
    <row r="134">
      <c r="F134" s="11" t="n"/>
      <c r="N134" s="7">
        <f>IF($D134="","",M134*X134/100)</f>
        <v/>
      </c>
      <c r="O134" s="7" t="n"/>
      <c r="U134" s="7" t="n"/>
      <c r="V134" s="7" t="n"/>
      <c r="W134" s="7">
        <f>IF($D134="","",V134*AB134/100)</f>
        <v/>
      </c>
      <c r="X134" s="7">
        <f>IF($D134="","",V134-W134)</f>
        <v/>
      </c>
      <c r="Y134" s="7">
        <f>IF($D134="","",X134-N134)</f>
        <v/>
      </c>
      <c r="AB134">
        <f>IF($D134="","",IF($AN134=1,Settings!$C$8,IF($AM134=1,Settings!$C$6,Settings!$C$7))*100)</f>
        <v/>
      </c>
      <c r="AF134" s="7" t="n"/>
      <c r="AI134" s="11" t="n"/>
      <c r="AK134">
        <f>IF($D134="","",IF(COUNTIF($D$2:$D134,$D134)=1,1,0))</f>
        <v/>
      </c>
      <c r="AL134">
        <f>IF($AK134=1,SUMPRODUCT(--($AO$2:$AO$1601&lt;$AO134))+1,"")</f>
        <v/>
      </c>
      <c r="AM134">
        <f>IF($D134="","",IF(OR($R134=TRUE(),$R134="TRUE"),1,0))</f>
        <v/>
      </c>
      <c r="AN134">
        <f>IF($D134="","",IF($AA134="Yes",1,0))</f>
        <v/>
      </c>
      <c r="AO134">
        <f>IF($AK134=1,IFERROR(IF(VALUE($D134)&lt;100000000,VALUE($D134),1000000000),IFERROR(IF(VALUE(MID($D134,2,20))&lt;100000000,VALUE(MID($D134,2,20)),1000000000),1000000000))+ROW()/100000,"")</f>
        <v/>
      </c>
    </row>
    <row r="135">
      <c r="F135" s="11" t="n"/>
      <c r="N135" s="7">
        <f>IF($D135="","",M135*X135/100)</f>
        <v/>
      </c>
      <c r="O135" s="7" t="n"/>
      <c r="U135" s="7" t="n"/>
      <c r="V135" s="7" t="n"/>
      <c r="W135" s="7">
        <f>IF($D135="","",V135*AB135/100)</f>
        <v/>
      </c>
      <c r="X135" s="7">
        <f>IF($D135="","",V135-W135)</f>
        <v/>
      </c>
      <c r="Y135" s="7">
        <f>IF($D135="","",X135-N135)</f>
        <v/>
      </c>
      <c r="AB135">
        <f>IF($D135="","",IF($AN135=1,Settings!$C$8,IF($AM135=1,Settings!$C$6,Settings!$C$7))*100)</f>
        <v/>
      </c>
      <c r="AF135" s="7" t="n"/>
      <c r="AI135" s="11" t="n"/>
      <c r="AK135">
        <f>IF($D135="","",IF(COUNTIF($D$2:$D135,$D135)=1,1,0))</f>
        <v/>
      </c>
      <c r="AL135">
        <f>IF($AK135=1,SUMPRODUCT(--($AO$2:$AO$1601&lt;$AO135))+1,"")</f>
        <v/>
      </c>
      <c r="AM135">
        <f>IF($D135="","",IF(OR($R135=TRUE(),$R135="TRUE"),1,0))</f>
        <v/>
      </c>
      <c r="AN135">
        <f>IF($D135="","",IF($AA135="Yes",1,0))</f>
        <v/>
      </c>
      <c r="AO135">
        <f>IF($AK135=1,IFERROR(IF(VALUE($D135)&lt;100000000,VALUE($D135),1000000000),IFERROR(IF(VALUE(MID($D135,2,20))&lt;100000000,VALUE(MID($D135,2,20)),1000000000),1000000000))+ROW()/100000,"")</f>
        <v/>
      </c>
    </row>
    <row r="136">
      <c r="F136" s="11" t="n"/>
      <c r="N136" s="7">
        <f>IF($D136="","",M136*X136/100)</f>
        <v/>
      </c>
      <c r="O136" s="7" t="n"/>
      <c r="U136" s="7" t="n"/>
      <c r="V136" s="7" t="n"/>
      <c r="W136" s="7">
        <f>IF($D136="","",V136*AB136/100)</f>
        <v/>
      </c>
      <c r="X136" s="7">
        <f>IF($D136="","",V136-W136)</f>
        <v/>
      </c>
      <c r="Y136" s="7">
        <f>IF($D136="","",X136-N136)</f>
        <v/>
      </c>
      <c r="AB136">
        <f>IF($D136="","",IF($AN136=1,Settings!$C$8,IF($AM136=1,Settings!$C$6,Settings!$C$7))*100)</f>
        <v/>
      </c>
      <c r="AF136" s="7" t="n"/>
      <c r="AI136" s="11" t="n"/>
      <c r="AK136">
        <f>IF($D136="","",IF(COUNTIF($D$2:$D136,$D136)=1,1,0))</f>
        <v/>
      </c>
      <c r="AL136">
        <f>IF($AK136=1,SUMPRODUCT(--($AO$2:$AO$1601&lt;$AO136))+1,"")</f>
        <v/>
      </c>
      <c r="AM136">
        <f>IF($D136="","",IF(OR($R136=TRUE(),$R136="TRUE"),1,0))</f>
        <v/>
      </c>
      <c r="AN136">
        <f>IF($D136="","",IF($AA136="Yes",1,0))</f>
        <v/>
      </c>
      <c r="AO136">
        <f>IF($AK136=1,IFERROR(IF(VALUE($D136)&lt;100000000,VALUE($D136),1000000000),IFERROR(IF(VALUE(MID($D136,2,20))&lt;100000000,VALUE(MID($D136,2,20)),1000000000),1000000000))+ROW()/100000,"")</f>
        <v/>
      </c>
    </row>
    <row r="137">
      <c r="F137" s="11" t="n"/>
      <c r="N137" s="7">
        <f>IF($D137="","",M137*X137/100)</f>
        <v/>
      </c>
      <c r="O137" s="7" t="n"/>
      <c r="U137" s="7" t="n"/>
      <c r="V137" s="7" t="n"/>
      <c r="W137" s="7">
        <f>IF($D137="","",V137*AB137/100)</f>
        <v/>
      </c>
      <c r="X137" s="7">
        <f>IF($D137="","",V137-W137)</f>
        <v/>
      </c>
      <c r="Y137" s="7">
        <f>IF($D137="","",X137-N137)</f>
        <v/>
      </c>
      <c r="AB137">
        <f>IF($D137="","",IF($AN137=1,Settings!$C$8,IF($AM137=1,Settings!$C$6,Settings!$C$7))*100)</f>
        <v/>
      </c>
      <c r="AF137" s="7" t="n"/>
      <c r="AI137" s="11" t="n"/>
      <c r="AK137">
        <f>IF($D137="","",IF(COUNTIF($D$2:$D137,$D137)=1,1,0))</f>
        <v/>
      </c>
      <c r="AL137">
        <f>IF($AK137=1,SUMPRODUCT(--($AO$2:$AO$1601&lt;$AO137))+1,"")</f>
        <v/>
      </c>
      <c r="AM137">
        <f>IF($D137="","",IF(OR($R137=TRUE(),$R137="TRUE"),1,0))</f>
        <v/>
      </c>
      <c r="AN137">
        <f>IF($D137="","",IF($AA137="Yes",1,0))</f>
        <v/>
      </c>
      <c r="AO137">
        <f>IF($AK137=1,IFERROR(IF(VALUE($D137)&lt;100000000,VALUE($D137),1000000000),IFERROR(IF(VALUE(MID($D137,2,20))&lt;100000000,VALUE(MID($D137,2,20)),1000000000),1000000000))+ROW()/100000,"")</f>
        <v/>
      </c>
    </row>
    <row r="138">
      <c r="F138" s="11" t="n"/>
      <c r="N138" s="7">
        <f>IF($D138="","",M138*X138/100)</f>
        <v/>
      </c>
      <c r="O138" s="7" t="n"/>
      <c r="U138" s="7" t="n"/>
      <c r="V138" s="7" t="n"/>
      <c r="W138" s="7">
        <f>IF($D138="","",V138*AB138/100)</f>
        <v/>
      </c>
      <c r="X138" s="7">
        <f>IF($D138="","",V138-W138)</f>
        <v/>
      </c>
      <c r="Y138" s="7">
        <f>IF($D138="","",X138-N138)</f>
        <v/>
      </c>
      <c r="AB138">
        <f>IF($D138="","",IF($AN138=1,Settings!$C$8,IF($AM138=1,Settings!$C$6,Settings!$C$7))*100)</f>
        <v/>
      </c>
      <c r="AF138" s="7" t="n"/>
      <c r="AI138" s="11" t="n"/>
      <c r="AK138">
        <f>IF($D138="","",IF(COUNTIF($D$2:$D138,$D138)=1,1,0))</f>
        <v/>
      </c>
      <c r="AL138">
        <f>IF($AK138=1,SUMPRODUCT(--($AO$2:$AO$1601&lt;$AO138))+1,"")</f>
        <v/>
      </c>
      <c r="AM138">
        <f>IF($D138="","",IF(OR($R138=TRUE(),$R138="TRUE"),1,0))</f>
        <v/>
      </c>
      <c r="AN138">
        <f>IF($D138="","",IF($AA138="Yes",1,0))</f>
        <v/>
      </c>
      <c r="AO138">
        <f>IF($AK138=1,IFERROR(IF(VALUE($D138)&lt;100000000,VALUE($D138),1000000000),IFERROR(IF(VALUE(MID($D138,2,20))&lt;100000000,VALUE(MID($D138,2,20)),1000000000),1000000000))+ROW()/100000,"")</f>
        <v/>
      </c>
    </row>
    <row r="139">
      <c r="F139" s="11" t="n"/>
      <c r="N139" s="7">
        <f>IF($D139="","",M139*X139/100)</f>
        <v/>
      </c>
      <c r="O139" s="7" t="n"/>
      <c r="U139" s="7" t="n"/>
      <c r="V139" s="7" t="n"/>
      <c r="W139" s="7">
        <f>IF($D139="","",V139*AB139/100)</f>
        <v/>
      </c>
      <c r="X139" s="7">
        <f>IF($D139="","",V139-W139)</f>
        <v/>
      </c>
      <c r="Y139" s="7">
        <f>IF($D139="","",X139-N139)</f>
        <v/>
      </c>
      <c r="AB139">
        <f>IF($D139="","",IF($AN139=1,Settings!$C$8,IF($AM139=1,Settings!$C$6,Settings!$C$7))*100)</f>
        <v/>
      </c>
      <c r="AF139" s="7" t="n"/>
      <c r="AI139" s="11" t="n"/>
      <c r="AK139">
        <f>IF($D139="","",IF(COUNTIF($D$2:$D139,$D139)=1,1,0))</f>
        <v/>
      </c>
      <c r="AL139">
        <f>IF($AK139=1,SUMPRODUCT(--($AO$2:$AO$1601&lt;$AO139))+1,"")</f>
        <v/>
      </c>
      <c r="AM139">
        <f>IF($D139="","",IF(OR($R139=TRUE(),$R139="TRUE"),1,0))</f>
        <v/>
      </c>
      <c r="AN139">
        <f>IF($D139="","",IF($AA139="Yes",1,0))</f>
        <v/>
      </c>
      <c r="AO139">
        <f>IF($AK139=1,IFERROR(IF(VALUE($D139)&lt;100000000,VALUE($D139),1000000000),IFERROR(IF(VALUE(MID($D139,2,20))&lt;100000000,VALUE(MID($D139,2,20)),1000000000),1000000000))+ROW()/100000,"")</f>
        <v/>
      </c>
    </row>
    <row r="140">
      <c r="F140" s="11" t="n"/>
      <c r="N140" s="7">
        <f>IF($D140="","",M140*X140/100)</f>
        <v/>
      </c>
      <c r="O140" s="7" t="n"/>
      <c r="U140" s="7" t="n"/>
      <c r="V140" s="7" t="n"/>
      <c r="W140" s="7">
        <f>IF($D140="","",V140*AB140/100)</f>
        <v/>
      </c>
      <c r="X140" s="7">
        <f>IF($D140="","",V140-W140)</f>
        <v/>
      </c>
      <c r="Y140" s="7">
        <f>IF($D140="","",X140-N140)</f>
        <v/>
      </c>
      <c r="AB140">
        <f>IF($D140="","",IF($AN140=1,Settings!$C$8,IF($AM140=1,Settings!$C$6,Settings!$C$7))*100)</f>
        <v/>
      </c>
      <c r="AF140" s="7" t="n"/>
      <c r="AI140" s="11" t="n"/>
      <c r="AK140">
        <f>IF($D140="","",IF(COUNTIF($D$2:$D140,$D140)=1,1,0))</f>
        <v/>
      </c>
      <c r="AL140">
        <f>IF($AK140=1,SUMPRODUCT(--($AO$2:$AO$1601&lt;$AO140))+1,"")</f>
        <v/>
      </c>
      <c r="AM140">
        <f>IF($D140="","",IF(OR($R140=TRUE(),$R140="TRUE"),1,0))</f>
        <v/>
      </c>
      <c r="AN140">
        <f>IF($D140="","",IF($AA140="Yes",1,0))</f>
        <v/>
      </c>
      <c r="AO140">
        <f>IF($AK140=1,IFERROR(IF(VALUE($D140)&lt;100000000,VALUE($D140),1000000000),IFERROR(IF(VALUE(MID($D140,2,20))&lt;100000000,VALUE(MID($D140,2,20)),1000000000),1000000000))+ROW()/100000,"")</f>
        <v/>
      </c>
    </row>
    <row r="141">
      <c r="F141" s="11" t="n"/>
      <c r="N141" s="7">
        <f>IF($D141="","",M141*X141/100)</f>
        <v/>
      </c>
      <c r="O141" s="7" t="n"/>
      <c r="U141" s="7" t="n"/>
      <c r="V141" s="7" t="n"/>
      <c r="W141" s="7">
        <f>IF($D141="","",V141*AB141/100)</f>
        <v/>
      </c>
      <c r="X141" s="7">
        <f>IF($D141="","",V141-W141)</f>
        <v/>
      </c>
      <c r="Y141" s="7">
        <f>IF($D141="","",X141-N141)</f>
        <v/>
      </c>
      <c r="AB141">
        <f>IF($D141="","",IF($AN141=1,Settings!$C$8,IF($AM141=1,Settings!$C$6,Settings!$C$7))*100)</f>
        <v/>
      </c>
      <c r="AF141" s="7" t="n"/>
      <c r="AI141" s="11" t="n"/>
      <c r="AK141">
        <f>IF($D141="","",IF(COUNTIF($D$2:$D141,$D141)=1,1,0))</f>
        <v/>
      </c>
      <c r="AL141">
        <f>IF($AK141=1,SUMPRODUCT(--($AO$2:$AO$1601&lt;$AO141))+1,"")</f>
        <v/>
      </c>
      <c r="AM141">
        <f>IF($D141="","",IF(OR($R141=TRUE(),$R141="TRUE"),1,0))</f>
        <v/>
      </c>
      <c r="AN141">
        <f>IF($D141="","",IF($AA141="Yes",1,0))</f>
        <v/>
      </c>
      <c r="AO141">
        <f>IF($AK141=1,IFERROR(IF(VALUE($D141)&lt;100000000,VALUE($D141),1000000000),IFERROR(IF(VALUE(MID($D141,2,20))&lt;100000000,VALUE(MID($D141,2,20)),1000000000),1000000000))+ROW()/100000,"")</f>
        <v/>
      </c>
    </row>
    <row r="142">
      <c r="F142" s="11" t="n"/>
      <c r="N142" s="7">
        <f>IF($D142="","",M142*X142/100)</f>
        <v/>
      </c>
      <c r="O142" s="7" t="n"/>
      <c r="U142" s="7" t="n"/>
      <c r="V142" s="7" t="n"/>
      <c r="W142" s="7">
        <f>IF($D142="","",V142*AB142/100)</f>
        <v/>
      </c>
      <c r="X142" s="7">
        <f>IF($D142="","",V142-W142)</f>
        <v/>
      </c>
      <c r="Y142" s="7">
        <f>IF($D142="","",X142-N142)</f>
        <v/>
      </c>
      <c r="AB142">
        <f>IF($D142="","",IF($AN142=1,Settings!$C$8,IF($AM142=1,Settings!$C$6,Settings!$C$7))*100)</f>
        <v/>
      </c>
      <c r="AF142" s="7" t="n"/>
      <c r="AI142" s="11" t="n"/>
      <c r="AK142">
        <f>IF($D142="","",IF(COUNTIF($D$2:$D142,$D142)=1,1,0))</f>
        <v/>
      </c>
      <c r="AL142">
        <f>IF($AK142=1,SUMPRODUCT(--($AO$2:$AO$1601&lt;$AO142))+1,"")</f>
        <v/>
      </c>
      <c r="AM142">
        <f>IF($D142="","",IF(OR($R142=TRUE(),$R142="TRUE"),1,0))</f>
        <v/>
      </c>
      <c r="AN142">
        <f>IF($D142="","",IF($AA142="Yes",1,0))</f>
        <v/>
      </c>
      <c r="AO142">
        <f>IF($AK142=1,IFERROR(IF(VALUE($D142)&lt;100000000,VALUE($D142),1000000000),IFERROR(IF(VALUE(MID($D142,2,20))&lt;100000000,VALUE(MID($D142,2,20)),1000000000),1000000000))+ROW()/100000,"")</f>
        <v/>
      </c>
    </row>
    <row r="143">
      <c r="F143" s="11" t="n"/>
      <c r="N143" s="7">
        <f>IF($D143="","",M143*X143/100)</f>
        <v/>
      </c>
      <c r="O143" s="7" t="n"/>
      <c r="U143" s="7" t="n"/>
      <c r="V143" s="7" t="n"/>
      <c r="W143" s="7">
        <f>IF($D143="","",V143*AB143/100)</f>
        <v/>
      </c>
      <c r="X143" s="7">
        <f>IF($D143="","",V143-W143)</f>
        <v/>
      </c>
      <c r="Y143" s="7">
        <f>IF($D143="","",X143-N143)</f>
        <v/>
      </c>
      <c r="AB143">
        <f>IF($D143="","",IF($AN143=1,Settings!$C$8,IF($AM143=1,Settings!$C$6,Settings!$C$7))*100)</f>
        <v/>
      </c>
      <c r="AF143" s="7" t="n"/>
      <c r="AI143" s="11" t="n"/>
      <c r="AK143">
        <f>IF($D143="","",IF(COUNTIF($D$2:$D143,$D143)=1,1,0))</f>
        <v/>
      </c>
      <c r="AL143">
        <f>IF($AK143=1,SUMPRODUCT(--($AO$2:$AO$1601&lt;$AO143))+1,"")</f>
        <v/>
      </c>
      <c r="AM143">
        <f>IF($D143="","",IF(OR($R143=TRUE(),$R143="TRUE"),1,0))</f>
        <v/>
      </c>
      <c r="AN143">
        <f>IF($D143="","",IF($AA143="Yes",1,0))</f>
        <v/>
      </c>
      <c r="AO143">
        <f>IF($AK143=1,IFERROR(IF(VALUE($D143)&lt;100000000,VALUE($D143),1000000000),IFERROR(IF(VALUE(MID($D143,2,20))&lt;100000000,VALUE(MID($D143,2,20)),1000000000),1000000000))+ROW()/100000,"")</f>
        <v/>
      </c>
    </row>
    <row r="144">
      <c r="F144" s="11" t="n"/>
      <c r="N144" s="7">
        <f>IF($D144="","",M144*X144/100)</f>
        <v/>
      </c>
      <c r="O144" s="7" t="n"/>
      <c r="U144" s="7" t="n"/>
      <c r="V144" s="7" t="n"/>
      <c r="W144" s="7">
        <f>IF($D144="","",V144*AB144/100)</f>
        <v/>
      </c>
      <c r="X144" s="7">
        <f>IF($D144="","",V144-W144)</f>
        <v/>
      </c>
      <c r="Y144" s="7">
        <f>IF($D144="","",X144-N144)</f>
        <v/>
      </c>
      <c r="AB144">
        <f>IF($D144="","",IF($AN144=1,Settings!$C$8,IF($AM144=1,Settings!$C$6,Settings!$C$7))*100)</f>
        <v/>
      </c>
      <c r="AF144" s="7" t="n"/>
      <c r="AI144" s="11" t="n"/>
      <c r="AK144">
        <f>IF($D144="","",IF(COUNTIF($D$2:$D144,$D144)=1,1,0))</f>
        <v/>
      </c>
      <c r="AL144">
        <f>IF($AK144=1,SUMPRODUCT(--($AO$2:$AO$1601&lt;$AO144))+1,"")</f>
        <v/>
      </c>
      <c r="AM144">
        <f>IF($D144="","",IF(OR($R144=TRUE(),$R144="TRUE"),1,0))</f>
        <v/>
      </c>
      <c r="AN144">
        <f>IF($D144="","",IF($AA144="Yes",1,0))</f>
        <v/>
      </c>
      <c r="AO144">
        <f>IF($AK144=1,IFERROR(IF(VALUE($D144)&lt;100000000,VALUE($D144),1000000000),IFERROR(IF(VALUE(MID($D144,2,20))&lt;100000000,VALUE(MID($D144,2,20)),1000000000),1000000000))+ROW()/100000,"")</f>
        <v/>
      </c>
    </row>
    <row r="145">
      <c r="F145" s="11" t="n"/>
      <c r="N145" s="7">
        <f>IF($D145="","",M145*X145/100)</f>
        <v/>
      </c>
      <c r="O145" s="7" t="n"/>
      <c r="U145" s="7" t="n"/>
      <c r="V145" s="7" t="n"/>
      <c r="W145" s="7">
        <f>IF($D145="","",V145*AB145/100)</f>
        <v/>
      </c>
      <c r="X145" s="7">
        <f>IF($D145="","",V145-W145)</f>
        <v/>
      </c>
      <c r="Y145" s="7">
        <f>IF($D145="","",X145-N145)</f>
        <v/>
      </c>
      <c r="AB145">
        <f>IF($D145="","",IF($AN145=1,Settings!$C$8,IF($AM145=1,Settings!$C$6,Settings!$C$7))*100)</f>
        <v/>
      </c>
      <c r="AF145" s="7" t="n"/>
      <c r="AI145" s="11" t="n"/>
      <c r="AK145">
        <f>IF($D145="","",IF(COUNTIF($D$2:$D145,$D145)=1,1,0))</f>
        <v/>
      </c>
      <c r="AL145">
        <f>IF($AK145=1,SUMPRODUCT(--($AO$2:$AO$1601&lt;$AO145))+1,"")</f>
        <v/>
      </c>
      <c r="AM145">
        <f>IF($D145="","",IF(OR($R145=TRUE(),$R145="TRUE"),1,0))</f>
        <v/>
      </c>
      <c r="AN145">
        <f>IF($D145="","",IF($AA145="Yes",1,0))</f>
        <v/>
      </c>
      <c r="AO145">
        <f>IF($AK145=1,IFERROR(IF(VALUE($D145)&lt;100000000,VALUE($D145),1000000000),IFERROR(IF(VALUE(MID($D145,2,20))&lt;100000000,VALUE(MID($D145,2,20)),1000000000),1000000000))+ROW()/100000,"")</f>
        <v/>
      </c>
    </row>
    <row r="146">
      <c r="F146" s="11" t="n"/>
      <c r="N146" s="7">
        <f>IF($D146="","",M146*X146/100)</f>
        <v/>
      </c>
      <c r="O146" s="7" t="n"/>
      <c r="U146" s="7" t="n"/>
      <c r="V146" s="7" t="n"/>
      <c r="W146" s="7">
        <f>IF($D146="","",V146*AB146/100)</f>
        <v/>
      </c>
      <c r="X146" s="7">
        <f>IF($D146="","",V146-W146)</f>
        <v/>
      </c>
      <c r="Y146" s="7">
        <f>IF($D146="","",X146-N146)</f>
        <v/>
      </c>
      <c r="AB146">
        <f>IF($D146="","",IF($AN146=1,Settings!$C$8,IF($AM146=1,Settings!$C$6,Settings!$C$7))*100)</f>
        <v/>
      </c>
      <c r="AF146" s="7" t="n"/>
      <c r="AI146" s="11" t="n"/>
      <c r="AK146">
        <f>IF($D146="","",IF(COUNTIF($D$2:$D146,$D146)=1,1,0))</f>
        <v/>
      </c>
      <c r="AL146">
        <f>IF($AK146=1,SUMPRODUCT(--($AO$2:$AO$1601&lt;$AO146))+1,"")</f>
        <v/>
      </c>
      <c r="AM146">
        <f>IF($D146="","",IF(OR($R146=TRUE(),$R146="TRUE"),1,0))</f>
        <v/>
      </c>
      <c r="AN146">
        <f>IF($D146="","",IF($AA146="Yes",1,0))</f>
        <v/>
      </c>
      <c r="AO146">
        <f>IF($AK146=1,IFERROR(IF(VALUE($D146)&lt;100000000,VALUE($D146),1000000000),IFERROR(IF(VALUE(MID($D146,2,20))&lt;100000000,VALUE(MID($D146,2,20)),1000000000),1000000000))+ROW()/100000,"")</f>
        <v/>
      </c>
    </row>
    <row r="147">
      <c r="F147" s="11" t="n"/>
      <c r="N147" s="7">
        <f>IF($D147="","",M147*X147/100)</f>
        <v/>
      </c>
      <c r="O147" s="7" t="n"/>
      <c r="U147" s="7" t="n"/>
      <c r="V147" s="7" t="n"/>
      <c r="W147" s="7">
        <f>IF($D147="","",V147*AB147/100)</f>
        <v/>
      </c>
      <c r="X147" s="7">
        <f>IF($D147="","",V147-W147)</f>
        <v/>
      </c>
      <c r="Y147" s="7">
        <f>IF($D147="","",X147-N147)</f>
        <v/>
      </c>
      <c r="AB147">
        <f>IF($D147="","",IF($AN147=1,Settings!$C$8,IF($AM147=1,Settings!$C$6,Settings!$C$7))*100)</f>
        <v/>
      </c>
      <c r="AF147" s="7" t="n"/>
      <c r="AI147" s="11" t="n"/>
      <c r="AK147">
        <f>IF($D147="","",IF(COUNTIF($D$2:$D147,$D147)=1,1,0))</f>
        <v/>
      </c>
      <c r="AL147">
        <f>IF($AK147=1,SUMPRODUCT(--($AO$2:$AO$1601&lt;$AO147))+1,"")</f>
        <v/>
      </c>
      <c r="AM147">
        <f>IF($D147="","",IF(OR($R147=TRUE(),$R147="TRUE"),1,0))</f>
        <v/>
      </c>
      <c r="AN147">
        <f>IF($D147="","",IF($AA147="Yes",1,0))</f>
        <v/>
      </c>
      <c r="AO147">
        <f>IF($AK147=1,IFERROR(IF(VALUE($D147)&lt;100000000,VALUE($D147),1000000000),IFERROR(IF(VALUE(MID($D147,2,20))&lt;100000000,VALUE(MID($D147,2,20)),1000000000),1000000000))+ROW()/100000,"")</f>
        <v/>
      </c>
    </row>
    <row r="148">
      <c r="F148" s="11" t="n"/>
      <c r="N148" s="7">
        <f>IF($D148="","",M148*X148/100)</f>
        <v/>
      </c>
      <c r="O148" s="7" t="n"/>
      <c r="U148" s="7" t="n"/>
      <c r="V148" s="7" t="n"/>
      <c r="W148" s="7">
        <f>IF($D148="","",V148*AB148/100)</f>
        <v/>
      </c>
      <c r="X148" s="7">
        <f>IF($D148="","",V148-W148)</f>
        <v/>
      </c>
      <c r="Y148" s="7">
        <f>IF($D148="","",X148-N148)</f>
        <v/>
      </c>
      <c r="AB148">
        <f>IF($D148="","",IF($AN148=1,Settings!$C$8,IF($AM148=1,Settings!$C$6,Settings!$C$7))*100)</f>
        <v/>
      </c>
      <c r="AF148" s="7" t="n"/>
      <c r="AI148" s="11" t="n"/>
      <c r="AK148">
        <f>IF($D148="","",IF(COUNTIF($D$2:$D148,$D148)=1,1,0))</f>
        <v/>
      </c>
      <c r="AL148">
        <f>IF($AK148=1,SUMPRODUCT(--($AO$2:$AO$1601&lt;$AO148))+1,"")</f>
        <v/>
      </c>
      <c r="AM148">
        <f>IF($D148="","",IF(OR($R148=TRUE(),$R148="TRUE"),1,0))</f>
        <v/>
      </c>
      <c r="AN148">
        <f>IF($D148="","",IF($AA148="Yes",1,0))</f>
        <v/>
      </c>
      <c r="AO148">
        <f>IF($AK148=1,IFERROR(IF(VALUE($D148)&lt;100000000,VALUE($D148),1000000000),IFERROR(IF(VALUE(MID($D148,2,20))&lt;100000000,VALUE(MID($D148,2,20)),1000000000),1000000000))+ROW()/100000,"")</f>
        <v/>
      </c>
    </row>
    <row r="149">
      <c r="F149" s="11" t="n"/>
      <c r="N149" s="7">
        <f>IF($D149="","",M149*X149/100)</f>
        <v/>
      </c>
      <c r="O149" s="7" t="n"/>
      <c r="U149" s="7" t="n"/>
      <c r="V149" s="7" t="n"/>
      <c r="W149" s="7">
        <f>IF($D149="","",V149*AB149/100)</f>
        <v/>
      </c>
      <c r="X149" s="7">
        <f>IF($D149="","",V149-W149)</f>
        <v/>
      </c>
      <c r="Y149" s="7">
        <f>IF($D149="","",X149-N149)</f>
        <v/>
      </c>
      <c r="AB149">
        <f>IF($D149="","",IF($AN149=1,Settings!$C$8,IF($AM149=1,Settings!$C$6,Settings!$C$7))*100)</f>
        <v/>
      </c>
      <c r="AF149" s="7" t="n"/>
      <c r="AI149" s="11" t="n"/>
      <c r="AK149">
        <f>IF($D149="","",IF(COUNTIF($D$2:$D149,$D149)=1,1,0))</f>
        <v/>
      </c>
      <c r="AL149">
        <f>IF($AK149=1,SUMPRODUCT(--($AO$2:$AO$1601&lt;$AO149))+1,"")</f>
        <v/>
      </c>
      <c r="AM149">
        <f>IF($D149="","",IF(OR($R149=TRUE(),$R149="TRUE"),1,0))</f>
        <v/>
      </c>
      <c r="AN149">
        <f>IF($D149="","",IF($AA149="Yes",1,0))</f>
        <v/>
      </c>
      <c r="AO149">
        <f>IF($AK149=1,IFERROR(IF(VALUE($D149)&lt;100000000,VALUE($D149),1000000000),IFERROR(IF(VALUE(MID($D149,2,20))&lt;100000000,VALUE(MID($D149,2,20)),1000000000),1000000000))+ROW()/100000,"")</f>
        <v/>
      </c>
    </row>
    <row r="150">
      <c r="F150" s="11" t="n"/>
      <c r="N150" s="7">
        <f>IF($D150="","",M150*X150/100)</f>
        <v/>
      </c>
      <c r="O150" s="7" t="n"/>
      <c r="U150" s="7" t="n"/>
      <c r="V150" s="7" t="n"/>
      <c r="W150" s="7">
        <f>IF($D150="","",V150*AB150/100)</f>
        <v/>
      </c>
      <c r="X150" s="7">
        <f>IF($D150="","",V150-W150)</f>
        <v/>
      </c>
      <c r="Y150" s="7">
        <f>IF($D150="","",X150-N150)</f>
        <v/>
      </c>
      <c r="AB150">
        <f>IF($D150="","",IF($AN150=1,Settings!$C$8,IF($AM150=1,Settings!$C$6,Settings!$C$7))*100)</f>
        <v/>
      </c>
      <c r="AF150" s="7" t="n"/>
      <c r="AI150" s="11" t="n"/>
      <c r="AK150">
        <f>IF($D150="","",IF(COUNTIF($D$2:$D150,$D150)=1,1,0))</f>
        <v/>
      </c>
      <c r="AL150">
        <f>IF($AK150=1,SUMPRODUCT(--($AO$2:$AO$1601&lt;$AO150))+1,"")</f>
        <v/>
      </c>
      <c r="AM150">
        <f>IF($D150="","",IF(OR($R150=TRUE(),$R150="TRUE"),1,0))</f>
        <v/>
      </c>
      <c r="AN150">
        <f>IF($D150="","",IF($AA150="Yes",1,0))</f>
        <v/>
      </c>
      <c r="AO150">
        <f>IF($AK150=1,IFERROR(IF(VALUE($D150)&lt;100000000,VALUE($D150),1000000000),IFERROR(IF(VALUE(MID($D150,2,20))&lt;100000000,VALUE(MID($D150,2,20)),1000000000),1000000000))+ROW()/100000,"")</f>
        <v/>
      </c>
    </row>
    <row r="151">
      <c r="F151" s="11" t="n"/>
      <c r="N151" s="7">
        <f>IF($D151="","",M151*X151/100)</f>
        <v/>
      </c>
      <c r="O151" s="7" t="n"/>
      <c r="U151" s="7" t="n"/>
      <c r="V151" s="7" t="n"/>
      <c r="W151" s="7">
        <f>IF($D151="","",V151*AB151/100)</f>
        <v/>
      </c>
      <c r="X151" s="7">
        <f>IF($D151="","",V151-W151)</f>
        <v/>
      </c>
      <c r="Y151" s="7">
        <f>IF($D151="","",X151-N151)</f>
        <v/>
      </c>
      <c r="AB151">
        <f>IF($D151="","",IF($AN151=1,Settings!$C$8,IF($AM151=1,Settings!$C$6,Settings!$C$7))*100)</f>
        <v/>
      </c>
      <c r="AF151" s="7" t="n"/>
      <c r="AI151" s="11" t="n"/>
      <c r="AK151">
        <f>IF($D151="","",IF(COUNTIF($D$2:$D151,$D151)=1,1,0))</f>
        <v/>
      </c>
      <c r="AL151">
        <f>IF($AK151=1,SUMPRODUCT(--($AO$2:$AO$1601&lt;$AO151))+1,"")</f>
        <v/>
      </c>
      <c r="AM151">
        <f>IF($D151="","",IF(OR($R151=TRUE(),$R151="TRUE"),1,0))</f>
        <v/>
      </c>
      <c r="AN151">
        <f>IF($D151="","",IF($AA151="Yes",1,0))</f>
        <v/>
      </c>
      <c r="AO151">
        <f>IF($AK151=1,IFERROR(IF(VALUE($D151)&lt;100000000,VALUE($D151),1000000000),IFERROR(IF(VALUE(MID($D151,2,20))&lt;100000000,VALUE(MID($D151,2,20)),1000000000),1000000000))+ROW()/100000,"")</f>
        <v/>
      </c>
    </row>
    <row r="152">
      <c r="F152" s="11" t="n"/>
      <c r="N152" s="7">
        <f>IF($D152="","",M152*X152/100)</f>
        <v/>
      </c>
      <c r="O152" s="7" t="n"/>
      <c r="U152" s="7" t="n"/>
      <c r="V152" s="7" t="n"/>
      <c r="W152" s="7">
        <f>IF($D152="","",V152*AB152/100)</f>
        <v/>
      </c>
      <c r="X152" s="7">
        <f>IF($D152="","",V152-W152)</f>
        <v/>
      </c>
      <c r="Y152" s="7">
        <f>IF($D152="","",X152-N152)</f>
        <v/>
      </c>
      <c r="AB152">
        <f>IF($D152="","",IF($AN152=1,Settings!$C$8,IF($AM152=1,Settings!$C$6,Settings!$C$7))*100)</f>
        <v/>
      </c>
      <c r="AF152" s="7" t="n"/>
      <c r="AI152" s="11" t="n"/>
      <c r="AK152">
        <f>IF($D152="","",IF(COUNTIF($D$2:$D152,$D152)=1,1,0))</f>
        <v/>
      </c>
      <c r="AL152">
        <f>IF($AK152=1,SUMPRODUCT(--($AO$2:$AO$1601&lt;$AO152))+1,"")</f>
        <v/>
      </c>
      <c r="AM152">
        <f>IF($D152="","",IF(OR($R152=TRUE(),$R152="TRUE"),1,0))</f>
        <v/>
      </c>
      <c r="AN152">
        <f>IF($D152="","",IF($AA152="Yes",1,0))</f>
        <v/>
      </c>
      <c r="AO152">
        <f>IF($AK152=1,IFERROR(IF(VALUE($D152)&lt;100000000,VALUE($D152),1000000000),IFERROR(IF(VALUE(MID($D152,2,20))&lt;100000000,VALUE(MID($D152,2,20)),1000000000),1000000000))+ROW()/100000,"")</f>
        <v/>
      </c>
    </row>
    <row r="153">
      <c r="F153" s="11" t="n"/>
      <c r="N153" s="7">
        <f>IF($D153="","",M153*X153/100)</f>
        <v/>
      </c>
      <c r="O153" s="7" t="n"/>
      <c r="U153" s="7" t="n"/>
      <c r="V153" s="7" t="n"/>
      <c r="W153" s="7">
        <f>IF($D153="","",V153*AB153/100)</f>
        <v/>
      </c>
      <c r="X153" s="7">
        <f>IF($D153="","",V153-W153)</f>
        <v/>
      </c>
      <c r="Y153" s="7">
        <f>IF($D153="","",X153-N153)</f>
        <v/>
      </c>
      <c r="AB153">
        <f>IF($D153="","",IF($AN153=1,Settings!$C$8,IF($AM153=1,Settings!$C$6,Settings!$C$7))*100)</f>
        <v/>
      </c>
      <c r="AF153" s="7" t="n"/>
      <c r="AI153" s="11" t="n"/>
      <c r="AK153">
        <f>IF($D153="","",IF(COUNTIF($D$2:$D153,$D153)=1,1,0))</f>
        <v/>
      </c>
      <c r="AL153">
        <f>IF($AK153=1,SUMPRODUCT(--($AO$2:$AO$1601&lt;$AO153))+1,"")</f>
        <v/>
      </c>
      <c r="AM153">
        <f>IF($D153="","",IF(OR($R153=TRUE(),$R153="TRUE"),1,0))</f>
        <v/>
      </c>
      <c r="AN153">
        <f>IF($D153="","",IF($AA153="Yes",1,0))</f>
        <v/>
      </c>
      <c r="AO153">
        <f>IF($AK153=1,IFERROR(IF(VALUE($D153)&lt;100000000,VALUE($D153),1000000000),IFERROR(IF(VALUE(MID($D153,2,20))&lt;100000000,VALUE(MID($D153,2,20)),1000000000),1000000000))+ROW()/100000,"")</f>
        <v/>
      </c>
    </row>
    <row r="154">
      <c r="F154" s="11" t="n"/>
      <c r="N154" s="7">
        <f>IF($D154="","",M154*X154/100)</f>
        <v/>
      </c>
      <c r="O154" s="7" t="n"/>
      <c r="U154" s="7" t="n"/>
      <c r="V154" s="7" t="n"/>
      <c r="W154" s="7">
        <f>IF($D154="","",V154*AB154/100)</f>
        <v/>
      </c>
      <c r="X154" s="7">
        <f>IF($D154="","",V154-W154)</f>
        <v/>
      </c>
      <c r="Y154" s="7">
        <f>IF($D154="","",X154-N154)</f>
        <v/>
      </c>
      <c r="AB154">
        <f>IF($D154="","",IF($AN154=1,Settings!$C$8,IF($AM154=1,Settings!$C$6,Settings!$C$7))*100)</f>
        <v/>
      </c>
      <c r="AF154" s="7" t="n"/>
      <c r="AI154" s="11" t="n"/>
      <c r="AK154">
        <f>IF($D154="","",IF(COUNTIF($D$2:$D154,$D154)=1,1,0))</f>
        <v/>
      </c>
      <c r="AL154">
        <f>IF($AK154=1,SUMPRODUCT(--($AO$2:$AO$1601&lt;$AO154))+1,"")</f>
        <v/>
      </c>
      <c r="AM154">
        <f>IF($D154="","",IF(OR($R154=TRUE(),$R154="TRUE"),1,0))</f>
        <v/>
      </c>
      <c r="AN154">
        <f>IF($D154="","",IF($AA154="Yes",1,0))</f>
        <v/>
      </c>
      <c r="AO154">
        <f>IF($AK154=1,IFERROR(IF(VALUE($D154)&lt;100000000,VALUE($D154),1000000000),IFERROR(IF(VALUE(MID($D154,2,20))&lt;100000000,VALUE(MID($D154,2,20)),1000000000),1000000000))+ROW()/100000,"")</f>
        <v/>
      </c>
    </row>
    <row r="155">
      <c r="F155" s="11" t="n"/>
      <c r="N155" s="7">
        <f>IF($D155="","",M155*X155/100)</f>
        <v/>
      </c>
      <c r="O155" s="7" t="n"/>
      <c r="U155" s="7" t="n"/>
      <c r="V155" s="7" t="n"/>
      <c r="W155" s="7">
        <f>IF($D155="","",V155*AB155/100)</f>
        <v/>
      </c>
      <c r="X155" s="7">
        <f>IF($D155="","",V155-W155)</f>
        <v/>
      </c>
      <c r="Y155" s="7">
        <f>IF($D155="","",X155-N155)</f>
        <v/>
      </c>
      <c r="AB155">
        <f>IF($D155="","",IF($AN155=1,Settings!$C$8,IF($AM155=1,Settings!$C$6,Settings!$C$7))*100)</f>
        <v/>
      </c>
      <c r="AF155" s="7" t="n"/>
      <c r="AI155" s="11" t="n"/>
      <c r="AK155">
        <f>IF($D155="","",IF(COUNTIF($D$2:$D155,$D155)=1,1,0))</f>
        <v/>
      </c>
      <c r="AL155">
        <f>IF($AK155=1,SUMPRODUCT(--($AO$2:$AO$1601&lt;$AO155))+1,"")</f>
        <v/>
      </c>
      <c r="AM155">
        <f>IF($D155="","",IF(OR($R155=TRUE(),$R155="TRUE"),1,0))</f>
        <v/>
      </c>
      <c r="AN155">
        <f>IF($D155="","",IF($AA155="Yes",1,0))</f>
        <v/>
      </c>
      <c r="AO155">
        <f>IF($AK155=1,IFERROR(IF(VALUE($D155)&lt;100000000,VALUE($D155),1000000000),IFERROR(IF(VALUE(MID($D155,2,20))&lt;100000000,VALUE(MID($D155,2,20)),1000000000),1000000000))+ROW()/100000,"")</f>
        <v/>
      </c>
    </row>
    <row r="156">
      <c r="F156" s="11" t="n"/>
      <c r="N156" s="7">
        <f>IF($D156="","",M156*X156/100)</f>
        <v/>
      </c>
      <c r="O156" s="7" t="n"/>
      <c r="U156" s="7" t="n"/>
      <c r="V156" s="7" t="n"/>
      <c r="W156" s="7">
        <f>IF($D156="","",V156*AB156/100)</f>
        <v/>
      </c>
      <c r="X156" s="7">
        <f>IF($D156="","",V156-W156)</f>
        <v/>
      </c>
      <c r="Y156" s="7">
        <f>IF($D156="","",X156-N156)</f>
        <v/>
      </c>
      <c r="AB156">
        <f>IF($D156="","",IF($AN156=1,Settings!$C$8,IF($AM156=1,Settings!$C$6,Settings!$C$7))*100)</f>
        <v/>
      </c>
      <c r="AF156" s="7" t="n"/>
      <c r="AI156" s="11" t="n"/>
      <c r="AK156">
        <f>IF($D156="","",IF(COUNTIF($D$2:$D156,$D156)=1,1,0))</f>
        <v/>
      </c>
      <c r="AL156">
        <f>IF($AK156=1,SUMPRODUCT(--($AO$2:$AO$1601&lt;$AO156))+1,"")</f>
        <v/>
      </c>
      <c r="AM156">
        <f>IF($D156="","",IF(OR($R156=TRUE(),$R156="TRUE"),1,0))</f>
        <v/>
      </c>
      <c r="AN156">
        <f>IF($D156="","",IF($AA156="Yes",1,0))</f>
        <v/>
      </c>
      <c r="AO156">
        <f>IF($AK156=1,IFERROR(IF(VALUE($D156)&lt;100000000,VALUE($D156),1000000000),IFERROR(IF(VALUE(MID($D156,2,20))&lt;100000000,VALUE(MID($D156,2,20)),1000000000),1000000000))+ROW()/100000,"")</f>
        <v/>
      </c>
    </row>
    <row r="157">
      <c r="F157" s="11" t="n"/>
      <c r="N157" s="7">
        <f>IF($D157="","",M157*X157/100)</f>
        <v/>
      </c>
      <c r="O157" s="7" t="n"/>
      <c r="U157" s="7" t="n"/>
      <c r="V157" s="7" t="n"/>
      <c r="W157" s="7">
        <f>IF($D157="","",V157*AB157/100)</f>
        <v/>
      </c>
      <c r="X157" s="7">
        <f>IF($D157="","",V157-W157)</f>
        <v/>
      </c>
      <c r="Y157" s="7">
        <f>IF($D157="","",X157-N157)</f>
        <v/>
      </c>
      <c r="AB157">
        <f>IF($D157="","",IF($AN157=1,Settings!$C$8,IF($AM157=1,Settings!$C$6,Settings!$C$7))*100)</f>
        <v/>
      </c>
      <c r="AF157" s="7" t="n"/>
      <c r="AI157" s="11" t="n"/>
      <c r="AK157">
        <f>IF($D157="","",IF(COUNTIF($D$2:$D157,$D157)=1,1,0))</f>
        <v/>
      </c>
      <c r="AL157">
        <f>IF($AK157=1,SUMPRODUCT(--($AO$2:$AO$1601&lt;$AO157))+1,"")</f>
        <v/>
      </c>
      <c r="AM157">
        <f>IF($D157="","",IF(OR($R157=TRUE(),$R157="TRUE"),1,0))</f>
        <v/>
      </c>
      <c r="AN157">
        <f>IF($D157="","",IF($AA157="Yes",1,0))</f>
        <v/>
      </c>
      <c r="AO157">
        <f>IF($AK157=1,IFERROR(IF(VALUE($D157)&lt;100000000,VALUE($D157),1000000000),IFERROR(IF(VALUE(MID($D157,2,20))&lt;100000000,VALUE(MID($D157,2,20)),1000000000),1000000000))+ROW()/100000,"")</f>
        <v/>
      </c>
    </row>
    <row r="158">
      <c r="F158" s="11" t="n"/>
      <c r="N158" s="7">
        <f>IF($D158="","",M158*X158/100)</f>
        <v/>
      </c>
      <c r="O158" s="7" t="n"/>
      <c r="U158" s="7" t="n"/>
      <c r="V158" s="7" t="n"/>
      <c r="W158" s="7">
        <f>IF($D158="","",V158*AB158/100)</f>
        <v/>
      </c>
      <c r="X158" s="7">
        <f>IF($D158="","",V158-W158)</f>
        <v/>
      </c>
      <c r="Y158" s="7">
        <f>IF($D158="","",X158-N158)</f>
        <v/>
      </c>
      <c r="AB158">
        <f>IF($D158="","",IF($AN158=1,Settings!$C$8,IF($AM158=1,Settings!$C$6,Settings!$C$7))*100)</f>
        <v/>
      </c>
      <c r="AF158" s="7" t="n"/>
      <c r="AI158" s="11" t="n"/>
      <c r="AK158">
        <f>IF($D158="","",IF(COUNTIF($D$2:$D158,$D158)=1,1,0))</f>
        <v/>
      </c>
      <c r="AL158">
        <f>IF($AK158=1,SUMPRODUCT(--($AO$2:$AO$1601&lt;$AO158))+1,"")</f>
        <v/>
      </c>
      <c r="AM158">
        <f>IF($D158="","",IF(OR($R158=TRUE(),$R158="TRUE"),1,0))</f>
        <v/>
      </c>
      <c r="AN158">
        <f>IF($D158="","",IF($AA158="Yes",1,0))</f>
        <v/>
      </c>
      <c r="AO158">
        <f>IF($AK158=1,IFERROR(IF(VALUE($D158)&lt;100000000,VALUE($D158),1000000000),IFERROR(IF(VALUE(MID($D158,2,20))&lt;100000000,VALUE(MID($D158,2,20)),1000000000),1000000000))+ROW()/100000,"")</f>
        <v/>
      </c>
    </row>
    <row r="159">
      <c r="F159" s="11" t="n"/>
      <c r="N159" s="7">
        <f>IF($D159="","",M159*X159/100)</f>
        <v/>
      </c>
      <c r="O159" s="7" t="n"/>
      <c r="U159" s="7" t="n"/>
      <c r="V159" s="7" t="n"/>
      <c r="W159" s="7">
        <f>IF($D159="","",V159*AB159/100)</f>
        <v/>
      </c>
      <c r="X159" s="7">
        <f>IF($D159="","",V159-W159)</f>
        <v/>
      </c>
      <c r="Y159" s="7">
        <f>IF($D159="","",X159-N159)</f>
        <v/>
      </c>
      <c r="AB159">
        <f>IF($D159="","",IF($AN159=1,Settings!$C$8,IF($AM159=1,Settings!$C$6,Settings!$C$7))*100)</f>
        <v/>
      </c>
      <c r="AF159" s="7" t="n"/>
      <c r="AI159" s="11" t="n"/>
      <c r="AK159">
        <f>IF($D159="","",IF(COUNTIF($D$2:$D159,$D159)=1,1,0))</f>
        <v/>
      </c>
      <c r="AL159">
        <f>IF($AK159=1,SUMPRODUCT(--($AO$2:$AO$1601&lt;$AO159))+1,"")</f>
        <v/>
      </c>
      <c r="AM159">
        <f>IF($D159="","",IF(OR($R159=TRUE(),$R159="TRUE"),1,0))</f>
        <v/>
      </c>
      <c r="AN159">
        <f>IF($D159="","",IF($AA159="Yes",1,0))</f>
        <v/>
      </c>
      <c r="AO159">
        <f>IF($AK159=1,IFERROR(IF(VALUE($D159)&lt;100000000,VALUE($D159),1000000000),IFERROR(IF(VALUE(MID($D159,2,20))&lt;100000000,VALUE(MID($D159,2,20)),1000000000),1000000000))+ROW()/100000,"")</f>
        <v/>
      </c>
    </row>
    <row r="160">
      <c r="F160" s="11" t="n"/>
      <c r="N160" s="7">
        <f>IF($D160="","",M160*X160/100)</f>
        <v/>
      </c>
      <c r="O160" s="7" t="n"/>
      <c r="U160" s="7" t="n"/>
      <c r="V160" s="7" t="n"/>
      <c r="W160" s="7">
        <f>IF($D160="","",V160*AB160/100)</f>
        <v/>
      </c>
      <c r="X160" s="7">
        <f>IF($D160="","",V160-W160)</f>
        <v/>
      </c>
      <c r="Y160" s="7">
        <f>IF($D160="","",X160-N160)</f>
        <v/>
      </c>
      <c r="AB160">
        <f>IF($D160="","",IF($AN160=1,Settings!$C$8,IF($AM160=1,Settings!$C$6,Settings!$C$7))*100)</f>
        <v/>
      </c>
      <c r="AF160" s="7" t="n"/>
      <c r="AI160" s="11" t="n"/>
      <c r="AK160">
        <f>IF($D160="","",IF(COUNTIF($D$2:$D160,$D160)=1,1,0))</f>
        <v/>
      </c>
      <c r="AL160">
        <f>IF($AK160=1,SUMPRODUCT(--($AO$2:$AO$1601&lt;$AO160))+1,"")</f>
        <v/>
      </c>
      <c r="AM160">
        <f>IF($D160="","",IF(OR($R160=TRUE(),$R160="TRUE"),1,0))</f>
        <v/>
      </c>
      <c r="AN160">
        <f>IF($D160="","",IF($AA160="Yes",1,0))</f>
        <v/>
      </c>
      <c r="AO160">
        <f>IF($AK160=1,IFERROR(IF(VALUE($D160)&lt;100000000,VALUE($D160),1000000000),IFERROR(IF(VALUE(MID($D160,2,20))&lt;100000000,VALUE(MID($D160,2,20)),1000000000),1000000000))+ROW()/100000,"")</f>
        <v/>
      </c>
    </row>
    <row r="161">
      <c r="F161" s="11" t="n"/>
      <c r="N161" s="7">
        <f>IF($D161="","",M161*X161/100)</f>
        <v/>
      </c>
      <c r="O161" s="7" t="n"/>
      <c r="U161" s="7" t="n"/>
      <c r="V161" s="7" t="n"/>
      <c r="W161" s="7">
        <f>IF($D161="","",V161*AB161/100)</f>
        <v/>
      </c>
      <c r="X161" s="7">
        <f>IF($D161="","",V161-W161)</f>
        <v/>
      </c>
      <c r="Y161" s="7">
        <f>IF($D161="","",X161-N161)</f>
        <v/>
      </c>
      <c r="AB161">
        <f>IF($D161="","",IF($AN161=1,Settings!$C$8,IF($AM161=1,Settings!$C$6,Settings!$C$7))*100)</f>
        <v/>
      </c>
      <c r="AF161" s="7" t="n"/>
      <c r="AI161" s="11" t="n"/>
      <c r="AK161">
        <f>IF($D161="","",IF(COUNTIF($D$2:$D161,$D161)=1,1,0))</f>
        <v/>
      </c>
      <c r="AL161">
        <f>IF($AK161=1,SUMPRODUCT(--($AO$2:$AO$1601&lt;$AO161))+1,"")</f>
        <v/>
      </c>
      <c r="AM161">
        <f>IF($D161="","",IF(OR($R161=TRUE(),$R161="TRUE"),1,0))</f>
        <v/>
      </c>
      <c r="AN161">
        <f>IF($D161="","",IF($AA161="Yes",1,0))</f>
        <v/>
      </c>
      <c r="AO161">
        <f>IF($AK161=1,IFERROR(IF(VALUE($D161)&lt;100000000,VALUE($D161),1000000000),IFERROR(IF(VALUE(MID($D161,2,20))&lt;100000000,VALUE(MID($D161,2,20)),1000000000),1000000000))+ROW()/100000,"")</f>
        <v/>
      </c>
    </row>
    <row r="162">
      <c r="F162" s="11" t="n"/>
      <c r="N162" s="7">
        <f>IF($D162="","",M162*X162/100)</f>
        <v/>
      </c>
      <c r="O162" s="7" t="n"/>
      <c r="U162" s="7" t="n"/>
      <c r="V162" s="7" t="n"/>
      <c r="W162" s="7">
        <f>IF($D162="","",V162*AB162/100)</f>
        <v/>
      </c>
      <c r="X162" s="7">
        <f>IF($D162="","",V162-W162)</f>
        <v/>
      </c>
      <c r="Y162" s="7">
        <f>IF($D162="","",X162-N162)</f>
        <v/>
      </c>
      <c r="AB162">
        <f>IF($D162="","",IF($AN162=1,Settings!$C$8,IF($AM162=1,Settings!$C$6,Settings!$C$7))*100)</f>
        <v/>
      </c>
      <c r="AF162" s="7" t="n"/>
      <c r="AI162" s="11" t="n"/>
      <c r="AK162">
        <f>IF($D162="","",IF(COUNTIF($D$2:$D162,$D162)=1,1,0))</f>
        <v/>
      </c>
      <c r="AL162">
        <f>IF($AK162=1,SUMPRODUCT(--($AO$2:$AO$1601&lt;$AO162))+1,"")</f>
        <v/>
      </c>
      <c r="AM162">
        <f>IF($D162="","",IF(OR($R162=TRUE(),$R162="TRUE"),1,0))</f>
        <v/>
      </c>
      <c r="AN162">
        <f>IF($D162="","",IF($AA162="Yes",1,0))</f>
        <v/>
      </c>
      <c r="AO162">
        <f>IF($AK162=1,IFERROR(IF(VALUE($D162)&lt;100000000,VALUE($D162),1000000000),IFERROR(IF(VALUE(MID($D162,2,20))&lt;100000000,VALUE(MID($D162,2,20)),1000000000),1000000000))+ROW()/100000,"")</f>
        <v/>
      </c>
    </row>
    <row r="163">
      <c r="F163" s="11" t="n"/>
      <c r="N163" s="7">
        <f>IF($D163="","",M163*X163/100)</f>
        <v/>
      </c>
      <c r="O163" s="7" t="n"/>
      <c r="U163" s="7" t="n"/>
      <c r="V163" s="7" t="n"/>
      <c r="W163" s="7">
        <f>IF($D163="","",V163*AB163/100)</f>
        <v/>
      </c>
      <c r="X163" s="7">
        <f>IF($D163="","",V163-W163)</f>
        <v/>
      </c>
      <c r="Y163" s="7">
        <f>IF($D163="","",X163-N163)</f>
        <v/>
      </c>
      <c r="AB163">
        <f>IF($D163="","",IF($AN163=1,Settings!$C$8,IF($AM163=1,Settings!$C$6,Settings!$C$7))*100)</f>
        <v/>
      </c>
      <c r="AF163" s="7" t="n"/>
      <c r="AI163" s="11" t="n"/>
      <c r="AK163">
        <f>IF($D163="","",IF(COUNTIF($D$2:$D163,$D163)=1,1,0))</f>
        <v/>
      </c>
      <c r="AL163">
        <f>IF($AK163=1,SUMPRODUCT(--($AO$2:$AO$1601&lt;$AO163))+1,"")</f>
        <v/>
      </c>
      <c r="AM163">
        <f>IF($D163="","",IF(OR($R163=TRUE(),$R163="TRUE"),1,0))</f>
        <v/>
      </c>
      <c r="AN163">
        <f>IF($D163="","",IF($AA163="Yes",1,0))</f>
        <v/>
      </c>
      <c r="AO163">
        <f>IF($AK163=1,IFERROR(IF(VALUE($D163)&lt;100000000,VALUE($D163),1000000000),IFERROR(IF(VALUE(MID($D163,2,20))&lt;100000000,VALUE(MID($D163,2,20)),1000000000),1000000000))+ROW()/100000,"")</f>
        <v/>
      </c>
    </row>
    <row r="164">
      <c r="F164" s="11" t="n"/>
      <c r="N164" s="7">
        <f>IF($D164="","",M164*X164/100)</f>
        <v/>
      </c>
      <c r="O164" s="7" t="n"/>
      <c r="U164" s="7" t="n"/>
      <c r="V164" s="7" t="n"/>
      <c r="W164" s="7">
        <f>IF($D164="","",V164*AB164/100)</f>
        <v/>
      </c>
      <c r="X164" s="7">
        <f>IF($D164="","",V164-W164)</f>
        <v/>
      </c>
      <c r="Y164" s="7">
        <f>IF($D164="","",X164-N164)</f>
        <v/>
      </c>
      <c r="AB164">
        <f>IF($D164="","",IF($AN164=1,Settings!$C$8,IF($AM164=1,Settings!$C$6,Settings!$C$7))*100)</f>
        <v/>
      </c>
      <c r="AF164" s="7" t="n"/>
      <c r="AI164" s="11" t="n"/>
      <c r="AK164">
        <f>IF($D164="","",IF(COUNTIF($D$2:$D164,$D164)=1,1,0))</f>
        <v/>
      </c>
      <c r="AL164">
        <f>IF($AK164=1,SUMPRODUCT(--($AO$2:$AO$1601&lt;$AO164))+1,"")</f>
        <v/>
      </c>
      <c r="AM164">
        <f>IF($D164="","",IF(OR($R164=TRUE(),$R164="TRUE"),1,0))</f>
        <v/>
      </c>
      <c r="AN164">
        <f>IF($D164="","",IF($AA164="Yes",1,0))</f>
        <v/>
      </c>
      <c r="AO164">
        <f>IF($AK164=1,IFERROR(IF(VALUE($D164)&lt;100000000,VALUE($D164),1000000000),IFERROR(IF(VALUE(MID($D164,2,20))&lt;100000000,VALUE(MID($D164,2,20)),1000000000),1000000000))+ROW()/100000,"")</f>
        <v/>
      </c>
    </row>
    <row r="165">
      <c r="F165" s="11" t="n"/>
      <c r="N165" s="7">
        <f>IF($D165="","",M165*X165/100)</f>
        <v/>
      </c>
      <c r="O165" s="7" t="n"/>
      <c r="U165" s="7" t="n"/>
      <c r="V165" s="7" t="n"/>
      <c r="W165" s="7">
        <f>IF($D165="","",V165*AB165/100)</f>
        <v/>
      </c>
      <c r="X165" s="7">
        <f>IF($D165="","",V165-W165)</f>
        <v/>
      </c>
      <c r="Y165" s="7">
        <f>IF($D165="","",X165-N165)</f>
        <v/>
      </c>
      <c r="AB165">
        <f>IF($D165="","",IF($AN165=1,Settings!$C$8,IF($AM165=1,Settings!$C$6,Settings!$C$7))*100)</f>
        <v/>
      </c>
      <c r="AF165" s="7" t="n"/>
      <c r="AI165" s="11" t="n"/>
      <c r="AK165">
        <f>IF($D165="","",IF(COUNTIF($D$2:$D165,$D165)=1,1,0))</f>
        <v/>
      </c>
      <c r="AL165">
        <f>IF($AK165=1,SUMPRODUCT(--($AO$2:$AO$1601&lt;$AO165))+1,"")</f>
        <v/>
      </c>
      <c r="AM165">
        <f>IF($D165="","",IF(OR($R165=TRUE(),$R165="TRUE"),1,0))</f>
        <v/>
      </c>
      <c r="AN165">
        <f>IF($D165="","",IF($AA165="Yes",1,0))</f>
        <v/>
      </c>
      <c r="AO165">
        <f>IF($AK165=1,IFERROR(IF(VALUE($D165)&lt;100000000,VALUE($D165),1000000000),IFERROR(IF(VALUE(MID($D165,2,20))&lt;100000000,VALUE(MID($D165,2,20)),1000000000),1000000000))+ROW()/100000,"")</f>
        <v/>
      </c>
    </row>
    <row r="166">
      <c r="F166" s="11" t="n"/>
      <c r="N166" s="7">
        <f>IF($D166="","",M166*X166/100)</f>
        <v/>
      </c>
      <c r="O166" s="7" t="n"/>
      <c r="U166" s="7" t="n"/>
      <c r="V166" s="7" t="n"/>
      <c r="W166" s="7">
        <f>IF($D166="","",V166*AB166/100)</f>
        <v/>
      </c>
      <c r="X166" s="7">
        <f>IF($D166="","",V166-W166)</f>
        <v/>
      </c>
      <c r="Y166" s="7">
        <f>IF($D166="","",X166-N166)</f>
        <v/>
      </c>
      <c r="AB166">
        <f>IF($D166="","",IF($AN166=1,Settings!$C$8,IF($AM166=1,Settings!$C$6,Settings!$C$7))*100)</f>
        <v/>
      </c>
      <c r="AF166" s="7" t="n"/>
      <c r="AI166" s="11" t="n"/>
      <c r="AK166">
        <f>IF($D166="","",IF(COUNTIF($D$2:$D166,$D166)=1,1,0))</f>
        <v/>
      </c>
      <c r="AL166">
        <f>IF($AK166=1,SUMPRODUCT(--($AO$2:$AO$1601&lt;$AO166))+1,"")</f>
        <v/>
      </c>
      <c r="AM166">
        <f>IF($D166="","",IF(OR($R166=TRUE(),$R166="TRUE"),1,0))</f>
        <v/>
      </c>
      <c r="AN166">
        <f>IF($D166="","",IF($AA166="Yes",1,0))</f>
        <v/>
      </c>
      <c r="AO166">
        <f>IF($AK166=1,IFERROR(IF(VALUE($D166)&lt;100000000,VALUE($D166),1000000000),IFERROR(IF(VALUE(MID($D166,2,20))&lt;100000000,VALUE(MID($D166,2,20)),1000000000),1000000000))+ROW()/100000,"")</f>
        <v/>
      </c>
    </row>
    <row r="167">
      <c r="F167" s="11" t="n"/>
      <c r="N167" s="7">
        <f>IF($D167="","",M167*X167/100)</f>
        <v/>
      </c>
      <c r="O167" s="7" t="n"/>
      <c r="U167" s="7" t="n"/>
      <c r="V167" s="7" t="n"/>
      <c r="W167" s="7">
        <f>IF($D167="","",V167*AB167/100)</f>
        <v/>
      </c>
      <c r="X167" s="7">
        <f>IF($D167="","",V167-W167)</f>
        <v/>
      </c>
      <c r="Y167" s="7">
        <f>IF($D167="","",X167-N167)</f>
        <v/>
      </c>
      <c r="AB167">
        <f>IF($D167="","",IF($AN167=1,Settings!$C$8,IF($AM167=1,Settings!$C$6,Settings!$C$7))*100)</f>
        <v/>
      </c>
      <c r="AF167" s="7" t="n"/>
      <c r="AI167" s="11" t="n"/>
      <c r="AK167">
        <f>IF($D167="","",IF(COUNTIF($D$2:$D167,$D167)=1,1,0))</f>
        <v/>
      </c>
      <c r="AL167">
        <f>IF($AK167=1,SUMPRODUCT(--($AO$2:$AO$1601&lt;$AO167))+1,"")</f>
        <v/>
      </c>
      <c r="AM167">
        <f>IF($D167="","",IF(OR($R167=TRUE(),$R167="TRUE"),1,0))</f>
        <v/>
      </c>
      <c r="AN167">
        <f>IF($D167="","",IF($AA167="Yes",1,0))</f>
        <v/>
      </c>
      <c r="AO167">
        <f>IF($AK167=1,IFERROR(IF(VALUE($D167)&lt;100000000,VALUE($D167),1000000000),IFERROR(IF(VALUE(MID($D167,2,20))&lt;100000000,VALUE(MID($D167,2,20)),1000000000),1000000000))+ROW()/100000,"")</f>
        <v/>
      </c>
    </row>
    <row r="168">
      <c r="F168" s="11" t="n"/>
      <c r="N168" s="7">
        <f>IF($D168="","",M168*X168/100)</f>
        <v/>
      </c>
      <c r="O168" s="7" t="n"/>
      <c r="U168" s="7" t="n"/>
      <c r="V168" s="7" t="n"/>
      <c r="W168" s="7">
        <f>IF($D168="","",V168*AB168/100)</f>
        <v/>
      </c>
      <c r="X168" s="7">
        <f>IF($D168="","",V168-W168)</f>
        <v/>
      </c>
      <c r="Y168" s="7">
        <f>IF($D168="","",X168-N168)</f>
        <v/>
      </c>
      <c r="AB168">
        <f>IF($D168="","",IF($AN168=1,Settings!$C$8,IF($AM168=1,Settings!$C$6,Settings!$C$7))*100)</f>
        <v/>
      </c>
      <c r="AF168" s="7" t="n"/>
      <c r="AI168" s="11" t="n"/>
      <c r="AK168">
        <f>IF($D168="","",IF(COUNTIF($D$2:$D168,$D168)=1,1,0))</f>
        <v/>
      </c>
      <c r="AL168">
        <f>IF($AK168=1,SUMPRODUCT(--($AO$2:$AO$1601&lt;$AO168))+1,"")</f>
        <v/>
      </c>
      <c r="AM168">
        <f>IF($D168="","",IF(OR($R168=TRUE(),$R168="TRUE"),1,0))</f>
        <v/>
      </c>
      <c r="AN168">
        <f>IF($D168="","",IF($AA168="Yes",1,0))</f>
        <v/>
      </c>
      <c r="AO168">
        <f>IF($AK168=1,IFERROR(IF(VALUE($D168)&lt;100000000,VALUE($D168),1000000000),IFERROR(IF(VALUE(MID($D168,2,20))&lt;100000000,VALUE(MID($D168,2,20)),1000000000),1000000000))+ROW()/100000,"")</f>
        <v/>
      </c>
    </row>
    <row r="169">
      <c r="F169" s="11" t="n"/>
      <c r="N169" s="7">
        <f>IF($D169="","",M169*X169/100)</f>
        <v/>
      </c>
      <c r="O169" s="7" t="n"/>
      <c r="U169" s="7" t="n"/>
      <c r="V169" s="7" t="n"/>
      <c r="W169" s="7">
        <f>IF($D169="","",V169*AB169/100)</f>
        <v/>
      </c>
      <c r="X169" s="7">
        <f>IF($D169="","",V169-W169)</f>
        <v/>
      </c>
      <c r="Y169" s="7">
        <f>IF($D169="","",X169-N169)</f>
        <v/>
      </c>
      <c r="AB169">
        <f>IF($D169="","",IF($AN169=1,Settings!$C$8,IF($AM169=1,Settings!$C$6,Settings!$C$7))*100)</f>
        <v/>
      </c>
      <c r="AF169" s="7" t="n"/>
      <c r="AI169" s="11" t="n"/>
      <c r="AK169">
        <f>IF($D169="","",IF(COUNTIF($D$2:$D169,$D169)=1,1,0))</f>
        <v/>
      </c>
      <c r="AL169">
        <f>IF($AK169=1,SUMPRODUCT(--($AO$2:$AO$1601&lt;$AO169))+1,"")</f>
        <v/>
      </c>
      <c r="AM169">
        <f>IF($D169="","",IF(OR($R169=TRUE(),$R169="TRUE"),1,0))</f>
        <v/>
      </c>
      <c r="AN169">
        <f>IF($D169="","",IF($AA169="Yes",1,0))</f>
        <v/>
      </c>
      <c r="AO169">
        <f>IF($AK169=1,IFERROR(IF(VALUE($D169)&lt;100000000,VALUE($D169),1000000000),IFERROR(IF(VALUE(MID($D169,2,20))&lt;100000000,VALUE(MID($D169,2,20)),1000000000),1000000000))+ROW()/100000,"")</f>
        <v/>
      </c>
    </row>
    <row r="170">
      <c r="F170" s="11" t="n"/>
      <c r="N170" s="7">
        <f>IF($D170="","",M170*X170/100)</f>
        <v/>
      </c>
      <c r="O170" s="7" t="n"/>
      <c r="U170" s="7" t="n"/>
      <c r="V170" s="7" t="n"/>
      <c r="W170" s="7">
        <f>IF($D170="","",V170*AB170/100)</f>
        <v/>
      </c>
      <c r="X170" s="7">
        <f>IF($D170="","",V170-W170)</f>
        <v/>
      </c>
      <c r="Y170" s="7">
        <f>IF($D170="","",X170-N170)</f>
        <v/>
      </c>
      <c r="AB170">
        <f>IF($D170="","",IF($AN170=1,Settings!$C$8,IF($AM170=1,Settings!$C$6,Settings!$C$7))*100)</f>
        <v/>
      </c>
      <c r="AF170" s="7" t="n"/>
      <c r="AI170" s="11" t="n"/>
      <c r="AK170">
        <f>IF($D170="","",IF(COUNTIF($D$2:$D170,$D170)=1,1,0))</f>
        <v/>
      </c>
      <c r="AL170">
        <f>IF($AK170=1,SUMPRODUCT(--($AO$2:$AO$1601&lt;$AO170))+1,"")</f>
        <v/>
      </c>
      <c r="AM170">
        <f>IF($D170="","",IF(OR($R170=TRUE(),$R170="TRUE"),1,0))</f>
        <v/>
      </c>
      <c r="AN170">
        <f>IF($D170="","",IF($AA170="Yes",1,0))</f>
        <v/>
      </c>
      <c r="AO170">
        <f>IF($AK170=1,IFERROR(IF(VALUE($D170)&lt;100000000,VALUE($D170),1000000000),IFERROR(IF(VALUE(MID($D170,2,20))&lt;100000000,VALUE(MID($D170,2,20)),1000000000),1000000000))+ROW()/100000,"")</f>
        <v/>
      </c>
    </row>
    <row r="171">
      <c r="F171" s="11" t="n"/>
      <c r="N171" s="7">
        <f>IF($D171="","",M171*X171/100)</f>
        <v/>
      </c>
      <c r="O171" s="7" t="n"/>
      <c r="U171" s="7" t="n"/>
      <c r="V171" s="7" t="n"/>
      <c r="W171" s="7">
        <f>IF($D171="","",V171*AB171/100)</f>
        <v/>
      </c>
      <c r="X171" s="7">
        <f>IF($D171="","",V171-W171)</f>
        <v/>
      </c>
      <c r="Y171" s="7">
        <f>IF($D171="","",X171-N171)</f>
        <v/>
      </c>
      <c r="AB171">
        <f>IF($D171="","",IF($AN171=1,Settings!$C$8,IF($AM171=1,Settings!$C$6,Settings!$C$7))*100)</f>
        <v/>
      </c>
      <c r="AF171" s="7" t="n"/>
      <c r="AI171" s="11" t="n"/>
      <c r="AK171">
        <f>IF($D171="","",IF(COUNTIF($D$2:$D171,$D171)=1,1,0))</f>
        <v/>
      </c>
      <c r="AL171">
        <f>IF($AK171=1,SUMPRODUCT(--($AO$2:$AO$1601&lt;$AO171))+1,"")</f>
        <v/>
      </c>
      <c r="AM171">
        <f>IF($D171="","",IF(OR($R171=TRUE(),$R171="TRUE"),1,0))</f>
        <v/>
      </c>
      <c r="AN171">
        <f>IF($D171="","",IF($AA171="Yes",1,0))</f>
        <v/>
      </c>
      <c r="AO171">
        <f>IF($AK171=1,IFERROR(IF(VALUE($D171)&lt;100000000,VALUE($D171),1000000000),IFERROR(IF(VALUE(MID($D171,2,20))&lt;100000000,VALUE(MID($D171,2,20)),1000000000),1000000000))+ROW()/100000,"")</f>
        <v/>
      </c>
    </row>
    <row r="172">
      <c r="F172" s="11" t="n"/>
      <c r="N172" s="7">
        <f>IF($D172="","",M172*X172/100)</f>
        <v/>
      </c>
      <c r="O172" s="7" t="n"/>
      <c r="U172" s="7" t="n"/>
      <c r="V172" s="7" t="n"/>
      <c r="W172" s="7">
        <f>IF($D172="","",V172*AB172/100)</f>
        <v/>
      </c>
      <c r="X172" s="7">
        <f>IF($D172="","",V172-W172)</f>
        <v/>
      </c>
      <c r="Y172" s="7">
        <f>IF($D172="","",X172-N172)</f>
        <v/>
      </c>
      <c r="AB172">
        <f>IF($D172="","",IF($AN172=1,Settings!$C$8,IF($AM172=1,Settings!$C$6,Settings!$C$7))*100)</f>
        <v/>
      </c>
      <c r="AF172" s="7" t="n"/>
      <c r="AI172" s="11" t="n"/>
      <c r="AK172">
        <f>IF($D172="","",IF(COUNTIF($D$2:$D172,$D172)=1,1,0))</f>
        <v/>
      </c>
      <c r="AL172">
        <f>IF($AK172=1,SUMPRODUCT(--($AO$2:$AO$1601&lt;$AO172))+1,"")</f>
        <v/>
      </c>
      <c r="AM172">
        <f>IF($D172="","",IF(OR($R172=TRUE(),$R172="TRUE"),1,0))</f>
        <v/>
      </c>
      <c r="AN172">
        <f>IF($D172="","",IF($AA172="Yes",1,0))</f>
        <v/>
      </c>
      <c r="AO172">
        <f>IF($AK172=1,IFERROR(IF(VALUE($D172)&lt;100000000,VALUE($D172),1000000000),IFERROR(IF(VALUE(MID($D172,2,20))&lt;100000000,VALUE(MID($D172,2,20)),1000000000),1000000000))+ROW()/100000,"")</f>
        <v/>
      </c>
    </row>
    <row r="173">
      <c r="F173" s="11" t="n"/>
      <c r="N173" s="7">
        <f>IF($D173="","",M173*X173/100)</f>
        <v/>
      </c>
      <c r="O173" s="7" t="n"/>
      <c r="U173" s="7" t="n"/>
      <c r="V173" s="7" t="n"/>
      <c r="W173" s="7">
        <f>IF($D173="","",V173*AB173/100)</f>
        <v/>
      </c>
      <c r="X173" s="7">
        <f>IF($D173="","",V173-W173)</f>
        <v/>
      </c>
      <c r="Y173" s="7">
        <f>IF($D173="","",X173-N173)</f>
        <v/>
      </c>
      <c r="AB173">
        <f>IF($D173="","",IF($AN173=1,Settings!$C$8,IF($AM173=1,Settings!$C$6,Settings!$C$7))*100)</f>
        <v/>
      </c>
      <c r="AF173" s="7" t="n"/>
      <c r="AI173" s="11" t="n"/>
      <c r="AK173">
        <f>IF($D173="","",IF(COUNTIF($D$2:$D173,$D173)=1,1,0))</f>
        <v/>
      </c>
      <c r="AL173">
        <f>IF($AK173=1,SUMPRODUCT(--($AO$2:$AO$1601&lt;$AO173))+1,"")</f>
        <v/>
      </c>
      <c r="AM173">
        <f>IF($D173="","",IF(OR($R173=TRUE(),$R173="TRUE"),1,0))</f>
        <v/>
      </c>
      <c r="AN173">
        <f>IF($D173="","",IF($AA173="Yes",1,0))</f>
        <v/>
      </c>
      <c r="AO173">
        <f>IF($AK173=1,IFERROR(IF(VALUE($D173)&lt;100000000,VALUE($D173),1000000000),IFERROR(IF(VALUE(MID($D173,2,20))&lt;100000000,VALUE(MID($D173,2,20)),1000000000),1000000000))+ROW()/100000,"")</f>
        <v/>
      </c>
    </row>
    <row r="174">
      <c r="F174" s="11" t="n"/>
      <c r="N174" s="7">
        <f>IF($D174="","",M174*X174/100)</f>
        <v/>
      </c>
      <c r="O174" s="7" t="n"/>
      <c r="U174" s="7" t="n"/>
      <c r="V174" s="7" t="n"/>
      <c r="W174" s="7">
        <f>IF($D174="","",V174*AB174/100)</f>
        <v/>
      </c>
      <c r="X174" s="7">
        <f>IF($D174="","",V174-W174)</f>
        <v/>
      </c>
      <c r="Y174" s="7">
        <f>IF($D174="","",X174-N174)</f>
        <v/>
      </c>
      <c r="AB174">
        <f>IF($D174="","",IF($AN174=1,Settings!$C$8,IF($AM174=1,Settings!$C$6,Settings!$C$7))*100)</f>
        <v/>
      </c>
      <c r="AF174" s="7" t="n"/>
      <c r="AI174" s="11" t="n"/>
      <c r="AK174">
        <f>IF($D174="","",IF(COUNTIF($D$2:$D174,$D174)=1,1,0))</f>
        <v/>
      </c>
      <c r="AL174">
        <f>IF($AK174=1,SUMPRODUCT(--($AO$2:$AO$1601&lt;$AO174))+1,"")</f>
        <v/>
      </c>
      <c r="AM174">
        <f>IF($D174="","",IF(OR($R174=TRUE(),$R174="TRUE"),1,0))</f>
        <v/>
      </c>
      <c r="AN174">
        <f>IF($D174="","",IF($AA174="Yes",1,0))</f>
        <v/>
      </c>
      <c r="AO174">
        <f>IF($AK174=1,IFERROR(IF(VALUE($D174)&lt;100000000,VALUE($D174),1000000000),IFERROR(IF(VALUE(MID($D174,2,20))&lt;100000000,VALUE(MID($D174,2,20)),1000000000),1000000000))+ROW()/100000,"")</f>
        <v/>
      </c>
    </row>
    <row r="175">
      <c r="F175" s="11" t="n"/>
      <c r="N175" s="7">
        <f>IF($D175="","",M175*X175/100)</f>
        <v/>
      </c>
      <c r="O175" s="7" t="n"/>
      <c r="U175" s="7" t="n"/>
      <c r="V175" s="7" t="n"/>
      <c r="W175" s="7">
        <f>IF($D175="","",V175*AB175/100)</f>
        <v/>
      </c>
      <c r="X175" s="7">
        <f>IF($D175="","",V175-W175)</f>
        <v/>
      </c>
      <c r="Y175" s="7">
        <f>IF($D175="","",X175-N175)</f>
        <v/>
      </c>
      <c r="AB175">
        <f>IF($D175="","",IF($AN175=1,Settings!$C$8,IF($AM175=1,Settings!$C$6,Settings!$C$7))*100)</f>
        <v/>
      </c>
      <c r="AF175" s="7" t="n"/>
      <c r="AI175" s="11" t="n"/>
      <c r="AK175">
        <f>IF($D175="","",IF(COUNTIF($D$2:$D175,$D175)=1,1,0))</f>
        <v/>
      </c>
      <c r="AL175">
        <f>IF($AK175=1,SUMPRODUCT(--($AO$2:$AO$1601&lt;$AO175))+1,"")</f>
        <v/>
      </c>
      <c r="AM175">
        <f>IF($D175="","",IF(OR($R175=TRUE(),$R175="TRUE"),1,0))</f>
        <v/>
      </c>
      <c r="AN175">
        <f>IF($D175="","",IF($AA175="Yes",1,0))</f>
        <v/>
      </c>
      <c r="AO175">
        <f>IF($AK175=1,IFERROR(IF(VALUE($D175)&lt;100000000,VALUE($D175),1000000000),IFERROR(IF(VALUE(MID($D175,2,20))&lt;100000000,VALUE(MID($D175,2,20)),1000000000),1000000000))+ROW()/100000,"")</f>
        <v/>
      </c>
    </row>
    <row r="176">
      <c r="F176" s="11" t="n"/>
      <c r="N176" s="7">
        <f>IF($D176="","",M176*X176/100)</f>
        <v/>
      </c>
      <c r="O176" s="7" t="n"/>
      <c r="U176" s="7" t="n"/>
      <c r="V176" s="7" t="n"/>
      <c r="W176" s="7">
        <f>IF($D176="","",V176*AB176/100)</f>
        <v/>
      </c>
      <c r="X176" s="7">
        <f>IF($D176="","",V176-W176)</f>
        <v/>
      </c>
      <c r="Y176" s="7">
        <f>IF($D176="","",X176-N176)</f>
        <v/>
      </c>
      <c r="AB176">
        <f>IF($D176="","",IF($AN176=1,Settings!$C$8,IF($AM176=1,Settings!$C$6,Settings!$C$7))*100)</f>
        <v/>
      </c>
      <c r="AF176" s="7" t="n"/>
      <c r="AI176" s="11" t="n"/>
      <c r="AK176">
        <f>IF($D176="","",IF(COUNTIF($D$2:$D176,$D176)=1,1,0))</f>
        <v/>
      </c>
      <c r="AL176">
        <f>IF($AK176=1,SUMPRODUCT(--($AO$2:$AO$1601&lt;$AO176))+1,"")</f>
        <v/>
      </c>
      <c r="AM176">
        <f>IF($D176="","",IF(OR($R176=TRUE(),$R176="TRUE"),1,0))</f>
        <v/>
      </c>
      <c r="AN176">
        <f>IF($D176="","",IF($AA176="Yes",1,0))</f>
        <v/>
      </c>
      <c r="AO176">
        <f>IF($AK176=1,IFERROR(IF(VALUE($D176)&lt;100000000,VALUE($D176),1000000000),IFERROR(IF(VALUE(MID($D176,2,20))&lt;100000000,VALUE(MID($D176,2,20)),1000000000),1000000000))+ROW()/100000,"")</f>
        <v/>
      </c>
    </row>
    <row r="177">
      <c r="F177" s="11" t="n"/>
      <c r="N177" s="7">
        <f>IF($D177="","",M177*X177/100)</f>
        <v/>
      </c>
      <c r="O177" s="7" t="n"/>
      <c r="U177" s="7" t="n"/>
      <c r="V177" s="7" t="n"/>
      <c r="W177" s="7">
        <f>IF($D177="","",V177*AB177/100)</f>
        <v/>
      </c>
      <c r="X177" s="7">
        <f>IF($D177="","",V177-W177)</f>
        <v/>
      </c>
      <c r="Y177" s="7">
        <f>IF($D177="","",X177-N177)</f>
        <v/>
      </c>
      <c r="AB177">
        <f>IF($D177="","",IF($AN177=1,Settings!$C$8,IF($AM177=1,Settings!$C$6,Settings!$C$7))*100)</f>
        <v/>
      </c>
      <c r="AF177" s="7" t="n"/>
      <c r="AI177" s="11" t="n"/>
      <c r="AK177">
        <f>IF($D177="","",IF(COUNTIF($D$2:$D177,$D177)=1,1,0))</f>
        <v/>
      </c>
      <c r="AL177">
        <f>IF($AK177=1,SUMPRODUCT(--($AO$2:$AO$1601&lt;$AO177))+1,"")</f>
        <v/>
      </c>
      <c r="AM177">
        <f>IF($D177="","",IF(OR($R177=TRUE(),$R177="TRUE"),1,0))</f>
        <v/>
      </c>
      <c r="AN177">
        <f>IF($D177="","",IF($AA177="Yes",1,0))</f>
        <v/>
      </c>
      <c r="AO177">
        <f>IF($AK177=1,IFERROR(IF(VALUE($D177)&lt;100000000,VALUE($D177),1000000000),IFERROR(IF(VALUE(MID($D177,2,20))&lt;100000000,VALUE(MID($D177,2,20)),1000000000),1000000000))+ROW()/100000,"")</f>
        <v/>
      </c>
    </row>
    <row r="178">
      <c r="F178" s="11" t="n"/>
      <c r="N178" s="7">
        <f>IF($D178="","",M178*X178/100)</f>
        <v/>
      </c>
      <c r="O178" s="7" t="n"/>
      <c r="U178" s="7" t="n"/>
      <c r="V178" s="7" t="n"/>
      <c r="W178" s="7">
        <f>IF($D178="","",V178*AB178/100)</f>
        <v/>
      </c>
      <c r="X178" s="7">
        <f>IF($D178="","",V178-W178)</f>
        <v/>
      </c>
      <c r="Y178" s="7">
        <f>IF($D178="","",X178-N178)</f>
        <v/>
      </c>
      <c r="AB178">
        <f>IF($D178="","",IF($AN178=1,Settings!$C$8,IF($AM178=1,Settings!$C$6,Settings!$C$7))*100)</f>
        <v/>
      </c>
      <c r="AF178" s="7" t="n"/>
      <c r="AI178" s="11" t="n"/>
      <c r="AK178">
        <f>IF($D178="","",IF(COUNTIF($D$2:$D178,$D178)=1,1,0))</f>
        <v/>
      </c>
      <c r="AL178">
        <f>IF($AK178=1,SUMPRODUCT(--($AO$2:$AO$1601&lt;$AO178))+1,"")</f>
        <v/>
      </c>
      <c r="AM178">
        <f>IF($D178="","",IF(OR($R178=TRUE(),$R178="TRUE"),1,0))</f>
        <v/>
      </c>
      <c r="AN178">
        <f>IF($D178="","",IF($AA178="Yes",1,0))</f>
        <v/>
      </c>
      <c r="AO178">
        <f>IF($AK178=1,IFERROR(IF(VALUE($D178)&lt;100000000,VALUE($D178),1000000000),IFERROR(IF(VALUE(MID($D178,2,20))&lt;100000000,VALUE(MID($D178,2,20)),1000000000),1000000000))+ROW()/100000,"")</f>
        <v/>
      </c>
    </row>
    <row r="179">
      <c r="F179" s="11" t="n"/>
      <c r="N179" s="7">
        <f>IF($D179="","",M179*X179/100)</f>
        <v/>
      </c>
      <c r="O179" s="7" t="n"/>
      <c r="U179" s="7" t="n"/>
      <c r="V179" s="7" t="n"/>
      <c r="W179" s="7">
        <f>IF($D179="","",V179*AB179/100)</f>
        <v/>
      </c>
      <c r="X179" s="7">
        <f>IF($D179="","",V179-W179)</f>
        <v/>
      </c>
      <c r="Y179" s="7">
        <f>IF($D179="","",X179-N179)</f>
        <v/>
      </c>
      <c r="AB179">
        <f>IF($D179="","",IF($AN179=1,Settings!$C$8,IF($AM179=1,Settings!$C$6,Settings!$C$7))*100)</f>
        <v/>
      </c>
      <c r="AF179" s="7" t="n"/>
      <c r="AI179" s="11" t="n"/>
      <c r="AK179">
        <f>IF($D179="","",IF(COUNTIF($D$2:$D179,$D179)=1,1,0))</f>
        <v/>
      </c>
      <c r="AL179">
        <f>IF($AK179=1,SUMPRODUCT(--($AO$2:$AO$1601&lt;$AO179))+1,"")</f>
        <v/>
      </c>
      <c r="AM179">
        <f>IF($D179="","",IF(OR($R179=TRUE(),$R179="TRUE"),1,0))</f>
        <v/>
      </c>
      <c r="AN179">
        <f>IF($D179="","",IF($AA179="Yes",1,0))</f>
        <v/>
      </c>
      <c r="AO179">
        <f>IF($AK179=1,IFERROR(IF(VALUE($D179)&lt;100000000,VALUE($D179),1000000000),IFERROR(IF(VALUE(MID($D179,2,20))&lt;100000000,VALUE(MID($D179,2,20)),1000000000),1000000000))+ROW()/100000,"")</f>
        <v/>
      </c>
    </row>
    <row r="180">
      <c r="F180" s="11" t="n"/>
      <c r="N180" s="7">
        <f>IF($D180="","",M180*X180/100)</f>
        <v/>
      </c>
      <c r="O180" s="7" t="n"/>
      <c r="U180" s="7" t="n"/>
      <c r="V180" s="7" t="n"/>
      <c r="W180" s="7">
        <f>IF($D180="","",V180*AB180/100)</f>
        <v/>
      </c>
      <c r="X180" s="7">
        <f>IF($D180="","",V180-W180)</f>
        <v/>
      </c>
      <c r="Y180" s="7">
        <f>IF($D180="","",X180-N180)</f>
        <v/>
      </c>
      <c r="AB180">
        <f>IF($D180="","",IF($AN180=1,Settings!$C$8,IF($AM180=1,Settings!$C$6,Settings!$C$7))*100)</f>
        <v/>
      </c>
      <c r="AF180" s="7" t="n"/>
      <c r="AI180" s="11" t="n"/>
      <c r="AK180">
        <f>IF($D180="","",IF(COUNTIF($D$2:$D180,$D180)=1,1,0))</f>
        <v/>
      </c>
      <c r="AL180">
        <f>IF($AK180=1,SUMPRODUCT(--($AO$2:$AO$1601&lt;$AO180))+1,"")</f>
        <v/>
      </c>
      <c r="AM180">
        <f>IF($D180="","",IF(OR($R180=TRUE(),$R180="TRUE"),1,0))</f>
        <v/>
      </c>
      <c r="AN180">
        <f>IF($D180="","",IF($AA180="Yes",1,0))</f>
        <v/>
      </c>
      <c r="AO180">
        <f>IF($AK180=1,IFERROR(IF(VALUE($D180)&lt;100000000,VALUE($D180),1000000000),IFERROR(IF(VALUE(MID($D180,2,20))&lt;100000000,VALUE(MID($D180,2,20)),1000000000),1000000000))+ROW()/100000,"")</f>
        <v/>
      </c>
    </row>
    <row r="181">
      <c r="F181" s="11" t="n"/>
      <c r="N181" s="7">
        <f>IF($D181="","",M181*X181/100)</f>
        <v/>
      </c>
      <c r="O181" s="7" t="n"/>
      <c r="U181" s="7" t="n"/>
      <c r="V181" s="7" t="n"/>
      <c r="W181" s="7">
        <f>IF($D181="","",V181*AB181/100)</f>
        <v/>
      </c>
      <c r="X181" s="7">
        <f>IF($D181="","",V181-W181)</f>
        <v/>
      </c>
      <c r="Y181" s="7">
        <f>IF($D181="","",X181-N181)</f>
        <v/>
      </c>
      <c r="AB181">
        <f>IF($D181="","",IF($AN181=1,Settings!$C$8,IF($AM181=1,Settings!$C$6,Settings!$C$7))*100)</f>
        <v/>
      </c>
      <c r="AF181" s="7" t="n"/>
      <c r="AI181" s="11" t="n"/>
      <c r="AK181">
        <f>IF($D181="","",IF(COUNTIF($D$2:$D181,$D181)=1,1,0))</f>
        <v/>
      </c>
      <c r="AL181">
        <f>IF($AK181=1,SUMPRODUCT(--($AO$2:$AO$1601&lt;$AO181))+1,"")</f>
        <v/>
      </c>
      <c r="AM181">
        <f>IF($D181="","",IF(OR($R181=TRUE(),$R181="TRUE"),1,0))</f>
        <v/>
      </c>
      <c r="AN181">
        <f>IF($D181="","",IF($AA181="Yes",1,0))</f>
        <v/>
      </c>
      <c r="AO181">
        <f>IF($AK181=1,IFERROR(IF(VALUE($D181)&lt;100000000,VALUE($D181),1000000000),IFERROR(IF(VALUE(MID($D181,2,20))&lt;100000000,VALUE(MID($D181,2,20)),1000000000),1000000000))+ROW()/100000,"")</f>
        <v/>
      </c>
    </row>
    <row r="182">
      <c r="F182" s="11" t="n"/>
      <c r="N182" s="7">
        <f>IF($D182="","",M182*X182/100)</f>
        <v/>
      </c>
      <c r="O182" s="7" t="n"/>
      <c r="U182" s="7" t="n"/>
      <c r="V182" s="7" t="n"/>
      <c r="W182" s="7">
        <f>IF($D182="","",V182*AB182/100)</f>
        <v/>
      </c>
      <c r="X182" s="7">
        <f>IF($D182="","",V182-W182)</f>
        <v/>
      </c>
      <c r="Y182" s="7">
        <f>IF($D182="","",X182-N182)</f>
        <v/>
      </c>
      <c r="AB182">
        <f>IF($D182="","",IF($AN182=1,Settings!$C$8,IF($AM182=1,Settings!$C$6,Settings!$C$7))*100)</f>
        <v/>
      </c>
      <c r="AF182" s="7" t="n"/>
      <c r="AI182" s="11" t="n"/>
      <c r="AK182">
        <f>IF($D182="","",IF(COUNTIF($D$2:$D182,$D182)=1,1,0))</f>
        <v/>
      </c>
      <c r="AL182">
        <f>IF($AK182=1,SUMPRODUCT(--($AO$2:$AO$1601&lt;$AO182))+1,"")</f>
        <v/>
      </c>
      <c r="AM182">
        <f>IF($D182="","",IF(OR($R182=TRUE(),$R182="TRUE"),1,0))</f>
        <v/>
      </c>
      <c r="AN182">
        <f>IF($D182="","",IF($AA182="Yes",1,0))</f>
        <v/>
      </c>
      <c r="AO182">
        <f>IF($AK182=1,IFERROR(IF(VALUE($D182)&lt;100000000,VALUE($D182),1000000000),IFERROR(IF(VALUE(MID($D182,2,20))&lt;100000000,VALUE(MID($D182,2,20)),1000000000),1000000000))+ROW()/100000,"")</f>
        <v/>
      </c>
    </row>
    <row r="183">
      <c r="F183" s="11" t="n"/>
      <c r="N183" s="7">
        <f>IF($D183="","",M183*X183/100)</f>
        <v/>
      </c>
      <c r="O183" s="7" t="n"/>
      <c r="U183" s="7" t="n"/>
      <c r="V183" s="7" t="n"/>
      <c r="W183" s="7">
        <f>IF($D183="","",V183*AB183/100)</f>
        <v/>
      </c>
      <c r="X183" s="7">
        <f>IF($D183="","",V183-W183)</f>
        <v/>
      </c>
      <c r="Y183" s="7">
        <f>IF($D183="","",X183-N183)</f>
        <v/>
      </c>
      <c r="AB183">
        <f>IF($D183="","",IF($AN183=1,Settings!$C$8,IF($AM183=1,Settings!$C$6,Settings!$C$7))*100)</f>
        <v/>
      </c>
      <c r="AF183" s="7" t="n"/>
      <c r="AI183" s="11" t="n"/>
      <c r="AK183">
        <f>IF($D183="","",IF(COUNTIF($D$2:$D183,$D183)=1,1,0))</f>
        <v/>
      </c>
      <c r="AL183">
        <f>IF($AK183=1,SUMPRODUCT(--($AO$2:$AO$1601&lt;$AO183))+1,"")</f>
        <v/>
      </c>
      <c r="AM183">
        <f>IF($D183="","",IF(OR($R183=TRUE(),$R183="TRUE"),1,0))</f>
        <v/>
      </c>
      <c r="AN183">
        <f>IF($D183="","",IF($AA183="Yes",1,0))</f>
        <v/>
      </c>
      <c r="AO183">
        <f>IF($AK183=1,IFERROR(IF(VALUE($D183)&lt;100000000,VALUE($D183),1000000000),IFERROR(IF(VALUE(MID($D183,2,20))&lt;100000000,VALUE(MID($D183,2,20)),1000000000),1000000000))+ROW()/100000,"")</f>
        <v/>
      </c>
    </row>
    <row r="184">
      <c r="F184" s="11" t="n"/>
      <c r="N184" s="7">
        <f>IF($D184="","",M184*X184/100)</f>
        <v/>
      </c>
      <c r="O184" s="7" t="n"/>
      <c r="U184" s="7" t="n"/>
      <c r="V184" s="7" t="n"/>
      <c r="W184" s="7">
        <f>IF($D184="","",V184*AB184/100)</f>
        <v/>
      </c>
      <c r="X184" s="7">
        <f>IF($D184="","",V184-W184)</f>
        <v/>
      </c>
      <c r="Y184" s="7">
        <f>IF($D184="","",X184-N184)</f>
        <v/>
      </c>
      <c r="AB184">
        <f>IF($D184="","",IF($AN184=1,Settings!$C$8,IF($AM184=1,Settings!$C$6,Settings!$C$7))*100)</f>
        <v/>
      </c>
      <c r="AF184" s="7" t="n"/>
      <c r="AI184" s="11" t="n"/>
      <c r="AK184">
        <f>IF($D184="","",IF(COUNTIF($D$2:$D184,$D184)=1,1,0))</f>
        <v/>
      </c>
      <c r="AL184">
        <f>IF($AK184=1,SUMPRODUCT(--($AO$2:$AO$1601&lt;$AO184))+1,"")</f>
        <v/>
      </c>
      <c r="AM184">
        <f>IF($D184="","",IF(OR($R184=TRUE(),$R184="TRUE"),1,0))</f>
        <v/>
      </c>
      <c r="AN184">
        <f>IF($D184="","",IF($AA184="Yes",1,0))</f>
        <v/>
      </c>
      <c r="AO184">
        <f>IF($AK184=1,IFERROR(IF(VALUE($D184)&lt;100000000,VALUE($D184),1000000000),IFERROR(IF(VALUE(MID($D184,2,20))&lt;100000000,VALUE(MID($D184,2,20)),1000000000),1000000000))+ROW()/100000,"")</f>
        <v/>
      </c>
    </row>
    <row r="185">
      <c r="F185" s="11" t="n"/>
      <c r="N185" s="7">
        <f>IF($D185="","",M185*X185/100)</f>
        <v/>
      </c>
      <c r="O185" s="7" t="n"/>
      <c r="U185" s="7" t="n"/>
      <c r="V185" s="7" t="n"/>
      <c r="W185" s="7">
        <f>IF($D185="","",V185*AB185/100)</f>
        <v/>
      </c>
      <c r="X185" s="7">
        <f>IF($D185="","",V185-W185)</f>
        <v/>
      </c>
      <c r="Y185" s="7">
        <f>IF($D185="","",X185-N185)</f>
        <v/>
      </c>
      <c r="AB185">
        <f>IF($D185="","",IF($AN185=1,Settings!$C$8,IF($AM185=1,Settings!$C$6,Settings!$C$7))*100)</f>
        <v/>
      </c>
      <c r="AF185" s="7" t="n"/>
      <c r="AI185" s="11" t="n"/>
      <c r="AK185">
        <f>IF($D185="","",IF(COUNTIF($D$2:$D185,$D185)=1,1,0))</f>
        <v/>
      </c>
      <c r="AL185">
        <f>IF($AK185=1,SUMPRODUCT(--($AO$2:$AO$1601&lt;$AO185))+1,"")</f>
        <v/>
      </c>
      <c r="AM185">
        <f>IF($D185="","",IF(OR($R185=TRUE(),$R185="TRUE"),1,0))</f>
        <v/>
      </c>
      <c r="AN185">
        <f>IF($D185="","",IF($AA185="Yes",1,0))</f>
        <v/>
      </c>
      <c r="AO185">
        <f>IF($AK185=1,IFERROR(IF(VALUE($D185)&lt;100000000,VALUE($D185),1000000000),IFERROR(IF(VALUE(MID($D185,2,20))&lt;100000000,VALUE(MID($D185,2,20)),1000000000),1000000000))+ROW()/100000,"")</f>
        <v/>
      </c>
    </row>
    <row r="186">
      <c r="F186" s="11" t="n"/>
      <c r="N186" s="7">
        <f>IF($D186="","",M186*X186/100)</f>
        <v/>
      </c>
      <c r="O186" s="7" t="n"/>
      <c r="U186" s="7" t="n"/>
      <c r="V186" s="7" t="n"/>
      <c r="W186" s="7">
        <f>IF($D186="","",V186*AB186/100)</f>
        <v/>
      </c>
      <c r="X186" s="7">
        <f>IF($D186="","",V186-W186)</f>
        <v/>
      </c>
      <c r="Y186" s="7">
        <f>IF($D186="","",X186-N186)</f>
        <v/>
      </c>
      <c r="AB186">
        <f>IF($D186="","",IF($AN186=1,Settings!$C$8,IF($AM186=1,Settings!$C$6,Settings!$C$7))*100)</f>
        <v/>
      </c>
      <c r="AF186" s="7" t="n"/>
      <c r="AI186" s="11" t="n"/>
      <c r="AK186">
        <f>IF($D186="","",IF(COUNTIF($D$2:$D186,$D186)=1,1,0))</f>
        <v/>
      </c>
      <c r="AL186">
        <f>IF($AK186=1,SUMPRODUCT(--($AO$2:$AO$1601&lt;$AO186))+1,"")</f>
        <v/>
      </c>
      <c r="AM186">
        <f>IF($D186="","",IF(OR($R186=TRUE(),$R186="TRUE"),1,0))</f>
        <v/>
      </c>
      <c r="AN186">
        <f>IF($D186="","",IF($AA186="Yes",1,0))</f>
        <v/>
      </c>
      <c r="AO186">
        <f>IF($AK186=1,IFERROR(IF(VALUE($D186)&lt;100000000,VALUE($D186),1000000000),IFERROR(IF(VALUE(MID($D186,2,20))&lt;100000000,VALUE(MID($D186,2,20)),1000000000),1000000000))+ROW()/100000,"")</f>
        <v/>
      </c>
    </row>
    <row r="187">
      <c r="F187" s="11" t="n"/>
      <c r="N187" s="7">
        <f>IF($D187="","",M187*X187/100)</f>
        <v/>
      </c>
      <c r="O187" s="7" t="n"/>
      <c r="U187" s="7" t="n"/>
      <c r="V187" s="7" t="n"/>
      <c r="W187" s="7">
        <f>IF($D187="","",V187*AB187/100)</f>
        <v/>
      </c>
      <c r="X187" s="7">
        <f>IF($D187="","",V187-W187)</f>
        <v/>
      </c>
      <c r="Y187" s="7">
        <f>IF($D187="","",X187-N187)</f>
        <v/>
      </c>
      <c r="AB187">
        <f>IF($D187="","",IF($AN187=1,Settings!$C$8,IF($AM187=1,Settings!$C$6,Settings!$C$7))*100)</f>
        <v/>
      </c>
      <c r="AF187" s="7" t="n"/>
      <c r="AI187" s="11" t="n"/>
      <c r="AK187">
        <f>IF($D187="","",IF(COUNTIF($D$2:$D187,$D187)=1,1,0))</f>
        <v/>
      </c>
      <c r="AL187">
        <f>IF($AK187=1,SUMPRODUCT(--($AO$2:$AO$1601&lt;$AO187))+1,"")</f>
        <v/>
      </c>
      <c r="AM187">
        <f>IF($D187="","",IF(OR($R187=TRUE(),$R187="TRUE"),1,0))</f>
        <v/>
      </c>
      <c r="AN187">
        <f>IF($D187="","",IF($AA187="Yes",1,0))</f>
        <v/>
      </c>
      <c r="AO187">
        <f>IF($AK187=1,IFERROR(IF(VALUE($D187)&lt;100000000,VALUE($D187),1000000000),IFERROR(IF(VALUE(MID($D187,2,20))&lt;100000000,VALUE(MID($D187,2,20)),1000000000),1000000000))+ROW()/100000,"")</f>
        <v/>
      </c>
    </row>
    <row r="188">
      <c r="F188" s="11" t="n"/>
      <c r="N188" s="7">
        <f>IF($D188="","",M188*X188/100)</f>
        <v/>
      </c>
      <c r="O188" s="7" t="n"/>
      <c r="U188" s="7" t="n"/>
      <c r="V188" s="7" t="n"/>
      <c r="W188" s="7">
        <f>IF($D188="","",V188*AB188/100)</f>
        <v/>
      </c>
      <c r="X188" s="7">
        <f>IF($D188="","",V188-W188)</f>
        <v/>
      </c>
      <c r="Y188" s="7">
        <f>IF($D188="","",X188-N188)</f>
        <v/>
      </c>
      <c r="AB188">
        <f>IF($D188="","",IF($AN188=1,Settings!$C$8,IF($AM188=1,Settings!$C$6,Settings!$C$7))*100)</f>
        <v/>
      </c>
      <c r="AF188" s="7" t="n"/>
      <c r="AI188" s="11" t="n"/>
      <c r="AK188">
        <f>IF($D188="","",IF(COUNTIF($D$2:$D188,$D188)=1,1,0))</f>
        <v/>
      </c>
      <c r="AL188">
        <f>IF($AK188=1,SUMPRODUCT(--($AO$2:$AO$1601&lt;$AO188))+1,"")</f>
        <v/>
      </c>
      <c r="AM188">
        <f>IF($D188="","",IF(OR($R188=TRUE(),$R188="TRUE"),1,0))</f>
        <v/>
      </c>
      <c r="AN188">
        <f>IF($D188="","",IF($AA188="Yes",1,0))</f>
        <v/>
      </c>
      <c r="AO188">
        <f>IF($AK188=1,IFERROR(IF(VALUE($D188)&lt;100000000,VALUE($D188),1000000000),IFERROR(IF(VALUE(MID($D188,2,20))&lt;100000000,VALUE(MID($D188,2,20)),1000000000),1000000000))+ROW()/100000,"")</f>
        <v/>
      </c>
    </row>
    <row r="189">
      <c r="F189" s="11" t="n"/>
      <c r="N189" s="7">
        <f>IF($D189="","",M189*X189/100)</f>
        <v/>
      </c>
      <c r="O189" s="7" t="n"/>
      <c r="U189" s="7" t="n"/>
      <c r="V189" s="7" t="n"/>
      <c r="W189" s="7">
        <f>IF($D189="","",V189*AB189/100)</f>
        <v/>
      </c>
      <c r="X189" s="7">
        <f>IF($D189="","",V189-W189)</f>
        <v/>
      </c>
      <c r="Y189" s="7">
        <f>IF($D189="","",X189-N189)</f>
        <v/>
      </c>
      <c r="AB189">
        <f>IF($D189="","",IF($AN189=1,Settings!$C$8,IF($AM189=1,Settings!$C$6,Settings!$C$7))*100)</f>
        <v/>
      </c>
      <c r="AF189" s="7" t="n"/>
      <c r="AI189" s="11" t="n"/>
      <c r="AK189">
        <f>IF($D189="","",IF(COUNTIF($D$2:$D189,$D189)=1,1,0))</f>
        <v/>
      </c>
      <c r="AL189">
        <f>IF($AK189=1,SUMPRODUCT(--($AO$2:$AO$1601&lt;$AO189))+1,"")</f>
        <v/>
      </c>
      <c r="AM189">
        <f>IF($D189="","",IF(OR($R189=TRUE(),$R189="TRUE"),1,0))</f>
        <v/>
      </c>
      <c r="AN189">
        <f>IF($D189="","",IF($AA189="Yes",1,0))</f>
        <v/>
      </c>
      <c r="AO189">
        <f>IF($AK189=1,IFERROR(IF(VALUE($D189)&lt;100000000,VALUE($D189),1000000000),IFERROR(IF(VALUE(MID($D189,2,20))&lt;100000000,VALUE(MID($D189,2,20)),1000000000),1000000000))+ROW()/100000,"")</f>
        <v/>
      </c>
    </row>
    <row r="190">
      <c r="F190" s="11" t="n"/>
      <c r="N190" s="7">
        <f>IF($D190="","",M190*X190/100)</f>
        <v/>
      </c>
      <c r="O190" s="7" t="n"/>
      <c r="U190" s="7" t="n"/>
      <c r="V190" s="7" t="n"/>
      <c r="W190" s="7">
        <f>IF($D190="","",V190*AB190/100)</f>
        <v/>
      </c>
      <c r="X190" s="7">
        <f>IF($D190="","",V190-W190)</f>
        <v/>
      </c>
      <c r="Y190" s="7">
        <f>IF($D190="","",X190-N190)</f>
        <v/>
      </c>
      <c r="AB190">
        <f>IF($D190="","",IF($AN190=1,Settings!$C$8,IF($AM190=1,Settings!$C$6,Settings!$C$7))*100)</f>
        <v/>
      </c>
      <c r="AF190" s="7" t="n"/>
      <c r="AI190" s="11" t="n"/>
      <c r="AK190">
        <f>IF($D190="","",IF(COUNTIF($D$2:$D190,$D190)=1,1,0))</f>
        <v/>
      </c>
      <c r="AL190">
        <f>IF($AK190=1,SUMPRODUCT(--($AO$2:$AO$1601&lt;$AO190))+1,"")</f>
        <v/>
      </c>
      <c r="AM190">
        <f>IF($D190="","",IF(OR($R190=TRUE(),$R190="TRUE"),1,0))</f>
        <v/>
      </c>
      <c r="AN190">
        <f>IF($D190="","",IF($AA190="Yes",1,0))</f>
        <v/>
      </c>
      <c r="AO190">
        <f>IF($AK190=1,IFERROR(IF(VALUE($D190)&lt;100000000,VALUE($D190),1000000000),IFERROR(IF(VALUE(MID($D190,2,20))&lt;100000000,VALUE(MID($D190,2,20)),1000000000),1000000000))+ROW()/100000,"")</f>
        <v/>
      </c>
    </row>
    <row r="191">
      <c r="F191" s="11" t="n"/>
      <c r="N191" s="7">
        <f>IF($D191="","",M191*X191/100)</f>
        <v/>
      </c>
      <c r="O191" s="7" t="n"/>
      <c r="U191" s="7" t="n"/>
      <c r="V191" s="7" t="n"/>
      <c r="W191" s="7">
        <f>IF($D191="","",V191*AB191/100)</f>
        <v/>
      </c>
      <c r="X191" s="7">
        <f>IF($D191="","",V191-W191)</f>
        <v/>
      </c>
      <c r="Y191" s="7">
        <f>IF($D191="","",X191-N191)</f>
        <v/>
      </c>
      <c r="AB191">
        <f>IF($D191="","",IF($AN191=1,Settings!$C$8,IF($AM191=1,Settings!$C$6,Settings!$C$7))*100)</f>
        <v/>
      </c>
      <c r="AF191" s="7" t="n"/>
      <c r="AI191" s="11" t="n"/>
      <c r="AK191">
        <f>IF($D191="","",IF(COUNTIF($D$2:$D191,$D191)=1,1,0))</f>
        <v/>
      </c>
      <c r="AL191">
        <f>IF($AK191=1,SUMPRODUCT(--($AO$2:$AO$1601&lt;$AO191))+1,"")</f>
        <v/>
      </c>
      <c r="AM191">
        <f>IF($D191="","",IF(OR($R191=TRUE(),$R191="TRUE"),1,0))</f>
        <v/>
      </c>
      <c r="AN191">
        <f>IF($D191="","",IF($AA191="Yes",1,0))</f>
        <v/>
      </c>
      <c r="AO191">
        <f>IF($AK191=1,IFERROR(IF(VALUE($D191)&lt;100000000,VALUE($D191),1000000000),IFERROR(IF(VALUE(MID($D191,2,20))&lt;100000000,VALUE(MID($D191,2,20)),1000000000),1000000000))+ROW()/100000,"")</f>
        <v/>
      </c>
    </row>
    <row r="192">
      <c r="F192" s="11" t="n"/>
      <c r="N192" s="7">
        <f>IF($D192="","",M192*X192/100)</f>
        <v/>
      </c>
      <c r="O192" s="7" t="n"/>
      <c r="U192" s="7" t="n"/>
      <c r="V192" s="7" t="n"/>
      <c r="W192" s="7">
        <f>IF($D192="","",V192*AB192/100)</f>
        <v/>
      </c>
      <c r="X192" s="7">
        <f>IF($D192="","",V192-W192)</f>
        <v/>
      </c>
      <c r="Y192" s="7">
        <f>IF($D192="","",X192-N192)</f>
        <v/>
      </c>
      <c r="AB192">
        <f>IF($D192="","",IF($AN192=1,Settings!$C$8,IF($AM192=1,Settings!$C$6,Settings!$C$7))*100)</f>
        <v/>
      </c>
      <c r="AF192" s="7" t="n"/>
      <c r="AI192" s="11" t="n"/>
      <c r="AK192">
        <f>IF($D192="","",IF(COUNTIF($D$2:$D192,$D192)=1,1,0))</f>
        <v/>
      </c>
      <c r="AL192">
        <f>IF($AK192=1,SUMPRODUCT(--($AO$2:$AO$1601&lt;$AO192))+1,"")</f>
        <v/>
      </c>
      <c r="AM192">
        <f>IF($D192="","",IF(OR($R192=TRUE(),$R192="TRUE"),1,0))</f>
        <v/>
      </c>
      <c r="AN192">
        <f>IF($D192="","",IF($AA192="Yes",1,0))</f>
        <v/>
      </c>
      <c r="AO192">
        <f>IF($AK192=1,IFERROR(IF(VALUE($D192)&lt;100000000,VALUE($D192),1000000000),IFERROR(IF(VALUE(MID($D192,2,20))&lt;100000000,VALUE(MID($D192,2,20)),1000000000),1000000000))+ROW()/100000,"")</f>
        <v/>
      </c>
    </row>
    <row r="193">
      <c r="F193" s="11" t="n"/>
      <c r="N193" s="7">
        <f>IF($D193="","",M193*X193/100)</f>
        <v/>
      </c>
      <c r="O193" s="7" t="n"/>
      <c r="U193" s="7" t="n"/>
      <c r="V193" s="7" t="n"/>
      <c r="W193" s="7">
        <f>IF($D193="","",V193*AB193/100)</f>
        <v/>
      </c>
      <c r="X193" s="7">
        <f>IF($D193="","",V193-W193)</f>
        <v/>
      </c>
      <c r="Y193" s="7">
        <f>IF($D193="","",X193-N193)</f>
        <v/>
      </c>
      <c r="AB193">
        <f>IF($D193="","",IF($AN193=1,Settings!$C$8,IF($AM193=1,Settings!$C$6,Settings!$C$7))*100)</f>
        <v/>
      </c>
      <c r="AF193" s="7" t="n"/>
      <c r="AI193" s="11" t="n"/>
      <c r="AK193">
        <f>IF($D193="","",IF(COUNTIF($D$2:$D193,$D193)=1,1,0))</f>
        <v/>
      </c>
      <c r="AL193">
        <f>IF($AK193=1,SUMPRODUCT(--($AO$2:$AO$1601&lt;$AO193))+1,"")</f>
        <v/>
      </c>
      <c r="AM193">
        <f>IF($D193="","",IF(OR($R193=TRUE(),$R193="TRUE"),1,0))</f>
        <v/>
      </c>
      <c r="AN193">
        <f>IF($D193="","",IF($AA193="Yes",1,0))</f>
        <v/>
      </c>
      <c r="AO193">
        <f>IF($AK193=1,IFERROR(IF(VALUE($D193)&lt;100000000,VALUE($D193),1000000000),IFERROR(IF(VALUE(MID($D193,2,20))&lt;100000000,VALUE(MID($D193,2,20)),1000000000),1000000000))+ROW()/100000,"")</f>
        <v/>
      </c>
    </row>
    <row r="194">
      <c r="F194" s="11" t="n"/>
      <c r="N194" s="7">
        <f>IF($D194="","",M194*X194/100)</f>
        <v/>
      </c>
      <c r="O194" s="7" t="n"/>
      <c r="U194" s="7" t="n"/>
      <c r="V194" s="7" t="n"/>
      <c r="W194" s="7">
        <f>IF($D194="","",V194*AB194/100)</f>
        <v/>
      </c>
      <c r="X194" s="7">
        <f>IF($D194="","",V194-W194)</f>
        <v/>
      </c>
      <c r="Y194" s="7">
        <f>IF($D194="","",X194-N194)</f>
        <v/>
      </c>
      <c r="AB194">
        <f>IF($D194="","",IF($AN194=1,Settings!$C$8,IF($AM194=1,Settings!$C$6,Settings!$C$7))*100)</f>
        <v/>
      </c>
      <c r="AF194" s="7" t="n"/>
      <c r="AI194" s="11" t="n"/>
      <c r="AK194">
        <f>IF($D194="","",IF(COUNTIF($D$2:$D194,$D194)=1,1,0))</f>
        <v/>
      </c>
      <c r="AL194">
        <f>IF($AK194=1,SUMPRODUCT(--($AO$2:$AO$1601&lt;$AO194))+1,"")</f>
        <v/>
      </c>
      <c r="AM194">
        <f>IF($D194="","",IF(OR($R194=TRUE(),$R194="TRUE"),1,0))</f>
        <v/>
      </c>
      <c r="AN194">
        <f>IF($D194="","",IF($AA194="Yes",1,0))</f>
        <v/>
      </c>
      <c r="AO194">
        <f>IF($AK194=1,IFERROR(IF(VALUE($D194)&lt;100000000,VALUE($D194),1000000000),IFERROR(IF(VALUE(MID($D194,2,20))&lt;100000000,VALUE(MID($D194,2,20)),1000000000),1000000000))+ROW()/100000,"")</f>
        <v/>
      </c>
    </row>
    <row r="195">
      <c r="F195" s="11" t="n"/>
      <c r="N195" s="7">
        <f>IF($D195="","",M195*X195/100)</f>
        <v/>
      </c>
      <c r="O195" s="7" t="n"/>
      <c r="U195" s="7" t="n"/>
      <c r="V195" s="7" t="n"/>
      <c r="W195" s="7">
        <f>IF($D195="","",V195*AB195/100)</f>
        <v/>
      </c>
      <c r="X195" s="7">
        <f>IF($D195="","",V195-W195)</f>
        <v/>
      </c>
      <c r="Y195" s="7">
        <f>IF($D195="","",X195-N195)</f>
        <v/>
      </c>
      <c r="AB195">
        <f>IF($D195="","",IF($AN195=1,Settings!$C$8,IF($AM195=1,Settings!$C$6,Settings!$C$7))*100)</f>
        <v/>
      </c>
      <c r="AF195" s="7" t="n"/>
      <c r="AI195" s="11" t="n"/>
      <c r="AK195">
        <f>IF($D195="","",IF(COUNTIF($D$2:$D195,$D195)=1,1,0))</f>
        <v/>
      </c>
      <c r="AL195">
        <f>IF($AK195=1,SUMPRODUCT(--($AO$2:$AO$1601&lt;$AO195))+1,"")</f>
        <v/>
      </c>
      <c r="AM195">
        <f>IF($D195="","",IF(OR($R195=TRUE(),$R195="TRUE"),1,0))</f>
        <v/>
      </c>
      <c r="AN195">
        <f>IF($D195="","",IF($AA195="Yes",1,0))</f>
        <v/>
      </c>
      <c r="AO195">
        <f>IF($AK195=1,IFERROR(IF(VALUE($D195)&lt;100000000,VALUE($D195),1000000000),IFERROR(IF(VALUE(MID($D195,2,20))&lt;100000000,VALUE(MID($D195,2,20)),1000000000),1000000000))+ROW()/100000,"")</f>
        <v/>
      </c>
    </row>
    <row r="196">
      <c r="F196" s="11" t="n"/>
      <c r="N196" s="7">
        <f>IF($D196="","",M196*X196/100)</f>
        <v/>
      </c>
      <c r="O196" s="7" t="n"/>
      <c r="U196" s="7" t="n"/>
      <c r="V196" s="7" t="n"/>
      <c r="W196" s="7">
        <f>IF($D196="","",V196*AB196/100)</f>
        <v/>
      </c>
      <c r="X196" s="7">
        <f>IF($D196="","",V196-W196)</f>
        <v/>
      </c>
      <c r="Y196" s="7">
        <f>IF($D196="","",X196-N196)</f>
        <v/>
      </c>
      <c r="AB196">
        <f>IF($D196="","",IF($AN196=1,Settings!$C$8,IF($AM196=1,Settings!$C$6,Settings!$C$7))*100)</f>
        <v/>
      </c>
      <c r="AF196" s="7" t="n"/>
      <c r="AI196" s="11" t="n"/>
      <c r="AK196">
        <f>IF($D196="","",IF(COUNTIF($D$2:$D196,$D196)=1,1,0))</f>
        <v/>
      </c>
      <c r="AL196">
        <f>IF($AK196=1,SUMPRODUCT(--($AO$2:$AO$1601&lt;$AO196))+1,"")</f>
        <v/>
      </c>
      <c r="AM196">
        <f>IF($D196="","",IF(OR($R196=TRUE(),$R196="TRUE"),1,0))</f>
        <v/>
      </c>
      <c r="AN196">
        <f>IF($D196="","",IF($AA196="Yes",1,0))</f>
        <v/>
      </c>
      <c r="AO196">
        <f>IF($AK196=1,IFERROR(IF(VALUE($D196)&lt;100000000,VALUE($D196),1000000000),IFERROR(IF(VALUE(MID($D196,2,20))&lt;100000000,VALUE(MID($D196,2,20)),1000000000),1000000000))+ROW()/100000,"")</f>
        <v/>
      </c>
    </row>
    <row r="197">
      <c r="F197" s="11" t="n"/>
      <c r="N197" s="7">
        <f>IF($D197="","",M197*X197/100)</f>
        <v/>
      </c>
      <c r="O197" s="7" t="n"/>
      <c r="U197" s="7" t="n"/>
      <c r="V197" s="7" t="n"/>
      <c r="W197" s="7">
        <f>IF($D197="","",V197*AB197/100)</f>
        <v/>
      </c>
      <c r="X197" s="7">
        <f>IF($D197="","",V197-W197)</f>
        <v/>
      </c>
      <c r="Y197" s="7">
        <f>IF($D197="","",X197-N197)</f>
        <v/>
      </c>
      <c r="AB197">
        <f>IF($D197="","",IF($AN197=1,Settings!$C$8,IF($AM197=1,Settings!$C$6,Settings!$C$7))*100)</f>
        <v/>
      </c>
      <c r="AF197" s="7" t="n"/>
      <c r="AI197" s="11" t="n"/>
      <c r="AK197">
        <f>IF($D197="","",IF(COUNTIF($D$2:$D197,$D197)=1,1,0))</f>
        <v/>
      </c>
      <c r="AL197">
        <f>IF($AK197=1,SUMPRODUCT(--($AO$2:$AO$1601&lt;$AO197))+1,"")</f>
        <v/>
      </c>
      <c r="AM197">
        <f>IF($D197="","",IF(OR($R197=TRUE(),$R197="TRUE"),1,0))</f>
        <v/>
      </c>
      <c r="AN197">
        <f>IF($D197="","",IF($AA197="Yes",1,0))</f>
        <v/>
      </c>
      <c r="AO197">
        <f>IF($AK197=1,IFERROR(IF(VALUE($D197)&lt;100000000,VALUE($D197),1000000000),IFERROR(IF(VALUE(MID($D197,2,20))&lt;100000000,VALUE(MID($D197,2,20)),1000000000),1000000000))+ROW()/100000,"")</f>
        <v/>
      </c>
    </row>
    <row r="198">
      <c r="F198" s="11" t="n"/>
      <c r="N198" s="7">
        <f>IF($D198="","",M198*X198/100)</f>
        <v/>
      </c>
      <c r="O198" s="7" t="n"/>
      <c r="U198" s="7" t="n"/>
      <c r="V198" s="7" t="n"/>
      <c r="W198" s="7">
        <f>IF($D198="","",V198*AB198/100)</f>
        <v/>
      </c>
      <c r="X198" s="7">
        <f>IF($D198="","",V198-W198)</f>
        <v/>
      </c>
      <c r="Y198" s="7">
        <f>IF($D198="","",X198-N198)</f>
        <v/>
      </c>
      <c r="AB198">
        <f>IF($D198="","",IF($AN198=1,Settings!$C$8,IF($AM198=1,Settings!$C$6,Settings!$C$7))*100)</f>
        <v/>
      </c>
      <c r="AF198" s="7" t="n"/>
      <c r="AI198" s="11" t="n"/>
      <c r="AK198">
        <f>IF($D198="","",IF(COUNTIF($D$2:$D198,$D198)=1,1,0))</f>
        <v/>
      </c>
      <c r="AL198">
        <f>IF($AK198=1,SUMPRODUCT(--($AO$2:$AO$1601&lt;$AO198))+1,"")</f>
        <v/>
      </c>
      <c r="AM198">
        <f>IF($D198="","",IF(OR($R198=TRUE(),$R198="TRUE"),1,0))</f>
        <v/>
      </c>
      <c r="AN198">
        <f>IF($D198="","",IF($AA198="Yes",1,0))</f>
        <v/>
      </c>
      <c r="AO198">
        <f>IF($AK198=1,IFERROR(IF(VALUE($D198)&lt;100000000,VALUE($D198),1000000000),IFERROR(IF(VALUE(MID($D198,2,20))&lt;100000000,VALUE(MID($D198,2,20)),1000000000),1000000000))+ROW()/100000,"")</f>
        <v/>
      </c>
    </row>
    <row r="199">
      <c r="F199" s="11" t="n"/>
      <c r="N199" s="7">
        <f>IF($D199="","",M199*X199/100)</f>
        <v/>
      </c>
      <c r="O199" s="7" t="n"/>
      <c r="U199" s="7" t="n"/>
      <c r="V199" s="7" t="n"/>
      <c r="W199" s="7">
        <f>IF($D199="","",V199*AB199/100)</f>
        <v/>
      </c>
      <c r="X199" s="7">
        <f>IF($D199="","",V199-W199)</f>
        <v/>
      </c>
      <c r="Y199" s="7">
        <f>IF($D199="","",X199-N199)</f>
        <v/>
      </c>
      <c r="AB199">
        <f>IF($D199="","",IF($AN199=1,Settings!$C$8,IF($AM199=1,Settings!$C$6,Settings!$C$7))*100)</f>
        <v/>
      </c>
      <c r="AF199" s="7" t="n"/>
      <c r="AI199" s="11" t="n"/>
      <c r="AK199">
        <f>IF($D199="","",IF(COUNTIF($D$2:$D199,$D199)=1,1,0))</f>
        <v/>
      </c>
      <c r="AL199">
        <f>IF($AK199=1,SUMPRODUCT(--($AO$2:$AO$1601&lt;$AO199))+1,"")</f>
        <v/>
      </c>
      <c r="AM199">
        <f>IF($D199="","",IF(OR($R199=TRUE(),$R199="TRUE"),1,0))</f>
        <v/>
      </c>
      <c r="AN199">
        <f>IF($D199="","",IF($AA199="Yes",1,0))</f>
        <v/>
      </c>
      <c r="AO199">
        <f>IF($AK199=1,IFERROR(IF(VALUE($D199)&lt;100000000,VALUE($D199),1000000000),IFERROR(IF(VALUE(MID($D199,2,20))&lt;100000000,VALUE(MID($D199,2,20)),1000000000),1000000000))+ROW()/100000,"")</f>
        <v/>
      </c>
    </row>
    <row r="200">
      <c r="F200" s="11" t="n"/>
      <c r="N200" s="7">
        <f>IF($D200="","",M200*X200/100)</f>
        <v/>
      </c>
      <c r="O200" s="7" t="n"/>
      <c r="U200" s="7" t="n"/>
      <c r="V200" s="7" t="n"/>
      <c r="W200" s="7">
        <f>IF($D200="","",V200*AB200/100)</f>
        <v/>
      </c>
      <c r="X200" s="7">
        <f>IF($D200="","",V200-W200)</f>
        <v/>
      </c>
      <c r="Y200" s="7">
        <f>IF($D200="","",X200-N200)</f>
        <v/>
      </c>
      <c r="AB200">
        <f>IF($D200="","",IF($AN200=1,Settings!$C$8,IF($AM200=1,Settings!$C$6,Settings!$C$7))*100)</f>
        <v/>
      </c>
      <c r="AF200" s="7" t="n"/>
      <c r="AI200" s="11" t="n"/>
      <c r="AK200">
        <f>IF($D200="","",IF(COUNTIF($D$2:$D200,$D200)=1,1,0))</f>
        <v/>
      </c>
      <c r="AL200">
        <f>IF($AK200=1,SUMPRODUCT(--($AO$2:$AO$1601&lt;$AO200))+1,"")</f>
        <v/>
      </c>
      <c r="AM200">
        <f>IF($D200="","",IF(OR($R200=TRUE(),$R200="TRUE"),1,0))</f>
        <v/>
      </c>
      <c r="AN200">
        <f>IF($D200="","",IF($AA200="Yes",1,0))</f>
        <v/>
      </c>
      <c r="AO200">
        <f>IF($AK200=1,IFERROR(IF(VALUE($D200)&lt;100000000,VALUE($D200),1000000000),IFERROR(IF(VALUE(MID($D200,2,20))&lt;100000000,VALUE(MID($D200,2,20)),1000000000),1000000000))+ROW()/100000,"")</f>
        <v/>
      </c>
    </row>
    <row r="201">
      <c r="F201" s="11" t="n"/>
      <c r="N201" s="7">
        <f>IF($D201="","",M201*X201/100)</f>
        <v/>
      </c>
      <c r="O201" s="7" t="n"/>
      <c r="U201" s="7" t="n"/>
      <c r="V201" s="7" t="n"/>
      <c r="W201" s="7">
        <f>IF($D201="","",V201*AB201/100)</f>
        <v/>
      </c>
      <c r="X201" s="7">
        <f>IF($D201="","",V201-W201)</f>
        <v/>
      </c>
      <c r="Y201" s="7">
        <f>IF($D201="","",X201-N201)</f>
        <v/>
      </c>
      <c r="AB201">
        <f>IF($D201="","",IF($AN201=1,Settings!$C$8,IF($AM201=1,Settings!$C$6,Settings!$C$7))*100)</f>
        <v/>
      </c>
      <c r="AF201" s="7" t="n"/>
      <c r="AI201" s="11" t="n"/>
      <c r="AK201">
        <f>IF($D201="","",IF(COUNTIF($D$2:$D201,$D201)=1,1,0))</f>
        <v/>
      </c>
      <c r="AL201">
        <f>IF($AK201=1,SUMPRODUCT(--($AO$2:$AO$1601&lt;$AO201))+1,"")</f>
        <v/>
      </c>
      <c r="AM201">
        <f>IF($D201="","",IF(OR($R201=TRUE(),$R201="TRUE"),1,0))</f>
        <v/>
      </c>
      <c r="AN201">
        <f>IF($D201="","",IF($AA201="Yes",1,0))</f>
        <v/>
      </c>
      <c r="AO201">
        <f>IF($AK201=1,IFERROR(IF(VALUE($D201)&lt;100000000,VALUE($D201),1000000000),IFERROR(IF(VALUE(MID($D201,2,20))&lt;100000000,VALUE(MID($D201,2,20)),1000000000),1000000000))+ROW()/100000,"")</f>
        <v/>
      </c>
    </row>
    <row r="202">
      <c r="F202" s="11" t="n"/>
      <c r="N202" s="7">
        <f>IF($D202="","",M202*X202/100)</f>
        <v/>
      </c>
      <c r="O202" s="7" t="n"/>
      <c r="U202" s="7" t="n"/>
      <c r="V202" s="7" t="n"/>
      <c r="W202" s="7">
        <f>IF($D202="","",V202*AB202/100)</f>
        <v/>
      </c>
      <c r="X202" s="7">
        <f>IF($D202="","",V202-W202)</f>
        <v/>
      </c>
      <c r="Y202" s="7">
        <f>IF($D202="","",X202-N202)</f>
        <v/>
      </c>
      <c r="AB202">
        <f>IF($D202="","",IF($AN202=1,Settings!$C$8,IF($AM202=1,Settings!$C$6,Settings!$C$7))*100)</f>
        <v/>
      </c>
      <c r="AF202" s="7" t="n"/>
      <c r="AI202" s="11" t="n"/>
      <c r="AK202">
        <f>IF($D202="","",IF(COUNTIF($D$2:$D202,$D202)=1,1,0))</f>
        <v/>
      </c>
      <c r="AL202">
        <f>IF($AK202=1,SUMPRODUCT(--($AO$2:$AO$1601&lt;$AO202))+1,"")</f>
        <v/>
      </c>
      <c r="AM202">
        <f>IF($D202="","",IF(OR($R202=TRUE(),$R202="TRUE"),1,0))</f>
        <v/>
      </c>
      <c r="AN202">
        <f>IF($D202="","",IF($AA202="Yes",1,0))</f>
        <v/>
      </c>
      <c r="AO202">
        <f>IF($AK202=1,IFERROR(IF(VALUE($D202)&lt;100000000,VALUE($D202),1000000000),IFERROR(IF(VALUE(MID($D202,2,20))&lt;100000000,VALUE(MID($D202,2,20)),1000000000),1000000000))+ROW()/100000,"")</f>
        <v/>
      </c>
    </row>
    <row r="203">
      <c r="F203" s="11" t="n"/>
      <c r="N203" s="7">
        <f>IF($D203="","",M203*X203/100)</f>
        <v/>
      </c>
      <c r="O203" s="7" t="n"/>
      <c r="U203" s="7" t="n"/>
      <c r="V203" s="7" t="n"/>
      <c r="W203" s="7">
        <f>IF($D203="","",V203*AB203/100)</f>
        <v/>
      </c>
      <c r="X203" s="7">
        <f>IF($D203="","",V203-W203)</f>
        <v/>
      </c>
      <c r="Y203" s="7">
        <f>IF($D203="","",X203-N203)</f>
        <v/>
      </c>
      <c r="AB203">
        <f>IF($D203="","",IF($AN203=1,Settings!$C$8,IF($AM203=1,Settings!$C$6,Settings!$C$7))*100)</f>
        <v/>
      </c>
      <c r="AF203" s="7" t="n"/>
      <c r="AI203" s="11" t="n"/>
      <c r="AK203">
        <f>IF($D203="","",IF(COUNTIF($D$2:$D203,$D203)=1,1,0))</f>
        <v/>
      </c>
      <c r="AL203">
        <f>IF($AK203=1,SUMPRODUCT(--($AO$2:$AO$1601&lt;$AO203))+1,"")</f>
        <v/>
      </c>
      <c r="AM203">
        <f>IF($D203="","",IF(OR($R203=TRUE(),$R203="TRUE"),1,0))</f>
        <v/>
      </c>
      <c r="AN203">
        <f>IF($D203="","",IF($AA203="Yes",1,0))</f>
        <v/>
      </c>
      <c r="AO203">
        <f>IF($AK203=1,IFERROR(IF(VALUE($D203)&lt;100000000,VALUE($D203),1000000000),IFERROR(IF(VALUE(MID($D203,2,20))&lt;100000000,VALUE(MID($D203,2,20)),1000000000),1000000000))+ROW()/100000,"")</f>
        <v/>
      </c>
    </row>
    <row r="204">
      <c r="F204" s="11" t="n"/>
      <c r="N204" s="7">
        <f>IF($D204="","",M204*X204/100)</f>
        <v/>
      </c>
      <c r="O204" s="7" t="n"/>
      <c r="U204" s="7" t="n"/>
      <c r="V204" s="7" t="n"/>
      <c r="W204" s="7">
        <f>IF($D204="","",V204*AB204/100)</f>
        <v/>
      </c>
      <c r="X204" s="7">
        <f>IF($D204="","",V204-W204)</f>
        <v/>
      </c>
      <c r="Y204" s="7">
        <f>IF($D204="","",X204-N204)</f>
        <v/>
      </c>
      <c r="AB204">
        <f>IF($D204="","",IF($AN204=1,Settings!$C$8,IF($AM204=1,Settings!$C$6,Settings!$C$7))*100)</f>
        <v/>
      </c>
      <c r="AF204" s="7" t="n"/>
      <c r="AI204" s="11" t="n"/>
      <c r="AK204">
        <f>IF($D204="","",IF(COUNTIF($D$2:$D204,$D204)=1,1,0))</f>
        <v/>
      </c>
      <c r="AL204">
        <f>IF($AK204=1,SUMPRODUCT(--($AO$2:$AO$1601&lt;$AO204))+1,"")</f>
        <v/>
      </c>
      <c r="AM204">
        <f>IF($D204="","",IF(OR($R204=TRUE(),$R204="TRUE"),1,0))</f>
        <v/>
      </c>
      <c r="AN204">
        <f>IF($D204="","",IF($AA204="Yes",1,0))</f>
        <v/>
      </c>
      <c r="AO204">
        <f>IF($AK204=1,IFERROR(IF(VALUE($D204)&lt;100000000,VALUE($D204),1000000000),IFERROR(IF(VALUE(MID($D204,2,20))&lt;100000000,VALUE(MID($D204,2,20)),1000000000),1000000000))+ROW()/100000,"")</f>
        <v/>
      </c>
    </row>
    <row r="205">
      <c r="F205" s="11" t="n"/>
      <c r="N205" s="7">
        <f>IF($D205="","",M205*X205/100)</f>
        <v/>
      </c>
      <c r="O205" s="7" t="n"/>
      <c r="U205" s="7" t="n"/>
      <c r="V205" s="7" t="n"/>
      <c r="W205" s="7">
        <f>IF($D205="","",V205*AB205/100)</f>
        <v/>
      </c>
      <c r="X205" s="7">
        <f>IF($D205="","",V205-W205)</f>
        <v/>
      </c>
      <c r="Y205" s="7">
        <f>IF($D205="","",X205-N205)</f>
        <v/>
      </c>
      <c r="AB205">
        <f>IF($D205="","",IF($AN205=1,Settings!$C$8,IF($AM205=1,Settings!$C$6,Settings!$C$7))*100)</f>
        <v/>
      </c>
      <c r="AF205" s="7" t="n"/>
      <c r="AI205" s="11" t="n"/>
      <c r="AK205">
        <f>IF($D205="","",IF(COUNTIF($D$2:$D205,$D205)=1,1,0))</f>
        <v/>
      </c>
      <c r="AL205">
        <f>IF($AK205=1,SUMPRODUCT(--($AO$2:$AO$1601&lt;$AO205))+1,"")</f>
        <v/>
      </c>
      <c r="AM205">
        <f>IF($D205="","",IF(OR($R205=TRUE(),$R205="TRUE"),1,0))</f>
        <v/>
      </c>
      <c r="AN205">
        <f>IF($D205="","",IF($AA205="Yes",1,0))</f>
        <v/>
      </c>
      <c r="AO205">
        <f>IF($AK205=1,IFERROR(IF(VALUE($D205)&lt;100000000,VALUE($D205),1000000000),IFERROR(IF(VALUE(MID($D205,2,20))&lt;100000000,VALUE(MID($D205,2,20)),1000000000),1000000000))+ROW()/100000,"")</f>
        <v/>
      </c>
    </row>
    <row r="206">
      <c r="F206" s="11" t="n"/>
      <c r="N206" s="7">
        <f>IF($D206="","",M206*X206/100)</f>
        <v/>
      </c>
      <c r="O206" s="7" t="n"/>
      <c r="U206" s="7" t="n"/>
      <c r="V206" s="7" t="n"/>
      <c r="W206" s="7">
        <f>IF($D206="","",V206*AB206/100)</f>
        <v/>
      </c>
      <c r="X206" s="7">
        <f>IF($D206="","",V206-W206)</f>
        <v/>
      </c>
      <c r="Y206" s="7">
        <f>IF($D206="","",X206-N206)</f>
        <v/>
      </c>
      <c r="AB206">
        <f>IF($D206="","",IF($AN206=1,Settings!$C$8,IF($AM206=1,Settings!$C$6,Settings!$C$7))*100)</f>
        <v/>
      </c>
      <c r="AF206" s="7" t="n"/>
      <c r="AI206" s="11" t="n"/>
      <c r="AK206">
        <f>IF($D206="","",IF(COUNTIF($D$2:$D206,$D206)=1,1,0))</f>
        <v/>
      </c>
      <c r="AL206">
        <f>IF($AK206=1,SUMPRODUCT(--($AO$2:$AO$1601&lt;$AO206))+1,"")</f>
        <v/>
      </c>
      <c r="AM206">
        <f>IF($D206="","",IF(OR($R206=TRUE(),$R206="TRUE"),1,0))</f>
        <v/>
      </c>
      <c r="AN206">
        <f>IF($D206="","",IF($AA206="Yes",1,0))</f>
        <v/>
      </c>
      <c r="AO206">
        <f>IF($AK206=1,IFERROR(IF(VALUE($D206)&lt;100000000,VALUE($D206),1000000000),IFERROR(IF(VALUE(MID($D206,2,20))&lt;100000000,VALUE(MID($D206,2,20)),1000000000),1000000000))+ROW()/100000,"")</f>
        <v/>
      </c>
    </row>
    <row r="207">
      <c r="F207" s="11" t="n"/>
      <c r="N207" s="7">
        <f>IF($D207="","",M207*X207/100)</f>
        <v/>
      </c>
      <c r="O207" s="7" t="n"/>
      <c r="U207" s="7" t="n"/>
      <c r="V207" s="7" t="n"/>
      <c r="W207" s="7">
        <f>IF($D207="","",V207*AB207/100)</f>
        <v/>
      </c>
      <c r="X207" s="7">
        <f>IF($D207="","",V207-W207)</f>
        <v/>
      </c>
      <c r="Y207" s="7">
        <f>IF($D207="","",X207-N207)</f>
        <v/>
      </c>
      <c r="AB207">
        <f>IF($D207="","",IF($AN207=1,Settings!$C$8,IF($AM207=1,Settings!$C$6,Settings!$C$7))*100)</f>
        <v/>
      </c>
      <c r="AF207" s="7" t="n"/>
      <c r="AI207" s="11" t="n"/>
      <c r="AK207">
        <f>IF($D207="","",IF(COUNTIF($D$2:$D207,$D207)=1,1,0))</f>
        <v/>
      </c>
      <c r="AL207">
        <f>IF($AK207=1,SUMPRODUCT(--($AO$2:$AO$1601&lt;$AO207))+1,"")</f>
        <v/>
      </c>
      <c r="AM207">
        <f>IF($D207="","",IF(OR($R207=TRUE(),$R207="TRUE"),1,0))</f>
        <v/>
      </c>
      <c r="AN207">
        <f>IF($D207="","",IF($AA207="Yes",1,0))</f>
        <v/>
      </c>
      <c r="AO207">
        <f>IF($AK207=1,IFERROR(IF(VALUE($D207)&lt;100000000,VALUE($D207),1000000000),IFERROR(IF(VALUE(MID($D207,2,20))&lt;100000000,VALUE(MID($D207,2,20)),1000000000),1000000000))+ROW()/100000,"")</f>
        <v/>
      </c>
    </row>
    <row r="208">
      <c r="F208" s="11" t="n"/>
      <c r="N208" s="7">
        <f>IF($D208="","",M208*X208/100)</f>
        <v/>
      </c>
      <c r="O208" s="7" t="n"/>
      <c r="U208" s="7" t="n"/>
      <c r="V208" s="7" t="n"/>
      <c r="W208" s="7">
        <f>IF($D208="","",V208*AB208/100)</f>
        <v/>
      </c>
      <c r="X208" s="7">
        <f>IF($D208="","",V208-W208)</f>
        <v/>
      </c>
      <c r="Y208" s="7">
        <f>IF($D208="","",X208-N208)</f>
        <v/>
      </c>
      <c r="AB208">
        <f>IF($D208="","",IF($AN208=1,Settings!$C$8,IF($AM208=1,Settings!$C$6,Settings!$C$7))*100)</f>
        <v/>
      </c>
      <c r="AF208" s="7" t="n"/>
      <c r="AI208" s="11" t="n"/>
      <c r="AK208">
        <f>IF($D208="","",IF(COUNTIF($D$2:$D208,$D208)=1,1,0))</f>
        <v/>
      </c>
      <c r="AL208">
        <f>IF($AK208=1,SUMPRODUCT(--($AO$2:$AO$1601&lt;$AO208))+1,"")</f>
        <v/>
      </c>
      <c r="AM208">
        <f>IF($D208="","",IF(OR($R208=TRUE(),$R208="TRUE"),1,0))</f>
        <v/>
      </c>
      <c r="AN208">
        <f>IF($D208="","",IF($AA208="Yes",1,0))</f>
        <v/>
      </c>
      <c r="AO208">
        <f>IF($AK208=1,IFERROR(IF(VALUE($D208)&lt;100000000,VALUE($D208),1000000000),IFERROR(IF(VALUE(MID($D208,2,20))&lt;100000000,VALUE(MID($D208,2,20)),1000000000),1000000000))+ROW()/100000,"")</f>
        <v/>
      </c>
    </row>
    <row r="209">
      <c r="F209" s="11" t="n"/>
      <c r="N209" s="7">
        <f>IF($D209="","",M209*X209/100)</f>
        <v/>
      </c>
      <c r="O209" s="7" t="n"/>
      <c r="U209" s="7" t="n"/>
      <c r="V209" s="7" t="n"/>
      <c r="W209" s="7">
        <f>IF($D209="","",V209*AB209/100)</f>
        <v/>
      </c>
      <c r="X209" s="7">
        <f>IF($D209="","",V209-W209)</f>
        <v/>
      </c>
      <c r="Y209" s="7">
        <f>IF($D209="","",X209-N209)</f>
        <v/>
      </c>
      <c r="AB209">
        <f>IF($D209="","",IF($AN209=1,Settings!$C$8,IF($AM209=1,Settings!$C$6,Settings!$C$7))*100)</f>
        <v/>
      </c>
      <c r="AF209" s="7" t="n"/>
      <c r="AI209" s="11" t="n"/>
      <c r="AK209">
        <f>IF($D209="","",IF(COUNTIF($D$2:$D209,$D209)=1,1,0))</f>
        <v/>
      </c>
      <c r="AL209">
        <f>IF($AK209=1,SUMPRODUCT(--($AO$2:$AO$1601&lt;$AO209))+1,"")</f>
        <v/>
      </c>
      <c r="AM209">
        <f>IF($D209="","",IF(OR($R209=TRUE(),$R209="TRUE"),1,0))</f>
        <v/>
      </c>
      <c r="AN209">
        <f>IF($D209="","",IF($AA209="Yes",1,0))</f>
        <v/>
      </c>
      <c r="AO209">
        <f>IF($AK209=1,IFERROR(IF(VALUE($D209)&lt;100000000,VALUE($D209),1000000000),IFERROR(IF(VALUE(MID($D209,2,20))&lt;100000000,VALUE(MID($D209,2,20)),1000000000),1000000000))+ROW()/100000,"")</f>
        <v/>
      </c>
    </row>
    <row r="210">
      <c r="F210" s="11" t="n"/>
      <c r="N210" s="7">
        <f>IF($D210="","",M210*X210/100)</f>
        <v/>
      </c>
      <c r="O210" s="7" t="n"/>
      <c r="U210" s="7" t="n"/>
      <c r="V210" s="7" t="n"/>
      <c r="W210" s="7">
        <f>IF($D210="","",V210*AB210/100)</f>
        <v/>
      </c>
      <c r="X210" s="7">
        <f>IF($D210="","",V210-W210)</f>
        <v/>
      </c>
      <c r="Y210" s="7">
        <f>IF($D210="","",X210-N210)</f>
        <v/>
      </c>
      <c r="AB210">
        <f>IF($D210="","",IF($AN210=1,Settings!$C$8,IF($AM210=1,Settings!$C$6,Settings!$C$7))*100)</f>
        <v/>
      </c>
      <c r="AF210" s="7" t="n"/>
      <c r="AI210" s="11" t="n"/>
      <c r="AK210">
        <f>IF($D210="","",IF(COUNTIF($D$2:$D210,$D210)=1,1,0))</f>
        <v/>
      </c>
      <c r="AL210">
        <f>IF($AK210=1,SUMPRODUCT(--($AO$2:$AO$1601&lt;$AO210))+1,"")</f>
        <v/>
      </c>
      <c r="AM210">
        <f>IF($D210="","",IF(OR($R210=TRUE(),$R210="TRUE"),1,0))</f>
        <v/>
      </c>
      <c r="AN210">
        <f>IF($D210="","",IF($AA210="Yes",1,0))</f>
        <v/>
      </c>
      <c r="AO210">
        <f>IF($AK210=1,IFERROR(IF(VALUE($D210)&lt;100000000,VALUE($D210),1000000000),IFERROR(IF(VALUE(MID($D210,2,20))&lt;100000000,VALUE(MID($D210,2,20)),1000000000),1000000000))+ROW()/100000,"")</f>
        <v/>
      </c>
    </row>
    <row r="211">
      <c r="F211" s="11" t="n"/>
      <c r="N211" s="7">
        <f>IF($D211="","",M211*X211/100)</f>
        <v/>
      </c>
      <c r="O211" s="7" t="n"/>
      <c r="U211" s="7" t="n"/>
      <c r="V211" s="7" t="n"/>
      <c r="W211" s="7">
        <f>IF($D211="","",V211*AB211/100)</f>
        <v/>
      </c>
      <c r="X211" s="7">
        <f>IF($D211="","",V211-W211)</f>
        <v/>
      </c>
      <c r="Y211" s="7">
        <f>IF($D211="","",X211-N211)</f>
        <v/>
      </c>
      <c r="AB211">
        <f>IF($D211="","",IF($AN211=1,Settings!$C$8,IF($AM211=1,Settings!$C$6,Settings!$C$7))*100)</f>
        <v/>
      </c>
      <c r="AF211" s="7" t="n"/>
      <c r="AI211" s="11" t="n"/>
      <c r="AK211">
        <f>IF($D211="","",IF(COUNTIF($D$2:$D211,$D211)=1,1,0))</f>
        <v/>
      </c>
      <c r="AL211">
        <f>IF($AK211=1,SUMPRODUCT(--($AO$2:$AO$1601&lt;$AO211))+1,"")</f>
        <v/>
      </c>
      <c r="AM211">
        <f>IF($D211="","",IF(OR($R211=TRUE(),$R211="TRUE"),1,0))</f>
        <v/>
      </c>
      <c r="AN211">
        <f>IF($D211="","",IF($AA211="Yes",1,0))</f>
        <v/>
      </c>
      <c r="AO211">
        <f>IF($AK211=1,IFERROR(IF(VALUE($D211)&lt;100000000,VALUE($D211),1000000000),IFERROR(IF(VALUE(MID($D211,2,20))&lt;100000000,VALUE(MID($D211,2,20)),1000000000),1000000000))+ROW()/100000,"")</f>
        <v/>
      </c>
    </row>
    <row r="212">
      <c r="F212" s="11" t="n"/>
      <c r="N212" s="7">
        <f>IF($D212="","",M212*X212/100)</f>
        <v/>
      </c>
      <c r="O212" s="7" t="n"/>
      <c r="U212" s="7" t="n"/>
      <c r="V212" s="7" t="n"/>
      <c r="W212" s="7">
        <f>IF($D212="","",V212*AB212/100)</f>
        <v/>
      </c>
      <c r="X212" s="7">
        <f>IF($D212="","",V212-W212)</f>
        <v/>
      </c>
      <c r="Y212" s="7">
        <f>IF($D212="","",X212-N212)</f>
        <v/>
      </c>
      <c r="AB212">
        <f>IF($D212="","",IF($AN212=1,Settings!$C$8,IF($AM212=1,Settings!$C$6,Settings!$C$7))*100)</f>
        <v/>
      </c>
      <c r="AF212" s="7" t="n"/>
      <c r="AI212" s="11" t="n"/>
      <c r="AK212">
        <f>IF($D212="","",IF(COUNTIF($D$2:$D212,$D212)=1,1,0))</f>
        <v/>
      </c>
      <c r="AL212">
        <f>IF($AK212=1,SUMPRODUCT(--($AO$2:$AO$1601&lt;$AO212))+1,"")</f>
        <v/>
      </c>
      <c r="AM212">
        <f>IF($D212="","",IF(OR($R212=TRUE(),$R212="TRUE"),1,0))</f>
        <v/>
      </c>
      <c r="AN212">
        <f>IF($D212="","",IF($AA212="Yes",1,0))</f>
        <v/>
      </c>
      <c r="AO212">
        <f>IF($AK212=1,IFERROR(IF(VALUE($D212)&lt;100000000,VALUE($D212),1000000000),IFERROR(IF(VALUE(MID($D212,2,20))&lt;100000000,VALUE(MID($D212,2,20)),1000000000),1000000000))+ROW()/100000,"")</f>
        <v/>
      </c>
    </row>
    <row r="213">
      <c r="F213" s="11" t="n"/>
      <c r="N213" s="7">
        <f>IF($D213="","",M213*X213/100)</f>
        <v/>
      </c>
      <c r="O213" s="7" t="n"/>
      <c r="U213" s="7" t="n"/>
      <c r="V213" s="7" t="n"/>
      <c r="W213" s="7">
        <f>IF($D213="","",V213*AB213/100)</f>
        <v/>
      </c>
      <c r="X213" s="7">
        <f>IF($D213="","",V213-W213)</f>
        <v/>
      </c>
      <c r="Y213" s="7">
        <f>IF($D213="","",X213-N213)</f>
        <v/>
      </c>
      <c r="AB213">
        <f>IF($D213="","",IF($AN213=1,Settings!$C$8,IF($AM213=1,Settings!$C$6,Settings!$C$7))*100)</f>
        <v/>
      </c>
      <c r="AF213" s="7" t="n"/>
      <c r="AI213" s="11" t="n"/>
      <c r="AK213">
        <f>IF($D213="","",IF(COUNTIF($D$2:$D213,$D213)=1,1,0))</f>
        <v/>
      </c>
      <c r="AL213">
        <f>IF($AK213=1,SUMPRODUCT(--($AO$2:$AO$1601&lt;$AO213))+1,"")</f>
        <v/>
      </c>
      <c r="AM213">
        <f>IF($D213="","",IF(OR($R213=TRUE(),$R213="TRUE"),1,0))</f>
        <v/>
      </c>
      <c r="AN213">
        <f>IF($D213="","",IF($AA213="Yes",1,0))</f>
        <v/>
      </c>
      <c r="AO213">
        <f>IF($AK213=1,IFERROR(IF(VALUE($D213)&lt;100000000,VALUE($D213),1000000000),IFERROR(IF(VALUE(MID($D213,2,20))&lt;100000000,VALUE(MID($D213,2,20)),1000000000),1000000000))+ROW()/100000,"")</f>
        <v/>
      </c>
    </row>
    <row r="214">
      <c r="F214" s="11" t="n"/>
      <c r="N214" s="7">
        <f>IF($D214="","",M214*X214/100)</f>
        <v/>
      </c>
      <c r="O214" s="7" t="n"/>
      <c r="U214" s="7" t="n"/>
      <c r="V214" s="7" t="n"/>
      <c r="W214" s="7">
        <f>IF($D214="","",V214*AB214/100)</f>
        <v/>
      </c>
      <c r="X214" s="7">
        <f>IF($D214="","",V214-W214)</f>
        <v/>
      </c>
      <c r="Y214" s="7">
        <f>IF($D214="","",X214-N214)</f>
        <v/>
      </c>
      <c r="AB214">
        <f>IF($D214="","",IF($AN214=1,Settings!$C$8,IF($AM214=1,Settings!$C$6,Settings!$C$7))*100)</f>
        <v/>
      </c>
      <c r="AF214" s="7" t="n"/>
      <c r="AI214" s="11" t="n"/>
      <c r="AK214">
        <f>IF($D214="","",IF(COUNTIF($D$2:$D214,$D214)=1,1,0))</f>
        <v/>
      </c>
      <c r="AL214">
        <f>IF($AK214=1,SUMPRODUCT(--($AO$2:$AO$1601&lt;$AO214))+1,"")</f>
        <v/>
      </c>
      <c r="AM214">
        <f>IF($D214="","",IF(OR($R214=TRUE(),$R214="TRUE"),1,0))</f>
        <v/>
      </c>
      <c r="AN214">
        <f>IF($D214="","",IF($AA214="Yes",1,0))</f>
        <v/>
      </c>
      <c r="AO214">
        <f>IF($AK214=1,IFERROR(IF(VALUE($D214)&lt;100000000,VALUE($D214),1000000000),IFERROR(IF(VALUE(MID($D214,2,20))&lt;100000000,VALUE(MID($D214,2,20)),1000000000),1000000000))+ROW()/100000,"")</f>
        <v/>
      </c>
    </row>
    <row r="215">
      <c r="F215" s="11" t="n"/>
      <c r="N215" s="7">
        <f>IF($D215="","",M215*X215/100)</f>
        <v/>
      </c>
      <c r="O215" s="7" t="n"/>
      <c r="U215" s="7" t="n"/>
      <c r="V215" s="7" t="n"/>
      <c r="W215" s="7">
        <f>IF($D215="","",V215*AB215/100)</f>
        <v/>
      </c>
      <c r="X215" s="7">
        <f>IF($D215="","",V215-W215)</f>
        <v/>
      </c>
      <c r="Y215" s="7">
        <f>IF($D215="","",X215-N215)</f>
        <v/>
      </c>
      <c r="AB215">
        <f>IF($D215="","",IF($AN215=1,Settings!$C$8,IF($AM215=1,Settings!$C$6,Settings!$C$7))*100)</f>
        <v/>
      </c>
      <c r="AF215" s="7" t="n"/>
      <c r="AI215" s="11" t="n"/>
      <c r="AK215">
        <f>IF($D215="","",IF(COUNTIF($D$2:$D215,$D215)=1,1,0))</f>
        <v/>
      </c>
      <c r="AL215">
        <f>IF($AK215=1,SUMPRODUCT(--($AO$2:$AO$1601&lt;$AO215))+1,"")</f>
        <v/>
      </c>
      <c r="AM215">
        <f>IF($D215="","",IF(OR($R215=TRUE(),$R215="TRUE"),1,0))</f>
        <v/>
      </c>
      <c r="AN215">
        <f>IF($D215="","",IF($AA215="Yes",1,0))</f>
        <v/>
      </c>
      <c r="AO215">
        <f>IF($AK215=1,IFERROR(IF(VALUE($D215)&lt;100000000,VALUE($D215),1000000000),IFERROR(IF(VALUE(MID($D215,2,20))&lt;100000000,VALUE(MID($D215,2,20)),1000000000),1000000000))+ROW()/100000,"")</f>
        <v/>
      </c>
    </row>
    <row r="216">
      <c r="F216" s="11" t="n"/>
      <c r="N216" s="7">
        <f>IF($D216="","",M216*X216/100)</f>
        <v/>
      </c>
      <c r="O216" s="7" t="n"/>
      <c r="U216" s="7" t="n"/>
      <c r="V216" s="7" t="n"/>
      <c r="W216" s="7">
        <f>IF($D216="","",V216*AB216/100)</f>
        <v/>
      </c>
      <c r="X216" s="7">
        <f>IF($D216="","",V216-W216)</f>
        <v/>
      </c>
      <c r="Y216" s="7">
        <f>IF($D216="","",X216-N216)</f>
        <v/>
      </c>
      <c r="AB216">
        <f>IF($D216="","",IF($AN216=1,Settings!$C$8,IF($AM216=1,Settings!$C$6,Settings!$C$7))*100)</f>
        <v/>
      </c>
      <c r="AF216" s="7" t="n"/>
      <c r="AI216" s="11" t="n"/>
      <c r="AK216">
        <f>IF($D216="","",IF(COUNTIF($D$2:$D216,$D216)=1,1,0))</f>
        <v/>
      </c>
      <c r="AL216">
        <f>IF($AK216=1,SUMPRODUCT(--($AO$2:$AO$1601&lt;$AO216))+1,"")</f>
        <v/>
      </c>
      <c r="AM216">
        <f>IF($D216="","",IF(OR($R216=TRUE(),$R216="TRUE"),1,0))</f>
        <v/>
      </c>
      <c r="AN216">
        <f>IF($D216="","",IF($AA216="Yes",1,0))</f>
        <v/>
      </c>
      <c r="AO216">
        <f>IF($AK216=1,IFERROR(IF(VALUE($D216)&lt;100000000,VALUE($D216),1000000000),IFERROR(IF(VALUE(MID($D216,2,20))&lt;100000000,VALUE(MID($D216,2,20)),1000000000),1000000000))+ROW()/100000,"")</f>
        <v/>
      </c>
    </row>
    <row r="217">
      <c r="F217" s="11" t="n"/>
      <c r="N217" s="7">
        <f>IF($D217="","",M217*X217/100)</f>
        <v/>
      </c>
      <c r="O217" s="7" t="n"/>
      <c r="U217" s="7" t="n"/>
      <c r="V217" s="7" t="n"/>
      <c r="W217" s="7">
        <f>IF($D217="","",V217*AB217/100)</f>
        <v/>
      </c>
      <c r="X217" s="7">
        <f>IF($D217="","",V217-W217)</f>
        <v/>
      </c>
      <c r="Y217" s="7">
        <f>IF($D217="","",X217-N217)</f>
        <v/>
      </c>
      <c r="AB217">
        <f>IF($D217="","",IF($AN217=1,Settings!$C$8,IF($AM217=1,Settings!$C$6,Settings!$C$7))*100)</f>
        <v/>
      </c>
      <c r="AF217" s="7" t="n"/>
      <c r="AI217" s="11" t="n"/>
      <c r="AK217">
        <f>IF($D217="","",IF(COUNTIF($D$2:$D217,$D217)=1,1,0))</f>
        <v/>
      </c>
      <c r="AL217">
        <f>IF($AK217=1,SUMPRODUCT(--($AO$2:$AO$1601&lt;$AO217))+1,"")</f>
        <v/>
      </c>
      <c r="AM217">
        <f>IF($D217="","",IF(OR($R217=TRUE(),$R217="TRUE"),1,0))</f>
        <v/>
      </c>
      <c r="AN217">
        <f>IF($D217="","",IF($AA217="Yes",1,0))</f>
        <v/>
      </c>
      <c r="AO217">
        <f>IF($AK217=1,IFERROR(IF(VALUE($D217)&lt;100000000,VALUE($D217),1000000000),IFERROR(IF(VALUE(MID($D217,2,20))&lt;100000000,VALUE(MID($D217,2,20)),1000000000),1000000000))+ROW()/100000,"")</f>
        <v/>
      </c>
    </row>
    <row r="218">
      <c r="F218" s="11" t="n"/>
      <c r="N218" s="7">
        <f>IF($D218="","",M218*X218/100)</f>
        <v/>
      </c>
      <c r="O218" s="7" t="n"/>
      <c r="U218" s="7" t="n"/>
      <c r="V218" s="7" t="n"/>
      <c r="W218" s="7">
        <f>IF($D218="","",V218*AB218/100)</f>
        <v/>
      </c>
      <c r="X218" s="7">
        <f>IF($D218="","",V218-W218)</f>
        <v/>
      </c>
      <c r="Y218" s="7">
        <f>IF($D218="","",X218-N218)</f>
        <v/>
      </c>
      <c r="AB218">
        <f>IF($D218="","",IF($AN218=1,Settings!$C$8,IF($AM218=1,Settings!$C$6,Settings!$C$7))*100)</f>
        <v/>
      </c>
      <c r="AF218" s="7" t="n"/>
      <c r="AI218" s="11" t="n"/>
      <c r="AK218">
        <f>IF($D218="","",IF(COUNTIF($D$2:$D218,$D218)=1,1,0))</f>
        <v/>
      </c>
      <c r="AL218">
        <f>IF($AK218=1,SUMPRODUCT(--($AO$2:$AO$1601&lt;$AO218))+1,"")</f>
        <v/>
      </c>
      <c r="AM218">
        <f>IF($D218="","",IF(OR($R218=TRUE(),$R218="TRUE"),1,0))</f>
        <v/>
      </c>
      <c r="AN218">
        <f>IF($D218="","",IF($AA218="Yes",1,0))</f>
        <v/>
      </c>
      <c r="AO218">
        <f>IF($AK218=1,IFERROR(IF(VALUE($D218)&lt;100000000,VALUE($D218),1000000000),IFERROR(IF(VALUE(MID($D218,2,20))&lt;100000000,VALUE(MID($D218,2,20)),1000000000),1000000000))+ROW()/100000,"")</f>
        <v/>
      </c>
    </row>
    <row r="219">
      <c r="F219" s="11" t="n"/>
      <c r="N219" s="7">
        <f>IF($D219="","",M219*X219/100)</f>
        <v/>
      </c>
      <c r="O219" s="7" t="n"/>
      <c r="U219" s="7" t="n"/>
      <c r="V219" s="7" t="n"/>
      <c r="W219" s="7">
        <f>IF($D219="","",V219*AB219/100)</f>
        <v/>
      </c>
      <c r="X219" s="7">
        <f>IF($D219="","",V219-W219)</f>
        <v/>
      </c>
      <c r="Y219" s="7">
        <f>IF($D219="","",X219-N219)</f>
        <v/>
      </c>
      <c r="AB219">
        <f>IF($D219="","",IF($AN219=1,Settings!$C$8,IF($AM219=1,Settings!$C$6,Settings!$C$7))*100)</f>
        <v/>
      </c>
      <c r="AF219" s="7" t="n"/>
      <c r="AI219" s="11" t="n"/>
      <c r="AK219">
        <f>IF($D219="","",IF(COUNTIF($D$2:$D219,$D219)=1,1,0))</f>
        <v/>
      </c>
      <c r="AL219">
        <f>IF($AK219=1,SUMPRODUCT(--($AO$2:$AO$1601&lt;$AO219))+1,"")</f>
        <v/>
      </c>
      <c r="AM219">
        <f>IF($D219="","",IF(OR($R219=TRUE(),$R219="TRUE"),1,0))</f>
        <v/>
      </c>
      <c r="AN219">
        <f>IF($D219="","",IF($AA219="Yes",1,0))</f>
        <v/>
      </c>
      <c r="AO219">
        <f>IF($AK219=1,IFERROR(IF(VALUE($D219)&lt;100000000,VALUE($D219),1000000000),IFERROR(IF(VALUE(MID($D219,2,20))&lt;100000000,VALUE(MID($D219,2,20)),1000000000),1000000000))+ROW()/100000,"")</f>
        <v/>
      </c>
    </row>
    <row r="220">
      <c r="F220" s="11" t="n"/>
      <c r="N220" s="7">
        <f>IF($D220="","",M220*X220/100)</f>
        <v/>
      </c>
      <c r="O220" s="7" t="n"/>
      <c r="U220" s="7" t="n"/>
      <c r="V220" s="7" t="n"/>
      <c r="W220" s="7">
        <f>IF($D220="","",V220*AB220/100)</f>
        <v/>
      </c>
      <c r="X220" s="7">
        <f>IF($D220="","",V220-W220)</f>
        <v/>
      </c>
      <c r="Y220" s="7">
        <f>IF($D220="","",X220-N220)</f>
        <v/>
      </c>
      <c r="AB220">
        <f>IF($D220="","",IF($AN220=1,Settings!$C$8,IF($AM220=1,Settings!$C$6,Settings!$C$7))*100)</f>
        <v/>
      </c>
      <c r="AF220" s="7" t="n"/>
      <c r="AI220" s="11" t="n"/>
      <c r="AK220">
        <f>IF($D220="","",IF(COUNTIF($D$2:$D220,$D220)=1,1,0))</f>
        <v/>
      </c>
      <c r="AL220">
        <f>IF($AK220=1,SUMPRODUCT(--($AO$2:$AO$1601&lt;$AO220))+1,"")</f>
        <v/>
      </c>
      <c r="AM220">
        <f>IF($D220="","",IF(OR($R220=TRUE(),$R220="TRUE"),1,0))</f>
        <v/>
      </c>
      <c r="AN220">
        <f>IF($D220="","",IF($AA220="Yes",1,0))</f>
        <v/>
      </c>
      <c r="AO220">
        <f>IF($AK220=1,IFERROR(IF(VALUE($D220)&lt;100000000,VALUE($D220),1000000000),IFERROR(IF(VALUE(MID($D220,2,20))&lt;100000000,VALUE(MID($D220,2,20)),1000000000),1000000000))+ROW()/100000,"")</f>
        <v/>
      </c>
    </row>
    <row r="221">
      <c r="F221" s="11" t="n"/>
      <c r="N221" s="7">
        <f>IF($D221="","",M221*X221/100)</f>
        <v/>
      </c>
      <c r="O221" s="7" t="n"/>
      <c r="U221" s="7" t="n"/>
      <c r="V221" s="7" t="n"/>
      <c r="W221" s="7">
        <f>IF($D221="","",V221*AB221/100)</f>
        <v/>
      </c>
      <c r="X221" s="7">
        <f>IF($D221="","",V221-W221)</f>
        <v/>
      </c>
      <c r="Y221" s="7">
        <f>IF($D221="","",X221-N221)</f>
        <v/>
      </c>
      <c r="AB221">
        <f>IF($D221="","",IF($AN221=1,Settings!$C$8,IF($AM221=1,Settings!$C$6,Settings!$C$7))*100)</f>
        <v/>
      </c>
      <c r="AF221" s="7" t="n"/>
      <c r="AI221" s="11" t="n"/>
      <c r="AK221">
        <f>IF($D221="","",IF(COUNTIF($D$2:$D221,$D221)=1,1,0))</f>
        <v/>
      </c>
      <c r="AL221">
        <f>IF($AK221=1,SUMPRODUCT(--($AO$2:$AO$1601&lt;$AO221))+1,"")</f>
        <v/>
      </c>
      <c r="AM221">
        <f>IF($D221="","",IF(OR($R221=TRUE(),$R221="TRUE"),1,0))</f>
        <v/>
      </c>
      <c r="AN221">
        <f>IF($D221="","",IF($AA221="Yes",1,0))</f>
        <v/>
      </c>
      <c r="AO221">
        <f>IF($AK221=1,IFERROR(IF(VALUE($D221)&lt;100000000,VALUE($D221),1000000000),IFERROR(IF(VALUE(MID($D221,2,20))&lt;100000000,VALUE(MID($D221,2,20)),1000000000),1000000000))+ROW()/100000,"")</f>
        <v/>
      </c>
    </row>
    <row r="222">
      <c r="F222" s="11" t="n"/>
      <c r="N222" s="7">
        <f>IF($D222="","",M222*X222/100)</f>
        <v/>
      </c>
      <c r="O222" s="7" t="n"/>
      <c r="U222" s="7" t="n"/>
      <c r="V222" s="7" t="n"/>
      <c r="W222" s="7">
        <f>IF($D222="","",V222*AB222/100)</f>
        <v/>
      </c>
      <c r="X222" s="7">
        <f>IF($D222="","",V222-W222)</f>
        <v/>
      </c>
      <c r="Y222" s="7">
        <f>IF($D222="","",X222-N222)</f>
        <v/>
      </c>
      <c r="AB222">
        <f>IF($D222="","",IF($AN222=1,Settings!$C$8,IF($AM222=1,Settings!$C$6,Settings!$C$7))*100)</f>
        <v/>
      </c>
      <c r="AF222" s="7" t="n"/>
      <c r="AI222" s="11" t="n"/>
      <c r="AK222">
        <f>IF($D222="","",IF(COUNTIF($D$2:$D222,$D222)=1,1,0))</f>
        <v/>
      </c>
      <c r="AL222">
        <f>IF($AK222=1,SUMPRODUCT(--($AO$2:$AO$1601&lt;$AO222))+1,"")</f>
        <v/>
      </c>
      <c r="AM222">
        <f>IF($D222="","",IF(OR($R222=TRUE(),$R222="TRUE"),1,0))</f>
        <v/>
      </c>
      <c r="AN222">
        <f>IF($D222="","",IF($AA222="Yes",1,0))</f>
        <v/>
      </c>
      <c r="AO222">
        <f>IF($AK222=1,IFERROR(IF(VALUE($D222)&lt;100000000,VALUE($D222),1000000000),IFERROR(IF(VALUE(MID($D222,2,20))&lt;100000000,VALUE(MID($D222,2,20)),1000000000),1000000000))+ROW()/100000,"")</f>
        <v/>
      </c>
    </row>
    <row r="223">
      <c r="F223" s="11" t="n"/>
      <c r="N223" s="7">
        <f>IF($D223="","",M223*X223/100)</f>
        <v/>
      </c>
      <c r="O223" s="7" t="n"/>
      <c r="U223" s="7" t="n"/>
      <c r="V223" s="7" t="n"/>
      <c r="W223" s="7">
        <f>IF($D223="","",V223*AB223/100)</f>
        <v/>
      </c>
      <c r="X223" s="7">
        <f>IF($D223="","",V223-W223)</f>
        <v/>
      </c>
      <c r="Y223" s="7">
        <f>IF($D223="","",X223-N223)</f>
        <v/>
      </c>
      <c r="AB223">
        <f>IF($D223="","",IF($AN223=1,Settings!$C$8,IF($AM223=1,Settings!$C$6,Settings!$C$7))*100)</f>
        <v/>
      </c>
      <c r="AF223" s="7" t="n"/>
      <c r="AI223" s="11" t="n"/>
      <c r="AK223">
        <f>IF($D223="","",IF(COUNTIF($D$2:$D223,$D223)=1,1,0))</f>
        <v/>
      </c>
      <c r="AL223">
        <f>IF($AK223=1,SUMPRODUCT(--($AO$2:$AO$1601&lt;$AO223))+1,"")</f>
        <v/>
      </c>
      <c r="AM223">
        <f>IF($D223="","",IF(OR($R223=TRUE(),$R223="TRUE"),1,0))</f>
        <v/>
      </c>
      <c r="AN223">
        <f>IF($D223="","",IF($AA223="Yes",1,0))</f>
        <v/>
      </c>
      <c r="AO223">
        <f>IF($AK223=1,IFERROR(IF(VALUE($D223)&lt;100000000,VALUE($D223),1000000000),IFERROR(IF(VALUE(MID($D223,2,20))&lt;100000000,VALUE(MID($D223,2,20)),1000000000),1000000000))+ROW()/100000,"")</f>
        <v/>
      </c>
    </row>
    <row r="224">
      <c r="F224" s="11" t="n"/>
      <c r="N224" s="7">
        <f>IF($D224="","",M224*X224/100)</f>
        <v/>
      </c>
      <c r="O224" s="7" t="n"/>
      <c r="U224" s="7" t="n"/>
      <c r="V224" s="7" t="n"/>
      <c r="W224" s="7">
        <f>IF($D224="","",V224*AB224/100)</f>
        <v/>
      </c>
      <c r="X224" s="7">
        <f>IF($D224="","",V224-W224)</f>
        <v/>
      </c>
      <c r="Y224" s="7">
        <f>IF($D224="","",X224-N224)</f>
        <v/>
      </c>
      <c r="AB224">
        <f>IF($D224="","",IF($AN224=1,Settings!$C$8,IF($AM224=1,Settings!$C$6,Settings!$C$7))*100)</f>
        <v/>
      </c>
      <c r="AF224" s="7" t="n"/>
      <c r="AI224" s="11" t="n"/>
      <c r="AK224">
        <f>IF($D224="","",IF(COUNTIF($D$2:$D224,$D224)=1,1,0))</f>
        <v/>
      </c>
      <c r="AL224">
        <f>IF($AK224=1,SUMPRODUCT(--($AO$2:$AO$1601&lt;$AO224))+1,"")</f>
        <v/>
      </c>
      <c r="AM224">
        <f>IF($D224="","",IF(OR($R224=TRUE(),$R224="TRUE"),1,0))</f>
        <v/>
      </c>
      <c r="AN224">
        <f>IF($D224="","",IF($AA224="Yes",1,0))</f>
        <v/>
      </c>
      <c r="AO224">
        <f>IF($AK224=1,IFERROR(IF(VALUE($D224)&lt;100000000,VALUE($D224),1000000000),IFERROR(IF(VALUE(MID($D224,2,20))&lt;100000000,VALUE(MID($D224,2,20)),1000000000),1000000000))+ROW()/100000,"")</f>
        <v/>
      </c>
    </row>
    <row r="225">
      <c r="F225" s="11" t="n"/>
      <c r="N225" s="7">
        <f>IF($D225="","",M225*X225/100)</f>
        <v/>
      </c>
      <c r="O225" s="7" t="n"/>
      <c r="U225" s="7" t="n"/>
      <c r="V225" s="7" t="n"/>
      <c r="W225" s="7">
        <f>IF($D225="","",V225*AB225/100)</f>
        <v/>
      </c>
      <c r="X225" s="7">
        <f>IF($D225="","",V225-W225)</f>
        <v/>
      </c>
      <c r="Y225" s="7">
        <f>IF($D225="","",X225-N225)</f>
        <v/>
      </c>
      <c r="AB225">
        <f>IF($D225="","",IF($AN225=1,Settings!$C$8,IF($AM225=1,Settings!$C$6,Settings!$C$7))*100)</f>
        <v/>
      </c>
      <c r="AF225" s="7" t="n"/>
      <c r="AI225" s="11" t="n"/>
      <c r="AK225">
        <f>IF($D225="","",IF(COUNTIF($D$2:$D225,$D225)=1,1,0))</f>
        <v/>
      </c>
      <c r="AL225">
        <f>IF($AK225=1,SUMPRODUCT(--($AO$2:$AO$1601&lt;$AO225))+1,"")</f>
        <v/>
      </c>
      <c r="AM225">
        <f>IF($D225="","",IF(OR($R225=TRUE(),$R225="TRUE"),1,0))</f>
        <v/>
      </c>
      <c r="AN225">
        <f>IF($D225="","",IF($AA225="Yes",1,0))</f>
        <v/>
      </c>
      <c r="AO225">
        <f>IF($AK225=1,IFERROR(IF(VALUE($D225)&lt;100000000,VALUE($D225),1000000000),IFERROR(IF(VALUE(MID($D225,2,20))&lt;100000000,VALUE(MID($D225,2,20)),1000000000),1000000000))+ROW()/100000,"")</f>
        <v/>
      </c>
    </row>
    <row r="226">
      <c r="F226" s="11" t="n"/>
      <c r="N226" s="7">
        <f>IF($D226="","",M226*X226/100)</f>
        <v/>
      </c>
      <c r="O226" s="7" t="n"/>
      <c r="U226" s="7" t="n"/>
      <c r="V226" s="7" t="n"/>
      <c r="W226" s="7">
        <f>IF($D226="","",V226*AB226/100)</f>
        <v/>
      </c>
      <c r="X226" s="7">
        <f>IF($D226="","",V226-W226)</f>
        <v/>
      </c>
      <c r="Y226" s="7">
        <f>IF($D226="","",X226-N226)</f>
        <v/>
      </c>
      <c r="AB226">
        <f>IF($D226="","",IF($AN226=1,Settings!$C$8,IF($AM226=1,Settings!$C$6,Settings!$C$7))*100)</f>
        <v/>
      </c>
      <c r="AF226" s="7" t="n"/>
      <c r="AI226" s="11" t="n"/>
      <c r="AK226">
        <f>IF($D226="","",IF(COUNTIF($D$2:$D226,$D226)=1,1,0))</f>
        <v/>
      </c>
      <c r="AL226">
        <f>IF($AK226=1,SUMPRODUCT(--($AO$2:$AO$1601&lt;$AO226))+1,"")</f>
        <v/>
      </c>
      <c r="AM226">
        <f>IF($D226="","",IF(OR($R226=TRUE(),$R226="TRUE"),1,0))</f>
        <v/>
      </c>
      <c r="AN226">
        <f>IF($D226="","",IF($AA226="Yes",1,0))</f>
        <v/>
      </c>
      <c r="AO226">
        <f>IF($AK226=1,IFERROR(IF(VALUE($D226)&lt;100000000,VALUE($D226),1000000000),IFERROR(IF(VALUE(MID($D226,2,20))&lt;100000000,VALUE(MID($D226,2,20)),1000000000),1000000000))+ROW()/100000,"")</f>
        <v/>
      </c>
    </row>
    <row r="227">
      <c r="F227" s="11" t="n"/>
      <c r="N227" s="7">
        <f>IF($D227="","",M227*X227/100)</f>
        <v/>
      </c>
      <c r="O227" s="7" t="n"/>
      <c r="U227" s="7" t="n"/>
      <c r="V227" s="7" t="n"/>
      <c r="W227" s="7">
        <f>IF($D227="","",V227*AB227/100)</f>
        <v/>
      </c>
      <c r="X227" s="7">
        <f>IF($D227="","",V227-W227)</f>
        <v/>
      </c>
      <c r="Y227" s="7">
        <f>IF($D227="","",X227-N227)</f>
        <v/>
      </c>
      <c r="AB227">
        <f>IF($D227="","",IF($AN227=1,Settings!$C$8,IF($AM227=1,Settings!$C$6,Settings!$C$7))*100)</f>
        <v/>
      </c>
      <c r="AF227" s="7" t="n"/>
      <c r="AI227" s="11" t="n"/>
      <c r="AK227">
        <f>IF($D227="","",IF(COUNTIF($D$2:$D227,$D227)=1,1,0))</f>
        <v/>
      </c>
      <c r="AL227">
        <f>IF($AK227=1,SUMPRODUCT(--($AO$2:$AO$1601&lt;$AO227))+1,"")</f>
        <v/>
      </c>
      <c r="AM227">
        <f>IF($D227="","",IF(OR($R227=TRUE(),$R227="TRUE"),1,0))</f>
        <v/>
      </c>
      <c r="AN227">
        <f>IF($D227="","",IF($AA227="Yes",1,0))</f>
        <v/>
      </c>
      <c r="AO227">
        <f>IF($AK227=1,IFERROR(IF(VALUE($D227)&lt;100000000,VALUE($D227),1000000000),IFERROR(IF(VALUE(MID($D227,2,20))&lt;100000000,VALUE(MID($D227,2,20)),1000000000),1000000000))+ROW()/100000,"")</f>
        <v/>
      </c>
    </row>
    <row r="228">
      <c r="F228" s="11" t="n"/>
      <c r="N228" s="7">
        <f>IF($D228="","",M228*X228/100)</f>
        <v/>
      </c>
      <c r="O228" s="7" t="n"/>
      <c r="U228" s="7" t="n"/>
      <c r="V228" s="7" t="n"/>
      <c r="W228" s="7">
        <f>IF($D228="","",V228*AB228/100)</f>
        <v/>
      </c>
      <c r="X228" s="7">
        <f>IF($D228="","",V228-W228)</f>
        <v/>
      </c>
      <c r="Y228" s="7">
        <f>IF($D228="","",X228-N228)</f>
        <v/>
      </c>
      <c r="AB228">
        <f>IF($D228="","",IF($AN228=1,Settings!$C$8,IF($AM228=1,Settings!$C$6,Settings!$C$7))*100)</f>
        <v/>
      </c>
      <c r="AF228" s="7" t="n"/>
      <c r="AI228" s="11" t="n"/>
      <c r="AK228">
        <f>IF($D228="","",IF(COUNTIF($D$2:$D228,$D228)=1,1,0))</f>
        <v/>
      </c>
      <c r="AL228">
        <f>IF($AK228=1,SUMPRODUCT(--($AO$2:$AO$1601&lt;$AO228))+1,"")</f>
        <v/>
      </c>
      <c r="AM228">
        <f>IF($D228="","",IF(OR($R228=TRUE(),$R228="TRUE"),1,0))</f>
        <v/>
      </c>
      <c r="AN228">
        <f>IF($D228="","",IF($AA228="Yes",1,0))</f>
        <v/>
      </c>
      <c r="AO228">
        <f>IF($AK228=1,IFERROR(IF(VALUE($D228)&lt;100000000,VALUE($D228),1000000000),IFERROR(IF(VALUE(MID($D228,2,20))&lt;100000000,VALUE(MID($D228,2,20)),1000000000),1000000000))+ROW()/100000,"")</f>
        <v/>
      </c>
    </row>
    <row r="229">
      <c r="F229" s="11" t="n"/>
      <c r="N229" s="7">
        <f>IF($D229="","",M229*X229/100)</f>
        <v/>
      </c>
      <c r="O229" s="7" t="n"/>
      <c r="U229" s="7" t="n"/>
      <c r="V229" s="7" t="n"/>
      <c r="W229" s="7">
        <f>IF($D229="","",V229*AB229/100)</f>
        <v/>
      </c>
      <c r="X229" s="7">
        <f>IF($D229="","",V229-W229)</f>
        <v/>
      </c>
      <c r="Y229" s="7">
        <f>IF($D229="","",X229-N229)</f>
        <v/>
      </c>
      <c r="AB229">
        <f>IF($D229="","",IF($AN229=1,Settings!$C$8,IF($AM229=1,Settings!$C$6,Settings!$C$7))*100)</f>
        <v/>
      </c>
      <c r="AF229" s="7" t="n"/>
      <c r="AI229" s="11" t="n"/>
      <c r="AK229">
        <f>IF($D229="","",IF(COUNTIF($D$2:$D229,$D229)=1,1,0))</f>
        <v/>
      </c>
      <c r="AL229">
        <f>IF($AK229=1,SUMPRODUCT(--($AO$2:$AO$1601&lt;$AO229))+1,"")</f>
        <v/>
      </c>
      <c r="AM229">
        <f>IF($D229="","",IF(OR($R229=TRUE(),$R229="TRUE"),1,0))</f>
        <v/>
      </c>
      <c r="AN229">
        <f>IF($D229="","",IF($AA229="Yes",1,0))</f>
        <v/>
      </c>
      <c r="AO229">
        <f>IF($AK229=1,IFERROR(IF(VALUE($D229)&lt;100000000,VALUE($D229),1000000000),IFERROR(IF(VALUE(MID($D229,2,20))&lt;100000000,VALUE(MID($D229,2,20)),1000000000),1000000000))+ROW()/100000,"")</f>
        <v/>
      </c>
    </row>
    <row r="230">
      <c r="F230" s="11" t="n"/>
      <c r="N230" s="7">
        <f>IF($D230="","",M230*X230/100)</f>
        <v/>
      </c>
      <c r="O230" s="7" t="n"/>
      <c r="U230" s="7" t="n"/>
      <c r="V230" s="7" t="n"/>
      <c r="W230" s="7">
        <f>IF($D230="","",V230*AB230/100)</f>
        <v/>
      </c>
      <c r="X230" s="7">
        <f>IF($D230="","",V230-W230)</f>
        <v/>
      </c>
      <c r="Y230" s="7">
        <f>IF($D230="","",X230-N230)</f>
        <v/>
      </c>
      <c r="AB230">
        <f>IF($D230="","",IF($AN230=1,Settings!$C$8,IF($AM230=1,Settings!$C$6,Settings!$C$7))*100)</f>
        <v/>
      </c>
      <c r="AF230" s="7" t="n"/>
      <c r="AI230" s="11" t="n"/>
      <c r="AK230">
        <f>IF($D230="","",IF(COUNTIF($D$2:$D230,$D230)=1,1,0))</f>
        <v/>
      </c>
      <c r="AL230">
        <f>IF($AK230=1,SUMPRODUCT(--($AO$2:$AO$1601&lt;$AO230))+1,"")</f>
        <v/>
      </c>
      <c r="AM230">
        <f>IF($D230="","",IF(OR($R230=TRUE(),$R230="TRUE"),1,0))</f>
        <v/>
      </c>
      <c r="AN230">
        <f>IF($D230="","",IF($AA230="Yes",1,0))</f>
        <v/>
      </c>
      <c r="AO230">
        <f>IF($AK230=1,IFERROR(IF(VALUE($D230)&lt;100000000,VALUE($D230),1000000000),IFERROR(IF(VALUE(MID($D230,2,20))&lt;100000000,VALUE(MID($D230,2,20)),1000000000),1000000000))+ROW()/100000,"")</f>
        <v/>
      </c>
    </row>
    <row r="231">
      <c r="F231" s="11" t="n"/>
      <c r="N231" s="7">
        <f>IF($D231="","",M231*X231/100)</f>
        <v/>
      </c>
      <c r="O231" s="7" t="n"/>
      <c r="U231" s="7" t="n"/>
      <c r="V231" s="7" t="n"/>
      <c r="W231" s="7">
        <f>IF($D231="","",V231*AB231/100)</f>
        <v/>
      </c>
      <c r="X231" s="7">
        <f>IF($D231="","",V231-W231)</f>
        <v/>
      </c>
      <c r="Y231" s="7">
        <f>IF($D231="","",X231-N231)</f>
        <v/>
      </c>
      <c r="AB231">
        <f>IF($D231="","",IF($AN231=1,Settings!$C$8,IF($AM231=1,Settings!$C$6,Settings!$C$7))*100)</f>
        <v/>
      </c>
      <c r="AF231" s="7" t="n"/>
      <c r="AI231" s="11" t="n"/>
      <c r="AK231">
        <f>IF($D231="","",IF(COUNTIF($D$2:$D231,$D231)=1,1,0))</f>
        <v/>
      </c>
      <c r="AL231">
        <f>IF($AK231=1,SUMPRODUCT(--($AO$2:$AO$1601&lt;$AO231))+1,"")</f>
        <v/>
      </c>
      <c r="AM231">
        <f>IF($D231="","",IF(OR($R231=TRUE(),$R231="TRUE"),1,0))</f>
        <v/>
      </c>
      <c r="AN231">
        <f>IF($D231="","",IF($AA231="Yes",1,0))</f>
        <v/>
      </c>
      <c r="AO231">
        <f>IF($AK231=1,IFERROR(IF(VALUE($D231)&lt;100000000,VALUE($D231),1000000000),IFERROR(IF(VALUE(MID($D231,2,20))&lt;100000000,VALUE(MID($D231,2,20)),1000000000),1000000000))+ROW()/100000,"")</f>
        <v/>
      </c>
    </row>
    <row r="232">
      <c r="F232" s="11" t="n"/>
      <c r="N232" s="7">
        <f>IF($D232="","",M232*X232/100)</f>
        <v/>
      </c>
      <c r="O232" s="7" t="n"/>
      <c r="U232" s="7" t="n"/>
      <c r="V232" s="7" t="n"/>
      <c r="W232" s="7">
        <f>IF($D232="","",V232*AB232/100)</f>
        <v/>
      </c>
      <c r="X232" s="7">
        <f>IF($D232="","",V232-W232)</f>
        <v/>
      </c>
      <c r="Y232" s="7">
        <f>IF($D232="","",X232-N232)</f>
        <v/>
      </c>
      <c r="AB232">
        <f>IF($D232="","",IF($AN232=1,Settings!$C$8,IF($AM232=1,Settings!$C$6,Settings!$C$7))*100)</f>
        <v/>
      </c>
      <c r="AF232" s="7" t="n"/>
      <c r="AI232" s="11" t="n"/>
      <c r="AK232">
        <f>IF($D232="","",IF(COUNTIF($D$2:$D232,$D232)=1,1,0))</f>
        <v/>
      </c>
      <c r="AL232">
        <f>IF($AK232=1,SUMPRODUCT(--($AO$2:$AO$1601&lt;$AO232))+1,"")</f>
        <v/>
      </c>
      <c r="AM232">
        <f>IF($D232="","",IF(OR($R232=TRUE(),$R232="TRUE"),1,0))</f>
        <v/>
      </c>
      <c r="AN232">
        <f>IF($D232="","",IF($AA232="Yes",1,0))</f>
        <v/>
      </c>
      <c r="AO232">
        <f>IF($AK232=1,IFERROR(IF(VALUE($D232)&lt;100000000,VALUE($D232),1000000000),IFERROR(IF(VALUE(MID($D232,2,20))&lt;100000000,VALUE(MID($D232,2,20)),1000000000),1000000000))+ROW()/100000,"")</f>
        <v/>
      </c>
    </row>
    <row r="233">
      <c r="F233" s="11" t="n"/>
      <c r="N233" s="7">
        <f>IF($D233="","",M233*X233/100)</f>
        <v/>
      </c>
      <c r="O233" s="7" t="n"/>
      <c r="U233" s="7" t="n"/>
      <c r="V233" s="7" t="n"/>
      <c r="W233" s="7">
        <f>IF($D233="","",V233*AB233/100)</f>
        <v/>
      </c>
      <c r="X233" s="7">
        <f>IF($D233="","",V233-W233)</f>
        <v/>
      </c>
      <c r="Y233" s="7">
        <f>IF($D233="","",X233-N233)</f>
        <v/>
      </c>
      <c r="AB233">
        <f>IF($D233="","",IF($AN233=1,Settings!$C$8,IF($AM233=1,Settings!$C$6,Settings!$C$7))*100)</f>
        <v/>
      </c>
      <c r="AF233" s="7" t="n"/>
      <c r="AI233" s="11" t="n"/>
      <c r="AK233">
        <f>IF($D233="","",IF(COUNTIF($D$2:$D233,$D233)=1,1,0))</f>
        <v/>
      </c>
      <c r="AL233">
        <f>IF($AK233=1,SUMPRODUCT(--($AO$2:$AO$1601&lt;$AO233))+1,"")</f>
        <v/>
      </c>
      <c r="AM233">
        <f>IF($D233="","",IF(OR($R233=TRUE(),$R233="TRUE"),1,0))</f>
        <v/>
      </c>
      <c r="AN233">
        <f>IF($D233="","",IF($AA233="Yes",1,0))</f>
        <v/>
      </c>
      <c r="AO233">
        <f>IF($AK233=1,IFERROR(IF(VALUE($D233)&lt;100000000,VALUE($D233),1000000000),IFERROR(IF(VALUE(MID($D233,2,20))&lt;100000000,VALUE(MID($D233,2,20)),1000000000),1000000000))+ROW()/100000,"")</f>
        <v/>
      </c>
    </row>
    <row r="234">
      <c r="F234" s="11" t="n"/>
      <c r="N234" s="7">
        <f>IF($D234="","",M234*X234/100)</f>
        <v/>
      </c>
      <c r="O234" s="7" t="n"/>
      <c r="U234" s="7" t="n"/>
      <c r="V234" s="7" t="n"/>
      <c r="W234" s="7">
        <f>IF($D234="","",V234*AB234/100)</f>
        <v/>
      </c>
      <c r="X234" s="7">
        <f>IF($D234="","",V234-W234)</f>
        <v/>
      </c>
      <c r="Y234" s="7">
        <f>IF($D234="","",X234-N234)</f>
        <v/>
      </c>
      <c r="AB234">
        <f>IF($D234="","",IF($AN234=1,Settings!$C$8,IF($AM234=1,Settings!$C$6,Settings!$C$7))*100)</f>
        <v/>
      </c>
      <c r="AF234" s="7" t="n"/>
      <c r="AI234" s="11" t="n"/>
      <c r="AK234">
        <f>IF($D234="","",IF(COUNTIF($D$2:$D234,$D234)=1,1,0))</f>
        <v/>
      </c>
      <c r="AL234">
        <f>IF($AK234=1,SUMPRODUCT(--($AO$2:$AO$1601&lt;$AO234))+1,"")</f>
        <v/>
      </c>
      <c r="AM234">
        <f>IF($D234="","",IF(OR($R234=TRUE(),$R234="TRUE"),1,0))</f>
        <v/>
      </c>
      <c r="AN234">
        <f>IF($D234="","",IF($AA234="Yes",1,0))</f>
        <v/>
      </c>
      <c r="AO234">
        <f>IF($AK234=1,IFERROR(IF(VALUE($D234)&lt;100000000,VALUE($D234),1000000000),IFERROR(IF(VALUE(MID($D234,2,20))&lt;100000000,VALUE(MID($D234,2,20)),1000000000),1000000000))+ROW()/100000,"")</f>
        <v/>
      </c>
    </row>
    <row r="235">
      <c r="F235" s="11" t="n"/>
      <c r="N235" s="7">
        <f>IF($D235="","",M235*X235/100)</f>
        <v/>
      </c>
      <c r="O235" s="7" t="n"/>
      <c r="U235" s="7" t="n"/>
      <c r="V235" s="7" t="n"/>
      <c r="W235" s="7">
        <f>IF($D235="","",V235*AB235/100)</f>
        <v/>
      </c>
      <c r="X235" s="7">
        <f>IF($D235="","",V235-W235)</f>
        <v/>
      </c>
      <c r="Y235" s="7">
        <f>IF($D235="","",X235-N235)</f>
        <v/>
      </c>
      <c r="AB235">
        <f>IF($D235="","",IF($AN235=1,Settings!$C$8,IF($AM235=1,Settings!$C$6,Settings!$C$7))*100)</f>
        <v/>
      </c>
      <c r="AF235" s="7" t="n"/>
      <c r="AI235" s="11" t="n"/>
      <c r="AK235">
        <f>IF($D235="","",IF(COUNTIF($D$2:$D235,$D235)=1,1,0))</f>
        <v/>
      </c>
      <c r="AL235">
        <f>IF($AK235=1,SUMPRODUCT(--($AO$2:$AO$1601&lt;$AO235))+1,"")</f>
        <v/>
      </c>
      <c r="AM235">
        <f>IF($D235="","",IF(OR($R235=TRUE(),$R235="TRUE"),1,0))</f>
        <v/>
      </c>
      <c r="AN235">
        <f>IF($D235="","",IF($AA235="Yes",1,0))</f>
        <v/>
      </c>
      <c r="AO235">
        <f>IF($AK235=1,IFERROR(IF(VALUE($D235)&lt;100000000,VALUE($D235),1000000000),IFERROR(IF(VALUE(MID($D235,2,20))&lt;100000000,VALUE(MID($D235,2,20)),1000000000),1000000000))+ROW()/100000,"")</f>
        <v/>
      </c>
    </row>
    <row r="236">
      <c r="F236" s="11" t="n"/>
      <c r="N236" s="7">
        <f>IF($D236="","",M236*X236/100)</f>
        <v/>
      </c>
      <c r="O236" s="7" t="n"/>
      <c r="U236" s="7" t="n"/>
      <c r="V236" s="7" t="n"/>
      <c r="W236" s="7">
        <f>IF($D236="","",V236*AB236/100)</f>
        <v/>
      </c>
      <c r="X236" s="7">
        <f>IF($D236="","",V236-W236)</f>
        <v/>
      </c>
      <c r="Y236" s="7">
        <f>IF($D236="","",X236-N236)</f>
        <v/>
      </c>
      <c r="AB236">
        <f>IF($D236="","",IF($AN236=1,Settings!$C$8,IF($AM236=1,Settings!$C$6,Settings!$C$7))*100)</f>
        <v/>
      </c>
      <c r="AF236" s="7" t="n"/>
      <c r="AI236" s="11" t="n"/>
      <c r="AK236">
        <f>IF($D236="","",IF(COUNTIF($D$2:$D236,$D236)=1,1,0))</f>
        <v/>
      </c>
      <c r="AL236">
        <f>IF($AK236=1,SUMPRODUCT(--($AO$2:$AO$1601&lt;$AO236))+1,"")</f>
        <v/>
      </c>
      <c r="AM236">
        <f>IF($D236="","",IF(OR($R236=TRUE(),$R236="TRUE"),1,0))</f>
        <v/>
      </c>
      <c r="AN236">
        <f>IF($D236="","",IF($AA236="Yes",1,0))</f>
        <v/>
      </c>
      <c r="AO236">
        <f>IF($AK236=1,IFERROR(IF(VALUE($D236)&lt;100000000,VALUE($D236),1000000000),IFERROR(IF(VALUE(MID($D236,2,20))&lt;100000000,VALUE(MID($D236,2,20)),1000000000),1000000000))+ROW()/100000,"")</f>
        <v/>
      </c>
    </row>
    <row r="237">
      <c r="F237" s="11" t="n"/>
      <c r="N237" s="7">
        <f>IF($D237="","",M237*X237/100)</f>
        <v/>
      </c>
      <c r="O237" s="7" t="n"/>
      <c r="U237" s="7" t="n"/>
      <c r="V237" s="7" t="n"/>
      <c r="W237" s="7">
        <f>IF($D237="","",V237*AB237/100)</f>
        <v/>
      </c>
      <c r="X237" s="7">
        <f>IF($D237="","",V237-W237)</f>
        <v/>
      </c>
      <c r="Y237" s="7">
        <f>IF($D237="","",X237-N237)</f>
        <v/>
      </c>
      <c r="AB237">
        <f>IF($D237="","",IF($AN237=1,Settings!$C$8,IF($AM237=1,Settings!$C$6,Settings!$C$7))*100)</f>
        <v/>
      </c>
      <c r="AF237" s="7" t="n"/>
      <c r="AI237" s="11" t="n"/>
      <c r="AK237">
        <f>IF($D237="","",IF(COUNTIF($D$2:$D237,$D237)=1,1,0))</f>
        <v/>
      </c>
      <c r="AL237">
        <f>IF($AK237=1,SUMPRODUCT(--($AO$2:$AO$1601&lt;$AO237))+1,"")</f>
        <v/>
      </c>
      <c r="AM237">
        <f>IF($D237="","",IF(OR($R237=TRUE(),$R237="TRUE"),1,0))</f>
        <v/>
      </c>
      <c r="AN237">
        <f>IF($D237="","",IF($AA237="Yes",1,0))</f>
        <v/>
      </c>
      <c r="AO237">
        <f>IF($AK237=1,IFERROR(IF(VALUE($D237)&lt;100000000,VALUE($D237),1000000000),IFERROR(IF(VALUE(MID($D237,2,20))&lt;100000000,VALUE(MID($D237,2,20)),1000000000),1000000000))+ROW()/100000,"")</f>
        <v/>
      </c>
    </row>
    <row r="238">
      <c r="F238" s="11" t="n"/>
      <c r="N238" s="7">
        <f>IF($D238="","",M238*X238/100)</f>
        <v/>
      </c>
      <c r="O238" s="7" t="n"/>
      <c r="U238" s="7" t="n"/>
      <c r="V238" s="7" t="n"/>
      <c r="W238" s="7">
        <f>IF($D238="","",V238*AB238/100)</f>
        <v/>
      </c>
      <c r="X238" s="7">
        <f>IF($D238="","",V238-W238)</f>
        <v/>
      </c>
      <c r="Y238" s="7">
        <f>IF($D238="","",X238-N238)</f>
        <v/>
      </c>
      <c r="AB238">
        <f>IF($D238="","",IF($AN238=1,Settings!$C$8,IF($AM238=1,Settings!$C$6,Settings!$C$7))*100)</f>
        <v/>
      </c>
      <c r="AF238" s="7" t="n"/>
      <c r="AI238" s="11" t="n"/>
      <c r="AK238">
        <f>IF($D238="","",IF(COUNTIF($D$2:$D238,$D238)=1,1,0))</f>
        <v/>
      </c>
      <c r="AL238">
        <f>IF($AK238=1,SUMPRODUCT(--($AO$2:$AO$1601&lt;$AO238))+1,"")</f>
        <v/>
      </c>
      <c r="AM238">
        <f>IF($D238="","",IF(OR($R238=TRUE(),$R238="TRUE"),1,0))</f>
        <v/>
      </c>
      <c r="AN238">
        <f>IF($D238="","",IF($AA238="Yes",1,0))</f>
        <v/>
      </c>
      <c r="AO238">
        <f>IF($AK238=1,IFERROR(IF(VALUE($D238)&lt;100000000,VALUE($D238),1000000000),IFERROR(IF(VALUE(MID($D238,2,20))&lt;100000000,VALUE(MID($D238,2,20)),1000000000),1000000000))+ROW()/100000,"")</f>
        <v/>
      </c>
    </row>
    <row r="239">
      <c r="F239" s="11" t="n"/>
      <c r="N239" s="7">
        <f>IF($D239="","",M239*X239/100)</f>
        <v/>
      </c>
      <c r="O239" s="7" t="n"/>
      <c r="U239" s="7" t="n"/>
      <c r="V239" s="7" t="n"/>
      <c r="W239" s="7">
        <f>IF($D239="","",V239*AB239/100)</f>
        <v/>
      </c>
      <c r="X239" s="7">
        <f>IF($D239="","",V239-W239)</f>
        <v/>
      </c>
      <c r="Y239" s="7">
        <f>IF($D239="","",X239-N239)</f>
        <v/>
      </c>
      <c r="AB239">
        <f>IF($D239="","",IF($AN239=1,Settings!$C$8,IF($AM239=1,Settings!$C$6,Settings!$C$7))*100)</f>
        <v/>
      </c>
      <c r="AF239" s="7" t="n"/>
      <c r="AI239" s="11" t="n"/>
      <c r="AK239">
        <f>IF($D239="","",IF(COUNTIF($D$2:$D239,$D239)=1,1,0))</f>
        <v/>
      </c>
      <c r="AL239">
        <f>IF($AK239=1,SUMPRODUCT(--($AO$2:$AO$1601&lt;$AO239))+1,"")</f>
        <v/>
      </c>
      <c r="AM239">
        <f>IF($D239="","",IF(OR($R239=TRUE(),$R239="TRUE"),1,0))</f>
        <v/>
      </c>
      <c r="AN239">
        <f>IF($D239="","",IF($AA239="Yes",1,0))</f>
        <v/>
      </c>
      <c r="AO239">
        <f>IF($AK239=1,IFERROR(IF(VALUE($D239)&lt;100000000,VALUE($D239),1000000000),IFERROR(IF(VALUE(MID($D239,2,20))&lt;100000000,VALUE(MID($D239,2,20)),1000000000),1000000000))+ROW()/100000,"")</f>
        <v/>
      </c>
    </row>
    <row r="240">
      <c r="F240" s="11" t="n"/>
      <c r="N240" s="7">
        <f>IF($D240="","",M240*X240/100)</f>
        <v/>
      </c>
      <c r="O240" s="7" t="n"/>
      <c r="U240" s="7" t="n"/>
      <c r="V240" s="7" t="n"/>
      <c r="W240" s="7">
        <f>IF($D240="","",V240*AB240/100)</f>
        <v/>
      </c>
      <c r="X240" s="7">
        <f>IF($D240="","",V240-W240)</f>
        <v/>
      </c>
      <c r="Y240" s="7">
        <f>IF($D240="","",X240-N240)</f>
        <v/>
      </c>
      <c r="AB240">
        <f>IF($D240="","",IF($AN240=1,Settings!$C$8,IF($AM240=1,Settings!$C$6,Settings!$C$7))*100)</f>
        <v/>
      </c>
      <c r="AF240" s="7" t="n"/>
      <c r="AI240" s="11" t="n"/>
      <c r="AK240">
        <f>IF($D240="","",IF(COUNTIF($D$2:$D240,$D240)=1,1,0))</f>
        <v/>
      </c>
      <c r="AL240">
        <f>IF($AK240=1,SUMPRODUCT(--($AO$2:$AO$1601&lt;$AO240))+1,"")</f>
        <v/>
      </c>
      <c r="AM240">
        <f>IF($D240="","",IF(OR($R240=TRUE(),$R240="TRUE"),1,0))</f>
        <v/>
      </c>
      <c r="AN240">
        <f>IF($D240="","",IF($AA240="Yes",1,0))</f>
        <v/>
      </c>
      <c r="AO240">
        <f>IF($AK240=1,IFERROR(IF(VALUE($D240)&lt;100000000,VALUE($D240),1000000000),IFERROR(IF(VALUE(MID($D240,2,20))&lt;100000000,VALUE(MID($D240,2,20)),1000000000),1000000000))+ROW()/100000,"")</f>
        <v/>
      </c>
    </row>
    <row r="241">
      <c r="F241" s="11" t="n"/>
      <c r="N241" s="7">
        <f>IF($D241="","",M241*X241/100)</f>
        <v/>
      </c>
      <c r="O241" s="7" t="n"/>
      <c r="U241" s="7" t="n"/>
      <c r="V241" s="7" t="n"/>
      <c r="W241" s="7">
        <f>IF($D241="","",V241*AB241/100)</f>
        <v/>
      </c>
      <c r="X241" s="7">
        <f>IF($D241="","",V241-W241)</f>
        <v/>
      </c>
      <c r="Y241" s="7">
        <f>IF($D241="","",X241-N241)</f>
        <v/>
      </c>
      <c r="AB241">
        <f>IF($D241="","",IF($AN241=1,Settings!$C$8,IF($AM241=1,Settings!$C$6,Settings!$C$7))*100)</f>
        <v/>
      </c>
      <c r="AF241" s="7" t="n"/>
      <c r="AI241" s="11" t="n"/>
      <c r="AK241">
        <f>IF($D241="","",IF(COUNTIF($D$2:$D241,$D241)=1,1,0))</f>
        <v/>
      </c>
      <c r="AL241">
        <f>IF($AK241=1,SUMPRODUCT(--($AO$2:$AO$1601&lt;$AO241))+1,"")</f>
        <v/>
      </c>
      <c r="AM241">
        <f>IF($D241="","",IF(OR($R241=TRUE(),$R241="TRUE"),1,0))</f>
        <v/>
      </c>
      <c r="AN241">
        <f>IF($D241="","",IF($AA241="Yes",1,0))</f>
        <v/>
      </c>
      <c r="AO241">
        <f>IF($AK241=1,IFERROR(IF(VALUE($D241)&lt;100000000,VALUE($D241),1000000000),IFERROR(IF(VALUE(MID($D241,2,20))&lt;100000000,VALUE(MID($D241,2,20)),1000000000),1000000000))+ROW()/100000,"")</f>
        <v/>
      </c>
    </row>
    <row r="242">
      <c r="F242" s="11" t="n"/>
      <c r="N242" s="7">
        <f>IF($D242="","",M242*X242/100)</f>
        <v/>
      </c>
      <c r="O242" s="7" t="n"/>
      <c r="U242" s="7" t="n"/>
      <c r="V242" s="7" t="n"/>
      <c r="W242" s="7">
        <f>IF($D242="","",V242*AB242/100)</f>
        <v/>
      </c>
      <c r="X242" s="7">
        <f>IF($D242="","",V242-W242)</f>
        <v/>
      </c>
      <c r="Y242" s="7">
        <f>IF($D242="","",X242-N242)</f>
        <v/>
      </c>
      <c r="AB242">
        <f>IF($D242="","",IF($AN242=1,Settings!$C$8,IF($AM242=1,Settings!$C$6,Settings!$C$7))*100)</f>
        <v/>
      </c>
      <c r="AF242" s="7" t="n"/>
      <c r="AI242" s="11" t="n"/>
      <c r="AK242">
        <f>IF($D242="","",IF(COUNTIF($D$2:$D242,$D242)=1,1,0))</f>
        <v/>
      </c>
      <c r="AL242">
        <f>IF($AK242=1,SUMPRODUCT(--($AO$2:$AO$1601&lt;$AO242))+1,"")</f>
        <v/>
      </c>
      <c r="AM242">
        <f>IF($D242="","",IF(OR($R242=TRUE(),$R242="TRUE"),1,0))</f>
        <v/>
      </c>
      <c r="AN242">
        <f>IF($D242="","",IF($AA242="Yes",1,0))</f>
        <v/>
      </c>
      <c r="AO242">
        <f>IF($AK242=1,IFERROR(IF(VALUE($D242)&lt;100000000,VALUE($D242),1000000000),IFERROR(IF(VALUE(MID($D242,2,20))&lt;100000000,VALUE(MID($D242,2,20)),1000000000),1000000000))+ROW()/100000,"")</f>
        <v/>
      </c>
    </row>
    <row r="243">
      <c r="F243" s="11" t="n"/>
      <c r="N243" s="7">
        <f>IF($D243="","",M243*X243/100)</f>
        <v/>
      </c>
      <c r="O243" s="7" t="n"/>
      <c r="U243" s="7" t="n"/>
      <c r="V243" s="7" t="n"/>
      <c r="W243" s="7">
        <f>IF($D243="","",V243*AB243/100)</f>
        <v/>
      </c>
      <c r="X243" s="7">
        <f>IF($D243="","",V243-W243)</f>
        <v/>
      </c>
      <c r="Y243" s="7">
        <f>IF($D243="","",X243-N243)</f>
        <v/>
      </c>
      <c r="AB243">
        <f>IF($D243="","",IF($AN243=1,Settings!$C$8,IF($AM243=1,Settings!$C$6,Settings!$C$7))*100)</f>
        <v/>
      </c>
      <c r="AF243" s="7" t="n"/>
      <c r="AI243" s="11" t="n"/>
      <c r="AK243">
        <f>IF($D243="","",IF(COUNTIF($D$2:$D243,$D243)=1,1,0))</f>
        <v/>
      </c>
      <c r="AL243">
        <f>IF($AK243=1,SUMPRODUCT(--($AO$2:$AO$1601&lt;$AO243))+1,"")</f>
        <v/>
      </c>
      <c r="AM243">
        <f>IF($D243="","",IF(OR($R243=TRUE(),$R243="TRUE"),1,0))</f>
        <v/>
      </c>
      <c r="AN243">
        <f>IF($D243="","",IF($AA243="Yes",1,0))</f>
        <v/>
      </c>
      <c r="AO243">
        <f>IF($AK243=1,IFERROR(IF(VALUE($D243)&lt;100000000,VALUE($D243),1000000000),IFERROR(IF(VALUE(MID($D243,2,20))&lt;100000000,VALUE(MID($D243,2,20)),1000000000),1000000000))+ROW()/100000,"")</f>
        <v/>
      </c>
    </row>
    <row r="244">
      <c r="F244" s="11" t="n"/>
      <c r="N244" s="7">
        <f>IF($D244="","",M244*X244/100)</f>
        <v/>
      </c>
      <c r="O244" s="7" t="n"/>
      <c r="U244" s="7" t="n"/>
      <c r="V244" s="7" t="n"/>
      <c r="W244" s="7">
        <f>IF($D244="","",V244*AB244/100)</f>
        <v/>
      </c>
      <c r="X244" s="7">
        <f>IF($D244="","",V244-W244)</f>
        <v/>
      </c>
      <c r="Y244" s="7">
        <f>IF($D244="","",X244-N244)</f>
        <v/>
      </c>
      <c r="AB244">
        <f>IF($D244="","",IF($AN244=1,Settings!$C$8,IF($AM244=1,Settings!$C$6,Settings!$C$7))*100)</f>
        <v/>
      </c>
      <c r="AF244" s="7" t="n"/>
      <c r="AI244" s="11" t="n"/>
      <c r="AK244">
        <f>IF($D244="","",IF(COUNTIF($D$2:$D244,$D244)=1,1,0))</f>
        <v/>
      </c>
      <c r="AL244">
        <f>IF($AK244=1,SUMPRODUCT(--($AO$2:$AO$1601&lt;$AO244))+1,"")</f>
        <v/>
      </c>
      <c r="AM244">
        <f>IF($D244="","",IF(OR($R244=TRUE(),$R244="TRUE"),1,0))</f>
        <v/>
      </c>
      <c r="AN244">
        <f>IF($D244="","",IF($AA244="Yes",1,0))</f>
        <v/>
      </c>
      <c r="AO244">
        <f>IF($AK244=1,IFERROR(IF(VALUE($D244)&lt;100000000,VALUE($D244),1000000000),IFERROR(IF(VALUE(MID($D244,2,20))&lt;100000000,VALUE(MID($D244,2,20)),1000000000),1000000000))+ROW()/100000,"")</f>
        <v/>
      </c>
    </row>
    <row r="245">
      <c r="F245" s="11" t="n"/>
      <c r="N245" s="7">
        <f>IF($D245="","",M245*X245/100)</f>
        <v/>
      </c>
      <c r="O245" s="7" t="n"/>
      <c r="U245" s="7" t="n"/>
      <c r="V245" s="7" t="n"/>
      <c r="W245" s="7">
        <f>IF($D245="","",V245*AB245/100)</f>
        <v/>
      </c>
      <c r="X245" s="7">
        <f>IF($D245="","",V245-W245)</f>
        <v/>
      </c>
      <c r="Y245" s="7">
        <f>IF($D245="","",X245-N245)</f>
        <v/>
      </c>
      <c r="AB245">
        <f>IF($D245="","",IF($AN245=1,Settings!$C$8,IF($AM245=1,Settings!$C$6,Settings!$C$7))*100)</f>
        <v/>
      </c>
      <c r="AF245" s="7" t="n"/>
      <c r="AI245" s="11" t="n"/>
      <c r="AK245">
        <f>IF($D245="","",IF(COUNTIF($D$2:$D245,$D245)=1,1,0))</f>
        <v/>
      </c>
      <c r="AL245">
        <f>IF($AK245=1,SUMPRODUCT(--($AO$2:$AO$1601&lt;$AO245))+1,"")</f>
        <v/>
      </c>
      <c r="AM245">
        <f>IF($D245="","",IF(OR($R245=TRUE(),$R245="TRUE"),1,0))</f>
        <v/>
      </c>
      <c r="AN245">
        <f>IF($D245="","",IF($AA245="Yes",1,0))</f>
        <v/>
      </c>
      <c r="AO245">
        <f>IF($AK245=1,IFERROR(IF(VALUE($D245)&lt;100000000,VALUE($D245),1000000000),IFERROR(IF(VALUE(MID($D245,2,20))&lt;100000000,VALUE(MID($D245,2,20)),1000000000),1000000000))+ROW()/100000,"")</f>
        <v/>
      </c>
    </row>
    <row r="246">
      <c r="F246" s="11" t="n"/>
      <c r="N246" s="7">
        <f>IF($D246="","",M246*X246/100)</f>
        <v/>
      </c>
      <c r="O246" s="7" t="n"/>
      <c r="U246" s="7" t="n"/>
      <c r="V246" s="7" t="n"/>
      <c r="W246" s="7">
        <f>IF($D246="","",V246*AB246/100)</f>
        <v/>
      </c>
      <c r="X246" s="7">
        <f>IF($D246="","",V246-W246)</f>
        <v/>
      </c>
      <c r="Y246" s="7">
        <f>IF($D246="","",X246-N246)</f>
        <v/>
      </c>
      <c r="AB246">
        <f>IF($D246="","",IF($AN246=1,Settings!$C$8,IF($AM246=1,Settings!$C$6,Settings!$C$7))*100)</f>
        <v/>
      </c>
      <c r="AF246" s="7" t="n"/>
      <c r="AI246" s="11" t="n"/>
      <c r="AK246">
        <f>IF($D246="","",IF(COUNTIF($D$2:$D246,$D246)=1,1,0))</f>
        <v/>
      </c>
      <c r="AL246">
        <f>IF($AK246=1,SUMPRODUCT(--($AO$2:$AO$1601&lt;$AO246))+1,"")</f>
        <v/>
      </c>
      <c r="AM246">
        <f>IF($D246="","",IF(OR($R246=TRUE(),$R246="TRUE"),1,0))</f>
        <v/>
      </c>
      <c r="AN246">
        <f>IF($D246="","",IF($AA246="Yes",1,0))</f>
        <v/>
      </c>
      <c r="AO246">
        <f>IF($AK246=1,IFERROR(IF(VALUE($D246)&lt;100000000,VALUE($D246),1000000000),IFERROR(IF(VALUE(MID($D246,2,20))&lt;100000000,VALUE(MID($D246,2,20)),1000000000),1000000000))+ROW()/100000,"")</f>
        <v/>
      </c>
    </row>
    <row r="247">
      <c r="F247" s="11" t="n"/>
      <c r="N247" s="7">
        <f>IF($D247="","",M247*X247/100)</f>
        <v/>
      </c>
      <c r="O247" s="7" t="n"/>
      <c r="U247" s="7" t="n"/>
      <c r="V247" s="7" t="n"/>
      <c r="W247" s="7">
        <f>IF($D247="","",V247*AB247/100)</f>
        <v/>
      </c>
      <c r="X247" s="7">
        <f>IF($D247="","",V247-W247)</f>
        <v/>
      </c>
      <c r="Y247" s="7">
        <f>IF($D247="","",X247-N247)</f>
        <v/>
      </c>
      <c r="AB247">
        <f>IF($D247="","",IF($AN247=1,Settings!$C$8,IF($AM247=1,Settings!$C$6,Settings!$C$7))*100)</f>
        <v/>
      </c>
      <c r="AF247" s="7" t="n"/>
      <c r="AI247" s="11" t="n"/>
      <c r="AK247">
        <f>IF($D247="","",IF(COUNTIF($D$2:$D247,$D247)=1,1,0))</f>
        <v/>
      </c>
      <c r="AL247">
        <f>IF($AK247=1,SUMPRODUCT(--($AO$2:$AO$1601&lt;$AO247))+1,"")</f>
        <v/>
      </c>
      <c r="AM247">
        <f>IF($D247="","",IF(OR($R247=TRUE(),$R247="TRUE"),1,0))</f>
        <v/>
      </c>
      <c r="AN247">
        <f>IF($D247="","",IF($AA247="Yes",1,0))</f>
        <v/>
      </c>
      <c r="AO247">
        <f>IF($AK247=1,IFERROR(IF(VALUE($D247)&lt;100000000,VALUE($D247),1000000000),IFERROR(IF(VALUE(MID($D247,2,20))&lt;100000000,VALUE(MID($D247,2,20)),1000000000),1000000000))+ROW()/100000,"")</f>
        <v/>
      </c>
    </row>
    <row r="248">
      <c r="F248" s="11" t="n"/>
      <c r="N248" s="7">
        <f>IF($D248="","",M248*X248/100)</f>
        <v/>
      </c>
      <c r="O248" s="7" t="n"/>
      <c r="U248" s="7" t="n"/>
      <c r="V248" s="7" t="n"/>
      <c r="W248" s="7">
        <f>IF($D248="","",V248*AB248/100)</f>
        <v/>
      </c>
      <c r="X248" s="7">
        <f>IF($D248="","",V248-W248)</f>
        <v/>
      </c>
      <c r="Y248" s="7">
        <f>IF($D248="","",X248-N248)</f>
        <v/>
      </c>
      <c r="AB248">
        <f>IF($D248="","",IF($AN248=1,Settings!$C$8,IF($AM248=1,Settings!$C$6,Settings!$C$7))*100)</f>
        <v/>
      </c>
      <c r="AF248" s="7" t="n"/>
      <c r="AI248" s="11" t="n"/>
      <c r="AK248">
        <f>IF($D248="","",IF(COUNTIF($D$2:$D248,$D248)=1,1,0))</f>
        <v/>
      </c>
      <c r="AL248">
        <f>IF($AK248=1,SUMPRODUCT(--($AO$2:$AO$1601&lt;$AO248))+1,"")</f>
        <v/>
      </c>
      <c r="AM248">
        <f>IF($D248="","",IF(OR($R248=TRUE(),$R248="TRUE"),1,0))</f>
        <v/>
      </c>
      <c r="AN248">
        <f>IF($D248="","",IF($AA248="Yes",1,0))</f>
        <v/>
      </c>
      <c r="AO248">
        <f>IF($AK248=1,IFERROR(IF(VALUE($D248)&lt;100000000,VALUE($D248),1000000000),IFERROR(IF(VALUE(MID($D248,2,20))&lt;100000000,VALUE(MID($D248,2,20)),1000000000),1000000000))+ROW()/100000,"")</f>
        <v/>
      </c>
    </row>
    <row r="249">
      <c r="F249" s="11" t="n"/>
      <c r="N249" s="7">
        <f>IF($D249="","",M249*X249/100)</f>
        <v/>
      </c>
      <c r="O249" s="7" t="n"/>
      <c r="U249" s="7" t="n"/>
      <c r="V249" s="7" t="n"/>
      <c r="W249" s="7">
        <f>IF($D249="","",V249*AB249/100)</f>
        <v/>
      </c>
      <c r="X249" s="7">
        <f>IF($D249="","",V249-W249)</f>
        <v/>
      </c>
      <c r="Y249" s="7">
        <f>IF($D249="","",X249-N249)</f>
        <v/>
      </c>
      <c r="AB249">
        <f>IF($D249="","",IF($AN249=1,Settings!$C$8,IF($AM249=1,Settings!$C$6,Settings!$C$7))*100)</f>
        <v/>
      </c>
      <c r="AF249" s="7" t="n"/>
      <c r="AI249" s="11" t="n"/>
      <c r="AK249">
        <f>IF($D249="","",IF(COUNTIF($D$2:$D249,$D249)=1,1,0))</f>
        <v/>
      </c>
      <c r="AL249">
        <f>IF($AK249=1,SUMPRODUCT(--($AO$2:$AO$1601&lt;$AO249))+1,"")</f>
        <v/>
      </c>
      <c r="AM249">
        <f>IF($D249="","",IF(OR($R249=TRUE(),$R249="TRUE"),1,0))</f>
        <v/>
      </c>
      <c r="AN249">
        <f>IF($D249="","",IF($AA249="Yes",1,0))</f>
        <v/>
      </c>
      <c r="AO249">
        <f>IF($AK249=1,IFERROR(IF(VALUE($D249)&lt;100000000,VALUE($D249),1000000000),IFERROR(IF(VALUE(MID($D249,2,20))&lt;100000000,VALUE(MID($D249,2,20)),1000000000),1000000000))+ROW()/100000,"")</f>
        <v/>
      </c>
    </row>
    <row r="250">
      <c r="F250" s="11" t="n"/>
      <c r="N250" s="7">
        <f>IF($D250="","",M250*X250/100)</f>
        <v/>
      </c>
      <c r="O250" s="7" t="n"/>
      <c r="U250" s="7" t="n"/>
      <c r="V250" s="7" t="n"/>
      <c r="W250" s="7">
        <f>IF($D250="","",V250*AB250/100)</f>
        <v/>
      </c>
      <c r="X250" s="7">
        <f>IF($D250="","",V250-W250)</f>
        <v/>
      </c>
      <c r="Y250" s="7">
        <f>IF($D250="","",X250-N250)</f>
        <v/>
      </c>
      <c r="AB250">
        <f>IF($D250="","",IF($AN250=1,Settings!$C$8,IF($AM250=1,Settings!$C$6,Settings!$C$7))*100)</f>
        <v/>
      </c>
      <c r="AF250" s="7" t="n"/>
      <c r="AI250" s="11" t="n"/>
      <c r="AK250">
        <f>IF($D250="","",IF(COUNTIF($D$2:$D250,$D250)=1,1,0))</f>
        <v/>
      </c>
      <c r="AL250">
        <f>IF($AK250=1,SUMPRODUCT(--($AO$2:$AO$1601&lt;$AO250))+1,"")</f>
        <v/>
      </c>
      <c r="AM250">
        <f>IF($D250="","",IF(OR($R250=TRUE(),$R250="TRUE"),1,0))</f>
        <v/>
      </c>
      <c r="AN250">
        <f>IF($D250="","",IF($AA250="Yes",1,0))</f>
        <v/>
      </c>
      <c r="AO250">
        <f>IF($AK250=1,IFERROR(IF(VALUE($D250)&lt;100000000,VALUE($D250),1000000000),IFERROR(IF(VALUE(MID($D250,2,20))&lt;100000000,VALUE(MID($D250,2,20)),1000000000),1000000000))+ROW()/100000,"")</f>
        <v/>
      </c>
    </row>
    <row r="251">
      <c r="F251" s="11" t="n"/>
      <c r="N251" s="7">
        <f>IF($D251="","",M251*X251/100)</f>
        <v/>
      </c>
      <c r="O251" s="7" t="n"/>
      <c r="U251" s="7" t="n"/>
      <c r="V251" s="7" t="n"/>
      <c r="W251" s="7">
        <f>IF($D251="","",V251*AB251/100)</f>
        <v/>
      </c>
      <c r="X251" s="7">
        <f>IF($D251="","",V251-W251)</f>
        <v/>
      </c>
      <c r="Y251" s="7">
        <f>IF($D251="","",X251-N251)</f>
        <v/>
      </c>
      <c r="AB251">
        <f>IF($D251="","",IF($AN251=1,Settings!$C$8,IF($AM251=1,Settings!$C$6,Settings!$C$7))*100)</f>
        <v/>
      </c>
      <c r="AF251" s="7" t="n"/>
      <c r="AI251" s="11" t="n"/>
      <c r="AK251">
        <f>IF($D251="","",IF(COUNTIF($D$2:$D251,$D251)=1,1,0))</f>
        <v/>
      </c>
      <c r="AL251">
        <f>IF($AK251=1,SUMPRODUCT(--($AO$2:$AO$1601&lt;$AO251))+1,"")</f>
        <v/>
      </c>
      <c r="AM251">
        <f>IF($D251="","",IF(OR($R251=TRUE(),$R251="TRUE"),1,0))</f>
        <v/>
      </c>
      <c r="AN251">
        <f>IF($D251="","",IF($AA251="Yes",1,0))</f>
        <v/>
      </c>
      <c r="AO251">
        <f>IF($AK251=1,IFERROR(IF(VALUE($D251)&lt;100000000,VALUE($D251),1000000000),IFERROR(IF(VALUE(MID($D251,2,20))&lt;100000000,VALUE(MID($D251,2,20)),1000000000),1000000000))+ROW()/100000,"")</f>
        <v/>
      </c>
    </row>
    <row r="252">
      <c r="F252" s="11" t="n"/>
      <c r="N252" s="7">
        <f>IF($D252="","",M252*X252/100)</f>
        <v/>
      </c>
      <c r="O252" s="7" t="n"/>
      <c r="U252" s="7" t="n"/>
      <c r="V252" s="7" t="n"/>
      <c r="W252" s="7">
        <f>IF($D252="","",V252*AB252/100)</f>
        <v/>
      </c>
      <c r="X252" s="7">
        <f>IF($D252="","",V252-W252)</f>
        <v/>
      </c>
      <c r="Y252" s="7">
        <f>IF($D252="","",X252-N252)</f>
        <v/>
      </c>
      <c r="AB252">
        <f>IF($D252="","",IF($AN252=1,Settings!$C$8,IF($AM252=1,Settings!$C$6,Settings!$C$7))*100)</f>
        <v/>
      </c>
      <c r="AF252" s="7" t="n"/>
      <c r="AI252" s="11" t="n"/>
      <c r="AK252">
        <f>IF($D252="","",IF(COUNTIF($D$2:$D252,$D252)=1,1,0))</f>
        <v/>
      </c>
      <c r="AL252">
        <f>IF($AK252=1,SUMPRODUCT(--($AO$2:$AO$1601&lt;$AO252))+1,"")</f>
        <v/>
      </c>
      <c r="AM252">
        <f>IF($D252="","",IF(OR($R252=TRUE(),$R252="TRUE"),1,0))</f>
        <v/>
      </c>
      <c r="AN252">
        <f>IF($D252="","",IF($AA252="Yes",1,0))</f>
        <v/>
      </c>
      <c r="AO252">
        <f>IF($AK252=1,IFERROR(IF(VALUE($D252)&lt;100000000,VALUE($D252),1000000000),IFERROR(IF(VALUE(MID($D252,2,20))&lt;100000000,VALUE(MID($D252,2,20)),1000000000),1000000000))+ROW()/100000,"")</f>
        <v/>
      </c>
    </row>
    <row r="253">
      <c r="F253" s="11" t="n"/>
      <c r="N253" s="7">
        <f>IF($D253="","",M253*X253/100)</f>
        <v/>
      </c>
      <c r="O253" s="7" t="n"/>
      <c r="U253" s="7" t="n"/>
      <c r="V253" s="7" t="n"/>
      <c r="W253" s="7">
        <f>IF($D253="","",V253*AB253/100)</f>
        <v/>
      </c>
      <c r="X253" s="7">
        <f>IF($D253="","",V253-W253)</f>
        <v/>
      </c>
      <c r="Y253" s="7">
        <f>IF($D253="","",X253-N253)</f>
        <v/>
      </c>
      <c r="AB253">
        <f>IF($D253="","",IF($AN253=1,Settings!$C$8,IF($AM253=1,Settings!$C$6,Settings!$C$7))*100)</f>
        <v/>
      </c>
      <c r="AF253" s="7" t="n"/>
      <c r="AI253" s="11" t="n"/>
      <c r="AK253">
        <f>IF($D253="","",IF(COUNTIF($D$2:$D253,$D253)=1,1,0))</f>
        <v/>
      </c>
      <c r="AL253">
        <f>IF($AK253=1,SUMPRODUCT(--($AO$2:$AO$1601&lt;$AO253))+1,"")</f>
        <v/>
      </c>
      <c r="AM253">
        <f>IF($D253="","",IF(OR($R253=TRUE(),$R253="TRUE"),1,0))</f>
        <v/>
      </c>
      <c r="AN253">
        <f>IF($D253="","",IF($AA253="Yes",1,0))</f>
        <v/>
      </c>
      <c r="AO253">
        <f>IF($AK253=1,IFERROR(IF(VALUE($D253)&lt;100000000,VALUE($D253),1000000000),IFERROR(IF(VALUE(MID($D253,2,20))&lt;100000000,VALUE(MID($D253,2,20)),1000000000),1000000000))+ROW()/100000,"")</f>
        <v/>
      </c>
    </row>
    <row r="254">
      <c r="F254" s="11" t="n"/>
      <c r="N254" s="7">
        <f>IF($D254="","",M254*X254/100)</f>
        <v/>
      </c>
      <c r="O254" s="7" t="n"/>
      <c r="U254" s="7" t="n"/>
      <c r="V254" s="7" t="n"/>
      <c r="W254" s="7">
        <f>IF($D254="","",V254*AB254/100)</f>
        <v/>
      </c>
      <c r="X254" s="7">
        <f>IF($D254="","",V254-W254)</f>
        <v/>
      </c>
      <c r="Y254" s="7">
        <f>IF($D254="","",X254-N254)</f>
        <v/>
      </c>
      <c r="AB254">
        <f>IF($D254="","",IF($AN254=1,Settings!$C$8,IF($AM254=1,Settings!$C$6,Settings!$C$7))*100)</f>
        <v/>
      </c>
      <c r="AF254" s="7" t="n"/>
      <c r="AI254" s="11" t="n"/>
      <c r="AK254">
        <f>IF($D254="","",IF(COUNTIF($D$2:$D254,$D254)=1,1,0))</f>
        <v/>
      </c>
      <c r="AL254">
        <f>IF($AK254=1,SUMPRODUCT(--($AO$2:$AO$1601&lt;$AO254))+1,"")</f>
        <v/>
      </c>
      <c r="AM254">
        <f>IF($D254="","",IF(OR($R254=TRUE(),$R254="TRUE"),1,0))</f>
        <v/>
      </c>
      <c r="AN254">
        <f>IF($D254="","",IF($AA254="Yes",1,0))</f>
        <v/>
      </c>
      <c r="AO254">
        <f>IF($AK254=1,IFERROR(IF(VALUE($D254)&lt;100000000,VALUE($D254),1000000000),IFERROR(IF(VALUE(MID($D254,2,20))&lt;100000000,VALUE(MID($D254,2,20)),1000000000),1000000000))+ROW()/100000,"")</f>
        <v/>
      </c>
    </row>
    <row r="255">
      <c r="F255" s="11" t="n"/>
      <c r="N255" s="7">
        <f>IF($D255="","",M255*X255/100)</f>
        <v/>
      </c>
      <c r="O255" s="7" t="n"/>
      <c r="U255" s="7" t="n"/>
      <c r="V255" s="7" t="n"/>
      <c r="W255" s="7">
        <f>IF($D255="","",V255*AB255/100)</f>
        <v/>
      </c>
      <c r="X255" s="7">
        <f>IF($D255="","",V255-W255)</f>
        <v/>
      </c>
      <c r="Y255" s="7">
        <f>IF($D255="","",X255-N255)</f>
        <v/>
      </c>
      <c r="AB255">
        <f>IF($D255="","",IF($AN255=1,Settings!$C$8,IF($AM255=1,Settings!$C$6,Settings!$C$7))*100)</f>
        <v/>
      </c>
      <c r="AF255" s="7" t="n"/>
      <c r="AI255" s="11" t="n"/>
      <c r="AK255">
        <f>IF($D255="","",IF(COUNTIF($D$2:$D255,$D255)=1,1,0))</f>
        <v/>
      </c>
      <c r="AL255">
        <f>IF($AK255=1,SUMPRODUCT(--($AO$2:$AO$1601&lt;$AO255))+1,"")</f>
        <v/>
      </c>
      <c r="AM255">
        <f>IF($D255="","",IF(OR($R255=TRUE(),$R255="TRUE"),1,0))</f>
        <v/>
      </c>
      <c r="AN255">
        <f>IF($D255="","",IF($AA255="Yes",1,0))</f>
        <v/>
      </c>
      <c r="AO255">
        <f>IF($AK255=1,IFERROR(IF(VALUE($D255)&lt;100000000,VALUE($D255),1000000000),IFERROR(IF(VALUE(MID($D255,2,20))&lt;100000000,VALUE(MID($D255,2,20)),1000000000),1000000000))+ROW()/100000,"")</f>
        <v/>
      </c>
    </row>
    <row r="256">
      <c r="F256" s="11" t="n"/>
      <c r="N256" s="7">
        <f>IF($D256="","",M256*X256/100)</f>
        <v/>
      </c>
      <c r="O256" s="7" t="n"/>
      <c r="U256" s="7" t="n"/>
      <c r="V256" s="7" t="n"/>
      <c r="W256" s="7">
        <f>IF($D256="","",V256*AB256/100)</f>
        <v/>
      </c>
      <c r="X256" s="7">
        <f>IF($D256="","",V256-W256)</f>
        <v/>
      </c>
      <c r="Y256" s="7">
        <f>IF($D256="","",X256-N256)</f>
        <v/>
      </c>
      <c r="AB256">
        <f>IF($D256="","",IF($AN256=1,Settings!$C$8,IF($AM256=1,Settings!$C$6,Settings!$C$7))*100)</f>
        <v/>
      </c>
      <c r="AF256" s="7" t="n"/>
      <c r="AI256" s="11" t="n"/>
      <c r="AK256">
        <f>IF($D256="","",IF(COUNTIF($D$2:$D256,$D256)=1,1,0))</f>
        <v/>
      </c>
      <c r="AL256">
        <f>IF($AK256=1,SUMPRODUCT(--($AO$2:$AO$1601&lt;$AO256))+1,"")</f>
        <v/>
      </c>
      <c r="AM256">
        <f>IF($D256="","",IF(OR($R256=TRUE(),$R256="TRUE"),1,0))</f>
        <v/>
      </c>
      <c r="AN256">
        <f>IF($D256="","",IF($AA256="Yes",1,0))</f>
        <v/>
      </c>
      <c r="AO256">
        <f>IF($AK256=1,IFERROR(IF(VALUE($D256)&lt;100000000,VALUE($D256),1000000000),IFERROR(IF(VALUE(MID($D256,2,20))&lt;100000000,VALUE(MID($D256,2,20)),1000000000),1000000000))+ROW()/100000,"")</f>
        <v/>
      </c>
    </row>
    <row r="257">
      <c r="F257" s="11" t="n"/>
      <c r="N257" s="7">
        <f>IF($D257="","",M257*X257/100)</f>
        <v/>
      </c>
      <c r="O257" s="7" t="n"/>
      <c r="U257" s="7" t="n"/>
      <c r="V257" s="7" t="n"/>
      <c r="W257" s="7">
        <f>IF($D257="","",V257*AB257/100)</f>
        <v/>
      </c>
      <c r="X257" s="7">
        <f>IF($D257="","",V257-W257)</f>
        <v/>
      </c>
      <c r="Y257" s="7">
        <f>IF($D257="","",X257-N257)</f>
        <v/>
      </c>
      <c r="AB257">
        <f>IF($D257="","",IF($AN257=1,Settings!$C$8,IF($AM257=1,Settings!$C$6,Settings!$C$7))*100)</f>
        <v/>
      </c>
      <c r="AF257" s="7" t="n"/>
      <c r="AI257" s="11" t="n"/>
      <c r="AK257">
        <f>IF($D257="","",IF(COUNTIF($D$2:$D257,$D257)=1,1,0))</f>
        <v/>
      </c>
      <c r="AL257">
        <f>IF($AK257=1,SUMPRODUCT(--($AO$2:$AO$1601&lt;$AO257))+1,"")</f>
        <v/>
      </c>
      <c r="AM257">
        <f>IF($D257="","",IF(OR($R257=TRUE(),$R257="TRUE"),1,0))</f>
        <v/>
      </c>
      <c r="AN257">
        <f>IF($D257="","",IF($AA257="Yes",1,0))</f>
        <v/>
      </c>
      <c r="AO257">
        <f>IF($AK257=1,IFERROR(IF(VALUE($D257)&lt;100000000,VALUE($D257),1000000000),IFERROR(IF(VALUE(MID($D257,2,20))&lt;100000000,VALUE(MID($D257,2,20)),1000000000),1000000000))+ROW()/100000,"")</f>
        <v/>
      </c>
    </row>
    <row r="258">
      <c r="F258" s="11" t="n"/>
      <c r="N258" s="7">
        <f>IF($D258="","",M258*X258/100)</f>
        <v/>
      </c>
      <c r="O258" s="7" t="n"/>
      <c r="U258" s="7" t="n"/>
      <c r="V258" s="7" t="n"/>
      <c r="W258" s="7">
        <f>IF($D258="","",V258*AB258/100)</f>
        <v/>
      </c>
      <c r="X258" s="7">
        <f>IF($D258="","",V258-W258)</f>
        <v/>
      </c>
      <c r="Y258" s="7">
        <f>IF($D258="","",X258-N258)</f>
        <v/>
      </c>
      <c r="AB258">
        <f>IF($D258="","",IF($AN258=1,Settings!$C$8,IF($AM258=1,Settings!$C$6,Settings!$C$7))*100)</f>
        <v/>
      </c>
      <c r="AF258" s="7" t="n"/>
      <c r="AI258" s="11" t="n"/>
      <c r="AK258">
        <f>IF($D258="","",IF(COUNTIF($D$2:$D258,$D258)=1,1,0))</f>
        <v/>
      </c>
      <c r="AL258">
        <f>IF($AK258=1,SUMPRODUCT(--($AO$2:$AO$1601&lt;$AO258))+1,"")</f>
        <v/>
      </c>
      <c r="AM258">
        <f>IF($D258="","",IF(OR($R258=TRUE(),$R258="TRUE"),1,0))</f>
        <v/>
      </c>
      <c r="AN258">
        <f>IF($D258="","",IF($AA258="Yes",1,0))</f>
        <v/>
      </c>
      <c r="AO258">
        <f>IF($AK258=1,IFERROR(IF(VALUE($D258)&lt;100000000,VALUE($D258),1000000000),IFERROR(IF(VALUE(MID($D258,2,20))&lt;100000000,VALUE(MID($D258,2,20)),1000000000),1000000000))+ROW()/100000,"")</f>
        <v/>
      </c>
    </row>
    <row r="259">
      <c r="F259" s="11" t="n"/>
      <c r="N259" s="7">
        <f>IF($D259="","",M259*X259/100)</f>
        <v/>
      </c>
      <c r="O259" s="7" t="n"/>
      <c r="U259" s="7" t="n"/>
      <c r="V259" s="7" t="n"/>
      <c r="W259" s="7">
        <f>IF($D259="","",V259*AB259/100)</f>
        <v/>
      </c>
      <c r="X259" s="7">
        <f>IF($D259="","",V259-W259)</f>
        <v/>
      </c>
      <c r="Y259" s="7">
        <f>IF($D259="","",X259-N259)</f>
        <v/>
      </c>
      <c r="AB259">
        <f>IF($D259="","",IF($AN259=1,Settings!$C$8,IF($AM259=1,Settings!$C$6,Settings!$C$7))*100)</f>
        <v/>
      </c>
      <c r="AF259" s="7" t="n"/>
      <c r="AI259" s="11" t="n"/>
      <c r="AK259">
        <f>IF($D259="","",IF(COUNTIF($D$2:$D259,$D259)=1,1,0))</f>
        <v/>
      </c>
      <c r="AL259">
        <f>IF($AK259=1,SUMPRODUCT(--($AO$2:$AO$1601&lt;$AO259))+1,"")</f>
        <v/>
      </c>
      <c r="AM259">
        <f>IF($D259="","",IF(OR($R259=TRUE(),$R259="TRUE"),1,0))</f>
        <v/>
      </c>
      <c r="AN259">
        <f>IF($D259="","",IF($AA259="Yes",1,0))</f>
        <v/>
      </c>
      <c r="AO259">
        <f>IF($AK259=1,IFERROR(IF(VALUE($D259)&lt;100000000,VALUE($D259),1000000000),IFERROR(IF(VALUE(MID($D259,2,20))&lt;100000000,VALUE(MID($D259,2,20)),1000000000),1000000000))+ROW()/100000,"")</f>
        <v/>
      </c>
    </row>
    <row r="260">
      <c r="F260" s="11" t="n"/>
      <c r="N260" s="7">
        <f>IF($D260="","",M260*X260/100)</f>
        <v/>
      </c>
      <c r="O260" s="7" t="n"/>
      <c r="U260" s="7" t="n"/>
      <c r="V260" s="7" t="n"/>
      <c r="W260" s="7">
        <f>IF($D260="","",V260*AB260/100)</f>
        <v/>
      </c>
      <c r="X260" s="7">
        <f>IF($D260="","",V260-W260)</f>
        <v/>
      </c>
      <c r="Y260" s="7">
        <f>IF($D260="","",X260-N260)</f>
        <v/>
      </c>
      <c r="AB260">
        <f>IF($D260="","",IF($AN260=1,Settings!$C$8,IF($AM260=1,Settings!$C$6,Settings!$C$7))*100)</f>
        <v/>
      </c>
      <c r="AF260" s="7" t="n"/>
      <c r="AI260" s="11" t="n"/>
      <c r="AK260">
        <f>IF($D260="","",IF(COUNTIF($D$2:$D260,$D260)=1,1,0))</f>
        <v/>
      </c>
      <c r="AL260">
        <f>IF($AK260=1,SUMPRODUCT(--($AO$2:$AO$1601&lt;$AO260))+1,"")</f>
        <v/>
      </c>
      <c r="AM260">
        <f>IF($D260="","",IF(OR($R260=TRUE(),$R260="TRUE"),1,0))</f>
        <v/>
      </c>
      <c r="AN260">
        <f>IF($D260="","",IF($AA260="Yes",1,0))</f>
        <v/>
      </c>
      <c r="AO260">
        <f>IF($AK260=1,IFERROR(IF(VALUE($D260)&lt;100000000,VALUE($D260),1000000000),IFERROR(IF(VALUE(MID($D260,2,20))&lt;100000000,VALUE(MID($D260,2,20)),1000000000),1000000000))+ROW()/100000,"")</f>
        <v/>
      </c>
    </row>
    <row r="261">
      <c r="F261" s="11" t="n"/>
      <c r="N261" s="7">
        <f>IF($D261="","",M261*X261/100)</f>
        <v/>
      </c>
      <c r="O261" s="7" t="n"/>
      <c r="U261" s="7" t="n"/>
      <c r="V261" s="7" t="n"/>
      <c r="W261" s="7">
        <f>IF($D261="","",V261*AB261/100)</f>
        <v/>
      </c>
      <c r="X261" s="7">
        <f>IF($D261="","",V261-W261)</f>
        <v/>
      </c>
      <c r="Y261" s="7">
        <f>IF($D261="","",X261-N261)</f>
        <v/>
      </c>
      <c r="AB261">
        <f>IF($D261="","",IF($AN261=1,Settings!$C$8,IF($AM261=1,Settings!$C$6,Settings!$C$7))*100)</f>
        <v/>
      </c>
      <c r="AF261" s="7" t="n"/>
      <c r="AI261" s="11" t="n"/>
      <c r="AK261">
        <f>IF($D261="","",IF(COUNTIF($D$2:$D261,$D261)=1,1,0))</f>
        <v/>
      </c>
      <c r="AL261">
        <f>IF($AK261=1,SUMPRODUCT(--($AO$2:$AO$1601&lt;$AO261))+1,"")</f>
        <v/>
      </c>
      <c r="AM261">
        <f>IF($D261="","",IF(OR($R261=TRUE(),$R261="TRUE"),1,0))</f>
        <v/>
      </c>
      <c r="AN261">
        <f>IF($D261="","",IF($AA261="Yes",1,0))</f>
        <v/>
      </c>
      <c r="AO261">
        <f>IF($AK261=1,IFERROR(IF(VALUE($D261)&lt;100000000,VALUE($D261),1000000000),IFERROR(IF(VALUE(MID($D261,2,20))&lt;100000000,VALUE(MID($D261,2,20)),1000000000),1000000000))+ROW()/100000,"")</f>
        <v/>
      </c>
    </row>
    <row r="262">
      <c r="F262" s="11" t="n"/>
      <c r="N262" s="7">
        <f>IF($D262="","",M262*X262/100)</f>
        <v/>
      </c>
      <c r="O262" s="7" t="n"/>
      <c r="U262" s="7" t="n"/>
      <c r="V262" s="7" t="n"/>
      <c r="W262" s="7">
        <f>IF($D262="","",V262*AB262/100)</f>
        <v/>
      </c>
      <c r="X262" s="7">
        <f>IF($D262="","",V262-W262)</f>
        <v/>
      </c>
      <c r="Y262" s="7">
        <f>IF($D262="","",X262-N262)</f>
        <v/>
      </c>
      <c r="AB262">
        <f>IF($D262="","",IF($AN262=1,Settings!$C$8,IF($AM262=1,Settings!$C$6,Settings!$C$7))*100)</f>
        <v/>
      </c>
      <c r="AF262" s="7" t="n"/>
      <c r="AI262" s="11" t="n"/>
      <c r="AK262">
        <f>IF($D262="","",IF(COUNTIF($D$2:$D262,$D262)=1,1,0))</f>
        <v/>
      </c>
      <c r="AL262">
        <f>IF($AK262=1,SUMPRODUCT(--($AO$2:$AO$1601&lt;$AO262))+1,"")</f>
        <v/>
      </c>
      <c r="AM262">
        <f>IF($D262="","",IF(OR($R262=TRUE(),$R262="TRUE"),1,0))</f>
        <v/>
      </c>
      <c r="AN262">
        <f>IF($D262="","",IF($AA262="Yes",1,0))</f>
        <v/>
      </c>
      <c r="AO262">
        <f>IF($AK262=1,IFERROR(IF(VALUE($D262)&lt;100000000,VALUE($D262),1000000000),IFERROR(IF(VALUE(MID($D262,2,20))&lt;100000000,VALUE(MID($D262,2,20)),1000000000),1000000000))+ROW()/100000,"")</f>
        <v/>
      </c>
    </row>
    <row r="263">
      <c r="F263" s="11" t="n"/>
      <c r="N263" s="7">
        <f>IF($D263="","",M263*X263/100)</f>
        <v/>
      </c>
      <c r="O263" s="7" t="n"/>
      <c r="U263" s="7" t="n"/>
      <c r="V263" s="7" t="n"/>
      <c r="W263" s="7">
        <f>IF($D263="","",V263*AB263/100)</f>
        <v/>
      </c>
      <c r="X263" s="7">
        <f>IF($D263="","",V263-W263)</f>
        <v/>
      </c>
      <c r="Y263" s="7">
        <f>IF($D263="","",X263-N263)</f>
        <v/>
      </c>
      <c r="AB263">
        <f>IF($D263="","",IF($AN263=1,Settings!$C$8,IF($AM263=1,Settings!$C$6,Settings!$C$7))*100)</f>
        <v/>
      </c>
      <c r="AF263" s="7" t="n"/>
      <c r="AI263" s="11" t="n"/>
      <c r="AK263">
        <f>IF($D263="","",IF(COUNTIF($D$2:$D263,$D263)=1,1,0))</f>
        <v/>
      </c>
      <c r="AL263">
        <f>IF($AK263=1,SUMPRODUCT(--($AO$2:$AO$1601&lt;$AO263))+1,"")</f>
        <v/>
      </c>
      <c r="AM263">
        <f>IF($D263="","",IF(OR($R263=TRUE(),$R263="TRUE"),1,0))</f>
        <v/>
      </c>
      <c r="AN263">
        <f>IF($D263="","",IF($AA263="Yes",1,0))</f>
        <v/>
      </c>
      <c r="AO263">
        <f>IF($AK263=1,IFERROR(IF(VALUE($D263)&lt;100000000,VALUE($D263),1000000000),IFERROR(IF(VALUE(MID($D263,2,20))&lt;100000000,VALUE(MID($D263,2,20)),1000000000),1000000000))+ROW()/100000,"")</f>
        <v/>
      </c>
    </row>
    <row r="264">
      <c r="F264" s="11" t="n"/>
      <c r="N264" s="7">
        <f>IF($D264="","",M264*X264/100)</f>
        <v/>
      </c>
      <c r="O264" s="7" t="n"/>
      <c r="U264" s="7" t="n"/>
      <c r="V264" s="7" t="n"/>
      <c r="W264" s="7">
        <f>IF($D264="","",V264*AB264/100)</f>
        <v/>
      </c>
      <c r="X264" s="7">
        <f>IF($D264="","",V264-W264)</f>
        <v/>
      </c>
      <c r="Y264" s="7">
        <f>IF($D264="","",X264-N264)</f>
        <v/>
      </c>
      <c r="AB264">
        <f>IF($D264="","",IF($AN264=1,Settings!$C$8,IF($AM264=1,Settings!$C$6,Settings!$C$7))*100)</f>
        <v/>
      </c>
      <c r="AF264" s="7" t="n"/>
      <c r="AI264" s="11" t="n"/>
      <c r="AK264">
        <f>IF($D264="","",IF(COUNTIF($D$2:$D264,$D264)=1,1,0))</f>
        <v/>
      </c>
      <c r="AL264">
        <f>IF($AK264=1,SUMPRODUCT(--($AO$2:$AO$1601&lt;$AO264))+1,"")</f>
        <v/>
      </c>
      <c r="AM264">
        <f>IF($D264="","",IF(OR($R264=TRUE(),$R264="TRUE"),1,0))</f>
        <v/>
      </c>
      <c r="AN264">
        <f>IF($D264="","",IF($AA264="Yes",1,0))</f>
        <v/>
      </c>
      <c r="AO264">
        <f>IF($AK264=1,IFERROR(IF(VALUE($D264)&lt;100000000,VALUE($D264),1000000000),IFERROR(IF(VALUE(MID($D264,2,20))&lt;100000000,VALUE(MID($D264,2,20)),1000000000),1000000000))+ROW()/100000,"")</f>
        <v/>
      </c>
    </row>
    <row r="265">
      <c r="F265" s="11" t="n"/>
      <c r="N265" s="7">
        <f>IF($D265="","",M265*X265/100)</f>
        <v/>
      </c>
      <c r="O265" s="7" t="n"/>
      <c r="U265" s="7" t="n"/>
      <c r="V265" s="7" t="n"/>
      <c r="W265" s="7">
        <f>IF($D265="","",V265*AB265/100)</f>
        <v/>
      </c>
      <c r="X265" s="7">
        <f>IF($D265="","",V265-W265)</f>
        <v/>
      </c>
      <c r="Y265" s="7">
        <f>IF($D265="","",X265-N265)</f>
        <v/>
      </c>
      <c r="AB265">
        <f>IF($D265="","",IF($AN265=1,Settings!$C$8,IF($AM265=1,Settings!$C$6,Settings!$C$7))*100)</f>
        <v/>
      </c>
      <c r="AF265" s="7" t="n"/>
      <c r="AI265" s="11" t="n"/>
      <c r="AK265">
        <f>IF($D265="","",IF(COUNTIF($D$2:$D265,$D265)=1,1,0))</f>
        <v/>
      </c>
      <c r="AL265">
        <f>IF($AK265=1,SUMPRODUCT(--($AO$2:$AO$1601&lt;$AO265))+1,"")</f>
        <v/>
      </c>
      <c r="AM265">
        <f>IF($D265="","",IF(OR($R265=TRUE(),$R265="TRUE"),1,0))</f>
        <v/>
      </c>
      <c r="AN265">
        <f>IF($D265="","",IF($AA265="Yes",1,0))</f>
        <v/>
      </c>
      <c r="AO265">
        <f>IF($AK265=1,IFERROR(IF(VALUE($D265)&lt;100000000,VALUE($D265),1000000000),IFERROR(IF(VALUE(MID($D265,2,20))&lt;100000000,VALUE(MID($D265,2,20)),1000000000),1000000000))+ROW()/100000,"")</f>
        <v/>
      </c>
    </row>
    <row r="266">
      <c r="F266" s="11" t="n"/>
      <c r="N266" s="7">
        <f>IF($D266="","",M266*X266/100)</f>
        <v/>
      </c>
      <c r="O266" s="7" t="n"/>
      <c r="U266" s="7" t="n"/>
      <c r="V266" s="7" t="n"/>
      <c r="W266" s="7">
        <f>IF($D266="","",V266*AB266/100)</f>
        <v/>
      </c>
      <c r="X266" s="7">
        <f>IF($D266="","",V266-W266)</f>
        <v/>
      </c>
      <c r="Y266" s="7">
        <f>IF($D266="","",X266-N266)</f>
        <v/>
      </c>
      <c r="AB266">
        <f>IF($D266="","",IF($AN266=1,Settings!$C$8,IF($AM266=1,Settings!$C$6,Settings!$C$7))*100)</f>
        <v/>
      </c>
      <c r="AF266" s="7" t="n"/>
      <c r="AI266" s="11" t="n"/>
      <c r="AK266">
        <f>IF($D266="","",IF(COUNTIF($D$2:$D266,$D266)=1,1,0))</f>
        <v/>
      </c>
      <c r="AL266">
        <f>IF($AK266=1,SUMPRODUCT(--($AO$2:$AO$1601&lt;$AO266))+1,"")</f>
        <v/>
      </c>
      <c r="AM266">
        <f>IF($D266="","",IF(OR($R266=TRUE(),$R266="TRUE"),1,0))</f>
        <v/>
      </c>
      <c r="AN266">
        <f>IF($D266="","",IF($AA266="Yes",1,0))</f>
        <v/>
      </c>
      <c r="AO266">
        <f>IF($AK266=1,IFERROR(IF(VALUE($D266)&lt;100000000,VALUE($D266),1000000000),IFERROR(IF(VALUE(MID($D266,2,20))&lt;100000000,VALUE(MID($D266,2,20)),1000000000),1000000000))+ROW()/100000,"")</f>
        <v/>
      </c>
    </row>
    <row r="267">
      <c r="F267" s="11" t="n"/>
      <c r="N267" s="7">
        <f>IF($D267="","",M267*X267/100)</f>
        <v/>
      </c>
      <c r="O267" s="7" t="n"/>
      <c r="U267" s="7" t="n"/>
      <c r="V267" s="7" t="n"/>
      <c r="W267" s="7">
        <f>IF($D267="","",V267*AB267/100)</f>
        <v/>
      </c>
      <c r="X267" s="7">
        <f>IF($D267="","",V267-W267)</f>
        <v/>
      </c>
      <c r="Y267" s="7">
        <f>IF($D267="","",X267-N267)</f>
        <v/>
      </c>
      <c r="AB267">
        <f>IF($D267="","",IF($AN267=1,Settings!$C$8,IF($AM267=1,Settings!$C$6,Settings!$C$7))*100)</f>
        <v/>
      </c>
      <c r="AF267" s="7" t="n"/>
      <c r="AI267" s="11" t="n"/>
      <c r="AK267">
        <f>IF($D267="","",IF(COUNTIF($D$2:$D267,$D267)=1,1,0))</f>
        <v/>
      </c>
      <c r="AL267">
        <f>IF($AK267=1,SUMPRODUCT(--($AO$2:$AO$1601&lt;$AO267))+1,"")</f>
        <v/>
      </c>
      <c r="AM267">
        <f>IF($D267="","",IF(OR($R267=TRUE(),$R267="TRUE"),1,0))</f>
        <v/>
      </c>
      <c r="AN267">
        <f>IF($D267="","",IF($AA267="Yes",1,0))</f>
        <v/>
      </c>
      <c r="AO267">
        <f>IF($AK267=1,IFERROR(IF(VALUE($D267)&lt;100000000,VALUE($D267),1000000000),IFERROR(IF(VALUE(MID($D267,2,20))&lt;100000000,VALUE(MID($D267,2,20)),1000000000),1000000000))+ROW()/100000,"")</f>
        <v/>
      </c>
    </row>
    <row r="268">
      <c r="F268" s="11" t="n"/>
      <c r="N268" s="7">
        <f>IF($D268="","",M268*X268/100)</f>
        <v/>
      </c>
      <c r="O268" s="7" t="n"/>
      <c r="U268" s="7" t="n"/>
      <c r="V268" s="7" t="n"/>
      <c r="W268" s="7">
        <f>IF($D268="","",V268*AB268/100)</f>
        <v/>
      </c>
      <c r="X268" s="7">
        <f>IF($D268="","",V268-W268)</f>
        <v/>
      </c>
      <c r="Y268" s="7">
        <f>IF($D268="","",X268-N268)</f>
        <v/>
      </c>
      <c r="AB268">
        <f>IF($D268="","",IF($AN268=1,Settings!$C$8,IF($AM268=1,Settings!$C$6,Settings!$C$7))*100)</f>
        <v/>
      </c>
      <c r="AF268" s="7" t="n"/>
      <c r="AI268" s="11" t="n"/>
      <c r="AK268">
        <f>IF($D268="","",IF(COUNTIF($D$2:$D268,$D268)=1,1,0))</f>
        <v/>
      </c>
      <c r="AL268">
        <f>IF($AK268=1,SUMPRODUCT(--($AO$2:$AO$1601&lt;$AO268))+1,"")</f>
        <v/>
      </c>
      <c r="AM268">
        <f>IF($D268="","",IF(OR($R268=TRUE(),$R268="TRUE"),1,0))</f>
        <v/>
      </c>
      <c r="AN268">
        <f>IF($D268="","",IF($AA268="Yes",1,0))</f>
        <v/>
      </c>
      <c r="AO268">
        <f>IF($AK268=1,IFERROR(IF(VALUE($D268)&lt;100000000,VALUE($D268),1000000000),IFERROR(IF(VALUE(MID($D268,2,20))&lt;100000000,VALUE(MID($D268,2,20)),1000000000),1000000000))+ROW()/100000,"")</f>
        <v/>
      </c>
    </row>
    <row r="269">
      <c r="F269" s="11" t="n"/>
      <c r="N269" s="7">
        <f>IF($D269="","",M269*X269/100)</f>
        <v/>
      </c>
      <c r="O269" s="7" t="n"/>
      <c r="U269" s="7" t="n"/>
      <c r="V269" s="7" t="n"/>
      <c r="W269" s="7">
        <f>IF($D269="","",V269*AB269/100)</f>
        <v/>
      </c>
      <c r="X269" s="7">
        <f>IF($D269="","",V269-W269)</f>
        <v/>
      </c>
      <c r="Y269" s="7">
        <f>IF($D269="","",X269-N269)</f>
        <v/>
      </c>
      <c r="AB269">
        <f>IF($D269="","",IF($AN269=1,Settings!$C$8,IF($AM269=1,Settings!$C$6,Settings!$C$7))*100)</f>
        <v/>
      </c>
      <c r="AF269" s="7" t="n"/>
      <c r="AI269" s="11" t="n"/>
      <c r="AK269">
        <f>IF($D269="","",IF(COUNTIF($D$2:$D269,$D269)=1,1,0))</f>
        <v/>
      </c>
      <c r="AL269">
        <f>IF($AK269=1,SUMPRODUCT(--($AO$2:$AO$1601&lt;$AO269))+1,"")</f>
        <v/>
      </c>
      <c r="AM269">
        <f>IF($D269="","",IF(OR($R269=TRUE(),$R269="TRUE"),1,0))</f>
        <v/>
      </c>
      <c r="AN269">
        <f>IF($D269="","",IF($AA269="Yes",1,0))</f>
        <v/>
      </c>
      <c r="AO269">
        <f>IF($AK269=1,IFERROR(IF(VALUE($D269)&lt;100000000,VALUE($D269),1000000000),IFERROR(IF(VALUE(MID($D269,2,20))&lt;100000000,VALUE(MID($D269,2,20)),1000000000),1000000000))+ROW()/100000,"")</f>
        <v/>
      </c>
    </row>
    <row r="270">
      <c r="F270" s="11" t="n"/>
      <c r="N270" s="7">
        <f>IF($D270="","",M270*X270/100)</f>
        <v/>
      </c>
      <c r="O270" s="7" t="n"/>
      <c r="U270" s="7" t="n"/>
      <c r="V270" s="7" t="n"/>
      <c r="W270" s="7">
        <f>IF($D270="","",V270*AB270/100)</f>
        <v/>
      </c>
      <c r="X270" s="7">
        <f>IF($D270="","",V270-W270)</f>
        <v/>
      </c>
      <c r="Y270" s="7">
        <f>IF($D270="","",X270-N270)</f>
        <v/>
      </c>
      <c r="AB270">
        <f>IF($D270="","",IF($AN270=1,Settings!$C$8,IF($AM270=1,Settings!$C$6,Settings!$C$7))*100)</f>
        <v/>
      </c>
      <c r="AF270" s="7" t="n"/>
      <c r="AI270" s="11" t="n"/>
      <c r="AK270">
        <f>IF($D270="","",IF(COUNTIF($D$2:$D270,$D270)=1,1,0))</f>
        <v/>
      </c>
      <c r="AL270">
        <f>IF($AK270=1,SUMPRODUCT(--($AO$2:$AO$1601&lt;$AO270))+1,"")</f>
        <v/>
      </c>
      <c r="AM270">
        <f>IF($D270="","",IF(OR($R270=TRUE(),$R270="TRUE"),1,0))</f>
        <v/>
      </c>
      <c r="AN270">
        <f>IF($D270="","",IF($AA270="Yes",1,0))</f>
        <v/>
      </c>
      <c r="AO270">
        <f>IF($AK270=1,IFERROR(IF(VALUE($D270)&lt;100000000,VALUE($D270),1000000000),IFERROR(IF(VALUE(MID($D270,2,20))&lt;100000000,VALUE(MID($D270,2,20)),1000000000),1000000000))+ROW()/100000,"")</f>
        <v/>
      </c>
    </row>
    <row r="271">
      <c r="F271" s="11" t="n"/>
      <c r="N271" s="7">
        <f>IF($D271="","",M271*X271/100)</f>
        <v/>
      </c>
      <c r="O271" s="7" t="n"/>
      <c r="U271" s="7" t="n"/>
      <c r="V271" s="7" t="n"/>
      <c r="W271" s="7">
        <f>IF($D271="","",V271*AB271/100)</f>
        <v/>
      </c>
      <c r="X271" s="7">
        <f>IF($D271="","",V271-W271)</f>
        <v/>
      </c>
      <c r="Y271" s="7">
        <f>IF($D271="","",X271-N271)</f>
        <v/>
      </c>
      <c r="AB271">
        <f>IF($D271="","",IF($AN271=1,Settings!$C$8,IF($AM271=1,Settings!$C$6,Settings!$C$7))*100)</f>
        <v/>
      </c>
      <c r="AF271" s="7" t="n"/>
      <c r="AI271" s="11" t="n"/>
      <c r="AK271">
        <f>IF($D271="","",IF(COUNTIF($D$2:$D271,$D271)=1,1,0))</f>
        <v/>
      </c>
      <c r="AL271">
        <f>IF($AK271=1,SUMPRODUCT(--($AO$2:$AO$1601&lt;$AO271))+1,"")</f>
        <v/>
      </c>
      <c r="AM271">
        <f>IF($D271="","",IF(OR($R271=TRUE(),$R271="TRUE"),1,0))</f>
        <v/>
      </c>
      <c r="AN271">
        <f>IF($D271="","",IF($AA271="Yes",1,0))</f>
        <v/>
      </c>
      <c r="AO271">
        <f>IF($AK271=1,IFERROR(IF(VALUE($D271)&lt;100000000,VALUE($D271),1000000000),IFERROR(IF(VALUE(MID($D271,2,20))&lt;100000000,VALUE(MID($D271,2,20)),1000000000),1000000000))+ROW()/100000,"")</f>
        <v/>
      </c>
    </row>
    <row r="272">
      <c r="F272" s="11" t="n"/>
      <c r="N272" s="7">
        <f>IF($D272="","",M272*X272/100)</f>
        <v/>
      </c>
      <c r="O272" s="7" t="n"/>
      <c r="U272" s="7" t="n"/>
      <c r="V272" s="7" t="n"/>
      <c r="W272" s="7">
        <f>IF($D272="","",V272*AB272/100)</f>
        <v/>
      </c>
      <c r="X272" s="7">
        <f>IF($D272="","",V272-W272)</f>
        <v/>
      </c>
      <c r="Y272" s="7">
        <f>IF($D272="","",X272-N272)</f>
        <v/>
      </c>
      <c r="AB272">
        <f>IF($D272="","",IF($AN272=1,Settings!$C$8,IF($AM272=1,Settings!$C$6,Settings!$C$7))*100)</f>
        <v/>
      </c>
      <c r="AF272" s="7" t="n"/>
      <c r="AI272" s="11" t="n"/>
      <c r="AK272">
        <f>IF($D272="","",IF(COUNTIF($D$2:$D272,$D272)=1,1,0))</f>
        <v/>
      </c>
      <c r="AL272">
        <f>IF($AK272=1,SUMPRODUCT(--($AO$2:$AO$1601&lt;$AO272))+1,"")</f>
        <v/>
      </c>
      <c r="AM272">
        <f>IF($D272="","",IF(OR($R272=TRUE(),$R272="TRUE"),1,0))</f>
        <v/>
      </c>
      <c r="AN272">
        <f>IF($D272="","",IF($AA272="Yes",1,0))</f>
        <v/>
      </c>
      <c r="AO272">
        <f>IF($AK272=1,IFERROR(IF(VALUE($D272)&lt;100000000,VALUE($D272),1000000000),IFERROR(IF(VALUE(MID($D272,2,20))&lt;100000000,VALUE(MID($D272,2,20)),1000000000),1000000000))+ROW()/100000,"")</f>
        <v/>
      </c>
    </row>
    <row r="273">
      <c r="F273" s="11" t="n"/>
      <c r="N273" s="7">
        <f>IF($D273="","",M273*X273/100)</f>
        <v/>
      </c>
      <c r="O273" s="7" t="n"/>
      <c r="U273" s="7" t="n"/>
      <c r="V273" s="7" t="n"/>
      <c r="W273" s="7">
        <f>IF($D273="","",V273*AB273/100)</f>
        <v/>
      </c>
      <c r="X273" s="7">
        <f>IF($D273="","",V273-W273)</f>
        <v/>
      </c>
      <c r="Y273" s="7">
        <f>IF($D273="","",X273-N273)</f>
        <v/>
      </c>
      <c r="AB273">
        <f>IF($D273="","",IF($AN273=1,Settings!$C$8,IF($AM273=1,Settings!$C$6,Settings!$C$7))*100)</f>
        <v/>
      </c>
      <c r="AF273" s="7" t="n"/>
      <c r="AI273" s="11" t="n"/>
      <c r="AK273">
        <f>IF($D273="","",IF(COUNTIF($D$2:$D273,$D273)=1,1,0))</f>
        <v/>
      </c>
      <c r="AL273">
        <f>IF($AK273=1,SUMPRODUCT(--($AO$2:$AO$1601&lt;$AO273))+1,"")</f>
        <v/>
      </c>
      <c r="AM273">
        <f>IF($D273="","",IF(OR($R273=TRUE(),$R273="TRUE"),1,0))</f>
        <v/>
      </c>
      <c r="AN273">
        <f>IF($D273="","",IF($AA273="Yes",1,0))</f>
        <v/>
      </c>
      <c r="AO273">
        <f>IF($AK273=1,IFERROR(IF(VALUE($D273)&lt;100000000,VALUE($D273),1000000000),IFERROR(IF(VALUE(MID($D273,2,20))&lt;100000000,VALUE(MID($D273,2,20)),1000000000),1000000000))+ROW()/100000,"")</f>
        <v/>
      </c>
    </row>
    <row r="274">
      <c r="F274" s="11" t="n"/>
      <c r="N274" s="7">
        <f>IF($D274="","",M274*X274/100)</f>
        <v/>
      </c>
      <c r="O274" s="7" t="n"/>
      <c r="U274" s="7" t="n"/>
      <c r="V274" s="7" t="n"/>
      <c r="W274" s="7">
        <f>IF($D274="","",V274*AB274/100)</f>
        <v/>
      </c>
      <c r="X274" s="7">
        <f>IF($D274="","",V274-W274)</f>
        <v/>
      </c>
      <c r="Y274" s="7">
        <f>IF($D274="","",X274-N274)</f>
        <v/>
      </c>
      <c r="AB274">
        <f>IF($D274="","",IF($AN274=1,Settings!$C$8,IF($AM274=1,Settings!$C$6,Settings!$C$7))*100)</f>
        <v/>
      </c>
      <c r="AF274" s="7" t="n"/>
      <c r="AI274" s="11" t="n"/>
      <c r="AK274">
        <f>IF($D274="","",IF(COUNTIF($D$2:$D274,$D274)=1,1,0))</f>
        <v/>
      </c>
      <c r="AL274">
        <f>IF($AK274=1,SUMPRODUCT(--($AO$2:$AO$1601&lt;$AO274))+1,"")</f>
        <v/>
      </c>
      <c r="AM274">
        <f>IF($D274="","",IF(OR($R274=TRUE(),$R274="TRUE"),1,0))</f>
        <v/>
      </c>
      <c r="AN274">
        <f>IF($D274="","",IF($AA274="Yes",1,0))</f>
        <v/>
      </c>
      <c r="AO274">
        <f>IF($AK274=1,IFERROR(IF(VALUE($D274)&lt;100000000,VALUE($D274),1000000000),IFERROR(IF(VALUE(MID($D274,2,20))&lt;100000000,VALUE(MID($D274,2,20)),1000000000),1000000000))+ROW()/100000,"")</f>
        <v/>
      </c>
    </row>
    <row r="275">
      <c r="F275" s="11" t="n"/>
      <c r="N275" s="7">
        <f>IF($D275="","",M275*X275/100)</f>
        <v/>
      </c>
      <c r="O275" s="7" t="n"/>
      <c r="U275" s="7" t="n"/>
      <c r="V275" s="7" t="n"/>
      <c r="W275" s="7">
        <f>IF($D275="","",V275*AB275/100)</f>
        <v/>
      </c>
      <c r="X275" s="7">
        <f>IF($D275="","",V275-W275)</f>
        <v/>
      </c>
      <c r="Y275" s="7">
        <f>IF($D275="","",X275-N275)</f>
        <v/>
      </c>
      <c r="AB275">
        <f>IF($D275="","",IF($AN275=1,Settings!$C$8,IF($AM275=1,Settings!$C$6,Settings!$C$7))*100)</f>
        <v/>
      </c>
      <c r="AF275" s="7" t="n"/>
      <c r="AI275" s="11" t="n"/>
      <c r="AK275">
        <f>IF($D275="","",IF(COUNTIF($D$2:$D275,$D275)=1,1,0))</f>
        <v/>
      </c>
      <c r="AL275">
        <f>IF($AK275=1,SUMPRODUCT(--($AO$2:$AO$1601&lt;$AO275))+1,"")</f>
        <v/>
      </c>
      <c r="AM275">
        <f>IF($D275="","",IF(OR($R275=TRUE(),$R275="TRUE"),1,0))</f>
        <v/>
      </c>
      <c r="AN275">
        <f>IF($D275="","",IF($AA275="Yes",1,0))</f>
        <v/>
      </c>
      <c r="AO275">
        <f>IF($AK275=1,IFERROR(IF(VALUE($D275)&lt;100000000,VALUE($D275),1000000000),IFERROR(IF(VALUE(MID($D275,2,20))&lt;100000000,VALUE(MID($D275,2,20)),1000000000),1000000000))+ROW()/100000,"")</f>
        <v/>
      </c>
    </row>
    <row r="276">
      <c r="F276" s="11" t="n"/>
      <c r="N276" s="7">
        <f>IF($D276="","",M276*X276/100)</f>
        <v/>
      </c>
      <c r="O276" s="7" t="n"/>
      <c r="U276" s="7" t="n"/>
      <c r="V276" s="7" t="n"/>
      <c r="W276" s="7">
        <f>IF($D276="","",V276*AB276/100)</f>
        <v/>
      </c>
      <c r="X276" s="7">
        <f>IF($D276="","",V276-W276)</f>
        <v/>
      </c>
      <c r="Y276" s="7">
        <f>IF($D276="","",X276-N276)</f>
        <v/>
      </c>
      <c r="AB276">
        <f>IF($D276="","",IF($AN276=1,Settings!$C$8,IF($AM276=1,Settings!$C$6,Settings!$C$7))*100)</f>
        <v/>
      </c>
      <c r="AF276" s="7" t="n"/>
      <c r="AI276" s="11" t="n"/>
      <c r="AK276">
        <f>IF($D276="","",IF(COUNTIF($D$2:$D276,$D276)=1,1,0))</f>
        <v/>
      </c>
      <c r="AL276">
        <f>IF($AK276=1,SUMPRODUCT(--($AO$2:$AO$1601&lt;$AO276))+1,"")</f>
        <v/>
      </c>
      <c r="AM276">
        <f>IF($D276="","",IF(OR($R276=TRUE(),$R276="TRUE"),1,0))</f>
        <v/>
      </c>
      <c r="AN276">
        <f>IF($D276="","",IF($AA276="Yes",1,0))</f>
        <v/>
      </c>
      <c r="AO276">
        <f>IF($AK276=1,IFERROR(IF(VALUE($D276)&lt;100000000,VALUE($D276),1000000000),IFERROR(IF(VALUE(MID($D276,2,20))&lt;100000000,VALUE(MID($D276,2,20)),1000000000),1000000000))+ROW()/100000,"")</f>
        <v/>
      </c>
    </row>
    <row r="277">
      <c r="F277" s="11" t="n"/>
      <c r="N277" s="7">
        <f>IF($D277="","",M277*X277/100)</f>
        <v/>
      </c>
      <c r="O277" s="7" t="n"/>
      <c r="U277" s="7" t="n"/>
      <c r="V277" s="7" t="n"/>
      <c r="W277" s="7">
        <f>IF($D277="","",V277*AB277/100)</f>
        <v/>
      </c>
      <c r="X277" s="7">
        <f>IF($D277="","",V277-W277)</f>
        <v/>
      </c>
      <c r="Y277" s="7">
        <f>IF($D277="","",X277-N277)</f>
        <v/>
      </c>
      <c r="AB277">
        <f>IF($D277="","",IF($AN277=1,Settings!$C$8,IF($AM277=1,Settings!$C$6,Settings!$C$7))*100)</f>
        <v/>
      </c>
      <c r="AF277" s="7" t="n"/>
      <c r="AI277" s="11" t="n"/>
      <c r="AK277">
        <f>IF($D277="","",IF(COUNTIF($D$2:$D277,$D277)=1,1,0))</f>
        <v/>
      </c>
      <c r="AL277">
        <f>IF($AK277=1,SUMPRODUCT(--($AO$2:$AO$1601&lt;$AO277))+1,"")</f>
        <v/>
      </c>
      <c r="AM277">
        <f>IF($D277="","",IF(OR($R277=TRUE(),$R277="TRUE"),1,0))</f>
        <v/>
      </c>
      <c r="AN277">
        <f>IF($D277="","",IF($AA277="Yes",1,0))</f>
        <v/>
      </c>
      <c r="AO277">
        <f>IF($AK277=1,IFERROR(IF(VALUE($D277)&lt;100000000,VALUE($D277),1000000000),IFERROR(IF(VALUE(MID($D277,2,20))&lt;100000000,VALUE(MID($D277,2,20)),1000000000),1000000000))+ROW()/100000,"")</f>
        <v/>
      </c>
    </row>
    <row r="278">
      <c r="F278" s="11" t="n"/>
      <c r="N278" s="7">
        <f>IF($D278="","",M278*X278/100)</f>
        <v/>
      </c>
      <c r="O278" s="7" t="n"/>
      <c r="U278" s="7" t="n"/>
      <c r="V278" s="7" t="n"/>
      <c r="W278" s="7">
        <f>IF($D278="","",V278*AB278/100)</f>
        <v/>
      </c>
      <c r="X278" s="7">
        <f>IF($D278="","",V278-W278)</f>
        <v/>
      </c>
      <c r="Y278" s="7">
        <f>IF($D278="","",X278-N278)</f>
        <v/>
      </c>
      <c r="AB278">
        <f>IF($D278="","",IF($AN278=1,Settings!$C$8,IF($AM278=1,Settings!$C$6,Settings!$C$7))*100)</f>
        <v/>
      </c>
      <c r="AF278" s="7" t="n"/>
      <c r="AI278" s="11" t="n"/>
      <c r="AK278">
        <f>IF($D278="","",IF(COUNTIF($D$2:$D278,$D278)=1,1,0))</f>
        <v/>
      </c>
      <c r="AL278">
        <f>IF($AK278=1,SUMPRODUCT(--($AO$2:$AO$1601&lt;$AO278))+1,"")</f>
        <v/>
      </c>
      <c r="AM278">
        <f>IF($D278="","",IF(OR($R278=TRUE(),$R278="TRUE"),1,0))</f>
        <v/>
      </c>
      <c r="AN278">
        <f>IF($D278="","",IF($AA278="Yes",1,0))</f>
        <v/>
      </c>
      <c r="AO278">
        <f>IF($AK278=1,IFERROR(IF(VALUE($D278)&lt;100000000,VALUE($D278),1000000000),IFERROR(IF(VALUE(MID($D278,2,20))&lt;100000000,VALUE(MID($D278,2,20)),1000000000),1000000000))+ROW()/100000,"")</f>
        <v/>
      </c>
    </row>
    <row r="279">
      <c r="F279" s="11" t="n"/>
      <c r="N279" s="7">
        <f>IF($D279="","",M279*X279/100)</f>
        <v/>
      </c>
      <c r="O279" s="7" t="n"/>
      <c r="U279" s="7" t="n"/>
      <c r="V279" s="7" t="n"/>
      <c r="W279" s="7">
        <f>IF($D279="","",V279*AB279/100)</f>
        <v/>
      </c>
      <c r="X279" s="7">
        <f>IF($D279="","",V279-W279)</f>
        <v/>
      </c>
      <c r="Y279" s="7">
        <f>IF($D279="","",X279-N279)</f>
        <v/>
      </c>
      <c r="AB279">
        <f>IF($D279="","",IF($AN279=1,Settings!$C$8,IF($AM279=1,Settings!$C$6,Settings!$C$7))*100)</f>
        <v/>
      </c>
      <c r="AF279" s="7" t="n"/>
      <c r="AI279" s="11" t="n"/>
      <c r="AK279">
        <f>IF($D279="","",IF(COUNTIF($D$2:$D279,$D279)=1,1,0))</f>
        <v/>
      </c>
      <c r="AL279">
        <f>IF($AK279=1,SUMPRODUCT(--($AO$2:$AO$1601&lt;$AO279))+1,"")</f>
        <v/>
      </c>
      <c r="AM279">
        <f>IF($D279="","",IF(OR($R279=TRUE(),$R279="TRUE"),1,0))</f>
        <v/>
      </c>
      <c r="AN279">
        <f>IF($D279="","",IF($AA279="Yes",1,0))</f>
        <v/>
      </c>
      <c r="AO279">
        <f>IF($AK279=1,IFERROR(IF(VALUE($D279)&lt;100000000,VALUE($D279),1000000000),IFERROR(IF(VALUE(MID($D279,2,20))&lt;100000000,VALUE(MID($D279,2,20)),1000000000),1000000000))+ROW()/100000,"")</f>
        <v/>
      </c>
    </row>
    <row r="280">
      <c r="F280" s="11" t="n"/>
      <c r="N280" s="7">
        <f>IF($D280="","",M280*X280/100)</f>
        <v/>
      </c>
      <c r="O280" s="7" t="n"/>
      <c r="U280" s="7" t="n"/>
      <c r="V280" s="7" t="n"/>
      <c r="W280" s="7">
        <f>IF($D280="","",V280*AB280/100)</f>
        <v/>
      </c>
      <c r="X280" s="7">
        <f>IF($D280="","",V280-W280)</f>
        <v/>
      </c>
      <c r="Y280" s="7">
        <f>IF($D280="","",X280-N280)</f>
        <v/>
      </c>
      <c r="AB280">
        <f>IF($D280="","",IF($AN280=1,Settings!$C$8,IF($AM280=1,Settings!$C$6,Settings!$C$7))*100)</f>
        <v/>
      </c>
      <c r="AF280" s="7" t="n"/>
      <c r="AI280" s="11" t="n"/>
      <c r="AK280">
        <f>IF($D280="","",IF(COUNTIF($D$2:$D280,$D280)=1,1,0))</f>
        <v/>
      </c>
      <c r="AL280">
        <f>IF($AK280=1,SUMPRODUCT(--($AO$2:$AO$1601&lt;$AO280))+1,"")</f>
        <v/>
      </c>
      <c r="AM280">
        <f>IF($D280="","",IF(OR($R280=TRUE(),$R280="TRUE"),1,0))</f>
        <v/>
      </c>
      <c r="AN280">
        <f>IF($D280="","",IF($AA280="Yes",1,0))</f>
        <v/>
      </c>
      <c r="AO280">
        <f>IF($AK280=1,IFERROR(IF(VALUE($D280)&lt;100000000,VALUE($D280),1000000000),IFERROR(IF(VALUE(MID($D280,2,20))&lt;100000000,VALUE(MID($D280,2,20)),1000000000),1000000000))+ROW()/100000,"")</f>
        <v/>
      </c>
    </row>
    <row r="281">
      <c r="F281" s="11" t="n"/>
      <c r="N281" s="7">
        <f>IF($D281="","",M281*X281/100)</f>
        <v/>
      </c>
      <c r="O281" s="7" t="n"/>
      <c r="U281" s="7" t="n"/>
      <c r="V281" s="7" t="n"/>
      <c r="W281" s="7">
        <f>IF($D281="","",V281*AB281/100)</f>
        <v/>
      </c>
      <c r="X281" s="7">
        <f>IF($D281="","",V281-W281)</f>
        <v/>
      </c>
      <c r="Y281" s="7">
        <f>IF($D281="","",X281-N281)</f>
        <v/>
      </c>
      <c r="AB281">
        <f>IF($D281="","",IF($AN281=1,Settings!$C$8,IF($AM281=1,Settings!$C$6,Settings!$C$7))*100)</f>
        <v/>
      </c>
      <c r="AF281" s="7" t="n"/>
      <c r="AI281" s="11" t="n"/>
      <c r="AK281">
        <f>IF($D281="","",IF(COUNTIF($D$2:$D281,$D281)=1,1,0))</f>
        <v/>
      </c>
      <c r="AL281">
        <f>IF($AK281=1,SUMPRODUCT(--($AO$2:$AO$1601&lt;$AO281))+1,"")</f>
        <v/>
      </c>
      <c r="AM281">
        <f>IF($D281="","",IF(OR($R281=TRUE(),$R281="TRUE"),1,0))</f>
        <v/>
      </c>
      <c r="AN281">
        <f>IF($D281="","",IF($AA281="Yes",1,0))</f>
        <v/>
      </c>
      <c r="AO281">
        <f>IF($AK281=1,IFERROR(IF(VALUE($D281)&lt;100000000,VALUE($D281),1000000000),IFERROR(IF(VALUE(MID($D281,2,20))&lt;100000000,VALUE(MID($D281,2,20)),1000000000),1000000000))+ROW()/100000,"")</f>
        <v/>
      </c>
    </row>
    <row r="282">
      <c r="F282" s="11" t="n"/>
      <c r="N282" s="7">
        <f>IF($D282="","",M282*X282/100)</f>
        <v/>
      </c>
      <c r="O282" s="7" t="n"/>
      <c r="U282" s="7" t="n"/>
      <c r="V282" s="7" t="n"/>
      <c r="W282" s="7">
        <f>IF($D282="","",V282*AB282/100)</f>
        <v/>
      </c>
      <c r="X282" s="7">
        <f>IF($D282="","",V282-W282)</f>
        <v/>
      </c>
      <c r="Y282" s="7">
        <f>IF($D282="","",X282-N282)</f>
        <v/>
      </c>
      <c r="AB282">
        <f>IF($D282="","",IF($AN282=1,Settings!$C$8,IF($AM282=1,Settings!$C$6,Settings!$C$7))*100)</f>
        <v/>
      </c>
      <c r="AF282" s="7" t="n"/>
      <c r="AI282" s="11" t="n"/>
      <c r="AK282">
        <f>IF($D282="","",IF(COUNTIF($D$2:$D282,$D282)=1,1,0))</f>
        <v/>
      </c>
      <c r="AL282">
        <f>IF($AK282=1,SUMPRODUCT(--($AO$2:$AO$1601&lt;$AO282))+1,"")</f>
        <v/>
      </c>
      <c r="AM282">
        <f>IF($D282="","",IF(OR($R282=TRUE(),$R282="TRUE"),1,0))</f>
        <v/>
      </c>
      <c r="AN282">
        <f>IF($D282="","",IF($AA282="Yes",1,0))</f>
        <v/>
      </c>
      <c r="AO282">
        <f>IF($AK282=1,IFERROR(IF(VALUE($D282)&lt;100000000,VALUE($D282),1000000000),IFERROR(IF(VALUE(MID($D282,2,20))&lt;100000000,VALUE(MID($D282,2,20)),1000000000),1000000000))+ROW()/100000,"")</f>
        <v/>
      </c>
    </row>
    <row r="283">
      <c r="F283" s="11" t="n"/>
      <c r="N283" s="7">
        <f>IF($D283="","",M283*X283/100)</f>
        <v/>
      </c>
      <c r="O283" s="7" t="n"/>
      <c r="U283" s="7" t="n"/>
      <c r="V283" s="7" t="n"/>
      <c r="W283" s="7">
        <f>IF($D283="","",V283*AB283/100)</f>
        <v/>
      </c>
      <c r="X283" s="7">
        <f>IF($D283="","",V283-W283)</f>
        <v/>
      </c>
      <c r="Y283" s="7">
        <f>IF($D283="","",X283-N283)</f>
        <v/>
      </c>
      <c r="AB283">
        <f>IF($D283="","",IF($AN283=1,Settings!$C$8,IF($AM283=1,Settings!$C$6,Settings!$C$7))*100)</f>
        <v/>
      </c>
      <c r="AF283" s="7" t="n"/>
      <c r="AI283" s="11" t="n"/>
      <c r="AK283">
        <f>IF($D283="","",IF(COUNTIF($D$2:$D283,$D283)=1,1,0))</f>
        <v/>
      </c>
      <c r="AL283">
        <f>IF($AK283=1,SUMPRODUCT(--($AO$2:$AO$1601&lt;$AO283))+1,"")</f>
        <v/>
      </c>
      <c r="AM283">
        <f>IF($D283="","",IF(OR($R283=TRUE(),$R283="TRUE"),1,0))</f>
        <v/>
      </c>
      <c r="AN283">
        <f>IF($D283="","",IF($AA283="Yes",1,0))</f>
        <v/>
      </c>
      <c r="AO283">
        <f>IF($AK283=1,IFERROR(IF(VALUE($D283)&lt;100000000,VALUE($D283),1000000000),IFERROR(IF(VALUE(MID($D283,2,20))&lt;100000000,VALUE(MID($D283,2,20)),1000000000),1000000000))+ROW()/100000,"")</f>
        <v/>
      </c>
    </row>
    <row r="284">
      <c r="F284" s="11" t="n"/>
      <c r="N284" s="7">
        <f>IF($D284="","",M284*X284/100)</f>
        <v/>
      </c>
      <c r="O284" s="7" t="n"/>
      <c r="U284" s="7" t="n"/>
      <c r="V284" s="7" t="n"/>
      <c r="W284" s="7">
        <f>IF($D284="","",V284*AB284/100)</f>
        <v/>
      </c>
      <c r="X284" s="7">
        <f>IF($D284="","",V284-W284)</f>
        <v/>
      </c>
      <c r="Y284" s="7">
        <f>IF($D284="","",X284-N284)</f>
        <v/>
      </c>
      <c r="AB284">
        <f>IF($D284="","",IF($AN284=1,Settings!$C$8,IF($AM284=1,Settings!$C$6,Settings!$C$7))*100)</f>
        <v/>
      </c>
      <c r="AF284" s="7" t="n"/>
      <c r="AI284" s="11" t="n"/>
      <c r="AK284">
        <f>IF($D284="","",IF(COUNTIF($D$2:$D284,$D284)=1,1,0))</f>
        <v/>
      </c>
      <c r="AL284">
        <f>IF($AK284=1,SUMPRODUCT(--($AO$2:$AO$1601&lt;$AO284))+1,"")</f>
        <v/>
      </c>
      <c r="AM284">
        <f>IF($D284="","",IF(OR($R284=TRUE(),$R284="TRUE"),1,0))</f>
        <v/>
      </c>
      <c r="AN284">
        <f>IF($D284="","",IF($AA284="Yes",1,0))</f>
        <v/>
      </c>
      <c r="AO284">
        <f>IF($AK284=1,IFERROR(IF(VALUE($D284)&lt;100000000,VALUE($D284),1000000000),IFERROR(IF(VALUE(MID($D284,2,20))&lt;100000000,VALUE(MID($D284,2,20)),1000000000),1000000000))+ROW()/100000,"")</f>
        <v/>
      </c>
    </row>
    <row r="285">
      <c r="F285" s="11" t="n"/>
      <c r="N285" s="7">
        <f>IF($D285="","",M285*X285/100)</f>
        <v/>
      </c>
      <c r="O285" s="7" t="n"/>
      <c r="U285" s="7" t="n"/>
      <c r="V285" s="7" t="n"/>
      <c r="W285" s="7">
        <f>IF($D285="","",V285*AB285/100)</f>
        <v/>
      </c>
      <c r="X285" s="7">
        <f>IF($D285="","",V285-W285)</f>
        <v/>
      </c>
      <c r="Y285" s="7">
        <f>IF($D285="","",X285-N285)</f>
        <v/>
      </c>
      <c r="AB285">
        <f>IF($D285="","",IF($AN285=1,Settings!$C$8,IF($AM285=1,Settings!$C$6,Settings!$C$7))*100)</f>
        <v/>
      </c>
      <c r="AF285" s="7" t="n"/>
      <c r="AI285" s="11" t="n"/>
      <c r="AK285">
        <f>IF($D285="","",IF(COUNTIF($D$2:$D285,$D285)=1,1,0))</f>
        <v/>
      </c>
      <c r="AL285">
        <f>IF($AK285=1,SUMPRODUCT(--($AO$2:$AO$1601&lt;$AO285))+1,"")</f>
        <v/>
      </c>
      <c r="AM285">
        <f>IF($D285="","",IF(OR($R285=TRUE(),$R285="TRUE"),1,0))</f>
        <v/>
      </c>
      <c r="AN285">
        <f>IF($D285="","",IF($AA285="Yes",1,0))</f>
        <v/>
      </c>
      <c r="AO285">
        <f>IF($AK285=1,IFERROR(IF(VALUE($D285)&lt;100000000,VALUE($D285),1000000000),IFERROR(IF(VALUE(MID($D285,2,20))&lt;100000000,VALUE(MID($D285,2,20)),1000000000),1000000000))+ROW()/100000,"")</f>
        <v/>
      </c>
    </row>
    <row r="286">
      <c r="F286" s="11" t="n"/>
      <c r="N286" s="7">
        <f>IF($D286="","",M286*X286/100)</f>
        <v/>
      </c>
      <c r="O286" s="7" t="n"/>
      <c r="U286" s="7" t="n"/>
      <c r="V286" s="7" t="n"/>
      <c r="W286" s="7">
        <f>IF($D286="","",V286*AB286/100)</f>
        <v/>
      </c>
      <c r="X286" s="7">
        <f>IF($D286="","",V286-W286)</f>
        <v/>
      </c>
      <c r="Y286" s="7">
        <f>IF($D286="","",X286-N286)</f>
        <v/>
      </c>
      <c r="AB286">
        <f>IF($D286="","",IF($AN286=1,Settings!$C$8,IF($AM286=1,Settings!$C$6,Settings!$C$7))*100)</f>
        <v/>
      </c>
      <c r="AF286" s="7" t="n"/>
      <c r="AI286" s="11" t="n"/>
      <c r="AK286">
        <f>IF($D286="","",IF(COUNTIF($D$2:$D286,$D286)=1,1,0))</f>
        <v/>
      </c>
      <c r="AL286">
        <f>IF($AK286=1,SUMPRODUCT(--($AO$2:$AO$1601&lt;$AO286))+1,"")</f>
        <v/>
      </c>
      <c r="AM286">
        <f>IF($D286="","",IF(OR($R286=TRUE(),$R286="TRUE"),1,0))</f>
        <v/>
      </c>
      <c r="AN286">
        <f>IF($D286="","",IF($AA286="Yes",1,0))</f>
        <v/>
      </c>
      <c r="AO286">
        <f>IF($AK286=1,IFERROR(IF(VALUE($D286)&lt;100000000,VALUE($D286),1000000000),IFERROR(IF(VALUE(MID($D286,2,20))&lt;100000000,VALUE(MID($D286,2,20)),1000000000),1000000000))+ROW()/100000,"")</f>
        <v/>
      </c>
    </row>
    <row r="287">
      <c r="F287" s="11" t="n"/>
      <c r="N287" s="7">
        <f>IF($D287="","",M287*X287/100)</f>
        <v/>
      </c>
      <c r="O287" s="7" t="n"/>
      <c r="U287" s="7" t="n"/>
      <c r="V287" s="7" t="n"/>
      <c r="W287" s="7">
        <f>IF($D287="","",V287*AB287/100)</f>
        <v/>
      </c>
      <c r="X287" s="7">
        <f>IF($D287="","",V287-W287)</f>
        <v/>
      </c>
      <c r="Y287" s="7">
        <f>IF($D287="","",X287-N287)</f>
        <v/>
      </c>
      <c r="AB287">
        <f>IF($D287="","",IF($AN287=1,Settings!$C$8,IF($AM287=1,Settings!$C$6,Settings!$C$7))*100)</f>
        <v/>
      </c>
      <c r="AF287" s="7" t="n"/>
      <c r="AI287" s="11" t="n"/>
      <c r="AK287">
        <f>IF($D287="","",IF(COUNTIF($D$2:$D287,$D287)=1,1,0))</f>
        <v/>
      </c>
      <c r="AL287">
        <f>IF($AK287=1,SUMPRODUCT(--($AO$2:$AO$1601&lt;$AO287))+1,"")</f>
        <v/>
      </c>
      <c r="AM287">
        <f>IF($D287="","",IF(OR($R287=TRUE(),$R287="TRUE"),1,0))</f>
        <v/>
      </c>
      <c r="AN287">
        <f>IF($D287="","",IF($AA287="Yes",1,0))</f>
        <v/>
      </c>
      <c r="AO287">
        <f>IF($AK287=1,IFERROR(IF(VALUE($D287)&lt;100000000,VALUE($D287),1000000000),IFERROR(IF(VALUE(MID($D287,2,20))&lt;100000000,VALUE(MID($D287,2,20)),1000000000),1000000000))+ROW()/100000,"")</f>
        <v/>
      </c>
    </row>
    <row r="288">
      <c r="F288" s="11" t="n"/>
      <c r="N288" s="7">
        <f>IF($D288="","",M288*X288/100)</f>
        <v/>
      </c>
      <c r="O288" s="7" t="n"/>
      <c r="U288" s="7" t="n"/>
      <c r="V288" s="7" t="n"/>
      <c r="W288" s="7">
        <f>IF($D288="","",V288*AB288/100)</f>
        <v/>
      </c>
      <c r="X288" s="7">
        <f>IF($D288="","",V288-W288)</f>
        <v/>
      </c>
      <c r="Y288" s="7">
        <f>IF($D288="","",X288-N288)</f>
        <v/>
      </c>
      <c r="AB288">
        <f>IF($D288="","",IF($AN288=1,Settings!$C$8,IF($AM288=1,Settings!$C$6,Settings!$C$7))*100)</f>
        <v/>
      </c>
      <c r="AF288" s="7" t="n"/>
      <c r="AI288" s="11" t="n"/>
      <c r="AK288">
        <f>IF($D288="","",IF(COUNTIF($D$2:$D288,$D288)=1,1,0))</f>
        <v/>
      </c>
      <c r="AL288">
        <f>IF($AK288=1,SUMPRODUCT(--($AO$2:$AO$1601&lt;$AO288))+1,"")</f>
        <v/>
      </c>
      <c r="AM288">
        <f>IF($D288="","",IF(OR($R288=TRUE(),$R288="TRUE"),1,0))</f>
        <v/>
      </c>
      <c r="AN288">
        <f>IF($D288="","",IF($AA288="Yes",1,0))</f>
        <v/>
      </c>
      <c r="AO288">
        <f>IF($AK288=1,IFERROR(IF(VALUE($D288)&lt;100000000,VALUE($D288),1000000000),IFERROR(IF(VALUE(MID($D288,2,20))&lt;100000000,VALUE(MID($D288,2,20)),1000000000),1000000000))+ROW()/100000,"")</f>
        <v/>
      </c>
    </row>
    <row r="289">
      <c r="F289" s="11" t="n"/>
      <c r="N289" s="7">
        <f>IF($D289="","",M289*X289/100)</f>
        <v/>
      </c>
      <c r="O289" s="7" t="n"/>
      <c r="U289" s="7" t="n"/>
      <c r="V289" s="7" t="n"/>
      <c r="W289" s="7">
        <f>IF($D289="","",V289*AB289/100)</f>
        <v/>
      </c>
      <c r="X289" s="7">
        <f>IF($D289="","",V289-W289)</f>
        <v/>
      </c>
      <c r="Y289" s="7">
        <f>IF($D289="","",X289-N289)</f>
        <v/>
      </c>
      <c r="AB289">
        <f>IF($D289="","",IF($AN289=1,Settings!$C$8,IF($AM289=1,Settings!$C$6,Settings!$C$7))*100)</f>
        <v/>
      </c>
      <c r="AF289" s="7" t="n"/>
      <c r="AI289" s="11" t="n"/>
      <c r="AK289">
        <f>IF($D289="","",IF(COUNTIF($D$2:$D289,$D289)=1,1,0))</f>
        <v/>
      </c>
      <c r="AL289">
        <f>IF($AK289=1,SUMPRODUCT(--($AO$2:$AO$1601&lt;$AO289))+1,"")</f>
        <v/>
      </c>
      <c r="AM289">
        <f>IF($D289="","",IF(OR($R289=TRUE(),$R289="TRUE"),1,0))</f>
        <v/>
      </c>
      <c r="AN289">
        <f>IF($D289="","",IF($AA289="Yes",1,0))</f>
        <v/>
      </c>
      <c r="AO289">
        <f>IF($AK289=1,IFERROR(IF(VALUE($D289)&lt;100000000,VALUE($D289),1000000000),IFERROR(IF(VALUE(MID($D289,2,20))&lt;100000000,VALUE(MID($D289,2,20)),1000000000),1000000000))+ROW()/100000,"")</f>
        <v/>
      </c>
    </row>
    <row r="290">
      <c r="F290" s="11" t="n"/>
      <c r="N290" s="7">
        <f>IF($D290="","",M290*X290/100)</f>
        <v/>
      </c>
      <c r="O290" s="7" t="n"/>
      <c r="U290" s="7" t="n"/>
      <c r="V290" s="7" t="n"/>
      <c r="W290" s="7">
        <f>IF($D290="","",V290*AB290/100)</f>
        <v/>
      </c>
      <c r="X290" s="7">
        <f>IF($D290="","",V290-W290)</f>
        <v/>
      </c>
      <c r="Y290" s="7">
        <f>IF($D290="","",X290-N290)</f>
        <v/>
      </c>
      <c r="AB290">
        <f>IF($D290="","",IF($AN290=1,Settings!$C$8,IF($AM290=1,Settings!$C$6,Settings!$C$7))*100)</f>
        <v/>
      </c>
      <c r="AF290" s="7" t="n"/>
      <c r="AI290" s="11" t="n"/>
      <c r="AK290">
        <f>IF($D290="","",IF(COUNTIF($D$2:$D290,$D290)=1,1,0))</f>
        <v/>
      </c>
      <c r="AL290">
        <f>IF($AK290=1,SUMPRODUCT(--($AO$2:$AO$1601&lt;$AO290))+1,"")</f>
        <v/>
      </c>
      <c r="AM290">
        <f>IF($D290="","",IF(OR($R290=TRUE(),$R290="TRUE"),1,0))</f>
        <v/>
      </c>
      <c r="AN290">
        <f>IF($D290="","",IF($AA290="Yes",1,0))</f>
        <v/>
      </c>
      <c r="AO290">
        <f>IF($AK290=1,IFERROR(IF(VALUE($D290)&lt;100000000,VALUE($D290),1000000000),IFERROR(IF(VALUE(MID($D290,2,20))&lt;100000000,VALUE(MID($D290,2,20)),1000000000),1000000000))+ROW()/100000,"")</f>
        <v/>
      </c>
    </row>
    <row r="291">
      <c r="F291" s="11" t="n"/>
      <c r="N291" s="7">
        <f>IF($D291="","",M291*X291/100)</f>
        <v/>
      </c>
      <c r="O291" s="7" t="n"/>
      <c r="U291" s="7" t="n"/>
      <c r="V291" s="7" t="n"/>
      <c r="W291" s="7">
        <f>IF($D291="","",V291*AB291/100)</f>
        <v/>
      </c>
      <c r="X291" s="7">
        <f>IF($D291="","",V291-W291)</f>
        <v/>
      </c>
      <c r="Y291" s="7">
        <f>IF($D291="","",X291-N291)</f>
        <v/>
      </c>
      <c r="AB291">
        <f>IF($D291="","",IF($AN291=1,Settings!$C$8,IF($AM291=1,Settings!$C$6,Settings!$C$7))*100)</f>
        <v/>
      </c>
      <c r="AF291" s="7" t="n"/>
      <c r="AI291" s="11" t="n"/>
      <c r="AK291">
        <f>IF($D291="","",IF(COUNTIF($D$2:$D291,$D291)=1,1,0))</f>
        <v/>
      </c>
      <c r="AL291">
        <f>IF($AK291=1,SUMPRODUCT(--($AO$2:$AO$1601&lt;$AO291))+1,"")</f>
        <v/>
      </c>
      <c r="AM291">
        <f>IF($D291="","",IF(OR($R291=TRUE(),$R291="TRUE"),1,0))</f>
        <v/>
      </c>
      <c r="AN291">
        <f>IF($D291="","",IF($AA291="Yes",1,0))</f>
        <v/>
      </c>
      <c r="AO291">
        <f>IF($AK291=1,IFERROR(IF(VALUE($D291)&lt;100000000,VALUE($D291),1000000000),IFERROR(IF(VALUE(MID($D291,2,20))&lt;100000000,VALUE(MID($D291,2,20)),1000000000),1000000000))+ROW()/100000,"")</f>
        <v/>
      </c>
    </row>
    <row r="292">
      <c r="F292" s="11" t="n"/>
      <c r="N292" s="7">
        <f>IF($D292="","",M292*X292/100)</f>
        <v/>
      </c>
      <c r="O292" s="7" t="n"/>
      <c r="U292" s="7" t="n"/>
      <c r="V292" s="7" t="n"/>
      <c r="W292" s="7">
        <f>IF($D292="","",V292*AB292/100)</f>
        <v/>
      </c>
      <c r="X292" s="7">
        <f>IF($D292="","",V292-W292)</f>
        <v/>
      </c>
      <c r="Y292" s="7">
        <f>IF($D292="","",X292-N292)</f>
        <v/>
      </c>
      <c r="AB292">
        <f>IF($D292="","",IF($AN292=1,Settings!$C$8,IF($AM292=1,Settings!$C$6,Settings!$C$7))*100)</f>
        <v/>
      </c>
      <c r="AF292" s="7" t="n"/>
      <c r="AI292" s="11" t="n"/>
      <c r="AK292">
        <f>IF($D292="","",IF(COUNTIF($D$2:$D292,$D292)=1,1,0))</f>
        <v/>
      </c>
      <c r="AL292">
        <f>IF($AK292=1,SUMPRODUCT(--($AO$2:$AO$1601&lt;$AO292))+1,"")</f>
        <v/>
      </c>
      <c r="AM292">
        <f>IF($D292="","",IF(OR($R292=TRUE(),$R292="TRUE"),1,0))</f>
        <v/>
      </c>
      <c r="AN292">
        <f>IF($D292="","",IF($AA292="Yes",1,0))</f>
        <v/>
      </c>
      <c r="AO292">
        <f>IF($AK292=1,IFERROR(IF(VALUE($D292)&lt;100000000,VALUE($D292),1000000000),IFERROR(IF(VALUE(MID($D292,2,20))&lt;100000000,VALUE(MID($D292,2,20)),1000000000),1000000000))+ROW()/100000,"")</f>
        <v/>
      </c>
    </row>
    <row r="293">
      <c r="F293" s="11" t="n"/>
      <c r="N293" s="7">
        <f>IF($D293="","",M293*X293/100)</f>
        <v/>
      </c>
      <c r="O293" s="7" t="n"/>
      <c r="U293" s="7" t="n"/>
      <c r="V293" s="7" t="n"/>
      <c r="W293" s="7">
        <f>IF($D293="","",V293*AB293/100)</f>
        <v/>
      </c>
      <c r="X293" s="7">
        <f>IF($D293="","",V293-W293)</f>
        <v/>
      </c>
      <c r="Y293" s="7">
        <f>IF($D293="","",X293-N293)</f>
        <v/>
      </c>
      <c r="AB293">
        <f>IF($D293="","",IF($AN293=1,Settings!$C$8,IF($AM293=1,Settings!$C$6,Settings!$C$7))*100)</f>
        <v/>
      </c>
      <c r="AF293" s="7" t="n"/>
      <c r="AI293" s="11" t="n"/>
      <c r="AK293">
        <f>IF($D293="","",IF(COUNTIF($D$2:$D293,$D293)=1,1,0))</f>
        <v/>
      </c>
      <c r="AL293">
        <f>IF($AK293=1,SUMPRODUCT(--($AO$2:$AO$1601&lt;$AO293))+1,"")</f>
        <v/>
      </c>
      <c r="AM293">
        <f>IF($D293="","",IF(OR($R293=TRUE(),$R293="TRUE"),1,0))</f>
        <v/>
      </c>
      <c r="AN293">
        <f>IF($D293="","",IF($AA293="Yes",1,0))</f>
        <v/>
      </c>
      <c r="AO293">
        <f>IF($AK293=1,IFERROR(IF(VALUE($D293)&lt;100000000,VALUE($D293),1000000000),IFERROR(IF(VALUE(MID($D293,2,20))&lt;100000000,VALUE(MID($D293,2,20)),1000000000),1000000000))+ROW()/100000,"")</f>
        <v/>
      </c>
    </row>
    <row r="294">
      <c r="F294" s="11" t="n"/>
      <c r="N294" s="7">
        <f>IF($D294="","",M294*X294/100)</f>
        <v/>
      </c>
      <c r="O294" s="7" t="n"/>
      <c r="U294" s="7" t="n"/>
      <c r="V294" s="7" t="n"/>
      <c r="W294" s="7">
        <f>IF($D294="","",V294*AB294/100)</f>
        <v/>
      </c>
      <c r="X294" s="7">
        <f>IF($D294="","",V294-W294)</f>
        <v/>
      </c>
      <c r="Y294" s="7">
        <f>IF($D294="","",X294-N294)</f>
        <v/>
      </c>
      <c r="AB294">
        <f>IF($D294="","",IF($AN294=1,Settings!$C$8,IF($AM294=1,Settings!$C$6,Settings!$C$7))*100)</f>
        <v/>
      </c>
      <c r="AF294" s="7" t="n"/>
      <c r="AI294" s="11" t="n"/>
      <c r="AK294">
        <f>IF($D294="","",IF(COUNTIF($D$2:$D294,$D294)=1,1,0))</f>
        <v/>
      </c>
      <c r="AL294">
        <f>IF($AK294=1,SUMPRODUCT(--($AO$2:$AO$1601&lt;$AO294))+1,"")</f>
        <v/>
      </c>
      <c r="AM294">
        <f>IF($D294="","",IF(OR($R294=TRUE(),$R294="TRUE"),1,0))</f>
        <v/>
      </c>
      <c r="AN294">
        <f>IF($D294="","",IF($AA294="Yes",1,0))</f>
        <v/>
      </c>
      <c r="AO294">
        <f>IF($AK294=1,IFERROR(IF(VALUE($D294)&lt;100000000,VALUE($D294),1000000000),IFERROR(IF(VALUE(MID($D294,2,20))&lt;100000000,VALUE(MID($D294,2,20)),1000000000),1000000000))+ROW()/100000,"")</f>
        <v/>
      </c>
    </row>
    <row r="295">
      <c r="F295" s="11" t="n"/>
      <c r="N295" s="7">
        <f>IF($D295="","",M295*X295/100)</f>
        <v/>
      </c>
      <c r="O295" s="7" t="n"/>
      <c r="U295" s="7" t="n"/>
      <c r="V295" s="7" t="n"/>
      <c r="W295" s="7">
        <f>IF($D295="","",V295*AB295/100)</f>
        <v/>
      </c>
      <c r="X295" s="7">
        <f>IF($D295="","",V295-W295)</f>
        <v/>
      </c>
      <c r="Y295" s="7">
        <f>IF($D295="","",X295-N295)</f>
        <v/>
      </c>
      <c r="AB295">
        <f>IF($D295="","",IF($AN295=1,Settings!$C$8,IF($AM295=1,Settings!$C$6,Settings!$C$7))*100)</f>
        <v/>
      </c>
      <c r="AF295" s="7" t="n"/>
      <c r="AI295" s="11" t="n"/>
      <c r="AK295">
        <f>IF($D295="","",IF(COUNTIF($D$2:$D295,$D295)=1,1,0))</f>
        <v/>
      </c>
      <c r="AL295">
        <f>IF($AK295=1,SUMPRODUCT(--($AO$2:$AO$1601&lt;$AO295))+1,"")</f>
        <v/>
      </c>
      <c r="AM295">
        <f>IF($D295="","",IF(OR($R295=TRUE(),$R295="TRUE"),1,0))</f>
        <v/>
      </c>
      <c r="AN295">
        <f>IF($D295="","",IF($AA295="Yes",1,0))</f>
        <v/>
      </c>
      <c r="AO295">
        <f>IF($AK295=1,IFERROR(IF(VALUE($D295)&lt;100000000,VALUE($D295),1000000000),IFERROR(IF(VALUE(MID($D295,2,20))&lt;100000000,VALUE(MID($D295,2,20)),1000000000),1000000000))+ROW()/100000,"")</f>
        <v/>
      </c>
    </row>
    <row r="296">
      <c r="F296" s="11" t="n"/>
      <c r="N296" s="7">
        <f>IF($D296="","",M296*X296/100)</f>
        <v/>
      </c>
      <c r="O296" s="7" t="n"/>
      <c r="U296" s="7" t="n"/>
      <c r="V296" s="7" t="n"/>
      <c r="W296" s="7">
        <f>IF($D296="","",V296*AB296/100)</f>
        <v/>
      </c>
      <c r="X296" s="7">
        <f>IF($D296="","",V296-W296)</f>
        <v/>
      </c>
      <c r="Y296" s="7">
        <f>IF($D296="","",X296-N296)</f>
        <v/>
      </c>
      <c r="AB296">
        <f>IF($D296="","",IF($AN296=1,Settings!$C$8,IF($AM296=1,Settings!$C$6,Settings!$C$7))*100)</f>
        <v/>
      </c>
      <c r="AF296" s="7" t="n"/>
      <c r="AI296" s="11" t="n"/>
      <c r="AK296">
        <f>IF($D296="","",IF(COUNTIF($D$2:$D296,$D296)=1,1,0))</f>
        <v/>
      </c>
      <c r="AL296">
        <f>IF($AK296=1,SUMPRODUCT(--($AO$2:$AO$1601&lt;$AO296))+1,"")</f>
        <v/>
      </c>
      <c r="AM296">
        <f>IF($D296="","",IF(OR($R296=TRUE(),$R296="TRUE"),1,0))</f>
        <v/>
      </c>
      <c r="AN296">
        <f>IF($D296="","",IF($AA296="Yes",1,0))</f>
        <v/>
      </c>
      <c r="AO296">
        <f>IF($AK296=1,IFERROR(IF(VALUE($D296)&lt;100000000,VALUE($D296),1000000000),IFERROR(IF(VALUE(MID($D296,2,20))&lt;100000000,VALUE(MID($D296,2,20)),1000000000),1000000000))+ROW()/100000,"")</f>
        <v/>
      </c>
    </row>
    <row r="297">
      <c r="F297" s="11" t="n"/>
      <c r="N297" s="7">
        <f>IF($D297="","",M297*X297/100)</f>
        <v/>
      </c>
      <c r="O297" s="7" t="n"/>
      <c r="U297" s="7" t="n"/>
      <c r="V297" s="7" t="n"/>
      <c r="W297" s="7">
        <f>IF($D297="","",V297*AB297/100)</f>
        <v/>
      </c>
      <c r="X297" s="7">
        <f>IF($D297="","",V297-W297)</f>
        <v/>
      </c>
      <c r="Y297" s="7">
        <f>IF($D297="","",X297-N297)</f>
        <v/>
      </c>
      <c r="AB297">
        <f>IF($D297="","",IF($AN297=1,Settings!$C$8,IF($AM297=1,Settings!$C$6,Settings!$C$7))*100)</f>
        <v/>
      </c>
      <c r="AF297" s="7" t="n"/>
      <c r="AI297" s="11" t="n"/>
      <c r="AK297">
        <f>IF($D297="","",IF(COUNTIF($D$2:$D297,$D297)=1,1,0))</f>
        <v/>
      </c>
      <c r="AL297">
        <f>IF($AK297=1,SUMPRODUCT(--($AO$2:$AO$1601&lt;$AO297))+1,"")</f>
        <v/>
      </c>
      <c r="AM297">
        <f>IF($D297="","",IF(OR($R297=TRUE(),$R297="TRUE"),1,0))</f>
        <v/>
      </c>
      <c r="AN297">
        <f>IF($D297="","",IF($AA297="Yes",1,0))</f>
        <v/>
      </c>
      <c r="AO297">
        <f>IF($AK297=1,IFERROR(IF(VALUE($D297)&lt;100000000,VALUE($D297),1000000000),IFERROR(IF(VALUE(MID($D297,2,20))&lt;100000000,VALUE(MID($D297,2,20)),1000000000),1000000000))+ROW()/100000,"")</f>
        <v/>
      </c>
    </row>
    <row r="298">
      <c r="F298" s="11" t="n"/>
      <c r="N298" s="7">
        <f>IF($D298="","",M298*X298/100)</f>
        <v/>
      </c>
      <c r="O298" s="7" t="n"/>
      <c r="U298" s="7" t="n"/>
      <c r="V298" s="7" t="n"/>
      <c r="W298" s="7">
        <f>IF($D298="","",V298*AB298/100)</f>
        <v/>
      </c>
      <c r="X298" s="7">
        <f>IF($D298="","",V298-W298)</f>
        <v/>
      </c>
      <c r="Y298" s="7">
        <f>IF($D298="","",X298-N298)</f>
        <v/>
      </c>
      <c r="AB298">
        <f>IF($D298="","",IF($AN298=1,Settings!$C$8,IF($AM298=1,Settings!$C$6,Settings!$C$7))*100)</f>
        <v/>
      </c>
      <c r="AF298" s="7" t="n"/>
      <c r="AI298" s="11" t="n"/>
      <c r="AK298">
        <f>IF($D298="","",IF(COUNTIF($D$2:$D298,$D298)=1,1,0))</f>
        <v/>
      </c>
      <c r="AL298">
        <f>IF($AK298=1,SUMPRODUCT(--($AO$2:$AO$1601&lt;$AO298))+1,"")</f>
        <v/>
      </c>
      <c r="AM298">
        <f>IF($D298="","",IF(OR($R298=TRUE(),$R298="TRUE"),1,0))</f>
        <v/>
      </c>
      <c r="AN298">
        <f>IF($D298="","",IF($AA298="Yes",1,0))</f>
        <v/>
      </c>
      <c r="AO298">
        <f>IF($AK298=1,IFERROR(IF(VALUE($D298)&lt;100000000,VALUE($D298),1000000000),IFERROR(IF(VALUE(MID($D298,2,20))&lt;100000000,VALUE(MID($D298,2,20)),1000000000),1000000000))+ROW()/100000,"")</f>
        <v/>
      </c>
    </row>
    <row r="299">
      <c r="F299" s="11" t="n"/>
      <c r="N299" s="7">
        <f>IF($D299="","",M299*X299/100)</f>
        <v/>
      </c>
      <c r="O299" s="7" t="n"/>
      <c r="U299" s="7" t="n"/>
      <c r="V299" s="7" t="n"/>
      <c r="W299" s="7">
        <f>IF($D299="","",V299*AB299/100)</f>
        <v/>
      </c>
      <c r="X299" s="7">
        <f>IF($D299="","",V299-W299)</f>
        <v/>
      </c>
      <c r="Y299" s="7">
        <f>IF($D299="","",X299-N299)</f>
        <v/>
      </c>
      <c r="AB299">
        <f>IF($D299="","",IF($AN299=1,Settings!$C$8,IF($AM299=1,Settings!$C$6,Settings!$C$7))*100)</f>
        <v/>
      </c>
      <c r="AF299" s="7" t="n"/>
      <c r="AI299" s="11" t="n"/>
      <c r="AK299">
        <f>IF($D299="","",IF(COUNTIF($D$2:$D299,$D299)=1,1,0))</f>
        <v/>
      </c>
      <c r="AL299">
        <f>IF($AK299=1,SUMPRODUCT(--($AO$2:$AO$1601&lt;$AO299))+1,"")</f>
        <v/>
      </c>
      <c r="AM299">
        <f>IF($D299="","",IF(OR($R299=TRUE(),$R299="TRUE"),1,0))</f>
        <v/>
      </c>
      <c r="AN299">
        <f>IF($D299="","",IF($AA299="Yes",1,0))</f>
        <v/>
      </c>
      <c r="AO299">
        <f>IF($AK299=1,IFERROR(IF(VALUE($D299)&lt;100000000,VALUE($D299),1000000000),IFERROR(IF(VALUE(MID($D299,2,20))&lt;100000000,VALUE(MID($D299,2,20)),1000000000),1000000000))+ROW()/100000,"")</f>
        <v/>
      </c>
    </row>
    <row r="300">
      <c r="F300" s="11" t="n"/>
      <c r="N300" s="7">
        <f>IF($D300="","",M300*X300/100)</f>
        <v/>
      </c>
      <c r="O300" s="7" t="n"/>
      <c r="U300" s="7" t="n"/>
      <c r="V300" s="7" t="n"/>
      <c r="W300" s="7">
        <f>IF($D300="","",V300*AB300/100)</f>
        <v/>
      </c>
      <c r="X300" s="7">
        <f>IF($D300="","",V300-W300)</f>
        <v/>
      </c>
      <c r="Y300" s="7">
        <f>IF($D300="","",X300-N300)</f>
        <v/>
      </c>
      <c r="AB300">
        <f>IF($D300="","",IF($AN300=1,Settings!$C$8,IF($AM300=1,Settings!$C$6,Settings!$C$7))*100)</f>
        <v/>
      </c>
      <c r="AF300" s="7" t="n"/>
      <c r="AI300" s="11" t="n"/>
      <c r="AK300">
        <f>IF($D300="","",IF(COUNTIF($D$2:$D300,$D300)=1,1,0))</f>
        <v/>
      </c>
      <c r="AL300">
        <f>IF($AK300=1,SUMPRODUCT(--($AO$2:$AO$1601&lt;$AO300))+1,"")</f>
        <v/>
      </c>
      <c r="AM300">
        <f>IF($D300="","",IF(OR($R300=TRUE(),$R300="TRUE"),1,0))</f>
        <v/>
      </c>
      <c r="AN300">
        <f>IF($D300="","",IF($AA300="Yes",1,0))</f>
        <v/>
      </c>
      <c r="AO300">
        <f>IF($AK300=1,IFERROR(IF(VALUE($D300)&lt;100000000,VALUE($D300),1000000000),IFERROR(IF(VALUE(MID($D300,2,20))&lt;100000000,VALUE(MID($D300,2,20)),1000000000),1000000000))+ROW()/100000,"")</f>
        <v/>
      </c>
    </row>
    <row r="301">
      <c r="F301" s="11" t="n"/>
      <c r="N301" s="7">
        <f>IF($D301="","",M301*X301/100)</f>
        <v/>
      </c>
      <c r="O301" s="7" t="n"/>
      <c r="U301" s="7" t="n"/>
      <c r="V301" s="7" t="n"/>
      <c r="W301" s="7">
        <f>IF($D301="","",V301*AB301/100)</f>
        <v/>
      </c>
      <c r="X301" s="7">
        <f>IF($D301="","",V301-W301)</f>
        <v/>
      </c>
      <c r="Y301" s="7">
        <f>IF($D301="","",X301-N301)</f>
        <v/>
      </c>
      <c r="AB301">
        <f>IF($D301="","",IF($AN301=1,Settings!$C$8,IF($AM301=1,Settings!$C$6,Settings!$C$7))*100)</f>
        <v/>
      </c>
      <c r="AF301" s="7" t="n"/>
      <c r="AI301" s="11" t="n"/>
      <c r="AK301">
        <f>IF($D301="","",IF(COUNTIF($D$2:$D301,$D301)=1,1,0))</f>
        <v/>
      </c>
      <c r="AL301">
        <f>IF($AK301=1,SUMPRODUCT(--($AO$2:$AO$1601&lt;$AO301))+1,"")</f>
        <v/>
      </c>
      <c r="AM301">
        <f>IF($D301="","",IF(OR($R301=TRUE(),$R301="TRUE"),1,0))</f>
        <v/>
      </c>
      <c r="AN301">
        <f>IF($D301="","",IF($AA301="Yes",1,0))</f>
        <v/>
      </c>
      <c r="AO301">
        <f>IF($AK301=1,IFERROR(IF(VALUE($D301)&lt;100000000,VALUE($D301),1000000000),IFERROR(IF(VALUE(MID($D301,2,20))&lt;100000000,VALUE(MID($D301,2,20)),1000000000),1000000000))+ROW()/100000,"")</f>
        <v/>
      </c>
    </row>
    <row r="302">
      <c r="F302" s="11" t="n"/>
      <c r="N302" s="7">
        <f>IF($D302="","",M302*X302/100)</f>
        <v/>
      </c>
      <c r="O302" s="7" t="n"/>
      <c r="U302" s="7" t="n"/>
      <c r="V302" s="7" t="n"/>
      <c r="W302" s="7">
        <f>IF($D302="","",V302*AB302/100)</f>
        <v/>
      </c>
      <c r="X302" s="7">
        <f>IF($D302="","",V302-W302)</f>
        <v/>
      </c>
      <c r="Y302" s="7">
        <f>IF($D302="","",X302-N302)</f>
        <v/>
      </c>
      <c r="AB302">
        <f>IF($D302="","",IF($AN302=1,Settings!$C$8,IF($AM302=1,Settings!$C$6,Settings!$C$7))*100)</f>
        <v/>
      </c>
      <c r="AF302" s="7" t="n"/>
      <c r="AI302" s="11" t="n"/>
      <c r="AK302">
        <f>IF($D302="","",IF(COUNTIF($D$2:$D302,$D302)=1,1,0))</f>
        <v/>
      </c>
      <c r="AL302">
        <f>IF($AK302=1,SUMPRODUCT(--($AO$2:$AO$1601&lt;$AO302))+1,"")</f>
        <v/>
      </c>
      <c r="AM302">
        <f>IF($D302="","",IF(OR($R302=TRUE(),$R302="TRUE"),1,0))</f>
        <v/>
      </c>
      <c r="AN302">
        <f>IF($D302="","",IF($AA302="Yes",1,0))</f>
        <v/>
      </c>
      <c r="AO302">
        <f>IF($AK302=1,IFERROR(IF(VALUE($D302)&lt;100000000,VALUE($D302),1000000000),IFERROR(IF(VALUE(MID($D302,2,20))&lt;100000000,VALUE(MID($D302,2,20)),1000000000),1000000000))+ROW()/100000,"")</f>
        <v/>
      </c>
    </row>
    <row r="303">
      <c r="F303" s="11" t="n"/>
      <c r="N303" s="7">
        <f>IF($D303="","",M303*X303/100)</f>
        <v/>
      </c>
      <c r="O303" s="7" t="n"/>
      <c r="U303" s="7" t="n"/>
      <c r="V303" s="7" t="n"/>
      <c r="W303" s="7">
        <f>IF($D303="","",V303*AB303/100)</f>
        <v/>
      </c>
      <c r="X303" s="7">
        <f>IF($D303="","",V303-W303)</f>
        <v/>
      </c>
      <c r="Y303" s="7">
        <f>IF($D303="","",X303-N303)</f>
        <v/>
      </c>
      <c r="AB303">
        <f>IF($D303="","",IF($AN303=1,Settings!$C$8,IF($AM303=1,Settings!$C$6,Settings!$C$7))*100)</f>
        <v/>
      </c>
      <c r="AF303" s="7" t="n"/>
      <c r="AI303" s="11" t="n"/>
      <c r="AK303">
        <f>IF($D303="","",IF(COUNTIF($D$2:$D303,$D303)=1,1,0))</f>
        <v/>
      </c>
      <c r="AL303">
        <f>IF($AK303=1,SUMPRODUCT(--($AO$2:$AO$1601&lt;$AO303))+1,"")</f>
        <v/>
      </c>
      <c r="AM303">
        <f>IF($D303="","",IF(OR($R303=TRUE(),$R303="TRUE"),1,0))</f>
        <v/>
      </c>
      <c r="AN303">
        <f>IF($D303="","",IF($AA303="Yes",1,0))</f>
        <v/>
      </c>
      <c r="AO303">
        <f>IF($AK303=1,IFERROR(IF(VALUE($D303)&lt;100000000,VALUE($D303),1000000000),IFERROR(IF(VALUE(MID($D303,2,20))&lt;100000000,VALUE(MID($D303,2,20)),1000000000),1000000000))+ROW()/100000,"")</f>
        <v/>
      </c>
    </row>
    <row r="304">
      <c r="F304" s="11" t="n"/>
      <c r="N304" s="7">
        <f>IF($D304="","",M304*X304/100)</f>
        <v/>
      </c>
      <c r="O304" s="7" t="n"/>
      <c r="U304" s="7" t="n"/>
      <c r="V304" s="7" t="n"/>
      <c r="W304" s="7">
        <f>IF($D304="","",V304*AB304/100)</f>
        <v/>
      </c>
      <c r="X304" s="7">
        <f>IF($D304="","",V304-W304)</f>
        <v/>
      </c>
      <c r="Y304" s="7">
        <f>IF($D304="","",X304-N304)</f>
        <v/>
      </c>
      <c r="AB304">
        <f>IF($D304="","",IF($AN304=1,Settings!$C$8,IF($AM304=1,Settings!$C$6,Settings!$C$7))*100)</f>
        <v/>
      </c>
      <c r="AF304" s="7" t="n"/>
      <c r="AI304" s="11" t="n"/>
      <c r="AK304">
        <f>IF($D304="","",IF(COUNTIF($D$2:$D304,$D304)=1,1,0))</f>
        <v/>
      </c>
      <c r="AL304">
        <f>IF($AK304=1,SUMPRODUCT(--($AO$2:$AO$1601&lt;$AO304))+1,"")</f>
        <v/>
      </c>
      <c r="AM304">
        <f>IF($D304="","",IF(OR($R304=TRUE(),$R304="TRUE"),1,0))</f>
        <v/>
      </c>
      <c r="AN304">
        <f>IF($D304="","",IF($AA304="Yes",1,0))</f>
        <v/>
      </c>
      <c r="AO304">
        <f>IF($AK304=1,IFERROR(IF(VALUE($D304)&lt;100000000,VALUE($D304),1000000000),IFERROR(IF(VALUE(MID($D304,2,20))&lt;100000000,VALUE(MID($D304,2,20)),1000000000),1000000000))+ROW()/100000,"")</f>
        <v/>
      </c>
    </row>
    <row r="305">
      <c r="F305" s="11" t="n"/>
      <c r="N305" s="7">
        <f>IF($D305="","",M305*X305/100)</f>
        <v/>
      </c>
      <c r="O305" s="7" t="n"/>
      <c r="U305" s="7" t="n"/>
      <c r="V305" s="7" t="n"/>
      <c r="W305" s="7">
        <f>IF($D305="","",V305*AB305/100)</f>
        <v/>
      </c>
      <c r="X305" s="7">
        <f>IF($D305="","",V305-W305)</f>
        <v/>
      </c>
      <c r="Y305" s="7">
        <f>IF($D305="","",X305-N305)</f>
        <v/>
      </c>
      <c r="AB305">
        <f>IF($D305="","",IF($AN305=1,Settings!$C$8,IF($AM305=1,Settings!$C$6,Settings!$C$7))*100)</f>
        <v/>
      </c>
      <c r="AF305" s="7" t="n"/>
      <c r="AI305" s="11" t="n"/>
      <c r="AK305">
        <f>IF($D305="","",IF(COUNTIF($D$2:$D305,$D305)=1,1,0))</f>
        <v/>
      </c>
      <c r="AL305">
        <f>IF($AK305=1,SUMPRODUCT(--($AO$2:$AO$1601&lt;$AO305))+1,"")</f>
        <v/>
      </c>
      <c r="AM305">
        <f>IF($D305="","",IF(OR($R305=TRUE(),$R305="TRUE"),1,0))</f>
        <v/>
      </c>
      <c r="AN305">
        <f>IF($D305="","",IF($AA305="Yes",1,0))</f>
        <v/>
      </c>
      <c r="AO305">
        <f>IF($AK305=1,IFERROR(IF(VALUE($D305)&lt;100000000,VALUE($D305),1000000000),IFERROR(IF(VALUE(MID($D305,2,20))&lt;100000000,VALUE(MID($D305,2,20)),1000000000),1000000000))+ROW()/100000,"")</f>
        <v/>
      </c>
    </row>
    <row r="306">
      <c r="F306" s="11" t="n"/>
      <c r="N306" s="7">
        <f>IF($D306="","",M306*X306/100)</f>
        <v/>
      </c>
      <c r="O306" s="7" t="n"/>
      <c r="U306" s="7" t="n"/>
      <c r="V306" s="7" t="n"/>
      <c r="W306" s="7">
        <f>IF($D306="","",V306*AB306/100)</f>
        <v/>
      </c>
      <c r="X306" s="7">
        <f>IF($D306="","",V306-W306)</f>
        <v/>
      </c>
      <c r="Y306" s="7">
        <f>IF($D306="","",X306-N306)</f>
        <v/>
      </c>
      <c r="AB306">
        <f>IF($D306="","",IF($AN306=1,Settings!$C$8,IF($AM306=1,Settings!$C$6,Settings!$C$7))*100)</f>
        <v/>
      </c>
      <c r="AF306" s="7" t="n"/>
      <c r="AI306" s="11" t="n"/>
      <c r="AK306">
        <f>IF($D306="","",IF(COUNTIF($D$2:$D306,$D306)=1,1,0))</f>
        <v/>
      </c>
      <c r="AL306">
        <f>IF($AK306=1,SUMPRODUCT(--($AO$2:$AO$1601&lt;$AO306))+1,"")</f>
        <v/>
      </c>
      <c r="AM306">
        <f>IF($D306="","",IF(OR($R306=TRUE(),$R306="TRUE"),1,0))</f>
        <v/>
      </c>
      <c r="AN306">
        <f>IF($D306="","",IF($AA306="Yes",1,0))</f>
        <v/>
      </c>
      <c r="AO306">
        <f>IF($AK306=1,IFERROR(IF(VALUE($D306)&lt;100000000,VALUE($D306),1000000000),IFERROR(IF(VALUE(MID($D306,2,20))&lt;100000000,VALUE(MID($D306,2,20)),1000000000),1000000000))+ROW()/100000,"")</f>
        <v/>
      </c>
    </row>
    <row r="307">
      <c r="F307" s="11" t="n"/>
      <c r="N307" s="7">
        <f>IF($D307="","",M307*X307/100)</f>
        <v/>
      </c>
      <c r="O307" s="7" t="n"/>
      <c r="U307" s="7" t="n"/>
      <c r="V307" s="7" t="n"/>
      <c r="W307" s="7">
        <f>IF($D307="","",V307*AB307/100)</f>
        <v/>
      </c>
      <c r="X307" s="7">
        <f>IF($D307="","",V307-W307)</f>
        <v/>
      </c>
      <c r="Y307" s="7">
        <f>IF($D307="","",X307-N307)</f>
        <v/>
      </c>
      <c r="AB307">
        <f>IF($D307="","",IF($AN307=1,Settings!$C$8,IF($AM307=1,Settings!$C$6,Settings!$C$7))*100)</f>
        <v/>
      </c>
      <c r="AF307" s="7" t="n"/>
      <c r="AI307" s="11" t="n"/>
      <c r="AK307">
        <f>IF($D307="","",IF(COUNTIF($D$2:$D307,$D307)=1,1,0))</f>
        <v/>
      </c>
      <c r="AL307">
        <f>IF($AK307=1,SUMPRODUCT(--($AO$2:$AO$1601&lt;$AO307))+1,"")</f>
        <v/>
      </c>
      <c r="AM307">
        <f>IF($D307="","",IF(OR($R307=TRUE(),$R307="TRUE"),1,0))</f>
        <v/>
      </c>
      <c r="AN307">
        <f>IF($D307="","",IF($AA307="Yes",1,0))</f>
        <v/>
      </c>
      <c r="AO307">
        <f>IF($AK307=1,IFERROR(IF(VALUE($D307)&lt;100000000,VALUE($D307),1000000000),IFERROR(IF(VALUE(MID($D307,2,20))&lt;100000000,VALUE(MID($D307,2,20)),1000000000),1000000000))+ROW()/100000,"")</f>
        <v/>
      </c>
    </row>
    <row r="308">
      <c r="F308" s="11" t="n"/>
      <c r="N308" s="7">
        <f>IF($D308="","",M308*X308/100)</f>
        <v/>
      </c>
      <c r="O308" s="7" t="n"/>
      <c r="U308" s="7" t="n"/>
      <c r="V308" s="7" t="n"/>
      <c r="W308" s="7">
        <f>IF($D308="","",V308*AB308/100)</f>
        <v/>
      </c>
      <c r="X308" s="7">
        <f>IF($D308="","",V308-W308)</f>
        <v/>
      </c>
      <c r="Y308" s="7">
        <f>IF($D308="","",X308-N308)</f>
        <v/>
      </c>
      <c r="AB308">
        <f>IF($D308="","",IF($AN308=1,Settings!$C$8,IF($AM308=1,Settings!$C$6,Settings!$C$7))*100)</f>
        <v/>
      </c>
      <c r="AF308" s="7" t="n"/>
      <c r="AI308" s="11" t="n"/>
      <c r="AK308">
        <f>IF($D308="","",IF(COUNTIF($D$2:$D308,$D308)=1,1,0))</f>
        <v/>
      </c>
      <c r="AL308">
        <f>IF($AK308=1,SUMPRODUCT(--($AO$2:$AO$1601&lt;$AO308))+1,"")</f>
        <v/>
      </c>
      <c r="AM308">
        <f>IF($D308="","",IF(OR($R308=TRUE(),$R308="TRUE"),1,0))</f>
        <v/>
      </c>
      <c r="AN308">
        <f>IF($D308="","",IF($AA308="Yes",1,0))</f>
        <v/>
      </c>
      <c r="AO308">
        <f>IF($AK308=1,IFERROR(IF(VALUE($D308)&lt;100000000,VALUE($D308),1000000000),IFERROR(IF(VALUE(MID($D308,2,20))&lt;100000000,VALUE(MID($D308,2,20)),1000000000),1000000000))+ROW()/100000,"")</f>
        <v/>
      </c>
    </row>
    <row r="309">
      <c r="F309" s="11" t="n"/>
      <c r="N309" s="7">
        <f>IF($D309="","",M309*X309/100)</f>
        <v/>
      </c>
      <c r="O309" s="7" t="n"/>
      <c r="U309" s="7" t="n"/>
      <c r="V309" s="7" t="n"/>
      <c r="W309" s="7">
        <f>IF($D309="","",V309*AB309/100)</f>
        <v/>
      </c>
      <c r="X309" s="7">
        <f>IF($D309="","",V309-W309)</f>
        <v/>
      </c>
      <c r="Y309" s="7">
        <f>IF($D309="","",X309-N309)</f>
        <v/>
      </c>
      <c r="AB309">
        <f>IF($D309="","",IF($AN309=1,Settings!$C$8,IF($AM309=1,Settings!$C$6,Settings!$C$7))*100)</f>
        <v/>
      </c>
      <c r="AF309" s="7" t="n"/>
      <c r="AI309" s="11" t="n"/>
      <c r="AK309">
        <f>IF($D309="","",IF(COUNTIF($D$2:$D309,$D309)=1,1,0))</f>
        <v/>
      </c>
      <c r="AL309">
        <f>IF($AK309=1,SUMPRODUCT(--($AO$2:$AO$1601&lt;$AO309))+1,"")</f>
        <v/>
      </c>
      <c r="AM309">
        <f>IF($D309="","",IF(OR($R309=TRUE(),$R309="TRUE"),1,0))</f>
        <v/>
      </c>
      <c r="AN309">
        <f>IF($D309="","",IF($AA309="Yes",1,0))</f>
        <v/>
      </c>
      <c r="AO309">
        <f>IF($AK309=1,IFERROR(IF(VALUE($D309)&lt;100000000,VALUE($D309),1000000000),IFERROR(IF(VALUE(MID($D309,2,20))&lt;100000000,VALUE(MID($D309,2,20)),1000000000),1000000000))+ROW()/100000,"")</f>
        <v/>
      </c>
    </row>
    <row r="310">
      <c r="F310" s="11" t="n"/>
      <c r="N310" s="7">
        <f>IF($D310="","",M310*X310/100)</f>
        <v/>
      </c>
      <c r="O310" s="7" t="n"/>
      <c r="U310" s="7" t="n"/>
      <c r="V310" s="7" t="n"/>
      <c r="W310" s="7">
        <f>IF($D310="","",V310*AB310/100)</f>
        <v/>
      </c>
      <c r="X310" s="7">
        <f>IF($D310="","",V310-W310)</f>
        <v/>
      </c>
      <c r="Y310" s="7">
        <f>IF($D310="","",X310-N310)</f>
        <v/>
      </c>
      <c r="AB310">
        <f>IF($D310="","",IF($AN310=1,Settings!$C$8,IF($AM310=1,Settings!$C$6,Settings!$C$7))*100)</f>
        <v/>
      </c>
      <c r="AF310" s="7" t="n"/>
      <c r="AI310" s="11" t="n"/>
      <c r="AK310">
        <f>IF($D310="","",IF(COUNTIF($D$2:$D310,$D310)=1,1,0))</f>
        <v/>
      </c>
      <c r="AL310">
        <f>IF($AK310=1,SUMPRODUCT(--($AO$2:$AO$1601&lt;$AO310))+1,"")</f>
        <v/>
      </c>
      <c r="AM310">
        <f>IF($D310="","",IF(OR($R310=TRUE(),$R310="TRUE"),1,0))</f>
        <v/>
      </c>
      <c r="AN310">
        <f>IF($D310="","",IF($AA310="Yes",1,0))</f>
        <v/>
      </c>
      <c r="AO310">
        <f>IF($AK310=1,IFERROR(IF(VALUE($D310)&lt;100000000,VALUE($D310),1000000000),IFERROR(IF(VALUE(MID($D310,2,20))&lt;100000000,VALUE(MID($D310,2,20)),1000000000),1000000000))+ROW()/100000,"")</f>
        <v/>
      </c>
    </row>
    <row r="311">
      <c r="F311" s="11" t="n"/>
      <c r="N311" s="7">
        <f>IF($D311="","",M311*X311/100)</f>
        <v/>
      </c>
      <c r="O311" s="7" t="n"/>
      <c r="U311" s="7" t="n"/>
      <c r="V311" s="7" t="n"/>
      <c r="W311" s="7">
        <f>IF($D311="","",V311*AB311/100)</f>
        <v/>
      </c>
      <c r="X311" s="7">
        <f>IF($D311="","",V311-W311)</f>
        <v/>
      </c>
      <c r="Y311" s="7">
        <f>IF($D311="","",X311-N311)</f>
        <v/>
      </c>
      <c r="AB311">
        <f>IF($D311="","",IF($AN311=1,Settings!$C$8,IF($AM311=1,Settings!$C$6,Settings!$C$7))*100)</f>
        <v/>
      </c>
      <c r="AF311" s="7" t="n"/>
      <c r="AI311" s="11" t="n"/>
      <c r="AK311">
        <f>IF($D311="","",IF(COUNTIF($D$2:$D311,$D311)=1,1,0))</f>
        <v/>
      </c>
      <c r="AL311">
        <f>IF($AK311=1,SUMPRODUCT(--($AO$2:$AO$1601&lt;$AO311))+1,"")</f>
        <v/>
      </c>
      <c r="AM311">
        <f>IF($D311="","",IF(OR($R311=TRUE(),$R311="TRUE"),1,0))</f>
        <v/>
      </c>
      <c r="AN311">
        <f>IF($D311="","",IF($AA311="Yes",1,0))</f>
        <v/>
      </c>
      <c r="AO311">
        <f>IF($AK311=1,IFERROR(IF(VALUE($D311)&lt;100000000,VALUE($D311),1000000000),IFERROR(IF(VALUE(MID($D311,2,20))&lt;100000000,VALUE(MID($D311,2,20)),1000000000),1000000000))+ROW()/100000,"")</f>
        <v/>
      </c>
    </row>
    <row r="312">
      <c r="F312" s="11" t="n"/>
      <c r="N312" s="7">
        <f>IF($D312="","",M312*X312/100)</f>
        <v/>
      </c>
      <c r="O312" s="7" t="n"/>
      <c r="U312" s="7" t="n"/>
      <c r="V312" s="7" t="n"/>
      <c r="W312" s="7">
        <f>IF($D312="","",V312*AB312/100)</f>
        <v/>
      </c>
      <c r="X312" s="7">
        <f>IF($D312="","",V312-W312)</f>
        <v/>
      </c>
      <c r="Y312" s="7">
        <f>IF($D312="","",X312-N312)</f>
        <v/>
      </c>
      <c r="AB312">
        <f>IF($D312="","",IF($AN312=1,Settings!$C$8,IF($AM312=1,Settings!$C$6,Settings!$C$7))*100)</f>
        <v/>
      </c>
      <c r="AF312" s="7" t="n"/>
      <c r="AI312" s="11" t="n"/>
      <c r="AK312">
        <f>IF($D312="","",IF(COUNTIF($D$2:$D312,$D312)=1,1,0))</f>
        <v/>
      </c>
      <c r="AL312">
        <f>IF($AK312=1,SUMPRODUCT(--($AO$2:$AO$1601&lt;$AO312))+1,"")</f>
        <v/>
      </c>
      <c r="AM312">
        <f>IF($D312="","",IF(OR($R312=TRUE(),$R312="TRUE"),1,0))</f>
        <v/>
      </c>
      <c r="AN312">
        <f>IF($D312="","",IF($AA312="Yes",1,0))</f>
        <v/>
      </c>
      <c r="AO312">
        <f>IF($AK312=1,IFERROR(IF(VALUE($D312)&lt;100000000,VALUE($D312),1000000000),IFERROR(IF(VALUE(MID($D312,2,20))&lt;100000000,VALUE(MID($D312,2,20)),1000000000),1000000000))+ROW()/100000,"")</f>
        <v/>
      </c>
    </row>
    <row r="313">
      <c r="F313" s="11" t="n"/>
      <c r="N313" s="7">
        <f>IF($D313="","",M313*X313/100)</f>
        <v/>
      </c>
      <c r="O313" s="7" t="n"/>
      <c r="U313" s="7" t="n"/>
      <c r="V313" s="7" t="n"/>
      <c r="W313" s="7">
        <f>IF($D313="","",V313*AB313/100)</f>
        <v/>
      </c>
      <c r="X313" s="7">
        <f>IF($D313="","",V313-W313)</f>
        <v/>
      </c>
      <c r="Y313" s="7">
        <f>IF($D313="","",X313-N313)</f>
        <v/>
      </c>
      <c r="AB313">
        <f>IF($D313="","",IF($AN313=1,Settings!$C$8,IF($AM313=1,Settings!$C$6,Settings!$C$7))*100)</f>
        <v/>
      </c>
      <c r="AF313" s="7" t="n"/>
      <c r="AI313" s="11" t="n"/>
      <c r="AK313">
        <f>IF($D313="","",IF(COUNTIF($D$2:$D313,$D313)=1,1,0))</f>
        <v/>
      </c>
      <c r="AL313">
        <f>IF($AK313=1,SUMPRODUCT(--($AO$2:$AO$1601&lt;$AO313))+1,"")</f>
        <v/>
      </c>
      <c r="AM313">
        <f>IF($D313="","",IF(OR($R313=TRUE(),$R313="TRUE"),1,0))</f>
        <v/>
      </c>
      <c r="AN313">
        <f>IF($D313="","",IF($AA313="Yes",1,0))</f>
        <v/>
      </c>
      <c r="AO313">
        <f>IF($AK313=1,IFERROR(IF(VALUE($D313)&lt;100000000,VALUE($D313),1000000000),IFERROR(IF(VALUE(MID($D313,2,20))&lt;100000000,VALUE(MID($D313,2,20)),1000000000),1000000000))+ROW()/100000,"")</f>
        <v/>
      </c>
    </row>
    <row r="314">
      <c r="F314" s="11" t="n"/>
      <c r="N314" s="7">
        <f>IF($D314="","",M314*X314/100)</f>
        <v/>
      </c>
      <c r="O314" s="7" t="n"/>
      <c r="U314" s="7" t="n"/>
      <c r="V314" s="7" t="n"/>
      <c r="W314" s="7">
        <f>IF($D314="","",V314*AB314/100)</f>
        <v/>
      </c>
      <c r="X314" s="7">
        <f>IF($D314="","",V314-W314)</f>
        <v/>
      </c>
      <c r="Y314" s="7">
        <f>IF($D314="","",X314-N314)</f>
        <v/>
      </c>
      <c r="AB314">
        <f>IF($D314="","",IF($AN314=1,Settings!$C$8,IF($AM314=1,Settings!$C$6,Settings!$C$7))*100)</f>
        <v/>
      </c>
      <c r="AF314" s="7" t="n"/>
      <c r="AI314" s="11" t="n"/>
      <c r="AK314">
        <f>IF($D314="","",IF(COUNTIF($D$2:$D314,$D314)=1,1,0))</f>
        <v/>
      </c>
      <c r="AL314">
        <f>IF($AK314=1,SUMPRODUCT(--($AO$2:$AO$1601&lt;$AO314))+1,"")</f>
        <v/>
      </c>
      <c r="AM314">
        <f>IF($D314="","",IF(OR($R314=TRUE(),$R314="TRUE"),1,0))</f>
        <v/>
      </c>
      <c r="AN314">
        <f>IF($D314="","",IF($AA314="Yes",1,0))</f>
        <v/>
      </c>
      <c r="AO314">
        <f>IF($AK314=1,IFERROR(IF(VALUE($D314)&lt;100000000,VALUE($D314),1000000000),IFERROR(IF(VALUE(MID($D314,2,20))&lt;100000000,VALUE(MID($D314,2,20)),1000000000),1000000000))+ROW()/100000,"")</f>
        <v/>
      </c>
    </row>
    <row r="315">
      <c r="F315" s="11" t="n"/>
      <c r="N315" s="7">
        <f>IF($D315="","",M315*X315/100)</f>
        <v/>
      </c>
      <c r="O315" s="7" t="n"/>
      <c r="U315" s="7" t="n"/>
      <c r="V315" s="7" t="n"/>
      <c r="W315" s="7">
        <f>IF($D315="","",V315*AB315/100)</f>
        <v/>
      </c>
      <c r="X315" s="7">
        <f>IF($D315="","",V315-W315)</f>
        <v/>
      </c>
      <c r="Y315" s="7">
        <f>IF($D315="","",X315-N315)</f>
        <v/>
      </c>
      <c r="AB315">
        <f>IF($D315="","",IF($AN315=1,Settings!$C$8,IF($AM315=1,Settings!$C$6,Settings!$C$7))*100)</f>
        <v/>
      </c>
      <c r="AF315" s="7" t="n"/>
      <c r="AI315" s="11" t="n"/>
      <c r="AK315">
        <f>IF($D315="","",IF(COUNTIF($D$2:$D315,$D315)=1,1,0))</f>
        <v/>
      </c>
      <c r="AL315">
        <f>IF($AK315=1,SUMPRODUCT(--($AO$2:$AO$1601&lt;$AO315))+1,"")</f>
        <v/>
      </c>
      <c r="AM315">
        <f>IF($D315="","",IF(OR($R315=TRUE(),$R315="TRUE"),1,0))</f>
        <v/>
      </c>
      <c r="AN315">
        <f>IF($D315="","",IF($AA315="Yes",1,0))</f>
        <v/>
      </c>
      <c r="AO315">
        <f>IF($AK315=1,IFERROR(IF(VALUE($D315)&lt;100000000,VALUE($D315),1000000000),IFERROR(IF(VALUE(MID($D315,2,20))&lt;100000000,VALUE(MID($D315,2,20)),1000000000),1000000000))+ROW()/100000,"")</f>
        <v/>
      </c>
    </row>
    <row r="316">
      <c r="F316" s="11" t="n"/>
      <c r="N316" s="7">
        <f>IF($D316="","",M316*X316/100)</f>
        <v/>
      </c>
      <c r="O316" s="7" t="n"/>
      <c r="U316" s="7" t="n"/>
      <c r="V316" s="7" t="n"/>
      <c r="W316" s="7">
        <f>IF($D316="","",V316*AB316/100)</f>
        <v/>
      </c>
      <c r="X316" s="7">
        <f>IF($D316="","",V316-W316)</f>
        <v/>
      </c>
      <c r="Y316" s="7">
        <f>IF($D316="","",X316-N316)</f>
        <v/>
      </c>
      <c r="AB316">
        <f>IF($D316="","",IF($AN316=1,Settings!$C$8,IF($AM316=1,Settings!$C$6,Settings!$C$7))*100)</f>
        <v/>
      </c>
      <c r="AF316" s="7" t="n"/>
      <c r="AI316" s="11" t="n"/>
      <c r="AK316">
        <f>IF($D316="","",IF(COUNTIF($D$2:$D316,$D316)=1,1,0))</f>
        <v/>
      </c>
      <c r="AL316">
        <f>IF($AK316=1,SUMPRODUCT(--($AO$2:$AO$1601&lt;$AO316))+1,"")</f>
        <v/>
      </c>
      <c r="AM316">
        <f>IF($D316="","",IF(OR($R316=TRUE(),$R316="TRUE"),1,0))</f>
        <v/>
      </c>
      <c r="AN316">
        <f>IF($D316="","",IF($AA316="Yes",1,0))</f>
        <v/>
      </c>
      <c r="AO316">
        <f>IF($AK316=1,IFERROR(IF(VALUE($D316)&lt;100000000,VALUE($D316),1000000000),IFERROR(IF(VALUE(MID($D316,2,20))&lt;100000000,VALUE(MID($D316,2,20)),1000000000),1000000000))+ROW()/100000,"")</f>
        <v/>
      </c>
    </row>
    <row r="317">
      <c r="F317" s="11" t="n"/>
      <c r="N317" s="7">
        <f>IF($D317="","",M317*X317/100)</f>
        <v/>
      </c>
      <c r="O317" s="7" t="n"/>
      <c r="U317" s="7" t="n"/>
      <c r="V317" s="7" t="n"/>
      <c r="W317" s="7">
        <f>IF($D317="","",V317*AB317/100)</f>
        <v/>
      </c>
      <c r="X317" s="7">
        <f>IF($D317="","",V317-W317)</f>
        <v/>
      </c>
      <c r="Y317" s="7">
        <f>IF($D317="","",X317-N317)</f>
        <v/>
      </c>
      <c r="AB317">
        <f>IF($D317="","",IF($AN317=1,Settings!$C$8,IF($AM317=1,Settings!$C$6,Settings!$C$7))*100)</f>
        <v/>
      </c>
      <c r="AF317" s="7" t="n"/>
      <c r="AI317" s="11" t="n"/>
      <c r="AK317">
        <f>IF($D317="","",IF(COUNTIF($D$2:$D317,$D317)=1,1,0))</f>
        <v/>
      </c>
      <c r="AL317">
        <f>IF($AK317=1,SUMPRODUCT(--($AO$2:$AO$1601&lt;$AO317))+1,"")</f>
        <v/>
      </c>
      <c r="AM317">
        <f>IF($D317="","",IF(OR($R317=TRUE(),$R317="TRUE"),1,0))</f>
        <v/>
      </c>
      <c r="AN317">
        <f>IF($D317="","",IF($AA317="Yes",1,0))</f>
        <v/>
      </c>
      <c r="AO317">
        <f>IF($AK317=1,IFERROR(IF(VALUE($D317)&lt;100000000,VALUE($D317),1000000000),IFERROR(IF(VALUE(MID($D317,2,20))&lt;100000000,VALUE(MID($D317,2,20)),1000000000),1000000000))+ROW()/100000,"")</f>
        <v/>
      </c>
    </row>
    <row r="318">
      <c r="F318" s="11" t="n"/>
      <c r="N318" s="7">
        <f>IF($D318="","",M318*X318/100)</f>
        <v/>
      </c>
      <c r="O318" s="7" t="n"/>
      <c r="U318" s="7" t="n"/>
      <c r="V318" s="7" t="n"/>
      <c r="W318" s="7">
        <f>IF($D318="","",V318*AB318/100)</f>
        <v/>
      </c>
      <c r="X318" s="7">
        <f>IF($D318="","",V318-W318)</f>
        <v/>
      </c>
      <c r="Y318" s="7">
        <f>IF($D318="","",X318-N318)</f>
        <v/>
      </c>
      <c r="AB318">
        <f>IF($D318="","",IF($AN318=1,Settings!$C$8,IF($AM318=1,Settings!$C$6,Settings!$C$7))*100)</f>
        <v/>
      </c>
      <c r="AF318" s="7" t="n"/>
      <c r="AI318" s="11" t="n"/>
      <c r="AK318">
        <f>IF($D318="","",IF(COUNTIF($D$2:$D318,$D318)=1,1,0))</f>
        <v/>
      </c>
      <c r="AL318">
        <f>IF($AK318=1,SUMPRODUCT(--($AO$2:$AO$1601&lt;$AO318))+1,"")</f>
        <v/>
      </c>
      <c r="AM318">
        <f>IF($D318="","",IF(OR($R318=TRUE(),$R318="TRUE"),1,0))</f>
        <v/>
      </c>
      <c r="AN318">
        <f>IF($D318="","",IF($AA318="Yes",1,0))</f>
        <v/>
      </c>
      <c r="AO318">
        <f>IF($AK318=1,IFERROR(IF(VALUE($D318)&lt;100000000,VALUE($D318),1000000000),IFERROR(IF(VALUE(MID($D318,2,20))&lt;100000000,VALUE(MID($D318,2,20)),1000000000),1000000000))+ROW()/100000,"")</f>
        <v/>
      </c>
    </row>
    <row r="319">
      <c r="F319" s="11" t="n"/>
      <c r="N319" s="7">
        <f>IF($D319="","",M319*X319/100)</f>
        <v/>
      </c>
      <c r="O319" s="7" t="n"/>
      <c r="U319" s="7" t="n"/>
      <c r="V319" s="7" t="n"/>
      <c r="W319" s="7">
        <f>IF($D319="","",V319*AB319/100)</f>
        <v/>
      </c>
      <c r="X319" s="7">
        <f>IF($D319="","",V319-W319)</f>
        <v/>
      </c>
      <c r="Y319" s="7">
        <f>IF($D319="","",X319-N319)</f>
        <v/>
      </c>
      <c r="AB319">
        <f>IF($D319="","",IF($AN319=1,Settings!$C$8,IF($AM319=1,Settings!$C$6,Settings!$C$7))*100)</f>
        <v/>
      </c>
      <c r="AF319" s="7" t="n"/>
      <c r="AI319" s="11" t="n"/>
      <c r="AK319">
        <f>IF($D319="","",IF(COUNTIF($D$2:$D319,$D319)=1,1,0))</f>
        <v/>
      </c>
      <c r="AL319">
        <f>IF($AK319=1,SUMPRODUCT(--($AO$2:$AO$1601&lt;$AO319))+1,"")</f>
        <v/>
      </c>
      <c r="AM319">
        <f>IF($D319="","",IF(OR($R319=TRUE(),$R319="TRUE"),1,0))</f>
        <v/>
      </c>
      <c r="AN319">
        <f>IF($D319="","",IF($AA319="Yes",1,0))</f>
        <v/>
      </c>
      <c r="AO319">
        <f>IF($AK319=1,IFERROR(IF(VALUE($D319)&lt;100000000,VALUE($D319),1000000000),IFERROR(IF(VALUE(MID($D319,2,20))&lt;100000000,VALUE(MID($D319,2,20)),1000000000),1000000000))+ROW()/100000,"")</f>
        <v/>
      </c>
    </row>
    <row r="320">
      <c r="F320" s="11" t="n"/>
      <c r="N320" s="7">
        <f>IF($D320="","",M320*X320/100)</f>
        <v/>
      </c>
      <c r="O320" s="7" t="n"/>
      <c r="U320" s="7" t="n"/>
      <c r="V320" s="7" t="n"/>
      <c r="W320" s="7">
        <f>IF($D320="","",V320*AB320/100)</f>
        <v/>
      </c>
      <c r="X320" s="7">
        <f>IF($D320="","",V320-W320)</f>
        <v/>
      </c>
      <c r="Y320" s="7">
        <f>IF($D320="","",X320-N320)</f>
        <v/>
      </c>
      <c r="AB320">
        <f>IF($D320="","",IF($AN320=1,Settings!$C$8,IF($AM320=1,Settings!$C$6,Settings!$C$7))*100)</f>
        <v/>
      </c>
      <c r="AF320" s="7" t="n"/>
      <c r="AI320" s="11" t="n"/>
      <c r="AK320">
        <f>IF($D320="","",IF(COUNTIF($D$2:$D320,$D320)=1,1,0))</f>
        <v/>
      </c>
      <c r="AL320">
        <f>IF($AK320=1,SUMPRODUCT(--($AO$2:$AO$1601&lt;$AO320))+1,"")</f>
        <v/>
      </c>
      <c r="AM320">
        <f>IF($D320="","",IF(OR($R320=TRUE(),$R320="TRUE"),1,0))</f>
        <v/>
      </c>
      <c r="AN320">
        <f>IF($D320="","",IF($AA320="Yes",1,0))</f>
        <v/>
      </c>
      <c r="AO320">
        <f>IF($AK320=1,IFERROR(IF(VALUE($D320)&lt;100000000,VALUE($D320),1000000000),IFERROR(IF(VALUE(MID($D320,2,20))&lt;100000000,VALUE(MID($D320,2,20)),1000000000),1000000000))+ROW()/100000,"")</f>
        <v/>
      </c>
    </row>
    <row r="321">
      <c r="F321" s="11" t="n"/>
      <c r="N321" s="7">
        <f>IF($D321="","",M321*X321/100)</f>
        <v/>
      </c>
      <c r="O321" s="7" t="n"/>
      <c r="U321" s="7" t="n"/>
      <c r="V321" s="7" t="n"/>
      <c r="W321" s="7">
        <f>IF($D321="","",V321*AB321/100)</f>
        <v/>
      </c>
      <c r="X321" s="7">
        <f>IF($D321="","",V321-W321)</f>
        <v/>
      </c>
      <c r="Y321" s="7">
        <f>IF($D321="","",X321-N321)</f>
        <v/>
      </c>
      <c r="AB321">
        <f>IF($D321="","",IF($AN321=1,Settings!$C$8,IF($AM321=1,Settings!$C$6,Settings!$C$7))*100)</f>
        <v/>
      </c>
      <c r="AF321" s="7" t="n"/>
      <c r="AI321" s="11" t="n"/>
      <c r="AK321">
        <f>IF($D321="","",IF(COUNTIF($D$2:$D321,$D321)=1,1,0))</f>
        <v/>
      </c>
      <c r="AL321">
        <f>IF($AK321=1,SUMPRODUCT(--($AO$2:$AO$1601&lt;$AO321))+1,"")</f>
        <v/>
      </c>
      <c r="AM321">
        <f>IF($D321="","",IF(OR($R321=TRUE(),$R321="TRUE"),1,0))</f>
        <v/>
      </c>
      <c r="AN321">
        <f>IF($D321="","",IF($AA321="Yes",1,0))</f>
        <v/>
      </c>
      <c r="AO321">
        <f>IF($AK321=1,IFERROR(IF(VALUE($D321)&lt;100000000,VALUE($D321),1000000000),IFERROR(IF(VALUE(MID($D321,2,20))&lt;100000000,VALUE(MID($D321,2,20)),1000000000),1000000000))+ROW()/100000,"")</f>
        <v/>
      </c>
    </row>
    <row r="322">
      <c r="F322" s="11" t="n"/>
      <c r="N322" s="7">
        <f>IF($D322="","",M322*X322/100)</f>
        <v/>
      </c>
      <c r="O322" s="7" t="n"/>
      <c r="U322" s="7" t="n"/>
      <c r="V322" s="7" t="n"/>
      <c r="W322" s="7">
        <f>IF($D322="","",V322*AB322/100)</f>
        <v/>
      </c>
      <c r="X322" s="7">
        <f>IF($D322="","",V322-W322)</f>
        <v/>
      </c>
      <c r="Y322" s="7">
        <f>IF($D322="","",X322-N322)</f>
        <v/>
      </c>
      <c r="AB322">
        <f>IF($D322="","",IF($AN322=1,Settings!$C$8,IF($AM322=1,Settings!$C$6,Settings!$C$7))*100)</f>
        <v/>
      </c>
      <c r="AF322" s="7" t="n"/>
      <c r="AI322" s="11" t="n"/>
      <c r="AK322">
        <f>IF($D322="","",IF(COUNTIF($D$2:$D322,$D322)=1,1,0))</f>
        <v/>
      </c>
      <c r="AL322">
        <f>IF($AK322=1,SUMPRODUCT(--($AO$2:$AO$1601&lt;$AO322))+1,"")</f>
        <v/>
      </c>
      <c r="AM322">
        <f>IF($D322="","",IF(OR($R322=TRUE(),$R322="TRUE"),1,0))</f>
        <v/>
      </c>
      <c r="AN322">
        <f>IF($D322="","",IF($AA322="Yes",1,0))</f>
        <v/>
      </c>
      <c r="AO322">
        <f>IF($AK322=1,IFERROR(IF(VALUE($D322)&lt;100000000,VALUE($D322),1000000000),IFERROR(IF(VALUE(MID($D322,2,20))&lt;100000000,VALUE(MID($D322,2,20)),1000000000),1000000000))+ROW()/100000,"")</f>
        <v/>
      </c>
    </row>
    <row r="323">
      <c r="F323" s="11" t="n"/>
      <c r="N323" s="7">
        <f>IF($D323="","",M323*X323/100)</f>
        <v/>
      </c>
      <c r="O323" s="7" t="n"/>
      <c r="U323" s="7" t="n"/>
      <c r="V323" s="7" t="n"/>
      <c r="W323" s="7">
        <f>IF($D323="","",V323*AB323/100)</f>
        <v/>
      </c>
      <c r="X323" s="7">
        <f>IF($D323="","",V323-W323)</f>
        <v/>
      </c>
      <c r="Y323" s="7">
        <f>IF($D323="","",X323-N323)</f>
        <v/>
      </c>
      <c r="AB323">
        <f>IF($D323="","",IF($AN323=1,Settings!$C$8,IF($AM323=1,Settings!$C$6,Settings!$C$7))*100)</f>
        <v/>
      </c>
      <c r="AF323" s="7" t="n"/>
      <c r="AI323" s="11" t="n"/>
      <c r="AK323">
        <f>IF($D323="","",IF(COUNTIF($D$2:$D323,$D323)=1,1,0))</f>
        <v/>
      </c>
      <c r="AL323">
        <f>IF($AK323=1,SUMPRODUCT(--($AO$2:$AO$1601&lt;$AO323))+1,"")</f>
        <v/>
      </c>
      <c r="AM323">
        <f>IF($D323="","",IF(OR($R323=TRUE(),$R323="TRUE"),1,0))</f>
        <v/>
      </c>
      <c r="AN323">
        <f>IF($D323="","",IF($AA323="Yes",1,0))</f>
        <v/>
      </c>
      <c r="AO323">
        <f>IF($AK323=1,IFERROR(IF(VALUE($D323)&lt;100000000,VALUE($D323),1000000000),IFERROR(IF(VALUE(MID($D323,2,20))&lt;100000000,VALUE(MID($D323,2,20)),1000000000),1000000000))+ROW()/100000,"")</f>
        <v/>
      </c>
    </row>
    <row r="324">
      <c r="F324" s="11" t="n"/>
      <c r="N324" s="7">
        <f>IF($D324="","",M324*X324/100)</f>
        <v/>
      </c>
      <c r="O324" s="7" t="n"/>
      <c r="U324" s="7" t="n"/>
      <c r="V324" s="7" t="n"/>
      <c r="W324" s="7">
        <f>IF($D324="","",V324*AB324/100)</f>
        <v/>
      </c>
      <c r="X324" s="7">
        <f>IF($D324="","",V324-W324)</f>
        <v/>
      </c>
      <c r="Y324" s="7">
        <f>IF($D324="","",X324-N324)</f>
        <v/>
      </c>
      <c r="AB324">
        <f>IF($D324="","",IF($AN324=1,Settings!$C$8,IF($AM324=1,Settings!$C$6,Settings!$C$7))*100)</f>
        <v/>
      </c>
      <c r="AF324" s="7" t="n"/>
      <c r="AI324" s="11" t="n"/>
      <c r="AK324">
        <f>IF($D324="","",IF(COUNTIF($D$2:$D324,$D324)=1,1,0))</f>
        <v/>
      </c>
      <c r="AL324">
        <f>IF($AK324=1,SUMPRODUCT(--($AO$2:$AO$1601&lt;$AO324))+1,"")</f>
        <v/>
      </c>
      <c r="AM324">
        <f>IF($D324="","",IF(OR($R324=TRUE(),$R324="TRUE"),1,0))</f>
        <v/>
      </c>
      <c r="AN324">
        <f>IF($D324="","",IF($AA324="Yes",1,0))</f>
        <v/>
      </c>
      <c r="AO324">
        <f>IF($AK324=1,IFERROR(IF(VALUE($D324)&lt;100000000,VALUE($D324),1000000000),IFERROR(IF(VALUE(MID($D324,2,20))&lt;100000000,VALUE(MID($D324,2,20)),1000000000),1000000000))+ROW()/100000,"")</f>
        <v/>
      </c>
    </row>
    <row r="325">
      <c r="F325" s="11" t="n"/>
      <c r="N325" s="7">
        <f>IF($D325="","",M325*X325/100)</f>
        <v/>
      </c>
      <c r="O325" s="7" t="n"/>
      <c r="U325" s="7" t="n"/>
      <c r="V325" s="7" t="n"/>
      <c r="W325" s="7">
        <f>IF($D325="","",V325*AB325/100)</f>
        <v/>
      </c>
      <c r="X325" s="7">
        <f>IF($D325="","",V325-W325)</f>
        <v/>
      </c>
      <c r="Y325" s="7">
        <f>IF($D325="","",X325-N325)</f>
        <v/>
      </c>
      <c r="AB325">
        <f>IF($D325="","",IF($AN325=1,Settings!$C$8,IF($AM325=1,Settings!$C$6,Settings!$C$7))*100)</f>
        <v/>
      </c>
      <c r="AF325" s="7" t="n"/>
      <c r="AI325" s="11" t="n"/>
      <c r="AK325">
        <f>IF($D325="","",IF(COUNTIF($D$2:$D325,$D325)=1,1,0))</f>
        <v/>
      </c>
      <c r="AL325">
        <f>IF($AK325=1,SUMPRODUCT(--($AO$2:$AO$1601&lt;$AO325))+1,"")</f>
        <v/>
      </c>
      <c r="AM325">
        <f>IF($D325="","",IF(OR($R325=TRUE(),$R325="TRUE"),1,0))</f>
        <v/>
      </c>
      <c r="AN325">
        <f>IF($D325="","",IF($AA325="Yes",1,0))</f>
        <v/>
      </c>
      <c r="AO325">
        <f>IF($AK325=1,IFERROR(IF(VALUE($D325)&lt;100000000,VALUE($D325),1000000000),IFERROR(IF(VALUE(MID($D325,2,20))&lt;100000000,VALUE(MID($D325,2,20)),1000000000),1000000000))+ROW()/100000,"")</f>
        <v/>
      </c>
    </row>
    <row r="326">
      <c r="F326" s="11" t="n"/>
      <c r="N326" s="7">
        <f>IF($D326="","",M326*X326/100)</f>
        <v/>
      </c>
      <c r="O326" s="7" t="n"/>
      <c r="U326" s="7" t="n"/>
      <c r="V326" s="7" t="n"/>
      <c r="W326" s="7">
        <f>IF($D326="","",V326*AB326/100)</f>
        <v/>
      </c>
      <c r="X326" s="7">
        <f>IF($D326="","",V326-W326)</f>
        <v/>
      </c>
      <c r="Y326" s="7">
        <f>IF($D326="","",X326-N326)</f>
        <v/>
      </c>
      <c r="AB326">
        <f>IF($D326="","",IF($AN326=1,Settings!$C$8,IF($AM326=1,Settings!$C$6,Settings!$C$7))*100)</f>
        <v/>
      </c>
      <c r="AF326" s="7" t="n"/>
      <c r="AI326" s="11" t="n"/>
      <c r="AK326">
        <f>IF($D326="","",IF(COUNTIF($D$2:$D326,$D326)=1,1,0))</f>
        <v/>
      </c>
      <c r="AL326">
        <f>IF($AK326=1,SUMPRODUCT(--($AO$2:$AO$1601&lt;$AO326))+1,"")</f>
        <v/>
      </c>
      <c r="AM326">
        <f>IF($D326="","",IF(OR($R326=TRUE(),$R326="TRUE"),1,0))</f>
        <v/>
      </c>
      <c r="AN326">
        <f>IF($D326="","",IF($AA326="Yes",1,0))</f>
        <v/>
      </c>
      <c r="AO326">
        <f>IF($AK326=1,IFERROR(IF(VALUE($D326)&lt;100000000,VALUE($D326),1000000000),IFERROR(IF(VALUE(MID($D326,2,20))&lt;100000000,VALUE(MID($D326,2,20)),1000000000),1000000000))+ROW()/100000,"")</f>
        <v/>
      </c>
    </row>
    <row r="327">
      <c r="F327" s="11" t="n"/>
      <c r="N327" s="7">
        <f>IF($D327="","",M327*X327/100)</f>
        <v/>
      </c>
      <c r="O327" s="7" t="n"/>
      <c r="U327" s="7" t="n"/>
      <c r="V327" s="7" t="n"/>
      <c r="W327" s="7">
        <f>IF($D327="","",V327*AB327/100)</f>
        <v/>
      </c>
      <c r="X327" s="7">
        <f>IF($D327="","",V327-W327)</f>
        <v/>
      </c>
      <c r="Y327" s="7">
        <f>IF($D327="","",X327-N327)</f>
        <v/>
      </c>
      <c r="AB327">
        <f>IF($D327="","",IF($AN327=1,Settings!$C$8,IF($AM327=1,Settings!$C$6,Settings!$C$7))*100)</f>
        <v/>
      </c>
      <c r="AF327" s="7" t="n"/>
      <c r="AI327" s="11" t="n"/>
      <c r="AK327">
        <f>IF($D327="","",IF(COUNTIF($D$2:$D327,$D327)=1,1,0))</f>
        <v/>
      </c>
      <c r="AL327">
        <f>IF($AK327=1,SUMPRODUCT(--($AO$2:$AO$1601&lt;$AO327))+1,"")</f>
        <v/>
      </c>
      <c r="AM327">
        <f>IF($D327="","",IF(OR($R327=TRUE(),$R327="TRUE"),1,0))</f>
        <v/>
      </c>
      <c r="AN327">
        <f>IF($D327="","",IF($AA327="Yes",1,0))</f>
        <v/>
      </c>
      <c r="AO327">
        <f>IF($AK327=1,IFERROR(IF(VALUE($D327)&lt;100000000,VALUE($D327),1000000000),IFERROR(IF(VALUE(MID($D327,2,20))&lt;100000000,VALUE(MID($D327,2,20)),1000000000),1000000000))+ROW()/100000,"")</f>
        <v/>
      </c>
    </row>
    <row r="328">
      <c r="F328" s="11" t="n"/>
      <c r="N328" s="7">
        <f>IF($D328="","",M328*X328/100)</f>
        <v/>
      </c>
      <c r="O328" s="7" t="n"/>
      <c r="U328" s="7" t="n"/>
      <c r="V328" s="7" t="n"/>
      <c r="W328" s="7">
        <f>IF($D328="","",V328*AB328/100)</f>
        <v/>
      </c>
      <c r="X328" s="7">
        <f>IF($D328="","",V328-W328)</f>
        <v/>
      </c>
      <c r="Y328" s="7">
        <f>IF($D328="","",X328-N328)</f>
        <v/>
      </c>
      <c r="AB328">
        <f>IF($D328="","",IF($AN328=1,Settings!$C$8,IF($AM328=1,Settings!$C$6,Settings!$C$7))*100)</f>
        <v/>
      </c>
      <c r="AF328" s="7" t="n"/>
      <c r="AI328" s="11" t="n"/>
      <c r="AK328">
        <f>IF($D328="","",IF(COUNTIF($D$2:$D328,$D328)=1,1,0))</f>
        <v/>
      </c>
      <c r="AL328">
        <f>IF($AK328=1,SUMPRODUCT(--($AO$2:$AO$1601&lt;$AO328))+1,"")</f>
        <v/>
      </c>
      <c r="AM328">
        <f>IF($D328="","",IF(OR($R328=TRUE(),$R328="TRUE"),1,0))</f>
        <v/>
      </c>
      <c r="AN328">
        <f>IF($D328="","",IF($AA328="Yes",1,0))</f>
        <v/>
      </c>
      <c r="AO328">
        <f>IF($AK328=1,IFERROR(IF(VALUE($D328)&lt;100000000,VALUE($D328),1000000000),IFERROR(IF(VALUE(MID($D328,2,20))&lt;100000000,VALUE(MID($D328,2,20)),1000000000),1000000000))+ROW()/100000,"")</f>
        <v/>
      </c>
    </row>
    <row r="329">
      <c r="F329" s="11" t="n"/>
      <c r="N329" s="7">
        <f>IF($D329="","",M329*X329/100)</f>
        <v/>
      </c>
      <c r="O329" s="7" t="n"/>
      <c r="U329" s="7" t="n"/>
      <c r="V329" s="7" t="n"/>
      <c r="W329" s="7">
        <f>IF($D329="","",V329*AB329/100)</f>
        <v/>
      </c>
      <c r="X329" s="7">
        <f>IF($D329="","",V329-W329)</f>
        <v/>
      </c>
      <c r="Y329" s="7">
        <f>IF($D329="","",X329-N329)</f>
        <v/>
      </c>
      <c r="AB329">
        <f>IF($D329="","",IF($AN329=1,Settings!$C$8,IF($AM329=1,Settings!$C$6,Settings!$C$7))*100)</f>
        <v/>
      </c>
      <c r="AF329" s="7" t="n"/>
      <c r="AI329" s="11" t="n"/>
      <c r="AK329">
        <f>IF($D329="","",IF(COUNTIF($D$2:$D329,$D329)=1,1,0))</f>
        <v/>
      </c>
      <c r="AL329">
        <f>IF($AK329=1,SUMPRODUCT(--($AO$2:$AO$1601&lt;$AO329))+1,"")</f>
        <v/>
      </c>
      <c r="AM329">
        <f>IF($D329="","",IF(OR($R329=TRUE(),$R329="TRUE"),1,0))</f>
        <v/>
      </c>
      <c r="AN329">
        <f>IF($D329="","",IF($AA329="Yes",1,0))</f>
        <v/>
      </c>
      <c r="AO329">
        <f>IF($AK329=1,IFERROR(IF(VALUE($D329)&lt;100000000,VALUE($D329),1000000000),IFERROR(IF(VALUE(MID($D329,2,20))&lt;100000000,VALUE(MID($D329,2,20)),1000000000),1000000000))+ROW()/100000,"")</f>
        <v/>
      </c>
    </row>
    <row r="330">
      <c r="F330" s="11" t="n"/>
      <c r="N330" s="7">
        <f>IF($D330="","",M330*X330/100)</f>
        <v/>
      </c>
      <c r="O330" s="7" t="n"/>
      <c r="U330" s="7" t="n"/>
      <c r="V330" s="7" t="n"/>
      <c r="W330" s="7">
        <f>IF($D330="","",V330*AB330/100)</f>
        <v/>
      </c>
      <c r="X330" s="7">
        <f>IF($D330="","",V330-W330)</f>
        <v/>
      </c>
      <c r="Y330" s="7">
        <f>IF($D330="","",X330-N330)</f>
        <v/>
      </c>
      <c r="AB330">
        <f>IF($D330="","",IF($AN330=1,Settings!$C$8,IF($AM330=1,Settings!$C$6,Settings!$C$7))*100)</f>
        <v/>
      </c>
      <c r="AF330" s="7" t="n"/>
      <c r="AI330" s="11" t="n"/>
      <c r="AK330">
        <f>IF($D330="","",IF(COUNTIF($D$2:$D330,$D330)=1,1,0))</f>
        <v/>
      </c>
      <c r="AL330">
        <f>IF($AK330=1,SUMPRODUCT(--($AO$2:$AO$1601&lt;$AO330))+1,"")</f>
        <v/>
      </c>
      <c r="AM330">
        <f>IF($D330="","",IF(OR($R330=TRUE(),$R330="TRUE"),1,0))</f>
        <v/>
      </c>
      <c r="AN330">
        <f>IF($D330="","",IF($AA330="Yes",1,0))</f>
        <v/>
      </c>
      <c r="AO330">
        <f>IF($AK330=1,IFERROR(IF(VALUE($D330)&lt;100000000,VALUE($D330),1000000000),IFERROR(IF(VALUE(MID($D330,2,20))&lt;100000000,VALUE(MID($D330,2,20)),1000000000),1000000000))+ROW()/100000,"")</f>
        <v/>
      </c>
    </row>
    <row r="331">
      <c r="F331" s="11" t="n"/>
      <c r="N331" s="7">
        <f>IF($D331="","",M331*X331/100)</f>
        <v/>
      </c>
      <c r="O331" s="7" t="n"/>
      <c r="U331" s="7" t="n"/>
      <c r="V331" s="7" t="n"/>
      <c r="W331" s="7">
        <f>IF($D331="","",V331*AB331/100)</f>
        <v/>
      </c>
      <c r="X331" s="7">
        <f>IF($D331="","",V331-W331)</f>
        <v/>
      </c>
      <c r="Y331" s="7">
        <f>IF($D331="","",X331-N331)</f>
        <v/>
      </c>
      <c r="AB331">
        <f>IF($D331="","",IF($AN331=1,Settings!$C$8,IF($AM331=1,Settings!$C$6,Settings!$C$7))*100)</f>
        <v/>
      </c>
      <c r="AF331" s="7" t="n"/>
      <c r="AI331" s="11" t="n"/>
      <c r="AK331">
        <f>IF($D331="","",IF(COUNTIF($D$2:$D331,$D331)=1,1,0))</f>
        <v/>
      </c>
      <c r="AL331">
        <f>IF($AK331=1,SUMPRODUCT(--($AO$2:$AO$1601&lt;$AO331))+1,"")</f>
        <v/>
      </c>
      <c r="AM331">
        <f>IF($D331="","",IF(OR($R331=TRUE(),$R331="TRUE"),1,0))</f>
        <v/>
      </c>
      <c r="AN331">
        <f>IF($D331="","",IF($AA331="Yes",1,0))</f>
        <v/>
      </c>
      <c r="AO331">
        <f>IF($AK331=1,IFERROR(IF(VALUE($D331)&lt;100000000,VALUE($D331),1000000000),IFERROR(IF(VALUE(MID($D331,2,20))&lt;100000000,VALUE(MID($D331,2,20)),1000000000),1000000000))+ROW()/100000,"")</f>
        <v/>
      </c>
    </row>
    <row r="332">
      <c r="F332" s="11" t="n"/>
      <c r="N332" s="7">
        <f>IF($D332="","",M332*X332/100)</f>
        <v/>
      </c>
      <c r="O332" s="7" t="n"/>
      <c r="U332" s="7" t="n"/>
      <c r="V332" s="7" t="n"/>
      <c r="W332" s="7">
        <f>IF($D332="","",V332*AB332/100)</f>
        <v/>
      </c>
      <c r="X332" s="7">
        <f>IF($D332="","",V332-W332)</f>
        <v/>
      </c>
      <c r="Y332" s="7">
        <f>IF($D332="","",X332-N332)</f>
        <v/>
      </c>
      <c r="AB332">
        <f>IF($D332="","",IF($AN332=1,Settings!$C$8,IF($AM332=1,Settings!$C$6,Settings!$C$7))*100)</f>
        <v/>
      </c>
      <c r="AF332" s="7" t="n"/>
      <c r="AI332" s="11" t="n"/>
      <c r="AK332">
        <f>IF($D332="","",IF(COUNTIF($D$2:$D332,$D332)=1,1,0))</f>
        <v/>
      </c>
      <c r="AL332">
        <f>IF($AK332=1,SUMPRODUCT(--($AO$2:$AO$1601&lt;$AO332))+1,"")</f>
        <v/>
      </c>
      <c r="AM332">
        <f>IF($D332="","",IF(OR($R332=TRUE(),$R332="TRUE"),1,0))</f>
        <v/>
      </c>
      <c r="AN332">
        <f>IF($D332="","",IF($AA332="Yes",1,0))</f>
        <v/>
      </c>
      <c r="AO332">
        <f>IF($AK332=1,IFERROR(IF(VALUE($D332)&lt;100000000,VALUE($D332),1000000000),IFERROR(IF(VALUE(MID($D332,2,20))&lt;100000000,VALUE(MID($D332,2,20)),1000000000),1000000000))+ROW()/100000,"")</f>
        <v/>
      </c>
    </row>
    <row r="333">
      <c r="F333" s="11" t="n"/>
      <c r="N333" s="7">
        <f>IF($D333="","",M333*X333/100)</f>
        <v/>
      </c>
      <c r="O333" s="7" t="n"/>
      <c r="U333" s="7" t="n"/>
      <c r="V333" s="7" t="n"/>
      <c r="W333" s="7">
        <f>IF($D333="","",V333*AB333/100)</f>
        <v/>
      </c>
      <c r="X333" s="7">
        <f>IF($D333="","",V333-W333)</f>
        <v/>
      </c>
      <c r="Y333" s="7">
        <f>IF($D333="","",X333-N333)</f>
        <v/>
      </c>
      <c r="AB333">
        <f>IF($D333="","",IF($AN333=1,Settings!$C$8,IF($AM333=1,Settings!$C$6,Settings!$C$7))*100)</f>
        <v/>
      </c>
      <c r="AF333" s="7" t="n"/>
      <c r="AI333" s="11" t="n"/>
      <c r="AK333">
        <f>IF($D333="","",IF(COUNTIF($D$2:$D333,$D333)=1,1,0))</f>
        <v/>
      </c>
      <c r="AL333">
        <f>IF($AK333=1,SUMPRODUCT(--($AO$2:$AO$1601&lt;$AO333))+1,"")</f>
        <v/>
      </c>
      <c r="AM333">
        <f>IF($D333="","",IF(OR($R333=TRUE(),$R333="TRUE"),1,0))</f>
        <v/>
      </c>
      <c r="AN333">
        <f>IF($D333="","",IF($AA333="Yes",1,0))</f>
        <v/>
      </c>
      <c r="AO333">
        <f>IF($AK333=1,IFERROR(IF(VALUE($D333)&lt;100000000,VALUE($D333),1000000000),IFERROR(IF(VALUE(MID($D333,2,20))&lt;100000000,VALUE(MID($D333,2,20)),1000000000),1000000000))+ROW()/100000,"")</f>
        <v/>
      </c>
    </row>
    <row r="334">
      <c r="F334" s="11" t="n"/>
      <c r="N334" s="7">
        <f>IF($D334="","",M334*X334/100)</f>
        <v/>
      </c>
      <c r="O334" s="7" t="n"/>
      <c r="U334" s="7" t="n"/>
      <c r="V334" s="7" t="n"/>
      <c r="W334" s="7">
        <f>IF($D334="","",V334*AB334/100)</f>
        <v/>
      </c>
      <c r="X334" s="7">
        <f>IF($D334="","",V334-W334)</f>
        <v/>
      </c>
      <c r="Y334" s="7">
        <f>IF($D334="","",X334-N334)</f>
        <v/>
      </c>
      <c r="AB334">
        <f>IF($D334="","",IF($AN334=1,Settings!$C$8,IF($AM334=1,Settings!$C$6,Settings!$C$7))*100)</f>
        <v/>
      </c>
      <c r="AF334" s="7" t="n"/>
      <c r="AI334" s="11" t="n"/>
      <c r="AK334">
        <f>IF($D334="","",IF(COUNTIF($D$2:$D334,$D334)=1,1,0))</f>
        <v/>
      </c>
      <c r="AL334">
        <f>IF($AK334=1,SUMPRODUCT(--($AO$2:$AO$1601&lt;$AO334))+1,"")</f>
        <v/>
      </c>
      <c r="AM334">
        <f>IF($D334="","",IF(OR($R334=TRUE(),$R334="TRUE"),1,0))</f>
        <v/>
      </c>
      <c r="AN334">
        <f>IF($D334="","",IF($AA334="Yes",1,0))</f>
        <v/>
      </c>
      <c r="AO334">
        <f>IF($AK334=1,IFERROR(IF(VALUE($D334)&lt;100000000,VALUE($D334),1000000000),IFERROR(IF(VALUE(MID($D334,2,20))&lt;100000000,VALUE(MID($D334,2,20)),1000000000),1000000000))+ROW()/100000,"")</f>
        <v/>
      </c>
    </row>
    <row r="335">
      <c r="F335" s="11" t="n"/>
      <c r="N335" s="7">
        <f>IF($D335="","",M335*X335/100)</f>
        <v/>
      </c>
      <c r="O335" s="7" t="n"/>
      <c r="U335" s="7" t="n"/>
      <c r="V335" s="7" t="n"/>
      <c r="W335" s="7">
        <f>IF($D335="","",V335*AB335/100)</f>
        <v/>
      </c>
      <c r="X335" s="7">
        <f>IF($D335="","",V335-W335)</f>
        <v/>
      </c>
      <c r="Y335" s="7">
        <f>IF($D335="","",X335-N335)</f>
        <v/>
      </c>
      <c r="AB335">
        <f>IF($D335="","",IF($AN335=1,Settings!$C$8,IF($AM335=1,Settings!$C$6,Settings!$C$7))*100)</f>
        <v/>
      </c>
      <c r="AF335" s="7" t="n"/>
      <c r="AI335" s="11" t="n"/>
      <c r="AK335">
        <f>IF($D335="","",IF(COUNTIF($D$2:$D335,$D335)=1,1,0))</f>
        <v/>
      </c>
      <c r="AL335">
        <f>IF($AK335=1,SUMPRODUCT(--($AO$2:$AO$1601&lt;$AO335))+1,"")</f>
        <v/>
      </c>
      <c r="AM335">
        <f>IF($D335="","",IF(OR($R335=TRUE(),$R335="TRUE"),1,0))</f>
        <v/>
      </c>
      <c r="AN335">
        <f>IF($D335="","",IF($AA335="Yes",1,0))</f>
        <v/>
      </c>
      <c r="AO335">
        <f>IF($AK335=1,IFERROR(IF(VALUE($D335)&lt;100000000,VALUE($D335),1000000000),IFERROR(IF(VALUE(MID($D335,2,20))&lt;100000000,VALUE(MID($D335,2,20)),1000000000),1000000000))+ROW()/100000,"")</f>
        <v/>
      </c>
    </row>
    <row r="336">
      <c r="F336" s="11" t="n"/>
      <c r="N336" s="7">
        <f>IF($D336="","",M336*X336/100)</f>
        <v/>
      </c>
      <c r="O336" s="7" t="n"/>
      <c r="U336" s="7" t="n"/>
      <c r="V336" s="7" t="n"/>
      <c r="W336" s="7">
        <f>IF($D336="","",V336*AB336/100)</f>
        <v/>
      </c>
      <c r="X336" s="7">
        <f>IF($D336="","",V336-W336)</f>
        <v/>
      </c>
      <c r="Y336" s="7">
        <f>IF($D336="","",X336-N336)</f>
        <v/>
      </c>
      <c r="AB336">
        <f>IF($D336="","",IF($AN336=1,Settings!$C$8,IF($AM336=1,Settings!$C$6,Settings!$C$7))*100)</f>
        <v/>
      </c>
      <c r="AF336" s="7" t="n"/>
      <c r="AI336" s="11" t="n"/>
      <c r="AK336">
        <f>IF($D336="","",IF(COUNTIF($D$2:$D336,$D336)=1,1,0))</f>
        <v/>
      </c>
      <c r="AL336">
        <f>IF($AK336=1,SUMPRODUCT(--($AO$2:$AO$1601&lt;$AO336))+1,"")</f>
        <v/>
      </c>
      <c r="AM336">
        <f>IF($D336="","",IF(OR($R336=TRUE(),$R336="TRUE"),1,0))</f>
        <v/>
      </c>
      <c r="AN336">
        <f>IF($D336="","",IF($AA336="Yes",1,0))</f>
        <v/>
      </c>
      <c r="AO336">
        <f>IF($AK336=1,IFERROR(IF(VALUE($D336)&lt;100000000,VALUE($D336),1000000000),IFERROR(IF(VALUE(MID($D336,2,20))&lt;100000000,VALUE(MID($D336,2,20)),1000000000),1000000000))+ROW()/100000,"")</f>
        <v/>
      </c>
    </row>
    <row r="337">
      <c r="F337" s="11" t="n"/>
      <c r="N337" s="7">
        <f>IF($D337="","",M337*X337/100)</f>
        <v/>
      </c>
      <c r="O337" s="7" t="n"/>
      <c r="U337" s="7" t="n"/>
      <c r="V337" s="7" t="n"/>
      <c r="W337" s="7">
        <f>IF($D337="","",V337*AB337/100)</f>
        <v/>
      </c>
      <c r="X337" s="7">
        <f>IF($D337="","",V337-W337)</f>
        <v/>
      </c>
      <c r="Y337" s="7">
        <f>IF($D337="","",X337-N337)</f>
        <v/>
      </c>
      <c r="AB337">
        <f>IF($D337="","",IF($AN337=1,Settings!$C$8,IF($AM337=1,Settings!$C$6,Settings!$C$7))*100)</f>
        <v/>
      </c>
      <c r="AF337" s="7" t="n"/>
      <c r="AI337" s="11" t="n"/>
      <c r="AK337">
        <f>IF($D337="","",IF(COUNTIF($D$2:$D337,$D337)=1,1,0))</f>
        <v/>
      </c>
      <c r="AL337">
        <f>IF($AK337=1,SUMPRODUCT(--($AO$2:$AO$1601&lt;$AO337))+1,"")</f>
        <v/>
      </c>
      <c r="AM337">
        <f>IF($D337="","",IF(OR($R337=TRUE(),$R337="TRUE"),1,0))</f>
        <v/>
      </c>
      <c r="AN337">
        <f>IF($D337="","",IF($AA337="Yes",1,0))</f>
        <v/>
      </c>
      <c r="AO337">
        <f>IF($AK337=1,IFERROR(IF(VALUE($D337)&lt;100000000,VALUE($D337),1000000000),IFERROR(IF(VALUE(MID($D337,2,20))&lt;100000000,VALUE(MID($D337,2,20)),1000000000),1000000000))+ROW()/100000,"")</f>
        <v/>
      </c>
    </row>
    <row r="338">
      <c r="F338" s="11" t="n"/>
      <c r="N338" s="7">
        <f>IF($D338="","",M338*X338/100)</f>
        <v/>
      </c>
      <c r="O338" s="7" t="n"/>
      <c r="U338" s="7" t="n"/>
      <c r="V338" s="7" t="n"/>
      <c r="W338" s="7">
        <f>IF($D338="","",V338*AB338/100)</f>
        <v/>
      </c>
      <c r="X338" s="7">
        <f>IF($D338="","",V338-W338)</f>
        <v/>
      </c>
      <c r="Y338" s="7">
        <f>IF($D338="","",X338-N338)</f>
        <v/>
      </c>
      <c r="AB338">
        <f>IF($D338="","",IF($AN338=1,Settings!$C$8,IF($AM338=1,Settings!$C$6,Settings!$C$7))*100)</f>
        <v/>
      </c>
      <c r="AF338" s="7" t="n"/>
      <c r="AI338" s="11" t="n"/>
      <c r="AK338">
        <f>IF($D338="","",IF(COUNTIF($D$2:$D338,$D338)=1,1,0))</f>
        <v/>
      </c>
      <c r="AL338">
        <f>IF($AK338=1,SUMPRODUCT(--($AO$2:$AO$1601&lt;$AO338))+1,"")</f>
        <v/>
      </c>
      <c r="AM338">
        <f>IF($D338="","",IF(OR($R338=TRUE(),$R338="TRUE"),1,0))</f>
        <v/>
      </c>
      <c r="AN338">
        <f>IF($D338="","",IF($AA338="Yes",1,0))</f>
        <v/>
      </c>
      <c r="AO338">
        <f>IF($AK338=1,IFERROR(IF(VALUE($D338)&lt;100000000,VALUE($D338),1000000000),IFERROR(IF(VALUE(MID($D338,2,20))&lt;100000000,VALUE(MID($D338,2,20)),1000000000),1000000000))+ROW()/100000,"")</f>
        <v/>
      </c>
    </row>
    <row r="339">
      <c r="F339" s="11" t="n"/>
      <c r="N339" s="7">
        <f>IF($D339="","",M339*X339/100)</f>
        <v/>
      </c>
      <c r="O339" s="7" t="n"/>
      <c r="U339" s="7" t="n"/>
      <c r="V339" s="7" t="n"/>
      <c r="W339" s="7">
        <f>IF($D339="","",V339*AB339/100)</f>
        <v/>
      </c>
      <c r="X339" s="7">
        <f>IF($D339="","",V339-W339)</f>
        <v/>
      </c>
      <c r="Y339" s="7">
        <f>IF($D339="","",X339-N339)</f>
        <v/>
      </c>
      <c r="AB339">
        <f>IF($D339="","",IF($AN339=1,Settings!$C$8,IF($AM339=1,Settings!$C$6,Settings!$C$7))*100)</f>
        <v/>
      </c>
      <c r="AF339" s="7" t="n"/>
      <c r="AI339" s="11" t="n"/>
      <c r="AK339">
        <f>IF($D339="","",IF(COUNTIF($D$2:$D339,$D339)=1,1,0))</f>
        <v/>
      </c>
      <c r="AL339">
        <f>IF($AK339=1,SUMPRODUCT(--($AO$2:$AO$1601&lt;$AO339))+1,"")</f>
        <v/>
      </c>
      <c r="AM339">
        <f>IF($D339="","",IF(OR($R339=TRUE(),$R339="TRUE"),1,0))</f>
        <v/>
      </c>
      <c r="AN339">
        <f>IF($D339="","",IF($AA339="Yes",1,0))</f>
        <v/>
      </c>
      <c r="AO339">
        <f>IF($AK339=1,IFERROR(IF(VALUE($D339)&lt;100000000,VALUE($D339),1000000000),IFERROR(IF(VALUE(MID($D339,2,20))&lt;100000000,VALUE(MID($D339,2,20)),1000000000),1000000000))+ROW()/100000,"")</f>
        <v/>
      </c>
    </row>
    <row r="340">
      <c r="F340" s="11" t="n"/>
      <c r="N340" s="7">
        <f>IF($D340="","",M340*X340/100)</f>
        <v/>
      </c>
      <c r="O340" s="7" t="n"/>
      <c r="U340" s="7" t="n"/>
      <c r="V340" s="7" t="n"/>
      <c r="W340" s="7">
        <f>IF($D340="","",V340*AB340/100)</f>
        <v/>
      </c>
      <c r="X340" s="7">
        <f>IF($D340="","",V340-W340)</f>
        <v/>
      </c>
      <c r="Y340" s="7">
        <f>IF($D340="","",X340-N340)</f>
        <v/>
      </c>
      <c r="AB340">
        <f>IF($D340="","",IF($AN340=1,Settings!$C$8,IF($AM340=1,Settings!$C$6,Settings!$C$7))*100)</f>
        <v/>
      </c>
      <c r="AF340" s="7" t="n"/>
      <c r="AI340" s="11" t="n"/>
      <c r="AK340">
        <f>IF($D340="","",IF(COUNTIF($D$2:$D340,$D340)=1,1,0))</f>
        <v/>
      </c>
      <c r="AL340">
        <f>IF($AK340=1,SUMPRODUCT(--($AO$2:$AO$1601&lt;$AO340))+1,"")</f>
        <v/>
      </c>
      <c r="AM340">
        <f>IF($D340="","",IF(OR($R340=TRUE(),$R340="TRUE"),1,0))</f>
        <v/>
      </c>
      <c r="AN340">
        <f>IF($D340="","",IF($AA340="Yes",1,0))</f>
        <v/>
      </c>
      <c r="AO340">
        <f>IF($AK340=1,IFERROR(IF(VALUE($D340)&lt;100000000,VALUE($D340),1000000000),IFERROR(IF(VALUE(MID($D340,2,20))&lt;100000000,VALUE(MID($D340,2,20)),1000000000),1000000000))+ROW()/100000,"")</f>
        <v/>
      </c>
    </row>
    <row r="341">
      <c r="F341" s="11" t="n"/>
      <c r="N341" s="7">
        <f>IF($D341="","",M341*X341/100)</f>
        <v/>
      </c>
      <c r="O341" s="7" t="n"/>
      <c r="U341" s="7" t="n"/>
      <c r="V341" s="7" t="n"/>
      <c r="W341" s="7">
        <f>IF($D341="","",V341*AB341/100)</f>
        <v/>
      </c>
      <c r="X341" s="7">
        <f>IF($D341="","",V341-W341)</f>
        <v/>
      </c>
      <c r="Y341" s="7">
        <f>IF($D341="","",X341-N341)</f>
        <v/>
      </c>
      <c r="AB341">
        <f>IF($D341="","",IF($AN341=1,Settings!$C$8,IF($AM341=1,Settings!$C$6,Settings!$C$7))*100)</f>
        <v/>
      </c>
      <c r="AF341" s="7" t="n"/>
      <c r="AI341" s="11" t="n"/>
      <c r="AK341">
        <f>IF($D341="","",IF(COUNTIF($D$2:$D341,$D341)=1,1,0))</f>
        <v/>
      </c>
      <c r="AL341">
        <f>IF($AK341=1,SUMPRODUCT(--($AO$2:$AO$1601&lt;$AO341))+1,"")</f>
        <v/>
      </c>
      <c r="AM341">
        <f>IF($D341="","",IF(OR($R341=TRUE(),$R341="TRUE"),1,0))</f>
        <v/>
      </c>
      <c r="AN341">
        <f>IF($D341="","",IF($AA341="Yes",1,0))</f>
        <v/>
      </c>
      <c r="AO341">
        <f>IF($AK341=1,IFERROR(IF(VALUE($D341)&lt;100000000,VALUE($D341),1000000000),IFERROR(IF(VALUE(MID($D341,2,20))&lt;100000000,VALUE(MID($D341,2,20)),1000000000),1000000000))+ROW()/100000,"")</f>
        <v/>
      </c>
    </row>
    <row r="342">
      <c r="F342" s="11" t="n"/>
      <c r="N342" s="7">
        <f>IF($D342="","",M342*X342/100)</f>
        <v/>
      </c>
      <c r="O342" s="7" t="n"/>
      <c r="U342" s="7" t="n"/>
      <c r="V342" s="7" t="n"/>
      <c r="W342" s="7">
        <f>IF($D342="","",V342*AB342/100)</f>
        <v/>
      </c>
      <c r="X342" s="7">
        <f>IF($D342="","",V342-W342)</f>
        <v/>
      </c>
      <c r="Y342" s="7">
        <f>IF($D342="","",X342-N342)</f>
        <v/>
      </c>
      <c r="AB342">
        <f>IF($D342="","",IF($AN342=1,Settings!$C$8,IF($AM342=1,Settings!$C$6,Settings!$C$7))*100)</f>
        <v/>
      </c>
      <c r="AF342" s="7" t="n"/>
      <c r="AI342" s="11" t="n"/>
      <c r="AK342">
        <f>IF($D342="","",IF(COUNTIF($D$2:$D342,$D342)=1,1,0))</f>
        <v/>
      </c>
      <c r="AL342">
        <f>IF($AK342=1,SUMPRODUCT(--($AO$2:$AO$1601&lt;$AO342))+1,"")</f>
        <v/>
      </c>
      <c r="AM342">
        <f>IF($D342="","",IF(OR($R342=TRUE(),$R342="TRUE"),1,0))</f>
        <v/>
      </c>
      <c r="AN342">
        <f>IF($D342="","",IF($AA342="Yes",1,0))</f>
        <v/>
      </c>
      <c r="AO342">
        <f>IF($AK342=1,IFERROR(IF(VALUE($D342)&lt;100000000,VALUE($D342),1000000000),IFERROR(IF(VALUE(MID($D342,2,20))&lt;100000000,VALUE(MID($D342,2,20)),1000000000),1000000000))+ROW()/100000,"")</f>
        <v/>
      </c>
    </row>
    <row r="343">
      <c r="F343" s="11" t="n"/>
      <c r="N343" s="7">
        <f>IF($D343="","",M343*X343/100)</f>
        <v/>
      </c>
      <c r="O343" s="7" t="n"/>
      <c r="U343" s="7" t="n"/>
      <c r="V343" s="7" t="n"/>
      <c r="W343" s="7">
        <f>IF($D343="","",V343*AB343/100)</f>
        <v/>
      </c>
      <c r="X343" s="7">
        <f>IF($D343="","",V343-W343)</f>
        <v/>
      </c>
      <c r="Y343" s="7">
        <f>IF($D343="","",X343-N343)</f>
        <v/>
      </c>
      <c r="AB343">
        <f>IF($D343="","",IF($AN343=1,Settings!$C$8,IF($AM343=1,Settings!$C$6,Settings!$C$7))*100)</f>
        <v/>
      </c>
      <c r="AF343" s="7" t="n"/>
      <c r="AI343" s="11" t="n"/>
      <c r="AK343">
        <f>IF($D343="","",IF(COUNTIF($D$2:$D343,$D343)=1,1,0))</f>
        <v/>
      </c>
      <c r="AL343">
        <f>IF($AK343=1,SUMPRODUCT(--($AO$2:$AO$1601&lt;$AO343))+1,"")</f>
        <v/>
      </c>
      <c r="AM343">
        <f>IF($D343="","",IF(OR($R343=TRUE(),$R343="TRUE"),1,0))</f>
        <v/>
      </c>
      <c r="AN343">
        <f>IF($D343="","",IF($AA343="Yes",1,0))</f>
        <v/>
      </c>
      <c r="AO343">
        <f>IF($AK343=1,IFERROR(IF(VALUE($D343)&lt;100000000,VALUE($D343),1000000000),IFERROR(IF(VALUE(MID($D343,2,20))&lt;100000000,VALUE(MID($D343,2,20)),1000000000),1000000000))+ROW()/100000,"")</f>
        <v/>
      </c>
    </row>
    <row r="344">
      <c r="F344" s="11" t="n"/>
      <c r="N344" s="7">
        <f>IF($D344="","",M344*X344/100)</f>
        <v/>
      </c>
      <c r="O344" s="7" t="n"/>
      <c r="U344" s="7" t="n"/>
      <c r="V344" s="7" t="n"/>
      <c r="W344" s="7">
        <f>IF($D344="","",V344*AB344/100)</f>
        <v/>
      </c>
      <c r="X344" s="7">
        <f>IF($D344="","",V344-W344)</f>
        <v/>
      </c>
      <c r="Y344" s="7">
        <f>IF($D344="","",X344-N344)</f>
        <v/>
      </c>
      <c r="AB344">
        <f>IF($D344="","",IF($AN344=1,Settings!$C$8,IF($AM344=1,Settings!$C$6,Settings!$C$7))*100)</f>
        <v/>
      </c>
      <c r="AF344" s="7" t="n"/>
      <c r="AI344" s="11" t="n"/>
      <c r="AK344">
        <f>IF($D344="","",IF(COUNTIF($D$2:$D344,$D344)=1,1,0))</f>
        <v/>
      </c>
      <c r="AL344">
        <f>IF($AK344=1,SUMPRODUCT(--($AO$2:$AO$1601&lt;$AO344))+1,"")</f>
        <v/>
      </c>
      <c r="AM344">
        <f>IF($D344="","",IF(OR($R344=TRUE(),$R344="TRUE"),1,0))</f>
        <v/>
      </c>
      <c r="AN344">
        <f>IF($D344="","",IF($AA344="Yes",1,0))</f>
        <v/>
      </c>
      <c r="AO344">
        <f>IF($AK344=1,IFERROR(IF(VALUE($D344)&lt;100000000,VALUE($D344),1000000000),IFERROR(IF(VALUE(MID($D344,2,20))&lt;100000000,VALUE(MID($D344,2,20)),1000000000),1000000000))+ROW()/100000,"")</f>
        <v/>
      </c>
    </row>
    <row r="345">
      <c r="F345" s="11" t="n"/>
      <c r="N345" s="7">
        <f>IF($D345="","",M345*X345/100)</f>
        <v/>
      </c>
      <c r="O345" s="7" t="n"/>
      <c r="U345" s="7" t="n"/>
      <c r="V345" s="7" t="n"/>
      <c r="W345" s="7">
        <f>IF($D345="","",V345*AB345/100)</f>
        <v/>
      </c>
      <c r="X345" s="7">
        <f>IF($D345="","",V345-W345)</f>
        <v/>
      </c>
      <c r="Y345" s="7">
        <f>IF($D345="","",X345-N345)</f>
        <v/>
      </c>
      <c r="AB345">
        <f>IF($D345="","",IF($AN345=1,Settings!$C$8,IF($AM345=1,Settings!$C$6,Settings!$C$7))*100)</f>
        <v/>
      </c>
      <c r="AF345" s="7" t="n"/>
      <c r="AI345" s="11" t="n"/>
      <c r="AK345">
        <f>IF($D345="","",IF(COUNTIF($D$2:$D345,$D345)=1,1,0))</f>
        <v/>
      </c>
      <c r="AL345">
        <f>IF($AK345=1,SUMPRODUCT(--($AO$2:$AO$1601&lt;$AO345))+1,"")</f>
        <v/>
      </c>
      <c r="AM345">
        <f>IF($D345="","",IF(OR($R345=TRUE(),$R345="TRUE"),1,0))</f>
        <v/>
      </c>
      <c r="AN345">
        <f>IF($D345="","",IF($AA345="Yes",1,0))</f>
        <v/>
      </c>
      <c r="AO345">
        <f>IF($AK345=1,IFERROR(IF(VALUE($D345)&lt;100000000,VALUE($D345),1000000000),IFERROR(IF(VALUE(MID($D345,2,20))&lt;100000000,VALUE(MID($D345,2,20)),1000000000),1000000000))+ROW()/100000,"")</f>
        <v/>
      </c>
    </row>
    <row r="346">
      <c r="F346" s="11" t="n"/>
      <c r="N346" s="7">
        <f>IF($D346="","",M346*X346/100)</f>
        <v/>
      </c>
      <c r="O346" s="7" t="n"/>
      <c r="U346" s="7" t="n"/>
      <c r="V346" s="7" t="n"/>
      <c r="W346" s="7">
        <f>IF($D346="","",V346*AB346/100)</f>
        <v/>
      </c>
      <c r="X346" s="7">
        <f>IF($D346="","",V346-W346)</f>
        <v/>
      </c>
      <c r="Y346" s="7">
        <f>IF($D346="","",X346-N346)</f>
        <v/>
      </c>
      <c r="AB346">
        <f>IF($D346="","",IF($AN346=1,Settings!$C$8,IF($AM346=1,Settings!$C$6,Settings!$C$7))*100)</f>
        <v/>
      </c>
      <c r="AF346" s="7" t="n"/>
      <c r="AI346" s="11" t="n"/>
      <c r="AK346">
        <f>IF($D346="","",IF(COUNTIF($D$2:$D346,$D346)=1,1,0))</f>
        <v/>
      </c>
      <c r="AL346">
        <f>IF($AK346=1,SUMPRODUCT(--($AO$2:$AO$1601&lt;$AO346))+1,"")</f>
        <v/>
      </c>
      <c r="AM346">
        <f>IF($D346="","",IF(OR($R346=TRUE(),$R346="TRUE"),1,0))</f>
        <v/>
      </c>
      <c r="AN346">
        <f>IF($D346="","",IF($AA346="Yes",1,0))</f>
        <v/>
      </c>
      <c r="AO346">
        <f>IF($AK346=1,IFERROR(IF(VALUE($D346)&lt;100000000,VALUE($D346),1000000000),IFERROR(IF(VALUE(MID($D346,2,20))&lt;100000000,VALUE(MID($D346,2,20)),1000000000),1000000000))+ROW()/100000,"")</f>
        <v/>
      </c>
    </row>
    <row r="347">
      <c r="F347" s="11" t="n"/>
      <c r="N347" s="7">
        <f>IF($D347="","",M347*X347/100)</f>
        <v/>
      </c>
      <c r="O347" s="7" t="n"/>
      <c r="U347" s="7" t="n"/>
      <c r="V347" s="7" t="n"/>
      <c r="W347" s="7">
        <f>IF($D347="","",V347*AB347/100)</f>
        <v/>
      </c>
      <c r="X347" s="7">
        <f>IF($D347="","",V347-W347)</f>
        <v/>
      </c>
      <c r="Y347" s="7">
        <f>IF($D347="","",X347-N347)</f>
        <v/>
      </c>
      <c r="AB347">
        <f>IF($D347="","",IF($AN347=1,Settings!$C$8,IF($AM347=1,Settings!$C$6,Settings!$C$7))*100)</f>
        <v/>
      </c>
      <c r="AF347" s="7" t="n"/>
      <c r="AI347" s="11" t="n"/>
      <c r="AK347">
        <f>IF($D347="","",IF(COUNTIF($D$2:$D347,$D347)=1,1,0))</f>
        <v/>
      </c>
      <c r="AL347">
        <f>IF($AK347=1,SUMPRODUCT(--($AO$2:$AO$1601&lt;$AO347))+1,"")</f>
        <v/>
      </c>
      <c r="AM347">
        <f>IF($D347="","",IF(OR($R347=TRUE(),$R347="TRUE"),1,0))</f>
        <v/>
      </c>
      <c r="AN347">
        <f>IF($D347="","",IF($AA347="Yes",1,0))</f>
        <v/>
      </c>
      <c r="AO347">
        <f>IF($AK347=1,IFERROR(IF(VALUE($D347)&lt;100000000,VALUE($D347),1000000000),IFERROR(IF(VALUE(MID($D347,2,20))&lt;100000000,VALUE(MID($D347,2,20)),1000000000),1000000000))+ROW()/100000,"")</f>
        <v/>
      </c>
    </row>
    <row r="348">
      <c r="F348" s="11" t="n"/>
      <c r="N348" s="7">
        <f>IF($D348="","",M348*X348/100)</f>
        <v/>
      </c>
      <c r="O348" s="7" t="n"/>
      <c r="U348" s="7" t="n"/>
      <c r="V348" s="7" t="n"/>
      <c r="W348" s="7">
        <f>IF($D348="","",V348*AB348/100)</f>
        <v/>
      </c>
      <c r="X348" s="7">
        <f>IF($D348="","",V348-W348)</f>
        <v/>
      </c>
      <c r="Y348" s="7">
        <f>IF($D348="","",X348-N348)</f>
        <v/>
      </c>
      <c r="AB348">
        <f>IF($D348="","",IF($AN348=1,Settings!$C$8,IF($AM348=1,Settings!$C$6,Settings!$C$7))*100)</f>
        <v/>
      </c>
      <c r="AF348" s="7" t="n"/>
      <c r="AI348" s="11" t="n"/>
      <c r="AK348">
        <f>IF($D348="","",IF(COUNTIF($D$2:$D348,$D348)=1,1,0))</f>
        <v/>
      </c>
      <c r="AL348">
        <f>IF($AK348=1,SUMPRODUCT(--($AO$2:$AO$1601&lt;$AO348))+1,"")</f>
        <v/>
      </c>
      <c r="AM348">
        <f>IF($D348="","",IF(OR($R348=TRUE(),$R348="TRUE"),1,0))</f>
        <v/>
      </c>
      <c r="AN348">
        <f>IF($D348="","",IF($AA348="Yes",1,0))</f>
        <v/>
      </c>
      <c r="AO348">
        <f>IF($AK348=1,IFERROR(IF(VALUE($D348)&lt;100000000,VALUE($D348),1000000000),IFERROR(IF(VALUE(MID($D348,2,20))&lt;100000000,VALUE(MID($D348,2,20)),1000000000),1000000000))+ROW()/100000,"")</f>
        <v/>
      </c>
    </row>
    <row r="349">
      <c r="F349" s="11" t="n"/>
      <c r="N349" s="7">
        <f>IF($D349="","",M349*X349/100)</f>
        <v/>
      </c>
      <c r="O349" s="7" t="n"/>
      <c r="U349" s="7" t="n"/>
      <c r="V349" s="7" t="n"/>
      <c r="W349" s="7">
        <f>IF($D349="","",V349*AB349/100)</f>
        <v/>
      </c>
      <c r="X349" s="7">
        <f>IF($D349="","",V349-W349)</f>
        <v/>
      </c>
      <c r="Y349" s="7">
        <f>IF($D349="","",X349-N349)</f>
        <v/>
      </c>
      <c r="AB349">
        <f>IF($D349="","",IF($AN349=1,Settings!$C$8,IF($AM349=1,Settings!$C$6,Settings!$C$7))*100)</f>
        <v/>
      </c>
      <c r="AF349" s="7" t="n"/>
      <c r="AI349" s="11" t="n"/>
      <c r="AK349">
        <f>IF($D349="","",IF(COUNTIF($D$2:$D349,$D349)=1,1,0))</f>
        <v/>
      </c>
      <c r="AL349">
        <f>IF($AK349=1,SUMPRODUCT(--($AO$2:$AO$1601&lt;$AO349))+1,"")</f>
        <v/>
      </c>
      <c r="AM349">
        <f>IF($D349="","",IF(OR($R349=TRUE(),$R349="TRUE"),1,0))</f>
        <v/>
      </c>
      <c r="AN349">
        <f>IF($D349="","",IF($AA349="Yes",1,0))</f>
        <v/>
      </c>
      <c r="AO349">
        <f>IF($AK349=1,IFERROR(IF(VALUE($D349)&lt;100000000,VALUE($D349),1000000000),IFERROR(IF(VALUE(MID($D349,2,20))&lt;100000000,VALUE(MID($D349,2,20)),1000000000),1000000000))+ROW()/100000,"")</f>
        <v/>
      </c>
    </row>
    <row r="350">
      <c r="F350" s="11" t="n"/>
      <c r="N350" s="7">
        <f>IF($D350="","",M350*X350/100)</f>
        <v/>
      </c>
      <c r="O350" s="7" t="n"/>
      <c r="U350" s="7" t="n"/>
      <c r="V350" s="7" t="n"/>
      <c r="W350" s="7">
        <f>IF($D350="","",V350*AB350/100)</f>
        <v/>
      </c>
      <c r="X350" s="7">
        <f>IF($D350="","",V350-W350)</f>
        <v/>
      </c>
      <c r="Y350" s="7">
        <f>IF($D350="","",X350-N350)</f>
        <v/>
      </c>
      <c r="AB350">
        <f>IF($D350="","",IF($AN350=1,Settings!$C$8,IF($AM350=1,Settings!$C$6,Settings!$C$7))*100)</f>
        <v/>
      </c>
      <c r="AF350" s="7" t="n"/>
      <c r="AI350" s="11" t="n"/>
      <c r="AK350">
        <f>IF($D350="","",IF(COUNTIF($D$2:$D350,$D350)=1,1,0))</f>
        <v/>
      </c>
      <c r="AL350">
        <f>IF($AK350=1,SUMPRODUCT(--($AO$2:$AO$1601&lt;$AO350))+1,"")</f>
        <v/>
      </c>
      <c r="AM350">
        <f>IF($D350="","",IF(OR($R350=TRUE(),$R350="TRUE"),1,0))</f>
        <v/>
      </c>
      <c r="AN350">
        <f>IF($D350="","",IF($AA350="Yes",1,0))</f>
        <v/>
      </c>
      <c r="AO350">
        <f>IF($AK350=1,IFERROR(IF(VALUE($D350)&lt;100000000,VALUE($D350),1000000000),IFERROR(IF(VALUE(MID($D350,2,20))&lt;100000000,VALUE(MID($D350,2,20)),1000000000),1000000000))+ROW()/100000,"")</f>
        <v/>
      </c>
    </row>
    <row r="351">
      <c r="F351" s="11" t="n"/>
      <c r="N351" s="7">
        <f>IF($D351="","",M351*X351/100)</f>
        <v/>
      </c>
      <c r="O351" s="7" t="n"/>
      <c r="U351" s="7" t="n"/>
      <c r="V351" s="7" t="n"/>
      <c r="W351" s="7">
        <f>IF($D351="","",V351*AB351/100)</f>
        <v/>
      </c>
      <c r="X351" s="7">
        <f>IF($D351="","",V351-W351)</f>
        <v/>
      </c>
      <c r="Y351" s="7">
        <f>IF($D351="","",X351-N351)</f>
        <v/>
      </c>
      <c r="AB351">
        <f>IF($D351="","",IF($AN351=1,Settings!$C$8,IF($AM351=1,Settings!$C$6,Settings!$C$7))*100)</f>
        <v/>
      </c>
      <c r="AF351" s="7" t="n"/>
      <c r="AI351" s="11" t="n"/>
      <c r="AK351">
        <f>IF($D351="","",IF(COUNTIF($D$2:$D351,$D351)=1,1,0))</f>
        <v/>
      </c>
      <c r="AL351">
        <f>IF($AK351=1,SUMPRODUCT(--($AO$2:$AO$1601&lt;$AO351))+1,"")</f>
        <v/>
      </c>
      <c r="AM351">
        <f>IF($D351="","",IF(OR($R351=TRUE(),$R351="TRUE"),1,0))</f>
        <v/>
      </c>
      <c r="AN351">
        <f>IF($D351="","",IF($AA351="Yes",1,0))</f>
        <v/>
      </c>
      <c r="AO351">
        <f>IF($AK351=1,IFERROR(IF(VALUE($D351)&lt;100000000,VALUE($D351),1000000000),IFERROR(IF(VALUE(MID($D351,2,20))&lt;100000000,VALUE(MID($D351,2,20)),1000000000),1000000000))+ROW()/100000,"")</f>
        <v/>
      </c>
    </row>
    <row r="352">
      <c r="F352" s="11" t="n"/>
      <c r="N352" s="7">
        <f>IF($D352="","",M352*X352/100)</f>
        <v/>
      </c>
      <c r="O352" s="7" t="n"/>
      <c r="U352" s="7" t="n"/>
      <c r="V352" s="7" t="n"/>
      <c r="W352" s="7">
        <f>IF($D352="","",V352*AB352/100)</f>
        <v/>
      </c>
      <c r="X352" s="7">
        <f>IF($D352="","",V352-W352)</f>
        <v/>
      </c>
      <c r="Y352" s="7">
        <f>IF($D352="","",X352-N352)</f>
        <v/>
      </c>
      <c r="AB352">
        <f>IF($D352="","",IF($AN352=1,Settings!$C$8,IF($AM352=1,Settings!$C$6,Settings!$C$7))*100)</f>
        <v/>
      </c>
      <c r="AF352" s="7" t="n"/>
      <c r="AI352" s="11" t="n"/>
      <c r="AK352">
        <f>IF($D352="","",IF(COUNTIF($D$2:$D352,$D352)=1,1,0))</f>
        <v/>
      </c>
      <c r="AL352">
        <f>IF($AK352=1,SUMPRODUCT(--($AO$2:$AO$1601&lt;$AO352))+1,"")</f>
        <v/>
      </c>
      <c r="AM352">
        <f>IF($D352="","",IF(OR($R352=TRUE(),$R352="TRUE"),1,0))</f>
        <v/>
      </c>
      <c r="AN352">
        <f>IF($D352="","",IF($AA352="Yes",1,0))</f>
        <v/>
      </c>
      <c r="AO352">
        <f>IF($AK352=1,IFERROR(IF(VALUE($D352)&lt;100000000,VALUE($D352),1000000000),IFERROR(IF(VALUE(MID($D352,2,20))&lt;100000000,VALUE(MID($D352,2,20)),1000000000),1000000000))+ROW()/100000,"")</f>
        <v/>
      </c>
    </row>
    <row r="353">
      <c r="F353" s="11" t="n"/>
      <c r="N353" s="7">
        <f>IF($D353="","",M353*X353/100)</f>
        <v/>
      </c>
      <c r="O353" s="7" t="n"/>
      <c r="U353" s="7" t="n"/>
      <c r="V353" s="7" t="n"/>
      <c r="W353" s="7">
        <f>IF($D353="","",V353*AB353/100)</f>
        <v/>
      </c>
      <c r="X353" s="7">
        <f>IF($D353="","",V353-W353)</f>
        <v/>
      </c>
      <c r="Y353" s="7">
        <f>IF($D353="","",X353-N353)</f>
        <v/>
      </c>
      <c r="AB353">
        <f>IF($D353="","",IF($AN353=1,Settings!$C$8,IF($AM353=1,Settings!$C$6,Settings!$C$7))*100)</f>
        <v/>
      </c>
      <c r="AF353" s="7" t="n"/>
      <c r="AI353" s="11" t="n"/>
      <c r="AK353">
        <f>IF($D353="","",IF(COUNTIF($D$2:$D353,$D353)=1,1,0))</f>
        <v/>
      </c>
      <c r="AL353">
        <f>IF($AK353=1,SUMPRODUCT(--($AO$2:$AO$1601&lt;$AO353))+1,"")</f>
        <v/>
      </c>
      <c r="AM353">
        <f>IF($D353="","",IF(OR($R353=TRUE(),$R353="TRUE"),1,0))</f>
        <v/>
      </c>
      <c r="AN353">
        <f>IF($D353="","",IF($AA353="Yes",1,0))</f>
        <v/>
      </c>
      <c r="AO353">
        <f>IF($AK353=1,IFERROR(IF(VALUE($D353)&lt;100000000,VALUE($D353),1000000000),IFERROR(IF(VALUE(MID($D353,2,20))&lt;100000000,VALUE(MID($D353,2,20)),1000000000),1000000000))+ROW()/100000,"")</f>
        <v/>
      </c>
    </row>
    <row r="354">
      <c r="F354" s="11" t="n"/>
      <c r="N354" s="7">
        <f>IF($D354="","",M354*X354/100)</f>
        <v/>
      </c>
      <c r="O354" s="7" t="n"/>
      <c r="U354" s="7" t="n"/>
      <c r="V354" s="7" t="n"/>
      <c r="W354" s="7">
        <f>IF($D354="","",V354*AB354/100)</f>
        <v/>
      </c>
      <c r="X354" s="7">
        <f>IF($D354="","",V354-W354)</f>
        <v/>
      </c>
      <c r="Y354" s="7">
        <f>IF($D354="","",X354-N354)</f>
        <v/>
      </c>
      <c r="AB354">
        <f>IF($D354="","",IF($AN354=1,Settings!$C$8,IF($AM354=1,Settings!$C$6,Settings!$C$7))*100)</f>
        <v/>
      </c>
      <c r="AF354" s="7" t="n"/>
      <c r="AI354" s="11" t="n"/>
      <c r="AK354">
        <f>IF($D354="","",IF(COUNTIF($D$2:$D354,$D354)=1,1,0))</f>
        <v/>
      </c>
      <c r="AL354">
        <f>IF($AK354=1,SUMPRODUCT(--($AO$2:$AO$1601&lt;$AO354))+1,"")</f>
        <v/>
      </c>
      <c r="AM354">
        <f>IF($D354="","",IF(OR($R354=TRUE(),$R354="TRUE"),1,0))</f>
        <v/>
      </c>
      <c r="AN354">
        <f>IF($D354="","",IF($AA354="Yes",1,0))</f>
        <v/>
      </c>
      <c r="AO354">
        <f>IF($AK354=1,IFERROR(IF(VALUE($D354)&lt;100000000,VALUE($D354),1000000000),IFERROR(IF(VALUE(MID($D354,2,20))&lt;100000000,VALUE(MID($D354,2,20)),1000000000),1000000000))+ROW()/100000,"")</f>
        <v/>
      </c>
    </row>
    <row r="355">
      <c r="F355" s="11" t="n"/>
      <c r="N355" s="7">
        <f>IF($D355="","",M355*X355/100)</f>
        <v/>
      </c>
      <c r="O355" s="7" t="n"/>
      <c r="U355" s="7" t="n"/>
      <c r="V355" s="7" t="n"/>
      <c r="W355" s="7">
        <f>IF($D355="","",V355*AB355/100)</f>
        <v/>
      </c>
      <c r="X355" s="7">
        <f>IF($D355="","",V355-W355)</f>
        <v/>
      </c>
      <c r="Y355" s="7">
        <f>IF($D355="","",X355-N355)</f>
        <v/>
      </c>
      <c r="AB355">
        <f>IF($D355="","",IF($AN355=1,Settings!$C$8,IF($AM355=1,Settings!$C$6,Settings!$C$7))*100)</f>
        <v/>
      </c>
      <c r="AF355" s="7" t="n"/>
      <c r="AI355" s="11" t="n"/>
      <c r="AK355">
        <f>IF($D355="","",IF(COUNTIF($D$2:$D355,$D355)=1,1,0))</f>
        <v/>
      </c>
      <c r="AL355">
        <f>IF($AK355=1,SUMPRODUCT(--($AO$2:$AO$1601&lt;$AO355))+1,"")</f>
        <v/>
      </c>
      <c r="AM355">
        <f>IF($D355="","",IF(OR($R355=TRUE(),$R355="TRUE"),1,0))</f>
        <v/>
      </c>
      <c r="AN355">
        <f>IF($D355="","",IF($AA355="Yes",1,0))</f>
        <v/>
      </c>
      <c r="AO355">
        <f>IF($AK355=1,IFERROR(IF(VALUE($D355)&lt;100000000,VALUE($D355),1000000000),IFERROR(IF(VALUE(MID($D355,2,20))&lt;100000000,VALUE(MID($D355,2,20)),1000000000),1000000000))+ROW()/100000,"")</f>
        <v/>
      </c>
    </row>
    <row r="356">
      <c r="F356" s="11" t="n"/>
      <c r="N356" s="7">
        <f>IF($D356="","",M356*X356/100)</f>
        <v/>
      </c>
      <c r="O356" s="7" t="n"/>
      <c r="U356" s="7" t="n"/>
      <c r="V356" s="7" t="n"/>
      <c r="W356" s="7">
        <f>IF($D356="","",V356*AB356/100)</f>
        <v/>
      </c>
      <c r="X356" s="7">
        <f>IF($D356="","",V356-W356)</f>
        <v/>
      </c>
      <c r="Y356" s="7">
        <f>IF($D356="","",X356-N356)</f>
        <v/>
      </c>
      <c r="AB356">
        <f>IF($D356="","",IF($AN356=1,Settings!$C$8,IF($AM356=1,Settings!$C$6,Settings!$C$7))*100)</f>
        <v/>
      </c>
      <c r="AF356" s="7" t="n"/>
      <c r="AI356" s="11" t="n"/>
      <c r="AK356">
        <f>IF($D356="","",IF(COUNTIF($D$2:$D356,$D356)=1,1,0))</f>
        <v/>
      </c>
      <c r="AL356">
        <f>IF($AK356=1,SUMPRODUCT(--($AO$2:$AO$1601&lt;$AO356))+1,"")</f>
        <v/>
      </c>
      <c r="AM356">
        <f>IF($D356="","",IF(OR($R356=TRUE(),$R356="TRUE"),1,0))</f>
        <v/>
      </c>
      <c r="AN356">
        <f>IF($D356="","",IF($AA356="Yes",1,0))</f>
        <v/>
      </c>
      <c r="AO356">
        <f>IF($AK356=1,IFERROR(IF(VALUE($D356)&lt;100000000,VALUE($D356),1000000000),IFERROR(IF(VALUE(MID($D356,2,20))&lt;100000000,VALUE(MID($D356,2,20)),1000000000),1000000000))+ROW()/100000,"")</f>
        <v/>
      </c>
    </row>
    <row r="357">
      <c r="F357" s="11" t="n"/>
      <c r="N357" s="7">
        <f>IF($D357="","",M357*X357/100)</f>
        <v/>
      </c>
      <c r="O357" s="7" t="n"/>
      <c r="U357" s="7" t="n"/>
      <c r="V357" s="7" t="n"/>
      <c r="W357" s="7">
        <f>IF($D357="","",V357*AB357/100)</f>
        <v/>
      </c>
      <c r="X357" s="7">
        <f>IF($D357="","",V357-W357)</f>
        <v/>
      </c>
      <c r="Y357" s="7">
        <f>IF($D357="","",X357-N357)</f>
        <v/>
      </c>
      <c r="AB357">
        <f>IF($D357="","",IF($AN357=1,Settings!$C$8,IF($AM357=1,Settings!$C$6,Settings!$C$7))*100)</f>
        <v/>
      </c>
      <c r="AF357" s="7" t="n"/>
      <c r="AI357" s="11" t="n"/>
      <c r="AK357">
        <f>IF($D357="","",IF(COUNTIF($D$2:$D357,$D357)=1,1,0))</f>
        <v/>
      </c>
      <c r="AL357">
        <f>IF($AK357=1,SUMPRODUCT(--($AO$2:$AO$1601&lt;$AO357))+1,"")</f>
        <v/>
      </c>
      <c r="AM357">
        <f>IF($D357="","",IF(OR($R357=TRUE(),$R357="TRUE"),1,0))</f>
        <v/>
      </c>
      <c r="AN357">
        <f>IF($D357="","",IF($AA357="Yes",1,0))</f>
        <v/>
      </c>
      <c r="AO357">
        <f>IF($AK357=1,IFERROR(IF(VALUE($D357)&lt;100000000,VALUE($D357),1000000000),IFERROR(IF(VALUE(MID($D357,2,20))&lt;100000000,VALUE(MID($D357,2,20)),1000000000),1000000000))+ROW()/100000,"")</f>
        <v/>
      </c>
    </row>
    <row r="358">
      <c r="F358" s="11" t="n"/>
      <c r="N358" s="7">
        <f>IF($D358="","",M358*X358/100)</f>
        <v/>
      </c>
      <c r="O358" s="7" t="n"/>
      <c r="U358" s="7" t="n"/>
      <c r="V358" s="7" t="n"/>
      <c r="W358" s="7">
        <f>IF($D358="","",V358*AB358/100)</f>
        <v/>
      </c>
      <c r="X358" s="7">
        <f>IF($D358="","",V358-W358)</f>
        <v/>
      </c>
      <c r="Y358" s="7">
        <f>IF($D358="","",X358-N358)</f>
        <v/>
      </c>
      <c r="AB358">
        <f>IF($D358="","",IF($AN358=1,Settings!$C$8,IF($AM358=1,Settings!$C$6,Settings!$C$7))*100)</f>
        <v/>
      </c>
      <c r="AF358" s="7" t="n"/>
      <c r="AI358" s="11" t="n"/>
      <c r="AK358">
        <f>IF($D358="","",IF(COUNTIF($D$2:$D358,$D358)=1,1,0))</f>
        <v/>
      </c>
      <c r="AL358">
        <f>IF($AK358=1,SUMPRODUCT(--($AO$2:$AO$1601&lt;$AO358))+1,"")</f>
        <v/>
      </c>
      <c r="AM358">
        <f>IF($D358="","",IF(OR($R358=TRUE(),$R358="TRUE"),1,0))</f>
        <v/>
      </c>
      <c r="AN358">
        <f>IF($D358="","",IF($AA358="Yes",1,0))</f>
        <v/>
      </c>
      <c r="AO358">
        <f>IF($AK358=1,IFERROR(IF(VALUE($D358)&lt;100000000,VALUE($D358),1000000000),IFERROR(IF(VALUE(MID($D358,2,20))&lt;100000000,VALUE(MID($D358,2,20)),1000000000),1000000000))+ROW()/100000,"")</f>
        <v/>
      </c>
    </row>
    <row r="359">
      <c r="F359" s="11" t="n"/>
      <c r="N359" s="7">
        <f>IF($D359="","",M359*X359/100)</f>
        <v/>
      </c>
      <c r="O359" s="7" t="n"/>
      <c r="U359" s="7" t="n"/>
      <c r="V359" s="7" t="n"/>
      <c r="W359" s="7">
        <f>IF($D359="","",V359*AB359/100)</f>
        <v/>
      </c>
      <c r="X359" s="7">
        <f>IF($D359="","",V359-W359)</f>
        <v/>
      </c>
      <c r="Y359" s="7">
        <f>IF($D359="","",X359-N359)</f>
        <v/>
      </c>
      <c r="AB359">
        <f>IF($D359="","",IF($AN359=1,Settings!$C$8,IF($AM359=1,Settings!$C$6,Settings!$C$7))*100)</f>
        <v/>
      </c>
      <c r="AF359" s="7" t="n"/>
      <c r="AI359" s="11" t="n"/>
      <c r="AK359">
        <f>IF($D359="","",IF(COUNTIF($D$2:$D359,$D359)=1,1,0))</f>
        <v/>
      </c>
      <c r="AL359">
        <f>IF($AK359=1,SUMPRODUCT(--($AO$2:$AO$1601&lt;$AO359))+1,"")</f>
        <v/>
      </c>
      <c r="AM359">
        <f>IF($D359="","",IF(OR($R359=TRUE(),$R359="TRUE"),1,0))</f>
        <v/>
      </c>
      <c r="AN359">
        <f>IF($D359="","",IF($AA359="Yes",1,0))</f>
        <v/>
      </c>
      <c r="AO359">
        <f>IF($AK359=1,IFERROR(IF(VALUE($D359)&lt;100000000,VALUE($D359),1000000000),IFERROR(IF(VALUE(MID($D359,2,20))&lt;100000000,VALUE(MID($D359,2,20)),1000000000),1000000000))+ROW()/100000,"")</f>
        <v/>
      </c>
    </row>
    <row r="360">
      <c r="F360" s="11" t="n"/>
      <c r="N360" s="7">
        <f>IF($D360="","",M360*X360/100)</f>
        <v/>
      </c>
      <c r="O360" s="7" t="n"/>
      <c r="U360" s="7" t="n"/>
      <c r="V360" s="7" t="n"/>
      <c r="W360" s="7">
        <f>IF($D360="","",V360*AB360/100)</f>
        <v/>
      </c>
      <c r="X360" s="7">
        <f>IF($D360="","",V360-W360)</f>
        <v/>
      </c>
      <c r="Y360" s="7">
        <f>IF($D360="","",X360-N360)</f>
        <v/>
      </c>
      <c r="AB360">
        <f>IF($D360="","",IF($AN360=1,Settings!$C$8,IF($AM360=1,Settings!$C$6,Settings!$C$7))*100)</f>
        <v/>
      </c>
      <c r="AF360" s="7" t="n"/>
      <c r="AI360" s="11" t="n"/>
      <c r="AK360">
        <f>IF($D360="","",IF(COUNTIF($D$2:$D360,$D360)=1,1,0))</f>
        <v/>
      </c>
      <c r="AL360">
        <f>IF($AK360=1,SUMPRODUCT(--($AO$2:$AO$1601&lt;$AO360))+1,"")</f>
        <v/>
      </c>
      <c r="AM360">
        <f>IF($D360="","",IF(OR($R360=TRUE(),$R360="TRUE"),1,0))</f>
        <v/>
      </c>
      <c r="AN360">
        <f>IF($D360="","",IF($AA360="Yes",1,0))</f>
        <v/>
      </c>
      <c r="AO360">
        <f>IF($AK360=1,IFERROR(IF(VALUE($D360)&lt;100000000,VALUE($D360),1000000000),IFERROR(IF(VALUE(MID($D360,2,20))&lt;100000000,VALUE(MID($D360,2,20)),1000000000),1000000000))+ROW()/100000,"")</f>
        <v/>
      </c>
    </row>
    <row r="361">
      <c r="F361" s="11" t="n"/>
      <c r="N361" s="7">
        <f>IF($D361="","",M361*X361/100)</f>
        <v/>
      </c>
      <c r="O361" s="7" t="n"/>
      <c r="U361" s="7" t="n"/>
      <c r="V361" s="7" t="n"/>
      <c r="W361" s="7">
        <f>IF($D361="","",V361*AB361/100)</f>
        <v/>
      </c>
      <c r="X361" s="7">
        <f>IF($D361="","",V361-W361)</f>
        <v/>
      </c>
      <c r="Y361" s="7">
        <f>IF($D361="","",X361-N361)</f>
        <v/>
      </c>
      <c r="AB361">
        <f>IF($D361="","",IF($AN361=1,Settings!$C$8,IF($AM361=1,Settings!$C$6,Settings!$C$7))*100)</f>
        <v/>
      </c>
      <c r="AF361" s="7" t="n"/>
      <c r="AI361" s="11" t="n"/>
      <c r="AK361">
        <f>IF($D361="","",IF(COUNTIF($D$2:$D361,$D361)=1,1,0))</f>
        <v/>
      </c>
      <c r="AL361">
        <f>IF($AK361=1,SUMPRODUCT(--($AO$2:$AO$1601&lt;$AO361))+1,"")</f>
        <v/>
      </c>
      <c r="AM361">
        <f>IF($D361="","",IF(OR($R361=TRUE(),$R361="TRUE"),1,0))</f>
        <v/>
      </c>
      <c r="AN361">
        <f>IF($D361="","",IF($AA361="Yes",1,0))</f>
        <v/>
      </c>
      <c r="AO361">
        <f>IF($AK361=1,IFERROR(IF(VALUE($D361)&lt;100000000,VALUE($D361),1000000000),IFERROR(IF(VALUE(MID($D361,2,20))&lt;100000000,VALUE(MID($D361,2,20)),1000000000),1000000000))+ROW()/100000,"")</f>
        <v/>
      </c>
    </row>
    <row r="362">
      <c r="F362" s="11" t="n"/>
      <c r="N362" s="7">
        <f>IF($D362="","",M362*X362/100)</f>
        <v/>
      </c>
      <c r="O362" s="7" t="n"/>
      <c r="U362" s="7" t="n"/>
      <c r="V362" s="7" t="n"/>
      <c r="W362" s="7">
        <f>IF($D362="","",V362*AB362/100)</f>
        <v/>
      </c>
      <c r="X362" s="7">
        <f>IF($D362="","",V362-W362)</f>
        <v/>
      </c>
      <c r="Y362" s="7">
        <f>IF($D362="","",X362-N362)</f>
        <v/>
      </c>
      <c r="AB362">
        <f>IF($D362="","",IF($AN362=1,Settings!$C$8,IF($AM362=1,Settings!$C$6,Settings!$C$7))*100)</f>
        <v/>
      </c>
      <c r="AF362" s="7" t="n"/>
      <c r="AI362" s="11" t="n"/>
      <c r="AK362">
        <f>IF($D362="","",IF(COUNTIF($D$2:$D362,$D362)=1,1,0))</f>
        <v/>
      </c>
      <c r="AL362">
        <f>IF($AK362=1,SUMPRODUCT(--($AO$2:$AO$1601&lt;$AO362))+1,"")</f>
        <v/>
      </c>
      <c r="AM362">
        <f>IF($D362="","",IF(OR($R362=TRUE(),$R362="TRUE"),1,0))</f>
        <v/>
      </c>
      <c r="AN362">
        <f>IF($D362="","",IF($AA362="Yes",1,0))</f>
        <v/>
      </c>
      <c r="AO362">
        <f>IF($AK362=1,IFERROR(IF(VALUE($D362)&lt;100000000,VALUE($D362),1000000000),IFERROR(IF(VALUE(MID($D362,2,20))&lt;100000000,VALUE(MID($D362,2,20)),1000000000),1000000000))+ROW()/100000,"")</f>
        <v/>
      </c>
    </row>
    <row r="363">
      <c r="F363" s="11" t="n"/>
      <c r="N363" s="7">
        <f>IF($D363="","",M363*X363/100)</f>
        <v/>
      </c>
      <c r="O363" s="7" t="n"/>
      <c r="U363" s="7" t="n"/>
      <c r="V363" s="7" t="n"/>
      <c r="W363" s="7">
        <f>IF($D363="","",V363*AB363/100)</f>
        <v/>
      </c>
      <c r="X363" s="7">
        <f>IF($D363="","",V363-W363)</f>
        <v/>
      </c>
      <c r="Y363" s="7">
        <f>IF($D363="","",X363-N363)</f>
        <v/>
      </c>
      <c r="AB363">
        <f>IF($D363="","",IF($AN363=1,Settings!$C$8,IF($AM363=1,Settings!$C$6,Settings!$C$7))*100)</f>
        <v/>
      </c>
      <c r="AF363" s="7" t="n"/>
      <c r="AI363" s="11" t="n"/>
      <c r="AK363">
        <f>IF($D363="","",IF(COUNTIF($D$2:$D363,$D363)=1,1,0))</f>
        <v/>
      </c>
      <c r="AL363">
        <f>IF($AK363=1,SUMPRODUCT(--($AO$2:$AO$1601&lt;$AO363))+1,"")</f>
        <v/>
      </c>
      <c r="AM363">
        <f>IF($D363="","",IF(OR($R363=TRUE(),$R363="TRUE"),1,0))</f>
        <v/>
      </c>
      <c r="AN363">
        <f>IF($D363="","",IF($AA363="Yes",1,0))</f>
        <v/>
      </c>
      <c r="AO363">
        <f>IF($AK363=1,IFERROR(IF(VALUE($D363)&lt;100000000,VALUE($D363),1000000000),IFERROR(IF(VALUE(MID($D363,2,20))&lt;100000000,VALUE(MID($D363,2,20)),1000000000),1000000000))+ROW()/100000,"")</f>
        <v/>
      </c>
    </row>
    <row r="364">
      <c r="F364" s="11" t="n"/>
      <c r="N364" s="7">
        <f>IF($D364="","",M364*X364/100)</f>
        <v/>
      </c>
      <c r="O364" s="7" t="n"/>
      <c r="U364" s="7" t="n"/>
      <c r="V364" s="7" t="n"/>
      <c r="W364" s="7">
        <f>IF($D364="","",V364*AB364/100)</f>
        <v/>
      </c>
      <c r="X364" s="7">
        <f>IF($D364="","",V364-W364)</f>
        <v/>
      </c>
      <c r="Y364" s="7">
        <f>IF($D364="","",X364-N364)</f>
        <v/>
      </c>
      <c r="AB364">
        <f>IF($D364="","",IF($AN364=1,Settings!$C$8,IF($AM364=1,Settings!$C$6,Settings!$C$7))*100)</f>
        <v/>
      </c>
      <c r="AF364" s="7" t="n"/>
      <c r="AI364" s="11" t="n"/>
      <c r="AK364">
        <f>IF($D364="","",IF(COUNTIF($D$2:$D364,$D364)=1,1,0))</f>
        <v/>
      </c>
      <c r="AL364">
        <f>IF($AK364=1,SUMPRODUCT(--($AO$2:$AO$1601&lt;$AO364))+1,"")</f>
        <v/>
      </c>
      <c r="AM364">
        <f>IF($D364="","",IF(OR($R364=TRUE(),$R364="TRUE"),1,0))</f>
        <v/>
      </c>
      <c r="AN364">
        <f>IF($D364="","",IF($AA364="Yes",1,0))</f>
        <v/>
      </c>
      <c r="AO364">
        <f>IF($AK364=1,IFERROR(IF(VALUE($D364)&lt;100000000,VALUE($D364),1000000000),IFERROR(IF(VALUE(MID($D364,2,20))&lt;100000000,VALUE(MID($D364,2,20)),1000000000),1000000000))+ROW()/100000,"")</f>
        <v/>
      </c>
    </row>
    <row r="365">
      <c r="F365" s="11" t="n"/>
      <c r="N365" s="7">
        <f>IF($D365="","",M365*X365/100)</f>
        <v/>
      </c>
      <c r="O365" s="7" t="n"/>
      <c r="U365" s="7" t="n"/>
      <c r="V365" s="7" t="n"/>
      <c r="W365" s="7">
        <f>IF($D365="","",V365*AB365/100)</f>
        <v/>
      </c>
      <c r="X365" s="7">
        <f>IF($D365="","",V365-W365)</f>
        <v/>
      </c>
      <c r="Y365" s="7">
        <f>IF($D365="","",X365-N365)</f>
        <v/>
      </c>
      <c r="AB365">
        <f>IF($D365="","",IF($AN365=1,Settings!$C$8,IF($AM365=1,Settings!$C$6,Settings!$C$7))*100)</f>
        <v/>
      </c>
      <c r="AF365" s="7" t="n"/>
      <c r="AI365" s="11" t="n"/>
      <c r="AK365">
        <f>IF($D365="","",IF(COUNTIF($D$2:$D365,$D365)=1,1,0))</f>
        <v/>
      </c>
      <c r="AL365">
        <f>IF($AK365=1,SUMPRODUCT(--($AO$2:$AO$1601&lt;$AO365))+1,"")</f>
        <v/>
      </c>
      <c r="AM365">
        <f>IF($D365="","",IF(OR($R365=TRUE(),$R365="TRUE"),1,0))</f>
        <v/>
      </c>
      <c r="AN365">
        <f>IF($D365="","",IF($AA365="Yes",1,0))</f>
        <v/>
      </c>
      <c r="AO365">
        <f>IF($AK365=1,IFERROR(IF(VALUE($D365)&lt;100000000,VALUE($D365),1000000000),IFERROR(IF(VALUE(MID($D365,2,20))&lt;100000000,VALUE(MID($D365,2,20)),1000000000),1000000000))+ROW()/100000,"")</f>
        <v/>
      </c>
    </row>
    <row r="366">
      <c r="F366" s="11" t="n"/>
      <c r="N366" s="7">
        <f>IF($D366="","",M366*X366/100)</f>
        <v/>
      </c>
      <c r="O366" s="7" t="n"/>
      <c r="U366" s="7" t="n"/>
      <c r="V366" s="7" t="n"/>
      <c r="W366" s="7">
        <f>IF($D366="","",V366*AB366/100)</f>
        <v/>
      </c>
      <c r="X366" s="7">
        <f>IF($D366="","",V366-W366)</f>
        <v/>
      </c>
      <c r="Y366" s="7">
        <f>IF($D366="","",X366-N366)</f>
        <v/>
      </c>
      <c r="AB366">
        <f>IF($D366="","",IF($AN366=1,Settings!$C$8,IF($AM366=1,Settings!$C$6,Settings!$C$7))*100)</f>
        <v/>
      </c>
      <c r="AF366" s="7" t="n"/>
      <c r="AI366" s="11" t="n"/>
      <c r="AK366">
        <f>IF($D366="","",IF(COUNTIF($D$2:$D366,$D366)=1,1,0))</f>
        <v/>
      </c>
      <c r="AL366">
        <f>IF($AK366=1,SUMPRODUCT(--($AO$2:$AO$1601&lt;$AO366))+1,"")</f>
        <v/>
      </c>
      <c r="AM366">
        <f>IF($D366="","",IF(OR($R366=TRUE(),$R366="TRUE"),1,0))</f>
        <v/>
      </c>
      <c r="AN366">
        <f>IF($D366="","",IF($AA366="Yes",1,0))</f>
        <v/>
      </c>
      <c r="AO366">
        <f>IF($AK366=1,IFERROR(IF(VALUE($D366)&lt;100000000,VALUE($D366),1000000000),IFERROR(IF(VALUE(MID($D366,2,20))&lt;100000000,VALUE(MID($D366,2,20)),1000000000),1000000000))+ROW()/100000,"")</f>
        <v/>
      </c>
    </row>
    <row r="367">
      <c r="F367" s="11" t="n"/>
      <c r="N367" s="7">
        <f>IF($D367="","",M367*X367/100)</f>
        <v/>
      </c>
      <c r="O367" s="7" t="n"/>
      <c r="U367" s="7" t="n"/>
      <c r="V367" s="7" t="n"/>
      <c r="W367" s="7">
        <f>IF($D367="","",V367*AB367/100)</f>
        <v/>
      </c>
      <c r="X367" s="7">
        <f>IF($D367="","",V367-W367)</f>
        <v/>
      </c>
      <c r="Y367" s="7">
        <f>IF($D367="","",X367-N367)</f>
        <v/>
      </c>
      <c r="AB367">
        <f>IF($D367="","",IF($AN367=1,Settings!$C$8,IF($AM367=1,Settings!$C$6,Settings!$C$7))*100)</f>
        <v/>
      </c>
      <c r="AF367" s="7" t="n"/>
      <c r="AI367" s="11" t="n"/>
      <c r="AK367">
        <f>IF($D367="","",IF(COUNTIF($D$2:$D367,$D367)=1,1,0))</f>
        <v/>
      </c>
      <c r="AL367">
        <f>IF($AK367=1,SUMPRODUCT(--($AO$2:$AO$1601&lt;$AO367))+1,"")</f>
        <v/>
      </c>
      <c r="AM367">
        <f>IF($D367="","",IF(OR($R367=TRUE(),$R367="TRUE"),1,0))</f>
        <v/>
      </c>
      <c r="AN367">
        <f>IF($D367="","",IF($AA367="Yes",1,0))</f>
        <v/>
      </c>
      <c r="AO367">
        <f>IF($AK367=1,IFERROR(IF(VALUE($D367)&lt;100000000,VALUE($D367),1000000000),IFERROR(IF(VALUE(MID($D367,2,20))&lt;100000000,VALUE(MID($D367,2,20)),1000000000),1000000000))+ROW()/100000,"")</f>
        <v/>
      </c>
    </row>
    <row r="368">
      <c r="F368" s="11" t="n"/>
      <c r="N368" s="7">
        <f>IF($D368="","",M368*X368/100)</f>
        <v/>
      </c>
      <c r="O368" s="7" t="n"/>
      <c r="U368" s="7" t="n"/>
      <c r="V368" s="7" t="n"/>
      <c r="W368" s="7">
        <f>IF($D368="","",V368*AB368/100)</f>
        <v/>
      </c>
      <c r="X368" s="7">
        <f>IF($D368="","",V368-W368)</f>
        <v/>
      </c>
      <c r="Y368" s="7">
        <f>IF($D368="","",X368-N368)</f>
        <v/>
      </c>
      <c r="AB368">
        <f>IF($D368="","",IF($AN368=1,Settings!$C$8,IF($AM368=1,Settings!$C$6,Settings!$C$7))*100)</f>
        <v/>
      </c>
      <c r="AF368" s="7" t="n"/>
      <c r="AI368" s="11" t="n"/>
      <c r="AK368">
        <f>IF($D368="","",IF(COUNTIF($D$2:$D368,$D368)=1,1,0))</f>
        <v/>
      </c>
      <c r="AL368">
        <f>IF($AK368=1,SUMPRODUCT(--($AO$2:$AO$1601&lt;$AO368))+1,"")</f>
        <v/>
      </c>
      <c r="AM368">
        <f>IF($D368="","",IF(OR($R368=TRUE(),$R368="TRUE"),1,0))</f>
        <v/>
      </c>
      <c r="AN368">
        <f>IF($D368="","",IF($AA368="Yes",1,0))</f>
        <v/>
      </c>
      <c r="AO368">
        <f>IF($AK368=1,IFERROR(IF(VALUE($D368)&lt;100000000,VALUE($D368),1000000000),IFERROR(IF(VALUE(MID($D368,2,20))&lt;100000000,VALUE(MID($D368,2,20)),1000000000),1000000000))+ROW()/100000,"")</f>
        <v/>
      </c>
    </row>
    <row r="369">
      <c r="F369" s="11" t="n"/>
      <c r="N369" s="7">
        <f>IF($D369="","",M369*X369/100)</f>
        <v/>
      </c>
      <c r="O369" s="7" t="n"/>
      <c r="U369" s="7" t="n"/>
      <c r="V369" s="7" t="n"/>
      <c r="W369" s="7">
        <f>IF($D369="","",V369*AB369/100)</f>
        <v/>
      </c>
      <c r="X369" s="7">
        <f>IF($D369="","",V369-W369)</f>
        <v/>
      </c>
      <c r="Y369" s="7">
        <f>IF($D369="","",X369-N369)</f>
        <v/>
      </c>
      <c r="AB369">
        <f>IF($D369="","",IF($AN369=1,Settings!$C$8,IF($AM369=1,Settings!$C$6,Settings!$C$7))*100)</f>
        <v/>
      </c>
      <c r="AF369" s="7" t="n"/>
      <c r="AI369" s="11" t="n"/>
      <c r="AK369">
        <f>IF($D369="","",IF(COUNTIF($D$2:$D369,$D369)=1,1,0))</f>
        <v/>
      </c>
      <c r="AL369">
        <f>IF($AK369=1,SUMPRODUCT(--($AO$2:$AO$1601&lt;$AO369))+1,"")</f>
        <v/>
      </c>
      <c r="AM369">
        <f>IF($D369="","",IF(OR($R369=TRUE(),$R369="TRUE"),1,0))</f>
        <v/>
      </c>
      <c r="AN369">
        <f>IF($D369="","",IF($AA369="Yes",1,0))</f>
        <v/>
      </c>
      <c r="AO369">
        <f>IF($AK369=1,IFERROR(IF(VALUE($D369)&lt;100000000,VALUE($D369),1000000000),IFERROR(IF(VALUE(MID($D369,2,20))&lt;100000000,VALUE(MID($D369,2,20)),1000000000),1000000000))+ROW()/100000,"")</f>
        <v/>
      </c>
    </row>
    <row r="370">
      <c r="F370" s="11" t="n"/>
      <c r="N370" s="7">
        <f>IF($D370="","",M370*X370/100)</f>
        <v/>
      </c>
      <c r="O370" s="7" t="n"/>
      <c r="U370" s="7" t="n"/>
      <c r="V370" s="7" t="n"/>
      <c r="W370" s="7">
        <f>IF($D370="","",V370*AB370/100)</f>
        <v/>
      </c>
      <c r="X370" s="7">
        <f>IF($D370="","",V370-W370)</f>
        <v/>
      </c>
      <c r="Y370" s="7">
        <f>IF($D370="","",X370-N370)</f>
        <v/>
      </c>
      <c r="AB370">
        <f>IF($D370="","",IF($AN370=1,Settings!$C$8,IF($AM370=1,Settings!$C$6,Settings!$C$7))*100)</f>
        <v/>
      </c>
      <c r="AF370" s="7" t="n"/>
      <c r="AI370" s="11" t="n"/>
      <c r="AK370">
        <f>IF($D370="","",IF(COUNTIF($D$2:$D370,$D370)=1,1,0))</f>
        <v/>
      </c>
      <c r="AL370">
        <f>IF($AK370=1,SUMPRODUCT(--($AO$2:$AO$1601&lt;$AO370))+1,"")</f>
        <v/>
      </c>
      <c r="AM370">
        <f>IF($D370="","",IF(OR($R370=TRUE(),$R370="TRUE"),1,0))</f>
        <v/>
      </c>
      <c r="AN370">
        <f>IF($D370="","",IF($AA370="Yes",1,0))</f>
        <v/>
      </c>
      <c r="AO370">
        <f>IF($AK370=1,IFERROR(IF(VALUE($D370)&lt;100000000,VALUE($D370),1000000000),IFERROR(IF(VALUE(MID($D370,2,20))&lt;100000000,VALUE(MID($D370,2,20)),1000000000),1000000000))+ROW()/100000,"")</f>
        <v/>
      </c>
    </row>
    <row r="371">
      <c r="F371" s="11" t="n"/>
      <c r="N371" s="7">
        <f>IF($D371="","",M371*X371/100)</f>
        <v/>
      </c>
      <c r="O371" s="7" t="n"/>
      <c r="U371" s="7" t="n"/>
      <c r="V371" s="7" t="n"/>
      <c r="W371" s="7">
        <f>IF($D371="","",V371*AB371/100)</f>
        <v/>
      </c>
      <c r="X371" s="7">
        <f>IF($D371="","",V371-W371)</f>
        <v/>
      </c>
      <c r="Y371" s="7">
        <f>IF($D371="","",X371-N371)</f>
        <v/>
      </c>
      <c r="AB371">
        <f>IF($D371="","",IF($AN371=1,Settings!$C$8,IF($AM371=1,Settings!$C$6,Settings!$C$7))*100)</f>
        <v/>
      </c>
      <c r="AF371" s="7" t="n"/>
      <c r="AI371" s="11" t="n"/>
      <c r="AK371">
        <f>IF($D371="","",IF(COUNTIF($D$2:$D371,$D371)=1,1,0))</f>
        <v/>
      </c>
      <c r="AL371">
        <f>IF($AK371=1,SUMPRODUCT(--($AO$2:$AO$1601&lt;$AO371))+1,"")</f>
        <v/>
      </c>
      <c r="AM371">
        <f>IF($D371="","",IF(OR($R371=TRUE(),$R371="TRUE"),1,0))</f>
        <v/>
      </c>
      <c r="AN371">
        <f>IF($D371="","",IF($AA371="Yes",1,0))</f>
        <v/>
      </c>
      <c r="AO371">
        <f>IF($AK371=1,IFERROR(IF(VALUE($D371)&lt;100000000,VALUE($D371),1000000000),IFERROR(IF(VALUE(MID($D371,2,20))&lt;100000000,VALUE(MID($D371,2,20)),1000000000),1000000000))+ROW()/100000,"")</f>
        <v/>
      </c>
    </row>
    <row r="372">
      <c r="F372" s="11" t="n"/>
      <c r="N372" s="7">
        <f>IF($D372="","",M372*X372/100)</f>
        <v/>
      </c>
      <c r="O372" s="7" t="n"/>
      <c r="U372" s="7" t="n"/>
      <c r="V372" s="7" t="n"/>
      <c r="W372" s="7">
        <f>IF($D372="","",V372*AB372/100)</f>
        <v/>
      </c>
      <c r="X372" s="7">
        <f>IF($D372="","",V372-W372)</f>
        <v/>
      </c>
      <c r="Y372" s="7">
        <f>IF($D372="","",X372-N372)</f>
        <v/>
      </c>
      <c r="AB372">
        <f>IF($D372="","",IF($AN372=1,Settings!$C$8,IF($AM372=1,Settings!$C$6,Settings!$C$7))*100)</f>
        <v/>
      </c>
      <c r="AF372" s="7" t="n"/>
      <c r="AI372" s="11" t="n"/>
      <c r="AK372">
        <f>IF($D372="","",IF(COUNTIF($D$2:$D372,$D372)=1,1,0))</f>
        <v/>
      </c>
      <c r="AL372">
        <f>IF($AK372=1,SUMPRODUCT(--($AO$2:$AO$1601&lt;$AO372))+1,"")</f>
        <v/>
      </c>
      <c r="AM372">
        <f>IF($D372="","",IF(OR($R372=TRUE(),$R372="TRUE"),1,0))</f>
        <v/>
      </c>
      <c r="AN372">
        <f>IF($D372="","",IF($AA372="Yes",1,0))</f>
        <v/>
      </c>
      <c r="AO372">
        <f>IF($AK372=1,IFERROR(IF(VALUE($D372)&lt;100000000,VALUE($D372),1000000000),IFERROR(IF(VALUE(MID($D372,2,20))&lt;100000000,VALUE(MID($D372,2,20)),1000000000),1000000000))+ROW()/100000,"")</f>
        <v/>
      </c>
    </row>
    <row r="373">
      <c r="F373" s="11" t="n"/>
      <c r="N373" s="7">
        <f>IF($D373="","",M373*X373/100)</f>
        <v/>
      </c>
      <c r="O373" s="7" t="n"/>
      <c r="U373" s="7" t="n"/>
      <c r="V373" s="7" t="n"/>
      <c r="W373" s="7">
        <f>IF($D373="","",V373*AB373/100)</f>
        <v/>
      </c>
      <c r="X373" s="7">
        <f>IF($D373="","",V373-W373)</f>
        <v/>
      </c>
      <c r="Y373" s="7">
        <f>IF($D373="","",X373-N373)</f>
        <v/>
      </c>
      <c r="AB373">
        <f>IF($D373="","",IF($AN373=1,Settings!$C$8,IF($AM373=1,Settings!$C$6,Settings!$C$7))*100)</f>
        <v/>
      </c>
      <c r="AF373" s="7" t="n"/>
      <c r="AI373" s="11" t="n"/>
      <c r="AK373">
        <f>IF($D373="","",IF(COUNTIF($D$2:$D373,$D373)=1,1,0))</f>
        <v/>
      </c>
      <c r="AL373">
        <f>IF($AK373=1,SUMPRODUCT(--($AO$2:$AO$1601&lt;$AO373))+1,"")</f>
        <v/>
      </c>
      <c r="AM373">
        <f>IF($D373="","",IF(OR($R373=TRUE(),$R373="TRUE"),1,0))</f>
        <v/>
      </c>
      <c r="AN373">
        <f>IF($D373="","",IF($AA373="Yes",1,0))</f>
        <v/>
      </c>
      <c r="AO373">
        <f>IF($AK373=1,IFERROR(IF(VALUE($D373)&lt;100000000,VALUE($D373),1000000000),IFERROR(IF(VALUE(MID($D373,2,20))&lt;100000000,VALUE(MID($D373,2,20)),1000000000),1000000000))+ROW()/100000,"")</f>
        <v/>
      </c>
    </row>
    <row r="374">
      <c r="F374" s="11" t="n"/>
      <c r="N374" s="7">
        <f>IF($D374="","",M374*X374/100)</f>
        <v/>
      </c>
      <c r="O374" s="7" t="n"/>
      <c r="U374" s="7" t="n"/>
      <c r="V374" s="7" t="n"/>
      <c r="W374" s="7">
        <f>IF($D374="","",V374*AB374/100)</f>
        <v/>
      </c>
      <c r="X374" s="7">
        <f>IF($D374="","",V374-W374)</f>
        <v/>
      </c>
      <c r="Y374" s="7">
        <f>IF($D374="","",X374-N374)</f>
        <v/>
      </c>
      <c r="AB374">
        <f>IF($D374="","",IF($AN374=1,Settings!$C$8,IF($AM374=1,Settings!$C$6,Settings!$C$7))*100)</f>
        <v/>
      </c>
      <c r="AF374" s="7" t="n"/>
      <c r="AI374" s="11" t="n"/>
      <c r="AK374">
        <f>IF($D374="","",IF(COUNTIF($D$2:$D374,$D374)=1,1,0))</f>
        <v/>
      </c>
      <c r="AL374">
        <f>IF($AK374=1,SUMPRODUCT(--($AO$2:$AO$1601&lt;$AO374))+1,"")</f>
        <v/>
      </c>
      <c r="AM374">
        <f>IF($D374="","",IF(OR($R374=TRUE(),$R374="TRUE"),1,0))</f>
        <v/>
      </c>
      <c r="AN374">
        <f>IF($D374="","",IF($AA374="Yes",1,0))</f>
        <v/>
      </c>
      <c r="AO374">
        <f>IF($AK374=1,IFERROR(IF(VALUE($D374)&lt;100000000,VALUE($D374),1000000000),IFERROR(IF(VALUE(MID($D374,2,20))&lt;100000000,VALUE(MID($D374,2,20)),1000000000),1000000000))+ROW()/100000,"")</f>
        <v/>
      </c>
    </row>
    <row r="375">
      <c r="F375" s="11" t="n"/>
      <c r="N375" s="7">
        <f>IF($D375="","",M375*X375/100)</f>
        <v/>
      </c>
      <c r="O375" s="7" t="n"/>
      <c r="U375" s="7" t="n"/>
      <c r="V375" s="7" t="n"/>
      <c r="W375" s="7">
        <f>IF($D375="","",V375*AB375/100)</f>
        <v/>
      </c>
      <c r="X375" s="7">
        <f>IF($D375="","",V375-W375)</f>
        <v/>
      </c>
      <c r="Y375" s="7">
        <f>IF($D375="","",X375-N375)</f>
        <v/>
      </c>
      <c r="AB375">
        <f>IF($D375="","",IF($AN375=1,Settings!$C$8,IF($AM375=1,Settings!$C$6,Settings!$C$7))*100)</f>
        <v/>
      </c>
      <c r="AF375" s="7" t="n"/>
      <c r="AI375" s="11" t="n"/>
      <c r="AK375">
        <f>IF($D375="","",IF(COUNTIF($D$2:$D375,$D375)=1,1,0))</f>
        <v/>
      </c>
      <c r="AL375">
        <f>IF($AK375=1,SUMPRODUCT(--($AO$2:$AO$1601&lt;$AO375))+1,"")</f>
        <v/>
      </c>
      <c r="AM375">
        <f>IF($D375="","",IF(OR($R375=TRUE(),$R375="TRUE"),1,0))</f>
        <v/>
      </c>
      <c r="AN375">
        <f>IF($D375="","",IF($AA375="Yes",1,0))</f>
        <v/>
      </c>
      <c r="AO375">
        <f>IF($AK375=1,IFERROR(IF(VALUE($D375)&lt;100000000,VALUE($D375),1000000000),IFERROR(IF(VALUE(MID($D375,2,20))&lt;100000000,VALUE(MID($D375,2,20)),1000000000),1000000000))+ROW()/100000,"")</f>
        <v/>
      </c>
    </row>
    <row r="376">
      <c r="F376" s="11" t="n"/>
      <c r="N376" s="7">
        <f>IF($D376="","",M376*X376/100)</f>
        <v/>
      </c>
      <c r="O376" s="7" t="n"/>
      <c r="U376" s="7" t="n"/>
      <c r="V376" s="7" t="n"/>
      <c r="W376" s="7">
        <f>IF($D376="","",V376*AB376/100)</f>
        <v/>
      </c>
      <c r="X376" s="7">
        <f>IF($D376="","",V376-W376)</f>
        <v/>
      </c>
      <c r="Y376" s="7">
        <f>IF($D376="","",X376-N376)</f>
        <v/>
      </c>
      <c r="AB376">
        <f>IF($D376="","",IF($AN376=1,Settings!$C$8,IF($AM376=1,Settings!$C$6,Settings!$C$7))*100)</f>
        <v/>
      </c>
      <c r="AF376" s="7" t="n"/>
      <c r="AI376" s="11" t="n"/>
      <c r="AK376">
        <f>IF($D376="","",IF(COUNTIF($D$2:$D376,$D376)=1,1,0))</f>
        <v/>
      </c>
      <c r="AL376">
        <f>IF($AK376=1,SUMPRODUCT(--($AO$2:$AO$1601&lt;$AO376))+1,"")</f>
        <v/>
      </c>
      <c r="AM376">
        <f>IF($D376="","",IF(OR($R376=TRUE(),$R376="TRUE"),1,0))</f>
        <v/>
      </c>
      <c r="AN376">
        <f>IF($D376="","",IF($AA376="Yes",1,0))</f>
        <v/>
      </c>
      <c r="AO376">
        <f>IF($AK376=1,IFERROR(IF(VALUE($D376)&lt;100000000,VALUE($D376),1000000000),IFERROR(IF(VALUE(MID($D376,2,20))&lt;100000000,VALUE(MID($D376,2,20)),1000000000),1000000000))+ROW()/100000,"")</f>
        <v/>
      </c>
    </row>
    <row r="377">
      <c r="F377" s="11" t="n"/>
      <c r="N377" s="7">
        <f>IF($D377="","",M377*X377/100)</f>
        <v/>
      </c>
      <c r="O377" s="7" t="n"/>
      <c r="U377" s="7" t="n"/>
      <c r="V377" s="7" t="n"/>
      <c r="W377" s="7">
        <f>IF($D377="","",V377*AB377/100)</f>
        <v/>
      </c>
      <c r="X377" s="7">
        <f>IF($D377="","",V377-W377)</f>
        <v/>
      </c>
      <c r="Y377" s="7">
        <f>IF($D377="","",X377-N377)</f>
        <v/>
      </c>
      <c r="AB377">
        <f>IF($D377="","",IF($AN377=1,Settings!$C$8,IF($AM377=1,Settings!$C$6,Settings!$C$7))*100)</f>
        <v/>
      </c>
      <c r="AF377" s="7" t="n"/>
      <c r="AI377" s="11" t="n"/>
      <c r="AK377">
        <f>IF($D377="","",IF(COUNTIF($D$2:$D377,$D377)=1,1,0))</f>
        <v/>
      </c>
      <c r="AL377">
        <f>IF($AK377=1,SUMPRODUCT(--($AO$2:$AO$1601&lt;$AO377))+1,"")</f>
        <v/>
      </c>
      <c r="AM377">
        <f>IF($D377="","",IF(OR($R377=TRUE(),$R377="TRUE"),1,0))</f>
        <v/>
      </c>
      <c r="AN377">
        <f>IF($D377="","",IF($AA377="Yes",1,0))</f>
        <v/>
      </c>
      <c r="AO377">
        <f>IF($AK377=1,IFERROR(IF(VALUE($D377)&lt;100000000,VALUE($D377),1000000000),IFERROR(IF(VALUE(MID($D377,2,20))&lt;100000000,VALUE(MID($D377,2,20)),1000000000),1000000000))+ROW()/100000,"")</f>
        <v/>
      </c>
    </row>
    <row r="378">
      <c r="F378" s="11" t="n"/>
      <c r="N378" s="7">
        <f>IF($D378="","",M378*X378/100)</f>
        <v/>
      </c>
      <c r="O378" s="7" t="n"/>
      <c r="U378" s="7" t="n"/>
      <c r="V378" s="7" t="n"/>
      <c r="W378" s="7">
        <f>IF($D378="","",V378*AB378/100)</f>
        <v/>
      </c>
      <c r="X378" s="7">
        <f>IF($D378="","",V378-W378)</f>
        <v/>
      </c>
      <c r="Y378" s="7">
        <f>IF($D378="","",X378-N378)</f>
        <v/>
      </c>
      <c r="AB378">
        <f>IF($D378="","",IF($AN378=1,Settings!$C$8,IF($AM378=1,Settings!$C$6,Settings!$C$7))*100)</f>
        <v/>
      </c>
      <c r="AF378" s="7" t="n"/>
      <c r="AI378" s="11" t="n"/>
      <c r="AK378">
        <f>IF($D378="","",IF(COUNTIF($D$2:$D378,$D378)=1,1,0))</f>
        <v/>
      </c>
      <c r="AL378">
        <f>IF($AK378=1,SUMPRODUCT(--($AO$2:$AO$1601&lt;$AO378))+1,"")</f>
        <v/>
      </c>
      <c r="AM378">
        <f>IF($D378="","",IF(OR($R378=TRUE(),$R378="TRUE"),1,0))</f>
        <v/>
      </c>
      <c r="AN378">
        <f>IF($D378="","",IF($AA378="Yes",1,0))</f>
        <v/>
      </c>
      <c r="AO378">
        <f>IF($AK378=1,IFERROR(IF(VALUE($D378)&lt;100000000,VALUE($D378),1000000000),IFERROR(IF(VALUE(MID($D378,2,20))&lt;100000000,VALUE(MID($D378,2,20)),1000000000),1000000000))+ROW()/100000,"")</f>
        <v/>
      </c>
    </row>
    <row r="379">
      <c r="F379" s="11" t="n"/>
      <c r="N379" s="7">
        <f>IF($D379="","",M379*X379/100)</f>
        <v/>
      </c>
      <c r="O379" s="7" t="n"/>
      <c r="U379" s="7" t="n"/>
      <c r="V379" s="7" t="n"/>
      <c r="W379" s="7">
        <f>IF($D379="","",V379*AB379/100)</f>
        <v/>
      </c>
      <c r="X379" s="7">
        <f>IF($D379="","",V379-W379)</f>
        <v/>
      </c>
      <c r="Y379" s="7">
        <f>IF($D379="","",X379-N379)</f>
        <v/>
      </c>
      <c r="AB379">
        <f>IF($D379="","",IF($AN379=1,Settings!$C$8,IF($AM379=1,Settings!$C$6,Settings!$C$7))*100)</f>
        <v/>
      </c>
      <c r="AF379" s="7" t="n"/>
      <c r="AI379" s="11" t="n"/>
      <c r="AK379">
        <f>IF($D379="","",IF(COUNTIF($D$2:$D379,$D379)=1,1,0))</f>
        <v/>
      </c>
      <c r="AL379">
        <f>IF($AK379=1,SUMPRODUCT(--($AO$2:$AO$1601&lt;$AO379))+1,"")</f>
        <v/>
      </c>
      <c r="AM379">
        <f>IF($D379="","",IF(OR($R379=TRUE(),$R379="TRUE"),1,0))</f>
        <v/>
      </c>
      <c r="AN379">
        <f>IF($D379="","",IF($AA379="Yes",1,0))</f>
        <v/>
      </c>
      <c r="AO379">
        <f>IF($AK379=1,IFERROR(IF(VALUE($D379)&lt;100000000,VALUE($D379),1000000000),IFERROR(IF(VALUE(MID($D379,2,20))&lt;100000000,VALUE(MID($D379,2,20)),1000000000),1000000000))+ROW()/100000,"")</f>
        <v/>
      </c>
    </row>
    <row r="380">
      <c r="F380" s="11" t="n"/>
      <c r="N380" s="7">
        <f>IF($D380="","",M380*X380/100)</f>
        <v/>
      </c>
      <c r="O380" s="7" t="n"/>
      <c r="U380" s="7" t="n"/>
      <c r="V380" s="7" t="n"/>
      <c r="W380" s="7">
        <f>IF($D380="","",V380*AB380/100)</f>
        <v/>
      </c>
      <c r="X380" s="7">
        <f>IF($D380="","",V380-W380)</f>
        <v/>
      </c>
      <c r="Y380" s="7">
        <f>IF($D380="","",X380-N380)</f>
        <v/>
      </c>
      <c r="AB380">
        <f>IF($D380="","",IF($AN380=1,Settings!$C$8,IF($AM380=1,Settings!$C$6,Settings!$C$7))*100)</f>
        <v/>
      </c>
      <c r="AF380" s="7" t="n"/>
      <c r="AI380" s="11" t="n"/>
      <c r="AK380">
        <f>IF($D380="","",IF(COUNTIF($D$2:$D380,$D380)=1,1,0))</f>
        <v/>
      </c>
      <c r="AL380">
        <f>IF($AK380=1,SUMPRODUCT(--($AO$2:$AO$1601&lt;$AO380))+1,"")</f>
        <v/>
      </c>
      <c r="AM380">
        <f>IF($D380="","",IF(OR($R380=TRUE(),$R380="TRUE"),1,0))</f>
        <v/>
      </c>
      <c r="AN380">
        <f>IF($D380="","",IF($AA380="Yes",1,0))</f>
        <v/>
      </c>
      <c r="AO380">
        <f>IF($AK380=1,IFERROR(IF(VALUE($D380)&lt;100000000,VALUE($D380),1000000000),IFERROR(IF(VALUE(MID($D380,2,20))&lt;100000000,VALUE(MID($D380,2,20)),1000000000),1000000000))+ROW()/100000,"")</f>
        <v/>
      </c>
    </row>
    <row r="381">
      <c r="F381" s="11" t="n"/>
      <c r="N381" s="7">
        <f>IF($D381="","",M381*X381/100)</f>
        <v/>
      </c>
      <c r="O381" s="7" t="n"/>
      <c r="U381" s="7" t="n"/>
      <c r="V381" s="7" t="n"/>
      <c r="W381" s="7">
        <f>IF($D381="","",V381*AB381/100)</f>
        <v/>
      </c>
      <c r="X381" s="7">
        <f>IF($D381="","",V381-W381)</f>
        <v/>
      </c>
      <c r="Y381" s="7">
        <f>IF($D381="","",X381-N381)</f>
        <v/>
      </c>
      <c r="AB381">
        <f>IF($D381="","",IF($AN381=1,Settings!$C$8,IF($AM381=1,Settings!$C$6,Settings!$C$7))*100)</f>
        <v/>
      </c>
      <c r="AF381" s="7" t="n"/>
      <c r="AI381" s="11" t="n"/>
      <c r="AK381">
        <f>IF($D381="","",IF(COUNTIF($D$2:$D381,$D381)=1,1,0))</f>
        <v/>
      </c>
      <c r="AL381">
        <f>IF($AK381=1,SUMPRODUCT(--($AO$2:$AO$1601&lt;$AO381))+1,"")</f>
        <v/>
      </c>
      <c r="AM381">
        <f>IF($D381="","",IF(OR($R381=TRUE(),$R381="TRUE"),1,0))</f>
        <v/>
      </c>
      <c r="AN381">
        <f>IF($D381="","",IF($AA381="Yes",1,0))</f>
        <v/>
      </c>
      <c r="AO381">
        <f>IF($AK381=1,IFERROR(IF(VALUE($D381)&lt;100000000,VALUE($D381),1000000000),IFERROR(IF(VALUE(MID($D381,2,20))&lt;100000000,VALUE(MID($D381,2,20)),1000000000),1000000000))+ROW()/100000,"")</f>
        <v/>
      </c>
    </row>
    <row r="382">
      <c r="F382" s="11" t="n"/>
      <c r="N382" s="7">
        <f>IF($D382="","",M382*X382/100)</f>
        <v/>
      </c>
      <c r="O382" s="7" t="n"/>
      <c r="U382" s="7" t="n"/>
      <c r="V382" s="7" t="n"/>
      <c r="W382" s="7">
        <f>IF($D382="","",V382*AB382/100)</f>
        <v/>
      </c>
      <c r="X382" s="7">
        <f>IF($D382="","",V382-W382)</f>
        <v/>
      </c>
      <c r="Y382" s="7">
        <f>IF($D382="","",X382-N382)</f>
        <v/>
      </c>
      <c r="AB382">
        <f>IF($D382="","",IF($AN382=1,Settings!$C$8,IF($AM382=1,Settings!$C$6,Settings!$C$7))*100)</f>
        <v/>
      </c>
      <c r="AF382" s="7" t="n"/>
      <c r="AI382" s="11" t="n"/>
      <c r="AK382">
        <f>IF($D382="","",IF(COUNTIF($D$2:$D382,$D382)=1,1,0))</f>
        <v/>
      </c>
      <c r="AL382">
        <f>IF($AK382=1,SUMPRODUCT(--($AO$2:$AO$1601&lt;$AO382))+1,"")</f>
        <v/>
      </c>
      <c r="AM382">
        <f>IF($D382="","",IF(OR($R382=TRUE(),$R382="TRUE"),1,0))</f>
        <v/>
      </c>
      <c r="AN382">
        <f>IF($D382="","",IF($AA382="Yes",1,0))</f>
        <v/>
      </c>
      <c r="AO382">
        <f>IF($AK382=1,IFERROR(IF(VALUE($D382)&lt;100000000,VALUE($D382),1000000000),IFERROR(IF(VALUE(MID($D382,2,20))&lt;100000000,VALUE(MID($D382,2,20)),1000000000),1000000000))+ROW()/100000,"")</f>
        <v/>
      </c>
    </row>
    <row r="383">
      <c r="F383" s="11" t="n"/>
      <c r="N383" s="7">
        <f>IF($D383="","",M383*X383/100)</f>
        <v/>
      </c>
      <c r="O383" s="7" t="n"/>
      <c r="U383" s="7" t="n"/>
      <c r="V383" s="7" t="n"/>
      <c r="W383" s="7">
        <f>IF($D383="","",V383*AB383/100)</f>
        <v/>
      </c>
      <c r="X383" s="7">
        <f>IF($D383="","",V383-W383)</f>
        <v/>
      </c>
      <c r="Y383" s="7">
        <f>IF($D383="","",X383-N383)</f>
        <v/>
      </c>
      <c r="AB383">
        <f>IF($D383="","",IF($AN383=1,Settings!$C$8,IF($AM383=1,Settings!$C$6,Settings!$C$7))*100)</f>
        <v/>
      </c>
      <c r="AF383" s="7" t="n"/>
      <c r="AI383" s="11" t="n"/>
      <c r="AK383">
        <f>IF($D383="","",IF(COUNTIF($D$2:$D383,$D383)=1,1,0))</f>
        <v/>
      </c>
      <c r="AL383">
        <f>IF($AK383=1,SUMPRODUCT(--($AO$2:$AO$1601&lt;$AO383))+1,"")</f>
        <v/>
      </c>
      <c r="AM383">
        <f>IF($D383="","",IF(OR($R383=TRUE(),$R383="TRUE"),1,0))</f>
        <v/>
      </c>
      <c r="AN383">
        <f>IF($D383="","",IF($AA383="Yes",1,0))</f>
        <v/>
      </c>
      <c r="AO383">
        <f>IF($AK383=1,IFERROR(IF(VALUE($D383)&lt;100000000,VALUE($D383),1000000000),IFERROR(IF(VALUE(MID($D383,2,20))&lt;100000000,VALUE(MID($D383,2,20)),1000000000),1000000000))+ROW()/100000,"")</f>
        <v/>
      </c>
    </row>
    <row r="384">
      <c r="F384" s="11" t="n"/>
      <c r="N384" s="7">
        <f>IF($D384="","",M384*X384/100)</f>
        <v/>
      </c>
      <c r="O384" s="7" t="n"/>
      <c r="U384" s="7" t="n"/>
      <c r="V384" s="7" t="n"/>
      <c r="W384" s="7">
        <f>IF($D384="","",V384*AB384/100)</f>
        <v/>
      </c>
      <c r="X384" s="7">
        <f>IF($D384="","",V384-W384)</f>
        <v/>
      </c>
      <c r="Y384" s="7">
        <f>IF($D384="","",X384-N384)</f>
        <v/>
      </c>
      <c r="AB384">
        <f>IF($D384="","",IF($AN384=1,Settings!$C$8,IF($AM384=1,Settings!$C$6,Settings!$C$7))*100)</f>
        <v/>
      </c>
      <c r="AF384" s="7" t="n"/>
      <c r="AI384" s="11" t="n"/>
      <c r="AK384">
        <f>IF($D384="","",IF(COUNTIF($D$2:$D384,$D384)=1,1,0))</f>
        <v/>
      </c>
      <c r="AL384">
        <f>IF($AK384=1,SUMPRODUCT(--($AO$2:$AO$1601&lt;$AO384))+1,"")</f>
        <v/>
      </c>
      <c r="AM384">
        <f>IF($D384="","",IF(OR($R384=TRUE(),$R384="TRUE"),1,0))</f>
        <v/>
      </c>
      <c r="AN384">
        <f>IF($D384="","",IF($AA384="Yes",1,0))</f>
        <v/>
      </c>
      <c r="AO384">
        <f>IF($AK384=1,IFERROR(IF(VALUE($D384)&lt;100000000,VALUE($D384),1000000000),IFERROR(IF(VALUE(MID($D384,2,20))&lt;100000000,VALUE(MID($D384,2,20)),1000000000),1000000000))+ROW()/100000,"")</f>
        <v/>
      </c>
    </row>
    <row r="385">
      <c r="F385" s="11" t="n"/>
      <c r="N385" s="7">
        <f>IF($D385="","",M385*X385/100)</f>
        <v/>
      </c>
      <c r="O385" s="7" t="n"/>
      <c r="U385" s="7" t="n"/>
      <c r="V385" s="7" t="n"/>
      <c r="W385" s="7">
        <f>IF($D385="","",V385*AB385/100)</f>
        <v/>
      </c>
      <c r="X385" s="7">
        <f>IF($D385="","",V385-W385)</f>
        <v/>
      </c>
      <c r="Y385" s="7">
        <f>IF($D385="","",X385-N385)</f>
        <v/>
      </c>
      <c r="AB385">
        <f>IF($D385="","",IF($AN385=1,Settings!$C$8,IF($AM385=1,Settings!$C$6,Settings!$C$7))*100)</f>
        <v/>
      </c>
      <c r="AF385" s="7" t="n"/>
      <c r="AI385" s="11" t="n"/>
      <c r="AK385">
        <f>IF($D385="","",IF(COUNTIF($D$2:$D385,$D385)=1,1,0))</f>
        <v/>
      </c>
      <c r="AL385">
        <f>IF($AK385=1,SUMPRODUCT(--($AO$2:$AO$1601&lt;$AO385))+1,"")</f>
        <v/>
      </c>
      <c r="AM385">
        <f>IF($D385="","",IF(OR($R385=TRUE(),$R385="TRUE"),1,0))</f>
        <v/>
      </c>
      <c r="AN385">
        <f>IF($D385="","",IF($AA385="Yes",1,0))</f>
        <v/>
      </c>
      <c r="AO385">
        <f>IF($AK385=1,IFERROR(IF(VALUE($D385)&lt;100000000,VALUE($D385),1000000000),IFERROR(IF(VALUE(MID($D385,2,20))&lt;100000000,VALUE(MID($D385,2,20)),1000000000),1000000000))+ROW()/100000,"")</f>
        <v/>
      </c>
    </row>
    <row r="386">
      <c r="F386" s="11" t="n"/>
      <c r="N386" s="7">
        <f>IF($D386="","",M386*X386/100)</f>
        <v/>
      </c>
      <c r="O386" s="7" t="n"/>
      <c r="U386" s="7" t="n"/>
      <c r="V386" s="7" t="n"/>
      <c r="W386" s="7">
        <f>IF($D386="","",V386*AB386/100)</f>
        <v/>
      </c>
      <c r="X386" s="7">
        <f>IF($D386="","",V386-W386)</f>
        <v/>
      </c>
      <c r="Y386" s="7">
        <f>IF($D386="","",X386-N386)</f>
        <v/>
      </c>
      <c r="AB386">
        <f>IF($D386="","",IF($AN386=1,Settings!$C$8,IF($AM386=1,Settings!$C$6,Settings!$C$7))*100)</f>
        <v/>
      </c>
      <c r="AF386" s="7" t="n"/>
      <c r="AI386" s="11" t="n"/>
      <c r="AK386">
        <f>IF($D386="","",IF(COUNTIF($D$2:$D386,$D386)=1,1,0))</f>
        <v/>
      </c>
      <c r="AL386">
        <f>IF($AK386=1,SUMPRODUCT(--($AO$2:$AO$1601&lt;$AO386))+1,"")</f>
        <v/>
      </c>
      <c r="AM386">
        <f>IF($D386="","",IF(OR($R386=TRUE(),$R386="TRUE"),1,0))</f>
        <v/>
      </c>
      <c r="AN386">
        <f>IF($D386="","",IF($AA386="Yes",1,0))</f>
        <v/>
      </c>
      <c r="AO386">
        <f>IF($AK386=1,IFERROR(IF(VALUE($D386)&lt;100000000,VALUE($D386),1000000000),IFERROR(IF(VALUE(MID($D386,2,20))&lt;100000000,VALUE(MID($D386,2,20)),1000000000),1000000000))+ROW()/100000,"")</f>
        <v/>
      </c>
    </row>
    <row r="387">
      <c r="F387" s="11" t="n"/>
      <c r="N387" s="7">
        <f>IF($D387="","",M387*X387/100)</f>
        <v/>
      </c>
      <c r="O387" s="7" t="n"/>
      <c r="U387" s="7" t="n"/>
      <c r="V387" s="7" t="n"/>
      <c r="W387" s="7">
        <f>IF($D387="","",V387*AB387/100)</f>
        <v/>
      </c>
      <c r="X387" s="7">
        <f>IF($D387="","",V387-W387)</f>
        <v/>
      </c>
      <c r="Y387" s="7">
        <f>IF($D387="","",X387-N387)</f>
        <v/>
      </c>
      <c r="AB387">
        <f>IF($D387="","",IF($AN387=1,Settings!$C$8,IF($AM387=1,Settings!$C$6,Settings!$C$7))*100)</f>
        <v/>
      </c>
      <c r="AF387" s="7" t="n"/>
      <c r="AI387" s="11" t="n"/>
      <c r="AK387">
        <f>IF($D387="","",IF(COUNTIF($D$2:$D387,$D387)=1,1,0))</f>
        <v/>
      </c>
      <c r="AL387">
        <f>IF($AK387=1,SUMPRODUCT(--($AO$2:$AO$1601&lt;$AO387))+1,"")</f>
        <v/>
      </c>
      <c r="AM387">
        <f>IF($D387="","",IF(OR($R387=TRUE(),$R387="TRUE"),1,0))</f>
        <v/>
      </c>
      <c r="AN387">
        <f>IF($D387="","",IF($AA387="Yes",1,0))</f>
        <v/>
      </c>
      <c r="AO387">
        <f>IF($AK387=1,IFERROR(IF(VALUE($D387)&lt;100000000,VALUE($D387),1000000000),IFERROR(IF(VALUE(MID($D387,2,20))&lt;100000000,VALUE(MID($D387,2,20)),1000000000),1000000000))+ROW()/100000,"")</f>
        <v/>
      </c>
    </row>
    <row r="388">
      <c r="F388" s="11" t="n"/>
      <c r="N388" s="7">
        <f>IF($D388="","",M388*X388/100)</f>
        <v/>
      </c>
      <c r="O388" s="7" t="n"/>
      <c r="U388" s="7" t="n"/>
      <c r="V388" s="7" t="n"/>
      <c r="W388" s="7">
        <f>IF($D388="","",V388*AB388/100)</f>
        <v/>
      </c>
      <c r="X388" s="7">
        <f>IF($D388="","",V388-W388)</f>
        <v/>
      </c>
      <c r="Y388" s="7">
        <f>IF($D388="","",X388-N388)</f>
        <v/>
      </c>
      <c r="AB388">
        <f>IF($D388="","",IF($AN388=1,Settings!$C$8,IF($AM388=1,Settings!$C$6,Settings!$C$7))*100)</f>
        <v/>
      </c>
      <c r="AF388" s="7" t="n"/>
      <c r="AI388" s="11" t="n"/>
      <c r="AK388">
        <f>IF($D388="","",IF(COUNTIF($D$2:$D388,$D388)=1,1,0))</f>
        <v/>
      </c>
      <c r="AL388">
        <f>IF($AK388=1,SUMPRODUCT(--($AO$2:$AO$1601&lt;$AO388))+1,"")</f>
        <v/>
      </c>
      <c r="AM388">
        <f>IF($D388="","",IF(OR($R388=TRUE(),$R388="TRUE"),1,0))</f>
        <v/>
      </c>
      <c r="AN388">
        <f>IF($D388="","",IF($AA388="Yes",1,0))</f>
        <v/>
      </c>
      <c r="AO388">
        <f>IF($AK388=1,IFERROR(IF(VALUE($D388)&lt;100000000,VALUE($D388),1000000000),IFERROR(IF(VALUE(MID($D388,2,20))&lt;100000000,VALUE(MID($D388,2,20)),1000000000),1000000000))+ROW()/100000,"")</f>
        <v/>
      </c>
    </row>
    <row r="389">
      <c r="F389" s="11" t="n"/>
      <c r="N389" s="7">
        <f>IF($D389="","",M389*X389/100)</f>
        <v/>
      </c>
      <c r="O389" s="7" t="n"/>
      <c r="U389" s="7" t="n"/>
      <c r="V389" s="7" t="n"/>
      <c r="W389" s="7">
        <f>IF($D389="","",V389*AB389/100)</f>
        <v/>
      </c>
      <c r="X389" s="7">
        <f>IF($D389="","",V389-W389)</f>
        <v/>
      </c>
      <c r="Y389" s="7">
        <f>IF($D389="","",X389-N389)</f>
        <v/>
      </c>
      <c r="AB389">
        <f>IF($D389="","",IF($AN389=1,Settings!$C$8,IF($AM389=1,Settings!$C$6,Settings!$C$7))*100)</f>
        <v/>
      </c>
      <c r="AF389" s="7" t="n"/>
      <c r="AI389" s="11" t="n"/>
      <c r="AK389">
        <f>IF($D389="","",IF(COUNTIF($D$2:$D389,$D389)=1,1,0))</f>
        <v/>
      </c>
      <c r="AL389">
        <f>IF($AK389=1,SUMPRODUCT(--($AO$2:$AO$1601&lt;$AO389))+1,"")</f>
        <v/>
      </c>
      <c r="AM389">
        <f>IF($D389="","",IF(OR($R389=TRUE(),$R389="TRUE"),1,0))</f>
        <v/>
      </c>
      <c r="AN389">
        <f>IF($D389="","",IF($AA389="Yes",1,0))</f>
        <v/>
      </c>
      <c r="AO389">
        <f>IF($AK389=1,IFERROR(IF(VALUE($D389)&lt;100000000,VALUE($D389),1000000000),IFERROR(IF(VALUE(MID($D389,2,20))&lt;100000000,VALUE(MID($D389,2,20)),1000000000),1000000000))+ROW()/100000,"")</f>
        <v/>
      </c>
    </row>
    <row r="390">
      <c r="F390" s="11" t="n"/>
      <c r="N390" s="7">
        <f>IF($D390="","",M390*X390/100)</f>
        <v/>
      </c>
      <c r="O390" s="7" t="n"/>
      <c r="U390" s="7" t="n"/>
      <c r="V390" s="7" t="n"/>
      <c r="W390" s="7">
        <f>IF($D390="","",V390*AB390/100)</f>
        <v/>
      </c>
      <c r="X390" s="7">
        <f>IF($D390="","",V390-W390)</f>
        <v/>
      </c>
      <c r="Y390" s="7">
        <f>IF($D390="","",X390-N390)</f>
        <v/>
      </c>
      <c r="AB390">
        <f>IF($D390="","",IF($AN390=1,Settings!$C$8,IF($AM390=1,Settings!$C$6,Settings!$C$7))*100)</f>
        <v/>
      </c>
      <c r="AF390" s="7" t="n"/>
      <c r="AI390" s="11" t="n"/>
      <c r="AK390">
        <f>IF($D390="","",IF(COUNTIF($D$2:$D390,$D390)=1,1,0))</f>
        <v/>
      </c>
      <c r="AL390">
        <f>IF($AK390=1,SUMPRODUCT(--($AO$2:$AO$1601&lt;$AO390))+1,"")</f>
        <v/>
      </c>
      <c r="AM390">
        <f>IF($D390="","",IF(OR($R390=TRUE(),$R390="TRUE"),1,0))</f>
        <v/>
      </c>
      <c r="AN390">
        <f>IF($D390="","",IF($AA390="Yes",1,0))</f>
        <v/>
      </c>
      <c r="AO390">
        <f>IF($AK390=1,IFERROR(IF(VALUE($D390)&lt;100000000,VALUE($D390),1000000000),IFERROR(IF(VALUE(MID($D390,2,20))&lt;100000000,VALUE(MID($D390,2,20)),1000000000),1000000000))+ROW()/100000,"")</f>
        <v/>
      </c>
    </row>
    <row r="391">
      <c r="F391" s="11" t="n"/>
      <c r="N391" s="7">
        <f>IF($D391="","",M391*X391/100)</f>
        <v/>
      </c>
      <c r="O391" s="7" t="n"/>
      <c r="U391" s="7" t="n"/>
      <c r="V391" s="7" t="n"/>
      <c r="W391" s="7">
        <f>IF($D391="","",V391*AB391/100)</f>
        <v/>
      </c>
      <c r="X391" s="7">
        <f>IF($D391="","",V391-W391)</f>
        <v/>
      </c>
      <c r="Y391" s="7">
        <f>IF($D391="","",X391-N391)</f>
        <v/>
      </c>
      <c r="AB391">
        <f>IF($D391="","",IF($AN391=1,Settings!$C$8,IF($AM391=1,Settings!$C$6,Settings!$C$7))*100)</f>
        <v/>
      </c>
      <c r="AF391" s="7" t="n"/>
      <c r="AI391" s="11" t="n"/>
      <c r="AK391">
        <f>IF($D391="","",IF(COUNTIF($D$2:$D391,$D391)=1,1,0))</f>
        <v/>
      </c>
      <c r="AL391">
        <f>IF($AK391=1,SUMPRODUCT(--($AO$2:$AO$1601&lt;$AO391))+1,"")</f>
        <v/>
      </c>
      <c r="AM391">
        <f>IF($D391="","",IF(OR($R391=TRUE(),$R391="TRUE"),1,0))</f>
        <v/>
      </c>
      <c r="AN391">
        <f>IF($D391="","",IF($AA391="Yes",1,0))</f>
        <v/>
      </c>
      <c r="AO391">
        <f>IF($AK391=1,IFERROR(IF(VALUE($D391)&lt;100000000,VALUE($D391),1000000000),IFERROR(IF(VALUE(MID($D391,2,20))&lt;100000000,VALUE(MID($D391,2,20)),1000000000),1000000000))+ROW()/100000,"")</f>
        <v/>
      </c>
    </row>
    <row r="392">
      <c r="F392" s="11" t="n"/>
      <c r="N392" s="7">
        <f>IF($D392="","",M392*X392/100)</f>
        <v/>
      </c>
      <c r="O392" s="7" t="n"/>
      <c r="U392" s="7" t="n"/>
      <c r="V392" s="7" t="n"/>
      <c r="W392" s="7">
        <f>IF($D392="","",V392*AB392/100)</f>
        <v/>
      </c>
      <c r="X392" s="7">
        <f>IF($D392="","",V392-W392)</f>
        <v/>
      </c>
      <c r="Y392" s="7">
        <f>IF($D392="","",X392-N392)</f>
        <v/>
      </c>
      <c r="AB392">
        <f>IF($D392="","",IF($AN392=1,Settings!$C$8,IF($AM392=1,Settings!$C$6,Settings!$C$7))*100)</f>
        <v/>
      </c>
      <c r="AF392" s="7" t="n"/>
      <c r="AI392" s="11" t="n"/>
      <c r="AK392">
        <f>IF($D392="","",IF(COUNTIF($D$2:$D392,$D392)=1,1,0))</f>
        <v/>
      </c>
      <c r="AL392">
        <f>IF($AK392=1,SUMPRODUCT(--($AO$2:$AO$1601&lt;$AO392))+1,"")</f>
        <v/>
      </c>
      <c r="AM392">
        <f>IF($D392="","",IF(OR($R392=TRUE(),$R392="TRUE"),1,0))</f>
        <v/>
      </c>
      <c r="AN392">
        <f>IF($D392="","",IF($AA392="Yes",1,0))</f>
        <v/>
      </c>
      <c r="AO392">
        <f>IF($AK392=1,IFERROR(IF(VALUE($D392)&lt;100000000,VALUE($D392),1000000000),IFERROR(IF(VALUE(MID($D392,2,20))&lt;100000000,VALUE(MID($D392,2,20)),1000000000),1000000000))+ROW()/100000,"")</f>
        <v/>
      </c>
    </row>
    <row r="393">
      <c r="F393" s="11" t="n"/>
      <c r="N393" s="7">
        <f>IF($D393="","",M393*X393/100)</f>
        <v/>
      </c>
      <c r="O393" s="7" t="n"/>
      <c r="U393" s="7" t="n"/>
      <c r="V393" s="7" t="n"/>
      <c r="W393" s="7">
        <f>IF($D393="","",V393*AB393/100)</f>
        <v/>
      </c>
      <c r="X393" s="7">
        <f>IF($D393="","",V393-W393)</f>
        <v/>
      </c>
      <c r="Y393" s="7">
        <f>IF($D393="","",X393-N393)</f>
        <v/>
      </c>
      <c r="AB393">
        <f>IF($D393="","",IF($AN393=1,Settings!$C$8,IF($AM393=1,Settings!$C$6,Settings!$C$7))*100)</f>
        <v/>
      </c>
      <c r="AF393" s="7" t="n"/>
      <c r="AI393" s="11" t="n"/>
      <c r="AK393">
        <f>IF($D393="","",IF(COUNTIF($D$2:$D393,$D393)=1,1,0))</f>
        <v/>
      </c>
      <c r="AL393">
        <f>IF($AK393=1,SUMPRODUCT(--($AO$2:$AO$1601&lt;$AO393))+1,"")</f>
        <v/>
      </c>
      <c r="AM393">
        <f>IF($D393="","",IF(OR($R393=TRUE(),$R393="TRUE"),1,0))</f>
        <v/>
      </c>
      <c r="AN393">
        <f>IF($D393="","",IF($AA393="Yes",1,0))</f>
        <v/>
      </c>
      <c r="AO393">
        <f>IF($AK393=1,IFERROR(IF(VALUE($D393)&lt;100000000,VALUE($D393),1000000000),IFERROR(IF(VALUE(MID($D393,2,20))&lt;100000000,VALUE(MID($D393,2,20)),1000000000),1000000000))+ROW()/100000,"")</f>
        <v/>
      </c>
    </row>
    <row r="394">
      <c r="F394" s="11" t="n"/>
      <c r="N394" s="7">
        <f>IF($D394="","",M394*X394/100)</f>
        <v/>
      </c>
      <c r="O394" s="7" t="n"/>
      <c r="U394" s="7" t="n"/>
      <c r="V394" s="7" t="n"/>
      <c r="W394" s="7">
        <f>IF($D394="","",V394*AB394/100)</f>
        <v/>
      </c>
      <c r="X394" s="7">
        <f>IF($D394="","",V394-W394)</f>
        <v/>
      </c>
      <c r="Y394" s="7">
        <f>IF($D394="","",X394-N394)</f>
        <v/>
      </c>
      <c r="AB394">
        <f>IF($D394="","",IF($AN394=1,Settings!$C$8,IF($AM394=1,Settings!$C$6,Settings!$C$7))*100)</f>
        <v/>
      </c>
      <c r="AF394" s="7" t="n"/>
      <c r="AI394" s="11" t="n"/>
      <c r="AK394">
        <f>IF($D394="","",IF(COUNTIF($D$2:$D394,$D394)=1,1,0))</f>
        <v/>
      </c>
      <c r="AL394">
        <f>IF($AK394=1,SUMPRODUCT(--($AO$2:$AO$1601&lt;$AO394))+1,"")</f>
        <v/>
      </c>
      <c r="AM394">
        <f>IF($D394="","",IF(OR($R394=TRUE(),$R394="TRUE"),1,0))</f>
        <v/>
      </c>
      <c r="AN394">
        <f>IF($D394="","",IF($AA394="Yes",1,0))</f>
        <v/>
      </c>
      <c r="AO394">
        <f>IF($AK394=1,IFERROR(IF(VALUE($D394)&lt;100000000,VALUE($D394),1000000000),IFERROR(IF(VALUE(MID($D394,2,20))&lt;100000000,VALUE(MID($D394,2,20)),1000000000),1000000000))+ROW()/100000,"")</f>
        <v/>
      </c>
    </row>
    <row r="395">
      <c r="F395" s="11" t="n"/>
      <c r="N395" s="7">
        <f>IF($D395="","",M395*X395/100)</f>
        <v/>
      </c>
      <c r="O395" s="7" t="n"/>
      <c r="U395" s="7" t="n"/>
      <c r="V395" s="7" t="n"/>
      <c r="W395" s="7">
        <f>IF($D395="","",V395*AB395/100)</f>
        <v/>
      </c>
      <c r="X395" s="7">
        <f>IF($D395="","",V395-W395)</f>
        <v/>
      </c>
      <c r="Y395" s="7">
        <f>IF($D395="","",X395-N395)</f>
        <v/>
      </c>
      <c r="AB395">
        <f>IF($D395="","",IF($AN395=1,Settings!$C$8,IF($AM395=1,Settings!$C$6,Settings!$C$7))*100)</f>
        <v/>
      </c>
      <c r="AF395" s="7" t="n"/>
      <c r="AI395" s="11" t="n"/>
      <c r="AK395">
        <f>IF($D395="","",IF(COUNTIF($D$2:$D395,$D395)=1,1,0))</f>
        <v/>
      </c>
      <c r="AL395">
        <f>IF($AK395=1,SUMPRODUCT(--($AO$2:$AO$1601&lt;$AO395))+1,"")</f>
        <v/>
      </c>
      <c r="AM395">
        <f>IF($D395="","",IF(OR($R395=TRUE(),$R395="TRUE"),1,0))</f>
        <v/>
      </c>
      <c r="AN395">
        <f>IF($D395="","",IF($AA395="Yes",1,0))</f>
        <v/>
      </c>
      <c r="AO395">
        <f>IF($AK395=1,IFERROR(IF(VALUE($D395)&lt;100000000,VALUE($D395),1000000000),IFERROR(IF(VALUE(MID($D395,2,20))&lt;100000000,VALUE(MID($D395,2,20)),1000000000),1000000000))+ROW()/100000,"")</f>
        <v/>
      </c>
    </row>
    <row r="396">
      <c r="F396" s="11" t="n"/>
      <c r="N396" s="7">
        <f>IF($D396="","",M396*X396/100)</f>
        <v/>
      </c>
      <c r="O396" s="7" t="n"/>
      <c r="U396" s="7" t="n"/>
      <c r="V396" s="7" t="n"/>
      <c r="W396" s="7">
        <f>IF($D396="","",V396*AB396/100)</f>
        <v/>
      </c>
      <c r="X396" s="7">
        <f>IF($D396="","",V396-W396)</f>
        <v/>
      </c>
      <c r="Y396" s="7">
        <f>IF($D396="","",X396-N396)</f>
        <v/>
      </c>
      <c r="AB396">
        <f>IF($D396="","",IF($AN396=1,Settings!$C$8,IF($AM396=1,Settings!$C$6,Settings!$C$7))*100)</f>
        <v/>
      </c>
      <c r="AF396" s="7" t="n"/>
      <c r="AI396" s="11" t="n"/>
      <c r="AK396">
        <f>IF($D396="","",IF(COUNTIF($D$2:$D396,$D396)=1,1,0))</f>
        <v/>
      </c>
      <c r="AL396">
        <f>IF($AK396=1,SUMPRODUCT(--($AO$2:$AO$1601&lt;$AO396))+1,"")</f>
        <v/>
      </c>
      <c r="AM396">
        <f>IF($D396="","",IF(OR($R396=TRUE(),$R396="TRUE"),1,0))</f>
        <v/>
      </c>
      <c r="AN396">
        <f>IF($D396="","",IF($AA396="Yes",1,0))</f>
        <v/>
      </c>
      <c r="AO396">
        <f>IF($AK396=1,IFERROR(IF(VALUE($D396)&lt;100000000,VALUE($D396),1000000000),IFERROR(IF(VALUE(MID($D396,2,20))&lt;100000000,VALUE(MID($D396,2,20)),1000000000),1000000000))+ROW()/100000,"")</f>
        <v/>
      </c>
    </row>
    <row r="397">
      <c r="F397" s="11" t="n"/>
      <c r="N397" s="7">
        <f>IF($D397="","",M397*X397/100)</f>
        <v/>
      </c>
      <c r="O397" s="7" t="n"/>
      <c r="U397" s="7" t="n"/>
      <c r="V397" s="7" t="n"/>
      <c r="W397" s="7">
        <f>IF($D397="","",V397*AB397/100)</f>
        <v/>
      </c>
      <c r="X397" s="7">
        <f>IF($D397="","",V397-W397)</f>
        <v/>
      </c>
      <c r="Y397" s="7">
        <f>IF($D397="","",X397-N397)</f>
        <v/>
      </c>
      <c r="AB397">
        <f>IF($D397="","",IF($AN397=1,Settings!$C$8,IF($AM397=1,Settings!$C$6,Settings!$C$7))*100)</f>
        <v/>
      </c>
      <c r="AF397" s="7" t="n"/>
      <c r="AI397" s="11" t="n"/>
      <c r="AK397">
        <f>IF($D397="","",IF(COUNTIF($D$2:$D397,$D397)=1,1,0))</f>
        <v/>
      </c>
      <c r="AL397">
        <f>IF($AK397=1,SUMPRODUCT(--($AO$2:$AO$1601&lt;$AO397))+1,"")</f>
        <v/>
      </c>
      <c r="AM397">
        <f>IF($D397="","",IF(OR($R397=TRUE(),$R397="TRUE"),1,0))</f>
        <v/>
      </c>
      <c r="AN397">
        <f>IF($D397="","",IF($AA397="Yes",1,0))</f>
        <v/>
      </c>
      <c r="AO397">
        <f>IF($AK397=1,IFERROR(IF(VALUE($D397)&lt;100000000,VALUE($D397),1000000000),IFERROR(IF(VALUE(MID($D397,2,20))&lt;100000000,VALUE(MID($D397,2,20)),1000000000),1000000000))+ROW()/100000,"")</f>
        <v/>
      </c>
    </row>
    <row r="398">
      <c r="F398" s="11" t="n"/>
      <c r="N398" s="7">
        <f>IF($D398="","",M398*X398/100)</f>
        <v/>
      </c>
      <c r="O398" s="7" t="n"/>
      <c r="U398" s="7" t="n"/>
      <c r="V398" s="7" t="n"/>
      <c r="W398" s="7">
        <f>IF($D398="","",V398*AB398/100)</f>
        <v/>
      </c>
      <c r="X398" s="7">
        <f>IF($D398="","",V398-W398)</f>
        <v/>
      </c>
      <c r="Y398" s="7">
        <f>IF($D398="","",X398-N398)</f>
        <v/>
      </c>
      <c r="AB398">
        <f>IF($D398="","",IF($AN398=1,Settings!$C$8,IF($AM398=1,Settings!$C$6,Settings!$C$7))*100)</f>
        <v/>
      </c>
      <c r="AF398" s="7" t="n"/>
      <c r="AI398" s="11" t="n"/>
      <c r="AK398">
        <f>IF($D398="","",IF(COUNTIF($D$2:$D398,$D398)=1,1,0))</f>
        <v/>
      </c>
      <c r="AL398">
        <f>IF($AK398=1,SUMPRODUCT(--($AO$2:$AO$1601&lt;$AO398))+1,"")</f>
        <v/>
      </c>
      <c r="AM398">
        <f>IF($D398="","",IF(OR($R398=TRUE(),$R398="TRUE"),1,0))</f>
        <v/>
      </c>
      <c r="AN398">
        <f>IF($D398="","",IF($AA398="Yes",1,0))</f>
        <v/>
      </c>
      <c r="AO398">
        <f>IF($AK398=1,IFERROR(IF(VALUE($D398)&lt;100000000,VALUE($D398),1000000000),IFERROR(IF(VALUE(MID($D398,2,20))&lt;100000000,VALUE(MID($D398,2,20)),1000000000),1000000000))+ROW()/100000,"")</f>
        <v/>
      </c>
    </row>
    <row r="399">
      <c r="F399" s="11" t="n"/>
      <c r="N399" s="7">
        <f>IF($D399="","",M399*X399/100)</f>
        <v/>
      </c>
      <c r="O399" s="7" t="n"/>
      <c r="U399" s="7" t="n"/>
      <c r="V399" s="7" t="n"/>
      <c r="W399" s="7">
        <f>IF($D399="","",V399*AB399/100)</f>
        <v/>
      </c>
      <c r="X399" s="7">
        <f>IF($D399="","",V399-W399)</f>
        <v/>
      </c>
      <c r="Y399" s="7">
        <f>IF($D399="","",X399-N399)</f>
        <v/>
      </c>
      <c r="AB399">
        <f>IF($D399="","",IF($AN399=1,Settings!$C$8,IF($AM399=1,Settings!$C$6,Settings!$C$7))*100)</f>
        <v/>
      </c>
      <c r="AF399" s="7" t="n"/>
      <c r="AI399" s="11" t="n"/>
      <c r="AK399">
        <f>IF($D399="","",IF(COUNTIF($D$2:$D399,$D399)=1,1,0))</f>
        <v/>
      </c>
      <c r="AL399">
        <f>IF($AK399=1,SUMPRODUCT(--($AO$2:$AO$1601&lt;$AO399))+1,"")</f>
        <v/>
      </c>
      <c r="AM399">
        <f>IF($D399="","",IF(OR($R399=TRUE(),$R399="TRUE"),1,0))</f>
        <v/>
      </c>
      <c r="AN399">
        <f>IF($D399="","",IF($AA399="Yes",1,0))</f>
        <v/>
      </c>
      <c r="AO399">
        <f>IF($AK399=1,IFERROR(IF(VALUE($D399)&lt;100000000,VALUE($D399),1000000000),IFERROR(IF(VALUE(MID($D399,2,20))&lt;100000000,VALUE(MID($D399,2,20)),1000000000),1000000000))+ROW()/100000,"")</f>
        <v/>
      </c>
    </row>
    <row r="400">
      <c r="F400" s="11" t="n"/>
      <c r="N400" s="7">
        <f>IF($D400="","",M400*X400/100)</f>
        <v/>
      </c>
      <c r="O400" s="7" t="n"/>
      <c r="U400" s="7" t="n"/>
      <c r="V400" s="7" t="n"/>
      <c r="W400" s="7">
        <f>IF($D400="","",V400*AB400/100)</f>
        <v/>
      </c>
      <c r="X400" s="7">
        <f>IF($D400="","",V400-W400)</f>
        <v/>
      </c>
      <c r="Y400" s="7">
        <f>IF($D400="","",X400-N400)</f>
        <v/>
      </c>
      <c r="AB400">
        <f>IF($D400="","",IF($AN400=1,Settings!$C$8,IF($AM400=1,Settings!$C$6,Settings!$C$7))*100)</f>
        <v/>
      </c>
      <c r="AF400" s="7" t="n"/>
      <c r="AI400" s="11" t="n"/>
      <c r="AK400">
        <f>IF($D400="","",IF(COUNTIF($D$2:$D400,$D400)=1,1,0))</f>
        <v/>
      </c>
      <c r="AL400">
        <f>IF($AK400=1,SUMPRODUCT(--($AO$2:$AO$1601&lt;$AO400))+1,"")</f>
        <v/>
      </c>
      <c r="AM400">
        <f>IF($D400="","",IF(OR($R400=TRUE(),$R400="TRUE"),1,0))</f>
        <v/>
      </c>
      <c r="AN400">
        <f>IF($D400="","",IF($AA400="Yes",1,0))</f>
        <v/>
      </c>
      <c r="AO400">
        <f>IF($AK400=1,IFERROR(IF(VALUE($D400)&lt;100000000,VALUE($D400),1000000000),IFERROR(IF(VALUE(MID($D400,2,20))&lt;100000000,VALUE(MID($D400,2,20)),1000000000),1000000000))+ROW()/100000,"")</f>
        <v/>
      </c>
    </row>
    <row r="401">
      <c r="F401" s="11" t="n"/>
      <c r="N401" s="7">
        <f>IF($D401="","",M401*X401/100)</f>
        <v/>
      </c>
      <c r="O401" s="7" t="n"/>
      <c r="U401" s="7" t="n"/>
      <c r="V401" s="7" t="n"/>
      <c r="W401" s="7">
        <f>IF($D401="","",V401*AB401/100)</f>
        <v/>
      </c>
      <c r="X401" s="7">
        <f>IF($D401="","",V401-W401)</f>
        <v/>
      </c>
      <c r="Y401" s="7">
        <f>IF($D401="","",X401-N401)</f>
        <v/>
      </c>
      <c r="AB401">
        <f>IF($D401="","",IF($AN401=1,Settings!$C$8,IF($AM401=1,Settings!$C$6,Settings!$C$7))*100)</f>
        <v/>
      </c>
      <c r="AF401" s="7" t="n"/>
      <c r="AI401" s="11" t="n"/>
      <c r="AK401">
        <f>IF($D401="","",IF(COUNTIF($D$2:$D401,$D401)=1,1,0))</f>
        <v/>
      </c>
      <c r="AL401">
        <f>IF($AK401=1,SUMPRODUCT(--($AO$2:$AO$1601&lt;$AO401))+1,"")</f>
        <v/>
      </c>
      <c r="AM401">
        <f>IF($D401="","",IF(OR($R401=TRUE(),$R401="TRUE"),1,0))</f>
        <v/>
      </c>
      <c r="AN401">
        <f>IF($D401="","",IF($AA401="Yes",1,0))</f>
        <v/>
      </c>
      <c r="AO401">
        <f>IF($AK401=1,IFERROR(IF(VALUE($D401)&lt;100000000,VALUE($D401),1000000000),IFERROR(IF(VALUE(MID($D401,2,20))&lt;100000000,VALUE(MID($D401,2,20)),1000000000),1000000000))+ROW()/100000,"")</f>
        <v/>
      </c>
    </row>
    <row r="402">
      <c r="F402" s="11" t="n"/>
      <c r="N402" s="7">
        <f>IF($D402="","",M402*X402/100)</f>
        <v/>
      </c>
      <c r="O402" s="7" t="n"/>
      <c r="U402" s="7" t="n"/>
      <c r="V402" s="7" t="n"/>
      <c r="W402" s="7">
        <f>IF($D402="","",V402*AB402/100)</f>
        <v/>
      </c>
      <c r="X402" s="7">
        <f>IF($D402="","",V402-W402)</f>
        <v/>
      </c>
      <c r="Y402" s="7">
        <f>IF($D402="","",X402-N402)</f>
        <v/>
      </c>
      <c r="AB402">
        <f>IF($D402="","",IF($AN402=1,Settings!$C$8,IF($AM402=1,Settings!$C$6,Settings!$C$7))*100)</f>
        <v/>
      </c>
      <c r="AF402" s="7" t="n"/>
      <c r="AI402" s="11" t="n"/>
      <c r="AK402">
        <f>IF($D402="","",IF(COUNTIF($D$2:$D402,$D402)=1,1,0))</f>
        <v/>
      </c>
      <c r="AL402">
        <f>IF($AK402=1,SUMPRODUCT(--($AO$2:$AO$1601&lt;$AO402))+1,"")</f>
        <v/>
      </c>
      <c r="AM402">
        <f>IF($D402="","",IF(OR($R402=TRUE(),$R402="TRUE"),1,0))</f>
        <v/>
      </c>
      <c r="AN402">
        <f>IF($D402="","",IF($AA402="Yes",1,0))</f>
        <v/>
      </c>
      <c r="AO402">
        <f>IF($AK402=1,IFERROR(IF(VALUE($D402)&lt;100000000,VALUE($D402),1000000000),IFERROR(IF(VALUE(MID($D402,2,20))&lt;100000000,VALUE(MID($D402,2,20)),1000000000),1000000000))+ROW()/100000,"")</f>
        <v/>
      </c>
    </row>
    <row r="403">
      <c r="F403" s="11" t="n"/>
      <c r="N403" s="7">
        <f>IF($D403="","",M403*X403/100)</f>
        <v/>
      </c>
      <c r="O403" s="7" t="n"/>
      <c r="U403" s="7" t="n"/>
      <c r="V403" s="7" t="n"/>
      <c r="W403" s="7">
        <f>IF($D403="","",V403*AB403/100)</f>
        <v/>
      </c>
      <c r="X403" s="7">
        <f>IF($D403="","",V403-W403)</f>
        <v/>
      </c>
      <c r="Y403" s="7">
        <f>IF($D403="","",X403-N403)</f>
        <v/>
      </c>
      <c r="AB403">
        <f>IF($D403="","",IF($AN403=1,Settings!$C$8,IF($AM403=1,Settings!$C$6,Settings!$C$7))*100)</f>
        <v/>
      </c>
      <c r="AF403" s="7" t="n"/>
      <c r="AI403" s="11" t="n"/>
      <c r="AK403">
        <f>IF($D403="","",IF(COUNTIF($D$2:$D403,$D403)=1,1,0))</f>
        <v/>
      </c>
      <c r="AL403">
        <f>IF($AK403=1,SUMPRODUCT(--($AO$2:$AO$1601&lt;$AO403))+1,"")</f>
        <v/>
      </c>
      <c r="AM403">
        <f>IF($D403="","",IF(OR($R403=TRUE(),$R403="TRUE"),1,0))</f>
        <v/>
      </c>
      <c r="AN403">
        <f>IF($D403="","",IF($AA403="Yes",1,0))</f>
        <v/>
      </c>
      <c r="AO403">
        <f>IF($AK403=1,IFERROR(IF(VALUE($D403)&lt;100000000,VALUE($D403),1000000000),IFERROR(IF(VALUE(MID($D403,2,20))&lt;100000000,VALUE(MID($D403,2,20)),1000000000),1000000000))+ROW()/100000,"")</f>
        <v/>
      </c>
    </row>
    <row r="404">
      <c r="F404" s="11" t="n"/>
      <c r="N404" s="7">
        <f>IF($D404="","",M404*X404/100)</f>
        <v/>
      </c>
      <c r="O404" s="7" t="n"/>
      <c r="U404" s="7" t="n"/>
      <c r="V404" s="7" t="n"/>
      <c r="W404" s="7">
        <f>IF($D404="","",V404*AB404/100)</f>
        <v/>
      </c>
      <c r="X404" s="7">
        <f>IF($D404="","",V404-W404)</f>
        <v/>
      </c>
      <c r="Y404" s="7">
        <f>IF($D404="","",X404-N404)</f>
        <v/>
      </c>
      <c r="AB404">
        <f>IF($D404="","",IF($AN404=1,Settings!$C$8,IF($AM404=1,Settings!$C$6,Settings!$C$7))*100)</f>
        <v/>
      </c>
      <c r="AF404" s="7" t="n"/>
      <c r="AI404" s="11" t="n"/>
      <c r="AK404">
        <f>IF($D404="","",IF(COUNTIF($D$2:$D404,$D404)=1,1,0))</f>
        <v/>
      </c>
      <c r="AL404">
        <f>IF($AK404=1,SUMPRODUCT(--($AO$2:$AO$1601&lt;$AO404))+1,"")</f>
        <v/>
      </c>
      <c r="AM404">
        <f>IF($D404="","",IF(OR($R404=TRUE(),$R404="TRUE"),1,0))</f>
        <v/>
      </c>
      <c r="AN404">
        <f>IF($D404="","",IF($AA404="Yes",1,0))</f>
        <v/>
      </c>
      <c r="AO404">
        <f>IF($AK404=1,IFERROR(IF(VALUE($D404)&lt;100000000,VALUE($D404),1000000000),IFERROR(IF(VALUE(MID($D404,2,20))&lt;100000000,VALUE(MID($D404,2,20)),1000000000),1000000000))+ROW()/100000,"")</f>
        <v/>
      </c>
    </row>
    <row r="405">
      <c r="F405" s="11" t="n"/>
      <c r="N405" s="7">
        <f>IF($D405="","",M405*X405/100)</f>
        <v/>
      </c>
      <c r="O405" s="7" t="n"/>
      <c r="U405" s="7" t="n"/>
      <c r="V405" s="7" t="n"/>
      <c r="W405" s="7">
        <f>IF($D405="","",V405*AB405/100)</f>
        <v/>
      </c>
      <c r="X405" s="7">
        <f>IF($D405="","",V405-W405)</f>
        <v/>
      </c>
      <c r="Y405" s="7">
        <f>IF($D405="","",X405-N405)</f>
        <v/>
      </c>
      <c r="AB405">
        <f>IF($D405="","",IF($AN405=1,Settings!$C$8,IF($AM405=1,Settings!$C$6,Settings!$C$7))*100)</f>
        <v/>
      </c>
      <c r="AF405" s="7" t="n"/>
      <c r="AI405" s="11" t="n"/>
      <c r="AK405">
        <f>IF($D405="","",IF(COUNTIF($D$2:$D405,$D405)=1,1,0))</f>
        <v/>
      </c>
      <c r="AL405">
        <f>IF($AK405=1,SUMPRODUCT(--($AO$2:$AO$1601&lt;$AO405))+1,"")</f>
        <v/>
      </c>
      <c r="AM405">
        <f>IF($D405="","",IF(OR($R405=TRUE(),$R405="TRUE"),1,0))</f>
        <v/>
      </c>
      <c r="AN405">
        <f>IF($D405="","",IF($AA405="Yes",1,0))</f>
        <v/>
      </c>
      <c r="AO405">
        <f>IF($AK405=1,IFERROR(IF(VALUE($D405)&lt;100000000,VALUE($D405),1000000000),IFERROR(IF(VALUE(MID($D405,2,20))&lt;100000000,VALUE(MID($D405,2,20)),1000000000),1000000000))+ROW()/100000,"")</f>
        <v/>
      </c>
    </row>
    <row r="406">
      <c r="F406" s="11" t="n"/>
      <c r="N406" s="7">
        <f>IF($D406="","",M406*X406/100)</f>
        <v/>
      </c>
      <c r="O406" s="7" t="n"/>
      <c r="U406" s="7" t="n"/>
      <c r="V406" s="7" t="n"/>
      <c r="W406" s="7">
        <f>IF($D406="","",V406*AB406/100)</f>
        <v/>
      </c>
      <c r="X406" s="7">
        <f>IF($D406="","",V406-W406)</f>
        <v/>
      </c>
      <c r="Y406" s="7">
        <f>IF($D406="","",X406-N406)</f>
        <v/>
      </c>
      <c r="AB406">
        <f>IF($D406="","",IF($AN406=1,Settings!$C$8,IF($AM406=1,Settings!$C$6,Settings!$C$7))*100)</f>
        <v/>
      </c>
      <c r="AF406" s="7" t="n"/>
      <c r="AI406" s="11" t="n"/>
      <c r="AK406">
        <f>IF($D406="","",IF(COUNTIF($D$2:$D406,$D406)=1,1,0))</f>
        <v/>
      </c>
      <c r="AL406">
        <f>IF($AK406=1,SUMPRODUCT(--($AO$2:$AO$1601&lt;$AO406))+1,"")</f>
        <v/>
      </c>
      <c r="AM406">
        <f>IF($D406="","",IF(OR($R406=TRUE(),$R406="TRUE"),1,0))</f>
        <v/>
      </c>
      <c r="AN406">
        <f>IF($D406="","",IF($AA406="Yes",1,0))</f>
        <v/>
      </c>
      <c r="AO406">
        <f>IF($AK406=1,IFERROR(IF(VALUE($D406)&lt;100000000,VALUE($D406),1000000000),IFERROR(IF(VALUE(MID($D406,2,20))&lt;100000000,VALUE(MID($D406,2,20)),1000000000),1000000000))+ROW()/100000,"")</f>
        <v/>
      </c>
    </row>
    <row r="407">
      <c r="F407" s="11" t="n"/>
      <c r="N407" s="7">
        <f>IF($D407="","",M407*X407/100)</f>
        <v/>
      </c>
      <c r="O407" s="7" t="n"/>
      <c r="U407" s="7" t="n"/>
      <c r="V407" s="7" t="n"/>
      <c r="W407" s="7">
        <f>IF($D407="","",V407*AB407/100)</f>
        <v/>
      </c>
      <c r="X407" s="7">
        <f>IF($D407="","",V407-W407)</f>
        <v/>
      </c>
      <c r="Y407" s="7">
        <f>IF($D407="","",X407-N407)</f>
        <v/>
      </c>
      <c r="AB407">
        <f>IF($D407="","",IF($AN407=1,Settings!$C$8,IF($AM407=1,Settings!$C$6,Settings!$C$7))*100)</f>
        <v/>
      </c>
      <c r="AF407" s="7" t="n"/>
      <c r="AI407" s="11" t="n"/>
      <c r="AK407">
        <f>IF($D407="","",IF(COUNTIF($D$2:$D407,$D407)=1,1,0))</f>
        <v/>
      </c>
      <c r="AL407">
        <f>IF($AK407=1,SUMPRODUCT(--($AO$2:$AO$1601&lt;$AO407))+1,"")</f>
        <v/>
      </c>
      <c r="AM407">
        <f>IF($D407="","",IF(OR($R407=TRUE(),$R407="TRUE"),1,0))</f>
        <v/>
      </c>
      <c r="AN407">
        <f>IF($D407="","",IF($AA407="Yes",1,0))</f>
        <v/>
      </c>
      <c r="AO407">
        <f>IF($AK407=1,IFERROR(IF(VALUE($D407)&lt;100000000,VALUE($D407),1000000000),IFERROR(IF(VALUE(MID($D407,2,20))&lt;100000000,VALUE(MID($D407,2,20)),1000000000),1000000000))+ROW()/100000,"")</f>
        <v/>
      </c>
    </row>
    <row r="408">
      <c r="F408" s="11" t="n"/>
      <c r="N408" s="7">
        <f>IF($D408="","",M408*X408/100)</f>
        <v/>
      </c>
      <c r="O408" s="7" t="n"/>
      <c r="U408" s="7" t="n"/>
      <c r="V408" s="7" t="n"/>
      <c r="W408" s="7">
        <f>IF($D408="","",V408*AB408/100)</f>
        <v/>
      </c>
      <c r="X408" s="7">
        <f>IF($D408="","",V408-W408)</f>
        <v/>
      </c>
      <c r="Y408" s="7">
        <f>IF($D408="","",X408-N408)</f>
        <v/>
      </c>
      <c r="AB408">
        <f>IF($D408="","",IF($AN408=1,Settings!$C$8,IF($AM408=1,Settings!$C$6,Settings!$C$7))*100)</f>
        <v/>
      </c>
      <c r="AF408" s="7" t="n"/>
      <c r="AI408" s="11" t="n"/>
      <c r="AK408">
        <f>IF($D408="","",IF(COUNTIF($D$2:$D408,$D408)=1,1,0))</f>
        <v/>
      </c>
      <c r="AL408">
        <f>IF($AK408=1,SUMPRODUCT(--($AO$2:$AO$1601&lt;$AO408))+1,"")</f>
        <v/>
      </c>
      <c r="AM408">
        <f>IF($D408="","",IF(OR($R408=TRUE(),$R408="TRUE"),1,0))</f>
        <v/>
      </c>
      <c r="AN408">
        <f>IF($D408="","",IF($AA408="Yes",1,0))</f>
        <v/>
      </c>
      <c r="AO408">
        <f>IF($AK408=1,IFERROR(IF(VALUE($D408)&lt;100000000,VALUE($D408),1000000000),IFERROR(IF(VALUE(MID($D408,2,20))&lt;100000000,VALUE(MID($D408,2,20)),1000000000),1000000000))+ROW()/100000,"")</f>
        <v/>
      </c>
    </row>
    <row r="409">
      <c r="F409" s="11" t="n"/>
      <c r="N409" s="7">
        <f>IF($D409="","",M409*X409/100)</f>
        <v/>
      </c>
      <c r="O409" s="7" t="n"/>
      <c r="U409" s="7" t="n"/>
      <c r="V409" s="7" t="n"/>
      <c r="W409" s="7">
        <f>IF($D409="","",V409*AB409/100)</f>
        <v/>
      </c>
      <c r="X409" s="7">
        <f>IF($D409="","",V409-W409)</f>
        <v/>
      </c>
      <c r="Y409" s="7">
        <f>IF($D409="","",X409-N409)</f>
        <v/>
      </c>
      <c r="AB409">
        <f>IF($D409="","",IF($AN409=1,Settings!$C$8,IF($AM409=1,Settings!$C$6,Settings!$C$7))*100)</f>
        <v/>
      </c>
      <c r="AF409" s="7" t="n"/>
      <c r="AI409" s="11" t="n"/>
      <c r="AK409">
        <f>IF($D409="","",IF(COUNTIF($D$2:$D409,$D409)=1,1,0))</f>
        <v/>
      </c>
      <c r="AL409">
        <f>IF($AK409=1,SUMPRODUCT(--($AO$2:$AO$1601&lt;$AO409))+1,"")</f>
        <v/>
      </c>
      <c r="AM409">
        <f>IF($D409="","",IF(OR($R409=TRUE(),$R409="TRUE"),1,0))</f>
        <v/>
      </c>
      <c r="AN409">
        <f>IF($D409="","",IF($AA409="Yes",1,0))</f>
        <v/>
      </c>
      <c r="AO409">
        <f>IF($AK409=1,IFERROR(IF(VALUE($D409)&lt;100000000,VALUE($D409),1000000000),IFERROR(IF(VALUE(MID($D409,2,20))&lt;100000000,VALUE(MID($D409,2,20)),1000000000),1000000000))+ROW()/100000,"")</f>
        <v/>
      </c>
    </row>
    <row r="410">
      <c r="F410" s="11" t="n"/>
      <c r="N410" s="7">
        <f>IF($D410="","",M410*X410/100)</f>
        <v/>
      </c>
      <c r="O410" s="7" t="n"/>
      <c r="U410" s="7" t="n"/>
      <c r="V410" s="7" t="n"/>
      <c r="W410" s="7">
        <f>IF($D410="","",V410*AB410/100)</f>
        <v/>
      </c>
      <c r="X410" s="7">
        <f>IF($D410="","",V410-W410)</f>
        <v/>
      </c>
      <c r="Y410" s="7">
        <f>IF($D410="","",X410-N410)</f>
        <v/>
      </c>
      <c r="AB410">
        <f>IF($D410="","",IF($AN410=1,Settings!$C$8,IF($AM410=1,Settings!$C$6,Settings!$C$7))*100)</f>
        <v/>
      </c>
      <c r="AF410" s="7" t="n"/>
      <c r="AI410" s="11" t="n"/>
      <c r="AK410">
        <f>IF($D410="","",IF(COUNTIF($D$2:$D410,$D410)=1,1,0))</f>
        <v/>
      </c>
      <c r="AL410">
        <f>IF($AK410=1,SUMPRODUCT(--($AO$2:$AO$1601&lt;$AO410))+1,"")</f>
        <v/>
      </c>
      <c r="AM410">
        <f>IF($D410="","",IF(OR($R410=TRUE(),$R410="TRUE"),1,0))</f>
        <v/>
      </c>
      <c r="AN410">
        <f>IF($D410="","",IF($AA410="Yes",1,0))</f>
        <v/>
      </c>
      <c r="AO410">
        <f>IF($AK410=1,IFERROR(IF(VALUE($D410)&lt;100000000,VALUE($D410),1000000000),IFERROR(IF(VALUE(MID($D410,2,20))&lt;100000000,VALUE(MID($D410,2,20)),1000000000),1000000000))+ROW()/100000,"")</f>
        <v/>
      </c>
    </row>
    <row r="411">
      <c r="F411" s="11" t="n"/>
      <c r="N411" s="7">
        <f>IF($D411="","",M411*X411/100)</f>
        <v/>
      </c>
      <c r="O411" s="7" t="n"/>
      <c r="U411" s="7" t="n"/>
      <c r="V411" s="7" t="n"/>
      <c r="W411" s="7">
        <f>IF($D411="","",V411*AB411/100)</f>
        <v/>
      </c>
      <c r="X411" s="7">
        <f>IF($D411="","",V411-W411)</f>
        <v/>
      </c>
      <c r="Y411" s="7">
        <f>IF($D411="","",X411-N411)</f>
        <v/>
      </c>
      <c r="AB411">
        <f>IF($D411="","",IF($AN411=1,Settings!$C$8,IF($AM411=1,Settings!$C$6,Settings!$C$7))*100)</f>
        <v/>
      </c>
      <c r="AF411" s="7" t="n"/>
      <c r="AI411" s="11" t="n"/>
      <c r="AK411">
        <f>IF($D411="","",IF(COUNTIF($D$2:$D411,$D411)=1,1,0))</f>
        <v/>
      </c>
      <c r="AL411">
        <f>IF($AK411=1,SUMPRODUCT(--($AO$2:$AO$1601&lt;$AO411))+1,"")</f>
        <v/>
      </c>
      <c r="AM411">
        <f>IF($D411="","",IF(OR($R411=TRUE(),$R411="TRUE"),1,0))</f>
        <v/>
      </c>
      <c r="AN411">
        <f>IF($D411="","",IF($AA411="Yes",1,0))</f>
        <v/>
      </c>
      <c r="AO411">
        <f>IF($AK411=1,IFERROR(IF(VALUE($D411)&lt;100000000,VALUE($D411),1000000000),IFERROR(IF(VALUE(MID($D411,2,20))&lt;100000000,VALUE(MID($D411,2,20)),1000000000),1000000000))+ROW()/100000,"")</f>
        <v/>
      </c>
    </row>
    <row r="412">
      <c r="F412" s="11" t="n"/>
      <c r="N412" s="7">
        <f>IF($D412="","",M412*X412/100)</f>
        <v/>
      </c>
      <c r="O412" s="7" t="n"/>
      <c r="U412" s="7" t="n"/>
      <c r="V412" s="7" t="n"/>
      <c r="W412" s="7">
        <f>IF($D412="","",V412*AB412/100)</f>
        <v/>
      </c>
      <c r="X412" s="7">
        <f>IF($D412="","",V412-W412)</f>
        <v/>
      </c>
      <c r="Y412" s="7">
        <f>IF($D412="","",X412-N412)</f>
        <v/>
      </c>
      <c r="AB412">
        <f>IF($D412="","",IF($AN412=1,Settings!$C$8,IF($AM412=1,Settings!$C$6,Settings!$C$7))*100)</f>
        <v/>
      </c>
      <c r="AF412" s="7" t="n"/>
      <c r="AI412" s="11" t="n"/>
      <c r="AK412">
        <f>IF($D412="","",IF(COUNTIF($D$2:$D412,$D412)=1,1,0))</f>
        <v/>
      </c>
      <c r="AL412">
        <f>IF($AK412=1,SUMPRODUCT(--($AO$2:$AO$1601&lt;$AO412))+1,"")</f>
        <v/>
      </c>
      <c r="AM412">
        <f>IF($D412="","",IF(OR($R412=TRUE(),$R412="TRUE"),1,0))</f>
        <v/>
      </c>
      <c r="AN412">
        <f>IF($D412="","",IF($AA412="Yes",1,0))</f>
        <v/>
      </c>
      <c r="AO412">
        <f>IF($AK412=1,IFERROR(IF(VALUE($D412)&lt;100000000,VALUE($D412),1000000000),IFERROR(IF(VALUE(MID($D412,2,20))&lt;100000000,VALUE(MID($D412,2,20)),1000000000),1000000000))+ROW()/100000,"")</f>
        <v/>
      </c>
    </row>
    <row r="413">
      <c r="F413" s="11" t="n"/>
      <c r="N413" s="7">
        <f>IF($D413="","",M413*X413/100)</f>
        <v/>
      </c>
      <c r="O413" s="7" t="n"/>
      <c r="U413" s="7" t="n"/>
      <c r="V413" s="7" t="n"/>
      <c r="W413" s="7">
        <f>IF($D413="","",V413*AB413/100)</f>
        <v/>
      </c>
      <c r="X413" s="7">
        <f>IF($D413="","",V413-W413)</f>
        <v/>
      </c>
      <c r="Y413" s="7">
        <f>IF($D413="","",X413-N413)</f>
        <v/>
      </c>
      <c r="AB413">
        <f>IF($D413="","",IF($AN413=1,Settings!$C$8,IF($AM413=1,Settings!$C$6,Settings!$C$7))*100)</f>
        <v/>
      </c>
      <c r="AF413" s="7" t="n"/>
      <c r="AI413" s="11" t="n"/>
      <c r="AK413">
        <f>IF($D413="","",IF(COUNTIF($D$2:$D413,$D413)=1,1,0))</f>
        <v/>
      </c>
      <c r="AL413">
        <f>IF($AK413=1,SUMPRODUCT(--($AO$2:$AO$1601&lt;$AO413))+1,"")</f>
        <v/>
      </c>
      <c r="AM413">
        <f>IF($D413="","",IF(OR($R413=TRUE(),$R413="TRUE"),1,0))</f>
        <v/>
      </c>
      <c r="AN413">
        <f>IF($D413="","",IF($AA413="Yes",1,0))</f>
        <v/>
      </c>
      <c r="AO413">
        <f>IF($AK413=1,IFERROR(IF(VALUE($D413)&lt;100000000,VALUE($D413),1000000000),IFERROR(IF(VALUE(MID($D413,2,20))&lt;100000000,VALUE(MID($D413,2,20)),1000000000),1000000000))+ROW()/100000,"")</f>
        <v/>
      </c>
    </row>
    <row r="414">
      <c r="F414" s="11" t="n"/>
      <c r="N414" s="7">
        <f>IF($D414="","",M414*X414/100)</f>
        <v/>
      </c>
      <c r="O414" s="7" t="n"/>
      <c r="U414" s="7" t="n"/>
      <c r="V414" s="7" t="n"/>
      <c r="W414" s="7">
        <f>IF($D414="","",V414*AB414/100)</f>
        <v/>
      </c>
      <c r="X414" s="7">
        <f>IF($D414="","",V414-W414)</f>
        <v/>
      </c>
      <c r="Y414" s="7">
        <f>IF($D414="","",X414-N414)</f>
        <v/>
      </c>
      <c r="AB414">
        <f>IF($D414="","",IF($AN414=1,Settings!$C$8,IF($AM414=1,Settings!$C$6,Settings!$C$7))*100)</f>
        <v/>
      </c>
      <c r="AF414" s="7" t="n"/>
      <c r="AI414" s="11" t="n"/>
      <c r="AK414">
        <f>IF($D414="","",IF(COUNTIF($D$2:$D414,$D414)=1,1,0))</f>
        <v/>
      </c>
      <c r="AL414">
        <f>IF($AK414=1,SUMPRODUCT(--($AO$2:$AO$1601&lt;$AO414))+1,"")</f>
        <v/>
      </c>
      <c r="AM414">
        <f>IF($D414="","",IF(OR($R414=TRUE(),$R414="TRUE"),1,0))</f>
        <v/>
      </c>
      <c r="AN414">
        <f>IF($D414="","",IF($AA414="Yes",1,0))</f>
        <v/>
      </c>
      <c r="AO414">
        <f>IF($AK414=1,IFERROR(IF(VALUE($D414)&lt;100000000,VALUE($D414),1000000000),IFERROR(IF(VALUE(MID($D414,2,20))&lt;100000000,VALUE(MID($D414,2,20)),1000000000),1000000000))+ROW()/100000,"")</f>
        <v/>
      </c>
    </row>
    <row r="415">
      <c r="F415" s="11" t="n"/>
      <c r="N415" s="7">
        <f>IF($D415="","",M415*X415/100)</f>
        <v/>
      </c>
      <c r="O415" s="7" t="n"/>
      <c r="U415" s="7" t="n"/>
      <c r="V415" s="7" t="n"/>
      <c r="W415" s="7">
        <f>IF($D415="","",V415*AB415/100)</f>
        <v/>
      </c>
      <c r="X415" s="7">
        <f>IF($D415="","",V415-W415)</f>
        <v/>
      </c>
      <c r="Y415" s="7">
        <f>IF($D415="","",X415-N415)</f>
        <v/>
      </c>
      <c r="AB415">
        <f>IF($D415="","",IF($AN415=1,Settings!$C$8,IF($AM415=1,Settings!$C$6,Settings!$C$7))*100)</f>
        <v/>
      </c>
      <c r="AF415" s="7" t="n"/>
      <c r="AI415" s="11" t="n"/>
      <c r="AK415">
        <f>IF($D415="","",IF(COUNTIF($D$2:$D415,$D415)=1,1,0))</f>
        <v/>
      </c>
      <c r="AL415">
        <f>IF($AK415=1,SUMPRODUCT(--($AO$2:$AO$1601&lt;$AO415))+1,"")</f>
        <v/>
      </c>
      <c r="AM415">
        <f>IF($D415="","",IF(OR($R415=TRUE(),$R415="TRUE"),1,0))</f>
        <v/>
      </c>
      <c r="AN415">
        <f>IF($D415="","",IF($AA415="Yes",1,0))</f>
        <v/>
      </c>
      <c r="AO415">
        <f>IF($AK415=1,IFERROR(IF(VALUE($D415)&lt;100000000,VALUE($D415),1000000000),IFERROR(IF(VALUE(MID($D415,2,20))&lt;100000000,VALUE(MID($D415,2,20)),1000000000),1000000000))+ROW()/100000,"")</f>
        <v/>
      </c>
    </row>
    <row r="416">
      <c r="F416" s="11" t="n"/>
      <c r="N416" s="7">
        <f>IF($D416="","",M416*X416/100)</f>
        <v/>
      </c>
      <c r="O416" s="7" t="n"/>
      <c r="U416" s="7" t="n"/>
      <c r="V416" s="7" t="n"/>
      <c r="W416" s="7">
        <f>IF($D416="","",V416*AB416/100)</f>
        <v/>
      </c>
      <c r="X416" s="7">
        <f>IF($D416="","",V416-W416)</f>
        <v/>
      </c>
      <c r="Y416" s="7">
        <f>IF($D416="","",X416-N416)</f>
        <v/>
      </c>
      <c r="AB416">
        <f>IF($D416="","",IF($AN416=1,Settings!$C$8,IF($AM416=1,Settings!$C$6,Settings!$C$7))*100)</f>
        <v/>
      </c>
      <c r="AF416" s="7" t="n"/>
      <c r="AI416" s="11" t="n"/>
      <c r="AK416">
        <f>IF($D416="","",IF(COUNTIF($D$2:$D416,$D416)=1,1,0))</f>
        <v/>
      </c>
      <c r="AL416">
        <f>IF($AK416=1,SUMPRODUCT(--($AO$2:$AO$1601&lt;$AO416))+1,"")</f>
        <v/>
      </c>
      <c r="AM416">
        <f>IF($D416="","",IF(OR($R416=TRUE(),$R416="TRUE"),1,0))</f>
        <v/>
      </c>
      <c r="AN416">
        <f>IF($D416="","",IF($AA416="Yes",1,0))</f>
        <v/>
      </c>
      <c r="AO416">
        <f>IF($AK416=1,IFERROR(IF(VALUE($D416)&lt;100000000,VALUE($D416),1000000000),IFERROR(IF(VALUE(MID($D416,2,20))&lt;100000000,VALUE(MID($D416,2,20)),1000000000),1000000000))+ROW()/100000,"")</f>
        <v/>
      </c>
    </row>
    <row r="417">
      <c r="F417" s="11" t="n"/>
      <c r="N417" s="7">
        <f>IF($D417="","",M417*X417/100)</f>
        <v/>
      </c>
      <c r="O417" s="7" t="n"/>
      <c r="U417" s="7" t="n"/>
      <c r="V417" s="7" t="n"/>
      <c r="W417" s="7">
        <f>IF($D417="","",V417*AB417/100)</f>
        <v/>
      </c>
      <c r="X417" s="7">
        <f>IF($D417="","",V417-W417)</f>
        <v/>
      </c>
      <c r="Y417" s="7">
        <f>IF($D417="","",X417-N417)</f>
        <v/>
      </c>
      <c r="AB417">
        <f>IF($D417="","",IF($AN417=1,Settings!$C$8,IF($AM417=1,Settings!$C$6,Settings!$C$7))*100)</f>
        <v/>
      </c>
      <c r="AF417" s="7" t="n"/>
      <c r="AI417" s="11" t="n"/>
      <c r="AK417">
        <f>IF($D417="","",IF(COUNTIF($D$2:$D417,$D417)=1,1,0))</f>
        <v/>
      </c>
      <c r="AL417">
        <f>IF($AK417=1,SUMPRODUCT(--($AO$2:$AO$1601&lt;$AO417))+1,"")</f>
        <v/>
      </c>
      <c r="AM417">
        <f>IF($D417="","",IF(OR($R417=TRUE(),$R417="TRUE"),1,0))</f>
        <v/>
      </c>
      <c r="AN417">
        <f>IF($D417="","",IF($AA417="Yes",1,0))</f>
        <v/>
      </c>
      <c r="AO417">
        <f>IF($AK417=1,IFERROR(IF(VALUE($D417)&lt;100000000,VALUE($D417),1000000000),IFERROR(IF(VALUE(MID($D417,2,20))&lt;100000000,VALUE(MID($D417,2,20)),1000000000),1000000000))+ROW()/100000,"")</f>
        <v/>
      </c>
    </row>
    <row r="418">
      <c r="F418" s="11" t="n"/>
      <c r="N418" s="7">
        <f>IF($D418="","",M418*X418/100)</f>
        <v/>
      </c>
      <c r="O418" s="7" t="n"/>
      <c r="U418" s="7" t="n"/>
      <c r="V418" s="7" t="n"/>
      <c r="W418" s="7">
        <f>IF($D418="","",V418*AB418/100)</f>
        <v/>
      </c>
      <c r="X418" s="7">
        <f>IF($D418="","",V418-W418)</f>
        <v/>
      </c>
      <c r="Y418" s="7">
        <f>IF($D418="","",X418-N418)</f>
        <v/>
      </c>
      <c r="AB418">
        <f>IF($D418="","",IF($AN418=1,Settings!$C$8,IF($AM418=1,Settings!$C$6,Settings!$C$7))*100)</f>
        <v/>
      </c>
      <c r="AF418" s="7" t="n"/>
      <c r="AI418" s="11" t="n"/>
      <c r="AK418">
        <f>IF($D418="","",IF(COUNTIF($D$2:$D418,$D418)=1,1,0))</f>
        <v/>
      </c>
      <c r="AL418">
        <f>IF($AK418=1,SUMPRODUCT(--($AO$2:$AO$1601&lt;$AO418))+1,"")</f>
        <v/>
      </c>
      <c r="AM418">
        <f>IF($D418="","",IF(OR($R418=TRUE(),$R418="TRUE"),1,0))</f>
        <v/>
      </c>
      <c r="AN418">
        <f>IF($D418="","",IF($AA418="Yes",1,0))</f>
        <v/>
      </c>
      <c r="AO418">
        <f>IF($AK418=1,IFERROR(IF(VALUE($D418)&lt;100000000,VALUE($D418),1000000000),IFERROR(IF(VALUE(MID($D418,2,20))&lt;100000000,VALUE(MID($D418,2,20)),1000000000),1000000000))+ROW()/100000,"")</f>
        <v/>
      </c>
    </row>
    <row r="419">
      <c r="F419" s="11" t="n"/>
      <c r="N419" s="7">
        <f>IF($D419="","",M419*X419/100)</f>
        <v/>
      </c>
      <c r="O419" s="7" t="n"/>
      <c r="U419" s="7" t="n"/>
      <c r="V419" s="7" t="n"/>
      <c r="W419" s="7">
        <f>IF($D419="","",V419*AB419/100)</f>
        <v/>
      </c>
      <c r="X419" s="7">
        <f>IF($D419="","",V419-W419)</f>
        <v/>
      </c>
      <c r="Y419" s="7">
        <f>IF($D419="","",X419-N419)</f>
        <v/>
      </c>
      <c r="AB419">
        <f>IF($D419="","",IF($AN419=1,Settings!$C$8,IF($AM419=1,Settings!$C$6,Settings!$C$7))*100)</f>
        <v/>
      </c>
      <c r="AF419" s="7" t="n"/>
      <c r="AI419" s="11" t="n"/>
      <c r="AK419">
        <f>IF($D419="","",IF(COUNTIF($D$2:$D419,$D419)=1,1,0))</f>
        <v/>
      </c>
      <c r="AL419">
        <f>IF($AK419=1,SUMPRODUCT(--($AO$2:$AO$1601&lt;$AO419))+1,"")</f>
        <v/>
      </c>
      <c r="AM419">
        <f>IF($D419="","",IF(OR($R419=TRUE(),$R419="TRUE"),1,0))</f>
        <v/>
      </c>
      <c r="AN419">
        <f>IF($D419="","",IF($AA419="Yes",1,0))</f>
        <v/>
      </c>
      <c r="AO419">
        <f>IF($AK419=1,IFERROR(IF(VALUE($D419)&lt;100000000,VALUE($D419),1000000000),IFERROR(IF(VALUE(MID($D419,2,20))&lt;100000000,VALUE(MID($D419,2,20)),1000000000),1000000000))+ROW()/100000,"")</f>
        <v/>
      </c>
    </row>
    <row r="420">
      <c r="F420" s="11" t="n"/>
      <c r="N420" s="7">
        <f>IF($D420="","",M420*X420/100)</f>
        <v/>
      </c>
      <c r="O420" s="7" t="n"/>
      <c r="U420" s="7" t="n"/>
      <c r="V420" s="7" t="n"/>
      <c r="W420" s="7">
        <f>IF($D420="","",V420*AB420/100)</f>
        <v/>
      </c>
      <c r="X420" s="7">
        <f>IF($D420="","",V420-W420)</f>
        <v/>
      </c>
      <c r="Y420" s="7">
        <f>IF($D420="","",X420-N420)</f>
        <v/>
      </c>
      <c r="AB420">
        <f>IF($D420="","",IF($AN420=1,Settings!$C$8,IF($AM420=1,Settings!$C$6,Settings!$C$7))*100)</f>
        <v/>
      </c>
      <c r="AF420" s="7" t="n"/>
      <c r="AI420" s="11" t="n"/>
      <c r="AK420">
        <f>IF($D420="","",IF(COUNTIF($D$2:$D420,$D420)=1,1,0))</f>
        <v/>
      </c>
      <c r="AL420">
        <f>IF($AK420=1,SUMPRODUCT(--($AO$2:$AO$1601&lt;$AO420))+1,"")</f>
        <v/>
      </c>
      <c r="AM420">
        <f>IF($D420="","",IF(OR($R420=TRUE(),$R420="TRUE"),1,0))</f>
        <v/>
      </c>
      <c r="AN420">
        <f>IF($D420="","",IF($AA420="Yes",1,0))</f>
        <v/>
      </c>
      <c r="AO420">
        <f>IF($AK420=1,IFERROR(IF(VALUE($D420)&lt;100000000,VALUE($D420),1000000000),IFERROR(IF(VALUE(MID($D420,2,20))&lt;100000000,VALUE(MID($D420,2,20)),1000000000),1000000000))+ROW()/100000,"")</f>
        <v/>
      </c>
    </row>
    <row r="421">
      <c r="F421" s="11" t="n"/>
      <c r="N421" s="7">
        <f>IF($D421="","",M421*X421/100)</f>
        <v/>
      </c>
      <c r="O421" s="7" t="n"/>
      <c r="U421" s="7" t="n"/>
      <c r="V421" s="7" t="n"/>
      <c r="W421" s="7">
        <f>IF($D421="","",V421*AB421/100)</f>
        <v/>
      </c>
      <c r="X421" s="7">
        <f>IF($D421="","",V421-W421)</f>
        <v/>
      </c>
      <c r="Y421" s="7">
        <f>IF($D421="","",X421-N421)</f>
        <v/>
      </c>
      <c r="AB421">
        <f>IF($D421="","",IF($AN421=1,Settings!$C$8,IF($AM421=1,Settings!$C$6,Settings!$C$7))*100)</f>
        <v/>
      </c>
      <c r="AF421" s="7" t="n"/>
      <c r="AI421" s="11" t="n"/>
      <c r="AK421">
        <f>IF($D421="","",IF(COUNTIF($D$2:$D421,$D421)=1,1,0))</f>
        <v/>
      </c>
      <c r="AL421">
        <f>IF($AK421=1,SUMPRODUCT(--($AO$2:$AO$1601&lt;$AO421))+1,"")</f>
        <v/>
      </c>
      <c r="AM421">
        <f>IF($D421="","",IF(OR($R421=TRUE(),$R421="TRUE"),1,0))</f>
        <v/>
      </c>
      <c r="AN421">
        <f>IF($D421="","",IF($AA421="Yes",1,0))</f>
        <v/>
      </c>
      <c r="AO421">
        <f>IF($AK421=1,IFERROR(IF(VALUE($D421)&lt;100000000,VALUE($D421),1000000000),IFERROR(IF(VALUE(MID($D421,2,20))&lt;100000000,VALUE(MID($D421,2,20)),1000000000),1000000000))+ROW()/100000,"")</f>
        <v/>
      </c>
    </row>
    <row r="422">
      <c r="F422" s="11" t="n"/>
      <c r="N422" s="7">
        <f>IF($D422="","",M422*X422/100)</f>
        <v/>
      </c>
      <c r="O422" s="7" t="n"/>
      <c r="U422" s="7" t="n"/>
      <c r="V422" s="7" t="n"/>
      <c r="W422" s="7">
        <f>IF($D422="","",V422*AB422/100)</f>
        <v/>
      </c>
      <c r="X422" s="7">
        <f>IF($D422="","",V422-W422)</f>
        <v/>
      </c>
      <c r="Y422" s="7">
        <f>IF($D422="","",X422-N422)</f>
        <v/>
      </c>
      <c r="AB422">
        <f>IF($D422="","",IF($AN422=1,Settings!$C$8,IF($AM422=1,Settings!$C$6,Settings!$C$7))*100)</f>
        <v/>
      </c>
      <c r="AF422" s="7" t="n"/>
      <c r="AI422" s="11" t="n"/>
      <c r="AK422">
        <f>IF($D422="","",IF(COUNTIF($D$2:$D422,$D422)=1,1,0))</f>
        <v/>
      </c>
      <c r="AL422">
        <f>IF($AK422=1,SUMPRODUCT(--($AO$2:$AO$1601&lt;$AO422))+1,"")</f>
        <v/>
      </c>
      <c r="AM422">
        <f>IF($D422="","",IF(OR($R422=TRUE(),$R422="TRUE"),1,0))</f>
        <v/>
      </c>
      <c r="AN422">
        <f>IF($D422="","",IF($AA422="Yes",1,0))</f>
        <v/>
      </c>
      <c r="AO422">
        <f>IF($AK422=1,IFERROR(IF(VALUE($D422)&lt;100000000,VALUE($D422),1000000000),IFERROR(IF(VALUE(MID($D422,2,20))&lt;100000000,VALUE(MID($D422,2,20)),1000000000),1000000000))+ROW()/100000,"")</f>
        <v/>
      </c>
    </row>
    <row r="423">
      <c r="F423" s="11" t="n"/>
      <c r="N423" s="7">
        <f>IF($D423="","",M423*X423/100)</f>
        <v/>
      </c>
      <c r="O423" s="7" t="n"/>
      <c r="U423" s="7" t="n"/>
      <c r="V423" s="7" t="n"/>
      <c r="W423" s="7">
        <f>IF($D423="","",V423*AB423/100)</f>
        <v/>
      </c>
      <c r="X423" s="7">
        <f>IF($D423="","",V423-W423)</f>
        <v/>
      </c>
      <c r="Y423" s="7">
        <f>IF($D423="","",X423-N423)</f>
        <v/>
      </c>
      <c r="AB423">
        <f>IF($D423="","",IF($AN423=1,Settings!$C$8,IF($AM423=1,Settings!$C$6,Settings!$C$7))*100)</f>
        <v/>
      </c>
      <c r="AF423" s="7" t="n"/>
      <c r="AI423" s="11" t="n"/>
      <c r="AK423">
        <f>IF($D423="","",IF(COUNTIF($D$2:$D423,$D423)=1,1,0))</f>
        <v/>
      </c>
      <c r="AL423">
        <f>IF($AK423=1,SUMPRODUCT(--($AO$2:$AO$1601&lt;$AO423))+1,"")</f>
        <v/>
      </c>
      <c r="AM423">
        <f>IF($D423="","",IF(OR($R423=TRUE(),$R423="TRUE"),1,0))</f>
        <v/>
      </c>
      <c r="AN423">
        <f>IF($D423="","",IF($AA423="Yes",1,0))</f>
        <v/>
      </c>
      <c r="AO423">
        <f>IF($AK423=1,IFERROR(IF(VALUE($D423)&lt;100000000,VALUE($D423),1000000000),IFERROR(IF(VALUE(MID($D423,2,20))&lt;100000000,VALUE(MID($D423,2,20)),1000000000),1000000000))+ROW()/100000,"")</f>
        <v/>
      </c>
    </row>
    <row r="424">
      <c r="F424" s="11" t="n"/>
      <c r="N424" s="7">
        <f>IF($D424="","",M424*X424/100)</f>
        <v/>
      </c>
      <c r="O424" s="7" t="n"/>
      <c r="U424" s="7" t="n"/>
      <c r="V424" s="7" t="n"/>
      <c r="W424" s="7">
        <f>IF($D424="","",V424*AB424/100)</f>
        <v/>
      </c>
      <c r="X424" s="7">
        <f>IF($D424="","",V424-W424)</f>
        <v/>
      </c>
      <c r="Y424" s="7">
        <f>IF($D424="","",X424-N424)</f>
        <v/>
      </c>
      <c r="AB424">
        <f>IF($D424="","",IF($AN424=1,Settings!$C$8,IF($AM424=1,Settings!$C$6,Settings!$C$7))*100)</f>
        <v/>
      </c>
      <c r="AF424" s="7" t="n"/>
      <c r="AI424" s="11" t="n"/>
      <c r="AK424">
        <f>IF($D424="","",IF(COUNTIF($D$2:$D424,$D424)=1,1,0))</f>
        <v/>
      </c>
      <c r="AL424">
        <f>IF($AK424=1,SUMPRODUCT(--($AO$2:$AO$1601&lt;$AO424))+1,"")</f>
        <v/>
      </c>
      <c r="AM424">
        <f>IF($D424="","",IF(OR($R424=TRUE(),$R424="TRUE"),1,0))</f>
        <v/>
      </c>
      <c r="AN424">
        <f>IF($D424="","",IF($AA424="Yes",1,0))</f>
        <v/>
      </c>
      <c r="AO424">
        <f>IF($AK424=1,IFERROR(IF(VALUE($D424)&lt;100000000,VALUE($D424),1000000000),IFERROR(IF(VALUE(MID($D424,2,20))&lt;100000000,VALUE(MID($D424,2,20)),1000000000),1000000000))+ROW()/100000,"")</f>
        <v/>
      </c>
    </row>
    <row r="425">
      <c r="F425" s="11" t="n"/>
      <c r="N425" s="7">
        <f>IF($D425="","",M425*X425/100)</f>
        <v/>
      </c>
      <c r="O425" s="7" t="n"/>
      <c r="U425" s="7" t="n"/>
      <c r="V425" s="7" t="n"/>
      <c r="W425" s="7">
        <f>IF($D425="","",V425*AB425/100)</f>
        <v/>
      </c>
      <c r="X425" s="7">
        <f>IF($D425="","",V425-W425)</f>
        <v/>
      </c>
      <c r="Y425" s="7">
        <f>IF($D425="","",X425-N425)</f>
        <v/>
      </c>
      <c r="AB425">
        <f>IF($D425="","",IF($AN425=1,Settings!$C$8,IF($AM425=1,Settings!$C$6,Settings!$C$7))*100)</f>
        <v/>
      </c>
      <c r="AF425" s="7" t="n"/>
      <c r="AI425" s="11" t="n"/>
      <c r="AK425">
        <f>IF($D425="","",IF(COUNTIF($D$2:$D425,$D425)=1,1,0))</f>
        <v/>
      </c>
      <c r="AL425">
        <f>IF($AK425=1,SUMPRODUCT(--($AO$2:$AO$1601&lt;$AO425))+1,"")</f>
        <v/>
      </c>
      <c r="AM425">
        <f>IF($D425="","",IF(OR($R425=TRUE(),$R425="TRUE"),1,0))</f>
        <v/>
      </c>
      <c r="AN425">
        <f>IF($D425="","",IF($AA425="Yes",1,0))</f>
        <v/>
      </c>
      <c r="AO425">
        <f>IF($AK425=1,IFERROR(IF(VALUE($D425)&lt;100000000,VALUE($D425),1000000000),IFERROR(IF(VALUE(MID($D425,2,20))&lt;100000000,VALUE(MID($D425,2,20)),1000000000),1000000000))+ROW()/100000,"")</f>
        <v/>
      </c>
    </row>
    <row r="426">
      <c r="F426" s="11" t="n"/>
      <c r="N426" s="7">
        <f>IF($D426="","",M426*X426/100)</f>
        <v/>
      </c>
      <c r="O426" s="7" t="n"/>
      <c r="U426" s="7" t="n"/>
      <c r="V426" s="7" t="n"/>
      <c r="W426" s="7">
        <f>IF($D426="","",V426*AB426/100)</f>
        <v/>
      </c>
      <c r="X426" s="7">
        <f>IF($D426="","",V426-W426)</f>
        <v/>
      </c>
      <c r="Y426" s="7">
        <f>IF($D426="","",X426-N426)</f>
        <v/>
      </c>
      <c r="AB426">
        <f>IF($D426="","",IF($AN426=1,Settings!$C$8,IF($AM426=1,Settings!$C$6,Settings!$C$7))*100)</f>
        <v/>
      </c>
      <c r="AF426" s="7" t="n"/>
      <c r="AI426" s="11" t="n"/>
      <c r="AK426">
        <f>IF($D426="","",IF(COUNTIF($D$2:$D426,$D426)=1,1,0))</f>
        <v/>
      </c>
      <c r="AL426">
        <f>IF($AK426=1,SUMPRODUCT(--($AO$2:$AO$1601&lt;$AO426))+1,"")</f>
        <v/>
      </c>
      <c r="AM426">
        <f>IF($D426="","",IF(OR($R426=TRUE(),$R426="TRUE"),1,0))</f>
        <v/>
      </c>
      <c r="AN426">
        <f>IF($D426="","",IF($AA426="Yes",1,0))</f>
        <v/>
      </c>
      <c r="AO426">
        <f>IF($AK426=1,IFERROR(IF(VALUE($D426)&lt;100000000,VALUE($D426),1000000000),IFERROR(IF(VALUE(MID($D426,2,20))&lt;100000000,VALUE(MID($D426,2,20)),1000000000),1000000000))+ROW()/100000,"")</f>
        <v/>
      </c>
    </row>
    <row r="427">
      <c r="F427" s="11" t="n"/>
      <c r="N427" s="7">
        <f>IF($D427="","",M427*X427/100)</f>
        <v/>
      </c>
      <c r="O427" s="7" t="n"/>
      <c r="U427" s="7" t="n"/>
      <c r="V427" s="7" t="n"/>
      <c r="W427" s="7">
        <f>IF($D427="","",V427*AB427/100)</f>
        <v/>
      </c>
      <c r="X427" s="7">
        <f>IF($D427="","",V427-W427)</f>
        <v/>
      </c>
      <c r="Y427" s="7">
        <f>IF($D427="","",X427-N427)</f>
        <v/>
      </c>
      <c r="AB427">
        <f>IF($D427="","",IF($AN427=1,Settings!$C$8,IF($AM427=1,Settings!$C$6,Settings!$C$7))*100)</f>
        <v/>
      </c>
      <c r="AF427" s="7" t="n"/>
      <c r="AI427" s="11" t="n"/>
      <c r="AK427">
        <f>IF($D427="","",IF(COUNTIF($D$2:$D427,$D427)=1,1,0))</f>
        <v/>
      </c>
      <c r="AL427">
        <f>IF($AK427=1,SUMPRODUCT(--($AO$2:$AO$1601&lt;$AO427))+1,"")</f>
        <v/>
      </c>
      <c r="AM427">
        <f>IF($D427="","",IF(OR($R427=TRUE(),$R427="TRUE"),1,0))</f>
        <v/>
      </c>
      <c r="AN427">
        <f>IF($D427="","",IF($AA427="Yes",1,0))</f>
        <v/>
      </c>
      <c r="AO427">
        <f>IF($AK427=1,IFERROR(IF(VALUE($D427)&lt;100000000,VALUE($D427),1000000000),IFERROR(IF(VALUE(MID($D427,2,20))&lt;100000000,VALUE(MID($D427,2,20)),1000000000),1000000000))+ROW()/100000,"")</f>
        <v/>
      </c>
    </row>
    <row r="428">
      <c r="F428" s="11" t="n"/>
      <c r="N428" s="7">
        <f>IF($D428="","",M428*X428/100)</f>
        <v/>
      </c>
      <c r="O428" s="7" t="n"/>
      <c r="U428" s="7" t="n"/>
      <c r="V428" s="7" t="n"/>
      <c r="W428" s="7">
        <f>IF($D428="","",V428*AB428/100)</f>
        <v/>
      </c>
      <c r="X428" s="7">
        <f>IF($D428="","",V428-W428)</f>
        <v/>
      </c>
      <c r="Y428" s="7">
        <f>IF($D428="","",X428-N428)</f>
        <v/>
      </c>
      <c r="AB428">
        <f>IF($D428="","",IF($AN428=1,Settings!$C$8,IF($AM428=1,Settings!$C$6,Settings!$C$7))*100)</f>
        <v/>
      </c>
      <c r="AF428" s="7" t="n"/>
      <c r="AI428" s="11" t="n"/>
      <c r="AK428">
        <f>IF($D428="","",IF(COUNTIF($D$2:$D428,$D428)=1,1,0))</f>
        <v/>
      </c>
      <c r="AL428">
        <f>IF($AK428=1,SUMPRODUCT(--($AO$2:$AO$1601&lt;$AO428))+1,"")</f>
        <v/>
      </c>
      <c r="AM428">
        <f>IF($D428="","",IF(OR($R428=TRUE(),$R428="TRUE"),1,0))</f>
        <v/>
      </c>
      <c r="AN428">
        <f>IF($D428="","",IF($AA428="Yes",1,0))</f>
        <v/>
      </c>
      <c r="AO428">
        <f>IF($AK428=1,IFERROR(IF(VALUE($D428)&lt;100000000,VALUE($D428),1000000000),IFERROR(IF(VALUE(MID($D428,2,20))&lt;100000000,VALUE(MID($D428,2,20)),1000000000),1000000000))+ROW()/100000,"")</f>
        <v/>
      </c>
    </row>
    <row r="429">
      <c r="F429" s="11" t="n"/>
      <c r="N429" s="7">
        <f>IF($D429="","",M429*X429/100)</f>
        <v/>
      </c>
      <c r="O429" s="7" t="n"/>
      <c r="U429" s="7" t="n"/>
      <c r="V429" s="7" t="n"/>
      <c r="W429" s="7">
        <f>IF($D429="","",V429*AB429/100)</f>
        <v/>
      </c>
      <c r="X429" s="7">
        <f>IF($D429="","",V429-W429)</f>
        <v/>
      </c>
      <c r="Y429" s="7">
        <f>IF($D429="","",X429-N429)</f>
        <v/>
      </c>
      <c r="AB429">
        <f>IF($D429="","",IF($AN429=1,Settings!$C$8,IF($AM429=1,Settings!$C$6,Settings!$C$7))*100)</f>
        <v/>
      </c>
      <c r="AF429" s="7" t="n"/>
      <c r="AI429" s="11" t="n"/>
      <c r="AK429">
        <f>IF($D429="","",IF(COUNTIF($D$2:$D429,$D429)=1,1,0))</f>
        <v/>
      </c>
      <c r="AL429">
        <f>IF($AK429=1,SUMPRODUCT(--($AO$2:$AO$1601&lt;$AO429))+1,"")</f>
        <v/>
      </c>
      <c r="AM429">
        <f>IF($D429="","",IF(OR($R429=TRUE(),$R429="TRUE"),1,0))</f>
        <v/>
      </c>
      <c r="AN429">
        <f>IF($D429="","",IF($AA429="Yes",1,0))</f>
        <v/>
      </c>
      <c r="AO429">
        <f>IF($AK429=1,IFERROR(IF(VALUE($D429)&lt;100000000,VALUE($D429),1000000000),IFERROR(IF(VALUE(MID($D429,2,20))&lt;100000000,VALUE(MID($D429,2,20)),1000000000),1000000000))+ROW()/100000,"")</f>
        <v/>
      </c>
    </row>
    <row r="430">
      <c r="F430" s="11" t="n"/>
      <c r="N430" s="7">
        <f>IF($D430="","",M430*X430/100)</f>
        <v/>
      </c>
      <c r="O430" s="7" t="n"/>
      <c r="U430" s="7" t="n"/>
      <c r="V430" s="7" t="n"/>
      <c r="W430" s="7">
        <f>IF($D430="","",V430*AB430/100)</f>
        <v/>
      </c>
      <c r="X430" s="7">
        <f>IF($D430="","",V430-W430)</f>
        <v/>
      </c>
      <c r="Y430" s="7">
        <f>IF($D430="","",X430-N430)</f>
        <v/>
      </c>
      <c r="AB430">
        <f>IF($D430="","",IF($AN430=1,Settings!$C$8,IF($AM430=1,Settings!$C$6,Settings!$C$7))*100)</f>
        <v/>
      </c>
      <c r="AF430" s="7" t="n"/>
      <c r="AI430" s="11" t="n"/>
      <c r="AK430">
        <f>IF($D430="","",IF(COUNTIF($D$2:$D430,$D430)=1,1,0))</f>
        <v/>
      </c>
      <c r="AL430">
        <f>IF($AK430=1,SUMPRODUCT(--($AO$2:$AO$1601&lt;$AO430))+1,"")</f>
        <v/>
      </c>
      <c r="AM430">
        <f>IF($D430="","",IF(OR($R430=TRUE(),$R430="TRUE"),1,0))</f>
        <v/>
      </c>
      <c r="AN430">
        <f>IF($D430="","",IF($AA430="Yes",1,0))</f>
        <v/>
      </c>
      <c r="AO430">
        <f>IF($AK430=1,IFERROR(IF(VALUE($D430)&lt;100000000,VALUE($D430),1000000000),IFERROR(IF(VALUE(MID($D430,2,20))&lt;100000000,VALUE(MID($D430,2,20)),1000000000),1000000000))+ROW()/100000,"")</f>
        <v/>
      </c>
    </row>
    <row r="431">
      <c r="F431" s="11" t="n"/>
      <c r="N431" s="7">
        <f>IF($D431="","",M431*X431/100)</f>
        <v/>
      </c>
      <c r="O431" s="7" t="n"/>
      <c r="U431" s="7" t="n"/>
      <c r="V431" s="7" t="n"/>
      <c r="W431" s="7">
        <f>IF($D431="","",V431*AB431/100)</f>
        <v/>
      </c>
      <c r="X431" s="7">
        <f>IF($D431="","",V431-W431)</f>
        <v/>
      </c>
      <c r="Y431" s="7">
        <f>IF($D431="","",X431-N431)</f>
        <v/>
      </c>
      <c r="AB431">
        <f>IF($D431="","",IF($AN431=1,Settings!$C$8,IF($AM431=1,Settings!$C$6,Settings!$C$7))*100)</f>
        <v/>
      </c>
      <c r="AF431" s="7" t="n"/>
      <c r="AI431" s="11" t="n"/>
      <c r="AK431">
        <f>IF($D431="","",IF(COUNTIF($D$2:$D431,$D431)=1,1,0))</f>
        <v/>
      </c>
      <c r="AL431">
        <f>IF($AK431=1,SUMPRODUCT(--($AO$2:$AO$1601&lt;$AO431))+1,"")</f>
        <v/>
      </c>
      <c r="AM431">
        <f>IF($D431="","",IF(OR($R431=TRUE(),$R431="TRUE"),1,0))</f>
        <v/>
      </c>
      <c r="AN431">
        <f>IF($D431="","",IF($AA431="Yes",1,0))</f>
        <v/>
      </c>
      <c r="AO431">
        <f>IF($AK431=1,IFERROR(IF(VALUE($D431)&lt;100000000,VALUE($D431),1000000000),IFERROR(IF(VALUE(MID($D431,2,20))&lt;100000000,VALUE(MID($D431,2,20)),1000000000),1000000000))+ROW()/100000,"")</f>
        <v/>
      </c>
    </row>
    <row r="432">
      <c r="F432" s="11" t="n"/>
      <c r="N432" s="7">
        <f>IF($D432="","",M432*X432/100)</f>
        <v/>
      </c>
      <c r="O432" s="7" t="n"/>
      <c r="U432" s="7" t="n"/>
      <c r="V432" s="7" t="n"/>
      <c r="W432" s="7">
        <f>IF($D432="","",V432*AB432/100)</f>
        <v/>
      </c>
      <c r="X432" s="7">
        <f>IF($D432="","",V432-W432)</f>
        <v/>
      </c>
      <c r="Y432" s="7">
        <f>IF($D432="","",X432-N432)</f>
        <v/>
      </c>
      <c r="AB432">
        <f>IF($D432="","",IF($AN432=1,Settings!$C$8,IF($AM432=1,Settings!$C$6,Settings!$C$7))*100)</f>
        <v/>
      </c>
      <c r="AF432" s="7" t="n"/>
      <c r="AI432" s="11" t="n"/>
      <c r="AK432">
        <f>IF($D432="","",IF(COUNTIF($D$2:$D432,$D432)=1,1,0))</f>
        <v/>
      </c>
      <c r="AL432">
        <f>IF($AK432=1,SUMPRODUCT(--($AO$2:$AO$1601&lt;$AO432))+1,"")</f>
        <v/>
      </c>
      <c r="AM432">
        <f>IF($D432="","",IF(OR($R432=TRUE(),$R432="TRUE"),1,0))</f>
        <v/>
      </c>
      <c r="AN432">
        <f>IF($D432="","",IF($AA432="Yes",1,0))</f>
        <v/>
      </c>
      <c r="AO432">
        <f>IF($AK432=1,IFERROR(IF(VALUE($D432)&lt;100000000,VALUE($D432),1000000000),IFERROR(IF(VALUE(MID($D432,2,20))&lt;100000000,VALUE(MID($D432,2,20)),1000000000),1000000000))+ROW()/100000,"")</f>
        <v/>
      </c>
    </row>
    <row r="433">
      <c r="F433" s="11" t="n"/>
      <c r="N433" s="7">
        <f>IF($D433="","",M433*X433/100)</f>
        <v/>
      </c>
      <c r="O433" s="7" t="n"/>
      <c r="U433" s="7" t="n"/>
      <c r="V433" s="7" t="n"/>
      <c r="W433" s="7">
        <f>IF($D433="","",V433*AB433/100)</f>
        <v/>
      </c>
      <c r="X433" s="7">
        <f>IF($D433="","",V433-W433)</f>
        <v/>
      </c>
      <c r="Y433" s="7">
        <f>IF($D433="","",X433-N433)</f>
        <v/>
      </c>
      <c r="AB433">
        <f>IF($D433="","",IF($AN433=1,Settings!$C$8,IF($AM433=1,Settings!$C$6,Settings!$C$7))*100)</f>
        <v/>
      </c>
      <c r="AF433" s="7" t="n"/>
      <c r="AI433" s="11" t="n"/>
      <c r="AK433">
        <f>IF($D433="","",IF(COUNTIF($D$2:$D433,$D433)=1,1,0))</f>
        <v/>
      </c>
      <c r="AL433">
        <f>IF($AK433=1,SUMPRODUCT(--($AO$2:$AO$1601&lt;$AO433))+1,"")</f>
        <v/>
      </c>
      <c r="AM433">
        <f>IF($D433="","",IF(OR($R433=TRUE(),$R433="TRUE"),1,0))</f>
        <v/>
      </c>
      <c r="AN433">
        <f>IF($D433="","",IF($AA433="Yes",1,0))</f>
        <v/>
      </c>
      <c r="AO433">
        <f>IF($AK433=1,IFERROR(IF(VALUE($D433)&lt;100000000,VALUE($D433),1000000000),IFERROR(IF(VALUE(MID($D433,2,20))&lt;100000000,VALUE(MID($D433,2,20)),1000000000),1000000000))+ROW()/100000,"")</f>
        <v/>
      </c>
    </row>
    <row r="434">
      <c r="F434" s="11" t="n"/>
      <c r="N434" s="7">
        <f>IF($D434="","",M434*X434/100)</f>
        <v/>
      </c>
      <c r="O434" s="7" t="n"/>
      <c r="U434" s="7" t="n"/>
      <c r="V434" s="7" t="n"/>
      <c r="W434" s="7">
        <f>IF($D434="","",V434*AB434/100)</f>
        <v/>
      </c>
      <c r="X434" s="7">
        <f>IF($D434="","",V434-W434)</f>
        <v/>
      </c>
      <c r="Y434" s="7">
        <f>IF($D434="","",X434-N434)</f>
        <v/>
      </c>
      <c r="AB434">
        <f>IF($D434="","",IF($AN434=1,Settings!$C$8,IF($AM434=1,Settings!$C$6,Settings!$C$7))*100)</f>
        <v/>
      </c>
      <c r="AF434" s="7" t="n"/>
      <c r="AI434" s="11" t="n"/>
      <c r="AK434">
        <f>IF($D434="","",IF(COUNTIF($D$2:$D434,$D434)=1,1,0))</f>
        <v/>
      </c>
      <c r="AL434">
        <f>IF($AK434=1,SUMPRODUCT(--($AO$2:$AO$1601&lt;$AO434))+1,"")</f>
        <v/>
      </c>
      <c r="AM434">
        <f>IF($D434="","",IF(OR($R434=TRUE(),$R434="TRUE"),1,0))</f>
        <v/>
      </c>
      <c r="AN434">
        <f>IF($D434="","",IF($AA434="Yes",1,0))</f>
        <v/>
      </c>
      <c r="AO434">
        <f>IF($AK434=1,IFERROR(IF(VALUE($D434)&lt;100000000,VALUE($D434),1000000000),IFERROR(IF(VALUE(MID($D434,2,20))&lt;100000000,VALUE(MID($D434,2,20)),1000000000),1000000000))+ROW()/100000,"")</f>
        <v/>
      </c>
    </row>
    <row r="435">
      <c r="F435" s="11" t="n"/>
      <c r="N435" s="7">
        <f>IF($D435="","",M435*X435/100)</f>
        <v/>
      </c>
      <c r="O435" s="7" t="n"/>
      <c r="U435" s="7" t="n"/>
      <c r="V435" s="7" t="n"/>
      <c r="W435" s="7">
        <f>IF($D435="","",V435*AB435/100)</f>
        <v/>
      </c>
      <c r="X435" s="7">
        <f>IF($D435="","",V435-W435)</f>
        <v/>
      </c>
      <c r="Y435" s="7">
        <f>IF($D435="","",X435-N435)</f>
        <v/>
      </c>
      <c r="AB435">
        <f>IF($D435="","",IF($AN435=1,Settings!$C$8,IF($AM435=1,Settings!$C$6,Settings!$C$7))*100)</f>
        <v/>
      </c>
      <c r="AF435" s="7" t="n"/>
      <c r="AI435" s="11" t="n"/>
      <c r="AK435">
        <f>IF($D435="","",IF(COUNTIF($D$2:$D435,$D435)=1,1,0))</f>
        <v/>
      </c>
      <c r="AL435">
        <f>IF($AK435=1,SUMPRODUCT(--($AO$2:$AO$1601&lt;$AO435))+1,"")</f>
        <v/>
      </c>
      <c r="AM435">
        <f>IF($D435="","",IF(OR($R435=TRUE(),$R435="TRUE"),1,0))</f>
        <v/>
      </c>
      <c r="AN435">
        <f>IF($D435="","",IF($AA435="Yes",1,0))</f>
        <v/>
      </c>
      <c r="AO435">
        <f>IF($AK435=1,IFERROR(IF(VALUE($D435)&lt;100000000,VALUE($D435),1000000000),IFERROR(IF(VALUE(MID($D435,2,20))&lt;100000000,VALUE(MID($D435,2,20)),1000000000),1000000000))+ROW()/100000,"")</f>
        <v/>
      </c>
    </row>
    <row r="436">
      <c r="F436" s="11" t="n"/>
      <c r="N436" s="7">
        <f>IF($D436="","",M436*X436/100)</f>
        <v/>
      </c>
      <c r="O436" s="7" t="n"/>
      <c r="U436" s="7" t="n"/>
      <c r="V436" s="7" t="n"/>
      <c r="W436" s="7">
        <f>IF($D436="","",V436*AB436/100)</f>
        <v/>
      </c>
      <c r="X436" s="7">
        <f>IF($D436="","",V436-W436)</f>
        <v/>
      </c>
      <c r="Y436" s="7">
        <f>IF($D436="","",X436-N436)</f>
        <v/>
      </c>
      <c r="AB436">
        <f>IF($D436="","",IF($AN436=1,Settings!$C$8,IF($AM436=1,Settings!$C$6,Settings!$C$7))*100)</f>
        <v/>
      </c>
      <c r="AF436" s="7" t="n"/>
      <c r="AI436" s="11" t="n"/>
      <c r="AK436">
        <f>IF($D436="","",IF(COUNTIF($D$2:$D436,$D436)=1,1,0))</f>
        <v/>
      </c>
      <c r="AL436">
        <f>IF($AK436=1,SUMPRODUCT(--($AO$2:$AO$1601&lt;$AO436))+1,"")</f>
        <v/>
      </c>
      <c r="AM436">
        <f>IF($D436="","",IF(OR($R436=TRUE(),$R436="TRUE"),1,0))</f>
        <v/>
      </c>
      <c r="AN436">
        <f>IF($D436="","",IF($AA436="Yes",1,0))</f>
        <v/>
      </c>
      <c r="AO436">
        <f>IF($AK436=1,IFERROR(IF(VALUE($D436)&lt;100000000,VALUE($D436),1000000000),IFERROR(IF(VALUE(MID($D436,2,20))&lt;100000000,VALUE(MID($D436,2,20)),1000000000),1000000000))+ROW()/100000,"")</f>
        <v/>
      </c>
    </row>
    <row r="437">
      <c r="F437" s="11" t="n"/>
      <c r="N437" s="7">
        <f>IF($D437="","",M437*X437/100)</f>
        <v/>
      </c>
      <c r="O437" s="7" t="n"/>
      <c r="U437" s="7" t="n"/>
      <c r="V437" s="7" t="n"/>
      <c r="W437" s="7">
        <f>IF($D437="","",V437*AB437/100)</f>
        <v/>
      </c>
      <c r="X437" s="7">
        <f>IF($D437="","",V437-W437)</f>
        <v/>
      </c>
      <c r="Y437" s="7">
        <f>IF($D437="","",X437-N437)</f>
        <v/>
      </c>
      <c r="AB437">
        <f>IF($D437="","",IF($AN437=1,Settings!$C$8,IF($AM437=1,Settings!$C$6,Settings!$C$7))*100)</f>
        <v/>
      </c>
      <c r="AF437" s="7" t="n"/>
      <c r="AI437" s="11" t="n"/>
      <c r="AK437">
        <f>IF($D437="","",IF(COUNTIF($D$2:$D437,$D437)=1,1,0))</f>
        <v/>
      </c>
      <c r="AL437">
        <f>IF($AK437=1,SUMPRODUCT(--($AO$2:$AO$1601&lt;$AO437))+1,"")</f>
        <v/>
      </c>
      <c r="AM437">
        <f>IF($D437="","",IF(OR($R437=TRUE(),$R437="TRUE"),1,0))</f>
        <v/>
      </c>
      <c r="AN437">
        <f>IF($D437="","",IF($AA437="Yes",1,0))</f>
        <v/>
      </c>
      <c r="AO437">
        <f>IF($AK437=1,IFERROR(IF(VALUE($D437)&lt;100000000,VALUE($D437),1000000000),IFERROR(IF(VALUE(MID($D437,2,20))&lt;100000000,VALUE(MID($D437,2,20)),1000000000),1000000000))+ROW()/100000,"")</f>
        <v/>
      </c>
    </row>
    <row r="438">
      <c r="F438" s="11" t="n"/>
      <c r="N438" s="7">
        <f>IF($D438="","",M438*X438/100)</f>
        <v/>
      </c>
      <c r="O438" s="7" t="n"/>
      <c r="U438" s="7" t="n"/>
      <c r="V438" s="7" t="n"/>
      <c r="W438" s="7">
        <f>IF($D438="","",V438*AB438/100)</f>
        <v/>
      </c>
      <c r="X438" s="7">
        <f>IF($D438="","",V438-W438)</f>
        <v/>
      </c>
      <c r="Y438" s="7">
        <f>IF($D438="","",X438-N438)</f>
        <v/>
      </c>
      <c r="AB438">
        <f>IF($D438="","",IF($AN438=1,Settings!$C$8,IF($AM438=1,Settings!$C$6,Settings!$C$7))*100)</f>
        <v/>
      </c>
      <c r="AF438" s="7" t="n"/>
      <c r="AI438" s="11" t="n"/>
      <c r="AK438">
        <f>IF($D438="","",IF(COUNTIF($D$2:$D438,$D438)=1,1,0))</f>
        <v/>
      </c>
      <c r="AL438">
        <f>IF($AK438=1,SUMPRODUCT(--($AO$2:$AO$1601&lt;$AO438))+1,"")</f>
        <v/>
      </c>
      <c r="AM438">
        <f>IF($D438="","",IF(OR($R438=TRUE(),$R438="TRUE"),1,0))</f>
        <v/>
      </c>
      <c r="AN438">
        <f>IF($D438="","",IF($AA438="Yes",1,0))</f>
        <v/>
      </c>
      <c r="AO438">
        <f>IF($AK438=1,IFERROR(IF(VALUE($D438)&lt;100000000,VALUE($D438),1000000000),IFERROR(IF(VALUE(MID($D438,2,20))&lt;100000000,VALUE(MID($D438,2,20)),1000000000),1000000000))+ROW()/100000,"")</f>
        <v/>
      </c>
    </row>
    <row r="439">
      <c r="F439" s="11" t="n"/>
      <c r="N439" s="7">
        <f>IF($D439="","",M439*X439/100)</f>
        <v/>
      </c>
      <c r="O439" s="7" t="n"/>
      <c r="U439" s="7" t="n"/>
      <c r="V439" s="7" t="n"/>
      <c r="W439" s="7">
        <f>IF($D439="","",V439*AB439/100)</f>
        <v/>
      </c>
      <c r="X439" s="7">
        <f>IF($D439="","",V439-W439)</f>
        <v/>
      </c>
      <c r="Y439" s="7">
        <f>IF($D439="","",X439-N439)</f>
        <v/>
      </c>
      <c r="AB439">
        <f>IF($D439="","",IF($AN439=1,Settings!$C$8,IF($AM439=1,Settings!$C$6,Settings!$C$7))*100)</f>
        <v/>
      </c>
      <c r="AF439" s="7" t="n"/>
      <c r="AI439" s="11" t="n"/>
      <c r="AK439">
        <f>IF($D439="","",IF(COUNTIF($D$2:$D439,$D439)=1,1,0))</f>
        <v/>
      </c>
      <c r="AL439">
        <f>IF($AK439=1,SUMPRODUCT(--($AO$2:$AO$1601&lt;$AO439))+1,"")</f>
        <v/>
      </c>
      <c r="AM439">
        <f>IF($D439="","",IF(OR($R439=TRUE(),$R439="TRUE"),1,0))</f>
        <v/>
      </c>
      <c r="AN439">
        <f>IF($D439="","",IF($AA439="Yes",1,0))</f>
        <v/>
      </c>
      <c r="AO439">
        <f>IF($AK439=1,IFERROR(IF(VALUE($D439)&lt;100000000,VALUE($D439),1000000000),IFERROR(IF(VALUE(MID($D439,2,20))&lt;100000000,VALUE(MID($D439,2,20)),1000000000),1000000000))+ROW()/100000,"")</f>
        <v/>
      </c>
    </row>
    <row r="440">
      <c r="F440" s="11" t="n"/>
      <c r="N440" s="7">
        <f>IF($D440="","",M440*X440/100)</f>
        <v/>
      </c>
      <c r="O440" s="7" t="n"/>
      <c r="U440" s="7" t="n"/>
      <c r="V440" s="7" t="n"/>
      <c r="W440" s="7">
        <f>IF($D440="","",V440*AB440/100)</f>
        <v/>
      </c>
      <c r="X440" s="7">
        <f>IF($D440="","",V440-W440)</f>
        <v/>
      </c>
      <c r="Y440" s="7">
        <f>IF($D440="","",X440-N440)</f>
        <v/>
      </c>
      <c r="AB440">
        <f>IF($D440="","",IF($AN440=1,Settings!$C$8,IF($AM440=1,Settings!$C$6,Settings!$C$7))*100)</f>
        <v/>
      </c>
      <c r="AF440" s="7" t="n"/>
      <c r="AI440" s="11" t="n"/>
      <c r="AK440">
        <f>IF($D440="","",IF(COUNTIF($D$2:$D440,$D440)=1,1,0))</f>
        <v/>
      </c>
      <c r="AL440">
        <f>IF($AK440=1,SUMPRODUCT(--($AO$2:$AO$1601&lt;$AO440))+1,"")</f>
        <v/>
      </c>
      <c r="AM440">
        <f>IF($D440="","",IF(OR($R440=TRUE(),$R440="TRUE"),1,0))</f>
        <v/>
      </c>
      <c r="AN440">
        <f>IF($D440="","",IF($AA440="Yes",1,0))</f>
        <v/>
      </c>
      <c r="AO440">
        <f>IF($AK440=1,IFERROR(IF(VALUE($D440)&lt;100000000,VALUE($D440),1000000000),IFERROR(IF(VALUE(MID($D440,2,20))&lt;100000000,VALUE(MID($D440,2,20)),1000000000),1000000000))+ROW()/100000,"")</f>
        <v/>
      </c>
    </row>
    <row r="441">
      <c r="F441" s="11" t="n"/>
      <c r="N441" s="7">
        <f>IF($D441="","",M441*X441/100)</f>
        <v/>
      </c>
      <c r="O441" s="7" t="n"/>
      <c r="U441" s="7" t="n"/>
      <c r="V441" s="7" t="n"/>
      <c r="W441" s="7">
        <f>IF($D441="","",V441*AB441/100)</f>
        <v/>
      </c>
      <c r="X441" s="7">
        <f>IF($D441="","",V441-W441)</f>
        <v/>
      </c>
      <c r="Y441" s="7">
        <f>IF($D441="","",X441-N441)</f>
        <v/>
      </c>
      <c r="AB441">
        <f>IF($D441="","",IF($AN441=1,Settings!$C$8,IF($AM441=1,Settings!$C$6,Settings!$C$7))*100)</f>
        <v/>
      </c>
      <c r="AF441" s="7" t="n"/>
      <c r="AI441" s="11" t="n"/>
      <c r="AK441">
        <f>IF($D441="","",IF(COUNTIF($D$2:$D441,$D441)=1,1,0))</f>
        <v/>
      </c>
      <c r="AL441">
        <f>IF($AK441=1,SUMPRODUCT(--($AO$2:$AO$1601&lt;$AO441))+1,"")</f>
        <v/>
      </c>
      <c r="AM441">
        <f>IF($D441="","",IF(OR($R441=TRUE(),$R441="TRUE"),1,0))</f>
        <v/>
      </c>
      <c r="AN441">
        <f>IF($D441="","",IF($AA441="Yes",1,0))</f>
        <v/>
      </c>
      <c r="AO441">
        <f>IF($AK441=1,IFERROR(IF(VALUE($D441)&lt;100000000,VALUE($D441),1000000000),IFERROR(IF(VALUE(MID($D441,2,20))&lt;100000000,VALUE(MID($D441,2,20)),1000000000),1000000000))+ROW()/100000,"")</f>
        <v/>
      </c>
    </row>
    <row r="442">
      <c r="F442" s="11" t="n"/>
      <c r="N442" s="7">
        <f>IF($D442="","",M442*X442/100)</f>
        <v/>
      </c>
      <c r="O442" s="7" t="n"/>
      <c r="U442" s="7" t="n"/>
      <c r="V442" s="7" t="n"/>
      <c r="W442" s="7">
        <f>IF($D442="","",V442*AB442/100)</f>
        <v/>
      </c>
      <c r="X442" s="7">
        <f>IF($D442="","",V442-W442)</f>
        <v/>
      </c>
      <c r="Y442" s="7">
        <f>IF($D442="","",X442-N442)</f>
        <v/>
      </c>
      <c r="AB442">
        <f>IF($D442="","",IF($AN442=1,Settings!$C$8,IF($AM442=1,Settings!$C$6,Settings!$C$7))*100)</f>
        <v/>
      </c>
      <c r="AF442" s="7" t="n"/>
      <c r="AI442" s="11" t="n"/>
      <c r="AK442">
        <f>IF($D442="","",IF(COUNTIF($D$2:$D442,$D442)=1,1,0))</f>
        <v/>
      </c>
      <c r="AL442">
        <f>IF($AK442=1,SUMPRODUCT(--($AO$2:$AO$1601&lt;$AO442))+1,"")</f>
        <v/>
      </c>
      <c r="AM442">
        <f>IF($D442="","",IF(OR($R442=TRUE(),$R442="TRUE"),1,0))</f>
        <v/>
      </c>
      <c r="AN442">
        <f>IF($D442="","",IF($AA442="Yes",1,0))</f>
        <v/>
      </c>
      <c r="AO442">
        <f>IF($AK442=1,IFERROR(IF(VALUE($D442)&lt;100000000,VALUE($D442),1000000000),IFERROR(IF(VALUE(MID($D442,2,20))&lt;100000000,VALUE(MID($D442,2,20)),1000000000),1000000000))+ROW()/100000,"")</f>
        <v/>
      </c>
    </row>
    <row r="443">
      <c r="F443" s="11" t="n"/>
      <c r="N443" s="7">
        <f>IF($D443="","",M443*X443/100)</f>
        <v/>
      </c>
      <c r="O443" s="7" t="n"/>
      <c r="U443" s="7" t="n"/>
      <c r="V443" s="7" t="n"/>
      <c r="W443" s="7">
        <f>IF($D443="","",V443*AB443/100)</f>
        <v/>
      </c>
      <c r="X443" s="7">
        <f>IF($D443="","",V443-W443)</f>
        <v/>
      </c>
      <c r="Y443" s="7">
        <f>IF($D443="","",X443-N443)</f>
        <v/>
      </c>
      <c r="AB443">
        <f>IF($D443="","",IF($AN443=1,Settings!$C$8,IF($AM443=1,Settings!$C$6,Settings!$C$7))*100)</f>
        <v/>
      </c>
      <c r="AF443" s="7" t="n"/>
      <c r="AI443" s="11" t="n"/>
      <c r="AK443">
        <f>IF($D443="","",IF(COUNTIF($D$2:$D443,$D443)=1,1,0))</f>
        <v/>
      </c>
      <c r="AL443">
        <f>IF($AK443=1,SUMPRODUCT(--($AO$2:$AO$1601&lt;$AO443))+1,"")</f>
        <v/>
      </c>
      <c r="AM443">
        <f>IF($D443="","",IF(OR($R443=TRUE(),$R443="TRUE"),1,0))</f>
        <v/>
      </c>
      <c r="AN443">
        <f>IF($D443="","",IF($AA443="Yes",1,0))</f>
        <v/>
      </c>
      <c r="AO443">
        <f>IF($AK443=1,IFERROR(IF(VALUE($D443)&lt;100000000,VALUE($D443),1000000000),IFERROR(IF(VALUE(MID($D443,2,20))&lt;100000000,VALUE(MID($D443,2,20)),1000000000),1000000000))+ROW()/100000,"")</f>
        <v/>
      </c>
    </row>
    <row r="444">
      <c r="F444" s="11" t="n"/>
      <c r="N444" s="7">
        <f>IF($D444="","",M444*X444/100)</f>
        <v/>
      </c>
      <c r="O444" s="7" t="n"/>
      <c r="U444" s="7" t="n"/>
      <c r="V444" s="7" t="n"/>
      <c r="W444" s="7">
        <f>IF($D444="","",V444*AB444/100)</f>
        <v/>
      </c>
      <c r="X444" s="7">
        <f>IF($D444="","",V444-W444)</f>
        <v/>
      </c>
      <c r="Y444" s="7">
        <f>IF($D444="","",X444-N444)</f>
        <v/>
      </c>
      <c r="AB444">
        <f>IF($D444="","",IF($AN444=1,Settings!$C$8,IF($AM444=1,Settings!$C$6,Settings!$C$7))*100)</f>
        <v/>
      </c>
      <c r="AF444" s="7" t="n"/>
      <c r="AI444" s="11" t="n"/>
      <c r="AK444">
        <f>IF($D444="","",IF(COUNTIF($D$2:$D444,$D444)=1,1,0))</f>
        <v/>
      </c>
      <c r="AL444">
        <f>IF($AK444=1,SUMPRODUCT(--($AO$2:$AO$1601&lt;$AO444))+1,"")</f>
        <v/>
      </c>
      <c r="AM444">
        <f>IF($D444="","",IF(OR($R444=TRUE(),$R444="TRUE"),1,0))</f>
        <v/>
      </c>
      <c r="AN444">
        <f>IF($D444="","",IF($AA444="Yes",1,0))</f>
        <v/>
      </c>
      <c r="AO444">
        <f>IF($AK444=1,IFERROR(IF(VALUE($D444)&lt;100000000,VALUE($D444),1000000000),IFERROR(IF(VALUE(MID($D444,2,20))&lt;100000000,VALUE(MID($D444,2,20)),1000000000),1000000000))+ROW()/100000,"")</f>
        <v/>
      </c>
    </row>
    <row r="445">
      <c r="F445" s="11" t="n"/>
      <c r="N445" s="7">
        <f>IF($D445="","",M445*X445/100)</f>
        <v/>
      </c>
      <c r="O445" s="7" t="n"/>
      <c r="U445" s="7" t="n"/>
      <c r="V445" s="7" t="n"/>
      <c r="W445" s="7">
        <f>IF($D445="","",V445*AB445/100)</f>
        <v/>
      </c>
      <c r="X445" s="7">
        <f>IF($D445="","",V445-W445)</f>
        <v/>
      </c>
      <c r="Y445" s="7">
        <f>IF($D445="","",X445-N445)</f>
        <v/>
      </c>
      <c r="AB445">
        <f>IF($D445="","",IF($AN445=1,Settings!$C$8,IF($AM445=1,Settings!$C$6,Settings!$C$7))*100)</f>
        <v/>
      </c>
      <c r="AF445" s="7" t="n"/>
      <c r="AI445" s="11" t="n"/>
      <c r="AK445">
        <f>IF($D445="","",IF(COUNTIF($D$2:$D445,$D445)=1,1,0))</f>
        <v/>
      </c>
      <c r="AL445">
        <f>IF($AK445=1,SUMPRODUCT(--($AO$2:$AO$1601&lt;$AO445))+1,"")</f>
        <v/>
      </c>
      <c r="AM445">
        <f>IF($D445="","",IF(OR($R445=TRUE(),$R445="TRUE"),1,0))</f>
        <v/>
      </c>
      <c r="AN445">
        <f>IF($D445="","",IF($AA445="Yes",1,0))</f>
        <v/>
      </c>
      <c r="AO445">
        <f>IF($AK445=1,IFERROR(IF(VALUE($D445)&lt;100000000,VALUE($D445),1000000000),IFERROR(IF(VALUE(MID($D445,2,20))&lt;100000000,VALUE(MID($D445,2,20)),1000000000),1000000000))+ROW()/100000,"")</f>
        <v/>
      </c>
    </row>
    <row r="446">
      <c r="F446" s="11" t="n"/>
      <c r="N446" s="7">
        <f>IF($D446="","",M446*X446/100)</f>
        <v/>
      </c>
      <c r="O446" s="7" t="n"/>
      <c r="U446" s="7" t="n"/>
      <c r="V446" s="7" t="n"/>
      <c r="W446" s="7">
        <f>IF($D446="","",V446*AB446/100)</f>
        <v/>
      </c>
      <c r="X446" s="7">
        <f>IF($D446="","",V446-W446)</f>
        <v/>
      </c>
      <c r="Y446" s="7">
        <f>IF($D446="","",X446-N446)</f>
        <v/>
      </c>
      <c r="AB446">
        <f>IF($D446="","",IF($AN446=1,Settings!$C$8,IF($AM446=1,Settings!$C$6,Settings!$C$7))*100)</f>
        <v/>
      </c>
      <c r="AF446" s="7" t="n"/>
      <c r="AI446" s="11" t="n"/>
      <c r="AK446">
        <f>IF($D446="","",IF(COUNTIF($D$2:$D446,$D446)=1,1,0))</f>
        <v/>
      </c>
      <c r="AL446">
        <f>IF($AK446=1,SUMPRODUCT(--($AO$2:$AO$1601&lt;$AO446))+1,"")</f>
        <v/>
      </c>
      <c r="AM446">
        <f>IF($D446="","",IF(OR($R446=TRUE(),$R446="TRUE"),1,0))</f>
        <v/>
      </c>
      <c r="AN446">
        <f>IF($D446="","",IF($AA446="Yes",1,0))</f>
        <v/>
      </c>
      <c r="AO446">
        <f>IF($AK446=1,IFERROR(IF(VALUE($D446)&lt;100000000,VALUE($D446),1000000000),IFERROR(IF(VALUE(MID($D446,2,20))&lt;100000000,VALUE(MID($D446,2,20)),1000000000),1000000000))+ROW()/100000,"")</f>
        <v/>
      </c>
    </row>
    <row r="447">
      <c r="F447" s="11" t="n"/>
      <c r="N447" s="7">
        <f>IF($D447="","",M447*X447/100)</f>
        <v/>
      </c>
      <c r="O447" s="7" t="n"/>
      <c r="U447" s="7" t="n"/>
      <c r="V447" s="7" t="n"/>
      <c r="W447" s="7">
        <f>IF($D447="","",V447*AB447/100)</f>
        <v/>
      </c>
      <c r="X447" s="7">
        <f>IF($D447="","",V447-W447)</f>
        <v/>
      </c>
      <c r="Y447" s="7">
        <f>IF($D447="","",X447-N447)</f>
        <v/>
      </c>
      <c r="AB447">
        <f>IF($D447="","",IF($AN447=1,Settings!$C$8,IF($AM447=1,Settings!$C$6,Settings!$C$7))*100)</f>
        <v/>
      </c>
      <c r="AF447" s="7" t="n"/>
      <c r="AI447" s="11" t="n"/>
      <c r="AK447">
        <f>IF($D447="","",IF(COUNTIF($D$2:$D447,$D447)=1,1,0))</f>
        <v/>
      </c>
      <c r="AL447">
        <f>IF($AK447=1,SUMPRODUCT(--($AO$2:$AO$1601&lt;$AO447))+1,"")</f>
        <v/>
      </c>
      <c r="AM447">
        <f>IF($D447="","",IF(OR($R447=TRUE(),$R447="TRUE"),1,0))</f>
        <v/>
      </c>
      <c r="AN447">
        <f>IF($D447="","",IF($AA447="Yes",1,0))</f>
        <v/>
      </c>
      <c r="AO447">
        <f>IF($AK447=1,IFERROR(IF(VALUE($D447)&lt;100000000,VALUE($D447),1000000000),IFERROR(IF(VALUE(MID($D447,2,20))&lt;100000000,VALUE(MID($D447,2,20)),1000000000),1000000000))+ROW()/100000,"")</f>
        <v/>
      </c>
    </row>
    <row r="448">
      <c r="F448" s="11" t="n"/>
      <c r="N448" s="7">
        <f>IF($D448="","",M448*X448/100)</f>
        <v/>
      </c>
      <c r="O448" s="7" t="n"/>
      <c r="U448" s="7" t="n"/>
      <c r="V448" s="7" t="n"/>
      <c r="W448" s="7">
        <f>IF($D448="","",V448*AB448/100)</f>
        <v/>
      </c>
      <c r="X448" s="7">
        <f>IF($D448="","",V448-W448)</f>
        <v/>
      </c>
      <c r="Y448" s="7">
        <f>IF($D448="","",X448-N448)</f>
        <v/>
      </c>
      <c r="AB448">
        <f>IF($D448="","",IF($AN448=1,Settings!$C$8,IF($AM448=1,Settings!$C$6,Settings!$C$7))*100)</f>
        <v/>
      </c>
      <c r="AF448" s="7" t="n"/>
      <c r="AI448" s="11" t="n"/>
      <c r="AK448">
        <f>IF($D448="","",IF(COUNTIF($D$2:$D448,$D448)=1,1,0))</f>
        <v/>
      </c>
      <c r="AL448">
        <f>IF($AK448=1,SUMPRODUCT(--($AO$2:$AO$1601&lt;$AO448))+1,"")</f>
        <v/>
      </c>
      <c r="AM448">
        <f>IF($D448="","",IF(OR($R448=TRUE(),$R448="TRUE"),1,0))</f>
        <v/>
      </c>
      <c r="AN448">
        <f>IF($D448="","",IF($AA448="Yes",1,0))</f>
        <v/>
      </c>
      <c r="AO448">
        <f>IF($AK448=1,IFERROR(IF(VALUE($D448)&lt;100000000,VALUE($D448),1000000000),IFERROR(IF(VALUE(MID($D448,2,20))&lt;100000000,VALUE(MID($D448,2,20)),1000000000),1000000000))+ROW()/100000,"")</f>
        <v/>
      </c>
    </row>
    <row r="449">
      <c r="F449" s="11" t="n"/>
      <c r="N449" s="7">
        <f>IF($D449="","",M449*X449/100)</f>
        <v/>
      </c>
      <c r="O449" s="7" t="n"/>
      <c r="U449" s="7" t="n"/>
      <c r="V449" s="7" t="n"/>
      <c r="W449" s="7">
        <f>IF($D449="","",V449*AB449/100)</f>
        <v/>
      </c>
      <c r="X449" s="7">
        <f>IF($D449="","",V449-W449)</f>
        <v/>
      </c>
      <c r="Y449" s="7">
        <f>IF($D449="","",X449-N449)</f>
        <v/>
      </c>
      <c r="AB449">
        <f>IF($D449="","",IF($AN449=1,Settings!$C$8,IF($AM449=1,Settings!$C$6,Settings!$C$7))*100)</f>
        <v/>
      </c>
      <c r="AF449" s="7" t="n"/>
      <c r="AI449" s="11" t="n"/>
      <c r="AK449">
        <f>IF($D449="","",IF(COUNTIF($D$2:$D449,$D449)=1,1,0))</f>
        <v/>
      </c>
      <c r="AL449">
        <f>IF($AK449=1,SUMPRODUCT(--($AO$2:$AO$1601&lt;$AO449))+1,"")</f>
        <v/>
      </c>
      <c r="AM449">
        <f>IF($D449="","",IF(OR($R449=TRUE(),$R449="TRUE"),1,0))</f>
        <v/>
      </c>
      <c r="AN449">
        <f>IF($D449="","",IF($AA449="Yes",1,0))</f>
        <v/>
      </c>
      <c r="AO449">
        <f>IF($AK449=1,IFERROR(IF(VALUE($D449)&lt;100000000,VALUE($D449),1000000000),IFERROR(IF(VALUE(MID($D449,2,20))&lt;100000000,VALUE(MID($D449,2,20)),1000000000),1000000000))+ROW()/100000,"")</f>
        <v/>
      </c>
    </row>
    <row r="450">
      <c r="F450" s="11" t="n"/>
      <c r="N450" s="7">
        <f>IF($D450="","",M450*X450/100)</f>
        <v/>
      </c>
      <c r="O450" s="7" t="n"/>
      <c r="U450" s="7" t="n"/>
      <c r="V450" s="7" t="n"/>
      <c r="W450" s="7">
        <f>IF($D450="","",V450*AB450/100)</f>
        <v/>
      </c>
      <c r="X450" s="7">
        <f>IF($D450="","",V450-W450)</f>
        <v/>
      </c>
      <c r="Y450" s="7">
        <f>IF($D450="","",X450-N450)</f>
        <v/>
      </c>
      <c r="AB450">
        <f>IF($D450="","",IF($AN450=1,Settings!$C$8,IF($AM450=1,Settings!$C$6,Settings!$C$7))*100)</f>
        <v/>
      </c>
      <c r="AF450" s="7" t="n"/>
      <c r="AI450" s="11" t="n"/>
      <c r="AK450">
        <f>IF($D450="","",IF(COUNTIF($D$2:$D450,$D450)=1,1,0))</f>
        <v/>
      </c>
      <c r="AL450">
        <f>IF($AK450=1,SUMPRODUCT(--($AO$2:$AO$1601&lt;$AO450))+1,"")</f>
        <v/>
      </c>
      <c r="AM450">
        <f>IF($D450="","",IF(OR($R450=TRUE(),$R450="TRUE"),1,0))</f>
        <v/>
      </c>
      <c r="AN450">
        <f>IF($D450="","",IF($AA450="Yes",1,0))</f>
        <v/>
      </c>
      <c r="AO450">
        <f>IF($AK450=1,IFERROR(IF(VALUE($D450)&lt;100000000,VALUE($D450),1000000000),IFERROR(IF(VALUE(MID($D450,2,20))&lt;100000000,VALUE(MID($D450,2,20)),1000000000),1000000000))+ROW()/100000,"")</f>
        <v/>
      </c>
    </row>
    <row r="451">
      <c r="F451" s="11" t="n"/>
      <c r="N451" s="7">
        <f>IF($D451="","",M451*X451/100)</f>
        <v/>
      </c>
      <c r="O451" s="7" t="n"/>
      <c r="U451" s="7" t="n"/>
      <c r="V451" s="7" t="n"/>
      <c r="W451" s="7">
        <f>IF($D451="","",V451*AB451/100)</f>
        <v/>
      </c>
      <c r="X451" s="7">
        <f>IF($D451="","",V451-W451)</f>
        <v/>
      </c>
      <c r="Y451" s="7">
        <f>IF($D451="","",X451-N451)</f>
        <v/>
      </c>
      <c r="AB451">
        <f>IF($D451="","",IF($AN451=1,Settings!$C$8,IF($AM451=1,Settings!$C$6,Settings!$C$7))*100)</f>
        <v/>
      </c>
      <c r="AF451" s="7" t="n"/>
      <c r="AI451" s="11" t="n"/>
      <c r="AK451">
        <f>IF($D451="","",IF(COUNTIF($D$2:$D451,$D451)=1,1,0))</f>
        <v/>
      </c>
      <c r="AL451">
        <f>IF($AK451=1,SUMPRODUCT(--($AO$2:$AO$1601&lt;$AO451))+1,"")</f>
        <v/>
      </c>
      <c r="AM451">
        <f>IF($D451="","",IF(OR($R451=TRUE(),$R451="TRUE"),1,0))</f>
        <v/>
      </c>
      <c r="AN451">
        <f>IF($D451="","",IF($AA451="Yes",1,0))</f>
        <v/>
      </c>
      <c r="AO451">
        <f>IF($AK451=1,IFERROR(IF(VALUE($D451)&lt;100000000,VALUE($D451),1000000000),IFERROR(IF(VALUE(MID($D451,2,20))&lt;100000000,VALUE(MID($D451,2,20)),1000000000),1000000000))+ROW()/100000,"")</f>
        <v/>
      </c>
    </row>
    <row r="452">
      <c r="F452" s="11" t="n"/>
      <c r="N452" s="7">
        <f>IF($D452="","",M452*X452/100)</f>
        <v/>
      </c>
      <c r="O452" s="7" t="n"/>
      <c r="U452" s="7" t="n"/>
      <c r="V452" s="7" t="n"/>
      <c r="W452" s="7">
        <f>IF($D452="","",V452*AB452/100)</f>
        <v/>
      </c>
      <c r="X452" s="7">
        <f>IF($D452="","",V452-W452)</f>
        <v/>
      </c>
      <c r="Y452" s="7">
        <f>IF($D452="","",X452-N452)</f>
        <v/>
      </c>
      <c r="AB452">
        <f>IF($D452="","",IF($AN452=1,Settings!$C$8,IF($AM452=1,Settings!$C$6,Settings!$C$7))*100)</f>
        <v/>
      </c>
      <c r="AF452" s="7" t="n"/>
      <c r="AI452" s="11" t="n"/>
      <c r="AK452">
        <f>IF($D452="","",IF(COUNTIF($D$2:$D452,$D452)=1,1,0))</f>
        <v/>
      </c>
      <c r="AL452">
        <f>IF($AK452=1,SUMPRODUCT(--($AO$2:$AO$1601&lt;$AO452))+1,"")</f>
        <v/>
      </c>
      <c r="AM452">
        <f>IF($D452="","",IF(OR($R452=TRUE(),$R452="TRUE"),1,0))</f>
        <v/>
      </c>
      <c r="AN452">
        <f>IF($D452="","",IF($AA452="Yes",1,0))</f>
        <v/>
      </c>
      <c r="AO452">
        <f>IF($AK452=1,IFERROR(IF(VALUE($D452)&lt;100000000,VALUE($D452),1000000000),IFERROR(IF(VALUE(MID($D452,2,20))&lt;100000000,VALUE(MID($D452,2,20)),1000000000),1000000000))+ROW()/100000,"")</f>
        <v/>
      </c>
    </row>
    <row r="453">
      <c r="F453" s="11" t="n"/>
      <c r="N453" s="7">
        <f>IF($D453="","",M453*X453/100)</f>
        <v/>
      </c>
      <c r="O453" s="7" t="n"/>
      <c r="U453" s="7" t="n"/>
      <c r="V453" s="7" t="n"/>
      <c r="W453" s="7">
        <f>IF($D453="","",V453*AB453/100)</f>
        <v/>
      </c>
      <c r="X453" s="7">
        <f>IF($D453="","",V453-W453)</f>
        <v/>
      </c>
      <c r="Y453" s="7">
        <f>IF($D453="","",X453-N453)</f>
        <v/>
      </c>
      <c r="AB453">
        <f>IF($D453="","",IF($AN453=1,Settings!$C$8,IF($AM453=1,Settings!$C$6,Settings!$C$7))*100)</f>
        <v/>
      </c>
      <c r="AF453" s="7" t="n"/>
      <c r="AI453" s="11" t="n"/>
      <c r="AK453">
        <f>IF($D453="","",IF(COUNTIF($D$2:$D453,$D453)=1,1,0))</f>
        <v/>
      </c>
      <c r="AL453">
        <f>IF($AK453=1,SUMPRODUCT(--($AO$2:$AO$1601&lt;$AO453))+1,"")</f>
        <v/>
      </c>
      <c r="AM453">
        <f>IF($D453="","",IF(OR($R453=TRUE(),$R453="TRUE"),1,0))</f>
        <v/>
      </c>
      <c r="AN453">
        <f>IF($D453="","",IF($AA453="Yes",1,0))</f>
        <v/>
      </c>
      <c r="AO453">
        <f>IF($AK453=1,IFERROR(IF(VALUE($D453)&lt;100000000,VALUE($D453),1000000000),IFERROR(IF(VALUE(MID($D453,2,20))&lt;100000000,VALUE(MID($D453,2,20)),1000000000),1000000000))+ROW()/100000,"")</f>
        <v/>
      </c>
    </row>
    <row r="454">
      <c r="F454" s="11" t="n"/>
      <c r="N454" s="7">
        <f>IF($D454="","",M454*X454/100)</f>
        <v/>
      </c>
      <c r="O454" s="7" t="n"/>
      <c r="U454" s="7" t="n"/>
      <c r="V454" s="7" t="n"/>
      <c r="W454" s="7">
        <f>IF($D454="","",V454*AB454/100)</f>
        <v/>
      </c>
      <c r="X454" s="7">
        <f>IF($D454="","",V454-W454)</f>
        <v/>
      </c>
      <c r="Y454" s="7">
        <f>IF($D454="","",X454-N454)</f>
        <v/>
      </c>
      <c r="AB454">
        <f>IF($D454="","",IF($AN454=1,Settings!$C$8,IF($AM454=1,Settings!$C$6,Settings!$C$7))*100)</f>
        <v/>
      </c>
      <c r="AF454" s="7" t="n"/>
      <c r="AI454" s="11" t="n"/>
      <c r="AK454">
        <f>IF($D454="","",IF(COUNTIF($D$2:$D454,$D454)=1,1,0))</f>
        <v/>
      </c>
      <c r="AL454">
        <f>IF($AK454=1,SUMPRODUCT(--($AO$2:$AO$1601&lt;$AO454))+1,"")</f>
        <v/>
      </c>
      <c r="AM454">
        <f>IF($D454="","",IF(OR($R454=TRUE(),$R454="TRUE"),1,0))</f>
        <v/>
      </c>
      <c r="AN454">
        <f>IF($D454="","",IF($AA454="Yes",1,0))</f>
        <v/>
      </c>
      <c r="AO454">
        <f>IF($AK454=1,IFERROR(IF(VALUE($D454)&lt;100000000,VALUE($D454),1000000000),IFERROR(IF(VALUE(MID($D454,2,20))&lt;100000000,VALUE(MID($D454,2,20)),1000000000),1000000000))+ROW()/100000,"")</f>
        <v/>
      </c>
    </row>
    <row r="455">
      <c r="F455" s="11" t="n"/>
      <c r="N455" s="7">
        <f>IF($D455="","",M455*X455/100)</f>
        <v/>
      </c>
      <c r="O455" s="7" t="n"/>
      <c r="U455" s="7" t="n"/>
      <c r="V455" s="7" t="n"/>
      <c r="W455" s="7">
        <f>IF($D455="","",V455*AB455/100)</f>
        <v/>
      </c>
      <c r="X455" s="7">
        <f>IF($D455="","",V455-W455)</f>
        <v/>
      </c>
      <c r="Y455" s="7">
        <f>IF($D455="","",X455-N455)</f>
        <v/>
      </c>
      <c r="AB455">
        <f>IF($D455="","",IF($AN455=1,Settings!$C$8,IF($AM455=1,Settings!$C$6,Settings!$C$7))*100)</f>
        <v/>
      </c>
      <c r="AF455" s="7" t="n"/>
      <c r="AI455" s="11" t="n"/>
      <c r="AK455">
        <f>IF($D455="","",IF(COUNTIF($D$2:$D455,$D455)=1,1,0))</f>
        <v/>
      </c>
      <c r="AL455">
        <f>IF($AK455=1,SUMPRODUCT(--($AO$2:$AO$1601&lt;$AO455))+1,"")</f>
        <v/>
      </c>
      <c r="AM455">
        <f>IF($D455="","",IF(OR($R455=TRUE(),$R455="TRUE"),1,0))</f>
        <v/>
      </c>
      <c r="AN455">
        <f>IF($D455="","",IF($AA455="Yes",1,0))</f>
        <v/>
      </c>
      <c r="AO455">
        <f>IF($AK455=1,IFERROR(IF(VALUE($D455)&lt;100000000,VALUE($D455),1000000000),IFERROR(IF(VALUE(MID($D455,2,20))&lt;100000000,VALUE(MID($D455,2,20)),1000000000),1000000000))+ROW()/100000,"")</f>
        <v/>
      </c>
    </row>
    <row r="456">
      <c r="F456" s="11" t="n"/>
      <c r="N456" s="7">
        <f>IF($D456="","",M456*X456/100)</f>
        <v/>
      </c>
      <c r="O456" s="7" t="n"/>
      <c r="U456" s="7" t="n"/>
      <c r="V456" s="7" t="n"/>
      <c r="W456" s="7">
        <f>IF($D456="","",V456*AB456/100)</f>
        <v/>
      </c>
      <c r="X456" s="7">
        <f>IF($D456="","",V456-W456)</f>
        <v/>
      </c>
      <c r="Y456" s="7">
        <f>IF($D456="","",X456-N456)</f>
        <v/>
      </c>
      <c r="AB456">
        <f>IF($D456="","",IF($AN456=1,Settings!$C$8,IF($AM456=1,Settings!$C$6,Settings!$C$7))*100)</f>
        <v/>
      </c>
      <c r="AF456" s="7" t="n"/>
      <c r="AI456" s="11" t="n"/>
      <c r="AK456">
        <f>IF($D456="","",IF(COUNTIF($D$2:$D456,$D456)=1,1,0))</f>
        <v/>
      </c>
      <c r="AL456">
        <f>IF($AK456=1,SUMPRODUCT(--($AO$2:$AO$1601&lt;$AO456))+1,"")</f>
        <v/>
      </c>
      <c r="AM456">
        <f>IF($D456="","",IF(OR($R456=TRUE(),$R456="TRUE"),1,0))</f>
        <v/>
      </c>
      <c r="AN456">
        <f>IF($D456="","",IF($AA456="Yes",1,0))</f>
        <v/>
      </c>
      <c r="AO456">
        <f>IF($AK456=1,IFERROR(IF(VALUE($D456)&lt;100000000,VALUE($D456),1000000000),IFERROR(IF(VALUE(MID($D456,2,20))&lt;100000000,VALUE(MID($D456,2,20)),1000000000),1000000000))+ROW()/100000,"")</f>
        <v/>
      </c>
    </row>
    <row r="457">
      <c r="F457" s="11" t="n"/>
      <c r="N457" s="7">
        <f>IF($D457="","",M457*X457/100)</f>
        <v/>
      </c>
      <c r="O457" s="7" t="n"/>
      <c r="U457" s="7" t="n"/>
      <c r="V457" s="7" t="n"/>
      <c r="W457" s="7">
        <f>IF($D457="","",V457*AB457/100)</f>
        <v/>
      </c>
      <c r="X457" s="7">
        <f>IF($D457="","",V457-W457)</f>
        <v/>
      </c>
      <c r="Y457" s="7">
        <f>IF($D457="","",X457-N457)</f>
        <v/>
      </c>
      <c r="AB457">
        <f>IF($D457="","",IF($AN457=1,Settings!$C$8,IF($AM457=1,Settings!$C$6,Settings!$C$7))*100)</f>
        <v/>
      </c>
      <c r="AF457" s="7" t="n"/>
      <c r="AI457" s="11" t="n"/>
      <c r="AK457">
        <f>IF($D457="","",IF(COUNTIF($D$2:$D457,$D457)=1,1,0))</f>
        <v/>
      </c>
      <c r="AL457">
        <f>IF($AK457=1,SUMPRODUCT(--($AO$2:$AO$1601&lt;$AO457))+1,"")</f>
        <v/>
      </c>
      <c r="AM457">
        <f>IF($D457="","",IF(OR($R457=TRUE(),$R457="TRUE"),1,0))</f>
        <v/>
      </c>
      <c r="AN457">
        <f>IF($D457="","",IF($AA457="Yes",1,0))</f>
        <v/>
      </c>
      <c r="AO457">
        <f>IF($AK457=1,IFERROR(IF(VALUE($D457)&lt;100000000,VALUE($D457),1000000000),IFERROR(IF(VALUE(MID($D457,2,20))&lt;100000000,VALUE(MID($D457,2,20)),1000000000),1000000000))+ROW()/100000,"")</f>
        <v/>
      </c>
    </row>
    <row r="458">
      <c r="F458" s="11" t="n"/>
      <c r="N458" s="7">
        <f>IF($D458="","",M458*X458/100)</f>
        <v/>
      </c>
      <c r="O458" s="7" t="n"/>
      <c r="U458" s="7" t="n"/>
      <c r="V458" s="7" t="n"/>
      <c r="W458" s="7">
        <f>IF($D458="","",V458*AB458/100)</f>
        <v/>
      </c>
      <c r="X458" s="7">
        <f>IF($D458="","",V458-W458)</f>
        <v/>
      </c>
      <c r="Y458" s="7">
        <f>IF($D458="","",X458-N458)</f>
        <v/>
      </c>
      <c r="AB458">
        <f>IF($D458="","",IF($AN458=1,Settings!$C$8,IF($AM458=1,Settings!$C$6,Settings!$C$7))*100)</f>
        <v/>
      </c>
      <c r="AF458" s="7" t="n"/>
      <c r="AI458" s="11" t="n"/>
      <c r="AK458">
        <f>IF($D458="","",IF(COUNTIF($D$2:$D458,$D458)=1,1,0))</f>
        <v/>
      </c>
      <c r="AL458">
        <f>IF($AK458=1,SUMPRODUCT(--($AO$2:$AO$1601&lt;$AO458))+1,"")</f>
        <v/>
      </c>
      <c r="AM458">
        <f>IF($D458="","",IF(OR($R458=TRUE(),$R458="TRUE"),1,0))</f>
        <v/>
      </c>
      <c r="AN458">
        <f>IF($D458="","",IF($AA458="Yes",1,0))</f>
        <v/>
      </c>
      <c r="AO458">
        <f>IF($AK458=1,IFERROR(IF(VALUE($D458)&lt;100000000,VALUE($D458),1000000000),IFERROR(IF(VALUE(MID($D458,2,20))&lt;100000000,VALUE(MID($D458,2,20)),1000000000),1000000000))+ROW()/100000,"")</f>
        <v/>
      </c>
    </row>
    <row r="459">
      <c r="F459" s="11" t="n"/>
      <c r="N459" s="7">
        <f>IF($D459="","",M459*X459/100)</f>
        <v/>
      </c>
      <c r="O459" s="7" t="n"/>
      <c r="U459" s="7" t="n"/>
      <c r="V459" s="7" t="n"/>
      <c r="W459" s="7">
        <f>IF($D459="","",V459*AB459/100)</f>
        <v/>
      </c>
      <c r="X459" s="7">
        <f>IF($D459="","",V459-W459)</f>
        <v/>
      </c>
      <c r="Y459" s="7">
        <f>IF($D459="","",X459-N459)</f>
        <v/>
      </c>
      <c r="AB459">
        <f>IF($D459="","",IF($AN459=1,Settings!$C$8,IF($AM459=1,Settings!$C$6,Settings!$C$7))*100)</f>
        <v/>
      </c>
      <c r="AF459" s="7" t="n"/>
      <c r="AI459" s="11" t="n"/>
      <c r="AK459">
        <f>IF($D459="","",IF(COUNTIF($D$2:$D459,$D459)=1,1,0))</f>
        <v/>
      </c>
      <c r="AL459">
        <f>IF($AK459=1,SUMPRODUCT(--($AO$2:$AO$1601&lt;$AO459))+1,"")</f>
        <v/>
      </c>
      <c r="AM459">
        <f>IF($D459="","",IF(OR($R459=TRUE(),$R459="TRUE"),1,0))</f>
        <v/>
      </c>
      <c r="AN459">
        <f>IF($D459="","",IF($AA459="Yes",1,0))</f>
        <v/>
      </c>
      <c r="AO459">
        <f>IF($AK459=1,IFERROR(IF(VALUE($D459)&lt;100000000,VALUE($D459),1000000000),IFERROR(IF(VALUE(MID($D459,2,20))&lt;100000000,VALUE(MID($D459,2,20)),1000000000),1000000000))+ROW()/100000,"")</f>
        <v/>
      </c>
    </row>
    <row r="460">
      <c r="F460" s="11" t="n"/>
      <c r="N460" s="7">
        <f>IF($D460="","",M460*X460/100)</f>
        <v/>
      </c>
      <c r="O460" s="7" t="n"/>
      <c r="U460" s="7" t="n"/>
      <c r="V460" s="7" t="n"/>
      <c r="W460" s="7">
        <f>IF($D460="","",V460*AB460/100)</f>
        <v/>
      </c>
      <c r="X460" s="7">
        <f>IF($D460="","",V460-W460)</f>
        <v/>
      </c>
      <c r="Y460" s="7">
        <f>IF($D460="","",X460-N460)</f>
        <v/>
      </c>
      <c r="AB460">
        <f>IF($D460="","",IF($AN460=1,Settings!$C$8,IF($AM460=1,Settings!$C$6,Settings!$C$7))*100)</f>
        <v/>
      </c>
      <c r="AF460" s="7" t="n"/>
      <c r="AI460" s="11" t="n"/>
      <c r="AK460">
        <f>IF($D460="","",IF(COUNTIF($D$2:$D460,$D460)=1,1,0))</f>
        <v/>
      </c>
      <c r="AL460">
        <f>IF($AK460=1,SUMPRODUCT(--($AO$2:$AO$1601&lt;$AO460))+1,"")</f>
        <v/>
      </c>
      <c r="AM460">
        <f>IF($D460="","",IF(OR($R460=TRUE(),$R460="TRUE"),1,0))</f>
        <v/>
      </c>
      <c r="AN460">
        <f>IF($D460="","",IF($AA460="Yes",1,0))</f>
        <v/>
      </c>
      <c r="AO460">
        <f>IF($AK460=1,IFERROR(IF(VALUE($D460)&lt;100000000,VALUE($D460),1000000000),IFERROR(IF(VALUE(MID($D460,2,20))&lt;100000000,VALUE(MID($D460,2,20)),1000000000),1000000000))+ROW()/100000,"")</f>
        <v/>
      </c>
    </row>
    <row r="461">
      <c r="F461" s="11" t="n"/>
      <c r="N461" s="7">
        <f>IF($D461="","",M461*X461/100)</f>
        <v/>
      </c>
      <c r="O461" s="7" t="n"/>
      <c r="U461" s="7" t="n"/>
      <c r="V461" s="7" t="n"/>
      <c r="W461" s="7">
        <f>IF($D461="","",V461*AB461/100)</f>
        <v/>
      </c>
      <c r="X461" s="7">
        <f>IF($D461="","",V461-W461)</f>
        <v/>
      </c>
      <c r="Y461" s="7">
        <f>IF($D461="","",X461-N461)</f>
        <v/>
      </c>
      <c r="AB461">
        <f>IF($D461="","",IF($AN461=1,Settings!$C$8,IF($AM461=1,Settings!$C$6,Settings!$C$7))*100)</f>
        <v/>
      </c>
      <c r="AF461" s="7" t="n"/>
      <c r="AI461" s="11" t="n"/>
      <c r="AK461">
        <f>IF($D461="","",IF(COUNTIF($D$2:$D461,$D461)=1,1,0))</f>
        <v/>
      </c>
      <c r="AL461">
        <f>IF($AK461=1,SUMPRODUCT(--($AO$2:$AO$1601&lt;$AO461))+1,"")</f>
        <v/>
      </c>
      <c r="AM461">
        <f>IF($D461="","",IF(OR($R461=TRUE(),$R461="TRUE"),1,0))</f>
        <v/>
      </c>
      <c r="AN461">
        <f>IF($D461="","",IF($AA461="Yes",1,0))</f>
        <v/>
      </c>
      <c r="AO461">
        <f>IF($AK461=1,IFERROR(IF(VALUE($D461)&lt;100000000,VALUE($D461),1000000000),IFERROR(IF(VALUE(MID($D461,2,20))&lt;100000000,VALUE(MID($D461,2,20)),1000000000),1000000000))+ROW()/100000,"")</f>
        <v/>
      </c>
    </row>
    <row r="462">
      <c r="F462" s="11" t="n"/>
      <c r="N462" s="7">
        <f>IF($D462="","",M462*X462/100)</f>
        <v/>
      </c>
      <c r="O462" s="7" t="n"/>
      <c r="U462" s="7" t="n"/>
      <c r="V462" s="7" t="n"/>
      <c r="W462" s="7">
        <f>IF($D462="","",V462*AB462/100)</f>
        <v/>
      </c>
      <c r="X462" s="7">
        <f>IF($D462="","",V462-W462)</f>
        <v/>
      </c>
      <c r="Y462" s="7">
        <f>IF($D462="","",X462-N462)</f>
        <v/>
      </c>
      <c r="AB462">
        <f>IF($D462="","",IF($AN462=1,Settings!$C$8,IF($AM462=1,Settings!$C$6,Settings!$C$7))*100)</f>
        <v/>
      </c>
      <c r="AF462" s="7" t="n"/>
      <c r="AI462" s="11" t="n"/>
      <c r="AK462">
        <f>IF($D462="","",IF(COUNTIF($D$2:$D462,$D462)=1,1,0))</f>
        <v/>
      </c>
      <c r="AL462">
        <f>IF($AK462=1,SUMPRODUCT(--($AO$2:$AO$1601&lt;$AO462))+1,"")</f>
        <v/>
      </c>
      <c r="AM462">
        <f>IF($D462="","",IF(OR($R462=TRUE(),$R462="TRUE"),1,0))</f>
        <v/>
      </c>
      <c r="AN462">
        <f>IF($D462="","",IF($AA462="Yes",1,0))</f>
        <v/>
      </c>
      <c r="AO462">
        <f>IF($AK462=1,IFERROR(IF(VALUE($D462)&lt;100000000,VALUE($D462),1000000000),IFERROR(IF(VALUE(MID($D462,2,20))&lt;100000000,VALUE(MID($D462,2,20)),1000000000),1000000000))+ROW()/100000,"")</f>
        <v/>
      </c>
    </row>
    <row r="463">
      <c r="F463" s="11" t="n"/>
      <c r="N463" s="7">
        <f>IF($D463="","",M463*X463/100)</f>
        <v/>
      </c>
      <c r="O463" s="7" t="n"/>
      <c r="U463" s="7" t="n"/>
      <c r="V463" s="7" t="n"/>
      <c r="W463" s="7">
        <f>IF($D463="","",V463*AB463/100)</f>
        <v/>
      </c>
      <c r="X463" s="7">
        <f>IF($D463="","",V463-W463)</f>
        <v/>
      </c>
      <c r="Y463" s="7">
        <f>IF($D463="","",X463-N463)</f>
        <v/>
      </c>
      <c r="AB463">
        <f>IF($D463="","",IF($AN463=1,Settings!$C$8,IF($AM463=1,Settings!$C$6,Settings!$C$7))*100)</f>
        <v/>
      </c>
      <c r="AF463" s="7" t="n"/>
      <c r="AI463" s="11" t="n"/>
      <c r="AK463">
        <f>IF($D463="","",IF(COUNTIF($D$2:$D463,$D463)=1,1,0))</f>
        <v/>
      </c>
      <c r="AL463">
        <f>IF($AK463=1,SUMPRODUCT(--($AO$2:$AO$1601&lt;$AO463))+1,"")</f>
        <v/>
      </c>
      <c r="AM463">
        <f>IF($D463="","",IF(OR($R463=TRUE(),$R463="TRUE"),1,0))</f>
        <v/>
      </c>
      <c r="AN463">
        <f>IF($D463="","",IF($AA463="Yes",1,0))</f>
        <v/>
      </c>
      <c r="AO463">
        <f>IF($AK463=1,IFERROR(IF(VALUE($D463)&lt;100000000,VALUE($D463),1000000000),IFERROR(IF(VALUE(MID($D463,2,20))&lt;100000000,VALUE(MID($D463,2,20)),1000000000),1000000000))+ROW()/100000,"")</f>
        <v/>
      </c>
    </row>
    <row r="464">
      <c r="F464" s="11" t="n"/>
      <c r="N464" s="7">
        <f>IF($D464="","",M464*X464/100)</f>
        <v/>
      </c>
      <c r="O464" s="7" t="n"/>
      <c r="U464" s="7" t="n"/>
      <c r="V464" s="7" t="n"/>
      <c r="W464" s="7">
        <f>IF($D464="","",V464*AB464/100)</f>
        <v/>
      </c>
      <c r="X464" s="7">
        <f>IF($D464="","",V464-W464)</f>
        <v/>
      </c>
      <c r="Y464" s="7">
        <f>IF($D464="","",X464-N464)</f>
        <v/>
      </c>
      <c r="AB464">
        <f>IF($D464="","",IF($AN464=1,Settings!$C$8,IF($AM464=1,Settings!$C$6,Settings!$C$7))*100)</f>
        <v/>
      </c>
      <c r="AF464" s="7" t="n"/>
      <c r="AI464" s="11" t="n"/>
      <c r="AK464">
        <f>IF($D464="","",IF(COUNTIF($D$2:$D464,$D464)=1,1,0))</f>
        <v/>
      </c>
      <c r="AL464">
        <f>IF($AK464=1,SUMPRODUCT(--($AO$2:$AO$1601&lt;$AO464))+1,"")</f>
        <v/>
      </c>
      <c r="AM464">
        <f>IF($D464="","",IF(OR($R464=TRUE(),$R464="TRUE"),1,0))</f>
        <v/>
      </c>
      <c r="AN464">
        <f>IF($D464="","",IF($AA464="Yes",1,0))</f>
        <v/>
      </c>
      <c r="AO464">
        <f>IF($AK464=1,IFERROR(IF(VALUE($D464)&lt;100000000,VALUE($D464),1000000000),IFERROR(IF(VALUE(MID($D464,2,20))&lt;100000000,VALUE(MID($D464,2,20)),1000000000),1000000000))+ROW()/100000,"")</f>
        <v/>
      </c>
    </row>
    <row r="465">
      <c r="F465" s="11" t="n"/>
      <c r="N465" s="7">
        <f>IF($D465="","",M465*X465/100)</f>
        <v/>
      </c>
      <c r="O465" s="7" t="n"/>
      <c r="U465" s="7" t="n"/>
      <c r="V465" s="7" t="n"/>
      <c r="W465" s="7">
        <f>IF($D465="","",V465*AB465/100)</f>
        <v/>
      </c>
      <c r="X465" s="7">
        <f>IF($D465="","",V465-W465)</f>
        <v/>
      </c>
      <c r="Y465" s="7">
        <f>IF($D465="","",X465-N465)</f>
        <v/>
      </c>
      <c r="AB465">
        <f>IF($D465="","",IF($AN465=1,Settings!$C$8,IF($AM465=1,Settings!$C$6,Settings!$C$7))*100)</f>
        <v/>
      </c>
      <c r="AF465" s="7" t="n"/>
      <c r="AI465" s="11" t="n"/>
      <c r="AK465">
        <f>IF($D465="","",IF(COUNTIF($D$2:$D465,$D465)=1,1,0))</f>
        <v/>
      </c>
      <c r="AL465">
        <f>IF($AK465=1,SUMPRODUCT(--($AO$2:$AO$1601&lt;$AO465))+1,"")</f>
        <v/>
      </c>
      <c r="AM465">
        <f>IF($D465="","",IF(OR($R465=TRUE(),$R465="TRUE"),1,0))</f>
        <v/>
      </c>
      <c r="AN465">
        <f>IF($D465="","",IF($AA465="Yes",1,0))</f>
        <v/>
      </c>
      <c r="AO465">
        <f>IF($AK465=1,IFERROR(IF(VALUE($D465)&lt;100000000,VALUE($D465),1000000000),IFERROR(IF(VALUE(MID($D465,2,20))&lt;100000000,VALUE(MID($D465,2,20)),1000000000),1000000000))+ROW()/100000,"")</f>
        <v/>
      </c>
    </row>
    <row r="466">
      <c r="F466" s="11" t="n"/>
      <c r="N466" s="7">
        <f>IF($D466="","",M466*X466/100)</f>
        <v/>
      </c>
      <c r="O466" s="7" t="n"/>
      <c r="U466" s="7" t="n"/>
      <c r="V466" s="7" t="n"/>
      <c r="W466" s="7">
        <f>IF($D466="","",V466*AB466/100)</f>
        <v/>
      </c>
      <c r="X466" s="7">
        <f>IF($D466="","",V466-W466)</f>
        <v/>
      </c>
      <c r="Y466" s="7">
        <f>IF($D466="","",X466-N466)</f>
        <v/>
      </c>
      <c r="AB466">
        <f>IF($D466="","",IF($AN466=1,Settings!$C$8,IF($AM466=1,Settings!$C$6,Settings!$C$7))*100)</f>
        <v/>
      </c>
      <c r="AF466" s="7" t="n"/>
      <c r="AI466" s="11" t="n"/>
      <c r="AK466">
        <f>IF($D466="","",IF(COUNTIF($D$2:$D466,$D466)=1,1,0))</f>
        <v/>
      </c>
      <c r="AL466">
        <f>IF($AK466=1,SUMPRODUCT(--($AO$2:$AO$1601&lt;$AO466))+1,"")</f>
        <v/>
      </c>
      <c r="AM466">
        <f>IF($D466="","",IF(OR($R466=TRUE(),$R466="TRUE"),1,0))</f>
        <v/>
      </c>
      <c r="AN466">
        <f>IF($D466="","",IF($AA466="Yes",1,0))</f>
        <v/>
      </c>
      <c r="AO466">
        <f>IF($AK466=1,IFERROR(IF(VALUE($D466)&lt;100000000,VALUE($D466),1000000000),IFERROR(IF(VALUE(MID($D466,2,20))&lt;100000000,VALUE(MID($D466,2,20)),1000000000),1000000000))+ROW()/100000,"")</f>
        <v/>
      </c>
    </row>
    <row r="467">
      <c r="F467" s="11" t="n"/>
      <c r="N467" s="7">
        <f>IF($D467="","",M467*X467/100)</f>
        <v/>
      </c>
      <c r="O467" s="7" t="n"/>
      <c r="U467" s="7" t="n"/>
      <c r="V467" s="7" t="n"/>
      <c r="W467" s="7">
        <f>IF($D467="","",V467*AB467/100)</f>
        <v/>
      </c>
      <c r="X467" s="7">
        <f>IF($D467="","",V467-W467)</f>
        <v/>
      </c>
      <c r="Y467" s="7">
        <f>IF($D467="","",X467-N467)</f>
        <v/>
      </c>
      <c r="AB467">
        <f>IF($D467="","",IF($AN467=1,Settings!$C$8,IF($AM467=1,Settings!$C$6,Settings!$C$7))*100)</f>
        <v/>
      </c>
      <c r="AF467" s="7" t="n"/>
      <c r="AI467" s="11" t="n"/>
      <c r="AK467">
        <f>IF($D467="","",IF(COUNTIF($D$2:$D467,$D467)=1,1,0))</f>
        <v/>
      </c>
      <c r="AL467">
        <f>IF($AK467=1,SUMPRODUCT(--($AO$2:$AO$1601&lt;$AO467))+1,"")</f>
        <v/>
      </c>
      <c r="AM467">
        <f>IF($D467="","",IF(OR($R467=TRUE(),$R467="TRUE"),1,0))</f>
        <v/>
      </c>
      <c r="AN467">
        <f>IF($D467="","",IF($AA467="Yes",1,0))</f>
        <v/>
      </c>
      <c r="AO467">
        <f>IF($AK467=1,IFERROR(IF(VALUE($D467)&lt;100000000,VALUE($D467),1000000000),IFERROR(IF(VALUE(MID($D467,2,20))&lt;100000000,VALUE(MID($D467,2,20)),1000000000),1000000000))+ROW()/100000,"")</f>
        <v/>
      </c>
    </row>
    <row r="468">
      <c r="F468" s="11" t="n"/>
      <c r="N468" s="7">
        <f>IF($D468="","",M468*X468/100)</f>
        <v/>
      </c>
      <c r="O468" s="7" t="n"/>
      <c r="U468" s="7" t="n"/>
      <c r="V468" s="7" t="n"/>
      <c r="W468" s="7">
        <f>IF($D468="","",V468*AB468/100)</f>
        <v/>
      </c>
      <c r="X468" s="7">
        <f>IF($D468="","",V468-W468)</f>
        <v/>
      </c>
      <c r="Y468" s="7">
        <f>IF($D468="","",X468-N468)</f>
        <v/>
      </c>
      <c r="AB468">
        <f>IF($D468="","",IF($AN468=1,Settings!$C$8,IF($AM468=1,Settings!$C$6,Settings!$C$7))*100)</f>
        <v/>
      </c>
      <c r="AF468" s="7" t="n"/>
      <c r="AI468" s="11" t="n"/>
      <c r="AK468">
        <f>IF($D468="","",IF(COUNTIF($D$2:$D468,$D468)=1,1,0))</f>
        <v/>
      </c>
      <c r="AL468">
        <f>IF($AK468=1,SUMPRODUCT(--($AO$2:$AO$1601&lt;$AO468))+1,"")</f>
        <v/>
      </c>
      <c r="AM468">
        <f>IF($D468="","",IF(OR($R468=TRUE(),$R468="TRUE"),1,0))</f>
        <v/>
      </c>
      <c r="AN468">
        <f>IF($D468="","",IF($AA468="Yes",1,0))</f>
        <v/>
      </c>
      <c r="AO468">
        <f>IF($AK468=1,IFERROR(IF(VALUE($D468)&lt;100000000,VALUE($D468),1000000000),IFERROR(IF(VALUE(MID($D468,2,20))&lt;100000000,VALUE(MID($D468,2,20)),1000000000),1000000000))+ROW()/100000,"")</f>
        <v/>
      </c>
    </row>
    <row r="469">
      <c r="F469" s="11" t="n"/>
      <c r="N469" s="7">
        <f>IF($D469="","",M469*X469/100)</f>
        <v/>
      </c>
      <c r="O469" s="7" t="n"/>
      <c r="U469" s="7" t="n"/>
      <c r="V469" s="7" t="n"/>
      <c r="W469" s="7">
        <f>IF($D469="","",V469*AB469/100)</f>
        <v/>
      </c>
      <c r="X469" s="7">
        <f>IF($D469="","",V469-W469)</f>
        <v/>
      </c>
      <c r="Y469" s="7">
        <f>IF($D469="","",X469-N469)</f>
        <v/>
      </c>
      <c r="AB469">
        <f>IF($D469="","",IF($AN469=1,Settings!$C$8,IF($AM469=1,Settings!$C$6,Settings!$C$7))*100)</f>
        <v/>
      </c>
      <c r="AF469" s="7" t="n"/>
      <c r="AI469" s="11" t="n"/>
      <c r="AK469">
        <f>IF($D469="","",IF(COUNTIF($D$2:$D469,$D469)=1,1,0))</f>
        <v/>
      </c>
      <c r="AL469">
        <f>IF($AK469=1,SUMPRODUCT(--($AO$2:$AO$1601&lt;$AO469))+1,"")</f>
        <v/>
      </c>
      <c r="AM469">
        <f>IF($D469="","",IF(OR($R469=TRUE(),$R469="TRUE"),1,0))</f>
        <v/>
      </c>
      <c r="AN469">
        <f>IF($D469="","",IF($AA469="Yes",1,0))</f>
        <v/>
      </c>
      <c r="AO469">
        <f>IF($AK469=1,IFERROR(IF(VALUE($D469)&lt;100000000,VALUE($D469),1000000000),IFERROR(IF(VALUE(MID($D469,2,20))&lt;100000000,VALUE(MID($D469,2,20)),1000000000),1000000000))+ROW()/100000,"")</f>
        <v/>
      </c>
    </row>
    <row r="470">
      <c r="F470" s="11" t="n"/>
      <c r="N470" s="7">
        <f>IF($D470="","",M470*X470/100)</f>
        <v/>
      </c>
      <c r="O470" s="7" t="n"/>
      <c r="U470" s="7" t="n"/>
      <c r="V470" s="7" t="n"/>
      <c r="W470" s="7">
        <f>IF($D470="","",V470*AB470/100)</f>
        <v/>
      </c>
      <c r="X470" s="7">
        <f>IF($D470="","",V470-W470)</f>
        <v/>
      </c>
      <c r="Y470" s="7">
        <f>IF($D470="","",X470-N470)</f>
        <v/>
      </c>
      <c r="AB470">
        <f>IF($D470="","",IF($AN470=1,Settings!$C$8,IF($AM470=1,Settings!$C$6,Settings!$C$7))*100)</f>
        <v/>
      </c>
      <c r="AF470" s="7" t="n"/>
      <c r="AI470" s="11" t="n"/>
      <c r="AK470">
        <f>IF($D470="","",IF(COUNTIF($D$2:$D470,$D470)=1,1,0))</f>
        <v/>
      </c>
      <c r="AL470">
        <f>IF($AK470=1,SUMPRODUCT(--($AO$2:$AO$1601&lt;$AO470))+1,"")</f>
        <v/>
      </c>
      <c r="AM470">
        <f>IF($D470="","",IF(OR($R470=TRUE(),$R470="TRUE"),1,0))</f>
        <v/>
      </c>
      <c r="AN470">
        <f>IF($D470="","",IF($AA470="Yes",1,0))</f>
        <v/>
      </c>
      <c r="AO470">
        <f>IF($AK470=1,IFERROR(IF(VALUE($D470)&lt;100000000,VALUE($D470),1000000000),IFERROR(IF(VALUE(MID($D470,2,20))&lt;100000000,VALUE(MID($D470,2,20)),1000000000),1000000000))+ROW()/100000,"")</f>
        <v/>
      </c>
    </row>
    <row r="471">
      <c r="F471" s="11" t="n"/>
      <c r="N471" s="7">
        <f>IF($D471="","",M471*X471/100)</f>
        <v/>
      </c>
      <c r="O471" s="7" t="n"/>
      <c r="U471" s="7" t="n"/>
      <c r="V471" s="7" t="n"/>
      <c r="W471" s="7">
        <f>IF($D471="","",V471*AB471/100)</f>
        <v/>
      </c>
      <c r="X471" s="7">
        <f>IF($D471="","",V471-W471)</f>
        <v/>
      </c>
      <c r="Y471" s="7">
        <f>IF($D471="","",X471-N471)</f>
        <v/>
      </c>
      <c r="AB471">
        <f>IF($D471="","",IF($AN471=1,Settings!$C$8,IF($AM471=1,Settings!$C$6,Settings!$C$7))*100)</f>
        <v/>
      </c>
      <c r="AF471" s="7" t="n"/>
      <c r="AI471" s="11" t="n"/>
      <c r="AK471">
        <f>IF($D471="","",IF(COUNTIF($D$2:$D471,$D471)=1,1,0))</f>
        <v/>
      </c>
      <c r="AL471">
        <f>IF($AK471=1,SUMPRODUCT(--($AO$2:$AO$1601&lt;$AO471))+1,"")</f>
        <v/>
      </c>
      <c r="AM471">
        <f>IF($D471="","",IF(OR($R471=TRUE(),$R471="TRUE"),1,0))</f>
        <v/>
      </c>
      <c r="AN471">
        <f>IF($D471="","",IF($AA471="Yes",1,0))</f>
        <v/>
      </c>
      <c r="AO471">
        <f>IF($AK471=1,IFERROR(IF(VALUE($D471)&lt;100000000,VALUE($D471),1000000000),IFERROR(IF(VALUE(MID($D471,2,20))&lt;100000000,VALUE(MID($D471,2,20)),1000000000),1000000000))+ROW()/100000,"")</f>
        <v/>
      </c>
    </row>
    <row r="472">
      <c r="F472" s="11" t="n"/>
      <c r="N472" s="7">
        <f>IF($D472="","",M472*X472/100)</f>
        <v/>
      </c>
      <c r="O472" s="7" t="n"/>
      <c r="U472" s="7" t="n"/>
      <c r="V472" s="7" t="n"/>
      <c r="W472" s="7">
        <f>IF($D472="","",V472*AB472/100)</f>
        <v/>
      </c>
      <c r="X472" s="7">
        <f>IF($D472="","",V472-W472)</f>
        <v/>
      </c>
      <c r="Y472" s="7">
        <f>IF($D472="","",X472-N472)</f>
        <v/>
      </c>
      <c r="AB472">
        <f>IF($D472="","",IF($AN472=1,Settings!$C$8,IF($AM472=1,Settings!$C$6,Settings!$C$7))*100)</f>
        <v/>
      </c>
      <c r="AF472" s="7" t="n"/>
      <c r="AI472" s="11" t="n"/>
      <c r="AK472">
        <f>IF($D472="","",IF(COUNTIF($D$2:$D472,$D472)=1,1,0))</f>
        <v/>
      </c>
      <c r="AL472">
        <f>IF($AK472=1,SUMPRODUCT(--($AO$2:$AO$1601&lt;$AO472))+1,"")</f>
        <v/>
      </c>
      <c r="AM472">
        <f>IF($D472="","",IF(OR($R472=TRUE(),$R472="TRUE"),1,0))</f>
        <v/>
      </c>
      <c r="AN472">
        <f>IF($D472="","",IF($AA472="Yes",1,0))</f>
        <v/>
      </c>
      <c r="AO472">
        <f>IF($AK472=1,IFERROR(IF(VALUE($D472)&lt;100000000,VALUE($D472),1000000000),IFERROR(IF(VALUE(MID($D472,2,20))&lt;100000000,VALUE(MID($D472,2,20)),1000000000),1000000000))+ROW()/100000,"")</f>
        <v/>
      </c>
    </row>
    <row r="473">
      <c r="F473" s="11" t="n"/>
      <c r="N473" s="7">
        <f>IF($D473="","",M473*X473/100)</f>
        <v/>
      </c>
      <c r="O473" s="7" t="n"/>
      <c r="U473" s="7" t="n"/>
      <c r="V473" s="7" t="n"/>
      <c r="W473" s="7">
        <f>IF($D473="","",V473*AB473/100)</f>
        <v/>
      </c>
      <c r="X473" s="7">
        <f>IF($D473="","",V473-W473)</f>
        <v/>
      </c>
      <c r="Y473" s="7">
        <f>IF($D473="","",X473-N473)</f>
        <v/>
      </c>
      <c r="AB473">
        <f>IF($D473="","",IF($AN473=1,Settings!$C$8,IF($AM473=1,Settings!$C$6,Settings!$C$7))*100)</f>
        <v/>
      </c>
      <c r="AF473" s="7" t="n"/>
      <c r="AI473" s="11" t="n"/>
      <c r="AK473">
        <f>IF($D473="","",IF(COUNTIF($D$2:$D473,$D473)=1,1,0))</f>
        <v/>
      </c>
      <c r="AL473">
        <f>IF($AK473=1,SUMPRODUCT(--($AO$2:$AO$1601&lt;$AO473))+1,"")</f>
        <v/>
      </c>
      <c r="AM473">
        <f>IF($D473="","",IF(OR($R473=TRUE(),$R473="TRUE"),1,0))</f>
        <v/>
      </c>
      <c r="AN473">
        <f>IF($D473="","",IF($AA473="Yes",1,0))</f>
        <v/>
      </c>
      <c r="AO473">
        <f>IF($AK473=1,IFERROR(IF(VALUE($D473)&lt;100000000,VALUE($D473),1000000000),IFERROR(IF(VALUE(MID($D473,2,20))&lt;100000000,VALUE(MID($D473,2,20)),1000000000),1000000000))+ROW()/100000,"")</f>
        <v/>
      </c>
    </row>
    <row r="474">
      <c r="F474" s="11" t="n"/>
      <c r="N474" s="7">
        <f>IF($D474="","",M474*X474/100)</f>
        <v/>
      </c>
      <c r="O474" s="7" t="n"/>
      <c r="U474" s="7" t="n"/>
      <c r="V474" s="7" t="n"/>
      <c r="W474" s="7">
        <f>IF($D474="","",V474*AB474/100)</f>
        <v/>
      </c>
      <c r="X474" s="7">
        <f>IF($D474="","",V474-W474)</f>
        <v/>
      </c>
      <c r="Y474" s="7">
        <f>IF($D474="","",X474-N474)</f>
        <v/>
      </c>
      <c r="AB474">
        <f>IF($D474="","",IF($AN474=1,Settings!$C$8,IF($AM474=1,Settings!$C$6,Settings!$C$7))*100)</f>
        <v/>
      </c>
      <c r="AF474" s="7" t="n"/>
      <c r="AI474" s="11" t="n"/>
      <c r="AK474">
        <f>IF($D474="","",IF(COUNTIF($D$2:$D474,$D474)=1,1,0))</f>
        <v/>
      </c>
      <c r="AL474">
        <f>IF($AK474=1,SUMPRODUCT(--($AO$2:$AO$1601&lt;$AO474))+1,"")</f>
        <v/>
      </c>
      <c r="AM474">
        <f>IF($D474="","",IF(OR($R474=TRUE(),$R474="TRUE"),1,0))</f>
        <v/>
      </c>
      <c r="AN474">
        <f>IF($D474="","",IF($AA474="Yes",1,0))</f>
        <v/>
      </c>
      <c r="AO474">
        <f>IF($AK474=1,IFERROR(IF(VALUE($D474)&lt;100000000,VALUE($D474),1000000000),IFERROR(IF(VALUE(MID($D474,2,20))&lt;100000000,VALUE(MID($D474,2,20)),1000000000),1000000000))+ROW()/100000,"")</f>
        <v/>
      </c>
    </row>
    <row r="475">
      <c r="F475" s="11" t="n"/>
      <c r="N475" s="7">
        <f>IF($D475="","",M475*X475/100)</f>
        <v/>
      </c>
      <c r="O475" s="7" t="n"/>
      <c r="U475" s="7" t="n"/>
      <c r="V475" s="7" t="n"/>
      <c r="W475" s="7">
        <f>IF($D475="","",V475*AB475/100)</f>
        <v/>
      </c>
      <c r="X475" s="7">
        <f>IF($D475="","",V475-W475)</f>
        <v/>
      </c>
      <c r="Y475" s="7">
        <f>IF($D475="","",X475-N475)</f>
        <v/>
      </c>
      <c r="AB475">
        <f>IF($D475="","",IF($AN475=1,Settings!$C$8,IF($AM475=1,Settings!$C$6,Settings!$C$7))*100)</f>
        <v/>
      </c>
      <c r="AF475" s="7" t="n"/>
      <c r="AI475" s="11" t="n"/>
      <c r="AK475">
        <f>IF($D475="","",IF(COUNTIF($D$2:$D475,$D475)=1,1,0))</f>
        <v/>
      </c>
      <c r="AL475">
        <f>IF($AK475=1,SUMPRODUCT(--($AO$2:$AO$1601&lt;$AO475))+1,"")</f>
        <v/>
      </c>
      <c r="AM475">
        <f>IF($D475="","",IF(OR($R475=TRUE(),$R475="TRUE"),1,0))</f>
        <v/>
      </c>
      <c r="AN475">
        <f>IF($D475="","",IF($AA475="Yes",1,0))</f>
        <v/>
      </c>
      <c r="AO475">
        <f>IF($AK475=1,IFERROR(IF(VALUE($D475)&lt;100000000,VALUE($D475),1000000000),IFERROR(IF(VALUE(MID($D475,2,20))&lt;100000000,VALUE(MID($D475,2,20)),1000000000),1000000000))+ROW()/100000,"")</f>
        <v/>
      </c>
    </row>
    <row r="476">
      <c r="F476" s="11" t="n"/>
      <c r="N476" s="7">
        <f>IF($D476="","",M476*X476/100)</f>
        <v/>
      </c>
      <c r="O476" s="7" t="n"/>
      <c r="U476" s="7" t="n"/>
      <c r="V476" s="7" t="n"/>
      <c r="W476" s="7">
        <f>IF($D476="","",V476*AB476/100)</f>
        <v/>
      </c>
      <c r="X476" s="7">
        <f>IF($D476="","",V476-W476)</f>
        <v/>
      </c>
      <c r="Y476" s="7">
        <f>IF($D476="","",X476-N476)</f>
        <v/>
      </c>
      <c r="AB476">
        <f>IF($D476="","",IF($AN476=1,Settings!$C$8,IF($AM476=1,Settings!$C$6,Settings!$C$7))*100)</f>
        <v/>
      </c>
      <c r="AF476" s="7" t="n"/>
      <c r="AI476" s="11" t="n"/>
      <c r="AK476">
        <f>IF($D476="","",IF(COUNTIF($D$2:$D476,$D476)=1,1,0))</f>
        <v/>
      </c>
      <c r="AL476">
        <f>IF($AK476=1,SUMPRODUCT(--($AO$2:$AO$1601&lt;$AO476))+1,"")</f>
        <v/>
      </c>
      <c r="AM476">
        <f>IF($D476="","",IF(OR($R476=TRUE(),$R476="TRUE"),1,0))</f>
        <v/>
      </c>
      <c r="AN476">
        <f>IF($D476="","",IF($AA476="Yes",1,0))</f>
        <v/>
      </c>
      <c r="AO476">
        <f>IF($AK476=1,IFERROR(IF(VALUE($D476)&lt;100000000,VALUE($D476),1000000000),IFERROR(IF(VALUE(MID($D476,2,20))&lt;100000000,VALUE(MID($D476,2,20)),1000000000),1000000000))+ROW()/100000,"")</f>
        <v/>
      </c>
    </row>
    <row r="477">
      <c r="F477" s="11" t="n"/>
      <c r="N477" s="7">
        <f>IF($D477="","",M477*X477/100)</f>
        <v/>
      </c>
      <c r="O477" s="7" t="n"/>
      <c r="U477" s="7" t="n"/>
      <c r="V477" s="7" t="n"/>
      <c r="W477" s="7">
        <f>IF($D477="","",V477*AB477/100)</f>
        <v/>
      </c>
      <c r="X477" s="7">
        <f>IF($D477="","",V477-W477)</f>
        <v/>
      </c>
      <c r="Y477" s="7">
        <f>IF($D477="","",X477-N477)</f>
        <v/>
      </c>
      <c r="AB477">
        <f>IF($D477="","",IF($AN477=1,Settings!$C$8,IF($AM477=1,Settings!$C$6,Settings!$C$7))*100)</f>
        <v/>
      </c>
      <c r="AF477" s="7" t="n"/>
      <c r="AI477" s="11" t="n"/>
      <c r="AK477">
        <f>IF($D477="","",IF(COUNTIF($D$2:$D477,$D477)=1,1,0))</f>
        <v/>
      </c>
      <c r="AL477">
        <f>IF($AK477=1,SUMPRODUCT(--($AO$2:$AO$1601&lt;$AO477))+1,"")</f>
        <v/>
      </c>
      <c r="AM477">
        <f>IF($D477="","",IF(OR($R477=TRUE(),$R477="TRUE"),1,0))</f>
        <v/>
      </c>
      <c r="AN477">
        <f>IF($D477="","",IF($AA477="Yes",1,0))</f>
        <v/>
      </c>
      <c r="AO477">
        <f>IF($AK477=1,IFERROR(IF(VALUE($D477)&lt;100000000,VALUE($D477),1000000000),IFERROR(IF(VALUE(MID($D477,2,20))&lt;100000000,VALUE(MID($D477,2,20)),1000000000),1000000000))+ROW()/100000,"")</f>
        <v/>
      </c>
    </row>
    <row r="478">
      <c r="F478" s="11" t="n"/>
      <c r="N478" s="7">
        <f>IF($D478="","",M478*X478/100)</f>
        <v/>
      </c>
      <c r="O478" s="7" t="n"/>
      <c r="U478" s="7" t="n"/>
      <c r="V478" s="7" t="n"/>
      <c r="W478" s="7">
        <f>IF($D478="","",V478*AB478/100)</f>
        <v/>
      </c>
      <c r="X478" s="7">
        <f>IF($D478="","",V478-W478)</f>
        <v/>
      </c>
      <c r="Y478" s="7">
        <f>IF($D478="","",X478-N478)</f>
        <v/>
      </c>
      <c r="AB478">
        <f>IF($D478="","",IF($AN478=1,Settings!$C$8,IF($AM478=1,Settings!$C$6,Settings!$C$7))*100)</f>
        <v/>
      </c>
      <c r="AF478" s="7" t="n"/>
      <c r="AI478" s="11" t="n"/>
      <c r="AK478">
        <f>IF($D478="","",IF(COUNTIF($D$2:$D478,$D478)=1,1,0))</f>
        <v/>
      </c>
      <c r="AL478">
        <f>IF($AK478=1,SUMPRODUCT(--($AO$2:$AO$1601&lt;$AO478))+1,"")</f>
        <v/>
      </c>
      <c r="AM478">
        <f>IF($D478="","",IF(OR($R478=TRUE(),$R478="TRUE"),1,0))</f>
        <v/>
      </c>
      <c r="AN478">
        <f>IF($D478="","",IF($AA478="Yes",1,0))</f>
        <v/>
      </c>
      <c r="AO478">
        <f>IF($AK478=1,IFERROR(IF(VALUE($D478)&lt;100000000,VALUE($D478),1000000000),IFERROR(IF(VALUE(MID($D478,2,20))&lt;100000000,VALUE(MID($D478,2,20)),1000000000),1000000000))+ROW()/100000,"")</f>
        <v/>
      </c>
    </row>
    <row r="479">
      <c r="F479" s="11" t="n"/>
      <c r="N479" s="7">
        <f>IF($D479="","",M479*X479/100)</f>
        <v/>
      </c>
      <c r="O479" s="7" t="n"/>
      <c r="U479" s="7" t="n"/>
      <c r="V479" s="7" t="n"/>
      <c r="W479" s="7">
        <f>IF($D479="","",V479*AB479/100)</f>
        <v/>
      </c>
      <c r="X479" s="7">
        <f>IF($D479="","",V479-W479)</f>
        <v/>
      </c>
      <c r="Y479" s="7">
        <f>IF($D479="","",X479-N479)</f>
        <v/>
      </c>
      <c r="AB479">
        <f>IF($D479="","",IF($AN479=1,Settings!$C$8,IF($AM479=1,Settings!$C$6,Settings!$C$7))*100)</f>
        <v/>
      </c>
      <c r="AF479" s="7" t="n"/>
      <c r="AI479" s="11" t="n"/>
      <c r="AK479">
        <f>IF($D479="","",IF(COUNTIF($D$2:$D479,$D479)=1,1,0))</f>
        <v/>
      </c>
      <c r="AL479">
        <f>IF($AK479=1,SUMPRODUCT(--($AO$2:$AO$1601&lt;$AO479))+1,"")</f>
        <v/>
      </c>
      <c r="AM479">
        <f>IF($D479="","",IF(OR($R479=TRUE(),$R479="TRUE"),1,0))</f>
        <v/>
      </c>
      <c r="AN479">
        <f>IF($D479="","",IF($AA479="Yes",1,0))</f>
        <v/>
      </c>
      <c r="AO479">
        <f>IF($AK479=1,IFERROR(IF(VALUE($D479)&lt;100000000,VALUE($D479),1000000000),IFERROR(IF(VALUE(MID($D479,2,20))&lt;100000000,VALUE(MID($D479,2,20)),1000000000),1000000000))+ROW()/100000,"")</f>
        <v/>
      </c>
    </row>
    <row r="480">
      <c r="F480" s="11" t="n"/>
      <c r="N480" s="7">
        <f>IF($D480="","",M480*X480/100)</f>
        <v/>
      </c>
      <c r="O480" s="7" t="n"/>
      <c r="U480" s="7" t="n"/>
      <c r="V480" s="7" t="n"/>
      <c r="W480" s="7">
        <f>IF($D480="","",V480*AB480/100)</f>
        <v/>
      </c>
      <c r="X480" s="7">
        <f>IF($D480="","",V480-W480)</f>
        <v/>
      </c>
      <c r="Y480" s="7">
        <f>IF($D480="","",X480-N480)</f>
        <v/>
      </c>
      <c r="AB480">
        <f>IF($D480="","",IF($AN480=1,Settings!$C$8,IF($AM480=1,Settings!$C$6,Settings!$C$7))*100)</f>
        <v/>
      </c>
      <c r="AF480" s="7" t="n"/>
      <c r="AI480" s="11" t="n"/>
      <c r="AK480">
        <f>IF($D480="","",IF(COUNTIF($D$2:$D480,$D480)=1,1,0))</f>
        <v/>
      </c>
      <c r="AL480">
        <f>IF($AK480=1,SUMPRODUCT(--($AO$2:$AO$1601&lt;$AO480))+1,"")</f>
        <v/>
      </c>
      <c r="AM480">
        <f>IF($D480="","",IF(OR($R480=TRUE(),$R480="TRUE"),1,0))</f>
        <v/>
      </c>
      <c r="AN480">
        <f>IF($D480="","",IF($AA480="Yes",1,0))</f>
        <v/>
      </c>
      <c r="AO480">
        <f>IF($AK480=1,IFERROR(IF(VALUE($D480)&lt;100000000,VALUE($D480),1000000000),IFERROR(IF(VALUE(MID($D480,2,20))&lt;100000000,VALUE(MID($D480,2,20)),1000000000),1000000000))+ROW()/100000,"")</f>
        <v/>
      </c>
    </row>
    <row r="481">
      <c r="F481" s="11" t="n"/>
      <c r="N481" s="7">
        <f>IF($D481="","",M481*X481/100)</f>
        <v/>
      </c>
      <c r="O481" s="7" t="n"/>
      <c r="U481" s="7" t="n"/>
      <c r="V481" s="7" t="n"/>
      <c r="W481" s="7">
        <f>IF($D481="","",V481*AB481/100)</f>
        <v/>
      </c>
      <c r="X481" s="7">
        <f>IF($D481="","",V481-W481)</f>
        <v/>
      </c>
      <c r="Y481" s="7">
        <f>IF($D481="","",X481-N481)</f>
        <v/>
      </c>
      <c r="AB481">
        <f>IF($D481="","",IF($AN481=1,Settings!$C$8,IF($AM481=1,Settings!$C$6,Settings!$C$7))*100)</f>
        <v/>
      </c>
      <c r="AF481" s="7" t="n"/>
      <c r="AI481" s="11" t="n"/>
      <c r="AK481">
        <f>IF($D481="","",IF(COUNTIF($D$2:$D481,$D481)=1,1,0))</f>
        <v/>
      </c>
      <c r="AL481">
        <f>IF($AK481=1,SUMPRODUCT(--($AO$2:$AO$1601&lt;$AO481))+1,"")</f>
        <v/>
      </c>
      <c r="AM481">
        <f>IF($D481="","",IF(OR($R481=TRUE(),$R481="TRUE"),1,0))</f>
        <v/>
      </c>
      <c r="AN481">
        <f>IF($D481="","",IF($AA481="Yes",1,0))</f>
        <v/>
      </c>
      <c r="AO481">
        <f>IF($AK481=1,IFERROR(IF(VALUE($D481)&lt;100000000,VALUE($D481),1000000000),IFERROR(IF(VALUE(MID($D481,2,20))&lt;100000000,VALUE(MID($D481,2,20)),1000000000),1000000000))+ROW()/100000,"")</f>
        <v/>
      </c>
    </row>
    <row r="482">
      <c r="F482" s="11" t="n"/>
      <c r="N482" s="7">
        <f>IF($D482="","",M482*X482/100)</f>
        <v/>
      </c>
      <c r="O482" s="7" t="n"/>
      <c r="U482" s="7" t="n"/>
      <c r="V482" s="7" t="n"/>
      <c r="W482" s="7">
        <f>IF($D482="","",V482*AB482/100)</f>
        <v/>
      </c>
      <c r="X482" s="7">
        <f>IF($D482="","",V482-W482)</f>
        <v/>
      </c>
      <c r="Y482" s="7">
        <f>IF($D482="","",X482-N482)</f>
        <v/>
      </c>
      <c r="AB482">
        <f>IF($D482="","",IF($AN482=1,Settings!$C$8,IF($AM482=1,Settings!$C$6,Settings!$C$7))*100)</f>
        <v/>
      </c>
      <c r="AF482" s="7" t="n"/>
      <c r="AI482" s="11" t="n"/>
      <c r="AK482">
        <f>IF($D482="","",IF(COUNTIF($D$2:$D482,$D482)=1,1,0))</f>
        <v/>
      </c>
      <c r="AL482">
        <f>IF($AK482=1,SUMPRODUCT(--($AO$2:$AO$1601&lt;$AO482))+1,"")</f>
        <v/>
      </c>
      <c r="AM482">
        <f>IF($D482="","",IF(OR($R482=TRUE(),$R482="TRUE"),1,0))</f>
        <v/>
      </c>
      <c r="AN482">
        <f>IF($D482="","",IF($AA482="Yes",1,0))</f>
        <v/>
      </c>
      <c r="AO482">
        <f>IF($AK482=1,IFERROR(IF(VALUE($D482)&lt;100000000,VALUE($D482),1000000000),IFERROR(IF(VALUE(MID($D482,2,20))&lt;100000000,VALUE(MID($D482,2,20)),1000000000),1000000000))+ROW()/100000,"")</f>
        <v/>
      </c>
    </row>
    <row r="483">
      <c r="F483" s="11" t="n"/>
      <c r="N483" s="7">
        <f>IF($D483="","",M483*X483/100)</f>
        <v/>
      </c>
      <c r="O483" s="7" t="n"/>
      <c r="U483" s="7" t="n"/>
      <c r="V483" s="7" t="n"/>
      <c r="W483" s="7">
        <f>IF($D483="","",V483*AB483/100)</f>
        <v/>
      </c>
      <c r="X483" s="7">
        <f>IF($D483="","",V483-W483)</f>
        <v/>
      </c>
      <c r="Y483" s="7">
        <f>IF($D483="","",X483-N483)</f>
        <v/>
      </c>
      <c r="AB483">
        <f>IF($D483="","",IF($AN483=1,Settings!$C$8,IF($AM483=1,Settings!$C$6,Settings!$C$7))*100)</f>
        <v/>
      </c>
      <c r="AF483" s="7" t="n"/>
      <c r="AI483" s="11" t="n"/>
      <c r="AK483">
        <f>IF($D483="","",IF(COUNTIF($D$2:$D483,$D483)=1,1,0))</f>
        <v/>
      </c>
      <c r="AL483">
        <f>IF($AK483=1,SUMPRODUCT(--($AO$2:$AO$1601&lt;$AO483))+1,"")</f>
        <v/>
      </c>
      <c r="AM483">
        <f>IF($D483="","",IF(OR($R483=TRUE(),$R483="TRUE"),1,0))</f>
        <v/>
      </c>
      <c r="AN483">
        <f>IF($D483="","",IF($AA483="Yes",1,0))</f>
        <v/>
      </c>
      <c r="AO483">
        <f>IF($AK483=1,IFERROR(IF(VALUE($D483)&lt;100000000,VALUE($D483),1000000000),IFERROR(IF(VALUE(MID($D483,2,20))&lt;100000000,VALUE(MID($D483,2,20)),1000000000),1000000000))+ROW()/100000,"")</f>
        <v/>
      </c>
    </row>
    <row r="484">
      <c r="F484" s="11" t="n"/>
      <c r="N484" s="7">
        <f>IF($D484="","",M484*X484/100)</f>
        <v/>
      </c>
      <c r="O484" s="7" t="n"/>
      <c r="U484" s="7" t="n"/>
      <c r="V484" s="7" t="n"/>
      <c r="W484" s="7">
        <f>IF($D484="","",V484*AB484/100)</f>
        <v/>
      </c>
      <c r="X484" s="7">
        <f>IF($D484="","",V484-W484)</f>
        <v/>
      </c>
      <c r="Y484" s="7">
        <f>IF($D484="","",X484-N484)</f>
        <v/>
      </c>
      <c r="AB484">
        <f>IF($D484="","",IF($AN484=1,Settings!$C$8,IF($AM484=1,Settings!$C$6,Settings!$C$7))*100)</f>
        <v/>
      </c>
      <c r="AF484" s="7" t="n"/>
      <c r="AI484" s="11" t="n"/>
      <c r="AK484">
        <f>IF($D484="","",IF(COUNTIF($D$2:$D484,$D484)=1,1,0))</f>
        <v/>
      </c>
      <c r="AL484">
        <f>IF($AK484=1,SUMPRODUCT(--($AO$2:$AO$1601&lt;$AO484))+1,"")</f>
        <v/>
      </c>
      <c r="AM484">
        <f>IF($D484="","",IF(OR($R484=TRUE(),$R484="TRUE"),1,0))</f>
        <v/>
      </c>
      <c r="AN484">
        <f>IF($D484="","",IF($AA484="Yes",1,0))</f>
        <v/>
      </c>
      <c r="AO484">
        <f>IF($AK484=1,IFERROR(IF(VALUE($D484)&lt;100000000,VALUE($D484),1000000000),IFERROR(IF(VALUE(MID($D484,2,20))&lt;100000000,VALUE(MID($D484,2,20)),1000000000),1000000000))+ROW()/100000,"")</f>
        <v/>
      </c>
    </row>
    <row r="485">
      <c r="F485" s="11" t="n"/>
      <c r="N485" s="7">
        <f>IF($D485="","",M485*X485/100)</f>
        <v/>
      </c>
      <c r="O485" s="7" t="n"/>
      <c r="U485" s="7" t="n"/>
      <c r="V485" s="7" t="n"/>
      <c r="W485" s="7">
        <f>IF($D485="","",V485*AB485/100)</f>
        <v/>
      </c>
      <c r="X485" s="7">
        <f>IF($D485="","",V485-W485)</f>
        <v/>
      </c>
      <c r="Y485" s="7">
        <f>IF($D485="","",X485-N485)</f>
        <v/>
      </c>
      <c r="AB485">
        <f>IF($D485="","",IF($AN485=1,Settings!$C$8,IF($AM485=1,Settings!$C$6,Settings!$C$7))*100)</f>
        <v/>
      </c>
      <c r="AF485" s="7" t="n"/>
      <c r="AI485" s="11" t="n"/>
      <c r="AK485">
        <f>IF($D485="","",IF(COUNTIF($D$2:$D485,$D485)=1,1,0))</f>
        <v/>
      </c>
      <c r="AL485">
        <f>IF($AK485=1,SUMPRODUCT(--($AO$2:$AO$1601&lt;$AO485))+1,"")</f>
        <v/>
      </c>
      <c r="AM485">
        <f>IF($D485="","",IF(OR($R485=TRUE(),$R485="TRUE"),1,0))</f>
        <v/>
      </c>
      <c r="AN485">
        <f>IF($D485="","",IF($AA485="Yes",1,0))</f>
        <v/>
      </c>
      <c r="AO485">
        <f>IF($AK485=1,IFERROR(IF(VALUE($D485)&lt;100000000,VALUE($D485),1000000000),IFERROR(IF(VALUE(MID($D485,2,20))&lt;100000000,VALUE(MID($D485,2,20)),1000000000),1000000000))+ROW()/100000,"")</f>
        <v/>
      </c>
    </row>
    <row r="486">
      <c r="F486" s="11" t="n"/>
      <c r="N486" s="7">
        <f>IF($D486="","",M486*X486/100)</f>
        <v/>
      </c>
      <c r="O486" s="7" t="n"/>
      <c r="U486" s="7" t="n"/>
      <c r="V486" s="7" t="n"/>
      <c r="W486" s="7">
        <f>IF($D486="","",V486*AB486/100)</f>
        <v/>
      </c>
      <c r="X486" s="7">
        <f>IF($D486="","",V486-W486)</f>
        <v/>
      </c>
      <c r="Y486" s="7">
        <f>IF($D486="","",X486-N486)</f>
        <v/>
      </c>
      <c r="AB486">
        <f>IF($D486="","",IF($AN486=1,Settings!$C$8,IF($AM486=1,Settings!$C$6,Settings!$C$7))*100)</f>
        <v/>
      </c>
      <c r="AF486" s="7" t="n"/>
      <c r="AI486" s="11" t="n"/>
      <c r="AK486">
        <f>IF($D486="","",IF(COUNTIF($D$2:$D486,$D486)=1,1,0))</f>
        <v/>
      </c>
      <c r="AL486">
        <f>IF($AK486=1,SUMPRODUCT(--($AO$2:$AO$1601&lt;$AO486))+1,"")</f>
        <v/>
      </c>
      <c r="AM486">
        <f>IF($D486="","",IF(OR($R486=TRUE(),$R486="TRUE"),1,0))</f>
        <v/>
      </c>
      <c r="AN486">
        <f>IF($D486="","",IF($AA486="Yes",1,0))</f>
        <v/>
      </c>
      <c r="AO486">
        <f>IF($AK486=1,IFERROR(IF(VALUE($D486)&lt;100000000,VALUE($D486),1000000000),IFERROR(IF(VALUE(MID($D486,2,20))&lt;100000000,VALUE(MID($D486,2,20)),1000000000),1000000000))+ROW()/100000,"")</f>
        <v/>
      </c>
    </row>
    <row r="487">
      <c r="F487" s="11" t="n"/>
      <c r="N487" s="7">
        <f>IF($D487="","",M487*X487/100)</f>
        <v/>
      </c>
      <c r="O487" s="7" t="n"/>
      <c r="U487" s="7" t="n"/>
      <c r="V487" s="7" t="n"/>
      <c r="W487" s="7">
        <f>IF($D487="","",V487*AB487/100)</f>
        <v/>
      </c>
      <c r="X487" s="7">
        <f>IF($D487="","",V487-W487)</f>
        <v/>
      </c>
      <c r="Y487" s="7">
        <f>IF($D487="","",X487-N487)</f>
        <v/>
      </c>
      <c r="AB487">
        <f>IF($D487="","",IF($AN487=1,Settings!$C$8,IF($AM487=1,Settings!$C$6,Settings!$C$7))*100)</f>
        <v/>
      </c>
      <c r="AF487" s="7" t="n"/>
      <c r="AI487" s="11" t="n"/>
      <c r="AK487">
        <f>IF($D487="","",IF(COUNTIF($D$2:$D487,$D487)=1,1,0))</f>
        <v/>
      </c>
      <c r="AL487">
        <f>IF($AK487=1,SUMPRODUCT(--($AO$2:$AO$1601&lt;$AO487))+1,"")</f>
        <v/>
      </c>
      <c r="AM487">
        <f>IF($D487="","",IF(OR($R487=TRUE(),$R487="TRUE"),1,0))</f>
        <v/>
      </c>
      <c r="AN487">
        <f>IF($D487="","",IF($AA487="Yes",1,0))</f>
        <v/>
      </c>
      <c r="AO487">
        <f>IF($AK487=1,IFERROR(IF(VALUE($D487)&lt;100000000,VALUE($D487),1000000000),IFERROR(IF(VALUE(MID($D487,2,20))&lt;100000000,VALUE(MID($D487,2,20)),1000000000),1000000000))+ROW()/100000,"")</f>
        <v/>
      </c>
    </row>
    <row r="488">
      <c r="F488" s="11" t="n"/>
      <c r="N488" s="7">
        <f>IF($D488="","",M488*X488/100)</f>
        <v/>
      </c>
      <c r="O488" s="7" t="n"/>
      <c r="U488" s="7" t="n"/>
      <c r="V488" s="7" t="n"/>
      <c r="W488" s="7">
        <f>IF($D488="","",V488*AB488/100)</f>
        <v/>
      </c>
      <c r="X488" s="7">
        <f>IF($D488="","",V488-W488)</f>
        <v/>
      </c>
      <c r="Y488" s="7">
        <f>IF($D488="","",X488-N488)</f>
        <v/>
      </c>
      <c r="AB488">
        <f>IF($D488="","",IF($AN488=1,Settings!$C$8,IF($AM488=1,Settings!$C$6,Settings!$C$7))*100)</f>
        <v/>
      </c>
      <c r="AF488" s="7" t="n"/>
      <c r="AI488" s="11" t="n"/>
      <c r="AK488">
        <f>IF($D488="","",IF(COUNTIF($D$2:$D488,$D488)=1,1,0))</f>
        <v/>
      </c>
      <c r="AL488">
        <f>IF($AK488=1,SUMPRODUCT(--($AO$2:$AO$1601&lt;$AO488))+1,"")</f>
        <v/>
      </c>
      <c r="AM488">
        <f>IF($D488="","",IF(OR($R488=TRUE(),$R488="TRUE"),1,0))</f>
        <v/>
      </c>
      <c r="AN488">
        <f>IF($D488="","",IF($AA488="Yes",1,0))</f>
        <v/>
      </c>
      <c r="AO488">
        <f>IF($AK488=1,IFERROR(IF(VALUE($D488)&lt;100000000,VALUE($D488),1000000000),IFERROR(IF(VALUE(MID($D488,2,20))&lt;100000000,VALUE(MID($D488,2,20)),1000000000),1000000000))+ROW()/100000,"")</f>
        <v/>
      </c>
    </row>
    <row r="489">
      <c r="F489" s="11" t="n"/>
      <c r="N489" s="7">
        <f>IF($D489="","",M489*X489/100)</f>
        <v/>
      </c>
      <c r="O489" s="7" t="n"/>
      <c r="U489" s="7" t="n"/>
      <c r="V489" s="7" t="n"/>
      <c r="W489" s="7">
        <f>IF($D489="","",V489*AB489/100)</f>
        <v/>
      </c>
      <c r="X489" s="7">
        <f>IF($D489="","",V489-W489)</f>
        <v/>
      </c>
      <c r="Y489" s="7">
        <f>IF($D489="","",X489-N489)</f>
        <v/>
      </c>
      <c r="AB489">
        <f>IF($D489="","",IF($AN489=1,Settings!$C$8,IF($AM489=1,Settings!$C$6,Settings!$C$7))*100)</f>
        <v/>
      </c>
      <c r="AF489" s="7" t="n"/>
      <c r="AI489" s="11" t="n"/>
      <c r="AK489">
        <f>IF($D489="","",IF(COUNTIF($D$2:$D489,$D489)=1,1,0))</f>
        <v/>
      </c>
      <c r="AL489">
        <f>IF($AK489=1,SUMPRODUCT(--($AO$2:$AO$1601&lt;$AO489))+1,"")</f>
        <v/>
      </c>
      <c r="AM489">
        <f>IF($D489="","",IF(OR($R489=TRUE(),$R489="TRUE"),1,0))</f>
        <v/>
      </c>
      <c r="AN489">
        <f>IF($D489="","",IF($AA489="Yes",1,0))</f>
        <v/>
      </c>
      <c r="AO489">
        <f>IF($AK489=1,IFERROR(IF(VALUE($D489)&lt;100000000,VALUE($D489),1000000000),IFERROR(IF(VALUE(MID($D489,2,20))&lt;100000000,VALUE(MID($D489,2,20)),1000000000),1000000000))+ROW()/100000,"")</f>
        <v/>
      </c>
    </row>
    <row r="490">
      <c r="F490" s="11" t="n"/>
      <c r="N490" s="7">
        <f>IF($D490="","",M490*X490/100)</f>
        <v/>
      </c>
      <c r="O490" s="7" t="n"/>
      <c r="U490" s="7" t="n"/>
      <c r="V490" s="7" t="n"/>
      <c r="W490" s="7">
        <f>IF($D490="","",V490*AB490/100)</f>
        <v/>
      </c>
      <c r="X490" s="7">
        <f>IF($D490="","",V490-W490)</f>
        <v/>
      </c>
      <c r="Y490" s="7">
        <f>IF($D490="","",X490-N490)</f>
        <v/>
      </c>
      <c r="AB490">
        <f>IF($D490="","",IF($AN490=1,Settings!$C$8,IF($AM490=1,Settings!$C$6,Settings!$C$7))*100)</f>
        <v/>
      </c>
      <c r="AF490" s="7" t="n"/>
      <c r="AI490" s="11" t="n"/>
      <c r="AK490">
        <f>IF($D490="","",IF(COUNTIF($D$2:$D490,$D490)=1,1,0))</f>
        <v/>
      </c>
      <c r="AL490">
        <f>IF($AK490=1,SUMPRODUCT(--($AO$2:$AO$1601&lt;$AO490))+1,"")</f>
        <v/>
      </c>
      <c r="AM490">
        <f>IF($D490="","",IF(OR($R490=TRUE(),$R490="TRUE"),1,0))</f>
        <v/>
      </c>
      <c r="AN490">
        <f>IF($D490="","",IF($AA490="Yes",1,0))</f>
        <v/>
      </c>
      <c r="AO490">
        <f>IF($AK490=1,IFERROR(IF(VALUE($D490)&lt;100000000,VALUE($D490),1000000000),IFERROR(IF(VALUE(MID($D490,2,20))&lt;100000000,VALUE(MID($D490,2,20)),1000000000),1000000000))+ROW()/100000,"")</f>
        <v/>
      </c>
    </row>
    <row r="491">
      <c r="F491" s="11" t="n"/>
      <c r="N491" s="7">
        <f>IF($D491="","",M491*X491/100)</f>
        <v/>
      </c>
      <c r="O491" s="7" t="n"/>
      <c r="U491" s="7" t="n"/>
      <c r="V491" s="7" t="n"/>
      <c r="W491" s="7">
        <f>IF($D491="","",V491*AB491/100)</f>
        <v/>
      </c>
      <c r="X491" s="7">
        <f>IF($D491="","",V491-W491)</f>
        <v/>
      </c>
      <c r="Y491" s="7">
        <f>IF($D491="","",X491-N491)</f>
        <v/>
      </c>
      <c r="AB491">
        <f>IF($D491="","",IF($AN491=1,Settings!$C$8,IF($AM491=1,Settings!$C$6,Settings!$C$7))*100)</f>
        <v/>
      </c>
      <c r="AF491" s="7" t="n"/>
      <c r="AI491" s="11" t="n"/>
      <c r="AK491">
        <f>IF($D491="","",IF(COUNTIF($D$2:$D491,$D491)=1,1,0))</f>
        <v/>
      </c>
      <c r="AL491">
        <f>IF($AK491=1,SUMPRODUCT(--($AO$2:$AO$1601&lt;$AO491))+1,"")</f>
        <v/>
      </c>
      <c r="AM491">
        <f>IF($D491="","",IF(OR($R491=TRUE(),$R491="TRUE"),1,0))</f>
        <v/>
      </c>
      <c r="AN491">
        <f>IF($D491="","",IF($AA491="Yes",1,0))</f>
        <v/>
      </c>
      <c r="AO491">
        <f>IF($AK491=1,IFERROR(IF(VALUE($D491)&lt;100000000,VALUE($D491),1000000000),IFERROR(IF(VALUE(MID($D491,2,20))&lt;100000000,VALUE(MID($D491,2,20)),1000000000),1000000000))+ROW()/100000,"")</f>
        <v/>
      </c>
    </row>
    <row r="492">
      <c r="F492" s="11" t="n"/>
      <c r="N492" s="7">
        <f>IF($D492="","",M492*X492/100)</f>
        <v/>
      </c>
      <c r="O492" s="7" t="n"/>
      <c r="U492" s="7" t="n"/>
      <c r="V492" s="7" t="n"/>
      <c r="W492" s="7">
        <f>IF($D492="","",V492*AB492/100)</f>
        <v/>
      </c>
      <c r="X492" s="7">
        <f>IF($D492="","",V492-W492)</f>
        <v/>
      </c>
      <c r="Y492" s="7">
        <f>IF($D492="","",X492-N492)</f>
        <v/>
      </c>
      <c r="AB492">
        <f>IF($D492="","",IF($AN492=1,Settings!$C$8,IF($AM492=1,Settings!$C$6,Settings!$C$7))*100)</f>
        <v/>
      </c>
      <c r="AF492" s="7" t="n"/>
      <c r="AI492" s="11" t="n"/>
      <c r="AK492">
        <f>IF($D492="","",IF(COUNTIF($D$2:$D492,$D492)=1,1,0))</f>
        <v/>
      </c>
      <c r="AL492">
        <f>IF($AK492=1,SUMPRODUCT(--($AO$2:$AO$1601&lt;$AO492))+1,"")</f>
        <v/>
      </c>
      <c r="AM492">
        <f>IF($D492="","",IF(OR($R492=TRUE(),$R492="TRUE"),1,0))</f>
        <v/>
      </c>
      <c r="AN492">
        <f>IF($D492="","",IF($AA492="Yes",1,0))</f>
        <v/>
      </c>
      <c r="AO492">
        <f>IF($AK492=1,IFERROR(IF(VALUE($D492)&lt;100000000,VALUE($D492),1000000000),IFERROR(IF(VALUE(MID($D492,2,20))&lt;100000000,VALUE(MID($D492,2,20)),1000000000),1000000000))+ROW()/100000,"")</f>
        <v/>
      </c>
    </row>
    <row r="493">
      <c r="F493" s="11" t="n"/>
      <c r="N493" s="7">
        <f>IF($D493="","",M493*X493/100)</f>
        <v/>
      </c>
      <c r="O493" s="7" t="n"/>
      <c r="U493" s="7" t="n"/>
      <c r="V493" s="7" t="n"/>
      <c r="W493" s="7">
        <f>IF($D493="","",V493*AB493/100)</f>
        <v/>
      </c>
      <c r="X493" s="7">
        <f>IF($D493="","",V493-W493)</f>
        <v/>
      </c>
      <c r="Y493" s="7">
        <f>IF($D493="","",X493-N493)</f>
        <v/>
      </c>
      <c r="AB493">
        <f>IF($D493="","",IF($AN493=1,Settings!$C$8,IF($AM493=1,Settings!$C$6,Settings!$C$7))*100)</f>
        <v/>
      </c>
      <c r="AF493" s="7" t="n"/>
      <c r="AI493" s="11" t="n"/>
      <c r="AK493">
        <f>IF($D493="","",IF(COUNTIF($D$2:$D493,$D493)=1,1,0))</f>
        <v/>
      </c>
      <c r="AL493">
        <f>IF($AK493=1,SUMPRODUCT(--($AO$2:$AO$1601&lt;$AO493))+1,"")</f>
        <v/>
      </c>
      <c r="AM493">
        <f>IF($D493="","",IF(OR($R493=TRUE(),$R493="TRUE"),1,0))</f>
        <v/>
      </c>
      <c r="AN493">
        <f>IF($D493="","",IF($AA493="Yes",1,0))</f>
        <v/>
      </c>
      <c r="AO493">
        <f>IF($AK493=1,IFERROR(IF(VALUE($D493)&lt;100000000,VALUE($D493),1000000000),IFERROR(IF(VALUE(MID($D493,2,20))&lt;100000000,VALUE(MID($D493,2,20)),1000000000),1000000000))+ROW()/100000,"")</f>
        <v/>
      </c>
    </row>
    <row r="494">
      <c r="F494" s="11" t="n"/>
      <c r="N494" s="7">
        <f>IF($D494="","",M494*X494/100)</f>
        <v/>
      </c>
      <c r="O494" s="7" t="n"/>
      <c r="U494" s="7" t="n"/>
      <c r="V494" s="7" t="n"/>
      <c r="W494" s="7">
        <f>IF($D494="","",V494*AB494/100)</f>
        <v/>
      </c>
      <c r="X494" s="7">
        <f>IF($D494="","",V494-W494)</f>
        <v/>
      </c>
      <c r="Y494" s="7">
        <f>IF($D494="","",X494-N494)</f>
        <v/>
      </c>
      <c r="AB494">
        <f>IF($D494="","",IF($AN494=1,Settings!$C$8,IF($AM494=1,Settings!$C$6,Settings!$C$7))*100)</f>
        <v/>
      </c>
      <c r="AF494" s="7" t="n"/>
      <c r="AI494" s="11" t="n"/>
      <c r="AK494">
        <f>IF($D494="","",IF(COUNTIF($D$2:$D494,$D494)=1,1,0))</f>
        <v/>
      </c>
      <c r="AL494">
        <f>IF($AK494=1,SUMPRODUCT(--($AO$2:$AO$1601&lt;$AO494))+1,"")</f>
        <v/>
      </c>
      <c r="AM494">
        <f>IF($D494="","",IF(OR($R494=TRUE(),$R494="TRUE"),1,0))</f>
        <v/>
      </c>
      <c r="AN494">
        <f>IF($D494="","",IF($AA494="Yes",1,0))</f>
        <v/>
      </c>
      <c r="AO494">
        <f>IF($AK494=1,IFERROR(IF(VALUE($D494)&lt;100000000,VALUE($D494),1000000000),IFERROR(IF(VALUE(MID($D494,2,20))&lt;100000000,VALUE(MID($D494,2,20)),1000000000),1000000000))+ROW()/100000,"")</f>
        <v/>
      </c>
    </row>
    <row r="495">
      <c r="F495" s="11" t="n"/>
      <c r="N495" s="7">
        <f>IF($D495="","",M495*X495/100)</f>
        <v/>
      </c>
      <c r="O495" s="7" t="n"/>
      <c r="U495" s="7" t="n"/>
      <c r="V495" s="7" t="n"/>
      <c r="W495" s="7">
        <f>IF($D495="","",V495*AB495/100)</f>
        <v/>
      </c>
      <c r="X495" s="7">
        <f>IF($D495="","",V495-W495)</f>
        <v/>
      </c>
      <c r="Y495" s="7">
        <f>IF($D495="","",X495-N495)</f>
        <v/>
      </c>
      <c r="AB495">
        <f>IF($D495="","",IF($AN495=1,Settings!$C$8,IF($AM495=1,Settings!$C$6,Settings!$C$7))*100)</f>
        <v/>
      </c>
      <c r="AF495" s="7" t="n"/>
      <c r="AI495" s="11" t="n"/>
      <c r="AK495">
        <f>IF($D495="","",IF(COUNTIF($D$2:$D495,$D495)=1,1,0))</f>
        <v/>
      </c>
      <c r="AL495">
        <f>IF($AK495=1,SUMPRODUCT(--($AO$2:$AO$1601&lt;$AO495))+1,"")</f>
        <v/>
      </c>
      <c r="AM495">
        <f>IF($D495="","",IF(OR($R495=TRUE(),$R495="TRUE"),1,0))</f>
        <v/>
      </c>
      <c r="AN495">
        <f>IF($D495="","",IF($AA495="Yes",1,0))</f>
        <v/>
      </c>
      <c r="AO495">
        <f>IF($AK495=1,IFERROR(IF(VALUE($D495)&lt;100000000,VALUE($D495),1000000000),IFERROR(IF(VALUE(MID($D495,2,20))&lt;100000000,VALUE(MID($D495,2,20)),1000000000),1000000000))+ROW()/100000,"")</f>
        <v/>
      </c>
    </row>
    <row r="496">
      <c r="F496" s="11" t="n"/>
      <c r="N496" s="7">
        <f>IF($D496="","",M496*X496/100)</f>
        <v/>
      </c>
      <c r="O496" s="7" t="n"/>
      <c r="U496" s="7" t="n"/>
      <c r="V496" s="7" t="n"/>
      <c r="W496" s="7">
        <f>IF($D496="","",V496*AB496/100)</f>
        <v/>
      </c>
      <c r="X496" s="7">
        <f>IF($D496="","",V496-W496)</f>
        <v/>
      </c>
      <c r="Y496" s="7">
        <f>IF($D496="","",X496-N496)</f>
        <v/>
      </c>
      <c r="AB496">
        <f>IF($D496="","",IF($AN496=1,Settings!$C$8,IF($AM496=1,Settings!$C$6,Settings!$C$7))*100)</f>
        <v/>
      </c>
      <c r="AF496" s="7" t="n"/>
      <c r="AI496" s="11" t="n"/>
      <c r="AK496">
        <f>IF($D496="","",IF(COUNTIF($D$2:$D496,$D496)=1,1,0))</f>
        <v/>
      </c>
      <c r="AL496">
        <f>IF($AK496=1,SUMPRODUCT(--($AO$2:$AO$1601&lt;$AO496))+1,"")</f>
        <v/>
      </c>
      <c r="AM496">
        <f>IF($D496="","",IF(OR($R496=TRUE(),$R496="TRUE"),1,0))</f>
        <v/>
      </c>
      <c r="AN496">
        <f>IF($D496="","",IF($AA496="Yes",1,0))</f>
        <v/>
      </c>
      <c r="AO496">
        <f>IF($AK496=1,IFERROR(IF(VALUE($D496)&lt;100000000,VALUE($D496),1000000000),IFERROR(IF(VALUE(MID($D496,2,20))&lt;100000000,VALUE(MID($D496,2,20)),1000000000),1000000000))+ROW()/100000,"")</f>
        <v/>
      </c>
    </row>
    <row r="497">
      <c r="F497" s="11" t="n"/>
      <c r="N497" s="7">
        <f>IF($D497="","",M497*X497/100)</f>
        <v/>
      </c>
      <c r="O497" s="7" t="n"/>
      <c r="U497" s="7" t="n"/>
      <c r="V497" s="7" t="n"/>
      <c r="W497" s="7">
        <f>IF($D497="","",V497*AB497/100)</f>
        <v/>
      </c>
      <c r="X497" s="7">
        <f>IF($D497="","",V497-W497)</f>
        <v/>
      </c>
      <c r="Y497" s="7">
        <f>IF($D497="","",X497-N497)</f>
        <v/>
      </c>
      <c r="AB497">
        <f>IF($D497="","",IF($AN497=1,Settings!$C$8,IF($AM497=1,Settings!$C$6,Settings!$C$7))*100)</f>
        <v/>
      </c>
      <c r="AF497" s="7" t="n"/>
      <c r="AI497" s="11" t="n"/>
      <c r="AK497">
        <f>IF($D497="","",IF(COUNTIF($D$2:$D497,$D497)=1,1,0))</f>
        <v/>
      </c>
      <c r="AL497">
        <f>IF($AK497=1,SUMPRODUCT(--($AO$2:$AO$1601&lt;$AO497))+1,"")</f>
        <v/>
      </c>
      <c r="AM497">
        <f>IF($D497="","",IF(OR($R497=TRUE(),$R497="TRUE"),1,0))</f>
        <v/>
      </c>
      <c r="AN497">
        <f>IF($D497="","",IF($AA497="Yes",1,0))</f>
        <v/>
      </c>
      <c r="AO497">
        <f>IF($AK497=1,IFERROR(IF(VALUE($D497)&lt;100000000,VALUE($D497),1000000000),IFERROR(IF(VALUE(MID($D497,2,20))&lt;100000000,VALUE(MID($D497,2,20)),1000000000),1000000000))+ROW()/100000,"")</f>
        <v/>
      </c>
    </row>
    <row r="498">
      <c r="F498" s="11" t="n"/>
      <c r="N498" s="7">
        <f>IF($D498="","",M498*X498/100)</f>
        <v/>
      </c>
      <c r="O498" s="7" t="n"/>
      <c r="U498" s="7" t="n"/>
      <c r="V498" s="7" t="n"/>
      <c r="W498" s="7">
        <f>IF($D498="","",V498*AB498/100)</f>
        <v/>
      </c>
      <c r="X498" s="7">
        <f>IF($D498="","",V498-W498)</f>
        <v/>
      </c>
      <c r="Y498" s="7">
        <f>IF($D498="","",X498-N498)</f>
        <v/>
      </c>
      <c r="AB498">
        <f>IF($D498="","",IF($AN498=1,Settings!$C$8,IF($AM498=1,Settings!$C$6,Settings!$C$7))*100)</f>
        <v/>
      </c>
      <c r="AF498" s="7" t="n"/>
      <c r="AI498" s="11" t="n"/>
      <c r="AK498">
        <f>IF($D498="","",IF(COUNTIF($D$2:$D498,$D498)=1,1,0))</f>
        <v/>
      </c>
      <c r="AL498">
        <f>IF($AK498=1,SUMPRODUCT(--($AO$2:$AO$1601&lt;$AO498))+1,"")</f>
        <v/>
      </c>
      <c r="AM498">
        <f>IF($D498="","",IF(OR($R498=TRUE(),$R498="TRUE"),1,0))</f>
        <v/>
      </c>
      <c r="AN498">
        <f>IF($D498="","",IF($AA498="Yes",1,0))</f>
        <v/>
      </c>
      <c r="AO498">
        <f>IF($AK498=1,IFERROR(IF(VALUE($D498)&lt;100000000,VALUE($D498),1000000000),IFERROR(IF(VALUE(MID($D498,2,20))&lt;100000000,VALUE(MID($D498,2,20)),1000000000),1000000000))+ROW()/100000,"")</f>
        <v/>
      </c>
    </row>
    <row r="499">
      <c r="F499" s="11" t="n"/>
      <c r="N499" s="7">
        <f>IF($D499="","",M499*X499/100)</f>
        <v/>
      </c>
      <c r="O499" s="7" t="n"/>
      <c r="U499" s="7" t="n"/>
      <c r="V499" s="7" t="n"/>
      <c r="W499" s="7">
        <f>IF($D499="","",V499*AB499/100)</f>
        <v/>
      </c>
      <c r="X499" s="7">
        <f>IF($D499="","",V499-W499)</f>
        <v/>
      </c>
      <c r="Y499" s="7">
        <f>IF($D499="","",X499-N499)</f>
        <v/>
      </c>
      <c r="AB499">
        <f>IF($D499="","",IF($AN499=1,Settings!$C$8,IF($AM499=1,Settings!$C$6,Settings!$C$7))*100)</f>
        <v/>
      </c>
      <c r="AF499" s="7" t="n"/>
      <c r="AI499" s="11" t="n"/>
      <c r="AK499">
        <f>IF($D499="","",IF(COUNTIF($D$2:$D499,$D499)=1,1,0))</f>
        <v/>
      </c>
      <c r="AL499">
        <f>IF($AK499=1,SUMPRODUCT(--($AO$2:$AO$1601&lt;$AO499))+1,"")</f>
        <v/>
      </c>
      <c r="AM499">
        <f>IF($D499="","",IF(OR($R499=TRUE(),$R499="TRUE"),1,0))</f>
        <v/>
      </c>
      <c r="AN499">
        <f>IF($D499="","",IF($AA499="Yes",1,0))</f>
        <v/>
      </c>
      <c r="AO499">
        <f>IF($AK499=1,IFERROR(IF(VALUE($D499)&lt;100000000,VALUE($D499),1000000000),IFERROR(IF(VALUE(MID($D499,2,20))&lt;100000000,VALUE(MID($D499,2,20)),1000000000),1000000000))+ROW()/100000,"")</f>
        <v/>
      </c>
    </row>
    <row r="500">
      <c r="F500" s="11" t="n"/>
      <c r="N500" s="7">
        <f>IF($D500="","",M500*X500/100)</f>
        <v/>
      </c>
      <c r="O500" s="7" t="n"/>
      <c r="U500" s="7" t="n"/>
      <c r="V500" s="7" t="n"/>
      <c r="W500" s="7">
        <f>IF($D500="","",V500*AB500/100)</f>
        <v/>
      </c>
      <c r="X500" s="7">
        <f>IF($D500="","",V500-W500)</f>
        <v/>
      </c>
      <c r="Y500" s="7">
        <f>IF($D500="","",X500-N500)</f>
        <v/>
      </c>
      <c r="AB500">
        <f>IF($D500="","",IF($AN500=1,Settings!$C$8,IF($AM500=1,Settings!$C$6,Settings!$C$7))*100)</f>
        <v/>
      </c>
      <c r="AF500" s="7" t="n"/>
      <c r="AI500" s="11" t="n"/>
      <c r="AK500">
        <f>IF($D500="","",IF(COUNTIF($D$2:$D500,$D500)=1,1,0))</f>
        <v/>
      </c>
      <c r="AL500">
        <f>IF($AK500=1,SUMPRODUCT(--($AO$2:$AO$1601&lt;$AO500))+1,"")</f>
        <v/>
      </c>
      <c r="AM500">
        <f>IF($D500="","",IF(OR($R500=TRUE(),$R500="TRUE"),1,0))</f>
        <v/>
      </c>
      <c r="AN500">
        <f>IF($D500="","",IF($AA500="Yes",1,0))</f>
        <v/>
      </c>
      <c r="AO500">
        <f>IF($AK500=1,IFERROR(IF(VALUE($D500)&lt;100000000,VALUE($D500),1000000000),IFERROR(IF(VALUE(MID($D500,2,20))&lt;100000000,VALUE(MID($D500,2,20)),1000000000),1000000000))+ROW()/100000,"")</f>
        <v/>
      </c>
    </row>
    <row r="501">
      <c r="F501" s="11" t="n"/>
      <c r="N501" s="7">
        <f>IF($D501="","",M501*X501/100)</f>
        <v/>
      </c>
      <c r="O501" s="7" t="n"/>
      <c r="U501" s="7" t="n"/>
      <c r="V501" s="7" t="n"/>
      <c r="W501" s="7">
        <f>IF($D501="","",V501*AB501/100)</f>
        <v/>
      </c>
      <c r="X501" s="7">
        <f>IF($D501="","",V501-W501)</f>
        <v/>
      </c>
      <c r="Y501" s="7">
        <f>IF($D501="","",X501-N501)</f>
        <v/>
      </c>
      <c r="AB501">
        <f>IF($D501="","",IF($AN501=1,Settings!$C$8,IF($AM501=1,Settings!$C$6,Settings!$C$7))*100)</f>
        <v/>
      </c>
      <c r="AF501" s="7" t="n"/>
      <c r="AI501" s="11" t="n"/>
      <c r="AK501">
        <f>IF($D501="","",IF(COUNTIF($D$2:$D501,$D501)=1,1,0))</f>
        <v/>
      </c>
      <c r="AL501">
        <f>IF($AK501=1,SUMPRODUCT(--($AO$2:$AO$1601&lt;$AO501))+1,"")</f>
        <v/>
      </c>
      <c r="AM501">
        <f>IF($D501="","",IF(OR($R501=TRUE(),$R501="TRUE"),1,0))</f>
        <v/>
      </c>
      <c r="AN501">
        <f>IF($D501="","",IF($AA501="Yes",1,0))</f>
        <v/>
      </c>
      <c r="AO501">
        <f>IF($AK501=1,IFERROR(IF(VALUE($D501)&lt;100000000,VALUE($D501),1000000000),IFERROR(IF(VALUE(MID($D501,2,20))&lt;100000000,VALUE(MID($D501,2,20)),1000000000),1000000000))+ROW()/100000,"")</f>
        <v/>
      </c>
    </row>
    <row r="502">
      <c r="F502" s="11" t="n"/>
      <c r="N502" s="7">
        <f>IF($D502="","",M502*X502/100)</f>
        <v/>
      </c>
      <c r="O502" s="7" t="n"/>
      <c r="U502" s="7" t="n"/>
      <c r="V502" s="7" t="n"/>
      <c r="W502" s="7">
        <f>IF($D502="","",V502*AB502/100)</f>
        <v/>
      </c>
      <c r="X502" s="7">
        <f>IF($D502="","",V502-W502)</f>
        <v/>
      </c>
      <c r="Y502" s="7">
        <f>IF($D502="","",X502-N502)</f>
        <v/>
      </c>
      <c r="AB502">
        <f>IF($D502="","",IF($AN502=1,Settings!$C$8,IF($AM502=1,Settings!$C$6,Settings!$C$7))*100)</f>
        <v/>
      </c>
      <c r="AF502" s="7" t="n"/>
      <c r="AI502" s="11" t="n"/>
      <c r="AK502">
        <f>IF($D502="","",IF(COUNTIF($D$2:$D502,$D502)=1,1,0))</f>
        <v/>
      </c>
      <c r="AL502">
        <f>IF($AK502=1,SUMPRODUCT(--($AO$2:$AO$1601&lt;$AO502))+1,"")</f>
        <v/>
      </c>
      <c r="AM502">
        <f>IF($D502="","",IF(OR($R502=TRUE(),$R502="TRUE"),1,0))</f>
        <v/>
      </c>
      <c r="AN502">
        <f>IF($D502="","",IF($AA502="Yes",1,0))</f>
        <v/>
      </c>
      <c r="AO502">
        <f>IF($AK502=1,IFERROR(IF(VALUE($D502)&lt;100000000,VALUE($D502),1000000000),IFERROR(IF(VALUE(MID($D502,2,20))&lt;100000000,VALUE(MID($D502,2,20)),1000000000),1000000000))+ROW()/100000,"")</f>
        <v/>
      </c>
    </row>
    <row r="503">
      <c r="F503" s="11" t="n"/>
      <c r="N503" s="7">
        <f>IF($D503="","",M503*X503/100)</f>
        <v/>
      </c>
      <c r="O503" s="7" t="n"/>
      <c r="U503" s="7" t="n"/>
      <c r="V503" s="7" t="n"/>
      <c r="W503" s="7">
        <f>IF($D503="","",V503*AB503/100)</f>
        <v/>
      </c>
      <c r="X503" s="7">
        <f>IF($D503="","",V503-W503)</f>
        <v/>
      </c>
      <c r="Y503" s="7">
        <f>IF($D503="","",X503-N503)</f>
        <v/>
      </c>
      <c r="AB503">
        <f>IF($D503="","",IF($AN503=1,Settings!$C$8,IF($AM503=1,Settings!$C$6,Settings!$C$7))*100)</f>
        <v/>
      </c>
      <c r="AF503" s="7" t="n"/>
      <c r="AI503" s="11" t="n"/>
      <c r="AK503">
        <f>IF($D503="","",IF(COUNTIF($D$2:$D503,$D503)=1,1,0))</f>
        <v/>
      </c>
      <c r="AL503">
        <f>IF($AK503=1,SUMPRODUCT(--($AO$2:$AO$1601&lt;$AO503))+1,"")</f>
        <v/>
      </c>
      <c r="AM503">
        <f>IF($D503="","",IF(OR($R503=TRUE(),$R503="TRUE"),1,0))</f>
        <v/>
      </c>
      <c r="AN503">
        <f>IF($D503="","",IF($AA503="Yes",1,0))</f>
        <v/>
      </c>
      <c r="AO503">
        <f>IF($AK503=1,IFERROR(IF(VALUE($D503)&lt;100000000,VALUE($D503),1000000000),IFERROR(IF(VALUE(MID($D503,2,20))&lt;100000000,VALUE(MID($D503,2,20)),1000000000),1000000000))+ROW()/100000,"")</f>
        <v/>
      </c>
    </row>
    <row r="504">
      <c r="F504" s="11" t="n"/>
      <c r="N504" s="7">
        <f>IF($D504="","",M504*X504/100)</f>
        <v/>
      </c>
      <c r="O504" s="7" t="n"/>
      <c r="U504" s="7" t="n"/>
      <c r="V504" s="7" t="n"/>
      <c r="W504" s="7">
        <f>IF($D504="","",V504*AB504/100)</f>
        <v/>
      </c>
      <c r="X504" s="7">
        <f>IF($D504="","",V504-W504)</f>
        <v/>
      </c>
      <c r="Y504" s="7">
        <f>IF($D504="","",X504-N504)</f>
        <v/>
      </c>
      <c r="AB504">
        <f>IF($D504="","",IF($AN504=1,Settings!$C$8,IF($AM504=1,Settings!$C$6,Settings!$C$7))*100)</f>
        <v/>
      </c>
      <c r="AF504" s="7" t="n"/>
      <c r="AI504" s="11" t="n"/>
      <c r="AK504">
        <f>IF($D504="","",IF(COUNTIF($D$2:$D504,$D504)=1,1,0))</f>
        <v/>
      </c>
      <c r="AL504">
        <f>IF($AK504=1,SUMPRODUCT(--($AO$2:$AO$1601&lt;$AO504))+1,"")</f>
        <v/>
      </c>
      <c r="AM504">
        <f>IF($D504="","",IF(OR($R504=TRUE(),$R504="TRUE"),1,0))</f>
        <v/>
      </c>
      <c r="AN504">
        <f>IF($D504="","",IF($AA504="Yes",1,0))</f>
        <v/>
      </c>
      <c r="AO504">
        <f>IF($AK504=1,IFERROR(IF(VALUE($D504)&lt;100000000,VALUE($D504),1000000000),IFERROR(IF(VALUE(MID($D504,2,20))&lt;100000000,VALUE(MID($D504,2,20)),1000000000),1000000000))+ROW()/100000,"")</f>
        <v/>
      </c>
    </row>
    <row r="505">
      <c r="F505" s="11" t="n"/>
      <c r="N505" s="7">
        <f>IF($D505="","",M505*X505/100)</f>
        <v/>
      </c>
      <c r="O505" s="7" t="n"/>
      <c r="U505" s="7" t="n"/>
      <c r="V505" s="7" t="n"/>
      <c r="W505" s="7">
        <f>IF($D505="","",V505*AB505/100)</f>
        <v/>
      </c>
      <c r="X505" s="7">
        <f>IF($D505="","",V505-W505)</f>
        <v/>
      </c>
      <c r="Y505" s="7">
        <f>IF($D505="","",X505-N505)</f>
        <v/>
      </c>
      <c r="AB505">
        <f>IF($D505="","",IF($AN505=1,Settings!$C$8,IF($AM505=1,Settings!$C$6,Settings!$C$7))*100)</f>
        <v/>
      </c>
      <c r="AF505" s="7" t="n"/>
      <c r="AI505" s="11" t="n"/>
      <c r="AK505">
        <f>IF($D505="","",IF(COUNTIF($D$2:$D505,$D505)=1,1,0))</f>
        <v/>
      </c>
      <c r="AL505">
        <f>IF($AK505=1,SUMPRODUCT(--($AO$2:$AO$1601&lt;$AO505))+1,"")</f>
        <v/>
      </c>
      <c r="AM505">
        <f>IF($D505="","",IF(OR($R505=TRUE(),$R505="TRUE"),1,0))</f>
        <v/>
      </c>
      <c r="AN505">
        <f>IF($D505="","",IF($AA505="Yes",1,0))</f>
        <v/>
      </c>
      <c r="AO505">
        <f>IF($AK505=1,IFERROR(IF(VALUE($D505)&lt;100000000,VALUE($D505),1000000000),IFERROR(IF(VALUE(MID($D505,2,20))&lt;100000000,VALUE(MID($D505,2,20)),1000000000),1000000000))+ROW()/100000,"")</f>
        <v/>
      </c>
    </row>
    <row r="506">
      <c r="F506" s="11" t="n"/>
      <c r="N506" s="7">
        <f>IF($D506="","",M506*X506/100)</f>
        <v/>
      </c>
      <c r="O506" s="7" t="n"/>
      <c r="U506" s="7" t="n"/>
      <c r="V506" s="7" t="n"/>
      <c r="W506" s="7">
        <f>IF($D506="","",V506*AB506/100)</f>
        <v/>
      </c>
      <c r="X506" s="7">
        <f>IF($D506="","",V506-W506)</f>
        <v/>
      </c>
      <c r="Y506" s="7">
        <f>IF($D506="","",X506-N506)</f>
        <v/>
      </c>
      <c r="AB506">
        <f>IF($D506="","",IF($AN506=1,Settings!$C$8,IF($AM506=1,Settings!$C$6,Settings!$C$7))*100)</f>
        <v/>
      </c>
      <c r="AF506" s="7" t="n"/>
      <c r="AI506" s="11" t="n"/>
      <c r="AK506">
        <f>IF($D506="","",IF(COUNTIF($D$2:$D506,$D506)=1,1,0))</f>
        <v/>
      </c>
      <c r="AL506">
        <f>IF($AK506=1,SUMPRODUCT(--($AO$2:$AO$1601&lt;$AO506))+1,"")</f>
        <v/>
      </c>
      <c r="AM506">
        <f>IF($D506="","",IF(OR($R506=TRUE(),$R506="TRUE"),1,0))</f>
        <v/>
      </c>
      <c r="AN506">
        <f>IF($D506="","",IF($AA506="Yes",1,0))</f>
        <v/>
      </c>
      <c r="AO506">
        <f>IF($AK506=1,IFERROR(IF(VALUE($D506)&lt;100000000,VALUE($D506),1000000000),IFERROR(IF(VALUE(MID($D506,2,20))&lt;100000000,VALUE(MID($D506,2,20)),1000000000),1000000000))+ROW()/100000,"")</f>
        <v/>
      </c>
    </row>
    <row r="507">
      <c r="F507" s="11" t="n"/>
      <c r="N507" s="7">
        <f>IF($D507="","",M507*X507/100)</f>
        <v/>
      </c>
      <c r="O507" s="7" t="n"/>
      <c r="U507" s="7" t="n"/>
      <c r="V507" s="7" t="n"/>
      <c r="W507" s="7">
        <f>IF($D507="","",V507*AB507/100)</f>
        <v/>
      </c>
      <c r="X507" s="7">
        <f>IF($D507="","",V507-W507)</f>
        <v/>
      </c>
      <c r="Y507" s="7">
        <f>IF($D507="","",X507-N507)</f>
        <v/>
      </c>
      <c r="AB507">
        <f>IF($D507="","",IF($AN507=1,Settings!$C$8,IF($AM507=1,Settings!$C$6,Settings!$C$7))*100)</f>
        <v/>
      </c>
      <c r="AF507" s="7" t="n"/>
      <c r="AI507" s="11" t="n"/>
      <c r="AK507">
        <f>IF($D507="","",IF(COUNTIF($D$2:$D507,$D507)=1,1,0))</f>
        <v/>
      </c>
      <c r="AL507">
        <f>IF($AK507=1,SUMPRODUCT(--($AO$2:$AO$1601&lt;$AO507))+1,"")</f>
        <v/>
      </c>
      <c r="AM507">
        <f>IF($D507="","",IF(OR($R507=TRUE(),$R507="TRUE"),1,0))</f>
        <v/>
      </c>
      <c r="AN507">
        <f>IF($D507="","",IF($AA507="Yes",1,0))</f>
        <v/>
      </c>
      <c r="AO507">
        <f>IF($AK507=1,IFERROR(IF(VALUE($D507)&lt;100000000,VALUE($D507),1000000000),IFERROR(IF(VALUE(MID($D507,2,20))&lt;100000000,VALUE(MID($D507,2,20)),1000000000),1000000000))+ROW()/100000,"")</f>
        <v/>
      </c>
    </row>
    <row r="508">
      <c r="F508" s="11" t="n"/>
      <c r="N508" s="7">
        <f>IF($D508="","",M508*X508/100)</f>
        <v/>
      </c>
      <c r="O508" s="7" t="n"/>
      <c r="U508" s="7" t="n"/>
      <c r="V508" s="7" t="n"/>
      <c r="W508" s="7">
        <f>IF($D508="","",V508*AB508/100)</f>
        <v/>
      </c>
      <c r="X508" s="7">
        <f>IF($D508="","",V508-W508)</f>
        <v/>
      </c>
      <c r="Y508" s="7">
        <f>IF($D508="","",X508-N508)</f>
        <v/>
      </c>
      <c r="AB508">
        <f>IF($D508="","",IF($AN508=1,Settings!$C$8,IF($AM508=1,Settings!$C$6,Settings!$C$7))*100)</f>
        <v/>
      </c>
      <c r="AF508" s="7" t="n"/>
      <c r="AI508" s="11" t="n"/>
      <c r="AK508">
        <f>IF($D508="","",IF(COUNTIF($D$2:$D508,$D508)=1,1,0))</f>
        <v/>
      </c>
      <c r="AL508">
        <f>IF($AK508=1,SUMPRODUCT(--($AO$2:$AO$1601&lt;$AO508))+1,"")</f>
        <v/>
      </c>
      <c r="AM508">
        <f>IF($D508="","",IF(OR($R508=TRUE(),$R508="TRUE"),1,0))</f>
        <v/>
      </c>
      <c r="AN508">
        <f>IF($D508="","",IF($AA508="Yes",1,0))</f>
        <v/>
      </c>
      <c r="AO508">
        <f>IF($AK508=1,IFERROR(IF(VALUE($D508)&lt;100000000,VALUE($D508),1000000000),IFERROR(IF(VALUE(MID($D508,2,20))&lt;100000000,VALUE(MID($D508,2,20)),1000000000),1000000000))+ROW()/100000,"")</f>
        <v/>
      </c>
    </row>
    <row r="509">
      <c r="F509" s="11" t="n"/>
      <c r="N509" s="7">
        <f>IF($D509="","",M509*X509/100)</f>
        <v/>
      </c>
      <c r="O509" s="7" t="n"/>
      <c r="U509" s="7" t="n"/>
      <c r="V509" s="7" t="n"/>
      <c r="W509" s="7">
        <f>IF($D509="","",V509*AB509/100)</f>
        <v/>
      </c>
      <c r="X509" s="7">
        <f>IF($D509="","",V509-W509)</f>
        <v/>
      </c>
      <c r="Y509" s="7">
        <f>IF($D509="","",X509-N509)</f>
        <v/>
      </c>
      <c r="AB509">
        <f>IF($D509="","",IF($AN509=1,Settings!$C$8,IF($AM509=1,Settings!$C$6,Settings!$C$7))*100)</f>
        <v/>
      </c>
      <c r="AF509" s="7" t="n"/>
      <c r="AI509" s="11" t="n"/>
      <c r="AK509">
        <f>IF($D509="","",IF(COUNTIF($D$2:$D509,$D509)=1,1,0))</f>
        <v/>
      </c>
      <c r="AL509">
        <f>IF($AK509=1,SUMPRODUCT(--($AO$2:$AO$1601&lt;$AO509))+1,"")</f>
        <v/>
      </c>
      <c r="AM509">
        <f>IF($D509="","",IF(OR($R509=TRUE(),$R509="TRUE"),1,0))</f>
        <v/>
      </c>
      <c r="AN509">
        <f>IF($D509="","",IF($AA509="Yes",1,0))</f>
        <v/>
      </c>
      <c r="AO509">
        <f>IF($AK509=1,IFERROR(IF(VALUE($D509)&lt;100000000,VALUE($D509),1000000000),IFERROR(IF(VALUE(MID($D509,2,20))&lt;100000000,VALUE(MID($D509,2,20)),1000000000),1000000000))+ROW()/100000,"")</f>
        <v/>
      </c>
    </row>
    <row r="510">
      <c r="F510" s="11" t="n"/>
      <c r="N510" s="7">
        <f>IF($D510="","",M510*X510/100)</f>
        <v/>
      </c>
      <c r="O510" s="7" t="n"/>
      <c r="U510" s="7" t="n"/>
      <c r="V510" s="7" t="n"/>
      <c r="W510" s="7">
        <f>IF($D510="","",V510*AB510/100)</f>
        <v/>
      </c>
      <c r="X510" s="7">
        <f>IF($D510="","",V510-W510)</f>
        <v/>
      </c>
      <c r="Y510" s="7">
        <f>IF($D510="","",X510-N510)</f>
        <v/>
      </c>
      <c r="AB510">
        <f>IF($D510="","",IF($AN510=1,Settings!$C$8,IF($AM510=1,Settings!$C$6,Settings!$C$7))*100)</f>
        <v/>
      </c>
      <c r="AF510" s="7" t="n"/>
      <c r="AI510" s="11" t="n"/>
      <c r="AK510">
        <f>IF($D510="","",IF(COUNTIF($D$2:$D510,$D510)=1,1,0))</f>
        <v/>
      </c>
      <c r="AL510">
        <f>IF($AK510=1,SUMPRODUCT(--($AO$2:$AO$1601&lt;$AO510))+1,"")</f>
        <v/>
      </c>
      <c r="AM510">
        <f>IF($D510="","",IF(OR($R510=TRUE(),$R510="TRUE"),1,0))</f>
        <v/>
      </c>
      <c r="AN510">
        <f>IF($D510="","",IF($AA510="Yes",1,0))</f>
        <v/>
      </c>
      <c r="AO510">
        <f>IF($AK510=1,IFERROR(IF(VALUE($D510)&lt;100000000,VALUE($D510),1000000000),IFERROR(IF(VALUE(MID($D510,2,20))&lt;100000000,VALUE(MID($D510,2,20)),1000000000),1000000000))+ROW()/100000,"")</f>
        <v/>
      </c>
    </row>
    <row r="511">
      <c r="F511" s="11" t="n"/>
      <c r="N511" s="7">
        <f>IF($D511="","",M511*X511/100)</f>
        <v/>
      </c>
      <c r="O511" s="7" t="n"/>
      <c r="U511" s="7" t="n"/>
      <c r="V511" s="7" t="n"/>
      <c r="W511" s="7">
        <f>IF($D511="","",V511*AB511/100)</f>
        <v/>
      </c>
      <c r="X511" s="7">
        <f>IF($D511="","",V511-W511)</f>
        <v/>
      </c>
      <c r="Y511" s="7">
        <f>IF($D511="","",X511-N511)</f>
        <v/>
      </c>
      <c r="AB511">
        <f>IF($D511="","",IF($AN511=1,Settings!$C$8,IF($AM511=1,Settings!$C$6,Settings!$C$7))*100)</f>
        <v/>
      </c>
      <c r="AF511" s="7" t="n"/>
      <c r="AI511" s="11" t="n"/>
      <c r="AK511">
        <f>IF($D511="","",IF(COUNTIF($D$2:$D511,$D511)=1,1,0))</f>
        <v/>
      </c>
      <c r="AL511">
        <f>IF($AK511=1,SUMPRODUCT(--($AO$2:$AO$1601&lt;$AO511))+1,"")</f>
        <v/>
      </c>
      <c r="AM511">
        <f>IF($D511="","",IF(OR($R511=TRUE(),$R511="TRUE"),1,0))</f>
        <v/>
      </c>
      <c r="AN511">
        <f>IF($D511="","",IF($AA511="Yes",1,0))</f>
        <v/>
      </c>
      <c r="AO511">
        <f>IF($AK511=1,IFERROR(IF(VALUE($D511)&lt;100000000,VALUE($D511),1000000000),IFERROR(IF(VALUE(MID($D511,2,20))&lt;100000000,VALUE(MID($D511,2,20)),1000000000),1000000000))+ROW()/100000,"")</f>
        <v/>
      </c>
    </row>
    <row r="512">
      <c r="F512" s="11" t="n"/>
      <c r="N512" s="7">
        <f>IF($D512="","",M512*X512/100)</f>
        <v/>
      </c>
      <c r="O512" s="7" t="n"/>
      <c r="U512" s="7" t="n"/>
      <c r="V512" s="7" t="n"/>
      <c r="W512" s="7">
        <f>IF($D512="","",V512*AB512/100)</f>
        <v/>
      </c>
      <c r="X512" s="7">
        <f>IF($D512="","",V512-W512)</f>
        <v/>
      </c>
      <c r="Y512" s="7">
        <f>IF($D512="","",X512-N512)</f>
        <v/>
      </c>
      <c r="AB512">
        <f>IF($D512="","",IF($AN512=1,Settings!$C$8,IF($AM512=1,Settings!$C$6,Settings!$C$7))*100)</f>
        <v/>
      </c>
      <c r="AF512" s="7" t="n"/>
      <c r="AI512" s="11" t="n"/>
      <c r="AK512">
        <f>IF($D512="","",IF(COUNTIF($D$2:$D512,$D512)=1,1,0))</f>
        <v/>
      </c>
      <c r="AL512">
        <f>IF($AK512=1,SUMPRODUCT(--($AO$2:$AO$1601&lt;$AO512))+1,"")</f>
        <v/>
      </c>
      <c r="AM512">
        <f>IF($D512="","",IF(OR($R512=TRUE(),$R512="TRUE"),1,0))</f>
        <v/>
      </c>
      <c r="AN512">
        <f>IF($D512="","",IF($AA512="Yes",1,0))</f>
        <v/>
      </c>
      <c r="AO512">
        <f>IF($AK512=1,IFERROR(IF(VALUE($D512)&lt;100000000,VALUE($D512),1000000000),IFERROR(IF(VALUE(MID($D512,2,20))&lt;100000000,VALUE(MID($D512,2,20)),1000000000),1000000000))+ROW()/100000,"")</f>
        <v/>
      </c>
    </row>
    <row r="513">
      <c r="F513" s="11" t="n"/>
      <c r="N513" s="7">
        <f>IF($D513="","",M513*X513/100)</f>
        <v/>
      </c>
      <c r="O513" s="7" t="n"/>
      <c r="U513" s="7" t="n"/>
      <c r="V513" s="7" t="n"/>
      <c r="W513" s="7">
        <f>IF($D513="","",V513*AB513/100)</f>
        <v/>
      </c>
      <c r="X513" s="7">
        <f>IF($D513="","",V513-W513)</f>
        <v/>
      </c>
      <c r="Y513" s="7">
        <f>IF($D513="","",X513-N513)</f>
        <v/>
      </c>
      <c r="AB513">
        <f>IF($D513="","",IF($AN513=1,Settings!$C$8,IF($AM513=1,Settings!$C$6,Settings!$C$7))*100)</f>
        <v/>
      </c>
      <c r="AF513" s="7" t="n"/>
      <c r="AI513" s="11" t="n"/>
      <c r="AK513">
        <f>IF($D513="","",IF(COUNTIF($D$2:$D513,$D513)=1,1,0))</f>
        <v/>
      </c>
      <c r="AL513">
        <f>IF($AK513=1,SUMPRODUCT(--($AO$2:$AO$1601&lt;$AO513))+1,"")</f>
        <v/>
      </c>
      <c r="AM513">
        <f>IF($D513="","",IF(OR($R513=TRUE(),$R513="TRUE"),1,0))</f>
        <v/>
      </c>
      <c r="AN513">
        <f>IF($D513="","",IF($AA513="Yes",1,0))</f>
        <v/>
      </c>
      <c r="AO513">
        <f>IF($AK513=1,IFERROR(IF(VALUE($D513)&lt;100000000,VALUE($D513),1000000000),IFERROR(IF(VALUE(MID($D513,2,20))&lt;100000000,VALUE(MID($D513,2,20)),1000000000),1000000000))+ROW()/100000,"")</f>
        <v/>
      </c>
    </row>
    <row r="514">
      <c r="F514" s="11" t="n"/>
      <c r="N514" s="7">
        <f>IF($D514="","",M514*X514/100)</f>
        <v/>
      </c>
      <c r="O514" s="7" t="n"/>
      <c r="U514" s="7" t="n"/>
      <c r="V514" s="7" t="n"/>
      <c r="W514" s="7">
        <f>IF($D514="","",V514*AB514/100)</f>
        <v/>
      </c>
      <c r="X514" s="7">
        <f>IF($D514="","",V514-W514)</f>
        <v/>
      </c>
      <c r="Y514" s="7">
        <f>IF($D514="","",X514-N514)</f>
        <v/>
      </c>
      <c r="AB514">
        <f>IF($D514="","",IF($AN514=1,Settings!$C$8,IF($AM514=1,Settings!$C$6,Settings!$C$7))*100)</f>
        <v/>
      </c>
      <c r="AF514" s="7" t="n"/>
      <c r="AI514" s="11" t="n"/>
      <c r="AK514">
        <f>IF($D514="","",IF(COUNTIF($D$2:$D514,$D514)=1,1,0))</f>
        <v/>
      </c>
      <c r="AL514">
        <f>IF($AK514=1,SUMPRODUCT(--($AO$2:$AO$1601&lt;$AO514))+1,"")</f>
        <v/>
      </c>
      <c r="AM514">
        <f>IF($D514="","",IF(OR($R514=TRUE(),$R514="TRUE"),1,0))</f>
        <v/>
      </c>
      <c r="AN514">
        <f>IF($D514="","",IF($AA514="Yes",1,0))</f>
        <v/>
      </c>
      <c r="AO514">
        <f>IF($AK514=1,IFERROR(IF(VALUE($D514)&lt;100000000,VALUE($D514),1000000000),IFERROR(IF(VALUE(MID($D514,2,20))&lt;100000000,VALUE(MID($D514,2,20)),1000000000),1000000000))+ROW()/100000,"")</f>
        <v/>
      </c>
    </row>
    <row r="515">
      <c r="F515" s="11" t="n"/>
      <c r="N515" s="7">
        <f>IF($D515="","",M515*X515/100)</f>
        <v/>
      </c>
      <c r="O515" s="7" t="n"/>
      <c r="U515" s="7" t="n"/>
      <c r="V515" s="7" t="n"/>
      <c r="W515" s="7">
        <f>IF($D515="","",V515*AB515/100)</f>
        <v/>
      </c>
      <c r="X515" s="7">
        <f>IF($D515="","",V515-W515)</f>
        <v/>
      </c>
      <c r="Y515" s="7">
        <f>IF($D515="","",X515-N515)</f>
        <v/>
      </c>
      <c r="AB515">
        <f>IF($D515="","",IF($AN515=1,Settings!$C$8,IF($AM515=1,Settings!$C$6,Settings!$C$7))*100)</f>
        <v/>
      </c>
      <c r="AF515" s="7" t="n"/>
      <c r="AI515" s="11" t="n"/>
      <c r="AK515">
        <f>IF($D515="","",IF(COUNTIF($D$2:$D515,$D515)=1,1,0))</f>
        <v/>
      </c>
      <c r="AL515">
        <f>IF($AK515=1,SUMPRODUCT(--($AO$2:$AO$1601&lt;$AO515))+1,"")</f>
        <v/>
      </c>
      <c r="AM515">
        <f>IF($D515="","",IF(OR($R515=TRUE(),$R515="TRUE"),1,0))</f>
        <v/>
      </c>
      <c r="AN515">
        <f>IF($D515="","",IF($AA515="Yes",1,0))</f>
        <v/>
      </c>
      <c r="AO515">
        <f>IF($AK515=1,IFERROR(IF(VALUE($D515)&lt;100000000,VALUE($D515),1000000000),IFERROR(IF(VALUE(MID($D515,2,20))&lt;100000000,VALUE(MID($D515,2,20)),1000000000),1000000000))+ROW()/100000,"")</f>
        <v/>
      </c>
    </row>
    <row r="516">
      <c r="F516" s="11" t="n"/>
      <c r="N516" s="7">
        <f>IF($D516="","",M516*X516/100)</f>
        <v/>
      </c>
      <c r="O516" s="7" t="n"/>
      <c r="U516" s="7" t="n"/>
      <c r="V516" s="7" t="n"/>
      <c r="W516" s="7">
        <f>IF($D516="","",V516*AB516/100)</f>
        <v/>
      </c>
      <c r="X516" s="7">
        <f>IF($D516="","",V516-W516)</f>
        <v/>
      </c>
      <c r="Y516" s="7">
        <f>IF($D516="","",X516-N516)</f>
        <v/>
      </c>
      <c r="AB516">
        <f>IF($D516="","",IF($AN516=1,Settings!$C$8,IF($AM516=1,Settings!$C$6,Settings!$C$7))*100)</f>
        <v/>
      </c>
      <c r="AF516" s="7" t="n"/>
      <c r="AI516" s="11" t="n"/>
      <c r="AK516">
        <f>IF($D516="","",IF(COUNTIF($D$2:$D516,$D516)=1,1,0))</f>
        <v/>
      </c>
      <c r="AL516">
        <f>IF($AK516=1,SUMPRODUCT(--($AO$2:$AO$1601&lt;$AO516))+1,"")</f>
        <v/>
      </c>
      <c r="AM516">
        <f>IF($D516="","",IF(OR($R516=TRUE(),$R516="TRUE"),1,0))</f>
        <v/>
      </c>
      <c r="AN516">
        <f>IF($D516="","",IF($AA516="Yes",1,0))</f>
        <v/>
      </c>
      <c r="AO516">
        <f>IF($AK516=1,IFERROR(IF(VALUE($D516)&lt;100000000,VALUE($D516),1000000000),IFERROR(IF(VALUE(MID($D516,2,20))&lt;100000000,VALUE(MID($D516,2,20)),1000000000),1000000000))+ROW()/100000,"")</f>
        <v/>
      </c>
    </row>
    <row r="517">
      <c r="F517" s="11" t="n"/>
      <c r="N517" s="7">
        <f>IF($D517="","",M517*X517/100)</f>
        <v/>
      </c>
      <c r="O517" s="7" t="n"/>
      <c r="U517" s="7" t="n"/>
      <c r="V517" s="7" t="n"/>
      <c r="W517" s="7">
        <f>IF($D517="","",V517*AB517/100)</f>
        <v/>
      </c>
      <c r="X517" s="7">
        <f>IF($D517="","",V517-W517)</f>
        <v/>
      </c>
      <c r="Y517" s="7">
        <f>IF($D517="","",X517-N517)</f>
        <v/>
      </c>
      <c r="AB517">
        <f>IF($D517="","",IF($AN517=1,Settings!$C$8,IF($AM517=1,Settings!$C$6,Settings!$C$7))*100)</f>
        <v/>
      </c>
      <c r="AF517" s="7" t="n"/>
      <c r="AI517" s="11" t="n"/>
      <c r="AK517">
        <f>IF($D517="","",IF(COUNTIF($D$2:$D517,$D517)=1,1,0))</f>
        <v/>
      </c>
      <c r="AL517">
        <f>IF($AK517=1,SUMPRODUCT(--($AO$2:$AO$1601&lt;$AO517))+1,"")</f>
        <v/>
      </c>
      <c r="AM517">
        <f>IF($D517="","",IF(OR($R517=TRUE(),$R517="TRUE"),1,0))</f>
        <v/>
      </c>
      <c r="AN517">
        <f>IF($D517="","",IF($AA517="Yes",1,0))</f>
        <v/>
      </c>
      <c r="AO517">
        <f>IF($AK517=1,IFERROR(IF(VALUE($D517)&lt;100000000,VALUE($D517),1000000000),IFERROR(IF(VALUE(MID($D517,2,20))&lt;100000000,VALUE(MID($D517,2,20)),1000000000),1000000000))+ROW()/100000,"")</f>
        <v/>
      </c>
    </row>
    <row r="518">
      <c r="F518" s="11" t="n"/>
      <c r="N518" s="7">
        <f>IF($D518="","",M518*X518/100)</f>
        <v/>
      </c>
      <c r="O518" s="7" t="n"/>
      <c r="U518" s="7" t="n"/>
      <c r="V518" s="7" t="n"/>
      <c r="W518" s="7">
        <f>IF($D518="","",V518*AB518/100)</f>
        <v/>
      </c>
      <c r="X518" s="7">
        <f>IF($D518="","",V518-W518)</f>
        <v/>
      </c>
      <c r="Y518" s="7">
        <f>IF($D518="","",X518-N518)</f>
        <v/>
      </c>
      <c r="AB518">
        <f>IF($D518="","",IF($AN518=1,Settings!$C$8,IF($AM518=1,Settings!$C$6,Settings!$C$7))*100)</f>
        <v/>
      </c>
      <c r="AF518" s="7" t="n"/>
      <c r="AI518" s="11" t="n"/>
      <c r="AK518">
        <f>IF($D518="","",IF(COUNTIF($D$2:$D518,$D518)=1,1,0))</f>
        <v/>
      </c>
      <c r="AL518">
        <f>IF($AK518=1,SUMPRODUCT(--($AO$2:$AO$1601&lt;$AO518))+1,"")</f>
        <v/>
      </c>
      <c r="AM518">
        <f>IF($D518="","",IF(OR($R518=TRUE(),$R518="TRUE"),1,0))</f>
        <v/>
      </c>
      <c r="AN518">
        <f>IF($D518="","",IF($AA518="Yes",1,0))</f>
        <v/>
      </c>
      <c r="AO518">
        <f>IF($AK518=1,IFERROR(IF(VALUE($D518)&lt;100000000,VALUE($D518),1000000000),IFERROR(IF(VALUE(MID($D518,2,20))&lt;100000000,VALUE(MID($D518,2,20)),1000000000),1000000000))+ROW()/100000,"")</f>
        <v/>
      </c>
    </row>
    <row r="519">
      <c r="F519" s="11" t="n"/>
      <c r="N519" s="7">
        <f>IF($D519="","",M519*X519/100)</f>
        <v/>
      </c>
      <c r="O519" s="7" t="n"/>
      <c r="U519" s="7" t="n"/>
      <c r="V519" s="7" t="n"/>
      <c r="W519" s="7">
        <f>IF($D519="","",V519*AB519/100)</f>
        <v/>
      </c>
      <c r="X519" s="7">
        <f>IF($D519="","",V519-W519)</f>
        <v/>
      </c>
      <c r="Y519" s="7">
        <f>IF($D519="","",X519-N519)</f>
        <v/>
      </c>
      <c r="AB519">
        <f>IF($D519="","",IF($AN519=1,Settings!$C$8,IF($AM519=1,Settings!$C$6,Settings!$C$7))*100)</f>
        <v/>
      </c>
      <c r="AF519" s="7" t="n"/>
      <c r="AI519" s="11" t="n"/>
      <c r="AK519">
        <f>IF($D519="","",IF(COUNTIF($D$2:$D519,$D519)=1,1,0))</f>
        <v/>
      </c>
      <c r="AL519">
        <f>IF($AK519=1,SUMPRODUCT(--($AO$2:$AO$1601&lt;$AO519))+1,"")</f>
        <v/>
      </c>
      <c r="AM519">
        <f>IF($D519="","",IF(OR($R519=TRUE(),$R519="TRUE"),1,0))</f>
        <v/>
      </c>
      <c r="AN519">
        <f>IF($D519="","",IF($AA519="Yes",1,0))</f>
        <v/>
      </c>
      <c r="AO519">
        <f>IF($AK519=1,IFERROR(IF(VALUE($D519)&lt;100000000,VALUE($D519),1000000000),IFERROR(IF(VALUE(MID($D519,2,20))&lt;100000000,VALUE(MID($D519,2,20)),1000000000),1000000000))+ROW()/100000,"")</f>
        <v/>
      </c>
    </row>
    <row r="520">
      <c r="F520" s="11" t="n"/>
      <c r="N520" s="7">
        <f>IF($D520="","",M520*X520/100)</f>
        <v/>
      </c>
      <c r="O520" s="7" t="n"/>
      <c r="U520" s="7" t="n"/>
      <c r="V520" s="7" t="n"/>
      <c r="W520" s="7">
        <f>IF($D520="","",V520*AB520/100)</f>
        <v/>
      </c>
      <c r="X520" s="7">
        <f>IF($D520="","",V520-W520)</f>
        <v/>
      </c>
      <c r="Y520" s="7">
        <f>IF($D520="","",X520-N520)</f>
        <v/>
      </c>
      <c r="AB520">
        <f>IF($D520="","",IF($AN520=1,Settings!$C$8,IF($AM520=1,Settings!$C$6,Settings!$C$7))*100)</f>
        <v/>
      </c>
      <c r="AF520" s="7" t="n"/>
      <c r="AI520" s="11" t="n"/>
      <c r="AK520">
        <f>IF($D520="","",IF(COUNTIF($D$2:$D520,$D520)=1,1,0))</f>
        <v/>
      </c>
      <c r="AL520">
        <f>IF($AK520=1,SUMPRODUCT(--($AO$2:$AO$1601&lt;$AO520))+1,"")</f>
        <v/>
      </c>
      <c r="AM520">
        <f>IF($D520="","",IF(OR($R520=TRUE(),$R520="TRUE"),1,0))</f>
        <v/>
      </c>
      <c r="AN520">
        <f>IF($D520="","",IF($AA520="Yes",1,0))</f>
        <v/>
      </c>
      <c r="AO520">
        <f>IF($AK520=1,IFERROR(IF(VALUE($D520)&lt;100000000,VALUE($D520),1000000000),IFERROR(IF(VALUE(MID($D520,2,20))&lt;100000000,VALUE(MID($D520,2,20)),1000000000),1000000000))+ROW()/100000,"")</f>
        <v/>
      </c>
    </row>
    <row r="521">
      <c r="F521" s="11" t="n"/>
      <c r="N521" s="7">
        <f>IF($D521="","",M521*X521/100)</f>
        <v/>
      </c>
      <c r="O521" s="7" t="n"/>
      <c r="U521" s="7" t="n"/>
      <c r="V521" s="7" t="n"/>
      <c r="W521" s="7">
        <f>IF($D521="","",V521*AB521/100)</f>
        <v/>
      </c>
      <c r="X521" s="7">
        <f>IF($D521="","",V521-W521)</f>
        <v/>
      </c>
      <c r="Y521" s="7">
        <f>IF($D521="","",X521-N521)</f>
        <v/>
      </c>
      <c r="AB521">
        <f>IF($D521="","",IF($AN521=1,Settings!$C$8,IF($AM521=1,Settings!$C$6,Settings!$C$7))*100)</f>
        <v/>
      </c>
      <c r="AF521" s="7" t="n"/>
      <c r="AI521" s="11" t="n"/>
      <c r="AK521">
        <f>IF($D521="","",IF(COUNTIF($D$2:$D521,$D521)=1,1,0))</f>
        <v/>
      </c>
      <c r="AL521">
        <f>IF($AK521=1,SUMPRODUCT(--($AO$2:$AO$1601&lt;$AO521))+1,"")</f>
        <v/>
      </c>
      <c r="AM521">
        <f>IF($D521="","",IF(OR($R521=TRUE(),$R521="TRUE"),1,0))</f>
        <v/>
      </c>
      <c r="AN521">
        <f>IF($D521="","",IF($AA521="Yes",1,0))</f>
        <v/>
      </c>
      <c r="AO521">
        <f>IF($AK521=1,IFERROR(IF(VALUE($D521)&lt;100000000,VALUE($D521),1000000000),IFERROR(IF(VALUE(MID($D521,2,20))&lt;100000000,VALUE(MID($D521,2,20)),1000000000),1000000000))+ROW()/100000,"")</f>
        <v/>
      </c>
    </row>
    <row r="522">
      <c r="F522" s="11" t="n"/>
      <c r="N522" s="7">
        <f>IF($D522="","",M522*X522/100)</f>
        <v/>
      </c>
      <c r="O522" s="7" t="n"/>
      <c r="U522" s="7" t="n"/>
      <c r="V522" s="7" t="n"/>
      <c r="W522" s="7">
        <f>IF($D522="","",V522*AB522/100)</f>
        <v/>
      </c>
      <c r="X522" s="7">
        <f>IF($D522="","",V522-W522)</f>
        <v/>
      </c>
      <c r="Y522" s="7">
        <f>IF($D522="","",X522-N522)</f>
        <v/>
      </c>
      <c r="AB522">
        <f>IF($D522="","",IF($AN522=1,Settings!$C$8,IF($AM522=1,Settings!$C$6,Settings!$C$7))*100)</f>
        <v/>
      </c>
      <c r="AF522" s="7" t="n"/>
      <c r="AI522" s="11" t="n"/>
      <c r="AK522">
        <f>IF($D522="","",IF(COUNTIF($D$2:$D522,$D522)=1,1,0))</f>
        <v/>
      </c>
      <c r="AL522">
        <f>IF($AK522=1,SUMPRODUCT(--($AO$2:$AO$1601&lt;$AO522))+1,"")</f>
        <v/>
      </c>
      <c r="AM522">
        <f>IF($D522="","",IF(OR($R522=TRUE(),$R522="TRUE"),1,0))</f>
        <v/>
      </c>
      <c r="AN522">
        <f>IF($D522="","",IF($AA522="Yes",1,0))</f>
        <v/>
      </c>
      <c r="AO522">
        <f>IF($AK522=1,IFERROR(IF(VALUE($D522)&lt;100000000,VALUE($D522),1000000000),IFERROR(IF(VALUE(MID($D522,2,20))&lt;100000000,VALUE(MID($D522,2,20)),1000000000),1000000000))+ROW()/100000,"")</f>
        <v/>
      </c>
    </row>
    <row r="523">
      <c r="F523" s="11" t="n"/>
      <c r="N523" s="7">
        <f>IF($D523="","",M523*X523/100)</f>
        <v/>
      </c>
      <c r="O523" s="7" t="n"/>
      <c r="U523" s="7" t="n"/>
      <c r="V523" s="7" t="n"/>
      <c r="W523" s="7">
        <f>IF($D523="","",V523*AB523/100)</f>
        <v/>
      </c>
      <c r="X523" s="7">
        <f>IF($D523="","",V523-W523)</f>
        <v/>
      </c>
      <c r="Y523" s="7">
        <f>IF($D523="","",X523-N523)</f>
        <v/>
      </c>
      <c r="AB523">
        <f>IF($D523="","",IF($AN523=1,Settings!$C$8,IF($AM523=1,Settings!$C$6,Settings!$C$7))*100)</f>
        <v/>
      </c>
      <c r="AF523" s="7" t="n"/>
      <c r="AI523" s="11" t="n"/>
      <c r="AK523">
        <f>IF($D523="","",IF(COUNTIF($D$2:$D523,$D523)=1,1,0))</f>
        <v/>
      </c>
      <c r="AL523">
        <f>IF($AK523=1,SUMPRODUCT(--($AO$2:$AO$1601&lt;$AO523))+1,"")</f>
        <v/>
      </c>
      <c r="AM523">
        <f>IF($D523="","",IF(OR($R523=TRUE(),$R523="TRUE"),1,0))</f>
        <v/>
      </c>
      <c r="AN523">
        <f>IF($D523="","",IF($AA523="Yes",1,0))</f>
        <v/>
      </c>
      <c r="AO523">
        <f>IF($AK523=1,IFERROR(IF(VALUE($D523)&lt;100000000,VALUE($D523),1000000000),IFERROR(IF(VALUE(MID($D523,2,20))&lt;100000000,VALUE(MID($D523,2,20)),1000000000),1000000000))+ROW()/100000,"")</f>
        <v/>
      </c>
    </row>
    <row r="524">
      <c r="F524" s="11" t="n"/>
      <c r="N524" s="7">
        <f>IF($D524="","",M524*X524/100)</f>
        <v/>
      </c>
      <c r="O524" s="7" t="n"/>
      <c r="U524" s="7" t="n"/>
      <c r="V524" s="7" t="n"/>
      <c r="W524" s="7">
        <f>IF($D524="","",V524*AB524/100)</f>
        <v/>
      </c>
      <c r="X524" s="7">
        <f>IF($D524="","",V524-W524)</f>
        <v/>
      </c>
      <c r="Y524" s="7">
        <f>IF($D524="","",X524-N524)</f>
        <v/>
      </c>
      <c r="AB524">
        <f>IF($D524="","",IF($AN524=1,Settings!$C$8,IF($AM524=1,Settings!$C$6,Settings!$C$7))*100)</f>
        <v/>
      </c>
      <c r="AF524" s="7" t="n"/>
      <c r="AI524" s="11" t="n"/>
      <c r="AK524">
        <f>IF($D524="","",IF(COUNTIF($D$2:$D524,$D524)=1,1,0))</f>
        <v/>
      </c>
      <c r="AL524">
        <f>IF($AK524=1,SUMPRODUCT(--($AO$2:$AO$1601&lt;$AO524))+1,"")</f>
        <v/>
      </c>
      <c r="AM524">
        <f>IF($D524="","",IF(OR($R524=TRUE(),$R524="TRUE"),1,0))</f>
        <v/>
      </c>
      <c r="AN524">
        <f>IF($D524="","",IF($AA524="Yes",1,0))</f>
        <v/>
      </c>
      <c r="AO524">
        <f>IF($AK524=1,IFERROR(IF(VALUE($D524)&lt;100000000,VALUE($D524),1000000000),IFERROR(IF(VALUE(MID($D524,2,20))&lt;100000000,VALUE(MID($D524,2,20)),1000000000),1000000000))+ROW()/100000,"")</f>
        <v/>
      </c>
    </row>
    <row r="525">
      <c r="F525" s="11" t="n"/>
      <c r="N525" s="7">
        <f>IF($D525="","",M525*X525/100)</f>
        <v/>
      </c>
      <c r="O525" s="7" t="n"/>
      <c r="U525" s="7" t="n"/>
      <c r="V525" s="7" t="n"/>
      <c r="W525" s="7">
        <f>IF($D525="","",V525*AB525/100)</f>
        <v/>
      </c>
      <c r="X525" s="7">
        <f>IF($D525="","",V525-W525)</f>
        <v/>
      </c>
      <c r="Y525" s="7">
        <f>IF($D525="","",X525-N525)</f>
        <v/>
      </c>
      <c r="AB525">
        <f>IF($D525="","",IF($AN525=1,Settings!$C$8,IF($AM525=1,Settings!$C$6,Settings!$C$7))*100)</f>
        <v/>
      </c>
      <c r="AF525" s="7" t="n"/>
      <c r="AI525" s="11" t="n"/>
      <c r="AK525">
        <f>IF($D525="","",IF(COUNTIF($D$2:$D525,$D525)=1,1,0))</f>
        <v/>
      </c>
      <c r="AL525">
        <f>IF($AK525=1,SUMPRODUCT(--($AO$2:$AO$1601&lt;$AO525))+1,"")</f>
        <v/>
      </c>
      <c r="AM525">
        <f>IF($D525="","",IF(OR($R525=TRUE(),$R525="TRUE"),1,0))</f>
        <v/>
      </c>
      <c r="AN525">
        <f>IF($D525="","",IF($AA525="Yes",1,0))</f>
        <v/>
      </c>
      <c r="AO525">
        <f>IF($AK525=1,IFERROR(IF(VALUE($D525)&lt;100000000,VALUE($D525),1000000000),IFERROR(IF(VALUE(MID($D525,2,20))&lt;100000000,VALUE(MID($D525,2,20)),1000000000),1000000000))+ROW()/100000,"")</f>
        <v/>
      </c>
    </row>
    <row r="526">
      <c r="F526" s="11" t="n"/>
      <c r="N526" s="7">
        <f>IF($D526="","",M526*X526/100)</f>
        <v/>
      </c>
      <c r="O526" s="7" t="n"/>
      <c r="U526" s="7" t="n"/>
      <c r="V526" s="7" t="n"/>
      <c r="W526" s="7">
        <f>IF($D526="","",V526*AB526/100)</f>
        <v/>
      </c>
      <c r="X526" s="7">
        <f>IF($D526="","",V526-W526)</f>
        <v/>
      </c>
      <c r="Y526" s="7">
        <f>IF($D526="","",X526-N526)</f>
        <v/>
      </c>
      <c r="AB526">
        <f>IF($D526="","",IF($AN526=1,Settings!$C$8,IF($AM526=1,Settings!$C$6,Settings!$C$7))*100)</f>
        <v/>
      </c>
      <c r="AF526" s="7" t="n"/>
      <c r="AI526" s="11" t="n"/>
      <c r="AK526">
        <f>IF($D526="","",IF(COUNTIF($D$2:$D526,$D526)=1,1,0))</f>
        <v/>
      </c>
      <c r="AL526">
        <f>IF($AK526=1,SUMPRODUCT(--($AO$2:$AO$1601&lt;$AO526))+1,"")</f>
        <v/>
      </c>
      <c r="AM526">
        <f>IF($D526="","",IF(OR($R526=TRUE(),$R526="TRUE"),1,0))</f>
        <v/>
      </c>
      <c r="AN526">
        <f>IF($D526="","",IF($AA526="Yes",1,0))</f>
        <v/>
      </c>
      <c r="AO526">
        <f>IF($AK526=1,IFERROR(IF(VALUE($D526)&lt;100000000,VALUE($D526),1000000000),IFERROR(IF(VALUE(MID($D526,2,20))&lt;100000000,VALUE(MID($D526,2,20)),1000000000),1000000000))+ROW()/100000,"")</f>
        <v/>
      </c>
    </row>
    <row r="527">
      <c r="F527" s="11" t="n"/>
      <c r="N527" s="7">
        <f>IF($D527="","",M527*X527/100)</f>
        <v/>
      </c>
      <c r="O527" s="7" t="n"/>
      <c r="U527" s="7" t="n"/>
      <c r="V527" s="7" t="n"/>
      <c r="W527" s="7">
        <f>IF($D527="","",V527*AB527/100)</f>
        <v/>
      </c>
      <c r="X527" s="7">
        <f>IF($D527="","",V527-W527)</f>
        <v/>
      </c>
      <c r="Y527" s="7">
        <f>IF($D527="","",X527-N527)</f>
        <v/>
      </c>
      <c r="AB527">
        <f>IF($D527="","",IF($AN527=1,Settings!$C$8,IF($AM527=1,Settings!$C$6,Settings!$C$7))*100)</f>
        <v/>
      </c>
      <c r="AF527" s="7" t="n"/>
      <c r="AI527" s="11" t="n"/>
      <c r="AK527">
        <f>IF($D527="","",IF(COUNTIF($D$2:$D527,$D527)=1,1,0))</f>
        <v/>
      </c>
      <c r="AL527">
        <f>IF($AK527=1,SUMPRODUCT(--($AO$2:$AO$1601&lt;$AO527))+1,"")</f>
        <v/>
      </c>
      <c r="AM527">
        <f>IF($D527="","",IF(OR($R527=TRUE(),$R527="TRUE"),1,0))</f>
        <v/>
      </c>
      <c r="AN527">
        <f>IF($D527="","",IF($AA527="Yes",1,0))</f>
        <v/>
      </c>
      <c r="AO527">
        <f>IF($AK527=1,IFERROR(IF(VALUE($D527)&lt;100000000,VALUE($D527),1000000000),IFERROR(IF(VALUE(MID($D527,2,20))&lt;100000000,VALUE(MID($D527,2,20)),1000000000),1000000000))+ROW()/100000,"")</f>
        <v/>
      </c>
    </row>
    <row r="528">
      <c r="F528" s="11" t="n"/>
      <c r="N528" s="7">
        <f>IF($D528="","",M528*X528/100)</f>
        <v/>
      </c>
      <c r="O528" s="7" t="n"/>
      <c r="U528" s="7" t="n"/>
      <c r="V528" s="7" t="n"/>
      <c r="W528" s="7">
        <f>IF($D528="","",V528*AB528/100)</f>
        <v/>
      </c>
      <c r="X528" s="7">
        <f>IF($D528="","",V528-W528)</f>
        <v/>
      </c>
      <c r="Y528" s="7">
        <f>IF($D528="","",X528-N528)</f>
        <v/>
      </c>
      <c r="AB528">
        <f>IF($D528="","",IF($AN528=1,Settings!$C$8,IF($AM528=1,Settings!$C$6,Settings!$C$7))*100)</f>
        <v/>
      </c>
      <c r="AF528" s="7" t="n"/>
      <c r="AI528" s="11" t="n"/>
      <c r="AK528">
        <f>IF($D528="","",IF(COUNTIF($D$2:$D528,$D528)=1,1,0))</f>
        <v/>
      </c>
      <c r="AL528">
        <f>IF($AK528=1,SUMPRODUCT(--($AO$2:$AO$1601&lt;$AO528))+1,"")</f>
        <v/>
      </c>
      <c r="AM528">
        <f>IF($D528="","",IF(OR($R528=TRUE(),$R528="TRUE"),1,0))</f>
        <v/>
      </c>
      <c r="AN528">
        <f>IF($D528="","",IF($AA528="Yes",1,0))</f>
        <v/>
      </c>
      <c r="AO528">
        <f>IF($AK528=1,IFERROR(IF(VALUE($D528)&lt;100000000,VALUE($D528),1000000000),IFERROR(IF(VALUE(MID($D528,2,20))&lt;100000000,VALUE(MID($D528,2,20)),1000000000),1000000000))+ROW()/100000,"")</f>
        <v/>
      </c>
    </row>
    <row r="529">
      <c r="F529" s="11" t="n"/>
      <c r="N529" s="7">
        <f>IF($D529="","",M529*X529/100)</f>
        <v/>
      </c>
      <c r="O529" s="7" t="n"/>
      <c r="U529" s="7" t="n"/>
      <c r="V529" s="7" t="n"/>
      <c r="W529" s="7">
        <f>IF($D529="","",V529*AB529/100)</f>
        <v/>
      </c>
      <c r="X529" s="7">
        <f>IF($D529="","",V529-W529)</f>
        <v/>
      </c>
      <c r="Y529" s="7">
        <f>IF($D529="","",X529-N529)</f>
        <v/>
      </c>
      <c r="AB529">
        <f>IF($D529="","",IF($AN529=1,Settings!$C$8,IF($AM529=1,Settings!$C$6,Settings!$C$7))*100)</f>
        <v/>
      </c>
      <c r="AF529" s="7" t="n"/>
      <c r="AI529" s="11" t="n"/>
      <c r="AK529">
        <f>IF($D529="","",IF(COUNTIF($D$2:$D529,$D529)=1,1,0))</f>
        <v/>
      </c>
      <c r="AL529">
        <f>IF($AK529=1,SUMPRODUCT(--($AO$2:$AO$1601&lt;$AO529))+1,"")</f>
        <v/>
      </c>
      <c r="AM529">
        <f>IF($D529="","",IF(OR($R529=TRUE(),$R529="TRUE"),1,0))</f>
        <v/>
      </c>
      <c r="AN529">
        <f>IF($D529="","",IF($AA529="Yes",1,0))</f>
        <v/>
      </c>
      <c r="AO529">
        <f>IF($AK529=1,IFERROR(IF(VALUE($D529)&lt;100000000,VALUE($D529),1000000000),IFERROR(IF(VALUE(MID($D529,2,20))&lt;100000000,VALUE(MID($D529,2,20)),1000000000),1000000000))+ROW()/100000,"")</f>
        <v/>
      </c>
    </row>
    <row r="530">
      <c r="F530" s="11" t="n"/>
      <c r="N530" s="7">
        <f>IF($D530="","",M530*X530/100)</f>
        <v/>
      </c>
      <c r="O530" s="7" t="n"/>
      <c r="U530" s="7" t="n"/>
      <c r="V530" s="7" t="n"/>
      <c r="W530" s="7">
        <f>IF($D530="","",V530*AB530/100)</f>
        <v/>
      </c>
      <c r="X530" s="7">
        <f>IF($D530="","",V530-W530)</f>
        <v/>
      </c>
      <c r="Y530" s="7">
        <f>IF($D530="","",X530-N530)</f>
        <v/>
      </c>
      <c r="AB530">
        <f>IF($D530="","",IF($AN530=1,Settings!$C$8,IF($AM530=1,Settings!$C$6,Settings!$C$7))*100)</f>
        <v/>
      </c>
      <c r="AF530" s="7" t="n"/>
      <c r="AI530" s="11" t="n"/>
      <c r="AK530">
        <f>IF($D530="","",IF(COUNTIF($D$2:$D530,$D530)=1,1,0))</f>
        <v/>
      </c>
      <c r="AL530">
        <f>IF($AK530=1,SUMPRODUCT(--($AO$2:$AO$1601&lt;$AO530))+1,"")</f>
        <v/>
      </c>
      <c r="AM530">
        <f>IF($D530="","",IF(OR($R530=TRUE(),$R530="TRUE"),1,0))</f>
        <v/>
      </c>
      <c r="AN530">
        <f>IF($D530="","",IF($AA530="Yes",1,0))</f>
        <v/>
      </c>
      <c r="AO530">
        <f>IF($AK530=1,IFERROR(IF(VALUE($D530)&lt;100000000,VALUE($D530),1000000000),IFERROR(IF(VALUE(MID($D530,2,20))&lt;100000000,VALUE(MID($D530,2,20)),1000000000),1000000000))+ROW()/100000,"")</f>
        <v/>
      </c>
    </row>
    <row r="531">
      <c r="F531" s="11" t="n"/>
      <c r="N531" s="7">
        <f>IF($D531="","",M531*X531/100)</f>
        <v/>
      </c>
      <c r="O531" s="7" t="n"/>
      <c r="U531" s="7" t="n"/>
      <c r="V531" s="7" t="n"/>
      <c r="W531" s="7">
        <f>IF($D531="","",V531*AB531/100)</f>
        <v/>
      </c>
      <c r="X531" s="7">
        <f>IF($D531="","",V531-W531)</f>
        <v/>
      </c>
      <c r="Y531" s="7">
        <f>IF($D531="","",X531-N531)</f>
        <v/>
      </c>
      <c r="AB531">
        <f>IF($D531="","",IF($AN531=1,Settings!$C$8,IF($AM531=1,Settings!$C$6,Settings!$C$7))*100)</f>
        <v/>
      </c>
      <c r="AF531" s="7" t="n"/>
      <c r="AI531" s="11" t="n"/>
      <c r="AK531">
        <f>IF($D531="","",IF(COUNTIF($D$2:$D531,$D531)=1,1,0))</f>
        <v/>
      </c>
      <c r="AL531">
        <f>IF($AK531=1,SUMPRODUCT(--($AO$2:$AO$1601&lt;$AO531))+1,"")</f>
        <v/>
      </c>
      <c r="AM531">
        <f>IF($D531="","",IF(OR($R531=TRUE(),$R531="TRUE"),1,0))</f>
        <v/>
      </c>
      <c r="AN531">
        <f>IF($D531="","",IF($AA531="Yes",1,0))</f>
        <v/>
      </c>
      <c r="AO531">
        <f>IF($AK531=1,IFERROR(IF(VALUE($D531)&lt;100000000,VALUE($D531),1000000000),IFERROR(IF(VALUE(MID($D531,2,20))&lt;100000000,VALUE(MID($D531,2,20)),1000000000),1000000000))+ROW()/100000,"")</f>
        <v/>
      </c>
    </row>
    <row r="532">
      <c r="F532" s="11" t="n"/>
      <c r="N532" s="7">
        <f>IF($D532="","",M532*X532/100)</f>
        <v/>
      </c>
      <c r="O532" s="7" t="n"/>
      <c r="U532" s="7" t="n"/>
      <c r="V532" s="7" t="n"/>
      <c r="W532" s="7">
        <f>IF($D532="","",V532*AB532/100)</f>
        <v/>
      </c>
      <c r="X532" s="7">
        <f>IF($D532="","",V532-W532)</f>
        <v/>
      </c>
      <c r="Y532" s="7">
        <f>IF($D532="","",X532-N532)</f>
        <v/>
      </c>
      <c r="AB532">
        <f>IF($D532="","",IF($AN532=1,Settings!$C$8,IF($AM532=1,Settings!$C$6,Settings!$C$7))*100)</f>
        <v/>
      </c>
      <c r="AF532" s="7" t="n"/>
      <c r="AI532" s="11" t="n"/>
      <c r="AK532">
        <f>IF($D532="","",IF(COUNTIF($D$2:$D532,$D532)=1,1,0))</f>
        <v/>
      </c>
      <c r="AL532">
        <f>IF($AK532=1,SUMPRODUCT(--($AO$2:$AO$1601&lt;$AO532))+1,"")</f>
        <v/>
      </c>
      <c r="AM532">
        <f>IF($D532="","",IF(OR($R532=TRUE(),$R532="TRUE"),1,0))</f>
        <v/>
      </c>
      <c r="AN532">
        <f>IF($D532="","",IF($AA532="Yes",1,0))</f>
        <v/>
      </c>
      <c r="AO532">
        <f>IF($AK532=1,IFERROR(IF(VALUE($D532)&lt;100000000,VALUE($D532),1000000000),IFERROR(IF(VALUE(MID($D532,2,20))&lt;100000000,VALUE(MID($D532,2,20)),1000000000),1000000000))+ROW()/100000,"")</f>
        <v/>
      </c>
    </row>
    <row r="533">
      <c r="F533" s="11" t="n"/>
      <c r="N533" s="7">
        <f>IF($D533="","",M533*X533/100)</f>
        <v/>
      </c>
      <c r="O533" s="7" t="n"/>
      <c r="U533" s="7" t="n"/>
      <c r="V533" s="7" t="n"/>
      <c r="W533" s="7">
        <f>IF($D533="","",V533*AB533/100)</f>
        <v/>
      </c>
      <c r="X533" s="7">
        <f>IF($D533="","",V533-W533)</f>
        <v/>
      </c>
      <c r="Y533" s="7">
        <f>IF($D533="","",X533-N533)</f>
        <v/>
      </c>
      <c r="AB533">
        <f>IF($D533="","",IF($AN533=1,Settings!$C$8,IF($AM533=1,Settings!$C$6,Settings!$C$7))*100)</f>
        <v/>
      </c>
      <c r="AF533" s="7" t="n"/>
      <c r="AI533" s="11" t="n"/>
      <c r="AK533">
        <f>IF($D533="","",IF(COUNTIF($D$2:$D533,$D533)=1,1,0))</f>
        <v/>
      </c>
      <c r="AL533">
        <f>IF($AK533=1,SUMPRODUCT(--($AO$2:$AO$1601&lt;$AO533))+1,"")</f>
        <v/>
      </c>
      <c r="AM533">
        <f>IF($D533="","",IF(OR($R533=TRUE(),$R533="TRUE"),1,0))</f>
        <v/>
      </c>
      <c r="AN533">
        <f>IF($D533="","",IF($AA533="Yes",1,0))</f>
        <v/>
      </c>
      <c r="AO533">
        <f>IF($AK533=1,IFERROR(IF(VALUE($D533)&lt;100000000,VALUE($D533),1000000000),IFERROR(IF(VALUE(MID($D533,2,20))&lt;100000000,VALUE(MID($D533,2,20)),1000000000),1000000000))+ROW()/100000,"")</f>
        <v/>
      </c>
    </row>
    <row r="534">
      <c r="F534" s="11" t="n"/>
      <c r="N534" s="7">
        <f>IF($D534="","",M534*X534/100)</f>
        <v/>
      </c>
      <c r="O534" s="7" t="n"/>
      <c r="U534" s="7" t="n"/>
      <c r="V534" s="7" t="n"/>
      <c r="W534" s="7">
        <f>IF($D534="","",V534*AB534/100)</f>
        <v/>
      </c>
      <c r="X534" s="7">
        <f>IF($D534="","",V534-W534)</f>
        <v/>
      </c>
      <c r="Y534" s="7">
        <f>IF($D534="","",X534-N534)</f>
        <v/>
      </c>
      <c r="AB534">
        <f>IF($D534="","",IF($AN534=1,Settings!$C$8,IF($AM534=1,Settings!$C$6,Settings!$C$7))*100)</f>
        <v/>
      </c>
      <c r="AF534" s="7" t="n"/>
      <c r="AI534" s="11" t="n"/>
      <c r="AK534">
        <f>IF($D534="","",IF(COUNTIF($D$2:$D534,$D534)=1,1,0))</f>
        <v/>
      </c>
      <c r="AL534">
        <f>IF($AK534=1,SUMPRODUCT(--($AO$2:$AO$1601&lt;$AO534))+1,"")</f>
        <v/>
      </c>
      <c r="AM534">
        <f>IF($D534="","",IF(OR($R534=TRUE(),$R534="TRUE"),1,0))</f>
        <v/>
      </c>
      <c r="AN534">
        <f>IF($D534="","",IF($AA534="Yes",1,0))</f>
        <v/>
      </c>
      <c r="AO534">
        <f>IF($AK534=1,IFERROR(IF(VALUE($D534)&lt;100000000,VALUE($D534),1000000000),IFERROR(IF(VALUE(MID($D534,2,20))&lt;100000000,VALUE(MID($D534,2,20)),1000000000),1000000000))+ROW()/100000,"")</f>
        <v/>
      </c>
    </row>
    <row r="535">
      <c r="F535" s="11" t="n"/>
      <c r="N535" s="7">
        <f>IF($D535="","",M535*X535/100)</f>
        <v/>
      </c>
      <c r="O535" s="7" t="n"/>
      <c r="U535" s="7" t="n"/>
      <c r="V535" s="7" t="n"/>
      <c r="W535" s="7">
        <f>IF($D535="","",V535*AB535/100)</f>
        <v/>
      </c>
      <c r="X535" s="7">
        <f>IF($D535="","",V535-W535)</f>
        <v/>
      </c>
      <c r="Y535" s="7">
        <f>IF($D535="","",X535-N535)</f>
        <v/>
      </c>
      <c r="AB535">
        <f>IF($D535="","",IF($AN535=1,Settings!$C$8,IF($AM535=1,Settings!$C$6,Settings!$C$7))*100)</f>
        <v/>
      </c>
      <c r="AF535" s="7" t="n"/>
      <c r="AI535" s="11" t="n"/>
      <c r="AK535">
        <f>IF($D535="","",IF(COUNTIF($D$2:$D535,$D535)=1,1,0))</f>
        <v/>
      </c>
      <c r="AL535">
        <f>IF($AK535=1,SUMPRODUCT(--($AO$2:$AO$1601&lt;$AO535))+1,"")</f>
        <v/>
      </c>
      <c r="AM535">
        <f>IF($D535="","",IF(OR($R535=TRUE(),$R535="TRUE"),1,0))</f>
        <v/>
      </c>
      <c r="AN535">
        <f>IF($D535="","",IF($AA535="Yes",1,0))</f>
        <v/>
      </c>
      <c r="AO535">
        <f>IF($AK535=1,IFERROR(IF(VALUE($D535)&lt;100000000,VALUE($D535),1000000000),IFERROR(IF(VALUE(MID($D535,2,20))&lt;100000000,VALUE(MID($D535,2,20)),1000000000),1000000000))+ROW()/100000,"")</f>
        <v/>
      </c>
    </row>
    <row r="536">
      <c r="F536" s="11" t="n"/>
      <c r="N536" s="7">
        <f>IF($D536="","",M536*X536/100)</f>
        <v/>
      </c>
      <c r="O536" s="7" t="n"/>
      <c r="U536" s="7" t="n"/>
      <c r="V536" s="7" t="n"/>
      <c r="W536" s="7">
        <f>IF($D536="","",V536*AB536/100)</f>
        <v/>
      </c>
      <c r="X536" s="7">
        <f>IF($D536="","",V536-W536)</f>
        <v/>
      </c>
      <c r="Y536" s="7">
        <f>IF($D536="","",X536-N536)</f>
        <v/>
      </c>
      <c r="AB536">
        <f>IF($D536="","",IF($AN536=1,Settings!$C$8,IF($AM536=1,Settings!$C$6,Settings!$C$7))*100)</f>
        <v/>
      </c>
      <c r="AF536" s="7" t="n"/>
      <c r="AI536" s="11" t="n"/>
      <c r="AK536">
        <f>IF($D536="","",IF(COUNTIF($D$2:$D536,$D536)=1,1,0))</f>
        <v/>
      </c>
      <c r="AL536">
        <f>IF($AK536=1,SUMPRODUCT(--($AO$2:$AO$1601&lt;$AO536))+1,"")</f>
        <v/>
      </c>
      <c r="AM536">
        <f>IF($D536="","",IF(OR($R536=TRUE(),$R536="TRUE"),1,0))</f>
        <v/>
      </c>
      <c r="AN536">
        <f>IF($D536="","",IF($AA536="Yes",1,0))</f>
        <v/>
      </c>
      <c r="AO536">
        <f>IF($AK536=1,IFERROR(IF(VALUE($D536)&lt;100000000,VALUE($D536),1000000000),IFERROR(IF(VALUE(MID($D536,2,20))&lt;100000000,VALUE(MID($D536,2,20)),1000000000),1000000000))+ROW()/100000,"")</f>
        <v/>
      </c>
    </row>
    <row r="537">
      <c r="F537" s="11" t="n"/>
      <c r="N537" s="7">
        <f>IF($D537="","",M537*X537/100)</f>
        <v/>
      </c>
      <c r="O537" s="7" t="n"/>
      <c r="U537" s="7" t="n"/>
      <c r="V537" s="7" t="n"/>
      <c r="W537" s="7">
        <f>IF($D537="","",V537*AB537/100)</f>
        <v/>
      </c>
      <c r="X537" s="7">
        <f>IF($D537="","",V537-W537)</f>
        <v/>
      </c>
      <c r="Y537" s="7">
        <f>IF($D537="","",X537-N537)</f>
        <v/>
      </c>
      <c r="AB537">
        <f>IF($D537="","",IF($AN537=1,Settings!$C$8,IF($AM537=1,Settings!$C$6,Settings!$C$7))*100)</f>
        <v/>
      </c>
      <c r="AF537" s="7" t="n"/>
      <c r="AI537" s="11" t="n"/>
      <c r="AK537">
        <f>IF($D537="","",IF(COUNTIF($D$2:$D537,$D537)=1,1,0))</f>
        <v/>
      </c>
      <c r="AL537">
        <f>IF($AK537=1,SUMPRODUCT(--($AO$2:$AO$1601&lt;$AO537))+1,"")</f>
        <v/>
      </c>
      <c r="AM537">
        <f>IF($D537="","",IF(OR($R537=TRUE(),$R537="TRUE"),1,0))</f>
        <v/>
      </c>
      <c r="AN537">
        <f>IF($D537="","",IF($AA537="Yes",1,0))</f>
        <v/>
      </c>
      <c r="AO537">
        <f>IF($AK537=1,IFERROR(IF(VALUE($D537)&lt;100000000,VALUE($D537),1000000000),IFERROR(IF(VALUE(MID($D537,2,20))&lt;100000000,VALUE(MID($D537,2,20)),1000000000),1000000000))+ROW()/100000,"")</f>
        <v/>
      </c>
    </row>
    <row r="538">
      <c r="F538" s="11" t="n"/>
      <c r="N538" s="7">
        <f>IF($D538="","",M538*X538/100)</f>
        <v/>
      </c>
      <c r="O538" s="7" t="n"/>
      <c r="U538" s="7" t="n"/>
      <c r="V538" s="7" t="n"/>
      <c r="W538" s="7">
        <f>IF($D538="","",V538*AB538/100)</f>
        <v/>
      </c>
      <c r="X538" s="7">
        <f>IF($D538="","",V538-W538)</f>
        <v/>
      </c>
      <c r="Y538" s="7">
        <f>IF($D538="","",X538-N538)</f>
        <v/>
      </c>
      <c r="AB538">
        <f>IF($D538="","",IF($AN538=1,Settings!$C$8,IF($AM538=1,Settings!$C$6,Settings!$C$7))*100)</f>
        <v/>
      </c>
      <c r="AF538" s="7" t="n"/>
      <c r="AI538" s="11" t="n"/>
      <c r="AK538">
        <f>IF($D538="","",IF(COUNTIF($D$2:$D538,$D538)=1,1,0))</f>
        <v/>
      </c>
      <c r="AL538">
        <f>IF($AK538=1,SUMPRODUCT(--($AO$2:$AO$1601&lt;$AO538))+1,"")</f>
        <v/>
      </c>
      <c r="AM538">
        <f>IF($D538="","",IF(OR($R538=TRUE(),$R538="TRUE"),1,0))</f>
        <v/>
      </c>
      <c r="AN538">
        <f>IF($D538="","",IF($AA538="Yes",1,0))</f>
        <v/>
      </c>
      <c r="AO538">
        <f>IF($AK538=1,IFERROR(IF(VALUE($D538)&lt;100000000,VALUE($D538),1000000000),IFERROR(IF(VALUE(MID($D538,2,20))&lt;100000000,VALUE(MID($D538,2,20)),1000000000),1000000000))+ROW()/100000,"")</f>
        <v/>
      </c>
    </row>
    <row r="539">
      <c r="F539" s="11" t="n"/>
      <c r="N539" s="7">
        <f>IF($D539="","",M539*X539/100)</f>
        <v/>
      </c>
      <c r="O539" s="7" t="n"/>
      <c r="U539" s="7" t="n"/>
      <c r="V539" s="7" t="n"/>
      <c r="W539" s="7">
        <f>IF($D539="","",V539*AB539/100)</f>
        <v/>
      </c>
      <c r="X539" s="7">
        <f>IF($D539="","",V539-W539)</f>
        <v/>
      </c>
      <c r="Y539" s="7">
        <f>IF($D539="","",X539-N539)</f>
        <v/>
      </c>
      <c r="AB539">
        <f>IF($D539="","",IF($AN539=1,Settings!$C$8,IF($AM539=1,Settings!$C$6,Settings!$C$7))*100)</f>
        <v/>
      </c>
      <c r="AF539" s="7" t="n"/>
      <c r="AI539" s="11" t="n"/>
      <c r="AK539">
        <f>IF($D539="","",IF(COUNTIF($D$2:$D539,$D539)=1,1,0))</f>
        <v/>
      </c>
      <c r="AL539">
        <f>IF($AK539=1,SUMPRODUCT(--($AO$2:$AO$1601&lt;$AO539))+1,"")</f>
        <v/>
      </c>
      <c r="AM539">
        <f>IF($D539="","",IF(OR($R539=TRUE(),$R539="TRUE"),1,0))</f>
        <v/>
      </c>
      <c r="AN539">
        <f>IF($D539="","",IF($AA539="Yes",1,0))</f>
        <v/>
      </c>
      <c r="AO539">
        <f>IF($AK539=1,IFERROR(IF(VALUE($D539)&lt;100000000,VALUE($D539),1000000000),IFERROR(IF(VALUE(MID($D539,2,20))&lt;100000000,VALUE(MID($D539,2,20)),1000000000),1000000000))+ROW()/100000,"")</f>
        <v/>
      </c>
    </row>
    <row r="540">
      <c r="F540" s="11" t="n"/>
      <c r="N540" s="7">
        <f>IF($D540="","",M540*X540/100)</f>
        <v/>
      </c>
      <c r="O540" s="7" t="n"/>
      <c r="U540" s="7" t="n"/>
      <c r="V540" s="7" t="n"/>
      <c r="W540" s="7">
        <f>IF($D540="","",V540*AB540/100)</f>
        <v/>
      </c>
      <c r="X540" s="7">
        <f>IF($D540="","",V540-W540)</f>
        <v/>
      </c>
      <c r="Y540" s="7">
        <f>IF($D540="","",X540-N540)</f>
        <v/>
      </c>
      <c r="AB540">
        <f>IF($D540="","",IF($AN540=1,Settings!$C$8,IF($AM540=1,Settings!$C$6,Settings!$C$7))*100)</f>
        <v/>
      </c>
      <c r="AF540" s="7" t="n"/>
      <c r="AI540" s="11" t="n"/>
      <c r="AK540">
        <f>IF($D540="","",IF(COUNTIF($D$2:$D540,$D540)=1,1,0))</f>
        <v/>
      </c>
      <c r="AL540">
        <f>IF($AK540=1,SUMPRODUCT(--($AO$2:$AO$1601&lt;$AO540))+1,"")</f>
        <v/>
      </c>
      <c r="AM540">
        <f>IF($D540="","",IF(OR($R540=TRUE(),$R540="TRUE"),1,0))</f>
        <v/>
      </c>
      <c r="AN540">
        <f>IF($D540="","",IF($AA540="Yes",1,0))</f>
        <v/>
      </c>
      <c r="AO540">
        <f>IF($AK540=1,IFERROR(IF(VALUE($D540)&lt;100000000,VALUE($D540),1000000000),IFERROR(IF(VALUE(MID($D540,2,20))&lt;100000000,VALUE(MID($D540,2,20)),1000000000),1000000000))+ROW()/100000,"")</f>
        <v/>
      </c>
    </row>
    <row r="541">
      <c r="F541" s="11" t="n"/>
      <c r="N541" s="7">
        <f>IF($D541="","",M541*X541/100)</f>
        <v/>
      </c>
      <c r="O541" s="7" t="n"/>
      <c r="U541" s="7" t="n"/>
      <c r="V541" s="7" t="n"/>
      <c r="W541" s="7">
        <f>IF($D541="","",V541*AB541/100)</f>
        <v/>
      </c>
      <c r="X541" s="7">
        <f>IF($D541="","",V541-W541)</f>
        <v/>
      </c>
      <c r="Y541" s="7">
        <f>IF($D541="","",X541-N541)</f>
        <v/>
      </c>
      <c r="AB541">
        <f>IF($D541="","",IF($AN541=1,Settings!$C$8,IF($AM541=1,Settings!$C$6,Settings!$C$7))*100)</f>
        <v/>
      </c>
      <c r="AF541" s="7" t="n"/>
      <c r="AI541" s="11" t="n"/>
      <c r="AK541">
        <f>IF($D541="","",IF(COUNTIF($D$2:$D541,$D541)=1,1,0))</f>
        <v/>
      </c>
      <c r="AL541">
        <f>IF($AK541=1,SUMPRODUCT(--($AO$2:$AO$1601&lt;$AO541))+1,"")</f>
        <v/>
      </c>
      <c r="AM541">
        <f>IF($D541="","",IF(OR($R541=TRUE(),$R541="TRUE"),1,0))</f>
        <v/>
      </c>
      <c r="AN541">
        <f>IF($D541="","",IF($AA541="Yes",1,0))</f>
        <v/>
      </c>
      <c r="AO541">
        <f>IF($AK541=1,IFERROR(IF(VALUE($D541)&lt;100000000,VALUE($D541),1000000000),IFERROR(IF(VALUE(MID($D541,2,20))&lt;100000000,VALUE(MID($D541,2,20)),1000000000),1000000000))+ROW()/100000,"")</f>
        <v/>
      </c>
    </row>
    <row r="542">
      <c r="F542" s="11" t="n"/>
      <c r="N542" s="7">
        <f>IF($D542="","",M542*X542/100)</f>
        <v/>
      </c>
      <c r="O542" s="7" t="n"/>
      <c r="U542" s="7" t="n"/>
      <c r="V542" s="7" t="n"/>
      <c r="W542" s="7">
        <f>IF($D542="","",V542*AB542/100)</f>
        <v/>
      </c>
      <c r="X542" s="7">
        <f>IF($D542="","",V542-W542)</f>
        <v/>
      </c>
      <c r="Y542" s="7">
        <f>IF($D542="","",X542-N542)</f>
        <v/>
      </c>
      <c r="AB542">
        <f>IF($D542="","",IF($AN542=1,Settings!$C$8,IF($AM542=1,Settings!$C$6,Settings!$C$7))*100)</f>
        <v/>
      </c>
      <c r="AF542" s="7" t="n"/>
      <c r="AI542" s="11" t="n"/>
      <c r="AK542">
        <f>IF($D542="","",IF(COUNTIF($D$2:$D542,$D542)=1,1,0))</f>
        <v/>
      </c>
      <c r="AL542">
        <f>IF($AK542=1,SUMPRODUCT(--($AO$2:$AO$1601&lt;$AO542))+1,"")</f>
        <v/>
      </c>
      <c r="AM542">
        <f>IF($D542="","",IF(OR($R542=TRUE(),$R542="TRUE"),1,0))</f>
        <v/>
      </c>
      <c r="AN542">
        <f>IF($D542="","",IF($AA542="Yes",1,0))</f>
        <v/>
      </c>
      <c r="AO542">
        <f>IF($AK542=1,IFERROR(IF(VALUE($D542)&lt;100000000,VALUE($D542),1000000000),IFERROR(IF(VALUE(MID($D542,2,20))&lt;100000000,VALUE(MID($D542,2,20)),1000000000),1000000000))+ROW()/100000,"")</f>
        <v/>
      </c>
    </row>
    <row r="543">
      <c r="F543" s="11" t="n"/>
      <c r="N543" s="7">
        <f>IF($D543="","",M543*X543/100)</f>
        <v/>
      </c>
      <c r="O543" s="7" t="n"/>
      <c r="U543" s="7" t="n"/>
      <c r="V543" s="7" t="n"/>
      <c r="W543" s="7">
        <f>IF($D543="","",V543*AB543/100)</f>
        <v/>
      </c>
      <c r="X543" s="7">
        <f>IF($D543="","",V543-W543)</f>
        <v/>
      </c>
      <c r="Y543" s="7">
        <f>IF($D543="","",X543-N543)</f>
        <v/>
      </c>
      <c r="AB543">
        <f>IF($D543="","",IF($AN543=1,Settings!$C$8,IF($AM543=1,Settings!$C$6,Settings!$C$7))*100)</f>
        <v/>
      </c>
      <c r="AF543" s="7" t="n"/>
      <c r="AI543" s="11" t="n"/>
      <c r="AK543">
        <f>IF($D543="","",IF(COUNTIF($D$2:$D543,$D543)=1,1,0))</f>
        <v/>
      </c>
      <c r="AL543">
        <f>IF($AK543=1,SUMPRODUCT(--($AO$2:$AO$1601&lt;$AO543))+1,"")</f>
        <v/>
      </c>
      <c r="AM543">
        <f>IF($D543="","",IF(OR($R543=TRUE(),$R543="TRUE"),1,0))</f>
        <v/>
      </c>
      <c r="AN543">
        <f>IF($D543="","",IF($AA543="Yes",1,0))</f>
        <v/>
      </c>
      <c r="AO543">
        <f>IF($AK543=1,IFERROR(IF(VALUE($D543)&lt;100000000,VALUE($D543),1000000000),IFERROR(IF(VALUE(MID($D543,2,20))&lt;100000000,VALUE(MID($D543,2,20)),1000000000),1000000000))+ROW()/100000,"")</f>
        <v/>
      </c>
    </row>
    <row r="544">
      <c r="F544" s="11" t="n"/>
      <c r="N544" s="7">
        <f>IF($D544="","",M544*X544/100)</f>
        <v/>
      </c>
      <c r="O544" s="7" t="n"/>
      <c r="U544" s="7" t="n"/>
      <c r="V544" s="7" t="n"/>
      <c r="W544" s="7">
        <f>IF($D544="","",V544*AB544/100)</f>
        <v/>
      </c>
      <c r="X544" s="7">
        <f>IF($D544="","",V544-W544)</f>
        <v/>
      </c>
      <c r="Y544" s="7">
        <f>IF($D544="","",X544-N544)</f>
        <v/>
      </c>
      <c r="AB544">
        <f>IF($D544="","",IF($AN544=1,Settings!$C$8,IF($AM544=1,Settings!$C$6,Settings!$C$7))*100)</f>
        <v/>
      </c>
      <c r="AF544" s="7" t="n"/>
      <c r="AI544" s="11" t="n"/>
      <c r="AK544">
        <f>IF($D544="","",IF(COUNTIF($D$2:$D544,$D544)=1,1,0))</f>
        <v/>
      </c>
      <c r="AL544">
        <f>IF($AK544=1,SUMPRODUCT(--($AO$2:$AO$1601&lt;$AO544))+1,"")</f>
        <v/>
      </c>
      <c r="AM544">
        <f>IF($D544="","",IF(OR($R544=TRUE(),$R544="TRUE"),1,0))</f>
        <v/>
      </c>
      <c r="AN544">
        <f>IF($D544="","",IF($AA544="Yes",1,0))</f>
        <v/>
      </c>
      <c r="AO544">
        <f>IF($AK544=1,IFERROR(IF(VALUE($D544)&lt;100000000,VALUE($D544),1000000000),IFERROR(IF(VALUE(MID($D544,2,20))&lt;100000000,VALUE(MID($D544,2,20)),1000000000),1000000000))+ROW()/100000,"")</f>
        <v/>
      </c>
    </row>
    <row r="545">
      <c r="F545" s="11" t="n"/>
      <c r="N545" s="7">
        <f>IF($D545="","",M545*X545/100)</f>
        <v/>
      </c>
      <c r="O545" s="7" t="n"/>
      <c r="U545" s="7" t="n"/>
      <c r="V545" s="7" t="n"/>
      <c r="W545" s="7">
        <f>IF($D545="","",V545*AB545/100)</f>
        <v/>
      </c>
      <c r="X545" s="7">
        <f>IF($D545="","",V545-W545)</f>
        <v/>
      </c>
      <c r="Y545" s="7">
        <f>IF($D545="","",X545-N545)</f>
        <v/>
      </c>
      <c r="AB545">
        <f>IF($D545="","",IF($AN545=1,Settings!$C$8,IF($AM545=1,Settings!$C$6,Settings!$C$7))*100)</f>
        <v/>
      </c>
      <c r="AF545" s="7" t="n"/>
      <c r="AI545" s="11" t="n"/>
      <c r="AK545">
        <f>IF($D545="","",IF(COUNTIF($D$2:$D545,$D545)=1,1,0))</f>
        <v/>
      </c>
      <c r="AL545">
        <f>IF($AK545=1,SUMPRODUCT(--($AO$2:$AO$1601&lt;$AO545))+1,"")</f>
        <v/>
      </c>
      <c r="AM545">
        <f>IF($D545="","",IF(OR($R545=TRUE(),$R545="TRUE"),1,0))</f>
        <v/>
      </c>
      <c r="AN545">
        <f>IF($D545="","",IF($AA545="Yes",1,0))</f>
        <v/>
      </c>
      <c r="AO545">
        <f>IF($AK545=1,IFERROR(IF(VALUE($D545)&lt;100000000,VALUE($D545),1000000000),IFERROR(IF(VALUE(MID($D545,2,20))&lt;100000000,VALUE(MID($D545,2,20)),1000000000),1000000000))+ROW()/100000,"")</f>
        <v/>
      </c>
    </row>
    <row r="546">
      <c r="F546" s="11" t="n"/>
      <c r="N546" s="7">
        <f>IF($D546="","",M546*X546/100)</f>
        <v/>
      </c>
      <c r="O546" s="7" t="n"/>
      <c r="U546" s="7" t="n"/>
      <c r="V546" s="7" t="n"/>
      <c r="W546" s="7">
        <f>IF($D546="","",V546*AB546/100)</f>
        <v/>
      </c>
      <c r="X546" s="7">
        <f>IF($D546="","",V546-W546)</f>
        <v/>
      </c>
      <c r="Y546" s="7">
        <f>IF($D546="","",X546-N546)</f>
        <v/>
      </c>
      <c r="AB546">
        <f>IF($D546="","",IF($AN546=1,Settings!$C$8,IF($AM546=1,Settings!$C$6,Settings!$C$7))*100)</f>
        <v/>
      </c>
      <c r="AF546" s="7" t="n"/>
      <c r="AI546" s="11" t="n"/>
      <c r="AK546">
        <f>IF($D546="","",IF(COUNTIF($D$2:$D546,$D546)=1,1,0))</f>
        <v/>
      </c>
      <c r="AL546">
        <f>IF($AK546=1,SUMPRODUCT(--($AO$2:$AO$1601&lt;$AO546))+1,"")</f>
        <v/>
      </c>
      <c r="AM546">
        <f>IF($D546="","",IF(OR($R546=TRUE(),$R546="TRUE"),1,0))</f>
        <v/>
      </c>
      <c r="AN546">
        <f>IF($D546="","",IF($AA546="Yes",1,0))</f>
        <v/>
      </c>
      <c r="AO546">
        <f>IF($AK546=1,IFERROR(IF(VALUE($D546)&lt;100000000,VALUE($D546),1000000000),IFERROR(IF(VALUE(MID($D546,2,20))&lt;100000000,VALUE(MID($D546,2,20)),1000000000),1000000000))+ROW()/100000,"")</f>
        <v/>
      </c>
    </row>
    <row r="547">
      <c r="F547" s="11" t="n"/>
      <c r="N547" s="7">
        <f>IF($D547="","",M547*X547/100)</f>
        <v/>
      </c>
      <c r="O547" s="7" t="n"/>
      <c r="U547" s="7" t="n"/>
      <c r="V547" s="7" t="n"/>
      <c r="W547" s="7">
        <f>IF($D547="","",V547*AB547/100)</f>
        <v/>
      </c>
      <c r="X547" s="7">
        <f>IF($D547="","",V547-W547)</f>
        <v/>
      </c>
      <c r="Y547" s="7">
        <f>IF($D547="","",X547-N547)</f>
        <v/>
      </c>
      <c r="AB547">
        <f>IF($D547="","",IF($AN547=1,Settings!$C$8,IF($AM547=1,Settings!$C$6,Settings!$C$7))*100)</f>
        <v/>
      </c>
      <c r="AF547" s="7" t="n"/>
      <c r="AI547" s="11" t="n"/>
      <c r="AK547">
        <f>IF($D547="","",IF(COUNTIF($D$2:$D547,$D547)=1,1,0))</f>
        <v/>
      </c>
      <c r="AL547">
        <f>IF($AK547=1,SUMPRODUCT(--($AO$2:$AO$1601&lt;$AO547))+1,"")</f>
        <v/>
      </c>
      <c r="AM547">
        <f>IF($D547="","",IF(OR($R547=TRUE(),$R547="TRUE"),1,0))</f>
        <v/>
      </c>
      <c r="AN547">
        <f>IF($D547="","",IF($AA547="Yes",1,0))</f>
        <v/>
      </c>
      <c r="AO547">
        <f>IF($AK547=1,IFERROR(IF(VALUE($D547)&lt;100000000,VALUE($D547),1000000000),IFERROR(IF(VALUE(MID($D547,2,20))&lt;100000000,VALUE(MID($D547,2,20)),1000000000),1000000000))+ROW()/100000,"")</f>
        <v/>
      </c>
    </row>
    <row r="548">
      <c r="F548" s="11" t="n"/>
      <c r="N548" s="7">
        <f>IF($D548="","",M548*X548/100)</f>
        <v/>
      </c>
      <c r="O548" s="7" t="n"/>
      <c r="U548" s="7" t="n"/>
      <c r="V548" s="7" t="n"/>
      <c r="W548" s="7">
        <f>IF($D548="","",V548*AB548/100)</f>
        <v/>
      </c>
      <c r="X548" s="7">
        <f>IF($D548="","",V548-W548)</f>
        <v/>
      </c>
      <c r="Y548" s="7">
        <f>IF($D548="","",X548-N548)</f>
        <v/>
      </c>
      <c r="AB548">
        <f>IF($D548="","",IF($AN548=1,Settings!$C$8,IF($AM548=1,Settings!$C$6,Settings!$C$7))*100)</f>
        <v/>
      </c>
      <c r="AF548" s="7" t="n"/>
      <c r="AI548" s="11" t="n"/>
      <c r="AK548">
        <f>IF($D548="","",IF(COUNTIF($D$2:$D548,$D548)=1,1,0))</f>
        <v/>
      </c>
      <c r="AL548">
        <f>IF($AK548=1,SUMPRODUCT(--($AO$2:$AO$1601&lt;$AO548))+1,"")</f>
        <v/>
      </c>
      <c r="AM548">
        <f>IF($D548="","",IF(OR($R548=TRUE(),$R548="TRUE"),1,0))</f>
        <v/>
      </c>
      <c r="AN548">
        <f>IF($D548="","",IF($AA548="Yes",1,0))</f>
        <v/>
      </c>
      <c r="AO548">
        <f>IF($AK548=1,IFERROR(IF(VALUE($D548)&lt;100000000,VALUE($D548),1000000000),IFERROR(IF(VALUE(MID($D548,2,20))&lt;100000000,VALUE(MID($D548,2,20)),1000000000),1000000000))+ROW()/100000,"")</f>
        <v/>
      </c>
    </row>
    <row r="549">
      <c r="F549" s="11" t="n"/>
      <c r="N549" s="7">
        <f>IF($D549="","",M549*X549/100)</f>
        <v/>
      </c>
      <c r="O549" s="7" t="n"/>
      <c r="U549" s="7" t="n"/>
      <c r="V549" s="7" t="n"/>
      <c r="W549" s="7">
        <f>IF($D549="","",V549*AB549/100)</f>
        <v/>
      </c>
      <c r="X549" s="7">
        <f>IF($D549="","",V549-W549)</f>
        <v/>
      </c>
      <c r="Y549" s="7">
        <f>IF($D549="","",X549-N549)</f>
        <v/>
      </c>
      <c r="AB549">
        <f>IF($D549="","",IF($AN549=1,Settings!$C$8,IF($AM549=1,Settings!$C$6,Settings!$C$7))*100)</f>
        <v/>
      </c>
      <c r="AF549" s="7" t="n"/>
      <c r="AI549" s="11" t="n"/>
      <c r="AK549">
        <f>IF($D549="","",IF(COUNTIF($D$2:$D549,$D549)=1,1,0))</f>
        <v/>
      </c>
      <c r="AL549">
        <f>IF($AK549=1,SUMPRODUCT(--($AO$2:$AO$1601&lt;$AO549))+1,"")</f>
        <v/>
      </c>
      <c r="AM549">
        <f>IF($D549="","",IF(OR($R549=TRUE(),$R549="TRUE"),1,0))</f>
        <v/>
      </c>
      <c r="AN549">
        <f>IF($D549="","",IF($AA549="Yes",1,0))</f>
        <v/>
      </c>
      <c r="AO549">
        <f>IF($AK549=1,IFERROR(IF(VALUE($D549)&lt;100000000,VALUE($D549),1000000000),IFERROR(IF(VALUE(MID($D549,2,20))&lt;100000000,VALUE(MID($D549,2,20)),1000000000),1000000000))+ROW()/100000,"")</f>
        <v/>
      </c>
    </row>
    <row r="550">
      <c r="F550" s="11" t="n"/>
      <c r="N550" s="7">
        <f>IF($D550="","",M550*X550/100)</f>
        <v/>
      </c>
      <c r="O550" s="7" t="n"/>
      <c r="U550" s="7" t="n"/>
      <c r="V550" s="7" t="n"/>
      <c r="W550" s="7">
        <f>IF($D550="","",V550*AB550/100)</f>
        <v/>
      </c>
      <c r="X550" s="7">
        <f>IF($D550="","",V550-W550)</f>
        <v/>
      </c>
      <c r="Y550" s="7">
        <f>IF($D550="","",X550-N550)</f>
        <v/>
      </c>
      <c r="AB550">
        <f>IF($D550="","",IF($AN550=1,Settings!$C$8,IF($AM550=1,Settings!$C$6,Settings!$C$7))*100)</f>
        <v/>
      </c>
      <c r="AF550" s="7" t="n"/>
      <c r="AI550" s="11" t="n"/>
      <c r="AK550">
        <f>IF($D550="","",IF(COUNTIF($D$2:$D550,$D550)=1,1,0))</f>
        <v/>
      </c>
      <c r="AL550">
        <f>IF($AK550=1,SUMPRODUCT(--($AO$2:$AO$1601&lt;$AO550))+1,"")</f>
        <v/>
      </c>
      <c r="AM550">
        <f>IF($D550="","",IF(OR($R550=TRUE(),$R550="TRUE"),1,0))</f>
        <v/>
      </c>
      <c r="AN550">
        <f>IF($D550="","",IF($AA550="Yes",1,0))</f>
        <v/>
      </c>
      <c r="AO550">
        <f>IF($AK550=1,IFERROR(IF(VALUE($D550)&lt;100000000,VALUE($D550),1000000000),IFERROR(IF(VALUE(MID($D550,2,20))&lt;100000000,VALUE(MID($D550,2,20)),1000000000),1000000000))+ROW()/100000,"")</f>
        <v/>
      </c>
    </row>
    <row r="551">
      <c r="F551" s="11" t="n"/>
      <c r="N551" s="7">
        <f>IF($D551="","",M551*X551/100)</f>
        <v/>
      </c>
      <c r="O551" s="7" t="n"/>
      <c r="U551" s="7" t="n"/>
      <c r="V551" s="7" t="n"/>
      <c r="W551" s="7">
        <f>IF($D551="","",V551*AB551/100)</f>
        <v/>
      </c>
      <c r="X551" s="7">
        <f>IF($D551="","",V551-W551)</f>
        <v/>
      </c>
      <c r="Y551" s="7">
        <f>IF($D551="","",X551-N551)</f>
        <v/>
      </c>
      <c r="AB551">
        <f>IF($D551="","",IF($AN551=1,Settings!$C$8,IF($AM551=1,Settings!$C$6,Settings!$C$7))*100)</f>
        <v/>
      </c>
      <c r="AF551" s="7" t="n"/>
      <c r="AI551" s="11" t="n"/>
      <c r="AK551">
        <f>IF($D551="","",IF(COUNTIF($D$2:$D551,$D551)=1,1,0))</f>
        <v/>
      </c>
      <c r="AL551">
        <f>IF($AK551=1,SUMPRODUCT(--($AO$2:$AO$1601&lt;$AO551))+1,"")</f>
        <v/>
      </c>
      <c r="AM551">
        <f>IF($D551="","",IF(OR($R551=TRUE(),$R551="TRUE"),1,0))</f>
        <v/>
      </c>
      <c r="AN551">
        <f>IF($D551="","",IF($AA551="Yes",1,0))</f>
        <v/>
      </c>
      <c r="AO551">
        <f>IF($AK551=1,IFERROR(IF(VALUE($D551)&lt;100000000,VALUE($D551),1000000000),IFERROR(IF(VALUE(MID($D551,2,20))&lt;100000000,VALUE(MID($D551,2,20)),1000000000),1000000000))+ROW()/100000,"")</f>
        <v/>
      </c>
    </row>
    <row r="552">
      <c r="F552" s="11" t="n"/>
      <c r="N552" s="7">
        <f>IF($D552="","",M552*X552/100)</f>
        <v/>
      </c>
      <c r="O552" s="7" t="n"/>
      <c r="U552" s="7" t="n"/>
      <c r="V552" s="7" t="n"/>
      <c r="W552" s="7">
        <f>IF($D552="","",V552*AB552/100)</f>
        <v/>
      </c>
      <c r="X552" s="7">
        <f>IF($D552="","",V552-W552)</f>
        <v/>
      </c>
      <c r="Y552" s="7">
        <f>IF($D552="","",X552-N552)</f>
        <v/>
      </c>
      <c r="AB552">
        <f>IF($D552="","",IF($AN552=1,Settings!$C$8,IF($AM552=1,Settings!$C$6,Settings!$C$7))*100)</f>
        <v/>
      </c>
      <c r="AF552" s="7" t="n"/>
      <c r="AI552" s="11" t="n"/>
      <c r="AK552">
        <f>IF($D552="","",IF(COUNTIF($D$2:$D552,$D552)=1,1,0))</f>
        <v/>
      </c>
      <c r="AL552">
        <f>IF($AK552=1,SUMPRODUCT(--($AO$2:$AO$1601&lt;$AO552))+1,"")</f>
        <v/>
      </c>
      <c r="AM552">
        <f>IF($D552="","",IF(OR($R552=TRUE(),$R552="TRUE"),1,0))</f>
        <v/>
      </c>
      <c r="AN552">
        <f>IF($D552="","",IF($AA552="Yes",1,0))</f>
        <v/>
      </c>
      <c r="AO552">
        <f>IF($AK552=1,IFERROR(IF(VALUE($D552)&lt;100000000,VALUE($D552),1000000000),IFERROR(IF(VALUE(MID($D552,2,20))&lt;100000000,VALUE(MID($D552,2,20)),1000000000),1000000000))+ROW()/100000,"")</f>
        <v/>
      </c>
    </row>
    <row r="553">
      <c r="F553" s="11" t="n"/>
      <c r="N553" s="7">
        <f>IF($D553="","",M553*X553/100)</f>
        <v/>
      </c>
      <c r="O553" s="7" t="n"/>
      <c r="U553" s="7" t="n"/>
      <c r="V553" s="7" t="n"/>
      <c r="W553" s="7">
        <f>IF($D553="","",V553*AB553/100)</f>
        <v/>
      </c>
      <c r="X553" s="7">
        <f>IF($D553="","",V553-W553)</f>
        <v/>
      </c>
      <c r="Y553" s="7">
        <f>IF($D553="","",X553-N553)</f>
        <v/>
      </c>
      <c r="AB553">
        <f>IF($D553="","",IF($AN553=1,Settings!$C$8,IF($AM553=1,Settings!$C$6,Settings!$C$7))*100)</f>
        <v/>
      </c>
      <c r="AF553" s="7" t="n"/>
      <c r="AI553" s="11" t="n"/>
      <c r="AK553">
        <f>IF($D553="","",IF(COUNTIF($D$2:$D553,$D553)=1,1,0))</f>
        <v/>
      </c>
      <c r="AL553">
        <f>IF($AK553=1,SUMPRODUCT(--($AO$2:$AO$1601&lt;$AO553))+1,"")</f>
        <v/>
      </c>
      <c r="AM553">
        <f>IF($D553="","",IF(OR($R553=TRUE(),$R553="TRUE"),1,0))</f>
        <v/>
      </c>
      <c r="AN553">
        <f>IF($D553="","",IF($AA553="Yes",1,0))</f>
        <v/>
      </c>
      <c r="AO553">
        <f>IF($AK553=1,IFERROR(IF(VALUE($D553)&lt;100000000,VALUE($D553),1000000000),IFERROR(IF(VALUE(MID($D553,2,20))&lt;100000000,VALUE(MID($D553,2,20)),1000000000),1000000000))+ROW()/100000,"")</f>
        <v/>
      </c>
    </row>
    <row r="554">
      <c r="F554" s="11" t="n"/>
      <c r="N554" s="7">
        <f>IF($D554="","",M554*X554/100)</f>
        <v/>
      </c>
      <c r="O554" s="7" t="n"/>
      <c r="U554" s="7" t="n"/>
      <c r="V554" s="7" t="n"/>
      <c r="W554" s="7">
        <f>IF($D554="","",V554*AB554/100)</f>
        <v/>
      </c>
      <c r="X554" s="7">
        <f>IF($D554="","",V554-W554)</f>
        <v/>
      </c>
      <c r="Y554" s="7">
        <f>IF($D554="","",X554-N554)</f>
        <v/>
      </c>
      <c r="AB554">
        <f>IF($D554="","",IF($AN554=1,Settings!$C$8,IF($AM554=1,Settings!$C$6,Settings!$C$7))*100)</f>
        <v/>
      </c>
      <c r="AF554" s="7" t="n"/>
      <c r="AI554" s="11" t="n"/>
      <c r="AK554">
        <f>IF($D554="","",IF(COUNTIF($D$2:$D554,$D554)=1,1,0))</f>
        <v/>
      </c>
      <c r="AL554">
        <f>IF($AK554=1,SUMPRODUCT(--($AO$2:$AO$1601&lt;$AO554))+1,"")</f>
        <v/>
      </c>
      <c r="AM554">
        <f>IF($D554="","",IF(OR($R554=TRUE(),$R554="TRUE"),1,0))</f>
        <v/>
      </c>
      <c r="AN554">
        <f>IF($D554="","",IF($AA554="Yes",1,0))</f>
        <v/>
      </c>
      <c r="AO554">
        <f>IF($AK554=1,IFERROR(IF(VALUE($D554)&lt;100000000,VALUE($D554),1000000000),IFERROR(IF(VALUE(MID($D554,2,20))&lt;100000000,VALUE(MID($D554,2,20)),1000000000),1000000000))+ROW()/100000,"")</f>
        <v/>
      </c>
    </row>
    <row r="555">
      <c r="F555" s="11" t="n"/>
      <c r="N555" s="7">
        <f>IF($D555="","",M555*X555/100)</f>
        <v/>
      </c>
      <c r="O555" s="7" t="n"/>
      <c r="U555" s="7" t="n"/>
      <c r="V555" s="7" t="n"/>
      <c r="W555" s="7">
        <f>IF($D555="","",V555*AB555/100)</f>
        <v/>
      </c>
      <c r="X555" s="7">
        <f>IF($D555="","",V555-W555)</f>
        <v/>
      </c>
      <c r="Y555" s="7">
        <f>IF($D555="","",X555-N555)</f>
        <v/>
      </c>
      <c r="AB555">
        <f>IF($D555="","",IF($AN555=1,Settings!$C$8,IF($AM555=1,Settings!$C$6,Settings!$C$7))*100)</f>
        <v/>
      </c>
      <c r="AF555" s="7" t="n"/>
      <c r="AI555" s="11" t="n"/>
      <c r="AK555">
        <f>IF($D555="","",IF(COUNTIF($D$2:$D555,$D555)=1,1,0))</f>
        <v/>
      </c>
      <c r="AL555">
        <f>IF($AK555=1,SUMPRODUCT(--($AO$2:$AO$1601&lt;$AO555))+1,"")</f>
        <v/>
      </c>
      <c r="AM555">
        <f>IF($D555="","",IF(OR($R555=TRUE(),$R555="TRUE"),1,0))</f>
        <v/>
      </c>
      <c r="AN555">
        <f>IF($D555="","",IF($AA555="Yes",1,0))</f>
        <v/>
      </c>
      <c r="AO555">
        <f>IF($AK555=1,IFERROR(IF(VALUE($D555)&lt;100000000,VALUE($D555),1000000000),IFERROR(IF(VALUE(MID($D555,2,20))&lt;100000000,VALUE(MID($D555,2,20)),1000000000),1000000000))+ROW()/100000,"")</f>
        <v/>
      </c>
    </row>
    <row r="556">
      <c r="F556" s="11" t="n"/>
      <c r="N556" s="7">
        <f>IF($D556="","",M556*X556/100)</f>
        <v/>
      </c>
      <c r="O556" s="7" t="n"/>
      <c r="U556" s="7" t="n"/>
      <c r="V556" s="7" t="n"/>
      <c r="W556" s="7">
        <f>IF($D556="","",V556*AB556/100)</f>
        <v/>
      </c>
      <c r="X556" s="7">
        <f>IF($D556="","",V556-W556)</f>
        <v/>
      </c>
      <c r="Y556" s="7">
        <f>IF($D556="","",X556-N556)</f>
        <v/>
      </c>
      <c r="AB556">
        <f>IF($D556="","",IF($AN556=1,Settings!$C$8,IF($AM556=1,Settings!$C$6,Settings!$C$7))*100)</f>
        <v/>
      </c>
      <c r="AF556" s="7" t="n"/>
      <c r="AI556" s="11" t="n"/>
      <c r="AK556">
        <f>IF($D556="","",IF(COUNTIF($D$2:$D556,$D556)=1,1,0))</f>
        <v/>
      </c>
      <c r="AL556">
        <f>IF($AK556=1,SUMPRODUCT(--($AO$2:$AO$1601&lt;$AO556))+1,"")</f>
        <v/>
      </c>
      <c r="AM556">
        <f>IF($D556="","",IF(OR($R556=TRUE(),$R556="TRUE"),1,0))</f>
        <v/>
      </c>
      <c r="AN556">
        <f>IF($D556="","",IF($AA556="Yes",1,0))</f>
        <v/>
      </c>
      <c r="AO556">
        <f>IF($AK556=1,IFERROR(IF(VALUE($D556)&lt;100000000,VALUE($D556),1000000000),IFERROR(IF(VALUE(MID($D556,2,20))&lt;100000000,VALUE(MID($D556,2,20)),1000000000),1000000000))+ROW()/100000,"")</f>
        <v/>
      </c>
    </row>
    <row r="557">
      <c r="F557" s="11" t="n"/>
      <c r="N557" s="7">
        <f>IF($D557="","",M557*X557/100)</f>
        <v/>
      </c>
      <c r="O557" s="7" t="n"/>
      <c r="U557" s="7" t="n"/>
      <c r="V557" s="7" t="n"/>
      <c r="W557" s="7">
        <f>IF($D557="","",V557*AB557/100)</f>
        <v/>
      </c>
      <c r="X557" s="7">
        <f>IF($D557="","",V557-W557)</f>
        <v/>
      </c>
      <c r="Y557" s="7">
        <f>IF($D557="","",X557-N557)</f>
        <v/>
      </c>
      <c r="AB557">
        <f>IF($D557="","",IF($AN557=1,Settings!$C$8,IF($AM557=1,Settings!$C$6,Settings!$C$7))*100)</f>
        <v/>
      </c>
      <c r="AF557" s="7" t="n"/>
      <c r="AI557" s="11" t="n"/>
      <c r="AK557">
        <f>IF($D557="","",IF(COUNTIF($D$2:$D557,$D557)=1,1,0))</f>
        <v/>
      </c>
      <c r="AL557">
        <f>IF($AK557=1,SUMPRODUCT(--($AO$2:$AO$1601&lt;$AO557))+1,"")</f>
        <v/>
      </c>
      <c r="AM557">
        <f>IF($D557="","",IF(OR($R557=TRUE(),$R557="TRUE"),1,0))</f>
        <v/>
      </c>
      <c r="AN557">
        <f>IF($D557="","",IF($AA557="Yes",1,0))</f>
        <v/>
      </c>
      <c r="AO557">
        <f>IF($AK557=1,IFERROR(IF(VALUE($D557)&lt;100000000,VALUE($D557),1000000000),IFERROR(IF(VALUE(MID($D557,2,20))&lt;100000000,VALUE(MID($D557,2,20)),1000000000),1000000000))+ROW()/100000,"")</f>
        <v/>
      </c>
    </row>
    <row r="558">
      <c r="F558" s="11" t="n"/>
      <c r="N558" s="7">
        <f>IF($D558="","",M558*X558/100)</f>
        <v/>
      </c>
      <c r="O558" s="7" t="n"/>
      <c r="U558" s="7" t="n"/>
      <c r="V558" s="7" t="n"/>
      <c r="W558" s="7">
        <f>IF($D558="","",V558*AB558/100)</f>
        <v/>
      </c>
      <c r="X558" s="7">
        <f>IF($D558="","",V558-W558)</f>
        <v/>
      </c>
      <c r="Y558" s="7">
        <f>IF($D558="","",X558-N558)</f>
        <v/>
      </c>
      <c r="AB558">
        <f>IF($D558="","",IF($AN558=1,Settings!$C$8,IF($AM558=1,Settings!$C$6,Settings!$C$7))*100)</f>
        <v/>
      </c>
      <c r="AF558" s="7" t="n"/>
      <c r="AI558" s="11" t="n"/>
      <c r="AK558">
        <f>IF($D558="","",IF(COUNTIF($D$2:$D558,$D558)=1,1,0))</f>
        <v/>
      </c>
      <c r="AL558">
        <f>IF($AK558=1,SUMPRODUCT(--($AO$2:$AO$1601&lt;$AO558))+1,"")</f>
        <v/>
      </c>
      <c r="AM558">
        <f>IF($D558="","",IF(OR($R558=TRUE(),$R558="TRUE"),1,0))</f>
        <v/>
      </c>
      <c r="AN558">
        <f>IF($D558="","",IF($AA558="Yes",1,0))</f>
        <v/>
      </c>
      <c r="AO558">
        <f>IF($AK558=1,IFERROR(IF(VALUE($D558)&lt;100000000,VALUE($D558),1000000000),IFERROR(IF(VALUE(MID($D558,2,20))&lt;100000000,VALUE(MID($D558,2,20)),1000000000),1000000000))+ROW()/100000,"")</f>
        <v/>
      </c>
    </row>
    <row r="559">
      <c r="F559" s="11" t="n"/>
      <c r="N559" s="7">
        <f>IF($D559="","",M559*X559/100)</f>
        <v/>
      </c>
      <c r="O559" s="7" t="n"/>
      <c r="U559" s="7" t="n"/>
      <c r="V559" s="7" t="n"/>
      <c r="W559" s="7">
        <f>IF($D559="","",V559*AB559/100)</f>
        <v/>
      </c>
      <c r="X559" s="7">
        <f>IF($D559="","",V559-W559)</f>
        <v/>
      </c>
      <c r="Y559" s="7">
        <f>IF($D559="","",X559-N559)</f>
        <v/>
      </c>
      <c r="AB559">
        <f>IF($D559="","",IF($AN559=1,Settings!$C$8,IF($AM559=1,Settings!$C$6,Settings!$C$7))*100)</f>
        <v/>
      </c>
      <c r="AF559" s="7" t="n"/>
      <c r="AI559" s="11" t="n"/>
      <c r="AK559">
        <f>IF($D559="","",IF(COUNTIF($D$2:$D559,$D559)=1,1,0))</f>
        <v/>
      </c>
      <c r="AL559">
        <f>IF($AK559=1,SUMPRODUCT(--($AO$2:$AO$1601&lt;$AO559))+1,"")</f>
        <v/>
      </c>
      <c r="AM559">
        <f>IF($D559="","",IF(OR($R559=TRUE(),$R559="TRUE"),1,0))</f>
        <v/>
      </c>
      <c r="AN559">
        <f>IF($D559="","",IF($AA559="Yes",1,0))</f>
        <v/>
      </c>
      <c r="AO559">
        <f>IF($AK559=1,IFERROR(IF(VALUE($D559)&lt;100000000,VALUE($D559),1000000000),IFERROR(IF(VALUE(MID($D559,2,20))&lt;100000000,VALUE(MID($D559,2,20)),1000000000),1000000000))+ROW()/100000,"")</f>
        <v/>
      </c>
    </row>
    <row r="560">
      <c r="F560" s="11" t="n"/>
      <c r="N560" s="7">
        <f>IF($D560="","",M560*X560/100)</f>
        <v/>
      </c>
      <c r="O560" s="7" t="n"/>
      <c r="U560" s="7" t="n"/>
      <c r="V560" s="7" t="n"/>
      <c r="W560" s="7">
        <f>IF($D560="","",V560*AB560/100)</f>
        <v/>
      </c>
      <c r="X560" s="7">
        <f>IF($D560="","",V560-W560)</f>
        <v/>
      </c>
      <c r="Y560" s="7">
        <f>IF($D560="","",X560-N560)</f>
        <v/>
      </c>
      <c r="AB560">
        <f>IF($D560="","",IF($AN560=1,Settings!$C$8,IF($AM560=1,Settings!$C$6,Settings!$C$7))*100)</f>
        <v/>
      </c>
      <c r="AF560" s="7" t="n"/>
      <c r="AI560" s="11" t="n"/>
      <c r="AK560">
        <f>IF($D560="","",IF(COUNTIF($D$2:$D560,$D560)=1,1,0))</f>
        <v/>
      </c>
      <c r="AL560">
        <f>IF($AK560=1,SUMPRODUCT(--($AO$2:$AO$1601&lt;$AO560))+1,"")</f>
        <v/>
      </c>
      <c r="AM560">
        <f>IF($D560="","",IF(OR($R560=TRUE(),$R560="TRUE"),1,0))</f>
        <v/>
      </c>
      <c r="AN560">
        <f>IF($D560="","",IF($AA560="Yes",1,0))</f>
        <v/>
      </c>
      <c r="AO560">
        <f>IF($AK560=1,IFERROR(IF(VALUE($D560)&lt;100000000,VALUE($D560),1000000000),IFERROR(IF(VALUE(MID($D560,2,20))&lt;100000000,VALUE(MID($D560,2,20)),1000000000),1000000000))+ROW()/100000,"")</f>
        <v/>
      </c>
    </row>
    <row r="561">
      <c r="F561" s="11" t="n"/>
      <c r="N561" s="7">
        <f>IF($D561="","",M561*X561/100)</f>
        <v/>
      </c>
      <c r="O561" s="7" t="n"/>
      <c r="U561" s="7" t="n"/>
      <c r="V561" s="7" t="n"/>
      <c r="W561" s="7">
        <f>IF($D561="","",V561*AB561/100)</f>
        <v/>
      </c>
      <c r="X561" s="7">
        <f>IF($D561="","",V561-W561)</f>
        <v/>
      </c>
      <c r="Y561" s="7">
        <f>IF($D561="","",X561-N561)</f>
        <v/>
      </c>
      <c r="AB561">
        <f>IF($D561="","",IF($AN561=1,Settings!$C$8,IF($AM561=1,Settings!$C$6,Settings!$C$7))*100)</f>
        <v/>
      </c>
      <c r="AF561" s="7" t="n"/>
      <c r="AI561" s="11" t="n"/>
      <c r="AK561">
        <f>IF($D561="","",IF(COUNTIF($D$2:$D561,$D561)=1,1,0))</f>
        <v/>
      </c>
      <c r="AL561">
        <f>IF($AK561=1,SUMPRODUCT(--($AO$2:$AO$1601&lt;$AO561))+1,"")</f>
        <v/>
      </c>
      <c r="AM561">
        <f>IF($D561="","",IF(OR($R561=TRUE(),$R561="TRUE"),1,0))</f>
        <v/>
      </c>
      <c r="AN561">
        <f>IF($D561="","",IF($AA561="Yes",1,0))</f>
        <v/>
      </c>
      <c r="AO561">
        <f>IF($AK561=1,IFERROR(IF(VALUE($D561)&lt;100000000,VALUE($D561),1000000000),IFERROR(IF(VALUE(MID($D561,2,20))&lt;100000000,VALUE(MID($D561,2,20)),1000000000),1000000000))+ROW()/100000,"")</f>
        <v/>
      </c>
    </row>
    <row r="562">
      <c r="F562" s="11" t="n"/>
      <c r="N562" s="7">
        <f>IF($D562="","",M562*X562/100)</f>
        <v/>
      </c>
      <c r="O562" s="7" t="n"/>
      <c r="U562" s="7" t="n"/>
      <c r="V562" s="7" t="n"/>
      <c r="W562" s="7">
        <f>IF($D562="","",V562*AB562/100)</f>
        <v/>
      </c>
      <c r="X562" s="7">
        <f>IF($D562="","",V562-W562)</f>
        <v/>
      </c>
      <c r="Y562" s="7">
        <f>IF($D562="","",X562-N562)</f>
        <v/>
      </c>
      <c r="AB562">
        <f>IF($D562="","",IF($AN562=1,Settings!$C$8,IF($AM562=1,Settings!$C$6,Settings!$C$7))*100)</f>
        <v/>
      </c>
      <c r="AF562" s="7" t="n"/>
      <c r="AI562" s="11" t="n"/>
      <c r="AK562">
        <f>IF($D562="","",IF(COUNTIF($D$2:$D562,$D562)=1,1,0))</f>
        <v/>
      </c>
      <c r="AL562">
        <f>IF($AK562=1,SUMPRODUCT(--($AO$2:$AO$1601&lt;$AO562))+1,"")</f>
        <v/>
      </c>
      <c r="AM562">
        <f>IF($D562="","",IF(OR($R562=TRUE(),$R562="TRUE"),1,0))</f>
        <v/>
      </c>
      <c r="AN562">
        <f>IF($D562="","",IF($AA562="Yes",1,0))</f>
        <v/>
      </c>
      <c r="AO562">
        <f>IF($AK562=1,IFERROR(IF(VALUE($D562)&lt;100000000,VALUE($D562),1000000000),IFERROR(IF(VALUE(MID($D562,2,20))&lt;100000000,VALUE(MID($D562,2,20)),1000000000),1000000000))+ROW()/100000,"")</f>
        <v/>
      </c>
    </row>
    <row r="563">
      <c r="F563" s="11" t="n"/>
      <c r="N563" s="7">
        <f>IF($D563="","",M563*X563/100)</f>
        <v/>
      </c>
      <c r="O563" s="7" t="n"/>
      <c r="U563" s="7" t="n"/>
      <c r="V563" s="7" t="n"/>
      <c r="W563" s="7">
        <f>IF($D563="","",V563*AB563/100)</f>
        <v/>
      </c>
      <c r="X563" s="7">
        <f>IF($D563="","",V563-W563)</f>
        <v/>
      </c>
      <c r="Y563" s="7">
        <f>IF($D563="","",X563-N563)</f>
        <v/>
      </c>
      <c r="AB563">
        <f>IF($D563="","",IF($AN563=1,Settings!$C$8,IF($AM563=1,Settings!$C$6,Settings!$C$7))*100)</f>
        <v/>
      </c>
      <c r="AF563" s="7" t="n"/>
      <c r="AI563" s="11" t="n"/>
      <c r="AK563">
        <f>IF($D563="","",IF(COUNTIF($D$2:$D563,$D563)=1,1,0))</f>
        <v/>
      </c>
      <c r="AL563">
        <f>IF($AK563=1,SUMPRODUCT(--($AO$2:$AO$1601&lt;$AO563))+1,"")</f>
        <v/>
      </c>
      <c r="AM563">
        <f>IF($D563="","",IF(OR($R563=TRUE(),$R563="TRUE"),1,0))</f>
        <v/>
      </c>
      <c r="AN563">
        <f>IF($D563="","",IF($AA563="Yes",1,0))</f>
        <v/>
      </c>
      <c r="AO563">
        <f>IF($AK563=1,IFERROR(IF(VALUE($D563)&lt;100000000,VALUE($D563),1000000000),IFERROR(IF(VALUE(MID($D563,2,20))&lt;100000000,VALUE(MID($D563,2,20)),1000000000),1000000000))+ROW()/100000,"")</f>
        <v/>
      </c>
    </row>
    <row r="564">
      <c r="F564" s="11" t="n"/>
      <c r="N564" s="7">
        <f>IF($D564="","",M564*X564/100)</f>
        <v/>
      </c>
      <c r="O564" s="7" t="n"/>
      <c r="U564" s="7" t="n"/>
      <c r="V564" s="7" t="n"/>
      <c r="W564" s="7">
        <f>IF($D564="","",V564*AB564/100)</f>
        <v/>
      </c>
      <c r="X564" s="7">
        <f>IF($D564="","",V564-W564)</f>
        <v/>
      </c>
      <c r="Y564" s="7">
        <f>IF($D564="","",X564-N564)</f>
        <v/>
      </c>
      <c r="AB564">
        <f>IF($D564="","",IF($AN564=1,Settings!$C$8,IF($AM564=1,Settings!$C$6,Settings!$C$7))*100)</f>
        <v/>
      </c>
      <c r="AF564" s="7" t="n"/>
      <c r="AI564" s="11" t="n"/>
      <c r="AK564">
        <f>IF($D564="","",IF(COUNTIF($D$2:$D564,$D564)=1,1,0))</f>
        <v/>
      </c>
      <c r="AL564">
        <f>IF($AK564=1,SUMPRODUCT(--($AO$2:$AO$1601&lt;$AO564))+1,"")</f>
        <v/>
      </c>
      <c r="AM564">
        <f>IF($D564="","",IF(OR($R564=TRUE(),$R564="TRUE"),1,0))</f>
        <v/>
      </c>
      <c r="AN564">
        <f>IF($D564="","",IF($AA564="Yes",1,0))</f>
        <v/>
      </c>
      <c r="AO564">
        <f>IF($AK564=1,IFERROR(IF(VALUE($D564)&lt;100000000,VALUE($D564),1000000000),IFERROR(IF(VALUE(MID($D564,2,20))&lt;100000000,VALUE(MID($D564,2,20)),1000000000),1000000000))+ROW()/100000,"")</f>
        <v/>
      </c>
    </row>
    <row r="565">
      <c r="F565" s="11" t="n"/>
      <c r="N565" s="7">
        <f>IF($D565="","",M565*X565/100)</f>
        <v/>
      </c>
      <c r="O565" s="7" t="n"/>
      <c r="U565" s="7" t="n"/>
      <c r="V565" s="7" t="n"/>
      <c r="W565" s="7">
        <f>IF($D565="","",V565*AB565/100)</f>
        <v/>
      </c>
      <c r="X565" s="7">
        <f>IF($D565="","",V565-W565)</f>
        <v/>
      </c>
      <c r="Y565" s="7">
        <f>IF($D565="","",X565-N565)</f>
        <v/>
      </c>
      <c r="AB565">
        <f>IF($D565="","",IF($AN565=1,Settings!$C$8,IF($AM565=1,Settings!$C$6,Settings!$C$7))*100)</f>
        <v/>
      </c>
      <c r="AF565" s="7" t="n"/>
      <c r="AI565" s="11" t="n"/>
      <c r="AK565">
        <f>IF($D565="","",IF(COUNTIF($D$2:$D565,$D565)=1,1,0))</f>
        <v/>
      </c>
      <c r="AL565">
        <f>IF($AK565=1,SUMPRODUCT(--($AO$2:$AO$1601&lt;$AO565))+1,"")</f>
        <v/>
      </c>
      <c r="AM565">
        <f>IF($D565="","",IF(OR($R565=TRUE(),$R565="TRUE"),1,0))</f>
        <v/>
      </c>
      <c r="AN565">
        <f>IF($D565="","",IF($AA565="Yes",1,0))</f>
        <v/>
      </c>
      <c r="AO565">
        <f>IF($AK565=1,IFERROR(IF(VALUE($D565)&lt;100000000,VALUE($D565),1000000000),IFERROR(IF(VALUE(MID($D565,2,20))&lt;100000000,VALUE(MID($D565,2,20)),1000000000),1000000000))+ROW()/100000,"")</f>
        <v/>
      </c>
    </row>
    <row r="566">
      <c r="F566" s="11" t="n"/>
      <c r="N566" s="7">
        <f>IF($D566="","",M566*X566/100)</f>
        <v/>
      </c>
      <c r="O566" s="7" t="n"/>
      <c r="U566" s="7" t="n"/>
      <c r="V566" s="7" t="n"/>
      <c r="W566" s="7">
        <f>IF($D566="","",V566*AB566/100)</f>
        <v/>
      </c>
      <c r="X566" s="7">
        <f>IF($D566="","",V566-W566)</f>
        <v/>
      </c>
      <c r="Y566" s="7">
        <f>IF($D566="","",X566-N566)</f>
        <v/>
      </c>
      <c r="AB566">
        <f>IF($D566="","",IF($AN566=1,Settings!$C$8,IF($AM566=1,Settings!$C$6,Settings!$C$7))*100)</f>
        <v/>
      </c>
      <c r="AF566" s="7" t="n"/>
      <c r="AI566" s="11" t="n"/>
      <c r="AK566">
        <f>IF($D566="","",IF(COUNTIF($D$2:$D566,$D566)=1,1,0))</f>
        <v/>
      </c>
      <c r="AL566">
        <f>IF($AK566=1,SUMPRODUCT(--($AO$2:$AO$1601&lt;$AO566))+1,"")</f>
        <v/>
      </c>
      <c r="AM566">
        <f>IF($D566="","",IF(OR($R566=TRUE(),$R566="TRUE"),1,0))</f>
        <v/>
      </c>
      <c r="AN566">
        <f>IF($D566="","",IF($AA566="Yes",1,0))</f>
        <v/>
      </c>
      <c r="AO566">
        <f>IF($AK566=1,IFERROR(IF(VALUE($D566)&lt;100000000,VALUE($D566),1000000000),IFERROR(IF(VALUE(MID($D566,2,20))&lt;100000000,VALUE(MID($D566,2,20)),1000000000),1000000000))+ROW()/100000,"")</f>
        <v/>
      </c>
    </row>
    <row r="567">
      <c r="F567" s="11" t="n"/>
      <c r="N567" s="7">
        <f>IF($D567="","",M567*X567/100)</f>
        <v/>
      </c>
      <c r="O567" s="7" t="n"/>
      <c r="U567" s="7" t="n"/>
      <c r="V567" s="7" t="n"/>
      <c r="W567" s="7">
        <f>IF($D567="","",V567*AB567/100)</f>
        <v/>
      </c>
      <c r="X567" s="7">
        <f>IF($D567="","",V567-W567)</f>
        <v/>
      </c>
      <c r="Y567" s="7">
        <f>IF($D567="","",X567-N567)</f>
        <v/>
      </c>
      <c r="AB567">
        <f>IF($D567="","",IF($AN567=1,Settings!$C$8,IF($AM567=1,Settings!$C$6,Settings!$C$7))*100)</f>
        <v/>
      </c>
      <c r="AF567" s="7" t="n"/>
      <c r="AI567" s="11" t="n"/>
      <c r="AK567">
        <f>IF($D567="","",IF(COUNTIF($D$2:$D567,$D567)=1,1,0))</f>
        <v/>
      </c>
      <c r="AL567">
        <f>IF($AK567=1,SUMPRODUCT(--($AO$2:$AO$1601&lt;$AO567))+1,"")</f>
        <v/>
      </c>
      <c r="AM567">
        <f>IF($D567="","",IF(OR($R567=TRUE(),$R567="TRUE"),1,0))</f>
        <v/>
      </c>
      <c r="AN567">
        <f>IF($D567="","",IF($AA567="Yes",1,0))</f>
        <v/>
      </c>
      <c r="AO567">
        <f>IF($AK567=1,IFERROR(IF(VALUE($D567)&lt;100000000,VALUE($D567),1000000000),IFERROR(IF(VALUE(MID($D567,2,20))&lt;100000000,VALUE(MID($D567,2,20)),1000000000),1000000000))+ROW()/100000,"")</f>
        <v/>
      </c>
    </row>
    <row r="568">
      <c r="F568" s="11" t="n"/>
      <c r="N568" s="7">
        <f>IF($D568="","",M568*X568/100)</f>
        <v/>
      </c>
      <c r="O568" s="7" t="n"/>
      <c r="U568" s="7" t="n"/>
      <c r="V568" s="7" t="n"/>
      <c r="W568" s="7">
        <f>IF($D568="","",V568*AB568/100)</f>
        <v/>
      </c>
      <c r="X568" s="7">
        <f>IF($D568="","",V568-W568)</f>
        <v/>
      </c>
      <c r="Y568" s="7">
        <f>IF($D568="","",X568-N568)</f>
        <v/>
      </c>
      <c r="AB568">
        <f>IF($D568="","",IF($AN568=1,Settings!$C$8,IF($AM568=1,Settings!$C$6,Settings!$C$7))*100)</f>
        <v/>
      </c>
      <c r="AF568" s="7" t="n"/>
      <c r="AI568" s="11" t="n"/>
      <c r="AK568">
        <f>IF($D568="","",IF(COUNTIF($D$2:$D568,$D568)=1,1,0))</f>
        <v/>
      </c>
      <c r="AL568">
        <f>IF($AK568=1,SUMPRODUCT(--($AO$2:$AO$1601&lt;$AO568))+1,"")</f>
        <v/>
      </c>
      <c r="AM568">
        <f>IF($D568="","",IF(OR($R568=TRUE(),$R568="TRUE"),1,0))</f>
        <v/>
      </c>
      <c r="AN568">
        <f>IF($D568="","",IF($AA568="Yes",1,0))</f>
        <v/>
      </c>
      <c r="AO568">
        <f>IF($AK568=1,IFERROR(IF(VALUE($D568)&lt;100000000,VALUE($D568),1000000000),IFERROR(IF(VALUE(MID($D568,2,20))&lt;100000000,VALUE(MID($D568,2,20)),1000000000),1000000000))+ROW()/100000,"")</f>
        <v/>
      </c>
    </row>
    <row r="569">
      <c r="F569" s="11" t="n"/>
      <c r="N569" s="7">
        <f>IF($D569="","",M569*X569/100)</f>
        <v/>
      </c>
      <c r="O569" s="7" t="n"/>
      <c r="U569" s="7" t="n"/>
      <c r="V569" s="7" t="n"/>
      <c r="W569" s="7">
        <f>IF($D569="","",V569*AB569/100)</f>
        <v/>
      </c>
      <c r="X569" s="7">
        <f>IF($D569="","",V569-W569)</f>
        <v/>
      </c>
      <c r="Y569" s="7">
        <f>IF($D569="","",X569-N569)</f>
        <v/>
      </c>
      <c r="AB569">
        <f>IF($D569="","",IF($AN569=1,Settings!$C$8,IF($AM569=1,Settings!$C$6,Settings!$C$7))*100)</f>
        <v/>
      </c>
      <c r="AF569" s="7" t="n"/>
      <c r="AI569" s="11" t="n"/>
      <c r="AK569">
        <f>IF($D569="","",IF(COUNTIF($D$2:$D569,$D569)=1,1,0))</f>
        <v/>
      </c>
      <c r="AL569">
        <f>IF($AK569=1,SUMPRODUCT(--($AO$2:$AO$1601&lt;$AO569))+1,"")</f>
        <v/>
      </c>
      <c r="AM569">
        <f>IF($D569="","",IF(OR($R569=TRUE(),$R569="TRUE"),1,0))</f>
        <v/>
      </c>
      <c r="AN569">
        <f>IF($D569="","",IF($AA569="Yes",1,0))</f>
        <v/>
      </c>
      <c r="AO569">
        <f>IF($AK569=1,IFERROR(IF(VALUE($D569)&lt;100000000,VALUE($D569),1000000000),IFERROR(IF(VALUE(MID($D569,2,20))&lt;100000000,VALUE(MID($D569,2,20)),1000000000),1000000000))+ROW()/100000,"")</f>
        <v/>
      </c>
    </row>
    <row r="570">
      <c r="F570" s="11" t="n"/>
      <c r="N570" s="7">
        <f>IF($D570="","",M570*X570/100)</f>
        <v/>
      </c>
      <c r="O570" s="7" t="n"/>
      <c r="U570" s="7" t="n"/>
      <c r="V570" s="7" t="n"/>
      <c r="W570" s="7">
        <f>IF($D570="","",V570*AB570/100)</f>
        <v/>
      </c>
      <c r="X570" s="7">
        <f>IF($D570="","",V570-W570)</f>
        <v/>
      </c>
      <c r="Y570" s="7">
        <f>IF($D570="","",X570-N570)</f>
        <v/>
      </c>
      <c r="AB570">
        <f>IF($D570="","",IF($AN570=1,Settings!$C$8,IF($AM570=1,Settings!$C$6,Settings!$C$7))*100)</f>
        <v/>
      </c>
      <c r="AF570" s="7" t="n"/>
      <c r="AI570" s="11" t="n"/>
      <c r="AK570">
        <f>IF($D570="","",IF(COUNTIF($D$2:$D570,$D570)=1,1,0))</f>
        <v/>
      </c>
      <c r="AL570">
        <f>IF($AK570=1,SUMPRODUCT(--($AO$2:$AO$1601&lt;$AO570))+1,"")</f>
        <v/>
      </c>
      <c r="AM570">
        <f>IF($D570="","",IF(OR($R570=TRUE(),$R570="TRUE"),1,0))</f>
        <v/>
      </c>
      <c r="AN570">
        <f>IF($D570="","",IF($AA570="Yes",1,0))</f>
        <v/>
      </c>
      <c r="AO570">
        <f>IF($AK570=1,IFERROR(IF(VALUE($D570)&lt;100000000,VALUE($D570),1000000000),IFERROR(IF(VALUE(MID($D570,2,20))&lt;100000000,VALUE(MID($D570,2,20)),1000000000),1000000000))+ROW()/100000,"")</f>
        <v/>
      </c>
    </row>
    <row r="571">
      <c r="F571" s="11" t="n"/>
      <c r="N571" s="7">
        <f>IF($D571="","",M571*X571/100)</f>
        <v/>
      </c>
      <c r="O571" s="7" t="n"/>
      <c r="U571" s="7" t="n"/>
      <c r="V571" s="7" t="n"/>
      <c r="W571" s="7">
        <f>IF($D571="","",V571*AB571/100)</f>
        <v/>
      </c>
      <c r="X571" s="7">
        <f>IF($D571="","",V571-W571)</f>
        <v/>
      </c>
      <c r="Y571" s="7">
        <f>IF($D571="","",X571-N571)</f>
        <v/>
      </c>
      <c r="AB571">
        <f>IF($D571="","",IF($AN571=1,Settings!$C$8,IF($AM571=1,Settings!$C$6,Settings!$C$7))*100)</f>
        <v/>
      </c>
      <c r="AF571" s="7" t="n"/>
      <c r="AI571" s="11" t="n"/>
      <c r="AK571">
        <f>IF($D571="","",IF(COUNTIF($D$2:$D571,$D571)=1,1,0))</f>
        <v/>
      </c>
      <c r="AL571">
        <f>IF($AK571=1,SUMPRODUCT(--($AO$2:$AO$1601&lt;$AO571))+1,"")</f>
        <v/>
      </c>
      <c r="AM571">
        <f>IF($D571="","",IF(OR($R571=TRUE(),$R571="TRUE"),1,0))</f>
        <v/>
      </c>
      <c r="AN571">
        <f>IF($D571="","",IF($AA571="Yes",1,0))</f>
        <v/>
      </c>
      <c r="AO571">
        <f>IF($AK571=1,IFERROR(IF(VALUE($D571)&lt;100000000,VALUE($D571),1000000000),IFERROR(IF(VALUE(MID($D571,2,20))&lt;100000000,VALUE(MID($D571,2,20)),1000000000),1000000000))+ROW()/100000,"")</f>
        <v/>
      </c>
    </row>
    <row r="572">
      <c r="F572" s="11" t="n"/>
      <c r="N572" s="7">
        <f>IF($D572="","",M572*X572/100)</f>
        <v/>
      </c>
      <c r="O572" s="7" t="n"/>
      <c r="U572" s="7" t="n"/>
      <c r="V572" s="7" t="n"/>
      <c r="W572" s="7">
        <f>IF($D572="","",V572*AB572/100)</f>
        <v/>
      </c>
      <c r="X572" s="7">
        <f>IF($D572="","",V572-W572)</f>
        <v/>
      </c>
      <c r="Y572" s="7">
        <f>IF($D572="","",X572-N572)</f>
        <v/>
      </c>
      <c r="AB572">
        <f>IF($D572="","",IF($AN572=1,Settings!$C$8,IF($AM572=1,Settings!$C$6,Settings!$C$7))*100)</f>
        <v/>
      </c>
      <c r="AF572" s="7" t="n"/>
      <c r="AI572" s="11" t="n"/>
      <c r="AK572">
        <f>IF($D572="","",IF(COUNTIF($D$2:$D572,$D572)=1,1,0))</f>
        <v/>
      </c>
      <c r="AL572">
        <f>IF($AK572=1,SUMPRODUCT(--($AO$2:$AO$1601&lt;$AO572))+1,"")</f>
        <v/>
      </c>
      <c r="AM572">
        <f>IF($D572="","",IF(OR($R572=TRUE(),$R572="TRUE"),1,0))</f>
        <v/>
      </c>
      <c r="AN572">
        <f>IF($D572="","",IF($AA572="Yes",1,0))</f>
        <v/>
      </c>
      <c r="AO572">
        <f>IF($AK572=1,IFERROR(IF(VALUE($D572)&lt;100000000,VALUE($D572),1000000000),IFERROR(IF(VALUE(MID($D572,2,20))&lt;100000000,VALUE(MID($D572,2,20)),1000000000),1000000000))+ROW()/100000,"")</f>
        <v/>
      </c>
    </row>
    <row r="573">
      <c r="F573" s="11" t="n"/>
      <c r="N573" s="7">
        <f>IF($D573="","",M573*X573/100)</f>
        <v/>
      </c>
      <c r="O573" s="7" t="n"/>
      <c r="U573" s="7" t="n"/>
      <c r="V573" s="7" t="n"/>
      <c r="W573" s="7">
        <f>IF($D573="","",V573*AB573/100)</f>
        <v/>
      </c>
      <c r="X573" s="7">
        <f>IF($D573="","",V573-W573)</f>
        <v/>
      </c>
      <c r="Y573" s="7">
        <f>IF($D573="","",X573-N573)</f>
        <v/>
      </c>
      <c r="AB573">
        <f>IF($D573="","",IF($AN573=1,Settings!$C$8,IF($AM573=1,Settings!$C$6,Settings!$C$7))*100)</f>
        <v/>
      </c>
      <c r="AF573" s="7" t="n"/>
      <c r="AI573" s="11" t="n"/>
      <c r="AK573">
        <f>IF($D573="","",IF(COUNTIF($D$2:$D573,$D573)=1,1,0))</f>
        <v/>
      </c>
      <c r="AL573">
        <f>IF($AK573=1,SUMPRODUCT(--($AO$2:$AO$1601&lt;$AO573))+1,"")</f>
        <v/>
      </c>
      <c r="AM573">
        <f>IF($D573="","",IF(OR($R573=TRUE(),$R573="TRUE"),1,0))</f>
        <v/>
      </c>
      <c r="AN573">
        <f>IF($D573="","",IF($AA573="Yes",1,0))</f>
        <v/>
      </c>
      <c r="AO573">
        <f>IF($AK573=1,IFERROR(IF(VALUE($D573)&lt;100000000,VALUE($D573),1000000000),IFERROR(IF(VALUE(MID($D573,2,20))&lt;100000000,VALUE(MID($D573,2,20)),1000000000),1000000000))+ROW()/100000,"")</f>
        <v/>
      </c>
    </row>
    <row r="574">
      <c r="F574" s="11" t="n"/>
      <c r="N574" s="7">
        <f>IF($D574="","",M574*X574/100)</f>
        <v/>
      </c>
      <c r="O574" s="7" t="n"/>
      <c r="U574" s="7" t="n"/>
      <c r="V574" s="7" t="n"/>
      <c r="W574" s="7">
        <f>IF($D574="","",V574*AB574/100)</f>
        <v/>
      </c>
      <c r="X574" s="7">
        <f>IF($D574="","",V574-W574)</f>
        <v/>
      </c>
      <c r="Y574" s="7">
        <f>IF($D574="","",X574-N574)</f>
        <v/>
      </c>
      <c r="AB574">
        <f>IF($D574="","",IF($AN574=1,Settings!$C$8,IF($AM574=1,Settings!$C$6,Settings!$C$7))*100)</f>
        <v/>
      </c>
      <c r="AF574" s="7" t="n"/>
      <c r="AI574" s="11" t="n"/>
      <c r="AK574">
        <f>IF($D574="","",IF(COUNTIF($D$2:$D574,$D574)=1,1,0))</f>
        <v/>
      </c>
      <c r="AL574">
        <f>IF($AK574=1,SUMPRODUCT(--($AO$2:$AO$1601&lt;$AO574))+1,"")</f>
        <v/>
      </c>
      <c r="AM574">
        <f>IF($D574="","",IF(OR($R574=TRUE(),$R574="TRUE"),1,0))</f>
        <v/>
      </c>
      <c r="AN574">
        <f>IF($D574="","",IF($AA574="Yes",1,0))</f>
        <v/>
      </c>
      <c r="AO574">
        <f>IF($AK574=1,IFERROR(IF(VALUE($D574)&lt;100000000,VALUE($D574),1000000000),IFERROR(IF(VALUE(MID($D574,2,20))&lt;100000000,VALUE(MID($D574,2,20)),1000000000),1000000000))+ROW()/100000,"")</f>
        <v/>
      </c>
    </row>
    <row r="575">
      <c r="F575" s="11" t="n"/>
      <c r="N575" s="7">
        <f>IF($D575="","",M575*X575/100)</f>
        <v/>
      </c>
      <c r="O575" s="7" t="n"/>
      <c r="U575" s="7" t="n"/>
      <c r="V575" s="7" t="n"/>
      <c r="W575" s="7">
        <f>IF($D575="","",V575*AB575/100)</f>
        <v/>
      </c>
      <c r="X575" s="7">
        <f>IF($D575="","",V575-W575)</f>
        <v/>
      </c>
      <c r="Y575" s="7">
        <f>IF($D575="","",X575-N575)</f>
        <v/>
      </c>
      <c r="AB575">
        <f>IF($D575="","",IF($AN575=1,Settings!$C$8,IF($AM575=1,Settings!$C$6,Settings!$C$7))*100)</f>
        <v/>
      </c>
      <c r="AF575" s="7" t="n"/>
      <c r="AI575" s="11" t="n"/>
      <c r="AK575">
        <f>IF($D575="","",IF(COUNTIF($D$2:$D575,$D575)=1,1,0))</f>
        <v/>
      </c>
      <c r="AL575">
        <f>IF($AK575=1,SUMPRODUCT(--($AO$2:$AO$1601&lt;$AO575))+1,"")</f>
        <v/>
      </c>
      <c r="AM575">
        <f>IF($D575="","",IF(OR($R575=TRUE(),$R575="TRUE"),1,0))</f>
        <v/>
      </c>
      <c r="AN575">
        <f>IF($D575="","",IF($AA575="Yes",1,0))</f>
        <v/>
      </c>
      <c r="AO575">
        <f>IF($AK575=1,IFERROR(IF(VALUE($D575)&lt;100000000,VALUE($D575),1000000000),IFERROR(IF(VALUE(MID($D575,2,20))&lt;100000000,VALUE(MID($D575,2,20)),1000000000),1000000000))+ROW()/100000,"")</f>
        <v/>
      </c>
    </row>
    <row r="576">
      <c r="F576" s="11" t="n"/>
      <c r="N576" s="7">
        <f>IF($D576="","",M576*X576/100)</f>
        <v/>
      </c>
      <c r="O576" s="7" t="n"/>
      <c r="U576" s="7" t="n"/>
      <c r="V576" s="7" t="n"/>
      <c r="W576" s="7">
        <f>IF($D576="","",V576*AB576/100)</f>
        <v/>
      </c>
      <c r="X576" s="7">
        <f>IF($D576="","",V576-W576)</f>
        <v/>
      </c>
      <c r="Y576" s="7">
        <f>IF($D576="","",X576-N576)</f>
        <v/>
      </c>
      <c r="AB576">
        <f>IF($D576="","",IF($AN576=1,Settings!$C$8,IF($AM576=1,Settings!$C$6,Settings!$C$7))*100)</f>
        <v/>
      </c>
      <c r="AF576" s="7" t="n"/>
      <c r="AI576" s="11" t="n"/>
      <c r="AK576">
        <f>IF($D576="","",IF(COUNTIF($D$2:$D576,$D576)=1,1,0))</f>
        <v/>
      </c>
      <c r="AL576">
        <f>IF($AK576=1,SUMPRODUCT(--($AO$2:$AO$1601&lt;$AO576))+1,"")</f>
        <v/>
      </c>
      <c r="AM576">
        <f>IF($D576="","",IF(OR($R576=TRUE(),$R576="TRUE"),1,0))</f>
        <v/>
      </c>
      <c r="AN576">
        <f>IF($D576="","",IF($AA576="Yes",1,0))</f>
        <v/>
      </c>
      <c r="AO576">
        <f>IF($AK576=1,IFERROR(IF(VALUE($D576)&lt;100000000,VALUE($D576),1000000000),IFERROR(IF(VALUE(MID($D576,2,20))&lt;100000000,VALUE(MID($D576,2,20)),1000000000),1000000000))+ROW()/100000,"")</f>
        <v/>
      </c>
    </row>
    <row r="577">
      <c r="F577" s="11" t="n"/>
      <c r="N577" s="7">
        <f>IF($D577="","",M577*X577/100)</f>
        <v/>
      </c>
      <c r="O577" s="7" t="n"/>
      <c r="U577" s="7" t="n"/>
      <c r="V577" s="7" t="n"/>
      <c r="W577" s="7">
        <f>IF($D577="","",V577*AB577/100)</f>
        <v/>
      </c>
      <c r="X577" s="7">
        <f>IF($D577="","",V577-W577)</f>
        <v/>
      </c>
      <c r="Y577" s="7">
        <f>IF($D577="","",X577-N577)</f>
        <v/>
      </c>
      <c r="AB577">
        <f>IF($D577="","",IF($AN577=1,Settings!$C$8,IF($AM577=1,Settings!$C$6,Settings!$C$7))*100)</f>
        <v/>
      </c>
      <c r="AF577" s="7" t="n"/>
      <c r="AI577" s="11" t="n"/>
      <c r="AK577">
        <f>IF($D577="","",IF(COUNTIF($D$2:$D577,$D577)=1,1,0))</f>
        <v/>
      </c>
      <c r="AL577">
        <f>IF($AK577=1,SUMPRODUCT(--($AO$2:$AO$1601&lt;$AO577))+1,"")</f>
        <v/>
      </c>
      <c r="AM577">
        <f>IF($D577="","",IF(OR($R577=TRUE(),$R577="TRUE"),1,0))</f>
        <v/>
      </c>
      <c r="AN577">
        <f>IF($D577="","",IF($AA577="Yes",1,0))</f>
        <v/>
      </c>
      <c r="AO577">
        <f>IF($AK577=1,IFERROR(IF(VALUE($D577)&lt;100000000,VALUE($D577),1000000000),IFERROR(IF(VALUE(MID($D577,2,20))&lt;100000000,VALUE(MID($D577,2,20)),1000000000),1000000000))+ROW()/100000,"")</f>
        <v/>
      </c>
    </row>
    <row r="578">
      <c r="F578" s="11" t="n"/>
      <c r="N578" s="7">
        <f>IF($D578="","",M578*X578/100)</f>
        <v/>
      </c>
      <c r="O578" s="7" t="n"/>
      <c r="U578" s="7" t="n"/>
      <c r="V578" s="7" t="n"/>
      <c r="W578" s="7">
        <f>IF($D578="","",V578*AB578/100)</f>
        <v/>
      </c>
      <c r="X578" s="7">
        <f>IF($D578="","",V578-W578)</f>
        <v/>
      </c>
      <c r="Y578" s="7">
        <f>IF($D578="","",X578-N578)</f>
        <v/>
      </c>
      <c r="AB578">
        <f>IF($D578="","",IF($AN578=1,Settings!$C$8,IF($AM578=1,Settings!$C$6,Settings!$C$7))*100)</f>
        <v/>
      </c>
      <c r="AF578" s="7" t="n"/>
      <c r="AI578" s="11" t="n"/>
      <c r="AK578">
        <f>IF($D578="","",IF(COUNTIF($D$2:$D578,$D578)=1,1,0))</f>
        <v/>
      </c>
      <c r="AL578">
        <f>IF($AK578=1,SUMPRODUCT(--($AO$2:$AO$1601&lt;$AO578))+1,"")</f>
        <v/>
      </c>
      <c r="AM578">
        <f>IF($D578="","",IF(OR($R578=TRUE(),$R578="TRUE"),1,0))</f>
        <v/>
      </c>
      <c r="AN578">
        <f>IF($D578="","",IF($AA578="Yes",1,0))</f>
        <v/>
      </c>
      <c r="AO578">
        <f>IF($AK578=1,IFERROR(IF(VALUE($D578)&lt;100000000,VALUE($D578),1000000000),IFERROR(IF(VALUE(MID($D578,2,20))&lt;100000000,VALUE(MID($D578,2,20)),1000000000),1000000000))+ROW()/100000,"")</f>
        <v/>
      </c>
    </row>
    <row r="579">
      <c r="F579" s="11" t="n"/>
      <c r="N579" s="7">
        <f>IF($D579="","",M579*X579/100)</f>
        <v/>
      </c>
      <c r="O579" s="7" t="n"/>
      <c r="U579" s="7" t="n"/>
      <c r="V579" s="7" t="n"/>
      <c r="W579" s="7">
        <f>IF($D579="","",V579*AB579/100)</f>
        <v/>
      </c>
      <c r="X579" s="7">
        <f>IF($D579="","",V579-W579)</f>
        <v/>
      </c>
      <c r="Y579" s="7">
        <f>IF($D579="","",X579-N579)</f>
        <v/>
      </c>
      <c r="AB579">
        <f>IF($D579="","",IF($AN579=1,Settings!$C$8,IF($AM579=1,Settings!$C$6,Settings!$C$7))*100)</f>
        <v/>
      </c>
      <c r="AF579" s="7" t="n"/>
      <c r="AI579" s="11" t="n"/>
      <c r="AK579">
        <f>IF($D579="","",IF(COUNTIF($D$2:$D579,$D579)=1,1,0))</f>
        <v/>
      </c>
      <c r="AL579">
        <f>IF($AK579=1,SUMPRODUCT(--($AO$2:$AO$1601&lt;$AO579))+1,"")</f>
        <v/>
      </c>
      <c r="AM579">
        <f>IF($D579="","",IF(OR($R579=TRUE(),$R579="TRUE"),1,0))</f>
        <v/>
      </c>
      <c r="AN579">
        <f>IF($D579="","",IF($AA579="Yes",1,0))</f>
        <v/>
      </c>
      <c r="AO579">
        <f>IF($AK579=1,IFERROR(IF(VALUE($D579)&lt;100000000,VALUE($D579),1000000000),IFERROR(IF(VALUE(MID($D579,2,20))&lt;100000000,VALUE(MID($D579,2,20)),1000000000),1000000000))+ROW()/100000,"")</f>
        <v/>
      </c>
    </row>
    <row r="580">
      <c r="F580" s="11" t="n"/>
      <c r="N580" s="7">
        <f>IF($D580="","",M580*X580/100)</f>
        <v/>
      </c>
      <c r="O580" s="7" t="n"/>
      <c r="U580" s="7" t="n"/>
      <c r="V580" s="7" t="n"/>
      <c r="W580" s="7">
        <f>IF($D580="","",V580*AB580/100)</f>
        <v/>
      </c>
      <c r="X580" s="7">
        <f>IF($D580="","",V580-W580)</f>
        <v/>
      </c>
      <c r="Y580" s="7">
        <f>IF($D580="","",X580-N580)</f>
        <v/>
      </c>
      <c r="AB580">
        <f>IF($D580="","",IF($AN580=1,Settings!$C$8,IF($AM580=1,Settings!$C$6,Settings!$C$7))*100)</f>
        <v/>
      </c>
      <c r="AF580" s="7" t="n"/>
      <c r="AI580" s="11" t="n"/>
      <c r="AK580">
        <f>IF($D580="","",IF(COUNTIF($D$2:$D580,$D580)=1,1,0))</f>
        <v/>
      </c>
      <c r="AL580">
        <f>IF($AK580=1,SUMPRODUCT(--($AO$2:$AO$1601&lt;$AO580))+1,"")</f>
        <v/>
      </c>
      <c r="AM580">
        <f>IF($D580="","",IF(OR($R580=TRUE(),$R580="TRUE"),1,0))</f>
        <v/>
      </c>
      <c r="AN580">
        <f>IF($D580="","",IF($AA580="Yes",1,0))</f>
        <v/>
      </c>
      <c r="AO580">
        <f>IF($AK580=1,IFERROR(IF(VALUE($D580)&lt;100000000,VALUE($D580),1000000000),IFERROR(IF(VALUE(MID($D580,2,20))&lt;100000000,VALUE(MID($D580,2,20)),1000000000),1000000000))+ROW()/100000,"")</f>
        <v/>
      </c>
    </row>
    <row r="581">
      <c r="F581" s="11" t="n"/>
      <c r="N581" s="7">
        <f>IF($D581="","",M581*X581/100)</f>
        <v/>
      </c>
      <c r="O581" s="7" t="n"/>
      <c r="U581" s="7" t="n"/>
      <c r="V581" s="7" t="n"/>
      <c r="W581" s="7">
        <f>IF($D581="","",V581*AB581/100)</f>
        <v/>
      </c>
      <c r="X581" s="7">
        <f>IF($D581="","",V581-W581)</f>
        <v/>
      </c>
      <c r="Y581" s="7">
        <f>IF($D581="","",X581-N581)</f>
        <v/>
      </c>
      <c r="AB581">
        <f>IF($D581="","",IF($AN581=1,Settings!$C$8,IF($AM581=1,Settings!$C$6,Settings!$C$7))*100)</f>
        <v/>
      </c>
      <c r="AF581" s="7" t="n"/>
      <c r="AI581" s="11" t="n"/>
      <c r="AK581">
        <f>IF($D581="","",IF(COUNTIF($D$2:$D581,$D581)=1,1,0))</f>
        <v/>
      </c>
      <c r="AL581">
        <f>IF($AK581=1,SUMPRODUCT(--($AO$2:$AO$1601&lt;$AO581))+1,"")</f>
        <v/>
      </c>
      <c r="AM581">
        <f>IF($D581="","",IF(OR($R581=TRUE(),$R581="TRUE"),1,0))</f>
        <v/>
      </c>
      <c r="AN581">
        <f>IF($D581="","",IF($AA581="Yes",1,0))</f>
        <v/>
      </c>
      <c r="AO581">
        <f>IF($AK581=1,IFERROR(IF(VALUE($D581)&lt;100000000,VALUE($D581),1000000000),IFERROR(IF(VALUE(MID($D581,2,20))&lt;100000000,VALUE(MID($D581,2,20)),1000000000),1000000000))+ROW()/100000,"")</f>
        <v/>
      </c>
    </row>
    <row r="582">
      <c r="F582" s="11" t="n"/>
      <c r="N582" s="7">
        <f>IF($D582="","",M582*X582/100)</f>
        <v/>
      </c>
      <c r="O582" s="7" t="n"/>
      <c r="U582" s="7" t="n"/>
      <c r="V582" s="7" t="n"/>
      <c r="W582" s="7">
        <f>IF($D582="","",V582*AB582/100)</f>
        <v/>
      </c>
      <c r="X582" s="7">
        <f>IF($D582="","",V582-W582)</f>
        <v/>
      </c>
      <c r="Y582" s="7">
        <f>IF($D582="","",X582-N582)</f>
        <v/>
      </c>
      <c r="AB582">
        <f>IF($D582="","",IF($AN582=1,Settings!$C$8,IF($AM582=1,Settings!$C$6,Settings!$C$7))*100)</f>
        <v/>
      </c>
      <c r="AF582" s="7" t="n"/>
      <c r="AI582" s="11" t="n"/>
      <c r="AK582">
        <f>IF($D582="","",IF(COUNTIF($D$2:$D582,$D582)=1,1,0))</f>
        <v/>
      </c>
      <c r="AL582">
        <f>IF($AK582=1,SUMPRODUCT(--($AO$2:$AO$1601&lt;$AO582))+1,"")</f>
        <v/>
      </c>
      <c r="AM582">
        <f>IF($D582="","",IF(OR($R582=TRUE(),$R582="TRUE"),1,0))</f>
        <v/>
      </c>
      <c r="AN582">
        <f>IF($D582="","",IF($AA582="Yes",1,0))</f>
        <v/>
      </c>
      <c r="AO582">
        <f>IF($AK582=1,IFERROR(IF(VALUE($D582)&lt;100000000,VALUE($D582),1000000000),IFERROR(IF(VALUE(MID($D582,2,20))&lt;100000000,VALUE(MID($D582,2,20)),1000000000),1000000000))+ROW()/100000,"")</f>
        <v/>
      </c>
    </row>
    <row r="583">
      <c r="F583" s="11" t="n"/>
      <c r="N583" s="7">
        <f>IF($D583="","",M583*X583/100)</f>
        <v/>
      </c>
      <c r="O583" s="7" t="n"/>
      <c r="U583" s="7" t="n"/>
      <c r="V583" s="7" t="n"/>
      <c r="W583" s="7">
        <f>IF($D583="","",V583*AB583/100)</f>
        <v/>
      </c>
      <c r="X583" s="7">
        <f>IF($D583="","",V583-W583)</f>
        <v/>
      </c>
      <c r="Y583" s="7">
        <f>IF($D583="","",X583-N583)</f>
        <v/>
      </c>
      <c r="AB583">
        <f>IF($D583="","",IF($AN583=1,Settings!$C$8,IF($AM583=1,Settings!$C$6,Settings!$C$7))*100)</f>
        <v/>
      </c>
      <c r="AF583" s="7" t="n"/>
      <c r="AI583" s="11" t="n"/>
      <c r="AK583">
        <f>IF($D583="","",IF(COUNTIF($D$2:$D583,$D583)=1,1,0))</f>
        <v/>
      </c>
      <c r="AL583">
        <f>IF($AK583=1,SUMPRODUCT(--($AO$2:$AO$1601&lt;$AO583))+1,"")</f>
        <v/>
      </c>
      <c r="AM583">
        <f>IF($D583="","",IF(OR($R583=TRUE(),$R583="TRUE"),1,0))</f>
        <v/>
      </c>
      <c r="AN583">
        <f>IF($D583="","",IF($AA583="Yes",1,0))</f>
        <v/>
      </c>
      <c r="AO583">
        <f>IF($AK583=1,IFERROR(IF(VALUE($D583)&lt;100000000,VALUE($D583),1000000000),IFERROR(IF(VALUE(MID($D583,2,20))&lt;100000000,VALUE(MID($D583,2,20)),1000000000),1000000000))+ROW()/100000,"")</f>
        <v/>
      </c>
    </row>
    <row r="584">
      <c r="F584" s="11" t="n"/>
      <c r="N584" s="7">
        <f>IF($D584="","",M584*X584/100)</f>
        <v/>
      </c>
      <c r="O584" s="7" t="n"/>
      <c r="U584" s="7" t="n"/>
      <c r="V584" s="7" t="n"/>
      <c r="W584" s="7">
        <f>IF($D584="","",V584*AB584/100)</f>
        <v/>
      </c>
      <c r="X584" s="7">
        <f>IF($D584="","",V584-W584)</f>
        <v/>
      </c>
      <c r="Y584" s="7">
        <f>IF($D584="","",X584-N584)</f>
        <v/>
      </c>
      <c r="AB584">
        <f>IF($D584="","",IF($AN584=1,Settings!$C$8,IF($AM584=1,Settings!$C$6,Settings!$C$7))*100)</f>
        <v/>
      </c>
      <c r="AF584" s="7" t="n"/>
      <c r="AI584" s="11" t="n"/>
      <c r="AK584">
        <f>IF($D584="","",IF(COUNTIF($D$2:$D584,$D584)=1,1,0))</f>
        <v/>
      </c>
      <c r="AL584">
        <f>IF($AK584=1,SUMPRODUCT(--($AO$2:$AO$1601&lt;$AO584))+1,"")</f>
        <v/>
      </c>
      <c r="AM584">
        <f>IF($D584="","",IF(OR($R584=TRUE(),$R584="TRUE"),1,0))</f>
        <v/>
      </c>
      <c r="AN584">
        <f>IF($D584="","",IF($AA584="Yes",1,0))</f>
        <v/>
      </c>
      <c r="AO584">
        <f>IF($AK584=1,IFERROR(IF(VALUE($D584)&lt;100000000,VALUE($D584),1000000000),IFERROR(IF(VALUE(MID($D584,2,20))&lt;100000000,VALUE(MID($D584,2,20)),1000000000),1000000000))+ROW()/100000,"")</f>
        <v/>
      </c>
    </row>
    <row r="585">
      <c r="F585" s="11" t="n"/>
      <c r="N585" s="7">
        <f>IF($D585="","",M585*X585/100)</f>
        <v/>
      </c>
      <c r="O585" s="7" t="n"/>
      <c r="U585" s="7" t="n"/>
      <c r="V585" s="7" t="n"/>
      <c r="W585" s="7">
        <f>IF($D585="","",V585*AB585/100)</f>
        <v/>
      </c>
      <c r="X585" s="7">
        <f>IF($D585="","",V585-W585)</f>
        <v/>
      </c>
      <c r="Y585" s="7">
        <f>IF($D585="","",X585-N585)</f>
        <v/>
      </c>
      <c r="AB585">
        <f>IF($D585="","",IF($AN585=1,Settings!$C$8,IF($AM585=1,Settings!$C$6,Settings!$C$7))*100)</f>
        <v/>
      </c>
      <c r="AF585" s="7" t="n"/>
      <c r="AI585" s="11" t="n"/>
      <c r="AK585">
        <f>IF($D585="","",IF(COUNTIF($D$2:$D585,$D585)=1,1,0))</f>
        <v/>
      </c>
      <c r="AL585">
        <f>IF($AK585=1,SUMPRODUCT(--($AO$2:$AO$1601&lt;$AO585))+1,"")</f>
        <v/>
      </c>
      <c r="AM585">
        <f>IF($D585="","",IF(OR($R585=TRUE(),$R585="TRUE"),1,0))</f>
        <v/>
      </c>
      <c r="AN585">
        <f>IF($D585="","",IF($AA585="Yes",1,0))</f>
        <v/>
      </c>
      <c r="AO585">
        <f>IF($AK585=1,IFERROR(IF(VALUE($D585)&lt;100000000,VALUE($D585),1000000000),IFERROR(IF(VALUE(MID($D585,2,20))&lt;100000000,VALUE(MID($D585,2,20)),1000000000),1000000000))+ROW()/100000,"")</f>
        <v/>
      </c>
    </row>
    <row r="586">
      <c r="F586" s="11" t="n"/>
      <c r="N586" s="7">
        <f>IF($D586="","",M586*X586/100)</f>
        <v/>
      </c>
      <c r="O586" s="7" t="n"/>
      <c r="U586" s="7" t="n"/>
      <c r="V586" s="7" t="n"/>
      <c r="W586" s="7">
        <f>IF($D586="","",V586*AB586/100)</f>
        <v/>
      </c>
      <c r="X586" s="7">
        <f>IF($D586="","",V586-W586)</f>
        <v/>
      </c>
      <c r="Y586" s="7">
        <f>IF($D586="","",X586-N586)</f>
        <v/>
      </c>
      <c r="AB586">
        <f>IF($D586="","",IF($AN586=1,Settings!$C$8,IF($AM586=1,Settings!$C$6,Settings!$C$7))*100)</f>
        <v/>
      </c>
      <c r="AF586" s="7" t="n"/>
      <c r="AI586" s="11" t="n"/>
      <c r="AK586">
        <f>IF($D586="","",IF(COUNTIF($D$2:$D586,$D586)=1,1,0))</f>
        <v/>
      </c>
      <c r="AL586">
        <f>IF($AK586=1,SUMPRODUCT(--($AO$2:$AO$1601&lt;$AO586))+1,"")</f>
        <v/>
      </c>
      <c r="AM586">
        <f>IF($D586="","",IF(OR($R586=TRUE(),$R586="TRUE"),1,0))</f>
        <v/>
      </c>
      <c r="AN586">
        <f>IF($D586="","",IF($AA586="Yes",1,0))</f>
        <v/>
      </c>
      <c r="AO586">
        <f>IF($AK586=1,IFERROR(IF(VALUE($D586)&lt;100000000,VALUE($D586),1000000000),IFERROR(IF(VALUE(MID($D586,2,20))&lt;100000000,VALUE(MID($D586,2,20)),1000000000),1000000000))+ROW()/100000,"")</f>
        <v/>
      </c>
    </row>
    <row r="587">
      <c r="F587" s="11" t="n"/>
      <c r="N587" s="7">
        <f>IF($D587="","",M587*X587/100)</f>
        <v/>
      </c>
      <c r="O587" s="7" t="n"/>
      <c r="U587" s="7" t="n"/>
      <c r="V587" s="7" t="n"/>
      <c r="W587" s="7">
        <f>IF($D587="","",V587*AB587/100)</f>
        <v/>
      </c>
      <c r="X587" s="7">
        <f>IF($D587="","",V587-W587)</f>
        <v/>
      </c>
      <c r="Y587" s="7">
        <f>IF($D587="","",X587-N587)</f>
        <v/>
      </c>
      <c r="AB587">
        <f>IF($D587="","",IF($AN587=1,Settings!$C$8,IF($AM587=1,Settings!$C$6,Settings!$C$7))*100)</f>
        <v/>
      </c>
      <c r="AF587" s="7" t="n"/>
      <c r="AI587" s="11" t="n"/>
      <c r="AK587">
        <f>IF($D587="","",IF(COUNTIF($D$2:$D587,$D587)=1,1,0))</f>
        <v/>
      </c>
      <c r="AL587">
        <f>IF($AK587=1,SUMPRODUCT(--($AO$2:$AO$1601&lt;$AO587))+1,"")</f>
        <v/>
      </c>
      <c r="AM587">
        <f>IF($D587="","",IF(OR($R587=TRUE(),$R587="TRUE"),1,0))</f>
        <v/>
      </c>
      <c r="AN587">
        <f>IF($D587="","",IF($AA587="Yes",1,0))</f>
        <v/>
      </c>
      <c r="AO587">
        <f>IF($AK587=1,IFERROR(IF(VALUE($D587)&lt;100000000,VALUE($D587),1000000000),IFERROR(IF(VALUE(MID($D587,2,20))&lt;100000000,VALUE(MID($D587,2,20)),1000000000),1000000000))+ROW()/100000,"")</f>
        <v/>
      </c>
    </row>
    <row r="588">
      <c r="F588" s="11" t="n"/>
      <c r="N588" s="7">
        <f>IF($D588="","",M588*X588/100)</f>
        <v/>
      </c>
      <c r="O588" s="7" t="n"/>
      <c r="U588" s="7" t="n"/>
      <c r="V588" s="7" t="n"/>
      <c r="W588" s="7">
        <f>IF($D588="","",V588*AB588/100)</f>
        <v/>
      </c>
      <c r="X588" s="7">
        <f>IF($D588="","",V588-W588)</f>
        <v/>
      </c>
      <c r="Y588" s="7">
        <f>IF($D588="","",X588-N588)</f>
        <v/>
      </c>
      <c r="AB588">
        <f>IF($D588="","",IF($AN588=1,Settings!$C$8,IF($AM588=1,Settings!$C$6,Settings!$C$7))*100)</f>
        <v/>
      </c>
      <c r="AF588" s="7" t="n"/>
      <c r="AI588" s="11" t="n"/>
      <c r="AK588">
        <f>IF($D588="","",IF(COUNTIF($D$2:$D588,$D588)=1,1,0))</f>
        <v/>
      </c>
      <c r="AL588">
        <f>IF($AK588=1,SUMPRODUCT(--($AO$2:$AO$1601&lt;$AO588))+1,"")</f>
        <v/>
      </c>
      <c r="AM588">
        <f>IF($D588="","",IF(OR($R588=TRUE(),$R588="TRUE"),1,0))</f>
        <v/>
      </c>
      <c r="AN588">
        <f>IF($D588="","",IF($AA588="Yes",1,0))</f>
        <v/>
      </c>
      <c r="AO588">
        <f>IF($AK588=1,IFERROR(IF(VALUE($D588)&lt;100000000,VALUE($D588),1000000000),IFERROR(IF(VALUE(MID($D588,2,20))&lt;100000000,VALUE(MID($D588,2,20)),1000000000),1000000000))+ROW()/100000,"")</f>
        <v/>
      </c>
    </row>
    <row r="589">
      <c r="F589" s="11" t="n"/>
      <c r="N589" s="7">
        <f>IF($D589="","",M589*X589/100)</f>
        <v/>
      </c>
      <c r="O589" s="7" t="n"/>
      <c r="U589" s="7" t="n"/>
      <c r="V589" s="7" t="n"/>
      <c r="W589" s="7">
        <f>IF($D589="","",V589*AB589/100)</f>
        <v/>
      </c>
      <c r="X589" s="7">
        <f>IF($D589="","",V589-W589)</f>
        <v/>
      </c>
      <c r="Y589" s="7">
        <f>IF($D589="","",X589-N589)</f>
        <v/>
      </c>
      <c r="AB589">
        <f>IF($D589="","",IF($AN589=1,Settings!$C$8,IF($AM589=1,Settings!$C$6,Settings!$C$7))*100)</f>
        <v/>
      </c>
      <c r="AF589" s="7" t="n"/>
      <c r="AI589" s="11" t="n"/>
      <c r="AK589">
        <f>IF($D589="","",IF(COUNTIF($D$2:$D589,$D589)=1,1,0))</f>
        <v/>
      </c>
      <c r="AL589">
        <f>IF($AK589=1,SUMPRODUCT(--($AO$2:$AO$1601&lt;$AO589))+1,"")</f>
        <v/>
      </c>
      <c r="AM589">
        <f>IF($D589="","",IF(OR($R589=TRUE(),$R589="TRUE"),1,0))</f>
        <v/>
      </c>
      <c r="AN589">
        <f>IF($D589="","",IF($AA589="Yes",1,0))</f>
        <v/>
      </c>
      <c r="AO589">
        <f>IF($AK589=1,IFERROR(IF(VALUE($D589)&lt;100000000,VALUE($D589),1000000000),IFERROR(IF(VALUE(MID($D589,2,20))&lt;100000000,VALUE(MID($D589,2,20)),1000000000),1000000000))+ROW()/100000,"")</f>
        <v/>
      </c>
    </row>
    <row r="590">
      <c r="F590" s="11" t="n"/>
      <c r="N590" s="7">
        <f>IF($D590="","",M590*X590/100)</f>
        <v/>
      </c>
      <c r="O590" s="7" t="n"/>
      <c r="U590" s="7" t="n"/>
      <c r="V590" s="7" t="n"/>
      <c r="W590" s="7">
        <f>IF($D590="","",V590*AB590/100)</f>
        <v/>
      </c>
      <c r="X590" s="7">
        <f>IF($D590="","",V590-W590)</f>
        <v/>
      </c>
      <c r="Y590" s="7">
        <f>IF($D590="","",X590-N590)</f>
        <v/>
      </c>
      <c r="AB590">
        <f>IF($D590="","",IF($AN590=1,Settings!$C$8,IF($AM590=1,Settings!$C$6,Settings!$C$7))*100)</f>
        <v/>
      </c>
      <c r="AF590" s="7" t="n"/>
      <c r="AI590" s="11" t="n"/>
      <c r="AK590">
        <f>IF($D590="","",IF(COUNTIF($D$2:$D590,$D590)=1,1,0))</f>
        <v/>
      </c>
      <c r="AL590">
        <f>IF($AK590=1,SUMPRODUCT(--($AO$2:$AO$1601&lt;$AO590))+1,"")</f>
        <v/>
      </c>
      <c r="AM590">
        <f>IF($D590="","",IF(OR($R590=TRUE(),$R590="TRUE"),1,0))</f>
        <v/>
      </c>
      <c r="AN590">
        <f>IF($D590="","",IF($AA590="Yes",1,0))</f>
        <v/>
      </c>
      <c r="AO590">
        <f>IF($AK590=1,IFERROR(IF(VALUE($D590)&lt;100000000,VALUE($D590),1000000000),IFERROR(IF(VALUE(MID($D590,2,20))&lt;100000000,VALUE(MID($D590,2,20)),1000000000),1000000000))+ROW()/100000,"")</f>
        <v/>
      </c>
    </row>
    <row r="591">
      <c r="F591" s="11" t="n"/>
      <c r="N591" s="7">
        <f>IF($D591="","",M591*X591/100)</f>
        <v/>
      </c>
      <c r="O591" s="7" t="n"/>
      <c r="U591" s="7" t="n"/>
      <c r="V591" s="7" t="n"/>
      <c r="W591" s="7">
        <f>IF($D591="","",V591*AB591/100)</f>
        <v/>
      </c>
      <c r="X591" s="7">
        <f>IF($D591="","",V591-W591)</f>
        <v/>
      </c>
      <c r="Y591" s="7">
        <f>IF($D591="","",X591-N591)</f>
        <v/>
      </c>
      <c r="AB591">
        <f>IF($D591="","",IF($AN591=1,Settings!$C$8,IF($AM591=1,Settings!$C$6,Settings!$C$7))*100)</f>
        <v/>
      </c>
      <c r="AF591" s="7" t="n"/>
      <c r="AI591" s="11" t="n"/>
      <c r="AK591">
        <f>IF($D591="","",IF(COUNTIF($D$2:$D591,$D591)=1,1,0))</f>
        <v/>
      </c>
      <c r="AL591">
        <f>IF($AK591=1,SUMPRODUCT(--($AO$2:$AO$1601&lt;$AO591))+1,"")</f>
        <v/>
      </c>
      <c r="AM591">
        <f>IF($D591="","",IF(OR($R591=TRUE(),$R591="TRUE"),1,0))</f>
        <v/>
      </c>
      <c r="AN591">
        <f>IF($D591="","",IF($AA591="Yes",1,0))</f>
        <v/>
      </c>
      <c r="AO591">
        <f>IF($AK591=1,IFERROR(IF(VALUE($D591)&lt;100000000,VALUE($D591),1000000000),IFERROR(IF(VALUE(MID($D591,2,20))&lt;100000000,VALUE(MID($D591,2,20)),1000000000),1000000000))+ROW()/100000,"")</f>
        <v/>
      </c>
    </row>
    <row r="592">
      <c r="F592" s="11" t="n"/>
      <c r="N592" s="7">
        <f>IF($D592="","",M592*X592/100)</f>
        <v/>
      </c>
      <c r="O592" s="7" t="n"/>
      <c r="U592" s="7" t="n"/>
      <c r="V592" s="7" t="n"/>
      <c r="W592" s="7">
        <f>IF($D592="","",V592*AB592/100)</f>
        <v/>
      </c>
      <c r="X592" s="7">
        <f>IF($D592="","",V592-W592)</f>
        <v/>
      </c>
      <c r="Y592" s="7">
        <f>IF($D592="","",X592-N592)</f>
        <v/>
      </c>
      <c r="AB592">
        <f>IF($D592="","",IF($AN592=1,Settings!$C$8,IF($AM592=1,Settings!$C$6,Settings!$C$7))*100)</f>
        <v/>
      </c>
      <c r="AF592" s="7" t="n"/>
      <c r="AI592" s="11" t="n"/>
      <c r="AK592">
        <f>IF($D592="","",IF(COUNTIF($D$2:$D592,$D592)=1,1,0))</f>
        <v/>
      </c>
      <c r="AL592">
        <f>IF($AK592=1,SUMPRODUCT(--($AO$2:$AO$1601&lt;$AO592))+1,"")</f>
        <v/>
      </c>
      <c r="AM592">
        <f>IF($D592="","",IF(OR($R592=TRUE(),$R592="TRUE"),1,0))</f>
        <v/>
      </c>
      <c r="AN592">
        <f>IF($D592="","",IF($AA592="Yes",1,0))</f>
        <v/>
      </c>
      <c r="AO592">
        <f>IF($AK592=1,IFERROR(IF(VALUE($D592)&lt;100000000,VALUE($D592),1000000000),IFERROR(IF(VALUE(MID($D592,2,20))&lt;100000000,VALUE(MID($D592,2,20)),1000000000),1000000000))+ROW()/100000,"")</f>
        <v/>
      </c>
    </row>
    <row r="593">
      <c r="F593" s="11" t="n"/>
      <c r="N593" s="7">
        <f>IF($D593="","",M593*X593/100)</f>
        <v/>
      </c>
      <c r="O593" s="7" t="n"/>
      <c r="U593" s="7" t="n"/>
      <c r="V593" s="7" t="n"/>
      <c r="W593" s="7">
        <f>IF($D593="","",V593*AB593/100)</f>
        <v/>
      </c>
      <c r="X593" s="7">
        <f>IF($D593="","",V593-W593)</f>
        <v/>
      </c>
      <c r="Y593" s="7">
        <f>IF($D593="","",X593-N593)</f>
        <v/>
      </c>
      <c r="AB593">
        <f>IF($D593="","",IF($AN593=1,Settings!$C$8,IF($AM593=1,Settings!$C$6,Settings!$C$7))*100)</f>
        <v/>
      </c>
      <c r="AF593" s="7" t="n"/>
      <c r="AI593" s="11" t="n"/>
      <c r="AK593">
        <f>IF($D593="","",IF(COUNTIF($D$2:$D593,$D593)=1,1,0))</f>
        <v/>
      </c>
      <c r="AL593">
        <f>IF($AK593=1,SUMPRODUCT(--($AO$2:$AO$1601&lt;$AO593))+1,"")</f>
        <v/>
      </c>
      <c r="AM593">
        <f>IF($D593="","",IF(OR($R593=TRUE(),$R593="TRUE"),1,0))</f>
        <v/>
      </c>
      <c r="AN593">
        <f>IF($D593="","",IF($AA593="Yes",1,0))</f>
        <v/>
      </c>
      <c r="AO593">
        <f>IF($AK593=1,IFERROR(IF(VALUE($D593)&lt;100000000,VALUE($D593),1000000000),IFERROR(IF(VALUE(MID($D593,2,20))&lt;100000000,VALUE(MID($D593,2,20)),1000000000),1000000000))+ROW()/100000,"")</f>
        <v/>
      </c>
    </row>
    <row r="594">
      <c r="F594" s="11" t="n"/>
      <c r="N594" s="7">
        <f>IF($D594="","",M594*X594/100)</f>
        <v/>
      </c>
      <c r="O594" s="7" t="n"/>
      <c r="U594" s="7" t="n"/>
      <c r="V594" s="7" t="n"/>
      <c r="W594" s="7">
        <f>IF($D594="","",V594*AB594/100)</f>
        <v/>
      </c>
      <c r="X594" s="7">
        <f>IF($D594="","",V594-W594)</f>
        <v/>
      </c>
      <c r="Y594" s="7">
        <f>IF($D594="","",X594-N594)</f>
        <v/>
      </c>
      <c r="AB594">
        <f>IF($D594="","",IF($AN594=1,Settings!$C$8,IF($AM594=1,Settings!$C$6,Settings!$C$7))*100)</f>
        <v/>
      </c>
      <c r="AF594" s="7" t="n"/>
      <c r="AI594" s="11" t="n"/>
      <c r="AK594">
        <f>IF($D594="","",IF(COUNTIF($D$2:$D594,$D594)=1,1,0))</f>
        <v/>
      </c>
      <c r="AL594">
        <f>IF($AK594=1,SUMPRODUCT(--($AO$2:$AO$1601&lt;$AO594))+1,"")</f>
        <v/>
      </c>
      <c r="AM594">
        <f>IF($D594="","",IF(OR($R594=TRUE(),$R594="TRUE"),1,0))</f>
        <v/>
      </c>
      <c r="AN594">
        <f>IF($D594="","",IF($AA594="Yes",1,0))</f>
        <v/>
      </c>
      <c r="AO594">
        <f>IF($AK594=1,IFERROR(IF(VALUE($D594)&lt;100000000,VALUE($D594),1000000000),IFERROR(IF(VALUE(MID($D594,2,20))&lt;100000000,VALUE(MID($D594,2,20)),1000000000),1000000000))+ROW()/100000,"")</f>
        <v/>
      </c>
    </row>
    <row r="595">
      <c r="F595" s="11" t="n"/>
      <c r="N595" s="7">
        <f>IF($D595="","",M595*X595/100)</f>
        <v/>
      </c>
      <c r="O595" s="7" t="n"/>
      <c r="U595" s="7" t="n"/>
      <c r="V595" s="7" t="n"/>
      <c r="W595" s="7">
        <f>IF($D595="","",V595*AB595/100)</f>
        <v/>
      </c>
      <c r="X595" s="7">
        <f>IF($D595="","",V595-W595)</f>
        <v/>
      </c>
      <c r="Y595" s="7">
        <f>IF($D595="","",X595-N595)</f>
        <v/>
      </c>
      <c r="AB595">
        <f>IF($D595="","",IF($AN595=1,Settings!$C$8,IF($AM595=1,Settings!$C$6,Settings!$C$7))*100)</f>
        <v/>
      </c>
      <c r="AF595" s="7" t="n"/>
      <c r="AI595" s="11" t="n"/>
      <c r="AK595">
        <f>IF($D595="","",IF(COUNTIF($D$2:$D595,$D595)=1,1,0))</f>
        <v/>
      </c>
      <c r="AL595">
        <f>IF($AK595=1,SUMPRODUCT(--($AO$2:$AO$1601&lt;$AO595))+1,"")</f>
        <v/>
      </c>
      <c r="AM595">
        <f>IF($D595="","",IF(OR($R595=TRUE(),$R595="TRUE"),1,0))</f>
        <v/>
      </c>
      <c r="AN595">
        <f>IF($D595="","",IF($AA595="Yes",1,0))</f>
        <v/>
      </c>
      <c r="AO595">
        <f>IF($AK595=1,IFERROR(IF(VALUE($D595)&lt;100000000,VALUE($D595),1000000000),IFERROR(IF(VALUE(MID($D595,2,20))&lt;100000000,VALUE(MID($D595,2,20)),1000000000),1000000000))+ROW()/100000,"")</f>
        <v/>
      </c>
    </row>
    <row r="596">
      <c r="F596" s="11" t="n"/>
      <c r="N596" s="7">
        <f>IF($D596="","",M596*X596/100)</f>
        <v/>
      </c>
      <c r="O596" s="7" t="n"/>
      <c r="U596" s="7" t="n"/>
      <c r="V596" s="7" t="n"/>
      <c r="W596" s="7">
        <f>IF($D596="","",V596*AB596/100)</f>
        <v/>
      </c>
      <c r="X596" s="7">
        <f>IF($D596="","",V596-W596)</f>
        <v/>
      </c>
      <c r="Y596" s="7">
        <f>IF($D596="","",X596-N596)</f>
        <v/>
      </c>
      <c r="AB596">
        <f>IF($D596="","",IF($AN596=1,Settings!$C$8,IF($AM596=1,Settings!$C$6,Settings!$C$7))*100)</f>
        <v/>
      </c>
      <c r="AF596" s="7" t="n"/>
      <c r="AI596" s="11" t="n"/>
      <c r="AK596">
        <f>IF($D596="","",IF(COUNTIF($D$2:$D596,$D596)=1,1,0))</f>
        <v/>
      </c>
      <c r="AL596">
        <f>IF($AK596=1,SUMPRODUCT(--($AO$2:$AO$1601&lt;$AO596))+1,"")</f>
        <v/>
      </c>
      <c r="AM596">
        <f>IF($D596="","",IF(OR($R596=TRUE(),$R596="TRUE"),1,0))</f>
        <v/>
      </c>
      <c r="AN596">
        <f>IF($D596="","",IF($AA596="Yes",1,0))</f>
        <v/>
      </c>
      <c r="AO596">
        <f>IF($AK596=1,IFERROR(IF(VALUE($D596)&lt;100000000,VALUE($D596),1000000000),IFERROR(IF(VALUE(MID($D596,2,20))&lt;100000000,VALUE(MID($D596,2,20)),1000000000),1000000000))+ROW()/100000,"")</f>
        <v/>
      </c>
    </row>
    <row r="597">
      <c r="F597" s="11" t="n"/>
      <c r="N597" s="7">
        <f>IF($D597="","",M597*X597/100)</f>
        <v/>
      </c>
      <c r="O597" s="7" t="n"/>
      <c r="U597" s="7" t="n"/>
      <c r="V597" s="7" t="n"/>
      <c r="W597" s="7">
        <f>IF($D597="","",V597*AB597/100)</f>
        <v/>
      </c>
      <c r="X597" s="7">
        <f>IF($D597="","",V597-W597)</f>
        <v/>
      </c>
      <c r="Y597" s="7">
        <f>IF($D597="","",X597-N597)</f>
        <v/>
      </c>
      <c r="AB597">
        <f>IF($D597="","",IF($AN597=1,Settings!$C$8,IF($AM597=1,Settings!$C$6,Settings!$C$7))*100)</f>
        <v/>
      </c>
      <c r="AF597" s="7" t="n"/>
      <c r="AI597" s="11" t="n"/>
      <c r="AK597">
        <f>IF($D597="","",IF(COUNTIF($D$2:$D597,$D597)=1,1,0))</f>
        <v/>
      </c>
      <c r="AL597">
        <f>IF($AK597=1,SUMPRODUCT(--($AO$2:$AO$1601&lt;$AO597))+1,"")</f>
        <v/>
      </c>
      <c r="AM597">
        <f>IF($D597="","",IF(OR($R597=TRUE(),$R597="TRUE"),1,0))</f>
        <v/>
      </c>
      <c r="AN597">
        <f>IF($D597="","",IF($AA597="Yes",1,0))</f>
        <v/>
      </c>
      <c r="AO597">
        <f>IF($AK597=1,IFERROR(IF(VALUE($D597)&lt;100000000,VALUE($D597),1000000000),IFERROR(IF(VALUE(MID($D597,2,20))&lt;100000000,VALUE(MID($D597,2,20)),1000000000),1000000000))+ROW()/100000,"")</f>
        <v/>
      </c>
    </row>
    <row r="598">
      <c r="F598" s="11" t="n"/>
      <c r="N598" s="7">
        <f>IF($D598="","",M598*X598/100)</f>
        <v/>
      </c>
      <c r="O598" s="7" t="n"/>
      <c r="U598" s="7" t="n"/>
      <c r="V598" s="7" t="n"/>
      <c r="W598" s="7">
        <f>IF($D598="","",V598*AB598/100)</f>
        <v/>
      </c>
      <c r="X598" s="7">
        <f>IF($D598="","",V598-W598)</f>
        <v/>
      </c>
      <c r="Y598" s="7">
        <f>IF($D598="","",X598-N598)</f>
        <v/>
      </c>
      <c r="AB598">
        <f>IF($D598="","",IF($AN598=1,Settings!$C$8,IF($AM598=1,Settings!$C$6,Settings!$C$7))*100)</f>
        <v/>
      </c>
      <c r="AF598" s="7" t="n"/>
      <c r="AI598" s="11" t="n"/>
      <c r="AK598">
        <f>IF($D598="","",IF(COUNTIF($D$2:$D598,$D598)=1,1,0))</f>
        <v/>
      </c>
      <c r="AL598">
        <f>IF($AK598=1,SUMPRODUCT(--($AO$2:$AO$1601&lt;$AO598))+1,"")</f>
        <v/>
      </c>
      <c r="AM598">
        <f>IF($D598="","",IF(OR($R598=TRUE(),$R598="TRUE"),1,0))</f>
        <v/>
      </c>
      <c r="AN598">
        <f>IF($D598="","",IF($AA598="Yes",1,0))</f>
        <v/>
      </c>
      <c r="AO598">
        <f>IF($AK598=1,IFERROR(IF(VALUE($D598)&lt;100000000,VALUE($D598),1000000000),IFERROR(IF(VALUE(MID($D598,2,20))&lt;100000000,VALUE(MID($D598,2,20)),1000000000),1000000000))+ROW()/100000,"")</f>
        <v/>
      </c>
    </row>
    <row r="599">
      <c r="F599" s="11" t="n"/>
      <c r="N599" s="7">
        <f>IF($D599="","",M599*X599/100)</f>
        <v/>
      </c>
      <c r="O599" s="7" t="n"/>
      <c r="U599" s="7" t="n"/>
      <c r="V599" s="7" t="n"/>
      <c r="W599" s="7">
        <f>IF($D599="","",V599*AB599/100)</f>
        <v/>
      </c>
      <c r="X599" s="7">
        <f>IF($D599="","",V599-W599)</f>
        <v/>
      </c>
      <c r="Y599" s="7">
        <f>IF($D599="","",X599-N599)</f>
        <v/>
      </c>
      <c r="AB599">
        <f>IF($D599="","",IF($AN599=1,Settings!$C$8,IF($AM599=1,Settings!$C$6,Settings!$C$7))*100)</f>
        <v/>
      </c>
      <c r="AF599" s="7" t="n"/>
      <c r="AI599" s="11" t="n"/>
      <c r="AK599">
        <f>IF($D599="","",IF(COUNTIF($D$2:$D599,$D599)=1,1,0))</f>
        <v/>
      </c>
      <c r="AL599">
        <f>IF($AK599=1,SUMPRODUCT(--($AO$2:$AO$1601&lt;$AO599))+1,"")</f>
        <v/>
      </c>
      <c r="AM599">
        <f>IF($D599="","",IF(OR($R599=TRUE(),$R599="TRUE"),1,0))</f>
        <v/>
      </c>
      <c r="AN599">
        <f>IF($D599="","",IF($AA599="Yes",1,0))</f>
        <v/>
      </c>
      <c r="AO599">
        <f>IF($AK599=1,IFERROR(IF(VALUE($D599)&lt;100000000,VALUE($D599),1000000000),IFERROR(IF(VALUE(MID($D599,2,20))&lt;100000000,VALUE(MID($D599,2,20)),1000000000),1000000000))+ROW()/100000,"")</f>
        <v/>
      </c>
    </row>
    <row r="600">
      <c r="F600" s="11" t="n"/>
      <c r="N600" s="7">
        <f>IF($D600="","",M600*X600/100)</f>
        <v/>
      </c>
      <c r="O600" s="7" t="n"/>
      <c r="U600" s="7" t="n"/>
      <c r="V600" s="7" t="n"/>
      <c r="W600" s="7">
        <f>IF($D600="","",V600*AB600/100)</f>
        <v/>
      </c>
      <c r="X600" s="7">
        <f>IF($D600="","",V600-W600)</f>
        <v/>
      </c>
      <c r="Y600" s="7">
        <f>IF($D600="","",X600-N600)</f>
        <v/>
      </c>
      <c r="AB600">
        <f>IF($D600="","",IF($AN600=1,Settings!$C$8,IF($AM600=1,Settings!$C$6,Settings!$C$7))*100)</f>
        <v/>
      </c>
      <c r="AF600" s="7" t="n"/>
      <c r="AI600" s="11" t="n"/>
      <c r="AK600">
        <f>IF($D600="","",IF(COUNTIF($D$2:$D600,$D600)=1,1,0))</f>
        <v/>
      </c>
      <c r="AL600">
        <f>IF($AK600=1,SUMPRODUCT(--($AO$2:$AO$1601&lt;$AO600))+1,"")</f>
        <v/>
      </c>
      <c r="AM600">
        <f>IF($D600="","",IF(OR($R600=TRUE(),$R600="TRUE"),1,0))</f>
        <v/>
      </c>
      <c r="AN600">
        <f>IF($D600="","",IF($AA600="Yes",1,0))</f>
        <v/>
      </c>
      <c r="AO600">
        <f>IF($AK600=1,IFERROR(IF(VALUE($D600)&lt;100000000,VALUE($D600),1000000000),IFERROR(IF(VALUE(MID($D600,2,20))&lt;100000000,VALUE(MID($D600,2,20)),1000000000),1000000000))+ROW()/100000,"")</f>
        <v/>
      </c>
    </row>
    <row r="601">
      <c r="F601" s="11" t="n"/>
      <c r="N601" s="7">
        <f>IF($D601="","",M601*X601/100)</f>
        <v/>
      </c>
      <c r="O601" s="7" t="n"/>
      <c r="U601" s="7" t="n"/>
      <c r="V601" s="7" t="n"/>
      <c r="W601" s="7">
        <f>IF($D601="","",V601*AB601/100)</f>
        <v/>
      </c>
      <c r="X601" s="7">
        <f>IF($D601="","",V601-W601)</f>
        <v/>
      </c>
      <c r="Y601" s="7">
        <f>IF($D601="","",X601-N601)</f>
        <v/>
      </c>
      <c r="AB601">
        <f>IF($D601="","",IF($AN601=1,Settings!$C$8,IF($AM601=1,Settings!$C$6,Settings!$C$7))*100)</f>
        <v/>
      </c>
      <c r="AF601" s="7" t="n"/>
      <c r="AI601" s="11" t="n"/>
      <c r="AK601">
        <f>IF($D601="","",IF(COUNTIF($D$2:$D601,$D601)=1,1,0))</f>
        <v/>
      </c>
      <c r="AL601">
        <f>IF($AK601=1,SUMPRODUCT(--($AO$2:$AO$1601&lt;$AO601))+1,"")</f>
        <v/>
      </c>
      <c r="AM601">
        <f>IF($D601="","",IF(OR($R601=TRUE(),$R601="TRUE"),1,0))</f>
        <v/>
      </c>
      <c r="AN601">
        <f>IF($D601="","",IF($AA601="Yes",1,0))</f>
        <v/>
      </c>
      <c r="AO601">
        <f>IF($AK601=1,IFERROR(IF(VALUE($D601)&lt;100000000,VALUE($D601),1000000000),IFERROR(IF(VALUE(MID($D601,2,20))&lt;100000000,VALUE(MID($D601,2,20)),1000000000),1000000000))+ROW()/100000,"")</f>
        <v/>
      </c>
    </row>
    <row r="602">
      <c r="F602" s="11" t="n"/>
      <c r="N602" s="7">
        <f>IF($D602="","",M602*X602/100)</f>
        <v/>
      </c>
      <c r="O602" s="7" t="n"/>
      <c r="U602" s="7" t="n"/>
      <c r="V602" s="7" t="n"/>
      <c r="W602" s="7">
        <f>IF($D602="","",V602*AB602/100)</f>
        <v/>
      </c>
      <c r="X602" s="7">
        <f>IF($D602="","",V602-W602)</f>
        <v/>
      </c>
      <c r="Y602" s="7">
        <f>IF($D602="","",X602-N602)</f>
        <v/>
      </c>
      <c r="AB602">
        <f>IF($D602="","",IF($AN602=1,Settings!$C$8,IF($AM602=1,Settings!$C$6,Settings!$C$7))*100)</f>
        <v/>
      </c>
      <c r="AF602" s="7" t="n"/>
      <c r="AI602" s="11" t="n"/>
      <c r="AK602">
        <f>IF($D602="","",IF(COUNTIF($D$2:$D602,$D602)=1,1,0))</f>
        <v/>
      </c>
      <c r="AL602">
        <f>IF($AK602=1,SUMPRODUCT(--($AO$2:$AO$1601&lt;$AO602))+1,"")</f>
        <v/>
      </c>
      <c r="AM602">
        <f>IF($D602="","",IF(OR($R602=TRUE(),$R602="TRUE"),1,0))</f>
        <v/>
      </c>
      <c r="AN602">
        <f>IF($D602="","",IF($AA602="Yes",1,0))</f>
        <v/>
      </c>
      <c r="AO602">
        <f>IF($AK602=1,IFERROR(IF(VALUE($D602)&lt;100000000,VALUE($D602),1000000000),IFERROR(IF(VALUE(MID($D602,2,20))&lt;100000000,VALUE(MID($D602,2,20)),1000000000),1000000000))+ROW()/100000,"")</f>
        <v/>
      </c>
    </row>
    <row r="603">
      <c r="F603" s="11" t="n"/>
      <c r="N603" s="7">
        <f>IF($D603="","",M603*X603/100)</f>
        <v/>
      </c>
      <c r="O603" s="7" t="n"/>
      <c r="U603" s="7" t="n"/>
      <c r="V603" s="7" t="n"/>
      <c r="W603" s="7">
        <f>IF($D603="","",V603*AB603/100)</f>
        <v/>
      </c>
      <c r="X603" s="7">
        <f>IF($D603="","",V603-W603)</f>
        <v/>
      </c>
      <c r="Y603" s="7">
        <f>IF($D603="","",X603-N603)</f>
        <v/>
      </c>
      <c r="AB603">
        <f>IF($D603="","",IF($AN603=1,Settings!$C$8,IF($AM603=1,Settings!$C$6,Settings!$C$7))*100)</f>
        <v/>
      </c>
      <c r="AF603" s="7" t="n"/>
      <c r="AI603" s="11" t="n"/>
      <c r="AK603">
        <f>IF($D603="","",IF(COUNTIF($D$2:$D603,$D603)=1,1,0))</f>
        <v/>
      </c>
      <c r="AL603">
        <f>IF($AK603=1,SUMPRODUCT(--($AO$2:$AO$1601&lt;$AO603))+1,"")</f>
        <v/>
      </c>
      <c r="AM603">
        <f>IF($D603="","",IF(OR($R603=TRUE(),$R603="TRUE"),1,0))</f>
        <v/>
      </c>
      <c r="AN603">
        <f>IF($D603="","",IF($AA603="Yes",1,0))</f>
        <v/>
      </c>
      <c r="AO603">
        <f>IF($AK603=1,IFERROR(IF(VALUE($D603)&lt;100000000,VALUE($D603),1000000000),IFERROR(IF(VALUE(MID($D603,2,20))&lt;100000000,VALUE(MID($D603,2,20)),1000000000),1000000000))+ROW()/100000,"")</f>
        <v/>
      </c>
    </row>
    <row r="604">
      <c r="F604" s="11" t="n"/>
      <c r="N604" s="7">
        <f>IF($D604="","",M604*X604/100)</f>
        <v/>
      </c>
      <c r="O604" s="7" t="n"/>
      <c r="U604" s="7" t="n"/>
      <c r="V604" s="7" t="n"/>
      <c r="W604" s="7">
        <f>IF($D604="","",V604*AB604/100)</f>
        <v/>
      </c>
      <c r="X604" s="7">
        <f>IF($D604="","",V604-W604)</f>
        <v/>
      </c>
      <c r="Y604" s="7">
        <f>IF($D604="","",X604-N604)</f>
        <v/>
      </c>
      <c r="AB604">
        <f>IF($D604="","",IF($AN604=1,Settings!$C$8,IF($AM604=1,Settings!$C$6,Settings!$C$7))*100)</f>
        <v/>
      </c>
      <c r="AF604" s="7" t="n"/>
      <c r="AI604" s="11" t="n"/>
      <c r="AK604">
        <f>IF($D604="","",IF(COUNTIF($D$2:$D604,$D604)=1,1,0))</f>
        <v/>
      </c>
      <c r="AL604">
        <f>IF($AK604=1,SUMPRODUCT(--($AO$2:$AO$1601&lt;$AO604))+1,"")</f>
        <v/>
      </c>
      <c r="AM604">
        <f>IF($D604="","",IF(OR($R604=TRUE(),$R604="TRUE"),1,0))</f>
        <v/>
      </c>
      <c r="AN604">
        <f>IF($D604="","",IF($AA604="Yes",1,0))</f>
        <v/>
      </c>
      <c r="AO604">
        <f>IF($AK604=1,IFERROR(IF(VALUE($D604)&lt;100000000,VALUE($D604),1000000000),IFERROR(IF(VALUE(MID($D604,2,20))&lt;100000000,VALUE(MID($D604,2,20)),1000000000),1000000000))+ROW()/100000,"")</f>
        <v/>
      </c>
    </row>
    <row r="605">
      <c r="F605" s="11" t="n"/>
      <c r="N605" s="7">
        <f>IF($D605="","",M605*X605/100)</f>
        <v/>
      </c>
      <c r="O605" s="7" t="n"/>
      <c r="U605" s="7" t="n"/>
      <c r="V605" s="7" t="n"/>
      <c r="W605" s="7">
        <f>IF($D605="","",V605*AB605/100)</f>
        <v/>
      </c>
      <c r="X605" s="7">
        <f>IF($D605="","",V605-W605)</f>
        <v/>
      </c>
      <c r="Y605" s="7">
        <f>IF($D605="","",X605-N605)</f>
        <v/>
      </c>
      <c r="AB605">
        <f>IF($D605="","",IF($AN605=1,Settings!$C$8,IF($AM605=1,Settings!$C$6,Settings!$C$7))*100)</f>
        <v/>
      </c>
      <c r="AF605" s="7" t="n"/>
      <c r="AI605" s="11" t="n"/>
      <c r="AK605">
        <f>IF($D605="","",IF(COUNTIF($D$2:$D605,$D605)=1,1,0))</f>
        <v/>
      </c>
      <c r="AL605">
        <f>IF($AK605=1,SUMPRODUCT(--($AO$2:$AO$1601&lt;$AO605))+1,"")</f>
        <v/>
      </c>
      <c r="AM605">
        <f>IF($D605="","",IF(OR($R605=TRUE(),$R605="TRUE"),1,0))</f>
        <v/>
      </c>
      <c r="AN605">
        <f>IF($D605="","",IF($AA605="Yes",1,0))</f>
        <v/>
      </c>
      <c r="AO605">
        <f>IF($AK605=1,IFERROR(IF(VALUE($D605)&lt;100000000,VALUE($D605),1000000000),IFERROR(IF(VALUE(MID($D605,2,20))&lt;100000000,VALUE(MID($D605,2,20)),1000000000),1000000000))+ROW()/100000,"")</f>
        <v/>
      </c>
    </row>
    <row r="606">
      <c r="F606" s="11" t="n"/>
      <c r="N606" s="7">
        <f>IF($D606="","",M606*X606/100)</f>
        <v/>
      </c>
      <c r="O606" s="7" t="n"/>
      <c r="U606" s="7" t="n"/>
      <c r="V606" s="7" t="n"/>
      <c r="W606" s="7">
        <f>IF($D606="","",V606*AB606/100)</f>
        <v/>
      </c>
      <c r="X606" s="7">
        <f>IF($D606="","",V606-W606)</f>
        <v/>
      </c>
      <c r="Y606" s="7">
        <f>IF($D606="","",X606-N606)</f>
        <v/>
      </c>
      <c r="AB606">
        <f>IF($D606="","",IF($AN606=1,Settings!$C$8,IF($AM606=1,Settings!$C$6,Settings!$C$7))*100)</f>
        <v/>
      </c>
      <c r="AF606" s="7" t="n"/>
      <c r="AI606" s="11" t="n"/>
      <c r="AK606">
        <f>IF($D606="","",IF(COUNTIF($D$2:$D606,$D606)=1,1,0))</f>
        <v/>
      </c>
      <c r="AL606">
        <f>IF($AK606=1,SUMPRODUCT(--($AO$2:$AO$1601&lt;$AO606))+1,"")</f>
        <v/>
      </c>
      <c r="AM606">
        <f>IF($D606="","",IF(OR($R606=TRUE(),$R606="TRUE"),1,0))</f>
        <v/>
      </c>
      <c r="AN606">
        <f>IF($D606="","",IF($AA606="Yes",1,0))</f>
        <v/>
      </c>
      <c r="AO606">
        <f>IF($AK606=1,IFERROR(IF(VALUE($D606)&lt;100000000,VALUE($D606),1000000000),IFERROR(IF(VALUE(MID($D606,2,20))&lt;100000000,VALUE(MID($D606,2,20)),1000000000),1000000000))+ROW()/100000,"")</f>
        <v/>
      </c>
    </row>
    <row r="607">
      <c r="F607" s="11" t="n"/>
      <c r="N607" s="7">
        <f>IF($D607="","",M607*X607/100)</f>
        <v/>
      </c>
      <c r="O607" s="7" t="n"/>
      <c r="U607" s="7" t="n"/>
      <c r="V607" s="7" t="n"/>
      <c r="W607" s="7">
        <f>IF($D607="","",V607*AB607/100)</f>
        <v/>
      </c>
      <c r="X607" s="7">
        <f>IF($D607="","",V607-W607)</f>
        <v/>
      </c>
      <c r="Y607" s="7">
        <f>IF($D607="","",X607-N607)</f>
        <v/>
      </c>
      <c r="AB607">
        <f>IF($D607="","",IF($AN607=1,Settings!$C$8,IF($AM607=1,Settings!$C$6,Settings!$C$7))*100)</f>
        <v/>
      </c>
      <c r="AF607" s="7" t="n"/>
      <c r="AI607" s="11" t="n"/>
      <c r="AK607">
        <f>IF($D607="","",IF(COUNTIF($D$2:$D607,$D607)=1,1,0))</f>
        <v/>
      </c>
      <c r="AL607">
        <f>IF($AK607=1,SUMPRODUCT(--($AO$2:$AO$1601&lt;$AO607))+1,"")</f>
        <v/>
      </c>
      <c r="AM607">
        <f>IF($D607="","",IF(OR($R607=TRUE(),$R607="TRUE"),1,0))</f>
        <v/>
      </c>
      <c r="AN607">
        <f>IF($D607="","",IF($AA607="Yes",1,0))</f>
        <v/>
      </c>
      <c r="AO607">
        <f>IF($AK607=1,IFERROR(IF(VALUE($D607)&lt;100000000,VALUE($D607),1000000000),IFERROR(IF(VALUE(MID($D607,2,20))&lt;100000000,VALUE(MID($D607,2,20)),1000000000),1000000000))+ROW()/100000,"")</f>
        <v/>
      </c>
    </row>
    <row r="608">
      <c r="F608" s="11" t="n"/>
      <c r="N608" s="7">
        <f>IF($D608="","",M608*X608/100)</f>
        <v/>
      </c>
      <c r="O608" s="7" t="n"/>
      <c r="U608" s="7" t="n"/>
      <c r="V608" s="7" t="n"/>
      <c r="W608" s="7">
        <f>IF($D608="","",V608*AB608/100)</f>
        <v/>
      </c>
      <c r="X608" s="7">
        <f>IF($D608="","",V608-W608)</f>
        <v/>
      </c>
      <c r="Y608" s="7">
        <f>IF($D608="","",X608-N608)</f>
        <v/>
      </c>
      <c r="AB608">
        <f>IF($D608="","",IF($AN608=1,Settings!$C$8,IF($AM608=1,Settings!$C$6,Settings!$C$7))*100)</f>
        <v/>
      </c>
      <c r="AF608" s="7" t="n"/>
      <c r="AI608" s="11" t="n"/>
      <c r="AK608">
        <f>IF($D608="","",IF(COUNTIF($D$2:$D608,$D608)=1,1,0))</f>
        <v/>
      </c>
      <c r="AL608">
        <f>IF($AK608=1,SUMPRODUCT(--($AO$2:$AO$1601&lt;$AO608))+1,"")</f>
        <v/>
      </c>
      <c r="AM608">
        <f>IF($D608="","",IF(OR($R608=TRUE(),$R608="TRUE"),1,0))</f>
        <v/>
      </c>
      <c r="AN608">
        <f>IF($D608="","",IF($AA608="Yes",1,0))</f>
        <v/>
      </c>
      <c r="AO608">
        <f>IF($AK608=1,IFERROR(IF(VALUE($D608)&lt;100000000,VALUE($D608),1000000000),IFERROR(IF(VALUE(MID($D608,2,20))&lt;100000000,VALUE(MID($D608,2,20)),1000000000),1000000000))+ROW()/100000,"")</f>
        <v/>
      </c>
    </row>
    <row r="609">
      <c r="F609" s="11" t="n"/>
      <c r="N609" s="7">
        <f>IF($D609="","",M609*X609/100)</f>
        <v/>
      </c>
      <c r="O609" s="7" t="n"/>
      <c r="U609" s="7" t="n"/>
      <c r="V609" s="7" t="n"/>
      <c r="W609" s="7">
        <f>IF($D609="","",V609*AB609/100)</f>
        <v/>
      </c>
      <c r="X609" s="7">
        <f>IF($D609="","",V609-W609)</f>
        <v/>
      </c>
      <c r="Y609" s="7">
        <f>IF($D609="","",X609-N609)</f>
        <v/>
      </c>
      <c r="AB609">
        <f>IF($D609="","",IF($AN609=1,Settings!$C$8,IF($AM609=1,Settings!$C$6,Settings!$C$7))*100)</f>
        <v/>
      </c>
      <c r="AF609" s="7" t="n"/>
      <c r="AI609" s="11" t="n"/>
      <c r="AK609">
        <f>IF($D609="","",IF(COUNTIF($D$2:$D609,$D609)=1,1,0))</f>
        <v/>
      </c>
      <c r="AL609">
        <f>IF($AK609=1,SUMPRODUCT(--($AO$2:$AO$1601&lt;$AO609))+1,"")</f>
        <v/>
      </c>
      <c r="AM609">
        <f>IF($D609="","",IF(OR($R609=TRUE(),$R609="TRUE"),1,0))</f>
        <v/>
      </c>
      <c r="AN609">
        <f>IF($D609="","",IF($AA609="Yes",1,0))</f>
        <v/>
      </c>
      <c r="AO609">
        <f>IF($AK609=1,IFERROR(IF(VALUE($D609)&lt;100000000,VALUE($D609),1000000000),IFERROR(IF(VALUE(MID($D609,2,20))&lt;100000000,VALUE(MID($D609,2,20)),1000000000),1000000000))+ROW()/100000,"")</f>
        <v/>
      </c>
    </row>
    <row r="610">
      <c r="F610" s="11" t="n"/>
      <c r="N610" s="7">
        <f>IF($D610="","",M610*X610/100)</f>
        <v/>
      </c>
      <c r="O610" s="7" t="n"/>
      <c r="U610" s="7" t="n"/>
      <c r="V610" s="7" t="n"/>
      <c r="W610" s="7">
        <f>IF($D610="","",V610*AB610/100)</f>
        <v/>
      </c>
      <c r="X610" s="7">
        <f>IF($D610="","",V610-W610)</f>
        <v/>
      </c>
      <c r="Y610" s="7">
        <f>IF($D610="","",X610-N610)</f>
        <v/>
      </c>
      <c r="AB610">
        <f>IF($D610="","",IF($AN610=1,Settings!$C$8,IF($AM610=1,Settings!$C$6,Settings!$C$7))*100)</f>
        <v/>
      </c>
      <c r="AF610" s="7" t="n"/>
      <c r="AI610" s="11" t="n"/>
      <c r="AK610">
        <f>IF($D610="","",IF(COUNTIF($D$2:$D610,$D610)=1,1,0))</f>
        <v/>
      </c>
      <c r="AL610">
        <f>IF($AK610=1,SUMPRODUCT(--($AO$2:$AO$1601&lt;$AO610))+1,"")</f>
        <v/>
      </c>
      <c r="AM610">
        <f>IF($D610="","",IF(OR($R610=TRUE(),$R610="TRUE"),1,0))</f>
        <v/>
      </c>
      <c r="AN610">
        <f>IF($D610="","",IF($AA610="Yes",1,0))</f>
        <v/>
      </c>
      <c r="AO610">
        <f>IF($AK610=1,IFERROR(IF(VALUE($D610)&lt;100000000,VALUE($D610),1000000000),IFERROR(IF(VALUE(MID($D610,2,20))&lt;100000000,VALUE(MID($D610,2,20)),1000000000),1000000000))+ROW()/100000,"")</f>
        <v/>
      </c>
    </row>
    <row r="611">
      <c r="F611" s="11" t="n"/>
      <c r="N611" s="7">
        <f>IF($D611="","",M611*X611/100)</f>
        <v/>
      </c>
      <c r="O611" s="7" t="n"/>
      <c r="U611" s="7" t="n"/>
      <c r="V611" s="7" t="n"/>
      <c r="W611" s="7">
        <f>IF($D611="","",V611*AB611/100)</f>
        <v/>
      </c>
      <c r="X611" s="7">
        <f>IF($D611="","",V611-W611)</f>
        <v/>
      </c>
      <c r="Y611" s="7">
        <f>IF($D611="","",X611-N611)</f>
        <v/>
      </c>
      <c r="AB611">
        <f>IF($D611="","",IF($AN611=1,Settings!$C$8,IF($AM611=1,Settings!$C$6,Settings!$C$7))*100)</f>
        <v/>
      </c>
      <c r="AF611" s="7" t="n"/>
      <c r="AI611" s="11" t="n"/>
      <c r="AK611">
        <f>IF($D611="","",IF(COUNTIF($D$2:$D611,$D611)=1,1,0))</f>
        <v/>
      </c>
      <c r="AL611">
        <f>IF($AK611=1,SUMPRODUCT(--($AO$2:$AO$1601&lt;$AO611))+1,"")</f>
        <v/>
      </c>
      <c r="AM611">
        <f>IF($D611="","",IF(OR($R611=TRUE(),$R611="TRUE"),1,0))</f>
        <v/>
      </c>
      <c r="AN611">
        <f>IF($D611="","",IF($AA611="Yes",1,0))</f>
        <v/>
      </c>
      <c r="AO611">
        <f>IF($AK611=1,IFERROR(IF(VALUE($D611)&lt;100000000,VALUE($D611),1000000000),IFERROR(IF(VALUE(MID($D611,2,20))&lt;100000000,VALUE(MID($D611,2,20)),1000000000),1000000000))+ROW()/100000,"")</f>
        <v/>
      </c>
    </row>
    <row r="612">
      <c r="F612" s="11" t="n"/>
      <c r="N612" s="7">
        <f>IF($D612="","",M612*X612/100)</f>
        <v/>
      </c>
      <c r="O612" s="7" t="n"/>
      <c r="U612" s="7" t="n"/>
      <c r="V612" s="7" t="n"/>
      <c r="W612" s="7">
        <f>IF($D612="","",V612*AB612/100)</f>
        <v/>
      </c>
      <c r="X612" s="7">
        <f>IF($D612="","",V612-W612)</f>
        <v/>
      </c>
      <c r="Y612" s="7">
        <f>IF($D612="","",X612-N612)</f>
        <v/>
      </c>
      <c r="AB612">
        <f>IF($D612="","",IF($AN612=1,Settings!$C$8,IF($AM612=1,Settings!$C$6,Settings!$C$7))*100)</f>
        <v/>
      </c>
      <c r="AF612" s="7" t="n"/>
      <c r="AI612" s="11" t="n"/>
      <c r="AK612">
        <f>IF($D612="","",IF(COUNTIF($D$2:$D612,$D612)=1,1,0))</f>
        <v/>
      </c>
      <c r="AL612">
        <f>IF($AK612=1,SUMPRODUCT(--($AO$2:$AO$1601&lt;$AO612))+1,"")</f>
        <v/>
      </c>
      <c r="AM612">
        <f>IF($D612="","",IF(OR($R612=TRUE(),$R612="TRUE"),1,0))</f>
        <v/>
      </c>
      <c r="AN612">
        <f>IF($D612="","",IF($AA612="Yes",1,0))</f>
        <v/>
      </c>
      <c r="AO612">
        <f>IF($AK612=1,IFERROR(IF(VALUE($D612)&lt;100000000,VALUE($D612),1000000000),IFERROR(IF(VALUE(MID($D612,2,20))&lt;100000000,VALUE(MID($D612,2,20)),1000000000),1000000000))+ROW()/100000,"")</f>
        <v/>
      </c>
    </row>
    <row r="613">
      <c r="F613" s="11" t="n"/>
      <c r="N613" s="7">
        <f>IF($D613="","",M613*X613/100)</f>
        <v/>
      </c>
      <c r="O613" s="7" t="n"/>
      <c r="U613" s="7" t="n"/>
      <c r="V613" s="7" t="n"/>
      <c r="W613" s="7">
        <f>IF($D613="","",V613*AB613/100)</f>
        <v/>
      </c>
      <c r="X613" s="7">
        <f>IF($D613="","",V613-W613)</f>
        <v/>
      </c>
      <c r="Y613" s="7">
        <f>IF($D613="","",X613-N613)</f>
        <v/>
      </c>
      <c r="AB613">
        <f>IF($D613="","",IF($AN613=1,Settings!$C$8,IF($AM613=1,Settings!$C$6,Settings!$C$7))*100)</f>
        <v/>
      </c>
      <c r="AF613" s="7" t="n"/>
      <c r="AI613" s="11" t="n"/>
      <c r="AK613">
        <f>IF($D613="","",IF(COUNTIF($D$2:$D613,$D613)=1,1,0))</f>
        <v/>
      </c>
      <c r="AL613">
        <f>IF($AK613=1,SUMPRODUCT(--($AO$2:$AO$1601&lt;$AO613))+1,"")</f>
        <v/>
      </c>
      <c r="AM613">
        <f>IF($D613="","",IF(OR($R613=TRUE(),$R613="TRUE"),1,0))</f>
        <v/>
      </c>
      <c r="AN613">
        <f>IF($D613="","",IF($AA613="Yes",1,0))</f>
        <v/>
      </c>
      <c r="AO613">
        <f>IF($AK613=1,IFERROR(IF(VALUE($D613)&lt;100000000,VALUE($D613),1000000000),IFERROR(IF(VALUE(MID($D613,2,20))&lt;100000000,VALUE(MID($D613,2,20)),1000000000),1000000000))+ROW()/100000,"")</f>
        <v/>
      </c>
    </row>
    <row r="614">
      <c r="F614" s="11" t="n"/>
      <c r="N614" s="7">
        <f>IF($D614="","",M614*X614/100)</f>
        <v/>
      </c>
      <c r="O614" s="7" t="n"/>
      <c r="U614" s="7" t="n"/>
      <c r="V614" s="7" t="n"/>
      <c r="W614" s="7">
        <f>IF($D614="","",V614*AB614/100)</f>
        <v/>
      </c>
      <c r="X614" s="7">
        <f>IF($D614="","",V614-W614)</f>
        <v/>
      </c>
      <c r="Y614" s="7">
        <f>IF($D614="","",X614-N614)</f>
        <v/>
      </c>
      <c r="AB614">
        <f>IF($D614="","",IF($AN614=1,Settings!$C$8,IF($AM614=1,Settings!$C$6,Settings!$C$7))*100)</f>
        <v/>
      </c>
      <c r="AF614" s="7" t="n"/>
      <c r="AI614" s="11" t="n"/>
      <c r="AK614">
        <f>IF($D614="","",IF(COUNTIF($D$2:$D614,$D614)=1,1,0))</f>
        <v/>
      </c>
      <c r="AL614">
        <f>IF($AK614=1,SUMPRODUCT(--($AO$2:$AO$1601&lt;$AO614))+1,"")</f>
        <v/>
      </c>
      <c r="AM614">
        <f>IF($D614="","",IF(OR($R614=TRUE(),$R614="TRUE"),1,0))</f>
        <v/>
      </c>
      <c r="AN614">
        <f>IF($D614="","",IF($AA614="Yes",1,0))</f>
        <v/>
      </c>
      <c r="AO614">
        <f>IF($AK614=1,IFERROR(IF(VALUE($D614)&lt;100000000,VALUE($D614),1000000000),IFERROR(IF(VALUE(MID($D614,2,20))&lt;100000000,VALUE(MID($D614,2,20)),1000000000),1000000000))+ROW()/100000,"")</f>
        <v/>
      </c>
    </row>
    <row r="615">
      <c r="F615" s="11" t="n"/>
      <c r="N615" s="7">
        <f>IF($D615="","",M615*X615/100)</f>
        <v/>
      </c>
      <c r="O615" s="7" t="n"/>
      <c r="U615" s="7" t="n"/>
      <c r="V615" s="7" t="n"/>
      <c r="W615" s="7">
        <f>IF($D615="","",V615*AB615/100)</f>
        <v/>
      </c>
      <c r="X615" s="7">
        <f>IF($D615="","",V615-W615)</f>
        <v/>
      </c>
      <c r="Y615" s="7">
        <f>IF($D615="","",X615-N615)</f>
        <v/>
      </c>
      <c r="AB615">
        <f>IF($D615="","",IF($AN615=1,Settings!$C$8,IF($AM615=1,Settings!$C$6,Settings!$C$7))*100)</f>
        <v/>
      </c>
      <c r="AF615" s="7" t="n"/>
      <c r="AI615" s="11" t="n"/>
      <c r="AK615">
        <f>IF($D615="","",IF(COUNTIF($D$2:$D615,$D615)=1,1,0))</f>
        <v/>
      </c>
      <c r="AL615">
        <f>IF($AK615=1,SUMPRODUCT(--($AO$2:$AO$1601&lt;$AO615))+1,"")</f>
        <v/>
      </c>
      <c r="AM615">
        <f>IF($D615="","",IF(OR($R615=TRUE(),$R615="TRUE"),1,0))</f>
        <v/>
      </c>
      <c r="AN615">
        <f>IF($D615="","",IF($AA615="Yes",1,0))</f>
        <v/>
      </c>
      <c r="AO615">
        <f>IF($AK615=1,IFERROR(IF(VALUE($D615)&lt;100000000,VALUE($D615),1000000000),IFERROR(IF(VALUE(MID($D615,2,20))&lt;100000000,VALUE(MID($D615,2,20)),1000000000),1000000000))+ROW()/100000,"")</f>
        <v/>
      </c>
    </row>
    <row r="616">
      <c r="F616" s="11" t="n"/>
      <c r="N616" s="7">
        <f>IF($D616="","",M616*X616/100)</f>
        <v/>
      </c>
      <c r="O616" s="7" t="n"/>
      <c r="U616" s="7" t="n"/>
      <c r="V616" s="7" t="n"/>
      <c r="W616" s="7">
        <f>IF($D616="","",V616*AB616/100)</f>
        <v/>
      </c>
      <c r="X616" s="7">
        <f>IF($D616="","",V616-W616)</f>
        <v/>
      </c>
      <c r="Y616" s="7">
        <f>IF($D616="","",X616-N616)</f>
        <v/>
      </c>
      <c r="AB616">
        <f>IF($D616="","",IF($AN616=1,Settings!$C$8,IF($AM616=1,Settings!$C$6,Settings!$C$7))*100)</f>
        <v/>
      </c>
      <c r="AF616" s="7" t="n"/>
      <c r="AI616" s="11" t="n"/>
      <c r="AK616">
        <f>IF($D616="","",IF(COUNTIF($D$2:$D616,$D616)=1,1,0))</f>
        <v/>
      </c>
      <c r="AL616">
        <f>IF($AK616=1,SUMPRODUCT(--($AO$2:$AO$1601&lt;$AO616))+1,"")</f>
        <v/>
      </c>
      <c r="AM616">
        <f>IF($D616="","",IF(OR($R616=TRUE(),$R616="TRUE"),1,0))</f>
        <v/>
      </c>
      <c r="AN616">
        <f>IF($D616="","",IF($AA616="Yes",1,0))</f>
        <v/>
      </c>
      <c r="AO616">
        <f>IF($AK616=1,IFERROR(IF(VALUE($D616)&lt;100000000,VALUE($D616),1000000000),IFERROR(IF(VALUE(MID($D616,2,20))&lt;100000000,VALUE(MID($D616,2,20)),1000000000),1000000000))+ROW()/100000,"")</f>
        <v/>
      </c>
    </row>
    <row r="617">
      <c r="F617" s="11" t="n"/>
      <c r="N617" s="7">
        <f>IF($D617="","",M617*X617/100)</f>
        <v/>
      </c>
      <c r="O617" s="7" t="n"/>
      <c r="U617" s="7" t="n"/>
      <c r="V617" s="7" t="n"/>
      <c r="W617" s="7">
        <f>IF($D617="","",V617*AB617/100)</f>
        <v/>
      </c>
      <c r="X617" s="7">
        <f>IF($D617="","",V617-W617)</f>
        <v/>
      </c>
      <c r="Y617" s="7">
        <f>IF($D617="","",X617-N617)</f>
        <v/>
      </c>
      <c r="AB617">
        <f>IF($D617="","",IF($AN617=1,Settings!$C$8,IF($AM617=1,Settings!$C$6,Settings!$C$7))*100)</f>
        <v/>
      </c>
      <c r="AF617" s="7" t="n"/>
      <c r="AI617" s="11" t="n"/>
      <c r="AK617">
        <f>IF($D617="","",IF(COUNTIF($D$2:$D617,$D617)=1,1,0))</f>
        <v/>
      </c>
      <c r="AL617">
        <f>IF($AK617=1,SUMPRODUCT(--($AO$2:$AO$1601&lt;$AO617))+1,"")</f>
        <v/>
      </c>
      <c r="AM617">
        <f>IF($D617="","",IF(OR($R617=TRUE(),$R617="TRUE"),1,0))</f>
        <v/>
      </c>
      <c r="AN617">
        <f>IF($D617="","",IF($AA617="Yes",1,0))</f>
        <v/>
      </c>
      <c r="AO617">
        <f>IF($AK617=1,IFERROR(IF(VALUE($D617)&lt;100000000,VALUE($D617),1000000000),IFERROR(IF(VALUE(MID($D617,2,20))&lt;100000000,VALUE(MID($D617,2,20)),1000000000),1000000000))+ROW()/100000,"")</f>
        <v/>
      </c>
    </row>
    <row r="618">
      <c r="F618" s="11" t="n"/>
      <c r="N618" s="7">
        <f>IF($D618="","",M618*X618/100)</f>
        <v/>
      </c>
      <c r="O618" s="7" t="n"/>
      <c r="U618" s="7" t="n"/>
      <c r="V618" s="7" t="n"/>
      <c r="W618" s="7">
        <f>IF($D618="","",V618*AB618/100)</f>
        <v/>
      </c>
      <c r="X618" s="7">
        <f>IF($D618="","",V618-W618)</f>
        <v/>
      </c>
      <c r="Y618" s="7">
        <f>IF($D618="","",X618-N618)</f>
        <v/>
      </c>
      <c r="AB618">
        <f>IF($D618="","",IF($AN618=1,Settings!$C$8,IF($AM618=1,Settings!$C$6,Settings!$C$7))*100)</f>
        <v/>
      </c>
      <c r="AF618" s="7" t="n"/>
      <c r="AI618" s="11" t="n"/>
      <c r="AK618">
        <f>IF($D618="","",IF(COUNTIF($D$2:$D618,$D618)=1,1,0))</f>
        <v/>
      </c>
      <c r="AL618">
        <f>IF($AK618=1,SUMPRODUCT(--($AO$2:$AO$1601&lt;$AO618))+1,"")</f>
        <v/>
      </c>
      <c r="AM618">
        <f>IF($D618="","",IF(OR($R618=TRUE(),$R618="TRUE"),1,0))</f>
        <v/>
      </c>
      <c r="AN618">
        <f>IF($D618="","",IF($AA618="Yes",1,0))</f>
        <v/>
      </c>
      <c r="AO618">
        <f>IF($AK618=1,IFERROR(IF(VALUE($D618)&lt;100000000,VALUE($D618),1000000000),IFERROR(IF(VALUE(MID($D618,2,20))&lt;100000000,VALUE(MID($D618,2,20)),1000000000),1000000000))+ROW()/100000,"")</f>
        <v/>
      </c>
    </row>
    <row r="619">
      <c r="F619" s="11" t="n"/>
      <c r="N619" s="7">
        <f>IF($D619="","",M619*X619/100)</f>
        <v/>
      </c>
      <c r="O619" s="7" t="n"/>
      <c r="U619" s="7" t="n"/>
      <c r="V619" s="7" t="n"/>
      <c r="W619" s="7">
        <f>IF($D619="","",V619*AB619/100)</f>
        <v/>
      </c>
      <c r="X619" s="7">
        <f>IF($D619="","",V619-W619)</f>
        <v/>
      </c>
      <c r="Y619" s="7">
        <f>IF($D619="","",X619-N619)</f>
        <v/>
      </c>
      <c r="AB619">
        <f>IF($D619="","",IF($AN619=1,Settings!$C$8,IF($AM619=1,Settings!$C$6,Settings!$C$7))*100)</f>
        <v/>
      </c>
      <c r="AF619" s="7" t="n"/>
      <c r="AI619" s="11" t="n"/>
      <c r="AK619">
        <f>IF($D619="","",IF(COUNTIF($D$2:$D619,$D619)=1,1,0))</f>
        <v/>
      </c>
      <c r="AL619">
        <f>IF($AK619=1,SUMPRODUCT(--($AO$2:$AO$1601&lt;$AO619))+1,"")</f>
        <v/>
      </c>
      <c r="AM619">
        <f>IF($D619="","",IF(OR($R619=TRUE(),$R619="TRUE"),1,0))</f>
        <v/>
      </c>
      <c r="AN619">
        <f>IF($D619="","",IF($AA619="Yes",1,0))</f>
        <v/>
      </c>
      <c r="AO619">
        <f>IF($AK619=1,IFERROR(IF(VALUE($D619)&lt;100000000,VALUE($D619),1000000000),IFERROR(IF(VALUE(MID($D619,2,20))&lt;100000000,VALUE(MID($D619,2,20)),1000000000),1000000000))+ROW()/100000,"")</f>
        <v/>
      </c>
    </row>
    <row r="620">
      <c r="F620" s="11" t="n"/>
      <c r="N620" s="7">
        <f>IF($D620="","",M620*X620/100)</f>
        <v/>
      </c>
      <c r="O620" s="7" t="n"/>
      <c r="U620" s="7" t="n"/>
      <c r="V620" s="7" t="n"/>
      <c r="W620" s="7">
        <f>IF($D620="","",V620*AB620/100)</f>
        <v/>
      </c>
      <c r="X620" s="7">
        <f>IF($D620="","",V620-W620)</f>
        <v/>
      </c>
      <c r="Y620" s="7">
        <f>IF($D620="","",X620-N620)</f>
        <v/>
      </c>
      <c r="AB620">
        <f>IF($D620="","",IF($AN620=1,Settings!$C$8,IF($AM620=1,Settings!$C$6,Settings!$C$7))*100)</f>
        <v/>
      </c>
      <c r="AF620" s="7" t="n"/>
      <c r="AI620" s="11" t="n"/>
      <c r="AK620">
        <f>IF($D620="","",IF(COUNTIF($D$2:$D620,$D620)=1,1,0))</f>
        <v/>
      </c>
      <c r="AL620">
        <f>IF($AK620=1,SUMPRODUCT(--($AO$2:$AO$1601&lt;$AO620))+1,"")</f>
        <v/>
      </c>
      <c r="AM620">
        <f>IF($D620="","",IF(OR($R620=TRUE(),$R620="TRUE"),1,0))</f>
        <v/>
      </c>
      <c r="AN620">
        <f>IF($D620="","",IF($AA620="Yes",1,0))</f>
        <v/>
      </c>
      <c r="AO620">
        <f>IF($AK620=1,IFERROR(IF(VALUE($D620)&lt;100000000,VALUE($D620),1000000000),IFERROR(IF(VALUE(MID($D620,2,20))&lt;100000000,VALUE(MID($D620,2,20)),1000000000),1000000000))+ROW()/100000,"")</f>
        <v/>
      </c>
    </row>
    <row r="621">
      <c r="F621" s="11" t="n"/>
      <c r="N621" s="7">
        <f>IF($D621="","",M621*X621/100)</f>
        <v/>
      </c>
      <c r="O621" s="7" t="n"/>
      <c r="U621" s="7" t="n"/>
      <c r="V621" s="7" t="n"/>
      <c r="W621" s="7">
        <f>IF($D621="","",V621*AB621/100)</f>
        <v/>
      </c>
      <c r="X621" s="7">
        <f>IF($D621="","",V621-W621)</f>
        <v/>
      </c>
      <c r="Y621" s="7">
        <f>IF($D621="","",X621-N621)</f>
        <v/>
      </c>
      <c r="AB621">
        <f>IF($D621="","",IF($AN621=1,Settings!$C$8,IF($AM621=1,Settings!$C$6,Settings!$C$7))*100)</f>
        <v/>
      </c>
      <c r="AF621" s="7" t="n"/>
      <c r="AI621" s="11" t="n"/>
      <c r="AK621">
        <f>IF($D621="","",IF(COUNTIF($D$2:$D621,$D621)=1,1,0))</f>
        <v/>
      </c>
      <c r="AL621">
        <f>IF($AK621=1,SUMPRODUCT(--($AO$2:$AO$1601&lt;$AO621))+1,"")</f>
        <v/>
      </c>
      <c r="AM621">
        <f>IF($D621="","",IF(OR($R621=TRUE(),$R621="TRUE"),1,0))</f>
        <v/>
      </c>
      <c r="AN621">
        <f>IF($D621="","",IF($AA621="Yes",1,0))</f>
        <v/>
      </c>
      <c r="AO621">
        <f>IF($AK621=1,IFERROR(IF(VALUE($D621)&lt;100000000,VALUE($D621),1000000000),IFERROR(IF(VALUE(MID($D621,2,20))&lt;100000000,VALUE(MID($D621,2,20)),1000000000),1000000000))+ROW()/100000,"")</f>
        <v/>
      </c>
    </row>
    <row r="622">
      <c r="F622" s="11" t="n"/>
      <c r="N622" s="7">
        <f>IF($D622="","",M622*X622/100)</f>
        <v/>
      </c>
      <c r="O622" s="7" t="n"/>
      <c r="U622" s="7" t="n"/>
      <c r="V622" s="7" t="n"/>
      <c r="W622" s="7">
        <f>IF($D622="","",V622*AB622/100)</f>
        <v/>
      </c>
      <c r="X622" s="7">
        <f>IF($D622="","",V622-W622)</f>
        <v/>
      </c>
      <c r="Y622" s="7">
        <f>IF($D622="","",X622-N622)</f>
        <v/>
      </c>
      <c r="AB622">
        <f>IF($D622="","",IF($AN622=1,Settings!$C$8,IF($AM622=1,Settings!$C$6,Settings!$C$7))*100)</f>
        <v/>
      </c>
      <c r="AF622" s="7" t="n"/>
      <c r="AI622" s="11" t="n"/>
      <c r="AK622">
        <f>IF($D622="","",IF(COUNTIF($D$2:$D622,$D622)=1,1,0))</f>
        <v/>
      </c>
      <c r="AL622">
        <f>IF($AK622=1,SUMPRODUCT(--($AO$2:$AO$1601&lt;$AO622))+1,"")</f>
        <v/>
      </c>
      <c r="AM622">
        <f>IF($D622="","",IF(OR($R622=TRUE(),$R622="TRUE"),1,0))</f>
        <v/>
      </c>
      <c r="AN622">
        <f>IF($D622="","",IF($AA622="Yes",1,0))</f>
        <v/>
      </c>
      <c r="AO622">
        <f>IF($AK622=1,IFERROR(IF(VALUE($D622)&lt;100000000,VALUE($D622),1000000000),IFERROR(IF(VALUE(MID($D622,2,20))&lt;100000000,VALUE(MID($D622,2,20)),1000000000),1000000000))+ROW()/100000,"")</f>
        <v/>
      </c>
    </row>
    <row r="623">
      <c r="F623" s="11" t="n"/>
      <c r="N623" s="7">
        <f>IF($D623="","",M623*X623/100)</f>
        <v/>
      </c>
      <c r="O623" s="7" t="n"/>
      <c r="U623" s="7" t="n"/>
      <c r="V623" s="7" t="n"/>
      <c r="W623" s="7">
        <f>IF($D623="","",V623*AB623/100)</f>
        <v/>
      </c>
      <c r="X623" s="7">
        <f>IF($D623="","",V623-W623)</f>
        <v/>
      </c>
      <c r="Y623" s="7">
        <f>IF($D623="","",X623-N623)</f>
        <v/>
      </c>
      <c r="AB623">
        <f>IF($D623="","",IF($AN623=1,Settings!$C$8,IF($AM623=1,Settings!$C$6,Settings!$C$7))*100)</f>
        <v/>
      </c>
      <c r="AF623" s="7" t="n"/>
      <c r="AI623" s="11" t="n"/>
      <c r="AK623">
        <f>IF($D623="","",IF(COUNTIF($D$2:$D623,$D623)=1,1,0))</f>
        <v/>
      </c>
      <c r="AL623">
        <f>IF($AK623=1,SUMPRODUCT(--($AO$2:$AO$1601&lt;$AO623))+1,"")</f>
        <v/>
      </c>
      <c r="AM623">
        <f>IF($D623="","",IF(OR($R623=TRUE(),$R623="TRUE"),1,0))</f>
        <v/>
      </c>
      <c r="AN623">
        <f>IF($D623="","",IF($AA623="Yes",1,0))</f>
        <v/>
      </c>
      <c r="AO623">
        <f>IF($AK623=1,IFERROR(IF(VALUE($D623)&lt;100000000,VALUE($D623),1000000000),IFERROR(IF(VALUE(MID($D623,2,20))&lt;100000000,VALUE(MID($D623,2,20)),1000000000),1000000000))+ROW()/100000,"")</f>
        <v/>
      </c>
    </row>
    <row r="624">
      <c r="F624" s="11" t="n"/>
      <c r="N624" s="7">
        <f>IF($D624="","",M624*X624/100)</f>
        <v/>
      </c>
      <c r="O624" s="7" t="n"/>
      <c r="U624" s="7" t="n"/>
      <c r="V624" s="7" t="n"/>
      <c r="W624" s="7">
        <f>IF($D624="","",V624*AB624/100)</f>
        <v/>
      </c>
      <c r="X624" s="7">
        <f>IF($D624="","",V624-W624)</f>
        <v/>
      </c>
      <c r="Y624" s="7">
        <f>IF($D624="","",X624-N624)</f>
        <v/>
      </c>
      <c r="AB624">
        <f>IF($D624="","",IF($AN624=1,Settings!$C$8,IF($AM624=1,Settings!$C$6,Settings!$C$7))*100)</f>
        <v/>
      </c>
      <c r="AF624" s="7" t="n"/>
      <c r="AI624" s="11" t="n"/>
      <c r="AK624">
        <f>IF($D624="","",IF(COUNTIF($D$2:$D624,$D624)=1,1,0))</f>
        <v/>
      </c>
      <c r="AL624">
        <f>IF($AK624=1,SUMPRODUCT(--($AO$2:$AO$1601&lt;$AO624))+1,"")</f>
        <v/>
      </c>
      <c r="AM624">
        <f>IF($D624="","",IF(OR($R624=TRUE(),$R624="TRUE"),1,0))</f>
        <v/>
      </c>
      <c r="AN624">
        <f>IF($D624="","",IF($AA624="Yes",1,0))</f>
        <v/>
      </c>
      <c r="AO624">
        <f>IF($AK624=1,IFERROR(IF(VALUE($D624)&lt;100000000,VALUE($D624),1000000000),IFERROR(IF(VALUE(MID($D624,2,20))&lt;100000000,VALUE(MID($D624,2,20)),1000000000),1000000000))+ROW()/100000,"")</f>
        <v/>
      </c>
    </row>
    <row r="625">
      <c r="F625" s="11" t="n"/>
      <c r="N625" s="7">
        <f>IF($D625="","",M625*X625/100)</f>
        <v/>
      </c>
      <c r="O625" s="7" t="n"/>
      <c r="U625" s="7" t="n"/>
      <c r="V625" s="7" t="n"/>
      <c r="W625" s="7">
        <f>IF($D625="","",V625*AB625/100)</f>
        <v/>
      </c>
      <c r="X625" s="7">
        <f>IF($D625="","",V625-W625)</f>
        <v/>
      </c>
      <c r="Y625" s="7">
        <f>IF($D625="","",X625-N625)</f>
        <v/>
      </c>
      <c r="AB625">
        <f>IF($D625="","",IF($AN625=1,Settings!$C$8,IF($AM625=1,Settings!$C$6,Settings!$C$7))*100)</f>
        <v/>
      </c>
      <c r="AF625" s="7" t="n"/>
      <c r="AI625" s="11" t="n"/>
      <c r="AK625">
        <f>IF($D625="","",IF(COUNTIF($D$2:$D625,$D625)=1,1,0))</f>
        <v/>
      </c>
      <c r="AL625">
        <f>IF($AK625=1,SUMPRODUCT(--($AO$2:$AO$1601&lt;$AO625))+1,"")</f>
        <v/>
      </c>
      <c r="AM625">
        <f>IF($D625="","",IF(OR($R625=TRUE(),$R625="TRUE"),1,0))</f>
        <v/>
      </c>
      <c r="AN625">
        <f>IF($D625="","",IF($AA625="Yes",1,0))</f>
        <v/>
      </c>
      <c r="AO625">
        <f>IF($AK625=1,IFERROR(IF(VALUE($D625)&lt;100000000,VALUE($D625),1000000000),IFERROR(IF(VALUE(MID($D625,2,20))&lt;100000000,VALUE(MID($D625,2,20)),1000000000),1000000000))+ROW()/100000,"")</f>
        <v/>
      </c>
    </row>
    <row r="626">
      <c r="F626" s="11" t="n"/>
      <c r="N626" s="7">
        <f>IF($D626="","",M626*X626/100)</f>
        <v/>
      </c>
      <c r="O626" s="7" t="n"/>
      <c r="U626" s="7" t="n"/>
      <c r="V626" s="7" t="n"/>
      <c r="W626" s="7">
        <f>IF($D626="","",V626*AB626/100)</f>
        <v/>
      </c>
      <c r="X626" s="7">
        <f>IF($D626="","",V626-W626)</f>
        <v/>
      </c>
      <c r="Y626" s="7">
        <f>IF($D626="","",X626-N626)</f>
        <v/>
      </c>
      <c r="AB626">
        <f>IF($D626="","",IF($AN626=1,Settings!$C$8,IF($AM626=1,Settings!$C$6,Settings!$C$7))*100)</f>
        <v/>
      </c>
      <c r="AF626" s="7" t="n"/>
      <c r="AI626" s="11" t="n"/>
      <c r="AK626">
        <f>IF($D626="","",IF(COUNTIF($D$2:$D626,$D626)=1,1,0))</f>
        <v/>
      </c>
      <c r="AL626">
        <f>IF($AK626=1,SUMPRODUCT(--($AO$2:$AO$1601&lt;$AO626))+1,"")</f>
        <v/>
      </c>
      <c r="AM626">
        <f>IF($D626="","",IF(OR($R626=TRUE(),$R626="TRUE"),1,0))</f>
        <v/>
      </c>
      <c r="AN626">
        <f>IF($D626="","",IF($AA626="Yes",1,0))</f>
        <v/>
      </c>
      <c r="AO626">
        <f>IF($AK626=1,IFERROR(IF(VALUE($D626)&lt;100000000,VALUE($D626),1000000000),IFERROR(IF(VALUE(MID($D626,2,20))&lt;100000000,VALUE(MID($D626,2,20)),1000000000),1000000000))+ROW()/100000,"")</f>
        <v/>
      </c>
    </row>
    <row r="627">
      <c r="F627" s="11" t="n"/>
      <c r="N627" s="7">
        <f>IF($D627="","",M627*X627/100)</f>
        <v/>
      </c>
      <c r="O627" s="7" t="n"/>
      <c r="U627" s="7" t="n"/>
      <c r="V627" s="7" t="n"/>
      <c r="W627" s="7">
        <f>IF($D627="","",V627*AB627/100)</f>
        <v/>
      </c>
      <c r="X627" s="7">
        <f>IF($D627="","",V627-W627)</f>
        <v/>
      </c>
      <c r="Y627" s="7">
        <f>IF($D627="","",X627-N627)</f>
        <v/>
      </c>
      <c r="AB627">
        <f>IF($D627="","",IF($AN627=1,Settings!$C$8,IF($AM627=1,Settings!$C$6,Settings!$C$7))*100)</f>
        <v/>
      </c>
      <c r="AF627" s="7" t="n"/>
      <c r="AI627" s="11" t="n"/>
      <c r="AK627">
        <f>IF($D627="","",IF(COUNTIF($D$2:$D627,$D627)=1,1,0))</f>
        <v/>
      </c>
      <c r="AL627">
        <f>IF($AK627=1,SUMPRODUCT(--($AO$2:$AO$1601&lt;$AO627))+1,"")</f>
        <v/>
      </c>
      <c r="AM627">
        <f>IF($D627="","",IF(OR($R627=TRUE(),$R627="TRUE"),1,0))</f>
        <v/>
      </c>
      <c r="AN627">
        <f>IF($D627="","",IF($AA627="Yes",1,0))</f>
        <v/>
      </c>
      <c r="AO627">
        <f>IF($AK627=1,IFERROR(IF(VALUE($D627)&lt;100000000,VALUE($D627),1000000000),IFERROR(IF(VALUE(MID($D627,2,20))&lt;100000000,VALUE(MID($D627,2,20)),1000000000),1000000000))+ROW()/100000,"")</f>
        <v/>
      </c>
    </row>
    <row r="628">
      <c r="F628" s="11" t="n"/>
      <c r="N628" s="7">
        <f>IF($D628="","",M628*X628/100)</f>
        <v/>
      </c>
      <c r="O628" s="7" t="n"/>
      <c r="U628" s="7" t="n"/>
      <c r="V628" s="7" t="n"/>
      <c r="W628" s="7">
        <f>IF($D628="","",V628*AB628/100)</f>
        <v/>
      </c>
      <c r="X628" s="7">
        <f>IF($D628="","",V628-W628)</f>
        <v/>
      </c>
      <c r="Y628" s="7">
        <f>IF($D628="","",X628-N628)</f>
        <v/>
      </c>
      <c r="AB628">
        <f>IF($D628="","",IF($AN628=1,Settings!$C$8,IF($AM628=1,Settings!$C$6,Settings!$C$7))*100)</f>
        <v/>
      </c>
      <c r="AF628" s="7" t="n"/>
      <c r="AI628" s="11" t="n"/>
      <c r="AK628">
        <f>IF($D628="","",IF(COUNTIF($D$2:$D628,$D628)=1,1,0))</f>
        <v/>
      </c>
      <c r="AL628">
        <f>IF($AK628=1,SUMPRODUCT(--($AO$2:$AO$1601&lt;$AO628))+1,"")</f>
        <v/>
      </c>
      <c r="AM628">
        <f>IF($D628="","",IF(OR($R628=TRUE(),$R628="TRUE"),1,0))</f>
        <v/>
      </c>
      <c r="AN628">
        <f>IF($D628="","",IF($AA628="Yes",1,0))</f>
        <v/>
      </c>
      <c r="AO628">
        <f>IF($AK628=1,IFERROR(IF(VALUE($D628)&lt;100000000,VALUE($D628),1000000000),IFERROR(IF(VALUE(MID($D628,2,20))&lt;100000000,VALUE(MID($D628,2,20)),1000000000),1000000000))+ROW()/100000,"")</f>
        <v/>
      </c>
    </row>
    <row r="629">
      <c r="F629" s="11" t="n"/>
      <c r="N629" s="7">
        <f>IF($D629="","",M629*X629/100)</f>
        <v/>
      </c>
      <c r="O629" s="7" t="n"/>
      <c r="U629" s="7" t="n"/>
      <c r="V629" s="7" t="n"/>
      <c r="W629" s="7">
        <f>IF($D629="","",V629*AB629/100)</f>
        <v/>
      </c>
      <c r="X629" s="7">
        <f>IF($D629="","",V629-W629)</f>
        <v/>
      </c>
      <c r="Y629" s="7">
        <f>IF($D629="","",X629-N629)</f>
        <v/>
      </c>
      <c r="AB629">
        <f>IF($D629="","",IF($AN629=1,Settings!$C$8,IF($AM629=1,Settings!$C$6,Settings!$C$7))*100)</f>
        <v/>
      </c>
      <c r="AF629" s="7" t="n"/>
      <c r="AI629" s="11" t="n"/>
      <c r="AK629">
        <f>IF($D629="","",IF(COUNTIF($D$2:$D629,$D629)=1,1,0))</f>
        <v/>
      </c>
      <c r="AL629">
        <f>IF($AK629=1,SUMPRODUCT(--($AO$2:$AO$1601&lt;$AO629))+1,"")</f>
        <v/>
      </c>
      <c r="AM629">
        <f>IF($D629="","",IF(OR($R629=TRUE(),$R629="TRUE"),1,0))</f>
        <v/>
      </c>
      <c r="AN629">
        <f>IF($D629="","",IF($AA629="Yes",1,0))</f>
        <v/>
      </c>
      <c r="AO629">
        <f>IF($AK629=1,IFERROR(IF(VALUE($D629)&lt;100000000,VALUE($D629),1000000000),IFERROR(IF(VALUE(MID($D629,2,20))&lt;100000000,VALUE(MID($D629,2,20)),1000000000),1000000000))+ROW()/100000,"")</f>
        <v/>
      </c>
    </row>
    <row r="630">
      <c r="F630" s="11" t="n"/>
      <c r="N630" s="7">
        <f>IF($D630="","",M630*X630/100)</f>
        <v/>
      </c>
      <c r="O630" s="7" t="n"/>
      <c r="U630" s="7" t="n"/>
      <c r="V630" s="7" t="n"/>
      <c r="W630" s="7">
        <f>IF($D630="","",V630*AB630/100)</f>
        <v/>
      </c>
      <c r="X630" s="7">
        <f>IF($D630="","",V630-W630)</f>
        <v/>
      </c>
      <c r="Y630" s="7">
        <f>IF($D630="","",X630-N630)</f>
        <v/>
      </c>
      <c r="AB630">
        <f>IF($D630="","",IF($AN630=1,Settings!$C$8,IF($AM630=1,Settings!$C$6,Settings!$C$7))*100)</f>
        <v/>
      </c>
      <c r="AF630" s="7" t="n"/>
      <c r="AI630" s="11" t="n"/>
      <c r="AK630">
        <f>IF($D630="","",IF(COUNTIF($D$2:$D630,$D630)=1,1,0))</f>
        <v/>
      </c>
      <c r="AL630">
        <f>IF($AK630=1,SUMPRODUCT(--($AO$2:$AO$1601&lt;$AO630))+1,"")</f>
        <v/>
      </c>
      <c r="AM630">
        <f>IF($D630="","",IF(OR($R630=TRUE(),$R630="TRUE"),1,0))</f>
        <v/>
      </c>
      <c r="AN630">
        <f>IF($D630="","",IF($AA630="Yes",1,0))</f>
        <v/>
      </c>
      <c r="AO630">
        <f>IF($AK630=1,IFERROR(IF(VALUE($D630)&lt;100000000,VALUE($D630),1000000000),IFERROR(IF(VALUE(MID($D630,2,20))&lt;100000000,VALUE(MID($D630,2,20)),1000000000),1000000000))+ROW()/100000,"")</f>
        <v/>
      </c>
    </row>
    <row r="631">
      <c r="F631" s="11" t="n"/>
      <c r="N631" s="7">
        <f>IF($D631="","",M631*X631/100)</f>
        <v/>
      </c>
      <c r="O631" s="7" t="n"/>
      <c r="U631" s="7" t="n"/>
      <c r="V631" s="7" t="n"/>
      <c r="W631" s="7">
        <f>IF($D631="","",V631*AB631/100)</f>
        <v/>
      </c>
      <c r="X631" s="7">
        <f>IF($D631="","",V631-W631)</f>
        <v/>
      </c>
      <c r="Y631" s="7">
        <f>IF($D631="","",X631-N631)</f>
        <v/>
      </c>
      <c r="AB631">
        <f>IF($D631="","",IF($AN631=1,Settings!$C$8,IF($AM631=1,Settings!$C$6,Settings!$C$7))*100)</f>
        <v/>
      </c>
      <c r="AF631" s="7" t="n"/>
      <c r="AI631" s="11" t="n"/>
      <c r="AK631">
        <f>IF($D631="","",IF(COUNTIF($D$2:$D631,$D631)=1,1,0))</f>
        <v/>
      </c>
      <c r="AL631">
        <f>IF($AK631=1,SUMPRODUCT(--($AO$2:$AO$1601&lt;$AO631))+1,"")</f>
        <v/>
      </c>
      <c r="AM631">
        <f>IF($D631="","",IF(OR($R631=TRUE(),$R631="TRUE"),1,0))</f>
        <v/>
      </c>
      <c r="AN631">
        <f>IF($D631="","",IF($AA631="Yes",1,0))</f>
        <v/>
      </c>
      <c r="AO631">
        <f>IF($AK631=1,IFERROR(IF(VALUE($D631)&lt;100000000,VALUE($D631),1000000000),IFERROR(IF(VALUE(MID($D631,2,20))&lt;100000000,VALUE(MID($D631,2,20)),1000000000),1000000000))+ROW()/100000,"")</f>
        <v/>
      </c>
    </row>
    <row r="632">
      <c r="F632" s="11" t="n"/>
      <c r="N632" s="7">
        <f>IF($D632="","",M632*X632/100)</f>
        <v/>
      </c>
      <c r="O632" s="7" t="n"/>
      <c r="U632" s="7" t="n"/>
      <c r="V632" s="7" t="n"/>
      <c r="W632" s="7">
        <f>IF($D632="","",V632*AB632/100)</f>
        <v/>
      </c>
      <c r="X632" s="7">
        <f>IF($D632="","",V632-W632)</f>
        <v/>
      </c>
      <c r="Y632" s="7">
        <f>IF($D632="","",X632-N632)</f>
        <v/>
      </c>
      <c r="AB632">
        <f>IF($D632="","",IF($AN632=1,Settings!$C$8,IF($AM632=1,Settings!$C$6,Settings!$C$7))*100)</f>
        <v/>
      </c>
      <c r="AF632" s="7" t="n"/>
      <c r="AI632" s="11" t="n"/>
      <c r="AK632">
        <f>IF($D632="","",IF(COUNTIF($D$2:$D632,$D632)=1,1,0))</f>
        <v/>
      </c>
      <c r="AL632">
        <f>IF($AK632=1,SUMPRODUCT(--($AO$2:$AO$1601&lt;$AO632))+1,"")</f>
        <v/>
      </c>
      <c r="AM632">
        <f>IF($D632="","",IF(OR($R632=TRUE(),$R632="TRUE"),1,0))</f>
        <v/>
      </c>
      <c r="AN632">
        <f>IF($D632="","",IF($AA632="Yes",1,0))</f>
        <v/>
      </c>
      <c r="AO632">
        <f>IF($AK632=1,IFERROR(IF(VALUE($D632)&lt;100000000,VALUE($D632),1000000000),IFERROR(IF(VALUE(MID($D632,2,20))&lt;100000000,VALUE(MID($D632,2,20)),1000000000),1000000000))+ROW()/100000,"")</f>
        <v/>
      </c>
    </row>
    <row r="633">
      <c r="F633" s="11" t="n"/>
      <c r="N633" s="7">
        <f>IF($D633="","",M633*X633/100)</f>
        <v/>
      </c>
      <c r="O633" s="7" t="n"/>
      <c r="U633" s="7" t="n"/>
      <c r="V633" s="7" t="n"/>
      <c r="W633" s="7">
        <f>IF($D633="","",V633*AB633/100)</f>
        <v/>
      </c>
      <c r="X633" s="7">
        <f>IF($D633="","",V633-W633)</f>
        <v/>
      </c>
      <c r="Y633" s="7">
        <f>IF($D633="","",X633-N633)</f>
        <v/>
      </c>
      <c r="AB633">
        <f>IF($D633="","",IF($AN633=1,Settings!$C$8,IF($AM633=1,Settings!$C$6,Settings!$C$7))*100)</f>
        <v/>
      </c>
      <c r="AF633" s="7" t="n"/>
      <c r="AI633" s="11" t="n"/>
      <c r="AK633">
        <f>IF($D633="","",IF(COUNTIF($D$2:$D633,$D633)=1,1,0))</f>
        <v/>
      </c>
      <c r="AL633">
        <f>IF($AK633=1,SUMPRODUCT(--($AO$2:$AO$1601&lt;$AO633))+1,"")</f>
        <v/>
      </c>
      <c r="AM633">
        <f>IF($D633="","",IF(OR($R633=TRUE(),$R633="TRUE"),1,0))</f>
        <v/>
      </c>
      <c r="AN633">
        <f>IF($D633="","",IF($AA633="Yes",1,0))</f>
        <v/>
      </c>
      <c r="AO633">
        <f>IF($AK633=1,IFERROR(IF(VALUE($D633)&lt;100000000,VALUE($D633),1000000000),IFERROR(IF(VALUE(MID($D633,2,20))&lt;100000000,VALUE(MID($D633,2,20)),1000000000),1000000000))+ROW()/100000,"")</f>
        <v/>
      </c>
    </row>
    <row r="634">
      <c r="F634" s="11" t="n"/>
      <c r="N634" s="7">
        <f>IF($D634="","",M634*X634/100)</f>
        <v/>
      </c>
      <c r="O634" s="7" t="n"/>
      <c r="U634" s="7" t="n"/>
      <c r="V634" s="7" t="n"/>
      <c r="W634" s="7">
        <f>IF($D634="","",V634*AB634/100)</f>
        <v/>
      </c>
      <c r="X634" s="7">
        <f>IF($D634="","",V634-W634)</f>
        <v/>
      </c>
      <c r="Y634" s="7">
        <f>IF($D634="","",X634-N634)</f>
        <v/>
      </c>
      <c r="AB634">
        <f>IF($D634="","",IF($AN634=1,Settings!$C$8,IF($AM634=1,Settings!$C$6,Settings!$C$7))*100)</f>
        <v/>
      </c>
      <c r="AF634" s="7" t="n"/>
      <c r="AI634" s="11" t="n"/>
      <c r="AK634">
        <f>IF($D634="","",IF(COUNTIF($D$2:$D634,$D634)=1,1,0))</f>
        <v/>
      </c>
      <c r="AL634">
        <f>IF($AK634=1,SUMPRODUCT(--($AO$2:$AO$1601&lt;$AO634))+1,"")</f>
        <v/>
      </c>
      <c r="AM634">
        <f>IF($D634="","",IF(OR($R634=TRUE(),$R634="TRUE"),1,0))</f>
        <v/>
      </c>
      <c r="AN634">
        <f>IF($D634="","",IF($AA634="Yes",1,0))</f>
        <v/>
      </c>
      <c r="AO634">
        <f>IF($AK634=1,IFERROR(IF(VALUE($D634)&lt;100000000,VALUE($D634),1000000000),IFERROR(IF(VALUE(MID($D634,2,20))&lt;100000000,VALUE(MID($D634,2,20)),1000000000),1000000000))+ROW()/100000,"")</f>
        <v/>
      </c>
    </row>
    <row r="635">
      <c r="F635" s="11" t="n"/>
      <c r="N635" s="7">
        <f>IF($D635="","",M635*X635/100)</f>
        <v/>
      </c>
      <c r="O635" s="7" t="n"/>
      <c r="U635" s="7" t="n"/>
      <c r="V635" s="7" t="n"/>
      <c r="W635" s="7">
        <f>IF($D635="","",V635*AB635/100)</f>
        <v/>
      </c>
      <c r="X635" s="7">
        <f>IF($D635="","",V635-W635)</f>
        <v/>
      </c>
      <c r="Y635" s="7">
        <f>IF($D635="","",X635-N635)</f>
        <v/>
      </c>
      <c r="AB635">
        <f>IF($D635="","",IF($AN635=1,Settings!$C$8,IF($AM635=1,Settings!$C$6,Settings!$C$7))*100)</f>
        <v/>
      </c>
      <c r="AF635" s="7" t="n"/>
      <c r="AI635" s="11" t="n"/>
      <c r="AK635">
        <f>IF($D635="","",IF(COUNTIF($D$2:$D635,$D635)=1,1,0))</f>
        <v/>
      </c>
      <c r="AL635">
        <f>IF($AK635=1,SUMPRODUCT(--($AO$2:$AO$1601&lt;$AO635))+1,"")</f>
        <v/>
      </c>
      <c r="AM635">
        <f>IF($D635="","",IF(OR($R635=TRUE(),$R635="TRUE"),1,0))</f>
        <v/>
      </c>
      <c r="AN635">
        <f>IF($D635="","",IF($AA635="Yes",1,0))</f>
        <v/>
      </c>
      <c r="AO635">
        <f>IF($AK635=1,IFERROR(IF(VALUE($D635)&lt;100000000,VALUE($D635),1000000000),IFERROR(IF(VALUE(MID($D635,2,20))&lt;100000000,VALUE(MID($D635,2,20)),1000000000),1000000000))+ROW()/100000,"")</f>
        <v/>
      </c>
    </row>
    <row r="636">
      <c r="F636" s="11" t="n"/>
      <c r="N636" s="7">
        <f>IF($D636="","",M636*X636/100)</f>
        <v/>
      </c>
      <c r="O636" s="7" t="n"/>
      <c r="U636" s="7" t="n"/>
      <c r="V636" s="7" t="n"/>
      <c r="W636" s="7">
        <f>IF($D636="","",V636*AB636/100)</f>
        <v/>
      </c>
      <c r="X636" s="7">
        <f>IF($D636="","",V636-W636)</f>
        <v/>
      </c>
      <c r="Y636" s="7">
        <f>IF($D636="","",X636-N636)</f>
        <v/>
      </c>
      <c r="AB636">
        <f>IF($D636="","",IF($AN636=1,Settings!$C$8,IF($AM636=1,Settings!$C$6,Settings!$C$7))*100)</f>
        <v/>
      </c>
      <c r="AF636" s="7" t="n"/>
      <c r="AI636" s="11" t="n"/>
      <c r="AK636">
        <f>IF($D636="","",IF(COUNTIF($D$2:$D636,$D636)=1,1,0))</f>
        <v/>
      </c>
      <c r="AL636">
        <f>IF($AK636=1,SUMPRODUCT(--($AO$2:$AO$1601&lt;$AO636))+1,"")</f>
        <v/>
      </c>
      <c r="AM636">
        <f>IF($D636="","",IF(OR($R636=TRUE(),$R636="TRUE"),1,0))</f>
        <v/>
      </c>
      <c r="AN636">
        <f>IF($D636="","",IF($AA636="Yes",1,0))</f>
        <v/>
      </c>
      <c r="AO636">
        <f>IF($AK636=1,IFERROR(IF(VALUE($D636)&lt;100000000,VALUE($D636),1000000000),IFERROR(IF(VALUE(MID($D636,2,20))&lt;100000000,VALUE(MID($D636,2,20)),1000000000),1000000000))+ROW()/100000,"")</f>
        <v/>
      </c>
    </row>
    <row r="637">
      <c r="F637" s="11" t="n"/>
      <c r="N637" s="7">
        <f>IF($D637="","",M637*X637/100)</f>
        <v/>
      </c>
      <c r="O637" s="7" t="n"/>
      <c r="U637" s="7" t="n"/>
      <c r="V637" s="7" t="n"/>
      <c r="W637" s="7">
        <f>IF($D637="","",V637*AB637/100)</f>
        <v/>
      </c>
      <c r="X637" s="7">
        <f>IF($D637="","",V637-W637)</f>
        <v/>
      </c>
      <c r="Y637" s="7">
        <f>IF($D637="","",X637-N637)</f>
        <v/>
      </c>
      <c r="AB637">
        <f>IF($D637="","",IF($AN637=1,Settings!$C$8,IF($AM637=1,Settings!$C$6,Settings!$C$7))*100)</f>
        <v/>
      </c>
      <c r="AF637" s="7" t="n"/>
      <c r="AI637" s="11" t="n"/>
      <c r="AK637">
        <f>IF($D637="","",IF(COUNTIF($D$2:$D637,$D637)=1,1,0))</f>
        <v/>
      </c>
      <c r="AL637">
        <f>IF($AK637=1,SUMPRODUCT(--($AO$2:$AO$1601&lt;$AO637))+1,"")</f>
        <v/>
      </c>
      <c r="AM637">
        <f>IF($D637="","",IF(OR($R637=TRUE(),$R637="TRUE"),1,0))</f>
        <v/>
      </c>
      <c r="AN637">
        <f>IF($D637="","",IF($AA637="Yes",1,0))</f>
        <v/>
      </c>
      <c r="AO637">
        <f>IF($AK637=1,IFERROR(IF(VALUE($D637)&lt;100000000,VALUE($D637),1000000000),IFERROR(IF(VALUE(MID($D637,2,20))&lt;100000000,VALUE(MID($D637,2,20)),1000000000),1000000000))+ROW()/100000,"")</f>
        <v/>
      </c>
    </row>
    <row r="638">
      <c r="F638" s="11" t="n"/>
      <c r="N638" s="7">
        <f>IF($D638="","",M638*X638/100)</f>
        <v/>
      </c>
      <c r="O638" s="7" t="n"/>
      <c r="U638" s="7" t="n"/>
      <c r="V638" s="7" t="n"/>
      <c r="W638" s="7">
        <f>IF($D638="","",V638*AB638/100)</f>
        <v/>
      </c>
      <c r="X638" s="7">
        <f>IF($D638="","",V638-W638)</f>
        <v/>
      </c>
      <c r="Y638" s="7">
        <f>IF($D638="","",X638-N638)</f>
        <v/>
      </c>
      <c r="AB638">
        <f>IF($D638="","",IF($AN638=1,Settings!$C$8,IF($AM638=1,Settings!$C$6,Settings!$C$7))*100)</f>
        <v/>
      </c>
      <c r="AF638" s="7" t="n"/>
      <c r="AI638" s="11" t="n"/>
      <c r="AK638">
        <f>IF($D638="","",IF(COUNTIF($D$2:$D638,$D638)=1,1,0))</f>
        <v/>
      </c>
      <c r="AL638">
        <f>IF($AK638=1,SUMPRODUCT(--($AO$2:$AO$1601&lt;$AO638))+1,"")</f>
        <v/>
      </c>
      <c r="AM638">
        <f>IF($D638="","",IF(OR($R638=TRUE(),$R638="TRUE"),1,0))</f>
        <v/>
      </c>
      <c r="AN638">
        <f>IF($D638="","",IF($AA638="Yes",1,0))</f>
        <v/>
      </c>
      <c r="AO638">
        <f>IF($AK638=1,IFERROR(IF(VALUE($D638)&lt;100000000,VALUE($D638),1000000000),IFERROR(IF(VALUE(MID($D638,2,20))&lt;100000000,VALUE(MID($D638,2,20)),1000000000),1000000000))+ROW()/100000,"")</f>
        <v/>
      </c>
    </row>
    <row r="639">
      <c r="F639" s="11" t="n"/>
      <c r="N639" s="7">
        <f>IF($D639="","",M639*X639/100)</f>
        <v/>
      </c>
      <c r="O639" s="7" t="n"/>
      <c r="U639" s="7" t="n"/>
      <c r="V639" s="7" t="n"/>
      <c r="W639" s="7">
        <f>IF($D639="","",V639*AB639/100)</f>
        <v/>
      </c>
      <c r="X639" s="7">
        <f>IF($D639="","",V639-W639)</f>
        <v/>
      </c>
      <c r="Y639" s="7">
        <f>IF($D639="","",X639-N639)</f>
        <v/>
      </c>
      <c r="AB639">
        <f>IF($D639="","",IF($AN639=1,Settings!$C$8,IF($AM639=1,Settings!$C$6,Settings!$C$7))*100)</f>
        <v/>
      </c>
      <c r="AF639" s="7" t="n"/>
      <c r="AI639" s="11" t="n"/>
      <c r="AK639">
        <f>IF($D639="","",IF(COUNTIF($D$2:$D639,$D639)=1,1,0))</f>
        <v/>
      </c>
      <c r="AL639">
        <f>IF($AK639=1,SUMPRODUCT(--($AO$2:$AO$1601&lt;$AO639))+1,"")</f>
        <v/>
      </c>
      <c r="AM639">
        <f>IF($D639="","",IF(OR($R639=TRUE(),$R639="TRUE"),1,0))</f>
        <v/>
      </c>
      <c r="AN639">
        <f>IF($D639="","",IF($AA639="Yes",1,0))</f>
        <v/>
      </c>
      <c r="AO639">
        <f>IF($AK639=1,IFERROR(IF(VALUE($D639)&lt;100000000,VALUE($D639),1000000000),IFERROR(IF(VALUE(MID($D639,2,20))&lt;100000000,VALUE(MID($D639,2,20)),1000000000),1000000000))+ROW()/100000,"")</f>
        <v/>
      </c>
    </row>
    <row r="640">
      <c r="F640" s="11" t="n"/>
      <c r="N640" s="7">
        <f>IF($D640="","",M640*X640/100)</f>
        <v/>
      </c>
      <c r="O640" s="7" t="n"/>
      <c r="U640" s="7" t="n"/>
      <c r="V640" s="7" t="n"/>
      <c r="W640" s="7">
        <f>IF($D640="","",V640*AB640/100)</f>
        <v/>
      </c>
      <c r="X640" s="7">
        <f>IF($D640="","",V640-W640)</f>
        <v/>
      </c>
      <c r="Y640" s="7">
        <f>IF($D640="","",X640-N640)</f>
        <v/>
      </c>
      <c r="AB640">
        <f>IF($D640="","",IF($AN640=1,Settings!$C$8,IF($AM640=1,Settings!$C$6,Settings!$C$7))*100)</f>
        <v/>
      </c>
      <c r="AF640" s="7" t="n"/>
      <c r="AI640" s="11" t="n"/>
      <c r="AK640">
        <f>IF($D640="","",IF(COUNTIF($D$2:$D640,$D640)=1,1,0))</f>
        <v/>
      </c>
      <c r="AL640">
        <f>IF($AK640=1,SUMPRODUCT(--($AO$2:$AO$1601&lt;$AO640))+1,"")</f>
        <v/>
      </c>
      <c r="AM640">
        <f>IF($D640="","",IF(OR($R640=TRUE(),$R640="TRUE"),1,0))</f>
        <v/>
      </c>
      <c r="AN640">
        <f>IF($D640="","",IF($AA640="Yes",1,0))</f>
        <v/>
      </c>
      <c r="AO640">
        <f>IF($AK640=1,IFERROR(IF(VALUE($D640)&lt;100000000,VALUE($D640),1000000000),IFERROR(IF(VALUE(MID($D640,2,20))&lt;100000000,VALUE(MID($D640,2,20)),1000000000),1000000000))+ROW()/100000,"")</f>
        <v/>
      </c>
    </row>
    <row r="641">
      <c r="F641" s="11" t="n"/>
      <c r="N641" s="7">
        <f>IF($D641="","",M641*X641/100)</f>
        <v/>
      </c>
      <c r="O641" s="7" t="n"/>
      <c r="U641" s="7" t="n"/>
      <c r="V641" s="7" t="n"/>
      <c r="W641" s="7">
        <f>IF($D641="","",V641*AB641/100)</f>
        <v/>
      </c>
      <c r="X641" s="7">
        <f>IF($D641="","",V641-W641)</f>
        <v/>
      </c>
      <c r="Y641" s="7">
        <f>IF($D641="","",X641-N641)</f>
        <v/>
      </c>
      <c r="AB641">
        <f>IF($D641="","",IF($AN641=1,Settings!$C$8,IF($AM641=1,Settings!$C$6,Settings!$C$7))*100)</f>
        <v/>
      </c>
      <c r="AF641" s="7" t="n"/>
      <c r="AI641" s="11" t="n"/>
      <c r="AK641">
        <f>IF($D641="","",IF(COUNTIF($D$2:$D641,$D641)=1,1,0))</f>
        <v/>
      </c>
      <c r="AL641">
        <f>IF($AK641=1,SUMPRODUCT(--($AO$2:$AO$1601&lt;$AO641))+1,"")</f>
        <v/>
      </c>
      <c r="AM641">
        <f>IF($D641="","",IF(OR($R641=TRUE(),$R641="TRUE"),1,0))</f>
        <v/>
      </c>
      <c r="AN641">
        <f>IF($D641="","",IF($AA641="Yes",1,0))</f>
        <v/>
      </c>
      <c r="AO641">
        <f>IF($AK641=1,IFERROR(IF(VALUE($D641)&lt;100000000,VALUE($D641),1000000000),IFERROR(IF(VALUE(MID($D641,2,20))&lt;100000000,VALUE(MID($D641,2,20)),1000000000),1000000000))+ROW()/100000,"")</f>
        <v/>
      </c>
    </row>
    <row r="642">
      <c r="F642" s="11" t="n"/>
      <c r="N642" s="7">
        <f>IF($D642="","",M642*X642/100)</f>
        <v/>
      </c>
      <c r="O642" s="7" t="n"/>
      <c r="U642" s="7" t="n"/>
      <c r="V642" s="7" t="n"/>
      <c r="W642" s="7">
        <f>IF($D642="","",V642*AB642/100)</f>
        <v/>
      </c>
      <c r="X642" s="7">
        <f>IF($D642="","",V642-W642)</f>
        <v/>
      </c>
      <c r="Y642" s="7">
        <f>IF($D642="","",X642-N642)</f>
        <v/>
      </c>
      <c r="AB642">
        <f>IF($D642="","",IF($AN642=1,Settings!$C$8,IF($AM642=1,Settings!$C$6,Settings!$C$7))*100)</f>
        <v/>
      </c>
      <c r="AF642" s="7" t="n"/>
      <c r="AI642" s="11" t="n"/>
      <c r="AK642">
        <f>IF($D642="","",IF(COUNTIF($D$2:$D642,$D642)=1,1,0))</f>
        <v/>
      </c>
      <c r="AL642">
        <f>IF($AK642=1,SUMPRODUCT(--($AO$2:$AO$1601&lt;$AO642))+1,"")</f>
        <v/>
      </c>
      <c r="AM642">
        <f>IF($D642="","",IF(OR($R642=TRUE(),$R642="TRUE"),1,0))</f>
        <v/>
      </c>
      <c r="AN642">
        <f>IF($D642="","",IF($AA642="Yes",1,0))</f>
        <v/>
      </c>
      <c r="AO642">
        <f>IF($AK642=1,IFERROR(IF(VALUE($D642)&lt;100000000,VALUE($D642),1000000000),IFERROR(IF(VALUE(MID($D642,2,20))&lt;100000000,VALUE(MID($D642,2,20)),1000000000),1000000000))+ROW()/100000,"")</f>
        <v/>
      </c>
    </row>
    <row r="643">
      <c r="F643" s="11" t="n"/>
      <c r="N643" s="7">
        <f>IF($D643="","",M643*X643/100)</f>
        <v/>
      </c>
      <c r="O643" s="7" t="n"/>
      <c r="U643" s="7" t="n"/>
      <c r="V643" s="7" t="n"/>
      <c r="W643" s="7">
        <f>IF($D643="","",V643*AB643/100)</f>
        <v/>
      </c>
      <c r="X643" s="7">
        <f>IF($D643="","",V643-W643)</f>
        <v/>
      </c>
      <c r="Y643" s="7">
        <f>IF($D643="","",X643-N643)</f>
        <v/>
      </c>
      <c r="AB643">
        <f>IF($D643="","",IF($AN643=1,Settings!$C$8,IF($AM643=1,Settings!$C$6,Settings!$C$7))*100)</f>
        <v/>
      </c>
      <c r="AF643" s="7" t="n"/>
      <c r="AI643" s="11" t="n"/>
      <c r="AK643">
        <f>IF($D643="","",IF(COUNTIF($D$2:$D643,$D643)=1,1,0))</f>
        <v/>
      </c>
      <c r="AL643">
        <f>IF($AK643=1,SUMPRODUCT(--($AO$2:$AO$1601&lt;$AO643))+1,"")</f>
        <v/>
      </c>
      <c r="AM643">
        <f>IF($D643="","",IF(OR($R643=TRUE(),$R643="TRUE"),1,0))</f>
        <v/>
      </c>
      <c r="AN643">
        <f>IF($D643="","",IF($AA643="Yes",1,0))</f>
        <v/>
      </c>
      <c r="AO643">
        <f>IF($AK643=1,IFERROR(IF(VALUE($D643)&lt;100000000,VALUE($D643),1000000000),IFERROR(IF(VALUE(MID($D643,2,20))&lt;100000000,VALUE(MID($D643,2,20)),1000000000),1000000000))+ROW()/100000,"")</f>
        <v/>
      </c>
    </row>
    <row r="644">
      <c r="F644" s="11" t="n"/>
      <c r="N644" s="7">
        <f>IF($D644="","",M644*X644/100)</f>
        <v/>
      </c>
      <c r="O644" s="7" t="n"/>
      <c r="U644" s="7" t="n"/>
      <c r="V644" s="7" t="n"/>
      <c r="W644" s="7">
        <f>IF($D644="","",V644*AB644/100)</f>
        <v/>
      </c>
      <c r="X644" s="7">
        <f>IF($D644="","",V644-W644)</f>
        <v/>
      </c>
      <c r="Y644" s="7">
        <f>IF($D644="","",X644-N644)</f>
        <v/>
      </c>
      <c r="AB644">
        <f>IF($D644="","",IF($AN644=1,Settings!$C$8,IF($AM644=1,Settings!$C$6,Settings!$C$7))*100)</f>
        <v/>
      </c>
      <c r="AF644" s="7" t="n"/>
      <c r="AI644" s="11" t="n"/>
      <c r="AK644">
        <f>IF($D644="","",IF(COUNTIF($D$2:$D644,$D644)=1,1,0))</f>
        <v/>
      </c>
      <c r="AL644">
        <f>IF($AK644=1,SUMPRODUCT(--($AO$2:$AO$1601&lt;$AO644))+1,"")</f>
        <v/>
      </c>
      <c r="AM644">
        <f>IF($D644="","",IF(OR($R644=TRUE(),$R644="TRUE"),1,0))</f>
        <v/>
      </c>
      <c r="AN644">
        <f>IF($D644="","",IF($AA644="Yes",1,0))</f>
        <v/>
      </c>
      <c r="AO644">
        <f>IF($AK644=1,IFERROR(IF(VALUE($D644)&lt;100000000,VALUE($D644),1000000000),IFERROR(IF(VALUE(MID($D644,2,20))&lt;100000000,VALUE(MID($D644,2,20)),1000000000),1000000000))+ROW()/100000,"")</f>
        <v/>
      </c>
    </row>
    <row r="645">
      <c r="F645" s="11" t="n"/>
      <c r="N645" s="7">
        <f>IF($D645="","",M645*X645/100)</f>
        <v/>
      </c>
      <c r="O645" s="7" t="n"/>
      <c r="U645" s="7" t="n"/>
      <c r="V645" s="7" t="n"/>
      <c r="W645" s="7">
        <f>IF($D645="","",V645*AB645/100)</f>
        <v/>
      </c>
      <c r="X645" s="7">
        <f>IF($D645="","",V645-W645)</f>
        <v/>
      </c>
      <c r="Y645" s="7">
        <f>IF($D645="","",X645-N645)</f>
        <v/>
      </c>
      <c r="AB645">
        <f>IF($D645="","",IF($AN645=1,Settings!$C$8,IF($AM645=1,Settings!$C$6,Settings!$C$7))*100)</f>
        <v/>
      </c>
      <c r="AF645" s="7" t="n"/>
      <c r="AI645" s="11" t="n"/>
      <c r="AK645">
        <f>IF($D645="","",IF(COUNTIF($D$2:$D645,$D645)=1,1,0))</f>
        <v/>
      </c>
      <c r="AL645">
        <f>IF($AK645=1,SUMPRODUCT(--($AO$2:$AO$1601&lt;$AO645))+1,"")</f>
        <v/>
      </c>
      <c r="AM645">
        <f>IF($D645="","",IF(OR($R645=TRUE(),$R645="TRUE"),1,0))</f>
        <v/>
      </c>
      <c r="AN645">
        <f>IF($D645="","",IF($AA645="Yes",1,0))</f>
        <v/>
      </c>
      <c r="AO645">
        <f>IF($AK645=1,IFERROR(IF(VALUE($D645)&lt;100000000,VALUE($D645),1000000000),IFERROR(IF(VALUE(MID($D645,2,20))&lt;100000000,VALUE(MID($D645,2,20)),1000000000),1000000000))+ROW()/100000,"")</f>
        <v/>
      </c>
    </row>
    <row r="646">
      <c r="F646" s="11" t="n"/>
      <c r="N646" s="7">
        <f>IF($D646="","",M646*X646/100)</f>
        <v/>
      </c>
      <c r="O646" s="7" t="n"/>
      <c r="U646" s="7" t="n"/>
      <c r="V646" s="7" t="n"/>
      <c r="W646" s="7">
        <f>IF($D646="","",V646*AB646/100)</f>
        <v/>
      </c>
      <c r="X646" s="7">
        <f>IF($D646="","",V646-W646)</f>
        <v/>
      </c>
      <c r="Y646" s="7">
        <f>IF($D646="","",X646-N646)</f>
        <v/>
      </c>
      <c r="AB646">
        <f>IF($D646="","",IF($AN646=1,Settings!$C$8,IF($AM646=1,Settings!$C$6,Settings!$C$7))*100)</f>
        <v/>
      </c>
      <c r="AF646" s="7" t="n"/>
      <c r="AI646" s="11" t="n"/>
      <c r="AK646">
        <f>IF($D646="","",IF(COUNTIF($D$2:$D646,$D646)=1,1,0))</f>
        <v/>
      </c>
      <c r="AL646">
        <f>IF($AK646=1,SUMPRODUCT(--($AO$2:$AO$1601&lt;$AO646))+1,"")</f>
        <v/>
      </c>
      <c r="AM646">
        <f>IF($D646="","",IF(OR($R646=TRUE(),$R646="TRUE"),1,0))</f>
        <v/>
      </c>
      <c r="AN646">
        <f>IF($D646="","",IF($AA646="Yes",1,0))</f>
        <v/>
      </c>
      <c r="AO646">
        <f>IF($AK646=1,IFERROR(IF(VALUE($D646)&lt;100000000,VALUE($D646),1000000000),IFERROR(IF(VALUE(MID($D646,2,20))&lt;100000000,VALUE(MID($D646,2,20)),1000000000),1000000000))+ROW()/100000,"")</f>
        <v/>
      </c>
    </row>
    <row r="647">
      <c r="F647" s="11" t="n"/>
      <c r="N647" s="7">
        <f>IF($D647="","",M647*X647/100)</f>
        <v/>
      </c>
      <c r="O647" s="7" t="n"/>
      <c r="U647" s="7" t="n"/>
      <c r="V647" s="7" t="n"/>
      <c r="W647" s="7">
        <f>IF($D647="","",V647*AB647/100)</f>
        <v/>
      </c>
      <c r="X647" s="7">
        <f>IF($D647="","",V647-W647)</f>
        <v/>
      </c>
      <c r="Y647" s="7">
        <f>IF($D647="","",X647-N647)</f>
        <v/>
      </c>
      <c r="AB647">
        <f>IF($D647="","",IF($AN647=1,Settings!$C$8,IF($AM647=1,Settings!$C$6,Settings!$C$7))*100)</f>
        <v/>
      </c>
      <c r="AF647" s="7" t="n"/>
      <c r="AI647" s="11" t="n"/>
      <c r="AK647">
        <f>IF($D647="","",IF(COUNTIF($D$2:$D647,$D647)=1,1,0))</f>
        <v/>
      </c>
      <c r="AL647">
        <f>IF($AK647=1,SUMPRODUCT(--($AO$2:$AO$1601&lt;$AO647))+1,"")</f>
        <v/>
      </c>
      <c r="AM647">
        <f>IF($D647="","",IF(OR($R647=TRUE(),$R647="TRUE"),1,0))</f>
        <v/>
      </c>
      <c r="AN647">
        <f>IF($D647="","",IF($AA647="Yes",1,0))</f>
        <v/>
      </c>
      <c r="AO647">
        <f>IF($AK647=1,IFERROR(IF(VALUE($D647)&lt;100000000,VALUE($D647),1000000000),IFERROR(IF(VALUE(MID($D647,2,20))&lt;100000000,VALUE(MID($D647,2,20)),1000000000),1000000000))+ROW()/100000,"")</f>
        <v/>
      </c>
    </row>
    <row r="648">
      <c r="F648" s="11" t="n"/>
      <c r="N648" s="7">
        <f>IF($D648="","",M648*X648/100)</f>
        <v/>
      </c>
      <c r="O648" s="7" t="n"/>
      <c r="U648" s="7" t="n"/>
      <c r="V648" s="7" t="n"/>
      <c r="W648" s="7">
        <f>IF($D648="","",V648*AB648/100)</f>
        <v/>
      </c>
      <c r="X648" s="7">
        <f>IF($D648="","",V648-W648)</f>
        <v/>
      </c>
      <c r="Y648" s="7">
        <f>IF($D648="","",X648-N648)</f>
        <v/>
      </c>
      <c r="AB648">
        <f>IF($D648="","",IF($AN648=1,Settings!$C$8,IF($AM648=1,Settings!$C$6,Settings!$C$7))*100)</f>
        <v/>
      </c>
      <c r="AF648" s="7" t="n"/>
      <c r="AI648" s="11" t="n"/>
      <c r="AK648">
        <f>IF($D648="","",IF(COUNTIF($D$2:$D648,$D648)=1,1,0))</f>
        <v/>
      </c>
      <c r="AL648">
        <f>IF($AK648=1,SUMPRODUCT(--($AO$2:$AO$1601&lt;$AO648))+1,"")</f>
        <v/>
      </c>
      <c r="AM648">
        <f>IF($D648="","",IF(OR($R648=TRUE(),$R648="TRUE"),1,0))</f>
        <v/>
      </c>
      <c r="AN648">
        <f>IF($D648="","",IF($AA648="Yes",1,0))</f>
        <v/>
      </c>
      <c r="AO648">
        <f>IF($AK648=1,IFERROR(IF(VALUE($D648)&lt;100000000,VALUE($D648),1000000000),IFERROR(IF(VALUE(MID($D648,2,20))&lt;100000000,VALUE(MID($D648,2,20)),1000000000),1000000000))+ROW()/100000,"")</f>
        <v/>
      </c>
    </row>
    <row r="649">
      <c r="F649" s="11" t="n"/>
      <c r="N649" s="7">
        <f>IF($D649="","",M649*X649/100)</f>
        <v/>
      </c>
      <c r="O649" s="7" t="n"/>
      <c r="U649" s="7" t="n"/>
      <c r="V649" s="7" t="n"/>
      <c r="W649" s="7">
        <f>IF($D649="","",V649*AB649/100)</f>
        <v/>
      </c>
      <c r="X649" s="7">
        <f>IF($D649="","",V649-W649)</f>
        <v/>
      </c>
      <c r="Y649" s="7">
        <f>IF($D649="","",X649-N649)</f>
        <v/>
      </c>
      <c r="AB649">
        <f>IF($D649="","",IF($AN649=1,Settings!$C$8,IF($AM649=1,Settings!$C$6,Settings!$C$7))*100)</f>
        <v/>
      </c>
      <c r="AF649" s="7" t="n"/>
      <c r="AI649" s="11" t="n"/>
      <c r="AK649">
        <f>IF($D649="","",IF(COUNTIF($D$2:$D649,$D649)=1,1,0))</f>
        <v/>
      </c>
      <c r="AL649">
        <f>IF($AK649=1,SUMPRODUCT(--($AO$2:$AO$1601&lt;$AO649))+1,"")</f>
        <v/>
      </c>
      <c r="AM649">
        <f>IF($D649="","",IF(OR($R649=TRUE(),$R649="TRUE"),1,0))</f>
        <v/>
      </c>
      <c r="AN649">
        <f>IF($D649="","",IF($AA649="Yes",1,0))</f>
        <v/>
      </c>
      <c r="AO649">
        <f>IF($AK649=1,IFERROR(IF(VALUE($D649)&lt;100000000,VALUE($D649),1000000000),IFERROR(IF(VALUE(MID($D649,2,20))&lt;100000000,VALUE(MID($D649,2,20)),1000000000),1000000000))+ROW()/100000,"")</f>
        <v/>
      </c>
    </row>
    <row r="650">
      <c r="F650" s="11" t="n"/>
      <c r="N650" s="7">
        <f>IF($D650="","",M650*X650/100)</f>
        <v/>
      </c>
      <c r="O650" s="7" t="n"/>
      <c r="U650" s="7" t="n"/>
      <c r="V650" s="7" t="n"/>
      <c r="W650" s="7">
        <f>IF($D650="","",V650*AB650/100)</f>
        <v/>
      </c>
      <c r="X650" s="7">
        <f>IF($D650="","",V650-W650)</f>
        <v/>
      </c>
      <c r="Y650" s="7">
        <f>IF($D650="","",X650-N650)</f>
        <v/>
      </c>
      <c r="AB650">
        <f>IF($D650="","",IF($AN650=1,Settings!$C$8,IF($AM650=1,Settings!$C$6,Settings!$C$7))*100)</f>
        <v/>
      </c>
      <c r="AF650" s="7" t="n"/>
      <c r="AI650" s="11" t="n"/>
      <c r="AK650">
        <f>IF($D650="","",IF(COUNTIF($D$2:$D650,$D650)=1,1,0))</f>
        <v/>
      </c>
      <c r="AL650">
        <f>IF($AK650=1,SUMPRODUCT(--($AO$2:$AO$1601&lt;$AO650))+1,"")</f>
        <v/>
      </c>
      <c r="AM650">
        <f>IF($D650="","",IF(OR($R650=TRUE(),$R650="TRUE"),1,0))</f>
        <v/>
      </c>
      <c r="AN650">
        <f>IF($D650="","",IF($AA650="Yes",1,0))</f>
        <v/>
      </c>
      <c r="AO650">
        <f>IF($AK650=1,IFERROR(IF(VALUE($D650)&lt;100000000,VALUE($D650),1000000000),IFERROR(IF(VALUE(MID($D650,2,20))&lt;100000000,VALUE(MID($D650,2,20)),1000000000),1000000000))+ROW()/100000,"")</f>
        <v/>
      </c>
    </row>
    <row r="651">
      <c r="F651" s="11" t="n"/>
      <c r="N651" s="7">
        <f>IF($D651="","",M651*X651/100)</f>
        <v/>
      </c>
      <c r="O651" s="7" t="n"/>
      <c r="U651" s="7" t="n"/>
      <c r="V651" s="7" t="n"/>
      <c r="W651" s="7">
        <f>IF($D651="","",V651*AB651/100)</f>
        <v/>
      </c>
      <c r="X651" s="7">
        <f>IF($D651="","",V651-W651)</f>
        <v/>
      </c>
      <c r="Y651" s="7">
        <f>IF($D651="","",X651-N651)</f>
        <v/>
      </c>
      <c r="AB651">
        <f>IF($D651="","",IF($AN651=1,Settings!$C$8,IF($AM651=1,Settings!$C$6,Settings!$C$7))*100)</f>
        <v/>
      </c>
      <c r="AF651" s="7" t="n"/>
      <c r="AI651" s="11" t="n"/>
      <c r="AK651">
        <f>IF($D651="","",IF(COUNTIF($D$2:$D651,$D651)=1,1,0))</f>
        <v/>
      </c>
      <c r="AL651">
        <f>IF($AK651=1,SUMPRODUCT(--($AO$2:$AO$1601&lt;$AO651))+1,"")</f>
        <v/>
      </c>
      <c r="AM651">
        <f>IF($D651="","",IF(OR($R651=TRUE(),$R651="TRUE"),1,0))</f>
        <v/>
      </c>
      <c r="AN651">
        <f>IF($D651="","",IF($AA651="Yes",1,0))</f>
        <v/>
      </c>
      <c r="AO651">
        <f>IF($AK651=1,IFERROR(IF(VALUE($D651)&lt;100000000,VALUE($D651),1000000000),IFERROR(IF(VALUE(MID($D651,2,20))&lt;100000000,VALUE(MID($D651,2,20)),1000000000),1000000000))+ROW()/100000,"")</f>
        <v/>
      </c>
    </row>
    <row r="652">
      <c r="F652" s="11" t="n"/>
      <c r="N652" s="7">
        <f>IF($D652="","",M652*X652/100)</f>
        <v/>
      </c>
      <c r="O652" s="7" t="n"/>
      <c r="U652" s="7" t="n"/>
      <c r="V652" s="7" t="n"/>
      <c r="W652" s="7">
        <f>IF($D652="","",V652*AB652/100)</f>
        <v/>
      </c>
      <c r="X652" s="7">
        <f>IF($D652="","",V652-W652)</f>
        <v/>
      </c>
      <c r="Y652" s="7">
        <f>IF($D652="","",X652-N652)</f>
        <v/>
      </c>
      <c r="AB652">
        <f>IF($D652="","",IF($AN652=1,Settings!$C$8,IF($AM652=1,Settings!$C$6,Settings!$C$7))*100)</f>
        <v/>
      </c>
      <c r="AF652" s="7" t="n"/>
      <c r="AI652" s="11" t="n"/>
      <c r="AK652">
        <f>IF($D652="","",IF(COUNTIF($D$2:$D652,$D652)=1,1,0))</f>
        <v/>
      </c>
      <c r="AL652">
        <f>IF($AK652=1,SUMPRODUCT(--($AO$2:$AO$1601&lt;$AO652))+1,"")</f>
        <v/>
      </c>
      <c r="AM652">
        <f>IF($D652="","",IF(OR($R652=TRUE(),$R652="TRUE"),1,0))</f>
        <v/>
      </c>
      <c r="AN652">
        <f>IF($D652="","",IF($AA652="Yes",1,0))</f>
        <v/>
      </c>
      <c r="AO652">
        <f>IF($AK652=1,IFERROR(IF(VALUE($D652)&lt;100000000,VALUE($D652),1000000000),IFERROR(IF(VALUE(MID($D652,2,20))&lt;100000000,VALUE(MID($D652,2,20)),1000000000),1000000000))+ROW()/100000,"")</f>
        <v/>
      </c>
    </row>
    <row r="653">
      <c r="F653" s="11" t="n"/>
      <c r="N653" s="7">
        <f>IF($D653="","",M653*X653/100)</f>
        <v/>
      </c>
      <c r="O653" s="7" t="n"/>
      <c r="U653" s="7" t="n"/>
      <c r="V653" s="7" t="n"/>
      <c r="W653" s="7">
        <f>IF($D653="","",V653*AB653/100)</f>
        <v/>
      </c>
      <c r="X653" s="7">
        <f>IF($D653="","",V653-W653)</f>
        <v/>
      </c>
      <c r="Y653" s="7">
        <f>IF($D653="","",X653-N653)</f>
        <v/>
      </c>
      <c r="AB653">
        <f>IF($D653="","",IF($AN653=1,Settings!$C$8,IF($AM653=1,Settings!$C$6,Settings!$C$7))*100)</f>
        <v/>
      </c>
      <c r="AF653" s="7" t="n"/>
      <c r="AI653" s="11" t="n"/>
      <c r="AK653">
        <f>IF($D653="","",IF(COUNTIF($D$2:$D653,$D653)=1,1,0))</f>
        <v/>
      </c>
      <c r="AL653">
        <f>IF($AK653=1,SUMPRODUCT(--($AO$2:$AO$1601&lt;$AO653))+1,"")</f>
        <v/>
      </c>
      <c r="AM653">
        <f>IF($D653="","",IF(OR($R653=TRUE(),$R653="TRUE"),1,0))</f>
        <v/>
      </c>
      <c r="AN653">
        <f>IF($D653="","",IF($AA653="Yes",1,0))</f>
        <v/>
      </c>
      <c r="AO653">
        <f>IF($AK653=1,IFERROR(IF(VALUE($D653)&lt;100000000,VALUE($D653),1000000000),IFERROR(IF(VALUE(MID($D653,2,20))&lt;100000000,VALUE(MID($D653,2,20)),1000000000),1000000000))+ROW()/100000,"")</f>
        <v/>
      </c>
    </row>
    <row r="654">
      <c r="F654" s="11" t="n"/>
      <c r="N654" s="7">
        <f>IF($D654="","",M654*X654/100)</f>
        <v/>
      </c>
      <c r="O654" s="7" t="n"/>
      <c r="U654" s="7" t="n"/>
      <c r="V654" s="7" t="n"/>
      <c r="W654" s="7">
        <f>IF($D654="","",V654*AB654/100)</f>
        <v/>
      </c>
      <c r="X654" s="7">
        <f>IF($D654="","",V654-W654)</f>
        <v/>
      </c>
      <c r="Y654" s="7">
        <f>IF($D654="","",X654-N654)</f>
        <v/>
      </c>
      <c r="AB654">
        <f>IF($D654="","",IF($AN654=1,Settings!$C$8,IF($AM654=1,Settings!$C$6,Settings!$C$7))*100)</f>
        <v/>
      </c>
      <c r="AF654" s="7" t="n"/>
      <c r="AI654" s="11" t="n"/>
      <c r="AK654">
        <f>IF($D654="","",IF(COUNTIF($D$2:$D654,$D654)=1,1,0))</f>
        <v/>
      </c>
      <c r="AL654">
        <f>IF($AK654=1,SUMPRODUCT(--($AO$2:$AO$1601&lt;$AO654))+1,"")</f>
        <v/>
      </c>
      <c r="AM654">
        <f>IF($D654="","",IF(OR($R654=TRUE(),$R654="TRUE"),1,0))</f>
        <v/>
      </c>
      <c r="AN654">
        <f>IF($D654="","",IF($AA654="Yes",1,0))</f>
        <v/>
      </c>
      <c r="AO654">
        <f>IF($AK654=1,IFERROR(IF(VALUE($D654)&lt;100000000,VALUE($D654),1000000000),IFERROR(IF(VALUE(MID($D654,2,20))&lt;100000000,VALUE(MID($D654,2,20)),1000000000),1000000000))+ROW()/100000,"")</f>
        <v/>
      </c>
    </row>
    <row r="655">
      <c r="F655" s="11" t="n"/>
      <c r="N655" s="7">
        <f>IF($D655="","",M655*X655/100)</f>
        <v/>
      </c>
      <c r="O655" s="7" t="n"/>
      <c r="U655" s="7" t="n"/>
      <c r="V655" s="7" t="n"/>
      <c r="W655" s="7">
        <f>IF($D655="","",V655*AB655/100)</f>
        <v/>
      </c>
      <c r="X655" s="7">
        <f>IF($D655="","",V655-W655)</f>
        <v/>
      </c>
      <c r="Y655" s="7">
        <f>IF($D655="","",X655-N655)</f>
        <v/>
      </c>
      <c r="AB655">
        <f>IF($D655="","",IF($AN655=1,Settings!$C$8,IF($AM655=1,Settings!$C$6,Settings!$C$7))*100)</f>
        <v/>
      </c>
      <c r="AF655" s="7" t="n"/>
      <c r="AI655" s="11" t="n"/>
      <c r="AK655">
        <f>IF($D655="","",IF(COUNTIF($D$2:$D655,$D655)=1,1,0))</f>
        <v/>
      </c>
      <c r="AL655">
        <f>IF($AK655=1,SUMPRODUCT(--($AO$2:$AO$1601&lt;$AO655))+1,"")</f>
        <v/>
      </c>
      <c r="AM655">
        <f>IF($D655="","",IF(OR($R655=TRUE(),$R655="TRUE"),1,0))</f>
        <v/>
      </c>
      <c r="AN655">
        <f>IF($D655="","",IF($AA655="Yes",1,0))</f>
        <v/>
      </c>
      <c r="AO655">
        <f>IF($AK655=1,IFERROR(IF(VALUE($D655)&lt;100000000,VALUE($D655),1000000000),IFERROR(IF(VALUE(MID($D655,2,20))&lt;100000000,VALUE(MID($D655,2,20)),1000000000),1000000000))+ROW()/100000,"")</f>
        <v/>
      </c>
    </row>
    <row r="656">
      <c r="F656" s="11" t="n"/>
      <c r="N656" s="7">
        <f>IF($D656="","",M656*X656/100)</f>
        <v/>
      </c>
      <c r="O656" s="7" t="n"/>
      <c r="U656" s="7" t="n"/>
      <c r="V656" s="7" t="n"/>
      <c r="W656" s="7">
        <f>IF($D656="","",V656*AB656/100)</f>
        <v/>
      </c>
      <c r="X656" s="7">
        <f>IF($D656="","",V656-W656)</f>
        <v/>
      </c>
      <c r="Y656" s="7">
        <f>IF($D656="","",X656-N656)</f>
        <v/>
      </c>
      <c r="AB656">
        <f>IF($D656="","",IF($AN656=1,Settings!$C$8,IF($AM656=1,Settings!$C$6,Settings!$C$7))*100)</f>
        <v/>
      </c>
      <c r="AF656" s="7" t="n"/>
      <c r="AI656" s="11" t="n"/>
      <c r="AK656">
        <f>IF($D656="","",IF(COUNTIF($D$2:$D656,$D656)=1,1,0))</f>
        <v/>
      </c>
      <c r="AL656">
        <f>IF($AK656=1,SUMPRODUCT(--($AO$2:$AO$1601&lt;$AO656))+1,"")</f>
        <v/>
      </c>
      <c r="AM656">
        <f>IF($D656="","",IF(OR($R656=TRUE(),$R656="TRUE"),1,0))</f>
        <v/>
      </c>
      <c r="AN656">
        <f>IF($D656="","",IF($AA656="Yes",1,0))</f>
        <v/>
      </c>
      <c r="AO656">
        <f>IF($AK656=1,IFERROR(IF(VALUE($D656)&lt;100000000,VALUE($D656),1000000000),IFERROR(IF(VALUE(MID($D656,2,20))&lt;100000000,VALUE(MID($D656,2,20)),1000000000),1000000000))+ROW()/100000,"")</f>
        <v/>
      </c>
    </row>
    <row r="657">
      <c r="F657" s="11" t="n"/>
      <c r="N657" s="7">
        <f>IF($D657="","",M657*X657/100)</f>
        <v/>
      </c>
      <c r="O657" s="7" t="n"/>
      <c r="U657" s="7" t="n"/>
      <c r="V657" s="7" t="n"/>
      <c r="W657" s="7">
        <f>IF($D657="","",V657*AB657/100)</f>
        <v/>
      </c>
      <c r="X657" s="7">
        <f>IF($D657="","",V657-W657)</f>
        <v/>
      </c>
      <c r="Y657" s="7">
        <f>IF($D657="","",X657-N657)</f>
        <v/>
      </c>
      <c r="AB657">
        <f>IF($D657="","",IF($AN657=1,Settings!$C$8,IF($AM657=1,Settings!$C$6,Settings!$C$7))*100)</f>
        <v/>
      </c>
      <c r="AF657" s="7" t="n"/>
      <c r="AI657" s="11" t="n"/>
      <c r="AK657">
        <f>IF($D657="","",IF(COUNTIF($D$2:$D657,$D657)=1,1,0))</f>
        <v/>
      </c>
      <c r="AL657">
        <f>IF($AK657=1,SUMPRODUCT(--($AO$2:$AO$1601&lt;$AO657))+1,"")</f>
        <v/>
      </c>
      <c r="AM657">
        <f>IF($D657="","",IF(OR($R657=TRUE(),$R657="TRUE"),1,0))</f>
        <v/>
      </c>
      <c r="AN657">
        <f>IF($D657="","",IF($AA657="Yes",1,0))</f>
        <v/>
      </c>
      <c r="AO657">
        <f>IF($AK657=1,IFERROR(IF(VALUE($D657)&lt;100000000,VALUE($D657),1000000000),IFERROR(IF(VALUE(MID($D657,2,20))&lt;100000000,VALUE(MID($D657,2,20)),1000000000),1000000000))+ROW()/100000,"")</f>
        <v/>
      </c>
    </row>
    <row r="658">
      <c r="F658" s="11" t="n"/>
      <c r="N658" s="7">
        <f>IF($D658="","",M658*X658/100)</f>
        <v/>
      </c>
      <c r="O658" s="7" t="n"/>
      <c r="U658" s="7" t="n"/>
      <c r="V658" s="7" t="n"/>
      <c r="W658" s="7">
        <f>IF($D658="","",V658*AB658/100)</f>
        <v/>
      </c>
      <c r="X658" s="7">
        <f>IF($D658="","",V658-W658)</f>
        <v/>
      </c>
      <c r="Y658" s="7">
        <f>IF($D658="","",X658-N658)</f>
        <v/>
      </c>
      <c r="AB658">
        <f>IF($D658="","",IF($AN658=1,Settings!$C$8,IF($AM658=1,Settings!$C$6,Settings!$C$7))*100)</f>
        <v/>
      </c>
      <c r="AF658" s="7" t="n"/>
      <c r="AI658" s="11" t="n"/>
      <c r="AK658">
        <f>IF($D658="","",IF(COUNTIF($D$2:$D658,$D658)=1,1,0))</f>
        <v/>
      </c>
      <c r="AL658">
        <f>IF($AK658=1,SUMPRODUCT(--($AO$2:$AO$1601&lt;$AO658))+1,"")</f>
        <v/>
      </c>
      <c r="AM658">
        <f>IF($D658="","",IF(OR($R658=TRUE(),$R658="TRUE"),1,0))</f>
        <v/>
      </c>
      <c r="AN658">
        <f>IF($D658="","",IF($AA658="Yes",1,0))</f>
        <v/>
      </c>
      <c r="AO658">
        <f>IF($AK658=1,IFERROR(IF(VALUE($D658)&lt;100000000,VALUE($D658),1000000000),IFERROR(IF(VALUE(MID($D658,2,20))&lt;100000000,VALUE(MID($D658,2,20)),1000000000),1000000000))+ROW()/100000,"")</f>
        <v/>
      </c>
    </row>
    <row r="659">
      <c r="F659" s="11" t="n"/>
      <c r="N659" s="7">
        <f>IF($D659="","",M659*X659/100)</f>
        <v/>
      </c>
      <c r="O659" s="7" t="n"/>
      <c r="U659" s="7" t="n"/>
      <c r="V659" s="7" t="n"/>
      <c r="W659" s="7">
        <f>IF($D659="","",V659*AB659/100)</f>
        <v/>
      </c>
      <c r="X659" s="7">
        <f>IF($D659="","",V659-W659)</f>
        <v/>
      </c>
      <c r="Y659" s="7">
        <f>IF($D659="","",X659-N659)</f>
        <v/>
      </c>
      <c r="AB659">
        <f>IF($D659="","",IF($AN659=1,Settings!$C$8,IF($AM659=1,Settings!$C$6,Settings!$C$7))*100)</f>
        <v/>
      </c>
      <c r="AF659" s="7" t="n"/>
      <c r="AI659" s="11" t="n"/>
      <c r="AK659">
        <f>IF($D659="","",IF(COUNTIF($D$2:$D659,$D659)=1,1,0))</f>
        <v/>
      </c>
      <c r="AL659">
        <f>IF($AK659=1,SUMPRODUCT(--($AO$2:$AO$1601&lt;$AO659))+1,"")</f>
        <v/>
      </c>
      <c r="AM659">
        <f>IF($D659="","",IF(OR($R659=TRUE(),$R659="TRUE"),1,0))</f>
        <v/>
      </c>
      <c r="AN659">
        <f>IF($D659="","",IF($AA659="Yes",1,0))</f>
        <v/>
      </c>
      <c r="AO659">
        <f>IF($AK659=1,IFERROR(IF(VALUE($D659)&lt;100000000,VALUE($D659),1000000000),IFERROR(IF(VALUE(MID($D659,2,20))&lt;100000000,VALUE(MID($D659,2,20)),1000000000),1000000000))+ROW()/100000,"")</f>
        <v/>
      </c>
    </row>
    <row r="660">
      <c r="F660" s="11" t="n"/>
      <c r="N660" s="7">
        <f>IF($D660="","",M660*X660/100)</f>
        <v/>
      </c>
      <c r="O660" s="7" t="n"/>
      <c r="U660" s="7" t="n"/>
      <c r="V660" s="7" t="n"/>
      <c r="W660" s="7">
        <f>IF($D660="","",V660*AB660/100)</f>
        <v/>
      </c>
      <c r="X660" s="7">
        <f>IF($D660="","",V660-W660)</f>
        <v/>
      </c>
      <c r="Y660" s="7">
        <f>IF($D660="","",X660-N660)</f>
        <v/>
      </c>
      <c r="AB660">
        <f>IF($D660="","",IF($AN660=1,Settings!$C$8,IF($AM660=1,Settings!$C$6,Settings!$C$7))*100)</f>
        <v/>
      </c>
      <c r="AF660" s="7" t="n"/>
      <c r="AI660" s="11" t="n"/>
      <c r="AK660">
        <f>IF($D660="","",IF(COUNTIF($D$2:$D660,$D660)=1,1,0))</f>
        <v/>
      </c>
      <c r="AL660">
        <f>IF($AK660=1,SUMPRODUCT(--($AO$2:$AO$1601&lt;$AO660))+1,"")</f>
        <v/>
      </c>
      <c r="AM660">
        <f>IF($D660="","",IF(OR($R660=TRUE(),$R660="TRUE"),1,0))</f>
        <v/>
      </c>
      <c r="AN660">
        <f>IF($D660="","",IF($AA660="Yes",1,0))</f>
        <v/>
      </c>
      <c r="AO660">
        <f>IF($AK660=1,IFERROR(IF(VALUE($D660)&lt;100000000,VALUE($D660),1000000000),IFERROR(IF(VALUE(MID($D660,2,20))&lt;100000000,VALUE(MID($D660,2,20)),1000000000),1000000000))+ROW()/100000,"")</f>
        <v/>
      </c>
    </row>
    <row r="661">
      <c r="F661" s="11" t="n"/>
      <c r="N661" s="7">
        <f>IF($D661="","",M661*X661/100)</f>
        <v/>
      </c>
      <c r="O661" s="7" t="n"/>
      <c r="U661" s="7" t="n"/>
      <c r="V661" s="7" t="n"/>
      <c r="W661" s="7">
        <f>IF($D661="","",V661*AB661/100)</f>
        <v/>
      </c>
      <c r="X661" s="7">
        <f>IF($D661="","",V661-W661)</f>
        <v/>
      </c>
      <c r="Y661" s="7">
        <f>IF($D661="","",X661-N661)</f>
        <v/>
      </c>
      <c r="AB661">
        <f>IF($D661="","",IF($AN661=1,Settings!$C$8,IF($AM661=1,Settings!$C$6,Settings!$C$7))*100)</f>
        <v/>
      </c>
      <c r="AF661" s="7" t="n"/>
      <c r="AI661" s="11" t="n"/>
      <c r="AK661">
        <f>IF($D661="","",IF(COUNTIF($D$2:$D661,$D661)=1,1,0))</f>
        <v/>
      </c>
      <c r="AL661">
        <f>IF($AK661=1,SUMPRODUCT(--($AO$2:$AO$1601&lt;$AO661))+1,"")</f>
        <v/>
      </c>
      <c r="AM661">
        <f>IF($D661="","",IF(OR($R661=TRUE(),$R661="TRUE"),1,0))</f>
        <v/>
      </c>
      <c r="AN661">
        <f>IF($D661="","",IF($AA661="Yes",1,0))</f>
        <v/>
      </c>
      <c r="AO661">
        <f>IF($AK661=1,IFERROR(IF(VALUE($D661)&lt;100000000,VALUE($D661),1000000000),IFERROR(IF(VALUE(MID($D661,2,20))&lt;100000000,VALUE(MID($D661,2,20)),1000000000),1000000000))+ROW()/100000,"")</f>
        <v/>
      </c>
    </row>
    <row r="662">
      <c r="F662" s="11" t="n"/>
      <c r="N662" s="7">
        <f>IF($D662="","",M662*X662/100)</f>
        <v/>
      </c>
      <c r="O662" s="7" t="n"/>
      <c r="U662" s="7" t="n"/>
      <c r="V662" s="7" t="n"/>
      <c r="W662" s="7">
        <f>IF($D662="","",V662*AB662/100)</f>
        <v/>
      </c>
      <c r="X662" s="7">
        <f>IF($D662="","",V662-W662)</f>
        <v/>
      </c>
      <c r="Y662" s="7">
        <f>IF($D662="","",X662-N662)</f>
        <v/>
      </c>
      <c r="AB662">
        <f>IF($D662="","",IF($AN662=1,Settings!$C$8,IF($AM662=1,Settings!$C$6,Settings!$C$7))*100)</f>
        <v/>
      </c>
      <c r="AF662" s="7" t="n"/>
      <c r="AI662" s="11" t="n"/>
      <c r="AK662">
        <f>IF($D662="","",IF(COUNTIF($D$2:$D662,$D662)=1,1,0))</f>
        <v/>
      </c>
      <c r="AL662">
        <f>IF($AK662=1,SUMPRODUCT(--($AO$2:$AO$1601&lt;$AO662))+1,"")</f>
        <v/>
      </c>
      <c r="AM662">
        <f>IF($D662="","",IF(OR($R662=TRUE(),$R662="TRUE"),1,0))</f>
        <v/>
      </c>
      <c r="AN662">
        <f>IF($D662="","",IF($AA662="Yes",1,0))</f>
        <v/>
      </c>
      <c r="AO662">
        <f>IF($AK662=1,IFERROR(IF(VALUE($D662)&lt;100000000,VALUE($D662),1000000000),IFERROR(IF(VALUE(MID($D662,2,20))&lt;100000000,VALUE(MID($D662,2,20)),1000000000),1000000000))+ROW()/100000,"")</f>
        <v/>
      </c>
    </row>
    <row r="663">
      <c r="F663" s="11" t="n"/>
      <c r="N663" s="7">
        <f>IF($D663="","",M663*X663/100)</f>
        <v/>
      </c>
      <c r="O663" s="7" t="n"/>
      <c r="U663" s="7" t="n"/>
      <c r="V663" s="7" t="n"/>
      <c r="W663" s="7">
        <f>IF($D663="","",V663*AB663/100)</f>
        <v/>
      </c>
      <c r="X663" s="7">
        <f>IF($D663="","",V663-W663)</f>
        <v/>
      </c>
      <c r="Y663" s="7">
        <f>IF($D663="","",X663-N663)</f>
        <v/>
      </c>
      <c r="AB663">
        <f>IF($D663="","",IF($AN663=1,Settings!$C$8,IF($AM663=1,Settings!$C$6,Settings!$C$7))*100)</f>
        <v/>
      </c>
      <c r="AF663" s="7" t="n"/>
      <c r="AI663" s="11" t="n"/>
      <c r="AK663">
        <f>IF($D663="","",IF(COUNTIF($D$2:$D663,$D663)=1,1,0))</f>
        <v/>
      </c>
      <c r="AL663">
        <f>IF($AK663=1,SUMPRODUCT(--($AO$2:$AO$1601&lt;$AO663))+1,"")</f>
        <v/>
      </c>
      <c r="AM663">
        <f>IF($D663="","",IF(OR($R663=TRUE(),$R663="TRUE"),1,0))</f>
        <v/>
      </c>
      <c r="AN663">
        <f>IF($D663="","",IF($AA663="Yes",1,0))</f>
        <v/>
      </c>
      <c r="AO663">
        <f>IF($AK663=1,IFERROR(IF(VALUE($D663)&lt;100000000,VALUE($D663),1000000000),IFERROR(IF(VALUE(MID($D663,2,20))&lt;100000000,VALUE(MID($D663,2,20)),1000000000),1000000000))+ROW()/100000,"")</f>
        <v/>
      </c>
    </row>
    <row r="664">
      <c r="F664" s="11" t="n"/>
      <c r="N664" s="7">
        <f>IF($D664="","",M664*X664/100)</f>
        <v/>
      </c>
      <c r="O664" s="7" t="n"/>
      <c r="U664" s="7" t="n"/>
      <c r="V664" s="7" t="n"/>
      <c r="W664" s="7">
        <f>IF($D664="","",V664*AB664/100)</f>
        <v/>
      </c>
      <c r="X664" s="7">
        <f>IF($D664="","",V664-W664)</f>
        <v/>
      </c>
      <c r="Y664" s="7">
        <f>IF($D664="","",X664-N664)</f>
        <v/>
      </c>
      <c r="AB664">
        <f>IF($D664="","",IF($AN664=1,Settings!$C$8,IF($AM664=1,Settings!$C$6,Settings!$C$7))*100)</f>
        <v/>
      </c>
      <c r="AF664" s="7" t="n"/>
      <c r="AI664" s="11" t="n"/>
      <c r="AK664">
        <f>IF($D664="","",IF(COUNTIF($D$2:$D664,$D664)=1,1,0))</f>
        <v/>
      </c>
      <c r="AL664">
        <f>IF($AK664=1,SUMPRODUCT(--($AO$2:$AO$1601&lt;$AO664))+1,"")</f>
        <v/>
      </c>
      <c r="AM664">
        <f>IF($D664="","",IF(OR($R664=TRUE(),$R664="TRUE"),1,0))</f>
        <v/>
      </c>
      <c r="AN664">
        <f>IF($D664="","",IF($AA664="Yes",1,0))</f>
        <v/>
      </c>
      <c r="AO664">
        <f>IF($AK664=1,IFERROR(IF(VALUE($D664)&lt;100000000,VALUE($D664),1000000000),IFERROR(IF(VALUE(MID($D664,2,20))&lt;100000000,VALUE(MID($D664,2,20)),1000000000),1000000000))+ROW()/100000,"")</f>
        <v/>
      </c>
    </row>
    <row r="665">
      <c r="F665" s="11" t="n"/>
      <c r="N665" s="7">
        <f>IF($D665="","",M665*X665/100)</f>
        <v/>
      </c>
      <c r="O665" s="7" t="n"/>
      <c r="U665" s="7" t="n"/>
      <c r="V665" s="7" t="n"/>
      <c r="W665" s="7">
        <f>IF($D665="","",V665*AB665/100)</f>
        <v/>
      </c>
      <c r="X665" s="7">
        <f>IF($D665="","",V665-W665)</f>
        <v/>
      </c>
      <c r="Y665" s="7">
        <f>IF($D665="","",X665-N665)</f>
        <v/>
      </c>
      <c r="AB665">
        <f>IF($D665="","",IF($AN665=1,Settings!$C$8,IF($AM665=1,Settings!$C$6,Settings!$C$7))*100)</f>
        <v/>
      </c>
      <c r="AF665" s="7" t="n"/>
      <c r="AI665" s="11" t="n"/>
      <c r="AK665">
        <f>IF($D665="","",IF(COUNTIF($D$2:$D665,$D665)=1,1,0))</f>
        <v/>
      </c>
      <c r="AL665">
        <f>IF($AK665=1,SUMPRODUCT(--($AO$2:$AO$1601&lt;$AO665))+1,"")</f>
        <v/>
      </c>
      <c r="AM665">
        <f>IF($D665="","",IF(OR($R665=TRUE(),$R665="TRUE"),1,0))</f>
        <v/>
      </c>
      <c r="AN665">
        <f>IF($D665="","",IF($AA665="Yes",1,0))</f>
        <v/>
      </c>
      <c r="AO665">
        <f>IF($AK665=1,IFERROR(IF(VALUE($D665)&lt;100000000,VALUE($D665),1000000000),IFERROR(IF(VALUE(MID($D665,2,20))&lt;100000000,VALUE(MID($D665,2,20)),1000000000),1000000000))+ROW()/100000,"")</f>
        <v/>
      </c>
    </row>
    <row r="666">
      <c r="F666" s="11" t="n"/>
      <c r="N666" s="7">
        <f>IF($D666="","",M666*X666/100)</f>
        <v/>
      </c>
      <c r="O666" s="7" t="n"/>
      <c r="U666" s="7" t="n"/>
      <c r="V666" s="7" t="n"/>
      <c r="W666" s="7">
        <f>IF($D666="","",V666*AB666/100)</f>
        <v/>
      </c>
      <c r="X666" s="7">
        <f>IF($D666="","",V666-W666)</f>
        <v/>
      </c>
      <c r="Y666" s="7">
        <f>IF($D666="","",X666-N666)</f>
        <v/>
      </c>
      <c r="AB666">
        <f>IF($D666="","",IF($AN666=1,Settings!$C$8,IF($AM666=1,Settings!$C$6,Settings!$C$7))*100)</f>
        <v/>
      </c>
      <c r="AF666" s="7" t="n"/>
      <c r="AI666" s="11" t="n"/>
      <c r="AK666">
        <f>IF($D666="","",IF(COUNTIF($D$2:$D666,$D666)=1,1,0))</f>
        <v/>
      </c>
      <c r="AL666">
        <f>IF($AK666=1,SUMPRODUCT(--($AO$2:$AO$1601&lt;$AO666))+1,"")</f>
        <v/>
      </c>
      <c r="AM666">
        <f>IF($D666="","",IF(OR($R666=TRUE(),$R666="TRUE"),1,0))</f>
        <v/>
      </c>
      <c r="AN666">
        <f>IF($D666="","",IF($AA666="Yes",1,0))</f>
        <v/>
      </c>
      <c r="AO666">
        <f>IF($AK666=1,IFERROR(IF(VALUE($D666)&lt;100000000,VALUE($D666),1000000000),IFERROR(IF(VALUE(MID($D666,2,20))&lt;100000000,VALUE(MID($D666,2,20)),1000000000),1000000000))+ROW()/100000,"")</f>
        <v/>
      </c>
    </row>
    <row r="667">
      <c r="F667" s="11" t="n"/>
      <c r="N667" s="7">
        <f>IF($D667="","",M667*X667/100)</f>
        <v/>
      </c>
      <c r="O667" s="7" t="n"/>
      <c r="U667" s="7" t="n"/>
      <c r="V667" s="7" t="n"/>
      <c r="W667" s="7">
        <f>IF($D667="","",V667*AB667/100)</f>
        <v/>
      </c>
      <c r="X667" s="7">
        <f>IF($D667="","",V667-W667)</f>
        <v/>
      </c>
      <c r="Y667" s="7">
        <f>IF($D667="","",X667-N667)</f>
        <v/>
      </c>
      <c r="AB667">
        <f>IF($D667="","",IF($AN667=1,Settings!$C$8,IF($AM667=1,Settings!$C$6,Settings!$C$7))*100)</f>
        <v/>
      </c>
      <c r="AF667" s="7" t="n"/>
      <c r="AI667" s="11" t="n"/>
      <c r="AK667">
        <f>IF($D667="","",IF(COUNTIF($D$2:$D667,$D667)=1,1,0))</f>
        <v/>
      </c>
      <c r="AL667">
        <f>IF($AK667=1,SUMPRODUCT(--($AO$2:$AO$1601&lt;$AO667))+1,"")</f>
        <v/>
      </c>
      <c r="AM667">
        <f>IF($D667="","",IF(OR($R667=TRUE(),$R667="TRUE"),1,0))</f>
        <v/>
      </c>
      <c r="AN667">
        <f>IF($D667="","",IF($AA667="Yes",1,0))</f>
        <v/>
      </c>
      <c r="AO667">
        <f>IF($AK667=1,IFERROR(IF(VALUE($D667)&lt;100000000,VALUE($D667),1000000000),IFERROR(IF(VALUE(MID($D667,2,20))&lt;100000000,VALUE(MID($D667,2,20)),1000000000),1000000000))+ROW()/100000,"")</f>
        <v/>
      </c>
    </row>
    <row r="668">
      <c r="F668" s="11" t="n"/>
      <c r="N668" s="7">
        <f>IF($D668="","",M668*X668/100)</f>
        <v/>
      </c>
      <c r="O668" s="7" t="n"/>
      <c r="U668" s="7" t="n"/>
      <c r="V668" s="7" t="n"/>
      <c r="W668" s="7">
        <f>IF($D668="","",V668*AB668/100)</f>
        <v/>
      </c>
      <c r="X668" s="7">
        <f>IF($D668="","",V668-W668)</f>
        <v/>
      </c>
      <c r="Y668" s="7">
        <f>IF($D668="","",X668-N668)</f>
        <v/>
      </c>
      <c r="AB668">
        <f>IF($D668="","",IF($AN668=1,Settings!$C$8,IF($AM668=1,Settings!$C$6,Settings!$C$7))*100)</f>
        <v/>
      </c>
      <c r="AF668" s="7" t="n"/>
      <c r="AI668" s="11" t="n"/>
      <c r="AK668">
        <f>IF($D668="","",IF(COUNTIF($D$2:$D668,$D668)=1,1,0))</f>
        <v/>
      </c>
      <c r="AL668">
        <f>IF($AK668=1,SUMPRODUCT(--($AO$2:$AO$1601&lt;$AO668))+1,"")</f>
        <v/>
      </c>
      <c r="AM668">
        <f>IF($D668="","",IF(OR($R668=TRUE(),$R668="TRUE"),1,0))</f>
        <v/>
      </c>
      <c r="AN668">
        <f>IF($D668="","",IF($AA668="Yes",1,0))</f>
        <v/>
      </c>
      <c r="AO668">
        <f>IF($AK668=1,IFERROR(IF(VALUE($D668)&lt;100000000,VALUE($D668),1000000000),IFERROR(IF(VALUE(MID($D668,2,20))&lt;100000000,VALUE(MID($D668,2,20)),1000000000),1000000000))+ROW()/100000,"")</f>
        <v/>
      </c>
    </row>
    <row r="669">
      <c r="F669" s="11" t="n"/>
      <c r="N669" s="7">
        <f>IF($D669="","",M669*X669/100)</f>
        <v/>
      </c>
      <c r="O669" s="7" t="n"/>
      <c r="U669" s="7" t="n"/>
      <c r="V669" s="7" t="n"/>
      <c r="W669" s="7">
        <f>IF($D669="","",V669*AB669/100)</f>
        <v/>
      </c>
      <c r="X669" s="7">
        <f>IF($D669="","",V669-W669)</f>
        <v/>
      </c>
      <c r="Y669" s="7">
        <f>IF($D669="","",X669-N669)</f>
        <v/>
      </c>
      <c r="AB669">
        <f>IF($D669="","",IF($AN669=1,Settings!$C$8,IF($AM669=1,Settings!$C$6,Settings!$C$7))*100)</f>
        <v/>
      </c>
      <c r="AF669" s="7" t="n"/>
      <c r="AI669" s="11" t="n"/>
      <c r="AK669">
        <f>IF($D669="","",IF(COUNTIF($D$2:$D669,$D669)=1,1,0))</f>
        <v/>
      </c>
      <c r="AL669">
        <f>IF($AK669=1,SUMPRODUCT(--($AO$2:$AO$1601&lt;$AO669))+1,"")</f>
        <v/>
      </c>
      <c r="AM669">
        <f>IF($D669="","",IF(OR($R669=TRUE(),$R669="TRUE"),1,0))</f>
        <v/>
      </c>
      <c r="AN669">
        <f>IF($D669="","",IF($AA669="Yes",1,0))</f>
        <v/>
      </c>
      <c r="AO669">
        <f>IF($AK669=1,IFERROR(IF(VALUE($D669)&lt;100000000,VALUE($D669),1000000000),IFERROR(IF(VALUE(MID($D669,2,20))&lt;100000000,VALUE(MID($D669,2,20)),1000000000),1000000000))+ROW()/100000,"")</f>
        <v/>
      </c>
    </row>
    <row r="670">
      <c r="F670" s="11" t="n"/>
      <c r="N670" s="7">
        <f>IF($D670="","",M670*X670/100)</f>
        <v/>
      </c>
      <c r="O670" s="7" t="n"/>
      <c r="U670" s="7" t="n"/>
      <c r="V670" s="7" t="n"/>
      <c r="W670" s="7">
        <f>IF($D670="","",V670*AB670/100)</f>
        <v/>
      </c>
      <c r="X670" s="7">
        <f>IF($D670="","",V670-W670)</f>
        <v/>
      </c>
      <c r="Y670" s="7">
        <f>IF($D670="","",X670-N670)</f>
        <v/>
      </c>
      <c r="AB670">
        <f>IF($D670="","",IF($AN670=1,Settings!$C$8,IF($AM670=1,Settings!$C$6,Settings!$C$7))*100)</f>
        <v/>
      </c>
      <c r="AF670" s="7" t="n"/>
      <c r="AI670" s="11" t="n"/>
      <c r="AK670">
        <f>IF($D670="","",IF(COUNTIF($D$2:$D670,$D670)=1,1,0))</f>
        <v/>
      </c>
      <c r="AL670">
        <f>IF($AK670=1,SUMPRODUCT(--($AO$2:$AO$1601&lt;$AO670))+1,"")</f>
        <v/>
      </c>
      <c r="AM670">
        <f>IF($D670="","",IF(OR($R670=TRUE(),$R670="TRUE"),1,0))</f>
        <v/>
      </c>
      <c r="AN670">
        <f>IF($D670="","",IF($AA670="Yes",1,0))</f>
        <v/>
      </c>
      <c r="AO670">
        <f>IF($AK670=1,IFERROR(IF(VALUE($D670)&lt;100000000,VALUE($D670),1000000000),IFERROR(IF(VALUE(MID($D670,2,20))&lt;100000000,VALUE(MID($D670,2,20)),1000000000),1000000000))+ROW()/100000,"")</f>
        <v/>
      </c>
    </row>
    <row r="671">
      <c r="F671" s="11" t="n"/>
      <c r="N671" s="7">
        <f>IF($D671="","",M671*X671/100)</f>
        <v/>
      </c>
      <c r="O671" s="7" t="n"/>
      <c r="U671" s="7" t="n"/>
      <c r="V671" s="7" t="n"/>
      <c r="W671" s="7">
        <f>IF($D671="","",V671*AB671/100)</f>
        <v/>
      </c>
      <c r="X671" s="7">
        <f>IF($D671="","",V671-W671)</f>
        <v/>
      </c>
      <c r="Y671" s="7">
        <f>IF($D671="","",X671-N671)</f>
        <v/>
      </c>
      <c r="AB671">
        <f>IF($D671="","",IF($AN671=1,Settings!$C$8,IF($AM671=1,Settings!$C$6,Settings!$C$7))*100)</f>
        <v/>
      </c>
      <c r="AF671" s="7" t="n"/>
      <c r="AI671" s="11" t="n"/>
      <c r="AK671">
        <f>IF($D671="","",IF(COUNTIF($D$2:$D671,$D671)=1,1,0))</f>
        <v/>
      </c>
      <c r="AL671">
        <f>IF($AK671=1,SUMPRODUCT(--($AO$2:$AO$1601&lt;$AO671))+1,"")</f>
        <v/>
      </c>
      <c r="AM671">
        <f>IF($D671="","",IF(OR($R671=TRUE(),$R671="TRUE"),1,0))</f>
        <v/>
      </c>
      <c r="AN671">
        <f>IF($D671="","",IF($AA671="Yes",1,0))</f>
        <v/>
      </c>
      <c r="AO671">
        <f>IF($AK671=1,IFERROR(IF(VALUE($D671)&lt;100000000,VALUE($D671),1000000000),IFERROR(IF(VALUE(MID($D671,2,20))&lt;100000000,VALUE(MID($D671,2,20)),1000000000),1000000000))+ROW()/100000,"")</f>
        <v/>
      </c>
    </row>
    <row r="672">
      <c r="F672" s="11" t="n"/>
      <c r="N672" s="7">
        <f>IF($D672="","",M672*X672/100)</f>
        <v/>
      </c>
      <c r="O672" s="7" t="n"/>
      <c r="U672" s="7" t="n"/>
      <c r="V672" s="7" t="n"/>
      <c r="W672" s="7">
        <f>IF($D672="","",V672*AB672/100)</f>
        <v/>
      </c>
      <c r="X672" s="7">
        <f>IF($D672="","",V672-W672)</f>
        <v/>
      </c>
      <c r="Y672" s="7">
        <f>IF($D672="","",X672-N672)</f>
        <v/>
      </c>
      <c r="AB672">
        <f>IF($D672="","",IF($AN672=1,Settings!$C$8,IF($AM672=1,Settings!$C$6,Settings!$C$7))*100)</f>
        <v/>
      </c>
      <c r="AF672" s="7" t="n"/>
      <c r="AI672" s="11" t="n"/>
      <c r="AK672">
        <f>IF($D672="","",IF(COUNTIF($D$2:$D672,$D672)=1,1,0))</f>
        <v/>
      </c>
      <c r="AL672">
        <f>IF($AK672=1,SUMPRODUCT(--($AO$2:$AO$1601&lt;$AO672))+1,"")</f>
        <v/>
      </c>
      <c r="AM672">
        <f>IF($D672="","",IF(OR($R672=TRUE(),$R672="TRUE"),1,0))</f>
        <v/>
      </c>
      <c r="AN672">
        <f>IF($D672="","",IF($AA672="Yes",1,0))</f>
        <v/>
      </c>
      <c r="AO672">
        <f>IF($AK672=1,IFERROR(IF(VALUE($D672)&lt;100000000,VALUE($D672),1000000000),IFERROR(IF(VALUE(MID($D672,2,20))&lt;100000000,VALUE(MID($D672,2,20)),1000000000),1000000000))+ROW()/100000,"")</f>
        <v/>
      </c>
    </row>
    <row r="673">
      <c r="F673" s="11" t="n"/>
      <c r="N673" s="7">
        <f>IF($D673="","",M673*X673/100)</f>
        <v/>
      </c>
      <c r="O673" s="7" t="n"/>
      <c r="U673" s="7" t="n"/>
      <c r="V673" s="7" t="n"/>
      <c r="W673" s="7">
        <f>IF($D673="","",V673*AB673/100)</f>
        <v/>
      </c>
      <c r="X673" s="7">
        <f>IF($D673="","",V673-W673)</f>
        <v/>
      </c>
      <c r="Y673" s="7">
        <f>IF($D673="","",X673-N673)</f>
        <v/>
      </c>
      <c r="AB673">
        <f>IF($D673="","",IF($AN673=1,Settings!$C$8,IF($AM673=1,Settings!$C$6,Settings!$C$7))*100)</f>
        <v/>
      </c>
      <c r="AF673" s="7" t="n"/>
      <c r="AI673" s="11" t="n"/>
      <c r="AK673">
        <f>IF($D673="","",IF(COUNTIF($D$2:$D673,$D673)=1,1,0))</f>
        <v/>
      </c>
      <c r="AL673">
        <f>IF($AK673=1,SUMPRODUCT(--($AO$2:$AO$1601&lt;$AO673))+1,"")</f>
        <v/>
      </c>
      <c r="AM673">
        <f>IF($D673="","",IF(OR($R673=TRUE(),$R673="TRUE"),1,0))</f>
        <v/>
      </c>
      <c r="AN673">
        <f>IF($D673="","",IF($AA673="Yes",1,0))</f>
        <v/>
      </c>
      <c r="AO673">
        <f>IF($AK673=1,IFERROR(IF(VALUE($D673)&lt;100000000,VALUE($D673),1000000000),IFERROR(IF(VALUE(MID($D673,2,20))&lt;100000000,VALUE(MID($D673,2,20)),1000000000),1000000000))+ROW()/100000,"")</f>
        <v/>
      </c>
    </row>
    <row r="674">
      <c r="F674" s="11" t="n"/>
      <c r="N674" s="7">
        <f>IF($D674="","",M674*X674/100)</f>
        <v/>
      </c>
      <c r="O674" s="7" t="n"/>
      <c r="U674" s="7" t="n"/>
      <c r="V674" s="7" t="n"/>
      <c r="W674" s="7">
        <f>IF($D674="","",V674*AB674/100)</f>
        <v/>
      </c>
      <c r="X674" s="7">
        <f>IF($D674="","",V674-W674)</f>
        <v/>
      </c>
      <c r="Y674" s="7">
        <f>IF($D674="","",X674-N674)</f>
        <v/>
      </c>
      <c r="AB674">
        <f>IF($D674="","",IF($AN674=1,Settings!$C$8,IF($AM674=1,Settings!$C$6,Settings!$C$7))*100)</f>
        <v/>
      </c>
      <c r="AF674" s="7" t="n"/>
      <c r="AI674" s="11" t="n"/>
      <c r="AK674">
        <f>IF($D674="","",IF(COUNTIF($D$2:$D674,$D674)=1,1,0))</f>
        <v/>
      </c>
      <c r="AL674">
        <f>IF($AK674=1,SUMPRODUCT(--($AO$2:$AO$1601&lt;$AO674))+1,"")</f>
        <v/>
      </c>
      <c r="AM674">
        <f>IF($D674="","",IF(OR($R674=TRUE(),$R674="TRUE"),1,0))</f>
        <v/>
      </c>
      <c r="AN674">
        <f>IF($D674="","",IF($AA674="Yes",1,0))</f>
        <v/>
      </c>
      <c r="AO674">
        <f>IF($AK674=1,IFERROR(IF(VALUE($D674)&lt;100000000,VALUE($D674),1000000000),IFERROR(IF(VALUE(MID($D674,2,20))&lt;100000000,VALUE(MID($D674,2,20)),1000000000),1000000000))+ROW()/100000,"")</f>
        <v/>
      </c>
    </row>
    <row r="675">
      <c r="F675" s="11" t="n"/>
      <c r="N675" s="7">
        <f>IF($D675="","",M675*X675/100)</f>
        <v/>
      </c>
      <c r="O675" s="7" t="n"/>
      <c r="U675" s="7" t="n"/>
      <c r="V675" s="7" t="n"/>
      <c r="W675" s="7">
        <f>IF($D675="","",V675*AB675/100)</f>
        <v/>
      </c>
      <c r="X675" s="7">
        <f>IF($D675="","",V675-W675)</f>
        <v/>
      </c>
      <c r="Y675" s="7">
        <f>IF($D675="","",X675-N675)</f>
        <v/>
      </c>
      <c r="AB675">
        <f>IF($D675="","",IF($AN675=1,Settings!$C$8,IF($AM675=1,Settings!$C$6,Settings!$C$7))*100)</f>
        <v/>
      </c>
      <c r="AF675" s="7" t="n"/>
      <c r="AI675" s="11" t="n"/>
      <c r="AK675">
        <f>IF($D675="","",IF(COUNTIF($D$2:$D675,$D675)=1,1,0))</f>
        <v/>
      </c>
      <c r="AL675">
        <f>IF($AK675=1,SUMPRODUCT(--($AO$2:$AO$1601&lt;$AO675))+1,"")</f>
        <v/>
      </c>
      <c r="AM675">
        <f>IF($D675="","",IF(OR($R675=TRUE(),$R675="TRUE"),1,0))</f>
        <v/>
      </c>
      <c r="AN675">
        <f>IF($D675="","",IF($AA675="Yes",1,0))</f>
        <v/>
      </c>
      <c r="AO675">
        <f>IF($AK675=1,IFERROR(IF(VALUE($D675)&lt;100000000,VALUE($D675),1000000000),IFERROR(IF(VALUE(MID($D675,2,20))&lt;100000000,VALUE(MID($D675,2,20)),1000000000),1000000000))+ROW()/100000,"")</f>
        <v/>
      </c>
    </row>
    <row r="676">
      <c r="F676" s="11" t="n"/>
      <c r="N676" s="7">
        <f>IF($D676="","",M676*X676/100)</f>
        <v/>
      </c>
      <c r="O676" s="7" t="n"/>
      <c r="U676" s="7" t="n"/>
      <c r="V676" s="7" t="n"/>
      <c r="W676" s="7">
        <f>IF($D676="","",V676*AB676/100)</f>
        <v/>
      </c>
      <c r="X676" s="7">
        <f>IF($D676="","",V676-W676)</f>
        <v/>
      </c>
      <c r="Y676" s="7">
        <f>IF($D676="","",X676-N676)</f>
        <v/>
      </c>
      <c r="AB676">
        <f>IF($D676="","",IF($AN676=1,Settings!$C$8,IF($AM676=1,Settings!$C$6,Settings!$C$7))*100)</f>
        <v/>
      </c>
      <c r="AF676" s="7" t="n"/>
      <c r="AI676" s="11" t="n"/>
      <c r="AK676">
        <f>IF($D676="","",IF(COUNTIF($D$2:$D676,$D676)=1,1,0))</f>
        <v/>
      </c>
      <c r="AL676">
        <f>IF($AK676=1,SUMPRODUCT(--($AO$2:$AO$1601&lt;$AO676))+1,"")</f>
        <v/>
      </c>
      <c r="AM676">
        <f>IF($D676="","",IF(OR($R676=TRUE(),$R676="TRUE"),1,0))</f>
        <v/>
      </c>
      <c r="AN676">
        <f>IF($D676="","",IF($AA676="Yes",1,0))</f>
        <v/>
      </c>
      <c r="AO676">
        <f>IF($AK676=1,IFERROR(IF(VALUE($D676)&lt;100000000,VALUE($D676),1000000000),IFERROR(IF(VALUE(MID($D676,2,20))&lt;100000000,VALUE(MID($D676,2,20)),1000000000),1000000000))+ROW()/100000,"")</f>
        <v/>
      </c>
    </row>
    <row r="677">
      <c r="F677" s="11" t="n"/>
      <c r="N677" s="7">
        <f>IF($D677="","",M677*X677/100)</f>
        <v/>
      </c>
      <c r="O677" s="7" t="n"/>
      <c r="U677" s="7" t="n"/>
      <c r="V677" s="7" t="n"/>
      <c r="W677" s="7">
        <f>IF($D677="","",V677*AB677/100)</f>
        <v/>
      </c>
      <c r="X677" s="7">
        <f>IF($D677="","",V677-W677)</f>
        <v/>
      </c>
      <c r="Y677" s="7">
        <f>IF($D677="","",X677-N677)</f>
        <v/>
      </c>
      <c r="AB677">
        <f>IF($D677="","",IF($AN677=1,Settings!$C$8,IF($AM677=1,Settings!$C$6,Settings!$C$7))*100)</f>
        <v/>
      </c>
      <c r="AF677" s="7" t="n"/>
      <c r="AI677" s="11" t="n"/>
      <c r="AK677">
        <f>IF($D677="","",IF(COUNTIF($D$2:$D677,$D677)=1,1,0))</f>
        <v/>
      </c>
      <c r="AL677">
        <f>IF($AK677=1,SUMPRODUCT(--($AO$2:$AO$1601&lt;$AO677))+1,"")</f>
        <v/>
      </c>
      <c r="AM677">
        <f>IF($D677="","",IF(OR($R677=TRUE(),$R677="TRUE"),1,0))</f>
        <v/>
      </c>
      <c r="AN677">
        <f>IF($D677="","",IF($AA677="Yes",1,0))</f>
        <v/>
      </c>
      <c r="AO677">
        <f>IF($AK677=1,IFERROR(IF(VALUE($D677)&lt;100000000,VALUE($D677),1000000000),IFERROR(IF(VALUE(MID($D677,2,20))&lt;100000000,VALUE(MID($D677,2,20)),1000000000),1000000000))+ROW()/100000,"")</f>
        <v/>
      </c>
    </row>
    <row r="678">
      <c r="F678" s="11" t="n"/>
      <c r="N678" s="7">
        <f>IF($D678="","",M678*X678/100)</f>
        <v/>
      </c>
      <c r="O678" s="7" t="n"/>
      <c r="U678" s="7" t="n"/>
      <c r="V678" s="7" t="n"/>
      <c r="W678" s="7">
        <f>IF($D678="","",V678*AB678/100)</f>
        <v/>
      </c>
      <c r="X678" s="7">
        <f>IF($D678="","",V678-W678)</f>
        <v/>
      </c>
      <c r="Y678" s="7">
        <f>IF($D678="","",X678-N678)</f>
        <v/>
      </c>
      <c r="AB678">
        <f>IF($D678="","",IF($AN678=1,Settings!$C$8,IF($AM678=1,Settings!$C$6,Settings!$C$7))*100)</f>
        <v/>
      </c>
      <c r="AF678" s="7" t="n"/>
      <c r="AI678" s="11" t="n"/>
      <c r="AK678">
        <f>IF($D678="","",IF(COUNTIF($D$2:$D678,$D678)=1,1,0))</f>
        <v/>
      </c>
      <c r="AL678">
        <f>IF($AK678=1,SUMPRODUCT(--($AO$2:$AO$1601&lt;$AO678))+1,"")</f>
        <v/>
      </c>
      <c r="AM678">
        <f>IF($D678="","",IF(OR($R678=TRUE(),$R678="TRUE"),1,0))</f>
        <v/>
      </c>
      <c r="AN678">
        <f>IF($D678="","",IF($AA678="Yes",1,0))</f>
        <v/>
      </c>
      <c r="AO678">
        <f>IF($AK678=1,IFERROR(IF(VALUE($D678)&lt;100000000,VALUE($D678),1000000000),IFERROR(IF(VALUE(MID($D678,2,20))&lt;100000000,VALUE(MID($D678,2,20)),1000000000),1000000000))+ROW()/100000,"")</f>
        <v/>
      </c>
    </row>
    <row r="679">
      <c r="F679" s="11" t="n"/>
      <c r="N679" s="7">
        <f>IF($D679="","",M679*X679/100)</f>
        <v/>
      </c>
      <c r="O679" s="7" t="n"/>
      <c r="U679" s="7" t="n"/>
      <c r="V679" s="7" t="n"/>
      <c r="W679" s="7">
        <f>IF($D679="","",V679*AB679/100)</f>
        <v/>
      </c>
      <c r="X679" s="7">
        <f>IF($D679="","",V679-W679)</f>
        <v/>
      </c>
      <c r="Y679" s="7">
        <f>IF($D679="","",X679-N679)</f>
        <v/>
      </c>
      <c r="AB679">
        <f>IF($D679="","",IF($AN679=1,Settings!$C$8,IF($AM679=1,Settings!$C$6,Settings!$C$7))*100)</f>
        <v/>
      </c>
      <c r="AF679" s="7" t="n"/>
      <c r="AI679" s="11" t="n"/>
      <c r="AK679">
        <f>IF($D679="","",IF(COUNTIF($D$2:$D679,$D679)=1,1,0))</f>
        <v/>
      </c>
      <c r="AL679">
        <f>IF($AK679=1,SUMPRODUCT(--($AO$2:$AO$1601&lt;$AO679))+1,"")</f>
        <v/>
      </c>
      <c r="AM679">
        <f>IF($D679="","",IF(OR($R679=TRUE(),$R679="TRUE"),1,0))</f>
        <v/>
      </c>
      <c r="AN679">
        <f>IF($D679="","",IF($AA679="Yes",1,0))</f>
        <v/>
      </c>
      <c r="AO679">
        <f>IF($AK679=1,IFERROR(IF(VALUE($D679)&lt;100000000,VALUE($D679),1000000000),IFERROR(IF(VALUE(MID($D679,2,20))&lt;100000000,VALUE(MID($D679,2,20)),1000000000),1000000000))+ROW()/100000,"")</f>
        <v/>
      </c>
    </row>
    <row r="680">
      <c r="F680" s="11" t="n"/>
      <c r="N680" s="7">
        <f>IF($D680="","",M680*X680/100)</f>
        <v/>
      </c>
      <c r="O680" s="7" t="n"/>
      <c r="U680" s="7" t="n"/>
      <c r="V680" s="7" t="n"/>
      <c r="W680" s="7">
        <f>IF($D680="","",V680*AB680/100)</f>
        <v/>
      </c>
      <c r="X680" s="7">
        <f>IF($D680="","",V680-W680)</f>
        <v/>
      </c>
      <c r="Y680" s="7">
        <f>IF($D680="","",X680-N680)</f>
        <v/>
      </c>
      <c r="AB680">
        <f>IF($D680="","",IF($AN680=1,Settings!$C$8,IF($AM680=1,Settings!$C$6,Settings!$C$7))*100)</f>
        <v/>
      </c>
      <c r="AF680" s="7" t="n"/>
      <c r="AI680" s="11" t="n"/>
      <c r="AK680">
        <f>IF($D680="","",IF(COUNTIF($D$2:$D680,$D680)=1,1,0))</f>
        <v/>
      </c>
      <c r="AL680">
        <f>IF($AK680=1,SUMPRODUCT(--($AO$2:$AO$1601&lt;$AO680))+1,"")</f>
        <v/>
      </c>
      <c r="AM680">
        <f>IF($D680="","",IF(OR($R680=TRUE(),$R680="TRUE"),1,0))</f>
        <v/>
      </c>
      <c r="AN680">
        <f>IF($D680="","",IF($AA680="Yes",1,0))</f>
        <v/>
      </c>
      <c r="AO680">
        <f>IF($AK680=1,IFERROR(IF(VALUE($D680)&lt;100000000,VALUE($D680),1000000000),IFERROR(IF(VALUE(MID($D680,2,20))&lt;100000000,VALUE(MID($D680,2,20)),1000000000),1000000000))+ROW()/100000,"")</f>
        <v/>
      </c>
    </row>
    <row r="681">
      <c r="F681" s="11" t="n"/>
      <c r="N681" s="7">
        <f>IF($D681="","",M681*X681/100)</f>
        <v/>
      </c>
      <c r="O681" s="7" t="n"/>
      <c r="U681" s="7" t="n"/>
      <c r="V681" s="7" t="n"/>
      <c r="W681" s="7">
        <f>IF($D681="","",V681*AB681/100)</f>
        <v/>
      </c>
      <c r="X681" s="7">
        <f>IF($D681="","",V681-W681)</f>
        <v/>
      </c>
      <c r="Y681" s="7">
        <f>IF($D681="","",X681-N681)</f>
        <v/>
      </c>
      <c r="AB681">
        <f>IF($D681="","",IF($AN681=1,Settings!$C$8,IF($AM681=1,Settings!$C$6,Settings!$C$7))*100)</f>
        <v/>
      </c>
      <c r="AF681" s="7" t="n"/>
      <c r="AI681" s="11" t="n"/>
      <c r="AK681">
        <f>IF($D681="","",IF(COUNTIF($D$2:$D681,$D681)=1,1,0))</f>
        <v/>
      </c>
      <c r="AL681">
        <f>IF($AK681=1,SUMPRODUCT(--($AO$2:$AO$1601&lt;$AO681))+1,"")</f>
        <v/>
      </c>
      <c r="AM681">
        <f>IF($D681="","",IF(OR($R681=TRUE(),$R681="TRUE"),1,0))</f>
        <v/>
      </c>
      <c r="AN681">
        <f>IF($D681="","",IF($AA681="Yes",1,0))</f>
        <v/>
      </c>
      <c r="AO681">
        <f>IF($AK681=1,IFERROR(IF(VALUE($D681)&lt;100000000,VALUE($D681),1000000000),IFERROR(IF(VALUE(MID($D681,2,20))&lt;100000000,VALUE(MID($D681,2,20)),1000000000),1000000000))+ROW()/100000,"")</f>
        <v/>
      </c>
    </row>
    <row r="682">
      <c r="F682" s="11" t="n"/>
      <c r="N682" s="7">
        <f>IF($D682="","",M682*X682/100)</f>
        <v/>
      </c>
      <c r="O682" s="7" t="n"/>
      <c r="U682" s="7" t="n"/>
      <c r="V682" s="7" t="n"/>
      <c r="W682" s="7">
        <f>IF($D682="","",V682*AB682/100)</f>
        <v/>
      </c>
      <c r="X682" s="7">
        <f>IF($D682="","",V682-W682)</f>
        <v/>
      </c>
      <c r="Y682" s="7">
        <f>IF($D682="","",X682-N682)</f>
        <v/>
      </c>
      <c r="AB682">
        <f>IF($D682="","",IF($AN682=1,Settings!$C$8,IF($AM682=1,Settings!$C$6,Settings!$C$7))*100)</f>
        <v/>
      </c>
      <c r="AF682" s="7" t="n"/>
      <c r="AI682" s="11" t="n"/>
      <c r="AK682">
        <f>IF($D682="","",IF(COUNTIF($D$2:$D682,$D682)=1,1,0))</f>
        <v/>
      </c>
      <c r="AL682">
        <f>IF($AK682=1,SUMPRODUCT(--($AO$2:$AO$1601&lt;$AO682))+1,"")</f>
        <v/>
      </c>
      <c r="AM682">
        <f>IF($D682="","",IF(OR($R682=TRUE(),$R682="TRUE"),1,0))</f>
        <v/>
      </c>
      <c r="AN682">
        <f>IF($D682="","",IF($AA682="Yes",1,0))</f>
        <v/>
      </c>
      <c r="AO682">
        <f>IF($AK682=1,IFERROR(IF(VALUE($D682)&lt;100000000,VALUE($D682),1000000000),IFERROR(IF(VALUE(MID($D682,2,20))&lt;100000000,VALUE(MID($D682,2,20)),1000000000),1000000000))+ROW()/100000,"")</f>
        <v/>
      </c>
    </row>
    <row r="683">
      <c r="F683" s="11" t="n"/>
      <c r="N683" s="7">
        <f>IF($D683="","",M683*X683/100)</f>
        <v/>
      </c>
      <c r="O683" s="7" t="n"/>
      <c r="U683" s="7" t="n"/>
      <c r="V683" s="7" t="n"/>
      <c r="W683" s="7">
        <f>IF($D683="","",V683*AB683/100)</f>
        <v/>
      </c>
      <c r="X683" s="7">
        <f>IF($D683="","",V683-W683)</f>
        <v/>
      </c>
      <c r="Y683" s="7">
        <f>IF($D683="","",X683-N683)</f>
        <v/>
      </c>
      <c r="AB683">
        <f>IF($D683="","",IF($AN683=1,Settings!$C$8,IF($AM683=1,Settings!$C$6,Settings!$C$7))*100)</f>
        <v/>
      </c>
      <c r="AF683" s="7" t="n"/>
      <c r="AI683" s="11" t="n"/>
      <c r="AK683">
        <f>IF($D683="","",IF(COUNTIF($D$2:$D683,$D683)=1,1,0))</f>
        <v/>
      </c>
      <c r="AL683">
        <f>IF($AK683=1,SUMPRODUCT(--($AO$2:$AO$1601&lt;$AO683))+1,"")</f>
        <v/>
      </c>
      <c r="AM683">
        <f>IF($D683="","",IF(OR($R683=TRUE(),$R683="TRUE"),1,0))</f>
        <v/>
      </c>
      <c r="AN683">
        <f>IF($D683="","",IF($AA683="Yes",1,0))</f>
        <v/>
      </c>
      <c r="AO683">
        <f>IF($AK683=1,IFERROR(IF(VALUE($D683)&lt;100000000,VALUE($D683),1000000000),IFERROR(IF(VALUE(MID($D683,2,20))&lt;100000000,VALUE(MID($D683,2,20)),1000000000),1000000000))+ROW()/100000,"")</f>
        <v/>
      </c>
    </row>
    <row r="684">
      <c r="F684" s="11" t="n"/>
      <c r="N684" s="7">
        <f>IF($D684="","",M684*X684/100)</f>
        <v/>
      </c>
      <c r="O684" s="7" t="n"/>
      <c r="U684" s="7" t="n"/>
      <c r="V684" s="7" t="n"/>
      <c r="W684" s="7">
        <f>IF($D684="","",V684*AB684/100)</f>
        <v/>
      </c>
      <c r="X684" s="7">
        <f>IF($D684="","",V684-W684)</f>
        <v/>
      </c>
      <c r="Y684" s="7">
        <f>IF($D684="","",X684-N684)</f>
        <v/>
      </c>
      <c r="AB684">
        <f>IF($D684="","",IF($AN684=1,Settings!$C$8,IF($AM684=1,Settings!$C$6,Settings!$C$7))*100)</f>
        <v/>
      </c>
      <c r="AF684" s="7" t="n"/>
      <c r="AI684" s="11" t="n"/>
      <c r="AK684">
        <f>IF($D684="","",IF(COUNTIF($D$2:$D684,$D684)=1,1,0))</f>
        <v/>
      </c>
      <c r="AL684">
        <f>IF($AK684=1,SUMPRODUCT(--($AO$2:$AO$1601&lt;$AO684))+1,"")</f>
        <v/>
      </c>
      <c r="AM684">
        <f>IF($D684="","",IF(OR($R684=TRUE(),$R684="TRUE"),1,0))</f>
        <v/>
      </c>
      <c r="AN684">
        <f>IF($D684="","",IF($AA684="Yes",1,0))</f>
        <v/>
      </c>
      <c r="AO684">
        <f>IF($AK684=1,IFERROR(IF(VALUE($D684)&lt;100000000,VALUE($D684),1000000000),IFERROR(IF(VALUE(MID($D684,2,20))&lt;100000000,VALUE(MID($D684,2,20)),1000000000),1000000000))+ROW()/100000,"")</f>
        <v/>
      </c>
    </row>
    <row r="685">
      <c r="F685" s="11" t="n"/>
      <c r="N685" s="7">
        <f>IF($D685="","",M685*X685/100)</f>
        <v/>
      </c>
      <c r="O685" s="7" t="n"/>
      <c r="U685" s="7" t="n"/>
      <c r="V685" s="7" t="n"/>
      <c r="W685" s="7">
        <f>IF($D685="","",V685*AB685/100)</f>
        <v/>
      </c>
      <c r="X685" s="7">
        <f>IF($D685="","",V685-W685)</f>
        <v/>
      </c>
      <c r="Y685" s="7">
        <f>IF($D685="","",X685-N685)</f>
        <v/>
      </c>
      <c r="AB685">
        <f>IF($D685="","",IF($AN685=1,Settings!$C$8,IF($AM685=1,Settings!$C$6,Settings!$C$7))*100)</f>
        <v/>
      </c>
      <c r="AF685" s="7" t="n"/>
      <c r="AI685" s="11" t="n"/>
      <c r="AK685">
        <f>IF($D685="","",IF(COUNTIF($D$2:$D685,$D685)=1,1,0))</f>
        <v/>
      </c>
      <c r="AL685">
        <f>IF($AK685=1,SUMPRODUCT(--($AO$2:$AO$1601&lt;$AO685))+1,"")</f>
        <v/>
      </c>
      <c r="AM685">
        <f>IF($D685="","",IF(OR($R685=TRUE(),$R685="TRUE"),1,0))</f>
        <v/>
      </c>
      <c r="AN685">
        <f>IF($D685="","",IF($AA685="Yes",1,0))</f>
        <v/>
      </c>
      <c r="AO685">
        <f>IF($AK685=1,IFERROR(IF(VALUE($D685)&lt;100000000,VALUE($D685),1000000000),IFERROR(IF(VALUE(MID($D685,2,20))&lt;100000000,VALUE(MID($D685,2,20)),1000000000),1000000000))+ROW()/100000,"")</f>
        <v/>
      </c>
    </row>
    <row r="686">
      <c r="F686" s="11" t="n"/>
      <c r="N686" s="7">
        <f>IF($D686="","",M686*X686/100)</f>
        <v/>
      </c>
      <c r="O686" s="7" t="n"/>
      <c r="U686" s="7" t="n"/>
      <c r="V686" s="7" t="n"/>
      <c r="W686" s="7">
        <f>IF($D686="","",V686*AB686/100)</f>
        <v/>
      </c>
      <c r="X686" s="7">
        <f>IF($D686="","",V686-W686)</f>
        <v/>
      </c>
      <c r="Y686" s="7">
        <f>IF($D686="","",X686-N686)</f>
        <v/>
      </c>
      <c r="AB686">
        <f>IF($D686="","",IF($AN686=1,Settings!$C$8,IF($AM686=1,Settings!$C$6,Settings!$C$7))*100)</f>
        <v/>
      </c>
      <c r="AF686" s="7" t="n"/>
      <c r="AI686" s="11" t="n"/>
      <c r="AK686">
        <f>IF($D686="","",IF(COUNTIF($D$2:$D686,$D686)=1,1,0))</f>
        <v/>
      </c>
      <c r="AL686">
        <f>IF($AK686=1,SUMPRODUCT(--($AO$2:$AO$1601&lt;$AO686))+1,"")</f>
        <v/>
      </c>
      <c r="AM686">
        <f>IF($D686="","",IF(OR($R686=TRUE(),$R686="TRUE"),1,0))</f>
        <v/>
      </c>
      <c r="AN686">
        <f>IF($D686="","",IF($AA686="Yes",1,0))</f>
        <v/>
      </c>
      <c r="AO686">
        <f>IF($AK686=1,IFERROR(IF(VALUE($D686)&lt;100000000,VALUE($D686),1000000000),IFERROR(IF(VALUE(MID($D686,2,20))&lt;100000000,VALUE(MID($D686,2,20)),1000000000),1000000000))+ROW()/100000,"")</f>
        <v/>
      </c>
    </row>
    <row r="687">
      <c r="F687" s="11" t="n"/>
      <c r="N687" s="7">
        <f>IF($D687="","",M687*X687/100)</f>
        <v/>
      </c>
      <c r="O687" s="7" t="n"/>
      <c r="U687" s="7" t="n"/>
      <c r="V687" s="7" t="n"/>
      <c r="W687" s="7">
        <f>IF($D687="","",V687*AB687/100)</f>
        <v/>
      </c>
      <c r="X687" s="7">
        <f>IF($D687="","",V687-W687)</f>
        <v/>
      </c>
      <c r="Y687" s="7">
        <f>IF($D687="","",X687-N687)</f>
        <v/>
      </c>
      <c r="AB687">
        <f>IF($D687="","",IF($AN687=1,Settings!$C$8,IF($AM687=1,Settings!$C$6,Settings!$C$7))*100)</f>
        <v/>
      </c>
      <c r="AF687" s="7" t="n"/>
      <c r="AI687" s="11" t="n"/>
      <c r="AK687">
        <f>IF($D687="","",IF(COUNTIF($D$2:$D687,$D687)=1,1,0))</f>
        <v/>
      </c>
      <c r="AL687">
        <f>IF($AK687=1,SUMPRODUCT(--($AO$2:$AO$1601&lt;$AO687))+1,"")</f>
        <v/>
      </c>
      <c r="AM687">
        <f>IF($D687="","",IF(OR($R687=TRUE(),$R687="TRUE"),1,0))</f>
        <v/>
      </c>
      <c r="AN687">
        <f>IF($D687="","",IF($AA687="Yes",1,0))</f>
        <v/>
      </c>
      <c r="AO687">
        <f>IF($AK687=1,IFERROR(IF(VALUE($D687)&lt;100000000,VALUE($D687),1000000000),IFERROR(IF(VALUE(MID($D687,2,20))&lt;100000000,VALUE(MID($D687,2,20)),1000000000),1000000000))+ROW()/100000,"")</f>
        <v/>
      </c>
    </row>
    <row r="688">
      <c r="F688" s="11" t="n"/>
      <c r="N688" s="7">
        <f>IF($D688="","",M688*X688/100)</f>
        <v/>
      </c>
      <c r="O688" s="7" t="n"/>
      <c r="U688" s="7" t="n"/>
      <c r="V688" s="7" t="n"/>
      <c r="W688" s="7">
        <f>IF($D688="","",V688*AB688/100)</f>
        <v/>
      </c>
      <c r="X688" s="7">
        <f>IF($D688="","",V688-W688)</f>
        <v/>
      </c>
      <c r="Y688" s="7">
        <f>IF($D688="","",X688-N688)</f>
        <v/>
      </c>
      <c r="AB688">
        <f>IF($D688="","",IF($AN688=1,Settings!$C$8,IF($AM688=1,Settings!$C$6,Settings!$C$7))*100)</f>
        <v/>
      </c>
      <c r="AF688" s="7" t="n"/>
      <c r="AI688" s="11" t="n"/>
      <c r="AK688">
        <f>IF($D688="","",IF(COUNTIF($D$2:$D688,$D688)=1,1,0))</f>
        <v/>
      </c>
      <c r="AL688">
        <f>IF($AK688=1,SUMPRODUCT(--($AO$2:$AO$1601&lt;$AO688))+1,"")</f>
        <v/>
      </c>
      <c r="AM688">
        <f>IF($D688="","",IF(OR($R688=TRUE(),$R688="TRUE"),1,0))</f>
        <v/>
      </c>
      <c r="AN688">
        <f>IF($D688="","",IF($AA688="Yes",1,0))</f>
        <v/>
      </c>
      <c r="AO688">
        <f>IF($AK688=1,IFERROR(IF(VALUE($D688)&lt;100000000,VALUE($D688),1000000000),IFERROR(IF(VALUE(MID($D688,2,20))&lt;100000000,VALUE(MID($D688,2,20)),1000000000),1000000000))+ROW()/100000,"")</f>
        <v/>
      </c>
    </row>
    <row r="689">
      <c r="F689" s="11" t="n"/>
      <c r="N689" s="7">
        <f>IF($D689="","",M689*X689/100)</f>
        <v/>
      </c>
      <c r="O689" s="7" t="n"/>
      <c r="U689" s="7" t="n"/>
      <c r="V689" s="7" t="n"/>
      <c r="W689" s="7">
        <f>IF($D689="","",V689*AB689/100)</f>
        <v/>
      </c>
      <c r="X689" s="7">
        <f>IF($D689="","",V689-W689)</f>
        <v/>
      </c>
      <c r="Y689" s="7">
        <f>IF($D689="","",X689-N689)</f>
        <v/>
      </c>
      <c r="AB689">
        <f>IF($D689="","",IF($AN689=1,Settings!$C$8,IF($AM689=1,Settings!$C$6,Settings!$C$7))*100)</f>
        <v/>
      </c>
      <c r="AF689" s="7" t="n"/>
      <c r="AI689" s="11" t="n"/>
      <c r="AK689">
        <f>IF($D689="","",IF(COUNTIF($D$2:$D689,$D689)=1,1,0))</f>
        <v/>
      </c>
      <c r="AL689">
        <f>IF($AK689=1,SUMPRODUCT(--($AO$2:$AO$1601&lt;$AO689))+1,"")</f>
        <v/>
      </c>
      <c r="AM689">
        <f>IF($D689="","",IF(OR($R689=TRUE(),$R689="TRUE"),1,0))</f>
        <v/>
      </c>
      <c r="AN689">
        <f>IF($D689="","",IF($AA689="Yes",1,0))</f>
        <v/>
      </c>
      <c r="AO689">
        <f>IF($AK689=1,IFERROR(IF(VALUE($D689)&lt;100000000,VALUE($D689),1000000000),IFERROR(IF(VALUE(MID($D689,2,20))&lt;100000000,VALUE(MID($D689,2,20)),1000000000),1000000000))+ROW()/100000,"")</f>
        <v/>
      </c>
    </row>
    <row r="690">
      <c r="F690" s="11" t="n"/>
      <c r="N690" s="7">
        <f>IF($D690="","",M690*X690/100)</f>
        <v/>
      </c>
      <c r="O690" s="7" t="n"/>
      <c r="U690" s="7" t="n"/>
      <c r="V690" s="7" t="n"/>
      <c r="W690" s="7">
        <f>IF($D690="","",V690*AB690/100)</f>
        <v/>
      </c>
      <c r="X690" s="7">
        <f>IF($D690="","",V690-W690)</f>
        <v/>
      </c>
      <c r="Y690" s="7">
        <f>IF($D690="","",X690-N690)</f>
        <v/>
      </c>
      <c r="AB690">
        <f>IF($D690="","",IF($AN690=1,Settings!$C$8,IF($AM690=1,Settings!$C$6,Settings!$C$7))*100)</f>
        <v/>
      </c>
      <c r="AF690" s="7" t="n"/>
      <c r="AI690" s="11" t="n"/>
      <c r="AK690">
        <f>IF($D690="","",IF(COUNTIF($D$2:$D690,$D690)=1,1,0))</f>
        <v/>
      </c>
      <c r="AL690">
        <f>IF($AK690=1,SUMPRODUCT(--($AO$2:$AO$1601&lt;$AO690))+1,"")</f>
        <v/>
      </c>
      <c r="AM690">
        <f>IF($D690="","",IF(OR($R690=TRUE(),$R690="TRUE"),1,0))</f>
        <v/>
      </c>
      <c r="AN690">
        <f>IF($D690="","",IF($AA690="Yes",1,0))</f>
        <v/>
      </c>
      <c r="AO690">
        <f>IF($AK690=1,IFERROR(IF(VALUE($D690)&lt;100000000,VALUE($D690),1000000000),IFERROR(IF(VALUE(MID($D690,2,20))&lt;100000000,VALUE(MID($D690,2,20)),1000000000),1000000000))+ROW()/100000,"")</f>
        <v/>
      </c>
    </row>
    <row r="691">
      <c r="F691" s="11" t="n"/>
      <c r="N691" s="7">
        <f>IF($D691="","",M691*X691/100)</f>
        <v/>
      </c>
      <c r="O691" s="7" t="n"/>
      <c r="U691" s="7" t="n"/>
      <c r="V691" s="7" t="n"/>
      <c r="W691" s="7">
        <f>IF($D691="","",V691*AB691/100)</f>
        <v/>
      </c>
      <c r="X691" s="7">
        <f>IF($D691="","",V691-W691)</f>
        <v/>
      </c>
      <c r="Y691" s="7">
        <f>IF($D691="","",X691-N691)</f>
        <v/>
      </c>
      <c r="AB691">
        <f>IF($D691="","",IF($AN691=1,Settings!$C$8,IF($AM691=1,Settings!$C$6,Settings!$C$7))*100)</f>
        <v/>
      </c>
      <c r="AF691" s="7" t="n"/>
      <c r="AI691" s="11" t="n"/>
      <c r="AK691">
        <f>IF($D691="","",IF(COUNTIF($D$2:$D691,$D691)=1,1,0))</f>
        <v/>
      </c>
      <c r="AL691">
        <f>IF($AK691=1,SUMPRODUCT(--($AO$2:$AO$1601&lt;$AO691))+1,"")</f>
        <v/>
      </c>
      <c r="AM691">
        <f>IF($D691="","",IF(OR($R691=TRUE(),$R691="TRUE"),1,0))</f>
        <v/>
      </c>
      <c r="AN691">
        <f>IF($D691="","",IF($AA691="Yes",1,0))</f>
        <v/>
      </c>
      <c r="AO691">
        <f>IF($AK691=1,IFERROR(IF(VALUE($D691)&lt;100000000,VALUE($D691),1000000000),IFERROR(IF(VALUE(MID($D691,2,20))&lt;100000000,VALUE(MID($D691,2,20)),1000000000),1000000000))+ROW()/100000,"")</f>
        <v/>
      </c>
    </row>
    <row r="692">
      <c r="F692" s="11" t="n"/>
      <c r="N692" s="7">
        <f>IF($D692="","",M692*X692/100)</f>
        <v/>
      </c>
      <c r="O692" s="7" t="n"/>
      <c r="U692" s="7" t="n"/>
      <c r="V692" s="7" t="n"/>
      <c r="W692" s="7">
        <f>IF($D692="","",V692*AB692/100)</f>
        <v/>
      </c>
      <c r="X692" s="7">
        <f>IF($D692="","",V692-W692)</f>
        <v/>
      </c>
      <c r="Y692" s="7">
        <f>IF($D692="","",X692-N692)</f>
        <v/>
      </c>
      <c r="AB692">
        <f>IF($D692="","",IF($AN692=1,Settings!$C$8,IF($AM692=1,Settings!$C$6,Settings!$C$7))*100)</f>
        <v/>
      </c>
      <c r="AF692" s="7" t="n"/>
      <c r="AI692" s="11" t="n"/>
      <c r="AK692">
        <f>IF($D692="","",IF(COUNTIF($D$2:$D692,$D692)=1,1,0))</f>
        <v/>
      </c>
      <c r="AL692">
        <f>IF($AK692=1,SUMPRODUCT(--($AO$2:$AO$1601&lt;$AO692))+1,"")</f>
        <v/>
      </c>
      <c r="AM692">
        <f>IF($D692="","",IF(OR($R692=TRUE(),$R692="TRUE"),1,0))</f>
        <v/>
      </c>
      <c r="AN692">
        <f>IF($D692="","",IF($AA692="Yes",1,0))</f>
        <v/>
      </c>
      <c r="AO692">
        <f>IF($AK692=1,IFERROR(IF(VALUE($D692)&lt;100000000,VALUE($D692),1000000000),IFERROR(IF(VALUE(MID($D692,2,20))&lt;100000000,VALUE(MID($D692,2,20)),1000000000),1000000000))+ROW()/100000,"")</f>
        <v/>
      </c>
    </row>
    <row r="693">
      <c r="F693" s="11" t="n"/>
      <c r="N693" s="7">
        <f>IF($D693="","",M693*X693/100)</f>
        <v/>
      </c>
      <c r="O693" s="7" t="n"/>
      <c r="U693" s="7" t="n"/>
      <c r="V693" s="7" t="n"/>
      <c r="W693" s="7">
        <f>IF($D693="","",V693*AB693/100)</f>
        <v/>
      </c>
      <c r="X693" s="7">
        <f>IF($D693="","",V693-W693)</f>
        <v/>
      </c>
      <c r="Y693" s="7">
        <f>IF($D693="","",X693-N693)</f>
        <v/>
      </c>
      <c r="AB693">
        <f>IF($D693="","",IF($AN693=1,Settings!$C$8,IF($AM693=1,Settings!$C$6,Settings!$C$7))*100)</f>
        <v/>
      </c>
      <c r="AF693" s="7" t="n"/>
      <c r="AI693" s="11" t="n"/>
      <c r="AK693">
        <f>IF($D693="","",IF(COUNTIF($D$2:$D693,$D693)=1,1,0))</f>
        <v/>
      </c>
      <c r="AL693">
        <f>IF($AK693=1,SUMPRODUCT(--($AO$2:$AO$1601&lt;$AO693))+1,"")</f>
        <v/>
      </c>
      <c r="AM693">
        <f>IF($D693="","",IF(OR($R693=TRUE(),$R693="TRUE"),1,0))</f>
        <v/>
      </c>
      <c r="AN693">
        <f>IF($D693="","",IF($AA693="Yes",1,0))</f>
        <v/>
      </c>
      <c r="AO693">
        <f>IF($AK693=1,IFERROR(IF(VALUE($D693)&lt;100000000,VALUE($D693),1000000000),IFERROR(IF(VALUE(MID($D693,2,20))&lt;100000000,VALUE(MID($D693,2,20)),1000000000),1000000000))+ROW()/100000,"")</f>
        <v/>
      </c>
    </row>
    <row r="694">
      <c r="F694" s="11" t="n"/>
      <c r="N694" s="7">
        <f>IF($D694="","",M694*X694/100)</f>
        <v/>
      </c>
      <c r="O694" s="7" t="n"/>
      <c r="U694" s="7" t="n"/>
      <c r="V694" s="7" t="n"/>
      <c r="W694" s="7">
        <f>IF($D694="","",V694*AB694/100)</f>
        <v/>
      </c>
      <c r="X694" s="7">
        <f>IF($D694="","",V694-W694)</f>
        <v/>
      </c>
      <c r="Y694" s="7">
        <f>IF($D694="","",X694-N694)</f>
        <v/>
      </c>
      <c r="AB694">
        <f>IF($D694="","",IF($AN694=1,Settings!$C$8,IF($AM694=1,Settings!$C$6,Settings!$C$7))*100)</f>
        <v/>
      </c>
      <c r="AF694" s="7" t="n"/>
      <c r="AI694" s="11" t="n"/>
      <c r="AK694">
        <f>IF($D694="","",IF(COUNTIF($D$2:$D694,$D694)=1,1,0))</f>
        <v/>
      </c>
      <c r="AL694">
        <f>IF($AK694=1,SUMPRODUCT(--($AO$2:$AO$1601&lt;$AO694))+1,"")</f>
        <v/>
      </c>
      <c r="AM694">
        <f>IF($D694="","",IF(OR($R694=TRUE(),$R694="TRUE"),1,0))</f>
        <v/>
      </c>
      <c r="AN694">
        <f>IF($D694="","",IF($AA694="Yes",1,0))</f>
        <v/>
      </c>
      <c r="AO694">
        <f>IF($AK694=1,IFERROR(IF(VALUE($D694)&lt;100000000,VALUE($D694),1000000000),IFERROR(IF(VALUE(MID($D694,2,20))&lt;100000000,VALUE(MID($D694,2,20)),1000000000),1000000000))+ROW()/100000,"")</f>
        <v/>
      </c>
    </row>
    <row r="695">
      <c r="F695" s="11" t="n"/>
      <c r="N695" s="7">
        <f>IF($D695="","",M695*X695/100)</f>
        <v/>
      </c>
      <c r="O695" s="7" t="n"/>
      <c r="U695" s="7" t="n"/>
      <c r="V695" s="7" t="n"/>
      <c r="W695" s="7">
        <f>IF($D695="","",V695*AB695/100)</f>
        <v/>
      </c>
      <c r="X695" s="7">
        <f>IF($D695="","",V695-W695)</f>
        <v/>
      </c>
      <c r="Y695" s="7">
        <f>IF($D695="","",X695-N695)</f>
        <v/>
      </c>
      <c r="AB695">
        <f>IF($D695="","",IF($AN695=1,Settings!$C$8,IF($AM695=1,Settings!$C$6,Settings!$C$7))*100)</f>
        <v/>
      </c>
      <c r="AF695" s="7" t="n"/>
      <c r="AI695" s="11" t="n"/>
      <c r="AK695">
        <f>IF($D695="","",IF(COUNTIF($D$2:$D695,$D695)=1,1,0))</f>
        <v/>
      </c>
      <c r="AL695">
        <f>IF($AK695=1,SUMPRODUCT(--($AO$2:$AO$1601&lt;$AO695))+1,"")</f>
        <v/>
      </c>
      <c r="AM695">
        <f>IF($D695="","",IF(OR($R695=TRUE(),$R695="TRUE"),1,0))</f>
        <v/>
      </c>
      <c r="AN695">
        <f>IF($D695="","",IF($AA695="Yes",1,0))</f>
        <v/>
      </c>
      <c r="AO695">
        <f>IF($AK695=1,IFERROR(IF(VALUE($D695)&lt;100000000,VALUE($D695),1000000000),IFERROR(IF(VALUE(MID($D695,2,20))&lt;100000000,VALUE(MID($D695,2,20)),1000000000),1000000000))+ROW()/100000,"")</f>
        <v/>
      </c>
    </row>
    <row r="696">
      <c r="F696" s="11" t="n"/>
      <c r="N696" s="7">
        <f>IF($D696="","",M696*X696/100)</f>
        <v/>
      </c>
      <c r="O696" s="7" t="n"/>
      <c r="U696" s="7" t="n"/>
      <c r="V696" s="7" t="n"/>
      <c r="W696" s="7">
        <f>IF($D696="","",V696*AB696/100)</f>
        <v/>
      </c>
      <c r="X696" s="7">
        <f>IF($D696="","",V696-W696)</f>
        <v/>
      </c>
      <c r="Y696" s="7">
        <f>IF($D696="","",X696-N696)</f>
        <v/>
      </c>
      <c r="AB696">
        <f>IF($D696="","",IF($AN696=1,Settings!$C$8,IF($AM696=1,Settings!$C$6,Settings!$C$7))*100)</f>
        <v/>
      </c>
      <c r="AF696" s="7" t="n"/>
      <c r="AI696" s="11" t="n"/>
      <c r="AK696">
        <f>IF($D696="","",IF(COUNTIF($D$2:$D696,$D696)=1,1,0))</f>
        <v/>
      </c>
      <c r="AL696">
        <f>IF($AK696=1,SUMPRODUCT(--($AO$2:$AO$1601&lt;$AO696))+1,"")</f>
        <v/>
      </c>
      <c r="AM696">
        <f>IF($D696="","",IF(OR($R696=TRUE(),$R696="TRUE"),1,0))</f>
        <v/>
      </c>
      <c r="AN696">
        <f>IF($D696="","",IF($AA696="Yes",1,0))</f>
        <v/>
      </c>
      <c r="AO696">
        <f>IF($AK696=1,IFERROR(IF(VALUE($D696)&lt;100000000,VALUE($D696),1000000000),IFERROR(IF(VALUE(MID($D696,2,20))&lt;100000000,VALUE(MID($D696,2,20)),1000000000),1000000000))+ROW()/100000,"")</f>
        <v/>
      </c>
    </row>
    <row r="697">
      <c r="F697" s="11" t="n"/>
      <c r="N697" s="7">
        <f>IF($D697="","",M697*X697/100)</f>
        <v/>
      </c>
      <c r="O697" s="7" t="n"/>
      <c r="U697" s="7" t="n"/>
      <c r="V697" s="7" t="n"/>
      <c r="W697" s="7">
        <f>IF($D697="","",V697*AB697/100)</f>
        <v/>
      </c>
      <c r="X697" s="7">
        <f>IF($D697="","",V697-W697)</f>
        <v/>
      </c>
      <c r="Y697" s="7">
        <f>IF($D697="","",X697-N697)</f>
        <v/>
      </c>
      <c r="AB697">
        <f>IF($D697="","",IF($AN697=1,Settings!$C$8,IF($AM697=1,Settings!$C$6,Settings!$C$7))*100)</f>
        <v/>
      </c>
      <c r="AF697" s="7" t="n"/>
      <c r="AI697" s="11" t="n"/>
      <c r="AK697">
        <f>IF($D697="","",IF(COUNTIF($D$2:$D697,$D697)=1,1,0))</f>
        <v/>
      </c>
      <c r="AL697">
        <f>IF($AK697=1,SUMPRODUCT(--($AO$2:$AO$1601&lt;$AO697))+1,"")</f>
        <v/>
      </c>
      <c r="AM697">
        <f>IF($D697="","",IF(OR($R697=TRUE(),$R697="TRUE"),1,0))</f>
        <v/>
      </c>
      <c r="AN697">
        <f>IF($D697="","",IF($AA697="Yes",1,0))</f>
        <v/>
      </c>
      <c r="AO697">
        <f>IF($AK697=1,IFERROR(IF(VALUE($D697)&lt;100000000,VALUE($D697),1000000000),IFERROR(IF(VALUE(MID($D697,2,20))&lt;100000000,VALUE(MID($D697,2,20)),1000000000),1000000000))+ROW()/100000,"")</f>
        <v/>
      </c>
    </row>
    <row r="698">
      <c r="F698" s="11" t="n"/>
      <c r="N698" s="7">
        <f>IF($D698="","",M698*X698/100)</f>
        <v/>
      </c>
      <c r="O698" s="7" t="n"/>
      <c r="U698" s="7" t="n"/>
      <c r="V698" s="7" t="n"/>
      <c r="W698" s="7">
        <f>IF($D698="","",V698*AB698/100)</f>
        <v/>
      </c>
      <c r="X698" s="7">
        <f>IF($D698="","",V698-W698)</f>
        <v/>
      </c>
      <c r="Y698" s="7">
        <f>IF($D698="","",X698-N698)</f>
        <v/>
      </c>
      <c r="AB698">
        <f>IF($D698="","",IF($AN698=1,Settings!$C$8,IF($AM698=1,Settings!$C$6,Settings!$C$7))*100)</f>
        <v/>
      </c>
      <c r="AF698" s="7" t="n"/>
      <c r="AI698" s="11" t="n"/>
      <c r="AK698">
        <f>IF($D698="","",IF(COUNTIF($D$2:$D698,$D698)=1,1,0))</f>
        <v/>
      </c>
      <c r="AL698">
        <f>IF($AK698=1,SUMPRODUCT(--($AO$2:$AO$1601&lt;$AO698))+1,"")</f>
        <v/>
      </c>
      <c r="AM698">
        <f>IF($D698="","",IF(OR($R698=TRUE(),$R698="TRUE"),1,0))</f>
        <v/>
      </c>
      <c r="AN698">
        <f>IF($D698="","",IF($AA698="Yes",1,0))</f>
        <v/>
      </c>
      <c r="AO698">
        <f>IF($AK698=1,IFERROR(IF(VALUE($D698)&lt;100000000,VALUE($D698),1000000000),IFERROR(IF(VALUE(MID($D698,2,20))&lt;100000000,VALUE(MID($D698,2,20)),1000000000),1000000000))+ROW()/100000,"")</f>
        <v/>
      </c>
    </row>
    <row r="699">
      <c r="F699" s="11" t="n"/>
      <c r="N699" s="7">
        <f>IF($D699="","",M699*X699/100)</f>
        <v/>
      </c>
      <c r="O699" s="7" t="n"/>
      <c r="U699" s="7" t="n"/>
      <c r="V699" s="7" t="n"/>
      <c r="W699" s="7">
        <f>IF($D699="","",V699*AB699/100)</f>
        <v/>
      </c>
      <c r="X699" s="7">
        <f>IF($D699="","",V699-W699)</f>
        <v/>
      </c>
      <c r="Y699" s="7">
        <f>IF($D699="","",X699-N699)</f>
        <v/>
      </c>
      <c r="AB699">
        <f>IF($D699="","",IF($AN699=1,Settings!$C$8,IF($AM699=1,Settings!$C$6,Settings!$C$7))*100)</f>
        <v/>
      </c>
      <c r="AF699" s="7" t="n"/>
      <c r="AI699" s="11" t="n"/>
      <c r="AK699">
        <f>IF($D699="","",IF(COUNTIF($D$2:$D699,$D699)=1,1,0))</f>
        <v/>
      </c>
      <c r="AL699">
        <f>IF($AK699=1,SUMPRODUCT(--($AO$2:$AO$1601&lt;$AO699))+1,"")</f>
        <v/>
      </c>
      <c r="AM699">
        <f>IF($D699="","",IF(OR($R699=TRUE(),$R699="TRUE"),1,0))</f>
        <v/>
      </c>
      <c r="AN699">
        <f>IF($D699="","",IF($AA699="Yes",1,0))</f>
        <v/>
      </c>
      <c r="AO699">
        <f>IF($AK699=1,IFERROR(IF(VALUE($D699)&lt;100000000,VALUE($D699),1000000000),IFERROR(IF(VALUE(MID($D699,2,20))&lt;100000000,VALUE(MID($D699,2,20)),1000000000),1000000000))+ROW()/100000,"")</f>
        <v/>
      </c>
    </row>
    <row r="700">
      <c r="F700" s="11" t="n"/>
      <c r="N700" s="7">
        <f>IF($D700="","",M700*X700/100)</f>
        <v/>
      </c>
      <c r="O700" s="7" t="n"/>
      <c r="U700" s="7" t="n"/>
      <c r="V700" s="7" t="n"/>
      <c r="W700" s="7">
        <f>IF($D700="","",V700*AB700/100)</f>
        <v/>
      </c>
      <c r="X700" s="7">
        <f>IF($D700="","",V700-W700)</f>
        <v/>
      </c>
      <c r="Y700" s="7">
        <f>IF($D700="","",X700-N700)</f>
        <v/>
      </c>
      <c r="AB700">
        <f>IF($D700="","",IF($AN700=1,Settings!$C$8,IF($AM700=1,Settings!$C$6,Settings!$C$7))*100)</f>
        <v/>
      </c>
      <c r="AF700" s="7" t="n"/>
      <c r="AI700" s="11" t="n"/>
      <c r="AK700">
        <f>IF($D700="","",IF(COUNTIF($D$2:$D700,$D700)=1,1,0))</f>
        <v/>
      </c>
      <c r="AL700">
        <f>IF($AK700=1,SUMPRODUCT(--($AO$2:$AO$1601&lt;$AO700))+1,"")</f>
        <v/>
      </c>
      <c r="AM700">
        <f>IF($D700="","",IF(OR($R700=TRUE(),$R700="TRUE"),1,0))</f>
        <v/>
      </c>
      <c r="AN700">
        <f>IF($D700="","",IF($AA700="Yes",1,0))</f>
        <v/>
      </c>
      <c r="AO700">
        <f>IF($AK700=1,IFERROR(IF(VALUE($D700)&lt;100000000,VALUE($D700),1000000000),IFERROR(IF(VALUE(MID($D700,2,20))&lt;100000000,VALUE(MID($D700,2,20)),1000000000),1000000000))+ROW()/100000,"")</f>
        <v/>
      </c>
    </row>
    <row r="701">
      <c r="F701" s="11" t="n"/>
      <c r="N701" s="7">
        <f>IF($D701="","",M701*X701/100)</f>
        <v/>
      </c>
      <c r="O701" s="7" t="n"/>
      <c r="U701" s="7" t="n"/>
      <c r="V701" s="7" t="n"/>
      <c r="W701" s="7">
        <f>IF($D701="","",V701*AB701/100)</f>
        <v/>
      </c>
      <c r="X701" s="7">
        <f>IF($D701="","",V701-W701)</f>
        <v/>
      </c>
      <c r="Y701" s="7">
        <f>IF($D701="","",X701-N701)</f>
        <v/>
      </c>
      <c r="AB701">
        <f>IF($D701="","",IF($AN701=1,Settings!$C$8,IF($AM701=1,Settings!$C$6,Settings!$C$7))*100)</f>
        <v/>
      </c>
      <c r="AF701" s="7" t="n"/>
      <c r="AI701" s="11" t="n"/>
      <c r="AK701">
        <f>IF($D701="","",IF(COUNTIF($D$2:$D701,$D701)=1,1,0))</f>
        <v/>
      </c>
      <c r="AL701">
        <f>IF($AK701=1,SUMPRODUCT(--($AO$2:$AO$1601&lt;$AO701))+1,"")</f>
        <v/>
      </c>
      <c r="AM701">
        <f>IF($D701="","",IF(OR($R701=TRUE(),$R701="TRUE"),1,0))</f>
        <v/>
      </c>
      <c r="AN701">
        <f>IF($D701="","",IF($AA701="Yes",1,0))</f>
        <v/>
      </c>
      <c r="AO701">
        <f>IF($AK701=1,IFERROR(IF(VALUE($D701)&lt;100000000,VALUE($D701),1000000000),IFERROR(IF(VALUE(MID($D701,2,20))&lt;100000000,VALUE(MID($D701,2,20)),1000000000),1000000000))+ROW()/100000,"")</f>
        <v/>
      </c>
    </row>
    <row r="702">
      <c r="F702" s="11" t="n"/>
      <c r="N702" s="7">
        <f>IF($D702="","",M702*X702/100)</f>
        <v/>
      </c>
      <c r="O702" s="7" t="n"/>
      <c r="U702" s="7" t="n"/>
      <c r="V702" s="7" t="n"/>
      <c r="W702" s="7">
        <f>IF($D702="","",V702*AB702/100)</f>
        <v/>
      </c>
      <c r="X702" s="7">
        <f>IF($D702="","",V702-W702)</f>
        <v/>
      </c>
      <c r="Y702" s="7">
        <f>IF($D702="","",X702-N702)</f>
        <v/>
      </c>
      <c r="AB702">
        <f>IF($D702="","",IF($AN702=1,Settings!$C$8,IF($AM702=1,Settings!$C$6,Settings!$C$7))*100)</f>
        <v/>
      </c>
      <c r="AF702" s="7" t="n"/>
      <c r="AI702" s="11" t="n"/>
      <c r="AK702">
        <f>IF($D702="","",IF(COUNTIF($D$2:$D702,$D702)=1,1,0))</f>
        <v/>
      </c>
      <c r="AL702">
        <f>IF($AK702=1,SUMPRODUCT(--($AO$2:$AO$1601&lt;$AO702))+1,"")</f>
        <v/>
      </c>
      <c r="AM702">
        <f>IF($D702="","",IF(OR($R702=TRUE(),$R702="TRUE"),1,0))</f>
        <v/>
      </c>
      <c r="AN702">
        <f>IF($D702="","",IF($AA702="Yes",1,0))</f>
        <v/>
      </c>
      <c r="AO702">
        <f>IF($AK702=1,IFERROR(IF(VALUE($D702)&lt;100000000,VALUE($D702),1000000000),IFERROR(IF(VALUE(MID($D702,2,20))&lt;100000000,VALUE(MID($D702,2,20)),1000000000),1000000000))+ROW()/100000,"")</f>
        <v/>
      </c>
    </row>
    <row r="703">
      <c r="F703" s="11" t="n"/>
      <c r="N703" s="7">
        <f>IF($D703="","",M703*X703/100)</f>
        <v/>
      </c>
      <c r="O703" s="7" t="n"/>
      <c r="U703" s="7" t="n"/>
      <c r="V703" s="7" t="n"/>
      <c r="W703" s="7">
        <f>IF($D703="","",V703*AB703/100)</f>
        <v/>
      </c>
      <c r="X703" s="7">
        <f>IF($D703="","",V703-W703)</f>
        <v/>
      </c>
      <c r="Y703" s="7">
        <f>IF($D703="","",X703-N703)</f>
        <v/>
      </c>
      <c r="AB703">
        <f>IF($D703="","",IF($AN703=1,Settings!$C$8,IF($AM703=1,Settings!$C$6,Settings!$C$7))*100)</f>
        <v/>
      </c>
      <c r="AF703" s="7" t="n"/>
      <c r="AI703" s="11" t="n"/>
      <c r="AK703">
        <f>IF($D703="","",IF(COUNTIF($D$2:$D703,$D703)=1,1,0))</f>
        <v/>
      </c>
      <c r="AL703">
        <f>IF($AK703=1,SUMPRODUCT(--($AO$2:$AO$1601&lt;$AO703))+1,"")</f>
        <v/>
      </c>
      <c r="AM703">
        <f>IF($D703="","",IF(OR($R703=TRUE(),$R703="TRUE"),1,0))</f>
        <v/>
      </c>
      <c r="AN703">
        <f>IF($D703="","",IF($AA703="Yes",1,0))</f>
        <v/>
      </c>
      <c r="AO703">
        <f>IF($AK703=1,IFERROR(IF(VALUE($D703)&lt;100000000,VALUE($D703),1000000000),IFERROR(IF(VALUE(MID($D703,2,20))&lt;100000000,VALUE(MID($D703,2,20)),1000000000),1000000000))+ROW()/100000,"")</f>
        <v/>
      </c>
    </row>
    <row r="704">
      <c r="F704" s="11" t="n"/>
      <c r="N704" s="7">
        <f>IF($D704="","",M704*X704/100)</f>
        <v/>
      </c>
      <c r="O704" s="7" t="n"/>
      <c r="U704" s="7" t="n"/>
      <c r="V704" s="7" t="n"/>
      <c r="W704" s="7">
        <f>IF($D704="","",V704*AB704/100)</f>
        <v/>
      </c>
      <c r="X704" s="7">
        <f>IF($D704="","",V704-W704)</f>
        <v/>
      </c>
      <c r="Y704" s="7">
        <f>IF($D704="","",X704-N704)</f>
        <v/>
      </c>
      <c r="AB704">
        <f>IF($D704="","",IF($AN704=1,Settings!$C$8,IF($AM704=1,Settings!$C$6,Settings!$C$7))*100)</f>
        <v/>
      </c>
      <c r="AF704" s="7" t="n"/>
      <c r="AI704" s="11" t="n"/>
      <c r="AK704">
        <f>IF($D704="","",IF(COUNTIF($D$2:$D704,$D704)=1,1,0))</f>
        <v/>
      </c>
      <c r="AL704">
        <f>IF($AK704=1,SUMPRODUCT(--($AO$2:$AO$1601&lt;$AO704))+1,"")</f>
        <v/>
      </c>
      <c r="AM704">
        <f>IF($D704="","",IF(OR($R704=TRUE(),$R704="TRUE"),1,0))</f>
        <v/>
      </c>
      <c r="AN704">
        <f>IF($D704="","",IF($AA704="Yes",1,0))</f>
        <v/>
      </c>
      <c r="AO704">
        <f>IF($AK704=1,IFERROR(IF(VALUE($D704)&lt;100000000,VALUE($D704),1000000000),IFERROR(IF(VALUE(MID($D704,2,20))&lt;100000000,VALUE(MID($D704,2,20)),1000000000),1000000000))+ROW()/100000,"")</f>
        <v/>
      </c>
    </row>
    <row r="705">
      <c r="F705" s="11" t="n"/>
      <c r="N705" s="7">
        <f>IF($D705="","",M705*X705/100)</f>
        <v/>
      </c>
      <c r="O705" s="7" t="n"/>
      <c r="U705" s="7" t="n"/>
      <c r="V705" s="7" t="n"/>
      <c r="W705" s="7">
        <f>IF($D705="","",V705*AB705/100)</f>
        <v/>
      </c>
      <c r="X705" s="7">
        <f>IF($D705="","",V705-W705)</f>
        <v/>
      </c>
      <c r="Y705" s="7">
        <f>IF($D705="","",X705-N705)</f>
        <v/>
      </c>
      <c r="AB705">
        <f>IF($D705="","",IF($AN705=1,Settings!$C$8,IF($AM705=1,Settings!$C$6,Settings!$C$7))*100)</f>
        <v/>
      </c>
      <c r="AF705" s="7" t="n"/>
      <c r="AI705" s="11" t="n"/>
      <c r="AK705">
        <f>IF($D705="","",IF(COUNTIF($D$2:$D705,$D705)=1,1,0))</f>
        <v/>
      </c>
      <c r="AL705">
        <f>IF($AK705=1,SUMPRODUCT(--($AO$2:$AO$1601&lt;$AO705))+1,"")</f>
        <v/>
      </c>
      <c r="AM705">
        <f>IF($D705="","",IF(OR($R705=TRUE(),$R705="TRUE"),1,0))</f>
        <v/>
      </c>
      <c r="AN705">
        <f>IF($D705="","",IF($AA705="Yes",1,0))</f>
        <v/>
      </c>
      <c r="AO705">
        <f>IF($AK705=1,IFERROR(IF(VALUE($D705)&lt;100000000,VALUE($D705),1000000000),IFERROR(IF(VALUE(MID($D705,2,20))&lt;100000000,VALUE(MID($D705,2,20)),1000000000),1000000000))+ROW()/100000,"")</f>
        <v/>
      </c>
    </row>
    <row r="706">
      <c r="F706" s="11" t="n"/>
      <c r="N706" s="7">
        <f>IF($D706="","",M706*X706/100)</f>
        <v/>
      </c>
      <c r="O706" s="7" t="n"/>
      <c r="U706" s="7" t="n"/>
      <c r="V706" s="7" t="n"/>
      <c r="W706" s="7">
        <f>IF($D706="","",V706*AB706/100)</f>
        <v/>
      </c>
      <c r="X706" s="7">
        <f>IF($D706="","",V706-W706)</f>
        <v/>
      </c>
      <c r="Y706" s="7">
        <f>IF($D706="","",X706-N706)</f>
        <v/>
      </c>
      <c r="AB706">
        <f>IF($D706="","",IF($AN706=1,Settings!$C$8,IF($AM706=1,Settings!$C$6,Settings!$C$7))*100)</f>
        <v/>
      </c>
      <c r="AF706" s="7" t="n"/>
      <c r="AI706" s="11" t="n"/>
      <c r="AK706">
        <f>IF($D706="","",IF(COUNTIF($D$2:$D706,$D706)=1,1,0))</f>
        <v/>
      </c>
      <c r="AL706">
        <f>IF($AK706=1,SUMPRODUCT(--($AO$2:$AO$1601&lt;$AO706))+1,"")</f>
        <v/>
      </c>
      <c r="AM706">
        <f>IF($D706="","",IF(OR($R706=TRUE(),$R706="TRUE"),1,0))</f>
        <v/>
      </c>
      <c r="AN706">
        <f>IF($D706="","",IF($AA706="Yes",1,0))</f>
        <v/>
      </c>
      <c r="AO706">
        <f>IF($AK706=1,IFERROR(IF(VALUE($D706)&lt;100000000,VALUE($D706),1000000000),IFERROR(IF(VALUE(MID($D706,2,20))&lt;100000000,VALUE(MID($D706,2,20)),1000000000),1000000000))+ROW()/100000,"")</f>
        <v/>
      </c>
    </row>
    <row r="707">
      <c r="F707" s="11" t="n"/>
      <c r="N707" s="7">
        <f>IF($D707="","",M707*X707/100)</f>
        <v/>
      </c>
      <c r="O707" s="7" t="n"/>
      <c r="U707" s="7" t="n"/>
      <c r="V707" s="7" t="n"/>
      <c r="W707" s="7">
        <f>IF($D707="","",V707*AB707/100)</f>
        <v/>
      </c>
      <c r="X707" s="7">
        <f>IF($D707="","",V707-W707)</f>
        <v/>
      </c>
      <c r="Y707" s="7">
        <f>IF($D707="","",X707-N707)</f>
        <v/>
      </c>
      <c r="AB707">
        <f>IF($D707="","",IF($AN707=1,Settings!$C$8,IF($AM707=1,Settings!$C$6,Settings!$C$7))*100)</f>
        <v/>
      </c>
      <c r="AF707" s="7" t="n"/>
      <c r="AI707" s="11" t="n"/>
      <c r="AK707">
        <f>IF($D707="","",IF(COUNTIF($D$2:$D707,$D707)=1,1,0))</f>
        <v/>
      </c>
      <c r="AL707">
        <f>IF($AK707=1,SUMPRODUCT(--($AO$2:$AO$1601&lt;$AO707))+1,"")</f>
        <v/>
      </c>
      <c r="AM707">
        <f>IF($D707="","",IF(OR($R707=TRUE(),$R707="TRUE"),1,0))</f>
        <v/>
      </c>
      <c r="AN707">
        <f>IF($D707="","",IF($AA707="Yes",1,0))</f>
        <v/>
      </c>
      <c r="AO707">
        <f>IF($AK707=1,IFERROR(IF(VALUE($D707)&lt;100000000,VALUE($D707),1000000000),IFERROR(IF(VALUE(MID($D707,2,20))&lt;100000000,VALUE(MID($D707,2,20)),1000000000),1000000000))+ROW()/100000,"")</f>
        <v/>
      </c>
    </row>
    <row r="708">
      <c r="F708" s="11" t="n"/>
      <c r="N708" s="7">
        <f>IF($D708="","",M708*X708/100)</f>
        <v/>
      </c>
      <c r="O708" s="7" t="n"/>
      <c r="U708" s="7" t="n"/>
      <c r="V708" s="7" t="n"/>
      <c r="W708" s="7">
        <f>IF($D708="","",V708*AB708/100)</f>
        <v/>
      </c>
      <c r="X708" s="7">
        <f>IF($D708="","",V708-W708)</f>
        <v/>
      </c>
      <c r="Y708" s="7">
        <f>IF($D708="","",X708-N708)</f>
        <v/>
      </c>
      <c r="AB708">
        <f>IF($D708="","",IF($AN708=1,Settings!$C$8,IF($AM708=1,Settings!$C$6,Settings!$C$7))*100)</f>
        <v/>
      </c>
      <c r="AF708" s="7" t="n"/>
      <c r="AI708" s="11" t="n"/>
      <c r="AK708">
        <f>IF($D708="","",IF(COUNTIF($D$2:$D708,$D708)=1,1,0))</f>
        <v/>
      </c>
      <c r="AL708">
        <f>IF($AK708=1,SUMPRODUCT(--($AO$2:$AO$1601&lt;$AO708))+1,"")</f>
        <v/>
      </c>
      <c r="AM708">
        <f>IF($D708="","",IF(OR($R708=TRUE(),$R708="TRUE"),1,0))</f>
        <v/>
      </c>
      <c r="AN708">
        <f>IF($D708="","",IF($AA708="Yes",1,0))</f>
        <v/>
      </c>
      <c r="AO708">
        <f>IF($AK708=1,IFERROR(IF(VALUE($D708)&lt;100000000,VALUE($D708),1000000000),IFERROR(IF(VALUE(MID($D708,2,20))&lt;100000000,VALUE(MID($D708,2,20)),1000000000),1000000000))+ROW()/100000,"")</f>
        <v/>
      </c>
    </row>
    <row r="709">
      <c r="F709" s="11" t="n"/>
      <c r="N709" s="7">
        <f>IF($D709="","",M709*X709/100)</f>
        <v/>
      </c>
      <c r="O709" s="7" t="n"/>
      <c r="U709" s="7" t="n"/>
      <c r="V709" s="7" t="n"/>
      <c r="W709" s="7">
        <f>IF($D709="","",V709*AB709/100)</f>
        <v/>
      </c>
      <c r="X709" s="7">
        <f>IF($D709="","",V709-W709)</f>
        <v/>
      </c>
      <c r="Y709" s="7">
        <f>IF($D709="","",X709-N709)</f>
        <v/>
      </c>
      <c r="AB709">
        <f>IF($D709="","",IF($AN709=1,Settings!$C$8,IF($AM709=1,Settings!$C$6,Settings!$C$7))*100)</f>
        <v/>
      </c>
      <c r="AF709" s="7" t="n"/>
      <c r="AI709" s="11" t="n"/>
      <c r="AK709">
        <f>IF($D709="","",IF(COUNTIF($D$2:$D709,$D709)=1,1,0))</f>
        <v/>
      </c>
      <c r="AL709">
        <f>IF($AK709=1,SUMPRODUCT(--($AO$2:$AO$1601&lt;$AO709))+1,"")</f>
        <v/>
      </c>
      <c r="AM709">
        <f>IF($D709="","",IF(OR($R709=TRUE(),$R709="TRUE"),1,0))</f>
        <v/>
      </c>
      <c r="AN709">
        <f>IF($D709="","",IF($AA709="Yes",1,0))</f>
        <v/>
      </c>
      <c r="AO709">
        <f>IF($AK709=1,IFERROR(IF(VALUE($D709)&lt;100000000,VALUE($D709),1000000000),IFERROR(IF(VALUE(MID($D709,2,20))&lt;100000000,VALUE(MID($D709,2,20)),1000000000),1000000000))+ROW()/100000,"")</f>
        <v/>
      </c>
    </row>
    <row r="710">
      <c r="F710" s="11" t="n"/>
      <c r="N710" s="7">
        <f>IF($D710="","",M710*X710/100)</f>
        <v/>
      </c>
      <c r="O710" s="7" t="n"/>
      <c r="U710" s="7" t="n"/>
      <c r="V710" s="7" t="n"/>
      <c r="W710" s="7">
        <f>IF($D710="","",V710*AB710/100)</f>
        <v/>
      </c>
      <c r="X710" s="7">
        <f>IF($D710="","",V710-W710)</f>
        <v/>
      </c>
      <c r="Y710" s="7">
        <f>IF($D710="","",X710-N710)</f>
        <v/>
      </c>
      <c r="AB710">
        <f>IF($D710="","",IF($AN710=1,Settings!$C$8,IF($AM710=1,Settings!$C$6,Settings!$C$7))*100)</f>
        <v/>
      </c>
      <c r="AF710" s="7" t="n"/>
      <c r="AI710" s="11" t="n"/>
      <c r="AK710">
        <f>IF($D710="","",IF(COUNTIF($D$2:$D710,$D710)=1,1,0))</f>
        <v/>
      </c>
      <c r="AL710">
        <f>IF($AK710=1,SUMPRODUCT(--($AO$2:$AO$1601&lt;$AO710))+1,"")</f>
        <v/>
      </c>
      <c r="AM710">
        <f>IF($D710="","",IF(OR($R710=TRUE(),$R710="TRUE"),1,0))</f>
        <v/>
      </c>
      <c r="AN710">
        <f>IF($D710="","",IF($AA710="Yes",1,0))</f>
        <v/>
      </c>
      <c r="AO710">
        <f>IF($AK710=1,IFERROR(IF(VALUE($D710)&lt;100000000,VALUE($D710),1000000000),IFERROR(IF(VALUE(MID($D710,2,20))&lt;100000000,VALUE(MID($D710,2,20)),1000000000),1000000000))+ROW()/100000,"")</f>
        <v/>
      </c>
    </row>
    <row r="711">
      <c r="F711" s="11" t="n"/>
      <c r="N711" s="7">
        <f>IF($D711="","",M711*X711/100)</f>
        <v/>
      </c>
      <c r="O711" s="7" t="n"/>
      <c r="U711" s="7" t="n"/>
      <c r="V711" s="7" t="n"/>
      <c r="W711" s="7">
        <f>IF($D711="","",V711*AB711/100)</f>
        <v/>
      </c>
      <c r="X711" s="7">
        <f>IF($D711="","",V711-W711)</f>
        <v/>
      </c>
      <c r="Y711" s="7">
        <f>IF($D711="","",X711-N711)</f>
        <v/>
      </c>
      <c r="AB711">
        <f>IF($D711="","",IF($AN711=1,Settings!$C$8,IF($AM711=1,Settings!$C$6,Settings!$C$7))*100)</f>
        <v/>
      </c>
      <c r="AF711" s="7" t="n"/>
      <c r="AI711" s="11" t="n"/>
      <c r="AK711">
        <f>IF($D711="","",IF(COUNTIF($D$2:$D711,$D711)=1,1,0))</f>
        <v/>
      </c>
      <c r="AL711">
        <f>IF($AK711=1,SUMPRODUCT(--($AO$2:$AO$1601&lt;$AO711))+1,"")</f>
        <v/>
      </c>
      <c r="AM711">
        <f>IF($D711="","",IF(OR($R711=TRUE(),$R711="TRUE"),1,0))</f>
        <v/>
      </c>
      <c r="AN711">
        <f>IF($D711="","",IF($AA711="Yes",1,0))</f>
        <v/>
      </c>
      <c r="AO711">
        <f>IF($AK711=1,IFERROR(IF(VALUE($D711)&lt;100000000,VALUE($D711),1000000000),IFERROR(IF(VALUE(MID($D711,2,20))&lt;100000000,VALUE(MID($D711,2,20)),1000000000),1000000000))+ROW()/100000,"")</f>
        <v/>
      </c>
    </row>
    <row r="712">
      <c r="F712" s="11" t="n"/>
      <c r="N712" s="7">
        <f>IF($D712="","",M712*X712/100)</f>
        <v/>
      </c>
      <c r="O712" s="7" t="n"/>
      <c r="U712" s="7" t="n"/>
      <c r="V712" s="7" t="n"/>
      <c r="W712" s="7">
        <f>IF($D712="","",V712*AB712/100)</f>
        <v/>
      </c>
      <c r="X712" s="7">
        <f>IF($D712="","",V712-W712)</f>
        <v/>
      </c>
      <c r="Y712" s="7">
        <f>IF($D712="","",X712-N712)</f>
        <v/>
      </c>
      <c r="AB712">
        <f>IF($D712="","",IF($AN712=1,Settings!$C$8,IF($AM712=1,Settings!$C$6,Settings!$C$7))*100)</f>
        <v/>
      </c>
      <c r="AF712" s="7" t="n"/>
      <c r="AI712" s="11" t="n"/>
      <c r="AK712">
        <f>IF($D712="","",IF(COUNTIF($D$2:$D712,$D712)=1,1,0))</f>
        <v/>
      </c>
      <c r="AL712">
        <f>IF($AK712=1,SUMPRODUCT(--($AO$2:$AO$1601&lt;$AO712))+1,"")</f>
        <v/>
      </c>
      <c r="AM712">
        <f>IF($D712="","",IF(OR($R712=TRUE(),$R712="TRUE"),1,0))</f>
        <v/>
      </c>
      <c r="AN712">
        <f>IF($D712="","",IF($AA712="Yes",1,0))</f>
        <v/>
      </c>
      <c r="AO712">
        <f>IF($AK712=1,IFERROR(IF(VALUE($D712)&lt;100000000,VALUE($D712),1000000000),IFERROR(IF(VALUE(MID($D712,2,20))&lt;100000000,VALUE(MID($D712,2,20)),1000000000),1000000000))+ROW()/100000,"")</f>
        <v/>
      </c>
    </row>
    <row r="713">
      <c r="F713" s="11" t="n"/>
      <c r="N713" s="7">
        <f>IF($D713="","",M713*X713/100)</f>
        <v/>
      </c>
      <c r="O713" s="7" t="n"/>
      <c r="U713" s="7" t="n"/>
      <c r="V713" s="7" t="n"/>
      <c r="W713" s="7">
        <f>IF($D713="","",V713*AB713/100)</f>
        <v/>
      </c>
      <c r="X713" s="7">
        <f>IF($D713="","",V713-W713)</f>
        <v/>
      </c>
      <c r="Y713" s="7">
        <f>IF($D713="","",X713-N713)</f>
        <v/>
      </c>
      <c r="AB713">
        <f>IF($D713="","",IF($AN713=1,Settings!$C$8,IF($AM713=1,Settings!$C$6,Settings!$C$7))*100)</f>
        <v/>
      </c>
      <c r="AF713" s="7" t="n"/>
      <c r="AI713" s="11" t="n"/>
      <c r="AK713">
        <f>IF($D713="","",IF(COUNTIF($D$2:$D713,$D713)=1,1,0))</f>
        <v/>
      </c>
      <c r="AL713">
        <f>IF($AK713=1,SUMPRODUCT(--($AO$2:$AO$1601&lt;$AO713))+1,"")</f>
        <v/>
      </c>
      <c r="AM713">
        <f>IF($D713="","",IF(OR($R713=TRUE(),$R713="TRUE"),1,0))</f>
        <v/>
      </c>
      <c r="AN713">
        <f>IF($D713="","",IF($AA713="Yes",1,0))</f>
        <v/>
      </c>
      <c r="AO713">
        <f>IF($AK713=1,IFERROR(IF(VALUE($D713)&lt;100000000,VALUE($D713),1000000000),IFERROR(IF(VALUE(MID($D713,2,20))&lt;100000000,VALUE(MID($D713,2,20)),1000000000),1000000000))+ROW()/100000,"")</f>
        <v/>
      </c>
    </row>
    <row r="714">
      <c r="F714" s="11" t="n"/>
      <c r="N714" s="7">
        <f>IF($D714="","",M714*X714/100)</f>
        <v/>
      </c>
      <c r="O714" s="7" t="n"/>
      <c r="U714" s="7" t="n"/>
      <c r="V714" s="7" t="n"/>
      <c r="W714" s="7">
        <f>IF($D714="","",V714*AB714/100)</f>
        <v/>
      </c>
      <c r="X714" s="7">
        <f>IF($D714="","",V714-W714)</f>
        <v/>
      </c>
      <c r="Y714" s="7">
        <f>IF($D714="","",X714-N714)</f>
        <v/>
      </c>
      <c r="AB714">
        <f>IF($D714="","",IF($AN714=1,Settings!$C$8,IF($AM714=1,Settings!$C$6,Settings!$C$7))*100)</f>
        <v/>
      </c>
      <c r="AF714" s="7" t="n"/>
      <c r="AI714" s="11" t="n"/>
      <c r="AK714">
        <f>IF($D714="","",IF(COUNTIF($D$2:$D714,$D714)=1,1,0))</f>
        <v/>
      </c>
      <c r="AL714">
        <f>IF($AK714=1,SUMPRODUCT(--($AO$2:$AO$1601&lt;$AO714))+1,"")</f>
        <v/>
      </c>
      <c r="AM714">
        <f>IF($D714="","",IF(OR($R714=TRUE(),$R714="TRUE"),1,0))</f>
        <v/>
      </c>
      <c r="AN714">
        <f>IF($D714="","",IF($AA714="Yes",1,0))</f>
        <v/>
      </c>
      <c r="AO714">
        <f>IF($AK714=1,IFERROR(IF(VALUE($D714)&lt;100000000,VALUE($D714),1000000000),IFERROR(IF(VALUE(MID($D714,2,20))&lt;100000000,VALUE(MID($D714,2,20)),1000000000),1000000000))+ROW()/100000,"")</f>
        <v/>
      </c>
    </row>
    <row r="715">
      <c r="F715" s="11" t="n"/>
      <c r="N715" s="7">
        <f>IF($D715="","",M715*X715/100)</f>
        <v/>
      </c>
      <c r="O715" s="7" t="n"/>
      <c r="U715" s="7" t="n"/>
      <c r="V715" s="7" t="n"/>
      <c r="W715" s="7">
        <f>IF($D715="","",V715*AB715/100)</f>
        <v/>
      </c>
      <c r="X715" s="7">
        <f>IF($D715="","",V715-W715)</f>
        <v/>
      </c>
      <c r="Y715" s="7">
        <f>IF($D715="","",X715-N715)</f>
        <v/>
      </c>
      <c r="AB715">
        <f>IF($D715="","",IF($AN715=1,Settings!$C$8,IF($AM715=1,Settings!$C$6,Settings!$C$7))*100)</f>
        <v/>
      </c>
      <c r="AF715" s="7" t="n"/>
      <c r="AI715" s="11" t="n"/>
      <c r="AK715">
        <f>IF($D715="","",IF(COUNTIF($D$2:$D715,$D715)=1,1,0))</f>
        <v/>
      </c>
      <c r="AL715">
        <f>IF($AK715=1,SUMPRODUCT(--($AO$2:$AO$1601&lt;$AO715))+1,"")</f>
        <v/>
      </c>
      <c r="AM715">
        <f>IF($D715="","",IF(OR($R715=TRUE(),$R715="TRUE"),1,0))</f>
        <v/>
      </c>
      <c r="AN715">
        <f>IF($D715="","",IF($AA715="Yes",1,0))</f>
        <v/>
      </c>
      <c r="AO715">
        <f>IF($AK715=1,IFERROR(IF(VALUE($D715)&lt;100000000,VALUE($D715),1000000000),IFERROR(IF(VALUE(MID($D715,2,20))&lt;100000000,VALUE(MID($D715,2,20)),1000000000),1000000000))+ROW()/100000,"")</f>
        <v/>
      </c>
    </row>
    <row r="716">
      <c r="F716" s="11" t="n"/>
      <c r="N716" s="7">
        <f>IF($D716="","",M716*X716/100)</f>
        <v/>
      </c>
      <c r="O716" s="7" t="n"/>
      <c r="U716" s="7" t="n"/>
      <c r="V716" s="7" t="n"/>
      <c r="W716" s="7">
        <f>IF($D716="","",V716*AB716/100)</f>
        <v/>
      </c>
      <c r="X716" s="7">
        <f>IF($D716="","",V716-W716)</f>
        <v/>
      </c>
      <c r="Y716" s="7">
        <f>IF($D716="","",X716-N716)</f>
        <v/>
      </c>
      <c r="AB716">
        <f>IF($D716="","",IF($AN716=1,Settings!$C$8,IF($AM716=1,Settings!$C$6,Settings!$C$7))*100)</f>
        <v/>
      </c>
      <c r="AF716" s="7" t="n"/>
      <c r="AI716" s="11" t="n"/>
      <c r="AK716">
        <f>IF($D716="","",IF(COUNTIF($D$2:$D716,$D716)=1,1,0))</f>
        <v/>
      </c>
      <c r="AL716">
        <f>IF($AK716=1,SUMPRODUCT(--($AO$2:$AO$1601&lt;$AO716))+1,"")</f>
        <v/>
      </c>
      <c r="AM716">
        <f>IF($D716="","",IF(OR($R716=TRUE(),$R716="TRUE"),1,0))</f>
        <v/>
      </c>
      <c r="AN716">
        <f>IF($D716="","",IF($AA716="Yes",1,0))</f>
        <v/>
      </c>
      <c r="AO716">
        <f>IF($AK716=1,IFERROR(IF(VALUE($D716)&lt;100000000,VALUE($D716),1000000000),IFERROR(IF(VALUE(MID($D716,2,20))&lt;100000000,VALUE(MID($D716,2,20)),1000000000),1000000000))+ROW()/100000,"")</f>
        <v/>
      </c>
    </row>
    <row r="717">
      <c r="F717" s="11" t="n"/>
      <c r="N717" s="7">
        <f>IF($D717="","",M717*X717/100)</f>
        <v/>
      </c>
      <c r="O717" s="7" t="n"/>
      <c r="U717" s="7" t="n"/>
      <c r="V717" s="7" t="n"/>
      <c r="W717" s="7">
        <f>IF($D717="","",V717*AB717/100)</f>
        <v/>
      </c>
      <c r="X717" s="7">
        <f>IF($D717="","",V717-W717)</f>
        <v/>
      </c>
      <c r="Y717" s="7">
        <f>IF($D717="","",X717-N717)</f>
        <v/>
      </c>
      <c r="AB717">
        <f>IF($D717="","",IF($AN717=1,Settings!$C$8,IF($AM717=1,Settings!$C$6,Settings!$C$7))*100)</f>
        <v/>
      </c>
      <c r="AF717" s="7" t="n"/>
      <c r="AI717" s="11" t="n"/>
      <c r="AK717">
        <f>IF($D717="","",IF(COUNTIF($D$2:$D717,$D717)=1,1,0))</f>
        <v/>
      </c>
      <c r="AL717">
        <f>IF($AK717=1,SUMPRODUCT(--($AO$2:$AO$1601&lt;$AO717))+1,"")</f>
        <v/>
      </c>
      <c r="AM717">
        <f>IF($D717="","",IF(OR($R717=TRUE(),$R717="TRUE"),1,0))</f>
        <v/>
      </c>
      <c r="AN717">
        <f>IF($D717="","",IF($AA717="Yes",1,0))</f>
        <v/>
      </c>
      <c r="AO717">
        <f>IF($AK717=1,IFERROR(IF(VALUE($D717)&lt;100000000,VALUE($D717),1000000000),IFERROR(IF(VALUE(MID($D717,2,20))&lt;100000000,VALUE(MID($D717,2,20)),1000000000),1000000000))+ROW()/100000,"")</f>
        <v/>
      </c>
    </row>
    <row r="718">
      <c r="F718" s="11" t="n"/>
      <c r="N718" s="7">
        <f>IF($D718="","",M718*X718/100)</f>
        <v/>
      </c>
      <c r="O718" s="7" t="n"/>
      <c r="U718" s="7" t="n"/>
      <c r="V718" s="7" t="n"/>
      <c r="W718" s="7">
        <f>IF($D718="","",V718*AB718/100)</f>
        <v/>
      </c>
      <c r="X718" s="7">
        <f>IF($D718="","",V718-W718)</f>
        <v/>
      </c>
      <c r="Y718" s="7">
        <f>IF($D718="","",X718-N718)</f>
        <v/>
      </c>
      <c r="AB718">
        <f>IF($D718="","",IF($AN718=1,Settings!$C$8,IF($AM718=1,Settings!$C$6,Settings!$C$7))*100)</f>
        <v/>
      </c>
      <c r="AF718" s="7" t="n"/>
      <c r="AI718" s="11" t="n"/>
      <c r="AK718">
        <f>IF($D718="","",IF(COUNTIF($D$2:$D718,$D718)=1,1,0))</f>
        <v/>
      </c>
      <c r="AL718">
        <f>IF($AK718=1,SUMPRODUCT(--($AO$2:$AO$1601&lt;$AO718))+1,"")</f>
        <v/>
      </c>
      <c r="AM718">
        <f>IF($D718="","",IF(OR($R718=TRUE(),$R718="TRUE"),1,0))</f>
        <v/>
      </c>
      <c r="AN718">
        <f>IF($D718="","",IF($AA718="Yes",1,0))</f>
        <v/>
      </c>
      <c r="AO718">
        <f>IF($AK718=1,IFERROR(IF(VALUE($D718)&lt;100000000,VALUE($D718),1000000000),IFERROR(IF(VALUE(MID($D718,2,20))&lt;100000000,VALUE(MID($D718,2,20)),1000000000),1000000000))+ROW()/100000,"")</f>
        <v/>
      </c>
    </row>
    <row r="719">
      <c r="F719" s="11" t="n"/>
      <c r="N719" s="7">
        <f>IF($D719="","",M719*X719/100)</f>
        <v/>
      </c>
      <c r="O719" s="7" t="n"/>
      <c r="U719" s="7" t="n"/>
      <c r="V719" s="7" t="n"/>
      <c r="W719" s="7">
        <f>IF($D719="","",V719*AB719/100)</f>
        <v/>
      </c>
      <c r="X719" s="7">
        <f>IF($D719="","",V719-W719)</f>
        <v/>
      </c>
      <c r="Y719" s="7">
        <f>IF($D719="","",X719-N719)</f>
        <v/>
      </c>
      <c r="AB719">
        <f>IF($D719="","",IF($AN719=1,Settings!$C$8,IF($AM719=1,Settings!$C$6,Settings!$C$7))*100)</f>
        <v/>
      </c>
      <c r="AF719" s="7" t="n"/>
      <c r="AI719" s="11" t="n"/>
      <c r="AK719">
        <f>IF($D719="","",IF(COUNTIF($D$2:$D719,$D719)=1,1,0))</f>
        <v/>
      </c>
      <c r="AL719">
        <f>IF($AK719=1,SUMPRODUCT(--($AO$2:$AO$1601&lt;$AO719))+1,"")</f>
        <v/>
      </c>
      <c r="AM719">
        <f>IF($D719="","",IF(OR($R719=TRUE(),$R719="TRUE"),1,0))</f>
        <v/>
      </c>
      <c r="AN719">
        <f>IF($D719="","",IF($AA719="Yes",1,0))</f>
        <v/>
      </c>
      <c r="AO719">
        <f>IF($AK719=1,IFERROR(IF(VALUE($D719)&lt;100000000,VALUE($D719),1000000000),IFERROR(IF(VALUE(MID($D719,2,20))&lt;100000000,VALUE(MID($D719,2,20)),1000000000),1000000000))+ROW()/100000,"")</f>
        <v/>
      </c>
    </row>
    <row r="720">
      <c r="F720" s="11" t="n"/>
      <c r="N720" s="7">
        <f>IF($D720="","",M720*X720/100)</f>
        <v/>
      </c>
      <c r="O720" s="7" t="n"/>
      <c r="U720" s="7" t="n"/>
      <c r="V720" s="7" t="n"/>
      <c r="W720" s="7">
        <f>IF($D720="","",V720*AB720/100)</f>
        <v/>
      </c>
      <c r="X720" s="7">
        <f>IF($D720="","",V720-W720)</f>
        <v/>
      </c>
      <c r="Y720" s="7">
        <f>IF($D720="","",X720-N720)</f>
        <v/>
      </c>
      <c r="AB720">
        <f>IF($D720="","",IF($AN720=1,Settings!$C$8,IF($AM720=1,Settings!$C$6,Settings!$C$7))*100)</f>
        <v/>
      </c>
      <c r="AF720" s="7" t="n"/>
      <c r="AI720" s="11" t="n"/>
      <c r="AK720">
        <f>IF($D720="","",IF(COUNTIF($D$2:$D720,$D720)=1,1,0))</f>
        <v/>
      </c>
      <c r="AL720">
        <f>IF($AK720=1,SUMPRODUCT(--($AO$2:$AO$1601&lt;$AO720))+1,"")</f>
        <v/>
      </c>
      <c r="AM720">
        <f>IF($D720="","",IF(OR($R720=TRUE(),$R720="TRUE"),1,0))</f>
        <v/>
      </c>
      <c r="AN720">
        <f>IF($D720="","",IF($AA720="Yes",1,0))</f>
        <v/>
      </c>
      <c r="AO720">
        <f>IF($AK720=1,IFERROR(IF(VALUE($D720)&lt;100000000,VALUE($D720),1000000000),IFERROR(IF(VALUE(MID($D720,2,20))&lt;100000000,VALUE(MID($D720,2,20)),1000000000),1000000000))+ROW()/100000,"")</f>
        <v/>
      </c>
    </row>
    <row r="721">
      <c r="F721" s="11" t="n"/>
      <c r="N721" s="7">
        <f>IF($D721="","",M721*X721/100)</f>
        <v/>
      </c>
      <c r="O721" s="7" t="n"/>
      <c r="U721" s="7" t="n"/>
      <c r="V721" s="7" t="n"/>
      <c r="W721" s="7">
        <f>IF($D721="","",V721*AB721/100)</f>
        <v/>
      </c>
      <c r="X721" s="7">
        <f>IF($D721="","",V721-W721)</f>
        <v/>
      </c>
      <c r="Y721" s="7">
        <f>IF($D721="","",X721-N721)</f>
        <v/>
      </c>
      <c r="AB721">
        <f>IF($D721="","",IF($AN721=1,Settings!$C$8,IF($AM721=1,Settings!$C$6,Settings!$C$7))*100)</f>
        <v/>
      </c>
      <c r="AF721" s="7" t="n"/>
      <c r="AI721" s="11" t="n"/>
      <c r="AK721">
        <f>IF($D721="","",IF(COUNTIF($D$2:$D721,$D721)=1,1,0))</f>
        <v/>
      </c>
      <c r="AL721">
        <f>IF($AK721=1,SUMPRODUCT(--($AO$2:$AO$1601&lt;$AO721))+1,"")</f>
        <v/>
      </c>
      <c r="AM721">
        <f>IF($D721="","",IF(OR($R721=TRUE(),$R721="TRUE"),1,0))</f>
        <v/>
      </c>
      <c r="AN721">
        <f>IF($D721="","",IF($AA721="Yes",1,0))</f>
        <v/>
      </c>
      <c r="AO721">
        <f>IF($AK721=1,IFERROR(IF(VALUE($D721)&lt;100000000,VALUE($D721),1000000000),IFERROR(IF(VALUE(MID($D721,2,20))&lt;100000000,VALUE(MID($D721,2,20)),1000000000),1000000000))+ROW()/100000,"")</f>
        <v/>
      </c>
    </row>
    <row r="722">
      <c r="F722" s="11" t="n"/>
      <c r="N722" s="7">
        <f>IF($D722="","",M722*X722/100)</f>
        <v/>
      </c>
      <c r="O722" s="7" t="n"/>
      <c r="U722" s="7" t="n"/>
      <c r="V722" s="7" t="n"/>
      <c r="W722" s="7">
        <f>IF($D722="","",V722*AB722/100)</f>
        <v/>
      </c>
      <c r="X722" s="7">
        <f>IF($D722="","",V722-W722)</f>
        <v/>
      </c>
      <c r="Y722" s="7">
        <f>IF($D722="","",X722-N722)</f>
        <v/>
      </c>
      <c r="AB722">
        <f>IF($D722="","",IF($AN722=1,Settings!$C$8,IF($AM722=1,Settings!$C$6,Settings!$C$7))*100)</f>
        <v/>
      </c>
      <c r="AF722" s="7" t="n"/>
      <c r="AI722" s="11" t="n"/>
      <c r="AK722">
        <f>IF($D722="","",IF(COUNTIF($D$2:$D722,$D722)=1,1,0))</f>
        <v/>
      </c>
      <c r="AL722">
        <f>IF($AK722=1,SUMPRODUCT(--($AO$2:$AO$1601&lt;$AO722))+1,"")</f>
        <v/>
      </c>
      <c r="AM722">
        <f>IF($D722="","",IF(OR($R722=TRUE(),$R722="TRUE"),1,0))</f>
        <v/>
      </c>
      <c r="AN722">
        <f>IF($D722="","",IF($AA722="Yes",1,0))</f>
        <v/>
      </c>
      <c r="AO722">
        <f>IF($AK722=1,IFERROR(IF(VALUE($D722)&lt;100000000,VALUE($D722),1000000000),IFERROR(IF(VALUE(MID($D722,2,20))&lt;100000000,VALUE(MID($D722,2,20)),1000000000),1000000000))+ROW()/100000,"")</f>
        <v/>
      </c>
    </row>
    <row r="723">
      <c r="F723" s="11" t="n"/>
      <c r="N723" s="7">
        <f>IF($D723="","",M723*X723/100)</f>
        <v/>
      </c>
      <c r="O723" s="7" t="n"/>
      <c r="U723" s="7" t="n"/>
      <c r="V723" s="7" t="n"/>
      <c r="W723" s="7">
        <f>IF($D723="","",V723*AB723/100)</f>
        <v/>
      </c>
      <c r="X723" s="7">
        <f>IF($D723="","",V723-W723)</f>
        <v/>
      </c>
      <c r="Y723" s="7">
        <f>IF($D723="","",X723-N723)</f>
        <v/>
      </c>
      <c r="AB723">
        <f>IF($D723="","",IF($AN723=1,Settings!$C$8,IF($AM723=1,Settings!$C$6,Settings!$C$7))*100)</f>
        <v/>
      </c>
      <c r="AF723" s="7" t="n"/>
      <c r="AI723" s="11" t="n"/>
      <c r="AK723">
        <f>IF($D723="","",IF(COUNTIF($D$2:$D723,$D723)=1,1,0))</f>
        <v/>
      </c>
      <c r="AL723">
        <f>IF($AK723=1,SUMPRODUCT(--($AO$2:$AO$1601&lt;$AO723))+1,"")</f>
        <v/>
      </c>
      <c r="AM723">
        <f>IF($D723="","",IF(OR($R723=TRUE(),$R723="TRUE"),1,0))</f>
        <v/>
      </c>
      <c r="AN723">
        <f>IF($D723="","",IF($AA723="Yes",1,0))</f>
        <v/>
      </c>
      <c r="AO723">
        <f>IF($AK723=1,IFERROR(IF(VALUE($D723)&lt;100000000,VALUE($D723),1000000000),IFERROR(IF(VALUE(MID($D723,2,20))&lt;100000000,VALUE(MID($D723,2,20)),1000000000),1000000000))+ROW()/100000,"")</f>
        <v/>
      </c>
    </row>
    <row r="724">
      <c r="F724" s="11" t="n"/>
      <c r="N724" s="7">
        <f>IF($D724="","",M724*X724/100)</f>
        <v/>
      </c>
      <c r="O724" s="7" t="n"/>
      <c r="U724" s="7" t="n"/>
      <c r="V724" s="7" t="n"/>
      <c r="W724" s="7">
        <f>IF($D724="","",V724*AB724/100)</f>
        <v/>
      </c>
      <c r="X724" s="7">
        <f>IF($D724="","",V724-W724)</f>
        <v/>
      </c>
      <c r="Y724" s="7">
        <f>IF($D724="","",X724-N724)</f>
        <v/>
      </c>
      <c r="AB724">
        <f>IF($D724="","",IF($AN724=1,Settings!$C$8,IF($AM724=1,Settings!$C$6,Settings!$C$7))*100)</f>
        <v/>
      </c>
      <c r="AF724" s="7" t="n"/>
      <c r="AI724" s="11" t="n"/>
      <c r="AK724">
        <f>IF($D724="","",IF(COUNTIF($D$2:$D724,$D724)=1,1,0))</f>
        <v/>
      </c>
      <c r="AL724">
        <f>IF($AK724=1,SUMPRODUCT(--($AO$2:$AO$1601&lt;$AO724))+1,"")</f>
        <v/>
      </c>
      <c r="AM724">
        <f>IF($D724="","",IF(OR($R724=TRUE(),$R724="TRUE"),1,0))</f>
        <v/>
      </c>
      <c r="AN724">
        <f>IF($D724="","",IF($AA724="Yes",1,0))</f>
        <v/>
      </c>
      <c r="AO724">
        <f>IF($AK724=1,IFERROR(IF(VALUE($D724)&lt;100000000,VALUE($D724),1000000000),IFERROR(IF(VALUE(MID($D724,2,20))&lt;100000000,VALUE(MID($D724,2,20)),1000000000),1000000000))+ROW()/100000,"")</f>
        <v/>
      </c>
    </row>
    <row r="725">
      <c r="F725" s="11" t="n"/>
      <c r="N725" s="7">
        <f>IF($D725="","",M725*X725/100)</f>
        <v/>
      </c>
      <c r="O725" s="7" t="n"/>
      <c r="U725" s="7" t="n"/>
      <c r="V725" s="7" t="n"/>
      <c r="W725" s="7">
        <f>IF($D725="","",V725*AB725/100)</f>
        <v/>
      </c>
      <c r="X725" s="7">
        <f>IF($D725="","",V725-W725)</f>
        <v/>
      </c>
      <c r="Y725" s="7">
        <f>IF($D725="","",X725-N725)</f>
        <v/>
      </c>
      <c r="AB725">
        <f>IF($D725="","",IF($AN725=1,Settings!$C$8,IF($AM725=1,Settings!$C$6,Settings!$C$7))*100)</f>
        <v/>
      </c>
      <c r="AF725" s="7" t="n"/>
      <c r="AI725" s="11" t="n"/>
      <c r="AK725">
        <f>IF($D725="","",IF(COUNTIF($D$2:$D725,$D725)=1,1,0))</f>
        <v/>
      </c>
      <c r="AL725">
        <f>IF($AK725=1,SUMPRODUCT(--($AO$2:$AO$1601&lt;$AO725))+1,"")</f>
        <v/>
      </c>
      <c r="AM725">
        <f>IF($D725="","",IF(OR($R725=TRUE(),$R725="TRUE"),1,0))</f>
        <v/>
      </c>
      <c r="AN725">
        <f>IF($D725="","",IF($AA725="Yes",1,0))</f>
        <v/>
      </c>
      <c r="AO725">
        <f>IF($AK725=1,IFERROR(IF(VALUE($D725)&lt;100000000,VALUE($D725),1000000000),IFERROR(IF(VALUE(MID($D725,2,20))&lt;100000000,VALUE(MID($D725,2,20)),1000000000),1000000000))+ROW()/100000,"")</f>
        <v/>
      </c>
    </row>
    <row r="726">
      <c r="F726" s="11" t="n"/>
      <c r="N726" s="7">
        <f>IF($D726="","",M726*X726/100)</f>
        <v/>
      </c>
      <c r="O726" s="7" t="n"/>
      <c r="U726" s="7" t="n"/>
      <c r="V726" s="7" t="n"/>
      <c r="W726" s="7">
        <f>IF($D726="","",V726*AB726/100)</f>
        <v/>
      </c>
      <c r="X726" s="7">
        <f>IF($D726="","",V726-W726)</f>
        <v/>
      </c>
      <c r="Y726" s="7">
        <f>IF($D726="","",X726-N726)</f>
        <v/>
      </c>
      <c r="AB726">
        <f>IF($D726="","",IF($AN726=1,Settings!$C$8,IF($AM726=1,Settings!$C$6,Settings!$C$7))*100)</f>
        <v/>
      </c>
      <c r="AF726" s="7" t="n"/>
      <c r="AI726" s="11" t="n"/>
      <c r="AK726">
        <f>IF($D726="","",IF(COUNTIF($D$2:$D726,$D726)=1,1,0))</f>
        <v/>
      </c>
      <c r="AL726">
        <f>IF($AK726=1,SUMPRODUCT(--($AO$2:$AO$1601&lt;$AO726))+1,"")</f>
        <v/>
      </c>
      <c r="AM726">
        <f>IF($D726="","",IF(OR($R726=TRUE(),$R726="TRUE"),1,0))</f>
        <v/>
      </c>
      <c r="AN726">
        <f>IF($D726="","",IF($AA726="Yes",1,0))</f>
        <v/>
      </c>
      <c r="AO726">
        <f>IF($AK726=1,IFERROR(IF(VALUE($D726)&lt;100000000,VALUE($D726),1000000000),IFERROR(IF(VALUE(MID($D726,2,20))&lt;100000000,VALUE(MID($D726,2,20)),1000000000),1000000000))+ROW()/100000,"")</f>
        <v/>
      </c>
    </row>
    <row r="727">
      <c r="F727" s="11" t="n"/>
      <c r="N727" s="7">
        <f>IF($D727="","",M727*X727/100)</f>
        <v/>
      </c>
      <c r="O727" s="7" t="n"/>
      <c r="U727" s="7" t="n"/>
      <c r="V727" s="7" t="n"/>
      <c r="W727" s="7">
        <f>IF($D727="","",V727*AB727/100)</f>
        <v/>
      </c>
      <c r="X727" s="7">
        <f>IF($D727="","",V727-W727)</f>
        <v/>
      </c>
      <c r="Y727" s="7">
        <f>IF($D727="","",X727-N727)</f>
        <v/>
      </c>
      <c r="AB727">
        <f>IF($D727="","",IF($AN727=1,Settings!$C$8,IF($AM727=1,Settings!$C$6,Settings!$C$7))*100)</f>
        <v/>
      </c>
      <c r="AF727" s="7" t="n"/>
      <c r="AI727" s="11" t="n"/>
      <c r="AK727">
        <f>IF($D727="","",IF(COUNTIF($D$2:$D727,$D727)=1,1,0))</f>
        <v/>
      </c>
      <c r="AL727">
        <f>IF($AK727=1,SUMPRODUCT(--($AO$2:$AO$1601&lt;$AO727))+1,"")</f>
        <v/>
      </c>
      <c r="AM727">
        <f>IF($D727="","",IF(OR($R727=TRUE(),$R727="TRUE"),1,0))</f>
        <v/>
      </c>
      <c r="AN727">
        <f>IF($D727="","",IF($AA727="Yes",1,0))</f>
        <v/>
      </c>
      <c r="AO727">
        <f>IF($AK727=1,IFERROR(IF(VALUE($D727)&lt;100000000,VALUE($D727),1000000000),IFERROR(IF(VALUE(MID($D727,2,20))&lt;100000000,VALUE(MID($D727,2,20)),1000000000),1000000000))+ROW()/100000,"")</f>
        <v/>
      </c>
    </row>
    <row r="728">
      <c r="F728" s="11" t="n"/>
      <c r="N728" s="7">
        <f>IF($D728="","",M728*X728/100)</f>
        <v/>
      </c>
      <c r="O728" s="7" t="n"/>
      <c r="U728" s="7" t="n"/>
      <c r="V728" s="7" t="n"/>
      <c r="W728" s="7">
        <f>IF($D728="","",V728*AB728/100)</f>
        <v/>
      </c>
      <c r="X728" s="7">
        <f>IF($D728="","",V728-W728)</f>
        <v/>
      </c>
      <c r="Y728" s="7">
        <f>IF($D728="","",X728-N728)</f>
        <v/>
      </c>
      <c r="AB728">
        <f>IF($D728="","",IF($AN728=1,Settings!$C$8,IF($AM728=1,Settings!$C$6,Settings!$C$7))*100)</f>
        <v/>
      </c>
      <c r="AF728" s="7" t="n"/>
      <c r="AI728" s="11" t="n"/>
      <c r="AK728">
        <f>IF($D728="","",IF(COUNTIF($D$2:$D728,$D728)=1,1,0))</f>
        <v/>
      </c>
      <c r="AL728">
        <f>IF($AK728=1,SUMPRODUCT(--($AO$2:$AO$1601&lt;$AO728))+1,"")</f>
        <v/>
      </c>
      <c r="AM728">
        <f>IF($D728="","",IF(OR($R728=TRUE(),$R728="TRUE"),1,0))</f>
        <v/>
      </c>
      <c r="AN728">
        <f>IF($D728="","",IF($AA728="Yes",1,0))</f>
        <v/>
      </c>
      <c r="AO728">
        <f>IF($AK728=1,IFERROR(IF(VALUE($D728)&lt;100000000,VALUE($D728),1000000000),IFERROR(IF(VALUE(MID($D728,2,20))&lt;100000000,VALUE(MID($D728,2,20)),1000000000),1000000000))+ROW()/100000,"")</f>
        <v/>
      </c>
    </row>
    <row r="729">
      <c r="F729" s="11" t="n"/>
      <c r="N729" s="7">
        <f>IF($D729="","",M729*X729/100)</f>
        <v/>
      </c>
      <c r="O729" s="7" t="n"/>
      <c r="U729" s="7" t="n"/>
      <c r="V729" s="7" t="n"/>
      <c r="W729" s="7">
        <f>IF($D729="","",V729*AB729/100)</f>
        <v/>
      </c>
      <c r="X729" s="7">
        <f>IF($D729="","",V729-W729)</f>
        <v/>
      </c>
      <c r="Y729" s="7">
        <f>IF($D729="","",X729-N729)</f>
        <v/>
      </c>
      <c r="AB729">
        <f>IF($D729="","",IF($AN729=1,Settings!$C$8,IF($AM729=1,Settings!$C$6,Settings!$C$7))*100)</f>
        <v/>
      </c>
      <c r="AF729" s="7" t="n"/>
      <c r="AI729" s="11" t="n"/>
      <c r="AK729">
        <f>IF($D729="","",IF(COUNTIF($D$2:$D729,$D729)=1,1,0))</f>
        <v/>
      </c>
      <c r="AL729">
        <f>IF($AK729=1,SUMPRODUCT(--($AO$2:$AO$1601&lt;$AO729))+1,"")</f>
        <v/>
      </c>
      <c r="AM729">
        <f>IF($D729="","",IF(OR($R729=TRUE(),$R729="TRUE"),1,0))</f>
        <v/>
      </c>
      <c r="AN729">
        <f>IF($D729="","",IF($AA729="Yes",1,0))</f>
        <v/>
      </c>
      <c r="AO729">
        <f>IF($AK729=1,IFERROR(IF(VALUE($D729)&lt;100000000,VALUE($D729),1000000000),IFERROR(IF(VALUE(MID($D729,2,20))&lt;100000000,VALUE(MID($D729,2,20)),1000000000),1000000000))+ROW()/100000,"")</f>
        <v/>
      </c>
    </row>
    <row r="730">
      <c r="F730" s="11" t="n"/>
      <c r="N730" s="7">
        <f>IF($D730="","",M730*X730/100)</f>
        <v/>
      </c>
      <c r="O730" s="7" t="n"/>
      <c r="U730" s="7" t="n"/>
      <c r="V730" s="7" t="n"/>
      <c r="W730" s="7">
        <f>IF($D730="","",V730*AB730/100)</f>
        <v/>
      </c>
      <c r="X730" s="7">
        <f>IF($D730="","",V730-W730)</f>
        <v/>
      </c>
      <c r="Y730" s="7">
        <f>IF($D730="","",X730-N730)</f>
        <v/>
      </c>
      <c r="AB730">
        <f>IF($D730="","",IF($AN730=1,Settings!$C$8,IF($AM730=1,Settings!$C$6,Settings!$C$7))*100)</f>
        <v/>
      </c>
      <c r="AF730" s="7" t="n"/>
      <c r="AI730" s="11" t="n"/>
      <c r="AK730">
        <f>IF($D730="","",IF(COUNTIF($D$2:$D730,$D730)=1,1,0))</f>
        <v/>
      </c>
      <c r="AL730">
        <f>IF($AK730=1,SUMPRODUCT(--($AO$2:$AO$1601&lt;$AO730))+1,"")</f>
        <v/>
      </c>
      <c r="AM730">
        <f>IF($D730="","",IF(OR($R730=TRUE(),$R730="TRUE"),1,0))</f>
        <v/>
      </c>
      <c r="AN730">
        <f>IF($D730="","",IF($AA730="Yes",1,0))</f>
        <v/>
      </c>
      <c r="AO730">
        <f>IF($AK730=1,IFERROR(IF(VALUE($D730)&lt;100000000,VALUE($D730),1000000000),IFERROR(IF(VALUE(MID($D730,2,20))&lt;100000000,VALUE(MID($D730,2,20)),1000000000),1000000000))+ROW()/100000,"")</f>
        <v/>
      </c>
    </row>
    <row r="731">
      <c r="F731" s="11" t="n"/>
      <c r="N731" s="7">
        <f>IF($D731="","",M731*X731/100)</f>
        <v/>
      </c>
      <c r="O731" s="7" t="n"/>
      <c r="U731" s="7" t="n"/>
      <c r="V731" s="7" t="n"/>
      <c r="W731" s="7">
        <f>IF($D731="","",V731*AB731/100)</f>
        <v/>
      </c>
      <c r="X731" s="7">
        <f>IF($D731="","",V731-W731)</f>
        <v/>
      </c>
      <c r="Y731" s="7">
        <f>IF($D731="","",X731-N731)</f>
        <v/>
      </c>
      <c r="AB731">
        <f>IF($D731="","",IF($AN731=1,Settings!$C$8,IF($AM731=1,Settings!$C$6,Settings!$C$7))*100)</f>
        <v/>
      </c>
      <c r="AF731" s="7" t="n"/>
      <c r="AI731" s="11" t="n"/>
      <c r="AK731">
        <f>IF($D731="","",IF(COUNTIF($D$2:$D731,$D731)=1,1,0))</f>
        <v/>
      </c>
      <c r="AL731">
        <f>IF($AK731=1,SUMPRODUCT(--($AO$2:$AO$1601&lt;$AO731))+1,"")</f>
        <v/>
      </c>
      <c r="AM731">
        <f>IF($D731="","",IF(OR($R731=TRUE(),$R731="TRUE"),1,0))</f>
        <v/>
      </c>
      <c r="AN731">
        <f>IF($D731="","",IF($AA731="Yes",1,0))</f>
        <v/>
      </c>
      <c r="AO731">
        <f>IF($AK731=1,IFERROR(IF(VALUE($D731)&lt;100000000,VALUE($D731),1000000000),IFERROR(IF(VALUE(MID($D731,2,20))&lt;100000000,VALUE(MID($D731,2,20)),1000000000),1000000000))+ROW()/100000,"")</f>
        <v/>
      </c>
    </row>
    <row r="732">
      <c r="F732" s="11" t="n"/>
      <c r="N732" s="7">
        <f>IF($D732="","",M732*X732/100)</f>
        <v/>
      </c>
      <c r="O732" s="7" t="n"/>
      <c r="U732" s="7" t="n"/>
      <c r="V732" s="7" t="n"/>
      <c r="W732" s="7">
        <f>IF($D732="","",V732*AB732/100)</f>
        <v/>
      </c>
      <c r="X732" s="7">
        <f>IF($D732="","",V732-W732)</f>
        <v/>
      </c>
      <c r="Y732" s="7">
        <f>IF($D732="","",X732-N732)</f>
        <v/>
      </c>
      <c r="AB732">
        <f>IF($D732="","",IF($AN732=1,Settings!$C$8,IF($AM732=1,Settings!$C$6,Settings!$C$7))*100)</f>
        <v/>
      </c>
      <c r="AF732" s="7" t="n"/>
      <c r="AI732" s="11" t="n"/>
      <c r="AK732">
        <f>IF($D732="","",IF(COUNTIF($D$2:$D732,$D732)=1,1,0))</f>
        <v/>
      </c>
      <c r="AL732">
        <f>IF($AK732=1,SUMPRODUCT(--($AO$2:$AO$1601&lt;$AO732))+1,"")</f>
        <v/>
      </c>
      <c r="AM732">
        <f>IF($D732="","",IF(OR($R732=TRUE(),$R732="TRUE"),1,0))</f>
        <v/>
      </c>
      <c r="AN732">
        <f>IF($D732="","",IF($AA732="Yes",1,0))</f>
        <v/>
      </c>
      <c r="AO732">
        <f>IF($AK732=1,IFERROR(IF(VALUE($D732)&lt;100000000,VALUE($D732),1000000000),IFERROR(IF(VALUE(MID($D732,2,20))&lt;100000000,VALUE(MID($D732,2,20)),1000000000),1000000000))+ROW()/100000,"")</f>
        <v/>
      </c>
    </row>
    <row r="733">
      <c r="F733" s="11" t="n"/>
      <c r="N733" s="7">
        <f>IF($D733="","",M733*X733/100)</f>
        <v/>
      </c>
      <c r="O733" s="7" t="n"/>
      <c r="U733" s="7" t="n"/>
      <c r="V733" s="7" t="n"/>
      <c r="W733" s="7">
        <f>IF($D733="","",V733*AB733/100)</f>
        <v/>
      </c>
      <c r="X733" s="7">
        <f>IF($D733="","",V733-W733)</f>
        <v/>
      </c>
      <c r="Y733" s="7">
        <f>IF($D733="","",X733-N733)</f>
        <v/>
      </c>
      <c r="AB733">
        <f>IF($D733="","",IF($AN733=1,Settings!$C$8,IF($AM733=1,Settings!$C$6,Settings!$C$7))*100)</f>
        <v/>
      </c>
      <c r="AF733" s="7" t="n"/>
      <c r="AI733" s="11" t="n"/>
      <c r="AK733">
        <f>IF($D733="","",IF(COUNTIF($D$2:$D733,$D733)=1,1,0))</f>
        <v/>
      </c>
      <c r="AL733">
        <f>IF($AK733=1,SUMPRODUCT(--($AO$2:$AO$1601&lt;$AO733))+1,"")</f>
        <v/>
      </c>
      <c r="AM733">
        <f>IF($D733="","",IF(OR($R733=TRUE(),$R733="TRUE"),1,0))</f>
        <v/>
      </c>
      <c r="AN733">
        <f>IF($D733="","",IF($AA733="Yes",1,0))</f>
        <v/>
      </c>
      <c r="AO733">
        <f>IF($AK733=1,IFERROR(IF(VALUE($D733)&lt;100000000,VALUE($D733),1000000000),IFERROR(IF(VALUE(MID($D733,2,20))&lt;100000000,VALUE(MID($D733,2,20)),1000000000),1000000000))+ROW()/100000,"")</f>
        <v/>
      </c>
    </row>
    <row r="734">
      <c r="F734" s="11" t="n"/>
      <c r="N734" s="7">
        <f>IF($D734="","",M734*X734/100)</f>
        <v/>
      </c>
      <c r="O734" s="7" t="n"/>
      <c r="U734" s="7" t="n"/>
      <c r="V734" s="7" t="n"/>
      <c r="W734" s="7">
        <f>IF($D734="","",V734*AB734/100)</f>
        <v/>
      </c>
      <c r="X734" s="7">
        <f>IF($D734="","",V734-W734)</f>
        <v/>
      </c>
      <c r="Y734" s="7">
        <f>IF($D734="","",X734-N734)</f>
        <v/>
      </c>
      <c r="AB734">
        <f>IF($D734="","",IF($AN734=1,Settings!$C$8,IF($AM734=1,Settings!$C$6,Settings!$C$7))*100)</f>
        <v/>
      </c>
      <c r="AF734" s="7" t="n"/>
      <c r="AI734" s="11" t="n"/>
      <c r="AK734">
        <f>IF($D734="","",IF(COUNTIF($D$2:$D734,$D734)=1,1,0))</f>
        <v/>
      </c>
      <c r="AL734">
        <f>IF($AK734=1,SUMPRODUCT(--($AO$2:$AO$1601&lt;$AO734))+1,"")</f>
        <v/>
      </c>
      <c r="AM734">
        <f>IF($D734="","",IF(OR($R734=TRUE(),$R734="TRUE"),1,0))</f>
        <v/>
      </c>
      <c r="AN734">
        <f>IF($D734="","",IF($AA734="Yes",1,0))</f>
        <v/>
      </c>
      <c r="AO734">
        <f>IF($AK734=1,IFERROR(IF(VALUE($D734)&lt;100000000,VALUE($D734),1000000000),IFERROR(IF(VALUE(MID($D734,2,20))&lt;100000000,VALUE(MID($D734,2,20)),1000000000),1000000000))+ROW()/100000,"")</f>
        <v/>
      </c>
    </row>
    <row r="735">
      <c r="F735" s="11" t="n"/>
      <c r="N735" s="7">
        <f>IF($D735="","",M735*X735/100)</f>
        <v/>
      </c>
      <c r="O735" s="7" t="n"/>
      <c r="U735" s="7" t="n"/>
      <c r="V735" s="7" t="n"/>
      <c r="W735" s="7">
        <f>IF($D735="","",V735*AB735/100)</f>
        <v/>
      </c>
      <c r="X735" s="7">
        <f>IF($D735="","",V735-W735)</f>
        <v/>
      </c>
      <c r="Y735" s="7">
        <f>IF($D735="","",X735-N735)</f>
        <v/>
      </c>
      <c r="AB735">
        <f>IF($D735="","",IF($AN735=1,Settings!$C$8,IF($AM735=1,Settings!$C$6,Settings!$C$7))*100)</f>
        <v/>
      </c>
      <c r="AF735" s="7" t="n"/>
      <c r="AI735" s="11" t="n"/>
      <c r="AK735">
        <f>IF($D735="","",IF(COUNTIF($D$2:$D735,$D735)=1,1,0))</f>
        <v/>
      </c>
      <c r="AL735">
        <f>IF($AK735=1,SUMPRODUCT(--($AO$2:$AO$1601&lt;$AO735))+1,"")</f>
        <v/>
      </c>
      <c r="AM735">
        <f>IF($D735="","",IF(OR($R735=TRUE(),$R735="TRUE"),1,0))</f>
        <v/>
      </c>
      <c r="AN735">
        <f>IF($D735="","",IF($AA735="Yes",1,0))</f>
        <v/>
      </c>
      <c r="AO735">
        <f>IF($AK735=1,IFERROR(IF(VALUE($D735)&lt;100000000,VALUE($D735),1000000000),IFERROR(IF(VALUE(MID($D735,2,20))&lt;100000000,VALUE(MID($D735,2,20)),1000000000),1000000000))+ROW()/100000,"")</f>
        <v/>
      </c>
    </row>
    <row r="736">
      <c r="F736" s="11" t="n"/>
      <c r="N736" s="7">
        <f>IF($D736="","",M736*X736/100)</f>
        <v/>
      </c>
      <c r="O736" s="7" t="n"/>
      <c r="U736" s="7" t="n"/>
      <c r="V736" s="7" t="n"/>
      <c r="W736" s="7">
        <f>IF($D736="","",V736*AB736/100)</f>
        <v/>
      </c>
      <c r="X736" s="7">
        <f>IF($D736="","",V736-W736)</f>
        <v/>
      </c>
      <c r="Y736" s="7">
        <f>IF($D736="","",X736-N736)</f>
        <v/>
      </c>
      <c r="AB736">
        <f>IF($D736="","",IF($AN736=1,Settings!$C$8,IF($AM736=1,Settings!$C$6,Settings!$C$7))*100)</f>
        <v/>
      </c>
      <c r="AF736" s="7" t="n"/>
      <c r="AI736" s="11" t="n"/>
      <c r="AK736">
        <f>IF($D736="","",IF(COUNTIF($D$2:$D736,$D736)=1,1,0))</f>
        <v/>
      </c>
      <c r="AL736">
        <f>IF($AK736=1,SUMPRODUCT(--($AO$2:$AO$1601&lt;$AO736))+1,"")</f>
        <v/>
      </c>
      <c r="AM736">
        <f>IF($D736="","",IF(OR($R736=TRUE(),$R736="TRUE"),1,0))</f>
        <v/>
      </c>
      <c r="AN736">
        <f>IF($D736="","",IF($AA736="Yes",1,0))</f>
        <v/>
      </c>
      <c r="AO736">
        <f>IF($AK736=1,IFERROR(IF(VALUE($D736)&lt;100000000,VALUE($D736),1000000000),IFERROR(IF(VALUE(MID($D736,2,20))&lt;100000000,VALUE(MID($D736,2,20)),1000000000),1000000000))+ROW()/100000,"")</f>
        <v/>
      </c>
    </row>
    <row r="737">
      <c r="F737" s="11" t="n"/>
      <c r="N737" s="7">
        <f>IF($D737="","",M737*X737/100)</f>
        <v/>
      </c>
      <c r="O737" s="7" t="n"/>
      <c r="U737" s="7" t="n"/>
      <c r="V737" s="7" t="n"/>
      <c r="W737" s="7">
        <f>IF($D737="","",V737*AB737/100)</f>
        <v/>
      </c>
      <c r="X737" s="7">
        <f>IF($D737="","",V737-W737)</f>
        <v/>
      </c>
      <c r="Y737" s="7">
        <f>IF($D737="","",X737-N737)</f>
        <v/>
      </c>
      <c r="AB737">
        <f>IF($D737="","",IF($AN737=1,Settings!$C$8,IF($AM737=1,Settings!$C$6,Settings!$C$7))*100)</f>
        <v/>
      </c>
      <c r="AF737" s="7" t="n"/>
      <c r="AI737" s="11" t="n"/>
      <c r="AK737">
        <f>IF($D737="","",IF(COUNTIF($D$2:$D737,$D737)=1,1,0))</f>
        <v/>
      </c>
      <c r="AL737">
        <f>IF($AK737=1,SUMPRODUCT(--($AO$2:$AO$1601&lt;$AO737))+1,"")</f>
        <v/>
      </c>
      <c r="AM737">
        <f>IF($D737="","",IF(OR($R737=TRUE(),$R737="TRUE"),1,0))</f>
        <v/>
      </c>
      <c r="AN737">
        <f>IF($D737="","",IF($AA737="Yes",1,0))</f>
        <v/>
      </c>
      <c r="AO737">
        <f>IF($AK737=1,IFERROR(IF(VALUE($D737)&lt;100000000,VALUE($D737),1000000000),IFERROR(IF(VALUE(MID($D737,2,20))&lt;100000000,VALUE(MID($D737,2,20)),1000000000),1000000000))+ROW()/100000,"")</f>
        <v/>
      </c>
    </row>
    <row r="738">
      <c r="F738" s="11" t="n"/>
      <c r="N738" s="7">
        <f>IF($D738="","",M738*X738/100)</f>
        <v/>
      </c>
      <c r="O738" s="7" t="n"/>
      <c r="U738" s="7" t="n"/>
      <c r="V738" s="7" t="n"/>
      <c r="W738" s="7">
        <f>IF($D738="","",V738*AB738/100)</f>
        <v/>
      </c>
      <c r="X738" s="7">
        <f>IF($D738="","",V738-W738)</f>
        <v/>
      </c>
      <c r="Y738" s="7">
        <f>IF($D738="","",X738-N738)</f>
        <v/>
      </c>
      <c r="AB738">
        <f>IF($D738="","",IF($AN738=1,Settings!$C$8,IF($AM738=1,Settings!$C$6,Settings!$C$7))*100)</f>
        <v/>
      </c>
      <c r="AF738" s="7" t="n"/>
      <c r="AI738" s="11" t="n"/>
      <c r="AK738">
        <f>IF($D738="","",IF(COUNTIF($D$2:$D738,$D738)=1,1,0))</f>
        <v/>
      </c>
      <c r="AL738">
        <f>IF($AK738=1,SUMPRODUCT(--($AO$2:$AO$1601&lt;$AO738))+1,"")</f>
        <v/>
      </c>
      <c r="AM738">
        <f>IF($D738="","",IF(OR($R738=TRUE(),$R738="TRUE"),1,0))</f>
        <v/>
      </c>
      <c r="AN738">
        <f>IF($D738="","",IF($AA738="Yes",1,0))</f>
        <v/>
      </c>
      <c r="AO738">
        <f>IF($AK738=1,IFERROR(IF(VALUE($D738)&lt;100000000,VALUE($D738),1000000000),IFERROR(IF(VALUE(MID($D738,2,20))&lt;100000000,VALUE(MID($D738,2,20)),1000000000),1000000000))+ROW()/100000,"")</f>
        <v/>
      </c>
    </row>
    <row r="739">
      <c r="F739" s="11" t="n"/>
      <c r="N739" s="7">
        <f>IF($D739="","",M739*X739/100)</f>
        <v/>
      </c>
      <c r="O739" s="7" t="n"/>
      <c r="U739" s="7" t="n"/>
      <c r="V739" s="7" t="n"/>
      <c r="W739" s="7">
        <f>IF($D739="","",V739*AB739/100)</f>
        <v/>
      </c>
      <c r="X739" s="7">
        <f>IF($D739="","",V739-W739)</f>
        <v/>
      </c>
      <c r="Y739" s="7">
        <f>IF($D739="","",X739-N739)</f>
        <v/>
      </c>
      <c r="AB739">
        <f>IF($D739="","",IF($AN739=1,Settings!$C$8,IF($AM739=1,Settings!$C$6,Settings!$C$7))*100)</f>
        <v/>
      </c>
      <c r="AF739" s="7" t="n"/>
      <c r="AI739" s="11" t="n"/>
      <c r="AK739">
        <f>IF($D739="","",IF(COUNTIF($D$2:$D739,$D739)=1,1,0))</f>
        <v/>
      </c>
      <c r="AL739">
        <f>IF($AK739=1,SUMPRODUCT(--($AO$2:$AO$1601&lt;$AO739))+1,"")</f>
        <v/>
      </c>
      <c r="AM739">
        <f>IF($D739="","",IF(OR($R739=TRUE(),$R739="TRUE"),1,0))</f>
        <v/>
      </c>
      <c r="AN739">
        <f>IF($D739="","",IF($AA739="Yes",1,0))</f>
        <v/>
      </c>
      <c r="AO739">
        <f>IF($AK739=1,IFERROR(IF(VALUE($D739)&lt;100000000,VALUE($D739),1000000000),IFERROR(IF(VALUE(MID($D739,2,20))&lt;100000000,VALUE(MID($D739,2,20)),1000000000),1000000000))+ROW()/100000,"")</f>
        <v/>
      </c>
    </row>
    <row r="740">
      <c r="F740" s="11" t="n"/>
      <c r="N740" s="7">
        <f>IF($D740="","",M740*X740/100)</f>
        <v/>
      </c>
      <c r="O740" s="7" t="n"/>
      <c r="U740" s="7" t="n"/>
      <c r="V740" s="7" t="n"/>
      <c r="W740" s="7">
        <f>IF($D740="","",V740*AB740/100)</f>
        <v/>
      </c>
      <c r="X740" s="7">
        <f>IF($D740="","",V740-W740)</f>
        <v/>
      </c>
      <c r="Y740" s="7">
        <f>IF($D740="","",X740-N740)</f>
        <v/>
      </c>
      <c r="AB740">
        <f>IF($D740="","",IF($AN740=1,Settings!$C$8,IF($AM740=1,Settings!$C$6,Settings!$C$7))*100)</f>
        <v/>
      </c>
      <c r="AF740" s="7" t="n"/>
      <c r="AI740" s="11" t="n"/>
      <c r="AK740">
        <f>IF($D740="","",IF(COUNTIF($D$2:$D740,$D740)=1,1,0))</f>
        <v/>
      </c>
      <c r="AL740">
        <f>IF($AK740=1,SUMPRODUCT(--($AO$2:$AO$1601&lt;$AO740))+1,"")</f>
        <v/>
      </c>
      <c r="AM740">
        <f>IF($D740="","",IF(OR($R740=TRUE(),$R740="TRUE"),1,0))</f>
        <v/>
      </c>
      <c r="AN740">
        <f>IF($D740="","",IF($AA740="Yes",1,0))</f>
        <v/>
      </c>
      <c r="AO740">
        <f>IF($AK740=1,IFERROR(IF(VALUE($D740)&lt;100000000,VALUE($D740),1000000000),IFERROR(IF(VALUE(MID($D740,2,20))&lt;100000000,VALUE(MID($D740,2,20)),1000000000),1000000000))+ROW()/100000,"")</f>
        <v/>
      </c>
    </row>
    <row r="741">
      <c r="F741" s="11" t="n"/>
      <c r="N741" s="7">
        <f>IF($D741="","",M741*X741/100)</f>
        <v/>
      </c>
      <c r="O741" s="7" t="n"/>
      <c r="U741" s="7" t="n"/>
      <c r="V741" s="7" t="n"/>
      <c r="W741" s="7">
        <f>IF($D741="","",V741*AB741/100)</f>
        <v/>
      </c>
      <c r="X741" s="7">
        <f>IF($D741="","",V741-W741)</f>
        <v/>
      </c>
      <c r="Y741" s="7">
        <f>IF($D741="","",X741-N741)</f>
        <v/>
      </c>
      <c r="AB741">
        <f>IF($D741="","",IF($AN741=1,Settings!$C$8,IF($AM741=1,Settings!$C$6,Settings!$C$7))*100)</f>
        <v/>
      </c>
      <c r="AF741" s="7" t="n"/>
      <c r="AI741" s="11" t="n"/>
      <c r="AK741">
        <f>IF($D741="","",IF(COUNTIF($D$2:$D741,$D741)=1,1,0))</f>
        <v/>
      </c>
      <c r="AL741">
        <f>IF($AK741=1,SUMPRODUCT(--($AO$2:$AO$1601&lt;$AO741))+1,"")</f>
        <v/>
      </c>
      <c r="AM741">
        <f>IF($D741="","",IF(OR($R741=TRUE(),$R741="TRUE"),1,0))</f>
        <v/>
      </c>
      <c r="AN741">
        <f>IF($D741="","",IF($AA741="Yes",1,0))</f>
        <v/>
      </c>
      <c r="AO741">
        <f>IF($AK741=1,IFERROR(IF(VALUE($D741)&lt;100000000,VALUE($D741),1000000000),IFERROR(IF(VALUE(MID($D741,2,20))&lt;100000000,VALUE(MID($D741,2,20)),1000000000),1000000000))+ROW()/100000,"")</f>
        <v/>
      </c>
    </row>
    <row r="742">
      <c r="F742" s="11" t="n"/>
      <c r="N742" s="7">
        <f>IF($D742="","",M742*X742/100)</f>
        <v/>
      </c>
      <c r="O742" s="7" t="n"/>
      <c r="U742" s="7" t="n"/>
      <c r="V742" s="7" t="n"/>
      <c r="W742" s="7">
        <f>IF($D742="","",V742*AB742/100)</f>
        <v/>
      </c>
      <c r="X742" s="7">
        <f>IF($D742="","",V742-W742)</f>
        <v/>
      </c>
      <c r="Y742" s="7">
        <f>IF($D742="","",X742-N742)</f>
        <v/>
      </c>
      <c r="AB742">
        <f>IF($D742="","",IF($AN742=1,Settings!$C$8,IF($AM742=1,Settings!$C$6,Settings!$C$7))*100)</f>
        <v/>
      </c>
      <c r="AF742" s="7" t="n"/>
      <c r="AI742" s="11" t="n"/>
      <c r="AK742">
        <f>IF($D742="","",IF(COUNTIF($D$2:$D742,$D742)=1,1,0))</f>
        <v/>
      </c>
      <c r="AL742">
        <f>IF($AK742=1,SUMPRODUCT(--($AO$2:$AO$1601&lt;$AO742))+1,"")</f>
        <v/>
      </c>
      <c r="AM742">
        <f>IF($D742="","",IF(OR($R742=TRUE(),$R742="TRUE"),1,0))</f>
        <v/>
      </c>
      <c r="AN742">
        <f>IF($D742="","",IF($AA742="Yes",1,0))</f>
        <v/>
      </c>
      <c r="AO742">
        <f>IF($AK742=1,IFERROR(IF(VALUE($D742)&lt;100000000,VALUE($D742),1000000000),IFERROR(IF(VALUE(MID($D742,2,20))&lt;100000000,VALUE(MID($D742,2,20)),1000000000),1000000000))+ROW()/100000,"")</f>
        <v/>
      </c>
    </row>
    <row r="743">
      <c r="F743" s="11" t="n"/>
      <c r="N743" s="7">
        <f>IF($D743="","",M743*X743/100)</f>
        <v/>
      </c>
      <c r="O743" s="7" t="n"/>
      <c r="U743" s="7" t="n"/>
      <c r="V743" s="7" t="n"/>
      <c r="W743" s="7">
        <f>IF($D743="","",V743*AB743/100)</f>
        <v/>
      </c>
      <c r="X743" s="7">
        <f>IF($D743="","",V743-W743)</f>
        <v/>
      </c>
      <c r="Y743" s="7">
        <f>IF($D743="","",X743-N743)</f>
        <v/>
      </c>
      <c r="AB743">
        <f>IF($D743="","",IF($AN743=1,Settings!$C$8,IF($AM743=1,Settings!$C$6,Settings!$C$7))*100)</f>
        <v/>
      </c>
      <c r="AF743" s="7" t="n"/>
      <c r="AI743" s="11" t="n"/>
      <c r="AK743">
        <f>IF($D743="","",IF(COUNTIF($D$2:$D743,$D743)=1,1,0))</f>
        <v/>
      </c>
      <c r="AL743">
        <f>IF($AK743=1,SUMPRODUCT(--($AO$2:$AO$1601&lt;$AO743))+1,"")</f>
        <v/>
      </c>
      <c r="AM743">
        <f>IF($D743="","",IF(OR($R743=TRUE(),$R743="TRUE"),1,0))</f>
        <v/>
      </c>
      <c r="AN743">
        <f>IF($D743="","",IF($AA743="Yes",1,0))</f>
        <v/>
      </c>
      <c r="AO743">
        <f>IF($AK743=1,IFERROR(IF(VALUE($D743)&lt;100000000,VALUE($D743),1000000000),IFERROR(IF(VALUE(MID($D743,2,20))&lt;100000000,VALUE(MID($D743,2,20)),1000000000),1000000000))+ROW()/100000,"")</f>
        <v/>
      </c>
    </row>
    <row r="744">
      <c r="F744" s="11" t="n"/>
      <c r="N744" s="7">
        <f>IF($D744="","",M744*X744/100)</f>
        <v/>
      </c>
      <c r="O744" s="7" t="n"/>
      <c r="U744" s="7" t="n"/>
      <c r="V744" s="7" t="n"/>
      <c r="W744" s="7">
        <f>IF($D744="","",V744*AB744/100)</f>
        <v/>
      </c>
      <c r="X744" s="7">
        <f>IF($D744="","",V744-W744)</f>
        <v/>
      </c>
      <c r="Y744" s="7">
        <f>IF($D744="","",X744-N744)</f>
        <v/>
      </c>
      <c r="AB744">
        <f>IF($D744="","",IF($AN744=1,Settings!$C$8,IF($AM744=1,Settings!$C$6,Settings!$C$7))*100)</f>
        <v/>
      </c>
      <c r="AF744" s="7" t="n"/>
      <c r="AI744" s="11" t="n"/>
      <c r="AK744">
        <f>IF($D744="","",IF(COUNTIF($D$2:$D744,$D744)=1,1,0))</f>
        <v/>
      </c>
      <c r="AL744">
        <f>IF($AK744=1,SUMPRODUCT(--($AO$2:$AO$1601&lt;$AO744))+1,"")</f>
        <v/>
      </c>
      <c r="AM744">
        <f>IF($D744="","",IF(OR($R744=TRUE(),$R744="TRUE"),1,0))</f>
        <v/>
      </c>
      <c r="AN744">
        <f>IF($D744="","",IF($AA744="Yes",1,0))</f>
        <v/>
      </c>
      <c r="AO744">
        <f>IF($AK744=1,IFERROR(IF(VALUE($D744)&lt;100000000,VALUE($D744),1000000000),IFERROR(IF(VALUE(MID($D744,2,20))&lt;100000000,VALUE(MID($D744,2,20)),1000000000),1000000000))+ROW()/100000,"")</f>
        <v/>
      </c>
    </row>
    <row r="745">
      <c r="F745" s="11" t="n"/>
      <c r="N745" s="7">
        <f>IF($D745="","",M745*X745/100)</f>
        <v/>
      </c>
      <c r="O745" s="7" t="n"/>
      <c r="U745" s="7" t="n"/>
      <c r="V745" s="7" t="n"/>
      <c r="W745" s="7">
        <f>IF($D745="","",V745*AB745/100)</f>
        <v/>
      </c>
      <c r="X745" s="7">
        <f>IF($D745="","",V745-W745)</f>
        <v/>
      </c>
      <c r="Y745" s="7">
        <f>IF($D745="","",X745-N745)</f>
        <v/>
      </c>
      <c r="AB745">
        <f>IF($D745="","",IF($AN745=1,Settings!$C$8,IF($AM745=1,Settings!$C$6,Settings!$C$7))*100)</f>
        <v/>
      </c>
      <c r="AF745" s="7" t="n"/>
      <c r="AI745" s="11" t="n"/>
      <c r="AK745">
        <f>IF($D745="","",IF(COUNTIF($D$2:$D745,$D745)=1,1,0))</f>
        <v/>
      </c>
      <c r="AL745">
        <f>IF($AK745=1,SUMPRODUCT(--($AO$2:$AO$1601&lt;$AO745))+1,"")</f>
        <v/>
      </c>
      <c r="AM745">
        <f>IF($D745="","",IF(OR($R745=TRUE(),$R745="TRUE"),1,0))</f>
        <v/>
      </c>
      <c r="AN745">
        <f>IF($D745="","",IF($AA745="Yes",1,0))</f>
        <v/>
      </c>
      <c r="AO745">
        <f>IF($AK745=1,IFERROR(IF(VALUE($D745)&lt;100000000,VALUE($D745),1000000000),IFERROR(IF(VALUE(MID($D745,2,20))&lt;100000000,VALUE(MID($D745,2,20)),1000000000),1000000000))+ROW()/100000,"")</f>
        <v/>
      </c>
    </row>
    <row r="746">
      <c r="F746" s="11" t="n"/>
      <c r="N746" s="7">
        <f>IF($D746="","",M746*X746/100)</f>
        <v/>
      </c>
      <c r="O746" s="7" t="n"/>
      <c r="U746" s="7" t="n"/>
      <c r="V746" s="7" t="n"/>
      <c r="W746" s="7">
        <f>IF($D746="","",V746*AB746/100)</f>
        <v/>
      </c>
      <c r="X746" s="7">
        <f>IF($D746="","",V746-W746)</f>
        <v/>
      </c>
      <c r="Y746" s="7">
        <f>IF($D746="","",X746-N746)</f>
        <v/>
      </c>
      <c r="AB746">
        <f>IF($D746="","",IF($AN746=1,Settings!$C$8,IF($AM746=1,Settings!$C$6,Settings!$C$7))*100)</f>
        <v/>
      </c>
      <c r="AF746" s="7" t="n"/>
      <c r="AI746" s="11" t="n"/>
      <c r="AK746">
        <f>IF($D746="","",IF(COUNTIF($D$2:$D746,$D746)=1,1,0))</f>
        <v/>
      </c>
      <c r="AL746">
        <f>IF($AK746=1,SUMPRODUCT(--($AO$2:$AO$1601&lt;$AO746))+1,"")</f>
        <v/>
      </c>
      <c r="AM746">
        <f>IF($D746="","",IF(OR($R746=TRUE(),$R746="TRUE"),1,0))</f>
        <v/>
      </c>
      <c r="AN746">
        <f>IF($D746="","",IF($AA746="Yes",1,0))</f>
        <v/>
      </c>
      <c r="AO746">
        <f>IF($AK746=1,IFERROR(IF(VALUE($D746)&lt;100000000,VALUE($D746),1000000000),IFERROR(IF(VALUE(MID($D746,2,20))&lt;100000000,VALUE(MID($D746,2,20)),1000000000),1000000000))+ROW()/100000,"")</f>
        <v/>
      </c>
    </row>
    <row r="747">
      <c r="F747" s="11" t="n"/>
      <c r="N747" s="7">
        <f>IF($D747="","",M747*X747/100)</f>
        <v/>
      </c>
      <c r="O747" s="7" t="n"/>
      <c r="U747" s="7" t="n"/>
      <c r="V747" s="7" t="n"/>
      <c r="W747" s="7">
        <f>IF($D747="","",V747*AB747/100)</f>
        <v/>
      </c>
      <c r="X747" s="7">
        <f>IF($D747="","",V747-W747)</f>
        <v/>
      </c>
      <c r="Y747" s="7">
        <f>IF($D747="","",X747-N747)</f>
        <v/>
      </c>
      <c r="AB747">
        <f>IF($D747="","",IF($AN747=1,Settings!$C$8,IF($AM747=1,Settings!$C$6,Settings!$C$7))*100)</f>
        <v/>
      </c>
      <c r="AF747" s="7" t="n"/>
      <c r="AI747" s="11" t="n"/>
      <c r="AK747">
        <f>IF($D747="","",IF(COUNTIF($D$2:$D747,$D747)=1,1,0))</f>
        <v/>
      </c>
      <c r="AL747">
        <f>IF($AK747=1,SUMPRODUCT(--($AO$2:$AO$1601&lt;$AO747))+1,"")</f>
        <v/>
      </c>
      <c r="AM747">
        <f>IF($D747="","",IF(OR($R747=TRUE(),$R747="TRUE"),1,0))</f>
        <v/>
      </c>
      <c r="AN747">
        <f>IF($D747="","",IF($AA747="Yes",1,0))</f>
        <v/>
      </c>
      <c r="AO747">
        <f>IF($AK747=1,IFERROR(IF(VALUE($D747)&lt;100000000,VALUE($D747),1000000000),IFERROR(IF(VALUE(MID($D747,2,20))&lt;100000000,VALUE(MID($D747,2,20)),1000000000),1000000000))+ROW()/100000,"")</f>
        <v/>
      </c>
    </row>
    <row r="748">
      <c r="F748" s="11" t="n"/>
      <c r="N748" s="7">
        <f>IF($D748="","",M748*X748/100)</f>
        <v/>
      </c>
      <c r="O748" s="7" t="n"/>
      <c r="U748" s="7" t="n"/>
      <c r="V748" s="7" t="n"/>
      <c r="W748" s="7">
        <f>IF($D748="","",V748*AB748/100)</f>
        <v/>
      </c>
      <c r="X748" s="7">
        <f>IF($D748="","",V748-W748)</f>
        <v/>
      </c>
      <c r="Y748" s="7">
        <f>IF($D748="","",X748-N748)</f>
        <v/>
      </c>
      <c r="AB748">
        <f>IF($D748="","",IF($AN748=1,Settings!$C$8,IF($AM748=1,Settings!$C$6,Settings!$C$7))*100)</f>
        <v/>
      </c>
      <c r="AF748" s="7" t="n"/>
      <c r="AI748" s="11" t="n"/>
      <c r="AK748">
        <f>IF($D748="","",IF(COUNTIF($D$2:$D748,$D748)=1,1,0))</f>
        <v/>
      </c>
      <c r="AL748">
        <f>IF($AK748=1,SUMPRODUCT(--($AO$2:$AO$1601&lt;$AO748))+1,"")</f>
        <v/>
      </c>
      <c r="AM748">
        <f>IF($D748="","",IF(OR($R748=TRUE(),$R748="TRUE"),1,0))</f>
        <v/>
      </c>
      <c r="AN748">
        <f>IF($D748="","",IF($AA748="Yes",1,0))</f>
        <v/>
      </c>
      <c r="AO748">
        <f>IF($AK748=1,IFERROR(IF(VALUE($D748)&lt;100000000,VALUE($D748),1000000000),IFERROR(IF(VALUE(MID($D748,2,20))&lt;100000000,VALUE(MID($D748,2,20)),1000000000),1000000000))+ROW()/100000,"")</f>
        <v/>
      </c>
    </row>
    <row r="749">
      <c r="F749" s="11" t="n"/>
      <c r="N749" s="7">
        <f>IF($D749="","",M749*X749/100)</f>
        <v/>
      </c>
      <c r="O749" s="7" t="n"/>
      <c r="U749" s="7" t="n"/>
      <c r="V749" s="7" t="n"/>
      <c r="W749" s="7">
        <f>IF($D749="","",V749*AB749/100)</f>
        <v/>
      </c>
      <c r="X749" s="7">
        <f>IF($D749="","",V749-W749)</f>
        <v/>
      </c>
      <c r="Y749" s="7">
        <f>IF($D749="","",X749-N749)</f>
        <v/>
      </c>
      <c r="AB749">
        <f>IF($D749="","",IF($AN749=1,Settings!$C$8,IF($AM749=1,Settings!$C$6,Settings!$C$7))*100)</f>
        <v/>
      </c>
      <c r="AF749" s="7" t="n"/>
      <c r="AI749" s="11" t="n"/>
      <c r="AK749">
        <f>IF($D749="","",IF(COUNTIF($D$2:$D749,$D749)=1,1,0))</f>
        <v/>
      </c>
      <c r="AL749">
        <f>IF($AK749=1,SUMPRODUCT(--($AO$2:$AO$1601&lt;$AO749))+1,"")</f>
        <v/>
      </c>
      <c r="AM749">
        <f>IF($D749="","",IF(OR($R749=TRUE(),$R749="TRUE"),1,0))</f>
        <v/>
      </c>
      <c r="AN749">
        <f>IF($D749="","",IF($AA749="Yes",1,0))</f>
        <v/>
      </c>
      <c r="AO749">
        <f>IF($AK749=1,IFERROR(IF(VALUE($D749)&lt;100000000,VALUE($D749),1000000000),IFERROR(IF(VALUE(MID($D749,2,20))&lt;100000000,VALUE(MID($D749,2,20)),1000000000),1000000000))+ROW()/100000,"")</f>
        <v/>
      </c>
    </row>
    <row r="750">
      <c r="F750" s="11" t="n"/>
      <c r="N750" s="7">
        <f>IF($D750="","",M750*X750/100)</f>
        <v/>
      </c>
      <c r="O750" s="7" t="n"/>
      <c r="U750" s="7" t="n"/>
      <c r="V750" s="7" t="n"/>
      <c r="W750" s="7">
        <f>IF($D750="","",V750*AB750/100)</f>
        <v/>
      </c>
      <c r="X750" s="7">
        <f>IF($D750="","",V750-W750)</f>
        <v/>
      </c>
      <c r="Y750" s="7">
        <f>IF($D750="","",X750-N750)</f>
        <v/>
      </c>
      <c r="AB750">
        <f>IF($D750="","",IF($AN750=1,Settings!$C$8,IF($AM750=1,Settings!$C$6,Settings!$C$7))*100)</f>
        <v/>
      </c>
      <c r="AF750" s="7" t="n"/>
      <c r="AI750" s="11" t="n"/>
      <c r="AK750">
        <f>IF($D750="","",IF(COUNTIF($D$2:$D750,$D750)=1,1,0))</f>
        <v/>
      </c>
      <c r="AL750">
        <f>IF($AK750=1,SUMPRODUCT(--($AO$2:$AO$1601&lt;$AO750))+1,"")</f>
        <v/>
      </c>
      <c r="AM750">
        <f>IF($D750="","",IF(OR($R750=TRUE(),$R750="TRUE"),1,0))</f>
        <v/>
      </c>
      <c r="AN750">
        <f>IF($D750="","",IF($AA750="Yes",1,0))</f>
        <v/>
      </c>
      <c r="AO750">
        <f>IF($AK750=1,IFERROR(IF(VALUE($D750)&lt;100000000,VALUE($D750),1000000000),IFERROR(IF(VALUE(MID($D750,2,20))&lt;100000000,VALUE(MID($D750,2,20)),1000000000),1000000000))+ROW()/100000,"")</f>
        <v/>
      </c>
    </row>
    <row r="751">
      <c r="F751" s="11" t="n"/>
      <c r="N751" s="7">
        <f>IF($D751="","",M751*X751/100)</f>
        <v/>
      </c>
      <c r="O751" s="7" t="n"/>
      <c r="U751" s="7" t="n"/>
      <c r="V751" s="7" t="n"/>
      <c r="W751" s="7">
        <f>IF($D751="","",V751*AB751/100)</f>
        <v/>
      </c>
      <c r="X751" s="7">
        <f>IF($D751="","",V751-W751)</f>
        <v/>
      </c>
      <c r="Y751" s="7">
        <f>IF($D751="","",X751-N751)</f>
        <v/>
      </c>
      <c r="AB751">
        <f>IF($D751="","",IF($AN751=1,Settings!$C$8,IF($AM751=1,Settings!$C$6,Settings!$C$7))*100)</f>
        <v/>
      </c>
      <c r="AF751" s="7" t="n"/>
      <c r="AI751" s="11" t="n"/>
      <c r="AK751">
        <f>IF($D751="","",IF(COUNTIF($D$2:$D751,$D751)=1,1,0))</f>
        <v/>
      </c>
      <c r="AL751">
        <f>IF($AK751=1,SUMPRODUCT(--($AO$2:$AO$1601&lt;$AO751))+1,"")</f>
        <v/>
      </c>
      <c r="AM751">
        <f>IF($D751="","",IF(OR($R751=TRUE(),$R751="TRUE"),1,0))</f>
        <v/>
      </c>
      <c r="AN751">
        <f>IF($D751="","",IF($AA751="Yes",1,0))</f>
        <v/>
      </c>
      <c r="AO751">
        <f>IF($AK751=1,IFERROR(IF(VALUE($D751)&lt;100000000,VALUE($D751),1000000000),IFERROR(IF(VALUE(MID($D751,2,20))&lt;100000000,VALUE(MID($D751,2,20)),1000000000),1000000000))+ROW()/100000,"")</f>
        <v/>
      </c>
    </row>
    <row r="752">
      <c r="F752" s="11" t="n"/>
      <c r="N752" s="7">
        <f>IF($D752="","",M752*X752/100)</f>
        <v/>
      </c>
      <c r="O752" s="7" t="n"/>
      <c r="U752" s="7" t="n"/>
      <c r="V752" s="7" t="n"/>
      <c r="W752" s="7">
        <f>IF($D752="","",V752*AB752/100)</f>
        <v/>
      </c>
      <c r="X752" s="7">
        <f>IF($D752="","",V752-W752)</f>
        <v/>
      </c>
      <c r="Y752" s="7">
        <f>IF($D752="","",X752-N752)</f>
        <v/>
      </c>
      <c r="AB752">
        <f>IF($D752="","",IF($AN752=1,Settings!$C$8,IF($AM752=1,Settings!$C$6,Settings!$C$7))*100)</f>
        <v/>
      </c>
      <c r="AF752" s="7" t="n"/>
      <c r="AI752" s="11" t="n"/>
      <c r="AK752">
        <f>IF($D752="","",IF(COUNTIF($D$2:$D752,$D752)=1,1,0))</f>
        <v/>
      </c>
      <c r="AL752">
        <f>IF($AK752=1,SUMPRODUCT(--($AO$2:$AO$1601&lt;$AO752))+1,"")</f>
        <v/>
      </c>
      <c r="AM752">
        <f>IF($D752="","",IF(OR($R752=TRUE(),$R752="TRUE"),1,0))</f>
        <v/>
      </c>
      <c r="AN752">
        <f>IF($D752="","",IF($AA752="Yes",1,0))</f>
        <v/>
      </c>
      <c r="AO752">
        <f>IF($AK752=1,IFERROR(IF(VALUE($D752)&lt;100000000,VALUE($D752),1000000000),IFERROR(IF(VALUE(MID($D752,2,20))&lt;100000000,VALUE(MID($D752,2,20)),1000000000),1000000000))+ROW()/100000,"")</f>
        <v/>
      </c>
    </row>
    <row r="753">
      <c r="F753" s="11" t="n"/>
      <c r="N753" s="7">
        <f>IF($D753="","",M753*X753/100)</f>
        <v/>
      </c>
      <c r="O753" s="7" t="n"/>
      <c r="U753" s="7" t="n"/>
      <c r="V753" s="7" t="n"/>
      <c r="W753" s="7">
        <f>IF($D753="","",V753*AB753/100)</f>
        <v/>
      </c>
      <c r="X753" s="7">
        <f>IF($D753="","",V753-W753)</f>
        <v/>
      </c>
      <c r="Y753" s="7">
        <f>IF($D753="","",X753-N753)</f>
        <v/>
      </c>
      <c r="AB753">
        <f>IF($D753="","",IF($AN753=1,Settings!$C$8,IF($AM753=1,Settings!$C$6,Settings!$C$7))*100)</f>
        <v/>
      </c>
      <c r="AF753" s="7" t="n"/>
      <c r="AI753" s="11" t="n"/>
      <c r="AK753">
        <f>IF($D753="","",IF(COUNTIF($D$2:$D753,$D753)=1,1,0))</f>
        <v/>
      </c>
      <c r="AL753">
        <f>IF($AK753=1,SUMPRODUCT(--($AO$2:$AO$1601&lt;$AO753))+1,"")</f>
        <v/>
      </c>
      <c r="AM753">
        <f>IF($D753="","",IF(OR($R753=TRUE(),$R753="TRUE"),1,0))</f>
        <v/>
      </c>
      <c r="AN753">
        <f>IF($D753="","",IF($AA753="Yes",1,0))</f>
        <v/>
      </c>
      <c r="AO753">
        <f>IF($AK753=1,IFERROR(IF(VALUE($D753)&lt;100000000,VALUE($D753),1000000000),IFERROR(IF(VALUE(MID($D753,2,20))&lt;100000000,VALUE(MID($D753,2,20)),1000000000),1000000000))+ROW()/100000,"")</f>
        <v/>
      </c>
    </row>
    <row r="754">
      <c r="F754" s="11" t="n"/>
      <c r="N754" s="7">
        <f>IF($D754="","",M754*X754/100)</f>
        <v/>
      </c>
      <c r="O754" s="7" t="n"/>
      <c r="U754" s="7" t="n"/>
      <c r="V754" s="7" t="n"/>
      <c r="W754" s="7">
        <f>IF($D754="","",V754*AB754/100)</f>
        <v/>
      </c>
      <c r="X754" s="7">
        <f>IF($D754="","",V754-W754)</f>
        <v/>
      </c>
      <c r="Y754" s="7">
        <f>IF($D754="","",X754-N754)</f>
        <v/>
      </c>
      <c r="AB754">
        <f>IF($D754="","",IF($AN754=1,Settings!$C$8,IF($AM754=1,Settings!$C$6,Settings!$C$7))*100)</f>
        <v/>
      </c>
      <c r="AF754" s="7" t="n"/>
      <c r="AI754" s="11" t="n"/>
      <c r="AK754">
        <f>IF($D754="","",IF(COUNTIF($D$2:$D754,$D754)=1,1,0))</f>
        <v/>
      </c>
      <c r="AL754">
        <f>IF($AK754=1,SUMPRODUCT(--($AO$2:$AO$1601&lt;$AO754))+1,"")</f>
        <v/>
      </c>
      <c r="AM754">
        <f>IF($D754="","",IF(OR($R754=TRUE(),$R754="TRUE"),1,0))</f>
        <v/>
      </c>
      <c r="AN754">
        <f>IF($D754="","",IF($AA754="Yes",1,0))</f>
        <v/>
      </c>
      <c r="AO754">
        <f>IF($AK754=1,IFERROR(IF(VALUE($D754)&lt;100000000,VALUE($D754),1000000000),IFERROR(IF(VALUE(MID($D754,2,20))&lt;100000000,VALUE(MID($D754,2,20)),1000000000),1000000000))+ROW()/100000,"")</f>
        <v/>
      </c>
    </row>
    <row r="755">
      <c r="F755" s="11" t="n"/>
      <c r="N755" s="7">
        <f>IF($D755="","",M755*X755/100)</f>
        <v/>
      </c>
      <c r="O755" s="7" t="n"/>
      <c r="U755" s="7" t="n"/>
      <c r="V755" s="7" t="n"/>
      <c r="W755" s="7">
        <f>IF($D755="","",V755*AB755/100)</f>
        <v/>
      </c>
      <c r="X755" s="7">
        <f>IF($D755="","",V755-W755)</f>
        <v/>
      </c>
      <c r="Y755" s="7">
        <f>IF($D755="","",X755-N755)</f>
        <v/>
      </c>
      <c r="AB755">
        <f>IF($D755="","",IF($AN755=1,Settings!$C$8,IF($AM755=1,Settings!$C$6,Settings!$C$7))*100)</f>
        <v/>
      </c>
      <c r="AF755" s="7" t="n"/>
      <c r="AI755" s="11" t="n"/>
      <c r="AK755">
        <f>IF($D755="","",IF(COUNTIF($D$2:$D755,$D755)=1,1,0))</f>
        <v/>
      </c>
      <c r="AL755">
        <f>IF($AK755=1,SUMPRODUCT(--($AO$2:$AO$1601&lt;$AO755))+1,"")</f>
        <v/>
      </c>
      <c r="AM755">
        <f>IF($D755="","",IF(OR($R755=TRUE(),$R755="TRUE"),1,0))</f>
        <v/>
      </c>
      <c r="AN755">
        <f>IF($D755="","",IF($AA755="Yes",1,0))</f>
        <v/>
      </c>
      <c r="AO755">
        <f>IF($AK755=1,IFERROR(IF(VALUE($D755)&lt;100000000,VALUE($D755),1000000000),IFERROR(IF(VALUE(MID($D755,2,20))&lt;100000000,VALUE(MID($D755,2,20)),1000000000),1000000000))+ROW()/100000,"")</f>
        <v/>
      </c>
    </row>
    <row r="756">
      <c r="F756" s="11" t="n"/>
      <c r="N756" s="7">
        <f>IF($D756="","",M756*X756/100)</f>
        <v/>
      </c>
      <c r="O756" s="7" t="n"/>
      <c r="U756" s="7" t="n"/>
      <c r="V756" s="7" t="n"/>
      <c r="W756" s="7">
        <f>IF($D756="","",V756*AB756/100)</f>
        <v/>
      </c>
      <c r="X756" s="7">
        <f>IF($D756="","",V756-W756)</f>
        <v/>
      </c>
      <c r="Y756" s="7">
        <f>IF($D756="","",X756-N756)</f>
        <v/>
      </c>
      <c r="AB756">
        <f>IF($D756="","",IF($AN756=1,Settings!$C$8,IF($AM756=1,Settings!$C$6,Settings!$C$7))*100)</f>
        <v/>
      </c>
      <c r="AF756" s="7" t="n"/>
      <c r="AI756" s="11" t="n"/>
      <c r="AK756">
        <f>IF($D756="","",IF(COUNTIF($D$2:$D756,$D756)=1,1,0))</f>
        <v/>
      </c>
      <c r="AL756">
        <f>IF($AK756=1,SUMPRODUCT(--($AO$2:$AO$1601&lt;$AO756))+1,"")</f>
        <v/>
      </c>
      <c r="AM756">
        <f>IF($D756="","",IF(OR($R756=TRUE(),$R756="TRUE"),1,0))</f>
        <v/>
      </c>
      <c r="AN756">
        <f>IF($D756="","",IF($AA756="Yes",1,0))</f>
        <v/>
      </c>
      <c r="AO756">
        <f>IF($AK756=1,IFERROR(IF(VALUE($D756)&lt;100000000,VALUE($D756),1000000000),IFERROR(IF(VALUE(MID($D756,2,20))&lt;100000000,VALUE(MID($D756,2,20)),1000000000),1000000000))+ROW()/100000,"")</f>
        <v/>
      </c>
    </row>
    <row r="757">
      <c r="F757" s="11" t="n"/>
      <c r="N757" s="7">
        <f>IF($D757="","",M757*X757/100)</f>
        <v/>
      </c>
      <c r="O757" s="7" t="n"/>
      <c r="U757" s="7" t="n"/>
      <c r="V757" s="7" t="n"/>
      <c r="W757" s="7">
        <f>IF($D757="","",V757*AB757/100)</f>
        <v/>
      </c>
      <c r="X757" s="7">
        <f>IF($D757="","",V757-W757)</f>
        <v/>
      </c>
      <c r="Y757" s="7">
        <f>IF($D757="","",X757-N757)</f>
        <v/>
      </c>
      <c r="AB757">
        <f>IF($D757="","",IF($AN757=1,Settings!$C$8,IF($AM757=1,Settings!$C$6,Settings!$C$7))*100)</f>
        <v/>
      </c>
      <c r="AF757" s="7" t="n"/>
      <c r="AI757" s="11" t="n"/>
      <c r="AK757">
        <f>IF($D757="","",IF(COUNTIF($D$2:$D757,$D757)=1,1,0))</f>
        <v/>
      </c>
      <c r="AL757">
        <f>IF($AK757=1,SUMPRODUCT(--($AO$2:$AO$1601&lt;$AO757))+1,"")</f>
        <v/>
      </c>
      <c r="AM757">
        <f>IF($D757="","",IF(OR($R757=TRUE(),$R757="TRUE"),1,0))</f>
        <v/>
      </c>
      <c r="AN757">
        <f>IF($D757="","",IF($AA757="Yes",1,0))</f>
        <v/>
      </c>
      <c r="AO757">
        <f>IF($AK757=1,IFERROR(IF(VALUE($D757)&lt;100000000,VALUE($D757),1000000000),IFERROR(IF(VALUE(MID($D757,2,20))&lt;100000000,VALUE(MID($D757,2,20)),1000000000),1000000000))+ROW()/100000,"")</f>
        <v/>
      </c>
    </row>
    <row r="758">
      <c r="F758" s="11" t="n"/>
      <c r="N758" s="7">
        <f>IF($D758="","",M758*X758/100)</f>
        <v/>
      </c>
      <c r="O758" s="7" t="n"/>
      <c r="U758" s="7" t="n"/>
      <c r="V758" s="7" t="n"/>
      <c r="W758" s="7">
        <f>IF($D758="","",V758*AB758/100)</f>
        <v/>
      </c>
      <c r="X758" s="7">
        <f>IF($D758="","",V758-W758)</f>
        <v/>
      </c>
      <c r="Y758" s="7">
        <f>IF($D758="","",X758-N758)</f>
        <v/>
      </c>
      <c r="AB758">
        <f>IF($D758="","",IF($AN758=1,Settings!$C$8,IF($AM758=1,Settings!$C$6,Settings!$C$7))*100)</f>
        <v/>
      </c>
      <c r="AF758" s="7" t="n"/>
      <c r="AI758" s="11" t="n"/>
      <c r="AK758">
        <f>IF($D758="","",IF(COUNTIF($D$2:$D758,$D758)=1,1,0))</f>
        <v/>
      </c>
      <c r="AL758">
        <f>IF($AK758=1,SUMPRODUCT(--($AO$2:$AO$1601&lt;$AO758))+1,"")</f>
        <v/>
      </c>
      <c r="AM758">
        <f>IF($D758="","",IF(OR($R758=TRUE(),$R758="TRUE"),1,0))</f>
        <v/>
      </c>
      <c r="AN758">
        <f>IF($D758="","",IF($AA758="Yes",1,0))</f>
        <v/>
      </c>
      <c r="AO758">
        <f>IF($AK758=1,IFERROR(IF(VALUE($D758)&lt;100000000,VALUE($D758),1000000000),IFERROR(IF(VALUE(MID($D758,2,20))&lt;100000000,VALUE(MID($D758,2,20)),1000000000),1000000000))+ROW()/100000,"")</f>
        <v/>
      </c>
    </row>
    <row r="759">
      <c r="F759" s="11" t="n"/>
      <c r="N759" s="7">
        <f>IF($D759="","",M759*X759/100)</f>
        <v/>
      </c>
      <c r="O759" s="7" t="n"/>
      <c r="U759" s="7" t="n"/>
      <c r="V759" s="7" t="n"/>
      <c r="W759" s="7">
        <f>IF($D759="","",V759*AB759/100)</f>
        <v/>
      </c>
      <c r="X759" s="7">
        <f>IF($D759="","",V759-W759)</f>
        <v/>
      </c>
      <c r="Y759" s="7">
        <f>IF($D759="","",X759-N759)</f>
        <v/>
      </c>
      <c r="AB759">
        <f>IF($D759="","",IF($AN759=1,Settings!$C$8,IF($AM759=1,Settings!$C$6,Settings!$C$7))*100)</f>
        <v/>
      </c>
      <c r="AF759" s="7" t="n"/>
      <c r="AI759" s="11" t="n"/>
      <c r="AK759">
        <f>IF($D759="","",IF(COUNTIF($D$2:$D759,$D759)=1,1,0))</f>
        <v/>
      </c>
      <c r="AL759">
        <f>IF($AK759=1,SUMPRODUCT(--($AO$2:$AO$1601&lt;$AO759))+1,"")</f>
        <v/>
      </c>
      <c r="AM759">
        <f>IF($D759="","",IF(OR($R759=TRUE(),$R759="TRUE"),1,0))</f>
        <v/>
      </c>
      <c r="AN759">
        <f>IF($D759="","",IF($AA759="Yes",1,0))</f>
        <v/>
      </c>
      <c r="AO759">
        <f>IF($AK759=1,IFERROR(IF(VALUE($D759)&lt;100000000,VALUE($D759),1000000000),IFERROR(IF(VALUE(MID($D759,2,20))&lt;100000000,VALUE(MID($D759,2,20)),1000000000),1000000000))+ROW()/100000,"")</f>
        <v/>
      </c>
    </row>
    <row r="760">
      <c r="F760" s="11" t="n"/>
      <c r="N760" s="7">
        <f>IF($D760="","",M760*X760/100)</f>
        <v/>
      </c>
      <c r="O760" s="7" t="n"/>
      <c r="U760" s="7" t="n"/>
      <c r="V760" s="7" t="n"/>
      <c r="W760" s="7">
        <f>IF($D760="","",V760*AB760/100)</f>
        <v/>
      </c>
      <c r="X760" s="7">
        <f>IF($D760="","",V760-W760)</f>
        <v/>
      </c>
      <c r="Y760" s="7">
        <f>IF($D760="","",X760-N760)</f>
        <v/>
      </c>
      <c r="AB760">
        <f>IF($D760="","",IF($AN760=1,Settings!$C$8,IF($AM760=1,Settings!$C$6,Settings!$C$7))*100)</f>
        <v/>
      </c>
      <c r="AF760" s="7" t="n"/>
      <c r="AI760" s="11" t="n"/>
      <c r="AK760">
        <f>IF($D760="","",IF(COUNTIF($D$2:$D760,$D760)=1,1,0))</f>
        <v/>
      </c>
      <c r="AL760">
        <f>IF($AK760=1,SUMPRODUCT(--($AO$2:$AO$1601&lt;$AO760))+1,"")</f>
        <v/>
      </c>
      <c r="AM760">
        <f>IF($D760="","",IF(OR($R760=TRUE(),$R760="TRUE"),1,0))</f>
        <v/>
      </c>
      <c r="AN760">
        <f>IF($D760="","",IF($AA760="Yes",1,0))</f>
        <v/>
      </c>
      <c r="AO760">
        <f>IF($AK760=1,IFERROR(IF(VALUE($D760)&lt;100000000,VALUE($D760),1000000000),IFERROR(IF(VALUE(MID($D760,2,20))&lt;100000000,VALUE(MID($D760,2,20)),1000000000),1000000000))+ROW()/100000,"")</f>
        <v/>
      </c>
    </row>
    <row r="761">
      <c r="F761" s="11" t="n"/>
      <c r="N761" s="7">
        <f>IF($D761="","",M761*X761/100)</f>
        <v/>
      </c>
      <c r="O761" s="7" t="n"/>
      <c r="U761" s="7" t="n"/>
      <c r="V761" s="7" t="n"/>
      <c r="W761" s="7">
        <f>IF($D761="","",V761*AB761/100)</f>
        <v/>
      </c>
      <c r="X761" s="7">
        <f>IF($D761="","",V761-W761)</f>
        <v/>
      </c>
      <c r="Y761" s="7">
        <f>IF($D761="","",X761-N761)</f>
        <v/>
      </c>
      <c r="AB761">
        <f>IF($D761="","",IF($AN761=1,Settings!$C$8,IF($AM761=1,Settings!$C$6,Settings!$C$7))*100)</f>
        <v/>
      </c>
      <c r="AF761" s="7" t="n"/>
      <c r="AI761" s="11" t="n"/>
      <c r="AK761">
        <f>IF($D761="","",IF(COUNTIF($D$2:$D761,$D761)=1,1,0))</f>
        <v/>
      </c>
      <c r="AL761">
        <f>IF($AK761=1,SUMPRODUCT(--($AO$2:$AO$1601&lt;$AO761))+1,"")</f>
        <v/>
      </c>
      <c r="AM761">
        <f>IF($D761="","",IF(OR($R761=TRUE(),$R761="TRUE"),1,0))</f>
        <v/>
      </c>
      <c r="AN761">
        <f>IF($D761="","",IF($AA761="Yes",1,0))</f>
        <v/>
      </c>
      <c r="AO761">
        <f>IF($AK761=1,IFERROR(IF(VALUE($D761)&lt;100000000,VALUE($D761),1000000000),IFERROR(IF(VALUE(MID($D761,2,20))&lt;100000000,VALUE(MID($D761,2,20)),1000000000),1000000000))+ROW()/100000,"")</f>
        <v/>
      </c>
    </row>
    <row r="762">
      <c r="F762" s="11" t="n"/>
      <c r="N762" s="7">
        <f>IF($D762="","",M762*X762/100)</f>
        <v/>
      </c>
      <c r="O762" s="7" t="n"/>
      <c r="U762" s="7" t="n"/>
      <c r="V762" s="7" t="n"/>
      <c r="W762" s="7">
        <f>IF($D762="","",V762*AB762/100)</f>
        <v/>
      </c>
      <c r="X762" s="7">
        <f>IF($D762="","",V762-W762)</f>
        <v/>
      </c>
      <c r="Y762" s="7">
        <f>IF($D762="","",X762-N762)</f>
        <v/>
      </c>
      <c r="AB762">
        <f>IF($D762="","",IF($AN762=1,Settings!$C$8,IF($AM762=1,Settings!$C$6,Settings!$C$7))*100)</f>
        <v/>
      </c>
      <c r="AF762" s="7" t="n"/>
      <c r="AI762" s="11" t="n"/>
      <c r="AK762">
        <f>IF($D762="","",IF(COUNTIF($D$2:$D762,$D762)=1,1,0))</f>
        <v/>
      </c>
      <c r="AL762">
        <f>IF($AK762=1,SUMPRODUCT(--($AO$2:$AO$1601&lt;$AO762))+1,"")</f>
        <v/>
      </c>
      <c r="AM762">
        <f>IF($D762="","",IF(OR($R762=TRUE(),$R762="TRUE"),1,0))</f>
        <v/>
      </c>
      <c r="AN762">
        <f>IF($D762="","",IF($AA762="Yes",1,0))</f>
        <v/>
      </c>
      <c r="AO762">
        <f>IF($AK762=1,IFERROR(IF(VALUE($D762)&lt;100000000,VALUE($D762),1000000000),IFERROR(IF(VALUE(MID($D762,2,20))&lt;100000000,VALUE(MID($D762,2,20)),1000000000),1000000000))+ROW()/100000,"")</f>
        <v/>
      </c>
    </row>
    <row r="763">
      <c r="F763" s="11" t="n"/>
      <c r="N763" s="7">
        <f>IF($D763="","",M763*X763/100)</f>
        <v/>
      </c>
      <c r="O763" s="7" t="n"/>
      <c r="U763" s="7" t="n"/>
      <c r="V763" s="7" t="n"/>
      <c r="W763" s="7">
        <f>IF($D763="","",V763*AB763/100)</f>
        <v/>
      </c>
      <c r="X763" s="7">
        <f>IF($D763="","",V763-W763)</f>
        <v/>
      </c>
      <c r="Y763" s="7">
        <f>IF($D763="","",X763-N763)</f>
        <v/>
      </c>
      <c r="AB763">
        <f>IF($D763="","",IF($AN763=1,Settings!$C$8,IF($AM763=1,Settings!$C$6,Settings!$C$7))*100)</f>
        <v/>
      </c>
      <c r="AF763" s="7" t="n"/>
      <c r="AI763" s="11" t="n"/>
      <c r="AK763">
        <f>IF($D763="","",IF(COUNTIF($D$2:$D763,$D763)=1,1,0))</f>
        <v/>
      </c>
      <c r="AL763">
        <f>IF($AK763=1,SUMPRODUCT(--($AO$2:$AO$1601&lt;$AO763))+1,"")</f>
        <v/>
      </c>
      <c r="AM763">
        <f>IF($D763="","",IF(OR($R763=TRUE(),$R763="TRUE"),1,0))</f>
        <v/>
      </c>
      <c r="AN763">
        <f>IF($D763="","",IF($AA763="Yes",1,0))</f>
        <v/>
      </c>
      <c r="AO763">
        <f>IF($AK763=1,IFERROR(IF(VALUE($D763)&lt;100000000,VALUE($D763),1000000000),IFERROR(IF(VALUE(MID($D763,2,20))&lt;100000000,VALUE(MID($D763,2,20)),1000000000),1000000000))+ROW()/100000,"")</f>
        <v/>
      </c>
    </row>
    <row r="764">
      <c r="F764" s="11" t="n"/>
      <c r="N764" s="7">
        <f>IF($D764="","",M764*X764/100)</f>
        <v/>
      </c>
      <c r="O764" s="7" t="n"/>
      <c r="U764" s="7" t="n"/>
      <c r="V764" s="7" t="n"/>
      <c r="W764" s="7">
        <f>IF($D764="","",V764*AB764/100)</f>
        <v/>
      </c>
      <c r="X764" s="7">
        <f>IF($D764="","",V764-W764)</f>
        <v/>
      </c>
      <c r="Y764" s="7">
        <f>IF($D764="","",X764-N764)</f>
        <v/>
      </c>
      <c r="AB764">
        <f>IF($D764="","",IF($AN764=1,Settings!$C$8,IF($AM764=1,Settings!$C$6,Settings!$C$7))*100)</f>
        <v/>
      </c>
      <c r="AF764" s="7" t="n"/>
      <c r="AI764" s="11" t="n"/>
      <c r="AK764">
        <f>IF($D764="","",IF(COUNTIF($D$2:$D764,$D764)=1,1,0))</f>
        <v/>
      </c>
      <c r="AL764">
        <f>IF($AK764=1,SUMPRODUCT(--($AO$2:$AO$1601&lt;$AO764))+1,"")</f>
        <v/>
      </c>
      <c r="AM764">
        <f>IF($D764="","",IF(OR($R764=TRUE(),$R764="TRUE"),1,0))</f>
        <v/>
      </c>
      <c r="AN764">
        <f>IF($D764="","",IF($AA764="Yes",1,0))</f>
        <v/>
      </c>
      <c r="AO764">
        <f>IF($AK764=1,IFERROR(IF(VALUE($D764)&lt;100000000,VALUE($D764),1000000000),IFERROR(IF(VALUE(MID($D764,2,20))&lt;100000000,VALUE(MID($D764,2,20)),1000000000),1000000000))+ROW()/100000,"")</f>
        <v/>
      </c>
    </row>
    <row r="765">
      <c r="F765" s="11" t="n"/>
      <c r="N765" s="7">
        <f>IF($D765="","",M765*X765/100)</f>
        <v/>
      </c>
      <c r="O765" s="7" t="n"/>
      <c r="U765" s="7" t="n"/>
      <c r="V765" s="7" t="n"/>
      <c r="W765" s="7">
        <f>IF($D765="","",V765*AB765/100)</f>
        <v/>
      </c>
      <c r="X765" s="7">
        <f>IF($D765="","",V765-W765)</f>
        <v/>
      </c>
      <c r="Y765" s="7">
        <f>IF($D765="","",X765-N765)</f>
        <v/>
      </c>
      <c r="AB765">
        <f>IF($D765="","",IF($AN765=1,Settings!$C$8,IF($AM765=1,Settings!$C$6,Settings!$C$7))*100)</f>
        <v/>
      </c>
      <c r="AF765" s="7" t="n"/>
      <c r="AI765" s="11" t="n"/>
      <c r="AK765">
        <f>IF($D765="","",IF(COUNTIF($D$2:$D765,$D765)=1,1,0))</f>
        <v/>
      </c>
      <c r="AL765">
        <f>IF($AK765=1,SUMPRODUCT(--($AO$2:$AO$1601&lt;$AO765))+1,"")</f>
        <v/>
      </c>
      <c r="AM765">
        <f>IF($D765="","",IF(OR($R765=TRUE(),$R765="TRUE"),1,0))</f>
        <v/>
      </c>
      <c r="AN765">
        <f>IF($D765="","",IF($AA765="Yes",1,0))</f>
        <v/>
      </c>
      <c r="AO765">
        <f>IF($AK765=1,IFERROR(IF(VALUE($D765)&lt;100000000,VALUE($D765),1000000000),IFERROR(IF(VALUE(MID($D765,2,20))&lt;100000000,VALUE(MID($D765,2,20)),1000000000),1000000000))+ROW()/100000,"")</f>
        <v/>
      </c>
    </row>
    <row r="766">
      <c r="F766" s="11" t="n"/>
      <c r="N766" s="7">
        <f>IF($D766="","",M766*X766/100)</f>
        <v/>
      </c>
      <c r="O766" s="7" t="n"/>
      <c r="U766" s="7" t="n"/>
      <c r="V766" s="7" t="n"/>
      <c r="W766" s="7">
        <f>IF($D766="","",V766*AB766/100)</f>
        <v/>
      </c>
      <c r="X766" s="7">
        <f>IF($D766="","",V766-W766)</f>
        <v/>
      </c>
      <c r="Y766" s="7">
        <f>IF($D766="","",X766-N766)</f>
        <v/>
      </c>
      <c r="AB766">
        <f>IF($D766="","",IF($AN766=1,Settings!$C$8,IF($AM766=1,Settings!$C$6,Settings!$C$7))*100)</f>
        <v/>
      </c>
      <c r="AF766" s="7" t="n"/>
      <c r="AI766" s="11" t="n"/>
      <c r="AK766">
        <f>IF($D766="","",IF(COUNTIF($D$2:$D766,$D766)=1,1,0))</f>
        <v/>
      </c>
      <c r="AL766">
        <f>IF($AK766=1,SUMPRODUCT(--($AO$2:$AO$1601&lt;$AO766))+1,"")</f>
        <v/>
      </c>
      <c r="AM766">
        <f>IF($D766="","",IF(OR($R766=TRUE(),$R766="TRUE"),1,0))</f>
        <v/>
      </c>
      <c r="AN766">
        <f>IF($D766="","",IF($AA766="Yes",1,0))</f>
        <v/>
      </c>
      <c r="AO766">
        <f>IF($AK766=1,IFERROR(IF(VALUE($D766)&lt;100000000,VALUE($D766),1000000000),IFERROR(IF(VALUE(MID($D766,2,20))&lt;100000000,VALUE(MID($D766,2,20)),1000000000),1000000000))+ROW()/100000,"")</f>
        <v/>
      </c>
    </row>
    <row r="767">
      <c r="F767" s="11" t="n"/>
      <c r="N767" s="7">
        <f>IF($D767="","",M767*X767/100)</f>
        <v/>
      </c>
      <c r="O767" s="7" t="n"/>
      <c r="U767" s="7" t="n"/>
      <c r="V767" s="7" t="n"/>
      <c r="W767" s="7">
        <f>IF($D767="","",V767*AB767/100)</f>
        <v/>
      </c>
      <c r="X767" s="7">
        <f>IF($D767="","",V767-W767)</f>
        <v/>
      </c>
      <c r="Y767" s="7">
        <f>IF($D767="","",X767-N767)</f>
        <v/>
      </c>
      <c r="AB767">
        <f>IF($D767="","",IF($AN767=1,Settings!$C$8,IF($AM767=1,Settings!$C$6,Settings!$C$7))*100)</f>
        <v/>
      </c>
      <c r="AF767" s="7" t="n"/>
      <c r="AI767" s="11" t="n"/>
      <c r="AK767">
        <f>IF($D767="","",IF(COUNTIF($D$2:$D767,$D767)=1,1,0))</f>
        <v/>
      </c>
      <c r="AL767">
        <f>IF($AK767=1,SUMPRODUCT(--($AO$2:$AO$1601&lt;$AO767))+1,"")</f>
        <v/>
      </c>
      <c r="AM767">
        <f>IF($D767="","",IF(OR($R767=TRUE(),$R767="TRUE"),1,0))</f>
        <v/>
      </c>
      <c r="AN767">
        <f>IF($D767="","",IF($AA767="Yes",1,0))</f>
        <v/>
      </c>
      <c r="AO767">
        <f>IF($AK767=1,IFERROR(IF(VALUE($D767)&lt;100000000,VALUE($D767),1000000000),IFERROR(IF(VALUE(MID($D767,2,20))&lt;100000000,VALUE(MID($D767,2,20)),1000000000),1000000000))+ROW()/100000,"")</f>
        <v/>
      </c>
    </row>
    <row r="768">
      <c r="F768" s="11" t="n"/>
      <c r="N768" s="7">
        <f>IF($D768="","",M768*X768/100)</f>
        <v/>
      </c>
      <c r="O768" s="7" t="n"/>
      <c r="U768" s="7" t="n"/>
      <c r="V768" s="7" t="n"/>
      <c r="W768" s="7">
        <f>IF($D768="","",V768*AB768/100)</f>
        <v/>
      </c>
      <c r="X768" s="7">
        <f>IF($D768="","",V768-W768)</f>
        <v/>
      </c>
      <c r="Y768" s="7">
        <f>IF($D768="","",X768-N768)</f>
        <v/>
      </c>
      <c r="AB768">
        <f>IF($D768="","",IF($AN768=1,Settings!$C$8,IF($AM768=1,Settings!$C$6,Settings!$C$7))*100)</f>
        <v/>
      </c>
      <c r="AF768" s="7" t="n"/>
      <c r="AI768" s="11" t="n"/>
      <c r="AK768">
        <f>IF($D768="","",IF(COUNTIF($D$2:$D768,$D768)=1,1,0))</f>
        <v/>
      </c>
      <c r="AL768">
        <f>IF($AK768=1,SUMPRODUCT(--($AO$2:$AO$1601&lt;$AO768))+1,"")</f>
        <v/>
      </c>
      <c r="AM768">
        <f>IF($D768="","",IF(OR($R768=TRUE(),$R768="TRUE"),1,0))</f>
        <v/>
      </c>
      <c r="AN768">
        <f>IF($D768="","",IF($AA768="Yes",1,0))</f>
        <v/>
      </c>
      <c r="AO768">
        <f>IF($AK768=1,IFERROR(IF(VALUE($D768)&lt;100000000,VALUE($D768),1000000000),IFERROR(IF(VALUE(MID($D768,2,20))&lt;100000000,VALUE(MID($D768,2,20)),1000000000),1000000000))+ROW()/100000,"")</f>
        <v/>
      </c>
    </row>
    <row r="769">
      <c r="F769" s="11" t="n"/>
      <c r="N769" s="7">
        <f>IF($D769="","",M769*X769/100)</f>
        <v/>
      </c>
      <c r="O769" s="7" t="n"/>
      <c r="U769" s="7" t="n"/>
      <c r="V769" s="7" t="n"/>
      <c r="W769" s="7">
        <f>IF($D769="","",V769*AB769/100)</f>
        <v/>
      </c>
      <c r="X769" s="7">
        <f>IF($D769="","",V769-W769)</f>
        <v/>
      </c>
      <c r="Y769" s="7">
        <f>IF($D769="","",X769-N769)</f>
        <v/>
      </c>
      <c r="AB769">
        <f>IF($D769="","",IF($AN769=1,Settings!$C$8,IF($AM769=1,Settings!$C$6,Settings!$C$7))*100)</f>
        <v/>
      </c>
      <c r="AF769" s="7" t="n"/>
      <c r="AI769" s="11" t="n"/>
      <c r="AK769">
        <f>IF($D769="","",IF(COUNTIF($D$2:$D769,$D769)=1,1,0))</f>
        <v/>
      </c>
      <c r="AL769">
        <f>IF($AK769=1,SUMPRODUCT(--($AO$2:$AO$1601&lt;$AO769))+1,"")</f>
        <v/>
      </c>
      <c r="AM769">
        <f>IF($D769="","",IF(OR($R769=TRUE(),$R769="TRUE"),1,0))</f>
        <v/>
      </c>
      <c r="AN769">
        <f>IF($D769="","",IF($AA769="Yes",1,0))</f>
        <v/>
      </c>
      <c r="AO769">
        <f>IF($AK769=1,IFERROR(IF(VALUE($D769)&lt;100000000,VALUE($D769),1000000000),IFERROR(IF(VALUE(MID($D769,2,20))&lt;100000000,VALUE(MID($D769,2,20)),1000000000),1000000000))+ROW()/100000,"")</f>
        <v/>
      </c>
    </row>
    <row r="770">
      <c r="F770" s="11" t="n"/>
      <c r="N770" s="7">
        <f>IF($D770="","",M770*X770/100)</f>
        <v/>
      </c>
      <c r="O770" s="7" t="n"/>
      <c r="U770" s="7" t="n"/>
      <c r="V770" s="7" t="n"/>
      <c r="W770" s="7">
        <f>IF($D770="","",V770*AB770/100)</f>
        <v/>
      </c>
      <c r="X770" s="7">
        <f>IF($D770="","",V770-W770)</f>
        <v/>
      </c>
      <c r="Y770" s="7">
        <f>IF($D770="","",X770-N770)</f>
        <v/>
      </c>
      <c r="AB770">
        <f>IF($D770="","",IF($AN770=1,Settings!$C$8,IF($AM770=1,Settings!$C$6,Settings!$C$7))*100)</f>
        <v/>
      </c>
      <c r="AF770" s="7" t="n"/>
      <c r="AI770" s="11" t="n"/>
      <c r="AK770">
        <f>IF($D770="","",IF(COUNTIF($D$2:$D770,$D770)=1,1,0))</f>
        <v/>
      </c>
      <c r="AL770">
        <f>IF($AK770=1,SUMPRODUCT(--($AO$2:$AO$1601&lt;$AO770))+1,"")</f>
        <v/>
      </c>
      <c r="AM770">
        <f>IF($D770="","",IF(OR($R770=TRUE(),$R770="TRUE"),1,0))</f>
        <v/>
      </c>
      <c r="AN770">
        <f>IF($D770="","",IF($AA770="Yes",1,0))</f>
        <v/>
      </c>
      <c r="AO770">
        <f>IF($AK770=1,IFERROR(IF(VALUE($D770)&lt;100000000,VALUE($D770),1000000000),IFERROR(IF(VALUE(MID($D770,2,20))&lt;100000000,VALUE(MID($D770,2,20)),1000000000),1000000000))+ROW()/100000,"")</f>
        <v/>
      </c>
    </row>
    <row r="771">
      <c r="F771" s="11" t="n"/>
      <c r="N771" s="7">
        <f>IF($D771="","",M771*X771/100)</f>
        <v/>
      </c>
      <c r="O771" s="7" t="n"/>
      <c r="U771" s="7" t="n"/>
      <c r="V771" s="7" t="n"/>
      <c r="W771" s="7">
        <f>IF($D771="","",V771*AB771/100)</f>
        <v/>
      </c>
      <c r="X771" s="7">
        <f>IF($D771="","",V771-W771)</f>
        <v/>
      </c>
      <c r="Y771" s="7">
        <f>IF($D771="","",X771-N771)</f>
        <v/>
      </c>
      <c r="AB771">
        <f>IF($D771="","",IF($AN771=1,Settings!$C$8,IF($AM771=1,Settings!$C$6,Settings!$C$7))*100)</f>
        <v/>
      </c>
      <c r="AF771" s="7" t="n"/>
      <c r="AI771" s="11" t="n"/>
      <c r="AK771">
        <f>IF($D771="","",IF(COUNTIF($D$2:$D771,$D771)=1,1,0))</f>
        <v/>
      </c>
      <c r="AL771">
        <f>IF($AK771=1,SUMPRODUCT(--($AO$2:$AO$1601&lt;$AO771))+1,"")</f>
        <v/>
      </c>
      <c r="AM771">
        <f>IF($D771="","",IF(OR($R771=TRUE(),$R771="TRUE"),1,0))</f>
        <v/>
      </c>
      <c r="AN771">
        <f>IF($D771="","",IF($AA771="Yes",1,0))</f>
        <v/>
      </c>
      <c r="AO771">
        <f>IF($AK771=1,IFERROR(IF(VALUE($D771)&lt;100000000,VALUE($D771),1000000000),IFERROR(IF(VALUE(MID($D771,2,20))&lt;100000000,VALUE(MID($D771,2,20)),1000000000),1000000000))+ROW()/100000,"")</f>
        <v/>
      </c>
    </row>
    <row r="772">
      <c r="F772" s="11" t="n"/>
      <c r="N772" s="7">
        <f>IF($D772="","",M772*X772/100)</f>
        <v/>
      </c>
      <c r="O772" s="7" t="n"/>
      <c r="U772" s="7" t="n"/>
      <c r="V772" s="7" t="n"/>
      <c r="W772" s="7">
        <f>IF($D772="","",V772*AB772/100)</f>
        <v/>
      </c>
      <c r="X772" s="7">
        <f>IF($D772="","",V772-W772)</f>
        <v/>
      </c>
      <c r="Y772" s="7">
        <f>IF($D772="","",X772-N772)</f>
        <v/>
      </c>
      <c r="AB772">
        <f>IF($D772="","",IF($AN772=1,Settings!$C$8,IF($AM772=1,Settings!$C$6,Settings!$C$7))*100)</f>
        <v/>
      </c>
      <c r="AF772" s="7" t="n"/>
      <c r="AI772" s="11" t="n"/>
      <c r="AK772">
        <f>IF($D772="","",IF(COUNTIF($D$2:$D772,$D772)=1,1,0))</f>
        <v/>
      </c>
      <c r="AL772">
        <f>IF($AK772=1,SUMPRODUCT(--($AO$2:$AO$1601&lt;$AO772))+1,"")</f>
        <v/>
      </c>
      <c r="AM772">
        <f>IF($D772="","",IF(OR($R772=TRUE(),$R772="TRUE"),1,0))</f>
        <v/>
      </c>
      <c r="AN772">
        <f>IF($D772="","",IF($AA772="Yes",1,0))</f>
        <v/>
      </c>
      <c r="AO772">
        <f>IF($AK772=1,IFERROR(IF(VALUE($D772)&lt;100000000,VALUE($D772),1000000000),IFERROR(IF(VALUE(MID($D772,2,20))&lt;100000000,VALUE(MID($D772,2,20)),1000000000),1000000000))+ROW()/100000,"")</f>
        <v/>
      </c>
    </row>
    <row r="773">
      <c r="F773" s="11" t="n"/>
      <c r="N773" s="7">
        <f>IF($D773="","",M773*X773/100)</f>
        <v/>
      </c>
      <c r="O773" s="7" t="n"/>
      <c r="U773" s="7" t="n"/>
      <c r="V773" s="7" t="n"/>
      <c r="W773" s="7">
        <f>IF($D773="","",V773*AB773/100)</f>
        <v/>
      </c>
      <c r="X773" s="7">
        <f>IF($D773="","",V773-W773)</f>
        <v/>
      </c>
      <c r="Y773" s="7">
        <f>IF($D773="","",X773-N773)</f>
        <v/>
      </c>
      <c r="AB773">
        <f>IF($D773="","",IF($AN773=1,Settings!$C$8,IF($AM773=1,Settings!$C$6,Settings!$C$7))*100)</f>
        <v/>
      </c>
      <c r="AF773" s="7" t="n"/>
      <c r="AI773" s="11" t="n"/>
      <c r="AK773">
        <f>IF($D773="","",IF(COUNTIF($D$2:$D773,$D773)=1,1,0))</f>
        <v/>
      </c>
      <c r="AL773">
        <f>IF($AK773=1,SUMPRODUCT(--($AO$2:$AO$1601&lt;$AO773))+1,"")</f>
        <v/>
      </c>
      <c r="AM773">
        <f>IF($D773="","",IF(OR($R773=TRUE(),$R773="TRUE"),1,0))</f>
        <v/>
      </c>
      <c r="AN773">
        <f>IF($D773="","",IF($AA773="Yes",1,0))</f>
        <v/>
      </c>
      <c r="AO773">
        <f>IF($AK773=1,IFERROR(IF(VALUE($D773)&lt;100000000,VALUE($D773),1000000000),IFERROR(IF(VALUE(MID($D773,2,20))&lt;100000000,VALUE(MID($D773,2,20)),1000000000),1000000000))+ROW()/100000,"")</f>
        <v/>
      </c>
    </row>
    <row r="774">
      <c r="F774" s="11" t="n"/>
      <c r="N774" s="7">
        <f>IF($D774="","",M774*X774/100)</f>
        <v/>
      </c>
      <c r="O774" s="7" t="n"/>
      <c r="U774" s="7" t="n"/>
      <c r="V774" s="7" t="n"/>
      <c r="W774" s="7">
        <f>IF($D774="","",V774*AB774/100)</f>
        <v/>
      </c>
      <c r="X774" s="7">
        <f>IF($D774="","",V774-W774)</f>
        <v/>
      </c>
      <c r="Y774" s="7">
        <f>IF($D774="","",X774-N774)</f>
        <v/>
      </c>
      <c r="AB774">
        <f>IF($D774="","",IF($AN774=1,Settings!$C$8,IF($AM774=1,Settings!$C$6,Settings!$C$7))*100)</f>
        <v/>
      </c>
      <c r="AF774" s="7" t="n"/>
      <c r="AI774" s="11" t="n"/>
      <c r="AK774">
        <f>IF($D774="","",IF(COUNTIF($D$2:$D774,$D774)=1,1,0))</f>
        <v/>
      </c>
      <c r="AL774">
        <f>IF($AK774=1,SUMPRODUCT(--($AO$2:$AO$1601&lt;$AO774))+1,"")</f>
        <v/>
      </c>
      <c r="AM774">
        <f>IF($D774="","",IF(OR($R774=TRUE(),$R774="TRUE"),1,0))</f>
        <v/>
      </c>
      <c r="AN774">
        <f>IF($D774="","",IF($AA774="Yes",1,0))</f>
        <v/>
      </c>
      <c r="AO774">
        <f>IF($AK774=1,IFERROR(IF(VALUE($D774)&lt;100000000,VALUE($D774),1000000000),IFERROR(IF(VALUE(MID($D774,2,20))&lt;100000000,VALUE(MID($D774,2,20)),1000000000),1000000000))+ROW()/100000,"")</f>
        <v/>
      </c>
    </row>
    <row r="775">
      <c r="F775" s="11" t="n"/>
      <c r="N775" s="7">
        <f>IF($D775="","",M775*X775/100)</f>
        <v/>
      </c>
      <c r="O775" s="7" t="n"/>
      <c r="U775" s="7" t="n"/>
      <c r="V775" s="7" t="n"/>
      <c r="W775" s="7">
        <f>IF($D775="","",V775*AB775/100)</f>
        <v/>
      </c>
      <c r="X775" s="7">
        <f>IF($D775="","",V775-W775)</f>
        <v/>
      </c>
      <c r="Y775" s="7">
        <f>IF($D775="","",X775-N775)</f>
        <v/>
      </c>
      <c r="AB775">
        <f>IF($D775="","",IF($AN775=1,Settings!$C$8,IF($AM775=1,Settings!$C$6,Settings!$C$7))*100)</f>
        <v/>
      </c>
      <c r="AF775" s="7" t="n"/>
      <c r="AI775" s="11" t="n"/>
      <c r="AK775">
        <f>IF($D775="","",IF(COUNTIF($D$2:$D775,$D775)=1,1,0))</f>
        <v/>
      </c>
      <c r="AL775">
        <f>IF($AK775=1,SUMPRODUCT(--($AO$2:$AO$1601&lt;$AO775))+1,"")</f>
        <v/>
      </c>
      <c r="AM775">
        <f>IF($D775="","",IF(OR($R775=TRUE(),$R775="TRUE"),1,0))</f>
        <v/>
      </c>
      <c r="AN775">
        <f>IF($D775="","",IF($AA775="Yes",1,0))</f>
        <v/>
      </c>
      <c r="AO775">
        <f>IF($AK775=1,IFERROR(IF(VALUE($D775)&lt;100000000,VALUE($D775),1000000000),IFERROR(IF(VALUE(MID($D775,2,20))&lt;100000000,VALUE(MID($D775,2,20)),1000000000),1000000000))+ROW()/100000,"")</f>
        <v/>
      </c>
    </row>
    <row r="776">
      <c r="F776" s="11" t="n"/>
      <c r="N776" s="7">
        <f>IF($D776="","",M776*X776/100)</f>
        <v/>
      </c>
      <c r="O776" s="7" t="n"/>
      <c r="U776" s="7" t="n"/>
      <c r="V776" s="7" t="n"/>
      <c r="W776" s="7">
        <f>IF($D776="","",V776*AB776/100)</f>
        <v/>
      </c>
      <c r="X776" s="7">
        <f>IF($D776="","",V776-W776)</f>
        <v/>
      </c>
      <c r="Y776" s="7">
        <f>IF($D776="","",X776-N776)</f>
        <v/>
      </c>
      <c r="AB776">
        <f>IF($D776="","",IF($AN776=1,Settings!$C$8,IF($AM776=1,Settings!$C$6,Settings!$C$7))*100)</f>
        <v/>
      </c>
      <c r="AF776" s="7" t="n"/>
      <c r="AI776" s="11" t="n"/>
      <c r="AK776">
        <f>IF($D776="","",IF(COUNTIF($D$2:$D776,$D776)=1,1,0))</f>
        <v/>
      </c>
      <c r="AL776">
        <f>IF($AK776=1,SUMPRODUCT(--($AO$2:$AO$1601&lt;$AO776))+1,"")</f>
        <v/>
      </c>
      <c r="AM776">
        <f>IF($D776="","",IF(OR($R776=TRUE(),$R776="TRUE"),1,0))</f>
        <v/>
      </c>
      <c r="AN776">
        <f>IF($D776="","",IF($AA776="Yes",1,0))</f>
        <v/>
      </c>
      <c r="AO776">
        <f>IF($AK776=1,IFERROR(IF(VALUE($D776)&lt;100000000,VALUE($D776),1000000000),IFERROR(IF(VALUE(MID($D776,2,20))&lt;100000000,VALUE(MID($D776,2,20)),1000000000),1000000000))+ROW()/100000,"")</f>
        <v/>
      </c>
    </row>
    <row r="777">
      <c r="F777" s="11" t="n"/>
      <c r="N777" s="7">
        <f>IF($D777="","",M777*X777/100)</f>
        <v/>
      </c>
      <c r="O777" s="7" t="n"/>
      <c r="U777" s="7" t="n"/>
      <c r="V777" s="7" t="n"/>
      <c r="W777" s="7">
        <f>IF($D777="","",V777*AB777/100)</f>
        <v/>
      </c>
      <c r="X777" s="7">
        <f>IF($D777="","",V777-W777)</f>
        <v/>
      </c>
      <c r="Y777" s="7">
        <f>IF($D777="","",X777-N777)</f>
        <v/>
      </c>
      <c r="AB777">
        <f>IF($D777="","",IF($AN777=1,Settings!$C$8,IF($AM777=1,Settings!$C$6,Settings!$C$7))*100)</f>
        <v/>
      </c>
      <c r="AF777" s="7" t="n"/>
      <c r="AI777" s="11" t="n"/>
      <c r="AK777">
        <f>IF($D777="","",IF(COUNTIF($D$2:$D777,$D777)=1,1,0))</f>
        <v/>
      </c>
      <c r="AL777">
        <f>IF($AK777=1,SUMPRODUCT(--($AO$2:$AO$1601&lt;$AO777))+1,"")</f>
        <v/>
      </c>
      <c r="AM777">
        <f>IF($D777="","",IF(OR($R777=TRUE(),$R777="TRUE"),1,0))</f>
        <v/>
      </c>
      <c r="AN777">
        <f>IF($D777="","",IF($AA777="Yes",1,0))</f>
        <v/>
      </c>
      <c r="AO777">
        <f>IF($AK777=1,IFERROR(IF(VALUE($D777)&lt;100000000,VALUE($D777),1000000000),IFERROR(IF(VALUE(MID($D777,2,20))&lt;100000000,VALUE(MID($D777,2,20)),1000000000),1000000000))+ROW()/100000,"")</f>
        <v/>
      </c>
    </row>
    <row r="778">
      <c r="F778" s="11" t="n"/>
      <c r="N778" s="7">
        <f>IF($D778="","",M778*X778/100)</f>
        <v/>
      </c>
      <c r="O778" s="7" t="n"/>
      <c r="U778" s="7" t="n"/>
      <c r="V778" s="7" t="n"/>
      <c r="W778" s="7">
        <f>IF($D778="","",V778*AB778/100)</f>
        <v/>
      </c>
      <c r="X778" s="7">
        <f>IF($D778="","",V778-W778)</f>
        <v/>
      </c>
      <c r="Y778" s="7">
        <f>IF($D778="","",X778-N778)</f>
        <v/>
      </c>
      <c r="AB778">
        <f>IF($D778="","",IF($AN778=1,Settings!$C$8,IF($AM778=1,Settings!$C$6,Settings!$C$7))*100)</f>
        <v/>
      </c>
      <c r="AF778" s="7" t="n"/>
      <c r="AI778" s="11" t="n"/>
      <c r="AK778">
        <f>IF($D778="","",IF(COUNTIF($D$2:$D778,$D778)=1,1,0))</f>
        <v/>
      </c>
      <c r="AL778">
        <f>IF($AK778=1,SUMPRODUCT(--($AO$2:$AO$1601&lt;$AO778))+1,"")</f>
        <v/>
      </c>
      <c r="AM778">
        <f>IF($D778="","",IF(OR($R778=TRUE(),$R778="TRUE"),1,0))</f>
        <v/>
      </c>
      <c r="AN778">
        <f>IF($D778="","",IF($AA778="Yes",1,0))</f>
        <v/>
      </c>
      <c r="AO778">
        <f>IF($AK778=1,IFERROR(IF(VALUE($D778)&lt;100000000,VALUE($D778),1000000000),IFERROR(IF(VALUE(MID($D778,2,20))&lt;100000000,VALUE(MID($D778,2,20)),1000000000),1000000000))+ROW()/100000,"")</f>
        <v/>
      </c>
    </row>
    <row r="779">
      <c r="F779" s="11" t="n"/>
      <c r="N779" s="7">
        <f>IF($D779="","",M779*X779/100)</f>
        <v/>
      </c>
      <c r="O779" s="7" t="n"/>
      <c r="U779" s="7" t="n"/>
      <c r="V779" s="7" t="n"/>
      <c r="W779" s="7">
        <f>IF($D779="","",V779*AB779/100)</f>
        <v/>
      </c>
      <c r="X779" s="7">
        <f>IF($D779="","",V779-W779)</f>
        <v/>
      </c>
      <c r="Y779" s="7">
        <f>IF($D779="","",X779-N779)</f>
        <v/>
      </c>
      <c r="AB779">
        <f>IF($D779="","",IF($AN779=1,Settings!$C$8,IF($AM779=1,Settings!$C$6,Settings!$C$7))*100)</f>
        <v/>
      </c>
      <c r="AF779" s="7" t="n"/>
      <c r="AI779" s="11" t="n"/>
      <c r="AK779">
        <f>IF($D779="","",IF(COUNTIF($D$2:$D779,$D779)=1,1,0))</f>
        <v/>
      </c>
      <c r="AL779">
        <f>IF($AK779=1,SUMPRODUCT(--($AO$2:$AO$1601&lt;$AO779))+1,"")</f>
        <v/>
      </c>
      <c r="AM779">
        <f>IF($D779="","",IF(OR($R779=TRUE(),$R779="TRUE"),1,0))</f>
        <v/>
      </c>
      <c r="AN779">
        <f>IF($D779="","",IF($AA779="Yes",1,0))</f>
        <v/>
      </c>
      <c r="AO779">
        <f>IF($AK779=1,IFERROR(IF(VALUE($D779)&lt;100000000,VALUE($D779),1000000000),IFERROR(IF(VALUE(MID($D779,2,20))&lt;100000000,VALUE(MID($D779,2,20)),1000000000),1000000000))+ROW()/100000,"")</f>
        <v/>
      </c>
    </row>
    <row r="780">
      <c r="F780" s="11" t="n"/>
      <c r="N780" s="7">
        <f>IF($D780="","",M780*X780/100)</f>
        <v/>
      </c>
      <c r="O780" s="7" t="n"/>
      <c r="U780" s="7" t="n"/>
      <c r="V780" s="7" t="n"/>
      <c r="W780" s="7">
        <f>IF($D780="","",V780*AB780/100)</f>
        <v/>
      </c>
      <c r="X780" s="7">
        <f>IF($D780="","",V780-W780)</f>
        <v/>
      </c>
      <c r="Y780" s="7">
        <f>IF($D780="","",X780-N780)</f>
        <v/>
      </c>
      <c r="AB780">
        <f>IF($D780="","",IF($AN780=1,Settings!$C$8,IF($AM780=1,Settings!$C$6,Settings!$C$7))*100)</f>
        <v/>
      </c>
      <c r="AF780" s="7" t="n"/>
      <c r="AI780" s="11" t="n"/>
      <c r="AK780">
        <f>IF($D780="","",IF(COUNTIF($D$2:$D780,$D780)=1,1,0))</f>
        <v/>
      </c>
      <c r="AL780">
        <f>IF($AK780=1,SUMPRODUCT(--($AO$2:$AO$1601&lt;$AO780))+1,"")</f>
        <v/>
      </c>
      <c r="AM780">
        <f>IF($D780="","",IF(OR($R780=TRUE(),$R780="TRUE"),1,0))</f>
        <v/>
      </c>
      <c r="AN780">
        <f>IF($D780="","",IF($AA780="Yes",1,0))</f>
        <v/>
      </c>
      <c r="AO780">
        <f>IF($AK780=1,IFERROR(IF(VALUE($D780)&lt;100000000,VALUE($D780),1000000000),IFERROR(IF(VALUE(MID($D780,2,20))&lt;100000000,VALUE(MID($D780,2,20)),1000000000),1000000000))+ROW()/100000,"")</f>
        <v/>
      </c>
    </row>
    <row r="781">
      <c r="F781" s="11" t="n"/>
      <c r="N781" s="7">
        <f>IF($D781="","",M781*X781/100)</f>
        <v/>
      </c>
      <c r="O781" s="7" t="n"/>
      <c r="U781" s="7" t="n"/>
      <c r="V781" s="7" t="n"/>
      <c r="W781" s="7">
        <f>IF($D781="","",V781*AB781/100)</f>
        <v/>
      </c>
      <c r="X781" s="7">
        <f>IF($D781="","",V781-W781)</f>
        <v/>
      </c>
      <c r="Y781" s="7">
        <f>IF($D781="","",X781-N781)</f>
        <v/>
      </c>
      <c r="AB781">
        <f>IF($D781="","",IF($AN781=1,Settings!$C$8,IF($AM781=1,Settings!$C$6,Settings!$C$7))*100)</f>
        <v/>
      </c>
      <c r="AF781" s="7" t="n"/>
      <c r="AI781" s="11" t="n"/>
      <c r="AK781">
        <f>IF($D781="","",IF(COUNTIF($D$2:$D781,$D781)=1,1,0))</f>
        <v/>
      </c>
      <c r="AL781">
        <f>IF($AK781=1,SUMPRODUCT(--($AO$2:$AO$1601&lt;$AO781))+1,"")</f>
        <v/>
      </c>
      <c r="AM781">
        <f>IF($D781="","",IF(OR($R781=TRUE(),$R781="TRUE"),1,0))</f>
        <v/>
      </c>
      <c r="AN781">
        <f>IF($D781="","",IF($AA781="Yes",1,0))</f>
        <v/>
      </c>
      <c r="AO781">
        <f>IF($AK781=1,IFERROR(IF(VALUE($D781)&lt;100000000,VALUE($D781),1000000000),IFERROR(IF(VALUE(MID($D781,2,20))&lt;100000000,VALUE(MID($D781,2,20)),1000000000),1000000000))+ROW()/100000,"")</f>
        <v/>
      </c>
    </row>
    <row r="782">
      <c r="F782" s="11" t="n"/>
      <c r="N782" s="7">
        <f>IF($D782="","",M782*X782/100)</f>
        <v/>
      </c>
      <c r="O782" s="7" t="n"/>
      <c r="U782" s="7" t="n"/>
      <c r="V782" s="7" t="n"/>
      <c r="W782" s="7">
        <f>IF($D782="","",V782*AB782/100)</f>
        <v/>
      </c>
      <c r="X782" s="7">
        <f>IF($D782="","",V782-W782)</f>
        <v/>
      </c>
      <c r="Y782" s="7">
        <f>IF($D782="","",X782-N782)</f>
        <v/>
      </c>
      <c r="AB782">
        <f>IF($D782="","",IF($AN782=1,Settings!$C$8,IF($AM782=1,Settings!$C$6,Settings!$C$7))*100)</f>
        <v/>
      </c>
      <c r="AF782" s="7" t="n"/>
      <c r="AI782" s="11" t="n"/>
      <c r="AK782">
        <f>IF($D782="","",IF(COUNTIF($D$2:$D782,$D782)=1,1,0))</f>
        <v/>
      </c>
      <c r="AL782">
        <f>IF($AK782=1,SUMPRODUCT(--($AO$2:$AO$1601&lt;$AO782))+1,"")</f>
        <v/>
      </c>
      <c r="AM782">
        <f>IF($D782="","",IF(OR($R782=TRUE(),$R782="TRUE"),1,0))</f>
        <v/>
      </c>
      <c r="AN782">
        <f>IF($D782="","",IF($AA782="Yes",1,0))</f>
        <v/>
      </c>
      <c r="AO782">
        <f>IF($AK782=1,IFERROR(IF(VALUE($D782)&lt;100000000,VALUE($D782),1000000000),IFERROR(IF(VALUE(MID($D782,2,20))&lt;100000000,VALUE(MID($D782,2,20)),1000000000),1000000000))+ROW()/100000,"")</f>
        <v/>
      </c>
    </row>
    <row r="783">
      <c r="F783" s="11" t="n"/>
      <c r="N783" s="7">
        <f>IF($D783="","",M783*X783/100)</f>
        <v/>
      </c>
      <c r="O783" s="7" t="n"/>
      <c r="U783" s="7" t="n"/>
      <c r="V783" s="7" t="n"/>
      <c r="W783" s="7">
        <f>IF($D783="","",V783*AB783/100)</f>
        <v/>
      </c>
      <c r="X783" s="7">
        <f>IF($D783="","",V783-W783)</f>
        <v/>
      </c>
      <c r="Y783" s="7">
        <f>IF($D783="","",X783-N783)</f>
        <v/>
      </c>
      <c r="AB783">
        <f>IF($D783="","",IF($AN783=1,Settings!$C$8,IF($AM783=1,Settings!$C$6,Settings!$C$7))*100)</f>
        <v/>
      </c>
      <c r="AF783" s="7" t="n"/>
      <c r="AI783" s="11" t="n"/>
      <c r="AK783">
        <f>IF($D783="","",IF(COUNTIF($D$2:$D783,$D783)=1,1,0))</f>
        <v/>
      </c>
      <c r="AL783">
        <f>IF($AK783=1,SUMPRODUCT(--($AO$2:$AO$1601&lt;$AO783))+1,"")</f>
        <v/>
      </c>
      <c r="AM783">
        <f>IF($D783="","",IF(OR($R783=TRUE(),$R783="TRUE"),1,0))</f>
        <v/>
      </c>
      <c r="AN783">
        <f>IF($D783="","",IF($AA783="Yes",1,0))</f>
        <v/>
      </c>
      <c r="AO783">
        <f>IF($AK783=1,IFERROR(IF(VALUE($D783)&lt;100000000,VALUE($D783),1000000000),IFERROR(IF(VALUE(MID($D783,2,20))&lt;100000000,VALUE(MID($D783,2,20)),1000000000),1000000000))+ROW()/100000,"")</f>
        <v/>
      </c>
    </row>
    <row r="784">
      <c r="F784" s="11" t="n"/>
      <c r="N784" s="7">
        <f>IF($D784="","",M784*X784/100)</f>
        <v/>
      </c>
      <c r="O784" s="7" t="n"/>
      <c r="U784" s="7" t="n"/>
      <c r="V784" s="7" t="n"/>
      <c r="W784" s="7">
        <f>IF($D784="","",V784*AB784/100)</f>
        <v/>
      </c>
      <c r="X784" s="7">
        <f>IF($D784="","",V784-W784)</f>
        <v/>
      </c>
      <c r="Y784" s="7">
        <f>IF($D784="","",X784-N784)</f>
        <v/>
      </c>
      <c r="AB784">
        <f>IF($D784="","",IF($AN784=1,Settings!$C$8,IF($AM784=1,Settings!$C$6,Settings!$C$7))*100)</f>
        <v/>
      </c>
      <c r="AF784" s="7" t="n"/>
      <c r="AI784" s="11" t="n"/>
      <c r="AK784">
        <f>IF($D784="","",IF(COUNTIF($D$2:$D784,$D784)=1,1,0))</f>
        <v/>
      </c>
      <c r="AL784">
        <f>IF($AK784=1,SUMPRODUCT(--($AO$2:$AO$1601&lt;$AO784))+1,"")</f>
        <v/>
      </c>
      <c r="AM784">
        <f>IF($D784="","",IF(OR($R784=TRUE(),$R784="TRUE"),1,0))</f>
        <v/>
      </c>
      <c r="AN784">
        <f>IF($D784="","",IF($AA784="Yes",1,0))</f>
        <v/>
      </c>
      <c r="AO784">
        <f>IF($AK784=1,IFERROR(IF(VALUE($D784)&lt;100000000,VALUE($D784),1000000000),IFERROR(IF(VALUE(MID($D784,2,20))&lt;100000000,VALUE(MID($D784,2,20)),1000000000),1000000000))+ROW()/100000,"")</f>
        <v/>
      </c>
    </row>
    <row r="785">
      <c r="F785" s="11" t="n"/>
      <c r="N785" s="7">
        <f>IF($D785="","",M785*X785/100)</f>
        <v/>
      </c>
      <c r="O785" s="7" t="n"/>
      <c r="U785" s="7" t="n"/>
      <c r="V785" s="7" t="n"/>
      <c r="W785" s="7">
        <f>IF($D785="","",V785*AB785/100)</f>
        <v/>
      </c>
      <c r="X785" s="7">
        <f>IF($D785="","",V785-W785)</f>
        <v/>
      </c>
      <c r="Y785" s="7">
        <f>IF($D785="","",X785-N785)</f>
        <v/>
      </c>
      <c r="AB785">
        <f>IF($D785="","",IF($AN785=1,Settings!$C$8,IF($AM785=1,Settings!$C$6,Settings!$C$7))*100)</f>
        <v/>
      </c>
      <c r="AF785" s="7" t="n"/>
      <c r="AI785" s="11" t="n"/>
      <c r="AK785">
        <f>IF($D785="","",IF(COUNTIF($D$2:$D785,$D785)=1,1,0))</f>
        <v/>
      </c>
      <c r="AL785">
        <f>IF($AK785=1,SUMPRODUCT(--($AO$2:$AO$1601&lt;$AO785))+1,"")</f>
        <v/>
      </c>
      <c r="AM785">
        <f>IF($D785="","",IF(OR($R785=TRUE(),$R785="TRUE"),1,0))</f>
        <v/>
      </c>
      <c r="AN785">
        <f>IF($D785="","",IF($AA785="Yes",1,0))</f>
        <v/>
      </c>
      <c r="AO785">
        <f>IF($AK785=1,IFERROR(IF(VALUE($D785)&lt;100000000,VALUE($D785),1000000000),IFERROR(IF(VALUE(MID($D785,2,20))&lt;100000000,VALUE(MID($D785,2,20)),1000000000),1000000000))+ROW()/100000,"")</f>
        <v/>
      </c>
    </row>
    <row r="786">
      <c r="F786" s="11" t="n"/>
      <c r="N786" s="7">
        <f>IF($D786="","",M786*X786/100)</f>
        <v/>
      </c>
      <c r="O786" s="7" t="n"/>
      <c r="U786" s="7" t="n"/>
      <c r="V786" s="7" t="n"/>
      <c r="W786" s="7">
        <f>IF($D786="","",V786*AB786/100)</f>
        <v/>
      </c>
      <c r="X786" s="7">
        <f>IF($D786="","",V786-W786)</f>
        <v/>
      </c>
      <c r="Y786" s="7">
        <f>IF($D786="","",X786-N786)</f>
        <v/>
      </c>
      <c r="AB786">
        <f>IF($D786="","",IF($AN786=1,Settings!$C$8,IF($AM786=1,Settings!$C$6,Settings!$C$7))*100)</f>
        <v/>
      </c>
      <c r="AF786" s="7" t="n"/>
      <c r="AI786" s="11" t="n"/>
      <c r="AK786">
        <f>IF($D786="","",IF(COUNTIF($D$2:$D786,$D786)=1,1,0))</f>
        <v/>
      </c>
      <c r="AL786">
        <f>IF($AK786=1,SUMPRODUCT(--($AO$2:$AO$1601&lt;$AO786))+1,"")</f>
        <v/>
      </c>
      <c r="AM786">
        <f>IF($D786="","",IF(OR($R786=TRUE(),$R786="TRUE"),1,0))</f>
        <v/>
      </c>
      <c r="AN786">
        <f>IF($D786="","",IF($AA786="Yes",1,0))</f>
        <v/>
      </c>
      <c r="AO786">
        <f>IF($AK786=1,IFERROR(IF(VALUE($D786)&lt;100000000,VALUE($D786),1000000000),IFERROR(IF(VALUE(MID($D786,2,20))&lt;100000000,VALUE(MID($D786,2,20)),1000000000),1000000000))+ROW()/100000,"")</f>
        <v/>
      </c>
    </row>
    <row r="787">
      <c r="F787" s="11" t="n"/>
      <c r="N787" s="7">
        <f>IF($D787="","",M787*X787/100)</f>
        <v/>
      </c>
      <c r="O787" s="7" t="n"/>
      <c r="U787" s="7" t="n"/>
      <c r="V787" s="7" t="n"/>
      <c r="W787" s="7">
        <f>IF($D787="","",V787*AB787/100)</f>
        <v/>
      </c>
      <c r="X787" s="7">
        <f>IF($D787="","",V787-W787)</f>
        <v/>
      </c>
      <c r="Y787" s="7">
        <f>IF($D787="","",X787-N787)</f>
        <v/>
      </c>
      <c r="AB787">
        <f>IF($D787="","",IF($AN787=1,Settings!$C$8,IF($AM787=1,Settings!$C$6,Settings!$C$7))*100)</f>
        <v/>
      </c>
      <c r="AF787" s="7" t="n"/>
      <c r="AI787" s="11" t="n"/>
      <c r="AK787">
        <f>IF($D787="","",IF(COUNTIF($D$2:$D787,$D787)=1,1,0))</f>
        <v/>
      </c>
      <c r="AL787">
        <f>IF($AK787=1,SUMPRODUCT(--($AO$2:$AO$1601&lt;$AO787))+1,"")</f>
        <v/>
      </c>
      <c r="AM787">
        <f>IF($D787="","",IF(OR($R787=TRUE(),$R787="TRUE"),1,0))</f>
        <v/>
      </c>
      <c r="AN787">
        <f>IF($D787="","",IF($AA787="Yes",1,0))</f>
        <v/>
      </c>
      <c r="AO787">
        <f>IF($AK787=1,IFERROR(IF(VALUE($D787)&lt;100000000,VALUE($D787),1000000000),IFERROR(IF(VALUE(MID($D787,2,20))&lt;100000000,VALUE(MID($D787,2,20)),1000000000),1000000000))+ROW()/100000,"")</f>
        <v/>
      </c>
    </row>
    <row r="788">
      <c r="F788" s="11" t="n"/>
      <c r="N788" s="7">
        <f>IF($D788="","",M788*X788/100)</f>
        <v/>
      </c>
      <c r="O788" s="7" t="n"/>
      <c r="U788" s="7" t="n"/>
      <c r="V788" s="7" t="n"/>
      <c r="W788" s="7">
        <f>IF($D788="","",V788*AB788/100)</f>
        <v/>
      </c>
      <c r="X788" s="7">
        <f>IF($D788="","",V788-W788)</f>
        <v/>
      </c>
      <c r="Y788" s="7">
        <f>IF($D788="","",X788-N788)</f>
        <v/>
      </c>
      <c r="AB788">
        <f>IF($D788="","",IF($AN788=1,Settings!$C$8,IF($AM788=1,Settings!$C$6,Settings!$C$7))*100)</f>
        <v/>
      </c>
      <c r="AF788" s="7" t="n"/>
      <c r="AI788" s="11" t="n"/>
      <c r="AK788">
        <f>IF($D788="","",IF(COUNTIF($D$2:$D788,$D788)=1,1,0))</f>
        <v/>
      </c>
      <c r="AL788">
        <f>IF($AK788=1,SUMPRODUCT(--($AO$2:$AO$1601&lt;$AO788))+1,"")</f>
        <v/>
      </c>
      <c r="AM788">
        <f>IF($D788="","",IF(OR($R788=TRUE(),$R788="TRUE"),1,0))</f>
        <v/>
      </c>
      <c r="AN788">
        <f>IF($D788="","",IF($AA788="Yes",1,0))</f>
        <v/>
      </c>
      <c r="AO788">
        <f>IF($AK788=1,IFERROR(IF(VALUE($D788)&lt;100000000,VALUE($D788),1000000000),IFERROR(IF(VALUE(MID($D788,2,20))&lt;100000000,VALUE(MID($D788,2,20)),1000000000),1000000000))+ROW()/100000,"")</f>
        <v/>
      </c>
    </row>
    <row r="789">
      <c r="F789" s="11" t="n"/>
      <c r="N789" s="7">
        <f>IF($D789="","",M789*X789/100)</f>
        <v/>
      </c>
      <c r="O789" s="7" t="n"/>
      <c r="U789" s="7" t="n"/>
      <c r="V789" s="7" t="n"/>
      <c r="W789" s="7">
        <f>IF($D789="","",V789*AB789/100)</f>
        <v/>
      </c>
      <c r="X789" s="7">
        <f>IF($D789="","",V789-W789)</f>
        <v/>
      </c>
      <c r="Y789" s="7">
        <f>IF($D789="","",X789-N789)</f>
        <v/>
      </c>
      <c r="AB789">
        <f>IF($D789="","",IF($AN789=1,Settings!$C$8,IF($AM789=1,Settings!$C$6,Settings!$C$7))*100)</f>
        <v/>
      </c>
      <c r="AF789" s="7" t="n"/>
      <c r="AI789" s="11" t="n"/>
      <c r="AK789">
        <f>IF($D789="","",IF(COUNTIF($D$2:$D789,$D789)=1,1,0))</f>
        <v/>
      </c>
      <c r="AL789">
        <f>IF($AK789=1,SUMPRODUCT(--($AO$2:$AO$1601&lt;$AO789))+1,"")</f>
        <v/>
      </c>
      <c r="AM789">
        <f>IF($D789="","",IF(OR($R789=TRUE(),$R789="TRUE"),1,0))</f>
        <v/>
      </c>
      <c r="AN789">
        <f>IF($D789="","",IF($AA789="Yes",1,0))</f>
        <v/>
      </c>
      <c r="AO789">
        <f>IF($AK789=1,IFERROR(IF(VALUE($D789)&lt;100000000,VALUE($D789),1000000000),IFERROR(IF(VALUE(MID($D789,2,20))&lt;100000000,VALUE(MID($D789,2,20)),1000000000),1000000000))+ROW()/100000,"")</f>
        <v/>
      </c>
    </row>
    <row r="790">
      <c r="F790" s="11" t="n"/>
      <c r="N790" s="7">
        <f>IF($D790="","",M790*X790/100)</f>
        <v/>
      </c>
      <c r="O790" s="7" t="n"/>
      <c r="U790" s="7" t="n"/>
      <c r="V790" s="7" t="n"/>
      <c r="W790" s="7">
        <f>IF($D790="","",V790*AB790/100)</f>
        <v/>
      </c>
      <c r="X790" s="7">
        <f>IF($D790="","",V790-W790)</f>
        <v/>
      </c>
      <c r="Y790" s="7">
        <f>IF($D790="","",X790-N790)</f>
        <v/>
      </c>
      <c r="AB790">
        <f>IF($D790="","",IF($AN790=1,Settings!$C$8,IF($AM790=1,Settings!$C$6,Settings!$C$7))*100)</f>
        <v/>
      </c>
      <c r="AF790" s="7" t="n"/>
      <c r="AI790" s="11" t="n"/>
      <c r="AK790">
        <f>IF($D790="","",IF(COUNTIF($D$2:$D790,$D790)=1,1,0))</f>
        <v/>
      </c>
      <c r="AL790">
        <f>IF($AK790=1,SUMPRODUCT(--($AO$2:$AO$1601&lt;$AO790))+1,"")</f>
        <v/>
      </c>
      <c r="AM790">
        <f>IF($D790="","",IF(OR($R790=TRUE(),$R790="TRUE"),1,0))</f>
        <v/>
      </c>
      <c r="AN790">
        <f>IF($D790="","",IF($AA790="Yes",1,0))</f>
        <v/>
      </c>
      <c r="AO790">
        <f>IF($AK790=1,IFERROR(IF(VALUE($D790)&lt;100000000,VALUE($D790),1000000000),IFERROR(IF(VALUE(MID($D790,2,20))&lt;100000000,VALUE(MID($D790,2,20)),1000000000),1000000000))+ROW()/100000,"")</f>
        <v/>
      </c>
    </row>
    <row r="791">
      <c r="F791" s="11" t="n"/>
      <c r="N791" s="7">
        <f>IF($D791="","",M791*X791/100)</f>
        <v/>
      </c>
      <c r="O791" s="7" t="n"/>
      <c r="U791" s="7" t="n"/>
      <c r="V791" s="7" t="n"/>
      <c r="W791" s="7">
        <f>IF($D791="","",V791*AB791/100)</f>
        <v/>
      </c>
      <c r="X791" s="7">
        <f>IF($D791="","",V791-W791)</f>
        <v/>
      </c>
      <c r="Y791" s="7">
        <f>IF($D791="","",X791-N791)</f>
        <v/>
      </c>
      <c r="AB791">
        <f>IF($D791="","",IF($AN791=1,Settings!$C$8,IF($AM791=1,Settings!$C$6,Settings!$C$7))*100)</f>
        <v/>
      </c>
      <c r="AF791" s="7" t="n"/>
      <c r="AI791" s="11" t="n"/>
      <c r="AK791">
        <f>IF($D791="","",IF(COUNTIF($D$2:$D791,$D791)=1,1,0))</f>
        <v/>
      </c>
      <c r="AL791">
        <f>IF($AK791=1,SUMPRODUCT(--($AO$2:$AO$1601&lt;$AO791))+1,"")</f>
        <v/>
      </c>
      <c r="AM791">
        <f>IF($D791="","",IF(OR($R791=TRUE(),$R791="TRUE"),1,0))</f>
        <v/>
      </c>
      <c r="AN791">
        <f>IF($D791="","",IF($AA791="Yes",1,0))</f>
        <v/>
      </c>
      <c r="AO791">
        <f>IF($AK791=1,IFERROR(IF(VALUE($D791)&lt;100000000,VALUE($D791),1000000000),IFERROR(IF(VALUE(MID($D791,2,20))&lt;100000000,VALUE(MID($D791,2,20)),1000000000),1000000000))+ROW()/100000,"")</f>
        <v/>
      </c>
    </row>
    <row r="792">
      <c r="F792" s="11" t="n"/>
      <c r="N792" s="7">
        <f>IF($D792="","",M792*X792/100)</f>
        <v/>
      </c>
      <c r="O792" s="7" t="n"/>
      <c r="U792" s="7" t="n"/>
      <c r="V792" s="7" t="n"/>
      <c r="W792" s="7">
        <f>IF($D792="","",V792*AB792/100)</f>
        <v/>
      </c>
      <c r="X792" s="7">
        <f>IF($D792="","",V792-W792)</f>
        <v/>
      </c>
      <c r="Y792" s="7">
        <f>IF($D792="","",X792-N792)</f>
        <v/>
      </c>
      <c r="AB792">
        <f>IF($D792="","",IF($AN792=1,Settings!$C$8,IF($AM792=1,Settings!$C$6,Settings!$C$7))*100)</f>
        <v/>
      </c>
      <c r="AF792" s="7" t="n"/>
      <c r="AI792" s="11" t="n"/>
      <c r="AK792">
        <f>IF($D792="","",IF(COUNTIF($D$2:$D792,$D792)=1,1,0))</f>
        <v/>
      </c>
      <c r="AL792">
        <f>IF($AK792=1,SUMPRODUCT(--($AO$2:$AO$1601&lt;$AO792))+1,"")</f>
        <v/>
      </c>
      <c r="AM792">
        <f>IF($D792="","",IF(OR($R792=TRUE(),$R792="TRUE"),1,0))</f>
        <v/>
      </c>
      <c r="AN792">
        <f>IF($D792="","",IF($AA792="Yes",1,0))</f>
        <v/>
      </c>
      <c r="AO792">
        <f>IF($AK792=1,IFERROR(IF(VALUE($D792)&lt;100000000,VALUE($D792),1000000000),IFERROR(IF(VALUE(MID($D792,2,20))&lt;100000000,VALUE(MID($D792,2,20)),1000000000),1000000000))+ROW()/100000,"")</f>
        <v/>
      </c>
    </row>
    <row r="793">
      <c r="F793" s="11" t="n"/>
      <c r="N793" s="7">
        <f>IF($D793="","",M793*X793/100)</f>
        <v/>
      </c>
      <c r="O793" s="7" t="n"/>
      <c r="U793" s="7" t="n"/>
      <c r="V793" s="7" t="n"/>
      <c r="W793" s="7">
        <f>IF($D793="","",V793*AB793/100)</f>
        <v/>
      </c>
      <c r="X793" s="7">
        <f>IF($D793="","",V793-W793)</f>
        <v/>
      </c>
      <c r="Y793" s="7">
        <f>IF($D793="","",X793-N793)</f>
        <v/>
      </c>
      <c r="AB793">
        <f>IF($D793="","",IF($AN793=1,Settings!$C$8,IF($AM793=1,Settings!$C$6,Settings!$C$7))*100)</f>
        <v/>
      </c>
      <c r="AF793" s="7" t="n"/>
      <c r="AI793" s="11" t="n"/>
      <c r="AK793">
        <f>IF($D793="","",IF(COUNTIF($D$2:$D793,$D793)=1,1,0))</f>
        <v/>
      </c>
      <c r="AL793">
        <f>IF($AK793=1,SUMPRODUCT(--($AO$2:$AO$1601&lt;$AO793))+1,"")</f>
        <v/>
      </c>
      <c r="AM793">
        <f>IF($D793="","",IF(OR($R793=TRUE(),$R793="TRUE"),1,0))</f>
        <v/>
      </c>
      <c r="AN793">
        <f>IF($D793="","",IF($AA793="Yes",1,0))</f>
        <v/>
      </c>
      <c r="AO793">
        <f>IF($AK793=1,IFERROR(IF(VALUE($D793)&lt;100000000,VALUE($D793),1000000000),IFERROR(IF(VALUE(MID($D793,2,20))&lt;100000000,VALUE(MID($D793,2,20)),1000000000),1000000000))+ROW()/100000,"")</f>
        <v/>
      </c>
    </row>
    <row r="794">
      <c r="F794" s="11" t="n"/>
      <c r="N794" s="7">
        <f>IF($D794="","",M794*X794/100)</f>
        <v/>
      </c>
      <c r="O794" s="7" t="n"/>
      <c r="U794" s="7" t="n"/>
      <c r="V794" s="7" t="n"/>
      <c r="W794" s="7">
        <f>IF($D794="","",V794*AB794/100)</f>
        <v/>
      </c>
      <c r="X794" s="7">
        <f>IF($D794="","",V794-W794)</f>
        <v/>
      </c>
      <c r="Y794" s="7">
        <f>IF($D794="","",X794-N794)</f>
        <v/>
      </c>
      <c r="AB794">
        <f>IF($D794="","",IF($AN794=1,Settings!$C$8,IF($AM794=1,Settings!$C$6,Settings!$C$7))*100)</f>
        <v/>
      </c>
      <c r="AF794" s="7" t="n"/>
      <c r="AI794" s="11" t="n"/>
      <c r="AK794">
        <f>IF($D794="","",IF(COUNTIF($D$2:$D794,$D794)=1,1,0))</f>
        <v/>
      </c>
      <c r="AL794">
        <f>IF($AK794=1,SUMPRODUCT(--($AO$2:$AO$1601&lt;$AO794))+1,"")</f>
        <v/>
      </c>
      <c r="AM794">
        <f>IF($D794="","",IF(OR($R794=TRUE(),$R794="TRUE"),1,0))</f>
        <v/>
      </c>
      <c r="AN794">
        <f>IF($D794="","",IF($AA794="Yes",1,0))</f>
        <v/>
      </c>
      <c r="AO794">
        <f>IF($AK794=1,IFERROR(IF(VALUE($D794)&lt;100000000,VALUE($D794),1000000000),IFERROR(IF(VALUE(MID($D794,2,20))&lt;100000000,VALUE(MID($D794,2,20)),1000000000),1000000000))+ROW()/100000,"")</f>
        <v/>
      </c>
    </row>
    <row r="795">
      <c r="F795" s="11" t="n"/>
      <c r="N795" s="7">
        <f>IF($D795="","",M795*X795/100)</f>
        <v/>
      </c>
      <c r="O795" s="7" t="n"/>
      <c r="U795" s="7" t="n"/>
      <c r="V795" s="7" t="n"/>
      <c r="W795" s="7">
        <f>IF($D795="","",V795*AB795/100)</f>
        <v/>
      </c>
      <c r="X795" s="7">
        <f>IF($D795="","",V795-W795)</f>
        <v/>
      </c>
      <c r="Y795" s="7">
        <f>IF($D795="","",X795-N795)</f>
        <v/>
      </c>
      <c r="AB795">
        <f>IF($D795="","",IF($AN795=1,Settings!$C$8,IF($AM795=1,Settings!$C$6,Settings!$C$7))*100)</f>
        <v/>
      </c>
      <c r="AF795" s="7" t="n"/>
      <c r="AI795" s="11" t="n"/>
      <c r="AK795">
        <f>IF($D795="","",IF(COUNTIF($D$2:$D795,$D795)=1,1,0))</f>
        <v/>
      </c>
      <c r="AL795">
        <f>IF($AK795=1,SUMPRODUCT(--($AO$2:$AO$1601&lt;$AO795))+1,"")</f>
        <v/>
      </c>
      <c r="AM795">
        <f>IF($D795="","",IF(OR($R795=TRUE(),$R795="TRUE"),1,0))</f>
        <v/>
      </c>
      <c r="AN795">
        <f>IF($D795="","",IF($AA795="Yes",1,0))</f>
        <v/>
      </c>
      <c r="AO795">
        <f>IF($AK795=1,IFERROR(IF(VALUE($D795)&lt;100000000,VALUE($D795),1000000000),IFERROR(IF(VALUE(MID($D795,2,20))&lt;100000000,VALUE(MID($D795,2,20)),1000000000),1000000000))+ROW()/100000,"")</f>
        <v/>
      </c>
    </row>
    <row r="796">
      <c r="F796" s="11" t="n"/>
      <c r="N796" s="7">
        <f>IF($D796="","",M796*X796/100)</f>
        <v/>
      </c>
      <c r="O796" s="7" t="n"/>
      <c r="U796" s="7" t="n"/>
      <c r="V796" s="7" t="n"/>
      <c r="W796" s="7">
        <f>IF($D796="","",V796*AB796/100)</f>
        <v/>
      </c>
      <c r="X796" s="7">
        <f>IF($D796="","",V796-W796)</f>
        <v/>
      </c>
      <c r="Y796" s="7">
        <f>IF($D796="","",X796-N796)</f>
        <v/>
      </c>
      <c r="AB796">
        <f>IF($D796="","",IF($AN796=1,Settings!$C$8,IF($AM796=1,Settings!$C$6,Settings!$C$7))*100)</f>
        <v/>
      </c>
      <c r="AF796" s="7" t="n"/>
      <c r="AI796" s="11" t="n"/>
      <c r="AK796">
        <f>IF($D796="","",IF(COUNTIF($D$2:$D796,$D796)=1,1,0))</f>
        <v/>
      </c>
      <c r="AL796">
        <f>IF($AK796=1,SUMPRODUCT(--($AO$2:$AO$1601&lt;$AO796))+1,"")</f>
        <v/>
      </c>
      <c r="AM796">
        <f>IF($D796="","",IF(OR($R796=TRUE(),$R796="TRUE"),1,0))</f>
        <v/>
      </c>
      <c r="AN796">
        <f>IF($D796="","",IF($AA796="Yes",1,0))</f>
        <v/>
      </c>
      <c r="AO796">
        <f>IF($AK796=1,IFERROR(IF(VALUE($D796)&lt;100000000,VALUE($D796),1000000000),IFERROR(IF(VALUE(MID($D796,2,20))&lt;100000000,VALUE(MID($D796,2,20)),1000000000),1000000000))+ROW()/100000,"")</f>
        <v/>
      </c>
    </row>
    <row r="797">
      <c r="F797" s="11" t="n"/>
      <c r="N797" s="7">
        <f>IF($D797="","",M797*X797/100)</f>
        <v/>
      </c>
      <c r="O797" s="7" t="n"/>
      <c r="U797" s="7" t="n"/>
      <c r="V797" s="7" t="n"/>
      <c r="W797" s="7">
        <f>IF($D797="","",V797*AB797/100)</f>
        <v/>
      </c>
      <c r="X797" s="7">
        <f>IF($D797="","",V797-W797)</f>
        <v/>
      </c>
      <c r="Y797" s="7">
        <f>IF($D797="","",X797-N797)</f>
        <v/>
      </c>
      <c r="AB797">
        <f>IF($D797="","",IF($AN797=1,Settings!$C$8,IF($AM797=1,Settings!$C$6,Settings!$C$7))*100)</f>
        <v/>
      </c>
      <c r="AF797" s="7" t="n"/>
      <c r="AI797" s="11" t="n"/>
      <c r="AK797">
        <f>IF($D797="","",IF(COUNTIF($D$2:$D797,$D797)=1,1,0))</f>
        <v/>
      </c>
      <c r="AL797">
        <f>IF($AK797=1,SUMPRODUCT(--($AO$2:$AO$1601&lt;$AO797))+1,"")</f>
        <v/>
      </c>
      <c r="AM797">
        <f>IF($D797="","",IF(OR($R797=TRUE(),$R797="TRUE"),1,0))</f>
        <v/>
      </c>
      <c r="AN797">
        <f>IF($D797="","",IF($AA797="Yes",1,0))</f>
        <v/>
      </c>
      <c r="AO797">
        <f>IF($AK797=1,IFERROR(IF(VALUE($D797)&lt;100000000,VALUE($D797),1000000000),IFERROR(IF(VALUE(MID($D797,2,20))&lt;100000000,VALUE(MID($D797,2,20)),1000000000),1000000000))+ROW()/100000,"")</f>
        <v/>
      </c>
    </row>
    <row r="798">
      <c r="F798" s="11" t="n"/>
      <c r="N798" s="7">
        <f>IF($D798="","",M798*X798/100)</f>
        <v/>
      </c>
      <c r="O798" s="7" t="n"/>
      <c r="U798" s="7" t="n"/>
      <c r="V798" s="7" t="n"/>
      <c r="W798" s="7">
        <f>IF($D798="","",V798*AB798/100)</f>
        <v/>
      </c>
      <c r="X798" s="7">
        <f>IF($D798="","",V798-W798)</f>
        <v/>
      </c>
      <c r="Y798" s="7">
        <f>IF($D798="","",X798-N798)</f>
        <v/>
      </c>
      <c r="AB798">
        <f>IF($D798="","",IF($AN798=1,Settings!$C$8,IF($AM798=1,Settings!$C$6,Settings!$C$7))*100)</f>
        <v/>
      </c>
      <c r="AF798" s="7" t="n"/>
      <c r="AI798" s="11" t="n"/>
      <c r="AK798">
        <f>IF($D798="","",IF(COUNTIF($D$2:$D798,$D798)=1,1,0))</f>
        <v/>
      </c>
      <c r="AL798">
        <f>IF($AK798=1,SUMPRODUCT(--($AO$2:$AO$1601&lt;$AO798))+1,"")</f>
        <v/>
      </c>
      <c r="AM798">
        <f>IF($D798="","",IF(OR($R798=TRUE(),$R798="TRUE"),1,0))</f>
        <v/>
      </c>
      <c r="AN798">
        <f>IF($D798="","",IF($AA798="Yes",1,0))</f>
        <v/>
      </c>
      <c r="AO798">
        <f>IF($AK798=1,IFERROR(IF(VALUE($D798)&lt;100000000,VALUE($D798),1000000000),IFERROR(IF(VALUE(MID($D798,2,20))&lt;100000000,VALUE(MID($D798,2,20)),1000000000),1000000000))+ROW()/100000,"")</f>
        <v/>
      </c>
    </row>
    <row r="799">
      <c r="F799" s="11" t="n"/>
      <c r="N799" s="7">
        <f>IF($D799="","",M799*X799/100)</f>
        <v/>
      </c>
      <c r="O799" s="7" t="n"/>
      <c r="U799" s="7" t="n"/>
      <c r="V799" s="7" t="n"/>
      <c r="W799" s="7">
        <f>IF($D799="","",V799*AB799/100)</f>
        <v/>
      </c>
      <c r="X799" s="7">
        <f>IF($D799="","",V799-W799)</f>
        <v/>
      </c>
      <c r="Y799" s="7">
        <f>IF($D799="","",X799-N799)</f>
        <v/>
      </c>
      <c r="AB799">
        <f>IF($D799="","",IF($AN799=1,Settings!$C$8,IF($AM799=1,Settings!$C$6,Settings!$C$7))*100)</f>
        <v/>
      </c>
      <c r="AF799" s="7" t="n"/>
      <c r="AI799" s="11" t="n"/>
      <c r="AK799">
        <f>IF($D799="","",IF(COUNTIF($D$2:$D799,$D799)=1,1,0))</f>
        <v/>
      </c>
      <c r="AL799">
        <f>IF($AK799=1,SUMPRODUCT(--($AO$2:$AO$1601&lt;$AO799))+1,"")</f>
        <v/>
      </c>
      <c r="AM799">
        <f>IF($D799="","",IF(OR($R799=TRUE(),$R799="TRUE"),1,0))</f>
        <v/>
      </c>
      <c r="AN799">
        <f>IF($D799="","",IF($AA799="Yes",1,0))</f>
        <v/>
      </c>
      <c r="AO799">
        <f>IF($AK799=1,IFERROR(IF(VALUE($D799)&lt;100000000,VALUE($D799),1000000000),IFERROR(IF(VALUE(MID($D799,2,20))&lt;100000000,VALUE(MID($D799,2,20)),1000000000),1000000000))+ROW()/100000,"")</f>
        <v/>
      </c>
    </row>
    <row r="800">
      <c r="F800" s="11" t="n"/>
      <c r="N800" s="7">
        <f>IF($D800="","",M800*X800/100)</f>
        <v/>
      </c>
      <c r="O800" s="7" t="n"/>
      <c r="U800" s="7" t="n"/>
      <c r="V800" s="7" t="n"/>
      <c r="W800" s="7">
        <f>IF($D800="","",V800*AB800/100)</f>
        <v/>
      </c>
      <c r="X800" s="7">
        <f>IF($D800="","",V800-W800)</f>
        <v/>
      </c>
      <c r="Y800" s="7">
        <f>IF($D800="","",X800-N800)</f>
        <v/>
      </c>
      <c r="AB800">
        <f>IF($D800="","",IF($AN800=1,Settings!$C$8,IF($AM800=1,Settings!$C$6,Settings!$C$7))*100)</f>
        <v/>
      </c>
      <c r="AF800" s="7" t="n"/>
      <c r="AI800" s="11" t="n"/>
      <c r="AK800">
        <f>IF($D800="","",IF(COUNTIF($D$2:$D800,$D800)=1,1,0))</f>
        <v/>
      </c>
      <c r="AL800">
        <f>IF($AK800=1,SUMPRODUCT(--($AO$2:$AO$1601&lt;$AO800))+1,"")</f>
        <v/>
      </c>
      <c r="AM800">
        <f>IF($D800="","",IF(OR($R800=TRUE(),$R800="TRUE"),1,0))</f>
        <v/>
      </c>
      <c r="AN800">
        <f>IF($D800="","",IF($AA800="Yes",1,0))</f>
        <v/>
      </c>
      <c r="AO800">
        <f>IF($AK800=1,IFERROR(IF(VALUE($D800)&lt;100000000,VALUE($D800),1000000000),IFERROR(IF(VALUE(MID($D800,2,20))&lt;100000000,VALUE(MID($D800,2,20)),1000000000),1000000000))+ROW()/100000,"")</f>
        <v/>
      </c>
    </row>
    <row r="801">
      <c r="F801" s="11" t="n"/>
      <c r="N801" s="7">
        <f>IF($D801="","",M801*X801/100)</f>
        <v/>
      </c>
      <c r="O801" s="7" t="n"/>
      <c r="U801" s="7" t="n"/>
      <c r="V801" s="7" t="n"/>
      <c r="W801" s="7">
        <f>IF($D801="","",V801*AB801/100)</f>
        <v/>
      </c>
      <c r="X801" s="7">
        <f>IF($D801="","",V801-W801)</f>
        <v/>
      </c>
      <c r="Y801" s="7">
        <f>IF($D801="","",X801-N801)</f>
        <v/>
      </c>
      <c r="AB801">
        <f>IF($D801="","",IF($AN801=1,Settings!$C$8,IF($AM801=1,Settings!$C$6,Settings!$C$7))*100)</f>
        <v/>
      </c>
      <c r="AF801" s="7" t="n"/>
      <c r="AI801" s="11" t="n"/>
      <c r="AK801">
        <f>IF($D801="","",IF(COUNTIF($D$2:$D801,$D801)=1,1,0))</f>
        <v/>
      </c>
      <c r="AL801">
        <f>IF($AK801=1,SUMPRODUCT(--($AO$2:$AO$1601&lt;$AO801))+1,"")</f>
        <v/>
      </c>
      <c r="AM801">
        <f>IF($D801="","",IF(OR($R801=TRUE(),$R801="TRUE"),1,0))</f>
        <v/>
      </c>
      <c r="AN801">
        <f>IF($D801="","",IF($AA801="Yes",1,0))</f>
        <v/>
      </c>
      <c r="AO801">
        <f>IF($AK801=1,IFERROR(IF(VALUE($D801)&lt;100000000,VALUE($D801),1000000000),IFERROR(IF(VALUE(MID($D801,2,20))&lt;100000000,VALUE(MID($D801,2,20)),1000000000),1000000000))+ROW()/100000,"")</f>
        <v/>
      </c>
    </row>
    <row r="802">
      <c r="F802" s="11" t="n"/>
      <c r="N802" s="7">
        <f>IF($D802="","",M802*X802/100)</f>
        <v/>
      </c>
      <c r="O802" s="7" t="n"/>
      <c r="U802" s="7" t="n"/>
      <c r="V802" s="7" t="n"/>
      <c r="W802" s="7">
        <f>IF($D802="","",V802*AB802/100)</f>
        <v/>
      </c>
      <c r="X802" s="7">
        <f>IF($D802="","",V802-W802)</f>
        <v/>
      </c>
      <c r="Y802" s="7">
        <f>IF($D802="","",X802-N802)</f>
        <v/>
      </c>
      <c r="AB802">
        <f>IF($D802="","",IF($AN802=1,Settings!$C$8,IF($AM802=1,Settings!$C$6,Settings!$C$7))*100)</f>
        <v/>
      </c>
      <c r="AF802" s="7" t="n"/>
      <c r="AI802" s="11" t="n"/>
      <c r="AK802">
        <f>IF($D802="","",IF(COUNTIF($D$2:$D802,$D802)=1,1,0))</f>
        <v/>
      </c>
      <c r="AL802">
        <f>IF($AK802=1,SUMPRODUCT(--($AO$2:$AO$1601&lt;$AO802))+1,"")</f>
        <v/>
      </c>
      <c r="AM802">
        <f>IF($D802="","",IF(OR($R802=TRUE(),$R802="TRUE"),1,0))</f>
        <v/>
      </c>
      <c r="AN802">
        <f>IF($D802="","",IF($AA802="Yes",1,0))</f>
        <v/>
      </c>
      <c r="AO802">
        <f>IF($AK802=1,IFERROR(IF(VALUE($D802)&lt;100000000,VALUE($D802),1000000000),IFERROR(IF(VALUE(MID($D802,2,20))&lt;100000000,VALUE(MID($D802,2,20)),1000000000),1000000000))+ROW()/100000,"")</f>
        <v/>
      </c>
    </row>
    <row r="803">
      <c r="F803" s="11" t="n"/>
      <c r="N803" s="7">
        <f>IF($D803="","",M803*X803/100)</f>
        <v/>
      </c>
      <c r="O803" s="7" t="n"/>
      <c r="U803" s="7" t="n"/>
      <c r="V803" s="7" t="n"/>
      <c r="W803" s="7">
        <f>IF($D803="","",V803*AB803/100)</f>
        <v/>
      </c>
      <c r="X803" s="7">
        <f>IF($D803="","",V803-W803)</f>
        <v/>
      </c>
      <c r="Y803" s="7">
        <f>IF($D803="","",X803-N803)</f>
        <v/>
      </c>
      <c r="AB803">
        <f>IF($D803="","",IF($AN803=1,Settings!$C$8,IF($AM803=1,Settings!$C$6,Settings!$C$7))*100)</f>
        <v/>
      </c>
      <c r="AF803" s="7" t="n"/>
      <c r="AI803" s="11" t="n"/>
      <c r="AK803">
        <f>IF($D803="","",IF(COUNTIF($D$2:$D803,$D803)=1,1,0))</f>
        <v/>
      </c>
      <c r="AL803">
        <f>IF($AK803=1,SUMPRODUCT(--($AO$2:$AO$1601&lt;$AO803))+1,"")</f>
        <v/>
      </c>
      <c r="AM803">
        <f>IF($D803="","",IF(OR($R803=TRUE(),$R803="TRUE"),1,0))</f>
        <v/>
      </c>
      <c r="AN803">
        <f>IF($D803="","",IF($AA803="Yes",1,0))</f>
        <v/>
      </c>
      <c r="AO803">
        <f>IF($AK803=1,IFERROR(IF(VALUE($D803)&lt;100000000,VALUE($D803),1000000000),IFERROR(IF(VALUE(MID($D803,2,20))&lt;100000000,VALUE(MID($D803,2,20)),1000000000),1000000000))+ROW()/100000,"")</f>
        <v/>
      </c>
    </row>
    <row r="804">
      <c r="F804" s="11" t="n"/>
      <c r="N804" s="7">
        <f>IF($D804="","",M804*X804/100)</f>
        <v/>
      </c>
      <c r="O804" s="7" t="n"/>
      <c r="U804" s="7" t="n"/>
      <c r="V804" s="7" t="n"/>
      <c r="W804" s="7">
        <f>IF($D804="","",V804*AB804/100)</f>
        <v/>
      </c>
      <c r="X804" s="7">
        <f>IF($D804="","",V804-W804)</f>
        <v/>
      </c>
      <c r="Y804" s="7">
        <f>IF($D804="","",X804-N804)</f>
        <v/>
      </c>
      <c r="AB804">
        <f>IF($D804="","",IF($AN804=1,Settings!$C$8,IF($AM804=1,Settings!$C$6,Settings!$C$7))*100)</f>
        <v/>
      </c>
      <c r="AF804" s="7" t="n"/>
      <c r="AI804" s="11" t="n"/>
      <c r="AK804">
        <f>IF($D804="","",IF(COUNTIF($D$2:$D804,$D804)=1,1,0))</f>
        <v/>
      </c>
      <c r="AL804">
        <f>IF($AK804=1,SUMPRODUCT(--($AO$2:$AO$1601&lt;$AO804))+1,"")</f>
        <v/>
      </c>
      <c r="AM804">
        <f>IF($D804="","",IF(OR($R804=TRUE(),$R804="TRUE"),1,0))</f>
        <v/>
      </c>
      <c r="AN804">
        <f>IF($D804="","",IF($AA804="Yes",1,0))</f>
        <v/>
      </c>
      <c r="AO804">
        <f>IF($AK804=1,IFERROR(IF(VALUE($D804)&lt;100000000,VALUE($D804),1000000000),IFERROR(IF(VALUE(MID($D804,2,20))&lt;100000000,VALUE(MID($D804,2,20)),1000000000),1000000000))+ROW()/100000,"")</f>
        <v/>
      </c>
    </row>
    <row r="805">
      <c r="F805" s="11" t="n"/>
      <c r="N805" s="7">
        <f>IF($D805="","",M805*X805/100)</f>
        <v/>
      </c>
      <c r="O805" s="7" t="n"/>
      <c r="U805" s="7" t="n"/>
      <c r="V805" s="7" t="n"/>
      <c r="W805" s="7">
        <f>IF($D805="","",V805*AB805/100)</f>
        <v/>
      </c>
      <c r="X805" s="7">
        <f>IF($D805="","",V805-W805)</f>
        <v/>
      </c>
      <c r="Y805" s="7">
        <f>IF($D805="","",X805-N805)</f>
        <v/>
      </c>
      <c r="AB805">
        <f>IF($D805="","",IF($AN805=1,Settings!$C$8,IF($AM805=1,Settings!$C$6,Settings!$C$7))*100)</f>
        <v/>
      </c>
      <c r="AF805" s="7" t="n"/>
      <c r="AI805" s="11" t="n"/>
      <c r="AK805">
        <f>IF($D805="","",IF(COUNTIF($D$2:$D805,$D805)=1,1,0))</f>
        <v/>
      </c>
      <c r="AL805">
        <f>IF($AK805=1,SUMPRODUCT(--($AO$2:$AO$1601&lt;$AO805))+1,"")</f>
        <v/>
      </c>
      <c r="AM805">
        <f>IF($D805="","",IF(OR($R805=TRUE(),$R805="TRUE"),1,0))</f>
        <v/>
      </c>
      <c r="AN805">
        <f>IF($D805="","",IF($AA805="Yes",1,0))</f>
        <v/>
      </c>
      <c r="AO805">
        <f>IF($AK805=1,IFERROR(IF(VALUE($D805)&lt;100000000,VALUE($D805),1000000000),IFERROR(IF(VALUE(MID($D805,2,20))&lt;100000000,VALUE(MID($D805,2,20)),1000000000),1000000000))+ROW()/100000,"")</f>
        <v/>
      </c>
    </row>
    <row r="806">
      <c r="F806" s="11" t="n"/>
      <c r="N806" s="7">
        <f>IF($D806="","",M806*X806/100)</f>
        <v/>
      </c>
      <c r="O806" s="7" t="n"/>
      <c r="U806" s="7" t="n"/>
      <c r="V806" s="7" t="n"/>
      <c r="W806" s="7">
        <f>IF($D806="","",V806*AB806/100)</f>
        <v/>
      </c>
      <c r="X806" s="7">
        <f>IF($D806="","",V806-W806)</f>
        <v/>
      </c>
      <c r="Y806" s="7">
        <f>IF($D806="","",X806-N806)</f>
        <v/>
      </c>
      <c r="AB806">
        <f>IF($D806="","",IF($AN806=1,Settings!$C$8,IF($AM806=1,Settings!$C$6,Settings!$C$7))*100)</f>
        <v/>
      </c>
      <c r="AF806" s="7" t="n"/>
      <c r="AI806" s="11" t="n"/>
      <c r="AK806">
        <f>IF($D806="","",IF(COUNTIF($D$2:$D806,$D806)=1,1,0))</f>
        <v/>
      </c>
      <c r="AL806">
        <f>IF($AK806=1,SUMPRODUCT(--($AO$2:$AO$1601&lt;$AO806))+1,"")</f>
        <v/>
      </c>
      <c r="AM806">
        <f>IF($D806="","",IF(OR($R806=TRUE(),$R806="TRUE"),1,0))</f>
        <v/>
      </c>
      <c r="AN806">
        <f>IF($D806="","",IF($AA806="Yes",1,0))</f>
        <v/>
      </c>
      <c r="AO806">
        <f>IF($AK806=1,IFERROR(IF(VALUE($D806)&lt;100000000,VALUE($D806),1000000000),IFERROR(IF(VALUE(MID($D806,2,20))&lt;100000000,VALUE(MID($D806,2,20)),1000000000),1000000000))+ROW()/100000,"")</f>
        <v/>
      </c>
    </row>
    <row r="807">
      <c r="F807" s="11" t="n"/>
      <c r="N807" s="7">
        <f>IF($D807="","",M807*X807/100)</f>
        <v/>
      </c>
      <c r="O807" s="7" t="n"/>
      <c r="U807" s="7" t="n"/>
      <c r="V807" s="7" t="n"/>
      <c r="W807" s="7">
        <f>IF($D807="","",V807*AB807/100)</f>
        <v/>
      </c>
      <c r="X807" s="7">
        <f>IF($D807="","",V807-W807)</f>
        <v/>
      </c>
      <c r="Y807" s="7">
        <f>IF($D807="","",X807-N807)</f>
        <v/>
      </c>
      <c r="AB807">
        <f>IF($D807="","",IF($AN807=1,Settings!$C$8,IF($AM807=1,Settings!$C$6,Settings!$C$7))*100)</f>
        <v/>
      </c>
      <c r="AF807" s="7" t="n"/>
      <c r="AI807" s="11" t="n"/>
      <c r="AK807">
        <f>IF($D807="","",IF(COUNTIF($D$2:$D807,$D807)=1,1,0))</f>
        <v/>
      </c>
      <c r="AL807">
        <f>IF($AK807=1,SUMPRODUCT(--($AO$2:$AO$1601&lt;$AO807))+1,"")</f>
        <v/>
      </c>
      <c r="AM807">
        <f>IF($D807="","",IF(OR($R807=TRUE(),$R807="TRUE"),1,0))</f>
        <v/>
      </c>
      <c r="AN807">
        <f>IF($D807="","",IF($AA807="Yes",1,0))</f>
        <v/>
      </c>
      <c r="AO807">
        <f>IF($AK807=1,IFERROR(IF(VALUE($D807)&lt;100000000,VALUE($D807),1000000000),IFERROR(IF(VALUE(MID($D807,2,20))&lt;100000000,VALUE(MID($D807,2,20)),1000000000),1000000000))+ROW()/100000,"")</f>
        <v/>
      </c>
    </row>
    <row r="808">
      <c r="F808" s="11" t="n"/>
      <c r="N808" s="7">
        <f>IF($D808="","",M808*X808/100)</f>
        <v/>
      </c>
      <c r="O808" s="7" t="n"/>
      <c r="U808" s="7" t="n"/>
      <c r="V808" s="7" t="n"/>
      <c r="W808" s="7">
        <f>IF($D808="","",V808*AB808/100)</f>
        <v/>
      </c>
      <c r="X808" s="7">
        <f>IF($D808="","",V808-W808)</f>
        <v/>
      </c>
      <c r="Y808" s="7">
        <f>IF($D808="","",X808-N808)</f>
        <v/>
      </c>
      <c r="AB808">
        <f>IF($D808="","",IF($AN808=1,Settings!$C$8,IF($AM808=1,Settings!$C$6,Settings!$C$7))*100)</f>
        <v/>
      </c>
      <c r="AF808" s="7" t="n"/>
      <c r="AI808" s="11" t="n"/>
      <c r="AK808">
        <f>IF($D808="","",IF(COUNTIF($D$2:$D808,$D808)=1,1,0))</f>
        <v/>
      </c>
      <c r="AL808">
        <f>IF($AK808=1,SUMPRODUCT(--($AO$2:$AO$1601&lt;$AO808))+1,"")</f>
        <v/>
      </c>
      <c r="AM808">
        <f>IF($D808="","",IF(OR($R808=TRUE(),$R808="TRUE"),1,0))</f>
        <v/>
      </c>
      <c r="AN808">
        <f>IF($D808="","",IF($AA808="Yes",1,0))</f>
        <v/>
      </c>
      <c r="AO808">
        <f>IF($AK808=1,IFERROR(IF(VALUE($D808)&lt;100000000,VALUE($D808),1000000000),IFERROR(IF(VALUE(MID($D808,2,20))&lt;100000000,VALUE(MID($D808,2,20)),1000000000),1000000000))+ROW()/100000,"")</f>
        <v/>
      </c>
    </row>
    <row r="809">
      <c r="F809" s="11" t="n"/>
      <c r="N809" s="7">
        <f>IF($D809="","",M809*X809/100)</f>
        <v/>
      </c>
      <c r="O809" s="7" t="n"/>
      <c r="U809" s="7" t="n"/>
      <c r="V809" s="7" t="n"/>
      <c r="W809" s="7">
        <f>IF($D809="","",V809*AB809/100)</f>
        <v/>
      </c>
      <c r="X809" s="7">
        <f>IF($D809="","",V809-W809)</f>
        <v/>
      </c>
      <c r="Y809" s="7">
        <f>IF($D809="","",X809-N809)</f>
        <v/>
      </c>
      <c r="AB809">
        <f>IF($D809="","",IF($AN809=1,Settings!$C$8,IF($AM809=1,Settings!$C$6,Settings!$C$7))*100)</f>
        <v/>
      </c>
      <c r="AF809" s="7" t="n"/>
      <c r="AI809" s="11" t="n"/>
      <c r="AK809">
        <f>IF($D809="","",IF(COUNTIF($D$2:$D809,$D809)=1,1,0))</f>
        <v/>
      </c>
      <c r="AL809">
        <f>IF($AK809=1,SUMPRODUCT(--($AO$2:$AO$1601&lt;$AO809))+1,"")</f>
        <v/>
      </c>
      <c r="AM809">
        <f>IF($D809="","",IF(OR($R809=TRUE(),$R809="TRUE"),1,0))</f>
        <v/>
      </c>
      <c r="AN809">
        <f>IF($D809="","",IF($AA809="Yes",1,0))</f>
        <v/>
      </c>
      <c r="AO809">
        <f>IF($AK809=1,IFERROR(IF(VALUE($D809)&lt;100000000,VALUE($D809),1000000000),IFERROR(IF(VALUE(MID($D809,2,20))&lt;100000000,VALUE(MID($D809,2,20)),1000000000),1000000000))+ROW()/100000,"")</f>
        <v/>
      </c>
    </row>
    <row r="810">
      <c r="F810" s="11" t="n"/>
      <c r="N810" s="7">
        <f>IF($D810="","",M810*X810/100)</f>
        <v/>
      </c>
      <c r="O810" s="7" t="n"/>
      <c r="U810" s="7" t="n"/>
      <c r="V810" s="7" t="n"/>
      <c r="W810" s="7">
        <f>IF($D810="","",V810*AB810/100)</f>
        <v/>
      </c>
      <c r="X810" s="7">
        <f>IF($D810="","",V810-W810)</f>
        <v/>
      </c>
      <c r="Y810" s="7">
        <f>IF($D810="","",X810-N810)</f>
        <v/>
      </c>
      <c r="AB810">
        <f>IF($D810="","",IF($AN810=1,Settings!$C$8,IF($AM810=1,Settings!$C$6,Settings!$C$7))*100)</f>
        <v/>
      </c>
      <c r="AF810" s="7" t="n"/>
      <c r="AI810" s="11" t="n"/>
      <c r="AK810">
        <f>IF($D810="","",IF(COUNTIF($D$2:$D810,$D810)=1,1,0))</f>
        <v/>
      </c>
      <c r="AL810">
        <f>IF($AK810=1,SUMPRODUCT(--($AO$2:$AO$1601&lt;$AO810))+1,"")</f>
        <v/>
      </c>
      <c r="AM810">
        <f>IF($D810="","",IF(OR($R810=TRUE(),$R810="TRUE"),1,0))</f>
        <v/>
      </c>
      <c r="AN810">
        <f>IF($D810="","",IF($AA810="Yes",1,0))</f>
        <v/>
      </c>
      <c r="AO810">
        <f>IF($AK810=1,IFERROR(IF(VALUE($D810)&lt;100000000,VALUE($D810),1000000000),IFERROR(IF(VALUE(MID($D810,2,20))&lt;100000000,VALUE(MID($D810,2,20)),1000000000),1000000000))+ROW()/100000,"")</f>
        <v/>
      </c>
    </row>
    <row r="811">
      <c r="F811" s="11" t="n"/>
      <c r="N811" s="7">
        <f>IF($D811="","",M811*X811/100)</f>
        <v/>
      </c>
      <c r="O811" s="7" t="n"/>
      <c r="U811" s="7" t="n"/>
      <c r="V811" s="7" t="n"/>
      <c r="W811" s="7">
        <f>IF($D811="","",V811*AB811/100)</f>
        <v/>
      </c>
      <c r="X811" s="7">
        <f>IF($D811="","",V811-W811)</f>
        <v/>
      </c>
      <c r="Y811" s="7">
        <f>IF($D811="","",X811-N811)</f>
        <v/>
      </c>
      <c r="AB811">
        <f>IF($D811="","",IF($AN811=1,Settings!$C$8,IF($AM811=1,Settings!$C$6,Settings!$C$7))*100)</f>
        <v/>
      </c>
      <c r="AF811" s="7" t="n"/>
      <c r="AI811" s="11" t="n"/>
      <c r="AK811">
        <f>IF($D811="","",IF(COUNTIF($D$2:$D811,$D811)=1,1,0))</f>
        <v/>
      </c>
      <c r="AL811">
        <f>IF($AK811=1,SUMPRODUCT(--($AO$2:$AO$1601&lt;$AO811))+1,"")</f>
        <v/>
      </c>
      <c r="AM811">
        <f>IF($D811="","",IF(OR($R811=TRUE(),$R811="TRUE"),1,0))</f>
        <v/>
      </c>
      <c r="AN811">
        <f>IF($D811="","",IF($AA811="Yes",1,0))</f>
        <v/>
      </c>
      <c r="AO811">
        <f>IF($AK811=1,IFERROR(IF(VALUE($D811)&lt;100000000,VALUE($D811),1000000000),IFERROR(IF(VALUE(MID($D811,2,20))&lt;100000000,VALUE(MID($D811,2,20)),1000000000),1000000000))+ROW()/100000,"")</f>
        <v/>
      </c>
    </row>
    <row r="812">
      <c r="F812" s="11" t="n"/>
      <c r="N812" s="7">
        <f>IF($D812="","",M812*X812/100)</f>
        <v/>
      </c>
      <c r="O812" s="7" t="n"/>
      <c r="U812" s="7" t="n"/>
      <c r="V812" s="7" t="n"/>
      <c r="W812" s="7">
        <f>IF($D812="","",V812*AB812/100)</f>
        <v/>
      </c>
      <c r="X812" s="7">
        <f>IF($D812="","",V812-W812)</f>
        <v/>
      </c>
      <c r="Y812" s="7">
        <f>IF($D812="","",X812-N812)</f>
        <v/>
      </c>
      <c r="AB812">
        <f>IF($D812="","",IF($AN812=1,Settings!$C$8,IF($AM812=1,Settings!$C$6,Settings!$C$7))*100)</f>
        <v/>
      </c>
      <c r="AF812" s="7" t="n"/>
      <c r="AI812" s="11" t="n"/>
      <c r="AK812">
        <f>IF($D812="","",IF(COUNTIF($D$2:$D812,$D812)=1,1,0))</f>
        <v/>
      </c>
      <c r="AL812">
        <f>IF($AK812=1,SUMPRODUCT(--($AO$2:$AO$1601&lt;$AO812))+1,"")</f>
        <v/>
      </c>
      <c r="AM812">
        <f>IF($D812="","",IF(OR($R812=TRUE(),$R812="TRUE"),1,0))</f>
        <v/>
      </c>
      <c r="AN812">
        <f>IF($D812="","",IF($AA812="Yes",1,0))</f>
        <v/>
      </c>
      <c r="AO812">
        <f>IF($AK812=1,IFERROR(IF(VALUE($D812)&lt;100000000,VALUE($D812),1000000000),IFERROR(IF(VALUE(MID($D812,2,20))&lt;100000000,VALUE(MID($D812,2,20)),1000000000),1000000000))+ROW()/100000,"")</f>
        <v/>
      </c>
    </row>
    <row r="813">
      <c r="F813" s="11" t="n"/>
      <c r="N813" s="7">
        <f>IF($D813="","",M813*X813/100)</f>
        <v/>
      </c>
      <c r="O813" s="7" t="n"/>
      <c r="U813" s="7" t="n"/>
      <c r="V813" s="7" t="n"/>
      <c r="W813" s="7">
        <f>IF($D813="","",V813*AB813/100)</f>
        <v/>
      </c>
      <c r="X813" s="7">
        <f>IF($D813="","",V813-W813)</f>
        <v/>
      </c>
      <c r="Y813" s="7">
        <f>IF($D813="","",X813-N813)</f>
        <v/>
      </c>
      <c r="AB813">
        <f>IF($D813="","",IF($AN813=1,Settings!$C$8,IF($AM813=1,Settings!$C$6,Settings!$C$7))*100)</f>
        <v/>
      </c>
      <c r="AF813" s="7" t="n"/>
      <c r="AI813" s="11" t="n"/>
      <c r="AK813">
        <f>IF($D813="","",IF(COUNTIF($D$2:$D813,$D813)=1,1,0))</f>
        <v/>
      </c>
      <c r="AL813">
        <f>IF($AK813=1,SUMPRODUCT(--($AO$2:$AO$1601&lt;$AO813))+1,"")</f>
        <v/>
      </c>
      <c r="AM813">
        <f>IF($D813="","",IF(OR($R813=TRUE(),$R813="TRUE"),1,0))</f>
        <v/>
      </c>
      <c r="AN813">
        <f>IF($D813="","",IF($AA813="Yes",1,0))</f>
        <v/>
      </c>
      <c r="AO813">
        <f>IF($AK813=1,IFERROR(IF(VALUE($D813)&lt;100000000,VALUE($D813),1000000000),IFERROR(IF(VALUE(MID($D813,2,20))&lt;100000000,VALUE(MID($D813,2,20)),1000000000),1000000000))+ROW()/100000,"")</f>
        <v/>
      </c>
    </row>
    <row r="814">
      <c r="F814" s="11" t="n"/>
      <c r="N814" s="7">
        <f>IF($D814="","",M814*X814/100)</f>
        <v/>
      </c>
      <c r="O814" s="7" t="n"/>
      <c r="U814" s="7" t="n"/>
      <c r="V814" s="7" t="n"/>
      <c r="W814" s="7">
        <f>IF($D814="","",V814*AB814/100)</f>
        <v/>
      </c>
      <c r="X814" s="7">
        <f>IF($D814="","",V814-W814)</f>
        <v/>
      </c>
      <c r="Y814" s="7">
        <f>IF($D814="","",X814-N814)</f>
        <v/>
      </c>
      <c r="AB814">
        <f>IF($D814="","",IF($AN814=1,Settings!$C$8,IF($AM814=1,Settings!$C$6,Settings!$C$7))*100)</f>
        <v/>
      </c>
      <c r="AF814" s="7" t="n"/>
      <c r="AI814" s="11" t="n"/>
      <c r="AK814">
        <f>IF($D814="","",IF(COUNTIF($D$2:$D814,$D814)=1,1,0))</f>
        <v/>
      </c>
      <c r="AL814">
        <f>IF($AK814=1,SUMPRODUCT(--($AO$2:$AO$1601&lt;$AO814))+1,"")</f>
        <v/>
      </c>
      <c r="AM814">
        <f>IF($D814="","",IF(OR($R814=TRUE(),$R814="TRUE"),1,0))</f>
        <v/>
      </c>
      <c r="AN814">
        <f>IF($D814="","",IF($AA814="Yes",1,0))</f>
        <v/>
      </c>
      <c r="AO814">
        <f>IF($AK814=1,IFERROR(IF(VALUE($D814)&lt;100000000,VALUE($D814),1000000000),IFERROR(IF(VALUE(MID($D814,2,20))&lt;100000000,VALUE(MID($D814,2,20)),1000000000),1000000000))+ROW()/100000,"")</f>
        <v/>
      </c>
    </row>
    <row r="815">
      <c r="F815" s="11" t="n"/>
      <c r="N815" s="7">
        <f>IF($D815="","",M815*X815/100)</f>
        <v/>
      </c>
      <c r="O815" s="7" t="n"/>
      <c r="U815" s="7" t="n"/>
      <c r="V815" s="7" t="n"/>
      <c r="W815" s="7">
        <f>IF($D815="","",V815*AB815/100)</f>
        <v/>
      </c>
      <c r="X815" s="7">
        <f>IF($D815="","",V815-W815)</f>
        <v/>
      </c>
      <c r="Y815" s="7">
        <f>IF($D815="","",X815-N815)</f>
        <v/>
      </c>
      <c r="AB815">
        <f>IF($D815="","",IF($AN815=1,Settings!$C$8,IF($AM815=1,Settings!$C$6,Settings!$C$7))*100)</f>
        <v/>
      </c>
      <c r="AF815" s="7" t="n"/>
      <c r="AI815" s="11" t="n"/>
      <c r="AK815">
        <f>IF($D815="","",IF(COUNTIF($D$2:$D815,$D815)=1,1,0))</f>
        <v/>
      </c>
      <c r="AL815">
        <f>IF($AK815=1,SUMPRODUCT(--($AO$2:$AO$1601&lt;$AO815))+1,"")</f>
        <v/>
      </c>
      <c r="AM815">
        <f>IF($D815="","",IF(OR($R815=TRUE(),$R815="TRUE"),1,0))</f>
        <v/>
      </c>
      <c r="AN815">
        <f>IF($D815="","",IF($AA815="Yes",1,0))</f>
        <v/>
      </c>
      <c r="AO815">
        <f>IF($AK815=1,IFERROR(IF(VALUE($D815)&lt;100000000,VALUE($D815),1000000000),IFERROR(IF(VALUE(MID($D815,2,20))&lt;100000000,VALUE(MID($D815,2,20)),1000000000),1000000000))+ROW()/100000,"")</f>
        <v/>
      </c>
    </row>
    <row r="816">
      <c r="F816" s="11" t="n"/>
      <c r="N816" s="7">
        <f>IF($D816="","",M816*X816/100)</f>
        <v/>
      </c>
      <c r="O816" s="7" t="n"/>
      <c r="U816" s="7" t="n"/>
      <c r="V816" s="7" t="n"/>
      <c r="W816" s="7">
        <f>IF($D816="","",V816*AB816/100)</f>
        <v/>
      </c>
      <c r="X816" s="7">
        <f>IF($D816="","",V816-W816)</f>
        <v/>
      </c>
      <c r="Y816" s="7">
        <f>IF($D816="","",X816-N816)</f>
        <v/>
      </c>
      <c r="AB816">
        <f>IF($D816="","",IF($AN816=1,Settings!$C$8,IF($AM816=1,Settings!$C$6,Settings!$C$7))*100)</f>
        <v/>
      </c>
      <c r="AF816" s="7" t="n"/>
      <c r="AI816" s="11" t="n"/>
      <c r="AK816">
        <f>IF($D816="","",IF(COUNTIF($D$2:$D816,$D816)=1,1,0))</f>
        <v/>
      </c>
      <c r="AL816">
        <f>IF($AK816=1,SUMPRODUCT(--($AO$2:$AO$1601&lt;$AO816))+1,"")</f>
        <v/>
      </c>
      <c r="AM816">
        <f>IF($D816="","",IF(OR($R816=TRUE(),$R816="TRUE"),1,0))</f>
        <v/>
      </c>
      <c r="AN816">
        <f>IF($D816="","",IF($AA816="Yes",1,0))</f>
        <v/>
      </c>
      <c r="AO816">
        <f>IF($AK816=1,IFERROR(IF(VALUE($D816)&lt;100000000,VALUE($D816),1000000000),IFERROR(IF(VALUE(MID($D816,2,20))&lt;100000000,VALUE(MID($D816,2,20)),1000000000),1000000000))+ROW()/100000,"")</f>
        <v/>
      </c>
    </row>
    <row r="817">
      <c r="F817" s="11" t="n"/>
      <c r="N817" s="7">
        <f>IF($D817="","",M817*X817/100)</f>
        <v/>
      </c>
      <c r="O817" s="7" t="n"/>
      <c r="U817" s="7" t="n"/>
      <c r="V817" s="7" t="n"/>
      <c r="W817" s="7">
        <f>IF($D817="","",V817*AB817/100)</f>
        <v/>
      </c>
      <c r="X817" s="7">
        <f>IF($D817="","",V817-W817)</f>
        <v/>
      </c>
      <c r="Y817" s="7">
        <f>IF($D817="","",X817-N817)</f>
        <v/>
      </c>
      <c r="AB817">
        <f>IF($D817="","",IF($AN817=1,Settings!$C$8,IF($AM817=1,Settings!$C$6,Settings!$C$7))*100)</f>
        <v/>
      </c>
      <c r="AF817" s="7" t="n"/>
      <c r="AI817" s="11" t="n"/>
      <c r="AK817">
        <f>IF($D817="","",IF(COUNTIF($D$2:$D817,$D817)=1,1,0))</f>
        <v/>
      </c>
      <c r="AL817">
        <f>IF($AK817=1,SUMPRODUCT(--($AO$2:$AO$1601&lt;$AO817))+1,"")</f>
        <v/>
      </c>
      <c r="AM817">
        <f>IF($D817="","",IF(OR($R817=TRUE(),$R817="TRUE"),1,0))</f>
        <v/>
      </c>
      <c r="AN817">
        <f>IF($D817="","",IF($AA817="Yes",1,0))</f>
        <v/>
      </c>
      <c r="AO817">
        <f>IF($AK817=1,IFERROR(IF(VALUE($D817)&lt;100000000,VALUE($D817),1000000000),IFERROR(IF(VALUE(MID($D817,2,20))&lt;100000000,VALUE(MID($D817,2,20)),1000000000),1000000000))+ROW()/100000,"")</f>
        <v/>
      </c>
    </row>
    <row r="818">
      <c r="F818" s="11" t="n"/>
      <c r="N818" s="7">
        <f>IF($D818="","",M818*X818/100)</f>
        <v/>
      </c>
      <c r="O818" s="7" t="n"/>
      <c r="U818" s="7" t="n"/>
      <c r="V818" s="7" t="n"/>
      <c r="W818" s="7">
        <f>IF($D818="","",V818*AB818/100)</f>
        <v/>
      </c>
      <c r="X818" s="7">
        <f>IF($D818="","",V818-W818)</f>
        <v/>
      </c>
      <c r="Y818" s="7">
        <f>IF($D818="","",X818-N818)</f>
        <v/>
      </c>
      <c r="AB818">
        <f>IF($D818="","",IF($AN818=1,Settings!$C$8,IF($AM818=1,Settings!$C$6,Settings!$C$7))*100)</f>
        <v/>
      </c>
      <c r="AF818" s="7" t="n"/>
      <c r="AI818" s="11" t="n"/>
      <c r="AK818">
        <f>IF($D818="","",IF(COUNTIF($D$2:$D818,$D818)=1,1,0))</f>
        <v/>
      </c>
      <c r="AL818">
        <f>IF($AK818=1,SUMPRODUCT(--($AO$2:$AO$1601&lt;$AO818))+1,"")</f>
        <v/>
      </c>
      <c r="AM818">
        <f>IF($D818="","",IF(OR($R818=TRUE(),$R818="TRUE"),1,0))</f>
        <v/>
      </c>
      <c r="AN818">
        <f>IF($D818="","",IF($AA818="Yes",1,0))</f>
        <v/>
      </c>
      <c r="AO818">
        <f>IF($AK818=1,IFERROR(IF(VALUE($D818)&lt;100000000,VALUE($D818),1000000000),IFERROR(IF(VALUE(MID($D818,2,20))&lt;100000000,VALUE(MID($D818,2,20)),1000000000),1000000000))+ROW()/100000,"")</f>
        <v/>
      </c>
    </row>
    <row r="819">
      <c r="F819" s="11" t="n"/>
      <c r="N819" s="7">
        <f>IF($D819="","",M819*X819/100)</f>
        <v/>
      </c>
      <c r="O819" s="7" t="n"/>
      <c r="U819" s="7" t="n"/>
      <c r="V819" s="7" t="n"/>
      <c r="W819" s="7">
        <f>IF($D819="","",V819*AB819/100)</f>
        <v/>
      </c>
      <c r="X819" s="7">
        <f>IF($D819="","",V819-W819)</f>
        <v/>
      </c>
      <c r="Y819" s="7">
        <f>IF($D819="","",X819-N819)</f>
        <v/>
      </c>
      <c r="AB819">
        <f>IF($D819="","",IF($AN819=1,Settings!$C$8,IF($AM819=1,Settings!$C$6,Settings!$C$7))*100)</f>
        <v/>
      </c>
      <c r="AF819" s="7" t="n"/>
      <c r="AI819" s="11" t="n"/>
      <c r="AK819">
        <f>IF($D819="","",IF(COUNTIF($D$2:$D819,$D819)=1,1,0))</f>
        <v/>
      </c>
      <c r="AL819">
        <f>IF($AK819=1,SUMPRODUCT(--($AO$2:$AO$1601&lt;$AO819))+1,"")</f>
        <v/>
      </c>
      <c r="AM819">
        <f>IF($D819="","",IF(OR($R819=TRUE(),$R819="TRUE"),1,0))</f>
        <v/>
      </c>
      <c r="AN819">
        <f>IF($D819="","",IF($AA819="Yes",1,0))</f>
        <v/>
      </c>
      <c r="AO819">
        <f>IF($AK819=1,IFERROR(IF(VALUE($D819)&lt;100000000,VALUE($D819),1000000000),IFERROR(IF(VALUE(MID($D819,2,20))&lt;100000000,VALUE(MID($D819,2,20)),1000000000),1000000000))+ROW()/100000,"")</f>
        <v/>
      </c>
    </row>
    <row r="820">
      <c r="F820" s="11" t="n"/>
      <c r="N820" s="7">
        <f>IF($D820="","",M820*X820/100)</f>
        <v/>
      </c>
      <c r="O820" s="7" t="n"/>
      <c r="U820" s="7" t="n"/>
      <c r="V820" s="7" t="n"/>
      <c r="W820" s="7">
        <f>IF($D820="","",V820*AB820/100)</f>
        <v/>
      </c>
      <c r="X820" s="7">
        <f>IF($D820="","",V820-W820)</f>
        <v/>
      </c>
      <c r="Y820" s="7">
        <f>IF($D820="","",X820-N820)</f>
        <v/>
      </c>
      <c r="AB820">
        <f>IF($D820="","",IF($AN820=1,Settings!$C$8,IF($AM820=1,Settings!$C$6,Settings!$C$7))*100)</f>
        <v/>
      </c>
      <c r="AF820" s="7" t="n"/>
      <c r="AI820" s="11" t="n"/>
      <c r="AK820">
        <f>IF($D820="","",IF(COUNTIF($D$2:$D820,$D820)=1,1,0))</f>
        <v/>
      </c>
      <c r="AL820">
        <f>IF($AK820=1,SUMPRODUCT(--($AO$2:$AO$1601&lt;$AO820))+1,"")</f>
        <v/>
      </c>
      <c r="AM820">
        <f>IF($D820="","",IF(OR($R820=TRUE(),$R820="TRUE"),1,0))</f>
        <v/>
      </c>
      <c r="AN820">
        <f>IF($D820="","",IF($AA820="Yes",1,0))</f>
        <v/>
      </c>
      <c r="AO820">
        <f>IF($AK820=1,IFERROR(IF(VALUE($D820)&lt;100000000,VALUE($D820),1000000000),IFERROR(IF(VALUE(MID($D820,2,20))&lt;100000000,VALUE(MID($D820,2,20)),1000000000),1000000000))+ROW()/100000,"")</f>
        <v/>
      </c>
    </row>
    <row r="821">
      <c r="F821" s="11" t="n"/>
      <c r="N821" s="7">
        <f>IF($D821="","",M821*X821/100)</f>
        <v/>
      </c>
      <c r="O821" s="7" t="n"/>
      <c r="U821" s="7" t="n"/>
      <c r="V821" s="7" t="n"/>
      <c r="W821" s="7">
        <f>IF($D821="","",V821*AB821/100)</f>
        <v/>
      </c>
      <c r="X821" s="7">
        <f>IF($D821="","",V821-W821)</f>
        <v/>
      </c>
      <c r="Y821" s="7">
        <f>IF($D821="","",X821-N821)</f>
        <v/>
      </c>
      <c r="AB821">
        <f>IF($D821="","",IF($AN821=1,Settings!$C$8,IF($AM821=1,Settings!$C$6,Settings!$C$7))*100)</f>
        <v/>
      </c>
      <c r="AF821" s="7" t="n"/>
      <c r="AI821" s="11" t="n"/>
      <c r="AK821">
        <f>IF($D821="","",IF(COUNTIF($D$2:$D821,$D821)=1,1,0))</f>
        <v/>
      </c>
      <c r="AL821">
        <f>IF($AK821=1,SUMPRODUCT(--($AO$2:$AO$1601&lt;$AO821))+1,"")</f>
        <v/>
      </c>
      <c r="AM821">
        <f>IF($D821="","",IF(OR($R821=TRUE(),$R821="TRUE"),1,0))</f>
        <v/>
      </c>
      <c r="AN821">
        <f>IF($D821="","",IF($AA821="Yes",1,0))</f>
        <v/>
      </c>
      <c r="AO821">
        <f>IF($AK821=1,IFERROR(IF(VALUE($D821)&lt;100000000,VALUE($D821),1000000000),IFERROR(IF(VALUE(MID($D821,2,20))&lt;100000000,VALUE(MID($D821,2,20)),1000000000),1000000000))+ROW()/100000,"")</f>
        <v/>
      </c>
    </row>
    <row r="822">
      <c r="F822" s="11" t="n"/>
      <c r="N822" s="7">
        <f>IF($D822="","",M822*X822/100)</f>
        <v/>
      </c>
      <c r="O822" s="7" t="n"/>
      <c r="U822" s="7" t="n"/>
      <c r="V822" s="7" t="n"/>
      <c r="W822" s="7">
        <f>IF($D822="","",V822*AB822/100)</f>
        <v/>
      </c>
      <c r="X822" s="7">
        <f>IF($D822="","",V822-W822)</f>
        <v/>
      </c>
      <c r="Y822" s="7">
        <f>IF($D822="","",X822-N822)</f>
        <v/>
      </c>
      <c r="AB822">
        <f>IF($D822="","",IF($AN822=1,Settings!$C$8,IF($AM822=1,Settings!$C$6,Settings!$C$7))*100)</f>
        <v/>
      </c>
      <c r="AF822" s="7" t="n"/>
      <c r="AI822" s="11" t="n"/>
      <c r="AK822">
        <f>IF($D822="","",IF(COUNTIF($D$2:$D822,$D822)=1,1,0))</f>
        <v/>
      </c>
      <c r="AL822">
        <f>IF($AK822=1,SUMPRODUCT(--($AO$2:$AO$1601&lt;$AO822))+1,"")</f>
        <v/>
      </c>
      <c r="AM822">
        <f>IF($D822="","",IF(OR($R822=TRUE(),$R822="TRUE"),1,0))</f>
        <v/>
      </c>
      <c r="AN822">
        <f>IF($D822="","",IF($AA822="Yes",1,0))</f>
        <v/>
      </c>
      <c r="AO822">
        <f>IF($AK822=1,IFERROR(IF(VALUE($D822)&lt;100000000,VALUE($D822),1000000000),IFERROR(IF(VALUE(MID($D822,2,20))&lt;100000000,VALUE(MID($D822,2,20)),1000000000),1000000000))+ROW()/100000,"")</f>
        <v/>
      </c>
    </row>
    <row r="823">
      <c r="F823" s="11" t="n"/>
      <c r="N823" s="7">
        <f>IF($D823="","",M823*X823/100)</f>
        <v/>
      </c>
      <c r="O823" s="7" t="n"/>
      <c r="U823" s="7" t="n"/>
      <c r="V823" s="7" t="n"/>
      <c r="W823" s="7">
        <f>IF($D823="","",V823*AB823/100)</f>
        <v/>
      </c>
      <c r="X823" s="7">
        <f>IF($D823="","",V823-W823)</f>
        <v/>
      </c>
      <c r="Y823" s="7">
        <f>IF($D823="","",X823-N823)</f>
        <v/>
      </c>
      <c r="AB823">
        <f>IF($D823="","",IF($AN823=1,Settings!$C$8,IF($AM823=1,Settings!$C$6,Settings!$C$7))*100)</f>
        <v/>
      </c>
      <c r="AF823" s="7" t="n"/>
      <c r="AI823" s="11" t="n"/>
      <c r="AK823">
        <f>IF($D823="","",IF(COUNTIF($D$2:$D823,$D823)=1,1,0))</f>
        <v/>
      </c>
      <c r="AL823">
        <f>IF($AK823=1,SUMPRODUCT(--($AO$2:$AO$1601&lt;$AO823))+1,"")</f>
        <v/>
      </c>
      <c r="AM823">
        <f>IF($D823="","",IF(OR($R823=TRUE(),$R823="TRUE"),1,0))</f>
        <v/>
      </c>
      <c r="AN823">
        <f>IF($D823="","",IF($AA823="Yes",1,0))</f>
        <v/>
      </c>
      <c r="AO823">
        <f>IF($AK823=1,IFERROR(IF(VALUE($D823)&lt;100000000,VALUE($D823),1000000000),IFERROR(IF(VALUE(MID($D823,2,20))&lt;100000000,VALUE(MID($D823,2,20)),1000000000),1000000000))+ROW()/100000,"")</f>
        <v/>
      </c>
    </row>
    <row r="824">
      <c r="F824" s="11" t="n"/>
      <c r="N824" s="7">
        <f>IF($D824="","",M824*X824/100)</f>
        <v/>
      </c>
      <c r="O824" s="7" t="n"/>
      <c r="U824" s="7" t="n"/>
      <c r="V824" s="7" t="n"/>
      <c r="W824" s="7">
        <f>IF($D824="","",V824*AB824/100)</f>
        <v/>
      </c>
      <c r="X824" s="7">
        <f>IF($D824="","",V824-W824)</f>
        <v/>
      </c>
      <c r="Y824" s="7">
        <f>IF($D824="","",X824-N824)</f>
        <v/>
      </c>
      <c r="AB824">
        <f>IF($D824="","",IF($AN824=1,Settings!$C$8,IF($AM824=1,Settings!$C$6,Settings!$C$7))*100)</f>
        <v/>
      </c>
      <c r="AF824" s="7" t="n"/>
      <c r="AI824" s="11" t="n"/>
      <c r="AK824">
        <f>IF($D824="","",IF(COUNTIF($D$2:$D824,$D824)=1,1,0))</f>
        <v/>
      </c>
      <c r="AL824">
        <f>IF($AK824=1,SUMPRODUCT(--($AO$2:$AO$1601&lt;$AO824))+1,"")</f>
        <v/>
      </c>
      <c r="AM824">
        <f>IF($D824="","",IF(OR($R824=TRUE(),$R824="TRUE"),1,0))</f>
        <v/>
      </c>
      <c r="AN824">
        <f>IF($D824="","",IF($AA824="Yes",1,0))</f>
        <v/>
      </c>
      <c r="AO824">
        <f>IF($AK824=1,IFERROR(IF(VALUE($D824)&lt;100000000,VALUE($D824),1000000000),IFERROR(IF(VALUE(MID($D824,2,20))&lt;100000000,VALUE(MID($D824,2,20)),1000000000),1000000000))+ROW()/100000,"")</f>
        <v/>
      </c>
    </row>
    <row r="825">
      <c r="F825" s="11" t="n"/>
      <c r="N825" s="7">
        <f>IF($D825="","",M825*X825/100)</f>
        <v/>
      </c>
      <c r="O825" s="7" t="n"/>
      <c r="U825" s="7" t="n"/>
      <c r="V825" s="7" t="n"/>
      <c r="W825" s="7">
        <f>IF($D825="","",V825*AB825/100)</f>
        <v/>
      </c>
      <c r="X825" s="7">
        <f>IF($D825="","",V825-W825)</f>
        <v/>
      </c>
      <c r="Y825" s="7">
        <f>IF($D825="","",X825-N825)</f>
        <v/>
      </c>
      <c r="AB825">
        <f>IF($D825="","",IF($AN825=1,Settings!$C$8,IF($AM825=1,Settings!$C$6,Settings!$C$7))*100)</f>
        <v/>
      </c>
      <c r="AF825" s="7" t="n"/>
      <c r="AI825" s="11" t="n"/>
      <c r="AK825">
        <f>IF($D825="","",IF(COUNTIF($D$2:$D825,$D825)=1,1,0))</f>
        <v/>
      </c>
      <c r="AL825">
        <f>IF($AK825=1,SUMPRODUCT(--($AO$2:$AO$1601&lt;$AO825))+1,"")</f>
        <v/>
      </c>
      <c r="AM825">
        <f>IF($D825="","",IF(OR($R825=TRUE(),$R825="TRUE"),1,0))</f>
        <v/>
      </c>
      <c r="AN825">
        <f>IF($D825="","",IF($AA825="Yes",1,0))</f>
        <v/>
      </c>
      <c r="AO825">
        <f>IF($AK825=1,IFERROR(IF(VALUE($D825)&lt;100000000,VALUE($D825),1000000000),IFERROR(IF(VALUE(MID($D825,2,20))&lt;100000000,VALUE(MID($D825,2,20)),1000000000),1000000000))+ROW()/100000,"")</f>
        <v/>
      </c>
    </row>
    <row r="826">
      <c r="F826" s="11" t="n"/>
      <c r="N826" s="7">
        <f>IF($D826="","",M826*X826/100)</f>
        <v/>
      </c>
      <c r="O826" s="7" t="n"/>
      <c r="U826" s="7" t="n"/>
      <c r="V826" s="7" t="n"/>
      <c r="W826" s="7">
        <f>IF($D826="","",V826*AB826/100)</f>
        <v/>
      </c>
      <c r="X826" s="7">
        <f>IF($D826="","",V826-W826)</f>
        <v/>
      </c>
      <c r="Y826" s="7">
        <f>IF($D826="","",X826-N826)</f>
        <v/>
      </c>
      <c r="AB826">
        <f>IF($D826="","",IF($AN826=1,Settings!$C$8,IF($AM826=1,Settings!$C$6,Settings!$C$7))*100)</f>
        <v/>
      </c>
      <c r="AF826" s="7" t="n"/>
      <c r="AI826" s="11" t="n"/>
      <c r="AK826">
        <f>IF($D826="","",IF(COUNTIF($D$2:$D826,$D826)=1,1,0))</f>
        <v/>
      </c>
      <c r="AL826">
        <f>IF($AK826=1,SUMPRODUCT(--($AO$2:$AO$1601&lt;$AO826))+1,"")</f>
        <v/>
      </c>
      <c r="AM826">
        <f>IF($D826="","",IF(OR($R826=TRUE(),$R826="TRUE"),1,0))</f>
        <v/>
      </c>
      <c r="AN826">
        <f>IF($D826="","",IF($AA826="Yes",1,0))</f>
        <v/>
      </c>
      <c r="AO826">
        <f>IF($AK826=1,IFERROR(IF(VALUE($D826)&lt;100000000,VALUE($D826),1000000000),IFERROR(IF(VALUE(MID($D826,2,20))&lt;100000000,VALUE(MID($D826,2,20)),1000000000),1000000000))+ROW()/100000,"")</f>
        <v/>
      </c>
    </row>
    <row r="827">
      <c r="F827" s="11" t="n"/>
      <c r="N827" s="7">
        <f>IF($D827="","",M827*X827/100)</f>
        <v/>
      </c>
      <c r="O827" s="7" t="n"/>
      <c r="U827" s="7" t="n"/>
      <c r="V827" s="7" t="n"/>
      <c r="W827" s="7">
        <f>IF($D827="","",V827*AB827/100)</f>
        <v/>
      </c>
      <c r="X827" s="7">
        <f>IF($D827="","",V827-W827)</f>
        <v/>
      </c>
      <c r="Y827" s="7">
        <f>IF($D827="","",X827-N827)</f>
        <v/>
      </c>
      <c r="AB827">
        <f>IF($D827="","",IF($AN827=1,Settings!$C$8,IF($AM827=1,Settings!$C$6,Settings!$C$7))*100)</f>
        <v/>
      </c>
      <c r="AF827" s="7" t="n"/>
      <c r="AI827" s="11" t="n"/>
      <c r="AK827">
        <f>IF($D827="","",IF(COUNTIF($D$2:$D827,$D827)=1,1,0))</f>
        <v/>
      </c>
      <c r="AL827">
        <f>IF($AK827=1,SUMPRODUCT(--($AO$2:$AO$1601&lt;$AO827))+1,"")</f>
        <v/>
      </c>
      <c r="AM827">
        <f>IF($D827="","",IF(OR($R827=TRUE(),$R827="TRUE"),1,0))</f>
        <v/>
      </c>
      <c r="AN827">
        <f>IF($D827="","",IF($AA827="Yes",1,0))</f>
        <v/>
      </c>
      <c r="AO827">
        <f>IF($AK827=1,IFERROR(IF(VALUE($D827)&lt;100000000,VALUE($D827),1000000000),IFERROR(IF(VALUE(MID($D827,2,20))&lt;100000000,VALUE(MID($D827,2,20)),1000000000),1000000000))+ROW()/100000,"")</f>
        <v/>
      </c>
    </row>
    <row r="828">
      <c r="F828" s="11" t="n"/>
      <c r="N828" s="7">
        <f>IF($D828="","",M828*X828/100)</f>
        <v/>
      </c>
      <c r="O828" s="7" t="n"/>
      <c r="U828" s="7" t="n"/>
      <c r="V828" s="7" t="n"/>
      <c r="W828" s="7">
        <f>IF($D828="","",V828*AB828/100)</f>
        <v/>
      </c>
      <c r="X828" s="7">
        <f>IF($D828="","",V828-W828)</f>
        <v/>
      </c>
      <c r="Y828" s="7">
        <f>IF($D828="","",X828-N828)</f>
        <v/>
      </c>
      <c r="AB828">
        <f>IF($D828="","",IF($AN828=1,Settings!$C$8,IF($AM828=1,Settings!$C$6,Settings!$C$7))*100)</f>
        <v/>
      </c>
      <c r="AF828" s="7" t="n"/>
      <c r="AI828" s="11" t="n"/>
      <c r="AK828">
        <f>IF($D828="","",IF(COUNTIF($D$2:$D828,$D828)=1,1,0))</f>
        <v/>
      </c>
      <c r="AL828">
        <f>IF($AK828=1,SUMPRODUCT(--($AO$2:$AO$1601&lt;$AO828))+1,"")</f>
        <v/>
      </c>
      <c r="AM828">
        <f>IF($D828="","",IF(OR($R828=TRUE(),$R828="TRUE"),1,0))</f>
        <v/>
      </c>
      <c r="AN828">
        <f>IF($D828="","",IF($AA828="Yes",1,0))</f>
        <v/>
      </c>
      <c r="AO828">
        <f>IF($AK828=1,IFERROR(IF(VALUE($D828)&lt;100000000,VALUE($D828),1000000000),IFERROR(IF(VALUE(MID($D828,2,20))&lt;100000000,VALUE(MID($D828,2,20)),1000000000),1000000000))+ROW()/100000,"")</f>
        <v/>
      </c>
    </row>
    <row r="829">
      <c r="F829" s="11" t="n"/>
      <c r="N829" s="7">
        <f>IF($D829="","",M829*X829/100)</f>
        <v/>
      </c>
      <c r="O829" s="7" t="n"/>
      <c r="U829" s="7" t="n"/>
      <c r="V829" s="7" t="n"/>
      <c r="W829" s="7">
        <f>IF($D829="","",V829*AB829/100)</f>
        <v/>
      </c>
      <c r="X829" s="7">
        <f>IF($D829="","",V829-W829)</f>
        <v/>
      </c>
      <c r="Y829" s="7">
        <f>IF($D829="","",X829-N829)</f>
        <v/>
      </c>
      <c r="AB829">
        <f>IF($D829="","",IF($AN829=1,Settings!$C$8,IF($AM829=1,Settings!$C$6,Settings!$C$7))*100)</f>
        <v/>
      </c>
      <c r="AF829" s="7" t="n"/>
      <c r="AI829" s="11" t="n"/>
      <c r="AK829">
        <f>IF($D829="","",IF(COUNTIF($D$2:$D829,$D829)=1,1,0))</f>
        <v/>
      </c>
      <c r="AL829">
        <f>IF($AK829=1,SUMPRODUCT(--($AO$2:$AO$1601&lt;$AO829))+1,"")</f>
        <v/>
      </c>
      <c r="AM829">
        <f>IF($D829="","",IF(OR($R829=TRUE(),$R829="TRUE"),1,0))</f>
        <v/>
      </c>
      <c r="AN829">
        <f>IF($D829="","",IF($AA829="Yes",1,0))</f>
        <v/>
      </c>
      <c r="AO829">
        <f>IF($AK829=1,IFERROR(IF(VALUE($D829)&lt;100000000,VALUE($D829),1000000000),IFERROR(IF(VALUE(MID($D829,2,20))&lt;100000000,VALUE(MID($D829,2,20)),1000000000),1000000000))+ROW()/100000,"")</f>
        <v/>
      </c>
    </row>
    <row r="830">
      <c r="F830" s="11" t="n"/>
      <c r="N830" s="7">
        <f>IF($D830="","",M830*X830/100)</f>
        <v/>
      </c>
      <c r="O830" s="7" t="n"/>
      <c r="U830" s="7" t="n"/>
      <c r="V830" s="7" t="n"/>
      <c r="W830" s="7">
        <f>IF($D830="","",V830*AB830/100)</f>
        <v/>
      </c>
      <c r="X830" s="7">
        <f>IF($D830="","",V830-W830)</f>
        <v/>
      </c>
      <c r="Y830" s="7">
        <f>IF($D830="","",X830-N830)</f>
        <v/>
      </c>
      <c r="AB830">
        <f>IF($D830="","",IF($AN830=1,Settings!$C$8,IF($AM830=1,Settings!$C$6,Settings!$C$7))*100)</f>
        <v/>
      </c>
      <c r="AF830" s="7" t="n"/>
      <c r="AI830" s="11" t="n"/>
      <c r="AK830">
        <f>IF($D830="","",IF(COUNTIF($D$2:$D830,$D830)=1,1,0))</f>
        <v/>
      </c>
      <c r="AL830">
        <f>IF($AK830=1,SUMPRODUCT(--($AO$2:$AO$1601&lt;$AO830))+1,"")</f>
        <v/>
      </c>
      <c r="AM830">
        <f>IF($D830="","",IF(OR($R830=TRUE(),$R830="TRUE"),1,0))</f>
        <v/>
      </c>
      <c r="AN830">
        <f>IF($D830="","",IF($AA830="Yes",1,0))</f>
        <v/>
      </c>
      <c r="AO830">
        <f>IF($AK830=1,IFERROR(IF(VALUE($D830)&lt;100000000,VALUE($D830),1000000000),IFERROR(IF(VALUE(MID($D830,2,20))&lt;100000000,VALUE(MID($D830,2,20)),1000000000),1000000000))+ROW()/100000,"")</f>
        <v/>
      </c>
    </row>
    <row r="831">
      <c r="F831" s="11" t="n"/>
      <c r="N831" s="7">
        <f>IF($D831="","",M831*X831/100)</f>
        <v/>
      </c>
      <c r="O831" s="7" t="n"/>
      <c r="U831" s="7" t="n"/>
      <c r="V831" s="7" t="n"/>
      <c r="W831" s="7">
        <f>IF($D831="","",V831*AB831/100)</f>
        <v/>
      </c>
      <c r="X831" s="7">
        <f>IF($D831="","",V831-W831)</f>
        <v/>
      </c>
      <c r="Y831" s="7">
        <f>IF($D831="","",X831-N831)</f>
        <v/>
      </c>
      <c r="AB831">
        <f>IF($D831="","",IF($AN831=1,Settings!$C$8,IF($AM831=1,Settings!$C$6,Settings!$C$7))*100)</f>
        <v/>
      </c>
      <c r="AF831" s="7" t="n"/>
      <c r="AI831" s="11" t="n"/>
      <c r="AK831">
        <f>IF($D831="","",IF(COUNTIF($D$2:$D831,$D831)=1,1,0))</f>
        <v/>
      </c>
      <c r="AL831">
        <f>IF($AK831=1,SUMPRODUCT(--($AO$2:$AO$1601&lt;$AO831))+1,"")</f>
        <v/>
      </c>
      <c r="AM831">
        <f>IF($D831="","",IF(OR($R831=TRUE(),$R831="TRUE"),1,0))</f>
        <v/>
      </c>
      <c r="AN831">
        <f>IF($D831="","",IF($AA831="Yes",1,0))</f>
        <v/>
      </c>
      <c r="AO831">
        <f>IF($AK831=1,IFERROR(IF(VALUE($D831)&lt;100000000,VALUE($D831),1000000000),IFERROR(IF(VALUE(MID($D831,2,20))&lt;100000000,VALUE(MID($D831,2,20)),1000000000),1000000000))+ROW()/100000,"")</f>
        <v/>
      </c>
    </row>
    <row r="832">
      <c r="F832" s="11" t="n"/>
      <c r="N832" s="7">
        <f>IF($D832="","",M832*X832/100)</f>
        <v/>
      </c>
      <c r="O832" s="7" t="n"/>
      <c r="U832" s="7" t="n"/>
      <c r="V832" s="7" t="n"/>
      <c r="W832" s="7">
        <f>IF($D832="","",V832*AB832/100)</f>
        <v/>
      </c>
      <c r="X832" s="7">
        <f>IF($D832="","",V832-W832)</f>
        <v/>
      </c>
      <c r="Y832" s="7">
        <f>IF($D832="","",X832-N832)</f>
        <v/>
      </c>
      <c r="AB832">
        <f>IF($D832="","",IF($AN832=1,Settings!$C$8,IF($AM832=1,Settings!$C$6,Settings!$C$7))*100)</f>
        <v/>
      </c>
      <c r="AF832" s="7" t="n"/>
      <c r="AI832" s="11" t="n"/>
      <c r="AK832">
        <f>IF($D832="","",IF(COUNTIF($D$2:$D832,$D832)=1,1,0))</f>
        <v/>
      </c>
      <c r="AL832">
        <f>IF($AK832=1,SUMPRODUCT(--($AO$2:$AO$1601&lt;$AO832))+1,"")</f>
        <v/>
      </c>
      <c r="AM832">
        <f>IF($D832="","",IF(OR($R832=TRUE(),$R832="TRUE"),1,0))</f>
        <v/>
      </c>
      <c r="AN832">
        <f>IF($D832="","",IF($AA832="Yes",1,0))</f>
        <v/>
      </c>
      <c r="AO832">
        <f>IF($AK832=1,IFERROR(IF(VALUE($D832)&lt;100000000,VALUE($D832),1000000000),IFERROR(IF(VALUE(MID($D832,2,20))&lt;100000000,VALUE(MID($D832,2,20)),1000000000),1000000000))+ROW()/100000,"")</f>
        <v/>
      </c>
    </row>
    <row r="833">
      <c r="F833" s="11" t="n"/>
      <c r="N833" s="7">
        <f>IF($D833="","",M833*X833/100)</f>
        <v/>
      </c>
      <c r="O833" s="7" t="n"/>
      <c r="U833" s="7" t="n"/>
      <c r="V833" s="7" t="n"/>
      <c r="W833" s="7">
        <f>IF($D833="","",V833*AB833/100)</f>
        <v/>
      </c>
      <c r="X833" s="7">
        <f>IF($D833="","",V833-W833)</f>
        <v/>
      </c>
      <c r="Y833" s="7">
        <f>IF($D833="","",X833-N833)</f>
        <v/>
      </c>
      <c r="AB833">
        <f>IF($D833="","",IF($AN833=1,Settings!$C$8,IF($AM833=1,Settings!$C$6,Settings!$C$7))*100)</f>
        <v/>
      </c>
      <c r="AF833" s="7" t="n"/>
      <c r="AI833" s="11" t="n"/>
      <c r="AK833">
        <f>IF($D833="","",IF(COUNTIF($D$2:$D833,$D833)=1,1,0))</f>
        <v/>
      </c>
      <c r="AL833">
        <f>IF($AK833=1,SUMPRODUCT(--($AO$2:$AO$1601&lt;$AO833))+1,"")</f>
        <v/>
      </c>
      <c r="AM833">
        <f>IF($D833="","",IF(OR($R833=TRUE(),$R833="TRUE"),1,0))</f>
        <v/>
      </c>
      <c r="AN833">
        <f>IF($D833="","",IF($AA833="Yes",1,0))</f>
        <v/>
      </c>
      <c r="AO833">
        <f>IF($AK833=1,IFERROR(IF(VALUE($D833)&lt;100000000,VALUE($D833),1000000000),IFERROR(IF(VALUE(MID($D833,2,20))&lt;100000000,VALUE(MID($D833,2,20)),1000000000),1000000000))+ROW()/100000,"")</f>
        <v/>
      </c>
    </row>
    <row r="834">
      <c r="F834" s="11" t="n"/>
      <c r="N834" s="7">
        <f>IF($D834="","",M834*X834/100)</f>
        <v/>
      </c>
      <c r="O834" s="7" t="n"/>
      <c r="U834" s="7" t="n"/>
      <c r="V834" s="7" t="n"/>
      <c r="W834" s="7">
        <f>IF($D834="","",V834*AB834/100)</f>
        <v/>
      </c>
      <c r="X834" s="7">
        <f>IF($D834="","",V834-W834)</f>
        <v/>
      </c>
      <c r="Y834" s="7">
        <f>IF($D834="","",X834-N834)</f>
        <v/>
      </c>
      <c r="AB834">
        <f>IF($D834="","",IF($AN834=1,Settings!$C$8,IF($AM834=1,Settings!$C$6,Settings!$C$7))*100)</f>
        <v/>
      </c>
      <c r="AF834" s="7" t="n"/>
      <c r="AI834" s="11" t="n"/>
      <c r="AK834">
        <f>IF($D834="","",IF(COUNTIF($D$2:$D834,$D834)=1,1,0))</f>
        <v/>
      </c>
      <c r="AL834">
        <f>IF($AK834=1,SUMPRODUCT(--($AO$2:$AO$1601&lt;$AO834))+1,"")</f>
        <v/>
      </c>
      <c r="AM834">
        <f>IF($D834="","",IF(OR($R834=TRUE(),$R834="TRUE"),1,0))</f>
        <v/>
      </c>
      <c r="AN834">
        <f>IF($D834="","",IF($AA834="Yes",1,0))</f>
        <v/>
      </c>
      <c r="AO834">
        <f>IF($AK834=1,IFERROR(IF(VALUE($D834)&lt;100000000,VALUE($D834),1000000000),IFERROR(IF(VALUE(MID($D834,2,20))&lt;100000000,VALUE(MID($D834,2,20)),1000000000),1000000000))+ROW()/100000,"")</f>
        <v/>
      </c>
    </row>
    <row r="835">
      <c r="F835" s="11" t="n"/>
      <c r="N835" s="7">
        <f>IF($D835="","",M835*X835/100)</f>
        <v/>
      </c>
      <c r="O835" s="7" t="n"/>
      <c r="U835" s="7" t="n"/>
      <c r="V835" s="7" t="n"/>
      <c r="W835" s="7">
        <f>IF($D835="","",V835*AB835/100)</f>
        <v/>
      </c>
      <c r="X835" s="7">
        <f>IF($D835="","",V835-W835)</f>
        <v/>
      </c>
      <c r="Y835" s="7">
        <f>IF($D835="","",X835-N835)</f>
        <v/>
      </c>
      <c r="AB835">
        <f>IF($D835="","",IF($AN835=1,Settings!$C$8,IF($AM835=1,Settings!$C$6,Settings!$C$7))*100)</f>
        <v/>
      </c>
      <c r="AF835" s="7" t="n"/>
      <c r="AI835" s="11" t="n"/>
      <c r="AK835">
        <f>IF($D835="","",IF(COUNTIF($D$2:$D835,$D835)=1,1,0))</f>
        <v/>
      </c>
      <c r="AL835">
        <f>IF($AK835=1,SUMPRODUCT(--($AO$2:$AO$1601&lt;$AO835))+1,"")</f>
        <v/>
      </c>
      <c r="AM835">
        <f>IF($D835="","",IF(OR($R835=TRUE(),$R835="TRUE"),1,0))</f>
        <v/>
      </c>
      <c r="AN835">
        <f>IF($D835="","",IF($AA835="Yes",1,0))</f>
        <v/>
      </c>
      <c r="AO835">
        <f>IF($AK835=1,IFERROR(IF(VALUE($D835)&lt;100000000,VALUE($D835),1000000000),IFERROR(IF(VALUE(MID($D835,2,20))&lt;100000000,VALUE(MID($D835,2,20)),1000000000),1000000000))+ROW()/100000,"")</f>
        <v/>
      </c>
    </row>
    <row r="836">
      <c r="F836" s="11" t="n"/>
      <c r="N836" s="7">
        <f>IF($D836="","",M836*X836/100)</f>
        <v/>
      </c>
      <c r="O836" s="7" t="n"/>
      <c r="U836" s="7" t="n"/>
      <c r="V836" s="7" t="n"/>
      <c r="W836" s="7">
        <f>IF($D836="","",V836*AB836/100)</f>
        <v/>
      </c>
      <c r="X836" s="7">
        <f>IF($D836="","",V836-W836)</f>
        <v/>
      </c>
      <c r="Y836" s="7">
        <f>IF($D836="","",X836-N836)</f>
        <v/>
      </c>
      <c r="AB836">
        <f>IF($D836="","",IF($AN836=1,Settings!$C$8,IF($AM836=1,Settings!$C$6,Settings!$C$7))*100)</f>
        <v/>
      </c>
      <c r="AF836" s="7" t="n"/>
      <c r="AI836" s="11" t="n"/>
      <c r="AK836">
        <f>IF($D836="","",IF(COUNTIF($D$2:$D836,$D836)=1,1,0))</f>
        <v/>
      </c>
      <c r="AL836">
        <f>IF($AK836=1,SUMPRODUCT(--($AO$2:$AO$1601&lt;$AO836))+1,"")</f>
        <v/>
      </c>
      <c r="AM836">
        <f>IF($D836="","",IF(OR($R836=TRUE(),$R836="TRUE"),1,0))</f>
        <v/>
      </c>
      <c r="AN836">
        <f>IF($D836="","",IF($AA836="Yes",1,0))</f>
        <v/>
      </c>
      <c r="AO836">
        <f>IF($AK836=1,IFERROR(IF(VALUE($D836)&lt;100000000,VALUE($D836),1000000000),IFERROR(IF(VALUE(MID($D836,2,20))&lt;100000000,VALUE(MID($D836,2,20)),1000000000),1000000000))+ROW()/100000,"")</f>
        <v/>
      </c>
    </row>
    <row r="837">
      <c r="F837" s="11" t="n"/>
      <c r="N837" s="7">
        <f>IF($D837="","",M837*X837/100)</f>
        <v/>
      </c>
      <c r="O837" s="7" t="n"/>
      <c r="U837" s="7" t="n"/>
      <c r="V837" s="7" t="n"/>
      <c r="W837" s="7">
        <f>IF($D837="","",V837*AB837/100)</f>
        <v/>
      </c>
      <c r="X837" s="7">
        <f>IF($D837="","",V837-W837)</f>
        <v/>
      </c>
      <c r="Y837" s="7">
        <f>IF($D837="","",X837-N837)</f>
        <v/>
      </c>
      <c r="AB837">
        <f>IF($D837="","",IF($AN837=1,Settings!$C$8,IF($AM837=1,Settings!$C$6,Settings!$C$7))*100)</f>
        <v/>
      </c>
      <c r="AF837" s="7" t="n"/>
      <c r="AI837" s="11" t="n"/>
      <c r="AK837">
        <f>IF($D837="","",IF(COUNTIF($D$2:$D837,$D837)=1,1,0))</f>
        <v/>
      </c>
      <c r="AL837">
        <f>IF($AK837=1,SUMPRODUCT(--($AO$2:$AO$1601&lt;$AO837))+1,"")</f>
        <v/>
      </c>
      <c r="AM837">
        <f>IF($D837="","",IF(OR($R837=TRUE(),$R837="TRUE"),1,0))</f>
        <v/>
      </c>
      <c r="AN837">
        <f>IF($D837="","",IF($AA837="Yes",1,0))</f>
        <v/>
      </c>
      <c r="AO837">
        <f>IF($AK837=1,IFERROR(IF(VALUE($D837)&lt;100000000,VALUE($D837),1000000000),IFERROR(IF(VALUE(MID($D837,2,20))&lt;100000000,VALUE(MID($D837,2,20)),1000000000),1000000000))+ROW()/100000,"")</f>
        <v/>
      </c>
    </row>
    <row r="838">
      <c r="F838" s="11" t="n"/>
      <c r="N838" s="7">
        <f>IF($D838="","",M838*X838/100)</f>
        <v/>
      </c>
      <c r="O838" s="7" t="n"/>
      <c r="U838" s="7" t="n"/>
      <c r="V838" s="7" t="n"/>
      <c r="W838" s="7">
        <f>IF($D838="","",V838*AB838/100)</f>
        <v/>
      </c>
      <c r="X838" s="7">
        <f>IF($D838="","",V838-W838)</f>
        <v/>
      </c>
      <c r="Y838" s="7">
        <f>IF($D838="","",X838-N838)</f>
        <v/>
      </c>
      <c r="AB838">
        <f>IF($D838="","",IF($AN838=1,Settings!$C$8,IF($AM838=1,Settings!$C$6,Settings!$C$7))*100)</f>
        <v/>
      </c>
      <c r="AF838" s="7" t="n"/>
      <c r="AI838" s="11" t="n"/>
      <c r="AK838">
        <f>IF($D838="","",IF(COUNTIF($D$2:$D838,$D838)=1,1,0))</f>
        <v/>
      </c>
      <c r="AL838">
        <f>IF($AK838=1,SUMPRODUCT(--($AO$2:$AO$1601&lt;$AO838))+1,"")</f>
        <v/>
      </c>
      <c r="AM838">
        <f>IF($D838="","",IF(OR($R838=TRUE(),$R838="TRUE"),1,0))</f>
        <v/>
      </c>
      <c r="AN838">
        <f>IF($D838="","",IF($AA838="Yes",1,0))</f>
        <v/>
      </c>
      <c r="AO838">
        <f>IF($AK838=1,IFERROR(IF(VALUE($D838)&lt;100000000,VALUE($D838),1000000000),IFERROR(IF(VALUE(MID($D838,2,20))&lt;100000000,VALUE(MID($D838,2,20)),1000000000),1000000000))+ROW()/100000,"")</f>
        <v/>
      </c>
    </row>
    <row r="839">
      <c r="F839" s="11" t="n"/>
      <c r="N839" s="7">
        <f>IF($D839="","",M839*X839/100)</f>
        <v/>
      </c>
      <c r="O839" s="7" t="n"/>
      <c r="U839" s="7" t="n"/>
      <c r="V839" s="7" t="n"/>
      <c r="W839" s="7">
        <f>IF($D839="","",V839*AB839/100)</f>
        <v/>
      </c>
      <c r="X839" s="7">
        <f>IF($D839="","",V839-W839)</f>
        <v/>
      </c>
      <c r="Y839" s="7">
        <f>IF($D839="","",X839-N839)</f>
        <v/>
      </c>
      <c r="AB839">
        <f>IF($D839="","",IF($AN839=1,Settings!$C$8,IF($AM839=1,Settings!$C$6,Settings!$C$7))*100)</f>
        <v/>
      </c>
      <c r="AF839" s="7" t="n"/>
      <c r="AI839" s="11" t="n"/>
      <c r="AK839">
        <f>IF($D839="","",IF(COUNTIF($D$2:$D839,$D839)=1,1,0))</f>
        <v/>
      </c>
      <c r="AL839">
        <f>IF($AK839=1,SUMPRODUCT(--($AO$2:$AO$1601&lt;$AO839))+1,"")</f>
        <v/>
      </c>
      <c r="AM839">
        <f>IF($D839="","",IF(OR($R839=TRUE(),$R839="TRUE"),1,0))</f>
        <v/>
      </c>
      <c r="AN839">
        <f>IF($D839="","",IF($AA839="Yes",1,0))</f>
        <v/>
      </c>
      <c r="AO839">
        <f>IF($AK839=1,IFERROR(IF(VALUE($D839)&lt;100000000,VALUE($D839),1000000000),IFERROR(IF(VALUE(MID($D839,2,20))&lt;100000000,VALUE(MID($D839,2,20)),1000000000),1000000000))+ROW()/100000,"")</f>
        <v/>
      </c>
    </row>
    <row r="840">
      <c r="F840" s="11" t="n"/>
      <c r="N840" s="7">
        <f>IF($D840="","",M840*X840/100)</f>
        <v/>
      </c>
      <c r="O840" s="7" t="n"/>
      <c r="U840" s="7" t="n"/>
      <c r="V840" s="7" t="n"/>
      <c r="W840" s="7">
        <f>IF($D840="","",V840*AB840/100)</f>
        <v/>
      </c>
      <c r="X840" s="7">
        <f>IF($D840="","",V840-W840)</f>
        <v/>
      </c>
      <c r="Y840" s="7">
        <f>IF($D840="","",X840-N840)</f>
        <v/>
      </c>
      <c r="AB840">
        <f>IF($D840="","",IF($AN840=1,Settings!$C$8,IF($AM840=1,Settings!$C$6,Settings!$C$7))*100)</f>
        <v/>
      </c>
      <c r="AF840" s="7" t="n"/>
      <c r="AI840" s="11" t="n"/>
      <c r="AK840">
        <f>IF($D840="","",IF(COUNTIF($D$2:$D840,$D840)=1,1,0))</f>
        <v/>
      </c>
      <c r="AL840">
        <f>IF($AK840=1,SUMPRODUCT(--($AO$2:$AO$1601&lt;$AO840))+1,"")</f>
        <v/>
      </c>
      <c r="AM840">
        <f>IF($D840="","",IF(OR($R840=TRUE(),$R840="TRUE"),1,0))</f>
        <v/>
      </c>
      <c r="AN840">
        <f>IF($D840="","",IF($AA840="Yes",1,0))</f>
        <v/>
      </c>
      <c r="AO840">
        <f>IF($AK840=1,IFERROR(IF(VALUE($D840)&lt;100000000,VALUE($D840),1000000000),IFERROR(IF(VALUE(MID($D840,2,20))&lt;100000000,VALUE(MID($D840,2,20)),1000000000),1000000000))+ROW()/100000,"")</f>
        <v/>
      </c>
    </row>
    <row r="841">
      <c r="F841" s="11" t="n"/>
      <c r="N841" s="7">
        <f>IF($D841="","",M841*X841/100)</f>
        <v/>
      </c>
      <c r="O841" s="7" t="n"/>
      <c r="U841" s="7" t="n"/>
      <c r="V841" s="7" t="n"/>
      <c r="W841" s="7">
        <f>IF($D841="","",V841*AB841/100)</f>
        <v/>
      </c>
      <c r="X841" s="7">
        <f>IF($D841="","",V841-W841)</f>
        <v/>
      </c>
      <c r="Y841" s="7">
        <f>IF($D841="","",X841-N841)</f>
        <v/>
      </c>
      <c r="AB841">
        <f>IF($D841="","",IF($AN841=1,Settings!$C$8,IF($AM841=1,Settings!$C$6,Settings!$C$7))*100)</f>
        <v/>
      </c>
      <c r="AF841" s="7" t="n"/>
      <c r="AI841" s="11" t="n"/>
      <c r="AK841">
        <f>IF($D841="","",IF(COUNTIF($D$2:$D841,$D841)=1,1,0))</f>
        <v/>
      </c>
      <c r="AL841">
        <f>IF($AK841=1,SUMPRODUCT(--($AO$2:$AO$1601&lt;$AO841))+1,"")</f>
        <v/>
      </c>
      <c r="AM841">
        <f>IF($D841="","",IF(OR($R841=TRUE(),$R841="TRUE"),1,0))</f>
        <v/>
      </c>
      <c r="AN841">
        <f>IF($D841="","",IF($AA841="Yes",1,0))</f>
        <v/>
      </c>
      <c r="AO841">
        <f>IF($AK841=1,IFERROR(IF(VALUE($D841)&lt;100000000,VALUE($D841),1000000000),IFERROR(IF(VALUE(MID($D841,2,20))&lt;100000000,VALUE(MID($D841,2,20)),1000000000),1000000000))+ROW()/100000,"")</f>
        <v/>
      </c>
    </row>
    <row r="842">
      <c r="F842" s="11" t="n"/>
      <c r="N842" s="7">
        <f>IF($D842="","",M842*X842/100)</f>
        <v/>
      </c>
      <c r="O842" s="7" t="n"/>
      <c r="U842" s="7" t="n"/>
      <c r="V842" s="7" t="n"/>
      <c r="W842" s="7">
        <f>IF($D842="","",V842*AB842/100)</f>
        <v/>
      </c>
      <c r="X842" s="7">
        <f>IF($D842="","",V842-W842)</f>
        <v/>
      </c>
      <c r="Y842" s="7">
        <f>IF($D842="","",X842-N842)</f>
        <v/>
      </c>
      <c r="AB842">
        <f>IF($D842="","",IF($AN842=1,Settings!$C$8,IF($AM842=1,Settings!$C$6,Settings!$C$7))*100)</f>
        <v/>
      </c>
      <c r="AF842" s="7" t="n"/>
      <c r="AI842" s="11" t="n"/>
      <c r="AK842">
        <f>IF($D842="","",IF(COUNTIF($D$2:$D842,$D842)=1,1,0))</f>
        <v/>
      </c>
      <c r="AL842">
        <f>IF($AK842=1,SUMPRODUCT(--($AO$2:$AO$1601&lt;$AO842))+1,"")</f>
        <v/>
      </c>
      <c r="AM842">
        <f>IF($D842="","",IF(OR($R842=TRUE(),$R842="TRUE"),1,0))</f>
        <v/>
      </c>
      <c r="AN842">
        <f>IF($D842="","",IF($AA842="Yes",1,0))</f>
        <v/>
      </c>
      <c r="AO842">
        <f>IF($AK842=1,IFERROR(IF(VALUE($D842)&lt;100000000,VALUE($D842),1000000000),IFERROR(IF(VALUE(MID($D842,2,20))&lt;100000000,VALUE(MID($D842,2,20)),1000000000),1000000000))+ROW()/100000,"")</f>
        <v/>
      </c>
    </row>
    <row r="843">
      <c r="F843" s="11" t="n"/>
      <c r="N843" s="7">
        <f>IF($D843="","",M843*X843/100)</f>
        <v/>
      </c>
      <c r="O843" s="7" t="n"/>
      <c r="U843" s="7" t="n"/>
      <c r="V843" s="7" t="n"/>
      <c r="W843" s="7">
        <f>IF($D843="","",V843*AB843/100)</f>
        <v/>
      </c>
      <c r="X843" s="7">
        <f>IF($D843="","",V843-W843)</f>
        <v/>
      </c>
      <c r="Y843" s="7">
        <f>IF($D843="","",X843-N843)</f>
        <v/>
      </c>
      <c r="AB843">
        <f>IF($D843="","",IF($AN843=1,Settings!$C$8,IF($AM843=1,Settings!$C$6,Settings!$C$7))*100)</f>
        <v/>
      </c>
      <c r="AF843" s="7" t="n"/>
      <c r="AI843" s="11" t="n"/>
      <c r="AK843">
        <f>IF($D843="","",IF(COUNTIF($D$2:$D843,$D843)=1,1,0))</f>
        <v/>
      </c>
      <c r="AL843">
        <f>IF($AK843=1,SUMPRODUCT(--($AO$2:$AO$1601&lt;$AO843))+1,"")</f>
        <v/>
      </c>
      <c r="AM843">
        <f>IF($D843="","",IF(OR($R843=TRUE(),$R843="TRUE"),1,0))</f>
        <v/>
      </c>
      <c r="AN843">
        <f>IF($D843="","",IF($AA843="Yes",1,0))</f>
        <v/>
      </c>
      <c r="AO843">
        <f>IF($AK843=1,IFERROR(IF(VALUE($D843)&lt;100000000,VALUE($D843),1000000000),IFERROR(IF(VALUE(MID($D843,2,20))&lt;100000000,VALUE(MID($D843,2,20)),1000000000),1000000000))+ROW()/100000,"")</f>
        <v/>
      </c>
    </row>
    <row r="844">
      <c r="F844" s="11" t="n"/>
      <c r="N844" s="7">
        <f>IF($D844="","",M844*X844/100)</f>
        <v/>
      </c>
      <c r="O844" s="7" t="n"/>
      <c r="U844" s="7" t="n"/>
      <c r="V844" s="7" t="n"/>
      <c r="W844" s="7">
        <f>IF($D844="","",V844*AB844/100)</f>
        <v/>
      </c>
      <c r="X844" s="7">
        <f>IF($D844="","",V844-W844)</f>
        <v/>
      </c>
      <c r="Y844" s="7">
        <f>IF($D844="","",X844-N844)</f>
        <v/>
      </c>
      <c r="AB844">
        <f>IF($D844="","",IF($AN844=1,Settings!$C$8,IF($AM844=1,Settings!$C$6,Settings!$C$7))*100)</f>
        <v/>
      </c>
      <c r="AF844" s="7" t="n"/>
      <c r="AI844" s="11" t="n"/>
      <c r="AK844">
        <f>IF($D844="","",IF(COUNTIF($D$2:$D844,$D844)=1,1,0))</f>
        <v/>
      </c>
      <c r="AL844">
        <f>IF($AK844=1,SUMPRODUCT(--($AO$2:$AO$1601&lt;$AO844))+1,"")</f>
        <v/>
      </c>
      <c r="AM844">
        <f>IF($D844="","",IF(OR($R844=TRUE(),$R844="TRUE"),1,0))</f>
        <v/>
      </c>
      <c r="AN844">
        <f>IF($D844="","",IF($AA844="Yes",1,0))</f>
        <v/>
      </c>
      <c r="AO844">
        <f>IF($AK844=1,IFERROR(IF(VALUE($D844)&lt;100000000,VALUE($D844),1000000000),IFERROR(IF(VALUE(MID($D844,2,20))&lt;100000000,VALUE(MID($D844,2,20)),1000000000),1000000000))+ROW()/100000,"")</f>
        <v/>
      </c>
    </row>
    <row r="845">
      <c r="F845" s="11" t="n"/>
      <c r="N845" s="7">
        <f>IF($D845="","",M845*X845/100)</f>
        <v/>
      </c>
      <c r="O845" s="7" t="n"/>
      <c r="U845" s="7" t="n"/>
      <c r="V845" s="7" t="n"/>
      <c r="W845" s="7">
        <f>IF($D845="","",V845*AB845/100)</f>
        <v/>
      </c>
      <c r="X845" s="7">
        <f>IF($D845="","",V845-W845)</f>
        <v/>
      </c>
      <c r="Y845" s="7">
        <f>IF($D845="","",X845-N845)</f>
        <v/>
      </c>
      <c r="AB845">
        <f>IF($D845="","",IF($AN845=1,Settings!$C$8,IF($AM845=1,Settings!$C$6,Settings!$C$7))*100)</f>
        <v/>
      </c>
      <c r="AF845" s="7" t="n"/>
      <c r="AI845" s="11" t="n"/>
      <c r="AK845">
        <f>IF($D845="","",IF(COUNTIF($D$2:$D845,$D845)=1,1,0))</f>
        <v/>
      </c>
      <c r="AL845">
        <f>IF($AK845=1,SUMPRODUCT(--($AO$2:$AO$1601&lt;$AO845))+1,"")</f>
        <v/>
      </c>
      <c r="AM845">
        <f>IF($D845="","",IF(OR($R845=TRUE(),$R845="TRUE"),1,0))</f>
        <v/>
      </c>
      <c r="AN845">
        <f>IF($D845="","",IF($AA845="Yes",1,0))</f>
        <v/>
      </c>
      <c r="AO845">
        <f>IF($AK845=1,IFERROR(IF(VALUE($D845)&lt;100000000,VALUE($D845),1000000000),IFERROR(IF(VALUE(MID($D845,2,20))&lt;100000000,VALUE(MID($D845,2,20)),1000000000),1000000000))+ROW()/100000,"")</f>
        <v/>
      </c>
    </row>
    <row r="846">
      <c r="F846" s="11" t="n"/>
      <c r="N846" s="7">
        <f>IF($D846="","",M846*X846/100)</f>
        <v/>
      </c>
      <c r="O846" s="7" t="n"/>
      <c r="U846" s="7" t="n"/>
      <c r="V846" s="7" t="n"/>
      <c r="W846" s="7">
        <f>IF($D846="","",V846*AB846/100)</f>
        <v/>
      </c>
      <c r="X846" s="7">
        <f>IF($D846="","",V846-W846)</f>
        <v/>
      </c>
      <c r="Y846" s="7">
        <f>IF($D846="","",X846-N846)</f>
        <v/>
      </c>
      <c r="AB846">
        <f>IF($D846="","",IF($AN846=1,Settings!$C$8,IF($AM846=1,Settings!$C$6,Settings!$C$7))*100)</f>
        <v/>
      </c>
      <c r="AF846" s="7" t="n"/>
      <c r="AI846" s="11" t="n"/>
      <c r="AK846">
        <f>IF($D846="","",IF(COUNTIF($D$2:$D846,$D846)=1,1,0))</f>
        <v/>
      </c>
      <c r="AL846">
        <f>IF($AK846=1,SUMPRODUCT(--($AO$2:$AO$1601&lt;$AO846))+1,"")</f>
        <v/>
      </c>
      <c r="AM846">
        <f>IF($D846="","",IF(OR($R846=TRUE(),$R846="TRUE"),1,0))</f>
        <v/>
      </c>
      <c r="AN846">
        <f>IF($D846="","",IF($AA846="Yes",1,0))</f>
        <v/>
      </c>
      <c r="AO846">
        <f>IF($AK846=1,IFERROR(IF(VALUE($D846)&lt;100000000,VALUE($D846),1000000000),IFERROR(IF(VALUE(MID($D846,2,20))&lt;100000000,VALUE(MID($D846,2,20)),1000000000),1000000000))+ROW()/100000,"")</f>
        <v/>
      </c>
    </row>
    <row r="847">
      <c r="F847" s="11" t="n"/>
      <c r="N847" s="7">
        <f>IF($D847="","",M847*X847/100)</f>
        <v/>
      </c>
      <c r="O847" s="7" t="n"/>
      <c r="U847" s="7" t="n"/>
      <c r="V847" s="7" t="n"/>
      <c r="W847" s="7">
        <f>IF($D847="","",V847*AB847/100)</f>
        <v/>
      </c>
      <c r="X847" s="7">
        <f>IF($D847="","",V847-W847)</f>
        <v/>
      </c>
      <c r="Y847" s="7">
        <f>IF($D847="","",X847-N847)</f>
        <v/>
      </c>
      <c r="AB847">
        <f>IF($D847="","",IF($AN847=1,Settings!$C$8,IF($AM847=1,Settings!$C$6,Settings!$C$7))*100)</f>
        <v/>
      </c>
      <c r="AF847" s="7" t="n"/>
      <c r="AI847" s="11" t="n"/>
      <c r="AK847">
        <f>IF($D847="","",IF(COUNTIF($D$2:$D847,$D847)=1,1,0))</f>
        <v/>
      </c>
      <c r="AL847">
        <f>IF($AK847=1,SUMPRODUCT(--($AO$2:$AO$1601&lt;$AO847))+1,"")</f>
        <v/>
      </c>
      <c r="AM847">
        <f>IF($D847="","",IF(OR($R847=TRUE(),$R847="TRUE"),1,0))</f>
        <v/>
      </c>
      <c r="AN847">
        <f>IF($D847="","",IF($AA847="Yes",1,0))</f>
        <v/>
      </c>
      <c r="AO847">
        <f>IF($AK847=1,IFERROR(IF(VALUE($D847)&lt;100000000,VALUE($D847),1000000000),IFERROR(IF(VALUE(MID($D847,2,20))&lt;100000000,VALUE(MID($D847,2,20)),1000000000),1000000000))+ROW()/100000,"")</f>
        <v/>
      </c>
    </row>
    <row r="848">
      <c r="F848" s="11" t="n"/>
      <c r="N848" s="7">
        <f>IF($D848="","",M848*X848/100)</f>
        <v/>
      </c>
      <c r="O848" s="7" t="n"/>
      <c r="U848" s="7" t="n"/>
      <c r="V848" s="7" t="n"/>
      <c r="W848" s="7">
        <f>IF($D848="","",V848*AB848/100)</f>
        <v/>
      </c>
      <c r="X848" s="7">
        <f>IF($D848="","",V848-W848)</f>
        <v/>
      </c>
      <c r="Y848" s="7">
        <f>IF($D848="","",X848-N848)</f>
        <v/>
      </c>
      <c r="AB848">
        <f>IF($D848="","",IF($AN848=1,Settings!$C$8,IF($AM848=1,Settings!$C$6,Settings!$C$7))*100)</f>
        <v/>
      </c>
      <c r="AF848" s="7" t="n"/>
      <c r="AI848" s="11" t="n"/>
      <c r="AK848">
        <f>IF($D848="","",IF(COUNTIF($D$2:$D848,$D848)=1,1,0))</f>
        <v/>
      </c>
      <c r="AL848">
        <f>IF($AK848=1,SUMPRODUCT(--($AO$2:$AO$1601&lt;$AO848))+1,"")</f>
        <v/>
      </c>
      <c r="AM848">
        <f>IF($D848="","",IF(OR($R848=TRUE(),$R848="TRUE"),1,0))</f>
        <v/>
      </c>
      <c r="AN848">
        <f>IF($D848="","",IF($AA848="Yes",1,0))</f>
        <v/>
      </c>
      <c r="AO848">
        <f>IF($AK848=1,IFERROR(IF(VALUE($D848)&lt;100000000,VALUE($D848),1000000000),IFERROR(IF(VALUE(MID($D848,2,20))&lt;100000000,VALUE(MID($D848,2,20)),1000000000),1000000000))+ROW()/100000,"")</f>
        <v/>
      </c>
    </row>
    <row r="849">
      <c r="F849" s="11" t="n"/>
      <c r="N849" s="7">
        <f>IF($D849="","",M849*X849/100)</f>
        <v/>
      </c>
      <c r="O849" s="7" t="n"/>
      <c r="U849" s="7" t="n"/>
      <c r="V849" s="7" t="n"/>
      <c r="W849" s="7">
        <f>IF($D849="","",V849*AB849/100)</f>
        <v/>
      </c>
      <c r="X849" s="7">
        <f>IF($D849="","",V849-W849)</f>
        <v/>
      </c>
      <c r="Y849" s="7">
        <f>IF($D849="","",X849-N849)</f>
        <v/>
      </c>
      <c r="AB849">
        <f>IF($D849="","",IF($AN849=1,Settings!$C$8,IF($AM849=1,Settings!$C$6,Settings!$C$7))*100)</f>
        <v/>
      </c>
      <c r="AF849" s="7" t="n"/>
      <c r="AI849" s="11" t="n"/>
      <c r="AK849">
        <f>IF($D849="","",IF(COUNTIF($D$2:$D849,$D849)=1,1,0))</f>
        <v/>
      </c>
      <c r="AL849">
        <f>IF($AK849=1,SUMPRODUCT(--($AO$2:$AO$1601&lt;$AO849))+1,"")</f>
        <v/>
      </c>
      <c r="AM849">
        <f>IF($D849="","",IF(OR($R849=TRUE(),$R849="TRUE"),1,0))</f>
        <v/>
      </c>
      <c r="AN849">
        <f>IF($D849="","",IF($AA849="Yes",1,0))</f>
        <v/>
      </c>
      <c r="AO849">
        <f>IF($AK849=1,IFERROR(IF(VALUE($D849)&lt;100000000,VALUE($D849),1000000000),IFERROR(IF(VALUE(MID($D849,2,20))&lt;100000000,VALUE(MID($D849,2,20)),1000000000),1000000000))+ROW()/100000,"")</f>
        <v/>
      </c>
    </row>
    <row r="850">
      <c r="F850" s="11" t="n"/>
      <c r="N850" s="7">
        <f>IF($D850="","",M850*X850/100)</f>
        <v/>
      </c>
      <c r="O850" s="7" t="n"/>
      <c r="U850" s="7" t="n"/>
      <c r="V850" s="7" t="n"/>
      <c r="W850" s="7">
        <f>IF($D850="","",V850*AB850/100)</f>
        <v/>
      </c>
      <c r="X850" s="7">
        <f>IF($D850="","",V850-W850)</f>
        <v/>
      </c>
      <c r="Y850" s="7">
        <f>IF($D850="","",X850-N850)</f>
        <v/>
      </c>
      <c r="AB850">
        <f>IF($D850="","",IF($AN850=1,Settings!$C$8,IF($AM850=1,Settings!$C$6,Settings!$C$7))*100)</f>
        <v/>
      </c>
      <c r="AF850" s="7" t="n"/>
      <c r="AI850" s="11" t="n"/>
      <c r="AK850">
        <f>IF($D850="","",IF(COUNTIF($D$2:$D850,$D850)=1,1,0))</f>
        <v/>
      </c>
      <c r="AL850">
        <f>IF($AK850=1,SUMPRODUCT(--($AO$2:$AO$1601&lt;$AO850))+1,"")</f>
        <v/>
      </c>
      <c r="AM850">
        <f>IF($D850="","",IF(OR($R850=TRUE(),$R850="TRUE"),1,0))</f>
        <v/>
      </c>
      <c r="AN850">
        <f>IF($D850="","",IF($AA850="Yes",1,0))</f>
        <v/>
      </c>
      <c r="AO850">
        <f>IF($AK850=1,IFERROR(IF(VALUE($D850)&lt;100000000,VALUE($D850),1000000000),IFERROR(IF(VALUE(MID($D850,2,20))&lt;100000000,VALUE(MID($D850,2,20)),1000000000),1000000000))+ROW()/100000,"")</f>
        <v/>
      </c>
    </row>
    <row r="851">
      <c r="F851" s="11" t="n"/>
      <c r="N851" s="7">
        <f>IF($D851="","",M851*X851/100)</f>
        <v/>
      </c>
      <c r="O851" s="7" t="n"/>
      <c r="U851" s="7" t="n"/>
      <c r="V851" s="7" t="n"/>
      <c r="W851" s="7">
        <f>IF($D851="","",V851*AB851/100)</f>
        <v/>
      </c>
      <c r="X851" s="7">
        <f>IF($D851="","",V851-W851)</f>
        <v/>
      </c>
      <c r="Y851" s="7">
        <f>IF($D851="","",X851-N851)</f>
        <v/>
      </c>
      <c r="AB851">
        <f>IF($D851="","",IF($AN851=1,Settings!$C$8,IF($AM851=1,Settings!$C$6,Settings!$C$7))*100)</f>
        <v/>
      </c>
      <c r="AF851" s="7" t="n"/>
      <c r="AI851" s="11" t="n"/>
      <c r="AK851">
        <f>IF($D851="","",IF(COUNTIF($D$2:$D851,$D851)=1,1,0))</f>
        <v/>
      </c>
      <c r="AL851">
        <f>IF($AK851=1,SUMPRODUCT(--($AO$2:$AO$1601&lt;$AO851))+1,"")</f>
        <v/>
      </c>
      <c r="AM851">
        <f>IF($D851="","",IF(OR($R851=TRUE(),$R851="TRUE"),1,0))</f>
        <v/>
      </c>
      <c r="AN851">
        <f>IF($D851="","",IF($AA851="Yes",1,0))</f>
        <v/>
      </c>
      <c r="AO851">
        <f>IF($AK851=1,IFERROR(IF(VALUE($D851)&lt;100000000,VALUE($D851),1000000000),IFERROR(IF(VALUE(MID($D851,2,20))&lt;100000000,VALUE(MID($D851,2,20)),1000000000),1000000000))+ROW()/100000,"")</f>
        <v/>
      </c>
    </row>
    <row r="852">
      <c r="F852" s="11" t="n"/>
      <c r="N852" s="7">
        <f>IF($D852="","",M852*X852/100)</f>
        <v/>
      </c>
      <c r="O852" s="7" t="n"/>
      <c r="U852" s="7" t="n"/>
      <c r="V852" s="7" t="n"/>
      <c r="W852" s="7">
        <f>IF($D852="","",V852*AB852/100)</f>
        <v/>
      </c>
      <c r="X852" s="7">
        <f>IF($D852="","",V852-W852)</f>
        <v/>
      </c>
      <c r="Y852" s="7">
        <f>IF($D852="","",X852-N852)</f>
        <v/>
      </c>
      <c r="AB852">
        <f>IF($D852="","",IF($AN852=1,Settings!$C$8,IF($AM852=1,Settings!$C$6,Settings!$C$7))*100)</f>
        <v/>
      </c>
      <c r="AF852" s="7" t="n"/>
      <c r="AI852" s="11" t="n"/>
      <c r="AK852">
        <f>IF($D852="","",IF(COUNTIF($D$2:$D852,$D852)=1,1,0))</f>
        <v/>
      </c>
      <c r="AL852">
        <f>IF($AK852=1,SUMPRODUCT(--($AO$2:$AO$1601&lt;$AO852))+1,"")</f>
        <v/>
      </c>
      <c r="AM852">
        <f>IF($D852="","",IF(OR($R852=TRUE(),$R852="TRUE"),1,0))</f>
        <v/>
      </c>
      <c r="AN852">
        <f>IF($D852="","",IF($AA852="Yes",1,0))</f>
        <v/>
      </c>
      <c r="AO852">
        <f>IF($AK852=1,IFERROR(IF(VALUE($D852)&lt;100000000,VALUE($D852),1000000000),IFERROR(IF(VALUE(MID($D852,2,20))&lt;100000000,VALUE(MID($D852,2,20)),1000000000),1000000000))+ROW()/100000,"")</f>
        <v/>
      </c>
    </row>
    <row r="853">
      <c r="F853" s="11" t="n"/>
      <c r="N853" s="7">
        <f>IF($D853="","",M853*X853/100)</f>
        <v/>
      </c>
      <c r="O853" s="7" t="n"/>
      <c r="U853" s="7" t="n"/>
      <c r="V853" s="7" t="n"/>
      <c r="W853" s="7">
        <f>IF($D853="","",V853*AB853/100)</f>
        <v/>
      </c>
      <c r="X853" s="7">
        <f>IF($D853="","",V853-W853)</f>
        <v/>
      </c>
      <c r="Y853" s="7">
        <f>IF($D853="","",X853-N853)</f>
        <v/>
      </c>
      <c r="AB853">
        <f>IF($D853="","",IF($AN853=1,Settings!$C$8,IF($AM853=1,Settings!$C$6,Settings!$C$7))*100)</f>
        <v/>
      </c>
      <c r="AF853" s="7" t="n"/>
      <c r="AI853" s="11" t="n"/>
      <c r="AK853">
        <f>IF($D853="","",IF(COUNTIF($D$2:$D853,$D853)=1,1,0))</f>
        <v/>
      </c>
      <c r="AL853">
        <f>IF($AK853=1,SUMPRODUCT(--($AO$2:$AO$1601&lt;$AO853))+1,"")</f>
        <v/>
      </c>
      <c r="AM853">
        <f>IF($D853="","",IF(OR($R853=TRUE(),$R853="TRUE"),1,0))</f>
        <v/>
      </c>
      <c r="AN853">
        <f>IF($D853="","",IF($AA853="Yes",1,0))</f>
        <v/>
      </c>
      <c r="AO853">
        <f>IF($AK853=1,IFERROR(IF(VALUE($D853)&lt;100000000,VALUE($D853),1000000000),IFERROR(IF(VALUE(MID($D853,2,20))&lt;100000000,VALUE(MID($D853,2,20)),1000000000),1000000000))+ROW()/100000,"")</f>
        <v/>
      </c>
    </row>
    <row r="854">
      <c r="F854" s="11" t="n"/>
      <c r="N854" s="7">
        <f>IF($D854="","",M854*X854/100)</f>
        <v/>
      </c>
      <c r="O854" s="7" t="n"/>
      <c r="U854" s="7" t="n"/>
      <c r="V854" s="7" t="n"/>
      <c r="W854" s="7">
        <f>IF($D854="","",V854*AB854/100)</f>
        <v/>
      </c>
      <c r="X854" s="7">
        <f>IF($D854="","",V854-W854)</f>
        <v/>
      </c>
      <c r="Y854" s="7">
        <f>IF($D854="","",X854-N854)</f>
        <v/>
      </c>
      <c r="AB854">
        <f>IF($D854="","",IF($AN854=1,Settings!$C$8,IF($AM854=1,Settings!$C$6,Settings!$C$7))*100)</f>
        <v/>
      </c>
      <c r="AF854" s="7" t="n"/>
      <c r="AI854" s="11" t="n"/>
      <c r="AK854">
        <f>IF($D854="","",IF(COUNTIF($D$2:$D854,$D854)=1,1,0))</f>
        <v/>
      </c>
      <c r="AL854">
        <f>IF($AK854=1,SUMPRODUCT(--($AO$2:$AO$1601&lt;$AO854))+1,"")</f>
        <v/>
      </c>
      <c r="AM854">
        <f>IF($D854="","",IF(OR($R854=TRUE(),$R854="TRUE"),1,0))</f>
        <v/>
      </c>
      <c r="AN854">
        <f>IF($D854="","",IF($AA854="Yes",1,0))</f>
        <v/>
      </c>
      <c r="AO854">
        <f>IF($AK854=1,IFERROR(IF(VALUE($D854)&lt;100000000,VALUE($D854),1000000000),IFERROR(IF(VALUE(MID($D854,2,20))&lt;100000000,VALUE(MID($D854,2,20)),1000000000),1000000000))+ROW()/100000,"")</f>
        <v/>
      </c>
    </row>
    <row r="855">
      <c r="F855" s="11" t="n"/>
      <c r="N855" s="7">
        <f>IF($D855="","",M855*X855/100)</f>
        <v/>
      </c>
      <c r="O855" s="7" t="n"/>
      <c r="U855" s="7" t="n"/>
      <c r="V855" s="7" t="n"/>
      <c r="W855" s="7">
        <f>IF($D855="","",V855*AB855/100)</f>
        <v/>
      </c>
      <c r="X855" s="7">
        <f>IF($D855="","",V855-W855)</f>
        <v/>
      </c>
      <c r="Y855" s="7">
        <f>IF($D855="","",X855-N855)</f>
        <v/>
      </c>
      <c r="AB855">
        <f>IF($D855="","",IF($AN855=1,Settings!$C$8,IF($AM855=1,Settings!$C$6,Settings!$C$7))*100)</f>
        <v/>
      </c>
      <c r="AF855" s="7" t="n"/>
      <c r="AI855" s="11" t="n"/>
      <c r="AK855">
        <f>IF($D855="","",IF(COUNTIF($D$2:$D855,$D855)=1,1,0))</f>
        <v/>
      </c>
      <c r="AL855">
        <f>IF($AK855=1,SUMPRODUCT(--($AO$2:$AO$1601&lt;$AO855))+1,"")</f>
        <v/>
      </c>
      <c r="AM855">
        <f>IF($D855="","",IF(OR($R855=TRUE(),$R855="TRUE"),1,0))</f>
        <v/>
      </c>
      <c r="AN855">
        <f>IF($D855="","",IF($AA855="Yes",1,0))</f>
        <v/>
      </c>
      <c r="AO855">
        <f>IF($AK855=1,IFERROR(IF(VALUE($D855)&lt;100000000,VALUE($D855),1000000000),IFERROR(IF(VALUE(MID($D855,2,20))&lt;100000000,VALUE(MID($D855,2,20)),1000000000),1000000000))+ROW()/100000,"")</f>
        <v/>
      </c>
    </row>
    <row r="856">
      <c r="F856" s="11" t="n"/>
      <c r="N856" s="7">
        <f>IF($D856="","",M856*X856/100)</f>
        <v/>
      </c>
      <c r="O856" s="7" t="n"/>
      <c r="U856" s="7" t="n"/>
      <c r="V856" s="7" t="n"/>
      <c r="W856" s="7">
        <f>IF($D856="","",V856*AB856/100)</f>
        <v/>
      </c>
      <c r="X856" s="7">
        <f>IF($D856="","",V856-W856)</f>
        <v/>
      </c>
      <c r="Y856" s="7">
        <f>IF($D856="","",X856-N856)</f>
        <v/>
      </c>
      <c r="AB856">
        <f>IF($D856="","",IF($AN856=1,Settings!$C$8,IF($AM856=1,Settings!$C$6,Settings!$C$7))*100)</f>
        <v/>
      </c>
      <c r="AF856" s="7" t="n"/>
      <c r="AI856" s="11" t="n"/>
      <c r="AK856">
        <f>IF($D856="","",IF(COUNTIF($D$2:$D856,$D856)=1,1,0))</f>
        <v/>
      </c>
      <c r="AL856">
        <f>IF($AK856=1,SUMPRODUCT(--($AO$2:$AO$1601&lt;$AO856))+1,"")</f>
        <v/>
      </c>
      <c r="AM856">
        <f>IF($D856="","",IF(OR($R856=TRUE(),$R856="TRUE"),1,0))</f>
        <v/>
      </c>
      <c r="AN856">
        <f>IF($D856="","",IF($AA856="Yes",1,0))</f>
        <v/>
      </c>
      <c r="AO856">
        <f>IF($AK856=1,IFERROR(IF(VALUE($D856)&lt;100000000,VALUE($D856),1000000000),IFERROR(IF(VALUE(MID($D856,2,20))&lt;100000000,VALUE(MID($D856,2,20)),1000000000),1000000000))+ROW()/100000,"")</f>
        <v/>
      </c>
    </row>
    <row r="857">
      <c r="F857" s="11" t="n"/>
      <c r="N857" s="7">
        <f>IF($D857="","",M857*X857/100)</f>
        <v/>
      </c>
      <c r="O857" s="7" t="n"/>
      <c r="U857" s="7" t="n"/>
      <c r="V857" s="7" t="n"/>
      <c r="W857" s="7">
        <f>IF($D857="","",V857*AB857/100)</f>
        <v/>
      </c>
      <c r="X857" s="7">
        <f>IF($D857="","",V857-W857)</f>
        <v/>
      </c>
      <c r="Y857" s="7">
        <f>IF($D857="","",X857-N857)</f>
        <v/>
      </c>
      <c r="AB857">
        <f>IF($D857="","",IF($AN857=1,Settings!$C$8,IF($AM857=1,Settings!$C$6,Settings!$C$7))*100)</f>
        <v/>
      </c>
      <c r="AF857" s="7" t="n"/>
      <c r="AI857" s="11" t="n"/>
      <c r="AK857">
        <f>IF($D857="","",IF(COUNTIF($D$2:$D857,$D857)=1,1,0))</f>
        <v/>
      </c>
      <c r="AL857">
        <f>IF($AK857=1,SUMPRODUCT(--($AO$2:$AO$1601&lt;$AO857))+1,"")</f>
        <v/>
      </c>
      <c r="AM857">
        <f>IF($D857="","",IF(OR($R857=TRUE(),$R857="TRUE"),1,0))</f>
        <v/>
      </c>
      <c r="AN857">
        <f>IF($D857="","",IF($AA857="Yes",1,0))</f>
        <v/>
      </c>
      <c r="AO857">
        <f>IF($AK857=1,IFERROR(IF(VALUE($D857)&lt;100000000,VALUE($D857),1000000000),IFERROR(IF(VALUE(MID($D857,2,20))&lt;100000000,VALUE(MID($D857,2,20)),1000000000),1000000000))+ROW()/100000,"")</f>
        <v/>
      </c>
    </row>
    <row r="858">
      <c r="F858" s="11" t="n"/>
      <c r="N858" s="7">
        <f>IF($D858="","",M858*X858/100)</f>
        <v/>
      </c>
      <c r="O858" s="7" t="n"/>
      <c r="U858" s="7" t="n"/>
      <c r="V858" s="7" t="n"/>
      <c r="W858" s="7">
        <f>IF($D858="","",V858*AB858/100)</f>
        <v/>
      </c>
      <c r="X858" s="7">
        <f>IF($D858="","",V858-W858)</f>
        <v/>
      </c>
      <c r="Y858" s="7">
        <f>IF($D858="","",X858-N858)</f>
        <v/>
      </c>
      <c r="AB858">
        <f>IF($D858="","",IF($AN858=1,Settings!$C$8,IF($AM858=1,Settings!$C$6,Settings!$C$7))*100)</f>
        <v/>
      </c>
      <c r="AF858" s="7" t="n"/>
      <c r="AI858" s="11" t="n"/>
      <c r="AK858">
        <f>IF($D858="","",IF(COUNTIF($D$2:$D858,$D858)=1,1,0))</f>
        <v/>
      </c>
      <c r="AL858">
        <f>IF($AK858=1,SUMPRODUCT(--($AO$2:$AO$1601&lt;$AO858))+1,"")</f>
        <v/>
      </c>
      <c r="AM858">
        <f>IF($D858="","",IF(OR($R858=TRUE(),$R858="TRUE"),1,0))</f>
        <v/>
      </c>
      <c r="AN858">
        <f>IF($D858="","",IF($AA858="Yes",1,0))</f>
        <v/>
      </c>
      <c r="AO858">
        <f>IF($AK858=1,IFERROR(IF(VALUE($D858)&lt;100000000,VALUE($D858),1000000000),IFERROR(IF(VALUE(MID($D858,2,20))&lt;100000000,VALUE(MID($D858,2,20)),1000000000),1000000000))+ROW()/100000,"")</f>
        <v/>
      </c>
    </row>
    <row r="859">
      <c r="F859" s="11" t="n"/>
      <c r="N859" s="7">
        <f>IF($D859="","",M859*X859/100)</f>
        <v/>
      </c>
      <c r="O859" s="7" t="n"/>
      <c r="U859" s="7" t="n"/>
      <c r="V859" s="7" t="n"/>
      <c r="W859" s="7">
        <f>IF($D859="","",V859*AB859/100)</f>
        <v/>
      </c>
      <c r="X859" s="7">
        <f>IF($D859="","",V859-W859)</f>
        <v/>
      </c>
      <c r="Y859" s="7">
        <f>IF($D859="","",X859-N859)</f>
        <v/>
      </c>
      <c r="AB859">
        <f>IF($D859="","",IF($AN859=1,Settings!$C$8,IF($AM859=1,Settings!$C$6,Settings!$C$7))*100)</f>
        <v/>
      </c>
      <c r="AF859" s="7" t="n"/>
      <c r="AI859" s="11" t="n"/>
      <c r="AK859">
        <f>IF($D859="","",IF(COUNTIF($D$2:$D859,$D859)=1,1,0))</f>
        <v/>
      </c>
      <c r="AL859">
        <f>IF($AK859=1,SUMPRODUCT(--($AO$2:$AO$1601&lt;$AO859))+1,"")</f>
        <v/>
      </c>
      <c r="AM859">
        <f>IF($D859="","",IF(OR($R859=TRUE(),$R859="TRUE"),1,0))</f>
        <v/>
      </c>
      <c r="AN859">
        <f>IF($D859="","",IF($AA859="Yes",1,0))</f>
        <v/>
      </c>
      <c r="AO859">
        <f>IF($AK859=1,IFERROR(IF(VALUE($D859)&lt;100000000,VALUE($D859),1000000000),IFERROR(IF(VALUE(MID($D859,2,20))&lt;100000000,VALUE(MID($D859,2,20)),1000000000),1000000000))+ROW()/100000,"")</f>
        <v/>
      </c>
    </row>
    <row r="860">
      <c r="F860" s="11" t="n"/>
      <c r="N860" s="7">
        <f>IF($D860="","",M860*X860/100)</f>
        <v/>
      </c>
      <c r="O860" s="7" t="n"/>
      <c r="U860" s="7" t="n"/>
      <c r="V860" s="7" t="n"/>
      <c r="W860" s="7">
        <f>IF($D860="","",V860*AB860/100)</f>
        <v/>
      </c>
      <c r="X860" s="7">
        <f>IF($D860="","",V860-W860)</f>
        <v/>
      </c>
      <c r="Y860" s="7">
        <f>IF($D860="","",X860-N860)</f>
        <v/>
      </c>
      <c r="AB860">
        <f>IF($D860="","",IF($AN860=1,Settings!$C$8,IF($AM860=1,Settings!$C$6,Settings!$C$7))*100)</f>
        <v/>
      </c>
      <c r="AF860" s="7" t="n"/>
      <c r="AI860" s="11" t="n"/>
      <c r="AK860">
        <f>IF($D860="","",IF(COUNTIF($D$2:$D860,$D860)=1,1,0))</f>
        <v/>
      </c>
      <c r="AL860">
        <f>IF($AK860=1,SUMPRODUCT(--($AO$2:$AO$1601&lt;$AO860))+1,"")</f>
        <v/>
      </c>
      <c r="AM860">
        <f>IF($D860="","",IF(OR($R860=TRUE(),$R860="TRUE"),1,0))</f>
        <v/>
      </c>
      <c r="AN860">
        <f>IF($D860="","",IF($AA860="Yes",1,0))</f>
        <v/>
      </c>
      <c r="AO860">
        <f>IF($AK860=1,IFERROR(IF(VALUE($D860)&lt;100000000,VALUE($D860),1000000000),IFERROR(IF(VALUE(MID($D860,2,20))&lt;100000000,VALUE(MID($D860,2,20)),1000000000),1000000000))+ROW()/100000,"")</f>
        <v/>
      </c>
    </row>
    <row r="861">
      <c r="F861" s="11" t="n"/>
      <c r="N861" s="7">
        <f>IF($D861="","",M861*X861/100)</f>
        <v/>
      </c>
      <c r="O861" s="7" t="n"/>
      <c r="U861" s="7" t="n"/>
      <c r="V861" s="7" t="n"/>
      <c r="W861" s="7">
        <f>IF($D861="","",V861*AB861/100)</f>
        <v/>
      </c>
      <c r="X861" s="7">
        <f>IF($D861="","",V861-W861)</f>
        <v/>
      </c>
      <c r="Y861" s="7">
        <f>IF($D861="","",X861-N861)</f>
        <v/>
      </c>
      <c r="AB861">
        <f>IF($D861="","",IF($AN861=1,Settings!$C$8,IF($AM861=1,Settings!$C$6,Settings!$C$7))*100)</f>
        <v/>
      </c>
      <c r="AF861" s="7" t="n"/>
      <c r="AI861" s="11" t="n"/>
      <c r="AK861">
        <f>IF($D861="","",IF(COUNTIF($D$2:$D861,$D861)=1,1,0))</f>
        <v/>
      </c>
      <c r="AL861">
        <f>IF($AK861=1,SUMPRODUCT(--($AO$2:$AO$1601&lt;$AO861))+1,"")</f>
        <v/>
      </c>
      <c r="AM861">
        <f>IF($D861="","",IF(OR($R861=TRUE(),$R861="TRUE"),1,0))</f>
        <v/>
      </c>
      <c r="AN861">
        <f>IF($D861="","",IF($AA861="Yes",1,0))</f>
        <v/>
      </c>
      <c r="AO861">
        <f>IF($AK861=1,IFERROR(IF(VALUE($D861)&lt;100000000,VALUE($D861),1000000000),IFERROR(IF(VALUE(MID($D861,2,20))&lt;100000000,VALUE(MID($D861,2,20)),1000000000),1000000000))+ROW()/100000,"")</f>
        <v/>
      </c>
    </row>
    <row r="862">
      <c r="F862" s="11" t="n"/>
      <c r="N862" s="7">
        <f>IF($D862="","",M862*X862/100)</f>
        <v/>
      </c>
      <c r="O862" s="7" t="n"/>
      <c r="U862" s="7" t="n"/>
      <c r="V862" s="7" t="n"/>
      <c r="W862" s="7">
        <f>IF($D862="","",V862*AB862/100)</f>
        <v/>
      </c>
      <c r="X862" s="7">
        <f>IF($D862="","",V862-W862)</f>
        <v/>
      </c>
      <c r="Y862" s="7">
        <f>IF($D862="","",X862-N862)</f>
        <v/>
      </c>
      <c r="AB862">
        <f>IF($D862="","",IF($AN862=1,Settings!$C$8,IF($AM862=1,Settings!$C$6,Settings!$C$7))*100)</f>
        <v/>
      </c>
      <c r="AF862" s="7" t="n"/>
      <c r="AI862" s="11" t="n"/>
      <c r="AK862">
        <f>IF($D862="","",IF(COUNTIF($D$2:$D862,$D862)=1,1,0))</f>
        <v/>
      </c>
      <c r="AL862">
        <f>IF($AK862=1,SUMPRODUCT(--($AO$2:$AO$1601&lt;$AO862))+1,"")</f>
        <v/>
      </c>
      <c r="AM862">
        <f>IF($D862="","",IF(OR($R862=TRUE(),$R862="TRUE"),1,0))</f>
        <v/>
      </c>
      <c r="AN862">
        <f>IF($D862="","",IF($AA862="Yes",1,0))</f>
        <v/>
      </c>
      <c r="AO862">
        <f>IF($AK862=1,IFERROR(IF(VALUE($D862)&lt;100000000,VALUE($D862),1000000000),IFERROR(IF(VALUE(MID($D862,2,20))&lt;100000000,VALUE(MID($D862,2,20)),1000000000),1000000000))+ROW()/100000,"")</f>
        <v/>
      </c>
    </row>
    <row r="863">
      <c r="F863" s="11" t="n"/>
      <c r="N863" s="7">
        <f>IF($D863="","",M863*X863/100)</f>
        <v/>
      </c>
      <c r="O863" s="7" t="n"/>
      <c r="U863" s="7" t="n"/>
      <c r="V863" s="7" t="n"/>
      <c r="W863" s="7">
        <f>IF($D863="","",V863*AB863/100)</f>
        <v/>
      </c>
      <c r="X863" s="7">
        <f>IF($D863="","",V863-W863)</f>
        <v/>
      </c>
      <c r="Y863" s="7">
        <f>IF($D863="","",X863-N863)</f>
        <v/>
      </c>
      <c r="AB863">
        <f>IF($D863="","",IF($AN863=1,Settings!$C$8,IF($AM863=1,Settings!$C$6,Settings!$C$7))*100)</f>
        <v/>
      </c>
      <c r="AF863" s="7" t="n"/>
      <c r="AI863" s="11" t="n"/>
      <c r="AK863">
        <f>IF($D863="","",IF(COUNTIF($D$2:$D863,$D863)=1,1,0))</f>
        <v/>
      </c>
      <c r="AL863">
        <f>IF($AK863=1,SUMPRODUCT(--($AO$2:$AO$1601&lt;$AO863))+1,"")</f>
        <v/>
      </c>
      <c r="AM863">
        <f>IF($D863="","",IF(OR($R863=TRUE(),$R863="TRUE"),1,0))</f>
        <v/>
      </c>
      <c r="AN863">
        <f>IF($D863="","",IF($AA863="Yes",1,0))</f>
        <v/>
      </c>
      <c r="AO863">
        <f>IF($AK863=1,IFERROR(IF(VALUE($D863)&lt;100000000,VALUE($D863),1000000000),IFERROR(IF(VALUE(MID($D863,2,20))&lt;100000000,VALUE(MID($D863,2,20)),1000000000),1000000000))+ROW()/100000,"")</f>
        <v/>
      </c>
    </row>
    <row r="864">
      <c r="F864" s="11" t="n"/>
      <c r="N864" s="7">
        <f>IF($D864="","",M864*X864/100)</f>
        <v/>
      </c>
      <c r="O864" s="7" t="n"/>
      <c r="U864" s="7" t="n"/>
      <c r="V864" s="7" t="n"/>
      <c r="W864" s="7">
        <f>IF($D864="","",V864*AB864/100)</f>
        <v/>
      </c>
      <c r="X864" s="7">
        <f>IF($D864="","",V864-W864)</f>
        <v/>
      </c>
      <c r="Y864" s="7">
        <f>IF($D864="","",X864-N864)</f>
        <v/>
      </c>
      <c r="AB864">
        <f>IF($D864="","",IF($AN864=1,Settings!$C$8,IF($AM864=1,Settings!$C$6,Settings!$C$7))*100)</f>
        <v/>
      </c>
      <c r="AF864" s="7" t="n"/>
      <c r="AI864" s="11" t="n"/>
      <c r="AK864">
        <f>IF($D864="","",IF(COUNTIF($D$2:$D864,$D864)=1,1,0))</f>
        <v/>
      </c>
      <c r="AL864">
        <f>IF($AK864=1,SUMPRODUCT(--($AO$2:$AO$1601&lt;$AO864))+1,"")</f>
        <v/>
      </c>
      <c r="AM864">
        <f>IF($D864="","",IF(OR($R864=TRUE(),$R864="TRUE"),1,0))</f>
        <v/>
      </c>
      <c r="AN864">
        <f>IF($D864="","",IF($AA864="Yes",1,0))</f>
        <v/>
      </c>
      <c r="AO864">
        <f>IF($AK864=1,IFERROR(IF(VALUE($D864)&lt;100000000,VALUE($D864),1000000000),IFERROR(IF(VALUE(MID($D864,2,20))&lt;100000000,VALUE(MID($D864,2,20)),1000000000),1000000000))+ROW()/100000,"")</f>
        <v/>
      </c>
    </row>
    <row r="865">
      <c r="F865" s="11" t="n"/>
      <c r="N865" s="7">
        <f>IF($D865="","",M865*X865/100)</f>
        <v/>
      </c>
      <c r="O865" s="7" t="n"/>
      <c r="U865" s="7" t="n"/>
      <c r="V865" s="7" t="n"/>
      <c r="W865" s="7">
        <f>IF($D865="","",V865*AB865/100)</f>
        <v/>
      </c>
      <c r="X865" s="7">
        <f>IF($D865="","",V865-W865)</f>
        <v/>
      </c>
      <c r="Y865" s="7">
        <f>IF($D865="","",X865-N865)</f>
        <v/>
      </c>
      <c r="AB865">
        <f>IF($D865="","",IF($AN865=1,Settings!$C$8,IF($AM865=1,Settings!$C$6,Settings!$C$7))*100)</f>
        <v/>
      </c>
      <c r="AF865" s="7" t="n"/>
      <c r="AI865" s="11" t="n"/>
      <c r="AK865">
        <f>IF($D865="","",IF(COUNTIF($D$2:$D865,$D865)=1,1,0))</f>
        <v/>
      </c>
      <c r="AL865">
        <f>IF($AK865=1,SUMPRODUCT(--($AO$2:$AO$1601&lt;$AO865))+1,"")</f>
        <v/>
      </c>
      <c r="AM865">
        <f>IF($D865="","",IF(OR($R865=TRUE(),$R865="TRUE"),1,0))</f>
        <v/>
      </c>
      <c r="AN865">
        <f>IF($D865="","",IF($AA865="Yes",1,0))</f>
        <v/>
      </c>
      <c r="AO865">
        <f>IF($AK865=1,IFERROR(IF(VALUE($D865)&lt;100000000,VALUE($D865),1000000000),IFERROR(IF(VALUE(MID($D865,2,20))&lt;100000000,VALUE(MID($D865,2,20)),1000000000),1000000000))+ROW()/100000,"")</f>
        <v/>
      </c>
    </row>
    <row r="866">
      <c r="F866" s="11" t="n"/>
      <c r="N866" s="7">
        <f>IF($D866="","",M866*X866/100)</f>
        <v/>
      </c>
      <c r="O866" s="7" t="n"/>
      <c r="U866" s="7" t="n"/>
      <c r="V866" s="7" t="n"/>
      <c r="W866" s="7">
        <f>IF($D866="","",V866*AB866/100)</f>
        <v/>
      </c>
      <c r="X866" s="7">
        <f>IF($D866="","",V866-W866)</f>
        <v/>
      </c>
      <c r="Y866" s="7">
        <f>IF($D866="","",X866-N866)</f>
        <v/>
      </c>
      <c r="AB866">
        <f>IF($D866="","",IF($AN866=1,Settings!$C$8,IF($AM866=1,Settings!$C$6,Settings!$C$7))*100)</f>
        <v/>
      </c>
      <c r="AF866" s="7" t="n"/>
      <c r="AI866" s="11" t="n"/>
      <c r="AK866">
        <f>IF($D866="","",IF(COUNTIF($D$2:$D866,$D866)=1,1,0))</f>
        <v/>
      </c>
      <c r="AL866">
        <f>IF($AK866=1,SUMPRODUCT(--($AO$2:$AO$1601&lt;$AO866))+1,"")</f>
        <v/>
      </c>
      <c r="AM866">
        <f>IF($D866="","",IF(OR($R866=TRUE(),$R866="TRUE"),1,0))</f>
        <v/>
      </c>
      <c r="AN866">
        <f>IF($D866="","",IF($AA866="Yes",1,0))</f>
        <v/>
      </c>
      <c r="AO866">
        <f>IF($AK866=1,IFERROR(IF(VALUE($D866)&lt;100000000,VALUE($D866),1000000000),IFERROR(IF(VALUE(MID($D866,2,20))&lt;100000000,VALUE(MID($D866,2,20)),1000000000),1000000000))+ROW()/100000,"")</f>
        <v/>
      </c>
    </row>
    <row r="867">
      <c r="F867" s="11" t="n"/>
      <c r="N867" s="7">
        <f>IF($D867="","",M867*X867/100)</f>
        <v/>
      </c>
      <c r="O867" s="7" t="n"/>
      <c r="U867" s="7" t="n"/>
      <c r="V867" s="7" t="n"/>
      <c r="W867" s="7">
        <f>IF($D867="","",V867*AB867/100)</f>
        <v/>
      </c>
      <c r="X867" s="7">
        <f>IF($D867="","",V867-W867)</f>
        <v/>
      </c>
      <c r="Y867" s="7">
        <f>IF($D867="","",X867-N867)</f>
        <v/>
      </c>
      <c r="AB867">
        <f>IF($D867="","",IF($AN867=1,Settings!$C$8,IF($AM867=1,Settings!$C$6,Settings!$C$7))*100)</f>
        <v/>
      </c>
      <c r="AF867" s="7" t="n"/>
      <c r="AI867" s="11" t="n"/>
      <c r="AK867">
        <f>IF($D867="","",IF(COUNTIF($D$2:$D867,$D867)=1,1,0))</f>
        <v/>
      </c>
      <c r="AL867">
        <f>IF($AK867=1,SUMPRODUCT(--($AO$2:$AO$1601&lt;$AO867))+1,"")</f>
        <v/>
      </c>
      <c r="AM867">
        <f>IF($D867="","",IF(OR($R867=TRUE(),$R867="TRUE"),1,0))</f>
        <v/>
      </c>
      <c r="AN867">
        <f>IF($D867="","",IF($AA867="Yes",1,0))</f>
        <v/>
      </c>
      <c r="AO867">
        <f>IF($AK867=1,IFERROR(IF(VALUE($D867)&lt;100000000,VALUE($D867),1000000000),IFERROR(IF(VALUE(MID($D867,2,20))&lt;100000000,VALUE(MID($D867,2,20)),1000000000),1000000000))+ROW()/100000,"")</f>
        <v/>
      </c>
    </row>
    <row r="868">
      <c r="F868" s="11" t="n"/>
      <c r="N868" s="7">
        <f>IF($D868="","",M868*X868/100)</f>
        <v/>
      </c>
      <c r="O868" s="7" t="n"/>
      <c r="U868" s="7" t="n"/>
      <c r="V868" s="7" t="n"/>
      <c r="W868" s="7">
        <f>IF($D868="","",V868*AB868/100)</f>
        <v/>
      </c>
      <c r="X868" s="7">
        <f>IF($D868="","",V868-W868)</f>
        <v/>
      </c>
      <c r="Y868" s="7">
        <f>IF($D868="","",X868-N868)</f>
        <v/>
      </c>
      <c r="AB868">
        <f>IF($D868="","",IF($AN868=1,Settings!$C$8,IF($AM868=1,Settings!$C$6,Settings!$C$7))*100)</f>
        <v/>
      </c>
      <c r="AF868" s="7" t="n"/>
      <c r="AI868" s="11" t="n"/>
      <c r="AK868">
        <f>IF($D868="","",IF(COUNTIF($D$2:$D868,$D868)=1,1,0))</f>
        <v/>
      </c>
      <c r="AL868">
        <f>IF($AK868=1,SUMPRODUCT(--($AO$2:$AO$1601&lt;$AO868))+1,"")</f>
        <v/>
      </c>
      <c r="AM868">
        <f>IF($D868="","",IF(OR($R868=TRUE(),$R868="TRUE"),1,0))</f>
        <v/>
      </c>
      <c r="AN868">
        <f>IF($D868="","",IF($AA868="Yes",1,0))</f>
        <v/>
      </c>
      <c r="AO868">
        <f>IF($AK868=1,IFERROR(IF(VALUE($D868)&lt;100000000,VALUE($D868),1000000000),IFERROR(IF(VALUE(MID($D868,2,20))&lt;100000000,VALUE(MID($D868,2,20)),1000000000),1000000000))+ROW()/100000,"")</f>
        <v/>
      </c>
    </row>
    <row r="869">
      <c r="F869" s="11" t="n"/>
      <c r="N869" s="7">
        <f>IF($D869="","",M869*X869/100)</f>
        <v/>
      </c>
      <c r="O869" s="7" t="n"/>
      <c r="U869" s="7" t="n"/>
      <c r="V869" s="7" t="n"/>
      <c r="W869" s="7">
        <f>IF($D869="","",V869*AB869/100)</f>
        <v/>
      </c>
      <c r="X869" s="7">
        <f>IF($D869="","",V869-W869)</f>
        <v/>
      </c>
      <c r="Y869" s="7">
        <f>IF($D869="","",X869-N869)</f>
        <v/>
      </c>
      <c r="AB869">
        <f>IF($D869="","",IF($AN869=1,Settings!$C$8,IF($AM869=1,Settings!$C$6,Settings!$C$7))*100)</f>
        <v/>
      </c>
      <c r="AF869" s="7" t="n"/>
      <c r="AI869" s="11" t="n"/>
      <c r="AK869">
        <f>IF($D869="","",IF(COUNTIF($D$2:$D869,$D869)=1,1,0))</f>
        <v/>
      </c>
      <c r="AL869">
        <f>IF($AK869=1,SUMPRODUCT(--($AO$2:$AO$1601&lt;$AO869))+1,"")</f>
        <v/>
      </c>
      <c r="AM869">
        <f>IF($D869="","",IF(OR($R869=TRUE(),$R869="TRUE"),1,0))</f>
        <v/>
      </c>
      <c r="AN869">
        <f>IF($D869="","",IF($AA869="Yes",1,0))</f>
        <v/>
      </c>
      <c r="AO869">
        <f>IF($AK869=1,IFERROR(IF(VALUE($D869)&lt;100000000,VALUE($D869),1000000000),IFERROR(IF(VALUE(MID($D869,2,20))&lt;100000000,VALUE(MID($D869,2,20)),1000000000),1000000000))+ROW()/100000,"")</f>
        <v/>
      </c>
    </row>
    <row r="870">
      <c r="F870" s="11" t="n"/>
      <c r="N870" s="7">
        <f>IF($D870="","",M870*X870/100)</f>
        <v/>
      </c>
      <c r="O870" s="7" t="n"/>
      <c r="U870" s="7" t="n"/>
      <c r="V870" s="7" t="n"/>
      <c r="W870" s="7">
        <f>IF($D870="","",V870*AB870/100)</f>
        <v/>
      </c>
      <c r="X870" s="7">
        <f>IF($D870="","",V870-W870)</f>
        <v/>
      </c>
      <c r="Y870" s="7">
        <f>IF($D870="","",X870-N870)</f>
        <v/>
      </c>
      <c r="AB870">
        <f>IF($D870="","",IF($AN870=1,Settings!$C$8,IF($AM870=1,Settings!$C$6,Settings!$C$7))*100)</f>
        <v/>
      </c>
      <c r="AF870" s="7" t="n"/>
      <c r="AI870" s="11" t="n"/>
      <c r="AK870">
        <f>IF($D870="","",IF(COUNTIF($D$2:$D870,$D870)=1,1,0))</f>
        <v/>
      </c>
      <c r="AL870">
        <f>IF($AK870=1,SUMPRODUCT(--($AO$2:$AO$1601&lt;$AO870))+1,"")</f>
        <v/>
      </c>
      <c r="AM870">
        <f>IF($D870="","",IF(OR($R870=TRUE(),$R870="TRUE"),1,0))</f>
        <v/>
      </c>
      <c r="AN870">
        <f>IF($D870="","",IF($AA870="Yes",1,0))</f>
        <v/>
      </c>
      <c r="AO870">
        <f>IF($AK870=1,IFERROR(IF(VALUE($D870)&lt;100000000,VALUE($D870),1000000000),IFERROR(IF(VALUE(MID($D870,2,20))&lt;100000000,VALUE(MID($D870,2,20)),1000000000),1000000000))+ROW()/100000,"")</f>
        <v/>
      </c>
    </row>
    <row r="871">
      <c r="F871" s="11" t="n"/>
      <c r="N871" s="7">
        <f>IF($D871="","",M871*X871/100)</f>
        <v/>
      </c>
      <c r="O871" s="7" t="n"/>
      <c r="U871" s="7" t="n"/>
      <c r="V871" s="7" t="n"/>
      <c r="W871" s="7">
        <f>IF($D871="","",V871*AB871/100)</f>
        <v/>
      </c>
      <c r="X871" s="7">
        <f>IF($D871="","",V871-W871)</f>
        <v/>
      </c>
      <c r="Y871" s="7">
        <f>IF($D871="","",X871-N871)</f>
        <v/>
      </c>
      <c r="AB871">
        <f>IF($D871="","",IF($AN871=1,Settings!$C$8,IF($AM871=1,Settings!$C$6,Settings!$C$7))*100)</f>
        <v/>
      </c>
      <c r="AF871" s="7" t="n"/>
      <c r="AI871" s="11" t="n"/>
      <c r="AK871">
        <f>IF($D871="","",IF(COUNTIF($D$2:$D871,$D871)=1,1,0))</f>
        <v/>
      </c>
      <c r="AL871">
        <f>IF($AK871=1,SUMPRODUCT(--($AO$2:$AO$1601&lt;$AO871))+1,"")</f>
        <v/>
      </c>
      <c r="AM871">
        <f>IF($D871="","",IF(OR($R871=TRUE(),$R871="TRUE"),1,0))</f>
        <v/>
      </c>
      <c r="AN871">
        <f>IF($D871="","",IF($AA871="Yes",1,0))</f>
        <v/>
      </c>
      <c r="AO871">
        <f>IF($AK871=1,IFERROR(IF(VALUE($D871)&lt;100000000,VALUE($D871),1000000000),IFERROR(IF(VALUE(MID($D871,2,20))&lt;100000000,VALUE(MID($D871,2,20)),1000000000),1000000000))+ROW()/100000,"")</f>
        <v/>
      </c>
    </row>
    <row r="872">
      <c r="F872" s="11" t="n"/>
      <c r="N872" s="7">
        <f>IF($D872="","",M872*X872/100)</f>
        <v/>
      </c>
      <c r="O872" s="7" t="n"/>
      <c r="U872" s="7" t="n"/>
      <c r="V872" s="7" t="n"/>
      <c r="W872" s="7">
        <f>IF($D872="","",V872*AB872/100)</f>
        <v/>
      </c>
      <c r="X872" s="7">
        <f>IF($D872="","",V872-W872)</f>
        <v/>
      </c>
      <c r="Y872" s="7">
        <f>IF($D872="","",X872-N872)</f>
        <v/>
      </c>
      <c r="AB872">
        <f>IF($D872="","",IF($AN872=1,Settings!$C$8,IF($AM872=1,Settings!$C$6,Settings!$C$7))*100)</f>
        <v/>
      </c>
      <c r="AF872" s="7" t="n"/>
      <c r="AI872" s="11" t="n"/>
      <c r="AK872">
        <f>IF($D872="","",IF(COUNTIF($D$2:$D872,$D872)=1,1,0))</f>
        <v/>
      </c>
      <c r="AL872">
        <f>IF($AK872=1,SUMPRODUCT(--($AO$2:$AO$1601&lt;$AO872))+1,"")</f>
        <v/>
      </c>
      <c r="AM872">
        <f>IF($D872="","",IF(OR($R872=TRUE(),$R872="TRUE"),1,0))</f>
        <v/>
      </c>
      <c r="AN872">
        <f>IF($D872="","",IF($AA872="Yes",1,0))</f>
        <v/>
      </c>
      <c r="AO872">
        <f>IF($AK872=1,IFERROR(IF(VALUE($D872)&lt;100000000,VALUE($D872),1000000000),IFERROR(IF(VALUE(MID($D872,2,20))&lt;100000000,VALUE(MID($D872,2,20)),1000000000),1000000000))+ROW()/100000,"")</f>
        <v/>
      </c>
    </row>
    <row r="873">
      <c r="F873" s="11" t="n"/>
      <c r="N873" s="7">
        <f>IF($D873="","",M873*X873/100)</f>
        <v/>
      </c>
      <c r="O873" s="7" t="n"/>
      <c r="U873" s="7" t="n"/>
      <c r="V873" s="7" t="n"/>
      <c r="W873" s="7">
        <f>IF($D873="","",V873*AB873/100)</f>
        <v/>
      </c>
      <c r="X873" s="7">
        <f>IF($D873="","",V873-W873)</f>
        <v/>
      </c>
      <c r="Y873" s="7">
        <f>IF($D873="","",X873-N873)</f>
        <v/>
      </c>
      <c r="AB873">
        <f>IF($D873="","",IF($AN873=1,Settings!$C$8,IF($AM873=1,Settings!$C$6,Settings!$C$7))*100)</f>
        <v/>
      </c>
      <c r="AF873" s="7" t="n"/>
      <c r="AI873" s="11" t="n"/>
      <c r="AK873">
        <f>IF($D873="","",IF(COUNTIF($D$2:$D873,$D873)=1,1,0))</f>
        <v/>
      </c>
      <c r="AL873">
        <f>IF($AK873=1,SUMPRODUCT(--($AO$2:$AO$1601&lt;$AO873))+1,"")</f>
        <v/>
      </c>
      <c r="AM873">
        <f>IF($D873="","",IF(OR($R873=TRUE(),$R873="TRUE"),1,0))</f>
        <v/>
      </c>
      <c r="AN873">
        <f>IF($D873="","",IF($AA873="Yes",1,0))</f>
        <v/>
      </c>
      <c r="AO873">
        <f>IF($AK873=1,IFERROR(IF(VALUE($D873)&lt;100000000,VALUE($D873),1000000000),IFERROR(IF(VALUE(MID($D873,2,20))&lt;100000000,VALUE(MID($D873,2,20)),1000000000),1000000000))+ROW()/100000,"")</f>
        <v/>
      </c>
    </row>
    <row r="874">
      <c r="F874" s="11" t="n"/>
      <c r="N874" s="7">
        <f>IF($D874="","",M874*X874/100)</f>
        <v/>
      </c>
      <c r="O874" s="7" t="n"/>
      <c r="U874" s="7" t="n"/>
      <c r="V874" s="7" t="n"/>
      <c r="W874" s="7">
        <f>IF($D874="","",V874*AB874/100)</f>
        <v/>
      </c>
      <c r="X874" s="7">
        <f>IF($D874="","",V874-W874)</f>
        <v/>
      </c>
      <c r="Y874" s="7">
        <f>IF($D874="","",X874-N874)</f>
        <v/>
      </c>
      <c r="AB874">
        <f>IF($D874="","",IF($AN874=1,Settings!$C$8,IF($AM874=1,Settings!$C$6,Settings!$C$7))*100)</f>
        <v/>
      </c>
      <c r="AF874" s="7" t="n"/>
      <c r="AI874" s="11" t="n"/>
      <c r="AK874">
        <f>IF($D874="","",IF(COUNTIF($D$2:$D874,$D874)=1,1,0))</f>
        <v/>
      </c>
      <c r="AL874">
        <f>IF($AK874=1,SUMPRODUCT(--($AO$2:$AO$1601&lt;$AO874))+1,"")</f>
        <v/>
      </c>
      <c r="AM874">
        <f>IF($D874="","",IF(OR($R874=TRUE(),$R874="TRUE"),1,0))</f>
        <v/>
      </c>
      <c r="AN874">
        <f>IF($D874="","",IF($AA874="Yes",1,0))</f>
        <v/>
      </c>
      <c r="AO874">
        <f>IF($AK874=1,IFERROR(IF(VALUE($D874)&lt;100000000,VALUE($D874),1000000000),IFERROR(IF(VALUE(MID($D874,2,20))&lt;100000000,VALUE(MID($D874,2,20)),1000000000),1000000000))+ROW()/100000,"")</f>
        <v/>
      </c>
    </row>
    <row r="875">
      <c r="F875" s="11" t="n"/>
      <c r="N875" s="7">
        <f>IF($D875="","",M875*X875/100)</f>
        <v/>
      </c>
      <c r="O875" s="7" t="n"/>
      <c r="U875" s="7" t="n"/>
      <c r="V875" s="7" t="n"/>
      <c r="W875" s="7">
        <f>IF($D875="","",V875*AB875/100)</f>
        <v/>
      </c>
      <c r="X875" s="7">
        <f>IF($D875="","",V875-W875)</f>
        <v/>
      </c>
      <c r="Y875" s="7">
        <f>IF($D875="","",X875-N875)</f>
        <v/>
      </c>
      <c r="AB875">
        <f>IF($D875="","",IF($AN875=1,Settings!$C$8,IF($AM875=1,Settings!$C$6,Settings!$C$7))*100)</f>
        <v/>
      </c>
      <c r="AF875" s="7" t="n"/>
      <c r="AI875" s="11" t="n"/>
      <c r="AK875">
        <f>IF($D875="","",IF(COUNTIF($D$2:$D875,$D875)=1,1,0))</f>
        <v/>
      </c>
      <c r="AL875">
        <f>IF($AK875=1,SUMPRODUCT(--($AO$2:$AO$1601&lt;$AO875))+1,"")</f>
        <v/>
      </c>
      <c r="AM875">
        <f>IF($D875="","",IF(OR($R875=TRUE(),$R875="TRUE"),1,0))</f>
        <v/>
      </c>
      <c r="AN875">
        <f>IF($D875="","",IF($AA875="Yes",1,0))</f>
        <v/>
      </c>
      <c r="AO875">
        <f>IF($AK875=1,IFERROR(IF(VALUE($D875)&lt;100000000,VALUE($D875),1000000000),IFERROR(IF(VALUE(MID($D875,2,20))&lt;100000000,VALUE(MID($D875,2,20)),1000000000),1000000000))+ROW()/100000,"")</f>
        <v/>
      </c>
    </row>
    <row r="876">
      <c r="F876" s="11" t="n"/>
      <c r="N876" s="7">
        <f>IF($D876="","",M876*X876/100)</f>
        <v/>
      </c>
      <c r="O876" s="7" t="n"/>
      <c r="U876" s="7" t="n"/>
      <c r="V876" s="7" t="n"/>
      <c r="W876" s="7">
        <f>IF($D876="","",V876*AB876/100)</f>
        <v/>
      </c>
      <c r="X876" s="7">
        <f>IF($D876="","",V876-W876)</f>
        <v/>
      </c>
      <c r="Y876" s="7">
        <f>IF($D876="","",X876-N876)</f>
        <v/>
      </c>
      <c r="AB876">
        <f>IF($D876="","",IF($AN876=1,Settings!$C$8,IF($AM876=1,Settings!$C$6,Settings!$C$7))*100)</f>
        <v/>
      </c>
      <c r="AF876" s="7" t="n"/>
      <c r="AI876" s="11" t="n"/>
      <c r="AK876">
        <f>IF($D876="","",IF(COUNTIF($D$2:$D876,$D876)=1,1,0))</f>
        <v/>
      </c>
      <c r="AL876">
        <f>IF($AK876=1,SUMPRODUCT(--($AO$2:$AO$1601&lt;$AO876))+1,"")</f>
        <v/>
      </c>
      <c r="AM876">
        <f>IF($D876="","",IF(OR($R876=TRUE(),$R876="TRUE"),1,0))</f>
        <v/>
      </c>
      <c r="AN876">
        <f>IF($D876="","",IF($AA876="Yes",1,0))</f>
        <v/>
      </c>
      <c r="AO876">
        <f>IF($AK876=1,IFERROR(IF(VALUE($D876)&lt;100000000,VALUE($D876),1000000000),IFERROR(IF(VALUE(MID($D876,2,20))&lt;100000000,VALUE(MID($D876,2,20)),1000000000),1000000000))+ROW()/100000,"")</f>
        <v/>
      </c>
    </row>
    <row r="877">
      <c r="F877" s="11" t="n"/>
      <c r="N877" s="7">
        <f>IF($D877="","",M877*X877/100)</f>
        <v/>
      </c>
      <c r="O877" s="7" t="n"/>
      <c r="U877" s="7" t="n"/>
      <c r="V877" s="7" t="n"/>
      <c r="W877" s="7">
        <f>IF($D877="","",V877*AB877/100)</f>
        <v/>
      </c>
      <c r="X877" s="7">
        <f>IF($D877="","",V877-W877)</f>
        <v/>
      </c>
      <c r="Y877" s="7">
        <f>IF($D877="","",X877-N877)</f>
        <v/>
      </c>
      <c r="AB877">
        <f>IF($D877="","",IF($AN877=1,Settings!$C$8,IF($AM877=1,Settings!$C$6,Settings!$C$7))*100)</f>
        <v/>
      </c>
      <c r="AF877" s="7" t="n"/>
      <c r="AI877" s="11" t="n"/>
      <c r="AK877">
        <f>IF($D877="","",IF(COUNTIF($D$2:$D877,$D877)=1,1,0))</f>
        <v/>
      </c>
      <c r="AL877">
        <f>IF($AK877=1,SUMPRODUCT(--($AO$2:$AO$1601&lt;$AO877))+1,"")</f>
        <v/>
      </c>
      <c r="AM877">
        <f>IF($D877="","",IF(OR($R877=TRUE(),$R877="TRUE"),1,0))</f>
        <v/>
      </c>
      <c r="AN877">
        <f>IF($D877="","",IF($AA877="Yes",1,0))</f>
        <v/>
      </c>
      <c r="AO877">
        <f>IF($AK877=1,IFERROR(IF(VALUE($D877)&lt;100000000,VALUE($D877),1000000000),IFERROR(IF(VALUE(MID($D877,2,20))&lt;100000000,VALUE(MID($D877,2,20)),1000000000),1000000000))+ROW()/100000,"")</f>
        <v/>
      </c>
    </row>
    <row r="878">
      <c r="F878" s="11" t="n"/>
      <c r="N878" s="7">
        <f>IF($D878="","",M878*X878/100)</f>
        <v/>
      </c>
      <c r="O878" s="7" t="n"/>
      <c r="U878" s="7" t="n"/>
      <c r="V878" s="7" t="n"/>
      <c r="W878" s="7">
        <f>IF($D878="","",V878*AB878/100)</f>
        <v/>
      </c>
      <c r="X878" s="7">
        <f>IF($D878="","",V878-W878)</f>
        <v/>
      </c>
      <c r="Y878" s="7">
        <f>IF($D878="","",X878-N878)</f>
        <v/>
      </c>
      <c r="AB878">
        <f>IF($D878="","",IF($AN878=1,Settings!$C$8,IF($AM878=1,Settings!$C$6,Settings!$C$7))*100)</f>
        <v/>
      </c>
      <c r="AF878" s="7" t="n"/>
      <c r="AI878" s="11" t="n"/>
      <c r="AK878">
        <f>IF($D878="","",IF(COUNTIF($D$2:$D878,$D878)=1,1,0))</f>
        <v/>
      </c>
      <c r="AL878">
        <f>IF($AK878=1,SUMPRODUCT(--($AO$2:$AO$1601&lt;$AO878))+1,"")</f>
        <v/>
      </c>
      <c r="AM878">
        <f>IF($D878="","",IF(OR($R878=TRUE(),$R878="TRUE"),1,0))</f>
        <v/>
      </c>
      <c r="AN878">
        <f>IF($D878="","",IF($AA878="Yes",1,0))</f>
        <v/>
      </c>
      <c r="AO878">
        <f>IF($AK878=1,IFERROR(IF(VALUE($D878)&lt;100000000,VALUE($D878),1000000000),IFERROR(IF(VALUE(MID($D878,2,20))&lt;100000000,VALUE(MID($D878,2,20)),1000000000),1000000000))+ROW()/100000,"")</f>
        <v/>
      </c>
    </row>
    <row r="879">
      <c r="F879" s="11" t="n"/>
      <c r="N879" s="7">
        <f>IF($D879="","",M879*X879/100)</f>
        <v/>
      </c>
      <c r="O879" s="7" t="n"/>
      <c r="U879" s="7" t="n"/>
      <c r="V879" s="7" t="n"/>
      <c r="W879" s="7">
        <f>IF($D879="","",V879*AB879/100)</f>
        <v/>
      </c>
      <c r="X879" s="7">
        <f>IF($D879="","",V879-W879)</f>
        <v/>
      </c>
      <c r="Y879" s="7">
        <f>IF($D879="","",X879-N879)</f>
        <v/>
      </c>
      <c r="AB879">
        <f>IF($D879="","",IF($AN879=1,Settings!$C$8,IF($AM879=1,Settings!$C$6,Settings!$C$7))*100)</f>
        <v/>
      </c>
      <c r="AF879" s="7" t="n"/>
      <c r="AI879" s="11" t="n"/>
      <c r="AK879">
        <f>IF($D879="","",IF(COUNTIF($D$2:$D879,$D879)=1,1,0))</f>
        <v/>
      </c>
      <c r="AL879">
        <f>IF($AK879=1,SUMPRODUCT(--($AO$2:$AO$1601&lt;$AO879))+1,"")</f>
        <v/>
      </c>
      <c r="AM879">
        <f>IF($D879="","",IF(OR($R879=TRUE(),$R879="TRUE"),1,0))</f>
        <v/>
      </c>
      <c r="AN879">
        <f>IF($D879="","",IF($AA879="Yes",1,0))</f>
        <v/>
      </c>
      <c r="AO879">
        <f>IF($AK879=1,IFERROR(IF(VALUE($D879)&lt;100000000,VALUE($D879),1000000000),IFERROR(IF(VALUE(MID($D879,2,20))&lt;100000000,VALUE(MID($D879,2,20)),1000000000),1000000000))+ROW()/100000,"")</f>
        <v/>
      </c>
    </row>
    <row r="880">
      <c r="F880" s="11" t="n"/>
      <c r="N880" s="7">
        <f>IF($D880="","",M880*X880/100)</f>
        <v/>
      </c>
      <c r="O880" s="7" t="n"/>
      <c r="U880" s="7" t="n"/>
      <c r="V880" s="7" t="n"/>
      <c r="W880" s="7">
        <f>IF($D880="","",V880*AB880/100)</f>
        <v/>
      </c>
      <c r="X880" s="7">
        <f>IF($D880="","",V880-W880)</f>
        <v/>
      </c>
      <c r="Y880" s="7">
        <f>IF($D880="","",X880-N880)</f>
        <v/>
      </c>
      <c r="AB880">
        <f>IF($D880="","",IF($AN880=1,Settings!$C$8,IF($AM880=1,Settings!$C$6,Settings!$C$7))*100)</f>
        <v/>
      </c>
      <c r="AF880" s="7" t="n"/>
      <c r="AI880" s="11" t="n"/>
      <c r="AK880">
        <f>IF($D880="","",IF(COUNTIF($D$2:$D880,$D880)=1,1,0))</f>
        <v/>
      </c>
      <c r="AL880">
        <f>IF($AK880=1,SUMPRODUCT(--($AO$2:$AO$1601&lt;$AO880))+1,"")</f>
        <v/>
      </c>
      <c r="AM880">
        <f>IF($D880="","",IF(OR($R880=TRUE(),$R880="TRUE"),1,0))</f>
        <v/>
      </c>
      <c r="AN880">
        <f>IF($D880="","",IF($AA880="Yes",1,0))</f>
        <v/>
      </c>
      <c r="AO880">
        <f>IF($AK880=1,IFERROR(IF(VALUE($D880)&lt;100000000,VALUE($D880),1000000000),IFERROR(IF(VALUE(MID($D880,2,20))&lt;100000000,VALUE(MID($D880,2,20)),1000000000),1000000000))+ROW()/100000,"")</f>
        <v/>
      </c>
    </row>
    <row r="881">
      <c r="F881" s="11" t="n"/>
      <c r="N881" s="7">
        <f>IF($D881="","",M881*X881/100)</f>
        <v/>
      </c>
      <c r="O881" s="7" t="n"/>
      <c r="U881" s="7" t="n"/>
      <c r="V881" s="7" t="n"/>
      <c r="W881" s="7">
        <f>IF($D881="","",V881*AB881/100)</f>
        <v/>
      </c>
      <c r="X881" s="7">
        <f>IF($D881="","",V881-W881)</f>
        <v/>
      </c>
      <c r="Y881" s="7">
        <f>IF($D881="","",X881-N881)</f>
        <v/>
      </c>
      <c r="AB881">
        <f>IF($D881="","",IF($AN881=1,Settings!$C$8,IF($AM881=1,Settings!$C$6,Settings!$C$7))*100)</f>
        <v/>
      </c>
      <c r="AF881" s="7" t="n"/>
      <c r="AI881" s="11" t="n"/>
      <c r="AK881">
        <f>IF($D881="","",IF(COUNTIF($D$2:$D881,$D881)=1,1,0))</f>
        <v/>
      </c>
      <c r="AL881">
        <f>IF($AK881=1,SUMPRODUCT(--($AO$2:$AO$1601&lt;$AO881))+1,"")</f>
        <v/>
      </c>
      <c r="AM881">
        <f>IF($D881="","",IF(OR($R881=TRUE(),$R881="TRUE"),1,0))</f>
        <v/>
      </c>
      <c r="AN881">
        <f>IF($D881="","",IF($AA881="Yes",1,0))</f>
        <v/>
      </c>
      <c r="AO881">
        <f>IF($AK881=1,IFERROR(IF(VALUE($D881)&lt;100000000,VALUE($D881),1000000000),IFERROR(IF(VALUE(MID($D881,2,20))&lt;100000000,VALUE(MID($D881,2,20)),1000000000),1000000000))+ROW()/100000,"")</f>
        <v/>
      </c>
    </row>
    <row r="882">
      <c r="F882" s="11" t="n"/>
      <c r="N882" s="7">
        <f>IF($D882="","",M882*X882/100)</f>
        <v/>
      </c>
      <c r="O882" s="7" t="n"/>
      <c r="U882" s="7" t="n"/>
      <c r="V882" s="7" t="n"/>
      <c r="W882" s="7">
        <f>IF($D882="","",V882*AB882/100)</f>
        <v/>
      </c>
      <c r="X882" s="7">
        <f>IF($D882="","",V882-W882)</f>
        <v/>
      </c>
      <c r="Y882" s="7">
        <f>IF($D882="","",X882-N882)</f>
        <v/>
      </c>
      <c r="AB882">
        <f>IF($D882="","",IF($AN882=1,Settings!$C$8,IF($AM882=1,Settings!$C$6,Settings!$C$7))*100)</f>
        <v/>
      </c>
      <c r="AF882" s="7" t="n"/>
      <c r="AI882" s="11" t="n"/>
      <c r="AK882">
        <f>IF($D882="","",IF(COUNTIF($D$2:$D882,$D882)=1,1,0))</f>
        <v/>
      </c>
      <c r="AL882">
        <f>IF($AK882=1,SUMPRODUCT(--($AO$2:$AO$1601&lt;$AO882))+1,"")</f>
        <v/>
      </c>
      <c r="AM882">
        <f>IF($D882="","",IF(OR($R882=TRUE(),$R882="TRUE"),1,0))</f>
        <v/>
      </c>
      <c r="AN882">
        <f>IF($D882="","",IF($AA882="Yes",1,0))</f>
        <v/>
      </c>
      <c r="AO882">
        <f>IF($AK882=1,IFERROR(IF(VALUE($D882)&lt;100000000,VALUE($D882),1000000000),IFERROR(IF(VALUE(MID($D882,2,20))&lt;100000000,VALUE(MID($D882,2,20)),1000000000),1000000000))+ROW()/100000,"")</f>
        <v/>
      </c>
    </row>
    <row r="883">
      <c r="F883" s="11" t="n"/>
      <c r="N883" s="7">
        <f>IF($D883="","",M883*X883/100)</f>
        <v/>
      </c>
      <c r="O883" s="7" t="n"/>
      <c r="U883" s="7" t="n"/>
      <c r="V883" s="7" t="n"/>
      <c r="W883" s="7">
        <f>IF($D883="","",V883*AB883/100)</f>
        <v/>
      </c>
      <c r="X883" s="7">
        <f>IF($D883="","",V883-W883)</f>
        <v/>
      </c>
      <c r="Y883" s="7">
        <f>IF($D883="","",X883-N883)</f>
        <v/>
      </c>
      <c r="AB883">
        <f>IF($D883="","",IF($AN883=1,Settings!$C$8,IF($AM883=1,Settings!$C$6,Settings!$C$7))*100)</f>
        <v/>
      </c>
      <c r="AF883" s="7" t="n"/>
      <c r="AI883" s="11" t="n"/>
      <c r="AK883">
        <f>IF($D883="","",IF(COUNTIF($D$2:$D883,$D883)=1,1,0))</f>
        <v/>
      </c>
      <c r="AL883">
        <f>IF($AK883=1,SUMPRODUCT(--($AO$2:$AO$1601&lt;$AO883))+1,"")</f>
        <v/>
      </c>
      <c r="AM883">
        <f>IF($D883="","",IF(OR($R883=TRUE(),$R883="TRUE"),1,0))</f>
        <v/>
      </c>
      <c r="AN883">
        <f>IF($D883="","",IF($AA883="Yes",1,0))</f>
        <v/>
      </c>
      <c r="AO883">
        <f>IF($AK883=1,IFERROR(IF(VALUE($D883)&lt;100000000,VALUE($D883),1000000000),IFERROR(IF(VALUE(MID($D883,2,20))&lt;100000000,VALUE(MID($D883,2,20)),1000000000),1000000000))+ROW()/100000,"")</f>
        <v/>
      </c>
    </row>
    <row r="884">
      <c r="F884" s="11" t="n"/>
      <c r="N884" s="7">
        <f>IF($D884="","",M884*X884/100)</f>
        <v/>
      </c>
      <c r="O884" s="7" t="n"/>
      <c r="U884" s="7" t="n"/>
      <c r="V884" s="7" t="n"/>
      <c r="W884" s="7">
        <f>IF($D884="","",V884*AB884/100)</f>
        <v/>
      </c>
      <c r="X884" s="7">
        <f>IF($D884="","",V884-W884)</f>
        <v/>
      </c>
      <c r="Y884" s="7">
        <f>IF($D884="","",X884-N884)</f>
        <v/>
      </c>
      <c r="AB884">
        <f>IF($D884="","",IF($AN884=1,Settings!$C$8,IF($AM884=1,Settings!$C$6,Settings!$C$7))*100)</f>
        <v/>
      </c>
      <c r="AF884" s="7" t="n"/>
      <c r="AI884" s="11" t="n"/>
      <c r="AK884">
        <f>IF($D884="","",IF(COUNTIF($D$2:$D884,$D884)=1,1,0))</f>
        <v/>
      </c>
      <c r="AL884">
        <f>IF($AK884=1,SUMPRODUCT(--($AO$2:$AO$1601&lt;$AO884))+1,"")</f>
        <v/>
      </c>
      <c r="AM884">
        <f>IF($D884="","",IF(OR($R884=TRUE(),$R884="TRUE"),1,0))</f>
        <v/>
      </c>
      <c r="AN884">
        <f>IF($D884="","",IF($AA884="Yes",1,0))</f>
        <v/>
      </c>
      <c r="AO884">
        <f>IF($AK884=1,IFERROR(IF(VALUE($D884)&lt;100000000,VALUE($D884),1000000000),IFERROR(IF(VALUE(MID($D884,2,20))&lt;100000000,VALUE(MID($D884,2,20)),1000000000),1000000000))+ROW()/100000,"")</f>
        <v/>
      </c>
    </row>
    <row r="885">
      <c r="F885" s="11" t="n"/>
      <c r="N885" s="7">
        <f>IF($D885="","",M885*X885/100)</f>
        <v/>
      </c>
      <c r="O885" s="7" t="n"/>
      <c r="U885" s="7" t="n"/>
      <c r="V885" s="7" t="n"/>
      <c r="W885" s="7">
        <f>IF($D885="","",V885*AB885/100)</f>
        <v/>
      </c>
      <c r="X885" s="7">
        <f>IF($D885="","",V885-W885)</f>
        <v/>
      </c>
      <c r="Y885" s="7">
        <f>IF($D885="","",X885-N885)</f>
        <v/>
      </c>
      <c r="AB885">
        <f>IF($D885="","",IF($AN885=1,Settings!$C$8,IF($AM885=1,Settings!$C$6,Settings!$C$7))*100)</f>
        <v/>
      </c>
      <c r="AF885" s="7" t="n"/>
      <c r="AI885" s="11" t="n"/>
      <c r="AK885">
        <f>IF($D885="","",IF(COUNTIF($D$2:$D885,$D885)=1,1,0))</f>
        <v/>
      </c>
      <c r="AL885">
        <f>IF($AK885=1,SUMPRODUCT(--($AO$2:$AO$1601&lt;$AO885))+1,"")</f>
        <v/>
      </c>
      <c r="AM885">
        <f>IF($D885="","",IF(OR($R885=TRUE(),$R885="TRUE"),1,0))</f>
        <v/>
      </c>
      <c r="AN885">
        <f>IF($D885="","",IF($AA885="Yes",1,0))</f>
        <v/>
      </c>
      <c r="AO885">
        <f>IF($AK885=1,IFERROR(IF(VALUE($D885)&lt;100000000,VALUE($D885),1000000000),IFERROR(IF(VALUE(MID($D885,2,20))&lt;100000000,VALUE(MID($D885,2,20)),1000000000),1000000000))+ROW()/100000,"")</f>
        <v/>
      </c>
    </row>
    <row r="886">
      <c r="F886" s="11" t="n"/>
      <c r="N886" s="7">
        <f>IF($D886="","",M886*X886/100)</f>
        <v/>
      </c>
      <c r="O886" s="7" t="n"/>
      <c r="U886" s="7" t="n"/>
      <c r="V886" s="7" t="n"/>
      <c r="W886" s="7">
        <f>IF($D886="","",V886*AB886/100)</f>
        <v/>
      </c>
      <c r="X886" s="7">
        <f>IF($D886="","",V886-W886)</f>
        <v/>
      </c>
      <c r="Y886" s="7">
        <f>IF($D886="","",X886-N886)</f>
        <v/>
      </c>
      <c r="AB886">
        <f>IF($D886="","",IF($AN886=1,Settings!$C$8,IF($AM886=1,Settings!$C$6,Settings!$C$7))*100)</f>
        <v/>
      </c>
      <c r="AF886" s="7" t="n"/>
      <c r="AI886" s="11" t="n"/>
      <c r="AK886">
        <f>IF($D886="","",IF(COUNTIF($D$2:$D886,$D886)=1,1,0))</f>
        <v/>
      </c>
      <c r="AL886">
        <f>IF($AK886=1,SUMPRODUCT(--($AO$2:$AO$1601&lt;$AO886))+1,"")</f>
        <v/>
      </c>
      <c r="AM886">
        <f>IF($D886="","",IF(OR($R886=TRUE(),$R886="TRUE"),1,0))</f>
        <v/>
      </c>
      <c r="AN886">
        <f>IF($D886="","",IF($AA886="Yes",1,0))</f>
        <v/>
      </c>
      <c r="AO886">
        <f>IF($AK886=1,IFERROR(IF(VALUE($D886)&lt;100000000,VALUE($D886),1000000000),IFERROR(IF(VALUE(MID($D886,2,20))&lt;100000000,VALUE(MID($D886,2,20)),1000000000),1000000000))+ROW()/100000,"")</f>
        <v/>
      </c>
    </row>
    <row r="887">
      <c r="F887" s="11" t="n"/>
      <c r="N887" s="7">
        <f>IF($D887="","",M887*X887/100)</f>
        <v/>
      </c>
      <c r="O887" s="7" t="n"/>
      <c r="U887" s="7" t="n"/>
      <c r="V887" s="7" t="n"/>
      <c r="W887" s="7">
        <f>IF($D887="","",V887*AB887/100)</f>
        <v/>
      </c>
      <c r="X887" s="7">
        <f>IF($D887="","",V887-W887)</f>
        <v/>
      </c>
      <c r="Y887" s="7">
        <f>IF($D887="","",X887-N887)</f>
        <v/>
      </c>
      <c r="AB887">
        <f>IF($D887="","",IF($AN887=1,Settings!$C$8,IF($AM887=1,Settings!$C$6,Settings!$C$7))*100)</f>
        <v/>
      </c>
      <c r="AF887" s="7" t="n"/>
      <c r="AI887" s="11" t="n"/>
      <c r="AK887">
        <f>IF($D887="","",IF(COUNTIF($D$2:$D887,$D887)=1,1,0))</f>
        <v/>
      </c>
      <c r="AL887">
        <f>IF($AK887=1,SUMPRODUCT(--($AO$2:$AO$1601&lt;$AO887))+1,"")</f>
        <v/>
      </c>
      <c r="AM887">
        <f>IF($D887="","",IF(OR($R887=TRUE(),$R887="TRUE"),1,0))</f>
        <v/>
      </c>
      <c r="AN887">
        <f>IF($D887="","",IF($AA887="Yes",1,0))</f>
        <v/>
      </c>
      <c r="AO887">
        <f>IF($AK887=1,IFERROR(IF(VALUE($D887)&lt;100000000,VALUE($D887),1000000000),IFERROR(IF(VALUE(MID($D887,2,20))&lt;100000000,VALUE(MID($D887,2,20)),1000000000),1000000000))+ROW()/100000,"")</f>
        <v/>
      </c>
    </row>
    <row r="888">
      <c r="F888" s="11" t="n"/>
      <c r="N888" s="7">
        <f>IF($D888="","",M888*X888/100)</f>
        <v/>
      </c>
      <c r="O888" s="7" t="n"/>
      <c r="U888" s="7" t="n"/>
      <c r="V888" s="7" t="n"/>
      <c r="W888" s="7">
        <f>IF($D888="","",V888*AB888/100)</f>
        <v/>
      </c>
      <c r="X888" s="7">
        <f>IF($D888="","",V888-W888)</f>
        <v/>
      </c>
      <c r="Y888" s="7">
        <f>IF($D888="","",X888-N888)</f>
        <v/>
      </c>
      <c r="AB888">
        <f>IF($D888="","",IF($AN888=1,Settings!$C$8,IF($AM888=1,Settings!$C$6,Settings!$C$7))*100)</f>
        <v/>
      </c>
      <c r="AF888" s="7" t="n"/>
      <c r="AI888" s="11" t="n"/>
      <c r="AK888">
        <f>IF($D888="","",IF(COUNTIF($D$2:$D888,$D888)=1,1,0))</f>
        <v/>
      </c>
      <c r="AL888">
        <f>IF($AK888=1,SUMPRODUCT(--($AO$2:$AO$1601&lt;$AO888))+1,"")</f>
        <v/>
      </c>
      <c r="AM888">
        <f>IF($D888="","",IF(OR($R888=TRUE(),$R888="TRUE"),1,0))</f>
        <v/>
      </c>
      <c r="AN888">
        <f>IF($D888="","",IF($AA888="Yes",1,0))</f>
        <v/>
      </c>
      <c r="AO888">
        <f>IF($AK888=1,IFERROR(IF(VALUE($D888)&lt;100000000,VALUE($D888),1000000000),IFERROR(IF(VALUE(MID($D888,2,20))&lt;100000000,VALUE(MID($D888,2,20)),1000000000),1000000000))+ROW()/100000,"")</f>
        <v/>
      </c>
    </row>
    <row r="889">
      <c r="F889" s="11" t="n"/>
      <c r="N889" s="7">
        <f>IF($D889="","",M889*X889/100)</f>
        <v/>
      </c>
      <c r="O889" s="7" t="n"/>
      <c r="U889" s="7" t="n"/>
      <c r="V889" s="7" t="n"/>
      <c r="W889" s="7">
        <f>IF($D889="","",V889*AB889/100)</f>
        <v/>
      </c>
      <c r="X889" s="7">
        <f>IF($D889="","",V889-W889)</f>
        <v/>
      </c>
      <c r="Y889" s="7">
        <f>IF($D889="","",X889-N889)</f>
        <v/>
      </c>
      <c r="AB889">
        <f>IF($D889="","",IF($AN889=1,Settings!$C$8,IF($AM889=1,Settings!$C$6,Settings!$C$7))*100)</f>
        <v/>
      </c>
      <c r="AF889" s="7" t="n"/>
      <c r="AI889" s="11" t="n"/>
      <c r="AK889">
        <f>IF($D889="","",IF(COUNTIF($D$2:$D889,$D889)=1,1,0))</f>
        <v/>
      </c>
      <c r="AL889">
        <f>IF($AK889=1,SUMPRODUCT(--($AO$2:$AO$1601&lt;$AO889))+1,"")</f>
        <v/>
      </c>
      <c r="AM889">
        <f>IF($D889="","",IF(OR($R889=TRUE(),$R889="TRUE"),1,0))</f>
        <v/>
      </c>
      <c r="AN889">
        <f>IF($D889="","",IF($AA889="Yes",1,0))</f>
        <v/>
      </c>
      <c r="AO889">
        <f>IF($AK889=1,IFERROR(IF(VALUE($D889)&lt;100000000,VALUE($D889),1000000000),IFERROR(IF(VALUE(MID($D889,2,20))&lt;100000000,VALUE(MID($D889,2,20)),1000000000),1000000000))+ROW()/100000,"")</f>
        <v/>
      </c>
    </row>
    <row r="890">
      <c r="F890" s="11" t="n"/>
      <c r="N890" s="7">
        <f>IF($D890="","",M890*X890/100)</f>
        <v/>
      </c>
      <c r="O890" s="7" t="n"/>
      <c r="U890" s="7" t="n"/>
      <c r="V890" s="7" t="n"/>
      <c r="W890" s="7">
        <f>IF($D890="","",V890*AB890/100)</f>
        <v/>
      </c>
      <c r="X890" s="7">
        <f>IF($D890="","",V890-W890)</f>
        <v/>
      </c>
      <c r="Y890" s="7">
        <f>IF($D890="","",X890-N890)</f>
        <v/>
      </c>
      <c r="AB890">
        <f>IF($D890="","",IF($AN890=1,Settings!$C$8,IF($AM890=1,Settings!$C$6,Settings!$C$7))*100)</f>
        <v/>
      </c>
      <c r="AF890" s="7" t="n"/>
      <c r="AI890" s="11" t="n"/>
      <c r="AK890">
        <f>IF($D890="","",IF(COUNTIF($D$2:$D890,$D890)=1,1,0))</f>
        <v/>
      </c>
      <c r="AL890">
        <f>IF($AK890=1,SUMPRODUCT(--($AO$2:$AO$1601&lt;$AO890))+1,"")</f>
        <v/>
      </c>
      <c r="AM890">
        <f>IF($D890="","",IF(OR($R890=TRUE(),$R890="TRUE"),1,0))</f>
        <v/>
      </c>
      <c r="AN890">
        <f>IF($D890="","",IF($AA890="Yes",1,0))</f>
        <v/>
      </c>
      <c r="AO890">
        <f>IF($AK890=1,IFERROR(IF(VALUE($D890)&lt;100000000,VALUE($D890),1000000000),IFERROR(IF(VALUE(MID($D890,2,20))&lt;100000000,VALUE(MID($D890,2,20)),1000000000),1000000000))+ROW()/100000,"")</f>
        <v/>
      </c>
    </row>
    <row r="891">
      <c r="F891" s="11" t="n"/>
      <c r="N891" s="7">
        <f>IF($D891="","",M891*X891/100)</f>
        <v/>
      </c>
      <c r="O891" s="7" t="n"/>
      <c r="U891" s="7" t="n"/>
      <c r="V891" s="7" t="n"/>
      <c r="W891" s="7">
        <f>IF($D891="","",V891*AB891/100)</f>
        <v/>
      </c>
      <c r="X891" s="7">
        <f>IF($D891="","",V891-W891)</f>
        <v/>
      </c>
      <c r="Y891" s="7">
        <f>IF($D891="","",X891-N891)</f>
        <v/>
      </c>
      <c r="AB891">
        <f>IF($D891="","",IF($AN891=1,Settings!$C$8,IF($AM891=1,Settings!$C$6,Settings!$C$7))*100)</f>
        <v/>
      </c>
      <c r="AF891" s="7" t="n"/>
      <c r="AI891" s="11" t="n"/>
      <c r="AK891">
        <f>IF($D891="","",IF(COUNTIF($D$2:$D891,$D891)=1,1,0))</f>
        <v/>
      </c>
      <c r="AL891">
        <f>IF($AK891=1,SUMPRODUCT(--($AO$2:$AO$1601&lt;$AO891))+1,"")</f>
        <v/>
      </c>
      <c r="AM891">
        <f>IF($D891="","",IF(OR($R891=TRUE(),$R891="TRUE"),1,0))</f>
        <v/>
      </c>
      <c r="AN891">
        <f>IF($D891="","",IF($AA891="Yes",1,0))</f>
        <v/>
      </c>
      <c r="AO891">
        <f>IF($AK891=1,IFERROR(IF(VALUE($D891)&lt;100000000,VALUE($D891),1000000000),IFERROR(IF(VALUE(MID($D891,2,20))&lt;100000000,VALUE(MID($D891,2,20)),1000000000),1000000000))+ROW()/100000,"")</f>
        <v/>
      </c>
    </row>
    <row r="892">
      <c r="F892" s="11" t="n"/>
      <c r="N892" s="7">
        <f>IF($D892="","",M892*X892/100)</f>
        <v/>
      </c>
      <c r="O892" s="7" t="n"/>
      <c r="U892" s="7" t="n"/>
      <c r="V892" s="7" t="n"/>
      <c r="W892" s="7">
        <f>IF($D892="","",V892*AB892/100)</f>
        <v/>
      </c>
      <c r="X892" s="7">
        <f>IF($D892="","",V892-W892)</f>
        <v/>
      </c>
      <c r="Y892" s="7">
        <f>IF($D892="","",X892-N892)</f>
        <v/>
      </c>
      <c r="AB892">
        <f>IF($D892="","",IF($AN892=1,Settings!$C$8,IF($AM892=1,Settings!$C$6,Settings!$C$7))*100)</f>
        <v/>
      </c>
      <c r="AF892" s="7" t="n"/>
      <c r="AI892" s="11" t="n"/>
      <c r="AK892">
        <f>IF($D892="","",IF(COUNTIF($D$2:$D892,$D892)=1,1,0))</f>
        <v/>
      </c>
      <c r="AL892">
        <f>IF($AK892=1,SUMPRODUCT(--($AO$2:$AO$1601&lt;$AO892))+1,"")</f>
        <v/>
      </c>
      <c r="AM892">
        <f>IF($D892="","",IF(OR($R892=TRUE(),$R892="TRUE"),1,0))</f>
        <v/>
      </c>
      <c r="AN892">
        <f>IF($D892="","",IF($AA892="Yes",1,0))</f>
        <v/>
      </c>
      <c r="AO892">
        <f>IF($AK892=1,IFERROR(IF(VALUE($D892)&lt;100000000,VALUE($D892),1000000000),IFERROR(IF(VALUE(MID($D892,2,20))&lt;100000000,VALUE(MID($D892,2,20)),1000000000),1000000000))+ROW()/100000,"")</f>
        <v/>
      </c>
    </row>
    <row r="893">
      <c r="F893" s="11" t="n"/>
      <c r="N893" s="7">
        <f>IF($D893="","",M893*X893/100)</f>
        <v/>
      </c>
      <c r="O893" s="7" t="n"/>
      <c r="U893" s="7" t="n"/>
      <c r="V893" s="7" t="n"/>
      <c r="W893" s="7">
        <f>IF($D893="","",V893*AB893/100)</f>
        <v/>
      </c>
      <c r="X893" s="7">
        <f>IF($D893="","",V893-W893)</f>
        <v/>
      </c>
      <c r="Y893" s="7">
        <f>IF($D893="","",X893-N893)</f>
        <v/>
      </c>
      <c r="AB893">
        <f>IF($D893="","",IF($AN893=1,Settings!$C$8,IF($AM893=1,Settings!$C$6,Settings!$C$7))*100)</f>
        <v/>
      </c>
      <c r="AF893" s="7" t="n"/>
      <c r="AI893" s="11" t="n"/>
      <c r="AK893">
        <f>IF($D893="","",IF(COUNTIF($D$2:$D893,$D893)=1,1,0))</f>
        <v/>
      </c>
      <c r="AL893">
        <f>IF($AK893=1,SUMPRODUCT(--($AO$2:$AO$1601&lt;$AO893))+1,"")</f>
        <v/>
      </c>
      <c r="AM893">
        <f>IF($D893="","",IF(OR($R893=TRUE(),$R893="TRUE"),1,0))</f>
        <v/>
      </c>
      <c r="AN893">
        <f>IF($D893="","",IF($AA893="Yes",1,0))</f>
        <v/>
      </c>
      <c r="AO893">
        <f>IF($AK893=1,IFERROR(IF(VALUE($D893)&lt;100000000,VALUE($D893),1000000000),IFERROR(IF(VALUE(MID($D893,2,20))&lt;100000000,VALUE(MID($D893,2,20)),1000000000),1000000000))+ROW()/100000,"")</f>
        <v/>
      </c>
    </row>
    <row r="894">
      <c r="F894" s="11" t="n"/>
      <c r="N894" s="7">
        <f>IF($D894="","",M894*X894/100)</f>
        <v/>
      </c>
      <c r="O894" s="7" t="n"/>
      <c r="U894" s="7" t="n"/>
      <c r="V894" s="7" t="n"/>
      <c r="W894" s="7">
        <f>IF($D894="","",V894*AB894/100)</f>
        <v/>
      </c>
      <c r="X894" s="7">
        <f>IF($D894="","",V894-W894)</f>
        <v/>
      </c>
      <c r="Y894" s="7">
        <f>IF($D894="","",X894-N894)</f>
        <v/>
      </c>
      <c r="AB894">
        <f>IF($D894="","",IF($AN894=1,Settings!$C$8,IF($AM894=1,Settings!$C$6,Settings!$C$7))*100)</f>
        <v/>
      </c>
      <c r="AF894" s="7" t="n"/>
      <c r="AI894" s="11" t="n"/>
      <c r="AK894">
        <f>IF($D894="","",IF(COUNTIF($D$2:$D894,$D894)=1,1,0))</f>
        <v/>
      </c>
      <c r="AL894">
        <f>IF($AK894=1,SUMPRODUCT(--($AO$2:$AO$1601&lt;$AO894))+1,"")</f>
        <v/>
      </c>
      <c r="AM894">
        <f>IF($D894="","",IF(OR($R894=TRUE(),$R894="TRUE"),1,0))</f>
        <v/>
      </c>
      <c r="AN894">
        <f>IF($D894="","",IF($AA894="Yes",1,0))</f>
        <v/>
      </c>
      <c r="AO894">
        <f>IF($AK894=1,IFERROR(IF(VALUE($D894)&lt;100000000,VALUE($D894),1000000000),IFERROR(IF(VALUE(MID($D894,2,20))&lt;100000000,VALUE(MID($D894,2,20)),1000000000),1000000000))+ROW()/100000,"")</f>
        <v/>
      </c>
    </row>
    <row r="895">
      <c r="F895" s="11" t="n"/>
      <c r="N895" s="7">
        <f>IF($D895="","",M895*X895/100)</f>
        <v/>
      </c>
      <c r="O895" s="7" t="n"/>
      <c r="U895" s="7" t="n"/>
      <c r="V895" s="7" t="n"/>
      <c r="W895" s="7">
        <f>IF($D895="","",V895*AB895/100)</f>
        <v/>
      </c>
      <c r="X895" s="7">
        <f>IF($D895="","",V895-W895)</f>
        <v/>
      </c>
      <c r="Y895" s="7">
        <f>IF($D895="","",X895-N895)</f>
        <v/>
      </c>
      <c r="AB895">
        <f>IF($D895="","",IF($AN895=1,Settings!$C$8,IF($AM895=1,Settings!$C$6,Settings!$C$7))*100)</f>
        <v/>
      </c>
      <c r="AF895" s="7" t="n"/>
      <c r="AI895" s="11" t="n"/>
      <c r="AK895">
        <f>IF($D895="","",IF(COUNTIF($D$2:$D895,$D895)=1,1,0))</f>
        <v/>
      </c>
      <c r="AL895">
        <f>IF($AK895=1,SUMPRODUCT(--($AO$2:$AO$1601&lt;$AO895))+1,"")</f>
        <v/>
      </c>
      <c r="AM895">
        <f>IF($D895="","",IF(OR($R895=TRUE(),$R895="TRUE"),1,0))</f>
        <v/>
      </c>
      <c r="AN895">
        <f>IF($D895="","",IF($AA895="Yes",1,0))</f>
        <v/>
      </c>
      <c r="AO895">
        <f>IF($AK895=1,IFERROR(IF(VALUE($D895)&lt;100000000,VALUE($D895),1000000000),IFERROR(IF(VALUE(MID($D895,2,20))&lt;100000000,VALUE(MID($D895,2,20)),1000000000),1000000000))+ROW()/100000,"")</f>
        <v/>
      </c>
    </row>
    <row r="896">
      <c r="F896" s="11" t="n"/>
      <c r="N896" s="7">
        <f>IF($D896="","",M896*X896/100)</f>
        <v/>
      </c>
      <c r="O896" s="7" t="n"/>
      <c r="U896" s="7" t="n"/>
      <c r="V896" s="7" t="n"/>
      <c r="W896" s="7">
        <f>IF($D896="","",V896*AB896/100)</f>
        <v/>
      </c>
      <c r="X896" s="7">
        <f>IF($D896="","",V896-W896)</f>
        <v/>
      </c>
      <c r="Y896" s="7">
        <f>IF($D896="","",X896-N896)</f>
        <v/>
      </c>
      <c r="AB896">
        <f>IF($D896="","",IF($AN896=1,Settings!$C$8,IF($AM896=1,Settings!$C$6,Settings!$C$7))*100)</f>
        <v/>
      </c>
      <c r="AF896" s="7" t="n"/>
      <c r="AI896" s="11" t="n"/>
      <c r="AK896">
        <f>IF($D896="","",IF(COUNTIF($D$2:$D896,$D896)=1,1,0))</f>
        <v/>
      </c>
      <c r="AL896">
        <f>IF($AK896=1,SUMPRODUCT(--($AO$2:$AO$1601&lt;$AO896))+1,"")</f>
        <v/>
      </c>
      <c r="AM896">
        <f>IF($D896="","",IF(OR($R896=TRUE(),$R896="TRUE"),1,0))</f>
        <v/>
      </c>
      <c r="AN896">
        <f>IF($D896="","",IF($AA896="Yes",1,0))</f>
        <v/>
      </c>
      <c r="AO896">
        <f>IF($AK896=1,IFERROR(IF(VALUE($D896)&lt;100000000,VALUE($D896),1000000000),IFERROR(IF(VALUE(MID($D896,2,20))&lt;100000000,VALUE(MID($D896,2,20)),1000000000),1000000000))+ROW()/100000,"")</f>
        <v/>
      </c>
    </row>
    <row r="897">
      <c r="F897" s="11" t="n"/>
      <c r="N897" s="7">
        <f>IF($D897="","",M897*X897/100)</f>
        <v/>
      </c>
      <c r="O897" s="7" t="n"/>
      <c r="U897" s="7" t="n"/>
      <c r="V897" s="7" t="n"/>
      <c r="W897" s="7">
        <f>IF($D897="","",V897*AB897/100)</f>
        <v/>
      </c>
      <c r="X897" s="7">
        <f>IF($D897="","",V897-W897)</f>
        <v/>
      </c>
      <c r="Y897" s="7">
        <f>IF($D897="","",X897-N897)</f>
        <v/>
      </c>
      <c r="AB897">
        <f>IF($D897="","",IF($AN897=1,Settings!$C$8,IF($AM897=1,Settings!$C$6,Settings!$C$7))*100)</f>
        <v/>
      </c>
      <c r="AF897" s="7" t="n"/>
      <c r="AI897" s="11" t="n"/>
      <c r="AK897">
        <f>IF($D897="","",IF(COUNTIF($D$2:$D897,$D897)=1,1,0))</f>
        <v/>
      </c>
      <c r="AL897">
        <f>IF($AK897=1,SUMPRODUCT(--($AO$2:$AO$1601&lt;$AO897))+1,"")</f>
        <v/>
      </c>
      <c r="AM897">
        <f>IF($D897="","",IF(OR($R897=TRUE(),$R897="TRUE"),1,0))</f>
        <v/>
      </c>
      <c r="AN897">
        <f>IF($D897="","",IF($AA897="Yes",1,0))</f>
        <v/>
      </c>
      <c r="AO897">
        <f>IF($AK897=1,IFERROR(IF(VALUE($D897)&lt;100000000,VALUE($D897),1000000000),IFERROR(IF(VALUE(MID($D897,2,20))&lt;100000000,VALUE(MID($D897,2,20)),1000000000),1000000000))+ROW()/100000,"")</f>
        <v/>
      </c>
    </row>
    <row r="898">
      <c r="F898" s="11" t="n"/>
      <c r="N898" s="7">
        <f>IF($D898="","",M898*X898/100)</f>
        <v/>
      </c>
      <c r="O898" s="7" t="n"/>
      <c r="U898" s="7" t="n"/>
      <c r="V898" s="7" t="n"/>
      <c r="W898" s="7">
        <f>IF($D898="","",V898*AB898/100)</f>
        <v/>
      </c>
      <c r="X898" s="7">
        <f>IF($D898="","",V898-W898)</f>
        <v/>
      </c>
      <c r="Y898" s="7">
        <f>IF($D898="","",X898-N898)</f>
        <v/>
      </c>
      <c r="AB898">
        <f>IF($D898="","",IF($AN898=1,Settings!$C$8,IF($AM898=1,Settings!$C$6,Settings!$C$7))*100)</f>
        <v/>
      </c>
      <c r="AF898" s="7" t="n"/>
      <c r="AI898" s="11" t="n"/>
      <c r="AK898">
        <f>IF($D898="","",IF(COUNTIF($D$2:$D898,$D898)=1,1,0))</f>
        <v/>
      </c>
      <c r="AL898">
        <f>IF($AK898=1,SUMPRODUCT(--($AO$2:$AO$1601&lt;$AO898))+1,"")</f>
        <v/>
      </c>
      <c r="AM898">
        <f>IF($D898="","",IF(OR($R898=TRUE(),$R898="TRUE"),1,0))</f>
        <v/>
      </c>
      <c r="AN898">
        <f>IF($D898="","",IF($AA898="Yes",1,0))</f>
        <v/>
      </c>
      <c r="AO898">
        <f>IF($AK898=1,IFERROR(IF(VALUE($D898)&lt;100000000,VALUE($D898),1000000000),IFERROR(IF(VALUE(MID($D898,2,20))&lt;100000000,VALUE(MID($D898,2,20)),1000000000),1000000000))+ROW()/100000,"")</f>
        <v/>
      </c>
    </row>
    <row r="899">
      <c r="F899" s="11" t="n"/>
      <c r="N899" s="7">
        <f>IF($D899="","",M899*X899/100)</f>
        <v/>
      </c>
      <c r="O899" s="7" t="n"/>
      <c r="U899" s="7" t="n"/>
      <c r="V899" s="7" t="n"/>
      <c r="W899" s="7">
        <f>IF($D899="","",V899*AB899/100)</f>
        <v/>
      </c>
      <c r="X899" s="7">
        <f>IF($D899="","",V899-W899)</f>
        <v/>
      </c>
      <c r="Y899" s="7">
        <f>IF($D899="","",X899-N899)</f>
        <v/>
      </c>
      <c r="AB899">
        <f>IF($D899="","",IF($AN899=1,Settings!$C$8,IF($AM899=1,Settings!$C$6,Settings!$C$7))*100)</f>
        <v/>
      </c>
      <c r="AF899" s="7" t="n"/>
      <c r="AI899" s="11" t="n"/>
      <c r="AK899">
        <f>IF($D899="","",IF(COUNTIF($D$2:$D899,$D899)=1,1,0))</f>
        <v/>
      </c>
      <c r="AL899">
        <f>IF($AK899=1,SUMPRODUCT(--($AO$2:$AO$1601&lt;$AO899))+1,"")</f>
        <v/>
      </c>
      <c r="AM899">
        <f>IF($D899="","",IF(OR($R899=TRUE(),$R899="TRUE"),1,0))</f>
        <v/>
      </c>
      <c r="AN899">
        <f>IF($D899="","",IF($AA899="Yes",1,0))</f>
        <v/>
      </c>
      <c r="AO899">
        <f>IF($AK899=1,IFERROR(IF(VALUE($D899)&lt;100000000,VALUE($D899),1000000000),IFERROR(IF(VALUE(MID($D899,2,20))&lt;100000000,VALUE(MID($D899,2,20)),1000000000),1000000000))+ROW()/100000,"")</f>
        <v/>
      </c>
    </row>
    <row r="900">
      <c r="F900" s="11" t="n"/>
      <c r="N900" s="7">
        <f>IF($D900="","",M900*X900/100)</f>
        <v/>
      </c>
      <c r="O900" s="7" t="n"/>
      <c r="U900" s="7" t="n"/>
      <c r="V900" s="7" t="n"/>
      <c r="W900" s="7">
        <f>IF($D900="","",V900*AB900/100)</f>
        <v/>
      </c>
      <c r="X900" s="7">
        <f>IF($D900="","",V900-W900)</f>
        <v/>
      </c>
      <c r="Y900" s="7">
        <f>IF($D900="","",X900-N900)</f>
        <v/>
      </c>
      <c r="AB900">
        <f>IF($D900="","",IF($AN900=1,Settings!$C$8,IF($AM900=1,Settings!$C$6,Settings!$C$7))*100)</f>
        <v/>
      </c>
      <c r="AF900" s="7" t="n"/>
      <c r="AI900" s="11" t="n"/>
      <c r="AK900">
        <f>IF($D900="","",IF(COUNTIF($D$2:$D900,$D900)=1,1,0))</f>
        <v/>
      </c>
      <c r="AL900">
        <f>IF($AK900=1,SUMPRODUCT(--($AO$2:$AO$1601&lt;$AO900))+1,"")</f>
        <v/>
      </c>
      <c r="AM900">
        <f>IF($D900="","",IF(OR($R900=TRUE(),$R900="TRUE"),1,0))</f>
        <v/>
      </c>
      <c r="AN900">
        <f>IF($D900="","",IF($AA900="Yes",1,0))</f>
        <v/>
      </c>
      <c r="AO900">
        <f>IF($AK900=1,IFERROR(IF(VALUE($D900)&lt;100000000,VALUE($D900),1000000000),IFERROR(IF(VALUE(MID($D900,2,20))&lt;100000000,VALUE(MID($D900,2,20)),1000000000),1000000000))+ROW()/100000,"")</f>
        <v/>
      </c>
    </row>
    <row r="901">
      <c r="F901" s="11" t="n"/>
      <c r="N901" s="7">
        <f>IF($D901="","",M901*X901/100)</f>
        <v/>
      </c>
      <c r="O901" s="7" t="n"/>
      <c r="U901" s="7" t="n"/>
      <c r="V901" s="7" t="n"/>
      <c r="W901" s="7">
        <f>IF($D901="","",V901*AB901/100)</f>
        <v/>
      </c>
      <c r="X901" s="7">
        <f>IF($D901="","",V901-W901)</f>
        <v/>
      </c>
      <c r="Y901" s="7">
        <f>IF($D901="","",X901-N901)</f>
        <v/>
      </c>
      <c r="AB901">
        <f>IF($D901="","",IF($AN901=1,Settings!$C$8,IF($AM901=1,Settings!$C$6,Settings!$C$7))*100)</f>
        <v/>
      </c>
      <c r="AF901" s="7" t="n"/>
      <c r="AI901" s="11" t="n"/>
      <c r="AK901">
        <f>IF($D901="","",IF(COUNTIF($D$2:$D901,$D901)=1,1,0))</f>
        <v/>
      </c>
      <c r="AL901">
        <f>IF($AK901=1,SUMPRODUCT(--($AO$2:$AO$1601&lt;$AO901))+1,"")</f>
        <v/>
      </c>
      <c r="AM901">
        <f>IF($D901="","",IF(OR($R901=TRUE(),$R901="TRUE"),1,0))</f>
        <v/>
      </c>
      <c r="AN901">
        <f>IF($D901="","",IF($AA901="Yes",1,0))</f>
        <v/>
      </c>
      <c r="AO901">
        <f>IF($AK901=1,IFERROR(IF(VALUE($D901)&lt;100000000,VALUE($D901),1000000000),IFERROR(IF(VALUE(MID($D901,2,20))&lt;100000000,VALUE(MID($D901,2,20)),1000000000),1000000000))+ROW()/100000,"")</f>
        <v/>
      </c>
    </row>
    <row r="902">
      <c r="F902" s="11" t="n"/>
      <c r="N902" s="7">
        <f>IF($D902="","",M902*X902/100)</f>
        <v/>
      </c>
      <c r="O902" s="7" t="n"/>
      <c r="U902" s="7" t="n"/>
      <c r="V902" s="7" t="n"/>
      <c r="W902" s="7">
        <f>IF($D902="","",V902*AB902/100)</f>
        <v/>
      </c>
      <c r="X902" s="7">
        <f>IF($D902="","",V902-W902)</f>
        <v/>
      </c>
      <c r="Y902" s="7">
        <f>IF($D902="","",X902-N902)</f>
        <v/>
      </c>
      <c r="AB902">
        <f>IF($D902="","",IF($AN902=1,Settings!$C$8,IF($AM902=1,Settings!$C$6,Settings!$C$7))*100)</f>
        <v/>
      </c>
      <c r="AF902" s="7" t="n"/>
      <c r="AI902" s="11" t="n"/>
      <c r="AK902">
        <f>IF($D902="","",IF(COUNTIF($D$2:$D902,$D902)=1,1,0))</f>
        <v/>
      </c>
      <c r="AL902">
        <f>IF($AK902=1,SUMPRODUCT(--($AO$2:$AO$1601&lt;$AO902))+1,"")</f>
        <v/>
      </c>
      <c r="AM902">
        <f>IF($D902="","",IF(OR($R902=TRUE(),$R902="TRUE"),1,0))</f>
        <v/>
      </c>
      <c r="AN902">
        <f>IF($D902="","",IF($AA902="Yes",1,0))</f>
        <v/>
      </c>
      <c r="AO902">
        <f>IF($AK902=1,IFERROR(IF(VALUE($D902)&lt;100000000,VALUE($D902),1000000000),IFERROR(IF(VALUE(MID($D902,2,20))&lt;100000000,VALUE(MID($D902,2,20)),1000000000),1000000000))+ROW()/100000,"")</f>
        <v/>
      </c>
    </row>
    <row r="903">
      <c r="F903" s="11" t="n"/>
      <c r="N903" s="7">
        <f>IF($D903="","",M903*X903/100)</f>
        <v/>
      </c>
      <c r="O903" s="7" t="n"/>
      <c r="U903" s="7" t="n"/>
      <c r="V903" s="7" t="n"/>
      <c r="W903" s="7">
        <f>IF($D903="","",V903*AB903/100)</f>
        <v/>
      </c>
      <c r="X903" s="7">
        <f>IF($D903="","",V903-W903)</f>
        <v/>
      </c>
      <c r="Y903" s="7">
        <f>IF($D903="","",X903-N903)</f>
        <v/>
      </c>
      <c r="AB903">
        <f>IF($D903="","",IF($AN903=1,Settings!$C$8,IF($AM903=1,Settings!$C$6,Settings!$C$7))*100)</f>
        <v/>
      </c>
      <c r="AF903" s="7" t="n"/>
      <c r="AI903" s="11" t="n"/>
      <c r="AK903">
        <f>IF($D903="","",IF(COUNTIF($D$2:$D903,$D903)=1,1,0))</f>
        <v/>
      </c>
      <c r="AL903">
        <f>IF($AK903=1,SUMPRODUCT(--($AO$2:$AO$1601&lt;$AO903))+1,"")</f>
        <v/>
      </c>
      <c r="AM903">
        <f>IF($D903="","",IF(OR($R903=TRUE(),$R903="TRUE"),1,0))</f>
        <v/>
      </c>
      <c r="AN903">
        <f>IF($D903="","",IF($AA903="Yes",1,0))</f>
        <v/>
      </c>
      <c r="AO903">
        <f>IF($AK903=1,IFERROR(IF(VALUE($D903)&lt;100000000,VALUE($D903),1000000000),IFERROR(IF(VALUE(MID($D903,2,20))&lt;100000000,VALUE(MID($D903,2,20)),1000000000),1000000000))+ROW()/100000,"")</f>
        <v/>
      </c>
    </row>
    <row r="904">
      <c r="F904" s="11" t="n"/>
      <c r="N904" s="7">
        <f>IF($D904="","",M904*X904/100)</f>
        <v/>
      </c>
      <c r="O904" s="7" t="n"/>
      <c r="U904" s="7" t="n"/>
      <c r="V904" s="7" t="n"/>
      <c r="W904" s="7">
        <f>IF($D904="","",V904*AB904/100)</f>
        <v/>
      </c>
      <c r="X904" s="7">
        <f>IF($D904="","",V904-W904)</f>
        <v/>
      </c>
      <c r="Y904" s="7">
        <f>IF($D904="","",X904-N904)</f>
        <v/>
      </c>
      <c r="AB904">
        <f>IF($D904="","",IF($AN904=1,Settings!$C$8,IF($AM904=1,Settings!$C$6,Settings!$C$7))*100)</f>
        <v/>
      </c>
      <c r="AF904" s="7" t="n"/>
      <c r="AI904" s="11" t="n"/>
      <c r="AK904">
        <f>IF($D904="","",IF(COUNTIF($D$2:$D904,$D904)=1,1,0))</f>
        <v/>
      </c>
      <c r="AL904">
        <f>IF($AK904=1,SUMPRODUCT(--($AO$2:$AO$1601&lt;$AO904))+1,"")</f>
        <v/>
      </c>
      <c r="AM904">
        <f>IF($D904="","",IF(OR($R904=TRUE(),$R904="TRUE"),1,0))</f>
        <v/>
      </c>
      <c r="AN904">
        <f>IF($D904="","",IF($AA904="Yes",1,0))</f>
        <v/>
      </c>
      <c r="AO904">
        <f>IF($AK904=1,IFERROR(IF(VALUE($D904)&lt;100000000,VALUE($D904),1000000000),IFERROR(IF(VALUE(MID($D904,2,20))&lt;100000000,VALUE(MID($D904,2,20)),1000000000),1000000000))+ROW()/100000,"")</f>
        <v/>
      </c>
    </row>
    <row r="905">
      <c r="F905" s="11" t="n"/>
      <c r="N905" s="7">
        <f>IF($D905="","",M905*X905/100)</f>
        <v/>
      </c>
      <c r="O905" s="7" t="n"/>
      <c r="U905" s="7" t="n"/>
      <c r="V905" s="7" t="n"/>
      <c r="W905" s="7">
        <f>IF($D905="","",V905*AB905/100)</f>
        <v/>
      </c>
      <c r="X905" s="7">
        <f>IF($D905="","",V905-W905)</f>
        <v/>
      </c>
      <c r="Y905" s="7">
        <f>IF($D905="","",X905-N905)</f>
        <v/>
      </c>
      <c r="AB905">
        <f>IF($D905="","",IF($AN905=1,Settings!$C$8,IF($AM905=1,Settings!$C$6,Settings!$C$7))*100)</f>
        <v/>
      </c>
      <c r="AF905" s="7" t="n"/>
      <c r="AI905" s="11" t="n"/>
      <c r="AK905">
        <f>IF($D905="","",IF(COUNTIF($D$2:$D905,$D905)=1,1,0))</f>
        <v/>
      </c>
      <c r="AL905">
        <f>IF($AK905=1,SUMPRODUCT(--($AO$2:$AO$1601&lt;$AO905))+1,"")</f>
        <v/>
      </c>
      <c r="AM905">
        <f>IF($D905="","",IF(OR($R905=TRUE(),$R905="TRUE"),1,0))</f>
        <v/>
      </c>
      <c r="AN905">
        <f>IF($D905="","",IF($AA905="Yes",1,0))</f>
        <v/>
      </c>
      <c r="AO905">
        <f>IF($AK905=1,IFERROR(IF(VALUE($D905)&lt;100000000,VALUE($D905),1000000000),IFERROR(IF(VALUE(MID($D905,2,20))&lt;100000000,VALUE(MID($D905,2,20)),1000000000),1000000000))+ROW()/100000,"")</f>
        <v/>
      </c>
    </row>
    <row r="906">
      <c r="F906" s="11" t="n"/>
      <c r="N906" s="7">
        <f>IF($D906="","",M906*X906/100)</f>
        <v/>
      </c>
      <c r="O906" s="7" t="n"/>
      <c r="U906" s="7" t="n"/>
      <c r="V906" s="7" t="n"/>
      <c r="W906" s="7">
        <f>IF($D906="","",V906*AB906/100)</f>
        <v/>
      </c>
      <c r="X906" s="7">
        <f>IF($D906="","",V906-W906)</f>
        <v/>
      </c>
      <c r="Y906" s="7">
        <f>IF($D906="","",X906-N906)</f>
        <v/>
      </c>
      <c r="AB906">
        <f>IF($D906="","",IF($AN906=1,Settings!$C$8,IF($AM906=1,Settings!$C$6,Settings!$C$7))*100)</f>
        <v/>
      </c>
      <c r="AF906" s="7" t="n"/>
      <c r="AI906" s="11" t="n"/>
      <c r="AK906">
        <f>IF($D906="","",IF(COUNTIF($D$2:$D906,$D906)=1,1,0))</f>
        <v/>
      </c>
      <c r="AL906">
        <f>IF($AK906=1,SUMPRODUCT(--($AO$2:$AO$1601&lt;$AO906))+1,"")</f>
        <v/>
      </c>
      <c r="AM906">
        <f>IF($D906="","",IF(OR($R906=TRUE(),$R906="TRUE"),1,0))</f>
        <v/>
      </c>
      <c r="AN906">
        <f>IF($D906="","",IF($AA906="Yes",1,0))</f>
        <v/>
      </c>
      <c r="AO906">
        <f>IF($AK906=1,IFERROR(IF(VALUE($D906)&lt;100000000,VALUE($D906),1000000000),IFERROR(IF(VALUE(MID($D906,2,20))&lt;100000000,VALUE(MID($D906,2,20)),1000000000),1000000000))+ROW()/100000,"")</f>
        <v/>
      </c>
    </row>
    <row r="907">
      <c r="F907" s="11" t="n"/>
      <c r="N907" s="7">
        <f>IF($D907="","",M907*X907/100)</f>
        <v/>
      </c>
      <c r="O907" s="7" t="n"/>
      <c r="U907" s="7" t="n"/>
      <c r="V907" s="7" t="n"/>
      <c r="W907" s="7">
        <f>IF($D907="","",V907*AB907/100)</f>
        <v/>
      </c>
      <c r="X907" s="7">
        <f>IF($D907="","",V907-W907)</f>
        <v/>
      </c>
      <c r="Y907" s="7">
        <f>IF($D907="","",X907-N907)</f>
        <v/>
      </c>
      <c r="AB907">
        <f>IF($D907="","",IF($AN907=1,Settings!$C$8,IF($AM907=1,Settings!$C$6,Settings!$C$7))*100)</f>
        <v/>
      </c>
      <c r="AF907" s="7" t="n"/>
      <c r="AI907" s="11" t="n"/>
      <c r="AK907">
        <f>IF($D907="","",IF(COUNTIF($D$2:$D907,$D907)=1,1,0))</f>
        <v/>
      </c>
      <c r="AL907">
        <f>IF($AK907=1,SUMPRODUCT(--($AO$2:$AO$1601&lt;$AO907))+1,"")</f>
        <v/>
      </c>
      <c r="AM907">
        <f>IF($D907="","",IF(OR($R907=TRUE(),$R907="TRUE"),1,0))</f>
        <v/>
      </c>
      <c r="AN907">
        <f>IF($D907="","",IF($AA907="Yes",1,0))</f>
        <v/>
      </c>
      <c r="AO907">
        <f>IF($AK907=1,IFERROR(IF(VALUE($D907)&lt;100000000,VALUE($D907),1000000000),IFERROR(IF(VALUE(MID($D907,2,20))&lt;100000000,VALUE(MID($D907,2,20)),1000000000),1000000000))+ROW()/100000,"")</f>
        <v/>
      </c>
    </row>
    <row r="908">
      <c r="F908" s="11" t="n"/>
      <c r="N908" s="7">
        <f>IF($D908="","",M908*X908/100)</f>
        <v/>
      </c>
      <c r="O908" s="7" t="n"/>
      <c r="U908" s="7" t="n"/>
      <c r="V908" s="7" t="n"/>
      <c r="W908" s="7">
        <f>IF($D908="","",V908*AB908/100)</f>
        <v/>
      </c>
      <c r="X908" s="7">
        <f>IF($D908="","",V908-W908)</f>
        <v/>
      </c>
      <c r="Y908" s="7">
        <f>IF($D908="","",X908-N908)</f>
        <v/>
      </c>
      <c r="AB908">
        <f>IF($D908="","",IF($AN908=1,Settings!$C$8,IF($AM908=1,Settings!$C$6,Settings!$C$7))*100)</f>
        <v/>
      </c>
      <c r="AF908" s="7" t="n"/>
      <c r="AI908" s="11" t="n"/>
      <c r="AK908">
        <f>IF($D908="","",IF(COUNTIF($D$2:$D908,$D908)=1,1,0))</f>
        <v/>
      </c>
      <c r="AL908">
        <f>IF($AK908=1,SUMPRODUCT(--($AO$2:$AO$1601&lt;$AO908))+1,"")</f>
        <v/>
      </c>
      <c r="AM908">
        <f>IF($D908="","",IF(OR($R908=TRUE(),$R908="TRUE"),1,0))</f>
        <v/>
      </c>
      <c r="AN908">
        <f>IF($D908="","",IF($AA908="Yes",1,0))</f>
        <v/>
      </c>
      <c r="AO908">
        <f>IF($AK908=1,IFERROR(IF(VALUE($D908)&lt;100000000,VALUE($D908),1000000000),IFERROR(IF(VALUE(MID($D908,2,20))&lt;100000000,VALUE(MID($D908,2,20)),1000000000),1000000000))+ROW()/100000,"")</f>
        <v/>
      </c>
    </row>
    <row r="909">
      <c r="F909" s="11" t="n"/>
      <c r="N909" s="7">
        <f>IF($D909="","",M909*X909/100)</f>
        <v/>
      </c>
      <c r="O909" s="7" t="n"/>
      <c r="U909" s="7" t="n"/>
      <c r="V909" s="7" t="n"/>
      <c r="W909" s="7">
        <f>IF($D909="","",V909*AB909/100)</f>
        <v/>
      </c>
      <c r="X909" s="7">
        <f>IF($D909="","",V909-W909)</f>
        <v/>
      </c>
      <c r="Y909" s="7">
        <f>IF($D909="","",X909-N909)</f>
        <v/>
      </c>
      <c r="AB909">
        <f>IF($D909="","",IF($AN909=1,Settings!$C$8,IF($AM909=1,Settings!$C$6,Settings!$C$7))*100)</f>
        <v/>
      </c>
      <c r="AF909" s="7" t="n"/>
      <c r="AI909" s="11" t="n"/>
      <c r="AK909">
        <f>IF($D909="","",IF(COUNTIF($D$2:$D909,$D909)=1,1,0))</f>
        <v/>
      </c>
      <c r="AL909">
        <f>IF($AK909=1,SUMPRODUCT(--($AO$2:$AO$1601&lt;$AO909))+1,"")</f>
        <v/>
      </c>
      <c r="AM909">
        <f>IF($D909="","",IF(OR($R909=TRUE(),$R909="TRUE"),1,0))</f>
        <v/>
      </c>
      <c r="AN909">
        <f>IF($D909="","",IF($AA909="Yes",1,0))</f>
        <v/>
      </c>
      <c r="AO909">
        <f>IF($AK909=1,IFERROR(IF(VALUE($D909)&lt;100000000,VALUE($D909),1000000000),IFERROR(IF(VALUE(MID($D909,2,20))&lt;100000000,VALUE(MID($D909,2,20)),1000000000),1000000000))+ROW()/100000,"")</f>
        <v/>
      </c>
    </row>
    <row r="910">
      <c r="F910" s="11" t="n"/>
      <c r="N910" s="7">
        <f>IF($D910="","",M910*X910/100)</f>
        <v/>
      </c>
      <c r="O910" s="7" t="n"/>
      <c r="U910" s="7" t="n"/>
      <c r="V910" s="7" t="n"/>
      <c r="W910" s="7">
        <f>IF($D910="","",V910*AB910/100)</f>
        <v/>
      </c>
      <c r="X910" s="7">
        <f>IF($D910="","",V910-W910)</f>
        <v/>
      </c>
      <c r="Y910" s="7">
        <f>IF($D910="","",X910-N910)</f>
        <v/>
      </c>
      <c r="AB910">
        <f>IF($D910="","",IF($AN910=1,Settings!$C$8,IF($AM910=1,Settings!$C$6,Settings!$C$7))*100)</f>
        <v/>
      </c>
      <c r="AF910" s="7" t="n"/>
      <c r="AI910" s="11" t="n"/>
      <c r="AK910">
        <f>IF($D910="","",IF(COUNTIF($D$2:$D910,$D910)=1,1,0))</f>
        <v/>
      </c>
      <c r="AL910">
        <f>IF($AK910=1,SUMPRODUCT(--($AO$2:$AO$1601&lt;$AO910))+1,"")</f>
        <v/>
      </c>
      <c r="AM910">
        <f>IF($D910="","",IF(OR($R910=TRUE(),$R910="TRUE"),1,0))</f>
        <v/>
      </c>
      <c r="AN910">
        <f>IF($D910="","",IF($AA910="Yes",1,0))</f>
        <v/>
      </c>
      <c r="AO910">
        <f>IF($AK910=1,IFERROR(IF(VALUE($D910)&lt;100000000,VALUE($D910),1000000000),IFERROR(IF(VALUE(MID($D910,2,20))&lt;100000000,VALUE(MID($D910,2,20)),1000000000),1000000000))+ROW()/100000,"")</f>
        <v/>
      </c>
    </row>
    <row r="911">
      <c r="F911" s="11" t="n"/>
      <c r="N911" s="7">
        <f>IF($D911="","",M911*X911/100)</f>
        <v/>
      </c>
      <c r="O911" s="7" t="n"/>
      <c r="U911" s="7" t="n"/>
      <c r="V911" s="7" t="n"/>
      <c r="W911" s="7">
        <f>IF($D911="","",V911*AB911/100)</f>
        <v/>
      </c>
      <c r="X911" s="7">
        <f>IF($D911="","",V911-W911)</f>
        <v/>
      </c>
      <c r="Y911" s="7">
        <f>IF($D911="","",X911-N911)</f>
        <v/>
      </c>
      <c r="AB911">
        <f>IF($D911="","",IF($AN911=1,Settings!$C$8,IF($AM911=1,Settings!$C$6,Settings!$C$7))*100)</f>
        <v/>
      </c>
      <c r="AF911" s="7" t="n"/>
      <c r="AI911" s="11" t="n"/>
      <c r="AK911">
        <f>IF($D911="","",IF(COUNTIF($D$2:$D911,$D911)=1,1,0))</f>
        <v/>
      </c>
      <c r="AL911">
        <f>IF($AK911=1,SUMPRODUCT(--($AO$2:$AO$1601&lt;$AO911))+1,"")</f>
        <v/>
      </c>
      <c r="AM911">
        <f>IF($D911="","",IF(OR($R911=TRUE(),$R911="TRUE"),1,0))</f>
        <v/>
      </c>
      <c r="AN911">
        <f>IF($D911="","",IF($AA911="Yes",1,0))</f>
        <v/>
      </c>
      <c r="AO911">
        <f>IF($AK911=1,IFERROR(IF(VALUE($D911)&lt;100000000,VALUE($D911),1000000000),IFERROR(IF(VALUE(MID($D911,2,20))&lt;100000000,VALUE(MID($D911,2,20)),1000000000),1000000000))+ROW()/100000,"")</f>
        <v/>
      </c>
    </row>
    <row r="912">
      <c r="F912" s="11" t="n"/>
      <c r="N912" s="7">
        <f>IF($D912="","",M912*X912/100)</f>
        <v/>
      </c>
      <c r="O912" s="7" t="n"/>
      <c r="U912" s="7" t="n"/>
      <c r="V912" s="7" t="n"/>
      <c r="W912" s="7">
        <f>IF($D912="","",V912*AB912/100)</f>
        <v/>
      </c>
      <c r="X912" s="7">
        <f>IF($D912="","",V912-W912)</f>
        <v/>
      </c>
      <c r="Y912" s="7">
        <f>IF($D912="","",X912-N912)</f>
        <v/>
      </c>
      <c r="AB912">
        <f>IF($D912="","",IF($AN912=1,Settings!$C$8,IF($AM912=1,Settings!$C$6,Settings!$C$7))*100)</f>
        <v/>
      </c>
      <c r="AF912" s="7" t="n"/>
      <c r="AI912" s="11" t="n"/>
      <c r="AK912">
        <f>IF($D912="","",IF(COUNTIF($D$2:$D912,$D912)=1,1,0))</f>
        <v/>
      </c>
      <c r="AL912">
        <f>IF($AK912=1,SUMPRODUCT(--($AO$2:$AO$1601&lt;$AO912))+1,"")</f>
        <v/>
      </c>
      <c r="AM912">
        <f>IF($D912="","",IF(OR($R912=TRUE(),$R912="TRUE"),1,0))</f>
        <v/>
      </c>
      <c r="AN912">
        <f>IF($D912="","",IF($AA912="Yes",1,0))</f>
        <v/>
      </c>
      <c r="AO912">
        <f>IF($AK912=1,IFERROR(IF(VALUE($D912)&lt;100000000,VALUE($D912),1000000000),IFERROR(IF(VALUE(MID($D912,2,20))&lt;100000000,VALUE(MID($D912,2,20)),1000000000),1000000000))+ROW()/100000,"")</f>
        <v/>
      </c>
    </row>
    <row r="913">
      <c r="F913" s="11" t="n"/>
      <c r="N913" s="7">
        <f>IF($D913="","",M913*X913/100)</f>
        <v/>
      </c>
      <c r="O913" s="7" t="n"/>
      <c r="U913" s="7" t="n"/>
      <c r="V913" s="7" t="n"/>
      <c r="W913" s="7">
        <f>IF($D913="","",V913*AB913/100)</f>
        <v/>
      </c>
      <c r="X913" s="7">
        <f>IF($D913="","",V913-W913)</f>
        <v/>
      </c>
      <c r="Y913" s="7">
        <f>IF($D913="","",X913-N913)</f>
        <v/>
      </c>
      <c r="AB913">
        <f>IF($D913="","",IF($AN913=1,Settings!$C$8,IF($AM913=1,Settings!$C$6,Settings!$C$7))*100)</f>
        <v/>
      </c>
      <c r="AF913" s="7" t="n"/>
      <c r="AI913" s="11" t="n"/>
      <c r="AK913">
        <f>IF($D913="","",IF(COUNTIF($D$2:$D913,$D913)=1,1,0))</f>
        <v/>
      </c>
      <c r="AL913">
        <f>IF($AK913=1,SUMPRODUCT(--($AO$2:$AO$1601&lt;$AO913))+1,"")</f>
        <v/>
      </c>
      <c r="AM913">
        <f>IF($D913="","",IF(OR($R913=TRUE(),$R913="TRUE"),1,0))</f>
        <v/>
      </c>
      <c r="AN913">
        <f>IF($D913="","",IF($AA913="Yes",1,0))</f>
        <v/>
      </c>
      <c r="AO913">
        <f>IF($AK913=1,IFERROR(IF(VALUE($D913)&lt;100000000,VALUE($D913),1000000000),IFERROR(IF(VALUE(MID($D913,2,20))&lt;100000000,VALUE(MID($D913,2,20)),1000000000),1000000000))+ROW()/100000,"")</f>
        <v/>
      </c>
    </row>
    <row r="914">
      <c r="F914" s="11" t="n"/>
      <c r="N914" s="7">
        <f>IF($D914="","",M914*X914/100)</f>
        <v/>
      </c>
      <c r="O914" s="7" t="n"/>
      <c r="U914" s="7" t="n"/>
      <c r="V914" s="7" t="n"/>
      <c r="W914" s="7">
        <f>IF($D914="","",V914*AB914/100)</f>
        <v/>
      </c>
      <c r="X914" s="7">
        <f>IF($D914="","",V914-W914)</f>
        <v/>
      </c>
      <c r="Y914" s="7">
        <f>IF($D914="","",X914-N914)</f>
        <v/>
      </c>
      <c r="AB914">
        <f>IF($D914="","",IF($AN914=1,Settings!$C$8,IF($AM914=1,Settings!$C$6,Settings!$C$7))*100)</f>
        <v/>
      </c>
      <c r="AF914" s="7" t="n"/>
      <c r="AI914" s="11" t="n"/>
      <c r="AK914">
        <f>IF($D914="","",IF(COUNTIF($D$2:$D914,$D914)=1,1,0))</f>
        <v/>
      </c>
      <c r="AL914">
        <f>IF($AK914=1,SUMPRODUCT(--($AO$2:$AO$1601&lt;$AO914))+1,"")</f>
        <v/>
      </c>
      <c r="AM914">
        <f>IF($D914="","",IF(OR($R914=TRUE(),$R914="TRUE"),1,0))</f>
        <v/>
      </c>
      <c r="AN914">
        <f>IF($D914="","",IF($AA914="Yes",1,0))</f>
        <v/>
      </c>
      <c r="AO914">
        <f>IF($AK914=1,IFERROR(IF(VALUE($D914)&lt;100000000,VALUE($D914),1000000000),IFERROR(IF(VALUE(MID($D914,2,20))&lt;100000000,VALUE(MID($D914,2,20)),1000000000),1000000000))+ROW()/100000,"")</f>
        <v/>
      </c>
    </row>
    <row r="915">
      <c r="F915" s="11" t="n"/>
      <c r="N915" s="7">
        <f>IF($D915="","",M915*X915/100)</f>
        <v/>
      </c>
      <c r="O915" s="7" t="n"/>
      <c r="U915" s="7" t="n"/>
      <c r="V915" s="7" t="n"/>
      <c r="W915" s="7">
        <f>IF($D915="","",V915*AB915/100)</f>
        <v/>
      </c>
      <c r="X915" s="7">
        <f>IF($D915="","",V915-W915)</f>
        <v/>
      </c>
      <c r="Y915" s="7">
        <f>IF($D915="","",X915-N915)</f>
        <v/>
      </c>
      <c r="AB915">
        <f>IF($D915="","",IF($AN915=1,Settings!$C$8,IF($AM915=1,Settings!$C$6,Settings!$C$7))*100)</f>
        <v/>
      </c>
      <c r="AF915" s="7" t="n"/>
      <c r="AI915" s="11" t="n"/>
      <c r="AK915">
        <f>IF($D915="","",IF(COUNTIF($D$2:$D915,$D915)=1,1,0))</f>
        <v/>
      </c>
      <c r="AL915">
        <f>IF($AK915=1,SUMPRODUCT(--($AO$2:$AO$1601&lt;$AO915))+1,"")</f>
        <v/>
      </c>
      <c r="AM915">
        <f>IF($D915="","",IF(OR($R915=TRUE(),$R915="TRUE"),1,0))</f>
        <v/>
      </c>
      <c r="AN915">
        <f>IF($D915="","",IF($AA915="Yes",1,0))</f>
        <v/>
      </c>
      <c r="AO915">
        <f>IF($AK915=1,IFERROR(IF(VALUE($D915)&lt;100000000,VALUE($D915),1000000000),IFERROR(IF(VALUE(MID($D915,2,20))&lt;100000000,VALUE(MID($D915,2,20)),1000000000),1000000000))+ROW()/100000,"")</f>
        <v/>
      </c>
    </row>
    <row r="916">
      <c r="F916" s="11" t="n"/>
      <c r="N916" s="7">
        <f>IF($D916="","",M916*X916/100)</f>
        <v/>
      </c>
      <c r="O916" s="7" t="n"/>
      <c r="U916" s="7" t="n"/>
      <c r="V916" s="7" t="n"/>
      <c r="W916" s="7">
        <f>IF($D916="","",V916*AB916/100)</f>
        <v/>
      </c>
      <c r="X916" s="7">
        <f>IF($D916="","",V916-W916)</f>
        <v/>
      </c>
      <c r="Y916" s="7">
        <f>IF($D916="","",X916-N916)</f>
        <v/>
      </c>
      <c r="AB916">
        <f>IF($D916="","",IF($AN916=1,Settings!$C$8,IF($AM916=1,Settings!$C$6,Settings!$C$7))*100)</f>
        <v/>
      </c>
      <c r="AF916" s="7" t="n"/>
      <c r="AI916" s="11" t="n"/>
      <c r="AK916">
        <f>IF($D916="","",IF(COUNTIF($D$2:$D916,$D916)=1,1,0))</f>
        <v/>
      </c>
      <c r="AL916">
        <f>IF($AK916=1,SUMPRODUCT(--($AO$2:$AO$1601&lt;$AO916))+1,"")</f>
        <v/>
      </c>
      <c r="AM916">
        <f>IF($D916="","",IF(OR($R916=TRUE(),$R916="TRUE"),1,0))</f>
        <v/>
      </c>
      <c r="AN916">
        <f>IF($D916="","",IF($AA916="Yes",1,0))</f>
        <v/>
      </c>
      <c r="AO916">
        <f>IF($AK916=1,IFERROR(IF(VALUE($D916)&lt;100000000,VALUE($D916),1000000000),IFERROR(IF(VALUE(MID($D916,2,20))&lt;100000000,VALUE(MID($D916,2,20)),1000000000),1000000000))+ROW()/100000,"")</f>
        <v/>
      </c>
    </row>
    <row r="917">
      <c r="F917" s="11" t="n"/>
      <c r="N917" s="7">
        <f>IF($D917="","",M917*X917/100)</f>
        <v/>
      </c>
      <c r="O917" s="7" t="n"/>
      <c r="U917" s="7" t="n"/>
      <c r="V917" s="7" t="n"/>
      <c r="W917" s="7">
        <f>IF($D917="","",V917*AB917/100)</f>
        <v/>
      </c>
      <c r="X917" s="7">
        <f>IF($D917="","",V917-W917)</f>
        <v/>
      </c>
      <c r="Y917" s="7">
        <f>IF($D917="","",X917-N917)</f>
        <v/>
      </c>
      <c r="AB917">
        <f>IF($D917="","",IF($AN917=1,Settings!$C$8,IF($AM917=1,Settings!$C$6,Settings!$C$7))*100)</f>
        <v/>
      </c>
      <c r="AF917" s="7" t="n"/>
      <c r="AI917" s="11" t="n"/>
      <c r="AK917">
        <f>IF($D917="","",IF(COUNTIF($D$2:$D917,$D917)=1,1,0))</f>
        <v/>
      </c>
      <c r="AL917">
        <f>IF($AK917=1,SUMPRODUCT(--($AO$2:$AO$1601&lt;$AO917))+1,"")</f>
        <v/>
      </c>
      <c r="AM917">
        <f>IF($D917="","",IF(OR($R917=TRUE(),$R917="TRUE"),1,0))</f>
        <v/>
      </c>
      <c r="AN917">
        <f>IF($D917="","",IF($AA917="Yes",1,0))</f>
        <v/>
      </c>
      <c r="AO917">
        <f>IF($AK917=1,IFERROR(IF(VALUE($D917)&lt;100000000,VALUE($D917),1000000000),IFERROR(IF(VALUE(MID($D917,2,20))&lt;100000000,VALUE(MID($D917,2,20)),1000000000),1000000000))+ROW()/100000,"")</f>
        <v/>
      </c>
    </row>
    <row r="918">
      <c r="F918" s="11" t="n"/>
      <c r="N918" s="7">
        <f>IF($D918="","",M918*X918/100)</f>
        <v/>
      </c>
      <c r="O918" s="7" t="n"/>
      <c r="U918" s="7" t="n"/>
      <c r="V918" s="7" t="n"/>
      <c r="W918" s="7">
        <f>IF($D918="","",V918*AB918/100)</f>
        <v/>
      </c>
      <c r="X918" s="7">
        <f>IF($D918="","",V918-W918)</f>
        <v/>
      </c>
      <c r="Y918" s="7">
        <f>IF($D918="","",X918-N918)</f>
        <v/>
      </c>
      <c r="AB918">
        <f>IF($D918="","",IF($AN918=1,Settings!$C$8,IF($AM918=1,Settings!$C$6,Settings!$C$7))*100)</f>
        <v/>
      </c>
      <c r="AF918" s="7" t="n"/>
      <c r="AI918" s="11" t="n"/>
      <c r="AK918">
        <f>IF($D918="","",IF(COUNTIF($D$2:$D918,$D918)=1,1,0))</f>
        <v/>
      </c>
      <c r="AL918">
        <f>IF($AK918=1,SUMPRODUCT(--($AO$2:$AO$1601&lt;$AO918))+1,"")</f>
        <v/>
      </c>
      <c r="AM918">
        <f>IF($D918="","",IF(OR($R918=TRUE(),$R918="TRUE"),1,0))</f>
        <v/>
      </c>
      <c r="AN918">
        <f>IF($D918="","",IF($AA918="Yes",1,0))</f>
        <v/>
      </c>
      <c r="AO918">
        <f>IF($AK918=1,IFERROR(IF(VALUE($D918)&lt;100000000,VALUE($D918),1000000000),IFERROR(IF(VALUE(MID($D918,2,20))&lt;100000000,VALUE(MID($D918,2,20)),1000000000),1000000000))+ROW()/100000,"")</f>
        <v/>
      </c>
    </row>
    <row r="919">
      <c r="F919" s="11" t="n"/>
      <c r="N919" s="7">
        <f>IF($D919="","",M919*X919/100)</f>
        <v/>
      </c>
      <c r="O919" s="7" t="n"/>
      <c r="U919" s="7" t="n"/>
      <c r="V919" s="7" t="n"/>
      <c r="W919" s="7">
        <f>IF($D919="","",V919*AB919/100)</f>
        <v/>
      </c>
      <c r="X919" s="7">
        <f>IF($D919="","",V919-W919)</f>
        <v/>
      </c>
      <c r="Y919" s="7">
        <f>IF($D919="","",X919-N919)</f>
        <v/>
      </c>
      <c r="AB919">
        <f>IF($D919="","",IF($AN919=1,Settings!$C$8,IF($AM919=1,Settings!$C$6,Settings!$C$7))*100)</f>
        <v/>
      </c>
      <c r="AF919" s="7" t="n"/>
      <c r="AI919" s="11" t="n"/>
      <c r="AK919">
        <f>IF($D919="","",IF(COUNTIF($D$2:$D919,$D919)=1,1,0))</f>
        <v/>
      </c>
      <c r="AL919">
        <f>IF($AK919=1,SUMPRODUCT(--($AO$2:$AO$1601&lt;$AO919))+1,"")</f>
        <v/>
      </c>
      <c r="AM919">
        <f>IF($D919="","",IF(OR($R919=TRUE(),$R919="TRUE"),1,0))</f>
        <v/>
      </c>
      <c r="AN919">
        <f>IF($D919="","",IF($AA919="Yes",1,0))</f>
        <v/>
      </c>
      <c r="AO919">
        <f>IF($AK919=1,IFERROR(IF(VALUE($D919)&lt;100000000,VALUE($D919),1000000000),IFERROR(IF(VALUE(MID($D919,2,20))&lt;100000000,VALUE(MID($D919,2,20)),1000000000),1000000000))+ROW()/100000,"")</f>
        <v/>
      </c>
    </row>
    <row r="920">
      <c r="F920" s="11" t="n"/>
      <c r="N920" s="7">
        <f>IF($D920="","",M920*X920/100)</f>
        <v/>
      </c>
      <c r="O920" s="7" t="n"/>
      <c r="U920" s="7" t="n"/>
      <c r="V920" s="7" t="n"/>
      <c r="W920" s="7">
        <f>IF($D920="","",V920*AB920/100)</f>
        <v/>
      </c>
      <c r="X920" s="7">
        <f>IF($D920="","",V920-W920)</f>
        <v/>
      </c>
      <c r="Y920" s="7">
        <f>IF($D920="","",X920-N920)</f>
        <v/>
      </c>
      <c r="AB920">
        <f>IF($D920="","",IF($AN920=1,Settings!$C$8,IF($AM920=1,Settings!$C$6,Settings!$C$7))*100)</f>
        <v/>
      </c>
      <c r="AF920" s="7" t="n"/>
      <c r="AI920" s="11" t="n"/>
      <c r="AK920">
        <f>IF($D920="","",IF(COUNTIF($D$2:$D920,$D920)=1,1,0))</f>
        <v/>
      </c>
      <c r="AL920">
        <f>IF($AK920=1,SUMPRODUCT(--($AO$2:$AO$1601&lt;$AO920))+1,"")</f>
        <v/>
      </c>
      <c r="AM920">
        <f>IF($D920="","",IF(OR($R920=TRUE(),$R920="TRUE"),1,0))</f>
        <v/>
      </c>
      <c r="AN920">
        <f>IF($D920="","",IF($AA920="Yes",1,0))</f>
        <v/>
      </c>
      <c r="AO920">
        <f>IF($AK920=1,IFERROR(IF(VALUE($D920)&lt;100000000,VALUE($D920),1000000000),IFERROR(IF(VALUE(MID($D920,2,20))&lt;100000000,VALUE(MID($D920,2,20)),1000000000),1000000000))+ROW()/100000,"")</f>
        <v/>
      </c>
    </row>
    <row r="921">
      <c r="F921" s="11" t="n"/>
      <c r="N921" s="7">
        <f>IF($D921="","",M921*X921/100)</f>
        <v/>
      </c>
      <c r="O921" s="7" t="n"/>
      <c r="U921" s="7" t="n"/>
      <c r="V921" s="7" t="n"/>
      <c r="W921" s="7">
        <f>IF($D921="","",V921*AB921/100)</f>
        <v/>
      </c>
      <c r="X921" s="7">
        <f>IF($D921="","",V921-W921)</f>
        <v/>
      </c>
      <c r="Y921" s="7">
        <f>IF($D921="","",X921-N921)</f>
        <v/>
      </c>
      <c r="AB921">
        <f>IF($D921="","",IF($AN921=1,Settings!$C$8,IF($AM921=1,Settings!$C$6,Settings!$C$7))*100)</f>
        <v/>
      </c>
      <c r="AF921" s="7" t="n"/>
      <c r="AI921" s="11" t="n"/>
      <c r="AK921">
        <f>IF($D921="","",IF(COUNTIF($D$2:$D921,$D921)=1,1,0))</f>
        <v/>
      </c>
      <c r="AL921">
        <f>IF($AK921=1,SUMPRODUCT(--($AO$2:$AO$1601&lt;$AO921))+1,"")</f>
        <v/>
      </c>
      <c r="AM921">
        <f>IF($D921="","",IF(OR($R921=TRUE(),$R921="TRUE"),1,0))</f>
        <v/>
      </c>
      <c r="AN921">
        <f>IF($D921="","",IF($AA921="Yes",1,0))</f>
        <v/>
      </c>
      <c r="AO921">
        <f>IF($AK921=1,IFERROR(IF(VALUE($D921)&lt;100000000,VALUE($D921),1000000000),IFERROR(IF(VALUE(MID($D921,2,20))&lt;100000000,VALUE(MID($D921,2,20)),1000000000),1000000000))+ROW()/100000,"")</f>
        <v/>
      </c>
    </row>
    <row r="922">
      <c r="F922" s="11" t="n"/>
      <c r="N922" s="7">
        <f>IF($D922="","",M922*X922/100)</f>
        <v/>
      </c>
      <c r="O922" s="7" t="n"/>
      <c r="U922" s="7" t="n"/>
      <c r="V922" s="7" t="n"/>
      <c r="W922" s="7">
        <f>IF($D922="","",V922*AB922/100)</f>
        <v/>
      </c>
      <c r="X922" s="7">
        <f>IF($D922="","",V922-W922)</f>
        <v/>
      </c>
      <c r="Y922" s="7">
        <f>IF($D922="","",X922-N922)</f>
        <v/>
      </c>
      <c r="AB922">
        <f>IF($D922="","",IF($AN922=1,Settings!$C$8,IF($AM922=1,Settings!$C$6,Settings!$C$7))*100)</f>
        <v/>
      </c>
      <c r="AF922" s="7" t="n"/>
      <c r="AI922" s="11" t="n"/>
      <c r="AK922">
        <f>IF($D922="","",IF(COUNTIF($D$2:$D922,$D922)=1,1,0))</f>
        <v/>
      </c>
      <c r="AL922">
        <f>IF($AK922=1,SUMPRODUCT(--($AO$2:$AO$1601&lt;$AO922))+1,"")</f>
        <v/>
      </c>
      <c r="AM922">
        <f>IF($D922="","",IF(OR($R922=TRUE(),$R922="TRUE"),1,0))</f>
        <v/>
      </c>
      <c r="AN922">
        <f>IF($D922="","",IF($AA922="Yes",1,0))</f>
        <v/>
      </c>
      <c r="AO922">
        <f>IF($AK922=1,IFERROR(IF(VALUE($D922)&lt;100000000,VALUE($D922),1000000000),IFERROR(IF(VALUE(MID($D922,2,20))&lt;100000000,VALUE(MID($D922,2,20)),1000000000),1000000000))+ROW()/100000,"")</f>
        <v/>
      </c>
    </row>
    <row r="923">
      <c r="F923" s="11" t="n"/>
      <c r="N923" s="7">
        <f>IF($D923="","",M923*X923/100)</f>
        <v/>
      </c>
      <c r="O923" s="7" t="n"/>
      <c r="U923" s="7" t="n"/>
      <c r="V923" s="7" t="n"/>
      <c r="W923" s="7">
        <f>IF($D923="","",V923*AB923/100)</f>
        <v/>
      </c>
      <c r="X923" s="7">
        <f>IF($D923="","",V923-W923)</f>
        <v/>
      </c>
      <c r="Y923" s="7">
        <f>IF($D923="","",X923-N923)</f>
        <v/>
      </c>
      <c r="AB923">
        <f>IF($D923="","",IF($AN923=1,Settings!$C$8,IF($AM923=1,Settings!$C$6,Settings!$C$7))*100)</f>
        <v/>
      </c>
      <c r="AF923" s="7" t="n"/>
      <c r="AI923" s="11" t="n"/>
      <c r="AK923">
        <f>IF($D923="","",IF(COUNTIF($D$2:$D923,$D923)=1,1,0))</f>
        <v/>
      </c>
      <c r="AL923">
        <f>IF($AK923=1,SUMPRODUCT(--($AO$2:$AO$1601&lt;$AO923))+1,"")</f>
        <v/>
      </c>
      <c r="AM923">
        <f>IF($D923="","",IF(OR($R923=TRUE(),$R923="TRUE"),1,0))</f>
        <v/>
      </c>
      <c r="AN923">
        <f>IF($D923="","",IF($AA923="Yes",1,0))</f>
        <v/>
      </c>
      <c r="AO923">
        <f>IF($AK923=1,IFERROR(IF(VALUE($D923)&lt;100000000,VALUE($D923),1000000000),IFERROR(IF(VALUE(MID($D923,2,20))&lt;100000000,VALUE(MID($D923,2,20)),1000000000),1000000000))+ROW()/100000,"")</f>
        <v/>
      </c>
    </row>
    <row r="924">
      <c r="F924" s="11" t="n"/>
      <c r="N924" s="7">
        <f>IF($D924="","",M924*X924/100)</f>
        <v/>
      </c>
      <c r="O924" s="7" t="n"/>
      <c r="U924" s="7" t="n"/>
      <c r="V924" s="7" t="n"/>
      <c r="W924" s="7">
        <f>IF($D924="","",V924*AB924/100)</f>
        <v/>
      </c>
      <c r="X924" s="7">
        <f>IF($D924="","",V924-W924)</f>
        <v/>
      </c>
      <c r="Y924" s="7">
        <f>IF($D924="","",X924-N924)</f>
        <v/>
      </c>
      <c r="AB924">
        <f>IF($D924="","",IF($AN924=1,Settings!$C$8,IF($AM924=1,Settings!$C$6,Settings!$C$7))*100)</f>
        <v/>
      </c>
      <c r="AF924" s="7" t="n"/>
      <c r="AI924" s="11" t="n"/>
      <c r="AK924">
        <f>IF($D924="","",IF(COUNTIF($D$2:$D924,$D924)=1,1,0))</f>
        <v/>
      </c>
      <c r="AL924">
        <f>IF($AK924=1,SUMPRODUCT(--($AO$2:$AO$1601&lt;$AO924))+1,"")</f>
        <v/>
      </c>
      <c r="AM924">
        <f>IF($D924="","",IF(OR($R924=TRUE(),$R924="TRUE"),1,0))</f>
        <v/>
      </c>
      <c r="AN924">
        <f>IF($D924="","",IF($AA924="Yes",1,0))</f>
        <v/>
      </c>
      <c r="AO924">
        <f>IF($AK924=1,IFERROR(IF(VALUE($D924)&lt;100000000,VALUE($D924),1000000000),IFERROR(IF(VALUE(MID($D924,2,20))&lt;100000000,VALUE(MID($D924,2,20)),1000000000),1000000000))+ROW()/100000,"")</f>
        <v/>
      </c>
    </row>
    <row r="925">
      <c r="F925" s="11" t="n"/>
      <c r="N925" s="7">
        <f>IF($D925="","",M925*X925/100)</f>
        <v/>
      </c>
      <c r="O925" s="7" t="n"/>
      <c r="U925" s="7" t="n"/>
      <c r="V925" s="7" t="n"/>
      <c r="W925" s="7">
        <f>IF($D925="","",V925*AB925/100)</f>
        <v/>
      </c>
      <c r="X925" s="7">
        <f>IF($D925="","",V925-W925)</f>
        <v/>
      </c>
      <c r="Y925" s="7">
        <f>IF($D925="","",X925-N925)</f>
        <v/>
      </c>
      <c r="AB925">
        <f>IF($D925="","",IF($AN925=1,Settings!$C$8,IF($AM925=1,Settings!$C$6,Settings!$C$7))*100)</f>
        <v/>
      </c>
      <c r="AF925" s="7" t="n"/>
      <c r="AI925" s="11" t="n"/>
      <c r="AK925">
        <f>IF($D925="","",IF(COUNTIF($D$2:$D925,$D925)=1,1,0))</f>
        <v/>
      </c>
      <c r="AL925">
        <f>IF($AK925=1,SUMPRODUCT(--($AO$2:$AO$1601&lt;$AO925))+1,"")</f>
        <v/>
      </c>
      <c r="AM925">
        <f>IF($D925="","",IF(OR($R925=TRUE(),$R925="TRUE"),1,0))</f>
        <v/>
      </c>
      <c r="AN925">
        <f>IF($D925="","",IF($AA925="Yes",1,0))</f>
        <v/>
      </c>
      <c r="AO925">
        <f>IF($AK925=1,IFERROR(IF(VALUE($D925)&lt;100000000,VALUE($D925),1000000000),IFERROR(IF(VALUE(MID($D925,2,20))&lt;100000000,VALUE(MID($D925,2,20)),1000000000),1000000000))+ROW()/100000,"")</f>
        <v/>
      </c>
    </row>
    <row r="926">
      <c r="F926" s="11" t="n"/>
      <c r="N926" s="7">
        <f>IF($D926="","",M926*X926/100)</f>
        <v/>
      </c>
      <c r="O926" s="7" t="n"/>
      <c r="U926" s="7" t="n"/>
      <c r="V926" s="7" t="n"/>
      <c r="W926" s="7">
        <f>IF($D926="","",V926*AB926/100)</f>
        <v/>
      </c>
      <c r="X926" s="7">
        <f>IF($D926="","",V926-W926)</f>
        <v/>
      </c>
      <c r="Y926" s="7">
        <f>IF($D926="","",X926-N926)</f>
        <v/>
      </c>
      <c r="AB926">
        <f>IF($D926="","",IF($AN926=1,Settings!$C$8,IF($AM926=1,Settings!$C$6,Settings!$C$7))*100)</f>
        <v/>
      </c>
      <c r="AF926" s="7" t="n"/>
      <c r="AI926" s="11" t="n"/>
      <c r="AK926">
        <f>IF($D926="","",IF(COUNTIF($D$2:$D926,$D926)=1,1,0))</f>
        <v/>
      </c>
      <c r="AL926">
        <f>IF($AK926=1,SUMPRODUCT(--($AO$2:$AO$1601&lt;$AO926))+1,"")</f>
        <v/>
      </c>
      <c r="AM926">
        <f>IF($D926="","",IF(OR($R926=TRUE(),$R926="TRUE"),1,0))</f>
        <v/>
      </c>
      <c r="AN926">
        <f>IF($D926="","",IF($AA926="Yes",1,0))</f>
        <v/>
      </c>
      <c r="AO926">
        <f>IF($AK926=1,IFERROR(IF(VALUE($D926)&lt;100000000,VALUE($D926),1000000000),IFERROR(IF(VALUE(MID($D926,2,20))&lt;100000000,VALUE(MID($D926,2,20)),1000000000),1000000000))+ROW()/100000,"")</f>
        <v/>
      </c>
    </row>
    <row r="927">
      <c r="F927" s="11" t="n"/>
      <c r="N927" s="7">
        <f>IF($D927="","",M927*X927/100)</f>
        <v/>
      </c>
      <c r="O927" s="7" t="n"/>
      <c r="U927" s="7" t="n"/>
      <c r="V927" s="7" t="n"/>
      <c r="W927" s="7">
        <f>IF($D927="","",V927*AB927/100)</f>
        <v/>
      </c>
      <c r="X927" s="7">
        <f>IF($D927="","",V927-W927)</f>
        <v/>
      </c>
      <c r="Y927" s="7">
        <f>IF($D927="","",X927-N927)</f>
        <v/>
      </c>
      <c r="AB927">
        <f>IF($D927="","",IF($AN927=1,Settings!$C$8,IF($AM927=1,Settings!$C$6,Settings!$C$7))*100)</f>
        <v/>
      </c>
      <c r="AF927" s="7" t="n"/>
      <c r="AI927" s="11" t="n"/>
      <c r="AK927">
        <f>IF($D927="","",IF(COUNTIF($D$2:$D927,$D927)=1,1,0))</f>
        <v/>
      </c>
      <c r="AL927">
        <f>IF($AK927=1,SUMPRODUCT(--($AO$2:$AO$1601&lt;$AO927))+1,"")</f>
        <v/>
      </c>
      <c r="AM927">
        <f>IF($D927="","",IF(OR($R927=TRUE(),$R927="TRUE"),1,0))</f>
        <v/>
      </c>
      <c r="AN927">
        <f>IF($D927="","",IF($AA927="Yes",1,0))</f>
        <v/>
      </c>
      <c r="AO927">
        <f>IF($AK927=1,IFERROR(IF(VALUE($D927)&lt;100000000,VALUE($D927),1000000000),IFERROR(IF(VALUE(MID($D927,2,20))&lt;100000000,VALUE(MID($D927,2,20)),1000000000),1000000000))+ROW()/100000,"")</f>
        <v/>
      </c>
    </row>
    <row r="928">
      <c r="F928" s="11" t="n"/>
      <c r="N928" s="7">
        <f>IF($D928="","",M928*X928/100)</f>
        <v/>
      </c>
      <c r="O928" s="7" t="n"/>
      <c r="U928" s="7" t="n"/>
      <c r="V928" s="7" t="n"/>
      <c r="W928" s="7">
        <f>IF($D928="","",V928*AB928/100)</f>
        <v/>
      </c>
      <c r="X928" s="7">
        <f>IF($D928="","",V928-W928)</f>
        <v/>
      </c>
      <c r="Y928" s="7">
        <f>IF($D928="","",X928-N928)</f>
        <v/>
      </c>
      <c r="AB928">
        <f>IF($D928="","",IF($AN928=1,Settings!$C$8,IF($AM928=1,Settings!$C$6,Settings!$C$7))*100)</f>
        <v/>
      </c>
      <c r="AF928" s="7" t="n"/>
      <c r="AI928" s="11" t="n"/>
      <c r="AK928">
        <f>IF($D928="","",IF(COUNTIF($D$2:$D928,$D928)=1,1,0))</f>
        <v/>
      </c>
      <c r="AL928">
        <f>IF($AK928=1,SUMPRODUCT(--($AO$2:$AO$1601&lt;$AO928))+1,"")</f>
        <v/>
      </c>
      <c r="AM928">
        <f>IF($D928="","",IF(OR($R928=TRUE(),$R928="TRUE"),1,0))</f>
        <v/>
      </c>
      <c r="AN928">
        <f>IF($D928="","",IF($AA928="Yes",1,0))</f>
        <v/>
      </c>
      <c r="AO928">
        <f>IF($AK928=1,IFERROR(IF(VALUE($D928)&lt;100000000,VALUE($D928),1000000000),IFERROR(IF(VALUE(MID($D928,2,20))&lt;100000000,VALUE(MID($D928,2,20)),1000000000),1000000000))+ROW()/100000,"")</f>
        <v/>
      </c>
    </row>
    <row r="929">
      <c r="F929" s="11" t="n"/>
      <c r="N929" s="7">
        <f>IF($D929="","",M929*X929/100)</f>
        <v/>
      </c>
      <c r="O929" s="7" t="n"/>
      <c r="U929" s="7" t="n"/>
      <c r="V929" s="7" t="n"/>
      <c r="W929" s="7">
        <f>IF($D929="","",V929*AB929/100)</f>
        <v/>
      </c>
      <c r="X929" s="7">
        <f>IF($D929="","",V929-W929)</f>
        <v/>
      </c>
      <c r="Y929" s="7">
        <f>IF($D929="","",X929-N929)</f>
        <v/>
      </c>
      <c r="AB929">
        <f>IF($D929="","",IF($AN929=1,Settings!$C$8,IF($AM929=1,Settings!$C$6,Settings!$C$7))*100)</f>
        <v/>
      </c>
      <c r="AF929" s="7" t="n"/>
      <c r="AI929" s="11" t="n"/>
      <c r="AK929">
        <f>IF($D929="","",IF(COUNTIF($D$2:$D929,$D929)=1,1,0))</f>
        <v/>
      </c>
      <c r="AL929">
        <f>IF($AK929=1,SUMPRODUCT(--($AO$2:$AO$1601&lt;$AO929))+1,"")</f>
        <v/>
      </c>
      <c r="AM929">
        <f>IF($D929="","",IF(OR($R929=TRUE(),$R929="TRUE"),1,0))</f>
        <v/>
      </c>
      <c r="AN929">
        <f>IF($D929="","",IF($AA929="Yes",1,0))</f>
        <v/>
      </c>
      <c r="AO929">
        <f>IF($AK929=1,IFERROR(IF(VALUE($D929)&lt;100000000,VALUE($D929),1000000000),IFERROR(IF(VALUE(MID($D929,2,20))&lt;100000000,VALUE(MID($D929,2,20)),1000000000),1000000000))+ROW()/100000,"")</f>
        <v/>
      </c>
    </row>
    <row r="930">
      <c r="F930" s="11" t="n"/>
      <c r="N930" s="7">
        <f>IF($D930="","",M930*X930/100)</f>
        <v/>
      </c>
      <c r="O930" s="7" t="n"/>
      <c r="U930" s="7" t="n"/>
      <c r="V930" s="7" t="n"/>
      <c r="W930" s="7">
        <f>IF($D930="","",V930*AB930/100)</f>
        <v/>
      </c>
      <c r="X930" s="7">
        <f>IF($D930="","",V930-W930)</f>
        <v/>
      </c>
      <c r="Y930" s="7">
        <f>IF($D930="","",X930-N930)</f>
        <v/>
      </c>
      <c r="AB930">
        <f>IF($D930="","",IF($AN930=1,Settings!$C$8,IF($AM930=1,Settings!$C$6,Settings!$C$7))*100)</f>
        <v/>
      </c>
      <c r="AF930" s="7" t="n"/>
      <c r="AI930" s="11" t="n"/>
      <c r="AK930">
        <f>IF($D930="","",IF(COUNTIF($D$2:$D930,$D930)=1,1,0))</f>
        <v/>
      </c>
      <c r="AL930">
        <f>IF($AK930=1,SUMPRODUCT(--($AO$2:$AO$1601&lt;$AO930))+1,"")</f>
        <v/>
      </c>
      <c r="AM930">
        <f>IF($D930="","",IF(OR($R930=TRUE(),$R930="TRUE"),1,0))</f>
        <v/>
      </c>
      <c r="AN930">
        <f>IF($D930="","",IF($AA930="Yes",1,0))</f>
        <v/>
      </c>
      <c r="AO930">
        <f>IF($AK930=1,IFERROR(IF(VALUE($D930)&lt;100000000,VALUE($D930),1000000000),IFERROR(IF(VALUE(MID($D930,2,20))&lt;100000000,VALUE(MID($D930,2,20)),1000000000),1000000000))+ROW()/100000,"")</f>
        <v/>
      </c>
    </row>
    <row r="931">
      <c r="F931" s="11" t="n"/>
      <c r="N931" s="7">
        <f>IF($D931="","",M931*X931/100)</f>
        <v/>
      </c>
      <c r="O931" s="7" t="n"/>
      <c r="U931" s="7" t="n"/>
      <c r="V931" s="7" t="n"/>
      <c r="W931" s="7">
        <f>IF($D931="","",V931*AB931/100)</f>
        <v/>
      </c>
      <c r="X931" s="7">
        <f>IF($D931="","",V931-W931)</f>
        <v/>
      </c>
      <c r="Y931" s="7">
        <f>IF($D931="","",X931-N931)</f>
        <v/>
      </c>
      <c r="AB931">
        <f>IF($D931="","",IF($AN931=1,Settings!$C$8,IF($AM931=1,Settings!$C$6,Settings!$C$7))*100)</f>
        <v/>
      </c>
      <c r="AF931" s="7" t="n"/>
      <c r="AI931" s="11" t="n"/>
      <c r="AK931">
        <f>IF($D931="","",IF(COUNTIF($D$2:$D931,$D931)=1,1,0))</f>
        <v/>
      </c>
      <c r="AL931">
        <f>IF($AK931=1,SUMPRODUCT(--($AO$2:$AO$1601&lt;$AO931))+1,"")</f>
        <v/>
      </c>
      <c r="AM931">
        <f>IF($D931="","",IF(OR($R931=TRUE(),$R931="TRUE"),1,0))</f>
        <v/>
      </c>
      <c r="AN931">
        <f>IF($D931="","",IF($AA931="Yes",1,0))</f>
        <v/>
      </c>
      <c r="AO931">
        <f>IF($AK931=1,IFERROR(IF(VALUE($D931)&lt;100000000,VALUE($D931),1000000000),IFERROR(IF(VALUE(MID($D931,2,20))&lt;100000000,VALUE(MID($D931,2,20)),1000000000),1000000000))+ROW()/100000,"")</f>
        <v/>
      </c>
    </row>
    <row r="932">
      <c r="F932" s="11" t="n"/>
      <c r="N932" s="7">
        <f>IF($D932="","",M932*X932/100)</f>
        <v/>
      </c>
      <c r="O932" s="7" t="n"/>
      <c r="U932" s="7" t="n"/>
      <c r="V932" s="7" t="n"/>
      <c r="W932" s="7">
        <f>IF($D932="","",V932*AB932/100)</f>
        <v/>
      </c>
      <c r="X932" s="7">
        <f>IF($D932="","",V932-W932)</f>
        <v/>
      </c>
      <c r="Y932" s="7">
        <f>IF($D932="","",X932-N932)</f>
        <v/>
      </c>
      <c r="AB932">
        <f>IF($D932="","",IF($AN932=1,Settings!$C$8,IF($AM932=1,Settings!$C$6,Settings!$C$7))*100)</f>
        <v/>
      </c>
      <c r="AF932" s="7" t="n"/>
      <c r="AI932" s="11" t="n"/>
      <c r="AK932">
        <f>IF($D932="","",IF(COUNTIF($D$2:$D932,$D932)=1,1,0))</f>
        <v/>
      </c>
      <c r="AL932">
        <f>IF($AK932=1,SUMPRODUCT(--($AO$2:$AO$1601&lt;$AO932))+1,"")</f>
        <v/>
      </c>
      <c r="AM932">
        <f>IF($D932="","",IF(OR($R932=TRUE(),$R932="TRUE"),1,0))</f>
        <v/>
      </c>
      <c r="AN932">
        <f>IF($D932="","",IF($AA932="Yes",1,0))</f>
        <v/>
      </c>
      <c r="AO932">
        <f>IF($AK932=1,IFERROR(IF(VALUE($D932)&lt;100000000,VALUE($D932),1000000000),IFERROR(IF(VALUE(MID($D932,2,20))&lt;100000000,VALUE(MID($D932,2,20)),1000000000),1000000000))+ROW()/100000,"")</f>
        <v/>
      </c>
    </row>
    <row r="933">
      <c r="F933" s="11" t="n"/>
      <c r="N933" s="7">
        <f>IF($D933="","",M933*X933/100)</f>
        <v/>
      </c>
      <c r="O933" s="7" t="n"/>
      <c r="U933" s="7" t="n"/>
      <c r="V933" s="7" t="n"/>
      <c r="W933" s="7">
        <f>IF($D933="","",V933*AB933/100)</f>
        <v/>
      </c>
      <c r="X933" s="7">
        <f>IF($D933="","",V933-W933)</f>
        <v/>
      </c>
      <c r="Y933" s="7">
        <f>IF($D933="","",X933-N933)</f>
        <v/>
      </c>
      <c r="AB933">
        <f>IF($D933="","",IF($AN933=1,Settings!$C$8,IF($AM933=1,Settings!$C$6,Settings!$C$7))*100)</f>
        <v/>
      </c>
      <c r="AF933" s="7" t="n"/>
      <c r="AI933" s="11" t="n"/>
      <c r="AK933">
        <f>IF($D933="","",IF(COUNTIF($D$2:$D933,$D933)=1,1,0))</f>
        <v/>
      </c>
      <c r="AL933">
        <f>IF($AK933=1,SUMPRODUCT(--($AO$2:$AO$1601&lt;$AO933))+1,"")</f>
        <v/>
      </c>
      <c r="AM933">
        <f>IF($D933="","",IF(OR($R933=TRUE(),$R933="TRUE"),1,0))</f>
        <v/>
      </c>
      <c r="AN933">
        <f>IF($D933="","",IF($AA933="Yes",1,0))</f>
        <v/>
      </c>
      <c r="AO933">
        <f>IF($AK933=1,IFERROR(IF(VALUE($D933)&lt;100000000,VALUE($D933),1000000000),IFERROR(IF(VALUE(MID($D933,2,20))&lt;100000000,VALUE(MID($D933,2,20)),1000000000),1000000000))+ROW()/100000,"")</f>
        <v/>
      </c>
    </row>
    <row r="934">
      <c r="F934" s="11" t="n"/>
      <c r="N934" s="7">
        <f>IF($D934="","",M934*X934/100)</f>
        <v/>
      </c>
      <c r="O934" s="7" t="n"/>
      <c r="U934" s="7" t="n"/>
      <c r="V934" s="7" t="n"/>
      <c r="W934" s="7">
        <f>IF($D934="","",V934*AB934/100)</f>
        <v/>
      </c>
      <c r="X934" s="7">
        <f>IF($D934="","",V934-W934)</f>
        <v/>
      </c>
      <c r="Y934" s="7">
        <f>IF($D934="","",X934-N934)</f>
        <v/>
      </c>
      <c r="AB934">
        <f>IF($D934="","",IF($AN934=1,Settings!$C$8,IF($AM934=1,Settings!$C$6,Settings!$C$7))*100)</f>
        <v/>
      </c>
      <c r="AF934" s="7" t="n"/>
      <c r="AI934" s="11" t="n"/>
      <c r="AK934">
        <f>IF($D934="","",IF(COUNTIF($D$2:$D934,$D934)=1,1,0))</f>
        <v/>
      </c>
      <c r="AL934">
        <f>IF($AK934=1,SUMPRODUCT(--($AO$2:$AO$1601&lt;$AO934))+1,"")</f>
        <v/>
      </c>
      <c r="AM934">
        <f>IF($D934="","",IF(OR($R934=TRUE(),$R934="TRUE"),1,0))</f>
        <v/>
      </c>
      <c r="AN934">
        <f>IF($D934="","",IF($AA934="Yes",1,0))</f>
        <v/>
      </c>
      <c r="AO934">
        <f>IF($AK934=1,IFERROR(IF(VALUE($D934)&lt;100000000,VALUE($D934),1000000000),IFERROR(IF(VALUE(MID($D934,2,20))&lt;100000000,VALUE(MID($D934,2,20)),1000000000),1000000000))+ROW()/100000,"")</f>
        <v/>
      </c>
    </row>
    <row r="935">
      <c r="F935" s="11" t="n"/>
      <c r="N935" s="7">
        <f>IF($D935="","",M935*X935/100)</f>
        <v/>
      </c>
      <c r="O935" s="7" t="n"/>
      <c r="U935" s="7" t="n"/>
      <c r="V935" s="7" t="n"/>
      <c r="W935" s="7">
        <f>IF($D935="","",V935*AB935/100)</f>
        <v/>
      </c>
      <c r="X935" s="7">
        <f>IF($D935="","",V935-W935)</f>
        <v/>
      </c>
      <c r="Y935" s="7">
        <f>IF($D935="","",X935-N935)</f>
        <v/>
      </c>
      <c r="AB935">
        <f>IF($D935="","",IF($AN935=1,Settings!$C$8,IF($AM935=1,Settings!$C$6,Settings!$C$7))*100)</f>
        <v/>
      </c>
      <c r="AF935" s="7" t="n"/>
      <c r="AI935" s="11" t="n"/>
      <c r="AK935">
        <f>IF($D935="","",IF(COUNTIF($D$2:$D935,$D935)=1,1,0))</f>
        <v/>
      </c>
      <c r="AL935">
        <f>IF($AK935=1,SUMPRODUCT(--($AO$2:$AO$1601&lt;$AO935))+1,"")</f>
        <v/>
      </c>
      <c r="AM935">
        <f>IF($D935="","",IF(OR($R935=TRUE(),$R935="TRUE"),1,0))</f>
        <v/>
      </c>
      <c r="AN935">
        <f>IF($D935="","",IF($AA935="Yes",1,0))</f>
        <v/>
      </c>
      <c r="AO935">
        <f>IF($AK935=1,IFERROR(IF(VALUE($D935)&lt;100000000,VALUE($D935),1000000000),IFERROR(IF(VALUE(MID($D935,2,20))&lt;100000000,VALUE(MID($D935,2,20)),1000000000),1000000000))+ROW()/100000,"")</f>
        <v/>
      </c>
    </row>
    <row r="936">
      <c r="F936" s="11" t="n"/>
      <c r="N936" s="7">
        <f>IF($D936="","",M936*X936/100)</f>
        <v/>
      </c>
      <c r="O936" s="7" t="n"/>
      <c r="U936" s="7" t="n"/>
      <c r="V936" s="7" t="n"/>
      <c r="W936" s="7">
        <f>IF($D936="","",V936*AB936/100)</f>
        <v/>
      </c>
      <c r="X936" s="7">
        <f>IF($D936="","",V936-W936)</f>
        <v/>
      </c>
      <c r="Y936" s="7">
        <f>IF($D936="","",X936-N936)</f>
        <v/>
      </c>
      <c r="AB936">
        <f>IF($D936="","",IF($AN936=1,Settings!$C$8,IF($AM936=1,Settings!$C$6,Settings!$C$7))*100)</f>
        <v/>
      </c>
      <c r="AF936" s="7" t="n"/>
      <c r="AI936" s="11" t="n"/>
      <c r="AK936">
        <f>IF($D936="","",IF(COUNTIF($D$2:$D936,$D936)=1,1,0))</f>
        <v/>
      </c>
      <c r="AL936">
        <f>IF($AK936=1,SUMPRODUCT(--($AO$2:$AO$1601&lt;$AO936))+1,"")</f>
        <v/>
      </c>
      <c r="AM936">
        <f>IF($D936="","",IF(OR($R936=TRUE(),$R936="TRUE"),1,0))</f>
        <v/>
      </c>
      <c r="AN936">
        <f>IF($D936="","",IF($AA936="Yes",1,0))</f>
        <v/>
      </c>
      <c r="AO936">
        <f>IF($AK936=1,IFERROR(IF(VALUE($D936)&lt;100000000,VALUE($D936),1000000000),IFERROR(IF(VALUE(MID($D936,2,20))&lt;100000000,VALUE(MID($D936,2,20)),1000000000),1000000000))+ROW()/100000,"")</f>
        <v/>
      </c>
    </row>
    <row r="937">
      <c r="F937" s="11" t="n"/>
      <c r="N937" s="7">
        <f>IF($D937="","",M937*X937/100)</f>
        <v/>
      </c>
      <c r="O937" s="7" t="n"/>
      <c r="U937" s="7" t="n"/>
      <c r="V937" s="7" t="n"/>
      <c r="W937" s="7">
        <f>IF($D937="","",V937*AB937/100)</f>
        <v/>
      </c>
      <c r="X937" s="7">
        <f>IF($D937="","",V937-W937)</f>
        <v/>
      </c>
      <c r="Y937" s="7">
        <f>IF($D937="","",X937-N937)</f>
        <v/>
      </c>
      <c r="AB937">
        <f>IF($D937="","",IF($AN937=1,Settings!$C$8,IF($AM937=1,Settings!$C$6,Settings!$C$7))*100)</f>
        <v/>
      </c>
      <c r="AF937" s="7" t="n"/>
      <c r="AI937" s="11" t="n"/>
      <c r="AK937">
        <f>IF($D937="","",IF(COUNTIF($D$2:$D937,$D937)=1,1,0))</f>
        <v/>
      </c>
      <c r="AL937">
        <f>IF($AK937=1,SUMPRODUCT(--($AO$2:$AO$1601&lt;$AO937))+1,"")</f>
        <v/>
      </c>
      <c r="AM937">
        <f>IF($D937="","",IF(OR($R937=TRUE(),$R937="TRUE"),1,0))</f>
        <v/>
      </c>
      <c r="AN937">
        <f>IF($D937="","",IF($AA937="Yes",1,0))</f>
        <v/>
      </c>
      <c r="AO937">
        <f>IF($AK937=1,IFERROR(IF(VALUE($D937)&lt;100000000,VALUE($D937),1000000000),IFERROR(IF(VALUE(MID($D937,2,20))&lt;100000000,VALUE(MID($D937,2,20)),1000000000),1000000000))+ROW()/100000,"")</f>
        <v/>
      </c>
    </row>
    <row r="938">
      <c r="F938" s="11" t="n"/>
      <c r="N938" s="7">
        <f>IF($D938="","",M938*X938/100)</f>
        <v/>
      </c>
      <c r="O938" s="7" t="n"/>
      <c r="U938" s="7" t="n"/>
      <c r="V938" s="7" t="n"/>
      <c r="W938" s="7">
        <f>IF($D938="","",V938*AB938/100)</f>
        <v/>
      </c>
      <c r="X938" s="7">
        <f>IF($D938="","",V938-W938)</f>
        <v/>
      </c>
      <c r="Y938" s="7">
        <f>IF($D938="","",X938-N938)</f>
        <v/>
      </c>
      <c r="AB938">
        <f>IF($D938="","",IF($AN938=1,Settings!$C$8,IF($AM938=1,Settings!$C$6,Settings!$C$7))*100)</f>
        <v/>
      </c>
      <c r="AF938" s="7" t="n"/>
      <c r="AI938" s="11" t="n"/>
      <c r="AK938">
        <f>IF($D938="","",IF(COUNTIF($D$2:$D938,$D938)=1,1,0))</f>
        <v/>
      </c>
      <c r="AL938">
        <f>IF($AK938=1,SUMPRODUCT(--($AO$2:$AO$1601&lt;$AO938))+1,"")</f>
        <v/>
      </c>
      <c r="AM938">
        <f>IF($D938="","",IF(OR($R938=TRUE(),$R938="TRUE"),1,0))</f>
        <v/>
      </c>
      <c r="AN938">
        <f>IF($D938="","",IF($AA938="Yes",1,0))</f>
        <v/>
      </c>
      <c r="AO938">
        <f>IF($AK938=1,IFERROR(IF(VALUE($D938)&lt;100000000,VALUE($D938),1000000000),IFERROR(IF(VALUE(MID($D938,2,20))&lt;100000000,VALUE(MID($D938,2,20)),1000000000),1000000000))+ROW()/100000,"")</f>
        <v/>
      </c>
    </row>
    <row r="939">
      <c r="F939" s="11" t="n"/>
      <c r="N939" s="7">
        <f>IF($D939="","",M939*X939/100)</f>
        <v/>
      </c>
      <c r="O939" s="7" t="n"/>
      <c r="U939" s="7" t="n"/>
      <c r="V939" s="7" t="n"/>
      <c r="W939" s="7">
        <f>IF($D939="","",V939*AB939/100)</f>
        <v/>
      </c>
      <c r="X939" s="7">
        <f>IF($D939="","",V939-W939)</f>
        <v/>
      </c>
      <c r="Y939" s="7">
        <f>IF($D939="","",X939-N939)</f>
        <v/>
      </c>
      <c r="AB939">
        <f>IF($D939="","",IF($AN939=1,Settings!$C$8,IF($AM939=1,Settings!$C$6,Settings!$C$7))*100)</f>
        <v/>
      </c>
      <c r="AF939" s="7" t="n"/>
      <c r="AI939" s="11" t="n"/>
      <c r="AK939">
        <f>IF($D939="","",IF(COUNTIF($D$2:$D939,$D939)=1,1,0))</f>
        <v/>
      </c>
      <c r="AL939">
        <f>IF($AK939=1,SUMPRODUCT(--($AO$2:$AO$1601&lt;$AO939))+1,"")</f>
        <v/>
      </c>
      <c r="AM939">
        <f>IF($D939="","",IF(OR($R939=TRUE(),$R939="TRUE"),1,0))</f>
        <v/>
      </c>
      <c r="AN939">
        <f>IF($D939="","",IF($AA939="Yes",1,0))</f>
        <v/>
      </c>
      <c r="AO939">
        <f>IF($AK939=1,IFERROR(IF(VALUE($D939)&lt;100000000,VALUE($D939),1000000000),IFERROR(IF(VALUE(MID($D939,2,20))&lt;100000000,VALUE(MID($D939,2,20)),1000000000),1000000000))+ROW()/100000,"")</f>
        <v/>
      </c>
    </row>
    <row r="940">
      <c r="F940" s="11" t="n"/>
      <c r="N940" s="7">
        <f>IF($D940="","",M940*X940/100)</f>
        <v/>
      </c>
      <c r="O940" s="7" t="n"/>
      <c r="U940" s="7" t="n"/>
      <c r="V940" s="7" t="n"/>
      <c r="W940" s="7">
        <f>IF($D940="","",V940*AB940/100)</f>
        <v/>
      </c>
      <c r="X940" s="7">
        <f>IF($D940="","",V940-W940)</f>
        <v/>
      </c>
      <c r="Y940" s="7">
        <f>IF($D940="","",X940-N940)</f>
        <v/>
      </c>
      <c r="AB940">
        <f>IF($D940="","",IF($AN940=1,Settings!$C$8,IF($AM940=1,Settings!$C$6,Settings!$C$7))*100)</f>
        <v/>
      </c>
      <c r="AF940" s="7" t="n"/>
      <c r="AI940" s="11" t="n"/>
      <c r="AK940">
        <f>IF($D940="","",IF(COUNTIF($D$2:$D940,$D940)=1,1,0))</f>
        <v/>
      </c>
      <c r="AL940">
        <f>IF($AK940=1,SUMPRODUCT(--($AO$2:$AO$1601&lt;$AO940))+1,"")</f>
        <v/>
      </c>
      <c r="AM940">
        <f>IF($D940="","",IF(OR($R940=TRUE(),$R940="TRUE"),1,0))</f>
        <v/>
      </c>
      <c r="AN940">
        <f>IF($D940="","",IF($AA940="Yes",1,0))</f>
        <v/>
      </c>
      <c r="AO940">
        <f>IF($AK940=1,IFERROR(IF(VALUE($D940)&lt;100000000,VALUE($D940),1000000000),IFERROR(IF(VALUE(MID($D940,2,20))&lt;100000000,VALUE(MID($D940,2,20)),1000000000),1000000000))+ROW()/100000,"")</f>
        <v/>
      </c>
    </row>
    <row r="941">
      <c r="F941" s="11" t="n"/>
      <c r="N941" s="7">
        <f>IF($D941="","",M941*X941/100)</f>
        <v/>
      </c>
      <c r="O941" s="7" t="n"/>
      <c r="U941" s="7" t="n"/>
      <c r="V941" s="7" t="n"/>
      <c r="W941" s="7">
        <f>IF($D941="","",V941*AB941/100)</f>
        <v/>
      </c>
      <c r="X941" s="7">
        <f>IF($D941="","",V941-W941)</f>
        <v/>
      </c>
      <c r="Y941" s="7">
        <f>IF($D941="","",X941-N941)</f>
        <v/>
      </c>
      <c r="AB941">
        <f>IF($D941="","",IF($AN941=1,Settings!$C$8,IF($AM941=1,Settings!$C$6,Settings!$C$7))*100)</f>
        <v/>
      </c>
      <c r="AF941" s="7" t="n"/>
      <c r="AI941" s="11" t="n"/>
      <c r="AK941">
        <f>IF($D941="","",IF(COUNTIF($D$2:$D941,$D941)=1,1,0))</f>
        <v/>
      </c>
      <c r="AL941">
        <f>IF($AK941=1,SUMPRODUCT(--($AO$2:$AO$1601&lt;$AO941))+1,"")</f>
        <v/>
      </c>
      <c r="AM941">
        <f>IF($D941="","",IF(OR($R941=TRUE(),$R941="TRUE"),1,0))</f>
        <v/>
      </c>
      <c r="AN941">
        <f>IF($D941="","",IF($AA941="Yes",1,0))</f>
        <v/>
      </c>
      <c r="AO941">
        <f>IF($AK941=1,IFERROR(IF(VALUE($D941)&lt;100000000,VALUE($D941),1000000000),IFERROR(IF(VALUE(MID($D941,2,20))&lt;100000000,VALUE(MID($D941,2,20)),1000000000),1000000000))+ROW()/100000,"")</f>
        <v/>
      </c>
    </row>
    <row r="942">
      <c r="F942" s="11" t="n"/>
      <c r="N942" s="7">
        <f>IF($D942="","",M942*X942/100)</f>
        <v/>
      </c>
      <c r="O942" s="7" t="n"/>
      <c r="U942" s="7" t="n"/>
      <c r="V942" s="7" t="n"/>
      <c r="W942" s="7">
        <f>IF($D942="","",V942*AB942/100)</f>
        <v/>
      </c>
      <c r="X942" s="7">
        <f>IF($D942="","",V942-W942)</f>
        <v/>
      </c>
      <c r="Y942" s="7">
        <f>IF($D942="","",X942-N942)</f>
        <v/>
      </c>
      <c r="AB942">
        <f>IF($D942="","",IF($AN942=1,Settings!$C$8,IF($AM942=1,Settings!$C$6,Settings!$C$7))*100)</f>
        <v/>
      </c>
      <c r="AF942" s="7" t="n"/>
      <c r="AI942" s="11" t="n"/>
      <c r="AK942">
        <f>IF($D942="","",IF(COUNTIF($D$2:$D942,$D942)=1,1,0))</f>
        <v/>
      </c>
      <c r="AL942">
        <f>IF($AK942=1,SUMPRODUCT(--($AO$2:$AO$1601&lt;$AO942))+1,"")</f>
        <v/>
      </c>
      <c r="AM942">
        <f>IF($D942="","",IF(OR($R942=TRUE(),$R942="TRUE"),1,0))</f>
        <v/>
      </c>
      <c r="AN942">
        <f>IF($D942="","",IF($AA942="Yes",1,0))</f>
        <v/>
      </c>
      <c r="AO942">
        <f>IF($AK942=1,IFERROR(IF(VALUE($D942)&lt;100000000,VALUE($D942),1000000000),IFERROR(IF(VALUE(MID($D942,2,20))&lt;100000000,VALUE(MID($D942,2,20)),1000000000),1000000000))+ROW()/100000,"")</f>
        <v/>
      </c>
    </row>
    <row r="943">
      <c r="F943" s="11" t="n"/>
      <c r="N943" s="7">
        <f>IF($D943="","",M943*X943/100)</f>
        <v/>
      </c>
      <c r="O943" s="7" t="n"/>
      <c r="U943" s="7" t="n"/>
      <c r="V943" s="7" t="n"/>
      <c r="W943" s="7">
        <f>IF($D943="","",V943*AB943/100)</f>
        <v/>
      </c>
      <c r="X943" s="7">
        <f>IF($D943="","",V943-W943)</f>
        <v/>
      </c>
      <c r="Y943" s="7">
        <f>IF($D943="","",X943-N943)</f>
        <v/>
      </c>
      <c r="AB943">
        <f>IF($D943="","",IF($AN943=1,Settings!$C$8,IF($AM943=1,Settings!$C$6,Settings!$C$7))*100)</f>
        <v/>
      </c>
      <c r="AF943" s="7" t="n"/>
      <c r="AI943" s="11" t="n"/>
      <c r="AK943">
        <f>IF($D943="","",IF(COUNTIF($D$2:$D943,$D943)=1,1,0))</f>
        <v/>
      </c>
      <c r="AL943">
        <f>IF($AK943=1,SUMPRODUCT(--($AO$2:$AO$1601&lt;$AO943))+1,"")</f>
        <v/>
      </c>
      <c r="AM943">
        <f>IF($D943="","",IF(OR($R943=TRUE(),$R943="TRUE"),1,0))</f>
        <v/>
      </c>
      <c r="AN943">
        <f>IF($D943="","",IF($AA943="Yes",1,0))</f>
        <v/>
      </c>
      <c r="AO943">
        <f>IF($AK943=1,IFERROR(IF(VALUE($D943)&lt;100000000,VALUE($D943),1000000000),IFERROR(IF(VALUE(MID($D943,2,20))&lt;100000000,VALUE(MID($D943,2,20)),1000000000),1000000000))+ROW()/100000,"")</f>
        <v/>
      </c>
    </row>
    <row r="944">
      <c r="F944" s="11" t="n"/>
      <c r="N944" s="7">
        <f>IF($D944="","",M944*X944/100)</f>
        <v/>
      </c>
      <c r="O944" s="7" t="n"/>
      <c r="U944" s="7" t="n"/>
      <c r="V944" s="7" t="n"/>
      <c r="W944" s="7">
        <f>IF($D944="","",V944*AB944/100)</f>
        <v/>
      </c>
      <c r="X944" s="7">
        <f>IF($D944="","",V944-W944)</f>
        <v/>
      </c>
      <c r="Y944" s="7">
        <f>IF($D944="","",X944-N944)</f>
        <v/>
      </c>
      <c r="AB944">
        <f>IF($D944="","",IF($AN944=1,Settings!$C$8,IF($AM944=1,Settings!$C$6,Settings!$C$7))*100)</f>
        <v/>
      </c>
      <c r="AF944" s="7" t="n"/>
      <c r="AI944" s="11" t="n"/>
      <c r="AK944">
        <f>IF($D944="","",IF(COUNTIF($D$2:$D944,$D944)=1,1,0))</f>
        <v/>
      </c>
      <c r="AL944">
        <f>IF($AK944=1,SUMPRODUCT(--($AO$2:$AO$1601&lt;$AO944))+1,"")</f>
        <v/>
      </c>
      <c r="AM944">
        <f>IF($D944="","",IF(OR($R944=TRUE(),$R944="TRUE"),1,0))</f>
        <v/>
      </c>
      <c r="AN944">
        <f>IF($D944="","",IF($AA944="Yes",1,0))</f>
        <v/>
      </c>
      <c r="AO944">
        <f>IF($AK944=1,IFERROR(IF(VALUE($D944)&lt;100000000,VALUE($D944),1000000000),IFERROR(IF(VALUE(MID($D944,2,20))&lt;100000000,VALUE(MID($D944,2,20)),1000000000),1000000000))+ROW()/100000,"")</f>
        <v/>
      </c>
    </row>
    <row r="945">
      <c r="F945" s="11" t="n"/>
      <c r="N945" s="7">
        <f>IF($D945="","",M945*X945/100)</f>
        <v/>
      </c>
      <c r="O945" s="7" t="n"/>
      <c r="U945" s="7" t="n"/>
      <c r="V945" s="7" t="n"/>
      <c r="W945" s="7">
        <f>IF($D945="","",V945*AB945/100)</f>
        <v/>
      </c>
      <c r="X945" s="7">
        <f>IF($D945="","",V945-W945)</f>
        <v/>
      </c>
      <c r="Y945" s="7">
        <f>IF($D945="","",X945-N945)</f>
        <v/>
      </c>
      <c r="AB945">
        <f>IF($D945="","",IF($AN945=1,Settings!$C$8,IF($AM945=1,Settings!$C$6,Settings!$C$7))*100)</f>
        <v/>
      </c>
      <c r="AF945" s="7" t="n"/>
      <c r="AI945" s="11" t="n"/>
      <c r="AK945">
        <f>IF($D945="","",IF(COUNTIF($D$2:$D945,$D945)=1,1,0))</f>
        <v/>
      </c>
      <c r="AL945">
        <f>IF($AK945=1,SUMPRODUCT(--($AO$2:$AO$1601&lt;$AO945))+1,"")</f>
        <v/>
      </c>
      <c r="AM945">
        <f>IF($D945="","",IF(OR($R945=TRUE(),$R945="TRUE"),1,0))</f>
        <v/>
      </c>
      <c r="AN945">
        <f>IF($D945="","",IF($AA945="Yes",1,0))</f>
        <v/>
      </c>
      <c r="AO945">
        <f>IF($AK945=1,IFERROR(IF(VALUE($D945)&lt;100000000,VALUE($D945),1000000000),IFERROR(IF(VALUE(MID($D945,2,20))&lt;100000000,VALUE(MID($D945,2,20)),1000000000),1000000000))+ROW()/100000,"")</f>
        <v/>
      </c>
    </row>
    <row r="946">
      <c r="F946" s="11" t="n"/>
      <c r="N946" s="7">
        <f>IF($D946="","",M946*X946/100)</f>
        <v/>
      </c>
      <c r="O946" s="7" t="n"/>
      <c r="U946" s="7" t="n"/>
      <c r="V946" s="7" t="n"/>
      <c r="W946" s="7">
        <f>IF($D946="","",V946*AB946/100)</f>
        <v/>
      </c>
      <c r="X946" s="7">
        <f>IF($D946="","",V946-W946)</f>
        <v/>
      </c>
      <c r="Y946" s="7">
        <f>IF($D946="","",X946-N946)</f>
        <v/>
      </c>
      <c r="AB946">
        <f>IF($D946="","",IF($AN946=1,Settings!$C$8,IF($AM946=1,Settings!$C$6,Settings!$C$7))*100)</f>
        <v/>
      </c>
      <c r="AF946" s="7" t="n"/>
      <c r="AI946" s="11" t="n"/>
      <c r="AK946">
        <f>IF($D946="","",IF(COUNTIF($D$2:$D946,$D946)=1,1,0))</f>
        <v/>
      </c>
      <c r="AL946">
        <f>IF($AK946=1,SUMPRODUCT(--($AO$2:$AO$1601&lt;$AO946))+1,"")</f>
        <v/>
      </c>
      <c r="AM946">
        <f>IF($D946="","",IF(OR($R946=TRUE(),$R946="TRUE"),1,0))</f>
        <v/>
      </c>
      <c r="AN946">
        <f>IF($D946="","",IF($AA946="Yes",1,0))</f>
        <v/>
      </c>
      <c r="AO946">
        <f>IF($AK946=1,IFERROR(IF(VALUE($D946)&lt;100000000,VALUE($D946),1000000000),IFERROR(IF(VALUE(MID($D946,2,20))&lt;100000000,VALUE(MID($D946,2,20)),1000000000),1000000000))+ROW()/100000,"")</f>
        <v/>
      </c>
    </row>
    <row r="947">
      <c r="F947" s="11" t="n"/>
      <c r="N947" s="7">
        <f>IF($D947="","",M947*X947/100)</f>
        <v/>
      </c>
      <c r="O947" s="7" t="n"/>
      <c r="U947" s="7" t="n"/>
      <c r="V947" s="7" t="n"/>
      <c r="W947" s="7">
        <f>IF($D947="","",V947*AB947/100)</f>
        <v/>
      </c>
      <c r="X947" s="7">
        <f>IF($D947="","",V947-W947)</f>
        <v/>
      </c>
      <c r="Y947" s="7">
        <f>IF($D947="","",X947-N947)</f>
        <v/>
      </c>
      <c r="AB947">
        <f>IF($D947="","",IF($AN947=1,Settings!$C$8,IF($AM947=1,Settings!$C$6,Settings!$C$7))*100)</f>
        <v/>
      </c>
      <c r="AF947" s="7" t="n"/>
      <c r="AI947" s="11" t="n"/>
      <c r="AK947">
        <f>IF($D947="","",IF(COUNTIF($D$2:$D947,$D947)=1,1,0))</f>
        <v/>
      </c>
      <c r="AL947">
        <f>IF($AK947=1,SUMPRODUCT(--($AO$2:$AO$1601&lt;$AO947))+1,"")</f>
        <v/>
      </c>
      <c r="AM947">
        <f>IF($D947="","",IF(OR($R947=TRUE(),$R947="TRUE"),1,0))</f>
        <v/>
      </c>
      <c r="AN947">
        <f>IF($D947="","",IF($AA947="Yes",1,0))</f>
        <v/>
      </c>
      <c r="AO947">
        <f>IF($AK947=1,IFERROR(IF(VALUE($D947)&lt;100000000,VALUE($D947),1000000000),IFERROR(IF(VALUE(MID($D947,2,20))&lt;100000000,VALUE(MID($D947,2,20)),1000000000),1000000000))+ROW()/100000,"")</f>
        <v/>
      </c>
    </row>
    <row r="948">
      <c r="F948" s="11" t="n"/>
      <c r="N948" s="7">
        <f>IF($D948="","",M948*X948/100)</f>
        <v/>
      </c>
      <c r="O948" s="7" t="n"/>
      <c r="U948" s="7" t="n"/>
      <c r="V948" s="7" t="n"/>
      <c r="W948" s="7">
        <f>IF($D948="","",V948*AB948/100)</f>
        <v/>
      </c>
      <c r="X948" s="7">
        <f>IF($D948="","",V948-W948)</f>
        <v/>
      </c>
      <c r="Y948" s="7">
        <f>IF($D948="","",X948-N948)</f>
        <v/>
      </c>
      <c r="AB948">
        <f>IF($D948="","",IF($AN948=1,Settings!$C$8,IF($AM948=1,Settings!$C$6,Settings!$C$7))*100)</f>
        <v/>
      </c>
      <c r="AF948" s="7" t="n"/>
      <c r="AI948" s="11" t="n"/>
      <c r="AK948">
        <f>IF($D948="","",IF(COUNTIF($D$2:$D948,$D948)=1,1,0))</f>
        <v/>
      </c>
      <c r="AL948">
        <f>IF($AK948=1,SUMPRODUCT(--($AO$2:$AO$1601&lt;$AO948))+1,"")</f>
        <v/>
      </c>
      <c r="AM948">
        <f>IF($D948="","",IF(OR($R948=TRUE(),$R948="TRUE"),1,0))</f>
        <v/>
      </c>
      <c r="AN948">
        <f>IF($D948="","",IF($AA948="Yes",1,0))</f>
        <v/>
      </c>
      <c r="AO948">
        <f>IF($AK948=1,IFERROR(IF(VALUE($D948)&lt;100000000,VALUE($D948),1000000000),IFERROR(IF(VALUE(MID($D948,2,20))&lt;100000000,VALUE(MID($D948,2,20)),1000000000),1000000000))+ROW()/100000,"")</f>
        <v/>
      </c>
    </row>
    <row r="949">
      <c r="F949" s="11" t="n"/>
      <c r="N949" s="7">
        <f>IF($D949="","",M949*X949/100)</f>
        <v/>
      </c>
      <c r="O949" s="7" t="n"/>
      <c r="U949" s="7" t="n"/>
      <c r="V949" s="7" t="n"/>
      <c r="W949" s="7">
        <f>IF($D949="","",V949*AB949/100)</f>
        <v/>
      </c>
      <c r="X949" s="7">
        <f>IF($D949="","",V949-W949)</f>
        <v/>
      </c>
      <c r="Y949" s="7">
        <f>IF($D949="","",X949-N949)</f>
        <v/>
      </c>
      <c r="AB949">
        <f>IF($D949="","",IF($AN949=1,Settings!$C$8,IF($AM949=1,Settings!$C$6,Settings!$C$7))*100)</f>
        <v/>
      </c>
      <c r="AF949" s="7" t="n"/>
      <c r="AI949" s="11" t="n"/>
      <c r="AK949">
        <f>IF($D949="","",IF(COUNTIF($D$2:$D949,$D949)=1,1,0))</f>
        <v/>
      </c>
      <c r="AL949">
        <f>IF($AK949=1,SUMPRODUCT(--($AO$2:$AO$1601&lt;$AO949))+1,"")</f>
        <v/>
      </c>
      <c r="AM949">
        <f>IF($D949="","",IF(OR($R949=TRUE(),$R949="TRUE"),1,0))</f>
        <v/>
      </c>
      <c r="AN949">
        <f>IF($D949="","",IF($AA949="Yes",1,0))</f>
        <v/>
      </c>
      <c r="AO949">
        <f>IF($AK949=1,IFERROR(IF(VALUE($D949)&lt;100000000,VALUE($D949),1000000000),IFERROR(IF(VALUE(MID($D949,2,20))&lt;100000000,VALUE(MID($D949,2,20)),1000000000),1000000000))+ROW()/100000,"")</f>
        <v/>
      </c>
    </row>
    <row r="950">
      <c r="F950" s="11" t="n"/>
      <c r="N950" s="7">
        <f>IF($D950="","",M950*X950/100)</f>
        <v/>
      </c>
      <c r="O950" s="7" t="n"/>
      <c r="U950" s="7" t="n"/>
      <c r="V950" s="7" t="n"/>
      <c r="W950" s="7">
        <f>IF($D950="","",V950*AB950/100)</f>
        <v/>
      </c>
      <c r="X950" s="7">
        <f>IF($D950="","",V950-W950)</f>
        <v/>
      </c>
      <c r="Y950" s="7">
        <f>IF($D950="","",X950-N950)</f>
        <v/>
      </c>
      <c r="AB950">
        <f>IF($D950="","",IF($AN950=1,Settings!$C$8,IF($AM950=1,Settings!$C$6,Settings!$C$7))*100)</f>
        <v/>
      </c>
      <c r="AF950" s="7" t="n"/>
      <c r="AI950" s="11" t="n"/>
      <c r="AK950">
        <f>IF($D950="","",IF(COUNTIF($D$2:$D950,$D950)=1,1,0))</f>
        <v/>
      </c>
      <c r="AL950">
        <f>IF($AK950=1,SUMPRODUCT(--($AO$2:$AO$1601&lt;$AO950))+1,"")</f>
        <v/>
      </c>
      <c r="AM950">
        <f>IF($D950="","",IF(OR($R950=TRUE(),$R950="TRUE"),1,0))</f>
        <v/>
      </c>
      <c r="AN950">
        <f>IF($D950="","",IF($AA950="Yes",1,0))</f>
        <v/>
      </c>
      <c r="AO950">
        <f>IF($AK950=1,IFERROR(IF(VALUE($D950)&lt;100000000,VALUE($D950),1000000000),IFERROR(IF(VALUE(MID($D950,2,20))&lt;100000000,VALUE(MID($D950,2,20)),1000000000),1000000000))+ROW()/100000,"")</f>
        <v/>
      </c>
    </row>
    <row r="951">
      <c r="F951" s="11" t="n"/>
      <c r="N951" s="7">
        <f>IF($D951="","",M951*X951/100)</f>
        <v/>
      </c>
      <c r="O951" s="7" t="n"/>
      <c r="U951" s="7" t="n"/>
      <c r="V951" s="7" t="n"/>
      <c r="W951" s="7">
        <f>IF($D951="","",V951*AB951/100)</f>
        <v/>
      </c>
      <c r="X951" s="7">
        <f>IF($D951="","",V951-W951)</f>
        <v/>
      </c>
      <c r="Y951" s="7">
        <f>IF($D951="","",X951-N951)</f>
        <v/>
      </c>
      <c r="AB951">
        <f>IF($D951="","",IF($AN951=1,Settings!$C$8,IF($AM951=1,Settings!$C$6,Settings!$C$7))*100)</f>
        <v/>
      </c>
      <c r="AF951" s="7" t="n"/>
      <c r="AI951" s="11" t="n"/>
      <c r="AK951">
        <f>IF($D951="","",IF(COUNTIF($D$2:$D951,$D951)=1,1,0))</f>
        <v/>
      </c>
      <c r="AL951">
        <f>IF($AK951=1,SUMPRODUCT(--($AO$2:$AO$1601&lt;$AO951))+1,"")</f>
        <v/>
      </c>
      <c r="AM951">
        <f>IF($D951="","",IF(OR($R951=TRUE(),$R951="TRUE"),1,0))</f>
        <v/>
      </c>
      <c r="AN951">
        <f>IF($D951="","",IF($AA951="Yes",1,0))</f>
        <v/>
      </c>
      <c r="AO951">
        <f>IF($AK951=1,IFERROR(IF(VALUE($D951)&lt;100000000,VALUE($D951),1000000000),IFERROR(IF(VALUE(MID($D951,2,20))&lt;100000000,VALUE(MID($D951,2,20)),1000000000),1000000000))+ROW()/100000,"")</f>
        <v/>
      </c>
    </row>
    <row r="952">
      <c r="F952" s="11" t="n"/>
      <c r="N952" s="7">
        <f>IF($D952="","",M952*X952/100)</f>
        <v/>
      </c>
      <c r="O952" s="7" t="n"/>
      <c r="U952" s="7" t="n"/>
      <c r="V952" s="7" t="n"/>
      <c r="W952" s="7">
        <f>IF($D952="","",V952*AB952/100)</f>
        <v/>
      </c>
      <c r="X952" s="7">
        <f>IF($D952="","",V952-W952)</f>
        <v/>
      </c>
      <c r="Y952" s="7">
        <f>IF($D952="","",X952-N952)</f>
        <v/>
      </c>
      <c r="AB952">
        <f>IF($D952="","",IF($AN952=1,Settings!$C$8,IF($AM952=1,Settings!$C$6,Settings!$C$7))*100)</f>
        <v/>
      </c>
      <c r="AF952" s="7" t="n"/>
      <c r="AI952" s="11" t="n"/>
      <c r="AK952">
        <f>IF($D952="","",IF(COUNTIF($D$2:$D952,$D952)=1,1,0))</f>
        <v/>
      </c>
      <c r="AL952">
        <f>IF($AK952=1,SUMPRODUCT(--($AO$2:$AO$1601&lt;$AO952))+1,"")</f>
        <v/>
      </c>
      <c r="AM952">
        <f>IF($D952="","",IF(OR($R952=TRUE(),$R952="TRUE"),1,0))</f>
        <v/>
      </c>
      <c r="AN952">
        <f>IF($D952="","",IF($AA952="Yes",1,0))</f>
        <v/>
      </c>
      <c r="AO952">
        <f>IF($AK952=1,IFERROR(IF(VALUE($D952)&lt;100000000,VALUE($D952),1000000000),IFERROR(IF(VALUE(MID($D952,2,20))&lt;100000000,VALUE(MID($D952,2,20)),1000000000),1000000000))+ROW()/100000,"")</f>
        <v/>
      </c>
    </row>
    <row r="953">
      <c r="F953" s="11" t="n"/>
      <c r="N953" s="7">
        <f>IF($D953="","",M953*X953/100)</f>
        <v/>
      </c>
      <c r="O953" s="7" t="n"/>
      <c r="U953" s="7" t="n"/>
      <c r="V953" s="7" t="n"/>
      <c r="W953" s="7">
        <f>IF($D953="","",V953*AB953/100)</f>
        <v/>
      </c>
      <c r="X953" s="7">
        <f>IF($D953="","",V953-W953)</f>
        <v/>
      </c>
      <c r="Y953" s="7">
        <f>IF($D953="","",X953-N953)</f>
        <v/>
      </c>
      <c r="AB953">
        <f>IF($D953="","",IF($AN953=1,Settings!$C$8,IF($AM953=1,Settings!$C$6,Settings!$C$7))*100)</f>
        <v/>
      </c>
      <c r="AF953" s="7" t="n"/>
      <c r="AI953" s="11" t="n"/>
      <c r="AK953">
        <f>IF($D953="","",IF(COUNTIF($D$2:$D953,$D953)=1,1,0))</f>
        <v/>
      </c>
      <c r="AL953">
        <f>IF($AK953=1,SUMPRODUCT(--($AO$2:$AO$1601&lt;$AO953))+1,"")</f>
        <v/>
      </c>
      <c r="AM953">
        <f>IF($D953="","",IF(OR($R953=TRUE(),$R953="TRUE"),1,0))</f>
        <v/>
      </c>
      <c r="AN953">
        <f>IF($D953="","",IF($AA953="Yes",1,0))</f>
        <v/>
      </c>
      <c r="AO953">
        <f>IF($AK953=1,IFERROR(IF(VALUE($D953)&lt;100000000,VALUE($D953),1000000000),IFERROR(IF(VALUE(MID($D953,2,20))&lt;100000000,VALUE(MID($D953,2,20)),1000000000),1000000000))+ROW()/100000,"")</f>
        <v/>
      </c>
    </row>
    <row r="954">
      <c r="F954" s="11" t="n"/>
      <c r="N954" s="7">
        <f>IF($D954="","",M954*X954/100)</f>
        <v/>
      </c>
      <c r="O954" s="7" t="n"/>
      <c r="U954" s="7" t="n"/>
      <c r="V954" s="7" t="n"/>
      <c r="W954" s="7">
        <f>IF($D954="","",V954*AB954/100)</f>
        <v/>
      </c>
      <c r="X954" s="7">
        <f>IF($D954="","",V954-W954)</f>
        <v/>
      </c>
      <c r="Y954" s="7">
        <f>IF($D954="","",X954-N954)</f>
        <v/>
      </c>
      <c r="AB954">
        <f>IF($D954="","",IF($AN954=1,Settings!$C$8,IF($AM954=1,Settings!$C$6,Settings!$C$7))*100)</f>
        <v/>
      </c>
      <c r="AF954" s="7" t="n"/>
      <c r="AI954" s="11" t="n"/>
      <c r="AK954">
        <f>IF($D954="","",IF(COUNTIF($D$2:$D954,$D954)=1,1,0))</f>
        <v/>
      </c>
      <c r="AL954">
        <f>IF($AK954=1,SUMPRODUCT(--($AO$2:$AO$1601&lt;$AO954))+1,"")</f>
        <v/>
      </c>
      <c r="AM954">
        <f>IF($D954="","",IF(OR($R954=TRUE(),$R954="TRUE"),1,0))</f>
        <v/>
      </c>
      <c r="AN954">
        <f>IF($D954="","",IF($AA954="Yes",1,0))</f>
        <v/>
      </c>
      <c r="AO954">
        <f>IF($AK954=1,IFERROR(IF(VALUE($D954)&lt;100000000,VALUE($D954),1000000000),IFERROR(IF(VALUE(MID($D954,2,20))&lt;100000000,VALUE(MID($D954,2,20)),1000000000),1000000000))+ROW()/100000,"")</f>
        <v/>
      </c>
    </row>
    <row r="955">
      <c r="F955" s="11" t="n"/>
      <c r="N955" s="7">
        <f>IF($D955="","",M955*X955/100)</f>
        <v/>
      </c>
      <c r="O955" s="7" t="n"/>
      <c r="U955" s="7" t="n"/>
      <c r="V955" s="7" t="n"/>
      <c r="W955" s="7">
        <f>IF($D955="","",V955*AB955/100)</f>
        <v/>
      </c>
      <c r="X955" s="7">
        <f>IF($D955="","",V955-W955)</f>
        <v/>
      </c>
      <c r="Y955" s="7">
        <f>IF($D955="","",X955-N955)</f>
        <v/>
      </c>
      <c r="AB955">
        <f>IF($D955="","",IF($AN955=1,Settings!$C$8,IF($AM955=1,Settings!$C$6,Settings!$C$7))*100)</f>
        <v/>
      </c>
      <c r="AF955" s="7" t="n"/>
      <c r="AI955" s="11" t="n"/>
      <c r="AK955">
        <f>IF($D955="","",IF(COUNTIF($D$2:$D955,$D955)=1,1,0))</f>
        <v/>
      </c>
      <c r="AL955">
        <f>IF($AK955=1,SUMPRODUCT(--($AO$2:$AO$1601&lt;$AO955))+1,"")</f>
        <v/>
      </c>
      <c r="AM955">
        <f>IF($D955="","",IF(OR($R955=TRUE(),$R955="TRUE"),1,0))</f>
        <v/>
      </c>
      <c r="AN955">
        <f>IF($D955="","",IF($AA955="Yes",1,0))</f>
        <v/>
      </c>
      <c r="AO955">
        <f>IF($AK955=1,IFERROR(IF(VALUE($D955)&lt;100000000,VALUE($D955),1000000000),IFERROR(IF(VALUE(MID($D955,2,20))&lt;100000000,VALUE(MID($D955,2,20)),1000000000),1000000000))+ROW()/100000,"")</f>
        <v/>
      </c>
    </row>
    <row r="956">
      <c r="F956" s="11" t="n"/>
      <c r="N956" s="7">
        <f>IF($D956="","",M956*X956/100)</f>
        <v/>
      </c>
      <c r="O956" s="7" t="n"/>
      <c r="U956" s="7" t="n"/>
      <c r="V956" s="7" t="n"/>
      <c r="W956" s="7">
        <f>IF($D956="","",V956*AB956/100)</f>
        <v/>
      </c>
      <c r="X956" s="7">
        <f>IF($D956="","",V956-W956)</f>
        <v/>
      </c>
      <c r="Y956" s="7">
        <f>IF($D956="","",X956-N956)</f>
        <v/>
      </c>
      <c r="AB956">
        <f>IF($D956="","",IF($AN956=1,Settings!$C$8,IF($AM956=1,Settings!$C$6,Settings!$C$7))*100)</f>
        <v/>
      </c>
      <c r="AF956" s="7" t="n"/>
      <c r="AI956" s="11" t="n"/>
      <c r="AK956">
        <f>IF($D956="","",IF(COUNTIF($D$2:$D956,$D956)=1,1,0))</f>
        <v/>
      </c>
      <c r="AL956">
        <f>IF($AK956=1,SUMPRODUCT(--($AO$2:$AO$1601&lt;$AO956))+1,"")</f>
        <v/>
      </c>
      <c r="AM956">
        <f>IF($D956="","",IF(OR($R956=TRUE(),$R956="TRUE"),1,0))</f>
        <v/>
      </c>
      <c r="AN956">
        <f>IF($D956="","",IF($AA956="Yes",1,0))</f>
        <v/>
      </c>
      <c r="AO956">
        <f>IF($AK956=1,IFERROR(IF(VALUE($D956)&lt;100000000,VALUE($D956),1000000000),IFERROR(IF(VALUE(MID($D956,2,20))&lt;100000000,VALUE(MID($D956,2,20)),1000000000),1000000000))+ROW()/100000,"")</f>
        <v/>
      </c>
    </row>
    <row r="957">
      <c r="F957" s="11" t="n"/>
      <c r="N957" s="7">
        <f>IF($D957="","",M957*X957/100)</f>
        <v/>
      </c>
      <c r="O957" s="7" t="n"/>
      <c r="U957" s="7" t="n"/>
      <c r="V957" s="7" t="n"/>
      <c r="W957" s="7">
        <f>IF($D957="","",V957*AB957/100)</f>
        <v/>
      </c>
      <c r="X957" s="7">
        <f>IF($D957="","",V957-W957)</f>
        <v/>
      </c>
      <c r="Y957" s="7">
        <f>IF($D957="","",X957-N957)</f>
        <v/>
      </c>
      <c r="AB957">
        <f>IF($D957="","",IF($AN957=1,Settings!$C$8,IF($AM957=1,Settings!$C$6,Settings!$C$7))*100)</f>
        <v/>
      </c>
      <c r="AF957" s="7" t="n"/>
      <c r="AI957" s="11" t="n"/>
      <c r="AK957">
        <f>IF($D957="","",IF(COUNTIF($D$2:$D957,$D957)=1,1,0))</f>
        <v/>
      </c>
      <c r="AL957">
        <f>IF($AK957=1,SUMPRODUCT(--($AO$2:$AO$1601&lt;$AO957))+1,"")</f>
        <v/>
      </c>
      <c r="AM957">
        <f>IF($D957="","",IF(OR($R957=TRUE(),$R957="TRUE"),1,0))</f>
        <v/>
      </c>
      <c r="AN957">
        <f>IF($D957="","",IF($AA957="Yes",1,0))</f>
        <v/>
      </c>
      <c r="AO957">
        <f>IF($AK957=1,IFERROR(IF(VALUE($D957)&lt;100000000,VALUE($D957),1000000000),IFERROR(IF(VALUE(MID($D957,2,20))&lt;100000000,VALUE(MID($D957,2,20)),1000000000),1000000000))+ROW()/100000,"")</f>
        <v/>
      </c>
    </row>
    <row r="958">
      <c r="F958" s="11" t="n"/>
      <c r="N958" s="7">
        <f>IF($D958="","",M958*X958/100)</f>
        <v/>
      </c>
      <c r="O958" s="7" t="n"/>
      <c r="U958" s="7" t="n"/>
      <c r="V958" s="7" t="n"/>
      <c r="W958" s="7">
        <f>IF($D958="","",V958*AB958/100)</f>
        <v/>
      </c>
      <c r="X958" s="7">
        <f>IF($D958="","",V958-W958)</f>
        <v/>
      </c>
      <c r="Y958" s="7">
        <f>IF($D958="","",X958-N958)</f>
        <v/>
      </c>
      <c r="AB958">
        <f>IF($D958="","",IF($AN958=1,Settings!$C$8,IF($AM958=1,Settings!$C$6,Settings!$C$7))*100)</f>
        <v/>
      </c>
      <c r="AF958" s="7" t="n"/>
      <c r="AI958" s="11" t="n"/>
      <c r="AK958">
        <f>IF($D958="","",IF(COUNTIF($D$2:$D958,$D958)=1,1,0))</f>
        <v/>
      </c>
      <c r="AL958">
        <f>IF($AK958=1,SUMPRODUCT(--($AO$2:$AO$1601&lt;$AO958))+1,"")</f>
        <v/>
      </c>
      <c r="AM958">
        <f>IF($D958="","",IF(OR($R958=TRUE(),$R958="TRUE"),1,0))</f>
        <v/>
      </c>
      <c r="AN958">
        <f>IF($D958="","",IF($AA958="Yes",1,0))</f>
        <v/>
      </c>
      <c r="AO958">
        <f>IF($AK958=1,IFERROR(IF(VALUE($D958)&lt;100000000,VALUE($D958),1000000000),IFERROR(IF(VALUE(MID($D958,2,20))&lt;100000000,VALUE(MID($D958,2,20)),1000000000),1000000000))+ROW()/100000,"")</f>
        <v/>
      </c>
    </row>
    <row r="959">
      <c r="F959" s="11" t="n"/>
      <c r="N959" s="7">
        <f>IF($D959="","",M959*X959/100)</f>
        <v/>
      </c>
      <c r="O959" s="7" t="n"/>
      <c r="U959" s="7" t="n"/>
      <c r="V959" s="7" t="n"/>
      <c r="W959" s="7">
        <f>IF($D959="","",V959*AB959/100)</f>
        <v/>
      </c>
      <c r="X959" s="7">
        <f>IF($D959="","",V959-W959)</f>
        <v/>
      </c>
      <c r="Y959" s="7">
        <f>IF($D959="","",X959-N959)</f>
        <v/>
      </c>
      <c r="AB959">
        <f>IF($D959="","",IF($AN959=1,Settings!$C$8,IF($AM959=1,Settings!$C$6,Settings!$C$7))*100)</f>
        <v/>
      </c>
      <c r="AF959" s="7" t="n"/>
      <c r="AI959" s="11" t="n"/>
      <c r="AK959">
        <f>IF($D959="","",IF(COUNTIF($D$2:$D959,$D959)=1,1,0))</f>
        <v/>
      </c>
      <c r="AL959">
        <f>IF($AK959=1,SUMPRODUCT(--($AO$2:$AO$1601&lt;$AO959))+1,"")</f>
        <v/>
      </c>
      <c r="AM959">
        <f>IF($D959="","",IF(OR($R959=TRUE(),$R959="TRUE"),1,0))</f>
        <v/>
      </c>
      <c r="AN959">
        <f>IF($D959="","",IF($AA959="Yes",1,0))</f>
        <v/>
      </c>
      <c r="AO959">
        <f>IF($AK959=1,IFERROR(IF(VALUE($D959)&lt;100000000,VALUE($D959),1000000000),IFERROR(IF(VALUE(MID($D959,2,20))&lt;100000000,VALUE(MID($D959,2,20)),1000000000),1000000000))+ROW()/100000,"")</f>
        <v/>
      </c>
    </row>
    <row r="960">
      <c r="F960" s="11" t="n"/>
      <c r="N960" s="7">
        <f>IF($D960="","",M960*X960/100)</f>
        <v/>
      </c>
      <c r="O960" s="7" t="n"/>
      <c r="U960" s="7" t="n"/>
      <c r="V960" s="7" t="n"/>
      <c r="W960" s="7">
        <f>IF($D960="","",V960*AB960/100)</f>
        <v/>
      </c>
      <c r="X960" s="7">
        <f>IF($D960="","",V960-W960)</f>
        <v/>
      </c>
      <c r="Y960" s="7">
        <f>IF($D960="","",X960-N960)</f>
        <v/>
      </c>
      <c r="AB960">
        <f>IF($D960="","",IF($AN960=1,Settings!$C$8,IF($AM960=1,Settings!$C$6,Settings!$C$7))*100)</f>
        <v/>
      </c>
      <c r="AF960" s="7" t="n"/>
      <c r="AI960" s="11" t="n"/>
      <c r="AK960">
        <f>IF($D960="","",IF(COUNTIF($D$2:$D960,$D960)=1,1,0))</f>
        <v/>
      </c>
      <c r="AL960">
        <f>IF($AK960=1,SUMPRODUCT(--($AO$2:$AO$1601&lt;$AO960))+1,"")</f>
        <v/>
      </c>
      <c r="AM960">
        <f>IF($D960="","",IF(OR($R960=TRUE(),$R960="TRUE"),1,0))</f>
        <v/>
      </c>
      <c r="AN960">
        <f>IF($D960="","",IF($AA960="Yes",1,0))</f>
        <v/>
      </c>
      <c r="AO960">
        <f>IF($AK960=1,IFERROR(IF(VALUE($D960)&lt;100000000,VALUE($D960),1000000000),IFERROR(IF(VALUE(MID($D960,2,20))&lt;100000000,VALUE(MID($D960,2,20)),1000000000),1000000000))+ROW()/100000,"")</f>
        <v/>
      </c>
    </row>
    <row r="961">
      <c r="F961" s="11" t="n"/>
      <c r="N961" s="7">
        <f>IF($D961="","",M961*X961/100)</f>
        <v/>
      </c>
      <c r="O961" s="7" t="n"/>
      <c r="U961" s="7" t="n"/>
      <c r="V961" s="7" t="n"/>
      <c r="W961" s="7">
        <f>IF($D961="","",V961*AB961/100)</f>
        <v/>
      </c>
      <c r="X961" s="7">
        <f>IF($D961="","",V961-W961)</f>
        <v/>
      </c>
      <c r="Y961" s="7">
        <f>IF($D961="","",X961-N961)</f>
        <v/>
      </c>
      <c r="AB961">
        <f>IF($D961="","",IF($AN961=1,Settings!$C$8,IF($AM961=1,Settings!$C$6,Settings!$C$7))*100)</f>
        <v/>
      </c>
      <c r="AF961" s="7" t="n"/>
      <c r="AI961" s="11" t="n"/>
      <c r="AK961">
        <f>IF($D961="","",IF(COUNTIF($D$2:$D961,$D961)=1,1,0))</f>
        <v/>
      </c>
      <c r="AL961">
        <f>IF($AK961=1,SUMPRODUCT(--($AO$2:$AO$1601&lt;$AO961))+1,"")</f>
        <v/>
      </c>
      <c r="AM961">
        <f>IF($D961="","",IF(OR($R961=TRUE(),$R961="TRUE"),1,0))</f>
        <v/>
      </c>
      <c r="AN961">
        <f>IF($D961="","",IF($AA961="Yes",1,0))</f>
        <v/>
      </c>
      <c r="AO961">
        <f>IF($AK961=1,IFERROR(IF(VALUE($D961)&lt;100000000,VALUE($D961),1000000000),IFERROR(IF(VALUE(MID($D961,2,20))&lt;100000000,VALUE(MID($D961,2,20)),1000000000),1000000000))+ROW()/100000,"")</f>
        <v/>
      </c>
    </row>
    <row r="962">
      <c r="F962" s="11" t="n"/>
      <c r="N962" s="7">
        <f>IF($D962="","",M962*X962/100)</f>
        <v/>
      </c>
      <c r="O962" s="7" t="n"/>
      <c r="U962" s="7" t="n"/>
      <c r="V962" s="7" t="n"/>
      <c r="W962" s="7">
        <f>IF($D962="","",V962*AB962/100)</f>
        <v/>
      </c>
      <c r="X962" s="7">
        <f>IF($D962="","",V962-W962)</f>
        <v/>
      </c>
      <c r="Y962" s="7">
        <f>IF($D962="","",X962-N962)</f>
        <v/>
      </c>
      <c r="AB962">
        <f>IF($D962="","",IF($AN962=1,Settings!$C$8,IF($AM962=1,Settings!$C$6,Settings!$C$7))*100)</f>
        <v/>
      </c>
      <c r="AF962" s="7" t="n"/>
      <c r="AI962" s="11" t="n"/>
      <c r="AK962">
        <f>IF($D962="","",IF(COUNTIF($D$2:$D962,$D962)=1,1,0))</f>
        <v/>
      </c>
      <c r="AL962">
        <f>IF($AK962=1,SUMPRODUCT(--($AO$2:$AO$1601&lt;$AO962))+1,"")</f>
        <v/>
      </c>
      <c r="AM962">
        <f>IF($D962="","",IF(OR($R962=TRUE(),$R962="TRUE"),1,0))</f>
        <v/>
      </c>
      <c r="AN962">
        <f>IF($D962="","",IF($AA962="Yes",1,0))</f>
        <v/>
      </c>
      <c r="AO962">
        <f>IF($AK962=1,IFERROR(IF(VALUE($D962)&lt;100000000,VALUE($D962),1000000000),IFERROR(IF(VALUE(MID($D962,2,20))&lt;100000000,VALUE(MID($D962,2,20)),1000000000),1000000000))+ROW()/100000,"")</f>
        <v/>
      </c>
    </row>
    <row r="963">
      <c r="F963" s="11" t="n"/>
      <c r="N963" s="7">
        <f>IF($D963="","",M963*X963/100)</f>
        <v/>
      </c>
      <c r="O963" s="7" t="n"/>
      <c r="U963" s="7" t="n"/>
      <c r="V963" s="7" t="n"/>
      <c r="W963" s="7">
        <f>IF($D963="","",V963*AB963/100)</f>
        <v/>
      </c>
      <c r="X963" s="7">
        <f>IF($D963="","",V963-W963)</f>
        <v/>
      </c>
      <c r="Y963" s="7">
        <f>IF($D963="","",X963-N963)</f>
        <v/>
      </c>
      <c r="AB963">
        <f>IF($D963="","",IF($AN963=1,Settings!$C$8,IF($AM963=1,Settings!$C$6,Settings!$C$7))*100)</f>
        <v/>
      </c>
      <c r="AF963" s="7" t="n"/>
      <c r="AI963" s="11" t="n"/>
      <c r="AK963">
        <f>IF($D963="","",IF(COUNTIF($D$2:$D963,$D963)=1,1,0))</f>
        <v/>
      </c>
      <c r="AL963">
        <f>IF($AK963=1,SUMPRODUCT(--($AO$2:$AO$1601&lt;$AO963))+1,"")</f>
        <v/>
      </c>
      <c r="AM963">
        <f>IF($D963="","",IF(OR($R963=TRUE(),$R963="TRUE"),1,0))</f>
        <v/>
      </c>
      <c r="AN963">
        <f>IF($D963="","",IF($AA963="Yes",1,0))</f>
        <v/>
      </c>
      <c r="AO963">
        <f>IF($AK963=1,IFERROR(IF(VALUE($D963)&lt;100000000,VALUE($D963),1000000000),IFERROR(IF(VALUE(MID($D963,2,20))&lt;100000000,VALUE(MID($D963,2,20)),1000000000),1000000000))+ROW()/100000,"")</f>
        <v/>
      </c>
    </row>
    <row r="964">
      <c r="F964" s="11" t="n"/>
      <c r="N964" s="7">
        <f>IF($D964="","",M964*X964/100)</f>
        <v/>
      </c>
      <c r="O964" s="7" t="n"/>
      <c r="U964" s="7" t="n"/>
      <c r="V964" s="7" t="n"/>
      <c r="W964" s="7">
        <f>IF($D964="","",V964*AB964/100)</f>
        <v/>
      </c>
      <c r="X964" s="7">
        <f>IF($D964="","",V964-W964)</f>
        <v/>
      </c>
      <c r="Y964" s="7">
        <f>IF($D964="","",X964-N964)</f>
        <v/>
      </c>
      <c r="AB964">
        <f>IF($D964="","",IF($AN964=1,Settings!$C$8,IF($AM964=1,Settings!$C$6,Settings!$C$7))*100)</f>
        <v/>
      </c>
      <c r="AF964" s="7" t="n"/>
      <c r="AI964" s="11" t="n"/>
      <c r="AK964">
        <f>IF($D964="","",IF(COUNTIF($D$2:$D964,$D964)=1,1,0))</f>
        <v/>
      </c>
      <c r="AL964">
        <f>IF($AK964=1,SUMPRODUCT(--($AO$2:$AO$1601&lt;$AO964))+1,"")</f>
        <v/>
      </c>
      <c r="AM964">
        <f>IF($D964="","",IF(OR($R964=TRUE(),$R964="TRUE"),1,0))</f>
        <v/>
      </c>
      <c r="AN964">
        <f>IF($D964="","",IF($AA964="Yes",1,0))</f>
        <v/>
      </c>
      <c r="AO964">
        <f>IF($AK964=1,IFERROR(IF(VALUE($D964)&lt;100000000,VALUE($D964),1000000000),IFERROR(IF(VALUE(MID($D964,2,20))&lt;100000000,VALUE(MID($D964,2,20)),1000000000),1000000000))+ROW()/100000,"")</f>
        <v/>
      </c>
    </row>
    <row r="965">
      <c r="F965" s="11" t="n"/>
      <c r="N965" s="7">
        <f>IF($D965="","",M965*X965/100)</f>
        <v/>
      </c>
      <c r="O965" s="7" t="n"/>
      <c r="U965" s="7" t="n"/>
      <c r="V965" s="7" t="n"/>
      <c r="W965" s="7">
        <f>IF($D965="","",V965*AB965/100)</f>
        <v/>
      </c>
      <c r="X965" s="7">
        <f>IF($D965="","",V965-W965)</f>
        <v/>
      </c>
      <c r="Y965" s="7">
        <f>IF($D965="","",X965-N965)</f>
        <v/>
      </c>
      <c r="AB965">
        <f>IF($D965="","",IF($AN965=1,Settings!$C$8,IF($AM965=1,Settings!$C$6,Settings!$C$7))*100)</f>
        <v/>
      </c>
      <c r="AF965" s="7" t="n"/>
      <c r="AI965" s="11" t="n"/>
      <c r="AK965">
        <f>IF($D965="","",IF(COUNTIF($D$2:$D965,$D965)=1,1,0))</f>
        <v/>
      </c>
      <c r="AL965">
        <f>IF($AK965=1,SUMPRODUCT(--($AO$2:$AO$1601&lt;$AO965))+1,"")</f>
        <v/>
      </c>
      <c r="AM965">
        <f>IF($D965="","",IF(OR($R965=TRUE(),$R965="TRUE"),1,0))</f>
        <v/>
      </c>
      <c r="AN965">
        <f>IF($D965="","",IF($AA965="Yes",1,0))</f>
        <v/>
      </c>
      <c r="AO965">
        <f>IF($AK965=1,IFERROR(IF(VALUE($D965)&lt;100000000,VALUE($D965),1000000000),IFERROR(IF(VALUE(MID($D965,2,20))&lt;100000000,VALUE(MID($D965,2,20)),1000000000),1000000000))+ROW()/100000,"")</f>
        <v/>
      </c>
    </row>
    <row r="966">
      <c r="F966" s="11" t="n"/>
      <c r="N966" s="7">
        <f>IF($D966="","",M966*X966/100)</f>
        <v/>
      </c>
      <c r="O966" s="7" t="n"/>
      <c r="U966" s="7" t="n"/>
      <c r="V966" s="7" t="n"/>
      <c r="W966" s="7">
        <f>IF($D966="","",V966*AB966/100)</f>
        <v/>
      </c>
      <c r="X966" s="7">
        <f>IF($D966="","",V966-W966)</f>
        <v/>
      </c>
      <c r="Y966" s="7">
        <f>IF($D966="","",X966-N966)</f>
        <v/>
      </c>
      <c r="AB966">
        <f>IF($D966="","",IF($AN966=1,Settings!$C$8,IF($AM966=1,Settings!$C$6,Settings!$C$7))*100)</f>
        <v/>
      </c>
      <c r="AF966" s="7" t="n"/>
      <c r="AI966" s="11" t="n"/>
      <c r="AK966">
        <f>IF($D966="","",IF(COUNTIF($D$2:$D966,$D966)=1,1,0))</f>
        <v/>
      </c>
      <c r="AL966">
        <f>IF($AK966=1,SUMPRODUCT(--($AO$2:$AO$1601&lt;$AO966))+1,"")</f>
        <v/>
      </c>
      <c r="AM966">
        <f>IF($D966="","",IF(OR($R966=TRUE(),$R966="TRUE"),1,0))</f>
        <v/>
      </c>
      <c r="AN966">
        <f>IF($D966="","",IF($AA966="Yes",1,0))</f>
        <v/>
      </c>
      <c r="AO966">
        <f>IF($AK966=1,IFERROR(IF(VALUE($D966)&lt;100000000,VALUE($D966),1000000000),IFERROR(IF(VALUE(MID($D966,2,20))&lt;100000000,VALUE(MID($D966,2,20)),1000000000),1000000000))+ROW()/100000,"")</f>
        <v/>
      </c>
    </row>
    <row r="967">
      <c r="F967" s="11" t="n"/>
      <c r="N967" s="7">
        <f>IF($D967="","",M967*X967/100)</f>
        <v/>
      </c>
      <c r="O967" s="7" t="n"/>
      <c r="U967" s="7" t="n"/>
      <c r="V967" s="7" t="n"/>
      <c r="W967" s="7">
        <f>IF($D967="","",V967*AB967/100)</f>
        <v/>
      </c>
      <c r="X967" s="7">
        <f>IF($D967="","",V967-W967)</f>
        <v/>
      </c>
      <c r="Y967" s="7">
        <f>IF($D967="","",X967-N967)</f>
        <v/>
      </c>
      <c r="AB967">
        <f>IF($D967="","",IF($AN967=1,Settings!$C$8,IF($AM967=1,Settings!$C$6,Settings!$C$7))*100)</f>
        <v/>
      </c>
      <c r="AF967" s="7" t="n"/>
      <c r="AI967" s="11" t="n"/>
      <c r="AK967">
        <f>IF($D967="","",IF(COUNTIF($D$2:$D967,$D967)=1,1,0))</f>
        <v/>
      </c>
      <c r="AL967">
        <f>IF($AK967=1,SUMPRODUCT(--($AO$2:$AO$1601&lt;$AO967))+1,"")</f>
        <v/>
      </c>
      <c r="AM967">
        <f>IF($D967="","",IF(OR($R967=TRUE(),$R967="TRUE"),1,0))</f>
        <v/>
      </c>
      <c r="AN967">
        <f>IF($D967="","",IF($AA967="Yes",1,0))</f>
        <v/>
      </c>
      <c r="AO967">
        <f>IF($AK967=1,IFERROR(IF(VALUE($D967)&lt;100000000,VALUE($D967),1000000000),IFERROR(IF(VALUE(MID($D967,2,20))&lt;100000000,VALUE(MID($D967,2,20)),1000000000),1000000000))+ROW()/100000,"")</f>
        <v/>
      </c>
    </row>
    <row r="968">
      <c r="F968" s="11" t="n"/>
      <c r="N968" s="7">
        <f>IF($D968="","",M968*X968/100)</f>
        <v/>
      </c>
      <c r="O968" s="7" t="n"/>
      <c r="U968" s="7" t="n"/>
      <c r="V968" s="7" t="n"/>
      <c r="W968" s="7">
        <f>IF($D968="","",V968*AB968/100)</f>
        <v/>
      </c>
      <c r="X968" s="7">
        <f>IF($D968="","",V968-W968)</f>
        <v/>
      </c>
      <c r="Y968" s="7">
        <f>IF($D968="","",X968-N968)</f>
        <v/>
      </c>
      <c r="AB968">
        <f>IF($D968="","",IF($AN968=1,Settings!$C$8,IF($AM968=1,Settings!$C$6,Settings!$C$7))*100)</f>
        <v/>
      </c>
      <c r="AF968" s="7" t="n"/>
      <c r="AI968" s="11" t="n"/>
      <c r="AK968">
        <f>IF($D968="","",IF(COUNTIF($D$2:$D968,$D968)=1,1,0))</f>
        <v/>
      </c>
      <c r="AL968">
        <f>IF($AK968=1,SUMPRODUCT(--($AO$2:$AO$1601&lt;$AO968))+1,"")</f>
        <v/>
      </c>
      <c r="AM968">
        <f>IF($D968="","",IF(OR($R968=TRUE(),$R968="TRUE"),1,0))</f>
        <v/>
      </c>
      <c r="AN968">
        <f>IF($D968="","",IF($AA968="Yes",1,0))</f>
        <v/>
      </c>
      <c r="AO968">
        <f>IF($AK968=1,IFERROR(IF(VALUE($D968)&lt;100000000,VALUE($D968),1000000000),IFERROR(IF(VALUE(MID($D968,2,20))&lt;100000000,VALUE(MID($D968,2,20)),1000000000),1000000000))+ROW()/100000,"")</f>
        <v/>
      </c>
    </row>
    <row r="969">
      <c r="F969" s="11" t="n"/>
      <c r="N969" s="7">
        <f>IF($D969="","",M969*X969/100)</f>
        <v/>
      </c>
      <c r="O969" s="7" t="n"/>
      <c r="U969" s="7" t="n"/>
      <c r="V969" s="7" t="n"/>
      <c r="W969" s="7">
        <f>IF($D969="","",V969*AB969/100)</f>
        <v/>
      </c>
      <c r="X969" s="7">
        <f>IF($D969="","",V969-W969)</f>
        <v/>
      </c>
      <c r="Y969" s="7">
        <f>IF($D969="","",X969-N969)</f>
        <v/>
      </c>
      <c r="AB969">
        <f>IF($D969="","",IF($AN969=1,Settings!$C$8,IF($AM969=1,Settings!$C$6,Settings!$C$7))*100)</f>
        <v/>
      </c>
      <c r="AF969" s="7" t="n"/>
      <c r="AI969" s="11" t="n"/>
      <c r="AK969">
        <f>IF($D969="","",IF(COUNTIF($D$2:$D969,$D969)=1,1,0))</f>
        <v/>
      </c>
      <c r="AL969">
        <f>IF($AK969=1,SUMPRODUCT(--($AO$2:$AO$1601&lt;$AO969))+1,"")</f>
        <v/>
      </c>
      <c r="AM969">
        <f>IF($D969="","",IF(OR($R969=TRUE(),$R969="TRUE"),1,0))</f>
        <v/>
      </c>
      <c r="AN969">
        <f>IF($D969="","",IF($AA969="Yes",1,0))</f>
        <v/>
      </c>
      <c r="AO969">
        <f>IF($AK969=1,IFERROR(IF(VALUE($D969)&lt;100000000,VALUE($D969),1000000000),IFERROR(IF(VALUE(MID($D969,2,20))&lt;100000000,VALUE(MID($D969,2,20)),1000000000),1000000000))+ROW()/100000,"")</f>
        <v/>
      </c>
    </row>
    <row r="970">
      <c r="F970" s="11" t="n"/>
      <c r="N970" s="7">
        <f>IF($D970="","",M970*X970/100)</f>
        <v/>
      </c>
      <c r="O970" s="7" t="n"/>
      <c r="U970" s="7" t="n"/>
      <c r="V970" s="7" t="n"/>
      <c r="W970" s="7">
        <f>IF($D970="","",V970*AB970/100)</f>
        <v/>
      </c>
      <c r="X970" s="7">
        <f>IF($D970="","",V970-W970)</f>
        <v/>
      </c>
      <c r="Y970" s="7">
        <f>IF($D970="","",X970-N970)</f>
        <v/>
      </c>
      <c r="AB970">
        <f>IF($D970="","",IF($AN970=1,Settings!$C$8,IF($AM970=1,Settings!$C$6,Settings!$C$7))*100)</f>
        <v/>
      </c>
      <c r="AF970" s="7" t="n"/>
      <c r="AI970" s="11" t="n"/>
      <c r="AK970">
        <f>IF($D970="","",IF(COUNTIF($D$2:$D970,$D970)=1,1,0))</f>
        <v/>
      </c>
      <c r="AL970">
        <f>IF($AK970=1,SUMPRODUCT(--($AO$2:$AO$1601&lt;$AO970))+1,"")</f>
        <v/>
      </c>
      <c r="AM970">
        <f>IF($D970="","",IF(OR($R970=TRUE(),$R970="TRUE"),1,0))</f>
        <v/>
      </c>
      <c r="AN970">
        <f>IF($D970="","",IF($AA970="Yes",1,0))</f>
        <v/>
      </c>
      <c r="AO970">
        <f>IF($AK970=1,IFERROR(IF(VALUE($D970)&lt;100000000,VALUE($D970),1000000000),IFERROR(IF(VALUE(MID($D970,2,20))&lt;100000000,VALUE(MID($D970,2,20)),1000000000),1000000000))+ROW()/100000,"")</f>
        <v/>
      </c>
    </row>
    <row r="971">
      <c r="F971" s="11" t="n"/>
      <c r="N971" s="7">
        <f>IF($D971="","",M971*X971/100)</f>
        <v/>
      </c>
      <c r="O971" s="7" t="n"/>
      <c r="U971" s="7" t="n"/>
      <c r="V971" s="7" t="n"/>
      <c r="W971" s="7">
        <f>IF($D971="","",V971*AB971/100)</f>
        <v/>
      </c>
      <c r="X971" s="7">
        <f>IF($D971="","",V971-W971)</f>
        <v/>
      </c>
      <c r="Y971" s="7">
        <f>IF($D971="","",X971-N971)</f>
        <v/>
      </c>
      <c r="AB971">
        <f>IF($D971="","",IF($AN971=1,Settings!$C$8,IF($AM971=1,Settings!$C$6,Settings!$C$7))*100)</f>
        <v/>
      </c>
      <c r="AF971" s="7" t="n"/>
      <c r="AI971" s="11" t="n"/>
      <c r="AK971">
        <f>IF($D971="","",IF(COUNTIF($D$2:$D971,$D971)=1,1,0))</f>
        <v/>
      </c>
      <c r="AL971">
        <f>IF($AK971=1,SUMPRODUCT(--($AO$2:$AO$1601&lt;$AO971))+1,"")</f>
        <v/>
      </c>
      <c r="AM971">
        <f>IF($D971="","",IF(OR($R971=TRUE(),$R971="TRUE"),1,0))</f>
        <v/>
      </c>
      <c r="AN971">
        <f>IF($D971="","",IF($AA971="Yes",1,0))</f>
        <v/>
      </c>
      <c r="AO971">
        <f>IF($AK971=1,IFERROR(IF(VALUE($D971)&lt;100000000,VALUE($D971),1000000000),IFERROR(IF(VALUE(MID($D971,2,20))&lt;100000000,VALUE(MID($D971,2,20)),1000000000),1000000000))+ROW()/100000,"")</f>
        <v/>
      </c>
    </row>
    <row r="972">
      <c r="F972" s="11" t="n"/>
      <c r="N972" s="7">
        <f>IF($D972="","",M972*X972/100)</f>
        <v/>
      </c>
      <c r="O972" s="7" t="n"/>
      <c r="U972" s="7" t="n"/>
      <c r="V972" s="7" t="n"/>
      <c r="W972" s="7">
        <f>IF($D972="","",V972*AB972/100)</f>
        <v/>
      </c>
      <c r="X972" s="7">
        <f>IF($D972="","",V972-W972)</f>
        <v/>
      </c>
      <c r="Y972" s="7">
        <f>IF($D972="","",X972-N972)</f>
        <v/>
      </c>
      <c r="AB972">
        <f>IF($D972="","",IF($AN972=1,Settings!$C$8,IF($AM972=1,Settings!$C$6,Settings!$C$7))*100)</f>
        <v/>
      </c>
      <c r="AF972" s="7" t="n"/>
      <c r="AI972" s="11" t="n"/>
      <c r="AK972">
        <f>IF($D972="","",IF(COUNTIF($D$2:$D972,$D972)=1,1,0))</f>
        <v/>
      </c>
      <c r="AL972">
        <f>IF($AK972=1,SUMPRODUCT(--($AO$2:$AO$1601&lt;$AO972))+1,"")</f>
        <v/>
      </c>
      <c r="AM972">
        <f>IF($D972="","",IF(OR($R972=TRUE(),$R972="TRUE"),1,0))</f>
        <v/>
      </c>
      <c r="AN972">
        <f>IF($D972="","",IF($AA972="Yes",1,0))</f>
        <v/>
      </c>
      <c r="AO972">
        <f>IF($AK972=1,IFERROR(IF(VALUE($D972)&lt;100000000,VALUE($D972),1000000000),IFERROR(IF(VALUE(MID($D972,2,20))&lt;100000000,VALUE(MID($D972,2,20)),1000000000),1000000000))+ROW()/100000,"")</f>
        <v/>
      </c>
    </row>
    <row r="973">
      <c r="F973" s="11" t="n"/>
      <c r="N973" s="7">
        <f>IF($D973="","",M973*X973/100)</f>
        <v/>
      </c>
      <c r="O973" s="7" t="n"/>
      <c r="U973" s="7" t="n"/>
      <c r="V973" s="7" t="n"/>
      <c r="W973" s="7">
        <f>IF($D973="","",V973*AB973/100)</f>
        <v/>
      </c>
      <c r="X973" s="7">
        <f>IF($D973="","",V973-W973)</f>
        <v/>
      </c>
      <c r="Y973" s="7">
        <f>IF($D973="","",X973-N973)</f>
        <v/>
      </c>
      <c r="AB973">
        <f>IF($D973="","",IF($AN973=1,Settings!$C$8,IF($AM973=1,Settings!$C$6,Settings!$C$7))*100)</f>
        <v/>
      </c>
      <c r="AF973" s="7" t="n"/>
      <c r="AI973" s="11" t="n"/>
      <c r="AK973">
        <f>IF($D973="","",IF(COUNTIF($D$2:$D973,$D973)=1,1,0))</f>
        <v/>
      </c>
      <c r="AL973">
        <f>IF($AK973=1,SUMPRODUCT(--($AO$2:$AO$1601&lt;$AO973))+1,"")</f>
        <v/>
      </c>
      <c r="AM973">
        <f>IF($D973="","",IF(OR($R973=TRUE(),$R973="TRUE"),1,0))</f>
        <v/>
      </c>
      <c r="AN973">
        <f>IF($D973="","",IF($AA973="Yes",1,0))</f>
        <v/>
      </c>
      <c r="AO973">
        <f>IF($AK973=1,IFERROR(IF(VALUE($D973)&lt;100000000,VALUE($D973),1000000000),IFERROR(IF(VALUE(MID($D973,2,20))&lt;100000000,VALUE(MID($D973,2,20)),1000000000),1000000000))+ROW()/100000,"")</f>
        <v/>
      </c>
    </row>
    <row r="974">
      <c r="F974" s="11" t="n"/>
      <c r="N974" s="7">
        <f>IF($D974="","",M974*X974/100)</f>
        <v/>
      </c>
      <c r="O974" s="7" t="n"/>
      <c r="U974" s="7" t="n"/>
      <c r="V974" s="7" t="n"/>
      <c r="W974" s="7">
        <f>IF($D974="","",V974*AB974/100)</f>
        <v/>
      </c>
      <c r="X974" s="7">
        <f>IF($D974="","",V974-W974)</f>
        <v/>
      </c>
      <c r="Y974" s="7">
        <f>IF($D974="","",X974-N974)</f>
        <v/>
      </c>
      <c r="AB974">
        <f>IF($D974="","",IF($AN974=1,Settings!$C$8,IF($AM974=1,Settings!$C$6,Settings!$C$7))*100)</f>
        <v/>
      </c>
      <c r="AF974" s="7" t="n"/>
      <c r="AI974" s="11" t="n"/>
      <c r="AK974">
        <f>IF($D974="","",IF(COUNTIF($D$2:$D974,$D974)=1,1,0))</f>
        <v/>
      </c>
      <c r="AL974">
        <f>IF($AK974=1,SUMPRODUCT(--($AO$2:$AO$1601&lt;$AO974))+1,"")</f>
        <v/>
      </c>
      <c r="AM974">
        <f>IF($D974="","",IF(OR($R974=TRUE(),$R974="TRUE"),1,0))</f>
        <v/>
      </c>
      <c r="AN974">
        <f>IF($D974="","",IF($AA974="Yes",1,0))</f>
        <v/>
      </c>
      <c r="AO974">
        <f>IF($AK974=1,IFERROR(IF(VALUE($D974)&lt;100000000,VALUE($D974),1000000000),IFERROR(IF(VALUE(MID($D974,2,20))&lt;100000000,VALUE(MID($D974,2,20)),1000000000),1000000000))+ROW()/100000,"")</f>
        <v/>
      </c>
    </row>
    <row r="975">
      <c r="F975" s="11" t="n"/>
      <c r="N975" s="7">
        <f>IF($D975="","",M975*X975/100)</f>
        <v/>
      </c>
      <c r="O975" s="7" t="n"/>
      <c r="U975" s="7" t="n"/>
      <c r="V975" s="7" t="n"/>
      <c r="W975" s="7">
        <f>IF($D975="","",V975*AB975/100)</f>
        <v/>
      </c>
      <c r="X975" s="7">
        <f>IF($D975="","",V975-W975)</f>
        <v/>
      </c>
      <c r="Y975" s="7">
        <f>IF($D975="","",X975-N975)</f>
        <v/>
      </c>
      <c r="AB975">
        <f>IF($D975="","",IF($AN975=1,Settings!$C$8,IF($AM975=1,Settings!$C$6,Settings!$C$7))*100)</f>
        <v/>
      </c>
      <c r="AF975" s="7" t="n"/>
      <c r="AI975" s="11" t="n"/>
      <c r="AK975">
        <f>IF($D975="","",IF(COUNTIF($D$2:$D975,$D975)=1,1,0))</f>
        <v/>
      </c>
      <c r="AL975">
        <f>IF($AK975=1,SUMPRODUCT(--($AO$2:$AO$1601&lt;$AO975))+1,"")</f>
        <v/>
      </c>
      <c r="AM975">
        <f>IF($D975="","",IF(OR($R975=TRUE(),$R975="TRUE"),1,0))</f>
        <v/>
      </c>
      <c r="AN975">
        <f>IF($D975="","",IF($AA975="Yes",1,0))</f>
        <v/>
      </c>
      <c r="AO975">
        <f>IF($AK975=1,IFERROR(IF(VALUE($D975)&lt;100000000,VALUE($D975),1000000000),IFERROR(IF(VALUE(MID($D975,2,20))&lt;100000000,VALUE(MID($D975,2,20)),1000000000),1000000000))+ROW()/100000,"")</f>
        <v/>
      </c>
    </row>
    <row r="976">
      <c r="F976" s="11" t="n"/>
      <c r="N976" s="7">
        <f>IF($D976="","",M976*X976/100)</f>
        <v/>
      </c>
      <c r="O976" s="7" t="n"/>
      <c r="U976" s="7" t="n"/>
      <c r="V976" s="7" t="n"/>
      <c r="W976" s="7">
        <f>IF($D976="","",V976*AB976/100)</f>
        <v/>
      </c>
      <c r="X976" s="7">
        <f>IF($D976="","",V976-W976)</f>
        <v/>
      </c>
      <c r="Y976" s="7">
        <f>IF($D976="","",X976-N976)</f>
        <v/>
      </c>
      <c r="AB976">
        <f>IF($D976="","",IF($AN976=1,Settings!$C$8,IF($AM976=1,Settings!$C$6,Settings!$C$7))*100)</f>
        <v/>
      </c>
      <c r="AF976" s="7" t="n"/>
      <c r="AI976" s="11" t="n"/>
      <c r="AK976">
        <f>IF($D976="","",IF(COUNTIF($D$2:$D976,$D976)=1,1,0))</f>
        <v/>
      </c>
      <c r="AL976">
        <f>IF($AK976=1,SUMPRODUCT(--($AO$2:$AO$1601&lt;$AO976))+1,"")</f>
        <v/>
      </c>
      <c r="AM976">
        <f>IF($D976="","",IF(OR($R976=TRUE(),$R976="TRUE"),1,0))</f>
        <v/>
      </c>
      <c r="AN976">
        <f>IF($D976="","",IF($AA976="Yes",1,0))</f>
        <v/>
      </c>
      <c r="AO976">
        <f>IF($AK976=1,IFERROR(IF(VALUE($D976)&lt;100000000,VALUE($D976),1000000000),IFERROR(IF(VALUE(MID($D976,2,20))&lt;100000000,VALUE(MID($D976,2,20)),1000000000),1000000000))+ROW()/100000,"")</f>
        <v/>
      </c>
    </row>
    <row r="977">
      <c r="F977" s="11" t="n"/>
      <c r="N977" s="7">
        <f>IF($D977="","",M977*X977/100)</f>
        <v/>
      </c>
      <c r="O977" s="7" t="n"/>
      <c r="U977" s="7" t="n"/>
      <c r="V977" s="7" t="n"/>
      <c r="W977" s="7">
        <f>IF($D977="","",V977*AB977/100)</f>
        <v/>
      </c>
      <c r="X977" s="7">
        <f>IF($D977="","",V977-W977)</f>
        <v/>
      </c>
      <c r="Y977" s="7">
        <f>IF($D977="","",X977-N977)</f>
        <v/>
      </c>
      <c r="AB977">
        <f>IF($D977="","",IF($AN977=1,Settings!$C$8,IF($AM977=1,Settings!$C$6,Settings!$C$7))*100)</f>
        <v/>
      </c>
      <c r="AF977" s="7" t="n"/>
      <c r="AI977" s="11" t="n"/>
      <c r="AK977">
        <f>IF($D977="","",IF(COUNTIF($D$2:$D977,$D977)=1,1,0))</f>
        <v/>
      </c>
      <c r="AL977">
        <f>IF($AK977=1,SUMPRODUCT(--($AO$2:$AO$1601&lt;$AO977))+1,"")</f>
        <v/>
      </c>
      <c r="AM977">
        <f>IF($D977="","",IF(OR($R977=TRUE(),$R977="TRUE"),1,0))</f>
        <v/>
      </c>
      <c r="AN977">
        <f>IF($D977="","",IF($AA977="Yes",1,0))</f>
        <v/>
      </c>
      <c r="AO977">
        <f>IF($AK977=1,IFERROR(IF(VALUE($D977)&lt;100000000,VALUE($D977),1000000000),IFERROR(IF(VALUE(MID($D977,2,20))&lt;100000000,VALUE(MID($D977,2,20)),1000000000),1000000000))+ROW()/100000,"")</f>
        <v/>
      </c>
    </row>
    <row r="978">
      <c r="F978" s="11" t="n"/>
      <c r="N978" s="7">
        <f>IF($D978="","",M978*X978/100)</f>
        <v/>
      </c>
      <c r="O978" s="7" t="n"/>
      <c r="U978" s="7" t="n"/>
      <c r="V978" s="7" t="n"/>
      <c r="W978" s="7">
        <f>IF($D978="","",V978*AB978/100)</f>
        <v/>
      </c>
      <c r="X978" s="7">
        <f>IF($D978="","",V978-W978)</f>
        <v/>
      </c>
      <c r="Y978" s="7">
        <f>IF($D978="","",X978-N978)</f>
        <v/>
      </c>
      <c r="AB978">
        <f>IF($D978="","",IF($AN978=1,Settings!$C$8,IF($AM978=1,Settings!$C$6,Settings!$C$7))*100)</f>
        <v/>
      </c>
      <c r="AF978" s="7" t="n"/>
      <c r="AI978" s="11" t="n"/>
      <c r="AK978">
        <f>IF($D978="","",IF(COUNTIF($D$2:$D978,$D978)=1,1,0))</f>
        <v/>
      </c>
      <c r="AL978">
        <f>IF($AK978=1,SUMPRODUCT(--($AO$2:$AO$1601&lt;$AO978))+1,"")</f>
        <v/>
      </c>
      <c r="AM978">
        <f>IF($D978="","",IF(OR($R978=TRUE(),$R978="TRUE"),1,0))</f>
        <v/>
      </c>
      <c r="AN978">
        <f>IF($D978="","",IF($AA978="Yes",1,0))</f>
        <v/>
      </c>
      <c r="AO978">
        <f>IF($AK978=1,IFERROR(IF(VALUE($D978)&lt;100000000,VALUE($D978),1000000000),IFERROR(IF(VALUE(MID($D978,2,20))&lt;100000000,VALUE(MID($D978,2,20)),1000000000),1000000000))+ROW()/100000,"")</f>
        <v/>
      </c>
    </row>
    <row r="979">
      <c r="F979" s="11" t="n"/>
      <c r="N979" s="7">
        <f>IF($D979="","",M979*X979/100)</f>
        <v/>
      </c>
      <c r="O979" s="7" t="n"/>
      <c r="U979" s="7" t="n"/>
      <c r="V979" s="7" t="n"/>
      <c r="W979" s="7">
        <f>IF($D979="","",V979*AB979/100)</f>
        <v/>
      </c>
      <c r="X979" s="7">
        <f>IF($D979="","",V979-W979)</f>
        <v/>
      </c>
      <c r="Y979" s="7">
        <f>IF($D979="","",X979-N979)</f>
        <v/>
      </c>
      <c r="AB979">
        <f>IF($D979="","",IF($AN979=1,Settings!$C$8,IF($AM979=1,Settings!$C$6,Settings!$C$7))*100)</f>
        <v/>
      </c>
      <c r="AF979" s="7" t="n"/>
      <c r="AI979" s="11" t="n"/>
      <c r="AK979">
        <f>IF($D979="","",IF(COUNTIF($D$2:$D979,$D979)=1,1,0))</f>
        <v/>
      </c>
      <c r="AL979">
        <f>IF($AK979=1,SUMPRODUCT(--($AO$2:$AO$1601&lt;$AO979))+1,"")</f>
        <v/>
      </c>
      <c r="AM979">
        <f>IF($D979="","",IF(OR($R979=TRUE(),$R979="TRUE"),1,0))</f>
        <v/>
      </c>
      <c r="AN979">
        <f>IF($D979="","",IF($AA979="Yes",1,0))</f>
        <v/>
      </c>
      <c r="AO979">
        <f>IF($AK979=1,IFERROR(IF(VALUE($D979)&lt;100000000,VALUE($D979),1000000000),IFERROR(IF(VALUE(MID($D979,2,20))&lt;100000000,VALUE(MID($D979,2,20)),1000000000),1000000000))+ROW()/100000,"")</f>
        <v/>
      </c>
    </row>
    <row r="980">
      <c r="F980" s="11" t="n"/>
      <c r="N980" s="7">
        <f>IF($D980="","",M980*X980/100)</f>
        <v/>
      </c>
      <c r="O980" s="7" t="n"/>
      <c r="U980" s="7" t="n"/>
      <c r="V980" s="7" t="n"/>
      <c r="W980" s="7">
        <f>IF($D980="","",V980*AB980/100)</f>
        <v/>
      </c>
      <c r="X980" s="7">
        <f>IF($D980="","",V980-W980)</f>
        <v/>
      </c>
      <c r="Y980" s="7">
        <f>IF($D980="","",X980-N980)</f>
        <v/>
      </c>
      <c r="AB980">
        <f>IF($D980="","",IF($AN980=1,Settings!$C$8,IF($AM980=1,Settings!$C$6,Settings!$C$7))*100)</f>
        <v/>
      </c>
      <c r="AF980" s="7" t="n"/>
      <c r="AI980" s="11" t="n"/>
      <c r="AK980">
        <f>IF($D980="","",IF(COUNTIF($D$2:$D980,$D980)=1,1,0))</f>
        <v/>
      </c>
      <c r="AL980">
        <f>IF($AK980=1,SUMPRODUCT(--($AO$2:$AO$1601&lt;$AO980))+1,"")</f>
        <v/>
      </c>
      <c r="AM980">
        <f>IF($D980="","",IF(OR($R980=TRUE(),$R980="TRUE"),1,0))</f>
        <v/>
      </c>
      <c r="AN980">
        <f>IF($D980="","",IF($AA980="Yes",1,0))</f>
        <v/>
      </c>
      <c r="AO980">
        <f>IF($AK980=1,IFERROR(IF(VALUE($D980)&lt;100000000,VALUE($D980),1000000000),IFERROR(IF(VALUE(MID($D980,2,20))&lt;100000000,VALUE(MID($D980,2,20)),1000000000),1000000000))+ROW()/100000,"")</f>
        <v/>
      </c>
    </row>
    <row r="981">
      <c r="F981" s="11" t="n"/>
      <c r="N981" s="7">
        <f>IF($D981="","",M981*X981/100)</f>
        <v/>
      </c>
      <c r="O981" s="7" t="n"/>
      <c r="U981" s="7" t="n"/>
      <c r="V981" s="7" t="n"/>
      <c r="W981" s="7">
        <f>IF($D981="","",V981*AB981/100)</f>
        <v/>
      </c>
      <c r="X981" s="7">
        <f>IF($D981="","",V981-W981)</f>
        <v/>
      </c>
      <c r="Y981" s="7">
        <f>IF($D981="","",X981-N981)</f>
        <v/>
      </c>
      <c r="AB981">
        <f>IF($D981="","",IF($AN981=1,Settings!$C$8,IF($AM981=1,Settings!$C$6,Settings!$C$7))*100)</f>
        <v/>
      </c>
      <c r="AF981" s="7" t="n"/>
      <c r="AI981" s="11" t="n"/>
      <c r="AK981">
        <f>IF($D981="","",IF(COUNTIF($D$2:$D981,$D981)=1,1,0))</f>
        <v/>
      </c>
      <c r="AL981">
        <f>IF($AK981=1,SUMPRODUCT(--($AO$2:$AO$1601&lt;$AO981))+1,"")</f>
        <v/>
      </c>
      <c r="AM981">
        <f>IF($D981="","",IF(OR($R981=TRUE(),$R981="TRUE"),1,0))</f>
        <v/>
      </c>
      <c r="AN981">
        <f>IF($D981="","",IF($AA981="Yes",1,0))</f>
        <v/>
      </c>
      <c r="AO981">
        <f>IF($AK981=1,IFERROR(IF(VALUE($D981)&lt;100000000,VALUE($D981),1000000000),IFERROR(IF(VALUE(MID($D981,2,20))&lt;100000000,VALUE(MID($D981,2,20)),1000000000),1000000000))+ROW()/100000,"")</f>
        <v/>
      </c>
    </row>
    <row r="982">
      <c r="F982" s="11" t="n"/>
      <c r="N982" s="7">
        <f>IF($D982="","",M982*X982/100)</f>
        <v/>
      </c>
      <c r="O982" s="7" t="n"/>
      <c r="U982" s="7" t="n"/>
      <c r="V982" s="7" t="n"/>
      <c r="W982" s="7">
        <f>IF($D982="","",V982*AB982/100)</f>
        <v/>
      </c>
      <c r="X982" s="7">
        <f>IF($D982="","",V982-W982)</f>
        <v/>
      </c>
      <c r="Y982" s="7">
        <f>IF($D982="","",X982-N982)</f>
        <v/>
      </c>
      <c r="AB982">
        <f>IF($D982="","",IF($AN982=1,Settings!$C$8,IF($AM982=1,Settings!$C$6,Settings!$C$7))*100)</f>
        <v/>
      </c>
      <c r="AF982" s="7" t="n"/>
      <c r="AI982" s="11" t="n"/>
      <c r="AK982">
        <f>IF($D982="","",IF(COUNTIF($D$2:$D982,$D982)=1,1,0))</f>
        <v/>
      </c>
      <c r="AL982">
        <f>IF($AK982=1,SUMPRODUCT(--($AO$2:$AO$1601&lt;$AO982))+1,"")</f>
        <v/>
      </c>
      <c r="AM982">
        <f>IF($D982="","",IF(OR($R982=TRUE(),$R982="TRUE"),1,0))</f>
        <v/>
      </c>
      <c r="AN982">
        <f>IF($D982="","",IF($AA982="Yes",1,0))</f>
        <v/>
      </c>
      <c r="AO982">
        <f>IF($AK982=1,IFERROR(IF(VALUE($D982)&lt;100000000,VALUE($D982),1000000000),IFERROR(IF(VALUE(MID($D982,2,20))&lt;100000000,VALUE(MID($D982,2,20)),1000000000),1000000000))+ROW()/100000,"")</f>
        <v/>
      </c>
    </row>
    <row r="983">
      <c r="F983" s="11" t="n"/>
      <c r="N983" s="7">
        <f>IF($D983="","",M983*X983/100)</f>
        <v/>
      </c>
      <c r="O983" s="7" t="n"/>
      <c r="U983" s="7" t="n"/>
      <c r="V983" s="7" t="n"/>
      <c r="W983" s="7">
        <f>IF($D983="","",V983*AB983/100)</f>
        <v/>
      </c>
      <c r="X983" s="7">
        <f>IF($D983="","",V983-W983)</f>
        <v/>
      </c>
      <c r="Y983" s="7">
        <f>IF($D983="","",X983-N983)</f>
        <v/>
      </c>
      <c r="AB983">
        <f>IF($D983="","",IF($AN983=1,Settings!$C$8,IF($AM983=1,Settings!$C$6,Settings!$C$7))*100)</f>
        <v/>
      </c>
      <c r="AF983" s="7" t="n"/>
      <c r="AI983" s="11" t="n"/>
      <c r="AK983">
        <f>IF($D983="","",IF(COUNTIF($D$2:$D983,$D983)=1,1,0))</f>
        <v/>
      </c>
      <c r="AL983">
        <f>IF($AK983=1,SUMPRODUCT(--($AO$2:$AO$1601&lt;$AO983))+1,"")</f>
        <v/>
      </c>
      <c r="AM983">
        <f>IF($D983="","",IF(OR($R983=TRUE(),$R983="TRUE"),1,0))</f>
        <v/>
      </c>
      <c r="AN983">
        <f>IF($D983="","",IF($AA983="Yes",1,0))</f>
        <v/>
      </c>
      <c r="AO983">
        <f>IF($AK983=1,IFERROR(IF(VALUE($D983)&lt;100000000,VALUE($D983),1000000000),IFERROR(IF(VALUE(MID($D983,2,20))&lt;100000000,VALUE(MID($D983,2,20)),1000000000),1000000000))+ROW()/100000,"")</f>
        <v/>
      </c>
    </row>
    <row r="984">
      <c r="F984" s="11" t="n"/>
      <c r="N984" s="7">
        <f>IF($D984="","",M984*X984/100)</f>
        <v/>
      </c>
      <c r="O984" s="7" t="n"/>
      <c r="U984" s="7" t="n"/>
      <c r="V984" s="7" t="n"/>
      <c r="W984" s="7">
        <f>IF($D984="","",V984*AB984/100)</f>
        <v/>
      </c>
      <c r="X984" s="7">
        <f>IF($D984="","",V984-W984)</f>
        <v/>
      </c>
      <c r="Y984" s="7">
        <f>IF($D984="","",X984-N984)</f>
        <v/>
      </c>
      <c r="AB984">
        <f>IF($D984="","",IF($AN984=1,Settings!$C$8,IF($AM984=1,Settings!$C$6,Settings!$C$7))*100)</f>
        <v/>
      </c>
      <c r="AF984" s="7" t="n"/>
      <c r="AI984" s="11" t="n"/>
      <c r="AK984">
        <f>IF($D984="","",IF(COUNTIF($D$2:$D984,$D984)=1,1,0))</f>
        <v/>
      </c>
      <c r="AL984">
        <f>IF($AK984=1,SUMPRODUCT(--($AO$2:$AO$1601&lt;$AO984))+1,"")</f>
        <v/>
      </c>
      <c r="AM984">
        <f>IF($D984="","",IF(OR($R984=TRUE(),$R984="TRUE"),1,0))</f>
        <v/>
      </c>
      <c r="AN984">
        <f>IF($D984="","",IF($AA984="Yes",1,0))</f>
        <v/>
      </c>
      <c r="AO984">
        <f>IF($AK984=1,IFERROR(IF(VALUE($D984)&lt;100000000,VALUE($D984),1000000000),IFERROR(IF(VALUE(MID($D984,2,20))&lt;100000000,VALUE(MID($D984,2,20)),1000000000),1000000000))+ROW()/100000,"")</f>
        <v/>
      </c>
    </row>
    <row r="985">
      <c r="F985" s="11" t="n"/>
      <c r="N985" s="7">
        <f>IF($D985="","",M985*X985/100)</f>
        <v/>
      </c>
      <c r="O985" s="7" t="n"/>
      <c r="U985" s="7" t="n"/>
      <c r="V985" s="7" t="n"/>
      <c r="W985" s="7">
        <f>IF($D985="","",V985*AB985/100)</f>
        <v/>
      </c>
      <c r="X985" s="7">
        <f>IF($D985="","",V985-W985)</f>
        <v/>
      </c>
      <c r="Y985" s="7">
        <f>IF($D985="","",X985-N985)</f>
        <v/>
      </c>
      <c r="AB985">
        <f>IF($D985="","",IF($AN985=1,Settings!$C$8,IF($AM985=1,Settings!$C$6,Settings!$C$7))*100)</f>
        <v/>
      </c>
      <c r="AF985" s="7" t="n"/>
      <c r="AI985" s="11" t="n"/>
      <c r="AK985">
        <f>IF($D985="","",IF(COUNTIF($D$2:$D985,$D985)=1,1,0))</f>
        <v/>
      </c>
      <c r="AL985">
        <f>IF($AK985=1,SUMPRODUCT(--($AO$2:$AO$1601&lt;$AO985))+1,"")</f>
        <v/>
      </c>
      <c r="AM985">
        <f>IF($D985="","",IF(OR($R985=TRUE(),$R985="TRUE"),1,0))</f>
        <v/>
      </c>
      <c r="AN985">
        <f>IF($D985="","",IF($AA985="Yes",1,0))</f>
        <v/>
      </c>
      <c r="AO985">
        <f>IF($AK985=1,IFERROR(IF(VALUE($D985)&lt;100000000,VALUE($D985),1000000000),IFERROR(IF(VALUE(MID($D985,2,20))&lt;100000000,VALUE(MID($D985,2,20)),1000000000),1000000000))+ROW()/100000,"")</f>
        <v/>
      </c>
    </row>
    <row r="986">
      <c r="F986" s="11" t="n"/>
      <c r="N986" s="7">
        <f>IF($D986="","",M986*X986/100)</f>
        <v/>
      </c>
      <c r="O986" s="7" t="n"/>
      <c r="U986" s="7" t="n"/>
      <c r="V986" s="7" t="n"/>
      <c r="W986" s="7">
        <f>IF($D986="","",V986*AB986/100)</f>
        <v/>
      </c>
      <c r="X986" s="7">
        <f>IF($D986="","",V986-W986)</f>
        <v/>
      </c>
      <c r="Y986" s="7">
        <f>IF($D986="","",X986-N986)</f>
        <v/>
      </c>
      <c r="AB986">
        <f>IF($D986="","",IF($AN986=1,Settings!$C$8,IF($AM986=1,Settings!$C$6,Settings!$C$7))*100)</f>
        <v/>
      </c>
      <c r="AF986" s="7" t="n"/>
      <c r="AI986" s="11" t="n"/>
      <c r="AK986">
        <f>IF($D986="","",IF(COUNTIF($D$2:$D986,$D986)=1,1,0))</f>
        <v/>
      </c>
      <c r="AL986">
        <f>IF($AK986=1,SUMPRODUCT(--($AO$2:$AO$1601&lt;$AO986))+1,"")</f>
        <v/>
      </c>
      <c r="AM986">
        <f>IF($D986="","",IF(OR($R986=TRUE(),$R986="TRUE"),1,0))</f>
        <v/>
      </c>
      <c r="AN986">
        <f>IF($D986="","",IF($AA986="Yes",1,0))</f>
        <v/>
      </c>
      <c r="AO986">
        <f>IF($AK986=1,IFERROR(IF(VALUE($D986)&lt;100000000,VALUE($D986),1000000000),IFERROR(IF(VALUE(MID($D986,2,20))&lt;100000000,VALUE(MID($D986,2,20)),1000000000),1000000000))+ROW()/100000,"")</f>
        <v/>
      </c>
    </row>
    <row r="987">
      <c r="F987" s="11" t="n"/>
      <c r="N987" s="7">
        <f>IF($D987="","",M987*X987/100)</f>
        <v/>
      </c>
      <c r="O987" s="7" t="n"/>
      <c r="U987" s="7" t="n"/>
      <c r="V987" s="7" t="n"/>
      <c r="W987" s="7">
        <f>IF($D987="","",V987*AB987/100)</f>
        <v/>
      </c>
      <c r="X987" s="7">
        <f>IF($D987="","",V987-W987)</f>
        <v/>
      </c>
      <c r="Y987" s="7">
        <f>IF($D987="","",X987-N987)</f>
        <v/>
      </c>
      <c r="AB987">
        <f>IF($D987="","",IF($AN987=1,Settings!$C$8,IF($AM987=1,Settings!$C$6,Settings!$C$7))*100)</f>
        <v/>
      </c>
      <c r="AF987" s="7" t="n"/>
      <c r="AI987" s="11" t="n"/>
      <c r="AK987">
        <f>IF($D987="","",IF(COUNTIF($D$2:$D987,$D987)=1,1,0))</f>
        <v/>
      </c>
      <c r="AL987">
        <f>IF($AK987=1,SUMPRODUCT(--($AO$2:$AO$1601&lt;$AO987))+1,"")</f>
        <v/>
      </c>
      <c r="AM987">
        <f>IF($D987="","",IF(OR($R987=TRUE(),$R987="TRUE"),1,0))</f>
        <v/>
      </c>
      <c r="AN987">
        <f>IF($D987="","",IF($AA987="Yes",1,0))</f>
        <v/>
      </c>
      <c r="AO987">
        <f>IF($AK987=1,IFERROR(IF(VALUE($D987)&lt;100000000,VALUE($D987),1000000000),IFERROR(IF(VALUE(MID($D987,2,20))&lt;100000000,VALUE(MID($D987,2,20)),1000000000),1000000000))+ROW()/100000,"")</f>
        <v/>
      </c>
    </row>
    <row r="988">
      <c r="F988" s="11" t="n"/>
      <c r="N988" s="7">
        <f>IF($D988="","",M988*X988/100)</f>
        <v/>
      </c>
      <c r="O988" s="7" t="n"/>
      <c r="U988" s="7" t="n"/>
      <c r="V988" s="7" t="n"/>
      <c r="W988" s="7">
        <f>IF($D988="","",V988*AB988/100)</f>
        <v/>
      </c>
      <c r="X988" s="7">
        <f>IF($D988="","",V988-W988)</f>
        <v/>
      </c>
      <c r="Y988" s="7">
        <f>IF($D988="","",X988-N988)</f>
        <v/>
      </c>
      <c r="AB988">
        <f>IF($D988="","",IF($AN988=1,Settings!$C$8,IF($AM988=1,Settings!$C$6,Settings!$C$7))*100)</f>
        <v/>
      </c>
      <c r="AF988" s="7" t="n"/>
      <c r="AI988" s="11" t="n"/>
      <c r="AK988">
        <f>IF($D988="","",IF(COUNTIF($D$2:$D988,$D988)=1,1,0))</f>
        <v/>
      </c>
      <c r="AL988">
        <f>IF($AK988=1,SUMPRODUCT(--($AO$2:$AO$1601&lt;$AO988))+1,"")</f>
        <v/>
      </c>
      <c r="AM988">
        <f>IF($D988="","",IF(OR($R988=TRUE(),$R988="TRUE"),1,0))</f>
        <v/>
      </c>
      <c r="AN988">
        <f>IF($D988="","",IF($AA988="Yes",1,0))</f>
        <v/>
      </c>
      <c r="AO988">
        <f>IF($AK988=1,IFERROR(IF(VALUE($D988)&lt;100000000,VALUE($D988),1000000000),IFERROR(IF(VALUE(MID($D988,2,20))&lt;100000000,VALUE(MID($D988,2,20)),1000000000),1000000000))+ROW()/100000,"")</f>
        <v/>
      </c>
    </row>
    <row r="989">
      <c r="F989" s="11" t="n"/>
      <c r="N989" s="7">
        <f>IF($D989="","",M989*X989/100)</f>
        <v/>
      </c>
      <c r="O989" s="7" t="n"/>
      <c r="U989" s="7" t="n"/>
      <c r="V989" s="7" t="n"/>
      <c r="W989" s="7">
        <f>IF($D989="","",V989*AB989/100)</f>
        <v/>
      </c>
      <c r="X989" s="7">
        <f>IF($D989="","",V989-W989)</f>
        <v/>
      </c>
      <c r="Y989" s="7">
        <f>IF($D989="","",X989-N989)</f>
        <v/>
      </c>
      <c r="AB989">
        <f>IF($D989="","",IF($AN989=1,Settings!$C$8,IF($AM989=1,Settings!$C$6,Settings!$C$7))*100)</f>
        <v/>
      </c>
      <c r="AF989" s="7" t="n"/>
      <c r="AI989" s="11" t="n"/>
      <c r="AK989">
        <f>IF($D989="","",IF(COUNTIF($D$2:$D989,$D989)=1,1,0))</f>
        <v/>
      </c>
      <c r="AL989">
        <f>IF($AK989=1,SUMPRODUCT(--($AO$2:$AO$1601&lt;$AO989))+1,"")</f>
        <v/>
      </c>
      <c r="AM989">
        <f>IF($D989="","",IF(OR($R989=TRUE(),$R989="TRUE"),1,0))</f>
        <v/>
      </c>
      <c r="AN989">
        <f>IF($D989="","",IF($AA989="Yes",1,0))</f>
        <v/>
      </c>
      <c r="AO989">
        <f>IF($AK989=1,IFERROR(IF(VALUE($D989)&lt;100000000,VALUE($D989),1000000000),IFERROR(IF(VALUE(MID($D989,2,20))&lt;100000000,VALUE(MID($D989,2,20)),1000000000),1000000000))+ROW()/100000,"")</f>
        <v/>
      </c>
    </row>
    <row r="990">
      <c r="F990" s="11" t="n"/>
      <c r="N990" s="7">
        <f>IF($D990="","",M990*X990/100)</f>
        <v/>
      </c>
      <c r="O990" s="7" t="n"/>
      <c r="U990" s="7" t="n"/>
      <c r="V990" s="7" t="n"/>
      <c r="W990" s="7">
        <f>IF($D990="","",V990*AB990/100)</f>
        <v/>
      </c>
      <c r="X990" s="7">
        <f>IF($D990="","",V990-W990)</f>
        <v/>
      </c>
      <c r="Y990" s="7">
        <f>IF($D990="","",X990-N990)</f>
        <v/>
      </c>
      <c r="AB990">
        <f>IF($D990="","",IF($AN990=1,Settings!$C$8,IF($AM990=1,Settings!$C$6,Settings!$C$7))*100)</f>
        <v/>
      </c>
      <c r="AF990" s="7" t="n"/>
      <c r="AI990" s="11" t="n"/>
      <c r="AK990">
        <f>IF($D990="","",IF(COUNTIF($D$2:$D990,$D990)=1,1,0))</f>
        <v/>
      </c>
      <c r="AL990">
        <f>IF($AK990=1,SUMPRODUCT(--($AO$2:$AO$1601&lt;$AO990))+1,"")</f>
        <v/>
      </c>
      <c r="AM990">
        <f>IF($D990="","",IF(OR($R990=TRUE(),$R990="TRUE"),1,0))</f>
        <v/>
      </c>
      <c r="AN990">
        <f>IF($D990="","",IF($AA990="Yes",1,0))</f>
        <v/>
      </c>
      <c r="AO990">
        <f>IF($AK990=1,IFERROR(IF(VALUE($D990)&lt;100000000,VALUE($D990),1000000000),IFERROR(IF(VALUE(MID($D990,2,20))&lt;100000000,VALUE(MID($D990,2,20)),1000000000),1000000000))+ROW()/100000,"")</f>
        <v/>
      </c>
    </row>
    <row r="991">
      <c r="F991" s="11" t="n"/>
      <c r="N991" s="7">
        <f>IF($D991="","",M991*X991/100)</f>
        <v/>
      </c>
      <c r="O991" s="7" t="n"/>
      <c r="U991" s="7" t="n"/>
      <c r="V991" s="7" t="n"/>
      <c r="W991" s="7">
        <f>IF($D991="","",V991*AB991/100)</f>
        <v/>
      </c>
      <c r="X991" s="7">
        <f>IF($D991="","",V991-W991)</f>
        <v/>
      </c>
      <c r="Y991" s="7">
        <f>IF($D991="","",X991-N991)</f>
        <v/>
      </c>
      <c r="AB991">
        <f>IF($D991="","",IF($AN991=1,Settings!$C$8,IF($AM991=1,Settings!$C$6,Settings!$C$7))*100)</f>
        <v/>
      </c>
      <c r="AF991" s="7" t="n"/>
      <c r="AI991" s="11" t="n"/>
      <c r="AK991">
        <f>IF($D991="","",IF(COUNTIF($D$2:$D991,$D991)=1,1,0))</f>
        <v/>
      </c>
      <c r="AL991">
        <f>IF($AK991=1,SUMPRODUCT(--($AO$2:$AO$1601&lt;$AO991))+1,"")</f>
        <v/>
      </c>
      <c r="AM991">
        <f>IF($D991="","",IF(OR($R991=TRUE(),$R991="TRUE"),1,0))</f>
        <v/>
      </c>
      <c r="AN991">
        <f>IF($D991="","",IF($AA991="Yes",1,0))</f>
        <v/>
      </c>
      <c r="AO991">
        <f>IF($AK991=1,IFERROR(IF(VALUE($D991)&lt;100000000,VALUE($D991),1000000000),IFERROR(IF(VALUE(MID($D991,2,20))&lt;100000000,VALUE(MID($D991,2,20)),1000000000),1000000000))+ROW()/100000,"")</f>
        <v/>
      </c>
    </row>
    <row r="992">
      <c r="F992" s="11" t="n"/>
      <c r="N992" s="7">
        <f>IF($D992="","",M992*X992/100)</f>
        <v/>
      </c>
      <c r="O992" s="7" t="n"/>
      <c r="U992" s="7" t="n"/>
      <c r="V992" s="7" t="n"/>
      <c r="W992" s="7">
        <f>IF($D992="","",V992*AB992/100)</f>
        <v/>
      </c>
      <c r="X992" s="7">
        <f>IF($D992="","",V992-W992)</f>
        <v/>
      </c>
      <c r="Y992" s="7">
        <f>IF($D992="","",X992-N992)</f>
        <v/>
      </c>
      <c r="AB992">
        <f>IF($D992="","",IF($AN992=1,Settings!$C$8,IF($AM992=1,Settings!$C$6,Settings!$C$7))*100)</f>
        <v/>
      </c>
      <c r="AF992" s="7" t="n"/>
      <c r="AI992" s="11" t="n"/>
      <c r="AK992">
        <f>IF($D992="","",IF(COUNTIF($D$2:$D992,$D992)=1,1,0))</f>
        <v/>
      </c>
      <c r="AL992">
        <f>IF($AK992=1,SUMPRODUCT(--($AO$2:$AO$1601&lt;$AO992))+1,"")</f>
        <v/>
      </c>
      <c r="AM992">
        <f>IF($D992="","",IF(OR($R992=TRUE(),$R992="TRUE"),1,0))</f>
        <v/>
      </c>
      <c r="AN992">
        <f>IF($D992="","",IF($AA992="Yes",1,0))</f>
        <v/>
      </c>
      <c r="AO992">
        <f>IF($AK992=1,IFERROR(IF(VALUE($D992)&lt;100000000,VALUE($D992),1000000000),IFERROR(IF(VALUE(MID($D992,2,20))&lt;100000000,VALUE(MID($D992,2,20)),1000000000),1000000000))+ROW()/100000,"")</f>
        <v/>
      </c>
    </row>
    <row r="993">
      <c r="F993" s="11" t="n"/>
      <c r="N993" s="7">
        <f>IF($D993="","",M993*X993/100)</f>
        <v/>
      </c>
      <c r="O993" s="7" t="n"/>
      <c r="U993" s="7" t="n"/>
      <c r="V993" s="7" t="n"/>
      <c r="W993" s="7">
        <f>IF($D993="","",V993*AB993/100)</f>
        <v/>
      </c>
      <c r="X993" s="7">
        <f>IF($D993="","",V993-W993)</f>
        <v/>
      </c>
      <c r="Y993" s="7">
        <f>IF($D993="","",X993-N993)</f>
        <v/>
      </c>
      <c r="AB993">
        <f>IF($D993="","",IF($AN993=1,Settings!$C$8,IF($AM993=1,Settings!$C$6,Settings!$C$7))*100)</f>
        <v/>
      </c>
      <c r="AF993" s="7" t="n"/>
      <c r="AI993" s="11" t="n"/>
      <c r="AK993">
        <f>IF($D993="","",IF(COUNTIF($D$2:$D993,$D993)=1,1,0))</f>
        <v/>
      </c>
      <c r="AL993">
        <f>IF($AK993=1,SUMPRODUCT(--($AO$2:$AO$1601&lt;$AO993))+1,"")</f>
        <v/>
      </c>
      <c r="AM993">
        <f>IF($D993="","",IF(OR($R993=TRUE(),$R993="TRUE"),1,0))</f>
        <v/>
      </c>
      <c r="AN993">
        <f>IF($D993="","",IF($AA993="Yes",1,0))</f>
        <v/>
      </c>
      <c r="AO993">
        <f>IF($AK993=1,IFERROR(IF(VALUE($D993)&lt;100000000,VALUE($D993),1000000000),IFERROR(IF(VALUE(MID($D993,2,20))&lt;100000000,VALUE(MID($D993,2,20)),1000000000),1000000000))+ROW()/100000,"")</f>
        <v/>
      </c>
    </row>
    <row r="994">
      <c r="F994" s="11" t="n"/>
      <c r="N994" s="7">
        <f>IF($D994="","",M994*X994/100)</f>
        <v/>
      </c>
      <c r="O994" s="7" t="n"/>
      <c r="U994" s="7" t="n"/>
      <c r="V994" s="7" t="n"/>
      <c r="W994" s="7">
        <f>IF($D994="","",V994*AB994/100)</f>
        <v/>
      </c>
      <c r="X994" s="7">
        <f>IF($D994="","",V994-W994)</f>
        <v/>
      </c>
      <c r="Y994" s="7">
        <f>IF($D994="","",X994-N994)</f>
        <v/>
      </c>
      <c r="AB994">
        <f>IF($D994="","",IF($AN994=1,Settings!$C$8,IF($AM994=1,Settings!$C$6,Settings!$C$7))*100)</f>
        <v/>
      </c>
      <c r="AF994" s="7" t="n"/>
      <c r="AI994" s="11" t="n"/>
      <c r="AK994">
        <f>IF($D994="","",IF(COUNTIF($D$2:$D994,$D994)=1,1,0))</f>
        <v/>
      </c>
      <c r="AL994">
        <f>IF($AK994=1,SUMPRODUCT(--($AO$2:$AO$1601&lt;$AO994))+1,"")</f>
        <v/>
      </c>
      <c r="AM994">
        <f>IF($D994="","",IF(OR($R994=TRUE(),$R994="TRUE"),1,0))</f>
        <v/>
      </c>
      <c r="AN994">
        <f>IF($D994="","",IF($AA994="Yes",1,0))</f>
        <v/>
      </c>
      <c r="AO994">
        <f>IF($AK994=1,IFERROR(IF(VALUE($D994)&lt;100000000,VALUE($D994),1000000000),IFERROR(IF(VALUE(MID($D994,2,20))&lt;100000000,VALUE(MID($D994,2,20)),1000000000),1000000000))+ROW()/100000,"")</f>
        <v/>
      </c>
    </row>
    <row r="995">
      <c r="F995" s="11" t="n"/>
      <c r="N995" s="7">
        <f>IF($D995="","",M995*X995/100)</f>
        <v/>
      </c>
      <c r="O995" s="7" t="n"/>
      <c r="U995" s="7" t="n"/>
      <c r="V995" s="7" t="n"/>
      <c r="W995" s="7">
        <f>IF($D995="","",V995*AB995/100)</f>
        <v/>
      </c>
      <c r="X995" s="7">
        <f>IF($D995="","",V995-W995)</f>
        <v/>
      </c>
      <c r="Y995" s="7">
        <f>IF($D995="","",X995-N995)</f>
        <v/>
      </c>
      <c r="AB995">
        <f>IF($D995="","",IF($AN995=1,Settings!$C$8,IF($AM995=1,Settings!$C$6,Settings!$C$7))*100)</f>
        <v/>
      </c>
      <c r="AF995" s="7" t="n"/>
      <c r="AI995" s="11" t="n"/>
      <c r="AK995">
        <f>IF($D995="","",IF(COUNTIF($D$2:$D995,$D995)=1,1,0))</f>
        <v/>
      </c>
      <c r="AL995">
        <f>IF($AK995=1,SUMPRODUCT(--($AO$2:$AO$1601&lt;$AO995))+1,"")</f>
        <v/>
      </c>
      <c r="AM995">
        <f>IF($D995="","",IF(OR($R995=TRUE(),$R995="TRUE"),1,0))</f>
        <v/>
      </c>
      <c r="AN995">
        <f>IF($D995="","",IF($AA995="Yes",1,0))</f>
        <v/>
      </c>
      <c r="AO995">
        <f>IF($AK995=1,IFERROR(IF(VALUE($D995)&lt;100000000,VALUE($D995),1000000000),IFERROR(IF(VALUE(MID($D995,2,20))&lt;100000000,VALUE(MID($D995,2,20)),1000000000),1000000000))+ROW()/100000,"")</f>
        <v/>
      </c>
    </row>
    <row r="996">
      <c r="F996" s="11" t="n"/>
      <c r="N996" s="7">
        <f>IF($D996="","",M996*X996/100)</f>
        <v/>
      </c>
      <c r="O996" s="7" t="n"/>
      <c r="U996" s="7" t="n"/>
      <c r="V996" s="7" t="n"/>
      <c r="W996" s="7">
        <f>IF($D996="","",V996*AB996/100)</f>
        <v/>
      </c>
      <c r="X996" s="7">
        <f>IF($D996="","",V996-W996)</f>
        <v/>
      </c>
      <c r="Y996" s="7">
        <f>IF($D996="","",X996-N996)</f>
        <v/>
      </c>
      <c r="AB996">
        <f>IF($D996="","",IF($AN996=1,Settings!$C$8,IF($AM996=1,Settings!$C$6,Settings!$C$7))*100)</f>
        <v/>
      </c>
      <c r="AF996" s="7" t="n"/>
      <c r="AI996" s="11" t="n"/>
      <c r="AK996">
        <f>IF($D996="","",IF(COUNTIF($D$2:$D996,$D996)=1,1,0))</f>
        <v/>
      </c>
      <c r="AL996">
        <f>IF($AK996=1,SUMPRODUCT(--($AO$2:$AO$1601&lt;$AO996))+1,"")</f>
        <v/>
      </c>
      <c r="AM996">
        <f>IF($D996="","",IF(OR($R996=TRUE(),$R996="TRUE"),1,0))</f>
        <v/>
      </c>
      <c r="AN996">
        <f>IF($D996="","",IF($AA996="Yes",1,0))</f>
        <v/>
      </c>
      <c r="AO996">
        <f>IF($AK996=1,IFERROR(IF(VALUE($D996)&lt;100000000,VALUE($D996),1000000000),IFERROR(IF(VALUE(MID($D996,2,20))&lt;100000000,VALUE(MID($D996,2,20)),1000000000),1000000000))+ROW()/100000,"")</f>
        <v/>
      </c>
    </row>
    <row r="997">
      <c r="F997" s="11" t="n"/>
      <c r="N997" s="7">
        <f>IF($D997="","",M997*X997/100)</f>
        <v/>
      </c>
      <c r="O997" s="7" t="n"/>
      <c r="U997" s="7" t="n"/>
      <c r="V997" s="7" t="n"/>
      <c r="W997" s="7">
        <f>IF($D997="","",V997*AB997/100)</f>
        <v/>
      </c>
      <c r="X997" s="7">
        <f>IF($D997="","",V997-W997)</f>
        <v/>
      </c>
      <c r="Y997" s="7">
        <f>IF($D997="","",X997-N997)</f>
        <v/>
      </c>
      <c r="AB997">
        <f>IF($D997="","",IF($AN997=1,Settings!$C$8,IF($AM997=1,Settings!$C$6,Settings!$C$7))*100)</f>
        <v/>
      </c>
      <c r="AF997" s="7" t="n"/>
      <c r="AI997" s="11" t="n"/>
      <c r="AK997">
        <f>IF($D997="","",IF(COUNTIF($D$2:$D997,$D997)=1,1,0))</f>
        <v/>
      </c>
      <c r="AL997">
        <f>IF($AK997=1,SUMPRODUCT(--($AO$2:$AO$1601&lt;$AO997))+1,"")</f>
        <v/>
      </c>
      <c r="AM997">
        <f>IF($D997="","",IF(OR($R997=TRUE(),$R997="TRUE"),1,0))</f>
        <v/>
      </c>
      <c r="AN997">
        <f>IF($D997="","",IF($AA997="Yes",1,0))</f>
        <v/>
      </c>
      <c r="AO997">
        <f>IF($AK997=1,IFERROR(IF(VALUE($D997)&lt;100000000,VALUE($D997),1000000000),IFERROR(IF(VALUE(MID($D997,2,20))&lt;100000000,VALUE(MID($D997,2,20)),1000000000),1000000000))+ROW()/100000,"")</f>
        <v/>
      </c>
    </row>
    <row r="998">
      <c r="F998" s="11" t="n"/>
      <c r="N998" s="7">
        <f>IF($D998="","",M998*X998/100)</f>
        <v/>
      </c>
      <c r="O998" s="7" t="n"/>
      <c r="U998" s="7" t="n"/>
      <c r="V998" s="7" t="n"/>
      <c r="W998" s="7">
        <f>IF($D998="","",V998*AB998/100)</f>
        <v/>
      </c>
      <c r="X998" s="7">
        <f>IF($D998="","",V998-W998)</f>
        <v/>
      </c>
      <c r="Y998" s="7">
        <f>IF($D998="","",X998-N998)</f>
        <v/>
      </c>
      <c r="AB998">
        <f>IF($D998="","",IF($AN998=1,Settings!$C$8,IF($AM998=1,Settings!$C$6,Settings!$C$7))*100)</f>
        <v/>
      </c>
      <c r="AF998" s="7" t="n"/>
      <c r="AI998" s="11" t="n"/>
      <c r="AK998">
        <f>IF($D998="","",IF(COUNTIF($D$2:$D998,$D998)=1,1,0))</f>
        <v/>
      </c>
      <c r="AL998">
        <f>IF($AK998=1,SUMPRODUCT(--($AO$2:$AO$1601&lt;$AO998))+1,"")</f>
        <v/>
      </c>
      <c r="AM998">
        <f>IF($D998="","",IF(OR($R998=TRUE(),$R998="TRUE"),1,0))</f>
        <v/>
      </c>
      <c r="AN998">
        <f>IF($D998="","",IF($AA998="Yes",1,0))</f>
        <v/>
      </c>
      <c r="AO998">
        <f>IF($AK998=1,IFERROR(IF(VALUE($D998)&lt;100000000,VALUE($D998),1000000000),IFERROR(IF(VALUE(MID($D998,2,20))&lt;100000000,VALUE(MID($D998,2,20)),1000000000),1000000000))+ROW()/100000,"")</f>
        <v/>
      </c>
    </row>
    <row r="999">
      <c r="F999" s="11" t="n"/>
      <c r="N999" s="7">
        <f>IF($D999="","",M999*X999/100)</f>
        <v/>
      </c>
      <c r="O999" s="7" t="n"/>
      <c r="U999" s="7" t="n"/>
      <c r="V999" s="7" t="n"/>
      <c r="W999" s="7">
        <f>IF($D999="","",V999*AB999/100)</f>
        <v/>
      </c>
      <c r="X999" s="7">
        <f>IF($D999="","",V999-W999)</f>
        <v/>
      </c>
      <c r="Y999" s="7">
        <f>IF($D999="","",X999-N999)</f>
        <v/>
      </c>
      <c r="AB999">
        <f>IF($D999="","",IF($AN999=1,Settings!$C$8,IF($AM999=1,Settings!$C$6,Settings!$C$7))*100)</f>
        <v/>
      </c>
      <c r="AF999" s="7" t="n"/>
      <c r="AI999" s="11" t="n"/>
      <c r="AK999">
        <f>IF($D999="","",IF(COUNTIF($D$2:$D999,$D999)=1,1,0))</f>
        <v/>
      </c>
      <c r="AL999">
        <f>IF($AK999=1,SUMPRODUCT(--($AO$2:$AO$1601&lt;$AO999))+1,"")</f>
        <v/>
      </c>
      <c r="AM999">
        <f>IF($D999="","",IF(OR($R999=TRUE(),$R999="TRUE"),1,0))</f>
        <v/>
      </c>
      <c r="AN999">
        <f>IF($D999="","",IF($AA999="Yes",1,0))</f>
        <v/>
      </c>
      <c r="AO999">
        <f>IF($AK999=1,IFERROR(IF(VALUE($D999)&lt;100000000,VALUE($D999),1000000000),IFERROR(IF(VALUE(MID($D999,2,20))&lt;100000000,VALUE(MID($D999,2,20)),1000000000),1000000000))+ROW()/100000,"")</f>
        <v/>
      </c>
    </row>
    <row r="1000">
      <c r="F1000" s="11" t="n"/>
      <c r="N1000" s="7">
        <f>IF($D1000="","",M1000*X1000/100)</f>
        <v/>
      </c>
      <c r="O1000" s="7" t="n"/>
      <c r="U1000" s="7" t="n"/>
      <c r="V1000" s="7" t="n"/>
      <c r="W1000" s="7">
        <f>IF($D1000="","",V1000*AB1000/100)</f>
        <v/>
      </c>
      <c r="X1000" s="7">
        <f>IF($D1000="","",V1000-W1000)</f>
        <v/>
      </c>
      <c r="Y1000" s="7">
        <f>IF($D1000="","",X1000-N1000)</f>
        <v/>
      </c>
      <c r="AB1000">
        <f>IF($D1000="","",IF($AN1000=1,Settings!$C$8,IF($AM1000=1,Settings!$C$6,Settings!$C$7))*100)</f>
        <v/>
      </c>
      <c r="AF1000" s="7" t="n"/>
      <c r="AI1000" s="11" t="n"/>
      <c r="AK1000">
        <f>IF($D1000="","",IF(COUNTIF($D$2:$D1000,$D1000)=1,1,0))</f>
        <v/>
      </c>
      <c r="AL1000">
        <f>IF($AK1000=1,SUMPRODUCT(--($AO$2:$AO$1601&lt;$AO1000))+1,"")</f>
        <v/>
      </c>
      <c r="AM1000">
        <f>IF($D1000="","",IF(OR($R1000=TRUE(),$R1000="TRUE"),1,0))</f>
        <v/>
      </c>
      <c r="AN1000">
        <f>IF($D1000="","",IF($AA1000="Yes",1,0))</f>
        <v/>
      </c>
      <c r="AO1000">
        <f>IF($AK1000=1,IFERROR(IF(VALUE($D1000)&lt;100000000,VALUE($D1000),1000000000),IFERROR(IF(VALUE(MID($D1000,2,20))&lt;100000000,VALUE(MID($D1000,2,20)),1000000000),1000000000))+ROW()/100000,"")</f>
        <v/>
      </c>
    </row>
    <row r="1001">
      <c r="F1001" s="11" t="n"/>
      <c r="N1001" s="7">
        <f>IF($D1001="","",M1001*X1001/100)</f>
        <v/>
      </c>
      <c r="O1001" s="7" t="n"/>
      <c r="U1001" s="7" t="n"/>
      <c r="V1001" s="7" t="n"/>
      <c r="W1001" s="7">
        <f>IF($D1001="","",V1001*AB1001/100)</f>
        <v/>
      </c>
      <c r="X1001" s="7">
        <f>IF($D1001="","",V1001-W1001)</f>
        <v/>
      </c>
      <c r="Y1001" s="7">
        <f>IF($D1001="","",X1001-N1001)</f>
        <v/>
      </c>
      <c r="AB1001">
        <f>IF($D1001="","",IF($AN1001=1,Settings!$C$8,IF($AM1001=1,Settings!$C$6,Settings!$C$7))*100)</f>
        <v/>
      </c>
      <c r="AF1001" s="7" t="n"/>
      <c r="AI1001" s="11" t="n"/>
      <c r="AK1001">
        <f>IF($D1001="","",IF(COUNTIF($D$2:$D1001,$D1001)=1,1,0))</f>
        <v/>
      </c>
      <c r="AL1001">
        <f>IF($AK1001=1,SUMPRODUCT(--($AO$2:$AO$1601&lt;$AO1001))+1,"")</f>
        <v/>
      </c>
      <c r="AM1001">
        <f>IF($D1001="","",IF(OR($R1001=TRUE(),$R1001="TRUE"),1,0))</f>
        <v/>
      </c>
      <c r="AN1001">
        <f>IF($D1001="","",IF($AA1001="Yes",1,0))</f>
        <v/>
      </c>
      <c r="AO1001">
        <f>IF($AK1001=1,IFERROR(IF(VALUE($D1001)&lt;100000000,VALUE($D1001),1000000000),IFERROR(IF(VALUE(MID($D1001,2,20))&lt;100000000,VALUE(MID($D1001,2,20)),1000000000),1000000000))+ROW()/100000,"")</f>
        <v/>
      </c>
    </row>
    <row r="1002">
      <c r="F1002" s="11" t="n"/>
      <c r="N1002" s="7">
        <f>IF($D1002="","",M1002*X1002/100)</f>
        <v/>
      </c>
      <c r="O1002" s="7" t="n"/>
      <c r="U1002" s="7" t="n"/>
      <c r="V1002" s="7" t="n"/>
      <c r="W1002" s="7">
        <f>IF($D1002="","",V1002*AB1002/100)</f>
        <v/>
      </c>
      <c r="X1002" s="7">
        <f>IF($D1002="","",V1002-W1002)</f>
        <v/>
      </c>
      <c r="Y1002" s="7">
        <f>IF($D1002="","",X1002-N1002)</f>
        <v/>
      </c>
      <c r="AB1002">
        <f>IF($D1002="","",IF($AN1002=1,Settings!$C$8,IF($AM1002=1,Settings!$C$6,Settings!$C$7))*100)</f>
        <v/>
      </c>
      <c r="AF1002" s="7" t="n"/>
      <c r="AI1002" s="11" t="n"/>
      <c r="AK1002">
        <f>IF($D1002="","",IF(COUNTIF($D$2:$D1002,$D1002)=1,1,0))</f>
        <v/>
      </c>
      <c r="AL1002">
        <f>IF($AK1002=1,SUMPRODUCT(--($AO$2:$AO$1601&lt;$AO1002))+1,"")</f>
        <v/>
      </c>
      <c r="AM1002">
        <f>IF($D1002="","",IF(OR($R1002=TRUE(),$R1002="TRUE"),1,0))</f>
        <v/>
      </c>
      <c r="AN1002">
        <f>IF($D1002="","",IF($AA1002="Yes",1,0))</f>
        <v/>
      </c>
      <c r="AO1002">
        <f>IF($AK1002=1,IFERROR(IF(VALUE($D1002)&lt;100000000,VALUE($D1002),1000000000),IFERROR(IF(VALUE(MID($D1002,2,20))&lt;100000000,VALUE(MID($D1002,2,20)),1000000000),1000000000))+ROW()/100000,"")</f>
        <v/>
      </c>
    </row>
    <row r="1003">
      <c r="F1003" s="11" t="n"/>
      <c r="N1003" s="7">
        <f>IF($D1003="","",M1003*X1003/100)</f>
        <v/>
      </c>
      <c r="O1003" s="7" t="n"/>
      <c r="U1003" s="7" t="n"/>
      <c r="V1003" s="7" t="n"/>
      <c r="W1003" s="7">
        <f>IF($D1003="","",V1003*AB1003/100)</f>
        <v/>
      </c>
      <c r="X1003" s="7">
        <f>IF($D1003="","",V1003-W1003)</f>
        <v/>
      </c>
      <c r="Y1003" s="7">
        <f>IF($D1003="","",X1003-N1003)</f>
        <v/>
      </c>
      <c r="AB1003">
        <f>IF($D1003="","",IF($AN1003=1,Settings!$C$8,IF($AM1003=1,Settings!$C$6,Settings!$C$7))*100)</f>
        <v/>
      </c>
      <c r="AF1003" s="7" t="n"/>
      <c r="AI1003" s="11" t="n"/>
      <c r="AK1003">
        <f>IF($D1003="","",IF(COUNTIF($D$2:$D1003,$D1003)=1,1,0))</f>
        <v/>
      </c>
      <c r="AL1003">
        <f>IF($AK1003=1,SUMPRODUCT(--($AO$2:$AO$1601&lt;$AO1003))+1,"")</f>
        <v/>
      </c>
      <c r="AM1003">
        <f>IF($D1003="","",IF(OR($R1003=TRUE(),$R1003="TRUE"),1,0))</f>
        <v/>
      </c>
      <c r="AN1003">
        <f>IF($D1003="","",IF($AA1003="Yes",1,0))</f>
        <v/>
      </c>
      <c r="AO1003">
        <f>IF($AK1003=1,IFERROR(IF(VALUE($D1003)&lt;100000000,VALUE($D1003),1000000000),IFERROR(IF(VALUE(MID($D1003,2,20))&lt;100000000,VALUE(MID($D1003,2,20)),1000000000),1000000000))+ROW()/100000,"")</f>
        <v/>
      </c>
    </row>
    <row r="1004">
      <c r="F1004" s="11" t="n"/>
      <c r="N1004" s="7">
        <f>IF($D1004="","",M1004*X1004/100)</f>
        <v/>
      </c>
      <c r="O1004" s="7" t="n"/>
      <c r="U1004" s="7" t="n"/>
      <c r="V1004" s="7" t="n"/>
      <c r="W1004" s="7">
        <f>IF($D1004="","",V1004*AB1004/100)</f>
        <v/>
      </c>
      <c r="X1004" s="7">
        <f>IF($D1004="","",V1004-W1004)</f>
        <v/>
      </c>
      <c r="Y1004" s="7">
        <f>IF($D1004="","",X1004-N1004)</f>
        <v/>
      </c>
      <c r="AB1004">
        <f>IF($D1004="","",IF($AN1004=1,Settings!$C$8,IF($AM1004=1,Settings!$C$6,Settings!$C$7))*100)</f>
        <v/>
      </c>
      <c r="AF1004" s="7" t="n"/>
      <c r="AI1004" s="11" t="n"/>
      <c r="AK1004">
        <f>IF($D1004="","",IF(COUNTIF($D$2:$D1004,$D1004)=1,1,0))</f>
        <v/>
      </c>
      <c r="AL1004">
        <f>IF($AK1004=1,SUMPRODUCT(--($AO$2:$AO$1601&lt;$AO1004))+1,"")</f>
        <v/>
      </c>
      <c r="AM1004">
        <f>IF($D1004="","",IF(OR($R1004=TRUE(),$R1004="TRUE"),1,0))</f>
        <v/>
      </c>
      <c r="AN1004">
        <f>IF($D1004="","",IF($AA1004="Yes",1,0))</f>
        <v/>
      </c>
      <c r="AO1004">
        <f>IF($AK1004=1,IFERROR(IF(VALUE($D1004)&lt;100000000,VALUE($D1004),1000000000),IFERROR(IF(VALUE(MID($D1004,2,20))&lt;100000000,VALUE(MID($D1004,2,20)),1000000000),1000000000))+ROW()/100000,"")</f>
        <v/>
      </c>
    </row>
    <row r="1005">
      <c r="F1005" s="11" t="n"/>
      <c r="N1005" s="7">
        <f>IF($D1005="","",M1005*X1005/100)</f>
        <v/>
      </c>
      <c r="O1005" s="7" t="n"/>
      <c r="U1005" s="7" t="n"/>
      <c r="V1005" s="7" t="n"/>
      <c r="W1005" s="7">
        <f>IF($D1005="","",V1005*AB1005/100)</f>
        <v/>
      </c>
      <c r="X1005" s="7">
        <f>IF($D1005="","",V1005-W1005)</f>
        <v/>
      </c>
      <c r="Y1005" s="7">
        <f>IF($D1005="","",X1005-N1005)</f>
        <v/>
      </c>
      <c r="AB1005">
        <f>IF($D1005="","",IF($AN1005=1,Settings!$C$8,IF($AM1005=1,Settings!$C$6,Settings!$C$7))*100)</f>
        <v/>
      </c>
      <c r="AF1005" s="7" t="n"/>
      <c r="AI1005" s="11" t="n"/>
      <c r="AK1005">
        <f>IF($D1005="","",IF(COUNTIF($D$2:$D1005,$D1005)=1,1,0))</f>
        <v/>
      </c>
      <c r="AL1005">
        <f>IF($AK1005=1,SUMPRODUCT(--($AO$2:$AO$1601&lt;$AO1005))+1,"")</f>
        <v/>
      </c>
      <c r="AM1005">
        <f>IF($D1005="","",IF(OR($R1005=TRUE(),$R1005="TRUE"),1,0))</f>
        <v/>
      </c>
      <c r="AN1005">
        <f>IF($D1005="","",IF($AA1005="Yes",1,0))</f>
        <v/>
      </c>
      <c r="AO1005">
        <f>IF($AK1005=1,IFERROR(IF(VALUE($D1005)&lt;100000000,VALUE($D1005),1000000000),IFERROR(IF(VALUE(MID($D1005,2,20))&lt;100000000,VALUE(MID($D1005,2,20)),1000000000),1000000000))+ROW()/100000,"")</f>
        <v/>
      </c>
    </row>
    <row r="1006">
      <c r="F1006" s="11" t="n"/>
      <c r="N1006" s="7">
        <f>IF($D1006="","",M1006*X1006/100)</f>
        <v/>
      </c>
      <c r="O1006" s="7" t="n"/>
      <c r="U1006" s="7" t="n"/>
      <c r="V1006" s="7" t="n"/>
      <c r="W1006" s="7">
        <f>IF($D1006="","",V1006*AB1006/100)</f>
        <v/>
      </c>
      <c r="X1006" s="7">
        <f>IF($D1006="","",V1006-W1006)</f>
        <v/>
      </c>
      <c r="Y1006" s="7">
        <f>IF($D1006="","",X1006-N1006)</f>
        <v/>
      </c>
      <c r="AB1006">
        <f>IF($D1006="","",IF($AN1006=1,Settings!$C$8,IF($AM1006=1,Settings!$C$6,Settings!$C$7))*100)</f>
        <v/>
      </c>
      <c r="AF1006" s="7" t="n"/>
      <c r="AI1006" s="11" t="n"/>
      <c r="AK1006">
        <f>IF($D1006="","",IF(COUNTIF($D$2:$D1006,$D1006)=1,1,0))</f>
        <v/>
      </c>
      <c r="AL1006">
        <f>IF($AK1006=1,SUMPRODUCT(--($AO$2:$AO$1601&lt;$AO1006))+1,"")</f>
        <v/>
      </c>
      <c r="AM1006">
        <f>IF($D1006="","",IF(OR($R1006=TRUE(),$R1006="TRUE"),1,0))</f>
        <v/>
      </c>
      <c r="AN1006">
        <f>IF($D1006="","",IF($AA1006="Yes",1,0))</f>
        <v/>
      </c>
      <c r="AO1006">
        <f>IF($AK1006=1,IFERROR(IF(VALUE($D1006)&lt;100000000,VALUE($D1006),1000000000),IFERROR(IF(VALUE(MID($D1006,2,20))&lt;100000000,VALUE(MID($D1006,2,20)),1000000000),1000000000))+ROW()/100000,"")</f>
        <v/>
      </c>
    </row>
    <row r="1007">
      <c r="F1007" s="11" t="n"/>
      <c r="N1007" s="7">
        <f>IF($D1007="","",M1007*X1007/100)</f>
        <v/>
      </c>
      <c r="O1007" s="7" t="n"/>
      <c r="U1007" s="7" t="n"/>
      <c r="V1007" s="7" t="n"/>
      <c r="W1007" s="7">
        <f>IF($D1007="","",V1007*AB1007/100)</f>
        <v/>
      </c>
      <c r="X1007" s="7">
        <f>IF($D1007="","",V1007-W1007)</f>
        <v/>
      </c>
      <c r="Y1007" s="7">
        <f>IF($D1007="","",X1007-N1007)</f>
        <v/>
      </c>
      <c r="AB1007">
        <f>IF($D1007="","",IF($AN1007=1,Settings!$C$8,IF($AM1007=1,Settings!$C$6,Settings!$C$7))*100)</f>
        <v/>
      </c>
      <c r="AF1007" s="7" t="n"/>
      <c r="AI1007" s="11" t="n"/>
      <c r="AK1007">
        <f>IF($D1007="","",IF(COUNTIF($D$2:$D1007,$D1007)=1,1,0))</f>
        <v/>
      </c>
      <c r="AL1007">
        <f>IF($AK1007=1,SUMPRODUCT(--($AO$2:$AO$1601&lt;$AO1007))+1,"")</f>
        <v/>
      </c>
      <c r="AM1007">
        <f>IF($D1007="","",IF(OR($R1007=TRUE(),$R1007="TRUE"),1,0))</f>
        <v/>
      </c>
      <c r="AN1007">
        <f>IF($D1007="","",IF($AA1007="Yes",1,0))</f>
        <v/>
      </c>
      <c r="AO1007">
        <f>IF($AK1007=1,IFERROR(IF(VALUE($D1007)&lt;100000000,VALUE($D1007),1000000000),IFERROR(IF(VALUE(MID($D1007,2,20))&lt;100000000,VALUE(MID($D1007,2,20)),1000000000),1000000000))+ROW()/100000,"")</f>
        <v/>
      </c>
    </row>
    <row r="1008">
      <c r="F1008" s="11" t="n"/>
      <c r="N1008" s="7">
        <f>IF($D1008="","",M1008*X1008/100)</f>
        <v/>
      </c>
      <c r="O1008" s="7" t="n"/>
      <c r="U1008" s="7" t="n"/>
      <c r="V1008" s="7" t="n"/>
      <c r="W1008" s="7">
        <f>IF($D1008="","",V1008*AB1008/100)</f>
        <v/>
      </c>
      <c r="X1008" s="7">
        <f>IF($D1008="","",V1008-W1008)</f>
        <v/>
      </c>
      <c r="Y1008" s="7">
        <f>IF($D1008="","",X1008-N1008)</f>
        <v/>
      </c>
      <c r="AB1008">
        <f>IF($D1008="","",IF($AN1008=1,Settings!$C$8,IF($AM1008=1,Settings!$C$6,Settings!$C$7))*100)</f>
        <v/>
      </c>
      <c r="AF1008" s="7" t="n"/>
      <c r="AI1008" s="11" t="n"/>
      <c r="AK1008">
        <f>IF($D1008="","",IF(COUNTIF($D$2:$D1008,$D1008)=1,1,0))</f>
        <v/>
      </c>
      <c r="AL1008">
        <f>IF($AK1008=1,SUMPRODUCT(--($AO$2:$AO$1601&lt;$AO1008))+1,"")</f>
        <v/>
      </c>
      <c r="AM1008">
        <f>IF($D1008="","",IF(OR($R1008=TRUE(),$R1008="TRUE"),1,0))</f>
        <v/>
      </c>
      <c r="AN1008">
        <f>IF($D1008="","",IF($AA1008="Yes",1,0))</f>
        <v/>
      </c>
      <c r="AO1008">
        <f>IF($AK1008=1,IFERROR(IF(VALUE($D1008)&lt;100000000,VALUE($D1008),1000000000),IFERROR(IF(VALUE(MID($D1008,2,20))&lt;100000000,VALUE(MID($D1008,2,20)),1000000000),1000000000))+ROW()/100000,"")</f>
        <v/>
      </c>
    </row>
    <row r="1009">
      <c r="F1009" s="11" t="n"/>
      <c r="N1009" s="7">
        <f>IF($D1009="","",M1009*X1009/100)</f>
        <v/>
      </c>
      <c r="O1009" s="7" t="n"/>
      <c r="U1009" s="7" t="n"/>
      <c r="V1009" s="7" t="n"/>
      <c r="W1009" s="7">
        <f>IF($D1009="","",V1009*AB1009/100)</f>
        <v/>
      </c>
      <c r="X1009" s="7">
        <f>IF($D1009="","",V1009-W1009)</f>
        <v/>
      </c>
      <c r="Y1009" s="7">
        <f>IF($D1009="","",X1009-N1009)</f>
        <v/>
      </c>
      <c r="AB1009">
        <f>IF($D1009="","",IF($AN1009=1,Settings!$C$8,IF($AM1009=1,Settings!$C$6,Settings!$C$7))*100)</f>
        <v/>
      </c>
      <c r="AF1009" s="7" t="n"/>
      <c r="AI1009" s="11" t="n"/>
      <c r="AK1009">
        <f>IF($D1009="","",IF(COUNTIF($D$2:$D1009,$D1009)=1,1,0))</f>
        <v/>
      </c>
      <c r="AL1009">
        <f>IF($AK1009=1,SUMPRODUCT(--($AO$2:$AO$1601&lt;$AO1009))+1,"")</f>
        <v/>
      </c>
      <c r="AM1009">
        <f>IF($D1009="","",IF(OR($R1009=TRUE(),$R1009="TRUE"),1,0))</f>
        <v/>
      </c>
      <c r="AN1009">
        <f>IF($D1009="","",IF($AA1009="Yes",1,0))</f>
        <v/>
      </c>
      <c r="AO1009">
        <f>IF($AK1009=1,IFERROR(IF(VALUE($D1009)&lt;100000000,VALUE($D1009),1000000000),IFERROR(IF(VALUE(MID($D1009,2,20))&lt;100000000,VALUE(MID($D1009,2,20)),1000000000),1000000000))+ROW()/100000,"")</f>
        <v/>
      </c>
    </row>
    <row r="1010">
      <c r="F1010" s="11" t="n"/>
      <c r="N1010" s="7">
        <f>IF($D1010="","",M1010*X1010/100)</f>
        <v/>
      </c>
      <c r="O1010" s="7" t="n"/>
      <c r="U1010" s="7" t="n"/>
      <c r="V1010" s="7" t="n"/>
      <c r="W1010" s="7">
        <f>IF($D1010="","",V1010*AB1010/100)</f>
        <v/>
      </c>
      <c r="X1010" s="7">
        <f>IF($D1010="","",V1010-W1010)</f>
        <v/>
      </c>
      <c r="Y1010" s="7">
        <f>IF($D1010="","",X1010-N1010)</f>
        <v/>
      </c>
      <c r="AB1010">
        <f>IF($D1010="","",IF($AN1010=1,Settings!$C$8,IF($AM1010=1,Settings!$C$6,Settings!$C$7))*100)</f>
        <v/>
      </c>
      <c r="AF1010" s="7" t="n"/>
      <c r="AI1010" s="11" t="n"/>
      <c r="AK1010">
        <f>IF($D1010="","",IF(COUNTIF($D$2:$D1010,$D1010)=1,1,0))</f>
        <v/>
      </c>
      <c r="AL1010">
        <f>IF($AK1010=1,SUMPRODUCT(--($AO$2:$AO$1601&lt;$AO1010))+1,"")</f>
        <v/>
      </c>
      <c r="AM1010">
        <f>IF($D1010="","",IF(OR($R1010=TRUE(),$R1010="TRUE"),1,0))</f>
        <v/>
      </c>
      <c r="AN1010">
        <f>IF($D1010="","",IF($AA1010="Yes",1,0))</f>
        <v/>
      </c>
      <c r="AO1010">
        <f>IF($AK1010=1,IFERROR(IF(VALUE($D1010)&lt;100000000,VALUE($D1010),1000000000),IFERROR(IF(VALUE(MID($D1010,2,20))&lt;100000000,VALUE(MID($D1010,2,20)),1000000000),1000000000))+ROW()/100000,"")</f>
        <v/>
      </c>
    </row>
    <row r="1011">
      <c r="F1011" s="11" t="n"/>
      <c r="N1011" s="7">
        <f>IF($D1011="","",M1011*X1011/100)</f>
        <v/>
      </c>
      <c r="O1011" s="7" t="n"/>
      <c r="U1011" s="7" t="n"/>
      <c r="V1011" s="7" t="n"/>
      <c r="W1011" s="7">
        <f>IF($D1011="","",V1011*AB1011/100)</f>
        <v/>
      </c>
      <c r="X1011" s="7">
        <f>IF($D1011="","",V1011-W1011)</f>
        <v/>
      </c>
      <c r="Y1011" s="7">
        <f>IF($D1011="","",X1011-N1011)</f>
        <v/>
      </c>
      <c r="AB1011">
        <f>IF($D1011="","",IF($AN1011=1,Settings!$C$8,IF($AM1011=1,Settings!$C$6,Settings!$C$7))*100)</f>
        <v/>
      </c>
      <c r="AF1011" s="7" t="n"/>
      <c r="AI1011" s="11" t="n"/>
      <c r="AK1011">
        <f>IF($D1011="","",IF(COUNTIF($D$2:$D1011,$D1011)=1,1,0))</f>
        <v/>
      </c>
      <c r="AL1011">
        <f>IF($AK1011=1,SUMPRODUCT(--($AO$2:$AO$1601&lt;$AO1011))+1,"")</f>
        <v/>
      </c>
      <c r="AM1011">
        <f>IF($D1011="","",IF(OR($R1011=TRUE(),$R1011="TRUE"),1,0))</f>
        <v/>
      </c>
      <c r="AN1011">
        <f>IF($D1011="","",IF($AA1011="Yes",1,0))</f>
        <v/>
      </c>
      <c r="AO1011">
        <f>IF($AK1011=1,IFERROR(IF(VALUE($D1011)&lt;100000000,VALUE($D1011),1000000000),IFERROR(IF(VALUE(MID($D1011,2,20))&lt;100000000,VALUE(MID($D1011,2,20)),1000000000),1000000000))+ROW()/100000,"")</f>
        <v/>
      </c>
    </row>
    <row r="1012">
      <c r="F1012" s="11" t="n"/>
      <c r="N1012" s="7">
        <f>IF($D1012="","",M1012*X1012/100)</f>
        <v/>
      </c>
      <c r="O1012" s="7" t="n"/>
      <c r="U1012" s="7" t="n"/>
      <c r="V1012" s="7" t="n"/>
      <c r="W1012" s="7">
        <f>IF($D1012="","",V1012*AB1012/100)</f>
        <v/>
      </c>
      <c r="X1012" s="7">
        <f>IF($D1012="","",V1012-W1012)</f>
        <v/>
      </c>
      <c r="Y1012" s="7">
        <f>IF($D1012="","",X1012-N1012)</f>
        <v/>
      </c>
      <c r="AB1012">
        <f>IF($D1012="","",IF($AN1012=1,Settings!$C$8,IF($AM1012=1,Settings!$C$6,Settings!$C$7))*100)</f>
        <v/>
      </c>
      <c r="AF1012" s="7" t="n"/>
      <c r="AI1012" s="11" t="n"/>
      <c r="AK1012">
        <f>IF($D1012="","",IF(COUNTIF($D$2:$D1012,$D1012)=1,1,0))</f>
        <v/>
      </c>
      <c r="AL1012">
        <f>IF($AK1012=1,SUMPRODUCT(--($AO$2:$AO$1601&lt;$AO1012))+1,"")</f>
        <v/>
      </c>
      <c r="AM1012">
        <f>IF($D1012="","",IF(OR($R1012=TRUE(),$R1012="TRUE"),1,0))</f>
        <v/>
      </c>
      <c r="AN1012">
        <f>IF($D1012="","",IF($AA1012="Yes",1,0))</f>
        <v/>
      </c>
      <c r="AO1012">
        <f>IF($AK1012=1,IFERROR(IF(VALUE($D1012)&lt;100000000,VALUE($D1012),1000000000),IFERROR(IF(VALUE(MID($D1012,2,20))&lt;100000000,VALUE(MID($D1012,2,20)),1000000000),1000000000))+ROW()/100000,"")</f>
        <v/>
      </c>
    </row>
    <row r="1013">
      <c r="F1013" s="11" t="n"/>
      <c r="N1013" s="7">
        <f>IF($D1013="","",M1013*X1013/100)</f>
        <v/>
      </c>
      <c r="O1013" s="7" t="n"/>
      <c r="U1013" s="7" t="n"/>
      <c r="V1013" s="7" t="n"/>
      <c r="W1013" s="7">
        <f>IF($D1013="","",V1013*AB1013/100)</f>
        <v/>
      </c>
      <c r="X1013" s="7">
        <f>IF($D1013="","",V1013-W1013)</f>
        <v/>
      </c>
      <c r="Y1013" s="7">
        <f>IF($D1013="","",X1013-N1013)</f>
        <v/>
      </c>
      <c r="AB1013">
        <f>IF($D1013="","",IF($AN1013=1,Settings!$C$8,IF($AM1013=1,Settings!$C$6,Settings!$C$7))*100)</f>
        <v/>
      </c>
      <c r="AF1013" s="7" t="n"/>
      <c r="AI1013" s="11" t="n"/>
      <c r="AK1013">
        <f>IF($D1013="","",IF(COUNTIF($D$2:$D1013,$D1013)=1,1,0))</f>
        <v/>
      </c>
      <c r="AL1013">
        <f>IF($AK1013=1,SUMPRODUCT(--($AO$2:$AO$1601&lt;$AO1013))+1,"")</f>
        <v/>
      </c>
      <c r="AM1013">
        <f>IF($D1013="","",IF(OR($R1013=TRUE(),$R1013="TRUE"),1,0))</f>
        <v/>
      </c>
      <c r="AN1013">
        <f>IF($D1013="","",IF($AA1013="Yes",1,0))</f>
        <v/>
      </c>
      <c r="AO1013">
        <f>IF($AK1013=1,IFERROR(IF(VALUE($D1013)&lt;100000000,VALUE($D1013),1000000000),IFERROR(IF(VALUE(MID($D1013,2,20))&lt;100000000,VALUE(MID($D1013,2,20)),1000000000),1000000000))+ROW()/100000,"")</f>
        <v/>
      </c>
    </row>
    <row r="1014">
      <c r="F1014" s="11" t="n"/>
      <c r="N1014" s="7">
        <f>IF($D1014="","",M1014*X1014/100)</f>
        <v/>
      </c>
      <c r="O1014" s="7" t="n"/>
      <c r="U1014" s="7" t="n"/>
      <c r="V1014" s="7" t="n"/>
      <c r="W1014" s="7">
        <f>IF($D1014="","",V1014*AB1014/100)</f>
        <v/>
      </c>
      <c r="X1014" s="7">
        <f>IF($D1014="","",V1014-W1014)</f>
        <v/>
      </c>
      <c r="Y1014" s="7">
        <f>IF($D1014="","",X1014-N1014)</f>
        <v/>
      </c>
      <c r="AB1014">
        <f>IF($D1014="","",IF($AN1014=1,Settings!$C$8,IF($AM1014=1,Settings!$C$6,Settings!$C$7))*100)</f>
        <v/>
      </c>
      <c r="AF1014" s="7" t="n"/>
      <c r="AI1014" s="11" t="n"/>
      <c r="AK1014">
        <f>IF($D1014="","",IF(COUNTIF($D$2:$D1014,$D1014)=1,1,0))</f>
        <v/>
      </c>
      <c r="AL1014">
        <f>IF($AK1014=1,SUMPRODUCT(--($AO$2:$AO$1601&lt;$AO1014))+1,"")</f>
        <v/>
      </c>
      <c r="AM1014">
        <f>IF($D1014="","",IF(OR($R1014=TRUE(),$R1014="TRUE"),1,0))</f>
        <v/>
      </c>
      <c r="AN1014">
        <f>IF($D1014="","",IF($AA1014="Yes",1,0))</f>
        <v/>
      </c>
      <c r="AO1014">
        <f>IF($AK1014=1,IFERROR(IF(VALUE($D1014)&lt;100000000,VALUE($D1014),1000000000),IFERROR(IF(VALUE(MID($D1014,2,20))&lt;100000000,VALUE(MID($D1014,2,20)),1000000000),1000000000))+ROW()/100000,"")</f>
        <v/>
      </c>
    </row>
    <row r="1015">
      <c r="F1015" s="11" t="n"/>
      <c r="N1015" s="7">
        <f>IF($D1015="","",M1015*X1015/100)</f>
        <v/>
      </c>
      <c r="O1015" s="7" t="n"/>
      <c r="U1015" s="7" t="n"/>
      <c r="V1015" s="7" t="n"/>
      <c r="W1015" s="7">
        <f>IF($D1015="","",V1015*AB1015/100)</f>
        <v/>
      </c>
      <c r="X1015" s="7">
        <f>IF($D1015="","",V1015-W1015)</f>
        <v/>
      </c>
      <c r="Y1015" s="7">
        <f>IF($D1015="","",X1015-N1015)</f>
        <v/>
      </c>
      <c r="AB1015">
        <f>IF($D1015="","",IF($AN1015=1,Settings!$C$8,IF($AM1015=1,Settings!$C$6,Settings!$C$7))*100)</f>
        <v/>
      </c>
      <c r="AF1015" s="7" t="n"/>
      <c r="AI1015" s="11" t="n"/>
      <c r="AK1015">
        <f>IF($D1015="","",IF(COUNTIF($D$2:$D1015,$D1015)=1,1,0))</f>
        <v/>
      </c>
      <c r="AL1015">
        <f>IF($AK1015=1,SUMPRODUCT(--($AO$2:$AO$1601&lt;$AO1015))+1,"")</f>
        <v/>
      </c>
      <c r="AM1015">
        <f>IF($D1015="","",IF(OR($R1015=TRUE(),$R1015="TRUE"),1,0))</f>
        <v/>
      </c>
      <c r="AN1015">
        <f>IF($D1015="","",IF($AA1015="Yes",1,0))</f>
        <v/>
      </c>
      <c r="AO1015">
        <f>IF($AK1015=1,IFERROR(IF(VALUE($D1015)&lt;100000000,VALUE($D1015),1000000000),IFERROR(IF(VALUE(MID($D1015,2,20))&lt;100000000,VALUE(MID($D1015,2,20)),1000000000),1000000000))+ROW()/100000,"")</f>
        <v/>
      </c>
    </row>
    <row r="1016">
      <c r="F1016" s="11" t="n"/>
      <c r="N1016" s="7">
        <f>IF($D1016="","",M1016*X1016/100)</f>
        <v/>
      </c>
      <c r="O1016" s="7" t="n"/>
      <c r="U1016" s="7" t="n"/>
      <c r="V1016" s="7" t="n"/>
      <c r="W1016" s="7">
        <f>IF($D1016="","",V1016*AB1016/100)</f>
        <v/>
      </c>
      <c r="X1016" s="7">
        <f>IF($D1016="","",V1016-W1016)</f>
        <v/>
      </c>
      <c r="Y1016" s="7">
        <f>IF($D1016="","",X1016-N1016)</f>
        <v/>
      </c>
      <c r="AB1016">
        <f>IF($D1016="","",IF($AN1016=1,Settings!$C$8,IF($AM1016=1,Settings!$C$6,Settings!$C$7))*100)</f>
        <v/>
      </c>
      <c r="AF1016" s="7" t="n"/>
      <c r="AI1016" s="11" t="n"/>
      <c r="AK1016">
        <f>IF($D1016="","",IF(COUNTIF($D$2:$D1016,$D1016)=1,1,0))</f>
        <v/>
      </c>
      <c r="AL1016">
        <f>IF($AK1016=1,SUMPRODUCT(--($AO$2:$AO$1601&lt;$AO1016))+1,"")</f>
        <v/>
      </c>
      <c r="AM1016">
        <f>IF($D1016="","",IF(OR($R1016=TRUE(),$R1016="TRUE"),1,0))</f>
        <v/>
      </c>
      <c r="AN1016">
        <f>IF($D1016="","",IF($AA1016="Yes",1,0))</f>
        <v/>
      </c>
      <c r="AO1016">
        <f>IF($AK1016=1,IFERROR(IF(VALUE($D1016)&lt;100000000,VALUE($D1016),1000000000),IFERROR(IF(VALUE(MID($D1016,2,20))&lt;100000000,VALUE(MID($D1016,2,20)),1000000000),1000000000))+ROW()/100000,"")</f>
        <v/>
      </c>
    </row>
    <row r="1017">
      <c r="F1017" s="11" t="n"/>
      <c r="N1017" s="7">
        <f>IF($D1017="","",M1017*X1017/100)</f>
        <v/>
      </c>
      <c r="O1017" s="7" t="n"/>
      <c r="U1017" s="7" t="n"/>
      <c r="V1017" s="7" t="n"/>
      <c r="W1017" s="7">
        <f>IF($D1017="","",V1017*AB1017/100)</f>
        <v/>
      </c>
      <c r="X1017" s="7">
        <f>IF($D1017="","",V1017-W1017)</f>
        <v/>
      </c>
      <c r="Y1017" s="7">
        <f>IF($D1017="","",X1017-N1017)</f>
        <v/>
      </c>
      <c r="AB1017">
        <f>IF($D1017="","",IF($AN1017=1,Settings!$C$8,IF($AM1017=1,Settings!$C$6,Settings!$C$7))*100)</f>
        <v/>
      </c>
      <c r="AF1017" s="7" t="n"/>
      <c r="AI1017" s="11" t="n"/>
      <c r="AK1017">
        <f>IF($D1017="","",IF(COUNTIF($D$2:$D1017,$D1017)=1,1,0))</f>
        <v/>
      </c>
      <c r="AL1017">
        <f>IF($AK1017=1,SUMPRODUCT(--($AO$2:$AO$1601&lt;$AO1017))+1,"")</f>
        <v/>
      </c>
      <c r="AM1017">
        <f>IF($D1017="","",IF(OR($R1017=TRUE(),$R1017="TRUE"),1,0))</f>
        <v/>
      </c>
      <c r="AN1017">
        <f>IF($D1017="","",IF($AA1017="Yes",1,0))</f>
        <v/>
      </c>
      <c r="AO1017">
        <f>IF($AK1017=1,IFERROR(IF(VALUE($D1017)&lt;100000000,VALUE($D1017),1000000000),IFERROR(IF(VALUE(MID($D1017,2,20))&lt;100000000,VALUE(MID($D1017,2,20)),1000000000),1000000000))+ROW()/100000,"")</f>
        <v/>
      </c>
    </row>
    <row r="1018">
      <c r="F1018" s="11" t="n"/>
      <c r="N1018" s="7">
        <f>IF($D1018="","",M1018*X1018/100)</f>
        <v/>
      </c>
      <c r="O1018" s="7" t="n"/>
      <c r="U1018" s="7" t="n"/>
      <c r="V1018" s="7" t="n"/>
      <c r="W1018" s="7">
        <f>IF($D1018="","",V1018*AB1018/100)</f>
        <v/>
      </c>
      <c r="X1018" s="7">
        <f>IF($D1018="","",V1018-W1018)</f>
        <v/>
      </c>
      <c r="Y1018" s="7">
        <f>IF($D1018="","",X1018-N1018)</f>
        <v/>
      </c>
      <c r="AB1018">
        <f>IF($D1018="","",IF($AN1018=1,Settings!$C$8,IF($AM1018=1,Settings!$C$6,Settings!$C$7))*100)</f>
        <v/>
      </c>
      <c r="AF1018" s="7" t="n"/>
      <c r="AI1018" s="11" t="n"/>
      <c r="AK1018">
        <f>IF($D1018="","",IF(COUNTIF($D$2:$D1018,$D1018)=1,1,0))</f>
        <v/>
      </c>
      <c r="AL1018">
        <f>IF($AK1018=1,SUMPRODUCT(--($AO$2:$AO$1601&lt;$AO1018))+1,"")</f>
        <v/>
      </c>
      <c r="AM1018">
        <f>IF($D1018="","",IF(OR($R1018=TRUE(),$R1018="TRUE"),1,0))</f>
        <v/>
      </c>
      <c r="AN1018">
        <f>IF($D1018="","",IF($AA1018="Yes",1,0))</f>
        <v/>
      </c>
      <c r="AO1018">
        <f>IF($AK1018=1,IFERROR(IF(VALUE($D1018)&lt;100000000,VALUE($D1018),1000000000),IFERROR(IF(VALUE(MID($D1018,2,20))&lt;100000000,VALUE(MID($D1018,2,20)),1000000000),1000000000))+ROW()/100000,"")</f>
        <v/>
      </c>
    </row>
    <row r="1019">
      <c r="F1019" s="11" t="n"/>
      <c r="N1019" s="7">
        <f>IF($D1019="","",M1019*X1019/100)</f>
        <v/>
      </c>
      <c r="O1019" s="7" t="n"/>
      <c r="U1019" s="7" t="n"/>
      <c r="V1019" s="7" t="n"/>
      <c r="W1019" s="7">
        <f>IF($D1019="","",V1019*AB1019/100)</f>
        <v/>
      </c>
      <c r="X1019" s="7">
        <f>IF($D1019="","",V1019-W1019)</f>
        <v/>
      </c>
      <c r="Y1019" s="7">
        <f>IF($D1019="","",X1019-N1019)</f>
        <v/>
      </c>
      <c r="AB1019">
        <f>IF($D1019="","",IF($AN1019=1,Settings!$C$8,IF($AM1019=1,Settings!$C$6,Settings!$C$7))*100)</f>
        <v/>
      </c>
      <c r="AF1019" s="7" t="n"/>
      <c r="AI1019" s="11" t="n"/>
      <c r="AK1019">
        <f>IF($D1019="","",IF(COUNTIF($D$2:$D1019,$D1019)=1,1,0))</f>
        <v/>
      </c>
      <c r="AL1019">
        <f>IF($AK1019=1,SUMPRODUCT(--($AO$2:$AO$1601&lt;$AO1019))+1,"")</f>
        <v/>
      </c>
      <c r="AM1019">
        <f>IF($D1019="","",IF(OR($R1019=TRUE(),$R1019="TRUE"),1,0))</f>
        <v/>
      </c>
      <c r="AN1019">
        <f>IF($D1019="","",IF($AA1019="Yes",1,0))</f>
        <v/>
      </c>
      <c r="AO1019">
        <f>IF($AK1019=1,IFERROR(IF(VALUE($D1019)&lt;100000000,VALUE($D1019),1000000000),IFERROR(IF(VALUE(MID($D1019,2,20))&lt;100000000,VALUE(MID($D1019,2,20)),1000000000),1000000000))+ROW()/100000,"")</f>
        <v/>
      </c>
    </row>
    <row r="1020">
      <c r="F1020" s="11" t="n"/>
      <c r="N1020" s="7">
        <f>IF($D1020="","",M1020*X1020/100)</f>
        <v/>
      </c>
      <c r="O1020" s="7" t="n"/>
      <c r="U1020" s="7" t="n"/>
      <c r="V1020" s="7" t="n"/>
      <c r="W1020" s="7">
        <f>IF($D1020="","",V1020*AB1020/100)</f>
        <v/>
      </c>
      <c r="X1020" s="7">
        <f>IF($D1020="","",V1020-W1020)</f>
        <v/>
      </c>
      <c r="Y1020" s="7">
        <f>IF($D1020="","",X1020-N1020)</f>
        <v/>
      </c>
      <c r="AB1020">
        <f>IF($D1020="","",IF($AN1020=1,Settings!$C$8,IF($AM1020=1,Settings!$C$6,Settings!$C$7))*100)</f>
        <v/>
      </c>
      <c r="AF1020" s="7" t="n"/>
      <c r="AI1020" s="11" t="n"/>
      <c r="AK1020">
        <f>IF($D1020="","",IF(COUNTIF($D$2:$D1020,$D1020)=1,1,0))</f>
        <v/>
      </c>
      <c r="AL1020">
        <f>IF($AK1020=1,SUMPRODUCT(--($AO$2:$AO$1601&lt;$AO1020))+1,"")</f>
        <v/>
      </c>
      <c r="AM1020">
        <f>IF($D1020="","",IF(OR($R1020=TRUE(),$R1020="TRUE"),1,0))</f>
        <v/>
      </c>
      <c r="AN1020">
        <f>IF($D1020="","",IF($AA1020="Yes",1,0))</f>
        <v/>
      </c>
      <c r="AO1020">
        <f>IF($AK1020=1,IFERROR(IF(VALUE($D1020)&lt;100000000,VALUE($D1020),1000000000),IFERROR(IF(VALUE(MID($D1020,2,20))&lt;100000000,VALUE(MID($D1020,2,20)),1000000000),1000000000))+ROW()/100000,"")</f>
        <v/>
      </c>
    </row>
    <row r="1021">
      <c r="F1021" s="11" t="n"/>
      <c r="N1021" s="7">
        <f>IF($D1021="","",M1021*X1021/100)</f>
        <v/>
      </c>
      <c r="O1021" s="7" t="n"/>
      <c r="U1021" s="7" t="n"/>
      <c r="V1021" s="7" t="n"/>
      <c r="W1021" s="7">
        <f>IF($D1021="","",V1021*AB1021/100)</f>
        <v/>
      </c>
      <c r="X1021" s="7">
        <f>IF($D1021="","",V1021-W1021)</f>
        <v/>
      </c>
      <c r="Y1021" s="7">
        <f>IF($D1021="","",X1021-N1021)</f>
        <v/>
      </c>
      <c r="AB1021">
        <f>IF($D1021="","",IF($AN1021=1,Settings!$C$8,IF($AM1021=1,Settings!$C$6,Settings!$C$7))*100)</f>
        <v/>
      </c>
      <c r="AF1021" s="7" t="n"/>
      <c r="AI1021" s="11" t="n"/>
      <c r="AK1021">
        <f>IF($D1021="","",IF(COUNTIF($D$2:$D1021,$D1021)=1,1,0))</f>
        <v/>
      </c>
      <c r="AL1021">
        <f>IF($AK1021=1,SUMPRODUCT(--($AO$2:$AO$1601&lt;$AO1021))+1,"")</f>
        <v/>
      </c>
      <c r="AM1021">
        <f>IF($D1021="","",IF(OR($R1021=TRUE(),$R1021="TRUE"),1,0))</f>
        <v/>
      </c>
      <c r="AN1021">
        <f>IF($D1021="","",IF($AA1021="Yes",1,0))</f>
        <v/>
      </c>
      <c r="AO1021">
        <f>IF($AK1021=1,IFERROR(IF(VALUE($D1021)&lt;100000000,VALUE($D1021),1000000000),IFERROR(IF(VALUE(MID($D1021,2,20))&lt;100000000,VALUE(MID($D1021,2,20)),1000000000),1000000000))+ROW()/100000,"")</f>
        <v/>
      </c>
    </row>
    <row r="1022">
      <c r="F1022" s="11" t="n"/>
      <c r="N1022" s="7">
        <f>IF($D1022="","",M1022*X1022/100)</f>
        <v/>
      </c>
      <c r="O1022" s="7" t="n"/>
      <c r="U1022" s="7" t="n"/>
      <c r="V1022" s="7" t="n"/>
      <c r="W1022" s="7">
        <f>IF($D1022="","",V1022*AB1022/100)</f>
        <v/>
      </c>
      <c r="X1022" s="7">
        <f>IF($D1022="","",V1022-W1022)</f>
        <v/>
      </c>
      <c r="Y1022" s="7">
        <f>IF($D1022="","",X1022-N1022)</f>
        <v/>
      </c>
      <c r="AB1022">
        <f>IF($D1022="","",IF($AN1022=1,Settings!$C$8,IF($AM1022=1,Settings!$C$6,Settings!$C$7))*100)</f>
        <v/>
      </c>
      <c r="AF1022" s="7" t="n"/>
      <c r="AI1022" s="11" t="n"/>
      <c r="AK1022">
        <f>IF($D1022="","",IF(COUNTIF($D$2:$D1022,$D1022)=1,1,0))</f>
        <v/>
      </c>
      <c r="AL1022">
        <f>IF($AK1022=1,SUMPRODUCT(--($AO$2:$AO$1601&lt;$AO1022))+1,"")</f>
        <v/>
      </c>
      <c r="AM1022">
        <f>IF($D1022="","",IF(OR($R1022=TRUE(),$R1022="TRUE"),1,0))</f>
        <v/>
      </c>
      <c r="AN1022">
        <f>IF($D1022="","",IF($AA1022="Yes",1,0))</f>
        <v/>
      </c>
      <c r="AO1022">
        <f>IF($AK1022=1,IFERROR(IF(VALUE($D1022)&lt;100000000,VALUE($D1022),1000000000),IFERROR(IF(VALUE(MID($D1022,2,20))&lt;100000000,VALUE(MID($D1022,2,20)),1000000000),1000000000))+ROW()/100000,"")</f>
        <v/>
      </c>
    </row>
    <row r="1023">
      <c r="F1023" s="11" t="n"/>
      <c r="N1023" s="7">
        <f>IF($D1023="","",M1023*X1023/100)</f>
        <v/>
      </c>
      <c r="O1023" s="7" t="n"/>
      <c r="U1023" s="7" t="n"/>
      <c r="V1023" s="7" t="n"/>
      <c r="W1023" s="7">
        <f>IF($D1023="","",V1023*AB1023/100)</f>
        <v/>
      </c>
      <c r="X1023" s="7">
        <f>IF($D1023="","",V1023-W1023)</f>
        <v/>
      </c>
      <c r="Y1023" s="7">
        <f>IF($D1023="","",X1023-N1023)</f>
        <v/>
      </c>
      <c r="AB1023">
        <f>IF($D1023="","",IF($AN1023=1,Settings!$C$8,IF($AM1023=1,Settings!$C$6,Settings!$C$7))*100)</f>
        <v/>
      </c>
      <c r="AF1023" s="7" t="n"/>
      <c r="AI1023" s="11" t="n"/>
      <c r="AK1023">
        <f>IF($D1023="","",IF(COUNTIF($D$2:$D1023,$D1023)=1,1,0))</f>
        <v/>
      </c>
      <c r="AL1023">
        <f>IF($AK1023=1,SUMPRODUCT(--($AO$2:$AO$1601&lt;$AO1023))+1,"")</f>
        <v/>
      </c>
      <c r="AM1023">
        <f>IF($D1023="","",IF(OR($R1023=TRUE(),$R1023="TRUE"),1,0))</f>
        <v/>
      </c>
      <c r="AN1023">
        <f>IF($D1023="","",IF($AA1023="Yes",1,0))</f>
        <v/>
      </c>
      <c r="AO1023">
        <f>IF($AK1023=1,IFERROR(IF(VALUE($D1023)&lt;100000000,VALUE($D1023),1000000000),IFERROR(IF(VALUE(MID($D1023,2,20))&lt;100000000,VALUE(MID($D1023,2,20)),1000000000),1000000000))+ROW()/100000,"")</f>
        <v/>
      </c>
    </row>
    <row r="1024">
      <c r="F1024" s="11" t="n"/>
      <c r="N1024" s="7">
        <f>IF($D1024="","",M1024*X1024/100)</f>
        <v/>
      </c>
      <c r="O1024" s="7" t="n"/>
      <c r="U1024" s="7" t="n"/>
      <c r="V1024" s="7" t="n"/>
      <c r="W1024" s="7">
        <f>IF($D1024="","",V1024*AB1024/100)</f>
        <v/>
      </c>
      <c r="X1024" s="7">
        <f>IF($D1024="","",V1024-W1024)</f>
        <v/>
      </c>
      <c r="Y1024" s="7">
        <f>IF($D1024="","",X1024-N1024)</f>
        <v/>
      </c>
      <c r="AB1024">
        <f>IF($D1024="","",IF($AN1024=1,Settings!$C$8,IF($AM1024=1,Settings!$C$6,Settings!$C$7))*100)</f>
        <v/>
      </c>
      <c r="AF1024" s="7" t="n"/>
      <c r="AI1024" s="11" t="n"/>
      <c r="AK1024">
        <f>IF($D1024="","",IF(COUNTIF($D$2:$D1024,$D1024)=1,1,0))</f>
        <v/>
      </c>
      <c r="AL1024">
        <f>IF($AK1024=1,SUMPRODUCT(--($AO$2:$AO$1601&lt;$AO1024))+1,"")</f>
        <v/>
      </c>
      <c r="AM1024">
        <f>IF($D1024="","",IF(OR($R1024=TRUE(),$R1024="TRUE"),1,0))</f>
        <v/>
      </c>
      <c r="AN1024">
        <f>IF($D1024="","",IF($AA1024="Yes",1,0))</f>
        <v/>
      </c>
      <c r="AO1024">
        <f>IF($AK1024=1,IFERROR(IF(VALUE($D1024)&lt;100000000,VALUE($D1024),1000000000),IFERROR(IF(VALUE(MID($D1024,2,20))&lt;100000000,VALUE(MID($D1024,2,20)),1000000000),1000000000))+ROW()/100000,"")</f>
        <v/>
      </c>
    </row>
    <row r="1025">
      <c r="F1025" s="11" t="n"/>
      <c r="N1025" s="7">
        <f>IF($D1025="","",M1025*X1025/100)</f>
        <v/>
      </c>
      <c r="O1025" s="7" t="n"/>
      <c r="U1025" s="7" t="n"/>
      <c r="V1025" s="7" t="n"/>
      <c r="W1025" s="7">
        <f>IF($D1025="","",V1025*AB1025/100)</f>
        <v/>
      </c>
      <c r="X1025" s="7">
        <f>IF($D1025="","",V1025-W1025)</f>
        <v/>
      </c>
      <c r="Y1025" s="7">
        <f>IF($D1025="","",X1025-N1025)</f>
        <v/>
      </c>
      <c r="AB1025">
        <f>IF($D1025="","",IF($AN1025=1,Settings!$C$8,IF($AM1025=1,Settings!$C$6,Settings!$C$7))*100)</f>
        <v/>
      </c>
      <c r="AF1025" s="7" t="n"/>
      <c r="AI1025" s="11" t="n"/>
      <c r="AK1025">
        <f>IF($D1025="","",IF(COUNTIF($D$2:$D1025,$D1025)=1,1,0))</f>
        <v/>
      </c>
      <c r="AL1025">
        <f>IF($AK1025=1,SUMPRODUCT(--($AO$2:$AO$1601&lt;$AO1025))+1,"")</f>
        <v/>
      </c>
      <c r="AM1025">
        <f>IF($D1025="","",IF(OR($R1025=TRUE(),$R1025="TRUE"),1,0))</f>
        <v/>
      </c>
      <c r="AN1025">
        <f>IF($D1025="","",IF($AA1025="Yes",1,0))</f>
        <v/>
      </c>
      <c r="AO1025">
        <f>IF($AK1025=1,IFERROR(IF(VALUE($D1025)&lt;100000000,VALUE($D1025),1000000000),IFERROR(IF(VALUE(MID($D1025,2,20))&lt;100000000,VALUE(MID($D1025,2,20)),1000000000),1000000000))+ROW()/100000,"")</f>
        <v/>
      </c>
    </row>
    <row r="1026">
      <c r="F1026" s="11" t="n"/>
      <c r="N1026" s="7">
        <f>IF($D1026="","",M1026*X1026/100)</f>
        <v/>
      </c>
      <c r="O1026" s="7" t="n"/>
      <c r="U1026" s="7" t="n"/>
      <c r="V1026" s="7" t="n"/>
      <c r="W1026" s="7">
        <f>IF($D1026="","",V1026*AB1026/100)</f>
        <v/>
      </c>
      <c r="X1026" s="7">
        <f>IF($D1026="","",V1026-W1026)</f>
        <v/>
      </c>
      <c r="Y1026" s="7">
        <f>IF($D1026="","",X1026-N1026)</f>
        <v/>
      </c>
      <c r="AB1026">
        <f>IF($D1026="","",IF($AN1026=1,Settings!$C$8,IF($AM1026=1,Settings!$C$6,Settings!$C$7))*100)</f>
        <v/>
      </c>
      <c r="AF1026" s="7" t="n"/>
      <c r="AI1026" s="11" t="n"/>
      <c r="AK1026">
        <f>IF($D1026="","",IF(COUNTIF($D$2:$D1026,$D1026)=1,1,0))</f>
        <v/>
      </c>
      <c r="AL1026">
        <f>IF($AK1026=1,SUMPRODUCT(--($AO$2:$AO$1601&lt;$AO1026))+1,"")</f>
        <v/>
      </c>
      <c r="AM1026">
        <f>IF($D1026="","",IF(OR($R1026=TRUE(),$R1026="TRUE"),1,0))</f>
        <v/>
      </c>
      <c r="AN1026">
        <f>IF($D1026="","",IF($AA1026="Yes",1,0))</f>
        <v/>
      </c>
      <c r="AO1026">
        <f>IF($AK1026=1,IFERROR(IF(VALUE($D1026)&lt;100000000,VALUE($D1026),1000000000),IFERROR(IF(VALUE(MID($D1026,2,20))&lt;100000000,VALUE(MID($D1026,2,20)),1000000000),1000000000))+ROW()/100000,"")</f>
        <v/>
      </c>
    </row>
    <row r="1027">
      <c r="F1027" s="11" t="n"/>
      <c r="N1027" s="7">
        <f>IF($D1027="","",M1027*X1027/100)</f>
        <v/>
      </c>
      <c r="O1027" s="7" t="n"/>
      <c r="U1027" s="7" t="n"/>
      <c r="V1027" s="7" t="n"/>
      <c r="W1027" s="7">
        <f>IF($D1027="","",V1027*AB1027/100)</f>
        <v/>
      </c>
      <c r="X1027" s="7">
        <f>IF($D1027="","",V1027-W1027)</f>
        <v/>
      </c>
      <c r="Y1027" s="7">
        <f>IF($D1027="","",X1027-N1027)</f>
        <v/>
      </c>
      <c r="AB1027">
        <f>IF($D1027="","",IF($AN1027=1,Settings!$C$8,IF($AM1027=1,Settings!$C$6,Settings!$C$7))*100)</f>
        <v/>
      </c>
      <c r="AF1027" s="7" t="n"/>
      <c r="AI1027" s="11" t="n"/>
      <c r="AK1027">
        <f>IF($D1027="","",IF(COUNTIF($D$2:$D1027,$D1027)=1,1,0))</f>
        <v/>
      </c>
      <c r="AL1027">
        <f>IF($AK1027=1,SUMPRODUCT(--($AO$2:$AO$1601&lt;$AO1027))+1,"")</f>
        <v/>
      </c>
      <c r="AM1027">
        <f>IF($D1027="","",IF(OR($R1027=TRUE(),$R1027="TRUE"),1,0))</f>
        <v/>
      </c>
      <c r="AN1027">
        <f>IF($D1027="","",IF($AA1027="Yes",1,0))</f>
        <v/>
      </c>
      <c r="AO1027">
        <f>IF($AK1027=1,IFERROR(IF(VALUE($D1027)&lt;100000000,VALUE($D1027),1000000000),IFERROR(IF(VALUE(MID($D1027,2,20))&lt;100000000,VALUE(MID($D1027,2,20)),1000000000),1000000000))+ROW()/100000,"")</f>
        <v/>
      </c>
    </row>
    <row r="1028">
      <c r="F1028" s="11" t="n"/>
      <c r="N1028" s="7">
        <f>IF($D1028="","",M1028*X1028/100)</f>
        <v/>
      </c>
      <c r="O1028" s="7" t="n"/>
      <c r="U1028" s="7" t="n"/>
      <c r="V1028" s="7" t="n"/>
      <c r="W1028" s="7">
        <f>IF($D1028="","",V1028*AB1028/100)</f>
        <v/>
      </c>
      <c r="X1028" s="7">
        <f>IF($D1028="","",V1028-W1028)</f>
        <v/>
      </c>
      <c r="Y1028" s="7">
        <f>IF($D1028="","",X1028-N1028)</f>
        <v/>
      </c>
      <c r="AB1028">
        <f>IF($D1028="","",IF($AN1028=1,Settings!$C$8,IF($AM1028=1,Settings!$C$6,Settings!$C$7))*100)</f>
        <v/>
      </c>
      <c r="AF1028" s="7" t="n"/>
      <c r="AI1028" s="11" t="n"/>
      <c r="AK1028">
        <f>IF($D1028="","",IF(COUNTIF($D$2:$D1028,$D1028)=1,1,0))</f>
        <v/>
      </c>
      <c r="AL1028">
        <f>IF($AK1028=1,SUMPRODUCT(--($AO$2:$AO$1601&lt;$AO1028))+1,"")</f>
        <v/>
      </c>
      <c r="AM1028">
        <f>IF($D1028="","",IF(OR($R1028=TRUE(),$R1028="TRUE"),1,0))</f>
        <v/>
      </c>
      <c r="AN1028">
        <f>IF($D1028="","",IF($AA1028="Yes",1,0))</f>
        <v/>
      </c>
      <c r="AO1028">
        <f>IF($AK1028=1,IFERROR(IF(VALUE($D1028)&lt;100000000,VALUE($D1028),1000000000),IFERROR(IF(VALUE(MID($D1028,2,20))&lt;100000000,VALUE(MID($D1028,2,20)),1000000000),1000000000))+ROW()/100000,"")</f>
        <v/>
      </c>
    </row>
    <row r="1029">
      <c r="F1029" s="11" t="n"/>
      <c r="N1029" s="7">
        <f>IF($D1029="","",M1029*X1029/100)</f>
        <v/>
      </c>
      <c r="O1029" s="7" t="n"/>
      <c r="U1029" s="7" t="n"/>
      <c r="V1029" s="7" t="n"/>
      <c r="W1029" s="7">
        <f>IF($D1029="","",V1029*AB1029/100)</f>
        <v/>
      </c>
      <c r="X1029" s="7">
        <f>IF($D1029="","",V1029-W1029)</f>
        <v/>
      </c>
      <c r="Y1029" s="7">
        <f>IF($D1029="","",X1029-N1029)</f>
        <v/>
      </c>
      <c r="AB1029">
        <f>IF($D1029="","",IF($AN1029=1,Settings!$C$8,IF($AM1029=1,Settings!$C$6,Settings!$C$7))*100)</f>
        <v/>
      </c>
      <c r="AF1029" s="7" t="n"/>
      <c r="AI1029" s="11" t="n"/>
      <c r="AK1029">
        <f>IF($D1029="","",IF(COUNTIF($D$2:$D1029,$D1029)=1,1,0))</f>
        <v/>
      </c>
      <c r="AL1029">
        <f>IF($AK1029=1,SUMPRODUCT(--($AO$2:$AO$1601&lt;$AO1029))+1,"")</f>
        <v/>
      </c>
      <c r="AM1029">
        <f>IF($D1029="","",IF(OR($R1029=TRUE(),$R1029="TRUE"),1,0))</f>
        <v/>
      </c>
      <c r="AN1029">
        <f>IF($D1029="","",IF($AA1029="Yes",1,0))</f>
        <v/>
      </c>
      <c r="AO1029">
        <f>IF($AK1029=1,IFERROR(IF(VALUE($D1029)&lt;100000000,VALUE($D1029),1000000000),IFERROR(IF(VALUE(MID($D1029,2,20))&lt;100000000,VALUE(MID($D1029,2,20)),1000000000),1000000000))+ROW()/100000,"")</f>
        <v/>
      </c>
    </row>
    <row r="1030">
      <c r="F1030" s="11" t="n"/>
      <c r="N1030" s="7">
        <f>IF($D1030="","",M1030*X1030/100)</f>
        <v/>
      </c>
      <c r="O1030" s="7" t="n"/>
      <c r="U1030" s="7" t="n"/>
      <c r="V1030" s="7" t="n"/>
      <c r="W1030" s="7">
        <f>IF($D1030="","",V1030*AB1030/100)</f>
        <v/>
      </c>
      <c r="X1030" s="7">
        <f>IF($D1030="","",V1030-W1030)</f>
        <v/>
      </c>
      <c r="Y1030" s="7">
        <f>IF($D1030="","",X1030-N1030)</f>
        <v/>
      </c>
      <c r="AB1030">
        <f>IF($D1030="","",IF($AN1030=1,Settings!$C$8,IF($AM1030=1,Settings!$C$6,Settings!$C$7))*100)</f>
        <v/>
      </c>
      <c r="AF1030" s="7" t="n"/>
      <c r="AI1030" s="11" t="n"/>
      <c r="AK1030">
        <f>IF($D1030="","",IF(COUNTIF($D$2:$D1030,$D1030)=1,1,0))</f>
        <v/>
      </c>
      <c r="AL1030">
        <f>IF($AK1030=1,SUMPRODUCT(--($AO$2:$AO$1601&lt;$AO1030))+1,"")</f>
        <v/>
      </c>
      <c r="AM1030">
        <f>IF($D1030="","",IF(OR($R1030=TRUE(),$R1030="TRUE"),1,0))</f>
        <v/>
      </c>
      <c r="AN1030">
        <f>IF($D1030="","",IF($AA1030="Yes",1,0))</f>
        <v/>
      </c>
      <c r="AO1030">
        <f>IF($AK1030=1,IFERROR(IF(VALUE($D1030)&lt;100000000,VALUE($D1030),1000000000),IFERROR(IF(VALUE(MID($D1030,2,20))&lt;100000000,VALUE(MID($D1030,2,20)),1000000000),1000000000))+ROW()/100000,"")</f>
        <v/>
      </c>
    </row>
    <row r="1031">
      <c r="F1031" s="11" t="n"/>
      <c r="N1031" s="7">
        <f>IF($D1031="","",M1031*X1031/100)</f>
        <v/>
      </c>
      <c r="O1031" s="7" t="n"/>
      <c r="U1031" s="7" t="n"/>
      <c r="V1031" s="7" t="n"/>
      <c r="W1031" s="7">
        <f>IF($D1031="","",V1031*AB1031/100)</f>
        <v/>
      </c>
      <c r="X1031" s="7">
        <f>IF($D1031="","",V1031-W1031)</f>
        <v/>
      </c>
      <c r="Y1031" s="7">
        <f>IF($D1031="","",X1031-N1031)</f>
        <v/>
      </c>
      <c r="AB1031">
        <f>IF($D1031="","",IF($AN1031=1,Settings!$C$8,IF($AM1031=1,Settings!$C$6,Settings!$C$7))*100)</f>
        <v/>
      </c>
      <c r="AF1031" s="7" t="n"/>
      <c r="AI1031" s="11" t="n"/>
      <c r="AK1031">
        <f>IF($D1031="","",IF(COUNTIF($D$2:$D1031,$D1031)=1,1,0))</f>
        <v/>
      </c>
      <c r="AL1031">
        <f>IF($AK1031=1,SUMPRODUCT(--($AO$2:$AO$1601&lt;$AO1031))+1,"")</f>
        <v/>
      </c>
      <c r="AM1031">
        <f>IF($D1031="","",IF(OR($R1031=TRUE(),$R1031="TRUE"),1,0))</f>
        <v/>
      </c>
      <c r="AN1031">
        <f>IF($D1031="","",IF($AA1031="Yes",1,0))</f>
        <v/>
      </c>
      <c r="AO1031">
        <f>IF($AK1031=1,IFERROR(IF(VALUE($D1031)&lt;100000000,VALUE($D1031),1000000000),IFERROR(IF(VALUE(MID($D1031,2,20))&lt;100000000,VALUE(MID($D1031,2,20)),1000000000),1000000000))+ROW()/100000,"")</f>
        <v/>
      </c>
    </row>
    <row r="1032">
      <c r="F1032" s="11" t="n"/>
      <c r="N1032" s="7">
        <f>IF($D1032="","",M1032*X1032/100)</f>
        <v/>
      </c>
      <c r="O1032" s="7" t="n"/>
      <c r="U1032" s="7" t="n"/>
      <c r="V1032" s="7" t="n"/>
      <c r="W1032" s="7">
        <f>IF($D1032="","",V1032*AB1032/100)</f>
        <v/>
      </c>
      <c r="X1032" s="7">
        <f>IF($D1032="","",V1032-W1032)</f>
        <v/>
      </c>
      <c r="Y1032" s="7">
        <f>IF($D1032="","",X1032-N1032)</f>
        <v/>
      </c>
      <c r="AB1032">
        <f>IF($D1032="","",IF($AN1032=1,Settings!$C$8,IF($AM1032=1,Settings!$C$6,Settings!$C$7))*100)</f>
        <v/>
      </c>
      <c r="AF1032" s="7" t="n"/>
      <c r="AI1032" s="11" t="n"/>
      <c r="AK1032">
        <f>IF($D1032="","",IF(COUNTIF($D$2:$D1032,$D1032)=1,1,0))</f>
        <v/>
      </c>
      <c r="AL1032">
        <f>IF($AK1032=1,SUMPRODUCT(--($AO$2:$AO$1601&lt;$AO1032))+1,"")</f>
        <v/>
      </c>
      <c r="AM1032">
        <f>IF($D1032="","",IF(OR($R1032=TRUE(),$R1032="TRUE"),1,0))</f>
        <v/>
      </c>
      <c r="AN1032">
        <f>IF($D1032="","",IF($AA1032="Yes",1,0))</f>
        <v/>
      </c>
      <c r="AO1032">
        <f>IF($AK1032=1,IFERROR(IF(VALUE($D1032)&lt;100000000,VALUE($D1032),1000000000),IFERROR(IF(VALUE(MID($D1032,2,20))&lt;100000000,VALUE(MID($D1032,2,20)),1000000000),1000000000))+ROW()/100000,"")</f>
        <v/>
      </c>
    </row>
    <row r="1033">
      <c r="F1033" s="11" t="n"/>
      <c r="N1033" s="7">
        <f>IF($D1033="","",M1033*X1033/100)</f>
        <v/>
      </c>
      <c r="O1033" s="7" t="n"/>
      <c r="U1033" s="7" t="n"/>
      <c r="V1033" s="7" t="n"/>
      <c r="W1033" s="7">
        <f>IF($D1033="","",V1033*AB1033/100)</f>
        <v/>
      </c>
      <c r="X1033" s="7">
        <f>IF($D1033="","",V1033-W1033)</f>
        <v/>
      </c>
      <c r="Y1033" s="7">
        <f>IF($D1033="","",X1033-N1033)</f>
        <v/>
      </c>
      <c r="AB1033">
        <f>IF($D1033="","",IF($AN1033=1,Settings!$C$8,IF($AM1033=1,Settings!$C$6,Settings!$C$7))*100)</f>
        <v/>
      </c>
      <c r="AF1033" s="7" t="n"/>
      <c r="AI1033" s="11" t="n"/>
      <c r="AK1033">
        <f>IF($D1033="","",IF(COUNTIF($D$2:$D1033,$D1033)=1,1,0))</f>
        <v/>
      </c>
      <c r="AL1033">
        <f>IF($AK1033=1,SUMPRODUCT(--($AO$2:$AO$1601&lt;$AO1033))+1,"")</f>
        <v/>
      </c>
      <c r="AM1033">
        <f>IF($D1033="","",IF(OR($R1033=TRUE(),$R1033="TRUE"),1,0))</f>
        <v/>
      </c>
      <c r="AN1033">
        <f>IF($D1033="","",IF($AA1033="Yes",1,0))</f>
        <v/>
      </c>
      <c r="AO1033">
        <f>IF($AK1033=1,IFERROR(IF(VALUE($D1033)&lt;100000000,VALUE($D1033),1000000000),IFERROR(IF(VALUE(MID($D1033,2,20))&lt;100000000,VALUE(MID($D1033,2,20)),1000000000),1000000000))+ROW()/100000,"")</f>
        <v/>
      </c>
    </row>
    <row r="1034">
      <c r="F1034" s="11" t="n"/>
      <c r="N1034" s="7">
        <f>IF($D1034="","",M1034*X1034/100)</f>
        <v/>
      </c>
      <c r="O1034" s="7" t="n"/>
      <c r="U1034" s="7" t="n"/>
      <c r="V1034" s="7" t="n"/>
      <c r="W1034" s="7">
        <f>IF($D1034="","",V1034*AB1034/100)</f>
        <v/>
      </c>
      <c r="X1034" s="7">
        <f>IF($D1034="","",V1034-W1034)</f>
        <v/>
      </c>
      <c r="Y1034" s="7">
        <f>IF($D1034="","",X1034-N1034)</f>
        <v/>
      </c>
      <c r="AB1034">
        <f>IF($D1034="","",IF($AN1034=1,Settings!$C$8,IF($AM1034=1,Settings!$C$6,Settings!$C$7))*100)</f>
        <v/>
      </c>
      <c r="AF1034" s="7" t="n"/>
      <c r="AI1034" s="11" t="n"/>
      <c r="AK1034">
        <f>IF($D1034="","",IF(COUNTIF($D$2:$D1034,$D1034)=1,1,0))</f>
        <v/>
      </c>
      <c r="AL1034">
        <f>IF($AK1034=1,SUMPRODUCT(--($AO$2:$AO$1601&lt;$AO1034))+1,"")</f>
        <v/>
      </c>
      <c r="AM1034">
        <f>IF($D1034="","",IF(OR($R1034=TRUE(),$R1034="TRUE"),1,0))</f>
        <v/>
      </c>
      <c r="AN1034">
        <f>IF($D1034="","",IF($AA1034="Yes",1,0))</f>
        <v/>
      </c>
      <c r="AO1034">
        <f>IF($AK1034=1,IFERROR(IF(VALUE($D1034)&lt;100000000,VALUE($D1034),1000000000),IFERROR(IF(VALUE(MID($D1034,2,20))&lt;100000000,VALUE(MID($D1034,2,20)),1000000000),1000000000))+ROW()/100000,"")</f>
        <v/>
      </c>
    </row>
    <row r="1035">
      <c r="F1035" s="11" t="n"/>
      <c r="N1035" s="7">
        <f>IF($D1035="","",M1035*X1035/100)</f>
        <v/>
      </c>
      <c r="O1035" s="7" t="n"/>
      <c r="U1035" s="7" t="n"/>
      <c r="V1035" s="7" t="n"/>
      <c r="W1035" s="7">
        <f>IF($D1035="","",V1035*AB1035/100)</f>
        <v/>
      </c>
      <c r="X1035" s="7">
        <f>IF($D1035="","",V1035-W1035)</f>
        <v/>
      </c>
      <c r="Y1035" s="7">
        <f>IF($D1035="","",X1035-N1035)</f>
        <v/>
      </c>
      <c r="AB1035">
        <f>IF($D1035="","",IF($AN1035=1,Settings!$C$8,IF($AM1035=1,Settings!$C$6,Settings!$C$7))*100)</f>
        <v/>
      </c>
      <c r="AF1035" s="7" t="n"/>
      <c r="AI1035" s="11" t="n"/>
      <c r="AK1035">
        <f>IF($D1035="","",IF(COUNTIF($D$2:$D1035,$D1035)=1,1,0))</f>
        <v/>
      </c>
      <c r="AL1035">
        <f>IF($AK1035=1,SUMPRODUCT(--($AO$2:$AO$1601&lt;$AO1035))+1,"")</f>
        <v/>
      </c>
      <c r="AM1035">
        <f>IF($D1035="","",IF(OR($R1035=TRUE(),$R1035="TRUE"),1,0))</f>
        <v/>
      </c>
      <c r="AN1035">
        <f>IF($D1035="","",IF($AA1035="Yes",1,0))</f>
        <v/>
      </c>
      <c r="AO1035">
        <f>IF($AK1035=1,IFERROR(IF(VALUE($D1035)&lt;100000000,VALUE($D1035),1000000000),IFERROR(IF(VALUE(MID($D1035,2,20))&lt;100000000,VALUE(MID($D1035,2,20)),1000000000),1000000000))+ROW()/100000,"")</f>
        <v/>
      </c>
    </row>
    <row r="1036">
      <c r="F1036" s="11" t="n"/>
      <c r="N1036" s="7">
        <f>IF($D1036="","",M1036*X1036/100)</f>
        <v/>
      </c>
      <c r="O1036" s="7" t="n"/>
      <c r="U1036" s="7" t="n"/>
      <c r="V1036" s="7" t="n"/>
      <c r="W1036" s="7">
        <f>IF($D1036="","",V1036*AB1036/100)</f>
        <v/>
      </c>
      <c r="X1036" s="7">
        <f>IF($D1036="","",V1036-W1036)</f>
        <v/>
      </c>
      <c r="Y1036" s="7">
        <f>IF($D1036="","",X1036-N1036)</f>
        <v/>
      </c>
      <c r="AB1036">
        <f>IF($D1036="","",IF($AN1036=1,Settings!$C$8,IF($AM1036=1,Settings!$C$6,Settings!$C$7))*100)</f>
        <v/>
      </c>
      <c r="AF1036" s="7" t="n"/>
      <c r="AI1036" s="11" t="n"/>
      <c r="AK1036">
        <f>IF($D1036="","",IF(COUNTIF($D$2:$D1036,$D1036)=1,1,0))</f>
        <v/>
      </c>
      <c r="AL1036">
        <f>IF($AK1036=1,SUMPRODUCT(--($AO$2:$AO$1601&lt;$AO1036))+1,"")</f>
        <v/>
      </c>
      <c r="AM1036">
        <f>IF($D1036="","",IF(OR($R1036=TRUE(),$R1036="TRUE"),1,0))</f>
        <v/>
      </c>
      <c r="AN1036">
        <f>IF($D1036="","",IF($AA1036="Yes",1,0))</f>
        <v/>
      </c>
      <c r="AO1036">
        <f>IF($AK1036=1,IFERROR(IF(VALUE($D1036)&lt;100000000,VALUE($D1036),1000000000),IFERROR(IF(VALUE(MID($D1036,2,20))&lt;100000000,VALUE(MID($D1036,2,20)),1000000000),1000000000))+ROW()/100000,"")</f>
        <v/>
      </c>
    </row>
    <row r="1037">
      <c r="F1037" s="11" t="n"/>
      <c r="N1037" s="7">
        <f>IF($D1037="","",M1037*X1037/100)</f>
        <v/>
      </c>
      <c r="O1037" s="7" t="n"/>
      <c r="U1037" s="7" t="n"/>
      <c r="V1037" s="7" t="n"/>
      <c r="W1037" s="7">
        <f>IF($D1037="","",V1037*AB1037/100)</f>
        <v/>
      </c>
      <c r="X1037" s="7">
        <f>IF($D1037="","",V1037-W1037)</f>
        <v/>
      </c>
      <c r="Y1037" s="7">
        <f>IF($D1037="","",X1037-N1037)</f>
        <v/>
      </c>
      <c r="AB1037">
        <f>IF($D1037="","",IF($AN1037=1,Settings!$C$8,IF($AM1037=1,Settings!$C$6,Settings!$C$7))*100)</f>
        <v/>
      </c>
      <c r="AF1037" s="7" t="n"/>
      <c r="AI1037" s="11" t="n"/>
      <c r="AK1037">
        <f>IF($D1037="","",IF(COUNTIF($D$2:$D1037,$D1037)=1,1,0))</f>
        <v/>
      </c>
      <c r="AL1037">
        <f>IF($AK1037=1,SUMPRODUCT(--($AO$2:$AO$1601&lt;$AO1037))+1,"")</f>
        <v/>
      </c>
      <c r="AM1037">
        <f>IF($D1037="","",IF(OR($R1037=TRUE(),$R1037="TRUE"),1,0))</f>
        <v/>
      </c>
      <c r="AN1037">
        <f>IF($D1037="","",IF($AA1037="Yes",1,0))</f>
        <v/>
      </c>
      <c r="AO1037">
        <f>IF($AK1037=1,IFERROR(IF(VALUE($D1037)&lt;100000000,VALUE($D1037),1000000000),IFERROR(IF(VALUE(MID($D1037,2,20))&lt;100000000,VALUE(MID($D1037,2,20)),1000000000),1000000000))+ROW()/100000,"")</f>
        <v/>
      </c>
    </row>
    <row r="1038">
      <c r="F1038" s="11" t="n"/>
      <c r="N1038" s="7">
        <f>IF($D1038="","",M1038*X1038/100)</f>
        <v/>
      </c>
      <c r="O1038" s="7" t="n"/>
      <c r="U1038" s="7" t="n"/>
      <c r="V1038" s="7" t="n"/>
      <c r="W1038" s="7">
        <f>IF($D1038="","",V1038*AB1038/100)</f>
        <v/>
      </c>
      <c r="X1038" s="7">
        <f>IF($D1038="","",V1038-W1038)</f>
        <v/>
      </c>
      <c r="Y1038" s="7">
        <f>IF($D1038="","",X1038-N1038)</f>
        <v/>
      </c>
      <c r="AB1038">
        <f>IF($D1038="","",IF($AN1038=1,Settings!$C$8,IF($AM1038=1,Settings!$C$6,Settings!$C$7))*100)</f>
        <v/>
      </c>
      <c r="AF1038" s="7" t="n"/>
      <c r="AI1038" s="11" t="n"/>
      <c r="AK1038">
        <f>IF($D1038="","",IF(COUNTIF($D$2:$D1038,$D1038)=1,1,0))</f>
        <v/>
      </c>
      <c r="AL1038">
        <f>IF($AK1038=1,SUMPRODUCT(--($AO$2:$AO$1601&lt;$AO1038))+1,"")</f>
        <v/>
      </c>
      <c r="AM1038">
        <f>IF($D1038="","",IF(OR($R1038=TRUE(),$R1038="TRUE"),1,0))</f>
        <v/>
      </c>
      <c r="AN1038">
        <f>IF($D1038="","",IF($AA1038="Yes",1,0))</f>
        <v/>
      </c>
      <c r="AO1038">
        <f>IF($AK1038=1,IFERROR(IF(VALUE($D1038)&lt;100000000,VALUE($D1038),1000000000),IFERROR(IF(VALUE(MID($D1038,2,20))&lt;100000000,VALUE(MID($D1038,2,20)),1000000000),1000000000))+ROW()/100000,"")</f>
        <v/>
      </c>
    </row>
    <row r="1039">
      <c r="F1039" s="11" t="n"/>
      <c r="N1039" s="7">
        <f>IF($D1039="","",M1039*X1039/100)</f>
        <v/>
      </c>
      <c r="O1039" s="7" t="n"/>
      <c r="U1039" s="7" t="n"/>
      <c r="V1039" s="7" t="n"/>
      <c r="W1039" s="7">
        <f>IF($D1039="","",V1039*AB1039/100)</f>
        <v/>
      </c>
      <c r="X1039" s="7">
        <f>IF($D1039="","",V1039-W1039)</f>
        <v/>
      </c>
      <c r="Y1039" s="7">
        <f>IF($D1039="","",X1039-N1039)</f>
        <v/>
      </c>
      <c r="AB1039">
        <f>IF($D1039="","",IF($AN1039=1,Settings!$C$8,IF($AM1039=1,Settings!$C$6,Settings!$C$7))*100)</f>
        <v/>
      </c>
      <c r="AF1039" s="7" t="n"/>
      <c r="AI1039" s="11" t="n"/>
      <c r="AK1039">
        <f>IF($D1039="","",IF(COUNTIF($D$2:$D1039,$D1039)=1,1,0))</f>
        <v/>
      </c>
      <c r="AL1039">
        <f>IF($AK1039=1,SUMPRODUCT(--($AO$2:$AO$1601&lt;$AO1039))+1,"")</f>
        <v/>
      </c>
      <c r="AM1039">
        <f>IF($D1039="","",IF(OR($R1039=TRUE(),$R1039="TRUE"),1,0))</f>
        <v/>
      </c>
      <c r="AN1039">
        <f>IF($D1039="","",IF($AA1039="Yes",1,0))</f>
        <v/>
      </c>
      <c r="AO1039">
        <f>IF($AK1039=1,IFERROR(IF(VALUE($D1039)&lt;100000000,VALUE($D1039),1000000000),IFERROR(IF(VALUE(MID($D1039,2,20))&lt;100000000,VALUE(MID($D1039,2,20)),1000000000),1000000000))+ROW()/100000,"")</f>
        <v/>
      </c>
    </row>
    <row r="1040">
      <c r="F1040" s="11" t="n"/>
      <c r="N1040" s="7">
        <f>IF($D1040="","",M1040*X1040/100)</f>
        <v/>
      </c>
      <c r="O1040" s="7" t="n"/>
      <c r="U1040" s="7" t="n"/>
      <c r="V1040" s="7" t="n"/>
      <c r="W1040" s="7">
        <f>IF($D1040="","",V1040*AB1040/100)</f>
        <v/>
      </c>
      <c r="X1040" s="7">
        <f>IF($D1040="","",V1040-W1040)</f>
        <v/>
      </c>
      <c r="Y1040" s="7">
        <f>IF($D1040="","",X1040-N1040)</f>
        <v/>
      </c>
      <c r="AB1040">
        <f>IF($D1040="","",IF($AN1040=1,Settings!$C$8,IF($AM1040=1,Settings!$C$6,Settings!$C$7))*100)</f>
        <v/>
      </c>
      <c r="AF1040" s="7" t="n"/>
      <c r="AI1040" s="11" t="n"/>
      <c r="AK1040">
        <f>IF($D1040="","",IF(COUNTIF($D$2:$D1040,$D1040)=1,1,0))</f>
        <v/>
      </c>
      <c r="AL1040">
        <f>IF($AK1040=1,SUMPRODUCT(--($AO$2:$AO$1601&lt;$AO1040))+1,"")</f>
        <v/>
      </c>
      <c r="AM1040">
        <f>IF($D1040="","",IF(OR($R1040=TRUE(),$R1040="TRUE"),1,0))</f>
        <v/>
      </c>
      <c r="AN1040">
        <f>IF($D1040="","",IF($AA1040="Yes",1,0))</f>
        <v/>
      </c>
      <c r="AO1040">
        <f>IF($AK1040=1,IFERROR(IF(VALUE($D1040)&lt;100000000,VALUE($D1040),1000000000),IFERROR(IF(VALUE(MID($D1040,2,20))&lt;100000000,VALUE(MID($D1040,2,20)),1000000000),1000000000))+ROW()/100000,"")</f>
        <v/>
      </c>
    </row>
    <row r="1041">
      <c r="F1041" s="11" t="n"/>
      <c r="N1041" s="7">
        <f>IF($D1041="","",M1041*X1041/100)</f>
        <v/>
      </c>
      <c r="O1041" s="7" t="n"/>
      <c r="U1041" s="7" t="n"/>
      <c r="V1041" s="7" t="n"/>
      <c r="W1041" s="7">
        <f>IF($D1041="","",V1041*AB1041/100)</f>
        <v/>
      </c>
      <c r="X1041" s="7">
        <f>IF($D1041="","",V1041-W1041)</f>
        <v/>
      </c>
      <c r="Y1041" s="7">
        <f>IF($D1041="","",X1041-N1041)</f>
        <v/>
      </c>
      <c r="AB1041">
        <f>IF($D1041="","",IF($AN1041=1,Settings!$C$8,IF($AM1041=1,Settings!$C$6,Settings!$C$7))*100)</f>
        <v/>
      </c>
      <c r="AF1041" s="7" t="n"/>
      <c r="AI1041" s="11" t="n"/>
      <c r="AK1041">
        <f>IF($D1041="","",IF(COUNTIF($D$2:$D1041,$D1041)=1,1,0))</f>
        <v/>
      </c>
      <c r="AL1041">
        <f>IF($AK1041=1,SUMPRODUCT(--($AO$2:$AO$1601&lt;$AO1041))+1,"")</f>
        <v/>
      </c>
      <c r="AM1041">
        <f>IF($D1041="","",IF(OR($R1041=TRUE(),$R1041="TRUE"),1,0))</f>
        <v/>
      </c>
      <c r="AN1041">
        <f>IF($D1041="","",IF($AA1041="Yes",1,0))</f>
        <v/>
      </c>
      <c r="AO1041">
        <f>IF($AK1041=1,IFERROR(IF(VALUE($D1041)&lt;100000000,VALUE($D1041),1000000000),IFERROR(IF(VALUE(MID($D1041,2,20))&lt;100000000,VALUE(MID($D1041,2,20)),1000000000),1000000000))+ROW()/100000,"")</f>
        <v/>
      </c>
    </row>
    <row r="1042">
      <c r="F1042" s="11" t="n"/>
      <c r="N1042" s="7">
        <f>IF($D1042="","",M1042*X1042/100)</f>
        <v/>
      </c>
      <c r="O1042" s="7" t="n"/>
      <c r="U1042" s="7" t="n"/>
      <c r="V1042" s="7" t="n"/>
      <c r="W1042" s="7">
        <f>IF($D1042="","",V1042*AB1042/100)</f>
        <v/>
      </c>
      <c r="X1042" s="7">
        <f>IF($D1042="","",V1042-W1042)</f>
        <v/>
      </c>
      <c r="Y1042" s="7">
        <f>IF($D1042="","",X1042-N1042)</f>
        <v/>
      </c>
      <c r="AB1042">
        <f>IF($D1042="","",IF($AN1042=1,Settings!$C$8,IF($AM1042=1,Settings!$C$6,Settings!$C$7))*100)</f>
        <v/>
      </c>
      <c r="AF1042" s="7" t="n"/>
      <c r="AI1042" s="11" t="n"/>
      <c r="AK1042">
        <f>IF($D1042="","",IF(COUNTIF($D$2:$D1042,$D1042)=1,1,0))</f>
        <v/>
      </c>
      <c r="AL1042">
        <f>IF($AK1042=1,SUMPRODUCT(--($AO$2:$AO$1601&lt;$AO1042))+1,"")</f>
        <v/>
      </c>
      <c r="AM1042">
        <f>IF($D1042="","",IF(OR($R1042=TRUE(),$R1042="TRUE"),1,0))</f>
        <v/>
      </c>
      <c r="AN1042">
        <f>IF($D1042="","",IF($AA1042="Yes",1,0))</f>
        <v/>
      </c>
      <c r="AO1042">
        <f>IF($AK1042=1,IFERROR(IF(VALUE($D1042)&lt;100000000,VALUE($D1042),1000000000),IFERROR(IF(VALUE(MID($D1042,2,20))&lt;100000000,VALUE(MID($D1042,2,20)),1000000000),1000000000))+ROW()/100000,"")</f>
        <v/>
      </c>
    </row>
    <row r="1043">
      <c r="F1043" s="11" t="n"/>
      <c r="N1043" s="7">
        <f>IF($D1043="","",M1043*X1043/100)</f>
        <v/>
      </c>
      <c r="O1043" s="7" t="n"/>
      <c r="U1043" s="7" t="n"/>
      <c r="V1043" s="7" t="n"/>
      <c r="W1043" s="7">
        <f>IF($D1043="","",V1043*AB1043/100)</f>
        <v/>
      </c>
      <c r="X1043" s="7">
        <f>IF($D1043="","",V1043-W1043)</f>
        <v/>
      </c>
      <c r="Y1043" s="7">
        <f>IF($D1043="","",X1043-N1043)</f>
        <v/>
      </c>
      <c r="AB1043">
        <f>IF($D1043="","",IF($AN1043=1,Settings!$C$8,IF($AM1043=1,Settings!$C$6,Settings!$C$7))*100)</f>
        <v/>
      </c>
      <c r="AF1043" s="7" t="n"/>
      <c r="AI1043" s="11" t="n"/>
      <c r="AK1043">
        <f>IF($D1043="","",IF(COUNTIF($D$2:$D1043,$D1043)=1,1,0))</f>
        <v/>
      </c>
      <c r="AL1043">
        <f>IF($AK1043=1,SUMPRODUCT(--($AO$2:$AO$1601&lt;$AO1043))+1,"")</f>
        <v/>
      </c>
      <c r="AM1043">
        <f>IF($D1043="","",IF(OR($R1043=TRUE(),$R1043="TRUE"),1,0))</f>
        <v/>
      </c>
      <c r="AN1043">
        <f>IF($D1043="","",IF($AA1043="Yes",1,0))</f>
        <v/>
      </c>
      <c r="AO1043">
        <f>IF($AK1043=1,IFERROR(IF(VALUE($D1043)&lt;100000000,VALUE($D1043),1000000000),IFERROR(IF(VALUE(MID($D1043,2,20))&lt;100000000,VALUE(MID($D1043,2,20)),1000000000),1000000000))+ROW()/100000,"")</f>
        <v/>
      </c>
    </row>
    <row r="1044">
      <c r="F1044" s="11" t="n"/>
      <c r="N1044" s="7">
        <f>IF($D1044="","",M1044*X1044/100)</f>
        <v/>
      </c>
      <c r="O1044" s="7" t="n"/>
      <c r="U1044" s="7" t="n"/>
      <c r="V1044" s="7" t="n"/>
      <c r="W1044" s="7">
        <f>IF($D1044="","",V1044*AB1044/100)</f>
        <v/>
      </c>
      <c r="X1044" s="7">
        <f>IF($D1044="","",V1044-W1044)</f>
        <v/>
      </c>
      <c r="Y1044" s="7">
        <f>IF($D1044="","",X1044-N1044)</f>
        <v/>
      </c>
      <c r="AB1044">
        <f>IF($D1044="","",IF($AN1044=1,Settings!$C$8,IF($AM1044=1,Settings!$C$6,Settings!$C$7))*100)</f>
        <v/>
      </c>
      <c r="AF1044" s="7" t="n"/>
      <c r="AI1044" s="11" t="n"/>
      <c r="AK1044">
        <f>IF($D1044="","",IF(COUNTIF($D$2:$D1044,$D1044)=1,1,0))</f>
        <v/>
      </c>
      <c r="AL1044">
        <f>IF($AK1044=1,SUMPRODUCT(--($AO$2:$AO$1601&lt;$AO1044))+1,"")</f>
        <v/>
      </c>
      <c r="AM1044">
        <f>IF($D1044="","",IF(OR($R1044=TRUE(),$R1044="TRUE"),1,0))</f>
        <v/>
      </c>
      <c r="AN1044">
        <f>IF($D1044="","",IF($AA1044="Yes",1,0))</f>
        <v/>
      </c>
      <c r="AO1044">
        <f>IF($AK1044=1,IFERROR(IF(VALUE($D1044)&lt;100000000,VALUE($D1044),1000000000),IFERROR(IF(VALUE(MID($D1044,2,20))&lt;100000000,VALUE(MID($D1044,2,20)),1000000000),1000000000))+ROW()/100000,"")</f>
        <v/>
      </c>
    </row>
    <row r="1045">
      <c r="F1045" s="11" t="n"/>
      <c r="N1045" s="7">
        <f>IF($D1045="","",M1045*X1045/100)</f>
        <v/>
      </c>
      <c r="O1045" s="7" t="n"/>
      <c r="U1045" s="7" t="n"/>
      <c r="V1045" s="7" t="n"/>
      <c r="W1045" s="7">
        <f>IF($D1045="","",V1045*AB1045/100)</f>
        <v/>
      </c>
      <c r="X1045" s="7">
        <f>IF($D1045="","",V1045-W1045)</f>
        <v/>
      </c>
      <c r="Y1045" s="7">
        <f>IF($D1045="","",X1045-N1045)</f>
        <v/>
      </c>
      <c r="AB1045">
        <f>IF($D1045="","",IF($AN1045=1,Settings!$C$8,IF($AM1045=1,Settings!$C$6,Settings!$C$7))*100)</f>
        <v/>
      </c>
      <c r="AF1045" s="7" t="n"/>
      <c r="AI1045" s="11" t="n"/>
      <c r="AK1045">
        <f>IF($D1045="","",IF(COUNTIF($D$2:$D1045,$D1045)=1,1,0))</f>
        <v/>
      </c>
      <c r="AL1045">
        <f>IF($AK1045=1,SUMPRODUCT(--($AO$2:$AO$1601&lt;$AO1045))+1,"")</f>
        <v/>
      </c>
      <c r="AM1045">
        <f>IF($D1045="","",IF(OR($R1045=TRUE(),$R1045="TRUE"),1,0))</f>
        <v/>
      </c>
      <c r="AN1045">
        <f>IF($D1045="","",IF($AA1045="Yes",1,0))</f>
        <v/>
      </c>
      <c r="AO1045">
        <f>IF($AK1045=1,IFERROR(IF(VALUE($D1045)&lt;100000000,VALUE($D1045),1000000000),IFERROR(IF(VALUE(MID($D1045,2,20))&lt;100000000,VALUE(MID($D1045,2,20)),1000000000),1000000000))+ROW()/100000,"")</f>
        <v/>
      </c>
    </row>
    <row r="1046">
      <c r="F1046" s="11" t="n"/>
      <c r="N1046" s="7">
        <f>IF($D1046="","",M1046*X1046/100)</f>
        <v/>
      </c>
      <c r="O1046" s="7" t="n"/>
      <c r="U1046" s="7" t="n"/>
      <c r="V1046" s="7" t="n"/>
      <c r="W1046" s="7">
        <f>IF($D1046="","",V1046*AB1046/100)</f>
        <v/>
      </c>
      <c r="X1046" s="7">
        <f>IF($D1046="","",V1046-W1046)</f>
        <v/>
      </c>
      <c r="Y1046" s="7">
        <f>IF($D1046="","",X1046-N1046)</f>
        <v/>
      </c>
      <c r="AB1046">
        <f>IF($D1046="","",IF($AN1046=1,Settings!$C$8,IF($AM1046=1,Settings!$C$6,Settings!$C$7))*100)</f>
        <v/>
      </c>
      <c r="AF1046" s="7" t="n"/>
      <c r="AI1046" s="11" t="n"/>
      <c r="AK1046">
        <f>IF($D1046="","",IF(COUNTIF($D$2:$D1046,$D1046)=1,1,0))</f>
        <v/>
      </c>
      <c r="AL1046">
        <f>IF($AK1046=1,SUMPRODUCT(--($AO$2:$AO$1601&lt;$AO1046))+1,"")</f>
        <v/>
      </c>
      <c r="AM1046">
        <f>IF($D1046="","",IF(OR($R1046=TRUE(),$R1046="TRUE"),1,0))</f>
        <v/>
      </c>
      <c r="AN1046">
        <f>IF($D1046="","",IF($AA1046="Yes",1,0))</f>
        <v/>
      </c>
      <c r="AO1046">
        <f>IF($AK1046=1,IFERROR(IF(VALUE($D1046)&lt;100000000,VALUE($D1046),1000000000),IFERROR(IF(VALUE(MID($D1046,2,20))&lt;100000000,VALUE(MID($D1046,2,20)),1000000000),1000000000))+ROW()/100000,"")</f>
        <v/>
      </c>
    </row>
    <row r="1047">
      <c r="F1047" s="11" t="n"/>
      <c r="N1047" s="7">
        <f>IF($D1047="","",M1047*X1047/100)</f>
        <v/>
      </c>
      <c r="O1047" s="7" t="n"/>
      <c r="U1047" s="7" t="n"/>
      <c r="V1047" s="7" t="n"/>
      <c r="W1047" s="7">
        <f>IF($D1047="","",V1047*AB1047/100)</f>
        <v/>
      </c>
      <c r="X1047" s="7">
        <f>IF($D1047="","",V1047-W1047)</f>
        <v/>
      </c>
      <c r="Y1047" s="7">
        <f>IF($D1047="","",X1047-N1047)</f>
        <v/>
      </c>
      <c r="AB1047">
        <f>IF($D1047="","",IF($AN1047=1,Settings!$C$8,IF($AM1047=1,Settings!$C$6,Settings!$C$7))*100)</f>
        <v/>
      </c>
      <c r="AF1047" s="7" t="n"/>
      <c r="AI1047" s="11" t="n"/>
      <c r="AK1047">
        <f>IF($D1047="","",IF(COUNTIF($D$2:$D1047,$D1047)=1,1,0))</f>
        <v/>
      </c>
      <c r="AL1047">
        <f>IF($AK1047=1,SUMPRODUCT(--($AO$2:$AO$1601&lt;$AO1047))+1,"")</f>
        <v/>
      </c>
      <c r="AM1047">
        <f>IF($D1047="","",IF(OR($R1047=TRUE(),$R1047="TRUE"),1,0))</f>
        <v/>
      </c>
      <c r="AN1047">
        <f>IF($D1047="","",IF($AA1047="Yes",1,0))</f>
        <v/>
      </c>
      <c r="AO1047">
        <f>IF($AK1047=1,IFERROR(IF(VALUE($D1047)&lt;100000000,VALUE($D1047),1000000000),IFERROR(IF(VALUE(MID($D1047,2,20))&lt;100000000,VALUE(MID($D1047,2,20)),1000000000),1000000000))+ROW()/100000,"")</f>
        <v/>
      </c>
    </row>
    <row r="1048">
      <c r="F1048" s="11" t="n"/>
      <c r="N1048" s="7">
        <f>IF($D1048="","",M1048*X1048/100)</f>
        <v/>
      </c>
      <c r="O1048" s="7" t="n"/>
      <c r="U1048" s="7" t="n"/>
      <c r="V1048" s="7" t="n"/>
      <c r="W1048" s="7">
        <f>IF($D1048="","",V1048*AB1048/100)</f>
        <v/>
      </c>
      <c r="X1048" s="7">
        <f>IF($D1048="","",V1048-W1048)</f>
        <v/>
      </c>
      <c r="Y1048" s="7">
        <f>IF($D1048="","",X1048-N1048)</f>
        <v/>
      </c>
      <c r="AB1048">
        <f>IF($D1048="","",IF($AN1048=1,Settings!$C$8,IF($AM1048=1,Settings!$C$6,Settings!$C$7))*100)</f>
        <v/>
      </c>
      <c r="AF1048" s="7" t="n"/>
      <c r="AI1048" s="11" t="n"/>
      <c r="AK1048">
        <f>IF($D1048="","",IF(COUNTIF($D$2:$D1048,$D1048)=1,1,0))</f>
        <v/>
      </c>
      <c r="AL1048">
        <f>IF($AK1048=1,SUMPRODUCT(--($AO$2:$AO$1601&lt;$AO1048))+1,"")</f>
        <v/>
      </c>
      <c r="AM1048">
        <f>IF($D1048="","",IF(OR($R1048=TRUE(),$R1048="TRUE"),1,0))</f>
        <v/>
      </c>
      <c r="AN1048">
        <f>IF($D1048="","",IF($AA1048="Yes",1,0))</f>
        <v/>
      </c>
      <c r="AO1048">
        <f>IF($AK1048=1,IFERROR(IF(VALUE($D1048)&lt;100000000,VALUE($D1048),1000000000),IFERROR(IF(VALUE(MID($D1048,2,20))&lt;100000000,VALUE(MID($D1048,2,20)),1000000000),1000000000))+ROW()/100000,"")</f>
        <v/>
      </c>
    </row>
    <row r="1049">
      <c r="F1049" s="11" t="n"/>
      <c r="N1049" s="7">
        <f>IF($D1049="","",M1049*X1049/100)</f>
        <v/>
      </c>
      <c r="O1049" s="7" t="n"/>
      <c r="U1049" s="7" t="n"/>
      <c r="V1049" s="7" t="n"/>
      <c r="W1049" s="7">
        <f>IF($D1049="","",V1049*AB1049/100)</f>
        <v/>
      </c>
      <c r="X1049" s="7">
        <f>IF($D1049="","",V1049-W1049)</f>
        <v/>
      </c>
      <c r="Y1049" s="7">
        <f>IF($D1049="","",X1049-N1049)</f>
        <v/>
      </c>
      <c r="AB1049">
        <f>IF($D1049="","",IF($AN1049=1,Settings!$C$8,IF($AM1049=1,Settings!$C$6,Settings!$C$7))*100)</f>
        <v/>
      </c>
      <c r="AF1049" s="7" t="n"/>
      <c r="AI1049" s="11" t="n"/>
      <c r="AK1049">
        <f>IF($D1049="","",IF(COUNTIF($D$2:$D1049,$D1049)=1,1,0))</f>
        <v/>
      </c>
      <c r="AL1049">
        <f>IF($AK1049=1,SUMPRODUCT(--($AO$2:$AO$1601&lt;$AO1049))+1,"")</f>
        <v/>
      </c>
      <c r="AM1049">
        <f>IF($D1049="","",IF(OR($R1049=TRUE(),$R1049="TRUE"),1,0))</f>
        <v/>
      </c>
      <c r="AN1049">
        <f>IF($D1049="","",IF($AA1049="Yes",1,0))</f>
        <v/>
      </c>
      <c r="AO1049">
        <f>IF($AK1049=1,IFERROR(IF(VALUE($D1049)&lt;100000000,VALUE($D1049),1000000000),IFERROR(IF(VALUE(MID($D1049,2,20))&lt;100000000,VALUE(MID($D1049,2,20)),1000000000),1000000000))+ROW()/100000,"")</f>
        <v/>
      </c>
    </row>
    <row r="1050">
      <c r="F1050" s="11" t="n"/>
      <c r="N1050" s="7">
        <f>IF($D1050="","",M1050*X1050/100)</f>
        <v/>
      </c>
      <c r="O1050" s="7" t="n"/>
      <c r="U1050" s="7" t="n"/>
      <c r="V1050" s="7" t="n"/>
      <c r="W1050" s="7">
        <f>IF($D1050="","",V1050*AB1050/100)</f>
        <v/>
      </c>
      <c r="X1050" s="7">
        <f>IF($D1050="","",V1050-W1050)</f>
        <v/>
      </c>
      <c r="Y1050" s="7">
        <f>IF($D1050="","",X1050-N1050)</f>
        <v/>
      </c>
      <c r="AB1050">
        <f>IF($D1050="","",IF($AN1050=1,Settings!$C$8,IF($AM1050=1,Settings!$C$6,Settings!$C$7))*100)</f>
        <v/>
      </c>
      <c r="AF1050" s="7" t="n"/>
      <c r="AI1050" s="11" t="n"/>
      <c r="AK1050">
        <f>IF($D1050="","",IF(COUNTIF($D$2:$D1050,$D1050)=1,1,0))</f>
        <v/>
      </c>
      <c r="AL1050">
        <f>IF($AK1050=1,SUMPRODUCT(--($AO$2:$AO$1601&lt;$AO1050))+1,"")</f>
        <v/>
      </c>
      <c r="AM1050">
        <f>IF($D1050="","",IF(OR($R1050=TRUE(),$R1050="TRUE"),1,0))</f>
        <v/>
      </c>
      <c r="AN1050">
        <f>IF($D1050="","",IF($AA1050="Yes",1,0))</f>
        <v/>
      </c>
      <c r="AO1050">
        <f>IF($AK1050=1,IFERROR(IF(VALUE($D1050)&lt;100000000,VALUE($D1050),1000000000),IFERROR(IF(VALUE(MID($D1050,2,20))&lt;100000000,VALUE(MID($D1050,2,20)),1000000000),1000000000))+ROW()/100000,"")</f>
        <v/>
      </c>
    </row>
    <row r="1051">
      <c r="F1051" s="11" t="n"/>
      <c r="N1051" s="7">
        <f>IF($D1051="","",M1051*X1051/100)</f>
        <v/>
      </c>
      <c r="O1051" s="7" t="n"/>
      <c r="U1051" s="7" t="n"/>
      <c r="V1051" s="7" t="n"/>
      <c r="W1051" s="7">
        <f>IF($D1051="","",V1051*AB1051/100)</f>
        <v/>
      </c>
      <c r="X1051" s="7">
        <f>IF($D1051="","",V1051-W1051)</f>
        <v/>
      </c>
      <c r="Y1051" s="7">
        <f>IF($D1051="","",X1051-N1051)</f>
        <v/>
      </c>
      <c r="AB1051">
        <f>IF($D1051="","",IF($AN1051=1,Settings!$C$8,IF($AM1051=1,Settings!$C$6,Settings!$C$7))*100)</f>
        <v/>
      </c>
      <c r="AF1051" s="7" t="n"/>
      <c r="AI1051" s="11" t="n"/>
      <c r="AK1051">
        <f>IF($D1051="","",IF(COUNTIF($D$2:$D1051,$D1051)=1,1,0))</f>
        <v/>
      </c>
      <c r="AL1051">
        <f>IF($AK1051=1,SUMPRODUCT(--($AO$2:$AO$1601&lt;$AO1051))+1,"")</f>
        <v/>
      </c>
      <c r="AM1051">
        <f>IF($D1051="","",IF(OR($R1051=TRUE(),$R1051="TRUE"),1,0))</f>
        <v/>
      </c>
      <c r="AN1051">
        <f>IF($D1051="","",IF($AA1051="Yes",1,0))</f>
        <v/>
      </c>
      <c r="AO1051">
        <f>IF($AK1051=1,IFERROR(IF(VALUE($D1051)&lt;100000000,VALUE($D1051),1000000000),IFERROR(IF(VALUE(MID($D1051,2,20))&lt;100000000,VALUE(MID($D1051,2,20)),1000000000),1000000000))+ROW()/100000,"")</f>
        <v/>
      </c>
    </row>
    <row r="1052">
      <c r="F1052" s="11" t="n"/>
      <c r="N1052" s="7">
        <f>IF($D1052="","",M1052*X1052/100)</f>
        <v/>
      </c>
      <c r="O1052" s="7" t="n"/>
      <c r="U1052" s="7" t="n"/>
      <c r="V1052" s="7" t="n"/>
      <c r="W1052" s="7">
        <f>IF($D1052="","",V1052*AB1052/100)</f>
        <v/>
      </c>
      <c r="X1052" s="7">
        <f>IF($D1052="","",V1052-W1052)</f>
        <v/>
      </c>
      <c r="Y1052" s="7">
        <f>IF($D1052="","",X1052-N1052)</f>
        <v/>
      </c>
      <c r="AB1052">
        <f>IF($D1052="","",IF($AN1052=1,Settings!$C$8,IF($AM1052=1,Settings!$C$6,Settings!$C$7))*100)</f>
        <v/>
      </c>
      <c r="AF1052" s="7" t="n"/>
      <c r="AI1052" s="11" t="n"/>
      <c r="AK1052">
        <f>IF($D1052="","",IF(COUNTIF($D$2:$D1052,$D1052)=1,1,0))</f>
        <v/>
      </c>
      <c r="AL1052">
        <f>IF($AK1052=1,SUMPRODUCT(--($AO$2:$AO$1601&lt;$AO1052))+1,"")</f>
        <v/>
      </c>
      <c r="AM1052">
        <f>IF($D1052="","",IF(OR($R1052=TRUE(),$R1052="TRUE"),1,0))</f>
        <v/>
      </c>
      <c r="AN1052">
        <f>IF($D1052="","",IF($AA1052="Yes",1,0))</f>
        <v/>
      </c>
      <c r="AO1052">
        <f>IF($AK1052=1,IFERROR(IF(VALUE($D1052)&lt;100000000,VALUE($D1052),1000000000),IFERROR(IF(VALUE(MID($D1052,2,20))&lt;100000000,VALUE(MID($D1052,2,20)),1000000000),1000000000))+ROW()/100000,"")</f>
        <v/>
      </c>
    </row>
    <row r="1053">
      <c r="F1053" s="11" t="n"/>
      <c r="N1053" s="7">
        <f>IF($D1053="","",M1053*X1053/100)</f>
        <v/>
      </c>
      <c r="O1053" s="7" t="n"/>
      <c r="U1053" s="7" t="n"/>
      <c r="V1053" s="7" t="n"/>
      <c r="W1053" s="7">
        <f>IF($D1053="","",V1053*AB1053/100)</f>
        <v/>
      </c>
      <c r="X1053" s="7">
        <f>IF($D1053="","",V1053-W1053)</f>
        <v/>
      </c>
      <c r="Y1053" s="7">
        <f>IF($D1053="","",X1053-N1053)</f>
        <v/>
      </c>
      <c r="AB1053">
        <f>IF($D1053="","",IF($AN1053=1,Settings!$C$8,IF($AM1053=1,Settings!$C$6,Settings!$C$7))*100)</f>
        <v/>
      </c>
      <c r="AF1053" s="7" t="n"/>
      <c r="AI1053" s="11" t="n"/>
      <c r="AK1053">
        <f>IF($D1053="","",IF(COUNTIF($D$2:$D1053,$D1053)=1,1,0))</f>
        <v/>
      </c>
      <c r="AL1053">
        <f>IF($AK1053=1,SUMPRODUCT(--($AO$2:$AO$1601&lt;$AO1053))+1,"")</f>
        <v/>
      </c>
      <c r="AM1053">
        <f>IF($D1053="","",IF(OR($R1053=TRUE(),$R1053="TRUE"),1,0))</f>
        <v/>
      </c>
      <c r="AN1053">
        <f>IF($D1053="","",IF($AA1053="Yes",1,0))</f>
        <v/>
      </c>
      <c r="AO1053">
        <f>IF($AK1053=1,IFERROR(IF(VALUE($D1053)&lt;100000000,VALUE($D1053),1000000000),IFERROR(IF(VALUE(MID($D1053,2,20))&lt;100000000,VALUE(MID($D1053,2,20)),1000000000),1000000000))+ROW()/100000,"")</f>
        <v/>
      </c>
    </row>
    <row r="1054">
      <c r="F1054" s="11" t="n"/>
      <c r="N1054" s="7">
        <f>IF($D1054="","",M1054*X1054/100)</f>
        <v/>
      </c>
      <c r="O1054" s="7" t="n"/>
      <c r="U1054" s="7" t="n"/>
      <c r="V1054" s="7" t="n"/>
      <c r="W1054" s="7">
        <f>IF($D1054="","",V1054*AB1054/100)</f>
        <v/>
      </c>
      <c r="X1054" s="7">
        <f>IF($D1054="","",V1054-W1054)</f>
        <v/>
      </c>
      <c r="Y1054" s="7">
        <f>IF($D1054="","",X1054-N1054)</f>
        <v/>
      </c>
      <c r="AB1054">
        <f>IF($D1054="","",IF($AN1054=1,Settings!$C$8,IF($AM1054=1,Settings!$C$6,Settings!$C$7))*100)</f>
        <v/>
      </c>
      <c r="AF1054" s="7" t="n"/>
      <c r="AI1054" s="11" t="n"/>
      <c r="AK1054">
        <f>IF($D1054="","",IF(COUNTIF($D$2:$D1054,$D1054)=1,1,0))</f>
        <v/>
      </c>
      <c r="AL1054">
        <f>IF($AK1054=1,SUMPRODUCT(--($AO$2:$AO$1601&lt;$AO1054))+1,"")</f>
        <v/>
      </c>
      <c r="AM1054">
        <f>IF($D1054="","",IF(OR($R1054=TRUE(),$R1054="TRUE"),1,0))</f>
        <v/>
      </c>
      <c r="AN1054">
        <f>IF($D1054="","",IF($AA1054="Yes",1,0))</f>
        <v/>
      </c>
      <c r="AO1054">
        <f>IF($AK1054=1,IFERROR(IF(VALUE($D1054)&lt;100000000,VALUE($D1054),1000000000),IFERROR(IF(VALUE(MID($D1054,2,20))&lt;100000000,VALUE(MID($D1054,2,20)),1000000000),1000000000))+ROW()/100000,"")</f>
        <v/>
      </c>
    </row>
    <row r="1055">
      <c r="F1055" s="11" t="n"/>
      <c r="N1055" s="7">
        <f>IF($D1055="","",M1055*X1055/100)</f>
        <v/>
      </c>
      <c r="O1055" s="7" t="n"/>
      <c r="U1055" s="7" t="n"/>
      <c r="V1055" s="7" t="n"/>
      <c r="W1055" s="7">
        <f>IF($D1055="","",V1055*AB1055/100)</f>
        <v/>
      </c>
      <c r="X1055" s="7">
        <f>IF($D1055="","",V1055-W1055)</f>
        <v/>
      </c>
      <c r="Y1055" s="7">
        <f>IF($D1055="","",X1055-N1055)</f>
        <v/>
      </c>
      <c r="AB1055">
        <f>IF($D1055="","",IF($AN1055=1,Settings!$C$8,IF($AM1055=1,Settings!$C$6,Settings!$C$7))*100)</f>
        <v/>
      </c>
      <c r="AF1055" s="7" t="n"/>
      <c r="AI1055" s="11" t="n"/>
      <c r="AK1055">
        <f>IF($D1055="","",IF(COUNTIF($D$2:$D1055,$D1055)=1,1,0))</f>
        <v/>
      </c>
      <c r="AL1055">
        <f>IF($AK1055=1,SUMPRODUCT(--($AO$2:$AO$1601&lt;$AO1055))+1,"")</f>
        <v/>
      </c>
      <c r="AM1055">
        <f>IF($D1055="","",IF(OR($R1055=TRUE(),$R1055="TRUE"),1,0))</f>
        <v/>
      </c>
      <c r="AN1055">
        <f>IF($D1055="","",IF($AA1055="Yes",1,0))</f>
        <v/>
      </c>
      <c r="AO1055">
        <f>IF($AK1055=1,IFERROR(IF(VALUE($D1055)&lt;100000000,VALUE($D1055),1000000000),IFERROR(IF(VALUE(MID($D1055,2,20))&lt;100000000,VALUE(MID($D1055,2,20)),1000000000),1000000000))+ROW()/100000,"")</f>
        <v/>
      </c>
    </row>
    <row r="1056">
      <c r="F1056" s="11" t="n"/>
      <c r="N1056" s="7">
        <f>IF($D1056="","",M1056*X1056/100)</f>
        <v/>
      </c>
      <c r="O1056" s="7" t="n"/>
      <c r="U1056" s="7" t="n"/>
      <c r="V1056" s="7" t="n"/>
      <c r="W1056" s="7">
        <f>IF($D1056="","",V1056*AB1056/100)</f>
        <v/>
      </c>
      <c r="X1056" s="7">
        <f>IF($D1056="","",V1056-W1056)</f>
        <v/>
      </c>
      <c r="Y1056" s="7">
        <f>IF($D1056="","",X1056-N1056)</f>
        <v/>
      </c>
      <c r="AB1056">
        <f>IF($D1056="","",IF($AN1056=1,Settings!$C$8,IF($AM1056=1,Settings!$C$6,Settings!$C$7))*100)</f>
        <v/>
      </c>
      <c r="AF1056" s="7" t="n"/>
      <c r="AI1056" s="11" t="n"/>
      <c r="AK1056">
        <f>IF($D1056="","",IF(COUNTIF($D$2:$D1056,$D1056)=1,1,0))</f>
        <v/>
      </c>
      <c r="AL1056">
        <f>IF($AK1056=1,SUMPRODUCT(--($AO$2:$AO$1601&lt;$AO1056))+1,"")</f>
        <v/>
      </c>
      <c r="AM1056">
        <f>IF($D1056="","",IF(OR($R1056=TRUE(),$R1056="TRUE"),1,0))</f>
        <v/>
      </c>
      <c r="AN1056">
        <f>IF($D1056="","",IF($AA1056="Yes",1,0))</f>
        <v/>
      </c>
      <c r="AO1056">
        <f>IF($AK1056=1,IFERROR(IF(VALUE($D1056)&lt;100000000,VALUE($D1056),1000000000),IFERROR(IF(VALUE(MID($D1056,2,20))&lt;100000000,VALUE(MID($D1056,2,20)),1000000000),1000000000))+ROW()/100000,"")</f>
        <v/>
      </c>
    </row>
    <row r="1057">
      <c r="F1057" s="11" t="n"/>
      <c r="N1057" s="7">
        <f>IF($D1057="","",M1057*X1057/100)</f>
        <v/>
      </c>
      <c r="O1057" s="7" t="n"/>
      <c r="U1057" s="7" t="n"/>
      <c r="V1057" s="7" t="n"/>
      <c r="W1057" s="7">
        <f>IF($D1057="","",V1057*AB1057/100)</f>
        <v/>
      </c>
      <c r="X1057" s="7">
        <f>IF($D1057="","",V1057-W1057)</f>
        <v/>
      </c>
      <c r="Y1057" s="7">
        <f>IF($D1057="","",X1057-N1057)</f>
        <v/>
      </c>
      <c r="AB1057">
        <f>IF($D1057="","",IF($AN1057=1,Settings!$C$8,IF($AM1057=1,Settings!$C$6,Settings!$C$7))*100)</f>
        <v/>
      </c>
      <c r="AF1057" s="7" t="n"/>
      <c r="AI1057" s="11" t="n"/>
      <c r="AK1057">
        <f>IF($D1057="","",IF(COUNTIF($D$2:$D1057,$D1057)=1,1,0))</f>
        <v/>
      </c>
      <c r="AL1057">
        <f>IF($AK1057=1,SUMPRODUCT(--($AO$2:$AO$1601&lt;$AO1057))+1,"")</f>
        <v/>
      </c>
      <c r="AM1057">
        <f>IF($D1057="","",IF(OR($R1057=TRUE(),$R1057="TRUE"),1,0))</f>
        <v/>
      </c>
      <c r="AN1057">
        <f>IF($D1057="","",IF($AA1057="Yes",1,0))</f>
        <v/>
      </c>
      <c r="AO1057">
        <f>IF($AK1057=1,IFERROR(IF(VALUE($D1057)&lt;100000000,VALUE($D1057),1000000000),IFERROR(IF(VALUE(MID($D1057,2,20))&lt;100000000,VALUE(MID($D1057,2,20)),1000000000),1000000000))+ROW()/100000,"")</f>
        <v/>
      </c>
    </row>
    <row r="1058">
      <c r="F1058" s="11" t="n"/>
      <c r="N1058" s="7">
        <f>IF($D1058="","",M1058*X1058/100)</f>
        <v/>
      </c>
      <c r="O1058" s="7" t="n"/>
      <c r="U1058" s="7" t="n"/>
      <c r="V1058" s="7" t="n"/>
      <c r="W1058" s="7">
        <f>IF($D1058="","",V1058*AB1058/100)</f>
        <v/>
      </c>
      <c r="X1058" s="7">
        <f>IF($D1058="","",V1058-W1058)</f>
        <v/>
      </c>
      <c r="Y1058" s="7">
        <f>IF($D1058="","",X1058-N1058)</f>
        <v/>
      </c>
      <c r="AB1058">
        <f>IF($D1058="","",IF($AN1058=1,Settings!$C$8,IF($AM1058=1,Settings!$C$6,Settings!$C$7))*100)</f>
        <v/>
      </c>
      <c r="AF1058" s="7" t="n"/>
      <c r="AI1058" s="11" t="n"/>
      <c r="AK1058">
        <f>IF($D1058="","",IF(COUNTIF($D$2:$D1058,$D1058)=1,1,0))</f>
        <v/>
      </c>
      <c r="AL1058">
        <f>IF($AK1058=1,SUMPRODUCT(--($AO$2:$AO$1601&lt;$AO1058))+1,"")</f>
        <v/>
      </c>
      <c r="AM1058">
        <f>IF($D1058="","",IF(OR($R1058=TRUE(),$R1058="TRUE"),1,0))</f>
        <v/>
      </c>
      <c r="AN1058">
        <f>IF($D1058="","",IF($AA1058="Yes",1,0))</f>
        <v/>
      </c>
      <c r="AO1058">
        <f>IF($AK1058=1,IFERROR(IF(VALUE($D1058)&lt;100000000,VALUE($D1058),1000000000),IFERROR(IF(VALUE(MID($D1058,2,20))&lt;100000000,VALUE(MID($D1058,2,20)),1000000000),1000000000))+ROW()/100000,"")</f>
        <v/>
      </c>
    </row>
    <row r="1059">
      <c r="F1059" s="11" t="n"/>
      <c r="N1059" s="7">
        <f>IF($D1059="","",M1059*X1059/100)</f>
        <v/>
      </c>
      <c r="O1059" s="7" t="n"/>
      <c r="U1059" s="7" t="n"/>
      <c r="V1059" s="7" t="n"/>
      <c r="W1059" s="7">
        <f>IF($D1059="","",V1059*AB1059/100)</f>
        <v/>
      </c>
      <c r="X1059" s="7">
        <f>IF($D1059="","",V1059-W1059)</f>
        <v/>
      </c>
      <c r="Y1059" s="7">
        <f>IF($D1059="","",X1059-N1059)</f>
        <v/>
      </c>
      <c r="AB1059">
        <f>IF($D1059="","",IF($AN1059=1,Settings!$C$8,IF($AM1059=1,Settings!$C$6,Settings!$C$7))*100)</f>
        <v/>
      </c>
      <c r="AF1059" s="7" t="n"/>
      <c r="AI1059" s="11" t="n"/>
      <c r="AK1059">
        <f>IF($D1059="","",IF(COUNTIF($D$2:$D1059,$D1059)=1,1,0))</f>
        <v/>
      </c>
      <c r="AL1059">
        <f>IF($AK1059=1,SUMPRODUCT(--($AO$2:$AO$1601&lt;$AO1059))+1,"")</f>
        <v/>
      </c>
      <c r="AM1059">
        <f>IF($D1059="","",IF(OR($R1059=TRUE(),$R1059="TRUE"),1,0))</f>
        <v/>
      </c>
      <c r="AN1059">
        <f>IF($D1059="","",IF($AA1059="Yes",1,0))</f>
        <v/>
      </c>
      <c r="AO1059">
        <f>IF($AK1059=1,IFERROR(IF(VALUE($D1059)&lt;100000000,VALUE($D1059),1000000000),IFERROR(IF(VALUE(MID($D1059,2,20))&lt;100000000,VALUE(MID($D1059,2,20)),1000000000),1000000000))+ROW()/100000,"")</f>
        <v/>
      </c>
    </row>
    <row r="1060">
      <c r="F1060" s="11" t="n"/>
      <c r="N1060" s="7">
        <f>IF($D1060="","",M1060*X1060/100)</f>
        <v/>
      </c>
      <c r="O1060" s="7" t="n"/>
      <c r="U1060" s="7" t="n"/>
      <c r="V1060" s="7" t="n"/>
      <c r="W1060" s="7">
        <f>IF($D1060="","",V1060*AB1060/100)</f>
        <v/>
      </c>
      <c r="X1060" s="7">
        <f>IF($D1060="","",V1060-W1060)</f>
        <v/>
      </c>
      <c r="Y1060" s="7">
        <f>IF($D1060="","",X1060-N1060)</f>
        <v/>
      </c>
      <c r="AB1060">
        <f>IF($D1060="","",IF($AN1060=1,Settings!$C$8,IF($AM1060=1,Settings!$C$6,Settings!$C$7))*100)</f>
        <v/>
      </c>
      <c r="AF1060" s="7" t="n"/>
      <c r="AI1060" s="11" t="n"/>
      <c r="AK1060">
        <f>IF($D1060="","",IF(COUNTIF($D$2:$D1060,$D1060)=1,1,0))</f>
        <v/>
      </c>
      <c r="AL1060">
        <f>IF($AK1060=1,SUMPRODUCT(--($AO$2:$AO$1601&lt;$AO1060))+1,"")</f>
        <v/>
      </c>
      <c r="AM1060">
        <f>IF($D1060="","",IF(OR($R1060=TRUE(),$R1060="TRUE"),1,0))</f>
        <v/>
      </c>
      <c r="AN1060">
        <f>IF($D1060="","",IF($AA1060="Yes",1,0))</f>
        <v/>
      </c>
      <c r="AO1060">
        <f>IF($AK1060=1,IFERROR(IF(VALUE($D1060)&lt;100000000,VALUE($D1060),1000000000),IFERROR(IF(VALUE(MID($D1060,2,20))&lt;100000000,VALUE(MID($D1060,2,20)),1000000000),1000000000))+ROW()/100000,"")</f>
        <v/>
      </c>
    </row>
    <row r="1061">
      <c r="F1061" s="11" t="n"/>
      <c r="N1061" s="7">
        <f>IF($D1061="","",M1061*X1061/100)</f>
        <v/>
      </c>
      <c r="O1061" s="7" t="n"/>
      <c r="U1061" s="7" t="n"/>
      <c r="V1061" s="7" t="n"/>
      <c r="W1061" s="7">
        <f>IF($D1061="","",V1061*AB1061/100)</f>
        <v/>
      </c>
      <c r="X1061" s="7">
        <f>IF($D1061="","",V1061-W1061)</f>
        <v/>
      </c>
      <c r="Y1061" s="7">
        <f>IF($D1061="","",X1061-N1061)</f>
        <v/>
      </c>
      <c r="AB1061">
        <f>IF($D1061="","",IF($AN1061=1,Settings!$C$8,IF($AM1061=1,Settings!$C$6,Settings!$C$7))*100)</f>
        <v/>
      </c>
      <c r="AF1061" s="7" t="n"/>
      <c r="AI1061" s="11" t="n"/>
      <c r="AK1061">
        <f>IF($D1061="","",IF(COUNTIF($D$2:$D1061,$D1061)=1,1,0))</f>
        <v/>
      </c>
      <c r="AL1061">
        <f>IF($AK1061=1,SUMPRODUCT(--($AO$2:$AO$1601&lt;$AO1061))+1,"")</f>
        <v/>
      </c>
      <c r="AM1061">
        <f>IF($D1061="","",IF(OR($R1061=TRUE(),$R1061="TRUE"),1,0))</f>
        <v/>
      </c>
      <c r="AN1061">
        <f>IF($D1061="","",IF($AA1061="Yes",1,0))</f>
        <v/>
      </c>
      <c r="AO1061">
        <f>IF($AK1061=1,IFERROR(IF(VALUE($D1061)&lt;100000000,VALUE($D1061),1000000000),IFERROR(IF(VALUE(MID($D1061,2,20))&lt;100000000,VALUE(MID($D1061,2,20)),1000000000),1000000000))+ROW()/100000,"")</f>
        <v/>
      </c>
    </row>
    <row r="1062">
      <c r="F1062" s="11" t="n"/>
      <c r="N1062" s="7">
        <f>IF($D1062="","",M1062*X1062/100)</f>
        <v/>
      </c>
      <c r="O1062" s="7" t="n"/>
      <c r="U1062" s="7" t="n"/>
      <c r="V1062" s="7" t="n"/>
      <c r="W1062" s="7">
        <f>IF($D1062="","",V1062*AB1062/100)</f>
        <v/>
      </c>
      <c r="X1062" s="7">
        <f>IF($D1062="","",V1062-W1062)</f>
        <v/>
      </c>
      <c r="Y1062" s="7">
        <f>IF($D1062="","",X1062-N1062)</f>
        <v/>
      </c>
      <c r="AB1062">
        <f>IF($D1062="","",IF($AN1062=1,Settings!$C$8,IF($AM1062=1,Settings!$C$6,Settings!$C$7))*100)</f>
        <v/>
      </c>
      <c r="AF1062" s="7" t="n"/>
      <c r="AI1062" s="11" t="n"/>
      <c r="AK1062">
        <f>IF($D1062="","",IF(COUNTIF($D$2:$D1062,$D1062)=1,1,0))</f>
        <v/>
      </c>
      <c r="AL1062">
        <f>IF($AK1062=1,SUMPRODUCT(--($AO$2:$AO$1601&lt;$AO1062))+1,"")</f>
        <v/>
      </c>
      <c r="AM1062">
        <f>IF($D1062="","",IF(OR($R1062=TRUE(),$R1062="TRUE"),1,0))</f>
        <v/>
      </c>
      <c r="AN1062">
        <f>IF($D1062="","",IF($AA1062="Yes",1,0))</f>
        <v/>
      </c>
      <c r="AO1062">
        <f>IF($AK1062=1,IFERROR(IF(VALUE($D1062)&lt;100000000,VALUE($D1062),1000000000),IFERROR(IF(VALUE(MID($D1062,2,20))&lt;100000000,VALUE(MID($D1062,2,20)),1000000000),1000000000))+ROW()/100000,"")</f>
        <v/>
      </c>
    </row>
    <row r="1063">
      <c r="F1063" s="11" t="n"/>
      <c r="N1063" s="7">
        <f>IF($D1063="","",M1063*X1063/100)</f>
        <v/>
      </c>
      <c r="O1063" s="7" t="n"/>
      <c r="U1063" s="7" t="n"/>
      <c r="V1063" s="7" t="n"/>
      <c r="W1063" s="7">
        <f>IF($D1063="","",V1063*AB1063/100)</f>
        <v/>
      </c>
      <c r="X1063" s="7">
        <f>IF($D1063="","",V1063-W1063)</f>
        <v/>
      </c>
      <c r="Y1063" s="7">
        <f>IF($D1063="","",X1063-N1063)</f>
        <v/>
      </c>
      <c r="AB1063">
        <f>IF($D1063="","",IF($AN1063=1,Settings!$C$8,IF($AM1063=1,Settings!$C$6,Settings!$C$7))*100)</f>
        <v/>
      </c>
      <c r="AF1063" s="7" t="n"/>
      <c r="AI1063" s="11" t="n"/>
      <c r="AK1063">
        <f>IF($D1063="","",IF(COUNTIF($D$2:$D1063,$D1063)=1,1,0))</f>
        <v/>
      </c>
      <c r="AL1063">
        <f>IF($AK1063=1,SUMPRODUCT(--($AO$2:$AO$1601&lt;$AO1063))+1,"")</f>
        <v/>
      </c>
      <c r="AM1063">
        <f>IF($D1063="","",IF(OR($R1063=TRUE(),$R1063="TRUE"),1,0))</f>
        <v/>
      </c>
      <c r="AN1063">
        <f>IF($D1063="","",IF($AA1063="Yes",1,0))</f>
        <v/>
      </c>
      <c r="AO1063">
        <f>IF($AK1063=1,IFERROR(IF(VALUE($D1063)&lt;100000000,VALUE($D1063),1000000000),IFERROR(IF(VALUE(MID($D1063,2,20))&lt;100000000,VALUE(MID($D1063,2,20)),1000000000),1000000000))+ROW()/100000,"")</f>
        <v/>
      </c>
    </row>
    <row r="1064">
      <c r="F1064" s="11" t="n"/>
      <c r="N1064" s="7">
        <f>IF($D1064="","",M1064*X1064/100)</f>
        <v/>
      </c>
      <c r="O1064" s="7" t="n"/>
      <c r="U1064" s="7" t="n"/>
      <c r="V1064" s="7" t="n"/>
      <c r="W1064" s="7">
        <f>IF($D1064="","",V1064*AB1064/100)</f>
        <v/>
      </c>
      <c r="X1064" s="7">
        <f>IF($D1064="","",V1064-W1064)</f>
        <v/>
      </c>
      <c r="Y1064" s="7">
        <f>IF($D1064="","",X1064-N1064)</f>
        <v/>
      </c>
      <c r="AB1064">
        <f>IF($D1064="","",IF($AN1064=1,Settings!$C$8,IF($AM1064=1,Settings!$C$6,Settings!$C$7))*100)</f>
        <v/>
      </c>
      <c r="AF1064" s="7" t="n"/>
      <c r="AI1064" s="11" t="n"/>
      <c r="AK1064">
        <f>IF($D1064="","",IF(COUNTIF($D$2:$D1064,$D1064)=1,1,0))</f>
        <v/>
      </c>
      <c r="AL1064">
        <f>IF($AK1064=1,SUMPRODUCT(--($AO$2:$AO$1601&lt;$AO1064))+1,"")</f>
        <v/>
      </c>
      <c r="AM1064">
        <f>IF($D1064="","",IF(OR($R1064=TRUE(),$R1064="TRUE"),1,0))</f>
        <v/>
      </c>
      <c r="AN1064">
        <f>IF($D1064="","",IF($AA1064="Yes",1,0))</f>
        <v/>
      </c>
      <c r="AO1064">
        <f>IF($AK1064=1,IFERROR(IF(VALUE($D1064)&lt;100000000,VALUE($D1064),1000000000),IFERROR(IF(VALUE(MID($D1064,2,20))&lt;100000000,VALUE(MID($D1064,2,20)),1000000000),1000000000))+ROW()/100000,"")</f>
        <v/>
      </c>
    </row>
    <row r="1065">
      <c r="F1065" s="11" t="n"/>
      <c r="N1065" s="7">
        <f>IF($D1065="","",M1065*X1065/100)</f>
        <v/>
      </c>
      <c r="O1065" s="7" t="n"/>
      <c r="U1065" s="7" t="n"/>
      <c r="V1065" s="7" t="n"/>
      <c r="W1065" s="7">
        <f>IF($D1065="","",V1065*AB1065/100)</f>
        <v/>
      </c>
      <c r="X1065" s="7">
        <f>IF($D1065="","",V1065-W1065)</f>
        <v/>
      </c>
      <c r="Y1065" s="7">
        <f>IF($D1065="","",X1065-N1065)</f>
        <v/>
      </c>
      <c r="AB1065">
        <f>IF($D1065="","",IF($AN1065=1,Settings!$C$8,IF($AM1065=1,Settings!$C$6,Settings!$C$7))*100)</f>
        <v/>
      </c>
      <c r="AF1065" s="7" t="n"/>
      <c r="AI1065" s="11" t="n"/>
      <c r="AK1065">
        <f>IF($D1065="","",IF(COUNTIF($D$2:$D1065,$D1065)=1,1,0))</f>
        <v/>
      </c>
      <c r="AL1065">
        <f>IF($AK1065=1,SUMPRODUCT(--($AO$2:$AO$1601&lt;$AO1065))+1,"")</f>
        <v/>
      </c>
      <c r="AM1065">
        <f>IF($D1065="","",IF(OR($R1065=TRUE(),$R1065="TRUE"),1,0))</f>
        <v/>
      </c>
      <c r="AN1065">
        <f>IF($D1065="","",IF($AA1065="Yes",1,0))</f>
        <v/>
      </c>
      <c r="AO1065">
        <f>IF($AK1065=1,IFERROR(IF(VALUE($D1065)&lt;100000000,VALUE($D1065),1000000000),IFERROR(IF(VALUE(MID($D1065,2,20))&lt;100000000,VALUE(MID($D1065,2,20)),1000000000),1000000000))+ROW()/100000,"")</f>
        <v/>
      </c>
    </row>
    <row r="1066">
      <c r="F1066" s="11" t="n"/>
      <c r="N1066" s="7">
        <f>IF($D1066="","",M1066*X1066/100)</f>
        <v/>
      </c>
      <c r="O1066" s="7" t="n"/>
      <c r="U1066" s="7" t="n"/>
      <c r="V1066" s="7" t="n"/>
      <c r="W1066" s="7">
        <f>IF($D1066="","",V1066*AB1066/100)</f>
        <v/>
      </c>
      <c r="X1066" s="7">
        <f>IF($D1066="","",V1066-W1066)</f>
        <v/>
      </c>
      <c r="Y1066" s="7">
        <f>IF($D1066="","",X1066-N1066)</f>
        <v/>
      </c>
      <c r="AB1066">
        <f>IF($D1066="","",IF($AN1066=1,Settings!$C$8,IF($AM1066=1,Settings!$C$6,Settings!$C$7))*100)</f>
        <v/>
      </c>
      <c r="AF1066" s="7" t="n"/>
      <c r="AI1066" s="11" t="n"/>
      <c r="AK1066">
        <f>IF($D1066="","",IF(COUNTIF($D$2:$D1066,$D1066)=1,1,0))</f>
        <v/>
      </c>
      <c r="AL1066">
        <f>IF($AK1066=1,SUMPRODUCT(--($AO$2:$AO$1601&lt;$AO1066))+1,"")</f>
        <v/>
      </c>
      <c r="AM1066">
        <f>IF($D1066="","",IF(OR($R1066=TRUE(),$R1066="TRUE"),1,0))</f>
        <v/>
      </c>
      <c r="AN1066">
        <f>IF($D1066="","",IF($AA1066="Yes",1,0))</f>
        <v/>
      </c>
      <c r="AO1066">
        <f>IF($AK1066=1,IFERROR(IF(VALUE($D1066)&lt;100000000,VALUE($D1066),1000000000),IFERROR(IF(VALUE(MID($D1066,2,20))&lt;100000000,VALUE(MID($D1066,2,20)),1000000000),1000000000))+ROW()/100000,"")</f>
        <v/>
      </c>
    </row>
    <row r="1067">
      <c r="F1067" s="11" t="n"/>
      <c r="N1067" s="7">
        <f>IF($D1067="","",M1067*X1067/100)</f>
        <v/>
      </c>
      <c r="O1067" s="7" t="n"/>
      <c r="U1067" s="7" t="n"/>
      <c r="V1067" s="7" t="n"/>
      <c r="W1067" s="7">
        <f>IF($D1067="","",V1067*AB1067/100)</f>
        <v/>
      </c>
      <c r="X1067" s="7">
        <f>IF($D1067="","",V1067-W1067)</f>
        <v/>
      </c>
      <c r="Y1067" s="7">
        <f>IF($D1067="","",X1067-N1067)</f>
        <v/>
      </c>
      <c r="AB1067">
        <f>IF($D1067="","",IF($AN1067=1,Settings!$C$8,IF($AM1067=1,Settings!$C$6,Settings!$C$7))*100)</f>
        <v/>
      </c>
      <c r="AF1067" s="7" t="n"/>
      <c r="AI1067" s="11" t="n"/>
      <c r="AK1067">
        <f>IF($D1067="","",IF(COUNTIF($D$2:$D1067,$D1067)=1,1,0))</f>
        <v/>
      </c>
      <c r="AL1067">
        <f>IF($AK1067=1,SUMPRODUCT(--($AO$2:$AO$1601&lt;$AO1067))+1,"")</f>
        <v/>
      </c>
      <c r="AM1067">
        <f>IF($D1067="","",IF(OR($R1067=TRUE(),$R1067="TRUE"),1,0))</f>
        <v/>
      </c>
      <c r="AN1067">
        <f>IF($D1067="","",IF($AA1067="Yes",1,0))</f>
        <v/>
      </c>
      <c r="AO1067">
        <f>IF($AK1067=1,IFERROR(IF(VALUE($D1067)&lt;100000000,VALUE($D1067),1000000000),IFERROR(IF(VALUE(MID($D1067,2,20))&lt;100000000,VALUE(MID($D1067,2,20)),1000000000),1000000000))+ROW()/100000,"")</f>
        <v/>
      </c>
    </row>
    <row r="1068">
      <c r="F1068" s="11" t="n"/>
      <c r="N1068" s="7">
        <f>IF($D1068="","",M1068*X1068/100)</f>
        <v/>
      </c>
      <c r="O1068" s="7" t="n"/>
      <c r="U1068" s="7" t="n"/>
      <c r="V1068" s="7" t="n"/>
      <c r="W1068" s="7">
        <f>IF($D1068="","",V1068*AB1068/100)</f>
        <v/>
      </c>
      <c r="X1068" s="7">
        <f>IF($D1068="","",V1068-W1068)</f>
        <v/>
      </c>
      <c r="Y1068" s="7">
        <f>IF($D1068="","",X1068-N1068)</f>
        <v/>
      </c>
      <c r="AB1068">
        <f>IF($D1068="","",IF($AN1068=1,Settings!$C$8,IF($AM1068=1,Settings!$C$6,Settings!$C$7))*100)</f>
        <v/>
      </c>
      <c r="AF1068" s="7" t="n"/>
      <c r="AI1068" s="11" t="n"/>
      <c r="AK1068">
        <f>IF($D1068="","",IF(COUNTIF($D$2:$D1068,$D1068)=1,1,0))</f>
        <v/>
      </c>
      <c r="AL1068">
        <f>IF($AK1068=1,SUMPRODUCT(--($AO$2:$AO$1601&lt;$AO1068))+1,"")</f>
        <v/>
      </c>
      <c r="AM1068">
        <f>IF($D1068="","",IF(OR($R1068=TRUE(),$R1068="TRUE"),1,0))</f>
        <v/>
      </c>
      <c r="AN1068">
        <f>IF($D1068="","",IF($AA1068="Yes",1,0))</f>
        <v/>
      </c>
      <c r="AO1068">
        <f>IF($AK1068=1,IFERROR(IF(VALUE($D1068)&lt;100000000,VALUE($D1068),1000000000),IFERROR(IF(VALUE(MID($D1068,2,20))&lt;100000000,VALUE(MID($D1068,2,20)),1000000000),1000000000))+ROW()/100000,"")</f>
        <v/>
      </c>
    </row>
    <row r="1069">
      <c r="F1069" s="11" t="n"/>
      <c r="N1069" s="7">
        <f>IF($D1069="","",M1069*X1069/100)</f>
        <v/>
      </c>
      <c r="O1069" s="7" t="n"/>
      <c r="U1069" s="7" t="n"/>
      <c r="V1069" s="7" t="n"/>
      <c r="W1069" s="7">
        <f>IF($D1069="","",V1069*AB1069/100)</f>
        <v/>
      </c>
      <c r="X1069" s="7">
        <f>IF($D1069="","",V1069-W1069)</f>
        <v/>
      </c>
      <c r="Y1069" s="7">
        <f>IF($D1069="","",X1069-N1069)</f>
        <v/>
      </c>
      <c r="AB1069">
        <f>IF($D1069="","",IF($AN1069=1,Settings!$C$8,IF($AM1069=1,Settings!$C$6,Settings!$C$7))*100)</f>
        <v/>
      </c>
      <c r="AF1069" s="7" t="n"/>
      <c r="AI1069" s="11" t="n"/>
      <c r="AK1069">
        <f>IF($D1069="","",IF(COUNTIF($D$2:$D1069,$D1069)=1,1,0))</f>
        <v/>
      </c>
      <c r="AL1069">
        <f>IF($AK1069=1,SUMPRODUCT(--($AO$2:$AO$1601&lt;$AO1069))+1,"")</f>
        <v/>
      </c>
      <c r="AM1069">
        <f>IF($D1069="","",IF(OR($R1069=TRUE(),$R1069="TRUE"),1,0))</f>
        <v/>
      </c>
      <c r="AN1069">
        <f>IF($D1069="","",IF($AA1069="Yes",1,0))</f>
        <v/>
      </c>
      <c r="AO1069">
        <f>IF($AK1069=1,IFERROR(IF(VALUE($D1069)&lt;100000000,VALUE($D1069),1000000000),IFERROR(IF(VALUE(MID($D1069,2,20))&lt;100000000,VALUE(MID($D1069,2,20)),1000000000),1000000000))+ROW()/100000,"")</f>
        <v/>
      </c>
    </row>
    <row r="1070">
      <c r="F1070" s="11" t="n"/>
      <c r="N1070" s="7">
        <f>IF($D1070="","",M1070*X1070/100)</f>
        <v/>
      </c>
      <c r="O1070" s="7" t="n"/>
      <c r="U1070" s="7" t="n"/>
      <c r="V1070" s="7" t="n"/>
      <c r="W1070" s="7">
        <f>IF($D1070="","",V1070*AB1070/100)</f>
        <v/>
      </c>
      <c r="X1070" s="7">
        <f>IF($D1070="","",V1070-W1070)</f>
        <v/>
      </c>
      <c r="Y1070" s="7">
        <f>IF($D1070="","",X1070-N1070)</f>
        <v/>
      </c>
      <c r="AB1070">
        <f>IF($D1070="","",IF($AN1070=1,Settings!$C$8,IF($AM1070=1,Settings!$C$6,Settings!$C$7))*100)</f>
        <v/>
      </c>
      <c r="AF1070" s="7" t="n"/>
      <c r="AI1070" s="11" t="n"/>
      <c r="AK1070">
        <f>IF($D1070="","",IF(COUNTIF($D$2:$D1070,$D1070)=1,1,0))</f>
        <v/>
      </c>
      <c r="AL1070">
        <f>IF($AK1070=1,SUMPRODUCT(--($AO$2:$AO$1601&lt;$AO1070))+1,"")</f>
        <v/>
      </c>
      <c r="AM1070">
        <f>IF($D1070="","",IF(OR($R1070=TRUE(),$R1070="TRUE"),1,0))</f>
        <v/>
      </c>
      <c r="AN1070">
        <f>IF($D1070="","",IF($AA1070="Yes",1,0))</f>
        <v/>
      </c>
      <c r="AO1070">
        <f>IF($AK1070=1,IFERROR(IF(VALUE($D1070)&lt;100000000,VALUE($D1070),1000000000),IFERROR(IF(VALUE(MID($D1070,2,20))&lt;100000000,VALUE(MID($D1070,2,20)),1000000000),1000000000))+ROW()/100000,"")</f>
        <v/>
      </c>
    </row>
    <row r="1071">
      <c r="F1071" s="11" t="n"/>
      <c r="N1071" s="7">
        <f>IF($D1071="","",M1071*X1071/100)</f>
        <v/>
      </c>
      <c r="O1071" s="7" t="n"/>
      <c r="U1071" s="7" t="n"/>
      <c r="V1071" s="7" t="n"/>
      <c r="W1071" s="7">
        <f>IF($D1071="","",V1071*AB1071/100)</f>
        <v/>
      </c>
      <c r="X1071" s="7">
        <f>IF($D1071="","",V1071-W1071)</f>
        <v/>
      </c>
      <c r="Y1071" s="7">
        <f>IF($D1071="","",X1071-N1071)</f>
        <v/>
      </c>
      <c r="AB1071">
        <f>IF($D1071="","",IF($AN1071=1,Settings!$C$8,IF($AM1071=1,Settings!$C$6,Settings!$C$7))*100)</f>
        <v/>
      </c>
      <c r="AF1071" s="7" t="n"/>
      <c r="AI1071" s="11" t="n"/>
      <c r="AK1071">
        <f>IF($D1071="","",IF(COUNTIF($D$2:$D1071,$D1071)=1,1,0))</f>
        <v/>
      </c>
      <c r="AL1071">
        <f>IF($AK1071=1,SUMPRODUCT(--($AO$2:$AO$1601&lt;$AO1071))+1,"")</f>
        <v/>
      </c>
      <c r="AM1071">
        <f>IF($D1071="","",IF(OR($R1071=TRUE(),$R1071="TRUE"),1,0))</f>
        <v/>
      </c>
      <c r="AN1071">
        <f>IF($D1071="","",IF($AA1071="Yes",1,0))</f>
        <v/>
      </c>
      <c r="AO1071">
        <f>IF($AK1071=1,IFERROR(IF(VALUE($D1071)&lt;100000000,VALUE($D1071),1000000000),IFERROR(IF(VALUE(MID($D1071,2,20))&lt;100000000,VALUE(MID($D1071,2,20)),1000000000),1000000000))+ROW()/100000,"")</f>
        <v/>
      </c>
    </row>
    <row r="1072">
      <c r="F1072" s="11" t="n"/>
      <c r="N1072" s="7">
        <f>IF($D1072="","",M1072*X1072/100)</f>
        <v/>
      </c>
      <c r="O1072" s="7" t="n"/>
      <c r="U1072" s="7" t="n"/>
      <c r="V1072" s="7" t="n"/>
      <c r="W1072" s="7">
        <f>IF($D1072="","",V1072*AB1072/100)</f>
        <v/>
      </c>
      <c r="X1072" s="7">
        <f>IF($D1072="","",V1072-W1072)</f>
        <v/>
      </c>
      <c r="Y1072" s="7">
        <f>IF($D1072="","",X1072-N1072)</f>
        <v/>
      </c>
      <c r="AB1072">
        <f>IF($D1072="","",IF($AN1072=1,Settings!$C$8,IF($AM1072=1,Settings!$C$6,Settings!$C$7))*100)</f>
        <v/>
      </c>
      <c r="AF1072" s="7" t="n"/>
      <c r="AI1072" s="11" t="n"/>
      <c r="AK1072">
        <f>IF($D1072="","",IF(COUNTIF($D$2:$D1072,$D1072)=1,1,0))</f>
        <v/>
      </c>
      <c r="AL1072">
        <f>IF($AK1072=1,SUMPRODUCT(--($AO$2:$AO$1601&lt;$AO1072))+1,"")</f>
        <v/>
      </c>
      <c r="AM1072">
        <f>IF($D1072="","",IF(OR($R1072=TRUE(),$R1072="TRUE"),1,0))</f>
        <v/>
      </c>
      <c r="AN1072">
        <f>IF($D1072="","",IF($AA1072="Yes",1,0))</f>
        <v/>
      </c>
      <c r="AO1072">
        <f>IF($AK1072=1,IFERROR(IF(VALUE($D1072)&lt;100000000,VALUE($D1072),1000000000),IFERROR(IF(VALUE(MID($D1072,2,20))&lt;100000000,VALUE(MID($D1072,2,20)),1000000000),1000000000))+ROW()/100000,"")</f>
        <v/>
      </c>
    </row>
    <row r="1073">
      <c r="F1073" s="11" t="n"/>
      <c r="N1073" s="7">
        <f>IF($D1073="","",M1073*X1073/100)</f>
        <v/>
      </c>
      <c r="O1073" s="7" t="n"/>
      <c r="U1073" s="7" t="n"/>
      <c r="V1073" s="7" t="n"/>
      <c r="W1073" s="7">
        <f>IF($D1073="","",V1073*AB1073/100)</f>
        <v/>
      </c>
      <c r="X1073" s="7">
        <f>IF($D1073="","",V1073-W1073)</f>
        <v/>
      </c>
      <c r="Y1073" s="7">
        <f>IF($D1073="","",X1073-N1073)</f>
        <v/>
      </c>
      <c r="AB1073">
        <f>IF($D1073="","",IF($AN1073=1,Settings!$C$8,IF($AM1073=1,Settings!$C$6,Settings!$C$7))*100)</f>
        <v/>
      </c>
      <c r="AF1073" s="7" t="n"/>
      <c r="AI1073" s="11" t="n"/>
      <c r="AK1073">
        <f>IF($D1073="","",IF(COUNTIF($D$2:$D1073,$D1073)=1,1,0))</f>
        <v/>
      </c>
      <c r="AL1073">
        <f>IF($AK1073=1,SUMPRODUCT(--($AO$2:$AO$1601&lt;$AO1073))+1,"")</f>
        <v/>
      </c>
      <c r="AM1073">
        <f>IF($D1073="","",IF(OR($R1073=TRUE(),$R1073="TRUE"),1,0))</f>
        <v/>
      </c>
      <c r="AN1073">
        <f>IF($D1073="","",IF($AA1073="Yes",1,0))</f>
        <v/>
      </c>
      <c r="AO1073">
        <f>IF($AK1073=1,IFERROR(IF(VALUE($D1073)&lt;100000000,VALUE($D1073),1000000000),IFERROR(IF(VALUE(MID($D1073,2,20))&lt;100000000,VALUE(MID($D1073,2,20)),1000000000),1000000000))+ROW()/100000,"")</f>
        <v/>
      </c>
    </row>
    <row r="1074">
      <c r="F1074" s="11" t="n"/>
      <c r="N1074" s="7">
        <f>IF($D1074="","",M1074*X1074/100)</f>
        <v/>
      </c>
      <c r="O1074" s="7" t="n"/>
      <c r="U1074" s="7" t="n"/>
      <c r="V1074" s="7" t="n"/>
      <c r="W1074" s="7">
        <f>IF($D1074="","",V1074*AB1074/100)</f>
        <v/>
      </c>
      <c r="X1074" s="7">
        <f>IF($D1074="","",V1074-W1074)</f>
        <v/>
      </c>
      <c r="Y1074" s="7">
        <f>IF($D1074="","",X1074-N1074)</f>
        <v/>
      </c>
      <c r="AB1074">
        <f>IF($D1074="","",IF($AN1074=1,Settings!$C$8,IF($AM1074=1,Settings!$C$6,Settings!$C$7))*100)</f>
        <v/>
      </c>
      <c r="AF1074" s="7" t="n"/>
      <c r="AI1074" s="11" t="n"/>
      <c r="AK1074">
        <f>IF($D1074="","",IF(COUNTIF($D$2:$D1074,$D1074)=1,1,0))</f>
        <v/>
      </c>
      <c r="AL1074">
        <f>IF($AK1074=1,SUMPRODUCT(--($AO$2:$AO$1601&lt;$AO1074))+1,"")</f>
        <v/>
      </c>
      <c r="AM1074">
        <f>IF($D1074="","",IF(OR($R1074=TRUE(),$R1074="TRUE"),1,0))</f>
        <v/>
      </c>
      <c r="AN1074">
        <f>IF($D1074="","",IF($AA1074="Yes",1,0))</f>
        <v/>
      </c>
      <c r="AO1074">
        <f>IF($AK1074=1,IFERROR(IF(VALUE($D1074)&lt;100000000,VALUE($D1074),1000000000),IFERROR(IF(VALUE(MID($D1074,2,20))&lt;100000000,VALUE(MID($D1074,2,20)),1000000000),1000000000))+ROW()/100000,"")</f>
        <v/>
      </c>
    </row>
    <row r="1075">
      <c r="F1075" s="11" t="n"/>
      <c r="N1075" s="7">
        <f>IF($D1075="","",M1075*X1075/100)</f>
        <v/>
      </c>
      <c r="O1075" s="7" t="n"/>
      <c r="U1075" s="7" t="n"/>
      <c r="V1075" s="7" t="n"/>
      <c r="W1075" s="7">
        <f>IF($D1075="","",V1075*AB1075/100)</f>
        <v/>
      </c>
      <c r="X1075" s="7">
        <f>IF($D1075="","",V1075-W1075)</f>
        <v/>
      </c>
      <c r="Y1075" s="7">
        <f>IF($D1075="","",X1075-N1075)</f>
        <v/>
      </c>
      <c r="AB1075">
        <f>IF($D1075="","",IF($AN1075=1,Settings!$C$8,IF($AM1075=1,Settings!$C$6,Settings!$C$7))*100)</f>
        <v/>
      </c>
      <c r="AF1075" s="7" t="n"/>
      <c r="AI1075" s="11" t="n"/>
      <c r="AK1075">
        <f>IF($D1075="","",IF(COUNTIF($D$2:$D1075,$D1075)=1,1,0))</f>
        <v/>
      </c>
      <c r="AL1075">
        <f>IF($AK1075=1,SUMPRODUCT(--($AO$2:$AO$1601&lt;$AO1075))+1,"")</f>
        <v/>
      </c>
      <c r="AM1075">
        <f>IF($D1075="","",IF(OR($R1075=TRUE(),$R1075="TRUE"),1,0))</f>
        <v/>
      </c>
      <c r="AN1075">
        <f>IF($D1075="","",IF($AA1075="Yes",1,0))</f>
        <v/>
      </c>
      <c r="AO1075">
        <f>IF($AK1075=1,IFERROR(IF(VALUE($D1075)&lt;100000000,VALUE($D1075),1000000000),IFERROR(IF(VALUE(MID($D1075,2,20))&lt;100000000,VALUE(MID($D1075,2,20)),1000000000),1000000000))+ROW()/100000,"")</f>
        <v/>
      </c>
    </row>
    <row r="1076">
      <c r="F1076" s="11" t="n"/>
      <c r="N1076" s="7">
        <f>IF($D1076="","",M1076*X1076/100)</f>
        <v/>
      </c>
      <c r="O1076" s="7" t="n"/>
      <c r="U1076" s="7" t="n"/>
      <c r="V1076" s="7" t="n"/>
      <c r="W1076" s="7">
        <f>IF($D1076="","",V1076*AB1076/100)</f>
        <v/>
      </c>
      <c r="X1076" s="7">
        <f>IF($D1076="","",V1076-W1076)</f>
        <v/>
      </c>
      <c r="Y1076" s="7">
        <f>IF($D1076="","",X1076-N1076)</f>
        <v/>
      </c>
      <c r="AB1076">
        <f>IF($D1076="","",IF($AN1076=1,Settings!$C$8,IF($AM1076=1,Settings!$C$6,Settings!$C$7))*100)</f>
        <v/>
      </c>
      <c r="AF1076" s="7" t="n"/>
      <c r="AI1076" s="11" t="n"/>
      <c r="AK1076">
        <f>IF($D1076="","",IF(COUNTIF($D$2:$D1076,$D1076)=1,1,0))</f>
        <v/>
      </c>
      <c r="AL1076">
        <f>IF($AK1076=1,SUMPRODUCT(--($AO$2:$AO$1601&lt;$AO1076))+1,"")</f>
        <v/>
      </c>
      <c r="AM1076">
        <f>IF($D1076="","",IF(OR($R1076=TRUE(),$R1076="TRUE"),1,0))</f>
        <v/>
      </c>
      <c r="AN1076">
        <f>IF($D1076="","",IF($AA1076="Yes",1,0))</f>
        <v/>
      </c>
      <c r="AO1076">
        <f>IF($AK1076=1,IFERROR(IF(VALUE($D1076)&lt;100000000,VALUE($D1076),1000000000),IFERROR(IF(VALUE(MID($D1076,2,20))&lt;100000000,VALUE(MID($D1076,2,20)),1000000000),1000000000))+ROW()/100000,"")</f>
        <v/>
      </c>
    </row>
    <row r="1077">
      <c r="F1077" s="11" t="n"/>
      <c r="N1077" s="7">
        <f>IF($D1077="","",M1077*X1077/100)</f>
        <v/>
      </c>
      <c r="O1077" s="7" t="n"/>
      <c r="U1077" s="7" t="n"/>
      <c r="V1077" s="7" t="n"/>
      <c r="W1077" s="7">
        <f>IF($D1077="","",V1077*AB1077/100)</f>
        <v/>
      </c>
      <c r="X1077" s="7">
        <f>IF($D1077="","",V1077-W1077)</f>
        <v/>
      </c>
      <c r="Y1077" s="7">
        <f>IF($D1077="","",X1077-N1077)</f>
        <v/>
      </c>
      <c r="AB1077">
        <f>IF($D1077="","",IF($AN1077=1,Settings!$C$8,IF($AM1077=1,Settings!$C$6,Settings!$C$7))*100)</f>
        <v/>
      </c>
      <c r="AF1077" s="7" t="n"/>
      <c r="AI1077" s="11" t="n"/>
      <c r="AK1077">
        <f>IF($D1077="","",IF(COUNTIF($D$2:$D1077,$D1077)=1,1,0))</f>
        <v/>
      </c>
      <c r="AL1077">
        <f>IF($AK1077=1,SUMPRODUCT(--($AO$2:$AO$1601&lt;$AO1077))+1,"")</f>
        <v/>
      </c>
      <c r="AM1077">
        <f>IF($D1077="","",IF(OR($R1077=TRUE(),$R1077="TRUE"),1,0))</f>
        <v/>
      </c>
      <c r="AN1077">
        <f>IF($D1077="","",IF($AA1077="Yes",1,0))</f>
        <v/>
      </c>
      <c r="AO1077">
        <f>IF($AK1077=1,IFERROR(IF(VALUE($D1077)&lt;100000000,VALUE($D1077),1000000000),IFERROR(IF(VALUE(MID($D1077,2,20))&lt;100000000,VALUE(MID($D1077,2,20)),1000000000),1000000000))+ROW()/100000,"")</f>
        <v/>
      </c>
    </row>
    <row r="1078">
      <c r="F1078" s="11" t="n"/>
      <c r="N1078" s="7">
        <f>IF($D1078="","",M1078*X1078/100)</f>
        <v/>
      </c>
      <c r="O1078" s="7" t="n"/>
      <c r="U1078" s="7" t="n"/>
      <c r="V1078" s="7" t="n"/>
      <c r="W1078" s="7">
        <f>IF($D1078="","",V1078*AB1078/100)</f>
        <v/>
      </c>
      <c r="X1078" s="7">
        <f>IF($D1078="","",V1078-W1078)</f>
        <v/>
      </c>
      <c r="Y1078" s="7">
        <f>IF($D1078="","",X1078-N1078)</f>
        <v/>
      </c>
      <c r="AB1078">
        <f>IF($D1078="","",IF($AN1078=1,Settings!$C$8,IF($AM1078=1,Settings!$C$6,Settings!$C$7))*100)</f>
        <v/>
      </c>
      <c r="AF1078" s="7" t="n"/>
      <c r="AI1078" s="11" t="n"/>
      <c r="AK1078">
        <f>IF($D1078="","",IF(COUNTIF($D$2:$D1078,$D1078)=1,1,0))</f>
        <v/>
      </c>
      <c r="AL1078">
        <f>IF($AK1078=1,SUMPRODUCT(--($AO$2:$AO$1601&lt;$AO1078))+1,"")</f>
        <v/>
      </c>
      <c r="AM1078">
        <f>IF($D1078="","",IF(OR($R1078=TRUE(),$R1078="TRUE"),1,0))</f>
        <v/>
      </c>
      <c r="AN1078">
        <f>IF($D1078="","",IF($AA1078="Yes",1,0))</f>
        <v/>
      </c>
      <c r="AO1078">
        <f>IF($AK1078=1,IFERROR(IF(VALUE($D1078)&lt;100000000,VALUE($D1078),1000000000),IFERROR(IF(VALUE(MID($D1078,2,20))&lt;100000000,VALUE(MID($D1078,2,20)),1000000000),1000000000))+ROW()/100000,"")</f>
        <v/>
      </c>
    </row>
    <row r="1079">
      <c r="F1079" s="11" t="n"/>
      <c r="N1079" s="7">
        <f>IF($D1079="","",M1079*X1079/100)</f>
        <v/>
      </c>
      <c r="O1079" s="7" t="n"/>
      <c r="U1079" s="7" t="n"/>
      <c r="V1079" s="7" t="n"/>
      <c r="W1079" s="7">
        <f>IF($D1079="","",V1079*AB1079/100)</f>
        <v/>
      </c>
      <c r="X1079" s="7">
        <f>IF($D1079="","",V1079-W1079)</f>
        <v/>
      </c>
      <c r="Y1079" s="7">
        <f>IF($D1079="","",X1079-N1079)</f>
        <v/>
      </c>
      <c r="AB1079">
        <f>IF($D1079="","",IF($AN1079=1,Settings!$C$8,IF($AM1079=1,Settings!$C$6,Settings!$C$7))*100)</f>
        <v/>
      </c>
      <c r="AF1079" s="7" t="n"/>
      <c r="AI1079" s="11" t="n"/>
      <c r="AK1079">
        <f>IF($D1079="","",IF(COUNTIF($D$2:$D1079,$D1079)=1,1,0))</f>
        <v/>
      </c>
      <c r="AL1079">
        <f>IF($AK1079=1,SUMPRODUCT(--($AO$2:$AO$1601&lt;$AO1079))+1,"")</f>
        <v/>
      </c>
      <c r="AM1079">
        <f>IF($D1079="","",IF(OR($R1079=TRUE(),$R1079="TRUE"),1,0))</f>
        <v/>
      </c>
      <c r="AN1079">
        <f>IF($D1079="","",IF($AA1079="Yes",1,0))</f>
        <v/>
      </c>
      <c r="AO1079">
        <f>IF($AK1079=1,IFERROR(IF(VALUE($D1079)&lt;100000000,VALUE($D1079),1000000000),IFERROR(IF(VALUE(MID($D1079,2,20))&lt;100000000,VALUE(MID($D1079,2,20)),1000000000),1000000000))+ROW()/100000,"")</f>
        <v/>
      </c>
    </row>
    <row r="1080">
      <c r="F1080" s="11" t="n"/>
      <c r="N1080" s="7">
        <f>IF($D1080="","",M1080*X1080/100)</f>
        <v/>
      </c>
      <c r="O1080" s="7" t="n"/>
      <c r="U1080" s="7" t="n"/>
      <c r="V1080" s="7" t="n"/>
      <c r="W1080" s="7">
        <f>IF($D1080="","",V1080*AB1080/100)</f>
        <v/>
      </c>
      <c r="X1080" s="7">
        <f>IF($D1080="","",V1080-W1080)</f>
        <v/>
      </c>
      <c r="Y1080" s="7">
        <f>IF($D1080="","",X1080-N1080)</f>
        <v/>
      </c>
      <c r="AB1080">
        <f>IF($D1080="","",IF($AN1080=1,Settings!$C$8,IF($AM1080=1,Settings!$C$6,Settings!$C$7))*100)</f>
        <v/>
      </c>
      <c r="AF1080" s="7" t="n"/>
      <c r="AI1080" s="11" t="n"/>
      <c r="AK1080">
        <f>IF($D1080="","",IF(COUNTIF($D$2:$D1080,$D1080)=1,1,0))</f>
        <v/>
      </c>
      <c r="AL1080">
        <f>IF($AK1080=1,SUMPRODUCT(--($AO$2:$AO$1601&lt;$AO1080))+1,"")</f>
        <v/>
      </c>
      <c r="AM1080">
        <f>IF($D1080="","",IF(OR($R1080=TRUE(),$R1080="TRUE"),1,0))</f>
        <v/>
      </c>
      <c r="AN1080">
        <f>IF($D1080="","",IF($AA1080="Yes",1,0))</f>
        <v/>
      </c>
      <c r="AO1080">
        <f>IF($AK1080=1,IFERROR(IF(VALUE($D1080)&lt;100000000,VALUE($D1080),1000000000),IFERROR(IF(VALUE(MID($D1080,2,20))&lt;100000000,VALUE(MID($D1080,2,20)),1000000000),1000000000))+ROW()/100000,"")</f>
        <v/>
      </c>
    </row>
    <row r="1081">
      <c r="F1081" s="11" t="n"/>
      <c r="N1081" s="7">
        <f>IF($D1081="","",M1081*X1081/100)</f>
        <v/>
      </c>
      <c r="O1081" s="7" t="n"/>
      <c r="U1081" s="7" t="n"/>
      <c r="V1081" s="7" t="n"/>
      <c r="W1081" s="7">
        <f>IF($D1081="","",V1081*AB1081/100)</f>
        <v/>
      </c>
      <c r="X1081" s="7">
        <f>IF($D1081="","",V1081-W1081)</f>
        <v/>
      </c>
      <c r="Y1081" s="7">
        <f>IF($D1081="","",X1081-N1081)</f>
        <v/>
      </c>
      <c r="AB1081">
        <f>IF($D1081="","",IF($AN1081=1,Settings!$C$8,IF($AM1081=1,Settings!$C$6,Settings!$C$7))*100)</f>
        <v/>
      </c>
      <c r="AF1081" s="7" t="n"/>
      <c r="AI1081" s="11" t="n"/>
      <c r="AK1081">
        <f>IF($D1081="","",IF(COUNTIF($D$2:$D1081,$D1081)=1,1,0))</f>
        <v/>
      </c>
      <c r="AL1081">
        <f>IF($AK1081=1,SUMPRODUCT(--($AO$2:$AO$1601&lt;$AO1081))+1,"")</f>
        <v/>
      </c>
      <c r="AM1081">
        <f>IF($D1081="","",IF(OR($R1081=TRUE(),$R1081="TRUE"),1,0))</f>
        <v/>
      </c>
      <c r="AN1081">
        <f>IF($D1081="","",IF($AA1081="Yes",1,0))</f>
        <v/>
      </c>
      <c r="AO1081">
        <f>IF($AK1081=1,IFERROR(IF(VALUE($D1081)&lt;100000000,VALUE($D1081),1000000000),IFERROR(IF(VALUE(MID($D1081,2,20))&lt;100000000,VALUE(MID($D1081,2,20)),1000000000),1000000000))+ROW()/100000,"")</f>
        <v/>
      </c>
    </row>
    <row r="1082">
      <c r="F1082" s="11" t="n"/>
      <c r="N1082" s="7">
        <f>IF($D1082="","",M1082*X1082/100)</f>
        <v/>
      </c>
      <c r="O1082" s="7" t="n"/>
      <c r="U1082" s="7" t="n"/>
      <c r="V1082" s="7" t="n"/>
      <c r="W1082" s="7">
        <f>IF($D1082="","",V1082*AB1082/100)</f>
        <v/>
      </c>
      <c r="X1082" s="7">
        <f>IF($D1082="","",V1082-W1082)</f>
        <v/>
      </c>
      <c r="Y1082" s="7">
        <f>IF($D1082="","",X1082-N1082)</f>
        <v/>
      </c>
      <c r="AB1082">
        <f>IF($D1082="","",IF($AN1082=1,Settings!$C$8,IF($AM1082=1,Settings!$C$6,Settings!$C$7))*100)</f>
        <v/>
      </c>
      <c r="AF1082" s="7" t="n"/>
      <c r="AI1082" s="11" t="n"/>
      <c r="AK1082">
        <f>IF($D1082="","",IF(COUNTIF($D$2:$D1082,$D1082)=1,1,0))</f>
        <v/>
      </c>
      <c r="AL1082">
        <f>IF($AK1082=1,SUMPRODUCT(--($AO$2:$AO$1601&lt;$AO1082))+1,"")</f>
        <v/>
      </c>
      <c r="AM1082">
        <f>IF($D1082="","",IF(OR($R1082=TRUE(),$R1082="TRUE"),1,0))</f>
        <v/>
      </c>
      <c r="AN1082">
        <f>IF($D1082="","",IF($AA1082="Yes",1,0))</f>
        <v/>
      </c>
      <c r="AO1082">
        <f>IF($AK1082=1,IFERROR(IF(VALUE($D1082)&lt;100000000,VALUE($D1082),1000000000),IFERROR(IF(VALUE(MID($D1082,2,20))&lt;100000000,VALUE(MID($D1082,2,20)),1000000000),1000000000))+ROW()/100000,"")</f>
        <v/>
      </c>
    </row>
    <row r="1083">
      <c r="F1083" s="11" t="n"/>
      <c r="N1083" s="7">
        <f>IF($D1083="","",M1083*X1083/100)</f>
        <v/>
      </c>
      <c r="O1083" s="7" t="n"/>
      <c r="U1083" s="7" t="n"/>
      <c r="V1083" s="7" t="n"/>
      <c r="W1083" s="7">
        <f>IF($D1083="","",V1083*AB1083/100)</f>
        <v/>
      </c>
      <c r="X1083" s="7">
        <f>IF($D1083="","",V1083-W1083)</f>
        <v/>
      </c>
      <c r="Y1083" s="7">
        <f>IF($D1083="","",X1083-N1083)</f>
        <v/>
      </c>
      <c r="AB1083">
        <f>IF($D1083="","",IF($AN1083=1,Settings!$C$8,IF($AM1083=1,Settings!$C$6,Settings!$C$7))*100)</f>
        <v/>
      </c>
      <c r="AF1083" s="7" t="n"/>
      <c r="AI1083" s="11" t="n"/>
      <c r="AK1083">
        <f>IF($D1083="","",IF(COUNTIF($D$2:$D1083,$D1083)=1,1,0))</f>
        <v/>
      </c>
      <c r="AL1083">
        <f>IF($AK1083=1,SUMPRODUCT(--($AO$2:$AO$1601&lt;$AO1083))+1,"")</f>
        <v/>
      </c>
      <c r="AM1083">
        <f>IF($D1083="","",IF(OR($R1083=TRUE(),$R1083="TRUE"),1,0))</f>
        <v/>
      </c>
      <c r="AN1083">
        <f>IF($D1083="","",IF($AA1083="Yes",1,0))</f>
        <v/>
      </c>
      <c r="AO1083">
        <f>IF($AK1083=1,IFERROR(IF(VALUE($D1083)&lt;100000000,VALUE($D1083),1000000000),IFERROR(IF(VALUE(MID($D1083,2,20))&lt;100000000,VALUE(MID($D1083,2,20)),1000000000),1000000000))+ROW()/100000,"")</f>
        <v/>
      </c>
    </row>
    <row r="1084">
      <c r="F1084" s="11" t="n"/>
      <c r="N1084" s="7">
        <f>IF($D1084="","",M1084*X1084/100)</f>
        <v/>
      </c>
      <c r="O1084" s="7" t="n"/>
      <c r="U1084" s="7" t="n"/>
      <c r="V1084" s="7" t="n"/>
      <c r="W1084" s="7">
        <f>IF($D1084="","",V1084*AB1084/100)</f>
        <v/>
      </c>
      <c r="X1084" s="7">
        <f>IF($D1084="","",V1084-W1084)</f>
        <v/>
      </c>
      <c r="Y1084" s="7">
        <f>IF($D1084="","",X1084-N1084)</f>
        <v/>
      </c>
      <c r="AB1084">
        <f>IF($D1084="","",IF($AN1084=1,Settings!$C$8,IF($AM1084=1,Settings!$C$6,Settings!$C$7))*100)</f>
        <v/>
      </c>
      <c r="AF1084" s="7" t="n"/>
      <c r="AI1084" s="11" t="n"/>
      <c r="AK1084">
        <f>IF($D1084="","",IF(COUNTIF($D$2:$D1084,$D1084)=1,1,0))</f>
        <v/>
      </c>
      <c r="AL1084">
        <f>IF($AK1084=1,SUMPRODUCT(--($AO$2:$AO$1601&lt;$AO1084))+1,"")</f>
        <v/>
      </c>
      <c r="AM1084">
        <f>IF($D1084="","",IF(OR($R1084=TRUE(),$R1084="TRUE"),1,0))</f>
        <v/>
      </c>
      <c r="AN1084">
        <f>IF($D1084="","",IF($AA1084="Yes",1,0))</f>
        <v/>
      </c>
      <c r="AO1084">
        <f>IF($AK1084=1,IFERROR(IF(VALUE($D1084)&lt;100000000,VALUE($D1084),1000000000),IFERROR(IF(VALUE(MID($D1084,2,20))&lt;100000000,VALUE(MID($D1084,2,20)),1000000000),1000000000))+ROW()/100000,"")</f>
        <v/>
      </c>
    </row>
    <row r="1085">
      <c r="F1085" s="11" t="n"/>
      <c r="N1085" s="7">
        <f>IF($D1085="","",M1085*X1085/100)</f>
        <v/>
      </c>
      <c r="O1085" s="7" t="n"/>
      <c r="U1085" s="7" t="n"/>
      <c r="V1085" s="7" t="n"/>
      <c r="W1085" s="7">
        <f>IF($D1085="","",V1085*AB1085/100)</f>
        <v/>
      </c>
      <c r="X1085" s="7">
        <f>IF($D1085="","",V1085-W1085)</f>
        <v/>
      </c>
      <c r="Y1085" s="7">
        <f>IF($D1085="","",X1085-N1085)</f>
        <v/>
      </c>
      <c r="AB1085">
        <f>IF($D1085="","",IF($AN1085=1,Settings!$C$8,IF($AM1085=1,Settings!$C$6,Settings!$C$7))*100)</f>
        <v/>
      </c>
      <c r="AF1085" s="7" t="n"/>
      <c r="AI1085" s="11" t="n"/>
      <c r="AK1085">
        <f>IF($D1085="","",IF(COUNTIF($D$2:$D1085,$D1085)=1,1,0))</f>
        <v/>
      </c>
      <c r="AL1085">
        <f>IF($AK1085=1,SUMPRODUCT(--($AO$2:$AO$1601&lt;$AO1085))+1,"")</f>
        <v/>
      </c>
      <c r="AM1085">
        <f>IF($D1085="","",IF(OR($R1085=TRUE(),$R1085="TRUE"),1,0))</f>
        <v/>
      </c>
      <c r="AN1085">
        <f>IF($D1085="","",IF($AA1085="Yes",1,0))</f>
        <v/>
      </c>
      <c r="AO1085">
        <f>IF($AK1085=1,IFERROR(IF(VALUE($D1085)&lt;100000000,VALUE($D1085),1000000000),IFERROR(IF(VALUE(MID($D1085,2,20))&lt;100000000,VALUE(MID($D1085,2,20)),1000000000),1000000000))+ROW()/100000,"")</f>
        <v/>
      </c>
    </row>
    <row r="1086">
      <c r="F1086" s="11" t="n"/>
      <c r="N1086" s="7">
        <f>IF($D1086="","",M1086*X1086/100)</f>
        <v/>
      </c>
      <c r="O1086" s="7" t="n"/>
      <c r="U1086" s="7" t="n"/>
      <c r="V1086" s="7" t="n"/>
      <c r="W1086" s="7">
        <f>IF($D1086="","",V1086*AB1086/100)</f>
        <v/>
      </c>
      <c r="X1086" s="7">
        <f>IF($D1086="","",V1086-W1086)</f>
        <v/>
      </c>
      <c r="Y1086" s="7">
        <f>IF($D1086="","",X1086-N1086)</f>
        <v/>
      </c>
      <c r="AB1086">
        <f>IF($D1086="","",IF($AN1086=1,Settings!$C$8,IF($AM1086=1,Settings!$C$6,Settings!$C$7))*100)</f>
        <v/>
      </c>
      <c r="AF1086" s="7" t="n"/>
      <c r="AI1086" s="11" t="n"/>
      <c r="AK1086">
        <f>IF($D1086="","",IF(COUNTIF($D$2:$D1086,$D1086)=1,1,0))</f>
        <v/>
      </c>
      <c r="AL1086">
        <f>IF($AK1086=1,SUMPRODUCT(--($AO$2:$AO$1601&lt;$AO1086))+1,"")</f>
        <v/>
      </c>
      <c r="AM1086">
        <f>IF($D1086="","",IF(OR($R1086=TRUE(),$R1086="TRUE"),1,0))</f>
        <v/>
      </c>
      <c r="AN1086">
        <f>IF($D1086="","",IF($AA1086="Yes",1,0))</f>
        <v/>
      </c>
      <c r="AO1086">
        <f>IF($AK1086=1,IFERROR(IF(VALUE($D1086)&lt;100000000,VALUE($D1086),1000000000),IFERROR(IF(VALUE(MID($D1086,2,20))&lt;100000000,VALUE(MID($D1086,2,20)),1000000000),1000000000))+ROW()/100000,"")</f>
        <v/>
      </c>
    </row>
    <row r="1087">
      <c r="F1087" s="11" t="n"/>
      <c r="N1087" s="7">
        <f>IF($D1087="","",M1087*X1087/100)</f>
        <v/>
      </c>
      <c r="O1087" s="7" t="n"/>
      <c r="U1087" s="7" t="n"/>
      <c r="V1087" s="7" t="n"/>
      <c r="W1087" s="7">
        <f>IF($D1087="","",V1087*AB1087/100)</f>
        <v/>
      </c>
      <c r="X1087" s="7">
        <f>IF($D1087="","",V1087-W1087)</f>
        <v/>
      </c>
      <c r="Y1087" s="7">
        <f>IF($D1087="","",X1087-N1087)</f>
        <v/>
      </c>
      <c r="AB1087">
        <f>IF($D1087="","",IF($AN1087=1,Settings!$C$8,IF($AM1087=1,Settings!$C$6,Settings!$C$7))*100)</f>
        <v/>
      </c>
      <c r="AF1087" s="7" t="n"/>
      <c r="AI1087" s="11" t="n"/>
      <c r="AK1087">
        <f>IF($D1087="","",IF(COUNTIF($D$2:$D1087,$D1087)=1,1,0))</f>
        <v/>
      </c>
      <c r="AL1087">
        <f>IF($AK1087=1,SUMPRODUCT(--($AO$2:$AO$1601&lt;$AO1087))+1,"")</f>
        <v/>
      </c>
      <c r="AM1087">
        <f>IF($D1087="","",IF(OR($R1087=TRUE(),$R1087="TRUE"),1,0))</f>
        <v/>
      </c>
      <c r="AN1087">
        <f>IF($D1087="","",IF($AA1087="Yes",1,0))</f>
        <v/>
      </c>
      <c r="AO1087">
        <f>IF($AK1087=1,IFERROR(IF(VALUE($D1087)&lt;100000000,VALUE($D1087),1000000000),IFERROR(IF(VALUE(MID($D1087,2,20))&lt;100000000,VALUE(MID($D1087,2,20)),1000000000),1000000000))+ROW()/100000,"")</f>
        <v/>
      </c>
    </row>
    <row r="1088">
      <c r="F1088" s="11" t="n"/>
      <c r="N1088" s="7">
        <f>IF($D1088="","",M1088*X1088/100)</f>
        <v/>
      </c>
      <c r="O1088" s="7" t="n"/>
      <c r="U1088" s="7" t="n"/>
      <c r="V1088" s="7" t="n"/>
      <c r="W1088" s="7">
        <f>IF($D1088="","",V1088*AB1088/100)</f>
        <v/>
      </c>
      <c r="X1088" s="7">
        <f>IF($D1088="","",V1088-W1088)</f>
        <v/>
      </c>
      <c r="Y1088" s="7">
        <f>IF($D1088="","",X1088-N1088)</f>
        <v/>
      </c>
      <c r="AB1088">
        <f>IF($D1088="","",IF($AN1088=1,Settings!$C$8,IF($AM1088=1,Settings!$C$6,Settings!$C$7))*100)</f>
        <v/>
      </c>
      <c r="AF1088" s="7" t="n"/>
      <c r="AI1088" s="11" t="n"/>
      <c r="AK1088">
        <f>IF($D1088="","",IF(COUNTIF($D$2:$D1088,$D1088)=1,1,0))</f>
        <v/>
      </c>
      <c r="AL1088">
        <f>IF($AK1088=1,SUMPRODUCT(--($AO$2:$AO$1601&lt;$AO1088))+1,"")</f>
        <v/>
      </c>
      <c r="AM1088">
        <f>IF($D1088="","",IF(OR($R1088=TRUE(),$R1088="TRUE"),1,0))</f>
        <v/>
      </c>
      <c r="AN1088">
        <f>IF($D1088="","",IF($AA1088="Yes",1,0))</f>
        <v/>
      </c>
      <c r="AO1088">
        <f>IF($AK1088=1,IFERROR(IF(VALUE($D1088)&lt;100000000,VALUE($D1088),1000000000),IFERROR(IF(VALUE(MID($D1088,2,20))&lt;100000000,VALUE(MID($D1088,2,20)),1000000000),1000000000))+ROW()/100000,"")</f>
        <v/>
      </c>
    </row>
    <row r="1089">
      <c r="F1089" s="11" t="n"/>
      <c r="N1089" s="7">
        <f>IF($D1089="","",M1089*X1089/100)</f>
        <v/>
      </c>
      <c r="O1089" s="7" t="n"/>
      <c r="U1089" s="7" t="n"/>
      <c r="V1089" s="7" t="n"/>
      <c r="W1089" s="7">
        <f>IF($D1089="","",V1089*AB1089/100)</f>
        <v/>
      </c>
      <c r="X1089" s="7">
        <f>IF($D1089="","",V1089-W1089)</f>
        <v/>
      </c>
      <c r="Y1089" s="7">
        <f>IF($D1089="","",X1089-N1089)</f>
        <v/>
      </c>
      <c r="AB1089">
        <f>IF($D1089="","",IF($AN1089=1,Settings!$C$8,IF($AM1089=1,Settings!$C$6,Settings!$C$7))*100)</f>
        <v/>
      </c>
      <c r="AF1089" s="7" t="n"/>
      <c r="AI1089" s="11" t="n"/>
      <c r="AK1089">
        <f>IF($D1089="","",IF(COUNTIF($D$2:$D1089,$D1089)=1,1,0))</f>
        <v/>
      </c>
      <c r="AL1089">
        <f>IF($AK1089=1,SUMPRODUCT(--($AO$2:$AO$1601&lt;$AO1089))+1,"")</f>
        <v/>
      </c>
      <c r="AM1089">
        <f>IF($D1089="","",IF(OR($R1089=TRUE(),$R1089="TRUE"),1,0))</f>
        <v/>
      </c>
      <c r="AN1089">
        <f>IF($D1089="","",IF($AA1089="Yes",1,0))</f>
        <v/>
      </c>
      <c r="AO1089">
        <f>IF($AK1089=1,IFERROR(IF(VALUE($D1089)&lt;100000000,VALUE($D1089),1000000000),IFERROR(IF(VALUE(MID($D1089,2,20))&lt;100000000,VALUE(MID($D1089,2,20)),1000000000),1000000000))+ROW()/100000,"")</f>
        <v/>
      </c>
    </row>
    <row r="1090">
      <c r="F1090" s="11" t="n"/>
      <c r="N1090" s="7">
        <f>IF($D1090="","",M1090*X1090/100)</f>
        <v/>
      </c>
      <c r="O1090" s="7" t="n"/>
      <c r="U1090" s="7" t="n"/>
      <c r="V1090" s="7" t="n"/>
      <c r="W1090" s="7">
        <f>IF($D1090="","",V1090*AB1090/100)</f>
        <v/>
      </c>
      <c r="X1090" s="7">
        <f>IF($D1090="","",V1090-W1090)</f>
        <v/>
      </c>
      <c r="Y1090" s="7">
        <f>IF($D1090="","",X1090-N1090)</f>
        <v/>
      </c>
      <c r="AB1090">
        <f>IF($D1090="","",IF($AN1090=1,Settings!$C$8,IF($AM1090=1,Settings!$C$6,Settings!$C$7))*100)</f>
        <v/>
      </c>
      <c r="AF1090" s="7" t="n"/>
      <c r="AI1090" s="11" t="n"/>
      <c r="AK1090">
        <f>IF($D1090="","",IF(COUNTIF($D$2:$D1090,$D1090)=1,1,0))</f>
        <v/>
      </c>
      <c r="AL1090">
        <f>IF($AK1090=1,SUMPRODUCT(--($AO$2:$AO$1601&lt;$AO1090))+1,"")</f>
        <v/>
      </c>
      <c r="AM1090">
        <f>IF($D1090="","",IF(OR($R1090=TRUE(),$R1090="TRUE"),1,0))</f>
        <v/>
      </c>
      <c r="AN1090">
        <f>IF($D1090="","",IF($AA1090="Yes",1,0))</f>
        <v/>
      </c>
      <c r="AO1090">
        <f>IF($AK1090=1,IFERROR(IF(VALUE($D1090)&lt;100000000,VALUE($D1090),1000000000),IFERROR(IF(VALUE(MID($D1090,2,20))&lt;100000000,VALUE(MID($D1090,2,20)),1000000000),1000000000))+ROW()/100000,"")</f>
        <v/>
      </c>
    </row>
    <row r="1091">
      <c r="F1091" s="11" t="n"/>
      <c r="N1091" s="7">
        <f>IF($D1091="","",M1091*X1091/100)</f>
        <v/>
      </c>
      <c r="O1091" s="7" t="n"/>
      <c r="U1091" s="7" t="n"/>
      <c r="V1091" s="7" t="n"/>
      <c r="W1091" s="7">
        <f>IF($D1091="","",V1091*AB1091/100)</f>
        <v/>
      </c>
      <c r="X1091" s="7">
        <f>IF($D1091="","",V1091-W1091)</f>
        <v/>
      </c>
      <c r="Y1091" s="7">
        <f>IF($D1091="","",X1091-N1091)</f>
        <v/>
      </c>
      <c r="AB1091">
        <f>IF($D1091="","",IF($AN1091=1,Settings!$C$8,IF($AM1091=1,Settings!$C$6,Settings!$C$7))*100)</f>
        <v/>
      </c>
      <c r="AF1091" s="7" t="n"/>
      <c r="AI1091" s="11" t="n"/>
      <c r="AK1091">
        <f>IF($D1091="","",IF(COUNTIF($D$2:$D1091,$D1091)=1,1,0))</f>
        <v/>
      </c>
      <c r="AL1091">
        <f>IF($AK1091=1,SUMPRODUCT(--($AO$2:$AO$1601&lt;$AO1091))+1,"")</f>
        <v/>
      </c>
      <c r="AM1091">
        <f>IF($D1091="","",IF(OR($R1091=TRUE(),$R1091="TRUE"),1,0))</f>
        <v/>
      </c>
      <c r="AN1091">
        <f>IF($D1091="","",IF($AA1091="Yes",1,0))</f>
        <v/>
      </c>
      <c r="AO1091">
        <f>IF($AK1091=1,IFERROR(IF(VALUE($D1091)&lt;100000000,VALUE($D1091),1000000000),IFERROR(IF(VALUE(MID($D1091,2,20))&lt;100000000,VALUE(MID($D1091,2,20)),1000000000),1000000000))+ROW()/100000,"")</f>
        <v/>
      </c>
    </row>
    <row r="1092">
      <c r="F1092" s="11" t="n"/>
      <c r="N1092" s="7">
        <f>IF($D1092="","",M1092*X1092/100)</f>
        <v/>
      </c>
      <c r="O1092" s="7" t="n"/>
      <c r="U1092" s="7" t="n"/>
      <c r="V1092" s="7" t="n"/>
      <c r="W1092" s="7">
        <f>IF($D1092="","",V1092*AB1092/100)</f>
        <v/>
      </c>
      <c r="X1092" s="7">
        <f>IF($D1092="","",V1092-W1092)</f>
        <v/>
      </c>
      <c r="Y1092" s="7">
        <f>IF($D1092="","",X1092-N1092)</f>
        <v/>
      </c>
      <c r="AB1092">
        <f>IF($D1092="","",IF($AN1092=1,Settings!$C$8,IF($AM1092=1,Settings!$C$6,Settings!$C$7))*100)</f>
        <v/>
      </c>
      <c r="AF1092" s="7" t="n"/>
      <c r="AI1092" s="11" t="n"/>
      <c r="AK1092">
        <f>IF($D1092="","",IF(COUNTIF($D$2:$D1092,$D1092)=1,1,0))</f>
        <v/>
      </c>
      <c r="AL1092">
        <f>IF($AK1092=1,SUMPRODUCT(--($AO$2:$AO$1601&lt;$AO1092))+1,"")</f>
        <v/>
      </c>
      <c r="AM1092">
        <f>IF($D1092="","",IF(OR($R1092=TRUE(),$R1092="TRUE"),1,0))</f>
        <v/>
      </c>
      <c r="AN1092">
        <f>IF($D1092="","",IF($AA1092="Yes",1,0))</f>
        <v/>
      </c>
      <c r="AO1092">
        <f>IF($AK1092=1,IFERROR(IF(VALUE($D1092)&lt;100000000,VALUE($D1092),1000000000),IFERROR(IF(VALUE(MID($D1092,2,20))&lt;100000000,VALUE(MID($D1092,2,20)),1000000000),1000000000))+ROW()/100000,"")</f>
        <v/>
      </c>
    </row>
    <row r="1093">
      <c r="F1093" s="11" t="n"/>
      <c r="N1093" s="7">
        <f>IF($D1093="","",M1093*X1093/100)</f>
        <v/>
      </c>
      <c r="O1093" s="7" t="n"/>
      <c r="U1093" s="7" t="n"/>
      <c r="V1093" s="7" t="n"/>
      <c r="W1093" s="7">
        <f>IF($D1093="","",V1093*AB1093/100)</f>
        <v/>
      </c>
      <c r="X1093" s="7">
        <f>IF($D1093="","",V1093-W1093)</f>
        <v/>
      </c>
      <c r="Y1093" s="7">
        <f>IF($D1093="","",X1093-N1093)</f>
        <v/>
      </c>
      <c r="AB1093">
        <f>IF($D1093="","",IF($AN1093=1,Settings!$C$8,IF($AM1093=1,Settings!$C$6,Settings!$C$7))*100)</f>
        <v/>
      </c>
      <c r="AF1093" s="7" t="n"/>
      <c r="AI1093" s="11" t="n"/>
      <c r="AK1093">
        <f>IF($D1093="","",IF(COUNTIF($D$2:$D1093,$D1093)=1,1,0))</f>
        <v/>
      </c>
      <c r="AL1093">
        <f>IF($AK1093=1,SUMPRODUCT(--($AO$2:$AO$1601&lt;$AO1093))+1,"")</f>
        <v/>
      </c>
      <c r="AM1093">
        <f>IF($D1093="","",IF(OR($R1093=TRUE(),$R1093="TRUE"),1,0))</f>
        <v/>
      </c>
      <c r="AN1093">
        <f>IF($D1093="","",IF($AA1093="Yes",1,0))</f>
        <v/>
      </c>
      <c r="AO1093">
        <f>IF($AK1093=1,IFERROR(IF(VALUE($D1093)&lt;100000000,VALUE($D1093),1000000000),IFERROR(IF(VALUE(MID($D1093,2,20))&lt;100000000,VALUE(MID($D1093,2,20)),1000000000),1000000000))+ROW()/100000,"")</f>
        <v/>
      </c>
    </row>
    <row r="1094">
      <c r="F1094" s="11" t="n"/>
      <c r="N1094" s="7">
        <f>IF($D1094="","",M1094*X1094/100)</f>
        <v/>
      </c>
      <c r="O1094" s="7" t="n"/>
      <c r="U1094" s="7" t="n"/>
      <c r="V1094" s="7" t="n"/>
      <c r="W1094" s="7">
        <f>IF($D1094="","",V1094*AB1094/100)</f>
        <v/>
      </c>
      <c r="X1094" s="7">
        <f>IF($D1094="","",V1094-W1094)</f>
        <v/>
      </c>
      <c r="Y1094" s="7">
        <f>IF($D1094="","",X1094-N1094)</f>
        <v/>
      </c>
      <c r="AB1094">
        <f>IF($D1094="","",IF($AN1094=1,Settings!$C$8,IF($AM1094=1,Settings!$C$6,Settings!$C$7))*100)</f>
        <v/>
      </c>
      <c r="AF1094" s="7" t="n"/>
      <c r="AI1094" s="11" t="n"/>
      <c r="AK1094">
        <f>IF($D1094="","",IF(COUNTIF($D$2:$D1094,$D1094)=1,1,0))</f>
        <v/>
      </c>
      <c r="AL1094">
        <f>IF($AK1094=1,SUMPRODUCT(--($AO$2:$AO$1601&lt;$AO1094))+1,"")</f>
        <v/>
      </c>
      <c r="AM1094">
        <f>IF($D1094="","",IF(OR($R1094=TRUE(),$R1094="TRUE"),1,0))</f>
        <v/>
      </c>
      <c r="AN1094">
        <f>IF($D1094="","",IF($AA1094="Yes",1,0))</f>
        <v/>
      </c>
      <c r="AO1094">
        <f>IF($AK1094=1,IFERROR(IF(VALUE($D1094)&lt;100000000,VALUE($D1094),1000000000),IFERROR(IF(VALUE(MID($D1094,2,20))&lt;100000000,VALUE(MID($D1094,2,20)),1000000000),1000000000))+ROW()/100000,"")</f>
        <v/>
      </c>
    </row>
    <row r="1095">
      <c r="F1095" s="11" t="n"/>
      <c r="N1095" s="7">
        <f>IF($D1095="","",M1095*X1095/100)</f>
        <v/>
      </c>
      <c r="O1095" s="7" t="n"/>
      <c r="U1095" s="7" t="n"/>
      <c r="V1095" s="7" t="n"/>
      <c r="W1095" s="7">
        <f>IF($D1095="","",V1095*AB1095/100)</f>
        <v/>
      </c>
      <c r="X1095" s="7">
        <f>IF($D1095="","",V1095-W1095)</f>
        <v/>
      </c>
      <c r="Y1095" s="7">
        <f>IF($D1095="","",X1095-N1095)</f>
        <v/>
      </c>
      <c r="AB1095">
        <f>IF($D1095="","",IF($AN1095=1,Settings!$C$8,IF($AM1095=1,Settings!$C$6,Settings!$C$7))*100)</f>
        <v/>
      </c>
      <c r="AF1095" s="7" t="n"/>
      <c r="AI1095" s="11" t="n"/>
      <c r="AK1095">
        <f>IF($D1095="","",IF(COUNTIF($D$2:$D1095,$D1095)=1,1,0))</f>
        <v/>
      </c>
      <c r="AL1095">
        <f>IF($AK1095=1,SUMPRODUCT(--($AO$2:$AO$1601&lt;$AO1095))+1,"")</f>
        <v/>
      </c>
      <c r="AM1095">
        <f>IF($D1095="","",IF(OR($R1095=TRUE(),$R1095="TRUE"),1,0))</f>
        <v/>
      </c>
      <c r="AN1095">
        <f>IF($D1095="","",IF($AA1095="Yes",1,0))</f>
        <v/>
      </c>
      <c r="AO1095">
        <f>IF($AK1095=1,IFERROR(IF(VALUE($D1095)&lt;100000000,VALUE($D1095),1000000000),IFERROR(IF(VALUE(MID($D1095,2,20))&lt;100000000,VALUE(MID($D1095,2,20)),1000000000),1000000000))+ROW()/100000,"")</f>
        <v/>
      </c>
    </row>
    <row r="1096">
      <c r="F1096" s="11" t="n"/>
      <c r="N1096" s="7">
        <f>IF($D1096="","",M1096*X1096/100)</f>
        <v/>
      </c>
      <c r="O1096" s="7" t="n"/>
      <c r="U1096" s="7" t="n"/>
      <c r="V1096" s="7" t="n"/>
      <c r="W1096" s="7">
        <f>IF($D1096="","",V1096*AB1096/100)</f>
        <v/>
      </c>
      <c r="X1096" s="7">
        <f>IF($D1096="","",V1096-W1096)</f>
        <v/>
      </c>
      <c r="Y1096" s="7">
        <f>IF($D1096="","",X1096-N1096)</f>
        <v/>
      </c>
      <c r="AB1096">
        <f>IF($D1096="","",IF($AN1096=1,Settings!$C$8,IF($AM1096=1,Settings!$C$6,Settings!$C$7))*100)</f>
        <v/>
      </c>
      <c r="AF1096" s="7" t="n"/>
      <c r="AI1096" s="11" t="n"/>
      <c r="AK1096">
        <f>IF($D1096="","",IF(COUNTIF($D$2:$D1096,$D1096)=1,1,0))</f>
        <v/>
      </c>
      <c r="AL1096">
        <f>IF($AK1096=1,SUMPRODUCT(--($AO$2:$AO$1601&lt;$AO1096))+1,"")</f>
        <v/>
      </c>
      <c r="AM1096">
        <f>IF($D1096="","",IF(OR($R1096=TRUE(),$R1096="TRUE"),1,0))</f>
        <v/>
      </c>
      <c r="AN1096">
        <f>IF($D1096="","",IF($AA1096="Yes",1,0))</f>
        <v/>
      </c>
      <c r="AO1096">
        <f>IF($AK1096=1,IFERROR(IF(VALUE($D1096)&lt;100000000,VALUE($D1096),1000000000),IFERROR(IF(VALUE(MID($D1096,2,20))&lt;100000000,VALUE(MID($D1096,2,20)),1000000000),1000000000))+ROW()/100000,"")</f>
        <v/>
      </c>
    </row>
    <row r="1097">
      <c r="F1097" s="11" t="n"/>
      <c r="N1097" s="7">
        <f>IF($D1097="","",M1097*X1097/100)</f>
        <v/>
      </c>
      <c r="O1097" s="7" t="n"/>
      <c r="U1097" s="7" t="n"/>
      <c r="V1097" s="7" t="n"/>
      <c r="W1097" s="7">
        <f>IF($D1097="","",V1097*AB1097/100)</f>
        <v/>
      </c>
      <c r="X1097" s="7">
        <f>IF($D1097="","",V1097-W1097)</f>
        <v/>
      </c>
      <c r="Y1097" s="7">
        <f>IF($D1097="","",X1097-N1097)</f>
        <v/>
      </c>
      <c r="AB1097">
        <f>IF($D1097="","",IF($AN1097=1,Settings!$C$8,IF($AM1097=1,Settings!$C$6,Settings!$C$7))*100)</f>
        <v/>
      </c>
      <c r="AF1097" s="7" t="n"/>
      <c r="AI1097" s="11" t="n"/>
      <c r="AK1097">
        <f>IF($D1097="","",IF(COUNTIF($D$2:$D1097,$D1097)=1,1,0))</f>
        <v/>
      </c>
      <c r="AL1097">
        <f>IF($AK1097=1,SUMPRODUCT(--($AO$2:$AO$1601&lt;$AO1097))+1,"")</f>
        <v/>
      </c>
      <c r="AM1097">
        <f>IF($D1097="","",IF(OR($R1097=TRUE(),$R1097="TRUE"),1,0))</f>
        <v/>
      </c>
      <c r="AN1097">
        <f>IF($D1097="","",IF($AA1097="Yes",1,0))</f>
        <v/>
      </c>
      <c r="AO1097">
        <f>IF($AK1097=1,IFERROR(IF(VALUE($D1097)&lt;100000000,VALUE($D1097),1000000000),IFERROR(IF(VALUE(MID($D1097,2,20))&lt;100000000,VALUE(MID($D1097,2,20)),1000000000),1000000000))+ROW()/100000,"")</f>
        <v/>
      </c>
    </row>
    <row r="1098">
      <c r="F1098" s="11" t="n"/>
      <c r="N1098" s="7">
        <f>IF($D1098="","",M1098*X1098/100)</f>
        <v/>
      </c>
      <c r="O1098" s="7" t="n"/>
      <c r="U1098" s="7" t="n"/>
      <c r="V1098" s="7" t="n"/>
      <c r="W1098" s="7">
        <f>IF($D1098="","",V1098*AB1098/100)</f>
        <v/>
      </c>
      <c r="X1098" s="7">
        <f>IF($D1098="","",V1098-W1098)</f>
        <v/>
      </c>
      <c r="Y1098" s="7">
        <f>IF($D1098="","",X1098-N1098)</f>
        <v/>
      </c>
      <c r="AB1098">
        <f>IF($D1098="","",IF($AN1098=1,Settings!$C$8,IF($AM1098=1,Settings!$C$6,Settings!$C$7))*100)</f>
        <v/>
      </c>
      <c r="AF1098" s="7" t="n"/>
      <c r="AI1098" s="11" t="n"/>
      <c r="AK1098">
        <f>IF($D1098="","",IF(COUNTIF($D$2:$D1098,$D1098)=1,1,0))</f>
        <v/>
      </c>
      <c r="AL1098">
        <f>IF($AK1098=1,SUMPRODUCT(--($AO$2:$AO$1601&lt;$AO1098))+1,"")</f>
        <v/>
      </c>
      <c r="AM1098">
        <f>IF($D1098="","",IF(OR($R1098=TRUE(),$R1098="TRUE"),1,0))</f>
        <v/>
      </c>
      <c r="AN1098">
        <f>IF($D1098="","",IF($AA1098="Yes",1,0))</f>
        <v/>
      </c>
      <c r="AO1098">
        <f>IF($AK1098=1,IFERROR(IF(VALUE($D1098)&lt;100000000,VALUE($D1098),1000000000),IFERROR(IF(VALUE(MID($D1098,2,20))&lt;100000000,VALUE(MID($D1098,2,20)),1000000000),1000000000))+ROW()/100000,"")</f>
        <v/>
      </c>
    </row>
    <row r="1099">
      <c r="F1099" s="11" t="n"/>
      <c r="N1099" s="7">
        <f>IF($D1099="","",M1099*X1099/100)</f>
        <v/>
      </c>
      <c r="O1099" s="7" t="n"/>
      <c r="U1099" s="7" t="n"/>
      <c r="V1099" s="7" t="n"/>
      <c r="W1099" s="7">
        <f>IF($D1099="","",V1099*AB1099/100)</f>
        <v/>
      </c>
      <c r="X1099" s="7">
        <f>IF($D1099="","",V1099-W1099)</f>
        <v/>
      </c>
      <c r="Y1099" s="7">
        <f>IF($D1099="","",X1099-N1099)</f>
        <v/>
      </c>
      <c r="AB1099">
        <f>IF($D1099="","",IF($AN1099=1,Settings!$C$8,IF($AM1099=1,Settings!$C$6,Settings!$C$7))*100)</f>
        <v/>
      </c>
      <c r="AF1099" s="7" t="n"/>
      <c r="AI1099" s="11" t="n"/>
      <c r="AK1099">
        <f>IF($D1099="","",IF(COUNTIF($D$2:$D1099,$D1099)=1,1,0))</f>
        <v/>
      </c>
      <c r="AL1099">
        <f>IF($AK1099=1,SUMPRODUCT(--($AO$2:$AO$1601&lt;$AO1099))+1,"")</f>
        <v/>
      </c>
      <c r="AM1099">
        <f>IF($D1099="","",IF(OR($R1099=TRUE(),$R1099="TRUE"),1,0))</f>
        <v/>
      </c>
      <c r="AN1099">
        <f>IF($D1099="","",IF($AA1099="Yes",1,0))</f>
        <v/>
      </c>
      <c r="AO1099">
        <f>IF($AK1099=1,IFERROR(IF(VALUE($D1099)&lt;100000000,VALUE($D1099),1000000000),IFERROR(IF(VALUE(MID($D1099,2,20))&lt;100000000,VALUE(MID($D1099,2,20)),1000000000),1000000000))+ROW()/100000,"")</f>
        <v/>
      </c>
    </row>
    <row r="1100">
      <c r="F1100" s="11" t="n"/>
      <c r="N1100" s="7">
        <f>IF($D1100="","",M1100*X1100/100)</f>
        <v/>
      </c>
      <c r="O1100" s="7" t="n"/>
      <c r="U1100" s="7" t="n"/>
      <c r="V1100" s="7" t="n"/>
      <c r="W1100" s="7">
        <f>IF($D1100="","",V1100*AB1100/100)</f>
        <v/>
      </c>
      <c r="X1100" s="7">
        <f>IF($D1100="","",V1100-W1100)</f>
        <v/>
      </c>
      <c r="Y1100" s="7">
        <f>IF($D1100="","",X1100-N1100)</f>
        <v/>
      </c>
      <c r="AB1100">
        <f>IF($D1100="","",IF($AN1100=1,Settings!$C$8,IF($AM1100=1,Settings!$C$6,Settings!$C$7))*100)</f>
        <v/>
      </c>
      <c r="AF1100" s="7" t="n"/>
      <c r="AI1100" s="11" t="n"/>
      <c r="AK1100">
        <f>IF($D1100="","",IF(COUNTIF($D$2:$D1100,$D1100)=1,1,0))</f>
        <v/>
      </c>
      <c r="AL1100">
        <f>IF($AK1100=1,SUMPRODUCT(--($AO$2:$AO$1601&lt;$AO1100))+1,"")</f>
        <v/>
      </c>
      <c r="AM1100">
        <f>IF($D1100="","",IF(OR($R1100=TRUE(),$R1100="TRUE"),1,0))</f>
        <v/>
      </c>
      <c r="AN1100">
        <f>IF($D1100="","",IF($AA1100="Yes",1,0))</f>
        <v/>
      </c>
      <c r="AO1100">
        <f>IF($AK1100=1,IFERROR(IF(VALUE($D1100)&lt;100000000,VALUE($D1100),1000000000),IFERROR(IF(VALUE(MID($D1100,2,20))&lt;100000000,VALUE(MID($D1100,2,20)),1000000000),1000000000))+ROW()/100000,"")</f>
        <v/>
      </c>
    </row>
    <row r="1101">
      <c r="F1101" s="11" t="n"/>
      <c r="N1101" s="7">
        <f>IF($D1101="","",M1101*X1101/100)</f>
        <v/>
      </c>
      <c r="O1101" s="7" t="n"/>
      <c r="U1101" s="7" t="n"/>
      <c r="V1101" s="7" t="n"/>
      <c r="W1101" s="7">
        <f>IF($D1101="","",V1101*AB1101/100)</f>
        <v/>
      </c>
      <c r="X1101" s="7">
        <f>IF($D1101="","",V1101-W1101)</f>
        <v/>
      </c>
      <c r="Y1101" s="7">
        <f>IF($D1101="","",X1101-N1101)</f>
        <v/>
      </c>
      <c r="AB1101">
        <f>IF($D1101="","",IF($AN1101=1,Settings!$C$8,IF($AM1101=1,Settings!$C$6,Settings!$C$7))*100)</f>
        <v/>
      </c>
      <c r="AF1101" s="7" t="n"/>
      <c r="AI1101" s="11" t="n"/>
      <c r="AK1101">
        <f>IF($D1101="","",IF(COUNTIF($D$2:$D1101,$D1101)=1,1,0))</f>
        <v/>
      </c>
      <c r="AL1101">
        <f>IF($AK1101=1,SUMPRODUCT(--($AO$2:$AO$1601&lt;$AO1101))+1,"")</f>
        <v/>
      </c>
      <c r="AM1101">
        <f>IF($D1101="","",IF(OR($R1101=TRUE(),$R1101="TRUE"),1,0))</f>
        <v/>
      </c>
      <c r="AN1101">
        <f>IF($D1101="","",IF($AA1101="Yes",1,0))</f>
        <v/>
      </c>
      <c r="AO1101">
        <f>IF($AK1101=1,IFERROR(IF(VALUE($D1101)&lt;100000000,VALUE($D1101),1000000000),IFERROR(IF(VALUE(MID($D1101,2,20))&lt;100000000,VALUE(MID($D1101,2,20)),1000000000),1000000000))+ROW()/100000,"")</f>
        <v/>
      </c>
    </row>
    <row r="1102">
      <c r="F1102" s="11" t="n"/>
      <c r="N1102" s="7">
        <f>IF($D1102="","",M1102*X1102/100)</f>
        <v/>
      </c>
      <c r="O1102" s="7" t="n"/>
      <c r="U1102" s="7" t="n"/>
      <c r="V1102" s="7" t="n"/>
      <c r="W1102" s="7">
        <f>IF($D1102="","",V1102*AB1102/100)</f>
        <v/>
      </c>
      <c r="X1102" s="7">
        <f>IF($D1102="","",V1102-W1102)</f>
        <v/>
      </c>
      <c r="Y1102" s="7">
        <f>IF($D1102="","",X1102-N1102)</f>
        <v/>
      </c>
      <c r="AB1102">
        <f>IF($D1102="","",IF($AN1102=1,Settings!$C$8,IF($AM1102=1,Settings!$C$6,Settings!$C$7))*100)</f>
        <v/>
      </c>
      <c r="AF1102" s="7" t="n"/>
      <c r="AI1102" s="11" t="n"/>
      <c r="AK1102">
        <f>IF($D1102="","",IF(COUNTIF($D$2:$D1102,$D1102)=1,1,0))</f>
        <v/>
      </c>
      <c r="AL1102">
        <f>IF($AK1102=1,SUMPRODUCT(--($AO$2:$AO$1601&lt;$AO1102))+1,"")</f>
        <v/>
      </c>
      <c r="AM1102">
        <f>IF($D1102="","",IF(OR($R1102=TRUE(),$R1102="TRUE"),1,0))</f>
        <v/>
      </c>
      <c r="AN1102">
        <f>IF($D1102="","",IF($AA1102="Yes",1,0))</f>
        <v/>
      </c>
      <c r="AO1102">
        <f>IF($AK1102=1,IFERROR(IF(VALUE($D1102)&lt;100000000,VALUE($D1102),1000000000),IFERROR(IF(VALUE(MID($D1102,2,20))&lt;100000000,VALUE(MID($D1102,2,20)),1000000000),1000000000))+ROW()/100000,"")</f>
        <v/>
      </c>
    </row>
    <row r="1103">
      <c r="F1103" s="11" t="n"/>
      <c r="N1103" s="7">
        <f>IF($D1103="","",M1103*X1103/100)</f>
        <v/>
      </c>
      <c r="O1103" s="7" t="n"/>
      <c r="U1103" s="7" t="n"/>
      <c r="V1103" s="7" t="n"/>
      <c r="W1103" s="7">
        <f>IF($D1103="","",V1103*AB1103/100)</f>
        <v/>
      </c>
      <c r="X1103" s="7">
        <f>IF($D1103="","",V1103-W1103)</f>
        <v/>
      </c>
      <c r="Y1103" s="7">
        <f>IF($D1103="","",X1103-N1103)</f>
        <v/>
      </c>
      <c r="AB1103">
        <f>IF($D1103="","",IF($AN1103=1,Settings!$C$8,IF($AM1103=1,Settings!$C$6,Settings!$C$7))*100)</f>
        <v/>
      </c>
      <c r="AF1103" s="7" t="n"/>
      <c r="AI1103" s="11" t="n"/>
      <c r="AK1103">
        <f>IF($D1103="","",IF(COUNTIF($D$2:$D1103,$D1103)=1,1,0))</f>
        <v/>
      </c>
      <c r="AL1103">
        <f>IF($AK1103=1,SUMPRODUCT(--($AO$2:$AO$1601&lt;$AO1103))+1,"")</f>
        <v/>
      </c>
      <c r="AM1103">
        <f>IF($D1103="","",IF(OR($R1103=TRUE(),$R1103="TRUE"),1,0))</f>
        <v/>
      </c>
      <c r="AN1103">
        <f>IF($D1103="","",IF($AA1103="Yes",1,0))</f>
        <v/>
      </c>
      <c r="AO1103">
        <f>IF($AK1103=1,IFERROR(IF(VALUE($D1103)&lt;100000000,VALUE($D1103),1000000000),IFERROR(IF(VALUE(MID($D1103,2,20))&lt;100000000,VALUE(MID($D1103,2,20)),1000000000),1000000000))+ROW()/100000,"")</f>
        <v/>
      </c>
    </row>
    <row r="1104">
      <c r="F1104" s="11" t="n"/>
      <c r="N1104" s="7">
        <f>IF($D1104="","",M1104*X1104/100)</f>
        <v/>
      </c>
      <c r="O1104" s="7" t="n"/>
      <c r="U1104" s="7" t="n"/>
      <c r="V1104" s="7" t="n"/>
      <c r="W1104" s="7">
        <f>IF($D1104="","",V1104*AB1104/100)</f>
        <v/>
      </c>
      <c r="X1104" s="7">
        <f>IF($D1104="","",V1104-W1104)</f>
        <v/>
      </c>
      <c r="Y1104" s="7">
        <f>IF($D1104="","",X1104-N1104)</f>
        <v/>
      </c>
      <c r="AB1104">
        <f>IF($D1104="","",IF($AN1104=1,Settings!$C$8,IF($AM1104=1,Settings!$C$6,Settings!$C$7))*100)</f>
        <v/>
      </c>
      <c r="AF1104" s="7" t="n"/>
      <c r="AI1104" s="11" t="n"/>
      <c r="AK1104">
        <f>IF($D1104="","",IF(COUNTIF($D$2:$D1104,$D1104)=1,1,0))</f>
        <v/>
      </c>
      <c r="AL1104">
        <f>IF($AK1104=1,SUMPRODUCT(--($AO$2:$AO$1601&lt;$AO1104))+1,"")</f>
        <v/>
      </c>
      <c r="AM1104">
        <f>IF($D1104="","",IF(OR($R1104=TRUE(),$R1104="TRUE"),1,0))</f>
        <v/>
      </c>
      <c r="AN1104">
        <f>IF($D1104="","",IF($AA1104="Yes",1,0))</f>
        <v/>
      </c>
      <c r="AO1104">
        <f>IF($AK1104=1,IFERROR(IF(VALUE($D1104)&lt;100000000,VALUE($D1104),1000000000),IFERROR(IF(VALUE(MID($D1104,2,20))&lt;100000000,VALUE(MID($D1104,2,20)),1000000000),1000000000))+ROW()/100000,"")</f>
        <v/>
      </c>
    </row>
    <row r="1105">
      <c r="F1105" s="11" t="n"/>
      <c r="N1105" s="7">
        <f>IF($D1105="","",M1105*X1105/100)</f>
        <v/>
      </c>
      <c r="O1105" s="7" t="n"/>
      <c r="U1105" s="7" t="n"/>
      <c r="V1105" s="7" t="n"/>
      <c r="W1105" s="7">
        <f>IF($D1105="","",V1105*AB1105/100)</f>
        <v/>
      </c>
      <c r="X1105" s="7">
        <f>IF($D1105="","",V1105-W1105)</f>
        <v/>
      </c>
      <c r="Y1105" s="7">
        <f>IF($D1105="","",X1105-N1105)</f>
        <v/>
      </c>
      <c r="AB1105">
        <f>IF($D1105="","",IF($AN1105=1,Settings!$C$8,IF($AM1105=1,Settings!$C$6,Settings!$C$7))*100)</f>
        <v/>
      </c>
      <c r="AF1105" s="7" t="n"/>
      <c r="AI1105" s="11" t="n"/>
      <c r="AK1105">
        <f>IF($D1105="","",IF(COUNTIF($D$2:$D1105,$D1105)=1,1,0))</f>
        <v/>
      </c>
      <c r="AL1105">
        <f>IF($AK1105=1,SUMPRODUCT(--($AO$2:$AO$1601&lt;$AO1105))+1,"")</f>
        <v/>
      </c>
      <c r="AM1105">
        <f>IF($D1105="","",IF(OR($R1105=TRUE(),$R1105="TRUE"),1,0))</f>
        <v/>
      </c>
      <c r="AN1105">
        <f>IF($D1105="","",IF($AA1105="Yes",1,0))</f>
        <v/>
      </c>
      <c r="AO1105">
        <f>IF($AK1105=1,IFERROR(IF(VALUE($D1105)&lt;100000000,VALUE($D1105),1000000000),IFERROR(IF(VALUE(MID($D1105,2,20))&lt;100000000,VALUE(MID($D1105,2,20)),1000000000),1000000000))+ROW()/100000,"")</f>
        <v/>
      </c>
    </row>
    <row r="1106">
      <c r="F1106" s="11" t="n"/>
      <c r="N1106" s="7">
        <f>IF($D1106="","",M1106*X1106/100)</f>
        <v/>
      </c>
      <c r="O1106" s="7" t="n"/>
      <c r="U1106" s="7" t="n"/>
      <c r="V1106" s="7" t="n"/>
      <c r="W1106" s="7">
        <f>IF($D1106="","",V1106*AB1106/100)</f>
        <v/>
      </c>
      <c r="X1106" s="7">
        <f>IF($D1106="","",V1106-W1106)</f>
        <v/>
      </c>
      <c r="Y1106" s="7">
        <f>IF($D1106="","",X1106-N1106)</f>
        <v/>
      </c>
      <c r="AB1106">
        <f>IF($D1106="","",IF($AN1106=1,Settings!$C$8,IF($AM1106=1,Settings!$C$6,Settings!$C$7))*100)</f>
        <v/>
      </c>
      <c r="AF1106" s="7" t="n"/>
      <c r="AI1106" s="11" t="n"/>
      <c r="AK1106">
        <f>IF($D1106="","",IF(COUNTIF($D$2:$D1106,$D1106)=1,1,0))</f>
        <v/>
      </c>
      <c r="AL1106">
        <f>IF($AK1106=1,SUMPRODUCT(--($AO$2:$AO$1601&lt;$AO1106))+1,"")</f>
        <v/>
      </c>
      <c r="AM1106">
        <f>IF($D1106="","",IF(OR($R1106=TRUE(),$R1106="TRUE"),1,0))</f>
        <v/>
      </c>
      <c r="AN1106">
        <f>IF($D1106="","",IF($AA1106="Yes",1,0))</f>
        <v/>
      </c>
      <c r="AO1106">
        <f>IF($AK1106=1,IFERROR(IF(VALUE($D1106)&lt;100000000,VALUE($D1106),1000000000),IFERROR(IF(VALUE(MID($D1106,2,20))&lt;100000000,VALUE(MID($D1106,2,20)),1000000000),1000000000))+ROW()/100000,"")</f>
        <v/>
      </c>
    </row>
    <row r="1107">
      <c r="F1107" s="11" t="n"/>
      <c r="N1107" s="7">
        <f>IF($D1107="","",M1107*X1107/100)</f>
        <v/>
      </c>
      <c r="O1107" s="7" t="n"/>
      <c r="U1107" s="7" t="n"/>
      <c r="V1107" s="7" t="n"/>
      <c r="W1107" s="7">
        <f>IF($D1107="","",V1107*AB1107/100)</f>
        <v/>
      </c>
      <c r="X1107" s="7">
        <f>IF($D1107="","",V1107-W1107)</f>
        <v/>
      </c>
      <c r="Y1107" s="7">
        <f>IF($D1107="","",X1107-N1107)</f>
        <v/>
      </c>
      <c r="AB1107">
        <f>IF($D1107="","",IF($AN1107=1,Settings!$C$8,IF($AM1107=1,Settings!$C$6,Settings!$C$7))*100)</f>
        <v/>
      </c>
      <c r="AF1107" s="7" t="n"/>
      <c r="AI1107" s="11" t="n"/>
      <c r="AK1107">
        <f>IF($D1107="","",IF(COUNTIF($D$2:$D1107,$D1107)=1,1,0))</f>
        <v/>
      </c>
      <c r="AL1107">
        <f>IF($AK1107=1,SUMPRODUCT(--($AO$2:$AO$1601&lt;$AO1107))+1,"")</f>
        <v/>
      </c>
      <c r="AM1107">
        <f>IF($D1107="","",IF(OR($R1107=TRUE(),$R1107="TRUE"),1,0))</f>
        <v/>
      </c>
      <c r="AN1107">
        <f>IF($D1107="","",IF($AA1107="Yes",1,0))</f>
        <v/>
      </c>
      <c r="AO1107">
        <f>IF($AK1107=1,IFERROR(IF(VALUE($D1107)&lt;100000000,VALUE($D1107),1000000000),IFERROR(IF(VALUE(MID($D1107,2,20))&lt;100000000,VALUE(MID($D1107,2,20)),1000000000),1000000000))+ROW()/100000,"")</f>
        <v/>
      </c>
    </row>
    <row r="1108">
      <c r="F1108" s="11" t="n"/>
      <c r="N1108" s="7">
        <f>IF($D1108="","",M1108*X1108/100)</f>
        <v/>
      </c>
      <c r="O1108" s="7" t="n"/>
      <c r="U1108" s="7" t="n"/>
      <c r="V1108" s="7" t="n"/>
      <c r="W1108" s="7">
        <f>IF($D1108="","",V1108*AB1108/100)</f>
        <v/>
      </c>
      <c r="X1108" s="7">
        <f>IF($D1108="","",V1108-W1108)</f>
        <v/>
      </c>
      <c r="Y1108" s="7">
        <f>IF($D1108="","",X1108-N1108)</f>
        <v/>
      </c>
      <c r="AB1108">
        <f>IF($D1108="","",IF($AN1108=1,Settings!$C$8,IF($AM1108=1,Settings!$C$6,Settings!$C$7))*100)</f>
        <v/>
      </c>
      <c r="AF1108" s="7" t="n"/>
      <c r="AI1108" s="11" t="n"/>
      <c r="AK1108">
        <f>IF($D1108="","",IF(COUNTIF($D$2:$D1108,$D1108)=1,1,0))</f>
        <v/>
      </c>
      <c r="AL1108">
        <f>IF($AK1108=1,SUMPRODUCT(--($AO$2:$AO$1601&lt;$AO1108))+1,"")</f>
        <v/>
      </c>
      <c r="AM1108">
        <f>IF($D1108="","",IF(OR($R1108=TRUE(),$R1108="TRUE"),1,0))</f>
        <v/>
      </c>
      <c r="AN1108">
        <f>IF($D1108="","",IF($AA1108="Yes",1,0))</f>
        <v/>
      </c>
      <c r="AO1108">
        <f>IF($AK1108=1,IFERROR(IF(VALUE($D1108)&lt;100000000,VALUE($D1108),1000000000),IFERROR(IF(VALUE(MID($D1108,2,20))&lt;100000000,VALUE(MID($D1108,2,20)),1000000000),1000000000))+ROW()/100000,"")</f>
        <v/>
      </c>
    </row>
    <row r="1109">
      <c r="F1109" s="11" t="n"/>
      <c r="N1109" s="7">
        <f>IF($D1109="","",M1109*X1109/100)</f>
        <v/>
      </c>
      <c r="O1109" s="7" t="n"/>
      <c r="U1109" s="7" t="n"/>
      <c r="V1109" s="7" t="n"/>
      <c r="W1109" s="7">
        <f>IF($D1109="","",V1109*AB1109/100)</f>
        <v/>
      </c>
      <c r="X1109" s="7">
        <f>IF($D1109="","",V1109-W1109)</f>
        <v/>
      </c>
      <c r="Y1109" s="7">
        <f>IF($D1109="","",X1109-N1109)</f>
        <v/>
      </c>
      <c r="AB1109">
        <f>IF($D1109="","",IF($AN1109=1,Settings!$C$8,IF($AM1109=1,Settings!$C$6,Settings!$C$7))*100)</f>
        <v/>
      </c>
      <c r="AF1109" s="7" t="n"/>
      <c r="AI1109" s="11" t="n"/>
      <c r="AK1109">
        <f>IF($D1109="","",IF(COUNTIF($D$2:$D1109,$D1109)=1,1,0))</f>
        <v/>
      </c>
      <c r="AL1109">
        <f>IF($AK1109=1,SUMPRODUCT(--($AO$2:$AO$1601&lt;$AO1109))+1,"")</f>
        <v/>
      </c>
      <c r="AM1109">
        <f>IF($D1109="","",IF(OR($R1109=TRUE(),$R1109="TRUE"),1,0))</f>
        <v/>
      </c>
      <c r="AN1109">
        <f>IF($D1109="","",IF($AA1109="Yes",1,0))</f>
        <v/>
      </c>
      <c r="AO1109">
        <f>IF($AK1109=1,IFERROR(IF(VALUE($D1109)&lt;100000000,VALUE($D1109),1000000000),IFERROR(IF(VALUE(MID($D1109,2,20))&lt;100000000,VALUE(MID($D1109,2,20)),1000000000),1000000000))+ROW()/100000,"")</f>
        <v/>
      </c>
    </row>
    <row r="1110">
      <c r="F1110" s="11" t="n"/>
      <c r="N1110" s="7">
        <f>IF($D1110="","",M1110*X1110/100)</f>
        <v/>
      </c>
      <c r="O1110" s="7" t="n"/>
      <c r="U1110" s="7" t="n"/>
      <c r="V1110" s="7" t="n"/>
      <c r="W1110" s="7">
        <f>IF($D1110="","",V1110*AB1110/100)</f>
        <v/>
      </c>
      <c r="X1110" s="7">
        <f>IF($D1110="","",V1110-W1110)</f>
        <v/>
      </c>
      <c r="Y1110" s="7">
        <f>IF($D1110="","",X1110-N1110)</f>
        <v/>
      </c>
      <c r="AB1110">
        <f>IF($D1110="","",IF($AN1110=1,Settings!$C$8,IF($AM1110=1,Settings!$C$6,Settings!$C$7))*100)</f>
        <v/>
      </c>
      <c r="AF1110" s="7" t="n"/>
      <c r="AI1110" s="11" t="n"/>
      <c r="AK1110">
        <f>IF($D1110="","",IF(COUNTIF($D$2:$D1110,$D1110)=1,1,0))</f>
        <v/>
      </c>
      <c r="AL1110">
        <f>IF($AK1110=1,SUMPRODUCT(--($AO$2:$AO$1601&lt;$AO1110))+1,"")</f>
        <v/>
      </c>
      <c r="AM1110">
        <f>IF($D1110="","",IF(OR($R1110=TRUE(),$R1110="TRUE"),1,0))</f>
        <v/>
      </c>
      <c r="AN1110">
        <f>IF($D1110="","",IF($AA1110="Yes",1,0))</f>
        <v/>
      </c>
      <c r="AO1110">
        <f>IF($AK1110=1,IFERROR(IF(VALUE($D1110)&lt;100000000,VALUE($D1110),1000000000),IFERROR(IF(VALUE(MID($D1110,2,20))&lt;100000000,VALUE(MID($D1110,2,20)),1000000000),1000000000))+ROW()/100000,"")</f>
        <v/>
      </c>
    </row>
    <row r="1111">
      <c r="F1111" s="11" t="n"/>
      <c r="N1111" s="7">
        <f>IF($D1111="","",M1111*X1111/100)</f>
        <v/>
      </c>
      <c r="O1111" s="7" t="n"/>
      <c r="U1111" s="7" t="n"/>
      <c r="V1111" s="7" t="n"/>
      <c r="W1111" s="7">
        <f>IF($D1111="","",V1111*AB1111/100)</f>
        <v/>
      </c>
      <c r="X1111" s="7">
        <f>IF($D1111="","",V1111-W1111)</f>
        <v/>
      </c>
      <c r="Y1111" s="7">
        <f>IF($D1111="","",X1111-N1111)</f>
        <v/>
      </c>
      <c r="AB1111">
        <f>IF($D1111="","",IF($AN1111=1,Settings!$C$8,IF($AM1111=1,Settings!$C$6,Settings!$C$7))*100)</f>
        <v/>
      </c>
      <c r="AF1111" s="7" t="n"/>
      <c r="AI1111" s="11" t="n"/>
      <c r="AK1111">
        <f>IF($D1111="","",IF(COUNTIF($D$2:$D1111,$D1111)=1,1,0))</f>
        <v/>
      </c>
      <c r="AL1111">
        <f>IF($AK1111=1,SUMPRODUCT(--($AO$2:$AO$1601&lt;$AO1111))+1,"")</f>
        <v/>
      </c>
      <c r="AM1111">
        <f>IF($D1111="","",IF(OR($R1111=TRUE(),$R1111="TRUE"),1,0))</f>
        <v/>
      </c>
      <c r="AN1111">
        <f>IF($D1111="","",IF($AA1111="Yes",1,0))</f>
        <v/>
      </c>
      <c r="AO1111">
        <f>IF($AK1111=1,IFERROR(IF(VALUE($D1111)&lt;100000000,VALUE($D1111),1000000000),IFERROR(IF(VALUE(MID($D1111,2,20))&lt;100000000,VALUE(MID($D1111,2,20)),1000000000),1000000000))+ROW()/100000,"")</f>
        <v/>
      </c>
    </row>
    <row r="1112">
      <c r="F1112" s="11" t="n"/>
      <c r="N1112" s="7">
        <f>IF($D1112="","",M1112*X1112/100)</f>
        <v/>
      </c>
      <c r="O1112" s="7" t="n"/>
      <c r="U1112" s="7" t="n"/>
      <c r="V1112" s="7" t="n"/>
      <c r="W1112" s="7">
        <f>IF($D1112="","",V1112*AB1112/100)</f>
        <v/>
      </c>
      <c r="X1112" s="7">
        <f>IF($D1112="","",V1112-W1112)</f>
        <v/>
      </c>
      <c r="Y1112" s="7">
        <f>IF($D1112="","",X1112-N1112)</f>
        <v/>
      </c>
      <c r="AB1112">
        <f>IF($D1112="","",IF($AN1112=1,Settings!$C$8,IF($AM1112=1,Settings!$C$6,Settings!$C$7))*100)</f>
        <v/>
      </c>
      <c r="AF1112" s="7" t="n"/>
      <c r="AI1112" s="11" t="n"/>
      <c r="AK1112">
        <f>IF($D1112="","",IF(COUNTIF($D$2:$D1112,$D1112)=1,1,0))</f>
        <v/>
      </c>
      <c r="AL1112">
        <f>IF($AK1112=1,SUMPRODUCT(--($AO$2:$AO$1601&lt;$AO1112))+1,"")</f>
        <v/>
      </c>
      <c r="AM1112">
        <f>IF($D1112="","",IF(OR($R1112=TRUE(),$R1112="TRUE"),1,0))</f>
        <v/>
      </c>
      <c r="AN1112">
        <f>IF($D1112="","",IF($AA1112="Yes",1,0))</f>
        <v/>
      </c>
      <c r="AO1112">
        <f>IF($AK1112=1,IFERROR(IF(VALUE($D1112)&lt;100000000,VALUE($D1112),1000000000),IFERROR(IF(VALUE(MID($D1112,2,20))&lt;100000000,VALUE(MID($D1112,2,20)),1000000000),1000000000))+ROW()/100000,"")</f>
        <v/>
      </c>
    </row>
    <row r="1113">
      <c r="F1113" s="11" t="n"/>
      <c r="N1113" s="7">
        <f>IF($D1113="","",M1113*X1113/100)</f>
        <v/>
      </c>
      <c r="O1113" s="7" t="n"/>
      <c r="U1113" s="7" t="n"/>
      <c r="V1113" s="7" t="n"/>
      <c r="W1113" s="7">
        <f>IF($D1113="","",V1113*AB1113/100)</f>
        <v/>
      </c>
      <c r="X1113" s="7">
        <f>IF($D1113="","",V1113-W1113)</f>
        <v/>
      </c>
      <c r="Y1113" s="7">
        <f>IF($D1113="","",X1113-N1113)</f>
        <v/>
      </c>
      <c r="AB1113">
        <f>IF($D1113="","",IF($AN1113=1,Settings!$C$8,IF($AM1113=1,Settings!$C$6,Settings!$C$7))*100)</f>
        <v/>
      </c>
      <c r="AF1113" s="7" t="n"/>
      <c r="AI1113" s="11" t="n"/>
      <c r="AK1113">
        <f>IF($D1113="","",IF(COUNTIF($D$2:$D1113,$D1113)=1,1,0))</f>
        <v/>
      </c>
      <c r="AL1113">
        <f>IF($AK1113=1,SUMPRODUCT(--($AO$2:$AO$1601&lt;$AO1113))+1,"")</f>
        <v/>
      </c>
      <c r="AM1113">
        <f>IF($D1113="","",IF(OR($R1113=TRUE(),$R1113="TRUE"),1,0))</f>
        <v/>
      </c>
      <c r="AN1113">
        <f>IF($D1113="","",IF($AA1113="Yes",1,0))</f>
        <v/>
      </c>
      <c r="AO1113">
        <f>IF($AK1113=1,IFERROR(IF(VALUE($D1113)&lt;100000000,VALUE($D1113),1000000000),IFERROR(IF(VALUE(MID($D1113,2,20))&lt;100000000,VALUE(MID($D1113,2,20)),1000000000),1000000000))+ROW()/100000,"")</f>
        <v/>
      </c>
    </row>
    <row r="1114">
      <c r="F1114" s="11" t="n"/>
      <c r="N1114" s="7">
        <f>IF($D1114="","",M1114*X1114/100)</f>
        <v/>
      </c>
      <c r="O1114" s="7" t="n"/>
      <c r="U1114" s="7" t="n"/>
      <c r="V1114" s="7" t="n"/>
      <c r="W1114" s="7">
        <f>IF($D1114="","",V1114*AB1114/100)</f>
        <v/>
      </c>
      <c r="X1114" s="7">
        <f>IF($D1114="","",V1114-W1114)</f>
        <v/>
      </c>
      <c r="Y1114" s="7">
        <f>IF($D1114="","",X1114-N1114)</f>
        <v/>
      </c>
      <c r="AB1114">
        <f>IF($D1114="","",IF($AN1114=1,Settings!$C$8,IF($AM1114=1,Settings!$C$6,Settings!$C$7))*100)</f>
        <v/>
      </c>
      <c r="AF1114" s="7" t="n"/>
      <c r="AI1114" s="11" t="n"/>
      <c r="AK1114">
        <f>IF($D1114="","",IF(COUNTIF($D$2:$D1114,$D1114)=1,1,0))</f>
        <v/>
      </c>
      <c r="AL1114">
        <f>IF($AK1114=1,SUMPRODUCT(--($AO$2:$AO$1601&lt;$AO1114))+1,"")</f>
        <v/>
      </c>
      <c r="AM1114">
        <f>IF($D1114="","",IF(OR($R1114=TRUE(),$R1114="TRUE"),1,0))</f>
        <v/>
      </c>
      <c r="AN1114">
        <f>IF($D1114="","",IF($AA1114="Yes",1,0))</f>
        <v/>
      </c>
      <c r="AO1114">
        <f>IF($AK1114=1,IFERROR(IF(VALUE($D1114)&lt;100000000,VALUE($D1114),1000000000),IFERROR(IF(VALUE(MID($D1114,2,20))&lt;100000000,VALUE(MID($D1114,2,20)),1000000000),1000000000))+ROW()/100000,"")</f>
        <v/>
      </c>
    </row>
    <row r="1115">
      <c r="F1115" s="11" t="n"/>
      <c r="N1115" s="7">
        <f>IF($D1115="","",M1115*X1115/100)</f>
        <v/>
      </c>
      <c r="O1115" s="7" t="n"/>
      <c r="U1115" s="7" t="n"/>
      <c r="V1115" s="7" t="n"/>
      <c r="W1115" s="7">
        <f>IF($D1115="","",V1115*AB1115/100)</f>
        <v/>
      </c>
      <c r="X1115" s="7">
        <f>IF($D1115="","",V1115-W1115)</f>
        <v/>
      </c>
      <c r="Y1115" s="7">
        <f>IF($D1115="","",X1115-N1115)</f>
        <v/>
      </c>
      <c r="AB1115">
        <f>IF($D1115="","",IF($AN1115=1,Settings!$C$8,IF($AM1115=1,Settings!$C$6,Settings!$C$7))*100)</f>
        <v/>
      </c>
      <c r="AF1115" s="7" t="n"/>
      <c r="AI1115" s="11" t="n"/>
      <c r="AK1115">
        <f>IF($D1115="","",IF(COUNTIF($D$2:$D1115,$D1115)=1,1,0))</f>
        <v/>
      </c>
      <c r="AL1115">
        <f>IF($AK1115=1,SUMPRODUCT(--($AO$2:$AO$1601&lt;$AO1115))+1,"")</f>
        <v/>
      </c>
      <c r="AM1115">
        <f>IF($D1115="","",IF(OR($R1115=TRUE(),$R1115="TRUE"),1,0))</f>
        <v/>
      </c>
      <c r="AN1115">
        <f>IF($D1115="","",IF($AA1115="Yes",1,0))</f>
        <v/>
      </c>
      <c r="AO1115">
        <f>IF($AK1115=1,IFERROR(IF(VALUE($D1115)&lt;100000000,VALUE($D1115),1000000000),IFERROR(IF(VALUE(MID($D1115,2,20))&lt;100000000,VALUE(MID($D1115,2,20)),1000000000),1000000000))+ROW()/100000,"")</f>
        <v/>
      </c>
    </row>
    <row r="1116">
      <c r="F1116" s="11" t="n"/>
      <c r="N1116" s="7">
        <f>IF($D1116="","",M1116*X1116/100)</f>
        <v/>
      </c>
      <c r="O1116" s="7" t="n"/>
      <c r="U1116" s="7" t="n"/>
      <c r="V1116" s="7" t="n"/>
      <c r="W1116" s="7">
        <f>IF($D1116="","",V1116*AB1116/100)</f>
        <v/>
      </c>
      <c r="X1116" s="7">
        <f>IF($D1116="","",V1116-W1116)</f>
        <v/>
      </c>
      <c r="Y1116" s="7">
        <f>IF($D1116="","",X1116-N1116)</f>
        <v/>
      </c>
      <c r="AB1116">
        <f>IF($D1116="","",IF($AN1116=1,Settings!$C$8,IF($AM1116=1,Settings!$C$6,Settings!$C$7))*100)</f>
        <v/>
      </c>
      <c r="AF1116" s="7" t="n"/>
      <c r="AI1116" s="11" t="n"/>
      <c r="AK1116">
        <f>IF($D1116="","",IF(COUNTIF($D$2:$D1116,$D1116)=1,1,0))</f>
        <v/>
      </c>
      <c r="AL1116">
        <f>IF($AK1116=1,SUMPRODUCT(--($AO$2:$AO$1601&lt;$AO1116))+1,"")</f>
        <v/>
      </c>
      <c r="AM1116">
        <f>IF($D1116="","",IF(OR($R1116=TRUE(),$R1116="TRUE"),1,0))</f>
        <v/>
      </c>
      <c r="AN1116">
        <f>IF($D1116="","",IF($AA1116="Yes",1,0))</f>
        <v/>
      </c>
      <c r="AO1116">
        <f>IF($AK1116=1,IFERROR(IF(VALUE($D1116)&lt;100000000,VALUE($D1116),1000000000),IFERROR(IF(VALUE(MID($D1116,2,20))&lt;100000000,VALUE(MID($D1116,2,20)),1000000000),1000000000))+ROW()/100000,"")</f>
        <v/>
      </c>
    </row>
    <row r="1117">
      <c r="F1117" s="11" t="n"/>
      <c r="N1117" s="7">
        <f>IF($D1117="","",M1117*X1117/100)</f>
        <v/>
      </c>
      <c r="O1117" s="7" t="n"/>
      <c r="U1117" s="7" t="n"/>
      <c r="V1117" s="7" t="n"/>
      <c r="W1117" s="7">
        <f>IF($D1117="","",V1117*AB1117/100)</f>
        <v/>
      </c>
      <c r="X1117" s="7">
        <f>IF($D1117="","",V1117-W1117)</f>
        <v/>
      </c>
      <c r="Y1117" s="7">
        <f>IF($D1117="","",X1117-N1117)</f>
        <v/>
      </c>
      <c r="AB1117">
        <f>IF($D1117="","",IF($AN1117=1,Settings!$C$8,IF($AM1117=1,Settings!$C$6,Settings!$C$7))*100)</f>
        <v/>
      </c>
      <c r="AF1117" s="7" t="n"/>
      <c r="AI1117" s="11" t="n"/>
      <c r="AK1117">
        <f>IF($D1117="","",IF(COUNTIF($D$2:$D1117,$D1117)=1,1,0))</f>
        <v/>
      </c>
      <c r="AL1117">
        <f>IF($AK1117=1,SUMPRODUCT(--($AO$2:$AO$1601&lt;$AO1117))+1,"")</f>
        <v/>
      </c>
      <c r="AM1117">
        <f>IF($D1117="","",IF(OR($R1117=TRUE(),$R1117="TRUE"),1,0))</f>
        <v/>
      </c>
      <c r="AN1117">
        <f>IF($D1117="","",IF($AA1117="Yes",1,0))</f>
        <v/>
      </c>
      <c r="AO1117">
        <f>IF($AK1117=1,IFERROR(IF(VALUE($D1117)&lt;100000000,VALUE($D1117),1000000000),IFERROR(IF(VALUE(MID($D1117,2,20))&lt;100000000,VALUE(MID($D1117,2,20)),1000000000),1000000000))+ROW()/100000,"")</f>
        <v/>
      </c>
    </row>
    <row r="1118">
      <c r="F1118" s="11" t="n"/>
      <c r="N1118" s="7">
        <f>IF($D1118="","",M1118*X1118/100)</f>
        <v/>
      </c>
      <c r="O1118" s="7" t="n"/>
      <c r="U1118" s="7" t="n"/>
      <c r="V1118" s="7" t="n"/>
      <c r="W1118" s="7">
        <f>IF($D1118="","",V1118*AB1118/100)</f>
        <v/>
      </c>
      <c r="X1118" s="7">
        <f>IF($D1118="","",V1118-W1118)</f>
        <v/>
      </c>
      <c r="Y1118" s="7">
        <f>IF($D1118="","",X1118-N1118)</f>
        <v/>
      </c>
      <c r="AB1118">
        <f>IF($D1118="","",IF($AN1118=1,Settings!$C$8,IF($AM1118=1,Settings!$C$6,Settings!$C$7))*100)</f>
        <v/>
      </c>
      <c r="AF1118" s="7" t="n"/>
      <c r="AI1118" s="11" t="n"/>
      <c r="AK1118">
        <f>IF($D1118="","",IF(COUNTIF($D$2:$D1118,$D1118)=1,1,0))</f>
        <v/>
      </c>
      <c r="AL1118">
        <f>IF($AK1118=1,SUMPRODUCT(--($AO$2:$AO$1601&lt;$AO1118))+1,"")</f>
        <v/>
      </c>
      <c r="AM1118">
        <f>IF($D1118="","",IF(OR($R1118=TRUE(),$R1118="TRUE"),1,0))</f>
        <v/>
      </c>
      <c r="AN1118">
        <f>IF($D1118="","",IF($AA1118="Yes",1,0))</f>
        <v/>
      </c>
      <c r="AO1118">
        <f>IF($AK1118=1,IFERROR(IF(VALUE($D1118)&lt;100000000,VALUE($D1118),1000000000),IFERROR(IF(VALUE(MID($D1118,2,20))&lt;100000000,VALUE(MID($D1118,2,20)),1000000000),1000000000))+ROW()/100000,"")</f>
        <v/>
      </c>
    </row>
    <row r="1119">
      <c r="F1119" s="11" t="n"/>
      <c r="N1119" s="7">
        <f>IF($D1119="","",M1119*X1119/100)</f>
        <v/>
      </c>
      <c r="O1119" s="7" t="n"/>
      <c r="U1119" s="7" t="n"/>
      <c r="V1119" s="7" t="n"/>
      <c r="W1119" s="7">
        <f>IF($D1119="","",V1119*AB1119/100)</f>
        <v/>
      </c>
      <c r="X1119" s="7">
        <f>IF($D1119="","",V1119-W1119)</f>
        <v/>
      </c>
      <c r="Y1119" s="7">
        <f>IF($D1119="","",X1119-N1119)</f>
        <v/>
      </c>
      <c r="AB1119">
        <f>IF($D1119="","",IF($AN1119=1,Settings!$C$8,IF($AM1119=1,Settings!$C$6,Settings!$C$7))*100)</f>
        <v/>
      </c>
      <c r="AF1119" s="7" t="n"/>
      <c r="AI1119" s="11" t="n"/>
      <c r="AK1119">
        <f>IF($D1119="","",IF(COUNTIF($D$2:$D1119,$D1119)=1,1,0))</f>
        <v/>
      </c>
      <c r="AL1119">
        <f>IF($AK1119=1,SUMPRODUCT(--($AO$2:$AO$1601&lt;$AO1119))+1,"")</f>
        <v/>
      </c>
      <c r="AM1119">
        <f>IF($D1119="","",IF(OR($R1119=TRUE(),$R1119="TRUE"),1,0))</f>
        <v/>
      </c>
      <c r="AN1119">
        <f>IF($D1119="","",IF($AA1119="Yes",1,0))</f>
        <v/>
      </c>
      <c r="AO1119">
        <f>IF($AK1119=1,IFERROR(IF(VALUE($D1119)&lt;100000000,VALUE($D1119),1000000000),IFERROR(IF(VALUE(MID($D1119,2,20))&lt;100000000,VALUE(MID($D1119,2,20)),1000000000),1000000000))+ROW()/100000,"")</f>
        <v/>
      </c>
    </row>
    <row r="1120">
      <c r="F1120" s="11" t="n"/>
      <c r="N1120" s="7">
        <f>IF($D1120="","",M1120*X1120/100)</f>
        <v/>
      </c>
      <c r="O1120" s="7" t="n"/>
      <c r="U1120" s="7" t="n"/>
      <c r="V1120" s="7" t="n"/>
      <c r="W1120" s="7">
        <f>IF($D1120="","",V1120*AB1120/100)</f>
        <v/>
      </c>
      <c r="X1120" s="7">
        <f>IF($D1120="","",V1120-W1120)</f>
        <v/>
      </c>
      <c r="Y1120" s="7">
        <f>IF($D1120="","",X1120-N1120)</f>
        <v/>
      </c>
      <c r="AB1120">
        <f>IF($D1120="","",IF($AN1120=1,Settings!$C$8,IF($AM1120=1,Settings!$C$6,Settings!$C$7))*100)</f>
        <v/>
      </c>
      <c r="AF1120" s="7" t="n"/>
      <c r="AI1120" s="11" t="n"/>
      <c r="AK1120">
        <f>IF($D1120="","",IF(COUNTIF($D$2:$D1120,$D1120)=1,1,0))</f>
        <v/>
      </c>
      <c r="AL1120">
        <f>IF($AK1120=1,SUMPRODUCT(--($AO$2:$AO$1601&lt;$AO1120))+1,"")</f>
        <v/>
      </c>
      <c r="AM1120">
        <f>IF($D1120="","",IF(OR($R1120=TRUE(),$R1120="TRUE"),1,0))</f>
        <v/>
      </c>
      <c r="AN1120">
        <f>IF($D1120="","",IF($AA1120="Yes",1,0))</f>
        <v/>
      </c>
      <c r="AO1120">
        <f>IF($AK1120=1,IFERROR(IF(VALUE($D1120)&lt;100000000,VALUE($D1120),1000000000),IFERROR(IF(VALUE(MID($D1120,2,20))&lt;100000000,VALUE(MID($D1120,2,20)),1000000000),1000000000))+ROW()/100000,"")</f>
        <v/>
      </c>
    </row>
    <row r="1121">
      <c r="F1121" s="11" t="n"/>
      <c r="N1121" s="7">
        <f>IF($D1121="","",M1121*X1121/100)</f>
        <v/>
      </c>
      <c r="O1121" s="7" t="n"/>
      <c r="U1121" s="7" t="n"/>
      <c r="V1121" s="7" t="n"/>
      <c r="W1121" s="7">
        <f>IF($D1121="","",V1121*AB1121/100)</f>
        <v/>
      </c>
      <c r="X1121" s="7">
        <f>IF($D1121="","",V1121-W1121)</f>
        <v/>
      </c>
      <c r="Y1121" s="7">
        <f>IF($D1121="","",X1121-N1121)</f>
        <v/>
      </c>
      <c r="AB1121">
        <f>IF($D1121="","",IF($AN1121=1,Settings!$C$8,IF($AM1121=1,Settings!$C$6,Settings!$C$7))*100)</f>
        <v/>
      </c>
      <c r="AF1121" s="7" t="n"/>
      <c r="AI1121" s="11" t="n"/>
      <c r="AK1121">
        <f>IF($D1121="","",IF(COUNTIF($D$2:$D1121,$D1121)=1,1,0))</f>
        <v/>
      </c>
      <c r="AL1121">
        <f>IF($AK1121=1,SUMPRODUCT(--($AO$2:$AO$1601&lt;$AO1121))+1,"")</f>
        <v/>
      </c>
      <c r="AM1121">
        <f>IF($D1121="","",IF(OR($R1121=TRUE(),$R1121="TRUE"),1,0))</f>
        <v/>
      </c>
      <c r="AN1121">
        <f>IF($D1121="","",IF($AA1121="Yes",1,0))</f>
        <v/>
      </c>
      <c r="AO1121">
        <f>IF($AK1121=1,IFERROR(IF(VALUE($D1121)&lt;100000000,VALUE($D1121),1000000000),IFERROR(IF(VALUE(MID($D1121,2,20))&lt;100000000,VALUE(MID($D1121,2,20)),1000000000),1000000000))+ROW()/100000,"")</f>
        <v/>
      </c>
    </row>
    <row r="1122">
      <c r="F1122" s="11" t="n"/>
      <c r="N1122" s="7">
        <f>IF($D1122="","",M1122*X1122/100)</f>
        <v/>
      </c>
      <c r="O1122" s="7" t="n"/>
      <c r="U1122" s="7" t="n"/>
      <c r="V1122" s="7" t="n"/>
      <c r="W1122" s="7">
        <f>IF($D1122="","",V1122*AB1122/100)</f>
        <v/>
      </c>
      <c r="X1122" s="7">
        <f>IF($D1122="","",V1122-W1122)</f>
        <v/>
      </c>
      <c r="Y1122" s="7">
        <f>IF($D1122="","",X1122-N1122)</f>
        <v/>
      </c>
      <c r="AB1122">
        <f>IF($D1122="","",IF($AN1122=1,Settings!$C$8,IF($AM1122=1,Settings!$C$6,Settings!$C$7))*100)</f>
        <v/>
      </c>
      <c r="AF1122" s="7" t="n"/>
      <c r="AI1122" s="11" t="n"/>
      <c r="AK1122">
        <f>IF($D1122="","",IF(COUNTIF($D$2:$D1122,$D1122)=1,1,0))</f>
        <v/>
      </c>
      <c r="AL1122">
        <f>IF($AK1122=1,SUMPRODUCT(--($AO$2:$AO$1601&lt;$AO1122))+1,"")</f>
        <v/>
      </c>
      <c r="AM1122">
        <f>IF($D1122="","",IF(OR($R1122=TRUE(),$R1122="TRUE"),1,0))</f>
        <v/>
      </c>
      <c r="AN1122">
        <f>IF($D1122="","",IF($AA1122="Yes",1,0))</f>
        <v/>
      </c>
      <c r="AO1122">
        <f>IF($AK1122=1,IFERROR(IF(VALUE($D1122)&lt;100000000,VALUE($D1122),1000000000),IFERROR(IF(VALUE(MID($D1122,2,20))&lt;100000000,VALUE(MID($D1122,2,20)),1000000000),1000000000))+ROW()/100000,"")</f>
        <v/>
      </c>
    </row>
    <row r="1123">
      <c r="F1123" s="11" t="n"/>
      <c r="N1123" s="7">
        <f>IF($D1123="","",M1123*X1123/100)</f>
        <v/>
      </c>
      <c r="O1123" s="7" t="n"/>
      <c r="U1123" s="7" t="n"/>
      <c r="V1123" s="7" t="n"/>
      <c r="W1123" s="7">
        <f>IF($D1123="","",V1123*AB1123/100)</f>
        <v/>
      </c>
      <c r="X1123" s="7">
        <f>IF($D1123="","",V1123-W1123)</f>
        <v/>
      </c>
      <c r="Y1123" s="7">
        <f>IF($D1123="","",X1123-N1123)</f>
        <v/>
      </c>
      <c r="AB1123">
        <f>IF($D1123="","",IF($AN1123=1,Settings!$C$8,IF($AM1123=1,Settings!$C$6,Settings!$C$7))*100)</f>
        <v/>
      </c>
      <c r="AF1123" s="7" t="n"/>
      <c r="AI1123" s="11" t="n"/>
      <c r="AK1123">
        <f>IF($D1123="","",IF(COUNTIF($D$2:$D1123,$D1123)=1,1,0))</f>
        <v/>
      </c>
      <c r="AL1123">
        <f>IF($AK1123=1,SUMPRODUCT(--($AO$2:$AO$1601&lt;$AO1123))+1,"")</f>
        <v/>
      </c>
      <c r="AM1123">
        <f>IF($D1123="","",IF(OR($R1123=TRUE(),$R1123="TRUE"),1,0))</f>
        <v/>
      </c>
      <c r="AN1123">
        <f>IF($D1123="","",IF($AA1123="Yes",1,0))</f>
        <v/>
      </c>
      <c r="AO1123">
        <f>IF($AK1123=1,IFERROR(IF(VALUE($D1123)&lt;100000000,VALUE($D1123),1000000000),IFERROR(IF(VALUE(MID($D1123,2,20))&lt;100000000,VALUE(MID($D1123,2,20)),1000000000),1000000000))+ROW()/100000,"")</f>
        <v/>
      </c>
    </row>
    <row r="1124">
      <c r="F1124" s="11" t="n"/>
      <c r="N1124" s="7">
        <f>IF($D1124="","",M1124*X1124/100)</f>
        <v/>
      </c>
      <c r="O1124" s="7" t="n"/>
      <c r="U1124" s="7" t="n"/>
      <c r="V1124" s="7" t="n"/>
      <c r="W1124" s="7">
        <f>IF($D1124="","",V1124*AB1124/100)</f>
        <v/>
      </c>
      <c r="X1124" s="7">
        <f>IF($D1124="","",V1124-W1124)</f>
        <v/>
      </c>
      <c r="Y1124" s="7">
        <f>IF($D1124="","",X1124-N1124)</f>
        <v/>
      </c>
      <c r="AB1124">
        <f>IF($D1124="","",IF($AN1124=1,Settings!$C$8,IF($AM1124=1,Settings!$C$6,Settings!$C$7))*100)</f>
        <v/>
      </c>
      <c r="AF1124" s="7" t="n"/>
      <c r="AI1124" s="11" t="n"/>
      <c r="AK1124">
        <f>IF($D1124="","",IF(COUNTIF($D$2:$D1124,$D1124)=1,1,0))</f>
        <v/>
      </c>
      <c r="AL1124">
        <f>IF($AK1124=1,SUMPRODUCT(--($AO$2:$AO$1601&lt;$AO1124))+1,"")</f>
        <v/>
      </c>
      <c r="AM1124">
        <f>IF($D1124="","",IF(OR($R1124=TRUE(),$R1124="TRUE"),1,0))</f>
        <v/>
      </c>
      <c r="AN1124">
        <f>IF($D1124="","",IF($AA1124="Yes",1,0))</f>
        <v/>
      </c>
      <c r="AO1124">
        <f>IF($AK1124=1,IFERROR(IF(VALUE($D1124)&lt;100000000,VALUE($D1124),1000000000),IFERROR(IF(VALUE(MID($D1124,2,20))&lt;100000000,VALUE(MID($D1124,2,20)),1000000000),1000000000))+ROW()/100000,"")</f>
        <v/>
      </c>
    </row>
    <row r="1125">
      <c r="F1125" s="11" t="n"/>
      <c r="N1125" s="7">
        <f>IF($D1125="","",M1125*X1125/100)</f>
        <v/>
      </c>
      <c r="O1125" s="7" t="n"/>
      <c r="U1125" s="7" t="n"/>
      <c r="V1125" s="7" t="n"/>
      <c r="W1125" s="7">
        <f>IF($D1125="","",V1125*AB1125/100)</f>
        <v/>
      </c>
      <c r="X1125" s="7">
        <f>IF($D1125="","",V1125-W1125)</f>
        <v/>
      </c>
      <c r="Y1125" s="7">
        <f>IF($D1125="","",X1125-N1125)</f>
        <v/>
      </c>
      <c r="AB1125">
        <f>IF($D1125="","",IF($AN1125=1,Settings!$C$8,IF($AM1125=1,Settings!$C$6,Settings!$C$7))*100)</f>
        <v/>
      </c>
      <c r="AF1125" s="7" t="n"/>
      <c r="AI1125" s="11" t="n"/>
      <c r="AK1125">
        <f>IF($D1125="","",IF(COUNTIF($D$2:$D1125,$D1125)=1,1,0))</f>
        <v/>
      </c>
      <c r="AL1125">
        <f>IF($AK1125=1,SUMPRODUCT(--($AO$2:$AO$1601&lt;$AO1125))+1,"")</f>
        <v/>
      </c>
      <c r="AM1125">
        <f>IF($D1125="","",IF(OR($R1125=TRUE(),$R1125="TRUE"),1,0))</f>
        <v/>
      </c>
      <c r="AN1125">
        <f>IF($D1125="","",IF($AA1125="Yes",1,0))</f>
        <v/>
      </c>
      <c r="AO1125">
        <f>IF($AK1125=1,IFERROR(IF(VALUE($D1125)&lt;100000000,VALUE($D1125),1000000000),IFERROR(IF(VALUE(MID($D1125,2,20))&lt;100000000,VALUE(MID($D1125,2,20)),1000000000),1000000000))+ROW()/100000,"")</f>
        <v/>
      </c>
    </row>
    <row r="1126">
      <c r="F1126" s="11" t="n"/>
      <c r="N1126" s="7">
        <f>IF($D1126="","",M1126*X1126/100)</f>
        <v/>
      </c>
      <c r="O1126" s="7" t="n"/>
      <c r="U1126" s="7" t="n"/>
      <c r="V1126" s="7" t="n"/>
      <c r="W1126" s="7">
        <f>IF($D1126="","",V1126*AB1126/100)</f>
        <v/>
      </c>
      <c r="X1126" s="7">
        <f>IF($D1126="","",V1126-W1126)</f>
        <v/>
      </c>
      <c r="Y1126" s="7">
        <f>IF($D1126="","",X1126-N1126)</f>
        <v/>
      </c>
      <c r="AB1126">
        <f>IF($D1126="","",IF($AN1126=1,Settings!$C$8,IF($AM1126=1,Settings!$C$6,Settings!$C$7))*100)</f>
        <v/>
      </c>
      <c r="AF1126" s="7" t="n"/>
      <c r="AI1126" s="11" t="n"/>
      <c r="AK1126">
        <f>IF($D1126="","",IF(COUNTIF($D$2:$D1126,$D1126)=1,1,0))</f>
        <v/>
      </c>
      <c r="AL1126">
        <f>IF($AK1126=1,SUMPRODUCT(--($AO$2:$AO$1601&lt;$AO1126))+1,"")</f>
        <v/>
      </c>
      <c r="AM1126">
        <f>IF($D1126="","",IF(OR($R1126=TRUE(),$R1126="TRUE"),1,0))</f>
        <v/>
      </c>
      <c r="AN1126">
        <f>IF($D1126="","",IF($AA1126="Yes",1,0))</f>
        <v/>
      </c>
      <c r="AO1126">
        <f>IF($AK1126=1,IFERROR(IF(VALUE($D1126)&lt;100000000,VALUE($D1126),1000000000),IFERROR(IF(VALUE(MID($D1126,2,20))&lt;100000000,VALUE(MID($D1126,2,20)),1000000000),1000000000))+ROW()/100000,"")</f>
        <v/>
      </c>
    </row>
    <row r="1127">
      <c r="F1127" s="11" t="n"/>
      <c r="N1127" s="7">
        <f>IF($D1127="","",M1127*X1127/100)</f>
        <v/>
      </c>
      <c r="O1127" s="7" t="n"/>
      <c r="U1127" s="7" t="n"/>
      <c r="V1127" s="7" t="n"/>
      <c r="W1127" s="7">
        <f>IF($D1127="","",V1127*AB1127/100)</f>
        <v/>
      </c>
      <c r="X1127" s="7">
        <f>IF($D1127="","",V1127-W1127)</f>
        <v/>
      </c>
      <c r="Y1127" s="7">
        <f>IF($D1127="","",X1127-N1127)</f>
        <v/>
      </c>
      <c r="AB1127">
        <f>IF($D1127="","",IF($AN1127=1,Settings!$C$8,IF($AM1127=1,Settings!$C$6,Settings!$C$7))*100)</f>
        <v/>
      </c>
      <c r="AF1127" s="7" t="n"/>
      <c r="AI1127" s="11" t="n"/>
      <c r="AK1127">
        <f>IF($D1127="","",IF(COUNTIF($D$2:$D1127,$D1127)=1,1,0))</f>
        <v/>
      </c>
      <c r="AL1127">
        <f>IF($AK1127=1,SUMPRODUCT(--($AO$2:$AO$1601&lt;$AO1127))+1,"")</f>
        <v/>
      </c>
      <c r="AM1127">
        <f>IF($D1127="","",IF(OR($R1127=TRUE(),$R1127="TRUE"),1,0))</f>
        <v/>
      </c>
      <c r="AN1127">
        <f>IF($D1127="","",IF($AA1127="Yes",1,0))</f>
        <v/>
      </c>
      <c r="AO1127">
        <f>IF($AK1127=1,IFERROR(IF(VALUE($D1127)&lt;100000000,VALUE($D1127),1000000000),IFERROR(IF(VALUE(MID($D1127,2,20))&lt;100000000,VALUE(MID($D1127,2,20)),1000000000),1000000000))+ROW()/100000,"")</f>
        <v/>
      </c>
    </row>
    <row r="1128">
      <c r="F1128" s="11" t="n"/>
      <c r="N1128" s="7">
        <f>IF($D1128="","",M1128*X1128/100)</f>
        <v/>
      </c>
      <c r="O1128" s="7" t="n"/>
      <c r="U1128" s="7" t="n"/>
      <c r="V1128" s="7" t="n"/>
      <c r="W1128" s="7">
        <f>IF($D1128="","",V1128*AB1128/100)</f>
        <v/>
      </c>
      <c r="X1128" s="7">
        <f>IF($D1128="","",V1128-W1128)</f>
        <v/>
      </c>
      <c r="Y1128" s="7">
        <f>IF($D1128="","",X1128-N1128)</f>
        <v/>
      </c>
      <c r="AB1128">
        <f>IF($D1128="","",IF($AN1128=1,Settings!$C$8,IF($AM1128=1,Settings!$C$6,Settings!$C$7))*100)</f>
        <v/>
      </c>
      <c r="AF1128" s="7" t="n"/>
      <c r="AI1128" s="11" t="n"/>
      <c r="AK1128">
        <f>IF($D1128="","",IF(COUNTIF($D$2:$D1128,$D1128)=1,1,0))</f>
        <v/>
      </c>
      <c r="AL1128">
        <f>IF($AK1128=1,SUMPRODUCT(--($AO$2:$AO$1601&lt;$AO1128))+1,"")</f>
        <v/>
      </c>
      <c r="AM1128">
        <f>IF($D1128="","",IF(OR($R1128=TRUE(),$R1128="TRUE"),1,0))</f>
        <v/>
      </c>
      <c r="AN1128">
        <f>IF($D1128="","",IF($AA1128="Yes",1,0))</f>
        <v/>
      </c>
      <c r="AO1128">
        <f>IF($AK1128=1,IFERROR(IF(VALUE($D1128)&lt;100000000,VALUE($D1128),1000000000),IFERROR(IF(VALUE(MID($D1128,2,20))&lt;100000000,VALUE(MID($D1128,2,20)),1000000000),1000000000))+ROW()/100000,"")</f>
        <v/>
      </c>
    </row>
    <row r="1129">
      <c r="F1129" s="11" t="n"/>
      <c r="N1129" s="7">
        <f>IF($D1129="","",M1129*X1129/100)</f>
        <v/>
      </c>
      <c r="O1129" s="7" t="n"/>
      <c r="U1129" s="7" t="n"/>
      <c r="V1129" s="7" t="n"/>
      <c r="W1129" s="7">
        <f>IF($D1129="","",V1129*AB1129/100)</f>
        <v/>
      </c>
      <c r="X1129" s="7">
        <f>IF($D1129="","",V1129-W1129)</f>
        <v/>
      </c>
      <c r="Y1129" s="7">
        <f>IF($D1129="","",X1129-N1129)</f>
        <v/>
      </c>
      <c r="AB1129">
        <f>IF($D1129="","",IF($AN1129=1,Settings!$C$8,IF($AM1129=1,Settings!$C$6,Settings!$C$7))*100)</f>
        <v/>
      </c>
      <c r="AF1129" s="7" t="n"/>
      <c r="AI1129" s="11" t="n"/>
      <c r="AK1129">
        <f>IF($D1129="","",IF(COUNTIF($D$2:$D1129,$D1129)=1,1,0))</f>
        <v/>
      </c>
      <c r="AL1129">
        <f>IF($AK1129=1,SUMPRODUCT(--($AO$2:$AO$1601&lt;$AO1129))+1,"")</f>
        <v/>
      </c>
      <c r="AM1129">
        <f>IF($D1129="","",IF(OR($R1129=TRUE(),$R1129="TRUE"),1,0))</f>
        <v/>
      </c>
      <c r="AN1129">
        <f>IF($D1129="","",IF($AA1129="Yes",1,0))</f>
        <v/>
      </c>
      <c r="AO1129">
        <f>IF($AK1129=1,IFERROR(IF(VALUE($D1129)&lt;100000000,VALUE($D1129),1000000000),IFERROR(IF(VALUE(MID($D1129,2,20))&lt;100000000,VALUE(MID($D1129,2,20)),1000000000),1000000000))+ROW()/100000,"")</f>
        <v/>
      </c>
    </row>
    <row r="1130">
      <c r="F1130" s="11" t="n"/>
      <c r="N1130" s="7">
        <f>IF($D1130="","",M1130*X1130/100)</f>
        <v/>
      </c>
      <c r="O1130" s="7" t="n"/>
      <c r="U1130" s="7" t="n"/>
      <c r="V1130" s="7" t="n"/>
      <c r="W1130" s="7">
        <f>IF($D1130="","",V1130*AB1130/100)</f>
        <v/>
      </c>
      <c r="X1130" s="7">
        <f>IF($D1130="","",V1130-W1130)</f>
        <v/>
      </c>
      <c r="Y1130" s="7">
        <f>IF($D1130="","",X1130-N1130)</f>
        <v/>
      </c>
      <c r="AB1130">
        <f>IF($D1130="","",IF($AN1130=1,Settings!$C$8,IF($AM1130=1,Settings!$C$6,Settings!$C$7))*100)</f>
        <v/>
      </c>
      <c r="AF1130" s="7" t="n"/>
      <c r="AI1130" s="11" t="n"/>
      <c r="AK1130">
        <f>IF($D1130="","",IF(COUNTIF($D$2:$D1130,$D1130)=1,1,0))</f>
        <v/>
      </c>
      <c r="AL1130">
        <f>IF($AK1130=1,SUMPRODUCT(--($AO$2:$AO$1601&lt;$AO1130))+1,"")</f>
        <v/>
      </c>
      <c r="AM1130">
        <f>IF($D1130="","",IF(OR($R1130=TRUE(),$R1130="TRUE"),1,0))</f>
        <v/>
      </c>
      <c r="AN1130">
        <f>IF($D1130="","",IF($AA1130="Yes",1,0))</f>
        <v/>
      </c>
      <c r="AO1130">
        <f>IF($AK1130=1,IFERROR(IF(VALUE($D1130)&lt;100000000,VALUE($D1130),1000000000),IFERROR(IF(VALUE(MID($D1130,2,20))&lt;100000000,VALUE(MID($D1130,2,20)),1000000000),1000000000))+ROW()/100000,"")</f>
        <v/>
      </c>
    </row>
    <row r="1131">
      <c r="F1131" s="11" t="n"/>
      <c r="N1131" s="7">
        <f>IF($D1131="","",M1131*X1131/100)</f>
        <v/>
      </c>
      <c r="O1131" s="7" t="n"/>
      <c r="U1131" s="7" t="n"/>
      <c r="V1131" s="7" t="n"/>
      <c r="W1131" s="7">
        <f>IF($D1131="","",V1131*AB1131/100)</f>
        <v/>
      </c>
      <c r="X1131" s="7">
        <f>IF($D1131="","",V1131-W1131)</f>
        <v/>
      </c>
      <c r="Y1131" s="7">
        <f>IF($D1131="","",X1131-N1131)</f>
        <v/>
      </c>
      <c r="AB1131">
        <f>IF($D1131="","",IF($AN1131=1,Settings!$C$8,IF($AM1131=1,Settings!$C$6,Settings!$C$7))*100)</f>
        <v/>
      </c>
      <c r="AF1131" s="7" t="n"/>
      <c r="AI1131" s="11" t="n"/>
      <c r="AK1131">
        <f>IF($D1131="","",IF(COUNTIF($D$2:$D1131,$D1131)=1,1,0))</f>
        <v/>
      </c>
      <c r="AL1131">
        <f>IF($AK1131=1,SUMPRODUCT(--($AO$2:$AO$1601&lt;$AO1131))+1,"")</f>
        <v/>
      </c>
      <c r="AM1131">
        <f>IF($D1131="","",IF(OR($R1131=TRUE(),$R1131="TRUE"),1,0))</f>
        <v/>
      </c>
      <c r="AN1131">
        <f>IF($D1131="","",IF($AA1131="Yes",1,0))</f>
        <v/>
      </c>
      <c r="AO1131">
        <f>IF($AK1131=1,IFERROR(IF(VALUE($D1131)&lt;100000000,VALUE($D1131),1000000000),IFERROR(IF(VALUE(MID($D1131,2,20))&lt;100000000,VALUE(MID($D1131,2,20)),1000000000),1000000000))+ROW()/100000,"")</f>
        <v/>
      </c>
    </row>
    <row r="1132">
      <c r="F1132" s="11" t="n"/>
      <c r="N1132" s="7">
        <f>IF($D1132="","",M1132*X1132/100)</f>
        <v/>
      </c>
      <c r="O1132" s="7" t="n"/>
      <c r="U1132" s="7" t="n"/>
      <c r="V1132" s="7" t="n"/>
      <c r="W1132" s="7">
        <f>IF($D1132="","",V1132*AB1132/100)</f>
        <v/>
      </c>
      <c r="X1132" s="7">
        <f>IF($D1132="","",V1132-W1132)</f>
        <v/>
      </c>
      <c r="Y1132" s="7">
        <f>IF($D1132="","",X1132-N1132)</f>
        <v/>
      </c>
      <c r="AB1132">
        <f>IF($D1132="","",IF($AN1132=1,Settings!$C$8,IF($AM1132=1,Settings!$C$6,Settings!$C$7))*100)</f>
        <v/>
      </c>
      <c r="AF1132" s="7" t="n"/>
      <c r="AI1132" s="11" t="n"/>
      <c r="AK1132">
        <f>IF($D1132="","",IF(COUNTIF($D$2:$D1132,$D1132)=1,1,0))</f>
        <v/>
      </c>
      <c r="AL1132">
        <f>IF($AK1132=1,SUMPRODUCT(--($AO$2:$AO$1601&lt;$AO1132))+1,"")</f>
        <v/>
      </c>
      <c r="AM1132">
        <f>IF($D1132="","",IF(OR($R1132=TRUE(),$R1132="TRUE"),1,0))</f>
        <v/>
      </c>
      <c r="AN1132">
        <f>IF($D1132="","",IF($AA1132="Yes",1,0))</f>
        <v/>
      </c>
      <c r="AO1132">
        <f>IF($AK1132=1,IFERROR(IF(VALUE($D1132)&lt;100000000,VALUE($D1132),1000000000),IFERROR(IF(VALUE(MID($D1132,2,20))&lt;100000000,VALUE(MID($D1132,2,20)),1000000000),1000000000))+ROW()/100000,"")</f>
        <v/>
      </c>
    </row>
    <row r="1133">
      <c r="F1133" s="11" t="n"/>
      <c r="N1133" s="7">
        <f>IF($D1133="","",M1133*X1133/100)</f>
        <v/>
      </c>
      <c r="O1133" s="7" t="n"/>
      <c r="U1133" s="7" t="n"/>
      <c r="V1133" s="7" t="n"/>
      <c r="W1133" s="7">
        <f>IF($D1133="","",V1133*AB1133/100)</f>
        <v/>
      </c>
      <c r="X1133" s="7">
        <f>IF($D1133="","",V1133-W1133)</f>
        <v/>
      </c>
      <c r="Y1133" s="7">
        <f>IF($D1133="","",X1133-N1133)</f>
        <v/>
      </c>
      <c r="AB1133">
        <f>IF($D1133="","",IF($AN1133=1,Settings!$C$8,IF($AM1133=1,Settings!$C$6,Settings!$C$7))*100)</f>
        <v/>
      </c>
      <c r="AF1133" s="7" t="n"/>
      <c r="AI1133" s="11" t="n"/>
      <c r="AK1133">
        <f>IF($D1133="","",IF(COUNTIF($D$2:$D1133,$D1133)=1,1,0))</f>
        <v/>
      </c>
      <c r="AL1133">
        <f>IF($AK1133=1,SUMPRODUCT(--($AO$2:$AO$1601&lt;$AO1133))+1,"")</f>
        <v/>
      </c>
      <c r="AM1133">
        <f>IF($D1133="","",IF(OR($R1133=TRUE(),$R1133="TRUE"),1,0))</f>
        <v/>
      </c>
      <c r="AN1133">
        <f>IF($D1133="","",IF($AA1133="Yes",1,0))</f>
        <v/>
      </c>
      <c r="AO1133">
        <f>IF($AK1133=1,IFERROR(IF(VALUE($D1133)&lt;100000000,VALUE($D1133),1000000000),IFERROR(IF(VALUE(MID($D1133,2,20))&lt;100000000,VALUE(MID($D1133,2,20)),1000000000),1000000000))+ROW()/100000,"")</f>
        <v/>
      </c>
    </row>
    <row r="1134">
      <c r="F1134" s="11" t="n"/>
      <c r="N1134" s="7">
        <f>IF($D1134="","",M1134*X1134/100)</f>
        <v/>
      </c>
      <c r="O1134" s="7" t="n"/>
      <c r="U1134" s="7" t="n"/>
      <c r="V1134" s="7" t="n"/>
      <c r="W1134" s="7">
        <f>IF($D1134="","",V1134*AB1134/100)</f>
        <v/>
      </c>
      <c r="X1134" s="7">
        <f>IF($D1134="","",V1134-W1134)</f>
        <v/>
      </c>
      <c r="Y1134" s="7">
        <f>IF($D1134="","",X1134-N1134)</f>
        <v/>
      </c>
      <c r="AB1134">
        <f>IF($D1134="","",IF($AN1134=1,Settings!$C$8,IF($AM1134=1,Settings!$C$6,Settings!$C$7))*100)</f>
        <v/>
      </c>
      <c r="AF1134" s="7" t="n"/>
      <c r="AI1134" s="11" t="n"/>
      <c r="AK1134">
        <f>IF($D1134="","",IF(COUNTIF($D$2:$D1134,$D1134)=1,1,0))</f>
        <v/>
      </c>
      <c r="AL1134">
        <f>IF($AK1134=1,SUMPRODUCT(--($AO$2:$AO$1601&lt;$AO1134))+1,"")</f>
        <v/>
      </c>
      <c r="AM1134">
        <f>IF($D1134="","",IF(OR($R1134=TRUE(),$R1134="TRUE"),1,0))</f>
        <v/>
      </c>
      <c r="AN1134">
        <f>IF($D1134="","",IF($AA1134="Yes",1,0))</f>
        <v/>
      </c>
      <c r="AO1134">
        <f>IF($AK1134=1,IFERROR(IF(VALUE($D1134)&lt;100000000,VALUE($D1134),1000000000),IFERROR(IF(VALUE(MID($D1134,2,20))&lt;100000000,VALUE(MID($D1134,2,20)),1000000000),1000000000))+ROW()/100000,"")</f>
        <v/>
      </c>
    </row>
    <row r="1135">
      <c r="F1135" s="11" t="n"/>
      <c r="N1135" s="7">
        <f>IF($D1135="","",M1135*X1135/100)</f>
        <v/>
      </c>
      <c r="O1135" s="7" t="n"/>
      <c r="U1135" s="7" t="n"/>
      <c r="V1135" s="7" t="n"/>
      <c r="W1135" s="7">
        <f>IF($D1135="","",V1135*AB1135/100)</f>
        <v/>
      </c>
      <c r="X1135" s="7">
        <f>IF($D1135="","",V1135-W1135)</f>
        <v/>
      </c>
      <c r="Y1135" s="7">
        <f>IF($D1135="","",X1135-N1135)</f>
        <v/>
      </c>
      <c r="AB1135">
        <f>IF($D1135="","",IF($AN1135=1,Settings!$C$8,IF($AM1135=1,Settings!$C$6,Settings!$C$7))*100)</f>
        <v/>
      </c>
      <c r="AF1135" s="7" t="n"/>
      <c r="AI1135" s="11" t="n"/>
      <c r="AK1135">
        <f>IF($D1135="","",IF(COUNTIF($D$2:$D1135,$D1135)=1,1,0))</f>
        <v/>
      </c>
      <c r="AL1135">
        <f>IF($AK1135=1,SUMPRODUCT(--($AO$2:$AO$1601&lt;$AO1135))+1,"")</f>
        <v/>
      </c>
      <c r="AM1135">
        <f>IF($D1135="","",IF(OR($R1135=TRUE(),$R1135="TRUE"),1,0))</f>
        <v/>
      </c>
      <c r="AN1135">
        <f>IF($D1135="","",IF($AA1135="Yes",1,0))</f>
        <v/>
      </c>
      <c r="AO1135">
        <f>IF($AK1135=1,IFERROR(IF(VALUE($D1135)&lt;100000000,VALUE($D1135),1000000000),IFERROR(IF(VALUE(MID($D1135,2,20))&lt;100000000,VALUE(MID($D1135,2,20)),1000000000),1000000000))+ROW()/100000,"")</f>
        <v/>
      </c>
    </row>
    <row r="1136">
      <c r="F1136" s="11" t="n"/>
      <c r="N1136" s="7">
        <f>IF($D1136="","",M1136*X1136/100)</f>
        <v/>
      </c>
      <c r="O1136" s="7" t="n"/>
      <c r="U1136" s="7" t="n"/>
      <c r="V1136" s="7" t="n"/>
      <c r="W1136" s="7">
        <f>IF($D1136="","",V1136*AB1136/100)</f>
        <v/>
      </c>
      <c r="X1136" s="7">
        <f>IF($D1136="","",V1136-W1136)</f>
        <v/>
      </c>
      <c r="Y1136" s="7">
        <f>IF($D1136="","",X1136-N1136)</f>
        <v/>
      </c>
      <c r="AB1136">
        <f>IF($D1136="","",IF($AN1136=1,Settings!$C$8,IF($AM1136=1,Settings!$C$6,Settings!$C$7))*100)</f>
        <v/>
      </c>
      <c r="AF1136" s="7" t="n"/>
      <c r="AI1136" s="11" t="n"/>
      <c r="AK1136">
        <f>IF($D1136="","",IF(COUNTIF($D$2:$D1136,$D1136)=1,1,0))</f>
        <v/>
      </c>
      <c r="AL1136">
        <f>IF($AK1136=1,SUMPRODUCT(--($AO$2:$AO$1601&lt;$AO1136))+1,"")</f>
        <v/>
      </c>
      <c r="AM1136">
        <f>IF($D1136="","",IF(OR($R1136=TRUE(),$R1136="TRUE"),1,0))</f>
        <v/>
      </c>
      <c r="AN1136">
        <f>IF($D1136="","",IF($AA1136="Yes",1,0))</f>
        <v/>
      </c>
      <c r="AO1136">
        <f>IF($AK1136=1,IFERROR(IF(VALUE($D1136)&lt;100000000,VALUE($D1136),1000000000),IFERROR(IF(VALUE(MID($D1136,2,20))&lt;100000000,VALUE(MID($D1136,2,20)),1000000000),1000000000))+ROW()/100000,"")</f>
        <v/>
      </c>
    </row>
    <row r="1137">
      <c r="F1137" s="11" t="n"/>
      <c r="N1137" s="7">
        <f>IF($D1137="","",M1137*X1137/100)</f>
        <v/>
      </c>
      <c r="O1137" s="7" t="n"/>
      <c r="U1137" s="7" t="n"/>
      <c r="V1137" s="7" t="n"/>
      <c r="W1137" s="7">
        <f>IF($D1137="","",V1137*AB1137/100)</f>
        <v/>
      </c>
      <c r="X1137" s="7">
        <f>IF($D1137="","",V1137-W1137)</f>
        <v/>
      </c>
      <c r="Y1137" s="7">
        <f>IF($D1137="","",X1137-N1137)</f>
        <v/>
      </c>
      <c r="AB1137">
        <f>IF($D1137="","",IF($AN1137=1,Settings!$C$8,IF($AM1137=1,Settings!$C$6,Settings!$C$7))*100)</f>
        <v/>
      </c>
      <c r="AF1137" s="7" t="n"/>
      <c r="AI1137" s="11" t="n"/>
      <c r="AK1137">
        <f>IF($D1137="","",IF(COUNTIF($D$2:$D1137,$D1137)=1,1,0))</f>
        <v/>
      </c>
      <c r="AL1137">
        <f>IF($AK1137=1,SUMPRODUCT(--($AO$2:$AO$1601&lt;$AO1137))+1,"")</f>
        <v/>
      </c>
      <c r="AM1137">
        <f>IF($D1137="","",IF(OR($R1137=TRUE(),$R1137="TRUE"),1,0))</f>
        <v/>
      </c>
      <c r="AN1137">
        <f>IF($D1137="","",IF($AA1137="Yes",1,0))</f>
        <v/>
      </c>
      <c r="AO1137">
        <f>IF($AK1137=1,IFERROR(IF(VALUE($D1137)&lt;100000000,VALUE($D1137),1000000000),IFERROR(IF(VALUE(MID($D1137,2,20))&lt;100000000,VALUE(MID($D1137,2,20)),1000000000),1000000000))+ROW()/100000,"")</f>
        <v/>
      </c>
    </row>
    <row r="1138">
      <c r="F1138" s="11" t="n"/>
      <c r="N1138" s="7">
        <f>IF($D1138="","",M1138*X1138/100)</f>
        <v/>
      </c>
      <c r="O1138" s="7" t="n"/>
      <c r="U1138" s="7" t="n"/>
      <c r="V1138" s="7" t="n"/>
      <c r="W1138" s="7">
        <f>IF($D1138="","",V1138*AB1138/100)</f>
        <v/>
      </c>
      <c r="X1138" s="7">
        <f>IF($D1138="","",V1138-W1138)</f>
        <v/>
      </c>
      <c r="Y1138" s="7">
        <f>IF($D1138="","",X1138-N1138)</f>
        <v/>
      </c>
      <c r="AB1138">
        <f>IF($D1138="","",IF($AN1138=1,Settings!$C$8,IF($AM1138=1,Settings!$C$6,Settings!$C$7))*100)</f>
        <v/>
      </c>
      <c r="AF1138" s="7" t="n"/>
      <c r="AI1138" s="11" t="n"/>
      <c r="AK1138">
        <f>IF($D1138="","",IF(COUNTIF($D$2:$D1138,$D1138)=1,1,0))</f>
        <v/>
      </c>
      <c r="AL1138">
        <f>IF($AK1138=1,SUMPRODUCT(--($AO$2:$AO$1601&lt;$AO1138))+1,"")</f>
        <v/>
      </c>
      <c r="AM1138">
        <f>IF($D1138="","",IF(OR($R1138=TRUE(),$R1138="TRUE"),1,0))</f>
        <v/>
      </c>
      <c r="AN1138">
        <f>IF($D1138="","",IF($AA1138="Yes",1,0))</f>
        <v/>
      </c>
      <c r="AO1138">
        <f>IF($AK1138=1,IFERROR(IF(VALUE($D1138)&lt;100000000,VALUE($D1138),1000000000),IFERROR(IF(VALUE(MID($D1138,2,20))&lt;100000000,VALUE(MID($D1138,2,20)),1000000000),1000000000))+ROW()/100000,"")</f>
        <v/>
      </c>
    </row>
    <row r="1139">
      <c r="F1139" s="11" t="n"/>
      <c r="N1139" s="7">
        <f>IF($D1139="","",M1139*X1139/100)</f>
        <v/>
      </c>
      <c r="O1139" s="7" t="n"/>
      <c r="U1139" s="7" t="n"/>
      <c r="V1139" s="7" t="n"/>
      <c r="W1139" s="7">
        <f>IF($D1139="","",V1139*AB1139/100)</f>
        <v/>
      </c>
      <c r="X1139" s="7">
        <f>IF($D1139="","",V1139-W1139)</f>
        <v/>
      </c>
      <c r="Y1139" s="7">
        <f>IF($D1139="","",X1139-N1139)</f>
        <v/>
      </c>
      <c r="AB1139">
        <f>IF($D1139="","",IF($AN1139=1,Settings!$C$8,IF($AM1139=1,Settings!$C$6,Settings!$C$7))*100)</f>
        <v/>
      </c>
      <c r="AF1139" s="7" t="n"/>
      <c r="AI1139" s="11" t="n"/>
      <c r="AK1139">
        <f>IF($D1139="","",IF(COUNTIF($D$2:$D1139,$D1139)=1,1,0))</f>
        <v/>
      </c>
      <c r="AL1139">
        <f>IF($AK1139=1,SUMPRODUCT(--($AO$2:$AO$1601&lt;$AO1139))+1,"")</f>
        <v/>
      </c>
      <c r="AM1139">
        <f>IF($D1139="","",IF(OR($R1139=TRUE(),$R1139="TRUE"),1,0))</f>
        <v/>
      </c>
      <c r="AN1139">
        <f>IF($D1139="","",IF($AA1139="Yes",1,0))</f>
        <v/>
      </c>
      <c r="AO1139">
        <f>IF($AK1139=1,IFERROR(IF(VALUE($D1139)&lt;100000000,VALUE($D1139),1000000000),IFERROR(IF(VALUE(MID($D1139,2,20))&lt;100000000,VALUE(MID($D1139,2,20)),1000000000),1000000000))+ROW()/100000,"")</f>
        <v/>
      </c>
    </row>
    <row r="1140">
      <c r="F1140" s="11" t="n"/>
      <c r="N1140" s="7">
        <f>IF($D1140="","",M1140*X1140/100)</f>
        <v/>
      </c>
      <c r="O1140" s="7" t="n"/>
      <c r="U1140" s="7" t="n"/>
      <c r="V1140" s="7" t="n"/>
      <c r="W1140" s="7">
        <f>IF($D1140="","",V1140*AB1140/100)</f>
        <v/>
      </c>
      <c r="X1140" s="7">
        <f>IF($D1140="","",V1140-W1140)</f>
        <v/>
      </c>
      <c r="Y1140" s="7">
        <f>IF($D1140="","",X1140-N1140)</f>
        <v/>
      </c>
      <c r="AB1140">
        <f>IF($D1140="","",IF($AN1140=1,Settings!$C$8,IF($AM1140=1,Settings!$C$6,Settings!$C$7))*100)</f>
        <v/>
      </c>
      <c r="AF1140" s="7" t="n"/>
      <c r="AI1140" s="11" t="n"/>
      <c r="AK1140">
        <f>IF($D1140="","",IF(COUNTIF($D$2:$D1140,$D1140)=1,1,0))</f>
        <v/>
      </c>
      <c r="AL1140">
        <f>IF($AK1140=1,SUMPRODUCT(--($AO$2:$AO$1601&lt;$AO1140))+1,"")</f>
        <v/>
      </c>
      <c r="AM1140">
        <f>IF($D1140="","",IF(OR($R1140=TRUE(),$R1140="TRUE"),1,0))</f>
        <v/>
      </c>
      <c r="AN1140">
        <f>IF($D1140="","",IF($AA1140="Yes",1,0))</f>
        <v/>
      </c>
      <c r="AO1140">
        <f>IF($AK1140=1,IFERROR(IF(VALUE($D1140)&lt;100000000,VALUE($D1140),1000000000),IFERROR(IF(VALUE(MID($D1140,2,20))&lt;100000000,VALUE(MID($D1140,2,20)),1000000000),1000000000))+ROW()/100000,"")</f>
        <v/>
      </c>
    </row>
    <row r="1141">
      <c r="F1141" s="11" t="n"/>
      <c r="N1141" s="7">
        <f>IF($D1141="","",M1141*X1141/100)</f>
        <v/>
      </c>
      <c r="O1141" s="7" t="n"/>
      <c r="U1141" s="7" t="n"/>
      <c r="V1141" s="7" t="n"/>
      <c r="W1141" s="7">
        <f>IF($D1141="","",V1141*AB1141/100)</f>
        <v/>
      </c>
      <c r="X1141" s="7">
        <f>IF($D1141="","",V1141-W1141)</f>
        <v/>
      </c>
      <c r="Y1141" s="7">
        <f>IF($D1141="","",X1141-N1141)</f>
        <v/>
      </c>
      <c r="AB1141">
        <f>IF($D1141="","",IF($AN1141=1,Settings!$C$8,IF($AM1141=1,Settings!$C$6,Settings!$C$7))*100)</f>
        <v/>
      </c>
      <c r="AF1141" s="7" t="n"/>
      <c r="AI1141" s="11" t="n"/>
      <c r="AK1141">
        <f>IF($D1141="","",IF(COUNTIF($D$2:$D1141,$D1141)=1,1,0))</f>
        <v/>
      </c>
      <c r="AL1141">
        <f>IF($AK1141=1,SUMPRODUCT(--($AO$2:$AO$1601&lt;$AO1141))+1,"")</f>
        <v/>
      </c>
      <c r="AM1141">
        <f>IF($D1141="","",IF(OR($R1141=TRUE(),$R1141="TRUE"),1,0))</f>
        <v/>
      </c>
      <c r="AN1141">
        <f>IF($D1141="","",IF($AA1141="Yes",1,0))</f>
        <v/>
      </c>
      <c r="AO1141">
        <f>IF($AK1141=1,IFERROR(IF(VALUE($D1141)&lt;100000000,VALUE($D1141),1000000000),IFERROR(IF(VALUE(MID($D1141,2,20))&lt;100000000,VALUE(MID($D1141,2,20)),1000000000),1000000000))+ROW()/100000,"")</f>
        <v/>
      </c>
    </row>
    <row r="1142">
      <c r="F1142" s="11" t="n"/>
      <c r="N1142" s="7">
        <f>IF($D1142="","",M1142*X1142/100)</f>
        <v/>
      </c>
      <c r="O1142" s="7" t="n"/>
      <c r="U1142" s="7" t="n"/>
      <c r="V1142" s="7" t="n"/>
      <c r="W1142" s="7">
        <f>IF($D1142="","",V1142*AB1142/100)</f>
        <v/>
      </c>
      <c r="X1142" s="7">
        <f>IF($D1142="","",V1142-W1142)</f>
        <v/>
      </c>
      <c r="Y1142" s="7">
        <f>IF($D1142="","",X1142-N1142)</f>
        <v/>
      </c>
      <c r="AB1142">
        <f>IF($D1142="","",IF($AN1142=1,Settings!$C$8,IF($AM1142=1,Settings!$C$6,Settings!$C$7))*100)</f>
        <v/>
      </c>
      <c r="AF1142" s="7" t="n"/>
      <c r="AI1142" s="11" t="n"/>
      <c r="AK1142">
        <f>IF($D1142="","",IF(COUNTIF($D$2:$D1142,$D1142)=1,1,0))</f>
        <v/>
      </c>
      <c r="AL1142">
        <f>IF($AK1142=1,SUMPRODUCT(--($AO$2:$AO$1601&lt;$AO1142))+1,"")</f>
        <v/>
      </c>
      <c r="AM1142">
        <f>IF($D1142="","",IF(OR($R1142=TRUE(),$R1142="TRUE"),1,0))</f>
        <v/>
      </c>
      <c r="AN1142">
        <f>IF($D1142="","",IF($AA1142="Yes",1,0))</f>
        <v/>
      </c>
      <c r="AO1142">
        <f>IF($AK1142=1,IFERROR(IF(VALUE($D1142)&lt;100000000,VALUE($D1142),1000000000),IFERROR(IF(VALUE(MID($D1142,2,20))&lt;100000000,VALUE(MID($D1142,2,20)),1000000000),1000000000))+ROW()/100000,"")</f>
        <v/>
      </c>
    </row>
    <row r="1143">
      <c r="F1143" s="11" t="n"/>
      <c r="N1143" s="7">
        <f>IF($D1143="","",M1143*X1143/100)</f>
        <v/>
      </c>
      <c r="O1143" s="7" t="n"/>
      <c r="U1143" s="7" t="n"/>
      <c r="V1143" s="7" t="n"/>
      <c r="W1143" s="7">
        <f>IF($D1143="","",V1143*AB1143/100)</f>
        <v/>
      </c>
      <c r="X1143" s="7">
        <f>IF($D1143="","",V1143-W1143)</f>
        <v/>
      </c>
      <c r="Y1143" s="7">
        <f>IF($D1143="","",X1143-N1143)</f>
        <v/>
      </c>
      <c r="AB1143">
        <f>IF($D1143="","",IF($AN1143=1,Settings!$C$8,IF($AM1143=1,Settings!$C$6,Settings!$C$7))*100)</f>
        <v/>
      </c>
      <c r="AF1143" s="7" t="n"/>
      <c r="AI1143" s="11" t="n"/>
      <c r="AK1143">
        <f>IF($D1143="","",IF(COUNTIF($D$2:$D1143,$D1143)=1,1,0))</f>
        <v/>
      </c>
      <c r="AL1143">
        <f>IF($AK1143=1,SUMPRODUCT(--($AO$2:$AO$1601&lt;$AO1143))+1,"")</f>
        <v/>
      </c>
      <c r="AM1143">
        <f>IF($D1143="","",IF(OR($R1143=TRUE(),$R1143="TRUE"),1,0))</f>
        <v/>
      </c>
      <c r="AN1143">
        <f>IF($D1143="","",IF($AA1143="Yes",1,0))</f>
        <v/>
      </c>
      <c r="AO1143">
        <f>IF($AK1143=1,IFERROR(IF(VALUE($D1143)&lt;100000000,VALUE($D1143),1000000000),IFERROR(IF(VALUE(MID($D1143,2,20))&lt;100000000,VALUE(MID($D1143,2,20)),1000000000),1000000000))+ROW()/100000,"")</f>
        <v/>
      </c>
    </row>
    <row r="1144">
      <c r="F1144" s="11" t="n"/>
      <c r="N1144" s="7">
        <f>IF($D1144="","",M1144*X1144/100)</f>
        <v/>
      </c>
      <c r="O1144" s="7" t="n"/>
      <c r="U1144" s="7" t="n"/>
      <c r="V1144" s="7" t="n"/>
      <c r="W1144" s="7">
        <f>IF($D1144="","",V1144*AB1144/100)</f>
        <v/>
      </c>
      <c r="X1144" s="7">
        <f>IF($D1144="","",V1144-W1144)</f>
        <v/>
      </c>
      <c r="Y1144" s="7">
        <f>IF($D1144="","",X1144-N1144)</f>
        <v/>
      </c>
      <c r="AB1144">
        <f>IF($D1144="","",IF($AN1144=1,Settings!$C$8,IF($AM1144=1,Settings!$C$6,Settings!$C$7))*100)</f>
        <v/>
      </c>
      <c r="AF1144" s="7" t="n"/>
      <c r="AI1144" s="11" t="n"/>
      <c r="AK1144">
        <f>IF($D1144="","",IF(COUNTIF($D$2:$D1144,$D1144)=1,1,0))</f>
        <v/>
      </c>
      <c r="AL1144">
        <f>IF($AK1144=1,SUMPRODUCT(--($AO$2:$AO$1601&lt;$AO1144))+1,"")</f>
        <v/>
      </c>
      <c r="AM1144">
        <f>IF($D1144="","",IF(OR($R1144=TRUE(),$R1144="TRUE"),1,0))</f>
        <v/>
      </c>
      <c r="AN1144">
        <f>IF($D1144="","",IF($AA1144="Yes",1,0))</f>
        <v/>
      </c>
      <c r="AO1144">
        <f>IF($AK1144=1,IFERROR(IF(VALUE($D1144)&lt;100000000,VALUE($D1144),1000000000),IFERROR(IF(VALUE(MID($D1144,2,20))&lt;100000000,VALUE(MID($D1144,2,20)),1000000000),1000000000))+ROW()/100000,"")</f>
        <v/>
      </c>
    </row>
    <row r="1145">
      <c r="F1145" s="11" t="n"/>
      <c r="N1145" s="7">
        <f>IF($D1145="","",M1145*X1145/100)</f>
        <v/>
      </c>
      <c r="O1145" s="7" t="n"/>
      <c r="U1145" s="7" t="n"/>
      <c r="V1145" s="7" t="n"/>
      <c r="W1145" s="7">
        <f>IF($D1145="","",V1145*AB1145/100)</f>
        <v/>
      </c>
      <c r="X1145" s="7">
        <f>IF($D1145="","",V1145-W1145)</f>
        <v/>
      </c>
      <c r="Y1145" s="7">
        <f>IF($D1145="","",X1145-N1145)</f>
        <v/>
      </c>
      <c r="AB1145">
        <f>IF($D1145="","",IF($AN1145=1,Settings!$C$8,IF($AM1145=1,Settings!$C$6,Settings!$C$7))*100)</f>
        <v/>
      </c>
      <c r="AF1145" s="7" t="n"/>
      <c r="AI1145" s="11" t="n"/>
      <c r="AK1145">
        <f>IF($D1145="","",IF(COUNTIF($D$2:$D1145,$D1145)=1,1,0))</f>
        <v/>
      </c>
      <c r="AL1145">
        <f>IF($AK1145=1,SUMPRODUCT(--($AO$2:$AO$1601&lt;$AO1145))+1,"")</f>
        <v/>
      </c>
      <c r="AM1145">
        <f>IF($D1145="","",IF(OR($R1145=TRUE(),$R1145="TRUE"),1,0))</f>
        <v/>
      </c>
      <c r="AN1145">
        <f>IF($D1145="","",IF($AA1145="Yes",1,0))</f>
        <v/>
      </c>
      <c r="AO1145">
        <f>IF($AK1145=1,IFERROR(IF(VALUE($D1145)&lt;100000000,VALUE($D1145),1000000000),IFERROR(IF(VALUE(MID($D1145,2,20))&lt;100000000,VALUE(MID($D1145,2,20)),1000000000),1000000000))+ROW()/100000,"")</f>
        <v/>
      </c>
    </row>
    <row r="1146">
      <c r="F1146" s="11" t="n"/>
      <c r="N1146" s="7">
        <f>IF($D1146="","",M1146*X1146/100)</f>
        <v/>
      </c>
      <c r="O1146" s="7" t="n"/>
      <c r="U1146" s="7" t="n"/>
      <c r="V1146" s="7" t="n"/>
      <c r="W1146" s="7">
        <f>IF($D1146="","",V1146*AB1146/100)</f>
        <v/>
      </c>
      <c r="X1146" s="7">
        <f>IF($D1146="","",V1146-W1146)</f>
        <v/>
      </c>
      <c r="Y1146" s="7">
        <f>IF($D1146="","",X1146-N1146)</f>
        <v/>
      </c>
      <c r="AB1146">
        <f>IF($D1146="","",IF($AN1146=1,Settings!$C$8,IF($AM1146=1,Settings!$C$6,Settings!$C$7))*100)</f>
        <v/>
      </c>
      <c r="AF1146" s="7" t="n"/>
      <c r="AI1146" s="11" t="n"/>
      <c r="AK1146">
        <f>IF($D1146="","",IF(COUNTIF($D$2:$D1146,$D1146)=1,1,0))</f>
        <v/>
      </c>
      <c r="AL1146">
        <f>IF($AK1146=1,SUMPRODUCT(--($AO$2:$AO$1601&lt;$AO1146))+1,"")</f>
        <v/>
      </c>
      <c r="AM1146">
        <f>IF($D1146="","",IF(OR($R1146=TRUE(),$R1146="TRUE"),1,0))</f>
        <v/>
      </c>
      <c r="AN1146">
        <f>IF($D1146="","",IF($AA1146="Yes",1,0))</f>
        <v/>
      </c>
      <c r="AO1146">
        <f>IF($AK1146=1,IFERROR(IF(VALUE($D1146)&lt;100000000,VALUE($D1146),1000000000),IFERROR(IF(VALUE(MID($D1146,2,20))&lt;100000000,VALUE(MID($D1146,2,20)),1000000000),1000000000))+ROW()/100000,"")</f>
        <v/>
      </c>
    </row>
    <row r="1147">
      <c r="F1147" s="11" t="n"/>
      <c r="N1147" s="7">
        <f>IF($D1147="","",M1147*X1147/100)</f>
        <v/>
      </c>
      <c r="O1147" s="7" t="n"/>
      <c r="U1147" s="7" t="n"/>
      <c r="V1147" s="7" t="n"/>
      <c r="W1147" s="7">
        <f>IF($D1147="","",V1147*AB1147/100)</f>
        <v/>
      </c>
      <c r="X1147" s="7">
        <f>IF($D1147="","",V1147-W1147)</f>
        <v/>
      </c>
      <c r="Y1147" s="7">
        <f>IF($D1147="","",X1147-N1147)</f>
        <v/>
      </c>
      <c r="AB1147">
        <f>IF($D1147="","",IF($AN1147=1,Settings!$C$8,IF($AM1147=1,Settings!$C$6,Settings!$C$7))*100)</f>
        <v/>
      </c>
      <c r="AF1147" s="7" t="n"/>
      <c r="AI1147" s="11" t="n"/>
      <c r="AK1147">
        <f>IF($D1147="","",IF(COUNTIF($D$2:$D1147,$D1147)=1,1,0))</f>
        <v/>
      </c>
      <c r="AL1147">
        <f>IF($AK1147=1,SUMPRODUCT(--($AO$2:$AO$1601&lt;$AO1147))+1,"")</f>
        <v/>
      </c>
      <c r="AM1147">
        <f>IF($D1147="","",IF(OR($R1147=TRUE(),$R1147="TRUE"),1,0))</f>
        <v/>
      </c>
      <c r="AN1147">
        <f>IF($D1147="","",IF($AA1147="Yes",1,0))</f>
        <v/>
      </c>
      <c r="AO1147">
        <f>IF($AK1147=1,IFERROR(IF(VALUE($D1147)&lt;100000000,VALUE($D1147),1000000000),IFERROR(IF(VALUE(MID($D1147,2,20))&lt;100000000,VALUE(MID($D1147,2,20)),1000000000),1000000000))+ROW()/100000,"")</f>
        <v/>
      </c>
    </row>
    <row r="1148">
      <c r="F1148" s="11" t="n"/>
      <c r="N1148" s="7">
        <f>IF($D1148="","",M1148*X1148/100)</f>
        <v/>
      </c>
      <c r="O1148" s="7" t="n"/>
      <c r="U1148" s="7" t="n"/>
      <c r="V1148" s="7" t="n"/>
      <c r="W1148" s="7">
        <f>IF($D1148="","",V1148*AB1148/100)</f>
        <v/>
      </c>
      <c r="X1148" s="7">
        <f>IF($D1148="","",V1148-W1148)</f>
        <v/>
      </c>
      <c r="Y1148" s="7">
        <f>IF($D1148="","",X1148-N1148)</f>
        <v/>
      </c>
      <c r="AB1148">
        <f>IF($D1148="","",IF($AN1148=1,Settings!$C$8,IF($AM1148=1,Settings!$C$6,Settings!$C$7))*100)</f>
        <v/>
      </c>
      <c r="AF1148" s="7" t="n"/>
      <c r="AI1148" s="11" t="n"/>
      <c r="AK1148">
        <f>IF($D1148="","",IF(COUNTIF($D$2:$D1148,$D1148)=1,1,0))</f>
        <v/>
      </c>
      <c r="AL1148">
        <f>IF($AK1148=1,SUMPRODUCT(--($AO$2:$AO$1601&lt;$AO1148))+1,"")</f>
        <v/>
      </c>
      <c r="AM1148">
        <f>IF($D1148="","",IF(OR($R1148=TRUE(),$R1148="TRUE"),1,0))</f>
        <v/>
      </c>
      <c r="AN1148">
        <f>IF($D1148="","",IF($AA1148="Yes",1,0))</f>
        <v/>
      </c>
      <c r="AO1148">
        <f>IF($AK1148=1,IFERROR(IF(VALUE($D1148)&lt;100000000,VALUE($D1148),1000000000),IFERROR(IF(VALUE(MID($D1148,2,20))&lt;100000000,VALUE(MID($D1148,2,20)),1000000000),1000000000))+ROW()/100000,"")</f>
        <v/>
      </c>
    </row>
    <row r="1149">
      <c r="F1149" s="11" t="n"/>
      <c r="N1149" s="7">
        <f>IF($D1149="","",M1149*X1149/100)</f>
        <v/>
      </c>
      <c r="O1149" s="7" t="n"/>
      <c r="U1149" s="7" t="n"/>
      <c r="V1149" s="7" t="n"/>
      <c r="W1149" s="7">
        <f>IF($D1149="","",V1149*AB1149/100)</f>
        <v/>
      </c>
      <c r="X1149" s="7">
        <f>IF($D1149="","",V1149-W1149)</f>
        <v/>
      </c>
      <c r="Y1149" s="7">
        <f>IF($D1149="","",X1149-N1149)</f>
        <v/>
      </c>
      <c r="AB1149">
        <f>IF($D1149="","",IF($AN1149=1,Settings!$C$8,IF($AM1149=1,Settings!$C$6,Settings!$C$7))*100)</f>
        <v/>
      </c>
      <c r="AF1149" s="7" t="n"/>
      <c r="AI1149" s="11" t="n"/>
      <c r="AK1149">
        <f>IF($D1149="","",IF(COUNTIF($D$2:$D1149,$D1149)=1,1,0))</f>
        <v/>
      </c>
      <c r="AL1149">
        <f>IF($AK1149=1,SUMPRODUCT(--($AO$2:$AO$1601&lt;$AO1149))+1,"")</f>
        <v/>
      </c>
      <c r="AM1149">
        <f>IF($D1149="","",IF(OR($R1149=TRUE(),$R1149="TRUE"),1,0))</f>
        <v/>
      </c>
      <c r="AN1149">
        <f>IF($D1149="","",IF($AA1149="Yes",1,0))</f>
        <v/>
      </c>
      <c r="AO1149">
        <f>IF($AK1149=1,IFERROR(IF(VALUE($D1149)&lt;100000000,VALUE($D1149),1000000000),IFERROR(IF(VALUE(MID($D1149,2,20))&lt;100000000,VALUE(MID($D1149,2,20)),1000000000),1000000000))+ROW()/100000,"")</f>
        <v/>
      </c>
    </row>
    <row r="1150">
      <c r="F1150" s="11" t="n"/>
      <c r="N1150" s="7">
        <f>IF($D1150="","",M1150*X1150/100)</f>
        <v/>
      </c>
      <c r="O1150" s="7" t="n"/>
      <c r="U1150" s="7" t="n"/>
      <c r="V1150" s="7" t="n"/>
      <c r="W1150" s="7">
        <f>IF($D1150="","",V1150*AB1150/100)</f>
        <v/>
      </c>
      <c r="X1150" s="7">
        <f>IF($D1150="","",V1150-W1150)</f>
        <v/>
      </c>
      <c r="Y1150" s="7">
        <f>IF($D1150="","",X1150-N1150)</f>
        <v/>
      </c>
      <c r="AB1150">
        <f>IF($D1150="","",IF($AN1150=1,Settings!$C$8,IF($AM1150=1,Settings!$C$6,Settings!$C$7))*100)</f>
        <v/>
      </c>
      <c r="AF1150" s="7" t="n"/>
      <c r="AI1150" s="11" t="n"/>
      <c r="AK1150">
        <f>IF($D1150="","",IF(COUNTIF($D$2:$D1150,$D1150)=1,1,0))</f>
        <v/>
      </c>
      <c r="AL1150">
        <f>IF($AK1150=1,SUMPRODUCT(--($AO$2:$AO$1601&lt;$AO1150))+1,"")</f>
        <v/>
      </c>
      <c r="AM1150">
        <f>IF($D1150="","",IF(OR($R1150=TRUE(),$R1150="TRUE"),1,0))</f>
        <v/>
      </c>
      <c r="AN1150">
        <f>IF($D1150="","",IF($AA1150="Yes",1,0))</f>
        <v/>
      </c>
      <c r="AO1150">
        <f>IF($AK1150=1,IFERROR(IF(VALUE($D1150)&lt;100000000,VALUE($D1150),1000000000),IFERROR(IF(VALUE(MID($D1150,2,20))&lt;100000000,VALUE(MID($D1150,2,20)),1000000000),1000000000))+ROW()/100000,"")</f>
        <v/>
      </c>
    </row>
    <row r="1151">
      <c r="F1151" s="11" t="n"/>
      <c r="N1151" s="7">
        <f>IF($D1151="","",M1151*X1151/100)</f>
        <v/>
      </c>
      <c r="O1151" s="7" t="n"/>
      <c r="U1151" s="7" t="n"/>
      <c r="V1151" s="7" t="n"/>
      <c r="W1151" s="7">
        <f>IF($D1151="","",V1151*AB1151/100)</f>
        <v/>
      </c>
      <c r="X1151" s="7">
        <f>IF($D1151="","",V1151-W1151)</f>
        <v/>
      </c>
      <c r="Y1151" s="7">
        <f>IF($D1151="","",X1151-N1151)</f>
        <v/>
      </c>
      <c r="AB1151">
        <f>IF($D1151="","",IF($AN1151=1,Settings!$C$8,IF($AM1151=1,Settings!$C$6,Settings!$C$7))*100)</f>
        <v/>
      </c>
      <c r="AF1151" s="7" t="n"/>
      <c r="AI1151" s="11" t="n"/>
      <c r="AK1151">
        <f>IF($D1151="","",IF(COUNTIF($D$2:$D1151,$D1151)=1,1,0))</f>
        <v/>
      </c>
      <c r="AL1151">
        <f>IF($AK1151=1,SUMPRODUCT(--($AO$2:$AO$1601&lt;$AO1151))+1,"")</f>
        <v/>
      </c>
      <c r="AM1151">
        <f>IF($D1151="","",IF(OR($R1151=TRUE(),$R1151="TRUE"),1,0))</f>
        <v/>
      </c>
      <c r="AN1151">
        <f>IF($D1151="","",IF($AA1151="Yes",1,0))</f>
        <v/>
      </c>
      <c r="AO1151">
        <f>IF($AK1151=1,IFERROR(IF(VALUE($D1151)&lt;100000000,VALUE($D1151),1000000000),IFERROR(IF(VALUE(MID($D1151,2,20))&lt;100000000,VALUE(MID($D1151,2,20)),1000000000),1000000000))+ROW()/100000,"")</f>
        <v/>
      </c>
    </row>
    <row r="1152">
      <c r="F1152" s="11" t="n"/>
      <c r="N1152" s="7">
        <f>IF($D1152="","",M1152*X1152/100)</f>
        <v/>
      </c>
      <c r="O1152" s="7" t="n"/>
      <c r="U1152" s="7" t="n"/>
      <c r="V1152" s="7" t="n"/>
      <c r="W1152" s="7">
        <f>IF($D1152="","",V1152*AB1152/100)</f>
        <v/>
      </c>
      <c r="X1152" s="7">
        <f>IF($D1152="","",V1152-W1152)</f>
        <v/>
      </c>
      <c r="Y1152" s="7">
        <f>IF($D1152="","",X1152-N1152)</f>
        <v/>
      </c>
      <c r="AB1152">
        <f>IF($D1152="","",IF($AN1152=1,Settings!$C$8,IF($AM1152=1,Settings!$C$6,Settings!$C$7))*100)</f>
        <v/>
      </c>
      <c r="AF1152" s="7" t="n"/>
      <c r="AI1152" s="11" t="n"/>
      <c r="AK1152">
        <f>IF($D1152="","",IF(COUNTIF($D$2:$D1152,$D1152)=1,1,0))</f>
        <v/>
      </c>
      <c r="AL1152">
        <f>IF($AK1152=1,SUMPRODUCT(--($AO$2:$AO$1601&lt;$AO1152))+1,"")</f>
        <v/>
      </c>
      <c r="AM1152">
        <f>IF($D1152="","",IF(OR($R1152=TRUE(),$R1152="TRUE"),1,0))</f>
        <v/>
      </c>
      <c r="AN1152">
        <f>IF($D1152="","",IF($AA1152="Yes",1,0))</f>
        <v/>
      </c>
      <c r="AO1152">
        <f>IF($AK1152=1,IFERROR(IF(VALUE($D1152)&lt;100000000,VALUE($D1152),1000000000),IFERROR(IF(VALUE(MID($D1152,2,20))&lt;100000000,VALUE(MID($D1152,2,20)),1000000000),1000000000))+ROW()/100000,"")</f>
        <v/>
      </c>
    </row>
    <row r="1153">
      <c r="F1153" s="11" t="n"/>
      <c r="N1153" s="7">
        <f>IF($D1153="","",M1153*X1153/100)</f>
        <v/>
      </c>
      <c r="O1153" s="7" t="n"/>
      <c r="U1153" s="7" t="n"/>
      <c r="V1153" s="7" t="n"/>
      <c r="W1153" s="7">
        <f>IF($D1153="","",V1153*AB1153/100)</f>
        <v/>
      </c>
      <c r="X1153" s="7">
        <f>IF($D1153="","",V1153-W1153)</f>
        <v/>
      </c>
      <c r="Y1153" s="7">
        <f>IF($D1153="","",X1153-N1153)</f>
        <v/>
      </c>
      <c r="AB1153">
        <f>IF($D1153="","",IF($AN1153=1,Settings!$C$8,IF($AM1153=1,Settings!$C$6,Settings!$C$7))*100)</f>
        <v/>
      </c>
      <c r="AF1153" s="7" t="n"/>
      <c r="AI1153" s="11" t="n"/>
      <c r="AK1153">
        <f>IF($D1153="","",IF(COUNTIF($D$2:$D1153,$D1153)=1,1,0))</f>
        <v/>
      </c>
      <c r="AL1153">
        <f>IF($AK1153=1,SUMPRODUCT(--($AO$2:$AO$1601&lt;$AO1153))+1,"")</f>
        <v/>
      </c>
      <c r="AM1153">
        <f>IF($D1153="","",IF(OR($R1153=TRUE(),$R1153="TRUE"),1,0))</f>
        <v/>
      </c>
      <c r="AN1153">
        <f>IF($D1153="","",IF($AA1153="Yes",1,0))</f>
        <v/>
      </c>
      <c r="AO1153">
        <f>IF($AK1153=1,IFERROR(IF(VALUE($D1153)&lt;100000000,VALUE($D1153),1000000000),IFERROR(IF(VALUE(MID($D1153,2,20))&lt;100000000,VALUE(MID($D1153,2,20)),1000000000),1000000000))+ROW()/100000,"")</f>
        <v/>
      </c>
    </row>
    <row r="1154">
      <c r="F1154" s="11" t="n"/>
      <c r="N1154" s="7">
        <f>IF($D1154="","",M1154*X1154/100)</f>
        <v/>
      </c>
      <c r="O1154" s="7" t="n"/>
      <c r="U1154" s="7" t="n"/>
      <c r="V1154" s="7" t="n"/>
      <c r="W1154" s="7">
        <f>IF($D1154="","",V1154*AB1154/100)</f>
        <v/>
      </c>
      <c r="X1154" s="7">
        <f>IF($D1154="","",V1154-W1154)</f>
        <v/>
      </c>
      <c r="Y1154" s="7">
        <f>IF($D1154="","",X1154-N1154)</f>
        <v/>
      </c>
      <c r="AB1154">
        <f>IF($D1154="","",IF($AN1154=1,Settings!$C$8,IF($AM1154=1,Settings!$C$6,Settings!$C$7))*100)</f>
        <v/>
      </c>
      <c r="AF1154" s="7" t="n"/>
      <c r="AI1154" s="11" t="n"/>
      <c r="AK1154">
        <f>IF($D1154="","",IF(COUNTIF($D$2:$D1154,$D1154)=1,1,0))</f>
        <v/>
      </c>
      <c r="AL1154">
        <f>IF($AK1154=1,SUMPRODUCT(--($AO$2:$AO$1601&lt;$AO1154))+1,"")</f>
        <v/>
      </c>
      <c r="AM1154">
        <f>IF($D1154="","",IF(OR($R1154=TRUE(),$R1154="TRUE"),1,0))</f>
        <v/>
      </c>
      <c r="AN1154">
        <f>IF($D1154="","",IF($AA1154="Yes",1,0))</f>
        <v/>
      </c>
      <c r="AO1154">
        <f>IF($AK1154=1,IFERROR(IF(VALUE($D1154)&lt;100000000,VALUE($D1154),1000000000),IFERROR(IF(VALUE(MID($D1154,2,20))&lt;100000000,VALUE(MID($D1154,2,20)),1000000000),1000000000))+ROW()/100000,"")</f>
        <v/>
      </c>
    </row>
    <row r="1155">
      <c r="F1155" s="11" t="n"/>
      <c r="N1155" s="7">
        <f>IF($D1155="","",M1155*X1155/100)</f>
        <v/>
      </c>
      <c r="O1155" s="7" t="n"/>
      <c r="U1155" s="7" t="n"/>
      <c r="V1155" s="7" t="n"/>
      <c r="W1155" s="7">
        <f>IF($D1155="","",V1155*AB1155/100)</f>
        <v/>
      </c>
      <c r="X1155" s="7">
        <f>IF($D1155="","",V1155-W1155)</f>
        <v/>
      </c>
      <c r="Y1155" s="7">
        <f>IF($D1155="","",X1155-N1155)</f>
        <v/>
      </c>
      <c r="AB1155">
        <f>IF($D1155="","",IF($AN1155=1,Settings!$C$8,IF($AM1155=1,Settings!$C$6,Settings!$C$7))*100)</f>
        <v/>
      </c>
      <c r="AF1155" s="7" t="n"/>
      <c r="AI1155" s="11" t="n"/>
      <c r="AK1155">
        <f>IF($D1155="","",IF(COUNTIF($D$2:$D1155,$D1155)=1,1,0))</f>
        <v/>
      </c>
      <c r="AL1155">
        <f>IF($AK1155=1,SUMPRODUCT(--($AO$2:$AO$1601&lt;$AO1155))+1,"")</f>
        <v/>
      </c>
      <c r="AM1155">
        <f>IF($D1155="","",IF(OR($R1155=TRUE(),$R1155="TRUE"),1,0))</f>
        <v/>
      </c>
      <c r="AN1155">
        <f>IF($D1155="","",IF($AA1155="Yes",1,0))</f>
        <v/>
      </c>
      <c r="AO1155">
        <f>IF($AK1155=1,IFERROR(IF(VALUE($D1155)&lt;100000000,VALUE($D1155),1000000000),IFERROR(IF(VALUE(MID($D1155,2,20))&lt;100000000,VALUE(MID($D1155,2,20)),1000000000),1000000000))+ROW()/100000,"")</f>
        <v/>
      </c>
    </row>
    <row r="1156">
      <c r="F1156" s="11" t="n"/>
      <c r="N1156" s="7">
        <f>IF($D1156="","",M1156*X1156/100)</f>
        <v/>
      </c>
      <c r="O1156" s="7" t="n"/>
      <c r="U1156" s="7" t="n"/>
      <c r="V1156" s="7" t="n"/>
      <c r="W1156" s="7">
        <f>IF($D1156="","",V1156*AB1156/100)</f>
        <v/>
      </c>
      <c r="X1156" s="7">
        <f>IF($D1156="","",V1156-W1156)</f>
        <v/>
      </c>
      <c r="Y1156" s="7">
        <f>IF($D1156="","",X1156-N1156)</f>
        <v/>
      </c>
      <c r="AB1156">
        <f>IF($D1156="","",IF($AN1156=1,Settings!$C$8,IF($AM1156=1,Settings!$C$6,Settings!$C$7))*100)</f>
        <v/>
      </c>
      <c r="AF1156" s="7" t="n"/>
      <c r="AI1156" s="11" t="n"/>
      <c r="AK1156">
        <f>IF($D1156="","",IF(COUNTIF($D$2:$D1156,$D1156)=1,1,0))</f>
        <v/>
      </c>
      <c r="AL1156">
        <f>IF($AK1156=1,SUMPRODUCT(--($AO$2:$AO$1601&lt;$AO1156))+1,"")</f>
        <v/>
      </c>
      <c r="AM1156">
        <f>IF($D1156="","",IF(OR($R1156=TRUE(),$R1156="TRUE"),1,0))</f>
        <v/>
      </c>
      <c r="AN1156">
        <f>IF($D1156="","",IF($AA1156="Yes",1,0))</f>
        <v/>
      </c>
      <c r="AO1156">
        <f>IF($AK1156=1,IFERROR(IF(VALUE($D1156)&lt;100000000,VALUE($D1156),1000000000),IFERROR(IF(VALUE(MID($D1156,2,20))&lt;100000000,VALUE(MID($D1156,2,20)),1000000000),1000000000))+ROW()/100000,"")</f>
        <v/>
      </c>
    </row>
    <row r="1157">
      <c r="F1157" s="11" t="n"/>
      <c r="N1157" s="7">
        <f>IF($D1157="","",M1157*X1157/100)</f>
        <v/>
      </c>
      <c r="O1157" s="7" t="n"/>
      <c r="U1157" s="7" t="n"/>
      <c r="V1157" s="7" t="n"/>
      <c r="W1157" s="7">
        <f>IF($D1157="","",V1157*AB1157/100)</f>
        <v/>
      </c>
      <c r="X1157" s="7">
        <f>IF($D1157="","",V1157-W1157)</f>
        <v/>
      </c>
      <c r="Y1157" s="7">
        <f>IF($D1157="","",X1157-N1157)</f>
        <v/>
      </c>
      <c r="AB1157">
        <f>IF($D1157="","",IF($AN1157=1,Settings!$C$8,IF($AM1157=1,Settings!$C$6,Settings!$C$7))*100)</f>
        <v/>
      </c>
      <c r="AF1157" s="7" t="n"/>
      <c r="AI1157" s="11" t="n"/>
      <c r="AK1157">
        <f>IF($D1157="","",IF(COUNTIF($D$2:$D1157,$D1157)=1,1,0))</f>
        <v/>
      </c>
      <c r="AL1157">
        <f>IF($AK1157=1,SUMPRODUCT(--($AO$2:$AO$1601&lt;$AO1157))+1,"")</f>
        <v/>
      </c>
      <c r="AM1157">
        <f>IF($D1157="","",IF(OR($R1157=TRUE(),$R1157="TRUE"),1,0))</f>
        <v/>
      </c>
      <c r="AN1157">
        <f>IF($D1157="","",IF($AA1157="Yes",1,0))</f>
        <v/>
      </c>
      <c r="AO1157">
        <f>IF($AK1157=1,IFERROR(IF(VALUE($D1157)&lt;100000000,VALUE($D1157),1000000000),IFERROR(IF(VALUE(MID($D1157,2,20))&lt;100000000,VALUE(MID($D1157,2,20)),1000000000),1000000000))+ROW()/100000,"")</f>
        <v/>
      </c>
    </row>
    <row r="1158">
      <c r="F1158" s="11" t="n"/>
      <c r="N1158" s="7">
        <f>IF($D1158="","",M1158*X1158/100)</f>
        <v/>
      </c>
      <c r="O1158" s="7" t="n"/>
      <c r="U1158" s="7" t="n"/>
      <c r="V1158" s="7" t="n"/>
      <c r="W1158" s="7">
        <f>IF($D1158="","",V1158*AB1158/100)</f>
        <v/>
      </c>
      <c r="X1158" s="7">
        <f>IF($D1158="","",V1158-W1158)</f>
        <v/>
      </c>
      <c r="Y1158" s="7">
        <f>IF($D1158="","",X1158-N1158)</f>
        <v/>
      </c>
      <c r="AB1158">
        <f>IF($D1158="","",IF($AN1158=1,Settings!$C$8,IF($AM1158=1,Settings!$C$6,Settings!$C$7))*100)</f>
        <v/>
      </c>
      <c r="AF1158" s="7" t="n"/>
      <c r="AI1158" s="11" t="n"/>
      <c r="AK1158">
        <f>IF($D1158="","",IF(COUNTIF($D$2:$D1158,$D1158)=1,1,0))</f>
        <v/>
      </c>
      <c r="AL1158">
        <f>IF($AK1158=1,SUMPRODUCT(--($AO$2:$AO$1601&lt;$AO1158))+1,"")</f>
        <v/>
      </c>
      <c r="AM1158">
        <f>IF($D1158="","",IF(OR($R1158=TRUE(),$R1158="TRUE"),1,0))</f>
        <v/>
      </c>
      <c r="AN1158">
        <f>IF($D1158="","",IF($AA1158="Yes",1,0))</f>
        <v/>
      </c>
      <c r="AO1158">
        <f>IF($AK1158=1,IFERROR(IF(VALUE($D1158)&lt;100000000,VALUE($D1158),1000000000),IFERROR(IF(VALUE(MID($D1158,2,20))&lt;100000000,VALUE(MID($D1158,2,20)),1000000000),1000000000))+ROW()/100000,"")</f>
        <v/>
      </c>
    </row>
    <row r="1159">
      <c r="F1159" s="11" t="n"/>
      <c r="N1159" s="7">
        <f>IF($D1159="","",M1159*X1159/100)</f>
        <v/>
      </c>
      <c r="O1159" s="7" t="n"/>
      <c r="U1159" s="7" t="n"/>
      <c r="V1159" s="7" t="n"/>
      <c r="W1159" s="7">
        <f>IF($D1159="","",V1159*AB1159/100)</f>
        <v/>
      </c>
      <c r="X1159" s="7">
        <f>IF($D1159="","",V1159-W1159)</f>
        <v/>
      </c>
      <c r="Y1159" s="7">
        <f>IF($D1159="","",X1159-N1159)</f>
        <v/>
      </c>
      <c r="AB1159">
        <f>IF($D1159="","",IF($AN1159=1,Settings!$C$8,IF($AM1159=1,Settings!$C$6,Settings!$C$7))*100)</f>
        <v/>
      </c>
      <c r="AF1159" s="7" t="n"/>
      <c r="AI1159" s="11" t="n"/>
      <c r="AK1159">
        <f>IF($D1159="","",IF(COUNTIF($D$2:$D1159,$D1159)=1,1,0))</f>
        <v/>
      </c>
      <c r="AL1159">
        <f>IF($AK1159=1,SUMPRODUCT(--($AO$2:$AO$1601&lt;$AO1159))+1,"")</f>
        <v/>
      </c>
      <c r="AM1159">
        <f>IF($D1159="","",IF(OR($R1159=TRUE(),$R1159="TRUE"),1,0))</f>
        <v/>
      </c>
      <c r="AN1159">
        <f>IF($D1159="","",IF($AA1159="Yes",1,0))</f>
        <v/>
      </c>
      <c r="AO1159">
        <f>IF($AK1159=1,IFERROR(IF(VALUE($D1159)&lt;100000000,VALUE($D1159),1000000000),IFERROR(IF(VALUE(MID($D1159,2,20))&lt;100000000,VALUE(MID($D1159,2,20)),1000000000),1000000000))+ROW()/100000,"")</f>
        <v/>
      </c>
    </row>
    <row r="1160">
      <c r="F1160" s="11" t="n"/>
      <c r="N1160" s="7">
        <f>IF($D1160="","",M1160*X1160/100)</f>
        <v/>
      </c>
      <c r="O1160" s="7" t="n"/>
      <c r="U1160" s="7" t="n"/>
      <c r="V1160" s="7" t="n"/>
      <c r="W1160" s="7">
        <f>IF($D1160="","",V1160*AB1160/100)</f>
        <v/>
      </c>
      <c r="X1160" s="7">
        <f>IF($D1160="","",V1160-W1160)</f>
        <v/>
      </c>
      <c r="Y1160" s="7">
        <f>IF($D1160="","",X1160-N1160)</f>
        <v/>
      </c>
      <c r="AB1160">
        <f>IF($D1160="","",IF($AN1160=1,Settings!$C$8,IF($AM1160=1,Settings!$C$6,Settings!$C$7))*100)</f>
        <v/>
      </c>
      <c r="AF1160" s="7" t="n"/>
      <c r="AI1160" s="11" t="n"/>
      <c r="AK1160">
        <f>IF($D1160="","",IF(COUNTIF($D$2:$D1160,$D1160)=1,1,0))</f>
        <v/>
      </c>
      <c r="AL1160">
        <f>IF($AK1160=1,SUMPRODUCT(--($AO$2:$AO$1601&lt;$AO1160))+1,"")</f>
        <v/>
      </c>
      <c r="AM1160">
        <f>IF($D1160="","",IF(OR($R1160=TRUE(),$R1160="TRUE"),1,0))</f>
        <v/>
      </c>
      <c r="AN1160">
        <f>IF($D1160="","",IF($AA1160="Yes",1,0))</f>
        <v/>
      </c>
      <c r="AO1160">
        <f>IF($AK1160=1,IFERROR(IF(VALUE($D1160)&lt;100000000,VALUE($D1160),1000000000),IFERROR(IF(VALUE(MID($D1160,2,20))&lt;100000000,VALUE(MID($D1160,2,20)),1000000000),1000000000))+ROW()/100000,"")</f>
        <v/>
      </c>
    </row>
    <row r="1161">
      <c r="F1161" s="11" t="n"/>
      <c r="N1161" s="7">
        <f>IF($D1161="","",M1161*X1161/100)</f>
        <v/>
      </c>
      <c r="O1161" s="7" t="n"/>
      <c r="U1161" s="7" t="n"/>
      <c r="V1161" s="7" t="n"/>
      <c r="W1161" s="7">
        <f>IF($D1161="","",V1161*AB1161/100)</f>
        <v/>
      </c>
      <c r="X1161" s="7">
        <f>IF($D1161="","",V1161-W1161)</f>
        <v/>
      </c>
      <c r="Y1161" s="7">
        <f>IF($D1161="","",X1161-N1161)</f>
        <v/>
      </c>
      <c r="AB1161">
        <f>IF($D1161="","",IF($AN1161=1,Settings!$C$8,IF($AM1161=1,Settings!$C$6,Settings!$C$7))*100)</f>
        <v/>
      </c>
      <c r="AF1161" s="7" t="n"/>
      <c r="AI1161" s="11" t="n"/>
      <c r="AK1161">
        <f>IF($D1161="","",IF(COUNTIF($D$2:$D1161,$D1161)=1,1,0))</f>
        <v/>
      </c>
      <c r="AL1161">
        <f>IF($AK1161=1,SUMPRODUCT(--($AO$2:$AO$1601&lt;$AO1161))+1,"")</f>
        <v/>
      </c>
      <c r="AM1161">
        <f>IF($D1161="","",IF(OR($R1161=TRUE(),$R1161="TRUE"),1,0))</f>
        <v/>
      </c>
      <c r="AN1161">
        <f>IF($D1161="","",IF($AA1161="Yes",1,0))</f>
        <v/>
      </c>
      <c r="AO1161">
        <f>IF($AK1161=1,IFERROR(IF(VALUE($D1161)&lt;100000000,VALUE($D1161),1000000000),IFERROR(IF(VALUE(MID($D1161,2,20))&lt;100000000,VALUE(MID($D1161,2,20)),1000000000),1000000000))+ROW()/100000,"")</f>
        <v/>
      </c>
    </row>
    <row r="1162">
      <c r="F1162" s="11" t="n"/>
      <c r="N1162" s="7">
        <f>IF($D1162="","",M1162*X1162/100)</f>
        <v/>
      </c>
      <c r="O1162" s="7" t="n"/>
      <c r="U1162" s="7" t="n"/>
      <c r="V1162" s="7" t="n"/>
      <c r="W1162" s="7">
        <f>IF($D1162="","",V1162*AB1162/100)</f>
        <v/>
      </c>
      <c r="X1162" s="7">
        <f>IF($D1162="","",V1162-W1162)</f>
        <v/>
      </c>
      <c r="Y1162" s="7">
        <f>IF($D1162="","",X1162-N1162)</f>
        <v/>
      </c>
      <c r="AB1162">
        <f>IF($D1162="","",IF($AN1162=1,Settings!$C$8,IF($AM1162=1,Settings!$C$6,Settings!$C$7))*100)</f>
        <v/>
      </c>
      <c r="AF1162" s="7" t="n"/>
      <c r="AI1162" s="11" t="n"/>
      <c r="AK1162">
        <f>IF($D1162="","",IF(COUNTIF($D$2:$D1162,$D1162)=1,1,0))</f>
        <v/>
      </c>
      <c r="AL1162">
        <f>IF($AK1162=1,SUMPRODUCT(--($AO$2:$AO$1601&lt;$AO1162))+1,"")</f>
        <v/>
      </c>
      <c r="AM1162">
        <f>IF($D1162="","",IF(OR($R1162=TRUE(),$R1162="TRUE"),1,0))</f>
        <v/>
      </c>
      <c r="AN1162">
        <f>IF($D1162="","",IF($AA1162="Yes",1,0))</f>
        <v/>
      </c>
      <c r="AO1162">
        <f>IF($AK1162=1,IFERROR(IF(VALUE($D1162)&lt;100000000,VALUE($D1162),1000000000),IFERROR(IF(VALUE(MID($D1162,2,20))&lt;100000000,VALUE(MID($D1162,2,20)),1000000000),1000000000))+ROW()/100000,"")</f>
        <v/>
      </c>
    </row>
    <row r="1163">
      <c r="F1163" s="11" t="n"/>
      <c r="N1163" s="7">
        <f>IF($D1163="","",M1163*X1163/100)</f>
        <v/>
      </c>
      <c r="O1163" s="7" t="n"/>
      <c r="U1163" s="7" t="n"/>
      <c r="V1163" s="7" t="n"/>
      <c r="W1163" s="7">
        <f>IF($D1163="","",V1163*AB1163/100)</f>
        <v/>
      </c>
      <c r="X1163" s="7">
        <f>IF($D1163="","",V1163-W1163)</f>
        <v/>
      </c>
      <c r="Y1163" s="7">
        <f>IF($D1163="","",X1163-N1163)</f>
        <v/>
      </c>
      <c r="AB1163">
        <f>IF($D1163="","",IF($AN1163=1,Settings!$C$8,IF($AM1163=1,Settings!$C$6,Settings!$C$7))*100)</f>
        <v/>
      </c>
      <c r="AF1163" s="7" t="n"/>
      <c r="AI1163" s="11" t="n"/>
      <c r="AK1163">
        <f>IF($D1163="","",IF(COUNTIF($D$2:$D1163,$D1163)=1,1,0))</f>
        <v/>
      </c>
      <c r="AL1163">
        <f>IF($AK1163=1,SUMPRODUCT(--($AO$2:$AO$1601&lt;$AO1163))+1,"")</f>
        <v/>
      </c>
      <c r="AM1163">
        <f>IF($D1163="","",IF(OR($R1163=TRUE(),$R1163="TRUE"),1,0))</f>
        <v/>
      </c>
      <c r="AN1163">
        <f>IF($D1163="","",IF($AA1163="Yes",1,0))</f>
        <v/>
      </c>
      <c r="AO1163">
        <f>IF($AK1163=1,IFERROR(IF(VALUE($D1163)&lt;100000000,VALUE($D1163),1000000000),IFERROR(IF(VALUE(MID($D1163,2,20))&lt;100000000,VALUE(MID($D1163,2,20)),1000000000),1000000000))+ROW()/100000,"")</f>
        <v/>
      </c>
    </row>
    <row r="1164">
      <c r="F1164" s="11" t="n"/>
      <c r="N1164" s="7">
        <f>IF($D1164="","",M1164*X1164/100)</f>
        <v/>
      </c>
      <c r="O1164" s="7" t="n"/>
      <c r="U1164" s="7" t="n"/>
      <c r="V1164" s="7" t="n"/>
      <c r="W1164" s="7">
        <f>IF($D1164="","",V1164*AB1164/100)</f>
        <v/>
      </c>
      <c r="X1164" s="7">
        <f>IF($D1164="","",V1164-W1164)</f>
        <v/>
      </c>
      <c r="Y1164" s="7">
        <f>IF($D1164="","",X1164-N1164)</f>
        <v/>
      </c>
      <c r="AB1164">
        <f>IF($D1164="","",IF($AN1164=1,Settings!$C$8,IF($AM1164=1,Settings!$C$6,Settings!$C$7))*100)</f>
        <v/>
      </c>
      <c r="AF1164" s="7" t="n"/>
      <c r="AI1164" s="11" t="n"/>
      <c r="AK1164">
        <f>IF($D1164="","",IF(COUNTIF($D$2:$D1164,$D1164)=1,1,0))</f>
        <v/>
      </c>
      <c r="AL1164">
        <f>IF($AK1164=1,SUMPRODUCT(--($AO$2:$AO$1601&lt;$AO1164))+1,"")</f>
        <v/>
      </c>
      <c r="AM1164">
        <f>IF($D1164="","",IF(OR($R1164=TRUE(),$R1164="TRUE"),1,0))</f>
        <v/>
      </c>
      <c r="AN1164">
        <f>IF($D1164="","",IF($AA1164="Yes",1,0))</f>
        <v/>
      </c>
      <c r="AO1164">
        <f>IF($AK1164=1,IFERROR(IF(VALUE($D1164)&lt;100000000,VALUE($D1164),1000000000),IFERROR(IF(VALUE(MID($D1164,2,20))&lt;100000000,VALUE(MID($D1164,2,20)),1000000000),1000000000))+ROW()/100000,"")</f>
        <v/>
      </c>
    </row>
    <row r="1165">
      <c r="F1165" s="11" t="n"/>
      <c r="N1165" s="7">
        <f>IF($D1165="","",M1165*X1165/100)</f>
        <v/>
      </c>
      <c r="O1165" s="7" t="n"/>
      <c r="U1165" s="7" t="n"/>
      <c r="V1165" s="7" t="n"/>
      <c r="W1165" s="7">
        <f>IF($D1165="","",V1165*AB1165/100)</f>
        <v/>
      </c>
      <c r="X1165" s="7">
        <f>IF($D1165="","",V1165-W1165)</f>
        <v/>
      </c>
      <c r="Y1165" s="7">
        <f>IF($D1165="","",X1165-N1165)</f>
        <v/>
      </c>
      <c r="AB1165">
        <f>IF($D1165="","",IF($AN1165=1,Settings!$C$8,IF($AM1165=1,Settings!$C$6,Settings!$C$7))*100)</f>
        <v/>
      </c>
      <c r="AF1165" s="7" t="n"/>
      <c r="AI1165" s="11" t="n"/>
      <c r="AK1165">
        <f>IF($D1165="","",IF(COUNTIF($D$2:$D1165,$D1165)=1,1,0))</f>
        <v/>
      </c>
      <c r="AL1165">
        <f>IF($AK1165=1,SUMPRODUCT(--($AO$2:$AO$1601&lt;$AO1165))+1,"")</f>
        <v/>
      </c>
      <c r="AM1165">
        <f>IF($D1165="","",IF(OR($R1165=TRUE(),$R1165="TRUE"),1,0))</f>
        <v/>
      </c>
      <c r="AN1165">
        <f>IF($D1165="","",IF($AA1165="Yes",1,0))</f>
        <v/>
      </c>
      <c r="AO1165">
        <f>IF($AK1165=1,IFERROR(IF(VALUE($D1165)&lt;100000000,VALUE($D1165),1000000000),IFERROR(IF(VALUE(MID($D1165,2,20))&lt;100000000,VALUE(MID($D1165,2,20)),1000000000),1000000000))+ROW()/100000,"")</f>
        <v/>
      </c>
    </row>
    <row r="1166">
      <c r="F1166" s="11" t="n"/>
      <c r="N1166" s="7">
        <f>IF($D1166="","",M1166*X1166/100)</f>
        <v/>
      </c>
      <c r="O1166" s="7" t="n"/>
      <c r="U1166" s="7" t="n"/>
      <c r="V1166" s="7" t="n"/>
      <c r="W1166" s="7">
        <f>IF($D1166="","",V1166*AB1166/100)</f>
        <v/>
      </c>
      <c r="X1166" s="7">
        <f>IF($D1166="","",V1166-W1166)</f>
        <v/>
      </c>
      <c r="Y1166" s="7">
        <f>IF($D1166="","",X1166-N1166)</f>
        <v/>
      </c>
      <c r="AB1166">
        <f>IF($D1166="","",IF($AN1166=1,Settings!$C$8,IF($AM1166=1,Settings!$C$6,Settings!$C$7))*100)</f>
        <v/>
      </c>
      <c r="AF1166" s="7" t="n"/>
      <c r="AI1166" s="11" t="n"/>
      <c r="AK1166">
        <f>IF($D1166="","",IF(COUNTIF($D$2:$D1166,$D1166)=1,1,0))</f>
        <v/>
      </c>
      <c r="AL1166">
        <f>IF($AK1166=1,SUMPRODUCT(--($AO$2:$AO$1601&lt;$AO1166))+1,"")</f>
        <v/>
      </c>
      <c r="AM1166">
        <f>IF($D1166="","",IF(OR($R1166=TRUE(),$R1166="TRUE"),1,0))</f>
        <v/>
      </c>
      <c r="AN1166">
        <f>IF($D1166="","",IF($AA1166="Yes",1,0))</f>
        <v/>
      </c>
      <c r="AO1166">
        <f>IF($AK1166=1,IFERROR(IF(VALUE($D1166)&lt;100000000,VALUE($D1166),1000000000),IFERROR(IF(VALUE(MID($D1166,2,20))&lt;100000000,VALUE(MID($D1166,2,20)),1000000000),1000000000))+ROW()/100000,"")</f>
        <v/>
      </c>
    </row>
    <row r="1167">
      <c r="F1167" s="11" t="n"/>
      <c r="N1167" s="7">
        <f>IF($D1167="","",M1167*X1167/100)</f>
        <v/>
      </c>
      <c r="O1167" s="7" t="n"/>
      <c r="U1167" s="7" t="n"/>
      <c r="V1167" s="7" t="n"/>
      <c r="W1167" s="7">
        <f>IF($D1167="","",V1167*AB1167/100)</f>
        <v/>
      </c>
      <c r="X1167" s="7">
        <f>IF($D1167="","",V1167-W1167)</f>
        <v/>
      </c>
      <c r="Y1167" s="7">
        <f>IF($D1167="","",X1167-N1167)</f>
        <v/>
      </c>
      <c r="AB1167">
        <f>IF($D1167="","",IF($AN1167=1,Settings!$C$8,IF($AM1167=1,Settings!$C$6,Settings!$C$7))*100)</f>
        <v/>
      </c>
      <c r="AF1167" s="7" t="n"/>
      <c r="AI1167" s="11" t="n"/>
      <c r="AK1167">
        <f>IF($D1167="","",IF(COUNTIF($D$2:$D1167,$D1167)=1,1,0))</f>
        <v/>
      </c>
      <c r="AL1167">
        <f>IF($AK1167=1,SUMPRODUCT(--($AO$2:$AO$1601&lt;$AO1167))+1,"")</f>
        <v/>
      </c>
      <c r="AM1167">
        <f>IF($D1167="","",IF(OR($R1167=TRUE(),$R1167="TRUE"),1,0))</f>
        <v/>
      </c>
      <c r="AN1167">
        <f>IF($D1167="","",IF($AA1167="Yes",1,0))</f>
        <v/>
      </c>
      <c r="AO1167">
        <f>IF($AK1167=1,IFERROR(IF(VALUE($D1167)&lt;100000000,VALUE($D1167),1000000000),IFERROR(IF(VALUE(MID($D1167,2,20))&lt;100000000,VALUE(MID($D1167,2,20)),1000000000),1000000000))+ROW()/100000,"")</f>
        <v/>
      </c>
    </row>
    <row r="1168">
      <c r="F1168" s="11" t="n"/>
      <c r="N1168" s="7">
        <f>IF($D1168="","",M1168*X1168/100)</f>
        <v/>
      </c>
      <c r="O1168" s="7" t="n"/>
      <c r="U1168" s="7" t="n"/>
      <c r="V1168" s="7" t="n"/>
      <c r="W1168" s="7">
        <f>IF($D1168="","",V1168*AB1168/100)</f>
        <v/>
      </c>
      <c r="X1168" s="7">
        <f>IF($D1168="","",V1168-W1168)</f>
        <v/>
      </c>
      <c r="Y1168" s="7">
        <f>IF($D1168="","",X1168-N1168)</f>
        <v/>
      </c>
      <c r="AB1168">
        <f>IF($D1168="","",IF($AN1168=1,Settings!$C$8,IF($AM1168=1,Settings!$C$6,Settings!$C$7))*100)</f>
        <v/>
      </c>
      <c r="AF1168" s="7" t="n"/>
      <c r="AI1168" s="11" t="n"/>
      <c r="AK1168">
        <f>IF($D1168="","",IF(COUNTIF($D$2:$D1168,$D1168)=1,1,0))</f>
        <v/>
      </c>
      <c r="AL1168">
        <f>IF($AK1168=1,SUMPRODUCT(--($AO$2:$AO$1601&lt;$AO1168))+1,"")</f>
        <v/>
      </c>
      <c r="AM1168">
        <f>IF($D1168="","",IF(OR($R1168=TRUE(),$R1168="TRUE"),1,0))</f>
        <v/>
      </c>
      <c r="AN1168">
        <f>IF($D1168="","",IF($AA1168="Yes",1,0))</f>
        <v/>
      </c>
      <c r="AO1168">
        <f>IF($AK1168=1,IFERROR(IF(VALUE($D1168)&lt;100000000,VALUE($D1168),1000000000),IFERROR(IF(VALUE(MID($D1168,2,20))&lt;100000000,VALUE(MID($D1168,2,20)),1000000000),1000000000))+ROW()/100000,"")</f>
        <v/>
      </c>
    </row>
    <row r="1169">
      <c r="F1169" s="11" t="n"/>
      <c r="N1169" s="7">
        <f>IF($D1169="","",M1169*X1169/100)</f>
        <v/>
      </c>
      <c r="O1169" s="7" t="n"/>
      <c r="U1169" s="7" t="n"/>
      <c r="V1169" s="7" t="n"/>
      <c r="W1169" s="7">
        <f>IF($D1169="","",V1169*AB1169/100)</f>
        <v/>
      </c>
      <c r="X1169" s="7">
        <f>IF($D1169="","",V1169-W1169)</f>
        <v/>
      </c>
      <c r="Y1169" s="7">
        <f>IF($D1169="","",X1169-N1169)</f>
        <v/>
      </c>
      <c r="AB1169">
        <f>IF($D1169="","",IF($AN1169=1,Settings!$C$8,IF($AM1169=1,Settings!$C$6,Settings!$C$7))*100)</f>
        <v/>
      </c>
      <c r="AF1169" s="7" t="n"/>
      <c r="AI1169" s="11" t="n"/>
      <c r="AK1169">
        <f>IF($D1169="","",IF(COUNTIF($D$2:$D1169,$D1169)=1,1,0))</f>
        <v/>
      </c>
      <c r="AL1169">
        <f>IF($AK1169=1,SUMPRODUCT(--($AO$2:$AO$1601&lt;$AO1169))+1,"")</f>
        <v/>
      </c>
      <c r="AM1169">
        <f>IF($D1169="","",IF(OR($R1169=TRUE(),$R1169="TRUE"),1,0))</f>
        <v/>
      </c>
      <c r="AN1169">
        <f>IF($D1169="","",IF($AA1169="Yes",1,0))</f>
        <v/>
      </c>
      <c r="AO1169">
        <f>IF($AK1169=1,IFERROR(IF(VALUE($D1169)&lt;100000000,VALUE($D1169),1000000000),IFERROR(IF(VALUE(MID($D1169,2,20))&lt;100000000,VALUE(MID($D1169,2,20)),1000000000),1000000000))+ROW()/100000,"")</f>
        <v/>
      </c>
    </row>
    <row r="1170">
      <c r="F1170" s="11" t="n"/>
      <c r="N1170" s="7">
        <f>IF($D1170="","",M1170*X1170/100)</f>
        <v/>
      </c>
      <c r="O1170" s="7" t="n"/>
      <c r="U1170" s="7" t="n"/>
      <c r="V1170" s="7" t="n"/>
      <c r="W1170" s="7">
        <f>IF($D1170="","",V1170*AB1170/100)</f>
        <v/>
      </c>
      <c r="X1170" s="7">
        <f>IF($D1170="","",V1170-W1170)</f>
        <v/>
      </c>
      <c r="Y1170" s="7">
        <f>IF($D1170="","",X1170-N1170)</f>
        <v/>
      </c>
      <c r="AB1170">
        <f>IF($D1170="","",IF($AN1170=1,Settings!$C$8,IF($AM1170=1,Settings!$C$6,Settings!$C$7))*100)</f>
        <v/>
      </c>
      <c r="AF1170" s="7" t="n"/>
      <c r="AI1170" s="11" t="n"/>
      <c r="AK1170">
        <f>IF($D1170="","",IF(COUNTIF($D$2:$D1170,$D1170)=1,1,0))</f>
        <v/>
      </c>
      <c r="AL1170">
        <f>IF($AK1170=1,SUMPRODUCT(--($AO$2:$AO$1601&lt;$AO1170))+1,"")</f>
        <v/>
      </c>
      <c r="AM1170">
        <f>IF($D1170="","",IF(OR($R1170=TRUE(),$R1170="TRUE"),1,0))</f>
        <v/>
      </c>
      <c r="AN1170">
        <f>IF($D1170="","",IF($AA1170="Yes",1,0))</f>
        <v/>
      </c>
      <c r="AO1170">
        <f>IF($AK1170=1,IFERROR(IF(VALUE($D1170)&lt;100000000,VALUE($D1170),1000000000),IFERROR(IF(VALUE(MID($D1170,2,20))&lt;100000000,VALUE(MID($D1170,2,20)),1000000000),1000000000))+ROW()/100000,"")</f>
        <v/>
      </c>
    </row>
    <row r="1171">
      <c r="F1171" s="11" t="n"/>
      <c r="N1171" s="7">
        <f>IF($D1171="","",M1171*X1171/100)</f>
        <v/>
      </c>
      <c r="O1171" s="7" t="n"/>
      <c r="U1171" s="7" t="n"/>
      <c r="V1171" s="7" t="n"/>
      <c r="W1171" s="7">
        <f>IF($D1171="","",V1171*AB1171/100)</f>
        <v/>
      </c>
      <c r="X1171" s="7">
        <f>IF($D1171="","",V1171-W1171)</f>
        <v/>
      </c>
      <c r="Y1171" s="7">
        <f>IF($D1171="","",X1171-N1171)</f>
        <v/>
      </c>
      <c r="AB1171">
        <f>IF($D1171="","",IF($AN1171=1,Settings!$C$8,IF($AM1171=1,Settings!$C$6,Settings!$C$7))*100)</f>
        <v/>
      </c>
      <c r="AF1171" s="7" t="n"/>
      <c r="AI1171" s="11" t="n"/>
      <c r="AK1171">
        <f>IF($D1171="","",IF(COUNTIF($D$2:$D1171,$D1171)=1,1,0))</f>
        <v/>
      </c>
      <c r="AL1171">
        <f>IF($AK1171=1,SUMPRODUCT(--($AO$2:$AO$1601&lt;$AO1171))+1,"")</f>
        <v/>
      </c>
      <c r="AM1171">
        <f>IF($D1171="","",IF(OR($R1171=TRUE(),$R1171="TRUE"),1,0))</f>
        <v/>
      </c>
      <c r="AN1171">
        <f>IF($D1171="","",IF($AA1171="Yes",1,0))</f>
        <v/>
      </c>
      <c r="AO1171">
        <f>IF($AK1171=1,IFERROR(IF(VALUE($D1171)&lt;100000000,VALUE($D1171),1000000000),IFERROR(IF(VALUE(MID($D1171,2,20))&lt;100000000,VALUE(MID($D1171,2,20)),1000000000),1000000000))+ROW()/100000,"")</f>
        <v/>
      </c>
    </row>
    <row r="1172">
      <c r="F1172" s="11" t="n"/>
      <c r="N1172" s="7">
        <f>IF($D1172="","",M1172*X1172/100)</f>
        <v/>
      </c>
      <c r="O1172" s="7" t="n"/>
      <c r="U1172" s="7" t="n"/>
      <c r="V1172" s="7" t="n"/>
      <c r="W1172" s="7">
        <f>IF($D1172="","",V1172*AB1172/100)</f>
        <v/>
      </c>
      <c r="X1172" s="7">
        <f>IF($D1172="","",V1172-W1172)</f>
        <v/>
      </c>
      <c r="Y1172" s="7">
        <f>IF($D1172="","",X1172-N1172)</f>
        <v/>
      </c>
      <c r="AB1172">
        <f>IF($D1172="","",IF($AN1172=1,Settings!$C$8,IF($AM1172=1,Settings!$C$6,Settings!$C$7))*100)</f>
        <v/>
      </c>
      <c r="AF1172" s="7" t="n"/>
      <c r="AI1172" s="11" t="n"/>
      <c r="AK1172">
        <f>IF($D1172="","",IF(COUNTIF($D$2:$D1172,$D1172)=1,1,0))</f>
        <v/>
      </c>
      <c r="AL1172">
        <f>IF($AK1172=1,SUMPRODUCT(--($AO$2:$AO$1601&lt;$AO1172))+1,"")</f>
        <v/>
      </c>
      <c r="AM1172">
        <f>IF($D1172="","",IF(OR($R1172=TRUE(),$R1172="TRUE"),1,0))</f>
        <v/>
      </c>
      <c r="AN1172">
        <f>IF($D1172="","",IF($AA1172="Yes",1,0))</f>
        <v/>
      </c>
      <c r="AO1172">
        <f>IF($AK1172=1,IFERROR(IF(VALUE($D1172)&lt;100000000,VALUE($D1172),1000000000),IFERROR(IF(VALUE(MID($D1172,2,20))&lt;100000000,VALUE(MID($D1172,2,20)),1000000000),1000000000))+ROW()/100000,"")</f>
        <v/>
      </c>
    </row>
    <row r="1173">
      <c r="F1173" s="11" t="n"/>
      <c r="N1173" s="7">
        <f>IF($D1173="","",M1173*X1173/100)</f>
        <v/>
      </c>
      <c r="O1173" s="7" t="n"/>
      <c r="U1173" s="7" t="n"/>
      <c r="V1173" s="7" t="n"/>
      <c r="W1173" s="7">
        <f>IF($D1173="","",V1173*AB1173/100)</f>
        <v/>
      </c>
      <c r="X1173" s="7">
        <f>IF($D1173="","",V1173-W1173)</f>
        <v/>
      </c>
      <c r="Y1173" s="7">
        <f>IF($D1173="","",X1173-N1173)</f>
        <v/>
      </c>
      <c r="AB1173">
        <f>IF($D1173="","",IF($AN1173=1,Settings!$C$8,IF($AM1173=1,Settings!$C$6,Settings!$C$7))*100)</f>
        <v/>
      </c>
      <c r="AF1173" s="7" t="n"/>
      <c r="AI1173" s="11" t="n"/>
      <c r="AK1173">
        <f>IF($D1173="","",IF(COUNTIF($D$2:$D1173,$D1173)=1,1,0))</f>
        <v/>
      </c>
      <c r="AL1173">
        <f>IF($AK1173=1,SUMPRODUCT(--($AO$2:$AO$1601&lt;$AO1173))+1,"")</f>
        <v/>
      </c>
      <c r="AM1173">
        <f>IF($D1173="","",IF(OR($R1173=TRUE(),$R1173="TRUE"),1,0))</f>
        <v/>
      </c>
      <c r="AN1173">
        <f>IF($D1173="","",IF($AA1173="Yes",1,0))</f>
        <v/>
      </c>
      <c r="AO1173">
        <f>IF($AK1173=1,IFERROR(IF(VALUE($D1173)&lt;100000000,VALUE($D1173),1000000000),IFERROR(IF(VALUE(MID($D1173,2,20))&lt;100000000,VALUE(MID($D1173,2,20)),1000000000),1000000000))+ROW()/100000,"")</f>
        <v/>
      </c>
    </row>
    <row r="1174">
      <c r="F1174" s="11" t="n"/>
      <c r="N1174" s="7">
        <f>IF($D1174="","",M1174*X1174/100)</f>
        <v/>
      </c>
      <c r="O1174" s="7" t="n"/>
      <c r="U1174" s="7" t="n"/>
      <c r="V1174" s="7" t="n"/>
      <c r="W1174" s="7">
        <f>IF($D1174="","",V1174*AB1174/100)</f>
        <v/>
      </c>
      <c r="X1174" s="7">
        <f>IF($D1174="","",V1174-W1174)</f>
        <v/>
      </c>
      <c r="Y1174" s="7">
        <f>IF($D1174="","",X1174-N1174)</f>
        <v/>
      </c>
      <c r="AB1174">
        <f>IF($D1174="","",IF($AN1174=1,Settings!$C$8,IF($AM1174=1,Settings!$C$6,Settings!$C$7))*100)</f>
        <v/>
      </c>
      <c r="AF1174" s="7" t="n"/>
      <c r="AI1174" s="11" t="n"/>
      <c r="AK1174">
        <f>IF($D1174="","",IF(COUNTIF($D$2:$D1174,$D1174)=1,1,0))</f>
        <v/>
      </c>
      <c r="AL1174">
        <f>IF($AK1174=1,SUMPRODUCT(--($AO$2:$AO$1601&lt;$AO1174))+1,"")</f>
        <v/>
      </c>
      <c r="AM1174">
        <f>IF($D1174="","",IF(OR($R1174=TRUE(),$R1174="TRUE"),1,0))</f>
        <v/>
      </c>
      <c r="AN1174">
        <f>IF($D1174="","",IF($AA1174="Yes",1,0))</f>
        <v/>
      </c>
      <c r="AO1174">
        <f>IF($AK1174=1,IFERROR(IF(VALUE($D1174)&lt;100000000,VALUE($D1174),1000000000),IFERROR(IF(VALUE(MID($D1174,2,20))&lt;100000000,VALUE(MID($D1174,2,20)),1000000000),1000000000))+ROW()/100000,"")</f>
        <v/>
      </c>
    </row>
    <row r="1175">
      <c r="F1175" s="11" t="n"/>
      <c r="N1175" s="7">
        <f>IF($D1175="","",M1175*X1175/100)</f>
        <v/>
      </c>
      <c r="O1175" s="7" t="n"/>
      <c r="U1175" s="7" t="n"/>
      <c r="V1175" s="7" t="n"/>
      <c r="W1175" s="7">
        <f>IF($D1175="","",V1175*AB1175/100)</f>
        <v/>
      </c>
      <c r="X1175" s="7">
        <f>IF($D1175="","",V1175-W1175)</f>
        <v/>
      </c>
      <c r="Y1175" s="7">
        <f>IF($D1175="","",X1175-N1175)</f>
        <v/>
      </c>
      <c r="AB1175">
        <f>IF($D1175="","",IF($AN1175=1,Settings!$C$8,IF($AM1175=1,Settings!$C$6,Settings!$C$7))*100)</f>
        <v/>
      </c>
      <c r="AF1175" s="7" t="n"/>
      <c r="AI1175" s="11" t="n"/>
      <c r="AK1175">
        <f>IF($D1175="","",IF(COUNTIF($D$2:$D1175,$D1175)=1,1,0))</f>
        <v/>
      </c>
      <c r="AL1175">
        <f>IF($AK1175=1,SUMPRODUCT(--($AO$2:$AO$1601&lt;$AO1175))+1,"")</f>
        <v/>
      </c>
      <c r="AM1175">
        <f>IF($D1175="","",IF(OR($R1175=TRUE(),$R1175="TRUE"),1,0))</f>
        <v/>
      </c>
      <c r="AN1175">
        <f>IF($D1175="","",IF($AA1175="Yes",1,0))</f>
        <v/>
      </c>
      <c r="AO1175">
        <f>IF($AK1175=1,IFERROR(IF(VALUE($D1175)&lt;100000000,VALUE($D1175),1000000000),IFERROR(IF(VALUE(MID($D1175,2,20))&lt;100000000,VALUE(MID($D1175,2,20)),1000000000),1000000000))+ROW()/100000,"")</f>
        <v/>
      </c>
    </row>
    <row r="1176">
      <c r="F1176" s="11" t="n"/>
      <c r="N1176" s="7">
        <f>IF($D1176="","",M1176*X1176/100)</f>
        <v/>
      </c>
      <c r="O1176" s="7" t="n"/>
      <c r="U1176" s="7" t="n"/>
      <c r="V1176" s="7" t="n"/>
      <c r="W1176" s="7">
        <f>IF($D1176="","",V1176*AB1176/100)</f>
        <v/>
      </c>
      <c r="X1176" s="7">
        <f>IF($D1176="","",V1176-W1176)</f>
        <v/>
      </c>
      <c r="Y1176" s="7">
        <f>IF($D1176="","",X1176-N1176)</f>
        <v/>
      </c>
      <c r="AB1176">
        <f>IF($D1176="","",IF($AN1176=1,Settings!$C$8,IF($AM1176=1,Settings!$C$6,Settings!$C$7))*100)</f>
        <v/>
      </c>
      <c r="AF1176" s="7" t="n"/>
      <c r="AI1176" s="11" t="n"/>
      <c r="AK1176">
        <f>IF($D1176="","",IF(COUNTIF($D$2:$D1176,$D1176)=1,1,0))</f>
        <v/>
      </c>
      <c r="AL1176">
        <f>IF($AK1176=1,SUMPRODUCT(--($AO$2:$AO$1601&lt;$AO1176))+1,"")</f>
        <v/>
      </c>
      <c r="AM1176">
        <f>IF($D1176="","",IF(OR($R1176=TRUE(),$R1176="TRUE"),1,0))</f>
        <v/>
      </c>
      <c r="AN1176">
        <f>IF($D1176="","",IF($AA1176="Yes",1,0))</f>
        <v/>
      </c>
      <c r="AO1176">
        <f>IF($AK1176=1,IFERROR(IF(VALUE($D1176)&lt;100000000,VALUE($D1176),1000000000),IFERROR(IF(VALUE(MID($D1176,2,20))&lt;100000000,VALUE(MID($D1176,2,20)),1000000000),1000000000))+ROW()/100000,"")</f>
        <v/>
      </c>
    </row>
    <row r="1177">
      <c r="F1177" s="11" t="n"/>
      <c r="N1177" s="7">
        <f>IF($D1177="","",M1177*X1177/100)</f>
        <v/>
      </c>
      <c r="O1177" s="7" t="n"/>
      <c r="U1177" s="7" t="n"/>
      <c r="V1177" s="7" t="n"/>
      <c r="W1177" s="7">
        <f>IF($D1177="","",V1177*AB1177/100)</f>
        <v/>
      </c>
      <c r="X1177" s="7">
        <f>IF($D1177="","",V1177-W1177)</f>
        <v/>
      </c>
      <c r="Y1177" s="7">
        <f>IF($D1177="","",X1177-N1177)</f>
        <v/>
      </c>
      <c r="AB1177">
        <f>IF($D1177="","",IF($AN1177=1,Settings!$C$8,IF($AM1177=1,Settings!$C$6,Settings!$C$7))*100)</f>
        <v/>
      </c>
      <c r="AF1177" s="7" t="n"/>
      <c r="AI1177" s="11" t="n"/>
      <c r="AK1177">
        <f>IF($D1177="","",IF(COUNTIF($D$2:$D1177,$D1177)=1,1,0))</f>
        <v/>
      </c>
      <c r="AL1177">
        <f>IF($AK1177=1,SUMPRODUCT(--($AO$2:$AO$1601&lt;$AO1177))+1,"")</f>
        <v/>
      </c>
      <c r="AM1177">
        <f>IF($D1177="","",IF(OR($R1177=TRUE(),$R1177="TRUE"),1,0))</f>
        <v/>
      </c>
      <c r="AN1177">
        <f>IF($D1177="","",IF($AA1177="Yes",1,0))</f>
        <v/>
      </c>
      <c r="AO1177">
        <f>IF($AK1177=1,IFERROR(IF(VALUE($D1177)&lt;100000000,VALUE($D1177),1000000000),IFERROR(IF(VALUE(MID($D1177,2,20))&lt;100000000,VALUE(MID($D1177,2,20)),1000000000),1000000000))+ROW()/100000,"")</f>
        <v/>
      </c>
    </row>
    <row r="1178">
      <c r="F1178" s="11" t="n"/>
      <c r="N1178" s="7">
        <f>IF($D1178="","",M1178*X1178/100)</f>
        <v/>
      </c>
      <c r="O1178" s="7" t="n"/>
      <c r="U1178" s="7" t="n"/>
      <c r="V1178" s="7" t="n"/>
      <c r="W1178" s="7">
        <f>IF($D1178="","",V1178*AB1178/100)</f>
        <v/>
      </c>
      <c r="X1178" s="7">
        <f>IF($D1178="","",V1178-W1178)</f>
        <v/>
      </c>
      <c r="Y1178" s="7">
        <f>IF($D1178="","",X1178-N1178)</f>
        <v/>
      </c>
      <c r="AB1178">
        <f>IF($D1178="","",IF($AN1178=1,Settings!$C$8,IF($AM1178=1,Settings!$C$6,Settings!$C$7))*100)</f>
        <v/>
      </c>
      <c r="AF1178" s="7" t="n"/>
      <c r="AI1178" s="11" t="n"/>
      <c r="AK1178">
        <f>IF($D1178="","",IF(COUNTIF($D$2:$D1178,$D1178)=1,1,0))</f>
        <v/>
      </c>
      <c r="AL1178">
        <f>IF($AK1178=1,SUMPRODUCT(--($AO$2:$AO$1601&lt;$AO1178))+1,"")</f>
        <v/>
      </c>
      <c r="AM1178">
        <f>IF($D1178="","",IF(OR($R1178=TRUE(),$R1178="TRUE"),1,0))</f>
        <v/>
      </c>
      <c r="AN1178">
        <f>IF($D1178="","",IF($AA1178="Yes",1,0))</f>
        <v/>
      </c>
      <c r="AO1178">
        <f>IF($AK1178=1,IFERROR(IF(VALUE($D1178)&lt;100000000,VALUE($D1178),1000000000),IFERROR(IF(VALUE(MID($D1178,2,20))&lt;100000000,VALUE(MID($D1178,2,20)),1000000000),1000000000))+ROW()/100000,"")</f>
        <v/>
      </c>
    </row>
    <row r="1179">
      <c r="F1179" s="11" t="n"/>
      <c r="N1179" s="7">
        <f>IF($D1179="","",M1179*X1179/100)</f>
        <v/>
      </c>
      <c r="O1179" s="7" t="n"/>
      <c r="U1179" s="7" t="n"/>
      <c r="V1179" s="7" t="n"/>
      <c r="W1179" s="7">
        <f>IF($D1179="","",V1179*AB1179/100)</f>
        <v/>
      </c>
      <c r="X1179" s="7">
        <f>IF($D1179="","",V1179-W1179)</f>
        <v/>
      </c>
      <c r="Y1179" s="7">
        <f>IF($D1179="","",X1179-N1179)</f>
        <v/>
      </c>
      <c r="AB1179">
        <f>IF($D1179="","",IF($AN1179=1,Settings!$C$8,IF($AM1179=1,Settings!$C$6,Settings!$C$7))*100)</f>
        <v/>
      </c>
      <c r="AF1179" s="7" t="n"/>
      <c r="AI1179" s="11" t="n"/>
      <c r="AK1179">
        <f>IF($D1179="","",IF(COUNTIF($D$2:$D1179,$D1179)=1,1,0))</f>
        <v/>
      </c>
      <c r="AL1179">
        <f>IF($AK1179=1,SUMPRODUCT(--($AO$2:$AO$1601&lt;$AO1179))+1,"")</f>
        <v/>
      </c>
      <c r="AM1179">
        <f>IF($D1179="","",IF(OR($R1179=TRUE(),$R1179="TRUE"),1,0))</f>
        <v/>
      </c>
      <c r="AN1179">
        <f>IF($D1179="","",IF($AA1179="Yes",1,0))</f>
        <v/>
      </c>
      <c r="AO1179">
        <f>IF($AK1179=1,IFERROR(IF(VALUE($D1179)&lt;100000000,VALUE($D1179),1000000000),IFERROR(IF(VALUE(MID($D1179,2,20))&lt;100000000,VALUE(MID($D1179,2,20)),1000000000),1000000000))+ROW()/100000,"")</f>
        <v/>
      </c>
    </row>
    <row r="1180">
      <c r="F1180" s="11" t="n"/>
      <c r="N1180" s="7">
        <f>IF($D1180="","",M1180*X1180/100)</f>
        <v/>
      </c>
      <c r="O1180" s="7" t="n"/>
      <c r="U1180" s="7" t="n"/>
      <c r="V1180" s="7" t="n"/>
      <c r="W1180" s="7">
        <f>IF($D1180="","",V1180*AB1180/100)</f>
        <v/>
      </c>
      <c r="X1180" s="7">
        <f>IF($D1180="","",V1180-W1180)</f>
        <v/>
      </c>
      <c r="Y1180" s="7">
        <f>IF($D1180="","",X1180-N1180)</f>
        <v/>
      </c>
      <c r="AB1180">
        <f>IF($D1180="","",IF($AN1180=1,Settings!$C$8,IF($AM1180=1,Settings!$C$6,Settings!$C$7))*100)</f>
        <v/>
      </c>
      <c r="AF1180" s="7" t="n"/>
      <c r="AI1180" s="11" t="n"/>
      <c r="AK1180">
        <f>IF($D1180="","",IF(COUNTIF($D$2:$D1180,$D1180)=1,1,0))</f>
        <v/>
      </c>
      <c r="AL1180">
        <f>IF($AK1180=1,SUMPRODUCT(--($AO$2:$AO$1601&lt;$AO1180))+1,"")</f>
        <v/>
      </c>
      <c r="AM1180">
        <f>IF($D1180="","",IF(OR($R1180=TRUE(),$R1180="TRUE"),1,0))</f>
        <v/>
      </c>
      <c r="AN1180">
        <f>IF($D1180="","",IF($AA1180="Yes",1,0))</f>
        <v/>
      </c>
      <c r="AO1180">
        <f>IF($AK1180=1,IFERROR(IF(VALUE($D1180)&lt;100000000,VALUE($D1180),1000000000),IFERROR(IF(VALUE(MID($D1180,2,20))&lt;100000000,VALUE(MID($D1180,2,20)),1000000000),1000000000))+ROW()/100000,"")</f>
        <v/>
      </c>
    </row>
    <row r="1181">
      <c r="F1181" s="11" t="n"/>
      <c r="N1181" s="7">
        <f>IF($D1181="","",M1181*X1181/100)</f>
        <v/>
      </c>
      <c r="O1181" s="7" t="n"/>
      <c r="U1181" s="7" t="n"/>
      <c r="V1181" s="7" t="n"/>
      <c r="W1181" s="7">
        <f>IF($D1181="","",V1181*AB1181/100)</f>
        <v/>
      </c>
      <c r="X1181" s="7">
        <f>IF($D1181="","",V1181-W1181)</f>
        <v/>
      </c>
      <c r="Y1181" s="7">
        <f>IF($D1181="","",X1181-N1181)</f>
        <v/>
      </c>
      <c r="AB1181">
        <f>IF($D1181="","",IF($AN1181=1,Settings!$C$8,IF($AM1181=1,Settings!$C$6,Settings!$C$7))*100)</f>
        <v/>
      </c>
      <c r="AF1181" s="7" t="n"/>
      <c r="AI1181" s="11" t="n"/>
      <c r="AK1181">
        <f>IF($D1181="","",IF(COUNTIF($D$2:$D1181,$D1181)=1,1,0))</f>
        <v/>
      </c>
      <c r="AL1181">
        <f>IF($AK1181=1,SUMPRODUCT(--($AO$2:$AO$1601&lt;$AO1181))+1,"")</f>
        <v/>
      </c>
      <c r="AM1181">
        <f>IF($D1181="","",IF(OR($R1181=TRUE(),$R1181="TRUE"),1,0))</f>
        <v/>
      </c>
      <c r="AN1181">
        <f>IF($D1181="","",IF($AA1181="Yes",1,0))</f>
        <v/>
      </c>
      <c r="AO1181">
        <f>IF($AK1181=1,IFERROR(IF(VALUE($D1181)&lt;100000000,VALUE($D1181),1000000000),IFERROR(IF(VALUE(MID($D1181,2,20))&lt;100000000,VALUE(MID($D1181,2,20)),1000000000),1000000000))+ROW()/100000,"")</f>
        <v/>
      </c>
    </row>
    <row r="1182">
      <c r="F1182" s="11" t="n"/>
      <c r="N1182" s="7">
        <f>IF($D1182="","",M1182*X1182/100)</f>
        <v/>
      </c>
      <c r="O1182" s="7" t="n"/>
      <c r="U1182" s="7" t="n"/>
      <c r="V1182" s="7" t="n"/>
      <c r="W1182" s="7">
        <f>IF($D1182="","",V1182*AB1182/100)</f>
        <v/>
      </c>
      <c r="X1182" s="7">
        <f>IF($D1182="","",V1182-W1182)</f>
        <v/>
      </c>
      <c r="Y1182" s="7">
        <f>IF($D1182="","",X1182-N1182)</f>
        <v/>
      </c>
      <c r="AB1182">
        <f>IF($D1182="","",IF($AN1182=1,Settings!$C$8,IF($AM1182=1,Settings!$C$6,Settings!$C$7))*100)</f>
        <v/>
      </c>
      <c r="AF1182" s="7" t="n"/>
      <c r="AI1182" s="11" t="n"/>
      <c r="AK1182">
        <f>IF($D1182="","",IF(COUNTIF($D$2:$D1182,$D1182)=1,1,0))</f>
        <v/>
      </c>
      <c r="AL1182">
        <f>IF($AK1182=1,SUMPRODUCT(--($AO$2:$AO$1601&lt;$AO1182))+1,"")</f>
        <v/>
      </c>
      <c r="AM1182">
        <f>IF($D1182="","",IF(OR($R1182=TRUE(),$R1182="TRUE"),1,0))</f>
        <v/>
      </c>
      <c r="AN1182">
        <f>IF($D1182="","",IF($AA1182="Yes",1,0))</f>
        <v/>
      </c>
      <c r="AO1182">
        <f>IF($AK1182=1,IFERROR(IF(VALUE($D1182)&lt;100000000,VALUE($D1182),1000000000),IFERROR(IF(VALUE(MID($D1182,2,20))&lt;100000000,VALUE(MID($D1182,2,20)),1000000000),1000000000))+ROW()/100000,"")</f>
        <v/>
      </c>
    </row>
    <row r="1183">
      <c r="F1183" s="11" t="n"/>
      <c r="N1183" s="7">
        <f>IF($D1183="","",M1183*X1183/100)</f>
        <v/>
      </c>
      <c r="O1183" s="7" t="n"/>
      <c r="U1183" s="7" t="n"/>
      <c r="V1183" s="7" t="n"/>
      <c r="W1183" s="7">
        <f>IF($D1183="","",V1183*AB1183/100)</f>
        <v/>
      </c>
      <c r="X1183" s="7">
        <f>IF($D1183="","",V1183-W1183)</f>
        <v/>
      </c>
      <c r="Y1183" s="7">
        <f>IF($D1183="","",X1183-N1183)</f>
        <v/>
      </c>
      <c r="AB1183">
        <f>IF($D1183="","",IF($AN1183=1,Settings!$C$8,IF($AM1183=1,Settings!$C$6,Settings!$C$7))*100)</f>
        <v/>
      </c>
      <c r="AF1183" s="7" t="n"/>
      <c r="AI1183" s="11" t="n"/>
      <c r="AK1183">
        <f>IF($D1183="","",IF(COUNTIF($D$2:$D1183,$D1183)=1,1,0))</f>
        <v/>
      </c>
      <c r="AL1183">
        <f>IF($AK1183=1,SUMPRODUCT(--($AO$2:$AO$1601&lt;$AO1183))+1,"")</f>
        <v/>
      </c>
      <c r="AM1183">
        <f>IF($D1183="","",IF(OR($R1183=TRUE(),$R1183="TRUE"),1,0))</f>
        <v/>
      </c>
      <c r="AN1183">
        <f>IF($D1183="","",IF($AA1183="Yes",1,0))</f>
        <v/>
      </c>
      <c r="AO1183">
        <f>IF($AK1183=1,IFERROR(IF(VALUE($D1183)&lt;100000000,VALUE($D1183),1000000000),IFERROR(IF(VALUE(MID($D1183,2,20))&lt;100000000,VALUE(MID($D1183,2,20)),1000000000),1000000000))+ROW()/100000,"")</f>
        <v/>
      </c>
    </row>
    <row r="1184">
      <c r="F1184" s="11" t="n"/>
      <c r="N1184" s="7">
        <f>IF($D1184="","",M1184*X1184/100)</f>
        <v/>
      </c>
      <c r="O1184" s="7" t="n"/>
      <c r="U1184" s="7" t="n"/>
      <c r="V1184" s="7" t="n"/>
      <c r="W1184" s="7">
        <f>IF($D1184="","",V1184*AB1184/100)</f>
        <v/>
      </c>
      <c r="X1184" s="7">
        <f>IF($D1184="","",V1184-W1184)</f>
        <v/>
      </c>
      <c r="Y1184" s="7">
        <f>IF($D1184="","",X1184-N1184)</f>
        <v/>
      </c>
      <c r="AB1184">
        <f>IF($D1184="","",IF($AN1184=1,Settings!$C$8,IF($AM1184=1,Settings!$C$6,Settings!$C$7))*100)</f>
        <v/>
      </c>
      <c r="AF1184" s="7" t="n"/>
      <c r="AI1184" s="11" t="n"/>
      <c r="AK1184">
        <f>IF($D1184="","",IF(COUNTIF($D$2:$D1184,$D1184)=1,1,0))</f>
        <v/>
      </c>
      <c r="AL1184">
        <f>IF($AK1184=1,SUMPRODUCT(--($AO$2:$AO$1601&lt;$AO1184))+1,"")</f>
        <v/>
      </c>
      <c r="AM1184">
        <f>IF($D1184="","",IF(OR($R1184=TRUE(),$R1184="TRUE"),1,0))</f>
        <v/>
      </c>
      <c r="AN1184">
        <f>IF($D1184="","",IF($AA1184="Yes",1,0))</f>
        <v/>
      </c>
      <c r="AO1184">
        <f>IF($AK1184=1,IFERROR(IF(VALUE($D1184)&lt;100000000,VALUE($D1184),1000000000),IFERROR(IF(VALUE(MID($D1184,2,20))&lt;100000000,VALUE(MID($D1184,2,20)),1000000000),1000000000))+ROW()/100000,"")</f>
        <v/>
      </c>
    </row>
    <row r="1185">
      <c r="F1185" s="11" t="n"/>
      <c r="N1185" s="7">
        <f>IF($D1185="","",M1185*X1185/100)</f>
        <v/>
      </c>
      <c r="O1185" s="7" t="n"/>
      <c r="U1185" s="7" t="n"/>
      <c r="V1185" s="7" t="n"/>
      <c r="W1185" s="7">
        <f>IF($D1185="","",V1185*AB1185/100)</f>
        <v/>
      </c>
      <c r="X1185" s="7">
        <f>IF($D1185="","",V1185-W1185)</f>
        <v/>
      </c>
      <c r="Y1185" s="7">
        <f>IF($D1185="","",X1185-N1185)</f>
        <v/>
      </c>
      <c r="AB1185">
        <f>IF($D1185="","",IF($AN1185=1,Settings!$C$8,IF($AM1185=1,Settings!$C$6,Settings!$C$7))*100)</f>
        <v/>
      </c>
      <c r="AF1185" s="7" t="n"/>
      <c r="AI1185" s="11" t="n"/>
      <c r="AK1185">
        <f>IF($D1185="","",IF(COUNTIF($D$2:$D1185,$D1185)=1,1,0))</f>
        <v/>
      </c>
      <c r="AL1185">
        <f>IF($AK1185=1,SUMPRODUCT(--($AO$2:$AO$1601&lt;$AO1185))+1,"")</f>
        <v/>
      </c>
      <c r="AM1185">
        <f>IF($D1185="","",IF(OR($R1185=TRUE(),$R1185="TRUE"),1,0))</f>
        <v/>
      </c>
      <c r="AN1185">
        <f>IF($D1185="","",IF($AA1185="Yes",1,0))</f>
        <v/>
      </c>
      <c r="AO1185">
        <f>IF($AK1185=1,IFERROR(IF(VALUE($D1185)&lt;100000000,VALUE($D1185),1000000000),IFERROR(IF(VALUE(MID($D1185,2,20))&lt;100000000,VALUE(MID($D1185,2,20)),1000000000),1000000000))+ROW()/100000,"")</f>
        <v/>
      </c>
    </row>
    <row r="1186">
      <c r="F1186" s="11" t="n"/>
      <c r="N1186" s="7">
        <f>IF($D1186="","",M1186*X1186/100)</f>
        <v/>
      </c>
      <c r="O1186" s="7" t="n"/>
      <c r="U1186" s="7" t="n"/>
      <c r="V1186" s="7" t="n"/>
      <c r="W1186" s="7">
        <f>IF($D1186="","",V1186*AB1186/100)</f>
        <v/>
      </c>
      <c r="X1186" s="7">
        <f>IF($D1186="","",V1186-W1186)</f>
        <v/>
      </c>
      <c r="Y1186" s="7">
        <f>IF($D1186="","",X1186-N1186)</f>
        <v/>
      </c>
      <c r="AB1186">
        <f>IF($D1186="","",IF($AN1186=1,Settings!$C$8,IF($AM1186=1,Settings!$C$6,Settings!$C$7))*100)</f>
        <v/>
      </c>
      <c r="AF1186" s="7" t="n"/>
      <c r="AI1186" s="11" t="n"/>
      <c r="AK1186">
        <f>IF($D1186="","",IF(COUNTIF($D$2:$D1186,$D1186)=1,1,0))</f>
        <v/>
      </c>
      <c r="AL1186">
        <f>IF($AK1186=1,SUMPRODUCT(--($AO$2:$AO$1601&lt;$AO1186))+1,"")</f>
        <v/>
      </c>
      <c r="AM1186">
        <f>IF($D1186="","",IF(OR($R1186=TRUE(),$R1186="TRUE"),1,0))</f>
        <v/>
      </c>
      <c r="AN1186">
        <f>IF($D1186="","",IF($AA1186="Yes",1,0))</f>
        <v/>
      </c>
      <c r="AO1186">
        <f>IF($AK1186=1,IFERROR(IF(VALUE($D1186)&lt;100000000,VALUE($D1186),1000000000),IFERROR(IF(VALUE(MID($D1186,2,20))&lt;100000000,VALUE(MID($D1186,2,20)),1000000000),1000000000))+ROW()/100000,"")</f>
        <v/>
      </c>
    </row>
    <row r="1187">
      <c r="F1187" s="11" t="n"/>
      <c r="N1187" s="7">
        <f>IF($D1187="","",M1187*X1187/100)</f>
        <v/>
      </c>
      <c r="O1187" s="7" t="n"/>
      <c r="U1187" s="7" t="n"/>
      <c r="V1187" s="7" t="n"/>
      <c r="W1187" s="7">
        <f>IF($D1187="","",V1187*AB1187/100)</f>
        <v/>
      </c>
      <c r="X1187" s="7">
        <f>IF($D1187="","",V1187-W1187)</f>
        <v/>
      </c>
      <c r="Y1187" s="7">
        <f>IF($D1187="","",X1187-N1187)</f>
        <v/>
      </c>
      <c r="AB1187">
        <f>IF($D1187="","",IF($AN1187=1,Settings!$C$8,IF($AM1187=1,Settings!$C$6,Settings!$C$7))*100)</f>
        <v/>
      </c>
      <c r="AF1187" s="7" t="n"/>
      <c r="AI1187" s="11" t="n"/>
      <c r="AK1187">
        <f>IF($D1187="","",IF(COUNTIF($D$2:$D1187,$D1187)=1,1,0))</f>
        <v/>
      </c>
      <c r="AL1187">
        <f>IF($AK1187=1,SUMPRODUCT(--($AO$2:$AO$1601&lt;$AO1187))+1,"")</f>
        <v/>
      </c>
      <c r="AM1187">
        <f>IF($D1187="","",IF(OR($R1187=TRUE(),$R1187="TRUE"),1,0))</f>
        <v/>
      </c>
      <c r="AN1187">
        <f>IF($D1187="","",IF($AA1187="Yes",1,0))</f>
        <v/>
      </c>
      <c r="AO1187">
        <f>IF($AK1187=1,IFERROR(IF(VALUE($D1187)&lt;100000000,VALUE($D1187),1000000000),IFERROR(IF(VALUE(MID($D1187,2,20))&lt;100000000,VALUE(MID($D1187,2,20)),1000000000),1000000000))+ROW()/100000,"")</f>
        <v/>
      </c>
    </row>
    <row r="1188">
      <c r="F1188" s="11" t="n"/>
      <c r="N1188" s="7">
        <f>IF($D1188="","",M1188*X1188/100)</f>
        <v/>
      </c>
      <c r="O1188" s="7" t="n"/>
      <c r="U1188" s="7" t="n"/>
      <c r="V1188" s="7" t="n"/>
      <c r="W1188" s="7">
        <f>IF($D1188="","",V1188*AB1188/100)</f>
        <v/>
      </c>
      <c r="X1188" s="7">
        <f>IF($D1188="","",V1188-W1188)</f>
        <v/>
      </c>
      <c r="Y1188" s="7">
        <f>IF($D1188="","",X1188-N1188)</f>
        <v/>
      </c>
      <c r="AB1188">
        <f>IF($D1188="","",IF($AN1188=1,Settings!$C$8,IF($AM1188=1,Settings!$C$6,Settings!$C$7))*100)</f>
        <v/>
      </c>
      <c r="AF1188" s="7" t="n"/>
      <c r="AI1188" s="11" t="n"/>
      <c r="AK1188">
        <f>IF($D1188="","",IF(COUNTIF($D$2:$D1188,$D1188)=1,1,0))</f>
        <v/>
      </c>
      <c r="AL1188">
        <f>IF($AK1188=1,SUMPRODUCT(--($AO$2:$AO$1601&lt;$AO1188))+1,"")</f>
        <v/>
      </c>
      <c r="AM1188">
        <f>IF($D1188="","",IF(OR($R1188=TRUE(),$R1188="TRUE"),1,0))</f>
        <v/>
      </c>
      <c r="AN1188">
        <f>IF($D1188="","",IF($AA1188="Yes",1,0))</f>
        <v/>
      </c>
      <c r="AO1188">
        <f>IF($AK1188=1,IFERROR(IF(VALUE($D1188)&lt;100000000,VALUE($D1188),1000000000),IFERROR(IF(VALUE(MID($D1188,2,20))&lt;100000000,VALUE(MID($D1188,2,20)),1000000000),1000000000))+ROW()/100000,"")</f>
        <v/>
      </c>
    </row>
    <row r="1189">
      <c r="F1189" s="11" t="n"/>
      <c r="N1189" s="7">
        <f>IF($D1189="","",M1189*X1189/100)</f>
        <v/>
      </c>
      <c r="O1189" s="7" t="n"/>
      <c r="U1189" s="7" t="n"/>
      <c r="V1189" s="7" t="n"/>
      <c r="W1189" s="7">
        <f>IF($D1189="","",V1189*AB1189/100)</f>
        <v/>
      </c>
      <c r="X1189" s="7">
        <f>IF($D1189="","",V1189-W1189)</f>
        <v/>
      </c>
      <c r="Y1189" s="7">
        <f>IF($D1189="","",X1189-N1189)</f>
        <v/>
      </c>
      <c r="AB1189">
        <f>IF($D1189="","",IF($AN1189=1,Settings!$C$8,IF($AM1189=1,Settings!$C$6,Settings!$C$7))*100)</f>
        <v/>
      </c>
      <c r="AF1189" s="7" t="n"/>
      <c r="AI1189" s="11" t="n"/>
      <c r="AK1189">
        <f>IF($D1189="","",IF(COUNTIF($D$2:$D1189,$D1189)=1,1,0))</f>
        <v/>
      </c>
      <c r="AL1189">
        <f>IF($AK1189=1,SUMPRODUCT(--($AO$2:$AO$1601&lt;$AO1189))+1,"")</f>
        <v/>
      </c>
      <c r="AM1189">
        <f>IF($D1189="","",IF(OR($R1189=TRUE(),$R1189="TRUE"),1,0))</f>
        <v/>
      </c>
      <c r="AN1189">
        <f>IF($D1189="","",IF($AA1189="Yes",1,0))</f>
        <v/>
      </c>
      <c r="AO1189">
        <f>IF($AK1189=1,IFERROR(IF(VALUE($D1189)&lt;100000000,VALUE($D1189),1000000000),IFERROR(IF(VALUE(MID($D1189,2,20))&lt;100000000,VALUE(MID($D1189,2,20)),1000000000),1000000000))+ROW()/100000,"")</f>
        <v/>
      </c>
    </row>
    <row r="1190">
      <c r="F1190" s="11" t="n"/>
      <c r="N1190" s="7">
        <f>IF($D1190="","",M1190*X1190/100)</f>
        <v/>
      </c>
      <c r="O1190" s="7" t="n"/>
      <c r="U1190" s="7" t="n"/>
      <c r="V1190" s="7" t="n"/>
      <c r="W1190" s="7">
        <f>IF($D1190="","",V1190*AB1190/100)</f>
        <v/>
      </c>
      <c r="X1190" s="7">
        <f>IF($D1190="","",V1190-W1190)</f>
        <v/>
      </c>
      <c r="Y1190" s="7">
        <f>IF($D1190="","",X1190-N1190)</f>
        <v/>
      </c>
      <c r="AB1190">
        <f>IF($D1190="","",IF($AN1190=1,Settings!$C$8,IF($AM1190=1,Settings!$C$6,Settings!$C$7))*100)</f>
        <v/>
      </c>
      <c r="AF1190" s="7" t="n"/>
      <c r="AI1190" s="11" t="n"/>
      <c r="AK1190">
        <f>IF($D1190="","",IF(COUNTIF($D$2:$D1190,$D1190)=1,1,0))</f>
        <v/>
      </c>
      <c r="AL1190">
        <f>IF($AK1190=1,SUMPRODUCT(--($AO$2:$AO$1601&lt;$AO1190))+1,"")</f>
        <v/>
      </c>
      <c r="AM1190">
        <f>IF($D1190="","",IF(OR($R1190=TRUE(),$R1190="TRUE"),1,0))</f>
        <v/>
      </c>
      <c r="AN1190">
        <f>IF($D1190="","",IF($AA1190="Yes",1,0))</f>
        <v/>
      </c>
      <c r="AO1190">
        <f>IF($AK1190=1,IFERROR(IF(VALUE($D1190)&lt;100000000,VALUE($D1190),1000000000),IFERROR(IF(VALUE(MID($D1190,2,20))&lt;100000000,VALUE(MID($D1190,2,20)),1000000000),1000000000))+ROW()/100000,"")</f>
        <v/>
      </c>
    </row>
    <row r="1191">
      <c r="F1191" s="11" t="n"/>
      <c r="N1191" s="7">
        <f>IF($D1191="","",M1191*X1191/100)</f>
        <v/>
      </c>
      <c r="O1191" s="7" t="n"/>
      <c r="U1191" s="7" t="n"/>
      <c r="V1191" s="7" t="n"/>
      <c r="W1191" s="7">
        <f>IF($D1191="","",V1191*AB1191/100)</f>
        <v/>
      </c>
      <c r="X1191" s="7">
        <f>IF($D1191="","",V1191-W1191)</f>
        <v/>
      </c>
      <c r="Y1191" s="7">
        <f>IF($D1191="","",X1191-N1191)</f>
        <v/>
      </c>
      <c r="AB1191">
        <f>IF($D1191="","",IF($AN1191=1,Settings!$C$8,IF($AM1191=1,Settings!$C$6,Settings!$C$7))*100)</f>
        <v/>
      </c>
      <c r="AF1191" s="7" t="n"/>
      <c r="AI1191" s="11" t="n"/>
      <c r="AK1191">
        <f>IF($D1191="","",IF(COUNTIF($D$2:$D1191,$D1191)=1,1,0))</f>
        <v/>
      </c>
      <c r="AL1191">
        <f>IF($AK1191=1,SUMPRODUCT(--($AO$2:$AO$1601&lt;$AO1191))+1,"")</f>
        <v/>
      </c>
      <c r="AM1191">
        <f>IF($D1191="","",IF(OR($R1191=TRUE(),$R1191="TRUE"),1,0))</f>
        <v/>
      </c>
      <c r="AN1191">
        <f>IF($D1191="","",IF($AA1191="Yes",1,0))</f>
        <v/>
      </c>
      <c r="AO1191">
        <f>IF($AK1191=1,IFERROR(IF(VALUE($D1191)&lt;100000000,VALUE($D1191),1000000000),IFERROR(IF(VALUE(MID($D1191,2,20))&lt;100000000,VALUE(MID($D1191,2,20)),1000000000),1000000000))+ROW()/100000,"")</f>
        <v/>
      </c>
    </row>
    <row r="1192">
      <c r="F1192" s="11" t="n"/>
      <c r="N1192" s="7">
        <f>IF($D1192="","",M1192*X1192/100)</f>
        <v/>
      </c>
      <c r="O1192" s="7" t="n"/>
      <c r="U1192" s="7" t="n"/>
      <c r="V1192" s="7" t="n"/>
      <c r="W1192" s="7">
        <f>IF($D1192="","",V1192*AB1192/100)</f>
        <v/>
      </c>
      <c r="X1192" s="7">
        <f>IF($D1192="","",V1192-W1192)</f>
        <v/>
      </c>
      <c r="Y1192" s="7">
        <f>IF($D1192="","",X1192-N1192)</f>
        <v/>
      </c>
      <c r="AB1192">
        <f>IF($D1192="","",IF($AN1192=1,Settings!$C$8,IF($AM1192=1,Settings!$C$6,Settings!$C$7))*100)</f>
        <v/>
      </c>
      <c r="AF1192" s="7" t="n"/>
      <c r="AI1192" s="11" t="n"/>
      <c r="AK1192">
        <f>IF($D1192="","",IF(COUNTIF($D$2:$D1192,$D1192)=1,1,0))</f>
        <v/>
      </c>
      <c r="AL1192">
        <f>IF($AK1192=1,SUMPRODUCT(--($AO$2:$AO$1601&lt;$AO1192))+1,"")</f>
        <v/>
      </c>
      <c r="AM1192">
        <f>IF($D1192="","",IF(OR($R1192=TRUE(),$R1192="TRUE"),1,0))</f>
        <v/>
      </c>
      <c r="AN1192">
        <f>IF($D1192="","",IF($AA1192="Yes",1,0))</f>
        <v/>
      </c>
      <c r="AO1192">
        <f>IF($AK1192=1,IFERROR(IF(VALUE($D1192)&lt;100000000,VALUE($D1192),1000000000),IFERROR(IF(VALUE(MID($D1192,2,20))&lt;100000000,VALUE(MID($D1192,2,20)),1000000000),1000000000))+ROW()/100000,"")</f>
        <v/>
      </c>
    </row>
    <row r="1193">
      <c r="F1193" s="11" t="n"/>
      <c r="N1193" s="7">
        <f>IF($D1193="","",M1193*X1193/100)</f>
        <v/>
      </c>
      <c r="O1193" s="7" t="n"/>
      <c r="U1193" s="7" t="n"/>
      <c r="V1193" s="7" t="n"/>
      <c r="W1193" s="7">
        <f>IF($D1193="","",V1193*AB1193/100)</f>
        <v/>
      </c>
      <c r="X1193" s="7">
        <f>IF($D1193="","",V1193-W1193)</f>
        <v/>
      </c>
      <c r="Y1193" s="7">
        <f>IF($D1193="","",X1193-N1193)</f>
        <v/>
      </c>
      <c r="AB1193">
        <f>IF($D1193="","",IF($AN1193=1,Settings!$C$8,IF($AM1193=1,Settings!$C$6,Settings!$C$7))*100)</f>
        <v/>
      </c>
      <c r="AF1193" s="7" t="n"/>
      <c r="AI1193" s="11" t="n"/>
      <c r="AK1193">
        <f>IF($D1193="","",IF(COUNTIF($D$2:$D1193,$D1193)=1,1,0))</f>
        <v/>
      </c>
      <c r="AL1193">
        <f>IF($AK1193=1,SUMPRODUCT(--($AO$2:$AO$1601&lt;$AO1193))+1,"")</f>
        <v/>
      </c>
      <c r="AM1193">
        <f>IF($D1193="","",IF(OR($R1193=TRUE(),$R1193="TRUE"),1,0))</f>
        <v/>
      </c>
      <c r="AN1193">
        <f>IF($D1193="","",IF($AA1193="Yes",1,0))</f>
        <v/>
      </c>
      <c r="AO1193">
        <f>IF($AK1193=1,IFERROR(IF(VALUE($D1193)&lt;100000000,VALUE($D1193),1000000000),IFERROR(IF(VALUE(MID($D1193,2,20))&lt;100000000,VALUE(MID($D1193,2,20)),1000000000),1000000000))+ROW()/100000,"")</f>
        <v/>
      </c>
    </row>
    <row r="1194">
      <c r="F1194" s="11" t="n"/>
      <c r="N1194" s="7">
        <f>IF($D1194="","",M1194*X1194/100)</f>
        <v/>
      </c>
      <c r="O1194" s="7" t="n"/>
      <c r="U1194" s="7" t="n"/>
      <c r="V1194" s="7" t="n"/>
      <c r="W1194" s="7">
        <f>IF($D1194="","",V1194*AB1194/100)</f>
        <v/>
      </c>
      <c r="X1194" s="7">
        <f>IF($D1194="","",V1194-W1194)</f>
        <v/>
      </c>
      <c r="Y1194" s="7">
        <f>IF($D1194="","",X1194-N1194)</f>
        <v/>
      </c>
      <c r="AB1194">
        <f>IF($D1194="","",IF($AN1194=1,Settings!$C$8,IF($AM1194=1,Settings!$C$6,Settings!$C$7))*100)</f>
        <v/>
      </c>
      <c r="AF1194" s="7" t="n"/>
      <c r="AI1194" s="11" t="n"/>
      <c r="AK1194">
        <f>IF($D1194="","",IF(COUNTIF($D$2:$D1194,$D1194)=1,1,0))</f>
        <v/>
      </c>
      <c r="AL1194">
        <f>IF($AK1194=1,SUMPRODUCT(--($AO$2:$AO$1601&lt;$AO1194))+1,"")</f>
        <v/>
      </c>
      <c r="AM1194">
        <f>IF($D1194="","",IF(OR($R1194=TRUE(),$R1194="TRUE"),1,0))</f>
        <v/>
      </c>
      <c r="AN1194">
        <f>IF($D1194="","",IF($AA1194="Yes",1,0))</f>
        <v/>
      </c>
      <c r="AO1194">
        <f>IF($AK1194=1,IFERROR(IF(VALUE($D1194)&lt;100000000,VALUE($D1194),1000000000),IFERROR(IF(VALUE(MID($D1194,2,20))&lt;100000000,VALUE(MID($D1194,2,20)),1000000000),1000000000))+ROW()/100000,"")</f>
        <v/>
      </c>
    </row>
    <row r="1195">
      <c r="F1195" s="11" t="n"/>
      <c r="N1195" s="7">
        <f>IF($D1195="","",M1195*X1195/100)</f>
        <v/>
      </c>
      <c r="O1195" s="7" t="n"/>
      <c r="U1195" s="7" t="n"/>
      <c r="V1195" s="7" t="n"/>
      <c r="W1195" s="7">
        <f>IF($D1195="","",V1195*AB1195/100)</f>
        <v/>
      </c>
      <c r="X1195" s="7">
        <f>IF($D1195="","",V1195-W1195)</f>
        <v/>
      </c>
      <c r="Y1195" s="7">
        <f>IF($D1195="","",X1195-N1195)</f>
        <v/>
      </c>
      <c r="AB1195">
        <f>IF($D1195="","",IF($AN1195=1,Settings!$C$8,IF($AM1195=1,Settings!$C$6,Settings!$C$7))*100)</f>
        <v/>
      </c>
      <c r="AF1195" s="7" t="n"/>
      <c r="AI1195" s="11" t="n"/>
      <c r="AK1195">
        <f>IF($D1195="","",IF(COUNTIF($D$2:$D1195,$D1195)=1,1,0))</f>
        <v/>
      </c>
      <c r="AL1195">
        <f>IF($AK1195=1,SUMPRODUCT(--($AO$2:$AO$1601&lt;$AO1195))+1,"")</f>
        <v/>
      </c>
      <c r="AM1195">
        <f>IF($D1195="","",IF(OR($R1195=TRUE(),$R1195="TRUE"),1,0))</f>
        <v/>
      </c>
      <c r="AN1195">
        <f>IF($D1195="","",IF($AA1195="Yes",1,0))</f>
        <v/>
      </c>
      <c r="AO1195">
        <f>IF($AK1195=1,IFERROR(IF(VALUE($D1195)&lt;100000000,VALUE($D1195),1000000000),IFERROR(IF(VALUE(MID($D1195,2,20))&lt;100000000,VALUE(MID($D1195,2,20)),1000000000),1000000000))+ROW()/100000,"")</f>
        <v/>
      </c>
    </row>
    <row r="1196">
      <c r="F1196" s="11" t="n"/>
      <c r="N1196" s="7">
        <f>IF($D1196="","",M1196*X1196/100)</f>
        <v/>
      </c>
      <c r="O1196" s="7" t="n"/>
      <c r="U1196" s="7" t="n"/>
      <c r="V1196" s="7" t="n"/>
      <c r="W1196" s="7">
        <f>IF($D1196="","",V1196*AB1196/100)</f>
        <v/>
      </c>
      <c r="X1196" s="7">
        <f>IF($D1196="","",V1196-W1196)</f>
        <v/>
      </c>
      <c r="Y1196" s="7">
        <f>IF($D1196="","",X1196-N1196)</f>
        <v/>
      </c>
      <c r="AB1196">
        <f>IF($D1196="","",IF($AN1196=1,Settings!$C$8,IF($AM1196=1,Settings!$C$6,Settings!$C$7))*100)</f>
        <v/>
      </c>
      <c r="AF1196" s="7" t="n"/>
      <c r="AI1196" s="11" t="n"/>
      <c r="AK1196">
        <f>IF($D1196="","",IF(COUNTIF($D$2:$D1196,$D1196)=1,1,0))</f>
        <v/>
      </c>
      <c r="AL1196">
        <f>IF($AK1196=1,SUMPRODUCT(--($AO$2:$AO$1601&lt;$AO1196))+1,"")</f>
        <v/>
      </c>
      <c r="AM1196">
        <f>IF($D1196="","",IF(OR($R1196=TRUE(),$R1196="TRUE"),1,0))</f>
        <v/>
      </c>
      <c r="AN1196">
        <f>IF($D1196="","",IF($AA1196="Yes",1,0))</f>
        <v/>
      </c>
      <c r="AO1196">
        <f>IF($AK1196=1,IFERROR(IF(VALUE($D1196)&lt;100000000,VALUE($D1196),1000000000),IFERROR(IF(VALUE(MID($D1196,2,20))&lt;100000000,VALUE(MID($D1196,2,20)),1000000000),1000000000))+ROW()/100000,"")</f>
        <v/>
      </c>
    </row>
    <row r="1197">
      <c r="F1197" s="11" t="n"/>
      <c r="N1197" s="7">
        <f>IF($D1197="","",M1197*X1197/100)</f>
        <v/>
      </c>
      <c r="O1197" s="7" t="n"/>
      <c r="U1197" s="7" t="n"/>
      <c r="V1197" s="7" t="n"/>
      <c r="W1197" s="7">
        <f>IF($D1197="","",V1197*AB1197/100)</f>
        <v/>
      </c>
      <c r="X1197" s="7">
        <f>IF($D1197="","",V1197-W1197)</f>
        <v/>
      </c>
      <c r="Y1197" s="7">
        <f>IF($D1197="","",X1197-N1197)</f>
        <v/>
      </c>
      <c r="AB1197">
        <f>IF($D1197="","",IF($AN1197=1,Settings!$C$8,IF($AM1197=1,Settings!$C$6,Settings!$C$7))*100)</f>
        <v/>
      </c>
      <c r="AF1197" s="7" t="n"/>
      <c r="AI1197" s="11" t="n"/>
      <c r="AK1197">
        <f>IF($D1197="","",IF(COUNTIF($D$2:$D1197,$D1197)=1,1,0))</f>
        <v/>
      </c>
      <c r="AL1197">
        <f>IF($AK1197=1,SUMPRODUCT(--($AO$2:$AO$1601&lt;$AO1197))+1,"")</f>
        <v/>
      </c>
      <c r="AM1197">
        <f>IF($D1197="","",IF(OR($R1197=TRUE(),$R1197="TRUE"),1,0))</f>
        <v/>
      </c>
      <c r="AN1197">
        <f>IF($D1197="","",IF($AA1197="Yes",1,0))</f>
        <v/>
      </c>
      <c r="AO1197">
        <f>IF($AK1197=1,IFERROR(IF(VALUE($D1197)&lt;100000000,VALUE($D1197),1000000000),IFERROR(IF(VALUE(MID($D1197,2,20))&lt;100000000,VALUE(MID($D1197,2,20)),1000000000),1000000000))+ROW()/100000,"")</f>
        <v/>
      </c>
    </row>
    <row r="1198">
      <c r="F1198" s="11" t="n"/>
      <c r="N1198" s="7">
        <f>IF($D1198="","",M1198*X1198/100)</f>
        <v/>
      </c>
      <c r="O1198" s="7" t="n"/>
      <c r="U1198" s="7" t="n"/>
      <c r="V1198" s="7" t="n"/>
      <c r="W1198" s="7">
        <f>IF($D1198="","",V1198*AB1198/100)</f>
        <v/>
      </c>
      <c r="X1198" s="7">
        <f>IF($D1198="","",V1198-W1198)</f>
        <v/>
      </c>
      <c r="Y1198" s="7">
        <f>IF($D1198="","",X1198-N1198)</f>
        <v/>
      </c>
      <c r="AB1198">
        <f>IF($D1198="","",IF($AN1198=1,Settings!$C$8,IF($AM1198=1,Settings!$C$6,Settings!$C$7))*100)</f>
        <v/>
      </c>
      <c r="AF1198" s="7" t="n"/>
      <c r="AI1198" s="11" t="n"/>
      <c r="AK1198">
        <f>IF($D1198="","",IF(COUNTIF($D$2:$D1198,$D1198)=1,1,0))</f>
        <v/>
      </c>
      <c r="AL1198">
        <f>IF($AK1198=1,SUMPRODUCT(--($AO$2:$AO$1601&lt;$AO1198))+1,"")</f>
        <v/>
      </c>
      <c r="AM1198">
        <f>IF($D1198="","",IF(OR($R1198=TRUE(),$R1198="TRUE"),1,0))</f>
        <v/>
      </c>
      <c r="AN1198">
        <f>IF($D1198="","",IF($AA1198="Yes",1,0))</f>
        <v/>
      </c>
      <c r="AO1198">
        <f>IF($AK1198=1,IFERROR(IF(VALUE($D1198)&lt;100000000,VALUE($D1198),1000000000),IFERROR(IF(VALUE(MID($D1198,2,20))&lt;100000000,VALUE(MID($D1198,2,20)),1000000000),1000000000))+ROW()/100000,"")</f>
        <v/>
      </c>
    </row>
    <row r="1199">
      <c r="F1199" s="11" t="n"/>
      <c r="N1199" s="7">
        <f>IF($D1199="","",M1199*X1199/100)</f>
        <v/>
      </c>
      <c r="O1199" s="7" t="n"/>
      <c r="U1199" s="7" t="n"/>
      <c r="V1199" s="7" t="n"/>
      <c r="W1199" s="7">
        <f>IF($D1199="","",V1199*AB1199/100)</f>
        <v/>
      </c>
      <c r="X1199" s="7">
        <f>IF($D1199="","",V1199-W1199)</f>
        <v/>
      </c>
      <c r="Y1199" s="7">
        <f>IF($D1199="","",X1199-N1199)</f>
        <v/>
      </c>
      <c r="AB1199">
        <f>IF($D1199="","",IF($AN1199=1,Settings!$C$8,IF($AM1199=1,Settings!$C$6,Settings!$C$7))*100)</f>
        <v/>
      </c>
      <c r="AF1199" s="7" t="n"/>
      <c r="AI1199" s="11" t="n"/>
      <c r="AK1199">
        <f>IF($D1199="","",IF(COUNTIF($D$2:$D1199,$D1199)=1,1,0))</f>
        <v/>
      </c>
      <c r="AL1199">
        <f>IF($AK1199=1,SUMPRODUCT(--($AO$2:$AO$1601&lt;$AO1199))+1,"")</f>
        <v/>
      </c>
      <c r="AM1199">
        <f>IF($D1199="","",IF(OR($R1199=TRUE(),$R1199="TRUE"),1,0))</f>
        <v/>
      </c>
      <c r="AN1199">
        <f>IF($D1199="","",IF($AA1199="Yes",1,0))</f>
        <v/>
      </c>
      <c r="AO1199">
        <f>IF($AK1199=1,IFERROR(IF(VALUE($D1199)&lt;100000000,VALUE($D1199),1000000000),IFERROR(IF(VALUE(MID($D1199,2,20))&lt;100000000,VALUE(MID($D1199,2,20)),1000000000),1000000000))+ROW()/100000,"")</f>
        <v/>
      </c>
    </row>
    <row r="1200">
      <c r="F1200" s="11" t="n"/>
      <c r="N1200" s="7">
        <f>IF($D1200="","",M1200*X1200/100)</f>
        <v/>
      </c>
      <c r="O1200" s="7" t="n"/>
      <c r="U1200" s="7" t="n"/>
      <c r="V1200" s="7" t="n"/>
      <c r="W1200" s="7">
        <f>IF($D1200="","",V1200*AB1200/100)</f>
        <v/>
      </c>
      <c r="X1200" s="7">
        <f>IF($D1200="","",V1200-W1200)</f>
        <v/>
      </c>
      <c r="Y1200" s="7">
        <f>IF($D1200="","",X1200-N1200)</f>
        <v/>
      </c>
      <c r="AB1200">
        <f>IF($D1200="","",IF($AN1200=1,Settings!$C$8,IF($AM1200=1,Settings!$C$6,Settings!$C$7))*100)</f>
        <v/>
      </c>
      <c r="AF1200" s="7" t="n"/>
      <c r="AI1200" s="11" t="n"/>
      <c r="AK1200">
        <f>IF($D1200="","",IF(COUNTIF($D$2:$D1200,$D1200)=1,1,0))</f>
        <v/>
      </c>
      <c r="AL1200">
        <f>IF($AK1200=1,SUMPRODUCT(--($AO$2:$AO$1601&lt;$AO1200))+1,"")</f>
        <v/>
      </c>
      <c r="AM1200">
        <f>IF($D1200="","",IF(OR($R1200=TRUE(),$R1200="TRUE"),1,0))</f>
        <v/>
      </c>
      <c r="AN1200">
        <f>IF($D1200="","",IF($AA1200="Yes",1,0))</f>
        <v/>
      </c>
      <c r="AO1200">
        <f>IF($AK1200=1,IFERROR(IF(VALUE($D1200)&lt;100000000,VALUE($D1200),1000000000),IFERROR(IF(VALUE(MID($D1200,2,20))&lt;100000000,VALUE(MID($D1200,2,20)),1000000000),1000000000))+ROW()/100000,"")</f>
        <v/>
      </c>
    </row>
    <row r="1201">
      <c r="F1201" s="11" t="n"/>
      <c r="N1201" s="7">
        <f>IF($D1201="","",M1201*X1201/100)</f>
        <v/>
      </c>
      <c r="O1201" s="7" t="n"/>
      <c r="U1201" s="7" t="n"/>
      <c r="V1201" s="7" t="n"/>
      <c r="W1201" s="7">
        <f>IF($D1201="","",V1201*AB1201/100)</f>
        <v/>
      </c>
      <c r="X1201" s="7">
        <f>IF($D1201="","",V1201-W1201)</f>
        <v/>
      </c>
      <c r="Y1201" s="7">
        <f>IF($D1201="","",X1201-N1201)</f>
        <v/>
      </c>
      <c r="AB1201">
        <f>IF($D1201="","",IF($AN1201=1,Settings!$C$8,IF($AM1201=1,Settings!$C$6,Settings!$C$7))*100)</f>
        <v/>
      </c>
      <c r="AF1201" s="7" t="n"/>
      <c r="AI1201" s="11" t="n"/>
      <c r="AK1201">
        <f>IF($D1201="","",IF(COUNTIF($D$2:$D1201,$D1201)=1,1,0))</f>
        <v/>
      </c>
      <c r="AL1201">
        <f>IF($AK1201=1,SUMPRODUCT(--($AO$2:$AO$1601&lt;$AO1201))+1,"")</f>
        <v/>
      </c>
      <c r="AM1201">
        <f>IF($D1201="","",IF(OR($R1201=TRUE(),$R1201="TRUE"),1,0))</f>
        <v/>
      </c>
      <c r="AN1201">
        <f>IF($D1201="","",IF($AA1201="Yes",1,0))</f>
        <v/>
      </c>
      <c r="AO1201">
        <f>IF($AK1201=1,IFERROR(IF(VALUE($D1201)&lt;100000000,VALUE($D1201),1000000000),IFERROR(IF(VALUE(MID($D1201,2,20))&lt;100000000,VALUE(MID($D1201,2,20)),1000000000),1000000000))+ROW()/100000,"")</f>
        <v/>
      </c>
    </row>
    <row r="1202">
      <c r="F1202" s="11" t="n"/>
      <c r="N1202" s="7">
        <f>IF($D1202="","",M1202*X1202/100)</f>
        <v/>
      </c>
      <c r="O1202" s="7" t="n"/>
      <c r="U1202" s="7" t="n"/>
      <c r="V1202" s="7" t="n"/>
      <c r="W1202" s="7">
        <f>IF($D1202="","",V1202*AB1202/100)</f>
        <v/>
      </c>
      <c r="X1202" s="7">
        <f>IF($D1202="","",V1202-W1202)</f>
        <v/>
      </c>
      <c r="Y1202" s="7">
        <f>IF($D1202="","",X1202-N1202)</f>
        <v/>
      </c>
      <c r="AB1202">
        <f>IF($D1202="","",IF($AN1202=1,Settings!$C$8,IF($AM1202=1,Settings!$C$6,Settings!$C$7))*100)</f>
        <v/>
      </c>
      <c r="AF1202" s="7" t="n"/>
      <c r="AI1202" s="11" t="n"/>
      <c r="AK1202">
        <f>IF($D1202="","",IF(COUNTIF($D$2:$D1202,$D1202)=1,1,0))</f>
        <v/>
      </c>
      <c r="AL1202">
        <f>IF($AK1202=1,SUMPRODUCT(--($AO$2:$AO$1601&lt;$AO1202))+1,"")</f>
        <v/>
      </c>
      <c r="AM1202">
        <f>IF($D1202="","",IF(OR($R1202=TRUE(),$R1202="TRUE"),1,0))</f>
        <v/>
      </c>
      <c r="AN1202">
        <f>IF($D1202="","",IF($AA1202="Yes",1,0))</f>
        <v/>
      </c>
      <c r="AO1202">
        <f>IF($AK1202=1,IFERROR(IF(VALUE($D1202)&lt;100000000,VALUE($D1202),1000000000),IFERROR(IF(VALUE(MID($D1202,2,20))&lt;100000000,VALUE(MID($D1202,2,20)),1000000000),1000000000))+ROW()/100000,"")</f>
        <v/>
      </c>
    </row>
    <row r="1203">
      <c r="F1203" s="11" t="n"/>
      <c r="N1203" s="7">
        <f>IF($D1203="","",M1203*X1203/100)</f>
        <v/>
      </c>
      <c r="O1203" s="7" t="n"/>
      <c r="U1203" s="7" t="n"/>
      <c r="V1203" s="7" t="n"/>
      <c r="W1203" s="7">
        <f>IF($D1203="","",V1203*AB1203/100)</f>
        <v/>
      </c>
      <c r="X1203" s="7">
        <f>IF($D1203="","",V1203-W1203)</f>
        <v/>
      </c>
      <c r="Y1203" s="7">
        <f>IF($D1203="","",X1203-N1203)</f>
        <v/>
      </c>
      <c r="AB1203">
        <f>IF($D1203="","",IF($AN1203=1,Settings!$C$8,IF($AM1203=1,Settings!$C$6,Settings!$C$7))*100)</f>
        <v/>
      </c>
      <c r="AF1203" s="7" t="n"/>
      <c r="AI1203" s="11" t="n"/>
      <c r="AK1203">
        <f>IF($D1203="","",IF(COUNTIF($D$2:$D1203,$D1203)=1,1,0))</f>
        <v/>
      </c>
      <c r="AL1203">
        <f>IF($AK1203=1,SUMPRODUCT(--($AO$2:$AO$1601&lt;$AO1203))+1,"")</f>
        <v/>
      </c>
      <c r="AM1203">
        <f>IF($D1203="","",IF(OR($R1203=TRUE(),$R1203="TRUE"),1,0))</f>
        <v/>
      </c>
      <c r="AN1203">
        <f>IF($D1203="","",IF($AA1203="Yes",1,0))</f>
        <v/>
      </c>
      <c r="AO1203">
        <f>IF($AK1203=1,IFERROR(IF(VALUE($D1203)&lt;100000000,VALUE($D1203),1000000000),IFERROR(IF(VALUE(MID($D1203,2,20))&lt;100000000,VALUE(MID($D1203,2,20)),1000000000),1000000000))+ROW()/100000,"")</f>
        <v/>
      </c>
    </row>
    <row r="1204">
      <c r="F1204" s="11" t="n"/>
      <c r="N1204" s="7">
        <f>IF($D1204="","",M1204*X1204/100)</f>
        <v/>
      </c>
      <c r="O1204" s="7" t="n"/>
      <c r="U1204" s="7" t="n"/>
      <c r="V1204" s="7" t="n"/>
      <c r="W1204" s="7">
        <f>IF($D1204="","",V1204*AB1204/100)</f>
        <v/>
      </c>
      <c r="X1204" s="7">
        <f>IF($D1204="","",V1204-W1204)</f>
        <v/>
      </c>
      <c r="Y1204" s="7">
        <f>IF($D1204="","",X1204-N1204)</f>
        <v/>
      </c>
      <c r="AB1204">
        <f>IF($D1204="","",IF($AN1204=1,Settings!$C$8,IF($AM1204=1,Settings!$C$6,Settings!$C$7))*100)</f>
        <v/>
      </c>
      <c r="AF1204" s="7" t="n"/>
      <c r="AI1204" s="11" t="n"/>
      <c r="AK1204">
        <f>IF($D1204="","",IF(COUNTIF($D$2:$D1204,$D1204)=1,1,0))</f>
        <v/>
      </c>
      <c r="AL1204">
        <f>IF($AK1204=1,SUMPRODUCT(--($AO$2:$AO$1601&lt;$AO1204))+1,"")</f>
        <v/>
      </c>
      <c r="AM1204">
        <f>IF($D1204="","",IF(OR($R1204=TRUE(),$R1204="TRUE"),1,0))</f>
        <v/>
      </c>
      <c r="AN1204">
        <f>IF($D1204="","",IF($AA1204="Yes",1,0))</f>
        <v/>
      </c>
      <c r="AO1204">
        <f>IF($AK1204=1,IFERROR(IF(VALUE($D1204)&lt;100000000,VALUE($D1204),1000000000),IFERROR(IF(VALUE(MID($D1204,2,20))&lt;100000000,VALUE(MID($D1204,2,20)),1000000000),1000000000))+ROW()/100000,"")</f>
        <v/>
      </c>
    </row>
    <row r="1205">
      <c r="F1205" s="11" t="n"/>
      <c r="N1205" s="7">
        <f>IF($D1205="","",M1205*X1205/100)</f>
        <v/>
      </c>
      <c r="O1205" s="7" t="n"/>
      <c r="U1205" s="7" t="n"/>
      <c r="V1205" s="7" t="n"/>
      <c r="W1205" s="7">
        <f>IF($D1205="","",V1205*AB1205/100)</f>
        <v/>
      </c>
      <c r="X1205" s="7">
        <f>IF($D1205="","",V1205-W1205)</f>
        <v/>
      </c>
      <c r="Y1205" s="7">
        <f>IF($D1205="","",X1205-N1205)</f>
        <v/>
      </c>
      <c r="AB1205">
        <f>IF($D1205="","",IF($AN1205=1,Settings!$C$8,IF($AM1205=1,Settings!$C$6,Settings!$C$7))*100)</f>
        <v/>
      </c>
      <c r="AF1205" s="7" t="n"/>
      <c r="AI1205" s="11" t="n"/>
      <c r="AK1205">
        <f>IF($D1205="","",IF(COUNTIF($D$2:$D1205,$D1205)=1,1,0))</f>
        <v/>
      </c>
      <c r="AL1205">
        <f>IF($AK1205=1,SUMPRODUCT(--($AO$2:$AO$1601&lt;$AO1205))+1,"")</f>
        <v/>
      </c>
      <c r="AM1205">
        <f>IF($D1205="","",IF(OR($R1205=TRUE(),$R1205="TRUE"),1,0))</f>
        <v/>
      </c>
      <c r="AN1205">
        <f>IF($D1205="","",IF($AA1205="Yes",1,0))</f>
        <v/>
      </c>
      <c r="AO1205">
        <f>IF($AK1205=1,IFERROR(IF(VALUE($D1205)&lt;100000000,VALUE($D1205),1000000000),IFERROR(IF(VALUE(MID($D1205,2,20))&lt;100000000,VALUE(MID($D1205,2,20)),1000000000),1000000000))+ROW()/100000,"")</f>
        <v/>
      </c>
    </row>
    <row r="1206">
      <c r="F1206" s="11" t="n"/>
      <c r="N1206" s="7">
        <f>IF($D1206="","",M1206*X1206/100)</f>
        <v/>
      </c>
      <c r="O1206" s="7" t="n"/>
      <c r="U1206" s="7" t="n"/>
      <c r="V1206" s="7" t="n"/>
      <c r="W1206" s="7">
        <f>IF($D1206="","",V1206*AB1206/100)</f>
        <v/>
      </c>
      <c r="X1206" s="7">
        <f>IF($D1206="","",V1206-W1206)</f>
        <v/>
      </c>
      <c r="Y1206" s="7">
        <f>IF($D1206="","",X1206-N1206)</f>
        <v/>
      </c>
      <c r="AB1206">
        <f>IF($D1206="","",IF($AN1206=1,Settings!$C$8,IF($AM1206=1,Settings!$C$6,Settings!$C$7))*100)</f>
        <v/>
      </c>
      <c r="AF1206" s="7" t="n"/>
      <c r="AI1206" s="11" t="n"/>
      <c r="AK1206">
        <f>IF($D1206="","",IF(COUNTIF($D$2:$D1206,$D1206)=1,1,0))</f>
        <v/>
      </c>
      <c r="AL1206">
        <f>IF($AK1206=1,SUMPRODUCT(--($AO$2:$AO$1601&lt;$AO1206))+1,"")</f>
        <v/>
      </c>
      <c r="AM1206">
        <f>IF($D1206="","",IF(OR($R1206=TRUE(),$R1206="TRUE"),1,0))</f>
        <v/>
      </c>
      <c r="AN1206">
        <f>IF($D1206="","",IF($AA1206="Yes",1,0))</f>
        <v/>
      </c>
      <c r="AO1206">
        <f>IF($AK1206=1,IFERROR(IF(VALUE($D1206)&lt;100000000,VALUE($D1206),1000000000),IFERROR(IF(VALUE(MID($D1206,2,20))&lt;100000000,VALUE(MID($D1206,2,20)),1000000000),1000000000))+ROW()/100000,"")</f>
        <v/>
      </c>
    </row>
    <row r="1207">
      <c r="F1207" s="11" t="n"/>
      <c r="N1207" s="7">
        <f>IF($D1207="","",M1207*X1207/100)</f>
        <v/>
      </c>
      <c r="O1207" s="7" t="n"/>
      <c r="U1207" s="7" t="n"/>
      <c r="V1207" s="7" t="n"/>
      <c r="W1207" s="7">
        <f>IF($D1207="","",V1207*AB1207/100)</f>
        <v/>
      </c>
      <c r="X1207" s="7">
        <f>IF($D1207="","",V1207-W1207)</f>
        <v/>
      </c>
      <c r="Y1207" s="7">
        <f>IF($D1207="","",X1207-N1207)</f>
        <v/>
      </c>
      <c r="AB1207">
        <f>IF($D1207="","",IF($AN1207=1,Settings!$C$8,IF($AM1207=1,Settings!$C$6,Settings!$C$7))*100)</f>
        <v/>
      </c>
      <c r="AF1207" s="7" t="n"/>
      <c r="AI1207" s="11" t="n"/>
      <c r="AK1207">
        <f>IF($D1207="","",IF(COUNTIF($D$2:$D1207,$D1207)=1,1,0))</f>
        <v/>
      </c>
      <c r="AL1207">
        <f>IF($AK1207=1,SUMPRODUCT(--($AO$2:$AO$1601&lt;$AO1207))+1,"")</f>
        <v/>
      </c>
      <c r="AM1207">
        <f>IF($D1207="","",IF(OR($R1207=TRUE(),$R1207="TRUE"),1,0))</f>
        <v/>
      </c>
      <c r="AN1207">
        <f>IF($D1207="","",IF($AA1207="Yes",1,0))</f>
        <v/>
      </c>
      <c r="AO1207">
        <f>IF($AK1207=1,IFERROR(IF(VALUE($D1207)&lt;100000000,VALUE($D1207),1000000000),IFERROR(IF(VALUE(MID($D1207,2,20))&lt;100000000,VALUE(MID($D1207,2,20)),1000000000),1000000000))+ROW()/100000,"")</f>
        <v/>
      </c>
    </row>
    <row r="1208">
      <c r="F1208" s="11" t="n"/>
      <c r="N1208" s="7">
        <f>IF($D1208="","",M1208*X1208/100)</f>
        <v/>
      </c>
      <c r="O1208" s="7" t="n"/>
      <c r="U1208" s="7" t="n"/>
      <c r="V1208" s="7" t="n"/>
      <c r="W1208" s="7">
        <f>IF($D1208="","",V1208*AB1208/100)</f>
        <v/>
      </c>
      <c r="X1208" s="7">
        <f>IF($D1208="","",V1208-W1208)</f>
        <v/>
      </c>
      <c r="Y1208" s="7">
        <f>IF($D1208="","",X1208-N1208)</f>
        <v/>
      </c>
      <c r="AB1208">
        <f>IF($D1208="","",IF($AN1208=1,Settings!$C$8,IF($AM1208=1,Settings!$C$6,Settings!$C$7))*100)</f>
        <v/>
      </c>
      <c r="AF1208" s="7" t="n"/>
      <c r="AI1208" s="11" t="n"/>
      <c r="AK1208">
        <f>IF($D1208="","",IF(COUNTIF($D$2:$D1208,$D1208)=1,1,0))</f>
        <v/>
      </c>
      <c r="AL1208">
        <f>IF($AK1208=1,SUMPRODUCT(--($AO$2:$AO$1601&lt;$AO1208))+1,"")</f>
        <v/>
      </c>
      <c r="AM1208">
        <f>IF($D1208="","",IF(OR($R1208=TRUE(),$R1208="TRUE"),1,0))</f>
        <v/>
      </c>
      <c r="AN1208">
        <f>IF($D1208="","",IF($AA1208="Yes",1,0))</f>
        <v/>
      </c>
      <c r="AO1208">
        <f>IF($AK1208=1,IFERROR(IF(VALUE($D1208)&lt;100000000,VALUE($D1208),1000000000),IFERROR(IF(VALUE(MID($D1208,2,20))&lt;100000000,VALUE(MID($D1208,2,20)),1000000000),1000000000))+ROW()/100000,"")</f>
        <v/>
      </c>
    </row>
    <row r="1209">
      <c r="F1209" s="11" t="n"/>
      <c r="N1209" s="7">
        <f>IF($D1209="","",M1209*X1209/100)</f>
        <v/>
      </c>
      <c r="O1209" s="7" t="n"/>
      <c r="U1209" s="7" t="n"/>
      <c r="V1209" s="7" t="n"/>
      <c r="W1209" s="7">
        <f>IF($D1209="","",V1209*AB1209/100)</f>
        <v/>
      </c>
      <c r="X1209" s="7">
        <f>IF($D1209="","",V1209-W1209)</f>
        <v/>
      </c>
      <c r="Y1209" s="7">
        <f>IF($D1209="","",X1209-N1209)</f>
        <v/>
      </c>
      <c r="AB1209">
        <f>IF($D1209="","",IF($AN1209=1,Settings!$C$8,IF($AM1209=1,Settings!$C$6,Settings!$C$7))*100)</f>
        <v/>
      </c>
      <c r="AF1209" s="7" t="n"/>
      <c r="AI1209" s="11" t="n"/>
      <c r="AK1209">
        <f>IF($D1209="","",IF(COUNTIF($D$2:$D1209,$D1209)=1,1,0))</f>
        <v/>
      </c>
      <c r="AL1209">
        <f>IF($AK1209=1,SUMPRODUCT(--($AO$2:$AO$1601&lt;$AO1209))+1,"")</f>
        <v/>
      </c>
      <c r="AM1209">
        <f>IF($D1209="","",IF(OR($R1209=TRUE(),$R1209="TRUE"),1,0))</f>
        <v/>
      </c>
      <c r="AN1209">
        <f>IF($D1209="","",IF($AA1209="Yes",1,0))</f>
        <v/>
      </c>
      <c r="AO1209">
        <f>IF($AK1209=1,IFERROR(IF(VALUE($D1209)&lt;100000000,VALUE($D1209),1000000000),IFERROR(IF(VALUE(MID($D1209,2,20))&lt;100000000,VALUE(MID($D1209,2,20)),1000000000),1000000000))+ROW()/100000,"")</f>
        <v/>
      </c>
    </row>
    <row r="1210">
      <c r="F1210" s="11" t="n"/>
      <c r="N1210" s="7">
        <f>IF($D1210="","",M1210*X1210/100)</f>
        <v/>
      </c>
      <c r="O1210" s="7" t="n"/>
      <c r="U1210" s="7" t="n"/>
      <c r="V1210" s="7" t="n"/>
      <c r="W1210" s="7">
        <f>IF($D1210="","",V1210*AB1210/100)</f>
        <v/>
      </c>
      <c r="X1210" s="7">
        <f>IF($D1210="","",V1210-W1210)</f>
        <v/>
      </c>
      <c r="Y1210" s="7">
        <f>IF($D1210="","",X1210-N1210)</f>
        <v/>
      </c>
      <c r="AB1210">
        <f>IF($D1210="","",IF($AN1210=1,Settings!$C$8,IF($AM1210=1,Settings!$C$6,Settings!$C$7))*100)</f>
        <v/>
      </c>
      <c r="AF1210" s="7" t="n"/>
      <c r="AI1210" s="11" t="n"/>
      <c r="AK1210">
        <f>IF($D1210="","",IF(COUNTIF($D$2:$D1210,$D1210)=1,1,0))</f>
        <v/>
      </c>
      <c r="AL1210">
        <f>IF($AK1210=1,SUMPRODUCT(--($AO$2:$AO$1601&lt;$AO1210))+1,"")</f>
        <v/>
      </c>
      <c r="AM1210">
        <f>IF($D1210="","",IF(OR($R1210=TRUE(),$R1210="TRUE"),1,0))</f>
        <v/>
      </c>
      <c r="AN1210">
        <f>IF($D1210="","",IF($AA1210="Yes",1,0))</f>
        <v/>
      </c>
      <c r="AO1210">
        <f>IF($AK1210=1,IFERROR(IF(VALUE($D1210)&lt;100000000,VALUE($D1210),1000000000),IFERROR(IF(VALUE(MID($D1210,2,20))&lt;100000000,VALUE(MID($D1210,2,20)),1000000000),1000000000))+ROW()/100000,"")</f>
        <v/>
      </c>
    </row>
    <row r="1211">
      <c r="F1211" s="11" t="n"/>
      <c r="N1211" s="7">
        <f>IF($D1211="","",M1211*X1211/100)</f>
        <v/>
      </c>
      <c r="O1211" s="7" t="n"/>
      <c r="U1211" s="7" t="n"/>
      <c r="V1211" s="7" t="n"/>
      <c r="W1211" s="7">
        <f>IF($D1211="","",V1211*AB1211/100)</f>
        <v/>
      </c>
      <c r="X1211" s="7">
        <f>IF($D1211="","",V1211-W1211)</f>
        <v/>
      </c>
      <c r="Y1211" s="7">
        <f>IF($D1211="","",X1211-N1211)</f>
        <v/>
      </c>
      <c r="AB1211">
        <f>IF($D1211="","",IF($AN1211=1,Settings!$C$8,IF($AM1211=1,Settings!$C$6,Settings!$C$7))*100)</f>
        <v/>
      </c>
      <c r="AF1211" s="7" t="n"/>
      <c r="AI1211" s="11" t="n"/>
      <c r="AK1211">
        <f>IF($D1211="","",IF(COUNTIF($D$2:$D1211,$D1211)=1,1,0))</f>
        <v/>
      </c>
      <c r="AL1211">
        <f>IF($AK1211=1,SUMPRODUCT(--($AO$2:$AO$1601&lt;$AO1211))+1,"")</f>
        <v/>
      </c>
      <c r="AM1211">
        <f>IF($D1211="","",IF(OR($R1211=TRUE(),$R1211="TRUE"),1,0))</f>
        <v/>
      </c>
      <c r="AN1211">
        <f>IF($D1211="","",IF($AA1211="Yes",1,0))</f>
        <v/>
      </c>
      <c r="AO1211">
        <f>IF($AK1211=1,IFERROR(IF(VALUE($D1211)&lt;100000000,VALUE($D1211),1000000000),IFERROR(IF(VALUE(MID($D1211,2,20))&lt;100000000,VALUE(MID($D1211,2,20)),1000000000),1000000000))+ROW()/100000,"")</f>
        <v/>
      </c>
    </row>
    <row r="1212">
      <c r="F1212" s="11" t="n"/>
      <c r="N1212" s="7">
        <f>IF($D1212="","",M1212*X1212/100)</f>
        <v/>
      </c>
      <c r="O1212" s="7" t="n"/>
      <c r="U1212" s="7" t="n"/>
      <c r="V1212" s="7" t="n"/>
      <c r="W1212" s="7">
        <f>IF($D1212="","",V1212*AB1212/100)</f>
        <v/>
      </c>
      <c r="X1212" s="7">
        <f>IF($D1212="","",V1212-W1212)</f>
        <v/>
      </c>
      <c r="Y1212" s="7">
        <f>IF($D1212="","",X1212-N1212)</f>
        <v/>
      </c>
      <c r="AB1212">
        <f>IF($D1212="","",IF($AN1212=1,Settings!$C$8,IF($AM1212=1,Settings!$C$6,Settings!$C$7))*100)</f>
        <v/>
      </c>
      <c r="AF1212" s="7" t="n"/>
      <c r="AI1212" s="11" t="n"/>
      <c r="AK1212">
        <f>IF($D1212="","",IF(COUNTIF($D$2:$D1212,$D1212)=1,1,0))</f>
        <v/>
      </c>
      <c r="AL1212">
        <f>IF($AK1212=1,SUMPRODUCT(--($AO$2:$AO$1601&lt;$AO1212))+1,"")</f>
        <v/>
      </c>
      <c r="AM1212">
        <f>IF($D1212="","",IF(OR($R1212=TRUE(),$R1212="TRUE"),1,0))</f>
        <v/>
      </c>
      <c r="AN1212">
        <f>IF($D1212="","",IF($AA1212="Yes",1,0))</f>
        <v/>
      </c>
      <c r="AO1212">
        <f>IF($AK1212=1,IFERROR(IF(VALUE($D1212)&lt;100000000,VALUE($D1212),1000000000),IFERROR(IF(VALUE(MID($D1212,2,20))&lt;100000000,VALUE(MID($D1212,2,20)),1000000000),1000000000))+ROW()/100000,"")</f>
        <v/>
      </c>
    </row>
    <row r="1213">
      <c r="F1213" s="11" t="n"/>
      <c r="N1213" s="7">
        <f>IF($D1213="","",M1213*X1213/100)</f>
        <v/>
      </c>
      <c r="O1213" s="7" t="n"/>
      <c r="U1213" s="7" t="n"/>
      <c r="V1213" s="7" t="n"/>
      <c r="W1213" s="7">
        <f>IF($D1213="","",V1213*AB1213/100)</f>
        <v/>
      </c>
      <c r="X1213" s="7">
        <f>IF($D1213="","",V1213-W1213)</f>
        <v/>
      </c>
      <c r="Y1213" s="7">
        <f>IF($D1213="","",X1213-N1213)</f>
        <v/>
      </c>
      <c r="AB1213">
        <f>IF($D1213="","",IF($AN1213=1,Settings!$C$8,IF($AM1213=1,Settings!$C$6,Settings!$C$7))*100)</f>
        <v/>
      </c>
      <c r="AF1213" s="7" t="n"/>
      <c r="AI1213" s="11" t="n"/>
      <c r="AK1213">
        <f>IF($D1213="","",IF(COUNTIF($D$2:$D1213,$D1213)=1,1,0))</f>
        <v/>
      </c>
      <c r="AL1213">
        <f>IF($AK1213=1,SUMPRODUCT(--($AO$2:$AO$1601&lt;$AO1213))+1,"")</f>
        <v/>
      </c>
      <c r="AM1213">
        <f>IF($D1213="","",IF(OR($R1213=TRUE(),$R1213="TRUE"),1,0))</f>
        <v/>
      </c>
      <c r="AN1213">
        <f>IF($D1213="","",IF($AA1213="Yes",1,0))</f>
        <v/>
      </c>
      <c r="AO1213">
        <f>IF($AK1213=1,IFERROR(IF(VALUE($D1213)&lt;100000000,VALUE($D1213),1000000000),IFERROR(IF(VALUE(MID($D1213,2,20))&lt;100000000,VALUE(MID($D1213,2,20)),1000000000),1000000000))+ROW()/100000,"")</f>
        <v/>
      </c>
    </row>
    <row r="1214">
      <c r="F1214" s="11" t="n"/>
      <c r="N1214" s="7">
        <f>IF($D1214="","",M1214*X1214/100)</f>
        <v/>
      </c>
      <c r="O1214" s="7" t="n"/>
      <c r="U1214" s="7" t="n"/>
      <c r="V1214" s="7" t="n"/>
      <c r="W1214" s="7">
        <f>IF($D1214="","",V1214*AB1214/100)</f>
        <v/>
      </c>
      <c r="X1214" s="7">
        <f>IF($D1214="","",V1214-W1214)</f>
        <v/>
      </c>
      <c r="Y1214" s="7">
        <f>IF($D1214="","",X1214-N1214)</f>
        <v/>
      </c>
      <c r="AB1214">
        <f>IF($D1214="","",IF($AN1214=1,Settings!$C$8,IF($AM1214=1,Settings!$C$6,Settings!$C$7))*100)</f>
        <v/>
      </c>
      <c r="AF1214" s="7" t="n"/>
      <c r="AI1214" s="11" t="n"/>
      <c r="AK1214">
        <f>IF($D1214="","",IF(COUNTIF($D$2:$D1214,$D1214)=1,1,0))</f>
        <v/>
      </c>
      <c r="AL1214">
        <f>IF($AK1214=1,SUMPRODUCT(--($AO$2:$AO$1601&lt;$AO1214))+1,"")</f>
        <v/>
      </c>
      <c r="AM1214">
        <f>IF($D1214="","",IF(OR($R1214=TRUE(),$R1214="TRUE"),1,0))</f>
        <v/>
      </c>
      <c r="AN1214">
        <f>IF($D1214="","",IF($AA1214="Yes",1,0))</f>
        <v/>
      </c>
      <c r="AO1214">
        <f>IF($AK1214=1,IFERROR(IF(VALUE($D1214)&lt;100000000,VALUE($D1214),1000000000),IFERROR(IF(VALUE(MID($D1214,2,20))&lt;100000000,VALUE(MID($D1214,2,20)),1000000000),1000000000))+ROW()/100000,"")</f>
        <v/>
      </c>
    </row>
    <row r="1215">
      <c r="F1215" s="11" t="n"/>
      <c r="N1215" s="7">
        <f>IF($D1215="","",M1215*X1215/100)</f>
        <v/>
      </c>
      <c r="O1215" s="7" t="n"/>
      <c r="U1215" s="7" t="n"/>
      <c r="V1215" s="7" t="n"/>
      <c r="W1215" s="7">
        <f>IF($D1215="","",V1215*AB1215/100)</f>
        <v/>
      </c>
      <c r="X1215" s="7">
        <f>IF($D1215="","",V1215-W1215)</f>
        <v/>
      </c>
      <c r="Y1215" s="7">
        <f>IF($D1215="","",X1215-N1215)</f>
        <v/>
      </c>
      <c r="AB1215">
        <f>IF($D1215="","",IF($AN1215=1,Settings!$C$8,IF($AM1215=1,Settings!$C$6,Settings!$C$7))*100)</f>
        <v/>
      </c>
      <c r="AF1215" s="7" t="n"/>
      <c r="AI1215" s="11" t="n"/>
      <c r="AK1215">
        <f>IF($D1215="","",IF(COUNTIF($D$2:$D1215,$D1215)=1,1,0))</f>
        <v/>
      </c>
      <c r="AL1215">
        <f>IF($AK1215=1,SUMPRODUCT(--($AO$2:$AO$1601&lt;$AO1215))+1,"")</f>
        <v/>
      </c>
      <c r="AM1215">
        <f>IF($D1215="","",IF(OR($R1215=TRUE(),$R1215="TRUE"),1,0))</f>
        <v/>
      </c>
      <c r="AN1215">
        <f>IF($D1215="","",IF($AA1215="Yes",1,0))</f>
        <v/>
      </c>
      <c r="AO1215">
        <f>IF($AK1215=1,IFERROR(IF(VALUE($D1215)&lt;100000000,VALUE($D1215),1000000000),IFERROR(IF(VALUE(MID($D1215,2,20))&lt;100000000,VALUE(MID($D1215,2,20)),1000000000),1000000000))+ROW()/100000,"")</f>
        <v/>
      </c>
    </row>
    <row r="1216">
      <c r="F1216" s="11" t="n"/>
      <c r="N1216" s="7">
        <f>IF($D1216="","",M1216*X1216/100)</f>
        <v/>
      </c>
      <c r="O1216" s="7" t="n"/>
      <c r="U1216" s="7" t="n"/>
      <c r="V1216" s="7" t="n"/>
      <c r="W1216" s="7">
        <f>IF($D1216="","",V1216*AB1216/100)</f>
        <v/>
      </c>
      <c r="X1216" s="7">
        <f>IF($D1216="","",V1216-W1216)</f>
        <v/>
      </c>
      <c r="Y1216" s="7">
        <f>IF($D1216="","",X1216-N1216)</f>
        <v/>
      </c>
      <c r="AB1216">
        <f>IF($D1216="","",IF($AN1216=1,Settings!$C$8,IF($AM1216=1,Settings!$C$6,Settings!$C$7))*100)</f>
        <v/>
      </c>
      <c r="AF1216" s="7" t="n"/>
      <c r="AI1216" s="11" t="n"/>
      <c r="AK1216">
        <f>IF($D1216="","",IF(COUNTIF($D$2:$D1216,$D1216)=1,1,0))</f>
        <v/>
      </c>
      <c r="AL1216">
        <f>IF($AK1216=1,SUMPRODUCT(--($AO$2:$AO$1601&lt;$AO1216))+1,"")</f>
        <v/>
      </c>
      <c r="AM1216">
        <f>IF($D1216="","",IF(OR($R1216=TRUE(),$R1216="TRUE"),1,0))</f>
        <v/>
      </c>
      <c r="AN1216">
        <f>IF($D1216="","",IF($AA1216="Yes",1,0))</f>
        <v/>
      </c>
      <c r="AO1216">
        <f>IF($AK1216=1,IFERROR(IF(VALUE($D1216)&lt;100000000,VALUE($D1216),1000000000),IFERROR(IF(VALUE(MID($D1216,2,20))&lt;100000000,VALUE(MID($D1216,2,20)),1000000000),1000000000))+ROW()/100000,"")</f>
        <v/>
      </c>
    </row>
    <row r="1217">
      <c r="F1217" s="11" t="n"/>
      <c r="N1217" s="7">
        <f>IF($D1217="","",M1217*X1217/100)</f>
        <v/>
      </c>
      <c r="O1217" s="7" t="n"/>
      <c r="U1217" s="7" t="n"/>
      <c r="V1217" s="7" t="n"/>
      <c r="W1217" s="7">
        <f>IF($D1217="","",V1217*AB1217/100)</f>
        <v/>
      </c>
      <c r="X1217" s="7">
        <f>IF($D1217="","",V1217-W1217)</f>
        <v/>
      </c>
      <c r="Y1217" s="7">
        <f>IF($D1217="","",X1217-N1217)</f>
        <v/>
      </c>
      <c r="AB1217">
        <f>IF($D1217="","",IF($AN1217=1,Settings!$C$8,IF($AM1217=1,Settings!$C$6,Settings!$C$7))*100)</f>
        <v/>
      </c>
      <c r="AF1217" s="7" t="n"/>
      <c r="AI1217" s="11" t="n"/>
      <c r="AK1217">
        <f>IF($D1217="","",IF(COUNTIF($D$2:$D1217,$D1217)=1,1,0))</f>
        <v/>
      </c>
      <c r="AL1217">
        <f>IF($AK1217=1,SUMPRODUCT(--($AO$2:$AO$1601&lt;$AO1217))+1,"")</f>
        <v/>
      </c>
      <c r="AM1217">
        <f>IF($D1217="","",IF(OR($R1217=TRUE(),$R1217="TRUE"),1,0))</f>
        <v/>
      </c>
      <c r="AN1217">
        <f>IF($D1217="","",IF($AA1217="Yes",1,0))</f>
        <v/>
      </c>
      <c r="AO1217">
        <f>IF($AK1217=1,IFERROR(IF(VALUE($D1217)&lt;100000000,VALUE($D1217),1000000000),IFERROR(IF(VALUE(MID($D1217,2,20))&lt;100000000,VALUE(MID($D1217,2,20)),1000000000),1000000000))+ROW()/100000,"")</f>
        <v/>
      </c>
    </row>
    <row r="1218">
      <c r="F1218" s="11" t="n"/>
      <c r="N1218" s="7">
        <f>IF($D1218="","",M1218*X1218/100)</f>
        <v/>
      </c>
      <c r="O1218" s="7" t="n"/>
      <c r="U1218" s="7" t="n"/>
      <c r="V1218" s="7" t="n"/>
      <c r="W1218" s="7">
        <f>IF($D1218="","",V1218*AB1218/100)</f>
        <v/>
      </c>
      <c r="X1218" s="7">
        <f>IF($D1218="","",V1218-W1218)</f>
        <v/>
      </c>
      <c r="Y1218" s="7">
        <f>IF($D1218="","",X1218-N1218)</f>
        <v/>
      </c>
      <c r="AB1218">
        <f>IF($D1218="","",IF($AN1218=1,Settings!$C$8,IF($AM1218=1,Settings!$C$6,Settings!$C$7))*100)</f>
        <v/>
      </c>
      <c r="AF1218" s="7" t="n"/>
      <c r="AI1218" s="11" t="n"/>
      <c r="AK1218">
        <f>IF($D1218="","",IF(COUNTIF($D$2:$D1218,$D1218)=1,1,0))</f>
        <v/>
      </c>
      <c r="AL1218">
        <f>IF($AK1218=1,SUMPRODUCT(--($AO$2:$AO$1601&lt;$AO1218))+1,"")</f>
        <v/>
      </c>
      <c r="AM1218">
        <f>IF($D1218="","",IF(OR($R1218=TRUE(),$R1218="TRUE"),1,0))</f>
        <v/>
      </c>
      <c r="AN1218">
        <f>IF($D1218="","",IF($AA1218="Yes",1,0))</f>
        <v/>
      </c>
      <c r="AO1218">
        <f>IF($AK1218=1,IFERROR(IF(VALUE($D1218)&lt;100000000,VALUE($D1218),1000000000),IFERROR(IF(VALUE(MID($D1218,2,20))&lt;100000000,VALUE(MID($D1218,2,20)),1000000000),1000000000))+ROW()/100000,"")</f>
        <v/>
      </c>
    </row>
    <row r="1219">
      <c r="F1219" s="11" t="n"/>
      <c r="N1219" s="7">
        <f>IF($D1219="","",M1219*X1219/100)</f>
        <v/>
      </c>
      <c r="O1219" s="7" t="n"/>
      <c r="U1219" s="7" t="n"/>
      <c r="V1219" s="7" t="n"/>
      <c r="W1219" s="7">
        <f>IF($D1219="","",V1219*AB1219/100)</f>
        <v/>
      </c>
      <c r="X1219" s="7">
        <f>IF($D1219="","",V1219-W1219)</f>
        <v/>
      </c>
      <c r="Y1219" s="7">
        <f>IF($D1219="","",X1219-N1219)</f>
        <v/>
      </c>
      <c r="AB1219">
        <f>IF($D1219="","",IF($AN1219=1,Settings!$C$8,IF($AM1219=1,Settings!$C$6,Settings!$C$7))*100)</f>
        <v/>
      </c>
      <c r="AF1219" s="7" t="n"/>
      <c r="AI1219" s="11" t="n"/>
      <c r="AK1219">
        <f>IF($D1219="","",IF(COUNTIF($D$2:$D1219,$D1219)=1,1,0))</f>
        <v/>
      </c>
      <c r="AL1219">
        <f>IF($AK1219=1,SUMPRODUCT(--($AO$2:$AO$1601&lt;$AO1219))+1,"")</f>
        <v/>
      </c>
      <c r="AM1219">
        <f>IF($D1219="","",IF(OR($R1219=TRUE(),$R1219="TRUE"),1,0))</f>
        <v/>
      </c>
      <c r="AN1219">
        <f>IF($D1219="","",IF($AA1219="Yes",1,0))</f>
        <v/>
      </c>
      <c r="AO1219">
        <f>IF($AK1219=1,IFERROR(IF(VALUE($D1219)&lt;100000000,VALUE($D1219),1000000000),IFERROR(IF(VALUE(MID($D1219,2,20))&lt;100000000,VALUE(MID($D1219,2,20)),1000000000),1000000000))+ROW()/100000,"")</f>
        <v/>
      </c>
    </row>
    <row r="1220">
      <c r="F1220" s="11" t="n"/>
      <c r="N1220" s="7">
        <f>IF($D1220="","",M1220*X1220/100)</f>
        <v/>
      </c>
      <c r="O1220" s="7" t="n"/>
      <c r="U1220" s="7" t="n"/>
      <c r="V1220" s="7" t="n"/>
      <c r="W1220" s="7">
        <f>IF($D1220="","",V1220*AB1220/100)</f>
        <v/>
      </c>
      <c r="X1220" s="7">
        <f>IF($D1220="","",V1220-W1220)</f>
        <v/>
      </c>
      <c r="Y1220" s="7">
        <f>IF($D1220="","",X1220-N1220)</f>
        <v/>
      </c>
      <c r="AB1220">
        <f>IF($D1220="","",IF($AN1220=1,Settings!$C$8,IF($AM1220=1,Settings!$C$6,Settings!$C$7))*100)</f>
        <v/>
      </c>
      <c r="AF1220" s="7" t="n"/>
      <c r="AI1220" s="11" t="n"/>
      <c r="AK1220">
        <f>IF($D1220="","",IF(COUNTIF($D$2:$D1220,$D1220)=1,1,0))</f>
        <v/>
      </c>
      <c r="AL1220">
        <f>IF($AK1220=1,SUMPRODUCT(--($AO$2:$AO$1601&lt;$AO1220))+1,"")</f>
        <v/>
      </c>
      <c r="AM1220">
        <f>IF($D1220="","",IF(OR($R1220=TRUE(),$R1220="TRUE"),1,0))</f>
        <v/>
      </c>
      <c r="AN1220">
        <f>IF($D1220="","",IF($AA1220="Yes",1,0))</f>
        <v/>
      </c>
      <c r="AO1220">
        <f>IF($AK1220=1,IFERROR(IF(VALUE($D1220)&lt;100000000,VALUE($D1220),1000000000),IFERROR(IF(VALUE(MID($D1220,2,20))&lt;100000000,VALUE(MID($D1220,2,20)),1000000000),1000000000))+ROW()/100000,"")</f>
        <v/>
      </c>
    </row>
    <row r="1221">
      <c r="F1221" s="11" t="n"/>
      <c r="N1221" s="7">
        <f>IF($D1221="","",M1221*X1221/100)</f>
        <v/>
      </c>
      <c r="O1221" s="7" t="n"/>
      <c r="U1221" s="7" t="n"/>
      <c r="V1221" s="7" t="n"/>
      <c r="W1221" s="7">
        <f>IF($D1221="","",V1221*AB1221/100)</f>
        <v/>
      </c>
      <c r="X1221" s="7">
        <f>IF($D1221="","",V1221-W1221)</f>
        <v/>
      </c>
      <c r="Y1221" s="7">
        <f>IF($D1221="","",X1221-N1221)</f>
        <v/>
      </c>
      <c r="AB1221">
        <f>IF($D1221="","",IF($AN1221=1,Settings!$C$8,IF($AM1221=1,Settings!$C$6,Settings!$C$7))*100)</f>
        <v/>
      </c>
      <c r="AF1221" s="7" t="n"/>
      <c r="AI1221" s="11" t="n"/>
      <c r="AK1221">
        <f>IF($D1221="","",IF(COUNTIF($D$2:$D1221,$D1221)=1,1,0))</f>
        <v/>
      </c>
      <c r="AL1221">
        <f>IF($AK1221=1,SUMPRODUCT(--($AO$2:$AO$1601&lt;$AO1221))+1,"")</f>
        <v/>
      </c>
      <c r="AM1221">
        <f>IF($D1221="","",IF(OR($R1221=TRUE(),$R1221="TRUE"),1,0))</f>
        <v/>
      </c>
      <c r="AN1221">
        <f>IF($D1221="","",IF($AA1221="Yes",1,0))</f>
        <v/>
      </c>
      <c r="AO1221">
        <f>IF($AK1221=1,IFERROR(IF(VALUE($D1221)&lt;100000000,VALUE($D1221),1000000000),IFERROR(IF(VALUE(MID($D1221,2,20))&lt;100000000,VALUE(MID($D1221,2,20)),1000000000),1000000000))+ROW()/100000,"")</f>
        <v/>
      </c>
    </row>
    <row r="1222">
      <c r="F1222" s="11" t="n"/>
      <c r="N1222" s="7">
        <f>IF($D1222="","",M1222*X1222/100)</f>
        <v/>
      </c>
      <c r="O1222" s="7" t="n"/>
      <c r="U1222" s="7" t="n"/>
      <c r="V1222" s="7" t="n"/>
      <c r="W1222" s="7">
        <f>IF($D1222="","",V1222*AB1222/100)</f>
        <v/>
      </c>
      <c r="X1222" s="7">
        <f>IF($D1222="","",V1222-W1222)</f>
        <v/>
      </c>
      <c r="Y1222" s="7">
        <f>IF($D1222="","",X1222-N1222)</f>
        <v/>
      </c>
      <c r="AB1222">
        <f>IF($D1222="","",IF($AN1222=1,Settings!$C$8,IF($AM1222=1,Settings!$C$6,Settings!$C$7))*100)</f>
        <v/>
      </c>
      <c r="AF1222" s="7" t="n"/>
      <c r="AI1222" s="11" t="n"/>
      <c r="AK1222">
        <f>IF($D1222="","",IF(COUNTIF($D$2:$D1222,$D1222)=1,1,0))</f>
        <v/>
      </c>
      <c r="AL1222">
        <f>IF($AK1222=1,SUMPRODUCT(--($AO$2:$AO$1601&lt;$AO1222))+1,"")</f>
        <v/>
      </c>
      <c r="AM1222">
        <f>IF($D1222="","",IF(OR($R1222=TRUE(),$R1222="TRUE"),1,0))</f>
        <v/>
      </c>
      <c r="AN1222">
        <f>IF($D1222="","",IF($AA1222="Yes",1,0))</f>
        <v/>
      </c>
      <c r="AO1222">
        <f>IF($AK1222=1,IFERROR(IF(VALUE($D1222)&lt;100000000,VALUE($D1222),1000000000),IFERROR(IF(VALUE(MID($D1222,2,20))&lt;100000000,VALUE(MID($D1222,2,20)),1000000000),1000000000))+ROW()/100000,"")</f>
        <v/>
      </c>
    </row>
    <row r="1223">
      <c r="F1223" s="11" t="n"/>
      <c r="N1223" s="7">
        <f>IF($D1223="","",M1223*X1223/100)</f>
        <v/>
      </c>
      <c r="O1223" s="7" t="n"/>
      <c r="U1223" s="7" t="n"/>
      <c r="V1223" s="7" t="n"/>
      <c r="W1223" s="7">
        <f>IF($D1223="","",V1223*AB1223/100)</f>
        <v/>
      </c>
      <c r="X1223" s="7">
        <f>IF($D1223="","",V1223-W1223)</f>
        <v/>
      </c>
      <c r="Y1223" s="7">
        <f>IF($D1223="","",X1223-N1223)</f>
        <v/>
      </c>
      <c r="AB1223">
        <f>IF($D1223="","",IF($AN1223=1,Settings!$C$8,IF($AM1223=1,Settings!$C$6,Settings!$C$7))*100)</f>
        <v/>
      </c>
      <c r="AF1223" s="7" t="n"/>
      <c r="AI1223" s="11" t="n"/>
      <c r="AK1223">
        <f>IF($D1223="","",IF(COUNTIF($D$2:$D1223,$D1223)=1,1,0))</f>
        <v/>
      </c>
      <c r="AL1223">
        <f>IF($AK1223=1,SUMPRODUCT(--($AO$2:$AO$1601&lt;$AO1223))+1,"")</f>
        <v/>
      </c>
      <c r="AM1223">
        <f>IF($D1223="","",IF(OR($R1223=TRUE(),$R1223="TRUE"),1,0))</f>
        <v/>
      </c>
      <c r="AN1223">
        <f>IF($D1223="","",IF($AA1223="Yes",1,0))</f>
        <v/>
      </c>
      <c r="AO1223">
        <f>IF($AK1223=1,IFERROR(IF(VALUE($D1223)&lt;100000000,VALUE($D1223),1000000000),IFERROR(IF(VALUE(MID($D1223,2,20))&lt;100000000,VALUE(MID($D1223,2,20)),1000000000),1000000000))+ROW()/100000,"")</f>
        <v/>
      </c>
    </row>
    <row r="1224">
      <c r="F1224" s="11" t="n"/>
      <c r="N1224" s="7">
        <f>IF($D1224="","",M1224*X1224/100)</f>
        <v/>
      </c>
      <c r="O1224" s="7" t="n"/>
      <c r="U1224" s="7" t="n"/>
      <c r="V1224" s="7" t="n"/>
      <c r="W1224" s="7">
        <f>IF($D1224="","",V1224*AB1224/100)</f>
        <v/>
      </c>
      <c r="X1224" s="7">
        <f>IF($D1224="","",V1224-W1224)</f>
        <v/>
      </c>
      <c r="Y1224" s="7">
        <f>IF($D1224="","",X1224-N1224)</f>
        <v/>
      </c>
      <c r="AB1224">
        <f>IF($D1224="","",IF($AN1224=1,Settings!$C$8,IF($AM1224=1,Settings!$C$6,Settings!$C$7))*100)</f>
        <v/>
      </c>
      <c r="AF1224" s="7" t="n"/>
      <c r="AI1224" s="11" t="n"/>
      <c r="AK1224">
        <f>IF($D1224="","",IF(COUNTIF($D$2:$D1224,$D1224)=1,1,0))</f>
        <v/>
      </c>
      <c r="AL1224">
        <f>IF($AK1224=1,SUMPRODUCT(--($AO$2:$AO$1601&lt;$AO1224))+1,"")</f>
        <v/>
      </c>
      <c r="AM1224">
        <f>IF($D1224="","",IF(OR($R1224=TRUE(),$R1224="TRUE"),1,0))</f>
        <v/>
      </c>
      <c r="AN1224">
        <f>IF($D1224="","",IF($AA1224="Yes",1,0))</f>
        <v/>
      </c>
      <c r="AO1224">
        <f>IF($AK1224=1,IFERROR(IF(VALUE($D1224)&lt;100000000,VALUE($D1224),1000000000),IFERROR(IF(VALUE(MID($D1224,2,20))&lt;100000000,VALUE(MID($D1224,2,20)),1000000000),1000000000))+ROW()/100000,"")</f>
        <v/>
      </c>
    </row>
    <row r="1225">
      <c r="F1225" s="11" t="n"/>
      <c r="N1225" s="7">
        <f>IF($D1225="","",M1225*X1225/100)</f>
        <v/>
      </c>
      <c r="O1225" s="7" t="n"/>
      <c r="U1225" s="7" t="n"/>
      <c r="V1225" s="7" t="n"/>
      <c r="W1225" s="7">
        <f>IF($D1225="","",V1225*AB1225/100)</f>
        <v/>
      </c>
      <c r="X1225" s="7">
        <f>IF($D1225="","",V1225-W1225)</f>
        <v/>
      </c>
      <c r="Y1225" s="7">
        <f>IF($D1225="","",X1225-N1225)</f>
        <v/>
      </c>
      <c r="AB1225">
        <f>IF($D1225="","",IF($AN1225=1,Settings!$C$8,IF($AM1225=1,Settings!$C$6,Settings!$C$7))*100)</f>
        <v/>
      </c>
      <c r="AF1225" s="7" t="n"/>
      <c r="AI1225" s="11" t="n"/>
      <c r="AK1225">
        <f>IF($D1225="","",IF(COUNTIF($D$2:$D1225,$D1225)=1,1,0))</f>
        <v/>
      </c>
      <c r="AL1225">
        <f>IF($AK1225=1,SUMPRODUCT(--($AO$2:$AO$1601&lt;$AO1225))+1,"")</f>
        <v/>
      </c>
      <c r="AM1225">
        <f>IF($D1225="","",IF(OR($R1225=TRUE(),$R1225="TRUE"),1,0))</f>
        <v/>
      </c>
      <c r="AN1225">
        <f>IF($D1225="","",IF($AA1225="Yes",1,0))</f>
        <v/>
      </c>
      <c r="AO1225">
        <f>IF($AK1225=1,IFERROR(IF(VALUE($D1225)&lt;100000000,VALUE($D1225),1000000000),IFERROR(IF(VALUE(MID($D1225,2,20))&lt;100000000,VALUE(MID($D1225,2,20)),1000000000),1000000000))+ROW()/100000,"")</f>
        <v/>
      </c>
    </row>
    <row r="1226">
      <c r="F1226" s="11" t="n"/>
      <c r="N1226" s="7">
        <f>IF($D1226="","",M1226*X1226/100)</f>
        <v/>
      </c>
      <c r="O1226" s="7" t="n"/>
      <c r="U1226" s="7" t="n"/>
      <c r="V1226" s="7" t="n"/>
      <c r="W1226" s="7">
        <f>IF($D1226="","",V1226*AB1226/100)</f>
        <v/>
      </c>
      <c r="X1226" s="7">
        <f>IF($D1226="","",V1226-W1226)</f>
        <v/>
      </c>
      <c r="Y1226" s="7">
        <f>IF($D1226="","",X1226-N1226)</f>
        <v/>
      </c>
      <c r="AB1226">
        <f>IF($D1226="","",IF($AN1226=1,Settings!$C$8,IF($AM1226=1,Settings!$C$6,Settings!$C$7))*100)</f>
        <v/>
      </c>
      <c r="AF1226" s="7" t="n"/>
      <c r="AI1226" s="11" t="n"/>
      <c r="AK1226">
        <f>IF($D1226="","",IF(COUNTIF($D$2:$D1226,$D1226)=1,1,0))</f>
        <v/>
      </c>
      <c r="AL1226">
        <f>IF($AK1226=1,SUMPRODUCT(--($AO$2:$AO$1601&lt;$AO1226))+1,"")</f>
        <v/>
      </c>
      <c r="AM1226">
        <f>IF($D1226="","",IF(OR($R1226=TRUE(),$R1226="TRUE"),1,0))</f>
        <v/>
      </c>
      <c r="AN1226">
        <f>IF($D1226="","",IF($AA1226="Yes",1,0))</f>
        <v/>
      </c>
      <c r="AO1226">
        <f>IF($AK1226=1,IFERROR(IF(VALUE($D1226)&lt;100000000,VALUE($D1226),1000000000),IFERROR(IF(VALUE(MID($D1226,2,20))&lt;100000000,VALUE(MID($D1226,2,20)),1000000000),1000000000))+ROW()/100000,"")</f>
        <v/>
      </c>
    </row>
    <row r="1227">
      <c r="F1227" s="11" t="n"/>
      <c r="N1227" s="7">
        <f>IF($D1227="","",M1227*X1227/100)</f>
        <v/>
      </c>
      <c r="O1227" s="7" t="n"/>
      <c r="U1227" s="7" t="n"/>
      <c r="V1227" s="7" t="n"/>
      <c r="W1227" s="7">
        <f>IF($D1227="","",V1227*AB1227/100)</f>
        <v/>
      </c>
      <c r="X1227" s="7">
        <f>IF($D1227="","",V1227-W1227)</f>
        <v/>
      </c>
      <c r="Y1227" s="7">
        <f>IF($D1227="","",X1227-N1227)</f>
        <v/>
      </c>
      <c r="AB1227">
        <f>IF($D1227="","",IF($AN1227=1,Settings!$C$8,IF($AM1227=1,Settings!$C$6,Settings!$C$7))*100)</f>
        <v/>
      </c>
      <c r="AF1227" s="7" t="n"/>
      <c r="AI1227" s="11" t="n"/>
      <c r="AK1227">
        <f>IF($D1227="","",IF(COUNTIF($D$2:$D1227,$D1227)=1,1,0))</f>
        <v/>
      </c>
      <c r="AL1227">
        <f>IF($AK1227=1,SUMPRODUCT(--($AO$2:$AO$1601&lt;$AO1227))+1,"")</f>
        <v/>
      </c>
      <c r="AM1227">
        <f>IF($D1227="","",IF(OR($R1227=TRUE(),$R1227="TRUE"),1,0))</f>
        <v/>
      </c>
      <c r="AN1227">
        <f>IF($D1227="","",IF($AA1227="Yes",1,0))</f>
        <v/>
      </c>
      <c r="AO1227">
        <f>IF($AK1227=1,IFERROR(IF(VALUE($D1227)&lt;100000000,VALUE($D1227),1000000000),IFERROR(IF(VALUE(MID($D1227,2,20))&lt;100000000,VALUE(MID($D1227,2,20)),1000000000),1000000000))+ROW()/100000,"")</f>
        <v/>
      </c>
    </row>
    <row r="1228">
      <c r="F1228" s="11" t="n"/>
      <c r="N1228" s="7">
        <f>IF($D1228="","",M1228*X1228/100)</f>
        <v/>
      </c>
      <c r="O1228" s="7" t="n"/>
      <c r="U1228" s="7" t="n"/>
      <c r="V1228" s="7" t="n"/>
      <c r="W1228" s="7">
        <f>IF($D1228="","",V1228*AB1228/100)</f>
        <v/>
      </c>
      <c r="X1228" s="7">
        <f>IF($D1228="","",V1228-W1228)</f>
        <v/>
      </c>
      <c r="Y1228" s="7">
        <f>IF($D1228="","",X1228-N1228)</f>
        <v/>
      </c>
      <c r="AB1228">
        <f>IF($D1228="","",IF($AN1228=1,Settings!$C$8,IF($AM1228=1,Settings!$C$6,Settings!$C$7))*100)</f>
        <v/>
      </c>
      <c r="AF1228" s="7" t="n"/>
      <c r="AI1228" s="11" t="n"/>
      <c r="AK1228">
        <f>IF($D1228="","",IF(COUNTIF($D$2:$D1228,$D1228)=1,1,0))</f>
        <v/>
      </c>
      <c r="AL1228">
        <f>IF($AK1228=1,SUMPRODUCT(--($AO$2:$AO$1601&lt;$AO1228))+1,"")</f>
        <v/>
      </c>
      <c r="AM1228">
        <f>IF($D1228="","",IF(OR($R1228=TRUE(),$R1228="TRUE"),1,0))</f>
        <v/>
      </c>
      <c r="AN1228">
        <f>IF($D1228="","",IF($AA1228="Yes",1,0))</f>
        <v/>
      </c>
      <c r="AO1228">
        <f>IF($AK1228=1,IFERROR(IF(VALUE($D1228)&lt;100000000,VALUE($D1228),1000000000),IFERROR(IF(VALUE(MID($D1228,2,20))&lt;100000000,VALUE(MID($D1228,2,20)),1000000000),1000000000))+ROW()/100000,"")</f>
        <v/>
      </c>
    </row>
    <row r="1229">
      <c r="F1229" s="11" t="n"/>
      <c r="N1229" s="7">
        <f>IF($D1229="","",M1229*X1229/100)</f>
        <v/>
      </c>
      <c r="O1229" s="7" t="n"/>
      <c r="U1229" s="7" t="n"/>
      <c r="V1229" s="7" t="n"/>
      <c r="W1229" s="7">
        <f>IF($D1229="","",V1229*AB1229/100)</f>
        <v/>
      </c>
      <c r="X1229" s="7">
        <f>IF($D1229="","",V1229-W1229)</f>
        <v/>
      </c>
      <c r="Y1229" s="7">
        <f>IF($D1229="","",X1229-N1229)</f>
        <v/>
      </c>
      <c r="AB1229">
        <f>IF($D1229="","",IF($AN1229=1,Settings!$C$8,IF($AM1229=1,Settings!$C$6,Settings!$C$7))*100)</f>
        <v/>
      </c>
      <c r="AF1229" s="7" t="n"/>
      <c r="AI1229" s="11" t="n"/>
      <c r="AK1229">
        <f>IF($D1229="","",IF(COUNTIF($D$2:$D1229,$D1229)=1,1,0))</f>
        <v/>
      </c>
      <c r="AL1229">
        <f>IF($AK1229=1,SUMPRODUCT(--($AO$2:$AO$1601&lt;$AO1229))+1,"")</f>
        <v/>
      </c>
      <c r="AM1229">
        <f>IF($D1229="","",IF(OR($R1229=TRUE(),$R1229="TRUE"),1,0))</f>
        <v/>
      </c>
      <c r="AN1229">
        <f>IF($D1229="","",IF($AA1229="Yes",1,0))</f>
        <v/>
      </c>
      <c r="AO1229">
        <f>IF($AK1229=1,IFERROR(IF(VALUE($D1229)&lt;100000000,VALUE($D1229),1000000000),IFERROR(IF(VALUE(MID($D1229,2,20))&lt;100000000,VALUE(MID($D1229,2,20)),1000000000),1000000000))+ROW()/100000,"")</f>
        <v/>
      </c>
    </row>
    <row r="1230">
      <c r="F1230" s="11" t="n"/>
      <c r="N1230" s="7">
        <f>IF($D1230="","",M1230*X1230/100)</f>
        <v/>
      </c>
      <c r="O1230" s="7" t="n"/>
      <c r="U1230" s="7" t="n"/>
      <c r="V1230" s="7" t="n"/>
      <c r="W1230" s="7">
        <f>IF($D1230="","",V1230*AB1230/100)</f>
        <v/>
      </c>
      <c r="X1230" s="7">
        <f>IF($D1230="","",V1230-W1230)</f>
        <v/>
      </c>
      <c r="Y1230" s="7">
        <f>IF($D1230="","",X1230-N1230)</f>
        <v/>
      </c>
      <c r="AB1230">
        <f>IF($D1230="","",IF($AN1230=1,Settings!$C$8,IF($AM1230=1,Settings!$C$6,Settings!$C$7))*100)</f>
        <v/>
      </c>
      <c r="AF1230" s="7" t="n"/>
      <c r="AI1230" s="11" t="n"/>
      <c r="AK1230">
        <f>IF($D1230="","",IF(COUNTIF($D$2:$D1230,$D1230)=1,1,0))</f>
        <v/>
      </c>
      <c r="AL1230">
        <f>IF($AK1230=1,SUMPRODUCT(--($AO$2:$AO$1601&lt;$AO1230))+1,"")</f>
        <v/>
      </c>
      <c r="AM1230">
        <f>IF($D1230="","",IF(OR($R1230=TRUE(),$R1230="TRUE"),1,0))</f>
        <v/>
      </c>
      <c r="AN1230">
        <f>IF($D1230="","",IF($AA1230="Yes",1,0))</f>
        <v/>
      </c>
      <c r="AO1230">
        <f>IF($AK1230=1,IFERROR(IF(VALUE($D1230)&lt;100000000,VALUE($D1230),1000000000),IFERROR(IF(VALUE(MID($D1230,2,20))&lt;100000000,VALUE(MID($D1230,2,20)),1000000000),1000000000))+ROW()/100000,"")</f>
        <v/>
      </c>
    </row>
    <row r="1231">
      <c r="F1231" s="11" t="n"/>
      <c r="N1231" s="7">
        <f>IF($D1231="","",M1231*X1231/100)</f>
        <v/>
      </c>
      <c r="O1231" s="7" t="n"/>
      <c r="U1231" s="7" t="n"/>
      <c r="V1231" s="7" t="n"/>
      <c r="W1231" s="7">
        <f>IF($D1231="","",V1231*AB1231/100)</f>
        <v/>
      </c>
      <c r="X1231" s="7">
        <f>IF($D1231="","",V1231-W1231)</f>
        <v/>
      </c>
      <c r="Y1231" s="7">
        <f>IF($D1231="","",X1231-N1231)</f>
        <v/>
      </c>
      <c r="AB1231">
        <f>IF($D1231="","",IF($AN1231=1,Settings!$C$8,IF($AM1231=1,Settings!$C$6,Settings!$C$7))*100)</f>
        <v/>
      </c>
      <c r="AF1231" s="7" t="n"/>
      <c r="AI1231" s="11" t="n"/>
      <c r="AK1231">
        <f>IF($D1231="","",IF(COUNTIF($D$2:$D1231,$D1231)=1,1,0))</f>
        <v/>
      </c>
      <c r="AL1231">
        <f>IF($AK1231=1,SUMPRODUCT(--($AO$2:$AO$1601&lt;$AO1231))+1,"")</f>
        <v/>
      </c>
      <c r="AM1231">
        <f>IF($D1231="","",IF(OR($R1231=TRUE(),$R1231="TRUE"),1,0))</f>
        <v/>
      </c>
      <c r="AN1231">
        <f>IF($D1231="","",IF($AA1231="Yes",1,0))</f>
        <v/>
      </c>
      <c r="AO1231">
        <f>IF($AK1231=1,IFERROR(IF(VALUE($D1231)&lt;100000000,VALUE($D1231),1000000000),IFERROR(IF(VALUE(MID($D1231,2,20))&lt;100000000,VALUE(MID($D1231,2,20)),1000000000),1000000000))+ROW()/100000,"")</f>
        <v/>
      </c>
    </row>
    <row r="1232">
      <c r="F1232" s="11" t="n"/>
      <c r="N1232" s="7">
        <f>IF($D1232="","",M1232*X1232/100)</f>
        <v/>
      </c>
      <c r="O1232" s="7" t="n"/>
      <c r="U1232" s="7" t="n"/>
      <c r="V1232" s="7" t="n"/>
      <c r="W1232" s="7">
        <f>IF($D1232="","",V1232*AB1232/100)</f>
        <v/>
      </c>
      <c r="X1232" s="7">
        <f>IF($D1232="","",V1232-W1232)</f>
        <v/>
      </c>
      <c r="Y1232" s="7">
        <f>IF($D1232="","",X1232-N1232)</f>
        <v/>
      </c>
      <c r="AB1232">
        <f>IF($D1232="","",IF($AN1232=1,Settings!$C$8,IF($AM1232=1,Settings!$C$6,Settings!$C$7))*100)</f>
        <v/>
      </c>
      <c r="AF1232" s="7" t="n"/>
      <c r="AI1232" s="11" t="n"/>
      <c r="AK1232">
        <f>IF($D1232="","",IF(COUNTIF($D$2:$D1232,$D1232)=1,1,0))</f>
        <v/>
      </c>
      <c r="AL1232">
        <f>IF($AK1232=1,SUMPRODUCT(--($AO$2:$AO$1601&lt;$AO1232))+1,"")</f>
        <v/>
      </c>
      <c r="AM1232">
        <f>IF($D1232="","",IF(OR($R1232=TRUE(),$R1232="TRUE"),1,0))</f>
        <v/>
      </c>
      <c r="AN1232">
        <f>IF($D1232="","",IF($AA1232="Yes",1,0))</f>
        <v/>
      </c>
      <c r="AO1232">
        <f>IF($AK1232=1,IFERROR(IF(VALUE($D1232)&lt;100000000,VALUE($D1232),1000000000),IFERROR(IF(VALUE(MID($D1232,2,20))&lt;100000000,VALUE(MID($D1232,2,20)),1000000000),1000000000))+ROW()/100000,"")</f>
        <v/>
      </c>
    </row>
    <row r="1233">
      <c r="F1233" s="11" t="n"/>
      <c r="N1233" s="7">
        <f>IF($D1233="","",M1233*X1233/100)</f>
        <v/>
      </c>
      <c r="O1233" s="7" t="n"/>
      <c r="U1233" s="7" t="n"/>
      <c r="V1233" s="7" t="n"/>
      <c r="W1233" s="7">
        <f>IF($D1233="","",V1233*AB1233/100)</f>
        <v/>
      </c>
      <c r="X1233" s="7">
        <f>IF($D1233="","",V1233-W1233)</f>
        <v/>
      </c>
      <c r="Y1233" s="7">
        <f>IF($D1233="","",X1233-N1233)</f>
        <v/>
      </c>
      <c r="AB1233">
        <f>IF($D1233="","",IF($AN1233=1,Settings!$C$8,IF($AM1233=1,Settings!$C$6,Settings!$C$7))*100)</f>
        <v/>
      </c>
      <c r="AF1233" s="7" t="n"/>
      <c r="AI1233" s="11" t="n"/>
      <c r="AK1233">
        <f>IF($D1233="","",IF(COUNTIF($D$2:$D1233,$D1233)=1,1,0))</f>
        <v/>
      </c>
      <c r="AL1233">
        <f>IF($AK1233=1,SUMPRODUCT(--($AO$2:$AO$1601&lt;$AO1233))+1,"")</f>
        <v/>
      </c>
      <c r="AM1233">
        <f>IF($D1233="","",IF(OR($R1233=TRUE(),$R1233="TRUE"),1,0))</f>
        <v/>
      </c>
      <c r="AN1233">
        <f>IF($D1233="","",IF($AA1233="Yes",1,0))</f>
        <v/>
      </c>
      <c r="AO1233">
        <f>IF($AK1233=1,IFERROR(IF(VALUE($D1233)&lt;100000000,VALUE($D1233),1000000000),IFERROR(IF(VALUE(MID($D1233,2,20))&lt;100000000,VALUE(MID($D1233,2,20)),1000000000),1000000000))+ROW()/100000,"")</f>
        <v/>
      </c>
    </row>
    <row r="1234">
      <c r="F1234" s="11" t="n"/>
      <c r="N1234" s="7">
        <f>IF($D1234="","",M1234*X1234/100)</f>
        <v/>
      </c>
      <c r="O1234" s="7" t="n"/>
      <c r="U1234" s="7" t="n"/>
      <c r="V1234" s="7" t="n"/>
      <c r="W1234" s="7">
        <f>IF($D1234="","",V1234*AB1234/100)</f>
        <v/>
      </c>
      <c r="X1234" s="7">
        <f>IF($D1234="","",V1234-W1234)</f>
        <v/>
      </c>
      <c r="Y1234" s="7">
        <f>IF($D1234="","",X1234-N1234)</f>
        <v/>
      </c>
      <c r="AB1234">
        <f>IF($D1234="","",IF($AN1234=1,Settings!$C$8,IF($AM1234=1,Settings!$C$6,Settings!$C$7))*100)</f>
        <v/>
      </c>
      <c r="AF1234" s="7" t="n"/>
      <c r="AI1234" s="11" t="n"/>
      <c r="AK1234">
        <f>IF($D1234="","",IF(COUNTIF($D$2:$D1234,$D1234)=1,1,0))</f>
        <v/>
      </c>
      <c r="AL1234">
        <f>IF($AK1234=1,SUMPRODUCT(--($AO$2:$AO$1601&lt;$AO1234))+1,"")</f>
        <v/>
      </c>
      <c r="AM1234">
        <f>IF($D1234="","",IF(OR($R1234=TRUE(),$R1234="TRUE"),1,0))</f>
        <v/>
      </c>
      <c r="AN1234">
        <f>IF($D1234="","",IF($AA1234="Yes",1,0))</f>
        <v/>
      </c>
      <c r="AO1234">
        <f>IF($AK1234=1,IFERROR(IF(VALUE($D1234)&lt;100000000,VALUE($D1234),1000000000),IFERROR(IF(VALUE(MID($D1234,2,20))&lt;100000000,VALUE(MID($D1234,2,20)),1000000000),1000000000))+ROW()/100000,"")</f>
        <v/>
      </c>
    </row>
    <row r="1235">
      <c r="F1235" s="11" t="n"/>
      <c r="N1235" s="7">
        <f>IF($D1235="","",M1235*X1235/100)</f>
        <v/>
      </c>
      <c r="O1235" s="7" t="n"/>
      <c r="U1235" s="7" t="n"/>
      <c r="V1235" s="7" t="n"/>
      <c r="W1235" s="7">
        <f>IF($D1235="","",V1235*AB1235/100)</f>
        <v/>
      </c>
      <c r="X1235" s="7">
        <f>IF($D1235="","",V1235-W1235)</f>
        <v/>
      </c>
      <c r="Y1235" s="7">
        <f>IF($D1235="","",X1235-N1235)</f>
        <v/>
      </c>
      <c r="AB1235">
        <f>IF($D1235="","",IF($AN1235=1,Settings!$C$8,IF($AM1235=1,Settings!$C$6,Settings!$C$7))*100)</f>
        <v/>
      </c>
      <c r="AF1235" s="7" t="n"/>
      <c r="AI1235" s="11" t="n"/>
      <c r="AK1235">
        <f>IF($D1235="","",IF(COUNTIF($D$2:$D1235,$D1235)=1,1,0))</f>
        <v/>
      </c>
      <c r="AL1235">
        <f>IF($AK1235=1,SUMPRODUCT(--($AO$2:$AO$1601&lt;$AO1235))+1,"")</f>
        <v/>
      </c>
      <c r="AM1235">
        <f>IF($D1235="","",IF(OR($R1235=TRUE(),$R1235="TRUE"),1,0))</f>
        <v/>
      </c>
      <c r="AN1235">
        <f>IF($D1235="","",IF($AA1235="Yes",1,0))</f>
        <v/>
      </c>
      <c r="AO1235">
        <f>IF($AK1235=1,IFERROR(IF(VALUE($D1235)&lt;100000000,VALUE($D1235),1000000000),IFERROR(IF(VALUE(MID($D1235,2,20))&lt;100000000,VALUE(MID($D1235,2,20)),1000000000),1000000000))+ROW()/100000,"")</f>
        <v/>
      </c>
    </row>
    <row r="1236">
      <c r="F1236" s="11" t="n"/>
      <c r="N1236" s="7">
        <f>IF($D1236="","",M1236*X1236/100)</f>
        <v/>
      </c>
      <c r="O1236" s="7" t="n"/>
      <c r="U1236" s="7" t="n"/>
      <c r="V1236" s="7" t="n"/>
      <c r="W1236" s="7">
        <f>IF($D1236="","",V1236*AB1236/100)</f>
        <v/>
      </c>
      <c r="X1236" s="7">
        <f>IF($D1236="","",V1236-W1236)</f>
        <v/>
      </c>
      <c r="Y1236" s="7">
        <f>IF($D1236="","",X1236-N1236)</f>
        <v/>
      </c>
      <c r="AB1236">
        <f>IF($D1236="","",IF($AN1236=1,Settings!$C$8,IF($AM1236=1,Settings!$C$6,Settings!$C$7))*100)</f>
        <v/>
      </c>
      <c r="AF1236" s="7" t="n"/>
      <c r="AI1236" s="11" t="n"/>
      <c r="AK1236">
        <f>IF($D1236="","",IF(COUNTIF($D$2:$D1236,$D1236)=1,1,0))</f>
        <v/>
      </c>
      <c r="AL1236">
        <f>IF($AK1236=1,SUMPRODUCT(--($AO$2:$AO$1601&lt;$AO1236))+1,"")</f>
        <v/>
      </c>
      <c r="AM1236">
        <f>IF($D1236="","",IF(OR($R1236=TRUE(),$R1236="TRUE"),1,0))</f>
        <v/>
      </c>
      <c r="AN1236">
        <f>IF($D1236="","",IF($AA1236="Yes",1,0))</f>
        <v/>
      </c>
      <c r="AO1236">
        <f>IF($AK1236=1,IFERROR(IF(VALUE($D1236)&lt;100000000,VALUE($D1236),1000000000),IFERROR(IF(VALUE(MID($D1236,2,20))&lt;100000000,VALUE(MID($D1236,2,20)),1000000000),1000000000))+ROW()/100000,"")</f>
        <v/>
      </c>
    </row>
    <row r="1237">
      <c r="F1237" s="11" t="n"/>
      <c r="N1237" s="7">
        <f>IF($D1237="","",M1237*X1237/100)</f>
        <v/>
      </c>
      <c r="O1237" s="7" t="n"/>
      <c r="U1237" s="7" t="n"/>
      <c r="V1237" s="7" t="n"/>
      <c r="W1237" s="7">
        <f>IF($D1237="","",V1237*AB1237/100)</f>
        <v/>
      </c>
      <c r="X1237" s="7">
        <f>IF($D1237="","",V1237-W1237)</f>
        <v/>
      </c>
      <c r="Y1237" s="7">
        <f>IF($D1237="","",X1237-N1237)</f>
        <v/>
      </c>
      <c r="AB1237">
        <f>IF($D1237="","",IF($AN1237=1,Settings!$C$8,IF($AM1237=1,Settings!$C$6,Settings!$C$7))*100)</f>
        <v/>
      </c>
      <c r="AF1237" s="7" t="n"/>
      <c r="AI1237" s="11" t="n"/>
      <c r="AK1237">
        <f>IF($D1237="","",IF(COUNTIF($D$2:$D1237,$D1237)=1,1,0))</f>
        <v/>
      </c>
      <c r="AL1237">
        <f>IF($AK1237=1,SUMPRODUCT(--($AO$2:$AO$1601&lt;$AO1237))+1,"")</f>
        <v/>
      </c>
      <c r="AM1237">
        <f>IF($D1237="","",IF(OR($R1237=TRUE(),$R1237="TRUE"),1,0))</f>
        <v/>
      </c>
      <c r="AN1237">
        <f>IF($D1237="","",IF($AA1237="Yes",1,0))</f>
        <v/>
      </c>
      <c r="AO1237">
        <f>IF($AK1237=1,IFERROR(IF(VALUE($D1237)&lt;100000000,VALUE($D1237),1000000000),IFERROR(IF(VALUE(MID($D1237,2,20))&lt;100000000,VALUE(MID($D1237,2,20)),1000000000),1000000000))+ROW()/100000,"")</f>
        <v/>
      </c>
    </row>
    <row r="1238">
      <c r="F1238" s="11" t="n"/>
      <c r="N1238" s="7">
        <f>IF($D1238="","",M1238*X1238/100)</f>
        <v/>
      </c>
      <c r="O1238" s="7" t="n"/>
      <c r="U1238" s="7" t="n"/>
      <c r="V1238" s="7" t="n"/>
      <c r="W1238" s="7">
        <f>IF($D1238="","",V1238*AB1238/100)</f>
        <v/>
      </c>
      <c r="X1238" s="7">
        <f>IF($D1238="","",V1238-W1238)</f>
        <v/>
      </c>
      <c r="Y1238" s="7">
        <f>IF($D1238="","",X1238-N1238)</f>
        <v/>
      </c>
      <c r="AB1238">
        <f>IF($D1238="","",IF($AN1238=1,Settings!$C$8,IF($AM1238=1,Settings!$C$6,Settings!$C$7))*100)</f>
        <v/>
      </c>
      <c r="AF1238" s="7" t="n"/>
      <c r="AI1238" s="11" t="n"/>
      <c r="AK1238">
        <f>IF($D1238="","",IF(COUNTIF($D$2:$D1238,$D1238)=1,1,0))</f>
        <v/>
      </c>
      <c r="AL1238">
        <f>IF($AK1238=1,SUMPRODUCT(--($AO$2:$AO$1601&lt;$AO1238))+1,"")</f>
        <v/>
      </c>
      <c r="AM1238">
        <f>IF($D1238="","",IF(OR($R1238=TRUE(),$R1238="TRUE"),1,0))</f>
        <v/>
      </c>
      <c r="AN1238">
        <f>IF($D1238="","",IF($AA1238="Yes",1,0))</f>
        <v/>
      </c>
      <c r="AO1238">
        <f>IF($AK1238=1,IFERROR(IF(VALUE($D1238)&lt;100000000,VALUE($D1238),1000000000),IFERROR(IF(VALUE(MID($D1238,2,20))&lt;100000000,VALUE(MID($D1238,2,20)),1000000000),1000000000))+ROW()/100000,"")</f>
        <v/>
      </c>
    </row>
    <row r="1239">
      <c r="F1239" s="11" t="n"/>
      <c r="N1239" s="7">
        <f>IF($D1239="","",M1239*X1239/100)</f>
        <v/>
      </c>
      <c r="O1239" s="7" t="n"/>
      <c r="U1239" s="7" t="n"/>
      <c r="V1239" s="7" t="n"/>
      <c r="W1239" s="7">
        <f>IF($D1239="","",V1239*AB1239/100)</f>
        <v/>
      </c>
      <c r="X1239" s="7">
        <f>IF($D1239="","",V1239-W1239)</f>
        <v/>
      </c>
      <c r="Y1239" s="7">
        <f>IF($D1239="","",X1239-N1239)</f>
        <v/>
      </c>
      <c r="AB1239">
        <f>IF($D1239="","",IF($AN1239=1,Settings!$C$8,IF($AM1239=1,Settings!$C$6,Settings!$C$7))*100)</f>
        <v/>
      </c>
      <c r="AF1239" s="7" t="n"/>
      <c r="AI1239" s="11" t="n"/>
      <c r="AK1239">
        <f>IF($D1239="","",IF(COUNTIF($D$2:$D1239,$D1239)=1,1,0))</f>
        <v/>
      </c>
      <c r="AL1239">
        <f>IF($AK1239=1,SUMPRODUCT(--($AO$2:$AO$1601&lt;$AO1239))+1,"")</f>
        <v/>
      </c>
      <c r="AM1239">
        <f>IF($D1239="","",IF(OR($R1239=TRUE(),$R1239="TRUE"),1,0))</f>
        <v/>
      </c>
      <c r="AN1239">
        <f>IF($D1239="","",IF($AA1239="Yes",1,0))</f>
        <v/>
      </c>
      <c r="AO1239">
        <f>IF($AK1239=1,IFERROR(IF(VALUE($D1239)&lt;100000000,VALUE($D1239),1000000000),IFERROR(IF(VALUE(MID($D1239,2,20))&lt;100000000,VALUE(MID($D1239,2,20)),1000000000),1000000000))+ROW()/100000,"")</f>
        <v/>
      </c>
    </row>
    <row r="1240">
      <c r="F1240" s="11" t="n"/>
      <c r="N1240" s="7">
        <f>IF($D1240="","",M1240*X1240/100)</f>
        <v/>
      </c>
      <c r="O1240" s="7" t="n"/>
      <c r="U1240" s="7" t="n"/>
      <c r="V1240" s="7" t="n"/>
      <c r="W1240" s="7">
        <f>IF($D1240="","",V1240*AB1240/100)</f>
        <v/>
      </c>
      <c r="X1240" s="7">
        <f>IF($D1240="","",V1240-W1240)</f>
        <v/>
      </c>
      <c r="Y1240" s="7">
        <f>IF($D1240="","",X1240-N1240)</f>
        <v/>
      </c>
      <c r="AB1240">
        <f>IF($D1240="","",IF($AN1240=1,Settings!$C$8,IF($AM1240=1,Settings!$C$6,Settings!$C$7))*100)</f>
        <v/>
      </c>
      <c r="AF1240" s="7" t="n"/>
      <c r="AI1240" s="11" t="n"/>
      <c r="AK1240">
        <f>IF($D1240="","",IF(COUNTIF($D$2:$D1240,$D1240)=1,1,0))</f>
        <v/>
      </c>
      <c r="AL1240">
        <f>IF($AK1240=1,SUMPRODUCT(--($AO$2:$AO$1601&lt;$AO1240))+1,"")</f>
        <v/>
      </c>
      <c r="AM1240">
        <f>IF($D1240="","",IF(OR($R1240=TRUE(),$R1240="TRUE"),1,0))</f>
        <v/>
      </c>
      <c r="AN1240">
        <f>IF($D1240="","",IF($AA1240="Yes",1,0))</f>
        <v/>
      </c>
      <c r="AO1240">
        <f>IF($AK1240=1,IFERROR(IF(VALUE($D1240)&lt;100000000,VALUE($D1240),1000000000),IFERROR(IF(VALUE(MID($D1240,2,20))&lt;100000000,VALUE(MID($D1240,2,20)),1000000000),1000000000))+ROW()/100000,"")</f>
        <v/>
      </c>
    </row>
    <row r="1241">
      <c r="F1241" s="11" t="n"/>
      <c r="N1241" s="7">
        <f>IF($D1241="","",M1241*X1241/100)</f>
        <v/>
      </c>
      <c r="O1241" s="7" t="n"/>
      <c r="U1241" s="7" t="n"/>
      <c r="V1241" s="7" t="n"/>
      <c r="W1241" s="7">
        <f>IF($D1241="","",V1241*AB1241/100)</f>
        <v/>
      </c>
      <c r="X1241" s="7">
        <f>IF($D1241="","",V1241-W1241)</f>
        <v/>
      </c>
      <c r="Y1241" s="7">
        <f>IF($D1241="","",X1241-N1241)</f>
        <v/>
      </c>
      <c r="AB1241">
        <f>IF($D1241="","",IF($AN1241=1,Settings!$C$8,IF($AM1241=1,Settings!$C$6,Settings!$C$7))*100)</f>
        <v/>
      </c>
      <c r="AF1241" s="7" t="n"/>
      <c r="AI1241" s="11" t="n"/>
      <c r="AK1241">
        <f>IF($D1241="","",IF(COUNTIF($D$2:$D1241,$D1241)=1,1,0))</f>
        <v/>
      </c>
      <c r="AL1241">
        <f>IF($AK1241=1,SUMPRODUCT(--($AO$2:$AO$1601&lt;$AO1241))+1,"")</f>
        <v/>
      </c>
      <c r="AM1241">
        <f>IF($D1241="","",IF(OR($R1241=TRUE(),$R1241="TRUE"),1,0))</f>
        <v/>
      </c>
      <c r="AN1241">
        <f>IF($D1241="","",IF($AA1241="Yes",1,0))</f>
        <v/>
      </c>
      <c r="AO1241">
        <f>IF($AK1241=1,IFERROR(IF(VALUE($D1241)&lt;100000000,VALUE($D1241),1000000000),IFERROR(IF(VALUE(MID($D1241,2,20))&lt;100000000,VALUE(MID($D1241,2,20)),1000000000),1000000000))+ROW()/100000,"")</f>
        <v/>
      </c>
    </row>
    <row r="1242">
      <c r="F1242" s="11" t="n"/>
      <c r="N1242" s="7">
        <f>IF($D1242="","",M1242*X1242/100)</f>
        <v/>
      </c>
      <c r="O1242" s="7" t="n"/>
      <c r="U1242" s="7" t="n"/>
      <c r="V1242" s="7" t="n"/>
      <c r="W1242" s="7">
        <f>IF($D1242="","",V1242*AB1242/100)</f>
        <v/>
      </c>
      <c r="X1242" s="7">
        <f>IF($D1242="","",V1242-W1242)</f>
        <v/>
      </c>
      <c r="Y1242" s="7">
        <f>IF($D1242="","",X1242-N1242)</f>
        <v/>
      </c>
      <c r="AB1242">
        <f>IF($D1242="","",IF($AN1242=1,Settings!$C$8,IF($AM1242=1,Settings!$C$6,Settings!$C$7))*100)</f>
        <v/>
      </c>
      <c r="AF1242" s="7" t="n"/>
      <c r="AI1242" s="11" t="n"/>
      <c r="AK1242">
        <f>IF($D1242="","",IF(COUNTIF($D$2:$D1242,$D1242)=1,1,0))</f>
        <v/>
      </c>
      <c r="AL1242">
        <f>IF($AK1242=1,SUMPRODUCT(--($AO$2:$AO$1601&lt;$AO1242))+1,"")</f>
        <v/>
      </c>
      <c r="AM1242">
        <f>IF($D1242="","",IF(OR($R1242=TRUE(),$R1242="TRUE"),1,0))</f>
        <v/>
      </c>
      <c r="AN1242">
        <f>IF($D1242="","",IF($AA1242="Yes",1,0))</f>
        <v/>
      </c>
      <c r="AO1242">
        <f>IF($AK1242=1,IFERROR(IF(VALUE($D1242)&lt;100000000,VALUE($D1242),1000000000),IFERROR(IF(VALUE(MID($D1242,2,20))&lt;100000000,VALUE(MID($D1242,2,20)),1000000000),1000000000))+ROW()/100000,"")</f>
        <v/>
      </c>
    </row>
    <row r="1243">
      <c r="F1243" s="11" t="n"/>
      <c r="N1243" s="7">
        <f>IF($D1243="","",M1243*X1243/100)</f>
        <v/>
      </c>
      <c r="O1243" s="7" t="n"/>
      <c r="U1243" s="7" t="n"/>
      <c r="V1243" s="7" t="n"/>
      <c r="W1243" s="7">
        <f>IF($D1243="","",V1243*AB1243/100)</f>
        <v/>
      </c>
      <c r="X1243" s="7">
        <f>IF($D1243="","",V1243-W1243)</f>
        <v/>
      </c>
      <c r="Y1243" s="7">
        <f>IF($D1243="","",X1243-N1243)</f>
        <v/>
      </c>
      <c r="AB1243">
        <f>IF($D1243="","",IF($AN1243=1,Settings!$C$8,IF($AM1243=1,Settings!$C$6,Settings!$C$7))*100)</f>
        <v/>
      </c>
      <c r="AF1243" s="7" t="n"/>
      <c r="AI1243" s="11" t="n"/>
      <c r="AK1243">
        <f>IF($D1243="","",IF(COUNTIF($D$2:$D1243,$D1243)=1,1,0))</f>
        <v/>
      </c>
      <c r="AL1243">
        <f>IF($AK1243=1,SUMPRODUCT(--($AO$2:$AO$1601&lt;$AO1243))+1,"")</f>
        <v/>
      </c>
      <c r="AM1243">
        <f>IF($D1243="","",IF(OR($R1243=TRUE(),$R1243="TRUE"),1,0))</f>
        <v/>
      </c>
      <c r="AN1243">
        <f>IF($D1243="","",IF($AA1243="Yes",1,0))</f>
        <v/>
      </c>
      <c r="AO1243">
        <f>IF($AK1243=1,IFERROR(IF(VALUE($D1243)&lt;100000000,VALUE($D1243),1000000000),IFERROR(IF(VALUE(MID($D1243,2,20))&lt;100000000,VALUE(MID($D1243,2,20)),1000000000),1000000000))+ROW()/100000,"")</f>
        <v/>
      </c>
    </row>
    <row r="1244">
      <c r="F1244" s="11" t="n"/>
      <c r="N1244" s="7">
        <f>IF($D1244="","",M1244*X1244/100)</f>
        <v/>
      </c>
      <c r="O1244" s="7" t="n"/>
      <c r="U1244" s="7" t="n"/>
      <c r="V1244" s="7" t="n"/>
      <c r="W1244" s="7">
        <f>IF($D1244="","",V1244*AB1244/100)</f>
        <v/>
      </c>
      <c r="X1244" s="7">
        <f>IF($D1244="","",V1244-W1244)</f>
        <v/>
      </c>
      <c r="Y1244" s="7">
        <f>IF($D1244="","",X1244-N1244)</f>
        <v/>
      </c>
      <c r="AB1244">
        <f>IF($D1244="","",IF($AN1244=1,Settings!$C$8,IF($AM1244=1,Settings!$C$6,Settings!$C$7))*100)</f>
        <v/>
      </c>
      <c r="AF1244" s="7" t="n"/>
      <c r="AI1244" s="11" t="n"/>
      <c r="AK1244">
        <f>IF($D1244="","",IF(COUNTIF($D$2:$D1244,$D1244)=1,1,0))</f>
        <v/>
      </c>
      <c r="AL1244">
        <f>IF($AK1244=1,SUMPRODUCT(--($AO$2:$AO$1601&lt;$AO1244))+1,"")</f>
        <v/>
      </c>
      <c r="AM1244">
        <f>IF($D1244="","",IF(OR($R1244=TRUE(),$R1244="TRUE"),1,0))</f>
        <v/>
      </c>
      <c r="AN1244">
        <f>IF($D1244="","",IF($AA1244="Yes",1,0))</f>
        <v/>
      </c>
      <c r="AO1244">
        <f>IF($AK1244=1,IFERROR(IF(VALUE($D1244)&lt;100000000,VALUE($D1244),1000000000),IFERROR(IF(VALUE(MID($D1244,2,20))&lt;100000000,VALUE(MID($D1244,2,20)),1000000000),1000000000))+ROW()/100000,"")</f>
        <v/>
      </c>
    </row>
    <row r="1245">
      <c r="F1245" s="11" t="n"/>
      <c r="N1245" s="7">
        <f>IF($D1245="","",M1245*X1245/100)</f>
        <v/>
      </c>
      <c r="O1245" s="7" t="n"/>
      <c r="U1245" s="7" t="n"/>
      <c r="V1245" s="7" t="n"/>
      <c r="W1245" s="7">
        <f>IF($D1245="","",V1245*AB1245/100)</f>
        <v/>
      </c>
      <c r="X1245" s="7">
        <f>IF($D1245="","",V1245-W1245)</f>
        <v/>
      </c>
      <c r="Y1245" s="7">
        <f>IF($D1245="","",X1245-N1245)</f>
        <v/>
      </c>
      <c r="AB1245">
        <f>IF($D1245="","",IF($AN1245=1,Settings!$C$8,IF($AM1245=1,Settings!$C$6,Settings!$C$7))*100)</f>
        <v/>
      </c>
      <c r="AF1245" s="7" t="n"/>
      <c r="AI1245" s="11" t="n"/>
      <c r="AK1245">
        <f>IF($D1245="","",IF(COUNTIF($D$2:$D1245,$D1245)=1,1,0))</f>
        <v/>
      </c>
      <c r="AL1245">
        <f>IF($AK1245=1,SUMPRODUCT(--($AO$2:$AO$1601&lt;$AO1245))+1,"")</f>
        <v/>
      </c>
      <c r="AM1245">
        <f>IF($D1245="","",IF(OR($R1245=TRUE(),$R1245="TRUE"),1,0))</f>
        <v/>
      </c>
      <c r="AN1245">
        <f>IF($D1245="","",IF($AA1245="Yes",1,0))</f>
        <v/>
      </c>
      <c r="AO1245">
        <f>IF($AK1245=1,IFERROR(IF(VALUE($D1245)&lt;100000000,VALUE($D1245),1000000000),IFERROR(IF(VALUE(MID($D1245,2,20))&lt;100000000,VALUE(MID($D1245,2,20)),1000000000),1000000000))+ROW()/100000,"")</f>
        <v/>
      </c>
    </row>
    <row r="1246">
      <c r="F1246" s="11" t="n"/>
      <c r="N1246" s="7">
        <f>IF($D1246="","",M1246*X1246/100)</f>
        <v/>
      </c>
      <c r="O1246" s="7" t="n"/>
      <c r="U1246" s="7" t="n"/>
      <c r="V1246" s="7" t="n"/>
      <c r="W1246" s="7">
        <f>IF($D1246="","",V1246*AB1246/100)</f>
        <v/>
      </c>
      <c r="X1246" s="7">
        <f>IF($D1246="","",V1246-W1246)</f>
        <v/>
      </c>
      <c r="Y1246" s="7">
        <f>IF($D1246="","",X1246-N1246)</f>
        <v/>
      </c>
      <c r="AB1246">
        <f>IF($D1246="","",IF($AN1246=1,Settings!$C$8,IF($AM1246=1,Settings!$C$6,Settings!$C$7))*100)</f>
        <v/>
      </c>
      <c r="AF1246" s="7" t="n"/>
      <c r="AI1246" s="11" t="n"/>
      <c r="AK1246">
        <f>IF($D1246="","",IF(COUNTIF($D$2:$D1246,$D1246)=1,1,0))</f>
        <v/>
      </c>
      <c r="AL1246">
        <f>IF($AK1246=1,SUMPRODUCT(--($AO$2:$AO$1601&lt;$AO1246))+1,"")</f>
        <v/>
      </c>
      <c r="AM1246">
        <f>IF($D1246="","",IF(OR($R1246=TRUE(),$R1246="TRUE"),1,0))</f>
        <v/>
      </c>
      <c r="AN1246">
        <f>IF($D1246="","",IF($AA1246="Yes",1,0))</f>
        <v/>
      </c>
      <c r="AO1246">
        <f>IF($AK1246=1,IFERROR(IF(VALUE($D1246)&lt;100000000,VALUE($D1246),1000000000),IFERROR(IF(VALUE(MID($D1246,2,20))&lt;100000000,VALUE(MID($D1246,2,20)),1000000000),1000000000))+ROW()/100000,"")</f>
        <v/>
      </c>
    </row>
    <row r="1247">
      <c r="F1247" s="11" t="n"/>
      <c r="N1247" s="7">
        <f>IF($D1247="","",M1247*X1247/100)</f>
        <v/>
      </c>
      <c r="O1247" s="7" t="n"/>
      <c r="U1247" s="7" t="n"/>
      <c r="V1247" s="7" t="n"/>
      <c r="W1247" s="7">
        <f>IF($D1247="","",V1247*AB1247/100)</f>
        <v/>
      </c>
      <c r="X1247" s="7">
        <f>IF($D1247="","",V1247-W1247)</f>
        <v/>
      </c>
      <c r="Y1247" s="7">
        <f>IF($D1247="","",X1247-N1247)</f>
        <v/>
      </c>
      <c r="AB1247">
        <f>IF($D1247="","",IF($AN1247=1,Settings!$C$8,IF($AM1247=1,Settings!$C$6,Settings!$C$7))*100)</f>
        <v/>
      </c>
      <c r="AF1247" s="7" t="n"/>
      <c r="AI1247" s="11" t="n"/>
      <c r="AK1247">
        <f>IF($D1247="","",IF(COUNTIF($D$2:$D1247,$D1247)=1,1,0))</f>
        <v/>
      </c>
      <c r="AL1247">
        <f>IF($AK1247=1,SUMPRODUCT(--($AO$2:$AO$1601&lt;$AO1247))+1,"")</f>
        <v/>
      </c>
      <c r="AM1247">
        <f>IF($D1247="","",IF(OR($R1247=TRUE(),$R1247="TRUE"),1,0))</f>
        <v/>
      </c>
      <c r="AN1247">
        <f>IF($D1247="","",IF($AA1247="Yes",1,0))</f>
        <v/>
      </c>
      <c r="AO1247">
        <f>IF($AK1247=1,IFERROR(IF(VALUE($D1247)&lt;100000000,VALUE($D1247),1000000000),IFERROR(IF(VALUE(MID($D1247,2,20))&lt;100000000,VALUE(MID($D1247,2,20)),1000000000),1000000000))+ROW()/100000,"")</f>
        <v/>
      </c>
    </row>
    <row r="1248">
      <c r="F1248" s="11" t="n"/>
      <c r="N1248" s="7">
        <f>IF($D1248="","",M1248*X1248/100)</f>
        <v/>
      </c>
      <c r="O1248" s="7" t="n"/>
      <c r="U1248" s="7" t="n"/>
      <c r="V1248" s="7" t="n"/>
      <c r="W1248" s="7">
        <f>IF($D1248="","",V1248*AB1248/100)</f>
        <v/>
      </c>
      <c r="X1248" s="7">
        <f>IF($D1248="","",V1248-W1248)</f>
        <v/>
      </c>
      <c r="Y1248" s="7">
        <f>IF($D1248="","",X1248-N1248)</f>
        <v/>
      </c>
      <c r="AB1248">
        <f>IF($D1248="","",IF($AN1248=1,Settings!$C$8,IF($AM1248=1,Settings!$C$6,Settings!$C$7))*100)</f>
        <v/>
      </c>
      <c r="AF1248" s="7" t="n"/>
      <c r="AI1248" s="11" t="n"/>
      <c r="AK1248">
        <f>IF($D1248="","",IF(COUNTIF($D$2:$D1248,$D1248)=1,1,0))</f>
        <v/>
      </c>
      <c r="AL1248">
        <f>IF($AK1248=1,SUMPRODUCT(--($AO$2:$AO$1601&lt;$AO1248))+1,"")</f>
        <v/>
      </c>
      <c r="AM1248">
        <f>IF($D1248="","",IF(OR($R1248=TRUE(),$R1248="TRUE"),1,0))</f>
        <v/>
      </c>
      <c r="AN1248">
        <f>IF($D1248="","",IF($AA1248="Yes",1,0))</f>
        <v/>
      </c>
      <c r="AO1248">
        <f>IF($AK1248=1,IFERROR(IF(VALUE($D1248)&lt;100000000,VALUE($D1248),1000000000),IFERROR(IF(VALUE(MID($D1248,2,20))&lt;100000000,VALUE(MID($D1248,2,20)),1000000000),1000000000))+ROW()/100000,"")</f>
        <v/>
      </c>
    </row>
    <row r="1249">
      <c r="F1249" s="11" t="n"/>
      <c r="N1249" s="7">
        <f>IF($D1249="","",M1249*X1249/100)</f>
        <v/>
      </c>
      <c r="O1249" s="7" t="n"/>
      <c r="U1249" s="7" t="n"/>
      <c r="V1249" s="7" t="n"/>
      <c r="W1249" s="7">
        <f>IF($D1249="","",V1249*AB1249/100)</f>
        <v/>
      </c>
      <c r="X1249" s="7">
        <f>IF($D1249="","",V1249-W1249)</f>
        <v/>
      </c>
      <c r="Y1249" s="7">
        <f>IF($D1249="","",X1249-N1249)</f>
        <v/>
      </c>
      <c r="AB1249">
        <f>IF($D1249="","",IF($AN1249=1,Settings!$C$8,IF($AM1249=1,Settings!$C$6,Settings!$C$7))*100)</f>
        <v/>
      </c>
      <c r="AF1249" s="7" t="n"/>
      <c r="AI1249" s="11" t="n"/>
      <c r="AK1249">
        <f>IF($D1249="","",IF(COUNTIF($D$2:$D1249,$D1249)=1,1,0))</f>
        <v/>
      </c>
      <c r="AL1249">
        <f>IF($AK1249=1,SUMPRODUCT(--($AO$2:$AO$1601&lt;$AO1249))+1,"")</f>
        <v/>
      </c>
      <c r="AM1249">
        <f>IF($D1249="","",IF(OR($R1249=TRUE(),$R1249="TRUE"),1,0))</f>
        <v/>
      </c>
      <c r="AN1249">
        <f>IF($D1249="","",IF($AA1249="Yes",1,0))</f>
        <v/>
      </c>
      <c r="AO1249">
        <f>IF($AK1249=1,IFERROR(IF(VALUE($D1249)&lt;100000000,VALUE($D1249),1000000000),IFERROR(IF(VALUE(MID($D1249,2,20))&lt;100000000,VALUE(MID($D1249,2,20)),1000000000),1000000000))+ROW()/100000,"")</f>
        <v/>
      </c>
    </row>
    <row r="1250">
      <c r="F1250" s="11" t="n"/>
      <c r="N1250" s="7">
        <f>IF($D1250="","",M1250*X1250/100)</f>
        <v/>
      </c>
      <c r="O1250" s="7" t="n"/>
      <c r="U1250" s="7" t="n"/>
      <c r="V1250" s="7" t="n"/>
      <c r="W1250" s="7">
        <f>IF($D1250="","",V1250*AB1250/100)</f>
        <v/>
      </c>
      <c r="X1250" s="7">
        <f>IF($D1250="","",V1250-W1250)</f>
        <v/>
      </c>
      <c r="Y1250" s="7">
        <f>IF($D1250="","",X1250-N1250)</f>
        <v/>
      </c>
      <c r="AB1250">
        <f>IF($D1250="","",IF($AN1250=1,Settings!$C$8,IF($AM1250=1,Settings!$C$6,Settings!$C$7))*100)</f>
        <v/>
      </c>
      <c r="AF1250" s="7" t="n"/>
      <c r="AI1250" s="11" t="n"/>
      <c r="AK1250">
        <f>IF($D1250="","",IF(COUNTIF($D$2:$D1250,$D1250)=1,1,0))</f>
        <v/>
      </c>
      <c r="AL1250">
        <f>IF($AK1250=1,SUMPRODUCT(--($AO$2:$AO$1601&lt;$AO1250))+1,"")</f>
        <v/>
      </c>
      <c r="AM1250">
        <f>IF($D1250="","",IF(OR($R1250=TRUE(),$R1250="TRUE"),1,0))</f>
        <v/>
      </c>
      <c r="AN1250">
        <f>IF($D1250="","",IF($AA1250="Yes",1,0))</f>
        <v/>
      </c>
      <c r="AO1250">
        <f>IF($AK1250=1,IFERROR(IF(VALUE($D1250)&lt;100000000,VALUE($D1250),1000000000),IFERROR(IF(VALUE(MID($D1250,2,20))&lt;100000000,VALUE(MID($D1250,2,20)),1000000000),1000000000))+ROW()/100000,"")</f>
        <v/>
      </c>
    </row>
    <row r="1251">
      <c r="F1251" s="11" t="n"/>
      <c r="N1251" s="7">
        <f>IF($D1251="","",M1251*X1251/100)</f>
        <v/>
      </c>
      <c r="O1251" s="7" t="n"/>
      <c r="U1251" s="7" t="n"/>
      <c r="V1251" s="7" t="n"/>
      <c r="W1251" s="7">
        <f>IF($D1251="","",V1251*AB1251/100)</f>
        <v/>
      </c>
      <c r="X1251" s="7">
        <f>IF($D1251="","",V1251-W1251)</f>
        <v/>
      </c>
      <c r="Y1251" s="7">
        <f>IF($D1251="","",X1251-N1251)</f>
        <v/>
      </c>
      <c r="AB1251">
        <f>IF($D1251="","",IF($AN1251=1,Settings!$C$8,IF($AM1251=1,Settings!$C$6,Settings!$C$7))*100)</f>
        <v/>
      </c>
      <c r="AF1251" s="7" t="n"/>
      <c r="AI1251" s="11" t="n"/>
      <c r="AK1251">
        <f>IF($D1251="","",IF(COUNTIF($D$2:$D1251,$D1251)=1,1,0))</f>
        <v/>
      </c>
      <c r="AL1251">
        <f>IF($AK1251=1,SUMPRODUCT(--($AO$2:$AO$1601&lt;$AO1251))+1,"")</f>
        <v/>
      </c>
      <c r="AM1251">
        <f>IF($D1251="","",IF(OR($R1251=TRUE(),$R1251="TRUE"),1,0))</f>
        <v/>
      </c>
      <c r="AN1251">
        <f>IF($D1251="","",IF($AA1251="Yes",1,0))</f>
        <v/>
      </c>
      <c r="AO1251">
        <f>IF($AK1251=1,IFERROR(IF(VALUE($D1251)&lt;100000000,VALUE($D1251),1000000000),IFERROR(IF(VALUE(MID($D1251,2,20))&lt;100000000,VALUE(MID($D1251,2,20)),1000000000),1000000000))+ROW()/100000,"")</f>
        <v/>
      </c>
    </row>
    <row r="1252">
      <c r="F1252" s="11" t="n"/>
      <c r="N1252" s="7">
        <f>IF($D1252="","",M1252*X1252/100)</f>
        <v/>
      </c>
      <c r="O1252" s="7" t="n"/>
      <c r="U1252" s="7" t="n"/>
      <c r="V1252" s="7" t="n"/>
      <c r="W1252" s="7">
        <f>IF($D1252="","",V1252*AB1252/100)</f>
        <v/>
      </c>
      <c r="X1252" s="7">
        <f>IF($D1252="","",V1252-W1252)</f>
        <v/>
      </c>
      <c r="Y1252" s="7">
        <f>IF($D1252="","",X1252-N1252)</f>
        <v/>
      </c>
      <c r="AB1252">
        <f>IF($D1252="","",IF($AN1252=1,Settings!$C$8,IF($AM1252=1,Settings!$C$6,Settings!$C$7))*100)</f>
        <v/>
      </c>
      <c r="AF1252" s="7" t="n"/>
      <c r="AI1252" s="11" t="n"/>
      <c r="AK1252">
        <f>IF($D1252="","",IF(COUNTIF($D$2:$D1252,$D1252)=1,1,0))</f>
        <v/>
      </c>
      <c r="AL1252">
        <f>IF($AK1252=1,SUMPRODUCT(--($AO$2:$AO$1601&lt;$AO1252))+1,"")</f>
        <v/>
      </c>
      <c r="AM1252">
        <f>IF($D1252="","",IF(OR($R1252=TRUE(),$R1252="TRUE"),1,0))</f>
        <v/>
      </c>
      <c r="AN1252">
        <f>IF($D1252="","",IF($AA1252="Yes",1,0))</f>
        <v/>
      </c>
      <c r="AO1252">
        <f>IF($AK1252=1,IFERROR(IF(VALUE($D1252)&lt;100000000,VALUE($D1252),1000000000),IFERROR(IF(VALUE(MID($D1252,2,20))&lt;100000000,VALUE(MID($D1252,2,20)),1000000000),1000000000))+ROW()/100000,"")</f>
        <v/>
      </c>
    </row>
    <row r="1253">
      <c r="F1253" s="11" t="n"/>
      <c r="N1253" s="7">
        <f>IF($D1253="","",M1253*X1253/100)</f>
        <v/>
      </c>
      <c r="O1253" s="7" t="n"/>
      <c r="U1253" s="7" t="n"/>
      <c r="V1253" s="7" t="n"/>
      <c r="W1253" s="7">
        <f>IF($D1253="","",V1253*AB1253/100)</f>
        <v/>
      </c>
      <c r="X1253" s="7">
        <f>IF($D1253="","",V1253-W1253)</f>
        <v/>
      </c>
      <c r="Y1253" s="7">
        <f>IF($D1253="","",X1253-N1253)</f>
        <v/>
      </c>
      <c r="AB1253">
        <f>IF($D1253="","",IF($AN1253=1,Settings!$C$8,IF($AM1253=1,Settings!$C$6,Settings!$C$7))*100)</f>
        <v/>
      </c>
      <c r="AF1253" s="7" t="n"/>
      <c r="AI1253" s="11" t="n"/>
      <c r="AK1253">
        <f>IF($D1253="","",IF(COUNTIF($D$2:$D1253,$D1253)=1,1,0))</f>
        <v/>
      </c>
      <c r="AL1253">
        <f>IF($AK1253=1,SUMPRODUCT(--($AO$2:$AO$1601&lt;$AO1253))+1,"")</f>
        <v/>
      </c>
      <c r="AM1253">
        <f>IF($D1253="","",IF(OR($R1253=TRUE(),$R1253="TRUE"),1,0))</f>
        <v/>
      </c>
      <c r="AN1253">
        <f>IF($D1253="","",IF($AA1253="Yes",1,0))</f>
        <v/>
      </c>
      <c r="AO1253">
        <f>IF($AK1253=1,IFERROR(IF(VALUE($D1253)&lt;100000000,VALUE($D1253),1000000000),IFERROR(IF(VALUE(MID($D1253,2,20))&lt;100000000,VALUE(MID($D1253,2,20)),1000000000),1000000000))+ROW()/100000,"")</f>
        <v/>
      </c>
    </row>
    <row r="1254">
      <c r="F1254" s="11" t="n"/>
      <c r="N1254" s="7">
        <f>IF($D1254="","",M1254*X1254/100)</f>
        <v/>
      </c>
      <c r="O1254" s="7" t="n"/>
      <c r="U1254" s="7" t="n"/>
      <c r="V1254" s="7" t="n"/>
      <c r="W1254" s="7">
        <f>IF($D1254="","",V1254*AB1254/100)</f>
        <v/>
      </c>
      <c r="X1254" s="7">
        <f>IF($D1254="","",V1254-W1254)</f>
        <v/>
      </c>
      <c r="Y1254" s="7">
        <f>IF($D1254="","",X1254-N1254)</f>
        <v/>
      </c>
      <c r="AB1254">
        <f>IF($D1254="","",IF($AN1254=1,Settings!$C$8,IF($AM1254=1,Settings!$C$6,Settings!$C$7))*100)</f>
        <v/>
      </c>
      <c r="AF1254" s="7" t="n"/>
      <c r="AI1254" s="11" t="n"/>
      <c r="AK1254">
        <f>IF($D1254="","",IF(COUNTIF($D$2:$D1254,$D1254)=1,1,0))</f>
        <v/>
      </c>
      <c r="AL1254">
        <f>IF($AK1254=1,SUMPRODUCT(--($AO$2:$AO$1601&lt;$AO1254))+1,"")</f>
        <v/>
      </c>
      <c r="AM1254">
        <f>IF($D1254="","",IF(OR($R1254=TRUE(),$R1254="TRUE"),1,0))</f>
        <v/>
      </c>
      <c r="AN1254">
        <f>IF($D1254="","",IF($AA1254="Yes",1,0))</f>
        <v/>
      </c>
      <c r="AO1254">
        <f>IF($AK1254=1,IFERROR(IF(VALUE($D1254)&lt;100000000,VALUE($D1254),1000000000),IFERROR(IF(VALUE(MID($D1254,2,20))&lt;100000000,VALUE(MID($D1254,2,20)),1000000000),1000000000))+ROW()/100000,"")</f>
        <v/>
      </c>
    </row>
    <row r="1255">
      <c r="F1255" s="11" t="n"/>
      <c r="N1255" s="7">
        <f>IF($D1255="","",M1255*X1255/100)</f>
        <v/>
      </c>
      <c r="O1255" s="7" t="n"/>
      <c r="U1255" s="7" t="n"/>
      <c r="V1255" s="7" t="n"/>
      <c r="W1255" s="7">
        <f>IF($D1255="","",V1255*AB1255/100)</f>
        <v/>
      </c>
      <c r="X1255" s="7">
        <f>IF($D1255="","",V1255-W1255)</f>
        <v/>
      </c>
      <c r="Y1255" s="7">
        <f>IF($D1255="","",X1255-N1255)</f>
        <v/>
      </c>
      <c r="AB1255">
        <f>IF($D1255="","",IF($AN1255=1,Settings!$C$8,IF($AM1255=1,Settings!$C$6,Settings!$C$7))*100)</f>
        <v/>
      </c>
      <c r="AF1255" s="7" t="n"/>
      <c r="AI1255" s="11" t="n"/>
      <c r="AK1255">
        <f>IF($D1255="","",IF(COUNTIF($D$2:$D1255,$D1255)=1,1,0))</f>
        <v/>
      </c>
      <c r="AL1255">
        <f>IF($AK1255=1,SUMPRODUCT(--($AO$2:$AO$1601&lt;$AO1255))+1,"")</f>
        <v/>
      </c>
      <c r="AM1255">
        <f>IF($D1255="","",IF(OR($R1255=TRUE(),$R1255="TRUE"),1,0))</f>
        <v/>
      </c>
      <c r="AN1255">
        <f>IF($D1255="","",IF($AA1255="Yes",1,0))</f>
        <v/>
      </c>
      <c r="AO1255">
        <f>IF($AK1255=1,IFERROR(IF(VALUE($D1255)&lt;100000000,VALUE($D1255),1000000000),IFERROR(IF(VALUE(MID($D1255,2,20))&lt;100000000,VALUE(MID($D1255,2,20)),1000000000),1000000000))+ROW()/100000,"")</f>
        <v/>
      </c>
    </row>
    <row r="1256">
      <c r="F1256" s="11" t="n"/>
      <c r="N1256" s="7">
        <f>IF($D1256="","",M1256*X1256/100)</f>
        <v/>
      </c>
      <c r="O1256" s="7" t="n"/>
      <c r="U1256" s="7" t="n"/>
      <c r="V1256" s="7" t="n"/>
      <c r="W1256" s="7">
        <f>IF($D1256="","",V1256*AB1256/100)</f>
        <v/>
      </c>
      <c r="X1256" s="7">
        <f>IF($D1256="","",V1256-W1256)</f>
        <v/>
      </c>
      <c r="Y1256" s="7">
        <f>IF($D1256="","",X1256-N1256)</f>
        <v/>
      </c>
      <c r="AB1256">
        <f>IF($D1256="","",IF($AN1256=1,Settings!$C$8,IF($AM1256=1,Settings!$C$6,Settings!$C$7))*100)</f>
        <v/>
      </c>
      <c r="AF1256" s="7" t="n"/>
      <c r="AI1256" s="11" t="n"/>
      <c r="AK1256">
        <f>IF($D1256="","",IF(COUNTIF($D$2:$D1256,$D1256)=1,1,0))</f>
        <v/>
      </c>
      <c r="AL1256">
        <f>IF($AK1256=1,SUMPRODUCT(--($AO$2:$AO$1601&lt;$AO1256))+1,"")</f>
        <v/>
      </c>
      <c r="AM1256">
        <f>IF($D1256="","",IF(OR($R1256=TRUE(),$R1256="TRUE"),1,0))</f>
        <v/>
      </c>
      <c r="AN1256">
        <f>IF($D1256="","",IF($AA1256="Yes",1,0))</f>
        <v/>
      </c>
      <c r="AO1256">
        <f>IF($AK1256=1,IFERROR(IF(VALUE($D1256)&lt;100000000,VALUE($D1256),1000000000),IFERROR(IF(VALUE(MID($D1256,2,20))&lt;100000000,VALUE(MID($D1256,2,20)),1000000000),1000000000))+ROW()/100000,"")</f>
        <v/>
      </c>
    </row>
    <row r="1257">
      <c r="F1257" s="11" t="n"/>
      <c r="N1257" s="7">
        <f>IF($D1257="","",M1257*X1257/100)</f>
        <v/>
      </c>
      <c r="O1257" s="7" t="n"/>
      <c r="U1257" s="7" t="n"/>
      <c r="V1257" s="7" t="n"/>
      <c r="W1257" s="7">
        <f>IF($D1257="","",V1257*AB1257/100)</f>
        <v/>
      </c>
      <c r="X1257" s="7">
        <f>IF($D1257="","",V1257-W1257)</f>
        <v/>
      </c>
      <c r="Y1257" s="7">
        <f>IF($D1257="","",X1257-N1257)</f>
        <v/>
      </c>
      <c r="AB1257">
        <f>IF($D1257="","",IF($AN1257=1,Settings!$C$8,IF($AM1257=1,Settings!$C$6,Settings!$C$7))*100)</f>
        <v/>
      </c>
      <c r="AF1257" s="7" t="n"/>
      <c r="AI1257" s="11" t="n"/>
      <c r="AK1257">
        <f>IF($D1257="","",IF(COUNTIF($D$2:$D1257,$D1257)=1,1,0))</f>
        <v/>
      </c>
      <c r="AL1257">
        <f>IF($AK1257=1,SUMPRODUCT(--($AO$2:$AO$1601&lt;$AO1257))+1,"")</f>
        <v/>
      </c>
      <c r="AM1257">
        <f>IF($D1257="","",IF(OR($R1257=TRUE(),$R1257="TRUE"),1,0))</f>
        <v/>
      </c>
      <c r="AN1257">
        <f>IF($D1257="","",IF($AA1257="Yes",1,0))</f>
        <v/>
      </c>
      <c r="AO1257">
        <f>IF($AK1257=1,IFERROR(IF(VALUE($D1257)&lt;100000000,VALUE($D1257),1000000000),IFERROR(IF(VALUE(MID($D1257,2,20))&lt;100000000,VALUE(MID($D1257,2,20)),1000000000),1000000000))+ROW()/100000,"")</f>
        <v/>
      </c>
    </row>
    <row r="1258">
      <c r="F1258" s="11" t="n"/>
      <c r="N1258" s="7">
        <f>IF($D1258="","",M1258*X1258/100)</f>
        <v/>
      </c>
      <c r="O1258" s="7" t="n"/>
      <c r="U1258" s="7" t="n"/>
      <c r="V1258" s="7" t="n"/>
      <c r="W1258" s="7">
        <f>IF($D1258="","",V1258*AB1258/100)</f>
        <v/>
      </c>
      <c r="X1258" s="7">
        <f>IF($D1258="","",V1258-W1258)</f>
        <v/>
      </c>
      <c r="Y1258" s="7">
        <f>IF($D1258="","",X1258-N1258)</f>
        <v/>
      </c>
      <c r="AB1258">
        <f>IF($D1258="","",IF($AN1258=1,Settings!$C$8,IF($AM1258=1,Settings!$C$6,Settings!$C$7))*100)</f>
        <v/>
      </c>
      <c r="AF1258" s="7" t="n"/>
      <c r="AI1258" s="11" t="n"/>
      <c r="AK1258">
        <f>IF($D1258="","",IF(COUNTIF($D$2:$D1258,$D1258)=1,1,0))</f>
        <v/>
      </c>
      <c r="AL1258">
        <f>IF($AK1258=1,SUMPRODUCT(--($AO$2:$AO$1601&lt;$AO1258))+1,"")</f>
        <v/>
      </c>
      <c r="AM1258">
        <f>IF($D1258="","",IF(OR($R1258=TRUE(),$R1258="TRUE"),1,0))</f>
        <v/>
      </c>
      <c r="AN1258">
        <f>IF($D1258="","",IF($AA1258="Yes",1,0))</f>
        <v/>
      </c>
      <c r="AO1258">
        <f>IF($AK1258=1,IFERROR(IF(VALUE($D1258)&lt;100000000,VALUE($D1258),1000000000),IFERROR(IF(VALUE(MID($D1258,2,20))&lt;100000000,VALUE(MID($D1258,2,20)),1000000000),1000000000))+ROW()/100000,"")</f>
        <v/>
      </c>
    </row>
    <row r="1259">
      <c r="F1259" s="11" t="n"/>
      <c r="N1259" s="7">
        <f>IF($D1259="","",M1259*X1259/100)</f>
        <v/>
      </c>
      <c r="O1259" s="7" t="n"/>
      <c r="U1259" s="7" t="n"/>
      <c r="V1259" s="7" t="n"/>
      <c r="W1259" s="7">
        <f>IF($D1259="","",V1259*AB1259/100)</f>
        <v/>
      </c>
      <c r="X1259" s="7">
        <f>IF($D1259="","",V1259-W1259)</f>
        <v/>
      </c>
      <c r="Y1259" s="7">
        <f>IF($D1259="","",X1259-N1259)</f>
        <v/>
      </c>
      <c r="AB1259">
        <f>IF($D1259="","",IF($AN1259=1,Settings!$C$8,IF($AM1259=1,Settings!$C$6,Settings!$C$7))*100)</f>
        <v/>
      </c>
      <c r="AF1259" s="7" t="n"/>
      <c r="AI1259" s="11" t="n"/>
      <c r="AK1259">
        <f>IF($D1259="","",IF(COUNTIF($D$2:$D1259,$D1259)=1,1,0))</f>
        <v/>
      </c>
      <c r="AL1259">
        <f>IF($AK1259=1,SUMPRODUCT(--($AO$2:$AO$1601&lt;$AO1259))+1,"")</f>
        <v/>
      </c>
      <c r="AM1259">
        <f>IF($D1259="","",IF(OR($R1259=TRUE(),$R1259="TRUE"),1,0))</f>
        <v/>
      </c>
      <c r="AN1259">
        <f>IF($D1259="","",IF($AA1259="Yes",1,0))</f>
        <v/>
      </c>
      <c r="AO1259">
        <f>IF($AK1259=1,IFERROR(IF(VALUE($D1259)&lt;100000000,VALUE($D1259),1000000000),IFERROR(IF(VALUE(MID($D1259,2,20))&lt;100000000,VALUE(MID($D1259,2,20)),1000000000),1000000000))+ROW()/100000,"")</f>
        <v/>
      </c>
    </row>
    <row r="1260">
      <c r="F1260" s="11" t="n"/>
      <c r="N1260" s="7">
        <f>IF($D1260="","",M1260*X1260/100)</f>
        <v/>
      </c>
      <c r="O1260" s="7" t="n"/>
      <c r="U1260" s="7" t="n"/>
      <c r="V1260" s="7" t="n"/>
      <c r="W1260" s="7">
        <f>IF($D1260="","",V1260*AB1260/100)</f>
        <v/>
      </c>
      <c r="X1260" s="7">
        <f>IF($D1260="","",V1260-W1260)</f>
        <v/>
      </c>
      <c r="Y1260" s="7">
        <f>IF($D1260="","",X1260-N1260)</f>
        <v/>
      </c>
      <c r="AB1260">
        <f>IF($D1260="","",IF($AN1260=1,Settings!$C$8,IF($AM1260=1,Settings!$C$6,Settings!$C$7))*100)</f>
        <v/>
      </c>
      <c r="AF1260" s="7" t="n"/>
      <c r="AI1260" s="11" t="n"/>
      <c r="AK1260">
        <f>IF($D1260="","",IF(COUNTIF($D$2:$D1260,$D1260)=1,1,0))</f>
        <v/>
      </c>
      <c r="AL1260">
        <f>IF($AK1260=1,SUMPRODUCT(--($AO$2:$AO$1601&lt;$AO1260))+1,"")</f>
        <v/>
      </c>
      <c r="AM1260">
        <f>IF($D1260="","",IF(OR($R1260=TRUE(),$R1260="TRUE"),1,0))</f>
        <v/>
      </c>
      <c r="AN1260">
        <f>IF($D1260="","",IF($AA1260="Yes",1,0))</f>
        <v/>
      </c>
      <c r="AO1260">
        <f>IF($AK1260=1,IFERROR(IF(VALUE($D1260)&lt;100000000,VALUE($D1260),1000000000),IFERROR(IF(VALUE(MID($D1260,2,20))&lt;100000000,VALUE(MID($D1260,2,20)),1000000000),1000000000))+ROW()/100000,"")</f>
        <v/>
      </c>
    </row>
    <row r="1261">
      <c r="F1261" s="11" t="n"/>
      <c r="N1261" s="7">
        <f>IF($D1261="","",M1261*X1261/100)</f>
        <v/>
      </c>
      <c r="O1261" s="7" t="n"/>
      <c r="U1261" s="7" t="n"/>
      <c r="V1261" s="7" t="n"/>
      <c r="W1261" s="7">
        <f>IF($D1261="","",V1261*AB1261/100)</f>
        <v/>
      </c>
      <c r="X1261" s="7">
        <f>IF($D1261="","",V1261-W1261)</f>
        <v/>
      </c>
      <c r="Y1261" s="7">
        <f>IF($D1261="","",X1261-N1261)</f>
        <v/>
      </c>
      <c r="AB1261">
        <f>IF($D1261="","",IF($AN1261=1,Settings!$C$8,IF($AM1261=1,Settings!$C$6,Settings!$C$7))*100)</f>
        <v/>
      </c>
      <c r="AF1261" s="7" t="n"/>
      <c r="AI1261" s="11" t="n"/>
      <c r="AK1261">
        <f>IF($D1261="","",IF(COUNTIF($D$2:$D1261,$D1261)=1,1,0))</f>
        <v/>
      </c>
      <c r="AL1261">
        <f>IF($AK1261=1,SUMPRODUCT(--($AO$2:$AO$1601&lt;$AO1261))+1,"")</f>
        <v/>
      </c>
      <c r="AM1261">
        <f>IF($D1261="","",IF(OR($R1261=TRUE(),$R1261="TRUE"),1,0))</f>
        <v/>
      </c>
      <c r="AN1261">
        <f>IF($D1261="","",IF($AA1261="Yes",1,0))</f>
        <v/>
      </c>
      <c r="AO1261">
        <f>IF($AK1261=1,IFERROR(IF(VALUE($D1261)&lt;100000000,VALUE($D1261),1000000000),IFERROR(IF(VALUE(MID($D1261,2,20))&lt;100000000,VALUE(MID($D1261,2,20)),1000000000),1000000000))+ROW()/100000,"")</f>
        <v/>
      </c>
    </row>
    <row r="1262">
      <c r="F1262" s="11" t="n"/>
      <c r="N1262" s="7">
        <f>IF($D1262="","",M1262*X1262/100)</f>
        <v/>
      </c>
      <c r="O1262" s="7" t="n"/>
      <c r="U1262" s="7" t="n"/>
      <c r="V1262" s="7" t="n"/>
      <c r="W1262" s="7">
        <f>IF($D1262="","",V1262*AB1262/100)</f>
        <v/>
      </c>
      <c r="X1262" s="7">
        <f>IF($D1262="","",V1262-W1262)</f>
        <v/>
      </c>
      <c r="Y1262" s="7">
        <f>IF($D1262="","",X1262-N1262)</f>
        <v/>
      </c>
      <c r="AB1262">
        <f>IF($D1262="","",IF($AN1262=1,Settings!$C$8,IF($AM1262=1,Settings!$C$6,Settings!$C$7))*100)</f>
        <v/>
      </c>
      <c r="AF1262" s="7" t="n"/>
      <c r="AI1262" s="11" t="n"/>
      <c r="AK1262">
        <f>IF($D1262="","",IF(COUNTIF($D$2:$D1262,$D1262)=1,1,0))</f>
        <v/>
      </c>
      <c r="AL1262">
        <f>IF($AK1262=1,SUMPRODUCT(--($AO$2:$AO$1601&lt;$AO1262))+1,"")</f>
        <v/>
      </c>
      <c r="AM1262">
        <f>IF($D1262="","",IF(OR($R1262=TRUE(),$R1262="TRUE"),1,0))</f>
        <v/>
      </c>
      <c r="AN1262">
        <f>IF($D1262="","",IF($AA1262="Yes",1,0))</f>
        <v/>
      </c>
      <c r="AO1262">
        <f>IF($AK1262=1,IFERROR(IF(VALUE($D1262)&lt;100000000,VALUE($D1262),1000000000),IFERROR(IF(VALUE(MID($D1262,2,20))&lt;100000000,VALUE(MID($D1262,2,20)),1000000000),1000000000))+ROW()/100000,"")</f>
        <v/>
      </c>
    </row>
    <row r="1263">
      <c r="F1263" s="11" t="n"/>
      <c r="N1263" s="7">
        <f>IF($D1263="","",M1263*X1263/100)</f>
        <v/>
      </c>
      <c r="O1263" s="7" t="n"/>
      <c r="U1263" s="7" t="n"/>
      <c r="V1263" s="7" t="n"/>
      <c r="W1263" s="7">
        <f>IF($D1263="","",V1263*AB1263/100)</f>
        <v/>
      </c>
      <c r="X1263" s="7">
        <f>IF($D1263="","",V1263-W1263)</f>
        <v/>
      </c>
      <c r="Y1263" s="7">
        <f>IF($D1263="","",X1263-N1263)</f>
        <v/>
      </c>
      <c r="AB1263">
        <f>IF($D1263="","",IF($AN1263=1,Settings!$C$8,IF($AM1263=1,Settings!$C$6,Settings!$C$7))*100)</f>
        <v/>
      </c>
      <c r="AF1263" s="7" t="n"/>
      <c r="AI1263" s="11" t="n"/>
      <c r="AK1263">
        <f>IF($D1263="","",IF(COUNTIF($D$2:$D1263,$D1263)=1,1,0))</f>
        <v/>
      </c>
      <c r="AL1263">
        <f>IF($AK1263=1,SUMPRODUCT(--($AO$2:$AO$1601&lt;$AO1263))+1,"")</f>
        <v/>
      </c>
      <c r="AM1263">
        <f>IF($D1263="","",IF(OR($R1263=TRUE(),$R1263="TRUE"),1,0))</f>
        <v/>
      </c>
      <c r="AN1263">
        <f>IF($D1263="","",IF($AA1263="Yes",1,0))</f>
        <v/>
      </c>
      <c r="AO1263">
        <f>IF($AK1263=1,IFERROR(IF(VALUE($D1263)&lt;100000000,VALUE($D1263),1000000000),IFERROR(IF(VALUE(MID($D1263,2,20))&lt;100000000,VALUE(MID($D1263,2,20)),1000000000),1000000000))+ROW()/100000,"")</f>
        <v/>
      </c>
    </row>
    <row r="1264">
      <c r="F1264" s="11" t="n"/>
      <c r="N1264" s="7">
        <f>IF($D1264="","",M1264*X1264/100)</f>
        <v/>
      </c>
      <c r="O1264" s="7" t="n"/>
      <c r="U1264" s="7" t="n"/>
      <c r="V1264" s="7" t="n"/>
      <c r="W1264" s="7">
        <f>IF($D1264="","",V1264*AB1264/100)</f>
        <v/>
      </c>
      <c r="X1264" s="7">
        <f>IF($D1264="","",V1264-W1264)</f>
        <v/>
      </c>
      <c r="Y1264" s="7">
        <f>IF($D1264="","",X1264-N1264)</f>
        <v/>
      </c>
      <c r="AB1264">
        <f>IF($D1264="","",IF($AN1264=1,Settings!$C$8,IF($AM1264=1,Settings!$C$6,Settings!$C$7))*100)</f>
        <v/>
      </c>
      <c r="AF1264" s="7" t="n"/>
      <c r="AI1264" s="11" t="n"/>
      <c r="AK1264">
        <f>IF($D1264="","",IF(COUNTIF($D$2:$D1264,$D1264)=1,1,0))</f>
        <v/>
      </c>
      <c r="AL1264">
        <f>IF($AK1264=1,SUMPRODUCT(--($AO$2:$AO$1601&lt;$AO1264))+1,"")</f>
        <v/>
      </c>
      <c r="AM1264">
        <f>IF($D1264="","",IF(OR($R1264=TRUE(),$R1264="TRUE"),1,0))</f>
        <v/>
      </c>
      <c r="AN1264">
        <f>IF($D1264="","",IF($AA1264="Yes",1,0))</f>
        <v/>
      </c>
      <c r="AO1264">
        <f>IF($AK1264=1,IFERROR(IF(VALUE($D1264)&lt;100000000,VALUE($D1264),1000000000),IFERROR(IF(VALUE(MID($D1264,2,20))&lt;100000000,VALUE(MID($D1264,2,20)),1000000000),1000000000))+ROW()/100000,"")</f>
        <v/>
      </c>
    </row>
    <row r="1265">
      <c r="F1265" s="11" t="n"/>
      <c r="N1265" s="7">
        <f>IF($D1265="","",M1265*X1265/100)</f>
        <v/>
      </c>
      <c r="O1265" s="7" t="n"/>
      <c r="U1265" s="7" t="n"/>
      <c r="V1265" s="7" t="n"/>
      <c r="W1265" s="7">
        <f>IF($D1265="","",V1265*AB1265/100)</f>
        <v/>
      </c>
      <c r="X1265" s="7">
        <f>IF($D1265="","",V1265-W1265)</f>
        <v/>
      </c>
      <c r="Y1265" s="7">
        <f>IF($D1265="","",X1265-N1265)</f>
        <v/>
      </c>
      <c r="AB1265">
        <f>IF($D1265="","",IF($AN1265=1,Settings!$C$8,IF($AM1265=1,Settings!$C$6,Settings!$C$7))*100)</f>
        <v/>
      </c>
      <c r="AF1265" s="7" t="n"/>
      <c r="AI1265" s="11" t="n"/>
      <c r="AK1265">
        <f>IF($D1265="","",IF(COUNTIF($D$2:$D1265,$D1265)=1,1,0))</f>
        <v/>
      </c>
      <c r="AL1265">
        <f>IF($AK1265=1,SUMPRODUCT(--($AO$2:$AO$1601&lt;$AO1265))+1,"")</f>
        <v/>
      </c>
      <c r="AM1265">
        <f>IF($D1265="","",IF(OR($R1265=TRUE(),$R1265="TRUE"),1,0))</f>
        <v/>
      </c>
      <c r="AN1265">
        <f>IF($D1265="","",IF($AA1265="Yes",1,0))</f>
        <v/>
      </c>
      <c r="AO1265">
        <f>IF($AK1265=1,IFERROR(IF(VALUE($D1265)&lt;100000000,VALUE($D1265),1000000000),IFERROR(IF(VALUE(MID($D1265,2,20))&lt;100000000,VALUE(MID($D1265,2,20)),1000000000),1000000000))+ROW()/100000,"")</f>
        <v/>
      </c>
    </row>
    <row r="1266">
      <c r="F1266" s="11" t="n"/>
      <c r="N1266" s="7">
        <f>IF($D1266="","",M1266*X1266/100)</f>
        <v/>
      </c>
      <c r="O1266" s="7" t="n"/>
      <c r="U1266" s="7" t="n"/>
      <c r="V1266" s="7" t="n"/>
      <c r="W1266" s="7">
        <f>IF($D1266="","",V1266*AB1266/100)</f>
        <v/>
      </c>
      <c r="X1266" s="7">
        <f>IF($D1266="","",V1266-W1266)</f>
        <v/>
      </c>
      <c r="Y1266" s="7">
        <f>IF($D1266="","",X1266-N1266)</f>
        <v/>
      </c>
      <c r="AB1266">
        <f>IF($D1266="","",IF($AN1266=1,Settings!$C$8,IF($AM1266=1,Settings!$C$6,Settings!$C$7))*100)</f>
        <v/>
      </c>
      <c r="AF1266" s="7" t="n"/>
      <c r="AI1266" s="11" t="n"/>
      <c r="AK1266">
        <f>IF($D1266="","",IF(COUNTIF($D$2:$D1266,$D1266)=1,1,0))</f>
        <v/>
      </c>
      <c r="AL1266">
        <f>IF($AK1266=1,SUMPRODUCT(--($AO$2:$AO$1601&lt;$AO1266))+1,"")</f>
        <v/>
      </c>
      <c r="AM1266">
        <f>IF($D1266="","",IF(OR($R1266=TRUE(),$R1266="TRUE"),1,0))</f>
        <v/>
      </c>
      <c r="AN1266">
        <f>IF($D1266="","",IF($AA1266="Yes",1,0))</f>
        <v/>
      </c>
      <c r="AO1266">
        <f>IF($AK1266=1,IFERROR(IF(VALUE($D1266)&lt;100000000,VALUE($D1266),1000000000),IFERROR(IF(VALUE(MID($D1266,2,20))&lt;100000000,VALUE(MID($D1266,2,20)),1000000000),1000000000))+ROW()/100000,"")</f>
        <v/>
      </c>
    </row>
    <row r="1267">
      <c r="F1267" s="11" t="n"/>
      <c r="N1267" s="7">
        <f>IF($D1267="","",M1267*X1267/100)</f>
        <v/>
      </c>
      <c r="O1267" s="7" t="n"/>
      <c r="U1267" s="7" t="n"/>
      <c r="V1267" s="7" t="n"/>
      <c r="W1267" s="7">
        <f>IF($D1267="","",V1267*AB1267/100)</f>
        <v/>
      </c>
      <c r="X1267" s="7">
        <f>IF($D1267="","",V1267-W1267)</f>
        <v/>
      </c>
      <c r="Y1267" s="7">
        <f>IF($D1267="","",X1267-N1267)</f>
        <v/>
      </c>
      <c r="AB1267">
        <f>IF($D1267="","",IF($AN1267=1,Settings!$C$8,IF($AM1267=1,Settings!$C$6,Settings!$C$7))*100)</f>
        <v/>
      </c>
      <c r="AF1267" s="7" t="n"/>
      <c r="AI1267" s="11" t="n"/>
      <c r="AK1267">
        <f>IF($D1267="","",IF(COUNTIF($D$2:$D1267,$D1267)=1,1,0))</f>
        <v/>
      </c>
      <c r="AL1267">
        <f>IF($AK1267=1,SUMPRODUCT(--($AO$2:$AO$1601&lt;$AO1267))+1,"")</f>
        <v/>
      </c>
      <c r="AM1267">
        <f>IF($D1267="","",IF(OR($R1267=TRUE(),$R1267="TRUE"),1,0))</f>
        <v/>
      </c>
      <c r="AN1267">
        <f>IF($D1267="","",IF($AA1267="Yes",1,0))</f>
        <v/>
      </c>
      <c r="AO1267">
        <f>IF($AK1267=1,IFERROR(IF(VALUE($D1267)&lt;100000000,VALUE($D1267),1000000000),IFERROR(IF(VALUE(MID($D1267,2,20))&lt;100000000,VALUE(MID($D1267,2,20)),1000000000),1000000000))+ROW()/100000,"")</f>
        <v/>
      </c>
    </row>
    <row r="1268">
      <c r="F1268" s="11" t="n"/>
      <c r="N1268" s="7">
        <f>IF($D1268="","",M1268*X1268/100)</f>
        <v/>
      </c>
      <c r="O1268" s="7" t="n"/>
      <c r="U1268" s="7" t="n"/>
      <c r="V1268" s="7" t="n"/>
      <c r="W1268" s="7">
        <f>IF($D1268="","",V1268*AB1268/100)</f>
        <v/>
      </c>
      <c r="X1268" s="7">
        <f>IF($D1268="","",V1268-W1268)</f>
        <v/>
      </c>
      <c r="Y1268" s="7">
        <f>IF($D1268="","",X1268-N1268)</f>
        <v/>
      </c>
      <c r="AB1268">
        <f>IF($D1268="","",IF($AN1268=1,Settings!$C$8,IF($AM1268=1,Settings!$C$6,Settings!$C$7))*100)</f>
        <v/>
      </c>
      <c r="AF1268" s="7" t="n"/>
      <c r="AI1268" s="11" t="n"/>
      <c r="AK1268">
        <f>IF($D1268="","",IF(COUNTIF($D$2:$D1268,$D1268)=1,1,0))</f>
        <v/>
      </c>
      <c r="AL1268">
        <f>IF($AK1268=1,SUMPRODUCT(--($AO$2:$AO$1601&lt;$AO1268))+1,"")</f>
        <v/>
      </c>
      <c r="AM1268">
        <f>IF($D1268="","",IF(OR($R1268=TRUE(),$R1268="TRUE"),1,0))</f>
        <v/>
      </c>
      <c r="AN1268">
        <f>IF($D1268="","",IF($AA1268="Yes",1,0))</f>
        <v/>
      </c>
      <c r="AO1268">
        <f>IF($AK1268=1,IFERROR(IF(VALUE($D1268)&lt;100000000,VALUE($D1268),1000000000),IFERROR(IF(VALUE(MID($D1268,2,20))&lt;100000000,VALUE(MID($D1268,2,20)),1000000000),1000000000))+ROW()/100000,"")</f>
        <v/>
      </c>
    </row>
    <row r="1269">
      <c r="F1269" s="11" t="n"/>
      <c r="N1269" s="7">
        <f>IF($D1269="","",M1269*X1269/100)</f>
        <v/>
      </c>
      <c r="O1269" s="7" t="n"/>
      <c r="U1269" s="7" t="n"/>
      <c r="V1269" s="7" t="n"/>
      <c r="W1269" s="7">
        <f>IF($D1269="","",V1269*AB1269/100)</f>
        <v/>
      </c>
      <c r="X1269" s="7">
        <f>IF($D1269="","",V1269-W1269)</f>
        <v/>
      </c>
      <c r="Y1269" s="7">
        <f>IF($D1269="","",X1269-N1269)</f>
        <v/>
      </c>
      <c r="AB1269">
        <f>IF($D1269="","",IF($AN1269=1,Settings!$C$8,IF($AM1269=1,Settings!$C$6,Settings!$C$7))*100)</f>
        <v/>
      </c>
      <c r="AF1269" s="7" t="n"/>
      <c r="AI1269" s="11" t="n"/>
      <c r="AK1269">
        <f>IF($D1269="","",IF(COUNTIF($D$2:$D1269,$D1269)=1,1,0))</f>
        <v/>
      </c>
      <c r="AL1269">
        <f>IF($AK1269=1,SUMPRODUCT(--($AO$2:$AO$1601&lt;$AO1269))+1,"")</f>
        <v/>
      </c>
      <c r="AM1269">
        <f>IF($D1269="","",IF(OR($R1269=TRUE(),$R1269="TRUE"),1,0))</f>
        <v/>
      </c>
      <c r="AN1269">
        <f>IF($D1269="","",IF($AA1269="Yes",1,0))</f>
        <v/>
      </c>
      <c r="AO1269">
        <f>IF($AK1269=1,IFERROR(IF(VALUE($D1269)&lt;100000000,VALUE($D1269),1000000000),IFERROR(IF(VALUE(MID($D1269,2,20))&lt;100000000,VALUE(MID($D1269,2,20)),1000000000),1000000000))+ROW()/100000,"")</f>
        <v/>
      </c>
    </row>
    <row r="1270">
      <c r="F1270" s="11" t="n"/>
      <c r="N1270" s="7">
        <f>IF($D1270="","",M1270*X1270/100)</f>
        <v/>
      </c>
      <c r="O1270" s="7" t="n"/>
      <c r="U1270" s="7" t="n"/>
      <c r="V1270" s="7" t="n"/>
      <c r="W1270" s="7">
        <f>IF($D1270="","",V1270*AB1270/100)</f>
        <v/>
      </c>
      <c r="X1270" s="7">
        <f>IF($D1270="","",V1270-W1270)</f>
        <v/>
      </c>
      <c r="Y1270" s="7">
        <f>IF($D1270="","",X1270-N1270)</f>
        <v/>
      </c>
      <c r="AB1270">
        <f>IF($D1270="","",IF($AN1270=1,Settings!$C$8,IF($AM1270=1,Settings!$C$6,Settings!$C$7))*100)</f>
        <v/>
      </c>
      <c r="AF1270" s="7" t="n"/>
      <c r="AI1270" s="11" t="n"/>
      <c r="AK1270">
        <f>IF($D1270="","",IF(COUNTIF($D$2:$D1270,$D1270)=1,1,0))</f>
        <v/>
      </c>
      <c r="AL1270">
        <f>IF($AK1270=1,SUMPRODUCT(--($AO$2:$AO$1601&lt;$AO1270))+1,"")</f>
        <v/>
      </c>
      <c r="AM1270">
        <f>IF($D1270="","",IF(OR($R1270=TRUE(),$R1270="TRUE"),1,0))</f>
        <v/>
      </c>
      <c r="AN1270">
        <f>IF($D1270="","",IF($AA1270="Yes",1,0))</f>
        <v/>
      </c>
      <c r="AO1270">
        <f>IF($AK1270=1,IFERROR(IF(VALUE($D1270)&lt;100000000,VALUE($D1270),1000000000),IFERROR(IF(VALUE(MID($D1270,2,20))&lt;100000000,VALUE(MID($D1270,2,20)),1000000000),1000000000))+ROW()/100000,"")</f>
        <v/>
      </c>
    </row>
    <row r="1271">
      <c r="F1271" s="11" t="n"/>
      <c r="N1271" s="7">
        <f>IF($D1271="","",M1271*X1271/100)</f>
        <v/>
      </c>
      <c r="O1271" s="7" t="n"/>
      <c r="U1271" s="7" t="n"/>
      <c r="V1271" s="7" t="n"/>
      <c r="W1271" s="7">
        <f>IF($D1271="","",V1271*AB1271/100)</f>
        <v/>
      </c>
      <c r="X1271" s="7">
        <f>IF($D1271="","",V1271-W1271)</f>
        <v/>
      </c>
      <c r="Y1271" s="7">
        <f>IF($D1271="","",X1271-N1271)</f>
        <v/>
      </c>
      <c r="AB1271">
        <f>IF($D1271="","",IF($AN1271=1,Settings!$C$8,IF($AM1271=1,Settings!$C$6,Settings!$C$7))*100)</f>
        <v/>
      </c>
      <c r="AF1271" s="7" t="n"/>
      <c r="AI1271" s="11" t="n"/>
      <c r="AK1271">
        <f>IF($D1271="","",IF(COUNTIF($D$2:$D1271,$D1271)=1,1,0))</f>
        <v/>
      </c>
      <c r="AL1271">
        <f>IF($AK1271=1,SUMPRODUCT(--($AO$2:$AO$1601&lt;$AO1271))+1,"")</f>
        <v/>
      </c>
      <c r="AM1271">
        <f>IF($D1271="","",IF(OR($R1271=TRUE(),$R1271="TRUE"),1,0))</f>
        <v/>
      </c>
      <c r="AN1271">
        <f>IF($D1271="","",IF($AA1271="Yes",1,0))</f>
        <v/>
      </c>
      <c r="AO1271">
        <f>IF($AK1271=1,IFERROR(IF(VALUE($D1271)&lt;100000000,VALUE($D1271),1000000000),IFERROR(IF(VALUE(MID($D1271,2,20))&lt;100000000,VALUE(MID($D1271,2,20)),1000000000),1000000000))+ROW()/100000,"")</f>
        <v/>
      </c>
    </row>
    <row r="1272">
      <c r="F1272" s="11" t="n"/>
      <c r="N1272" s="7">
        <f>IF($D1272="","",M1272*X1272/100)</f>
        <v/>
      </c>
      <c r="O1272" s="7" t="n"/>
      <c r="U1272" s="7" t="n"/>
      <c r="V1272" s="7" t="n"/>
      <c r="W1272" s="7">
        <f>IF($D1272="","",V1272*AB1272/100)</f>
        <v/>
      </c>
      <c r="X1272" s="7">
        <f>IF($D1272="","",V1272-W1272)</f>
        <v/>
      </c>
      <c r="Y1272" s="7">
        <f>IF($D1272="","",X1272-N1272)</f>
        <v/>
      </c>
      <c r="AB1272">
        <f>IF($D1272="","",IF($AN1272=1,Settings!$C$8,IF($AM1272=1,Settings!$C$6,Settings!$C$7))*100)</f>
        <v/>
      </c>
      <c r="AF1272" s="7" t="n"/>
      <c r="AI1272" s="11" t="n"/>
      <c r="AK1272">
        <f>IF($D1272="","",IF(COUNTIF($D$2:$D1272,$D1272)=1,1,0))</f>
        <v/>
      </c>
      <c r="AL1272">
        <f>IF($AK1272=1,SUMPRODUCT(--($AO$2:$AO$1601&lt;$AO1272))+1,"")</f>
        <v/>
      </c>
      <c r="AM1272">
        <f>IF($D1272="","",IF(OR($R1272=TRUE(),$R1272="TRUE"),1,0))</f>
        <v/>
      </c>
      <c r="AN1272">
        <f>IF($D1272="","",IF($AA1272="Yes",1,0))</f>
        <v/>
      </c>
      <c r="AO1272">
        <f>IF($AK1272=1,IFERROR(IF(VALUE($D1272)&lt;100000000,VALUE($D1272),1000000000),IFERROR(IF(VALUE(MID($D1272,2,20))&lt;100000000,VALUE(MID($D1272,2,20)),1000000000),1000000000))+ROW()/100000,"")</f>
        <v/>
      </c>
    </row>
    <row r="1273">
      <c r="F1273" s="11" t="n"/>
      <c r="N1273" s="7">
        <f>IF($D1273="","",M1273*X1273/100)</f>
        <v/>
      </c>
      <c r="O1273" s="7" t="n"/>
      <c r="U1273" s="7" t="n"/>
      <c r="V1273" s="7" t="n"/>
      <c r="W1273" s="7">
        <f>IF($D1273="","",V1273*AB1273/100)</f>
        <v/>
      </c>
      <c r="X1273" s="7">
        <f>IF($D1273="","",V1273-W1273)</f>
        <v/>
      </c>
      <c r="Y1273" s="7">
        <f>IF($D1273="","",X1273-N1273)</f>
        <v/>
      </c>
      <c r="AB1273">
        <f>IF($D1273="","",IF($AN1273=1,Settings!$C$8,IF($AM1273=1,Settings!$C$6,Settings!$C$7))*100)</f>
        <v/>
      </c>
      <c r="AF1273" s="7" t="n"/>
      <c r="AI1273" s="11" t="n"/>
      <c r="AK1273">
        <f>IF($D1273="","",IF(COUNTIF($D$2:$D1273,$D1273)=1,1,0))</f>
        <v/>
      </c>
      <c r="AL1273">
        <f>IF($AK1273=1,SUMPRODUCT(--($AO$2:$AO$1601&lt;$AO1273))+1,"")</f>
        <v/>
      </c>
      <c r="AM1273">
        <f>IF($D1273="","",IF(OR($R1273=TRUE(),$R1273="TRUE"),1,0))</f>
        <v/>
      </c>
      <c r="AN1273">
        <f>IF($D1273="","",IF($AA1273="Yes",1,0))</f>
        <v/>
      </c>
      <c r="AO1273">
        <f>IF($AK1273=1,IFERROR(IF(VALUE($D1273)&lt;100000000,VALUE($D1273),1000000000),IFERROR(IF(VALUE(MID($D1273,2,20))&lt;100000000,VALUE(MID($D1273,2,20)),1000000000),1000000000))+ROW()/100000,"")</f>
        <v/>
      </c>
    </row>
    <row r="1274">
      <c r="F1274" s="11" t="n"/>
      <c r="N1274" s="7">
        <f>IF($D1274="","",M1274*X1274/100)</f>
        <v/>
      </c>
      <c r="O1274" s="7" t="n"/>
      <c r="U1274" s="7" t="n"/>
      <c r="V1274" s="7" t="n"/>
      <c r="W1274" s="7">
        <f>IF($D1274="","",V1274*AB1274/100)</f>
        <v/>
      </c>
      <c r="X1274" s="7">
        <f>IF($D1274="","",V1274-W1274)</f>
        <v/>
      </c>
      <c r="Y1274" s="7">
        <f>IF($D1274="","",X1274-N1274)</f>
        <v/>
      </c>
      <c r="AB1274">
        <f>IF($D1274="","",IF($AN1274=1,Settings!$C$8,IF($AM1274=1,Settings!$C$6,Settings!$C$7))*100)</f>
        <v/>
      </c>
      <c r="AF1274" s="7" t="n"/>
      <c r="AI1274" s="11" t="n"/>
      <c r="AK1274">
        <f>IF($D1274="","",IF(COUNTIF($D$2:$D1274,$D1274)=1,1,0))</f>
        <v/>
      </c>
      <c r="AL1274">
        <f>IF($AK1274=1,SUMPRODUCT(--($AO$2:$AO$1601&lt;$AO1274))+1,"")</f>
        <v/>
      </c>
      <c r="AM1274">
        <f>IF($D1274="","",IF(OR($R1274=TRUE(),$R1274="TRUE"),1,0))</f>
        <v/>
      </c>
      <c r="AN1274">
        <f>IF($D1274="","",IF($AA1274="Yes",1,0))</f>
        <v/>
      </c>
      <c r="AO1274">
        <f>IF($AK1274=1,IFERROR(IF(VALUE($D1274)&lt;100000000,VALUE($D1274),1000000000),IFERROR(IF(VALUE(MID($D1274,2,20))&lt;100000000,VALUE(MID($D1274,2,20)),1000000000),1000000000))+ROW()/100000,"")</f>
        <v/>
      </c>
    </row>
    <row r="1275">
      <c r="F1275" s="11" t="n"/>
      <c r="N1275" s="7">
        <f>IF($D1275="","",M1275*X1275/100)</f>
        <v/>
      </c>
      <c r="O1275" s="7" t="n"/>
      <c r="U1275" s="7" t="n"/>
      <c r="V1275" s="7" t="n"/>
      <c r="W1275" s="7">
        <f>IF($D1275="","",V1275*AB1275/100)</f>
        <v/>
      </c>
      <c r="X1275" s="7">
        <f>IF($D1275="","",V1275-W1275)</f>
        <v/>
      </c>
      <c r="Y1275" s="7">
        <f>IF($D1275="","",X1275-N1275)</f>
        <v/>
      </c>
      <c r="AB1275">
        <f>IF($D1275="","",IF($AN1275=1,Settings!$C$8,IF($AM1275=1,Settings!$C$6,Settings!$C$7))*100)</f>
        <v/>
      </c>
      <c r="AF1275" s="7" t="n"/>
      <c r="AI1275" s="11" t="n"/>
      <c r="AK1275">
        <f>IF($D1275="","",IF(COUNTIF($D$2:$D1275,$D1275)=1,1,0))</f>
        <v/>
      </c>
      <c r="AL1275">
        <f>IF($AK1275=1,SUMPRODUCT(--($AO$2:$AO$1601&lt;$AO1275))+1,"")</f>
        <v/>
      </c>
      <c r="AM1275">
        <f>IF($D1275="","",IF(OR($R1275=TRUE(),$R1275="TRUE"),1,0))</f>
        <v/>
      </c>
      <c r="AN1275">
        <f>IF($D1275="","",IF($AA1275="Yes",1,0))</f>
        <v/>
      </c>
      <c r="AO1275">
        <f>IF($AK1275=1,IFERROR(IF(VALUE($D1275)&lt;100000000,VALUE($D1275),1000000000),IFERROR(IF(VALUE(MID($D1275,2,20))&lt;100000000,VALUE(MID($D1275,2,20)),1000000000),1000000000))+ROW()/100000,"")</f>
        <v/>
      </c>
    </row>
    <row r="1276">
      <c r="F1276" s="11" t="n"/>
      <c r="N1276" s="7">
        <f>IF($D1276="","",M1276*X1276/100)</f>
        <v/>
      </c>
      <c r="O1276" s="7" t="n"/>
      <c r="U1276" s="7" t="n"/>
      <c r="V1276" s="7" t="n"/>
      <c r="W1276" s="7">
        <f>IF($D1276="","",V1276*AB1276/100)</f>
        <v/>
      </c>
      <c r="X1276" s="7">
        <f>IF($D1276="","",V1276-W1276)</f>
        <v/>
      </c>
      <c r="Y1276" s="7">
        <f>IF($D1276="","",X1276-N1276)</f>
        <v/>
      </c>
      <c r="AB1276">
        <f>IF($D1276="","",IF($AN1276=1,Settings!$C$8,IF($AM1276=1,Settings!$C$6,Settings!$C$7))*100)</f>
        <v/>
      </c>
      <c r="AF1276" s="7" t="n"/>
      <c r="AI1276" s="11" t="n"/>
      <c r="AK1276">
        <f>IF($D1276="","",IF(COUNTIF($D$2:$D1276,$D1276)=1,1,0))</f>
        <v/>
      </c>
      <c r="AL1276">
        <f>IF($AK1276=1,SUMPRODUCT(--($AO$2:$AO$1601&lt;$AO1276))+1,"")</f>
        <v/>
      </c>
      <c r="AM1276">
        <f>IF($D1276="","",IF(OR($R1276=TRUE(),$R1276="TRUE"),1,0))</f>
        <v/>
      </c>
      <c r="AN1276">
        <f>IF($D1276="","",IF($AA1276="Yes",1,0))</f>
        <v/>
      </c>
      <c r="AO1276">
        <f>IF($AK1276=1,IFERROR(IF(VALUE($D1276)&lt;100000000,VALUE($D1276),1000000000),IFERROR(IF(VALUE(MID($D1276,2,20))&lt;100000000,VALUE(MID($D1276,2,20)),1000000000),1000000000))+ROW()/100000,"")</f>
        <v/>
      </c>
    </row>
    <row r="1277">
      <c r="F1277" s="11" t="n"/>
      <c r="N1277" s="7">
        <f>IF($D1277="","",M1277*X1277/100)</f>
        <v/>
      </c>
      <c r="O1277" s="7" t="n"/>
      <c r="U1277" s="7" t="n"/>
      <c r="V1277" s="7" t="n"/>
      <c r="W1277" s="7">
        <f>IF($D1277="","",V1277*AB1277/100)</f>
        <v/>
      </c>
      <c r="X1277" s="7">
        <f>IF($D1277="","",V1277-W1277)</f>
        <v/>
      </c>
      <c r="Y1277" s="7">
        <f>IF($D1277="","",X1277-N1277)</f>
        <v/>
      </c>
      <c r="AB1277">
        <f>IF($D1277="","",IF($AN1277=1,Settings!$C$8,IF($AM1277=1,Settings!$C$6,Settings!$C$7))*100)</f>
        <v/>
      </c>
      <c r="AF1277" s="7" t="n"/>
      <c r="AI1277" s="11" t="n"/>
      <c r="AK1277">
        <f>IF($D1277="","",IF(COUNTIF($D$2:$D1277,$D1277)=1,1,0))</f>
        <v/>
      </c>
      <c r="AL1277">
        <f>IF($AK1277=1,SUMPRODUCT(--($AO$2:$AO$1601&lt;$AO1277))+1,"")</f>
        <v/>
      </c>
      <c r="AM1277">
        <f>IF($D1277="","",IF(OR($R1277=TRUE(),$R1277="TRUE"),1,0))</f>
        <v/>
      </c>
      <c r="AN1277">
        <f>IF($D1277="","",IF($AA1277="Yes",1,0))</f>
        <v/>
      </c>
      <c r="AO1277">
        <f>IF($AK1277=1,IFERROR(IF(VALUE($D1277)&lt;100000000,VALUE($D1277),1000000000),IFERROR(IF(VALUE(MID($D1277,2,20))&lt;100000000,VALUE(MID($D1277,2,20)),1000000000),1000000000))+ROW()/100000,"")</f>
        <v/>
      </c>
    </row>
    <row r="1278">
      <c r="F1278" s="11" t="n"/>
      <c r="N1278" s="7">
        <f>IF($D1278="","",M1278*X1278/100)</f>
        <v/>
      </c>
      <c r="O1278" s="7" t="n"/>
      <c r="U1278" s="7" t="n"/>
      <c r="V1278" s="7" t="n"/>
      <c r="W1278" s="7">
        <f>IF($D1278="","",V1278*AB1278/100)</f>
        <v/>
      </c>
      <c r="X1278" s="7">
        <f>IF($D1278="","",V1278-W1278)</f>
        <v/>
      </c>
      <c r="Y1278" s="7">
        <f>IF($D1278="","",X1278-N1278)</f>
        <v/>
      </c>
      <c r="AB1278">
        <f>IF($D1278="","",IF($AN1278=1,Settings!$C$8,IF($AM1278=1,Settings!$C$6,Settings!$C$7))*100)</f>
        <v/>
      </c>
      <c r="AF1278" s="7" t="n"/>
      <c r="AI1278" s="11" t="n"/>
      <c r="AK1278">
        <f>IF($D1278="","",IF(COUNTIF($D$2:$D1278,$D1278)=1,1,0))</f>
        <v/>
      </c>
      <c r="AL1278">
        <f>IF($AK1278=1,SUMPRODUCT(--($AO$2:$AO$1601&lt;$AO1278))+1,"")</f>
        <v/>
      </c>
      <c r="AM1278">
        <f>IF($D1278="","",IF(OR($R1278=TRUE(),$R1278="TRUE"),1,0))</f>
        <v/>
      </c>
      <c r="AN1278">
        <f>IF($D1278="","",IF($AA1278="Yes",1,0))</f>
        <v/>
      </c>
      <c r="AO1278">
        <f>IF($AK1278=1,IFERROR(IF(VALUE($D1278)&lt;100000000,VALUE($D1278),1000000000),IFERROR(IF(VALUE(MID($D1278,2,20))&lt;100000000,VALUE(MID($D1278,2,20)),1000000000),1000000000))+ROW()/100000,"")</f>
        <v/>
      </c>
    </row>
    <row r="1279">
      <c r="F1279" s="11" t="n"/>
      <c r="N1279" s="7">
        <f>IF($D1279="","",M1279*X1279/100)</f>
        <v/>
      </c>
      <c r="O1279" s="7" t="n"/>
      <c r="U1279" s="7" t="n"/>
      <c r="V1279" s="7" t="n"/>
      <c r="W1279" s="7">
        <f>IF($D1279="","",V1279*AB1279/100)</f>
        <v/>
      </c>
      <c r="X1279" s="7">
        <f>IF($D1279="","",V1279-W1279)</f>
        <v/>
      </c>
      <c r="Y1279" s="7">
        <f>IF($D1279="","",X1279-N1279)</f>
        <v/>
      </c>
      <c r="AB1279">
        <f>IF($D1279="","",IF($AN1279=1,Settings!$C$8,IF($AM1279=1,Settings!$C$6,Settings!$C$7))*100)</f>
        <v/>
      </c>
      <c r="AF1279" s="7" t="n"/>
      <c r="AI1279" s="11" t="n"/>
      <c r="AK1279">
        <f>IF($D1279="","",IF(COUNTIF($D$2:$D1279,$D1279)=1,1,0))</f>
        <v/>
      </c>
      <c r="AL1279">
        <f>IF($AK1279=1,SUMPRODUCT(--($AO$2:$AO$1601&lt;$AO1279))+1,"")</f>
        <v/>
      </c>
      <c r="AM1279">
        <f>IF($D1279="","",IF(OR($R1279=TRUE(),$R1279="TRUE"),1,0))</f>
        <v/>
      </c>
      <c r="AN1279">
        <f>IF($D1279="","",IF($AA1279="Yes",1,0))</f>
        <v/>
      </c>
      <c r="AO1279">
        <f>IF($AK1279=1,IFERROR(IF(VALUE($D1279)&lt;100000000,VALUE($D1279),1000000000),IFERROR(IF(VALUE(MID($D1279,2,20))&lt;100000000,VALUE(MID($D1279,2,20)),1000000000),1000000000))+ROW()/100000,"")</f>
        <v/>
      </c>
    </row>
    <row r="1280">
      <c r="F1280" s="11" t="n"/>
      <c r="N1280" s="7">
        <f>IF($D1280="","",M1280*X1280/100)</f>
        <v/>
      </c>
      <c r="O1280" s="7" t="n"/>
      <c r="U1280" s="7" t="n"/>
      <c r="V1280" s="7" t="n"/>
      <c r="W1280" s="7">
        <f>IF($D1280="","",V1280*AB1280/100)</f>
        <v/>
      </c>
      <c r="X1280" s="7">
        <f>IF($D1280="","",V1280-W1280)</f>
        <v/>
      </c>
      <c r="Y1280" s="7">
        <f>IF($D1280="","",X1280-N1280)</f>
        <v/>
      </c>
      <c r="AB1280">
        <f>IF($D1280="","",IF($AN1280=1,Settings!$C$8,IF($AM1280=1,Settings!$C$6,Settings!$C$7))*100)</f>
        <v/>
      </c>
      <c r="AF1280" s="7" t="n"/>
      <c r="AI1280" s="11" t="n"/>
      <c r="AK1280">
        <f>IF($D1280="","",IF(COUNTIF($D$2:$D1280,$D1280)=1,1,0))</f>
        <v/>
      </c>
      <c r="AL1280">
        <f>IF($AK1280=1,SUMPRODUCT(--($AO$2:$AO$1601&lt;$AO1280))+1,"")</f>
        <v/>
      </c>
      <c r="AM1280">
        <f>IF($D1280="","",IF(OR($R1280=TRUE(),$R1280="TRUE"),1,0))</f>
        <v/>
      </c>
      <c r="AN1280">
        <f>IF($D1280="","",IF($AA1280="Yes",1,0))</f>
        <v/>
      </c>
      <c r="AO1280">
        <f>IF($AK1280=1,IFERROR(IF(VALUE($D1280)&lt;100000000,VALUE($D1280),1000000000),IFERROR(IF(VALUE(MID($D1280,2,20))&lt;100000000,VALUE(MID($D1280,2,20)),1000000000),1000000000))+ROW()/100000,"")</f>
        <v/>
      </c>
    </row>
    <row r="1281">
      <c r="F1281" s="11" t="n"/>
      <c r="N1281" s="7">
        <f>IF($D1281="","",M1281*X1281/100)</f>
        <v/>
      </c>
      <c r="O1281" s="7" t="n"/>
      <c r="U1281" s="7" t="n"/>
      <c r="V1281" s="7" t="n"/>
      <c r="W1281" s="7">
        <f>IF($D1281="","",V1281*AB1281/100)</f>
        <v/>
      </c>
      <c r="X1281" s="7">
        <f>IF($D1281="","",V1281-W1281)</f>
        <v/>
      </c>
      <c r="Y1281" s="7">
        <f>IF($D1281="","",X1281-N1281)</f>
        <v/>
      </c>
      <c r="AB1281">
        <f>IF($D1281="","",IF($AN1281=1,Settings!$C$8,IF($AM1281=1,Settings!$C$6,Settings!$C$7))*100)</f>
        <v/>
      </c>
      <c r="AF1281" s="7" t="n"/>
      <c r="AI1281" s="11" t="n"/>
      <c r="AK1281">
        <f>IF($D1281="","",IF(COUNTIF($D$2:$D1281,$D1281)=1,1,0))</f>
        <v/>
      </c>
      <c r="AL1281">
        <f>IF($AK1281=1,SUMPRODUCT(--($AO$2:$AO$1601&lt;$AO1281))+1,"")</f>
        <v/>
      </c>
      <c r="AM1281">
        <f>IF($D1281="","",IF(OR($R1281=TRUE(),$R1281="TRUE"),1,0))</f>
        <v/>
      </c>
      <c r="AN1281">
        <f>IF($D1281="","",IF($AA1281="Yes",1,0))</f>
        <v/>
      </c>
      <c r="AO1281">
        <f>IF($AK1281=1,IFERROR(IF(VALUE($D1281)&lt;100000000,VALUE($D1281),1000000000),IFERROR(IF(VALUE(MID($D1281,2,20))&lt;100000000,VALUE(MID($D1281,2,20)),1000000000),1000000000))+ROW()/100000,"")</f>
        <v/>
      </c>
    </row>
    <row r="1282">
      <c r="F1282" s="11" t="n"/>
      <c r="N1282" s="7">
        <f>IF($D1282="","",M1282*X1282/100)</f>
        <v/>
      </c>
      <c r="O1282" s="7" t="n"/>
      <c r="U1282" s="7" t="n"/>
      <c r="V1282" s="7" t="n"/>
      <c r="W1282" s="7">
        <f>IF($D1282="","",V1282*AB1282/100)</f>
        <v/>
      </c>
      <c r="X1282" s="7">
        <f>IF($D1282="","",V1282-W1282)</f>
        <v/>
      </c>
      <c r="Y1282" s="7">
        <f>IF($D1282="","",X1282-N1282)</f>
        <v/>
      </c>
      <c r="AB1282">
        <f>IF($D1282="","",IF($AN1282=1,Settings!$C$8,IF($AM1282=1,Settings!$C$6,Settings!$C$7))*100)</f>
        <v/>
      </c>
      <c r="AF1282" s="7" t="n"/>
      <c r="AI1282" s="11" t="n"/>
      <c r="AK1282">
        <f>IF($D1282="","",IF(COUNTIF($D$2:$D1282,$D1282)=1,1,0))</f>
        <v/>
      </c>
      <c r="AL1282">
        <f>IF($AK1282=1,SUMPRODUCT(--($AO$2:$AO$1601&lt;$AO1282))+1,"")</f>
        <v/>
      </c>
      <c r="AM1282">
        <f>IF($D1282="","",IF(OR($R1282=TRUE(),$R1282="TRUE"),1,0))</f>
        <v/>
      </c>
      <c r="AN1282">
        <f>IF($D1282="","",IF($AA1282="Yes",1,0))</f>
        <v/>
      </c>
      <c r="AO1282">
        <f>IF($AK1282=1,IFERROR(IF(VALUE($D1282)&lt;100000000,VALUE($D1282),1000000000),IFERROR(IF(VALUE(MID($D1282,2,20))&lt;100000000,VALUE(MID($D1282,2,20)),1000000000),1000000000))+ROW()/100000,"")</f>
        <v/>
      </c>
    </row>
    <row r="1283">
      <c r="F1283" s="11" t="n"/>
      <c r="N1283" s="7">
        <f>IF($D1283="","",M1283*X1283/100)</f>
        <v/>
      </c>
      <c r="O1283" s="7" t="n"/>
      <c r="U1283" s="7" t="n"/>
      <c r="V1283" s="7" t="n"/>
      <c r="W1283" s="7">
        <f>IF($D1283="","",V1283*AB1283/100)</f>
        <v/>
      </c>
      <c r="X1283" s="7">
        <f>IF($D1283="","",V1283-W1283)</f>
        <v/>
      </c>
      <c r="Y1283" s="7">
        <f>IF($D1283="","",X1283-N1283)</f>
        <v/>
      </c>
      <c r="AB1283">
        <f>IF($D1283="","",IF($AN1283=1,Settings!$C$8,IF($AM1283=1,Settings!$C$6,Settings!$C$7))*100)</f>
        <v/>
      </c>
      <c r="AF1283" s="7" t="n"/>
      <c r="AI1283" s="11" t="n"/>
      <c r="AK1283">
        <f>IF($D1283="","",IF(COUNTIF($D$2:$D1283,$D1283)=1,1,0))</f>
        <v/>
      </c>
      <c r="AL1283">
        <f>IF($AK1283=1,SUMPRODUCT(--($AO$2:$AO$1601&lt;$AO1283))+1,"")</f>
        <v/>
      </c>
      <c r="AM1283">
        <f>IF($D1283="","",IF(OR($R1283=TRUE(),$R1283="TRUE"),1,0))</f>
        <v/>
      </c>
      <c r="AN1283">
        <f>IF($D1283="","",IF($AA1283="Yes",1,0))</f>
        <v/>
      </c>
      <c r="AO1283">
        <f>IF($AK1283=1,IFERROR(IF(VALUE($D1283)&lt;100000000,VALUE($D1283),1000000000),IFERROR(IF(VALUE(MID($D1283,2,20))&lt;100000000,VALUE(MID($D1283,2,20)),1000000000),1000000000))+ROW()/100000,"")</f>
        <v/>
      </c>
    </row>
    <row r="1284">
      <c r="F1284" s="11" t="n"/>
      <c r="N1284" s="7">
        <f>IF($D1284="","",M1284*X1284/100)</f>
        <v/>
      </c>
      <c r="O1284" s="7" t="n"/>
      <c r="U1284" s="7" t="n"/>
      <c r="V1284" s="7" t="n"/>
      <c r="W1284" s="7">
        <f>IF($D1284="","",V1284*AB1284/100)</f>
        <v/>
      </c>
      <c r="X1284" s="7">
        <f>IF($D1284="","",V1284-W1284)</f>
        <v/>
      </c>
      <c r="Y1284" s="7">
        <f>IF($D1284="","",X1284-N1284)</f>
        <v/>
      </c>
      <c r="AB1284">
        <f>IF($D1284="","",IF($AN1284=1,Settings!$C$8,IF($AM1284=1,Settings!$C$6,Settings!$C$7))*100)</f>
        <v/>
      </c>
      <c r="AF1284" s="7" t="n"/>
      <c r="AI1284" s="11" t="n"/>
      <c r="AK1284">
        <f>IF($D1284="","",IF(COUNTIF($D$2:$D1284,$D1284)=1,1,0))</f>
        <v/>
      </c>
      <c r="AL1284">
        <f>IF($AK1284=1,SUMPRODUCT(--($AO$2:$AO$1601&lt;$AO1284))+1,"")</f>
        <v/>
      </c>
      <c r="AM1284">
        <f>IF($D1284="","",IF(OR($R1284=TRUE(),$R1284="TRUE"),1,0))</f>
        <v/>
      </c>
      <c r="AN1284">
        <f>IF($D1284="","",IF($AA1284="Yes",1,0))</f>
        <v/>
      </c>
      <c r="AO1284">
        <f>IF($AK1284=1,IFERROR(IF(VALUE($D1284)&lt;100000000,VALUE($D1284),1000000000),IFERROR(IF(VALUE(MID($D1284,2,20))&lt;100000000,VALUE(MID($D1284,2,20)),1000000000),1000000000))+ROW()/100000,"")</f>
        <v/>
      </c>
    </row>
    <row r="1285">
      <c r="F1285" s="11" t="n"/>
      <c r="N1285" s="7">
        <f>IF($D1285="","",M1285*X1285/100)</f>
        <v/>
      </c>
      <c r="O1285" s="7" t="n"/>
      <c r="U1285" s="7" t="n"/>
      <c r="V1285" s="7" t="n"/>
      <c r="W1285" s="7">
        <f>IF($D1285="","",V1285*AB1285/100)</f>
        <v/>
      </c>
      <c r="X1285" s="7">
        <f>IF($D1285="","",V1285-W1285)</f>
        <v/>
      </c>
      <c r="Y1285" s="7">
        <f>IF($D1285="","",X1285-N1285)</f>
        <v/>
      </c>
      <c r="AB1285">
        <f>IF($D1285="","",IF($AN1285=1,Settings!$C$8,IF($AM1285=1,Settings!$C$6,Settings!$C$7))*100)</f>
        <v/>
      </c>
      <c r="AF1285" s="7" t="n"/>
      <c r="AI1285" s="11" t="n"/>
      <c r="AK1285">
        <f>IF($D1285="","",IF(COUNTIF($D$2:$D1285,$D1285)=1,1,0))</f>
        <v/>
      </c>
      <c r="AL1285">
        <f>IF($AK1285=1,SUMPRODUCT(--($AO$2:$AO$1601&lt;$AO1285))+1,"")</f>
        <v/>
      </c>
      <c r="AM1285">
        <f>IF($D1285="","",IF(OR($R1285=TRUE(),$R1285="TRUE"),1,0))</f>
        <v/>
      </c>
      <c r="AN1285">
        <f>IF($D1285="","",IF($AA1285="Yes",1,0))</f>
        <v/>
      </c>
      <c r="AO1285">
        <f>IF($AK1285=1,IFERROR(IF(VALUE($D1285)&lt;100000000,VALUE($D1285),1000000000),IFERROR(IF(VALUE(MID($D1285,2,20))&lt;100000000,VALUE(MID($D1285,2,20)),1000000000),1000000000))+ROW()/100000,"")</f>
        <v/>
      </c>
    </row>
    <row r="1286">
      <c r="F1286" s="11" t="n"/>
      <c r="N1286" s="7">
        <f>IF($D1286="","",M1286*X1286/100)</f>
        <v/>
      </c>
      <c r="O1286" s="7" t="n"/>
      <c r="U1286" s="7" t="n"/>
      <c r="V1286" s="7" t="n"/>
      <c r="W1286" s="7">
        <f>IF($D1286="","",V1286*AB1286/100)</f>
        <v/>
      </c>
      <c r="X1286" s="7">
        <f>IF($D1286="","",V1286-W1286)</f>
        <v/>
      </c>
      <c r="Y1286" s="7">
        <f>IF($D1286="","",X1286-N1286)</f>
        <v/>
      </c>
      <c r="AB1286">
        <f>IF($D1286="","",IF($AN1286=1,Settings!$C$8,IF($AM1286=1,Settings!$C$6,Settings!$C$7))*100)</f>
        <v/>
      </c>
      <c r="AF1286" s="7" t="n"/>
      <c r="AI1286" s="11" t="n"/>
      <c r="AK1286">
        <f>IF($D1286="","",IF(COUNTIF($D$2:$D1286,$D1286)=1,1,0))</f>
        <v/>
      </c>
      <c r="AL1286">
        <f>IF($AK1286=1,SUMPRODUCT(--($AO$2:$AO$1601&lt;$AO1286))+1,"")</f>
        <v/>
      </c>
      <c r="AM1286">
        <f>IF($D1286="","",IF(OR($R1286=TRUE(),$R1286="TRUE"),1,0))</f>
        <v/>
      </c>
      <c r="AN1286">
        <f>IF($D1286="","",IF($AA1286="Yes",1,0))</f>
        <v/>
      </c>
      <c r="AO1286">
        <f>IF($AK1286=1,IFERROR(IF(VALUE($D1286)&lt;100000000,VALUE($D1286),1000000000),IFERROR(IF(VALUE(MID($D1286,2,20))&lt;100000000,VALUE(MID($D1286,2,20)),1000000000),1000000000))+ROW()/100000,"")</f>
        <v/>
      </c>
    </row>
    <row r="1287">
      <c r="F1287" s="11" t="n"/>
      <c r="N1287" s="7">
        <f>IF($D1287="","",M1287*X1287/100)</f>
        <v/>
      </c>
      <c r="O1287" s="7" t="n"/>
      <c r="U1287" s="7" t="n"/>
      <c r="V1287" s="7" t="n"/>
      <c r="W1287" s="7">
        <f>IF($D1287="","",V1287*AB1287/100)</f>
        <v/>
      </c>
      <c r="X1287" s="7">
        <f>IF($D1287="","",V1287-W1287)</f>
        <v/>
      </c>
      <c r="Y1287" s="7">
        <f>IF($D1287="","",X1287-N1287)</f>
        <v/>
      </c>
      <c r="AB1287">
        <f>IF($D1287="","",IF($AN1287=1,Settings!$C$8,IF($AM1287=1,Settings!$C$6,Settings!$C$7))*100)</f>
        <v/>
      </c>
      <c r="AF1287" s="7" t="n"/>
      <c r="AI1287" s="11" t="n"/>
      <c r="AK1287">
        <f>IF($D1287="","",IF(COUNTIF($D$2:$D1287,$D1287)=1,1,0))</f>
        <v/>
      </c>
      <c r="AL1287">
        <f>IF($AK1287=1,SUMPRODUCT(--($AO$2:$AO$1601&lt;$AO1287))+1,"")</f>
        <v/>
      </c>
      <c r="AM1287">
        <f>IF($D1287="","",IF(OR($R1287=TRUE(),$R1287="TRUE"),1,0))</f>
        <v/>
      </c>
      <c r="AN1287">
        <f>IF($D1287="","",IF($AA1287="Yes",1,0))</f>
        <v/>
      </c>
      <c r="AO1287">
        <f>IF($AK1287=1,IFERROR(IF(VALUE($D1287)&lt;100000000,VALUE($D1287),1000000000),IFERROR(IF(VALUE(MID($D1287,2,20))&lt;100000000,VALUE(MID($D1287,2,20)),1000000000),1000000000))+ROW()/100000,"")</f>
        <v/>
      </c>
    </row>
    <row r="1288">
      <c r="F1288" s="11" t="n"/>
      <c r="N1288" s="7">
        <f>IF($D1288="","",M1288*X1288/100)</f>
        <v/>
      </c>
      <c r="O1288" s="7" t="n"/>
      <c r="U1288" s="7" t="n"/>
      <c r="V1288" s="7" t="n"/>
      <c r="W1288" s="7">
        <f>IF($D1288="","",V1288*AB1288/100)</f>
        <v/>
      </c>
      <c r="X1288" s="7">
        <f>IF($D1288="","",V1288-W1288)</f>
        <v/>
      </c>
      <c r="Y1288" s="7">
        <f>IF($D1288="","",X1288-N1288)</f>
        <v/>
      </c>
      <c r="AB1288">
        <f>IF($D1288="","",IF($AN1288=1,Settings!$C$8,IF($AM1288=1,Settings!$C$6,Settings!$C$7))*100)</f>
        <v/>
      </c>
      <c r="AF1288" s="7" t="n"/>
      <c r="AI1288" s="11" t="n"/>
      <c r="AK1288">
        <f>IF($D1288="","",IF(COUNTIF($D$2:$D1288,$D1288)=1,1,0))</f>
        <v/>
      </c>
      <c r="AL1288">
        <f>IF($AK1288=1,SUMPRODUCT(--($AO$2:$AO$1601&lt;$AO1288))+1,"")</f>
        <v/>
      </c>
      <c r="AM1288">
        <f>IF($D1288="","",IF(OR($R1288=TRUE(),$R1288="TRUE"),1,0))</f>
        <v/>
      </c>
      <c r="AN1288">
        <f>IF($D1288="","",IF($AA1288="Yes",1,0))</f>
        <v/>
      </c>
      <c r="AO1288">
        <f>IF($AK1288=1,IFERROR(IF(VALUE($D1288)&lt;100000000,VALUE($D1288),1000000000),IFERROR(IF(VALUE(MID($D1288,2,20))&lt;100000000,VALUE(MID($D1288,2,20)),1000000000),1000000000))+ROW()/100000,"")</f>
        <v/>
      </c>
    </row>
    <row r="1289">
      <c r="F1289" s="11" t="n"/>
      <c r="N1289" s="7">
        <f>IF($D1289="","",M1289*X1289/100)</f>
        <v/>
      </c>
      <c r="O1289" s="7" t="n"/>
      <c r="U1289" s="7" t="n"/>
      <c r="V1289" s="7" t="n"/>
      <c r="W1289" s="7">
        <f>IF($D1289="","",V1289*AB1289/100)</f>
        <v/>
      </c>
      <c r="X1289" s="7">
        <f>IF($D1289="","",V1289-W1289)</f>
        <v/>
      </c>
      <c r="Y1289" s="7">
        <f>IF($D1289="","",X1289-N1289)</f>
        <v/>
      </c>
      <c r="AB1289">
        <f>IF($D1289="","",IF($AN1289=1,Settings!$C$8,IF($AM1289=1,Settings!$C$6,Settings!$C$7))*100)</f>
        <v/>
      </c>
      <c r="AF1289" s="7" t="n"/>
      <c r="AI1289" s="11" t="n"/>
      <c r="AK1289">
        <f>IF($D1289="","",IF(COUNTIF($D$2:$D1289,$D1289)=1,1,0))</f>
        <v/>
      </c>
      <c r="AL1289">
        <f>IF($AK1289=1,SUMPRODUCT(--($AO$2:$AO$1601&lt;$AO1289))+1,"")</f>
        <v/>
      </c>
      <c r="AM1289">
        <f>IF($D1289="","",IF(OR($R1289=TRUE(),$R1289="TRUE"),1,0))</f>
        <v/>
      </c>
      <c r="AN1289">
        <f>IF($D1289="","",IF($AA1289="Yes",1,0))</f>
        <v/>
      </c>
      <c r="AO1289">
        <f>IF($AK1289=1,IFERROR(IF(VALUE($D1289)&lt;100000000,VALUE($D1289),1000000000),IFERROR(IF(VALUE(MID($D1289,2,20))&lt;100000000,VALUE(MID($D1289,2,20)),1000000000),1000000000))+ROW()/100000,"")</f>
        <v/>
      </c>
    </row>
    <row r="1290">
      <c r="F1290" s="11" t="n"/>
      <c r="N1290" s="7">
        <f>IF($D1290="","",M1290*X1290/100)</f>
        <v/>
      </c>
      <c r="O1290" s="7" t="n"/>
      <c r="U1290" s="7" t="n"/>
      <c r="V1290" s="7" t="n"/>
      <c r="W1290" s="7">
        <f>IF($D1290="","",V1290*AB1290/100)</f>
        <v/>
      </c>
      <c r="X1290" s="7">
        <f>IF($D1290="","",V1290-W1290)</f>
        <v/>
      </c>
      <c r="Y1290" s="7">
        <f>IF($D1290="","",X1290-N1290)</f>
        <v/>
      </c>
      <c r="AB1290">
        <f>IF($D1290="","",IF($AN1290=1,Settings!$C$8,IF($AM1290=1,Settings!$C$6,Settings!$C$7))*100)</f>
        <v/>
      </c>
      <c r="AF1290" s="7" t="n"/>
      <c r="AI1290" s="11" t="n"/>
      <c r="AK1290">
        <f>IF($D1290="","",IF(COUNTIF($D$2:$D1290,$D1290)=1,1,0))</f>
        <v/>
      </c>
      <c r="AL1290">
        <f>IF($AK1290=1,SUMPRODUCT(--($AO$2:$AO$1601&lt;$AO1290))+1,"")</f>
        <v/>
      </c>
      <c r="AM1290">
        <f>IF($D1290="","",IF(OR($R1290=TRUE(),$R1290="TRUE"),1,0))</f>
        <v/>
      </c>
      <c r="AN1290">
        <f>IF($D1290="","",IF($AA1290="Yes",1,0))</f>
        <v/>
      </c>
      <c r="AO1290">
        <f>IF($AK1290=1,IFERROR(IF(VALUE($D1290)&lt;100000000,VALUE($D1290),1000000000),IFERROR(IF(VALUE(MID($D1290,2,20))&lt;100000000,VALUE(MID($D1290,2,20)),1000000000),1000000000))+ROW()/100000,"")</f>
        <v/>
      </c>
    </row>
    <row r="1291">
      <c r="F1291" s="11" t="n"/>
      <c r="N1291" s="7">
        <f>IF($D1291="","",M1291*X1291/100)</f>
        <v/>
      </c>
      <c r="O1291" s="7" t="n"/>
      <c r="U1291" s="7" t="n"/>
      <c r="V1291" s="7" t="n"/>
      <c r="W1291" s="7">
        <f>IF($D1291="","",V1291*AB1291/100)</f>
        <v/>
      </c>
      <c r="X1291" s="7">
        <f>IF($D1291="","",V1291-W1291)</f>
        <v/>
      </c>
      <c r="Y1291" s="7">
        <f>IF($D1291="","",X1291-N1291)</f>
        <v/>
      </c>
      <c r="AB1291">
        <f>IF($D1291="","",IF($AN1291=1,Settings!$C$8,IF($AM1291=1,Settings!$C$6,Settings!$C$7))*100)</f>
        <v/>
      </c>
      <c r="AF1291" s="7" t="n"/>
      <c r="AI1291" s="11" t="n"/>
      <c r="AK1291">
        <f>IF($D1291="","",IF(COUNTIF($D$2:$D1291,$D1291)=1,1,0))</f>
        <v/>
      </c>
      <c r="AL1291">
        <f>IF($AK1291=1,SUMPRODUCT(--($AO$2:$AO$1601&lt;$AO1291))+1,"")</f>
        <v/>
      </c>
      <c r="AM1291">
        <f>IF($D1291="","",IF(OR($R1291=TRUE(),$R1291="TRUE"),1,0))</f>
        <v/>
      </c>
      <c r="AN1291">
        <f>IF($D1291="","",IF($AA1291="Yes",1,0))</f>
        <v/>
      </c>
      <c r="AO1291">
        <f>IF($AK1291=1,IFERROR(IF(VALUE($D1291)&lt;100000000,VALUE($D1291),1000000000),IFERROR(IF(VALUE(MID($D1291,2,20))&lt;100000000,VALUE(MID($D1291,2,20)),1000000000),1000000000))+ROW()/100000,"")</f>
        <v/>
      </c>
    </row>
    <row r="1292">
      <c r="F1292" s="11" t="n"/>
      <c r="N1292" s="7">
        <f>IF($D1292="","",M1292*X1292/100)</f>
        <v/>
      </c>
      <c r="O1292" s="7" t="n"/>
      <c r="U1292" s="7" t="n"/>
      <c r="V1292" s="7" t="n"/>
      <c r="W1292" s="7">
        <f>IF($D1292="","",V1292*AB1292/100)</f>
        <v/>
      </c>
      <c r="X1292" s="7">
        <f>IF($D1292="","",V1292-W1292)</f>
        <v/>
      </c>
      <c r="Y1292" s="7">
        <f>IF($D1292="","",X1292-N1292)</f>
        <v/>
      </c>
      <c r="AB1292">
        <f>IF($D1292="","",IF($AN1292=1,Settings!$C$8,IF($AM1292=1,Settings!$C$6,Settings!$C$7))*100)</f>
        <v/>
      </c>
      <c r="AF1292" s="7" t="n"/>
      <c r="AI1292" s="11" t="n"/>
      <c r="AK1292">
        <f>IF($D1292="","",IF(COUNTIF($D$2:$D1292,$D1292)=1,1,0))</f>
        <v/>
      </c>
      <c r="AL1292">
        <f>IF($AK1292=1,SUMPRODUCT(--($AO$2:$AO$1601&lt;$AO1292))+1,"")</f>
        <v/>
      </c>
      <c r="AM1292">
        <f>IF($D1292="","",IF(OR($R1292=TRUE(),$R1292="TRUE"),1,0))</f>
        <v/>
      </c>
      <c r="AN1292">
        <f>IF($D1292="","",IF($AA1292="Yes",1,0))</f>
        <v/>
      </c>
      <c r="AO1292">
        <f>IF($AK1292=1,IFERROR(IF(VALUE($D1292)&lt;100000000,VALUE($D1292),1000000000),IFERROR(IF(VALUE(MID($D1292,2,20))&lt;100000000,VALUE(MID($D1292,2,20)),1000000000),1000000000))+ROW()/100000,"")</f>
        <v/>
      </c>
    </row>
    <row r="1293">
      <c r="F1293" s="11" t="n"/>
      <c r="N1293" s="7">
        <f>IF($D1293="","",M1293*X1293/100)</f>
        <v/>
      </c>
      <c r="O1293" s="7" t="n"/>
      <c r="U1293" s="7" t="n"/>
      <c r="V1293" s="7" t="n"/>
      <c r="W1293" s="7">
        <f>IF($D1293="","",V1293*AB1293/100)</f>
        <v/>
      </c>
      <c r="X1293" s="7">
        <f>IF($D1293="","",V1293-W1293)</f>
        <v/>
      </c>
      <c r="Y1293" s="7">
        <f>IF($D1293="","",X1293-N1293)</f>
        <v/>
      </c>
      <c r="AB1293">
        <f>IF($D1293="","",IF($AN1293=1,Settings!$C$8,IF($AM1293=1,Settings!$C$6,Settings!$C$7))*100)</f>
        <v/>
      </c>
      <c r="AF1293" s="7" t="n"/>
      <c r="AI1293" s="11" t="n"/>
      <c r="AK1293">
        <f>IF($D1293="","",IF(COUNTIF($D$2:$D1293,$D1293)=1,1,0))</f>
        <v/>
      </c>
      <c r="AL1293">
        <f>IF($AK1293=1,SUMPRODUCT(--($AO$2:$AO$1601&lt;$AO1293))+1,"")</f>
        <v/>
      </c>
      <c r="AM1293">
        <f>IF($D1293="","",IF(OR($R1293=TRUE(),$R1293="TRUE"),1,0))</f>
        <v/>
      </c>
      <c r="AN1293">
        <f>IF($D1293="","",IF($AA1293="Yes",1,0))</f>
        <v/>
      </c>
      <c r="AO1293">
        <f>IF($AK1293=1,IFERROR(IF(VALUE($D1293)&lt;100000000,VALUE($D1293),1000000000),IFERROR(IF(VALUE(MID($D1293,2,20))&lt;100000000,VALUE(MID($D1293,2,20)),1000000000),1000000000))+ROW()/100000,"")</f>
        <v/>
      </c>
    </row>
    <row r="1294">
      <c r="F1294" s="11" t="n"/>
      <c r="N1294" s="7">
        <f>IF($D1294="","",M1294*X1294/100)</f>
        <v/>
      </c>
      <c r="O1294" s="7" t="n"/>
      <c r="U1294" s="7" t="n"/>
      <c r="V1294" s="7" t="n"/>
      <c r="W1294" s="7">
        <f>IF($D1294="","",V1294*AB1294/100)</f>
        <v/>
      </c>
      <c r="X1294" s="7">
        <f>IF($D1294="","",V1294-W1294)</f>
        <v/>
      </c>
      <c r="Y1294" s="7">
        <f>IF($D1294="","",X1294-N1294)</f>
        <v/>
      </c>
      <c r="AB1294">
        <f>IF($D1294="","",IF($AN1294=1,Settings!$C$8,IF($AM1294=1,Settings!$C$6,Settings!$C$7))*100)</f>
        <v/>
      </c>
      <c r="AF1294" s="7" t="n"/>
      <c r="AI1294" s="11" t="n"/>
      <c r="AK1294">
        <f>IF($D1294="","",IF(COUNTIF($D$2:$D1294,$D1294)=1,1,0))</f>
        <v/>
      </c>
      <c r="AL1294">
        <f>IF($AK1294=1,SUMPRODUCT(--($AO$2:$AO$1601&lt;$AO1294))+1,"")</f>
        <v/>
      </c>
      <c r="AM1294">
        <f>IF($D1294="","",IF(OR($R1294=TRUE(),$R1294="TRUE"),1,0))</f>
        <v/>
      </c>
      <c r="AN1294">
        <f>IF($D1294="","",IF($AA1294="Yes",1,0))</f>
        <v/>
      </c>
      <c r="AO1294">
        <f>IF($AK1294=1,IFERROR(IF(VALUE($D1294)&lt;100000000,VALUE($D1294),1000000000),IFERROR(IF(VALUE(MID($D1294,2,20))&lt;100000000,VALUE(MID($D1294,2,20)),1000000000),1000000000))+ROW()/100000,"")</f>
        <v/>
      </c>
    </row>
    <row r="1295">
      <c r="F1295" s="11" t="n"/>
      <c r="N1295" s="7">
        <f>IF($D1295="","",M1295*X1295/100)</f>
        <v/>
      </c>
      <c r="O1295" s="7" t="n"/>
      <c r="U1295" s="7" t="n"/>
      <c r="V1295" s="7" t="n"/>
      <c r="W1295" s="7">
        <f>IF($D1295="","",V1295*AB1295/100)</f>
        <v/>
      </c>
      <c r="X1295" s="7">
        <f>IF($D1295="","",V1295-W1295)</f>
        <v/>
      </c>
      <c r="Y1295" s="7">
        <f>IF($D1295="","",X1295-N1295)</f>
        <v/>
      </c>
      <c r="AB1295">
        <f>IF($D1295="","",IF($AN1295=1,Settings!$C$8,IF($AM1295=1,Settings!$C$6,Settings!$C$7))*100)</f>
        <v/>
      </c>
      <c r="AF1295" s="7" t="n"/>
      <c r="AI1295" s="11" t="n"/>
      <c r="AK1295">
        <f>IF($D1295="","",IF(COUNTIF($D$2:$D1295,$D1295)=1,1,0))</f>
        <v/>
      </c>
      <c r="AL1295">
        <f>IF($AK1295=1,SUMPRODUCT(--($AO$2:$AO$1601&lt;$AO1295))+1,"")</f>
        <v/>
      </c>
      <c r="AM1295">
        <f>IF($D1295="","",IF(OR($R1295=TRUE(),$R1295="TRUE"),1,0))</f>
        <v/>
      </c>
      <c r="AN1295">
        <f>IF($D1295="","",IF($AA1295="Yes",1,0))</f>
        <v/>
      </c>
      <c r="AO1295">
        <f>IF($AK1295=1,IFERROR(IF(VALUE($D1295)&lt;100000000,VALUE($D1295),1000000000),IFERROR(IF(VALUE(MID($D1295,2,20))&lt;100000000,VALUE(MID($D1295,2,20)),1000000000),1000000000))+ROW()/100000,"")</f>
        <v/>
      </c>
    </row>
    <row r="1296">
      <c r="F1296" s="11" t="n"/>
      <c r="N1296" s="7">
        <f>IF($D1296="","",M1296*X1296/100)</f>
        <v/>
      </c>
      <c r="O1296" s="7" t="n"/>
      <c r="U1296" s="7" t="n"/>
      <c r="V1296" s="7" t="n"/>
      <c r="W1296" s="7">
        <f>IF($D1296="","",V1296*AB1296/100)</f>
        <v/>
      </c>
      <c r="X1296" s="7">
        <f>IF($D1296="","",V1296-W1296)</f>
        <v/>
      </c>
      <c r="Y1296" s="7">
        <f>IF($D1296="","",X1296-N1296)</f>
        <v/>
      </c>
      <c r="AB1296">
        <f>IF($D1296="","",IF($AN1296=1,Settings!$C$8,IF($AM1296=1,Settings!$C$6,Settings!$C$7))*100)</f>
        <v/>
      </c>
      <c r="AF1296" s="7" t="n"/>
      <c r="AI1296" s="11" t="n"/>
      <c r="AK1296">
        <f>IF($D1296="","",IF(COUNTIF($D$2:$D1296,$D1296)=1,1,0))</f>
        <v/>
      </c>
      <c r="AL1296">
        <f>IF($AK1296=1,SUMPRODUCT(--($AO$2:$AO$1601&lt;$AO1296))+1,"")</f>
        <v/>
      </c>
      <c r="AM1296">
        <f>IF($D1296="","",IF(OR($R1296=TRUE(),$R1296="TRUE"),1,0))</f>
        <v/>
      </c>
      <c r="AN1296">
        <f>IF($D1296="","",IF($AA1296="Yes",1,0))</f>
        <v/>
      </c>
      <c r="AO1296">
        <f>IF($AK1296=1,IFERROR(IF(VALUE($D1296)&lt;100000000,VALUE($D1296),1000000000),IFERROR(IF(VALUE(MID($D1296,2,20))&lt;100000000,VALUE(MID($D1296,2,20)),1000000000),1000000000))+ROW()/100000,"")</f>
        <v/>
      </c>
    </row>
    <row r="1297">
      <c r="F1297" s="11" t="n"/>
      <c r="N1297" s="7">
        <f>IF($D1297="","",M1297*X1297/100)</f>
        <v/>
      </c>
      <c r="O1297" s="7" t="n"/>
      <c r="U1297" s="7" t="n"/>
      <c r="V1297" s="7" t="n"/>
      <c r="W1297" s="7">
        <f>IF($D1297="","",V1297*AB1297/100)</f>
        <v/>
      </c>
      <c r="X1297" s="7">
        <f>IF($D1297="","",V1297-W1297)</f>
        <v/>
      </c>
      <c r="Y1297" s="7">
        <f>IF($D1297="","",X1297-N1297)</f>
        <v/>
      </c>
      <c r="AB1297">
        <f>IF($D1297="","",IF($AN1297=1,Settings!$C$8,IF($AM1297=1,Settings!$C$6,Settings!$C$7))*100)</f>
        <v/>
      </c>
      <c r="AF1297" s="7" t="n"/>
      <c r="AI1297" s="11" t="n"/>
      <c r="AK1297">
        <f>IF($D1297="","",IF(COUNTIF($D$2:$D1297,$D1297)=1,1,0))</f>
        <v/>
      </c>
      <c r="AL1297">
        <f>IF($AK1297=1,SUMPRODUCT(--($AO$2:$AO$1601&lt;$AO1297))+1,"")</f>
        <v/>
      </c>
      <c r="AM1297">
        <f>IF($D1297="","",IF(OR($R1297=TRUE(),$R1297="TRUE"),1,0))</f>
        <v/>
      </c>
      <c r="AN1297">
        <f>IF($D1297="","",IF($AA1297="Yes",1,0))</f>
        <v/>
      </c>
      <c r="AO1297">
        <f>IF($AK1297=1,IFERROR(IF(VALUE($D1297)&lt;100000000,VALUE($D1297),1000000000),IFERROR(IF(VALUE(MID($D1297,2,20))&lt;100000000,VALUE(MID($D1297,2,20)),1000000000),1000000000))+ROW()/100000,"")</f>
        <v/>
      </c>
    </row>
    <row r="1298">
      <c r="F1298" s="11" t="n"/>
      <c r="N1298" s="7">
        <f>IF($D1298="","",M1298*X1298/100)</f>
        <v/>
      </c>
      <c r="O1298" s="7" t="n"/>
      <c r="U1298" s="7" t="n"/>
      <c r="V1298" s="7" t="n"/>
      <c r="W1298" s="7">
        <f>IF($D1298="","",V1298*AB1298/100)</f>
        <v/>
      </c>
      <c r="X1298" s="7">
        <f>IF($D1298="","",V1298-W1298)</f>
        <v/>
      </c>
      <c r="Y1298" s="7">
        <f>IF($D1298="","",X1298-N1298)</f>
        <v/>
      </c>
      <c r="AB1298">
        <f>IF($D1298="","",IF($AN1298=1,Settings!$C$8,IF($AM1298=1,Settings!$C$6,Settings!$C$7))*100)</f>
        <v/>
      </c>
      <c r="AF1298" s="7" t="n"/>
      <c r="AI1298" s="11" t="n"/>
      <c r="AK1298">
        <f>IF($D1298="","",IF(COUNTIF($D$2:$D1298,$D1298)=1,1,0))</f>
        <v/>
      </c>
      <c r="AL1298">
        <f>IF($AK1298=1,SUMPRODUCT(--($AO$2:$AO$1601&lt;$AO1298))+1,"")</f>
        <v/>
      </c>
      <c r="AM1298">
        <f>IF($D1298="","",IF(OR($R1298=TRUE(),$R1298="TRUE"),1,0))</f>
        <v/>
      </c>
      <c r="AN1298">
        <f>IF($D1298="","",IF($AA1298="Yes",1,0))</f>
        <v/>
      </c>
      <c r="AO1298">
        <f>IF($AK1298=1,IFERROR(IF(VALUE($D1298)&lt;100000000,VALUE($D1298),1000000000),IFERROR(IF(VALUE(MID($D1298,2,20))&lt;100000000,VALUE(MID($D1298,2,20)),1000000000),1000000000))+ROW()/100000,"")</f>
        <v/>
      </c>
    </row>
    <row r="1299">
      <c r="F1299" s="11" t="n"/>
      <c r="N1299" s="7">
        <f>IF($D1299="","",M1299*X1299/100)</f>
        <v/>
      </c>
      <c r="O1299" s="7" t="n"/>
      <c r="U1299" s="7" t="n"/>
      <c r="V1299" s="7" t="n"/>
      <c r="W1299" s="7">
        <f>IF($D1299="","",V1299*AB1299/100)</f>
        <v/>
      </c>
      <c r="X1299" s="7">
        <f>IF($D1299="","",V1299-W1299)</f>
        <v/>
      </c>
      <c r="Y1299" s="7">
        <f>IF($D1299="","",X1299-N1299)</f>
        <v/>
      </c>
      <c r="AB1299">
        <f>IF($D1299="","",IF($AN1299=1,Settings!$C$8,IF($AM1299=1,Settings!$C$6,Settings!$C$7))*100)</f>
        <v/>
      </c>
      <c r="AF1299" s="7" t="n"/>
      <c r="AI1299" s="11" t="n"/>
      <c r="AK1299">
        <f>IF($D1299="","",IF(COUNTIF($D$2:$D1299,$D1299)=1,1,0))</f>
        <v/>
      </c>
      <c r="AL1299">
        <f>IF($AK1299=1,SUMPRODUCT(--($AO$2:$AO$1601&lt;$AO1299))+1,"")</f>
        <v/>
      </c>
      <c r="AM1299">
        <f>IF($D1299="","",IF(OR($R1299=TRUE(),$R1299="TRUE"),1,0))</f>
        <v/>
      </c>
      <c r="AN1299">
        <f>IF($D1299="","",IF($AA1299="Yes",1,0))</f>
        <v/>
      </c>
      <c r="AO1299">
        <f>IF($AK1299=1,IFERROR(IF(VALUE($D1299)&lt;100000000,VALUE($D1299),1000000000),IFERROR(IF(VALUE(MID($D1299,2,20))&lt;100000000,VALUE(MID($D1299,2,20)),1000000000),1000000000))+ROW()/100000,"")</f>
        <v/>
      </c>
    </row>
    <row r="1300">
      <c r="F1300" s="11" t="n"/>
      <c r="N1300" s="7">
        <f>IF($D1300="","",M1300*X1300/100)</f>
        <v/>
      </c>
      <c r="O1300" s="7" t="n"/>
      <c r="U1300" s="7" t="n"/>
      <c r="V1300" s="7" t="n"/>
      <c r="W1300" s="7">
        <f>IF($D1300="","",V1300*AB1300/100)</f>
        <v/>
      </c>
      <c r="X1300" s="7">
        <f>IF($D1300="","",V1300-W1300)</f>
        <v/>
      </c>
      <c r="Y1300" s="7">
        <f>IF($D1300="","",X1300-N1300)</f>
        <v/>
      </c>
      <c r="AB1300">
        <f>IF($D1300="","",IF($AN1300=1,Settings!$C$8,IF($AM1300=1,Settings!$C$6,Settings!$C$7))*100)</f>
        <v/>
      </c>
      <c r="AF1300" s="7" t="n"/>
      <c r="AI1300" s="11" t="n"/>
      <c r="AK1300">
        <f>IF($D1300="","",IF(COUNTIF($D$2:$D1300,$D1300)=1,1,0))</f>
        <v/>
      </c>
      <c r="AL1300">
        <f>IF($AK1300=1,SUMPRODUCT(--($AO$2:$AO$1601&lt;$AO1300))+1,"")</f>
        <v/>
      </c>
      <c r="AM1300">
        <f>IF($D1300="","",IF(OR($R1300=TRUE(),$R1300="TRUE"),1,0))</f>
        <v/>
      </c>
      <c r="AN1300">
        <f>IF($D1300="","",IF($AA1300="Yes",1,0))</f>
        <v/>
      </c>
      <c r="AO1300">
        <f>IF($AK1300=1,IFERROR(IF(VALUE($D1300)&lt;100000000,VALUE($D1300),1000000000),IFERROR(IF(VALUE(MID($D1300,2,20))&lt;100000000,VALUE(MID($D1300,2,20)),1000000000),1000000000))+ROW()/100000,"")</f>
        <v/>
      </c>
    </row>
    <row r="1301">
      <c r="F1301" s="11" t="n"/>
      <c r="N1301" s="7">
        <f>IF($D1301="","",M1301*X1301/100)</f>
        <v/>
      </c>
      <c r="O1301" s="7" t="n"/>
      <c r="U1301" s="7" t="n"/>
      <c r="V1301" s="7" t="n"/>
      <c r="W1301" s="7">
        <f>IF($D1301="","",V1301*AB1301/100)</f>
        <v/>
      </c>
      <c r="X1301" s="7">
        <f>IF($D1301="","",V1301-W1301)</f>
        <v/>
      </c>
      <c r="Y1301" s="7">
        <f>IF($D1301="","",X1301-N1301)</f>
        <v/>
      </c>
      <c r="AB1301">
        <f>IF($D1301="","",IF($AN1301=1,Settings!$C$8,IF($AM1301=1,Settings!$C$6,Settings!$C$7))*100)</f>
        <v/>
      </c>
      <c r="AF1301" s="7" t="n"/>
      <c r="AI1301" s="11" t="n"/>
      <c r="AK1301">
        <f>IF($D1301="","",IF(COUNTIF($D$2:$D1301,$D1301)=1,1,0))</f>
        <v/>
      </c>
      <c r="AL1301">
        <f>IF($AK1301=1,SUMPRODUCT(--($AO$2:$AO$1601&lt;$AO1301))+1,"")</f>
        <v/>
      </c>
      <c r="AM1301">
        <f>IF($D1301="","",IF(OR($R1301=TRUE(),$R1301="TRUE"),1,0))</f>
        <v/>
      </c>
      <c r="AN1301">
        <f>IF($D1301="","",IF($AA1301="Yes",1,0))</f>
        <v/>
      </c>
      <c r="AO1301">
        <f>IF($AK1301=1,IFERROR(IF(VALUE($D1301)&lt;100000000,VALUE($D1301),1000000000),IFERROR(IF(VALUE(MID($D1301,2,20))&lt;100000000,VALUE(MID($D1301,2,20)),1000000000),1000000000))+ROW()/100000,"")</f>
        <v/>
      </c>
    </row>
    <row r="1302">
      <c r="F1302" s="11" t="n"/>
      <c r="N1302" s="7">
        <f>IF($D1302="","",M1302*X1302/100)</f>
        <v/>
      </c>
      <c r="O1302" s="7" t="n"/>
      <c r="U1302" s="7" t="n"/>
      <c r="V1302" s="7" t="n"/>
      <c r="W1302" s="7">
        <f>IF($D1302="","",V1302*AB1302/100)</f>
        <v/>
      </c>
      <c r="X1302" s="7">
        <f>IF($D1302="","",V1302-W1302)</f>
        <v/>
      </c>
      <c r="Y1302" s="7">
        <f>IF($D1302="","",X1302-N1302)</f>
        <v/>
      </c>
      <c r="AB1302">
        <f>IF($D1302="","",IF($AN1302=1,Settings!$C$8,IF($AM1302=1,Settings!$C$6,Settings!$C$7))*100)</f>
        <v/>
      </c>
      <c r="AF1302" s="7" t="n"/>
      <c r="AI1302" s="11" t="n"/>
      <c r="AK1302">
        <f>IF($D1302="","",IF(COUNTIF($D$2:$D1302,$D1302)=1,1,0))</f>
        <v/>
      </c>
      <c r="AL1302">
        <f>IF($AK1302=1,SUMPRODUCT(--($AO$2:$AO$1601&lt;$AO1302))+1,"")</f>
        <v/>
      </c>
      <c r="AM1302">
        <f>IF($D1302="","",IF(OR($R1302=TRUE(),$R1302="TRUE"),1,0))</f>
        <v/>
      </c>
      <c r="AN1302">
        <f>IF($D1302="","",IF($AA1302="Yes",1,0))</f>
        <v/>
      </c>
      <c r="AO1302">
        <f>IF($AK1302=1,IFERROR(IF(VALUE($D1302)&lt;100000000,VALUE($D1302),1000000000),IFERROR(IF(VALUE(MID($D1302,2,20))&lt;100000000,VALUE(MID($D1302,2,20)),1000000000),1000000000))+ROW()/100000,"")</f>
        <v/>
      </c>
    </row>
    <row r="1303">
      <c r="F1303" s="11" t="n"/>
      <c r="N1303" s="7">
        <f>IF($D1303="","",M1303*X1303/100)</f>
        <v/>
      </c>
      <c r="O1303" s="7" t="n"/>
      <c r="U1303" s="7" t="n"/>
      <c r="V1303" s="7" t="n"/>
      <c r="W1303" s="7">
        <f>IF($D1303="","",V1303*AB1303/100)</f>
        <v/>
      </c>
      <c r="X1303" s="7">
        <f>IF($D1303="","",V1303-W1303)</f>
        <v/>
      </c>
      <c r="Y1303" s="7">
        <f>IF($D1303="","",X1303-N1303)</f>
        <v/>
      </c>
      <c r="AB1303">
        <f>IF($D1303="","",IF($AN1303=1,Settings!$C$8,IF($AM1303=1,Settings!$C$6,Settings!$C$7))*100)</f>
        <v/>
      </c>
      <c r="AF1303" s="7" t="n"/>
      <c r="AI1303" s="11" t="n"/>
      <c r="AK1303">
        <f>IF($D1303="","",IF(COUNTIF($D$2:$D1303,$D1303)=1,1,0))</f>
        <v/>
      </c>
      <c r="AL1303">
        <f>IF($AK1303=1,SUMPRODUCT(--($AO$2:$AO$1601&lt;$AO1303))+1,"")</f>
        <v/>
      </c>
      <c r="AM1303">
        <f>IF($D1303="","",IF(OR($R1303=TRUE(),$R1303="TRUE"),1,0))</f>
        <v/>
      </c>
      <c r="AN1303">
        <f>IF($D1303="","",IF($AA1303="Yes",1,0))</f>
        <v/>
      </c>
      <c r="AO1303">
        <f>IF($AK1303=1,IFERROR(IF(VALUE($D1303)&lt;100000000,VALUE($D1303),1000000000),IFERROR(IF(VALUE(MID($D1303,2,20))&lt;100000000,VALUE(MID($D1303,2,20)),1000000000),1000000000))+ROW()/100000,"")</f>
        <v/>
      </c>
    </row>
    <row r="1304">
      <c r="F1304" s="11" t="n"/>
      <c r="N1304" s="7">
        <f>IF($D1304="","",M1304*X1304/100)</f>
        <v/>
      </c>
      <c r="O1304" s="7" t="n"/>
      <c r="U1304" s="7" t="n"/>
      <c r="V1304" s="7" t="n"/>
      <c r="W1304" s="7">
        <f>IF($D1304="","",V1304*AB1304/100)</f>
        <v/>
      </c>
      <c r="X1304" s="7">
        <f>IF($D1304="","",V1304-W1304)</f>
        <v/>
      </c>
      <c r="Y1304" s="7">
        <f>IF($D1304="","",X1304-N1304)</f>
        <v/>
      </c>
      <c r="AB1304">
        <f>IF($D1304="","",IF($AN1304=1,Settings!$C$8,IF($AM1304=1,Settings!$C$6,Settings!$C$7))*100)</f>
        <v/>
      </c>
      <c r="AF1304" s="7" t="n"/>
      <c r="AI1304" s="11" t="n"/>
      <c r="AK1304">
        <f>IF($D1304="","",IF(COUNTIF($D$2:$D1304,$D1304)=1,1,0))</f>
        <v/>
      </c>
      <c r="AL1304">
        <f>IF($AK1304=1,SUMPRODUCT(--($AO$2:$AO$1601&lt;$AO1304))+1,"")</f>
        <v/>
      </c>
      <c r="AM1304">
        <f>IF($D1304="","",IF(OR($R1304=TRUE(),$R1304="TRUE"),1,0))</f>
        <v/>
      </c>
      <c r="AN1304">
        <f>IF($D1304="","",IF($AA1304="Yes",1,0))</f>
        <v/>
      </c>
      <c r="AO1304">
        <f>IF($AK1304=1,IFERROR(IF(VALUE($D1304)&lt;100000000,VALUE($D1304),1000000000),IFERROR(IF(VALUE(MID($D1304,2,20))&lt;100000000,VALUE(MID($D1304,2,20)),1000000000),1000000000))+ROW()/100000,"")</f>
        <v/>
      </c>
    </row>
    <row r="1305">
      <c r="F1305" s="11" t="n"/>
      <c r="N1305" s="7">
        <f>IF($D1305="","",M1305*X1305/100)</f>
        <v/>
      </c>
      <c r="O1305" s="7" t="n"/>
      <c r="U1305" s="7" t="n"/>
      <c r="V1305" s="7" t="n"/>
      <c r="W1305" s="7">
        <f>IF($D1305="","",V1305*AB1305/100)</f>
        <v/>
      </c>
      <c r="X1305" s="7">
        <f>IF($D1305="","",V1305-W1305)</f>
        <v/>
      </c>
      <c r="Y1305" s="7">
        <f>IF($D1305="","",X1305-N1305)</f>
        <v/>
      </c>
      <c r="AB1305">
        <f>IF($D1305="","",IF($AN1305=1,Settings!$C$8,IF($AM1305=1,Settings!$C$6,Settings!$C$7))*100)</f>
        <v/>
      </c>
      <c r="AF1305" s="7" t="n"/>
      <c r="AI1305" s="11" t="n"/>
      <c r="AK1305">
        <f>IF($D1305="","",IF(COUNTIF($D$2:$D1305,$D1305)=1,1,0))</f>
        <v/>
      </c>
      <c r="AL1305">
        <f>IF($AK1305=1,SUMPRODUCT(--($AO$2:$AO$1601&lt;$AO1305))+1,"")</f>
        <v/>
      </c>
      <c r="AM1305">
        <f>IF($D1305="","",IF(OR($R1305=TRUE(),$R1305="TRUE"),1,0))</f>
        <v/>
      </c>
      <c r="AN1305">
        <f>IF($D1305="","",IF($AA1305="Yes",1,0))</f>
        <v/>
      </c>
      <c r="AO1305">
        <f>IF($AK1305=1,IFERROR(IF(VALUE($D1305)&lt;100000000,VALUE($D1305),1000000000),IFERROR(IF(VALUE(MID($D1305,2,20))&lt;100000000,VALUE(MID($D1305,2,20)),1000000000),1000000000))+ROW()/100000,"")</f>
        <v/>
      </c>
    </row>
    <row r="1306">
      <c r="F1306" s="11" t="n"/>
      <c r="N1306" s="7">
        <f>IF($D1306="","",M1306*X1306/100)</f>
        <v/>
      </c>
      <c r="O1306" s="7" t="n"/>
      <c r="U1306" s="7" t="n"/>
      <c r="V1306" s="7" t="n"/>
      <c r="W1306" s="7">
        <f>IF($D1306="","",V1306*AB1306/100)</f>
        <v/>
      </c>
      <c r="X1306" s="7">
        <f>IF($D1306="","",V1306-W1306)</f>
        <v/>
      </c>
      <c r="Y1306" s="7">
        <f>IF($D1306="","",X1306-N1306)</f>
        <v/>
      </c>
      <c r="AB1306">
        <f>IF($D1306="","",IF($AN1306=1,Settings!$C$8,IF($AM1306=1,Settings!$C$6,Settings!$C$7))*100)</f>
        <v/>
      </c>
      <c r="AF1306" s="7" t="n"/>
      <c r="AI1306" s="11" t="n"/>
      <c r="AK1306">
        <f>IF($D1306="","",IF(COUNTIF($D$2:$D1306,$D1306)=1,1,0))</f>
        <v/>
      </c>
      <c r="AL1306">
        <f>IF($AK1306=1,SUMPRODUCT(--($AO$2:$AO$1601&lt;$AO1306))+1,"")</f>
        <v/>
      </c>
      <c r="AM1306">
        <f>IF($D1306="","",IF(OR($R1306=TRUE(),$R1306="TRUE"),1,0))</f>
        <v/>
      </c>
      <c r="AN1306">
        <f>IF($D1306="","",IF($AA1306="Yes",1,0))</f>
        <v/>
      </c>
      <c r="AO1306">
        <f>IF($AK1306=1,IFERROR(IF(VALUE($D1306)&lt;100000000,VALUE($D1306),1000000000),IFERROR(IF(VALUE(MID($D1306,2,20))&lt;100000000,VALUE(MID($D1306,2,20)),1000000000),1000000000))+ROW()/100000,"")</f>
        <v/>
      </c>
    </row>
    <row r="1307">
      <c r="F1307" s="11" t="n"/>
      <c r="N1307" s="7">
        <f>IF($D1307="","",M1307*X1307/100)</f>
        <v/>
      </c>
      <c r="O1307" s="7" t="n"/>
      <c r="U1307" s="7" t="n"/>
      <c r="V1307" s="7" t="n"/>
      <c r="W1307" s="7">
        <f>IF($D1307="","",V1307*AB1307/100)</f>
        <v/>
      </c>
      <c r="X1307" s="7">
        <f>IF($D1307="","",V1307-W1307)</f>
        <v/>
      </c>
      <c r="Y1307" s="7">
        <f>IF($D1307="","",X1307-N1307)</f>
        <v/>
      </c>
      <c r="AB1307">
        <f>IF($D1307="","",IF($AN1307=1,Settings!$C$8,IF($AM1307=1,Settings!$C$6,Settings!$C$7))*100)</f>
        <v/>
      </c>
      <c r="AF1307" s="7" t="n"/>
      <c r="AI1307" s="11" t="n"/>
      <c r="AK1307">
        <f>IF($D1307="","",IF(COUNTIF($D$2:$D1307,$D1307)=1,1,0))</f>
        <v/>
      </c>
      <c r="AL1307">
        <f>IF($AK1307=1,SUMPRODUCT(--($AO$2:$AO$1601&lt;$AO1307))+1,"")</f>
        <v/>
      </c>
      <c r="AM1307">
        <f>IF($D1307="","",IF(OR($R1307=TRUE(),$R1307="TRUE"),1,0))</f>
        <v/>
      </c>
      <c r="AN1307">
        <f>IF($D1307="","",IF($AA1307="Yes",1,0))</f>
        <v/>
      </c>
      <c r="AO1307">
        <f>IF($AK1307=1,IFERROR(IF(VALUE($D1307)&lt;100000000,VALUE($D1307),1000000000),IFERROR(IF(VALUE(MID($D1307,2,20))&lt;100000000,VALUE(MID($D1307,2,20)),1000000000),1000000000))+ROW()/100000,"")</f>
        <v/>
      </c>
    </row>
    <row r="1308">
      <c r="F1308" s="11" t="n"/>
      <c r="N1308" s="7">
        <f>IF($D1308="","",M1308*X1308/100)</f>
        <v/>
      </c>
      <c r="O1308" s="7" t="n"/>
      <c r="U1308" s="7" t="n"/>
      <c r="V1308" s="7" t="n"/>
      <c r="W1308" s="7">
        <f>IF($D1308="","",V1308*AB1308/100)</f>
        <v/>
      </c>
      <c r="X1308" s="7">
        <f>IF($D1308="","",V1308-W1308)</f>
        <v/>
      </c>
      <c r="Y1308" s="7">
        <f>IF($D1308="","",X1308-N1308)</f>
        <v/>
      </c>
      <c r="AB1308">
        <f>IF($D1308="","",IF($AN1308=1,Settings!$C$8,IF($AM1308=1,Settings!$C$6,Settings!$C$7))*100)</f>
        <v/>
      </c>
      <c r="AF1308" s="7" t="n"/>
      <c r="AI1308" s="11" t="n"/>
      <c r="AK1308">
        <f>IF($D1308="","",IF(COUNTIF($D$2:$D1308,$D1308)=1,1,0))</f>
        <v/>
      </c>
      <c r="AL1308">
        <f>IF($AK1308=1,SUMPRODUCT(--($AO$2:$AO$1601&lt;$AO1308))+1,"")</f>
        <v/>
      </c>
      <c r="AM1308">
        <f>IF($D1308="","",IF(OR($R1308=TRUE(),$R1308="TRUE"),1,0))</f>
        <v/>
      </c>
      <c r="AN1308">
        <f>IF($D1308="","",IF($AA1308="Yes",1,0))</f>
        <v/>
      </c>
      <c r="AO1308">
        <f>IF($AK1308=1,IFERROR(IF(VALUE($D1308)&lt;100000000,VALUE($D1308),1000000000),IFERROR(IF(VALUE(MID($D1308,2,20))&lt;100000000,VALUE(MID($D1308,2,20)),1000000000),1000000000))+ROW()/100000,"")</f>
        <v/>
      </c>
    </row>
    <row r="1309">
      <c r="F1309" s="11" t="n"/>
      <c r="N1309" s="7">
        <f>IF($D1309="","",M1309*X1309/100)</f>
        <v/>
      </c>
      <c r="O1309" s="7" t="n"/>
      <c r="U1309" s="7" t="n"/>
      <c r="V1309" s="7" t="n"/>
      <c r="W1309" s="7">
        <f>IF($D1309="","",V1309*AB1309/100)</f>
        <v/>
      </c>
      <c r="X1309" s="7">
        <f>IF($D1309="","",V1309-W1309)</f>
        <v/>
      </c>
      <c r="Y1309" s="7">
        <f>IF($D1309="","",X1309-N1309)</f>
        <v/>
      </c>
      <c r="AB1309">
        <f>IF($D1309="","",IF($AN1309=1,Settings!$C$8,IF($AM1309=1,Settings!$C$6,Settings!$C$7))*100)</f>
        <v/>
      </c>
      <c r="AF1309" s="7" t="n"/>
      <c r="AI1309" s="11" t="n"/>
      <c r="AK1309">
        <f>IF($D1309="","",IF(COUNTIF($D$2:$D1309,$D1309)=1,1,0))</f>
        <v/>
      </c>
      <c r="AL1309">
        <f>IF($AK1309=1,SUMPRODUCT(--($AO$2:$AO$1601&lt;$AO1309))+1,"")</f>
        <v/>
      </c>
      <c r="AM1309">
        <f>IF($D1309="","",IF(OR($R1309=TRUE(),$R1309="TRUE"),1,0))</f>
        <v/>
      </c>
      <c r="AN1309">
        <f>IF($D1309="","",IF($AA1309="Yes",1,0))</f>
        <v/>
      </c>
      <c r="AO1309">
        <f>IF($AK1309=1,IFERROR(IF(VALUE($D1309)&lt;100000000,VALUE($D1309),1000000000),IFERROR(IF(VALUE(MID($D1309,2,20))&lt;100000000,VALUE(MID($D1309,2,20)),1000000000),1000000000))+ROW()/100000,"")</f>
        <v/>
      </c>
    </row>
    <row r="1310">
      <c r="F1310" s="11" t="n"/>
      <c r="N1310" s="7">
        <f>IF($D1310="","",M1310*X1310/100)</f>
        <v/>
      </c>
      <c r="O1310" s="7" t="n"/>
      <c r="U1310" s="7" t="n"/>
      <c r="V1310" s="7" t="n"/>
      <c r="W1310" s="7">
        <f>IF($D1310="","",V1310*AB1310/100)</f>
        <v/>
      </c>
      <c r="X1310" s="7">
        <f>IF($D1310="","",V1310-W1310)</f>
        <v/>
      </c>
      <c r="Y1310" s="7">
        <f>IF($D1310="","",X1310-N1310)</f>
        <v/>
      </c>
      <c r="AB1310">
        <f>IF($D1310="","",IF($AN1310=1,Settings!$C$8,IF($AM1310=1,Settings!$C$6,Settings!$C$7))*100)</f>
        <v/>
      </c>
      <c r="AF1310" s="7" t="n"/>
      <c r="AI1310" s="11" t="n"/>
      <c r="AK1310">
        <f>IF($D1310="","",IF(COUNTIF($D$2:$D1310,$D1310)=1,1,0))</f>
        <v/>
      </c>
      <c r="AL1310">
        <f>IF($AK1310=1,SUMPRODUCT(--($AO$2:$AO$1601&lt;$AO1310))+1,"")</f>
        <v/>
      </c>
      <c r="AM1310">
        <f>IF($D1310="","",IF(OR($R1310=TRUE(),$R1310="TRUE"),1,0))</f>
        <v/>
      </c>
      <c r="AN1310">
        <f>IF($D1310="","",IF($AA1310="Yes",1,0))</f>
        <v/>
      </c>
      <c r="AO1310">
        <f>IF($AK1310=1,IFERROR(IF(VALUE($D1310)&lt;100000000,VALUE($D1310),1000000000),IFERROR(IF(VALUE(MID($D1310,2,20))&lt;100000000,VALUE(MID($D1310,2,20)),1000000000),1000000000))+ROW()/100000,"")</f>
        <v/>
      </c>
    </row>
    <row r="1311">
      <c r="F1311" s="11" t="n"/>
      <c r="N1311" s="7">
        <f>IF($D1311="","",M1311*X1311/100)</f>
        <v/>
      </c>
      <c r="O1311" s="7" t="n"/>
      <c r="U1311" s="7" t="n"/>
      <c r="V1311" s="7" t="n"/>
      <c r="W1311" s="7">
        <f>IF($D1311="","",V1311*AB1311/100)</f>
        <v/>
      </c>
      <c r="X1311" s="7">
        <f>IF($D1311="","",V1311-W1311)</f>
        <v/>
      </c>
      <c r="Y1311" s="7">
        <f>IF($D1311="","",X1311-N1311)</f>
        <v/>
      </c>
      <c r="AB1311">
        <f>IF($D1311="","",IF($AN1311=1,Settings!$C$8,IF($AM1311=1,Settings!$C$6,Settings!$C$7))*100)</f>
        <v/>
      </c>
      <c r="AF1311" s="7" t="n"/>
      <c r="AI1311" s="11" t="n"/>
      <c r="AK1311">
        <f>IF($D1311="","",IF(COUNTIF($D$2:$D1311,$D1311)=1,1,0))</f>
        <v/>
      </c>
      <c r="AL1311">
        <f>IF($AK1311=1,SUMPRODUCT(--($AO$2:$AO$1601&lt;$AO1311))+1,"")</f>
        <v/>
      </c>
      <c r="AM1311">
        <f>IF($D1311="","",IF(OR($R1311=TRUE(),$R1311="TRUE"),1,0))</f>
        <v/>
      </c>
      <c r="AN1311">
        <f>IF($D1311="","",IF($AA1311="Yes",1,0))</f>
        <v/>
      </c>
      <c r="AO1311">
        <f>IF($AK1311=1,IFERROR(IF(VALUE($D1311)&lt;100000000,VALUE($D1311),1000000000),IFERROR(IF(VALUE(MID($D1311,2,20))&lt;100000000,VALUE(MID($D1311,2,20)),1000000000),1000000000))+ROW()/100000,"")</f>
        <v/>
      </c>
    </row>
    <row r="1312">
      <c r="F1312" s="11" t="n"/>
      <c r="N1312" s="7">
        <f>IF($D1312="","",M1312*X1312/100)</f>
        <v/>
      </c>
      <c r="O1312" s="7" t="n"/>
      <c r="U1312" s="7" t="n"/>
      <c r="V1312" s="7" t="n"/>
      <c r="W1312" s="7">
        <f>IF($D1312="","",V1312*AB1312/100)</f>
        <v/>
      </c>
      <c r="X1312" s="7">
        <f>IF($D1312="","",V1312-W1312)</f>
        <v/>
      </c>
      <c r="Y1312" s="7">
        <f>IF($D1312="","",X1312-N1312)</f>
        <v/>
      </c>
      <c r="AB1312">
        <f>IF($D1312="","",IF($AN1312=1,Settings!$C$8,IF($AM1312=1,Settings!$C$6,Settings!$C$7))*100)</f>
        <v/>
      </c>
      <c r="AF1312" s="7" t="n"/>
      <c r="AI1312" s="11" t="n"/>
      <c r="AK1312">
        <f>IF($D1312="","",IF(COUNTIF($D$2:$D1312,$D1312)=1,1,0))</f>
        <v/>
      </c>
      <c r="AL1312">
        <f>IF($AK1312=1,SUMPRODUCT(--($AO$2:$AO$1601&lt;$AO1312))+1,"")</f>
        <v/>
      </c>
      <c r="AM1312">
        <f>IF($D1312="","",IF(OR($R1312=TRUE(),$R1312="TRUE"),1,0))</f>
        <v/>
      </c>
      <c r="AN1312">
        <f>IF($D1312="","",IF($AA1312="Yes",1,0))</f>
        <v/>
      </c>
      <c r="AO1312">
        <f>IF($AK1312=1,IFERROR(IF(VALUE($D1312)&lt;100000000,VALUE($D1312),1000000000),IFERROR(IF(VALUE(MID($D1312,2,20))&lt;100000000,VALUE(MID($D1312,2,20)),1000000000),1000000000))+ROW()/100000,"")</f>
        <v/>
      </c>
    </row>
    <row r="1313">
      <c r="F1313" s="11" t="n"/>
      <c r="N1313" s="7">
        <f>IF($D1313="","",M1313*X1313/100)</f>
        <v/>
      </c>
      <c r="O1313" s="7" t="n"/>
      <c r="U1313" s="7" t="n"/>
      <c r="V1313" s="7" t="n"/>
      <c r="W1313" s="7">
        <f>IF($D1313="","",V1313*AB1313/100)</f>
        <v/>
      </c>
      <c r="X1313" s="7">
        <f>IF($D1313="","",V1313-W1313)</f>
        <v/>
      </c>
      <c r="Y1313" s="7">
        <f>IF($D1313="","",X1313-N1313)</f>
        <v/>
      </c>
      <c r="AB1313">
        <f>IF($D1313="","",IF($AN1313=1,Settings!$C$8,IF($AM1313=1,Settings!$C$6,Settings!$C$7))*100)</f>
        <v/>
      </c>
      <c r="AF1313" s="7" t="n"/>
      <c r="AI1313" s="11" t="n"/>
      <c r="AK1313">
        <f>IF($D1313="","",IF(COUNTIF($D$2:$D1313,$D1313)=1,1,0))</f>
        <v/>
      </c>
      <c r="AL1313">
        <f>IF($AK1313=1,SUMPRODUCT(--($AO$2:$AO$1601&lt;$AO1313))+1,"")</f>
        <v/>
      </c>
      <c r="AM1313">
        <f>IF($D1313="","",IF(OR($R1313=TRUE(),$R1313="TRUE"),1,0))</f>
        <v/>
      </c>
      <c r="AN1313">
        <f>IF($D1313="","",IF($AA1313="Yes",1,0))</f>
        <v/>
      </c>
      <c r="AO1313">
        <f>IF($AK1313=1,IFERROR(IF(VALUE($D1313)&lt;100000000,VALUE($D1313),1000000000),IFERROR(IF(VALUE(MID($D1313,2,20))&lt;100000000,VALUE(MID($D1313,2,20)),1000000000),1000000000))+ROW()/100000,"")</f>
        <v/>
      </c>
    </row>
    <row r="1314">
      <c r="F1314" s="11" t="n"/>
      <c r="N1314" s="7">
        <f>IF($D1314="","",M1314*X1314/100)</f>
        <v/>
      </c>
      <c r="O1314" s="7" t="n"/>
      <c r="U1314" s="7" t="n"/>
      <c r="V1314" s="7" t="n"/>
      <c r="W1314" s="7">
        <f>IF($D1314="","",V1314*AB1314/100)</f>
        <v/>
      </c>
      <c r="X1314" s="7">
        <f>IF($D1314="","",V1314-W1314)</f>
        <v/>
      </c>
      <c r="Y1314" s="7">
        <f>IF($D1314="","",X1314-N1314)</f>
        <v/>
      </c>
      <c r="AB1314">
        <f>IF($D1314="","",IF($AN1314=1,Settings!$C$8,IF($AM1314=1,Settings!$C$6,Settings!$C$7))*100)</f>
        <v/>
      </c>
      <c r="AF1314" s="7" t="n"/>
      <c r="AI1314" s="11" t="n"/>
      <c r="AK1314">
        <f>IF($D1314="","",IF(COUNTIF($D$2:$D1314,$D1314)=1,1,0))</f>
        <v/>
      </c>
      <c r="AL1314">
        <f>IF($AK1314=1,SUMPRODUCT(--($AO$2:$AO$1601&lt;$AO1314))+1,"")</f>
        <v/>
      </c>
      <c r="AM1314">
        <f>IF($D1314="","",IF(OR($R1314=TRUE(),$R1314="TRUE"),1,0))</f>
        <v/>
      </c>
      <c r="AN1314">
        <f>IF($D1314="","",IF($AA1314="Yes",1,0))</f>
        <v/>
      </c>
      <c r="AO1314">
        <f>IF($AK1314=1,IFERROR(IF(VALUE($D1314)&lt;100000000,VALUE($D1314),1000000000),IFERROR(IF(VALUE(MID($D1314,2,20))&lt;100000000,VALUE(MID($D1314,2,20)),1000000000),1000000000))+ROW()/100000,"")</f>
        <v/>
      </c>
    </row>
    <row r="1315">
      <c r="F1315" s="11" t="n"/>
      <c r="N1315" s="7">
        <f>IF($D1315="","",M1315*X1315/100)</f>
        <v/>
      </c>
      <c r="O1315" s="7" t="n"/>
      <c r="U1315" s="7" t="n"/>
      <c r="V1315" s="7" t="n"/>
      <c r="W1315" s="7">
        <f>IF($D1315="","",V1315*AB1315/100)</f>
        <v/>
      </c>
      <c r="X1315" s="7">
        <f>IF($D1315="","",V1315-W1315)</f>
        <v/>
      </c>
      <c r="Y1315" s="7">
        <f>IF($D1315="","",X1315-N1315)</f>
        <v/>
      </c>
      <c r="AB1315">
        <f>IF($D1315="","",IF($AN1315=1,Settings!$C$8,IF($AM1315=1,Settings!$C$6,Settings!$C$7))*100)</f>
        <v/>
      </c>
      <c r="AF1315" s="7" t="n"/>
      <c r="AI1315" s="11" t="n"/>
      <c r="AK1315">
        <f>IF($D1315="","",IF(COUNTIF($D$2:$D1315,$D1315)=1,1,0))</f>
        <v/>
      </c>
      <c r="AL1315">
        <f>IF($AK1315=1,SUMPRODUCT(--($AO$2:$AO$1601&lt;$AO1315))+1,"")</f>
        <v/>
      </c>
      <c r="AM1315">
        <f>IF($D1315="","",IF(OR($R1315=TRUE(),$R1315="TRUE"),1,0))</f>
        <v/>
      </c>
      <c r="AN1315">
        <f>IF($D1315="","",IF($AA1315="Yes",1,0))</f>
        <v/>
      </c>
      <c r="AO1315">
        <f>IF($AK1315=1,IFERROR(IF(VALUE($D1315)&lt;100000000,VALUE($D1315),1000000000),IFERROR(IF(VALUE(MID($D1315,2,20))&lt;100000000,VALUE(MID($D1315,2,20)),1000000000),1000000000))+ROW()/100000,"")</f>
        <v/>
      </c>
    </row>
    <row r="1316">
      <c r="F1316" s="11" t="n"/>
      <c r="N1316" s="7">
        <f>IF($D1316="","",M1316*X1316/100)</f>
        <v/>
      </c>
      <c r="O1316" s="7" t="n"/>
      <c r="U1316" s="7" t="n"/>
      <c r="V1316" s="7" t="n"/>
      <c r="W1316" s="7">
        <f>IF($D1316="","",V1316*AB1316/100)</f>
        <v/>
      </c>
      <c r="X1316" s="7">
        <f>IF($D1316="","",V1316-W1316)</f>
        <v/>
      </c>
      <c r="Y1316" s="7">
        <f>IF($D1316="","",X1316-N1316)</f>
        <v/>
      </c>
      <c r="AB1316">
        <f>IF($D1316="","",IF($AN1316=1,Settings!$C$8,IF($AM1316=1,Settings!$C$6,Settings!$C$7))*100)</f>
        <v/>
      </c>
      <c r="AF1316" s="7" t="n"/>
      <c r="AI1316" s="11" t="n"/>
      <c r="AK1316">
        <f>IF($D1316="","",IF(COUNTIF($D$2:$D1316,$D1316)=1,1,0))</f>
        <v/>
      </c>
      <c r="AL1316">
        <f>IF($AK1316=1,SUMPRODUCT(--($AO$2:$AO$1601&lt;$AO1316))+1,"")</f>
        <v/>
      </c>
      <c r="AM1316">
        <f>IF($D1316="","",IF(OR($R1316=TRUE(),$R1316="TRUE"),1,0))</f>
        <v/>
      </c>
      <c r="AN1316">
        <f>IF($D1316="","",IF($AA1316="Yes",1,0))</f>
        <v/>
      </c>
      <c r="AO1316">
        <f>IF($AK1316=1,IFERROR(IF(VALUE($D1316)&lt;100000000,VALUE($D1316),1000000000),IFERROR(IF(VALUE(MID($D1316,2,20))&lt;100000000,VALUE(MID($D1316,2,20)),1000000000),1000000000))+ROW()/100000,"")</f>
        <v/>
      </c>
    </row>
    <row r="1317">
      <c r="F1317" s="11" t="n"/>
      <c r="N1317" s="7">
        <f>IF($D1317="","",M1317*X1317/100)</f>
        <v/>
      </c>
      <c r="O1317" s="7" t="n"/>
      <c r="U1317" s="7" t="n"/>
      <c r="V1317" s="7" t="n"/>
      <c r="W1317" s="7">
        <f>IF($D1317="","",V1317*AB1317/100)</f>
        <v/>
      </c>
      <c r="X1317" s="7">
        <f>IF($D1317="","",V1317-W1317)</f>
        <v/>
      </c>
      <c r="Y1317" s="7">
        <f>IF($D1317="","",X1317-N1317)</f>
        <v/>
      </c>
      <c r="AB1317">
        <f>IF($D1317="","",IF($AN1317=1,Settings!$C$8,IF($AM1317=1,Settings!$C$6,Settings!$C$7))*100)</f>
        <v/>
      </c>
      <c r="AF1317" s="7" t="n"/>
      <c r="AI1317" s="11" t="n"/>
      <c r="AK1317">
        <f>IF($D1317="","",IF(COUNTIF($D$2:$D1317,$D1317)=1,1,0))</f>
        <v/>
      </c>
      <c r="AL1317">
        <f>IF($AK1317=1,SUMPRODUCT(--($AO$2:$AO$1601&lt;$AO1317))+1,"")</f>
        <v/>
      </c>
      <c r="AM1317">
        <f>IF($D1317="","",IF(OR($R1317=TRUE(),$R1317="TRUE"),1,0))</f>
        <v/>
      </c>
      <c r="AN1317">
        <f>IF($D1317="","",IF($AA1317="Yes",1,0))</f>
        <v/>
      </c>
      <c r="AO1317">
        <f>IF($AK1317=1,IFERROR(IF(VALUE($D1317)&lt;100000000,VALUE($D1317),1000000000),IFERROR(IF(VALUE(MID($D1317,2,20))&lt;100000000,VALUE(MID($D1317,2,20)),1000000000),1000000000))+ROW()/100000,"")</f>
        <v/>
      </c>
    </row>
    <row r="1318">
      <c r="F1318" s="11" t="n"/>
      <c r="N1318" s="7">
        <f>IF($D1318="","",M1318*X1318/100)</f>
        <v/>
      </c>
      <c r="O1318" s="7" t="n"/>
      <c r="U1318" s="7" t="n"/>
      <c r="V1318" s="7" t="n"/>
      <c r="W1318" s="7">
        <f>IF($D1318="","",V1318*AB1318/100)</f>
        <v/>
      </c>
      <c r="X1318" s="7">
        <f>IF($D1318="","",V1318-W1318)</f>
        <v/>
      </c>
      <c r="Y1318" s="7">
        <f>IF($D1318="","",X1318-N1318)</f>
        <v/>
      </c>
      <c r="AB1318">
        <f>IF($D1318="","",IF($AN1318=1,Settings!$C$8,IF($AM1318=1,Settings!$C$6,Settings!$C$7))*100)</f>
        <v/>
      </c>
      <c r="AF1318" s="7" t="n"/>
      <c r="AI1318" s="11" t="n"/>
      <c r="AK1318">
        <f>IF($D1318="","",IF(COUNTIF($D$2:$D1318,$D1318)=1,1,0))</f>
        <v/>
      </c>
      <c r="AL1318">
        <f>IF($AK1318=1,SUMPRODUCT(--($AO$2:$AO$1601&lt;$AO1318))+1,"")</f>
        <v/>
      </c>
      <c r="AM1318">
        <f>IF($D1318="","",IF(OR($R1318=TRUE(),$R1318="TRUE"),1,0))</f>
        <v/>
      </c>
      <c r="AN1318">
        <f>IF($D1318="","",IF($AA1318="Yes",1,0))</f>
        <v/>
      </c>
      <c r="AO1318">
        <f>IF($AK1318=1,IFERROR(IF(VALUE($D1318)&lt;100000000,VALUE($D1318),1000000000),IFERROR(IF(VALUE(MID($D1318,2,20))&lt;100000000,VALUE(MID($D1318,2,20)),1000000000),1000000000))+ROW()/100000,"")</f>
        <v/>
      </c>
    </row>
    <row r="1319">
      <c r="F1319" s="11" t="n"/>
      <c r="N1319" s="7">
        <f>IF($D1319="","",M1319*X1319/100)</f>
        <v/>
      </c>
      <c r="O1319" s="7" t="n"/>
      <c r="U1319" s="7" t="n"/>
      <c r="V1319" s="7" t="n"/>
      <c r="W1319" s="7">
        <f>IF($D1319="","",V1319*AB1319/100)</f>
        <v/>
      </c>
      <c r="X1319" s="7">
        <f>IF($D1319="","",V1319-W1319)</f>
        <v/>
      </c>
      <c r="Y1319" s="7">
        <f>IF($D1319="","",X1319-N1319)</f>
        <v/>
      </c>
      <c r="AB1319">
        <f>IF($D1319="","",IF($AN1319=1,Settings!$C$8,IF($AM1319=1,Settings!$C$6,Settings!$C$7))*100)</f>
        <v/>
      </c>
      <c r="AF1319" s="7" t="n"/>
      <c r="AI1319" s="11" t="n"/>
      <c r="AK1319">
        <f>IF($D1319="","",IF(COUNTIF($D$2:$D1319,$D1319)=1,1,0))</f>
        <v/>
      </c>
      <c r="AL1319">
        <f>IF($AK1319=1,SUMPRODUCT(--($AO$2:$AO$1601&lt;$AO1319))+1,"")</f>
        <v/>
      </c>
      <c r="AM1319">
        <f>IF($D1319="","",IF(OR($R1319=TRUE(),$R1319="TRUE"),1,0))</f>
        <v/>
      </c>
      <c r="AN1319">
        <f>IF($D1319="","",IF($AA1319="Yes",1,0))</f>
        <v/>
      </c>
      <c r="AO1319">
        <f>IF($AK1319=1,IFERROR(IF(VALUE($D1319)&lt;100000000,VALUE($D1319),1000000000),IFERROR(IF(VALUE(MID($D1319,2,20))&lt;100000000,VALUE(MID($D1319,2,20)),1000000000),1000000000))+ROW()/100000,"")</f>
        <v/>
      </c>
    </row>
    <row r="1320">
      <c r="F1320" s="11" t="n"/>
      <c r="N1320" s="7">
        <f>IF($D1320="","",M1320*X1320/100)</f>
        <v/>
      </c>
      <c r="O1320" s="7" t="n"/>
      <c r="U1320" s="7" t="n"/>
      <c r="V1320" s="7" t="n"/>
      <c r="W1320" s="7">
        <f>IF($D1320="","",V1320*AB1320/100)</f>
        <v/>
      </c>
      <c r="X1320" s="7">
        <f>IF($D1320="","",V1320-W1320)</f>
        <v/>
      </c>
      <c r="Y1320" s="7">
        <f>IF($D1320="","",X1320-N1320)</f>
        <v/>
      </c>
      <c r="AB1320">
        <f>IF($D1320="","",IF($AN1320=1,Settings!$C$8,IF($AM1320=1,Settings!$C$6,Settings!$C$7))*100)</f>
        <v/>
      </c>
      <c r="AF1320" s="7" t="n"/>
      <c r="AI1320" s="11" t="n"/>
      <c r="AK1320">
        <f>IF($D1320="","",IF(COUNTIF($D$2:$D1320,$D1320)=1,1,0))</f>
        <v/>
      </c>
      <c r="AL1320">
        <f>IF($AK1320=1,SUMPRODUCT(--($AO$2:$AO$1601&lt;$AO1320))+1,"")</f>
        <v/>
      </c>
      <c r="AM1320">
        <f>IF($D1320="","",IF(OR($R1320=TRUE(),$R1320="TRUE"),1,0))</f>
        <v/>
      </c>
      <c r="AN1320">
        <f>IF($D1320="","",IF($AA1320="Yes",1,0))</f>
        <v/>
      </c>
      <c r="AO1320">
        <f>IF($AK1320=1,IFERROR(IF(VALUE($D1320)&lt;100000000,VALUE($D1320),1000000000),IFERROR(IF(VALUE(MID($D1320,2,20))&lt;100000000,VALUE(MID($D1320,2,20)),1000000000),1000000000))+ROW()/100000,"")</f>
        <v/>
      </c>
    </row>
    <row r="1321">
      <c r="F1321" s="11" t="n"/>
      <c r="N1321" s="7">
        <f>IF($D1321="","",M1321*X1321/100)</f>
        <v/>
      </c>
      <c r="O1321" s="7" t="n"/>
      <c r="U1321" s="7" t="n"/>
      <c r="V1321" s="7" t="n"/>
      <c r="W1321" s="7">
        <f>IF($D1321="","",V1321*AB1321/100)</f>
        <v/>
      </c>
      <c r="X1321" s="7">
        <f>IF($D1321="","",V1321-W1321)</f>
        <v/>
      </c>
      <c r="Y1321" s="7">
        <f>IF($D1321="","",X1321-N1321)</f>
        <v/>
      </c>
      <c r="AB1321">
        <f>IF($D1321="","",IF($AN1321=1,Settings!$C$8,IF($AM1321=1,Settings!$C$6,Settings!$C$7))*100)</f>
        <v/>
      </c>
      <c r="AF1321" s="7" t="n"/>
      <c r="AI1321" s="11" t="n"/>
      <c r="AK1321">
        <f>IF($D1321="","",IF(COUNTIF($D$2:$D1321,$D1321)=1,1,0))</f>
        <v/>
      </c>
      <c r="AL1321">
        <f>IF($AK1321=1,SUMPRODUCT(--($AO$2:$AO$1601&lt;$AO1321))+1,"")</f>
        <v/>
      </c>
      <c r="AM1321">
        <f>IF($D1321="","",IF(OR($R1321=TRUE(),$R1321="TRUE"),1,0))</f>
        <v/>
      </c>
      <c r="AN1321">
        <f>IF($D1321="","",IF($AA1321="Yes",1,0))</f>
        <v/>
      </c>
      <c r="AO1321">
        <f>IF($AK1321=1,IFERROR(IF(VALUE($D1321)&lt;100000000,VALUE($D1321),1000000000),IFERROR(IF(VALUE(MID($D1321,2,20))&lt;100000000,VALUE(MID($D1321,2,20)),1000000000),1000000000))+ROW()/100000,"")</f>
        <v/>
      </c>
    </row>
    <row r="1322">
      <c r="F1322" s="11" t="n"/>
      <c r="N1322" s="7">
        <f>IF($D1322="","",M1322*X1322/100)</f>
        <v/>
      </c>
      <c r="O1322" s="7" t="n"/>
      <c r="U1322" s="7" t="n"/>
      <c r="V1322" s="7" t="n"/>
      <c r="W1322" s="7">
        <f>IF($D1322="","",V1322*AB1322/100)</f>
        <v/>
      </c>
      <c r="X1322" s="7">
        <f>IF($D1322="","",V1322-W1322)</f>
        <v/>
      </c>
      <c r="Y1322" s="7">
        <f>IF($D1322="","",X1322-N1322)</f>
        <v/>
      </c>
      <c r="AB1322">
        <f>IF($D1322="","",IF($AN1322=1,Settings!$C$8,IF($AM1322=1,Settings!$C$6,Settings!$C$7))*100)</f>
        <v/>
      </c>
      <c r="AF1322" s="7" t="n"/>
      <c r="AI1322" s="11" t="n"/>
      <c r="AK1322">
        <f>IF($D1322="","",IF(COUNTIF($D$2:$D1322,$D1322)=1,1,0))</f>
        <v/>
      </c>
      <c r="AL1322">
        <f>IF($AK1322=1,SUMPRODUCT(--($AO$2:$AO$1601&lt;$AO1322))+1,"")</f>
        <v/>
      </c>
      <c r="AM1322">
        <f>IF($D1322="","",IF(OR($R1322=TRUE(),$R1322="TRUE"),1,0))</f>
        <v/>
      </c>
      <c r="AN1322">
        <f>IF($D1322="","",IF($AA1322="Yes",1,0))</f>
        <v/>
      </c>
      <c r="AO1322">
        <f>IF($AK1322=1,IFERROR(IF(VALUE($D1322)&lt;100000000,VALUE($D1322),1000000000),IFERROR(IF(VALUE(MID($D1322,2,20))&lt;100000000,VALUE(MID($D1322,2,20)),1000000000),1000000000))+ROW()/100000,"")</f>
        <v/>
      </c>
    </row>
    <row r="1323">
      <c r="F1323" s="11" t="n"/>
      <c r="N1323" s="7">
        <f>IF($D1323="","",M1323*X1323/100)</f>
        <v/>
      </c>
      <c r="O1323" s="7" t="n"/>
      <c r="U1323" s="7" t="n"/>
      <c r="V1323" s="7" t="n"/>
      <c r="W1323" s="7">
        <f>IF($D1323="","",V1323*AB1323/100)</f>
        <v/>
      </c>
      <c r="X1323" s="7">
        <f>IF($D1323="","",V1323-W1323)</f>
        <v/>
      </c>
      <c r="Y1323" s="7">
        <f>IF($D1323="","",X1323-N1323)</f>
        <v/>
      </c>
      <c r="AB1323">
        <f>IF($D1323="","",IF($AN1323=1,Settings!$C$8,IF($AM1323=1,Settings!$C$6,Settings!$C$7))*100)</f>
        <v/>
      </c>
      <c r="AF1323" s="7" t="n"/>
      <c r="AI1323" s="11" t="n"/>
      <c r="AK1323">
        <f>IF($D1323="","",IF(COUNTIF($D$2:$D1323,$D1323)=1,1,0))</f>
        <v/>
      </c>
      <c r="AL1323">
        <f>IF($AK1323=1,SUMPRODUCT(--($AO$2:$AO$1601&lt;$AO1323))+1,"")</f>
        <v/>
      </c>
      <c r="AM1323">
        <f>IF($D1323="","",IF(OR($R1323=TRUE(),$R1323="TRUE"),1,0))</f>
        <v/>
      </c>
      <c r="AN1323">
        <f>IF($D1323="","",IF($AA1323="Yes",1,0))</f>
        <v/>
      </c>
      <c r="AO1323">
        <f>IF($AK1323=1,IFERROR(IF(VALUE($D1323)&lt;100000000,VALUE($D1323),1000000000),IFERROR(IF(VALUE(MID($D1323,2,20))&lt;100000000,VALUE(MID($D1323,2,20)),1000000000),1000000000))+ROW()/100000,"")</f>
        <v/>
      </c>
    </row>
    <row r="1324">
      <c r="F1324" s="11" t="n"/>
      <c r="N1324" s="7">
        <f>IF($D1324="","",M1324*X1324/100)</f>
        <v/>
      </c>
      <c r="O1324" s="7" t="n"/>
      <c r="U1324" s="7" t="n"/>
      <c r="V1324" s="7" t="n"/>
      <c r="W1324" s="7">
        <f>IF($D1324="","",V1324*AB1324/100)</f>
        <v/>
      </c>
      <c r="X1324" s="7">
        <f>IF($D1324="","",V1324-W1324)</f>
        <v/>
      </c>
      <c r="Y1324" s="7">
        <f>IF($D1324="","",X1324-N1324)</f>
        <v/>
      </c>
      <c r="AB1324">
        <f>IF($D1324="","",IF($AN1324=1,Settings!$C$8,IF($AM1324=1,Settings!$C$6,Settings!$C$7))*100)</f>
        <v/>
      </c>
      <c r="AF1324" s="7" t="n"/>
      <c r="AI1324" s="11" t="n"/>
      <c r="AK1324">
        <f>IF($D1324="","",IF(COUNTIF($D$2:$D1324,$D1324)=1,1,0))</f>
        <v/>
      </c>
      <c r="AL1324">
        <f>IF($AK1324=1,SUMPRODUCT(--($AO$2:$AO$1601&lt;$AO1324))+1,"")</f>
        <v/>
      </c>
      <c r="AM1324">
        <f>IF($D1324="","",IF(OR($R1324=TRUE(),$R1324="TRUE"),1,0))</f>
        <v/>
      </c>
      <c r="AN1324">
        <f>IF($D1324="","",IF($AA1324="Yes",1,0))</f>
        <v/>
      </c>
      <c r="AO1324">
        <f>IF($AK1324=1,IFERROR(IF(VALUE($D1324)&lt;100000000,VALUE($D1324),1000000000),IFERROR(IF(VALUE(MID($D1324,2,20))&lt;100000000,VALUE(MID($D1324,2,20)),1000000000),1000000000))+ROW()/100000,"")</f>
        <v/>
      </c>
    </row>
    <row r="1325">
      <c r="F1325" s="11" t="n"/>
      <c r="N1325" s="7">
        <f>IF($D1325="","",M1325*X1325/100)</f>
        <v/>
      </c>
      <c r="O1325" s="7" t="n"/>
      <c r="U1325" s="7" t="n"/>
      <c r="V1325" s="7" t="n"/>
      <c r="W1325" s="7">
        <f>IF($D1325="","",V1325*AB1325/100)</f>
        <v/>
      </c>
      <c r="X1325" s="7">
        <f>IF($D1325="","",V1325-W1325)</f>
        <v/>
      </c>
      <c r="Y1325" s="7">
        <f>IF($D1325="","",X1325-N1325)</f>
        <v/>
      </c>
      <c r="AB1325">
        <f>IF($D1325="","",IF($AN1325=1,Settings!$C$8,IF($AM1325=1,Settings!$C$6,Settings!$C$7))*100)</f>
        <v/>
      </c>
      <c r="AF1325" s="7" t="n"/>
      <c r="AI1325" s="11" t="n"/>
      <c r="AK1325">
        <f>IF($D1325="","",IF(COUNTIF($D$2:$D1325,$D1325)=1,1,0))</f>
        <v/>
      </c>
      <c r="AL1325">
        <f>IF($AK1325=1,SUMPRODUCT(--($AO$2:$AO$1601&lt;$AO1325))+1,"")</f>
        <v/>
      </c>
      <c r="AM1325">
        <f>IF($D1325="","",IF(OR($R1325=TRUE(),$R1325="TRUE"),1,0))</f>
        <v/>
      </c>
      <c r="AN1325">
        <f>IF($D1325="","",IF($AA1325="Yes",1,0))</f>
        <v/>
      </c>
      <c r="AO1325">
        <f>IF($AK1325=1,IFERROR(IF(VALUE($D1325)&lt;100000000,VALUE($D1325),1000000000),IFERROR(IF(VALUE(MID($D1325,2,20))&lt;100000000,VALUE(MID($D1325,2,20)),1000000000),1000000000))+ROW()/100000,"")</f>
        <v/>
      </c>
    </row>
    <row r="1326">
      <c r="F1326" s="11" t="n"/>
      <c r="N1326" s="7">
        <f>IF($D1326="","",M1326*X1326/100)</f>
        <v/>
      </c>
      <c r="O1326" s="7" t="n"/>
      <c r="U1326" s="7" t="n"/>
      <c r="V1326" s="7" t="n"/>
      <c r="W1326" s="7">
        <f>IF($D1326="","",V1326*AB1326/100)</f>
        <v/>
      </c>
      <c r="X1326" s="7">
        <f>IF($D1326="","",V1326-W1326)</f>
        <v/>
      </c>
      <c r="Y1326" s="7">
        <f>IF($D1326="","",X1326-N1326)</f>
        <v/>
      </c>
      <c r="AB1326">
        <f>IF($D1326="","",IF($AN1326=1,Settings!$C$8,IF($AM1326=1,Settings!$C$6,Settings!$C$7))*100)</f>
        <v/>
      </c>
      <c r="AF1326" s="7" t="n"/>
      <c r="AI1326" s="11" t="n"/>
      <c r="AK1326">
        <f>IF($D1326="","",IF(COUNTIF($D$2:$D1326,$D1326)=1,1,0))</f>
        <v/>
      </c>
      <c r="AL1326">
        <f>IF($AK1326=1,SUMPRODUCT(--($AO$2:$AO$1601&lt;$AO1326))+1,"")</f>
        <v/>
      </c>
      <c r="AM1326">
        <f>IF($D1326="","",IF(OR($R1326=TRUE(),$R1326="TRUE"),1,0))</f>
        <v/>
      </c>
      <c r="AN1326">
        <f>IF($D1326="","",IF($AA1326="Yes",1,0))</f>
        <v/>
      </c>
      <c r="AO1326">
        <f>IF($AK1326=1,IFERROR(IF(VALUE($D1326)&lt;100000000,VALUE($D1326),1000000000),IFERROR(IF(VALUE(MID($D1326,2,20))&lt;100000000,VALUE(MID($D1326,2,20)),1000000000),1000000000))+ROW()/100000,"")</f>
        <v/>
      </c>
    </row>
    <row r="1327">
      <c r="F1327" s="11" t="n"/>
      <c r="N1327" s="7">
        <f>IF($D1327="","",M1327*X1327/100)</f>
        <v/>
      </c>
      <c r="O1327" s="7" t="n"/>
      <c r="U1327" s="7" t="n"/>
      <c r="V1327" s="7" t="n"/>
      <c r="W1327" s="7">
        <f>IF($D1327="","",V1327*AB1327/100)</f>
        <v/>
      </c>
      <c r="X1327" s="7">
        <f>IF($D1327="","",V1327-W1327)</f>
        <v/>
      </c>
      <c r="Y1327" s="7">
        <f>IF($D1327="","",X1327-N1327)</f>
        <v/>
      </c>
      <c r="AB1327">
        <f>IF($D1327="","",IF($AN1327=1,Settings!$C$8,IF($AM1327=1,Settings!$C$6,Settings!$C$7))*100)</f>
        <v/>
      </c>
      <c r="AF1327" s="7" t="n"/>
      <c r="AI1327" s="11" t="n"/>
      <c r="AK1327">
        <f>IF($D1327="","",IF(COUNTIF($D$2:$D1327,$D1327)=1,1,0))</f>
        <v/>
      </c>
      <c r="AL1327">
        <f>IF($AK1327=1,SUMPRODUCT(--($AO$2:$AO$1601&lt;$AO1327))+1,"")</f>
        <v/>
      </c>
      <c r="AM1327">
        <f>IF($D1327="","",IF(OR($R1327=TRUE(),$R1327="TRUE"),1,0))</f>
        <v/>
      </c>
      <c r="AN1327">
        <f>IF($D1327="","",IF($AA1327="Yes",1,0))</f>
        <v/>
      </c>
      <c r="AO1327">
        <f>IF($AK1327=1,IFERROR(IF(VALUE($D1327)&lt;100000000,VALUE($D1327),1000000000),IFERROR(IF(VALUE(MID($D1327,2,20))&lt;100000000,VALUE(MID($D1327,2,20)),1000000000),1000000000))+ROW()/100000,"")</f>
        <v/>
      </c>
    </row>
    <row r="1328">
      <c r="F1328" s="11" t="n"/>
      <c r="N1328" s="7">
        <f>IF($D1328="","",M1328*X1328/100)</f>
        <v/>
      </c>
      <c r="O1328" s="7" t="n"/>
      <c r="U1328" s="7" t="n"/>
      <c r="V1328" s="7" t="n"/>
      <c r="W1328" s="7">
        <f>IF($D1328="","",V1328*AB1328/100)</f>
        <v/>
      </c>
      <c r="X1328" s="7">
        <f>IF($D1328="","",V1328-W1328)</f>
        <v/>
      </c>
      <c r="Y1328" s="7">
        <f>IF($D1328="","",X1328-N1328)</f>
        <v/>
      </c>
      <c r="AB1328">
        <f>IF($D1328="","",IF($AN1328=1,Settings!$C$8,IF($AM1328=1,Settings!$C$6,Settings!$C$7))*100)</f>
        <v/>
      </c>
      <c r="AF1328" s="7" t="n"/>
      <c r="AI1328" s="11" t="n"/>
      <c r="AK1328">
        <f>IF($D1328="","",IF(COUNTIF($D$2:$D1328,$D1328)=1,1,0))</f>
        <v/>
      </c>
      <c r="AL1328">
        <f>IF($AK1328=1,SUMPRODUCT(--($AO$2:$AO$1601&lt;$AO1328))+1,"")</f>
        <v/>
      </c>
      <c r="AM1328">
        <f>IF($D1328="","",IF(OR($R1328=TRUE(),$R1328="TRUE"),1,0))</f>
        <v/>
      </c>
      <c r="AN1328">
        <f>IF($D1328="","",IF($AA1328="Yes",1,0))</f>
        <v/>
      </c>
      <c r="AO1328">
        <f>IF($AK1328=1,IFERROR(IF(VALUE($D1328)&lt;100000000,VALUE($D1328),1000000000),IFERROR(IF(VALUE(MID($D1328,2,20))&lt;100000000,VALUE(MID($D1328,2,20)),1000000000),1000000000))+ROW()/100000,"")</f>
        <v/>
      </c>
    </row>
    <row r="1329">
      <c r="F1329" s="11" t="n"/>
      <c r="N1329" s="7">
        <f>IF($D1329="","",M1329*X1329/100)</f>
        <v/>
      </c>
      <c r="O1329" s="7" t="n"/>
      <c r="U1329" s="7" t="n"/>
      <c r="V1329" s="7" t="n"/>
      <c r="W1329" s="7">
        <f>IF($D1329="","",V1329*AB1329/100)</f>
        <v/>
      </c>
      <c r="X1329" s="7">
        <f>IF($D1329="","",V1329-W1329)</f>
        <v/>
      </c>
      <c r="Y1329" s="7">
        <f>IF($D1329="","",X1329-N1329)</f>
        <v/>
      </c>
      <c r="AB1329">
        <f>IF($D1329="","",IF($AN1329=1,Settings!$C$8,IF($AM1329=1,Settings!$C$6,Settings!$C$7))*100)</f>
        <v/>
      </c>
      <c r="AF1329" s="7" t="n"/>
      <c r="AI1329" s="11" t="n"/>
      <c r="AK1329">
        <f>IF($D1329="","",IF(COUNTIF($D$2:$D1329,$D1329)=1,1,0))</f>
        <v/>
      </c>
      <c r="AL1329">
        <f>IF($AK1329=1,SUMPRODUCT(--($AO$2:$AO$1601&lt;$AO1329))+1,"")</f>
        <v/>
      </c>
      <c r="AM1329">
        <f>IF($D1329="","",IF(OR($R1329=TRUE(),$R1329="TRUE"),1,0))</f>
        <v/>
      </c>
      <c r="AN1329">
        <f>IF($D1329="","",IF($AA1329="Yes",1,0))</f>
        <v/>
      </c>
      <c r="AO1329">
        <f>IF($AK1329=1,IFERROR(IF(VALUE($D1329)&lt;100000000,VALUE($D1329),1000000000),IFERROR(IF(VALUE(MID($D1329,2,20))&lt;100000000,VALUE(MID($D1329,2,20)),1000000000),1000000000))+ROW()/100000,"")</f>
        <v/>
      </c>
    </row>
    <row r="1330">
      <c r="F1330" s="11" t="n"/>
      <c r="N1330" s="7">
        <f>IF($D1330="","",M1330*X1330/100)</f>
        <v/>
      </c>
      <c r="O1330" s="7" t="n"/>
      <c r="U1330" s="7" t="n"/>
      <c r="V1330" s="7" t="n"/>
      <c r="W1330" s="7">
        <f>IF($D1330="","",V1330*AB1330/100)</f>
        <v/>
      </c>
      <c r="X1330" s="7">
        <f>IF($D1330="","",V1330-W1330)</f>
        <v/>
      </c>
      <c r="Y1330" s="7">
        <f>IF($D1330="","",X1330-N1330)</f>
        <v/>
      </c>
      <c r="AB1330">
        <f>IF($D1330="","",IF($AN1330=1,Settings!$C$8,IF($AM1330=1,Settings!$C$6,Settings!$C$7))*100)</f>
        <v/>
      </c>
      <c r="AF1330" s="7" t="n"/>
      <c r="AI1330" s="11" t="n"/>
      <c r="AK1330">
        <f>IF($D1330="","",IF(COUNTIF($D$2:$D1330,$D1330)=1,1,0))</f>
        <v/>
      </c>
      <c r="AL1330">
        <f>IF($AK1330=1,SUMPRODUCT(--($AO$2:$AO$1601&lt;$AO1330))+1,"")</f>
        <v/>
      </c>
      <c r="AM1330">
        <f>IF($D1330="","",IF(OR($R1330=TRUE(),$R1330="TRUE"),1,0))</f>
        <v/>
      </c>
      <c r="AN1330">
        <f>IF($D1330="","",IF($AA1330="Yes",1,0))</f>
        <v/>
      </c>
      <c r="AO1330">
        <f>IF($AK1330=1,IFERROR(IF(VALUE($D1330)&lt;100000000,VALUE($D1330),1000000000),IFERROR(IF(VALUE(MID($D1330,2,20))&lt;100000000,VALUE(MID($D1330,2,20)),1000000000),1000000000))+ROW()/100000,"")</f>
        <v/>
      </c>
    </row>
    <row r="1331">
      <c r="F1331" s="11" t="n"/>
      <c r="N1331" s="7">
        <f>IF($D1331="","",M1331*X1331/100)</f>
        <v/>
      </c>
      <c r="O1331" s="7" t="n"/>
      <c r="U1331" s="7" t="n"/>
      <c r="V1331" s="7" t="n"/>
      <c r="W1331" s="7">
        <f>IF($D1331="","",V1331*AB1331/100)</f>
        <v/>
      </c>
      <c r="X1331" s="7">
        <f>IF($D1331="","",V1331-W1331)</f>
        <v/>
      </c>
      <c r="Y1331" s="7">
        <f>IF($D1331="","",X1331-N1331)</f>
        <v/>
      </c>
      <c r="AB1331">
        <f>IF($D1331="","",IF($AN1331=1,Settings!$C$8,IF($AM1331=1,Settings!$C$6,Settings!$C$7))*100)</f>
        <v/>
      </c>
      <c r="AF1331" s="7" t="n"/>
      <c r="AI1331" s="11" t="n"/>
      <c r="AK1331">
        <f>IF($D1331="","",IF(COUNTIF($D$2:$D1331,$D1331)=1,1,0))</f>
        <v/>
      </c>
      <c r="AL1331">
        <f>IF($AK1331=1,SUMPRODUCT(--($AO$2:$AO$1601&lt;$AO1331))+1,"")</f>
        <v/>
      </c>
      <c r="AM1331">
        <f>IF($D1331="","",IF(OR($R1331=TRUE(),$R1331="TRUE"),1,0))</f>
        <v/>
      </c>
      <c r="AN1331">
        <f>IF($D1331="","",IF($AA1331="Yes",1,0))</f>
        <v/>
      </c>
      <c r="AO1331">
        <f>IF($AK1331=1,IFERROR(IF(VALUE($D1331)&lt;100000000,VALUE($D1331),1000000000),IFERROR(IF(VALUE(MID($D1331,2,20))&lt;100000000,VALUE(MID($D1331,2,20)),1000000000),1000000000))+ROW()/100000,"")</f>
        <v/>
      </c>
    </row>
    <row r="1332">
      <c r="F1332" s="11" t="n"/>
      <c r="N1332" s="7">
        <f>IF($D1332="","",M1332*X1332/100)</f>
        <v/>
      </c>
      <c r="O1332" s="7" t="n"/>
      <c r="U1332" s="7" t="n"/>
      <c r="V1332" s="7" t="n"/>
      <c r="W1332" s="7">
        <f>IF($D1332="","",V1332*AB1332/100)</f>
        <v/>
      </c>
      <c r="X1332" s="7">
        <f>IF($D1332="","",V1332-W1332)</f>
        <v/>
      </c>
      <c r="Y1332" s="7">
        <f>IF($D1332="","",X1332-N1332)</f>
        <v/>
      </c>
      <c r="AB1332">
        <f>IF($D1332="","",IF($AN1332=1,Settings!$C$8,IF($AM1332=1,Settings!$C$6,Settings!$C$7))*100)</f>
        <v/>
      </c>
      <c r="AF1332" s="7" t="n"/>
      <c r="AI1332" s="11" t="n"/>
      <c r="AK1332">
        <f>IF($D1332="","",IF(COUNTIF($D$2:$D1332,$D1332)=1,1,0))</f>
        <v/>
      </c>
      <c r="AL1332">
        <f>IF($AK1332=1,SUMPRODUCT(--($AO$2:$AO$1601&lt;$AO1332))+1,"")</f>
        <v/>
      </c>
      <c r="AM1332">
        <f>IF($D1332="","",IF(OR($R1332=TRUE(),$R1332="TRUE"),1,0))</f>
        <v/>
      </c>
      <c r="AN1332">
        <f>IF($D1332="","",IF($AA1332="Yes",1,0))</f>
        <v/>
      </c>
      <c r="AO1332">
        <f>IF($AK1332=1,IFERROR(IF(VALUE($D1332)&lt;100000000,VALUE($D1332),1000000000),IFERROR(IF(VALUE(MID($D1332,2,20))&lt;100000000,VALUE(MID($D1332,2,20)),1000000000),1000000000))+ROW()/100000,"")</f>
        <v/>
      </c>
    </row>
    <row r="1333">
      <c r="F1333" s="11" t="n"/>
      <c r="N1333" s="7">
        <f>IF($D1333="","",M1333*X1333/100)</f>
        <v/>
      </c>
      <c r="O1333" s="7" t="n"/>
      <c r="U1333" s="7" t="n"/>
      <c r="V1333" s="7" t="n"/>
      <c r="W1333" s="7">
        <f>IF($D1333="","",V1333*AB1333/100)</f>
        <v/>
      </c>
      <c r="X1333" s="7">
        <f>IF($D1333="","",V1333-W1333)</f>
        <v/>
      </c>
      <c r="Y1333" s="7">
        <f>IF($D1333="","",X1333-N1333)</f>
        <v/>
      </c>
      <c r="AB1333">
        <f>IF($D1333="","",IF($AN1333=1,Settings!$C$8,IF($AM1333=1,Settings!$C$6,Settings!$C$7))*100)</f>
        <v/>
      </c>
      <c r="AF1333" s="7" t="n"/>
      <c r="AI1333" s="11" t="n"/>
      <c r="AK1333">
        <f>IF($D1333="","",IF(COUNTIF($D$2:$D1333,$D1333)=1,1,0))</f>
        <v/>
      </c>
      <c r="AL1333">
        <f>IF($AK1333=1,SUMPRODUCT(--($AO$2:$AO$1601&lt;$AO1333))+1,"")</f>
        <v/>
      </c>
      <c r="AM1333">
        <f>IF($D1333="","",IF(OR($R1333=TRUE(),$R1333="TRUE"),1,0))</f>
        <v/>
      </c>
      <c r="AN1333">
        <f>IF($D1333="","",IF($AA1333="Yes",1,0))</f>
        <v/>
      </c>
      <c r="AO1333">
        <f>IF($AK1333=1,IFERROR(IF(VALUE($D1333)&lt;100000000,VALUE($D1333),1000000000),IFERROR(IF(VALUE(MID($D1333,2,20))&lt;100000000,VALUE(MID($D1333,2,20)),1000000000),1000000000))+ROW()/100000,"")</f>
        <v/>
      </c>
    </row>
    <row r="1334">
      <c r="F1334" s="11" t="n"/>
      <c r="N1334" s="7">
        <f>IF($D1334="","",M1334*X1334/100)</f>
        <v/>
      </c>
      <c r="O1334" s="7" t="n"/>
      <c r="U1334" s="7" t="n"/>
      <c r="V1334" s="7" t="n"/>
      <c r="W1334" s="7">
        <f>IF($D1334="","",V1334*AB1334/100)</f>
        <v/>
      </c>
      <c r="X1334" s="7">
        <f>IF($D1334="","",V1334-W1334)</f>
        <v/>
      </c>
      <c r="Y1334" s="7">
        <f>IF($D1334="","",X1334-N1334)</f>
        <v/>
      </c>
      <c r="AB1334">
        <f>IF($D1334="","",IF($AN1334=1,Settings!$C$8,IF($AM1334=1,Settings!$C$6,Settings!$C$7))*100)</f>
        <v/>
      </c>
      <c r="AF1334" s="7" t="n"/>
      <c r="AI1334" s="11" t="n"/>
      <c r="AK1334">
        <f>IF($D1334="","",IF(COUNTIF($D$2:$D1334,$D1334)=1,1,0))</f>
        <v/>
      </c>
      <c r="AL1334">
        <f>IF($AK1334=1,SUMPRODUCT(--($AO$2:$AO$1601&lt;$AO1334))+1,"")</f>
        <v/>
      </c>
      <c r="AM1334">
        <f>IF($D1334="","",IF(OR($R1334=TRUE(),$R1334="TRUE"),1,0))</f>
        <v/>
      </c>
      <c r="AN1334">
        <f>IF($D1334="","",IF($AA1334="Yes",1,0))</f>
        <v/>
      </c>
      <c r="AO1334">
        <f>IF($AK1334=1,IFERROR(IF(VALUE($D1334)&lt;100000000,VALUE($D1334),1000000000),IFERROR(IF(VALUE(MID($D1334,2,20))&lt;100000000,VALUE(MID($D1334,2,20)),1000000000),1000000000))+ROW()/100000,"")</f>
        <v/>
      </c>
    </row>
    <row r="1335">
      <c r="F1335" s="11" t="n"/>
      <c r="N1335" s="7">
        <f>IF($D1335="","",M1335*X1335/100)</f>
        <v/>
      </c>
      <c r="O1335" s="7" t="n"/>
      <c r="U1335" s="7" t="n"/>
      <c r="V1335" s="7" t="n"/>
      <c r="W1335" s="7">
        <f>IF($D1335="","",V1335*AB1335/100)</f>
        <v/>
      </c>
      <c r="X1335" s="7">
        <f>IF($D1335="","",V1335-W1335)</f>
        <v/>
      </c>
      <c r="Y1335" s="7">
        <f>IF($D1335="","",X1335-N1335)</f>
        <v/>
      </c>
      <c r="AB1335">
        <f>IF($D1335="","",IF($AN1335=1,Settings!$C$8,IF($AM1335=1,Settings!$C$6,Settings!$C$7))*100)</f>
        <v/>
      </c>
      <c r="AF1335" s="7" t="n"/>
      <c r="AI1335" s="11" t="n"/>
      <c r="AK1335">
        <f>IF($D1335="","",IF(COUNTIF($D$2:$D1335,$D1335)=1,1,0))</f>
        <v/>
      </c>
      <c r="AL1335">
        <f>IF($AK1335=1,SUMPRODUCT(--($AO$2:$AO$1601&lt;$AO1335))+1,"")</f>
        <v/>
      </c>
      <c r="AM1335">
        <f>IF($D1335="","",IF(OR($R1335=TRUE(),$R1335="TRUE"),1,0))</f>
        <v/>
      </c>
      <c r="AN1335">
        <f>IF($D1335="","",IF($AA1335="Yes",1,0))</f>
        <v/>
      </c>
      <c r="AO1335">
        <f>IF($AK1335=1,IFERROR(IF(VALUE($D1335)&lt;100000000,VALUE($D1335),1000000000),IFERROR(IF(VALUE(MID($D1335,2,20))&lt;100000000,VALUE(MID($D1335,2,20)),1000000000),1000000000))+ROW()/100000,"")</f>
        <v/>
      </c>
    </row>
    <row r="1336">
      <c r="F1336" s="11" t="n"/>
      <c r="N1336" s="7">
        <f>IF($D1336="","",M1336*X1336/100)</f>
        <v/>
      </c>
      <c r="O1336" s="7" t="n"/>
      <c r="U1336" s="7" t="n"/>
      <c r="V1336" s="7" t="n"/>
      <c r="W1336" s="7">
        <f>IF($D1336="","",V1336*AB1336/100)</f>
        <v/>
      </c>
      <c r="X1336" s="7">
        <f>IF($D1336="","",V1336-W1336)</f>
        <v/>
      </c>
      <c r="Y1336" s="7">
        <f>IF($D1336="","",X1336-N1336)</f>
        <v/>
      </c>
      <c r="AB1336">
        <f>IF($D1336="","",IF($AN1336=1,Settings!$C$8,IF($AM1336=1,Settings!$C$6,Settings!$C$7))*100)</f>
        <v/>
      </c>
      <c r="AF1336" s="7" t="n"/>
      <c r="AI1336" s="11" t="n"/>
      <c r="AK1336">
        <f>IF($D1336="","",IF(COUNTIF($D$2:$D1336,$D1336)=1,1,0))</f>
        <v/>
      </c>
      <c r="AL1336">
        <f>IF($AK1336=1,SUMPRODUCT(--($AO$2:$AO$1601&lt;$AO1336))+1,"")</f>
        <v/>
      </c>
      <c r="AM1336">
        <f>IF($D1336="","",IF(OR($R1336=TRUE(),$R1336="TRUE"),1,0))</f>
        <v/>
      </c>
      <c r="AN1336">
        <f>IF($D1336="","",IF($AA1336="Yes",1,0))</f>
        <v/>
      </c>
      <c r="AO1336">
        <f>IF($AK1336=1,IFERROR(IF(VALUE($D1336)&lt;100000000,VALUE($D1336),1000000000),IFERROR(IF(VALUE(MID($D1336,2,20))&lt;100000000,VALUE(MID($D1336,2,20)),1000000000),1000000000))+ROW()/100000,"")</f>
        <v/>
      </c>
    </row>
    <row r="1337">
      <c r="F1337" s="11" t="n"/>
      <c r="N1337" s="7">
        <f>IF($D1337="","",M1337*X1337/100)</f>
        <v/>
      </c>
      <c r="O1337" s="7" t="n"/>
      <c r="U1337" s="7" t="n"/>
      <c r="V1337" s="7" t="n"/>
      <c r="W1337" s="7">
        <f>IF($D1337="","",V1337*AB1337/100)</f>
        <v/>
      </c>
      <c r="X1337" s="7">
        <f>IF($D1337="","",V1337-W1337)</f>
        <v/>
      </c>
      <c r="Y1337" s="7">
        <f>IF($D1337="","",X1337-N1337)</f>
        <v/>
      </c>
      <c r="AB1337">
        <f>IF($D1337="","",IF($AN1337=1,Settings!$C$8,IF($AM1337=1,Settings!$C$6,Settings!$C$7))*100)</f>
        <v/>
      </c>
      <c r="AF1337" s="7" t="n"/>
      <c r="AI1337" s="11" t="n"/>
      <c r="AK1337">
        <f>IF($D1337="","",IF(COUNTIF($D$2:$D1337,$D1337)=1,1,0))</f>
        <v/>
      </c>
      <c r="AL1337">
        <f>IF($AK1337=1,SUMPRODUCT(--($AO$2:$AO$1601&lt;$AO1337))+1,"")</f>
        <v/>
      </c>
      <c r="AM1337">
        <f>IF($D1337="","",IF(OR($R1337=TRUE(),$R1337="TRUE"),1,0))</f>
        <v/>
      </c>
      <c r="AN1337">
        <f>IF($D1337="","",IF($AA1337="Yes",1,0))</f>
        <v/>
      </c>
      <c r="AO1337">
        <f>IF($AK1337=1,IFERROR(IF(VALUE($D1337)&lt;100000000,VALUE($D1337),1000000000),IFERROR(IF(VALUE(MID($D1337,2,20))&lt;100000000,VALUE(MID($D1337,2,20)),1000000000),1000000000))+ROW()/100000,"")</f>
        <v/>
      </c>
    </row>
    <row r="1338">
      <c r="F1338" s="11" t="n"/>
      <c r="N1338" s="7">
        <f>IF($D1338="","",M1338*X1338/100)</f>
        <v/>
      </c>
      <c r="O1338" s="7" t="n"/>
      <c r="U1338" s="7" t="n"/>
      <c r="V1338" s="7" t="n"/>
      <c r="W1338" s="7">
        <f>IF($D1338="","",V1338*AB1338/100)</f>
        <v/>
      </c>
      <c r="X1338" s="7">
        <f>IF($D1338="","",V1338-W1338)</f>
        <v/>
      </c>
      <c r="Y1338" s="7">
        <f>IF($D1338="","",X1338-N1338)</f>
        <v/>
      </c>
      <c r="AB1338">
        <f>IF($D1338="","",IF($AN1338=1,Settings!$C$8,IF($AM1338=1,Settings!$C$6,Settings!$C$7))*100)</f>
        <v/>
      </c>
      <c r="AF1338" s="7" t="n"/>
      <c r="AI1338" s="11" t="n"/>
      <c r="AK1338">
        <f>IF($D1338="","",IF(COUNTIF($D$2:$D1338,$D1338)=1,1,0))</f>
        <v/>
      </c>
      <c r="AL1338">
        <f>IF($AK1338=1,SUMPRODUCT(--($AO$2:$AO$1601&lt;$AO1338))+1,"")</f>
        <v/>
      </c>
      <c r="AM1338">
        <f>IF($D1338="","",IF(OR($R1338=TRUE(),$R1338="TRUE"),1,0))</f>
        <v/>
      </c>
      <c r="AN1338">
        <f>IF($D1338="","",IF($AA1338="Yes",1,0))</f>
        <v/>
      </c>
      <c r="AO1338">
        <f>IF($AK1338=1,IFERROR(IF(VALUE($D1338)&lt;100000000,VALUE($D1338),1000000000),IFERROR(IF(VALUE(MID($D1338,2,20))&lt;100000000,VALUE(MID($D1338,2,20)),1000000000),1000000000))+ROW()/100000,"")</f>
        <v/>
      </c>
    </row>
    <row r="1339">
      <c r="F1339" s="11" t="n"/>
      <c r="N1339" s="7">
        <f>IF($D1339="","",M1339*X1339/100)</f>
        <v/>
      </c>
      <c r="O1339" s="7" t="n"/>
      <c r="U1339" s="7" t="n"/>
      <c r="V1339" s="7" t="n"/>
      <c r="W1339" s="7">
        <f>IF($D1339="","",V1339*AB1339/100)</f>
        <v/>
      </c>
      <c r="X1339" s="7">
        <f>IF($D1339="","",V1339-W1339)</f>
        <v/>
      </c>
      <c r="Y1339" s="7">
        <f>IF($D1339="","",X1339-N1339)</f>
        <v/>
      </c>
      <c r="AB1339">
        <f>IF($D1339="","",IF($AN1339=1,Settings!$C$8,IF($AM1339=1,Settings!$C$6,Settings!$C$7))*100)</f>
        <v/>
      </c>
      <c r="AF1339" s="7" t="n"/>
      <c r="AI1339" s="11" t="n"/>
      <c r="AK1339">
        <f>IF($D1339="","",IF(COUNTIF($D$2:$D1339,$D1339)=1,1,0))</f>
        <v/>
      </c>
      <c r="AL1339">
        <f>IF($AK1339=1,SUMPRODUCT(--($AO$2:$AO$1601&lt;$AO1339))+1,"")</f>
        <v/>
      </c>
      <c r="AM1339">
        <f>IF($D1339="","",IF(OR($R1339=TRUE(),$R1339="TRUE"),1,0))</f>
        <v/>
      </c>
      <c r="AN1339">
        <f>IF($D1339="","",IF($AA1339="Yes",1,0))</f>
        <v/>
      </c>
      <c r="AO1339">
        <f>IF($AK1339=1,IFERROR(IF(VALUE($D1339)&lt;100000000,VALUE($D1339),1000000000),IFERROR(IF(VALUE(MID($D1339,2,20))&lt;100000000,VALUE(MID($D1339,2,20)),1000000000),1000000000))+ROW()/100000,"")</f>
        <v/>
      </c>
    </row>
    <row r="1340">
      <c r="F1340" s="11" t="n"/>
      <c r="N1340" s="7">
        <f>IF($D1340="","",M1340*X1340/100)</f>
        <v/>
      </c>
      <c r="O1340" s="7" t="n"/>
      <c r="U1340" s="7" t="n"/>
      <c r="V1340" s="7" t="n"/>
      <c r="W1340" s="7">
        <f>IF($D1340="","",V1340*AB1340/100)</f>
        <v/>
      </c>
      <c r="X1340" s="7">
        <f>IF($D1340="","",V1340-W1340)</f>
        <v/>
      </c>
      <c r="Y1340" s="7">
        <f>IF($D1340="","",X1340-N1340)</f>
        <v/>
      </c>
      <c r="AB1340">
        <f>IF($D1340="","",IF($AN1340=1,Settings!$C$8,IF($AM1340=1,Settings!$C$6,Settings!$C$7))*100)</f>
        <v/>
      </c>
      <c r="AF1340" s="7" t="n"/>
      <c r="AI1340" s="11" t="n"/>
      <c r="AK1340">
        <f>IF($D1340="","",IF(COUNTIF($D$2:$D1340,$D1340)=1,1,0))</f>
        <v/>
      </c>
      <c r="AL1340">
        <f>IF($AK1340=1,SUMPRODUCT(--($AO$2:$AO$1601&lt;$AO1340))+1,"")</f>
        <v/>
      </c>
      <c r="AM1340">
        <f>IF($D1340="","",IF(OR($R1340=TRUE(),$R1340="TRUE"),1,0))</f>
        <v/>
      </c>
      <c r="AN1340">
        <f>IF($D1340="","",IF($AA1340="Yes",1,0))</f>
        <v/>
      </c>
      <c r="AO1340">
        <f>IF($AK1340=1,IFERROR(IF(VALUE($D1340)&lt;100000000,VALUE($D1340),1000000000),IFERROR(IF(VALUE(MID($D1340,2,20))&lt;100000000,VALUE(MID($D1340,2,20)),1000000000),1000000000))+ROW()/100000,"")</f>
        <v/>
      </c>
    </row>
    <row r="1341">
      <c r="F1341" s="11" t="n"/>
      <c r="N1341" s="7">
        <f>IF($D1341="","",M1341*X1341/100)</f>
        <v/>
      </c>
      <c r="O1341" s="7" t="n"/>
      <c r="U1341" s="7" t="n"/>
      <c r="V1341" s="7" t="n"/>
      <c r="W1341" s="7">
        <f>IF($D1341="","",V1341*AB1341/100)</f>
        <v/>
      </c>
      <c r="X1341" s="7">
        <f>IF($D1341="","",V1341-W1341)</f>
        <v/>
      </c>
      <c r="Y1341" s="7">
        <f>IF($D1341="","",X1341-N1341)</f>
        <v/>
      </c>
      <c r="AB1341">
        <f>IF($D1341="","",IF($AN1341=1,Settings!$C$8,IF($AM1341=1,Settings!$C$6,Settings!$C$7))*100)</f>
        <v/>
      </c>
      <c r="AF1341" s="7" t="n"/>
      <c r="AI1341" s="11" t="n"/>
      <c r="AK1341">
        <f>IF($D1341="","",IF(COUNTIF($D$2:$D1341,$D1341)=1,1,0))</f>
        <v/>
      </c>
      <c r="AL1341">
        <f>IF($AK1341=1,SUMPRODUCT(--($AO$2:$AO$1601&lt;$AO1341))+1,"")</f>
        <v/>
      </c>
      <c r="AM1341">
        <f>IF($D1341="","",IF(OR($R1341=TRUE(),$R1341="TRUE"),1,0))</f>
        <v/>
      </c>
      <c r="AN1341">
        <f>IF($D1341="","",IF($AA1341="Yes",1,0))</f>
        <v/>
      </c>
      <c r="AO1341">
        <f>IF($AK1341=1,IFERROR(IF(VALUE($D1341)&lt;100000000,VALUE($D1341),1000000000),IFERROR(IF(VALUE(MID($D1341,2,20))&lt;100000000,VALUE(MID($D1341,2,20)),1000000000),1000000000))+ROW()/100000,"")</f>
        <v/>
      </c>
    </row>
    <row r="1342">
      <c r="F1342" s="11" t="n"/>
      <c r="N1342" s="7">
        <f>IF($D1342="","",M1342*X1342/100)</f>
        <v/>
      </c>
      <c r="O1342" s="7" t="n"/>
      <c r="U1342" s="7" t="n"/>
      <c r="V1342" s="7" t="n"/>
      <c r="W1342" s="7">
        <f>IF($D1342="","",V1342*AB1342/100)</f>
        <v/>
      </c>
      <c r="X1342" s="7">
        <f>IF($D1342="","",V1342-W1342)</f>
        <v/>
      </c>
      <c r="Y1342" s="7">
        <f>IF($D1342="","",X1342-N1342)</f>
        <v/>
      </c>
      <c r="AB1342">
        <f>IF($D1342="","",IF($AN1342=1,Settings!$C$8,IF($AM1342=1,Settings!$C$6,Settings!$C$7))*100)</f>
        <v/>
      </c>
      <c r="AF1342" s="7" t="n"/>
      <c r="AI1342" s="11" t="n"/>
      <c r="AK1342">
        <f>IF($D1342="","",IF(COUNTIF($D$2:$D1342,$D1342)=1,1,0))</f>
        <v/>
      </c>
      <c r="AL1342">
        <f>IF($AK1342=1,SUMPRODUCT(--($AO$2:$AO$1601&lt;$AO1342))+1,"")</f>
        <v/>
      </c>
      <c r="AM1342">
        <f>IF($D1342="","",IF(OR($R1342=TRUE(),$R1342="TRUE"),1,0))</f>
        <v/>
      </c>
      <c r="AN1342">
        <f>IF($D1342="","",IF($AA1342="Yes",1,0))</f>
        <v/>
      </c>
      <c r="AO1342">
        <f>IF($AK1342=1,IFERROR(IF(VALUE($D1342)&lt;100000000,VALUE($D1342),1000000000),IFERROR(IF(VALUE(MID($D1342,2,20))&lt;100000000,VALUE(MID($D1342,2,20)),1000000000),1000000000))+ROW()/100000,"")</f>
        <v/>
      </c>
    </row>
    <row r="1343">
      <c r="F1343" s="11" t="n"/>
      <c r="N1343" s="7">
        <f>IF($D1343="","",M1343*X1343/100)</f>
        <v/>
      </c>
      <c r="O1343" s="7" t="n"/>
      <c r="U1343" s="7" t="n"/>
      <c r="V1343" s="7" t="n"/>
      <c r="W1343" s="7">
        <f>IF($D1343="","",V1343*AB1343/100)</f>
        <v/>
      </c>
      <c r="X1343" s="7">
        <f>IF($D1343="","",V1343-W1343)</f>
        <v/>
      </c>
      <c r="Y1343" s="7">
        <f>IF($D1343="","",X1343-N1343)</f>
        <v/>
      </c>
      <c r="AB1343">
        <f>IF($D1343="","",IF($AN1343=1,Settings!$C$8,IF($AM1343=1,Settings!$C$6,Settings!$C$7))*100)</f>
        <v/>
      </c>
      <c r="AF1343" s="7" t="n"/>
      <c r="AI1343" s="11" t="n"/>
      <c r="AK1343">
        <f>IF($D1343="","",IF(COUNTIF($D$2:$D1343,$D1343)=1,1,0))</f>
        <v/>
      </c>
      <c r="AL1343">
        <f>IF($AK1343=1,SUMPRODUCT(--($AO$2:$AO$1601&lt;$AO1343))+1,"")</f>
        <v/>
      </c>
      <c r="AM1343">
        <f>IF($D1343="","",IF(OR($R1343=TRUE(),$R1343="TRUE"),1,0))</f>
        <v/>
      </c>
      <c r="AN1343">
        <f>IF($D1343="","",IF($AA1343="Yes",1,0))</f>
        <v/>
      </c>
      <c r="AO1343">
        <f>IF($AK1343=1,IFERROR(IF(VALUE($D1343)&lt;100000000,VALUE($D1343),1000000000),IFERROR(IF(VALUE(MID($D1343,2,20))&lt;100000000,VALUE(MID($D1343,2,20)),1000000000),1000000000))+ROW()/100000,"")</f>
        <v/>
      </c>
    </row>
    <row r="1344">
      <c r="F1344" s="11" t="n"/>
      <c r="N1344" s="7">
        <f>IF($D1344="","",M1344*X1344/100)</f>
        <v/>
      </c>
      <c r="O1344" s="7" t="n"/>
      <c r="U1344" s="7" t="n"/>
      <c r="V1344" s="7" t="n"/>
      <c r="W1344" s="7">
        <f>IF($D1344="","",V1344*AB1344/100)</f>
        <v/>
      </c>
      <c r="X1344" s="7">
        <f>IF($D1344="","",V1344-W1344)</f>
        <v/>
      </c>
      <c r="Y1344" s="7">
        <f>IF($D1344="","",X1344-N1344)</f>
        <v/>
      </c>
      <c r="AB1344">
        <f>IF($D1344="","",IF($AN1344=1,Settings!$C$8,IF($AM1344=1,Settings!$C$6,Settings!$C$7))*100)</f>
        <v/>
      </c>
      <c r="AF1344" s="7" t="n"/>
      <c r="AI1344" s="11" t="n"/>
      <c r="AK1344">
        <f>IF($D1344="","",IF(COUNTIF($D$2:$D1344,$D1344)=1,1,0))</f>
        <v/>
      </c>
      <c r="AL1344">
        <f>IF($AK1344=1,SUMPRODUCT(--($AO$2:$AO$1601&lt;$AO1344))+1,"")</f>
        <v/>
      </c>
      <c r="AM1344">
        <f>IF($D1344="","",IF(OR($R1344=TRUE(),$R1344="TRUE"),1,0))</f>
        <v/>
      </c>
      <c r="AN1344">
        <f>IF($D1344="","",IF($AA1344="Yes",1,0))</f>
        <v/>
      </c>
      <c r="AO1344">
        <f>IF($AK1344=1,IFERROR(IF(VALUE($D1344)&lt;100000000,VALUE($D1344),1000000000),IFERROR(IF(VALUE(MID($D1344,2,20))&lt;100000000,VALUE(MID($D1344,2,20)),1000000000),1000000000))+ROW()/100000,"")</f>
        <v/>
      </c>
    </row>
    <row r="1345">
      <c r="F1345" s="11" t="n"/>
      <c r="N1345" s="7">
        <f>IF($D1345="","",M1345*X1345/100)</f>
        <v/>
      </c>
      <c r="O1345" s="7" t="n"/>
      <c r="U1345" s="7" t="n"/>
      <c r="V1345" s="7" t="n"/>
      <c r="W1345" s="7">
        <f>IF($D1345="","",V1345*AB1345/100)</f>
        <v/>
      </c>
      <c r="X1345" s="7">
        <f>IF($D1345="","",V1345-W1345)</f>
        <v/>
      </c>
      <c r="Y1345" s="7">
        <f>IF($D1345="","",X1345-N1345)</f>
        <v/>
      </c>
      <c r="AB1345">
        <f>IF($D1345="","",IF($AN1345=1,Settings!$C$8,IF($AM1345=1,Settings!$C$6,Settings!$C$7))*100)</f>
        <v/>
      </c>
      <c r="AF1345" s="7" t="n"/>
      <c r="AI1345" s="11" t="n"/>
      <c r="AK1345">
        <f>IF($D1345="","",IF(COUNTIF($D$2:$D1345,$D1345)=1,1,0))</f>
        <v/>
      </c>
      <c r="AL1345">
        <f>IF($AK1345=1,SUMPRODUCT(--($AO$2:$AO$1601&lt;$AO1345))+1,"")</f>
        <v/>
      </c>
      <c r="AM1345">
        <f>IF($D1345="","",IF(OR($R1345=TRUE(),$R1345="TRUE"),1,0))</f>
        <v/>
      </c>
      <c r="AN1345">
        <f>IF($D1345="","",IF($AA1345="Yes",1,0))</f>
        <v/>
      </c>
      <c r="AO1345">
        <f>IF($AK1345=1,IFERROR(IF(VALUE($D1345)&lt;100000000,VALUE($D1345),1000000000),IFERROR(IF(VALUE(MID($D1345,2,20))&lt;100000000,VALUE(MID($D1345,2,20)),1000000000),1000000000))+ROW()/100000,"")</f>
        <v/>
      </c>
    </row>
    <row r="1346">
      <c r="F1346" s="11" t="n"/>
      <c r="N1346" s="7">
        <f>IF($D1346="","",M1346*X1346/100)</f>
        <v/>
      </c>
      <c r="O1346" s="7" t="n"/>
      <c r="U1346" s="7" t="n"/>
      <c r="V1346" s="7" t="n"/>
      <c r="W1346" s="7">
        <f>IF($D1346="","",V1346*AB1346/100)</f>
        <v/>
      </c>
      <c r="X1346" s="7">
        <f>IF($D1346="","",V1346-W1346)</f>
        <v/>
      </c>
      <c r="Y1346" s="7">
        <f>IF($D1346="","",X1346-N1346)</f>
        <v/>
      </c>
      <c r="AB1346">
        <f>IF($D1346="","",IF($AN1346=1,Settings!$C$8,IF($AM1346=1,Settings!$C$6,Settings!$C$7))*100)</f>
        <v/>
      </c>
      <c r="AF1346" s="7" t="n"/>
      <c r="AI1346" s="11" t="n"/>
      <c r="AK1346">
        <f>IF($D1346="","",IF(COUNTIF($D$2:$D1346,$D1346)=1,1,0))</f>
        <v/>
      </c>
      <c r="AL1346">
        <f>IF($AK1346=1,SUMPRODUCT(--($AO$2:$AO$1601&lt;$AO1346))+1,"")</f>
        <v/>
      </c>
      <c r="AM1346">
        <f>IF($D1346="","",IF(OR($R1346=TRUE(),$R1346="TRUE"),1,0))</f>
        <v/>
      </c>
      <c r="AN1346">
        <f>IF($D1346="","",IF($AA1346="Yes",1,0))</f>
        <v/>
      </c>
      <c r="AO1346">
        <f>IF($AK1346=1,IFERROR(IF(VALUE($D1346)&lt;100000000,VALUE($D1346),1000000000),IFERROR(IF(VALUE(MID($D1346,2,20))&lt;100000000,VALUE(MID($D1346,2,20)),1000000000),1000000000))+ROW()/100000,"")</f>
        <v/>
      </c>
    </row>
    <row r="1347">
      <c r="F1347" s="11" t="n"/>
      <c r="N1347" s="7">
        <f>IF($D1347="","",M1347*X1347/100)</f>
        <v/>
      </c>
      <c r="O1347" s="7" t="n"/>
      <c r="U1347" s="7" t="n"/>
      <c r="V1347" s="7" t="n"/>
      <c r="W1347" s="7">
        <f>IF($D1347="","",V1347*AB1347/100)</f>
        <v/>
      </c>
      <c r="X1347" s="7">
        <f>IF($D1347="","",V1347-W1347)</f>
        <v/>
      </c>
      <c r="Y1347" s="7">
        <f>IF($D1347="","",X1347-N1347)</f>
        <v/>
      </c>
      <c r="AB1347">
        <f>IF($D1347="","",IF($AN1347=1,Settings!$C$8,IF($AM1347=1,Settings!$C$6,Settings!$C$7))*100)</f>
        <v/>
      </c>
      <c r="AF1347" s="7" t="n"/>
      <c r="AI1347" s="11" t="n"/>
      <c r="AK1347">
        <f>IF($D1347="","",IF(COUNTIF($D$2:$D1347,$D1347)=1,1,0))</f>
        <v/>
      </c>
      <c r="AL1347">
        <f>IF($AK1347=1,SUMPRODUCT(--($AO$2:$AO$1601&lt;$AO1347))+1,"")</f>
        <v/>
      </c>
      <c r="AM1347">
        <f>IF($D1347="","",IF(OR($R1347=TRUE(),$R1347="TRUE"),1,0))</f>
        <v/>
      </c>
      <c r="AN1347">
        <f>IF($D1347="","",IF($AA1347="Yes",1,0))</f>
        <v/>
      </c>
      <c r="AO1347">
        <f>IF($AK1347=1,IFERROR(IF(VALUE($D1347)&lt;100000000,VALUE($D1347),1000000000),IFERROR(IF(VALUE(MID($D1347,2,20))&lt;100000000,VALUE(MID($D1347,2,20)),1000000000),1000000000))+ROW()/100000,"")</f>
        <v/>
      </c>
    </row>
    <row r="1348">
      <c r="F1348" s="11" t="n"/>
      <c r="N1348" s="7">
        <f>IF($D1348="","",M1348*X1348/100)</f>
        <v/>
      </c>
      <c r="O1348" s="7" t="n"/>
      <c r="U1348" s="7" t="n"/>
      <c r="V1348" s="7" t="n"/>
      <c r="W1348" s="7">
        <f>IF($D1348="","",V1348*AB1348/100)</f>
        <v/>
      </c>
      <c r="X1348" s="7">
        <f>IF($D1348="","",V1348-W1348)</f>
        <v/>
      </c>
      <c r="Y1348" s="7">
        <f>IF($D1348="","",X1348-N1348)</f>
        <v/>
      </c>
      <c r="AB1348">
        <f>IF($D1348="","",IF($AN1348=1,Settings!$C$8,IF($AM1348=1,Settings!$C$6,Settings!$C$7))*100)</f>
        <v/>
      </c>
      <c r="AF1348" s="7" t="n"/>
      <c r="AI1348" s="11" t="n"/>
      <c r="AK1348">
        <f>IF($D1348="","",IF(COUNTIF($D$2:$D1348,$D1348)=1,1,0))</f>
        <v/>
      </c>
      <c r="AL1348">
        <f>IF($AK1348=1,SUMPRODUCT(--($AO$2:$AO$1601&lt;$AO1348))+1,"")</f>
        <v/>
      </c>
      <c r="AM1348">
        <f>IF($D1348="","",IF(OR($R1348=TRUE(),$R1348="TRUE"),1,0))</f>
        <v/>
      </c>
      <c r="AN1348">
        <f>IF($D1348="","",IF($AA1348="Yes",1,0))</f>
        <v/>
      </c>
      <c r="AO1348">
        <f>IF($AK1348=1,IFERROR(IF(VALUE($D1348)&lt;100000000,VALUE($D1348),1000000000),IFERROR(IF(VALUE(MID($D1348,2,20))&lt;100000000,VALUE(MID($D1348,2,20)),1000000000),1000000000))+ROW()/100000,"")</f>
        <v/>
      </c>
    </row>
    <row r="1349">
      <c r="F1349" s="11" t="n"/>
      <c r="N1349" s="7">
        <f>IF($D1349="","",M1349*X1349/100)</f>
        <v/>
      </c>
      <c r="O1349" s="7" t="n"/>
      <c r="U1349" s="7" t="n"/>
      <c r="V1349" s="7" t="n"/>
      <c r="W1349" s="7">
        <f>IF($D1349="","",V1349*AB1349/100)</f>
        <v/>
      </c>
      <c r="X1349" s="7">
        <f>IF($D1349="","",V1349-W1349)</f>
        <v/>
      </c>
      <c r="Y1349" s="7">
        <f>IF($D1349="","",X1349-N1349)</f>
        <v/>
      </c>
      <c r="AB1349">
        <f>IF($D1349="","",IF($AN1349=1,Settings!$C$8,IF($AM1349=1,Settings!$C$6,Settings!$C$7))*100)</f>
        <v/>
      </c>
      <c r="AF1349" s="7" t="n"/>
      <c r="AI1349" s="11" t="n"/>
      <c r="AK1349">
        <f>IF($D1349="","",IF(COUNTIF($D$2:$D1349,$D1349)=1,1,0))</f>
        <v/>
      </c>
      <c r="AL1349">
        <f>IF($AK1349=1,SUMPRODUCT(--($AO$2:$AO$1601&lt;$AO1349))+1,"")</f>
        <v/>
      </c>
      <c r="AM1349">
        <f>IF($D1349="","",IF(OR($R1349=TRUE(),$R1349="TRUE"),1,0))</f>
        <v/>
      </c>
      <c r="AN1349">
        <f>IF($D1349="","",IF($AA1349="Yes",1,0))</f>
        <v/>
      </c>
      <c r="AO1349">
        <f>IF($AK1349=1,IFERROR(IF(VALUE($D1349)&lt;100000000,VALUE($D1349),1000000000),IFERROR(IF(VALUE(MID($D1349,2,20))&lt;100000000,VALUE(MID($D1349,2,20)),1000000000),1000000000))+ROW()/100000,"")</f>
        <v/>
      </c>
    </row>
    <row r="1350">
      <c r="F1350" s="11" t="n"/>
      <c r="N1350" s="7">
        <f>IF($D1350="","",M1350*X1350/100)</f>
        <v/>
      </c>
      <c r="O1350" s="7" t="n"/>
      <c r="U1350" s="7" t="n"/>
      <c r="V1350" s="7" t="n"/>
      <c r="W1350" s="7">
        <f>IF($D1350="","",V1350*AB1350/100)</f>
        <v/>
      </c>
      <c r="X1350" s="7">
        <f>IF($D1350="","",V1350-W1350)</f>
        <v/>
      </c>
      <c r="Y1350" s="7">
        <f>IF($D1350="","",X1350-N1350)</f>
        <v/>
      </c>
      <c r="AB1350">
        <f>IF($D1350="","",IF($AN1350=1,Settings!$C$8,IF($AM1350=1,Settings!$C$6,Settings!$C$7))*100)</f>
        <v/>
      </c>
      <c r="AF1350" s="7" t="n"/>
      <c r="AI1350" s="11" t="n"/>
      <c r="AK1350">
        <f>IF($D1350="","",IF(COUNTIF($D$2:$D1350,$D1350)=1,1,0))</f>
        <v/>
      </c>
      <c r="AL1350">
        <f>IF($AK1350=1,SUMPRODUCT(--($AO$2:$AO$1601&lt;$AO1350))+1,"")</f>
        <v/>
      </c>
      <c r="AM1350">
        <f>IF($D1350="","",IF(OR($R1350=TRUE(),$R1350="TRUE"),1,0))</f>
        <v/>
      </c>
      <c r="AN1350">
        <f>IF($D1350="","",IF($AA1350="Yes",1,0))</f>
        <v/>
      </c>
      <c r="AO1350">
        <f>IF($AK1350=1,IFERROR(IF(VALUE($D1350)&lt;100000000,VALUE($D1350),1000000000),IFERROR(IF(VALUE(MID($D1350,2,20))&lt;100000000,VALUE(MID($D1350,2,20)),1000000000),1000000000))+ROW()/100000,"")</f>
        <v/>
      </c>
    </row>
    <row r="1351">
      <c r="F1351" s="11" t="n"/>
      <c r="N1351" s="7">
        <f>IF($D1351="","",M1351*X1351/100)</f>
        <v/>
      </c>
      <c r="O1351" s="7" t="n"/>
      <c r="U1351" s="7" t="n"/>
      <c r="V1351" s="7" t="n"/>
      <c r="W1351" s="7">
        <f>IF($D1351="","",V1351*AB1351/100)</f>
        <v/>
      </c>
      <c r="X1351" s="7">
        <f>IF($D1351="","",V1351-W1351)</f>
        <v/>
      </c>
      <c r="Y1351" s="7">
        <f>IF($D1351="","",X1351-N1351)</f>
        <v/>
      </c>
      <c r="AB1351">
        <f>IF($D1351="","",IF($AN1351=1,Settings!$C$8,IF($AM1351=1,Settings!$C$6,Settings!$C$7))*100)</f>
        <v/>
      </c>
      <c r="AF1351" s="7" t="n"/>
      <c r="AI1351" s="11" t="n"/>
      <c r="AK1351">
        <f>IF($D1351="","",IF(COUNTIF($D$2:$D1351,$D1351)=1,1,0))</f>
        <v/>
      </c>
      <c r="AL1351">
        <f>IF($AK1351=1,SUMPRODUCT(--($AO$2:$AO$1601&lt;$AO1351))+1,"")</f>
        <v/>
      </c>
      <c r="AM1351">
        <f>IF($D1351="","",IF(OR($R1351=TRUE(),$R1351="TRUE"),1,0))</f>
        <v/>
      </c>
      <c r="AN1351">
        <f>IF($D1351="","",IF($AA1351="Yes",1,0))</f>
        <v/>
      </c>
      <c r="AO1351">
        <f>IF($AK1351=1,IFERROR(IF(VALUE($D1351)&lt;100000000,VALUE($D1351),1000000000),IFERROR(IF(VALUE(MID($D1351,2,20))&lt;100000000,VALUE(MID($D1351,2,20)),1000000000),1000000000))+ROW()/100000,"")</f>
        <v/>
      </c>
    </row>
    <row r="1352">
      <c r="F1352" s="11" t="n"/>
      <c r="N1352" s="7">
        <f>IF($D1352="","",M1352*X1352/100)</f>
        <v/>
      </c>
      <c r="O1352" s="7" t="n"/>
      <c r="U1352" s="7" t="n"/>
      <c r="V1352" s="7" t="n"/>
      <c r="W1352" s="7">
        <f>IF($D1352="","",V1352*AB1352/100)</f>
        <v/>
      </c>
      <c r="X1352" s="7">
        <f>IF($D1352="","",V1352-W1352)</f>
        <v/>
      </c>
      <c r="Y1352" s="7">
        <f>IF($D1352="","",X1352-N1352)</f>
        <v/>
      </c>
      <c r="AB1352">
        <f>IF($D1352="","",IF($AN1352=1,Settings!$C$8,IF($AM1352=1,Settings!$C$6,Settings!$C$7))*100)</f>
        <v/>
      </c>
      <c r="AF1352" s="7" t="n"/>
      <c r="AI1352" s="11" t="n"/>
      <c r="AK1352">
        <f>IF($D1352="","",IF(COUNTIF($D$2:$D1352,$D1352)=1,1,0))</f>
        <v/>
      </c>
      <c r="AL1352">
        <f>IF($AK1352=1,SUMPRODUCT(--($AO$2:$AO$1601&lt;$AO1352))+1,"")</f>
        <v/>
      </c>
      <c r="AM1352">
        <f>IF($D1352="","",IF(OR($R1352=TRUE(),$R1352="TRUE"),1,0))</f>
        <v/>
      </c>
      <c r="AN1352">
        <f>IF($D1352="","",IF($AA1352="Yes",1,0))</f>
        <v/>
      </c>
      <c r="AO1352">
        <f>IF($AK1352=1,IFERROR(IF(VALUE($D1352)&lt;100000000,VALUE($D1352),1000000000),IFERROR(IF(VALUE(MID($D1352,2,20))&lt;100000000,VALUE(MID($D1352,2,20)),1000000000),1000000000))+ROW()/100000,"")</f>
        <v/>
      </c>
    </row>
    <row r="1353">
      <c r="F1353" s="11" t="n"/>
      <c r="N1353" s="7">
        <f>IF($D1353="","",M1353*X1353/100)</f>
        <v/>
      </c>
      <c r="O1353" s="7" t="n"/>
      <c r="U1353" s="7" t="n"/>
      <c r="V1353" s="7" t="n"/>
      <c r="W1353" s="7">
        <f>IF($D1353="","",V1353*AB1353/100)</f>
        <v/>
      </c>
      <c r="X1353" s="7">
        <f>IF($D1353="","",V1353-W1353)</f>
        <v/>
      </c>
      <c r="Y1353" s="7">
        <f>IF($D1353="","",X1353-N1353)</f>
        <v/>
      </c>
      <c r="AB1353">
        <f>IF($D1353="","",IF($AN1353=1,Settings!$C$8,IF($AM1353=1,Settings!$C$6,Settings!$C$7))*100)</f>
        <v/>
      </c>
      <c r="AF1353" s="7" t="n"/>
      <c r="AI1353" s="11" t="n"/>
      <c r="AK1353">
        <f>IF($D1353="","",IF(COUNTIF($D$2:$D1353,$D1353)=1,1,0))</f>
        <v/>
      </c>
      <c r="AL1353">
        <f>IF($AK1353=1,SUMPRODUCT(--($AO$2:$AO$1601&lt;$AO1353))+1,"")</f>
        <v/>
      </c>
      <c r="AM1353">
        <f>IF($D1353="","",IF(OR($R1353=TRUE(),$R1353="TRUE"),1,0))</f>
        <v/>
      </c>
      <c r="AN1353">
        <f>IF($D1353="","",IF($AA1353="Yes",1,0))</f>
        <v/>
      </c>
      <c r="AO1353">
        <f>IF($AK1353=1,IFERROR(IF(VALUE($D1353)&lt;100000000,VALUE($D1353),1000000000),IFERROR(IF(VALUE(MID($D1353,2,20))&lt;100000000,VALUE(MID($D1353,2,20)),1000000000),1000000000))+ROW()/100000,"")</f>
        <v/>
      </c>
    </row>
    <row r="1354">
      <c r="F1354" s="11" t="n"/>
      <c r="N1354" s="7">
        <f>IF($D1354="","",M1354*X1354/100)</f>
        <v/>
      </c>
      <c r="O1354" s="7" t="n"/>
      <c r="U1354" s="7" t="n"/>
      <c r="V1354" s="7" t="n"/>
      <c r="W1354" s="7">
        <f>IF($D1354="","",V1354*AB1354/100)</f>
        <v/>
      </c>
      <c r="X1354" s="7">
        <f>IF($D1354="","",V1354-W1354)</f>
        <v/>
      </c>
      <c r="Y1354" s="7">
        <f>IF($D1354="","",X1354-N1354)</f>
        <v/>
      </c>
      <c r="AB1354">
        <f>IF($D1354="","",IF($AN1354=1,Settings!$C$8,IF($AM1354=1,Settings!$C$6,Settings!$C$7))*100)</f>
        <v/>
      </c>
      <c r="AF1354" s="7" t="n"/>
      <c r="AI1354" s="11" t="n"/>
      <c r="AK1354">
        <f>IF($D1354="","",IF(COUNTIF($D$2:$D1354,$D1354)=1,1,0))</f>
        <v/>
      </c>
      <c r="AL1354">
        <f>IF($AK1354=1,SUMPRODUCT(--($AO$2:$AO$1601&lt;$AO1354))+1,"")</f>
        <v/>
      </c>
      <c r="AM1354">
        <f>IF($D1354="","",IF(OR($R1354=TRUE(),$R1354="TRUE"),1,0))</f>
        <v/>
      </c>
      <c r="AN1354">
        <f>IF($D1354="","",IF($AA1354="Yes",1,0))</f>
        <v/>
      </c>
      <c r="AO1354">
        <f>IF($AK1354=1,IFERROR(IF(VALUE($D1354)&lt;100000000,VALUE($D1354),1000000000),IFERROR(IF(VALUE(MID($D1354,2,20))&lt;100000000,VALUE(MID($D1354,2,20)),1000000000),1000000000))+ROW()/100000,"")</f>
        <v/>
      </c>
    </row>
    <row r="1355">
      <c r="F1355" s="11" t="n"/>
      <c r="N1355" s="7">
        <f>IF($D1355="","",M1355*X1355/100)</f>
        <v/>
      </c>
      <c r="O1355" s="7" t="n"/>
      <c r="U1355" s="7" t="n"/>
      <c r="V1355" s="7" t="n"/>
      <c r="W1355" s="7">
        <f>IF($D1355="","",V1355*AB1355/100)</f>
        <v/>
      </c>
      <c r="X1355" s="7">
        <f>IF($D1355="","",V1355-W1355)</f>
        <v/>
      </c>
      <c r="Y1355" s="7">
        <f>IF($D1355="","",X1355-N1355)</f>
        <v/>
      </c>
      <c r="AB1355">
        <f>IF($D1355="","",IF($AN1355=1,Settings!$C$8,IF($AM1355=1,Settings!$C$6,Settings!$C$7))*100)</f>
        <v/>
      </c>
      <c r="AF1355" s="7" t="n"/>
      <c r="AI1355" s="11" t="n"/>
      <c r="AK1355">
        <f>IF($D1355="","",IF(COUNTIF($D$2:$D1355,$D1355)=1,1,0))</f>
        <v/>
      </c>
      <c r="AL1355">
        <f>IF($AK1355=1,SUMPRODUCT(--($AO$2:$AO$1601&lt;$AO1355))+1,"")</f>
        <v/>
      </c>
      <c r="AM1355">
        <f>IF($D1355="","",IF(OR($R1355=TRUE(),$R1355="TRUE"),1,0))</f>
        <v/>
      </c>
      <c r="AN1355">
        <f>IF($D1355="","",IF($AA1355="Yes",1,0))</f>
        <v/>
      </c>
      <c r="AO1355">
        <f>IF($AK1355=1,IFERROR(IF(VALUE($D1355)&lt;100000000,VALUE($D1355),1000000000),IFERROR(IF(VALUE(MID($D1355,2,20))&lt;100000000,VALUE(MID($D1355,2,20)),1000000000),1000000000))+ROW()/100000,"")</f>
        <v/>
      </c>
    </row>
    <row r="1356">
      <c r="F1356" s="11" t="n"/>
      <c r="N1356" s="7">
        <f>IF($D1356="","",M1356*X1356/100)</f>
        <v/>
      </c>
      <c r="O1356" s="7" t="n"/>
      <c r="U1356" s="7" t="n"/>
      <c r="V1356" s="7" t="n"/>
      <c r="W1356" s="7">
        <f>IF($D1356="","",V1356*AB1356/100)</f>
        <v/>
      </c>
      <c r="X1356" s="7">
        <f>IF($D1356="","",V1356-W1356)</f>
        <v/>
      </c>
      <c r="Y1356" s="7">
        <f>IF($D1356="","",X1356-N1356)</f>
        <v/>
      </c>
      <c r="AB1356">
        <f>IF($D1356="","",IF($AN1356=1,Settings!$C$8,IF($AM1356=1,Settings!$C$6,Settings!$C$7))*100)</f>
        <v/>
      </c>
      <c r="AF1356" s="7" t="n"/>
      <c r="AI1356" s="11" t="n"/>
      <c r="AK1356">
        <f>IF($D1356="","",IF(COUNTIF($D$2:$D1356,$D1356)=1,1,0))</f>
        <v/>
      </c>
      <c r="AL1356">
        <f>IF($AK1356=1,SUMPRODUCT(--($AO$2:$AO$1601&lt;$AO1356))+1,"")</f>
        <v/>
      </c>
      <c r="AM1356">
        <f>IF($D1356="","",IF(OR($R1356=TRUE(),$R1356="TRUE"),1,0))</f>
        <v/>
      </c>
      <c r="AN1356">
        <f>IF($D1356="","",IF($AA1356="Yes",1,0))</f>
        <v/>
      </c>
      <c r="AO1356">
        <f>IF($AK1356=1,IFERROR(IF(VALUE($D1356)&lt;100000000,VALUE($D1356),1000000000),IFERROR(IF(VALUE(MID($D1356,2,20))&lt;100000000,VALUE(MID($D1356,2,20)),1000000000),1000000000))+ROW()/100000,"")</f>
        <v/>
      </c>
    </row>
    <row r="1357">
      <c r="F1357" s="11" t="n"/>
      <c r="N1357" s="7">
        <f>IF($D1357="","",M1357*X1357/100)</f>
        <v/>
      </c>
      <c r="O1357" s="7" t="n"/>
      <c r="U1357" s="7" t="n"/>
      <c r="V1357" s="7" t="n"/>
      <c r="W1357" s="7">
        <f>IF($D1357="","",V1357*AB1357/100)</f>
        <v/>
      </c>
      <c r="X1357" s="7">
        <f>IF($D1357="","",V1357-W1357)</f>
        <v/>
      </c>
      <c r="Y1357" s="7">
        <f>IF($D1357="","",X1357-N1357)</f>
        <v/>
      </c>
      <c r="AB1357">
        <f>IF($D1357="","",IF($AN1357=1,Settings!$C$8,IF($AM1357=1,Settings!$C$6,Settings!$C$7))*100)</f>
        <v/>
      </c>
      <c r="AF1357" s="7" t="n"/>
      <c r="AI1357" s="11" t="n"/>
      <c r="AK1357">
        <f>IF($D1357="","",IF(COUNTIF($D$2:$D1357,$D1357)=1,1,0))</f>
        <v/>
      </c>
      <c r="AL1357">
        <f>IF($AK1357=1,SUMPRODUCT(--($AO$2:$AO$1601&lt;$AO1357))+1,"")</f>
        <v/>
      </c>
      <c r="AM1357">
        <f>IF($D1357="","",IF(OR($R1357=TRUE(),$R1357="TRUE"),1,0))</f>
        <v/>
      </c>
      <c r="AN1357">
        <f>IF($D1357="","",IF($AA1357="Yes",1,0))</f>
        <v/>
      </c>
      <c r="AO1357">
        <f>IF($AK1357=1,IFERROR(IF(VALUE($D1357)&lt;100000000,VALUE($D1357),1000000000),IFERROR(IF(VALUE(MID($D1357,2,20))&lt;100000000,VALUE(MID($D1357,2,20)),1000000000),1000000000))+ROW()/100000,"")</f>
        <v/>
      </c>
    </row>
    <row r="1358">
      <c r="F1358" s="11" t="n"/>
      <c r="N1358" s="7">
        <f>IF($D1358="","",M1358*X1358/100)</f>
        <v/>
      </c>
      <c r="O1358" s="7" t="n"/>
      <c r="U1358" s="7" t="n"/>
      <c r="V1358" s="7" t="n"/>
      <c r="W1358" s="7">
        <f>IF($D1358="","",V1358*AB1358/100)</f>
        <v/>
      </c>
      <c r="X1358" s="7">
        <f>IF($D1358="","",V1358-W1358)</f>
        <v/>
      </c>
      <c r="Y1358" s="7">
        <f>IF($D1358="","",X1358-N1358)</f>
        <v/>
      </c>
      <c r="AB1358">
        <f>IF($D1358="","",IF($AN1358=1,Settings!$C$8,IF($AM1358=1,Settings!$C$6,Settings!$C$7))*100)</f>
        <v/>
      </c>
      <c r="AF1358" s="7" t="n"/>
      <c r="AI1358" s="11" t="n"/>
      <c r="AK1358">
        <f>IF($D1358="","",IF(COUNTIF($D$2:$D1358,$D1358)=1,1,0))</f>
        <v/>
      </c>
      <c r="AL1358">
        <f>IF($AK1358=1,SUMPRODUCT(--($AO$2:$AO$1601&lt;$AO1358))+1,"")</f>
        <v/>
      </c>
      <c r="AM1358">
        <f>IF($D1358="","",IF(OR($R1358=TRUE(),$R1358="TRUE"),1,0))</f>
        <v/>
      </c>
      <c r="AN1358">
        <f>IF($D1358="","",IF($AA1358="Yes",1,0))</f>
        <v/>
      </c>
      <c r="AO1358">
        <f>IF($AK1358=1,IFERROR(IF(VALUE($D1358)&lt;100000000,VALUE($D1358),1000000000),IFERROR(IF(VALUE(MID($D1358,2,20))&lt;100000000,VALUE(MID($D1358,2,20)),1000000000),1000000000))+ROW()/100000,"")</f>
        <v/>
      </c>
    </row>
    <row r="1359">
      <c r="F1359" s="11" t="n"/>
      <c r="N1359" s="7">
        <f>IF($D1359="","",M1359*X1359/100)</f>
        <v/>
      </c>
      <c r="O1359" s="7" t="n"/>
      <c r="U1359" s="7" t="n"/>
      <c r="V1359" s="7" t="n"/>
      <c r="W1359" s="7">
        <f>IF($D1359="","",V1359*AB1359/100)</f>
        <v/>
      </c>
      <c r="X1359" s="7">
        <f>IF($D1359="","",V1359-W1359)</f>
        <v/>
      </c>
      <c r="Y1359" s="7">
        <f>IF($D1359="","",X1359-N1359)</f>
        <v/>
      </c>
      <c r="AB1359">
        <f>IF($D1359="","",IF($AN1359=1,Settings!$C$8,IF($AM1359=1,Settings!$C$6,Settings!$C$7))*100)</f>
        <v/>
      </c>
      <c r="AF1359" s="7" t="n"/>
      <c r="AI1359" s="11" t="n"/>
      <c r="AK1359">
        <f>IF($D1359="","",IF(COUNTIF($D$2:$D1359,$D1359)=1,1,0))</f>
        <v/>
      </c>
      <c r="AL1359">
        <f>IF($AK1359=1,SUMPRODUCT(--($AO$2:$AO$1601&lt;$AO1359))+1,"")</f>
        <v/>
      </c>
      <c r="AM1359">
        <f>IF($D1359="","",IF(OR($R1359=TRUE(),$R1359="TRUE"),1,0))</f>
        <v/>
      </c>
      <c r="AN1359">
        <f>IF($D1359="","",IF($AA1359="Yes",1,0))</f>
        <v/>
      </c>
      <c r="AO1359">
        <f>IF($AK1359=1,IFERROR(IF(VALUE($D1359)&lt;100000000,VALUE($D1359),1000000000),IFERROR(IF(VALUE(MID($D1359,2,20))&lt;100000000,VALUE(MID($D1359,2,20)),1000000000),1000000000))+ROW()/100000,"")</f>
        <v/>
      </c>
    </row>
    <row r="1360">
      <c r="F1360" s="11" t="n"/>
      <c r="N1360" s="7">
        <f>IF($D1360="","",M1360*X1360/100)</f>
        <v/>
      </c>
      <c r="O1360" s="7" t="n"/>
      <c r="U1360" s="7" t="n"/>
      <c r="V1360" s="7" t="n"/>
      <c r="W1360" s="7">
        <f>IF($D1360="","",V1360*AB1360/100)</f>
        <v/>
      </c>
      <c r="X1360" s="7">
        <f>IF($D1360="","",V1360-W1360)</f>
        <v/>
      </c>
      <c r="Y1360" s="7">
        <f>IF($D1360="","",X1360-N1360)</f>
        <v/>
      </c>
      <c r="AB1360">
        <f>IF($D1360="","",IF($AN1360=1,Settings!$C$8,IF($AM1360=1,Settings!$C$6,Settings!$C$7))*100)</f>
        <v/>
      </c>
      <c r="AF1360" s="7" t="n"/>
      <c r="AI1360" s="11" t="n"/>
      <c r="AK1360">
        <f>IF($D1360="","",IF(COUNTIF($D$2:$D1360,$D1360)=1,1,0))</f>
        <v/>
      </c>
      <c r="AL1360">
        <f>IF($AK1360=1,SUMPRODUCT(--($AO$2:$AO$1601&lt;$AO1360))+1,"")</f>
        <v/>
      </c>
      <c r="AM1360">
        <f>IF($D1360="","",IF(OR($R1360=TRUE(),$R1360="TRUE"),1,0))</f>
        <v/>
      </c>
      <c r="AN1360">
        <f>IF($D1360="","",IF($AA1360="Yes",1,0))</f>
        <v/>
      </c>
      <c r="AO1360">
        <f>IF($AK1360=1,IFERROR(IF(VALUE($D1360)&lt;100000000,VALUE($D1360),1000000000),IFERROR(IF(VALUE(MID($D1360,2,20))&lt;100000000,VALUE(MID($D1360,2,20)),1000000000),1000000000))+ROW()/100000,"")</f>
        <v/>
      </c>
    </row>
    <row r="1361">
      <c r="F1361" s="11" t="n"/>
      <c r="N1361" s="7">
        <f>IF($D1361="","",M1361*X1361/100)</f>
        <v/>
      </c>
      <c r="O1361" s="7" t="n"/>
      <c r="U1361" s="7" t="n"/>
      <c r="V1361" s="7" t="n"/>
      <c r="W1361" s="7">
        <f>IF($D1361="","",V1361*AB1361/100)</f>
        <v/>
      </c>
      <c r="X1361" s="7">
        <f>IF($D1361="","",V1361-W1361)</f>
        <v/>
      </c>
      <c r="Y1361" s="7">
        <f>IF($D1361="","",X1361-N1361)</f>
        <v/>
      </c>
      <c r="AB1361">
        <f>IF($D1361="","",IF($AN1361=1,Settings!$C$8,IF($AM1361=1,Settings!$C$6,Settings!$C$7))*100)</f>
        <v/>
      </c>
      <c r="AF1361" s="7" t="n"/>
      <c r="AI1361" s="11" t="n"/>
      <c r="AK1361">
        <f>IF($D1361="","",IF(COUNTIF($D$2:$D1361,$D1361)=1,1,0))</f>
        <v/>
      </c>
      <c r="AL1361">
        <f>IF($AK1361=1,SUMPRODUCT(--($AO$2:$AO$1601&lt;$AO1361))+1,"")</f>
        <v/>
      </c>
      <c r="AM1361">
        <f>IF($D1361="","",IF(OR($R1361=TRUE(),$R1361="TRUE"),1,0))</f>
        <v/>
      </c>
      <c r="AN1361">
        <f>IF($D1361="","",IF($AA1361="Yes",1,0))</f>
        <v/>
      </c>
      <c r="AO1361">
        <f>IF($AK1361=1,IFERROR(IF(VALUE($D1361)&lt;100000000,VALUE($D1361),1000000000),IFERROR(IF(VALUE(MID($D1361,2,20))&lt;100000000,VALUE(MID($D1361,2,20)),1000000000),1000000000))+ROW()/100000,"")</f>
        <v/>
      </c>
    </row>
    <row r="1362">
      <c r="F1362" s="11" t="n"/>
      <c r="N1362" s="7">
        <f>IF($D1362="","",M1362*X1362/100)</f>
        <v/>
      </c>
      <c r="O1362" s="7" t="n"/>
      <c r="U1362" s="7" t="n"/>
      <c r="V1362" s="7" t="n"/>
      <c r="W1362" s="7">
        <f>IF($D1362="","",V1362*AB1362/100)</f>
        <v/>
      </c>
      <c r="X1362" s="7">
        <f>IF($D1362="","",V1362-W1362)</f>
        <v/>
      </c>
      <c r="Y1362" s="7">
        <f>IF($D1362="","",X1362-N1362)</f>
        <v/>
      </c>
      <c r="AB1362">
        <f>IF($D1362="","",IF($AN1362=1,Settings!$C$8,IF($AM1362=1,Settings!$C$6,Settings!$C$7))*100)</f>
        <v/>
      </c>
      <c r="AF1362" s="7" t="n"/>
      <c r="AI1362" s="11" t="n"/>
      <c r="AK1362">
        <f>IF($D1362="","",IF(COUNTIF($D$2:$D1362,$D1362)=1,1,0))</f>
        <v/>
      </c>
      <c r="AL1362">
        <f>IF($AK1362=1,SUMPRODUCT(--($AO$2:$AO$1601&lt;$AO1362))+1,"")</f>
        <v/>
      </c>
      <c r="AM1362">
        <f>IF($D1362="","",IF(OR($R1362=TRUE(),$R1362="TRUE"),1,0))</f>
        <v/>
      </c>
      <c r="AN1362">
        <f>IF($D1362="","",IF($AA1362="Yes",1,0))</f>
        <v/>
      </c>
      <c r="AO1362">
        <f>IF($AK1362=1,IFERROR(IF(VALUE($D1362)&lt;100000000,VALUE($D1362),1000000000),IFERROR(IF(VALUE(MID($D1362,2,20))&lt;100000000,VALUE(MID($D1362,2,20)),1000000000),1000000000))+ROW()/100000,"")</f>
        <v/>
      </c>
    </row>
    <row r="1363">
      <c r="F1363" s="11" t="n"/>
      <c r="N1363" s="7">
        <f>IF($D1363="","",M1363*X1363/100)</f>
        <v/>
      </c>
      <c r="O1363" s="7" t="n"/>
      <c r="U1363" s="7" t="n"/>
      <c r="V1363" s="7" t="n"/>
      <c r="W1363" s="7">
        <f>IF($D1363="","",V1363*AB1363/100)</f>
        <v/>
      </c>
      <c r="X1363" s="7">
        <f>IF($D1363="","",V1363-W1363)</f>
        <v/>
      </c>
      <c r="Y1363" s="7">
        <f>IF($D1363="","",X1363-N1363)</f>
        <v/>
      </c>
      <c r="AB1363">
        <f>IF($D1363="","",IF($AN1363=1,Settings!$C$8,IF($AM1363=1,Settings!$C$6,Settings!$C$7))*100)</f>
        <v/>
      </c>
      <c r="AF1363" s="7" t="n"/>
      <c r="AI1363" s="11" t="n"/>
      <c r="AK1363">
        <f>IF($D1363="","",IF(COUNTIF($D$2:$D1363,$D1363)=1,1,0))</f>
        <v/>
      </c>
      <c r="AL1363">
        <f>IF($AK1363=1,SUMPRODUCT(--($AO$2:$AO$1601&lt;$AO1363))+1,"")</f>
        <v/>
      </c>
      <c r="AM1363">
        <f>IF($D1363="","",IF(OR($R1363=TRUE(),$R1363="TRUE"),1,0))</f>
        <v/>
      </c>
      <c r="AN1363">
        <f>IF($D1363="","",IF($AA1363="Yes",1,0))</f>
        <v/>
      </c>
      <c r="AO1363">
        <f>IF($AK1363=1,IFERROR(IF(VALUE($D1363)&lt;100000000,VALUE($D1363),1000000000),IFERROR(IF(VALUE(MID($D1363,2,20))&lt;100000000,VALUE(MID($D1363,2,20)),1000000000),1000000000))+ROW()/100000,"")</f>
        <v/>
      </c>
    </row>
    <row r="1364">
      <c r="F1364" s="11" t="n"/>
      <c r="N1364" s="7">
        <f>IF($D1364="","",M1364*X1364/100)</f>
        <v/>
      </c>
      <c r="O1364" s="7" t="n"/>
      <c r="U1364" s="7" t="n"/>
      <c r="V1364" s="7" t="n"/>
      <c r="W1364" s="7">
        <f>IF($D1364="","",V1364*AB1364/100)</f>
        <v/>
      </c>
      <c r="X1364" s="7">
        <f>IF($D1364="","",V1364-W1364)</f>
        <v/>
      </c>
      <c r="Y1364" s="7">
        <f>IF($D1364="","",X1364-N1364)</f>
        <v/>
      </c>
      <c r="AB1364">
        <f>IF($D1364="","",IF($AN1364=1,Settings!$C$8,IF($AM1364=1,Settings!$C$6,Settings!$C$7))*100)</f>
        <v/>
      </c>
      <c r="AF1364" s="7" t="n"/>
      <c r="AI1364" s="11" t="n"/>
      <c r="AK1364">
        <f>IF($D1364="","",IF(COUNTIF($D$2:$D1364,$D1364)=1,1,0))</f>
        <v/>
      </c>
      <c r="AL1364">
        <f>IF($AK1364=1,SUMPRODUCT(--($AO$2:$AO$1601&lt;$AO1364))+1,"")</f>
        <v/>
      </c>
      <c r="AM1364">
        <f>IF($D1364="","",IF(OR($R1364=TRUE(),$R1364="TRUE"),1,0))</f>
        <v/>
      </c>
      <c r="AN1364">
        <f>IF($D1364="","",IF($AA1364="Yes",1,0))</f>
        <v/>
      </c>
      <c r="AO1364">
        <f>IF($AK1364=1,IFERROR(IF(VALUE($D1364)&lt;100000000,VALUE($D1364),1000000000),IFERROR(IF(VALUE(MID($D1364,2,20))&lt;100000000,VALUE(MID($D1364,2,20)),1000000000),1000000000))+ROW()/100000,"")</f>
        <v/>
      </c>
    </row>
    <row r="1365">
      <c r="F1365" s="11" t="n"/>
      <c r="N1365" s="7">
        <f>IF($D1365="","",M1365*X1365/100)</f>
        <v/>
      </c>
      <c r="O1365" s="7" t="n"/>
      <c r="U1365" s="7" t="n"/>
      <c r="V1365" s="7" t="n"/>
      <c r="W1365" s="7">
        <f>IF($D1365="","",V1365*AB1365/100)</f>
        <v/>
      </c>
      <c r="X1365" s="7">
        <f>IF($D1365="","",V1365-W1365)</f>
        <v/>
      </c>
      <c r="Y1365" s="7">
        <f>IF($D1365="","",X1365-N1365)</f>
        <v/>
      </c>
      <c r="AB1365">
        <f>IF($D1365="","",IF($AN1365=1,Settings!$C$8,IF($AM1365=1,Settings!$C$6,Settings!$C$7))*100)</f>
        <v/>
      </c>
      <c r="AF1365" s="7" t="n"/>
      <c r="AI1365" s="11" t="n"/>
      <c r="AK1365">
        <f>IF($D1365="","",IF(COUNTIF($D$2:$D1365,$D1365)=1,1,0))</f>
        <v/>
      </c>
      <c r="AL1365">
        <f>IF($AK1365=1,SUMPRODUCT(--($AO$2:$AO$1601&lt;$AO1365))+1,"")</f>
        <v/>
      </c>
      <c r="AM1365">
        <f>IF($D1365="","",IF(OR($R1365=TRUE(),$R1365="TRUE"),1,0))</f>
        <v/>
      </c>
      <c r="AN1365">
        <f>IF($D1365="","",IF($AA1365="Yes",1,0))</f>
        <v/>
      </c>
      <c r="AO1365">
        <f>IF($AK1365=1,IFERROR(IF(VALUE($D1365)&lt;100000000,VALUE($D1365),1000000000),IFERROR(IF(VALUE(MID($D1365,2,20))&lt;100000000,VALUE(MID($D1365,2,20)),1000000000),1000000000))+ROW()/100000,"")</f>
        <v/>
      </c>
    </row>
    <row r="1366">
      <c r="F1366" s="11" t="n"/>
      <c r="N1366" s="7">
        <f>IF($D1366="","",M1366*X1366/100)</f>
        <v/>
      </c>
      <c r="O1366" s="7" t="n"/>
      <c r="U1366" s="7" t="n"/>
      <c r="V1366" s="7" t="n"/>
      <c r="W1366" s="7">
        <f>IF($D1366="","",V1366*AB1366/100)</f>
        <v/>
      </c>
      <c r="X1366" s="7">
        <f>IF($D1366="","",V1366-W1366)</f>
        <v/>
      </c>
      <c r="Y1366" s="7">
        <f>IF($D1366="","",X1366-N1366)</f>
        <v/>
      </c>
      <c r="AB1366">
        <f>IF($D1366="","",IF($AN1366=1,Settings!$C$8,IF($AM1366=1,Settings!$C$6,Settings!$C$7))*100)</f>
        <v/>
      </c>
      <c r="AF1366" s="7" t="n"/>
      <c r="AI1366" s="11" t="n"/>
      <c r="AK1366">
        <f>IF($D1366="","",IF(COUNTIF($D$2:$D1366,$D1366)=1,1,0))</f>
        <v/>
      </c>
      <c r="AL1366">
        <f>IF($AK1366=1,SUMPRODUCT(--($AO$2:$AO$1601&lt;$AO1366))+1,"")</f>
        <v/>
      </c>
      <c r="AM1366">
        <f>IF($D1366="","",IF(OR($R1366=TRUE(),$R1366="TRUE"),1,0))</f>
        <v/>
      </c>
      <c r="AN1366">
        <f>IF($D1366="","",IF($AA1366="Yes",1,0))</f>
        <v/>
      </c>
      <c r="AO1366">
        <f>IF($AK1366=1,IFERROR(IF(VALUE($D1366)&lt;100000000,VALUE($D1366),1000000000),IFERROR(IF(VALUE(MID($D1366,2,20))&lt;100000000,VALUE(MID($D1366,2,20)),1000000000),1000000000))+ROW()/100000,"")</f>
        <v/>
      </c>
    </row>
    <row r="1367">
      <c r="F1367" s="11" t="n"/>
      <c r="N1367" s="7">
        <f>IF($D1367="","",M1367*X1367/100)</f>
        <v/>
      </c>
      <c r="O1367" s="7" t="n"/>
      <c r="U1367" s="7" t="n"/>
      <c r="V1367" s="7" t="n"/>
      <c r="W1367" s="7">
        <f>IF($D1367="","",V1367*AB1367/100)</f>
        <v/>
      </c>
      <c r="X1367" s="7">
        <f>IF($D1367="","",V1367-W1367)</f>
        <v/>
      </c>
      <c r="Y1367" s="7">
        <f>IF($D1367="","",X1367-N1367)</f>
        <v/>
      </c>
      <c r="AB1367">
        <f>IF($D1367="","",IF($AN1367=1,Settings!$C$8,IF($AM1367=1,Settings!$C$6,Settings!$C$7))*100)</f>
        <v/>
      </c>
      <c r="AF1367" s="7" t="n"/>
      <c r="AI1367" s="11" t="n"/>
      <c r="AK1367">
        <f>IF($D1367="","",IF(COUNTIF($D$2:$D1367,$D1367)=1,1,0))</f>
        <v/>
      </c>
      <c r="AL1367">
        <f>IF($AK1367=1,SUMPRODUCT(--($AO$2:$AO$1601&lt;$AO1367))+1,"")</f>
        <v/>
      </c>
      <c r="AM1367">
        <f>IF($D1367="","",IF(OR($R1367=TRUE(),$R1367="TRUE"),1,0))</f>
        <v/>
      </c>
      <c r="AN1367">
        <f>IF($D1367="","",IF($AA1367="Yes",1,0))</f>
        <v/>
      </c>
      <c r="AO1367">
        <f>IF($AK1367=1,IFERROR(IF(VALUE($D1367)&lt;100000000,VALUE($D1367),1000000000),IFERROR(IF(VALUE(MID($D1367,2,20))&lt;100000000,VALUE(MID($D1367,2,20)),1000000000),1000000000))+ROW()/100000,"")</f>
        <v/>
      </c>
    </row>
    <row r="1368">
      <c r="F1368" s="11" t="n"/>
      <c r="N1368" s="7">
        <f>IF($D1368="","",M1368*X1368/100)</f>
        <v/>
      </c>
      <c r="O1368" s="7" t="n"/>
      <c r="U1368" s="7" t="n"/>
      <c r="V1368" s="7" t="n"/>
      <c r="W1368" s="7">
        <f>IF($D1368="","",V1368*AB1368/100)</f>
        <v/>
      </c>
      <c r="X1368" s="7">
        <f>IF($D1368="","",V1368-W1368)</f>
        <v/>
      </c>
      <c r="Y1368" s="7">
        <f>IF($D1368="","",X1368-N1368)</f>
        <v/>
      </c>
      <c r="AB1368">
        <f>IF($D1368="","",IF($AN1368=1,Settings!$C$8,IF($AM1368=1,Settings!$C$6,Settings!$C$7))*100)</f>
        <v/>
      </c>
      <c r="AF1368" s="7" t="n"/>
      <c r="AI1368" s="11" t="n"/>
      <c r="AK1368">
        <f>IF($D1368="","",IF(COUNTIF($D$2:$D1368,$D1368)=1,1,0))</f>
        <v/>
      </c>
      <c r="AL1368">
        <f>IF($AK1368=1,SUMPRODUCT(--($AO$2:$AO$1601&lt;$AO1368))+1,"")</f>
        <v/>
      </c>
      <c r="AM1368">
        <f>IF($D1368="","",IF(OR($R1368=TRUE(),$R1368="TRUE"),1,0))</f>
        <v/>
      </c>
      <c r="AN1368">
        <f>IF($D1368="","",IF($AA1368="Yes",1,0))</f>
        <v/>
      </c>
      <c r="AO1368">
        <f>IF($AK1368=1,IFERROR(IF(VALUE($D1368)&lt;100000000,VALUE($D1368),1000000000),IFERROR(IF(VALUE(MID($D1368,2,20))&lt;100000000,VALUE(MID($D1368,2,20)),1000000000),1000000000))+ROW()/100000,"")</f>
        <v/>
      </c>
    </row>
    <row r="1369">
      <c r="F1369" s="11" t="n"/>
      <c r="N1369" s="7">
        <f>IF($D1369="","",M1369*X1369/100)</f>
        <v/>
      </c>
      <c r="O1369" s="7" t="n"/>
      <c r="U1369" s="7" t="n"/>
      <c r="V1369" s="7" t="n"/>
      <c r="W1369" s="7">
        <f>IF($D1369="","",V1369*AB1369/100)</f>
        <v/>
      </c>
      <c r="X1369" s="7">
        <f>IF($D1369="","",V1369-W1369)</f>
        <v/>
      </c>
      <c r="Y1369" s="7">
        <f>IF($D1369="","",X1369-N1369)</f>
        <v/>
      </c>
      <c r="AB1369">
        <f>IF($D1369="","",IF($AN1369=1,Settings!$C$8,IF($AM1369=1,Settings!$C$6,Settings!$C$7))*100)</f>
        <v/>
      </c>
      <c r="AF1369" s="7" t="n"/>
      <c r="AI1369" s="11" t="n"/>
      <c r="AK1369">
        <f>IF($D1369="","",IF(COUNTIF($D$2:$D1369,$D1369)=1,1,0))</f>
        <v/>
      </c>
      <c r="AL1369">
        <f>IF($AK1369=1,SUMPRODUCT(--($AO$2:$AO$1601&lt;$AO1369))+1,"")</f>
        <v/>
      </c>
      <c r="AM1369">
        <f>IF($D1369="","",IF(OR($R1369=TRUE(),$R1369="TRUE"),1,0))</f>
        <v/>
      </c>
      <c r="AN1369">
        <f>IF($D1369="","",IF($AA1369="Yes",1,0))</f>
        <v/>
      </c>
      <c r="AO1369">
        <f>IF($AK1369=1,IFERROR(IF(VALUE($D1369)&lt;100000000,VALUE($D1369),1000000000),IFERROR(IF(VALUE(MID($D1369,2,20))&lt;100000000,VALUE(MID($D1369,2,20)),1000000000),1000000000))+ROW()/100000,"")</f>
        <v/>
      </c>
    </row>
    <row r="1370">
      <c r="F1370" s="11" t="n"/>
      <c r="N1370" s="7">
        <f>IF($D1370="","",M1370*X1370/100)</f>
        <v/>
      </c>
      <c r="O1370" s="7" t="n"/>
      <c r="U1370" s="7" t="n"/>
      <c r="V1370" s="7" t="n"/>
      <c r="W1370" s="7">
        <f>IF($D1370="","",V1370*AB1370/100)</f>
        <v/>
      </c>
      <c r="X1370" s="7">
        <f>IF($D1370="","",V1370-W1370)</f>
        <v/>
      </c>
      <c r="Y1370" s="7">
        <f>IF($D1370="","",X1370-N1370)</f>
        <v/>
      </c>
      <c r="AB1370">
        <f>IF($D1370="","",IF($AN1370=1,Settings!$C$8,IF($AM1370=1,Settings!$C$6,Settings!$C$7))*100)</f>
        <v/>
      </c>
      <c r="AF1370" s="7" t="n"/>
      <c r="AI1370" s="11" t="n"/>
      <c r="AK1370">
        <f>IF($D1370="","",IF(COUNTIF($D$2:$D1370,$D1370)=1,1,0))</f>
        <v/>
      </c>
      <c r="AL1370">
        <f>IF($AK1370=1,SUMPRODUCT(--($AO$2:$AO$1601&lt;$AO1370))+1,"")</f>
        <v/>
      </c>
      <c r="AM1370">
        <f>IF($D1370="","",IF(OR($R1370=TRUE(),$R1370="TRUE"),1,0))</f>
        <v/>
      </c>
      <c r="AN1370">
        <f>IF($D1370="","",IF($AA1370="Yes",1,0))</f>
        <v/>
      </c>
      <c r="AO1370">
        <f>IF($AK1370=1,IFERROR(IF(VALUE($D1370)&lt;100000000,VALUE($D1370),1000000000),IFERROR(IF(VALUE(MID($D1370,2,20))&lt;100000000,VALUE(MID($D1370,2,20)),1000000000),1000000000))+ROW()/100000,"")</f>
        <v/>
      </c>
    </row>
    <row r="1371">
      <c r="F1371" s="11" t="n"/>
      <c r="N1371" s="7">
        <f>IF($D1371="","",M1371*X1371/100)</f>
        <v/>
      </c>
      <c r="O1371" s="7" t="n"/>
      <c r="U1371" s="7" t="n"/>
      <c r="V1371" s="7" t="n"/>
      <c r="W1371" s="7">
        <f>IF($D1371="","",V1371*AB1371/100)</f>
        <v/>
      </c>
      <c r="X1371" s="7">
        <f>IF($D1371="","",V1371-W1371)</f>
        <v/>
      </c>
      <c r="Y1371" s="7">
        <f>IF($D1371="","",X1371-N1371)</f>
        <v/>
      </c>
      <c r="AB1371">
        <f>IF($D1371="","",IF($AN1371=1,Settings!$C$8,IF($AM1371=1,Settings!$C$6,Settings!$C$7))*100)</f>
        <v/>
      </c>
      <c r="AF1371" s="7" t="n"/>
      <c r="AI1371" s="11" t="n"/>
      <c r="AK1371">
        <f>IF($D1371="","",IF(COUNTIF($D$2:$D1371,$D1371)=1,1,0))</f>
        <v/>
      </c>
      <c r="AL1371">
        <f>IF($AK1371=1,SUMPRODUCT(--($AO$2:$AO$1601&lt;$AO1371))+1,"")</f>
        <v/>
      </c>
      <c r="AM1371">
        <f>IF($D1371="","",IF(OR($R1371=TRUE(),$R1371="TRUE"),1,0))</f>
        <v/>
      </c>
      <c r="AN1371">
        <f>IF($D1371="","",IF($AA1371="Yes",1,0))</f>
        <v/>
      </c>
      <c r="AO1371">
        <f>IF($AK1371=1,IFERROR(IF(VALUE($D1371)&lt;100000000,VALUE($D1371),1000000000),IFERROR(IF(VALUE(MID($D1371,2,20))&lt;100000000,VALUE(MID($D1371,2,20)),1000000000),1000000000))+ROW()/100000,"")</f>
        <v/>
      </c>
    </row>
    <row r="1372">
      <c r="F1372" s="11" t="n"/>
      <c r="N1372" s="7">
        <f>IF($D1372="","",M1372*X1372/100)</f>
        <v/>
      </c>
      <c r="O1372" s="7" t="n"/>
      <c r="U1372" s="7" t="n"/>
      <c r="V1372" s="7" t="n"/>
      <c r="W1372" s="7">
        <f>IF($D1372="","",V1372*AB1372/100)</f>
        <v/>
      </c>
      <c r="X1372" s="7">
        <f>IF($D1372="","",V1372-W1372)</f>
        <v/>
      </c>
      <c r="Y1372" s="7">
        <f>IF($D1372="","",X1372-N1372)</f>
        <v/>
      </c>
      <c r="AB1372">
        <f>IF($D1372="","",IF($AN1372=1,Settings!$C$8,IF($AM1372=1,Settings!$C$6,Settings!$C$7))*100)</f>
        <v/>
      </c>
      <c r="AF1372" s="7" t="n"/>
      <c r="AI1372" s="11" t="n"/>
      <c r="AK1372">
        <f>IF($D1372="","",IF(COUNTIF($D$2:$D1372,$D1372)=1,1,0))</f>
        <v/>
      </c>
      <c r="AL1372">
        <f>IF($AK1372=1,SUMPRODUCT(--($AO$2:$AO$1601&lt;$AO1372))+1,"")</f>
        <v/>
      </c>
      <c r="AM1372">
        <f>IF($D1372="","",IF(OR($R1372=TRUE(),$R1372="TRUE"),1,0))</f>
        <v/>
      </c>
      <c r="AN1372">
        <f>IF($D1372="","",IF($AA1372="Yes",1,0))</f>
        <v/>
      </c>
      <c r="AO1372">
        <f>IF($AK1372=1,IFERROR(IF(VALUE($D1372)&lt;100000000,VALUE($D1372),1000000000),IFERROR(IF(VALUE(MID($D1372,2,20))&lt;100000000,VALUE(MID($D1372,2,20)),1000000000),1000000000))+ROW()/100000,"")</f>
        <v/>
      </c>
    </row>
    <row r="1373">
      <c r="F1373" s="11" t="n"/>
      <c r="N1373" s="7">
        <f>IF($D1373="","",M1373*X1373/100)</f>
        <v/>
      </c>
      <c r="O1373" s="7" t="n"/>
      <c r="U1373" s="7" t="n"/>
      <c r="V1373" s="7" t="n"/>
      <c r="W1373" s="7">
        <f>IF($D1373="","",V1373*AB1373/100)</f>
        <v/>
      </c>
      <c r="X1373" s="7">
        <f>IF($D1373="","",V1373-W1373)</f>
        <v/>
      </c>
      <c r="Y1373" s="7">
        <f>IF($D1373="","",X1373-N1373)</f>
        <v/>
      </c>
      <c r="AB1373">
        <f>IF($D1373="","",IF($AN1373=1,Settings!$C$8,IF($AM1373=1,Settings!$C$6,Settings!$C$7))*100)</f>
        <v/>
      </c>
      <c r="AF1373" s="7" t="n"/>
      <c r="AI1373" s="11" t="n"/>
      <c r="AK1373">
        <f>IF($D1373="","",IF(COUNTIF($D$2:$D1373,$D1373)=1,1,0))</f>
        <v/>
      </c>
      <c r="AL1373">
        <f>IF($AK1373=1,SUMPRODUCT(--($AO$2:$AO$1601&lt;$AO1373))+1,"")</f>
        <v/>
      </c>
      <c r="AM1373">
        <f>IF($D1373="","",IF(OR($R1373=TRUE(),$R1373="TRUE"),1,0))</f>
        <v/>
      </c>
      <c r="AN1373">
        <f>IF($D1373="","",IF($AA1373="Yes",1,0))</f>
        <v/>
      </c>
      <c r="AO1373">
        <f>IF($AK1373=1,IFERROR(IF(VALUE($D1373)&lt;100000000,VALUE($D1373),1000000000),IFERROR(IF(VALUE(MID($D1373,2,20))&lt;100000000,VALUE(MID($D1373,2,20)),1000000000),1000000000))+ROW()/100000,"")</f>
        <v/>
      </c>
    </row>
    <row r="1374">
      <c r="F1374" s="11" t="n"/>
      <c r="N1374" s="7">
        <f>IF($D1374="","",M1374*X1374/100)</f>
        <v/>
      </c>
      <c r="O1374" s="7" t="n"/>
      <c r="U1374" s="7" t="n"/>
      <c r="V1374" s="7" t="n"/>
      <c r="W1374" s="7">
        <f>IF($D1374="","",V1374*AB1374/100)</f>
        <v/>
      </c>
      <c r="X1374" s="7">
        <f>IF($D1374="","",V1374-W1374)</f>
        <v/>
      </c>
      <c r="Y1374" s="7">
        <f>IF($D1374="","",X1374-N1374)</f>
        <v/>
      </c>
      <c r="AB1374">
        <f>IF($D1374="","",IF($AN1374=1,Settings!$C$8,IF($AM1374=1,Settings!$C$6,Settings!$C$7))*100)</f>
        <v/>
      </c>
      <c r="AF1374" s="7" t="n"/>
      <c r="AI1374" s="11" t="n"/>
      <c r="AK1374">
        <f>IF($D1374="","",IF(COUNTIF($D$2:$D1374,$D1374)=1,1,0))</f>
        <v/>
      </c>
      <c r="AL1374">
        <f>IF($AK1374=1,SUMPRODUCT(--($AO$2:$AO$1601&lt;$AO1374))+1,"")</f>
        <v/>
      </c>
      <c r="AM1374">
        <f>IF($D1374="","",IF(OR($R1374=TRUE(),$R1374="TRUE"),1,0))</f>
        <v/>
      </c>
      <c r="AN1374">
        <f>IF($D1374="","",IF($AA1374="Yes",1,0))</f>
        <v/>
      </c>
      <c r="AO1374">
        <f>IF($AK1374=1,IFERROR(IF(VALUE($D1374)&lt;100000000,VALUE($D1374),1000000000),IFERROR(IF(VALUE(MID($D1374,2,20))&lt;100000000,VALUE(MID($D1374,2,20)),1000000000),1000000000))+ROW()/100000,"")</f>
        <v/>
      </c>
    </row>
    <row r="1375">
      <c r="F1375" s="11" t="n"/>
      <c r="N1375" s="7">
        <f>IF($D1375="","",M1375*X1375/100)</f>
        <v/>
      </c>
      <c r="O1375" s="7" t="n"/>
      <c r="U1375" s="7" t="n"/>
      <c r="V1375" s="7" t="n"/>
      <c r="W1375" s="7">
        <f>IF($D1375="","",V1375*AB1375/100)</f>
        <v/>
      </c>
      <c r="X1375" s="7">
        <f>IF($D1375="","",V1375-W1375)</f>
        <v/>
      </c>
      <c r="Y1375" s="7">
        <f>IF($D1375="","",X1375-N1375)</f>
        <v/>
      </c>
      <c r="AB1375">
        <f>IF($D1375="","",IF($AN1375=1,Settings!$C$8,IF($AM1375=1,Settings!$C$6,Settings!$C$7))*100)</f>
        <v/>
      </c>
      <c r="AF1375" s="7" t="n"/>
      <c r="AI1375" s="11" t="n"/>
      <c r="AK1375">
        <f>IF($D1375="","",IF(COUNTIF($D$2:$D1375,$D1375)=1,1,0))</f>
        <v/>
      </c>
      <c r="AL1375">
        <f>IF($AK1375=1,SUMPRODUCT(--($AO$2:$AO$1601&lt;$AO1375))+1,"")</f>
        <v/>
      </c>
      <c r="AM1375">
        <f>IF($D1375="","",IF(OR($R1375=TRUE(),$R1375="TRUE"),1,0))</f>
        <v/>
      </c>
      <c r="AN1375">
        <f>IF($D1375="","",IF($AA1375="Yes",1,0))</f>
        <v/>
      </c>
      <c r="AO1375">
        <f>IF($AK1375=1,IFERROR(IF(VALUE($D1375)&lt;100000000,VALUE($D1375),1000000000),IFERROR(IF(VALUE(MID($D1375,2,20))&lt;100000000,VALUE(MID($D1375,2,20)),1000000000),1000000000))+ROW()/100000,"")</f>
        <v/>
      </c>
    </row>
    <row r="1376">
      <c r="F1376" s="11" t="n"/>
      <c r="N1376" s="7">
        <f>IF($D1376="","",M1376*X1376/100)</f>
        <v/>
      </c>
      <c r="O1376" s="7" t="n"/>
      <c r="U1376" s="7" t="n"/>
      <c r="V1376" s="7" t="n"/>
      <c r="W1376" s="7">
        <f>IF($D1376="","",V1376*AB1376/100)</f>
        <v/>
      </c>
      <c r="X1376" s="7">
        <f>IF($D1376="","",V1376-W1376)</f>
        <v/>
      </c>
      <c r="Y1376" s="7">
        <f>IF($D1376="","",X1376-N1376)</f>
        <v/>
      </c>
      <c r="AB1376">
        <f>IF($D1376="","",IF($AN1376=1,Settings!$C$8,IF($AM1376=1,Settings!$C$6,Settings!$C$7))*100)</f>
        <v/>
      </c>
      <c r="AF1376" s="7" t="n"/>
      <c r="AI1376" s="11" t="n"/>
      <c r="AK1376">
        <f>IF($D1376="","",IF(COUNTIF($D$2:$D1376,$D1376)=1,1,0))</f>
        <v/>
      </c>
      <c r="AL1376">
        <f>IF($AK1376=1,SUMPRODUCT(--($AO$2:$AO$1601&lt;$AO1376))+1,"")</f>
        <v/>
      </c>
      <c r="AM1376">
        <f>IF($D1376="","",IF(OR($R1376=TRUE(),$R1376="TRUE"),1,0))</f>
        <v/>
      </c>
      <c r="AN1376">
        <f>IF($D1376="","",IF($AA1376="Yes",1,0))</f>
        <v/>
      </c>
      <c r="AO1376">
        <f>IF($AK1376=1,IFERROR(IF(VALUE($D1376)&lt;100000000,VALUE($D1376),1000000000),IFERROR(IF(VALUE(MID($D1376,2,20))&lt;100000000,VALUE(MID($D1376,2,20)),1000000000),1000000000))+ROW()/100000,"")</f>
        <v/>
      </c>
    </row>
    <row r="1377">
      <c r="F1377" s="11" t="n"/>
      <c r="N1377" s="7">
        <f>IF($D1377="","",M1377*X1377/100)</f>
        <v/>
      </c>
      <c r="O1377" s="7" t="n"/>
      <c r="U1377" s="7" t="n"/>
      <c r="V1377" s="7" t="n"/>
      <c r="W1377" s="7">
        <f>IF($D1377="","",V1377*AB1377/100)</f>
        <v/>
      </c>
      <c r="X1377" s="7">
        <f>IF($D1377="","",V1377-W1377)</f>
        <v/>
      </c>
      <c r="Y1377" s="7">
        <f>IF($D1377="","",X1377-N1377)</f>
        <v/>
      </c>
      <c r="AB1377">
        <f>IF($D1377="","",IF($AN1377=1,Settings!$C$8,IF($AM1377=1,Settings!$C$6,Settings!$C$7))*100)</f>
        <v/>
      </c>
      <c r="AF1377" s="7" t="n"/>
      <c r="AI1377" s="11" t="n"/>
      <c r="AK1377">
        <f>IF($D1377="","",IF(COUNTIF($D$2:$D1377,$D1377)=1,1,0))</f>
        <v/>
      </c>
      <c r="AL1377">
        <f>IF($AK1377=1,SUMPRODUCT(--($AO$2:$AO$1601&lt;$AO1377))+1,"")</f>
        <v/>
      </c>
      <c r="AM1377">
        <f>IF($D1377="","",IF(OR($R1377=TRUE(),$R1377="TRUE"),1,0))</f>
        <v/>
      </c>
      <c r="AN1377">
        <f>IF($D1377="","",IF($AA1377="Yes",1,0))</f>
        <v/>
      </c>
      <c r="AO1377">
        <f>IF($AK1377=1,IFERROR(IF(VALUE($D1377)&lt;100000000,VALUE($D1377),1000000000),IFERROR(IF(VALUE(MID($D1377,2,20))&lt;100000000,VALUE(MID($D1377,2,20)),1000000000),1000000000))+ROW()/100000,"")</f>
        <v/>
      </c>
    </row>
    <row r="1378">
      <c r="F1378" s="11" t="n"/>
      <c r="N1378" s="7">
        <f>IF($D1378="","",M1378*X1378/100)</f>
        <v/>
      </c>
      <c r="O1378" s="7" t="n"/>
      <c r="U1378" s="7" t="n"/>
      <c r="V1378" s="7" t="n"/>
      <c r="W1378" s="7">
        <f>IF($D1378="","",V1378*AB1378/100)</f>
        <v/>
      </c>
      <c r="X1378" s="7">
        <f>IF($D1378="","",V1378-W1378)</f>
        <v/>
      </c>
      <c r="Y1378" s="7">
        <f>IF($D1378="","",X1378-N1378)</f>
        <v/>
      </c>
      <c r="AB1378">
        <f>IF($D1378="","",IF($AN1378=1,Settings!$C$8,IF($AM1378=1,Settings!$C$6,Settings!$C$7))*100)</f>
        <v/>
      </c>
      <c r="AF1378" s="7" t="n"/>
      <c r="AI1378" s="11" t="n"/>
      <c r="AK1378">
        <f>IF($D1378="","",IF(COUNTIF($D$2:$D1378,$D1378)=1,1,0))</f>
        <v/>
      </c>
      <c r="AL1378">
        <f>IF($AK1378=1,SUMPRODUCT(--($AO$2:$AO$1601&lt;$AO1378))+1,"")</f>
        <v/>
      </c>
      <c r="AM1378">
        <f>IF($D1378="","",IF(OR($R1378=TRUE(),$R1378="TRUE"),1,0))</f>
        <v/>
      </c>
      <c r="AN1378">
        <f>IF($D1378="","",IF($AA1378="Yes",1,0))</f>
        <v/>
      </c>
      <c r="AO1378">
        <f>IF($AK1378=1,IFERROR(IF(VALUE($D1378)&lt;100000000,VALUE($D1378),1000000000),IFERROR(IF(VALUE(MID($D1378,2,20))&lt;100000000,VALUE(MID($D1378,2,20)),1000000000),1000000000))+ROW()/100000,"")</f>
        <v/>
      </c>
    </row>
    <row r="1379">
      <c r="F1379" s="11" t="n"/>
      <c r="N1379" s="7">
        <f>IF($D1379="","",M1379*X1379/100)</f>
        <v/>
      </c>
      <c r="O1379" s="7" t="n"/>
      <c r="U1379" s="7" t="n"/>
      <c r="V1379" s="7" t="n"/>
      <c r="W1379" s="7">
        <f>IF($D1379="","",V1379*AB1379/100)</f>
        <v/>
      </c>
      <c r="X1379" s="7">
        <f>IF($D1379="","",V1379-W1379)</f>
        <v/>
      </c>
      <c r="Y1379" s="7">
        <f>IF($D1379="","",X1379-N1379)</f>
        <v/>
      </c>
      <c r="AB1379">
        <f>IF($D1379="","",IF($AN1379=1,Settings!$C$8,IF($AM1379=1,Settings!$C$6,Settings!$C$7))*100)</f>
        <v/>
      </c>
      <c r="AF1379" s="7" t="n"/>
      <c r="AI1379" s="11" t="n"/>
      <c r="AK1379">
        <f>IF($D1379="","",IF(COUNTIF($D$2:$D1379,$D1379)=1,1,0))</f>
        <v/>
      </c>
      <c r="AL1379">
        <f>IF($AK1379=1,SUMPRODUCT(--($AO$2:$AO$1601&lt;$AO1379))+1,"")</f>
        <v/>
      </c>
      <c r="AM1379">
        <f>IF($D1379="","",IF(OR($R1379=TRUE(),$R1379="TRUE"),1,0))</f>
        <v/>
      </c>
      <c r="AN1379">
        <f>IF($D1379="","",IF($AA1379="Yes",1,0))</f>
        <v/>
      </c>
      <c r="AO1379">
        <f>IF($AK1379=1,IFERROR(IF(VALUE($D1379)&lt;100000000,VALUE($D1379),1000000000),IFERROR(IF(VALUE(MID($D1379,2,20))&lt;100000000,VALUE(MID($D1379,2,20)),1000000000),1000000000))+ROW()/100000,"")</f>
        <v/>
      </c>
    </row>
    <row r="1380">
      <c r="F1380" s="11" t="n"/>
      <c r="N1380" s="7">
        <f>IF($D1380="","",M1380*X1380/100)</f>
        <v/>
      </c>
      <c r="O1380" s="7" t="n"/>
      <c r="U1380" s="7" t="n"/>
      <c r="V1380" s="7" t="n"/>
      <c r="W1380" s="7">
        <f>IF($D1380="","",V1380*AB1380/100)</f>
        <v/>
      </c>
      <c r="X1380" s="7">
        <f>IF($D1380="","",V1380-W1380)</f>
        <v/>
      </c>
      <c r="Y1380" s="7">
        <f>IF($D1380="","",X1380-N1380)</f>
        <v/>
      </c>
      <c r="AB1380">
        <f>IF($D1380="","",IF($AN1380=1,Settings!$C$8,IF($AM1380=1,Settings!$C$6,Settings!$C$7))*100)</f>
        <v/>
      </c>
      <c r="AF1380" s="7" t="n"/>
      <c r="AI1380" s="11" t="n"/>
      <c r="AK1380">
        <f>IF($D1380="","",IF(COUNTIF($D$2:$D1380,$D1380)=1,1,0))</f>
        <v/>
      </c>
      <c r="AL1380">
        <f>IF($AK1380=1,SUMPRODUCT(--($AO$2:$AO$1601&lt;$AO1380))+1,"")</f>
        <v/>
      </c>
      <c r="AM1380">
        <f>IF($D1380="","",IF(OR($R1380=TRUE(),$R1380="TRUE"),1,0))</f>
        <v/>
      </c>
      <c r="AN1380">
        <f>IF($D1380="","",IF($AA1380="Yes",1,0))</f>
        <v/>
      </c>
      <c r="AO1380">
        <f>IF($AK1380=1,IFERROR(IF(VALUE($D1380)&lt;100000000,VALUE($D1380),1000000000),IFERROR(IF(VALUE(MID($D1380,2,20))&lt;100000000,VALUE(MID($D1380,2,20)),1000000000),1000000000))+ROW()/100000,"")</f>
        <v/>
      </c>
    </row>
    <row r="1381">
      <c r="F1381" s="11" t="n"/>
      <c r="N1381" s="7">
        <f>IF($D1381="","",M1381*X1381/100)</f>
        <v/>
      </c>
      <c r="O1381" s="7" t="n"/>
      <c r="U1381" s="7" t="n"/>
      <c r="V1381" s="7" t="n"/>
      <c r="W1381" s="7">
        <f>IF($D1381="","",V1381*AB1381/100)</f>
        <v/>
      </c>
      <c r="X1381" s="7">
        <f>IF($D1381="","",V1381-W1381)</f>
        <v/>
      </c>
      <c r="Y1381" s="7">
        <f>IF($D1381="","",X1381-N1381)</f>
        <v/>
      </c>
      <c r="AB1381">
        <f>IF($D1381="","",IF($AN1381=1,Settings!$C$8,IF($AM1381=1,Settings!$C$6,Settings!$C$7))*100)</f>
        <v/>
      </c>
      <c r="AF1381" s="7" t="n"/>
      <c r="AI1381" s="11" t="n"/>
      <c r="AK1381">
        <f>IF($D1381="","",IF(COUNTIF($D$2:$D1381,$D1381)=1,1,0))</f>
        <v/>
      </c>
      <c r="AL1381">
        <f>IF($AK1381=1,SUMPRODUCT(--($AO$2:$AO$1601&lt;$AO1381))+1,"")</f>
        <v/>
      </c>
      <c r="AM1381">
        <f>IF($D1381="","",IF(OR($R1381=TRUE(),$R1381="TRUE"),1,0))</f>
        <v/>
      </c>
      <c r="AN1381">
        <f>IF($D1381="","",IF($AA1381="Yes",1,0))</f>
        <v/>
      </c>
      <c r="AO1381">
        <f>IF($AK1381=1,IFERROR(IF(VALUE($D1381)&lt;100000000,VALUE($D1381),1000000000),IFERROR(IF(VALUE(MID($D1381,2,20))&lt;100000000,VALUE(MID($D1381,2,20)),1000000000),1000000000))+ROW()/100000,"")</f>
        <v/>
      </c>
    </row>
    <row r="1382">
      <c r="F1382" s="11" t="n"/>
      <c r="N1382" s="7">
        <f>IF($D1382="","",M1382*X1382/100)</f>
        <v/>
      </c>
      <c r="O1382" s="7" t="n"/>
      <c r="U1382" s="7" t="n"/>
      <c r="V1382" s="7" t="n"/>
      <c r="W1382" s="7">
        <f>IF($D1382="","",V1382*AB1382/100)</f>
        <v/>
      </c>
      <c r="X1382" s="7">
        <f>IF($D1382="","",V1382-W1382)</f>
        <v/>
      </c>
      <c r="Y1382" s="7">
        <f>IF($D1382="","",X1382-N1382)</f>
        <v/>
      </c>
      <c r="AB1382">
        <f>IF($D1382="","",IF($AN1382=1,Settings!$C$8,IF($AM1382=1,Settings!$C$6,Settings!$C$7))*100)</f>
        <v/>
      </c>
      <c r="AF1382" s="7" t="n"/>
      <c r="AI1382" s="11" t="n"/>
      <c r="AK1382">
        <f>IF($D1382="","",IF(COUNTIF($D$2:$D1382,$D1382)=1,1,0))</f>
        <v/>
      </c>
      <c r="AL1382">
        <f>IF($AK1382=1,SUMPRODUCT(--($AO$2:$AO$1601&lt;$AO1382))+1,"")</f>
        <v/>
      </c>
      <c r="AM1382">
        <f>IF($D1382="","",IF(OR($R1382=TRUE(),$R1382="TRUE"),1,0))</f>
        <v/>
      </c>
      <c r="AN1382">
        <f>IF($D1382="","",IF($AA1382="Yes",1,0))</f>
        <v/>
      </c>
      <c r="AO1382">
        <f>IF($AK1382=1,IFERROR(IF(VALUE($D1382)&lt;100000000,VALUE($D1382),1000000000),IFERROR(IF(VALUE(MID($D1382,2,20))&lt;100000000,VALUE(MID($D1382,2,20)),1000000000),1000000000))+ROW()/100000,"")</f>
        <v/>
      </c>
    </row>
    <row r="1383">
      <c r="F1383" s="11" t="n"/>
      <c r="N1383" s="7">
        <f>IF($D1383="","",M1383*X1383/100)</f>
        <v/>
      </c>
      <c r="O1383" s="7" t="n"/>
      <c r="U1383" s="7" t="n"/>
      <c r="V1383" s="7" t="n"/>
      <c r="W1383" s="7">
        <f>IF($D1383="","",V1383*AB1383/100)</f>
        <v/>
      </c>
      <c r="X1383" s="7">
        <f>IF($D1383="","",V1383-W1383)</f>
        <v/>
      </c>
      <c r="Y1383" s="7">
        <f>IF($D1383="","",X1383-N1383)</f>
        <v/>
      </c>
      <c r="AB1383">
        <f>IF($D1383="","",IF($AN1383=1,Settings!$C$8,IF($AM1383=1,Settings!$C$6,Settings!$C$7))*100)</f>
        <v/>
      </c>
      <c r="AF1383" s="7" t="n"/>
      <c r="AI1383" s="11" t="n"/>
      <c r="AK1383">
        <f>IF($D1383="","",IF(COUNTIF($D$2:$D1383,$D1383)=1,1,0))</f>
        <v/>
      </c>
      <c r="AL1383">
        <f>IF($AK1383=1,SUMPRODUCT(--($AO$2:$AO$1601&lt;$AO1383))+1,"")</f>
        <v/>
      </c>
      <c r="AM1383">
        <f>IF($D1383="","",IF(OR($R1383=TRUE(),$R1383="TRUE"),1,0))</f>
        <v/>
      </c>
      <c r="AN1383">
        <f>IF($D1383="","",IF($AA1383="Yes",1,0))</f>
        <v/>
      </c>
      <c r="AO1383">
        <f>IF($AK1383=1,IFERROR(IF(VALUE($D1383)&lt;100000000,VALUE($D1383),1000000000),IFERROR(IF(VALUE(MID($D1383,2,20))&lt;100000000,VALUE(MID($D1383,2,20)),1000000000),1000000000))+ROW()/100000,"")</f>
        <v/>
      </c>
    </row>
    <row r="1384">
      <c r="F1384" s="11" t="n"/>
      <c r="N1384" s="7">
        <f>IF($D1384="","",M1384*X1384/100)</f>
        <v/>
      </c>
      <c r="O1384" s="7" t="n"/>
      <c r="U1384" s="7" t="n"/>
      <c r="V1384" s="7" t="n"/>
      <c r="W1384" s="7">
        <f>IF($D1384="","",V1384*AB1384/100)</f>
        <v/>
      </c>
      <c r="X1384" s="7">
        <f>IF($D1384="","",V1384-W1384)</f>
        <v/>
      </c>
      <c r="Y1384" s="7">
        <f>IF($D1384="","",X1384-N1384)</f>
        <v/>
      </c>
      <c r="AB1384">
        <f>IF($D1384="","",IF($AN1384=1,Settings!$C$8,IF($AM1384=1,Settings!$C$6,Settings!$C$7))*100)</f>
        <v/>
      </c>
      <c r="AF1384" s="7" t="n"/>
      <c r="AI1384" s="11" t="n"/>
      <c r="AK1384">
        <f>IF($D1384="","",IF(COUNTIF($D$2:$D1384,$D1384)=1,1,0))</f>
        <v/>
      </c>
      <c r="AL1384">
        <f>IF($AK1384=1,SUMPRODUCT(--($AO$2:$AO$1601&lt;$AO1384))+1,"")</f>
        <v/>
      </c>
      <c r="AM1384">
        <f>IF($D1384="","",IF(OR($R1384=TRUE(),$R1384="TRUE"),1,0))</f>
        <v/>
      </c>
      <c r="AN1384">
        <f>IF($D1384="","",IF($AA1384="Yes",1,0))</f>
        <v/>
      </c>
      <c r="AO1384">
        <f>IF($AK1384=1,IFERROR(IF(VALUE($D1384)&lt;100000000,VALUE($D1384),1000000000),IFERROR(IF(VALUE(MID($D1384,2,20))&lt;100000000,VALUE(MID($D1384,2,20)),1000000000),1000000000))+ROW()/100000,"")</f>
        <v/>
      </c>
    </row>
    <row r="1385">
      <c r="F1385" s="11" t="n"/>
      <c r="N1385" s="7">
        <f>IF($D1385="","",M1385*X1385/100)</f>
        <v/>
      </c>
      <c r="O1385" s="7" t="n"/>
      <c r="U1385" s="7" t="n"/>
      <c r="V1385" s="7" t="n"/>
      <c r="W1385" s="7">
        <f>IF($D1385="","",V1385*AB1385/100)</f>
        <v/>
      </c>
      <c r="X1385" s="7">
        <f>IF($D1385="","",V1385-W1385)</f>
        <v/>
      </c>
      <c r="Y1385" s="7">
        <f>IF($D1385="","",X1385-N1385)</f>
        <v/>
      </c>
      <c r="AB1385">
        <f>IF($D1385="","",IF($AN1385=1,Settings!$C$8,IF($AM1385=1,Settings!$C$6,Settings!$C$7))*100)</f>
        <v/>
      </c>
      <c r="AF1385" s="7" t="n"/>
      <c r="AI1385" s="11" t="n"/>
      <c r="AK1385">
        <f>IF($D1385="","",IF(COUNTIF($D$2:$D1385,$D1385)=1,1,0))</f>
        <v/>
      </c>
      <c r="AL1385">
        <f>IF($AK1385=1,SUMPRODUCT(--($AO$2:$AO$1601&lt;$AO1385))+1,"")</f>
        <v/>
      </c>
      <c r="AM1385">
        <f>IF($D1385="","",IF(OR($R1385=TRUE(),$R1385="TRUE"),1,0))</f>
        <v/>
      </c>
      <c r="AN1385">
        <f>IF($D1385="","",IF($AA1385="Yes",1,0))</f>
        <v/>
      </c>
      <c r="AO1385">
        <f>IF($AK1385=1,IFERROR(IF(VALUE($D1385)&lt;100000000,VALUE($D1385),1000000000),IFERROR(IF(VALUE(MID($D1385,2,20))&lt;100000000,VALUE(MID($D1385,2,20)),1000000000),1000000000))+ROW()/100000,"")</f>
        <v/>
      </c>
    </row>
    <row r="1386">
      <c r="F1386" s="11" t="n"/>
      <c r="N1386" s="7">
        <f>IF($D1386="","",M1386*X1386/100)</f>
        <v/>
      </c>
      <c r="O1386" s="7" t="n"/>
      <c r="U1386" s="7" t="n"/>
      <c r="V1386" s="7" t="n"/>
      <c r="W1386" s="7">
        <f>IF($D1386="","",V1386*AB1386/100)</f>
        <v/>
      </c>
      <c r="X1386" s="7">
        <f>IF($D1386="","",V1386-W1386)</f>
        <v/>
      </c>
      <c r="Y1386" s="7">
        <f>IF($D1386="","",X1386-N1386)</f>
        <v/>
      </c>
      <c r="AB1386">
        <f>IF($D1386="","",IF($AN1386=1,Settings!$C$8,IF($AM1386=1,Settings!$C$6,Settings!$C$7))*100)</f>
        <v/>
      </c>
      <c r="AF1386" s="7" t="n"/>
      <c r="AI1386" s="11" t="n"/>
      <c r="AK1386">
        <f>IF($D1386="","",IF(COUNTIF($D$2:$D1386,$D1386)=1,1,0))</f>
        <v/>
      </c>
      <c r="AL1386">
        <f>IF($AK1386=1,SUMPRODUCT(--($AO$2:$AO$1601&lt;$AO1386))+1,"")</f>
        <v/>
      </c>
      <c r="AM1386">
        <f>IF($D1386="","",IF(OR($R1386=TRUE(),$R1386="TRUE"),1,0))</f>
        <v/>
      </c>
      <c r="AN1386">
        <f>IF($D1386="","",IF($AA1386="Yes",1,0))</f>
        <v/>
      </c>
      <c r="AO1386">
        <f>IF($AK1386=1,IFERROR(IF(VALUE($D1386)&lt;100000000,VALUE($D1386),1000000000),IFERROR(IF(VALUE(MID($D1386,2,20))&lt;100000000,VALUE(MID($D1386,2,20)),1000000000),1000000000))+ROW()/100000,"")</f>
        <v/>
      </c>
    </row>
    <row r="1387">
      <c r="F1387" s="11" t="n"/>
      <c r="N1387" s="7">
        <f>IF($D1387="","",M1387*X1387/100)</f>
        <v/>
      </c>
      <c r="O1387" s="7" t="n"/>
      <c r="U1387" s="7" t="n"/>
      <c r="V1387" s="7" t="n"/>
      <c r="W1387" s="7">
        <f>IF($D1387="","",V1387*AB1387/100)</f>
        <v/>
      </c>
      <c r="X1387" s="7">
        <f>IF($D1387="","",V1387-W1387)</f>
        <v/>
      </c>
      <c r="Y1387" s="7">
        <f>IF($D1387="","",X1387-N1387)</f>
        <v/>
      </c>
      <c r="AB1387">
        <f>IF($D1387="","",IF($AN1387=1,Settings!$C$8,IF($AM1387=1,Settings!$C$6,Settings!$C$7))*100)</f>
        <v/>
      </c>
      <c r="AF1387" s="7" t="n"/>
      <c r="AI1387" s="11" t="n"/>
      <c r="AK1387">
        <f>IF($D1387="","",IF(COUNTIF($D$2:$D1387,$D1387)=1,1,0))</f>
        <v/>
      </c>
      <c r="AL1387">
        <f>IF($AK1387=1,SUMPRODUCT(--($AO$2:$AO$1601&lt;$AO1387))+1,"")</f>
        <v/>
      </c>
      <c r="AM1387">
        <f>IF($D1387="","",IF(OR($R1387=TRUE(),$R1387="TRUE"),1,0))</f>
        <v/>
      </c>
      <c r="AN1387">
        <f>IF($D1387="","",IF($AA1387="Yes",1,0))</f>
        <v/>
      </c>
      <c r="AO1387">
        <f>IF($AK1387=1,IFERROR(IF(VALUE($D1387)&lt;100000000,VALUE($D1387),1000000000),IFERROR(IF(VALUE(MID($D1387,2,20))&lt;100000000,VALUE(MID($D1387,2,20)),1000000000),1000000000))+ROW()/100000,"")</f>
        <v/>
      </c>
    </row>
    <row r="1388">
      <c r="F1388" s="11" t="n"/>
      <c r="N1388" s="7">
        <f>IF($D1388="","",M1388*X1388/100)</f>
        <v/>
      </c>
      <c r="O1388" s="7" t="n"/>
      <c r="U1388" s="7" t="n"/>
      <c r="V1388" s="7" t="n"/>
      <c r="W1388" s="7">
        <f>IF($D1388="","",V1388*AB1388/100)</f>
        <v/>
      </c>
      <c r="X1388" s="7">
        <f>IF($D1388="","",V1388-W1388)</f>
        <v/>
      </c>
      <c r="Y1388" s="7">
        <f>IF($D1388="","",X1388-N1388)</f>
        <v/>
      </c>
      <c r="AB1388">
        <f>IF($D1388="","",IF($AN1388=1,Settings!$C$8,IF($AM1388=1,Settings!$C$6,Settings!$C$7))*100)</f>
        <v/>
      </c>
      <c r="AF1388" s="7" t="n"/>
      <c r="AI1388" s="11" t="n"/>
      <c r="AK1388">
        <f>IF($D1388="","",IF(COUNTIF($D$2:$D1388,$D1388)=1,1,0))</f>
        <v/>
      </c>
      <c r="AL1388">
        <f>IF($AK1388=1,SUMPRODUCT(--($AO$2:$AO$1601&lt;$AO1388))+1,"")</f>
        <v/>
      </c>
      <c r="AM1388">
        <f>IF($D1388="","",IF(OR($R1388=TRUE(),$R1388="TRUE"),1,0))</f>
        <v/>
      </c>
      <c r="AN1388">
        <f>IF($D1388="","",IF($AA1388="Yes",1,0))</f>
        <v/>
      </c>
      <c r="AO1388">
        <f>IF($AK1388=1,IFERROR(IF(VALUE($D1388)&lt;100000000,VALUE($D1388),1000000000),IFERROR(IF(VALUE(MID($D1388,2,20))&lt;100000000,VALUE(MID($D1388,2,20)),1000000000),1000000000))+ROW()/100000,"")</f>
        <v/>
      </c>
    </row>
    <row r="1389">
      <c r="F1389" s="11" t="n"/>
      <c r="N1389" s="7">
        <f>IF($D1389="","",M1389*X1389/100)</f>
        <v/>
      </c>
      <c r="O1389" s="7" t="n"/>
      <c r="U1389" s="7" t="n"/>
      <c r="V1389" s="7" t="n"/>
      <c r="W1389" s="7">
        <f>IF($D1389="","",V1389*AB1389/100)</f>
        <v/>
      </c>
      <c r="X1389" s="7">
        <f>IF($D1389="","",V1389-W1389)</f>
        <v/>
      </c>
      <c r="Y1389" s="7">
        <f>IF($D1389="","",X1389-N1389)</f>
        <v/>
      </c>
      <c r="AB1389">
        <f>IF($D1389="","",IF($AN1389=1,Settings!$C$8,IF($AM1389=1,Settings!$C$6,Settings!$C$7))*100)</f>
        <v/>
      </c>
      <c r="AF1389" s="7" t="n"/>
      <c r="AI1389" s="11" t="n"/>
      <c r="AK1389">
        <f>IF($D1389="","",IF(COUNTIF($D$2:$D1389,$D1389)=1,1,0))</f>
        <v/>
      </c>
      <c r="AL1389">
        <f>IF($AK1389=1,SUMPRODUCT(--($AO$2:$AO$1601&lt;$AO1389))+1,"")</f>
        <v/>
      </c>
      <c r="AM1389">
        <f>IF($D1389="","",IF(OR($R1389=TRUE(),$R1389="TRUE"),1,0))</f>
        <v/>
      </c>
      <c r="AN1389">
        <f>IF($D1389="","",IF($AA1389="Yes",1,0))</f>
        <v/>
      </c>
      <c r="AO1389">
        <f>IF($AK1389=1,IFERROR(IF(VALUE($D1389)&lt;100000000,VALUE($D1389),1000000000),IFERROR(IF(VALUE(MID($D1389,2,20))&lt;100000000,VALUE(MID($D1389,2,20)),1000000000),1000000000))+ROW()/100000,"")</f>
        <v/>
      </c>
    </row>
    <row r="1390">
      <c r="F1390" s="11" t="n"/>
      <c r="N1390" s="7">
        <f>IF($D1390="","",M1390*X1390/100)</f>
        <v/>
      </c>
      <c r="O1390" s="7" t="n"/>
      <c r="U1390" s="7" t="n"/>
      <c r="V1390" s="7" t="n"/>
      <c r="W1390" s="7">
        <f>IF($D1390="","",V1390*AB1390/100)</f>
        <v/>
      </c>
      <c r="X1390" s="7">
        <f>IF($D1390="","",V1390-W1390)</f>
        <v/>
      </c>
      <c r="Y1390" s="7">
        <f>IF($D1390="","",X1390-N1390)</f>
        <v/>
      </c>
      <c r="AB1390">
        <f>IF($D1390="","",IF($AN1390=1,Settings!$C$8,IF($AM1390=1,Settings!$C$6,Settings!$C$7))*100)</f>
        <v/>
      </c>
      <c r="AF1390" s="7" t="n"/>
      <c r="AI1390" s="11" t="n"/>
      <c r="AK1390">
        <f>IF($D1390="","",IF(COUNTIF($D$2:$D1390,$D1390)=1,1,0))</f>
        <v/>
      </c>
      <c r="AL1390">
        <f>IF($AK1390=1,SUMPRODUCT(--($AO$2:$AO$1601&lt;$AO1390))+1,"")</f>
        <v/>
      </c>
      <c r="AM1390">
        <f>IF($D1390="","",IF(OR($R1390=TRUE(),$R1390="TRUE"),1,0))</f>
        <v/>
      </c>
      <c r="AN1390">
        <f>IF($D1390="","",IF($AA1390="Yes",1,0))</f>
        <v/>
      </c>
      <c r="AO1390">
        <f>IF($AK1390=1,IFERROR(IF(VALUE($D1390)&lt;100000000,VALUE($D1390),1000000000),IFERROR(IF(VALUE(MID($D1390,2,20))&lt;100000000,VALUE(MID($D1390,2,20)),1000000000),1000000000))+ROW()/100000,"")</f>
        <v/>
      </c>
    </row>
    <row r="1391">
      <c r="F1391" s="11" t="n"/>
      <c r="N1391" s="7">
        <f>IF($D1391="","",M1391*X1391/100)</f>
        <v/>
      </c>
      <c r="O1391" s="7" t="n"/>
      <c r="U1391" s="7" t="n"/>
      <c r="V1391" s="7" t="n"/>
      <c r="W1391" s="7">
        <f>IF($D1391="","",V1391*AB1391/100)</f>
        <v/>
      </c>
      <c r="X1391" s="7">
        <f>IF($D1391="","",V1391-W1391)</f>
        <v/>
      </c>
      <c r="Y1391" s="7">
        <f>IF($D1391="","",X1391-N1391)</f>
        <v/>
      </c>
      <c r="AB1391">
        <f>IF($D1391="","",IF($AN1391=1,Settings!$C$8,IF($AM1391=1,Settings!$C$6,Settings!$C$7))*100)</f>
        <v/>
      </c>
      <c r="AF1391" s="7" t="n"/>
      <c r="AI1391" s="11" t="n"/>
      <c r="AK1391">
        <f>IF($D1391="","",IF(COUNTIF($D$2:$D1391,$D1391)=1,1,0))</f>
        <v/>
      </c>
      <c r="AL1391">
        <f>IF($AK1391=1,SUMPRODUCT(--($AO$2:$AO$1601&lt;$AO1391))+1,"")</f>
        <v/>
      </c>
      <c r="AM1391">
        <f>IF($D1391="","",IF(OR($R1391=TRUE(),$R1391="TRUE"),1,0))</f>
        <v/>
      </c>
      <c r="AN1391">
        <f>IF($D1391="","",IF($AA1391="Yes",1,0))</f>
        <v/>
      </c>
      <c r="AO1391">
        <f>IF($AK1391=1,IFERROR(IF(VALUE($D1391)&lt;100000000,VALUE($D1391),1000000000),IFERROR(IF(VALUE(MID($D1391,2,20))&lt;100000000,VALUE(MID($D1391,2,20)),1000000000),1000000000))+ROW()/100000,"")</f>
        <v/>
      </c>
    </row>
    <row r="1392">
      <c r="F1392" s="11" t="n"/>
      <c r="N1392" s="7">
        <f>IF($D1392="","",M1392*X1392/100)</f>
        <v/>
      </c>
      <c r="O1392" s="7" t="n"/>
      <c r="U1392" s="7" t="n"/>
      <c r="V1392" s="7" t="n"/>
      <c r="W1392" s="7">
        <f>IF($D1392="","",V1392*AB1392/100)</f>
        <v/>
      </c>
      <c r="X1392" s="7">
        <f>IF($D1392="","",V1392-W1392)</f>
        <v/>
      </c>
      <c r="Y1392" s="7">
        <f>IF($D1392="","",X1392-N1392)</f>
        <v/>
      </c>
      <c r="AB1392">
        <f>IF($D1392="","",IF($AN1392=1,Settings!$C$8,IF($AM1392=1,Settings!$C$6,Settings!$C$7))*100)</f>
        <v/>
      </c>
      <c r="AF1392" s="7" t="n"/>
      <c r="AI1392" s="11" t="n"/>
      <c r="AK1392">
        <f>IF($D1392="","",IF(COUNTIF($D$2:$D1392,$D1392)=1,1,0))</f>
        <v/>
      </c>
      <c r="AL1392">
        <f>IF($AK1392=1,SUMPRODUCT(--($AO$2:$AO$1601&lt;$AO1392))+1,"")</f>
        <v/>
      </c>
      <c r="AM1392">
        <f>IF($D1392="","",IF(OR($R1392=TRUE(),$R1392="TRUE"),1,0))</f>
        <v/>
      </c>
      <c r="AN1392">
        <f>IF($D1392="","",IF($AA1392="Yes",1,0))</f>
        <v/>
      </c>
      <c r="AO1392">
        <f>IF($AK1392=1,IFERROR(IF(VALUE($D1392)&lt;100000000,VALUE($D1392),1000000000),IFERROR(IF(VALUE(MID($D1392,2,20))&lt;100000000,VALUE(MID($D1392,2,20)),1000000000),1000000000))+ROW()/100000,"")</f>
        <v/>
      </c>
    </row>
    <row r="1393">
      <c r="F1393" s="11" t="n"/>
      <c r="N1393" s="7">
        <f>IF($D1393="","",M1393*X1393/100)</f>
        <v/>
      </c>
      <c r="O1393" s="7" t="n"/>
      <c r="U1393" s="7" t="n"/>
      <c r="V1393" s="7" t="n"/>
      <c r="W1393" s="7">
        <f>IF($D1393="","",V1393*AB1393/100)</f>
        <v/>
      </c>
      <c r="X1393" s="7">
        <f>IF($D1393="","",V1393-W1393)</f>
        <v/>
      </c>
      <c r="Y1393" s="7">
        <f>IF($D1393="","",X1393-N1393)</f>
        <v/>
      </c>
      <c r="AB1393">
        <f>IF($D1393="","",IF($AN1393=1,Settings!$C$8,IF($AM1393=1,Settings!$C$6,Settings!$C$7))*100)</f>
        <v/>
      </c>
      <c r="AF1393" s="7" t="n"/>
      <c r="AI1393" s="11" t="n"/>
      <c r="AK1393">
        <f>IF($D1393="","",IF(COUNTIF($D$2:$D1393,$D1393)=1,1,0))</f>
        <v/>
      </c>
      <c r="AL1393">
        <f>IF($AK1393=1,SUMPRODUCT(--($AO$2:$AO$1601&lt;$AO1393))+1,"")</f>
        <v/>
      </c>
      <c r="AM1393">
        <f>IF($D1393="","",IF(OR($R1393=TRUE(),$R1393="TRUE"),1,0))</f>
        <v/>
      </c>
      <c r="AN1393">
        <f>IF($D1393="","",IF($AA1393="Yes",1,0))</f>
        <v/>
      </c>
      <c r="AO1393">
        <f>IF($AK1393=1,IFERROR(IF(VALUE($D1393)&lt;100000000,VALUE($D1393),1000000000),IFERROR(IF(VALUE(MID($D1393,2,20))&lt;100000000,VALUE(MID($D1393,2,20)),1000000000),1000000000))+ROW()/100000,"")</f>
        <v/>
      </c>
    </row>
    <row r="1394">
      <c r="F1394" s="11" t="n"/>
      <c r="N1394" s="7">
        <f>IF($D1394="","",M1394*X1394/100)</f>
        <v/>
      </c>
      <c r="O1394" s="7" t="n"/>
      <c r="U1394" s="7" t="n"/>
      <c r="V1394" s="7" t="n"/>
      <c r="W1394" s="7">
        <f>IF($D1394="","",V1394*AB1394/100)</f>
        <v/>
      </c>
      <c r="X1394" s="7">
        <f>IF($D1394="","",V1394-W1394)</f>
        <v/>
      </c>
      <c r="Y1394" s="7">
        <f>IF($D1394="","",X1394-N1394)</f>
        <v/>
      </c>
      <c r="AB1394">
        <f>IF($D1394="","",IF($AN1394=1,Settings!$C$8,IF($AM1394=1,Settings!$C$6,Settings!$C$7))*100)</f>
        <v/>
      </c>
      <c r="AF1394" s="7" t="n"/>
      <c r="AI1394" s="11" t="n"/>
      <c r="AK1394">
        <f>IF($D1394="","",IF(COUNTIF($D$2:$D1394,$D1394)=1,1,0))</f>
        <v/>
      </c>
      <c r="AL1394">
        <f>IF($AK1394=1,SUMPRODUCT(--($AO$2:$AO$1601&lt;$AO1394))+1,"")</f>
        <v/>
      </c>
      <c r="AM1394">
        <f>IF($D1394="","",IF(OR($R1394=TRUE(),$R1394="TRUE"),1,0))</f>
        <v/>
      </c>
      <c r="AN1394">
        <f>IF($D1394="","",IF($AA1394="Yes",1,0))</f>
        <v/>
      </c>
      <c r="AO1394">
        <f>IF($AK1394=1,IFERROR(IF(VALUE($D1394)&lt;100000000,VALUE($D1394),1000000000),IFERROR(IF(VALUE(MID($D1394,2,20))&lt;100000000,VALUE(MID($D1394,2,20)),1000000000),1000000000))+ROW()/100000,"")</f>
        <v/>
      </c>
    </row>
    <row r="1395">
      <c r="F1395" s="11" t="n"/>
      <c r="N1395" s="7">
        <f>IF($D1395="","",M1395*X1395/100)</f>
        <v/>
      </c>
      <c r="O1395" s="7" t="n"/>
      <c r="U1395" s="7" t="n"/>
      <c r="V1395" s="7" t="n"/>
      <c r="W1395" s="7">
        <f>IF($D1395="","",V1395*AB1395/100)</f>
        <v/>
      </c>
      <c r="X1395" s="7">
        <f>IF($D1395="","",V1395-W1395)</f>
        <v/>
      </c>
      <c r="Y1395" s="7">
        <f>IF($D1395="","",X1395-N1395)</f>
        <v/>
      </c>
      <c r="AB1395">
        <f>IF($D1395="","",IF($AN1395=1,Settings!$C$8,IF($AM1395=1,Settings!$C$6,Settings!$C$7))*100)</f>
        <v/>
      </c>
      <c r="AF1395" s="7" t="n"/>
      <c r="AI1395" s="11" t="n"/>
      <c r="AK1395">
        <f>IF($D1395="","",IF(COUNTIF($D$2:$D1395,$D1395)=1,1,0))</f>
        <v/>
      </c>
      <c r="AL1395">
        <f>IF($AK1395=1,SUMPRODUCT(--($AO$2:$AO$1601&lt;$AO1395))+1,"")</f>
        <v/>
      </c>
      <c r="AM1395">
        <f>IF($D1395="","",IF(OR($R1395=TRUE(),$R1395="TRUE"),1,0))</f>
        <v/>
      </c>
      <c r="AN1395">
        <f>IF($D1395="","",IF($AA1395="Yes",1,0))</f>
        <v/>
      </c>
      <c r="AO1395">
        <f>IF($AK1395=1,IFERROR(IF(VALUE($D1395)&lt;100000000,VALUE($D1395),1000000000),IFERROR(IF(VALUE(MID($D1395,2,20))&lt;100000000,VALUE(MID($D1395,2,20)),1000000000),1000000000))+ROW()/100000,"")</f>
        <v/>
      </c>
    </row>
    <row r="1396">
      <c r="F1396" s="11" t="n"/>
      <c r="N1396" s="7">
        <f>IF($D1396="","",M1396*X1396/100)</f>
        <v/>
      </c>
      <c r="O1396" s="7" t="n"/>
      <c r="U1396" s="7" t="n"/>
      <c r="V1396" s="7" t="n"/>
      <c r="W1396" s="7">
        <f>IF($D1396="","",V1396*AB1396/100)</f>
        <v/>
      </c>
      <c r="X1396" s="7">
        <f>IF($D1396="","",V1396-W1396)</f>
        <v/>
      </c>
      <c r="Y1396" s="7">
        <f>IF($D1396="","",X1396-N1396)</f>
        <v/>
      </c>
      <c r="AB1396">
        <f>IF($D1396="","",IF($AN1396=1,Settings!$C$8,IF($AM1396=1,Settings!$C$6,Settings!$C$7))*100)</f>
        <v/>
      </c>
      <c r="AF1396" s="7" t="n"/>
      <c r="AI1396" s="11" t="n"/>
      <c r="AK1396">
        <f>IF($D1396="","",IF(COUNTIF($D$2:$D1396,$D1396)=1,1,0))</f>
        <v/>
      </c>
      <c r="AL1396">
        <f>IF($AK1396=1,SUMPRODUCT(--($AO$2:$AO$1601&lt;$AO1396))+1,"")</f>
        <v/>
      </c>
      <c r="AM1396">
        <f>IF($D1396="","",IF(OR($R1396=TRUE(),$R1396="TRUE"),1,0))</f>
        <v/>
      </c>
      <c r="AN1396">
        <f>IF($D1396="","",IF($AA1396="Yes",1,0))</f>
        <v/>
      </c>
      <c r="AO1396">
        <f>IF($AK1396=1,IFERROR(IF(VALUE($D1396)&lt;100000000,VALUE($D1396),1000000000),IFERROR(IF(VALUE(MID($D1396,2,20))&lt;100000000,VALUE(MID($D1396,2,20)),1000000000),1000000000))+ROW()/100000,"")</f>
        <v/>
      </c>
    </row>
    <row r="1397">
      <c r="F1397" s="11" t="n"/>
      <c r="N1397" s="7">
        <f>IF($D1397="","",M1397*X1397/100)</f>
        <v/>
      </c>
      <c r="O1397" s="7" t="n"/>
      <c r="U1397" s="7" t="n"/>
      <c r="V1397" s="7" t="n"/>
      <c r="W1397" s="7">
        <f>IF($D1397="","",V1397*AB1397/100)</f>
        <v/>
      </c>
      <c r="X1397" s="7">
        <f>IF($D1397="","",V1397-W1397)</f>
        <v/>
      </c>
      <c r="Y1397" s="7">
        <f>IF($D1397="","",X1397-N1397)</f>
        <v/>
      </c>
      <c r="AB1397">
        <f>IF($D1397="","",IF($AN1397=1,Settings!$C$8,IF($AM1397=1,Settings!$C$6,Settings!$C$7))*100)</f>
        <v/>
      </c>
      <c r="AF1397" s="7" t="n"/>
      <c r="AI1397" s="11" t="n"/>
      <c r="AK1397">
        <f>IF($D1397="","",IF(COUNTIF($D$2:$D1397,$D1397)=1,1,0))</f>
        <v/>
      </c>
      <c r="AL1397">
        <f>IF($AK1397=1,SUMPRODUCT(--($AO$2:$AO$1601&lt;$AO1397))+1,"")</f>
        <v/>
      </c>
      <c r="AM1397">
        <f>IF($D1397="","",IF(OR($R1397=TRUE(),$R1397="TRUE"),1,0))</f>
        <v/>
      </c>
      <c r="AN1397">
        <f>IF($D1397="","",IF($AA1397="Yes",1,0))</f>
        <v/>
      </c>
      <c r="AO1397">
        <f>IF($AK1397=1,IFERROR(IF(VALUE($D1397)&lt;100000000,VALUE($D1397),1000000000),IFERROR(IF(VALUE(MID($D1397,2,20))&lt;100000000,VALUE(MID($D1397,2,20)),1000000000),1000000000))+ROW()/100000,"")</f>
        <v/>
      </c>
    </row>
    <row r="1398">
      <c r="F1398" s="11" t="n"/>
      <c r="N1398" s="7">
        <f>IF($D1398="","",M1398*X1398/100)</f>
        <v/>
      </c>
      <c r="O1398" s="7" t="n"/>
      <c r="U1398" s="7" t="n"/>
      <c r="V1398" s="7" t="n"/>
      <c r="W1398" s="7">
        <f>IF($D1398="","",V1398*AB1398/100)</f>
        <v/>
      </c>
      <c r="X1398" s="7">
        <f>IF($D1398="","",V1398-W1398)</f>
        <v/>
      </c>
      <c r="Y1398" s="7">
        <f>IF($D1398="","",X1398-N1398)</f>
        <v/>
      </c>
      <c r="AB1398">
        <f>IF($D1398="","",IF($AN1398=1,Settings!$C$8,IF($AM1398=1,Settings!$C$6,Settings!$C$7))*100)</f>
        <v/>
      </c>
      <c r="AF1398" s="7" t="n"/>
      <c r="AI1398" s="11" t="n"/>
      <c r="AK1398">
        <f>IF($D1398="","",IF(COUNTIF($D$2:$D1398,$D1398)=1,1,0))</f>
        <v/>
      </c>
      <c r="AL1398">
        <f>IF($AK1398=1,SUMPRODUCT(--($AO$2:$AO$1601&lt;$AO1398))+1,"")</f>
        <v/>
      </c>
      <c r="AM1398">
        <f>IF($D1398="","",IF(OR($R1398=TRUE(),$R1398="TRUE"),1,0))</f>
        <v/>
      </c>
      <c r="AN1398">
        <f>IF($D1398="","",IF($AA1398="Yes",1,0))</f>
        <v/>
      </c>
      <c r="AO1398">
        <f>IF($AK1398=1,IFERROR(IF(VALUE($D1398)&lt;100000000,VALUE($D1398),1000000000),IFERROR(IF(VALUE(MID($D1398,2,20))&lt;100000000,VALUE(MID($D1398,2,20)),1000000000),1000000000))+ROW()/100000,"")</f>
        <v/>
      </c>
    </row>
    <row r="1399">
      <c r="F1399" s="11" t="n"/>
      <c r="N1399" s="7">
        <f>IF($D1399="","",M1399*X1399/100)</f>
        <v/>
      </c>
      <c r="O1399" s="7" t="n"/>
      <c r="U1399" s="7" t="n"/>
      <c r="V1399" s="7" t="n"/>
      <c r="W1399" s="7">
        <f>IF($D1399="","",V1399*AB1399/100)</f>
        <v/>
      </c>
      <c r="X1399" s="7">
        <f>IF($D1399="","",V1399-W1399)</f>
        <v/>
      </c>
      <c r="Y1399" s="7">
        <f>IF($D1399="","",X1399-N1399)</f>
        <v/>
      </c>
      <c r="AB1399">
        <f>IF($D1399="","",IF($AN1399=1,Settings!$C$8,IF($AM1399=1,Settings!$C$6,Settings!$C$7))*100)</f>
        <v/>
      </c>
      <c r="AF1399" s="7" t="n"/>
      <c r="AI1399" s="11" t="n"/>
      <c r="AK1399">
        <f>IF($D1399="","",IF(COUNTIF($D$2:$D1399,$D1399)=1,1,0))</f>
        <v/>
      </c>
      <c r="AL1399">
        <f>IF($AK1399=1,SUMPRODUCT(--($AO$2:$AO$1601&lt;$AO1399))+1,"")</f>
        <v/>
      </c>
      <c r="AM1399">
        <f>IF($D1399="","",IF(OR($R1399=TRUE(),$R1399="TRUE"),1,0))</f>
        <v/>
      </c>
      <c r="AN1399">
        <f>IF($D1399="","",IF($AA1399="Yes",1,0))</f>
        <v/>
      </c>
      <c r="AO1399">
        <f>IF($AK1399=1,IFERROR(IF(VALUE($D1399)&lt;100000000,VALUE($D1399),1000000000),IFERROR(IF(VALUE(MID($D1399,2,20))&lt;100000000,VALUE(MID($D1399,2,20)),1000000000),1000000000))+ROW()/100000,"")</f>
        <v/>
      </c>
    </row>
    <row r="1400">
      <c r="F1400" s="11" t="n"/>
      <c r="N1400" s="7">
        <f>IF($D1400="","",M1400*X1400/100)</f>
        <v/>
      </c>
      <c r="O1400" s="7" t="n"/>
      <c r="U1400" s="7" t="n"/>
      <c r="V1400" s="7" t="n"/>
      <c r="W1400" s="7">
        <f>IF($D1400="","",V1400*AB1400/100)</f>
        <v/>
      </c>
      <c r="X1400" s="7">
        <f>IF($D1400="","",V1400-W1400)</f>
        <v/>
      </c>
      <c r="Y1400" s="7">
        <f>IF($D1400="","",X1400-N1400)</f>
        <v/>
      </c>
      <c r="AB1400">
        <f>IF($D1400="","",IF($AN1400=1,Settings!$C$8,IF($AM1400=1,Settings!$C$6,Settings!$C$7))*100)</f>
        <v/>
      </c>
      <c r="AF1400" s="7" t="n"/>
      <c r="AI1400" s="11" t="n"/>
      <c r="AK1400">
        <f>IF($D1400="","",IF(COUNTIF($D$2:$D1400,$D1400)=1,1,0))</f>
        <v/>
      </c>
      <c r="AL1400">
        <f>IF($AK1400=1,SUMPRODUCT(--($AO$2:$AO$1601&lt;$AO1400))+1,"")</f>
        <v/>
      </c>
      <c r="AM1400">
        <f>IF($D1400="","",IF(OR($R1400=TRUE(),$R1400="TRUE"),1,0))</f>
        <v/>
      </c>
      <c r="AN1400">
        <f>IF($D1400="","",IF($AA1400="Yes",1,0))</f>
        <v/>
      </c>
      <c r="AO1400">
        <f>IF($AK1400=1,IFERROR(IF(VALUE($D1400)&lt;100000000,VALUE($D1400),1000000000),IFERROR(IF(VALUE(MID($D1400,2,20))&lt;100000000,VALUE(MID($D1400,2,20)),1000000000),1000000000))+ROW()/100000,"")</f>
        <v/>
      </c>
    </row>
    <row r="1401">
      <c r="F1401" s="11" t="n"/>
      <c r="N1401" s="7">
        <f>IF($D1401="","",M1401*X1401/100)</f>
        <v/>
      </c>
      <c r="O1401" s="7" t="n"/>
      <c r="U1401" s="7" t="n"/>
      <c r="V1401" s="7" t="n"/>
      <c r="W1401" s="7">
        <f>IF($D1401="","",V1401*AB1401/100)</f>
        <v/>
      </c>
      <c r="X1401" s="7">
        <f>IF($D1401="","",V1401-W1401)</f>
        <v/>
      </c>
      <c r="Y1401" s="7">
        <f>IF($D1401="","",X1401-N1401)</f>
        <v/>
      </c>
      <c r="AB1401">
        <f>IF($D1401="","",IF($AN1401=1,Settings!$C$8,IF($AM1401=1,Settings!$C$6,Settings!$C$7))*100)</f>
        <v/>
      </c>
      <c r="AF1401" s="7" t="n"/>
      <c r="AI1401" s="11" t="n"/>
      <c r="AK1401">
        <f>IF($D1401="","",IF(COUNTIF($D$2:$D1401,$D1401)=1,1,0))</f>
        <v/>
      </c>
      <c r="AL1401">
        <f>IF($AK1401=1,SUMPRODUCT(--($AO$2:$AO$1601&lt;$AO1401))+1,"")</f>
        <v/>
      </c>
      <c r="AM1401">
        <f>IF($D1401="","",IF(OR($R1401=TRUE(),$R1401="TRUE"),1,0))</f>
        <v/>
      </c>
      <c r="AN1401">
        <f>IF($D1401="","",IF($AA1401="Yes",1,0))</f>
        <v/>
      </c>
      <c r="AO1401">
        <f>IF($AK1401=1,IFERROR(IF(VALUE($D1401)&lt;100000000,VALUE($D1401),1000000000),IFERROR(IF(VALUE(MID($D1401,2,20))&lt;100000000,VALUE(MID($D1401,2,20)),1000000000),1000000000))+ROW()/100000,"")</f>
        <v/>
      </c>
    </row>
    <row r="1402">
      <c r="F1402" s="11" t="n"/>
      <c r="N1402" s="7">
        <f>IF($D1402="","",M1402*X1402/100)</f>
        <v/>
      </c>
      <c r="O1402" s="7" t="n"/>
      <c r="U1402" s="7" t="n"/>
      <c r="V1402" s="7" t="n"/>
      <c r="W1402" s="7">
        <f>IF($D1402="","",V1402*AB1402/100)</f>
        <v/>
      </c>
      <c r="X1402" s="7">
        <f>IF($D1402="","",V1402-W1402)</f>
        <v/>
      </c>
      <c r="Y1402" s="7">
        <f>IF($D1402="","",X1402-N1402)</f>
        <v/>
      </c>
      <c r="AB1402">
        <f>IF($D1402="","",IF($AN1402=1,Settings!$C$8,IF($AM1402=1,Settings!$C$6,Settings!$C$7))*100)</f>
        <v/>
      </c>
      <c r="AF1402" s="7" t="n"/>
      <c r="AI1402" s="11" t="n"/>
      <c r="AK1402">
        <f>IF($D1402="","",IF(COUNTIF($D$2:$D1402,$D1402)=1,1,0))</f>
        <v/>
      </c>
      <c r="AL1402">
        <f>IF($AK1402=1,SUMPRODUCT(--($AO$2:$AO$1601&lt;$AO1402))+1,"")</f>
        <v/>
      </c>
      <c r="AM1402">
        <f>IF($D1402="","",IF(OR($R1402=TRUE(),$R1402="TRUE"),1,0))</f>
        <v/>
      </c>
      <c r="AN1402">
        <f>IF($D1402="","",IF($AA1402="Yes",1,0))</f>
        <v/>
      </c>
      <c r="AO1402">
        <f>IF($AK1402=1,IFERROR(IF(VALUE($D1402)&lt;100000000,VALUE($D1402),1000000000),IFERROR(IF(VALUE(MID($D1402,2,20))&lt;100000000,VALUE(MID($D1402,2,20)),1000000000),1000000000))+ROW()/100000,"")</f>
        <v/>
      </c>
    </row>
    <row r="1403">
      <c r="F1403" s="11" t="n"/>
      <c r="N1403" s="7">
        <f>IF($D1403="","",M1403*X1403/100)</f>
        <v/>
      </c>
      <c r="O1403" s="7" t="n"/>
      <c r="U1403" s="7" t="n"/>
      <c r="V1403" s="7" t="n"/>
      <c r="W1403" s="7">
        <f>IF($D1403="","",V1403*AB1403/100)</f>
        <v/>
      </c>
      <c r="X1403" s="7">
        <f>IF($D1403="","",V1403-W1403)</f>
        <v/>
      </c>
      <c r="Y1403" s="7">
        <f>IF($D1403="","",X1403-N1403)</f>
        <v/>
      </c>
      <c r="AB1403">
        <f>IF($D1403="","",IF($AN1403=1,Settings!$C$8,IF($AM1403=1,Settings!$C$6,Settings!$C$7))*100)</f>
        <v/>
      </c>
      <c r="AF1403" s="7" t="n"/>
      <c r="AI1403" s="11" t="n"/>
      <c r="AK1403">
        <f>IF($D1403="","",IF(COUNTIF($D$2:$D1403,$D1403)=1,1,0))</f>
        <v/>
      </c>
      <c r="AL1403">
        <f>IF($AK1403=1,SUMPRODUCT(--($AO$2:$AO$1601&lt;$AO1403))+1,"")</f>
        <v/>
      </c>
      <c r="AM1403">
        <f>IF($D1403="","",IF(OR($R1403=TRUE(),$R1403="TRUE"),1,0))</f>
        <v/>
      </c>
      <c r="AN1403">
        <f>IF($D1403="","",IF($AA1403="Yes",1,0))</f>
        <v/>
      </c>
      <c r="AO1403">
        <f>IF($AK1403=1,IFERROR(IF(VALUE($D1403)&lt;100000000,VALUE($D1403),1000000000),IFERROR(IF(VALUE(MID($D1403,2,20))&lt;100000000,VALUE(MID($D1403,2,20)),1000000000),1000000000))+ROW()/100000,"")</f>
        <v/>
      </c>
    </row>
    <row r="1404">
      <c r="F1404" s="11" t="n"/>
      <c r="N1404" s="7">
        <f>IF($D1404="","",M1404*X1404/100)</f>
        <v/>
      </c>
      <c r="O1404" s="7" t="n"/>
      <c r="U1404" s="7" t="n"/>
      <c r="V1404" s="7" t="n"/>
      <c r="W1404" s="7">
        <f>IF($D1404="","",V1404*AB1404/100)</f>
        <v/>
      </c>
      <c r="X1404" s="7">
        <f>IF($D1404="","",V1404-W1404)</f>
        <v/>
      </c>
      <c r="Y1404" s="7">
        <f>IF($D1404="","",X1404-N1404)</f>
        <v/>
      </c>
      <c r="AB1404">
        <f>IF($D1404="","",IF($AN1404=1,Settings!$C$8,IF($AM1404=1,Settings!$C$6,Settings!$C$7))*100)</f>
        <v/>
      </c>
      <c r="AF1404" s="7" t="n"/>
      <c r="AI1404" s="11" t="n"/>
      <c r="AK1404">
        <f>IF($D1404="","",IF(COUNTIF($D$2:$D1404,$D1404)=1,1,0))</f>
        <v/>
      </c>
      <c r="AL1404">
        <f>IF($AK1404=1,SUMPRODUCT(--($AO$2:$AO$1601&lt;$AO1404))+1,"")</f>
        <v/>
      </c>
      <c r="AM1404">
        <f>IF($D1404="","",IF(OR($R1404=TRUE(),$R1404="TRUE"),1,0))</f>
        <v/>
      </c>
      <c r="AN1404">
        <f>IF($D1404="","",IF($AA1404="Yes",1,0))</f>
        <v/>
      </c>
      <c r="AO1404">
        <f>IF($AK1404=1,IFERROR(IF(VALUE($D1404)&lt;100000000,VALUE($D1404),1000000000),IFERROR(IF(VALUE(MID($D1404,2,20))&lt;100000000,VALUE(MID($D1404,2,20)),1000000000),1000000000))+ROW()/100000,"")</f>
        <v/>
      </c>
    </row>
    <row r="1405">
      <c r="F1405" s="11" t="n"/>
      <c r="N1405" s="7">
        <f>IF($D1405="","",M1405*X1405/100)</f>
        <v/>
      </c>
      <c r="O1405" s="7" t="n"/>
      <c r="U1405" s="7" t="n"/>
      <c r="V1405" s="7" t="n"/>
      <c r="W1405" s="7">
        <f>IF($D1405="","",V1405*AB1405/100)</f>
        <v/>
      </c>
      <c r="X1405" s="7">
        <f>IF($D1405="","",V1405-W1405)</f>
        <v/>
      </c>
      <c r="Y1405" s="7">
        <f>IF($D1405="","",X1405-N1405)</f>
        <v/>
      </c>
      <c r="AB1405">
        <f>IF($D1405="","",IF($AN1405=1,Settings!$C$8,IF($AM1405=1,Settings!$C$6,Settings!$C$7))*100)</f>
        <v/>
      </c>
      <c r="AF1405" s="7" t="n"/>
      <c r="AI1405" s="11" t="n"/>
      <c r="AK1405">
        <f>IF($D1405="","",IF(COUNTIF($D$2:$D1405,$D1405)=1,1,0))</f>
        <v/>
      </c>
      <c r="AL1405">
        <f>IF($AK1405=1,SUMPRODUCT(--($AO$2:$AO$1601&lt;$AO1405))+1,"")</f>
        <v/>
      </c>
      <c r="AM1405">
        <f>IF($D1405="","",IF(OR($R1405=TRUE(),$R1405="TRUE"),1,0))</f>
        <v/>
      </c>
      <c r="AN1405">
        <f>IF($D1405="","",IF($AA1405="Yes",1,0))</f>
        <v/>
      </c>
      <c r="AO1405">
        <f>IF($AK1405=1,IFERROR(IF(VALUE($D1405)&lt;100000000,VALUE($D1405),1000000000),IFERROR(IF(VALUE(MID($D1405,2,20))&lt;100000000,VALUE(MID($D1405,2,20)),1000000000),1000000000))+ROW()/100000,"")</f>
        <v/>
      </c>
    </row>
    <row r="1406">
      <c r="F1406" s="11" t="n"/>
      <c r="N1406" s="7">
        <f>IF($D1406="","",M1406*X1406/100)</f>
        <v/>
      </c>
      <c r="O1406" s="7" t="n"/>
      <c r="U1406" s="7" t="n"/>
      <c r="V1406" s="7" t="n"/>
      <c r="W1406" s="7">
        <f>IF($D1406="","",V1406*AB1406/100)</f>
        <v/>
      </c>
      <c r="X1406" s="7">
        <f>IF($D1406="","",V1406-W1406)</f>
        <v/>
      </c>
      <c r="Y1406" s="7">
        <f>IF($D1406="","",X1406-N1406)</f>
        <v/>
      </c>
      <c r="AB1406">
        <f>IF($D1406="","",IF($AN1406=1,Settings!$C$8,IF($AM1406=1,Settings!$C$6,Settings!$C$7))*100)</f>
        <v/>
      </c>
      <c r="AF1406" s="7" t="n"/>
      <c r="AI1406" s="11" t="n"/>
      <c r="AK1406">
        <f>IF($D1406="","",IF(COUNTIF($D$2:$D1406,$D1406)=1,1,0))</f>
        <v/>
      </c>
      <c r="AL1406">
        <f>IF($AK1406=1,SUMPRODUCT(--($AO$2:$AO$1601&lt;$AO1406))+1,"")</f>
        <v/>
      </c>
      <c r="AM1406">
        <f>IF($D1406="","",IF(OR($R1406=TRUE(),$R1406="TRUE"),1,0))</f>
        <v/>
      </c>
      <c r="AN1406">
        <f>IF($D1406="","",IF($AA1406="Yes",1,0))</f>
        <v/>
      </c>
      <c r="AO1406">
        <f>IF($AK1406=1,IFERROR(IF(VALUE($D1406)&lt;100000000,VALUE($D1406),1000000000),IFERROR(IF(VALUE(MID($D1406,2,20))&lt;100000000,VALUE(MID($D1406,2,20)),1000000000),1000000000))+ROW()/100000,"")</f>
        <v/>
      </c>
    </row>
    <row r="1407">
      <c r="F1407" s="11" t="n"/>
      <c r="N1407" s="7">
        <f>IF($D1407="","",M1407*X1407/100)</f>
        <v/>
      </c>
      <c r="O1407" s="7" t="n"/>
      <c r="U1407" s="7" t="n"/>
      <c r="V1407" s="7" t="n"/>
      <c r="W1407" s="7">
        <f>IF($D1407="","",V1407*AB1407/100)</f>
        <v/>
      </c>
      <c r="X1407" s="7">
        <f>IF($D1407="","",V1407-W1407)</f>
        <v/>
      </c>
      <c r="Y1407" s="7">
        <f>IF($D1407="","",X1407-N1407)</f>
        <v/>
      </c>
      <c r="AB1407">
        <f>IF($D1407="","",IF($AN1407=1,Settings!$C$8,IF($AM1407=1,Settings!$C$6,Settings!$C$7))*100)</f>
        <v/>
      </c>
      <c r="AF1407" s="7" t="n"/>
      <c r="AI1407" s="11" t="n"/>
      <c r="AK1407">
        <f>IF($D1407="","",IF(COUNTIF($D$2:$D1407,$D1407)=1,1,0))</f>
        <v/>
      </c>
      <c r="AL1407">
        <f>IF($AK1407=1,SUMPRODUCT(--($AO$2:$AO$1601&lt;$AO1407))+1,"")</f>
        <v/>
      </c>
      <c r="AM1407">
        <f>IF($D1407="","",IF(OR($R1407=TRUE(),$R1407="TRUE"),1,0))</f>
        <v/>
      </c>
      <c r="AN1407">
        <f>IF($D1407="","",IF($AA1407="Yes",1,0))</f>
        <v/>
      </c>
      <c r="AO1407">
        <f>IF($AK1407=1,IFERROR(IF(VALUE($D1407)&lt;100000000,VALUE($D1407),1000000000),IFERROR(IF(VALUE(MID($D1407,2,20))&lt;100000000,VALUE(MID($D1407,2,20)),1000000000),1000000000))+ROW()/100000,"")</f>
        <v/>
      </c>
    </row>
    <row r="1408">
      <c r="F1408" s="11" t="n"/>
      <c r="N1408" s="7">
        <f>IF($D1408="","",M1408*X1408/100)</f>
        <v/>
      </c>
      <c r="O1408" s="7" t="n"/>
      <c r="U1408" s="7" t="n"/>
      <c r="V1408" s="7" t="n"/>
      <c r="W1408" s="7">
        <f>IF($D1408="","",V1408*AB1408/100)</f>
        <v/>
      </c>
      <c r="X1408" s="7">
        <f>IF($D1408="","",V1408-W1408)</f>
        <v/>
      </c>
      <c r="Y1408" s="7">
        <f>IF($D1408="","",X1408-N1408)</f>
        <v/>
      </c>
      <c r="AB1408">
        <f>IF($D1408="","",IF($AN1408=1,Settings!$C$8,IF($AM1408=1,Settings!$C$6,Settings!$C$7))*100)</f>
        <v/>
      </c>
      <c r="AF1408" s="7" t="n"/>
      <c r="AI1408" s="11" t="n"/>
      <c r="AK1408">
        <f>IF($D1408="","",IF(COUNTIF($D$2:$D1408,$D1408)=1,1,0))</f>
        <v/>
      </c>
      <c r="AL1408">
        <f>IF($AK1408=1,SUMPRODUCT(--($AO$2:$AO$1601&lt;$AO1408))+1,"")</f>
        <v/>
      </c>
      <c r="AM1408">
        <f>IF($D1408="","",IF(OR($R1408=TRUE(),$R1408="TRUE"),1,0))</f>
        <v/>
      </c>
      <c r="AN1408">
        <f>IF($D1408="","",IF($AA1408="Yes",1,0))</f>
        <v/>
      </c>
      <c r="AO1408">
        <f>IF($AK1408=1,IFERROR(IF(VALUE($D1408)&lt;100000000,VALUE($D1408),1000000000),IFERROR(IF(VALUE(MID($D1408,2,20))&lt;100000000,VALUE(MID($D1408,2,20)),1000000000),1000000000))+ROW()/100000,"")</f>
        <v/>
      </c>
    </row>
    <row r="1409">
      <c r="F1409" s="11" t="n"/>
      <c r="N1409" s="7">
        <f>IF($D1409="","",M1409*X1409/100)</f>
        <v/>
      </c>
      <c r="O1409" s="7" t="n"/>
      <c r="U1409" s="7" t="n"/>
      <c r="V1409" s="7" t="n"/>
      <c r="W1409" s="7">
        <f>IF($D1409="","",V1409*AB1409/100)</f>
        <v/>
      </c>
      <c r="X1409" s="7">
        <f>IF($D1409="","",V1409-W1409)</f>
        <v/>
      </c>
      <c r="Y1409" s="7">
        <f>IF($D1409="","",X1409-N1409)</f>
        <v/>
      </c>
      <c r="AB1409">
        <f>IF($D1409="","",IF($AN1409=1,Settings!$C$8,IF($AM1409=1,Settings!$C$6,Settings!$C$7))*100)</f>
        <v/>
      </c>
      <c r="AF1409" s="7" t="n"/>
      <c r="AI1409" s="11" t="n"/>
      <c r="AK1409">
        <f>IF($D1409="","",IF(COUNTIF($D$2:$D1409,$D1409)=1,1,0))</f>
        <v/>
      </c>
      <c r="AL1409">
        <f>IF($AK1409=1,SUMPRODUCT(--($AO$2:$AO$1601&lt;$AO1409))+1,"")</f>
        <v/>
      </c>
      <c r="AM1409">
        <f>IF($D1409="","",IF(OR($R1409=TRUE(),$R1409="TRUE"),1,0))</f>
        <v/>
      </c>
      <c r="AN1409">
        <f>IF($D1409="","",IF($AA1409="Yes",1,0))</f>
        <v/>
      </c>
      <c r="AO1409">
        <f>IF($AK1409=1,IFERROR(IF(VALUE($D1409)&lt;100000000,VALUE($D1409),1000000000),IFERROR(IF(VALUE(MID($D1409,2,20))&lt;100000000,VALUE(MID($D1409,2,20)),1000000000),1000000000))+ROW()/100000,"")</f>
        <v/>
      </c>
    </row>
    <row r="1410">
      <c r="F1410" s="11" t="n"/>
      <c r="N1410" s="7">
        <f>IF($D1410="","",M1410*X1410/100)</f>
        <v/>
      </c>
      <c r="O1410" s="7" t="n"/>
      <c r="U1410" s="7" t="n"/>
      <c r="V1410" s="7" t="n"/>
      <c r="W1410" s="7">
        <f>IF($D1410="","",V1410*AB1410/100)</f>
        <v/>
      </c>
      <c r="X1410" s="7">
        <f>IF($D1410="","",V1410-W1410)</f>
        <v/>
      </c>
      <c r="Y1410" s="7">
        <f>IF($D1410="","",X1410-N1410)</f>
        <v/>
      </c>
      <c r="AB1410">
        <f>IF($D1410="","",IF($AN1410=1,Settings!$C$8,IF($AM1410=1,Settings!$C$6,Settings!$C$7))*100)</f>
        <v/>
      </c>
      <c r="AF1410" s="7" t="n"/>
      <c r="AI1410" s="11" t="n"/>
      <c r="AK1410">
        <f>IF($D1410="","",IF(COUNTIF($D$2:$D1410,$D1410)=1,1,0))</f>
        <v/>
      </c>
      <c r="AL1410">
        <f>IF($AK1410=1,SUMPRODUCT(--($AO$2:$AO$1601&lt;$AO1410))+1,"")</f>
        <v/>
      </c>
      <c r="AM1410">
        <f>IF($D1410="","",IF(OR($R1410=TRUE(),$R1410="TRUE"),1,0))</f>
        <v/>
      </c>
      <c r="AN1410">
        <f>IF($D1410="","",IF($AA1410="Yes",1,0))</f>
        <v/>
      </c>
      <c r="AO1410">
        <f>IF($AK1410=1,IFERROR(IF(VALUE($D1410)&lt;100000000,VALUE($D1410),1000000000),IFERROR(IF(VALUE(MID($D1410,2,20))&lt;100000000,VALUE(MID($D1410,2,20)),1000000000),1000000000))+ROW()/100000,"")</f>
        <v/>
      </c>
    </row>
    <row r="1411">
      <c r="F1411" s="11" t="n"/>
      <c r="N1411" s="7">
        <f>IF($D1411="","",M1411*X1411/100)</f>
        <v/>
      </c>
      <c r="O1411" s="7" t="n"/>
      <c r="U1411" s="7" t="n"/>
      <c r="V1411" s="7" t="n"/>
      <c r="W1411" s="7">
        <f>IF($D1411="","",V1411*AB1411/100)</f>
        <v/>
      </c>
      <c r="X1411" s="7">
        <f>IF($D1411="","",V1411-W1411)</f>
        <v/>
      </c>
      <c r="Y1411" s="7">
        <f>IF($D1411="","",X1411-N1411)</f>
        <v/>
      </c>
      <c r="AB1411">
        <f>IF($D1411="","",IF($AN1411=1,Settings!$C$8,IF($AM1411=1,Settings!$C$6,Settings!$C$7))*100)</f>
        <v/>
      </c>
      <c r="AF1411" s="7" t="n"/>
      <c r="AI1411" s="11" t="n"/>
      <c r="AK1411">
        <f>IF($D1411="","",IF(COUNTIF($D$2:$D1411,$D1411)=1,1,0))</f>
        <v/>
      </c>
      <c r="AL1411">
        <f>IF($AK1411=1,SUMPRODUCT(--($AO$2:$AO$1601&lt;$AO1411))+1,"")</f>
        <v/>
      </c>
      <c r="AM1411">
        <f>IF($D1411="","",IF(OR($R1411=TRUE(),$R1411="TRUE"),1,0))</f>
        <v/>
      </c>
      <c r="AN1411">
        <f>IF($D1411="","",IF($AA1411="Yes",1,0))</f>
        <v/>
      </c>
      <c r="AO1411">
        <f>IF($AK1411=1,IFERROR(IF(VALUE($D1411)&lt;100000000,VALUE($D1411),1000000000),IFERROR(IF(VALUE(MID($D1411,2,20))&lt;100000000,VALUE(MID($D1411,2,20)),1000000000),1000000000))+ROW()/100000,"")</f>
        <v/>
      </c>
    </row>
    <row r="1412">
      <c r="F1412" s="11" t="n"/>
      <c r="N1412" s="7">
        <f>IF($D1412="","",M1412*X1412/100)</f>
        <v/>
      </c>
      <c r="O1412" s="7" t="n"/>
      <c r="U1412" s="7" t="n"/>
      <c r="V1412" s="7" t="n"/>
      <c r="W1412" s="7">
        <f>IF($D1412="","",V1412*AB1412/100)</f>
        <v/>
      </c>
      <c r="X1412" s="7">
        <f>IF($D1412="","",V1412-W1412)</f>
        <v/>
      </c>
      <c r="Y1412" s="7">
        <f>IF($D1412="","",X1412-N1412)</f>
        <v/>
      </c>
      <c r="AB1412">
        <f>IF($D1412="","",IF($AN1412=1,Settings!$C$8,IF($AM1412=1,Settings!$C$6,Settings!$C$7))*100)</f>
        <v/>
      </c>
      <c r="AF1412" s="7" t="n"/>
      <c r="AI1412" s="11" t="n"/>
      <c r="AK1412">
        <f>IF($D1412="","",IF(COUNTIF($D$2:$D1412,$D1412)=1,1,0))</f>
        <v/>
      </c>
      <c r="AL1412">
        <f>IF($AK1412=1,SUMPRODUCT(--($AO$2:$AO$1601&lt;$AO1412))+1,"")</f>
        <v/>
      </c>
      <c r="AM1412">
        <f>IF($D1412="","",IF(OR($R1412=TRUE(),$R1412="TRUE"),1,0))</f>
        <v/>
      </c>
      <c r="AN1412">
        <f>IF($D1412="","",IF($AA1412="Yes",1,0))</f>
        <v/>
      </c>
      <c r="AO1412">
        <f>IF($AK1412=1,IFERROR(IF(VALUE($D1412)&lt;100000000,VALUE($D1412),1000000000),IFERROR(IF(VALUE(MID($D1412,2,20))&lt;100000000,VALUE(MID($D1412,2,20)),1000000000),1000000000))+ROW()/100000,"")</f>
        <v/>
      </c>
    </row>
    <row r="1413">
      <c r="F1413" s="11" t="n"/>
      <c r="N1413" s="7">
        <f>IF($D1413="","",M1413*X1413/100)</f>
        <v/>
      </c>
      <c r="O1413" s="7" t="n"/>
      <c r="U1413" s="7" t="n"/>
      <c r="V1413" s="7" t="n"/>
      <c r="W1413" s="7">
        <f>IF($D1413="","",V1413*AB1413/100)</f>
        <v/>
      </c>
      <c r="X1413" s="7">
        <f>IF($D1413="","",V1413-W1413)</f>
        <v/>
      </c>
      <c r="Y1413" s="7">
        <f>IF($D1413="","",X1413-N1413)</f>
        <v/>
      </c>
      <c r="AB1413">
        <f>IF($D1413="","",IF($AN1413=1,Settings!$C$8,IF($AM1413=1,Settings!$C$6,Settings!$C$7))*100)</f>
        <v/>
      </c>
      <c r="AF1413" s="7" t="n"/>
      <c r="AI1413" s="11" t="n"/>
      <c r="AK1413">
        <f>IF($D1413="","",IF(COUNTIF($D$2:$D1413,$D1413)=1,1,0))</f>
        <v/>
      </c>
      <c r="AL1413">
        <f>IF($AK1413=1,SUMPRODUCT(--($AO$2:$AO$1601&lt;$AO1413))+1,"")</f>
        <v/>
      </c>
      <c r="AM1413">
        <f>IF($D1413="","",IF(OR($R1413=TRUE(),$R1413="TRUE"),1,0))</f>
        <v/>
      </c>
      <c r="AN1413">
        <f>IF($D1413="","",IF($AA1413="Yes",1,0))</f>
        <v/>
      </c>
      <c r="AO1413">
        <f>IF($AK1413=1,IFERROR(IF(VALUE($D1413)&lt;100000000,VALUE($D1413),1000000000),IFERROR(IF(VALUE(MID($D1413,2,20))&lt;100000000,VALUE(MID($D1413,2,20)),1000000000),1000000000))+ROW()/100000,"")</f>
        <v/>
      </c>
    </row>
    <row r="1414">
      <c r="F1414" s="11" t="n"/>
      <c r="N1414" s="7">
        <f>IF($D1414="","",M1414*X1414/100)</f>
        <v/>
      </c>
      <c r="O1414" s="7" t="n"/>
      <c r="U1414" s="7" t="n"/>
      <c r="V1414" s="7" t="n"/>
      <c r="W1414" s="7">
        <f>IF($D1414="","",V1414*AB1414/100)</f>
        <v/>
      </c>
      <c r="X1414" s="7">
        <f>IF($D1414="","",V1414-W1414)</f>
        <v/>
      </c>
      <c r="Y1414" s="7">
        <f>IF($D1414="","",X1414-N1414)</f>
        <v/>
      </c>
      <c r="AB1414">
        <f>IF($D1414="","",IF($AN1414=1,Settings!$C$8,IF($AM1414=1,Settings!$C$6,Settings!$C$7))*100)</f>
        <v/>
      </c>
      <c r="AF1414" s="7" t="n"/>
      <c r="AI1414" s="11" t="n"/>
      <c r="AK1414">
        <f>IF($D1414="","",IF(COUNTIF($D$2:$D1414,$D1414)=1,1,0))</f>
        <v/>
      </c>
      <c r="AL1414">
        <f>IF($AK1414=1,SUMPRODUCT(--($AO$2:$AO$1601&lt;$AO1414))+1,"")</f>
        <v/>
      </c>
      <c r="AM1414">
        <f>IF($D1414="","",IF(OR($R1414=TRUE(),$R1414="TRUE"),1,0))</f>
        <v/>
      </c>
      <c r="AN1414">
        <f>IF($D1414="","",IF($AA1414="Yes",1,0))</f>
        <v/>
      </c>
      <c r="AO1414">
        <f>IF($AK1414=1,IFERROR(IF(VALUE($D1414)&lt;100000000,VALUE($D1414),1000000000),IFERROR(IF(VALUE(MID($D1414,2,20))&lt;100000000,VALUE(MID($D1414,2,20)),1000000000),1000000000))+ROW()/100000,"")</f>
        <v/>
      </c>
    </row>
    <row r="1415">
      <c r="F1415" s="11" t="n"/>
      <c r="N1415" s="7">
        <f>IF($D1415="","",M1415*X1415/100)</f>
        <v/>
      </c>
      <c r="O1415" s="7" t="n"/>
      <c r="U1415" s="7" t="n"/>
      <c r="V1415" s="7" t="n"/>
      <c r="W1415" s="7">
        <f>IF($D1415="","",V1415*AB1415/100)</f>
        <v/>
      </c>
      <c r="X1415" s="7">
        <f>IF($D1415="","",V1415-W1415)</f>
        <v/>
      </c>
      <c r="Y1415" s="7">
        <f>IF($D1415="","",X1415-N1415)</f>
        <v/>
      </c>
      <c r="AB1415">
        <f>IF($D1415="","",IF($AN1415=1,Settings!$C$8,IF($AM1415=1,Settings!$C$6,Settings!$C$7))*100)</f>
        <v/>
      </c>
      <c r="AF1415" s="7" t="n"/>
      <c r="AI1415" s="11" t="n"/>
      <c r="AK1415">
        <f>IF($D1415="","",IF(COUNTIF($D$2:$D1415,$D1415)=1,1,0))</f>
        <v/>
      </c>
      <c r="AL1415">
        <f>IF($AK1415=1,SUMPRODUCT(--($AO$2:$AO$1601&lt;$AO1415))+1,"")</f>
        <v/>
      </c>
      <c r="AM1415">
        <f>IF($D1415="","",IF(OR($R1415=TRUE(),$R1415="TRUE"),1,0))</f>
        <v/>
      </c>
      <c r="AN1415">
        <f>IF($D1415="","",IF($AA1415="Yes",1,0))</f>
        <v/>
      </c>
      <c r="AO1415">
        <f>IF($AK1415=1,IFERROR(IF(VALUE($D1415)&lt;100000000,VALUE($D1415),1000000000),IFERROR(IF(VALUE(MID($D1415,2,20))&lt;100000000,VALUE(MID($D1415,2,20)),1000000000),1000000000))+ROW()/100000,"")</f>
        <v/>
      </c>
    </row>
    <row r="1416">
      <c r="F1416" s="11" t="n"/>
      <c r="N1416" s="7">
        <f>IF($D1416="","",M1416*X1416/100)</f>
        <v/>
      </c>
      <c r="O1416" s="7" t="n"/>
      <c r="U1416" s="7" t="n"/>
      <c r="V1416" s="7" t="n"/>
      <c r="W1416" s="7">
        <f>IF($D1416="","",V1416*AB1416/100)</f>
        <v/>
      </c>
      <c r="X1416" s="7">
        <f>IF($D1416="","",V1416-W1416)</f>
        <v/>
      </c>
      <c r="Y1416" s="7">
        <f>IF($D1416="","",X1416-N1416)</f>
        <v/>
      </c>
      <c r="AB1416">
        <f>IF($D1416="","",IF($AN1416=1,Settings!$C$8,IF($AM1416=1,Settings!$C$6,Settings!$C$7))*100)</f>
        <v/>
      </c>
      <c r="AF1416" s="7" t="n"/>
      <c r="AI1416" s="11" t="n"/>
      <c r="AK1416">
        <f>IF($D1416="","",IF(COUNTIF($D$2:$D1416,$D1416)=1,1,0))</f>
        <v/>
      </c>
      <c r="AL1416">
        <f>IF($AK1416=1,SUMPRODUCT(--($AO$2:$AO$1601&lt;$AO1416))+1,"")</f>
        <v/>
      </c>
      <c r="AM1416">
        <f>IF($D1416="","",IF(OR($R1416=TRUE(),$R1416="TRUE"),1,0))</f>
        <v/>
      </c>
      <c r="AN1416">
        <f>IF($D1416="","",IF($AA1416="Yes",1,0))</f>
        <v/>
      </c>
      <c r="AO1416">
        <f>IF($AK1416=1,IFERROR(IF(VALUE($D1416)&lt;100000000,VALUE($D1416),1000000000),IFERROR(IF(VALUE(MID($D1416,2,20))&lt;100000000,VALUE(MID($D1416,2,20)),1000000000),1000000000))+ROW()/100000,"")</f>
        <v/>
      </c>
    </row>
    <row r="1417">
      <c r="F1417" s="11" t="n"/>
      <c r="N1417" s="7">
        <f>IF($D1417="","",M1417*X1417/100)</f>
        <v/>
      </c>
      <c r="O1417" s="7" t="n"/>
      <c r="U1417" s="7" t="n"/>
      <c r="V1417" s="7" t="n"/>
      <c r="W1417" s="7">
        <f>IF($D1417="","",V1417*AB1417/100)</f>
        <v/>
      </c>
      <c r="X1417" s="7">
        <f>IF($D1417="","",V1417-W1417)</f>
        <v/>
      </c>
      <c r="Y1417" s="7">
        <f>IF($D1417="","",X1417-N1417)</f>
        <v/>
      </c>
      <c r="AB1417">
        <f>IF($D1417="","",IF($AN1417=1,Settings!$C$8,IF($AM1417=1,Settings!$C$6,Settings!$C$7))*100)</f>
        <v/>
      </c>
      <c r="AF1417" s="7" t="n"/>
      <c r="AI1417" s="11" t="n"/>
      <c r="AK1417">
        <f>IF($D1417="","",IF(COUNTIF($D$2:$D1417,$D1417)=1,1,0))</f>
        <v/>
      </c>
      <c r="AL1417">
        <f>IF($AK1417=1,SUMPRODUCT(--($AO$2:$AO$1601&lt;$AO1417))+1,"")</f>
        <v/>
      </c>
      <c r="AM1417">
        <f>IF($D1417="","",IF(OR($R1417=TRUE(),$R1417="TRUE"),1,0))</f>
        <v/>
      </c>
      <c r="AN1417">
        <f>IF($D1417="","",IF($AA1417="Yes",1,0))</f>
        <v/>
      </c>
      <c r="AO1417">
        <f>IF($AK1417=1,IFERROR(IF(VALUE($D1417)&lt;100000000,VALUE($D1417),1000000000),IFERROR(IF(VALUE(MID($D1417,2,20))&lt;100000000,VALUE(MID($D1417,2,20)),1000000000),1000000000))+ROW()/100000,"")</f>
        <v/>
      </c>
    </row>
    <row r="1418">
      <c r="F1418" s="11" t="n"/>
      <c r="N1418" s="7">
        <f>IF($D1418="","",M1418*X1418/100)</f>
        <v/>
      </c>
      <c r="O1418" s="7" t="n"/>
      <c r="U1418" s="7" t="n"/>
      <c r="V1418" s="7" t="n"/>
      <c r="W1418" s="7">
        <f>IF($D1418="","",V1418*AB1418/100)</f>
        <v/>
      </c>
      <c r="X1418" s="7">
        <f>IF($D1418="","",V1418-W1418)</f>
        <v/>
      </c>
      <c r="Y1418" s="7">
        <f>IF($D1418="","",X1418-N1418)</f>
        <v/>
      </c>
      <c r="AB1418">
        <f>IF($D1418="","",IF($AN1418=1,Settings!$C$8,IF($AM1418=1,Settings!$C$6,Settings!$C$7))*100)</f>
        <v/>
      </c>
      <c r="AF1418" s="7" t="n"/>
      <c r="AI1418" s="11" t="n"/>
      <c r="AK1418">
        <f>IF($D1418="","",IF(COUNTIF($D$2:$D1418,$D1418)=1,1,0))</f>
        <v/>
      </c>
      <c r="AL1418">
        <f>IF($AK1418=1,SUMPRODUCT(--($AO$2:$AO$1601&lt;$AO1418))+1,"")</f>
        <v/>
      </c>
      <c r="AM1418">
        <f>IF($D1418="","",IF(OR($R1418=TRUE(),$R1418="TRUE"),1,0))</f>
        <v/>
      </c>
      <c r="AN1418">
        <f>IF($D1418="","",IF($AA1418="Yes",1,0))</f>
        <v/>
      </c>
      <c r="AO1418">
        <f>IF($AK1418=1,IFERROR(IF(VALUE($D1418)&lt;100000000,VALUE($D1418),1000000000),IFERROR(IF(VALUE(MID($D1418,2,20))&lt;100000000,VALUE(MID($D1418,2,20)),1000000000),1000000000))+ROW()/100000,"")</f>
        <v/>
      </c>
    </row>
    <row r="1419">
      <c r="F1419" s="11" t="n"/>
      <c r="N1419" s="7">
        <f>IF($D1419="","",M1419*X1419/100)</f>
        <v/>
      </c>
      <c r="O1419" s="7" t="n"/>
      <c r="U1419" s="7" t="n"/>
      <c r="V1419" s="7" t="n"/>
      <c r="W1419" s="7">
        <f>IF($D1419="","",V1419*AB1419/100)</f>
        <v/>
      </c>
      <c r="X1419" s="7">
        <f>IF($D1419="","",V1419-W1419)</f>
        <v/>
      </c>
      <c r="Y1419" s="7">
        <f>IF($D1419="","",X1419-N1419)</f>
        <v/>
      </c>
      <c r="AB1419">
        <f>IF($D1419="","",IF($AN1419=1,Settings!$C$8,IF($AM1419=1,Settings!$C$6,Settings!$C$7))*100)</f>
        <v/>
      </c>
      <c r="AF1419" s="7" t="n"/>
      <c r="AI1419" s="11" t="n"/>
      <c r="AK1419">
        <f>IF($D1419="","",IF(COUNTIF($D$2:$D1419,$D1419)=1,1,0))</f>
        <v/>
      </c>
      <c r="AL1419">
        <f>IF($AK1419=1,SUMPRODUCT(--($AO$2:$AO$1601&lt;$AO1419))+1,"")</f>
        <v/>
      </c>
      <c r="AM1419">
        <f>IF($D1419="","",IF(OR($R1419=TRUE(),$R1419="TRUE"),1,0))</f>
        <v/>
      </c>
      <c r="AN1419">
        <f>IF($D1419="","",IF($AA1419="Yes",1,0))</f>
        <v/>
      </c>
      <c r="AO1419">
        <f>IF($AK1419=1,IFERROR(IF(VALUE($D1419)&lt;100000000,VALUE($D1419),1000000000),IFERROR(IF(VALUE(MID($D1419,2,20))&lt;100000000,VALUE(MID($D1419,2,20)),1000000000),1000000000))+ROW()/100000,"")</f>
        <v/>
      </c>
    </row>
    <row r="1420">
      <c r="F1420" s="11" t="n"/>
      <c r="N1420" s="7">
        <f>IF($D1420="","",M1420*X1420/100)</f>
        <v/>
      </c>
      <c r="O1420" s="7" t="n"/>
      <c r="U1420" s="7" t="n"/>
      <c r="V1420" s="7" t="n"/>
      <c r="W1420" s="7">
        <f>IF($D1420="","",V1420*AB1420/100)</f>
        <v/>
      </c>
      <c r="X1420" s="7">
        <f>IF($D1420="","",V1420-W1420)</f>
        <v/>
      </c>
      <c r="Y1420" s="7">
        <f>IF($D1420="","",X1420-N1420)</f>
        <v/>
      </c>
      <c r="AB1420">
        <f>IF($D1420="","",IF($AN1420=1,Settings!$C$8,IF($AM1420=1,Settings!$C$6,Settings!$C$7))*100)</f>
        <v/>
      </c>
      <c r="AF1420" s="7" t="n"/>
      <c r="AI1420" s="11" t="n"/>
      <c r="AK1420">
        <f>IF($D1420="","",IF(COUNTIF($D$2:$D1420,$D1420)=1,1,0))</f>
        <v/>
      </c>
      <c r="AL1420">
        <f>IF($AK1420=1,SUMPRODUCT(--($AO$2:$AO$1601&lt;$AO1420))+1,"")</f>
        <v/>
      </c>
      <c r="AM1420">
        <f>IF($D1420="","",IF(OR($R1420=TRUE(),$R1420="TRUE"),1,0))</f>
        <v/>
      </c>
      <c r="AN1420">
        <f>IF($D1420="","",IF($AA1420="Yes",1,0))</f>
        <v/>
      </c>
      <c r="AO1420">
        <f>IF($AK1420=1,IFERROR(IF(VALUE($D1420)&lt;100000000,VALUE($D1420),1000000000),IFERROR(IF(VALUE(MID($D1420,2,20))&lt;100000000,VALUE(MID($D1420,2,20)),1000000000),1000000000))+ROW()/100000,"")</f>
        <v/>
      </c>
    </row>
    <row r="1421">
      <c r="F1421" s="11" t="n"/>
      <c r="N1421" s="7">
        <f>IF($D1421="","",M1421*X1421/100)</f>
        <v/>
      </c>
      <c r="O1421" s="7" t="n"/>
      <c r="U1421" s="7" t="n"/>
      <c r="V1421" s="7" t="n"/>
      <c r="W1421" s="7">
        <f>IF($D1421="","",V1421*AB1421/100)</f>
        <v/>
      </c>
      <c r="X1421" s="7">
        <f>IF($D1421="","",V1421-W1421)</f>
        <v/>
      </c>
      <c r="Y1421" s="7">
        <f>IF($D1421="","",X1421-N1421)</f>
        <v/>
      </c>
      <c r="AB1421">
        <f>IF($D1421="","",IF($AN1421=1,Settings!$C$8,IF($AM1421=1,Settings!$C$6,Settings!$C$7))*100)</f>
        <v/>
      </c>
      <c r="AF1421" s="7" t="n"/>
      <c r="AI1421" s="11" t="n"/>
      <c r="AK1421">
        <f>IF($D1421="","",IF(COUNTIF($D$2:$D1421,$D1421)=1,1,0))</f>
        <v/>
      </c>
      <c r="AL1421">
        <f>IF($AK1421=1,SUMPRODUCT(--($AO$2:$AO$1601&lt;$AO1421))+1,"")</f>
        <v/>
      </c>
      <c r="AM1421">
        <f>IF($D1421="","",IF(OR($R1421=TRUE(),$R1421="TRUE"),1,0))</f>
        <v/>
      </c>
      <c r="AN1421">
        <f>IF($D1421="","",IF($AA1421="Yes",1,0))</f>
        <v/>
      </c>
      <c r="AO1421">
        <f>IF($AK1421=1,IFERROR(IF(VALUE($D1421)&lt;100000000,VALUE($D1421),1000000000),IFERROR(IF(VALUE(MID($D1421,2,20))&lt;100000000,VALUE(MID($D1421,2,20)),1000000000),1000000000))+ROW()/100000,"")</f>
        <v/>
      </c>
    </row>
    <row r="1422">
      <c r="F1422" s="11" t="n"/>
      <c r="N1422" s="7">
        <f>IF($D1422="","",M1422*X1422/100)</f>
        <v/>
      </c>
      <c r="O1422" s="7" t="n"/>
      <c r="U1422" s="7" t="n"/>
      <c r="V1422" s="7" t="n"/>
      <c r="W1422" s="7">
        <f>IF($D1422="","",V1422*AB1422/100)</f>
        <v/>
      </c>
      <c r="X1422" s="7">
        <f>IF($D1422="","",V1422-W1422)</f>
        <v/>
      </c>
      <c r="Y1422" s="7">
        <f>IF($D1422="","",X1422-N1422)</f>
        <v/>
      </c>
      <c r="AB1422">
        <f>IF($D1422="","",IF($AN1422=1,Settings!$C$8,IF($AM1422=1,Settings!$C$6,Settings!$C$7))*100)</f>
        <v/>
      </c>
      <c r="AF1422" s="7" t="n"/>
      <c r="AI1422" s="11" t="n"/>
      <c r="AK1422">
        <f>IF($D1422="","",IF(COUNTIF($D$2:$D1422,$D1422)=1,1,0))</f>
        <v/>
      </c>
      <c r="AL1422">
        <f>IF($AK1422=1,SUMPRODUCT(--($AO$2:$AO$1601&lt;$AO1422))+1,"")</f>
        <v/>
      </c>
      <c r="AM1422">
        <f>IF($D1422="","",IF(OR($R1422=TRUE(),$R1422="TRUE"),1,0))</f>
        <v/>
      </c>
      <c r="AN1422">
        <f>IF($D1422="","",IF($AA1422="Yes",1,0))</f>
        <v/>
      </c>
      <c r="AO1422">
        <f>IF($AK1422=1,IFERROR(IF(VALUE($D1422)&lt;100000000,VALUE($D1422),1000000000),IFERROR(IF(VALUE(MID($D1422,2,20))&lt;100000000,VALUE(MID($D1422,2,20)),1000000000),1000000000))+ROW()/100000,"")</f>
        <v/>
      </c>
    </row>
    <row r="1423">
      <c r="F1423" s="11" t="n"/>
      <c r="N1423" s="7">
        <f>IF($D1423="","",M1423*X1423/100)</f>
        <v/>
      </c>
      <c r="O1423" s="7" t="n"/>
      <c r="U1423" s="7" t="n"/>
      <c r="V1423" s="7" t="n"/>
      <c r="W1423" s="7">
        <f>IF($D1423="","",V1423*AB1423/100)</f>
        <v/>
      </c>
      <c r="X1423" s="7">
        <f>IF($D1423="","",V1423-W1423)</f>
        <v/>
      </c>
      <c r="Y1423" s="7">
        <f>IF($D1423="","",X1423-N1423)</f>
        <v/>
      </c>
      <c r="AB1423">
        <f>IF($D1423="","",IF($AN1423=1,Settings!$C$8,IF($AM1423=1,Settings!$C$6,Settings!$C$7))*100)</f>
        <v/>
      </c>
      <c r="AF1423" s="7" t="n"/>
      <c r="AI1423" s="11" t="n"/>
      <c r="AK1423">
        <f>IF($D1423="","",IF(COUNTIF($D$2:$D1423,$D1423)=1,1,0))</f>
        <v/>
      </c>
      <c r="AL1423">
        <f>IF($AK1423=1,SUMPRODUCT(--($AO$2:$AO$1601&lt;$AO1423))+1,"")</f>
        <v/>
      </c>
      <c r="AM1423">
        <f>IF($D1423="","",IF(OR($R1423=TRUE(),$R1423="TRUE"),1,0))</f>
        <v/>
      </c>
      <c r="AN1423">
        <f>IF($D1423="","",IF($AA1423="Yes",1,0))</f>
        <v/>
      </c>
      <c r="AO1423">
        <f>IF($AK1423=1,IFERROR(IF(VALUE($D1423)&lt;100000000,VALUE($D1423),1000000000),IFERROR(IF(VALUE(MID($D1423,2,20))&lt;100000000,VALUE(MID($D1423,2,20)),1000000000),1000000000))+ROW()/100000,"")</f>
        <v/>
      </c>
    </row>
    <row r="1424">
      <c r="F1424" s="11" t="n"/>
      <c r="N1424" s="7">
        <f>IF($D1424="","",M1424*X1424/100)</f>
        <v/>
      </c>
      <c r="O1424" s="7" t="n"/>
      <c r="U1424" s="7" t="n"/>
      <c r="V1424" s="7" t="n"/>
      <c r="W1424" s="7">
        <f>IF($D1424="","",V1424*AB1424/100)</f>
        <v/>
      </c>
      <c r="X1424" s="7">
        <f>IF($D1424="","",V1424-W1424)</f>
        <v/>
      </c>
      <c r="Y1424" s="7">
        <f>IF($D1424="","",X1424-N1424)</f>
        <v/>
      </c>
      <c r="AB1424">
        <f>IF($D1424="","",IF($AN1424=1,Settings!$C$8,IF($AM1424=1,Settings!$C$6,Settings!$C$7))*100)</f>
        <v/>
      </c>
      <c r="AF1424" s="7" t="n"/>
      <c r="AI1424" s="11" t="n"/>
      <c r="AK1424">
        <f>IF($D1424="","",IF(COUNTIF($D$2:$D1424,$D1424)=1,1,0))</f>
        <v/>
      </c>
      <c r="AL1424">
        <f>IF($AK1424=1,SUMPRODUCT(--($AO$2:$AO$1601&lt;$AO1424))+1,"")</f>
        <v/>
      </c>
      <c r="AM1424">
        <f>IF($D1424="","",IF(OR($R1424=TRUE(),$R1424="TRUE"),1,0))</f>
        <v/>
      </c>
      <c r="AN1424">
        <f>IF($D1424="","",IF($AA1424="Yes",1,0))</f>
        <v/>
      </c>
      <c r="AO1424">
        <f>IF($AK1424=1,IFERROR(IF(VALUE($D1424)&lt;100000000,VALUE($D1424),1000000000),IFERROR(IF(VALUE(MID($D1424,2,20))&lt;100000000,VALUE(MID($D1424,2,20)),1000000000),1000000000))+ROW()/100000,"")</f>
        <v/>
      </c>
    </row>
    <row r="1425">
      <c r="F1425" s="11" t="n"/>
      <c r="N1425" s="7">
        <f>IF($D1425="","",M1425*X1425/100)</f>
        <v/>
      </c>
      <c r="O1425" s="7" t="n"/>
      <c r="U1425" s="7" t="n"/>
      <c r="V1425" s="7" t="n"/>
      <c r="W1425" s="7">
        <f>IF($D1425="","",V1425*AB1425/100)</f>
        <v/>
      </c>
      <c r="X1425" s="7">
        <f>IF($D1425="","",V1425-W1425)</f>
        <v/>
      </c>
      <c r="Y1425" s="7">
        <f>IF($D1425="","",X1425-N1425)</f>
        <v/>
      </c>
      <c r="AB1425">
        <f>IF($D1425="","",IF($AN1425=1,Settings!$C$8,IF($AM1425=1,Settings!$C$6,Settings!$C$7))*100)</f>
        <v/>
      </c>
      <c r="AF1425" s="7" t="n"/>
      <c r="AI1425" s="11" t="n"/>
      <c r="AK1425">
        <f>IF($D1425="","",IF(COUNTIF($D$2:$D1425,$D1425)=1,1,0))</f>
        <v/>
      </c>
      <c r="AL1425">
        <f>IF($AK1425=1,SUMPRODUCT(--($AO$2:$AO$1601&lt;$AO1425))+1,"")</f>
        <v/>
      </c>
      <c r="AM1425">
        <f>IF($D1425="","",IF(OR($R1425=TRUE(),$R1425="TRUE"),1,0))</f>
        <v/>
      </c>
      <c r="AN1425">
        <f>IF($D1425="","",IF($AA1425="Yes",1,0))</f>
        <v/>
      </c>
      <c r="AO1425">
        <f>IF($AK1425=1,IFERROR(IF(VALUE($D1425)&lt;100000000,VALUE($D1425),1000000000),IFERROR(IF(VALUE(MID($D1425,2,20))&lt;100000000,VALUE(MID($D1425,2,20)),1000000000),1000000000))+ROW()/100000,"")</f>
        <v/>
      </c>
    </row>
    <row r="1426">
      <c r="F1426" s="11" t="n"/>
      <c r="N1426" s="7">
        <f>IF($D1426="","",M1426*X1426/100)</f>
        <v/>
      </c>
      <c r="O1426" s="7" t="n"/>
      <c r="U1426" s="7" t="n"/>
      <c r="V1426" s="7" t="n"/>
      <c r="W1426" s="7">
        <f>IF($D1426="","",V1426*AB1426/100)</f>
        <v/>
      </c>
      <c r="X1426" s="7">
        <f>IF($D1426="","",V1426-W1426)</f>
        <v/>
      </c>
      <c r="Y1426" s="7">
        <f>IF($D1426="","",X1426-N1426)</f>
        <v/>
      </c>
      <c r="AB1426">
        <f>IF($D1426="","",IF($AN1426=1,Settings!$C$8,IF($AM1426=1,Settings!$C$6,Settings!$C$7))*100)</f>
        <v/>
      </c>
      <c r="AF1426" s="7" t="n"/>
      <c r="AI1426" s="11" t="n"/>
      <c r="AK1426">
        <f>IF($D1426="","",IF(COUNTIF($D$2:$D1426,$D1426)=1,1,0))</f>
        <v/>
      </c>
      <c r="AL1426">
        <f>IF($AK1426=1,SUMPRODUCT(--($AO$2:$AO$1601&lt;$AO1426))+1,"")</f>
        <v/>
      </c>
      <c r="AM1426">
        <f>IF($D1426="","",IF(OR($R1426=TRUE(),$R1426="TRUE"),1,0))</f>
        <v/>
      </c>
      <c r="AN1426">
        <f>IF($D1426="","",IF($AA1426="Yes",1,0))</f>
        <v/>
      </c>
      <c r="AO1426">
        <f>IF($AK1426=1,IFERROR(IF(VALUE($D1426)&lt;100000000,VALUE($D1426),1000000000),IFERROR(IF(VALUE(MID($D1426,2,20))&lt;100000000,VALUE(MID($D1426,2,20)),1000000000),1000000000))+ROW()/100000,"")</f>
        <v/>
      </c>
    </row>
    <row r="1427">
      <c r="F1427" s="11" t="n"/>
      <c r="N1427" s="7">
        <f>IF($D1427="","",M1427*X1427/100)</f>
        <v/>
      </c>
      <c r="O1427" s="7" t="n"/>
      <c r="U1427" s="7" t="n"/>
      <c r="V1427" s="7" t="n"/>
      <c r="W1427" s="7">
        <f>IF($D1427="","",V1427*AB1427/100)</f>
        <v/>
      </c>
      <c r="X1427" s="7">
        <f>IF($D1427="","",V1427-W1427)</f>
        <v/>
      </c>
      <c r="Y1427" s="7">
        <f>IF($D1427="","",X1427-N1427)</f>
        <v/>
      </c>
      <c r="AB1427">
        <f>IF($D1427="","",IF($AN1427=1,Settings!$C$8,IF($AM1427=1,Settings!$C$6,Settings!$C$7))*100)</f>
        <v/>
      </c>
      <c r="AF1427" s="7" t="n"/>
      <c r="AI1427" s="11" t="n"/>
      <c r="AK1427">
        <f>IF($D1427="","",IF(COUNTIF($D$2:$D1427,$D1427)=1,1,0))</f>
        <v/>
      </c>
      <c r="AL1427">
        <f>IF($AK1427=1,SUMPRODUCT(--($AO$2:$AO$1601&lt;$AO1427))+1,"")</f>
        <v/>
      </c>
      <c r="AM1427">
        <f>IF($D1427="","",IF(OR($R1427=TRUE(),$R1427="TRUE"),1,0))</f>
        <v/>
      </c>
      <c r="AN1427">
        <f>IF($D1427="","",IF($AA1427="Yes",1,0))</f>
        <v/>
      </c>
      <c r="AO1427">
        <f>IF($AK1427=1,IFERROR(IF(VALUE($D1427)&lt;100000000,VALUE($D1427),1000000000),IFERROR(IF(VALUE(MID($D1427,2,20))&lt;100000000,VALUE(MID($D1427,2,20)),1000000000),1000000000))+ROW()/100000,"")</f>
        <v/>
      </c>
    </row>
    <row r="1428">
      <c r="F1428" s="11" t="n"/>
      <c r="N1428" s="7">
        <f>IF($D1428="","",M1428*X1428/100)</f>
        <v/>
      </c>
      <c r="O1428" s="7" t="n"/>
      <c r="U1428" s="7" t="n"/>
      <c r="V1428" s="7" t="n"/>
      <c r="W1428" s="7">
        <f>IF($D1428="","",V1428*AB1428/100)</f>
        <v/>
      </c>
      <c r="X1428" s="7">
        <f>IF($D1428="","",V1428-W1428)</f>
        <v/>
      </c>
      <c r="Y1428" s="7">
        <f>IF($D1428="","",X1428-N1428)</f>
        <v/>
      </c>
      <c r="AB1428">
        <f>IF($D1428="","",IF($AN1428=1,Settings!$C$8,IF($AM1428=1,Settings!$C$6,Settings!$C$7))*100)</f>
        <v/>
      </c>
      <c r="AF1428" s="7" t="n"/>
      <c r="AI1428" s="11" t="n"/>
      <c r="AK1428">
        <f>IF($D1428="","",IF(COUNTIF($D$2:$D1428,$D1428)=1,1,0))</f>
        <v/>
      </c>
      <c r="AL1428">
        <f>IF($AK1428=1,SUMPRODUCT(--($AO$2:$AO$1601&lt;$AO1428))+1,"")</f>
        <v/>
      </c>
      <c r="AM1428">
        <f>IF($D1428="","",IF(OR($R1428=TRUE(),$R1428="TRUE"),1,0))</f>
        <v/>
      </c>
      <c r="AN1428">
        <f>IF($D1428="","",IF($AA1428="Yes",1,0))</f>
        <v/>
      </c>
      <c r="AO1428">
        <f>IF($AK1428=1,IFERROR(IF(VALUE($D1428)&lt;100000000,VALUE($D1428),1000000000),IFERROR(IF(VALUE(MID($D1428,2,20))&lt;100000000,VALUE(MID($D1428,2,20)),1000000000),1000000000))+ROW()/100000,"")</f>
        <v/>
      </c>
    </row>
    <row r="1429">
      <c r="F1429" s="11" t="n"/>
      <c r="N1429" s="7">
        <f>IF($D1429="","",M1429*X1429/100)</f>
        <v/>
      </c>
      <c r="O1429" s="7" t="n"/>
      <c r="U1429" s="7" t="n"/>
      <c r="V1429" s="7" t="n"/>
      <c r="W1429" s="7">
        <f>IF($D1429="","",V1429*AB1429/100)</f>
        <v/>
      </c>
      <c r="X1429" s="7">
        <f>IF($D1429="","",V1429-W1429)</f>
        <v/>
      </c>
      <c r="Y1429" s="7">
        <f>IF($D1429="","",X1429-N1429)</f>
        <v/>
      </c>
      <c r="AB1429">
        <f>IF($D1429="","",IF($AN1429=1,Settings!$C$8,IF($AM1429=1,Settings!$C$6,Settings!$C$7))*100)</f>
        <v/>
      </c>
      <c r="AF1429" s="7" t="n"/>
      <c r="AI1429" s="11" t="n"/>
      <c r="AK1429">
        <f>IF($D1429="","",IF(COUNTIF($D$2:$D1429,$D1429)=1,1,0))</f>
        <v/>
      </c>
      <c r="AL1429">
        <f>IF($AK1429=1,SUMPRODUCT(--($AO$2:$AO$1601&lt;$AO1429))+1,"")</f>
        <v/>
      </c>
      <c r="AM1429">
        <f>IF($D1429="","",IF(OR($R1429=TRUE(),$R1429="TRUE"),1,0))</f>
        <v/>
      </c>
      <c r="AN1429">
        <f>IF($D1429="","",IF($AA1429="Yes",1,0))</f>
        <v/>
      </c>
      <c r="AO1429">
        <f>IF($AK1429=1,IFERROR(IF(VALUE($D1429)&lt;100000000,VALUE($D1429),1000000000),IFERROR(IF(VALUE(MID($D1429,2,20))&lt;100000000,VALUE(MID($D1429,2,20)),1000000000),1000000000))+ROW()/100000,"")</f>
        <v/>
      </c>
    </row>
    <row r="1430">
      <c r="F1430" s="11" t="n"/>
      <c r="N1430" s="7">
        <f>IF($D1430="","",M1430*X1430/100)</f>
        <v/>
      </c>
      <c r="O1430" s="7" t="n"/>
      <c r="U1430" s="7" t="n"/>
      <c r="V1430" s="7" t="n"/>
      <c r="W1430" s="7">
        <f>IF($D1430="","",V1430*AB1430/100)</f>
        <v/>
      </c>
      <c r="X1430" s="7">
        <f>IF($D1430="","",V1430-W1430)</f>
        <v/>
      </c>
      <c r="Y1430" s="7">
        <f>IF($D1430="","",X1430-N1430)</f>
        <v/>
      </c>
      <c r="AB1430">
        <f>IF($D1430="","",IF($AN1430=1,Settings!$C$8,IF($AM1430=1,Settings!$C$6,Settings!$C$7))*100)</f>
        <v/>
      </c>
      <c r="AF1430" s="7" t="n"/>
      <c r="AI1430" s="11" t="n"/>
      <c r="AK1430">
        <f>IF($D1430="","",IF(COUNTIF($D$2:$D1430,$D1430)=1,1,0))</f>
        <v/>
      </c>
      <c r="AL1430">
        <f>IF($AK1430=1,SUMPRODUCT(--($AO$2:$AO$1601&lt;$AO1430))+1,"")</f>
        <v/>
      </c>
      <c r="AM1430">
        <f>IF($D1430="","",IF(OR($R1430=TRUE(),$R1430="TRUE"),1,0))</f>
        <v/>
      </c>
      <c r="AN1430">
        <f>IF($D1430="","",IF($AA1430="Yes",1,0))</f>
        <v/>
      </c>
      <c r="AO1430">
        <f>IF($AK1430=1,IFERROR(IF(VALUE($D1430)&lt;100000000,VALUE($D1430),1000000000),IFERROR(IF(VALUE(MID($D1430,2,20))&lt;100000000,VALUE(MID($D1430,2,20)),1000000000),1000000000))+ROW()/100000,"")</f>
        <v/>
      </c>
    </row>
    <row r="1431">
      <c r="F1431" s="11" t="n"/>
      <c r="N1431" s="7">
        <f>IF($D1431="","",M1431*X1431/100)</f>
        <v/>
      </c>
      <c r="O1431" s="7" t="n"/>
      <c r="U1431" s="7" t="n"/>
      <c r="V1431" s="7" t="n"/>
      <c r="W1431" s="7">
        <f>IF($D1431="","",V1431*AB1431/100)</f>
        <v/>
      </c>
      <c r="X1431" s="7">
        <f>IF($D1431="","",V1431-W1431)</f>
        <v/>
      </c>
      <c r="Y1431" s="7">
        <f>IF($D1431="","",X1431-N1431)</f>
        <v/>
      </c>
      <c r="AB1431">
        <f>IF($D1431="","",IF($AN1431=1,Settings!$C$8,IF($AM1431=1,Settings!$C$6,Settings!$C$7))*100)</f>
        <v/>
      </c>
      <c r="AF1431" s="7" t="n"/>
      <c r="AI1431" s="11" t="n"/>
      <c r="AK1431">
        <f>IF($D1431="","",IF(COUNTIF($D$2:$D1431,$D1431)=1,1,0))</f>
        <v/>
      </c>
      <c r="AL1431">
        <f>IF($AK1431=1,SUMPRODUCT(--($AO$2:$AO$1601&lt;$AO1431))+1,"")</f>
        <v/>
      </c>
      <c r="AM1431">
        <f>IF($D1431="","",IF(OR($R1431=TRUE(),$R1431="TRUE"),1,0))</f>
        <v/>
      </c>
      <c r="AN1431">
        <f>IF($D1431="","",IF($AA1431="Yes",1,0))</f>
        <v/>
      </c>
      <c r="AO1431">
        <f>IF($AK1431=1,IFERROR(IF(VALUE($D1431)&lt;100000000,VALUE($D1431),1000000000),IFERROR(IF(VALUE(MID($D1431,2,20))&lt;100000000,VALUE(MID($D1431,2,20)),1000000000),1000000000))+ROW()/100000,"")</f>
        <v/>
      </c>
    </row>
    <row r="1432">
      <c r="F1432" s="11" t="n"/>
      <c r="N1432" s="7">
        <f>IF($D1432="","",M1432*X1432/100)</f>
        <v/>
      </c>
      <c r="O1432" s="7" t="n"/>
      <c r="U1432" s="7" t="n"/>
      <c r="V1432" s="7" t="n"/>
      <c r="W1432" s="7">
        <f>IF($D1432="","",V1432*AB1432/100)</f>
        <v/>
      </c>
      <c r="X1432" s="7">
        <f>IF($D1432="","",V1432-W1432)</f>
        <v/>
      </c>
      <c r="Y1432" s="7">
        <f>IF($D1432="","",X1432-N1432)</f>
        <v/>
      </c>
      <c r="AB1432">
        <f>IF($D1432="","",IF($AN1432=1,Settings!$C$8,IF($AM1432=1,Settings!$C$6,Settings!$C$7))*100)</f>
        <v/>
      </c>
      <c r="AF1432" s="7" t="n"/>
      <c r="AI1432" s="11" t="n"/>
      <c r="AK1432">
        <f>IF($D1432="","",IF(COUNTIF($D$2:$D1432,$D1432)=1,1,0))</f>
        <v/>
      </c>
      <c r="AL1432">
        <f>IF($AK1432=1,SUMPRODUCT(--($AO$2:$AO$1601&lt;$AO1432))+1,"")</f>
        <v/>
      </c>
      <c r="AM1432">
        <f>IF($D1432="","",IF(OR($R1432=TRUE(),$R1432="TRUE"),1,0))</f>
        <v/>
      </c>
      <c r="AN1432">
        <f>IF($D1432="","",IF($AA1432="Yes",1,0))</f>
        <v/>
      </c>
      <c r="AO1432">
        <f>IF($AK1432=1,IFERROR(IF(VALUE($D1432)&lt;100000000,VALUE($D1432),1000000000),IFERROR(IF(VALUE(MID($D1432,2,20))&lt;100000000,VALUE(MID($D1432,2,20)),1000000000),1000000000))+ROW()/100000,"")</f>
        <v/>
      </c>
    </row>
    <row r="1433">
      <c r="F1433" s="11" t="n"/>
      <c r="N1433" s="7">
        <f>IF($D1433="","",M1433*X1433/100)</f>
        <v/>
      </c>
      <c r="O1433" s="7" t="n"/>
      <c r="U1433" s="7" t="n"/>
      <c r="V1433" s="7" t="n"/>
      <c r="W1433" s="7">
        <f>IF($D1433="","",V1433*AB1433/100)</f>
        <v/>
      </c>
      <c r="X1433" s="7">
        <f>IF($D1433="","",V1433-W1433)</f>
        <v/>
      </c>
      <c r="Y1433" s="7">
        <f>IF($D1433="","",X1433-N1433)</f>
        <v/>
      </c>
      <c r="AB1433">
        <f>IF($D1433="","",IF($AN1433=1,Settings!$C$8,IF($AM1433=1,Settings!$C$6,Settings!$C$7))*100)</f>
        <v/>
      </c>
      <c r="AF1433" s="7" t="n"/>
      <c r="AI1433" s="11" t="n"/>
      <c r="AK1433">
        <f>IF($D1433="","",IF(COUNTIF($D$2:$D1433,$D1433)=1,1,0))</f>
        <v/>
      </c>
      <c r="AL1433">
        <f>IF($AK1433=1,SUMPRODUCT(--($AO$2:$AO$1601&lt;$AO1433))+1,"")</f>
        <v/>
      </c>
      <c r="AM1433">
        <f>IF($D1433="","",IF(OR($R1433=TRUE(),$R1433="TRUE"),1,0))</f>
        <v/>
      </c>
      <c r="AN1433">
        <f>IF($D1433="","",IF($AA1433="Yes",1,0))</f>
        <v/>
      </c>
      <c r="AO1433">
        <f>IF($AK1433=1,IFERROR(IF(VALUE($D1433)&lt;100000000,VALUE($D1433),1000000000),IFERROR(IF(VALUE(MID($D1433,2,20))&lt;100000000,VALUE(MID($D1433,2,20)),1000000000),1000000000))+ROW()/100000,"")</f>
        <v/>
      </c>
    </row>
    <row r="1434">
      <c r="F1434" s="11" t="n"/>
      <c r="N1434" s="7">
        <f>IF($D1434="","",M1434*X1434/100)</f>
        <v/>
      </c>
      <c r="O1434" s="7" t="n"/>
      <c r="U1434" s="7" t="n"/>
      <c r="V1434" s="7" t="n"/>
      <c r="W1434" s="7">
        <f>IF($D1434="","",V1434*AB1434/100)</f>
        <v/>
      </c>
      <c r="X1434" s="7">
        <f>IF($D1434="","",V1434-W1434)</f>
        <v/>
      </c>
      <c r="Y1434" s="7">
        <f>IF($D1434="","",X1434-N1434)</f>
        <v/>
      </c>
      <c r="AB1434">
        <f>IF($D1434="","",IF($AN1434=1,Settings!$C$8,IF($AM1434=1,Settings!$C$6,Settings!$C$7))*100)</f>
        <v/>
      </c>
      <c r="AF1434" s="7" t="n"/>
      <c r="AI1434" s="11" t="n"/>
      <c r="AK1434">
        <f>IF($D1434="","",IF(COUNTIF($D$2:$D1434,$D1434)=1,1,0))</f>
        <v/>
      </c>
      <c r="AL1434">
        <f>IF($AK1434=1,SUMPRODUCT(--($AO$2:$AO$1601&lt;$AO1434))+1,"")</f>
        <v/>
      </c>
      <c r="AM1434">
        <f>IF($D1434="","",IF(OR($R1434=TRUE(),$R1434="TRUE"),1,0))</f>
        <v/>
      </c>
      <c r="AN1434">
        <f>IF($D1434="","",IF($AA1434="Yes",1,0))</f>
        <v/>
      </c>
      <c r="AO1434">
        <f>IF($AK1434=1,IFERROR(IF(VALUE($D1434)&lt;100000000,VALUE($D1434),1000000000),IFERROR(IF(VALUE(MID($D1434,2,20))&lt;100000000,VALUE(MID($D1434,2,20)),1000000000),1000000000))+ROW()/100000,"")</f>
        <v/>
      </c>
    </row>
    <row r="1435">
      <c r="F1435" s="11" t="n"/>
      <c r="N1435" s="7">
        <f>IF($D1435="","",M1435*X1435/100)</f>
        <v/>
      </c>
      <c r="O1435" s="7" t="n"/>
      <c r="U1435" s="7" t="n"/>
      <c r="V1435" s="7" t="n"/>
      <c r="W1435" s="7">
        <f>IF($D1435="","",V1435*AB1435/100)</f>
        <v/>
      </c>
      <c r="X1435" s="7">
        <f>IF($D1435="","",V1435-W1435)</f>
        <v/>
      </c>
      <c r="Y1435" s="7">
        <f>IF($D1435="","",X1435-N1435)</f>
        <v/>
      </c>
      <c r="AB1435">
        <f>IF($D1435="","",IF($AN1435=1,Settings!$C$8,IF($AM1435=1,Settings!$C$6,Settings!$C$7))*100)</f>
        <v/>
      </c>
      <c r="AF1435" s="7" t="n"/>
      <c r="AI1435" s="11" t="n"/>
      <c r="AK1435">
        <f>IF($D1435="","",IF(COUNTIF($D$2:$D1435,$D1435)=1,1,0))</f>
        <v/>
      </c>
      <c r="AL1435">
        <f>IF($AK1435=1,SUMPRODUCT(--($AO$2:$AO$1601&lt;$AO1435))+1,"")</f>
        <v/>
      </c>
      <c r="AM1435">
        <f>IF($D1435="","",IF(OR($R1435=TRUE(),$R1435="TRUE"),1,0))</f>
        <v/>
      </c>
      <c r="AN1435">
        <f>IF($D1435="","",IF($AA1435="Yes",1,0))</f>
        <v/>
      </c>
      <c r="AO1435">
        <f>IF($AK1435=1,IFERROR(IF(VALUE($D1435)&lt;100000000,VALUE($D1435),1000000000),IFERROR(IF(VALUE(MID($D1435,2,20))&lt;100000000,VALUE(MID($D1435,2,20)),1000000000),1000000000))+ROW()/100000,"")</f>
        <v/>
      </c>
    </row>
    <row r="1436">
      <c r="F1436" s="11" t="n"/>
      <c r="N1436" s="7">
        <f>IF($D1436="","",M1436*X1436/100)</f>
        <v/>
      </c>
      <c r="O1436" s="7" t="n"/>
      <c r="U1436" s="7" t="n"/>
      <c r="V1436" s="7" t="n"/>
      <c r="W1436" s="7">
        <f>IF($D1436="","",V1436*AB1436/100)</f>
        <v/>
      </c>
      <c r="X1436" s="7">
        <f>IF($D1436="","",V1436-W1436)</f>
        <v/>
      </c>
      <c r="Y1436" s="7">
        <f>IF($D1436="","",X1436-N1436)</f>
        <v/>
      </c>
      <c r="AB1436">
        <f>IF($D1436="","",IF($AN1436=1,Settings!$C$8,IF($AM1436=1,Settings!$C$6,Settings!$C$7))*100)</f>
        <v/>
      </c>
      <c r="AF1436" s="7" t="n"/>
      <c r="AI1436" s="11" t="n"/>
      <c r="AK1436">
        <f>IF($D1436="","",IF(COUNTIF($D$2:$D1436,$D1436)=1,1,0))</f>
        <v/>
      </c>
      <c r="AL1436">
        <f>IF($AK1436=1,SUMPRODUCT(--($AO$2:$AO$1601&lt;$AO1436))+1,"")</f>
        <v/>
      </c>
      <c r="AM1436">
        <f>IF($D1436="","",IF(OR($R1436=TRUE(),$R1436="TRUE"),1,0))</f>
        <v/>
      </c>
      <c r="AN1436">
        <f>IF($D1436="","",IF($AA1436="Yes",1,0))</f>
        <v/>
      </c>
      <c r="AO1436">
        <f>IF($AK1436=1,IFERROR(IF(VALUE($D1436)&lt;100000000,VALUE($D1436),1000000000),IFERROR(IF(VALUE(MID($D1436,2,20))&lt;100000000,VALUE(MID($D1436,2,20)),1000000000),1000000000))+ROW()/100000,"")</f>
        <v/>
      </c>
    </row>
    <row r="1437">
      <c r="F1437" s="11" t="n"/>
      <c r="N1437" s="7">
        <f>IF($D1437="","",M1437*X1437/100)</f>
        <v/>
      </c>
      <c r="O1437" s="7" t="n"/>
      <c r="U1437" s="7" t="n"/>
      <c r="V1437" s="7" t="n"/>
      <c r="W1437" s="7">
        <f>IF($D1437="","",V1437*AB1437/100)</f>
        <v/>
      </c>
      <c r="X1437" s="7">
        <f>IF($D1437="","",V1437-W1437)</f>
        <v/>
      </c>
      <c r="Y1437" s="7">
        <f>IF($D1437="","",X1437-N1437)</f>
        <v/>
      </c>
      <c r="AB1437">
        <f>IF($D1437="","",IF($AN1437=1,Settings!$C$8,IF($AM1437=1,Settings!$C$6,Settings!$C$7))*100)</f>
        <v/>
      </c>
      <c r="AF1437" s="7" t="n"/>
      <c r="AI1437" s="11" t="n"/>
      <c r="AK1437">
        <f>IF($D1437="","",IF(COUNTIF($D$2:$D1437,$D1437)=1,1,0))</f>
        <v/>
      </c>
      <c r="AL1437">
        <f>IF($AK1437=1,SUMPRODUCT(--($AO$2:$AO$1601&lt;$AO1437))+1,"")</f>
        <v/>
      </c>
      <c r="AM1437">
        <f>IF($D1437="","",IF(OR($R1437=TRUE(),$R1437="TRUE"),1,0))</f>
        <v/>
      </c>
      <c r="AN1437">
        <f>IF($D1437="","",IF($AA1437="Yes",1,0))</f>
        <v/>
      </c>
      <c r="AO1437">
        <f>IF($AK1437=1,IFERROR(IF(VALUE($D1437)&lt;100000000,VALUE($D1437),1000000000),IFERROR(IF(VALUE(MID($D1437,2,20))&lt;100000000,VALUE(MID($D1437,2,20)),1000000000),1000000000))+ROW()/100000,"")</f>
        <v/>
      </c>
    </row>
    <row r="1438">
      <c r="F1438" s="11" t="n"/>
      <c r="N1438" s="7">
        <f>IF($D1438="","",M1438*X1438/100)</f>
        <v/>
      </c>
      <c r="O1438" s="7" t="n"/>
      <c r="U1438" s="7" t="n"/>
      <c r="V1438" s="7" t="n"/>
      <c r="W1438" s="7">
        <f>IF($D1438="","",V1438*AB1438/100)</f>
        <v/>
      </c>
      <c r="X1438" s="7">
        <f>IF($D1438="","",V1438-W1438)</f>
        <v/>
      </c>
      <c r="Y1438" s="7">
        <f>IF($D1438="","",X1438-N1438)</f>
        <v/>
      </c>
      <c r="AB1438">
        <f>IF($D1438="","",IF($AN1438=1,Settings!$C$8,IF($AM1438=1,Settings!$C$6,Settings!$C$7))*100)</f>
        <v/>
      </c>
      <c r="AF1438" s="7" t="n"/>
      <c r="AI1438" s="11" t="n"/>
      <c r="AK1438">
        <f>IF($D1438="","",IF(COUNTIF($D$2:$D1438,$D1438)=1,1,0))</f>
        <v/>
      </c>
      <c r="AL1438">
        <f>IF($AK1438=1,SUMPRODUCT(--($AO$2:$AO$1601&lt;$AO1438))+1,"")</f>
        <v/>
      </c>
      <c r="AM1438">
        <f>IF($D1438="","",IF(OR($R1438=TRUE(),$R1438="TRUE"),1,0))</f>
        <v/>
      </c>
      <c r="AN1438">
        <f>IF($D1438="","",IF($AA1438="Yes",1,0))</f>
        <v/>
      </c>
      <c r="AO1438">
        <f>IF($AK1438=1,IFERROR(IF(VALUE($D1438)&lt;100000000,VALUE($D1438),1000000000),IFERROR(IF(VALUE(MID($D1438,2,20))&lt;100000000,VALUE(MID($D1438,2,20)),1000000000),1000000000))+ROW()/100000,"")</f>
        <v/>
      </c>
    </row>
    <row r="1439">
      <c r="F1439" s="11" t="n"/>
      <c r="N1439" s="7">
        <f>IF($D1439="","",M1439*X1439/100)</f>
        <v/>
      </c>
      <c r="O1439" s="7" t="n"/>
      <c r="U1439" s="7" t="n"/>
      <c r="V1439" s="7" t="n"/>
      <c r="W1439" s="7">
        <f>IF($D1439="","",V1439*AB1439/100)</f>
        <v/>
      </c>
      <c r="X1439" s="7">
        <f>IF($D1439="","",V1439-W1439)</f>
        <v/>
      </c>
      <c r="Y1439" s="7">
        <f>IF($D1439="","",X1439-N1439)</f>
        <v/>
      </c>
      <c r="AB1439">
        <f>IF($D1439="","",IF($AN1439=1,Settings!$C$8,IF($AM1439=1,Settings!$C$6,Settings!$C$7))*100)</f>
        <v/>
      </c>
      <c r="AF1439" s="7" t="n"/>
      <c r="AI1439" s="11" t="n"/>
      <c r="AK1439">
        <f>IF($D1439="","",IF(COUNTIF($D$2:$D1439,$D1439)=1,1,0))</f>
        <v/>
      </c>
      <c r="AL1439">
        <f>IF($AK1439=1,SUMPRODUCT(--($AO$2:$AO$1601&lt;$AO1439))+1,"")</f>
        <v/>
      </c>
      <c r="AM1439">
        <f>IF($D1439="","",IF(OR($R1439=TRUE(),$R1439="TRUE"),1,0))</f>
        <v/>
      </c>
      <c r="AN1439">
        <f>IF($D1439="","",IF($AA1439="Yes",1,0))</f>
        <v/>
      </c>
      <c r="AO1439">
        <f>IF($AK1439=1,IFERROR(IF(VALUE($D1439)&lt;100000000,VALUE($D1439),1000000000),IFERROR(IF(VALUE(MID($D1439,2,20))&lt;100000000,VALUE(MID($D1439,2,20)),1000000000),1000000000))+ROW()/100000,"")</f>
        <v/>
      </c>
    </row>
    <row r="1440">
      <c r="F1440" s="11" t="n"/>
      <c r="N1440" s="7">
        <f>IF($D1440="","",M1440*X1440/100)</f>
        <v/>
      </c>
      <c r="O1440" s="7" t="n"/>
      <c r="U1440" s="7" t="n"/>
      <c r="V1440" s="7" t="n"/>
      <c r="W1440" s="7">
        <f>IF($D1440="","",V1440*AB1440/100)</f>
        <v/>
      </c>
      <c r="X1440" s="7">
        <f>IF($D1440="","",V1440-W1440)</f>
        <v/>
      </c>
      <c r="Y1440" s="7">
        <f>IF($D1440="","",X1440-N1440)</f>
        <v/>
      </c>
      <c r="AB1440">
        <f>IF($D1440="","",IF($AN1440=1,Settings!$C$8,IF($AM1440=1,Settings!$C$6,Settings!$C$7))*100)</f>
        <v/>
      </c>
      <c r="AF1440" s="7" t="n"/>
      <c r="AI1440" s="11" t="n"/>
      <c r="AK1440">
        <f>IF($D1440="","",IF(COUNTIF($D$2:$D1440,$D1440)=1,1,0))</f>
        <v/>
      </c>
      <c r="AL1440">
        <f>IF($AK1440=1,SUMPRODUCT(--($AO$2:$AO$1601&lt;$AO1440))+1,"")</f>
        <v/>
      </c>
      <c r="AM1440">
        <f>IF($D1440="","",IF(OR($R1440=TRUE(),$R1440="TRUE"),1,0))</f>
        <v/>
      </c>
      <c r="AN1440">
        <f>IF($D1440="","",IF($AA1440="Yes",1,0))</f>
        <v/>
      </c>
      <c r="AO1440">
        <f>IF($AK1440=1,IFERROR(IF(VALUE($D1440)&lt;100000000,VALUE($D1440),1000000000),IFERROR(IF(VALUE(MID($D1440,2,20))&lt;100000000,VALUE(MID($D1440,2,20)),1000000000),1000000000))+ROW()/100000,"")</f>
        <v/>
      </c>
    </row>
    <row r="1441">
      <c r="F1441" s="11" t="n"/>
      <c r="N1441" s="7">
        <f>IF($D1441="","",M1441*X1441/100)</f>
        <v/>
      </c>
      <c r="O1441" s="7" t="n"/>
      <c r="U1441" s="7" t="n"/>
      <c r="V1441" s="7" t="n"/>
      <c r="W1441" s="7">
        <f>IF($D1441="","",V1441*AB1441/100)</f>
        <v/>
      </c>
      <c r="X1441" s="7">
        <f>IF($D1441="","",V1441-W1441)</f>
        <v/>
      </c>
      <c r="Y1441" s="7">
        <f>IF($D1441="","",X1441-N1441)</f>
        <v/>
      </c>
      <c r="AB1441">
        <f>IF($D1441="","",IF($AN1441=1,Settings!$C$8,IF($AM1441=1,Settings!$C$6,Settings!$C$7))*100)</f>
        <v/>
      </c>
      <c r="AF1441" s="7" t="n"/>
      <c r="AI1441" s="11" t="n"/>
      <c r="AK1441">
        <f>IF($D1441="","",IF(COUNTIF($D$2:$D1441,$D1441)=1,1,0))</f>
        <v/>
      </c>
      <c r="AL1441">
        <f>IF($AK1441=1,SUMPRODUCT(--($AO$2:$AO$1601&lt;$AO1441))+1,"")</f>
        <v/>
      </c>
      <c r="AM1441">
        <f>IF($D1441="","",IF(OR($R1441=TRUE(),$R1441="TRUE"),1,0))</f>
        <v/>
      </c>
      <c r="AN1441">
        <f>IF($D1441="","",IF($AA1441="Yes",1,0))</f>
        <v/>
      </c>
      <c r="AO1441">
        <f>IF($AK1441=1,IFERROR(IF(VALUE($D1441)&lt;100000000,VALUE($D1441),1000000000),IFERROR(IF(VALUE(MID($D1441,2,20))&lt;100000000,VALUE(MID($D1441,2,20)),1000000000),1000000000))+ROW()/100000,"")</f>
        <v/>
      </c>
    </row>
    <row r="1442">
      <c r="F1442" s="11" t="n"/>
      <c r="N1442" s="7">
        <f>IF($D1442="","",M1442*X1442/100)</f>
        <v/>
      </c>
      <c r="O1442" s="7" t="n"/>
      <c r="U1442" s="7" t="n"/>
      <c r="V1442" s="7" t="n"/>
      <c r="W1442" s="7">
        <f>IF($D1442="","",V1442*AB1442/100)</f>
        <v/>
      </c>
      <c r="X1442" s="7">
        <f>IF($D1442="","",V1442-W1442)</f>
        <v/>
      </c>
      <c r="Y1442" s="7">
        <f>IF($D1442="","",X1442-N1442)</f>
        <v/>
      </c>
      <c r="AB1442">
        <f>IF($D1442="","",IF($AN1442=1,Settings!$C$8,IF($AM1442=1,Settings!$C$6,Settings!$C$7))*100)</f>
        <v/>
      </c>
      <c r="AF1442" s="7" t="n"/>
      <c r="AI1442" s="11" t="n"/>
      <c r="AK1442">
        <f>IF($D1442="","",IF(COUNTIF($D$2:$D1442,$D1442)=1,1,0))</f>
        <v/>
      </c>
      <c r="AL1442">
        <f>IF($AK1442=1,SUMPRODUCT(--($AO$2:$AO$1601&lt;$AO1442))+1,"")</f>
        <v/>
      </c>
      <c r="AM1442">
        <f>IF($D1442="","",IF(OR($R1442=TRUE(),$R1442="TRUE"),1,0))</f>
        <v/>
      </c>
      <c r="AN1442">
        <f>IF($D1442="","",IF($AA1442="Yes",1,0))</f>
        <v/>
      </c>
      <c r="AO1442">
        <f>IF($AK1442=1,IFERROR(IF(VALUE($D1442)&lt;100000000,VALUE($D1442),1000000000),IFERROR(IF(VALUE(MID($D1442,2,20))&lt;100000000,VALUE(MID($D1442,2,20)),1000000000),1000000000))+ROW()/100000,"")</f>
        <v/>
      </c>
    </row>
    <row r="1443">
      <c r="F1443" s="11" t="n"/>
      <c r="N1443" s="7">
        <f>IF($D1443="","",M1443*X1443/100)</f>
        <v/>
      </c>
      <c r="O1443" s="7" t="n"/>
      <c r="U1443" s="7" t="n"/>
      <c r="V1443" s="7" t="n"/>
      <c r="W1443" s="7">
        <f>IF($D1443="","",V1443*AB1443/100)</f>
        <v/>
      </c>
      <c r="X1443" s="7">
        <f>IF($D1443="","",V1443-W1443)</f>
        <v/>
      </c>
      <c r="Y1443" s="7">
        <f>IF($D1443="","",X1443-N1443)</f>
        <v/>
      </c>
      <c r="AB1443">
        <f>IF($D1443="","",IF($AN1443=1,Settings!$C$8,IF($AM1443=1,Settings!$C$6,Settings!$C$7))*100)</f>
        <v/>
      </c>
      <c r="AF1443" s="7" t="n"/>
      <c r="AI1443" s="11" t="n"/>
      <c r="AK1443">
        <f>IF($D1443="","",IF(COUNTIF($D$2:$D1443,$D1443)=1,1,0))</f>
        <v/>
      </c>
      <c r="AL1443">
        <f>IF($AK1443=1,SUMPRODUCT(--($AO$2:$AO$1601&lt;$AO1443))+1,"")</f>
        <v/>
      </c>
      <c r="AM1443">
        <f>IF($D1443="","",IF(OR($R1443=TRUE(),$R1443="TRUE"),1,0))</f>
        <v/>
      </c>
      <c r="AN1443">
        <f>IF($D1443="","",IF($AA1443="Yes",1,0))</f>
        <v/>
      </c>
      <c r="AO1443">
        <f>IF($AK1443=1,IFERROR(IF(VALUE($D1443)&lt;100000000,VALUE($D1443),1000000000),IFERROR(IF(VALUE(MID($D1443,2,20))&lt;100000000,VALUE(MID($D1443,2,20)),1000000000),1000000000))+ROW()/100000,"")</f>
        <v/>
      </c>
    </row>
    <row r="1444">
      <c r="F1444" s="11" t="n"/>
      <c r="N1444" s="7">
        <f>IF($D1444="","",M1444*X1444/100)</f>
        <v/>
      </c>
      <c r="O1444" s="7" t="n"/>
      <c r="U1444" s="7" t="n"/>
      <c r="V1444" s="7" t="n"/>
      <c r="W1444" s="7">
        <f>IF($D1444="","",V1444*AB1444/100)</f>
        <v/>
      </c>
      <c r="X1444" s="7">
        <f>IF($D1444="","",V1444-W1444)</f>
        <v/>
      </c>
      <c r="Y1444" s="7">
        <f>IF($D1444="","",X1444-N1444)</f>
        <v/>
      </c>
      <c r="AB1444">
        <f>IF($D1444="","",IF($AN1444=1,Settings!$C$8,IF($AM1444=1,Settings!$C$6,Settings!$C$7))*100)</f>
        <v/>
      </c>
      <c r="AF1444" s="7" t="n"/>
      <c r="AI1444" s="11" t="n"/>
      <c r="AK1444">
        <f>IF($D1444="","",IF(COUNTIF($D$2:$D1444,$D1444)=1,1,0))</f>
        <v/>
      </c>
      <c r="AL1444">
        <f>IF($AK1444=1,SUMPRODUCT(--($AO$2:$AO$1601&lt;$AO1444))+1,"")</f>
        <v/>
      </c>
      <c r="AM1444">
        <f>IF($D1444="","",IF(OR($R1444=TRUE(),$R1444="TRUE"),1,0))</f>
        <v/>
      </c>
      <c r="AN1444">
        <f>IF($D1444="","",IF($AA1444="Yes",1,0))</f>
        <v/>
      </c>
      <c r="AO1444">
        <f>IF($AK1444=1,IFERROR(IF(VALUE($D1444)&lt;100000000,VALUE($D1444),1000000000),IFERROR(IF(VALUE(MID($D1444,2,20))&lt;100000000,VALUE(MID($D1444,2,20)),1000000000),1000000000))+ROW()/100000,"")</f>
        <v/>
      </c>
    </row>
    <row r="1445">
      <c r="F1445" s="11" t="n"/>
      <c r="N1445" s="7">
        <f>IF($D1445="","",M1445*X1445/100)</f>
        <v/>
      </c>
      <c r="O1445" s="7" t="n"/>
      <c r="U1445" s="7" t="n"/>
      <c r="V1445" s="7" t="n"/>
      <c r="W1445" s="7">
        <f>IF($D1445="","",V1445*AB1445/100)</f>
        <v/>
      </c>
      <c r="X1445" s="7">
        <f>IF($D1445="","",V1445-W1445)</f>
        <v/>
      </c>
      <c r="Y1445" s="7">
        <f>IF($D1445="","",X1445-N1445)</f>
        <v/>
      </c>
      <c r="AB1445">
        <f>IF($D1445="","",IF($AN1445=1,Settings!$C$8,IF($AM1445=1,Settings!$C$6,Settings!$C$7))*100)</f>
        <v/>
      </c>
      <c r="AF1445" s="7" t="n"/>
      <c r="AI1445" s="11" t="n"/>
      <c r="AK1445">
        <f>IF($D1445="","",IF(COUNTIF($D$2:$D1445,$D1445)=1,1,0))</f>
        <v/>
      </c>
      <c r="AL1445">
        <f>IF($AK1445=1,SUMPRODUCT(--($AO$2:$AO$1601&lt;$AO1445))+1,"")</f>
        <v/>
      </c>
      <c r="AM1445">
        <f>IF($D1445="","",IF(OR($R1445=TRUE(),$R1445="TRUE"),1,0))</f>
        <v/>
      </c>
      <c r="AN1445">
        <f>IF($D1445="","",IF($AA1445="Yes",1,0))</f>
        <v/>
      </c>
      <c r="AO1445">
        <f>IF($AK1445=1,IFERROR(IF(VALUE($D1445)&lt;100000000,VALUE($D1445),1000000000),IFERROR(IF(VALUE(MID($D1445,2,20))&lt;100000000,VALUE(MID($D1445,2,20)),1000000000),1000000000))+ROW()/100000,"")</f>
        <v/>
      </c>
    </row>
    <row r="1446">
      <c r="F1446" s="11" t="n"/>
      <c r="N1446" s="7">
        <f>IF($D1446="","",M1446*X1446/100)</f>
        <v/>
      </c>
      <c r="O1446" s="7" t="n"/>
      <c r="U1446" s="7" t="n"/>
      <c r="V1446" s="7" t="n"/>
      <c r="W1446" s="7">
        <f>IF($D1446="","",V1446*AB1446/100)</f>
        <v/>
      </c>
      <c r="X1446" s="7">
        <f>IF($D1446="","",V1446-W1446)</f>
        <v/>
      </c>
      <c r="Y1446" s="7">
        <f>IF($D1446="","",X1446-N1446)</f>
        <v/>
      </c>
      <c r="AB1446">
        <f>IF($D1446="","",IF($AN1446=1,Settings!$C$8,IF($AM1446=1,Settings!$C$6,Settings!$C$7))*100)</f>
        <v/>
      </c>
      <c r="AF1446" s="7" t="n"/>
      <c r="AI1446" s="11" t="n"/>
      <c r="AK1446">
        <f>IF($D1446="","",IF(COUNTIF($D$2:$D1446,$D1446)=1,1,0))</f>
        <v/>
      </c>
      <c r="AL1446">
        <f>IF($AK1446=1,SUMPRODUCT(--($AO$2:$AO$1601&lt;$AO1446))+1,"")</f>
        <v/>
      </c>
      <c r="AM1446">
        <f>IF($D1446="","",IF(OR($R1446=TRUE(),$R1446="TRUE"),1,0))</f>
        <v/>
      </c>
      <c r="AN1446">
        <f>IF($D1446="","",IF($AA1446="Yes",1,0))</f>
        <v/>
      </c>
      <c r="AO1446">
        <f>IF($AK1446=1,IFERROR(IF(VALUE($D1446)&lt;100000000,VALUE($D1446),1000000000),IFERROR(IF(VALUE(MID($D1446,2,20))&lt;100000000,VALUE(MID($D1446,2,20)),1000000000),1000000000))+ROW()/100000,"")</f>
        <v/>
      </c>
    </row>
    <row r="1447">
      <c r="F1447" s="11" t="n"/>
      <c r="N1447" s="7">
        <f>IF($D1447="","",M1447*X1447/100)</f>
        <v/>
      </c>
      <c r="O1447" s="7" t="n"/>
      <c r="U1447" s="7" t="n"/>
      <c r="V1447" s="7" t="n"/>
      <c r="W1447" s="7">
        <f>IF($D1447="","",V1447*AB1447/100)</f>
        <v/>
      </c>
      <c r="X1447" s="7">
        <f>IF($D1447="","",V1447-W1447)</f>
        <v/>
      </c>
      <c r="Y1447" s="7">
        <f>IF($D1447="","",X1447-N1447)</f>
        <v/>
      </c>
      <c r="AB1447">
        <f>IF($D1447="","",IF($AN1447=1,Settings!$C$8,IF($AM1447=1,Settings!$C$6,Settings!$C$7))*100)</f>
        <v/>
      </c>
      <c r="AF1447" s="7" t="n"/>
      <c r="AI1447" s="11" t="n"/>
      <c r="AK1447">
        <f>IF($D1447="","",IF(COUNTIF($D$2:$D1447,$D1447)=1,1,0))</f>
        <v/>
      </c>
      <c r="AL1447">
        <f>IF($AK1447=1,SUMPRODUCT(--($AO$2:$AO$1601&lt;$AO1447))+1,"")</f>
        <v/>
      </c>
      <c r="AM1447">
        <f>IF($D1447="","",IF(OR($R1447=TRUE(),$R1447="TRUE"),1,0))</f>
        <v/>
      </c>
      <c r="AN1447">
        <f>IF($D1447="","",IF($AA1447="Yes",1,0))</f>
        <v/>
      </c>
      <c r="AO1447">
        <f>IF($AK1447=1,IFERROR(IF(VALUE($D1447)&lt;100000000,VALUE($D1447),1000000000),IFERROR(IF(VALUE(MID($D1447,2,20))&lt;100000000,VALUE(MID($D1447,2,20)),1000000000),1000000000))+ROW()/100000,"")</f>
        <v/>
      </c>
    </row>
    <row r="1448">
      <c r="F1448" s="11" t="n"/>
      <c r="N1448" s="7">
        <f>IF($D1448="","",M1448*X1448/100)</f>
        <v/>
      </c>
      <c r="O1448" s="7" t="n"/>
      <c r="U1448" s="7" t="n"/>
      <c r="V1448" s="7" t="n"/>
      <c r="W1448" s="7">
        <f>IF($D1448="","",V1448*AB1448/100)</f>
        <v/>
      </c>
      <c r="X1448" s="7">
        <f>IF($D1448="","",V1448-W1448)</f>
        <v/>
      </c>
      <c r="Y1448" s="7">
        <f>IF($D1448="","",X1448-N1448)</f>
        <v/>
      </c>
      <c r="AB1448">
        <f>IF($D1448="","",IF($AN1448=1,Settings!$C$8,IF($AM1448=1,Settings!$C$6,Settings!$C$7))*100)</f>
        <v/>
      </c>
      <c r="AF1448" s="7" t="n"/>
      <c r="AI1448" s="11" t="n"/>
      <c r="AK1448">
        <f>IF($D1448="","",IF(COUNTIF($D$2:$D1448,$D1448)=1,1,0))</f>
        <v/>
      </c>
      <c r="AL1448">
        <f>IF($AK1448=1,SUMPRODUCT(--($AO$2:$AO$1601&lt;$AO1448))+1,"")</f>
        <v/>
      </c>
      <c r="AM1448">
        <f>IF($D1448="","",IF(OR($R1448=TRUE(),$R1448="TRUE"),1,0))</f>
        <v/>
      </c>
      <c r="AN1448">
        <f>IF($D1448="","",IF($AA1448="Yes",1,0))</f>
        <v/>
      </c>
      <c r="AO1448">
        <f>IF($AK1448=1,IFERROR(IF(VALUE($D1448)&lt;100000000,VALUE($D1448),1000000000),IFERROR(IF(VALUE(MID($D1448,2,20))&lt;100000000,VALUE(MID($D1448,2,20)),1000000000),1000000000))+ROW()/100000,"")</f>
        <v/>
      </c>
    </row>
    <row r="1449">
      <c r="F1449" s="11" t="n"/>
      <c r="N1449" s="7">
        <f>IF($D1449="","",M1449*X1449/100)</f>
        <v/>
      </c>
      <c r="O1449" s="7" t="n"/>
      <c r="U1449" s="7" t="n"/>
      <c r="V1449" s="7" t="n"/>
      <c r="W1449" s="7">
        <f>IF($D1449="","",V1449*AB1449/100)</f>
        <v/>
      </c>
      <c r="X1449" s="7">
        <f>IF($D1449="","",V1449-W1449)</f>
        <v/>
      </c>
      <c r="Y1449" s="7">
        <f>IF($D1449="","",X1449-N1449)</f>
        <v/>
      </c>
      <c r="AB1449">
        <f>IF($D1449="","",IF($AN1449=1,Settings!$C$8,IF($AM1449=1,Settings!$C$6,Settings!$C$7))*100)</f>
        <v/>
      </c>
      <c r="AF1449" s="7" t="n"/>
      <c r="AI1449" s="11" t="n"/>
      <c r="AK1449">
        <f>IF($D1449="","",IF(COUNTIF($D$2:$D1449,$D1449)=1,1,0))</f>
        <v/>
      </c>
      <c r="AL1449">
        <f>IF($AK1449=1,SUMPRODUCT(--($AO$2:$AO$1601&lt;$AO1449))+1,"")</f>
        <v/>
      </c>
      <c r="AM1449">
        <f>IF($D1449="","",IF(OR($R1449=TRUE(),$R1449="TRUE"),1,0))</f>
        <v/>
      </c>
      <c r="AN1449">
        <f>IF($D1449="","",IF($AA1449="Yes",1,0))</f>
        <v/>
      </c>
      <c r="AO1449">
        <f>IF($AK1449=1,IFERROR(IF(VALUE($D1449)&lt;100000000,VALUE($D1449),1000000000),IFERROR(IF(VALUE(MID($D1449,2,20))&lt;100000000,VALUE(MID($D1449,2,20)),1000000000),1000000000))+ROW()/100000,"")</f>
        <v/>
      </c>
    </row>
    <row r="1450">
      <c r="F1450" s="11" t="n"/>
      <c r="N1450" s="7">
        <f>IF($D1450="","",M1450*X1450/100)</f>
        <v/>
      </c>
      <c r="O1450" s="7" t="n"/>
      <c r="U1450" s="7" t="n"/>
      <c r="V1450" s="7" t="n"/>
      <c r="W1450" s="7">
        <f>IF($D1450="","",V1450*AB1450/100)</f>
        <v/>
      </c>
      <c r="X1450" s="7">
        <f>IF($D1450="","",V1450-W1450)</f>
        <v/>
      </c>
      <c r="Y1450" s="7">
        <f>IF($D1450="","",X1450-N1450)</f>
        <v/>
      </c>
      <c r="AB1450">
        <f>IF($D1450="","",IF($AN1450=1,Settings!$C$8,IF($AM1450=1,Settings!$C$6,Settings!$C$7))*100)</f>
        <v/>
      </c>
      <c r="AF1450" s="7" t="n"/>
      <c r="AI1450" s="11" t="n"/>
      <c r="AK1450">
        <f>IF($D1450="","",IF(COUNTIF($D$2:$D1450,$D1450)=1,1,0))</f>
        <v/>
      </c>
      <c r="AL1450">
        <f>IF($AK1450=1,SUMPRODUCT(--($AO$2:$AO$1601&lt;$AO1450))+1,"")</f>
        <v/>
      </c>
      <c r="AM1450">
        <f>IF($D1450="","",IF(OR($R1450=TRUE(),$R1450="TRUE"),1,0))</f>
        <v/>
      </c>
      <c r="AN1450">
        <f>IF($D1450="","",IF($AA1450="Yes",1,0))</f>
        <v/>
      </c>
      <c r="AO1450">
        <f>IF($AK1450=1,IFERROR(IF(VALUE($D1450)&lt;100000000,VALUE($D1450),1000000000),IFERROR(IF(VALUE(MID($D1450,2,20))&lt;100000000,VALUE(MID($D1450,2,20)),1000000000),1000000000))+ROW()/100000,"")</f>
        <v/>
      </c>
    </row>
    <row r="1451">
      <c r="F1451" s="11" t="n"/>
      <c r="N1451" s="7">
        <f>IF($D1451="","",M1451*X1451/100)</f>
        <v/>
      </c>
      <c r="O1451" s="7" t="n"/>
      <c r="U1451" s="7" t="n"/>
      <c r="V1451" s="7" t="n"/>
      <c r="W1451" s="7">
        <f>IF($D1451="","",V1451*AB1451/100)</f>
        <v/>
      </c>
      <c r="X1451" s="7">
        <f>IF($D1451="","",V1451-W1451)</f>
        <v/>
      </c>
      <c r="Y1451" s="7">
        <f>IF($D1451="","",X1451-N1451)</f>
        <v/>
      </c>
      <c r="AB1451">
        <f>IF($D1451="","",IF($AN1451=1,Settings!$C$8,IF($AM1451=1,Settings!$C$6,Settings!$C$7))*100)</f>
        <v/>
      </c>
      <c r="AF1451" s="7" t="n"/>
      <c r="AI1451" s="11" t="n"/>
      <c r="AK1451">
        <f>IF($D1451="","",IF(COUNTIF($D$2:$D1451,$D1451)=1,1,0))</f>
        <v/>
      </c>
      <c r="AL1451">
        <f>IF($AK1451=1,SUMPRODUCT(--($AO$2:$AO$1601&lt;$AO1451))+1,"")</f>
        <v/>
      </c>
      <c r="AM1451">
        <f>IF($D1451="","",IF(OR($R1451=TRUE(),$R1451="TRUE"),1,0))</f>
        <v/>
      </c>
      <c r="AN1451">
        <f>IF($D1451="","",IF($AA1451="Yes",1,0))</f>
        <v/>
      </c>
      <c r="AO1451">
        <f>IF($AK1451=1,IFERROR(IF(VALUE($D1451)&lt;100000000,VALUE($D1451),1000000000),IFERROR(IF(VALUE(MID($D1451,2,20))&lt;100000000,VALUE(MID($D1451,2,20)),1000000000),1000000000))+ROW()/100000,"")</f>
        <v/>
      </c>
    </row>
    <row r="1452">
      <c r="F1452" s="11" t="n"/>
      <c r="N1452" s="7">
        <f>IF($D1452="","",M1452*X1452/100)</f>
        <v/>
      </c>
      <c r="O1452" s="7" t="n"/>
      <c r="U1452" s="7" t="n"/>
      <c r="V1452" s="7" t="n"/>
      <c r="W1452" s="7">
        <f>IF($D1452="","",V1452*AB1452/100)</f>
        <v/>
      </c>
      <c r="X1452" s="7">
        <f>IF($D1452="","",V1452-W1452)</f>
        <v/>
      </c>
      <c r="Y1452" s="7">
        <f>IF($D1452="","",X1452-N1452)</f>
        <v/>
      </c>
      <c r="AB1452">
        <f>IF($D1452="","",IF($AN1452=1,Settings!$C$8,IF($AM1452=1,Settings!$C$6,Settings!$C$7))*100)</f>
        <v/>
      </c>
      <c r="AF1452" s="7" t="n"/>
      <c r="AI1452" s="11" t="n"/>
      <c r="AK1452">
        <f>IF($D1452="","",IF(COUNTIF($D$2:$D1452,$D1452)=1,1,0))</f>
        <v/>
      </c>
      <c r="AL1452">
        <f>IF($AK1452=1,SUMPRODUCT(--($AO$2:$AO$1601&lt;$AO1452))+1,"")</f>
        <v/>
      </c>
      <c r="AM1452">
        <f>IF($D1452="","",IF(OR($R1452=TRUE(),$R1452="TRUE"),1,0))</f>
        <v/>
      </c>
      <c r="AN1452">
        <f>IF($D1452="","",IF($AA1452="Yes",1,0))</f>
        <v/>
      </c>
      <c r="AO1452">
        <f>IF($AK1452=1,IFERROR(IF(VALUE($D1452)&lt;100000000,VALUE($D1452),1000000000),IFERROR(IF(VALUE(MID($D1452,2,20))&lt;100000000,VALUE(MID($D1452,2,20)),1000000000),1000000000))+ROW()/100000,"")</f>
        <v/>
      </c>
    </row>
    <row r="1453">
      <c r="F1453" s="11" t="n"/>
      <c r="N1453" s="7">
        <f>IF($D1453="","",M1453*X1453/100)</f>
        <v/>
      </c>
      <c r="O1453" s="7" t="n"/>
      <c r="U1453" s="7" t="n"/>
      <c r="V1453" s="7" t="n"/>
      <c r="W1453" s="7">
        <f>IF($D1453="","",V1453*AB1453/100)</f>
        <v/>
      </c>
      <c r="X1453" s="7">
        <f>IF($D1453="","",V1453-W1453)</f>
        <v/>
      </c>
      <c r="Y1453" s="7">
        <f>IF($D1453="","",X1453-N1453)</f>
        <v/>
      </c>
      <c r="AB1453">
        <f>IF($D1453="","",IF($AN1453=1,Settings!$C$8,IF($AM1453=1,Settings!$C$6,Settings!$C$7))*100)</f>
        <v/>
      </c>
      <c r="AF1453" s="7" t="n"/>
      <c r="AI1453" s="11" t="n"/>
      <c r="AK1453">
        <f>IF($D1453="","",IF(COUNTIF($D$2:$D1453,$D1453)=1,1,0))</f>
        <v/>
      </c>
      <c r="AL1453">
        <f>IF($AK1453=1,SUMPRODUCT(--($AO$2:$AO$1601&lt;$AO1453))+1,"")</f>
        <v/>
      </c>
      <c r="AM1453">
        <f>IF($D1453="","",IF(OR($R1453=TRUE(),$R1453="TRUE"),1,0))</f>
        <v/>
      </c>
      <c r="AN1453">
        <f>IF($D1453="","",IF($AA1453="Yes",1,0))</f>
        <v/>
      </c>
      <c r="AO1453">
        <f>IF($AK1453=1,IFERROR(IF(VALUE($D1453)&lt;100000000,VALUE($D1453),1000000000),IFERROR(IF(VALUE(MID($D1453,2,20))&lt;100000000,VALUE(MID($D1453,2,20)),1000000000),1000000000))+ROW()/100000,"")</f>
        <v/>
      </c>
    </row>
    <row r="1454">
      <c r="F1454" s="11" t="n"/>
      <c r="N1454" s="7">
        <f>IF($D1454="","",M1454*X1454/100)</f>
        <v/>
      </c>
      <c r="O1454" s="7" t="n"/>
      <c r="U1454" s="7" t="n"/>
      <c r="V1454" s="7" t="n"/>
      <c r="W1454" s="7">
        <f>IF($D1454="","",V1454*AB1454/100)</f>
        <v/>
      </c>
      <c r="X1454" s="7">
        <f>IF($D1454="","",V1454-W1454)</f>
        <v/>
      </c>
      <c r="Y1454" s="7">
        <f>IF($D1454="","",X1454-N1454)</f>
        <v/>
      </c>
      <c r="AB1454">
        <f>IF($D1454="","",IF($AN1454=1,Settings!$C$8,IF($AM1454=1,Settings!$C$6,Settings!$C$7))*100)</f>
        <v/>
      </c>
      <c r="AF1454" s="7" t="n"/>
      <c r="AI1454" s="11" t="n"/>
      <c r="AK1454">
        <f>IF($D1454="","",IF(COUNTIF($D$2:$D1454,$D1454)=1,1,0))</f>
        <v/>
      </c>
      <c r="AL1454">
        <f>IF($AK1454=1,SUMPRODUCT(--($AO$2:$AO$1601&lt;$AO1454))+1,"")</f>
        <v/>
      </c>
      <c r="AM1454">
        <f>IF($D1454="","",IF(OR($R1454=TRUE(),$R1454="TRUE"),1,0))</f>
        <v/>
      </c>
      <c r="AN1454">
        <f>IF($D1454="","",IF($AA1454="Yes",1,0))</f>
        <v/>
      </c>
      <c r="AO1454">
        <f>IF($AK1454=1,IFERROR(IF(VALUE($D1454)&lt;100000000,VALUE($D1454),1000000000),IFERROR(IF(VALUE(MID($D1454,2,20))&lt;100000000,VALUE(MID($D1454,2,20)),1000000000),1000000000))+ROW()/100000,"")</f>
        <v/>
      </c>
    </row>
    <row r="1455">
      <c r="F1455" s="11" t="n"/>
      <c r="N1455" s="7">
        <f>IF($D1455="","",M1455*X1455/100)</f>
        <v/>
      </c>
      <c r="O1455" s="7" t="n"/>
      <c r="U1455" s="7" t="n"/>
      <c r="V1455" s="7" t="n"/>
      <c r="W1455" s="7">
        <f>IF($D1455="","",V1455*AB1455/100)</f>
        <v/>
      </c>
      <c r="X1455" s="7">
        <f>IF($D1455="","",V1455-W1455)</f>
        <v/>
      </c>
      <c r="Y1455" s="7">
        <f>IF($D1455="","",X1455-N1455)</f>
        <v/>
      </c>
      <c r="AB1455">
        <f>IF($D1455="","",IF($AN1455=1,Settings!$C$8,IF($AM1455=1,Settings!$C$6,Settings!$C$7))*100)</f>
        <v/>
      </c>
      <c r="AF1455" s="7" t="n"/>
      <c r="AI1455" s="11" t="n"/>
      <c r="AK1455">
        <f>IF($D1455="","",IF(COUNTIF($D$2:$D1455,$D1455)=1,1,0))</f>
        <v/>
      </c>
      <c r="AL1455">
        <f>IF($AK1455=1,SUMPRODUCT(--($AO$2:$AO$1601&lt;$AO1455))+1,"")</f>
        <v/>
      </c>
      <c r="AM1455">
        <f>IF($D1455="","",IF(OR($R1455=TRUE(),$R1455="TRUE"),1,0))</f>
        <v/>
      </c>
      <c r="AN1455">
        <f>IF($D1455="","",IF($AA1455="Yes",1,0))</f>
        <v/>
      </c>
      <c r="AO1455">
        <f>IF($AK1455=1,IFERROR(IF(VALUE($D1455)&lt;100000000,VALUE($D1455),1000000000),IFERROR(IF(VALUE(MID($D1455,2,20))&lt;100000000,VALUE(MID($D1455,2,20)),1000000000),1000000000))+ROW()/100000,"")</f>
        <v/>
      </c>
    </row>
    <row r="1456">
      <c r="F1456" s="11" t="n"/>
      <c r="N1456" s="7">
        <f>IF($D1456="","",M1456*X1456/100)</f>
        <v/>
      </c>
      <c r="O1456" s="7" t="n"/>
      <c r="U1456" s="7" t="n"/>
      <c r="V1456" s="7" t="n"/>
      <c r="W1456" s="7">
        <f>IF($D1456="","",V1456*AB1456/100)</f>
        <v/>
      </c>
      <c r="X1456" s="7">
        <f>IF($D1456="","",V1456-W1456)</f>
        <v/>
      </c>
      <c r="Y1456" s="7">
        <f>IF($D1456="","",X1456-N1456)</f>
        <v/>
      </c>
      <c r="AB1456">
        <f>IF($D1456="","",IF($AN1456=1,Settings!$C$8,IF($AM1456=1,Settings!$C$6,Settings!$C$7))*100)</f>
        <v/>
      </c>
      <c r="AF1456" s="7" t="n"/>
      <c r="AI1456" s="11" t="n"/>
      <c r="AK1456">
        <f>IF($D1456="","",IF(COUNTIF($D$2:$D1456,$D1456)=1,1,0))</f>
        <v/>
      </c>
      <c r="AL1456">
        <f>IF($AK1456=1,SUMPRODUCT(--($AO$2:$AO$1601&lt;$AO1456))+1,"")</f>
        <v/>
      </c>
      <c r="AM1456">
        <f>IF($D1456="","",IF(OR($R1456=TRUE(),$R1456="TRUE"),1,0))</f>
        <v/>
      </c>
      <c r="AN1456">
        <f>IF($D1456="","",IF($AA1456="Yes",1,0))</f>
        <v/>
      </c>
      <c r="AO1456">
        <f>IF($AK1456=1,IFERROR(IF(VALUE($D1456)&lt;100000000,VALUE($D1456),1000000000),IFERROR(IF(VALUE(MID($D1456,2,20))&lt;100000000,VALUE(MID($D1456,2,20)),1000000000),1000000000))+ROW()/100000,"")</f>
        <v/>
      </c>
    </row>
    <row r="1457">
      <c r="F1457" s="11" t="n"/>
      <c r="N1457" s="7">
        <f>IF($D1457="","",M1457*X1457/100)</f>
        <v/>
      </c>
      <c r="O1457" s="7" t="n"/>
      <c r="U1457" s="7" t="n"/>
      <c r="V1457" s="7" t="n"/>
      <c r="W1457" s="7">
        <f>IF($D1457="","",V1457*AB1457/100)</f>
        <v/>
      </c>
      <c r="X1457" s="7">
        <f>IF($D1457="","",V1457-W1457)</f>
        <v/>
      </c>
      <c r="Y1457" s="7">
        <f>IF($D1457="","",X1457-N1457)</f>
        <v/>
      </c>
      <c r="AB1457">
        <f>IF($D1457="","",IF($AN1457=1,Settings!$C$8,IF($AM1457=1,Settings!$C$6,Settings!$C$7))*100)</f>
        <v/>
      </c>
      <c r="AF1457" s="7" t="n"/>
      <c r="AI1457" s="11" t="n"/>
      <c r="AK1457">
        <f>IF($D1457="","",IF(COUNTIF($D$2:$D1457,$D1457)=1,1,0))</f>
        <v/>
      </c>
      <c r="AL1457">
        <f>IF($AK1457=1,SUMPRODUCT(--($AO$2:$AO$1601&lt;$AO1457))+1,"")</f>
        <v/>
      </c>
      <c r="AM1457">
        <f>IF($D1457="","",IF(OR($R1457=TRUE(),$R1457="TRUE"),1,0))</f>
        <v/>
      </c>
      <c r="AN1457">
        <f>IF($D1457="","",IF($AA1457="Yes",1,0))</f>
        <v/>
      </c>
      <c r="AO1457">
        <f>IF($AK1457=1,IFERROR(IF(VALUE($D1457)&lt;100000000,VALUE($D1457),1000000000),IFERROR(IF(VALUE(MID($D1457,2,20))&lt;100000000,VALUE(MID($D1457,2,20)),1000000000),1000000000))+ROW()/100000,"")</f>
        <v/>
      </c>
    </row>
    <row r="1458">
      <c r="F1458" s="11" t="n"/>
      <c r="N1458" s="7">
        <f>IF($D1458="","",M1458*X1458/100)</f>
        <v/>
      </c>
      <c r="O1458" s="7" t="n"/>
      <c r="U1458" s="7" t="n"/>
      <c r="V1458" s="7" t="n"/>
      <c r="W1458" s="7">
        <f>IF($D1458="","",V1458*AB1458/100)</f>
        <v/>
      </c>
      <c r="X1458" s="7">
        <f>IF($D1458="","",V1458-W1458)</f>
        <v/>
      </c>
      <c r="Y1458" s="7">
        <f>IF($D1458="","",X1458-N1458)</f>
        <v/>
      </c>
      <c r="AB1458">
        <f>IF($D1458="","",IF($AN1458=1,Settings!$C$8,IF($AM1458=1,Settings!$C$6,Settings!$C$7))*100)</f>
        <v/>
      </c>
      <c r="AF1458" s="7" t="n"/>
      <c r="AI1458" s="11" t="n"/>
      <c r="AK1458">
        <f>IF($D1458="","",IF(COUNTIF($D$2:$D1458,$D1458)=1,1,0))</f>
        <v/>
      </c>
      <c r="AL1458">
        <f>IF($AK1458=1,SUMPRODUCT(--($AO$2:$AO$1601&lt;$AO1458))+1,"")</f>
        <v/>
      </c>
      <c r="AM1458">
        <f>IF($D1458="","",IF(OR($R1458=TRUE(),$R1458="TRUE"),1,0))</f>
        <v/>
      </c>
      <c r="AN1458">
        <f>IF($D1458="","",IF($AA1458="Yes",1,0))</f>
        <v/>
      </c>
      <c r="AO1458">
        <f>IF($AK1458=1,IFERROR(IF(VALUE($D1458)&lt;100000000,VALUE($D1458),1000000000),IFERROR(IF(VALUE(MID($D1458,2,20))&lt;100000000,VALUE(MID($D1458,2,20)),1000000000),1000000000))+ROW()/100000,"")</f>
        <v/>
      </c>
    </row>
    <row r="1459">
      <c r="F1459" s="11" t="n"/>
      <c r="N1459" s="7">
        <f>IF($D1459="","",M1459*X1459/100)</f>
        <v/>
      </c>
      <c r="O1459" s="7" t="n"/>
      <c r="U1459" s="7" t="n"/>
      <c r="V1459" s="7" t="n"/>
      <c r="W1459" s="7">
        <f>IF($D1459="","",V1459*AB1459/100)</f>
        <v/>
      </c>
      <c r="X1459" s="7">
        <f>IF($D1459="","",V1459-W1459)</f>
        <v/>
      </c>
      <c r="Y1459" s="7">
        <f>IF($D1459="","",X1459-N1459)</f>
        <v/>
      </c>
      <c r="AB1459">
        <f>IF($D1459="","",IF($AN1459=1,Settings!$C$8,IF($AM1459=1,Settings!$C$6,Settings!$C$7))*100)</f>
        <v/>
      </c>
      <c r="AF1459" s="7" t="n"/>
      <c r="AI1459" s="11" t="n"/>
      <c r="AK1459">
        <f>IF($D1459="","",IF(COUNTIF($D$2:$D1459,$D1459)=1,1,0))</f>
        <v/>
      </c>
      <c r="AL1459">
        <f>IF($AK1459=1,SUMPRODUCT(--($AO$2:$AO$1601&lt;$AO1459))+1,"")</f>
        <v/>
      </c>
      <c r="AM1459">
        <f>IF($D1459="","",IF(OR($R1459=TRUE(),$R1459="TRUE"),1,0))</f>
        <v/>
      </c>
      <c r="AN1459">
        <f>IF($D1459="","",IF($AA1459="Yes",1,0))</f>
        <v/>
      </c>
      <c r="AO1459">
        <f>IF($AK1459=1,IFERROR(IF(VALUE($D1459)&lt;100000000,VALUE($D1459),1000000000),IFERROR(IF(VALUE(MID($D1459,2,20))&lt;100000000,VALUE(MID($D1459,2,20)),1000000000),1000000000))+ROW()/100000,"")</f>
        <v/>
      </c>
    </row>
    <row r="1460">
      <c r="F1460" s="11" t="n"/>
      <c r="N1460" s="7">
        <f>IF($D1460="","",M1460*X1460/100)</f>
        <v/>
      </c>
      <c r="O1460" s="7" t="n"/>
      <c r="U1460" s="7" t="n"/>
      <c r="V1460" s="7" t="n"/>
      <c r="W1460" s="7">
        <f>IF($D1460="","",V1460*AB1460/100)</f>
        <v/>
      </c>
      <c r="X1460" s="7">
        <f>IF($D1460="","",V1460-W1460)</f>
        <v/>
      </c>
      <c r="Y1460" s="7">
        <f>IF($D1460="","",X1460-N1460)</f>
        <v/>
      </c>
      <c r="AB1460">
        <f>IF($D1460="","",IF($AN1460=1,Settings!$C$8,IF($AM1460=1,Settings!$C$6,Settings!$C$7))*100)</f>
        <v/>
      </c>
      <c r="AF1460" s="7" t="n"/>
      <c r="AI1460" s="11" t="n"/>
      <c r="AK1460">
        <f>IF($D1460="","",IF(COUNTIF($D$2:$D1460,$D1460)=1,1,0))</f>
        <v/>
      </c>
      <c r="AL1460">
        <f>IF($AK1460=1,SUMPRODUCT(--($AO$2:$AO$1601&lt;$AO1460))+1,"")</f>
        <v/>
      </c>
      <c r="AM1460">
        <f>IF($D1460="","",IF(OR($R1460=TRUE(),$R1460="TRUE"),1,0))</f>
        <v/>
      </c>
      <c r="AN1460">
        <f>IF($D1460="","",IF($AA1460="Yes",1,0))</f>
        <v/>
      </c>
      <c r="AO1460">
        <f>IF($AK1460=1,IFERROR(IF(VALUE($D1460)&lt;100000000,VALUE($D1460),1000000000),IFERROR(IF(VALUE(MID($D1460,2,20))&lt;100000000,VALUE(MID($D1460,2,20)),1000000000),1000000000))+ROW()/100000,"")</f>
        <v/>
      </c>
    </row>
    <row r="1461">
      <c r="F1461" s="11" t="n"/>
      <c r="N1461" s="7">
        <f>IF($D1461="","",M1461*X1461/100)</f>
        <v/>
      </c>
      <c r="O1461" s="7" t="n"/>
      <c r="U1461" s="7" t="n"/>
      <c r="V1461" s="7" t="n"/>
      <c r="W1461" s="7">
        <f>IF($D1461="","",V1461*AB1461/100)</f>
        <v/>
      </c>
      <c r="X1461" s="7">
        <f>IF($D1461="","",V1461-W1461)</f>
        <v/>
      </c>
      <c r="Y1461" s="7">
        <f>IF($D1461="","",X1461-N1461)</f>
        <v/>
      </c>
      <c r="AB1461">
        <f>IF($D1461="","",IF($AN1461=1,Settings!$C$8,IF($AM1461=1,Settings!$C$6,Settings!$C$7))*100)</f>
        <v/>
      </c>
      <c r="AF1461" s="7" t="n"/>
      <c r="AI1461" s="11" t="n"/>
      <c r="AK1461">
        <f>IF($D1461="","",IF(COUNTIF($D$2:$D1461,$D1461)=1,1,0))</f>
        <v/>
      </c>
      <c r="AL1461">
        <f>IF($AK1461=1,SUMPRODUCT(--($AO$2:$AO$1601&lt;$AO1461))+1,"")</f>
        <v/>
      </c>
      <c r="AM1461">
        <f>IF($D1461="","",IF(OR($R1461=TRUE(),$R1461="TRUE"),1,0))</f>
        <v/>
      </c>
      <c r="AN1461">
        <f>IF($D1461="","",IF($AA1461="Yes",1,0))</f>
        <v/>
      </c>
      <c r="AO1461">
        <f>IF($AK1461=1,IFERROR(IF(VALUE($D1461)&lt;100000000,VALUE($D1461),1000000000),IFERROR(IF(VALUE(MID($D1461,2,20))&lt;100000000,VALUE(MID($D1461,2,20)),1000000000),1000000000))+ROW()/100000,"")</f>
        <v/>
      </c>
    </row>
    <row r="1462">
      <c r="F1462" s="11" t="n"/>
      <c r="N1462" s="7">
        <f>IF($D1462="","",M1462*X1462/100)</f>
        <v/>
      </c>
      <c r="O1462" s="7" t="n"/>
      <c r="U1462" s="7" t="n"/>
      <c r="V1462" s="7" t="n"/>
      <c r="W1462" s="7">
        <f>IF($D1462="","",V1462*AB1462/100)</f>
        <v/>
      </c>
      <c r="X1462" s="7">
        <f>IF($D1462="","",V1462-W1462)</f>
        <v/>
      </c>
      <c r="Y1462" s="7">
        <f>IF($D1462="","",X1462-N1462)</f>
        <v/>
      </c>
      <c r="AB1462">
        <f>IF($D1462="","",IF($AN1462=1,Settings!$C$8,IF($AM1462=1,Settings!$C$6,Settings!$C$7))*100)</f>
        <v/>
      </c>
      <c r="AF1462" s="7" t="n"/>
      <c r="AI1462" s="11" t="n"/>
      <c r="AK1462">
        <f>IF($D1462="","",IF(COUNTIF($D$2:$D1462,$D1462)=1,1,0))</f>
        <v/>
      </c>
      <c r="AL1462">
        <f>IF($AK1462=1,SUMPRODUCT(--($AO$2:$AO$1601&lt;$AO1462))+1,"")</f>
        <v/>
      </c>
      <c r="AM1462">
        <f>IF($D1462="","",IF(OR($R1462=TRUE(),$R1462="TRUE"),1,0))</f>
        <v/>
      </c>
      <c r="AN1462">
        <f>IF($D1462="","",IF($AA1462="Yes",1,0))</f>
        <v/>
      </c>
      <c r="AO1462">
        <f>IF($AK1462=1,IFERROR(IF(VALUE($D1462)&lt;100000000,VALUE($D1462),1000000000),IFERROR(IF(VALUE(MID($D1462,2,20))&lt;100000000,VALUE(MID($D1462,2,20)),1000000000),1000000000))+ROW()/100000,"")</f>
        <v/>
      </c>
    </row>
    <row r="1463">
      <c r="F1463" s="11" t="n"/>
      <c r="N1463" s="7">
        <f>IF($D1463="","",M1463*X1463/100)</f>
        <v/>
      </c>
      <c r="O1463" s="7" t="n"/>
      <c r="U1463" s="7" t="n"/>
      <c r="V1463" s="7" t="n"/>
      <c r="W1463" s="7">
        <f>IF($D1463="","",V1463*AB1463/100)</f>
        <v/>
      </c>
      <c r="X1463" s="7">
        <f>IF($D1463="","",V1463-W1463)</f>
        <v/>
      </c>
      <c r="Y1463" s="7">
        <f>IF($D1463="","",X1463-N1463)</f>
        <v/>
      </c>
      <c r="AB1463">
        <f>IF($D1463="","",IF($AN1463=1,Settings!$C$8,IF($AM1463=1,Settings!$C$6,Settings!$C$7))*100)</f>
        <v/>
      </c>
      <c r="AF1463" s="7" t="n"/>
      <c r="AI1463" s="11" t="n"/>
      <c r="AK1463">
        <f>IF($D1463="","",IF(COUNTIF($D$2:$D1463,$D1463)=1,1,0))</f>
        <v/>
      </c>
      <c r="AL1463">
        <f>IF($AK1463=1,SUMPRODUCT(--($AO$2:$AO$1601&lt;$AO1463))+1,"")</f>
        <v/>
      </c>
      <c r="AM1463">
        <f>IF($D1463="","",IF(OR($R1463=TRUE(),$R1463="TRUE"),1,0))</f>
        <v/>
      </c>
      <c r="AN1463">
        <f>IF($D1463="","",IF($AA1463="Yes",1,0))</f>
        <v/>
      </c>
      <c r="AO1463">
        <f>IF($AK1463=1,IFERROR(IF(VALUE($D1463)&lt;100000000,VALUE($D1463),1000000000),IFERROR(IF(VALUE(MID($D1463,2,20))&lt;100000000,VALUE(MID($D1463,2,20)),1000000000),1000000000))+ROW()/100000,"")</f>
        <v/>
      </c>
    </row>
    <row r="1464">
      <c r="F1464" s="11" t="n"/>
      <c r="N1464" s="7">
        <f>IF($D1464="","",M1464*X1464/100)</f>
        <v/>
      </c>
      <c r="O1464" s="7" t="n"/>
      <c r="U1464" s="7" t="n"/>
      <c r="V1464" s="7" t="n"/>
      <c r="W1464" s="7">
        <f>IF($D1464="","",V1464*AB1464/100)</f>
        <v/>
      </c>
      <c r="X1464" s="7">
        <f>IF($D1464="","",V1464-W1464)</f>
        <v/>
      </c>
      <c r="Y1464" s="7">
        <f>IF($D1464="","",X1464-N1464)</f>
        <v/>
      </c>
      <c r="AB1464">
        <f>IF($D1464="","",IF($AN1464=1,Settings!$C$8,IF($AM1464=1,Settings!$C$6,Settings!$C$7))*100)</f>
        <v/>
      </c>
      <c r="AF1464" s="7" t="n"/>
      <c r="AI1464" s="11" t="n"/>
      <c r="AK1464">
        <f>IF($D1464="","",IF(COUNTIF($D$2:$D1464,$D1464)=1,1,0))</f>
        <v/>
      </c>
      <c r="AL1464">
        <f>IF($AK1464=1,SUMPRODUCT(--($AO$2:$AO$1601&lt;$AO1464))+1,"")</f>
        <v/>
      </c>
      <c r="AM1464">
        <f>IF($D1464="","",IF(OR($R1464=TRUE(),$R1464="TRUE"),1,0))</f>
        <v/>
      </c>
      <c r="AN1464">
        <f>IF($D1464="","",IF($AA1464="Yes",1,0))</f>
        <v/>
      </c>
      <c r="AO1464">
        <f>IF($AK1464=1,IFERROR(IF(VALUE($D1464)&lt;100000000,VALUE($D1464),1000000000),IFERROR(IF(VALUE(MID($D1464,2,20))&lt;100000000,VALUE(MID($D1464,2,20)),1000000000),1000000000))+ROW()/100000,"")</f>
        <v/>
      </c>
    </row>
    <row r="1465">
      <c r="F1465" s="11" t="n"/>
      <c r="N1465" s="7">
        <f>IF($D1465="","",M1465*X1465/100)</f>
        <v/>
      </c>
      <c r="O1465" s="7" t="n"/>
      <c r="U1465" s="7" t="n"/>
      <c r="V1465" s="7" t="n"/>
      <c r="W1465" s="7">
        <f>IF($D1465="","",V1465*AB1465/100)</f>
        <v/>
      </c>
      <c r="X1465" s="7">
        <f>IF($D1465="","",V1465-W1465)</f>
        <v/>
      </c>
      <c r="Y1465" s="7">
        <f>IF($D1465="","",X1465-N1465)</f>
        <v/>
      </c>
      <c r="AB1465">
        <f>IF($D1465="","",IF($AN1465=1,Settings!$C$8,IF($AM1465=1,Settings!$C$6,Settings!$C$7))*100)</f>
        <v/>
      </c>
      <c r="AF1465" s="7" t="n"/>
      <c r="AI1465" s="11" t="n"/>
      <c r="AK1465">
        <f>IF($D1465="","",IF(COUNTIF($D$2:$D1465,$D1465)=1,1,0))</f>
        <v/>
      </c>
      <c r="AL1465">
        <f>IF($AK1465=1,SUMPRODUCT(--($AO$2:$AO$1601&lt;$AO1465))+1,"")</f>
        <v/>
      </c>
      <c r="AM1465">
        <f>IF($D1465="","",IF(OR($R1465=TRUE(),$R1465="TRUE"),1,0))</f>
        <v/>
      </c>
      <c r="AN1465">
        <f>IF($D1465="","",IF($AA1465="Yes",1,0))</f>
        <v/>
      </c>
      <c r="AO1465">
        <f>IF($AK1465=1,IFERROR(IF(VALUE($D1465)&lt;100000000,VALUE($D1465),1000000000),IFERROR(IF(VALUE(MID($D1465,2,20))&lt;100000000,VALUE(MID($D1465,2,20)),1000000000),1000000000))+ROW()/100000,"")</f>
        <v/>
      </c>
    </row>
    <row r="1466">
      <c r="F1466" s="11" t="n"/>
      <c r="N1466" s="7">
        <f>IF($D1466="","",M1466*X1466/100)</f>
        <v/>
      </c>
      <c r="O1466" s="7" t="n"/>
      <c r="U1466" s="7" t="n"/>
      <c r="V1466" s="7" t="n"/>
      <c r="W1466" s="7">
        <f>IF($D1466="","",V1466*AB1466/100)</f>
        <v/>
      </c>
      <c r="X1466" s="7">
        <f>IF($D1466="","",V1466-W1466)</f>
        <v/>
      </c>
      <c r="Y1466" s="7">
        <f>IF($D1466="","",X1466-N1466)</f>
        <v/>
      </c>
      <c r="AB1466">
        <f>IF($D1466="","",IF($AN1466=1,Settings!$C$8,IF($AM1466=1,Settings!$C$6,Settings!$C$7))*100)</f>
        <v/>
      </c>
      <c r="AF1466" s="7" t="n"/>
      <c r="AI1466" s="11" t="n"/>
      <c r="AK1466">
        <f>IF($D1466="","",IF(COUNTIF($D$2:$D1466,$D1466)=1,1,0))</f>
        <v/>
      </c>
      <c r="AL1466">
        <f>IF($AK1466=1,SUMPRODUCT(--($AO$2:$AO$1601&lt;$AO1466))+1,"")</f>
        <v/>
      </c>
      <c r="AM1466">
        <f>IF($D1466="","",IF(OR($R1466=TRUE(),$R1466="TRUE"),1,0))</f>
        <v/>
      </c>
      <c r="AN1466">
        <f>IF($D1466="","",IF($AA1466="Yes",1,0))</f>
        <v/>
      </c>
      <c r="AO1466">
        <f>IF($AK1466=1,IFERROR(IF(VALUE($D1466)&lt;100000000,VALUE($D1466),1000000000),IFERROR(IF(VALUE(MID($D1466,2,20))&lt;100000000,VALUE(MID($D1466,2,20)),1000000000),1000000000))+ROW()/100000,"")</f>
        <v/>
      </c>
    </row>
    <row r="1467">
      <c r="F1467" s="11" t="n"/>
      <c r="N1467" s="7">
        <f>IF($D1467="","",M1467*X1467/100)</f>
        <v/>
      </c>
      <c r="O1467" s="7" t="n"/>
      <c r="U1467" s="7" t="n"/>
      <c r="V1467" s="7" t="n"/>
      <c r="W1467" s="7">
        <f>IF($D1467="","",V1467*AB1467/100)</f>
        <v/>
      </c>
      <c r="X1467" s="7">
        <f>IF($D1467="","",V1467-W1467)</f>
        <v/>
      </c>
      <c r="Y1467" s="7">
        <f>IF($D1467="","",X1467-N1467)</f>
        <v/>
      </c>
      <c r="AB1467">
        <f>IF($D1467="","",IF($AN1467=1,Settings!$C$8,IF($AM1467=1,Settings!$C$6,Settings!$C$7))*100)</f>
        <v/>
      </c>
      <c r="AF1467" s="7" t="n"/>
      <c r="AI1467" s="11" t="n"/>
      <c r="AK1467">
        <f>IF($D1467="","",IF(COUNTIF($D$2:$D1467,$D1467)=1,1,0))</f>
        <v/>
      </c>
      <c r="AL1467">
        <f>IF($AK1467=1,SUMPRODUCT(--($AO$2:$AO$1601&lt;$AO1467))+1,"")</f>
        <v/>
      </c>
      <c r="AM1467">
        <f>IF($D1467="","",IF(OR($R1467=TRUE(),$R1467="TRUE"),1,0))</f>
        <v/>
      </c>
      <c r="AN1467">
        <f>IF($D1467="","",IF($AA1467="Yes",1,0))</f>
        <v/>
      </c>
      <c r="AO1467">
        <f>IF($AK1467=1,IFERROR(IF(VALUE($D1467)&lt;100000000,VALUE($D1467),1000000000),IFERROR(IF(VALUE(MID($D1467,2,20))&lt;100000000,VALUE(MID($D1467,2,20)),1000000000),1000000000))+ROW()/100000,"")</f>
        <v/>
      </c>
    </row>
    <row r="1468">
      <c r="F1468" s="11" t="n"/>
      <c r="N1468" s="7">
        <f>IF($D1468="","",M1468*X1468/100)</f>
        <v/>
      </c>
      <c r="O1468" s="7" t="n"/>
      <c r="U1468" s="7" t="n"/>
      <c r="V1468" s="7" t="n"/>
      <c r="W1468" s="7">
        <f>IF($D1468="","",V1468*AB1468/100)</f>
        <v/>
      </c>
      <c r="X1468" s="7">
        <f>IF($D1468="","",V1468-W1468)</f>
        <v/>
      </c>
      <c r="Y1468" s="7">
        <f>IF($D1468="","",X1468-N1468)</f>
        <v/>
      </c>
      <c r="AB1468">
        <f>IF($D1468="","",IF($AN1468=1,Settings!$C$8,IF($AM1468=1,Settings!$C$6,Settings!$C$7))*100)</f>
        <v/>
      </c>
      <c r="AF1468" s="7" t="n"/>
      <c r="AI1468" s="11" t="n"/>
      <c r="AK1468">
        <f>IF($D1468="","",IF(COUNTIF($D$2:$D1468,$D1468)=1,1,0))</f>
        <v/>
      </c>
      <c r="AL1468">
        <f>IF($AK1468=1,SUMPRODUCT(--($AO$2:$AO$1601&lt;$AO1468))+1,"")</f>
        <v/>
      </c>
      <c r="AM1468">
        <f>IF($D1468="","",IF(OR($R1468=TRUE(),$R1468="TRUE"),1,0))</f>
        <v/>
      </c>
      <c r="AN1468">
        <f>IF($D1468="","",IF($AA1468="Yes",1,0))</f>
        <v/>
      </c>
      <c r="AO1468">
        <f>IF($AK1468=1,IFERROR(IF(VALUE($D1468)&lt;100000000,VALUE($D1468),1000000000),IFERROR(IF(VALUE(MID($D1468,2,20))&lt;100000000,VALUE(MID($D1468,2,20)),1000000000),1000000000))+ROW()/100000,"")</f>
        <v/>
      </c>
    </row>
    <row r="1469">
      <c r="F1469" s="11" t="n"/>
      <c r="N1469" s="7">
        <f>IF($D1469="","",M1469*X1469/100)</f>
        <v/>
      </c>
      <c r="O1469" s="7" t="n"/>
      <c r="U1469" s="7" t="n"/>
      <c r="V1469" s="7" t="n"/>
      <c r="W1469" s="7">
        <f>IF($D1469="","",V1469*AB1469/100)</f>
        <v/>
      </c>
      <c r="X1469" s="7">
        <f>IF($D1469="","",V1469-W1469)</f>
        <v/>
      </c>
      <c r="Y1469" s="7">
        <f>IF($D1469="","",X1469-N1469)</f>
        <v/>
      </c>
      <c r="AB1469">
        <f>IF($D1469="","",IF($AN1469=1,Settings!$C$8,IF($AM1469=1,Settings!$C$6,Settings!$C$7))*100)</f>
        <v/>
      </c>
      <c r="AF1469" s="7" t="n"/>
      <c r="AI1469" s="11" t="n"/>
      <c r="AK1469">
        <f>IF($D1469="","",IF(COUNTIF($D$2:$D1469,$D1469)=1,1,0))</f>
        <v/>
      </c>
      <c r="AL1469">
        <f>IF($AK1469=1,SUMPRODUCT(--($AO$2:$AO$1601&lt;$AO1469))+1,"")</f>
        <v/>
      </c>
      <c r="AM1469">
        <f>IF($D1469="","",IF(OR($R1469=TRUE(),$R1469="TRUE"),1,0))</f>
        <v/>
      </c>
      <c r="AN1469">
        <f>IF($D1469="","",IF($AA1469="Yes",1,0))</f>
        <v/>
      </c>
      <c r="AO1469">
        <f>IF($AK1469=1,IFERROR(IF(VALUE($D1469)&lt;100000000,VALUE($D1469),1000000000),IFERROR(IF(VALUE(MID($D1469,2,20))&lt;100000000,VALUE(MID($D1469,2,20)),1000000000),1000000000))+ROW()/100000,"")</f>
        <v/>
      </c>
    </row>
    <row r="1470">
      <c r="F1470" s="11" t="n"/>
      <c r="N1470" s="7">
        <f>IF($D1470="","",M1470*X1470/100)</f>
        <v/>
      </c>
      <c r="O1470" s="7" t="n"/>
      <c r="U1470" s="7" t="n"/>
      <c r="V1470" s="7" t="n"/>
      <c r="W1470" s="7">
        <f>IF($D1470="","",V1470*AB1470/100)</f>
        <v/>
      </c>
      <c r="X1470" s="7">
        <f>IF($D1470="","",V1470-W1470)</f>
        <v/>
      </c>
      <c r="Y1470" s="7">
        <f>IF($D1470="","",X1470-N1470)</f>
        <v/>
      </c>
      <c r="AB1470">
        <f>IF($D1470="","",IF($AN1470=1,Settings!$C$8,IF($AM1470=1,Settings!$C$6,Settings!$C$7))*100)</f>
        <v/>
      </c>
      <c r="AF1470" s="7" t="n"/>
      <c r="AI1470" s="11" t="n"/>
      <c r="AK1470">
        <f>IF($D1470="","",IF(COUNTIF($D$2:$D1470,$D1470)=1,1,0))</f>
        <v/>
      </c>
      <c r="AL1470">
        <f>IF($AK1470=1,SUMPRODUCT(--($AO$2:$AO$1601&lt;$AO1470))+1,"")</f>
        <v/>
      </c>
      <c r="AM1470">
        <f>IF($D1470="","",IF(OR($R1470=TRUE(),$R1470="TRUE"),1,0))</f>
        <v/>
      </c>
      <c r="AN1470">
        <f>IF($D1470="","",IF($AA1470="Yes",1,0))</f>
        <v/>
      </c>
      <c r="AO1470">
        <f>IF($AK1470=1,IFERROR(IF(VALUE($D1470)&lt;100000000,VALUE($D1470),1000000000),IFERROR(IF(VALUE(MID($D1470,2,20))&lt;100000000,VALUE(MID($D1470,2,20)),1000000000),1000000000))+ROW()/100000,"")</f>
        <v/>
      </c>
    </row>
    <row r="1471">
      <c r="F1471" s="11" t="n"/>
      <c r="N1471" s="7">
        <f>IF($D1471="","",M1471*X1471/100)</f>
        <v/>
      </c>
      <c r="O1471" s="7" t="n"/>
      <c r="U1471" s="7" t="n"/>
      <c r="V1471" s="7" t="n"/>
      <c r="W1471" s="7">
        <f>IF($D1471="","",V1471*AB1471/100)</f>
        <v/>
      </c>
      <c r="X1471" s="7">
        <f>IF($D1471="","",V1471-W1471)</f>
        <v/>
      </c>
      <c r="Y1471" s="7">
        <f>IF($D1471="","",X1471-N1471)</f>
        <v/>
      </c>
      <c r="AB1471">
        <f>IF($D1471="","",IF($AN1471=1,Settings!$C$8,IF($AM1471=1,Settings!$C$6,Settings!$C$7))*100)</f>
        <v/>
      </c>
      <c r="AF1471" s="7" t="n"/>
      <c r="AI1471" s="11" t="n"/>
      <c r="AK1471">
        <f>IF($D1471="","",IF(COUNTIF($D$2:$D1471,$D1471)=1,1,0))</f>
        <v/>
      </c>
      <c r="AL1471">
        <f>IF($AK1471=1,SUMPRODUCT(--($AO$2:$AO$1601&lt;$AO1471))+1,"")</f>
        <v/>
      </c>
      <c r="AM1471">
        <f>IF($D1471="","",IF(OR($R1471=TRUE(),$R1471="TRUE"),1,0))</f>
        <v/>
      </c>
      <c r="AN1471">
        <f>IF($D1471="","",IF($AA1471="Yes",1,0))</f>
        <v/>
      </c>
      <c r="AO1471">
        <f>IF($AK1471=1,IFERROR(IF(VALUE($D1471)&lt;100000000,VALUE($D1471),1000000000),IFERROR(IF(VALUE(MID($D1471,2,20))&lt;100000000,VALUE(MID($D1471,2,20)),1000000000),1000000000))+ROW()/100000,"")</f>
        <v/>
      </c>
    </row>
    <row r="1472">
      <c r="F1472" s="11" t="n"/>
      <c r="N1472" s="7">
        <f>IF($D1472="","",M1472*X1472/100)</f>
        <v/>
      </c>
      <c r="O1472" s="7" t="n"/>
      <c r="U1472" s="7" t="n"/>
      <c r="V1472" s="7" t="n"/>
      <c r="W1472" s="7">
        <f>IF($D1472="","",V1472*AB1472/100)</f>
        <v/>
      </c>
      <c r="X1472" s="7">
        <f>IF($D1472="","",V1472-W1472)</f>
        <v/>
      </c>
      <c r="Y1472" s="7">
        <f>IF($D1472="","",X1472-N1472)</f>
        <v/>
      </c>
      <c r="AB1472">
        <f>IF($D1472="","",IF($AN1472=1,Settings!$C$8,IF($AM1472=1,Settings!$C$6,Settings!$C$7))*100)</f>
        <v/>
      </c>
      <c r="AF1472" s="7" t="n"/>
      <c r="AI1472" s="11" t="n"/>
      <c r="AK1472">
        <f>IF($D1472="","",IF(COUNTIF($D$2:$D1472,$D1472)=1,1,0))</f>
        <v/>
      </c>
      <c r="AL1472">
        <f>IF($AK1472=1,SUMPRODUCT(--($AO$2:$AO$1601&lt;$AO1472))+1,"")</f>
        <v/>
      </c>
      <c r="AM1472">
        <f>IF($D1472="","",IF(OR($R1472=TRUE(),$R1472="TRUE"),1,0))</f>
        <v/>
      </c>
      <c r="AN1472">
        <f>IF($D1472="","",IF($AA1472="Yes",1,0))</f>
        <v/>
      </c>
      <c r="AO1472">
        <f>IF($AK1472=1,IFERROR(IF(VALUE($D1472)&lt;100000000,VALUE($D1472),1000000000),IFERROR(IF(VALUE(MID($D1472,2,20))&lt;100000000,VALUE(MID($D1472,2,20)),1000000000),1000000000))+ROW()/100000,"")</f>
        <v/>
      </c>
    </row>
    <row r="1473">
      <c r="F1473" s="11" t="n"/>
      <c r="N1473" s="7">
        <f>IF($D1473="","",M1473*X1473/100)</f>
        <v/>
      </c>
      <c r="O1473" s="7" t="n"/>
      <c r="U1473" s="7" t="n"/>
      <c r="V1473" s="7" t="n"/>
      <c r="W1473" s="7">
        <f>IF($D1473="","",V1473*AB1473/100)</f>
        <v/>
      </c>
      <c r="X1473" s="7">
        <f>IF($D1473="","",V1473-W1473)</f>
        <v/>
      </c>
      <c r="Y1473" s="7">
        <f>IF($D1473="","",X1473-N1473)</f>
        <v/>
      </c>
      <c r="AB1473">
        <f>IF($D1473="","",IF($AN1473=1,Settings!$C$8,IF($AM1473=1,Settings!$C$6,Settings!$C$7))*100)</f>
        <v/>
      </c>
      <c r="AF1473" s="7" t="n"/>
      <c r="AI1473" s="11" t="n"/>
      <c r="AK1473">
        <f>IF($D1473="","",IF(COUNTIF($D$2:$D1473,$D1473)=1,1,0))</f>
        <v/>
      </c>
      <c r="AL1473">
        <f>IF($AK1473=1,SUMPRODUCT(--($AO$2:$AO$1601&lt;$AO1473))+1,"")</f>
        <v/>
      </c>
      <c r="AM1473">
        <f>IF($D1473="","",IF(OR($R1473=TRUE(),$R1473="TRUE"),1,0))</f>
        <v/>
      </c>
      <c r="AN1473">
        <f>IF($D1473="","",IF($AA1473="Yes",1,0))</f>
        <v/>
      </c>
      <c r="AO1473">
        <f>IF($AK1473=1,IFERROR(IF(VALUE($D1473)&lt;100000000,VALUE($D1473),1000000000),IFERROR(IF(VALUE(MID($D1473,2,20))&lt;100000000,VALUE(MID($D1473,2,20)),1000000000),1000000000))+ROW()/100000,"")</f>
        <v/>
      </c>
    </row>
    <row r="1474">
      <c r="F1474" s="11" t="n"/>
      <c r="N1474" s="7">
        <f>IF($D1474="","",M1474*X1474/100)</f>
        <v/>
      </c>
      <c r="O1474" s="7" t="n"/>
      <c r="U1474" s="7" t="n"/>
      <c r="V1474" s="7" t="n"/>
      <c r="W1474" s="7">
        <f>IF($D1474="","",V1474*AB1474/100)</f>
        <v/>
      </c>
      <c r="X1474" s="7">
        <f>IF($D1474="","",V1474-W1474)</f>
        <v/>
      </c>
      <c r="Y1474" s="7">
        <f>IF($D1474="","",X1474-N1474)</f>
        <v/>
      </c>
      <c r="AB1474">
        <f>IF($D1474="","",IF($AN1474=1,Settings!$C$8,IF($AM1474=1,Settings!$C$6,Settings!$C$7))*100)</f>
        <v/>
      </c>
      <c r="AF1474" s="7" t="n"/>
      <c r="AI1474" s="11" t="n"/>
      <c r="AK1474">
        <f>IF($D1474="","",IF(COUNTIF($D$2:$D1474,$D1474)=1,1,0))</f>
        <v/>
      </c>
      <c r="AL1474">
        <f>IF($AK1474=1,SUMPRODUCT(--($AO$2:$AO$1601&lt;$AO1474))+1,"")</f>
        <v/>
      </c>
      <c r="AM1474">
        <f>IF($D1474="","",IF(OR($R1474=TRUE(),$R1474="TRUE"),1,0))</f>
        <v/>
      </c>
      <c r="AN1474">
        <f>IF($D1474="","",IF($AA1474="Yes",1,0))</f>
        <v/>
      </c>
      <c r="AO1474">
        <f>IF($AK1474=1,IFERROR(IF(VALUE($D1474)&lt;100000000,VALUE($D1474),1000000000),IFERROR(IF(VALUE(MID($D1474,2,20))&lt;100000000,VALUE(MID($D1474,2,20)),1000000000),1000000000))+ROW()/100000,"")</f>
        <v/>
      </c>
    </row>
    <row r="1475">
      <c r="F1475" s="11" t="n"/>
      <c r="N1475" s="7">
        <f>IF($D1475="","",M1475*X1475/100)</f>
        <v/>
      </c>
      <c r="O1475" s="7" t="n"/>
      <c r="U1475" s="7" t="n"/>
      <c r="V1475" s="7" t="n"/>
      <c r="W1475" s="7">
        <f>IF($D1475="","",V1475*AB1475/100)</f>
        <v/>
      </c>
      <c r="X1475" s="7">
        <f>IF($D1475="","",V1475-W1475)</f>
        <v/>
      </c>
      <c r="Y1475" s="7">
        <f>IF($D1475="","",X1475-N1475)</f>
        <v/>
      </c>
      <c r="AB1475">
        <f>IF($D1475="","",IF($AN1475=1,Settings!$C$8,IF($AM1475=1,Settings!$C$6,Settings!$C$7))*100)</f>
        <v/>
      </c>
      <c r="AF1475" s="7" t="n"/>
      <c r="AI1475" s="11" t="n"/>
      <c r="AK1475">
        <f>IF($D1475="","",IF(COUNTIF($D$2:$D1475,$D1475)=1,1,0))</f>
        <v/>
      </c>
      <c r="AL1475">
        <f>IF($AK1475=1,SUMPRODUCT(--($AO$2:$AO$1601&lt;$AO1475))+1,"")</f>
        <v/>
      </c>
      <c r="AM1475">
        <f>IF($D1475="","",IF(OR($R1475=TRUE(),$R1475="TRUE"),1,0))</f>
        <v/>
      </c>
      <c r="AN1475">
        <f>IF($D1475="","",IF($AA1475="Yes",1,0))</f>
        <v/>
      </c>
      <c r="AO1475">
        <f>IF($AK1475=1,IFERROR(IF(VALUE($D1475)&lt;100000000,VALUE($D1475),1000000000),IFERROR(IF(VALUE(MID($D1475,2,20))&lt;100000000,VALUE(MID($D1475,2,20)),1000000000),1000000000))+ROW()/100000,"")</f>
        <v/>
      </c>
    </row>
    <row r="1476">
      <c r="F1476" s="11" t="n"/>
      <c r="N1476" s="7">
        <f>IF($D1476="","",M1476*X1476/100)</f>
        <v/>
      </c>
      <c r="O1476" s="7" t="n"/>
      <c r="U1476" s="7" t="n"/>
      <c r="V1476" s="7" t="n"/>
      <c r="W1476" s="7">
        <f>IF($D1476="","",V1476*AB1476/100)</f>
        <v/>
      </c>
      <c r="X1476" s="7">
        <f>IF($D1476="","",V1476-W1476)</f>
        <v/>
      </c>
      <c r="Y1476" s="7">
        <f>IF($D1476="","",X1476-N1476)</f>
        <v/>
      </c>
      <c r="AB1476">
        <f>IF($D1476="","",IF($AN1476=1,Settings!$C$8,IF($AM1476=1,Settings!$C$6,Settings!$C$7))*100)</f>
        <v/>
      </c>
      <c r="AF1476" s="7" t="n"/>
      <c r="AI1476" s="11" t="n"/>
      <c r="AK1476">
        <f>IF($D1476="","",IF(COUNTIF($D$2:$D1476,$D1476)=1,1,0))</f>
        <v/>
      </c>
      <c r="AL1476">
        <f>IF($AK1476=1,SUMPRODUCT(--($AO$2:$AO$1601&lt;$AO1476))+1,"")</f>
        <v/>
      </c>
      <c r="AM1476">
        <f>IF($D1476="","",IF(OR($R1476=TRUE(),$R1476="TRUE"),1,0))</f>
        <v/>
      </c>
      <c r="AN1476">
        <f>IF($D1476="","",IF($AA1476="Yes",1,0))</f>
        <v/>
      </c>
      <c r="AO1476">
        <f>IF($AK1476=1,IFERROR(IF(VALUE($D1476)&lt;100000000,VALUE($D1476),1000000000),IFERROR(IF(VALUE(MID($D1476,2,20))&lt;100000000,VALUE(MID($D1476,2,20)),1000000000),1000000000))+ROW()/100000,"")</f>
        <v/>
      </c>
    </row>
    <row r="1477">
      <c r="F1477" s="11" t="n"/>
      <c r="N1477" s="7">
        <f>IF($D1477="","",M1477*X1477/100)</f>
        <v/>
      </c>
      <c r="O1477" s="7" t="n"/>
      <c r="U1477" s="7" t="n"/>
      <c r="V1477" s="7" t="n"/>
      <c r="W1477" s="7">
        <f>IF($D1477="","",V1477*AB1477/100)</f>
        <v/>
      </c>
      <c r="X1477" s="7">
        <f>IF($D1477="","",V1477-W1477)</f>
        <v/>
      </c>
      <c r="Y1477" s="7">
        <f>IF($D1477="","",X1477-N1477)</f>
        <v/>
      </c>
      <c r="AB1477">
        <f>IF($D1477="","",IF($AN1477=1,Settings!$C$8,IF($AM1477=1,Settings!$C$6,Settings!$C$7))*100)</f>
        <v/>
      </c>
      <c r="AF1477" s="7" t="n"/>
      <c r="AI1477" s="11" t="n"/>
      <c r="AK1477">
        <f>IF($D1477="","",IF(COUNTIF($D$2:$D1477,$D1477)=1,1,0))</f>
        <v/>
      </c>
      <c r="AL1477">
        <f>IF($AK1477=1,SUMPRODUCT(--($AO$2:$AO$1601&lt;$AO1477))+1,"")</f>
        <v/>
      </c>
      <c r="AM1477">
        <f>IF($D1477="","",IF(OR($R1477=TRUE(),$R1477="TRUE"),1,0))</f>
        <v/>
      </c>
      <c r="AN1477">
        <f>IF($D1477="","",IF($AA1477="Yes",1,0))</f>
        <v/>
      </c>
      <c r="AO1477">
        <f>IF($AK1477=1,IFERROR(IF(VALUE($D1477)&lt;100000000,VALUE($D1477),1000000000),IFERROR(IF(VALUE(MID($D1477,2,20))&lt;100000000,VALUE(MID($D1477,2,20)),1000000000),1000000000))+ROW()/100000,"")</f>
        <v/>
      </c>
    </row>
    <row r="1478">
      <c r="F1478" s="11" t="n"/>
      <c r="N1478" s="7">
        <f>IF($D1478="","",M1478*X1478/100)</f>
        <v/>
      </c>
      <c r="O1478" s="7" t="n"/>
      <c r="U1478" s="7" t="n"/>
      <c r="V1478" s="7" t="n"/>
      <c r="W1478" s="7">
        <f>IF($D1478="","",V1478*AB1478/100)</f>
        <v/>
      </c>
      <c r="X1478" s="7">
        <f>IF($D1478="","",V1478-W1478)</f>
        <v/>
      </c>
      <c r="Y1478" s="7">
        <f>IF($D1478="","",X1478-N1478)</f>
        <v/>
      </c>
      <c r="AB1478">
        <f>IF($D1478="","",IF($AN1478=1,Settings!$C$8,IF($AM1478=1,Settings!$C$6,Settings!$C$7))*100)</f>
        <v/>
      </c>
      <c r="AF1478" s="7" t="n"/>
      <c r="AI1478" s="11" t="n"/>
      <c r="AK1478">
        <f>IF($D1478="","",IF(COUNTIF($D$2:$D1478,$D1478)=1,1,0))</f>
        <v/>
      </c>
      <c r="AL1478">
        <f>IF($AK1478=1,SUMPRODUCT(--($AO$2:$AO$1601&lt;$AO1478))+1,"")</f>
        <v/>
      </c>
      <c r="AM1478">
        <f>IF($D1478="","",IF(OR($R1478=TRUE(),$R1478="TRUE"),1,0))</f>
        <v/>
      </c>
      <c r="AN1478">
        <f>IF($D1478="","",IF($AA1478="Yes",1,0))</f>
        <v/>
      </c>
      <c r="AO1478">
        <f>IF($AK1478=1,IFERROR(IF(VALUE($D1478)&lt;100000000,VALUE($D1478),1000000000),IFERROR(IF(VALUE(MID($D1478,2,20))&lt;100000000,VALUE(MID($D1478,2,20)),1000000000),1000000000))+ROW()/100000,"")</f>
        <v/>
      </c>
    </row>
    <row r="1479">
      <c r="F1479" s="11" t="n"/>
      <c r="N1479" s="7">
        <f>IF($D1479="","",M1479*X1479/100)</f>
        <v/>
      </c>
      <c r="O1479" s="7" t="n"/>
      <c r="U1479" s="7" t="n"/>
      <c r="V1479" s="7" t="n"/>
      <c r="W1479" s="7">
        <f>IF($D1479="","",V1479*AB1479/100)</f>
        <v/>
      </c>
      <c r="X1479" s="7">
        <f>IF($D1479="","",V1479-W1479)</f>
        <v/>
      </c>
      <c r="Y1479" s="7">
        <f>IF($D1479="","",X1479-N1479)</f>
        <v/>
      </c>
      <c r="AB1479">
        <f>IF($D1479="","",IF($AN1479=1,Settings!$C$8,IF($AM1479=1,Settings!$C$6,Settings!$C$7))*100)</f>
        <v/>
      </c>
      <c r="AF1479" s="7" t="n"/>
      <c r="AI1479" s="11" t="n"/>
      <c r="AK1479">
        <f>IF($D1479="","",IF(COUNTIF($D$2:$D1479,$D1479)=1,1,0))</f>
        <v/>
      </c>
      <c r="AL1479">
        <f>IF($AK1479=1,SUMPRODUCT(--($AO$2:$AO$1601&lt;$AO1479))+1,"")</f>
        <v/>
      </c>
      <c r="AM1479">
        <f>IF($D1479="","",IF(OR($R1479=TRUE(),$R1479="TRUE"),1,0))</f>
        <v/>
      </c>
      <c r="AN1479">
        <f>IF($D1479="","",IF($AA1479="Yes",1,0))</f>
        <v/>
      </c>
      <c r="AO1479">
        <f>IF($AK1479=1,IFERROR(IF(VALUE($D1479)&lt;100000000,VALUE($D1479),1000000000),IFERROR(IF(VALUE(MID($D1479,2,20))&lt;100000000,VALUE(MID($D1479,2,20)),1000000000),1000000000))+ROW()/100000,"")</f>
        <v/>
      </c>
    </row>
    <row r="1480">
      <c r="F1480" s="11" t="n"/>
      <c r="N1480" s="7">
        <f>IF($D1480="","",M1480*X1480/100)</f>
        <v/>
      </c>
      <c r="O1480" s="7" t="n"/>
      <c r="U1480" s="7" t="n"/>
      <c r="V1480" s="7" t="n"/>
      <c r="W1480" s="7">
        <f>IF($D1480="","",V1480*AB1480/100)</f>
        <v/>
      </c>
      <c r="X1480" s="7">
        <f>IF($D1480="","",V1480-W1480)</f>
        <v/>
      </c>
      <c r="Y1480" s="7">
        <f>IF($D1480="","",X1480-N1480)</f>
        <v/>
      </c>
      <c r="AB1480">
        <f>IF($D1480="","",IF($AN1480=1,Settings!$C$8,IF($AM1480=1,Settings!$C$6,Settings!$C$7))*100)</f>
        <v/>
      </c>
      <c r="AF1480" s="7" t="n"/>
      <c r="AI1480" s="11" t="n"/>
      <c r="AK1480">
        <f>IF($D1480="","",IF(COUNTIF($D$2:$D1480,$D1480)=1,1,0))</f>
        <v/>
      </c>
      <c r="AL1480">
        <f>IF($AK1480=1,SUMPRODUCT(--($AO$2:$AO$1601&lt;$AO1480))+1,"")</f>
        <v/>
      </c>
      <c r="AM1480">
        <f>IF($D1480="","",IF(OR($R1480=TRUE(),$R1480="TRUE"),1,0))</f>
        <v/>
      </c>
      <c r="AN1480">
        <f>IF($D1480="","",IF($AA1480="Yes",1,0))</f>
        <v/>
      </c>
      <c r="AO1480">
        <f>IF($AK1480=1,IFERROR(IF(VALUE($D1480)&lt;100000000,VALUE($D1480),1000000000),IFERROR(IF(VALUE(MID($D1480,2,20))&lt;100000000,VALUE(MID($D1480,2,20)),1000000000),1000000000))+ROW()/100000,"")</f>
        <v/>
      </c>
    </row>
    <row r="1481">
      <c r="F1481" s="11" t="n"/>
      <c r="N1481" s="7">
        <f>IF($D1481="","",M1481*X1481/100)</f>
        <v/>
      </c>
      <c r="O1481" s="7" t="n"/>
      <c r="U1481" s="7" t="n"/>
      <c r="V1481" s="7" t="n"/>
      <c r="W1481" s="7">
        <f>IF($D1481="","",V1481*AB1481/100)</f>
        <v/>
      </c>
      <c r="X1481" s="7">
        <f>IF($D1481="","",V1481-W1481)</f>
        <v/>
      </c>
      <c r="Y1481" s="7">
        <f>IF($D1481="","",X1481-N1481)</f>
        <v/>
      </c>
      <c r="AB1481">
        <f>IF($D1481="","",IF($AN1481=1,Settings!$C$8,IF($AM1481=1,Settings!$C$6,Settings!$C$7))*100)</f>
        <v/>
      </c>
      <c r="AF1481" s="7" t="n"/>
      <c r="AI1481" s="11" t="n"/>
      <c r="AK1481">
        <f>IF($D1481="","",IF(COUNTIF($D$2:$D1481,$D1481)=1,1,0))</f>
        <v/>
      </c>
      <c r="AL1481">
        <f>IF($AK1481=1,SUMPRODUCT(--($AO$2:$AO$1601&lt;$AO1481))+1,"")</f>
        <v/>
      </c>
      <c r="AM1481">
        <f>IF($D1481="","",IF(OR($R1481=TRUE(),$R1481="TRUE"),1,0))</f>
        <v/>
      </c>
      <c r="AN1481">
        <f>IF($D1481="","",IF($AA1481="Yes",1,0))</f>
        <v/>
      </c>
      <c r="AO1481">
        <f>IF($AK1481=1,IFERROR(IF(VALUE($D1481)&lt;100000000,VALUE($D1481),1000000000),IFERROR(IF(VALUE(MID($D1481,2,20))&lt;100000000,VALUE(MID($D1481,2,20)),1000000000),1000000000))+ROW()/100000,"")</f>
        <v/>
      </c>
    </row>
    <row r="1482">
      <c r="F1482" s="11" t="n"/>
      <c r="N1482" s="7">
        <f>IF($D1482="","",M1482*X1482/100)</f>
        <v/>
      </c>
      <c r="O1482" s="7" t="n"/>
      <c r="U1482" s="7" t="n"/>
      <c r="V1482" s="7" t="n"/>
      <c r="W1482" s="7">
        <f>IF($D1482="","",V1482*AB1482/100)</f>
        <v/>
      </c>
      <c r="X1482" s="7">
        <f>IF($D1482="","",V1482-W1482)</f>
        <v/>
      </c>
      <c r="Y1482" s="7">
        <f>IF($D1482="","",X1482-N1482)</f>
        <v/>
      </c>
      <c r="AB1482">
        <f>IF($D1482="","",IF($AN1482=1,Settings!$C$8,IF($AM1482=1,Settings!$C$6,Settings!$C$7))*100)</f>
        <v/>
      </c>
      <c r="AF1482" s="7" t="n"/>
      <c r="AI1482" s="11" t="n"/>
      <c r="AK1482">
        <f>IF($D1482="","",IF(COUNTIF($D$2:$D1482,$D1482)=1,1,0))</f>
        <v/>
      </c>
      <c r="AL1482">
        <f>IF($AK1482=1,SUMPRODUCT(--($AO$2:$AO$1601&lt;$AO1482))+1,"")</f>
        <v/>
      </c>
      <c r="AM1482">
        <f>IF($D1482="","",IF(OR($R1482=TRUE(),$R1482="TRUE"),1,0))</f>
        <v/>
      </c>
      <c r="AN1482">
        <f>IF($D1482="","",IF($AA1482="Yes",1,0))</f>
        <v/>
      </c>
      <c r="AO1482">
        <f>IF($AK1482=1,IFERROR(IF(VALUE($D1482)&lt;100000000,VALUE($D1482),1000000000),IFERROR(IF(VALUE(MID($D1482,2,20))&lt;100000000,VALUE(MID($D1482,2,20)),1000000000),1000000000))+ROW()/100000,"")</f>
        <v/>
      </c>
    </row>
    <row r="1483">
      <c r="F1483" s="11" t="n"/>
      <c r="N1483" s="7">
        <f>IF($D1483="","",M1483*X1483/100)</f>
        <v/>
      </c>
      <c r="O1483" s="7" t="n"/>
      <c r="U1483" s="7" t="n"/>
      <c r="V1483" s="7" t="n"/>
      <c r="W1483" s="7">
        <f>IF($D1483="","",V1483*AB1483/100)</f>
        <v/>
      </c>
      <c r="X1483" s="7">
        <f>IF($D1483="","",V1483-W1483)</f>
        <v/>
      </c>
      <c r="Y1483" s="7">
        <f>IF($D1483="","",X1483-N1483)</f>
        <v/>
      </c>
      <c r="AB1483">
        <f>IF($D1483="","",IF($AN1483=1,Settings!$C$8,IF($AM1483=1,Settings!$C$6,Settings!$C$7))*100)</f>
        <v/>
      </c>
      <c r="AF1483" s="7" t="n"/>
      <c r="AI1483" s="11" t="n"/>
      <c r="AK1483">
        <f>IF($D1483="","",IF(COUNTIF($D$2:$D1483,$D1483)=1,1,0))</f>
        <v/>
      </c>
      <c r="AL1483">
        <f>IF($AK1483=1,SUMPRODUCT(--($AO$2:$AO$1601&lt;$AO1483))+1,"")</f>
        <v/>
      </c>
      <c r="AM1483">
        <f>IF($D1483="","",IF(OR($R1483=TRUE(),$R1483="TRUE"),1,0))</f>
        <v/>
      </c>
      <c r="AN1483">
        <f>IF($D1483="","",IF($AA1483="Yes",1,0))</f>
        <v/>
      </c>
      <c r="AO1483">
        <f>IF($AK1483=1,IFERROR(IF(VALUE($D1483)&lt;100000000,VALUE($D1483),1000000000),IFERROR(IF(VALUE(MID($D1483,2,20))&lt;100000000,VALUE(MID($D1483,2,20)),1000000000),1000000000))+ROW()/100000,"")</f>
        <v/>
      </c>
    </row>
    <row r="1484">
      <c r="F1484" s="11" t="n"/>
      <c r="N1484" s="7">
        <f>IF($D1484="","",M1484*X1484/100)</f>
        <v/>
      </c>
      <c r="O1484" s="7" t="n"/>
      <c r="U1484" s="7" t="n"/>
      <c r="V1484" s="7" t="n"/>
      <c r="W1484" s="7">
        <f>IF($D1484="","",V1484*AB1484/100)</f>
        <v/>
      </c>
      <c r="X1484" s="7">
        <f>IF($D1484="","",V1484-W1484)</f>
        <v/>
      </c>
      <c r="Y1484" s="7">
        <f>IF($D1484="","",X1484-N1484)</f>
        <v/>
      </c>
      <c r="AB1484">
        <f>IF($D1484="","",IF($AN1484=1,Settings!$C$8,IF($AM1484=1,Settings!$C$6,Settings!$C$7))*100)</f>
        <v/>
      </c>
      <c r="AF1484" s="7" t="n"/>
      <c r="AI1484" s="11" t="n"/>
      <c r="AK1484">
        <f>IF($D1484="","",IF(COUNTIF($D$2:$D1484,$D1484)=1,1,0))</f>
        <v/>
      </c>
      <c r="AL1484">
        <f>IF($AK1484=1,SUMPRODUCT(--($AO$2:$AO$1601&lt;$AO1484))+1,"")</f>
        <v/>
      </c>
      <c r="AM1484">
        <f>IF($D1484="","",IF(OR($R1484=TRUE(),$R1484="TRUE"),1,0))</f>
        <v/>
      </c>
      <c r="AN1484">
        <f>IF($D1484="","",IF($AA1484="Yes",1,0))</f>
        <v/>
      </c>
      <c r="AO1484">
        <f>IF($AK1484=1,IFERROR(IF(VALUE($D1484)&lt;100000000,VALUE($D1484),1000000000),IFERROR(IF(VALUE(MID($D1484,2,20))&lt;100000000,VALUE(MID($D1484,2,20)),1000000000),1000000000))+ROW()/100000,"")</f>
        <v/>
      </c>
    </row>
    <row r="1485">
      <c r="F1485" s="11" t="n"/>
      <c r="N1485" s="7">
        <f>IF($D1485="","",M1485*X1485/100)</f>
        <v/>
      </c>
      <c r="O1485" s="7" t="n"/>
      <c r="U1485" s="7" t="n"/>
      <c r="V1485" s="7" t="n"/>
      <c r="W1485" s="7">
        <f>IF($D1485="","",V1485*AB1485/100)</f>
        <v/>
      </c>
      <c r="X1485" s="7">
        <f>IF($D1485="","",V1485-W1485)</f>
        <v/>
      </c>
      <c r="Y1485" s="7">
        <f>IF($D1485="","",X1485-N1485)</f>
        <v/>
      </c>
      <c r="AB1485">
        <f>IF($D1485="","",IF($AN1485=1,Settings!$C$8,IF($AM1485=1,Settings!$C$6,Settings!$C$7))*100)</f>
        <v/>
      </c>
      <c r="AF1485" s="7" t="n"/>
      <c r="AI1485" s="11" t="n"/>
      <c r="AK1485">
        <f>IF($D1485="","",IF(COUNTIF($D$2:$D1485,$D1485)=1,1,0))</f>
        <v/>
      </c>
      <c r="AL1485">
        <f>IF($AK1485=1,SUMPRODUCT(--($AO$2:$AO$1601&lt;$AO1485))+1,"")</f>
        <v/>
      </c>
      <c r="AM1485">
        <f>IF($D1485="","",IF(OR($R1485=TRUE(),$R1485="TRUE"),1,0))</f>
        <v/>
      </c>
      <c r="AN1485">
        <f>IF($D1485="","",IF($AA1485="Yes",1,0))</f>
        <v/>
      </c>
      <c r="AO1485">
        <f>IF($AK1485=1,IFERROR(IF(VALUE($D1485)&lt;100000000,VALUE($D1485),1000000000),IFERROR(IF(VALUE(MID($D1485,2,20))&lt;100000000,VALUE(MID($D1485,2,20)),1000000000),1000000000))+ROW()/100000,"")</f>
        <v/>
      </c>
    </row>
    <row r="1486">
      <c r="F1486" s="11" t="n"/>
      <c r="N1486" s="7">
        <f>IF($D1486="","",M1486*X1486/100)</f>
        <v/>
      </c>
      <c r="O1486" s="7" t="n"/>
      <c r="U1486" s="7" t="n"/>
      <c r="V1486" s="7" t="n"/>
      <c r="W1486" s="7">
        <f>IF($D1486="","",V1486*AB1486/100)</f>
        <v/>
      </c>
      <c r="X1486" s="7">
        <f>IF($D1486="","",V1486-W1486)</f>
        <v/>
      </c>
      <c r="Y1486" s="7">
        <f>IF($D1486="","",X1486-N1486)</f>
        <v/>
      </c>
      <c r="AB1486">
        <f>IF($D1486="","",IF($AN1486=1,Settings!$C$8,IF($AM1486=1,Settings!$C$6,Settings!$C$7))*100)</f>
        <v/>
      </c>
      <c r="AF1486" s="7" t="n"/>
      <c r="AI1486" s="11" t="n"/>
      <c r="AK1486">
        <f>IF($D1486="","",IF(COUNTIF($D$2:$D1486,$D1486)=1,1,0))</f>
        <v/>
      </c>
      <c r="AL1486">
        <f>IF($AK1486=1,SUMPRODUCT(--($AO$2:$AO$1601&lt;$AO1486))+1,"")</f>
        <v/>
      </c>
      <c r="AM1486">
        <f>IF($D1486="","",IF(OR($R1486=TRUE(),$R1486="TRUE"),1,0))</f>
        <v/>
      </c>
      <c r="AN1486">
        <f>IF($D1486="","",IF($AA1486="Yes",1,0))</f>
        <v/>
      </c>
      <c r="AO1486">
        <f>IF($AK1486=1,IFERROR(IF(VALUE($D1486)&lt;100000000,VALUE($D1486),1000000000),IFERROR(IF(VALUE(MID($D1486,2,20))&lt;100000000,VALUE(MID($D1486,2,20)),1000000000),1000000000))+ROW()/100000,"")</f>
        <v/>
      </c>
    </row>
    <row r="1487">
      <c r="F1487" s="11" t="n"/>
      <c r="N1487" s="7">
        <f>IF($D1487="","",M1487*X1487/100)</f>
        <v/>
      </c>
      <c r="O1487" s="7" t="n"/>
      <c r="U1487" s="7" t="n"/>
      <c r="V1487" s="7" t="n"/>
      <c r="W1487" s="7">
        <f>IF($D1487="","",V1487*AB1487/100)</f>
        <v/>
      </c>
      <c r="X1487" s="7">
        <f>IF($D1487="","",V1487-W1487)</f>
        <v/>
      </c>
      <c r="Y1487" s="7">
        <f>IF($D1487="","",X1487-N1487)</f>
        <v/>
      </c>
      <c r="AB1487">
        <f>IF($D1487="","",IF($AN1487=1,Settings!$C$8,IF($AM1487=1,Settings!$C$6,Settings!$C$7))*100)</f>
        <v/>
      </c>
      <c r="AF1487" s="7" t="n"/>
      <c r="AI1487" s="11" t="n"/>
      <c r="AK1487">
        <f>IF($D1487="","",IF(COUNTIF($D$2:$D1487,$D1487)=1,1,0))</f>
        <v/>
      </c>
      <c r="AL1487">
        <f>IF($AK1487=1,SUMPRODUCT(--($AO$2:$AO$1601&lt;$AO1487))+1,"")</f>
        <v/>
      </c>
      <c r="AM1487">
        <f>IF($D1487="","",IF(OR($R1487=TRUE(),$R1487="TRUE"),1,0))</f>
        <v/>
      </c>
      <c r="AN1487">
        <f>IF($D1487="","",IF($AA1487="Yes",1,0))</f>
        <v/>
      </c>
      <c r="AO1487">
        <f>IF($AK1487=1,IFERROR(IF(VALUE($D1487)&lt;100000000,VALUE($D1487),1000000000),IFERROR(IF(VALUE(MID($D1487,2,20))&lt;100000000,VALUE(MID($D1487,2,20)),1000000000),1000000000))+ROW()/100000,"")</f>
        <v/>
      </c>
    </row>
    <row r="1488">
      <c r="F1488" s="11" t="n"/>
      <c r="N1488" s="7">
        <f>IF($D1488="","",M1488*X1488/100)</f>
        <v/>
      </c>
      <c r="O1488" s="7" t="n"/>
      <c r="U1488" s="7" t="n"/>
      <c r="V1488" s="7" t="n"/>
      <c r="W1488" s="7">
        <f>IF($D1488="","",V1488*AB1488/100)</f>
        <v/>
      </c>
      <c r="X1488" s="7">
        <f>IF($D1488="","",V1488-W1488)</f>
        <v/>
      </c>
      <c r="Y1488" s="7">
        <f>IF($D1488="","",X1488-N1488)</f>
        <v/>
      </c>
      <c r="AB1488">
        <f>IF($D1488="","",IF($AN1488=1,Settings!$C$8,IF($AM1488=1,Settings!$C$6,Settings!$C$7))*100)</f>
        <v/>
      </c>
      <c r="AF1488" s="7" t="n"/>
      <c r="AI1488" s="11" t="n"/>
      <c r="AK1488">
        <f>IF($D1488="","",IF(COUNTIF($D$2:$D1488,$D1488)=1,1,0))</f>
        <v/>
      </c>
      <c r="AL1488">
        <f>IF($AK1488=1,SUMPRODUCT(--($AO$2:$AO$1601&lt;$AO1488))+1,"")</f>
        <v/>
      </c>
      <c r="AM1488">
        <f>IF($D1488="","",IF(OR($R1488=TRUE(),$R1488="TRUE"),1,0))</f>
        <v/>
      </c>
      <c r="AN1488">
        <f>IF($D1488="","",IF($AA1488="Yes",1,0))</f>
        <v/>
      </c>
      <c r="AO1488">
        <f>IF($AK1488=1,IFERROR(IF(VALUE($D1488)&lt;100000000,VALUE($D1488),1000000000),IFERROR(IF(VALUE(MID($D1488,2,20))&lt;100000000,VALUE(MID($D1488,2,20)),1000000000),1000000000))+ROW()/100000,"")</f>
        <v/>
      </c>
    </row>
    <row r="1489">
      <c r="F1489" s="11" t="n"/>
      <c r="N1489" s="7">
        <f>IF($D1489="","",M1489*X1489/100)</f>
        <v/>
      </c>
      <c r="O1489" s="7" t="n"/>
      <c r="U1489" s="7" t="n"/>
      <c r="V1489" s="7" t="n"/>
      <c r="W1489" s="7">
        <f>IF($D1489="","",V1489*AB1489/100)</f>
        <v/>
      </c>
      <c r="X1489" s="7">
        <f>IF($D1489="","",V1489-W1489)</f>
        <v/>
      </c>
      <c r="Y1489" s="7">
        <f>IF($D1489="","",X1489-N1489)</f>
        <v/>
      </c>
      <c r="AB1489">
        <f>IF($D1489="","",IF($AN1489=1,Settings!$C$8,IF($AM1489=1,Settings!$C$6,Settings!$C$7))*100)</f>
        <v/>
      </c>
      <c r="AF1489" s="7" t="n"/>
      <c r="AI1489" s="11" t="n"/>
      <c r="AK1489">
        <f>IF($D1489="","",IF(COUNTIF($D$2:$D1489,$D1489)=1,1,0))</f>
        <v/>
      </c>
      <c r="AL1489">
        <f>IF($AK1489=1,SUMPRODUCT(--($AO$2:$AO$1601&lt;$AO1489))+1,"")</f>
        <v/>
      </c>
      <c r="AM1489">
        <f>IF($D1489="","",IF(OR($R1489=TRUE(),$R1489="TRUE"),1,0))</f>
        <v/>
      </c>
      <c r="AN1489">
        <f>IF($D1489="","",IF($AA1489="Yes",1,0))</f>
        <v/>
      </c>
      <c r="AO1489">
        <f>IF($AK1489=1,IFERROR(IF(VALUE($D1489)&lt;100000000,VALUE($D1489),1000000000),IFERROR(IF(VALUE(MID($D1489,2,20))&lt;100000000,VALUE(MID($D1489,2,20)),1000000000),1000000000))+ROW()/100000,"")</f>
        <v/>
      </c>
    </row>
    <row r="1490">
      <c r="F1490" s="11" t="n"/>
      <c r="N1490" s="7">
        <f>IF($D1490="","",M1490*X1490/100)</f>
        <v/>
      </c>
      <c r="O1490" s="7" t="n"/>
      <c r="U1490" s="7" t="n"/>
      <c r="V1490" s="7" t="n"/>
      <c r="W1490" s="7">
        <f>IF($D1490="","",V1490*AB1490/100)</f>
        <v/>
      </c>
      <c r="X1490" s="7">
        <f>IF($D1490="","",V1490-W1490)</f>
        <v/>
      </c>
      <c r="Y1490" s="7">
        <f>IF($D1490="","",X1490-N1490)</f>
        <v/>
      </c>
      <c r="AB1490">
        <f>IF($D1490="","",IF($AN1490=1,Settings!$C$8,IF($AM1490=1,Settings!$C$6,Settings!$C$7))*100)</f>
        <v/>
      </c>
      <c r="AF1490" s="7" t="n"/>
      <c r="AI1490" s="11" t="n"/>
      <c r="AK1490">
        <f>IF($D1490="","",IF(COUNTIF($D$2:$D1490,$D1490)=1,1,0))</f>
        <v/>
      </c>
      <c r="AL1490">
        <f>IF($AK1490=1,SUMPRODUCT(--($AO$2:$AO$1601&lt;$AO1490))+1,"")</f>
        <v/>
      </c>
      <c r="AM1490">
        <f>IF($D1490="","",IF(OR($R1490=TRUE(),$R1490="TRUE"),1,0))</f>
        <v/>
      </c>
      <c r="AN1490">
        <f>IF($D1490="","",IF($AA1490="Yes",1,0))</f>
        <v/>
      </c>
      <c r="AO1490">
        <f>IF($AK1490=1,IFERROR(IF(VALUE($D1490)&lt;100000000,VALUE($D1490),1000000000),IFERROR(IF(VALUE(MID($D1490,2,20))&lt;100000000,VALUE(MID($D1490,2,20)),1000000000),1000000000))+ROW()/100000,"")</f>
        <v/>
      </c>
    </row>
    <row r="1491">
      <c r="F1491" s="11" t="n"/>
      <c r="N1491" s="7">
        <f>IF($D1491="","",M1491*X1491/100)</f>
        <v/>
      </c>
      <c r="O1491" s="7" t="n"/>
      <c r="U1491" s="7" t="n"/>
      <c r="V1491" s="7" t="n"/>
      <c r="W1491" s="7">
        <f>IF($D1491="","",V1491*AB1491/100)</f>
        <v/>
      </c>
      <c r="X1491" s="7">
        <f>IF($D1491="","",V1491-W1491)</f>
        <v/>
      </c>
      <c r="Y1491" s="7">
        <f>IF($D1491="","",X1491-N1491)</f>
        <v/>
      </c>
      <c r="AB1491">
        <f>IF($D1491="","",IF($AN1491=1,Settings!$C$8,IF($AM1491=1,Settings!$C$6,Settings!$C$7))*100)</f>
        <v/>
      </c>
      <c r="AF1491" s="7" t="n"/>
      <c r="AI1491" s="11" t="n"/>
      <c r="AK1491">
        <f>IF($D1491="","",IF(COUNTIF($D$2:$D1491,$D1491)=1,1,0))</f>
        <v/>
      </c>
      <c r="AL1491">
        <f>IF($AK1491=1,SUMPRODUCT(--($AO$2:$AO$1601&lt;$AO1491))+1,"")</f>
        <v/>
      </c>
      <c r="AM1491">
        <f>IF($D1491="","",IF(OR($R1491=TRUE(),$R1491="TRUE"),1,0))</f>
        <v/>
      </c>
      <c r="AN1491">
        <f>IF($D1491="","",IF($AA1491="Yes",1,0))</f>
        <v/>
      </c>
      <c r="AO1491">
        <f>IF($AK1491=1,IFERROR(IF(VALUE($D1491)&lt;100000000,VALUE($D1491),1000000000),IFERROR(IF(VALUE(MID($D1491,2,20))&lt;100000000,VALUE(MID($D1491,2,20)),1000000000),1000000000))+ROW()/100000,"")</f>
        <v/>
      </c>
    </row>
    <row r="1492">
      <c r="F1492" s="11" t="n"/>
      <c r="N1492" s="7">
        <f>IF($D1492="","",M1492*X1492/100)</f>
        <v/>
      </c>
      <c r="O1492" s="7" t="n"/>
      <c r="U1492" s="7" t="n"/>
      <c r="V1492" s="7" t="n"/>
      <c r="W1492" s="7">
        <f>IF($D1492="","",V1492*AB1492/100)</f>
        <v/>
      </c>
      <c r="X1492" s="7">
        <f>IF($D1492="","",V1492-W1492)</f>
        <v/>
      </c>
      <c r="Y1492" s="7">
        <f>IF($D1492="","",X1492-N1492)</f>
        <v/>
      </c>
      <c r="AB1492">
        <f>IF($D1492="","",IF($AN1492=1,Settings!$C$8,IF($AM1492=1,Settings!$C$6,Settings!$C$7))*100)</f>
        <v/>
      </c>
      <c r="AF1492" s="7" t="n"/>
      <c r="AI1492" s="11" t="n"/>
      <c r="AK1492">
        <f>IF($D1492="","",IF(COUNTIF($D$2:$D1492,$D1492)=1,1,0))</f>
        <v/>
      </c>
      <c r="AL1492">
        <f>IF($AK1492=1,SUMPRODUCT(--($AO$2:$AO$1601&lt;$AO1492))+1,"")</f>
        <v/>
      </c>
      <c r="AM1492">
        <f>IF($D1492="","",IF(OR($R1492=TRUE(),$R1492="TRUE"),1,0))</f>
        <v/>
      </c>
      <c r="AN1492">
        <f>IF($D1492="","",IF($AA1492="Yes",1,0))</f>
        <v/>
      </c>
      <c r="AO1492">
        <f>IF($AK1492=1,IFERROR(IF(VALUE($D1492)&lt;100000000,VALUE($D1492),1000000000),IFERROR(IF(VALUE(MID($D1492,2,20))&lt;100000000,VALUE(MID($D1492,2,20)),1000000000),1000000000))+ROW()/100000,"")</f>
        <v/>
      </c>
    </row>
    <row r="1493">
      <c r="F1493" s="11" t="n"/>
      <c r="N1493" s="7">
        <f>IF($D1493="","",M1493*X1493/100)</f>
        <v/>
      </c>
      <c r="O1493" s="7" t="n"/>
      <c r="U1493" s="7" t="n"/>
      <c r="V1493" s="7" t="n"/>
      <c r="W1493" s="7">
        <f>IF($D1493="","",V1493*AB1493/100)</f>
        <v/>
      </c>
      <c r="X1493" s="7">
        <f>IF($D1493="","",V1493-W1493)</f>
        <v/>
      </c>
      <c r="Y1493" s="7">
        <f>IF($D1493="","",X1493-N1493)</f>
        <v/>
      </c>
      <c r="AB1493">
        <f>IF($D1493="","",IF($AN1493=1,Settings!$C$8,IF($AM1493=1,Settings!$C$6,Settings!$C$7))*100)</f>
        <v/>
      </c>
      <c r="AF1493" s="7" t="n"/>
      <c r="AI1493" s="11" t="n"/>
      <c r="AK1493">
        <f>IF($D1493="","",IF(COUNTIF($D$2:$D1493,$D1493)=1,1,0))</f>
        <v/>
      </c>
      <c r="AL1493">
        <f>IF($AK1493=1,SUMPRODUCT(--($AO$2:$AO$1601&lt;$AO1493))+1,"")</f>
        <v/>
      </c>
      <c r="AM1493">
        <f>IF($D1493="","",IF(OR($R1493=TRUE(),$R1493="TRUE"),1,0))</f>
        <v/>
      </c>
      <c r="AN1493">
        <f>IF($D1493="","",IF($AA1493="Yes",1,0))</f>
        <v/>
      </c>
      <c r="AO1493">
        <f>IF($AK1493=1,IFERROR(IF(VALUE($D1493)&lt;100000000,VALUE($D1493),1000000000),IFERROR(IF(VALUE(MID($D1493,2,20))&lt;100000000,VALUE(MID($D1493,2,20)),1000000000),1000000000))+ROW()/100000,"")</f>
        <v/>
      </c>
    </row>
    <row r="1494">
      <c r="F1494" s="11" t="n"/>
      <c r="N1494" s="7">
        <f>IF($D1494="","",M1494*X1494/100)</f>
        <v/>
      </c>
      <c r="O1494" s="7" t="n"/>
      <c r="U1494" s="7" t="n"/>
      <c r="V1494" s="7" t="n"/>
      <c r="W1494" s="7">
        <f>IF($D1494="","",V1494*AB1494/100)</f>
        <v/>
      </c>
      <c r="X1494" s="7">
        <f>IF($D1494="","",V1494-W1494)</f>
        <v/>
      </c>
      <c r="Y1494" s="7">
        <f>IF($D1494="","",X1494-N1494)</f>
        <v/>
      </c>
      <c r="AB1494">
        <f>IF($D1494="","",IF($AN1494=1,Settings!$C$8,IF($AM1494=1,Settings!$C$6,Settings!$C$7))*100)</f>
        <v/>
      </c>
      <c r="AF1494" s="7" t="n"/>
      <c r="AI1494" s="11" t="n"/>
      <c r="AK1494">
        <f>IF($D1494="","",IF(COUNTIF($D$2:$D1494,$D1494)=1,1,0))</f>
        <v/>
      </c>
      <c r="AL1494">
        <f>IF($AK1494=1,SUMPRODUCT(--($AO$2:$AO$1601&lt;$AO1494))+1,"")</f>
        <v/>
      </c>
      <c r="AM1494">
        <f>IF($D1494="","",IF(OR($R1494=TRUE(),$R1494="TRUE"),1,0))</f>
        <v/>
      </c>
      <c r="AN1494">
        <f>IF($D1494="","",IF($AA1494="Yes",1,0))</f>
        <v/>
      </c>
      <c r="AO1494">
        <f>IF($AK1494=1,IFERROR(IF(VALUE($D1494)&lt;100000000,VALUE($D1494),1000000000),IFERROR(IF(VALUE(MID($D1494,2,20))&lt;100000000,VALUE(MID($D1494,2,20)),1000000000),1000000000))+ROW()/100000,"")</f>
        <v/>
      </c>
    </row>
    <row r="1495">
      <c r="F1495" s="11" t="n"/>
      <c r="N1495" s="7">
        <f>IF($D1495="","",M1495*X1495/100)</f>
        <v/>
      </c>
      <c r="O1495" s="7" t="n"/>
      <c r="U1495" s="7" t="n"/>
      <c r="V1495" s="7" t="n"/>
      <c r="W1495" s="7">
        <f>IF($D1495="","",V1495*AB1495/100)</f>
        <v/>
      </c>
      <c r="X1495" s="7">
        <f>IF($D1495="","",V1495-W1495)</f>
        <v/>
      </c>
      <c r="Y1495" s="7">
        <f>IF($D1495="","",X1495-N1495)</f>
        <v/>
      </c>
      <c r="AB1495">
        <f>IF($D1495="","",IF($AN1495=1,Settings!$C$8,IF($AM1495=1,Settings!$C$6,Settings!$C$7))*100)</f>
        <v/>
      </c>
      <c r="AF1495" s="7" t="n"/>
      <c r="AI1495" s="11" t="n"/>
      <c r="AK1495">
        <f>IF($D1495="","",IF(COUNTIF($D$2:$D1495,$D1495)=1,1,0))</f>
        <v/>
      </c>
      <c r="AL1495">
        <f>IF($AK1495=1,SUMPRODUCT(--($AO$2:$AO$1601&lt;$AO1495))+1,"")</f>
        <v/>
      </c>
      <c r="AM1495">
        <f>IF($D1495="","",IF(OR($R1495=TRUE(),$R1495="TRUE"),1,0))</f>
        <v/>
      </c>
      <c r="AN1495">
        <f>IF($D1495="","",IF($AA1495="Yes",1,0))</f>
        <v/>
      </c>
      <c r="AO1495">
        <f>IF($AK1495=1,IFERROR(IF(VALUE($D1495)&lt;100000000,VALUE($D1495),1000000000),IFERROR(IF(VALUE(MID($D1495,2,20))&lt;100000000,VALUE(MID($D1495,2,20)),1000000000),1000000000))+ROW()/100000,"")</f>
        <v/>
      </c>
    </row>
    <row r="1496">
      <c r="F1496" s="11" t="n"/>
      <c r="N1496" s="7">
        <f>IF($D1496="","",M1496*X1496/100)</f>
        <v/>
      </c>
      <c r="O1496" s="7" t="n"/>
      <c r="U1496" s="7" t="n"/>
      <c r="V1496" s="7" t="n"/>
      <c r="W1496" s="7">
        <f>IF($D1496="","",V1496*AB1496/100)</f>
        <v/>
      </c>
      <c r="X1496" s="7">
        <f>IF($D1496="","",V1496-W1496)</f>
        <v/>
      </c>
      <c r="Y1496" s="7">
        <f>IF($D1496="","",X1496-N1496)</f>
        <v/>
      </c>
      <c r="AB1496">
        <f>IF($D1496="","",IF($AN1496=1,Settings!$C$8,IF($AM1496=1,Settings!$C$6,Settings!$C$7))*100)</f>
        <v/>
      </c>
      <c r="AF1496" s="7" t="n"/>
      <c r="AI1496" s="11" t="n"/>
      <c r="AK1496">
        <f>IF($D1496="","",IF(COUNTIF($D$2:$D1496,$D1496)=1,1,0))</f>
        <v/>
      </c>
      <c r="AL1496">
        <f>IF($AK1496=1,SUMPRODUCT(--($AO$2:$AO$1601&lt;$AO1496))+1,"")</f>
        <v/>
      </c>
      <c r="AM1496">
        <f>IF($D1496="","",IF(OR($R1496=TRUE(),$R1496="TRUE"),1,0))</f>
        <v/>
      </c>
      <c r="AN1496">
        <f>IF($D1496="","",IF($AA1496="Yes",1,0))</f>
        <v/>
      </c>
      <c r="AO1496">
        <f>IF($AK1496=1,IFERROR(IF(VALUE($D1496)&lt;100000000,VALUE($D1496),1000000000),IFERROR(IF(VALUE(MID($D1496,2,20))&lt;100000000,VALUE(MID($D1496,2,20)),1000000000),1000000000))+ROW()/100000,"")</f>
        <v/>
      </c>
    </row>
    <row r="1497">
      <c r="F1497" s="11" t="n"/>
      <c r="N1497" s="7">
        <f>IF($D1497="","",M1497*X1497/100)</f>
        <v/>
      </c>
      <c r="O1497" s="7" t="n"/>
      <c r="U1497" s="7" t="n"/>
      <c r="V1497" s="7" t="n"/>
      <c r="W1497" s="7">
        <f>IF($D1497="","",V1497*AB1497/100)</f>
        <v/>
      </c>
      <c r="X1497" s="7">
        <f>IF($D1497="","",V1497-W1497)</f>
        <v/>
      </c>
      <c r="Y1497" s="7">
        <f>IF($D1497="","",X1497-N1497)</f>
        <v/>
      </c>
      <c r="AB1497">
        <f>IF($D1497="","",IF($AN1497=1,Settings!$C$8,IF($AM1497=1,Settings!$C$6,Settings!$C$7))*100)</f>
        <v/>
      </c>
      <c r="AF1497" s="7" t="n"/>
      <c r="AI1497" s="11" t="n"/>
      <c r="AK1497">
        <f>IF($D1497="","",IF(COUNTIF($D$2:$D1497,$D1497)=1,1,0))</f>
        <v/>
      </c>
      <c r="AL1497">
        <f>IF($AK1497=1,SUMPRODUCT(--($AO$2:$AO$1601&lt;$AO1497))+1,"")</f>
        <v/>
      </c>
      <c r="AM1497">
        <f>IF($D1497="","",IF(OR($R1497=TRUE(),$R1497="TRUE"),1,0))</f>
        <v/>
      </c>
      <c r="AN1497">
        <f>IF($D1497="","",IF($AA1497="Yes",1,0))</f>
        <v/>
      </c>
      <c r="AO1497">
        <f>IF($AK1497=1,IFERROR(IF(VALUE($D1497)&lt;100000000,VALUE($D1497),1000000000),IFERROR(IF(VALUE(MID($D1497,2,20))&lt;100000000,VALUE(MID($D1497,2,20)),1000000000),1000000000))+ROW()/100000,"")</f>
        <v/>
      </c>
    </row>
    <row r="1498">
      <c r="F1498" s="11" t="n"/>
      <c r="N1498" s="7">
        <f>IF($D1498="","",M1498*X1498/100)</f>
        <v/>
      </c>
      <c r="O1498" s="7" t="n"/>
      <c r="U1498" s="7" t="n"/>
      <c r="V1498" s="7" t="n"/>
      <c r="W1498" s="7">
        <f>IF($D1498="","",V1498*AB1498/100)</f>
        <v/>
      </c>
      <c r="X1498" s="7">
        <f>IF($D1498="","",V1498-W1498)</f>
        <v/>
      </c>
      <c r="Y1498" s="7">
        <f>IF($D1498="","",X1498-N1498)</f>
        <v/>
      </c>
      <c r="AB1498">
        <f>IF($D1498="","",IF($AN1498=1,Settings!$C$8,IF($AM1498=1,Settings!$C$6,Settings!$C$7))*100)</f>
        <v/>
      </c>
      <c r="AF1498" s="7" t="n"/>
      <c r="AI1498" s="11" t="n"/>
      <c r="AK1498">
        <f>IF($D1498="","",IF(COUNTIF($D$2:$D1498,$D1498)=1,1,0))</f>
        <v/>
      </c>
      <c r="AL1498">
        <f>IF($AK1498=1,SUMPRODUCT(--($AO$2:$AO$1601&lt;$AO1498))+1,"")</f>
        <v/>
      </c>
      <c r="AM1498">
        <f>IF($D1498="","",IF(OR($R1498=TRUE(),$R1498="TRUE"),1,0))</f>
        <v/>
      </c>
      <c r="AN1498">
        <f>IF($D1498="","",IF($AA1498="Yes",1,0))</f>
        <v/>
      </c>
      <c r="AO1498">
        <f>IF($AK1498=1,IFERROR(IF(VALUE($D1498)&lt;100000000,VALUE($D1498),1000000000),IFERROR(IF(VALUE(MID($D1498,2,20))&lt;100000000,VALUE(MID($D1498,2,20)),1000000000),1000000000))+ROW()/100000,"")</f>
        <v/>
      </c>
    </row>
    <row r="1499">
      <c r="F1499" s="11" t="n"/>
      <c r="N1499" s="7">
        <f>IF($D1499="","",M1499*X1499/100)</f>
        <v/>
      </c>
      <c r="O1499" s="7" t="n"/>
      <c r="U1499" s="7" t="n"/>
      <c r="V1499" s="7" t="n"/>
      <c r="W1499" s="7">
        <f>IF($D1499="","",V1499*AB1499/100)</f>
        <v/>
      </c>
      <c r="X1499" s="7">
        <f>IF($D1499="","",V1499-W1499)</f>
        <v/>
      </c>
      <c r="Y1499" s="7">
        <f>IF($D1499="","",X1499-N1499)</f>
        <v/>
      </c>
      <c r="AB1499">
        <f>IF($D1499="","",IF($AN1499=1,Settings!$C$8,IF($AM1499=1,Settings!$C$6,Settings!$C$7))*100)</f>
        <v/>
      </c>
      <c r="AF1499" s="7" t="n"/>
      <c r="AI1499" s="11" t="n"/>
      <c r="AK1499">
        <f>IF($D1499="","",IF(COUNTIF($D$2:$D1499,$D1499)=1,1,0))</f>
        <v/>
      </c>
      <c r="AL1499">
        <f>IF($AK1499=1,SUMPRODUCT(--($AO$2:$AO$1601&lt;$AO1499))+1,"")</f>
        <v/>
      </c>
      <c r="AM1499">
        <f>IF($D1499="","",IF(OR($R1499=TRUE(),$R1499="TRUE"),1,0))</f>
        <v/>
      </c>
      <c r="AN1499">
        <f>IF($D1499="","",IF($AA1499="Yes",1,0))</f>
        <v/>
      </c>
      <c r="AO1499">
        <f>IF($AK1499=1,IFERROR(IF(VALUE($D1499)&lt;100000000,VALUE($D1499),1000000000),IFERROR(IF(VALUE(MID($D1499,2,20))&lt;100000000,VALUE(MID($D1499,2,20)),1000000000),1000000000))+ROW()/100000,"")</f>
        <v/>
      </c>
    </row>
    <row r="1500">
      <c r="F1500" s="11" t="n"/>
      <c r="N1500" s="7">
        <f>IF($D1500="","",M1500*X1500/100)</f>
        <v/>
      </c>
      <c r="O1500" s="7" t="n"/>
      <c r="U1500" s="7" t="n"/>
      <c r="V1500" s="7" t="n"/>
      <c r="W1500" s="7">
        <f>IF($D1500="","",V1500*AB1500/100)</f>
        <v/>
      </c>
      <c r="X1500" s="7">
        <f>IF($D1500="","",V1500-W1500)</f>
        <v/>
      </c>
      <c r="Y1500" s="7">
        <f>IF($D1500="","",X1500-N1500)</f>
        <v/>
      </c>
      <c r="AB1500">
        <f>IF($D1500="","",IF($AN1500=1,Settings!$C$8,IF($AM1500=1,Settings!$C$6,Settings!$C$7))*100)</f>
        <v/>
      </c>
      <c r="AF1500" s="7" t="n"/>
      <c r="AI1500" s="11" t="n"/>
      <c r="AK1500">
        <f>IF($D1500="","",IF(COUNTIF($D$2:$D1500,$D1500)=1,1,0))</f>
        <v/>
      </c>
      <c r="AL1500">
        <f>IF($AK1500=1,SUMPRODUCT(--($AO$2:$AO$1601&lt;$AO1500))+1,"")</f>
        <v/>
      </c>
      <c r="AM1500">
        <f>IF($D1500="","",IF(OR($R1500=TRUE(),$R1500="TRUE"),1,0))</f>
        <v/>
      </c>
      <c r="AN1500">
        <f>IF($D1500="","",IF($AA1500="Yes",1,0))</f>
        <v/>
      </c>
      <c r="AO1500">
        <f>IF($AK1500=1,IFERROR(IF(VALUE($D1500)&lt;100000000,VALUE($D1500),1000000000),IFERROR(IF(VALUE(MID($D1500,2,20))&lt;100000000,VALUE(MID($D1500,2,20)),1000000000),1000000000))+ROW()/100000,"")</f>
        <v/>
      </c>
    </row>
    <row r="1501">
      <c r="F1501" s="11" t="n"/>
      <c r="N1501" s="7">
        <f>IF($D1501="","",M1501*X1501/100)</f>
        <v/>
      </c>
      <c r="O1501" s="7" t="n"/>
      <c r="U1501" s="7" t="n"/>
      <c r="V1501" s="7" t="n"/>
      <c r="W1501" s="7">
        <f>IF($D1501="","",V1501*AB1501/100)</f>
        <v/>
      </c>
      <c r="X1501" s="7">
        <f>IF($D1501="","",V1501-W1501)</f>
        <v/>
      </c>
      <c r="Y1501" s="7">
        <f>IF($D1501="","",X1501-N1501)</f>
        <v/>
      </c>
      <c r="AB1501">
        <f>IF($D1501="","",IF($AN1501=1,Settings!$C$8,IF($AM1501=1,Settings!$C$6,Settings!$C$7))*100)</f>
        <v/>
      </c>
      <c r="AF1501" s="7" t="n"/>
      <c r="AI1501" s="11" t="n"/>
      <c r="AK1501">
        <f>IF($D1501="","",IF(COUNTIF($D$2:$D1501,$D1501)=1,1,0))</f>
        <v/>
      </c>
      <c r="AL1501">
        <f>IF($AK1501=1,SUMPRODUCT(--($AO$2:$AO$1601&lt;$AO1501))+1,"")</f>
        <v/>
      </c>
      <c r="AM1501">
        <f>IF($D1501="","",IF(OR($R1501=TRUE(),$R1501="TRUE"),1,0))</f>
        <v/>
      </c>
      <c r="AN1501">
        <f>IF($D1501="","",IF($AA1501="Yes",1,0))</f>
        <v/>
      </c>
      <c r="AO1501">
        <f>IF($AK1501=1,IFERROR(IF(VALUE($D1501)&lt;100000000,VALUE($D1501),1000000000),IFERROR(IF(VALUE(MID($D1501,2,20))&lt;100000000,VALUE(MID($D1501,2,20)),1000000000),1000000000))+ROW()/100000,"")</f>
        <v/>
      </c>
    </row>
    <row r="1502">
      <c r="F1502" s="11" t="n"/>
      <c r="N1502" s="7">
        <f>IF($D1502="","",M1502*X1502/100)</f>
        <v/>
      </c>
      <c r="O1502" s="7" t="n"/>
      <c r="U1502" s="7" t="n"/>
      <c r="V1502" s="7" t="n"/>
      <c r="W1502" s="7">
        <f>IF($D1502="","",V1502*AB1502/100)</f>
        <v/>
      </c>
      <c r="X1502" s="7">
        <f>IF($D1502="","",V1502-W1502)</f>
        <v/>
      </c>
      <c r="Y1502" s="7">
        <f>IF($D1502="","",X1502-N1502)</f>
        <v/>
      </c>
      <c r="AB1502">
        <f>IF($D1502="","",IF($AN1502=1,Settings!$C$8,IF($AM1502=1,Settings!$C$6,Settings!$C$7))*100)</f>
        <v/>
      </c>
      <c r="AF1502" s="7" t="n"/>
      <c r="AI1502" s="11" t="n"/>
      <c r="AK1502">
        <f>IF($D1502="","",IF(COUNTIF($D$2:$D1502,$D1502)=1,1,0))</f>
        <v/>
      </c>
      <c r="AL1502">
        <f>IF($AK1502=1,SUMPRODUCT(--($AO$2:$AO$1601&lt;$AO1502))+1,"")</f>
        <v/>
      </c>
      <c r="AM1502">
        <f>IF($D1502="","",IF(OR($R1502=TRUE(),$R1502="TRUE"),1,0))</f>
        <v/>
      </c>
      <c r="AN1502">
        <f>IF($D1502="","",IF($AA1502="Yes",1,0))</f>
        <v/>
      </c>
      <c r="AO1502">
        <f>IF($AK1502=1,IFERROR(IF(VALUE($D1502)&lt;100000000,VALUE($D1502),1000000000),IFERROR(IF(VALUE(MID($D1502,2,20))&lt;100000000,VALUE(MID($D1502,2,20)),1000000000),1000000000))+ROW()/100000,"")</f>
        <v/>
      </c>
    </row>
    <row r="1503">
      <c r="F1503" s="11" t="n"/>
      <c r="N1503" s="7">
        <f>IF($D1503="","",M1503*X1503/100)</f>
        <v/>
      </c>
      <c r="O1503" s="7" t="n"/>
      <c r="U1503" s="7" t="n"/>
      <c r="V1503" s="7" t="n"/>
      <c r="W1503" s="7">
        <f>IF($D1503="","",V1503*AB1503/100)</f>
        <v/>
      </c>
      <c r="X1503" s="7">
        <f>IF($D1503="","",V1503-W1503)</f>
        <v/>
      </c>
      <c r="Y1503" s="7">
        <f>IF($D1503="","",X1503-N1503)</f>
        <v/>
      </c>
      <c r="AB1503">
        <f>IF($D1503="","",IF($AN1503=1,Settings!$C$8,IF($AM1503=1,Settings!$C$6,Settings!$C$7))*100)</f>
        <v/>
      </c>
      <c r="AF1503" s="7" t="n"/>
      <c r="AI1503" s="11" t="n"/>
      <c r="AK1503">
        <f>IF($D1503="","",IF(COUNTIF($D$2:$D1503,$D1503)=1,1,0))</f>
        <v/>
      </c>
      <c r="AL1503">
        <f>IF($AK1503=1,SUMPRODUCT(--($AO$2:$AO$1601&lt;$AO1503))+1,"")</f>
        <v/>
      </c>
      <c r="AM1503">
        <f>IF($D1503="","",IF(OR($R1503=TRUE(),$R1503="TRUE"),1,0))</f>
        <v/>
      </c>
      <c r="AN1503">
        <f>IF($D1503="","",IF($AA1503="Yes",1,0))</f>
        <v/>
      </c>
      <c r="AO1503">
        <f>IF($AK1503=1,IFERROR(IF(VALUE($D1503)&lt;100000000,VALUE($D1503),1000000000),IFERROR(IF(VALUE(MID($D1503,2,20))&lt;100000000,VALUE(MID($D1503,2,20)),1000000000),1000000000))+ROW()/100000,"")</f>
        <v/>
      </c>
    </row>
    <row r="1504">
      <c r="F1504" s="11" t="n"/>
      <c r="N1504" s="7">
        <f>IF($D1504="","",M1504*X1504/100)</f>
        <v/>
      </c>
      <c r="O1504" s="7" t="n"/>
      <c r="U1504" s="7" t="n"/>
      <c r="V1504" s="7" t="n"/>
      <c r="W1504" s="7">
        <f>IF($D1504="","",V1504*AB1504/100)</f>
        <v/>
      </c>
      <c r="X1504" s="7">
        <f>IF($D1504="","",V1504-W1504)</f>
        <v/>
      </c>
      <c r="Y1504" s="7">
        <f>IF($D1504="","",X1504-N1504)</f>
        <v/>
      </c>
      <c r="AB1504">
        <f>IF($D1504="","",IF($AN1504=1,Settings!$C$8,IF($AM1504=1,Settings!$C$6,Settings!$C$7))*100)</f>
        <v/>
      </c>
      <c r="AF1504" s="7" t="n"/>
      <c r="AI1504" s="11" t="n"/>
      <c r="AK1504">
        <f>IF($D1504="","",IF(COUNTIF($D$2:$D1504,$D1504)=1,1,0))</f>
        <v/>
      </c>
      <c r="AL1504">
        <f>IF($AK1504=1,SUMPRODUCT(--($AO$2:$AO$1601&lt;$AO1504))+1,"")</f>
        <v/>
      </c>
      <c r="AM1504">
        <f>IF($D1504="","",IF(OR($R1504=TRUE(),$R1504="TRUE"),1,0))</f>
        <v/>
      </c>
      <c r="AN1504">
        <f>IF($D1504="","",IF($AA1504="Yes",1,0))</f>
        <v/>
      </c>
      <c r="AO1504">
        <f>IF($AK1504=1,IFERROR(IF(VALUE($D1504)&lt;100000000,VALUE($D1504),1000000000),IFERROR(IF(VALUE(MID($D1504,2,20))&lt;100000000,VALUE(MID($D1504,2,20)),1000000000),1000000000))+ROW()/100000,"")</f>
        <v/>
      </c>
    </row>
    <row r="1505">
      <c r="F1505" s="11" t="n"/>
      <c r="N1505" s="7">
        <f>IF($D1505="","",M1505*X1505/100)</f>
        <v/>
      </c>
      <c r="O1505" s="7" t="n"/>
      <c r="U1505" s="7" t="n"/>
      <c r="V1505" s="7" t="n"/>
      <c r="W1505" s="7">
        <f>IF($D1505="","",V1505*AB1505/100)</f>
        <v/>
      </c>
      <c r="X1505" s="7">
        <f>IF($D1505="","",V1505-W1505)</f>
        <v/>
      </c>
      <c r="Y1505" s="7">
        <f>IF($D1505="","",X1505-N1505)</f>
        <v/>
      </c>
      <c r="AB1505">
        <f>IF($D1505="","",IF($AN1505=1,Settings!$C$8,IF($AM1505=1,Settings!$C$6,Settings!$C$7))*100)</f>
        <v/>
      </c>
      <c r="AF1505" s="7" t="n"/>
      <c r="AI1505" s="11" t="n"/>
      <c r="AK1505">
        <f>IF($D1505="","",IF(COUNTIF($D$2:$D1505,$D1505)=1,1,0))</f>
        <v/>
      </c>
      <c r="AL1505">
        <f>IF($AK1505=1,SUMPRODUCT(--($AO$2:$AO$1601&lt;$AO1505))+1,"")</f>
        <v/>
      </c>
      <c r="AM1505">
        <f>IF($D1505="","",IF(OR($R1505=TRUE(),$R1505="TRUE"),1,0))</f>
        <v/>
      </c>
      <c r="AN1505">
        <f>IF($D1505="","",IF($AA1505="Yes",1,0))</f>
        <v/>
      </c>
      <c r="AO1505">
        <f>IF($AK1505=1,IFERROR(IF(VALUE($D1505)&lt;100000000,VALUE($D1505),1000000000),IFERROR(IF(VALUE(MID($D1505,2,20))&lt;100000000,VALUE(MID($D1505,2,20)),1000000000),1000000000))+ROW()/100000,"")</f>
        <v/>
      </c>
    </row>
    <row r="1506">
      <c r="F1506" s="11" t="n"/>
      <c r="N1506" s="7">
        <f>IF($D1506="","",M1506*X1506/100)</f>
        <v/>
      </c>
      <c r="O1506" s="7" t="n"/>
      <c r="U1506" s="7" t="n"/>
      <c r="V1506" s="7" t="n"/>
      <c r="W1506" s="7">
        <f>IF($D1506="","",V1506*AB1506/100)</f>
        <v/>
      </c>
      <c r="X1506" s="7">
        <f>IF($D1506="","",V1506-W1506)</f>
        <v/>
      </c>
      <c r="Y1506" s="7">
        <f>IF($D1506="","",X1506-N1506)</f>
        <v/>
      </c>
      <c r="AB1506">
        <f>IF($D1506="","",IF($AN1506=1,Settings!$C$8,IF($AM1506=1,Settings!$C$6,Settings!$C$7))*100)</f>
        <v/>
      </c>
      <c r="AF1506" s="7" t="n"/>
      <c r="AI1506" s="11" t="n"/>
      <c r="AK1506">
        <f>IF($D1506="","",IF(COUNTIF($D$2:$D1506,$D1506)=1,1,0))</f>
        <v/>
      </c>
      <c r="AL1506">
        <f>IF($AK1506=1,SUMPRODUCT(--($AO$2:$AO$1601&lt;$AO1506))+1,"")</f>
        <v/>
      </c>
      <c r="AM1506">
        <f>IF($D1506="","",IF(OR($R1506=TRUE(),$R1506="TRUE"),1,0))</f>
        <v/>
      </c>
      <c r="AN1506">
        <f>IF($D1506="","",IF($AA1506="Yes",1,0))</f>
        <v/>
      </c>
      <c r="AO1506">
        <f>IF($AK1506=1,IFERROR(IF(VALUE($D1506)&lt;100000000,VALUE($D1506),1000000000),IFERROR(IF(VALUE(MID($D1506,2,20))&lt;100000000,VALUE(MID($D1506,2,20)),1000000000),1000000000))+ROW()/100000,"")</f>
        <v/>
      </c>
    </row>
    <row r="1507">
      <c r="F1507" s="11" t="n"/>
      <c r="N1507" s="7">
        <f>IF($D1507="","",M1507*X1507/100)</f>
        <v/>
      </c>
      <c r="O1507" s="7" t="n"/>
      <c r="U1507" s="7" t="n"/>
      <c r="V1507" s="7" t="n"/>
      <c r="W1507" s="7">
        <f>IF($D1507="","",V1507*AB1507/100)</f>
        <v/>
      </c>
      <c r="X1507" s="7">
        <f>IF($D1507="","",V1507-W1507)</f>
        <v/>
      </c>
      <c r="Y1507" s="7">
        <f>IF($D1507="","",X1507-N1507)</f>
        <v/>
      </c>
      <c r="AB1507">
        <f>IF($D1507="","",IF($AN1507=1,Settings!$C$8,IF($AM1507=1,Settings!$C$6,Settings!$C$7))*100)</f>
        <v/>
      </c>
      <c r="AF1507" s="7" t="n"/>
      <c r="AI1507" s="11" t="n"/>
      <c r="AK1507">
        <f>IF($D1507="","",IF(COUNTIF($D$2:$D1507,$D1507)=1,1,0))</f>
        <v/>
      </c>
      <c r="AL1507">
        <f>IF($AK1507=1,SUMPRODUCT(--($AO$2:$AO$1601&lt;$AO1507))+1,"")</f>
        <v/>
      </c>
      <c r="AM1507">
        <f>IF($D1507="","",IF(OR($R1507=TRUE(),$R1507="TRUE"),1,0))</f>
        <v/>
      </c>
      <c r="AN1507">
        <f>IF($D1507="","",IF($AA1507="Yes",1,0))</f>
        <v/>
      </c>
      <c r="AO1507">
        <f>IF($AK1507=1,IFERROR(IF(VALUE($D1507)&lt;100000000,VALUE($D1507),1000000000),IFERROR(IF(VALUE(MID($D1507,2,20))&lt;100000000,VALUE(MID($D1507,2,20)),1000000000),1000000000))+ROW()/100000,"")</f>
        <v/>
      </c>
    </row>
    <row r="1508">
      <c r="F1508" s="11" t="n"/>
      <c r="N1508" s="7">
        <f>IF($D1508="","",M1508*X1508/100)</f>
        <v/>
      </c>
      <c r="O1508" s="7" t="n"/>
      <c r="U1508" s="7" t="n"/>
      <c r="V1508" s="7" t="n"/>
      <c r="W1508" s="7">
        <f>IF($D1508="","",V1508*AB1508/100)</f>
        <v/>
      </c>
      <c r="X1508" s="7">
        <f>IF($D1508="","",V1508-W1508)</f>
        <v/>
      </c>
      <c r="Y1508" s="7">
        <f>IF($D1508="","",X1508-N1508)</f>
        <v/>
      </c>
      <c r="AB1508">
        <f>IF($D1508="","",IF($AN1508=1,Settings!$C$8,IF($AM1508=1,Settings!$C$6,Settings!$C$7))*100)</f>
        <v/>
      </c>
      <c r="AF1508" s="7" t="n"/>
      <c r="AI1508" s="11" t="n"/>
      <c r="AK1508">
        <f>IF($D1508="","",IF(COUNTIF($D$2:$D1508,$D1508)=1,1,0))</f>
        <v/>
      </c>
      <c r="AL1508">
        <f>IF($AK1508=1,SUMPRODUCT(--($AO$2:$AO$1601&lt;$AO1508))+1,"")</f>
        <v/>
      </c>
      <c r="AM1508">
        <f>IF($D1508="","",IF(OR($R1508=TRUE(),$R1508="TRUE"),1,0))</f>
        <v/>
      </c>
      <c r="AN1508">
        <f>IF($D1508="","",IF($AA1508="Yes",1,0))</f>
        <v/>
      </c>
      <c r="AO1508">
        <f>IF($AK1508=1,IFERROR(IF(VALUE($D1508)&lt;100000000,VALUE($D1508),1000000000),IFERROR(IF(VALUE(MID($D1508,2,20))&lt;100000000,VALUE(MID($D1508,2,20)),1000000000),1000000000))+ROW()/100000,"")</f>
        <v/>
      </c>
    </row>
    <row r="1509">
      <c r="F1509" s="11" t="n"/>
      <c r="N1509" s="7">
        <f>IF($D1509="","",M1509*X1509/100)</f>
        <v/>
      </c>
      <c r="O1509" s="7" t="n"/>
      <c r="U1509" s="7" t="n"/>
      <c r="V1509" s="7" t="n"/>
      <c r="W1509" s="7">
        <f>IF($D1509="","",V1509*AB1509/100)</f>
        <v/>
      </c>
      <c r="X1509" s="7">
        <f>IF($D1509="","",V1509-W1509)</f>
        <v/>
      </c>
      <c r="Y1509" s="7">
        <f>IF($D1509="","",X1509-N1509)</f>
        <v/>
      </c>
      <c r="AB1509">
        <f>IF($D1509="","",IF($AN1509=1,Settings!$C$8,IF($AM1509=1,Settings!$C$6,Settings!$C$7))*100)</f>
        <v/>
      </c>
      <c r="AF1509" s="7" t="n"/>
      <c r="AI1509" s="11" t="n"/>
      <c r="AK1509">
        <f>IF($D1509="","",IF(COUNTIF($D$2:$D1509,$D1509)=1,1,0))</f>
        <v/>
      </c>
      <c r="AL1509">
        <f>IF($AK1509=1,SUMPRODUCT(--($AO$2:$AO$1601&lt;$AO1509))+1,"")</f>
        <v/>
      </c>
      <c r="AM1509">
        <f>IF($D1509="","",IF(OR($R1509=TRUE(),$R1509="TRUE"),1,0))</f>
        <v/>
      </c>
      <c r="AN1509">
        <f>IF($D1509="","",IF($AA1509="Yes",1,0))</f>
        <v/>
      </c>
      <c r="AO1509">
        <f>IF($AK1509=1,IFERROR(IF(VALUE($D1509)&lt;100000000,VALUE($D1509),1000000000),IFERROR(IF(VALUE(MID($D1509,2,20))&lt;100000000,VALUE(MID($D1509,2,20)),1000000000),1000000000))+ROW()/100000,"")</f>
        <v/>
      </c>
    </row>
    <row r="1510">
      <c r="F1510" s="11" t="n"/>
      <c r="N1510" s="7">
        <f>IF($D1510="","",M1510*X1510/100)</f>
        <v/>
      </c>
      <c r="O1510" s="7" t="n"/>
      <c r="U1510" s="7" t="n"/>
      <c r="V1510" s="7" t="n"/>
      <c r="W1510" s="7">
        <f>IF($D1510="","",V1510*AB1510/100)</f>
        <v/>
      </c>
      <c r="X1510" s="7">
        <f>IF($D1510="","",V1510-W1510)</f>
        <v/>
      </c>
      <c r="Y1510" s="7">
        <f>IF($D1510="","",X1510-N1510)</f>
        <v/>
      </c>
      <c r="AB1510">
        <f>IF($D1510="","",IF($AN1510=1,Settings!$C$8,IF($AM1510=1,Settings!$C$6,Settings!$C$7))*100)</f>
        <v/>
      </c>
      <c r="AF1510" s="7" t="n"/>
      <c r="AI1510" s="11" t="n"/>
      <c r="AK1510">
        <f>IF($D1510="","",IF(COUNTIF($D$2:$D1510,$D1510)=1,1,0))</f>
        <v/>
      </c>
      <c r="AL1510">
        <f>IF($AK1510=1,SUMPRODUCT(--($AO$2:$AO$1601&lt;$AO1510))+1,"")</f>
        <v/>
      </c>
      <c r="AM1510">
        <f>IF($D1510="","",IF(OR($R1510=TRUE(),$R1510="TRUE"),1,0))</f>
        <v/>
      </c>
      <c r="AN1510">
        <f>IF($D1510="","",IF($AA1510="Yes",1,0))</f>
        <v/>
      </c>
      <c r="AO1510">
        <f>IF($AK1510=1,IFERROR(IF(VALUE($D1510)&lt;100000000,VALUE($D1510),1000000000),IFERROR(IF(VALUE(MID($D1510,2,20))&lt;100000000,VALUE(MID($D1510,2,20)),1000000000),1000000000))+ROW()/100000,"")</f>
        <v/>
      </c>
    </row>
    <row r="1511">
      <c r="F1511" s="11" t="n"/>
      <c r="N1511" s="7">
        <f>IF($D1511="","",M1511*X1511/100)</f>
        <v/>
      </c>
      <c r="O1511" s="7" t="n"/>
      <c r="U1511" s="7" t="n"/>
      <c r="V1511" s="7" t="n"/>
      <c r="W1511" s="7">
        <f>IF($D1511="","",V1511*AB1511/100)</f>
        <v/>
      </c>
      <c r="X1511" s="7">
        <f>IF($D1511="","",V1511-W1511)</f>
        <v/>
      </c>
      <c r="Y1511" s="7">
        <f>IF($D1511="","",X1511-N1511)</f>
        <v/>
      </c>
      <c r="AB1511">
        <f>IF($D1511="","",IF($AN1511=1,Settings!$C$8,IF($AM1511=1,Settings!$C$6,Settings!$C$7))*100)</f>
        <v/>
      </c>
      <c r="AF1511" s="7" t="n"/>
      <c r="AI1511" s="11" t="n"/>
      <c r="AK1511">
        <f>IF($D1511="","",IF(COUNTIF($D$2:$D1511,$D1511)=1,1,0))</f>
        <v/>
      </c>
      <c r="AL1511">
        <f>IF($AK1511=1,SUMPRODUCT(--($AO$2:$AO$1601&lt;$AO1511))+1,"")</f>
        <v/>
      </c>
      <c r="AM1511">
        <f>IF($D1511="","",IF(OR($R1511=TRUE(),$R1511="TRUE"),1,0))</f>
        <v/>
      </c>
      <c r="AN1511">
        <f>IF($D1511="","",IF($AA1511="Yes",1,0))</f>
        <v/>
      </c>
      <c r="AO1511">
        <f>IF($AK1511=1,IFERROR(IF(VALUE($D1511)&lt;100000000,VALUE($D1511),1000000000),IFERROR(IF(VALUE(MID($D1511,2,20))&lt;100000000,VALUE(MID($D1511,2,20)),1000000000),1000000000))+ROW()/100000,"")</f>
        <v/>
      </c>
    </row>
    <row r="1512">
      <c r="F1512" s="11" t="n"/>
      <c r="N1512" s="7">
        <f>IF($D1512="","",M1512*X1512/100)</f>
        <v/>
      </c>
      <c r="O1512" s="7" t="n"/>
      <c r="U1512" s="7" t="n"/>
      <c r="V1512" s="7" t="n"/>
      <c r="W1512" s="7">
        <f>IF($D1512="","",V1512*AB1512/100)</f>
        <v/>
      </c>
      <c r="X1512" s="7">
        <f>IF($D1512="","",V1512-W1512)</f>
        <v/>
      </c>
      <c r="Y1512" s="7">
        <f>IF($D1512="","",X1512-N1512)</f>
        <v/>
      </c>
      <c r="AB1512">
        <f>IF($D1512="","",IF($AN1512=1,Settings!$C$8,IF($AM1512=1,Settings!$C$6,Settings!$C$7))*100)</f>
        <v/>
      </c>
      <c r="AF1512" s="7" t="n"/>
      <c r="AI1512" s="11" t="n"/>
      <c r="AK1512">
        <f>IF($D1512="","",IF(COUNTIF($D$2:$D1512,$D1512)=1,1,0))</f>
        <v/>
      </c>
      <c r="AL1512">
        <f>IF($AK1512=1,SUMPRODUCT(--($AO$2:$AO$1601&lt;$AO1512))+1,"")</f>
        <v/>
      </c>
      <c r="AM1512">
        <f>IF($D1512="","",IF(OR($R1512=TRUE(),$R1512="TRUE"),1,0))</f>
        <v/>
      </c>
      <c r="AN1512">
        <f>IF($D1512="","",IF($AA1512="Yes",1,0))</f>
        <v/>
      </c>
      <c r="AO1512">
        <f>IF($AK1512=1,IFERROR(IF(VALUE($D1512)&lt;100000000,VALUE($D1512),1000000000),IFERROR(IF(VALUE(MID($D1512,2,20))&lt;100000000,VALUE(MID($D1512,2,20)),1000000000),1000000000))+ROW()/100000,"")</f>
        <v/>
      </c>
    </row>
    <row r="1513">
      <c r="F1513" s="11" t="n"/>
      <c r="N1513" s="7">
        <f>IF($D1513="","",M1513*X1513/100)</f>
        <v/>
      </c>
      <c r="O1513" s="7" t="n"/>
      <c r="U1513" s="7" t="n"/>
      <c r="V1513" s="7" t="n"/>
      <c r="W1513" s="7">
        <f>IF($D1513="","",V1513*AB1513/100)</f>
        <v/>
      </c>
      <c r="X1513" s="7">
        <f>IF($D1513="","",V1513-W1513)</f>
        <v/>
      </c>
      <c r="Y1513" s="7">
        <f>IF($D1513="","",X1513-N1513)</f>
        <v/>
      </c>
      <c r="AB1513">
        <f>IF($D1513="","",IF($AN1513=1,Settings!$C$8,IF($AM1513=1,Settings!$C$6,Settings!$C$7))*100)</f>
        <v/>
      </c>
      <c r="AF1513" s="7" t="n"/>
      <c r="AI1513" s="11" t="n"/>
      <c r="AK1513">
        <f>IF($D1513="","",IF(COUNTIF($D$2:$D1513,$D1513)=1,1,0))</f>
        <v/>
      </c>
      <c r="AL1513">
        <f>IF($AK1513=1,SUMPRODUCT(--($AO$2:$AO$1601&lt;$AO1513))+1,"")</f>
        <v/>
      </c>
      <c r="AM1513">
        <f>IF($D1513="","",IF(OR($R1513=TRUE(),$R1513="TRUE"),1,0))</f>
        <v/>
      </c>
      <c r="AN1513">
        <f>IF($D1513="","",IF($AA1513="Yes",1,0))</f>
        <v/>
      </c>
      <c r="AO1513">
        <f>IF($AK1513=1,IFERROR(IF(VALUE($D1513)&lt;100000000,VALUE($D1513),1000000000),IFERROR(IF(VALUE(MID($D1513,2,20))&lt;100000000,VALUE(MID($D1513,2,20)),1000000000),1000000000))+ROW()/100000,"")</f>
        <v/>
      </c>
    </row>
    <row r="1514">
      <c r="F1514" s="11" t="n"/>
      <c r="N1514" s="7">
        <f>IF($D1514="","",M1514*X1514/100)</f>
        <v/>
      </c>
      <c r="O1514" s="7" t="n"/>
      <c r="U1514" s="7" t="n"/>
      <c r="V1514" s="7" t="n"/>
      <c r="W1514" s="7">
        <f>IF($D1514="","",V1514*AB1514/100)</f>
        <v/>
      </c>
      <c r="X1514" s="7">
        <f>IF($D1514="","",V1514-W1514)</f>
        <v/>
      </c>
      <c r="Y1514" s="7">
        <f>IF($D1514="","",X1514-N1514)</f>
        <v/>
      </c>
      <c r="AB1514">
        <f>IF($D1514="","",IF($AN1514=1,Settings!$C$8,IF($AM1514=1,Settings!$C$6,Settings!$C$7))*100)</f>
        <v/>
      </c>
      <c r="AF1514" s="7" t="n"/>
      <c r="AI1514" s="11" t="n"/>
      <c r="AK1514">
        <f>IF($D1514="","",IF(COUNTIF($D$2:$D1514,$D1514)=1,1,0))</f>
        <v/>
      </c>
      <c r="AL1514">
        <f>IF($AK1514=1,SUMPRODUCT(--($AO$2:$AO$1601&lt;$AO1514))+1,"")</f>
        <v/>
      </c>
      <c r="AM1514">
        <f>IF($D1514="","",IF(OR($R1514=TRUE(),$R1514="TRUE"),1,0))</f>
        <v/>
      </c>
      <c r="AN1514">
        <f>IF($D1514="","",IF($AA1514="Yes",1,0))</f>
        <v/>
      </c>
      <c r="AO1514">
        <f>IF($AK1514=1,IFERROR(IF(VALUE($D1514)&lt;100000000,VALUE($D1514),1000000000),IFERROR(IF(VALUE(MID($D1514,2,20))&lt;100000000,VALUE(MID($D1514,2,20)),1000000000),1000000000))+ROW()/100000,"")</f>
        <v/>
      </c>
    </row>
    <row r="1515">
      <c r="F1515" s="11" t="n"/>
      <c r="N1515" s="7">
        <f>IF($D1515="","",M1515*X1515/100)</f>
        <v/>
      </c>
      <c r="O1515" s="7" t="n"/>
      <c r="U1515" s="7" t="n"/>
      <c r="V1515" s="7" t="n"/>
      <c r="W1515" s="7">
        <f>IF($D1515="","",V1515*AB1515/100)</f>
        <v/>
      </c>
      <c r="X1515" s="7">
        <f>IF($D1515="","",V1515-W1515)</f>
        <v/>
      </c>
      <c r="Y1515" s="7">
        <f>IF($D1515="","",X1515-N1515)</f>
        <v/>
      </c>
      <c r="AB1515">
        <f>IF($D1515="","",IF($AN1515=1,Settings!$C$8,IF($AM1515=1,Settings!$C$6,Settings!$C$7))*100)</f>
        <v/>
      </c>
      <c r="AF1515" s="7" t="n"/>
      <c r="AI1515" s="11" t="n"/>
      <c r="AK1515">
        <f>IF($D1515="","",IF(COUNTIF($D$2:$D1515,$D1515)=1,1,0))</f>
        <v/>
      </c>
      <c r="AL1515">
        <f>IF($AK1515=1,SUMPRODUCT(--($AO$2:$AO$1601&lt;$AO1515))+1,"")</f>
        <v/>
      </c>
      <c r="AM1515">
        <f>IF($D1515="","",IF(OR($R1515=TRUE(),$R1515="TRUE"),1,0))</f>
        <v/>
      </c>
      <c r="AN1515">
        <f>IF($D1515="","",IF($AA1515="Yes",1,0))</f>
        <v/>
      </c>
      <c r="AO1515">
        <f>IF($AK1515=1,IFERROR(IF(VALUE($D1515)&lt;100000000,VALUE($D1515),1000000000),IFERROR(IF(VALUE(MID($D1515,2,20))&lt;100000000,VALUE(MID($D1515,2,20)),1000000000),1000000000))+ROW()/100000,"")</f>
        <v/>
      </c>
    </row>
    <row r="1516">
      <c r="F1516" s="11" t="n"/>
      <c r="N1516" s="7">
        <f>IF($D1516="","",M1516*X1516/100)</f>
        <v/>
      </c>
      <c r="O1516" s="7" t="n"/>
      <c r="U1516" s="7" t="n"/>
      <c r="V1516" s="7" t="n"/>
      <c r="W1516" s="7">
        <f>IF($D1516="","",V1516*AB1516/100)</f>
        <v/>
      </c>
      <c r="X1516" s="7">
        <f>IF($D1516="","",V1516-W1516)</f>
        <v/>
      </c>
      <c r="Y1516" s="7">
        <f>IF($D1516="","",X1516-N1516)</f>
        <v/>
      </c>
      <c r="AB1516">
        <f>IF($D1516="","",IF($AN1516=1,Settings!$C$8,IF($AM1516=1,Settings!$C$6,Settings!$C$7))*100)</f>
        <v/>
      </c>
      <c r="AF1516" s="7" t="n"/>
      <c r="AI1516" s="11" t="n"/>
      <c r="AK1516">
        <f>IF($D1516="","",IF(COUNTIF($D$2:$D1516,$D1516)=1,1,0))</f>
        <v/>
      </c>
      <c r="AL1516">
        <f>IF($AK1516=1,SUMPRODUCT(--($AO$2:$AO$1601&lt;$AO1516))+1,"")</f>
        <v/>
      </c>
      <c r="AM1516">
        <f>IF($D1516="","",IF(OR($R1516=TRUE(),$R1516="TRUE"),1,0))</f>
        <v/>
      </c>
      <c r="AN1516">
        <f>IF($D1516="","",IF($AA1516="Yes",1,0))</f>
        <v/>
      </c>
      <c r="AO1516">
        <f>IF($AK1516=1,IFERROR(IF(VALUE($D1516)&lt;100000000,VALUE($D1516),1000000000),IFERROR(IF(VALUE(MID($D1516,2,20))&lt;100000000,VALUE(MID($D1516,2,20)),1000000000),1000000000))+ROW()/100000,"")</f>
        <v/>
      </c>
    </row>
    <row r="1517">
      <c r="F1517" s="11" t="n"/>
      <c r="N1517" s="7">
        <f>IF($D1517="","",M1517*X1517/100)</f>
        <v/>
      </c>
      <c r="O1517" s="7" t="n"/>
      <c r="U1517" s="7" t="n"/>
      <c r="V1517" s="7" t="n"/>
      <c r="W1517" s="7">
        <f>IF($D1517="","",V1517*AB1517/100)</f>
        <v/>
      </c>
      <c r="X1517" s="7">
        <f>IF($D1517="","",V1517-W1517)</f>
        <v/>
      </c>
      <c r="Y1517" s="7">
        <f>IF($D1517="","",X1517-N1517)</f>
        <v/>
      </c>
      <c r="AB1517">
        <f>IF($D1517="","",IF($AN1517=1,Settings!$C$8,IF($AM1517=1,Settings!$C$6,Settings!$C$7))*100)</f>
        <v/>
      </c>
      <c r="AF1517" s="7" t="n"/>
      <c r="AI1517" s="11" t="n"/>
      <c r="AK1517">
        <f>IF($D1517="","",IF(COUNTIF($D$2:$D1517,$D1517)=1,1,0))</f>
        <v/>
      </c>
      <c r="AL1517">
        <f>IF($AK1517=1,SUMPRODUCT(--($AO$2:$AO$1601&lt;$AO1517))+1,"")</f>
        <v/>
      </c>
      <c r="AM1517">
        <f>IF($D1517="","",IF(OR($R1517=TRUE(),$R1517="TRUE"),1,0))</f>
        <v/>
      </c>
      <c r="AN1517">
        <f>IF($D1517="","",IF($AA1517="Yes",1,0))</f>
        <v/>
      </c>
      <c r="AO1517">
        <f>IF($AK1517=1,IFERROR(IF(VALUE($D1517)&lt;100000000,VALUE($D1517),1000000000),IFERROR(IF(VALUE(MID($D1517,2,20))&lt;100000000,VALUE(MID($D1517,2,20)),1000000000),1000000000))+ROW()/100000,"")</f>
        <v/>
      </c>
    </row>
    <row r="1518">
      <c r="F1518" s="11" t="n"/>
      <c r="N1518" s="7">
        <f>IF($D1518="","",M1518*X1518/100)</f>
        <v/>
      </c>
      <c r="O1518" s="7" t="n"/>
      <c r="U1518" s="7" t="n"/>
      <c r="V1518" s="7" t="n"/>
      <c r="W1518" s="7">
        <f>IF($D1518="","",V1518*AB1518/100)</f>
        <v/>
      </c>
      <c r="X1518" s="7">
        <f>IF($D1518="","",V1518-W1518)</f>
        <v/>
      </c>
      <c r="Y1518" s="7">
        <f>IF($D1518="","",X1518-N1518)</f>
        <v/>
      </c>
      <c r="AB1518">
        <f>IF($D1518="","",IF($AN1518=1,Settings!$C$8,IF($AM1518=1,Settings!$C$6,Settings!$C$7))*100)</f>
        <v/>
      </c>
      <c r="AF1518" s="7" t="n"/>
      <c r="AI1518" s="11" t="n"/>
      <c r="AK1518">
        <f>IF($D1518="","",IF(COUNTIF($D$2:$D1518,$D1518)=1,1,0))</f>
        <v/>
      </c>
      <c r="AL1518">
        <f>IF($AK1518=1,SUMPRODUCT(--($AO$2:$AO$1601&lt;$AO1518))+1,"")</f>
        <v/>
      </c>
      <c r="AM1518">
        <f>IF($D1518="","",IF(OR($R1518=TRUE(),$R1518="TRUE"),1,0))</f>
        <v/>
      </c>
      <c r="AN1518">
        <f>IF($D1518="","",IF($AA1518="Yes",1,0))</f>
        <v/>
      </c>
      <c r="AO1518">
        <f>IF($AK1518=1,IFERROR(IF(VALUE($D1518)&lt;100000000,VALUE($D1518),1000000000),IFERROR(IF(VALUE(MID($D1518,2,20))&lt;100000000,VALUE(MID($D1518,2,20)),1000000000),1000000000))+ROW()/100000,"")</f>
        <v/>
      </c>
    </row>
    <row r="1519">
      <c r="F1519" s="11" t="n"/>
      <c r="N1519" s="7">
        <f>IF($D1519="","",M1519*X1519/100)</f>
        <v/>
      </c>
      <c r="O1519" s="7" t="n"/>
      <c r="U1519" s="7" t="n"/>
      <c r="V1519" s="7" t="n"/>
      <c r="W1519" s="7">
        <f>IF($D1519="","",V1519*AB1519/100)</f>
        <v/>
      </c>
      <c r="X1519" s="7">
        <f>IF($D1519="","",V1519-W1519)</f>
        <v/>
      </c>
      <c r="Y1519" s="7">
        <f>IF($D1519="","",X1519-N1519)</f>
        <v/>
      </c>
      <c r="AB1519">
        <f>IF($D1519="","",IF($AN1519=1,Settings!$C$8,IF($AM1519=1,Settings!$C$6,Settings!$C$7))*100)</f>
        <v/>
      </c>
      <c r="AF1519" s="7" t="n"/>
      <c r="AI1519" s="11" t="n"/>
      <c r="AK1519">
        <f>IF($D1519="","",IF(COUNTIF($D$2:$D1519,$D1519)=1,1,0))</f>
        <v/>
      </c>
      <c r="AL1519">
        <f>IF($AK1519=1,SUMPRODUCT(--($AO$2:$AO$1601&lt;$AO1519))+1,"")</f>
        <v/>
      </c>
      <c r="AM1519">
        <f>IF($D1519="","",IF(OR($R1519=TRUE(),$R1519="TRUE"),1,0))</f>
        <v/>
      </c>
      <c r="AN1519">
        <f>IF($D1519="","",IF($AA1519="Yes",1,0))</f>
        <v/>
      </c>
      <c r="AO1519">
        <f>IF($AK1519=1,IFERROR(IF(VALUE($D1519)&lt;100000000,VALUE($D1519),1000000000),IFERROR(IF(VALUE(MID($D1519,2,20))&lt;100000000,VALUE(MID($D1519,2,20)),1000000000),1000000000))+ROW()/100000,"")</f>
        <v/>
      </c>
    </row>
    <row r="1520">
      <c r="F1520" s="11" t="n"/>
      <c r="N1520" s="7">
        <f>IF($D1520="","",M1520*X1520/100)</f>
        <v/>
      </c>
      <c r="O1520" s="7" t="n"/>
      <c r="U1520" s="7" t="n"/>
      <c r="V1520" s="7" t="n"/>
      <c r="W1520" s="7">
        <f>IF($D1520="","",V1520*AB1520/100)</f>
        <v/>
      </c>
      <c r="X1520" s="7">
        <f>IF($D1520="","",V1520-W1520)</f>
        <v/>
      </c>
      <c r="Y1520" s="7">
        <f>IF($D1520="","",X1520-N1520)</f>
        <v/>
      </c>
      <c r="AB1520">
        <f>IF($D1520="","",IF($AN1520=1,Settings!$C$8,IF($AM1520=1,Settings!$C$6,Settings!$C$7))*100)</f>
        <v/>
      </c>
      <c r="AF1520" s="7" t="n"/>
      <c r="AI1520" s="11" t="n"/>
      <c r="AK1520">
        <f>IF($D1520="","",IF(COUNTIF($D$2:$D1520,$D1520)=1,1,0))</f>
        <v/>
      </c>
      <c r="AL1520">
        <f>IF($AK1520=1,SUMPRODUCT(--($AO$2:$AO$1601&lt;$AO1520))+1,"")</f>
        <v/>
      </c>
      <c r="AM1520">
        <f>IF($D1520="","",IF(OR($R1520=TRUE(),$R1520="TRUE"),1,0))</f>
        <v/>
      </c>
      <c r="AN1520">
        <f>IF($D1520="","",IF($AA1520="Yes",1,0))</f>
        <v/>
      </c>
      <c r="AO1520">
        <f>IF($AK1520=1,IFERROR(IF(VALUE($D1520)&lt;100000000,VALUE($D1520),1000000000),IFERROR(IF(VALUE(MID($D1520,2,20))&lt;100000000,VALUE(MID($D1520,2,20)),1000000000),1000000000))+ROW()/100000,"")</f>
        <v/>
      </c>
    </row>
    <row r="1521">
      <c r="F1521" s="11" t="n"/>
      <c r="N1521" s="7">
        <f>IF($D1521="","",M1521*X1521/100)</f>
        <v/>
      </c>
      <c r="O1521" s="7" t="n"/>
      <c r="U1521" s="7" t="n"/>
      <c r="V1521" s="7" t="n"/>
      <c r="W1521" s="7">
        <f>IF($D1521="","",V1521*AB1521/100)</f>
        <v/>
      </c>
      <c r="X1521" s="7">
        <f>IF($D1521="","",V1521-W1521)</f>
        <v/>
      </c>
      <c r="Y1521" s="7">
        <f>IF($D1521="","",X1521-N1521)</f>
        <v/>
      </c>
      <c r="AB1521">
        <f>IF($D1521="","",IF($AN1521=1,Settings!$C$8,IF($AM1521=1,Settings!$C$6,Settings!$C$7))*100)</f>
        <v/>
      </c>
      <c r="AF1521" s="7" t="n"/>
      <c r="AI1521" s="11" t="n"/>
      <c r="AK1521">
        <f>IF($D1521="","",IF(COUNTIF($D$2:$D1521,$D1521)=1,1,0))</f>
        <v/>
      </c>
      <c r="AL1521">
        <f>IF($AK1521=1,SUMPRODUCT(--($AO$2:$AO$1601&lt;$AO1521))+1,"")</f>
        <v/>
      </c>
      <c r="AM1521">
        <f>IF($D1521="","",IF(OR($R1521=TRUE(),$R1521="TRUE"),1,0))</f>
        <v/>
      </c>
      <c r="AN1521">
        <f>IF($D1521="","",IF($AA1521="Yes",1,0))</f>
        <v/>
      </c>
      <c r="AO1521">
        <f>IF($AK1521=1,IFERROR(IF(VALUE($D1521)&lt;100000000,VALUE($D1521),1000000000),IFERROR(IF(VALUE(MID($D1521,2,20))&lt;100000000,VALUE(MID($D1521,2,20)),1000000000),1000000000))+ROW()/100000,"")</f>
        <v/>
      </c>
    </row>
    <row r="1522">
      <c r="F1522" s="11" t="n"/>
      <c r="N1522" s="7">
        <f>IF($D1522="","",M1522*X1522/100)</f>
        <v/>
      </c>
      <c r="O1522" s="7" t="n"/>
      <c r="U1522" s="7" t="n"/>
      <c r="V1522" s="7" t="n"/>
      <c r="W1522" s="7">
        <f>IF($D1522="","",V1522*AB1522/100)</f>
        <v/>
      </c>
      <c r="X1522" s="7">
        <f>IF($D1522="","",V1522-W1522)</f>
        <v/>
      </c>
      <c r="Y1522" s="7">
        <f>IF($D1522="","",X1522-N1522)</f>
        <v/>
      </c>
      <c r="AB1522">
        <f>IF($D1522="","",IF($AN1522=1,Settings!$C$8,IF($AM1522=1,Settings!$C$6,Settings!$C$7))*100)</f>
        <v/>
      </c>
      <c r="AF1522" s="7" t="n"/>
      <c r="AI1522" s="11" t="n"/>
      <c r="AK1522">
        <f>IF($D1522="","",IF(COUNTIF($D$2:$D1522,$D1522)=1,1,0))</f>
        <v/>
      </c>
      <c r="AL1522">
        <f>IF($AK1522=1,SUMPRODUCT(--($AO$2:$AO$1601&lt;$AO1522))+1,"")</f>
        <v/>
      </c>
      <c r="AM1522">
        <f>IF($D1522="","",IF(OR($R1522=TRUE(),$R1522="TRUE"),1,0))</f>
        <v/>
      </c>
      <c r="AN1522">
        <f>IF($D1522="","",IF($AA1522="Yes",1,0))</f>
        <v/>
      </c>
      <c r="AO1522">
        <f>IF($AK1522=1,IFERROR(IF(VALUE($D1522)&lt;100000000,VALUE($D1522),1000000000),IFERROR(IF(VALUE(MID($D1522,2,20))&lt;100000000,VALUE(MID($D1522,2,20)),1000000000),1000000000))+ROW()/100000,"")</f>
        <v/>
      </c>
    </row>
    <row r="1523">
      <c r="F1523" s="11" t="n"/>
      <c r="N1523" s="7">
        <f>IF($D1523="","",M1523*X1523/100)</f>
        <v/>
      </c>
      <c r="O1523" s="7" t="n"/>
      <c r="U1523" s="7" t="n"/>
      <c r="V1523" s="7" t="n"/>
      <c r="W1523" s="7">
        <f>IF($D1523="","",V1523*AB1523/100)</f>
        <v/>
      </c>
      <c r="X1523" s="7">
        <f>IF($D1523="","",V1523-W1523)</f>
        <v/>
      </c>
      <c r="Y1523" s="7">
        <f>IF($D1523="","",X1523-N1523)</f>
        <v/>
      </c>
      <c r="AB1523">
        <f>IF($D1523="","",IF($AN1523=1,Settings!$C$8,IF($AM1523=1,Settings!$C$6,Settings!$C$7))*100)</f>
        <v/>
      </c>
      <c r="AF1523" s="7" t="n"/>
      <c r="AI1523" s="11" t="n"/>
      <c r="AK1523">
        <f>IF($D1523="","",IF(COUNTIF($D$2:$D1523,$D1523)=1,1,0))</f>
        <v/>
      </c>
      <c r="AL1523">
        <f>IF($AK1523=1,SUMPRODUCT(--($AO$2:$AO$1601&lt;$AO1523))+1,"")</f>
        <v/>
      </c>
      <c r="AM1523">
        <f>IF($D1523="","",IF(OR($R1523=TRUE(),$R1523="TRUE"),1,0))</f>
        <v/>
      </c>
      <c r="AN1523">
        <f>IF($D1523="","",IF($AA1523="Yes",1,0))</f>
        <v/>
      </c>
      <c r="AO1523">
        <f>IF($AK1523=1,IFERROR(IF(VALUE($D1523)&lt;100000000,VALUE($D1523),1000000000),IFERROR(IF(VALUE(MID($D1523,2,20))&lt;100000000,VALUE(MID($D1523,2,20)),1000000000),1000000000))+ROW()/100000,"")</f>
        <v/>
      </c>
    </row>
    <row r="1524">
      <c r="F1524" s="11" t="n"/>
      <c r="N1524" s="7">
        <f>IF($D1524="","",M1524*X1524/100)</f>
        <v/>
      </c>
      <c r="O1524" s="7" t="n"/>
      <c r="U1524" s="7" t="n"/>
      <c r="V1524" s="7" t="n"/>
      <c r="W1524" s="7">
        <f>IF($D1524="","",V1524*AB1524/100)</f>
        <v/>
      </c>
      <c r="X1524" s="7">
        <f>IF($D1524="","",V1524-W1524)</f>
        <v/>
      </c>
      <c r="Y1524" s="7">
        <f>IF($D1524="","",X1524-N1524)</f>
        <v/>
      </c>
      <c r="AB1524">
        <f>IF($D1524="","",IF($AN1524=1,Settings!$C$8,IF($AM1524=1,Settings!$C$6,Settings!$C$7))*100)</f>
        <v/>
      </c>
      <c r="AF1524" s="7" t="n"/>
      <c r="AI1524" s="11" t="n"/>
      <c r="AK1524">
        <f>IF($D1524="","",IF(COUNTIF($D$2:$D1524,$D1524)=1,1,0))</f>
        <v/>
      </c>
      <c r="AL1524">
        <f>IF($AK1524=1,SUMPRODUCT(--($AO$2:$AO$1601&lt;$AO1524))+1,"")</f>
        <v/>
      </c>
      <c r="AM1524">
        <f>IF($D1524="","",IF(OR($R1524=TRUE(),$R1524="TRUE"),1,0))</f>
        <v/>
      </c>
      <c r="AN1524">
        <f>IF($D1524="","",IF($AA1524="Yes",1,0))</f>
        <v/>
      </c>
      <c r="AO1524">
        <f>IF($AK1524=1,IFERROR(IF(VALUE($D1524)&lt;100000000,VALUE($D1524),1000000000),IFERROR(IF(VALUE(MID($D1524,2,20))&lt;100000000,VALUE(MID($D1524,2,20)),1000000000),1000000000))+ROW()/100000,"")</f>
        <v/>
      </c>
    </row>
    <row r="1525">
      <c r="F1525" s="11" t="n"/>
      <c r="N1525" s="7">
        <f>IF($D1525="","",M1525*X1525/100)</f>
        <v/>
      </c>
      <c r="O1525" s="7" t="n"/>
      <c r="U1525" s="7" t="n"/>
      <c r="V1525" s="7" t="n"/>
      <c r="W1525" s="7">
        <f>IF($D1525="","",V1525*AB1525/100)</f>
        <v/>
      </c>
      <c r="X1525" s="7">
        <f>IF($D1525="","",V1525-W1525)</f>
        <v/>
      </c>
      <c r="Y1525" s="7">
        <f>IF($D1525="","",X1525-N1525)</f>
        <v/>
      </c>
      <c r="AB1525">
        <f>IF($D1525="","",IF($AN1525=1,Settings!$C$8,IF($AM1525=1,Settings!$C$6,Settings!$C$7))*100)</f>
        <v/>
      </c>
      <c r="AF1525" s="7" t="n"/>
      <c r="AI1525" s="11" t="n"/>
      <c r="AK1525">
        <f>IF($D1525="","",IF(COUNTIF($D$2:$D1525,$D1525)=1,1,0))</f>
        <v/>
      </c>
      <c r="AL1525">
        <f>IF($AK1525=1,SUMPRODUCT(--($AO$2:$AO$1601&lt;$AO1525))+1,"")</f>
        <v/>
      </c>
      <c r="AM1525">
        <f>IF($D1525="","",IF(OR($R1525=TRUE(),$R1525="TRUE"),1,0))</f>
        <v/>
      </c>
      <c r="AN1525">
        <f>IF($D1525="","",IF($AA1525="Yes",1,0))</f>
        <v/>
      </c>
      <c r="AO1525">
        <f>IF($AK1525=1,IFERROR(IF(VALUE($D1525)&lt;100000000,VALUE($D1525),1000000000),IFERROR(IF(VALUE(MID($D1525,2,20))&lt;100000000,VALUE(MID($D1525,2,20)),1000000000),1000000000))+ROW()/100000,"")</f>
        <v/>
      </c>
    </row>
    <row r="1526">
      <c r="F1526" s="11" t="n"/>
      <c r="N1526" s="7">
        <f>IF($D1526="","",M1526*X1526/100)</f>
        <v/>
      </c>
      <c r="O1526" s="7" t="n"/>
      <c r="U1526" s="7" t="n"/>
      <c r="V1526" s="7" t="n"/>
      <c r="W1526" s="7">
        <f>IF($D1526="","",V1526*AB1526/100)</f>
        <v/>
      </c>
      <c r="X1526" s="7">
        <f>IF($D1526="","",V1526-W1526)</f>
        <v/>
      </c>
      <c r="Y1526" s="7">
        <f>IF($D1526="","",X1526-N1526)</f>
        <v/>
      </c>
      <c r="AB1526">
        <f>IF($D1526="","",IF($AN1526=1,Settings!$C$8,IF($AM1526=1,Settings!$C$6,Settings!$C$7))*100)</f>
        <v/>
      </c>
      <c r="AF1526" s="7" t="n"/>
      <c r="AI1526" s="11" t="n"/>
      <c r="AK1526">
        <f>IF($D1526="","",IF(COUNTIF($D$2:$D1526,$D1526)=1,1,0))</f>
        <v/>
      </c>
      <c r="AL1526">
        <f>IF($AK1526=1,SUMPRODUCT(--($AO$2:$AO$1601&lt;$AO1526))+1,"")</f>
        <v/>
      </c>
      <c r="AM1526">
        <f>IF($D1526="","",IF(OR($R1526=TRUE(),$R1526="TRUE"),1,0))</f>
        <v/>
      </c>
      <c r="AN1526">
        <f>IF($D1526="","",IF($AA1526="Yes",1,0))</f>
        <v/>
      </c>
      <c r="AO1526">
        <f>IF($AK1526=1,IFERROR(IF(VALUE($D1526)&lt;100000000,VALUE($D1526),1000000000),IFERROR(IF(VALUE(MID($D1526,2,20))&lt;100000000,VALUE(MID($D1526,2,20)),1000000000),1000000000))+ROW()/100000,"")</f>
        <v/>
      </c>
    </row>
    <row r="1527">
      <c r="F1527" s="11" t="n"/>
      <c r="N1527" s="7">
        <f>IF($D1527="","",M1527*X1527/100)</f>
        <v/>
      </c>
      <c r="O1527" s="7" t="n"/>
      <c r="U1527" s="7" t="n"/>
      <c r="V1527" s="7" t="n"/>
      <c r="W1527" s="7">
        <f>IF($D1527="","",V1527*AB1527/100)</f>
        <v/>
      </c>
      <c r="X1527" s="7">
        <f>IF($D1527="","",V1527-W1527)</f>
        <v/>
      </c>
      <c r="Y1527" s="7">
        <f>IF($D1527="","",X1527-N1527)</f>
        <v/>
      </c>
      <c r="AB1527">
        <f>IF($D1527="","",IF($AN1527=1,Settings!$C$8,IF($AM1527=1,Settings!$C$6,Settings!$C$7))*100)</f>
        <v/>
      </c>
      <c r="AF1527" s="7" t="n"/>
      <c r="AI1527" s="11" t="n"/>
      <c r="AK1527">
        <f>IF($D1527="","",IF(COUNTIF($D$2:$D1527,$D1527)=1,1,0))</f>
        <v/>
      </c>
      <c r="AL1527">
        <f>IF($AK1527=1,SUMPRODUCT(--($AO$2:$AO$1601&lt;$AO1527))+1,"")</f>
        <v/>
      </c>
      <c r="AM1527">
        <f>IF($D1527="","",IF(OR($R1527=TRUE(),$R1527="TRUE"),1,0))</f>
        <v/>
      </c>
      <c r="AN1527">
        <f>IF($D1527="","",IF($AA1527="Yes",1,0))</f>
        <v/>
      </c>
      <c r="AO1527">
        <f>IF($AK1527=1,IFERROR(IF(VALUE($D1527)&lt;100000000,VALUE($D1527),1000000000),IFERROR(IF(VALUE(MID($D1527,2,20))&lt;100000000,VALUE(MID($D1527,2,20)),1000000000),1000000000))+ROW()/100000,"")</f>
        <v/>
      </c>
    </row>
    <row r="1528">
      <c r="F1528" s="11" t="n"/>
      <c r="N1528" s="7">
        <f>IF($D1528="","",M1528*X1528/100)</f>
        <v/>
      </c>
      <c r="O1528" s="7" t="n"/>
      <c r="U1528" s="7" t="n"/>
      <c r="V1528" s="7" t="n"/>
      <c r="W1528" s="7">
        <f>IF($D1528="","",V1528*AB1528/100)</f>
        <v/>
      </c>
      <c r="X1528" s="7">
        <f>IF($D1528="","",V1528-W1528)</f>
        <v/>
      </c>
      <c r="Y1528" s="7">
        <f>IF($D1528="","",X1528-N1528)</f>
        <v/>
      </c>
      <c r="AB1528">
        <f>IF($D1528="","",IF($AN1528=1,Settings!$C$8,IF($AM1528=1,Settings!$C$6,Settings!$C$7))*100)</f>
        <v/>
      </c>
      <c r="AF1528" s="7" t="n"/>
      <c r="AI1528" s="11" t="n"/>
      <c r="AK1528">
        <f>IF($D1528="","",IF(COUNTIF($D$2:$D1528,$D1528)=1,1,0))</f>
        <v/>
      </c>
      <c r="AL1528">
        <f>IF($AK1528=1,SUMPRODUCT(--($AO$2:$AO$1601&lt;$AO1528))+1,"")</f>
        <v/>
      </c>
      <c r="AM1528">
        <f>IF($D1528="","",IF(OR($R1528=TRUE(),$R1528="TRUE"),1,0))</f>
        <v/>
      </c>
      <c r="AN1528">
        <f>IF($D1528="","",IF($AA1528="Yes",1,0))</f>
        <v/>
      </c>
      <c r="AO1528">
        <f>IF($AK1528=1,IFERROR(IF(VALUE($D1528)&lt;100000000,VALUE($D1528),1000000000),IFERROR(IF(VALUE(MID($D1528,2,20))&lt;100000000,VALUE(MID($D1528,2,20)),1000000000),1000000000))+ROW()/100000,"")</f>
        <v/>
      </c>
    </row>
    <row r="1529">
      <c r="F1529" s="11" t="n"/>
      <c r="N1529" s="7">
        <f>IF($D1529="","",M1529*X1529/100)</f>
        <v/>
      </c>
      <c r="O1529" s="7" t="n"/>
      <c r="U1529" s="7" t="n"/>
      <c r="V1529" s="7" t="n"/>
      <c r="W1529" s="7">
        <f>IF($D1529="","",V1529*AB1529/100)</f>
        <v/>
      </c>
      <c r="X1529" s="7">
        <f>IF($D1529="","",V1529-W1529)</f>
        <v/>
      </c>
      <c r="Y1529" s="7">
        <f>IF($D1529="","",X1529-N1529)</f>
        <v/>
      </c>
      <c r="AB1529">
        <f>IF($D1529="","",IF($AN1529=1,Settings!$C$8,IF($AM1529=1,Settings!$C$6,Settings!$C$7))*100)</f>
        <v/>
      </c>
      <c r="AF1529" s="7" t="n"/>
      <c r="AI1529" s="11" t="n"/>
      <c r="AK1529">
        <f>IF($D1529="","",IF(COUNTIF($D$2:$D1529,$D1529)=1,1,0))</f>
        <v/>
      </c>
      <c r="AL1529">
        <f>IF($AK1529=1,SUMPRODUCT(--($AO$2:$AO$1601&lt;$AO1529))+1,"")</f>
        <v/>
      </c>
      <c r="AM1529">
        <f>IF($D1529="","",IF(OR($R1529=TRUE(),$R1529="TRUE"),1,0))</f>
        <v/>
      </c>
      <c r="AN1529">
        <f>IF($D1529="","",IF($AA1529="Yes",1,0))</f>
        <v/>
      </c>
      <c r="AO1529">
        <f>IF($AK1529=1,IFERROR(IF(VALUE($D1529)&lt;100000000,VALUE($D1529),1000000000),IFERROR(IF(VALUE(MID($D1529,2,20))&lt;100000000,VALUE(MID($D1529,2,20)),1000000000),1000000000))+ROW()/100000,"")</f>
        <v/>
      </c>
    </row>
    <row r="1530">
      <c r="F1530" s="11" t="n"/>
      <c r="N1530" s="7">
        <f>IF($D1530="","",M1530*X1530/100)</f>
        <v/>
      </c>
      <c r="O1530" s="7" t="n"/>
      <c r="U1530" s="7" t="n"/>
      <c r="V1530" s="7" t="n"/>
      <c r="W1530" s="7">
        <f>IF($D1530="","",V1530*AB1530/100)</f>
        <v/>
      </c>
      <c r="X1530" s="7">
        <f>IF($D1530="","",V1530-W1530)</f>
        <v/>
      </c>
      <c r="Y1530" s="7">
        <f>IF($D1530="","",X1530-N1530)</f>
        <v/>
      </c>
      <c r="AB1530">
        <f>IF($D1530="","",IF($AN1530=1,Settings!$C$8,IF($AM1530=1,Settings!$C$6,Settings!$C$7))*100)</f>
        <v/>
      </c>
      <c r="AF1530" s="7" t="n"/>
      <c r="AI1530" s="11" t="n"/>
      <c r="AK1530">
        <f>IF($D1530="","",IF(COUNTIF($D$2:$D1530,$D1530)=1,1,0))</f>
        <v/>
      </c>
      <c r="AL1530">
        <f>IF($AK1530=1,SUMPRODUCT(--($AO$2:$AO$1601&lt;$AO1530))+1,"")</f>
        <v/>
      </c>
      <c r="AM1530">
        <f>IF($D1530="","",IF(OR($R1530=TRUE(),$R1530="TRUE"),1,0))</f>
        <v/>
      </c>
      <c r="AN1530">
        <f>IF($D1530="","",IF($AA1530="Yes",1,0))</f>
        <v/>
      </c>
      <c r="AO1530">
        <f>IF($AK1530=1,IFERROR(IF(VALUE($D1530)&lt;100000000,VALUE($D1530),1000000000),IFERROR(IF(VALUE(MID($D1530,2,20))&lt;100000000,VALUE(MID($D1530,2,20)),1000000000),1000000000))+ROW()/100000,"")</f>
        <v/>
      </c>
    </row>
    <row r="1531">
      <c r="F1531" s="11" t="n"/>
      <c r="N1531" s="7">
        <f>IF($D1531="","",M1531*X1531/100)</f>
        <v/>
      </c>
      <c r="O1531" s="7" t="n"/>
      <c r="U1531" s="7" t="n"/>
      <c r="V1531" s="7" t="n"/>
      <c r="W1531" s="7">
        <f>IF($D1531="","",V1531*AB1531/100)</f>
        <v/>
      </c>
      <c r="X1531" s="7">
        <f>IF($D1531="","",V1531-W1531)</f>
        <v/>
      </c>
      <c r="Y1531" s="7">
        <f>IF($D1531="","",X1531-N1531)</f>
        <v/>
      </c>
      <c r="AB1531">
        <f>IF($D1531="","",IF($AN1531=1,Settings!$C$8,IF($AM1531=1,Settings!$C$6,Settings!$C$7))*100)</f>
        <v/>
      </c>
      <c r="AF1531" s="7" t="n"/>
      <c r="AI1531" s="11" t="n"/>
      <c r="AK1531">
        <f>IF($D1531="","",IF(COUNTIF($D$2:$D1531,$D1531)=1,1,0))</f>
        <v/>
      </c>
      <c r="AL1531">
        <f>IF($AK1531=1,SUMPRODUCT(--($AO$2:$AO$1601&lt;$AO1531))+1,"")</f>
        <v/>
      </c>
      <c r="AM1531">
        <f>IF($D1531="","",IF(OR($R1531=TRUE(),$R1531="TRUE"),1,0))</f>
        <v/>
      </c>
      <c r="AN1531">
        <f>IF($D1531="","",IF($AA1531="Yes",1,0))</f>
        <v/>
      </c>
      <c r="AO1531">
        <f>IF($AK1531=1,IFERROR(IF(VALUE($D1531)&lt;100000000,VALUE($D1531),1000000000),IFERROR(IF(VALUE(MID($D1531,2,20))&lt;100000000,VALUE(MID($D1531,2,20)),1000000000),1000000000))+ROW()/100000,"")</f>
        <v/>
      </c>
    </row>
    <row r="1532">
      <c r="F1532" s="11" t="n"/>
      <c r="N1532" s="7">
        <f>IF($D1532="","",M1532*X1532/100)</f>
        <v/>
      </c>
      <c r="O1532" s="7" t="n"/>
      <c r="U1532" s="7" t="n"/>
      <c r="V1532" s="7" t="n"/>
      <c r="W1532" s="7">
        <f>IF($D1532="","",V1532*AB1532/100)</f>
        <v/>
      </c>
      <c r="X1532" s="7">
        <f>IF($D1532="","",V1532-W1532)</f>
        <v/>
      </c>
      <c r="Y1532" s="7">
        <f>IF($D1532="","",X1532-N1532)</f>
        <v/>
      </c>
      <c r="AB1532">
        <f>IF($D1532="","",IF($AN1532=1,Settings!$C$8,IF($AM1532=1,Settings!$C$6,Settings!$C$7))*100)</f>
        <v/>
      </c>
      <c r="AF1532" s="7" t="n"/>
      <c r="AI1532" s="11" t="n"/>
      <c r="AK1532">
        <f>IF($D1532="","",IF(COUNTIF($D$2:$D1532,$D1532)=1,1,0))</f>
        <v/>
      </c>
      <c r="AL1532">
        <f>IF($AK1532=1,SUMPRODUCT(--($AO$2:$AO$1601&lt;$AO1532))+1,"")</f>
        <v/>
      </c>
      <c r="AM1532">
        <f>IF($D1532="","",IF(OR($R1532=TRUE(),$R1532="TRUE"),1,0))</f>
        <v/>
      </c>
      <c r="AN1532">
        <f>IF($D1532="","",IF($AA1532="Yes",1,0))</f>
        <v/>
      </c>
      <c r="AO1532">
        <f>IF($AK1532=1,IFERROR(IF(VALUE($D1532)&lt;100000000,VALUE($D1532),1000000000),IFERROR(IF(VALUE(MID($D1532,2,20))&lt;100000000,VALUE(MID($D1532,2,20)),1000000000),1000000000))+ROW()/100000,"")</f>
        <v/>
      </c>
    </row>
    <row r="1533">
      <c r="F1533" s="11" t="n"/>
      <c r="N1533" s="7">
        <f>IF($D1533="","",M1533*X1533/100)</f>
        <v/>
      </c>
      <c r="O1533" s="7" t="n"/>
      <c r="U1533" s="7" t="n"/>
      <c r="V1533" s="7" t="n"/>
      <c r="W1533" s="7">
        <f>IF($D1533="","",V1533*AB1533/100)</f>
        <v/>
      </c>
      <c r="X1533" s="7">
        <f>IF($D1533="","",V1533-W1533)</f>
        <v/>
      </c>
      <c r="Y1533" s="7">
        <f>IF($D1533="","",X1533-N1533)</f>
        <v/>
      </c>
      <c r="AB1533">
        <f>IF($D1533="","",IF($AN1533=1,Settings!$C$8,IF($AM1533=1,Settings!$C$6,Settings!$C$7))*100)</f>
        <v/>
      </c>
      <c r="AF1533" s="7" t="n"/>
      <c r="AI1533" s="11" t="n"/>
      <c r="AK1533">
        <f>IF($D1533="","",IF(COUNTIF($D$2:$D1533,$D1533)=1,1,0))</f>
        <v/>
      </c>
      <c r="AL1533">
        <f>IF($AK1533=1,SUMPRODUCT(--($AO$2:$AO$1601&lt;$AO1533))+1,"")</f>
        <v/>
      </c>
      <c r="AM1533">
        <f>IF($D1533="","",IF(OR($R1533=TRUE(),$R1533="TRUE"),1,0))</f>
        <v/>
      </c>
      <c r="AN1533">
        <f>IF($D1533="","",IF($AA1533="Yes",1,0))</f>
        <v/>
      </c>
      <c r="AO1533">
        <f>IF($AK1533=1,IFERROR(IF(VALUE($D1533)&lt;100000000,VALUE($D1533),1000000000),IFERROR(IF(VALUE(MID($D1533,2,20))&lt;100000000,VALUE(MID($D1533,2,20)),1000000000),1000000000))+ROW()/100000,"")</f>
        <v/>
      </c>
    </row>
    <row r="1534">
      <c r="F1534" s="11" t="n"/>
      <c r="N1534" s="7">
        <f>IF($D1534="","",M1534*X1534/100)</f>
        <v/>
      </c>
      <c r="O1534" s="7" t="n"/>
      <c r="U1534" s="7" t="n"/>
      <c r="V1534" s="7" t="n"/>
      <c r="W1534" s="7">
        <f>IF($D1534="","",V1534*AB1534/100)</f>
        <v/>
      </c>
      <c r="X1534" s="7">
        <f>IF($D1534="","",V1534-W1534)</f>
        <v/>
      </c>
      <c r="Y1534" s="7">
        <f>IF($D1534="","",X1534-N1534)</f>
        <v/>
      </c>
      <c r="AB1534">
        <f>IF($D1534="","",IF($AN1534=1,Settings!$C$8,IF($AM1534=1,Settings!$C$6,Settings!$C$7))*100)</f>
        <v/>
      </c>
      <c r="AF1534" s="7" t="n"/>
      <c r="AI1534" s="11" t="n"/>
      <c r="AK1534">
        <f>IF($D1534="","",IF(COUNTIF($D$2:$D1534,$D1534)=1,1,0))</f>
        <v/>
      </c>
      <c r="AL1534">
        <f>IF($AK1534=1,SUMPRODUCT(--($AO$2:$AO$1601&lt;$AO1534))+1,"")</f>
        <v/>
      </c>
      <c r="AM1534">
        <f>IF($D1534="","",IF(OR($R1534=TRUE(),$R1534="TRUE"),1,0))</f>
        <v/>
      </c>
      <c r="AN1534">
        <f>IF($D1534="","",IF($AA1534="Yes",1,0))</f>
        <v/>
      </c>
      <c r="AO1534">
        <f>IF($AK1534=1,IFERROR(IF(VALUE($D1534)&lt;100000000,VALUE($D1534),1000000000),IFERROR(IF(VALUE(MID($D1534,2,20))&lt;100000000,VALUE(MID($D1534,2,20)),1000000000),1000000000))+ROW()/100000,"")</f>
        <v/>
      </c>
    </row>
    <row r="1535">
      <c r="F1535" s="11" t="n"/>
      <c r="N1535" s="7">
        <f>IF($D1535="","",M1535*X1535/100)</f>
        <v/>
      </c>
      <c r="O1535" s="7" t="n"/>
      <c r="U1535" s="7" t="n"/>
      <c r="V1535" s="7" t="n"/>
      <c r="W1535" s="7">
        <f>IF($D1535="","",V1535*AB1535/100)</f>
        <v/>
      </c>
      <c r="X1535" s="7">
        <f>IF($D1535="","",V1535-W1535)</f>
        <v/>
      </c>
      <c r="Y1535" s="7">
        <f>IF($D1535="","",X1535-N1535)</f>
        <v/>
      </c>
      <c r="AB1535">
        <f>IF($D1535="","",IF($AN1535=1,Settings!$C$8,IF($AM1535=1,Settings!$C$6,Settings!$C$7))*100)</f>
        <v/>
      </c>
      <c r="AF1535" s="7" t="n"/>
      <c r="AI1535" s="11" t="n"/>
      <c r="AK1535">
        <f>IF($D1535="","",IF(COUNTIF($D$2:$D1535,$D1535)=1,1,0))</f>
        <v/>
      </c>
      <c r="AL1535">
        <f>IF($AK1535=1,SUMPRODUCT(--($AO$2:$AO$1601&lt;$AO1535))+1,"")</f>
        <v/>
      </c>
      <c r="AM1535">
        <f>IF($D1535="","",IF(OR($R1535=TRUE(),$R1535="TRUE"),1,0))</f>
        <v/>
      </c>
      <c r="AN1535">
        <f>IF($D1535="","",IF($AA1535="Yes",1,0))</f>
        <v/>
      </c>
      <c r="AO1535">
        <f>IF($AK1535=1,IFERROR(IF(VALUE($D1535)&lt;100000000,VALUE($D1535),1000000000),IFERROR(IF(VALUE(MID($D1535,2,20))&lt;100000000,VALUE(MID($D1535,2,20)),1000000000),1000000000))+ROW()/100000,"")</f>
        <v/>
      </c>
    </row>
    <row r="1536">
      <c r="F1536" s="11" t="n"/>
      <c r="N1536" s="7">
        <f>IF($D1536="","",M1536*X1536/100)</f>
        <v/>
      </c>
      <c r="O1536" s="7" t="n"/>
      <c r="U1536" s="7" t="n"/>
      <c r="V1536" s="7" t="n"/>
      <c r="W1536" s="7">
        <f>IF($D1536="","",V1536*AB1536/100)</f>
        <v/>
      </c>
      <c r="X1536" s="7">
        <f>IF($D1536="","",V1536-W1536)</f>
        <v/>
      </c>
      <c r="Y1536" s="7">
        <f>IF($D1536="","",X1536-N1536)</f>
        <v/>
      </c>
      <c r="AB1536">
        <f>IF($D1536="","",IF($AN1536=1,Settings!$C$8,IF($AM1536=1,Settings!$C$6,Settings!$C$7))*100)</f>
        <v/>
      </c>
      <c r="AF1536" s="7" t="n"/>
      <c r="AI1536" s="11" t="n"/>
      <c r="AK1536">
        <f>IF($D1536="","",IF(COUNTIF($D$2:$D1536,$D1536)=1,1,0))</f>
        <v/>
      </c>
      <c r="AL1536">
        <f>IF($AK1536=1,SUMPRODUCT(--($AO$2:$AO$1601&lt;$AO1536))+1,"")</f>
        <v/>
      </c>
      <c r="AM1536">
        <f>IF($D1536="","",IF(OR($R1536=TRUE(),$R1536="TRUE"),1,0))</f>
        <v/>
      </c>
      <c r="AN1536">
        <f>IF($D1536="","",IF($AA1536="Yes",1,0))</f>
        <v/>
      </c>
      <c r="AO1536">
        <f>IF($AK1536=1,IFERROR(IF(VALUE($D1536)&lt;100000000,VALUE($D1536),1000000000),IFERROR(IF(VALUE(MID($D1536,2,20))&lt;100000000,VALUE(MID($D1536,2,20)),1000000000),1000000000))+ROW()/100000,"")</f>
        <v/>
      </c>
    </row>
    <row r="1537">
      <c r="F1537" s="11" t="n"/>
      <c r="N1537" s="7">
        <f>IF($D1537="","",M1537*X1537/100)</f>
        <v/>
      </c>
      <c r="O1537" s="7" t="n"/>
      <c r="U1537" s="7" t="n"/>
      <c r="V1537" s="7" t="n"/>
      <c r="W1537" s="7">
        <f>IF($D1537="","",V1537*AB1537/100)</f>
        <v/>
      </c>
      <c r="X1537" s="7">
        <f>IF($D1537="","",V1537-W1537)</f>
        <v/>
      </c>
      <c r="Y1537" s="7">
        <f>IF($D1537="","",X1537-N1537)</f>
        <v/>
      </c>
      <c r="AB1537">
        <f>IF($D1537="","",IF($AN1537=1,Settings!$C$8,IF($AM1537=1,Settings!$C$6,Settings!$C$7))*100)</f>
        <v/>
      </c>
      <c r="AF1537" s="7" t="n"/>
      <c r="AI1537" s="11" t="n"/>
      <c r="AK1537">
        <f>IF($D1537="","",IF(COUNTIF($D$2:$D1537,$D1537)=1,1,0))</f>
        <v/>
      </c>
      <c r="AL1537">
        <f>IF($AK1537=1,SUMPRODUCT(--($AO$2:$AO$1601&lt;$AO1537))+1,"")</f>
        <v/>
      </c>
      <c r="AM1537">
        <f>IF($D1537="","",IF(OR($R1537=TRUE(),$R1537="TRUE"),1,0))</f>
        <v/>
      </c>
      <c r="AN1537">
        <f>IF($D1537="","",IF($AA1537="Yes",1,0))</f>
        <v/>
      </c>
      <c r="AO1537">
        <f>IF($AK1537=1,IFERROR(IF(VALUE($D1537)&lt;100000000,VALUE($D1537),1000000000),IFERROR(IF(VALUE(MID($D1537,2,20))&lt;100000000,VALUE(MID($D1537,2,20)),1000000000),1000000000))+ROW()/100000,"")</f>
        <v/>
      </c>
    </row>
    <row r="1538">
      <c r="F1538" s="11" t="n"/>
      <c r="N1538" s="7">
        <f>IF($D1538="","",M1538*X1538/100)</f>
        <v/>
      </c>
      <c r="O1538" s="7" t="n"/>
      <c r="U1538" s="7" t="n"/>
      <c r="V1538" s="7" t="n"/>
      <c r="W1538" s="7">
        <f>IF($D1538="","",V1538*AB1538/100)</f>
        <v/>
      </c>
      <c r="X1538" s="7">
        <f>IF($D1538="","",V1538-W1538)</f>
        <v/>
      </c>
      <c r="Y1538" s="7">
        <f>IF($D1538="","",X1538-N1538)</f>
        <v/>
      </c>
      <c r="AB1538">
        <f>IF($D1538="","",IF($AN1538=1,Settings!$C$8,IF($AM1538=1,Settings!$C$6,Settings!$C$7))*100)</f>
        <v/>
      </c>
      <c r="AF1538" s="7" t="n"/>
      <c r="AI1538" s="11" t="n"/>
      <c r="AK1538">
        <f>IF($D1538="","",IF(COUNTIF($D$2:$D1538,$D1538)=1,1,0))</f>
        <v/>
      </c>
      <c r="AL1538">
        <f>IF($AK1538=1,SUMPRODUCT(--($AO$2:$AO$1601&lt;$AO1538))+1,"")</f>
        <v/>
      </c>
      <c r="AM1538">
        <f>IF($D1538="","",IF(OR($R1538=TRUE(),$R1538="TRUE"),1,0))</f>
        <v/>
      </c>
      <c r="AN1538">
        <f>IF($D1538="","",IF($AA1538="Yes",1,0))</f>
        <v/>
      </c>
      <c r="AO1538">
        <f>IF($AK1538=1,IFERROR(IF(VALUE($D1538)&lt;100000000,VALUE($D1538),1000000000),IFERROR(IF(VALUE(MID($D1538,2,20))&lt;100000000,VALUE(MID($D1538,2,20)),1000000000),1000000000))+ROW()/100000,"")</f>
        <v/>
      </c>
    </row>
    <row r="1539">
      <c r="F1539" s="11" t="n"/>
      <c r="N1539" s="7">
        <f>IF($D1539="","",M1539*X1539/100)</f>
        <v/>
      </c>
      <c r="O1539" s="7" t="n"/>
      <c r="U1539" s="7" t="n"/>
      <c r="V1539" s="7" t="n"/>
      <c r="W1539" s="7">
        <f>IF($D1539="","",V1539*AB1539/100)</f>
        <v/>
      </c>
      <c r="X1539" s="7">
        <f>IF($D1539="","",V1539-W1539)</f>
        <v/>
      </c>
      <c r="Y1539" s="7">
        <f>IF($D1539="","",X1539-N1539)</f>
        <v/>
      </c>
      <c r="AB1539">
        <f>IF($D1539="","",IF($AN1539=1,Settings!$C$8,IF($AM1539=1,Settings!$C$6,Settings!$C$7))*100)</f>
        <v/>
      </c>
      <c r="AF1539" s="7" t="n"/>
      <c r="AI1539" s="11" t="n"/>
      <c r="AK1539">
        <f>IF($D1539="","",IF(COUNTIF($D$2:$D1539,$D1539)=1,1,0))</f>
        <v/>
      </c>
      <c r="AL1539">
        <f>IF($AK1539=1,SUMPRODUCT(--($AO$2:$AO$1601&lt;$AO1539))+1,"")</f>
        <v/>
      </c>
      <c r="AM1539">
        <f>IF($D1539="","",IF(OR($R1539=TRUE(),$R1539="TRUE"),1,0))</f>
        <v/>
      </c>
      <c r="AN1539">
        <f>IF($D1539="","",IF($AA1539="Yes",1,0))</f>
        <v/>
      </c>
      <c r="AO1539">
        <f>IF($AK1539=1,IFERROR(IF(VALUE($D1539)&lt;100000000,VALUE($D1539),1000000000),IFERROR(IF(VALUE(MID($D1539,2,20))&lt;100000000,VALUE(MID($D1539,2,20)),1000000000),1000000000))+ROW()/100000,"")</f>
        <v/>
      </c>
    </row>
    <row r="1540">
      <c r="F1540" s="11" t="n"/>
      <c r="N1540" s="7">
        <f>IF($D1540="","",M1540*X1540/100)</f>
        <v/>
      </c>
      <c r="O1540" s="7" t="n"/>
      <c r="U1540" s="7" t="n"/>
      <c r="V1540" s="7" t="n"/>
      <c r="W1540" s="7">
        <f>IF($D1540="","",V1540*AB1540/100)</f>
        <v/>
      </c>
      <c r="X1540" s="7">
        <f>IF($D1540="","",V1540-W1540)</f>
        <v/>
      </c>
      <c r="Y1540" s="7">
        <f>IF($D1540="","",X1540-N1540)</f>
        <v/>
      </c>
      <c r="AB1540">
        <f>IF($D1540="","",IF($AN1540=1,Settings!$C$8,IF($AM1540=1,Settings!$C$6,Settings!$C$7))*100)</f>
        <v/>
      </c>
      <c r="AF1540" s="7" t="n"/>
      <c r="AI1540" s="11" t="n"/>
      <c r="AK1540">
        <f>IF($D1540="","",IF(COUNTIF($D$2:$D1540,$D1540)=1,1,0))</f>
        <v/>
      </c>
      <c r="AL1540">
        <f>IF($AK1540=1,SUMPRODUCT(--($AO$2:$AO$1601&lt;$AO1540))+1,"")</f>
        <v/>
      </c>
      <c r="AM1540">
        <f>IF($D1540="","",IF(OR($R1540=TRUE(),$R1540="TRUE"),1,0))</f>
        <v/>
      </c>
      <c r="AN1540">
        <f>IF($D1540="","",IF($AA1540="Yes",1,0))</f>
        <v/>
      </c>
      <c r="AO1540">
        <f>IF($AK1540=1,IFERROR(IF(VALUE($D1540)&lt;100000000,VALUE($D1540),1000000000),IFERROR(IF(VALUE(MID($D1540,2,20))&lt;100000000,VALUE(MID($D1540,2,20)),1000000000),1000000000))+ROW()/100000,"")</f>
        <v/>
      </c>
    </row>
    <row r="1541">
      <c r="F1541" s="11" t="n"/>
      <c r="N1541" s="7">
        <f>IF($D1541="","",M1541*X1541/100)</f>
        <v/>
      </c>
      <c r="O1541" s="7" t="n"/>
      <c r="U1541" s="7" t="n"/>
      <c r="V1541" s="7" t="n"/>
      <c r="W1541" s="7">
        <f>IF($D1541="","",V1541*AB1541/100)</f>
        <v/>
      </c>
      <c r="X1541" s="7">
        <f>IF($D1541="","",V1541-W1541)</f>
        <v/>
      </c>
      <c r="Y1541" s="7">
        <f>IF($D1541="","",X1541-N1541)</f>
        <v/>
      </c>
      <c r="AB1541">
        <f>IF($D1541="","",IF($AN1541=1,Settings!$C$8,IF($AM1541=1,Settings!$C$6,Settings!$C$7))*100)</f>
        <v/>
      </c>
      <c r="AF1541" s="7" t="n"/>
      <c r="AI1541" s="11" t="n"/>
      <c r="AK1541">
        <f>IF($D1541="","",IF(COUNTIF($D$2:$D1541,$D1541)=1,1,0))</f>
        <v/>
      </c>
      <c r="AL1541">
        <f>IF($AK1541=1,SUMPRODUCT(--($AO$2:$AO$1601&lt;$AO1541))+1,"")</f>
        <v/>
      </c>
      <c r="AM1541">
        <f>IF($D1541="","",IF(OR($R1541=TRUE(),$R1541="TRUE"),1,0))</f>
        <v/>
      </c>
      <c r="AN1541">
        <f>IF($D1541="","",IF($AA1541="Yes",1,0))</f>
        <v/>
      </c>
      <c r="AO1541">
        <f>IF($AK1541=1,IFERROR(IF(VALUE($D1541)&lt;100000000,VALUE($D1541),1000000000),IFERROR(IF(VALUE(MID($D1541,2,20))&lt;100000000,VALUE(MID($D1541,2,20)),1000000000),1000000000))+ROW()/100000,"")</f>
        <v/>
      </c>
    </row>
    <row r="1542">
      <c r="F1542" s="11" t="n"/>
      <c r="N1542" s="7">
        <f>IF($D1542="","",M1542*X1542/100)</f>
        <v/>
      </c>
      <c r="O1542" s="7" t="n"/>
      <c r="U1542" s="7" t="n"/>
      <c r="V1542" s="7" t="n"/>
      <c r="W1542" s="7">
        <f>IF($D1542="","",V1542*AB1542/100)</f>
        <v/>
      </c>
      <c r="X1542" s="7">
        <f>IF($D1542="","",V1542-W1542)</f>
        <v/>
      </c>
      <c r="Y1542" s="7">
        <f>IF($D1542="","",X1542-N1542)</f>
        <v/>
      </c>
      <c r="AB1542">
        <f>IF($D1542="","",IF($AN1542=1,Settings!$C$8,IF($AM1542=1,Settings!$C$6,Settings!$C$7))*100)</f>
        <v/>
      </c>
      <c r="AF1542" s="7" t="n"/>
      <c r="AI1542" s="11" t="n"/>
      <c r="AK1542">
        <f>IF($D1542="","",IF(COUNTIF($D$2:$D1542,$D1542)=1,1,0))</f>
        <v/>
      </c>
      <c r="AL1542">
        <f>IF($AK1542=1,SUMPRODUCT(--($AO$2:$AO$1601&lt;$AO1542))+1,"")</f>
        <v/>
      </c>
      <c r="AM1542">
        <f>IF($D1542="","",IF(OR($R1542=TRUE(),$R1542="TRUE"),1,0))</f>
        <v/>
      </c>
      <c r="AN1542">
        <f>IF($D1542="","",IF($AA1542="Yes",1,0))</f>
        <v/>
      </c>
      <c r="AO1542">
        <f>IF($AK1542=1,IFERROR(IF(VALUE($D1542)&lt;100000000,VALUE($D1542),1000000000),IFERROR(IF(VALUE(MID($D1542,2,20))&lt;100000000,VALUE(MID($D1542,2,20)),1000000000),1000000000))+ROW()/100000,"")</f>
        <v/>
      </c>
    </row>
    <row r="1543">
      <c r="F1543" s="11" t="n"/>
      <c r="N1543" s="7">
        <f>IF($D1543="","",M1543*X1543/100)</f>
        <v/>
      </c>
      <c r="O1543" s="7" t="n"/>
      <c r="U1543" s="7" t="n"/>
      <c r="V1543" s="7" t="n"/>
      <c r="W1543" s="7">
        <f>IF($D1543="","",V1543*AB1543/100)</f>
        <v/>
      </c>
      <c r="X1543" s="7">
        <f>IF($D1543="","",V1543-W1543)</f>
        <v/>
      </c>
      <c r="Y1543" s="7">
        <f>IF($D1543="","",X1543-N1543)</f>
        <v/>
      </c>
      <c r="AB1543">
        <f>IF($D1543="","",IF($AN1543=1,Settings!$C$8,IF($AM1543=1,Settings!$C$6,Settings!$C$7))*100)</f>
        <v/>
      </c>
      <c r="AF1543" s="7" t="n"/>
      <c r="AI1543" s="11" t="n"/>
      <c r="AK1543">
        <f>IF($D1543="","",IF(COUNTIF($D$2:$D1543,$D1543)=1,1,0))</f>
        <v/>
      </c>
      <c r="AL1543">
        <f>IF($AK1543=1,SUMPRODUCT(--($AO$2:$AO$1601&lt;$AO1543))+1,"")</f>
        <v/>
      </c>
      <c r="AM1543">
        <f>IF($D1543="","",IF(OR($R1543=TRUE(),$R1543="TRUE"),1,0))</f>
        <v/>
      </c>
      <c r="AN1543">
        <f>IF($D1543="","",IF($AA1543="Yes",1,0))</f>
        <v/>
      </c>
      <c r="AO1543">
        <f>IF($AK1543=1,IFERROR(IF(VALUE($D1543)&lt;100000000,VALUE($D1543),1000000000),IFERROR(IF(VALUE(MID($D1543,2,20))&lt;100000000,VALUE(MID($D1543,2,20)),1000000000),1000000000))+ROW()/100000,"")</f>
        <v/>
      </c>
    </row>
    <row r="1544">
      <c r="F1544" s="11" t="n"/>
      <c r="N1544" s="7">
        <f>IF($D1544="","",M1544*X1544/100)</f>
        <v/>
      </c>
      <c r="O1544" s="7" t="n"/>
      <c r="U1544" s="7" t="n"/>
      <c r="V1544" s="7" t="n"/>
      <c r="W1544" s="7">
        <f>IF($D1544="","",V1544*AB1544/100)</f>
        <v/>
      </c>
      <c r="X1544" s="7">
        <f>IF($D1544="","",V1544-W1544)</f>
        <v/>
      </c>
      <c r="Y1544" s="7">
        <f>IF($D1544="","",X1544-N1544)</f>
        <v/>
      </c>
      <c r="AB1544">
        <f>IF($D1544="","",IF($AN1544=1,Settings!$C$8,IF($AM1544=1,Settings!$C$6,Settings!$C$7))*100)</f>
        <v/>
      </c>
      <c r="AF1544" s="7" t="n"/>
      <c r="AI1544" s="11" t="n"/>
      <c r="AK1544">
        <f>IF($D1544="","",IF(COUNTIF($D$2:$D1544,$D1544)=1,1,0))</f>
        <v/>
      </c>
      <c r="AL1544">
        <f>IF($AK1544=1,SUMPRODUCT(--($AO$2:$AO$1601&lt;$AO1544))+1,"")</f>
        <v/>
      </c>
      <c r="AM1544">
        <f>IF($D1544="","",IF(OR($R1544=TRUE(),$R1544="TRUE"),1,0))</f>
        <v/>
      </c>
      <c r="AN1544">
        <f>IF($D1544="","",IF($AA1544="Yes",1,0))</f>
        <v/>
      </c>
      <c r="AO1544">
        <f>IF($AK1544=1,IFERROR(IF(VALUE($D1544)&lt;100000000,VALUE($D1544),1000000000),IFERROR(IF(VALUE(MID($D1544,2,20))&lt;100000000,VALUE(MID($D1544,2,20)),1000000000),1000000000))+ROW()/100000,"")</f>
        <v/>
      </c>
    </row>
    <row r="1545">
      <c r="F1545" s="11" t="n"/>
      <c r="N1545" s="7">
        <f>IF($D1545="","",M1545*X1545/100)</f>
        <v/>
      </c>
      <c r="O1545" s="7" t="n"/>
      <c r="U1545" s="7" t="n"/>
      <c r="V1545" s="7" t="n"/>
      <c r="W1545" s="7">
        <f>IF($D1545="","",V1545*AB1545/100)</f>
        <v/>
      </c>
      <c r="X1545" s="7">
        <f>IF($D1545="","",V1545-W1545)</f>
        <v/>
      </c>
      <c r="Y1545" s="7">
        <f>IF($D1545="","",X1545-N1545)</f>
        <v/>
      </c>
      <c r="AB1545">
        <f>IF($D1545="","",IF($AN1545=1,Settings!$C$8,IF($AM1545=1,Settings!$C$6,Settings!$C$7))*100)</f>
        <v/>
      </c>
      <c r="AF1545" s="7" t="n"/>
      <c r="AI1545" s="11" t="n"/>
      <c r="AK1545">
        <f>IF($D1545="","",IF(COUNTIF($D$2:$D1545,$D1545)=1,1,0))</f>
        <v/>
      </c>
      <c r="AL1545">
        <f>IF($AK1545=1,SUMPRODUCT(--($AO$2:$AO$1601&lt;$AO1545))+1,"")</f>
        <v/>
      </c>
      <c r="AM1545">
        <f>IF($D1545="","",IF(OR($R1545=TRUE(),$R1545="TRUE"),1,0))</f>
        <v/>
      </c>
      <c r="AN1545">
        <f>IF($D1545="","",IF($AA1545="Yes",1,0))</f>
        <v/>
      </c>
      <c r="AO1545">
        <f>IF($AK1545=1,IFERROR(IF(VALUE($D1545)&lt;100000000,VALUE($D1545),1000000000),IFERROR(IF(VALUE(MID($D1545,2,20))&lt;100000000,VALUE(MID($D1545,2,20)),1000000000),1000000000))+ROW()/100000,"")</f>
        <v/>
      </c>
    </row>
    <row r="1546">
      <c r="F1546" s="11" t="n"/>
      <c r="N1546" s="7">
        <f>IF($D1546="","",M1546*X1546/100)</f>
        <v/>
      </c>
      <c r="O1546" s="7" t="n"/>
      <c r="U1546" s="7" t="n"/>
      <c r="V1546" s="7" t="n"/>
      <c r="W1546" s="7">
        <f>IF($D1546="","",V1546*AB1546/100)</f>
        <v/>
      </c>
      <c r="X1546" s="7">
        <f>IF($D1546="","",V1546-W1546)</f>
        <v/>
      </c>
      <c r="Y1546" s="7">
        <f>IF($D1546="","",X1546-N1546)</f>
        <v/>
      </c>
      <c r="AB1546">
        <f>IF($D1546="","",IF($AN1546=1,Settings!$C$8,IF($AM1546=1,Settings!$C$6,Settings!$C$7))*100)</f>
        <v/>
      </c>
      <c r="AF1546" s="7" t="n"/>
      <c r="AI1546" s="11" t="n"/>
      <c r="AK1546">
        <f>IF($D1546="","",IF(COUNTIF($D$2:$D1546,$D1546)=1,1,0))</f>
        <v/>
      </c>
      <c r="AL1546">
        <f>IF($AK1546=1,SUMPRODUCT(--($AO$2:$AO$1601&lt;$AO1546))+1,"")</f>
        <v/>
      </c>
      <c r="AM1546">
        <f>IF($D1546="","",IF(OR($R1546=TRUE(),$R1546="TRUE"),1,0))</f>
        <v/>
      </c>
      <c r="AN1546">
        <f>IF($D1546="","",IF($AA1546="Yes",1,0))</f>
        <v/>
      </c>
      <c r="AO1546">
        <f>IF($AK1546=1,IFERROR(IF(VALUE($D1546)&lt;100000000,VALUE($D1546),1000000000),IFERROR(IF(VALUE(MID($D1546,2,20))&lt;100000000,VALUE(MID($D1546,2,20)),1000000000),1000000000))+ROW()/100000,"")</f>
        <v/>
      </c>
    </row>
    <row r="1547">
      <c r="F1547" s="11" t="n"/>
      <c r="N1547" s="7">
        <f>IF($D1547="","",M1547*X1547/100)</f>
        <v/>
      </c>
      <c r="O1547" s="7" t="n"/>
      <c r="U1547" s="7" t="n"/>
      <c r="V1547" s="7" t="n"/>
      <c r="W1547" s="7">
        <f>IF($D1547="","",V1547*AB1547/100)</f>
        <v/>
      </c>
      <c r="X1547" s="7">
        <f>IF($D1547="","",V1547-W1547)</f>
        <v/>
      </c>
      <c r="Y1547" s="7">
        <f>IF($D1547="","",X1547-N1547)</f>
        <v/>
      </c>
      <c r="AB1547">
        <f>IF($D1547="","",IF($AN1547=1,Settings!$C$8,IF($AM1547=1,Settings!$C$6,Settings!$C$7))*100)</f>
        <v/>
      </c>
      <c r="AF1547" s="7" t="n"/>
      <c r="AI1547" s="11" t="n"/>
      <c r="AK1547">
        <f>IF($D1547="","",IF(COUNTIF($D$2:$D1547,$D1547)=1,1,0))</f>
        <v/>
      </c>
      <c r="AL1547">
        <f>IF($AK1547=1,SUMPRODUCT(--($AO$2:$AO$1601&lt;$AO1547))+1,"")</f>
        <v/>
      </c>
      <c r="AM1547">
        <f>IF($D1547="","",IF(OR($R1547=TRUE(),$R1547="TRUE"),1,0))</f>
        <v/>
      </c>
      <c r="AN1547">
        <f>IF($D1547="","",IF($AA1547="Yes",1,0))</f>
        <v/>
      </c>
      <c r="AO1547">
        <f>IF($AK1547=1,IFERROR(IF(VALUE($D1547)&lt;100000000,VALUE($D1547),1000000000),IFERROR(IF(VALUE(MID($D1547,2,20))&lt;100000000,VALUE(MID($D1547,2,20)),1000000000),1000000000))+ROW()/100000,"")</f>
        <v/>
      </c>
    </row>
    <row r="1548">
      <c r="F1548" s="11" t="n"/>
      <c r="N1548" s="7">
        <f>IF($D1548="","",M1548*X1548/100)</f>
        <v/>
      </c>
      <c r="O1548" s="7" t="n"/>
      <c r="U1548" s="7" t="n"/>
      <c r="V1548" s="7" t="n"/>
      <c r="W1548" s="7">
        <f>IF($D1548="","",V1548*AB1548/100)</f>
        <v/>
      </c>
      <c r="X1548" s="7">
        <f>IF($D1548="","",V1548-W1548)</f>
        <v/>
      </c>
      <c r="Y1548" s="7">
        <f>IF($D1548="","",X1548-N1548)</f>
        <v/>
      </c>
      <c r="AB1548">
        <f>IF($D1548="","",IF($AN1548=1,Settings!$C$8,IF($AM1548=1,Settings!$C$6,Settings!$C$7))*100)</f>
        <v/>
      </c>
      <c r="AF1548" s="7" t="n"/>
      <c r="AI1548" s="11" t="n"/>
      <c r="AK1548">
        <f>IF($D1548="","",IF(COUNTIF($D$2:$D1548,$D1548)=1,1,0))</f>
        <v/>
      </c>
      <c r="AL1548">
        <f>IF($AK1548=1,SUMPRODUCT(--($AO$2:$AO$1601&lt;$AO1548))+1,"")</f>
        <v/>
      </c>
      <c r="AM1548">
        <f>IF($D1548="","",IF(OR($R1548=TRUE(),$R1548="TRUE"),1,0))</f>
        <v/>
      </c>
      <c r="AN1548">
        <f>IF($D1548="","",IF($AA1548="Yes",1,0))</f>
        <v/>
      </c>
      <c r="AO1548">
        <f>IF($AK1548=1,IFERROR(IF(VALUE($D1548)&lt;100000000,VALUE($D1548),1000000000),IFERROR(IF(VALUE(MID($D1548,2,20))&lt;100000000,VALUE(MID($D1548,2,20)),1000000000),1000000000))+ROW()/100000,"")</f>
        <v/>
      </c>
    </row>
    <row r="1549">
      <c r="F1549" s="11" t="n"/>
      <c r="N1549" s="7">
        <f>IF($D1549="","",M1549*X1549/100)</f>
        <v/>
      </c>
      <c r="O1549" s="7" t="n"/>
      <c r="U1549" s="7" t="n"/>
      <c r="V1549" s="7" t="n"/>
      <c r="W1549" s="7">
        <f>IF($D1549="","",V1549*AB1549/100)</f>
        <v/>
      </c>
      <c r="X1549" s="7">
        <f>IF($D1549="","",V1549-W1549)</f>
        <v/>
      </c>
      <c r="Y1549" s="7">
        <f>IF($D1549="","",X1549-N1549)</f>
        <v/>
      </c>
      <c r="AB1549">
        <f>IF($D1549="","",IF($AN1549=1,Settings!$C$8,IF($AM1549=1,Settings!$C$6,Settings!$C$7))*100)</f>
        <v/>
      </c>
      <c r="AF1549" s="7" t="n"/>
      <c r="AI1549" s="11" t="n"/>
      <c r="AK1549">
        <f>IF($D1549="","",IF(COUNTIF($D$2:$D1549,$D1549)=1,1,0))</f>
        <v/>
      </c>
      <c r="AL1549">
        <f>IF($AK1549=1,SUMPRODUCT(--($AO$2:$AO$1601&lt;$AO1549))+1,"")</f>
        <v/>
      </c>
      <c r="AM1549">
        <f>IF($D1549="","",IF(OR($R1549=TRUE(),$R1549="TRUE"),1,0))</f>
        <v/>
      </c>
      <c r="AN1549">
        <f>IF($D1549="","",IF($AA1549="Yes",1,0))</f>
        <v/>
      </c>
      <c r="AO1549">
        <f>IF($AK1549=1,IFERROR(IF(VALUE($D1549)&lt;100000000,VALUE($D1549),1000000000),IFERROR(IF(VALUE(MID($D1549,2,20))&lt;100000000,VALUE(MID($D1549,2,20)),1000000000),1000000000))+ROW()/100000,"")</f>
        <v/>
      </c>
    </row>
    <row r="1550">
      <c r="F1550" s="11" t="n"/>
      <c r="N1550" s="7">
        <f>IF($D1550="","",M1550*X1550/100)</f>
        <v/>
      </c>
      <c r="O1550" s="7" t="n"/>
      <c r="U1550" s="7" t="n"/>
      <c r="V1550" s="7" t="n"/>
      <c r="W1550" s="7">
        <f>IF($D1550="","",V1550*AB1550/100)</f>
        <v/>
      </c>
      <c r="X1550" s="7">
        <f>IF($D1550="","",V1550-W1550)</f>
        <v/>
      </c>
      <c r="Y1550" s="7">
        <f>IF($D1550="","",X1550-N1550)</f>
        <v/>
      </c>
      <c r="AB1550">
        <f>IF($D1550="","",IF($AN1550=1,Settings!$C$8,IF($AM1550=1,Settings!$C$6,Settings!$C$7))*100)</f>
        <v/>
      </c>
      <c r="AF1550" s="7" t="n"/>
      <c r="AI1550" s="11" t="n"/>
      <c r="AK1550">
        <f>IF($D1550="","",IF(COUNTIF($D$2:$D1550,$D1550)=1,1,0))</f>
        <v/>
      </c>
      <c r="AL1550">
        <f>IF($AK1550=1,SUMPRODUCT(--($AO$2:$AO$1601&lt;$AO1550))+1,"")</f>
        <v/>
      </c>
      <c r="AM1550">
        <f>IF($D1550="","",IF(OR($R1550=TRUE(),$R1550="TRUE"),1,0))</f>
        <v/>
      </c>
      <c r="AN1550">
        <f>IF($D1550="","",IF($AA1550="Yes",1,0))</f>
        <v/>
      </c>
      <c r="AO1550">
        <f>IF($AK1550=1,IFERROR(IF(VALUE($D1550)&lt;100000000,VALUE($D1550),1000000000),IFERROR(IF(VALUE(MID($D1550,2,20))&lt;100000000,VALUE(MID($D1550,2,20)),1000000000),1000000000))+ROW()/100000,"")</f>
        <v/>
      </c>
    </row>
    <row r="1551">
      <c r="F1551" s="11" t="n"/>
      <c r="N1551" s="7">
        <f>IF($D1551="","",M1551*X1551/100)</f>
        <v/>
      </c>
      <c r="O1551" s="7" t="n"/>
      <c r="U1551" s="7" t="n"/>
      <c r="V1551" s="7" t="n"/>
      <c r="W1551" s="7">
        <f>IF($D1551="","",V1551*AB1551/100)</f>
        <v/>
      </c>
      <c r="X1551" s="7">
        <f>IF($D1551="","",V1551-W1551)</f>
        <v/>
      </c>
      <c r="Y1551" s="7">
        <f>IF($D1551="","",X1551-N1551)</f>
        <v/>
      </c>
      <c r="AB1551">
        <f>IF($D1551="","",IF($AN1551=1,Settings!$C$8,IF($AM1551=1,Settings!$C$6,Settings!$C$7))*100)</f>
        <v/>
      </c>
      <c r="AF1551" s="7" t="n"/>
      <c r="AI1551" s="11" t="n"/>
      <c r="AK1551">
        <f>IF($D1551="","",IF(COUNTIF($D$2:$D1551,$D1551)=1,1,0))</f>
        <v/>
      </c>
      <c r="AL1551">
        <f>IF($AK1551=1,SUMPRODUCT(--($AO$2:$AO$1601&lt;$AO1551))+1,"")</f>
        <v/>
      </c>
      <c r="AM1551">
        <f>IF($D1551="","",IF(OR($R1551=TRUE(),$R1551="TRUE"),1,0))</f>
        <v/>
      </c>
      <c r="AN1551">
        <f>IF($D1551="","",IF($AA1551="Yes",1,0))</f>
        <v/>
      </c>
      <c r="AO1551">
        <f>IF($AK1551=1,IFERROR(IF(VALUE($D1551)&lt;100000000,VALUE($D1551),1000000000),IFERROR(IF(VALUE(MID($D1551,2,20))&lt;100000000,VALUE(MID($D1551,2,20)),1000000000),1000000000))+ROW()/100000,"")</f>
        <v/>
      </c>
    </row>
    <row r="1552">
      <c r="F1552" s="11" t="n"/>
      <c r="N1552" s="7">
        <f>IF($D1552="","",M1552*X1552/100)</f>
        <v/>
      </c>
      <c r="O1552" s="7" t="n"/>
      <c r="U1552" s="7" t="n"/>
      <c r="V1552" s="7" t="n"/>
      <c r="W1552" s="7">
        <f>IF($D1552="","",V1552*AB1552/100)</f>
        <v/>
      </c>
      <c r="X1552" s="7">
        <f>IF($D1552="","",V1552-W1552)</f>
        <v/>
      </c>
      <c r="Y1552" s="7">
        <f>IF($D1552="","",X1552-N1552)</f>
        <v/>
      </c>
      <c r="AB1552">
        <f>IF($D1552="","",IF($AN1552=1,Settings!$C$8,IF($AM1552=1,Settings!$C$6,Settings!$C$7))*100)</f>
        <v/>
      </c>
      <c r="AF1552" s="7" t="n"/>
      <c r="AI1552" s="11" t="n"/>
      <c r="AK1552">
        <f>IF($D1552="","",IF(COUNTIF($D$2:$D1552,$D1552)=1,1,0))</f>
        <v/>
      </c>
      <c r="AL1552">
        <f>IF($AK1552=1,SUMPRODUCT(--($AO$2:$AO$1601&lt;$AO1552))+1,"")</f>
        <v/>
      </c>
      <c r="AM1552">
        <f>IF($D1552="","",IF(OR($R1552=TRUE(),$R1552="TRUE"),1,0))</f>
        <v/>
      </c>
      <c r="AN1552">
        <f>IF($D1552="","",IF($AA1552="Yes",1,0))</f>
        <v/>
      </c>
      <c r="AO1552">
        <f>IF($AK1552=1,IFERROR(IF(VALUE($D1552)&lt;100000000,VALUE($D1552),1000000000),IFERROR(IF(VALUE(MID($D1552,2,20))&lt;100000000,VALUE(MID($D1552,2,20)),1000000000),1000000000))+ROW()/100000,"")</f>
        <v/>
      </c>
    </row>
    <row r="1553">
      <c r="F1553" s="11" t="n"/>
      <c r="N1553" s="7">
        <f>IF($D1553="","",M1553*X1553/100)</f>
        <v/>
      </c>
      <c r="O1553" s="7" t="n"/>
      <c r="U1553" s="7" t="n"/>
      <c r="V1553" s="7" t="n"/>
      <c r="W1553" s="7">
        <f>IF($D1553="","",V1553*AB1553/100)</f>
        <v/>
      </c>
      <c r="X1553" s="7">
        <f>IF($D1553="","",V1553-W1553)</f>
        <v/>
      </c>
      <c r="Y1553" s="7">
        <f>IF($D1553="","",X1553-N1553)</f>
        <v/>
      </c>
      <c r="AB1553">
        <f>IF($D1553="","",IF($AN1553=1,Settings!$C$8,IF($AM1553=1,Settings!$C$6,Settings!$C$7))*100)</f>
        <v/>
      </c>
      <c r="AF1553" s="7" t="n"/>
      <c r="AI1553" s="11" t="n"/>
      <c r="AK1553">
        <f>IF($D1553="","",IF(COUNTIF($D$2:$D1553,$D1553)=1,1,0))</f>
        <v/>
      </c>
      <c r="AL1553">
        <f>IF($AK1553=1,SUMPRODUCT(--($AO$2:$AO$1601&lt;$AO1553))+1,"")</f>
        <v/>
      </c>
      <c r="AM1553">
        <f>IF($D1553="","",IF(OR($R1553=TRUE(),$R1553="TRUE"),1,0))</f>
        <v/>
      </c>
      <c r="AN1553">
        <f>IF($D1553="","",IF($AA1553="Yes",1,0))</f>
        <v/>
      </c>
      <c r="AO1553">
        <f>IF($AK1553=1,IFERROR(IF(VALUE($D1553)&lt;100000000,VALUE($D1553),1000000000),IFERROR(IF(VALUE(MID($D1553,2,20))&lt;100000000,VALUE(MID($D1553,2,20)),1000000000),1000000000))+ROW()/100000,"")</f>
        <v/>
      </c>
    </row>
    <row r="1554">
      <c r="F1554" s="11" t="n"/>
      <c r="N1554" s="7">
        <f>IF($D1554="","",M1554*X1554/100)</f>
        <v/>
      </c>
      <c r="O1554" s="7" t="n"/>
      <c r="U1554" s="7" t="n"/>
      <c r="V1554" s="7" t="n"/>
      <c r="W1554" s="7">
        <f>IF($D1554="","",V1554*AB1554/100)</f>
        <v/>
      </c>
      <c r="X1554" s="7">
        <f>IF($D1554="","",V1554-W1554)</f>
        <v/>
      </c>
      <c r="Y1554" s="7">
        <f>IF($D1554="","",X1554-N1554)</f>
        <v/>
      </c>
      <c r="AB1554">
        <f>IF($D1554="","",IF($AN1554=1,Settings!$C$8,IF($AM1554=1,Settings!$C$6,Settings!$C$7))*100)</f>
        <v/>
      </c>
      <c r="AF1554" s="7" t="n"/>
      <c r="AI1554" s="11" t="n"/>
      <c r="AK1554">
        <f>IF($D1554="","",IF(COUNTIF($D$2:$D1554,$D1554)=1,1,0))</f>
        <v/>
      </c>
      <c r="AL1554">
        <f>IF($AK1554=1,SUMPRODUCT(--($AO$2:$AO$1601&lt;$AO1554))+1,"")</f>
        <v/>
      </c>
      <c r="AM1554">
        <f>IF($D1554="","",IF(OR($R1554=TRUE(),$R1554="TRUE"),1,0))</f>
        <v/>
      </c>
      <c r="AN1554">
        <f>IF($D1554="","",IF($AA1554="Yes",1,0))</f>
        <v/>
      </c>
      <c r="AO1554">
        <f>IF($AK1554=1,IFERROR(IF(VALUE($D1554)&lt;100000000,VALUE($D1554),1000000000),IFERROR(IF(VALUE(MID($D1554,2,20))&lt;100000000,VALUE(MID($D1554,2,20)),1000000000),1000000000))+ROW()/100000,"")</f>
        <v/>
      </c>
    </row>
    <row r="1555">
      <c r="F1555" s="11" t="n"/>
      <c r="N1555" s="7">
        <f>IF($D1555="","",M1555*X1555/100)</f>
        <v/>
      </c>
      <c r="O1555" s="7" t="n"/>
      <c r="U1555" s="7" t="n"/>
      <c r="V1555" s="7" t="n"/>
      <c r="W1555" s="7">
        <f>IF($D1555="","",V1555*AB1555/100)</f>
        <v/>
      </c>
      <c r="X1555" s="7">
        <f>IF($D1555="","",V1555-W1555)</f>
        <v/>
      </c>
      <c r="Y1555" s="7">
        <f>IF($D1555="","",X1555-N1555)</f>
        <v/>
      </c>
      <c r="AB1555">
        <f>IF($D1555="","",IF($AN1555=1,Settings!$C$8,IF($AM1555=1,Settings!$C$6,Settings!$C$7))*100)</f>
        <v/>
      </c>
      <c r="AF1555" s="7" t="n"/>
      <c r="AI1555" s="11" t="n"/>
      <c r="AK1555">
        <f>IF($D1555="","",IF(COUNTIF($D$2:$D1555,$D1555)=1,1,0))</f>
        <v/>
      </c>
      <c r="AL1555">
        <f>IF($AK1555=1,SUMPRODUCT(--($AO$2:$AO$1601&lt;$AO1555))+1,"")</f>
        <v/>
      </c>
      <c r="AM1555">
        <f>IF($D1555="","",IF(OR($R1555=TRUE(),$R1555="TRUE"),1,0))</f>
        <v/>
      </c>
      <c r="AN1555">
        <f>IF($D1555="","",IF($AA1555="Yes",1,0))</f>
        <v/>
      </c>
      <c r="AO1555">
        <f>IF($AK1555=1,IFERROR(IF(VALUE($D1555)&lt;100000000,VALUE($D1555),1000000000),IFERROR(IF(VALUE(MID($D1555,2,20))&lt;100000000,VALUE(MID($D1555,2,20)),1000000000),1000000000))+ROW()/100000,"")</f>
        <v/>
      </c>
    </row>
    <row r="1556">
      <c r="F1556" s="11" t="n"/>
      <c r="N1556" s="7">
        <f>IF($D1556="","",M1556*X1556/100)</f>
        <v/>
      </c>
      <c r="O1556" s="7" t="n"/>
      <c r="U1556" s="7" t="n"/>
      <c r="V1556" s="7" t="n"/>
      <c r="W1556" s="7">
        <f>IF($D1556="","",V1556*AB1556/100)</f>
        <v/>
      </c>
      <c r="X1556" s="7">
        <f>IF($D1556="","",V1556-W1556)</f>
        <v/>
      </c>
      <c r="Y1556" s="7">
        <f>IF($D1556="","",X1556-N1556)</f>
        <v/>
      </c>
      <c r="AB1556">
        <f>IF($D1556="","",IF($AN1556=1,Settings!$C$8,IF($AM1556=1,Settings!$C$6,Settings!$C$7))*100)</f>
        <v/>
      </c>
      <c r="AF1556" s="7" t="n"/>
      <c r="AI1556" s="11" t="n"/>
      <c r="AK1556">
        <f>IF($D1556="","",IF(COUNTIF($D$2:$D1556,$D1556)=1,1,0))</f>
        <v/>
      </c>
      <c r="AL1556">
        <f>IF($AK1556=1,SUMPRODUCT(--($AO$2:$AO$1601&lt;$AO1556))+1,"")</f>
        <v/>
      </c>
      <c r="AM1556">
        <f>IF($D1556="","",IF(OR($R1556=TRUE(),$R1556="TRUE"),1,0))</f>
        <v/>
      </c>
      <c r="AN1556">
        <f>IF($D1556="","",IF($AA1556="Yes",1,0))</f>
        <v/>
      </c>
      <c r="AO1556">
        <f>IF($AK1556=1,IFERROR(IF(VALUE($D1556)&lt;100000000,VALUE($D1556),1000000000),IFERROR(IF(VALUE(MID($D1556,2,20))&lt;100000000,VALUE(MID($D1556,2,20)),1000000000),1000000000))+ROW()/100000,"")</f>
        <v/>
      </c>
    </row>
    <row r="1557">
      <c r="F1557" s="11" t="n"/>
      <c r="N1557" s="7">
        <f>IF($D1557="","",M1557*X1557/100)</f>
        <v/>
      </c>
      <c r="O1557" s="7" t="n"/>
      <c r="U1557" s="7" t="n"/>
      <c r="V1557" s="7" t="n"/>
      <c r="W1557" s="7">
        <f>IF($D1557="","",V1557*AB1557/100)</f>
        <v/>
      </c>
      <c r="X1557" s="7">
        <f>IF($D1557="","",V1557-W1557)</f>
        <v/>
      </c>
      <c r="Y1557" s="7">
        <f>IF($D1557="","",X1557-N1557)</f>
        <v/>
      </c>
      <c r="AB1557">
        <f>IF($D1557="","",IF($AN1557=1,Settings!$C$8,IF($AM1557=1,Settings!$C$6,Settings!$C$7))*100)</f>
        <v/>
      </c>
      <c r="AF1557" s="7" t="n"/>
      <c r="AI1557" s="11" t="n"/>
      <c r="AK1557">
        <f>IF($D1557="","",IF(COUNTIF($D$2:$D1557,$D1557)=1,1,0))</f>
        <v/>
      </c>
      <c r="AL1557">
        <f>IF($AK1557=1,SUMPRODUCT(--($AO$2:$AO$1601&lt;$AO1557))+1,"")</f>
        <v/>
      </c>
      <c r="AM1557">
        <f>IF($D1557="","",IF(OR($R1557=TRUE(),$R1557="TRUE"),1,0))</f>
        <v/>
      </c>
      <c r="AN1557">
        <f>IF($D1557="","",IF($AA1557="Yes",1,0))</f>
        <v/>
      </c>
      <c r="AO1557">
        <f>IF($AK1557=1,IFERROR(IF(VALUE($D1557)&lt;100000000,VALUE($D1557),1000000000),IFERROR(IF(VALUE(MID($D1557,2,20))&lt;100000000,VALUE(MID($D1557,2,20)),1000000000),1000000000))+ROW()/100000,"")</f>
        <v/>
      </c>
    </row>
    <row r="1558">
      <c r="F1558" s="11" t="n"/>
      <c r="N1558" s="7">
        <f>IF($D1558="","",M1558*X1558/100)</f>
        <v/>
      </c>
      <c r="O1558" s="7" t="n"/>
      <c r="U1558" s="7" t="n"/>
      <c r="V1558" s="7" t="n"/>
      <c r="W1558" s="7">
        <f>IF($D1558="","",V1558*AB1558/100)</f>
        <v/>
      </c>
      <c r="X1558" s="7">
        <f>IF($D1558="","",V1558-W1558)</f>
        <v/>
      </c>
      <c r="Y1558" s="7">
        <f>IF($D1558="","",X1558-N1558)</f>
        <v/>
      </c>
      <c r="AB1558">
        <f>IF($D1558="","",IF($AN1558=1,Settings!$C$8,IF($AM1558=1,Settings!$C$6,Settings!$C$7))*100)</f>
        <v/>
      </c>
      <c r="AF1558" s="7" t="n"/>
      <c r="AI1558" s="11" t="n"/>
      <c r="AK1558">
        <f>IF($D1558="","",IF(COUNTIF($D$2:$D1558,$D1558)=1,1,0))</f>
        <v/>
      </c>
      <c r="AL1558">
        <f>IF($AK1558=1,SUMPRODUCT(--($AO$2:$AO$1601&lt;$AO1558))+1,"")</f>
        <v/>
      </c>
      <c r="AM1558">
        <f>IF($D1558="","",IF(OR($R1558=TRUE(),$R1558="TRUE"),1,0))</f>
        <v/>
      </c>
      <c r="AN1558">
        <f>IF($D1558="","",IF($AA1558="Yes",1,0))</f>
        <v/>
      </c>
      <c r="AO1558">
        <f>IF($AK1558=1,IFERROR(IF(VALUE($D1558)&lt;100000000,VALUE($D1558),1000000000),IFERROR(IF(VALUE(MID($D1558,2,20))&lt;100000000,VALUE(MID($D1558,2,20)),1000000000),1000000000))+ROW()/100000,"")</f>
        <v/>
      </c>
    </row>
    <row r="1559">
      <c r="F1559" s="11" t="n"/>
      <c r="N1559" s="7">
        <f>IF($D1559="","",M1559*X1559/100)</f>
        <v/>
      </c>
      <c r="O1559" s="7" t="n"/>
      <c r="U1559" s="7" t="n"/>
      <c r="V1559" s="7" t="n"/>
      <c r="W1559" s="7">
        <f>IF($D1559="","",V1559*AB1559/100)</f>
        <v/>
      </c>
      <c r="X1559" s="7">
        <f>IF($D1559="","",V1559-W1559)</f>
        <v/>
      </c>
      <c r="Y1559" s="7">
        <f>IF($D1559="","",X1559-N1559)</f>
        <v/>
      </c>
      <c r="AB1559">
        <f>IF($D1559="","",IF($AN1559=1,Settings!$C$8,IF($AM1559=1,Settings!$C$6,Settings!$C$7))*100)</f>
        <v/>
      </c>
      <c r="AF1559" s="7" t="n"/>
      <c r="AI1559" s="11" t="n"/>
      <c r="AK1559">
        <f>IF($D1559="","",IF(COUNTIF($D$2:$D1559,$D1559)=1,1,0))</f>
        <v/>
      </c>
      <c r="AL1559">
        <f>IF($AK1559=1,SUMPRODUCT(--($AO$2:$AO$1601&lt;$AO1559))+1,"")</f>
        <v/>
      </c>
      <c r="AM1559">
        <f>IF($D1559="","",IF(OR($R1559=TRUE(),$R1559="TRUE"),1,0))</f>
        <v/>
      </c>
      <c r="AN1559">
        <f>IF($D1559="","",IF($AA1559="Yes",1,0))</f>
        <v/>
      </c>
      <c r="AO1559">
        <f>IF($AK1559=1,IFERROR(IF(VALUE($D1559)&lt;100000000,VALUE($D1559),1000000000),IFERROR(IF(VALUE(MID($D1559,2,20))&lt;100000000,VALUE(MID($D1559,2,20)),1000000000),1000000000))+ROW()/100000,"")</f>
        <v/>
      </c>
    </row>
    <row r="1560">
      <c r="F1560" s="11" t="n"/>
      <c r="N1560" s="7">
        <f>IF($D1560="","",M1560*X1560/100)</f>
        <v/>
      </c>
      <c r="O1560" s="7" t="n"/>
      <c r="U1560" s="7" t="n"/>
      <c r="V1560" s="7" t="n"/>
      <c r="W1560" s="7">
        <f>IF($D1560="","",V1560*AB1560/100)</f>
        <v/>
      </c>
      <c r="X1560" s="7">
        <f>IF($D1560="","",V1560-W1560)</f>
        <v/>
      </c>
      <c r="Y1560" s="7">
        <f>IF($D1560="","",X1560-N1560)</f>
        <v/>
      </c>
      <c r="AB1560">
        <f>IF($D1560="","",IF($AN1560=1,Settings!$C$8,IF($AM1560=1,Settings!$C$6,Settings!$C$7))*100)</f>
        <v/>
      </c>
      <c r="AF1560" s="7" t="n"/>
      <c r="AI1560" s="11" t="n"/>
      <c r="AK1560">
        <f>IF($D1560="","",IF(COUNTIF($D$2:$D1560,$D1560)=1,1,0))</f>
        <v/>
      </c>
      <c r="AL1560">
        <f>IF($AK1560=1,SUMPRODUCT(--($AO$2:$AO$1601&lt;$AO1560))+1,"")</f>
        <v/>
      </c>
      <c r="AM1560">
        <f>IF($D1560="","",IF(OR($R1560=TRUE(),$R1560="TRUE"),1,0))</f>
        <v/>
      </c>
      <c r="AN1560">
        <f>IF($D1560="","",IF($AA1560="Yes",1,0))</f>
        <v/>
      </c>
      <c r="AO1560">
        <f>IF($AK1560=1,IFERROR(IF(VALUE($D1560)&lt;100000000,VALUE($D1560),1000000000),IFERROR(IF(VALUE(MID($D1560,2,20))&lt;100000000,VALUE(MID($D1560,2,20)),1000000000),1000000000))+ROW()/100000,"")</f>
        <v/>
      </c>
    </row>
    <row r="1561">
      <c r="F1561" s="11" t="n"/>
      <c r="N1561" s="7">
        <f>IF($D1561="","",M1561*X1561/100)</f>
        <v/>
      </c>
      <c r="O1561" s="7" t="n"/>
      <c r="U1561" s="7" t="n"/>
      <c r="V1561" s="7" t="n"/>
      <c r="W1561" s="7">
        <f>IF($D1561="","",V1561*AB1561/100)</f>
        <v/>
      </c>
      <c r="X1561" s="7">
        <f>IF($D1561="","",V1561-W1561)</f>
        <v/>
      </c>
      <c r="Y1561" s="7">
        <f>IF($D1561="","",X1561-N1561)</f>
        <v/>
      </c>
      <c r="AB1561">
        <f>IF($D1561="","",IF($AN1561=1,Settings!$C$8,IF($AM1561=1,Settings!$C$6,Settings!$C$7))*100)</f>
        <v/>
      </c>
      <c r="AF1561" s="7" t="n"/>
      <c r="AI1561" s="11" t="n"/>
      <c r="AK1561">
        <f>IF($D1561="","",IF(COUNTIF($D$2:$D1561,$D1561)=1,1,0))</f>
        <v/>
      </c>
      <c r="AL1561">
        <f>IF($AK1561=1,SUMPRODUCT(--($AO$2:$AO$1601&lt;$AO1561))+1,"")</f>
        <v/>
      </c>
      <c r="AM1561">
        <f>IF($D1561="","",IF(OR($R1561=TRUE(),$R1561="TRUE"),1,0))</f>
        <v/>
      </c>
      <c r="AN1561">
        <f>IF($D1561="","",IF($AA1561="Yes",1,0))</f>
        <v/>
      </c>
      <c r="AO1561">
        <f>IF($AK1561=1,IFERROR(IF(VALUE($D1561)&lt;100000000,VALUE($D1561),1000000000),IFERROR(IF(VALUE(MID($D1561,2,20))&lt;100000000,VALUE(MID($D1561,2,20)),1000000000),1000000000))+ROW()/100000,"")</f>
        <v/>
      </c>
    </row>
    <row r="1562">
      <c r="F1562" s="11" t="n"/>
      <c r="N1562" s="7">
        <f>IF($D1562="","",M1562*X1562/100)</f>
        <v/>
      </c>
      <c r="O1562" s="7" t="n"/>
      <c r="U1562" s="7" t="n"/>
      <c r="V1562" s="7" t="n"/>
      <c r="W1562" s="7">
        <f>IF($D1562="","",V1562*AB1562/100)</f>
        <v/>
      </c>
      <c r="X1562" s="7">
        <f>IF($D1562="","",V1562-W1562)</f>
        <v/>
      </c>
      <c r="Y1562" s="7">
        <f>IF($D1562="","",X1562-N1562)</f>
        <v/>
      </c>
      <c r="AB1562">
        <f>IF($D1562="","",IF($AN1562=1,Settings!$C$8,IF($AM1562=1,Settings!$C$6,Settings!$C$7))*100)</f>
        <v/>
      </c>
      <c r="AF1562" s="7" t="n"/>
      <c r="AI1562" s="11" t="n"/>
      <c r="AK1562">
        <f>IF($D1562="","",IF(COUNTIF($D$2:$D1562,$D1562)=1,1,0))</f>
        <v/>
      </c>
      <c r="AL1562">
        <f>IF($AK1562=1,SUMPRODUCT(--($AO$2:$AO$1601&lt;$AO1562))+1,"")</f>
        <v/>
      </c>
      <c r="AM1562">
        <f>IF($D1562="","",IF(OR($R1562=TRUE(),$R1562="TRUE"),1,0))</f>
        <v/>
      </c>
      <c r="AN1562">
        <f>IF($D1562="","",IF($AA1562="Yes",1,0))</f>
        <v/>
      </c>
      <c r="AO1562">
        <f>IF($AK1562=1,IFERROR(IF(VALUE($D1562)&lt;100000000,VALUE($D1562),1000000000),IFERROR(IF(VALUE(MID($D1562,2,20))&lt;100000000,VALUE(MID($D1562,2,20)),1000000000),1000000000))+ROW()/100000,"")</f>
        <v/>
      </c>
    </row>
    <row r="1563">
      <c r="F1563" s="11" t="n"/>
      <c r="N1563" s="7">
        <f>IF($D1563="","",M1563*X1563/100)</f>
        <v/>
      </c>
      <c r="O1563" s="7" t="n"/>
      <c r="U1563" s="7" t="n"/>
      <c r="V1563" s="7" t="n"/>
      <c r="W1563" s="7">
        <f>IF($D1563="","",V1563*AB1563/100)</f>
        <v/>
      </c>
      <c r="X1563" s="7">
        <f>IF($D1563="","",V1563-W1563)</f>
        <v/>
      </c>
      <c r="Y1563" s="7">
        <f>IF($D1563="","",X1563-N1563)</f>
        <v/>
      </c>
      <c r="AB1563">
        <f>IF($D1563="","",IF($AN1563=1,Settings!$C$8,IF($AM1563=1,Settings!$C$6,Settings!$C$7))*100)</f>
        <v/>
      </c>
      <c r="AF1563" s="7" t="n"/>
      <c r="AI1563" s="11" t="n"/>
      <c r="AK1563">
        <f>IF($D1563="","",IF(COUNTIF($D$2:$D1563,$D1563)=1,1,0))</f>
        <v/>
      </c>
      <c r="AL1563">
        <f>IF($AK1563=1,SUMPRODUCT(--($AO$2:$AO$1601&lt;$AO1563))+1,"")</f>
        <v/>
      </c>
      <c r="AM1563">
        <f>IF($D1563="","",IF(OR($R1563=TRUE(),$R1563="TRUE"),1,0))</f>
        <v/>
      </c>
      <c r="AN1563">
        <f>IF($D1563="","",IF($AA1563="Yes",1,0))</f>
        <v/>
      </c>
      <c r="AO1563">
        <f>IF($AK1563=1,IFERROR(IF(VALUE($D1563)&lt;100000000,VALUE($D1563),1000000000),IFERROR(IF(VALUE(MID($D1563,2,20))&lt;100000000,VALUE(MID($D1563,2,20)),1000000000),1000000000))+ROW()/100000,"")</f>
        <v/>
      </c>
    </row>
    <row r="1564">
      <c r="F1564" s="11" t="n"/>
      <c r="N1564" s="7">
        <f>IF($D1564="","",M1564*X1564/100)</f>
        <v/>
      </c>
      <c r="O1564" s="7" t="n"/>
      <c r="U1564" s="7" t="n"/>
      <c r="V1564" s="7" t="n"/>
      <c r="W1564" s="7">
        <f>IF($D1564="","",V1564*AB1564/100)</f>
        <v/>
      </c>
      <c r="X1564" s="7">
        <f>IF($D1564="","",V1564-W1564)</f>
        <v/>
      </c>
      <c r="Y1564" s="7">
        <f>IF($D1564="","",X1564-N1564)</f>
        <v/>
      </c>
      <c r="AB1564">
        <f>IF($D1564="","",IF($AN1564=1,Settings!$C$8,IF($AM1564=1,Settings!$C$6,Settings!$C$7))*100)</f>
        <v/>
      </c>
      <c r="AF1564" s="7" t="n"/>
      <c r="AI1564" s="11" t="n"/>
      <c r="AK1564">
        <f>IF($D1564="","",IF(COUNTIF($D$2:$D1564,$D1564)=1,1,0))</f>
        <v/>
      </c>
      <c r="AL1564">
        <f>IF($AK1564=1,SUMPRODUCT(--($AO$2:$AO$1601&lt;$AO1564))+1,"")</f>
        <v/>
      </c>
      <c r="AM1564">
        <f>IF($D1564="","",IF(OR($R1564=TRUE(),$R1564="TRUE"),1,0))</f>
        <v/>
      </c>
      <c r="AN1564">
        <f>IF($D1564="","",IF($AA1564="Yes",1,0))</f>
        <v/>
      </c>
      <c r="AO1564">
        <f>IF($AK1564=1,IFERROR(IF(VALUE($D1564)&lt;100000000,VALUE($D1564),1000000000),IFERROR(IF(VALUE(MID($D1564,2,20))&lt;100000000,VALUE(MID($D1564,2,20)),1000000000),1000000000))+ROW()/100000,"")</f>
        <v/>
      </c>
    </row>
    <row r="1565">
      <c r="F1565" s="11" t="n"/>
      <c r="N1565" s="7">
        <f>IF($D1565="","",M1565*X1565/100)</f>
        <v/>
      </c>
      <c r="O1565" s="7" t="n"/>
      <c r="U1565" s="7" t="n"/>
      <c r="V1565" s="7" t="n"/>
      <c r="W1565" s="7">
        <f>IF($D1565="","",V1565*AB1565/100)</f>
        <v/>
      </c>
      <c r="X1565" s="7">
        <f>IF($D1565="","",V1565-W1565)</f>
        <v/>
      </c>
      <c r="Y1565" s="7">
        <f>IF($D1565="","",X1565-N1565)</f>
        <v/>
      </c>
      <c r="AB1565">
        <f>IF($D1565="","",IF($AN1565=1,Settings!$C$8,IF($AM1565=1,Settings!$C$6,Settings!$C$7))*100)</f>
        <v/>
      </c>
      <c r="AF1565" s="7" t="n"/>
      <c r="AI1565" s="11" t="n"/>
      <c r="AK1565">
        <f>IF($D1565="","",IF(COUNTIF($D$2:$D1565,$D1565)=1,1,0))</f>
        <v/>
      </c>
      <c r="AL1565">
        <f>IF($AK1565=1,SUMPRODUCT(--($AO$2:$AO$1601&lt;$AO1565))+1,"")</f>
        <v/>
      </c>
      <c r="AM1565">
        <f>IF($D1565="","",IF(OR($R1565=TRUE(),$R1565="TRUE"),1,0))</f>
        <v/>
      </c>
      <c r="AN1565">
        <f>IF($D1565="","",IF($AA1565="Yes",1,0))</f>
        <v/>
      </c>
      <c r="AO1565">
        <f>IF($AK1565=1,IFERROR(IF(VALUE($D1565)&lt;100000000,VALUE($D1565),1000000000),IFERROR(IF(VALUE(MID($D1565,2,20))&lt;100000000,VALUE(MID($D1565,2,20)),1000000000),1000000000))+ROW()/100000,"")</f>
        <v/>
      </c>
    </row>
    <row r="1566">
      <c r="F1566" s="11" t="n"/>
      <c r="N1566" s="7">
        <f>IF($D1566="","",M1566*X1566/100)</f>
        <v/>
      </c>
      <c r="O1566" s="7" t="n"/>
      <c r="U1566" s="7" t="n"/>
      <c r="V1566" s="7" t="n"/>
      <c r="W1566" s="7">
        <f>IF($D1566="","",V1566*AB1566/100)</f>
        <v/>
      </c>
      <c r="X1566" s="7">
        <f>IF($D1566="","",V1566-W1566)</f>
        <v/>
      </c>
      <c r="Y1566" s="7">
        <f>IF($D1566="","",X1566-N1566)</f>
        <v/>
      </c>
      <c r="AB1566">
        <f>IF($D1566="","",IF($AN1566=1,Settings!$C$8,IF($AM1566=1,Settings!$C$6,Settings!$C$7))*100)</f>
        <v/>
      </c>
      <c r="AF1566" s="7" t="n"/>
      <c r="AI1566" s="11" t="n"/>
      <c r="AK1566">
        <f>IF($D1566="","",IF(COUNTIF($D$2:$D1566,$D1566)=1,1,0))</f>
        <v/>
      </c>
      <c r="AL1566">
        <f>IF($AK1566=1,SUMPRODUCT(--($AO$2:$AO$1601&lt;$AO1566))+1,"")</f>
        <v/>
      </c>
      <c r="AM1566">
        <f>IF($D1566="","",IF(OR($R1566=TRUE(),$R1566="TRUE"),1,0))</f>
        <v/>
      </c>
      <c r="AN1566">
        <f>IF($D1566="","",IF($AA1566="Yes",1,0))</f>
        <v/>
      </c>
      <c r="AO1566">
        <f>IF($AK1566=1,IFERROR(IF(VALUE($D1566)&lt;100000000,VALUE($D1566),1000000000),IFERROR(IF(VALUE(MID($D1566,2,20))&lt;100000000,VALUE(MID($D1566,2,20)),1000000000),1000000000))+ROW()/100000,"")</f>
        <v/>
      </c>
    </row>
    <row r="1567">
      <c r="F1567" s="11" t="n"/>
      <c r="N1567" s="7">
        <f>IF($D1567="","",M1567*X1567/100)</f>
        <v/>
      </c>
      <c r="O1567" s="7" t="n"/>
      <c r="U1567" s="7" t="n"/>
      <c r="V1567" s="7" t="n"/>
      <c r="W1567" s="7">
        <f>IF($D1567="","",V1567*AB1567/100)</f>
        <v/>
      </c>
      <c r="X1567" s="7">
        <f>IF($D1567="","",V1567-W1567)</f>
        <v/>
      </c>
      <c r="Y1567" s="7">
        <f>IF($D1567="","",X1567-N1567)</f>
        <v/>
      </c>
      <c r="AB1567">
        <f>IF($D1567="","",IF($AN1567=1,Settings!$C$8,IF($AM1567=1,Settings!$C$6,Settings!$C$7))*100)</f>
        <v/>
      </c>
      <c r="AF1567" s="7" t="n"/>
      <c r="AI1567" s="11" t="n"/>
      <c r="AK1567">
        <f>IF($D1567="","",IF(COUNTIF($D$2:$D1567,$D1567)=1,1,0))</f>
        <v/>
      </c>
      <c r="AL1567">
        <f>IF($AK1567=1,SUMPRODUCT(--($AO$2:$AO$1601&lt;$AO1567))+1,"")</f>
        <v/>
      </c>
      <c r="AM1567">
        <f>IF($D1567="","",IF(OR($R1567=TRUE(),$R1567="TRUE"),1,0))</f>
        <v/>
      </c>
      <c r="AN1567">
        <f>IF($D1567="","",IF($AA1567="Yes",1,0))</f>
        <v/>
      </c>
      <c r="AO1567">
        <f>IF($AK1567=1,IFERROR(IF(VALUE($D1567)&lt;100000000,VALUE($D1567),1000000000),IFERROR(IF(VALUE(MID($D1567,2,20))&lt;100000000,VALUE(MID($D1567,2,20)),1000000000),1000000000))+ROW()/100000,"")</f>
        <v/>
      </c>
    </row>
    <row r="1568">
      <c r="F1568" s="11" t="n"/>
      <c r="N1568" s="7">
        <f>IF($D1568="","",M1568*X1568/100)</f>
        <v/>
      </c>
      <c r="O1568" s="7" t="n"/>
      <c r="U1568" s="7" t="n"/>
      <c r="V1568" s="7" t="n"/>
      <c r="W1568" s="7">
        <f>IF($D1568="","",V1568*AB1568/100)</f>
        <v/>
      </c>
      <c r="X1568" s="7">
        <f>IF($D1568="","",V1568-W1568)</f>
        <v/>
      </c>
      <c r="Y1568" s="7">
        <f>IF($D1568="","",X1568-N1568)</f>
        <v/>
      </c>
      <c r="AB1568">
        <f>IF($D1568="","",IF($AN1568=1,Settings!$C$8,IF($AM1568=1,Settings!$C$6,Settings!$C$7))*100)</f>
        <v/>
      </c>
      <c r="AF1568" s="7" t="n"/>
      <c r="AI1568" s="11" t="n"/>
      <c r="AK1568">
        <f>IF($D1568="","",IF(COUNTIF($D$2:$D1568,$D1568)=1,1,0))</f>
        <v/>
      </c>
      <c r="AL1568">
        <f>IF($AK1568=1,SUMPRODUCT(--($AO$2:$AO$1601&lt;$AO1568))+1,"")</f>
        <v/>
      </c>
      <c r="AM1568">
        <f>IF($D1568="","",IF(OR($R1568=TRUE(),$R1568="TRUE"),1,0))</f>
        <v/>
      </c>
      <c r="AN1568">
        <f>IF($D1568="","",IF($AA1568="Yes",1,0))</f>
        <v/>
      </c>
      <c r="AO1568">
        <f>IF($AK1568=1,IFERROR(IF(VALUE($D1568)&lt;100000000,VALUE($D1568),1000000000),IFERROR(IF(VALUE(MID($D1568,2,20))&lt;100000000,VALUE(MID($D1568,2,20)),1000000000),1000000000))+ROW()/100000,"")</f>
        <v/>
      </c>
    </row>
    <row r="1569">
      <c r="F1569" s="11" t="n"/>
      <c r="N1569" s="7">
        <f>IF($D1569="","",M1569*X1569/100)</f>
        <v/>
      </c>
      <c r="O1569" s="7" t="n"/>
      <c r="U1569" s="7" t="n"/>
      <c r="V1569" s="7" t="n"/>
      <c r="W1569" s="7">
        <f>IF($D1569="","",V1569*AB1569/100)</f>
        <v/>
      </c>
      <c r="X1569" s="7">
        <f>IF($D1569="","",V1569-W1569)</f>
        <v/>
      </c>
      <c r="Y1569" s="7">
        <f>IF($D1569="","",X1569-N1569)</f>
        <v/>
      </c>
      <c r="AB1569">
        <f>IF($D1569="","",IF($AN1569=1,Settings!$C$8,IF($AM1569=1,Settings!$C$6,Settings!$C$7))*100)</f>
        <v/>
      </c>
      <c r="AF1569" s="7" t="n"/>
      <c r="AI1569" s="11" t="n"/>
      <c r="AK1569">
        <f>IF($D1569="","",IF(COUNTIF($D$2:$D1569,$D1569)=1,1,0))</f>
        <v/>
      </c>
      <c r="AL1569">
        <f>IF($AK1569=1,SUMPRODUCT(--($AO$2:$AO$1601&lt;$AO1569))+1,"")</f>
        <v/>
      </c>
      <c r="AM1569">
        <f>IF($D1569="","",IF(OR($R1569=TRUE(),$R1569="TRUE"),1,0))</f>
        <v/>
      </c>
      <c r="AN1569">
        <f>IF($D1569="","",IF($AA1569="Yes",1,0))</f>
        <v/>
      </c>
      <c r="AO1569">
        <f>IF($AK1569=1,IFERROR(IF(VALUE($D1569)&lt;100000000,VALUE($D1569),1000000000),IFERROR(IF(VALUE(MID($D1569,2,20))&lt;100000000,VALUE(MID($D1569,2,20)),1000000000),1000000000))+ROW()/100000,"")</f>
        <v/>
      </c>
    </row>
    <row r="1570">
      <c r="F1570" s="11" t="n"/>
      <c r="N1570" s="7">
        <f>IF($D1570="","",M1570*X1570/100)</f>
        <v/>
      </c>
      <c r="O1570" s="7" t="n"/>
      <c r="U1570" s="7" t="n"/>
      <c r="V1570" s="7" t="n"/>
      <c r="W1570" s="7">
        <f>IF($D1570="","",V1570*AB1570/100)</f>
        <v/>
      </c>
      <c r="X1570" s="7">
        <f>IF($D1570="","",V1570-W1570)</f>
        <v/>
      </c>
      <c r="Y1570" s="7">
        <f>IF($D1570="","",X1570-N1570)</f>
        <v/>
      </c>
      <c r="AB1570">
        <f>IF($D1570="","",IF($AN1570=1,Settings!$C$8,IF($AM1570=1,Settings!$C$6,Settings!$C$7))*100)</f>
        <v/>
      </c>
      <c r="AF1570" s="7" t="n"/>
      <c r="AI1570" s="11" t="n"/>
      <c r="AK1570">
        <f>IF($D1570="","",IF(COUNTIF($D$2:$D1570,$D1570)=1,1,0))</f>
        <v/>
      </c>
      <c r="AL1570">
        <f>IF($AK1570=1,SUMPRODUCT(--($AO$2:$AO$1601&lt;$AO1570))+1,"")</f>
        <v/>
      </c>
      <c r="AM1570">
        <f>IF($D1570="","",IF(OR($R1570=TRUE(),$R1570="TRUE"),1,0))</f>
        <v/>
      </c>
      <c r="AN1570">
        <f>IF($D1570="","",IF($AA1570="Yes",1,0))</f>
        <v/>
      </c>
      <c r="AO1570">
        <f>IF($AK1570=1,IFERROR(IF(VALUE($D1570)&lt;100000000,VALUE($D1570),1000000000),IFERROR(IF(VALUE(MID($D1570,2,20))&lt;100000000,VALUE(MID($D1570,2,20)),1000000000),1000000000))+ROW()/100000,"")</f>
        <v/>
      </c>
    </row>
    <row r="1571">
      <c r="F1571" s="11" t="n"/>
      <c r="N1571" s="7">
        <f>IF($D1571="","",M1571*X1571/100)</f>
        <v/>
      </c>
      <c r="O1571" s="7" t="n"/>
      <c r="U1571" s="7" t="n"/>
      <c r="V1571" s="7" t="n"/>
      <c r="W1571" s="7">
        <f>IF($D1571="","",V1571*AB1571/100)</f>
        <v/>
      </c>
      <c r="X1571" s="7">
        <f>IF($D1571="","",V1571-W1571)</f>
        <v/>
      </c>
      <c r="Y1571" s="7">
        <f>IF($D1571="","",X1571-N1571)</f>
        <v/>
      </c>
      <c r="AB1571">
        <f>IF($D1571="","",IF($AN1571=1,Settings!$C$8,IF($AM1571=1,Settings!$C$6,Settings!$C$7))*100)</f>
        <v/>
      </c>
      <c r="AF1571" s="7" t="n"/>
      <c r="AI1571" s="11" t="n"/>
      <c r="AK1571">
        <f>IF($D1571="","",IF(COUNTIF($D$2:$D1571,$D1571)=1,1,0))</f>
        <v/>
      </c>
      <c r="AL1571">
        <f>IF($AK1571=1,SUMPRODUCT(--($AO$2:$AO$1601&lt;$AO1571))+1,"")</f>
        <v/>
      </c>
      <c r="AM1571">
        <f>IF($D1571="","",IF(OR($R1571=TRUE(),$R1571="TRUE"),1,0))</f>
        <v/>
      </c>
      <c r="AN1571">
        <f>IF($D1571="","",IF($AA1571="Yes",1,0))</f>
        <v/>
      </c>
      <c r="AO1571">
        <f>IF($AK1571=1,IFERROR(IF(VALUE($D1571)&lt;100000000,VALUE($D1571),1000000000),IFERROR(IF(VALUE(MID($D1571,2,20))&lt;100000000,VALUE(MID($D1571,2,20)),1000000000),1000000000))+ROW()/100000,"")</f>
        <v/>
      </c>
    </row>
    <row r="1572">
      <c r="F1572" s="11" t="n"/>
      <c r="N1572" s="7">
        <f>IF($D1572="","",M1572*X1572/100)</f>
        <v/>
      </c>
      <c r="O1572" s="7" t="n"/>
      <c r="U1572" s="7" t="n"/>
      <c r="V1572" s="7" t="n"/>
      <c r="W1572" s="7">
        <f>IF($D1572="","",V1572*AB1572/100)</f>
        <v/>
      </c>
      <c r="X1572" s="7">
        <f>IF($D1572="","",V1572-W1572)</f>
        <v/>
      </c>
      <c r="Y1572" s="7">
        <f>IF($D1572="","",X1572-N1572)</f>
        <v/>
      </c>
      <c r="AB1572">
        <f>IF($D1572="","",IF($AN1572=1,Settings!$C$8,IF($AM1572=1,Settings!$C$6,Settings!$C$7))*100)</f>
        <v/>
      </c>
      <c r="AF1572" s="7" t="n"/>
      <c r="AI1572" s="11" t="n"/>
      <c r="AK1572">
        <f>IF($D1572="","",IF(COUNTIF($D$2:$D1572,$D1572)=1,1,0))</f>
        <v/>
      </c>
      <c r="AL1572">
        <f>IF($AK1572=1,SUMPRODUCT(--($AO$2:$AO$1601&lt;$AO1572))+1,"")</f>
        <v/>
      </c>
      <c r="AM1572">
        <f>IF($D1572="","",IF(OR($R1572=TRUE(),$R1572="TRUE"),1,0))</f>
        <v/>
      </c>
      <c r="AN1572">
        <f>IF($D1572="","",IF($AA1572="Yes",1,0))</f>
        <v/>
      </c>
      <c r="AO1572">
        <f>IF($AK1572=1,IFERROR(IF(VALUE($D1572)&lt;100000000,VALUE($D1572),1000000000),IFERROR(IF(VALUE(MID($D1572,2,20))&lt;100000000,VALUE(MID($D1572,2,20)),1000000000),1000000000))+ROW()/100000,"")</f>
        <v/>
      </c>
    </row>
    <row r="1573">
      <c r="F1573" s="11" t="n"/>
      <c r="N1573" s="7">
        <f>IF($D1573="","",M1573*X1573/100)</f>
        <v/>
      </c>
      <c r="O1573" s="7" t="n"/>
      <c r="U1573" s="7" t="n"/>
      <c r="V1573" s="7" t="n"/>
      <c r="W1573" s="7">
        <f>IF($D1573="","",V1573*AB1573/100)</f>
        <v/>
      </c>
      <c r="X1573" s="7">
        <f>IF($D1573="","",V1573-W1573)</f>
        <v/>
      </c>
      <c r="Y1573" s="7">
        <f>IF($D1573="","",X1573-N1573)</f>
        <v/>
      </c>
      <c r="AB1573">
        <f>IF($D1573="","",IF($AN1573=1,Settings!$C$8,IF($AM1573=1,Settings!$C$6,Settings!$C$7))*100)</f>
        <v/>
      </c>
      <c r="AF1573" s="7" t="n"/>
      <c r="AI1573" s="11" t="n"/>
      <c r="AK1573">
        <f>IF($D1573="","",IF(COUNTIF($D$2:$D1573,$D1573)=1,1,0))</f>
        <v/>
      </c>
      <c r="AL1573">
        <f>IF($AK1573=1,SUMPRODUCT(--($AO$2:$AO$1601&lt;$AO1573))+1,"")</f>
        <v/>
      </c>
      <c r="AM1573">
        <f>IF($D1573="","",IF(OR($R1573=TRUE(),$R1573="TRUE"),1,0))</f>
        <v/>
      </c>
      <c r="AN1573">
        <f>IF($D1573="","",IF($AA1573="Yes",1,0))</f>
        <v/>
      </c>
      <c r="AO1573">
        <f>IF($AK1573=1,IFERROR(IF(VALUE($D1573)&lt;100000000,VALUE($D1573),1000000000),IFERROR(IF(VALUE(MID($D1573,2,20))&lt;100000000,VALUE(MID($D1573,2,20)),1000000000),1000000000))+ROW()/100000,"")</f>
        <v/>
      </c>
    </row>
    <row r="1574">
      <c r="F1574" s="11" t="n"/>
      <c r="N1574" s="7">
        <f>IF($D1574="","",M1574*X1574/100)</f>
        <v/>
      </c>
      <c r="O1574" s="7" t="n"/>
      <c r="U1574" s="7" t="n"/>
      <c r="V1574" s="7" t="n"/>
      <c r="W1574" s="7">
        <f>IF($D1574="","",V1574*AB1574/100)</f>
        <v/>
      </c>
      <c r="X1574" s="7">
        <f>IF($D1574="","",V1574-W1574)</f>
        <v/>
      </c>
      <c r="Y1574" s="7">
        <f>IF($D1574="","",X1574-N1574)</f>
        <v/>
      </c>
      <c r="AB1574">
        <f>IF($D1574="","",IF($AN1574=1,Settings!$C$8,IF($AM1574=1,Settings!$C$6,Settings!$C$7))*100)</f>
        <v/>
      </c>
      <c r="AF1574" s="7" t="n"/>
      <c r="AI1574" s="11" t="n"/>
      <c r="AK1574">
        <f>IF($D1574="","",IF(COUNTIF($D$2:$D1574,$D1574)=1,1,0))</f>
        <v/>
      </c>
      <c r="AL1574">
        <f>IF($AK1574=1,SUMPRODUCT(--($AO$2:$AO$1601&lt;$AO1574))+1,"")</f>
        <v/>
      </c>
      <c r="AM1574">
        <f>IF($D1574="","",IF(OR($R1574=TRUE(),$R1574="TRUE"),1,0))</f>
        <v/>
      </c>
      <c r="AN1574">
        <f>IF($D1574="","",IF($AA1574="Yes",1,0))</f>
        <v/>
      </c>
      <c r="AO1574">
        <f>IF($AK1574=1,IFERROR(IF(VALUE($D1574)&lt;100000000,VALUE($D1574),1000000000),IFERROR(IF(VALUE(MID($D1574,2,20))&lt;100000000,VALUE(MID($D1574,2,20)),1000000000),1000000000))+ROW()/100000,"")</f>
        <v/>
      </c>
    </row>
    <row r="1575">
      <c r="F1575" s="11" t="n"/>
      <c r="N1575" s="7">
        <f>IF($D1575="","",M1575*X1575/100)</f>
        <v/>
      </c>
      <c r="O1575" s="7" t="n"/>
      <c r="U1575" s="7" t="n"/>
      <c r="V1575" s="7" t="n"/>
      <c r="W1575" s="7">
        <f>IF($D1575="","",V1575*AB1575/100)</f>
        <v/>
      </c>
      <c r="X1575" s="7">
        <f>IF($D1575="","",V1575-W1575)</f>
        <v/>
      </c>
      <c r="Y1575" s="7">
        <f>IF($D1575="","",X1575-N1575)</f>
        <v/>
      </c>
      <c r="AB1575">
        <f>IF($D1575="","",IF($AN1575=1,Settings!$C$8,IF($AM1575=1,Settings!$C$6,Settings!$C$7))*100)</f>
        <v/>
      </c>
      <c r="AF1575" s="7" t="n"/>
      <c r="AI1575" s="11" t="n"/>
      <c r="AK1575">
        <f>IF($D1575="","",IF(COUNTIF($D$2:$D1575,$D1575)=1,1,0))</f>
        <v/>
      </c>
      <c r="AL1575">
        <f>IF($AK1575=1,SUMPRODUCT(--($AO$2:$AO$1601&lt;$AO1575))+1,"")</f>
        <v/>
      </c>
      <c r="AM1575">
        <f>IF($D1575="","",IF(OR($R1575=TRUE(),$R1575="TRUE"),1,0))</f>
        <v/>
      </c>
      <c r="AN1575">
        <f>IF($D1575="","",IF($AA1575="Yes",1,0))</f>
        <v/>
      </c>
      <c r="AO1575">
        <f>IF($AK1575=1,IFERROR(IF(VALUE($D1575)&lt;100000000,VALUE($D1575),1000000000),IFERROR(IF(VALUE(MID($D1575,2,20))&lt;100000000,VALUE(MID($D1575,2,20)),1000000000),1000000000))+ROW()/100000,"")</f>
        <v/>
      </c>
    </row>
    <row r="1576">
      <c r="F1576" s="11" t="n"/>
      <c r="N1576" s="7">
        <f>IF($D1576="","",M1576*X1576/100)</f>
        <v/>
      </c>
      <c r="O1576" s="7" t="n"/>
      <c r="U1576" s="7" t="n"/>
      <c r="V1576" s="7" t="n"/>
      <c r="W1576" s="7">
        <f>IF($D1576="","",V1576*AB1576/100)</f>
        <v/>
      </c>
      <c r="X1576" s="7">
        <f>IF($D1576="","",V1576-W1576)</f>
        <v/>
      </c>
      <c r="Y1576" s="7">
        <f>IF($D1576="","",X1576-N1576)</f>
        <v/>
      </c>
      <c r="AB1576">
        <f>IF($D1576="","",IF($AN1576=1,Settings!$C$8,IF($AM1576=1,Settings!$C$6,Settings!$C$7))*100)</f>
        <v/>
      </c>
      <c r="AF1576" s="7" t="n"/>
      <c r="AI1576" s="11" t="n"/>
      <c r="AK1576">
        <f>IF($D1576="","",IF(COUNTIF($D$2:$D1576,$D1576)=1,1,0))</f>
        <v/>
      </c>
      <c r="AL1576">
        <f>IF($AK1576=1,SUMPRODUCT(--($AO$2:$AO$1601&lt;$AO1576))+1,"")</f>
        <v/>
      </c>
      <c r="AM1576">
        <f>IF($D1576="","",IF(OR($R1576=TRUE(),$R1576="TRUE"),1,0))</f>
        <v/>
      </c>
      <c r="AN1576">
        <f>IF($D1576="","",IF($AA1576="Yes",1,0))</f>
        <v/>
      </c>
      <c r="AO1576">
        <f>IF($AK1576=1,IFERROR(IF(VALUE($D1576)&lt;100000000,VALUE($D1576),1000000000),IFERROR(IF(VALUE(MID($D1576,2,20))&lt;100000000,VALUE(MID($D1576,2,20)),1000000000),1000000000))+ROW()/100000,"")</f>
        <v/>
      </c>
    </row>
    <row r="1577">
      <c r="F1577" s="11" t="n"/>
      <c r="N1577" s="7">
        <f>IF($D1577="","",M1577*X1577/100)</f>
        <v/>
      </c>
      <c r="O1577" s="7" t="n"/>
      <c r="U1577" s="7" t="n"/>
      <c r="V1577" s="7" t="n"/>
      <c r="W1577" s="7">
        <f>IF($D1577="","",V1577*AB1577/100)</f>
        <v/>
      </c>
      <c r="X1577" s="7">
        <f>IF($D1577="","",V1577-W1577)</f>
        <v/>
      </c>
      <c r="Y1577" s="7">
        <f>IF($D1577="","",X1577-N1577)</f>
        <v/>
      </c>
      <c r="AB1577">
        <f>IF($D1577="","",IF($AN1577=1,Settings!$C$8,IF($AM1577=1,Settings!$C$6,Settings!$C$7))*100)</f>
        <v/>
      </c>
      <c r="AF1577" s="7" t="n"/>
      <c r="AI1577" s="11" t="n"/>
      <c r="AK1577">
        <f>IF($D1577="","",IF(COUNTIF($D$2:$D1577,$D1577)=1,1,0))</f>
        <v/>
      </c>
      <c r="AL1577">
        <f>IF($AK1577=1,SUMPRODUCT(--($AO$2:$AO$1601&lt;$AO1577))+1,"")</f>
        <v/>
      </c>
      <c r="AM1577">
        <f>IF($D1577="","",IF(OR($R1577=TRUE(),$R1577="TRUE"),1,0))</f>
        <v/>
      </c>
      <c r="AN1577">
        <f>IF($D1577="","",IF($AA1577="Yes",1,0))</f>
        <v/>
      </c>
      <c r="AO1577">
        <f>IF($AK1577=1,IFERROR(IF(VALUE($D1577)&lt;100000000,VALUE($D1577),1000000000),IFERROR(IF(VALUE(MID($D1577,2,20))&lt;100000000,VALUE(MID($D1577,2,20)),1000000000),1000000000))+ROW()/100000,"")</f>
        <v/>
      </c>
    </row>
    <row r="1578">
      <c r="F1578" s="11" t="n"/>
      <c r="N1578" s="7">
        <f>IF($D1578="","",M1578*X1578/100)</f>
        <v/>
      </c>
      <c r="O1578" s="7" t="n"/>
      <c r="U1578" s="7" t="n"/>
      <c r="V1578" s="7" t="n"/>
      <c r="W1578" s="7">
        <f>IF($D1578="","",V1578*AB1578/100)</f>
        <v/>
      </c>
      <c r="X1578" s="7">
        <f>IF($D1578="","",V1578-W1578)</f>
        <v/>
      </c>
      <c r="Y1578" s="7">
        <f>IF($D1578="","",X1578-N1578)</f>
        <v/>
      </c>
      <c r="AB1578">
        <f>IF($D1578="","",IF($AN1578=1,Settings!$C$8,IF($AM1578=1,Settings!$C$6,Settings!$C$7))*100)</f>
        <v/>
      </c>
      <c r="AF1578" s="7" t="n"/>
      <c r="AI1578" s="11" t="n"/>
      <c r="AK1578">
        <f>IF($D1578="","",IF(COUNTIF($D$2:$D1578,$D1578)=1,1,0))</f>
        <v/>
      </c>
      <c r="AL1578">
        <f>IF($AK1578=1,SUMPRODUCT(--($AO$2:$AO$1601&lt;$AO1578))+1,"")</f>
        <v/>
      </c>
      <c r="AM1578">
        <f>IF($D1578="","",IF(OR($R1578=TRUE(),$R1578="TRUE"),1,0))</f>
        <v/>
      </c>
      <c r="AN1578">
        <f>IF($D1578="","",IF($AA1578="Yes",1,0))</f>
        <v/>
      </c>
      <c r="AO1578">
        <f>IF($AK1578=1,IFERROR(IF(VALUE($D1578)&lt;100000000,VALUE($D1578),1000000000),IFERROR(IF(VALUE(MID($D1578,2,20))&lt;100000000,VALUE(MID($D1578,2,20)),1000000000),1000000000))+ROW()/100000,"")</f>
        <v/>
      </c>
    </row>
    <row r="1579">
      <c r="F1579" s="11" t="n"/>
      <c r="N1579" s="7">
        <f>IF($D1579="","",M1579*X1579/100)</f>
        <v/>
      </c>
      <c r="O1579" s="7" t="n"/>
      <c r="U1579" s="7" t="n"/>
      <c r="V1579" s="7" t="n"/>
      <c r="W1579" s="7">
        <f>IF($D1579="","",V1579*AB1579/100)</f>
        <v/>
      </c>
      <c r="X1579" s="7">
        <f>IF($D1579="","",V1579-W1579)</f>
        <v/>
      </c>
      <c r="Y1579" s="7">
        <f>IF($D1579="","",X1579-N1579)</f>
        <v/>
      </c>
      <c r="AB1579">
        <f>IF($D1579="","",IF($AN1579=1,Settings!$C$8,IF($AM1579=1,Settings!$C$6,Settings!$C$7))*100)</f>
        <v/>
      </c>
      <c r="AF1579" s="7" t="n"/>
      <c r="AI1579" s="11" t="n"/>
      <c r="AK1579">
        <f>IF($D1579="","",IF(COUNTIF($D$2:$D1579,$D1579)=1,1,0))</f>
        <v/>
      </c>
      <c r="AL1579">
        <f>IF($AK1579=1,SUMPRODUCT(--($AO$2:$AO$1601&lt;$AO1579))+1,"")</f>
        <v/>
      </c>
      <c r="AM1579">
        <f>IF($D1579="","",IF(OR($R1579=TRUE(),$R1579="TRUE"),1,0))</f>
        <v/>
      </c>
      <c r="AN1579">
        <f>IF($D1579="","",IF($AA1579="Yes",1,0))</f>
        <v/>
      </c>
      <c r="AO1579">
        <f>IF($AK1579=1,IFERROR(IF(VALUE($D1579)&lt;100000000,VALUE($D1579),1000000000),IFERROR(IF(VALUE(MID($D1579,2,20))&lt;100000000,VALUE(MID($D1579,2,20)),1000000000),1000000000))+ROW()/100000,"")</f>
        <v/>
      </c>
    </row>
    <row r="1580">
      <c r="F1580" s="11" t="n"/>
      <c r="N1580" s="7">
        <f>IF($D1580="","",M1580*X1580/100)</f>
        <v/>
      </c>
      <c r="O1580" s="7" t="n"/>
      <c r="U1580" s="7" t="n"/>
      <c r="V1580" s="7" t="n"/>
      <c r="W1580" s="7">
        <f>IF($D1580="","",V1580*AB1580/100)</f>
        <v/>
      </c>
      <c r="X1580" s="7">
        <f>IF($D1580="","",V1580-W1580)</f>
        <v/>
      </c>
      <c r="Y1580" s="7">
        <f>IF($D1580="","",X1580-N1580)</f>
        <v/>
      </c>
      <c r="AB1580">
        <f>IF($D1580="","",IF($AN1580=1,Settings!$C$8,IF($AM1580=1,Settings!$C$6,Settings!$C$7))*100)</f>
        <v/>
      </c>
      <c r="AF1580" s="7" t="n"/>
      <c r="AI1580" s="11" t="n"/>
      <c r="AK1580">
        <f>IF($D1580="","",IF(COUNTIF($D$2:$D1580,$D1580)=1,1,0))</f>
        <v/>
      </c>
      <c r="AL1580">
        <f>IF($AK1580=1,SUMPRODUCT(--($AO$2:$AO$1601&lt;$AO1580))+1,"")</f>
        <v/>
      </c>
      <c r="AM1580">
        <f>IF($D1580="","",IF(OR($R1580=TRUE(),$R1580="TRUE"),1,0))</f>
        <v/>
      </c>
      <c r="AN1580">
        <f>IF($D1580="","",IF($AA1580="Yes",1,0))</f>
        <v/>
      </c>
      <c r="AO1580">
        <f>IF($AK1580=1,IFERROR(IF(VALUE($D1580)&lt;100000000,VALUE($D1580),1000000000),IFERROR(IF(VALUE(MID($D1580,2,20))&lt;100000000,VALUE(MID($D1580,2,20)),1000000000),1000000000))+ROW()/100000,"")</f>
        <v/>
      </c>
    </row>
    <row r="1581">
      <c r="F1581" s="11" t="n"/>
      <c r="N1581" s="7">
        <f>IF($D1581="","",M1581*X1581/100)</f>
        <v/>
      </c>
      <c r="O1581" s="7" t="n"/>
      <c r="U1581" s="7" t="n"/>
      <c r="V1581" s="7" t="n"/>
      <c r="W1581" s="7">
        <f>IF($D1581="","",V1581*AB1581/100)</f>
        <v/>
      </c>
      <c r="X1581" s="7">
        <f>IF($D1581="","",V1581-W1581)</f>
        <v/>
      </c>
      <c r="Y1581" s="7">
        <f>IF($D1581="","",X1581-N1581)</f>
        <v/>
      </c>
      <c r="AB1581">
        <f>IF($D1581="","",IF($AN1581=1,Settings!$C$8,IF($AM1581=1,Settings!$C$6,Settings!$C$7))*100)</f>
        <v/>
      </c>
      <c r="AF1581" s="7" t="n"/>
      <c r="AI1581" s="11" t="n"/>
      <c r="AK1581">
        <f>IF($D1581="","",IF(COUNTIF($D$2:$D1581,$D1581)=1,1,0))</f>
        <v/>
      </c>
      <c r="AL1581">
        <f>IF($AK1581=1,SUMPRODUCT(--($AO$2:$AO$1601&lt;$AO1581))+1,"")</f>
        <v/>
      </c>
      <c r="AM1581">
        <f>IF($D1581="","",IF(OR($R1581=TRUE(),$R1581="TRUE"),1,0))</f>
        <v/>
      </c>
      <c r="AN1581">
        <f>IF($D1581="","",IF($AA1581="Yes",1,0))</f>
        <v/>
      </c>
      <c r="AO1581">
        <f>IF($AK1581=1,IFERROR(IF(VALUE($D1581)&lt;100000000,VALUE($D1581),1000000000),IFERROR(IF(VALUE(MID($D1581,2,20))&lt;100000000,VALUE(MID($D1581,2,20)),1000000000),1000000000))+ROW()/100000,"")</f>
        <v/>
      </c>
    </row>
    <row r="1582">
      <c r="F1582" s="11" t="n"/>
      <c r="N1582" s="7">
        <f>IF($D1582="","",M1582*X1582/100)</f>
        <v/>
      </c>
      <c r="O1582" s="7" t="n"/>
      <c r="U1582" s="7" t="n"/>
      <c r="V1582" s="7" t="n"/>
      <c r="W1582" s="7">
        <f>IF($D1582="","",V1582*AB1582/100)</f>
        <v/>
      </c>
      <c r="X1582" s="7">
        <f>IF($D1582="","",V1582-W1582)</f>
        <v/>
      </c>
      <c r="Y1582" s="7">
        <f>IF($D1582="","",X1582-N1582)</f>
        <v/>
      </c>
      <c r="AB1582">
        <f>IF($D1582="","",IF($AN1582=1,Settings!$C$8,IF($AM1582=1,Settings!$C$6,Settings!$C$7))*100)</f>
        <v/>
      </c>
      <c r="AF1582" s="7" t="n"/>
      <c r="AI1582" s="11" t="n"/>
      <c r="AK1582">
        <f>IF($D1582="","",IF(COUNTIF($D$2:$D1582,$D1582)=1,1,0))</f>
        <v/>
      </c>
      <c r="AL1582">
        <f>IF($AK1582=1,SUMPRODUCT(--($AO$2:$AO$1601&lt;$AO1582))+1,"")</f>
        <v/>
      </c>
      <c r="AM1582">
        <f>IF($D1582="","",IF(OR($R1582=TRUE(),$R1582="TRUE"),1,0))</f>
        <v/>
      </c>
      <c r="AN1582">
        <f>IF($D1582="","",IF($AA1582="Yes",1,0))</f>
        <v/>
      </c>
      <c r="AO1582">
        <f>IF($AK1582=1,IFERROR(IF(VALUE($D1582)&lt;100000000,VALUE($D1582),1000000000),IFERROR(IF(VALUE(MID($D1582,2,20))&lt;100000000,VALUE(MID($D1582,2,20)),1000000000),1000000000))+ROW()/100000,"")</f>
        <v/>
      </c>
    </row>
    <row r="1583">
      <c r="F1583" s="11" t="n"/>
      <c r="N1583" s="7">
        <f>IF($D1583="","",M1583*X1583/100)</f>
        <v/>
      </c>
      <c r="O1583" s="7" t="n"/>
      <c r="U1583" s="7" t="n"/>
      <c r="V1583" s="7" t="n"/>
      <c r="W1583" s="7">
        <f>IF($D1583="","",V1583*AB1583/100)</f>
        <v/>
      </c>
      <c r="X1583" s="7">
        <f>IF($D1583="","",V1583-W1583)</f>
        <v/>
      </c>
      <c r="Y1583" s="7">
        <f>IF($D1583="","",X1583-N1583)</f>
        <v/>
      </c>
      <c r="AB1583">
        <f>IF($D1583="","",IF($AN1583=1,Settings!$C$8,IF($AM1583=1,Settings!$C$6,Settings!$C$7))*100)</f>
        <v/>
      </c>
      <c r="AF1583" s="7" t="n"/>
      <c r="AI1583" s="11" t="n"/>
      <c r="AK1583">
        <f>IF($D1583="","",IF(COUNTIF($D$2:$D1583,$D1583)=1,1,0))</f>
        <v/>
      </c>
      <c r="AL1583">
        <f>IF($AK1583=1,SUMPRODUCT(--($AO$2:$AO$1601&lt;$AO1583))+1,"")</f>
        <v/>
      </c>
      <c r="AM1583">
        <f>IF($D1583="","",IF(OR($R1583=TRUE(),$R1583="TRUE"),1,0))</f>
        <v/>
      </c>
      <c r="AN1583">
        <f>IF($D1583="","",IF($AA1583="Yes",1,0))</f>
        <v/>
      </c>
      <c r="AO1583">
        <f>IF($AK1583=1,IFERROR(IF(VALUE($D1583)&lt;100000000,VALUE($D1583),1000000000),IFERROR(IF(VALUE(MID($D1583,2,20))&lt;100000000,VALUE(MID($D1583,2,20)),1000000000),1000000000))+ROW()/100000,"")</f>
        <v/>
      </c>
    </row>
    <row r="1584">
      <c r="F1584" s="11" t="n"/>
      <c r="N1584" s="7">
        <f>IF($D1584="","",M1584*X1584/100)</f>
        <v/>
      </c>
      <c r="O1584" s="7" t="n"/>
      <c r="U1584" s="7" t="n"/>
      <c r="V1584" s="7" t="n"/>
      <c r="W1584" s="7">
        <f>IF($D1584="","",V1584*AB1584/100)</f>
        <v/>
      </c>
      <c r="X1584" s="7">
        <f>IF($D1584="","",V1584-W1584)</f>
        <v/>
      </c>
      <c r="Y1584" s="7">
        <f>IF($D1584="","",X1584-N1584)</f>
        <v/>
      </c>
      <c r="AB1584">
        <f>IF($D1584="","",IF($AN1584=1,Settings!$C$8,IF($AM1584=1,Settings!$C$6,Settings!$C$7))*100)</f>
        <v/>
      </c>
      <c r="AF1584" s="7" t="n"/>
      <c r="AI1584" s="11" t="n"/>
      <c r="AK1584">
        <f>IF($D1584="","",IF(COUNTIF($D$2:$D1584,$D1584)=1,1,0))</f>
        <v/>
      </c>
      <c r="AL1584">
        <f>IF($AK1584=1,SUMPRODUCT(--($AO$2:$AO$1601&lt;$AO1584))+1,"")</f>
        <v/>
      </c>
      <c r="AM1584">
        <f>IF($D1584="","",IF(OR($R1584=TRUE(),$R1584="TRUE"),1,0))</f>
        <v/>
      </c>
      <c r="AN1584">
        <f>IF($D1584="","",IF($AA1584="Yes",1,0))</f>
        <v/>
      </c>
      <c r="AO1584">
        <f>IF($AK1584=1,IFERROR(IF(VALUE($D1584)&lt;100000000,VALUE($D1584),1000000000),IFERROR(IF(VALUE(MID($D1584,2,20))&lt;100000000,VALUE(MID($D1584,2,20)),1000000000),1000000000))+ROW()/100000,"")</f>
        <v/>
      </c>
    </row>
    <row r="1585">
      <c r="F1585" s="11" t="n"/>
      <c r="N1585" s="7">
        <f>IF($D1585="","",M1585*X1585/100)</f>
        <v/>
      </c>
      <c r="O1585" s="7" t="n"/>
      <c r="U1585" s="7" t="n"/>
      <c r="V1585" s="7" t="n"/>
      <c r="W1585" s="7">
        <f>IF($D1585="","",V1585*AB1585/100)</f>
        <v/>
      </c>
      <c r="X1585" s="7">
        <f>IF($D1585="","",V1585-W1585)</f>
        <v/>
      </c>
      <c r="Y1585" s="7">
        <f>IF($D1585="","",X1585-N1585)</f>
        <v/>
      </c>
      <c r="AB1585">
        <f>IF($D1585="","",IF($AN1585=1,Settings!$C$8,IF($AM1585=1,Settings!$C$6,Settings!$C$7))*100)</f>
        <v/>
      </c>
      <c r="AF1585" s="7" t="n"/>
      <c r="AI1585" s="11" t="n"/>
      <c r="AK1585">
        <f>IF($D1585="","",IF(COUNTIF($D$2:$D1585,$D1585)=1,1,0))</f>
        <v/>
      </c>
      <c r="AL1585">
        <f>IF($AK1585=1,SUMPRODUCT(--($AO$2:$AO$1601&lt;$AO1585))+1,"")</f>
        <v/>
      </c>
      <c r="AM1585">
        <f>IF($D1585="","",IF(OR($R1585=TRUE(),$R1585="TRUE"),1,0))</f>
        <v/>
      </c>
      <c r="AN1585">
        <f>IF($D1585="","",IF($AA1585="Yes",1,0))</f>
        <v/>
      </c>
      <c r="AO1585">
        <f>IF($AK1585=1,IFERROR(IF(VALUE($D1585)&lt;100000000,VALUE($D1585),1000000000),IFERROR(IF(VALUE(MID($D1585,2,20))&lt;100000000,VALUE(MID($D1585,2,20)),1000000000),1000000000))+ROW()/100000,"")</f>
        <v/>
      </c>
    </row>
    <row r="1586">
      <c r="F1586" s="11" t="n"/>
      <c r="N1586" s="7">
        <f>IF($D1586="","",M1586*X1586/100)</f>
        <v/>
      </c>
      <c r="O1586" s="7" t="n"/>
      <c r="U1586" s="7" t="n"/>
      <c r="V1586" s="7" t="n"/>
      <c r="W1586" s="7">
        <f>IF($D1586="","",V1586*AB1586/100)</f>
        <v/>
      </c>
      <c r="X1586" s="7">
        <f>IF($D1586="","",V1586-W1586)</f>
        <v/>
      </c>
      <c r="Y1586" s="7">
        <f>IF($D1586="","",X1586-N1586)</f>
        <v/>
      </c>
      <c r="AB1586">
        <f>IF($D1586="","",IF($AN1586=1,Settings!$C$8,IF($AM1586=1,Settings!$C$6,Settings!$C$7))*100)</f>
        <v/>
      </c>
      <c r="AF1586" s="7" t="n"/>
      <c r="AI1586" s="11" t="n"/>
      <c r="AK1586">
        <f>IF($D1586="","",IF(COUNTIF($D$2:$D1586,$D1586)=1,1,0))</f>
        <v/>
      </c>
      <c r="AL1586">
        <f>IF($AK1586=1,SUMPRODUCT(--($AO$2:$AO$1601&lt;$AO1586))+1,"")</f>
        <v/>
      </c>
      <c r="AM1586">
        <f>IF($D1586="","",IF(OR($R1586=TRUE(),$R1586="TRUE"),1,0))</f>
        <v/>
      </c>
      <c r="AN1586">
        <f>IF($D1586="","",IF($AA1586="Yes",1,0))</f>
        <v/>
      </c>
      <c r="AO1586">
        <f>IF($AK1586=1,IFERROR(IF(VALUE($D1586)&lt;100000000,VALUE($D1586),1000000000),IFERROR(IF(VALUE(MID($D1586,2,20))&lt;100000000,VALUE(MID($D1586,2,20)),1000000000),1000000000))+ROW()/100000,"")</f>
        <v/>
      </c>
    </row>
    <row r="1587">
      <c r="F1587" s="11" t="n"/>
      <c r="N1587" s="7">
        <f>IF($D1587="","",M1587*X1587/100)</f>
        <v/>
      </c>
      <c r="O1587" s="7" t="n"/>
      <c r="U1587" s="7" t="n"/>
      <c r="V1587" s="7" t="n"/>
      <c r="W1587" s="7">
        <f>IF($D1587="","",V1587*AB1587/100)</f>
        <v/>
      </c>
      <c r="X1587" s="7">
        <f>IF($D1587="","",V1587-W1587)</f>
        <v/>
      </c>
      <c r="Y1587" s="7">
        <f>IF($D1587="","",X1587-N1587)</f>
        <v/>
      </c>
      <c r="AB1587">
        <f>IF($D1587="","",IF($AN1587=1,Settings!$C$8,IF($AM1587=1,Settings!$C$6,Settings!$C$7))*100)</f>
        <v/>
      </c>
      <c r="AF1587" s="7" t="n"/>
      <c r="AI1587" s="11" t="n"/>
      <c r="AK1587">
        <f>IF($D1587="","",IF(COUNTIF($D$2:$D1587,$D1587)=1,1,0))</f>
        <v/>
      </c>
      <c r="AL1587">
        <f>IF($AK1587=1,SUMPRODUCT(--($AO$2:$AO$1601&lt;$AO1587))+1,"")</f>
        <v/>
      </c>
      <c r="AM1587">
        <f>IF($D1587="","",IF(OR($R1587=TRUE(),$R1587="TRUE"),1,0))</f>
        <v/>
      </c>
      <c r="AN1587">
        <f>IF($D1587="","",IF($AA1587="Yes",1,0))</f>
        <v/>
      </c>
      <c r="AO1587">
        <f>IF($AK1587=1,IFERROR(IF(VALUE($D1587)&lt;100000000,VALUE($D1587),1000000000),IFERROR(IF(VALUE(MID($D1587,2,20))&lt;100000000,VALUE(MID($D1587,2,20)),1000000000),1000000000))+ROW()/100000,"")</f>
        <v/>
      </c>
    </row>
    <row r="1588">
      <c r="F1588" s="11" t="n"/>
      <c r="N1588" s="7">
        <f>IF($D1588="","",M1588*X1588/100)</f>
        <v/>
      </c>
      <c r="O1588" s="7" t="n"/>
      <c r="U1588" s="7" t="n"/>
      <c r="V1588" s="7" t="n"/>
      <c r="W1588" s="7">
        <f>IF($D1588="","",V1588*AB1588/100)</f>
        <v/>
      </c>
      <c r="X1588" s="7">
        <f>IF($D1588="","",V1588-W1588)</f>
        <v/>
      </c>
      <c r="Y1588" s="7">
        <f>IF($D1588="","",X1588-N1588)</f>
        <v/>
      </c>
      <c r="AB1588">
        <f>IF($D1588="","",IF($AN1588=1,Settings!$C$8,IF($AM1588=1,Settings!$C$6,Settings!$C$7))*100)</f>
        <v/>
      </c>
      <c r="AF1588" s="7" t="n"/>
      <c r="AI1588" s="11" t="n"/>
      <c r="AK1588">
        <f>IF($D1588="","",IF(COUNTIF($D$2:$D1588,$D1588)=1,1,0))</f>
        <v/>
      </c>
      <c r="AL1588">
        <f>IF($AK1588=1,SUMPRODUCT(--($AO$2:$AO$1601&lt;$AO1588))+1,"")</f>
        <v/>
      </c>
      <c r="AM1588">
        <f>IF($D1588="","",IF(OR($R1588=TRUE(),$R1588="TRUE"),1,0))</f>
        <v/>
      </c>
      <c r="AN1588">
        <f>IF($D1588="","",IF($AA1588="Yes",1,0))</f>
        <v/>
      </c>
      <c r="AO1588">
        <f>IF($AK1588=1,IFERROR(IF(VALUE($D1588)&lt;100000000,VALUE($D1588),1000000000),IFERROR(IF(VALUE(MID($D1588,2,20))&lt;100000000,VALUE(MID($D1588,2,20)),1000000000),1000000000))+ROW()/100000,"")</f>
        <v/>
      </c>
    </row>
    <row r="1589">
      <c r="F1589" s="11" t="n"/>
      <c r="N1589" s="7">
        <f>IF($D1589="","",M1589*X1589/100)</f>
        <v/>
      </c>
      <c r="O1589" s="7" t="n"/>
      <c r="U1589" s="7" t="n"/>
      <c r="V1589" s="7" t="n"/>
      <c r="W1589" s="7">
        <f>IF($D1589="","",V1589*AB1589/100)</f>
        <v/>
      </c>
      <c r="X1589" s="7">
        <f>IF($D1589="","",V1589-W1589)</f>
        <v/>
      </c>
      <c r="Y1589" s="7">
        <f>IF($D1589="","",X1589-N1589)</f>
        <v/>
      </c>
      <c r="AB1589">
        <f>IF($D1589="","",IF($AN1589=1,Settings!$C$8,IF($AM1589=1,Settings!$C$6,Settings!$C$7))*100)</f>
        <v/>
      </c>
      <c r="AF1589" s="7" t="n"/>
      <c r="AI1589" s="11" t="n"/>
      <c r="AK1589">
        <f>IF($D1589="","",IF(COUNTIF($D$2:$D1589,$D1589)=1,1,0))</f>
        <v/>
      </c>
      <c r="AL1589">
        <f>IF($AK1589=1,SUMPRODUCT(--($AO$2:$AO$1601&lt;$AO1589))+1,"")</f>
        <v/>
      </c>
      <c r="AM1589">
        <f>IF($D1589="","",IF(OR($R1589=TRUE(),$R1589="TRUE"),1,0))</f>
        <v/>
      </c>
      <c r="AN1589">
        <f>IF($D1589="","",IF($AA1589="Yes",1,0))</f>
        <v/>
      </c>
      <c r="AO1589">
        <f>IF($AK1589=1,IFERROR(IF(VALUE($D1589)&lt;100000000,VALUE($D1589),1000000000),IFERROR(IF(VALUE(MID($D1589,2,20))&lt;100000000,VALUE(MID($D1589,2,20)),1000000000),1000000000))+ROW()/100000,"")</f>
        <v/>
      </c>
    </row>
    <row r="1590">
      <c r="F1590" s="11" t="n"/>
      <c r="N1590" s="7">
        <f>IF($D1590="","",M1590*X1590/100)</f>
        <v/>
      </c>
      <c r="O1590" s="7" t="n"/>
      <c r="U1590" s="7" t="n"/>
      <c r="V1590" s="7" t="n"/>
      <c r="W1590" s="7">
        <f>IF($D1590="","",V1590*AB1590/100)</f>
        <v/>
      </c>
      <c r="X1590" s="7">
        <f>IF($D1590="","",V1590-W1590)</f>
        <v/>
      </c>
      <c r="Y1590" s="7">
        <f>IF($D1590="","",X1590-N1590)</f>
        <v/>
      </c>
      <c r="AB1590">
        <f>IF($D1590="","",IF($AN1590=1,Settings!$C$8,IF($AM1590=1,Settings!$C$6,Settings!$C$7))*100)</f>
        <v/>
      </c>
      <c r="AF1590" s="7" t="n"/>
      <c r="AI1590" s="11" t="n"/>
      <c r="AK1590">
        <f>IF($D1590="","",IF(COUNTIF($D$2:$D1590,$D1590)=1,1,0))</f>
        <v/>
      </c>
      <c r="AL1590">
        <f>IF($AK1590=1,SUMPRODUCT(--($AO$2:$AO$1601&lt;$AO1590))+1,"")</f>
        <v/>
      </c>
      <c r="AM1590">
        <f>IF($D1590="","",IF(OR($R1590=TRUE(),$R1590="TRUE"),1,0))</f>
        <v/>
      </c>
      <c r="AN1590">
        <f>IF($D1590="","",IF($AA1590="Yes",1,0))</f>
        <v/>
      </c>
      <c r="AO1590">
        <f>IF($AK1590=1,IFERROR(IF(VALUE($D1590)&lt;100000000,VALUE($D1590),1000000000),IFERROR(IF(VALUE(MID($D1590,2,20))&lt;100000000,VALUE(MID($D1590,2,20)),1000000000),1000000000))+ROW()/100000,"")</f>
        <v/>
      </c>
    </row>
    <row r="1591">
      <c r="F1591" s="11" t="n"/>
      <c r="N1591" s="7">
        <f>IF($D1591="","",M1591*X1591/100)</f>
        <v/>
      </c>
      <c r="O1591" s="7" t="n"/>
      <c r="U1591" s="7" t="n"/>
      <c r="V1591" s="7" t="n"/>
      <c r="W1591" s="7">
        <f>IF($D1591="","",V1591*AB1591/100)</f>
        <v/>
      </c>
      <c r="X1591" s="7">
        <f>IF($D1591="","",V1591-W1591)</f>
        <v/>
      </c>
      <c r="Y1591" s="7">
        <f>IF($D1591="","",X1591-N1591)</f>
        <v/>
      </c>
      <c r="AB1591">
        <f>IF($D1591="","",IF($AN1591=1,Settings!$C$8,IF($AM1591=1,Settings!$C$6,Settings!$C$7))*100)</f>
        <v/>
      </c>
      <c r="AF1591" s="7" t="n"/>
      <c r="AI1591" s="11" t="n"/>
      <c r="AK1591">
        <f>IF($D1591="","",IF(COUNTIF($D$2:$D1591,$D1591)=1,1,0))</f>
        <v/>
      </c>
      <c r="AL1591">
        <f>IF($AK1591=1,SUMPRODUCT(--($AO$2:$AO$1601&lt;$AO1591))+1,"")</f>
        <v/>
      </c>
      <c r="AM1591">
        <f>IF($D1591="","",IF(OR($R1591=TRUE(),$R1591="TRUE"),1,0))</f>
        <v/>
      </c>
      <c r="AN1591">
        <f>IF($D1591="","",IF($AA1591="Yes",1,0))</f>
        <v/>
      </c>
      <c r="AO1591">
        <f>IF($AK1591=1,IFERROR(IF(VALUE($D1591)&lt;100000000,VALUE($D1591),1000000000),IFERROR(IF(VALUE(MID($D1591,2,20))&lt;100000000,VALUE(MID($D1591,2,20)),1000000000),1000000000))+ROW()/100000,"")</f>
        <v/>
      </c>
    </row>
    <row r="1592">
      <c r="F1592" s="11" t="n"/>
      <c r="N1592" s="7">
        <f>IF($D1592="","",M1592*X1592/100)</f>
        <v/>
      </c>
      <c r="O1592" s="7" t="n"/>
      <c r="U1592" s="7" t="n"/>
      <c r="V1592" s="7" t="n"/>
      <c r="W1592" s="7">
        <f>IF($D1592="","",V1592*AB1592/100)</f>
        <v/>
      </c>
      <c r="X1592" s="7">
        <f>IF($D1592="","",V1592-W1592)</f>
        <v/>
      </c>
      <c r="Y1592" s="7">
        <f>IF($D1592="","",X1592-N1592)</f>
        <v/>
      </c>
      <c r="AB1592">
        <f>IF($D1592="","",IF($AN1592=1,Settings!$C$8,IF($AM1592=1,Settings!$C$6,Settings!$C$7))*100)</f>
        <v/>
      </c>
      <c r="AF1592" s="7" t="n"/>
      <c r="AI1592" s="11" t="n"/>
      <c r="AK1592">
        <f>IF($D1592="","",IF(COUNTIF($D$2:$D1592,$D1592)=1,1,0))</f>
        <v/>
      </c>
      <c r="AL1592">
        <f>IF($AK1592=1,SUMPRODUCT(--($AO$2:$AO$1601&lt;$AO1592))+1,"")</f>
        <v/>
      </c>
      <c r="AM1592">
        <f>IF($D1592="","",IF(OR($R1592=TRUE(),$R1592="TRUE"),1,0))</f>
        <v/>
      </c>
      <c r="AN1592">
        <f>IF($D1592="","",IF($AA1592="Yes",1,0))</f>
        <v/>
      </c>
      <c r="AO1592">
        <f>IF($AK1592=1,IFERROR(IF(VALUE($D1592)&lt;100000000,VALUE($D1592),1000000000),IFERROR(IF(VALUE(MID($D1592,2,20))&lt;100000000,VALUE(MID($D1592,2,20)),1000000000),1000000000))+ROW()/100000,"")</f>
        <v/>
      </c>
    </row>
    <row r="1593">
      <c r="F1593" s="11" t="n"/>
      <c r="N1593" s="7">
        <f>IF($D1593="","",M1593*X1593/100)</f>
        <v/>
      </c>
      <c r="O1593" s="7" t="n"/>
      <c r="U1593" s="7" t="n"/>
      <c r="V1593" s="7" t="n"/>
      <c r="W1593" s="7">
        <f>IF($D1593="","",V1593*AB1593/100)</f>
        <v/>
      </c>
      <c r="X1593" s="7">
        <f>IF($D1593="","",V1593-W1593)</f>
        <v/>
      </c>
      <c r="Y1593" s="7">
        <f>IF($D1593="","",X1593-N1593)</f>
        <v/>
      </c>
      <c r="AB1593">
        <f>IF($D1593="","",IF($AN1593=1,Settings!$C$8,IF($AM1593=1,Settings!$C$6,Settings!$C$7))*100)</f>
        <v/>
      </c>
      <c r="AF1593" s="7" t="n"/>
      <c r="AI1593" s="11" t="n"/>
      <c r="AK1593">
        <f>IF($D1593="","",IF(COUNTIF($D$2:$D1593,$D1593)=1,1,0))</f>
        <v/>
      </c>
      <c r="AL1593">
        <f>IF($AK1593=1,SUMPRODUCT(--($AO$2:$AO$1601&lt;$AO1593))+1,"")</f>
        <v/>
      </c>
      <c r="AM1593">
        <f>IF($D1593="","",IF(OR($R1593=TRUE(),$R1593="TRUE"),1,0))</f>
        <v/>
      </c>
      <c r="AN1593">
        <f>IF($D1593="","",IF($AA1593="Yes",1,0))</f>
        <v/>
      </c>
      <c r="AO1593">
        <f>IF($AK1593=1,IFERROR(IF(VALUE($D1593)&lt;100000000,VALUE($D1593),1000000000),IFERROR(IF(VALUE(MID($D1593,2,20))&lt;100000000,VALUE(MID($D1593,2,20)),1000000000),1000000000))+ROW()/100000,"")</f>
        <v/>
      </c>
    </row>
    <row r="1594">
      <c r="F1594" s="11" t="n"/>
      <c r="N1594" s="7">
        <f>IF($D1594="","",M1594*X1594/100)</f>
        <v/>
      </c>
      <c r="O1594" s="7" t="n"/>
      <c r="U1594" s="7" t="n"/>
      <c r="V1594" s="7" t="n"/>
      <c r="W1594" s="7">
        <f>IF($D1594="","",V1594*AB1594/100)</f>
        <v/>
      </c>
      <c r="X1594" s="7">
        <f>IF($D1594="","",V1594-W1594)</f>
        <v/>
      </c>
      <c r="Y1594" s="7">
        <f>IF($D1594="","",X1594-N1594)</f>
        <v/>
      </c>
      <c r="AB1594">
        <f>IF($D1594="","",IF($AN1594=1,Settings!$C$8,IF($AM1594=1,Settings!$C$6,Settings!$C$7))*100)</f>
        <v/>
      </c>
      <c r="AF1594" s="7" t="n"/>
      <c r="AI1594" s="11" t="n"/>
      <c r="AK1594">
        <f>IF($D1594="","",IF(COUNTIF($D$2:$D1594,$D1594)=1,1,0))</f>
        <v/>
      </c>
      <c r="AL1594">
        <f>IF($AK1594=1,SUMPRODUCT(--($AO$2:$AO$1601&lt;$AO1594))+1,"")</f>
        <v/>
      </c>
      <c r="AM1594">
        <f>IF($D1594="","",IF(OR($R1594=TRUE(),$R1594="TRUE"),1,0))</f>
        <v/>
      </c>
      <c r="AN1594">
        <f>IF($D1594="","",IF($AA1594="Yes",1,0))</f>
        <v/>
      </c>
      <c r="AO1594">
        <f>IF($AK1594=1,IFERROR(IF(VALUE($D1594)&lt;100000000,VALUE($D1594),1000000000),IFERROR(IF(VALUE(MID($D1594,2,20))&lt;100000000,VALUE(MID($D1594,2,20)),1000000000),1000000000))+ROW()/100000,"")</f>
        <v/>
      </c>
    </row>
    <row r="1595">
      <c r="F1595" s="11" t="n"/>
      <c r="N1595" s="7">
        <f>IF($D1595="","",M1595*X1595/100)</f>
        <v/>
      </c>
      <c r="O1595" s="7" t="n"/>
      <c r="U1595" s="7" t="n"/>
      <c r="V1595" s="7" t="n"/>
      <c r="W1595" s="7">
        <f>IF($D1595="","",V1595*AB1595/100)</f>
        <v/>
      </c>
      <c r="X1595" s="7">
        <f>IF($D1595="","",V1595-W1595)</f>
        <v/>
      </c>
      <c r="Y1595" s="7">
        <f>IF($D1595="","",X1595-N1595)</f>
        <v/>
      </c>
      <c r="AB1595">
        <f>IF($D1595="","",IF($AN1595=1,Settings!$C$8,IF($AM1595=1,Settings!$C$6,Settings!$C$7))*100)</f>
        <v/>
      </c>
      <c r="AF1595" s="7" t="n"/>
      <c r="AI1595" s="11" t="n"/>
      <c r="AK1595">
        <f>IF($D1595="","",IF(COUNTIF($D$2:$D1595,$D1595)=1,1,0))</f>
        <v/>
      </c>
      <c r="AL1595">
        <f>IF($AK1595=1,SUMPRODUCT(--($AO$2:$AO$1601&lt;$AO1595))+1,"")</f>
        <v/>
      </c>
      <c r="AM1595">
        <f>IF($D1595="","",IF(OR($R1595=TRUE(),$R1595="TRUE"),1,0))</f>
        <v/>
      </c>
      <c r="AN1595">
        <f>IF($D1595="","",IF($AA1595="Yes",1,0))</f>
        <v/>
      </c>
      <c r="AO1595">
        <f>IF($AK1595=1,IFERROR(IF(VALUE($D1595)&lt;100000000,VALUE($D1595),1000000000),IFERROR(IF(VALUE(MID($D1595,2,20))&lt;100000000,VALUE(MID($D1595,2,20)),1000000000),1000000000))+ROW()/100000,"")</f>
        <v/>
      </c>
    </row>
    <row r="1596">
      <c r="F1596" s="11" t="n"/>
      <c r="N1596" s="7">
        <f>IF($D1596="","",M1596*X1596/100)</f>
        <v/>
      </c>
      <c r="O1596" s="7" t="n"/>
      <c r="U1596" s="7" t="n"/>
      <c r="V1596" s="7" t="n"/>
      <c r="W1596" s="7">
        <f>IF($D1596="","",V1596*AB1596/100)</f>
        <v/>
      </c>
      <c r="X1596" s="7">
        <f>IF($D1596="","",V1596-W1596)</f>
        <v/>
      </c>
      <c r="Y1596" s="7">
        <f>IF($D1596="","",X1596-N1596)</f>
        <v/>
      </c>
      <c r="AB1596">
        <f>IF($D1596="","",IF($AN1596=1,Settings!$C$8,IF($AM1596=1,Settings!$C$6,Settings!$C$7))*100)</f>
        <v/>
      </c>
      <c r="AF1596" s="7" t="n"/>
      <c r="AI1596" s="11" t="n"/>
      <c r="AK1596">
        <f>IF($D1596="","",IF(COUNTIF($D$2:$D1596,$D1596)=1,1,0))</f>
        <v/>
      </c>
      <c r="AL1596">
        <f>IF($AK1596=1,SUMPRODUCT(--($AO$2:$AO$1601&lt;$AO1596))+1,"")</f>
        <v/>
      </c>
      <c r="AM1596">
        <f>IF($D1596="","",IF(OR($R1596=TRUE(),$R1596="TRUE"),1,0))</f>
        <v/>
      </c>
      <c r="AN1596">
        <f>IF($D1596="","",IF($AA1596="Yes",1,0))</f>
        <v/>
      </c>
      <c r="AO1596">
        <f>IF($AK1596=1,IFERROR(IF(VALUE($D1596)&lt;100000000,VALUE($D1596),1000000000),IFERROR(IF(VALUE(MID($D1596,2,20))&lt;100000000,VALUE(MID($D1596,2,20)),1000000000),1000000000))+ROW()/100000,"")</f>
        <v/>
      </c>
    </row>
    <row r="1597">
      <c r="F1597" s="11" t="n"/>
      <c r="N1597" s="7">
        <f>IF($D1597="","",M1597*X1597/100)</f>
        <v/>
      </c>
      <c r="O1597" s="7" t="n"/>
      <c r="U1597" s="7" t="n"/>
      <c r="V1597" s="7" t="n"/>
      <c r="W1597" s="7">
        <f>IF($D1597="","",V1597*AB1597/100)</f>
        <v/>
      </c>
      <c r="X1597" s="7">
        <f>IF($D1597="","",V1597-W1597)</f>
        <v/>
      </c>
      <c r="Y1597" s="7">
        <f>IF($D1597="","",X1597-N1597)</f>
        <v/>
      </c>
      <c r="AB1597">
        <f>IF($D1597="","",IF($AN1597=1,Settings!$C$8,IF($AM1597=1,Settings!$C$6,Settings!$C$7))*100)</f>
        <v/>
      </c>
      <c r="AF1597" s="7" t="n"/>
      <c r="AI1597" s="11" t="n"/>
      <c r="AK1597">
        <f>IF($D1597="","",IF(COUNTIF($D$2:$D1597,$D1597)=1,1,0))</f>
        <v/>
      </c>
      <c r="AL1597">
        <f>IF($AK1597=1,SUMPRODUCT(--($AO$2:$AO$1601&lt;$AO1597))+1,"")</f>
        <v/>
      </c>
      <c r="AM1597">
        <f>IF($D1597="","",IF(OR($R1597=TRUE(),$R1597="TRUE"),1,0))</f>
        <v/>
      </c>
      <c r="AN1597">
        <f>IF($D1597="","",IF($AA1597="Yes",1,0))</f>
        <v/>
      </c>
      <c r="AO1597">
        <f>IF($AK1597=1,IFERROR(IF(VALUE($D1597)&lt;100000000,VALUE($D1597),1000000000),IFERROR(IF(VALUE(MID($D1597,2,20))&lt;100000000,VALUE(MID($D1597,2,20)),1000000000),1000000000))+ROW()/100000,"")</f>
        <v/>
      </c>
    </row>
    <row r="1598">
      <c r="F1598" s="11" t="n"/>
      <c r="N1598" s="7">
        <f>IF($D1598="","",M1598*X1598/100)</f>
        <v/>
      </c>
      <c r="O1598" s="7" t="n"/>
      <c r="U1598" s="7" t="n"/>
      <c r="V1598" s="7" t="n"/>
      <c r="W1598" s="7">
        <f>IF($D1598="","",V1598*AB1598/100)</f>
        <v/>
      </c>
      <c r="X1598" s="7">
        <f>IF($D1598="","",V1598-W1598)</f>
        <v/>
      </c>
      <c r="Y1598" s="7">
        <f>IF($D1598="","",X1598-N1598)</f>
        <v/>
      </c>
      <c r="AB1598">
        <f>IF($D1598="","",IF($AN1598=1,Settings!$C$8,IF($AM1598=1,Settings!$C$6,Settings!$C$7))*100)</f>
        <v/>
      </c>
      <c r="AF1598" s="7" t="n"/>
      <c r="AI1598" s="11" t="n"/>
      <c r="AK1598">
        <f>IF($D1598="","",IF(COUNTIF($D$2:$D1598,$D1598)=1,1,0))</f>
        <v/>
      </c>
      <c r="AL1598">
        <f>IF($AK1598=1,SUMPRODUCT(--($AO$2:$AO$1601&lt;$AO1598))+1,"")</f>
        <v/>
      </c>
      <c r="AM1598">
        <f>IF($D1598="","",IF(OR($R1598=TRUE(),$R1598="TRUE"),1,0))</f>
        <v/>
      </c>
      <c r="AN1598">
        <f>IF($D1598="","",IF($AA1598="Yes",1,0))</f>
        <v/>
      </c>
      <c r="AO1598">
        <f>IF($AK1598=1,IFERROR(IF(VALUE($D1598)&lt;100000000,VALUE($D1598),1000000000),IFERROR(IF(VALUE(MID($D1598,2,20))&lt;100000000,VALUE(MID($D1598,2,20)),1000000000),1000000000))+ROW()/100000,"")</f>
        <v/>
      </c>
    </row>
    <row r="1599">
      <c r="F1599" s="11" t="n"/>
      <c r="N1599" s="7">
        <f>IF($D1599="","",M1599*X1599/100)</f>
        <v/>
      </c>
      <c r="O1599" s="7" t="n"/>
      <c r="U1599" s="7" t="n"/>
      <c r="V1599" s="7" t="n"/>
      <c r="W1599" s="7">
        <f>IF($D1599="","",V1599*AB1599/100)</f>
        <v/>
      </c>
      <c r="X1599" s="7">
        <f>IF($D1599="","",V1599-W1599)</f>
        <v/>
      </c>
      <c r="Y1599" s="7">
        <f>IF($D1599="","",X1599-N1599)</f>
        <v/>
      </c>
      <c r="AB1599">
        <f>IF($D1599="","",IF($AN1599=1,Settings!$C$8,IF($AM1599=1,Settings!$C$6,Settings!$C$7))*100)</f>
        <v/>
      </c>
      <c r="AF1599" s="7" t="n"/>
      <c r="AI1599" s="11" t="n"/>
      <c r="AK1599">
        <f>IF($D1599="","",IF(COUNTIF($D$2:$D1599,$D1599)=1,1,0))</f>
        <v/>
      </c>
      <c r="AL1599">
        <f>IF($AK1599=1,SUMPRODUCT(--($AO$2:$AO$1601&lt;$AO1599))+1,"")</f>
        <v/>
      </c>
      <c r="AM1599">
        <f>IF($D1599="","",IF(OR($R1599=TRUE(),$R1599="TRUE"),1,0))</f>
        <v/>
      </c>
      <c r="AN1599">
        <f>IF($D1599="","",IF($AA1599="Yes",1,0))</f>
        <v/>
      </c>
      <c r="AO1599">
        <f>IF($AK1599=1,IFERROR(IF(VALUE($D1599)&lt;100000000,VALUE($D1599),1000000000),IFERROR(IF(VALUE(MID($D1599,2,20))&lt;100000000,VALUE(MID($D1599,2,20)),1000000000),1000000000))+ROW()/100000,"")</f>
        <v/>
      </c>
    </row>
    <row r="1600">
      <c r="F1600" s="11" t="n"/>
      <c r="N1600" s="7">
        <f>IF($D1600="","",M1600*X1600/100)</f>
        <v/>
      </c>
      <c r="O1600" s="7" t="n"/>
      <c r="U1600" s="7" t="n"/>
      <c r="V1600" s="7" t="n"/>
      <c r="W1600" s="7">
        <f>IF($D1600="","",V1600*AB1600/100)</f>
        <v/>
      </c>
      <c r="X1600" s="7">
        <f>IF($D1600="","",V1600-W1600)</f>
        <v/>
      </c>
      <c r="Y1600" s="7">
        <f>IF($D1600="","",X1600-N1600)</f>
        <v/>
      </c>
      <c r="AB1600">
        <f>IF($D1600="","",IF($AN1600=1,Settings!$C$8,IF($AM1600=1,Settings!$C$6,Settings!$C$7))*100)</f>
        <v/>
      </c>
      <c r="AF1600" s="7" t="n"/>
      <c r="AI1600" s="11" t="n"/>
      <c r="AK1600">
        <f>IF($D1600="","",IF(COUNTIF($D$2:$D1600,$D1600)=1,1,0))</f>
        <v/>
      </c>
      <c r="AL1600">
        <f>IF($AK1600=1,SUMPRODUCT(--($AO$2:$AO$1601&lt;$AO1600))+1,"")</f>
        <v/>
      </c>
      <c r="AM1600">
        <f>IF($D1600="","",IF(OR($R1600=TRUE(),$R1600="TRUE"),1,0))</f>
        <v/>
      </c>
      <c r="AN1600">
        <f>IF($D1600="","",IF($AA1600="Yes",1,0))</f>
        <v/>
      </c>
      <c r="AO1600">
        <f>IF($AK1600=1,IFERROR(IF(VALUE($D1600)&lt;100000000,VALUE($D1600),1000000000),IFERROR(IF(VALUE(MID($D1600,2,20))&lt;100000000,VALUE(MID($D1600,2,20)),1000000000),1000000000))+ROW()/100000,"")</f>
        <v/>
      </c>
    </row>
    <row r="1601">
      <c r="F1601" s="11" t="n"/>
      <c r="N1601" s="7">
        <f>IF($D1601="","",M1601*X1601/100)</f>
        <v/>
      </c>
      <c r="O1601" s="7" t="n"/>
      <c r="U1601" s="7" t="n"/>
      <c r="V1601" s="7" t="n"/>
      <c r="W1601" s="7">
        <f>IF($D1601="","",V1601*AB1601/100)</f>
        <v/>
      </c>
      <c r="X1601" s="7">
        <f>IF($D1601="","",V1601-W1601)</f>
        <v/>
      </c>
      <c r="Y1601" s="7">
        <f>IF($D1601="","",X1601-N1601)</f>
        <v/>
      </c>
      <c r="AB1601">
        <f>IF($D1601="","",IF($AN1601=1,Settings!$C$8,IF($AM1601=1,Settings!$C$6,Settings!$C$7))*100)</f>
        <v/>
      </c>
      <c r="AF1601" s="7" t="n"/>
      <c r="AI1601" s="11" t="n"/>
      <c r="AK1601">
        <f>IF($D1601="","",IF(COUNTIF($D$2:$D1601,$D1601)=1,1,0))</f>
        <v/>
      </c>
      <c r="AL1601">
        <f>IF($AK1601=1,SUMPRODUCT(--($AO$2:$AO$1601&lt;$AO1601))+1,"")</f>
        <v/>
      </c>
      <c r="AM1601">
        <f>IF($D1601="","",IF(OR($R1601=TRUE(),$R1601="TRUE"),1,0))</f>
        <v/>
      </c>
      <c r="AN1601">
        <f>IF($D1601="","",IF($AA1601="Yes",1,0))</f>
        <v/>
      </c>
      <c r="AO1601">
        <f>IF($AK1601=1,IFERROR(IF(VALUE($D1601)&lt;100000000,VALUE($D1601),1000000000),IFERROR(IF(VALUE(MID($D1601,2,20))&lt;100000000,VALUE(MID($D1601,2,20)),1000000000),1000000000))+ROW()/100000,"")</f>
        <v/>
      </c>
    </row>
  </sheetData>
  <autoFilter ref="A1:AO1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7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Batch ID</t>
        </is>
      </c>
      <c r="D1" s="9" t="inlineStr">
        <is>
          <t>Ticket #</t>
        </is>
      </c>
      <c r="E1" s="9" t="inlineStr">
        <is>
          <t>Stage</t>
        </is>
      </c>
      <c r="F1" s="9" t="inlineStr">
        <is>
          <t>Channel</t>
        </is>
      </c>
      <c r="G1" s="9" t="inlineStr">
        <is>
          <t>Create At</t>
        </is>
      </c>
      <c r="H1" s="9" t="inlineStr">
        <is>
          <t>Insurance Company</t>
        </is>
      </c>
      <c r="I1" s="9" t="inlineStr">
        <is>
          <t>Corporate</t>
        </is>
      </c>
      <c r="J1" s="9" t="inlineStr">
        <is>
          <t>Card</t>
        </is>
      </c>
      <c r="K1" s="9" t="inlineStr">
        <is>
          <t>Name</t>
        </is>
      </c>
      <c r="L1" s="9" t="inlineStr">
        <is>
          <t>Status</t>
        </is>
      </c>
      <c r="M1" s="9" t="inlineStr">
        <is>
          <t>Order Co Payment</t>
        </is>
      </c>
      <c r="N1" s="9" t="inlineStr">
        <is>
          <t>Co val</t>
        </is>
      </c>
      <c r="O1" s="9" t="inlineStr">
        <is>
          <t>ERX ID</t>
        </is>
      </c>
      <c r="P1" s="9" t="inlineStr">
        <is>
          <t>Approval Type</t>
        </is>
      </c>
      <c r="Q1" s="9" t="inlineStr">
        <is>
          <t>Max Limit</t>
        </is>
      </c>
      <c r="R1" s="9" t="inlineStr">
        <is>
          <t>Exceeding Limit</t>
        </is>
      </c>
      <c r="S1" s="9" t="inlineStr">
        <is>
          <t>Dispense Number</t>
        </is>
      </c>
      <c r="T1" s="9" t="inlineStr">
        <is>
          <t>Dispense Date</t>
        </is>
      </c>
      <c r="U1" s="9" t="inlineStr">
        <is>
          <t>SP%</t>
        </is>
      </c>
      <c r="V1" s="9" t="inlineStr">
        <is>
          <t>SP</t>
        </is>
      </c>
      <c r="W1" s="9" t="inlineStr">
        <is>
          <t>SP VAL</t>
        </is>
      </c>
      <c r="X1" s="9" t="inlineStr">
        <is>
          <t>IMP%</t>
        </is>
      </c>
      <c r="Y1" s="9" t="inlineStr">
        <is>
          <t>IMP</t>
        </is>
      </c>
      <c r="Z1" s="9" t="inlineStr">
        <is>
          <t>IMP VAL</t>
        </is>
      </c>
      <c r="AA1" s="9" t="inlineStr">
        <is>
          <t>LOCAL%</t>
        </is>
      </c>
      <c r="AB1" s="9" t="inlineStr">
        <is>
          <t>LOCAL</t>
        </is>
      </c>
      <c r="AC1" s="9" t="inlineStr">
        <is>
          <t>LOCAL VAL</t>
        </is>
      </c>
      <c r="AD1" s="9" t="inlineStr">
        <is>
          <t>TOTAL VAL</t>
        </is>
      </c>
      <c r="AE1" s="9" t="inlineStr">
        <is>
          <t>SUBTOTAL</t>
        </is>
      </c>
      <c r="AF1" s="9" t="inlineStr">
        <is>
          <t>Grand Total</t>
        </is>
      </c>
      <c r="AG1" s="9" t="inlineStr">
        <is>
          <t>NET</t>
        </is>
      </c>
      <c r="AH1" s="10" t="inlineStr">
        <is>
          <t>Src Row (helper)</t>
        </is>
      </c>
    </row>
    <row r="2">
      <c r="A2" s="12" t="n"/>
      <c r="B2">
        <f>IF($AH2="","",INDEX('Per Line'!$D$2:$D$1601,$AH2)&amp;"")</f>
        <v/>
      </c>
      <c r="C2">
        <f>IF($AH2="","",INDEX('Per Line'!$A$2:$A$1601,$AH2)&amp;"")</f>
        <v/>
      </c>
      <c r="D2">
        <f>IF($AH2="","",INDEX('Per Line'!$B$2:$B$1601,$AH2))</f>
        <v/>
      </c>
      <c r="E2">
        <f>IF($AH2="","",INDEX('Per Line'!$C$2:$C$1601,$AH2)&amp;"")</f>
        <v/>
      </c>
      <c r="F2">
        <f>IF($AH2="","",INDEX('Per Line'!$E$2:$E$1601,$AH2)&amp;"")</f>
        <v/>
      </c>
      <c r="G2" s="11">
        <f>IF($AH2="","",INDEX('Per Line'!$F$2:$F$1601,$AH2))</f>
        <v/>
      </c>
      <c r="H2">
        <f>IF($AH2="","",INDEX('Per Line'!$G$2:$G$1601,$AH2)&amp;"")</f>
        <v/>
      </c>
      <c r="I2">
        <f>IF($AH2="","",INDEX('Per Line'!$I$2:$I$1601,$AH2)&amp;"")</f>
        <v/>
      </c>
      <c r="J2">
        <f>IF($AH2="","",INDEX('Per Line'!$J$2:$J$1601,$AH2)&amp;"")</f>
        <v/>
      </c>
      <c r="K2">
        <f>IF($AH2="","",INDEX('Per Line'!$K$2:$K$1601,$AH2)&amp;"")</f>
        <v/>
      </c>
      <c r="L2">
        <f>IF($AH2="","",INDEX('Per Line'!$L$2:$L$1601,$AH2)&amp;"")</f>
        <v/>
      </c>
      <c r="M2">
        <f>IF($AH2="","",INDEX('Per Line'!$M$2:$M$1601,$AH2))</f>
        <v/>
      </c>
      <c r="N2" s="7">
        <f>IF($AH2="","",M2*AE2/100)</f>
        <v/>
      </c>
      <c r="O2">
        <f>IF($AH2="","",INDEX('Per Line'!$Z$2:$Z$1601,$AH2)&amp;"")</f>
        <v/>
      </c>
      <c r="P2">
        <f>IF($AH2="","",INDEX('Per Line'!$AC$2:$AC$1601,$AH2)&amp;"")</f>
        <v/>
      </c>
      <c r="Q2">
        <f>IF($AH2="","",INDEX('Per Line'!$AD$2:$AD$1601,$AH2))</f>
        <v/>
      </c>
      <c r="R2">
        <f>IF($AH2="","",IF(AND(ISNUMBER(Q2),Q2&gt;0),AF2&gt;Q2,FALSE))</f>
        <v/>
      </c>
      <c r="S2">
        <f>IF($AH2="","",INDEX('Per Line'!$AH$2:$AH$1601,$AH2)&amp;"")</f>
        <v/>
      </c>
      <c r="T2" s="11">
        <f>IF($AH2="","",INDEX('Per Line'!$AI$2:$AI$1601,$AH2))</f>
        <v/>
      </c>
      <c r="U2">
        <f>IF($AH2="","",Settings!$C$8)</f>
        <v/>
      </c>
      <c r="V2" s="7">
        <f>IF($AH2="","",SUMIFS('Per Line'!$V$2:$V$1601,'Per Line'!$D$2:$D$1601,$B2,'Per Line'!$AN$2:$AN$1601,1))</f>
        <v/>
      </c>
      <c r="W2" s="7">
        <f>IF($AH2="","",V2*U2)</f>
        <v/>
      </c>
      <c r="X2">
        <f>IF($AH2="","",Settings!$C$7)</f>
        <v/>
      </c>
      <c r="Y2" s="7">
        <f>IF($AH2="","",SUMIFS('Per Line'!$V$2:$V$1601,'Per Line'!$D$2:$D$1601,$B2,'Per Line'!$AM$2:$AM$1601,0,'Per Line'!$AN$2:$AN$1601,0))</f>
        <v/>
      </c>
      <c r="Z2" s="7">
        <f>IF($AH2="","",Y2*X2)</f>
        <v/>
      </c>
      <c r="AA2">
        <f>IF($AH2="","",Settings!$C$6)</f>
        <v/>
      </c>
      <c r="AB2" s="7">
        <f>IF($AH2="","",SUMIFS('Per Line'!$V$2:$V$1601,'Per Line'!$D$2:$D$1601,$B2,'Per Line'!$AM$2:$AM$1601,1,'Per Line'!$AN$2:$AN$1601,0))</f>
        <v/>
      </c>
      <c r="AC2" s="7">
        <f>IF($AH2="","",AB2*AA2)</f>
        <v/>
      </c>
      <c r="AD2" s="7">
        <f>IF($AH2="","",AC2+Z2+W2)</f>
        <v/>
      </c>
      <c r="AE2" s="7">
        <f>IF($AH2="","",AF2-AD2)</f>
        <v/>
      </c>
      <c r="AF2" s="7">
        <f>IF($AH2="","",Y2+AB2+V2)</f>
        <v/>
      </c>
      <c r="AG2" s="7">
        <f>IF($AH2="","",AF2-AD2-N2)</f>
        <v/>
      </c>
      <c r="AH2" s="13">
        <f>IF(ROWS($AH$2:$AH2)&lt;=MAX('Per Line'!$AL$2:$AL$1601),MATCH(ROWS($AH$2:$AH2),'Per Line'!$AL$2:$AL$1601,0),"")</f>
        <v/>
      </c>
    </row>
    <row r="3">
      <c r="A3" s="12" t="n"/>
      <c r="B3">
        <f>IF($AH3="","",INDEX('Per Line'!$D$2:$D$1601,$AH3)&amp;"")</f>
        <v/>
      </c>
      <c r="C3">
        <f>IF($AH3="","",INDEX('Per Line'!$A$2:$A$1601,$AH3)&amp;"")</f>
        <v/>
      </c>
      <c r="D3">
        <f>IF($AH3="","",INDEX('Per Line'!$B$2:$B$1601,$AH3))</f>
        <v/>
      </c>
      <c r="E3">
        <f>IF($AH3="","",INDEX('Per Line'!$C$2:$C$1601,$AH3)&amp;"")</f>
        <v/>
      </c>
      <c r="F3">
        <f>IF($AH3="","",INDEX('Per Line'!$E$2:$E$1601,$AH3)&amp;"")</f>
        <v/>
      </c>
      <c r="G3" s="11">
        <f>IF($AH3="","",INDEX('Per Line'!$F$2:$F$1601,$AH3))</f>
        <v/>
      </c>
      <c r="H3">
        <f>IF($AH3="","",INDEX('Per Line'!$G$2:$G$1601,$AH3)&amp;"")</f>
        <v/>
      </c>
      <c r="I3">
        <f>IF($AH3="","",INDEX('Per Line'!$I$2:$I$1601,$AH3)&amp;"")</f>
        <v/>
      </c>
      <c r="J3">
        <f>IF($AH3="","",INDEX('Per Line'!$J$2:$J$1601,$AH3)&amp;"")</f>
        <v/>
      </c>
      <c r="K3">
        <f>IF($AH3="","",INDEX('Per Line'!$K$2:$K$1601,$AH3)&amp;"")</f>
        <v/>
      </c>
      <c r="L3">
        <f>IF($AH3="","",INDEX('Per Line'!$L$2:$L$1601,$AH3)&amp;"")</f>
        <v/>
      </c>
      <c r="M3">
        <f>IF($AH3="","",INDEX('Per Line'!$M$2:$M$1601,$AH3))</f>
        <v/>
      </c>
      <c r="N3" s="7">
        <f>IF($AH3="","",M3*AE3/100)</f>
        <v/>
      </c>
      <c r="O3">
        <f>IF($AH3="","",INDEX('Per Line'!$Z$2:$Z$1601,$AH3)&amp;"")</f>
        <v/>
      </c>
      <c r="P3">
        <f>IF($AH3="","",INDEX('Per Line'!$AC$2:$AC$1601,$AH3)&amp;"")</f>
        <v/>
      </c>
      <c r="Q3">
        <f>IF($AH3="","",INDEX('Per Line'!$AD$2:$AD$1601,$AH3))</f>
        <v/>
      </c>
      <c r="R3">
        <f>IF($AH3="","",IF(AND(ISNUMBER(Q3),Q3&gt;0),AF3&gt;Q3,FALSE))</f>
        <v/>
      </c>
      <c r="S3">
        <f>IF($AH3="","",INDEX('Per Line'!$AH$2:$AH$1601,$AH3)&amp;"")</f>
        <v/>
      </c>
      <c r="T3" s="11">
        <f>IF($AH3="","",INDEX('Per Line'!$AI$2:$AI$1601,$AH3))</f>
        <v/>
      </c>
      <c r="U3">
        <f>IF($AH3="","",Settings!$C$8)</f>
        <v/>
      </c>
      <c r="V3" s="7">
        <f>IF($AH3="","",SUMIFS('Per Line'!$V$2:$V$1601,'Per Line'!$D$2:$D$1601,$B3,'Per Line'!$AN$2:$AN$1601,1))</f>
        <v/>
      </c>
      <c r="W3" s="7">
        <f>IF($AH3="","",V3*U3)</f>
        <v/>
      </c>
      <c r="X3">
        <f>IF($AH3="","",Settings!$C$7)</f>
        <v/>
      </c>
      <c r="Y3" s="7">
        <f>IF($AH3="","",SUMIFS('Per Line'!$V$2:$V$1601,'Per Line'!$D$2:$D$1601,$B3,'Per Line'!$AM$2:$AM$1601,0,'Per Line'!$AN$2:$AN$1601,0))</f>
        <v/>
      </c>
      <c r="Z3" s="7">
        <f>IF($AH3="","",Y3*X3)</f>
        <v/>
      </c>
      <c r="AA3">
        <f>IF($AH3="","",Settings!$C$6)</f>
        <v/>
      </c>
      <c r="AB3" s="7">
        <f>IF($AH3="","",SUMIFS('Per Line'!$V$2:$V$1601,'Per Line'!$D$2:$D$1601,$B3,'Per Line'!$AM$2:$AM$1601,1,'Per Line'!$AN$2:$AN$1601,0))</f>
        <v/>
      </c>
      <c r="AC3" s="7">
        <f>IF($AH3="","",AB3*AA3)</f>
        <v/>
      </c>
      <c r="AD3" s="7">
        <f>IF($AH3="","",AC3+Z3+W3)</f>
        <v/>
      </c>
      <c r="AE3" s="7">
        <f>IF($AH3="","",AF3-AD3)</f>
        <v/>
      </c>
      <c r="AF3" s="7">
        <f>IF($AH3="","",Y3+AB3+V3)</f>
        <v/>
      </c>
      <c r="AG3" s="7">
        <f>IF($AH3="","",AF3-AD3-N3)</f>
        <v/>
      </c>
      <c r="AH3" s="13">
        <f>IF(ROWS($AH$2:$AH3)&lt;=MAX('Per Line'!$AL$2:$AL$1601),MATCH(ROWS($AH$2:$AH3),'Per Line'!$AL$2:$AL$1601,0),"")</f>
        <v/>
      </c>
    </row>
    <row r="4">
      <c r="A4" s="12" t="n"/>
      <c r="B4">
        <f>IF($AH4="","",INDEX('Per Line'!$D$2:$D$1601,$AH4)&amp;"")</f>
        <v/>
      </c>
      <c r="C4">
        <f>IF($AH4="","",INDEX('Per Line'!$A$2:$A$1601,$AH4)&amp;"")</f>
        <v/>
      </c>
      <c r="D4">
        <f>IF($AH4="","",INDEX('Per Line'!$B$2:$B$1601,$AH4))</f>
        <v/>
      </c>
      <c r="E4">
        <f>IF($AH4="","",INDEX('Per Line'!$C$2:$C$1601,$AH4)&amp;"")</f>
        <v/>
      </c>
      <c r="F4">
        <f>IF($AH4="","",INDEX('Per Line'!$E$2:$E$1601,$AH4)&amp;"")</f>
        <v/>
      </c>
      <c r="G4" s="11">
        <f>IF($AH4="","",INDEX('Per Line'!$F$2:$F$1601,$AH4))</f>
        <v/>
      </c>
      <c r="H4">
        <f>IF($AH4="","",INDEX('Per Line'!$G$2:$G$1601,$AH4)&amp;"")</f>
        <v/>
      </c>
      <c r="I4">
        <f>IF($AH4="","",INDEX('Per Line'!$I$2:$I$1601,$AH4)&amp;"")</f>
        <v/>
      </c>
      <c r="J4">
        <f>IF($AH4="","",INDEX('Per Line'!$J$2:$J$1601,$AH4)&amp;"")</f>
        <v/>
      </c>
      <c r="K4">
        <f>IF($AH4="","",INDEX('Per Line'!$K$2:$K$1601,$AH4)&amp;"")</f>
        <v/>
      </c>
      <c r="L4">
        <f>IF($AH4="","",INDEX('Per Line'!$L$2:$L$1601,$AH4)&amp;"")</f>
        <v/>
      </c>
      <c r="M4">
        <f>IF($AH4="","",INDEX('Per Line'!$M$2:$M$1601,$AH4))</f>
        <v/>
      </c>
      <c r="N4" s="7">
        <f>IF($AH4="","",M4*AE4/100)</f>
        <v/>
      </c>
      <c r="O4">
        <f>IF($AH4="","",INDEX('Per Line'!$Z$2:$Z$1601,$AH4)&amp;"")</f>
        <v/>
      </c>
      <c r="P4">
        <f>IF($AH4="","",INDEX('Per Line'!$AC$2:$AC$1601,$AH4)&amp;"")</f>
        <v/>
      </c>
      <c r="Q4">
        <f>IF($AH4="","",INDEX('Per Line'!$AD$2:$AD$1601,$AH4))</f>
        <v/>
      </c>
      <c r="R4">
        <f>IF($AH4="","",IF(AND(ISNUMBER(Q4),Q4&gt;0),AF4&gt;Q4,FALSE))</f>
        <v/>
      </c>
      <c r="S4">
        <f>IF($AH4="","",INDEX('Per Line'!$AH$2:$AH$1601,$AH4)&amp;"")</f>
        <v/>
      </c>
      <c r="T4" s="11">
        <f>IF($AH4="","",INDEX('Per Line'!$AI$2:$AI$1601,$AH4))</f>
        <v/>
      </c>
      <c r="U4">
        <f>IF($AH4="","",Settings!$C$8)</f>
        <v/>
      </c>
      <c r="V4" s="7">
        <f>IF($AH4="","",SUMIFS('Per Line'!$V$2:$V$1601,'Per Line'!$D$2:$D$1601,$B4,'Per Line'!$AN$2:$AN$1601,1))</f>
        <v/>
      </c>
      <c r="W4" s="7">
        <f>IF($AH4="","",V4*U4)</f>
        <v/>
      </c>
      <c r="X4">
        <f>IF($AH4="","",Settings!$C$7)</f>
        <v/>
      </c>
      <c r="Y4" s="7">
        <f>IF($AH4="","",SUMIFS('Per Line'!$V$2:$V$1601,'Per Line'!$D$2:$D$1601,$B4,'Per Line'!$AM$2:$AM$1601,0,'Per Line'!$AN$2:$AN$1601,0))</f>
        <v/>
      </c>
      <c r="Z4" s="7">
        <f>IF($AH4="","",Y4*X4)</f>
        <v/>
      </c>
      <c r="AA4">
        <f>IF($AH4="","",Settings!$C$6)</f>
        <v/>
      </c>
      <c r="AB4" s="7">
        <f>IF($AH4="","",SUMIFS('Per Line'!$V$2:$V$1601,'Per Line'!$D$2:$D$1601,$B4,'Per Line'!$AM$2:$AM$1601,1,'Per Line'!$AN$2:$AN$1601,0))</f>
        <v/>
      </c>
      <c r="AC4" s="7">
        <f>IF($AH4="","",AB4*AA4)</f>
        <v/>
      </c>
      <c r="AD4" s="7">
        <f>IF($AH4="","",AC4+Z4+W4)</f>
        <v/>
      </c>
      <c r="AE4" s="7">
        <f>IF($AH4="","",AF4-AD4)</f>
        <v/>
      </c>
      <c r="AF4" s="7">
        <f>IF($AH4="","",Y4+AB4+V4)</f>
        <v/>
      </c>
      <c r="AG4" s="7">
        <f>IF($AH4="","",AF4-AD4-N4)</f>
        <v/>
      </c>
      <c r="AH4" s="13">
        <f>IF(ROWS($AH$2:$AH4)&lt;=MAX('Per Line'!$AL$2:$AL$1601),MATCH(ROWS($AH$2:$AH4),'Per Line'!$AL$2:$AL$1601,0),"")</f>
        <v/>
      </c>
    </row>
    <row r="5">
      <c r="A5" s="12" t="n"/>
      <c r="B5">
        <f>IF($AH5="","",INDEX('Per Line'!$D$2:$D$1601,$AH5)&amp;"")</f>
        <v/>
      </c>
      <c r="C5">
        <f>IF($AH5="","",INDEX('Per Line'!$A$2:$A$1601,$AH5)&amp;"")</f>
        <v/>
      </c>
      <c r="D5">
        <f>IF($AH5="","",INDEX('Per Line'!$B$2:$B$1601,$AH5))</f>
        <v/>
      </c>
      <c r="E5">
        <f>IF($AH5="","",INDEX('Per Line'!$C$2:$C$1601,$AH5)&amp;"")</f>
        <v/>
      </c>
      <c r="F5">
        <f>IF($AH5="","",INDEX('Per Line'!$E$2:$E$1601,$AH5)&amp;"")</f>
        <v/>
      </c>
      <c r="G5" s="11">
        <f>IF($AH5="","",INDEX('Per Line'!$F$2:$F$1601,$AH5))</f>
        <v/>
      </c>
      <c r="H5">
        <f>IF($AH5="","",INDEX('Per Line'!$G$2:$G$1601,$AH5)&amp;"")</f>
        <v/>
      </c>
      <c r="I5">
        <f>IF($AH5="","",INDEX('Per Line'!$I$2:$I$1601,$AH5)&amp;"")</f>
        <v/>
      </c>
      <c r="J5">
        <f>IF($AH5="","",INDEX('Per Line'!$J$2:$J$1601,$AH5)&amp;"")</f>
        <v/>
      </c>
      <c r="K5">
        <f>IF($AH5="","",INDEX('Per Line'!$K$2:$K$1601,$AH5)&amp;"")</f>
        <v/>
      </c>
      <c r="L5">
        <f>IF($AH5="","",INDEX('Per Line'!$L$2:$L$1601,$AH5)&amp;"")</f>
        <v/>
      </c>
      <c r="M5">
        <f>IF($AH5="","",INDEX('Per Line'!$M$2:$M$1601,$AH5))</f>
        <v/>
      </c>
      <c r="N5" s="7">
        <f>IF($AH5="","",M5*AE5/100)</f>
        <v/>
      </c>
      <c r="O5">
        <f>IF($AH5="","",INDEX('Per Line'!$Z$2:$Z$1601,$AH5)&amp;"")</f>
        <v/>
      </c>
      <c r="P5">
        <f>IF($AH5="","",INDEX('Per Line'!$AC$2:$AC$1601,$AH5)&amp;"")</f>
        <v/>
      </c>
      <c r="Q5">
        <f>IF($AH5="","",INDEX('Per Line'!$AD$2:$AD$1601,$AH5))</f>
        <v/>
      </c>
      <c r="R5">
        <f>IF($AH5="","",IF(AND(ISNUMBER(Q5),Q5&gt;0),AF5&gt;Q5,FALSE))</f>
        <v/>
      </c>
      <c r="S5">
        <f>IF($AH5="","",INDEX('Per Line'!$AH$2:$AH$1601,$AH5)&amp;"")</f>
        <v/>
      </c>
      <c r="T5" s="11">
        <f>IF($AH5="","",INDEX('Per Line'!$AI$2:$AI$1601,$AH5))</f>
        <v/>
      </c>
      <c r="U5">
        <f>IF($AH5="","",Settings!$C$8)</f>
        <v/>
      </c>
      <c r="V5" s="7">
        <f>IF($AH5="","",SUMIFS('Per Line'!$V$2:$V$1601,'Per Line'!$D$2:$D$1601,$B5,'Per Line'!$AN$2:$AN$1601,1))</f>
        <v/>
      </c>
      <c r="W5" s="7">
        <f>IF($AH5="","",V5*U5)</f>
        <v/>
      </c>
      <c r="X5">
        <f>IF($AH5="","",Settings!$C$7)</f>
        <v/>
      </c>
      <c r="Y5" s="7">
        <f>IF($AH5="","",SUMIFS('Per Line'!$V$2:$V$1601,'Per Line'!$D$2:$D$1601,$B5,'Per Line'!$AM$2:$AM$1601,0,'Per Line'!$AN$2:$AN$1601,0))</f>
        <v/>
      </c>
      <c r="Z5" s="7">
        <f>IF($AH5="","",Y5*X5)</f>
        <v/>
      </c>
      <c r="AA5">
        <f>IF($AH5="","",Settings!$C$6)</f>
        <v/>
      </c>
      <c r="AB5" s="7">
        <f>IF($AH5="","",SUMIFS('Per Line'!$V$2:$V$1601,'Per Line'!$D$2:$D$1601,$B5,'Per Line'!$AM$2:$AM$1601,1,'Per Line'!$AN$2:$AN$1601,0))</f>
        <v/>
      </c>
      <c r="AC5" s="7">
        <f>IF($AH5="","",AB5*AA5)</f>
        <v/>
      </c>
      <c r="AD5" s="7">
        <f>IF($AH5="","",AC5+Z5+W5)</f>
        <v/>
      </c>
      <c r="AE5" s="7">
        <f>IF($AH5="","",AF5-AD5)</f>
        <v/>
      </c>
      <c r="AF5" s="7">
        <f>IF($AH5="","",Y5+AB5+V5)</f>
        <v/>
      </c>
      <c r="AG5" s="7">
        <f>IF($AH5="","",AF5-AD5-N5)</f>
        <v/>
      </c>
      <c r="AH5" s="13">
        <f>IF(ROWS($AH$2:$AH5)&lt;=MAX('Per Line'!$AL$2:$AL$1601),MATCH(ROWS($AH$2:$AH5),'Per Line'!$AL$2:$AL$1601,0),"")</f>
        <v/>
      </c>
    </row>
    <row r="6">
      <c r="A6" s="12" t="n"/>
      <c r="B6">
        <f>IF($AH6="","",INDEX('Per Line'!$D$2:$D$1601,$AH6)&amp;"")</f>
        <v/>
      </c>
      <c r="C6">
        <f>IF($AH6="","",INDEX('Per Line'!$A$2:$A$1601,$AH6)&amp;"")</f>
        <v/>
      </c>
      <c r="D6">
        <f>IF($AH6="","",INDEX('Per Line'!$B$2:$B$1601,$AH6))</f>
        <v/>
      </c>
      <c r="E6">
        <f>IF($AH6="","",INDEX('Per Line'!$C$2:$C$1601,$AH6)&amp;"")</f>
        <v/>
      </c>
      <c r="F6">
        <f>IF($AH6="","",INDEX('Per Line'!$E$2:$E$1601,$AH6)&amp;"")</f>
        <v/>
      </c>
      <c r="G6" s="11">
        <f>IF($AH6="","",INDEX('Per Line'!$F$2:$F$1601,$AH6))</f>
        <v/>
      </c>
      <c r="H6">
        <f>IF($AH6="","",INDEX('Per Line'!$G$2:$G$1601,$AH6)&amp;"")</f>
        <v/>
      </c>
      <c r="I6">
        <f>IF($AH6="","",INDEX('Per Line'!$I$2:$I$1601,$AH6)&amp;"")</f>
        <v/>
      </c>
      <c r="J6">
        <f>IF($AH6="","",INDEX('Per Line'!$J$2:$J$1601,$AH6)&amp;"")</f>
        <v/>
      </c>
      <c r="K6">
        <f>IF($AH6="","",INDEX('Per Line'!$K$2:$K$1601,$AH6)&amp;"")</f>
        <v/>
      </c>
      <c r="L6">
        <f>IF($AH6="","",INDEX('Per Line'!$L$2:$L$1601,$AH6)&amp;"")</f>
        <v/>
      </c>
      <c r="M6">
        <f>IF($AH6="","",INDEX('Per Line'!$M$2:$M$1601,$AH6))</f>
        <v/>
      </c>
      <c r="N6" s="7">
        <f>IF($AH6="","",M6*AE6/100)</f>
        <v/>
      </c>
      <c r="O6">
        <f>IF($AH6="","",INDEX('Per Line'!$Z$2:$Z$1601,$AH6)&amp;"")</f>
        <v/>
      </c>
      <c r="P6">
        <f>IF($AH6="","",INDEX('Per Line'!$AC$2:$AC$1601,$AH6)&amp;"")</f>
        <v/>
      </c>
      <c r="Q6">
        <f>IF($AH6="","",INDEX('Per Line'!$AD$2:$AD$1601,$AH6))</f>
        <v/>
      </c>
      <c r="R6">
        <f>IF($AH6="","",IF(AND(ISNUMBER(Q6),Q6&gt;0),AF6&gt;Q6,FALSE))</f>
        <v/>
      </c>
      <c r="S6">
        <f>IF($AH6="","",INDEX('Per Line'!$AH$2:$AH$1601,$AH6)&amp;"")</f>
        <v/>
      </c>
      <c r="T6" s="11">
        <f>IF($AH6="","",INDEX('Per Line'!$AI$2:$AI$1601,$AH6))</f>
        <v/>
      </c>
      <c r="U6">
        <f>IF($AH6="","",Settings!$C$8)</f>
        <v/>
      </c>
      <c r="V6" s="7">
        <f>IF($AH6="","",SUMIFS('Per Line'!$V$2:$V$1601,'Per Line'!$D$2:$D$1601,$B6,'Per Line'!$AN$2:$AN$1601,1))</f>
        <v/>
      </c>
      <c r="W6" s="7">
        <f>IF($AH6="","",V6*U6)</f>
        <v/>
      </c>
      <c r="X6">
        <f>IF($AH6="","",Settings!$C$7)</f>
        <v/>
      </c>
      <c r="Y6" s="7">
        <f>IF($AH6="","",SUMIFS('Per Line'!$V$2:$V$1601,'Per Line'!$D$2:$D$1601,$B6,'Per Line'!$AM$2:$AM$1601,0,'Per Line'!$AN$2:$AN$1601,0))</f>
        <v/>
      </c>
      <c r="Z6" s="7">
        <f>IF($AH6="","",Y6*X6)</f>
        <v/>
      </c>
      <c r="AA6">
        <f>IF($AH6="","",Settings!$C$6)</f>
        <v/>
      </c>
      <c r="AB6" s="7">
        <f>IF($AH6="","",SUMIFS('Per Line'!$V$2:$V$1601,'Per Line'!$D$2:$D$1601,$B6,'Per Line'!$AM$2:$AM$1601,1,'Per Line'!$AN$2:$AN$1601,0))</f>
        <v/>
      </c>
      <c r="AC6" s="7">
        <f>IF($AH6="","",AB6*AA6)</f>
        <v/>
      </c>
      <c r="AD6" s="7">
        <f>IF($AH6="","",AC6+Z6+W6)</f>
        <v/>
      </c>
      <c r="AE6" s="7">
        <f>IF($AH6="","",AF6-AD6)</f>
        <v/>
      </c>
      <c r="AF6" s="7">
        <f>IF($AH6="","",Y6+AB6+V6)</f>
        <v/>
      </c>
      <c r="AG6" s="7">
        <f>IF($AH6="","",AF6-AD6-N6)</f>
        <v/>
      </c>
      <c r="AH6" s="13">
        <f>IF(ROWS($AH$2:$AH6)&lt;=MAX('Per Line'!$AL$2:$AL$1601),MATCH(ROWS($AH$2:$AH6),'Per Line'!$AL$2:$AL$1601,0),"")</f>
        <v/>
      </c>
    </row>
    <row r="7">
      <c r="A7" s="12" t="n"/>
      <c r="B7">
        <f>IF($AH7="","",INDEX('Per Line'!$D$2:$D$1601,$AH7)&amp;"")</f>
        <v/>
      </c>
      <c r="C7">
        <f>IF($AH7="","",INDEX('Per Line'!$A$2:$A$1601,$AH7)&amp;"")</f>
        <v/>
      </c>
      <c r="D7">
        <f>IF($AH7="","",INDEX('Per Line'!$B$2:$B$1601,$AH7))</f>
        <v/>
      </c>
      <c r="E7">
        <f>IF($AH7="","",INDEX('Per Line'!$C$2:$C$1601,$AH7)&amp;"")</f>
        <v/>
      </c>
      <c r="F7">
        <f>IF($AH7="","",INDEX('Per Line'!$E$2:$E$1601,$AH7)&amp;"")</f>
        <v/>
      </c>
      <c r="G7" s="11">
        <f>IF($AH7="","",INDEX('Per Line'!$F$2:$F$1601,$AH7))</f>
        <v/>
      </c>
      <c r="H7">
        <f>IF($AH7="","",INDEX('Per Line'!$G$2:$G$1601,$AH7)&amp;"")</f>
        <v/>
      </c>
      <c r="I7">
        <f>IF($AH7="","",INDEX('Per Line'!$I$2:$I$1601,$AH7)&amp;"")</f>
        <v/>
      </c>
      <c r="J7">
        <f>IF($AH7="","",INDEX('Per Line'!$J$2:$J$1601,$AH7)&amp;"")</f>
        <v/>
      </c>
      <c r="K7">
        <f>IF($AH7="","",INDEX('Per Line'!$K$2:$K$1601,$AH7)&amp;"")</f>
        <v/>
      </c>
      <c r="L7">
        <f>IF($AH7="","",INDEX('Per Line'!$L$2:$L$1601,$AH7)&amp;"")</f>
        <v/>
      </c>
      <c r="M7">
        <f>IF($AH7="","",INDEX('Per Line'!$M$2:$M$1601,$AH7))</f>
        <v/>
      </c>
      <c r="N7" s="7">
        <f>IF($AH7="","",M7*AE7/100)</f>
        <v/>
      </c>
      <c r="O7">
        <f>IF($AH7="","",INDEX('Per Line'!$Z$2:$Z$1601,$AH7)&amp;"")</f>
        <v/>
      </c>
      <c r="P7">
        <f>IF($AH7="","",INDEX('Per Line'!$AC$2:$AC$1601,$AH7)&amp;"")</f>
        <v/>
      </c>
      <c r="Q7">
        <f>IF($AH7="","",INDEX('Per Line'!$AD$2:$AD$1601,$AH7))</f>
        <v/>
      </c>
      <c r="R7">
        <f>IF($AH7="","",IF(AND(ISNUMBER(Q7),Q7&gt;0),AF7&gt;Q7,FALSE))</f>
        <v/>
      </c>
      <c r="S7">
        <f>IF($AH7="","",INDEX('Per Line'!$AH$2:$AH$1601,$AH7)&amp;"")</f>
        <v/>
      </c>
      <c r="T7" s="11">
        <f>IF($AH7="","",INDEX('Per Line'!$AI$2:$AI$1601,$AH7))</f>
        <v/>
      </c>
      <c r="U7">
        <f>IF($AH7="","",Settings!$C$8)</f>
        <v/>
      </c>
      <c r="V7" s="7">
        <f>IF($AH7="","",SUMIFS('Per Line'!$V$2:$V$1601,'Per Line'!$D$2:$D$1601,$B7,'Per Line'!$AN$2:$AN$1601,1))</f>
        <v/>
      </c>
      <c r="W7" s="7">
        <f>IF($AH7="","",V7*U7)</f>
        <v/>
      </c>
      <c r="X7">
        <f>IF($AH7="","",Settings!$C$7)</f>
        <v/>
      </c>
      <c r="Y7" s="7">
        <f>IF($AH7="","",SUMIFS('Per Line'!$V$2:$V$1601,'Per Line'!$D$2:$D$1601,$B7,'Per Line'!$AM$2:$AM$1601,0,'Per Line'!$AN$2:$AN$1601,0))</f>
        <v/>
      </c>
      <c r="Z7" s="7">
        <f>IF($AH7="","",Y7*X7)</f>
        <v/>
      </c>
      <c r="AA7">
        <f>IF($AH7="","",Settings!$C$6)</f>
        <v/>
      </c>
      <c r="AB7" s="7">
        <f>IF($AH7="","",SUMIFS('Per Line'!$V$2:$V$1601,'Per Line'!$D$2:$D$1601,$B7,'Per Line'!$AM$2:$AM$1601,1,'Per Line'!$AN$2:$AN$1601,0))</f>
        <v/>
      </c>
      <c r="AC7" s="7">
        <f>IF($AH7="","",AB7*AA7)</f>
        <v/>
      </c>
      <c r="AD7" s="7">
        <f>IF($AH7="","",AC7+Z7+W7)</f>
        <v/>
      </c>
      <c r="AE7" s="7">
        <f>IF($AH7="","",AF7-AD7)</f>
        <v/>
      </c>
      <c r="AF7" s="7">
        <f>IF($AH7="","",Y7+AB7+V7)</f>
        <v/>
      </c>
      <c r="AG7" s="7">
        <f>IF($AH7="","",AF7-AD7-N7)</f>
        <v/>
      </c>
      <c r="AH7" s="13">
        <f>IF(ROWS($AH$2:$AH7)&lt;=MAX('Per Line'!$AL$2:$AL$1601),MATCH(ROWS($AH$2:$AH7),'Per Line'!$AL$2:$AL$1601,0),"")</f>
        <v/>
      </c>
    </row>
    <row r="8">
      <c r="A8" s="12" t="n"/>
      <c r="B8">
        <f>IF($AH8="","",INDEX('Per Line'!$D$2:$D$1601,$AH8)&amp;"")</f>
        <v/>
      </c>
      <c r="C8">
        <f>IF($AH8="","",INDEX('Per Line'!$A$2:$A$1601,$AH8)&amp;"")</f>
        <v/>
      </c>
      <c r="D8">
        <f>IF($AH8="","",INDEX('Per Line'!$B$2:$B$1601,$AH8))</f>
        <v/>
      </c>
      <c r="E8">
        <f>IF($AH8="","",INDEX('Per Line'!$C$2:$C$1601,$AH8)&amp;"")</f>
        <v/>
      </c>
      <c r="F8">
        <f>IF($AH8="","",INDEX('Per Line'!$E$2:$E$1601,$AH8)&amp;"")</f>
        <v/>
      </c>
      <c r="G8" s="11">
        <f>IF($AH8="","",INDEX('Per Line'!$F$2:$F$1601,$AH8))</f>
        <v/>
      </c>
      <c r="H8">
        <f>IF($AH8="","",INDEX('Per Line'!$G$2:$G$1601,$AH8)&amp;"")</f>
        <v/>
      </c>
      <c r="I8">
        <f>IF($AH8="","",INDEX('Per Line'!$I$2:$I$1601,$AH8)&amp;"")</f>
        <v/>
      </c>
      <c r="J8">
        <f>IF($AH8="","",INDEX('Per Line'!$J$2:$J$1601,$AH8)&amp;"")</f>
        <v/>
      </c>
      <c r="K8">
        <f>IF($AH8="","",INDEX('Per Line'!$K$2:$K$1601,$AH8)&amp;"")</f>
        <v/>
      </c>
      <c r="L8">
        <f>IF($AH8="","",INDEX('Per Line'!$L$2:$L$1601,$AH8)&amp;"")</f>
        <v/>
      </c>
      <c r="M8">
        <f>IF($AH8="","",INDEX('Per Line'!$M$2:$M$1601,$AH8))</f>
        <v/>
      </c>
      <c r="N8" s="7">
        <f>IF($AH8="","",M8*AE8/100)</f>
        <v/>
      </c>
      <c r="O8">
        <f>IF($AH8="","",INDEX('Per Line'!$Z$2:$Z$1601,$AH8)&amp;"")</f>
        <v/>
      </c>
      <c r="P8">
        <f>IF($AH8="","",INDEX('Per Line'!$AC$2:$AC$1601,$AH8)&amp;"")</f>
        <v/>
      </c>
      <c r="Q8">
        <f>IF($AH8="","",INDEX('Per Line'!$AD$2:$AD$1601,$AH8))</f>
        <v/>
      </c>
      <c r="R8">
        <f>IF($AH8="","",IF(AND(ISNUMBER(Q8),Q8&gt;0),AF8&gt;Q8,FALSE))</f>
        <v/>
      </c>
      <c r="S8">
        <f>IF($AH8="","",INDEX('Per Line'!$AH$2:$AH$1601,$AH8)&amp;"")</f>
        <v/>
      </c>
      <c r="T8" s="11">
        <f>IF($AH8="","",INDEX('Per Line'!$AI$2:$AI$1601,$AH8))</f>
        <v/>
      </c>
      <c r="U8">
        <f>IF($AH8="","",Settings!$C$8)</f>
        <v/>
      </c>
      <c r="V8" s="7">
        <f>IF($AH8="","",SUMIFS('Per Line'!$V$2:$V$1601,'Per Line'!$D$2:$D$1601,$B8,'Per Line'!$AN$2:$AN$1601,1))</f>
        <v/>
      </c>
      <c r="W8" s="7">
        <f>IF($AH8="","",V8*U8)</f>
        <v/>
      </c>
      <c r="X8">
        <f>IF($AH8="","",Settings!$C$7)</f>
        <v/>
      </c>
      <c r="Y8" s="7">
        <f>IF($AH8="","",SUMIFS('Per Line'!$V$2:$V$1601,'Per Line'!$D$2:$D$1601,$B8,'Per Line'!$AM$2:$AM$1601,0,'Per Line'!$AN$2:$AN$1601,0))</f>
        <v/>
      </c>
      <c r="Z8" s="7">
        <f>IF($AH8="","",Y8*X8)</f>
        <v/>
      </c>
      <c r="AA8">
        <f>IF($AH8="","",Settings!$C$6)</f>
        <v/>
      </c>
      <c r="AB8" s="7">
        <f>IF($AH8="","",SUMIFS('Per Line'!$V$2:$V$1601,'Per Line'!$D$2:$D$1601,$B8,'Per Line'!$AM$2:$AM$1601,1,'Per Line'!$AN$2:$AN$1601,0))</f>
        <v/>
      </c>
      <c r="AC8" s="7">
        <f>IF($AH8="","",AB8*AA8)</f>
        <v/>
      </c>
      <c r="AD8" s="7">
        <f>IF($AH8="","",AC8+Z8+W8)</f>
        <v/>
      </c>
      <c r="AE8" s="7">
        <f>IF($AH8="","",AF8-AD8)</f>
        <v/>
      </c>
      <c r="AF8" s="7">
        <f>IF($AH8="","",Y8+AB8+V8)</f>
        <v/>
      </c>
      <c r="AG8" s="7">
        <f>IF($AH8="","",AF8-AD8-N8)</f>
        <v/>
      </c>
      <c r="AH8" s="13">
        <f>IF(ROWS($AH$2:$AH8)&lt;=MAX('Per Line'!$AL$2:$AL$1601),MATCH(ROWS($AH$2:$AH8),'Per Line'!$AL$2:$AL$1601,0),"")</f>
        <v/>
      </c>
    </row>
    <row r="9">
      <c r="A9" s="12" t="n"/>
      <c r="B9">
        <f>IF($AH9="","",INDEX('Per Line'!$D$2:$D$1601,$AH9)&amp;"")</f>
        <v/>
      </c>
      <c r="C9">
        <f>IF($AH9="","",INDEX('Per Line'!$A$2:$A$1601,$AH9)&amp;"")</f>
        <v/>
      </c>
      <c r="D9">
        <f>IF($AH9="","",INDEX('Per Line'!$B$2:$B$1601,$AH9))</f>
        <v/>
      </c>
      <c r="E9">
        <f>IF($AH9="","",INDEX('Per Line'!$C$2:$C$1601,$AH9)&amp;"")</f>
        <v/>
      </c>
      <c r="F9">
        <f>IF($AH9="","",INDEX('Per Line'!$E$2:$E$1601,$AH9)&amp;"")</f>
        <v/>
      </c>
      <c r="G9" s="11">
        <f>IF($AH9="","",INDEX('Per Line'!$F$2:$F$1601,$AH9))</f>
        <v/>
      </c>
      <c r="H9">
        <f>IF($AH9="","",INDEX('Per Line'!$G$2:$G$1601,$AH9)&amp;"")</f>
        <v/>
      </c>
      <c r="I9">
        <f>IF($AH9="","",INDEX('Per Line'!$I$2:$I$1601,$AH9)&amp;"")</f>
        <v/>
      </c>
      <c r="J9">
        <f>IF($AH9="","",INDEX('Per Line'!$J$2:$J$1601,$AH9)&amp;"")</f>
        <v/>
      </c>
      <c r="K9">
        <f>IF($AH9="","",INDEX('Per Line'!$K$2:$K$1601,$AH9)&amp;"")</f>
        <v/>
      </c>
      <c r="L9">
        <f>IF($AH9="","",INDEX('Per Line'!$L$2:$L$1601,$AH9)&amp;"")</f>
        <v/>
      </c>
      <c r="M9">
        <f>IF($AH9="","",INDEX('Per Line'!$M$2:$M$1601,$AH9))</f>
        <v/>
      </c>
      <c r="N9" s="7">
        <f>IF($AH9="","",M9*AE9/100)</f>
        <v/>
      </c>
      <c r="O9">
        <f>IF($AH9="","",INDEX('Per Line'!$Z$2:$Z$1601,$AH9)&amp;"")</f>
        <v/>
      </c>
      <c r="P9">
        <f>IF($AH9="","",INDEX('Per Line'!$AC$2:$AC$1601,$AH9)&amp;"")</f>
        <v/>
      </c>
      <c r="Q9">
        <f>IF($AH9="","",INDEX('Per Line'!$AD$2:$AD$1601,$AH9))</f>
        <v/>
      </c>
      <c r="R9">
        <f>IF($AH9="","",IF(AND(ISNUMBER(Q9),Q9&gt;0),AF9&gt;Q9,FALSE))</f>
        <v/>
      </c>
      <c r="S9">
        <f>IF($AH9="","",INDEX('Per Line'!$AH$2:$AH$1601,$AH9)&amp;"")</f>
        <v/>
      </c>
      <c r="T9" s="11">
        <f>IF($AH9="","",INDEX('Per Line'!$AI$2:$AI$1601,$AH9))</f>
        <v/>
      </c>
      <c r="U9">
        <f>IF($AH9="","",Settings!$C$8)</f>
        <v/>
      </c>
      <c r="V9" s="7">
        <f>IF($AH9="","",SUMIFS('Per Line'!$V$2:$V$1601,'Per Line'!$D$2:$D$1601,$B9,'Per Line'!$AN$2:$AN$1601,1))</f>
        <v/>
      </c>
      <c r="W9" s="7">
        <f>IF($AH9="","",V9*U9)</f>
        <v/>
      </c>
      <c r="X9">
        <f>IF($AH9="","",Settings!$C$7)</f>
        <v/>
      </c>
      <c r="Y9" s="7">
        <f>IF($AH9="","",SUMIFS('Per Line'!$V$2:$V$1601,'Per Line'!$D$2:$D$1601,$B9,'Per Line'!$AM$2:$AM$1601,0,'Per Line'!$AN$2:$AN$1601,0))</f>
        <v/>
      </c>
      <c r="Z9" s="7">
        <f>IF($AH9="","",Y9*X9)</f>
        <v/>
      </c>
      <c r="AA9">
        <f>IF($AH9="","",Settings!$C$6)</f>
        <v/>
      </c>
      <c r="AB9" s="7">
        <f>IF($AH9="","",SUMIFS('Per Line'!$V$2:$V$1601,'Per Line'!$D$2:$D$1601,$B9,'Per Line'!$AM$2:$AM$1601,1,'Per Line'!$AN$2:$AN$1601,0))</f>
        <v/>
      </c>
      <c r="AC9" s="7">
        <f>IF($AH9="","",AB9*AA9)</f>
        <v/>
      </c>
      <c r="AD9" s="7">
        <f>IF($AH9="","",AC9+Z9+W9)</f>
        <v/>
      </c>
      <c r="AE9" s="7">
        <f>IF($AH9="","",AF9-AD9)</f>
        <v/>
      </c>
      <c r="AF9" s="7">
        <f>IF($AH9="","",Y9+AB9+V9)</f>
        <v/>
      </c>
      <c r="AG9" s="7">
        <f>IF($AH9="","",AF9-AD9-N9)</f>
        <v/>
      </c>
      <c r="AH9" s="13">
        <f>IF(ROWS($AH$2:$AH9)&lt;=MAX('Per Line'!$AL$2:$AL$1601),MATCH(ROWS($AH$2:$AH9),'Per Line'!$AL$2:$AL$1601,0),"")</f>
        <v/>
      </c>
    </row>
    <row r="10">
      <c r="A10" s="12" t="n"/>
      <c r="B10">
        <f>IF($AH10="","",INDEX('Per Line'!$D$2:$D$1601,$AH10)&amp;"")</f>
        <v/>
      </c>
      <c r="C10">
        <f>IF($AH10="","",INDEX('Per Line'!$A$2:$A$1601,$AH10)&amp;"")</f>
        <v/>
      </c>
      <c r="D10">
        <f>IF($AH10="","",INDEX('Per Line'!$B$2:$B$1601,$AH10))</f>
        <v/>
      </c>
      <c r="E10">
        <f>IF($AH10="","",INDEX('Per Line'!$C$2:$C$1601,$AH10)&amp;"")</f>
        <v/>
      </c>
      <c r="F10">
        <f>IF($AH10="","",INDEX('Per Line'!$E$2:$E$1601,$AH10)&amp;"")</f>
        <v/>
      </c>
      <c r="G10" s="11">
        <f>IF($AH10="","",INDEX('Per Line'!$F$2:$F$1601,$AH10))</f>
        <v/>
      </c>
      <c r="H10">
        <f>IF($AH10="","",INDEX('Per Line'!$G$2:$G$1601,$AH10)&amp;"")</f>
        <v/>
      </c>
      <c r="I10">
        <f>IF($AH10="","",INDEX('Per Line'!$I$2:$I$1601,$AH10)&amp;"")</f>
        <v/>
      </c>
      <c r="J10">
        <f>IF($AH10="","",INDEX('Per Line'!$J$2:$J$1601,$AH10)&amp;"")</f>
        <v/>
      </c>
      <c r="K10">
        <f>IF($AH10="","",INDEX('Per Line'!$K$2:$K$1601,$AH10)&amp;"")</f>
        <v/>
      </c>
      <c r="L10">
        <f>IF($AH10="","",INDEX('Per Line'!$L$2:$L$1601,$AH10)&amp;"")</f>
        <v/>
      </c>
      <c r="M10">
        <f>IF($AH10="","",INDEX('Per Line'!$M$2:$M$1601,$AH10))</f>
        <v/>
      </c>
      <c r="N10" s="7">
        <f>IF($AH10="","",M10*AE10/100)</f>
        <v/>
      </c>
      <c r="O10">
        <f>IF($AH10="","",INDEX('Per Line'!$Z$2:$Z$1601,$AH10)&amp;"")</f>
        <v/>
      </c>
      <c r="P10">
        <f>IF($AH10="","",INDEX('Per Line'!$AC$2:$AC$1601,$AH10)&amp;"")</f>
        <v/>
      </c>
      <c r="Q10">
        <f>IF($AH10="","",INDEX('Per Line'!$AD$2:$AD$1601,$AH10))</f>
        <v/>
      </c>
      <c r="R10">
        <f>IF($AH10="","",IF(AND(ISNUMBER(Q10),Q10&gt;0),AF10&gt;Q10,FALSE))</f>
        <v/>
      </c>
      <c r="S10">
        <f>IF($AH10="","",INDEX('Per Line'!$AH$2:$AH$1601,$AH10)&amp;"")</f>
        <v/>
      </c>
      <c r="T10" s="11">
        <f>IF($AH10="","",INDEX('Per Line'!$AI$2:$AI$1601,$AH10))</f>
        <v/>
      </c>
      <c r="U10">
        <f>IF($AH10="","",Settings!$C$8)</f>
        <v/>
      </c>
      <c r="V10" s="7">
        <f>IF($AH10="","",SUMIFS('Per Line'!$V$2:$V$1601,'Per Line'!$D$2:$D$1601,$B10,'Per Line'!$AN$2:$AN$1601,1))</f>
        <v/>
      </c>
      <c r="W10" s="7">
        <f>IF($AH10="","",V10*U10)</f>
        <v/>
      </c>
      <c r="X10">
        <f>IF($AH10="","",Settings!$C$7)</f>
        <v/>
      </c>
      <c r="Y10" s="7">
        <f>IF($AH10="","",SUMIFS('Per Line'!$V$2:$V$1601,'Per Line'!$D$2:$D$1601,$B10,'Per Line'!$AM$2:$AM$1601,0,'Per Line'!$AN$2:$AN$1601,0))</f>
        <v/>
      </c>
      <c r="Z10" s="7">
        <f>IF($AH10="","",Y10*X10)</f>
        <v/>
      </c>
      <c r="AA10">
        <f>IF($AH10="","",Settings!$C$6)</f>
        <v/>
      </c>
      <c r="AB10" s="7">
        <f>IF($AH10="","",SUMIFS('Per Line'!$V$2:$V$1601,'Per Line'!$D$2:$D$1601,$B10,'Per Line'!$AM$2:$AM$1601,1,'Per Line'!$AN$2:$AN$1601,0))</f>
        <v/>
      </c>
      <c r="AC10" s="7">
        <f>IF($AH10="","",AB10*AA10)</f>
        <v/>
      </c>
      <c r="AD10" s="7">
        <f>IF($AH10="","",AC10+Z10+W10)</f>
        <v/>
      </c>
      <c r="AE10" s="7">
        <f>IF($AH10="","",AF10-AD10)</f>
        <v/>
      </c>
      <c r="AF10" s="7">
        <f>IF($AH10="","",Y10+AB10+V10)</f>
        <v/>
      </c>
      <c r="AG10" s="7">
        <f>IF($AH10="","",AF10-AD10-N10)</f>
        <v/>
      </c>
      <c r="AH10" s="13">
        <f>IF(ROWS($AH$2:$AH10)&lt;=MAX('Per Line'!$AL$2:$AL$1601),MATCH(ROWS($AH$2:$AH10),'Per Line'!$AL$2:$AL$1601,0),"")</f>
        <v/>
      </c>
    </row>
    <row r="11">
      <c r="A11" s="12" t="n"/>
      <c r="B11">
        <f>IF($AH11="","",INDEX('Per Line'!$D$2:$D$1601,$AH11)&amp;"")</f>
        <v/>
      </c>
      <c r="C11">
        <f>IF($AH11="","",INDEX('Per Line'!$A$2:$A$1601,$AH11)&amp;"")</f>
        <v/>
      </c>
      <c r="D11">
        <f>IF($AH11="","",INDEX('Per Line'!$B$2:$B$1601,$AH11))</f>
        <v/>
      </c>
      <c r="E11">
        <f>IF($AH11="","",INDEX('Per Line'!$C$2:$C$1601,$AH11)&amp;"")</f>
        <v/>
      </c>
      <c r="F11">
        <f>IF($AH11="","",INDEX('Per Line'!$E$2:$E$1601,$AH11)&amp;"")</f>
        <v/>
      </c>
      <c r="G11" s="11">
        <f>IF($AH11="","",INDEX('Per Line'!$F$2:$F$1601,$AH11))</f>
        <v/>
      </c>
      <c r="H11">
        <f>IF($AH11="","",INDEX('Per Line'!$G$2:$G$1601,$AH11)&amp;"")</f>
        <v/>
      </c>
      <c r="I11">
        <f>IF($AH11="","",INDEX('Per Line'!$I$2:$I$1601,$AH11)&amp;"")</f>
        <v/>
      </c>
      <c r="J11">
        <f>IF($AH11="","",INDEX('Per Line'!$J$2:$J$1601,$AH11)&amp;"")</f>
        <v/>
      </c>
      <c r="K11">
        <f>IF($AH11="","",INDEX('Per Line'!$K$2:$K$1601,$AH11)&amp;"")</f>
        <v/>
      </c>
      <c r="L11">
        <f>IF($AH11="","",INDEX('Per Line'!$L$2:$L$1601,$AH11)&amp;"")</f>
        <v/>
      </c>
      <c r="M11">
        <f>IF($AH11="","",INDEX('Per Line'!$M$2:$M$1601,$AH11))</f>
        <v/>
      </c>
      <c r="N11" s="7">
        <f>IF($AH11="","",M11*AE11/100)</f>
        <v/>
      </c>
      <c r="O11">
        <f>IF($AH11="","",INDEX('Per Line'!$Z$2:$Z$1601,$AH11)&amp;"")</f>
        <v/>
      </c>
      <c r="P11">
        <f>IF($AH11="","",INDEX('Per Line'!$AC$2:$AC$1601,$AH11)&amp;"")</f>
        <v/>
      </c>
      <c r="Q11">
        <f>IF($AH11="","",INDEX('Per Line'!$AD$2:$AD$1601,$AH11))</f>
        <v/>
      </c>
      <c r="R11">
        <f>IF($AH11="","",IF(AND(ISNUMBER(Q11),Q11&gt;0),AF11&gt;Q11,FALSE))</f>
        <v/>
      </c>
      <c r="S11">
        <f>IF($AH11="","",INDEX('Per Line'!$AH$2:$AH$1601,$AH11)&amp;"")</f>
        <v/>
      </c>
      <c r="T11" s="11">
        <f>IF($AH11="","",INDEX('Per Line'!$AI$2:$AI$1601,$AH11))</f>
        <v/>
      </c>
      <c r="U11">
        <f>IF($AH11="","",Settings!$C$8)</f>
        <v/>
      </c>
      <c r="V11" s="7">
        <f>IF($AH11="","",SUMIFS('Per Line'!$V$2:$V$1601,'Per Line'!$D$2:$D$1601,$B11,'Per Line'!$AN$2:$AN$1601,1))</f>
        <v/>
      </c>
      <c r="W11" s="7">
        <f>IF($AH11="","",V11*U11)</f>
        <v/>
      </c>
      <c r="X11">
        <f>IF($AH11="","",Settings!$C$7)</f>
        <v/>
      </c>
      <c r="Y11" s="7">
        <f>IF($AH11="","",SUMIFS('Per Line'!$V$2:$V$1601,'Per Line'!$D$2:$D$1601,$B11,'Per Line'!$AM$2:$AM$1601,0,'Per Line'!$AN$2:$AN$1601,0))</f>
        <v/>
      </c>
      <c r="Z11" s="7">
        <f>IF($AH11="","",Y11*X11)</f>
        <v/>
      </c>
      <c r="AA11">
        <f>IF($AH11="","",Settings!$C$6)</f>
        <v/>
      </c>
      <c r="AB11" s="7">
        <f>IF($AH11="","",SUMIFS('Per Line'!$V$2:$V$1601,'Per Line'!$D$2:$D$1601,$B11,'Per Line'!$AM$2:$AM$1601,1,'Per Line'!$AN$2:$AN$1601,0))</f>
        <v/>
      </c>
      <c r="AC11" s="7">
        <f>IF($AH11="","",AB11*AA11)</f>
        <v/>
      </c>
      <c r="AD11" s="7">
        <f>IF($AH11="","",AC11+Z11+W11)</f>
        <v/>
      </c>
      <c r="AE11" s="7">
        <f>IF($AH11="","",AF11-AD11)</f>
        <v/>
      </c>
      <c r="AF11" s="7">
        <f>IF($AH11="","",Y11+AB11+V11)</f>
        <v/>
      </c>
      <c r="AG11" s="7">
        <f>IF($AH11="","",AF11-AD11-N11)</f>
        <v/>
      </c>
      <c r="AH11" s="13">
        <f>IF(ROWS($AH$2:$AH11)&lt;=MAX('Per Line'!$AL$2:$AL$1601),MATCH(ROWS($AH$2:$AH11),'Per Line'!$AL$2:$AL$1601,0),"")</f>
        <v/>
      </c>
    </row>
    <row r="12">
      <c r="A12" s="12" t="n"/>
      <c r="B12">
        <f>IF($AH12="","",INDEX('Per Line'!$D$2:$D$1601,$AH12)&amp;"")</f>
        <v/>
      </c>
      <c r="C12">
        <f>IF($AH12="","",INDEX('Per Line'!$A$2:$A$1601,$AH12)&amp;"")</f>
        <v/>
      </c>
      <c r="D12">
        <f>IF($AH12="","",INDEX('Per Line'!$B$2:$B$1601,$AH12))</f>
        <v/>
      </c>
      <c r="E12">
        <f>IF($AH12="","",INDEX('Per Line'!$C$2:$C$1601,$AH12)&amp;"")</f>
        <v/>
      </c>
      <c r="F12">
        <f>IF($AH12="","",INDEX('Per Line'!$E$2:$E$1601,$AH12)&amp;"")</f>
        <v/>
      </c>
      <c r="G12" s="11">
        <f>IF($AH12="","",INDEX('Per Line'!$F$2:$F$1601,$AH12))</f>
        <v/>
      </c>
      <c r="H12">
        <f>IF($AH12="","",INDEX('Per Line'!$G$2:$G$1601,$AH12)&amp;"")</f>
        <v/>
      </c>
      <c r="I12">
        <f>IF($AH12="","",INDEX('Per Line'!$I$2:$I$1601,$AH12)&amp;"")</f>
        <v/>
      </c>
      <c r="J12">
        <f>IF($AH12="","",INDEX('Per Line'!$J$2:$J$1601,$AH12)&amp;"")</f>
        <v/>
      </c>
      <c r="K12">
        <f>IF($AH12="","",INDEX('Per Line'!$K$2:$K$1601,$AH12)&amp;"")</f>
        <v/>
      </c>
      <c r="L12">
        <f>IF($AH12="","",INDEX('Per Line'!$L$2:$L$1601,$AH12)&amp;"")</f>
        <v/>
      </c>
      <c r="M12">
        <f>IF($AH12="","",INDEX('Per Line'!$M$2:$M$1601,$AH12))</f>
        <v/>
      </c>
      <c r="N12" s="7">
        <f>IF($AH12="","",M12*AE12/100)</f>
        <v/>
      </c>
      <c r="O12">
        <f>IF($AH12="","",INDEX('Per Line'!$Z$2:$Z$1601,$AH12)&amp;"")</f>
        <v/>
      </c>
      <c r="P12">
        <f>IF($AH12="","",INDEX('Per Line'!$AC$2:$AC$1601,$AH12)&amp;"")</f>
        <v/>
      </c>
      <c r="Q12">
        <f>IF($AH12="","",INDEX('Per Line'!$AD$2:$AD$1601,$AH12))</f>
        <v/>
      </c>
      <c r="R12">
        <f>IF($AH12="","",IF(AND(ISNUMBER(Q12),Q12&gt;0),AF12&gt;Q12,FALSE))</f>
        <v/>
      </c>
      <c r="S12">
        <f>IF($AH12="","",INDEX('Per Line'!$AH$2:$AH$1601,$AH12)&amp;"")</f>
        <v/>
      </c>
      <c r="T12" s="11">
        <f>IF($AH12="","",INDEX('Per Line'!$AI$2:$AI$1601,$AH12))</f>
        <v/>
      </c>
      <c r="U12">
        <f>IF($AH12="","",Settings!$C$8)</f>
        <v/>
      </c>
      <c r="V12" s="7">
        <f>IF($AH12="","",SUMIFS('Per Line'!$V$2:$V$1601,'Per Line'!$D$2:$D$1601,$B12,'Per Line'!$AN$2:$AN$1601,1))</f>
        <v/>
      </c>
      <c r="W12" s="7">
        <f>IF($AH12="","",V12*U12)</f>
        <v/>
      </c>
      <c r="X12">
        <f>IF($AH12="","",Settings!$C$7)</f>
        <v/>
      </c>
      <c r="Y12" s="7">
        <f>IF($AH12="","",SUMIFS('Per Line'!$V$2:$V$1601,'Per Line'!$D$2:$D$1601,$B12,'Per Line'!$AM$2:$AM$1601,0,'Per Line'!$AN$2:$AN$1601,0))</f>
        <v/>
      </c>
      <c r="Z12" s="7">
        <f>IF($AH12="","",Y12*X12)</f>
        <v/>
      </c>
      <c r="AA12">
        <f>IF($AH12="","",Settings!$C$6)</f>
        <v/>
      </c>
      <c r="AB12" s="7">
        <f>IF($AH12="","",SUMIFS('Per Line'!$V$2:$V$1601,'Per Line'!$D$2:$D$1601,$B12,'Per Line'!$AM$2:$AM$1601,1,'Per Line'!$AN$2:$AN$1601,0))</f>
        <v/>
      </c>
      <c r="AC12" s="7">
        <f>IF($AH12="","",AB12*AA12)</f>
        <v/>
      </c>
      <c r="AD12" s="7">
        <f>IF($AH12="","",AC12+Z12+W12)</f>
        <v/>
      </c>
      <c r="AE12" s="7">
        <f>IF($AH12="","",AF12-AD12)</f>
        <v/>
      </c>
      <c r="AF12" s="7">
        <f>IF($AH12="","",Y12+AB12+V12)</f>
        <v/>
      </c>
      <c r="AG12" s="7">
        <f>IF($AH12="","",AF12-AD12-N12)</f>
        <v/>
      </c>
      <c r="AH12" s="13">
        <f>IF(ROWS($AH$2:$AH12)&lt;=MAX('Per Line'!$AL$2:$AL$1601),MATCH(ROWS($AH$2:$AH12),'Per Line'!$AL$2:$AL$1601,0),"")</f>
        <v/>
      </c>
    </row>
    <row r="13">
      <c r="A13" s="12" t="n"/>
      <c r="B13">
        <f>IF($AH13="","",INDEX('Per Line'!$D$2:$D$1601,$AH13)&amp;"")</f>
        <v/>
      </c>
      <c r="C13">
        <f>IF($AH13="","",INDEX('Per Line'!$A$2:$A$1601,$AH13)&amp;"")</f>
        <v/>
      </c>
      <c r="D13">
        <f>IF($AH13="","",INDEX('Per Line'!$B$2:$B$1601,$AH13))</f>
        <v/>
      </c>
      <c r="E13">
        <f>IF($AH13="","",INDEX('Per Line'!$C$2:$C$1601,$AH13)&amp;"")</f>
        <v/>
      </c>
      <c r="F13">
        <f>IF($AH13="","",INDEX('Per Line'!$E$2:$E$1601,$AH13)&amp;"")</f>
        <v/>
      </c>
      <c r="G13" s="11">
        <f>IF($AH13="","",INDEX('Per Line'!$F$2:$F$1601,$AH13))</f>
        <v/>
      </c>
      <c r="H13">
        <f>IF($AH13="","",INDEX('Per Line'!$G$2:$G$1601,$AH13)&amp;"")</f>
        <v/>
      </c>
      <c r="I13">
        <f>IF($AH13="","",INDEX('Per Line'!$I$2:$I$1601,$AH13)&amp;"")</f>
        <v/>
      </c>
      <c r="J13">
        <f>IF($AH13="","",INDEX('Per Line'!$J$2:$J$1601,$AH13)&amp;"")</f>
        <v/>
      </c>
      <c r="K13">
        <f>IF($AH13="","",INDEX('Per Line'!$K$2:$K$1601,$AH13)&amp;"")</f>
        <v/>
      </c>
      <c r="L13">
        <f>IF($AH13="","",INDEX('Per Line'!$L$2:$L$1601,$AH13)&amp;"")</f>
        <v/>
      </c>
      <c r="M13">
        <f>IF($AH13="","",INDEX('Per Line'!$M$2:$M$1601,$AH13))</f>
        <v/>
      </c>
      <c r="N13" s="7">
        <f>IF($AH13="","",M13*AE13/100)</f>
        <v/>
      </c>
      <c r="O13">
        <f>IF($AH13="","",INDEX('Per Line'!$Z$2:$Z$1601,$AH13)&amp;"")</f>
        <v/>
      </c>
      <c r="P13">
        <f>IF($AH13="","",INDEX('Per Line'!$AC$2:$AC$1601,$AH13)&amp;"")</f>
        <v/>
      </c>
      <c r="Q13">
        <f>IF($AH13="","",INDEX('Per Line'!$AD$2:$AD$1601,$AH13))</f>
        <v/>
      </c>
      <c r="R13">
        <f>IF($AH13="","",IF(AND(ISNUMBER(Q13),Q13&gt;0),AF13&gt;Q13,FALSE))</f>
        <v/>
      </c>
      <c r="S13">
        <f>IF($AH13="","",INDEX('Per Line'!$AH$2:$AH$1601,$AH13)&amp;"")</f>
        <v/>
      </c>
      <c r="T13" s="11">
        <f>IF($AH13="","",INDEX('Per Line'!$AI$2:$AI$1601,$AH13))</f>
        <v/>
      </c>
      <c r="U13">
        <f>IF($AH13="","",Settings!$C$8)</f>
        <v/>
      </c>
      <c r="V13" s="7">
        <f>IF($AH13="","",SUMIFS('Per Line'!$V$2:$V$1601,'Per Line'!$D$2:$D$1601,$B13,'Per Line'!$AN$2:$AN$1601,1))</f>
        <v/>
      </c>
      <c r="W13" s="7">
        <f>IF($AH13="","",V13*U13)</f>
        <v/>
      </c>
      <c r="X13">
        <f>IF($AH13="","",Settings!$C$7)</f>
        <v/>
      </c>
      <c r="Y13" s="7">
        <f>IF($AH13="","",SUMIFS('Per Line'!$V$2:$V$1601,'Per Line'!$D$2:$D$1601,$B13,'Per Line'!$AM$2:$AM$1601,0,'Per Line'!$AN$2:$AN$1601,0))</f>
        <v/>
      </c>
      <c r="Z13" s="7">
        <f>IF($AH13="","",Y13*X13)</f>
        <v/>
      </c>
      <c r="AA13">
        <f>IF($AH13="","",Settings!$C$6)</f>
        <v/>
      </c>
      <c r="AB13" s="7">
        <f>IF($AH13="","",SUMIFS('Per Line'!$V$2:$V$1601,'Per Line'!$D$2:$D$1601,$B13,'Per Line'!$AM$2:$AM$1601,1,'Per Line'!$AN$2:$AN$1601,0))</f>
        <v/>
      </c>
      <c r="AC13" s="7">
        <f>IF($AH13="","",AB13*AA13)</f>
        <v/>
      </c>
      <c r="AD13" s="7">
        <f>IF($AH13="","",AC13+Z13+W13)</f>
        <v/>
      </c>
      <c r="AE13" s="7">
        <f>IF($AH13="","",AF13-AD13)</f>
        <v/>
      </c>
      <c r="AF13" s="7">
        <f>IF($AH13="","",Y13+AB13+V13)</f>
        <v/>
      </c>
      <c r="AG13" s="7">
        <f>IF($AH13="","",AF13-AD13-N13)</f>
        <v/>
      </c>
      <c r="AH13" s="13">
        <f>IF(ROWS($AH$2:$AH13)&lt;=MAX('Per Line'!$AL$2:$AL$1601),MATCH(ROWS($AH$2:$AH13),'Per Line'!$AL$2:$AL$1601,0),"")</f>
        <v/>
      </c>
    </row>
    <row r="14">
      <c r="A14" s="12" t="n"/>
      <c r="B14">
        <f>IF($AH14="","",INDEX('Per Line'!$D$2:$D$1601,$AH14)&amp;"")</f>
        <v/>
      </c>
      <c r="C14">
        <f>IF($AH14="","",INDEX('Per Line'!$A$2:$A$1601,$AH14)&amp;"")</f>
        <v/>
      </c>
      <c r="D14">
        <f>IF($AH14="","",INDEX('Per Line'!$B$2:$B$1601,$AH14))</f>
        <v/>
      </c>
      <c r="E14">
        <f>IF($AH14="","",INDEX('Per Line'!$C$2:$C$1601,$AH14)&amp;"")</f>
        <v/>
      </c>
      <c r="F14">
        <f>IF($AH14="","",INDEX('Per Line'!$E$2:$E$1601,$AH14)&amp;"")</f>
        <v/>
      </c>
      <c r="G14" s="11">
        <f>IF($AH14="","",INDEX('Per Line'!$F$2:$F$1601,$AH14))</f>
        <v/>
      </c>
      <c r="H14">
        <f>IF($AH14="","",INDEX('Per Line'!$G$2:$G$1601,$AH14)&amp;"")</f>
        <v/>
      </c>
      <c r="I14">
        <f>IF($AH14="","",INDEX('Per Line'!$I$2:$I$1601,$AH14)&amp;"")</f>
        <v/>
      </c>
      <c r="J14">
        <f>IF($AH14="","",INDEX('Per Line'!$J$2:$J$1601,$AH14)&amp;"")</f>
        <v/>
      </c>
      <c r="K14">
        <f>IF($AH14="","",INDEX('Per Line'!$K$2:$K$1601,$AH14)&amp;"")</f>
        <v/>
      </c>
      <c r="L14">
        <f>IF($AH14="","",INDEX('Per Line'!$L$2:$L$1601,$AH14)&amp;"")</f>
        <v/>
      </c>
      <c r="M14">
        <f>IF($AH14="","",INDEX('Per Line'!$M$2:$M$1601,$AH14))</f>
        <v/>
      </c>
      <c r="N14" s="7">
        <f>IF($AH14="","",M14*AE14/100)</f>
        <v/>
      </c>
      <c r="O14">
        <f>IF($AH14="","",INDEX('Per Line'!$Z$2:$Z$1601,$AH14)&amp;"")</f>
        <v/>
      </c>
      <c r="P14">
        <f>IF($AH14="","",INDEX('Per Line'!$AC$2:$AC$1601,$AH14)&amp;"")</f>
        <v/>
      </c>
      <c r="Q14">
        <f>IF($AH14="","",INDEX('Per Line'!$AD$2:$AD$1601,$AH14))</f>
        <v/>
      </c>
      <c r="R14">
        <f>IF($AH14="","",IF(AND(ISNUMBER(Q14),Q14&gt;0),AF14&gt;Q14,FALSE))</f>
        <v/>
      </c>
      <c r="S14">
        <f>IF($AH14="","",INDEX('Per Line'!$AH$2:$AH$1601,$AH14)&amp;"")</f>
        <v/>
      </c>
      <c r="T14" s="11">
        <f>IF($AH14="","",INDEX('Per Line'!$AI$2:$AI$1601,$AH14))</f>
        <v/>
      </c>
      <c r="U14">
        <f>IF($AH14="","",Settings!$C$8)</f>
        <v/>
      </c>
      <c r="V14" s="7">
        <f>IF($AH14="","",SUMIFS('Per Line'!$V$2:$V$1601,'Per Line'!$D$2:$D$1601,$B14,'Per Line'!$AN$2:$AN$1601,1))</f>
        <v/>
      </c>
      <c r="W14" s="7">
        <f>IF($AH14="","",V14*U14)</f>
        <v/>
      </c>
      <c r="X14">
        <f>IF($AH14="","",Settings!$C$7)</f>
        <v/>
      </c>
      <c r="Y14" s="7">
        <f>IF($AH14="","",SUMIFS('Per Line'!$V$2:$V$1601,'Per Line'!$D$2:$D$1601,$B14,'Per Line'!$AM$2:$AM$1601,0,'Per Line'!$AN$2:$AN$1601,0))</f>
        <v/>
      </c>
      <c r="Z14" s="7">
        <f>IF($AH14="","",Y14*X14)</f>
        <v/>
      </c>
      <c r="AA14">
        <f>IF($AH14="","",Settings!$C$6)</f>
        <v/>
      </c>
      <c r="AB14" s="7">
        <f>IF($AH14="","",SUMIFS('Per Line'!$V$2:$V$1601,'Per Line'!$D$2:$D$1601,$B14,'Per Line'!$AM$2:$AM$1601,1,'Per Line'!$AN$2:$AN$1601,0))</f>
        <v/>
      </c>
      <c r="AC14" s="7">
        <f>IF($AH14="","",AB14*AA14)</f>
        <v/>
      </c>
      <c r="AD14" s="7">
        <f>IF($AH14="","",AC14+Z14+W14)</f>
        <v/>
      </c>
      <c r="AE14" s="7">
        <f>IF($AH14="","",AF14-AD14)</f>
        <v/>
      </c>
      <c r="AF14" s="7">
        <f>IF($AH14="","",Y14+AB14+V14)</f>
        <v/>
      </c>
      <c r="AG14" s="7">
        <f>IF($AH14="","",AF14-AD14-N14)</f>
        <v/>
      </c>
      <c r="AH14" s="13">
        <f>IF(ROWS($AH$2:$AH14)&lt;=MAX('Per Line'!$AL$2:$AL$1601),MATCH(ROWS($AH$2:$AH14),'Per Line'!$AL$2:$AL$1601,0),"")</f>
        <v/>
      </c>
    </row>
    <row r="15">
      <c r="A15" s="12" t="n"/>
      <c r="B15">
        <f>IF($AH15="","",INDEX('Per Line'!$D$2:$D$1601,$AH15)&amp;"")</f>
        <v/>
      </c>
      <c r="C15">
        <f>IF($AH15="","",INDEX('Per Line'!$A$2:$A$1601,$AH15)&amp;"")</f>
        <v/>
      </c>
      <c r="D15">
        <f>IF($AH15="","",INDEX('Per Line'!$B$2:$B$1601,$AH15))</f>
        <v/>
      </c>
      <c r="E15">
        <f>IF($AH15="","",INDEX('Per Line'!$C$2:$C$1601,$AH15)&amp;"")</f>
        <v/>
      </c>
      <c r="F15">
        <f>IF($AH15="","",INDEX('Per Line'!$E$2:$E$1601,$AH15)&amp;"")</f>
        <v/>
      </c>
      <c r="G15" s="11">
        <f>IF($AH15="","",INDEX('Per Line'!$F$2:$F$1601,$AH15))</f>
        <v/>
      </c>
      <c r="H15">
        <f>IF($AH15="","",INDEX('Per Line'!$G$2:$G$1601,$AH15)&amp;"")</f>
        <v/>
      </c>
      <c r="I15">
        <f>IF($AH15="","",INDEX('Per Line'!$I$2:$I$1601,$AH15)&amp;"")</f>
        <v/>
      </c>
      <c r="J15">
        <f>IF($AH15="","",INDEX('Per Line'!$J$2:$J$1601,$AH15)&amp;"")</f>
        <v/>
      </c>
      <c r="K15">
        <f>IF($AH15="","",INDEX('Per Line'!$K$2:$K$1601,$AH15)&amp;"")</f>
        <v/>
      </c>
      <c r="L15">
        <f>IF($AH15="","",INDEX('Per Line'!$L$2:$L$1601,$AH15)&amp;"")</f>
        <v/>
      </c>
      <c r="M15">
        <f>IF($AH15="","",INDEX('Per Line'!$M$2:$M$1601,$AH15))</f>
        <v/>
      </c>
      <c r="N15" s="7">
        <f>IF($AH15="","",M15*AE15/100)</f>
        <v/>
      </c>
      <c r="O15">
        <f>IF($AH15="","",INDEX('Per Line'!$Z$2:$Z$1601,$AH15)&amp;"")</f>
        <v/>
      </c>
      <c r="P15">
        <f>IF($AH15="","",INDEX('Per Line'!$AC$2:$AC$1601,$AH15)&amp;"")</f>
        <v/>
      </c>
      <c r="Q15">
        <f>IF($AH15="","",INDEX('Per Line'!$AD$2:$AD$1601,$AH15))</f>
        <v/>
      </c>
      <c r="R15">
        <f>IF($AH15="","",IF(AND(ISNUMBER(Q15),Q15&gt;0),AF15&gt;Q15,FALSE))</f>
        <v/>
      </c>
      <c r="S15">
        <f>IF($AH15="","",INDEX('Per Line'!$AH$2:$AH$1601,$AH15)&amp;"")</f>
        <v/>
      </c>
      <c r="T15" s="11">
        <f>IF($AH15="","",INDEX('Per Line'!$AI$2:$AI$1601,$AH15))</f>
        <v/>
      </c>
      <c r="U15">
        <f>IF($AH15="","",Settings!$C$8)</f>
        <v/>
      </c>
      <c r="V15" s="7">
        <f>IF($AH15="","",SUMIFS('Per Line'!$V$2:$V$1601,'Per Line'!$D$2:$D$1601,$B15,'Per Line'!$AN$2:$AN$1601,1))</f>
        <v/>
      </c>
      <c r="W15" s="7">
        <f>IF($AH15="","",V15*U15)</f>
        <v/>
      </c>
      <c r="X15">
        <f>IF($AH15="","",Settings!$C$7)</f>
        <v/>
      </c>
      <c r="Y15" s="7">
        <f>IF($AH15="","",SUMIFS('Per Line'!$V$2:$V$1601,'Per Line'!$D$2:$D$1601,$B15,'Per Line'!$AM$2:$AM$1601,0,'Per Line'!$AN$2:$AN$1601,0))</f>
        <v/>
      </c>
      <c r="Z15" s="7">
        <f>IF($AH15="","",Y15*X15)</f>
        <v/>
      </c>
      <c r="AA15">
        <f>IF($AH15="","",Settings!$C$6)</f>
        <v/>
      </c>
      <c r="AB15" s="7">
        <f>IF($AH15="","",SUMIFS('Per Line'!$V$2:$V$1601,'Per Line'!$D$2:$D$1601,$B15,'Per Line'!$AM$2:$AM$1601,1,'Per Line'!$AN$2:$AN$1601,0))</f>
        <v/>
      </c>
      <c r="AC15" s="7">
        <f>IF($AH15="","",AB15*AA15)</f>
        <v/>
      </c>
      <c r="AD15" s="7">
        <f>IF($AH15="","",AC15+Z15+W15)</f>
        <v/>
      </c>
      <c r="AE15" s="7">
        <f>IF($AH15="","",AF15-AD15)</f>
        <v/>
      </c>
      <c r="AF15" s="7">
        <f>IF($AH15="","",Y15+AB15+V15)</f>
        <v/>
      </c>
      <c r="AG15" s="7">
        <f>IF($AH15="","",AF15-AD15-N15)</f>
        <v/>
      </c>
      <c r="AH15" s="13">
        <f>IF(ROWS($AH$2:$AH15)&lt;=MAX('Per Line'!$AL$2:$AL$1601),MATCH(ROWS($AH$2:$AH15),'Per Line'!$AL$2:$AL$1601,0),"")</f>
        <v/>
      </c>
    </row>
    <row r="16">
      <c r="A16" s="12" t="n"/>
      <c r="B16">
        <f>IF($AH16="","",INDEX('Per Line'!$D$2:$D$1601,$AH16)&amp;"")</f>
        <v/>
      </c>
      <c r="C16">
        <f>IF($AH16="","",INDEX('Per Line'!$A$2:$A$1601,$AH16)&amp;"")</f>
        <v/>
      </c>
      <c r="D16">
        <f>IF($AH16="","",INDEX('Per Line'!$B$2:$B$1601,$AH16))</f>
        <v/>
      </c>
      <c r="E16">
        <f>IF($AH16="","",INDEX('Per Line'!$C$2:$C$1601,$AH16)&amp;"")</f>
        <v/>
      </c>
      <c r="F16">
        <f>IF($AH16="","",INDEX('Per Line'!$E$2:$E$1601,$AH16)&amp;"")</f>
        <v/>
      </c>
      <c r="G16" s="11">
        <f>IF($AH16="","",INDEX('Per Line'!$F$2:$F$1601,$AH16))</f>
        <v/>
      </c>
      <c r="H16">
        <f>IF($AH16="","",INDEX('Per Line'!$G$2:$G$1601,$AH16)&amp;"")</f>
        <v/>
      </c>
      <c r="I16">
        <f>IF($AH16="","",INDEX('Per Line'!$I$2:$I$1601,$AH16)&amp;"")</f>
        <v/>
      </c>
      <c r="J16">
        <f>IF($AH16="","",INDEX('Per Line'!$J$2:$J$1601,$AH16)&amp;"")</f>
        <v/>
      </c>
      <c r="K16">
        <f>IF($AH16="","",INDEX('Per Line'!$K$2:$K$1601,$AH16)&amp;"")</f>
        <v/>
      </c>
      <c r="L16">
        <f>IF($AH16="","",INDEX('Per Line'!$L$2:$L$1601,$AH16)&amp;"")</f>
        <v/>
      </c>
      <c r="M16">
        <f>IF($AH16="","",INDEX('Per Line'!$M$2:$M$1601,$AH16))</f>
        <v/>
      </c>
      <c r="N16" s="7">
        <f>IF($AH16="","",M16*AE16/100)</f>
        <v/>
      </c>
      <c r="O16">
        <f>IF($AH16="","",INDEX('Per Line'!$Z$2:$Z$1601,$AH16)&amp;"")</f>
        <v/>
      </c>
      <c r="P16">
        <f>IF($AH16="","",INDEX('Per Line'!$AC$2:$AC$1601,$AH16)&amp;"")</f>
        <v/>
      </c>
      <c r="Q16">
        <f>IF($AH16="","",INDEX('Per Line'!$AD$2:$AD$1601,$AH16))</f>
        <v/>
      </c>
      <c r="R16">
        <f>IF($AH16="","",IF(AND(ISNUMBER(Q16),Q16&gt;0),AF16&gt;Q16,FALSE))</f>
        <v/>
      </c>
      <c r="S16">
        <f>IF($AH16="","",INDEX('Per Line'!$AH$2:$AH$1601,$AH16)&amp;"")</f>
        <v/>
      </c>
      <c r="T16" s="11">
        <f>IF($AH16="","",INDEX('Per Line'!$AI$2:$AI$1601,$AH16))</f>
        <v/>
      </c>
      <c r="U16">
        <f>IF($AH16="","",Settings!$C$8)</f>
        <v/>
      </c>
      <c r="V16" s="7">
        <f>IF($AH16="","",SUMIFS('Per Line'!$V$2:$V$1601,'Per Line'!$D$2:$D$1601,$B16,'Per Line'!$AN$2:$AN$1601,1))</f>
        <v/>
      </c>
      <c r="W16" s="7">
        <f>IF($AH16="","",V16*U16)</f>
        <v/>
      </c>
      <c r="X16">
        <f>IF($AH16="","",Settings!$C$7)</f>
        <v/>
      </c>
      <c r="Y16" s="7">
        <f>IF($AH16="","",SUMIFS('Per Line'!$V$2:$V$1601,'Per Line'!$D$2:$D$1601,$B16,'Per Line'!$AM$2:$AM$1601,0,'Per Line'!$AN$2:$AN$1601,0))</f>
        <v/>
      </c>
      <c r="Z16" s="7">
        <f>IF($AH16="","",Y16*X16)</f>
        <v/>
      </c>
      <c r="AA16">
        <f>IF($AH16="","",Settings!$C$6)</f>
        <v/>
      </c>
      <c r="AB16" s="7">
        <f>IF($AH16="","",SUMIFS('Per Line'!$V$2:$V$1601,'Per Line'!$D$2:$D$1601,$B16,'Per Line'!$AM$2:$AM$1601,1,'Per Line'!$AN$2:$AN$1601,0))</f>
        <v/>
      </c>
      <c r="AC16" s="7">
        <f>IF($AH16="","",AB16*AA16)</f>
        <v/>
      </c>
      <c r="AD16" s="7">
        <f>IF($AH16="","",AC16+Z16+W16)</f>
        <v/>
      </c>
      <c r="AE16" s="7">
        <f>IF($AH16="","",AF16-AD16)</f>
        <v/>
      </c>
      <c r="AF16" s="7">
        <f>IF($AH16="","",Y16+AB16+V16)</f>
        <v/>
      </c>
      <c r="AG16" s="7">
        <f>IF($AH16="","",AF16-AD16-N16)</f>
        <v/>
      </c>
      <c r="AH16" s="13">
        <f>IF(ROWS($AH$2:$AH16)&lt;=MAX('Per Line'!$AL$2:$AL$1601),MATCH(ROWS($AH$2:$AH16),'Per Line'!$AL$2:$AL$1601,0),"")</f>
        <v/>
      </c>
    </row>
    <row r="17">
      <c r="A17" s="12" t="n"/>
      <c r="B17">
        <f>IF($AH17="","",INDEX('Per Line'!$D$2:$D$1601,$AH17)&amp;"")</f>
        <v/>
      </c>
      <c r="C17">
        <f>IF($AH17="","",INDEX('Per Line'!$A$2:$A$1601,$AH17)&amp;"")</f>
        <v/>
      </c>
      <c r="D17">
        <f>IF($AH17="","",INDEX('Per Line'!$B$2:$B$1601,$AH17))</f>
        <v/>
      </c>
      <c r="E17">
        <f>IF($AH17="","",INDEX('Per Line'!$C$2:$C$1601,$AH17)&amp;"")</f>
        <v/>
      </c>
      <c r="F17">
        <f>IF($AH17="","",INDEX('Per Line'!$E$2:$E$1601,$AH17)&amp;"")</f>
        <v/>
      </c>
      <c r="G17" s="11">
        <f>IF($AH17="","",INDEX('Per Line'!$F$2:$F$1601,$AH17))</f>
        <v/>
      </c>
      <c r="H17">
        <f>IF($AH17="","",INDEX('Per Line'!$G$2:$G$1601,$AH17)&amp;"")</f>
        <v/>
      </c>
      <c r="I17">
        <f>IF($AH17="","",INDEX('Per Line'!$I$2:$I$1601,$AH17)&amp;"")</f>
        <v/>
      </c>
      <c r="J17">
        <f>IF($AH17="","",INDEX('Per Line'!$J$2:$J$1601,$AH17)&amp;"")</f>
        <v/>
      </c>
      <c r="K17">
        <f>IF($AH17="","",INDEX('Per Line'!$K$2:$K$1601,$AH17)&amp;"")</f>
        <v/>
      </c>
      <c r="L17">
        <f>IF($AH17="","",INDEX('Per Line'!$L$2:$L$1601,$AH17)&amp;"")</f>
        <v/>
      </c>
      <c r="M17">
        <f>IF($AH17="","",INDEX('Per Line'!$M$2:$M$1601,$AH17))</f>
        <v/>
      </c>
      <c r="N17" s="7">
        <f>IF($AH17="","",M17*AE17/100)</f>
        <v/>
      </c>
      <c r="O17">
        <f>IF($AH17="","",INDEX('Per Line'!$Z$2:$Z$1601,$AH17)&amp;"")</f>
        <v/>
      </c>
      <c r="P17">
        <f>IF($AH17="","",INDEX('Per Line'!$AC$2:$AC$1601,$AH17)&amp;"")</f>
        <v/>
      </c>
      <c r="Q17">
        <f>IF($AH17="","",INDEX('Per Line'!$AD$2:$AD$1601,$AH17))</f>
        <v/>
      </c>
      <c r="R17">
        <f>IF($AH17="","",IF(AND(ISNUMBER(Q17),Q17&gt;0),AF17&gt;Q17,FALSE))</f>
        <v/>
      </c>
      <c r="S17">
        <f>IF($AH17="","",INDEX('Per Line'!$AH$2:$AH$1601,$AH17)&amp;"")</f>
        <v/>
      </c>
      <c r="T17" s="11">
        <f>IF($AH17="","",INDEX('Per Line'!$AI$2:$AI$1601,$AH17))</f>
        <v/>
      </c>
      <c r="U17">
        <f>IF($AH17="","",Settings!$C$8)</f>
        <v/>
      </c>
      <c r="V17" s="7">
        <f>IF($AH17="","",SUMIFS('Per Line'!$V$2:$V$1601,'Per Line'!$D$2:$D$1601,$B17,'Per Line'!$AN$2:$AN$1601,1))</f>
        <v/>
      </c>
      <c r="W17" s="7">
        <f>IF($AH17="","",V17*U17)</f>
        <v/>
      </c>
      <c r="X17">
        <f>IF($AH17="","",Settings!$C$7)</f>
        <v/>
      </c>
      <c r="Y17" s="7">
        <f>IF($AH17="","",SUMIFS('Per Line'!$V$2:$V$1601,'Per Line'!$D$2:$D$1601,$B17,'Per Line'!$AM$2:$AM$1601,0,'Per Line'!$AN$2:$AN$1601,0))</f>
        <v/>
      </c>
      <c r="Z17" s="7">
        <f>IF($AH17="","",Y17*X17)</f>
        <v/>
      </c>
      <c r="AA17">
        <f>IF($AH17="","",Settings!$C$6)</f>
        <v/>
      </c>
      <c r="AB17" s="7">
        <f>IF($AH17="","",SUMIFS('Per Line'!$V$2:$V$1601,'Per Line'!$D$2:$D$1601,$B17,'Per Line'!$AM$2:$AM$1601,1,'Per Line'!$AN$2:$AN$1601,0))</f>
        <v/>
      </c>
      <c r="AC17" s="7">
        <f>IF($AH17="","",AB17*AA17)</f>
        <v/>
      </c>
      <c r="AD17" s="7">
        <f>IF($AH17="","",AC17+Z17+W17)</f>
        <v/>
      </c>
      <c r="AE17" s="7">
        <f>IF($AH17="","",AF17-AD17)</f>
        <v/>
      </c>
      <c r="AF17" s="7">
        <f>IF($AH17="","",Y17+AB17+V17)</f>
        <v/>
      </c>
      <c r="AG17" s="7">
        <f>IF($AH17="","",AF17-AD17-N17)</f>
        <v/>
      </c>
      <c r="AH17" s="13">
        <f>IF(ROWS($AH$2:$AH17)&lt;=MAX('Per Line'!$AL$2:$AL$1601),MATCH(ROWS($AH$2:$AH17),'Per Line'!$AL$2:$AL$1601,0),"")</f>
        <v/>
      </c>
    </row>
    <row r="18">
      <c r="A18" s="12" t="n"/>
      <c r="B18">
        <f>IF($AH18="","",INDEX('Per Line'!$D$2:$D$1601,$AH18)&amp;"")</f>
        <v/>
      </c>
      <c r="C18">
        <f>IF($AH18="","",INDEX('Per Line'!$A$2:$A$1601,$AH18)&amp;"")</f>
        <v/>
      </c>
      <c r="D18">
        <f>IF($AH18="","",INDEX('Per Line'!$B$2:$B$1601,$AH18))</f>
        <v/>
      </c>
      <c r="E18">
        <f>IF($AH18="","",INDEX('Per Line'!$C$2:$C$1601,$AH18)&amp;"")</f>
        <v/>
      </c>
      <c r="F18">
        <f>IF($AH18="","",INDEX('Per Line'!$E$2:$E$1601,$AH18)&amp;"")</f>
        <v/>
      </c>
      <c r="G18" s="11">
        <f>IF($AH18="","",INDEX('Per Line'!$F$2:$F$1601,$AH18))</f>
        <v/>
      </c>
      <c r="H18">
        <f>IF($AH18="","",INDEX('Per Line'!$G$2:$G$1601,$AH18)&amp;"")</f>
        <v/>
      </c>
      <c r="I18">
        <f>IF($AH18="","",INDEX('Per Line'!$I$2:$I$1601,$AH18)&amp;"")</f>
        <v/>
      </c>
      <c r="J18">
        <f>IF($AH18="","",INDEX('Per Line'!$J$2:$J$1601,$AH18)&amp;"")</f>
        <v/>
      </c>
      <c r="K18">
        <f>IF($AH18="","",INDEX('Per Line'!$K$2:$K$1601,$AH18)&amp;"")</f>
        <v/>
      </c>
      <c r="L18">
        <f>IF($AH18="","",INDEX('Per Line'!$L$2:$L$1601,$AH18)&amp;"")</f>
        <v/>
      </c>
      <c r="M18">
        <f>IF($AH18="","",INDEX('Per Line'!$M$2:$M$1601,$AH18))</f>
        <v/>
      </c>
      <c r="N18" s="7">
        <f>IF($AH18="","",M18*AE18/100)</f>
        <v/>
      </c>
      <c r="O18">
        <f>IF($AH18="","",INDEX('Per Line'!$Z$2:$Z$1601,$AH18)&amp;"")</f>
        <v/>
      </c>
      <c r="P18">
        <f>IF($AH18="","",INDEX('Per Line'!$AC$2:$AC$1601,$AH18)&amp;"")</f>
        <v/>
      </c>
      <c r="Q18">
        <f>IF($AH18="","",INDEX('Per Line'!$AD$2:$AD$1601,$AH18))</f>
        <v/>
      </c>
      <c r="R18">
        <f>IF($AH18="","",IF(AND(ISNUMBER(Q18),Q18&gt;0),AF18&gt;Q18,FALSE))</f>
        <v/>
      </c>
      <c r="S18">
        <f>IF($AH18="","",INDEX('Per Line'!$AH$2:$AH$1601,$AH18)&amp;"")</f>
        <v/>
      </c>
      <c r="T18" s="11">
        <f>IF($AH18="","",INDEX('Per Line'!$AI$2:$AI$1601,$AH18))</f>
        <v/>
      </c>
      <c r="U18">
        <f>IF($AH18="","",Settings!$C$8)</f>
        <v/>
      </c>
      <c r="V18" s="7">
        <f>IF($AH18="","",SUMIFS('Per Line'!$V$2:$V$1601,'Per Line'!$D$2:$D$1601,$B18,'Per Line'!$AN$2:$AN$1601,1))</f>
        <v/>
      </c>
      <c r="W18" s="7">
        <f>IF($AH18="","",V18*U18)</f>
        <v/>
      </c>
      <c r="X18">
        <f>IF($AH18="","",Settings!$C$7)</f>
        <v/>
      </c>
      <c r="Y18" s="7">
        <f>IF($AH18="","",SUMIFS('Per Line'!$V$2:$V$1601,'Per Line'!$D$2:$D$1601,$B18,'Per Line'!$AM$2:$AM$1601,0,'Per Line'!$AN$2:$AN$1601,0))</f>
        <v/>
      </c>
      <c r="Z18" s="7">
        <f>IF($AH18="","",Y18*X18)</f>
        <v/>
      </c>
      <c r="AA18">
        <f>IF($AH18="","",Settings!$C$6)</f>
        <v/>
      </c>
      <c r="AB18" s="7">
        <f>IF($AH18="","",SUMIFS('Per Line'!$V$2:$V$1601,'Per Line'!$D$2:$D$1601,$B18,'Per Line'!$AM$2:$AM$1601,1,'Per Line'!$AN$2:$AN$1601,0))</f>
        <v/>
      </c>
      <c r="AC18" s="7">
        <f>IF($AH18="","",AB18*AA18)</f>
        <v/>
      </c>
      <c r="AD18" s="7">
        <f>IF($AH18="","",AC18+Z18+W18)</f>
        <v/>
      </c>
      <c r="AE18" s="7">
        <f>IF($AH18="","",AF18-AD18)</f>
        <v/>
      </c>
      <c r="AF18" s="7">
        <f>IF($AH18="","",Y18+AB18+V18)</f>
        <v/>
      </c>
      <c r="AG18" s="7">
        <f>IF($AH18="","",AF18-AD18-N18)</f>
        <v/>
      </c>
      <c r="AH18" s="13">
        <f>IF(ROWS($AH$2:$AH18)&lt;=MAX('Per Line'!$AL$2:$AL$1601),MATCH(ROWS($AH$2:$AH18),'Per Line'!$AL$2:$AL$1601,0),"")</f>
        <v/>
      </c>
    </row>
    <row r="19">
      <c r="A19" s="12" t="n"/>
      <c r="B19">
        <f>IF($AH19="","",INDEX('Per Line'!$D$2:$D$1601,$AH19)&amp;"")</f>
        <v/>
      </c>
      <c r="C19">
        <f>IF($AH19="","",INDEX('Per Line'!$A$2:$A$1601,$AH19)&amp;"")</f>
        <v/>
      </c>
      <c r="D19">
        <f>IF($AH19="","",INDEX('Per Line'!$B$2:$B$1601,$AH19))</f>
        <v/>
      </c>
      <c r="E19">
        <f>IF($AH19="","",INDEX('Per Line'!$C$2:$C$1601,$AH19)&amp;"")</f>
        <v/>
      </c>
      <c r="F19">
        <f>IF($AH19="","",INDEX('Per Line'!$E$2:$E$1601,$AH19)&amp;"")</f>
        <v/>
      </c>
      <c r="G19" s="11">
        <f>IF($AH19="","",INDEX('Per Line'!$F$2:$F$1601,$AH19))</f>
        <v/>
      </c>
      <c r="H19">
        <f>IF($AH19="","",INDEX('Per Line'!$G$2:$G$1601,$AH19)&amp;"")</f>
        <v/>
      </c>
      <c r="I19">
        <f>IF($AH19="","",INDEX('Per Line'!$I$2:$I$1601,$AH19)&amp;"")</f>
        <v/>
      </c>
      <c r="J19">
        <f>IF($AH19="","",INDEX('Per Line'!$J$2:$J$1601,$AH19)&amp;"")</f>
        <v/>
      </c>
      <c r="K19">
        <f>IF($AH19="","",INDEX('Per Line'!$K$2:$K$1601,$AH19)&amp;"")</f>
        <v/>
      </c>
      <c r="L19">
        <f>IF($AH19="","",INDEX('Per Line'!$L$2:$L$1601,$AH19)&amp;"")</f>
        <v/>
      </c>
      <c r="M19">
        <f>IF($AH19="","",INDEX('Per Line'!$M$2:$M$1601,$AH19))</f>
        <v/>
      </c>
      <c r="N19" s="7">
        <f>IF($AH19="","",M19*AE19/100)</f>
        <v/>
      </c>
      <c r="O19">
        <f>IF($AH19="","",INDEX('Per Line'!$Z$2:$Z$1601,$AH19)&amp;"")</f>
        <v/>
      </c>
      <c r="P19">
        <f>IF($AH19="","",INDEX('Per Line'!$AC$2:$AC$1601,$AH19)&amp;"")</f>
        <v/>
      </c>
      <c r="Q19">
        <f>IF($AH19="","",INDEX('Per Line'!$AD$2:$AD$1601,$AH19))</f>
        <v/>
      </c>
      <c r="R19">
        <f>IF($AH19="","",IF(AND(ISNUMBER(Q19),Q19&gt;0),AF19&gt;Q19,FALSE))</f>
        <v/>
      </c>
      <c r="S19">
        <f>IF($AH19="","",INDEX('Per Line'!$AH$2:$AH$1601,$AH19)&amp;"")</f>
        <v/>
      </c>
      <c r="T19" s="11">
        <f>IF($AH19="","",INDEX('Per Line'!$AI$2:$AI$1601,$AH19))</f>
        <v/>
      </c>
      <c r="U19">
        <f>IF($AH19="","",Settings!$C$8)</f>
        <v/>
      </c>
      <c r="V19" s="7">
        <f>IF($AH19="","",SUMIFS('Per Line'!$V$2:$V$1601,'Per Line'!$D$2:$D$1601,$B19,'Per Line'!$AN$2:$AN$1601,1))</f>
        <v/>
      </c>
      <c r="W19" s="7">
        <f>IF($AH19="","",V19*U19)</f>
        <v/>
      </c>
      <c r="X19">
        <f>IF($AH19="","",Settings!$C$7)</f>
        <v/>
      </c>
      <c r="Y19" s="7">
        <f>IF($AH19="","",SUMIFS('Per Line'!$V$2:$V$1601,'Per Line'!$D$2:$D$1601,$B19,'Per Line'!$AM$2:$AM$1601,0,'Per Line'!$AN$2:$AN$1601,0))</f>
        <v/>
      </c>
      <c r="Z19" s="7">
        <f>IF($AH19="","",Y19*X19)</f>
        <v/>
      </c>
      <c r="AA19">
        <f>IF($AH19="","",Settings!$C$6)</f>
        <v/>
      </c>
      <c r="AB19" s="7">
        <f>IF($AH19="","",SUMIFS('Per Line'!$V$2:$V$1601,'Per Line'!$D$2:$D$1601,$B19,'Per Line'!$AM$2:$AM$1601,1,'Per Line'!$AN$2:$AN$1601,0))</f>
        <v/>
      </c>
      <c r="AC19" s="7">
        <f>IF($AH19="","",AB19*AA19)</f>
        <v/>
      </c>
      <c r="AD19" s="7">
        <f>IF($AH19="","",AC19+Z19+W19)</f>
        <v/>
      </c>
      <c r="AE19" s="7">
        <f>IF($AH19="","",AF19-AD19)</f>
        <v/>
      </c>
      <c r="AF19" s="7">
        <f>IF($AH19="","",Y19+AB19+V19)</f>
        <v/>
      </c>
      <c r="AG19" s="7">
        <f>IF($AH19="","",AF19-AD19-N19)</f>
        <v/>
      </c>
      <c r="AH19" s="13">
        <f>IF(ROWS($AH$2:$AH19)&lt;=MAX('Per Line'!$AL$2:$AL$1601),MATCH(ROWS($AH$2:$AH19),'Per Line'!$AL$2:$AL$1601,0),"")</f>
        <v/>
      </c>
    </row>
    <row r="20">
      <c r="A20" s="12" t="n"/>
      <c r="B20">
        <f>IF($AH20="","",INDEX('Per Line'!$D$2:$D$1601,$AH20)&amp;"")</f>
        <v/>
      </c>
      <c r="C20">
        <f>IF($AH20="","",INDEX('Per Line'!$A$2:$A$1601,$AH20)&amp;"")</f>
        <v/>
      </c>
      <c r="D20">
        <f>IF($AH20="","",INDEX('Per Line'!$B$2:$B$1601,$AH20))</f>
        <v/>
      </c>
      <c r="E20">
        <f>IF($AH20="","",INDEX('Per Line'!$C$2:$C$1601,$AH20)&amp;"")</f>
        <v/>
      </c>
      <c r="F20">
        <f>IF($AH20="","",INDEX('Per Line'!$E$2:$E$1601,$AH20)&amp;"")</f>
        <v/>
      </c>
      <c r="G20" s="11">
        <f>IF($AH20="","",INDEX('Per Line'!$F$2:$F$1601,$AH20))</f>
        <v/>
      </c>
      <c r="H20">
        <f>IF($AH20="","",INDEX('Per Line'!$G$2:$G$1601,$AH20)&amp;"")</f>
        <v/>
      </c>
      <c r="I20">
        <f>IF($AH20="","",INDEX('Per Line'!$I$2:$I$1601,$AH20)&amp;"")</f>
        <v/>
      </c>
      <c r="J20">
        <f>IF($AH20="","",INDEX('Per Line'!$J$2:$J$1601,$AH20)&amp;"")</f>
        <v/>
      </c>
      <c r="K20">
        <f>IF($AH20="","",INDEX('Per Line'!$K$2:$K$1601,$AH20)&amp;"")</f>
        <v/>
      </c>
      <c r="L20">
        <f>IF($AH20="","",INDEX('Per Line'!$L$2:$L$1601,$AH20)&amp;"")</f>
        <v/>
      </c>
      <c r="M20">
        <f>IF($AH20="","",INDEX('Per Line'!$M$2:$M$1601,$AH20))</f>
        <v/>
      </c>
      <c r="N20" s="7">
        <f>IF($AH20="","",M20*AE20/100)</f>
        <v/>
      </c>
      <c r="O20">
        <f>IF($AH20="","",INDEX('Per Line'!$Z$2:$Z$1601,$AH20)&amp;"")</f>
        <v/>
      </c>
      <c r="P20">
        <f>IF($AH20="","",INDEX('Per Line'!$AC$2:$AC$1601,$AH20)&amp;"")</f>
        <v/>
      </c>
      <c r="Q20">
        <f>IF($AH20="","",INDEX('Per Line'!$AD$2:$AD$1601,$AH20))</f>
        <v/>
      </c>
      <c r="R20">
        <f>IF($AH20="","",IF(AND(ISNUMBER(Q20),Q20&gt;0),AF20&gt;Q20,FALSE))</f>
        <v/>
      </c>
      <c r="S20">
        <f>IF($AH20="","",INDEX('Per Line'!$AH$2:$AH$1601,$AH20)&amp;"")</f>
        <v/>
      </c>
      <c r="T20" s="11">
        <f>IF($AH20="","",INDEX('Per Line'!$AI$2:$AI$1601,$AH20))</f>
        <v/>
      </c>
      <c r="U20">
        <f>IF($AH20="","",Settings!$C$8)</f>
        <v/>
      </c>
      <c r="V20" s="7">
        <f>IF($AH20="","",SUMIFS('Per Line'!$V$2:$V$1601,'Per Line'!$D$2:$D$1601,$B20,'Per Line'!$AN$2:$AN$1601,1))</f>
        <v/>
      </c>
      <c r="W20" s="7">
        <f>IF($AH20="","",V20*U20)</f>
        <v/>
      </c>
      <c r="X20">
        <f>IF($AH20="","",Settings!$C$7)</f>
        <v/>
      </c>
      <c r="Y20" s="7">
        <f>IF($AH20="","",SUMIFS('Per Line'!$V$2:$V$1601,'Per Line'!$D$2:$D$1601,$B20,'Per Line'!$AM$2:$AM$1601,0,'Per Line'!$AN$2:$AN$1601,0))</f>
        <v/>
      </c>
      <c r="Z20" s="7">
        <f>IF($AH20="","",Y20*X20)</f>
        <v/>
      </c>
      <c r="AA20">
        <f>IF($AH20="","",Settings!$C$6)</f>
        <v/>
      </c>
      <c r="AB20" s="7">
        <f>IF($AH20="","",SUMIFS('Per Line'!$V$2:$V$1601,'Per Line'!$D$2:$D$1601,$B20,'Per Line'!$AM$2:$AM$1601,1,'Per Line'!$AN$2:$AN$1601,0))</f>
        <v/>
      </c>
      <c r="AC20" s="7">
        <f>IF($AH20="","",AB20*AA20)</f>
        <v/>
      </c>
      <c r="AD20" s="7">
        <f>IF($AH20="","",AC20+Z20+W20)</f>
        <v/>
      </c>
      <c r="AE20" s="7">
        <f>IF($AH20="","",AF20-AD20)</f>
        <v/>
      </c>
      <c r="AF20" s="7">
        <f>IF($AH20="","",Y20+AB20+V20)</f>
        <v/>
      </c>
      <c r="AG20" s="7">
        <f>IF($AH20="","",AF20-AD20-N20)</f>
        <v/>
      </c>
      <c r="AH20" s="13">
        <f>IF(ROWS($AH$2:$AH20)&lt;=MAX('Per Line'!$AL$2:$AL$1601),MATCH(ROWS($AH$2:$AH20),'Per Line'!$AL$2:$AL$1601,0),"")</f>
        <v/>
      </c>
    </row>
    <row r="21">
      <c r="A21" s="12" t="n"/>
      <c r="B21">
        <f>IF($AH21="","",INDEX('Per Line'!$D$2:$D$1601,$AH21)&amp;"")</f>
        <v/>
      </c>
      <c r="C21">
        <f>IF($AH21="","",INDEX('Per Line'!$A$2:$A$1601,$AH21)&amp;"")</f>
        <v/>
      </c>
      <c r="D21">
        <f>IF($AH21="","",INDEX('Per Line'!$B$2:$B$1601,$AH21))</f>
        <v/>
      </c>
      <c r="E21">
        <f>IF($AH21="","",INDEX('Per Line'!$C$2:$C$1601,$AH21)&amp;"")</f>
        <v/>
      </c>
      <c r="F21">
        <f>IF($AH21="","",INDEX('Per Line'!$E$2:$E$1601,$AH21)&amp;"")</f>
        <v/>
      </c>
      <c r="G21" s="11">
        <f>IF($AH21="","",INDEX('Per Line'!$F$2:$F$1601,$AH21))</f>
        <v/>
      </c>
      <c r="H21">
        <f>IF($AH21="","",INDEX('Per Line'!$G$2:$G$1601,$AH21)&amp;"")</f>
        <v/>
      </c>
      <c r="I21">
        <f>IF($AH21="","",INDEX('Per Line'!$I$2:$I$1601,$AH21)&amp;"")</f>
        <v/>
      </c>
      <c r="J21">
        <f>IF($AH21="","",INDEX('Per Line'!$J$2:$J$1601,$AH21)&amp;"")</f>
        <v/>
      </c>
      <c r="K21">
        <f>IF($AH21="","",INDEX('Per Line'!$K$2:$K$1601,$AH21)&amp;"")</f>
        <v/>
      </c>
      <c r="L21">
        <f>IF($AH21="","",INDEX('Per Line'!$L$2:$L$1601,$AH21)&amp;"")</f>
        <v/>
      </c>
      <c r="M21">
        <f>IF($AH21="","",INDEX('Per Line'!$M$2:$M$1601,$AH21))</f>
        <v/>
      </c>
      <c r="N21" s="7">
        <f>IF($AH21="","",M21*AE21/100)</f>
        <v/>
      </c>
      <c r="O21">
        <f>IF($AH21="","",INDEX('Per Line'!$Z$2:$Z$1601,$AH21)&amp;"")</f>
        <v/>
      </c>
      <c r="P21">
        <f>IF($AH21="","",INDEX('Per Line'!$AC$2:$AC$1601,$AH21)&amp;"")</f>
        <v/>
      </c>
      <c r="Q21">
        <f>IF($AH21="","",INDEX('Per Line'!$AD$2:$AD$1601,$AH21))</f>
        <v/>
      </c>
      <c r="R21">
        <f>IF($AH21="","",IF(AND(ISNUMBER(Q21),Q21&gt;0),AF21&gt;Q21,FALSE))</f>
        <v/>
      </c>
      <c r="S21">
        <f>IF($AH21="","",INDEX('Per Line'!$AH$2:$AH$1601,$AH21)&amp;"")</f>
        <v/>
      </c>
      <c r="T21" s="11">
        <f>IF($AH21="","",INDEX('Per Line'!$AI$2:$AI$1601,$AH21))</f>
        <v/>
      </c>
      <c r="U21">
        <f>IF($AH21="","",Settings!$C$8)</f>
        <v/>
      </c>
      <c r="V21" s="7">
        <f>IF($AH21="","",SUMIFS('Per Line'!$V$2:$V$1601,'Per Line'!$D$2:$D$1601,$B21,'Per Line'!$AN$2:$AN$1601,1))</f>
        <v/>
      </c>
      <c r="W21" s="7">
        <f>IF($AH21="","",V21*U21)</f>
        <v/>
      </c>
      <c r="X21">
        <f>IF($AH21="","",Settings!$C$7)</f>
        <v/>
      </c>
      <c r="Y21" s="7">
        <f>IF($AH21="","",SUMIFS('Per Line'!$V$2:$V$1601,'Per Line'!$D$2:$D$1601,$B21,'Per Line'!$AM$2:$AM$1601,0,'Per Line'!$AN$2:$AN$1601,0))</f>
        <v/>
      </c>
      <c r="Z21" s="7">
        <f>IF($AH21="","",Y21*X21)</f>
        <v/>
      </c>
      <c r="AA21">
        <f>IF($AH21="","",Settings!$C$6)</f>
        <v/>
      </c>
      <c r="AB21" s="7">
        <f>IF($AH21="","",SUMIFS('Per Line'!$V$2:$V$1601,'Per Line'!$D$2:$D$1601,$B21,'Per Line'!$AM$2:$AM$1601,1,'Per Line'!$AN$2:$AN$1601,0))</f>
        <v/>
      </c>
      <c r="AC21" s="7">
        <f>IF($AH21="","",AB21*AA21)</f>
        <v/>
      </c>
      <c r="AD21" s="7">
        <f>IF($AH21="","",AC21+Z21+W21)</f>
        <v/>
      </c>
      <c r="AE21" s="7">
        <f>IF($AH21="","",AF21-AD21)</f>
        <v/>
      </c>
      <c r="AF21" s="7">
        <f>IF($AH21="","",Y21+AB21+V21)</f>
        <v/>
      </c>
      <c r="AG21" s="7">
        <f>IF($AH21="","",AF21-AD21-N21)</f>
        <v/>
      </c>
      <c r="AH21" s="13">
        <f>IF(ROWS($AH$2:$AH21)&lt;=MAX('Per Line'!$AL$2:$AL$1601),MATCH(ROWS($AH$2:$AH21),'Per Line'!$AL$2:$AL$1601,0),"")</f>
        <v/>
      </c>
    </row>
    <row r="22">
      <c r="A22" s="12" t="n"/>
      <c r="B22">
        <f>IF($AH22="","",INDEX('Per Line'!$D$2:$D$1601,$AH22)&amp;"")</f>
        <v/>
      </c>
      <c r="C22">
        <f>IF($AH22="","",INDEX('Per Line'!$A$2:$A$1601,$AH22)&amp;"")</f>
        <v/>
      </c>
      <c r="D22">
        <f>IF($AH22="","",INDEX('Per Line'!$B$2:$B$1601,$AH22))</f>
        <v/>
      </c>
      <c r="E22">
        <f>IF($AH22="","",INDEX('Per Line'!$C$2:$C$1601,$AH22)&amp;"")</f>
        <v/>
      </c>
      <c r="F22">
        <f>IF($AH22="","",INDEX('Per Line'!$E$2:$E$1601,$AH22)&amp;"")</f>
        <v/>
      </c>
      <c r="G22" s="11">
        <f>IF($AH22="","",INDEX('Per Line'!$F$2:$F$1601,$AH22))</f>
        <v/>
      </c>
      <c r="H22">
        <f>IF($AH22="","",INDEX('Per Line'!$G$2:$G$1601,$AH22)&amp;"")</f>
        <v/>
      </c>
      <c r="I22">
        <f>IF($AH22="","",INDEX('Per Line'!$I$2:$I$1601,$AH22)&amp;"")</f>
        <v/>
      </c>
      <c r="J22">
        <f>IF($AH22="","",INDEX('Per Line'!$J$2:$J$1601,$AH22)&amp;"")</f>
        <v/>
      </c>
      <c r="K22">
        <f>IF($AH22="","",INDEX('Per Line'!$K$2:$K$1601,$AH22)&amp;"")</f>
        <v/>
      </c>
      <c r="L22">
        <f>IF($AH22="","",INDEX('Per Line'!$L$2:$L$1601,$AH22)&amp;"")</f>
        <v/>
      </c>
      <c r="M22">
        <f>IF($AH22="","",INDEX('Per Line'!$M$2:$M$1601,$AH22))</f>
        <v/>
      </c>
      <c r="N22" s="7">
        <f>IF($AH22="","",M22*AE22/100)</f>
        <v/>
      </c>
      <c r="O22">
        <f>IF($AH22="","",INDEX('Per Line'!$Z$2:$Z$1601,$AH22)&amp;"")</f>
        <v/>
      </c>
      <c r="P22">
        <f>IF($AH22="","",INDEX('Per Line'!$AC$2:$AC$1601,$AH22)&amp;"")</f>
        <v/>
      </c>
      <c r="Q22">
        <f>IF($AH22="","",INDEX('Per Line'!$AD$2:$AD$1601,$AH22))</f>
        <v/>
      </c>
      <c r="R22">
        <f>IF($AH22="","",IF(AND(ISNUMBER(Q22),Q22&gt;0),AF22&gt;Q22,FALSE))</f>
        <v/>
      </c>
      <c r="S22">
        <f>IF($AH22="","",INDEX('Per Line'!$AH$2:$AH$1601,$AH22)&amp;"")</f>
        <v/>
      </c>
      <c r="T22" s="11">
        <f>IF($AH22="","",INDEX('Per Line'!$AI$2:$AI$1601,$AH22))</f>
        <v/>
      </c>
      <c r="U22">
        <f>IF($AH22="","",Settings!$C$8)</f>
        <v/>
      </c>
      <c r="V22" s="7">
        <f>IF($AH22="","",SUMIFS('Per Line'!$V$2:$V$1601,'Per Line'!$D$2:$D$1601,$B22,'Per Line'!$AN$2:$AN$1601,1))</f>
        <v/>
      </c>
      <c r="W22" s="7">
        <f>IF($AH22="","",V22*U22)</f>
        <v/>
      </c>
      <c r="X22">
        <f>IF($AH22="","",Settings!$C$7)</f>
        <v/>
      </c>
      <c r="Y22" s="7">
        <f>IF($AH22="","",SUMIFS('Per Line'!$V$2:$V$1601,'Per Line'!$D$2:$D$1601,$B22,'Per Line'!$AM$2:$AM$1601,0,'Per Line'!$AN$2:$AN$1601,0))</f>
        <v/>
      </c>
      <c r="Z22" s="7">
        <f>IF($AH22="","",Y22*X22)</f>
        <v/>
      </c>
      <c r="AA22">
        <f>IF($AH22="","",Settings!$C$6)</f>
        <v/>
      </c>
      <c r="AB22" s="7">
        <f>IF($AH22="","",SUMIFS('Per Line'!$V$2:$V$1601,'Per Line'!$D$2:$D$1601,$B22,'Per Line'!$AM$2:$AM$1601,1,'Per Line'!$AN$2:$AN$1601,0))</f>
        <v/>
      </c>
      <c r="AC22" s="7">
        <f>IF($AH22="","",AB22*AA22)</f>
        <v/>
      </c>
      <c r="AD22" s="7">
        <f>IF($AH22="","",AC22+Z22+W22)</f>
        <v/>
      </c>
      <c r="AE22" s="7">
        <f>IF($AH22="","",AF22-AD22)</f>
        <v/>
      </c>
      <c r="AF22" s="7">
        <f>IF($AH22="","",Y22+AB22+V22)</f>
        <v/>
      </c>
      <c r="AG22" s="7">
        <f>IF($AH22="","",AF22-AD22-N22)</f>
        <v/>
      </c>
      <c r="AH22" s="13">
        <f>IF(ROWS($AH$2:$AH22)&lt;=MAX('Per Line'!$AL$2:$AL$1601),MATCH(ROWS($AH$2:$AH22),'Per Line'!$AL$2:$AL$1601,0),"")</f>
        <v/>
      </c>
    </row>
    <row r="23">
      <c r="A23" s="12" t="n"/>
      <c r="B23">
        <f>IF($AH23="","",INDEX('Per Line'!$D$2:$D$1601,$AH23)&amp;"")</f>
        <v/>
      </c>
      <c r="C23">
        <f>IF($AH23="","",INDEX('Per Line'!$A$2:$A$1601,$AH23)&amp;"")</f>
        <v/>
      </c>
      <c r="D23">
        <f>IF($AH23="","",INDEX('Per Line'!$B$2:$B$1601,$AH23))</f>
        <v/>
      </c>
      <c r="E23">
        <f>IF($AH23="","",INDEX('Per Line'!$C$2:$C$1601,$AH23)&amp;"")</f>
        <v/>
      </c>
      <c r="F23">
        <f>IF($AH23="","",INDEX('Per Line'!$E$2:$E$1601,$AH23)&amp;"")</f>
        <v/>
      </c>
      <c r="G23" s="11">
        <f>IF($AH23="","",INDEX('Per Line'!$F$2:$F$1601,$AH23))</f>
        <v/>
      </c>
      <c r="H23">
        <f>IF($AH23="","",INDEX('Per Line'!$G$2:$G$1601,$AH23)&amp;"")</f>
        <v/>
      </c>
      <c r="I23">
        <f>IF($AH23="","",INDEX('Per Line'!$I$2:$I$1601,$AH23)&amp;"")</f>
        <v/>
      </c>
      <c r="J23">
        <f>IF($AH23="","",INDEX('Per Line'!$J$2:$J$1601,$AH23)&amp;"")</f>
        <v/>
      </c>
      <c r="K23">
        <f>IF($AH23="","",INDEX('Per Line'!$K$2:$K$1601,$AH23)&amp;"")</f>
        <v/>
      </c>
      <c r="L23">
        <f>IF($AH23="","",INDEX('Per Line'!$L$2:$L$1601,$AH23)&amp;"")</f>
        <v/>
      </c>
      <c r="M23">
        <f>IF($AH23="","",INDEX('Per Line'!$M$2:$M$1601,$AH23))</f>
        <v/>
      </c>
      <c r="N23" s="7">
        <f>IF($AH23="","",M23*AE23/100)</f>
        <v/>
      </c>
      <c r="O23">
        <f>IF($AH23="","",INDEX('Per Line'!$Z$2:$Z$1601,$AH23)&amp;"")</f>
        <v/>
      </c>
      <c r="P23">
        <f>IF($AH23="","",INDEX('Per Line'!$AC$2:$AC$1601,$AH23)&amp;"")</f>
        <v/>
      </c>
      <c r="Q23">
        <f>IF($AH23="","",INDEX('Per Line'!$AD$2:$AD$1601,$AH23))</f>
        <v/>
      </c>
      <c r="R23">
        <f>IF($AH23="","",IF(AND(ISNUMBER(Q23),Q23&gt;0),AF23&gt;Q23,FALSE))</f>
        <v/>
      </c>
      <c r="S23">
        <f>IF($AH23="","",INDEX('Per Line'!$AH$2:$AH$1601,$AH23)&amp;"")</f>
        <v/>
      </c>
      <c r="T23" s="11">
        <f>IF($AH23="","",INDEX('Per Line'!$AI$2:$AI$1601,$AH23))</f>
        <v/>
      </c>
      <c r="U23">
        <f>IF($AH23="","",Settings!$C$8)</f>
        <v/>
      </c>
      <c r="V23" s="7">
        <f>IF($AH23="","",SUMIFS('Per Line'!$V$2:$V$1601,'Per Line'!$D$2:$D$1601,$B23,'Per Line'!$AN$2:$AN$1601,1))</f>
        <v/>
      </c>
      <c r="W23" s="7">
        <f>IF($AH23="","",V23*U23)</f>
        <v/>
      </c>
      <c r="X23">
        <f>IF($AH23="","",Settings!$C$7)</f>
        <v/>
      </c>
      <c r="Y23" s="7">
        <f>IF($AH23="","",SUMIFS('Per Line'!$V$2:$V$1601,'Per Line'!$D$2:$D$1601,$B23,'Per Line'!$AM$2:$AM$1601,0,'Per Line'!$AN$2:$AN$1601,0))</f>
        <v/>
      </c>
      <c r="Z23" s="7">
        <f>IF($AH23="","",Y23*X23)</f>
        <v/>
      </c>
      <c r="AA23">
        <f>IF($AH23="","",Settings!$C$6)</f>
        <v/>
      </c>
      <c r="AB23" s="7">
        <f>IF($AH23="","",SUMIFS('Per Line'!$V$2:$V$1601,'Per Line'!$D$2:$D$1601,$B23,'Per Line'!$AM$2:$AM$1601,1,'Per Line'!$AN$2:$AN$1601,0))</f>
        <v/>
      </c>
      <c r="AC23" s="7">
        <f>IF($AH23="","",AB23*AA23)</f>
        <v/>
      </c>
      <c r="AD23" s="7">
        <f>IF($AH23="","",AC23+Z23+W23)</f>
        <v/>
      </c>
      <c r="AE23" s="7">
        <f>IF($AH23="","",AF23-AD23)</f>
        <v/>
      </c>
      <c r="AF23" s="7">
        <f>IF($AH23="","",Y23+AB23+V23)</f>
        <v/>
      </c>
      <c r="AG23" s="7">
        <f>IF($AH23="","",AF23-AD23-N23)</f>
        <v/>
      </c>
      <c r="AH23" s="13">
        <f>IF(ROWS($AH$2:$AH23)&lt;=MAX('Per Line'!$AL$2:$AL$1601),MATCH(ROWS($AH$2:$AH23),'Per Line'!$AL$2:$AL$1601,0),"")</f>
        <v/>
      </c>
    </row>
    <row r="24">
      <c r="A24" s="12" t="n"/>
      <c r="B24">
        <f>IF($AH24="","",INDEX('Per Line'!$D$2:$D$1601,$AH24)&amp;"")</f>
        <v/>
      </c>
      <c r="C24">
        <f>IF($AH24="","",INDEX('Per Line'!$A$2:$A$1601,$AH24)&amp;"")</f>
        <v/>
      </c>
      <c r="D24">
        <f>IF($AH24="","",INDEX('Per Line'!$B$2:$B$1601,$AH24))</f>
        <v/>
      </c>
      <c r="E24">
        <f>IF($AH24="","",INDEX('Per Line'!$C$2:$C$1601,$AH24)&amp;"")</f>
        <v/>
      </c>
      <c r="F24">
        <f>IF($AH24="","",INDEX('Per Line'!$E$2:$E$1601,$AH24)&amp;"")</f>
        <v/>
      </c>
      <c r="G24" s="11">
        <f>IF($AH24="","",INDEX('Per Line'!$F$2:$F$1601,$AH24))</f>
        <v/>
      </c>
      <c r="H24">
        <f>IF($AH24="","",INDEX('Per Line'!$G$2:$G$1601,$AH24)&amp;"")</f>
        <v/>
      </c>
      <c r="I24">
        <f>IF($AH24="","",INDEX('Per Line'!$I$2:$I$1601,$AH24)&amp;"")</f>
        <v/>
      </c>
      <c r="J24">
        <f>IF($AH24="","",INDEX('Per Line'!$J$2:$J$1601,$AH24)&amp;"")</f>
        <v/>
      </c>
      <c r="K24">
        <f>IF($AH24="","",INDEX('Per Line'!$K$2:$K$1601,$AH24)&amp;"")</f>
        <v/>
      </c>
      <c r="L24">
        <f>IF($AH24="","",INDEX('Per Line'!$L$2:$L$1601,$AH24)&amp;"")</f>
        <v/>
      </c>
      <c r="M24">
        <f>IF($AH24="","",INDEX('Per Line'!$M$2:$M$1601,$AH24))</f>
        <v/>
      </c>
      <c r="N24" s="7">
        <f>IF($AH24="","",M24*AE24/100)</f>
        <v/>
      </c>
      <c r="O24">
        <f>IF($AH24="","",INDEX('Per Line'!$Z$2:$Z$1601,$AH24)&amp;"")</f>
        <v/>
      </c>
      <c r="P24">
        <f>IF($AH24="","",INDEX('Per Line'!$AC$2:$AC$1601,$AH24)&amp;"")</f>
        <v/>
      </c>
      <c r="Q24">
        <f>IF($AH24="","",INDEX('Per Line'!$AD$2:$AD$1601,$AH24))</f>
        <v/>
      </c>
      <c r="R24">
        <f>IF($AH24="","",IF(AND(ISNUMBER(Q24),Q24&gt;0),AF24&gt;Q24,FALSE))</f>
        <v/>
      </c>
      <c r="S24">
        <f>IF($AH24="","",INDEX('Per Line'!$AH$2:$AH$1601,$AH24)&amp;"")</f>
        <v/>
      </c>
      <c r="T24" s="11">
        <f>IF($AH24="","",INDEX('Per Line'!$AI$2:$AI$1601,$AH24))</f>
        <v/>
      </c>
      <c r="U24">
        <f>IF($AH24="","",Settings!$C$8)</f>
        <v/>
      </c>
      <c r="V24" s="7">
        <f>IF($AH24="","",SUMIFS('Per Line'!$V$2:$V$1601,'Per Line'!$D$2:$D$1601,$B24,'Per Line'!$AN$2:$AN$1601,1))</f>
        <v/>
      </c>
      <c r="W24" s="7">
        <f>IF($AH24="","",V24*U24)</f>
        <v/>
      </c>
      <c r="X24">
        <f>IF($AH24="","",Settings!$C$7)</f>
        <v/>
      </c>
      <c r="Y24" s="7">
        <f>IF($AH24="","",SUMIFS('Per Line'!$V$2:$V$1601,'Per Line'!$D$2:$D$1601,$B24,'Per Line'!$AM$2:$AM$1601,0,'Per Line'!$AN$2:$AN$1601,0))</f>
        <v/>
      </c>
      <c r="Z24" s="7">
        <f>IF($AH24="","",Y24*X24)</f>
        <v/>
      </c>
      <c r="AA24">
        <f>IF($AH24="","",Settings!$C$6)</f>
        <v/>
      </c>
      <c r="AB24" s="7">
        <f>IF($AH24="","",SUMIFS('Per Line'!$V$2:$V$1601,'Per Line'!$D$2:$D$1601,$B24,'Per Line'!$AM$2:$AM$1601,1,'Per Line'!$AN$2:$AN$1601,0))</f>
        <v/>
      </c>
      <c r="AC24" s="7">
        <f>IF($AH24="","",AB24*AA24)</f>
        <v/>
      </c>
      <c r="AD24" s="7">
        <f>IF($AH24="","",AC24+Z24+W24)</f>
        <v/>
      </c>
      <c r="AE24" s="7">
        <f>IF($AH24="","",AF24-AD24)</f>
        <v/>
      </c>
      <c r="AF24" s="7">
        <f>IF($AH24="","",Y24+AB24+V24)</f>
        <v/>
      </c>
      <c r="AG24" s="7">
        <f>IF($AH24="","",AF24-AD24-N24)</f>
        <v/>
      </c>
      <c r="AH24" s="13">
        <f>IF(ROWS($AH$2:$AH24)&lt;=MAX('Per Line'!$AL$2:$AL$1601),MATCH(ROWS($AH$2:$AH24),'Per Line'!$AL$2:$AL$1601,0),"")</f>
        <v/>
      </c>
    </row>
    <row r="25">
      <c r="A25" s="12" t="n"/>
      <c r="B25">
        <f>IF($AH25="","",INDEX('Per Line'!$D$2:$D$1601,$AH25)&amp;"")</f>
        <v/>
      </c>
      <c r="C25">
        <f>IF($AH25="","",INDEX('Per Line'!$A$2:$A$1601,$AH25)&amp;"")</f>
        <v/>
      </c>
      <c r="D25">
        <f>IF($AH25="","",INDEX('Per Line'!$B$2:$B$1601,$AH25))</f>
        <v/>
      </c>
      <c r="E25">
        <f>IF($AH25="","",INDEX('Per Line'!$C$2:$C$1601,$AH25)&amp;"")</f>
        <v/>
      </c>
      <c r="F25">
        <f>IF($AH25="","",INDEX('Per Line'!$E$2:$E$1601,$AH25)&amp;"")</f>
        <v/>
      </c>
      <c r="G25" s="11">
        <f>IF($AH25="","",INDEX('Per Line'!$F$2:$F$1601,$AH25))</f>
        <v/>
      </c>
      <c r="H25">
        <f>IF($AH25="","",INDEX('Per Line'!$G$2:$G$1601,$AH25)&amp;"")</f>
        <v/>
      </c>
      <c r="I25">
        <f>IF($AH25="","",INDEX('Per Line'!$I$2:$I$1601,$AH25)&amp;"")</f>
        <v/>
      </c>
      <c r="J25">
        <f>IF($AH25="","",INDEX('Per Line'!$J$2:$J$1601,$AH25)&amp;"")</f>
        <v/>
      </c>
      <c r="K25">
        <f>IF($AH25="","",INDEX('Per Line'!$K$2:$K$1601,$AH25)&amp;"")</f>
        <v/>
      </c>
      <c r="L25">
        <f>IF($AH25="","",INDEX('Per Line'!$L$2:$L$1601,$AH25)&amp;"")</f>
        <v/>
      </c>
      <c r="M25">
        <f>IF($AH25="","",INDEX('Per Line'!$M$2:$M$1601,$AH25))</f>
        <v/>
      </c>
      <c r="N25" s="7">
        <f>IF($AH25="","",M25*AE25/100)</f>
        <v/>
      </c>
      <c r="O25">
        <f>IF($AH25="","",INDEX('Per Line'!$Z$2:$Z$1601,$AH25)&amp;"")</f>
        <v/>
      </c>
      <c r="P25">
        <f>IF($AH25="","",INDEX('Per Line'!$AC$2:$AC$1601,$AH25)&amp;"")</f>
        <v/>
      </c>
      <c r="Q25">
        <f>IF($AH25="","",INDEX('Per Line'!$AD$2:$AD$1601,$AH25))</f>
        <v/>
      </c>
      <c r="R25">
        <f>IF($AH25="","",IF(AND(ISNUMBER(Q25),Q25&gt;0),AF25&gt;Q25,FALSE))</f>
        <v/>
      </c>
      <c r="S25">
        <f>IF($AH25="","",INDEX('Per Line'!$AH$2:$AH$1601,$AH25)&amp;"")</f>
        <v/>
      </c>
      <c r="T25" s="11">
        <f>IF($AH25="","",INDEX('Per Line'!$AI$2:$AI$1601,$AH25))</f>
        <v/>
      </c>
      <c r="U25">
        <f>IF($AH25="","",Settings!$C$8)</f>
        <v/>
      </c>
      <c r="V25" s="7">
        <f>IF($AH25="","",SUMIFS('Per Line'!$V$2:$V$1601,'Per Line'!$D$2:$D$1601,$B25,'Per Line'!$AN$2:$AN$1601,1))</f>
        <v/>
      </c>
      <c r="W25" s="7">
        <f>IF($AH25="","",V25*U25)</f>
        <v/>
      </c>
      <c r="X25">
        <f>IF($AH25="","",Settings!$C$7)</f>
        <v/>
      </c>
      <c r="Y25" s="7">
        <f>IF($AH25="","",SUMIFS('Per Line'!$V$2:$V$1601,'Per Line'!$D$2:$D$1601,$B25,'Per Line'!$AM$2:$AM$1601,0,'Per Line'!$AN$2:$AN$1601,0))</f>
        <v/>
      </c>
      <c r="Z25" s="7">
        <f>IF($AH25="","",Y25*X25)</f>
        <v/>
      </c>
      <c r="AA25">
        <f>IF($AH25="","",Settings!$C$6)</f>
        <v/>
      </c>
      <c r="AB25" s="7">
        <f>IF($AH25="","",SUMIFS('Per Line'!$V$2:$V$1601,'Per Line'!$D$2:$D$1601,$B25,'Per Line'!$AM$2:$AM$1601,1,'Per Line'!$AN$2:$AN$1601,0))</f>
        <v/>
      </c>
      <c r="AC25" s="7">
        <f>IF($AH25="","",AB25*AA25)</f>
        <v/>
      </c>
      <c r="AD25" s="7">
        <f>IF($AH25="","",AC25+Z25+W25)</f>
        <v/>
      </c>
      <c r="AE25" s="7">
        <f>IF($AH25="","",AF25-AD25)</f>
        <v/>
      </c>
      <c r="AF25" s="7">
        <f>IF($AH25="","",Y25+AB25+V25)</f>
        <v/>
      </c>
      <c r="AG25" s="7">
        <f>IF($AH25="","",AF25-AD25-N25)</f>
        <v/>
      </c>
      <c r="AH25" s="13">
        <f>IF(ROWS($AH$2:$AH25)&lt;=MAX('Per Line'!$AL$2:$AL$1601),MATCH(ROWS($AH$2:$AH25),'Per Line'!$AL$2:$AL$1601,0),"")</f>
        <v/>
      </c>
    </row>
    <row r="26">
      <c r="A26" s="12" t="n"/>
      <c r="B26">
        <f>IF($AH26="","",INDEX('Per Line'!$D$2:$D$1601,$AH26)&amp;"")</f>
        <v/>
      </c>
      <c r="C26">
        <f>IF($AH26="","",INDEX('Per Line'!$A$2:$A$1601,$AH26)&amp;"")</f>
        <v/>
      </c>
      <c r="D26">
        <f>IF($AH26="","",INDEX('Per Line'!$B$2:$B$1601,$AH26))</f>
        <v/>
      </c>
      <c r="E26">
        <f>IF($AH26="","",INDEX('Per Line'!$C$2:$C$1601,$AH26)&amp;"")</f>
        <v/>
      </c>
      <c r="F26">
        <f>IF($AH26="","",INDEX('Per Line'!$E$2:$E$1601,$AH26)&amp;"")</f>
        <v/>
      </c>
      <c r="G26" s="11">
        <f>IF($AH26="","",INDEX('Per Line'!$F$2:$F$1601,$AH26))</f>
        <v/>
      </c>
      <c r="H26">
        <f>IF($AH26="","",INDEX('Per Line'!$G$2:$G$1601,$AH26)&amp;"")</f>
        <v/>
      </c>
      <c r="I26">
        <f>IF($AH26="","",INDEX('Per Line'!$I$2:$I$1601,$AH26)&amp;"")</f>
        <v/>
      </c>
      <c r="J26">
        <f>IF($AH26="","",INDEX('Per Line'!$J$2:$J$1601,$AH26)&amp;"")</f>
        <v/>
      </c>
      <c r="K26">
        <f>IF($AH26="","",INDEX('Per Line'!$K$2:$K$1601,$AH26)&amp;"")</f>
        <v/>
      </c>
      <c r="L26">
        <f>IF($AH26="","",INDEX('Per Line'!$L$2:$L$1601,$AH26)&amp;"")</f>
        <v/>
      </c>
      <c r="M26">
        <f>IF($AH26="","",INDEX('Per Line'!$M$2:$M$1601,$AH26))</f>
        <v/>
      </c>
      <c r="N26" s="7">
        <f>IF($AH26="","",M26*AE26/100)</f>
        <v/>
      </c>
      <c r="O26">
        <f>IF($AH26="","",INDEX('Per Line'!$Z$2:$Z$1601,$AH26)&amp;"")</f>
        <v/>
      </c>
      <c r="P26">
        <f>IF($AH26="","",INDEX('Per Line'!$AC$2:$AC$1601,$AH26)&amp;"")</f>
        <v/>
      </c>
      <c r="Q26">
        <f>IF($AH26="","",INDEX('Per Line'!$AD$2:$AD$1601,$AH26))</f>
        <v/>
      </c>
      <c r="R26">
        <f>IF($AH26="","",IF(AND(ISNUMBER(Q26),Q26&gt;0),AF26&gt;Q26,FALSE))</f>
        <v/>
      </c>
      <c r="S26">
        <f>IF($AH26="","",INDEX('Per Line'!$AH$2:$AH$1601,$AH26)&amp;"")</f>
        <v/>
      </c>
      <c r="T26" s="11">
        <f>IF($AH26="","",INDEX('Per Line'!$AI$2:$AI$1601,$AH26))</f>
        <v/>
      </c>
      <c r="U26">
        <f>IF($AH26="","",Settings!$C$8)</f>
        <v/>
      </c>
      <c r="V26" s="7">
        <f>IF($AH26="","",SUMIFS('Per Line'!$V$2:$V$1601,'Per Line'!$D$2:$D$1601,$B26,'Per Line'!$AN$2:$AN$1601,1))</f>
        <v/>
      </c>
      <c r="W26" s="7">
        <f>IF($AH26="","",V26*U26)</f>
        <v/>
      </c>
      <c r="X26">
        <f>IF($AH26="","",Settings!$C$7)</f>
        <v/>
      </c>
      <c r="Y26" s="7">
        <f>IF($AH26="","",SUMIFS('Per Line'!$V$2:$V$1601,'Per Line'!$D$2:$D$1601,$B26,'Per Line'!$AM$2:$AM$1601,0,'Per Line'!$AN$2:$AN$1601,0))</f>
        <v/>
      </c>
      <c r="Z26" s="7">
        <f>IF($AH26="","",Y26*X26)</f>
        <v/>
      </c>
      <c r="AA26">
        <f>IF($AH26="","",Settings!$C$6)</f>
        <v/>
      </c>
      <c r="AB26" s="7">
        <f>IF($AH26="","",SUMIFS('Per Line'!$V$2:$V$1601,'Per Line'!$D$2:$D$1601,$B26,'Per Line'!$AM$2:$AM$1601,1,'Per Line'!$AN$2:$AN$1601,0))</f>
        <v/>
      </c>
      <c r="AC26" s="7">
        <f>IF($AH26="","",AB26*AA26)</f>
        <v/>
      </c>
      <c r="AD26" s="7">
        <f>IF($AH26="","",AC26+Z26+W26)</f>
        <v/>
      </c>
      <c r="AE26" s="7">
        <f>IF($AH26="","",AF26-AD26)</f>
        <v/>
      </c>
      <c r="AF26" s="7">
        <f>IF($AH26="","",Y26+AB26+V26)</f>
        <v/>
      </c>
      <c r="AG26" s="7">
        <f>IF($AH26="","",AF26-AD26-N26)</f>
        <v/>
      </c>
      <c r="AH26" s="13">
        <f>IF(ROWS($AH$2:$AH26)&lt;=MAX('Per Line'!$AL$2:$AL$1601),MATCH(ROWS($AH$2:$AH26),'Per Line'!$AL$2:$AL$1601,0),"")</f>
        <v/>
      </c>
    </row>
    <row r="27">
      <c r="A27" s="12" t="n"/>
      <c r="B27">
        <f>IF($AH27="","",INDEX('Per Line'!$D$2:$D$1601,$AH27)&amp;"")</f>
        <v/>
      </c>
      <c r="C27">
        <f>IF($AH27="","",INDEX('Per Line'!$A$2:$A$1601,$AH27)&amp;"")</f>
        <v/>
      </c>
      <c r="D27">
        <f>IF($AH27="","",INDEX('Per Line'!$B$2:$B$1601,$AH27))</f>
        <v/>
      </c>
      <c r="E27">
        <f>IF($AH27="","",INDEX('Per Line'!$C$2:$C$1601,$AH27)&amp;"")</f>
        <v/>
      </c>
      <c r="F27">
        <f>IF($AH27="","",INDEX('Per Line'!$E$2:$E$1601,$AH27)&amp;"")</f>
        <v/>
      </c>
      <c r="G27" s="11">
        <f>IF($AH27="","",INDEX('Per Line'!$F$2:$F$1601,$AH27))</f>
        <v/>
      </c>
      <c r="H27">
        <f>IF($AH27="","",INDEX('Per Line'!$G$2:$G$1601,$AH27)&amp;"")</f>
        <v/>
      </c>
      <c r="I27">
        <f>IF($AH27="","",INDEX('Per Line'!$I$2:$I$1601,$AH27)&amp;"")</f>
        <v/>
      </c>
      <c r="J27">
        <f>IF($AH27="","",INDEX('Per Line'!$J$2:$J$1601,$AH27)&amp;"")</f>
        <v/>
      </c>
      <c r="K27">
        <f>IF($AH27="","",INDEX('Per Line'!$K$2:$K$1601,$AH27)&amp;"")</f>
        <v/>
      </c>
      <c r="L27">
        <f>IF($AH27="","",INDEX('Per Line'!$L$2:$L$1601,$AH27)&amp;"")</f>
        <v/>
      </c>
      <c r="M27">
        <f>IF($AH27="","",INDEX('Per Line'!$M$2:$M$1601,$AH27))</f>
        <v/>
      </c>
      <c r="N27" s="7">
        <f>IF($AH27="","",M27*AE27/100)</f>
        <v/>
      </c>
      <c r="O27">
        <f>IF($AH27="","",INDEX('Per Line'!$Z$2:$Z$1601,$AH27)&amp;"")</f>
        <v/>
      </c>
      <c r="P27">
        <f>IF($AH27="","",INDEX('Per Line'!$AC$2:$AC$1601,$AH27)&amp;"")</f>
        <v/>
      </c>
      <c r="Q27">
        <f>IF($AH27="","",INDEX('Per Line'!$AD$2:$AD$1601,$AH27))</f>
        <v/>
      </c>
      <c r="R27">
        <f>IF($AH27="","",IF(AND(ISNUMBER(Q27),Q27&gt;0),AF27&gt;Q27,FALSE))</f>
        <v/>
      </c>
      <c r="S27">
        <f>IF($AH27="","",INDEX('Per Line'!$AH$2:$AH$1601,$AH27)&amp;"")</f>
        <v/>
      </c>
      <c r="T27" s="11">
        <f>IF($AH27="","",INDEX('Per Line'!$AI$2:$AI$1601,$AH27))</f>
        <v/>
      </c>
      <c r="U27">
        <f>IF($AH27="","",Settings!$C$8)</f>
        <v/>
      </c>
      <c r="V27" s="7">
        <f>IF($AH27="","",SUMIFS('Per Line'!$V$2:$V$1601,'Per Line'!$D$2:$D$1601,$B27,'Per Line'!$AN$2:$AN$1601,1))</f>
        <v/>
      </c>
      <c r="W27" s="7">
        <f>IF($AH27="","",V27*U27)</f>
        <v/>
      </c>
      <c r="X27">
        <f>IF($AH27="","",Settings!$C$7)</f>
        <v/>
      </c>
      <c r="Y27" s="7">
        <f>IF($AH27="","",SUMIFS('Per Line'!$V$2:$V$1601,'Per Line'!$D$2:$D$1601,$B27,'Per Line'!$AM$2:$AM$1601,0,'Per Line'!$AN$2:$AN$1601,0))</f>
        <v/>
      </c>
      <c r="Z27" s="7">
        <f>IF($AH27="","",Y27*X27)</f>
        <v/>
      </c>
      <c r="AA27">
        <f>IF($AH27="","",Settings!$C$6)</f>
        <v/>
      </c>
      <c r="AB27" s="7">
        <f>IF($AH27="","",SUMIFS('Per Line'!$V$2:$V$1601,'Per Line'!$D$2:$D$1601,$B27,'Per Line'!$AM$2:$AM$1601,1,'Per Line'!$AN$2:$AN$1601,0))</f>
        <v/>
      </c>
      <c r="AC27" s="7">
        <f>IF($AH27="","",AB27*AA27)</f>
        <v/>
      </c>
      <c r="AD27" s="7">
        <f>IF($AH27="","",AC27+Z27+W27)</f>
        <v/>
      </c>
      <c r="AE27" s="7">
        <f>IF($AH27="","",AF27-AD27)</f>
        <v/>
      </c>
      <c r="AF27" s="7">
        <f>IF($AH27="","",Y27+AB27+V27)</f>
        <v/>
      </c>
      <c r="AG27" s="7">
        <f>IF($AH27="","",AF27-AD27-N27)</f>
        <v/>
      </c>
      <c r="AH27" s="13">
        <f>IF(ROWS($AH$2:$AH27)&lt;=MAX('Per Line'!$AL$2:$AL$1601),MATCH(ROWS($AH$2:$AH27),'Per Line'!$AL$2:$AL$1601,0),"")</f>
        <v/>
      </c>
    </row>
    <row r="28">
      <c r="A28" s="12" t="n"/>
      <c r="B28">
        <f>IF($AH28="","",INDEX('Per Line'!$D$2:$D$1601,$AH28)&amp;"")</f>
        <v/>
      </c>
      <c r="C28">
        <f>IF($AH28="","",INDEX('Per Line'!$A$2:$A$1601,$AH28)&amp;"")</f>
        <v/>
      </c>
      <c r="D28">
        <f>IF($AH28="","",INDEX('Per Line'!$B$2:$B$1601,$AH28))</f>
        <v/>
      </c>
      <c r="E28">
        <f>IF($AH28="","",INDEX('Per Line'!$C$2:$C$1601,$AH28)&amp;"")</f>
        <v/>
      </c>
      <c r="F28">
        <f>IF($AH28="","",INDEX('Per Line'!$E$2:$E$1601,$AH28)&amp;"")</f>
        <v/>
      </c>
      <c r="G28" s="11">
        <f>IF($AH28="","",INDEX('Per Line'!$F$2:$F$1601,$AH28))</f>
        <v/>
      </c>
      <c r="H28">
        <f>IF($AH28="","",INDEX('Per Line'!$G$2:$G$1601,$AH28)&amp;"")</f>
        <v/>
      </c>
      <c r="I28">
        <f>IF($AH28="","",INDEX('Per Line'!$I$2:$I$1601,$AH28)&amp;"")</f>
        <v/>
      </c>
      <c r="J28">
        <f>IF($AH28="","",INDEX('Per Line'!$J$2:$J$1601,$AH28)&amp;"")</f>
        <v/>
      </c>
      <c r="K28">
        <f>IF($AH28="","",INDEX('Per Line'!$K$2:$K$1601,$AH28)&amp;"")</f>
        <v/>
      </c>
      <c r="L28">
        <f>IF($AH28="","",INDEX('Per Line'!$L$2:$L$1601,$AH28)&amp;"")</f>
        <v/>
      </c>
      <c r="M28">
        <f>IF($AH28="","",INDEX('Per Line'!$M$2:$M$1601,$AH28))</f>
        <v/>
      </c>
      <c r="N28" s="7">
        <f>IF($AH28="","",M28*AE28/100)</f>
        <v/>
      </c>
      <c r="O28">
        <f>IF($AH28="","",INDEX('Per Line'!$Z$2:$Z$1601,$AH28)&amp;"")</f>
        <v/>
      </c>
      <c r="P28">
        <f>IF($AH28="","",INDEX('Per Line'!$AC$2:$AC$1601,$AH28)&amp;"")</f>
        <v/>
      </c>
      <c r="Q28">
        <f>IF($AH28="","",INDEX('Per Line'!$AD$2:$AD$1601,$AH28))</f>
        <v/>
      </c>
      <c r="R28">
        <f>IF($AH28="","",IF(AND(ISNUMBER(Q28),Q28&gt;0),AF28&gt;Q28,FALSE))</f>
        <v/>
      </c>
      <c r="S28">
        <f>IF($AH28="","",INDEX('Per Line'!$AH$2:$AH$1601,$AH28)&amp;"")</f>
        <v/>
      </c>
      <c r="T28" s="11">
        <f>IF($AH28="","",INDEX('Per Line'!$AI$2:$AI$1601,$AH28))</f>
        <v/>
      </c>
      <c r="U28">
        <f>IF($AH28="","",Settings!$C$8)</f>
        <v/>
      </c>
      <c r="V28" s="7">
        <f>IF($AH28="","",SUMIFS('Per Line'!$V$2:$V$1601,'Per Line'!$D$2:$D$1601,$B28,'Per Line'!$AN$2:$AN$1601,1))</f>
        <v/>
      </c>
      <c r="W28" s="7">
        <f>IF($AH28="","",V28*U28)</f>
        <v/>
      </c>
      <c r="X28">
        <f>IF($AH28="","",Settings!$C$7)</f>
        <v/>
      </c>
      <c r="Y28" s="7">
        <f>IF($AH28="","",SUMIFS('Per Line'!$V$2:$V$1601,'Per Line'!$D$2:$D$1601,$B28,'Per Line'!$AM$2:$AM$1601,0,'Per Line'!$AN$2:$AN$1601,0))</f>
        <v/>
      </c>
      <c r="Z28" s="7">
        <f>IF($AH28="","",Y28*X28)</f>
        <v/>
      </c>
      <c r="AA28">
        <f>IF($AH28="","",Settings!$C$6)</f>
        <v/>
      </c>
      <c r="AB28" s="7">
        <f>IF($AH28="","",SUMIFS('Per Line'!$V$2:$V$1601,'Per Line'!$D$2:$D$1601,$B28,'Per Line'!$AM$2:$AM$1601,1,'Per Line'!$AN$2:$AN$1601,0))</f>
        <v/>
      </c>
      <c r="AC28" s="7">
        <f>IF($AH28="","",AB28*AA28)</f>
        <v/>
      </c>
      <c r="AD28" s="7">
        <f>IF($AH28="","",AC28+Z28+W28)</f>
        <v/>
      </c>
      <c r="AE28" s="7">
        <f>IF($AH28="","",AF28-AD28)</f>
        <v/>
      </c>
      <c r="AF28" s="7">
        <f>IF($AH28="","",Y28+AB28+V28)</f>
        <v/>
      </c>
      <c r="AG28" s="7">
        <f>IF($AH28="","",AF28-AD28-N28)</f>
        <v/>
      </c>
      <c r="AH28" s="13">
        <f>IF(ROWS($AH$2:$AH28)&lt;=MAX('Per Line'!$AL$2:$AL$1601),MATCH(ROWS($AH$2:$AH28),'Per Line'!$AL$2:$AL$1601,0),"")</f>
        <v/>
      </c>
    </row>
    <row r="29">
      <c r="A29" s="12" t="n"/>
      <c r="B29">
        <f>IF($AH29="","",INDEX('Per Line'!$D$2:$D$1601,$AH29)&amp;"")</f>
        <v/>
      </c>
      <c r="C29">
        <f>IF($AH29="","",INDEX('Per Line'!$A$2:$A$1601,$AH29)&amp;"")</f>
        <v/>
      </c>
      <c r="D29">
        <f>IF($AH29="","",INDEX('Per Line'!$B$2:$B$1601,$AH29))</f>
        <v/>
      </c>
      <c r="E29">
        <f>IF($AH29="","",INDEX('Per Line'!$C$2:$C$1601,$AH29)&amp;"")</f>
        <v/>
      </c>
      <c r="F29">
        <f>IF($AH29="","",INDEX('Per Line'!$E$2:$E$1601,$AH29)&amp;"")</f>
        <v/>
      </c>
      <c r="G29" s="11">
        <f>IF($AH29="","",INDEX('Per Line'!$F$2:$F$1601,$AH29))</f>
        <v/>
      </c>
      <c r="H29">
        <f>IF($AH29="","",INDEX('Per Line'!$G$2:$G$1601,$AH29)&amp;"")</f>
        <v/>
      </c>
      <c r="I29">
        <f>IF($AH29="","",INDEX('Per Line'!$I$2:$I$1601,$AH29)&amp;"")</f>
        <v/>
      </c>
      <c r="J29">
        <f>IF($AH29="","",INDEX('Per Line'!$J$2:$J$1601,$AH29)&amp;"")</f>
        <v/>
      </c>
      <c r="K29">
        <f>IF($AH29="","",INDEX('Per Line'!$K$2:$K$1601,$AH29)&amp;"")</f>
        <v/>
      </c>
      <c r="L29">
        <f>IF($AH29="","",INDEX('Per Line'!$L$2:$L$1601,$AH29)&amp;"")</f>
        <v/>
      </c>
      <c r="M29">
        <f>IF($AH29="","",INDEX('Per Line'!$M$2:$M$1601,$AH29))</f>
        <v/>
      </c>
      <c r="N29" s="7">
        <f>IF($AH29="","",M29*AE29/100)</f>
        <v/>
      </c>
      <c r="O29">
        <f>IF($AH29="","",INDEX('Per Line'!$Z$2:$Z$1601,$AH29)&amp;"")</f>
        <v/>
      </c>
      <c r="P29">
        <f>IF($AH29="","",INDEX('Per Line'!$AC$2:$AC$1601,$AH29)&amp;"")</f>
        <v/>
      </c>
      <c r="Q29">
        <f>IF($AH29="","",INDEX('Per Line'!$AD$2:$AD$1601,$AH29))</f>
        <v/>
      </c>
      <c r="R29">
        <f>IF($AH29="","",IF(AND(ISNUMBER(Q29),Q29&gt;0),AF29&gt;Q29,FALSE))</f>
        <v/>
      </c>
      <c r="S29">
        <f>IF($AH29="","",INDEX('Per Line'!$AH$2:$AH$1601,$AH29)&amp;"")</f>
        <v/>
      </c>
      <c r="T29" s="11">
        <f>IF($AH29="","",INDEX('Per Line'!$AI$2:$AI$1601,$AH29))</f>
        <v/>
      </c>
      <c r="U29">
        <f>IF($AH29="","",Settings!$C$8)</f>
        <v/>
      </c>
      <c r="V29" s="7">
        <f>IF($AH29="","",SUMIFS('Per Line'!$V$2:$V$1601,'Per Line'!$D$2:$D$1601,$B29,'Per Line'!$AN$2:$AN$1601,1))</f>
        <v/>
      </c>
      <c r="W29" s="7">
        <f>IF($AH29="","",V29*U29)</f>
        <v/>
      </c>
      <c r="X29">
        <f>IF($AH29="","",Settings!$C$7)</f>
        <v/>
      </c>
      <c r="Y29" s="7">
        <f>IF($AH29="","",SUMIFS('Per Line'!$V$2:$V$1601,'Per Line'!$D$2:$D$1601,$B29,'Per Line'!$AM$2:$AM$1601,0,'Per Line'!$AN$2:$AN$1601,0))</f>
        <v/>
      </c>
      <c r="Z29" s="7">
        <f>IF($AH29="","",Y29*X29)</f>
        <v/>
      </c>
      <c r="AA29">
        <f>IF($AH29="","",Settings!$C$6)</f>
        <v/>
      </c>
      <c r="AB29" s="7">
        <f>IF($AH29="","",SUMIFS('Per Line'!$V$2:$V$1601,'Per Line'!$D$2:$D$1601,$B29,'Per Line'!$AM$2:$AM$1601,1,'Per Line'!$AN$2:$AN$1601,0))</f>
        <v/>
      </c>
      <c r="AC29" s="7">
        <f>IF($AH29="","",AB29*AA29)</f>
        <v/>
      </c>
      <c r="AD29" s="7">
        <f>IF($AH29="","",AC29+Z29+W29)</f>
        <v/>
      </c>
      <c r="AE29" s="7">
        <f>IF($AH29="","",AF29-AD29)</f>
        <v/>
      </c>
      <c r="AF29" s="7">
        <f>IF($AH29="","",Y29+AB29+V29)</f>
        <v/>
      </c>
      <c r="AG29" s="7">
        <f>IF($AH29="","",AF29-AD29-N29)</f>
        <v/>
      </c>
      <c r="AH29" s="13">
        <f>IF(ROWS($AH$2:$AH29)&lt;=MAX('Per Line'!$AL$2:$AL$1601),MATCH(ROWS($AH$2:$AH29),'Per Line'!$AL$2:$AL$1601,0),"")</f>
        <v/>
      </c>
    </row>
    <row r="30">
      <c r="A30" s="12" t="n"/>
      <c r="B30">
        <f>IF($AH30="","",INDEX('Per Line'!$D$2:$D$1601,$AH30)&amp;"")</f>
        <v/>
      </c>
      <c r="C30">
        <f>IF($AH30="","",INDEX('Per Line'!$A$2:$A$1601,$AH30)&amp;"")</f>
        <v/>
      </c>
      <c r="D30">
        <f>IF($AH30="","",INDEX('Per Line'!$B$2:$B$1601,$AH30))</f>
        <v/>
      </c>
      <c r="E30">
        <f>IF($AH30="","",INDEX('Per Line'!$C$2:$C$1601,$AH30)&amp;"")</f>
        <v/>
      </c>
      <c r="F30">
        <f>IF($AH30="","",INDEX('Per Line'!$E$2:$E$1601,$AH30)&amp;"")</f>
        <v/>
      </c>
      <c r="G30" s="11">
        <f>IF($AH30="","",INDEX('Per Line'!$F$2:$F$1601,$AH30))</f>
        <v/>
      </c>
      <c r="H30">
        <f>IF($AH30="","",INDEX('Per Line'!$G$2:$G$1601,$AH30)&amp;"")</f>
        <v/>
      </c>
      <c r="I30">
        <f>IF($AH30="","",INDEX('Per Line'!$I$2:$I$1601,$AH30)&amp;"")</f>
        <v/>
      </c>
      <c r="J30">
        <f>IF($AH30="","",INDEX('Per Line'!$J$2:$J$1601,$AH30)&amp;"")</f>
        <v/>
      </c>
      <c r="K30">
        <f>IF($AH30="","",INDEX('Per Line'!$K$2:$K$1601,$AH30)&amp;"")</f>
        <v/>
      </c>
      <c r="L30">
        <f>IF($AH30="","",INDEX('Per Line'!$L$2:$L$1601,$AH30)&amp;"")</f>
        <v/>
      </c>
      <c r="M30">
        <f>IF($AH30="","",INDEX('Per Line'!$M$2:$M$1601,$AH30))</f>
        <v/>
      </c>
      <c r="N30" s="7">
        <f>IF($AH30="","",M30*AE30/100)</f>
        <v/>
      </c>
      <c r="O30">
        <f>IF($AH30="","",INDEX('Per Line'!$Z$2:$Z$1601,$AH30)&amp;"")</f>
        <v/>
      </c>
      <c r="P30">
        <f>IF($AH30="","",INDEX('Per Line'!$AC$2:$AC$1601,$AH30)&amp;"")</f>
        <v/>
      </c>
      <c r="Q30">
        <f>IF($AH30="","",INDEX('Per Line'!$AD$2:$AD$1601,$AH30))</f>
        <v/>
      </c>
      <c r="R30">
        <f>IF($AH30="","",IF(AND(ISNUMBER(Q30),Q30&gt;0),AF30&gt;Q30,FALSE))</f>
        <v/>
      </c>
      <c r="S30">
        <f>IF($AH30="","",INDEX('Per Line'!$AH$2:$AH$1601,$AH30)&amp;"")</f>
        <v/>
      </c>
      <c r="T30" s="11">
        <f>IF($AH30="","",INDEX('Per Line'!$AI$2:$AI$1601,$AH30))</f>
        <v/>
      </c>
      <c r="U30">
        <f>IF($AH30="","",Settings!$C$8)</f>
        <v/>
      </c>
      <c r="V30" s="7">
        <f>IF($AH30="","",SUMIFS('Per Line'!$V$2:$V$1601,'Per Line'!$D$2:$D$1601,$B30,'Per Line'!$AN$2:$AN$1601,1))</f>
        <v/>
      </c>
      <c r="W30" s="7">
        <f>IF($AH30="","",V30*U30)</f>
        <v/>
      </c>
      <c r="X30">
        <f>IF($AH30="","",Settings!$C$7)</f>
        <v/>
      </c>
      <c r="Y30" s="7">
        <f>IF($AH30="","",SUMIFS('Per Line'!$V$2:$V$1601,'Per Line'!$D$2:$D$1601,$B30,'Per Line'!$AM$2:$AM$1601,0,'Per Line'!$AN$2:$AN$1601,0))</f>
        <v/>
      </c>
      <c r="Z30" s="7">
        <f>IF($AH30="","",Y30*X30)</f>
        <v/>
      </c>
      <c r="AA30">
        <f>IF($AH30="","",Settings!$C$6)</f>
        <v/>
      </c>
      <c r="AB30" s="7">
        <f>IF($AH30="","",SUMIFS('Per Line'!$V$2:$V$1601,'Per Line'!$D$2:$D$1601,$B30,'Per Line'!$AM$2:$AM$1601,1,'Per Line'!$AN$2:$AN$1601,0))</f>
        <v/>
      </c>
      <c r="AC30" s="7">
        <f>IF($AH30="","",AB30*AA30)</f>
        <v/>
      </c>
      <c r="AD30" s="7">
        <f>IF($AH30="","",AC30+Z30+W30)</f>
        <v/>
      </c>
      <c r="AE30" s="7">
        <f>IF($AH30="","",AF30-AD30)</f>
        <v/>
      </c>
      <c r="AF30" s="7">
        <f>IF($AH30="","",Y30+AB30+V30)</f>
        <v/>
      </c>
      <c r="AG30" s="7">
        <f>IF($AH30="","",AF30-AD30-N30)</f>
        <v/>
      </c>
      <c r="AH30" s="13">
        <f>IF(ROWS($AH$2:$AH30)&lt;=MAX('Per Line'!$AL$2:$AL$1601),MATCH(ROWS($AH$2:$AH30),'Per Line'!$AL$2:$AL$1601,0),"")</f>
        <v/>
      </c>
    </row>
    <row r="31">
      <c r="A31" s="12" t="n"/>
      <c r="B31">
        <f>IF($AH31="","",INDEX('Per Line'!$D$2:$D$1601,$AH31)&amp;"")</f>
        <v/>
      </c>
      <c r="C31">
        <f>IF($AH31="","",INDEX('Per Line'!$A$2:$A$1601,$AH31)&amp;"")</f>
        <v/>
      </c>
      <c r="D31">
        <f>IF($AH31="","",INDEX('Per Line'!$B$2:$B$1601,$AH31))</f>
        <v/>
      </c>
      <c r="E31">
        <f>IF($AH31="","",INDEX('Per Line'!$C$2:$C$1601,$AH31)&amp;"")</f>
        <v/>
      </c>
      <c r="F31">
        <f>IF($AH31="","",INDEX('Per Line'!$E$2:$E$1601,$AH31)&amp;"")</f>
        <v/>
      </c>
      <c r="G31" s="11">
        <f>IF($AH31="","",INDEX('Per Line'!$F$2:$F$1601,$AH31))</f>
        <v/>
      </c>
      <c r="H31">
        <f>IF($AH31="","",INDEX('Per Line'!$G$2:$G$1601,$AH31)&amp;"")</f>
        <v/>
      </c>
      <c r="I31">
        <f>IF($AH31="","",INDEX('Per Line'!$I$2:$I$1601,$AH31)&amp;"")</f>
        <v/>
      </c>
      <c r="J31">
        <f>IF($AH31="","",INDEX('Per Line'!$J$2:$J$1601,$AH31)&amp;"")</f>
        <v/>
      </c>
      <c r="K31">
        <f>IF($AH31="","",INDEX('Per Line'!$K$2:$K$1601,$AH31)&amp;"")</f>
        <v/>
      </c>
      <c r="L31">
        <f>IF($AH31="","",INDEX('Per Line'!$L$2:$L$1601,$AH31)&amp;"")</f>
        <v/>
      </c>
      <c r="M31">
        <f>IF($AH31="","",INDEX('Per Line'!$M$2:$M$1601,$AH31))</f>
        <v/>
      </c>
      <c r="N31" s="7">
        <f>IF($AH31="","",M31*AE31/100)</f>
        <v/>
      </c>
      <c r="O31">
        <f>IF($AH31="","",INDEX('Per Line'!$Z$2:$Z$1601,$AH31)&amp;"")</f>
        <v/>
      </c>
      <c r="P31">
        <f>IF($AH31="","",INDEX('Per Line'!$AC$2:$AC$1601,$AH31)&amp;"")</f>
        <v/>
      </c>
      <c r="Q31">
        <f>IF($AH31="","",INDEX('Per Line'!$AD$2:$AD$1601,$AH31))</f>
        <v/>
      </c>
      <c r="R31">
        <f>IF($AH31="","",IF(AND(ISNUMBER(Q31),Q31&gt;0),AF31&gt;Q31,FALSE))</f>
        <v/>
      </c>
      <c r="S31">
        <f>IF($AH31="","",INDEX('Per Line'!$AH$2:$AH$1601,$AH31)&amp;"")</f>
        <v/>
      </c>
      <c r="T31" s="11">
        <f>IF($AH31="","",INDEX('Per Line'!$AI$2:$AI$1601,$AH31))</f>
        <v/>
      </c>
      <c r="U31">
        <f>IF($AH31="","",Settings!$C$8)</f>
        <v/>
      </c>
      <c r="V31" s="7">
        <f>IF($AH31="","",SUMIFS('Per Line'!$V$2:$V$1601,'Per Line'!$D$2:$D$1601,$B31,'Per Line'!$AN$2:$AN$1601,1))</f>
        <v/>
      </c>
      <c r="W31" s="7">
        <f>IF($AH31="","",V31*U31)</f>
        <v/>
      </c>
      <c r="X31">
        <f>IF($AH31="","",Settings!$C$7)</f>
        <v/>
      </c>
      <c r="Y31" s="7">
        <f>IF($AH31="","",SUMIFS('Per Line'!$V$2:$V$1601,'Per Line'!$D$2:$D$1601,$B31,'Per Line'!$AM$2:$AM$1601,0,'Per Line'!$AN$2:$AN$1601,0))</f>
        <v/>
      </c>
      <c r="Z31" s="7">
        <f>IF($AH31="","",Y31*X31)</f>
        <v/>
      </c>
      <c r="AA31">
        <f>IF($AH31="","",Settings!$C$6)</f>
        <v/>
      </c>
      <c r="AB31" s="7">
        <f>IF($AH31="","",SUMIFS('Per Line'!$V$2:$V$1601,'Per Line'!$D$2:$D$1601,$B31,'Per Line'!$AM$2:$AM$1601,1,'Per Line'!$AN$2:$AN$1601,0))</f>
        <v/>
      </c>
      <c r="AC31" s="7">
        <f>IF($AH31="","",AB31*AA31)</f>
        <v/>
      </c>
      <c r="AD31" s="7">
        <f>IF($AH31="","",AC31+Z31+W31)</f>
        <v/>
      </c>
      <c r="AE31" s="7">
        <f>IF($AH31="","",AF31-AD31)</f>
        <v/>
      </c>
      <c r="AF31" s="7">
        <f>IF($AH31="","",Y31+AB31+V31)</f>
        <v/>
      </c>
      <c r="AG31" s="7">
        <f>IF($AH31="","",AF31-AD31-N31)</f>
        <v/>
      </c>
      <c r="AH31" s="13">
        <f>IF(ROWS($AH$2:$AH31)&lt;=MAX('Per Line'!$AL$2:$AL$1601),MATCH(ROWS($AH$2:$AH31),'Per Line'!$AL$2:$AL$1601,0),"")</f>
        <v/>
      </c>
    </row>
    <row r="32">
      <c r="A32" s="12" t="n"/>
      <c r="B32">
        <f>IF($AH32="","",INDEX('Per Line'!$D$2:$D$1601,$AH32)&amp;"")</f>
        <v/>
      </c>
      <c r="C32">
        <f>IF($AH32="","",INDEX('Per Line'!$A$2:$A$1601,$AH32)&amp;"")</f>
        <v/>
      </c>
      <c r="D32">
        <f>IF($AH32="","",INDEX('Per Line'!$B$2:$B$1601,$AH32))</f>
        <v/>
      </c>
      <c r="E32">
        <f>IF($AH32="","",INDEX('Per Line'!$C$2:$C$1601,$AH32)&amp;"")</f>
        <v/>
      </c>
      <c r="F32">
        <f>IF($AH32="","",INDEX('Per Line'!$E$2:$E$1601,$AH32)&amp;"")</f>
        <v/>
      </c>
      <c r="G32" s="11">
        <f>IF($AH32="","",INDEX('Per Line'!$F$2:$F$1601,$AH32))</f>
        <v/>
      </c>
      <c r="H32">
        <f>IF($AH32="","",INDEX('Per Line'!$G$2:$G$1601,$AH32)&amp;"")</f>
        <v/>
      </c>
      <c r="I32">
        <f>IF($AH32="","",INDEX('Per Line'!$I$2:$I$1601,$AH32)&amp;"")</f>
        <v/>
      </c>
      <c r="J32">
        <f>IF($AH32="","",INDEX('Per Line'!$J$2:$J$1601,$AH32)&amp;"")</f>
        <v/>
      </c>
      <c r="K32">
        <f>IF($AH32="","",INDEX('Per Line'!$K$2:$K$1601,$AH32)&amp;"")</f>
        <v/>
      </c>
      <c r="L32">
        <f>IF($AH32="","",INDEX('Per Line'!$L$2:$L$1601,$AH32)&amp;"")</f>
        <v/>
      </c>
      <c r="M32">
        <f>IF($AH32="","",INDEX('Per Line'!$M$2:$M$1601,$AH32))</f>
        <v/>
      </c>
      <c r="N32" s="7">
        <f>IF($AH32="","",M32*AE32/100)</f>
        <v/>
      </c>
      <c r="O32">
        <f>IF($AH32="","",INDEX('Per Line'!$Z$2:$Z$1601,$AH32)&amp;"")</f>
        <v/>
      </c>
      <c r="P32">
        <f>IF($AH32="","",INDEX('Per Line'!$AC$2:$AC$1601,$AH32)&amp;"")</f>
        <v/>
      </c>
      <c r="Q32">
        <f>IF($AH32="","",INDEX('Per Line'!$AD$2:$AD$1601,$AH32))</f>
        <v/>
      </c>
      <c r="R32">
        <f>IF($AH32="","",IF(AND(ISNUMBER(Q32),Q32&gt;0),AF32&gt;Q32,FALSE))</f>
        <v/>
      </c>
      <c r="S32">
        <f>IF($AH32="","",INDEX('Per Line'!$AH$2:$AH$1601,$AH32)&amp;"")</f>
        <v/>
      </c>
      <c r="T32" s="11">
        <f>IF($AH32="","",INDEX('Per Line'!$AI$2:$AI$1601,$AH32))</f>
        <v/>
      </c>
      <c r="U32">
        <f>IF($AH32="","",Settings!$C$8)</f>
        <v/>
      </c>
      <c r="V32" s="7">
        <f>IF($AH32="","",SUMIFS('Per Line'!$V$2:$V$1601,'Per Line'!$D$2:$D$1601,$B32,'Per Line'!$AN$2:$AN$1601,1))</f>
        <v/>
      </c>
      <c r="W32" s="7">
        <f>IF($AH32="","",V32*U32)</f>
        <v/>
      </c>
      <c r="X32">
        <f>IF($AH32="","",Settings!$C$7)</f>
        <v/>
      </c>
      <c r="Y32" s="7">
        <f>IF($AH32="","",SUMIFS('Per Line'!$V$2:$V$1601,'Per Line'!$D$2:$D$1601,$B32,'Per Line'!$AM$2:$AM$1601,0,'Per Line'!$AN$2:$AN$1601,0))</f>
        <v/>
      </c>
      <c r="Z32" s="7">
        <f>IF($AH32="","",Y32*X32)</f>
        <v/>
      </c>
      <c r="AA32">
        <f>IF($AH32="","",Settings!$C$6)</f>
        <v/>
      </c>
      <c r="AB32" s="7">
        <f>IF($AH32="","",SUMIFS('Per Line'!$V$2:$V$1601,'Per Line'!$D$2:$D$1601,$B32,'Per Line'!$AM$2:$AM$1601,1,'Per Line'!$AN$2:$AN$1601,0))</f>
        <v/>
      </c>
      <c r="AC32" s="7">
        <f>IF($AH32="","",AB32*AA32)</f>
        <v/>
      </c>
      <c r="AD32" s="7">
        <f>IF($AH32="","",AC32+Z32+W32)</f>
        <v/>
      </c>
      <c r="AE32" s="7">
        <f>IF($AH32="","",AF32-AD32)</f>
        <v/>
      </c>
      <c r="AF32" s="7">
        <f>IF($AH32="","",Y32+AB32+V32)</f>
        <v/>
      </c>
      <c r="AG32" s="7">
        <f>IF($AH32="","",AF32-AD32-N32)</f>
        <v/>
      </c>
      <c r="AH32" s="13">
        <f>IF(ROWS($AH$2:$AH32)&lt;=MAX('Per Line'!$AL$2:$AL$1601),MATCH(ROWS($AH$2:$AH32),'Per Line'!$AL$2:$AL$1601,0),"")</f>
        <v/>
      </c>
    </row>
    <row r="33">
      <c r="A33" s="12" t="n"/>
      <c r="B33">
        <f>IF($AH33="","",INDEX('Per Line'!$D$2:$D$1601,$AH33)&amp;"")</f>
        <v/>
      </c>
      <c r="C33">
        <f>IF($AH33="","",INDEX('Per Line'!$A$2:$A$1601,$AH33)&amp;"")</f>
        <v/>
      </c>
      <c r="D33">
        <f>IF($AH33="","",INDEX('Per Line'!$B$2:$B$1601,$AH33))</f>
        <v/>
      </c>
      <c r="E33">
        <f>IF($AH33="","",INDEX('Per Line'!$C$2:$C$1601,$AH33)&amp;"")</f>
        <v/>
      </c>
      <c r="F33">
        <f>IF($AH33="","",INDEX('Per Line'!$E$2:$E$1601,$AH33)&amp;"")</f>
        <v/>
      </c>
      <c r="G33" s="11">
        <f>IF($AH33="","",INDEX('Per Line'!$F$2:$F$1601,$AH33))</f>
        <v/>
      </c>
      <c r="H33">
        <f>IF($AH33="","",INDEX('Per Line'!$G$2:$G$1601,$AH33)&amp;"")</f>
        <v/>
      </c>
      <c r="I33">
        <f>IF($AH33="","",INDEX('Per Line'!$I$2:$I$1601,$AH33)&amp;"")</f>
        <v/>
      </c>
      <c r="J33">
        <f>IF($AH33="","",INDEX('Per Line'!$J$2:$J$1601,$AH33)&amp;"")</f>
        <v/>
      </c>
      <c r="K33">
        <f>IF($AH33="","",INDEX('Per Line'!$K$2:$K$1601,$AH33)&amp;"")</f>
        <v/>
      </c>
      <c r="L33">
        <f>IF($AH33="","",INDEX('Per Line'!$L$2:$L$1601,$AH33)&amp;"")</f>
        <v/>
      </c>
      <c r="M33">
        <f>IF($AH33="","",INDEX('Per Line'!$M$2:$M$1601,$AH33))</f>
        <v/>
      </c>
      <c r="N33" s="7">
        <f>IF($AH33="","",M33*AE33/100)</f>
        <v/>
      </c>
      <c r="O33">
        <f>IF($AH33="","",INDEX('Per Line'!$Z$2:$Z$1601,$AH33)&amp;"")</f>
        <v/>
      </c>
      <c r="P33">
        <f>IF($AH33="","",INDEX('Per Line'!$AC$2:$AC$1601,$AH33)&amp;"")</f>
        <v/>
      </c>
      <c r="Q33">
        <f>IF($AH33="","",INDEX('Per Line'!$AD$2:$AD$1601,$AH33))</f>
        <v/>
      </c>
      <c r="R33">
        <f>IF($AH33="","",IF(AND(ISNUMBER(Q33),Q33&gt;0),AF33&gt;Q33,FALSE))</f>
        <v/>
      </c>
      <c r="S33">
        <f>IF($AH33="","",INDEX('Per Line'!$AH$2:$AH$1601,$AH33)&amp;"")</f>
        <v/>
      </c>
      <c r="T33" s="11">
        <f>IF($AH33="","",INDEX('Per Line'!$AI$2:$AI$1601,$AH33))</f>
        <v/>
      </c>
      <c r="U33">
        <f>IF($AH33="","",Settings!$C$8)</f>
        <v/>
      </c>
      <c r="V33" s="7">
        <f>IF($AH33="","",SUMIFS('Per Line'!$V$2:$V$1601,'Per Line'!$D$2:$D$1601,$B33,'Per Line'!$AN$2:$AN$1601,1))</f>
        <v/>
      </c>
      <c r="W33" s="7">
        <f>IF($AH33="","",V33*U33)</f>
        <v/>
      </c>
      <c r="X33">
        <f>IF($AH33="","",Settings!$C$7)</f>
        <v/>
      </c>
      <c r="Y33" s="7">
        <f>IF($AH33="","",SUMIFS('Per Line'!$V$2:$V$1601,'Per Line'!$D$2:$D$1601,$B33,'Per Line'!$AM$2:$AM$1601,0,'Per Line'!$AN$2:$AN$1601,0))</f>
        <v/>
      </c>
      <c r="Z33" s="7">
        <f>IF($AH33="","",Y33*X33)</f>
        <v/>
      </c>
      <c r="AA33">
        <f>IF($AH33="","",Settings!$C$6)</f>
        <v/>
      </c>
      <c r="AB33" s="7">
        <f>IF($AH33="","",SUMIFS('Per Line'!$V$2:$V$1601,'Per Line'!$D$2:$D$1601,$B33,'Per Line'!$AM$2:$AM$1601,1,'Per Line'!$AN$2:$AN$1601,0))</f>
        <v/>
      </c>
      <c r="AC33" s="7">
        <f>IF($AH33="","",AB33*AA33)</f>
        <v/>
      </c>
      <c r="AD33" s="7">
        <f>IF($AH33="","",AC33+Z33+W33)</f>
        <v/>
      </c>
      <c r="AE33" s="7">
        <f>IF($AH33="","",AF33-AD33)</f>
        <v/>
      </c>
      <c r="AF33" s="7">
        <f>IF($AH33="","",Y33+AB33+V33)</f>
        <v/>
      </c>
      <c r="AG33" s="7">
        <f>IF($AH33="","",AF33-AD33-N33)</f>
        <v/>
      </c>
      <c r="AH33" s="13">
        <f>IF(ROWS($AH$2:$AH33)&lt;=MAX('Per Line'!$AL$2:$AL$1601),MATCH(ROWS($AH$2:$AH33),'Per Line'!$AL$2:$AL$1601,0),"")</f>
        <v/>
      </c>
    </row>
    <row r="34">
      <c r="A34" s="12" t="n"/>
      <c r="B34">
        <f>IF($AH34="","",INDEX('Per Line'!$D$2:$D$1601,$AH34)&amp;"")</f>
        <v/>
      </c>
      <c r="C34">
        <f>IF($AH34="","",INDEX('Per Line'!$A$2:$A$1601,$AH34)&amp;"")</f>
        <v/>
      </c>
      <c r="D34">
        <f>IF($AH34="","",INDEX('Per Line'!$B$2:$B$1601,$AH34))</f>
        <v/>
      </c>
      <c r="E34">
        <f>IF($AH34="","",INDEX('Per Line'!$C$2:$C$1601,$AH34)&amp;"")</f>
        <v/>
      </c>
      <c r="F34">
        <f>IF($AH34="","",INDEX('Per Line'!$E$2:$E$1601,$AH34)&amp;"")</f>
        <v/>
      </c>
      <c r="G34" s="11">
        <f>IF($AH34="","",INDEX('Per Line'!$F$2:$F$1601,$AH34))</f>
        <v/>
      </c>
      <c r="H34">
        <f>IF($AH34="","",INDEX('Per Line'!$G$2:$G$1601,$AH34)&amp;"")</f>
        <v/>
      </c>
      <c r="I34">
        <f>IF($AH34="","",INDEX('Per Line'!$I$2:$I$1601,$AH34)&amp;"")</f>
        <v/>
      </c>
      <c r="J34">
        <f>IF($AH34="","",INDEX('Per Line'!$J$2:$J$1601,$AH34)&amp;"")</f>
        <v/>
      </c>
      <c r="K34">
        <f>IF($AH34="","",INDEX('Per Line'!$K$2:$K$1601,$AH34)&amp;"")</f>
        <v/>
      </c>
      <c r="L34">
        <f>IF($AH34="","",INDEX('Per Line'!$L$2:$L$1601,$AH34)&amp;"")</f>
        <v/>
      </c>
      <c r="M34">
        <f>IF($AH34="","",INDEX('Per Line'!$M$2:$M$1601,$AH34))</f>
        <v/>
      </c>
      <c r="N34" s="7">
        <f>IF($AH34="","",M34*AE34/100)</f>
        <v/>
      </c>
      <c r="O34">
        <f>IF($AH34="","",INDEX('Per Line'!$Z$2:$Z$1601,$AH34)&amp;"")</f>
        <v/>
      </c>
      <c r="P34">
        <f>IF($AH34="","",INDEX('Per Line'!$AC$2:$AC$1601,$AH34)&amp;"")</f>
        <v/>
      </c>
      <c r="Q34">
        <f>IF($AH34="","",INDEX('Per Line'!$AD$2:$AD$1601,$AH34))</f>
        <v/>
      </c>
      <c r="R34">
        <f>IF($AH34="","",IF(AND(ISNUMBER(Q34),Q34&gt;0),AF34&gt;Q34,FALSE))</f>
        <v/>
      </c>
      <c r="S34">
        <f>IF($AH34="","",INDEX('Per Line'!$AH$2:$AH$1601,$AH34)&amp;"")</f>
        <v/>
      </c>
      <c r="T34" s="11">
        <f>IF($AH34="","",INDEX('Per Line'!$AI$2:$AI$1601,$AH34))</f>
        <v/>
      </c>
      <c r="U34">
        <f>IF($AH34="","",Settings!$C$8)</f>
        <v/>
      </c>
      <c r="V34" s="7">
        <f>IF($AH34="","",SUMIFS('Per Line'!$V$2:$V$1601,'Per Line'!$D$2:$D$1601,$B34,'Per Line'!$AN$2:$AN$1601,1))</f>
        <v/>
      </c>
      <c r="W34" s="7">
        <f>IF($AH34="","",V34*U34)</f>
        <v/>
      </c>
      <c r="X34">
        <f>IF($AH34="","",Settings!$C$7)</f>
        <v/>
      </c>
      <c r="Y34" s="7">
        <f>IF($AH34="","",SUMIFS('Per Line'!$V$2:$V$1601,'Per Line'!$D$2:$D$1601,$B34,'Per Line'!$AM$2:$AM$1601,0,'Per Line'!$AN$2:$AN$1601,0))</f>
        <v/>
      </c>
      <c r="Z34" s="7">
        <f>IF($AH34="","",Y34*X34)</f>
        <v/>
      </c>
      <c r="AA34">
        <f>IF($AH34="","",Settings!$C$6)</f>
        <v/>
      </c>
      <c r="AB34" s="7">
        <f>IF($AH34="","",SUMIFS('Per Line'!$V$2:$V$1601,'Per Line'!$D$2:$D$1601,$B34,'Per Line'!$AM$2:$AM$1601,1,'Per Line'!$AN$2:$AN$1601,0))</f>
        <v/>
      </c>
      <c r="AC34" s="7">
        <f>IF($AH34="","",AB34*AA34)</f>
        <v/>
      </c>
      <c r="AD34" s="7">
        <f>IF($AH34="","",AC34+Z34+W34)</f>
        <v/>
      </c>
      <c r="AE34" s="7">
        <f>IF($AH34="","",AF34-AD34)</f>
        <v/>
      </c>
      <c r="AF34" s="7">
        <f>IF($AH34="","",Y34+AB34+V34)</f>
        <v/>
      </c>
      <c r="AG34" s="7">
        <f>IF($AH34="","",AF34-AD34-N34)</f>
        <v/>
      </c>
      <c r="AH34" s="13">
        <f>IF(ROWS($AH$2:$AH34)&lt;=MAX('Per Line'!$AL$2:$AL$1601),MATCH(ROWS($AH$2:$AH34),'Per Line'!$AL$2:$AL$1601,0),"")</f>
        <v/>
      </c>
    </row>
    <row r="35">
      <c r="A35" s="12" t="n"/>
      <c r="B35">
        <f>IF($AH35="","",INDEX('Per Line'!$D$2:$D$1601,$AH35)&amp;"")</f>
        <v/>
      </c>
      <c r="C35">
        <f>IF($AH35="","",INDEX('Per Line'!$A$2:$A$1601,$AH35)&amp;"")</f>
        <v/>
      </c>
      <c r="D35">
        <f>IF($AH35="","",INDEX('Per Line'!$B$2:$B$1601,$AH35))</f>
        <v/>
      </c>
      <c r="E35">
        <f>IF($AH35="","",INDEX('Per Line'!$C$2:$C$1601,$AH35)&amp;"")</f>
        <v/>
      </c>
      <c r="F35">
        <f>IF($AH35="","",INDEX('Per Line'!$E$2:$E$1601,$AH35)&amp;"")</f>
        <v/>
      </c>
      <c r="G35" s="11">
        <f>IF($AH35="","",INDEX('Per Line'!$F$2:$F$1601,$AH35))</f>
        <v/>
      </c>
      <c r="H35">
        <f>IF($AH35="","",INDEX('Per Line'!$G$2:$G$1601,$AH35)&amp;"")</f>
        <v/>
      </c>
      <c r="I35">
        <f>IF($AH35="","",INDEX('Per Line'!$I$2:$I$1601,$AH35)&amp;"")</f>
        <v/>
      </c>
      <c r="J35">
        <f>IF($AH35="","",INDEX('Per Line'!$J$2:$J$1601,$AH35)&amp;"")</f>
        <v/>
      </c>
      <c r="K35">
        <f>IF($AH35="","",INDEX('Per Line'!$K$2:$K$1601,$AH35)&amp;"")</f>
        <v/>
      </c>
      <c r="L35">
        <f>IF($AH35="","",INDEX('Per Line'!$L$2:$L$1601,$AH35)&amp;"")</f>
        <v/>
      </c>
      <c r="M35">
        <f>IF($AH35="","",INDEX('Per Line'!$M$2:$M$1601,$AH35))</f>
        <v/>
      </c>
      <c r="N35" s="7">
        <f>IF($AH35="","",M35*AE35/100)</f>
        <v/>
      </c>
      <c r="O35">
        <f>IF($AH35="","",INDEX('Per Line'!$Z$2:$Z$1601,$AH35)&amp;"")</f>
        <v/>
      </c>
      <c r="P35">
        <f>IF($AH35="","",INDEX('Per Line'!$AC$2:$AC$1601,$AH35)&amp;"")</f>
        <v/>
      </c>
      <c r="Q35">
        <f>IF($AH35="","",INDEX('Per Line'!$AD$2:$AD$1601,$AH35))</f>
        <v/>
      </c>
      <c r="R35">
        <f>IF($AH35="","",IF(AND(ISNUMBER(Q35),Q35&gt;0),AF35&gt;Q35,FALSE))</f>
        <v/>
      </c>
      <c r="S35">
        <f>IF($AH35="","",INDEX('Per Line'!$AH$2:$AH$1601,$AH35)&amp;"")</f>
        <v/>
      </c>
      <c r="T35" s="11">
        <f>IF($AH35="","",INDEX('Per Line'!$AI$2:$AI$1601,$AH35))</f>
        <v/>
      </c>
      <c r="U35">
        <f>IF($AH35="","",Settings!$C$8)</f>
        <v/>
      </c>
      <c r="V35" s="7">
        <f>IF($AH35="","",SUMIFS('Per Line'!$V$2:$V$1601,'Per Line'!$D$2:$D$1601,$B35,'Per Line'!$AN$2:$AN$1601,1))</f>
        <v/>
      </c>
      <c r="W35" s="7">
        <f>IF($AH35="","",V35*U35)</f>
        <v/>
      </c>
      <c r="X35">
        <f>IF($AH35="","",Settings!$C$7)</f>
        <v/>
      </c>
      <c r="Y35" s="7">
        <f>IF($AH35="","",SUMIFS('Per Line'!$V$2:$V$1601,'Per Line'!$D$2:$D$1601,$B35,'Per Line'!$AM$2:$AM$1601,0,'Per Line'!$AN$2:$AN$1601,0))</f>
        <v/>
      </c>
      <c r="Z35" s="7">
        <f>IF($AH35="","",Y35*X35)</f>
        <v/>
      </c>
      <c r="AA35">
        <f>IF($AH35="","",Settings!$C$6)</f>
        <v/>
      </c>
      <c r="AB35" s="7">
        <f>IF($AH35="","",SUMIFS('Per Line'!$V$2:$V$1601,'Per Line'!$D$2:$D$1601,$B35,'Per Line'!$AM$2:$AM$1601,1,'Per Line'!$AN$2:$AN$1601,0))</f>
        <v/>
      </c>
      <c r="AC35" s="7">
        <f>IF($AH35="","",AB35*AA35)</f>
        <v/>
      </c>
      <c r="AD35" s="7">
        <f>IF($AH35="","",AC35+Z35+W35)</f>
        <v/>
      </c>
      <c r="AE35" s="7">
        <f>IF($AH35="","",AF35-AD35)</f>
        <v/>
      </c>
      <c r="AF35" s="7">
        <f>IF($AH35="","",Y35+AB35+V35)</f>
        <v/>
      </c>
      <c r="AG35" s="7">
        <f>IF($AH35="","",AF35-AD35-N35)</f>
        <v/>
      </c>
      <c r="AH35" s="13">
        <f>IF(ROWS($AH$2:$AH35)&lt;=MAX('Per Line'!$AL$2:$AL$1601),MATCH(ROWS($AH$2:$AH35),'Per Line'!$AL$2:$AL$1601,0),"")</f>
        <v/>
      </c>
    </row>
    <row r="36">
      <c r="A36" s="12" t="n"/>
      <c r="B36">
        <f>IF($AH36="","",INDEX('Per Line'!$D$2:$D$1601,$AH36)&amp;"")</f>
        <v/>
      </c>
      <c r="C36">
        <f>IF($AH36="","",INDEX('Per Line'!$A$2:$A$1601,$AH36)&amp;"")</f>
        <v/>
      </c>
      <c r="D36">
        <f>IF($AH36="","",INDEX('Per Line'!$B$2:$B$1601,$AH36))</f>
        <v/>
      </c>
      <c r="E36">
        <f>IF($AH36="","",INDEX('Per Line'!$C$2:$C$1601,$AH36)&amp;"")</f>
        <v/>
      </c>
      <c r="F36">
        <f>IF($AH36="","",INDEX('Per Line'!$E$2:$E$1601,$AH36)&amp;"")</f>
        <v/>
      </c>
      <c r="G36" s="11">
        <f>IF($AH36="","",INDEX('Per Line'!$F$2:$F$1601,$AH36))</f>
        <v/>
      </c>
      <c r="H36">
        <f>IF($AH36="","",INDEX('Per Line'!$G$2:$G$1601,$AH36)&amp;"")</f>
        <v/>
      </c>
      <c r="I36">
        <f>IF($AH36="","",INDEX('Per Line'!$I$2:$I$1601,$AH36)&amp;"")</f>
        <v/>
      </c>
      <c r="J36">
        <f>IF($AH36="","",INDEX('Per Line'!$J$2:$J$1601,$AH36)&amp;"")</f>
        <v/>
      </c>
      <c r="K36">
        <f>IF($AH36="","",INDEX('Per Line'!$K$2:$K$1601,$AH36)&amp;"")</f>
        <v/>
      </c>
      <c r="L36">
        <f>IF($AH36="","",INDEX('Per Line'!$L$2:$L$1601,$AH36)&amp;"")</f>
        <v/>
      </c>
      <c r="M36">
        <f>IF($AH36="","",INDEX('Per Line'!$M$2:$M$1601,$AH36))</f>
        <v/>
      </c>
      <c r="N36" s="7">
        <f>IF($AH36="","",M36*AE36/100)</f>
        <v/>
      </c>
      <c r="O36">
        <f>IF($AH36="","",INDEX('Per Line'!$Z$2:$Z$1601,$AH36)&amp;"")</f>
        <v/>
      </c>
      <c r="P36">
        <f>IF($AH36="","",INDEX('Per Line'!$AC$2:$AC$1601,$AH36)&amp;"")</f>
        <v/>
      </c>
      <c r="Q36">
        <f>IF($AH36="","",INDEX('Per Line'!$AD$2:$AD$1601,$AH36))</f>
        <v/>
      </c>
      <c r="R36">
        <f>IF($AH36="","",IF(AND(ISNUMBER(Q36),Q36&gt;0),AF36&gt;Q36,FALSE))</f>
        <v/>
      </c>
      <c r="S36">
        <f>IF($AH36="","",INDEX('Per Line'!$AH$2:$AH$1601,$AH36)&amp;"")</f>
        <v/>
      </c>
      <c r="T36" s="11">
        <f>IF($AH36="","",INDEX('Per Line'!$AI$2:$AI$1601,$AH36))</f>
        <v/>
      </c>
      <c r="U36">
        <f>IF($AH36="","",Settings!$C$8)</f>
        <v/>
      </c>
      <c r="V36" s="7">
        <f>IF($AH36="","",SUMIFS('Per Line'!$V$2:$V$1601,'Per Line'!$D$2:$D$1601,$B36,'Per Line'!$AN$2:$AN$1601,1))</f>
        <v/>
      </c>
      <c r="W36" s="7">
        <f>IF($AH36="","",V36*U36)</f>
        <v/>
      </c>
      <c r="X36">
        <f>IF($AH36="","",Settings!$C$7)</f>
        <v/>
      </c>
      <c r="Y36" s="7">
        <f>IF($AH36="","",SUMIFS('Per Line'!$V$2:$V$1601,'Per Line'!$D$2:$D$1601,$B36,'Per Line'!$AM$2:$AM$1601,0,'Per Line'!$AN$2:$AN$1601,0))</f>
        <v/>
      </c>
      <c r="Z36" s="7">
        <f>IF($AH36="","",Y36*X36)</f>
        <v/>
      </c>
      <c r="AA36">
        <f>IF($AH36="","",Settings!$C$6)</f>
        <v/>
      </c>
      <c r="AB36" s="7">
        <f>IF($AH36="","",SUMIFS('Per Line'!$V$2:$V$1601,'Per Line'!$D$2:$D$1601,$B36,'Per Line'!$AM$2:$AM$1601,1,'Per Line'!$AN$2:$AN$1601,0))</f>
        <v/>
      </c>
      <c r="AC36" s="7">
        <f>IF($AH36="","",AB36*AA36)</f>
        <v/>
      </c>
      <c r="AD36" s="7">
        <f>IF($AH36="","",AC36+Z36+W36)</f>
        <v/>
      </c>
      <c r="AE36" s="7">
        <f>IF($AH36="","",AF36-AD36)</f>
        <v/>
      </c>
      <c r="AF36" s="7">
        <f>IF($AH36="","",Y36+AB36+V36)</f>
        <v/>
      </c>
      <c r="AG36" s="7">
        <f>IF($AH36="","",AF36-AD36-N36)</f>
        <v/>
      </c>
      <c r="AH36" s="13">
        <f>IF(ROWS($AH$2:$AH36)&lt;=MAX('Per Line'!$AL$2:$AL$1601),MATCH(ROWS($AH$2:$AH36),'Per Line'!$AL$2:$AL$1601,0),"")</f>
        <v/>
      </c>
    </row>
    <row r="37">
      <c r="A37" s="12" t="n"/>
      <c r="B37">
        <f>IF($AH37="","",INDEX('Per Line'!$D$2:$D$1601,$AH37)&amp;"")</f>
        <v/>
      </c>
      <c r="C37">
        <f>IF($AH37="","",INDEX('Per Line'!$A$2:$A$1601,$AH37)&amp;"")</f>
        <v/>
      </c>
      <c r="D37">
        <f>IF($AH37="","",INDEX('Per Line'!$B$2:$B$1601,$AH37))</f>
        <v/>
      </c>
      <c r="E37">
        <f>IF($AH37="","",INDEX('Per Line'!$C$2:$C$1601,$AH37)&amp;"")</f>
        <v/>
      </c>
      <c r="F37">
        <f>IF($AH37="","",INDEX('Per Line'!$E$2:$E$1601,$AH37)&amp;"")</f>
        <v/>
      </c>
      <c r="G37" s="11">
        <f>IF($AH37="","",INDEX('Per Line'!$F$2:$F$1601,$AH37))</f>
        <v/>
      </c>
      <c r="H37">
        <f>IF($AH37="","",INDEX('Per Line'!$G$2:$G$1601,$AH37)&amp;"")</f>
        <v/>
      </c>
      <c r="I37">
        <f>IF($AH37="","",INDEX('Per Line'!$I$2:$I$1601,$AH37)&amp;"")</f>
        <v/>
      </c>
      <c r="J37">
        <f>IF($AH37="","",INDEX('Per Line'!$J$2:$J$1601,$AH37)&amp;"")</f>
        <v/>
      </c>
      <c r="K37">
        <f>IF($AH37="","",INDEX('Per Line'!$K$2:$K$1601,$AH37)&amp;"")</f>
        <v/>
      </c>
      <c r="L37">
        <f>IF($AH37="","",INDEX('Per Line'!$L$2:$L$1601,$AH37)&amp;"")</f>
        <v/>
      </c>
      <c r="M37">
        <f>IF($AH37="","",INDEX('Per Line'!$M$2:$M$1601,$AH37))</f>
        <v/>
      </c>
      <c r="N37" s="7">
        <f>IF($AH37="","",M37*AE37/100)</f>
        <v/>
      </c>
      <c r="O37">
        <f>IF($AH37="","",INDEX('Per Line'!$Z$2:$Z$1601,$AH37)&amp;"")</f>
        <v/>
      </c>
      <c r="P37">
        <f>IF($AH37="","",INDEX('Per Line'!$AC$2:$AC$1601,$AH37)&amp;"")</f>
        <v/>
      </c>
      <c r="Q37">
        <f>IF($AH37="","",INDEX('Per Line'!$AD$2:$AD$1601,$AH37))</f>
        <v/>
      </c>
      <c r="R37">
        <f>IF($AH37="","",IF(AND(ISNUMBER(Q37),Q37&gt;0),AF37&gt;Q37,FALSE))</f>
        <v/>
      </c>
      <c r="S37">
        <f>IF($AH37="","",INDEX('Per Line'!$AH$2:$AH$1601,$AH37)&amp;"")</f>
        <v/>
      </c>
      <c r="T37" s="11">
        <f>IF($AH37="","",INDEX('Per Line'!$AI$2:$AI$1601,$AH37))</f>
        <v/>
      </c>
      <c r="U37">
        <f>IF($AH37="","",Settings!$C$8)</f>
        <v/>
      </c>
      <c r="V37" s="7">
        <f>IF($AH37="","",SUMIFS('Per Line'!$V$2:$V$1601,'Per Line'!$D$2:$D$1601,$B37,'Per Line'!$AN$2:$AN$1601,1))</f>
        <v/>
      </c>
      <c r="W37" s="7">
        <f>IF($AH37="","",V37*U37)</f>
        <v/>
      </c>
      <c r="X37">
        <f>IF($AH37="","",Settings!$C$7)</f>
        <v/>
      </c>
      <c r="Y37" s="7">
        <f>IF($AH37="","",SUMIFS('Per Line'!$V$2:$V$1601,'Per Line'!$D$2:$D$1601,$B37,'Per Line'!$AM$2:$AM$1601,0,'Per Line'!$AN$2:$AN$1601,0))</f>
        <v/>
      </c>
      <c r="Z37" s="7">
        <f>IF($AH37="","",Y37*X37)</f>
        <v/>
      </c>
      <c r="AA37">
        <f>IF($AH37="","",Settings!$C$6)</f>
        <v/>
      </c>
      <c r="AB37" s="7">
        <f>IF($AH37="","",SUMIFS('Per Line'!$V$2:$V$1601,'Per Line'!$D$2:$D$1601,$B37,'Per Line'!$AM$2:$AM$1601,1,'Per Line'!$AN$2:$AN$1601,0))</f>
        <v/>
      </c>
      <c r="AC37" s="7">
        <f>IF($AH37="","",AB37*AA37)</f>
        <v/>
      </c>
      <c r="AD37" s="7">
        <f>IF($AH37="","",AC37+Z37+W37)</f>
        <v/>
      </c>
      <c r="AE37" s="7">
        <f>IF($AH37="","",AF37-AD37)</f>
        <v/>
      </c>
      <c r="AF37" s="7">
        <f>IF($AH37="","",Y37+AB37+V37)</f>
        <v/>
      </c>
      <c r="AG37" s="7">
        <f>IF($AH37="","",AF37-AD37-N37)</f>
        <v/>
      </c>
      <c r="AH37" s="13">
        <f>IF(ROWS($AH$2:$AH37)&lt;=MAX('Per Line'!$AL$2:$AL$1601),MATCH(ROWS($AH$2:$AH37),'Per Line'!$AL$2:$AL$1601,0),"")</f>
        <v/>
      </c>
    </row>
    <row r="38">
      <c r="A38" s="12" t="n"/>
      <c r="B38">
        <f>IF($AH38="","",INDEX('Per Line'!$D$2:$D$1601,$AH38)&amp;"")</f>
        <v/>
      </c>
      <c r="C38">
        <f>IF($AH38="","",INDEX('Per Line'!$A$2:$A$1601,$AH38)&amp;"")</f>
        <v/>
      </c>
      <c r="D38">
        <f>IF($AH38="","",INDEX('Per Line'!$B$2:$B$1601,$AH38))</f>
        <v/>
      </c>
      <c r="E38">
        <f>IF($AH38="","",INDEX('Per Line'!$C$2:$C$1601,$AH38)&amp;"")</f>
        <v/>
      </c>
      <c r="F38">
        <f>IF($AH38="","",INDEX('Per Line'!$E$2:$E$1601,$AH38)&amp;"")</f>
        <v/>
      </c>
      <c r="G38" s="11">
        <f>IF($AH38="","",INDEX('Per Line'!$F$2:$F$1601,$AH38))</f>
        <v/>
      </c>
      <c r="H38">
        <f>IF($AH38="","",INDEX('Per Line'!$G$2:$G$1601,$AH38)&amp;"")</f>
        <v/>
      </c>
      <c r="I38">
        <f>IF($AH38="","",INDEX('Per Line'!$I$2:$I$1601,$AH38)&amp;"")</f>
        <v/>
      </c>
      <c r="J38">
        <f>IF($AH38="","",INDEX('Per Line'!$J$2:$J$1601,$AH38)&amp;"")</f>
        <v/>
      </c>
      <c r="K38">
        <f>IF($AH38="","",INDEX('Per Line'!$K$2:$K$1601,$AH38)&amp;"")</f>
        <v/>
      </c>
      <c r="L38">
        <f>IF($AH38="","",INDEX('Per Line'!$L$2:$L$1601,$AH38)&amp;"")</f>
        <v/>
      </c>
      <c r="M38">
        <f>IF($AH38="","",INDEX('Per Line'!$M$2:$M$1601,$AH38))</f>
        <v/>
      </c>
      <c r="N38" s="7">
        <f>IF($AH38="","",M38*AE38/100)</f>
        <v/>
      </c>
      <c r="O38">
        <f>IF($AH38="","",INDEX('Per Line'!$Z$2:$Z$1601,$AH38)&amp;"")</f>
        <v/>
      </c>
      <c r="P38">
        <f>IF($AH38="","",INDEX('Per Line'!$AC$2:$AC$1601,$AH38)&amp;"")</f>
        <v/>
      </c>
      <c r="Q38">
        <f>IF($AH38="","",INDEX('Per Line'!$AD$2:$AD$1601,$AH38))</f>
        <v/>
      </c>
      <c r="R38">
        <f>IF($AH38="","",IF(AND(ISNUMBER(Q38),Q38&gt;0),AF38&gt;Q38,FALSE))</f>
        <v/>
      </c>
      <c r="S38">
        <f>IF($AH38="","",INDEX('Per Line'!$AH$2:$AH$1601,$AH38)&amp;"")</f>
        <v/>
      </c>
      <c r="T38" s="11">
        <f>IF($AH38="","",INDEX('Per Line'!$AI$2:$AI$1601,$AH38))</f>
        <v/>
      </c>
      <c r="U38">
        <f>IF($AH38="","",Settings!$C$8)</f>
        <v/>
      </c>
      <c r="V38" s="7">
        <f>IF($AH38="","",SUMIFS('Per Line'!$V$2:$V$1601,'Per Line'!$D$2:$D$1601,$B38,'Per Line'!$AN$2:$AN$1601,1))</f>
        <v/>
      </c>
      <c r="W38" s="7">
        <f>IF($AH38="","",V38*U38)</f>
        <v/>
      </c>
      <c r="X38">
        <f>IF($AH38="","",Settings!$C$7)</f>
        <v/>
      </c>
      <c r="Y38" s="7">
        <f>IF($AH38="","",SUMIFS('Per Line'!$V$2:$V$1601,'Per Line'!$D$2:$D$1601,$B38,'Per Line'!$AM$2:$AM$1601,0,'Per Line'!$AN$2:$AN$1601,0))</f>
        <v/>
      </c>
      <c r="Z38" s="7">
        <f>IF($AH38="","",Y38*X38)</f>
        <v/>
      </c>
      <c r="AA38">
        <f>IF($AH38="","",Settings!$C$6)</f>
        <v/>
      </c>
      <c r="AB38" s="7">
        <f>IF($AH38="","",SUMIFS('Per Line'!$V$2:$V$1601,'Per Line'!$D$2:$D$1601,$B38,'Per Line'!$AM$2:$AM$1601,1,'Per Line'!$AN$2:$AN$1601,0))</f>
        <v/>
      </c>
      <c r="AC38" s="7">
        <f>IF($AH38="","",AB38*AA38)</f>
        <v/>
      </c>
      <c r="AD38" s="7">
        <f>IF($AH38="","",AC38+Z38+W38)</f>
        <v/>
      </c>
      <c r="AE38" s="7">
        <f>IF($AH38="","",AF38-AD38)</f>
        <v/>
      </c>
      <c r="AF38" s="7">
        <f>IF($AH38="","",Y38+AB38+V38)</f>
        <v/>
      </c>
      <c r="AG38" s="7">
        <f>IF($AH38="","",AF38-AD38-N38)</f>
        <v/>
      </c>
      <c r="AH38" s="13">
        <f>IF(ROWS($AH$2:$AH38)&lt;=MAX('Per Line'!$AL$2:$AL$1601),MATCH(ROWS($AH$2:$AH38),'Per Line'!$AL$2:$AL$1601,0),"")</f>
        <v/>
      </c>
    </row>
    <row r="39">
      <c r="A39" s="12" t="n"/>
      <c r="B39">
        <f>IF($AH39="","",INDEX('Per Line'!$D$2:$D$1601,$AH39)&amp;"")</f>
        <v/>
      </c>
      <c r="C39">
        <f>IF($AH39="","",INDEX('Per Line'!$A$2:$A$1601,$AH39)&amp;"")</f>
        <v/>
      </c>
      <c r="D39">
        <f>IF($AH39="","",INDEX('Per Line'!$B$2:$B$1601,$AH39))</f>
        <v/>
      </c>
      <c r="E39">
        <f>IF($AH39="","",INDEX('Per Line'!$C$2:$C$1601,$AH39)&amp;"")</f>
        <v/>
      </c>
      <c r="F39">
        <f>IF($AH39="","",INDEX('Per Line'!$E$2:$E$1601,$AH39)&amp;"")</f>
        <v/>
      </c>
      <c r="G39" s="11">
        <f>IF($AH39="","",INDEX('Per Line'!$F$2:$F$1601,$AH39))</f>
        <v/>
      </c>
      <c r="H39">
        <f>IF($AH39="","",INDEX('Per Line'!$G$2:$G$1601,$AH39)&amp;"")</f>
        <v/>
      </c>
      <c r="I39">
        <f>IF($AH39="","",INDEX('Per Line'!$I$2:$I$1601,$AH39)&amp;"")</f>
        <v/>
      </c>
      <c r="J39">
        <f>IF($AH39="","",INDEX('Per Line'!$J$2:$J$1601,$AH39)&amp;"")</f>
        <v/>
      </c>
      <c r="K39">
        <f>IF($AH39="","",INDEX('Per Line'!$K$2:$K$1601,$AH39)&amp;"")</f>
        <v/>
      </c>
      <c r="L39">
        <f>IF($AH39="","",INDEX('Per Line'!$L$2:$L$1601,$AH39)&amp;"")</f>
        <v/>
      </c>
      <c r="M39">
        <f>IF($AH39="","",INDEX('Per Line'!$M$2:$M$1601,$AH39))</f>
        <v/>
      </c>
      <c r="N39" s="7">
        <f>IF($AH39="","",M39*AE39/100)</f>
        <v/>
      </c>
      <c r="O39">
        <f>IF($AH39="","",INDEX('Per Line'!$Z$2:$Z$1601,$AH39)&amp;"")</f>
        <v/>
      </c>
      <c r="P39">
        <f>IF($AH39="","",INDEX('Per Line'!$AC$2:$AC$1601,$AH39)&amp;"")</f>
        <v/>
      </c>
      <c r="Q39">
        <f>IF($AH39="","",INDEX('Per Line'!$AD$2:$AD$1601,$AH39))</f>
        <v/>
      </c>
      <c r="R39">
        <f>IF($AH39="","",IF(AND(ISNUMBER(Q39),Q39&gt;0),AF39&gt;Q39,FALSE))</f>
        <v/>
      </c>
      <c r="S39">
        <f>IF($AH39="","",INDEX('Per Line'!$AH$2:$AH$1601,$AH39)&amp;"")</f>
        <v/>
      </c>
      <c r="T39" s="11">
        <f>IF($AH39="","",INDEX('Per Line'!$AI$2:$AI$1601,$AH39))</f>
        <v/>
      </c>
      <c r="U39">
        <f>IF($AH39="","",Settings!$C$8)</f>
        <v/>
      </c>
      <c r="V39" s="7">
        <f>IF($AH39="","",SUMIFS('Per Line'!$V$2:$V$1601,'Per Line'!$D$2:$D$1601,$B39,'Per Line'!$AN$2:$AN$1601,1))</f>
        <v/>
      </c>
      <c r="W39" s="7">
        <f>IF($AH39="","",V39*U39)</f>
        <v/>
      </c>
      <c r="X39">
        <f>IF($AH39="","",Settings!$C$7)</f>
        <v/>
      </c>
      <c r="Y39" s="7">
        <f>IF($AH39="","",SUMIFS('Per Line'!$V$2:$V$1601,'Per Line'!$D$2:$D$1601,$B39,'Per Line'!$AM$2:$AM$1601,0,'Per Line'!$AN$2:$AN$1601,0))</f>
        <v/>
      </c>
      <c r="Z39" s="7">
        <f>IF($AH39="","",Y39*X39)</f>
        <v/>
      </c>
      <c r="AA39">
        <f>IF($AH39="","",Settings!$C$6)</f>
        <v/>
      </c>
      <c r="AB39" s="7">
        <f>IF($AH39="","",SUMIFS('Per Line'!$V$2:$V$1601,'Per Line'!$D$2:$D$1601,$B39,'Per Line'!$AM$2:$AM$1601,1,'Per Line'!$AN$2:$AN$1601,0))</f>
        <v/>
      </c>
      <c r="AC39" s="7">
        <f>IF($AH39="","",AB39*AA39)</f>
        <v/>
      </c>
      <c r="AD39" s="7">
        <f>IF($AH39="","",AC39+Z39+W39)</f>
        <v/>
      </c>
      <c r="AE39" s="7">
        <f>IF($AH39="","",AF39-AD39)</f>
        <v/>
      </c>
      <c r="AF39" s="7">
        <f>IF($AH39="","",Y39+AB39+V39)</f>
        <v/>
      </c>
      <c r="AG39" s="7">
        <f>IF($AH39="","",AF39-AD39-N39)</f>
        <v/>
      </c>
      <c r="AH39" s="13">
        <f>IF(ROWS($AH$2:$AH39)&lt;=MAX('Per Line'!$AL$2:$AL$1601),MATCH(ROWS($AH$2:$AH39),'Per Line'!$AL$2:$AL$1601,0),"")</f>
        <v/>
      </c>
    </row>
    <row r="40">
      <c r="A40" s="12" t="n"/>
      <c r="B40">
        <f>IF($AH40="","",INDEX('Per Line'!$D$2:$D$1601,$AH40)&amp;"")</f>
        <v/>
      </c>
      <c r="C40">
        <f>IF($AH40="","",INDEX('Per Line'!$A$2:$A$1601,$AH40)&amp;"")</f>
        <v/>
      </c>
      <c r="D40">
        <f>IF($AH40="","",INDEX('Per Line'!$B$2:$B$1601,$AH40))</f>
        <v/>
      </c>
      <c r="E40">
        <f>IF($AH40="","",INDEX('Per Line'!$C$2:$C$1601,$AH40)&amp;"")</f>
        <v/>
      </c>
      <c r="F40">
        <f>IF($AH40="","",INDEX('Per Line'!$E$2:$E$1601,$AH40)&amp;"")</f>
        <v/>
      </c>
      <c r="G40" s="11">
        <f>IF($AH40="","",INDEX('Per Line'!$F$2:$F$1601,$AH40))</f>
        <v/>
      </c>
      <c r="H40">
        <f>IF($AH40="","",INDEX('Per Line'!$G$2:$G$1601,$AH40)&amp;"")</f>
        <v/>
      </c>
      <c r="I40">
        <f>IF($AH40="","",INDEX('Per Line'!$I$2:$I$1601,$AH40)&amp;"")</f>
        <v/>
      </c>
      <c r="J40">
        <f>IF($AH40="","",INDEX('Per Line'!$J$2:$J$1601,$AH40)&amp;"")</f>
        <v/>
      </c>
      <c r="K40">
        <f>IF($AH40="","",INDEX('Per Line'!$K$2:$K$1601,$AH40)&amp;"")</f>
        <v/>
      </c>
      <c r="L40">
        <f>IF($AH40="","",INDEX('Per Line'!$L$2:$L$1601,$AH40)&amp;"")</f>
        <v/>
      </c>
      <c r="M40">
        <f>IF($AH40="","",INDEX('Per Line'!$M$2:$M$1601,$AH40))</f>
        <v/>
      </c>
      <c r="N40" s="7">
        <f>IF($AH40="","",M40*AE40/100)</f>
        <v/>
      </c>
      <c r="O40">
        <f>IF($AH40="","",INDEX('Per Line'!$Z$2:$Z$1601,$AH40)&amp;"")</f>
        <v/>
      </c>
      <c r="P40">
        <f>IF($AH40="","",INDEX('Per Line'!$AC$2:$AC$1601,$AH40)&amp;"")</f>
        <v/>
      </c>
      <c r="Q40">
        <f>IF($AH40="","",INDEX('Per Line'!$AD$2:$AD$1601,$AH40))</f>
        <v/>
      </c>
      <c r="R40">
        <f>IF($AH40="","",IF(AND(ISNUMBER(Q40),Q40&gt;0),AF40&gt;Q40,FALSE))</f>
        <v/>
      </c>
      <c r="S40">
        <f>IF($AH40="","",INDEX('Per Line'!$AH$2:$AH$1601,$AH40)&amp;"")</f>
        <v/>
      </c>
      <c r="T40" s="11">
        <f>IF($AH40="","",INDEX('Per Line'!$AI$2:$AI$1601,$AH40))</f>
        <v/>
      </c>
      <c r="U40">
        <f>IF($AH40="","",Settings!$C$8)</f>
        <v/>
      </c>
      <c r="V40" s="7">
        <f>IF($AH40="","",SUMIFS('Per Line'!$V$2:$V$1601,'Per Line'!$D$2:$D$1601,$B40,'Per Line'!$AN$2:$AN$1601,1))</f>
        <v/>
      </c>
      <c r="W40" s="7">
        <f>IF($AH40="","",V40*U40)</f>
        <v/>
      </c>
      <c r="X40">
        <f>IF($AH40="","",Settings!$C$7)</f>
        <v/>
      </c>
      <c r="Y40" s="7">
        <f>IF($AH40="","",SUMIFS('Per Line'!$V$2:$V$1601,'Per Line'!$D$2:$D$1601,$B40,'Per Line'!$AM$2:$AM$1601,0,'Per Line'!$AN$2:$AN$1601,0))</f>
        <v/>
      </c>
      <c r="Z40" s="7">
        <f>IF($AH40="","",Y40*X40)</f>
        <v/>
      </c>
      <c r="AA40">
        <f>IF($AH40="","",Settings!$C$6)</f>
        <v/>
      </c>
      <c r="AB40" s="7">
        <f>IF($AH40="","",SUMIFS('Per Line'!$V$2:$V$1601,'Per Line'!$D$2:$D$1601,$B40,'Per Line'!$AM$2:$AM$1601,1,'Per Line'!$AN$2:$AN$1601,0))</f>
        <v/>
      </c>
      <c r="AC40" s="7">
        <f>IF($AH40="","",AB40*AA40)</f>
        <v/>
      </c>
      <c r="AD40" s="7">
        <f>IF($AH40="","",AC40+Z40+W40)</f>
        <v/>
      </c>
      <c r="AE40" s="7">
        <f>IF($AH40="","",AF40-AD40)</f>
        <v/>
      </c>
      <c r="AF40" s="7">
        <f>IF($AH40="","",Y40+AB40+V40)</f>
        <v/>
      </c>
      <c r="AG40" s="7">
        <f>IF($AH40="","",AF40-AD40-N40)</f>
        <v/>
      </c>
      <c r="AH40" s="13">
        <f>IF(ROWS($AH$2:$AH40)&lt;=MAX('Per Line'!$AL$2:$AL$1601),MATCH(ROWS($AH$2:$AH40),'Per Line'!$AL$2:$AL$1601,0),"")</f>
        <v/>
      </c>
    </row>
    <row r="41">
      <c r="A41" s="12" t="n"/>
      <c r="B41">
        <f>IF($AH41="","",INDEX('Per Line'!$D$2:$D$1601,$AH41)&amp;"")</f>
        <v/>
      </c>
      <c r="C41">
        <f>IF($AH41="","",INDEX('Per Line'!$A$2:$A$1601,$AH41)&amp;"")</f>
        <v/>
      </c>
      <c r="D41">
        <f>IF($AH41="","",INDEX('Per Line'!$B$2:$B$1601,$AH41))</f>
        <v/>
      </c>
      <c r="E41">
        <f>IF($AH41="","",INDEX('Per Line'!$C$2:$C$1601,$AH41)&amp;"")</f>
        <v/>
      </c>
      <c r="F41">
        <f>IF($AH41="","",INDEX('Per Line'!$E$2:$E$1601,$AH41)&amp;"")</f>
        <v/>
      </c>
      <c r="G41" s="11">
        <f>IF($AH41="","",INDEX('Per Line'!$F$2:$F$1601,$AH41))</f>
        <v/>
      </c>
      <c r="H41">
        <f>IF($AH41="","",INDEX('Per Line'!$G$2:$G$1601,$AH41)&amp;"")</f>
        <v/>
      </c>
      <c r="I41">
        <f>IF($AH41="","",INDEX('Per Line'!$I$2:$I$1601,$AH41)&amp;"")</f>
        <v/>
      </c>
      <c r="J41">
        <f>IF($AH41="","",INDEX('Per Line'!$J$2:$J$1601,$AH41)&amp;"")</f>
        <v/>
      </c>
      <c r="K41">
        <f>IF($AH41="","",INDEX('Per Line'!$K$2:$K$1601,$AH41)&amp;"")</f>
        <v/>
      </c>
      <c r="L41">
        <f>IF($AH41="","",INDEX('Per Line'!$L$2:$L$1601,$AH41)&amp;"")</f>
        <v/>
      </c>
      <c r="M41">
        <f>IF($AH41="","",INDEX('Per Line'!$M$2:$M$1601,$AH41))</f>
        <v/>
      </c>
      <c r="N41" s="7">
        <f>IF($AH41="","",M41*AE41/100)</f>
        <v/>
      </c>
      <c r="O41">
        <f>IF($AH41="","",INDEX('Per Line'!$Z$2:$Z$1601,$AH41)&amp;"")</f>
        <v/>
      </c>
      <c r="P41">
        <f>IF($AH41="","",INDEX('Per Line'!$AC$2:$AC$1601,$AH41)&amp;"")</f>
        <v/>
      </c>
      <c r="Q41">
        <f>IF($AH41="","",INDEX('Per Line'!$AD$2:$AD$1601,$AH41))</f>
        <v/>
      </c>
      <c r="R41">
        <f>IF($AH41="","",IF(AND(ISNUMBER(Q41),Q41&gt;0),AF41&gt;Q41,FALSE))</f>
        <v/>
      </c>
      <c r="S41">
        <f>IF($AH41="","",INDEX('Per Line'!$AH$2:$AH$1601,$AH41)&amp;"")</f>
        <v/>
      </c>
      <c r="T41" s="11">
        <f>IF($AH41="","",INDEX('Per Line'!$AI$2:$AI$1601,$AH41))</f>
        <v/>
      </c>
      <c r="U41">
        <f>IF($AH41="","",Settings!$C$8)</f>
        <v/>
      </c>
      <c r="V41" s="7">
        <f>IF($AH41="","",SUMIFS('Per Line'!$V$2:$V$1601,'Per Line'!$D$2:$D$1601,$B41,'Per Line'!$AN$2:$AN$1601,1))</f>
        <v/>
      </c>
      <c r="W41" s="7">
        <f>IF($AH41="","",V41*U41)</f>
        <v/>
      </c>
      <c r="X41">
        <f>IF($AH41="","",Settings!$C$7)</f>
        <v/>
      </c>
      <c r="Y41" s="7">
        <f>IF($AH41="","",SUMIFS('Per Line'!$V$2:$V$1601,'Per Line'!$D$2:$D$1601,$B41,'Per Line'!$AM$2:$AM$1601,0,'Per Line'!$AN$2:$AN$1601,0))</f>
        <v/>
      </c>
      <c r="Z41" s="7">
        <f>IF($AH41="","",Y41*X41)</f>
        <v/>
      </c>
      <c r="AA41">
        <f>IF($AH41="","",Settings!$C$6)</f>
        <v/>
      </c>
      <c r="AB41" s="7">
        <f>IF($AH41="","",SUMIFS('Per Line'!$V$2:$V$1601,'Per Line'!$D$2:$D$1601,$B41,'Per Line'!$AM$2:$AM$1601,1,'Per Line'!$AN$2:$AN$1601,0))</f>
        <v/>
      </c>
      <c r="AC41" s="7">
        <f>IF($AH41="","",AB41*AA41)</f>
        <v/>
      </c>
      <c r="AD41" s="7">
        <f>IF($AH41="","",AC41+Z41+W41)</f>
        <v/>
      </c>
      <c r="AE41" s="7">
        <f>IF($AH41="","",AF41-AD41)</f>
        <v/>
      </c>
      <c r="AF41" s="7">
        <f>IF($AH41="","",Y41+AB41+V41)</f>
        <v/>
      </c>
      <c r="AG41" s="7">
        <f>IF($AH41="","",AF41-AD41-N41)</f>
        <v/>
      </c>
      <c r="AH41" s="13">
        <f>IF(ROWS($AH$2:$AH41)&lt;=MAX('Per Line'!$AL$2:$AL$1601),MATCH(ROWS($AH$2:$AH41),'Per Line'!$AL$2:$AL$1601,0),"")</f>
        <v/>
      </c>
    </row>
    <row r="42">
      <c r="A42" s="12" t="n"/>
      <c r="B42">
        <f>IF($AH42="","",INDEX('Per Line'!$D$2:$D$1601,$AH42)&amp;"")</f>
        <v/>
      </c>
      <c r="C42">
        <f>IF($AH42="","",INDEX('Per Line'!$A$2:$A$1601,$AH42)&amp;"")</f>
        <v/>
      </c>
      <c r="D42">
        <f>IF($AH42="","",INDEX('Per Line'!$B$2:$B$1601,$AH42))</f>
        <v/>
      </c>
      <c r="E42">
        <f>IF($AH42="","",INDEX('Per Line'!$C$2:$C$1601,$AH42)&amp;"")</f>
        <v/>
      </c>
      <c r="F42">
        <f>IF($AH42="","",INDEX('Per Line'!$E$2:$E$1601,$AH42)&amp;"")</f>
        <v/>
      </c>
      <c r="G42" s="11">
        <f>IF($AH42="","",INDEX('Per Line'!$F$2:$F$1601,$AH42))</f>
        <v/>
      </c>
      <c r="H42">
        <f>IF($AH42="","",INDEX('Per Line'!$G$2:$G$1601,$AH42)&amp;"")</f>
        <v/>
      </c>
      <c r="I42">
        <f>IF($AH42="","",INDEX('Per Line'!$I$2:$I$1601,$AH42)&amp;"")</f>
        <v/>
      </c>
      <c r="J42">
        <f>IF($AH42="","",INDEX('Per Line'!$J$2:$J$1601,$AH42)&amp;"")</f>
        <v/>
      </c>
      <c r="K42">
        <f>IF($AH42="","",INDEX('Per Line'!$K$2:$K$1601,$AH42)&amp;"")</f>
        <v/>
      </c>
      <c r="L42">
        <f>IF($AH42="","",INDEX('Per Line'!$L$2:$L$1601,$AH42)&amp;"")</f>
        <v/>
      </c>
      <c r="M42">
        <f>IF($AH42="","",INDEX('Per Line'!$M$2:$M$1601,$AH42))</f>
        <v/>
      </c>
      <c r="N42" s="7">
        <f>IF($AH42="","",M42*AE42/100)</f>
        <v/>
      </c>
      <c r="O42">
        <f>IF($AH42="","",INDEX('Per Line'!$Z$2:$Z$1601,$AH42)&amp;"")</f>
        <v/>
      </c>
      <c r="P42">
        <f>IF($AH42="","",INDEX('Per Line'!$AC$2:$AC$1601,$AH42)&amp;"")</f>
        <v/>
      </c>
      <c r="Q42">
        <f>IF($AH42="","",INDEX('Per Line'!$AD$2:$AD$1601,$AH42))</f>
        <v/>
      </c>
      <c r="R42">
        <f>IF($AH42="","",IF(AND(ISNUMBER(Q42),Q42&gt;0),AF42&gt;Q42,FALSE))</f>
        <v/>
      </c>
      <c r="S42">
        <f>IF($AH42="","",INDEX('Per Line'!$AH$2:$AH$1601,$AH42)&amp;"")</f>
        <v/>
      </c>
      <c r="T42" s="11">
        <f>IF($AH42="","",INDEX('Per Line'!$AI$2:$AI$1601,$AH42))</f>
        <v/>
      </c>
      <c r="U42">
        <f>IF($AH42="","",Settings!$C$8)</f>
        <v/>
      </c>
      <c r="V42" s="7">
        <f>IF($AH42="","",SUMIFS('Per Line'!$V$2:$V$1601,'Per Line'!$D$2:$D$1601,$B42,'Per Line'!$AN$2:$AN$1601,1))</f>
        <v/>
      </c>
      <c r="W42" s="7">
        <f>IF($AH42="","",V42*U42)</f>
        <v/>
      </c>
      <c r="X42">
        <f>IF($AH42="","",Settings!$C$7)</f>
        <v/>
      </c>
      <c r="Y42" s="7">
        <f>IF($AH42="","",SUMIFS('Per Line'!$V$2:$V$1601,'Per Line'!$D$2:$D$1601,$B42,'Per Line'!$AM$2:$AM$1601,0,'Per Line'!$AN$2:$AN$1601,0))</f>
        <v/>
      </c>
      <c r="Z42" s="7">
        <f>IF($AH42="","",Y42*X42)</f>
        <v/>
      </c>
      <c r="AA42">
        <f>IF($AH42="","",Settings!$C$6)</f>
        <v/>
      </c>
      <c r="AB42" s="7">
        <f>IF($AH42="","",SUMIFS('Per Line'!$V$2:$V$1601,'Per Line'!$D$2:$D$1601,$B42,'Per Line'!$AM$2:$AM$1601,1,'Per Line'!$AN$2:$AN$1601,0))</f>
        <v/>
      </c>
      <c r="AC42" s="7">
        <f>IF($AH42="","",AB42*AA42)</f>
        <v/>
      </c>
      <c r="AD42" s="7">
        <f>IF($AH42="","",AC42+Z42+W42)</f>
        <v/>
      </c>
      <c r="AE42" s="7">
        <f>IF($AH42="","",AF42-AD42)</f>
        <v/>
      </c>
      <c r="AF42" s="7">
        <f>IF($AH42="","",Y42+AB42+V42)</f>
        <v/>
      </c>
      <c r="AG42" s="7">
        <f>IF($AH42="","",AF42-AD42-N42)</f>
        <v/>
      </c>
      <c r="AH42" s="13">
        <f>IF(ROWS($AH$2:$AH42)&lt;=MAX('Per Line'!$AL$2:$AL$1601),MATCH(ROWS($AH$2:$AH42),'Per Line'!$AL$2:$AL$1601,0),"")</f>
        <v/>
      </c>
    </row>
    <row r="43">
      <c r="A43" s="12" t="n"/>
      <c r="B43">
        <f>IF($AH43="","",INDEX('Per Line'!$D$2:$D$1601,$AH43)&amp;"")</f>
        <v/>
      </c>
      <c r="C43">
        <f>IF($AH43="","",INDEX('Per Line'!$A$2:$A$1601,$AH43)&amp;"")</f>
        <v/>
      </c>
      <c r="D43">
        <f>IF($AH43="","",INDEX('Per Line'!$B$2:$B$1601,$AH43))</f>
        <v/>
      </c>
      <c r="E43">
        <f>IF($AH43="","",INDEX('Per Line'!$C$2:$C$1601,$AH43)&amp;"")</f>
        <v/>
      </c>
      <c r="F43">
        <f>IF($AH43="","",INDEX('Per Line'!$E$2:$E$1601,$AH43)&amp;"")</f>
        <v/>
      </c>
      <c r="G43" s="11">
        <f>IF($AH43="","",INDEX('Per Line'!$F$2:$F$1601,$AH43))</f>
        <v/>
      </c>
      <c r="H43">
        <f>IF($AH43="","",INDEX('Per Line'!$G$2:$G$1601,$AH43)&amp;"")</f>
        <v/>
      </c>
      <c r="I43">
        <f>IF($AH43="","",INDEX('Per Line'!$I$2:$I$1601,$AH43)&amp;"")</f>
        <v/>
      </c>
      <c r="J43">
        <f>IF($AH43="","",INDEX('Per Line'!$J$2:$J$1601,$AH43)&amp;"")</f>
        <v/>
      </c>
      <c r="K43">
        <f>IF($AH43="","",INDEX('Per Line'!$K$2:$K$1601,$AH43)&amp;"")</f>
        <v/>
      </c>
      <c r="L43">
        <f>IF($AH43="","",INDEX('Per Line'!$L$2:$L$1601,$AH43)&amp;"")</f>
        <v/>
      </c>
      <c r="M43">
        <f>IF($AH43="","",INDEX('Per Line'!$M$2:$M$1601,$AH43))</f>
        <v/>
      </c>
      <c r="N43" s="7">
        <f>IF($AH43="","",M43*AE43/100)</f>
        <v/>
      </c>
      <c r="O43">
        <f>IF($AH43="","",INDEX('Per Line'!$Z$2:$Z$1601,$AH43)&amp;"")</f>
        <v/>
      </c>
      <c r="P43">
        <f>IF($AH43="","",INDEX('Per Line'!$AC$2:$AC$1601,$AH43)&amp;"")</f>
        <v/>
      </c>
      <c r="Q43">
        <f>IF($AH43="","",INDEX('Per Line'!$AD$2:$AD$1601,$AH43))</f>
        <v/>
      </c>
      <c r="R43">
        <f>IF($AH43="","",IF(AND(ISNUMBER(Q43),Q43&gt;0),AF43&gt;Q43,FALSE))</f>
        <v/>
      </c>
      <c r="S43">
        <f>IF($AH43="","",INDEX('Per Line'!$AH$2:$AH$1601,$AH43)&amp;"")</f>
        <v/>
      </c>
      <c r="T43" s="11">
        <f>IF($AH43="","",INDEX('Per Line'!$AI$2:$AI$1601,$AH43))</f>
        <v/>
      </c>
      <c r="U43">
        <f>IF($AH43="","",Settings!$C$8)</f>
        <v/>
      </c>
      <c r="V43" s="7">
        <f>IF($AH43="","",SUMIFS('Per Line'!$V$2:$V$1601,'Per Line'!$D$2:$D$1601,$B43,'Per Line'!$AN$2:$AN$1601,1))</f>
        <v/>
      </c>
      <c r="W43" s="7">
        <f>IF($AH43="","",V43*U43)</f>
        <v/>
      </c>
      <c r="X43">
        <f>IF($AH43="","",Settings!$C$7)</f>
        <v/>
      </c>
      <c r="Y43" s="7">
        <f>IF($AH43="","",SUMIFS('Per Line'!$V$2:$V$1601,'Per Line'!$D$2:$D$1601,$B43,'Per Line'!$AM$2:$AM$1601,0,'Per Line'!$AN$2:$AN$1601,0))</f>
        <v/>
      </c>
      <c r="Z43" s="7">
        <f>IF($AH43="","",Y43*X43)</f>
        <v/>
      </c>
      <c r="AA43">
        <f>IF($AH43="","",Settings!$C$6)</f>
        <v/>
      </c>
      <c r="AB43" s="7">
        <f>IF($AH43="","",SUMIFS('Per Line'!$V$2:$V$1601,'Per Line'!$D$2:$D$1601,$B43,'Per Line'!$AM$2:$AM$1601,1,'Per Line'!$AN$2:$AN$1601,0))</f>
        <v/>
      </c>
      <c r="AC43" s="7">
        <f>IF($AH43="","",AB43*AA43)</f>
        <v/>
      </c>
      <c r="AD43" s="7">
        <f>IF($AH43="","",AC43+Z43+W43)</f>
        <v/>
      </c>
      <c r="AE43" s="7">
        <f>IF($AH43="","",AF43-AD43)</f>
        <v/>
      </c>
      <c r="AF43" s="7">
        <f>IF($AH43="","",Y43+AB43+V43)</f>
        <v/>
      </c>
      <c r="AG43" s="7">
        <f>IF($AH43="","",AF43-AD43-N43)</f>
        <v/>
      </c>
      <c r="AH43" s="13">
        <f>IF(ROWS($AH$2:$AH43)&lt;=MAX('Per Line'!$AL$2:$AL$1601),MATCH(ROWS($AH$2:$AH43),'Per Line'!$AL$2:$AL$1601,0),"")</f>
        <v/>
      </c>
    </row>
    <row r="44">
      <c r="A44" s="12" t="n"/>
      <c r="B44">
        <f>IF($AH44="","",INDEX('Per Line'!$D$2:$D$1601,$AH44)&amp;"")</f>
        <v/>
      </c>
      <c r="C44">
        <f>IF($AH44="","",INDEX('Per Line'!$A$2:$A$1601,$AH44)&amp;"")</f>
        <v/>
      </c>
      <c r="D44">
        <f>IF($AH44="","",INDEX('Per Line'!$B$2:$B$1601,$AH44))</f>
        <v/>
      </c>
      <c r="E44">
        <f>IF($AH44="","",INDEX('Per Line'!$C$2:$C$1601,$AH44)&amp;"")</f>
        <v/>
      </c>
      <c r="F44">
        <f>IF($AH44="","",INDEX('Per Line'!$E$2:$E$1601,$AH44)&amp;"")</f>
        <v/>
      </c>
      <c r="G44" s="11">
        <f>IF($AH44="","",INDEX('Per Line'!$F$2:$F$1601,$AH44))</f>
        <v/>
      </c>
      <c r="H44">
        <f>IF($AH44="","",INDEX('Per Line'!$G$2:$G$1601,$AH44)&amp;"")</f>
        <v/>
      </c>
      <c r="I44">
        <f>IF($AH44="","",INDEX('Per Line'!$I$2:$I$1601,$AH44)&amp;"")</f>
        <v/>
      </c>
      <c r="J44">
        <f>IF($AH44="","",INDEX('Per Line'!$J$2:$J$1601,$AH44)&amp;"")</f>
        <v/>
      </c>
      <c r="K44">
        <f>IF($AH44="","",INDEX('Per Line'!$K$2:$K$1601,$AH44)&amp;"")</f>
        <v/>
      </c>
      <c r="L44">
        <f>IF($AH44="","",INDEX('Per Line'!$L$2:$L$1601,$AH44)&amp;"")</f>
        <v/>
      </c>
      <c r="M44">
        <f>IF($AH44="","",INDEX('Per Line'!$M$2:$M$1601,$AH44))</f>
        <v/>
      </c>
      <c r="N44" s="7">
        <f>IF($AH44="","",M44*AE44/100)</f>
        <v/>
      </c>
      <c r="O44">
        <f>IF($AH44="","",INDEX('Per Line'!$Z$2:$Z$1601,$AH44)&amp;"")</f>
        <v/>
      </c>
      <c r="P44">
        <f>IF($AH44="","",INDEX('Per Line'!$AC$2:$AC$1601,$AH44)&amp;"")</f>
        <v/>
      </c>
      <c r="Q44">
        <f>IF($AH44="","",INDEX('Per Line'!$AD$2:$AD$1601,$AH44))</f>
        <v/>
      </c>
      <c r="R44">
        <f>IF($AH44="","",IF(AND(ISNUMBER(Q44),Q44&gt;0),AF44&gt;Q44,FALSE))</f>
        <v/>
      </c>
      <c r="S44">
        <f>IF($AH44="","",INDEX('Per Line'!$AH$2:$AH$1601,$AH44)&amp;"")</f>
        <v/>
      </c>
      <c r="T44" s="11">
        <f>IF($AH44="","",INDEX('Per Line'!$AI$2:$AI$1601,$AH44))</f>
        <v/>
      </c>
      <c r="U44">
        <f>IF($AH44="","",Settings!$C$8)</f>
        <v/>
      </c>
      <c r="V44" s="7">
        <f>IF($AH44="","",SUMIFS('Per Line'!$V$2:$V$1601,'Per Line'!$D$2:$D$1601,$B44,'Per Line'!$AN$2:$AN$1601,1))</f>
        <v/>
      </c>
      <c r="W44" s="7">
        <f>IF($AH44="","",V44*U44)</f>
        <v/>
      </c>
      <c r="X44">
        <f>IF($AH44="","",Settings!$C$7)</f>
        <v/>
      </c>
      <c r="Y44" s="7">
        <f>IF($AH44="","",SUMIFS('Per Line'!$V$2:$V$1601,'Per Line'!$D$2:$D$1601,$B44,'Per Line'!$AM$2:$AM$1601,0,'Per Line'!$AN$2:$AN$1601,0))</f>
        <v/>
      </c>
      <c r="Z44" s="7">
        <f>IF($AH44="","",Y44*X44)</f>
        <v/>
      </c>
      <c r="AA44">
        <f>IF($AH44="","",Settings!$C$6)</f>
        <v/>
      </c>
      <c r="AB44" s="7">
        <f>IF($AH44="","",SUMIFS('Per Line'!$V$2:$V$1601,'Per Line'!$D$2:$D$1601,$B44,'Per Line'!$AM$2:$AM$1601,1,'Per Line'!$AN$2:$AN$1601,0))</f>
        <v/>
      </c>
      <c r="AC44" s="7">
        <f>IF($AH44="","",AB44*AA44)</f>
        <v/>
      </c>
      <c r="AD44" s="7">
        <f>IF($AH44="","",AC44+Z44+W44)</f>
        <v/>
      </c>
      <c r="AE44" s="7">
        <f>IF($AH44="","",AF44-AD44)</f>
        <v/>
      </c>
      <c r="AF44" s="7">
        <f>IF($AH44="","",Y44+AB44+V44)</f>
        <v/>
      </c>
      <c r="AG44" s="7">
        <f>IF($AH44="","",AF44-AD44-N44)</f>
        <v/>
      </c>
      <c r="AH44" s="13">
        <f>IF(ROWS($AH$2:$AH44)&lt;=MAX('Per Line'!$AL$2:$AL$1601),MATCH(ROWS($AH$2:$AH44),'Per Line'!$AL$2:$AL$1601,0),"")</f>
        <v/>
      </c>
    </row>
    <row r="45">
      <c r="A45" s="12" t="n"/>
      <c r="B45">
        <f>IF($AH45="","",INDEX('Per Line'!$D$2:$D$1601,$AH45)&amp;"")</f>
        <v/>
      </c>
      <c r="C45">
        <f>IF($AH45="","",INDEX('Per Line'!$A$2:$A$1601,$AH45)&amp;"")</f>
        <v/>
      </c>
      <c r="D45">
        <f>IF($AH45="","",INDEX('Per Line'!$B$2:$B$1601,$AH45))</f>
        <v/>
      </c>
      <c r="E45">
        <f>IF($AH45="","",INDEX('Per Line'!$C$2:$C$1601,$AH45)&amp;"")</f>
        <v/>
      </c>
      <c r="F45">
        <f>IF($AH45="","",INDEX('Per Line'!$E$2:$E$1601,$AH45)&amp;"")</f>
        <v/>
      </c>
      <c r="G45" s="11">
        <f>IF($AH45="","",INDEX('Per Line'!$F$2:$F$1601,$AH45))</f>
        <v/>
      </c>
      <c r="H45">
        <f>IF($AH45="","",INDEX('Per Line'!$G$2:$G$1601,$AH45)&amp;"")</f>
        <v/>
      </c>
      <c r="I45">
        <f>IF($AH45="","",INDEX('Per Line'!$I$2:$I$1601,$AH45)&amp;"")</f>
        <v/>
      </c>
      <c r="J45">
        <f>IF($AH45="","",INDEX('Per Line'!$J$2:$J$1601,$AH45)&amp;"")</f>
        <v/>
      </c>
      <c r="K45">
        <f>IF($AH45="","",INDEX('Per Line'!$K$2:$K$1601,$AH45)&amp;"")</f>
        <v/>
      </c>
      <c r="L45">
        <f>IF($AH45="","",INDEX('Per Line'!$L$2:$L$1601,$AH45)&amp;"")</f>
        <v/>
      </c>
      <c r="M45">
        <f>IF($AH45="","",INDEX('Per Line'!$M$2:$M$1601,$AH45))</f>
        <v/>
      </c>
      <c r="N45" s="7">
        <f>IF($AH45="","",M45*AE45/100)</f>
        <v/>
      </c>
      <c r="O45">
        <f>IF($AH45="","",INDEX('Per Line'!$Z$2:$Z$1601,$AH45)&amp;"")</f>
        <v/>
      </c>
      <c r="P45">
        <f>IF($AH45="","",INDEX('Per Line'!$AC$2:$AC$1601,$AH45)&amp;"")</f>
        <v/>
      </c>
      <c r="Q45">
        <f>IF($AH45="","",INDEX('Per Line'!$AD$2:$AD$1601,$AH45))</f>
        <v/>
      </c>
      <c r="R45">
        <f>IF($AH45="","",IF(AND(ISNUMBER(Q45),Q45&gt;0),AF45&gt;Q45,FALSE))</f>
        <v/>
      </c>
      <c r="S45">
        <f>IF($AH45="","",INDEX('Per Line'!$AH$2:$AH$1601,$AH45)&amp;"")</f>
        <v/>
      </c>
      <c r="T45" s="11">
        <f>IF($AH45="","",INDEX('Per Line'!$AI$2:$AI$1601,$AH45))</f>
        <v/>
      </c>
      <c r="U45">
        <f>IF($AH45="","",Settings!$C$8)</f>
        <v/>
      </c>
      <c r="V45" s="7">
        <f>IF($AH45="","",SUMIFS('Per Line'!$V$2:$V$1601,'Per Line'!$D$2:$D$1601,$B45,'Per Line'!$AN$2:$AN$1601,1))</f>
        <v/>
      </c>
      <c r="W45" s="7">
        <f>IF($AH45="","",V45*U45)</f>
        <v/>
      </c>
      <c r="X45">
        <f>IF($AH45="","",Settings!$C$7)</f>
        <v/>
      </c>
      <c r="Y45" s="7">
        <f>IF($AH45="","",SUMIFS('Per Line'!$V$2:$V$1601,'Per Line'!$D$2:$D$1601,$B45,'Per Line'!$AM$2:$AM$1601,0,'Per Line'!$AN$2:$AN$1601,0))</f>
        <v/>
      </c>
      <c r="Z45" s="7">
        <f>IF($AH45="","",Y45*X45)</f>
        <v/>
      </c>
      <c r="AA45">
        <f>IF($AH45="","",Settings!$C$6)</f>
        <v/>
      </c>
      <c r="AB45" s="7">
        <f>IF($AH45="","",SUMIFS('Per Line'!$V$2:$V$1601,'Per Line'!$D$2:$D$1601,$B45,'Per Line'!$AM$2:$AM$1601,1,'Per Line'!$AN$2:$AN$1601,0))</f>
        <v/>
      </c>
      <c r="AC45" s="7">
        <f>IF($AH45="","",AB45*AA45)</f>
        <v/>
      </c>
      <c r="AD45" s="7">
        <f>IF($AH45="","",AC45+Z45+W45)</f>
        <v/>
      </c>
      <c r="AE45" s="7">
        <f>IF($AH45="","",AF45-AD45)</f>
        <v/>
      </c>
      <c r="AF45" s="7">
        <f>IF($AH45="","",Y45+AB45+V45)</f>
        <v/>
      </c>
      <c r="AG45" s="7">
        <f>IF($AH45="","",AF45-AD45-N45)</f>
        <v/>
      </c>
      <c r="AH45" s="13">
        <f>IF(ROWS($AH$2:$AH45)&lt;=MAX('Per Line'!$AL$2:$AL$1601),MATCH(ROWS($AH$2:$AH45),'Per Line'!$AL$2:$AL$1601,0),"")</f>
        <v/>
      </c>
    </row>
    <row r="46">
      <c r="A46" s="12" t="n"/>
      <c r="B46">
        <f>IF($AH46="","",INDEX('Per Line'!$D$2:$D$1601,$AH46)&amp;"")</f>
        <v/>
      </c>
      <c r="C46">
        <f>IF($AH46="","",INDEX('Per Line'!$A$2:$A$1601,$AH46)&amp;"")</f>
        <v/>
      </c>
      <c r="D46">
        <f>IF($AH46="","",INDEX('Per Line'!$B$2:$B$1601,$AH46))</f>
        <v/>
      </c>
      <c r="E46">
        <f>IF($AH46="","",INDEX('Per Line'!$C$2:$C$1601,$AH46)&amp;"")</f>
        <v/>
      </c>
      <c r="F46">
        <f>IF($AH46="","",INDEX('Per Line'!$E$2:$E$1601,$AH46)&amp;"")</f>
        <v/>
      </c>
      <c r="G46" s="11">
        <f>IF($AH46="","",INDEX('Per Line'!$F$2:$F$1601,$AH46))</f>
        <v/>
      </c>
      <c r="H46">
        <f>IF($AH46="","",INDEX('Per Line'!$G$2:$G$1601,$AH46)&amp;"")</f>
        <v/>
      </c>
      <c r="I46">
        <f>IF($AH46="","",INDEX('Per Line'!$I$2:$I$1601,$AH46)&amp;"")</f>
        <v/>
      </c>
      <c r="J46">
        <f>IF($AH46="","",INDEX('Per Line'!$J$2:$J$1601,$AH46)&amp;"")</f>
        <v/>
      </c>
      <c r="K46">
        <f>IF($AH46="","",INDEX('Per Line'!$K$2:$K$1601,$AH46)&amp;"")</f>
        <v/>
      </c>
      <c r="L46">
        <f>IF($AH46="","",INDEX('Per Line'!$L$2:$L$1601,$AH46)&amp;"")</f>
        <v/>
      </c>
      <c r="M46">
        <f>IF($AH46="","",INDEX('Per Line'!$M$2:$M$1601,$AH46))</f>
        <v/>
      </c>
      <c r="N46" s="7">
        <f>IF($AH46="","",M46*AE46/100)</f>
        <v/>
      </c>
      <c r="O46">
        <f>IF($AH46="","",INDEX('Per Line'!$Z$2:$Z$1601,$AH46)&amp;"")</f>
        <v/>
      </c>
      <c r="P46">
        <f>IF($AH46="","",INDEX('Per Line'!$AC$2:$AC$1601,$AH46)&amp;"")</f>
        <v/>
      </c>
      <c r="Q46">
        <f>IF($AH46="","",INDEX('Per Line'!$AD$2:$AD$1601,$AH46))</f>
        <v/>
      </c>
      <c r="R46">
        <f>IF($AH46="","",IF(AND(ISNUMBER(Q46),Q46&gt;0),AF46&gt;Q46,FALSE))</f>
        <v/>
      </c>
      <c r="S46">
        <f>IF($AH46="","",INDEX('Per Line'!$AH$2:$AH$1601,$AH46)&amp;"")</f>
        <v/>
      </c>
      <c r="T46" s="11">
        <f>IF($AH46="","",INDEX('Per Line'!$AI$2:$AI$1601,$AH46))</f>
        <v/>
      </c>
      <c r="U46">
        <f>IF($AH46="","",Settings!$C$8)</f>
        <v/>
      </c>
      <c r="V46" s="7">
        <f>IF($AH46="","",SUMIFS('Per Line'!$V$2:$V$1601,'Per Line'!$D$2:$D$1601,$B46,'Per Line'!$AN$2:$AN$1601,1))</f>
        <v/>
      </c>
      <c r="W46" s="7">
        <f>IF($AH46="","",V46*U46)</f>
        <v/>
      </c>
      <c r="X46">
        <f>IF($AH46="","",Settings!$C$7)</f>
        <v/>
      </c>
      <c r="Y46" s="7">
        <f>IF($AH46="","",SUMIFS('Per Line'!$V$2:$V$1601,'Per Line'!$D$2:$D$1601,$B46,'Per Line'!$AM$2:$AM$1601,0,'Per Line'!$AN$2:$AN$1601,0))</f>
        <v/>
      </c>
      <c r="Z46" s="7">
        <f>IF($AH46="","",Y46*X46)</f>
        <v/>
      </c>
      <c r="AA46">
        <f>IF($AH46="","",Settings!$C$6)</f>
        <v/>
      </c>
      <c r="AB46" s="7">
        <f>IF($AH46="","",SUMIFS('Per Line'!$V$2:$V$1601,'Per Line'!$D$2:$D$1601,$B46,'Per Line'!$AM$2:$AM$1601,1,'Per Line'!$AN$2:$AN$1601,0))</f>
        <v/>
      </c>
      <c r="AC46" s="7">
        <f>IF($AH46="","",AB46*AA46)</f>
        <v/>
      </c>
      <c r="AD46" s="7">
        <f>IF($AH46="","",AC46+Z46+W46)</f>
        <v/>
      </c>
      <c r="AE46" s="7">
        <f>IF($AH46="","",AF46-AD46)</f>
        <v/>
      </c>
      <c r="AF46" s="7">
        <f>IF($AH46="","",Y46+AB46+V46)</f>
        <v/>
      </c>
      <c r="AG46" s="7">
        <f>IF($AH46="","",AF46-AD46-N46)</f>
        <v/>
      </c>
      <c r="AH46" s="13">
        <f>IF(ROWS($AH$2:$AH46)&lt;=MAX('Per Line'!$AL$2:$AL$1601),MATCH(ROWS($AH$2:$AH46),'Per Line'!$AL$2:$AL$1601,0),"")</f>
        <v/>
      </c>
    </row>
    <row r="47">
      <c r="A47" s="12" t="n"/>
      <c r="B47">
        <f>IF($AH47="","",INDEX('Per Line'!$D$2:$D$1601,$AH47)&amp;"")</f>
        <v/>
      </c>
      <c r="C47">
        <f>IF($AH47="","",INDEX('Per Line'!$A$2:$A$1601,$AH47)&amp;"")</f>
        <v/>
      </c>
      <c r="D47">
        <f>IF($AH47="","",INDEX('Per Line'!$B$2:$B$1601,$AH47))</f>
        <v/>
      </c>
      <c r="E47">
        <f>IF($AH47="","",INDEX('Per Line'!$C$2:$C$1601,$AH47)&amp;"")</f>
        <v/>
      </c>
      <c r="F47">
        <f>IF($AH47="","",INDEX('Per Line'!$E$2:$E$1601,$AH47)&amp;"")</f>
        <v/>
      </c>
      <c r="G47" s="11">
        <f>IF($AH47="","",INDEX('Per Line'!$F$2:$F$1601,$AH47))</f>
        <v/>
      </c>
      <c r="H47">
        <f>IF($AH47="","",INDEX('Per Line'!$G$2:$G$1601,$AH47)&amp;"")</f>
        <v/>
      </c>
      <c r="I47">
        <f>IF($AH47="","",INDEX('Per Line'!$I$2:$I$1601,$AH47)&amp;"")</f>
        <v/>
      </c>
      <c r="J47">
        <f>IF($AH47="","",INDEX('Per Line'!$J$2:$J$1601,$AH47)&amp;"")</f>
        <v/>
      </c>
      <c r="K47">
        <f>IF($AH47="","",INDEX('Per Line'!$K$2:$K$1601,$AH47)&amp;"")</f>
        <v/>
      </c>
      <c r="L47">
        <f>IF($AH47="","",INDEX('Per Line'!$L$2:$L$1601,$AH47)&amp;"")</f>
        <v/>
      </c>
      <c r="M47">
        <f>IF($AH47="","",INDEX('Per Line'!$M$2:$M$1601,$AH47))</f>
        <v/>
      </c>
      <c r="N47" s="7">
        <f>IF($AH47="","",M47*AE47/100)</f>
        <v/>
      </c>
      <c r="O47">
        <f>IF($AH47="","",INDEX('Per Line'!$Z$2:$Z$1601,$AH47)&amp;"")</f>
        <v/>
      </c>
      <c r="P47">
        <f>IF($AH47="","",INDEX('Per Line'!$AC$2:$AC$1601,$AH47)&amp;"")</f>
        <v/>
      </c>
      <c r="Q47">
        <f>IF($AH47="","",INDEX('Per Line'!$AD$2:$AD$1601,$AH47))</f>
        <v/>
      </c>
      <c r="R47">
        <f>IF($AH47="","",IF(AND(ISNUMBER(Q47),Q47&gt;0),AF47&gt;Q47,FALSE))</f>
        <v/>
      </c>
      <c r="S47">
        <f>IF($AH47="","",INDEX('Per Line'!$AH$2:$AH$1601,$AH47)&amp;"")</f>
        <v/>
      </c>
      <c r="T47" s="11">
        <f>IF($AH47="","",INDEX('Per Line'!$AI$2:$AI$1601,$AH47))</f>
        <v/>
      </c>
      <c r="U47">
        <f>IF($AH47="","",Settings!$C$8)</f>
        <v/>
      </c>
      <c r="V47" s="7">
        <f>IF($AH47="","",SUMIFS('Per Line'!$V$2:$V$1601,'Per Line'!$D$2:$D$1601,$B47,'Per Line'!$AN$2:$AN$1601,1))</f>
        <v/>
      </c>
      <c r="W47" s="7">
        <f>IF($AH47="","",V47*U47)</f>
        <v/>
      </c>
      <c r="X47">
        <f>IF($AH47="","",Settings!$C$7)</f>
        <v/>
      </c>
      <c r="Y47" s="7">
        <f>IF($AH47="","",SUMIFS('Per Line'!$V$2:$V$1601,'Per Line'!$D$2:$D$1601,$B47,'Per Line'!$AM$2:$AM$1601,0,'Per Line'!$AN$2:$AN$1601,0))</f>
        <v/>
      </c>
      <c r="Z47" s="7">
        <f>IF($AH47="","",Y47*X47)</f>
        <v/>
      </c>
      <c r="AA47">
        <f>IF($AH47="","",Settings!$C$6)</f>
        <v/>
      </c>
      <c r="AB47" s="7">
        <f>IF($AH47="","",SUMIFS('Per Line'!$V$2:$V$1601,'Per Line'!$D$2:$D$1601,$B47,'Per Line'!$AM$2:$AM$1601,1,'Per Line'!$AN$2:$AN$1601,0))</f>
        <v/>
      </c>
      <c r="AC47" s="7">
        <f>IF($AH47="","",AB47*AA47)</f>
        <v/>
      </c>
      <c r="AD47" s="7">
        <f>IF($AH47="","",AC47+Z47+W47)</f>
        <v/>
      </c>
      <c r="AE47" s="7">
        <f>IF($AH47="","",AF47-AD47)</f>
        <v/>
      </c>
      <c r="AF47" s="7">
        <f>IF($AH47="","",Y47+AB47+V47)</f>
        <v/>
      </c>
      <c r="AG47" s="7">
        <f>IF($AH47="","",AF47-AD47-N47)</f>
        <v/>
      </c>
      <c r="AH47" s="13">
        <f>IF(ROWS($AH$2:$AH47)&lt;=MAX('Per Line'!$AL$2:$AL$1601),MATCH(ROWS($AH$2:$AH47),'Per Line'!$AL$2:$AL$1601,0),"")</f>
        <v/>
      </c>
    </row>
    <row r="48">
      <c r="A48" s="12" t="n"/>
      <c r="B48">
        <f>IF($AH48="","",INDEX('Per Line'!$D$2:$D$1601,$AH48)&amp;"")</f>
        <v/>
      </c>
      <c r="C48">
        <f>IF($AH48="","",INDEX('Per Line'!$A$2:$A$1601,$AH48)&amp;"")</f>
        <v/>
      </c>
      <c r="D48">
        <f>IF($AH48="","",INDEX('Per Line'!$B$2:$B$1601,$AH48))</f>
        <v/>
      </c>
      <c r="E48">
        <f>IF($AH48="","",INDEX('Per Line'!$C$2:$C$1601,$AH48)&amp;"")</f>
        <v/>
      </c>
      <c r="F48">
        <f>IF($AH48="","",INDEX('Per Line'!$E$2:$E$1601,$AH48)&amp;"")</f>
        <v/>
      </c>
      <c r="G48" s="11">
        <f>IF($AH48="","",INDEX('Per Line'!$F$2:$F$1601,$AH48))</f>
        <v/>
      </c>
      <c r="H48">
        <f>IF($AH48="","",INDEX('Per Line'!$G$2:$G$1601,$AH48)&amp;"")</f>
        <v/>
      </c>
      <c r="I48">
        <f>IF($AH48="","",INDEX('Per Line'!$I$2:$I$1601,$AH48)&amp;"")</f>
        <v/>
      </c>
      <c r="J48">
        <f>IF($AH48="","",INDEX('Per Line'!$J$2:$J$1601,$AH48)&amp;"")</f>
        <v/>
      </c>
      <c r="K48">
        <f>IF($AH48="","",INDEX('Per Line'!$K$2:$K$1601,$AH48)&amp;"")</f>
        <v/>
      </c>
      <c r="L48">
        <f>IF($AH48="","",INDEX('Per Line'!$L$2:$L$1601,$AH48)&amp;"")</f>
        <v/>
      </c>
      <c r="M48">
        <f>IF($AH48="","",INDEX('Per Line'!$M$2:$M$1601,$AH48))</f>
        <v/>
      </c>
      <c r="N48" s="7">
        <f>IF($AH48="","",M48*AE48/100)</f>
        <v/>
      </c>
      <c r="O48">
        <f>IF($AH48="","",INDEX('Per Line'!$Z$2:$Z$1601,$AH48)&amp;"")</f>
        <v/>
      </c>
      <c r="P48">
        <f>IF($AH48="","",INDEX('Per Line'!$AC$2:$AC$1601,$AH48)&amp;"")</f>
        <v/>
      </c>
      <c r="Q48">
        <f>IF($AH48="","",INDEX('Per Line'!$AD$2:$AD$1601,$AH48))</f>
        <v/>
      </c>
      <c r="R48">
        <f>IF($AH48="","",IF(AND(ISNUMBER(Q48),Q48&gt;0),AF48&gt;Q48,FALSE))</f>
        <v/>
      </c>
      <c r="S48">
        <f>IF($AH48="","",INDEX('Per Line'!$AH$2:$AH$1601,$AH48)&amp;"")</f>
        <v/>
      </c>
      <c r="T48" s="11">
        <f>IF($AH48="","",INDEX('Per Line'!$AI$2:$AI$1601,$AH48))</f>
        <v/>
      </c>
      <c r="U48">
        <f>IF($AH48="","",Settings!$C$8)</f>
        <v/>
      </c>
      <c r="V48" s="7">
        <f>IF($AH48="","",SUMIFS('Per Line'!$V$2:$V$1601,'Per Line'!$D$2:$D$1601,$B48,'Per Line'!$AN$2:$AN$1601,1))</f>
        <v/>
      </c>
      <c r="W48" s="7">
        <f>IF($AH48="","",V48*U48)</f>
        <v/>
      </c>
      <c r="X48">
        <f>IF($AH48="","",Settings!$C$7)</f>
        <v/>
      </c>
      <c r="Y48" s="7">
        <f>IF($AH48="","",SUMIFS('Per Line'!$V$2:$V$1601,'Per Line'!$D$2:$D$1601,$B48,'Per Line'!$AM$2:$AM$1601,0,'Per Line'!$AN$2:$AN$1601,0))</f>
        <v/>
      </c>
      <c r="Z48" s="7">
        <f>IF($AH48="","",Y48*X48)</f>
        <v/>
      </c>
      <c r="AA48">
        <f>IF($AH48="","",Settings!$C$6)</f>
        <v/>
      </c>
      <c r="AB48" s="7">
        <f>IF($AH48="","",SUMIFS('Per Line'!$V$2:$V$1601,'Per Line'!$D$2:$D$1601,$B48,'Per Line'!$AM$2:$AM$1601,1,'Per Line'!$AN$2:$AN$1601,0))</f>
        <v/>
      </c>
      <c r="AC48" s="7">
        <f>IF($AH48="","",AB48*AA48)</f>
        <v/>
      </c>
      <c r="AD48" s="7">
        <f>IF($AH48="","",AC48+Z48+W48)</f>
        <v/>
      </c>
      <c r="AE48" s="7">
        <f>IF($AH48="","",AF48-AD48)</f>
        <v/>
      </c>
      <c r="AF48" s="7">
        <f>IF($AH48="","",Y48+AB48+V48)</f>
        <v/>
      </c>
      <c r="AG48" s="7">
        <f>IF($AH48="","",AF48-AD48-N48)</f>
        <v/>
      </c>
      <c r="AH48" s="13">
        <f>IF(ROWS($AH$2:$AH48)&lt;=MAX('Per Line'!$AL$2:$AL$1601),MATCH(ROWS($AH$2:$AH48),'Per Line'!$AL$2:$AL$1601,0),"")</f>
        <v/>
      </c>
    </row>
    <row r="49">
      <c r="A49" s="12" t="n"/>
      <c r="B49">
        <f>IF($AH49="","",INDEX('Per Line'!$D$2:$D$1601,$AH49)&amp;"")</f>
        <v/>
      </c>
      <c r="C49">
        <f>IF($AH49="","",INDEX('Per Line'!$A$2:$A$1601,$AH49)&amp;"")</f>
        <v/>
      </c>
      <c r="D49">
        <f>IF($AH49="","",INDEX('Per Line'!$B$2:$B$1601,$AH49))</f>
        <v/>
      </c>
      <c r="E49">
        <f>IF($AH49="","",INDEX('Per Line'!$C$2:$C$1601,$AH49)&amp;"")</f>
        <v/>
      </c>
      <c r="F49">
        <f>IF($AH49="","",INDEX('Per Line'!$E$2:$E$1601,$AH49)&amp;"")</f>
        <v/>
      </c>
      <c r="G49" s="11">
        <f>IF($AH49="","",INDEX('Per Line'!$F$2:$F$1601,$AH49))</f>
        <v/>
      </c>
      <c r="H49">
        <f>IF($AH49="","",INDEX('Per Line'!$G$2:$G$1601,$AH49)&amp;"")</f>
        <v/>
      </c>
      <c r="I49">
        <f>IF($AH49="","",INDEX('Per Line'!$I$2:$I$1601,$AH49)&amp;"")</f>
        <v/>
      </c>
      <c r="J49">
        <f>IF($AH49="","",INDEX('Per Line'!$J$2:$J$1601,$AH49)&amp;"")</f>
        <v/>
      </c>
      <c r="K49">
        <f>IF($AH49="","",INDEX('Per Line'!$K$2:$K$1601,$AH49)&amp;"")</f>
        <v/>
      </c>
      <c r="L49">
        <f>IF($AH49="","",INDEX('Per Line'!$L$2:$L$1601,$AH49)&amp;"")</f>
        <v/>
      </c>
      <c r="M49">
        <f>IF($AH49="","",INDEX('Per Line'!$M$2:$M$1601,$AH49))</f>
        <v/>
      </c>
      <c r="N49" s="7">
        <f>IF($AH49="","",M49*AE49/100)</f>
        <v/>
      </c>
      <c r="O49">
        <f>IF($AH49="","",INDEX('Per Line'!$Z$2:$Z$1601,$AH49)&amp;"")</f>
        <v/>
      </c>
      <c r="P49">
        <f>IF($AH49="","",INDEX('Per Line'!$AC$2:$AC$1601,$AH49)&amp;"")</f>
        <v/>
      </c>
      <c r="Q49">
        <f>IF($AH49="","",INDEX('Per Line'!$AD$2:$AD$1601,$AH49))</f>
        <v/>
      </c>
      <c r="R49">
        <f>IF($AH49="","",IF(AND(ISNUMBER(Q49),Q49&gt;0),AF49&gt;Q49,FALSE))</f>
        <v/>
      </c>
      <c r="S49">
        <f>IF($AH49="","",INDEX('Per Line'!$AH$2:$AH$1601,$AH49)&amp;"")</f>
        <v/>
      </c>
      <c r="T49" s="11">
        <f>IF($AH49="","",INDEX('Per Line'!$AI$2:$AI$1601,$AH49))</f>
        <v/>
      </c>
      <c r="U49">
        <f>IF($AH49="","",Settings!$C$8)</f>
        <v/>
      </c>
      <c r="V49" s="7">
        <f>IF($AH49="","",SUMIFS('Per Line'!$V$2:$V$1601,'Per Line'!$D$2:$D$1601,$B49,'Per Line'!$AN$2:$AN$1601,1))</f>
        <v/>
      </c>
      <c r="W49" s="7">
        <f>IF($AH49="","",V49*U49)</f>
        <v/>
      </c>
      <c r="X49">
        <f>IF($AH49="","",Settings!$C$7)</f>
        <v/>
      </c>
      <c r="Y49" s="7">
        <f>IF($AH49="","",SUMIFS('Per Line'!$V$2:$V$1601,'Per Line'!$D$2:$D$1601,$B49,'Per Line'!$AM$2:$AM$1601,0,'Per Line'!$AN$2:$AN$1601,0))</f>
        <v/>
      </c>
      <c r="Z49" s="7">
        <f>IF($AH49="","",Y49*X49)</f>
        <v/>
      </c>
      <c r="AA49">
        <f>IF($AH49="","",Settings!$C$6)</f>
        <v/>
      </c>
      <c r="AB49" s="7">
        <f>IF($AH49="","",SUMIFS('Per Line'!$V$2:$V$1601,'Per Line'!$D$2:$D$1601,$B49,'Per Line'!$AM$2:$AM$1601,1,'Per Line'!$AN$2:$AN$1601,0))</f>
        <v/>
      </c>
      <c r="AC49" s="7">
        <f>IF($AH49="","",AB49*AA49)</f>
        <v/>
      </c>
      <c r="AD49" s="7">
        <f>IF($AH49="","",AC49+Z49+W49)</f>
        <v/>
      </c>
      <c r="AE49" s="7">
        <f>IF($AH49="","",AF49-AD49)</f>
        <v/>
      </c>
      <c r="AF49" s="7">
        <f>IF($AH49="","",Y49+AB49+V49)</f>
        <v/>
      </c>
      <c r="AG49" s="7">
        <f>IF($AH49="","",AF49-AD49-N49)</f>
        <v/>
      </c>
      <c r="AH49" s="13">
        <f>IF(ROWS($AH$2:$AH49)&lt;=MAX('Per Line'!$AL$2:$AL$1601),MATCH(ROWS($AH$2:$AH49),'Per Line'!$AL$2:$AL$1601,0),"")</f>
        <v/>
      </c>
    </row>
    <row r="50">
      <c r="A50" s="12" t="n"/>
      <c r="B50">
        <f>IF($AH50="","",INDEX('Per Line'!$D$2:$D$1601,$AH50)&amp;"")</f>
        <v/>
      </c>
      <c r="C50">
        <f>IF($AH50="","",INDEX('Per Line'!$A$2:$A$1601,$AH50)&amp;"")</f>
        <v/>
      </c>
      <c r="D50">
        <f>IF($AH50="","",INDEX('Per Line'!$B$2:$B$1601,$AH50))</f>
        <v/>
      </c>
      <c r="E50">
        <f>IF($AH50="","",INDEX('Per Line'!$C$2:$C$1601,$AH50)&amp;"")</f>
        <v/>
      </c>
      <c r="F50">
        <f>IF($AH50="","",INDEX('Per Line'!$E$2:$E$1601,$AH50)&amp;"")</f>
        <v/>
      </c>
      <c r="G50" s="11">
        <f>IF($AH50="","",INDEX('Per Line'!$F$2:$F$1601,$AH50))</f>
        <v/>
      </c>
      <c r="H50">
        <f>IF($AH50="","",INDEX('Per Line'!$G$2:$G$1601,$AH50)&amp;"")</f>
        <v/>
      </c>
      <c r="I50">
        <f>IF($AH50="","",INDEX('Per Line'!$I$2:$I$1601,$AH50)&amp;"")</f>
        <v/>
      </c>
      <c r="J50">
        <f>IF($AH50="","",INDEX('Per Line'!$J$2:$J$1601,$AH50)&amp;"")</f>
        <v/>
      </c>
      <c r="K50">
        <f>IF($AH50="","",INDEX('Per Line'!$K$2:$K$1601,$AH50)&amp;"")</f>
        <v/>
      </c>
      <c r="L50">
        <f>IF($AH50="","",INDEX('Per Line'!$L$2:$L$1601,$AH50)&amp;"")</f>
        <v/>
      </c>
      <c r="M50">
        <f>IF($AH50="","",INDEX('Per Line'!$M$2:$M$1601,$AH50))</f>
        <v/>
      </c>
      <c r="N50" s="7">
        <f>IF($AH50="","",M50*AE50/100)</f>
        <v/>
      </c>
      <c r="O50">
        <f>IF($AH50="","",INDEX('Per Line'!$Z$2:$Z$1601,$AH50)&amp;"")</f>
        <v/>
      </c>
      <c r="P50">
        <f>IF($AH50="","",INDEX('Per Line'!$AC$2:$AC$1601,$AH50)&amp;"")</f>
        <v/>
      </c>
      <c r="Q50">
        <f>IF($AH50="","",INDEX('Per Line'!$AD$2:$AD$1601,$AH50))</f>
        <v/>
      </c>
      <c r="R50">
        <f>IF($AH50="","",IF(AND(ISNUMBER(Q50),Q50&gt;0),AF50&gt;Q50,FALSE))</f>
        <v/>
      </c>
      <c r="S50">
        <f>IF($AH50="","",INDEX('Per Line'!$AH$2:$AH$1601,$AH50)&amp;"")</f>
        <v/>
      </c>
      <c r="T50" s="11">
        <f>IF($AH50="","",INDEX('Per Line'!$AI$2:$AI$1601,$AH50))</f>
        <v/>
      </c>
      <c r="U50">
        <f>IF($AH50="","",Settings!$C$8)</f>
        <v/>
      </c>
      <c r="V50" s="7">
        <f>IF($AH50="","",SUMIFS('Per Line'!$V$2:$V$1601,'Per Line'!$D$2:$D$1601,$B50,'Per Line'!$AN$2:$AN$1601,1))</f>
        <v/>
      </c>
      <c r="W50" s="7">
        <f>IF($AH50="","",V50*U50)</f>
        <v/>
      </c>
      <c r="X50">
        <f>IF($AH50="","",Settings!$C$7)</f>
        <v/>
      </c>
      <c r="Y50" s="7">
        <f>IF($AH50="","",SUMIFS('Per Line'!$V$2:$V$1601,'Per Line'!$D$2:$D$1601,$B50,'Per Line'!$AM$2:$AM$1601,0,'Per Line'!$AN$2:$AN$1601,0))</f>
        <v/>
      </c>
      <c r="Z50" s="7">
        <f>IF($AH50="","",Y50*X50)</f>
        <v/>
      </c>
      <c r="AA50">
        <f>IF($AH50="","",Settings!$C$6)</f>
        <v/>
      </c>
      <c r="AB50" s="7">
        <f>IF($AH50="","",SUMIFS('Per Line'!$V$2:$V$1601,'Per Line'!$D$2:$D$1601,$B50,'Per Line'!$AM$2:$AM$1601,1,'Per Line'!$AN$2:$AN$1601,0))</f>
        <v/>
      </c>
      <c r="AC50" s="7">
        <f>IF($AH50="","",AB50*AA50)</f>
        <v/>
      </c>
      <c r="AD50" s="7">
        <f>IF($AH50="","",AC50+Z50+W50)</f>
        <v/>
      </c>
      <c r="AE50" s="7">
        <f>IF($AH50="","",AF50-AD50)</f>
        <v/>
      </c>
      <c r="AF50" s="7">
        <f>IF($AH50="","",Y50+AB50+V50)</f>
        <v/>
      </c>
      <c r="AG50" s="7">
        <f>IF($AH50="","",AF50-AD50-N50)</f>
        <v/>
      </c>
      <c r="AH50" s="13">
        <f>IF(ROWS($AH$2:$AH50)&lt;=MAX('Per Line'!$AL$2:$AL$1601),MATCH(ROWS($AH$2:$AH50),'Per Line'!$AL$2:$AL$1601,0),"")</f>
        <v/>
      </c>
    </row>
    <row r="51">
      <c r="A51" s="12" t="n"/>
      <c r="B51">
        <f>IF($AH51="","",INDEX('Per Line'!$D$2:$D$1601,$AH51)&amp;"")</f>
        <v/>
      </c>
      <c r="C51">
        <f>IF($AH51="","",INDEX('Per Line'!$A$2:$A$1601,$AH51)&amp;"")</f>
        <v/>
      </c>
      <c r="D51">
        <f>IF($AH51="","",INDEX('Per Line'!$B$2:$B$1601,$AH51))</f>
        <v/>
      </c>
      <c r="E51">
        <f>IF($AH51="","",INDEX('Per Line'!$C$2:$C$1601,$AH51)&amp;"")</f>
        <v/>
      </c>
      <c r="F51">
        <f>IF($AH51="","",INDEX('Per Line'!$E$2:$E$1601,$AH51)&amp;"")</f>
        <v/>
      </c>
      <c r="G51" s="11">
        <f>IF($AH51="","",INDEX('Per Line'!$F$2:$F$1601,$AH51))</f>
        <v/>
      </c>
      <c r="H51">
        <f>IF($AH51="","",INDEX('Per Line'!$G$2:$G$1601,$AH51)&amp;"")</f>
        <v/>
      </c>
      <c r="I51">
        <f>IF($AH51="","",INDEX('Per Line'!$I$2:$I$1601,$AH51)&amp;"")</f>
        <v/>
      </c>
      <c r="J51">
        <f>IF($AH51="","",INDEX('Per Line'!$J$2:$J$1601,$AH51)&amp;"")</f>
        <v/>
      </c>
      <c r="K51">
        <f>IF($AH51="","",INDEX('Per Line'!$K$2:$K$1601,$AH51)&amp;"")</f>
        <v/>
      </c>
      <c r="L51">
        <f>IF($AH51="","",INDEX('Per Line'!$L$2:$L$1601,$AH51)&amp;"")</f>
        <v/>
      </c>
      <c r="M51">
        <f>IF($AH51="","",INDEX('Per Line'!$M$2:$M$1601,$AH51))</f>
        <v/>
      </c>
      <c r="N51" s="7">
        <f>IF($AH51="","",M51*AE51/100)</f>
        <v/>
      </c>
      <c r="O51">
        <f>IF($AH51="","",INDEX('Per Line'!$Z$2:$Z$1601,$AH51)&amp;"")</f>
        <v/>
      </c>
      <c r="P51">
        <f>IF($AH51="","",INDEX('Per Line'!$AC$2:$AC$1601,$AH51)&amp;"")</f>
        <v/>
      </c>
      <c r="Q51">
        <f>IF($AH51="","",INDEX('Per Line'!$AD$2:$AD$1601,$AH51))</f>
        <v/>
      </c>
      <c r="R51">
        <f>IF($AH51="","",IF(AND(ISNUMBER(Q51),Q51&gt;0),AF51&gt;Q51,FALSE))</f>
        <v/>
      </c>
      <c r="S51">
        <f>IF($AH51="","",INDEX('Per Line'!$AH$2:$AH$1601,$AH51)&amp;"")</f>
        <v/>
      </c>
      <c r="T51" s="11">
        <f>IF($AH51="","",INDEX('Per Line'!$AI$2:$AI$1601,$AH51))</f>
        <v/>
      </c>
      <c r="U51">
        <f>IF($AH51="","",Settings!$C$8)</f>
        <v/>
      </c>
      <c r="V51" s="7">
        <f>IF($AH51="","",SUMIFS('Per Line'!$V$2:$V$1601,'Per Line'!$D$2:$D$1601,$B51,'Per Line'!$AN$2:$AN$1601,1))</f>
        <v/>
      </c>
      <c r="W51" s="7">
        <f>IF($AH51="","",V51*U51)</f>
        <v/>
      </c>
      <c r="X51">
        <f>IF($AH51="","",Settings!$C$7)</f>
        <v/>
      </c>
      <c r="Y51" s="7">
        <f>IF($AH51="","",SUMIFS('Per Line'!$V$2:$V$1601,'Per Line'!$D$2:$D$1601,$B51,'Per Line'!$AM$2:$AM$1601,0,'Per Line'!$AN$2:$AN$1601,0))</f>
        <v/>
      </c>
      <c r="Z51" s="7">
        <f>IF($AH51="","",Y51*X51)</f>
        <v/>
      </c>
      <c r="AA51">
        <f>IF($AH51="","",Settings!$C$6)</f>
        <v/>
      </c>
      <c r="AB51" s="7">
        <f>IF($AH51="","",SUMIFS('Per Line'!$V$2:$V$1601,'Per Line'!$D$2:$D$1601,$B51,'Per Line'!$AM$2:$AM$1601,1,'Per Line'!$AN$2:$AN$1601,0))</f>
        <v/>
      </c>
      <c r="AC51" s="7">
        <f>IF($AH51="","",AB51*AA51)</f>
        <v/>
      </c>
      <c r="AD51" s="7">
        <f>IF($AH51="","",AC51+Z51+W51)</f>
        <v/>
      </c>
      <c r="AE51" s="7">
        <f>IF($AH51="","",AF51-AD51)</f>
        <v/>
      </c>
      <c r="AF51" s="7">
        <f>IF($AH51="","",Y51+AB51+V51)</f>
        <v/>
      </c>
      <c r="AG51" s="7">
        <f>IF($AH51="","",AF51-AD51-N51)</f>
        <v/>
      </c>
      <c r="AH51" s="13">
        <f>IF(ROWS($AH$2:$AH51)&lt;=MAX('Per Line'!$AL$2:$AL$1601),MATCH(ROWS($AH$2:$AH51),'Per Line'!$AL$2:$AL$1601,0),"")</f>
        <v/>
      </c>
    </row>
    <row r="52">
      <c r="A52" s="12" t="n"/>
      <c r="B52">
        <f>IF($AH52="","",INDEX('Per Line'!$D$2:$D$1601,$AH52)&amp;"")</f>
        <v/>
      </c>
      <c r="C52">
        <f>IF($AH52="","",INDEX('Per Line'!$A$2:$A$1601,$AH52)&amp;"")</f>
        <v/>
      </c>
      <c r="D52">
        <f>IF($AH52="","",INDEX('Per Line'!$B$2:$B$1601,$AH52))</f>
        <v/>
      </c>
      <c r="E52">
        <f>IF($AH52="","",INDEX('Per Line'!$C$2:$C$1601,$AH52)&amp;"")</f>
        <v/>
      </c>
      <c r="F52">
        <f>IF($AH52="","",INDEX('Per Line'!$E$2:$E$1601,$AH52)&amp;"")</f>
        <v/>
      </c>
      <c r="G52" s="11">
        <f>IF($AH52="","",INDEX('Per Line'!$F$2:$F$1601,$AH52))</f>
        <v/>
      </c>
      <c r="H52">
        <f>IF($AH52="","",INDEX('Per Line'!$G$2:$G$1601,$AH52)&amp;"")</f>
        <v/>
      </c>
      <c r="I52">
        <f>IF($AH52="","",INDEX('Per Line'!$I$2:$I$1601,$AH52)&amp;"")</f>
        <v/>
      </c>
      <c r="J52">
        <f>IF($AH52="","",INDEX('Per Line'!$J$2:$J$1601,$AH52)&amp;"")</f>
        <v/>
      </c>
      <c r="K52">
        <f>IF($AH52="","",INDEX('Per Line'!$K$2:$K$1601,$AH52)&amp;"")</f>
        <v/>
      </c>
      <c r="L52">
        <f>IF($AH52="","",INDEX('Per Line'!$L$2:$L$1601,$AH52)&amp;"")</f>
        <v/>
      </c>
      <c r="M52">
        <f>IF($AH52="","",INDEX('Per Line'!$M$2:$M$1601,$AH52))</f>
        <v/>
      </c>
      <c r="N52" s="7">
        <f>IF($AH52="","",M52*AE52/100)</f>
        <v/>
      </c>
      <c r="O52">
        <f>IF($AH52="","",INDEX('Per Line'!$Z$2:$Z$1601,$AH52)&amp;"")</f>
        <v/>
      </c>
      <c r="P52">
        <f>IF($AH52="","",INDEX('Per Line'!$AC$2:$AC$1601,$AH52)&amp;"")</f>
        <v/>
      </c>
      <c r="Q52">
        <f>IF($AH52="","",INDEX('Per Line'!$AD$2:$AD$1601,$AH52))</f>
        <v/>
      </c>
      <c r="R52">
        <f>IF($AH52="","",IF(AND(ISNUMBER(Q52),Q52&gt;0),AF52&gt;Q52,FALSE))</f>
        <v/>
      </c>
      <c r="S52">
        <f>IF($AH52="","",INDEX('Per Line'!$AH$2:$AH$1601,$AH52)&amp;"")</f>
        <v/>
      </c>
      <c r="T52" s="11">
        <f>IF($AH52="","",INDEX('Per Line'!$AI$2:$AI$1601,$AH52))</f>
        <v/>
      </c>
      <c r="U52">
        <f>IF($AH52="","",Settings!$C$8)</f>
        <v/>
      </c>
      <c r="V52" s="7">
        <f>IF($AH52="","",SUMIFS('Per Line'!$V$2:$V$1601,'Per Line'!$D$2:$D$1601,$B52,'Per Line'!$AN$2:$AN$1601,1))</f>
        <v/>
      </c>
      <c r="W52" s="7">
        <f>IF($AH52="","",V52*U52)</f>
        <v/>
      </c>
      <c r="X52">
        <f>IF($AH52="","",Settings!$C$7)</f>
        <v/>
      </c>
      <c r="Y52" s="7">
        <f>IF($AH52="","",SUMIFS('Per Line'!$V$2:$V$1601,'Per Line'!$D$2:$D$1601,$B52,'Per Line'!$AM$2:$AM$1601,0,'Per Line'!$AN$2:$AN$1601,0))</f>
        <v/>
      </c>
      <c r="Z52" s="7">
        <f>IF($AH52="","",Y52*X52)</f>
        <v/>
      </c>
      <c r="AA52">
        <f>IF($AH52="","",Settings!$C$6)</f>
        <v/>
      </c>
      <c r="AB52" s="7">
        <f>IF($AH52="","",SUMIFS('Per Line'!$V$2:$V$1601,'Per Line'!$D$2:$D$1601,$B52,'Per Line'!$AM$2:$AM$1601,1,'Per Line'!$AN$2:$AN$1601,0))</f>
        <v/>
      </c>
      <c r="AC52" s="7">
        <f>IF($AH52="","",AB52*AA52)</f>
        <v/>
      </c>
      <c r="AD52" s="7">
        <f>IF($AH52="","",AC52+Z52+W52)</f>
        <v/>
      </c>
      <c r="AE52" s="7">
        <f>IF($AH52="","",AF52-AD52)</f>
        <v/>
      </c>
      <c r="AF52" s="7">
        <f>IF($AH52="","",Y52+AB52+V52)</f>
        <v/>
      </c>
      <c r="AG52" s="7">
        <f>IF($AH52="","",AF52-AD52-N52)</f>
        <v/>
      </c>
      <c r="AH52" s="13">
        <f>IF(ROWS($AH$2:$AH52)&lt;=MAX('Per Line'!$AL$2:$AL$1601),MATCH(ROWS($AH$2:$AH52),'Per Line'!$AL$2:$AL$1601,0),"")</f>
        <v/>
      </c>
    </row>
    <row r="53">
      <c r="A53" s="12" t="n"/>
      <c r="B53">
        <f>IF($AH53="","",INDEX('Per Line'!$D$2:$D$1601,$AH53)&amp;"")</f>
        <v/>
      </c>
      <c r="C53">
        <f>IF($AH53="","",INDEX('Per Line'!$A$2:$A$1601,$AH53)&amp;"")</f>
        <v/>
      </c>
      <c r="D53">
        <f>IF($AH53="","",INDEX('Per Line'!$B$2:$B$1601,$AH53))</f>
        <v/>
      </c>
      <c r="E53">
        <f>IF($AH53="","",INDEX('Per Line'!$C$2:$C$1601,$AH53)&amp;"")</f>
        <v/>
      </c>
      <c r="F53">
        <f>IF($AH53="","",INDEX('Per Line'!$E$2:$E$1601,$AH53)&amp;"")</f>
        <v/>
      </c>
      <c r="G53" s="11">
        <f>IF($AH53="","",INDEX('Per Line'!$F$2:$F$1601,$AH53))</f>
        <v/>
      </c>
      <c r="H53">
        <f>IF($AH53="","",INDEX('Per Line'!$G$2:$G$1601,$AH53)&amp;"")</f>
        <v/>
      </c>
      <c r="I53">
        <f>IF($AH53="","",INDEX('Per Line'!$I$2:$I$1601,$AH53)&amp;"")</f>
        <v/>
      </c>
      <c r="J53">
        <f>IF($AH53="","",INDEX('Per Line'!$J$2:$J$1601,$AH53)&amp;"")</f>
        <v/>
      </c>
      <c r="K53">
        <f>IF($AH53="","",INDEX('Per Line'!$K$2:$K$1601,$AH53)&amp;"")</f>
        <v/>
      </c>
      <c r="L53">
        <f>IF($AH53="","",INDEX('Per Line'!$L$2:$L$1601,$AH53)&amp;"")</f>
        <v/>
      </c>
      <c r="M53">
        <f>IF($AH53="","",INDEX('Per Line'!$M$2:$M$1601,$AH53))</f>
        <v/>
      </c>
      <c r="N53" s="7">
        <f>IF($AH53="","",M53*AE53/100)</f>
        <v/>
      </c>
      <c r="O53">
        <f>IF($AH53="","",INDEX('Per Line'!$Z$2:$Z$1601,$AH53)&amp;"")</f>
        <v/>
      </c>
      <c r="P53">
        <f>IF($AH53="","",INDEX('Per Line'!$AC$2:$AC$1601,$AH53)&amp;"")</f>
        <v/>
      </c>
      <c r="Q53">
        <f>IF($AH53="","",INDEX('Per Line'!$AD$2:$AD$1601,$AH53))</f>
        <v/>
      </c>
      <c r="R53">
        <f>IF($AH53="","",IF(AND(ISNUMBER(Q53),Q53&gt;0),AF53&gt;Q53,FALSE))</f>
        <v/>
      </c>
      <c r="S53">
        <f>IF($AH53="","",INDEX('Per Line'!$AH$2:$AH$1601,$AH53)&amp;"")</f>
        <v/>
      </c>
      <c r="T53" s="11">
        <f>IF($AH53="","",INDEX('Per Line'!$AI$2:$AI$1601,$AH53))</f>
        <v/>
      </c>
      <c r="U53">
        <f>IF($AH53="","",Settings!$C$8)</f>
        <v/>
      </c>
      <c r="V53" s="7">
        <f>IF($AH53="","",SUMIFS('Per Line'!$V$2:$V$1601,'Per Line'!$D$2:$D$1601,$B53,'Per Line'!$AN$2:$AN$1601,1))</f>
        <v/>
      </c>
      <c r="W53" s="7">
        <f>IF($AH53="","",V53*U53)</f>
        <v/>
      </c>
      <c r="X53">
        <f>IF($AH53="","",Settings!$C$7)</f>
        <v/>
      </c>
      <c r="Y53" s="7">
        <f>IF($AH53="","",SUMIFS('Per Line'!$V$2:$V$1601,'Per Line'!$D$2:$D$1601,$B53,'Per Line'!$AM$2:$AM$1601,0,'Per Line'!$AN$2:$AN$1601,0))</f>
        <v/>
      </c>
      <c r="Z53" s="7">
        <f>IF($AH53="","",Y53*X53)</f>
        <v/>
      </c>
      <c r="AA53">
        <f>IF($AH53="","",Settings!$C$6)</f>
        <v/>
      </c>
      <c r="AB53" s="7">
        <f>IF($AH53="","",SUMIFS('Per Line'!$V$2:$V$1601,'Per Line'!$D$2:$D$1601,$B53,'Per Line'!$AM$2:$AM$1601,1,'Per Line'!$AN$2:$AN$1601,0))</f>
        <v/>
      </c>
      <c r="AC53" s="7">
        <f>IF($AH53="","",AB53*AA53)</f>
        <v/>
      </c>
      <c r="AD53" s="7">
        <f>IF($AH53="","",AC53+Z53+W53)</f>
        <v/>
      </c>
      <c r="AE53" s="7">
        <f>IF($AH53="","",AF53-AD53)</f>
        <v/>
      </c>
      <c r="AF53" s="7">
        <f>IF($AH53="","",Y53+AB53+V53)</f>
        <v/>
      </c>
      <c r="AG53" s="7">
        <f>IF($AH53="","",AF53-AD53-N53)</f>
        <v/>
      </c>
      <c r="AH53" s="13">
        <f>IF(ROWS($AH$2:$AH53)&lt;=MAX('Per Line'!$AL$2:$AL$1601),MATCH(ROWS($AH$2:$AH53),'Per Line'!$AL$2:$AL$1601,0),"")</f>
        <v/>
      </c>
    </row>
    <row r="54">
      <c r="A54" s="12" t="n"/>
      <c r="B54">
        <f>IF($AH54="","",INDEX('Per Line'!$D$2:$D$1601,$AH54)&amp;"")</f>
        <v/>
      </c>
      <c r="C54">
        <f>IF($AH54="","",INDEX('Per Line'!$A$2:$A$1601,$AH54)&amp;"")</f>
        <v/>
      </c>
      <c r="D54">
        <f>IF($AH54="","",INDEX('Per Line'!$B$2:$B$1601,$AH54))</f>
        <v/>
      </c>
      <c r="E54">
        <f>IF($AH54="","",INDEX('Per Line'!$C$2:$C$1601,$AH54)&amp;"")</f>
        <v/>
      </c>
      <c r="F54">
        <f>IF($AH54="","",INDEX('Per Line'!$E$2:$E$1601,$AH54)&amp;"")</f>
        <v/>
      </c>
      <c r="G54" s="11">
        <f>IF($AH54="","",INDEX('Per Line'!$F$2:$F$1601,$AH54))</f>
        <v/>
      </c>
      <c r="H54">
        <f>IF($AH54="","",INDEX('Per Line'!$G$2:$G$1601,$AH54)&amp;"")</f>
        <v/>
      </c>
      <c r="I54">
        <f>IF($AH54="","",INDEX('Per Line'!$I$2:$I$1601,$AH54)&amp;"")</f>
        <v/>
      </c>
      <c r="J54">
        <f>IF($AH54="","",INDEX('Per Line'!$J$2:$J$1601,$AH54)&amp;"")</f>
        <v/>
      </c>
      <c r="K54">
        <f>IF($AH54="","",INDEX('Per Line'!$K$2:$K$1601,$AH54)&amp;"")</f>
        <v/>
      </c>
      <c r="L54">
        <f>IF($AH54="","",INDEX('Per Line'!$L$2:$L$1601,$AH54)&amp;"")</f>
        <v/>
      </c>
      <c r="M54">
        <f>IF($AH54="","",INDEX('Per Line'!$M$2:$M$1601,$AH54))</f>
        <v/>
      </c>
      <c r="N54" s="7">
        <f>IF($AH54="","",M54*AE54/100)</f>
        <v/>
      </c>
      <c r="O54">
        <f>IF($AH54="","",INDEX('Per Line'!$Z$2:$Z$1601,$AH54)&amp;"")</f>
        <v/>
      </c>
      <c r="P54">
        <f>IF($AH54="","",INDEX('Per Line'!$AC$2:$AC$1601,$AH54)&amp;"")</f>
        <v/>
      </c>
      <c r="Q54">
        <f>IF($AH54="","",INDEX('Per Line'!$AD$2:$AD$1601,$AH54))</f>
        <v/>
      </c>
      <c r="R54">
        <f>IF($AH54="","",IF(AND(ISNUMBER(Q54),Q54&gt;0),AF54&gt;Q54,FALSE))</f>
        <v/>
      </c>
      <c r="S54">
        <f>IF($AH54="","",INDEX('Per Line'!$AH$2:$AH$1601,$AH54)&amp;"")</f>
        <v/>
      </c>
      <c r="T54" s="11">
        <f>IF($AH54="","",INDEX('Per Line'!$AI$2:$AI$1601,$AH54))</f>
        <v/>
      </c>
      <c r="U54">
        <f>IF($AH54="","",Settings!$C$8)</f>
        <v/>
      </c>
      <c r="V54" s="7">
        <f>IF($AH54="","",SUMIFS('Per Line'!$V$2:$V$1601,'Per Line'!$D$2:$D$1601,$B54,'Per Line'!$AN$2:$AN$1601,1))</f>
        <v/>
      </c>
      <c r="W54" s="7">
        <f>IF($AH54="","",V54*U54)</f>
        <v/>
      </c>
      <c r="X54">
        <f>IF($AH54="","",Settings!$C$7)</f>
        <v/>
      </c>
      <c r="Y54" s="7">
        <f>IF($AH54="","",SUMIFS('Per Line'!$V$2:$V$1601,'Per Line'!$D$2:$D$1601,$B54,'Per Line'!$AM$2:$AM$1601,0,'Per Line'!$AN$2:$AN$1601,0))</f>
        <v/>
      </c>
      <c r="Z54" s="7">
        <f>IF($AH54="","",Y54*X54)</f>
        <v/>
      </c>
      <c r="AA54">
        <f>IF($AH54="","",Settings!$C$6)</f>
        <v/>
      </c>
      <c r="AB54" s="7">
        <f>IF($AH54="","",SUMIFS('Per Line'!$V$2:$V$1601,'Per Line'!$D$2:$D$1601,$B54,'Per Line'!$AM$2:$AM$1601,1,'Per Line'!$AN$2:$AN$1601,0))</f>
        <v/>
      </c>
      <c r="AC54" s="7">
        <f>IF($AH54="","",AB54*AA54)</f>
        <v/>
      </c>
      <c r="AD54" s="7">
        <f>IF($AH54="","",AC54+Z54+W54)</f>
        <v/>
      </c>
      <c r="AE54" s="7">
        <f>IF($AH54="","",AF54-AD54)</f>
        <v/>
      </c>
      <c r="AF54" s="7">
        <f>IF($AH54="","",Y54+AB54+V54)</f>
        <v/>
      </c>
      <c r="AG54" s="7">
        <f>IF($AH54="","",AF54-AD54-N54)</f>
        <v/>
      </c>
      <c r="AH54" s="13">
        <f>IF(ROWS($AH$2:$AH54)&lt;=MAX('Per Line'!$AL$2:$AL$1601),MATCH(ROWS($AH$2:$AH54),'Per Line'!$AL$2:$AL$1601,0),"")</f>
        <v/>
      </c>
    </row>
    <row r="55">
      <c r="A55" s="12" t="n"/>
      <c r="B55">
        <f>IF($AH55="","",INDEX('Per Line'!$D$2:$D$1601,$AH55)&amp;"")</f>
        <v/>
      </c>
      <c r="C55">
        <f>IF($AH55="","",INDEX('Per Line'!$A$2:$A$1601,$AH55)&amp;"")</f>
        <v/>
      </c>
      <c r="D55">
        <f>IF($AH55="","",INDEX('Per Line'!$B$2:$B$1601,$AH55))</f>
        <v/>
      </c>
      <c r="E55">
        <f>IF($AH55="","",INDEX('Per Line'!$C$2:$C$1601,$AH55)&amp;"")</f>
        <v/>
      </c>
      <c r="F55">
        <f>IF($AH55="","",INDEX('Per Line'!$E$2:$E$1601,$AH55)&amp;"")</f>
        <v/>
      </c>
      <c r="G55" s="11">
        <f>IF($AH55="","",INDEX('Per Line'!$F$2:$F$1601,$AH55))</f>
        <v/>
      </c>
      <c r="H55">
        <f>IF($AH55="","",INDEX('Per Line'!$G$2:$G$1601,$AH55)&amp;"")</f>
        <v/>
      </c>
      <c r="I55">
        <f>IF($AH55="","",INDEX('Per Line'!$I$2:$I$1601,$AH55)&amp;"")</f>
        <v/>
      </c>
      <c r="J55">
        <f>IF($AH55="","",INDEX('Per Line'!$J$2:$J$1601,$AH55)&amp;"")</f>
        <v/>
      </c>
      <c r="K55">
        <f>IF($AH55="","",INDEX('Per Line'!$K$2:$K$1601,$AH55)&amp;"")</f>
        <v/>
      </c>
      <c r="L55">
        <f>IF($AH55="","",INDEX('Per Line'!$L$2:$L$1601,$AH55)&amp;"")</f>
        <v/>
      </c>
      <c r="M55">
        <f>IF($AH55="","",INDEX('Per Line'!$M$2:$M$1601,$AH55))</f>
        <v/>
      </c>
      <c r="N55" s="7">
        <f>IF($AH55="","",M55*AE55/100)</f>
        <v/>
      </c>
      <c r="O55">
        <f>IF($AH55="","",INDEX('Per Line'!$Z$2:$Z$1601,$AH55)&amp;"")</f>
        <v/>
      </c>
      <c r="P55">
        <f>IF($AH55="","",INDEX('Per Line'!$AC$2:$AC$1601,$AH55)&amp;"")</f>
        <v/>
      </c>
      <c r="Q55">
        <f>IF($AH55="","",INDEX('Per Line'!$AD$2:$AD$1601,$AH55))</f>
        <v/>
      </c>
      <c r="R55">
        <f>IF($AH55="","",IF(AND(ISNUMBER(Q55),Q55&gt;0),AF55&gt;Q55,FALSE))</f>
        <v/>
      </c>
      <c r="S55">
        <f>IF($AH55="","",INDEX('Per Line'!$AH$2:$AH$1601,$AH55)&amp;"")</f>
        <v/>
      </c>
      <c r="T55" s="11">
        <f>IF($AH55="","",INDEX('Per Line'!$AI$2:$AI$1601,$AH55))</f>
        <v/>
      </c>
      <c r="U55">
        <f>IF($AH55="","",Settings!$C$8)</f>
        <v/>
      </c>
      <c r="V55" s="7">
        <f>IF($AH55="","",SUMIFS('Per Line'!$V$2:$V$1601,'Per Line'!$D$2:$D$1601,$B55,'Per Line'!$AN$2:$AN$1601,1))</f>
        <v/>
      </c>
      <c r="W55" s="7">
        <f>IF($AH55="","",V55*U55)</f>
        <v/>
      </c>
      <c r="X55">
        <f>IF($AH55="","",Settings!$C$7)</f>
        <v/>
      </c>
      <c r="Y55" s="7">
        <f>IF($AH55="","",SUMIFS('Per Line'!$V$2:$V$1601,'Per Line'!$D$2:$D$1601,$B55,'Per Line'!$AM$2:$AM$1601,0,'Per Line'!$AN$2:$AN$1601,0))</f>
        <v/>
      </c>
      <c r="Z55" s="7">
        <f>IF($AH55="","",Y55*X55)</f>
        <v/>
      </c>
      <c r="AA55">
        <f>IF($AH55="","",Settings!$C$6)</f>
        <v/>
      </c>
      <c r="AB55" s="7">
        <f>IF($AH55="","",SUMIFS('Per Line'!$V$2:$V$1601,'Per Line'!$D$2:$D$1601,$B55,'Per Line'!$AM$2:$AM$1601,1,'Per Line'!$AN$2:$AN$1601,0))</f>
        <v/>
      </c>
      <c r="AC55" s="7">
        <f>IF($AH55="","",AB55*AA55)</f>
        <v/>
      </c>
      <c r="AD55" s="7">
        <f>IF($AH55="","",AC55+Z55+W55)</f>
        <v/>
      </c>
      <c r="AE55" s="7">
        <f>IF($AH55="","",AF55-AD55)</f>
        <v/>
      </c>
      <c r="AF55" s="7">
        <f>IF($AH55="","",Y55+AB55+V55)</f>
        <v/>
      </c>
      <c r="AG55" s="7">
        <f>IF($AH55="","",AF55-AD55-N55)</f>
        <v/>
      </c>
      <c r="AH55" s="13">
        <f>IF(ROWS($AH$2:$AH55)&lt;=MAX('Per Line'!$AL$2:$AL$1601),MATCH(ROWS($AH$2:$AH55),'Per Line'!$AL$2:$AL$1601,0),"")</f>
        <v/>
      </c>
    </row>
    <row r="56">
      <c r="A56" s="12" t="n"/>
      <c r="B56">
        <f>IF($AH56="","",INDEX('Per Line'!$D$2:$D$1601,$AH56)&amp;"")</f>
        <v/>
      </c>
      <c r="C56">
        <f>IF($AH56="","",INDEX('Per Line'!$A$2:$A$1601,$AH56)&amp;"")</f>
        <v/>
      </c>
      <c r="D56">
        <f>IF($AH56="","",INDEX('Per Line'!$B$2:$B$1601,$AH56))</f>
        <v/>
      </c>
      <c r="E56">
        <f>IF($AH56="","",INDEX('Per Line'!$C$2:$C$1601,$AH56)&amp;"")</f>
        <v/>
      </c>
      <c r="F56">
        <f>IF($AH56="","",INDEX('Per Line'!$E$2:$E$1601,$AH56)&amp;"")</f>
        <v/>
      </c>
      <c r="G56" s="11">
        <f>IF($AH56="","",INDEX('Per Line'!$F$2:$F$1601,$AH56))</f>
        <v/>
      </c>
      <c r="H56">
        <f>IF($AH56="","",INDEX('Per Line'!$G$2:$G$1601,$AH56)&amp;"")</f>
        <v/>
      </c>
      <c r="I56">
        <f>IF($AH56="","",INDEX('Per Line'!$I$2:$I$1601,$AH56)&amp;"")</f>
        <v/>
      </c>
      <c r="J56">
        <f>IF($AH56="","",INDEX('Per Line'!$J$2:$J$1601,$AH56)&amp;"")</f>
        <v/>
      </c>
      <c r="K56">
        <f>IF($AH56="","",INDEX('Per Line'!$K$2:$K$1601,$AH56)&amp;"")</f>
        <v/>
      </c>
      <c r="L56">
        <f>IF($AH56="","",INDEX('Per Line'!$L$2:$L$1601,$AH56)&amp;"")</f>
        <v/>
      </c>
      <c r="M56">
        <f>IF($AH56="","",INDEX('Per Line'!$M$2:$M$1601,$AH56))</f>
        <v/>
      </c>
      <c r="N56" s="7">
        <f>IF($AH56="","",M56*AE56/100)</f>
        <v/>
      </c>
      <c r="O56">
        <f>IF($AH56="","",INDEX('Per Line'!$Z$2:$Z$1601,$AH56)&amp;"")</f>
        <v/>
      </c>
      <c r="P56">
        <f>IF($AH56="","",INDEX('Per Line'!$AC$2:$AC$1601,$AH56)&amp;"")</f>
        <v/>
      </c>
      <c r="Q56">
        <f>IF($AH56="","",INDEX('Per Line'!$AD$2:$AD$1601,$AH56))</f>
        <v/>
      </c>
      <c r="R56">
        <f>IF($AH56="","",IF(AND(ISNUMBER(Q56),Q56&gt;0),AF56&gt;Q56,FALSE))</f>
        <v/>
      </c>
      <c r="S56">
        <f>IF($AH56="","",INDEX('Per Line'!$AH$2:$AH$1601,$AH56)&amp;"")</f>
        <v/>
      </c>
      <c r="T56" s="11">
        <f>IF($AH56="","",INDEX('Per Line'!$AI$2:$AI$1601,$AH56))</f>
        <v/>
      </c>
      <c r="U56">
        <f>IF($AH56="","",Settings!$C$8)</f>
        <v/>
      </c>
      <c r="V56" s="7">
        <f>IF($AH56="","",SUMIFS('Per Line'!$V$2:$V$1601,'Per Line'!$D$2:$D$1601,$B56,'Per Line'!$AN$2:$AN$1601,1))</f>
        <v/>
      </c>
      <c r="W56" s="7">
        <f>IF($AH56="","",V56*U56)</f>
        <v/>
      </c>
      <c r="X56">
        <f>IF($AH56="","",Settings!$C$7)</f>
        <v/>
      </c>
      <c r="Y56" s="7">
        <f>IF($AH56="","",SUMIFS('Per Line'!$V$2:$V$1601,'Per Line'!$D$2:$D$1601,$B56,'Per Line'!$AM$2:$AM$1601,0,'Per Line'!$AN$2:$AN$1601,0))</f>
        <v/>
      </c>
      <c r="Z56" s="7">
        <f>IF($AH56="","",Y56*X56)</f>
        <v/>
      </c>
      <c r="AA56">
        <f>IF($AH56="","",Settings!$C$6)</f>
        <v/>
      </c>
      <c r="AB56" s="7">
        <f>IF($AH56="","",SUMIFS('Per Line'!$V$2:$V$1601,'Per Line'!$D$2:$D$1601,$B56,'Per Line'!$AM$2:$AM$1601,1,'Per Line'!$AN$2:$AN$1601,0))</f>
        <v/>
      </c>
      <c r="AC56" s="7">
        <f>IF($AH56="","",AB56*AA56)</f>
        <v/>
      </c>
      <c r="AD56" s="7">
        <f>IF($AH56="","",AC56+Z56+W56)</f>
        <v/>
      </c>
      <c r="AE56" s="7">
        <f>IF($AH56="","",AF56-AD56)</f>
        <v/>
      </c>
      <c r="AF56" s="7">
        <f>IF($AH56="","",Y56+AB56+V56)</f>
        <v/>
      </c>
      <c r="AG56" s="7">
        <f>IF($AH56="","",AF56-AD56-N56)</f>
        <v/>
      </c>
      <c r="AH56" s="13">
        <f>IF(ROWS($AH$2:$AH56)&lt;=MAX('Per Line'!$AL$2:$AL$1601),MATCH(ROWS($AH$2:$AH56),'Per Line'!$AL$2:$AL$1601,0),"")</f>
        <v/>
      </c>
    </row>
    <row r="57">
      <c r="A57" s="12" t="n"/>
      <c r="B57">
        <f>IF($AH57="","",INDEX('Per Line'!$D$2:$D$1601,$AH57)&amp;"")</f>
        <v/>
      </c>
      <c r="C57">
        <f>IF($AH57="","",INDEX('Per Line'!$A$2:$A$1601,$AH57)&amp;"")</f>
        <v/>
      </c>
      <c r="D57">
        <f>IF($AH57="","",INDEX('Per Line'!$B$2:$B$1601,$AH57))</f>
        <v/>
      </c>
      <c r="E57">
        <f>IF($AH57="","",INDEX('Per Line'!$C$2:$C$1601,$AH57)&amp;"")</f>
        <v/>
      </c>
      <c r="F57">
        <f>IF($AH57="","",INDEX('Per Line'!$E$2:$E$1601,$AH57)&amp;"")</f>
        <v/>
      </c>
      <c r="G57" s="11">
        <f>IF($AH57="","",INDEX('Per Line'!$F$2:$F$1601,$AH57))</f>
        <v/>
      </c>
      <c r="H57">
        <f>IF($AH57="","",INDEX('Per Line'!$G$2:$G$1601,$AH57)&amp;"")</f>
        <v/>
      </c>
      <c r="I57">
        <f>IF($AH57="","",INDEX('Per Line'!$I$2:$I$1601,$AH57)&amp;"")</f>
        <v/>
      </c>
      <c r="J57">
        <f>IF($AH57="","",INDEX('Per Line'!$J$2:$J$1601,$AH57)&amp;"")</f>
        <v/>
      </c>
      <c r="K57">
        <f>IF($AH57="","",INDEX('Per Line'!$K$2:$K$1601,$AH57)&amp;"")</f>
        <v/>
      </c>
      <c r="L57">
        <f>IF($AH57="","",INDEX('Per Line'!$L$2:$L$1601,$AH57)&amp;"")</f>
        <v/>
      </c>
      <c r="M57">
        <f>IF($AH57="","",INDEX('Per Line'!$M$2:$M$1601,$AH57))</f>
        <v/>
      </c>
      <c r="N57" s="7">
        <f>IF($AH57="","",M57*AE57/100)</f>
        <v/>
      </c>
      <c r="O57">
        <f>IF($AH57="","",INDEX('Per Line'!$Z$2:$Z$1601,$AH57)&amp;"")</f>
        <v/>
      </c>
      <c r="P57">
        <f>IF($AH57="","",INDEX('Per Line'!$AC$2:$AC$1601,$AH57)&amp;"")</f>
        <v/>
      </c>
      <c r="Q57">
        <f>IF($AH57="","",INDEX('Per Line'!$AD$2:$AD$1601,$AH57))</f>
        <v/>
      </c>
      <c r="R57">
        <f>IF($AH57="","",IF(AND(ISNUMBER(Q57),Q57&gt;0),AF57&gt;Q57,FALSE))</f>
        <v/>
      </c>
      <c r="S57">
        <f>IF($AH57="","",INDEX('Per Line'!$AH$2:$AH$1601,$AH57)&amp;"")</f>
        <v/>
      </c>
      <c r="T57" s="11">
        <f>IF($AH57="","",INDEX('Per Line'!$AI$2:$AI$1601,$AH57))</f>
        <v/>
      </c>
      <c r="U57">
        <f>IF($AH57="","",Settings!$C$8)</f>
        <v/>
      </c>
      <c r="V57" s="7">
        <f>IF($AH57="","",SUMIFS('Per Line'!$V$2:$V$1601,'Per Line'!$D$2:$D$1601,$B57,'Per Line'!$AN$2:$AN$1601,1))</f>
        <v/>
      </c>
      <c r="W57" s="7">
        <f>IF($AH57="","",V57*U57)</f>
        <v/>
      </c>
      <c r="X57">
        <f>IF($AH57="","",Settings!$C$7)</f>
        <v/>
      </c>
      <c r="Y57" s="7">
        <f>IF($AH57="","",SUMIFS('Per Line'!$V$2:$V$1601,'Per Line'!$D$2:$D$1601,$B57,'Per Line'!$AM$2:$AM$1601,0,'Per Line'!$AN$2:$AN$1601,0))</f>
        <v/>
      </c>
      <c r="Z57" s="7">
        <f>IF($AH57="","",Y57*X57)</f>
        <v/>
      </c>
      <c r="AA57">
        <f>IF($AH57="","",Settings!$C$6)</f>
        <v/>
      </c>
      <c r="AB57" s="7">
        <f>IF($AH57="","",SUMIFS('Per Line'!$V$2:$V$1601,'Per Line'!$D$2:$D$1601,$B57,'Per Line'!$AM$2:$AM$1601,1,'Per Line'!$AN$2:$AN$1601,0))</f>
        <v/>
      </c>
      <c r="AC57" s="7">
        <f>IF($AH57="","",AB57*AA57)</f>
        <v/>
      </c>
      <c r="AD57" s="7">
        <f>IF($AH57="","",AC57+Z57+W57)</f>
        <v/>
      </c>
      <c r="AE57" s="7">
        <f>IF($AH57="","",AF57-AD57)</f>
        <v/>
      </c>
      <c r="AF57" s="7">
        <f>IF($AH57="","",Y57+AB57+V57)</f>
        <v/>
      </c>
      <c r="AG57" s="7">
        <f>IF($AH57="","",AF57-AD57-N57)</f>
        <v/>
      </c>
      <c r="AH57" s="13">
        <f>IF(ROWS($AH$2:$AH57)&lt;=MAX('Per Line'!$AL$2:$AL$1601),MATCH(ROWS($AH$2:$AH57),'Per Line'!$AL$2:$AL$1601,0),"")</f>
        <v/>
      </c>
    </row>
    <row r="58">
      <c r="A58" s="12" t="n"/>
      <c r="B58">
        <f>IF($AH58="","",INDEX('Per Line'!$D$2:$D$1601,$AH58)&amp;"")</f>
        <v/>
      </c>
      <c r="C58">
        <f>IF($AH58="","",INDEX('Per Line'!$A$2:$A$1601,$AH58)&amp;"")</f>
        <v/>
      </c>
      <c r="D58">
        <f>IF($AH58="","",INDEX('Per Line'!$B$2:$B$1601,$AH58))</f>
        <v/>
      </c>
      <c r="E58">
        <f>IF($AH58="","",INDEX('Per Line'!$C$2:$C$1601,$AH58)&amp;"")</f>
        <v/>
      </c>
      <c r="F58">
        <f>IF($AH58="","",INDEX('Per Line'!$E$2:$E$1601,$AH58)&amp;"")</f>
        <v/>
      </c>
      <c r="G58" s="11">
        <f>IF($AH58="","",INDEX('Per Line'!$F$2:$F$1601,$AH58))</f>
        <v/>
      </c>
      <c r="H58">
        <f>IF($AH58="","",INDEX('Per Line'!$G$2:$G$1601,$AH58)&amp;"")</f>
        <v/>
      </c>
      <c r="I58">
        <f>IF($AH58="","",INDEX('Per Line'!$I$2:$I$1601,$AH58)&amp;"")</f>
        <v/>
      </c>
      <c r="J58">
        <f>IF($AH58="","",INDEX('Per Line'!$J$2:$J$1601,$AH58)&amp;"")</f>
        <v/>
      </c>
      <c r="K58">
        <f>IF($AH58="","",INDEX('Per Line'!$K$2:$K$1601,$AH58)&amp;"")</f>
        <v/>
      </c>
      <c r="L58">
        <f>IF($AH58="","",INDEX('Per Line'!$L$2:$L$1601,$AH58)&amp;"")</f>
        <v/>
      </c>
      <c r="M58">
        <f>IF($AH58="","",INDEX('Per Line'!$M$2:$M$1601,$AH58))</f>
        <v/>
      </c>
      <c r="N58" s="7">
        <f>IF($AH58="","",M58*AE58/100)</f>
        <v/>
      </c>
      <c r="O58">
        <f>IF($AH58="","",INDEX('Per Line'!$Z$2:$Z$1601,$AH58)&amp;"")</f>
        <v/>
      </c>
      <c r="P58">
        <f>IF($AH58="","",INDEX('Per Line'!$AC$2:$AC$1601,$AH58)&amp;"")</f>
        <v/>
      </c>
      <c r="Q58">
        <f>IF($AH58="","",INDEX('Per Line'!$AD$2:$AD$1601,$AH58))</f>
        <v/>
      </c>
      <c r="R58">
        <f>IF($AH58="","",IF(AND(ISNUMBER(Q58),Q58&gt;0),AF58&gt;Q58,FALSE))</f>
        <v/>
      </c>
      <c r="S58">
        <f>IF($AH58="","",INDEX('Per Line'!$AH$2:$AH$1601,$AH58)&amp;"")</f>
        <v/>
      </c>
      <c r="T58" s="11">
        <f>IF($AH58="","",INDEX('Per Line'!$AI$2:$AI$1601,$AH58))</f>
        <v/>
      </c>
      <c r="U58">
        <f>IF($AH58="","",Settings!$C$8)</f>
        <v/>
      </c>
      <c r="V58" s="7">
        <f>IF($AH58="","",SUMIFS('Per Line'!$V$2:$V$1601,'Per Line'!$D$2:$D$1601,$B58,'Per Line'!$AN$2:$AN$1601,1))</f>
        <v/>
      </c>
      <c r="W58" s="7">
        <f>IF($AH58="","",V58*U58)</f>
        <v/>
      </c>
      <c r="X58">
        <f>IF($AH58="","",Settings!$C$7)</f>
        <v/>
      </c>
      <c r="Y58" s="7">
        <f>IF($AH58="","",SUMIFS('Per Line'!$V$2:$V$1601,'Per Line'!$D$2:$D$1601,$B58,'Per Line'!$AM$2:$AM$1601,0,'Per Line'!$AN$2:$AN$1601,0))</f>
        <v/>
      </c>
      <c r="Z58" s="7">
        <f>IF($AH58="","",Y58*X58)</f>
        <v/>
      </c>
      <c r="AA58">
        <f>IF($AH58="","",Settings!$C$6)</f>
        <v/>
      </c>
      <c r="AB58" s="7">
        <f>IF($AH58="","",SUMIFS('Per Line'!$V$2:$V$1601,'Per Line'!$D$2:$D$1601,$B58,'Per Line'!$AM$2:$AM$1601,1,'Per Line'!$AN$2:$AN$1601,0))</f>
        <v/>
      </c>
      <c r="AC58" s="7">
        <f>IF($AH58="","",AB58*AA58)</f>
        <v/>
      </c>
      <c r="AD58" s="7">
        <f>IF($AH58="","",AC58+Z58+W58)</f>
        <v/>
      </c>
      <c r="AE58" s="7">
        <f>IF($AH58="","",AF58-AD58)</f>
        <v/>
      </c>
      <c r="AF58" s="7">
        <f>IF($AH58="","",Y58+AB58+V58)</f>
        <v/>
      </c>
      <c r="AG58" s="7">
        <f>IF($AH58="","",AF58-AD58-N58)</f>
        <v/>
      </c>
      <c r="AH58" s="13">
        <f>IF(ROWS($AH$2:$AH58)&lt;=MAX('Per Line'!$AL$2:$AL$1601),MATCH(ROWS($AH$2:$AH58),'Per Line'!$AL$2:$AL$1601,0),"")</f>
        <v/>
      </c>
    </row>
    <row r="59">
      <c r="A59" s="12" t="n"/>
      <c r="B59">
        <f>IF($AH59="","",INDEX('Per Line'!$D$2:$D$1601,$AH59)&amp;"")</f>
        <v/>
      </c>
      <c r="C59">
        <f>IF($AH59="","",INDEX('Per Line'!$A$2:$A$1601,$AH59)&amp;"")</f>
        <v/>
      </c>
      <c r="D59">
        <f>IF($AH59="","",INDEX('Per Line'!$B$2:$B$1601,$AH59))</f>
        <v/>
      </c>
      <c r="E59">
        <f>IF($AH59="","",INDEX('Per Line'!$C$2:$C$1601,$AH59)&amp;"")</f>
        <v/>
      </c>
      <c r="F59">
        <f>IF($AH59="","",INDEX('Per Line'!$E$2:$E$1601,$AH59)&amp;"")</f>
        <v/>
      </c>
      <c r="G59" s="11">
        <f>IF($AH59="","",INDEX('Per Line'!$F$2:$F$1601,$AH59))</f>
        <v/>
      </c>
      <c r="H59">
        <f>IF($AH59="","",INDEX('Per Line'!$G$2:$G$1601,$AH59)&amp;"")</f>
        <v/>
      </c>
      <c r="I59">
        <f>IF($AH59="","",INDEX('Per Line'!$I$2:$I$1601,$AH59)&amp;"")</f>
        <v/>
      </c>
      <c r="J59">
        <f>IF($AH59="","",INDEX('Per Line'!$J$2:$J$1601,$AH59)&amp;"")</f>
        <v/>
      </c>
      <c r="K59">
        <f>IF($AH59="","",INDEX('Per Line'!$K$2:$K$1601,$AH59)&amp;"")</f>
        <v/>
      </c>
      <c r="L59">
        <f>IF($AH59="","",INDEX('Per Line'!$L$2:$L$1601,$AH59)&amp;"")</f>
        <v/>
      </c>
      <c r="M59">
        <f>IF($AH59="","",INDEX('Per Line'!$M$2:$M$1601,$AH59))</f>
        <v/>
      </c>
      <c r="N59" s="7">
        <f>IF($AH59="","",M59*AE59/100)</f>
        <v/>
      </c>
      <c r="O59">
        <f>IF($AH59="","",INDEX('Per Line'!$Z$2:$Z$1601,$AH59)&amp;"")</f>
        <v/>
      </c>
      <c r="P59">
        <f>IF($AH59="","",INDEX('Per Line'!$AC$2:$AC$1601,$AH59)&amp;"")</f>
        <v/>
      </c>
      <c r="Q59">
        <f>IF($AH59="","",INDEX('Per Line'!$AD$2:$AD$1601,$AH59))</f>
        <v/>
      </c>
      <c r="R59">
        <f>IF($AH59="","",IF(AND(ISNUMBER(Q59),Q59&gt;0),AF59&gt;Q59,FALSE))</f>
        <v/>
      </c>
      <c r="S59">
        <f>IF($AH59="","",INDEX('Per Line'!$AH$2:$AH$1601,$AH59)&amp;"")</f>
        <v/>
      </c>
      <c r="T59" s="11">
        <f>IF($AH59="","",INDEX('Per Line'!$AI$2:$AI$1601,$AH59))</f>
        <v/>
      </c>
      <c r="U59">
        <f>IF($AH59="","",Settings!$C$8)</f>
        <v/>
      </c>
      <c r="V59" s="7">
        <f>IF($AH59="","",SUMIFS('Per Line'!$V$2:$V$1601,'Per Line'!$D$2:$D$1601,$B59,'Per Line'!$AN$2:$AN$1601,1))</f>
        <v/>
      </c>
      <c r="W59" s="7">
        <f>IF($AH59="","",V59*U59)</f>
        <v/>
      </c>
      <c r="X59">
        <f>IF($AH59="","",Settings!$C$7)</f>
        <v/>
      </c>
      <c r="Y59" s="7">
        <f>IF($AH59="","",SUMIFS('Per Line'!$V$2:$V$1601,'Per Line'!$D$2:$D$1601,$B59,'Per Line'!$AM$2:$AM$1601,0,'Per Line'!$AN$2:$AN$1601,0))</f>
        <v/>
      </c>
      <c r="Z59" s="7">
        <f>IF($AH59="","",Y59*X59)</f>
        <v/>
      </c>
      <c r="AA59">
        <f>IF($AH59="","",Settings!$C$6)</f>
        <v/>
      </c>
      <c r="AB59" s="7">
        <f>IF($AH59="","",SUMIFS('Per Line'!$V$2:$V$1601,'Per Line'!$D$2:$D$1601,$B59,'Per Line'!$AM$2:$AM$1601,1,'Per Line'!$AN$2:$AN$1601,0))</f>
        <v/>
      </c>
      <c r="AC59" s="7">
        <f>IF($AH59="","",AB59*AA59)</f>
        <v/>
      </c>
      <c r="AD59" s="7">
        <f>IF($AH59="","",AC59+Z59+W59)</f>
        <v/>
      </c>
      <c r="AE59" s="7">
        <f>IF($AH59="","",AF59-AD59)</f>
        <v/>
      </c>
      <c r="AF59" s="7">
        <f>IF($AH59="","",Y59+AB59+V59)</f>
        <v/>
      </c>
      <c r="AG59" s="7">
        <f>IF($AH59="","",AF59-AD59-N59)</f>
        <v/>
      </c>
      <c r="AH59" s="13">
        <f>IF(ROWS($AH$2:$AH59)&lt;=MAX('Per Line'!$AL$2:$AL$1601),MATCH(ROWS($AH$2:$AH59),'Per Line'!$AL$2:$AL$1601,0),"")</f>
        <v/>
      </c>
    </row>
    <row r="60">
      <c r="A60" s="12" t="n"/>
      <c r="B60">
        <f>IF($AH60="","",INDEX('Per Line'!$D$2:$D$1601,$AH60)&amp;"")</f>
        <v/>
      </c>
      <c r="C60">
        <f>IF($AH60="","",INDEX('Per Line'!$A$2:$A$1601,$AH60)&amp;"")</f>
        <v/>
      </c>
      <c r="D60">
        <f>IF($AH60="","",INDEX('Per Line'!$B$2:$B$1601,$AH60))</f>
        <v/>
      </c>
      <c r="E60">
        <f>IF($AH60="","",INDEX('Per Line'!$C$2:$C$1601,$AH60)&amp;"")</f>
        <v/>
      </c>
      <c r="F60">
        <f>IF($AH60="","",INDEX('Per Line'!$E$2:$E$1601,$AH60)&amp;"")</f>
        <v/>
      </c>
      <c r="G60" s="11">
        <f>IF($AH60="","",INDEX('Per Line'!$F$2:$F$1601,$AH60))</f>
        <v/>
      </c>
      <c r="H60">
        <f>IF($AH60="","",INDEX('Per Line'!$G$2:$G$1601,$AH60)&amp;"")</f>
        <v/>
      </c>
      <c r="I60">
        <f>IF($AH60="","",INDEX('Per Line'!$I$2:$I$1601,$AH60)&amp;"")</f>
        <v/>
      </c>
      <c r="J60">
        <f>IF($AH60="","",INDEX('Per Line'!$J$2:$J$1601,$AH60)&amp;"")</f>
        <v/>
      </c>
      <c r="K60">
        <f>IF($AH60="","",INDEX('Per Line'!$K$2:$K$1601,$AH60)&amp;"")</f>
        <v/>
      </c>
      <c r="L60">
        <f>IF($AH60="","",INDEX('Per Line'!$L$2:$L$1601,$AH60)&amp;"")</f>
        <v/>
      </c>
      <c r="M60">
        <f>IF($AH60="","",INDEX('Per Line'!$M$2:$M$1601,$AH60))</f>
        <v/>
      </c>
      <c r="N60" s="7">
        <f>IF($AH60="","",M60*AE60/100)</f>
        <v/>
      </c>
      <c r="O60">
        <f>IF($AH60="","",INDEX('Per Line'!$Z$2:$Z$1601,$AH60)&amp;"")</f>
        <v/>
      </c>
      <c r="P60">
        <f>IF($AH60="","",INDEX('Per Line'!$AC$2:$AC$1601,$AH60)&amp;"")</f>
        <v/>
      </c>
      <c r="Q60">
        <f>IF($AH60="","",INDEX('Per Line'!$AD$2:$AD$1601,$AH60))</f>
        <v/>
      </c>
      <c r="R60">
        <f>IF($AH60="","",IF(AND(ISNUMBER(Q60),Q60&gt;0),AF60&gt;Q60,FALSE))</f>
        <v/>
      </c>
      <c r="S60">
        <f>IF($AH60="","",INDEX('Per Line'!$AH$2:$AH$1601,$AH60)&amp;"")</f>
        <v/>
      </c>
      <c r="T60" s="11">
        <f>IF($AH60="","",INDEX('Per Line'!$AI$2:$AI$1601,$AH60))</f>
        <v/>
      </c>
      <c r="U60">
        <f>IF($AH60="","",Settings!$C$8)</f>
        <v/>
      </c>
      <c r="V60" s="7">
        <f>IF($AH60="","",SUMIFS('Per Line'!$V$2:$V$1601,'Per Line'!$D$2:$D$1601,$B60,'Per Line'!$AN$2:$AN$1601,1))</f>
        <v/>
      </c>
      <c r="W60" s="7">
        <f>IF($AH60="","",V60*U60)</f>
        <v/>
      </c>
      <c r="X60">
        <f>IF($AH60="","",Settings!$C$7)</f>
        <v/>
      </c>
      <c r="Y60" s="7">
        <f>IF($AH60="","",SUMIFS('Per Line'!$V$2:$V$1601,'Per Line'!$D$2:$D$1601,$B60,'Per Line'!$AM$2:$AM$1601,0,'Per Line'!$AN$2:$AN$1601,0))</f>
        <v/>
      </c>
      <c r="Z60" s="7">
        <f>IF($AH60="","",Y60*X60)</f>
        <v/>
      </c>
      <c r="AA60">
        <f>IF($AH60="","",Settings!$C$6)</f>
        <v/>
      </c>
      <c r="AB60" s="7">
        <f>IF($AH60="","",SUMIFS('Per Line'!$V$2:$V$1601,'Per Line'!$D$2:$D$1601,$B60,'Per Line'!$AM$2:$AM$1601,1,'Per Line'!$AN$2:$AN$1601,0))</f>
        <v/>
      </c>
      <c r="AC60" s="7">
        <f>IF($AH60="","",AB60*AA60)</f>
        <v/>
      </c>
      <c r="AD60" s="7">
        <f>IF($AH60="","",AC60+Z60+W60)</f>
        <v/>
      </c>
      <c r="AE60" s="7">
        <f>IF($AH60="","",AF60-AD60)</f>
        <v/>
      </c>
      <c r="AF60" s="7">
        <f>IF($AH60="","",Y60+AB60+V60)</f>
        <v/>
      </c>
      <c r="AG60" s="7">
        <f>IF($AH60="","",AF60-AD60-N60)</f>
        <v/>
      </c>
      <c r="AH60" s="13">
        <f>IF(ROWS($AH$2:$AH60)&lt;=MAX('Per Line'!$AL$2:$AL$1601),MATCH(ROWS($AH$2:$AH60),'Per Line'!$AL$2:$AL$1601,0),"")</f>
        <v/>
      </c>
    </row>
    <row r="61">
      <c r="A61" s="12" t="n"/>
      <c r="B61">
        <f>IF($AH61="","",INDEX('Per Line'!$D$2:$D$1601,$AH61)&amp;"")</f>
        <v/>
      </c>
      <c r="C61">
        <f>IF($AH61="","",INDEX('Per Line'!$A$2:$A$1601,$AH61)&amp;"")</f>
        <v/>
      </c>
      <c r="D61">
        <f>IF($AH61="","",INDEX('Per Line'!$B$2:$B$1601,$AH61))</f>
        <v/>
      </c>
      <c r="E61">
        <f>IF($AH61="","",INDEX('Per Line'!$C$2:$C$1601,$AH61)&amp;"")</f>
        <v/>
      </c>
      <c r="F61">
        <f>IF($AH61="","",INDEX('Per Line'!$E$2:$E$1601,$AH61)&amp;"")</f>
        <v/>
      </c>
      <c r="G61" s="11">
        <f>IF($AH61="","",INDEX('Per Line'!$F$2:$F$1601,$AH61))</f>
        <v/>
      </c>
      <c r="H61">
        <f>IF($AH61="","",INDEX('Per Line'!$G$2:$G$1601,$AH61)&amp;"")</f>
        <v/>
      </c>
      <c r="I61">
        <f>IF($AH61="","",INDEX('Per Line'!$I$2:$I$1601,$AH61)&amp;"")</f>
        <v/>
      </c>
      <c r="J61">
        <f>IF($AH61="","",INDEX('Per Line'!$J$2:$J$1601,$AH61)&amp;"")</f>
        <v/>
      </c>
      <c r="K61">
        <f>IF($AH61="","",INDEX('Per Line'!$K$2:$K$1601,$AH61)&amp;"")</f>
        <v/>
      </c>
      <c r="L61">
        <f>IF($AH61="","",INDEX('Per Line'!$L$2:$L$1601,$AH61)&amp;"")</f>
        <v/>
      </c>
      <c r="M61">
        <f>IF($AH61="","",INDEX('Per Line'!$M$2:$M$1601,$AH61))</f>
        <v/>
      </c>
      <c r="N61" s="7">
        <f>IF($AH61="","",M61*AE61/100)</f>
        <v/>
      </c>
      <c r="O61">
        <f>IF($AH61="","",INDEX('Per Line'!$Z$2:$Z$1601,$AH61)&amp;"")</f>
        <v/>
      </c>
      <c r="P61">
        <f>IF($AH61="","",INDEX('Per Line'!$AC$2:$AC$1601,$AH61)&amp;"")</f>
        <v/>
      </c>
      <c r="Q61">
        <f>IF($AH61="","",INDEX('Per Line'!$AD$2:$AD$1601,$AH61))</f>
        <v/>
      </c>
      <c r="R61">
        <f>IF($AH61="","",IF(AND(ISNUMBER(Q61),Q61&gt;0),AF61&gt;Q61,FALSE))</f>
        <v/>
      </c>
      <c r="S61">
        <f>IF($AH61="","",INDEX('Per Line'!$AH$2:$AH$1601,$AH61)&amp;"")</f>
        <v/>
      </c>
      <c r="T61" s="11">
        <f>IF($AH61="","",INDEX('Per Line'!$AI$2:$AI$1601,$AH61))</f>
        <v/>
      </c>
      <c r="U61">
        <f>IF($AH61="","",Settings!$C$8)</f>
        <v/>
      </c>
      <c r="V61" s="7">
        <f>IF($AH61="","",SUMIFS('Per Line'!$V$2:$V$1601,'Per Line'!$D$2:$D$1601,$B61,'Per Line'!$AN$2:$AN$1601,1))</f>
        <v/>
      </c>
      <c r="W61" s="7">
        <f>IF($AH61="","",V61*U61)</f>
        <v/>
      </c>
      <c r="X61">
        <f>IF($AH61="","",Settings!$C$7)</f>
        <v/>
      </c>
      <c r="Y61" s="7">
        <f>IF($AH61="","",SUMIFS('Per Line'!$V$2:$V$1601,'Per Line'!$D$2:$D$1601,$B61,'Per Line'!$AM$2:$AM$1601,0,'Per Line'!$AN$2:$AN$1601,0))</f>
        <v/>
      </c>
      <c r="Z61" s="7">
        <f>IF($AH61="","",Y61*X61)</f>
        <v/>
      </c>
      <c r="AA61">
        <f>IF($AH61="","",Settings!$C$6)</f>
        <v/>
      </c>
      <c r="AB61" s="7">
        <f>IF($AH61="","",SUMIFS('Per Line'!$V$2:$V$1601,'Per Line'!$D$2:$D$1601,$B61,'Per Line'!$AM$2:$AM$1601,1,'Per Line'!$AN$2:$AN$1601,0))</f>
        <v/>
      </c>
      <c r="AC61" s="7">
        <f>IF($AH61="","",AB61*AA61)</f>
        <v/>
      </c>
      <c r="AD61" s="7">
        <f>IF($AH61="","",AC61+Z61+W61)</f>
        <v/>
      </c>
      <c r="AE61" s="7">
        <f>IF($AH61="","",AF61-AD61)</f>
        <v/>
      </c>
      <c r="AF61" s="7">
        <f>IF($AH61="","",Y61+AB61+V61)</f>
        <v/>
      </c>
      <c r="AG61" s="7">
        <f>IF($AH61="","",AF61-AD61-N61)</f>
        <v/>
      </c>
      <c r="AH61" s="13">
        <f>IF(ROWS($AH$2:$AH61)&lt;=MAX('Per Line'!$AL$2:$AL$1601),MATCH(ROWS($AH$2:$AH61),'Per Line'!$AL$2:$AL$1601,0),"")</f>
        <v/>
      </c>
    </row>
    <row r="62">
      <c r="A62" s="12" t="n"/>
      <c r="B62">
        <f>IF($AH62="","",INDEX('Per Line'!$D$2:$D$1601,$AH62)&amp;"")</f>
        <v/>
      </c>
      <c r="C62">
        <f>IF($AH62="","",INDEX('Per Line'!$A$2:$A$1601,$AH62)&amp;"")</f>
        <v/>
      </c>
      <c r="D62">
        <f>IF($AH62="","",INDEX('Per Line'!$B$2:$B$1601,$AH62))</f>
        <v/>
      </c>
      <c r="E62">
        <f>IF($AH62="","",INDEX('Per Line'!$C$2:$C$1601,$AH62)&amp;"")</f>
        <v/>
      </c>
      <c r="F62">
        <f>IF($AH62="","",INDEX('Per Line'!$E$2:$E$1601,$AH62)&amp;"")</f>
        <v/>
      </c>
      <c r="G62" s="11">
        <f>IF($AH62="","",INDEX('Per Line'!$F$2:$F$1601,$AH62))</f>
        <v/>
      </c>
      <c r="H62">
        <f>IF($AH62="","",INDEX('Per Line'!$G$2:$G$1601,$AH62)&amp;"")</f>
        <v/>
      </c>
      <c r="I62">
        <f>IF($AH62="","",INDEX('Per Line'!$I$2:$I$1601,$AH62)&amp;"")</f>
        <v/>
      </c>
      <c r="J62">
        <f>IF($AH62="","",INDEX('Per Line'!$J$2:$J$1601,$AH62)&amp;"")</f>
        <v/>
      </c>
      <c r="K62">
        <f>IF($AH62="","",INDEX('Per Line'!$K$2:$K$1601,$AH62)&amp;"")</f>
        <v/>
      </c>
      <c r="L62">
        <f>IF($AH62="","",INDEX('Per Line'!$L$2:$L$1601,$AH62)&amp;"")</f>
        <v/>
      </c>
      <c r="M62">
        <f>IF($AH62="","",INDEX('Per Line'!$M$2:$M$1601,$AH62))</f>
        <v/>
      </c>
      <c r="N62" s="7">
        <f>IF($AH62="","",M62*AE62/100)</f>
        <v/>
      </c>
      <c r="O62">
        <f>IF($AH62="","",INDEX('Per Line'!$Z$2:$Z$1601,$AH62)&amp;"")</f>
        <v/>
      </c>
      <c r="P62">
        <f>IF($AH62="","",INDEX('Per Line'!$AC$2:$AC$1601,$AH62)&amp;"")</f>
        <v/>
      </c>
      <c r="Q62">
        <f>IF($AH62="","",INDEX('Per Line'!$AD$2:$AD$1601,$AH62))</f>
        <v/>
      </c>
      <c r="R62">
        <f>IF($AH62="","",IF(AND(ISNUMBER(Q62),Q62&gt;0),AF62&gt;Q62,FALSE))</f>
        <v/>
      </c>
      <c r="S62">
        <f>IF($AH62="","",INDEX('Per Line'!$AH$2:$AH$1601,$AH62)&amp;"")</f>
        <v/>
      </c>
      <c r="T62" s="11">
        <f>IF($AH62="","",INDEX('Per Line'!$AI$2:$AI$1601,$AH62))</f>
        <v/>
      </c>
      <c r="U62">
        <f>IF($AH62="","",Settings!$C$8)</f>
        <v/>
      </c>
      <c r="V62" s="7">
        <f>IF($AH62="","",SUMIFS('Per Line'!$V$2:$V$1601,'Per Line'!$D$2:$D$1601,$B62,'Per Line'!$AN$2:$AN$1601,1))</f>
        <v/>
      </c>
      <c r="W62" s="7">
        <f>IF($AH62="","",V62*U62)</f>
        <v/>
      </c>
      <c r="X62">
        <f>IF($AH62="","",Settings!$C$7)</f>
        <v/>
      </c>
      <c r="Y62" s="7">
        <f>IF($AH62="","",SUMIFS('Per Line'!$V$2:$V$1601,'Per Line'!$D$2:$D$1601,$B62,'Per Line'!$AM$2:$AM$1601,0,'Per Line'!$AN$2:$AN$1601,0))</f>
        <v/>
      </c>
      <c r="Z62" s="7">
        <f>IF($AH62="","",Y62*X62)</f>
        <v/>
      </c>
      <c r="AA62">
        <f>IF($AH62="","",Settings!$C$6)</f>
        <v/>
      </c>
      <c r="AB62" s="7">
        <f>IF($AH62="","",SUMIFS('Per Line'!$V$2:$V$1601,'Per Line'!$D$2:$D$1601,$B62,'Per Line'!$AM$2:$AM$1601,1,'Per Line'!$AN$2:$AN$1601,0))</f>
        <v/>
      </c>
      <c r="AC62" s="7">
        <f>IF($AH62="","",AB62*AA62)</f>
        <v/>
      </c>
      <c r="AD62" s="7">
        <f>IF($AH62="","",AC62+Z62+W62)</f>
        <v/>
      </c>
      <c r="AE62" s="7">
        <f>IF($AH62="","",AF62-AD62)</f>
        <v/>
      </c>
      <c r="AF62" s="7">
        <f>IF($AH62="","",Y62+AB62+V62)</f>
        <v/>
      </c>
      <c r="AG62" s="7">
        <f>IF($AH62="","",AF62-AD62-N62)</f>
        <v/>
      </c>
      <c r="AH62" s="13">
        <f>IF(ROWS($AH$2:$AH62)&lt;=MAX('Per Line'!$AL$2:$AL$1601),MATCH(ROWS($AH$2:$AH62),'Per Line'!$AL$2:$AL$1601,0),"")</f>
        <v/>
      </c>
    </row>
    <row r="63">
      <c r="A63" s="12" t="n"/>
      <c r="B63">
        <f>IF($AH63="","",INDEX('Per Line'!$D$2:$D$1601,$AH63)&amp;"")</f>
        <v/>
      </c>
      <c r="C63">
        <f>IF($AH63="","",INDEX('Per Line'!$A$2:$A$1601,$AH63)&amp;"")</f>
        <v/>
      </c>
      <c r="D63">
        <f>IF($AH63="","",INDEX('Per Line'!$B$2:$B$1601,$AH63))</f>
        <v/>
      </c>
      <c r="E63">
        <f>IF($AH63="","",INDEX('Per Line'!$C$2:$C$1601,$AH63)&amp;"")</f>
        <v/>
      </c>
      <c r="F63">
        <f>IF($AH63="","",INDEX('Per Line'!$E$2:$E$1601,$AH63)&amp;"")</f>
        <v/>
      </c>
      <c r="G63" s="11">
        <f>IF($AH63="","",INDEX('Per Line'!$F$2:$F$1601,$AH63))</f>
        <v/>
      </c>
      <c r="H63">
        <f>IF($AH63="","",INDEX('Per Line'!$G$2:$G$1601,$AH63)&amp;"")</f>
        <v/>
      </c>
      <c r="I63">
        <f>IF($AH63="","",INDEX('Per Line'!$I$2:$I$1601,$AH63)&amp;"")</f>
        <v/>
      </c>
      <c r="J63">
        <f>IF($AH63="","",INDEX('Per Line'!$J$2:$J$1601,$AH63)&amp;"")</f>
        <v/>
      </c>
      <c r="K63">
        <f>IF($AH63="","",INDEX('Per Line'!$K$2:$K$1601,$AH63)&amp;"")</f>
        <v/>
      </c>
      <c r="L63">
        <f>IF($AH63="","",INDEX('Per Line'!$L$2:$L$1601,$AH63)&amp;"")</f>
        <v/>
      </c>
      <c r="M63">
        <f>IF($AH63="","",INDEX('Per Line'!$M$2:$M$1601,$AH63))</f>
        <v/>
      </c>
      <c r="N63" s="7">
        <f>IF($AH63="","",M63*AE63/100)</f>
        <v/>
      </c>
      <c r="O63">
        <f>IF($AH63="","",INDEX('Per Line'!$Z$2:$Z$1601,$AH63)&amp;"")</f>
        <v/>
      </c>
      <c r="P63">
        <f>IF($AH63="","",INDEX('Per Line'!$AC$2:$AC$1601,$AH63)&amp;"")</f>
        <v/>
      </c>
      <c r="Q63">
        <f>IF($AH63="","",INDEX('Per Line'!$AD$2:$AD$1601,$AH63))</f>
        <v/>
      </c>
      <c r="R63">
        <f>IF($AH63="","",IF(AND(ISNUMBER(Q63),Q63&gt;0),AF63&gt;Q63,FALSE))</f>
        <v/>
      </c>
      <c r="S63">
        <f>IF($AH63="","",INDEX('Per Line'!$AH$2:$AH$1601,$AH63)&amp;"")</f>
        <v/>
      </c>
      <c r="T63" s="11">
        <f>IF($AH63="","",INDEX('Per Line'!$AI$2:$AI$1601,$AH63))</f>
        <v/>
      </c>
      <c r="U63">
        <f>IF($AH63="","",Settings!$C$8)</f>
        <v/>
      </c>
      <c r="V63" s="7">
        <f>IF($AH63="","",SUMIFS('Per Line'!$V$2:$V$1601,'Per Line'!$D$2:$D$1601,$B63,'Per Line'!$AN$2:$AN$1601,1))</f>
        <v/>
      </c>
      <c r="W63" s="7">
        <f>IF($AH63="","",V63*U63)</f>
        <v/>
      </c>
      <c r="X63">
        <f>IF($AH63="","",Settings!$C$7)</f>
        <v/>
      </c>
      <c r="Y63" s="7">
        <f>IF($AH63="","",SUMIFS('Per Line'!$V$2:$V$1601,'Per Line'!$D$2:$D$1601,$B63,'Per Line'!$AM$2:$AM$1601,0,'Per Line'!$AN$2:$AN$1601,0))</f>
        <v/>
      </c>
      <c r="Z63" s="7">
        <f>IF($AH63="","",Y63*X63)</f>
        <v/>
      </c>
      <c r="AA63">
        <f>IF($AH63="","",Settings!$C$6)</f>
        <v/>
      </c>
      <c r="AB63" s="7">
        <f>IF($AH63="","",SUMIFS('Per Line'!$V$2:$V$1601,'Per Line'!$D$2:$D$1601,$B63,'Per Line'!$AM$2:$AM$1601,1,'Per Line'!$AN$2:$AN$1601,0))</f>
        <v/>
      </c>
      <c r="AC63" s="7">
        <f>IF($AH63="","",AB63*AA63)</f>
        <v/>
      </c>
      <c r="AD63" s="7">
        <f>IF($AH63="","",AC63+Z63+W63)</f>
        <v/>
      </c>
      <c r="AE63" s="7">
        <f>IF($AH63="","",AF63-AD63)</f>
        <v/>
      </c>
      <c r="AF63" s="7">
        <f>IF($AH63="","",Y63+AB63+V63)</f>
        <v/>
      </c>
      <c r="AG63" s="7">
        <f>IF($AH63="","",AF63-AD63-N63)</f>
        <v/>
      </c>
      <c r="AH63" s="13">
        <f>IF(ROWS($AH$2:$AH63)&lt;=MAX('Per Line'!$AL$2:$AL$1601),MATCH(ROWS($AH$2:$AH63),'Per Line'!$AL$2:$AL$1601,0),"")</f>
        <v/>
      </c>
    </row>
    <row r="64">
      <c r="A64" s="12" t="n"/>
      <c r="B64">
        <f>IF($AH64="","",INDEX('Per Line'!$D$2:$D$1601,$AH64)&amp;"")</f>
        <v/>
      </c>
      <c r="C64">
        <f>IF($AH64="","",INDEX('Per Line'!$A$2:$A$1601,$AH64)&amp;"")</f>
        <v/>
      </c>
      <c r="D64">
        <f>IF($AH64="","",INDEX('Per Line'!$B$2:$B$1601,$AH64))</f>
        <v/>
      </c>
      <c r="E64">
        <f>IF($AH64="","",INDEX('Per Line'!$C$2:$C$1601,$AH64)&amp;"")</f>
        <v/>
      </c>
      <c r="F64">
        <f>IF($AH64="","",INDEX('Per Line'!$E$2:$E$1601,$AH64)&amp;"")</f>
        <v/>
      </c>
      <c r="G64" s="11">
        <f>IF($AH64="","",INDEX('Per Line'!$F$2:$F$1601,$AH64))</f>
        <v/>
      </c>
      <c r="H64">
        <f>IF($AH64="","",INDEX('Per Line'!$G$2:$G$1601,$AH64)&amp;"")</f>
        <v/>
      </c>
      <c r="I64">
        <f>IF($AH64="","",INDEX('Per Line'!$I$2:$I$1601,$AH64)&amp;"")</f>
        <v/>
      </c>
      <c r="J64">
        <f>IF($AH64="","",INDEX('Per Line'!$J$2:$J$1601,$AH64)&amp;"")</f>
        <v/>
      </c>
      <c r="K64">
        <f>IF($AH64="","",INDEX('Per Line'!$K$2:$K$1601,$AH64)&amp;"")</f>
        <v/>
      </c>
      <c r="L64">
        <f>IF($AH64="","",INDEX('Per Line'!$L$2:$L$1601,$AH64)&amp;"")</f>
        <v/>
      </c>
      <c r="M64">
        <f>IF($AH64="","",INDEX('Per Line'!$M$2:$M$1601,$AH64))</f>
        <v/>
      </c>
      <c r="N64" s="7">
        <f>IF($AH64="","",M64*AE64/100)</f>
        <v/>
      </c>
      <c r="O64">
        <f>IF($AH64="","",INDEX('Per Line'!$Z$2:$Z$1601,$AH64)&amp;"")</f>
        <v/>
      </c>
      <c r="P64">
        <f>IF($AH64="","",INDEX('Per Line'!$AC$2:$AC$1601,$AH64)&amp;"")</f>
        <v/>
      </c>
      <c r="Q64">
        <f>IF($AH64="","",INDEX('Per Line'!$AD$2:$AD$1601,$AH64))</f>
        <v/>
      </c>
      <c r="R64">
        <f>IF($AH64="","",IF(AND(ISNUMBER(Q64),Q64&gt;0),AF64&gt;Q64,FALSE))</f>
        <v/>
      </c>
      <c r="S64">
        <f>IF($AH64="","",INDEX('Per Line'!$AH$2:$AH$1601,$AH64)&amp;"")</f>
        <v/>
      </c>
      <c r="T64" s="11">
        <f>IF($AH64="","",INDEX('Per Line'!$AI$2:$AI$1601,$AH64))</f>
        <v/>
      </c>
      <c r="U64">
        <f>IF($AH64="","",Settings!$C$8)</f>
        <v/>
      </c>
      <c r="V64" s="7">
        <f>IF($AH64="","",SUMIFS('Per Line'!$V$2:$V$1601,'Per Line'!$D$2:$D$1601,$B64,'Per Line'!$AN$2:$AN$1601,1))</f>
        <v/>
      </c>
      <c r="W64" s="7">
        <f>IF($AH64="","",V64*U64)</f>
        <v/>
      </c>
      <c r="X64">
        <f>IF($AH64="","",Settings!$C$7)</f>
        <v/>
      </c>
      <c r="Y64" s="7">
        <f>IF($AH64="","",SUMIFS('Per Line'!$V$2:$V$1601,'Per Line'!$D$2:$D$1601,$B64,'Per Line'!$AM$2:$AM$1601,0,'Per Line'!$AN$2:$AN$1601,0))</f>
        <v/>
      </c>
      <c r="Z64" s="7">
        <f>IF($AH64="","",Y64*X64)</f>
        <v/>
      </c>
      <c r="AA64">
        <f>IF($AH64="","",Settings!$C$6)</f>
        <v/>
      </c>
      <c r="AB64" s="7">
        <f>IF($AH64="","",SUMIFS('Per Line'!$V$2:$V$1601,'Per Line'!$D$2:$D$1601,$B64,'Per Line'!$AM$2:$AM$1601,1,'Per Line'!$AN$2:$AN$1601,0))</f>
        <v/>
      </c>
      <c r="AC64" s="7">
        <f>IF($AH64="","",AB64*AA64)</f>
        <v/>
      </c>
      <c r="AD64" s="7">
        <f>IF($AH64="","",AC64+Z64+W64)</f>
        <v/>
      </c>
      <c r="AE64" s="7">
        <f>IF($AH64="","",AF64-AD64)</f>
        <v/>
      </c>
      <c r="AF64" s="7">
        <f>IF($AH64="","",Y64+AB64+V64)</f>
        <v/>
      </c>
      <c r="AG64" s="7">
        <f>IF($AH64="","",AF64-AD64-N64)</f>
        <v/>
      </c>
      <c r="AH64" s="13">
        <f>IF(ROWS($AH$2:$AH64)&lt;=MAX('Per Line'!$AL$2:$AL$1601),MATCH(ROWS($AH$2:$AH64),'Per Line'!$AL$2:$AL$1601,0),"")</f>
        <v/>
      </c>
    </row>
    <row r="65">
      <c r="A65" s="12" t="n"/>
      <c r="B65">
        <f>IF($AH65="","",INDEX('Per Line'!$D$2:$D$1601,$AH65)&amp;"")</f>
        <v/>
      </c>
      <c r="C65">
        <f>IF($AH65="","",INDEX('Per Line'!$A$2:$A$1601,$AH65)&amp;"")</f>
        <v/>
      </c>
      <c r="D65">
        <f>IF($AH65="","",INDEX('Per Line'!$B$2:$B$1601,$AH65))</f>
        <v/>
      </c>
      <c r="E65">
        <f>IF($AH65="","",INDEX('Per Line'!$C$2:$C$1601,$AH65)&amp;"")</f>
        <v/>
      </c>
      <c r="F65">
        <f>IF($AH65="","",INDEX('Per Line'!$E$2:$E$1601,$AH65)&amp;"")</f>
        <v/>
      </c>
      <c r="G65" s="11">
        <f>IF($AH65="","",INDEX('Per Line'!$F$2:$F$1601,$AH65))</f>
        <v/>
      </c>
      <c r="H65">
        <f>IF($AH65="","",INDEX('Per Line'!$G$2:$G$1601,$AH65)&amp;"")</f>
        <v/>
      </c>
      <c r="I65">
        <f>IF($AH65="","",INDEX('Per Line'!$I$2:$I$1601,$AH65)&amp;"")</f>
        <v/>
      </c>
      <c r="J65">
        <f>IF($AH65="","",INDEX('Per Line'!$J$2:$J$1601,$AH65)&amp;"")</f>
        <v/>
      </c>
      <c r="K65">
        <f>IF($AH65="","",INDEX('Per Line'!$K$2:$K$1601,$AH65)&amp;"")</f>
        <v/>
      </c>
      <c r="L65">
        <f>IF($AH65="","",INDEX('Per Line'!$L$2:$L$1601,$AH65)&amp;"")</f>
        <v/>
      </c>
      <c r="M65">
        <f>IF($AH65="","",INDEX('Per Line'!$M$2:$M$1601,$AH65))</f>
        <v/>
      </c>
      <c r="N65" s="7">
        <f>IF($AH65="","",M65*AE65/100)</f>
        <v/>
      </c>
      <c r="O65">
        <f>IF($AH65="","",INDEX('Per Line'!$Z$2:$Z$1601,$AH65)&amp;"")</f>
        <v/>
      </c>
      <c r="P65">
        <f>IF($AH65="","",INDEX('Per Line'!$AC$2:$AC$1601,$AH65)&amp;"")</f>
        <v/>
      </c>
      <c r="Q65">
        <f>IF($AH65="","",INDEX('Per Line'!$AD$2:$AD$1601,$AH65))</f>
        <v/>
      </c>
      <c r="R65">
        <f>IF($AH65="","",IF(AND(ISNUMBER(Q65),Q65&gt;0),AF65&gt;Q65,FALSE))</f>
        <v/>
      </c>
      <c r="S65">
        <f>IF($AH65="","",INDEX('Per Line'!$AH$2:$AH$1601,$AH65)&amp;"")</f>
        <v/>
      </c>
      <c r="T65" s="11">
        <f>IF($AH65="","",INDEX('Per Line'!$AI$2:$AI$1601,$AH65))</f>
        <v/>
      </c>
      <c r="U65">
        <f>IF($AH65="","",Settings!$C$8)</f>
        <v/>
      </c>
      <c r="V65" s="7">
        <f>IF($AH65="","",SUMIFS('Per Line'!$V$2:$V$1601,'Per Line'!$D$2:$D$1601,$B65,'Per Line'!$AN$2:$AN$1601,1))</f>
        <v/>
      </c>
      <c r="W65" s="7">
        <f>IF($AH65="","",V65*U65)</f>
        <v/>
      </c>
      <c r="X65">
        <f>IF($AH65="","",Settings!$C$7)</f>
        <v/>
      </c>
      <c r="Y65" s="7">
        <f>IF($AH65="","",SUMIFS('Per Line'!$V$2:$V$1601,'Per Line'!$D$2:$D$1601,$B65,'Per Line'!$AM$2:$AM$1601,0,'Per Line'!$AN$2:$AN$1601,0))</f>
        <v/>
      </c>
      <c r="Z65" s="7">
        <f>IF($AH65="","",Y65*X65)</f>
        <v/>
      </c>
      <c r="AA65">
        <f>IF($AH65="","",Settings!$C$6)</f>
        <v/>
      </c>
      <c r="AB65" s="7">
        <f>IF($AH65="","",SUMIFS('Per Line'!$V$2:$V$1601,'Per Line'!$D$2:$D$1601,$B65,'Per Line'!$AM$2:$AM$1601,1,'Per Line'!$AN$2:$AN$1601,0))</f>
        <v/>
      </c>
      <c r="AC65" s="7">
        <f>IF($AH65="","",AB65*AA65)</f>
        <v/>
      </c>
      <c r="AD65" s="7">
        <f>IF($AH65="","",AC65+Z65+W65)</f>
        <v/>
      </c>
      <c r="AE65" s="7">
        <f>IF($AH65="","",AF65-AD65)</f>
        <v/>
      </c>
      <c r="AF65" s="7">
        <f>IF($AH65="","",Y65+AB65+V65)</f>
        <v/>
      </c>
      <c r="AG65" s="7">
        <f>IF($AH65="","",AF65-AD65-N65)</f>
        <v/>
      </c>
      <c r="AH65" s="13">
        <f>IF(ROWS($AH$2:$AH65)&lt;=MAX('Per Line'!$AL$2:$AL$1601),MATCH(ROWS($AH$2:$AH65),'Per Line'!$AL$2:$AL$1601,0),"")</f>
        <v/>
      </c>
    </row>
    <row r="66">
      <c r="A66" s="12" t="n"/>
      <c r="B66">
        <f>IF($AH66="","",INDEX('Per Line'!$D$2:$D$1601,$AH66)&amp;"")</f>
        <v/>
      </c>
      <c r="C66">
        <f>IF($AH66="","",INDEX('Per Line'!$A$2:$A$1601,$AH66)&amp;"")</f>
        <v/>
      </c>
      <c r="D66">
        <f>IF($AH66="","",INDEX('Per Line'!$B$2:$B$1601,$AH66))</f>
        <v/>
      </c>
      <c r="E66">
        <f>IF($AH66="","",INDEX('Per Line'!$C$2:$C$1601,$AH66)&amp;"")</f>
        <v/>
      </c>
      <c r="F66">
        <f>IF($AH66="","",INDEX('Per Line'!$E$2:$E$1601,$AH66)&amp;"")</f>
        <v/>
      </c>
      <c r="G66" s="11">
        <f>IF($AH66="","",INDEX('Per Line'!$F$2:$F$1601,$AH66))</f>
        <v/>
      </c>
      <c r="H66">
        <f>IF($AH66="","",INDEX('Per Line'!$G$2:$G$1601,$AH66)&amp;"")</f>
        <v/>
      </c>
      <c r="I66">
        <f>IF($AH66="","",INDEX('Per Line'!$I$2:$I$1601,$AH66)&amp;"")</f>
        <v/>
      </c>
      <c r="J66">
        <f>IF($AH66="","",INDEX('Per Line'!$J$2:$J$1601,$AH66)&amp;"")</f>
        <v/>
      </c>
      <c r="K66">
        <f>IF($AH66="","",INDEX('Per Line'!$K$2:$K$1601,$AH66)&amp;"")</f>
        <v/>
      </c>
      <c r="L66">
        <f>IF($AH66="","",INDEX('Per Line'!$L$2:$L$1601,$AH66)&amp;"")</f>
        <v/>
      </c>
      <c r="M66">
        <f>IF($AH66="","",INDEX('Per Line'!$M$2:$M$1601,$AH66))</f>
        <v/>
      </c>
      <c r="N66" s="7">
        <f>IF($AH66="","",M66*AE66/100)</f>
        <v/>
      </c>
      <c r="O66">
        <f>IF($AH66="","",INDEX('Per Line'!$Z$2:$Z$1601,$AH66)&amp;"")</f>
        <v/>
      </c>
      <c r="P66">
        <f>IF($AH66="","",INDEX('Per Line'!$AC$2:$AC$1601,$AH66)&amp;"")</f>
        <v/>
      </c>
      <c r="Q66">
        <f>IF($AH66="","",INDEX('Per Line'!$AD$2:$AD$1601,$AH66))</f>
        <v/>
      </c>
      <c r="R66">
        <f>IF($AH66="","",IF(AND(ISNUMBER(Q66),Q66&gt;0),AF66&gt;Q66,FALSE))</f>
        <v/>
      </c>
      <c r="S66">
        <f>IF($AH66="","",INDEX('Per Line'!$AH$2:$AH$1601,$AH66)&amp;"")</f>
        <v/>
      </c>
      <c r="T66" s="11">
        <f>IF($AH66="","",INDEX('Per Line'!$AI$2:$AI$1601,$AH66))</f>
        <v/>
      </c>
      <c r="U66">
        <f>IF($AH66="","",Settings!$C$8)</f>
        <v/>
      </c>
      <c r="V66" s="7">
        <f>IF($AH66="","",SUMIFS('Per Line'!$V$2:$V$1601,'Per Line'!$D$2:$D$1601,$B66,'Per Line'!$AN$2:$AN$1601,1))</f>
        <v/>
      </c>
      <c r="W66" s="7">
        <f>IF($AH66="","",V66*U66)</f>
        <v/>
      </c>
      <c r="X66">
        <f>IF($AH66="","",Settings!$C$7)</f>
        <v/>
      </c>
      <c r="Y66" s="7">
        <f>IF($AH66="","",SUMIFS('Per Line'!$V$2:$V$1601,'Per Line'!$D$2:$D$1601,$B66,'Per Line'!$AM$2:$AM$1601,0,'Per Line'!$AN$2:$AN$1601,0))</f>
        <v/>
      </c>
      <c r="Z66" s="7">
        <f>IF($AH66="","",Y66*X66)</f>
        <v/>
      </c>
      <c r="AA66">
        <f>IF($AH66="","",Settings!$C$6)</f>
        <v/>
      </c>
      <c r="AB66" s="7">
        <f>IF($AH66="","",SUMIFS('Per Line'!$V$2:$V$1601,'Per Line'!$D$2:$D$1601,$B66,'Per Line'!$AM$2:$AM$1601,1,'Per Line'!$AN$2:$AN$1601,0))</f>
        <v/>
      </c>
      <c r="AC66" s="7">
        <f>IF($AH66="","",AB66*AA66)</f>
        <v/>
      </c>
      <c r="AD66" s="7">
        <f>IF($AH66="","",AC66+Z66+W66)</f>
        <v/>
      </c>
      <c r="AE66" s="7">
        <f>IF($AH66="","",AF66-AD66)</f>
        <v/>
      </c>
      <c r="AF66" s="7">
        <f>IF($AH66="","",Y66+AB66+V66)</f>
        <v/>
      </c>
      <c r="AG66" s="7">
        <f>IF($AH66="","",AF66-AD66-N66)</f>
        <v/>
      </c>
      <c r="AH66" s="13">
        <f>IF(ROWS($AH$2:$AH66)&lt;=MAX('Per Line'!$AL$2:$AL$1601),MATCH(ROWS($AH$2:$AH66),'Per Line'!$AL$2:$AL$1601,0),"")</f>
        <v/>
      </c>
    </row>
    <row r="67">
      <c r="A67" s="12" t="n"/>
      <c r="B67">
        <f>IF($AH67="","",INDEX('Per Line'!$D$2:$D$1601,$AH67)&amp;"")</f>
        <v/>
      </c>
      <c r="C67">
        <f>IF($AH67="","",INDEX('Per Line'!$A$2:$A$1601,$AH67)&amp;"")</f>
        <v/>
      </c>
      <c r="D67">
        <f>IF($AH67="","",INDEX('Per Line'!$B$2:$B$1601,$AH67))</f>
        <v/>
      </c>
      <c r="E67">
        <f>IF($AH67="","",INDEX('Per Line'!$C$2:$C$1601,$AH67)&amp;"")</f>
        <v/>
      </c>
      <c r="F67">
        <f>IF($AH67="","",INDEX('Per Line'!$E$2:$E$1601,$AH67)&amp;"")</f>
        <v/>
      </c>
      <c r="G67" s="11">
        <f>IF($AH67="","",INDEX('Per Line'!$F$2:$F$1601,$AH67))</f>
        <v/>
      </c>
      <c r="H67">
        <f>IF($AH67="","",INDEX('Per Line'!$G$2:$G$1601,$AH67)&amp;"")</f>
        <v/>
      </c>
      <c r="I67">
        <f>IF($AH67="","",INDEX('Per Line'!$I$2:$I$1601,$AH67)&amp;"")</f>
        <v/>
      </c>
      <c r="J67">
        <f>IF($AH67="","",INDEX('Per Line'!$J$2:$J$1601,$AH67)&amp;"")</f>
        <v/>
      </c>
      <c r="K67">
        <f>IF($AH67="","",INDEX('Per Line'!$K$2:$K$1601,$AH67)&amp;"")</f>
        <v/>
      </c>
      <c r="L67">
        <f>IF($AH67="","",INDEX('Per Line'!$L$2:$L$1601,$AH67)&amp;"")</f>
        <v/>
      </c>
      <c r="M67">
        <f>IF($AH67="","",INDEX('Per Line'!$M$2:$M$1601,$AH67))</f>
        <v/>
      </c>
      <c r="N67" s="7">
        <f>IF($AH67="","",M67*AE67/100)</f>
        <v/>
      </c>
      <c r="O67">
        <f>IF($AH67="","",INDEX('Per Line'!$Z$2:$Z$1601,$AH67)&amp;"")</f>
        <v/>
      </c>
      <c r="P67">
        <f>IF($AH67="","",INDEX('Per Line'!$AC$2:$AC$1601,$AH67)&amp;"")</f>
        <v/>
      </c>
      <c r="Q67">
        <f>IF($AH67="","",INDEX('Per Line'!$AD$2:$AD$1601,$AH67))</f>
        <v/>
      </c>
      <c r="R67">
        <f>IF($AH67="","",IF(AND(ISNUMBER(Q67),Q67&gt;0),AF67&gt;Q67,FALSE))</f>
        <v/>
      </c>
      <c r="S67">
        <f>IF($AH67="","",INDEX('Per Line'!$AH$2:$AH$1601,$AH67)&amp;"")</f>
        <v/>
      </c>
      <c r="T67" s="11">
        <f>IF($AH67="","",INDEX('Per Line'!$AI$2:$AI$1601,$AH67))</f>
        <v/>
      </c>
      <c r="U67">
        <f>IF($AH67="","",Settings!$C$8)</f>
        <v/>
      </c>
      <c r="V67" s="7">
        <f>IF($AH67="","",SUMIFS('Per Line'!$V$2:$V$1601,'Per Line'!$D$2:$D$1601,$B67,'Per Line'!$AN$2:$AN$1601,1))</f>
        <v/>
      </c>
      <c r="W67" s="7">
        <f>IF($AH67="","",V67*U67)</f>
        <v/>
      </c>
      <c r="X67">
        <f>IF($AH67="","",Settings!$C$7)</f>
        <v/>
      </c>
      <c r="Y67" s="7">
        <f>IF($AH67="","",SUMIFS('Per Line'!$V$2:$V$1601,'Per Line'!$D$2:$D$1601,$B67,'Per Line'!$AM$2:$AM$1601,0,'Per Line'!$AN$2:$AN$1601,0))</f>
        <v/>
      </c>
      <c r="Z67" s="7">
        <f>IF($AH67="","",Y67*X67)</f>
        <v/>
      </c>
      <c r="AA67">
        <f>IF($AH67="","",Settings!$C$6)</f>
        <v/>
      </c>
      <c r="AB67" s="7">
        <f>IF($AH67="","",SUMIFS('Per Line'!$V$2:$V$1601,'Per Line'!$D$2:$D$1601,$B67,'Per Line'!$AM$2:$AM$1601,1,'Per Line'!$AN$2:$AN$1601,0))</f>
        <v/>
      </c>
      <c r="AC67" s="7">
        <f>IF($AH67="","",AB67*AA67)</f>
        <v/>
      </c>
      <c r="AD67" s="7">
        <f>IF($AH67="","",AC67+Z67+W67)</f>
        <v/>
      </c>
      <c r="AE67" s="7">
        <f>IF($AH67="","",AF67-AD67)</f>
        <v/>
      </c>
      <c r="AF67" s="7">
        <f>IF($AH67="","",Y67+AB67+V67)</f>
        <v/>
      </c>
      <c r="AG67" s="7">
        <f>IF($AH67="","",AF67-AD67-N67)</f>
        <v/>
      </c>
      <c r="AH67" s="13">
        <f>IF(ROWS($AH$2:$AH67)&lt;=MAX('Per Line'!$AL$2:$AL$1601),MATCH(ROWS($AH$2:$AH67),'Per Line'!$AL$2:$AL$1601,0),"")</f>
        <v/>
      </c>
    </row>
    <row r="68">
      <c r="A68" s="12" t="n"/>
      <c r="B68">
        <f>IF($AH68="","",INDEX('Per Line'!$D$2:$D$1601,$AH68)&amp;"")</f>
        <v/>
      </c>
      <c r="C68">
        <f>IF($AH68="","",INDEX('Per Line'!$A$2:$A$1601,$AH68)&amp;"")</f>
        <v/>
      </c>
      <c r="D68">
        <f>IF($AH68="","",INDEX('Per Line'!$B$2:$B$1601,$AH68))</f>
        <v/>
      </c>
      <c r="E68">
        <f>IF($AH68="","",INDEX('Per Line'!$C$2:$C$1601,$AH68)&amp;"")</f>
        <v/>
      </c>
      <c r="F68">
        <f>IF($AH68="","",INDEX('Per Line'!$E$2:$E$1601,$AH68)&amp;"")</f>
        <v/>
      </c>
      <c r="G68" s="11">
        <f>IF($AH68="","",INDEX('Per Line'!$F$2:$F$1601,$AH68))</f>
        <v/>
      </c>
      <c r="H68">
        <f>IF($AH68="","",INDEX('Per Line'!$G$2:$G$1601,$AH68)&amp;"")</f>
        <v/>
      </c>
      <c r="I68">
        <f>IF($AH68="","",INDEX('Per Line'!$I$2:$I$1601,$AH68)&amp;"")</f>
        <v/>
      </c>
      <c r="J68">
        <f>IF($AH68="","",INDEX('Per Line'!$J$2:$J$1601,$AH68)&amp;"")</f>
        <v/>
      </c>
      <c r="K68">
        <f>IF($AH68="","",INDEX('Per Line'!$K$2:$K$1601,$AH68)&amp;"")</f>
        <v/>
      </c>
      <c r="L68">
        <f>IF($AH68="","",INDEX('Per Line'!$L$2:$L$1601,$AH68)&amp;"")</f>
        <v/>
      </c>
      <c r="M68">
        <f>IF($AH68="","",INDEX('Per Line'!$M$2:$M$1601,$AH68))</f>
        <v/>
      </c>
      <c r="N68" s="7">
        <f>IF($AH68="","",M68*AE68/100)</f>
        <v/>
      </c>
      <c r="O68">
        <f>IF($AH68="","",INDEX('Per Line'!$Z$2:$Z$1601,$AH68)&amp;"")</f>
        <v/>
      </c>
      <c r="P68">
        <f>IF($AH68="","",INDEX('Per Line'!$AC$2:$AC$1601,$AH68)&amp;"")</f>
        <v/>
      </c>
      <c r="Q68">
        <f>IF($AH68="","",INDEX('Per Line'!$AD$2:$AD$1601,$AH68))</f>
        <v/>
      </c>
      <c r="R68">
        <f>IF($AH68="","",IF(AND(ISNUMBER(Q68),Q68&gt;0),AF68&gt;Q68,FALSE))</f>
        <v/>
      </c>
      <c r="S68">
        <f>IF($AH68="","",INDEX('Per Line'!$AH$2:$AH$1601,$AH68)&amp;"")</f>
        <v/>
      </c>
      <c r="T68" s="11">
        <f>IF($AH68="","",INDEX('Per Line'!$AI$2:$AI$1601,$AH68))</f>
        <v/>
      </c>
      <c r="U68">
        <f>IF($AH68="","",Settings!$C$8)</f>
        <v/>
      </c>
      <c r="V68" s="7">
        <f>IF($AH68="","",SUMIFS('Per Line'!$V$2:$V$1601,'Per Line'!$D$2:$D$1601,$B68,'Per Line'!$AN$2:$AN$1601,1))</f>
        <v/>
      </c>
      <c r="W68" s="7">
        <f>IF($AH68="","",V68*U68)</f>
        <v/>
      </c>
      <c r="X68">
        <f>IF($AH68="","",Settings!$C$7)</f>
        <v/>
      </c>
      <c r="Y68" s="7">
        <f>IF($AH68="","",SUMIFS('Per Line'!$V$2:$V$1601,'Per Line'!$D$2:$D$1601,$B68,'Per Line'!$AM$2:$AM$1601,0,'Per Line'!$AN$2:$AN$1601,0))</f>
        <v/>
      </c>
      <c r="Z68" s="7">
        <f>IF($AH68="","",Y68*X68)</f>
        <v/>
      </c>
      <c r="AA68">
        <f>IF($AH68="","",Settings!$C$6)</f>
        <v/>
      </c>
      <c r="AB68" s="7">
        <f>IF($AH68="","",SUMIFS('Per Line'!$V$2:$V$1601,'Per Line'!$D$2:$D$1601,$B68,'Per Line'!$AM$2:$AM$1601,1,'Per Line'!$AN$2:$AN$1601,0))</f>
        <v/>
      </c>
      <c r="AC68" s="7">
        <f>IF($AH68="","",AB68*AA68)</f>
        <v/>
      </c>
      <c r="AD68" s="7">
        <f>IF($AH68="","",AC68+Z68+W68)</f>
        <v/>
      </c>
      <c r="AE68" s="7">
        <f>IF($AH68="","",AF68-AD68)</f>
        <v/>
      </c>
      <c r="AF68" s="7">
        <f>IF($AH68="","",Y68+AB68+V68)</f>
        <v/>
      </c>
      <c r="AG68" s="7">
        <f>IF($AH68="","",AF68-AD68-N68)</f>
        <v/>
      </c>
      <c r="AH68" s="13">
        <f>IF(ROWS($AH$2:$AH68)&lt;=MAX('Per Line'!$AL$2:$AL$1601),MATCH(ROWS($AH$2:$AH68),'Per Line'!$AL$2:$AL$1601,0),"")</f>
        <v/>
      </c>
    </row>
    <row r="69">
      <c r="A69" s="12" t="n"/>
      <c r="B69">
        <f>IF($AH69="","",INDEX('Per Line'!$D$2:$D$1601,$AH69)&amp;"")</f>
        <v/>
      </c>
      <c r="C69">
        <f>IF($AH69="","",INDEX('Per Line'!$A$2:$A$1601,$AH69)&amp;"")</f>
        <v/>
      </c>
      <c r="D69">
        <f>IF($AH69="","",INDEX('Per Line'!$B$2:$B$1601,$AH69))</f>
        <v/>
      </c>
      <c r="E69">
        <f>IF($AH69="","",INDEX('Per Line'!$C$2:$C$1601,$AH69)&amp;"")</f>
        <v/>
      </c>
      <c r="F69">
        <f>IF($AH69="","",INDEX('Per Line'!$E$2:$E$1601,$AH69)&amp;"")</f>
        <v/>
      </c>
      <c r="G69" s="11">
        <f>IF($AH69="","",INDEX('Per Line'!$F$2:$F$1601,$AH69))</f>
        <v/>
      </c>
      <c r="H69">
        <f>IF($AH69="","",INDEX('Per Line'!$G$2:$G$1601,$AH69)&amp;"")</f>
        <v/>
      </c>
      <c r="I69">
        <f>IF($AH69="","",INDEX('Per Line'!$I$2:$I$1601,$AH69)&amp;"")</f>
        <v/>
      </c>
      <c r="J69">
        <f>IF($AH69="","",INDEX('Per Line'!$J$2:$J$1601,$AH69)&amp;"")</f>
        <v/>
      </c>
      <c r="K69">
        <f>IF($AH69="","",INDEX('Per Line'!$K$2:$K$1601,$AH69)&amp;"")</f>
        <v/>
      </c>
      <c r="L69">
        <f>IF($AH69="","",INDEX('Per Line'!$L$2:$L$1601,$AH69)&amp;"")</f>
        <v/>
      </c>
      <c r="M69">
        <f>IF($AH69="","",INDEX('Per Line'!$M$2:$M$1601,$AH69))</f>
        <v/>
      </c>
      <c r="N69" s="7">
        <f>IF($AH69="","",M69*AE69/100)</f>
        <v/>
      </c>
      <c r="O69">
        <f>IF($AH69="","",INDEX('Per Line'!$Z$2:$Z$1601,$AH69)&amp;"")</f>
        <v/>
      </c>
      <c r="P69">
        <f>IF($AH69="","",INDEX('Per Line'!$AC$2:$AC$1601,$AH69)&amp;"")</f>
        <v/>
      </c>
      <c r="Q69">
        <f>IF($AH69="","",INDEX('Per Line'!$AD$2:$AD$1601,$AH69))</f>
        <v/>
      </c>
      <c r="R69">
        <f>IF($AH69="","",IF(AND(ISNUMBER(Q69),Q69&gt;0),AF69&gt;Q69,FALSE))</f>
        <v/>
      </c>
      <c r="S69">
        <f>IF($AH69="","",INDEX('Per Line'!$AH$2:$AH$1601,$AH69)&amp;"")</f>
        <v/>
      </c>
      <c r="T69" s="11">
        <f>IF($AH69="","",INDEX('Per Line'!$AI$2:$AI$1601,$AH69))</f>
        <v/>
      </c>
      <c r="U69">
        <f>IF($AH69="","",Settings!$C$8)</f>
        <v/>
      </c>
      <c r="V69" s="7">
        <f>IF($AH69="","",SUMIFS('Per Line'!$V$2:$V$1601,'Per Line'!$D$2:$D$1601,$B69,'Per Line'!$AN$2:$AN$1601,1))</f>
        <v/>
      </c>
      <c r="W69" s="7">
        <f>IF($AH69="","",V69*U69)</f>
        <v/>
      </c>
      <c r="X69">
        <f>IF($AH69="","",Settings!$C$7)</f>
        <v/>
      </c>
      <c r="Y69" s="7">
        <f>IF($AH69="","",SUMIFS('Per Line'!$V$2:$V$1601,'Per Line'!$D$2:$D$1601,$B69,'Per Line'!$AM$2:$AM$1601,0,'Per Line'!$AN$2:$AN$1601,0))</f>
        <v/>
      </c>
      <c r="Z69" s="7">
        <f>IF($AH69="","",Y69*X69)</f>
        <v/>
      </c>
      <c r="AA69">
        <f>IF($AH69="","",Settings!$C$6)</f>
        <v/>
      </c>
      <c r="AB69" s="7">
        <f>IF($AH69="","",SUMIFS('Per Line'!$V$2:$V$1601,'Per Line'!$D$2:$D$1601,$B69,'Per Line'!$AM$2:$AM$1601,1,'Per Line'!$AN$2:$AN$1601,0))</f>
        <v/>
      </c>
      <c r="AC69" s="7">
        <f>IF($AH69="","",AB69*AA69)</f>
        <v/>
      </c>
      <c r="AD69" s="7">
        <f>IF($AH69="","",AC69+Z69+W69)</f>
        <v/>
      </c>
      <c r="AE69" s="7">
        <f>IF($AH69="","",AF69-AD69)</f>
        <v/>
      </c>
      <c r="AF69" s="7">
        <f>IF($AH69="","",Y69+AB69+V69)</f>
        <v/>
      </c>
      <c r="AG69" s="7">
        <f>IF($AH69="","",AF69-AD69-N69)</f>
        <v/>
      </c>
      <c r="AH69" s="13">
        <f>IF(ROWS($AH$2:$AH69)&lt;=MAX('Per Line'!$AL$2:$AL$1601),MATCH(ROWS($AH$2:$AH69),'Per Line'!$AL$2:$AL$1601,0),"")</f>
        <v/>
      </c>
    </row>
    <row r="70">
      <c r="A70" s="12" t="n"/>
      <c r="B70">
        <f>IF($AH70="","",INDEX('Per Line'!$D$2:$D$1601,$AH70)&amp;"")</f>
        <v/>
      </c>
      <c r="C70">
        <f>IF($AH70="","",INDEX('Per Line'!$A$2:$A$1601,$AH70)&amp;"")</f>
        <v/>
      </c>
      <c r="D70">
        <f>IF($AH70="","",INDEX('Per Line'!$B$2:$B$1601,$AH70))</f>
        <v/>
      </c>
      <c r="E70">
        <f>IF($AH70="","",INDEX('Per Line'!$C$2:$C$1601,$AH70)&amp;"")</f>
        <v/>
      </c>
      <c r="F70">
        <f>IF($AH70="","",INDEX('Per Line'!$E$2:$E$1601,$AH70)&amp;"")</f>
        <v/>
      </c>
      <c r="G70" s="11">
        <f>IF($AH70="","",INDEX('Per Line'!$F$2:$F$1601,$AH70))</f>
        <v/>
      </c>
      <c r="H70">
        <f>IF($AH70="","",INDEX('Per Line'!$G$2:$G$1601,$AH70)&amp;"")</f>
        <v/>
      </c>
      <c r="I70">
        <f>IF($AH70="","",INDEX('Per Line'!$I$2:$I$1601,$AH70)&amp;"")</f>
        <v/>
      </c>
      <c r="J70">
        <f>IF($AH70="","",INDEX('Per Line'!$J$2:$J$1601,$AH70)&amp;"")</f>
        <v/>
      </c>
      <c r="K70">
        <f>IF($AH70="","",INDEX('Per Line'!$K$2:$K$1601,$AH70)&amp;"")</f>
        <v/>
      </c>
      <c r="L70">
        <f>IF($AH70="","",INDEX('Per Line'!$L$2:$L$1601,$AH70)&amp;"")</f>
        <v/>
      </c>
      <c r="M70">
        <f>IF($AH70="","",INDEX('Per Line'!$M$2:$M$1601,$AH70))</f>
        <v/>
      </c>
      <c r="N70" s="7">
        <f>IF($AH70="","",M70*AE70/100)</f>
        <v/>
      </c>
      <c r="O70">
        <f>IF($AH70="","",INDEX('Per Line'!$Z$2:$Z$1601,$AH70)&amp;"")</f>
        <v/>
      </c>
      <c r="P70">
        <f>IF($AH70="","",INDEX('Per Line'!$AC$2:$AC$1601,$AH70)&amp;"")</f>
        <v/>
      </c>
      <c r="Q70">
        <f>IF($AH70="","",INDEX('Per Line'!$AD$2:$AD$1601,$AH70))</f>
        <v/>
      </c>
      <c r="R70">
        <f>IF($AH70="","",IF(AND(ISNUMBER(Q70),Q70&gt;0),AF70&gt;Q70,FALSE))</f>
        <v/>
      </c>
      <c r="S70">
        <f>IF($AH70="","",INDEX('Per Line'!$AH$2:$AH$1601,$AH70)&amp;"")</f>
        <v/>
      </c>
      <c r="T70" s="11">
        <f>IF($AH70="","",INDEX('Per Line'!$AI$2:$AI$1601,$AH70))</f>
        <v/>
      </c>
      <c r="U70">
        <f>IF($AH70="","",Settings!$C$8)</f>
        <v/>
      </c>
      <c r="V70" s="7">
        <f>IF($AH70="","",SUMIFS('Per Line'!$V$2:$V$1601,'Per Line'!$D$2:$D$1601,$B70,'Per Line'!$AN$2:$AN$1601,1))</f>
        <v/>
      </c>
      <c r="W70" s="7">
        <f>IF($AH70="","",V70*U70)</f>
        <v/>
      </c>
      <c r="X70">
        <f>IF($AH70="","",Settings!$C$7)</f>
        <v/>
      </c>
      <c r="Y70" s="7">
        <f>IF($AH70="","",SUMIFS('Per Line'!$V$2:$V$1601,'Per Line'!$D$2:$D$1601,$B70,'Per Line'!$AM$2:$AM$1601,0,'Per Line'!$AN$2:$AN$1601,0))</f>
        <v/>
      </c>
      <c r="Z70" s="7">
        <f>IF($AH70="","",Y70*X70)</f>
        <v/>
      </c>
      <c r="AA70">
        <f>IF($AH70="","",Settings!$C$6)</f>
        <v/>
      </c>
      <c r="AB70" s="7">
        <f>IF($AH70="","",SUMIFS('Per Line'!$V$2:$V$1601,'Per Line'!$D$2:$D$1601,$B70,'Per Line'!$AM$2:$AM$1601,1,'Per Line'!$AN$2:$AN$1601,0))</f>
        <v/>
      </c>
      <c r="AC70" s="7">
        <f>IF($AH70="","",AB70*AA70)</f>
        <v/>
      </c>
      <c r="AD70" s="7">
        <f>IF($AH70="","",AC70+Z70+W70)</f>
        <v/>
      </c>
      <c r="AE70" s="7">
        <f>IF($AH70="","",AF70-AD70)</f>
        <v/>
      </c>
      <c r="AF70" s="7">
        <f>IF($AH70="","",Y70+AB70+V70)</f>
        <v/>
      </c>
      <c r="AG70" s="7">
        <f>IF($AH70="","",AF70-AD70-N70)</f>
        <v/>
      </c>
      <c r="AH70" s="13">
        <f>IF(ROWS($AH$2:$AH70)&lt;=MAX('Per Line'!$AL$2:$AL$1601),MATCH(ROWS($AH$2:$AH70),'Per Line'!$AL$2:$AL$1601,0),"")</f>
        <v/>
      </c>
    </row>
    <row r="71">
      <c r="A71" s="12" t="n"/>
      <c r="B71">
        <f>IF($AH71="","",INDEX('Per Line'!$D$2:$D$1601,$AH71)&amp;"")</f>
        <v/>
      </c>
      <c r="C71">
        <f>IF($AH71="","",INDEX('Per Line'!$A$2:$A$1601,$AH71)&amp;"")</f>
        <v/>
      </c>
      <c r="D71">
        <f>IF($AH71="","",INDEX('Per Line'!$B$2:$B$1601,$AH71))</f>
        <v/>
      </c>
      <c r="E71">
        <f>IF($AH71="","",INDEX('Per Line'!$C$2:$C$1601,$AH71)&amp;"")</f>
        <v/>
      </c>
      <c r="F71">
        <f>IF($AH71="","",INDEX('Per Line'!$E$2:$E$1601,$AH71)&amp;"")</f>
        <v/>
      </c>
      <c r="G71" s="11">
        <f>IF($AH71="","",INDEX('Per Line'!$F$2:$F$1601,$AH71))</f>
        <v/>
      </c>
      <c r="H71">
        <f>IF($AH71="","",INDEX('Per Line'!$G$2:$G$1601,$AH71)&amp;"")</f>
        <v/>
      </c>
      <c r="I71">
        <f>IF($AH71="","",INDEX('Per Line'!$I$2:$I$1601,$AH71)&amp;"")</f>
        <v/>
      </c>
      <c r="J71">
        <f>IF($AH71="","",INDEX('Per Line'!$J$2:$J$1601,$AH71)&amp;"")</f>
        <v/>
      </c>
      <c r="K71">
        <f>IF($AH71="","",INDEX('Per Line'!$K$2:$K$1601,$AH71)&amp;"")</f>
        <v/>
      </c>
      <c r="L71">
        <f>IF($AH71="","",INDEX('Per Line'!$L$2:$L$1601,$AH71)&amp;"")</f>
        <v/>
      </c>
      <c r="M71">
        <f>IF($AH71="","",INDEX('Per Line'!$M$2:$M$1601,$AH71))</f>
        <v/>
      </c>
      <c r="N71" s="7">
        <f>IF($AH71="","",M71*AE71/100)</f>
        <v/>
      </c>
      <c r="O71">
        <f>IF($AH71="","",INDEX('Per Line'!$Z$2:$Z$1601,$AH71)&amp;"")</f>
        <v/>
      </c>
      <c r="P71">
        <f>IF($AH71="","",INDEX('Per Line'!$AC$2:$AC$1601,$AH71)&amp;"")</f>
        <v/>
      </c>
      <c r="Q71">
        <f>IF($AH71="","",INDEX('Per Line'!$AD$2:$AD$1601,$AH71))</f>
        <v/>
      </c>
      <c r="R71">
        <f>IF($AH71="","",IF(AND(ISNUMBER(Q71),Q71&gt;0),AF71&gt;Q71,FALSE))</f>
        <v/>
      </c>
      <c r="S71">
        <f>IF($AH71="","",INDEX('Per Line'!$AH$2:$AH$1601,$AH71)&amp;"")</f>
        <v/>
      </c>
      <c r="T71" s="11">
        <f>IF($AH71="","",INDEX('Per Line'!$AI$2:$AI$1601,$AH71))</f>
        <v/>
      </c>
      <c r="U71">
        <f>IF($AH71="","",Settings!$C$8)</f>
        <v/>
      </c>
      <c r="V71" s="7">
        <f>IF($AH71="","",SUMIFS('Per Line'!$V$2:$V$1601,'Per Line'!$D$2:$D$1601,$B71,'Per Line'!$AN$2:$AN$1601,1))</f>
        <v/>
      </c>
      <c r="W71" s="7">
        <f>IF($AH71="","",V71*U71)</f>
        <v/>
      </c>
      <c r="X71">
        <f>IF($AH71="","",Settings!$C$7)</f>
        <v/>
      </c>
      <c r="Y71" s="7">
        <f>IF($AH71="","",SUMIFS('Per Line'!$V$2:$V$1601,'Per Line'!$D$2:$D$1601,$B71,'Per Line'!$AM$2:$AM$1601,0,'Per Line'!$AN$2:$AN$1601,0))</f>
        <v/>
      </c>
      <c r="Z71" s="7">
        <f>IF($AH71="","",Y71*X71)</f>
        <v/>
      </c>
      <c r="AA71">
        <f>IF($AH71="","",Settings!$C$6)</f>
        <v/>
      </c>
      <c r="AB71" s="7">
        <f>IF($AH71="","",SUMIFS('Per Line'!$V$2:$V$1601,'Per Line'!$D$2:$D$1601,$B71,'Per Line'!$AM$2:$AM$1601,1,'Per Line'!$AN$2:$AN$1601,0))</f>
        <v/>
      </c>
      <c r="AC71" s="7">
        <f>IF($AH71="","",AB71*AA71)</f>
        <v/>
      </c>
      <c r="AD71" s="7">
        <f>IF($AH71="","",AC71+Z71+W71)</f>
        <v/>
      </c>
      <c r="AE71" s="7">
        <f>IF($AH71="","",AF71-AD71)</f>
        <v/>
      </c>
      <c r="AF71" s="7">
        <f>IF($AH71="","",Y71+AB71+V71)</f>
        <v/>
      </c>
      <c r="AG71" s="7">
        <f>IF($AH71="","",AF71-AD71-N71)</f>
        <v/>
      </c>
      <c r="AH71" s="13">
        <f>IF(ROWS($AH$2:$AH71)&lt;=MAX('Per Line'!$AL$2:$AL$1601),MATCH(ROWS($AH$2:$AH71),'Per Line'!$AL$2:$AL$1601,0),"")</f>
        <v/>
      </c>
    </row>
    <row r="72">
      <c r="A72" s="12" t="n"/>
      <c r="B72">
        <f>IF($AH72="","",INDEX('Per Line'!$D$2:$D$1601,$AH72)&amp;"")</f>
        <v/>
      </c>
      <c r="C72">
        <f>IF($AH72="","",INDEX('Per Line'!$A$2:$A$1601,$AH72)&amp;"")</f>
        <v/>
      </c>
      <c r="D72">
        <f>IF($AH72="","",INDEX('Per Line'!$B$2:$B$1601,$AH72))</f>
        <v/>
      </c>
      <c r="E72">
        <f>IF($AH72="","",INDEX('Per Line'!$C$2:$C$1601,$AH72)&amp;"")</f>
        <v/>
      </c>
      <c r="F72">
        <f>IF($AH72="","",INDEX('Per Line'!$E$2:$E$1601,$AH72)&amp;"")</f>
        <v/>
      </c>
      <c r="G72" s="11">
        <f>IF($AH72="","",INDEX('Per Line'!$F$2:$F$1601,$AH72))</f>
        <v/>
      </c>
      <c r="H72">
        <f>IF($AH72="","",INDEX('Per Line'!$G$2:$G$1601,$AH72)&amp;"")</f>
        <v/>
      </c>
      <c r="I72">
        <f>IF($AH72="","",INDEX('Per Line'!$I$2:$I$1601,$AH72)&amp;"")</f>
        <v/>
      </c>
      <c r="J72">
        <f>IF($AH72="","",INDEX('Per Line'!$J$2:$J$1601,$AH72)&amp;"")</f>
        <v/>
      </c>
      <c r="K72">
        <f>IF($AH72="","",INDEX('Per Line'!$K$2:$K$1601,$AH72)&amp;"")</f>
        <v/>
      </c>
      <c r="L72">
        <f>IF($AH72="","",INDEX('Per Line'!$L$2:$L$1601,$AH72)&amp;"")</f>
        <v/>
      </c>
      <c r="M72">
        <f>IF($AH72="","",INDEX('Per Line'!$M$2:$M$1601,$AH72))</f>
        <v/>
      </c>
      <c r="N72" s="7">
        <f>IF($AH72="","",M72*AE72/100)</f>
        <v/>
      </c>
      <c r="O72">
        <f>IF($AH72="","",INDEX('Per Line'!$Z$2:$Z$1601,$AH72)&amp;"")</f>
        <v/>
      </c>
      <c r="P72">
        <f>IF($AH72="","",INDEX('Per Line'!$AC$2:$AC$1601,$AH72)&amp;"")</f>
        <v/>
      </c>
      <c r="Q72">
        <f>IF($AH72="","",INDEX('Per Line'!$AD$2:$AD$1601,$AH72))</f>
        <v/>
      </c>
      <c r="R72">
        <f>IF($AH72="","",IF(AND(ISNUMBER(Q72),Q72&gt;0),AF72&gt;Q72,FALSE))</f>
        <v/>
      </c>
      <c r="S72">
        <f>IF($AH72="","",INDEX('Per Line'!$AH$2:$AH$1601,$AH72)&amp;"")</f>
        <v/>
      </c>
      <c r="T72" s="11">
        <f>IF($AH72="","",INDEX('Per Line'!$AI$2:$AI$1601,$AH72))</f>
        <v/>
      </c>
      <c r="U72">
        <f>IF($AH72="","",Settings!$C$8)</f>
        <v/>
      </c>
      <c r="V72" s="7">
        <f>IF($AH72="","",SUMIFS('Per Line'!$V$2:$V$1601,'Per Line'!$D$2:$D$1601,$B72,'Per Line'!$AN$2:$AN$1601,1))</f>
        <v/>
      </c>
      <c r="W72" s="7">
        <f>IF($AH72="","",V72*U72)</f>
        <v/>
      </c>
      <c r="X72">
        <f>IF($AH72="","",Settings!$C$7)</f>
        <v/>
      </c>
      <c r="Y72" s="7">
        <f>IF($AH72="","",SUMIFS('Per Line'!$V$2:$V$1601,'Per Line'!$D$2:$D$1601,$B72,'Per Line'!$AM$2:$AM$1601,0,'Per Line'!$AN$2:$AN$1601,0))</f>
        <v/>
      </c>
      <c r="Z72" s="7">
        <f>IF($AH72="","",Y72*X72)</f>
        <v/>
      </c>
      <c r="AA72">
        <f>IF($AH72="","",Settings!$C$6)</f>
        <v/>
      </c>
      <c r="AB72" s="7">
        <f>IF($AH72="","",SUMIFS('Per Line'!$V$2:$V$1601,'Per Line'!$D$2:$D$1601,$B72,'Per Line'!$AM$2:$AM$1601,1,'Per Line'!$AN$2:$AN$1601,0))</f>
        <v/>
      </c>
      <c r="AC72" s="7">
        <f>IF($AH72="","",AB72*AA72)</f>
        <v/>
      </c>
      <c r="AD72" s="7">
        <f>IF($AH72="","",AC72+Z72+W72)</f>
        <v/>
      </c>
      <c r="AE72" s="7">
        <f>IF($AH72="","",AF72-AD72)</f>
        <v/>
      </c>
      <c r="AF72" s="7">
        <f>IF($AH72="","",Y72+AB72+V72)</f>
        <v/>
      </c>
      <c r="AG72" s="7">
        <f>IF($AH72="","",AF72-AD72-N72)</f>
        <v/>
      </c>
      <c r="AH72" s="13">
        <f>IF(ROWS($AH$2:$AH72)&lt;=MAX('Per Line'!$AL$2:$AL$1601),MATCH(ROWS($AH$2:$AH72),'Per Line'!$AL$2:$AL$1601,0),"")</f>
        <v/>
      </c>
    </row>
    <row r="73">
      <c r="A73" s="12" t="n"/>
      <c r="B73">
        <f>IF($AH73="","",INDEX('Per Line'!$D$2:$D$1601,$AH73)&amp;"")</f>
        <v/>
      </c>
      <c r="C73">
        <f>IF($AH73="","",INDEX('Per Line'!$A$2:$A$1601,$AH73)&amp;"")</f>
        <v/>
      </c>
      <c r="D73">
        <f>IF($AH73="","",INDEX('Per Line'!$B$2:$B$1601,$AH73))</f>
        <v/>
      </c>
      <c r="E73">
        <f>IF($AH73="","",INDEX('Per Line'!$C$2:$C$1601,$AH73)&amp;"")</f>
        <v/>
      </c>
      <c r="F73">
        <f>IF($AH73="","",INDEX('Per Line'!$E$2:$E$1601,$AH73)&amp;"")</f>
        <v/>
      </c>
      <c r="G73" s="11">
        <f>IF($AH73="","",INDEX('Per Line'!$F$2:$F$1601,$AH73))</f>
        <v/>
      </c>
      <c r="H73">
        <f>IF($AH73="","",INDEX('Per Line'!$G$2:$G$1601,$AH73)&amp;"")</f>
        <v/>
      </c>
      <c r="I73">
        <f>IF($AH73="","",INDEX('Per Line'!$I$2:$I$1601,$AH73)&amp;"")</f>
        <v/>
      </c>
      <c r="J73">
        <f>IF($AH73="","",INDEX('Per Line'!$J$2:$J$1601,$AH73)&amp;"")</f>
        <v/>
      </c>
      <c r="K73">
        <f>IF($AH73="","",INDEX('Per Line'!$K$2:$K$1601,$AH73)&amp;"")</f>
        <v/>
      </c>
      <c r="L73">
        <f>IF($AH73="","",INDEX('Per Line'!$L$2:$L$1601,$AH73)&amp;"")</f>
        <v/>
      </c>
      <c r="M73">
        <f>IF($AH73="","",INDEX('Per Line'!$M$2:$M$1601,$AH73))</f>
        <v/>
      </c>
      <c r="N73" s="7">
        <f>IF($AH73="","",M73*AE73/100)</f>
        <v/>
      </c>
      <c r="O73">
        <f>IF($AH73="","",INDEX('Per Line'!$Z$2:$Z$1601,$AH73)&amp;"")</f>
        <v/>
      </c>
      <c r="P73">
        <f>IF($AH73="","",INDEX('Per Line'!$AC$2:$AC$1601,$AH73)&amp;"")</f>
        <v/>
      </c>
      <c r="Q73">
        <f>IF($AH73="","",INDEX('Per Line'!$AD$2:$AD$1601,$AH73))</f>
        <v/>
      </c>
      <c r="R73">
        <f>IF($AH73="","",IF(AND(ISNUMBER(Q73),Q73&gt;0),AF73&gt;Q73,FALSE))</f>
        <v/>
      </c>
      <c r="S73">
        <f>IF($AH73="","",INDEX('Per Line'!$AH$2:$AH$1601,$AH73)&amp;"")</f>
        <v/>
      </c>
      <c r="T73" s="11">
        <f>IF($AH73="","",INDEX('Per Line'!$AI$2:$AI$1601,$AH73))</f>
        <v/>
      </c>
      <c r="U73">
        <f>IF($AH73="","",Settings!$C$8)</f>
        <v/>
      </c>
      <c r="V73" s="7">
        <f>IF($AH73="","",SUMIFS('Per Line'!$V$2:$V$1601,'Per Line'!$D$2:$D$1601,$B73,'Per Line'!$AN$2:$AN$1601,1))</f>
        <v/>
      </c>
      <c r="W73" s="7">
        <f>IF($AH73="","",V73*U73)</f>
        <v/>
      </c>
      <c r="X73">
        <f>IF($AH73="","",Settings!$C$7)</f>
        <v/>
      </c>
      <c r="Y73" s="7">
        <f>IF($AH73="","",SUMIFS('Per Line'!$V$2:$V$1601,'Per Line'!$D$2:$D$1601,$B73,'Per Line'!$AM$2:$AM$1601,0,'Per Line'!$AN$2:$AN$1601,0))</f>
        <v/>
      </c>
      <c r="Z73" s="7">
        <f>IF($AH73="","",Y73*X73)</f>
        <v/>
      </c>
      <c r="AA73">
        <f>IF($AH73="","",Settings!$C$6)</f>
        <v/>
      </c>
      <c r="AB73" s="7">
        <f>IF($AH73="","",SUMIFS('Per Line'!$V$2:$V$1601,'Per Line'!$D$2:$D$1601,$B73,'Per Line'!$AM$2:$AM$1601,1,'Per Line'!$AN$2:$AN$1601,0))</f>
        <v/>
      </c>
      <c r="AC73" s="7">
        <f>IF($AH73="","",AB73*AA73)</f>
        <v/>
      </c>
      <c r="AD73" s="7">
        <f>IF($AH73="","",AC73+Z73+W73)</f>
        <v/>
      </c>
      <c r="AE73" s="7">
        <f>IF($AH73="","",AF73-AD73)</f>
        <v/>
      </c>
      <c r="AF73" s="7">
        <f>IF($AH73="","",Y73+AB73+V73)</f>
        <v/>
      </c>
      <c r="AG73" s="7">
        <f>IF($AH73="","",AF73-AD73-N73)</f>
        <v/>
      </c>
      <c r="AH73" s="13">
        <f>IF(ROWS($AH$2:$AH73)&lt;=MAX('Per Line'!$AL$2:$AL$1601),MATCH(ROWS($AH$2:$AH73),'Per Line'!$AL$2:$AL$1601,0),"")</f>
        <v/>
      </c>
    </row>
    <row r="74">
      <c r="A74" s="12" t="n"/>
      <c r="B74">
        <f>IF($AH74="","",INDEX('Per Line'!$D$2:$D$1601,$AH74)&amp;"")</f>
        <v/>
      </c>
      <c r="C74">
        <f>IF($AH74="","",INDEX('Per Line'!$A$2:$A$1601,$AH74)&amp;"")</f>
        <v/>
      </c>
      <c r="D74">
        <f>IF($AH74="","",INDEX('Per Line'!$B$2:$B$1601,$AH74))</f>
        <v/>
      </c>
      <c r="E74">
        <f>IF($AH74="","",INDEX('Per Line'!$C$2:$C$1601,$AH74)&amp;"")</f>
        <v/>
      </c>
      <c r="F74">
        <f>IF($AH74="","",INDEX('Per Line'!$E$2:$E$1601,$AH74)&amp;"")</f>
        <v/>
      </c>
      <c r="G74" s="11">
        <f>IF($AH74="","",INDEX('Per Line'!$F$2:$F$1601,$AH74))</f>
        <v/>
      </c>
      <c r="H74">
        <f>IF($AH74="","",INDEX('Per Line'!$G$2:$G$1601,$AH74)&amp;"")</f>
        <v/>
      </c>
      <c r="I74">
        <f>IF($AH74="","",INDEX('Per Line'!$I$2:$I$1601,$AH74)&amp;"")</f>
        <v/>
      </c>
      <c r="J74">
        <f>IF($AH74="","",INDEX('Per Line'!$J$2:$J$1601,$AH74)&amp;"")</f>
        <v/>
      </c>
      <c r="K74">
        <f>IF($AH74="","",INDEX('Per Line'!$K$2:$K$1601,$AH74)&amp;"")</f>
        <v/>
      </c>
      <c r="L74">
        <f>IF($AH74="","",INDEX('Per Line'!$L$2:$L$1601,$AH74)&amp;"")</f>
        <v/>
      </c>
      <c r="M74">
        <f>IF($AH74="","",INDEX('Per Line'!$M$2:$M$1601,$AH74))</f>
        <v/>
      </c>
      <c r="N74" s="7">
        <f>IF($AH74="","",M74*AE74/100)</f>
        <v/>
      </c>
      <c r="O74">
        <f>IF($AH74="","",INDEX('Per Line'!$Z$2:$Z$1601,$AH74)&amp;"")</f>
        <v/>
      </c>
      <c r="P74">
        <f>IF($AH74="","",INDEX('Per Line'!$AC$2:$AC$1601,$AH74)&amp;"")</f>
        <v/>
      </c>
      <c r="Q74">
        <f>IF($AH74="","",INDEX('Per Line'!$AD$2:$AD$1601,$AH74))</f>
        <v/>
      </c>
      <c r="R74">
        <f>IF($AH74="","",IF(AND(ISNUMBER(Q74),Q74&gt;0),AF74&gt;Q74,FALSE))</f>
        <v/>
      </c>
      <c r="S74">
        <f>IF($AH74="","",INDEX('Per Line'!$AH$2:$AH$1601,$AH74)&amp;"")</f>
        <v/>
      </c>
      <c r="T74" s="11">
        <f>IF($AH74="","",INDEX('Per Line'!$AI$2:$AI$1601,$AH74))</f>
        <v/>
      </c>
      <c r="U74">
        <f>IF($AH74="","",Settings!$C$8)</f>
        <v/>
      </c>
      <c r="V74" s="7">
        <f>IF($AH74="","",SUMIFS('Per Line'!$V$2:$V$1601,'Per Line'!$D$2:$D$1601,$B74,'Per Line'!$AN$2:$AN$1601,1))</f>
        <v/>
      </c>
      <c r="W74" s="7">
        <f>IF($AH74="","",V74*U74)</f>
        <v/>
      </c>
      <c r="X74">
        <f>IF($AH74="","",Settings!$C$7)</f>
        <v/>
      </c>
      <c r="Y74" s="7">
        <f>IF($AH74="","",SUMIFS('Per Line'!$V$2:$V$1601,'Per Line'!$D$2:$D$1601,$B74,'Per Line'!$AM$2:$AM$1601,0,'Per Line'!$AN$2:$AN$1601,0))</f>
        <v/>
      </c>
      <c r="Z74" s="7">
        <f>IF($AH74="","",Y74*X74)</f>
        <v/>
      </c>
      <c r="AA74">
        <f>IF($AH74="","",Settings!$C$6)</f>
        <v/>
      </c>
      <c r="AB74" s="7">
        <f>IF($AH74="","",SUMIFS('Per Line'!$V$2:$V$1601,'Per Line'!$D$2:$D$1601,$B74,'Per Line'!$AM$2:$AM$1601,1,'Per Line'!$AN$2:$AN$1601,0))</f>
        <v/>
      </c>
      <c r="AC74" s="7">
        <f>IF($AH74="","",AB74*AA74)</f>
        <v/>
      </c>
      <c r="AD74" s="7">
        <f>IF($AH74="","",AC74+Z74+W74)</f>
        <v/>
      </c>
      <c r="AE74" s="7">
        <f>IF($AH74="","",AF74-AD74)</f>
        <v/>
      </c>
      <c r="AF74" s="7">
        <f>IF($AH74="","",Y74+AB74+V74)</f>
        <v/>
      </c>
      <c r="AG74" s="7">
        <f>IF($AH74="","",AF74-AD74-N74)</f>
        <v/>
      </c>
      <c r="AH74" s="13">
        <f>IF(ROWS($AH$2:$AH74)&lt;=MAX('Per Line'!$AL$2:$AL$1601),MATCH(ROWS($AH$2:$AH74),'Per Line'!$AL$2:$AL$1601,0),"")</f>
        <v/>
      </c>
    </row>
    <row r="75">
      <c r="A75" s="12" t="n"/>
      <c r="B75">
        <f>IF($AH75="","",INDEX('Per Line'!$D$2:$D$1601,$AH75)&amp;"")</f>
        <v/>
      </c>
      <c r="C75">
        <f>IF($AH75="","",INDEX('Per Line'!$A$2:$A$1601,$AH75)&amp;"")</f>
        <v/>
      </c>
      <c r="D75">
        <f>IF($AH75="","",INDEX('Per Line'!$B$2:$B$1601,$AH75))</f>
        <v/>
      </c>
      <c r="E75">
        <f>IF($AH75="","",INDEX('Per Line'!$C$2:$C$1601,$AH75)&amp;"")</f>
        <v/>
      </c>
      <c r="F75">
        <f>IF($AH75="","",INDEX('Per Line'!$E$2:$E$1601,$AH75)&amp;"")</f>
        <v/>
      </c>
      <c r="G75" s="11">
        <f>IF($AH75="","",INDEX('Per Line'!$F$2:$F$1601,$AH75))</f>
        <v/>
      </c>
      <c r="H75">
        <f>IF($AH75="","",INDEX('Per Line'!$G$2:$G$1601,$AH75)&amp;"")</f>
        <v/>
      </c>
      <c r="I75">
        <f>IF($AH75="","",INDEX('Per Line'!$I$2:$I$1601,$AH75)&amp;"")</f>
        <v/>
      </c>
      <c r="J75">
        <f>IF($AH75="","",INDEX('Per Line'!$J$2:$J$1601,$AH75)&amp;"")</f>
        <v/>
      </c>
      <c r="K75">
        <f>IF($AH75="","",INDEX('Per Line'!$K$2:$K$1601,$AH75)&amp;"")</f>
        <v/>
      </c>
      <c r="L75">
        <f>IF($AH75="","",INDEX('Per Line'!$L$2:$L$1601,$AH75)&amp;"")</f>
        <v/>
      </c>
      <c r="M75">
        <f>IF($AH75="","",INDEX('Per Line'!$M$2:$M$1601,$AH75))</f>
        <v/>
      </c>
      <c r="N75" s="7">
        <f>IF($AH75="","",M75*AE75/100)</f>
        <v/>
      </c>
      <c r="O75">
        <f>IF($AH75="","",INDEX('Per Line'!$Z$2:$Z$1601,$AH75)&amp;"")</f>
        <v/>
      </c>
      <c r="P75">
        <f>IF($AH75="","",INDEX('Per Line'!$AC$2:$AC$1601,$AH75)&amp;"")</f>
        <v/>
      </c>
      <c r="Q75">
        <f>IF($AH75="","",INDEX('Per Line'!$AD$2:$AD$1601,$AH75))</f>
        <v/>
      </c>
      <c r="R75">
        <f>IF($AH75="","",IF(AND(ISNUMBER(Q75),Q75&gt;0),AF75&gt;Q75,FALSE))</f>
        <v/>
      </c>
      <c r="S75">
        <f>IF($AH75="","",INDEX('Per Line'!$AH$2:$AH$1601,$AH75)&amp;"")</f>
        <v/>
      </c>
      <c r="T75" s="11">
        <f>IF($AH75="","",INDEX('Per Line'!$AI$2:$AI$1601,$AH75))</f>
        <v/>
      </c>
      <c r="U75">
        <f>IF($AH75="","",Settings!$C$8)</f>
        <v/>
      </c>
      <c r="V75" s="7">
        <f>IF($AH75="","",SUMIFS('Per Line'!$V$2:$V$1601,'Per Line'!$D$2:$D$1601,$B75,'Per Line'!$AN$2:$AN$1601,1))</f>
        <v/>
      </c>
      <c r="W75" s="7">
        <f>IF($AH75="","",V75*U75)</f>
        <v/>
      </c>
      <c r="X75">
        <f>IF($AH75="","",Settings!$C$7)</f>
        <v/>
      </c>
      <c r="Y75" s="7">
        <f>IF($AH75="","",SUMIFS('Per Line'!$V$2:$V$1601,'Per Line'!$D$2:$D$1601,$B75,'Per Line'!$AM$2:$AM$1601,0,'Per Line'!$AN$2:$AN$1601,0))</f>
        <v/>
      </c>
      <c r="Z75" s="7">
        <f>IF($AH75="","",Y75*X75)</f>
        <v/>
      </c>
      <c r="AA75">
        <f>IF($AH75="","",Settings!$C$6)</f>
        <v/>
      </c>
      <c r="AB75" s="7">
        <f>IF($AH75="","",SUMIFS('Per Line'!$V$2:$V$1601,'Per Line'!$D$2:$D$1601,$B75,'Per Line'!$AM$2:$AM$1601,1,'Per Line'!$AN$2:$AN$1601,0))</f>
        <v/>
      </c>
      <c r="AC75" s="7">
        <f>IF($AH75="","",AB75*AA75)</f>
        <v/>
      </c>
      <c r="AD75" s="7">
        <f>IF($AH75="","",AC75+Z75+W75)</f>
        <v/>
      </c>
      <c r="AE75" s="7">
        <f>IF($AH75="","",AF75-AD75)</f>
        <v/>
      </c>
      <c r="AF75" s="7">
        <f>IF($AH75="","",Y75+AB75+V75)</f>
        <v/>
      </c>
      <c r="AG75" s="7">
        <f>IF($AH75="","",AF75-AD75-N75)</f>
        <v/>
      </c>
      <c r="AH75" s="13">
        <f>IF(ROWS($AH$2:$AH75)&lt;=MAX('Per Line'!$AL$2:$AL$1601),MATCH(ROWS($AH$2:$AH75),'Per Line'!$AL$2:$AL$1601,0),"")</f>
        <v/>
      </c>
    </row>
    <row r="76">
      <c r="A76" s="12" t="n"/>
      <c r="B76">
        <f>IF($AH76="","",INDEX('Per Line'!$D$2:$D$1601,$AH76)&amp;"")</f>
        <v/>
      </c>
      <c r="C76">
        <f>IF($AH76="","",INDEX('Per Line'!$A$2:$A$1601,$AH76)&amp;"")</f>
        <v/>
      </c>
      <c r="D76">
        <f>IF($AH76="","",INDEX('Per Line'!$B$2:$B$1601,$AH76))</f>
        <v/>
      </c>
      <c r="E76">
        <f>IF($AH76="","",INDEX('Per Line'!$C$2:$C$1601,$AH76)&amp;"")</f>
        <v/>
      </c>
      <c r="F76">
        <f>IF($AH76="","",INDEX('Per Line'!$E$2:$E$1601,$AH76)&amp;"")</f>
        <v/>
      </c>
      <c r="G76" s="11">
        <f>IF($AH76="","",INDEX('Per Line'!$F$2:$F$1601,$AH76))</f>
        <v/>
      </c>
      <c r="H76">
        <f>IF($AH76="","",INDEX('Per Line'!$G$2:$G$1601,$AH76)&amp;"")</f>
        <v/>
      </c>
      <c r="I76">
        <f>IF($AH76="","",INDEX('Per Line'!$I$2:$I$1601,$AH76)&amp;"")</f>
        <v/>
      </c>
      <c r="J76">
        <f>IF($AH76="","",INDEX('Per Line'!$J$2:$J$1601,$AH76)&amp;"")</f>
        <v/>
      </c>
      <c r="K76">
        <f>IF($AH76="","",INDEX('Per Line'!$K$2:$K$1601,$AH76)&amp;"")</f>
        <v/>
      </c>
      <c r="L76">
        <f>IF($AH76="","",INDEX('Per Line'!$L$2:$L$1601,$AH76)&amp;"")</f>
        <v/>
      </c>
      <c r="M76">
        <f>IF($AH76="","",INDEX('Per Line'!$M$2:$M$1601,$AH76))</f>
        <v/>
      </c>
      <c r="N76" s="7">
        <f>IF($AH76="","",M76*AE76/100)</f>
        <v/>
      </c>
      <c r="O76">
        <f>IF($AH76="","",INDEX('Per Line'!$Z$2:$Z$1601,$AH76)&amp;"")</f>
        <v/>
      </c>
      <c r="P76">
        <f>IF($AH76="","",INDEX('Per Line'!$AC$2:$AC$1601,$AH76)&amp;"")</f>
        <v/>
      </c>
      <c r="Q76">
        <f>IF($AH76="","",INDEX('Per Line'!$AD$2:$AD$1601,$AH76))</f>
        <v/>
      </c>
      <c r="R76">
        <f>IF($AH76="","",IF(AND(ISNUMBER(Q76),Q76&gt;0),AF76&gt;Q76,FALSE))</f>
        <v/>
      </c>
      <c r="S76">
        <f>IF($AH76="","",INDEX('Per Line'!$AH$2:$AH$1601,$AH76)&amp;"")</f>
        <v/>
      </c>
      <c r="T76" s="11">
        <f>IF($AH76="","",INDEX('Per Line'!$AI$2:$AI$1601,$AH76))</f>
        <v/>
      </c>
      <c r="U76">
        <f>IF($AH76="","",Settings!$C$8)</f>
        <v/>
      </c>
      <c r="V76" s="7">
        <f>IF($AH76="","",SUMIFS('Per Line'!$V$2:$V$1601,'Per Line'!$D$2:$D$1601,$B76,'Per Line'!$AN$2:$AN$1601,1))</f>
        <v/>
      </c>
      <c r="W76" s="7">
        <f>IF($AH76="","",V76*U76)</f>
        <v/>
      </c>
      <c r="X76">
        <f>IF($AH76="","",Settings!$C$7)</f>
        <v/>
      </c>
      <c r="Y76" s="7">
        <f>IF($AH76="","",SUMIFS('Per Line'!$V$2:$V$1601,'Per Line'!$D$2:$D$1601,$B76,'Per Line'!$AM$2:$AM$1601,0,'Per Line'!$AN$2:$AN$1601,0))</f>
        <v/>
      </c>
      <c r="Z76" s="7">
        <f>IF($AH76="","",Y76*X76)</f>
        <v/>
      </c>
      <c r="AA76">
        <f>IF($AH76="","",Settings!$C$6)</f>
        <v/>
      </c>
      <c r="AB76" s="7">
        <f>IF($AH76="","",SUMIFS('Per Line'!$V$2:$V$1601,'Per Line'!$D$2:$D$1601,$B76,'Per Line'!$AM$2:$AM$1601,1,'Per Line'!$AN$2:$AN$1601,0))</f>
        <v/>
      </c>
      <c r="AC76" s="7">
        <f>IF($AH76="","",AB76*AA76)</f>
        <v/>
      </c>
      <c r="AD76" s="7">
        <f>IF($AH76="","",AC76+Z76+W76)</f>
        <v/>
      </c>
      <c r="AE76" s="7">
        <f>IF($AH76="","",AF76-AD76)</f>
        <v/>
      </c>
      <c r="AF76" s="7">
        <f>IF($AH76="","",Y76+AB76+V76)</f>
        <v/>
      </c>
      <c r="AG76" s="7">
        <f>IF($AH76="","",AF76-AD76-N76)</f>
        <v/>
      </c>
      <c r="AH76" s="13">
        <f>IF(ROWS($AH$2:$AH76)&lt;=MAX('Per Line'!$AL$2:$AL$1601),MATCH(ROWS($AH$2:$AH76),'Per Line'!$AL$2:$AL$1601,0),"")</f>
        <v/>
      </c>
    </row>
    <row r="77">
      <c r="A77" s="12" t="n"/>
      <c r="B77">
        <f>IF($AH77="","",INDEX('Per Line'!$D$2:$D$1601,$AH77)&amp;"")</f>
        <v/>
      </c>
      <c r="C77">
        <f>IF($AH77="","",INDEX('Per Line'!$A$2:$A$1601,$AH77)&amp;"")</f>
        <v/>
      </c>
      <c r="D77">
        <f>IF($AH77="","",INDEX('Per Line'!$B$2:$B$1601,$AH77))</f>
        <v/>
      </c>
      <c r="E77">
        <f>IF($AH77="","",INDEX('Per Line'!$C$2:$C$1601,$AH77)&amp;"")</f>
        <v/>
      </c>
      <c r="F77">
        <f>IF($AH77="","",INDEX('Per Line'!$E$2:$E$1601,$AH77)&amp;"")</f>
        <v/>
      </c>
      <c r="G77" s="11">
        <f>IF($AH77="","",INDEX('Per Line'!$F$2:$F$1601,$AH77))</f>
        <v/>
      </c>
      <c r="H77">
        <f>IF($AH77="","",INDEX('Per Line'!$G$2:$G$1601,$AH77)&amp;"")</f>
        <v/>
      </c>
      <c r="I77">
        <f>IF($AH77="","",INDEX('Per Line'!$I$2:$I$1601,$AH77)&amp;"")</f>
        <v/>
      </c>
      <c r="J77">
        <f>IF($AH77="","",INDEX('Per Line'!$J$2:$J$1601,$AH77)&amp;"")</f>
        <v/>
      </c>
      <c r="K77">
        <f>IF($AH77="","",INDEX('Per Line'!$K$2:$K$1601,$AH77)&amp;"")</f>
        <v/>
      </c>
      <c r="L77">
        <f>IF($AH77="","",INDEX('Per Line'!$L$2:$L$1601,$AH77)&amp;"")</f>
        <v/>
      </c>
      <c r="M77">
        <f>IF($AH77="","",INDEX('Per Line'!$M$2:$M$1601,$AH77))</f>
        <v/>
      </c>
      <c r="N77" s="7">
        <f>IF($AH77="","",M77*AE77/100)</f>
        <v/>
      </c>
      <c r="O77">
        <f>IF($AH77="","",INDEX('Per Line'!$Z$2:$Z$1601,$AH77)&amp;"")</f>
        <v/>
      </c>
      <c r="P77">
        <f>IF($AH77="","",INDEX('Per Line'!$AC$2:$AC$1601,$AH77)&amp;"")</f>
        <v/>
      </c>
      <c r="Q77">
        <f>IF($AH77="","",INDEX('Per Line'!$AD$2:$AD$1601,$AH77))</f>
        <v/>
      </c>
      <c r="R77">
        <f>IF($AH77="","",IF(AND(ISNUMBER(Q77),Q77&gt;0),AF77&gt;Q77,FALSE))</f>
        <v/>
      </c>
      <c r="S77">
        <f>IF($AH77="","",INDEX('Per Line'!$AH$2:$AH$1601,$AH77)&amp;"")</f>
        <v/>
      </c>
      <c r="T77" s="11">
        <f>IF($AH77="","",INDEX('Per Line'!$AI$2:$AI$1601,$AH77))</f>
        <v/>
      </c>
      <c r="U77">
        <f>IF($AH77="","",Settings!$C$8)</f>
        <v/>
      </c>
      <c r="V77" s="7">
        <f>IF($AH77="","",SUMIFS('Per Line'!$V$2:$V$1601,'Per Line'!$D$2:$D$1601,$B77,'Per Line'!$AN$2:$AN$1601,1))</f>
        <v/>
      </c>
      <c r="W77" s="7">
        <f>IF($AH77="","",V77*U77)</f>
        <v/>
      </c>
      <c r="X77">
        <f>IF($AH77="","",Settings!$C$7)</f>
        <v/>
      </c>
      <c r="Y77" s="7">
        <f>IF($AH77="","",SUMIFS('Per Line'!$V$2:$V$1601,'Per Line'!$D$2:$D$1601,$B77,'Per Line'!$AM$2:$AM$1601,0,'Per Line'!$AN$2:$AN$1601,0))</f>
        <v/>
      </c>
      <c r="Z77" s="7">
        <f>IF($AH77="","",Y77*X77)</f>
        <v/>
      </c>
      <c r="AA77">
        <f>IF($AH77="","",Settings!$C$6)</f>
        <v/>
      </c>
      <c r="AB77" s="7">
        <f>IF($AH77="","",SUMIFS('Per Line'!$V$2:$V$1601,'Per Line'!$D$2:$D$1601,$B77,'Per Line'!$AM$2:$AM$1601,1,'Per Line'!$AN$2:$AN$1601,0))</f>
        <v/>
      </c>
      <c r="AC77" s="7">
        <f>IF($AH77="","",AB77*AA77)</f>
        <v/>
      </c>
      <c r="AD77" s="7">
        <f>IF($AH77="","",AC77+Z77+W77)</f>
        <v/>
      </c>
      <c r="AE77" s="7">
        <f>IF($AH77="","",AF77-AD77)</f>
        <v/>
      </c>
      <c r="AF77" s="7">
        <f>IF($AH77="","",Y77+AB77+V77)</f>
        <v/>
      </c>
      <c r="AG77" s="7">
        <f>IF($AH77="","",AF77-AD77-N77)</f>
        <v/>
      </c>
      <c r="AH77" s="13">
        <f>IF(ROWS($AH$2:$AH77)&lt;=MAX('Per Line'!$AL$2:$AL$1601),MATCH(ROWS($AH$2:$AH77),'Per Line'!$AL$2:$AL$1601,0),"")</f>
        <v/>
      </c>
    </row>
    <row r="78">
      <c r="A78" s="12" t="n"/>
      <c r="B78">
        <f>IF($AH78="","",INDEX('Per Line'!$D$2:$D$1601,$AH78)&amp;"")</f>
        <v/>
      </c>
      <c r="C78">
        <f>IF($AH78="","",INDEX('Per Line'!$A$2:$A$1601,$AH78)&amp;"")</f>
        <v/>
      </c>
      <c r="D78">
        <f>IF($AH78="","",INDEX('Per Line'!$B$2:$B$1601,$AH78))</f>
        <v/>
      </c>
      <c r="E78">
        <f>IF($AH78="","",INDEX('Per Line'!$C$2:$C$1601,$AH78)&amp;"")</f>
        <v/>
      </c>
      <c r="F78">
        <f>IF($AH78="","",INDEX('Per Line'!$E$2:$E$1601,$AH78)&amp;"")</f>
        <v/>
      </c>
      <c r="G78" s="11">
        <f>IF($AH78="","",INDEX('Per Line'!$F$2:$F$1601,$AH78))</f>
        <v/>
      </c>
      <c r="H78">
        <f>IF($AH78="","",INDEX('Per Line'!$G$2:$G$1601,$AH78)&amp;"")</f>
        <v/>
      </c>
      <c r="I78">
        <f>IF($AH78="","",INDEX('Per Line'!$I$2:$I$1601,$AH78)&amp;"")</f>
        <v/>
      </c>
      <c r="J78">
        <f>IF($AH78="","",INDEX('Per Line'!$J$2:$J$1601,$AH78)&amp;"")</f>
        <v/>
      </c>
      <c r="K78">
        <f>IF($AH78="","",INDEX('Per Line'!$K$2:$K$1601,$AH78)&amp;"")</f>
        <v/>
      </c>
      <c r="L78">
        <f>IF($AH78="","",INDEX('Per Line'!$L$2:$L$1601,$AH78)&amp;"")</f>
        <v/>
      </c>
      <c r="M78">
        <f>IF($AH78="","",INDEX('Per Line'!$M$2:$M$1601,$AH78))</f>
        <v/>
      </c>
      <c r="N78" s="7">
        <f>IF($AH78="","",M78*AE78/100)</f>
        <v/>
      </c>
      <c r="O78">
        <f>IF($AH78="","",INDEX('Per Line'!$Z$2:$Z$1601,$AH78)&amp;"")</f>
        <v/>
      </c>
      <c r="P78">
        <f>IF($AH78="","",INDEX('Per Line'!$AC$2:$AC$1601,$AH78)&amp;"")</f>
        <v/>
      </c>
      <c r="Q78">
        <f>IF($AH78="","",INDEX('Per Line'!$AD$2:$AD$1601,$AH78))</f>
        <v/>
      </c>
      <c r="R78">
        <f>IF($AH78="","",IF(AND(ISNUMBER(Q78),Q78&gt;0),AF78&gt;Q78,FALSE))</f>
        <v/>
      </c>
      <c r="S78">
        <f>IF($AH78="","",INDEX('Per Line'!$AH$2:$AH$1601,$AH78)&amp;"")</f>
        <v/>
      </c>
      <c r="T78" s="11">
        <f>IF($AH78="","",INDEX('Per Line'!$AI$2:$AI$1601,$AH78))</f>
        <v/>
      </c>
      <c r="U78">
        <f>IF($AH78="","",Settings!$C$8)</f>
        <v/>
      </c>
      <c r="V78" s="7">
        <f>IF($AH78="","",SUMIFS('Per Line'!$V$2:$V$1601,'Per Line'!$D$2:$D$1601,$B78,'Per Line'!$AN$2:$AN$1601,1))</f>
        <v/>
      </c>
      <c r="W78" s="7">
        <f>IF($AH78="","",V78*U78)</f>
        <v/>
      </c>
      <c r="X78">
        <f>IF($AH78="","",Settings!$C$7)</f>
        <v/>
      </c>
      <c r="Y78" s="7">
        <f>IF($AH78="","",SUMIFS('Per Line'!$V$2:$V$1601,'Per Line'!$D$2:$D$1601,$B78,'Per Line'!$AM$2:$AM$1601,0,'Per Line'!$AN$2:$AN$1601,0))</f>
        <v/>
      </c>
      <c r="Z78" s="7">
        <f>IF($AH78="","",Y78*X78)</f>
        <v/>
      </c>
      <c r="AA78">
        <f>IF($AH78="","",Settings!$C$6)</f>
        <v/>
      </c>
      <c r="AB78" s="7">
        <f>IF($AH78="","",SUMIFS('Per Line'!$V$2:$V$1601,'Per Line'!$D$2:$D$1601,$B78,'Per Line'!$AM$2:$AM$1601,1,'Per Line'!$AN$2:$AN$1601,0))</f>
        <v/>
      </c>
      <c r="AC78" s="7">
        <f>IF($AH78="","",AB78*AA78)</f>
        <v/>
      </c>
      <c r="AD78" s="7">
        <f>IF($AH78="","",AC78+Z78+W78)</f>
        <v/>
      </c>
      <c r="AE78" s="7">
        <f>IF($AH78="","",AF78-AD78)</f>
        <v/>
      </c>
      <c r="AF78" s="7">
        <f>IF($AH78="","",Y78+AB78+V78)</f>
        <v/>
      </c>
      <c r="AG78" s="7">
        <f>IF($AH78="","",AF78-AD78-N78)</f>
        <v/>
      </c>
      <c r="AH78" s="13">
        <f>IF(ROWS($AH$2:$AH78)&lt;=MAX('Per Line'!$AL$2:$AL$1601),MATCH(ROWS($AH$2:$AH78),'Per Line'!$AL$2:$AL$1601,0),"")</f>
        <v/>
      </c>
    </row>
    <row r="79">
      <c r="A79" s="12" t="n"/>
      <c r="B79">
        <f>IF($AH79="","",INDEX('Per Line'!$D$2:$D$1601,$AH79)&amp;"")</f>
        <v/>
      </c>
      <c r="C79">
        <f>IF($AH79="","",INDEX('Per Line'!$A$2:$A$1601,$AH79)&amp;"")</f>
        <v/>
      </c>
      <c r="D79">
        <f>IF($AH79="","",INDEX('Per Line'!$B$2:$B$1601,$AH79))</f>
        <v/>
      </c>
      <c r="E79">
        <f>IF($AH79="","",INDEX('Per Line'!$C$2:$C$1601,$AH79)&amp;"")</f>
        <v/>
      </c>
      <c r="F79">
        <f>IF($AH79="","",INDEX('Per Line'!$E$2:$E$1601,$AH79)&amp;"")</f>
        <v/>
      </c>
      <c r="G79" s="11">
        <f>IF($AH79="","",INDEX('Per Line'!$F$2:$F$1601,$AH79))</f>
        <v/>
      </c>
      <c r="H79">
        <f>IF($AH79="","",INDEX('Per Line'!$G$2:$G$1601,$AH79)&amp;"")</f>
        <v/>
      </c>
      <c r="I79">
        <f>IF($AH79="","",INDEX('Per Line'!$I$2:$I$1601,$AH79)&amp;"")</f>
        <v/>
      </c>
      <c r="J79">
        <f>IF($AH79="","",INDEX('Per Line'!$J$2:$J$1601,$AH79)&amp;"")</f>
        <v/>
      </c>
      <c r="K79">
        <f>IF($AH79="","",INDEX('Per Line'!$K$2:$K$1601,$AH79)&amp;"")</f>
        <v/>
      </c>
      <c r="L79">
        <f>IF($AH79="","",INDEX('Per Line'!$L$2:$L$1601,$AH79)&amp;"")</f>
        <v/>
      </c>
      <c r="M79">
        <f>IF($AH79="","",INDEX('Per Line'!$M$2:$M$1601,$AH79))</f>
        <v/>
      </c>
      <c r="N79" s="7">
        <f>IF($AH79="","",M79*AE79/100)</f>
        <v/>
      </c>
      <c r="O79">
        <f>IF($AH79="","",INDEX('Per Line'!$Z$2:$Z$1601,$AH79)&amp;"")</f>
        <v/>
      </c>
      <c r="P79">
        <f>IF($AH79="","",INDEX('Per Line'!$AC$2:$AC$1601,$AH79)&amp;"")</f>
        <v/>
      </c>
      <c r="Q79">
        <f>IF($AH79="","",INDEX('Per Line'!$AD$2:$AD$1601,$AH79))</f>
        <v/>
      </c>
      <c r="R79">
        <f>IF($AH79="","",IF(AND(ISNUMBER(Q79),Q79&gt;0),AF79&gt;Q79,FALSE))</f>
        <v/>
      </c>
      <c r="S79">
        <f>IF($AH79="","",INDEX('Per Line'!$AH$2:$AH$1601,$AH79)&amp;"")</f>
        <v/>
      </c>
      <c r="T79" s="11">
        <f>IF($AH79="","",INDEX('Per Line'!$AI$2:$AI$1601,$AH79))</f>
        <v/>
      </c>
      <c r="U79">
        <f>IF($AH79="","",Settings!$C$8)</f>
        <v/>
      </c>
      <c r="V79" s="7">
        <f>IF($AH79="","",SUMIFS('Per Line'!$V$2:$V$1601,'Per Line'!$D$2:$D$1601,$B79,'Per Line'!$AN$2:$AN$1601,1))</f>
        <v/>
      </c>
      <c r="W79" s="7">
        <f>IF($AH79="","",V79*U79)</f>
        <v/>
      </c>
      <c r="X79">
        <f>IF($AH79="","",Settings!$C$7)</f>
        <v/>
      </c>
      <c r="Y79" s="7">
        <f>IF($AH79="","",SUMIFS('Per Line'!$V$2:$V$1601,'Per Line'!$D$2:$D$1601,$B79,'Per Line'!$AM$2:$AM$1601,0,'Per Line'!$AN$2:$AN$1601,0))</f>
        <v/>
      </c>
      <c r="Z79" s="7">
        <f>IF($AH79="","",Y79*X79)</f>
        <v/>
      </c>
      <c r="AA79">
        <f>IF($AH79="","",Settings!$C$6)</f>
        <v/>
      </c>
      <c r="AB79" s="7">
        <f>IF($AH79="","",SUMIFS('Per Line'!$V$2:$V$1601,'Per Line'!$D$2:$D$1601,$B79,'Per Line'!$AM$2:$AM$1601,1,'Per Line'!$AN$2:$AN$1601,0))</f>
        <v/>
      </c>
      <c r="AC79" s="7">
        <f>IF($AH79="","",AB79*AA79)</f>
        <v/>
      </c>
      <c r="AD79" s="7">
        <f>IF($AH79="","",AC79+Z79+W79)</f>
        <v/>
      </c>
      <c r="AE79" s="7">
        <f>IF($AH79="","",AF79-AD79)</f>
        <v/>
      </c>
      <c r="AF79" s="7">
        <f>IF($AH79="","",Y79+AB79+V79)</f>
        <v/>
      </c>
      <c r="AG79" s="7">
        <f>IF($AH79="","",AF79-AD79-N79)</f>
        <v/>
      </c>
      <c r="AH79" s="13">
        <f>IF(ROWS($AH$2:$AH79)&lt;=MAX('Per Line'!$AL$2:$AL$1601),MATCH(ROWS($AH$2:$AH79),'Per Line'!$AL$2:$AL$1601,0),"")</f>
        <v/>
      </c>
    </row>
    <row r="80">
      <c r="A80" s="12" t="n"/>
      <c r="B80">
        <f>IF($AH80="","",INDEX('Per Line'!$D$2:$D$1601,$AH80)&amp;"")</f>
        <v/>
      </c>
      <c r="C80">
        <f>IF($AH80="","",INDEX('Per Line'!$A$2:$A$1601,$AH80)&amp;"")</f>
        <v/>
      </c>
      <c r="D80">
        <f>IF($AH80="","",INDEX('Per Line'!$B$2:$B$1601,$AH80))</f>
        <v/>
      </c>
      <c r="E80">
        <f>IF($AH80="","",INDEX('Per Line'!$C$2:$C$1601,$AH80)&amp;"")</f>
        <v/>
      </c>
      <c r="F80">
        <f>IF($AH80="","",INDEX('Per Line'!$E$2:$E$1601,$AH80)&amp;"")</f>
        <v/>
      </c>
      <c r="G80" s="11">
        <f>IF($AH80="","",INDEX('Per Line'!$F$2:$F$1601,$AH80))</f>
        <v/>
      </c>
      <c r="H80">
        <f>IF($AH80="","",INDEX('Per Line'!$G$2:$G$1601,$AH80)&amp;"")</f>
        <v/>
      </c>
      <c r="I80">
        <f>IF($AH80="","",INDEX('Per Line'!$I$2:$I$1601,$AH80)&amp;"")</f>
        <v/>
      </c>
      <c r="J80">
        <f>IF($AH80="","",INDEX('Per Line'!$J$2:$J$1601,$AH80)&amp;"")</f>
        <v/>
      </c>
      <c r="K80">
        <f>IF($AH80="","",INDEX('Per Line'!$K$2:$K$1601,$AH80)&amp;"")</f>
        <v/>
      </c>
      <c r="L80">
        <f>IF($AH80="","",INDEX('Per Line'!$L$2:$L$1601,$AH80)&amp;"")</f>
        <v/>
      </c>
      <c r="M80">
        <f>IF($AH80="","",INDEX('Per Line'!$M$2:$M$1601,$AH80))</f>
        <v/>
      </c>
      <c r="N80" s="7">
        <f>IF($AH80="","",M80*AE80/100)</f>
        <v/>
      </c>
      <c r="O80">
        <f>IF($AH80="","",INDEX('Per Line'!$Z$2:$Z$1601,$AH80)&amp;"")</f>
        <v/>
      </c>
      <c r="P80">
        <f>IF($AH80="","",INDEX('Per Line'!$AC$2:$AC$1601,$AH80)&amp;"")</f>
        <v/>
      </c>
      <c r="Q80">
        <f>IF($AH80="","",INDEX('Per Line'!$AD$2:$AD$1601,$AH80))</f>
        <v/>
      </c>
      <c r="R80">
        <f>IF($AH80="","",IF(AND(ISNUMBER(Q80),Q80&gt;0),AF80&gt;Q80,FALSE))</f>
        <v/>
      </c>
      <c r="S80">
        <f>IF($AH80="","",INDEX('Per Line'!$AH$2:$AH$1601,$AH80)&amp;"")</f>
        <v/>
      </c>
      <c r="T80" s="11">
        <f>IF($AH80="","",INDEX('Per Line'!$AI$2:$AI$1601,$AH80))</f>
        <v/>
      </c>
      <c r="U80">
        <f>IF($AH80="","",Settings!$C$8)</f>
        <v/>
      </c>
      <c r="V80" s="7">
        <f>IF($AH80="","",SUMIFS('Per Line'!$V$2:$V$1601,'Per Line'!$D$2:$D$1601,$B80,'Per Line'!$AN$2:$AN$1601,1))</f>
        <v/>
      </c>
      <c r="W80" s="7">
        <f>IF($AH80="","",V80*U80)</f>
        <v/>
      </c>
      <c r="X80">
        <f>IF($AH80="","",Settings!$C$7)</f>
        <v/>
      </c>
      <c r="Y80" s="7">
        <f>IF($AH80="","",SUMIFS('Per Line'!$V$2:$V$1601,'Per Line'!$D$2:$D$1601,$B80,'Per Line'!$AM$2:$AM$1601,0,'Per Line'!$AN$2:$AN$1601,0))</f>
        <v/>
      </c>
      <c r="Z80" s="7">
        <f>IF($AH80="","",Y80*X80)</f>
        <v/>
      </c>
      <c r="AA80">
        <f>IF($AH80="","",Settings!$C$6)</f>
        <v/>
      </c>
      <c r="AB80" s="7">
        <f>IF($AH80="","",SUMIFS('Per Line'!$V$2:$V$1601,'Per Line'!$D$2:$D$1601,$B80,'Per Line'!$AM$2:$AM$1601,1,'Per Line'!$AN$2:$AN$1601,0))</f>
        <v/>
      </c>
      <c r="AC80" s="7">
        <f>IF($AH80="","",AB80*AA80)</f>
        <v/>
      </c>
      <c r="AD80" s="7">
        <f>IF($AH80="","",AC80+Z80+W80)</f>
        <v/>
      </c>
      <c r="AE80" s="7">
        <f>IF($AH80="","",AF80-AD80)</f>
        <v/>
      </c>
      <c r="AF80" s="7">
        <f>IF($AH80="","",Y80+AB80+V80)</f>
        <v/>
      </c>
      <c r="AG80" s="7">
        <f>IF($AH80="","",AF80-AD80-N80)</f>
        <v/>
      </c>
      <c r="AH80" s="13">
        <f>IF(ROWS($AH$2:$AH80)&lt;=MAX('Per Line'!$AL$2:$AL$1601),MATCH(ROWS($AH$2:$AH80),'Per Line'!$AL$2:$AL$1601,0),"")</f>
        <v/>
      </c>
    </row>
    <row r="81">
      <c r="A81" s="12" t="n"/>
      <c r="B81">
        <f>IF($AH81="","",INDEX('Per Line'!$D$2:$D$1601,$AH81)&amp;"")</f>
        <v/>
      </c>
      <c r="C81">
        <f>IF($AH81="","",INDEX('Per Line'!$A$2:$A$1601,$AH81)&amp;"")</f>
        <v/>
      </c>
      <c r="D81">
        <f>IF($AH81="","",INDEX('Per Line'!$B$2:$B$1601,$AH81))</f>
        <v/>
      </c>
      <c r="E81">
        <f>IF($AH81="","",INDEX('Per Line'!$C$2:$C$1601,$AH81)&amp;"")</f>
        <v/>
      </c>
      <c r="F81">
        <f>IF($AH81="","",INDEX('Per Line'!$E$2:$E$1601,$AH81)&amp;"")</f>
        <v/>
      </c>
      <c r="G81" s="11">
        <f>IF($AH81="","",INDEX('Per Line'!$F$2:$F$1601,$AH81))</f>
        <v/>
      </c>
      <c r="H81">
        <f>IF($AH81="","",INDEX('Per Line'!$G$2:$G$1601,$AH81)&amp;"")</f>
        <v/>
      </c>
      <c r="I81">
        <f>IF($AH81="","",INDEX('Per Line'!$I$2:$I$1601,$AH81)&amp;"")</f>
        <v/>
      </c>
      <c r="J81">
        <f>IF($AH81="","",INDEX('Per Line'!$J$2:$J$1601,$AH81)&amp;"")</f>
        <v/>
      </c>
      <c r="K81">
        <f>IF($AH81="","",INDEX('Per Line'!$K$2:$K$1601,$AH81)&amp;"")</f>
        <v/>
      </c>
      <c r="L81">
        <f>IF($AH81="","",INDEX('Per Line'!$L$2:$L$1601,$AH81)&amp;"")</f>
        <v/>
      </c>
      <c r="M81">
        <f>IF($AH81="","",INDEX('Per Line'!$M$2:$M$1601,$AH81))</f>
        <v/>
      </c>
      <c r="N81" s="7">
        <f>IF($AH81="","",M81*AE81/100)</f>
        <v/>
      </c>
      <c r="O81">
        <f>IF($AH81="","",INDEX('Per Line'!$Z$2:$Z$1601,$AH81)&amp;"")</f>
        <v/>
      </c>
      <c r="P81">
        <f>IF($AH81="","",INDEX('Per Line'!$AC$2:$AC$1601,$AH81)&amp;"")</f>
        <v/>
      </c>
      <c r="Q81">
        <f>IF($AH81="","",INDEX('Per Line'!$AD$2:$AD$1601,$AH81))</f>
        <v/>
      </c>
      <c r="R81">
        <f>IF($AH81="","",IF(AND(ISNUMBER(Q81),Q81&gt;0),AF81&gt;Q81,FALSE))</f>
        <v/>
      </c>
      <c r="S81">
        <f>IF($AH81="","",INDEX('Per Line'!$AH$2:$AH$1601,$AH81)&amp;"")</f>
        <v/>
      </c>
      <c r="T81" s="11">
        <f>IF($AH81="","",INDEX('Per Line'!$AI$2:$AI$1601,$AH81))</f>
        <v/>
      </c>
      <c r="U81">
        <f>IF($AH81="","",Settings!$C$8)</f>
        <v/>
      </c>
      <c r="V81" s="7">
        <f>IF($AH81="","",SUMIFS('Per Line'!$V$2:$V$1601,'Per Line'!$D$2:$D$1601,$B81,'Per Line'!$AN$2:$AN$1601,1))</f>
        <v/>
      </c>
      <c r="W81" s="7">
        <f>IF($AH81="","",V81*U81)</f>
        <v/>
      </c>
      <c r="X81">
        <f>IF($AH81="","",Settings!$C$7)</f>
        <v/>
      </c>
      <c r="Y81" s="7">
        <f>IF($AH81="","",SUMIFS('Per Line'!$V$2:$V$1601,'Per Line'!$D$2:$D$1601,$B81,'Per Line'!$AM$2:$AM$1601,0,'Per Line'!$AN$2:$AN$1601,0))</f>
        <v/>
      </c>
      <c r="Z81" s="7">
        <f>IF($AH81="","",Y81*X81)</f>
        <v/>
      </c>
      <c r="AA81">
        <f>IF($AH81="","",Settings!$C$6)</f>
        <v/>
      </c>
      <c r="AB81" s="7">
        <f>IF($AH81="","",SUMIFS('Per Line'!$V$2:$V$1601,'Per Line'!$D$2:$D$1601,$B81,'Per Line'!$AM$2:$AM$1601,1,'Per Line'!$AN$2:$AN$1601,0))</f>
        <v/>
      </c>
      <c r="AC81" s="7">
        <f>IF($AH81="","",AB81*AA81)</f>
        <v/>
      </c>
      <c r="AD81" s="7">
        <f>IF($AH81="","",AC81+Z81+W81)</f>
        <v/>
      </c>
      <c r="AE81" s="7">
        <f>IF($AH81="","",AF81-AD81)</f>
        <v/>
      </c>
      <c r="AF81" s="7">
        <f>IF($AH81="","",Y81+AB81+V81)</f>
        <v/>
      </c>
      <c r="AG81" s="7">
        <f>IF($AH81="","",AF81-AD81-N81)</f>
        <v/>
      </c>
      <c r="AH81" s="13">
        <f>IF(ROWS($AH$2:$AH81)&lt;=MAX('Per Line'!$AL$2:$AL$1601),MATCH(ROWS($AH$2:$AH81),'Per Line'!$AL$2:$AL$1601,0),"")</f>
        <v/>
      </c>
    </row>
    <row r="82">
      <c r="A82" s="12" t="n"/>
      <c r="B82">
        <f>IF($AH82="","",INDEX('Per Line'!$D$2:$D$1601,$AH82)&amp;"")</f>
        <v/>
      </c>
      <c r="C82">
        <f>IF($AH82="","",INDEX('Per Line'!$A$2:$A$1601,$AH82)&amp;"")</f>
        <v/>
      </c>
      <c r="D82">
        <f>IF($AH82="","",INDEX('Per Line'!$B$2:$B$1601,$AH82))</f>
        <v/>
      </c>
      <c r="E82">
        <f>IF($AH82="","",INDEX('Per Line'!$C$2:$C$1601,$AH82)&amp;"")</f>
        <v/>
      </c>
      <c r="F82">
        <f>IF($AH82="","",INDEX('Per Line'!$E$2:$E$1601,$AH82)&amp;"")</f>
        <v/>
      </c>
      <c r="G82" s="11">
        <f>IF($AH82="","",INDEX('Per Line'!$F$2:$F$1601,$AH82))</f>
        <v/>
      </c>
      <c r="H82">
        <f>IF($AH82="","",INDEX('Per Line'!$G$2:$G$1601,$AH82)&amp;"")</f>
        <v/>
      </c>
      <c r="I82">
        <f>IF($AH82="","",INDEX('Per Line'!$I$2:$I$1601,$AH82)&amp;"")</f>
        <v/>
      </c>
      <c r="J82">
        <f>IF($AH82="","",INDEX('Per Line'!$J$2:$J$1601,$AH82)&amp;"")</f>
        <v/>
      </c>
      <c r="K82">
        <f>IF($AH82="","",INDEX('Per Line'!$K$2:$K$1601,$AH82)&amp;"")</f>
        <v/>
      </c>
      <c r="L82">
        <f>IF($AH82="","",INDEX('Per Line'!$L$2:$L$1601,$AH82)&amp;"")</f>
        <v/>
      </c>
      <c r="M82">
        <f>IF($AH82="","",INDEX('Per Line'!$M$2:$M$1601,$AH82))</f>
        <v/>
      </c>
      <c r="N82" s="7">
        <f>IF($AH82="","",M82*AE82/100)</f>
        <v/>
      </c>
      <c r="O82">
        <f>IF($AH82="","",INDEX('Per Line'!$Z$2:$Z$1601,$AH82)&amp;"")</f>
        <v/>
      </c>
      <c r="P82">
        <f>IF($AH82="","",INDEX('Per Line'!$AC$2:$AC$1601,$AH82)&amp;"")</f>
        <v/>
      </c>
      <c r="Q82">
        <f>IF($AH82="","",INDEX('Per Line'!$AD$2:$AD$1601,$AH82))</f>
        <v/>
      </c>
      <c r="R82">
        <f>IF($AH82="","",IF(AND(ISNUMBER(Q82),Q82&gt;0),AF82&gt;Q82,FALSE))</f>
        <v/>
      </c>
      <c r="S82">
        <f>IF($AH82="","",INDEX('Per Line'!$AH$2:$AH$1601,$AH82)&amp;"")</f>
        <v/>
      </c>
      <c r="T82" s="11">
        <f>IF($AH82="","",INDEX('Per Line'!$AI$2:$AI$1601,$AH82))</f>
        <v/>
      </c>
      <c r="U82">
        <f>IF($AH82="","",Settings!$C$8)</f>
        <v/>
      </c>
      <c r="V82" s="7">
        <f>IF($AH82="","",SUMIFS('Per Line'!$V$2:$V$1601,'Per Line'!$D$2:$D$1601,$B82,'Per Line'!$AN$2:$AN$1601,1))</f>
        <v/>
      </c>
      <c r="W82" s="7">
        <f>IF($AH82="","",V82*U82)</f>
        <v/>
      </c>
      <c r="X82">
        <f>IF($AH82="","",Settings!$C$7)</f>
        <v/>
      </c>
      <c r="Y82" s="7">
        <f>IF($AH82="","",SUMIFS('Per Line'!$V$2:$V$1601,'Per Line'!$D$2:$D$1601,$B82,'Per Line'!$AM$2:$AM$1601,0,'Per Line'!$AN$2:$AN$1601,0))</f>
        <v/>
      </c>
      <c r="Z82" s="7">
        <f>IF($AH82="","",Y82*X82)</f>
        <v/>
      </c>
      <c r="AA82">
        <f>IF($AH82="","",Settings!$C$6)</f>
        <v/>
      </c>
      <c r="AB82" s="7">
        <f>IF($AH82="","",SUMIFS('Per Line'!$V$2:$V$1601,'Per Line'!$D$2:$D$1601,$B82,'Per Line'!$AM$2:$AM$1601,1,'Per Line'!$AN$2:$AN$1601,0))</f>
        <v/>
      </c>
      <c r="AC82" s="7">
        <f>IF($AH82="","",AB82*AA82)</f>
        <v/>
      </c>
      <c r="AD82" s="7">
        <f>IF($AH82="","",AC82+Z82+W82)</f>
        <v/>
      </c>
      <c r="AE82" s="7">
        <f>IF($AH82="","",AF82-AD82)</f>
        <v/>
      </c>
      <c r="AF82" s="7">
        <f>IF($AH82="","",Y82+AB82+V82)</f>
        <v/>
      </c>
      <c r="AG82" s="7">
        <f>IF($AH82="","",AF82-AD82-N82)</f>
        <v/>
      </c>
      <c r="AH82" s="13">
        <f>IF(ROWS($AH$2:$AH82)&lt;=MAX('Per Line'!$AL$2:$AL$1601),MATCH(ROWS($AH$2:$AH82),'Per Line'!$AL$2:$AL$1601,0),"")</f>
        <v/>
      </c>
    </row>
    <row r="83">
      <c r="A83" s="12" t="n"/>
      <c r="B83">
        <f>IF($AH83="","",INDEX('Per Line'!$D$2:$D$1601,$AH83)&amp;"")</f>
        <v/>
      </c>
      <c r="C83">
        <f>IF($AH83="","",INDEX('Per Line'!$A$2:$A$1601,$AH83)&amp;"")</f>
        <v/>
      </c>
      <c r="D83">
        <f>IF($AH83="","",INDEX('Per Line'!$B$2:$B$1601,$AH83))</f>
        <v/>
      </c>
      <c r="E83">
        <f>IF($AH83="","",INDEX('Per Line'!$C$2:$C$1601,$AH83)&amp;"")</f>
        <v/>
      </c>
      <c r="F83">
        <f>IF($AH83="","",INDEX('Per Line'!$E$2:$E$1601,$AH83)&amp;"")</f>
        <v/>
      </c>
      <c r="G83" s="11">
        <f>IF($AH83="","",INDEX('Per Line'!$F$2:$F$1601,$AH83))</f>
        <v/>
      </c>
      <c r="H83">
        <f>IF($AH83="","",INDEX('Per Line'!$G$2:$G$1601,$AH83)&amp;"")</f>
        <v/>
      </c>
      <c r="I83">
        <f>IF($AH83="","",INDEX('Per Line'!$I$2:$I$1601,$AH83)&amp;"")</f>
        <v/>
      </c>
      <c r="J83">
        <f>IF($AH83="","",INDEX('Per Line'!$J$2:$J$1601,$AH83)&amp;"")</f>
        <v/>
      </c>
      <c r="K83">
        <f>IF($AH83="","",INDEX('Per Line'!$K$2:$K$1601,$AH83)&amp;"")</f>
        <v/>
      </c>
      <c r="L83">
        <f>IF($AH83="","",INDEX('Per Line'!$L$2:$L$1601,$AH83)&amp;"")</f>
        <v/>
      </c>
      <c r="M83">
        <f>IF($AH83="","",INDEX('Per Line'!$M$2:$M$1601,$AH83))</f>
        <v/>
      </c>
      <c r="N83" s="7">
        <f>IF($AH83="","",M83*AE83/100)</f>
        <v/>
      </c>
      <c r="O83">
        <f>IF($AH83="","",INDEX('Per Line'!$Z$2:$Z$1601,$AH83)&amp;"")</f>
        <v/>
      </c>
      <c r="P83">
        <f>IF($AH83="","",INDEX('Per Line'!$AC$2:$AC$1601,$AH83)&amp;"")</f>
        <v/>
      </c>
      <c r="Q83">
        <f>IF($AH83="","",INDEX('Per Line'!$AD$2:$AD$1601,$AH83))</f>
        <v/>
      </c>
      <c r="R83">
        <f>IF($AH83="","",IF(AND(ISNUMBER(Q83),Q83&gt;0),AF83&gt;Q83,FALSE))</f>
        <v/>
      </c>
      <c r="S83">
        <f>IF($AH83="","",INDEX('Per Line'!$AH$2:$AH$1601,$AH83)&amp;"")</f>
        <v/>
      </c>
      <c r="T83" s="11">
        <f>IF($AH83="","",INDEX('Per Line'!$AI$2:$AI$1601,$AH83))</f>
        <v/>
      </c>
      <c r="U83">
        <f>IF($AH83="","",Settings!$C$8)</f>
        <v/>
      </c>
      <c r="V83" s="7">
        <f>IF($AH83="","",SUMIFS('Per Line'!$V$2:$V$1601,'Per Line'!$D$2:$D$1601,$B83,'Per Line'!$AN$2:$AN$1601,1))</f>
        <v/>
      </c>
      <c r="W83" s="7">
        <f>IF($AH83="","",V83*U83)</f>
        <v/>
      </c>
      <c r="X83">
        <f>IF($AH83="","",Settings!$C$7)</f>
        <v/>
      </c>
      <c r="Y83" s="7">
        <f>IF($AH83="","",SUMIFS('Per Line'!$V$2:$V$1601,'Per Line'!$D$2:$D$1601,$B83,'Per Line'!$AM$2:$AM$1601,0,'Per Line'!$AN$2:$AN$1601,0))</f>
        <v/>
      </c>
      <c r="Z83" s="7">
        <f>IF($AH83="","",Y83*X83)</f>
        <v/>
      </c>
      <c r="AA83">
        <f>IF($AH83="","",Settings!$C$6)</f>
        <v/>
      </c>
      <c r="AB83" s="7">
        <f>IF($AH83="","",SUMIFS('Per Line'!$V$2:$V$1601,'Per Line'!$D$2:$D$1601,$B83,'Per Line'!$AM$2:$AM$1601,1,'Per Line'!$AN$2:$AN$1601,0))</f>
        <v/>
      </c>
      <c r="AC83" s="7">
        <f>IF($AH83="","",AB83*AA83)</f>
        <v/>
      </c>
      <c r="AD83" s="7">
        <f>IF($AH83="","",AC83+Z83+W83)</f>
        <v/>
      </c>
      <c r="AE83" s="7">
        <f>IF($AH83="","",AF83-AD83)</f>
        <v/>
      </c>
      <c r="AF83" s="7">
        <f>IF($AH83="","",Y83+AB83+V83)</f>
        <v/>
      </c>
      <c r="AG83" s="7">
        <f>IF($AH83="","",AF83-AD83-N83)</f>
        <v/>
      </c>
      <c r="AH83" s="13">
        <f>IF(ROWS($AH$2:$AH83)&lt;=MAX('Per Line'!$AL$2:$AL$1601),MATCH(ROWS($AH$2:$AH83),'Per Line'!$AL$2:$AL$1601,0),"")</f>
        <v/>
      </c>
    </row>
    <row r="84">
      <c r="A84" s="12" t="n"/>
      <c r="B84">
        <f>IF($AH84="","",INDEX('Per Line'!$D$2:$D$1601,$AH84)&amp;"")</f>
        <v/>
      </c>
      <c r="C84">
        <f>IF($AH84="","",INDEX('Per Line'!$A$2:$A$1601,$AH84)&amp;"")</f>
        <v/>
      </c>
      <c r="D84">
        <f>IF($AH84="","",INDEX('Per Line'!$B$2:$B$1601,$AH84))</f>
        <v/>
      </c>
      <c r="E84">
        <f>IF($AH84="","",INDEX('Per Line'!$C$2:$C$1601,$AH84)&amp;"")</f>
        <v/>
      </c>
      <c r="F84">
        <f>IF($AH84="","",INDEX('Per Line'!$E$2:$E$1601,$AH84)&amp;"")</f>
        <v/>
      </c>
      <c r="G84" s="11">
        <f>IF($AH84="","",INDEX('Per Line'!$F$2:$F$1601,$AH84))</f>
        <v/>
      </c>
      <c r="H84">
        <f>IF($AH84="","",INDEX('Per Line'!$G$2:$G$1601,$AH84)&amp;"")</f>
        <v/>
      </c>
      <c r="I84">
        <f>IF($AH84="","",INDEX('Per Line'!$I$2:$I$1601,$AH84)&amp;"")</f>
        <v/>
      </c>
      <c r="J84">
        <f>IF($AH84="","",INDEX('Per Line'!$J$2:$J$1601,$AH84)&amp;"")</f>
        <v/>
      </c>
      <c r="K84">
        <f>IF($AH84="","",INDEX('Per Line'!$K$2:$K$1601,$AH84)&amp;"")</f>
        <v/>
      </c>
      <c r="L84">
        <f>IF($AH84="","",INDEX('Per Line'!$L$2:$L$1601,$AH84)&amp;"")</f>
        <v/>
      </c>
      <c r="M84">
        <f>IF($AH84="","",INDEX('Per Line'!$M$2:$M$1601,$AH84))</f>
        <v/>
      </c>
      <c r="N84" s="7">
        <f>IF($AH84="","",M84*AE84/100)</f>
        <v/>
      </c>
      <c r="O84">
        <f>IF($AH84="","",INDEX('Per Line'!$Z$2:$Z$1601,$AH84)&amp;"")</f>
        <v/>
      </c>
      <c r="P84">
        <f>IF($AH84="","",INDEX('Per Line'!$AC$2:$AC$1601,$AH84)&amp;"")</f>
        <v/>
      </c>
      <c r="Q84">
        <f>IF($AH84="","",INDEX('Per Line'!$AD$2:$AD$1601,$AH84))</f>
        <v/>
      </c>
      <c r="R84">
        <f>IF($AH84="","",IF(AND(ISNUMBER(Q84),Q84&gt;0),AF84&gt;Q84,FALSE))</f>
        <v/>
      </c>
      <c r="S84">
        <f>IF($AH84="","",INDEX('Per Line'!$AH$2:$AH$1601,$AH84)&amp;"")</f>
        <v/>
      </c>
      <c r="T84" s="11">
        <f>IF($AH84="","",INDEX('Per Line'!$AI$2:$AI$1601,$AH84))</f>
        <v/>
      </c>
      <c r="U84">
        <f>IF($AH84="","",Settings!$C$8)</f>
        <v/>
      </c>
      <c r="V84" s="7">
        <f>IF($AH84="","",SUMIFS('Per Line'!$V$2:$V$1601,'Per Line'!$D$2:$D$1601,$B84,'Per Line'!$AN$2:$AN$1601,1))</f>
        <v/>
      </c>
      <c r="W84" s="7">
        <f>IF($AH84="","",V84*U84)</f>
        <v/>
      </c>
      <c r="X84">
        <f>IF($AH84="","",Settings!$C$7)</f>
        <v/>
      </c>
      <c r="Y84" s="7">
        <f>IF($AH84="","",SUMIFS('Per Line'!$V$2:$V$1601,'Per Line'!$D$2:$D$1601,$B84,'Per Line'!$AM$2:$AM$1601,0,'Per Line'!$AN$2:$AN$1601,0))</f>
        <v/>
      </c>
      <c r="Z84" s="7">
        <f>IF($AH84="","",Y84*X84)</f>
        <v/>
      </c>
      <c r="AA84">
        <f>IF($AH84="","",Settings!$C$6)</f>
        <v/>
      </c>
      <c r="AB84" s="7">
        <f>IF($AH84="","",SUMIFS('Per Line'!$V$2:$V$1601,'Per Line'!$D$2:$D$1601,$B84,'Per Line'!$AM$2:$AM$1601,1,'Per Line'!$AN$2:$AN$1601,0))</f>
        <v/>
      </c>
      <c r="AC84" s="7">
        <f>IF($AH84="","",AB84*AA84)</f>
        <v/>
      </c>
      <c r="AD84" s="7">
        <f>IF($AH84="","",AC84+Z84+W84)</f>
        <v/>
      </c>
      <c r="AE84" s="7">
        <f>IF($AH84="","",AF84-AD84)</f>
        <v/>
      </c>
      <c r="AF84" s="7">
        <f>IF($AH84="","",Y84+AB84+V84)</f>
        <v/>
      </c>
      <c r="AG84" s="7">
        <f>IF($AH84="","",AF84-AD84-N84)</f>
        <v/>
      </c>
      <c r="AH84" s="13">
        <f>IF(ROWS($AH$2:$AH84)&lt;=MAX('Per Line'!$AL$2:$AL$1601),MATCH(ROWS($AH$2:$AH84),'Per Line'!$AL$2:$AL$1601,0),"")</f>
        <v/>
      </c>
    </row>
    <row r="85">
      <c r="A85" s="12" t="n"/>
      <c r="B85">
        <f>IF($AH85="","",INDEX('Per Line'!$D$2:$D$1601,$AH85)&amp;"")</f>
        <v/>
      </c>
      <c r="C85">
        <f>IF($AH85="","",INDEX('Per Line'!$A$2:$A$1601,$AH85)&amp;"")</f>
        <v/>
      </c>
      <c r="D85">
        <f>IF($AH85="","",INDEX('Per Line'!$B$2:$B$1601,$AH85))</f>
        <v/>
      </c>
      <c r="E85">
        <f>IF($AH85="","",INDEX('Per Line'!$C$2:$C$1601,$AH85)&amp;"")</f>
        <v/>
      </c>
      <c r="F85">
        <f>IF($AH85="","",INDEX('Per Line'!$E$2:$E$1601,$AH85)&amp;"")</f>
        <v/>
      </c>
      <c r="G85" s="11">
        <f>IF($AH85="","",INDEX('Per Line'!$F$2:$F$1601,$AH85))</f>
        <v/>
      </c>
      <c r="H85">
        <f>IF($AH85="","",INDEX('Per Line'!$G$2:$G$1601,$AH85)&amp;"")</f>
        <v/>
      </c>
      <c r="I85">
        <f>IF($AH85="","",INDEX('Per Line'!$I$2:$I$1601,$AH85)&amp;"")</f>
        <v/>
      </c>
      <c r="J85">
        <f>IF($AH85="","",INDEX('Per Line'!$J$2:$J$1601,$AH85)&amp;"")</f>
        <v/>
      </c>
      <c r="K85">
        <f>IF($AH85="","",INDEX('Per Line'!$K$2:$K$1601,$AH85)&amp;"")</f>
        <v/>
      </c>
      <c r="L85">
        <f>IF($AH85="","",INDEX('Per Line'!$L$2:$L$1601,$AH85)&amp;"")</f>
        <v/>
      </c>
      <c r="M85">
        <f>IF($AH85="","",INDEX('Per Line'!$M$2:$M$1601,$AH85))</f>
        <v/>
      </c>
      <c r="N85" s="7">
        <f>IF($AH85="","",M85*AE85/100)</f>
        <v/>
      </c>
      <c r="O85">
        <f>IF($AH85="","",INDEX('Per Line'!$Z$2:$Z$1601,$AH85)&amp;"")</f>
        <v/>
      </c>
      <c r="P85">
        <f>IF($AH85="","",INDEX('Per Line'!$AC$2:$AC$1601,$AH85)&amp;"")</f>
        <v/>
      </c>
      <c r="Q85">
        <f>IF($AH85="","",INDEX('Per Line'!$AD$2:$AD$1601,$AH85))</f>
        <v/>
      </c>
      <c r="R85">
        <f>IF($AH85="","",IF(AND(ISNUMBER(Q85),Q85&gt;0),AF85&gt;Q85,FALSE))</f>
        <v/>
      </c>
      <c r="S85">
        <f>IF($AH85="","",INDEX('Per Line'!$AH$2:$AH$1601,$AH85)&amp;"")</f>
        <v/>
      </c>
      <c r="T85" s="11">
        <f>IF($AH85="","",INDEX('Per Line'!$AI$2:$AI$1601,$AH85))</f>
        <v/>
      </c>
      <c r="U85">
        <f>IF($AH85="","",Settings!$C$8)</f>
        <v/>
      </c>
      <c r="V85" s="7">
        <f>IF($AH85="","",SUMIFS('Per Line'!$V$2:$V$1601,'Per Line'!$D$2:$D$1601,$B85,'Per Line'!$AN$2:$AN$1601,1))</f>
        <v/>
      </c>
      <c r="W85" s="7">
        <f>IF($AH85="","",V85*U85)</f>
        <v/>
      </c>
      <c r="X85">
        <f>IF($AH85="","",Settings!$C$7)</f>
        <v/>
      </c>
      <c r="Y85" s="7">
        <f>IF($AH85="","",SUMIFS('Per Line'!$V$2:$V$1601,'Per Line'!$D$2:$D$1601,$B85,'Per Line'!$AM$2:$AM$1601,0,'Per Line'!$AN$2:$AN$1601,0))</f>
        <v/>
      </c>
      <c r="Z85" s="7">
        <f>IF($AH85="","",Y85*X85)</f>
        <v/>
      </c>
      <c r="AA85">
        <f>IF($AH85="","",Settings!$C$6)</f>
        <v/>
      </c>
      <c r="AB85" s="7">
        <f>IF($AH85="","",SUMIFS('Per Line'!$V$2:$V$1601,'Per Line'!$D$2:$D$1601,$B85,'Per Line'!$AM$2:$AM$1601,1,'Per Line'!$AN$2:$AN$1601,0))</f>
        <v/>
      </c>
      <c r="AC85" s="7">
        <f>IF($AH85="","",AB85*AA85)</f>
        <v/>
      </c>
      <c r="AD85" s="7">
        <f>IF($AH85="","",AC85+Z85+W85)</f>
        <v/>
      </c>
      <c r="AE85" s="7">
        <f>IF($AH85="","",AF85-AD85)</f>
        <v/>
      </c>
      <c r="AF85" s="7">
        <f>IF($AH85="","",Y85+AB85+V85)</f>
        <v/>
      </c>
      <c r="AG85" s="7">
        <f>IF($AH85="","",AF85-AD85-N85)</f>
        <v/>
      </c>
      <c r="AH85" s="13">
        <f>IF(ROWS($AH$2:$AH85)&lt;=MAX('Per Line'!$AL$2:$AL$1601),MATCH(ROWS($AH$2:$AH85),'Per Line'!$AL$2:$AL$1601,0),"")</f>
        <v/>
      </c>
    </row>
    <row r="86">
      <c r="A86" s="12" t="n"/>
      <c r="B86">
        <f>IF($AH86="","",INDEX('Per Line'!$D$2:$D$1601,$AH86)&amp;"")</f>
        <v/>
      </c>
      <c r="C86">
        <f>IF($AH86="","",INDEX('Per Line'!$A$2:$A$1601,$AH86)&amp;"")</f>
        <v/>
      </c>
      <c r="D86">
        <f>IF($AH86="","",INDEX('Per Line'!$B$2:$B$1601,$AH86))</f>
        <v/>
      </c>
      <c r="E86">
        <f>IF($AH86="","",INDEX('Per Line'!$C$2:$C$1601,$AH86)&amp;"")</f>
        <v/>
      </c>
      <c r="F86">
        <f>IF($AH86="","",INDEX('Per Line'!$E$2:$E$1601,$AH86)&amp;"")</f>
        <v/>
      </c>
      <c r="G86" s="11">
        <f>IF($AH86="","",INDEX('Per Line'!$F$2:$F$1601,$AH86))</f>
        <v/>
      </c>
      <c r="H86">
        <f>IF($AH86="","",INDEX('Per Line'!$G$2:$G$1601,$AH86)&amp;"")</f>
        <v/>
      </c>
      <c r="I86">
        <f>IF($AH86="","",INDEX('Per Line'!$I$2:$I$1601,$AH86)&amp;"")</f>
        <v/>
      </c>
      <c r="J86">
        <f>IF($AH86="","",INDEX('Per Line'!$J$2:$J$1601,$AH86)&amp;"")</f>
        <v/>
      </c>
      <c r="K86">
        <f>IF($AH86="","",INDEX('Per Line'!$K$2:$K$1601,$AH86)&amp;"")</f>
        <v/>
      </c>
      <c r="L86">
        <f>IF($AH86="","",INDEX('Per Line'!$L$2:$L$1601,$AH86)&amp;"")</f>
        <v/>
      </c>
      <c r="M86">
        <f>IF($AH86="","",INDEX('Per Line'!$M$2:$M$1601,$AH86))</f>
        <v/>
      </c>
      <c r="N86" s="7">
        <f>IF($AH86="","",M86*AE86/100)</f>
        <v/>
      </c>
      <c r="O86">
        <f>IF($AH86="","",INDEX('Per Line'!$Z$2:$Z$1601,$AH86)&amp;"")</f>
        <v/>
      </c>
      <c r="P86">
        <f>IF($AH86="","",INDEX('Per Line'!$AC$2:$AC$1601,$AH86)&amp;"")</f>
        <v/>
      </c>
      <c r="Q86">
        <f>IF($AH86="","",INDEX('Per Line'!$AD$2:$AD$1601,$AH86))</f>
        <v/>
      </c>
      <c r="R86">
        <f>IF($AH86="","",IF(AND(ISNUMBER(Q86),Q86&gt;0),AF86&gt;Q86,FALSE))</f>
        <v/>
      </c>
      <c r="S86">
        <f>IF($AH86="","",INDEX('Per Line'!$AH$2:$AH$1601,$AH86)&amp;"")</f>
        <v/>
      </c>
      <c r="T86" s="11">
        <f>IF($AH86="","",INDEX('Per Line'!$AI$2:$AI$1601,$AH86))</f>
        <v/>
      </c>
      <c r="U86">
        <f>IF($AH86="","",Settings!$C$8)</f>
        <v/>
      </c>
      <c r="V86" s="7">
        <f>IF($AH86="","",SUMIFS('Per Line'!$V$2:$V$1601,'Per Line'!$D$2:$D$1601,$B86,'Per Line'!$AN$2:$AN$1601,1))</f>
        <v/>
      </c>
      <c r="W86" s="7">
        <f>IF($AH86="","",V86*U86)</f>
        <v/>
      </c>
      <c r="X86">
        <f>IF($AH86="","",Settings!$C$7)</f>
        <v/>
      </c>
      <c r="Y86" s="7">
        <f>IF($AH86="","",SUMIFS('Per Line'!$V$2:$V$1601,'Per Line'!$D$2:$D$1601,$B86,'Per Line'!$AM$2:$AM$1601,0,'Per Line'!$AN$2:$AN$1601,0))</f>
        <v/>
      </c>
      <c r="Z86" s="7">
        <f>IF($AH86="","",Y86*X86)</f>
        <v/>
      </c>
      <c r="AA86">
        <f>IF($AH86="","",Settings!$C$6)</f>
        <v/>
      </c>
      <c r="AB86" s="7">
        <f>IF($AH86="","",SUMIFS('Per Line'!$V$2:$V$1601,'Per Line'!$D$2:$D$1601,$B86,'Per Line'!$AM$2:$AM$1601,1,'Per Line'!$AN$2:$AN$1601,0))</f>
        <v/>
      </c>
      <c r="AC86" s="7">
        <f>IF($AH86="","",AB86*AA86)</f>
        <v/>
      </c>
      <c r="AD86" s="7">
        <f>IF($AH86="","",AC86+Z86+W86)</f>
        <v/>
      </c>
      <c r="AE86" s="7">
        <f>IF($AH86="","",AF86-AD86)</f>
        <v/>
      </c>
      <c r="AF86" s="7">
        <f>IF($AH86="","",Y86+AB86+V86)</f>
        <v/>
      </c>
      <c r="AG86" s="7">
        <f>IF($AH86="","",AF86-AD86-N86)</f>
        <v/>
      </c>
      <c r="AH86" s="13">
        <f>IF(ROWS($AH$2:$AH86)&lt;=MAX('Per Line'!$AL$2:$AL$1601),MATCH(ROWS($AH$2:$AH86),'Per Line'!$AL$2:$AL$1601,0),"")</f>
        <v/>
      </c>
    </row>
    <row r="87">
      <c r="A87" s="12" t="n"/>
      <c r="B87">
        <f>IF($AH87="","",INDEX('Per Line'!$D$2:$D$1601,$AH87)&amp;"")</f>
        <v/>
      </c>
      <c r="C87">
        <f>IF($AH87="","",INDEX('Per Line'!$A$2:$A$1601,$AH87)&amp;"")</f>
        <v/>
      </c>
      <c r="D87">
        <f>IF($AH87="","",INDEX('Per Line'!$B$2:$B$1601,$AH87))</f>
        <v/>
      </c>
      <c r="E87">
        <f>IF($AH87="","",INDEX('Per Line'!$C$2:$C$1601,$AH87)&amp;"")</f>
        <v/>
      </c>
      <c r="F87">
        <f>IF($AH87="","",INDEX('Per Line'!$E$2:$E$1601,$AH87)&amp;"")</f>
        <v/>
      </c>
      <c r="G87" s="11">
        <f>IF($AH87="","",INDEX('Per Line'!$F$2:$F$1601,$AH87))</f>
        <v/>
      </c>
      <c r="H87">
        <f>IF($AH87="","",INDEX('Per Line'!$G$2:$G$1601,$AH87)&amp;"")</f>
        <v/>
      </c>
      <c r="I87">
        <f>IF($AH87="","",INDEX('Per Line'!$I$2:$I$1601,$AH87)&amp;"")</f>
        <v/>
      </c>
      <c r="J87">
        <f>IF($AH87="","",INDEX('Per Line'!$J$2:$J$1601,$AH87)&amp;"")</f>
        <v/>
      </c>
      <c r="K87">
        <f>IF($AH87="","",INDEX('Per Line'!$K$2:$K$1601,$AH87)&amp;"")</f>
        <v/>
      </c>
      <c r="L87">
        <f>IF($AH87="","",INDEX('Per Line'!$L$2:$L$1601,$AH87)&amp;"")</f>
        <v/>
      </c>
      <c r="M87">
        <f>IF($AH87="","",INDEX('Per Line'!$M$2:$M$1601,$AH87))</f>
        <v/>
      </c>
      <c r="N87" s="7">
        <f>IF($AH87="","",M87*AE87/100)</f>
        <v/>
      </c>
      <c r="O87">
        <f>IF($AH87="","",INDEX('Per Line'!$Z$2:$Z$1601,$AH87)&amp;"")</f>
        <v/>
      </c>
      <c r="P87">
        <f>IF($AH87="","",INDEX('Per Line'!$AC$2:$AC$1601,$AH87)&amp;"")</f>
        <v/>
      </c>
      <c r="Q87">
        <f>IF($AH87="","",INDEX('Per Line'!$AD$2:$AD$1601,$AH87))</f>
        <v/>
      </c>
      <c r="R87">
        <f>IF($AH87="","",IF(AND(ISNUMBER(Q87),Q87&gt;0),AF87&gt;Q87,FALSE))</f>
        <v/>
      </c>
      <c r="S87">
        <f>IF($AH87="","",INDEX('Per Line'!$AH$2:$AH$1601,$AH87)&amp;"")</f>
        <v/>
      </c>
      <c r="T87" s="11">
        <f>IF($AH87="","",INDEX('Per Line'!$AI$2:$AI$1601,$AH87))</f>
        <v/>
      </c>
      <c r="U87">
        <f>IF($AH87="","",Settings!$C$8)</f>
        <v/>
      </c>
      <c r="V87" s="7">
        <f>IF($AH87="","",SUMIFS('Per Line'!$V$2:$V$1601,'Per Line'!$D$2:$D$1601,$B87,'Per Line'!$AN$2:$AN$1601,1))</f>
        <v/>
      </c>
      <c r="W87" s="7">
        <f>IF($AH87="","",V87*U87)</f>
        <v/>
      </c>
      <c r="X87">
        <f>IF($AH87="","",Settings!$C$7)</f>
        <v/>
      </c>
      <c r="Y87" s="7">
        <f>IF($AH87="","",SUMIFS('Per Line'!$V$2:$V$1601,'Per Line'!$D$2:$D$1601,$B87,'Per Line'!$AM$2:$AM$1601,0,'Per Line'!$AN$2:$AN$1601,0))</f>
        <v/>
      </c>
      <c r="Z87" s="7">
        <f>IF($AH87="","",Y87*X87)</f>
        <v/>
      </c>
      <c r="AA87">
        <f>IF($AH87="","",Settings!$C$6)</f>
        <v/>
      </c>
      <c r="AB87" s="7">
        <f>IF($AH87="","",SUMIFS('Per Line'!$V$2:$V$1601,'Per Line'!$D$2:$D$1601,$B87,'Per Line'!$AM$2:$AM$1601,1,'Per Line'!$AN$2:$AN$1601,0))</f>
        <v/>
      </c>
      <c r="AC87" s="7">
        <f>IF($AH87="","",AB87*AA87)</f>
        <v/>
      </c>
      <c r="AD87" s="7">
        <f>IF($AH87="","",AC87+Z87+W87)</f>
        <v/>
      </c>
      <c r="AE87" s="7">
        <f>IF($AH87="","",AF87-AD87)</f>
        <v/>
      </c>
      <c r="AF87" s="7">
        <f>IF($AH87="","",Y87+AB87+V87)</f>
        <v/>
      </c>
      <c r="AG87" s="7">
        <f>IF($AH87="","",AF87-AD87-N87)</f>
        <v/>
      </c>
      <c r="AH87" s="13">
        <f>IF(ROWS($AH$2:$AH87)&lt;=MAX('Per Line'!$AL$2:$AL$1601),MATCH(ROWS($AH$2:$AH87),'Per Line'!$AL$2:$AL$1601,0),"")</f>
        <v/>
      </c>
    </row>
    <row r="88">
      <c r="A88" s="12" t="n"/>
      <c r="B88">
        <f>IF($AH88="","",INDEX('Per Line'!$D$2:$D$1601,$AH88)&amp;"")</f>
        <v/>
      </c>
      <c r="C88">
        <f>IF($AH88="","",INDEX('Per Line'!$A$2:$A$1601,$AH88)&amp;"")</f>
        <v/>
      </c>
      <c r="D88">
        <f>IF($AH88="","",INDEX('Per Line'!$B$2:$B$1601,$AH88))</f>
        <v/>
      </c>
      <c r="E88">
        <f>IF($AH88="","",INDEX('Per Line'!$C$2:$C$1601,$AH88)&amp;"")</f>
        <v/>
      </c>
      <c r="F88">
        <f>IF($AH88="","",INDEX('Per Line'!$E$2:$E$1601,$AH88)&amp;"")</f>
        <v/>
      </c>
      <c r="G88" s="11">
        <f>IF($AH88="","",INDEX('Per Line'!$F$2:$F$1601,$AH88))</f>
        <v/>
      </c>
      <c r="H88">
        <f>IF($AH88="","",INDEX('Per Line'!$G$2:$G$1601,$AH88)&amp;"")</f>
        <v/>
      </c>
      <c r="I88">
        <f>IF($AH88="","",INDEX('Per Line'!$I$2:$I$1601,$AH88)&amp;"")</f>
        <v/>
      </c>
      <c r="J88">
        <f>IF($AH88="","",INDEX('Per Line'!$J$2:$J$1601,$AH88)&amp;"")</f>
        <v/>
      </c>
      <c r="K88">
        <f>IF($AH88="","",INDEX('Per Line'!$K$2:$K$1601,$AH88)&amp;"")</f>
        <v/>
      </c>
      <c r="L88">
        <f>IF($AH88="","",INDEX('Per Line'!$L$2:$L$1601,$AH88)&amp;"")</f>
        <v/>
      </c>
      <c r="M88">
        <f>IF($AH88="","",INDEX('Per Line'!$M$2:$M$1601,$AH88))</f>
        <v/>
      </c>
      <c r="N88" s="7">
        <f>IF($AH88="","",M88*AE88/100)</f>
        <v/>
      </c>
      <c r="O88">
        <f>IF($AH88="","",INDEX('Per Line'!$Z$2:$Z$1601,$AH88)&amp;"")</f>
        <v/>
      </c>
      <c r="P88">
        <f>IF($AH88="","",INDEX('Per Line'!$AC$2:$AC$1601,$AH88)&amp;"")</f>
        <v/>
      </c>
      <c r="Q88">
        <f>IF($AH88="","",INDEX('Per Line'!$AD$2:$AD$1601,$AH88))</f>
        <v/>
      </c>
      <c r="R88">
        <f>IF($AH88="","",IF(AND(ISNUMBER(Q88),Q88&gt;0),AF88&gt;Q88,FALSE))</f>
        <v/>
      </c>
      <c r="S88">
        <f>IF($AH88="","",INDEX('Per Line'!$AH$2:$AH$1601,$AH88)&amp;"")</f>
        <v/>
      </c>
      <c r="T88" s="11">
        <f>IF($AH88="","",INDEX('Per Line'!$AI$2:$AI$1601,$AH88))</f>
        <v/>
      </c>
      <c r="U88">
        <f>IF($AH88="","",Settings!$C$8)</f>
        <v/>
      </c>
      <c r="V88" s="7">
        <f>IF($AH88="","",SUMIFS('Per Line'!$V$2:$V$1601,'Per Line'!$D$2:$D$1601,$B88,'Per Line'!$AN$2:$AN$1601,1))</f>
        <v/>
      </c>
      <c r="W88" s="7">
        <f>IF($AH88="","",V88*U88)</f>
        <v/>
      </c>
      <c r="X88">
        <f>IF($AH88="","",Settings!$C$7)</f>
        <v/>
      </c>
      <c r="Y88" s="7">
        <f>IF($AH88="","",SUMIFS('Per Line'!$V$2:$V$1601,'Per Line'!$D$2:$D$1601,$B88,'Per Line'!$AM$2:$AM$1601,0,'Per Line'!$AN$2:$AN$1601,0))</f>
        <v/>
      </c>
      <c r="Z88" s="7">
        <f>IF($AH88="","",Y88*X88)</f>
        <v/>
      </c>
      <c r="AA88">
        <f>IF($AH88="","",Settings!$C$6)</f>
        <v/>
      </c>
      <c r="AB88" s="7">
        <f>IF($AH88="","",SUMIFS('Per Line'!$V$2:$V$1601,'Per Line'!$D$2:$D$1601,$B88,'Per Line'!$AM$2:$AM$1601,1,'Per Line'!$AN$2:$AN$1601,0))</f>
        <v/>
      </c>
      <c r="AC88" s="7">
        <f>IF($AH88="","",AB88*AA88)</f>
        <v/>
      </c>
      <c r="AD88" s="7">
        <f>IF($AH88="","",AC88+Z88+W88)</f>
        <v/>
      </c>
      <c r="AE88" s="7">
        <f>IF($AH88="","",AF88-AD88)</f>
        <v/>
      </c>
      <c r="AF88" s="7">
        <f>IF($AH88="","",Y88+AB88+V88)</f>
        <v/>
      </c>
      <c r="AG88" s="7">
        <f>IF($AH88="","",AF88-AD88-N88)</f>
        <v/>
      </c>
      <c r="AH88" s="13">
        <f>IF(ROWS($AH$2:$AH88)&lt;=MAX('Per Line'!$AL$2:$AL$1601),MATCH(ROWS($AH$2:$AH88),'Per Line'!$AL$2:$AL$1601,0),"")</f>
        <v/>
      </c>
    </row>
    <row r="89">
      <c r="A89" s="12" t="n"/>
      <c r="B89">
        <f>IF($AH89="","",INDEX('Per Line'!$D$2:$D$1601,$AH89)&amp;"")</f>
        <v/>
      </c>
      <c r="C89">
        <f>IF($AH89="","",INDEX('Per Line'!$A$2:$A$1601,$AH89)&amp;"")</f>
        <v/>
      </c>
      <c r="D89">
        <f>IF($AH89="","",INDEX('Per Line'!$B$2:$B$1601,$AH89))</f>
        <v/>
      </c>
      <c r="E89">
        <f>IF($AH89="","",INDEX('Per Line'!$C$2:$C$1601,$AH89)&amp;"")</f>
        <v/>
      </c>
      <c r="F89">
        <f>IF($AH89="","",INDEX('Per Line'!$E$2:$E$1601,$AH89)&amp;"")</f>
        <v/>
      </c>
      <c r="G89" s="11">
        <f>IF($AH89="","",INDEX('Per Line'!$F$2:$F$1601,$AH89))</f>
        <v/>
      </c>
      <c r="H89">
        <f>IF($AH89="","",INDEX('Per Line'!$G$2:$G$1601,$AH89)&amp;"")</f>
        <v/>
      </c>
      <c r="I89">
        <f>IF($AH89="","",INDEX('Per Line'!$I$2:$I$1601,$AH89)&amp;"")</f>
        <v/>
      </c>
      <c r="J89">
        <f>IF($AH89="","",INDEX('Per Line'!$J$2:$J$1601,$AH89)&amp;"")</f>
        <v/>
      </c>
      <c r="K89">
        <f>IF($AH89="","",INDEX('Per Line'!$K$2:$K$1601,$AH89)&amp;"")</f>
        <v/>
      </c>
      <c r="L89">
        <f>IF($AH89="","",INDEX('Per Line'!$L$2:$L$1601,$AH89)&amp;"")</f>
        <v/>
      </c>
      <c r="M89">
        <f>IF($AH89="","",INDEX('Per Line'!$M$2:$M$1601,$AH89))</f>
        <v/>
      </c>
      <c r="N89" s="7">
        <f>IF($AH89="","",M89*AE89/100)</f>
        <v/>
      </c>
      <c r="O89">
        <f>IF($AH89="","",INDEX('Per Line'!$Z$2:$Z$1601,$AH89)&amp;"")</f>
        <v/>
      </c>
      <c r="P89">
        <f>IF($AH89="","",INDEX('Per Line'!$AC$2:$AC$1601,$AH89)&amp;"")</f>
        <v/>
      </c>
      <c r="Q89">
        <f>IF($AH89="","",INDEX('Per Line'!$AD$2:$AD$1601,$AH89))</f>
        <v/>
      </c>
      <c r="R89">
        <f>IF($AH89="","",IF(AND(ISNUMBER(Q89),Q89&gt;0),AF89&gt;Q89,FALSE))</f>
        <v/>
      </c>
      <c r="S89">
        <f>IF($AH89="","",INDEX('Per Line'!$AH$2:$AH$1601,$AH89)&amp;"")</f>
        <v/>
      </c>
      <c r="T89" s="11">
        <f>IF($AH89="","",INDEX('Per Line'!$AI$2:$AI$1601,$AH89))</f>
        <v/>
      </c>
      <c r="U89">
        <f>IF($AH89="","",Settings!$C$8)</f>
        <v/>
      </c>
      <c r="V89" s="7">
        <f>IF($AH89="","",SUMIFS('Per Line'!$V$2:$V$1601,'Per Line'!$D$2:$D$1601,$B89,'Per Line'!$AN$2:$AN$1601,1))</f>
        <v/>
      </c>
      <c r="W89" s="7">
        <f>IF($AH89="","",V89*U89)</f>
        <v/>
      </c>
      <c r="X89">
        <f>IF($AH89="","",Settings!$C$7)</f>
        <v/>
      </c>
      <c r="Y89" s="7">
        <f>IF($AH89="","",SUMIFS('Per Line'!$V$2:$V$1601,'Per Line'!$D$2:$D$1601,$B89,'Per Line'!$AM$2:$AM$1601,0,'Per Line'!$AN$2:$AN$1601,0))</f>
        <v/>
      </c>
      <c r="Z89" s="7">
        <f>IF($AH89="","",Y89*X89)</f>
        <v/>
      </c>
      <c r="AA89">
        <f>IF($AH89="","",Settings!$C$6)</f>
        <v/>
      </c>
      <c r="AB89" s="7">
        <f>IF($AH89="","",SUMIFS('Per Line'!$V$2:$V$1601,'Per Line'!$D$2:$D$1601,$B89,'Per Line'!$AM$2:$AM$1601,1,'Per Line'!$AN$2:$AN$1601,0))</f>
        <v/>
      </c>
      <c r="AC89" s="7">
        <f>IF($AH89="","",AB89*AA89)</f>
        <v/>
      </c>
      <c r="AD89" s="7">
        <f>IF($AH89="","",AC89+Z89+W89)</f>
        <v/>
      </c>
      <c r="AE89" s="7">
        <f>IF($AH89="","",AF89-AD89)</f>
        <v/>
      </c>
      <c r="AF89" s="7">
        <f>IF($AH89="","",Y89+AB89+V89)</f>
        <v/>
      </c>
      <c r="AG89" s="7">
        <f>IF($AH89="","",AF89-AD89-N89)</f>
        <v/>
      </c>
      <c r="AH89" s="13">
        <f>IF(ROWS($AH$2:$AH89)&lt;=MAX('Per Line'!$AL$2:$AL$1601),MATCH(ROWS($AH$2:$AH89),'Per Line'!$AL$2:$AL$1601,0),"")</f>
        <v/>
      </c>
    </row>
    <row r="90">
      <c r="A90" s="12" t="n"/>
      <c r="B90">
        <f>IF($AH90="","",INDEX('Per Line'!$D$2:$D$1601,$AH90)&amp;"")</f>
        <v/>
      </c>
      <c r="C90">
        <f>IF($AH90="","",INDEX('Per Line'!$A$2:$A$1601,$AH90)&amp;"")</f>
        <v/>
      </c>
      <c r="D90">
        <f>IF($AH90="","",INDEX('Per Line'!$B$2:$B$1601,$AH90))</f>
        <v/>
      </c>
      <c r="E90">
        <f>IF($AH90="","",INDEX('Per Line'!$C$2:$C$1601,$AH90)&amp;"")</f>
        <v/>
      </c>
      <c r="F90">
        <f>IF($AH90="","",INDEX('Per Line'!$E$2:$E$1601,$AH90)&amp;"")</f>
        <v/>
      </c>
      <c r="G90" s="11">
        <f>IF($AH90="","",INDEX('Per Line'!$F$2:$F$1601,$AH90))</f>
        <v/>
      </c>
      <c r="H90">
        <f>IF($AH90="","",INDEX('Per Line'!$G$2:$G$1601,$AH90)&amp;"")</f>
        <v/>
      </c>
      <c r="I90">
        <f>IF($AH90="","",INDEX('Per Line'!$I$2:$I$1601,$AH90)&amp;"")</f>
        <v/>
      </c>
      <c r="J90">
        <f>IF($AH90="","",INDEX('Per Line'!$J$2:$J$1601,$AH90)&amp;"")</f>
        <v/>
      </c>
      <c r="K90">
        <f>IF($AH90="","",INDEX('Per Line'!$K$2:$K$1601,$AH90)&amp;"")</f>
        <v/>
      </c>
      <c r="L90">
        <f>IF($AH90="","",INDEX('Per Line'!$L$2:$L$1601,$AH90)&amp;"")</f>
        <v/>
      </c>
      <c r="M90">
        <f>IF($AH90="","",INDEX('Per Line'!$M$2:$M$1601,$AH90))</f>
        <v/>
      </c>
      <c r="N90" s="7">
        <f>IF($AH90="","",M90*AE90/100)</f>
        <v/>
      </c>
      <c r="O90">
        <f>IF($AH90="","",INDEX('Per Line'!$Z$2:$Z$1601,$AH90)&amp;"")</f>
        <v/>
      </c>
      <c r="P90">
        <f>IF($AH90="","",INDEX('Per Line'!$AC$2:$AC$1601,$AH90)&amp;"")</f>
        <v/>
      </c>
      <c r="Q90">
        <f>IF($AH90="","",INDEX('Per Line'!$AD$2:$AD$1601,$AH90))</f>
        <v/>
      </c>
      <c r="R90">
        <f>IF($AH90="","",IF(AND(ISNUMBER(Q90),Q90&gt;0),AF90&gt;Q90,FALSE))</f>
        <v/>
      </c>
      <c r="S90">
        <f>IF($AH90="","",INDEX('Per Line'!$AH$2:$AH$1601,$AH90)&amp;"")</f>
        <v/>
      </c>
      <c r="T90" s="11">
        <f>IF($AH90="","",INDEX('Per Line'!$AI$2:$AI$1601,$AH90))</f>
        <v/>
      </c>
      <c r="U90">
        <f>IF($AH90="","",Settings!$C$8)</f>
        <v/>
      </c>
      <c r="V90" s="7">
        <f>IF($AH90="","",SUMIFS('Per Line'!$V$2:$V$1601,'Per Line'!$D$2:$D$1601,$B90,'Per Line'!$AN$2:$AN$1601,1))</f>
        <v/>
      </c>
      <c r="W90" s="7">
        <f>IF($AH90="","",V90*U90)</f>
        <v/>
      </c>
      <c r="X90">
        <f>IF($AH90="","",Settings!$C$7)</f>
        <v/>
      </c>
      <c r="Y90" s="7">
        <f>IF($AH90="","",SUMIFS('Per Line'!$V$2:$V$1601,'Per Line'!$D$2:$D$1601,$B90,'Per Line'!$AM$2:$AM$1601,0,'Per Line'!$AN$2:$AN$1601,0))</f>
        <v/>
      </c>
      <c r="Z90" s="7">
        <f>IF($AH90="","",Y90*X90)</f>
        <v/>
      </c>
      <c r="AA90">
        <f>IF($AH90="","",Settings!$C$6)</f>
        <v/>
      </c>
      <c r="AB90" s="7">
        <f>IF($AH90="","",SUMIFS('Per Line'!$V$2:$V$1601,'Per Line'!$D$2:$D$1601,$B90,'Per Line'!$AM$2:$AM$1601,1,'Per Line'!$AN$2:$AN$1601,0))</f>
        <v/>
      </c>
      <c r="AC90" s="7">
        <f>IF($AH90="","",AB90*AA90)</f>
        <v/>
      </c>
      <c r="AD90" s="7">
        <f>IF($AH90="","",AC90+Z90+W90)</f>
        <v/>
      </c>
      <c r="AE90" s="7">
        <f>IF($AH90="","",AF90-AD90)</f>
        <v/>
      </c>
      <c r="AF90" s="7">
        <f>IF($AH90="","",Y90+AB90+V90)</f>
        <v/>
      </c>
      <c r="AG90" s="7">
        <f>IF($AH90="","",AF90-AD90-N90)</f>
        <v/>
      </c>
      <c r="AH90" s="13">
        <f>IF(ROWS($AH$2:$AH90)&lt;=MAX('Per Line'!$AL$2:$AL$1601),MATCH(ROWS($AH$2:$AH90),'Per Line'!$AL$2:$AL$1601,0),"")</f>
        <v/>
      </c>
    </row>
    <row r="91">
      <c r="A91" s="12" t="n"/>
      <c r="B91">
        <f>IF($AH91="","",INDEX('Per Line'!$D$2:$D$1601,$AH91)&amp;"")</f>
        <v/>
      </c>
      <c r="C91">
        <f>IF($AH91="","",INDEX('Per Line'!$A$2:$A$1601,$AH91)&amp;"")</f>
        <v/>
      </c>
      <c r="D91">
        <f>IF($AH91="","",INDEX('Per Line'!$B$2:$B$1601,$AH91))</f>
        <v/>
      </c>
      <c r="E91">
        <f>IF($AH91="","",INDEX('Per Line'!$C$2:$C$1601,$AH91)&amp;"")</f>
        <v/>
      </c>
      <c r="F91">
        <f>IF($AH91="","",INDEX('Per Line'!$E$2:$E$1601,$AH91)&amp;"")</f>
        <v/>
      </c>
      <c r="G91" s="11">
        <f>IF($AH91="","",INDEX('Per Line'!$F$2:$F$1601,$AH91))</f>
        <v/>
      </c>
      <c r="H91">
        <f>IF($AH91="","",INDEX('Per Line'!$G$2:$G$1601,$AH91)&amp;"")</f>
        <v/>
      </c>
      <c r="I91">
        <f>IF($AH91="","",INDEX('Per Line'!$I$2:$I$1601,$AH91)&amp;"")</f>
        <v/>
      </c>
      <c r="J91">
        <f>IF($AH91="","",INDEX('Per Line'!$J$2:$J$1601,$AH91)&amp;"")</f>
        <v/>
      </c>
      <c r="K91">
        <f>IF($AH91="","",INDEX('Per Line'!$K$2:$K$1601,$AH91)&amp;"")</f>
        <v/>
      </c>
      <c r="L91">
        <f>IF($AH91="","",INDEX('Per Line'!$L$2:$L$1601,$AH91)&amp;"")</f>
        <v/>
      </c>
      <c r="M91">
        <f>IF($AH91="","",INDEX('Per Line'!$M$2:$M$1601,$AH91))</f>
        <v/>
      </c>
      <c r="N91" s="7">
        <f>IF($AH91="","",M91*AE91/100)</f>
        <v/>
      </c>
      <c r="O91">
        <f>IF($AH91="","",INDEX('Per Line'!$Z$2:$Z$1601,$AH91)&amp;"")</f>
        <v/>
      </c>
      <c r="P91">
        <f>IF($AH91="","",INDEX('Per Line'!$AC$2:$AC$1601,$AH91)&amp;"")</f>
        <v/>
      </c>
      <c r="Q91">
        <f>IF($AH91="","",INDEX('Per Line'!$AD$2:$AD$1601,$AH91))</f>
        <v/>
      </c>
      <c r="R91">
        <f>IF($AH91="","",IF(AND(ISNUMBER(Q91),Q91&gt;0),AF91&gt;Q91,FALSE))</f>
        <v/>
      </c>
      <c r="S91">
        <f>IF($AH91="","",INDEX('Per Line'!$AH$2:$AH$1601,$AH91)&amp;"")</f>
        <v/>
      </c>
      <c r="T91" s="11">
        <f>IF($AH91="","",INDEX('Per Line'!$AI$2:$AI$1601,$AH91))</f>
        <v/>
      </c>
      <c r="U91">
        <f>IF($AH91="","",Settings!$C$8)</f>
        <v/>
      </c>
      <c r="V91" s="7">
        <f>IF($AH91="","",SUMIFS('Per Line'!$V$2:$V$1601,'Per Line'!$D$2:$D$1601,$B91,'Per Line'!$AN$2:$AN$1601,1))</f>
        <v/>
      </c>
      <c r="W91" s="7">
        <f>IF($AH91="","",V91*U91)</f>
        <v/>
      </c>
      <c r="X91">
        <f>IF($AH91="","",Settings!$C$7)</f>
        <v/>
      </c>
      <c r="Y91" s="7">
        <f>IF($AH91="","",SUMIFS('Per Line'!$V$2:$V$1601,'Per Line'!$D$2:$D$1601,$B91,'Per Line'!$AM$2:$AM$1601,0,'Per Line'!$AN$2:$AN$1601,0))</f>
        <v/>
      </c>
      <c r="Z91" s="7">
        <f>IF($AH91="","",Y91*X91)</f>
        <v/>
      </c>
      <c r="AA91">
        <f>IF($AH91="","",Settings!$C$6)</f>
        <v/>
      </c>
      <c r="AB91" s="7">
        <f>IF($AH91="","",SUMIFS('Per Line'!$V$2:$V$1601,'Per Line'!$D$2:$D$1601,$B91,'Per Line'!$AM$2:$AM$1601,1,'Per Line'!$AN$2:$AN$1601,0))</f>
        <v/>
      </c>
      <c r="AC91" s="7">
        <f>IF($AH91="","",AB91*AA91)</f>
        <v/>
      </c>
      <c r="AD91" s="7">
        <f>IF($AH91="","",AC91+Z91+W91)</f>
        <v/>
      </c>
      <c r="AE91" s="7">
        <f>IF($AH91="","",AF91-AD91)</f>
        <v/>
      </c>
      <c r="AF91" s="7">
        <f>IF($AH91="","",Y91+AB91+V91)</f>
        <v/>
      </c>
      <c r="AG91" s="7">
        <f>IF($AH91="","",AF91-AD91-N91)</f>
        <v/>
      </c>
      <c r="AH91" s="13">
        <f>IF(ROWS($AH$2:$AH91)&lt;=MAX('Per Line'!$AL$2:$AL$1601),MATCH(ROWS($AH$2:$AH91),'Per Line'!$AL$2:$AL$1601,0),"")</f>
        <v/>
      </c>
    </row>
    <row r="92">
      <c r="A92" s="12" t="n"/>
      <c r="B92">
        <f>IF($AH92="","",INDEX('Per Line'!$D$2:$D$1601,$AH92)&amp;"")</f>
        <v/>
      </c>
      <c r="C92">
        <f>IF($AH92="","",INDEX('Per Line'!$A$2:$A$1601,$AH92)&amp;"")</f>
        <v/>
      </c>
      <c r="D92">
        <f>IF($AH92="","",INDEX('Per Line'!$B$2:$B$1601,$AH92))</f>
        <v/>
      </c>
      <c r="E92">
        <f>IF($AH92="","",INDEX('Per Line'!$C$2:$C$1601,$AH92)&amp;"")</f>
        <v/>
      </c>
      <c r="F92">
        <f>IF($AH92="","",INDEX('Per Line'!$E$2:$E$1601,$AH92)&amp;"")</f>
        <v/>
      </c>
      <c r="G92" s="11">
        <f>IF($AH92="","",INDEX('Per Line'!$F$2:$F$1601,$AH92))</f>
        <v/>
      </c>
      <c r="H92">
        <f>IF($AH92="","",INDEX('Per Line'!$G$2:$G$1601,$AH92)&amp;"")</f>
        <v/>
      </c>
      <c r="I92">
        <f>IF($AH92="","",INDEX('Per Line'!$I$2:$I$1601,$AH92)&amp;"")</f>
        <v/>
      </c>
      <c r="J92">
        <f>IF($AH92="","",INDEX('Per Line'!$J$2:$J$1601,$AH92)&amp;"")</f>
        <v/>
      </c>
      <c r="K92">
        <f>IF($AH92="","",INDEX('Per Line'!$K$2:$K$1601,$AH92)&amp;"")</f>
        <v/>
      </c>
      <c r="L92">
        <f>IF($AH92="","",INDEX('Per Line'!$L$2:$L$1601,$AH92)&amp;"")</f>
        <v/>
      </c>
      <c r="M92">
        <f>IF($AH92="","",INDEX('Per Line'!$M$2:$M$1601,$AH92))</f>
        <v/>
      </c>
      <c r="N92" s="7">
        <f>IF($AH92="","",M92*AE92/100)</f>
        <v/>
      </c>
      <c r="O92">
        <f>IF($AH92="","",INDEX('Per Line'!$Z$2:$Z$1601,$AH92)&amp;"")</f>
        <v/>
      </c>
      <c r="P92">
        <f>IF($AH92="","",INDEX('Per Line'!$AC$2:$AC$1601,$AH92)&amp;"")</f>
        <v/>
      </c>
      <c r="Q92">
        <f>IF($AH92="","",INDEX('Per Line'!$AD$2:$AD$1601,$AH92))</f>
        <v/>
      </c>
      <c r="R92">
        <f>IF($AH92="","",IF(AND(ISNUMBER(Q92),Q92&gt;0),AF92&gt;Q92,FALSE))</f>
        <v/>
      </c>
      <c r="S92">
        <f>IF($AH92="","",INDEX('Per Line'!$AH$2:$AH$1601,$AH92)&amp;"")</f>
        <v/>
      </c>
      <c r="T92" s="11">
        <f>IF($AH92="","",INDEX('Per Line'!$AI$2:$AI$1601,$AH92))</f>
        <v/>
      </c>
      <c r="U92">
        <f>IF($AH92="","",Settings!$C$8)</f>
        <v/>
      </c>
      <c r="V92" s="7">
        <f>IF($AH92="","",SUMIFS('Per Line'!$V$2:$V$1601,'Per Line'!$D$2:$D$1601,$B92,'Per Line'!$AN$2:$AN$1601,1))</f>
        <v/>
      </c>
      <c r="W92" s="7">
        <f>IF($AH92="","",V92*U92)</f>
        <v/>
      </c>
      <c r="X92">
        <f>IF($AH92="","",Settings!$C$7)</f>
        <v/>
      </c>
      <c r="Y92" s="7">
        <f>IF($AH92="","",SUMIFS('Per Line'!$V$2:$V$1601,'Per Line'!$D$2:$D$1601,$B92,'Per Line'!$AM$2:$AM$1601,0,'Per Line'!$AN$2:$AN$1601,0))</f>
        <v/>
      </c>
      <c r="Z92" s="7">
        <f>IF($AH92="","",Y92*X92)</f>
        <v/>
      </c>
      <c r="AA92">
        <f>IF($AH92="","",Settings!$C$6)</f>
        <v/>
      </c>
      <c r="AB92" s="7">
        <f>IF($AH92="","",SUMIFS('Per Line'!$V$2:$V$1601,'Per Line'!$D$2:$D$1601,$B92,'Per Line'!$AM$2:$AM$1601,1,'Per Line'!$AN$2:$AN$1601,0))</f>
        <v/>
      </c>
      <c r="AC92" s="7">
        <f>IF($AH92="","",AB92*AA92)</f>
        <v/>
      </c>
      <c r="AD92" s="7">
        <f>IF($AH92="","",AC92+Z92+W92)</f>
        <v/>
      </c>
      <c r="AE92" s="7">
        <f>IF($AH92="","",AF92-AD92)</f>
        <v/>
      </c>
      <c r="AF92" s="7">
        <f>IF($AH92="","",Y92+AB92+V92)</f>
        <v/>
      </c>
      <c r="AG92" s="7">
        <f>IF($AH92="","",AF92-AD92-N92)</f>
        <v/>
      </c>
      <c r="AH92" s="13">
        <f>IF(ROWS($AH$2:$AH92)&lt;=MAX('Per Line'!$AL$2:$AL$1601),MATCH(ROWS($AH$2:$AH92),'Per Line'!$AL$2:$AL$1601,0),"")</f>
        <v/>
      </c>
    </row>
    <row r="93">
      <c r="A93" s="12" t="n"/>
      <c r="B93">
        <f>IF($AH93="","",INDEX('Per Line'!$D$2:$D$1601,$AH93)&amp;"")</f>
        <v/>
      </c>
      <c r="C93">
        <f>IF($AH93="","",INDEX('Per Line'!$A$2:$A$1601,$AH93)&amp;"")</f>
        <v/>
      </c>
      <c r="D93">
        <f>IF($AH93="","",INDEX('Per Line'!$B$2:$B$1601,$AH93))</f>
        <v/>
      </c>
      <c r="E93">
        <f>IF($AH93="","",INDEX('Per Line'!$C$2:$C$1601,$AH93)&amp;"")</f>
        <v/>
      </c>
      <c r="F93">
        <f>IF($AH93="","",INDEX('Per Line'!$E$2:$E$1601,$AH93)&amp;"")</f>
        <v/>
      </c>
      <c r="G93" s="11">
        <f>IF($AH93="","",INDEX('Per Line'!$F$2:$F$1601,$AH93))</f>
        <v/>
      </c>
      <c r="H93">
        <f>IF($AH93="","",INDEX('Per Line'!$G$2:$G$1601,$AH93)&amp;"")</f>
        <v/>
      </c>
      <c r="I93">
        <f>IF($AH93="","",INDEX('Per Line'!$I$2:$I$1601,$AH93)&amp;"")</f>
        <v/>
      </c>
      <c r="J93">
        <f>IF($AH93="","",INDEX('Per Line'!$J$2:$J$1601,$AH93)&amp;"")</f>
        <v/>
      </c>
      <c r="K93">
        <f>IF($AH93="","",INDEX('Per Line'!$K$2:$K$1601,$AH93)&amp;"")</f>
        <v/>
      </c>
      <c r="L93">
        <f>IF($AH93="","",INDEX('Per Line'!$L$2:$L$1601,$AH93)&amp;"")</f>
        <v/>
      </c>
      <c r="M93">
        <f>IF($AH93="","",INDEX('Per Line'!$M$2:$M$1601,$AH93))</f>
        <v/>
      </c>
      <c r="N93" s="7">
        <f>IF($AH93="","",M93*AE93/100)</f>
        <v/>
      </c>
      <c r="O93">
        <f>IF($AH93="","",INDEX('Per Line'!$Z$2:$Z$1601,$AH93)&amp;"")</f>
        <v/>
      </c>
      <c r="P93">
        <f>IF($AH93="","",INDEX('Per Line'!$AC$2:$AC$1601,$AH93)&amp;"")</f>
        <v/>
      </c>
      <c r="Q93">
        <f>IF($AH93="","",INDEX('Per Line'!$AD$2:$AD$1601,$AH93))</f>
        <v/>
      </c>
      <c r="R93">
        <f>IF($AH93="","",IF(AND(ISNUMBER(Q93),Q93&gt;0),AF93&gt;Q93,FALSE))</f>
        <v/>
      </c>
      <c r="S93">
        <f>IF($AH93="","",INDEX('Per Line'!$AH$2:$AH$1601,$AH93)&amp;"")</f>
        <v/>
      </c>
      <c r="T93" s="11">
        <f>IF($AH93="","",INDEX('Per Line'!$AI$2:$AI$1601,$AH93))</f>
        <v/>
      </c>
      <c r="U93">
        <f>IF($AH93="","",Settings!$C$8)</f>
        <v/>
      </c>
      <c r="V93" s="7">
        <f>IF($AH93="","",SUMIFS('Per Line'!$V$2:$V$1601,'Per Line'!$D$2:$D$1601,$B93,'Per Line'!$AN$2:$AN$1601,1))</f>
        <v/>
      </c>
      <c r="W93" s="7">
        <f>IF($AH93="","",V93*U93)</f>
        <v/>
      </c>
      <c r="X93">
        <f>IF($AH93="","",Settings!$C$7)</f>
        <v/>
      </c>
      <c r="Y93" s="7">
        <f>IF($AH93="","",SUMIFS('Per Line'!$V$2:$V$1601,'Per Line'!$D$2:$D$1601,$B93,'Per Line'!$AM$2:$AM$1601,0,'Per Line'!$AN$2:$AN$1601,0))</f>
        <v/>
      </c>
      <c r="Z93" s="7">
        <f>IF($AH93="","",Y93*X93)</f>
        <v/>
      </c>
      <c r="AA93">
        <f>IF($AH93="","",Settings!$C$6)</f>
        <v/>
      </c>
      <c r="AB93" s="7">
        <f>IF($AH93="","",SUMIFS('Per Line'!$V$2:$V$1601,'Per Line'!$D$2:$D$1601,$B93,'Per Line'!$AM$2:$AM$1601,1,'Per Line'!$AN$2:$AN$1601,0))</f>
        <v/>
      </c>
      <c r="AC93" s="7">
        <f>IF($AH93="","",AB93*AA93)</f>
        <v/>
      </c>
      <c r="AD93" s="7">
        <f>IF($AH93="","",AC93+Z93+W93)</f>
        <v/>
      </c>
      <c r="AE93" s="7">
        <f>IF($AH93="","",AF93-AD93)</f>
        <v/>
      </c>
      <c r="AF93" s="7">
        <f>IF($AH93="","",Y93+AB93+V93)</f>
        <v/>
      </c>
      <c r="AG93" s="7">
        <f>IF($AH93="","",AF93-AD93-N93)</f>
        <v/>
      </c>
      <c r="AH93" s="13">
        <f>IF(ROWS($AH$2:$AH93)&lt;=MAX('Per Line'!$AL$2:$AL$1601),MATCH(ROWS($AH$2:$AH93),'Per Line'!$AL$2:$AL$1601,0),"")</f>
        <v/>
      </c>
    </row>
    <row r="94">
      <c r="A94" s="12" t="n"/>
      <c r="B94">
        <f>IF($AH94="","",INDEX('Per Line'!$D$2:$D$1601,$AH94)&amp;"")</f>
        <v/>
      </c>
      <c r="C94">
        <f>IF($AH94="","",INDEX('Per Line'!$A$2:$A$1601,$AH94)&amp;"")</f>
        <v/>
      </c>
      <c r="D94">
        <f>IF($AH94="","",INDEX('Per Line'!$B$2:$B$1601,$AH94))</f>
        <v/>
      </c>
      <c r="E94">
        <f>IF($AH94="","",INDEX('Per Line'!$C$2:$C$1601,$AH94)&amp;"")</f>
        <v/>
      </c>
      <c r="F94">
        <f>IF($AH94="","",INDEX('Per Line'!$E$2:$E$1601,$AH94)&amp;"")</f>
        <v/>
      </c>
      <c r="G94" s="11">
        <f>IF($AH94="","",INDEX('Per Line'!$F$2:$F$1601,$AH94))</f>
        <v/>
      </c>
      <c r="H94">
        <f>IF($AH94="","",INDEX('Per Line'!$G$2:$G$1601,$AH94)&amp;"")</f>
        <v/>
      </c>
      <c r="I94">
        <f>IF($AH94="","",INDEX('Per Line'!$I$2:$I$1601,$AH94)&amp;"")</f>
        <v/>
      </c>
      <c r="J94">
        <f>IF($AH94="","",INDEX('Per Line'!$J$2:$J$1601,$AH94)&amp;"")</f>
        <v/>
      </c>
      <c r="K94">
        <f>IF($AH94="","",INDEX('Per Line'!$K$2:$K$1601,$AH94)&amp;"")</f>
        <v/>
      </c>
      <c r="L94">
        <f>IF($AH94="","",INDEX('Per Line'!$L$2:$L$1601,$AH94)&amp;"")</f>
        <v/>
      </c>
      <c r="M94">
        <f>IF($AH94="","",INDEX('Per Line'!$M$2:$M$1601,$AH94))</f>
        <v/>
      </c>
      <c r="N94" s="7">
        <f>IF($AH94="","",M94*AE94/100)</f>
        <v/>
      </c>
      <c r="O94">
        <f>IF($AH94="","",INDEX('Per Line'!$Z$2:$Z$1601,$AH94)&amp;"")</f>
        <v/>
      </c>
      <c r="P94">
        <f>IF($AH94="","",INDEX('Per Line'!$AC$2:$AC$1601,$AH94)&amp;"")</f>
        <v/>
      </c>
      <c r="Q94">
        <f>IF($AH94="","",INDEX('Per Line'!$AD$2:$AD$1601,$AH94))</f>
        <v/>
      </c>
      <c r="R94">
        <f>IF($AH94="","",IF(AND(ISNUMBER(Q94),Q94&gt;0),AF94&gt;Q94,FALSE))</f>
        <v/>
      </c>
      <c r="S94">
        <f>IF($AH94="","",INDEX('Per Line'!$AH$2:$AH$1601,$AH94)&amp;"")</f>
        <v/>
      </c>
      <c r="T94" s="11">
        <f>IF($AH94="","",INDEX('Per Line'!$AI$2:$AI$1601,$AH94))</f>
        <v/>
      </c>
      <c r="U94">
        <f>IF($AH94="","",Settings!$C$8)</f>
        <v/>
      </c>
      <c r="V94" s="7">
        <f>IF($AH94="","",SUMIFS('Per Line'!$V$2:$V$1601,'Per Line'!$D$2:$D$1601,$B94,'Per Line'!$AN$2:$AN$1601,1))</f>
        <v/>
      </c>
      <c r="W94" s="7">
        <f>IF($AH94="","",V94*U94)</f>
        <v/>
      </c>
      <c r="X94">
        <f>IF($AH94="","",Settings!$C$7)</f>
        <v/>
      </c>
      <c r="Y94" s="7">
        <f>IF($AH94="","",SUMIFS('Per Line'!$V$2:$V$1601,'Per Line'!$D$2:$D$1601,$B94,'Per Line'!$AM$2:$AM$1601,0,'Per Line'!$AN$2:$AN$1601,0))</f>
        <v/>
      </c>
      <c r="Z94" s="7">
        <f>IF($AH94="","",Y94*X94)</f>
        <v/>
      </c>
      <c r="AA94">
        <f>IF($AH94="","",Settings!$C$6)</f>
        <v/>
      </c>
      <c r="AB94" s="7">
        <f>IF($AH94="","",SUMIFS('Per Line'!$V$2:$V$1601,'Per Line'!$D$2:$D$1601,$B94,'Per Line'!$AM$2:$AM$1601,1,'Per Line'!$AN$2:$AN$1601,0))</f>
        <v/>
      </c>
      <c r="AC94" s="7">
        <f>IF($AH94="","",AB94*AA94)</f>
        <v/>
      </c>
      <c r="AD94" s="7">
        <f>IF($AH94="","",AC94+Z94+W94)</f>
        <v/>
      </c>
      <c r="AE94" s="7">
        <f>IF($AH94="","",AF94-AD94)</f>
        <v/>
      </c>
      <c r="AF94" s="7">
        <f>IF($AH94="","",Y94+AB94+V94)</f>
        <v/>
      </c>
      <c r="AG94" s="7">
        <f>IF($AH94="","",AF94-AD94-N94)</f>
        <v/>
      </c>
      <c r="AH94" s="13">
        <f>IF(ROWS($AH$2:$AH94)&lt;=MAX('Per Line'!$AL$2:$AL$1601),MATCH(ROWS($AH$2:$AH94),'Per Line'!$AL$2:$AL$1601,0),"")</f>
        <v/>
      </c>
    </row>
    <row r="95">
      <c r="A95" s="12" t="n"/>
      <c r="B95">
        <f>IF($AH95="","",INDEX('Per Line'!$D$2:$D$1601,$AH95)&amp;"")</f>
        <v/>
      </c>
      <c r="C95">
        <f>IF($AH95="","",INDEX('Per Line'!$A$2:$A$1601,$AH95)&amp;"")</f>
        <v/>
      </c>
      <c r="D95">
        <f>IF($AH95="","",INDEX('Per Line'!$B$2:$B$1601,$AH95))</f>
        <v/>
      </c>
      <c r="E95">
        <f>IF($AH95="","",INDEX('Per Line'!$C$2:$C$1601,$AH95)&amp;"")</f>
        <v/>
      </c>
      <c r="F95">
        <f>IF($AH95="","",INDEX('Per Line'!$E$2:$E$1601,$AH95)&amp;"")</f>
        <v/>
      </c>
      <c r="G95" s="11">
        <f>IF($AH95="","",INDEX('Per Line'!$F$2:$F$1601,$AH95))</f>
        <v/>
      </c>
      <c r="H95">
        <f>IF($AH95="","",INDEX('Per Line'!$G$2:$G$1601,$AH95)&amp;"")</f>
        <v/>
      </c>
      <c r="I95">
        <f>IF($AH95="","",INDEX('Per Line'!$I$2:$I$1601,$AH95)&amp;"")</f>
        <v/>
      </c>
      <c r="J95">
        <f>IF($AH95="","",INDEX('Per Line'!$J$2:$J$1601,$AH95)&amp;"")</f>
        <v/>
      </c>
      <c r="K95">
        <f>IF($AH95="","",INDEX('Per Line'!$K$2:$K$1601,$AH95)&amp;"")</f>
        <v/>
      </c>
      <c r="L95">
        <f>IF($AH95="","",INDEX('Per Line'!$L$2:$L$1601,$AH95)&amp;"")</f>
        <v/>
      </c>
      <c r="M95">
        <f>IF($AH95="","",INDEX('Per Line'!$M$2:$M$1601,$AH95))</f>
        <v/>
      </c>
      <c r="N95" s="7">
        <f>IF($AH95="","",M95*AE95/100)</f>
        <v/>
      </c>
      <c r="O95">
        <f>IF($AH95="","",INDEX('Per Line'!$Z$2:$Z$1601,$AH95)&amp;"")</f>
        <v/>
      </c>
      <c r="P95">
        <f>IF($AH95="","",INDEX('Per Line'!$AC$2:$AC$1601,$AH95)&amp;"")</f>
        <v/>
      </c>
      <c r="Q95">
        <f>IF($AH95="","",INDEX('Per Line'!$AD$2:$AD$1601,$AH95))</f>
        <v/>
      </c>
      <c r="R95">
        <f>IF($AH95="","",IF(AND(ISNUMBER(Q95),Q95&gt;0),AF95&gt;Q95,FALSE))</f>
        <v/>
      </c>
      <c r="S95">
        <f>IF($AH95="","",INDEX('Per Line'!$AH$2:$AH$1601,$AH95)&amp;"")</f>
        <v/>
      </c>
      <c r="T95" s="11">
        <f>IF($AH95="","",INDEX('Per Line'!$AI$2:$AI$1601,$AH95))</f>
        <v/>
      </c>
      <c r="U95">
        <f>IF($AH95="","",Settings!$C$8)</f>
        <v/>
      </c>
      <c r="V95" s="7">
        <f>IF($AH95="","",SUMIFS('Per Line'!$V$2:$V$1601,'Per Line'!$D$2:$D$1601,$B95,'Per Line'!$AN$2:$AN$1601,1))</f>
        <v/>
      </c>
      <c r="W95" s="7">
        <f>IF($AH95="","",V95*U95)</f>
        <v/>
      </c>
      <c r="X95">
        <f>IF($AH95="","",Settings!$C$7)</f>
        <v/>
      </c>
      <c r="Y95" s="7">
        <f>IF($AH95="","",SUMIFS('Per Line'!$V$2:$V$1601,'Per Line'!$D$2:$D$1601,$B95,'Per Line'!$AM$2:$AM$1601,0,'Per Line'!$AN$2:$AN$1601,0))</f>
        <v/>
      </c>
      <c r="Z95" s="7">
        <f>IF($AH95="","",Y95*X95)</f>
        <v/>
      </c>
      <c r="AA95">
        <f>IF($AH95="","",Settings!$C$6)</f>
        <v/>
      </c>
      <c r="AB95" s="7">
        <f>IF($AH95="","",SUMIFS('Per Line'!$V$2:$V$1601,'Per Line'!$D$2:$D$1601,$B95,'Per Line'!$AM$2:$AM$1601,1,'Per Line'!$AN$2:$AN$1601,0))</f>
        <v/>
      </c>
      <c r="AC95" s="7">
        <f>IF($AH95="","",AB95*AA95)</f>
        <v/>
      </c>
      <c r="AD95" s="7">
        <f>IF($AH95="","",AC95+Z95+W95)</f>
        <v/>
      </c>
      <c r="AE95" s="7">
        <f>IF($AH95="","",AF95-AD95)</f>
        <v/>
      </c>
      <c r="AF95" s="7">
        <f>IF($AH95="","",Y95+AB95+V95)</f>
        <v/>
      </c>
      <c r="AG95" s="7">
        <f>IF($AH95="","",AF95-AD95-N95)</f>
        <v/>
      </c>
      <c r="AH95" s="13">
        <f>IF(ROWS($AH$2:$AH95)&lt;=MAX('Per Line'!$AL$2:$AL$1601),MATCH(ROWS($AH$2:$AH95),'Per Line'!$AL$2:$AL$1601,0),"")</f>
        <v/>
      </c>
    </row>
    <row r="96">
      <c r="A96" s="12" t="n"/>
      <c r="B96">
        <f>IF($AH96="","",INDEX('Per Line'!$D$2:$D$1601,$AH96)&amp;"")</f>
        <v/>
      </c>
      <c r="C96">
        <f>IF($AH96="","",INDEX('Per Line'!$A$2:$A$1601,$AH96)&amp;"")</f>
        <v/>
      </c>
      <c r="D96">
        <f>IF($AH96="","",INDEX('Per Line'!$B$2:$B$1601,$AH96))</f>
        <v/>
      </c>
      <c r="E96">
        <f>IF($AH96="","",INDEX('Per Line'!$C$2:$C$1601,$AH96)&amp;"")</f>
        <v/>
      </c>
      <c r="F96">
        <f>IF($AH96="","",INDEX('Per Line'!$E$2:$E$1601,$AH96)&amp;"")</f>
        <v/>
      </c>
      <c r="G96" s="11">
        <f>IF($AH96="","",INDEX('Per Line'!$F$2:$F$1601,$AH96))</f>
        <v/>
      </c>
      <c r="H96">
        <f>IF($AH96="","",INDEX('Per Line'!$G$2:$G$1601,$AH96)&amp;"")</f>
        <v/>
      </c>
      <c r="I96">
        <f>IF($AH96="","",INDEX('Per Line'!$I$2:$I$1601,$AH96)&amp;"")</f>
        <v/>
      </c>
      <c r="J96">
        <f>IF($AH96="","",INDEX('Per Line'!$J$2:$J$1601,$AH96)&amp;"")</f>
        <v/>
      </c>
      <c r="K96">
        <f>IF($AH96="","",INDEX('Per Line'!$K$2:$K$1601,$AH96)&amp;"")</f>
        <v/>
      </c>
      <c r="L96">
        <f>IF($AH96="","",INDEX('Per Line'!$L$2:$L$1601,$AH96)&amp;"")</f>
        <v/>
      </c>
      <c r="M96">
        <f>IF($AH96="","",INDEX('Per Line'!$M$2:$M$1601,$AH96))</f>
        <v/>
      </c>
      <c r="N96" s="7">
        <f>IF($AH96="","",M96*AE96/100)</f>
        <v/>
      </c>
      <c r="O96">
        <f>IF($AH96="","",INDEX('Per Line'!$Z$2:$Z$1601,$AH96)&amp;"")</f>
        <v/>
      </c>
      <c r="P96">
        <f>IF($AH96="","",INDEX('Per Line'!$AC$2:$AC$1601,$AH96)&amp;"")</f>
        <v/>
      </c>
      <c r="Q96">
        <f>IF($AH96="","",INDEX('Per Line'!$AD$2:$AD$1601,$AH96))</f>
        <v/>
      </c>
      <c r="R96">
        <f>IF($AH96="","",IF(AND(ISNUMBER(Q96),Q96&gt;0),AF96&gt;Q96,FALSE))</f>
        <v/>
      </c>
      <c r="S96">
        <f>IF($AH96="","",INDEX('Per Line'!$AH$2:$AH$1601,$AH96)&amp;"")</f>
        <v/>
      </c>
      <c r="T96" s="11">
        <f>IF($AH96="","",INDEX('Per Line'!$AI$2:$AI$1601,$AH96))</f>
        <v/>
      </c>
      <c r="U96">
        <f>IF($AH96="","",Settings!$C$8)</f>
        <v/>
      </c>
      <c r="V96" s="7">
        <f>IF($AH96="","",SUMIFS('Per Line'!$V$2:$V$1601,'Per Line'!$D$2:$D$1601,$B96,'Per Line'!$AN$2:$AN$1601,1))</f>
        <v/>
      </c>
      <c r="W96" s="7">
        <f>IF($AH96="","",V96*U96)</f>
        <v/>
      </c>
      <c r="X96">
        <f>IF($AH96="","",Settings!$C$7)</f>
        <v/>
      </c>
      <c r="Y96" s="7">
        <f>IF($AH96="","",SUMIFS('Per Line'!$V$2:$V$1601,'Per Line'!$D$2:$D$1601,$B96,'Per Line'!$AM$2:$AM$1601,0,'Per Line'!$AN$2:$AN$1601,0))</f>
        <v/>
      </c>
      <c r="Z96" s="7">
        <f>IF($AH96="","",Y96*X96)</f>
        <v/>
      </c>
      <c r="AA96">
        <f>IF($AH96="","",Settings!$C$6)</f>
        <v/>
      </c>
      <c r="AB96" s="7">
        <f>IF($AH96="","",SUMIFS('Per Line'!$V$2:$V$1601,'Per Line'!$D$2:$D$1601,$B96,'Per Line'!$AM$2:$AM$1601,1,'Per Line'!$AN$2:$AN$1601,0))</f>
        <v/>
      </c>
      <c r="AC96" s="7">
        <f>IF($AH96="","",AB96*AA96)</f>
        <v/>
      </c>
      <c r="AD96" s="7">
        <f>IF($AH96="","",AC96+Z96+W96)</f>
        <v/>
      </c>
      <c r="AE96" s="7">
        <f>IF($AH96="","",AF96-AD96)</f>
        <v/>
      </c>
      <c r="AF96" s="7">
        <f>IF($AH96="","",Y96+AB96+V96)</f>
        <v/>
      </c>
      <c r="AG96" s="7">
        <f>IF($AH96="","",AF96-AD96-N96)</f>
        <v/>
      </c>
      <c r="AH96" s="13">
        <f>IF(ROWS($AH$2:$AH96)&lt;=MAX('Per Line'!$AL$2:$AL$1601),MATCH(ROWS($AH$2:$AH96),'Per Line'!$AL$2:$AL$1601,0),"")</f>
        <v/>
      </c>
    </row>
    <row r="97">
      <c r="A97" s="12" t="n"/>
      <c r="B97">
        <f>IF($AH97="","",INDEX('Per Line'!$D$2:$D$1601,$AH97)&amp;"")</f>
        <v/>
      </c>
      <c r="C97">
        <f>IF($AH97="","",INDEX('Per Line'!$A$2:$A$1601,$AH97)&amp;"")</f>
        <v/>
      </c>
      <c r="D97">
        <f>IF($AH97="","",INDEX('Per Line'!$B$2:$B$1601,$AH97))</f>
        <v/>
      </c>
      <c r="E97">
        <f>IF($AH97="","",INDEX('Per Line'!$C$2:$C$1601,$AH97)&amp;"")</f>
        <v/>
      </c>
      <c r="F97">
        <f>IF($AH97="","",INDEX('Per Line'!$E$2:$E$1601,$AH97)&amp;"")</f>
        <v/>
      </c>
      <c r="G97" s="11">
        <f>IF($AH97="","",INDEX('Per Line'!$F$2:$F$1601,$AH97))</f>
        <v/>
      </c>
      <c r="H97">
        <f>IF($AH97="","",INDEX('Per Line'!$G$2:$G$1601,$AH97)&amp;"")</f>
        <v/>
      </c>
      <c r="I97">
        <f>IF($AH97="","",INDEX('Per Line'!$I$2:$I$1601,$AH97)&amp;"")</f>
        <v/>
      </c>
      <c r="J97">
        <f>IF($AH97="","",INDEX('Per Line'!$J$2:$J$1601,$AH97)&amp;"")</f>
        <v/>
      </c>
      <c r="K97">
        <f>IF($AH97="","",INDEX('Per Line'!$K$2:$K$1601,$AH97)&amp;"")</f>
        <v/>
      </c>
      <c r="L97">
        <f>IF($AH97="","",INDEX('Per Line'!$L$2:$L$1601,$AH97)&amp;"")</f>
        <v/>
      </c>
      <c r="M97">
        <f>IF($AH97="","",INDEX('Per Line'!$M$2:$M$1601,$AH97))</f>
        <v/>
      </c>
      <c r="N97" s="7">
        <f>IF($AH97="","",M97*AE97/100)</f>
        <v/>
      </c>
      <c r="O97">
        <f>IF($AH97="","",INDEX('Per Line'!$Z$2:$Z$1601,$AH97)&amp;"")</f>
        <v/>
      </c>
      <c r="P97">
        <f>IF($AH97="","",INDEX('Per Line'!$AC$2:$AC$1601,$AH97)&amp;"")</f>
        <v/>
      </c>
      <c r="Q97">
        <f>IF($AH97="","",INDEX('Per Line'!$AD$2:$AD$1601,$AH97))</f>
        <v/>
      </c>
      <c r="R97">
        <f>IF($AH97="","",IF(AND(ISNUMBER(Q97),Q97&gt;0),AF97&gt;Q97,FALSE))</f>
        <v/>
      </c>
      <c r="S97">
        <f>IF($AH97="","",INDEX('Per Line'!$AH$2:$AH$1601,$AH97)&amp;"")</f>
        <v/>
      </c>
      <c r="T97" s="11">
        <f>IF($AH97="","",INDEX('Per Line'!$AI$2:$AI$1601,$AH97))</f>
        <v/>
      </c>
      <c r="U97">
        <f>IF($AH97="","",Settings!$C$8)</f>
        <v/>
      </c>
      <c r="V97" s="7">
        <f>IF($AH97="","",SUMIFS('Per Line'!$V$2:$V$1601,'Per Line'!$D$2:$D$1601,$B97,'Per Line'!$AN$2:$AN$1601,1))</f>
        <v/>
      </c>
      <c r="W97" s="7">
        <f>IF($AH97="","",V97*U97)</f>
        <v/>
      </c>
      <c r="X97">
        <f>IF($AH97="","",Settings!$C$7)</f>
        <v/>
      </c>
      <c r="Y97" s="7">
        <f>IF($AH97="","",SUMIFS('Per Line'!$V$2:$V$1601,'Per Line'!$D$2:$D$1601,$B97,'Per Line'!$AM$2:$AM$1601,0,'Per Line'!$AN$2:$AN$1601,0))</f>
        <v/>
      </c>
      <c r="Z97" s="7">
        <f>IF($AH97="","",Y97*X97)</f>
        <v/>
      </c>
      <c r="AA97">
        <f>IF($AH97="","",Settings!$C$6)</f>
        <v/>
      </c>
      <c r="AB97" s="7">
        <f>IF($AH97="","",SUMIFS('Per Line'!$V$2:$V$1601,'Per Line'!$D$2:$D$1601,$B97,'Per Line'!$AM$2:$AM$1601,1,'Per Line'!$AN$2:$AN$1601,0))</f>
        <v/>
      </c>
      <c r="AC97" s="7">
        <f>IF($AH97="","",AB97*AA97)</f>
        <v/>
      </c>
      <c r="AD97" s="7">
        <f>IF($AH97="","",AC97+Z97+W97)</f>
        <v/>
      </c>
      <c r="AE97" s="7">
        <f>IF($AH97="","",AF97-AD97)</f>
        <v/>
      </c>
      <c r="AF97" s="7">
        <f>IF($AH97="","",Y97+AB97+V97)</f>
        <v/>
      </c>
      <c r="AG97" s="7">
        <f>IF($AH97="","",AF97-AD97-N97)</f>
        <v/>
      </c>
      <c r="AH97" s="13">
        <f>IF(ROWS($AH$2:$AH97)&lt;=MAX('Per Line'!$AL$2:$AL$1601),MATCH(ROWS($AH$2:$AH97),'Per Line'!$AL$2:$AL$1601,0),"")</f>
        <v/>
      </c>
    </row>
    <row r="98">
      <c r="A98" s="12" t="n"/>
      <c r="B98">
        <f>IF($AH98="","",INDEX('Per Line'!$D$2:$D$1601,$AH98)&amp;"")</f>
        <v/>
      </c>
      <c r="C98">
        <f>IF($AH98="","",INDEX('Per Line'!$A$2:$A$1601,$AH98)&amp;"")</f>
        <v/>
      </c>
      <c r="D98">
        <f>IF($AH98="","",INDEX('Per Line'!$B$2:$B$1601,$AH98))</f>
        <v/>
      </c>
      <c r="E98">
        <f>IF($AH98="","",INDEX('Per Line'!$C$2:$C$1601,$AH98)&amp;"")</f>
        <v/>
      </c>
      <c r="F98">
        <f>IF($AH98="","",INDEX('Per Line'!$E$2:$E$1601,$AH98)&amp;"")</f>
        <v/>
      </c>
      <c r="G98" s="11">
        <f>IF($AH98="","",INDEX('Per Line'!$F$2:$F$1601,$AH98))</f>
        <v/>
      </c>
      <c r="H98">
        <f>IF($AH98="","",INDEX('Per Line'!$G$2:$G$1601,$AH98)&amp;"")</f>
        <v/>
      </c>
      <c r="I98">
        <f>IF($AH98="","",INDEX('Per Line'!$I$2:$I$1601,$AH98)&amp;"")</f>
        <v/>
      </c>
      <c r="J98">
        <f>IF($AH98="","",INDEX('Per Line'!$J$2:$J$1601,$AH98)&amp;"")</f>
        <v/>
      </c>
      <c r="K98">
        <f>IF($AH98="","",INDEX('Per Line'!$K$2:$K$1601,$AH98)&amp;"")</f>
        <v/>
      </c>
      <c r="L98">
        <f>IF($AH98="","",INDEX('Per Line'!$L$2:$L$1601,$AH98)&amp;"")</f>
        <v/>
      </c>
      <c r="M98">
        <f>IF($AH98="","",INDEX('Per Line'!$M$2:$M$1601,$AH98))</f>
        <v/>
      </c>
      <c r="N98" s="7">
        <f>IF($AH98="","",M98*AE98/100)</f>
        <v/>
      </c>
      <c r="O98">
        <f>IF($AH98="","",INDEX('Per Line'!$Z$2:$Z$1601,$AH98)&amp;"")</f>
        <v/>
      </c>
      <c r="P98">
        <f>IF($AH98="","",INDEX('Per Line'!$AC$2:$AC$1601,$AH98)&amp;"")</f>
        <v/>
      </c>
      <c r="Q98">
        <f>IF($AH98="","",INDEX('Per Line'!$AD$2:$AD$1601,$AH98))</f>
        <v/>
      </c>
      <c r="R98">
        <f>IF($AH98="","",IF(AND(ISNUMBER(Q98),Q98&gt;0),AF98&gt;Q98,FALSE))</f>
        <v/>
      </c>
      <c r="S98">
        <f>IF($AH98="","",INDEX('Per Line'!$AH$2:$AH$1601,$AH98)&amp;"")</f>
        <v/>
      </c>
      <c r="T98" s="11">
        <f>IF($AH98="","",INDEX('Per Line'!$AI$2:$AI$1601,$AH98))</f>
        <v/>
      </c>
      <c r="U98">
        <f>IF($AH98="","",Settings!$C$8)</f>
        <v/>
      </c>
      <c r="V98" s="7">
        <f>IF($AH98="","",SUMIFS('Per Line'!$V$2:$V$1601,'Per Line'!$D$2:$D$1601,$B98,'Per Line'!$AN$2:$AN$1601,1))</f>
        <v/>
      </c>
      <c r="W98" s="7">
        <f>IF($AH98="","",V98*U98)</f>
        <v/>
      </c>
      <c r="X98">
        <f>IF($AH98="","",Settings!$C$7)</f>
        <v/>
      </c>
      <c r="Y98" s="7">
        <f>IF($AH98="","",SUMIFS('Per Line'!$V$2:$V$1601,'Per Line'!$D$2:$D$1601,$B98,'Per Line'!$AM$2:$AM$1601,0,'Per Line'!$AN$2:$AN$1601,0))</f>
        <v/>
      </c>
      <c r="Z98" s="7">
        <f>IF($AH98="","",Y98*X98)</f>
        <v/>
      </c>
      <c r="AA98">
        <f>IF($AH98="","",Settings!$C$6)</f>
        <v/>
      </c>
      <c r="AB98" s="7">
        <f>IF($AH98="","",SUMIFS('Per Line'!$V$2:$V$1601,'Per Line'!$D$2:$D$1601,$B98,'Per Line'!$AM$2:$AM$1601,1,'Per Line'!$AN$2:$AN$1601,0))</f>
        <v/>
      </c>
      <c r="AC98" s="7">
        <f>IF($AH98="","",AB98*AA98)</f>
        <v/>
      </c>
      <c r="AD98" s="7">
        <f>IF($AH98="","",AC98+Z98+W98)</f>
        <v/>
      </c>
      <c r="AE98" s="7">
        <f>IF($AH98="","",AF98-AD98)</f>
        <v/>
      </c>
      <c r="AF98" s="7">
        <f>IF($AH98="","",Y98+AB98+V98)</f>
        <v/>
      </c>
      <c r="AG98" s="7">
        <f>IF($AH98="","",AF98-AD98-N98)</f>
        <v/>
      </c>
      <c r="AH98" s="13">
        <f>IF(ROWS($AH$2:$AH98)&lt;=MAX('Per Line'!$AL$2:$AL$1601),MATCH(ROWS($AH$2:$AH98),'Per Line'!$AL$2:$AL$1601,0),"")</f>
        <v/>
      </c>
    </row>
    <row r="99">
      <c r="A99" s="12" t="n"/>
      <c r="B99">
        <f>IF($AH99="","",INDEX('Per Line'!$D$2:$D$1601,$AH99)&amp;"")</f>
        <v/>
      </c>
      <c r="C99">
        <f>IF($AH99="","",INDEX('Per Line'!$A$2:$A$1601,$AH99)&amp;"")</f>
        <v/>
      </c>
      <c r="D99">
        <f>IF($AH99="","",INDEX('Per Line'!$B$2:$B$1601,$AH99))</f>
        <v/>
      </c>
      <c r="E99">
        <f>IF($AH99="","",INDEX('Per Line'!$C$2:$C$1601,$AH99)&amp;"")</f>
        <v/>
      </c>
      <c r="F99">
        <f>IF($AH99="","",INDEX('Per Line'!$E$2:$E$1601,$AH99)&amp;"")</f>
        <v/>
      </c>
      <c r="G99" s="11">
        <f>IF($AH99="","",INDEX('Per Line'!$F$2:$F$1601,$AH99))</f>
        <v/>
      </c>
      <c r="H99">
        <f>IF($AH99="","",INDEX('Per Line'!$G$2:$G$1601,$AH99)&amp;"")</f>
        <v/>
      </c>
      <c r="I99">
        <f>IF($AH99="","",INDEX('Per Line'!$I$2:$I$1601,$AH99)&amp;"")</f>
        <v/>
      </c>
      <c r="J99">
        <f>IF($AH99="","",INDEX('Per Line'!$J$2:$J$1601,$AH99)&amp;"")</f>
        <v/>
      </c>
      <c r="K99">
        <f>IF($AH99="","",INDEX('Per Line'!$K$2:$K$1601,$AH99)&amp;"")</f>
        <v/>
      </c>
      <c r="L99">
        <f>IF($AH99="","",INDEX('Per Line'!$L$2:$L$1601,$AH99)&amp;"")</f>
        <v/>
      </c>
      <c r="M99">
        <f>IF($AH99="","",INDEX('Per Line'!$M$2:$M$1601,$AH99))</f>
        <v/>
      </c>
      <c r="N99" s="7">
        <f>IF($AH99="","",M99*AE99/100)</f>
        <v/>
      </c>
      <c r="O99">
        <f>IF($AH99="","",INDEX('Per Line'!$Z$2:$Z$1601,$AH99)&amp;"")</f>
        <v/>
      </c>
      <c r="P99">
        <f>IF($AH99="","",INDEX('Per Line'!$AC$2:$AC$1601,$AH99)&amp;"")</f>
        <v/>
      </c>
      <c r="Q99">
        <f>IF($AH99="","",INDEX('Per Line'!$AD$2:$AD$1601,$AH99))</f>
        <v/>
      </c>
      <c r="R99">
        <f>IF($AH99="","",IF(AND(ISNUMBER(Q99),Q99&gt;0),AF99&gt;Q99,FALSE))</f>
        <v/>
      </c>
      <c r="S99">
        <f>IF($AH99="","",INDEX('Per Line'!$AH$2:$AH$1601,$AH99)&amp;"")</f>
        <v/>
      </c>
      <c r="T99" s="11">
        <f>IF($AH99="","",INDEX('Per Line'!$AI$2:$AI$1601,$AH99))</f>
        <v/>
      </c>
      <c r="U99">
        <f>IF($AH99="","",Settings!$C$8)</f>
        <v/>
      </c>
      <c r="V99" s="7">
        <f>IF($AH99="","",SUMIFS('Per Line'!$V$2:$V$1601,'Per Line'!$D$2:$D$1601,$B99,'Per Line'!$AN$2:$AN$1601,1))</f>
        <v/>
      </c>
      <c r="W99" s="7">
        <f>IF($AH99="","",V99*U99)</f>
        <v/>
      </c>
      <c r="X99">
        <f>IF($AH99="","",Settings!$C$7)</f>
        <v/>
      </c>
      <c r="Y99" s="7">
        <f>IF($AH99="","",SUMIFS('Per Line'!$V$2:$V$1601,'Per Line'!$D$2:$D$1601,$B99,'Per Line'!$AM$2:$AM$1601,0,'Per Line'!$AN$2:$AN$1601,0))</f>
        <v/>
      </c>
      <c r="Z99" s="7">
        <f>IF($AH99="","",Y99*X99)</f>
        <v/>
      </c>
      <c r="AA99">
        <f>IF($AH99="","",Settings!$C$6)</f>
        <v/>
      </c>
      <c r="AB99" s="7">
        <f>IF($AH99="","",SUMIFS('Per Line'!$V$2:$V$1601,'Per Line'!$D$2:$D$1601,$B99,'Per Line'!$AM$2:$AM$1601,1,'Per Line'!$AN$2:$AN$1601,0))</f>
        <v/>
      </c>
      <c r="AC99" s="7">
        <f>IF($AH99="","",AB99*AA99)</f>
        <v/>
      </c>
      <c r="AD99" s="7">
        <f>IF($AH99="","",AC99+Z99+W99)</f>
        <v/>
      </c>
      <c r="AE99" s="7">
        <f>IF($AH99="","",AF99-AD99)</f>
        <v/>
      </c>
      <c r="AF99" s="7">
        <f>IF($AH99="","",Y99+AB99+V99)</f>
        <v/>
      </c>
      <c r="AG99" s="7">
        <f>IF($AH99="","",AF99-AD99-N99)</f>
        <v/>
      </c>
      <c r="AH99" s="13">
        <f>IF(ROWS($AH$2:$AH99)&lt;=MAX('Per Line'!$AL$2:$AL$1601),MATCH(ROWS($AH$2:$AH99),'Per Line'!$AL$2:$AL$1601,0),"")</f>
        <v/>
      </c>
    </row>
    <row r="100">
      <c r="A100" s="12" t="n"/>
      <c r="B100">
        <f>IF($AH100="","",INDEX('Per Line'!$D$2:$D$1601,$AH100)&amp;"")</f>
        <v/>
      </c>
      <c r="C100">
        <f>IF($AH100="","",INDEX('Per Line'!$A$2:$A$1601,$AH100)&amp;"")</f>
        <v/>
      </c>
      <c r="D100">
        <f>IF($AH100="","",INDEX('Per Line'!$B$2:$B$1601,$AH100))</f>
        <v/>
      </c>
      <c r="E100">
        <f>IF($AH100="","",INDEX('Per Line'!$C$2:$C$1601,$AH100)&amp;"")</f>
        <v/>
      </c>
      <c r="F100">
        <f>IF($AH100="","",INDEX('Per Line'!$E$2:$E$1601,$AH100)&amp;"")</f>
        <v/>
      </c>
      <c r="G100" s="11">
        <f>IF($AH100="","",INDEX('Per Line'!$F$2:$F$1601,$AH100))</f>
        <v/>
      </c>
      <c r="H100">
        <f>IF($AH100="","",INDEX('Per Line'!$G$2:$G$1601,$AH100)&amp;"")</f>
        <v/>
      </c>
      <c r="I100">
        <f>IF($AH100="","",INDEX('Per Line'!$I$2:$I$1601,$AH100)&amp;"")</f>
        <v/>
      </c>
      <c r="J100">
        <f>IF($AH100="","",INDEX('Per Line'!$J$2:$J$1601,$AH100)&amp;"")</f>
        <v/>
      </c>
      <c r="K100">
        <f>IF($AH100="","",INDEX('Per Line'!$K$2:$K$1601,$AH100)&amp;"")</f>
        <v/>
      </c>
      <c r="L100">
        <f>IF($AH100="","",INDEX('Per Line'!$L$2:$L$1601,$AH100)&amp;"")</f>
        <v/>
      </c>
      <c r="M100">
        <f>IF($AH100="","",INDEX('Per Line'!$M$2:$M$1601,$AH100))</f>
        <v/>
      </c>
      <c r="N100" s="7">
        <f>IF($AH100="","",M100*AE100/100)</f>
        <v/>
      </c>
      <c r="O100">
        <f>IF($AH100="","",INDEX('Per Line'!$Z$2:$Z$1601,$AH100)&amp;"")</f>
        <v/>
      </c>
      <c r="P100">
        <f>IF($AH100="","",INDEX('Per Line'!$AC$2:$AC$1601,$AH100)&amp;"")</f>
        <v/>
      </c>
      <c r="Q100">
        <f>IF($AH100="","",INDEX('Per Line'!$AD$2:$AD$1601,$AH100))</f>
        <v/>
      </c>
      <c r="R100">
        <f>IF($AH100="","",IF(AND(ISNUMBER(Q100),Q100&gt;0),AF100&gt;Q100,FALSE))</f>
        <v/>
      </c>
      <c r="S100">
        <f>IF($AH100="","",INDEX('Per Line'!$AH$2:$AH$1601,$AH100)&amp;"")</f>
        <v/>
      </c>
      <c r="T100" s="11">
        <f>IF($AH100="","",INDEX('Per Line'!$AI$2:$AI$1601,$AH100))</f>
        <v/>
      </c>
      <c r="U100">
        <f>IF($AH100="","",Settings!$C$8)</f>
        <v/>
      </c>
      <c r="V100" s="7">
        <f>IF($AH100="","",SUMIFS('Per Line'!$V$2:$V$1601,'Per Line'!$D$2:$D$1601,$B100,'Per Line'!$AN$2:$AN$1601,1))</f>
        <v/>
      </c>
      <c r="W100" s="7">
        <f>IF($AH100="","",V100*U100)</f>
        <v/>
      </c>
      <c r="X100">
        <f>IF($AH100="","",Settings!$C$7)</f>
        <v/>
      </c>
      <c r="Y100" s="7">
        <f>IF($AH100="","",SUMIFS('Per Line'!$V$2:$V$1601,'Per Line'!$D$2:$D$1601,$B100,'Per Line'!$AM$2:$AM$1601,0,'Per Line'!$AN$2:$AN$1601,0))</f>
        <v/>
      </c>
      <c r="Z100" s="7">
        <f>IF($AH100="","",Y100*X100)</f>
        <v/>
      </c>
      <c r="AA100">
        <f>IF($AH100="","",Settings!$C$6)</f>
        <v/>
      </c>
      <c r="AB100" s="7">
        <f>IF($AH100="","",SUMIFS('Per Line'!$V$2:$V$1601,'Per Line'!$D$2:$D$1601,$B100,'Per Line'!$AM$2:$AM$1601,1,'Per Line'!$AN$2:$AN$1601,0))</f>
        <v/>
      </c>
      <c r="AC100" s="7">
        <f>IF($AH100="","",AB100*AA100)</f>
        <v/>
      </c>
      <c r="AD100" s="7">
        <f>IF($AH100="","",AC100+Z100+W100)</f>
        <v/>
      </c>
      <c r="AE100" s="7">
        <f>IF($AH100="","",AF100-AD100)</f>
        <v/>
      </c>
      <c r="AF100" s="7">
        <f>IF($AH100="","",Y100+AB100+V100)</f>
        <v/>
      </c>
      <c r="AG100" s="7">
        <f>IF($AH100="","",AF100-AD100-N100)</f>
        <v/>
      </c>
      <c r="AH100" s="13">
        <f>IF(ROWS($AH$2:$AH100)&lt;=MAX('Per Line'!$AL$2:$AL$1601),MATCH(ROWS($AH$2:$AH100),'Per Line'!$AL$2:$AL$1601,0),"")</f>
        <v/>
      </c>
    </row>
    <row r="101">
      <c r="A101" s="12" t="n"/>
      <c r="B101">
        <f>IF($AH101="","",INDEX('Per Line'!$D$2:$D$1601,$AH101)&amp;"")</f>
        <v/>
      </c>
      <c r="C101">
        <f>IF($AH101="","",INDEX('Per Line'!$A$2:$A$1601,$AH101)&amp;"")</f>
        <v/>
      </c>
      <c r="D101">
        <f>IF($AH101="","",INDEX('Per Line'!$B$2:$B$1601,$AH101))</f>
        <v/>
      </c>
      <c r="E101">
        <f>IF($AH101="","",INDEX('Per Line'!$C$2:$C$1601,$AH101)&amp;"")</f>
        <v/>
      </c>
      <c r="F101">
        <f>IF($AH101="","",INDEX('Per Line'!$E$2:$E$1601,$AH101)&amp;"")</f>
        <v/>
      </c>
      <c r="G101" s="11">
        <f>IF($AH101="","",INDEX('Per Line'!$F$2:$F$1601,$AH101))</f>
        <v/>
      </c>
      <c r="H101">
        <f>IF($AH101="","",INDEX('Per Line'!$G$2:$G$1601,$AH101)&amp;"")</f>
        <v/>
      </c>
      <c r="I101">
        <f>IF($AH101="","",INDEX('Per Line'!$I$2:$I$1601,$AH101)&amp;"")</f>
        <v/>
      </c>
      <c r="J101">
        <f>IF($AH101="","",INDEX('Per Line'!$J$2:$J$1601,$AH101)&amp;"")</f>
        <v/>
      </c>
      <c r="K101">
        <f>IF($AH101="","",INDEX('Per Line'!$K$2:$K$1601,$AH101)&amp;"")</f>
        <v/>
      </c>
      <c r="L101">
        <f>IF($AH101="","",INDEX('Per Line'!$L$2:$L$1601,$AH101)&amp;"")</f>
        <v/>
      </c>
      <c r="M101">
        <f>IF($AH101="","",INDEX('Per Line'!$M$2:$M$1601,$AH101))</f>
        <v/>
      </c>
      <c r="N101" s="7">
        <f>IF($AH101="","",M101*AE101/100)</f>
        <v/>
      </c>
      <c r="O101">
        <f>IF($AH101="","",INDEX('Per Line'!$Z$2:$Z$1601,$AH101)&amp;"")</f>
        <v/>
      </c>
      <c r="P101">
        <f>IF($AH101="","",INDEX('Per Line'!$AC$2:$AC$1601,$AH101)&amp;"")</f>
        <v/>
      </c>
      <c r="Q101">
        <f>IF($AH101="","",INDEX('Per Line'!$AD$2:$AD$1601,$AH101))</f>
        <v/>
      </c>
      <c r="R101">
        <f>IF($AH101="","",IF(AND(ISNUMBER(Q101),Q101&gt;0),AF101&gt;Q101,FALSE))</f>
        <v/>
      </c>
      <c r="S101">
        <f>IF($AH101="","",INDEX('Per Line'!$AH$2:$AH$1601,$AH101)&amp;"")</f>
        <v/>
      </c>
      <c r="T101" s="11">
        <f>IF($AH101="","",INDEX('Per Line'!$AI$2:$AI$1601,$AH101))</f>
        <v/>
      </c>
      <c r="U101">
        <f>IF($AH101="","",Settings!$C$8)</f>
        <v/>
      </c>
      <c r="V101" s="7">
        <f>IF($AH101="","",SUMIFS('Per Line'!$V$2:$V$1601,'Per Line'!$D$2:$D$1601,$B101,'Per Line'!$AN$2:$AN$1601,1))</f>
        <v/>
      </c>
      <c r="W101" s="7">
        <f>IF($AH101="","",V101*U101)</f>
        <v/>
      </c>
      <c r="X101">
        <f>IF($AH101="","",Settings!$C$7)</f>
        <v/>
      </c>
      <c r="Y101" s="7">
        <f>IF($AH101="","",SUMIFS('Per Line'!$V$2:$V$1601,'Per Line'!$D$2:$D$1601,$B101,'Per Line'!$AM$2:$AM$1601,0,'Per Line'!$AN$2:$AN$1601,0))</f>
        <v/>
      </c>
      <c r="Z101" s="7">
        <f>IF($AH101="","",Y101*X101)</f>
        <v/>
      </c>
      <c r="AA101">
        <f>IF($AH101="","",Settings!$C$6)</f>
        <v/>
      </c>
      <c r="AB101" s="7">
        <f>IF($AH101="","",SUMIFS('Per Line'!$V$2:$V$1601,'Per Line'!$D$2:$D$1601,$B101,'Per Line'!$AM$2:$AM$1601,1,'Per Line'!$AN$2:$AN$1601,0))</f>
        <v/>
      </c>
      <c r="AC101" s="7">
        <f>IF($AH101="","",AB101*AA101)</f>
        <v/>
      </c>
      <c r="AD101" s="7">
        <f>IF($AH101="","",AC101+Z101+W101)</f>
        <v/>
      </c>
      <c r="AE101" s="7">
        <f>IF($AH101="","",AF101-AD101)</f>
        <v/>
      </c>
      <c r="AF101" s="7">
        <f>IF($AH101="","",Y101+AB101+V101)</f>
        <v/>
      </c>
      <c r="AG101" s="7">
        <f>IF($AH101="","",AF101-AD101-N101)</f>
        <v/>
      </c>
      <c r="AH101" s="13">
        <f>IF(ROWS($AH$2:$AH101)&lt;=MAX('Per Line'!$AL$2:$AL$1601),MATCH(ROWS($AH$2:$AH101),'Per Line'!$AL$2:$AL$1601,0),"")</f>
        <v/>
      </c>
    </row>
    <row r="102">
      <c r="A102" s="12" t="n"/>
      <c r="B102">
        <f>IF($AH102="","",INDEX('Per Line'!$D$2:$D$1601,$AH102)&amp;"")</f>
        <v/>
      </c>
      <c r="C102">
        <f>IF($AH102="","",INDEX('Per Line'!$A$2:$A$1601,$AH102)&amp;"")</f>
        <v/>
      </c>
      <c r="D102">
        <f>IF($AH102="","",INDEX('Per Line'!$B$2:$B$1601,$AH102))</f>
        <v/>
      </c>
      <c r="E102">
        <f>IF($AH102="","",INDEX('Per Line'!$C$2:$C$1601,$AH102)&amp;"")</f>
        <v/>
      </c>
      <c r="F102">
        <f>IF($AH102="","",INDEX('Per Line'!$E$2:$E$1601,$AH102)&amp;"")</f>
        <v/>
      </c>
      <c r="G102" s="11">
        <f>IF($AH102="","",INDEX('Per Line'!$F$2:$F$1601,$AH102))</f>
        <v/>
      </c>
      <c r="H102">
        <f>IF($AH102="","",INDEX('Per Line'!$G$2:$G$1601,$AH102)&amp;"")</f>
        <v/>
      </c>
      <c r="I102">
        <f>IF($AH102="","",INDEX('Per Line'!$I$2:$I$1601,$AH102)&amp;"")</f>
        <v/>
      </c>
      <c r="J102">
        <f>IF($AH102="","",INDEX('Per Line'!$J$2:$J$1601,$AH102)&amp;"")</f>
        <v/>
      </c>
      <c r="K102">
        <f>IF($AH102="","",INDEX('Per Line'!$K$2:$K$1601,$AH102)&amp;"")</f>
        <v/>
      </c>
      <c r="L102">
        <f>IF($AH102="","",INDEX('Per Line'!$L$2:$L$1601,$AH102)&amp;"")</f>
        <v/>
      </c>
      <c r="M102">
        <f>IF($AH102="","",INDEX('Per Line'!$M$2:$M$1601,$AH102))</f>
        <v/>
      </c>
      <c r="N102" s="7">
        <f>IF($AH102="","",M102*AE102/100)</f>
        <v/>
      </c>
      <c r="O102">
        <f>IF($AH102="","",INDEX('Per Line'!$Z$2:$Z$1601,$AH102)&amp;"")</f>
        <v/>
      </c>
      <c r="P102">
        <f>IF($AH102="","",INDEX('Per Line'!$AC$2:$AC$1601,$AH102)&amp;"")</f>
        <v/>
      </c>
      <c r="Q102">
        <f>IF($AH102="","",INDEX('Per Line'!$AD$2:$AD$1601,$AH102))</f>
        <v/>
      </c>
      <c r="R102">
        <f>IF($AH102="","",IF(AND(ISNUMBER(Q102),Q102&gt;0),AF102&gt;Q102,FALSE))</f>
        <v/>
      </c>
      <c r="S102">
        <f>IF($AH102="","",INDEX('Per Line'!$AH$2:$AH$1601,$AH102)&amp;"")</f>
        <v/>
      </c>
      <c r="T102" s="11">
        <f>IF($AH102="","",INDEX('Per Line'!$AI$2:$AI$1601,$AH102))</f>
        <v/>
      </c>
      <c r="U102">
        <f>IF($AH102="","",Settings!$C$8)</f>
        <v/>
      </c>
      <c r="V102" s="7">
        <f>IF($AH102="","",SUMIFS('Per Line'!$V$2:$V$1601,'Per Line'!$D$2:$D$1601,$B102,'Per Line'!$AN$2:$AN$1601,1))</f>
        <v/>
      </c>
      <c r="W102" s="7">
        <f>IF($AH102="","",V102*U102)</f>
        <v/>
      </c>
      <c r="X102">
        <f>IF($AH102="","",Settings!$C$7)</f>
        <v/>
      </c>
      <c r="Y102" s="7">
        <f>IF($AH102="","",SUMIFS('Per Line'!$V$2:$V$1601,'Per Line'!$D$2:$D$1601,$B102,'Per Line'!$AM$2:$AM$1601,0,'Per Line'!$AN$2:$AN$1601,0))</f>
        <v/>
      </c>
      <c r="Z102" s="7">
        <f>IF($AH102="","",Y102*X102)</f>
        <v/>
      </c>
      <c r="AA102">
        <f>IF($AH102="","",Settings!$C$6)</f>
        <v/>
      </c>
      <c r="AB102" s="7">
        <f>IF($AH102="","",SUMIFS('Per Line'!$V$2:$V$1601,'Per Line'!$D$2:$D$1601,$B102,'Per Line'!$AM$2:$AM$1601,1,'Per Line'!$AN$2:$AN$1601,0))</f>
        <v/>
      </c>
      <c r="AC102" s="7">
        <f>IF($AH102="","",AB102*AA102)</f>
        <v/>
      </c>
      <c r="AD102" s="7">
        <f>IF($AH102="","",AC102+Z102+W102)</f>
        <v/>
      </c>
      <c r="AE102" s="7">
        <f>IF($AH102="","",AF102-AD102)</f>
        <v/>
      </c>
      <c r="AF102" s="7">
        <f>IF($AH102="","",Y102+AB102+V102)</f>
        <v/>
      </c>
      <c r="AG102" s="7">
        <f>IF($AH102="","",AF102-AD102-N102)</f>
        <v/>
      </c>
      <c r="AH102" s="13">
        <f>IF(ROWS($AH$2:$AH102)&lt;=MAX('Per Line'!$AL$2:$AL$1601),MATCH(ROWS($AH$2:$AH102),'Per Line'!$AL$2:$AL$1601,0),"")</f>
        <v/>
      </c>
    </row>
    <row r="103">
      <c r="A103" s="12" t="n"/>
      <c r="B103">
        <f>IF($AH103="","",INDEX('Per Line'!$D$2:$D$1601,$AH103)&amp;"")</f>
        <v/>
      </c>
      <c r="C103">
        <f>IF($AH103="","",INDEX('Per Line'!$A$2:$A$1601,$AH103)&amp;"")</f>
        <v/>
      </c>
      <c r="D103">
        <f>IF($AH103="","",INDEX('Per Line'!$B$2:$B$1601,$AH103))</f>
        <v/>
      </c>
      <c r="E103">
        <f>IF($AH103="","",INDEX('Per Line'!$C$2:$C$1601,$AH103)&amp;"")</f>
        <v/>
      </c>
      <c r="F103">
        <f>IF($AH103="","",INDEX('Per Line'!$E$2:$E$1601,$AH103)&amp;"")</f>
        <v/>
      </c>
      <c r="G103" s="11">
        <f>IF($AH103="","",INDEX('Per Line'!$F$2:$F$1601,$AH103))</f>
        <v/>
      </c>
      <c r="H103">
        <f>IF($AH103="","",INDEX('Per Line'!$G$2:$G$1601,$AH103)&amp;"")</f>
        <v/>
      </c>
      <c r="I103">
        <f>IF($AH103="","",INDEX('Per Line'!$I$2:$I$1601,$AH103)&amp;"")</f>
        <v/>
      </c>
      <c r="J103">
        <f>IF($AH103="","",INDEX('Per Line'!$J$2:$J$1601,$AH103)&amp;"")</f>
        <v/>
      </c>
      <c r="K103">
        <f>IF($AH103="","",INDEX('Per Line'!$K$2:$K$1601,$AH103)&amp;"")</f>
        <v/>
      </c>
      <c r="L103">
        <f>IF($AH103="","",INDEX('Per Line'!$L$2:$L$1601,$AH103)&amp;"")</f>
        <v/>
      </c>
      <c r="M103">
        <f>IF($AH103="","",INDEX('Per Line'!$M$2:$M$1601,$AH103))</f>
        <v/>
      </c>
      <c r="N103" s="7">
        <f>IF($AH103="","",M103*AE103/100)</f>
        <v/>
      </c>
      <c r="O103">
        <f>IF($AH103="","",INDEX('Per Line'!$Z$2:$Z$1601,$AH103)&amp;"")</f>
        <v/>
      </c>
      <c r="P103">
        <f>IF($AH103="","",INDEX('Per Line'!$AC$2:$AC$1601,$AH103)&amp;"")</f>
        <v/>
      </c>
      <c r="Q103">
        <f>IF($AH103="","",INDEX('Per Line'!$AD$2:$AD$1601,$AH103))</f>
        <v/>
      </c>
      <c r="R103">
        <f>IF($AH103="","",IF(AND(ISNUMBER(Q103),Q103&gt;0),AF103&gt;Q103,FALSE))</f>
        <v/>
      </c>
      <c r="S103">
        <f>IF($AH103="","",INDEX('Per Line'!$AH$2:$AH$1601,$AH103)&amp;"")</f>
        <v/>
      </c>
      <c r="T103" s="11">
        <f>IF($AH103="","",INDEX('Per Line'!$AI$2:$AI$1601,$AH103))</f>
        <v/>
      </c>
      <c r="U103">
        <f>IF($AH103="","",Settings!$C$8)</f>
        <v/>
      </c>
      <c r="V103" s="7">
        <f>IF($AH103="","",SUMIFS('Per Line'!$V$2:$V$1601,'Per Line'!$D$2:$D$1601,$B103,'Per Line'!$AN$2:$AN$1601,1))</f>
        <v/>
      </c>
      <c r="W103" s="7">
        <f>IF($AH103="","",V103*U103)</f>
        <v/>
      </c>
      <c r="X103">
        <f>IF($AH103="","",Settings!$C$7)</f>
        <v/>
      </c>
      <c r="Y103" s="7">
        <f>IF($AH103="","",SUMIFS('Per Line'!$V$2:$V$1601,'Per Line'!$D$2:$D$1601,$B103,'Per Line'!$AM$2:$AM$1601,0,'Per Line'!$AN$2:$AN$1601,0))</f>
        <v/>
      </c>
      <c r="Z103" s="7">
        <f>IF($AH103="","",Y103*X103)</f>
        <v/>
      </c>
      <c r="AA103">
        <f>IF($AH103="","",Settings!$C$6)</f>
        <v/>
      </c>
      <c r="AB103" s="7">
        <f>IF($AH103="","",SUMIFS('Per Line'!$V$2:$V$1601,'Per Line'!$D$2:$D$1601,$B103,'Per Line'!$AM$2:$AM$1601,1,'Per Line'!$AN$2:$AN$1601,0))</f>
        <v/>
      </c>
      <c r="AC103" s="7">
        <f>IF($AH103="","",AB103*AA103)</f>
        <v/>
      </c>
      <c r="AD103" s="7">
        <f>IF($AH103="","",AC103+Z103+W103)</f>
        <v/>
      </c>
      <c r="AE103" s="7">
        <f>IF($AH103="","",AF103-AD103)</f>
        <v/>
      </c>
      <c r="AF103" s="7">
        <f>IF($AH103="","",Y103+AB103+V103)</f>
        <v/>
      </c>
      <c r="AG103" s="7">
        <f>IF($AH103="","",AF103-AD103-N103)</f>
        <v/>
      </c>
      <c r="AH103" s="13">
        <f>IF(ROWS($AH$2:$AH103)&lt;=MAX('Per Line'!$AL$2:$AL$1601),MATCH(ROWS($AH$2:$AH103),'Per Line'!$AL$2:$AL$1601,0),"")</f>
        <v/>
      </c>
    </row>
    <row r="104">
      <c r="A104" s="12" t="n"/>
      <c r="B104">
        <f>IF($AH104="","",INDEX('Per Line'!$D$2:$D$1601,$AH104)&amp;"")</f>
        <v/>
      </c>
      <c r="C104">
        <f>IF($AH104="","",INDEX('Per Line'!$A$2:$A$1601,$AH104)&amp;"")</f>
        <v/>
      </c>
      <c r="D104">
        <f>IF($AH104="","",INDEX('Per Line'!$B$2:$B$1601,$AH104))</f>
        <v/>
      </c>
      <c r="E104">
        <f>IF($AH104="","",INDEX('Per Line'!$C$2:$C$1601,$AH104)&amp;"")</f>
        <v/>
      </c>
      <c r="F104">
        <f>IF($AH104="","",INDEX('Per Line'!$E$2:$E$1601,$AH104)&amp;"")</f>
        <v/>
      </c>
      <c r="G104" s="11">
        <f>IF($AH104="","",INDEX('Per Line'!$F$2:$F$1601,$AH104))</f>
        <v/>
      </c>
      <c r="H104">
        <f>IF($AH104="","",INDEX('Per Line'!$G$2:$G$1601,$AH104)&amp;"")</f>
        <v/>
      </c>
      <c r="I104">
        <f>IF($AH104="","",INDEX('Per Line'!$I$2:$I$1601,$AH104)&amp;"")</f>
        <v/>
      </c>
      <c r="J104">
        <f>IF($AH104="","",INDEX('Per Line'!$J$2:$J$1601,$AH104)&amp;"")</f>
        <v/>
      </c>
      <c r="K104">
        <f>IF($AH104="","",INDEX('Per Line'!$K$2:$K$1601,$AH104)&amp;"")</f>
        <v/>
      </c>
      <c r="L104">
        <f>IF($AH104="","",INDEX('Per Line'!$L$2:$L$1601,$AH104)&amp;"")</f>
        <v/>
      </c>
      <c r="M104">
        <f>IF($AH104="","",INDEX('Per Line'!$M$2:$M$1601,$AH104))</f>
        <v/>
      </c>
      <c r="N104" s="7">
        <f>IF($AH104="","",M104*AE104/100)</f>
        <v/>
      </c>
      <c r="O104">
        <f>IF($AH104="","",INDEX('Per Line'!$Z$2:$Z$1601,$AH104)&amp;"")</f>
        <v/>
      </c>
      <c r="P104">
        <f>IF($AH104="","",INDEX('Per Line'!$AC$2:$AC$1601,$AH104)&amp;"")</f>
        <v/>
      </c>
      <c r="Q104">
        <f>IF($AH104="","",INDEX('Per Line'!$AD$2:$AD$1601,$AH104))</f>
        <v/>
      </c>
      <c r="R104">
        <f>IF($AH104="","",IF(AND(ISNUMBER(Q104),Q104&gt;0),AF104&gt;Q104,FALSE))</f>
        <v/>
      </c>
      <c r="S104">
        <f>IF($AH104="","",INDEX('Per Line'!$AH$2:$AH$1601,$AH104)&amp;"")</f>
        <v/>
      </c>
      <c r="T104" s="11">
        <f>IF($AH104="","",INDEX('Per Line'!$AI$2:$AI$1601,$AH104))</f>
        <v/>
      </c>
      <c r="U104">
        <f>IF($AH104="","",Settings!$C$8)</f>
        <v/>
      </c>
      <c r="V104" s="7">
        <f>IF($AH104="","",SUMIFS('Per Line'!$V$2:$V$1601,'Per Line'!$D$2:$D$1601,$B104,'Per Line'!$AN$2:$AN$1601,1))</f>
        <v/>
      </c>
      <c r="W104" s="7">
        <f>IF($AH104="","",V104*U104)</f>
        <v/>
      </c>
      <c r="X104">
        <f>IF($AH104="","",Settings!$C$7)</f>
        <v/>
      </c>
      <c r="Y104" s="7">
        <f>IF($AH104="","",SUMIFS('Per Line'!$V$2:$V$1601,'Per Line'!$D$2:$D$1601,$B104,'Per Line'!$AM$2:$AM$1601,0,'Per Line'!$AN$2:$AN$1601,0))</f>
        <v/>
      </c>
      <c r="Z104" s="7">
        <f>IF($AH104="","",Y104*X104)</f>
        <v/>
      </c>
      <c r="AA104">
        <f>IF($AH104="","",Settings!$C$6)</f>
        <v/>
      </c>
      <c r="AB104" s="7">
        <f>IF($AH104="","",SUMIFS('Per Line'!$V$2:$V$1601,'Per Line'!$D$2:$D$1601,$B104,'Per Line'!$AM$2:$AM$1601,1,'Per Line'!$AN$2:$AN$1601,0))</f>
        <v/>
      </c>
      <c r="AC104" s="7">
        <f>IF($AH104="","",AB104*AA104)</f>
        <v/>
      </c>
      <c r="AD104" s="7">
        <f>IF($AH104="","",AC104+Z104+W104)</f>
        <v/>
      </c>
      <c r="AE104" s="7">
        <f>IF($AH104="","",AF104-AD104)</f>
        <v/>
      </c>
      <c r="AF104" s="7">
        <f>IF($AH104="","",Y104+AB104+V104)</f>
        <v/>
      </c>
      <c r="AG104" s="7">
        <f>IF($AH104="","",AF104-AD104-N104)</f>
        <v/>
      </c>
      <c r="AH104" s="13">
        <f>IF(ROWS($AH$2:$AH104)&lt;=MAX('Per Line'!$AL$2:$AL$1601),MATCH(ROWS($AH$2:$AH104),'Per Line'!$AL$2:$AL$1601,0),"")</f>
        <v/>
      </c>
    </row>
    <row r="105">
      <c r="A105" s="12" t="n"/>
      <c r="B105">
        <f>IF($AH105="","",INDEX('Per Line'!$D$2:$D$1601,$AH105)&amp;"")</f>
        <v/>
      </c>
      <c r="C105">
        <f>IF($AH105="","",INDEX('Per Line'!$A$2:$A$1601,$AH105)&amp;"")</f>
        <v/>
      </c>
      <c r="D105">
        <f>IF($AH105="","",INDEX('Per Line'!$B$2:$B$1601,$AH105))</f>
        <v/>
      </c>
      <c r="E105">
        <f>IF($AH105="","",INDEX('Per Line'!$C$2:$C$1601,$AH105)&amp;"")</f>
        <v/>
      </c>
      <c r="F105">
        <f>IF($AH105="","",INDEX('Per Line'!$E$2:$E$1601,$AH105)&amp;"")</f>
        <v/>
      </c>
      <c r="G105" s="11">
        <f>IF($AH105="","",INDEX('Per Line'!$F$2:$F$1601,$AH105))</f>
        <v/>
      </c>
      <c r="H105">
        <f>IF($AH105="","",INDEX('Per Line'!$G$2:$G$1601,$AH105)&amp;"")</f>
        <v/>
      </c>
      <c r="I105">
        <f>IF($AH105="","",INDEX('Per Line'!$I$2:$I$1601,$AH105)&amp;"")</f>
        <v/>
      </c>
      <c r="J105">
        <f>IF($AH105="","",INDEX('Per Line'!$J$2:$J$1601,$AH105)&amp;"")</f>
        <v/>
      </c>
      <c r="K105">
        <f>IF($AH105="","",INDEX('Per Line'!$K$2:$K$1601,$AH105)&amp;"")</f>
        <v/>
      </c>
      <c r="L105">
        <f>IF($AH105="","",INDEX('Per Line'!$L$2:$L$1601,$AH105)&amp;"")</f>
        <v/>
      </c>
      <c r="M105">
        <f>IF($AH105="","",INDEX('Per Line'!$M$2:$M$1601,$AH105))</f>
        <v/>
      </c>
      <c r="N105" s="7">
        <f>IF($AH105="","",M105*AE105/100)</f>
        <v/>
      </c>
      <c r="O105">
        <f>IF($AH105="","",INDEX('Per Line'!$Z$2:$Z$1601,$AH105)&amp;"")</f>
        <v/>
      </c>
      <c r="P105">
        <f>IF($AH105="","",INDEX('Per Line'!$AC$2:$AC$1601,$AH105)&amp;"")</f>
        <v/>
      </c>
      <c r="Q105">
        <f>IF($AH105="","",INDEX('Per Line'!$AD$2:$AD$1601,$AH105))</f>
        <v/>
      </c>
      <c r="R105">
        <f>IF($AH105="","",IF(AND(ISNUMBER(Q105),Q105&gt;0),AF105&gt;Q105,FALSE))</f>
        <v/>
      </c>
      <c r="S105">
        <f>IF($AH105="","",INDEX('Per Line'!$AH$2:$AH$1601,$AH105)&amp;"")</f>
        <v/>
      </c>
      <c r="T105" s="11">
        <f>IF($AH105="","",INDEX('Per Line'!$AI$2:$AI$1601,$AH105))</f>
        <v/>
      </c>
      <c r="U105">
        <f>IF($AH105="","",Settings!$C$8)</f>
        <v/>
      </c>
      <c r="V105" s="7">
        <f>IF($AH105="","",SUMIFS('Per Line'!$V$2:$V$1601,'Per Line'!$D$2:$D$1601,$B105,'Per Line'!$AN$2:$AN$1601,1))</f>
        <v/>
      </c>
      <c r="W105" s="7">
        <f>IF($AH105="","",V105*U105)</f>
        <v/>
      </c>
      <c r="X105">
        <f>IF($AH105="","",Settings!$C$7)</f>
        <v/>
      </c>
      <c r="Y105" s="7">
        <f>IF($AH105="","",SUMIFS('Per Line'!$V$2:$V$1601,'Per Line'!$D$2:$D$1601,$B105,'Per Line'!$AM$2:$AM$1601,0,'Per Line'!$AN$2:$AN$1601,0))</f>
        <v/>
      </c>
      <c r="Z105" s="7">
        <f>IF($AH105="","",Y105*X105)</f>
        <v/>
      </c>
      <c r="AA105">
        <f>IF($AH105="","",Settings!$C$6)</f>
        <v/>
      </c>
      <c r="AB105" s="7">
        <f>IF($AH105="","",SUMIFS('Per Line'!$V$2:$V$1601,'Per Line'!$D$2:$D$1601,$B105,'Per Line'!$AM$2:$AM$1601,1,'Per Line'!$AN$2:$AN$1601,0))</f>
        <v/>
      </c>
      <c r="AC105" s="7">
        <f>IF($AH105="","",AB105*AA105)</f>
        <v/>
      </c>
      <c r="AD105" s="7">
        <f>IF($AH105="","",AC105+Z105+W105)</f>
        <v/>
      </c>
      <c r="AE105" s="7">
        <f>IF($AH105="","",AF105-AD105)</f>
        <v/>
      </c>
      <c r="AF105" s="7">
        <f>IF($AH105="","",Y105+AB105+V105)</f>
        <v/>
      </c>
      <c r="AG105" s="7">
        <f>IF($AH105="","",AF105-AD105-N105)</f>
        <v/>
      </c>
      <c r="AH105" s="13">
        <f>IF(ROWS($AH$2:$AH105)&lt;=MAX('Per Line'!$AL$2:$AL$1601),MATCH(ROWS($AH$2:$AH105),'Per Line'!$AL$2:$AL$1601,0),"")</f>
        <v/>
      </c>
    </row>
    <row r="106">
      <c r="A106" s="12" t="n"/>
      <c r="B106">
        <f>IF($AH106="","",INDEX('Per Line'!$D$2:$D$1601,$AH106)&amp;"")</f>
        <v/>
      </c>
      <c r="C106">
        <f>IF($AH106="","",INDEX('Per Line'!$A$2:$A$1601,$AH106)&amp;"")</f>
        <v/>
      </c>
      <c r="D106">
        <f>IF($AH106="","",INDEX('Per Line'!$B$2:$B$1601,$AH106))</f>
        <v/>
      </c>
      <c r="E106">
        <f>IF($AH106="","",INDEX('Per Line'!$C$2:$C$1601,$AH106)&amp;"")</f>
        <v/>
      </c>
      <c r="F106">
        <f>IF($AH106="","",INDEX('Per Line'!$E$2:$E$1601,$AH106)&amp;"")</f>
        <v/>
      </c>
      <c r="G106" s="11">
        <f>IF($AH106="","",INDEX('Per Line'!$F$2:$F$1601,$AH106))</f>
        <v/>
      </c>
      <c r="H106">
        <f>IF($AH106="","",INDEX('Per Line'!$G$2:$G$1601,$AH106)&amp;"")</f>
        <v/>
      </c>
      <c r="I106">
        <f>IF($AH106="","",INDEX('Per Line'!$I$2:$I$1601,$AH106)&amp;"")</f>
        <v/>
      </c>
      <c r="J106">
        <f>IF($AH106="","",INDEX('Per Line'!$J$2:$J$1601,$AH106)&amp;"")</f>
        <v/>
      </c>
      <c r="K106">
        <f>IF($AH106="","",INDEX('Per Line'!$K$2:$K$1601,$AH106)&amp;"")</f>
        <v/>
      </c>
      <c r="L106">
        <f>IF($AH106="","",INDEX('Per Line'!$L$2:$L$1601,$AH106)&amp;"")</f>
        <v/>
      </c>
      <c r="M106">
        <f>IF($AH106="","",INDEX('Per Line'!$M$2:$M$1601,$AH106))</f>
        <v/>
      </c>
      <c r="N106" s="7">
        <f>IF($AH106="","",M106*AE106/100)</f>
        <v/>
      </c>
      <c r="O106">
        <f>IF($AH106="","",INDEX('Per Line'!$Z$2:$Z$1601,$AH106)&amp;"")</f>
        <v/>
      </c>
      <c r="P106">
        <f>IF($AH106="","",INDEX('Per Line'!$AC$2:$AC$1601,$AH106)&amp;"")</f>
        <v/>
      </c>
      <c r="Q106">
        <f>IF($AH106="","",INDEX('Per Line'!$AD$2:$AD$1601,$AH106))</f>
        <v/>
      </c>
      <c r="R106">
        <f>IF($AH106="","",IF(AND(ISNUMBER(Q106),Q106&gt;0),AF106&gt;Q106,FALSE))</f>
        <v/>
      </c>
      <c r="S106">
        <f>IF($AH106="","",INDEX('Per Line'!$AH$2:$AH$1601,$AH106)&amp;"")</f>
        <v/>
      </c>
      <c r="T106" s="11">
        <f>IF($AH106="","",INDEX('Per Line'!$AI$2:$AI$1601,$AH106))</f>
        <v/>
      </c>
      <c r="U106">
        <f>IF($AH106="","",Settings!$C$8)</f>
        <v/>
      </c>
      <c r="V106" s="7">
        <f>IF($AH106="","",SUMIFS('Per Line'!$V$2:$V$1601,'Per Line'!$D$2:$D$1601,$B106,'Per Line'!$AN$2:$AN$1601,1))</f>
        <v/>
      </c>
      <c r="W106" s="7">
        <f>IF($AH106="","",V106*U106)</f>
        <v/>
      </c>
      <c r="X106">
        <f>IF($AH106="","",Settings!$C$7)</f>
        <v/>
      </c>
      <c r="Y106" s="7">
        <f>IF($AH106="","",SUMIFS('Per Line'!$V$2:$V$1601,'Per Line'!$D$2:$D$1601,$B106,'Per Line'!$AM$2:$AM$1601,0,'Per Line'!$AN$2:$AN$1601,0))</f>
        <v/>
      </c>
      <c r="Z106" s="7">
        <f>IF($AH106="","",Y106*X106)</f>
        <v/>
      </c>
      <c r="AA106">
        <f>IF($AH106="","",Settings!$C$6)</f>
        <v/>
      </c>
      <c r="AB106" s="7">
        <f>IF($AH106="","",SUMIFS('Per Line'!$V$2:$V$1601,'Per Line'!$D$2:$D$1601,$B106,'Per Line'!$AM$2:$AM$1601,1,'Per Line'!$AN$2:$AN$1601,0))</f>
        <v/>
      </c>
      <c r="AC106" s="7">
        <f>IF($AH106="","",AB106*AA106)</f>
        <v/>
      </c>
      <c r="AD106" s="7">
        <f>IF($AH106="","",AC106+Z106+W106)</f>
        <v/>
      </c>
      <c r="AE106" s="7">
        <f>IF($AH106="","",AF106-AD106)</f>
        <v/>
      </c>
      <c r="AF106" s="7">
        <f>IF($AH106="","",Y106+AB106+V106)</f>
        <v/>
      </c>
      <c r="AG106" s="7">
        <f>IF($AH106="","",AF106-AD106-N106)</f>
        <v/>
      </c>
      <c r="AH106" s="13">
        <f>IF(ROWS($AH$2:$AH106)&lt;=MAX('Per Line'!$AL$2:$AL$1601),MATCH(ROWS($AH$2:$AH106),'Per Line'!$AL$2:$AL$1601,0),"")</f>
        <v/>
      </c>
    </row>
    <row r="107">
      <c r="A107" s="12" t="n"/>
      <c r="B107">
        <f>IF($AH107="","",INDEX('Per Line'!$D$2:$D$1601,$AH107)&amp;"")</f>
        <v/>
      </c>
      <c r="C107">
        <f>IF($AH107="","",INDEX('Per Line'!$A$2:$A$1601,$AH107)&amp;"")</f>
        <v/>
      </c>
      <c r="D107">
        <f>IF($AH107="","",INDEX('Per Line'!$B$2:$B$1601,$AH107))</f>
        <v/>
      </c>
      <c r="E107">
        <f>IF($AH107="","",INDEX('Per Line'!$C$2:$C$1601,$AH107)&amp;"")</f>
        <v/>
      </c>
      <c r="F107">
        <f>IF($AH107="","",INDEX('Per Line'!$E$2:$E$1601,$AH107)&amp;"")</f>
        <v/>
      </c>
      <c r="G107" s="11">
        <f>IF($AH107="","",INDEX('Per Line'!$F$2:$F$1601,$AH107))</f>
        <v/>
      </c>
      <c r="H107">
        <f>IF($AH107="","",INDEX('Per Line'!$G$2:$G$1601,$AH107)&amp;"")</f>
        <v/>
      </c>
      <c r="I107">
        <f>IF($AH107="","",INDEX('Per Line'!$I$2:$I$1601,$AH107)&amp;"")</f>
        <v/>
      </c>
      <c r="J107">
        <f>IF($AH107="","",INDEX('Per Line'!$J$2:$J$1601,$AH107)&amp;"")</f>
        <v/>
      </c>
      <c r="K107">
        <f>IF($AH107="","",INDEX('Per Line'!$K$2:$K$1601,$AH107)&amp;"")</f>
        <v/>
      </c>
      <c r="L107">
        <f>IF($AH107="","",INDEX('Per Line'!$L$2:$L$1601,$AH107)&amp;"")</f>
        <v/>
      </c>
      <c r="M107">
        <f>IF($AH107="","",INDEX('Per Line'!$M$2:$M$1601,$AH107))</f>
        <v/>
      </c>
      <c r="N107" s="7">
        <f>IF($AH107="","",M107*AE107/100)</f>
        <v/>
      </c>
      <c r="O107">
        <f>IF($AH107="","",INDEX('Per Line'!$Z$2:$Z$1601,$AH107)&amp;"")</f>
        <v/>
      </c>
      <c r="P107">
        <f>IF($AH107="","",INDEX('Per Line'!$AC$2:$AC$1601,$AH107)&amp;"")</f>
        <v/>
      </c>
      <c r="Q107">
        <f>IF($AH107="","",INDEX('Per Line'!$AD$2:$AD$1601,$AH107))</f>
        <v/>
      </c>
      <c r="R107">
        <f>IF($AH107="","",IF(AND(ISNUMBER(Q107),Q107&gt;0),AF107&gt;Q107,FALSE))</f>
        <v/>
      </c>
      <c r="S107">
        <f>IF($AH107="","",INDEX('Per Line'!$AH$2:$AH$1601,$AH107)&amp;"")</f>
        <v/>
      </c>
      <c r="T107" s="11">
        <f>IF($AH107="","",INDEX('Per Line'!$AI$2:$AI$1601,$AH107))</f>
        <v/>
      </c>
      <c r="U107">
        <f>IF($AH107="","",Settings!$C$8)</f>
        <v/>
      </c>
      <c r="V107" s="7">
        <f>IF($AH107="","",SUMIFS('Per Line'!$V$2:$V$1601,'Per Line'!$D$2:$D$1601,$B107,'Per Line'!$AN$2:$AN$1601,1))</f>
        <v/>
      </c>
      <c r="W107" s="7">
        <f>IF($AH107="","",V107*U107)</f>
        <v/>
      </c>
      <c r="X107">
        <f>IF($AH107="","",Settings!$C$7)</f>
        <v/>
      </c>
      <c r="Y107" s="7">
        <f>IF($AH107="","",SUMIFS('Per Line'!$V$2:$V$1601,'Per Line'!$D$2:$D$1601,$B107,'Per Line'!$AM$2:$AM$1601,0,'Per Line'!$AN$2:$AN$1601,0))</f>
        <v/>
      </c>
      <c r="Z107" s="7">
        <f>IF($AH107="","",Y107*X107)</f>
        <v/>
      </c>
      <c r="AA107">
        <f>IF($AH107="","",Settings!$C$6)</f>
        <v/>
      </c>
      <c r="AB107" s="7">
        <f>IF($AH107="","",SUMIFS('Per Line'!$V$2:$V$1601,'Per Line'!$D$2:$D$1601,$B107,'Per Line'!$AM$2:$AM$1601,1,'Per Line'!$AN$2:$AN$1601,0))</f>
        <v/>
      </c>
      <c r="AC107" s="7">
        <f>IF($AH107="","",AB107*AA107)</f>
        <v/>
      </c>
      <c r="AD107" s="7">
        <f>IF($AH107="","",AC107+Z107+W107)</f>
        <v/>
      </c>
      <c r="AE107" s="7">
        <f>IF($AH107="","",AF107-AD107)</f>
        <v/>
      </c>
      <c r="AF107" s="7">
        <f>IF($AH107="","",Y107+AB107+V107)</f>
        <v/>
      </c>
      <c r="AG107" s="7">
        <f>IF($AH107="","",AF107-AD107-N107)</f>
        <v/>
      </c>
      <c r="AH107" s="13">
        <f>IF(ROWS($AH$2:$AH107)&lt;=MAX('Per Line'!$AL$2:$AL$1601),MATCH(ROWS($AH$2:$AH107),'Per Line'!$AL$2:$AL$1601,0),"")</f>
        <v/>
      </c>
    </row>
    <row r="108">
      <c r="A108" s="12" t="n"/>
      <c r="B108">
        <f>IF($AH108="","",INDEX('Per Line'!$D$2:$D$1601,$AH108)&amp;"")</f>
        <v/>
      </c>
      <c r="C108">
        <f>IF($AH108="","",INDEX('Per Line'!$A$2:$A$1601,$AH108)&amp;"")</f>
        <v/>
      </c>
      <c r="D108">
        <f>IF($AH108="","",INDEX('Per Line'!$B$2:$B$1601,$AH108))</f>
        <v/>
      </c>
      <c r="E108">
        <f>IF($AH108="","",INDEX('Per Line'!$C$2:$C$1601,$AH108)&amp;"")</f>
        <v/>
      </c>
      <c r="F108">
        <f>IF($AH108="","",INDEX('Per Line'!$E$2:$E$1601,$AH108)&amp;"")</f>
        <v/>
      </c>
      <c r="G108" s="11">
        <f>IF($AH108="","",INDEX('Per Line'!$F$2:$F$1601,$AH108))</f>
        <v/>
      </c>
      <c r="H108">
        <f>IF($AH108="","",INDEX('Per Line'!$G$2:$G$1601,$AH108)&amp;"")</f>
        <v/>
      </c>
      <c r="I108">
        <f>IF($AH108="","",INDEX('Per Line'!$I$2:$I$1601,$AH108)&amp;"")</f>
        <v/>
      </c>
      <c r="J108">
        <f>IF($AH108="","",INDEX('Per Line'!$J$2:$J$1601,$AH108)&amp;"")</f>
        <v/>
      </c>
      <c r="K108">
        <f>IF($AH108="","",INDEX('Per Line'!$K$2:$K$1601,$AH108)&amp;"")</f>
        <v/>
      </c>
      <c r="L108">
        <f>IF($AH108="","",INDEX('Per Line'!$L$2:$L$1601,$AH108)&amp;"")</f>
        <v/>
      </c>
      <c r="M108">
        <f>IF($AH108="","",INDEX('Per Line'!$M$2:$M$1601,$AH108))</f>
        <v/>
      </c>
      <c r="N108" s="7">
        <f>IF($AH108="","",M108*AE108/100)</f>
        <v/>
      </c>
      <c r="O108">
        <f>IF($AH108="","",INDEX('Per Line'!$Z$2:$Z$1601,$AH108)&amp;"")</f>
        <v/>
      </c>
      <c r="P108">
        <f>IF($AH108="","",INDEX('Per Line'!$AC$2:$AC$1601,$AH108)&amp;"")</f>
        <v/>
      </c>
      <c r="Q108">
        <f>IF($AH108="","",INDEX('Per Line'!$AD$2:$AD$1601,$AH108))</f>
        <v/>
      </c>
      <c r="R108">
        <f>IF($AH108="","",IF(AND(ISNUMBER(Q108),Q108&gt;0),AF108&gt;Q108,FALSE))</f>
        <v/>
      </c>
      <c r="S108">
        <f>IF($AH108="","",INDEX('Per Line'!$AH$2:$AH$1601,$AH108)&amp;"")</f>
        <v/>
      </c>
      <c r="T108" s="11">
        <f>IF($AH108="","",INDEX('Per Line'!$AI$2:$AI$1601,$AH108))</f>
        <v/>
      </c>
      <c r="U108">
        <f>IF($AH108="","",Settings!$C$8)</f>
        <v/>
      </c>
      <c r="V108" s="7">
        <f>IF($AH108="","",SUMIFS('Per Line'!$V$2:$V$1601,'Per Line'!$D$2:$D$1601,$B108,'Per Line'!$AN$2:$AN$1601,1))</f>
        <v/>
      </c>
      <c r="W108" s="7">
        <f>IF($AH108="","",V108*U108)</f>
        <v/>
      </c>
      <c r="X108">
        <f>IF($AH108="","",Settings!$C$7)</f>
        <v/>
      </c>
      <c r="Y108" s="7">
        <f>IF($AH108="","",SUMIFS('Per Line'!$V$2:$V$1601,'Per Line'!$D$2:$D$1601,$B108,'Per Line'!$AM$2:$AM$1601,0,'Per Line'!$AN$2:$AN$1601,0))</f>
        <v/>
      </c>
      <c r="Z108" s="7">
        <f>IF($AH108="","",Y108*X108)</f>
        <v/>
      </c>
      <c r="AA108">
        <f>IF($AH108="","",Settings!$C$6)</f>
        <v/>
      </c>
      <c r="AB108" s="7">
        <f>IF($AH108="","",SUMIFS('Per Line'!$V$2:$V$1601,'Per Line'!$D$2:$D$1601,$B108,'Per Line'!$AM$2:$AM$1601,1,'Per Line'!$AN$2:$AN$1601,0))</f>
        <v/>
      </c>
      <c r="AC108" s="7">
        <f>IF($AH108="","",AB108*AA108)</f>
        <v/>
      </c>
      <c r="AD108" s="7">
        <f>IF($AH108="","",AC108+Z108+W108)</f>
        <v/>
      </c>
      <c r="AE108" s="7">
        <f>IF($AH108="","",AF108-AD108)</f>
        <v/>
      </c>
      <c r="AF108" s="7">
        <f>IF($AH108="","",Y108+AB108+V108)</f>
        <v/>
      </c>
      <c r="AG108" s="7">
        <f>IF($AH108="","",AF108-AD108-N108)</f>
        <v/>
      </c>
      <c r="AH108" s="13">
        <f>IF(ROWS($AH$2:$AH108)&lt;=MAX('Per Line'!$AL$2:$AL$1601),MATCH(ROWS($AH$2:$AH108),'Per Line'!$AL$2:$AL$1601,0),"")</f>
        <v/>
      </c>
    </row>
    <row r="109">
      <c r="A109" s="12" t="n"/>
      <c r="B109">
        <f>IF($AH109="","",INDEX('Per Line'!$D$2:$D$1601,$AH109)&amp;"")</f>
        <v/>
      </c>
      <c r="C109">
        <f>IF($AH109="","",INDEX('Per Line'!$A$2:$A$1601,$AH109)&amp;"")</f>
        <v/>
      </c>
      <c r="D109">
        <f>IF($AH109="","",INDEX('Per Line'!$B$2:$B$1601,$AH109))</f>
        <v/>
      </c>
      <c r="E109">
        <f>IF($AH109="","",INDEX('Per Line'!$C$2:$C$1601,$AH109)&amp;"")</f>
        <v/>
      </c>
      <c r="F109">
        <f>IF($AH109="","",INDEX('Per Line'!$E$2:$E$1601,$AH109)&amp;"")</f>
        <v/>
      </c>
      <c r="G109" s="11">
        <f>IF($AH109="","",INDEX('Per Line'!$F$2:$F$1601,$AH109))</f>
        <v/>
      </c>
      <c r="H109">
        <f>IF($AH109="","",INDEX('Per Line'!$G$2:$G$1601,$AH109)&amp;"")</f>
        <v/>
      </c>
      <c r="I109">
        <f>IF($AH109="","",INDEX('Per Line'!$I$2:$I$1601,$AH109)&amp;"")</f>
        <v/>
      </c>
      <c r="J109">
        <f>IF($AH109="","",INDEX('Per Line'!$J$2:$J$1601,$AH109)&amp;"")</f>
        <v/>
      </c>
      <c r="K109">
        <f>IF($AH109="","",INDEX('Per Line'!$K$2:$K$1601,$AH109)&amp;"")</f>
        <v/>
      </c>
      <c r="L109">
        <f>IF($AH109="","",INDEX('Per Line'!$L$2:$L$1601,$AH109)&amp;"")</f>
        <v/>
      </c>
      <c r="M109">
        <f>IF($AH109="","",INDEX('Per Line'!$M$2:$M$1601,$AH109))</f>
        <v/>
      </c>
      <c r="N109" s="7">
        <f>IF($AH109="","",M109*AE109/100)</f>
        <v/>
      </c>
      <c r="O109">
        <f>IF($AH109="","",INDEX('Per Line'!$Z$2:$Z$1601,$AH109)&amp;"")</f>
        <v/>
      </c>
      <c r="P109">
        <f>IF($AH109="","",INDEX('Per Line'!$AC$2:$AC$1601,$AH109)&amp;"")</f>
        <v/>
      </c>
      <c r="Q109">
        <f>IF($AH109="","",INDEX('Per Line'!$AD$2:$AD$1601,$AH109))</f>
        <v/>
      </c>
      <c r="R109">
        <f>IF($AH109="","",IF(AND(ISNUMBER(Q109),Q109&gt;0),AF109&gt;Q109,FALSE))</f>
        <v/>
      </c>
      <c r="S109">
        <f>IF($AH109="","",INDEX('Per Line'!$AH$2:$AH$1601,$AH109)&amp;"")</f>
        <v/>
      </c>
      <c r="T109" s="11">
        <f>IF($AH109="","",INDEX('Per Line'!$AI$2:$AI$1601,$AH109))</f>
        <v/>
      </c>
      <c r="U109">
        <f>IF($AH109="","",Settings!$C$8)</f>
        <v/>
      </c>
      <c r="V109" s="7">
        <f>IF($AH109="","",SUMIFS('Per Line'!$V$2:$V$1601,'Per Line'!$D$2:$D$1601,$B109,'Per Line'!$AN$2:$AN$1601,1))</f>
        <v/>
      </c>
      <c r="W109" s="7">
        <f>IF($AH109="","",V109*U109)</f>
        <v/>
      </c>
      <c r="X109">
        <f>IF($AH109="","",Settings!$C$7)</f>
        <v/>
      </c>
      <c r="Y109" s="7">
        <f>IF($AH109="","",SUMIFS('Per Line'!$V$2:$V$1601,'Per Line'!$D$2:$D$1601,$B109,'Per Line'!$AM$2:$AM$1601,0,'Per Line'!$AN$2:$AN$1601,0))</f>
        <v/>
      </c>
      <c r="Z109" s="7">
        <f>IF($AH109="","",Y109*X109)</f>
        <v/>
      </c>
      <c r="AA109">
        <f>IF($AH109="","",Settings!$C$6)</f>
        <v/>
      </c>
      <c r="AB109" s="7">
        <f>IF($AH109="","",SUMIFS('Per Line'!$V$2:$V$1601,'Per Line'!$D$2:$D$1601,$B109,'Per Line'!$AM$2:$AM$1601,1,'Per Line'!$AN$2:$AN$1601,0))</f>
        <v/>
      </c>
      <c r="AC109" s="7">
        <f>IF($AH109="","",AB109*AA109)</f>
        <v/>
      </c>
      <c r="AD109" s="7">
        <f>IF($AH109="","",AC109+Z109+W109)</f>
        <v/>
      </c>
      <c r="AE109" s="7">
        <f>IF($AH109="","",AF109-AD109)</f>
        <v/>
      </c>
      <c r="AF109" s="7">
        <f>IF($AH109="","",Y109+AB109+V109)</f>
        <v/>
      </c>
      <c r="AG109" s="7">
        <f>IF($AH109="","",AF109-AD109-N109)</f>
        <v/>
      </c>
      <c r="AH109" s="13">
        <f>IF(ROWS($AH$2:$AH109)&lt;=MAX('Per Line'!$AL$2:$AL$1601),MATCH(ROWS($AH$2:$AH109),'Per Line'!$AL$2:$AL$1601,0),"")</f>
        <v/>
      </c>
    </row>
    <row r="110">
      <c r="A110" s="12" t="n"/>
      <c r="B110">
        <f>IF($AH110="","",INDEX('Per Line'!$D$2:$D$1601,$AH110)&amp;"")</f>
        <v/>
      </c>
      <c r="C110">
        <f>IF($AH110="","",INDEX('Per Line'!$A$2:$A$1601,$AH110)&amp;"")</f>
        <v/>
      </c>
      <c r="D110">
        <f>IF($AH110="","",INDEX('Per Line'!$B$2:$B$1601,$AH110))</f>
        <v/>
      </c>
      <c r="E110">
        <f>IF($AH110="","",INDEX('Per Line'!$C$2:$C$1601,$AH110)&amp;"")</f>
        <v/>
      </c>
      <c r="F110">
        <f>IF($AH110="","",INDEX('Per Line'!$E$2:$E$1601,$AH110)&amp;"")</f>
        <v/>
      </c>
      <c r="G110" s="11">
        <f>IF($AH110="","",INDEX('Per Line'!$F$2:$F$1601,$AH110))</f>
        <v/>
      </c>
      <c r="H110">
        <f>IF($AH110="","",INDEX('Per Line'!$G$2:$G$1601,$AH110)&amp;"")</f>
        <v/>
      </c>
      <c r="I110">
        <f>IF($AH110="","",INDEX('Per Line'!$I$2:$I$1601,$AH110)&amp;"")</f>
        <v/>
      </c>
      <c r="J110">
        <f>IF($AH110="","",INDEX('Per Line'!$J$2:$J$1601,$AH110)&amp;"")</f>
        <v/>
      </c>
      <c r="K110">
        <f>IF($AH110="","",INDEX('Per Line'!$K$2:$K$1601,$AH110)&amp;"")</f>
        <v/>
      </c>
      <c r="L110">
        <f>IF($AH110="","",INDEX('Per Line'!$L$2:$L$1601,$AH110)&amp;"")</f>
        <v/>
      </c>
      <c r="M110">
        <f>IF($AH110="","",INDEX('Per Line'!$M$2:$M$1601,$AH110))</f>
        <v/>
      </c>
      <c r="N110" s="7">
        <f>IF($AH110="","",M110*AE110/100)</f>
        <v/>
      </c>
      <c r="O110">
        <f>IF($AH110="","",INDEX('Per Line'!$Z$2:$Z$1601,$AH110)&amp;"")</f>
        <v/>
      </c>
      <c r="P110">
        <f>IF($AH110="","",INDEX('Per Line'!$AC$2:$AC$1601,$AH110)&amp;"")</f>
        <v/>
      </c>
      <c r="Q110">
        <f>IF($AH110="","",INDEX('Per Line'!$AD$2:$AD$1601,$AH110))</f>
        <v/>
      </c>
      <c r="R110">
        <f>IF($AH110="","",IF(AND(ISNUMBER(Q110),Q110&gt;0),AF110&gt;Q110,FALSE))</f>
        <v/>
      </c>
      <c r="S110">
        <f>IF($AH110="","",INDEX('Per Line'!$AH$2:$AH$1601,$AH110)&amp;"")</f>
        <v/>
      </c>
      <c r="T110" s="11">
        <f>IF($AH110="","",INDEX('Per Line'!$AI$2:$AI$1601,$AH110))</f>
        <v/>
      </c>
      <c r="U110">
        <f>IF($AH110="","",Settings!$C$8)</f>
        <v/>
      </c>
      <c r="V110" s="7">
        <f>IF($AH110="","",SUMIFS('Per Line'!$V$2:$V$1601,'Per Line'!$D$2:$D$1601,$B110,'Per Line'!$AN$2:$AN$1601,1))</f>
        <v/>
      </c>
      <c r="W110" s="7">
        <f>IF($AH110="","",V110*U110)</f>
        <v/>
      </c>
      <c r="X110">
        <f>IF($AH110="","",Settings!$C$7)</f>
        <v/>
      </c>
      <c r="Y110" s="7">
        <f>IF($AH110="","",SUMIFS('Per Line'!$V$2:$V$1601,'Per Line'!$D$2:$D$1601,$B110,'Per Line'!$AM$2:$AM$1601,0,'Per Line'!$AN$2:$AN$1601,0))</f>
        <v/>
      </c>
      <c r="Z110" s="7">
        <f>IF($AH110="","",Y110*X110)</f>
        <v/>
      </c>
      <c r="AA110">
        <f>IF($AH110="","",Settings!$C$6)</f>
        <v/>
      </c>
      <c r="AB110" s="7">
        <f>IF($AH110="","",SUMIFS('Per Line'!$V$2:$V$1601,'Per Line'!$D$2:$D$1601,$B110,'Per Line'!$AM$2:$AM$1601,1,'Per Line'!$AN$2:$AN$1601,0))</f>
        <v/>
      </c>
      <c r="AC110" s="7">
        <f>IF($AH110="","",AB110*AA110)</f>
        <v/>
      </c>
      <c r="AD110" s="7">
        <f>IF($AH110="","",AC110+Z110+W110)</f>
        <v/>
      </c>
      <c r="AE110" s="7">
        <f>IF($AH110="","",AF110-AD110)</f>
        <v/>
      </c>
      <c r="AF110" s="7">
        <f>IF($AH110="","",Y110+AB110+V110)</f>
        <v/>
      </c>
      <c r="AG110" s="7">
        <f>IF($AH110="","",AF110-AD110-N110)</f>
        <v/>
      </c>
      <c r="AH110" s="13">
        <f>IF(ROWS($AH$2:$AH110)&lt;=MAX('Per Line'!$AL$2:$AL$1601),MATCH(ROWS($AH$2:$AH110),'Per Line'!$AL$2:$AL$1601,0),"")</f>
        <v/>
      </c>
    </row>
    <row r="111">
      <c r="A111" s="12" t="n"/>
      <c r="B111">
        <f>IF($AH111="","",INDEX('Per Line'!$D$2:$D$1601,$AH111)&amp;"")</f>
        <v/>
      </c>
      <c r="C111">
        <f>IF($AH111="","",INDEX('Per Line'!$A$2:$A$1601,$AH111)&amp;"")</f>
        <v/>
      </c>
      <c r="D111">
        <f>IF($AH111="","",INDEX('Per Line'!$B$2:$B$1601,$AH111))</f>
        <v/>
      </c>
      <c r="E111">
        <f>IF($AH111="","",INDEX('Per Line'!$C$2:$C$1601,$AH111)&amp;"")</f>
        <v/>
      </c>
      <c r="F111">
        <f>IF($AH111="","",INDEX('Per Line'!$E$2:$E$1601,$AH111)&amp;"")</f>
        <v/>
      </c>
      <c r="G111" s="11">
        <f>IF($AH111="","",INDEX('Per Line'!$F$2:$F$1601,$AH111))</f>
        <v/>
      </c>
      <c r="H111">
        <f>IF($AH111="","",INDEX('Per Line'!$G$2:$G$1601,$AH111)&amp;"")</f>
        <v/>
      </c>
      <c r="I111">
        <f>IF($AH111="","",INDEX('Per Line'!$I$2:$I$1601,$AH111)&amp;"")</f>
        <v/>
      </c>
      <c r="J111">
        <f>IF($AH111="","",INDEX('Per Line'!$J$2:$J$1601,$AH111)&amp;"")</f>
        <v/>
      </c>
      <c r="K111">
        <f>IF($AH111="","",INDEX('Per Line'!$K$2:$K$1601,$AH111)&amp;"")</f>
        <v/>
      </c>
      <c r="L111">
        <f>IF($AH111="","",INDEX('Per Line'!$L$2:$L$1601,$AH111)&amp;"")</f>
        <v/>
      </c>
      <c r="M111">
        <f>IF($AH111="","",INDEX('Per Line'!$M$2:$M$1601,$AH111))</f>
        <v/>
      </c>
      <c r="N111" s="7">
        <f>IF($AH111="","",M111*AE111/100)</f>
        <v/>
      </c>
      <c r="O111">
        <f>IF($AH111="","",INDEX('Per Line'!$Z$2:$Z$1601,$AH111)&amp;"")</f>
        <v/>
      </c>
      <c r="P111">
        <f>IF($AH111="","",INDEX('Per Line'!$AC$2:$AC$1601,$AH111)&amp;"")</f>
        <v/>
      </c>
      <c r="Q111">
        <f>IF($AH111="","",INDEX('Per Line'!$AD$2:$AD$1601,$AH111))</f>
        <v/>
      </c>
      <c r="R111">
        <f>IF($AH111="","",IF(AND(ISNUMBER(Q111),Q111&gt;0),AF111&gt;Q111,FALSE))</f>
        <v/>
      </c>
      <c r="S111">
        <f>IF($AH111="","",INDEX('Per Line'!$AH$2:$AH$1601,$AH111)&amp;"")</f>
        <v/>
      </c>
      <c r="T111" s="11">
        <f>IF($AH111="","",INDEX('Per Line'!$AI$2:$AI$1601,$AH111))</f>
        <v/>
      </c>
      <c r="U111">
        <f>IF($AH111="","",Settings!$C$8)</f>
        <v/>
      </c>
      <c r="V111" s="7">
        <f>IF($AH111="","",SUMIFS('Per Line'!$V$2:$V$1601,'Per Line'!$D$2:$D$1601,$B111,'Per Line'!$AN$2:$AN$1601,1))</f>
        <v/>
      </c>
      <c r="W111" s="7">
        <f>IF($AH111="","",V111*U111)</f>
        <v/>
      </c>
      <c r="X111">
        <f>IF($AH111="","",Settings!$C$7)</f>
        <v/>
      </c>
      <c r="Y111" s="7">
        <f>IF($AH111="","",SUMIFS('Per Line'!$V$2:$V$1601,'Per Line'!$D$2:$D$1601,$B111,'Per Line'!$AM$2:$AM$1601,0,'Per Line'!$AN$2:$AN$1601,0))</f>
        <v/>
      </c>
      <c r="Z111" s="7">
        <f>IF($AH111="","",Y111*X111)</f>
        <v/>
      </c>
      <c r="AA111">
        <f>IF($AH111="","",Settings!$C$6)</f>
        <v/>
      </c>
      <c r="AB111" s="7">
        <f>IF($AH111="","",SUMIFS('Per Line'!$V$2:$V$1601,'Per Line'!$D$2:$D$1601,$B111,'Per Line'!$AM$2:$AM$1601,1,'Per Line'!$AN$2:$AN$1601,0))</f>
        <v/>
      </c>
      <c r="AC111" s="7">
        <f>IF($AH111="","",AB111*AA111)</f>
        <v/>
      </c>
      <c r="AD111" s="7">
        <f>IF($AH111="","",AC111+Z111+W111)</f>
        <v/>
      </c>
      <c r="AE111" s="7">
        <f>IF($AH111="","",AF111-AD111)</f>
        <v/>
      </c>
      <c r="AF111" s="7">
        <f>IF($AH111="","",Y111+AB111+V111)</f>
        <v/>
      </c>
      <c r="AG111" s="7">
        <f>IF($AH111="","",AF111-AD111-N111)</f>
        <v/>
      </c>
      <c r="AH111" s="13">
        <f>IF(ROWS($AH$2:$AH111)&lt;=MAX('Per Line'!$AL$2:$AL$1601),MATCH(ROWS($AH$2:$AH111),'Per Line'!$AL$2:$AL$1601,0),"")</f>
        <v/>
      </c>
    </row>
    <row r="112">
      <c r="A112" s="12" t="n"/>
      <c r="B112">
        <f>IF($AH112="","",INDEX('Per Line'!$D$2:$D$1601,$AH112)&amp;"")</f>
        <v/>
      </c>
      <c r="C112">
        <f>IF($AH112="","",INDEX('Per Line'!$A$2:$A$1601,$AH112)&amp;"")</f>
        <v/>
      </c>
      <c r="D112">
        <f>IF($AH112="","",INDEX('Per Line'!$B$2:$B$1601,$AH112))</f>
        <v/>
      </c>
      <c r="E112">
        <f>IF($AH112="","",INDEX('Per Line'!$C$2:$C$1601,$AH112)&amp;"")</f>
        <v/>
      </c>
      <c r="F112">
        <f>IF($AH112="","",INDEX('Per Line'!$E$2:$E$1601,$AH112)&amp;"")</f>
        <v/>
      </c>
      <c r="G112" s="11">
        <f>IF($AH112="","",INDEX('Per Line'!$F$2:$F$1601,$AH112))</f>
        <v/>
      </c>
      <c r="H112">
        <f>IF($AH112="","",INDEX('Per Line'!$G$2:$G$1601,$AH112)&amp;"")</f>
        <v/>
      </c>
      <c r="I112">
        <f>IF($AH112="","",INDEX('Per Line'!$I$2:$I$1601,$AH112)&amp;"")</f>
        <v/>
      </c>
      <c r="J112">
        <f>IF($AH112="","",INDEX('Per Line'!$J$2:$J$1601,$AH112)&amp;"")</f>
        <v/>
      </c>
      <c r="K112">
        <f>IF($AH112="","",INDEX('Per Line'!$K$2:$K$1601,$AH112)&amp;"")</f>
        <v/>
      </c>
      <c r="L112">
        <f>IF($AH112="","",INDEX('Per Line'!$L$2:$L$1601,$AH112)&amp;"")</f>
        <v/>
      </c>
      <c r="M112">
        <f>IF($AH112="","",INDEX('Per Line'!$M$2:$M$1601,$AH112))</f>
        <v/>
      </c>
      <c r="N112" s="7">
        <f>IF($AH112="","",M112*AE112/100)</f>
        <v/>
      </c>
      <c r="O112">
        <f>IF($AH112="","",INDEX('Per Line'!$Z$2:$Z$1601,$AH112)&amp;"")</f>
        <v/>
      </c>
      <c r="P112">
        <f>IF($AH112="","",INDEX('Per Line'!$AC$2:$AC$1601,$AH112)&amp;"")</f>
        <v/>
      </c>
      <c r="Q112">
        <f>IF($AH112="","",INDEX('Per Line'!$AD$2:$AD$1601,$AH112))</f>
        <v/>
      </c>
      <c r="R112">
        <f>IF($AH112="","",IF(AND(ISNUMBER(Q112),Q112&gt;0),AF112&gt;Q112,FALSE))</f>
        <v/>
      </c>
      <c r="S112">
        <f>IF($AH112="","",INDEX('Per Line'!$AH$2:$AH$1601,$AH112)&amp;"")</f>
        <v/>
      </c>
      <c r="T112" s="11">
        <f>IF($AH112="","",INDEX('Per Line'!$AI$2:$AI$1601,$AH112))</f>
        <v/>
      </c>
      <c r="U112">
        <f>IF($AH112="","",Settings!$C$8)</f>
        <v/>
      </c>
      <c r="V112" s="7">
        <f>IF($AH112="","",SUMIFS('Per Line'!$V$2:$V$1601,'Per Line'!$D$2:$D$1601,$B112,'Per Line'!$AN$2:$AN$1601,1))</f>
        <v/>
      </c>
      <c r="W112" s="7">
        <f>IF($AH112="","",V112*U112)</f>
        <v/>
      </c>
      <c r="X112">
        <f>IF($AH112="","",Settings!$C$7)</f>
        <v/>
      </c>
      <c r="Y112" s="7">
        <f>IF($AH112="","",SUMIFS('Per Line'!$V$2:$V$1601,'Per Line'!$D$2:$D$1601,$B112,'Per Line'!$AM$2:$AM$1601,0,'Per Line'!$AN$2:$AN$1601,0))</f>
        <v/>
      </c>
      <c r="Z112" s="7">
        <f>IF($AH112="","",Y112*X112)</f>
        <v/>
      </c>
      <c r="AA112">
        <f>IF($AH112="","",Settings!$C$6)</f>
        <v/>
      </c>
      <c r="AB112" s="7">
        <f>IF($AH112="","",SUMIFS('Per Line'!$V$2:$V$1601,'Per Line'!$D$2:$D$1601,$B112,'Per Line'!$AM$2:$AM$1601,1,'Per Line'!$AN$2:$AN$1601,0))</f>
        <v/>
      </c>
      <c r="AC112" s="7">
        <f>IF($AH112="","",AB112*AA112)</f>
        <v/>
      </c>
      <c r="AD112" s="7">
        <f>IF($AH112="","",AC112+Z112+W112)</f>
        <v/>
      </c>
      <c r="AE112" s="7">
        <f>IF($AH112="","",AF112-AD112)</f>
        <v/>
      </c>
      <c r="AF112" s="7">
        <f>IF($AH112="","",Y112+AB112+V112)</f>
        <v/>
      </c>
      <c r="AG112" s="7">
        <f>IF($AH112="","",AF112-AD112-N112)</f>
        <v/>
      </c>
      <c r="AH112" s="13">
        <f>IF(ROWS($AH$2:$AH112)&lt;=MAX('Per Line'!$AL$2:$AL$1601),MATCH(ROWS($AH$2:$AH112),'Per Line'!$AL$2:$AL$1601,0),"")</f>
        <v/>
      </c>
    </row>
    <row r="113">
      <c r="A113" s="12" t="n"/>
      <c r="B113">
        <f>IF($AH113="","",INDEX('Per Line'!$D$2:$D$1601,$AH113)&amp;"")</f>
        <v/>
      </c>
      <c r="C113">
        <f>IF($AH113="","",INDEX('Per Line'!$A$2:$A$1601,$AH113)&amp;"")</f>
        <v/>
      </c>
      <c r="D113">
        <f>IF($AH113="","",INDEX('Per Line'!$B$2:$B$1601,$AH113))</f>
        <v/>
      </c>
      <c r="E113">
        <f>IF($AH113="","",INDEX('Per Line'!$C$2:$C$1601,$AH113)&amp;"")</f>
        <v/>
      </c>
      <c r="F113">
        <f>IF($AH113="","",INDEX('Per Line'!$E$2:$E$1601,$AH113)&amp;"")</f>
        <v/>
      </c>
      <c r="G113" s="11">
        <f>IF($AH113="","",INDEX('Per Line'!$F$2:$F$1601,$AH113))</f>
        <v/>
      </c>
      <c r="H113">
        <f>IF($AH113="","",INDEX('Per Line'!$G$2:$G$1601,$AH113)&amp;"")</f>
        <v/>
      </c>
      <c r="I113">
        <f>IF($AH113="","",INDEX('Per Line'!$I$2:$I$1601,$AH113)&amp;"")</f>
        <v/>
      </c>
      <c r="J113">
        <f>IF($AH113="","",INDEX('Per Line'!$J$2:$J$1601,$AH113)&amp;"")</f>
        <v/>
      </c>
      <c r="K113">
        <f>IF($AH113="","",INDEX('Per Line'!$K$2:$K$1601,$AH113)&amp;"")</f>
        <v/>
      </c>
      <c r="L113">
        <f>IF($AH113="","",INDEX('Per Line'!$L$2:$L$1601,$AH113)&amp;"")</f>
        <v/>
      </c>
      <c r="M113">
        <f>IF($AH113="","",INDEX('Per Line'!$M$2:$M$1601,$AH113))</f>
        <v/>
      </c>
      <c r="N113" s="7">
        <f>IF($AH113="","",M113*AE113/100)</f>
        <v/>
      </c>
      <c r="O113">
        <f>IF($AH113="","",INDEX('Per Line'!$Z$2:$Z$1601,$AH113)&amp;"")</f>
        <v/>
      </c>
      <c r="P113">
        <f>IF($AH113="","",INDEX('Per Line'!$AC$2:$AC$1601,$AH113)&amp;"")</f>
        <v/>
      </c>
      <c r="Q113">
        <f>IF($AH113="","",INDEX('Per Line'!$AD$2:$AD$1601,$AH113))</f>
        <v/>
      </c>
      <c r="R113">
        <f>IF($AH113="","",IF(AND(ISNUMBER(Q113),Q113&gt;0),AF113&gt;Q113,FALSE))</f>
        <v/>
      </c>
      <c r="S113">
        <f>IF($AH113="","",INDEX('Per Line'!$AH$2:$AH$1601,$AH113)&amp;"")</f>
        <v/>
      </c>
      <c r="T113" s="11">
        <f>IF($AH113="","",INDEX('Per Line'!$AI$2:$AI$1601,$AH113))</f>
        <v/>
      </c>
      <c r="U113">
        <f>IF($AH113="","",Settings!$C$8)</f>
        <v/>
      </c>
      <c r="V113" s="7">
        <f>IF($AH113="","",SUMIFS('Per Line'!$V$2:$V$1601,'Per Line'!$D$2:$D$1601,$B113,'Per Line'!$AN$2:$AN$1601,1))</f>
        <v/>
      </c>
      <c r="W113" s="7">
        <f>IF($AH113="","",V113*U113)</f>
        <v/>
      </c>
      <c r="X113">
        <f>IF($AH113="","",Settings!$C$7)</f>
        <v/>
      </c>
      <c r="Y113" s="7">
        <f>IF($AH113="","",SUMIFS('Per Line'!$V$2:$V$1601,'Per Line'!$D$2:$D$1601,$B113,'Per Line'!$AM$2:$AM$1601,0,'Per Line'!$AN$2:$AN$1601,0))</f>
        <v/>
      </c>
      <c r="Z113" s="7">
        <f>IF($AH113="","",Y113*X113)</f>
        <v/>
      </c>
      <c r="AA113">
        <f>IF($AH113="","",Settings!$C$6)</f>
        <v/>
      </c>
      <c r="AB113" s="7">
        <f>IF($AH113="","",SUMIFS('Per Line'!$V$2:$V$1601,'Per Line'!$D$2:$D$1601,$B113,'Per Line'!$AM$2:$AM$1601,1,'Per Line'!$AN$2:$AN$1601,0))</f>
        <v/>
      </c>
      <c r="AC113" s="7">
        <f>IF($AH113="","",AB113*AA113)</f>
        <v/>
      </c>
      <c r="AD113" s="7">
        <f>IF($AH113="","",AC113+Z113+W113)</f>
        <v/>
      </c>
      <c r="AE113" s="7">
        <f>IF($AH113="","",AF113-AD113)</f>
        <v/>
      </c>
      <c r="AF113" s="7">
        <f>IF($AH113="","",Y113+AB113+V113)</f>
        <v/>
      </c>
      <c r="AG113" s="7">
        <f>IF($AH113="","",AF113-AD113-N113)</f>
        <v/>
      </c>
      <c r="AH113" s="13">
        <f>IF(ROWS($AH$2:$AH113)&lt;=MAX('Per Line'!$AL$2:$AL$1601),MATCH(ROWS($AH$2:$AH113),'Per Line'!$AL$2:$AL$1601,0),"")</f>
        <v/>
      </c>
    </row>
    <row r="114">
      <c r="A114" s="12" t="n"/>
      <c r="B114">
        <f>IF($AH114="","",INDEX('Per Line'!$D$2:$D$1601,$AH114)&amp;"")</f>
        <v/>
      </c>
      <c r="C114">
        <f>IF($AH114="","",INDEX('Per Line'!$A$2:$A$1601,$AH114)&amp;"")</f>
        <v/>
      </c>
      <c r="D114">
        <f>IF($AH114="","",INDEX('Per Line'!$B$2:$B$1601,$AH114))</f>
        <v/>
      </c>
      <c r="E114">
        <f>IF($AH114="","",INDEX('Per Line'!$C$2:$C$1601,$AH114)&amp;"")</f>
        <v/>
      </c>
      <c r="F114">
        <f>IF($AH114="","",INDEX('Per Line'!$E$2:$E$1601,$AH114)&amp;"")</f>
        <v/>
      </c>
      <c r="G114" s="11">
        <f>IF($AH114="","",INDEX('Per Line'!$F$2:$F$1601,$AH114))</f>
        <v/>
      </c>
      <c r="H114">
        <f>IF($AH114="","",INDEX('Per Line'!$G$2:$G$1601,$AH114)&amp;"")</f>
        <v/>
      </c>
      <c r="I114">
        <f>IF($AH114="","",INDEX('Per Line'!$I$2:$I$1601,$AH114)&amp;"")</f>
        <v/>
      </c>
      <c r="J114">
        <f>IF($AH114="","",INDEX('Per Line'!$J$2:$J$1601,$AH114)&amp;"")</f>
        <v/>
      </c>
      <c r="K114">
        <f>IF($AH114="","",INDEX('Per Line'!$K$2:$K$1601,$AH114)&amp;"")</f>
        <v/>
      </c>
      <c r="L114">
        <f>IF($AH114="","",INDEX('Per Line'!$L$2:$L$1601,$AH114)&amp;"")</f>
        <v/>
      </c>
      <c r="M114">
        <f>IF($AH114="","",INDEX('Per Line'!$M$2:$M$1601,$AH114))</f>
        <v/>
      </c>
      <c r="N114" s="7">
        <f>IF($AH114="","",M114*AE114/100)</f>
        <v/>
      </c>
      <c r="O114">
        <f>IF($AH114="","",INDEX('Per Line'!$Z$2:$Z$1601,$AH114)&amp;"")</f>
        <v/>
      </c>
      <c r="P114">
        <f>IF($AH114="","",INDEX('Per Line'!$AC$2:$AC$1601,$AH114)&amp;"")</f>
        <v/>
      </c>
      <c r="Q114">
        <f>IF($AH114="","",INDEX('Per Line'!$AD$2:$AD$1601,$AH114))</f>
        <v/>
      </c>
      <c r="R114">
        <f>IF($AH114="","",IF(AND(ISNUMBER(Q114),Q114&gt;0),AF114&gt;Q114,FALSE))</f>
        <v/>
      </c>
      <c r="S114">
        <f>IF($AH114="","",INDEX('Per Line'!$AH$2:$AH$1601,$AH114)&amp;"")</f>
        <v/>
      </c>
      <c r="T114" s="11">
        <f>IF($AH114="","",INDEX('Per Line'!$AI$2:$AI$1601,$AH114))</f>
        <v/>
      </c>
      <c r="U114">
        <f>IF($AH114="","",Settings!$C$8)</f>
        <v/>
      </c>
      <c r="V114" s="7">
        <f>IF($AH114="","",SUMIFS('Per Line'!$V$2:$V$1601,'Per Line'!$D$2:$D$1601,$B114,'Per Line'!$AN$2:$AN$1601,1))</f>
        <v/>
      </c>
      <c r="W114" s="7">
        <f>IF($AH114="","",V114*U114)</f>
        <v/>
      </c>
      <c r="X114">
        <f>IF($AH114="","",Settings!$C$7)</f>
        <v/>
      </c>
      <c r="Y114" s="7">
        <f>IF($AH114="","",SUMIFS('Per Line'!$V$2:$V$1601,'Per Line'!$D$2:$D$1601,$B114,'Per Line'!$AM$2:$AM$1601,0,'Per Line'!$AN$2:$AN$1601,0))</f>
        <v/>
      </c>
      <c r="Z114" s="7">
        <f>IF($AH114="","",Y114*X114)</f>
        <v/>
      </c>
      <c r="AA114">
        <f>IF($AH114="","",Settings!$C$6)</f>
        <v/>
      </c>
      <c r="AB114" s="7">
        <f>IF($AH114="","",SUMIFS('Per Line'!$V$2:$V$1601,'Per Line'!$D$2:$D$1601,$B114,'Per Line'!$AM$2:$AM$1601,1,'Per Line'!$AN$2:$AN$1601,0))</f>
        <v/>
      </c>
      <c r="AC114" s="7">
        <f>IF($AH114="","",AB114*AA114)</f>
        <v/>
      </c>
      <c r="AD114" s="7">
        <f>IF($AH114="","",AC114+Z114+W114)</f>
        <v/>
      </c>
      <c r="AE114" s="7">
        <f>IF($AH114="","",AF114-AD114)</f>
        <v/>
      </c>
      <c r="AF114" s="7">
        <f>IF($AH114="","",Y114+AB114+V114)</f>
        <v/>
      </c>
      <c r="AG114" s="7">
        <f>IF($AH114="","",AF114-AD114-N114)</f>
        <v/>
      </c>
      <c r="AH114" s="13">
        <f>IF(ROWS($AH$2:$AH114)&lt;=MAX('Per Line'!$AL$2:$AL$1601),MATCH(ROWS($AH$2:$AH114),'Per Line'!$AL$2:$AL$1601,0),"")</f>
        <v/>
      </c>
    </row>
    <row r="115">
      <c r="A115" s="12" t="n"/>
      <c r="B115">
        <f>IF($AH115="","",INDEX('Per Line'!$D$2:$D$1601,$AH115)&amp;"")</f>
        <v/>
      </c>
      <c r="C115">
        <f>IF($AH115="","",INDEX('Per Line'!$A$2:$A$1601,$AH115)&amp;"")</f>
        <v/>
      </c>
      <c r="D115">
        <f>IF($AH115="","",INDEX('Per Line'!$B$2:$B$1601,$AH115))</f>
        <v/>
      </c>
      <c r="E115">
        <f>IF($AH115="","",INDEX('Per Line'!$C$2:$C$1601,$AH115)&amp;"")</f>
        <v/>
      </c>
      <c r="F115">
        <f>IF($AH115="","",INDEX('Per Line'!$E$2:$E$1601,$AH115)&amp;"")</f>
        <v/>
      </c>
      <c r="G115" s="11">
        <f>IF($AH115="","",INDEX('Per Line'!$F$2:$F$1601,$AH115))</f>
        <v/>
      </c>
      <c r="H115">
        <f>IF($AH115="","",INDEX('Per Line'!$G$2:$G$1601,$AH115)&amp;"")</f>
        <v/>
      </c>
      <c r="I115">
        <f>IF($AH115="","",INDEX('Per Line'!$I$2:$I$1601,$AH115)&amp;"")</f>
        <v/>
      </c>
      <c r="J115">
        <f>IF($AH115="","",INDEX('Per Line'!$J$2:$J$1601,$AH115)&amp;"")</f>
        <v/>
      </c>
      <c r="K115">
        <f>IF($AH115="","",INDEX('Per Line'!$K$2:$K$1601,$AH115)&amp;"")</f>
        <v/>
      </c>
      <c r="L115">
        <f>IF($AH115="","",INDEX('Per Line'!$L$2:$L$1601,$AH115)&amp;"")</f>
        <v/>
      </c>
      <c r="M115">
        <f>IF($AH115="","",INDEX('Per Line'!$M$2:$M$1601,$AH115))</f>
        <v/>
      </c>
      <c r="N115" s="7">
        <f>IF($AH115="","",M115*AE115/100)</f>
        <v/>
      </c>
      <c r="O115">
        <f>IF($AH115="","",INDEX('Per Line'!$Z$2:$Z$1601,$AH115)&amp;"")</f>
        <v/>
      </c>
      <c r="P115">
        <f>IF($AH115="","",INDEX('Per Line'!$AC$2:$AC$1601,$AH115)&amp;"")</f>
        <v/>
      </c>
      <c r="Q115">
        <f>IF($AH115="","",INDEX('Per Line'!$AD$2:$AD$1601,$AH115))</f>
        <v/>
      </c>
      <c r="R115">
        <f>IF($AH115="","",IF(AND(ISNUMBER(Q115),Q115&gt;0),AF115&gt;Q115,FALSE))</f>
        <v/>
      </c>
      <c r="S115">
        <f>IF($AH115="","",INDEX('Per Line'!$AH$2:$AH$1601,$AH115)&amp;"")</f>
        <v/>
      </c>
      <c r="T115" s="11">
        <f>IF($AH115="","",INDEX('Per Line'!$AI$2:$AI$1601,$AH115))</f>
        <v/>
      </c>
      <c r="U115">
        <f>IF($AH115="","",Settings!$C$8)</f>
        <v/>
      </c>
      <c r="V115" s="7">
        <f>IF($AH115="","",SUMIFS('Per Line'!$V$2:$V$1601,'Per Line'!$D$2:$D$1601,$B115,'Per Line'!$AN$2:$AN$1601,1))</f>
        <v/>
      </c>
      <c r="W115" s="7">
        <f>IF($AH115="","",V115*U115)</f>
        <v/>
      </c>
      <c r="X115">
        <f>IF($AH115="","",Settings!$C$7)</f>
        <v/>
      </c>
      <c r="Y115" s="7">
        <f>IF($AH115="","",SUMIFS('Per Line'!$V$2:$V$1601,'Per Line'!$D$2:$D$1601,$B115,'Per Line'!$AM$2:$AM$1601,0,'Per Line'!$AN$2:$AN$1601,0))</f>
        <v/>
      </c>
      <c r="Z115" s="7">
        <f>IF($AH115="","",Y115*X115)</f>
        <v/>
      </c>
      <c r="AA115">
        <f>IF($AH115="","",Settings!$C$6)</f>
        <v/>
      </c>
      <c r="AB115" s="7">
        <f>IF($AH115="","",SUMIFS('Per Line'!$V$2:$V$1601,'Per Line'!$D$2:$D$1601,$B115,'Per Line'!$AM$2:$AM$1601,1,'Per Line'!$AN$2:$AN$1601,0))</f>
        <v/>
      </c>
      <c r="AC115" s="7">
        <f>IF($AH115="","",AB115*AA115)</f>
        <v/>
      </c>
      <c r="AD115" s="7">
        <f>IF($AH115="","",AC115+Z115+W115)</f>
        <v/>
      </c>
      <c r="AE115" s="7">
        <f>IF($AH115="","",AF115-AD115)</f>
        <v/>
      </c>
      <c r="AF115" s="7">
        <f>IF($AH115="","",Y115+AB115+V115)</f>
        <v/>
      </c>
      <c r="AG115" s="7">
        <f>IF($AH115="","",AF115-AD115-N115)</f>
        <v/>
      </c>
      <c r="AH115" s="13">
        <f>IF(ROWS($AH$2:$AH115)&lt;=MAX('Per Line'!$AL$2:$AL$1601),MATCH(ROWS($AH$2:$AH115),'Per Line'!$AL$2:$AL$1601,0),"")</f>
        <v/>
      </c>
    </row>
    <row r="116">
      <c r="A116" s="12" t="n"/>
      <c r="B116">
        <f>IF($AH116="","",INDEX('Per Line'!$D$2:$D$1601,$AH116)&amp;"")</f>
        <v/>
      </c>
      <c r="C116">
        <f>IF($AH116="","",INDEX('Per Line'!$A$2:$A$1601,$AH116)&amp;"")</f>
        <v/>
      </c>
      <c r="D116">
        <f>IF($AH116="","",INDEX('Per Line'!$B$2:$B$1601,$AH116))</f>
        <v/>
      </c>
      <c r="E116">
        <f>IF($AH116="","",INDEX('Per Line'!$C$2:$C$1601,$AH116)&amp;"")</f>
        <v/>
      </c>
      <c r="F116">
        <f>IF($AH116="","",INDEX('Per Line'!$E$2:$E$1601,$AH116)&amp;"")</f>
        <v/>
      </c>
      <c r="G116" s="11">
        <f>IF($AH116="","",INDEX('Per Line'!$F$2:$F$1601,$AH116))</f>
        <v/>
      </c>
      <c r="H116">
        <f>IF($AH116="","",INDEX('Per Line'!$G$2:$G$1601,$AH116)&amp;"")</f>
        <v/>
      </c>
      <c r="I116">
        <f>IF($AH116="","",INDEX('Per Line'!$I$2:$I$1601,$AH116)&amp;"")</f>
        <v/>
      </c>
      <c r="J116">
        <f>IF($AH116="","",INDEX('Per Line'!$J$2:$J$1601,$AH116)&amp;"")</f>
        <v/>
      </c>
      <c r="K116">
        <f>IF($AH116="","",INDEX('Per Line'!$K$2:$K$1601,$AH116)&amp;"")</f>
        <v/>
      </c>
      <c r="L116">
        <f>IF($AH116="","",INDEX('Per Line'!$L$2:$L$1601,$AH116)&amp;"")</f>
        <v/>
      </c>
      <c r="M116">
        <f>IF($AH116="","",INDEX('Per Line'!$M$2:$M$1601,$AH116))</f>
        <v/>
      </c>
      <c r="N116" s="7">
        <f>IF($AH116="","",M116*AE116/100)</f>
        <v/>
      </c>
      <c r="O116">
        <f>IF($AH116="","",INDEX('Per Line'!$Z$2:$Z$1601,$AH116)&amp;"")</f>
        <v/>
      </c>
      <c r="P116">
        <f>IF($AH116="","",INDEX('Per Line'!$AC$2:$AC$1601,$AH116)&amp;"")</f>
        <v/>
      </c>
      <c r="Q116">
        <f>IF($AH116="","",INDEX('Per Line'!$AD$2:$AD$1601,$AH116))</f>
        <v/>
      </c>
      <c r="R116">
        <f>IF($AH116="","",IF(AND(ISNUMBER(Q116),Q116&gt;0),AF116&gt;Q116,FALSE))</f>
        <v/>
      </c>
      <c r="S116">
        <f>IF($AH116="","",INDEX('Per Line'!$AH$2:$AH$1601,$AH116)&amp;"")</f>
        <v/>
      </c>
      <c r="T116" s="11">
        <f>IF($AH116="","",INDEX('Per Line'!$AI$2:$AI$1601,$AH116))</f>
        <v/>
      </c>
      <c r="U116">
        <f>IF($AH116="","",Settings!$C$8)</f>
        <v/>
      </c>
      <c r="V116" s="7">
        <f>IF($AH116="","",SUMIFS('Per Line'!$V$2:$V$1601,'Per Line'!$D$2:$D$1601,$B116,'Per Line'!$AN$2:$AN$1601,1))</f>
        <v/>
      </c>
      <c r="W116" s="7">
        <f>IF($AH116="","",V116*U116)</f>
        <v/>
      </c>
      <c r="X116">
        <f>IF($AH116="","",Settings!$C$7)</f>
        <v/>
      </c>
      <c r="Y116" s="7">
        <f>IF($AH116="","",SUMIFS('Per Line'!$V$2:$V$1601,'Per Line'!$D$2:$D$1601,$B116,'Per Line'!$AM$2:$AM$1601,0,'Per Line'!$AN$2:$AN$1601,0))</f>
        <v/>
      </c>
      <c r="Z116" s="7">
        <f>IF($AH116="","",Y116*X116)</f>
        <v/>
      </c>
      <c r="AA116">
        <f>IF($AH116="","",Settings!$C$6)</f>
        <v/>
      </c>
      <c r="AB116" s="7">
        <f>IF($AH116="","",SUMIFS('Per Line'!$V$2:$V$1601,'Per Line'!$D$2:$D$1601,$B116,'Per Line'!$AM$2:$AM$1601,1,'Per Line'!$AN$2:$AN$1601,0))</f>
        <v/>
      </c>
      <c r="AC116" s="7">
        <f>IF($AH116="","",AB116*AA116)</f>
        <v/>
      </c>
      <c r="AD116" s="7">
        <f>IF($AH116="","",AC116+Z116+W116)</f>
        <v/>
      </c>
      <c r="AE116" s="7">
        <f>IF($AH116="","",AF116-AD116)</f>
        <v/>
      </c>
      <c r="AF116" s="7">
        <f>IF($AH116="","",Y116+AB116+V116)</f>
        <v/>
      </c>
      <c r="AG116" s="7">
        <f>IF($AH116="","",AF116-AD116-N116)</f>
        <v/>
      </c>
      <c r="AH116" s="13">
        <f>IF(ROWS($AH$2:$AH116)&lt;=MAX('Per Line'!$AL$2:$AL$1601),MATCH(ROWS($AH$2:$AH116),'Per Line'!$AL$2:$AL$1601,0),"")</f>
        <v/>
      </c>
    </row>
    <row r="117">
      <c r="A117" s="12" t="n"/>
      <c r="B117">
        <f>IF($AH117="","",INDEX('Per Line'!$D$2:$D$1601,$AH117)&amp;"")</f>
        <v/>
      </c>
      <c r="C117">
        <f>IF($AH117="","",INDEX('Per Line'!$A$2:$A$1601,$AH117)&amp;"")</f>
        <v/>
      </c>
      <c r="D117">
        <f>IF($AH117="","",INDEX('Per Line'!$B$2:$B$1601,$AH117))</f>
        <v/>
      </c>
      <c r="E117">
        <f>IF($AH117="","",INDEX('Per Line'!$C$2:$C$1601,$AH117)&amp;"")</f>
        <v/>
      </c>
      <c r="F117">
        <f>IF($AH117="","",INDEX('Per Line'!$E$2:$E$1601,$AH117)&amp;"")</f>
        <v/>
      </c>
      <c r="G117" s="11">
        <f>IF($AH117="","",INDEX('Per Line'!$F$2:$F$1601,$AH117))</f>
        <v/>
      </c>
      <c r="H117">
        <f>IF($AH117="","",INDEX('Per Line'!$G$2:$G$1601,$AH117)&amp;"")</f>
        <v/>
      </c>
      <c r="I117">
        <f>IF($AH117="","",INDEX('Per Line'!$I$2:$I$1601,$AH117)&amp;"")</f>
        <v/>
      </c>
      <c r="J117">
        <f>IF($AH117="","",INDEX('Per Line'!$J$2:$J$1601,$AH117)&amp;"")</f>
        <v/>
      </c>
      <c r="K117">
        <f>IF($AH117="","",INDEX('Per Line'!$K$2:$K$1601,$AH117)&amp;"")</f>
        <v/>
      </c>
      <c r="L117">
        <f>IF($AH117="","",INDEX('Per Line'!$L$2:$L$1601,$AH117)&amp;"")</f>
        <v/>
      </c>
      <c r="M117">
        <f>IF($AH117="","",INDEX('Per Line'!$M$2:$M$1601,$AH117))</f>
        <v/>
      </c>
      <c r="N117" s="7">
        <f>IF($AH117="","",M117*AE117/100)</f>
        <v/>
      </c>
      <c r="O117">
        <f>IF($AH117="","",INDEX('Per Line'!$Z$2:$Z$1601,$AH117)&amp;"")</f>
        <v/>
      </c>
      <c r="P117">
        <f>IF($AH117="","",INDEX('Per Line'!$AC$2:$AC$1601,$AH117)&amp;"")</f>
        <v/>
      </c>
      <c r="Q117">
        <f>IF($AH117="","",INDEX('Per Line'!$AD$2:$AD$1601,$AH117))</f>
        <v/>
      </c>
      <c r="R117">
        <f>IF($AH117="","",IF(AND(ISNUMBER(Q117),Q117&gt;0),AF117&gt;Q117,FALSE))</f>
        <v/>
      </c>
      <c r="S117">
        <f>IF($AH117="","",INDEX('Per Line'!$AH$2:$AH$1601,$AH117)&amp;"")</f>
        <v/>
      </c>
      <c r="T117" s="11">
        <f>IF($AH117="","",INDEX('Per Line'!$AI$2:$AI$1601,$AH117))</f>
        <v/>
      </c>
      <c r="U117">
        <f>IF($AH117="","",Settings!$C$8)</f>
        <v/>
      </c>
      <c r="V117" s="7">
        <f>IF($AH117="","",SUMIFS('Per Line'!$V$2:$V$1601,'Per Line'!$D$2:$D$1601,$B117,'Per Line'!$AN$2:$AN$1601,1))</f>
        <v/>
      </c>
      <c r="W117" s="7">
        <f>IF($AH117="","",V117*U117)</f>
        <v/>
      </c>
      <c r="X117">
        <f>IF($AH117="","",Settings!$C$7)</f>
        <v/>
      </c>
      <c r="Y117" s="7">
        <f>IF($AH117="","",SUMIFS('Per Line'!$V$2:$V$1601,'Per Line'!$D$2:$D$1601,$B117,'Per Line'!$AM$2:$AM$1601,0,'Per Line'!$AN$2:$AN$1601,0))</f>
        <v/>
      </c>
      <c r="Z117" s="7">
        <f>IF($AH117="","",Y117*X117)</f>
        <v/>
      </c>
      <c r="AA117">
        <f>IF($AH117="","",Settings!$C$6)</f>
        <v/>
      </c>
      <c r="AB117" s="7">
        <f>IF($AH117="","",SUMIFS('Per Line'!$V$2:$V$1601,'Per Line'!$D$2:$D$1601,$B117,'Per Line'!$AM$2:$AM$1601,1,'Per Line'!$AN$2:$AN$1601,0))</f>
        <v/>
      </c>
      <c r="AC117" s="7">
        <f>IF($AH117="","",AB117*AA117)</f>
        <v/>
      </c>
      <c r="AD117" s="7">
        <f>IF($AH117="","",AC117+Z117+W117)</f>
        <v/>
      </c>
      <c r="AE117" s="7">
        <f>IF($AH117="","",AF117-AD117)</f>
        <v/>
      </c>
      <c r="AF117" s="7">
        <f>IF($AH117="","",Y117+AB117+V117)</f>
        <v/>
      </c>
      <c r="AG117" s="7">
        <f>IF($AH117="","",AF117-AD117-N117)</f>
        <v/>
      </c>
      <c r="AH117" s="13">
        <f>IF(ROWS($AH$2:$AH117)&lt;=MAX('Per Line'!$AL$2:$AL$1601),MATCH(ROWS($AH$2:$AH117),'Per Line'!$AL$2:$AL$1601,0),"")</f>
        <v/>
      </c>
    </row>
    <row r="118">
      <c r="A118" s="12" t="n"/>
      <c r="B118">
        <f>IF($AH118="","",INDEX('Per Line'!$D$2:$D$1601,$AH118)&amp;"")</f>
        <v/>
      </c>
      <c r="C118">
        <f>IF($AH118="","",INDEX('Per Line'!$A$2:$A$1601,$AH118)&amp;"")</f>
        <v/>
      </c>
      <c r="D118">
        <f>IF($AH118="","",INDEX('Per Line'!$B$2:$B$1601,$AH118))</f>
        <v/>
      </c>
      <c r="E118">
        <f>IF($AH118="","",INDEX('Per Line'!$C$2:$C$1601,$AH118)&amp;"")</f>
        <v/>
      </c>
      <c r="F118">
        <f>IF($AH118="","",INDEX('Per Line'!$E$2:$E$1601,$AH118)&amp;"")</f>
        <v/>
      </c>
      <c r="G118" s="11">
        <f>IF($AH118="","",INDEX('Per Line'!$F$2:$F$1601,$AH118))</f>
        <v/>
      </c>
      <c r="H118">
        <f>IF($AH118="","",INDEX('Per Line'!$G$2:$G$1601,$AH118)&amp;"")</f>
        <v/>
      </c>
      <c r="I118">
        <f>IF($AH118="","",INDEX('Per Line'!$I$2:$I$1601,$AH118)&amp;"")</f>
        <v/>
      </c>
      <c r="J118">
        <f>IF($AH118="","",INDEX('Per Line'!$J$2:$J$1601,$AH118)&amp;"")</f>
        <v/>
      </c>
      <c r="K118">
        <f>IF($AH118="","",INDEX('Per Line'!$K$2:$K$1601,$AH118)&amp;"")</f>
        <v/>
      </c>
      <c r="L118">
        <f>IF($AH118="","",INDEX('Per Line'!$L$2:$L$1601,$AH118)&amp;"")</f>
        <v/>
      </c>
      <c r="M118">
        <f>IF($AH118="","",INDEX('Per Line'!$M$2:$M$1601,$AH118))</f>
        <v/>
      </c>
      <c r="N118" s="7">
        <f>IF($AH118="","",M118*AE118/100)</f>
        <v/>
      </c>
      <c r="O118">
        <f>IF($AH118="","",INDEX('Per Line'!$Z$2:$Z$1601,$AH118)&amp;"")</f>
        <v/>
      </c>
      <c r="P118">
        <f>IF($AH118="","",INDEX('Per Line'!$AC$2:$AC$1601,$AH118)&amp;"")</f>
        <v/>
      </c>
      <c r="Q118">
        <f>IF($AH118="","",INDEX('Per Line'!$AD$2:$AD$1601,$AH118))</f>
        <v/>
      </c>
      <c r="R118">
        <f>IF($AH118="","",IF(AND(ISNUMBER(Q118),Q118&gt;0),AF118&gt;Q118,FALSE))</f>
        <v/>
      </c>
      <c r="S118">
        <f>IF($AH118="","",INDEX('Per Line'!$AH$2:$AH$1601,$AH118)&amp;"")</f>
        <v/>
      </c>
      <c r="T118" s="11">
        <f>IF($AH118="","",INDEX('Per Line'!$AI$2:$AI$1601,$AH118))</f>
        <v/>
      </c>
      <c r="U118">
        <f>IF($AH118="","",Settings!$C$8)</f>
        <v/>
      </c>
      <c r="V118" s="7">
        <f>IF($AH118="","",SUMIFS('Per Line'!$V$2:$V$1601,'Per Line'!$D$2:$D$1601,$B118,'Per Line'!$AN$2:$AN$1601,1))</f>
        <v/>
      </c>
      <c r="W118" s="7">
        <f>IF($AH118="","",V118*U118)</f>
        <v/>
      </c>
      <c r="X118">
        <f>IF($AH118="","",Settings!$C$7)</f>
        <v/>
      </c>
      <c r="Y118" s="7">
        <f>IF($AH118="","",SUMIFS('Per Line'!$V$2:$V$1601,'Per Line'!$D$2:$D$1601,$B118,'Per Line'!$AM$2:$AM$1601,0,'Per Line'!$AN$2:$AN$1601,0))</f>
        <v/>
      </c>
      <c r="Z118" s="7">
        <f>IF($AH118="","",Y118*X118)</f>
        <v/>
      </c>
      <c r="AA118">
        <f>IF($AH118="","",Settings!$C$6)</f>
        <v/>
      </c>
      <c r="AB118" s="7">
        <f>IF($AH118="","",SUMIFS('Per Line'!$V$2:$V$1601,'Per Line'!$D$2:$D$1601,$B118,'Per Line'!$AM$2:$AM$1601,1,'Per Line'!$AN$2:$AN$1601,0))</f>
        <v/>
      </c>
      <c r="AC118" s="7">
        <f>IF($AH118="","",AB118*AA118)</f>
        <v/>
      </c>
      <c r="AD118" s="7">
        <f>IF($AH118="","",AC118+Z118+W118)</f>
        <v/>
      </c>
      <c r="AE118" s="7">
        <f>IF($AH118="","",AF118-AD118)</f>
        <v/>
      </c>
      <c r="AF118" s="7">
        <f>IF($AH118="","",Y118+AB118+V118)</f>
        <v/>
      </c>
      <c r="AG118" s="7">
        <f>IF($AH118="","",AF118-AD118-N118)</f>
        <v/>
      </c>
      <c r="AH118" s="13">
        <f>IF(ROWS($AH$2:$AH118)&lt;=MAX('Per Line'!$AL$2:$AL$1601),MATCH(ROWS($AH$2:$AH118),'Per Line'!$AL$2:$AL$1601,0),"")</f>
        <v/>
      </c>
    </row>
    <row r="119">
      <c r="A119" s="12" t="n"/>
      <c r="B119">
        <f>IF($AH119="","",INDEX('Per Line'!$D$2:$D$1601,$AH119)&amp;"")</f>
        <v/>
      </c>
      <c r="C119">
        <f>IF($AH119="","",INDEX('Per Line'!$A$2:$A$1601,$AH119)&amp;"")</f>
        <v/>
      </c>
      <c r="D119">
        <f>IF($AH119="","",INDEX('Per Line'!$B$2:$B$1601,$AH119))</f>
        <v/>
      </c>
      <c r="E119">
        <f>IF($AH119="","",INDEX('Per Line'!$C$2:$C$1601,$AH119)&amp;"")</f>
        <v/>
      </c>
      <c r="F119">
        <f>IF($AH119="","",INDEX('Per Line'!$E$2:$E$1601,$AH119)&amp;"")</f>
        <v/>
      </c>
      <c r="G119" s="11">
        <f>IF($AH119="","",INDEX('Per Line'!$F$2:$F$1601,$AH119))</f>
        <v/>
      </c>
      <c r="H119">
        <f>IF($AH119="","",INDEX('Per Line'!$G$2:$G$1601,$AH119)&amp;"")</f>
        <v/>
      </c>
      <c r="I119">
        <f>IF($AH119="","",INDEX('Per Line'!$I$2:$I$1601,$AH119)&amp;"")</f>
        <v/>
      </c>
      <c r="J119">
        <f>IF($AH119="","",INDEX('Per Line'!$J$2:$J$1601,$AH119)&amp;"")</f>
        <v/>
      </c>
      <c r="K119">
        <f>IF($AH119="","",INDEX('Per Line'!$K$2:$K$1601,$AH119)&amp;"")</f>
        <v/>
      </c>
      <c r="L119">
        <f>IF($AH119="","",INDEX('Per Line'!$L$2:$L$1601,$AH119)&amp;"")</f>
        <v/>
      </c>
      <c r="M119">
        <f>IF($AH119="","",INDEX('Per Line'!$M$2:$M$1601,$AH119))</f>
        <v/>
      </c>
      <c r="N119" s="7">
        <f>IF($AH119="","",M119*AE119/100)</f>
        <v/>
      </c>
      <c r="O119">
        <f>IF($AH119="","",INDEX('Per Line'!$Z$2:$Z$1601,$AH119)&amp;"")</f>
        <v/>
      </c>
      <c r="P119">
        <f>IF($AH119="","",INDEX('Per Line'!$AC$2:$AC$1601,$AH119)&amp;"")</f>
        <v/>
      </c>
      <c r="Q119">
        <f>IF($AH119="","",INDEX('Per Line'!$AD$2:$AD$1601,$AH119))</f>
        <v/>
      </c>
      <c r="R119">
        <f>IF($AH119="","",IF(AND(ISNUMBER(Q119),Q119&gt;0),AF119&gt;Q119,FALSE))</f>
        <v/>
      </c>
      <c r="S119">
        <f>IF($AH119="","",INDEX('Per Line'!$AH$2:$AH$1601,$AH119)&amp;"")</f>
        <v/>
      </c>
      <c r="T119" s="11">
        <f>IF($AH119="","",INDEX('Per Line'!$AI$2:$AI$1601,$AH119))</f>
        <v/>
      </c>
      <c r="U119">
        <f>IF($AH119="","",Settings!$C$8)</f>
        <v/>
      </c>
      <c r="V119" s="7">
        <f>IF($AH119="","",SUMIFS('Per Line'!$V$2:$V$1601,'Per Line'!$D$2:$D$1601,$B119,'Per Line'!$AN$2:$AN$1601,1))</f>
        <v/>
      </c>
      <c r="W119" s="7">
        <f>IF($AH119="","",V119*U119)</f>
        <v/>
      </c>
      <c r="X119">
        <f>IF($AH119="","",Settings!$C$7)</f>
        <v/>
      </c>
      <c r="Y119" s="7">
        <f>IF($AH119="","",SUMIFS('Per Line'!$V$2:$V$1601,'Per Line'!$D$2:$D$1601,$B119,'Per Line'!$AM$2:$AM$1601,0,'Per Line'!$AN$2:$AN$1601,0))</f>
        <v/>
      </c>
      <c r="Z119" s="7">
        <f>IF($AH119="","",Y119*X119)</f>
        <v/>
      </c>
      <c r="AA119">
        <f>IF($AH119="","",Settings!$C$6)</f>
        <v/>
      </c>
      <c r="AB119" s="7">
        <f>IF($AH119="","",SUMIFS('Per Line'!$V$2:$V$1601,'Per Line'!$D$2:$D$1601,$B119,'Per Line'!$AM$2:$AM$1601,1,'Per Line'!$AN$2:$AN$1601,0))</f>
        <v/>
      </c>
      <c r="AC119" s="7">
        <f>IF($AH119="","",AB119*AA119)</f>
        <v/>
      </c>
      <c r="AD119" s="7">
        <f>IF($AH119="","",AC119+Z119+W119)</f>
        <v/>
      </c>
      <c r="AE119" s="7">
        <f>IF($AH119="","",AF119-AD119)</f>
        <v/>
      </c>
      <c r="AF119" s="7">
        <f>IF($AH119="","",Y119+AB119+V119)</f>
        <v/>
      </c>
      <c r="AG119" s="7">
        <f>IF($AH119="","",AF119-AD119-N119)</f>
        <v/>
      </c>
      <c r="AH119" s="13">
        <f>IF(ROWS($AH$2:$AH119)&lt;=MAX('Per Line'!$AL$2:$AL$1601),MATCH(ROWS($AH$2:$AH119),'Per Line'!$AL$2:$AL$1601,0),"")</f>
        <v/>
      </c>
    </row>
    <row r="120">
      <c r="A120" s="12" t="n"/>
      <c r="B120">
        <f>IF($AH120="","",INDEX('Per Line'!$D$2:$D$1601,$AH120)&amp;"")</f>
        <v/>
      </c>
      <c r="C120">
        <f>IF($AH120="","",INDEX('Per Line'!$A$2:$A$1601,$AH120)&amp;"")</f>
        <v/>
      </c>
      <c r="D120">
        <f>IF($AH120="","",INDEX('Per Line'!$B$2:$B$1601,$AH120))</f>
        <v/>
      </c>
      <c r="E120">
        <f>IF($AH120="","",INDEX('Per Line'!$C$2:$C$1601,$AH120)&amp;"")</f>
        <v/>
      </c>
      <c r="F120">
        <f>IF($AH120="","",INDEX('Per Line'!$E$2:$E$1601,$AH120)&amp;"")</f>
        <v/>
      </c>
      <c r="G120" s="11">
        <f>IF($AH120="","",INDEX('Per Line'!$F$2:$F$1601,$AH120))</f>
        <v/>
      </c>
      <c r="H120">
        <f>IF($AH120="","",INDEX('Per Line'!$G$2:$G$1601,$AH120)&amp;"")</f>
        <v/>
      </c>
      <c r="I120">
        <f>IF($AH120="","",INDEX('Per Line'!$I$2:$I$1601,$AH120)&amp;"")</f>
        <v/>
      </c>
      <c r="J120">
        <f>IF($AH120="","",INDEX('Per Line'!$J$2:$J$1601,$AH120)&amp;"")</f>
        <v/>
      </c>
      <c r="K120">
        <f>IF($AH120="","",INDEX('Per Line'!$K$2:$K$1601,$AH120)&amp;"")</f>
        <v/>
      </c>
      <c r="L120">
        <f>IF($AH120="","",INDEX('Per Line'!$L$2:$L$1601,$AH120)&amp;"")</f>
        <v/>
      </c>
      <c r="M120">
        <f>IF($AH120="","",INDEX('Per Line'!$M$2:$M$1601,$AH120))</f>
        <v/>
      </c>
      <c r="N120" s="7">
        <f>IF($AH120="","",M120*AE120/100)</f>
        <v/>
      </c>
      <c r="O120">
        <f>IF($AH120="","",INDEX('Per Line'!$Z$2:$Z$1601,$AH120)&amp;"")</f>
        <v/>
      </c>
      <c r="P120">
        <f>IF($AH120="","",INDEX('Per Line'!$AC$2:$AC$1601,$AH120)&amp;"")</f>
        <v/>
      </c>
      <c r="Q120">
        <f>IF($AH120="","",INDEX('Per Line'!$AD$2:$AD$1601,$AH120))</f>
        <v/>
      </c>
      <c r="R120">
        <f>IF($AH120="","",IF(AND(ISNUMBER(Q120),Q120&gt;0),AF120&gt;Q120,FALSE))</f>
        <v/>
      </c>
      <c r="S120">
        <f>IF($AH120="","",INDEX('Per Line'!$AH$2:$AH$1601,$AH120)&amp;"")</f>
        <v/>
      </c>
      <c r="T120" s="11">
        <f>IF($AH120="","",INDEX('Per Line'!$AI$2:$AI$1601,$AH120))</f>
        <v/>
      </c>
      <c r="U120">
        <f>IF($AH120="","",Settings!$C$8)</f>
        <v/>
      </c>
      <c r="V120" s="7">
        <f>IF($AH120="","",SUMIFS('Per Line'!$V$2:$V$1601,'Per Line'!$D$2:$D$1601,$B120,'Per Line'!$AN$2:$AN$1601,1))</f>
        <v/>
      </c>
      <c r="W120" s="7">
        <f>IF($AH120="","",V120*U120)</f>
        <v/>
      </c>
      <c r="X120">
        <f>IF($AH120="","",Settings!$C$7)</f>
        <v/>
      </c>
      <c r="Y120" s="7">
        <f>IF($AH120="","",SUMIFS('Per Line'!$V$2:$V$1601,'Per Line'!$D$2:$D$1601,$B120,'Per Line'!$AM$2:$AM$1601,0,'Per Line'!$AN$2:$AN$1601,0))</f>
        <v/>
      </c>
      <c r="Z120" s="7">
        <f>IF($AH120="","",Y120*X120)</f>
        <v/>
      </c>
      <c r="AA120">
        <f>IF($AH120="","",Settings!$C$6)</f>
        <v/>
      </c>
      <c r="AB120" s="7">
        <f>IF($AH120="","",SUMIFS('Per Line'!$V$2:$V$1601,'Per Line'!$D$2:$D$1601,$B120,'Per Line'!$AM$2:$AM$1601,1,'Per Line'!$AN$2:$AN$1601,0))</f>
        <v/>
      </c>
      <c r="AC120" s="7">
        <f>IF($AH120="","",AB120*AA120)</f>
        <v/>
      </c>
      <c r="AD120" s="7">
        <f>IF($AH120="","",AC120+Z120+W120)</f>
        <v/>
      </c>
      <c r="AE120" s="7">
        <f>IF($AH120="","",AF120-AD120)</f>
        <v/>
      </c>
      <c r="AF120" s="7">
        <f>IF($AH120="","",Y120+AB120+V120)</f>
        <v/>
      </c>
      <c r="AG120" s="7">
        <f>IF($AH120="","",AF120-AD120-N120)</f>
        <v/>
      </c>
      <c r="AH120" s="13">
        <f>IF(ROWS($AH$2:$AH120)&lt;=MAX('Per Line'!$AL$2:$AL$1601),MATCH(ROWS($AH$2:$AH120),'Per Line'!$AL$2:$AL$1601,0),"")</f>
        <v/>
      </c>
    </row>
    <row r="121">
      <c r="A121" s="12" t="n"/>
      <c r="B121">
        <f>IF($AH121="","",INDEX('Per Line'!$D$2:$D$1601,$AH121)&amp;"")</f>
        <v/>
      </c>
      <c r="C121">
        <f>IF($AH121="","",INDEX('Per Line'!$A$2:$A$1601,$AH121)&amp;"")</f>
        <v/>
      </c>
      <c r="D121">
        <f>IF($AH121="","",INDEX('Per Line'!$B$2:$B$1601,$AH121))</f>
        <v/>
      </c>
      <c r="E121">
        <f>IF($AH121="","",INDEX('Per Line'!$C$2:$C$1601,$AH121)&amp;"")</f>
        <v/>
      </c>
      <c r="F121">
        <f>IF($AH121="","",INDEX('Per Line'!$E$2:$E$1601,$AH121)&amp;"")</f>
        <v/>
      </c>
      <c r="G121" s="11">
        <f>IF($AH121="","",INDEX('Per Line'!$F$2:$F$1601,$AH121))</f>
        <v/>
      </c>
      <c r="H121">
        <f>IF($AH121="","",INDEX('Per Line'!$G$2:$G$1601,$AH121)&amp;"")</f>
        <v/>
      </c>
      <c r="I121">
        <f>IF($AH121="","",INDEX('Per Line'!$I$2:$I$1601,$AH121)&amp;"")</f>
        <v/>
      </c>
      <c r="J121">
        <f>IF($AH121="","",INDEX('Per Line'!$J$2:$J$1601,$AH121)&amp;"")</f>
        <v/>
      </c>
      <c r="K121">
        <f>IF($AH121="","",INDEX('Per Line'!$K$2:$K$1601,$AH121)&amp;"")</f>
        <v/>
      </c>
      <c r="L121">
        <f>IF($AH121="","",INDEX('Per Line'!$L$2:$L$1601,$AH121)&amp;"")</f>
        <v/>
      </c>
      <c r="M121">
        <f>IF($AH121="","",INDEX('Per Line'!$M$2:$M$1601,$AH121))</f>
        <v/>
      </c>
      <c r="N121" s="7">
        <f>IF($AH121="","",M121*AE121/100)</f>
        <v/>
      </c>
      <c r="O121">
        <f>IF($AH121="","",INDEX('Per Line'!$Z$2:$Z$1601,$AH121)&amp;"")</f>
        <v/>
      </c>
      <c r="P121">
        <f>IF($AH121="","",INDEX('Per Line'!$AC$2:$AC$1601,$AH121)&amp;"")</f>
        <v/>
      </c>
      <c r="Q121">
        <f>IF($AH121="","",INDEX('Per Line'!$AD$2:$AD$1601,$AH121))</f>
        <v/>
      </c>
      <c r="R121">
        <f>IF($AH121="","",IF(AND(ISNUMBER(Q121),Q121&gt;0),AF121&gt;Q121,FALSE))</f>
        <v/>
      </c>
      <c r="S121">
        <f>IF($AH121="","",INDEX('Per Line'!$AH$2:$AH$1601,$AH121)&amp;"")</f>
        <v/>
      </c>
      <c r="T121" s="11">
        <f>IF($AH121="","",INDEX('Per Line'!$AI$2:$AI$1601,$AH121))</f>
        <v/>
      </c>
      <c r="U121">
        <f>IF($AH121="","",Settings!$C$8)</f>
        <v/>
      </c>
      <c r="V121" s="7">
        <f>IF($AH121="","",SUMIFS('Per Line'!$V$2:$V$1601,'Per Line'!$D$2:$D$1601,$B121,'Per Line'!$AN$2:$AN$1601,1))</f>
        <v/>
      </c>
      <c r="W121" s="7">
        <f>IF($AH121="","",V121*U121)</f>
        <v/>
      </c>
      <c r="X121">
        <f>IF($AH121="","",Settings!$C$7)</f>
        <v/>
      </c>
      <c r="Y121" s="7">
        <f>IF($AH121="","",SUMIFS('Per Line'!$V$2:$V$1601,'Per Line'!$D$2:$D$1601,$B121,'Per Line'!$AM$2:$AM$1601,0,'Per Line'!$AN$2:$AN$1601,0))</f>
        <v/>
      </c>
      <c r="Z121" s="7">
        <f>IF($AH121="","",Y121*X121)</f>
        <v/>
      </c>
      <c r="AA121">
        <f>IF($AH121="","",Settings!$C$6)</f>
        <v/>
      </c>
      <c r="AB121" s="7">
        <f>IF($AH121="","",SUMIFS('Per Line'!$V$2:$V$1601,'Per Line'!$D$2:$D$1601,$B121,'Per Line'!$AM$2:$AM$1601,1,'Per Line'!$AN$2:$AN$1601,0))</f>
        <v/>
      </c>
      <c r="AC121" s="7">
        <f>IF($AH121="","",AB121*AA121)</f>
        <v/>
      </c>
      <c r="AD121" s="7">
        <f>IF($AH121="","",AC121+Z121+W121)</f>
        <v/>
      </c>
      <c r="AE121" s="7">
        <f>IF($AH121="","",AF121-AD121)</f>
        <v/>
      </c>
      <c r="AF121" s="7">
        <f>IF($AH121="","",Y121+AB121+V121)</f>
        <v/>
      </c>
      <c r="AG121" s="7">
        <f>IF($AH121="","",AF121-AD121-N121)</f>
        <v/>
      </c>
      <c r="AH121" s="13">
        <f>IF(ROWS($AH$2:$AH121)&lt;=MAX('Per Line'!$AL$2:$AL$1601),MATCH(ROWS($AH$2:$AH121),'Per Line'!$AL$2:$AL$1601,0),"")</f>
        <v/>
      </c>
    </row>
    <row r="122">
      <c r="A122" s="12" t="n"/>
      <c r="B122">
        <f>IF($AH122="","",INDEX('Per Line'!$D$2:$D$1601,$AH122)&amp;"")</f>
        <v/>
      </c>
      <c r="C122">
        <f>IF($AH122="","",INDEX('Per Line'!$A$2:$A$1601,$AH122)&amp;"")</f>
        <v/>
      </c>
      <c r="D122">
        <f>IF($AH122="","",INDEX('Per Line'!$B$2:$B$1601,$AH122))</f>
        <v/>
      </c>
      <c r="E122">
        <f>IF($AH122="","",INDEX('Per Line'!$C$2:$C$1601,$AH122)&amp;"")</f>
        <v/>
      </c>
      <c r="F122">
        <f>IF($AH122="","",INDEX('Per Line'!$E$2:$E$1601,$AH122)&amp;"")</f>
        <v/>
      </c>
      <c r="G122" s="11">
        <f>IF($AH122="","",INDEX('Per Line'!$F$2:$F$1601,$AH122))</f>
        <v/>
      </c>
      <c r="H122">
        <f>IF($AH122="","",INDEX('Per Line'!$G$2:$G$1601,$AH122)&amp;"")</f>
        <v/>
      </c>
      <c r="I122">
        <f>IF($AH122="","",INDEX('Per Line'!$I$2:$I$1601,$AH122)&amp;"")</f>
        <v/>
      </c>
      <c r="J122">
        <f>IF($AH122="","",INDEX('Per Line'!$J$2:$J$1601,$AH122)&amp;"")</f>
        <v/>
      </c>
      <c r="K122">
        <f>IF($AH122="","",INDEX('Per Line'!$K$2:$K$1601,$AH122)&amp;"")</f>
        <v/>
      </c>
      <c r="L122">
        <f>IF($AH122="","",INDEX('Per Line'!$L$2:$L$1601,$AH122)&amp;"")</f>
        <v/>
      </c>
      <c r="M122">
        <f>IF($AH122="","",INDEX('Per Line'!$M$2:$M$1601,$AH122))</f>
        <v/>
      </c>
      <c r="N122" s="7">
        <f>IF($AH122="","",M122*AE122/100)</f>
        <v/>
      </c>
      <c r="O122">
        <f>IF($AH122="","",INDEX('Per Line'!$Z$2:$Z$1601,$AH122)&amp;"")</f>
        <v/>
      </c>
      <c r="P122">
        <f>IF($AH122="","",INDEX('Per Line'!$AC$2:$AC$1601,$AH122)&amp;"")</f>
        <v/>
      </c>
      <c r="Q122">
        <f>IF($AH122="","",INDEX('Per Line'!$AD$2:$AD$1601,$AH122))</f>
        <v/>
      </c>
      <c r="R122">
        <f>IF($AH122="","",IF(AND(ISNUMBER(Q122),Q122&gt;0),AF122&gt;Q122,FALSE))</f>
        <v/>
      </c>
      <c r="S122">
        <f>IF($AH122="","",INDEX('Per Line'!$AH$2:$AH$1601,$AH122)&amp;"")</f>
        <v/>
      </c>
      <c r="T122" s="11">
        <f>IF($AH122="","",INDEX('Per Line'!$AI$2:$AI$1601,$AH122))</f>
        <v/>
      </c>
      <c r="U122">
        <f>IF($AH122="","",Settings!$C$8)</f>
        <v/>
      </c>
      <c r="V122" s="7">
        <f>IF($AH122="","",SUMIFS('Per Line'!$V$2:$V$1601,'Per Line'!$D$2:$D$1601,$B122,'Per Line'!$AN$2:$AN$1601,1))</f>
        <v/>
      </c>
      <c r="W122" s="7">
        <f>IF($AH122="","",V122*U122)</f>
        <v/>
      </c>
      <c r="X122">
        <f>IF($AH122="","",Settings!$C$7)</f>
        <v/>
      </c>
      <c r="Y122" s="7">
        <f>IF($AH122="","",SUMIFS('Per Line'!$V$2:$V$1601,'Per Line'!$D$2:$D$1601,$B122,'Per Line'!$AM$2:$AM$1601,0,'Per Line'!$AN$2:$AN$1601,0))</f>
        <v/>
      </c>
      <c r="Z122" s="7">
        <f>IF($AH122="","",Y122*X122)</f>
        <v/>
      </c>
      <c r="AA122">
        <f>IF($AH122="","",Settings!$C$6)</f>
        <v/>
      </c>
      <c r="AB122" s="7">
        <f>IF($AH122="","",SUMIFS('Per Line'!$V$2:$V$1601,'Per Line'!$D$2:$D$1601,$B122,'Per Line'!$AM$2:$AM$1601,1,'Per Line'!$AN$2:$AN$1601,0))</f>
        <v/>
      </c>
      <c r="AC122" s="7">
        <f>IF($AH122="","",AB122*AA122)</f>
        <v/>
      </c>
      <c r="AD122" s="7">
        <f>IF($AH122="","",AC122+Z122+W122)</f>
        <v/>
      </c>
      <c r="AE122" s="7">
        <f>IF($AH122="","",AF122-AD122)</f>
        <v/>
      </c>
      <c r="AF122" s="7">
        <f>IF($AH122="","",Y122+AB122+V122)</f>
        <v/>
      </c>
      <c r="AG122" s="7">
        <f>IF($AH122="","",AF122-AD122-N122)</f>
        <v/>
      </c>
      <c r="AH122" s="13">
        <f>IF(ROWS($AH$2:$AH122)&lt;=MAX('Per Line'!$AL$2:$AL$1601),MATCH(ROWS($AH$2:$AH122),'Per Line'!$AL$2:$AL$1601,0),"")</f>
        <v/>
      </c>
    </row>
    <row r="123">
      <c r="A123" s="12" t="n"/>
      <c r="B123">
        <f>IF($AH123="","",INDEX('Per Line'!$D$2:$D$1601,$AH123)&amp;"")</f>
        <v/>
      </c>
      <c r="C123">
        <f>IF($AH123="","",INDEX('Per Line'!$A$2:$A$1601,$AH123)&amp;"")</f>
        <v/>
      </c>
      <c r="D123">
        <f>IF($AH123="","",INDEX('Per Line'!$B$2:$B$1601,$AH123))</f>
        <v/>
      </c>
      <c r="E123">
        <f>IF($AH123="","",INDEX('Per Line'!$C$2:$C$1601,$AH123)&amp;"")</f>
        <v/>
      </c>
      <c r="F123">
        <f>IF($AH123="","",INDEX('Per Line'!$E$2:$E$1601,$AH123)&amp;"")</f>
        <v/>
      </c>
      <c r="G123" s="11">
        <f>IF($AH123="","",INDEX('Per Line'!$F$2:$F$1601,$AH123))</f>
        <v/>
      </c>
      <c r="H123">
        <f>IF($AH123="","",INDEX('Per Line'!$G$2:$G$1601,$AH123)&amp;"")</f>
        <v/>
      </c>
      <c r="I123">
        <f>IF($AH123="","",INDEX('Per Line'!$I$2:$I$1601,$AH123)&amp;"")</f>
        <v/>
      </c>
      <c r="J123">
        <f>IF($AH123="","",INDEX('Per Line'!$J$2:$J$1601,$AH123)&amp;"")</f>
        <v/>
      </c>
      <c r="K123">
        <f>IF($AH123="","",INDEX('Per Line'!$K$2:$K$1601,$AH123)&amp;"")</f>
        <v/>
      </c>
      <c r="L123">
        <f>IF($AH123="","",INDEX('Per Line'!$L$2:$L$1601,$AH123)&amp;"")</f>
        <v/>
      </c>
      <c r="M123">
        <f>IF($AH123="","",INDEX('Per Line'!$M$2:$M$1601,$AH123))</f>
        <v/>
      </c>
      <c r="N123" s="7">
        <f>IF($AH123="","",M123*AE123/100)</f>
        <v/>
      </c>
      <c r="O123">
        <f>IF($AH123="","",INDEX('Per Line'!$Z$2:$Z$1601,$AH123)&amp;"")</f>
        <v/>
      </c>
      <c r="P123">
        <f>IF($AH123="","",INDEX('Per Line'!$AC$2:$AC$1601,$AH123)&amp;"")</f>
        <v/>
      </c>
      <c r="Q123">
        <f>IF($AH123="","",INDEX('Per Line'!$AD$2:$AD$1601,$AH123))</f>
        <v/>
      </c>
      <c r="R123">
        <f>IF($AH123="","",IF(AND(ISNUMBER(Q123),Q123&gt;0),AF123&gt;Q123,FALSE))</f>
        <v/>
      </c>
      <c r="S123">
        <f>IF($AH123="","",INDEX('Per Line'!$AH$2:$AH$1601,$AH123)&amp;"")</f>
        <v/>
      </c>
      <c r="T123" s="11">
        <f>IF($AH123="","",INDEX('Per Line'!$AI$2:$AI$1601,$AH123))</f>
        <v/>
      </c>
      <c r="U123">
        <f>IF($AH123="","",Settings!$C$8)</f>
        <v/>
      </c>
      <c r="V123" s="7">
        <f>IF($AH123="","",SUMIFS('Per Line'!$V$2:$V$1601,'Per Line'!$D$2:$D$1601,$B123,'Per Line'!$AN$2:$AN$1601,1))</f>
        <v/>
      </c>
      <c r="W123" s="7">
        <f>IF($AH123="","",V123*U123)</f>
        <v/>
      </c>
      <c r="X123">
        <f>IF($AH123="","",Settings!$C$7)</f>
        <v/>
      </c>
      <c r="Y123" s="7">
        <f>IF($AH123="","",SUMIFS('Per Line'!$V$2:$V$1601,'Per Line'!$D$2:$D$1601,$B123,'Per Line'!$AM$2:$AM$1601,0,'Per Line'!$AN$2:$AN$1601,0))</f>
        <v/>
      </c>
      <c r="Z123" s="7">
        <f>IF($AH123="","",Y123*X123)</f>
        <v/>
      </c>
      <c r="AA123">
        <f>IF($AH123="","",Settings!$C$6)</f>
        <v/>
      </c>
      <c r="AB123" s="7">
        <f>IF($AH123="","",SUMIFS('Per Line'!$V$2:$V$1601,'Per Line'!$D$2:$D$1601,$B123,'Per Line'!$AM$2:$AM$1601,1,'Per Line'!$AN$2:$AN$1601,0))</f>
        <v/>
      </c>
      <c r="AC123" s="7">
        <f>IF($AH123="","",AB123*AA123)</f>
        <v/>
      </c>
      <c r="AD123" s="7">
        <f>IF($AH123="","",AC123+Z123+W123)</f>
        <v/>
      </c>
      <c r="AE123" s="7">
        <f>IF($AH123="","",AF123-AD123)</f>
        <v/>
      </c>
      <c r="AF123" s="7">
        <f>IF($AH123="","",Y123+AB123+V123)</f>
        <v/>
      </c>
      <c r="AG123" s="7">
        <f>IF($AH123="","",AF123-AD123-N123)</f>
        <v/>
      </c>
      <c r="AH123" s="13">
        <f>IF(ROWS($AH$2:$AH123)&lt;=MAX('Per Line'!$AL$2:$AL$1601),MATCH(ROWS($AH$2:$AH123),'Per Line'!$AL$2:$AL$1601,0),"")</f>
        <v/>
      </c>
    </row>
    <row r="124">
      <c r="A124" s="12" t="n"/>
      <c r="B124">
        <f>IF($AH124="","",INDEX('Per Line'!$D$2:$D$1601,$AH124)&amp;"")</f>
        <v/>
      </c>
      <c r="C124">
        <f>IF($AH124="","",INDEX('Per Line'!$A$2:$A$1601,$AH124)&amp;"")</f>
        <v/>
      </c>
      <c r="D124">
        <f>IF($AH124="","",INDEX('Per Line'!$B$2:$B$1601,$AH124))</f>
        <v/>
      </c>
      <c r="E124">
        <f>IF($AH124="","",INDEX('Per Line'!$C$2:$C$1601,$AH124)&amp;"")</f>
        <v/>
      </c>
      <c r="F124">
        <f>IF($AH124="","",INDEX('Per Line'!$E$2:$E$1601,$AH124)&amp;"")</f>
        <v/>
      </c>
      <c r="G124" s="11">
        <f>IF($AH124="","",INDEX('Per Line'!$F$2:$F$1601,$AH124))</f>
        <v/>
      </c>
      <c r="H124">
        <f>IF($AH124="","",INDEX('Per Line'!$G$2:$G$1601,$AH124)&amp;"")</f>
        <v/>
      </c>
      <c r="I124">
        <f>IF($AH124="","",INDEX('Per Line'!$I$2:$I$1601,$AH124)&amp;"")</f>
        <v/>
      </c>
      <c r="J124">
        <f>IF($AH124="","",INDEX('Per Line'!$J$2:$J$1601,$AH124)&amp;"")</f>
        <v/>
      </c>
      <c r="K124">
        <f>IF($AH124="","",INDEX('Per Line'!$K$2:$K$1601,$AH124)&amp;"")</f>
        <v/>
      </c>
      <c r="L124">
        <f>IF($AH124="","",INDEX('Per Line'!$L$2:$L$1601,$AH124)&amp;"")</f>
        <v/>
      </c>
      <c r="M124">
        <f>IF($AH124="","",INDEX('Per Line'!$M$2:$M$1601,$AH124))</f>
        <v/>
      </c>
      <c r="N124" s="7">
        <f>IF($AH124="","",M124*AE124/100)</f>
        <v/>
      </c>
      <c r="O124">
        <f>IF($AH124="","",INDEX('Per Line'!$Z$2:$Z$1601,$AH124)&amp;"")</f>
        <v/>
      </c>
      <c r="P124">
        <f>IF($AH124="","",INDEX('Per Line'!$AC$2:$AC$1601,$AH124)&amp;"")</f>
        <v/>
      </c>
      <c r="Q124">
        <f>IF($AH124="","",INDEX('Per Line'!$AD$2:$AD$1601,$AH124))</f>
        <v/>
      </c>
      <c r="R124">
        <f>IF($AH124="","",IF(AND(ISNUMBER(Q124),Q124&gt;0),AF124&gt;Q124,FALSE))</f>
        <v/>
      </c>
      <c r="S124">
        <f>IF($AH124="","",INDEX('Per Line'!$AH$2:$AH$1601,$AH124)&amp;"")</f>
        <v/>
      </c>
      <c r="T124" s="11">
        <f>IF($AH124="","",INDEX('Per Line'!$AI$2:$AI$1601,$AH124))</f>
        <v/>
      </c>
      <c r="U124">
        <f>IF($AH124="","",Settings!$C$8)</f>
        <v/>
      </c>
      <c r="V124" s="7">
        <f>IF($AH124="","",SUMIFS('Per Line'!$V$2:$V$1601,'Per Line'!$D$2:$D$1601,$B124,'Per Line'!$AN$2:$AN$1601,1))</f>
        <v/>
      </c>
      <c r="W124" s="7">
        <f>IF($AH124="","",V124*U124)</f>
        <v/>
      </c>
      <c r="X124">
        <f>IF($AH124="","",Settings!$C$7)</f>
        <v/>
      </c>
      <c r="Y124" s="7">
        <f>IF($AH124="","",SUMIFS('Per Line'!$V$2:$V$1601,'Per Line'!$D$2:$D$1601,$B124,'Per Line'!$AM$2:$AM$1601,0,'Per Line'!$AN$2:$AN$1601,0))</f>
        <v/>
      </c>
      <c r="Z124" s="7">
        <f>IF($AH124="","",Y124*X124)</f>
        <v/>
      </c>
      <c r="AA124">
        <f>IF($AH124="","",Settings!$C$6)</f>
        <v/>
      </c>
      <c r="AB124" s="7">
        <f>IF($AH124="","",SUMIFS('Per Line'!$V$2:$V$1601,'Per Line'!$D$2:$D$1601,$B124,'Per Line'!$AM$2:$AM$1601,1,'Per Line'!$AN$2:$AN$1601,0))</f>
        <v/>
      </c>
      <c r="AC124" s="7">
        <f>IF($AH124="","",AB124*AA124)</f>
        <v/>
      </c>
      <c r="AD124" s="7">
        <f>IF($AH124="","",AC124+Z124+W124)</f>
        <v/>
      </c>
      <c r="AE124" s="7">
        <f>IF($AH124="","",AF124-AD124)</f>
        <v/>
      </c>
      <c r="AF124" s="7">
        <f>IF($AH124="","",Y124+AB124+V124)</f>
        <v/>
      </c>
      <c r="AG124" s="7">
        <f>IF($AH124="","",AF124-AD124-N124)</f>
        <v/>
      </c>
      <c r="AH124" s="13">
        <f>IF(ROWS($AH$2:$AH124)&lt;=MAX('Per Line'!$AL$2:$AL$1601),MATCH(ROWS($AH$2:$AH124),'Per Line'!$AL$2:$AL$1601,0),"")</f>
        <v/>
      </c>
    </row>
    <row r="125">
      <c r="A125" s="12" t="n"/>
      <c r="B125">
        <f>IF($AH125="","",INDEX('Per Line'!$D$2:$D$1601,$AH125)&amp;"")</f>
        <v/>
      </c>
      <c r="C125">
        <f>IF($AH125="","",INDEX('Per Line'!$A$2:$A$1601,$AH125)&amp;"")</f>
        <v/>
      </c>
      <c r="D125">
        <f>IF($AH125="","",INDEX('Per Line'!$B$2:$B$1601,$AH125))</f>
        <v/>
      </c>
      <c r="E125">
        <f>IF($AH125="","",INDEX('Per Line'!$C$2:$C$1601,$AH125)&amp;"")</f>
        <v/>
      </c>
      <c r="F125">
        <f>IF($AH125="","",INDEX('Per Line'!$E$2:$E$1601,$AH125)&amp;"")</f>
        <v/>
      </c>
      <c r="G125" s="11">
        <f>IF($AH125="","",INDEX('Per Line'!$F$2:$F$1601,$AH125))</f>
        <v/>
      </c>
      <c r="H125">
        <f>IF($AH125="","",INDEX('Per Line'!$G$2:$G$1601,$AH125)&amp;"")</f>
        <v/>
      </c>
      <c r="I125">
        <f>IF($AH125="","",INDEX('Per Line'!$I$2:$I$1601,$AH125)&amp;"")</f>
        <v/>
      </c>
      <c r="J125">
        <f>IF($AH125="","",INDEX('Per Line'!$J$2:$J$1601,$AH125)&amp;"")</f>
        <v/>
      </c>
      <c r="K125">
        <f>IF($AH125="","",INDEX('Per Line'!$K$2:$K$1601,$AH125)&amp;"")</f>
        <v/>
      </c>
      <c r="L125">
        <f>IF($AH125="","",INDEX('Per Line'!$L$2:$L$1601,$AH125)&amp;"")</f>
        <v/>
      </c>
      <c r="M125">
        <f>IF($AH125="","",INDEX('Per Line'!$M$2:$M$1601,$AH125))</f>
        <v/>
      </c>
      <c r="N125" s="7">
        <f>IF($AH125="","",M125*AE125/100)</f>
        <v/>
      </c>
      <c r="O125">
        <f>IF($AH125="","",INDEX('Per Line'!$Z$2:$Z$1601,$AH125)&amp;"")</f>
        <v/>
      </c>
      <c r="P125">
        <f>IF($AH125="","",INDEX('Per Line'!$AC$2:$AC$1601,$AH125)&amp;"")</f>
        <v/>
      </c>
      <c r="Q125">
        <f>IF($AH125="","",INDEX('Per Line'!$AD$2:$AD$1601,$AH125))</f>
        <v/>
      </c>
      <c r="R125">
        <f>IF($AH125="","",IF(AND(ISNUMBER(Q125),Q125&gt;0),AF125&gt;Q125,FALSE))</f>
        <v/>
      </c>
      <c r="S125">
        <f>IF($AH125="","",INDEX('Per Line'!$AH$2:$AH$1601,$AH125)&amp;"")</f>
        <v/>
      </c>
      <c r="T125" s="11">
        <f>IF($AH125="","",INDEX('Per Line'!$AI$2:$AI$1601,$AH125))</f>
        <v/>
      </c>
      <c r="U125">
        <f>IF($AH125="","",Settings!$C$8)</f>
        <v/>
      </c>
      <c r="V125" s="7">
        <f>IF($AH125="","",SUMIFS('Per Line'!$V$2:$V$1601,'Per Line'!$D$2:$D$1601,$B125,'Per Line'!$AN$2:$AN$1601,1))</f>
        <v/>
      </c>
      <c r="W125" s="7">
        <f>IF($AH125="","",V125*U125)</f>
        <v/>
      </c>
      <c r="X125">
        <f>IF($AH125="","",Settings!$C$7)</f>
        <v/>
      </c>
      <c r="Y125" s="7">
        <f>IF($AH125="","",SUMIFS('Per Line'!$V$2:$V$1601,'Per Line'!$D$2:$D$1601,$B125,'Per Line'!$AM$2:$AM$1601,0,'Per Line'!$AN$2:$AN$1601,0))</f>
        <v/>
      </c>
      <c r="Z125" s="7">
        <f>IF($AH125="","",Y125*X125)</f>
        <v/>
      </c>
      <c r="AA125">
        <f>IF($AH125="","",Settings!$C$6)</f>
        <v/>
      </c>
      <c r="AB125" s="7">
        <f>IF($AH125="","",SUMIFS('Per Line'!$V$2:$V$1601,'Per Line'!$D$2:$D$1601,$B125,'Per Line'!$AM$2:$AM$1601,1,'Per Line'!$AN$2:$AN$1601,0))</f>
        <v/>
      </c>
      <c r="AC125" s="7">
        <f>IF($AH125="","",AB125*AA125)</f>
        <v/>
      </c>
      <c r="AD125" s="7">
        <f>IF($AH125="","",AC125+Z125+W125)</f>
        <v/>
      </c>
      <c r="AE125" s="7">
        <f>IF($AH125="","",AF125-AD125)</f>
        <v/>
      </c>
      <c r="AF125" s="7">
        <f>IF($AH125="","",Y125+AB125+V125)</f>
        <v/>
      </c>
      <c r="AG125" s="7">
        <f>IF($AH125="","",AF125-AD125-N125)</f>
        <v/>
      </c>
      <c r="AH125" s="13">
        <f>IF(ROWS($AH$2:$AH125)&lt;=MAX('Per Line'!$AL$2:$AL$1601),MATCH(ROWS($AH$2:$AH125),'Per Line'!$AL$2:$AL$1601,0),"")</f>
        <v/>
      </c>
    </row>
    <row r="126">
      <c r="A126" s="12" t="n"/>
      <c r="B126">
        <f>IF($AH126="","",INDEX('Per Line'!$D$2:$D$1601,$AH126)&amp;"")</f>
        <v/>
      </c>
      <c r="C126">
        <f>IF($AH126="","",INDEX('Per Line'!$A$2:$A$1601,$AH126)&amp;"")</f>
        <v/>
      </c>
      <c r="D126">
        <f>IF($AH126="","",INDEX('Per Line'!$B$2:$B$1601,$AH126))</f>
        <v/>
      </c>
      <c r="E126">
        <f>IF($AH126="","",INDEX('Per Line'!$C$2:$C$1601,$AH126)&amp;"")</f>
        <v/>
      </c>
      <c r="F126">
        <f>IF($AH126="","",INDEX('Per Line'!$E$2:$E$1601,$AH126)&amp;"")</f>
        <v/>
      </c>
      <c r="G126" s="11">
        <f>IF($AH126="","",INDEX('Per Line'!$F$2:$F$1601,$AH126))</f>
        <v/>
      </c>
      <c r="H126">
        <f>IF($AH126="","",INDEX('Per Line'!$G$2:$G$1601,$AH126)&amp;"")</f>
        <v/>
      </c>
      <c r="I126">
        <f>IF($AH126="","",INDEX('Per Line'!$I$2:$I$1601,$AH126)&amp;"")</f>
        <v/>
      </c>
      <c r="J126">
        <f>IF($AH126="","",INDEX('Per Line'!$J$2:$J$1601,$AH126)&amp;"")</f>
        <v/>
      </c>
      <c r="K126">
        <f>IF($AH126="","",INDEX('Per Line'!$K$2:$K$1601,$AH126)&amp;"")</f>
        <v/>
      </c>
      <c r="L126">
        <f>IF($AH126="","",INDEX('Per Line'!$L$2:$L$1601,$AH126)&amp;"")</f>
        <v/>
      </c>
      <c r="M126">
        <f>IF($AH126="","",INDEX('Per Line'!$M$2:$M$1601,$AH126))</f>
        <v/>
      </c>
      <c r="N126" s="7">
        <f>IF($AH126="","",M126*AE126/100)</f>
        <v/>
      </c>
      <c r="O126">
        <f>IF($AH126="","",INDEX('Per Line'!$Z$2:$Z$1601,$AH126)&amp;"")</f>
        <v/>
      </c>
      <c r="P126">
        <f>IF($AH126="","",INDEX('Per Line'!$AC$2:$AC$1601,$AH126)&amp;"")</f>
        <v/>
      </c>
      <c r="Q126">
        <f>IF($AH126="","",INDEX('Per Line'!$AD$2:$AD$1601,$AH126))</f>
        <v/>
      </c>
      <c r="R126">
        <f>IF($AH126="","",IF(AND(ISNUMBER(Q126),Q126&gt;0),AF126&gt;Q126,FALSE))</f>
        <v/>
      </c>
      <c r="S126">
        <f>IF($AH126="","",INDEX('Per Line'!$AH$2:$AH$1601,$AH126)&amp;"")</f>
        <v/>
      </c>
      <c r="T126" s="11">
        <f>IF($AH126="","",INDEX('Per Line'!$AI$2:$AI$1601,$AH126))</f>
        <v/>
      </c>
      <c r="U126">
        <f>IF($AH126="","",Settings!$C$8)</f>
        <v/>
      </c>
      <c r="V126" s="7">
        <f>IF($AH126="","",SUMIFS('Per Line'!$V$2:$V$1601,'Per Line'!$D$2:$D$1601,$B126,'Per Line'!$AN$2:$AN$1601,1))</f>
        <v/>
      </c>
      <c r="W126" s="7">
        <f>IF($AH126="","",V126*U126)</f>
        <v/>
      </c>
      <c r="X126">
        <f>IF($AH126="","",Settings!$C$7)</f>
        <v/>
      </c>
      <c r="Y126" s="7">
        <f>IF($AH126="","",SUMIFS('Per Line'!$V$2:$V$1601,'Per Line'!$D$2:$D$1601,$B126,'Per Line'!$AM$2:$AM$1601,0,'Per Line'!$AN$2:$AN$1601,0))</f>
        <v/>
      </c>
      <c r="Z126" s="7">
        <f>IF($AH126="","",Y126*X126)</f>
        <v/>
      </c>
      <c r="AA126">
        <f>IF($AH126="","",Settings!$C$6)</f>
        <v/>
      </c>
      <c r="AB126" s="7">
        <f>IF($AH126="","",SUMIFS('Per Line'!$V$2:$V$1601,'Per Line'!$D$2:$D$1601,$B126,'Per Line'!$AM$2:$AM$1601,1,'Per Line'!$AN$2:$AN$1601,0))</f>
        <v/>
      </c>
      <c r="AC126" s="7">
        <f>IF($AH126="","",AB126*AA126)</f>
        <v/>
      </c>
      <c r="AD126" s="7">
        <f>IF($AH126="","",AC126+Z126+W126)</f>
        <v/>
      </c>
      <c r="AE126" s="7">
        <f>IF($AH126="","",AF126-AD126)</f>
        <v/>
      </c>
      <c r="AF126" s="7">
        <f>IF($AH126="","",Y126+AB126+V126)</f>
        <v/>
      </c>
      <c r="AG126" s="7">
        <f>IF($AH126="","",AF126-AD126-N126)</f>
        <v/>
      </c>
      <c r="AH126" s="13">
        <f>IF(ROWS($AH$2:$AH126)&lt;=MAX('Per Line'!$AL$2:$AL$1601),MATCH(ROWS($AH$2:$AH126),'Per Line'!$AL$2:$AL$1601,0),"")</f>
        <v/>
      </c>
    </row>
    <row r="127">
      <c r="A127" s="12" t="n"/>
      <c r="B127">
        <f>IF($AH127="","",INDEX('Per Line'!$D$2:$D$1601,$AH127)&amp;"")</f>
        <v/>
      </c>
      <c r="C127">
        <f>IF($AH127="","",INDEX('Per Line'!$A$2:$A$1601,$AH127)&amp;"")</f>
        <v/>
      </c>
      <c r="D127">
        <f>IF($AH127="","",INDEX('Per Line'!$B$2:$B$1601,$AH127))</f>
        <v/>
      </c>
      <c r="E127">
        <f>IF($AH127="","",INDEX('Per Line'!$C$2:$C$1601,$AH127)&amp;"")</f>
        <v/>
      </c>
      <c r="F127">
        <f>IF($AH127="","",INDEX('Per Line'!$E$2:$E$1601,$AH127)&amp;"")</f>
        <v/>
      </c>
      <c r="G127" s="11">
        <f>IF($AH127="","",INDEX('Per Line'!$F$2:$F$1601,$AH127))</f>
        <v/>
      </c>
      <c r="H127">
        <f>IF($AH127="","",INDEX('Per Line'!$G$2:$G$1601,$AH127)&amp;"")</f>
        <v/>
      </c>
      <c r="I127">
        <f>IF($AH127="","",INDEX('Per Line'!$I$2:$I$1601,$AH127)&amp;"")</f>
        <v/>
      </c>
      <c r="J127">
        <f>IF($AH127="","",INDEX('Per Line'!$J$2:$J$1601,$AH127)&amp;"")</f>
        <v/>
      </c>
      <c r="K127">
        <f>IF($AH127="","",INDEX('Per Line'!$K$2:$K$1601,$AH127)&amp;"")</f>
        <v/>
      </c>
      <c r="L127">
        <f>IF($AH127="","",INDEX('Per Line'!$L$2:$L$1601,$AH127)&amp;"")</f>
        <v/>
      </c>
      <c r="M127">
        <f>IF($AH127="","",INDEX('Per Line'!$M$2:$M$1601,$AH127))</f>
        <v/>
      </c>
      <c r="N127" s="7">
        <f>IF($AH127="","",M127*AE127/100)</f>
        <v/>
      </c>
      <c r="O127">
        <f>IF($AH127="","",INDEX('Per Line'!$Z$2:$Z$1601,$AH127)&amp;"")</f>
        <v/>
      </c>
      <c r="P127">
        <f>IF($AH127="","",INDEX('Per Line'!$AC$2:$AC$1601,$AH127)&amp;"")</f>
        <v/>
      </c>
      <c r="Q127">
        <f>IF($AH127="","",INDEX('Per Line'!$AD$2:$AD$1601,$AH127))</f>
        <v/>
      </c>
      <c r="R127">
        <f>IF($AH127="","",IF(AND(ISNUMBER(Q127),Q127&gt;0),AF127&gt;Q127,FALSE))</f>
        <v/>
      </c>
      <c r="S127">
        <f>IF($AH127="","",INDEX('Per Line'!$AH$2:$AH$1601,$AH127)&amp;"")</f>
        <v/>
      </c>
      <c r="T127" s="11">
        <f>IF($AH127="","",INDEX('Per Line'!$AI$2:$AI$1601,$AH127))</f>
        <v/>
      </c>
      <c r="U127">
        <f>IF($AH127="","",Settings!$C$8)</f>
        <v/>
      </c>
      <c r="V127" s="7">
        <f>IF($AH127="","",SUMIFS('Per Line'!$V$2:$V$1601,'Per Line'!$D$2:$D$1601,$B127,'Per Line'!$AN$2:$AN$1601,1))</f>
        <v/>
      </c>
      <c r="W127" s="7">
        <f>IF($AH127="","",V127*U127)</f>
        <v/>
      </c>
      <c r="X127">
        <f>IF($AH127="","",Settings!$C$7)</f>
        <v/>
      </c>
      <c r="Y127" s="7">
        <f>IF($AH127="","",SUMIFS('Per Line'!$V$2:$V$1601,'Per Line'!$D$2:$D$1601,$B127,'Per Line'!$AM$2:$AM$1601,0,'Per Line'!$AN$2:$AN$1601,0))</f>
        <v/>
      </c>
      <c r="Z127" s="7">
        <f>IF($AH127="","",Y127*X127)</f>
        <v/>
      </c>
      <c r="AA127">
        <f>IF($AH127="","",Settings!$C$6)</f>
        <v/>
      </c>
      <c r="AB127" s="7">
        <f>IF($AH127="","",SUMIFS('Per Line'!$V$2:$V$1601,'Per Line'!$D$2:$D$1601,$B127,'Per Line'!$AM$2:$AM$1601,1,'Per Line'!$AN$2:$AN$1601,0))</f>
        <v/>
      </c>
      <c r="AC127" s="7">
        <f>IF($AH127="","",AB127*AA127)</f>
        <v/>
      </c>
      <c r="AD127" s="7">
        <f>IF($AH127="","",AC127+Z127+W127)</f>
        <v/>
      </c>
      <c r="AE127" s="7">
        <f>IF($AH127="","",AF127-AD127)</f>
        <v/>
      </c>
      <c r="AF127" s="7">
        <f>IF($AH127="","",Y127+AB127+V127)</f>
        <v/>
      </c>
      <c r="AG127" s="7">
        <f>IF($AH127="","",AF127-AD127-N127)</f>
        <v/>
      </c>
      <c r="AH127" s="13">
        <f>IF(ROWS($AH$2:$AH127)&lt;=MAX('Per Line'!$AL$2:$AL$1601),MATCH(ROWS($AH$2:$AH127),'Per Line'!$AL$2:$AL$1601,0),"")</f>
        <v/>
      </c>
    </row>
    <row r="128">
      <c r="A128" s="12" t="n"/>
      <c r="B128">
        <f>IF($AH128="","",INDEX('Per Line'!$D$2:$D$1601,$AH128)&amp;"")</f>
        <v/>
      </c>
      <c r="C128">
        <f>IF($AH128="","",INDEX('Per Line'!$A$2:$A$1601,$AH128)&amp;"")</f>
        <v/>
      </c>
      <c r="D128">
        <f>IF($AH128="","",INDEX('Per Line'!$B$2:$B$1601,$AH128))</f>
        <v/>
      </c>
      <c r="E128">
        <f>IF($AH128="","",INDEX('Per Line'!$C$2:$C$1601,$AH128)&amp;"")</f>
        <v/>
      </c>
      <c r="F128">
        <f>IF($AH128="","",INDEX('Per Line'!$E$2:$E$1601,$AH128)&amp;"")</f>
        <v/>
      </c>
      <c r="G128" s="11">
        <f>IF($AH128="","",INDEX('Per Line'!$F$2:$F$1601,$AH128))</f>
        <v/>
      </c>
      <c r="H128">
        <f>IF($AH128="","",INDEX('Per Line'!$G$2:$G$1601,$AH128)&amp;"")</f>
        <v/>
      </c>
      <c r="I128">
        <f>IF($AH128="","",INDEX('Per Line'!$I$2:$I$1601,$AH128)&amp;"")</f>
        <v/>
      </c>
      <c r="J128">
        <f>IF($AH128="","",INDEX('Per Line'!$J$2:$J$1601,$AH128)&amp;"")</f>
        <v/>
      </c>
      <c r="K128">
        <f>IF($AH128="","",INDEX('Per Line'!$K$2:$K$1601,$AH128)&amp;"")</f>
        <v/>
      </c>
      <c r="L128">
        <f>IF($AH128="","",INDEX('Per Line'!$L$2:$L$1601,$AH128)&amp;"")</f>
        <v/>
      </c>
      <c r="M128">
        <f>IF($AH128="","",INDEX('Per Line'!$M$2:$M$1601,$AH128))</f>
        <v/>
      </c>
      <c r="N128" s="7">
        <f>IF($AH128="","",M128*AE128/100)</f>
        <v/>
      </c>
      <c r="O128">
        <f>IF($AH128="","",INDEX('Per Line'!$Z$2:$Z$1601,$AH128)&amp;"")</f>
        <v/>
      </c>
      <c r="P128">
        <f>IF($AH128="","",INDEX('Per Line'!$AC$2:$AC$1601,$AH128)&amp;"")</f>
        <v/>
      </c>
      <c r="Q128">
        <f>IF($AH128="","",INDEX('Per Line'!$AD$2:$AD$1601,$AH128))</f>
        <v/>
      </c>
      <c r="R128">
        <f>IF($AH128="","",IF(AND(ISNUMBER(Q128),Q128&gt;0),AF128&gt;Q128,FALSE))</f>
        <v/>
      </c>
      <c r="S128">
        <f>IF($AH128="","",INDEX('Per Line'!$AH$2:$AH$1601,$AH128)&amp;"")</f>
        <v/>
      </c>
      <c r="T128" s="11">
        <f>IF($AH128="","",INDEX('Per Line'!$AI$2:$AI$1601,$AH128))</f>
        <v/>
      </c>
      <c r="U128">
        <f>IF($AH128="","",Settings!$C$8)</f>
        <v/>
      </c>
      <c r="V128" s="7">
        <f>IF($AH128="","",SUMIFS('Per Line'!$V$2:$V$1601,'Per Line'!$D$2:$D$1601,$B128,'Per Line'!$AN$2:$AN$1601,1))</f>
        <v/>
      </c>
      <c r="W128" s="7">
        <f>IF($AH128="","",V128*U128)</f>
        <v/>
      </c>
      <c r="X128">
        <f>IF($AH128="","",Settings!$C$7)</f>
        <v/>
      </c>
      <c r="Y128" s="7">
        <f>IF($AH128="","",SUMIFS('Per Line'!$V$2:$V$1601,'Per Line'!$D$2:$D$1601,$B128,'Per Line'!$AM$2:$AM$1601,0,'Per Line'!$AN$2:$AN$1601,0))</f>
        <v/>
      </c>
      <c r="Z128" s="7">
        <f>IF($AH128="","",Y128*X128)</f>
        <v/>
      </c>
      <c r="AA128">
        <f>IF($AH128="","",Settings!$C$6)</f>
        <v/>
      </c>
      <c r="AB128" s="7">
        <f>IF($AH128="","",SUMIFS('Per Line'!$V$2:$V$1601,'Per Line'!$D$2:$D$1601,$B128,'Per Line'!$AM$2:$AM$1601,1,'Per Line'!$AN$2:$AN$1601,0))</f>
        <v/>
      </c>
      <c r="AC128" s="7">
        <f>IF($AH128="","",AB128*AA128)</f>
        <v/>
      </c>
      <c r="AD128" s="7">
        <f>IF($AH128="","",AC128+Z128+W128)</f>
        <v/>
      </c>
      <c r="AE128" s="7">
        <f>IF($AH128="","",AF128-AD128)</f>
        <v/>
      </c>
      <c r="AF128" s="7">
        <f>IF($AH128="","",Y128+AB128+V128)</f>
        <v/>
      </c>
      <c r="AG128" s="7">
        <f>IF($AH128="","",AF128-AD128-N128)</f>
        <v/>
      </c>
      <c r="AH128" s="13">
        <f>IF(ROWS($AH$2:$AH128)&lt;=MAX('Per Line'!$AL$2:$AL$1601),MATCH(ROWS($AH$2:$AH128),'Per Line'!$AL$2:$AL$1601,0),"")</f>
        <v/>
      </c>
    </row>
    <row r="129">
      <c r="A129" s="12" t="n"/>
      <c r="B129">
        <f>IF($AH129="","",INDEX('Per Line'!$D$2:$D$1601,$AH129)&amp;"")</f>
        <v/>
      </c>
      <c r="C129">
        <f>IF($AH129="","",INDEX('Per Line'!$A$2:$A$1601,$AH129)&amp;"")</f>
        <v/>
      </c>
      <c r="D129">
        <f>IF($AH129="","",INDEX('Per Line'!$B$2:$B$1601,$AH129))</f>
        <v/>
      </c>
      <c r="E129">
        <f>IF($AH129="","",INDEX('Per Line'!$C$2:$C$1601,$AH129)&amp;"")</f>
        <v/>
      </c>
      <c r="F129">
        <f>IF($AH129="","",INDEX('Per Line'!$E$2:$E$1601,$AH129)&amp;"")</f>
        <v/>
      </c>
      <c r="G129" s="11">
        <f>IF($AH129="","",INDEX('Per Line'!$F$2:$F$1601,$AH129))</f>
        <v/>
      </c>
      <c r="H129">
        <f>IF($AH129="","",INDEX('Per Line'!$G$2:$G$1601,$AH129)&amp;"")</f>
        <v/>
      </c>
      <c r="I129">
        <f>IF($AH129="","",INDEX('Per Line'!$I$2:$I$1601,$AH129)&amp;"")</f>
        <v/>
      </c>
      <c r="J129">
        <f>IF($AH129="","",INDEX('Per Line'!$J$2:$J$1601,$AH129)&amp;"")</f>
        <v/>
      </c>
      <c r="K129">
        <f>IF($AH129="","",INDEX('Per Line'!$K$2:$K$1601,$AH129)&amp;"")</f>
        <v/>
      </c>
      <c r="L129">
        <f>IF($AH129="","",INDEX('Per Line'!$L$2:$L$1601,$AH129)&amp;"")</f>
        <v/>
      </c>
      <c r="M129">
        <f>IF($AH129="","",INDEX('Per Line'!$M$2:$M$1601,$AH129))</f>
        <v/>
      </c>
      <c r="N129" s="7">
        <f>IF($AH129="","",M129*AE129/100)</f>
        <v/>
      </c>
      <c r="O129">
        <f>IF($AH129="","",INDEX('Per Line'!$Z$2:$Z$1601,$AH129)&amp;"")</f>
        <v/>
      </c>
      <c r="P129">
        <f>IF($AH129="","",INDEX('Per Line'!$AC$2:$AC$1601,$AH129)&amp;"")</f>
        <v/>
      </c>
      <c r="Q129">
        <f>IF($AH129="","",INDEX('Per Line'!$AD$2:$AD$1601,$AH129))</f>
        <v/>
      </c>
      <c r="R129">
        <f>IF($AH129="","",IF(AND(ISNUMBER(Q129),Q129&gt;0),AF129&gt;Q129,FALSE))</f>
        <v/>
      </c>
      <c r="S129">
        <f>IF($AH129="","",INDEX('Per Line'!$AH$2:$AH$1601,$AH129)&amp;"")</f>
        <v/>
      </c>
      <c r="T129" s="11">
        <f>IF($AH129="","",INDEX('Per Line'!$AI$2:$AI$1601,$AH129))</f>
        <v/>
      </c>
      <c r="U129">
        <f>IF($AH129="","",Settings!$C$8)</f>
        <v/>
      </c>
      <c r="V129" s="7">
        <f>IF($AH129="","",SUMIFS('Per Line'!$V$2:$V$1601,'Per Line'!$D$2:$D$1601,$B129,'Per Line'!$AN$2:$AN$1601,1))</f>
        <v/>
      </c>
      <c r="W129" s="7">
        <f>IF($AH129="","",V129*U129)</f>
        <v/>
      </c>
      <c r="X129">
        <f>IF($AH129="","",Settings!$C$7)</f>
        <v/>
      </c>
      <c r="Y129" s="7">
        <f>IF($AH129="","",SUMIFS('Per Line'!$V$2:$V$1601,'Per Line'!$D$2:$D$1601,$B129,'Per Line'!$AM$2:$AM$1601,0,'Per Line'!$AN$2:$AN$1601,0))</f>
        <v/>
      </c>
      <c r="Z129" s="7">
        <f>IF($AH129="","",Y129*X129)</f>
        <v/>
      </c>
      <c r="AA129">
        <f>IF($AH129="","",Settings!$C$6)</f>
        <v/>
      </c>
      <c r="AB129" s="7">
        <f>IF($AH129="","",SUMIFS('Per Line'!$V$2:$V$1601,'Per Line'!$D$2:$D$1601,$B129,'Per Line'!$AM$2:$AM$1601,1,'Per Line'!$AN$2:$AN$1601,0))</f>
        <v/>
      </c>
      <c r="AC129" s="7">
        <f>IF($AH129="","",AB129*AA129)</f>
        <v/>
      </c>
      <c r="AD129" s="7">
        <f>IF($AH129="","",AC129+Z129+W129)</f>
        <v/>
      </c>
      <c r="AE129" s="7">
        <f>IF($AH129="","",AF129-AD129)</f>
        <v/>
      </c>
      <c r="AF129" s="7">
        <f>IF($AH129="","",Y129+AB129+V129)</f>
        <v/>
      </c>
      <c r="AG129" s="7">
        <f>IF($AH129="","",AF129-AD129-N129)</f>
        <v/>
      </c>
      <c r="AH129" s="13">
        <f>IF(ROWS($AH$2:$AH129)&lt;=MAX('Per Line'!$AL$2:$AL$1601),MATCH(ROWS($AH$2:$AH129),'Per Line'!$AL$2:$AL$1601,0),"")</f>
        <v/>
      </c>
    </row>
    <row r="130">
      <c r="A130" s="12" t="n"/>
      <c r="B130">
        <f>IF($AH130="","",INDEX('Per Line'!$D$2:$D$1601,$AH130)&amp;"")</f>
        <v/>
      </c>
      <c r="C130">
        <f>IF($AH130="","",INDEX('Per Line'!$A$2:$A$1601,$AH130)&amp;"")</f>
        <v/>
      </c>
      <c r="D130">
        <f>IF($AH130="","",INDEX('Per Line'!$B$2:$B$1601,$AH130))</f>
        <v/>
      </c>
      <c r="E130">
        <f>IF($AH130="","",INDEX('Per Line'!$C$2:$C$1601,$AH130)&amp;"")</f>
        <v/>
      </c>
      <c r="F130">
        <f>IF($AH130="","",INDEX('Per Line'!$E$2:$E$1601,$AH130)&amp;"")</f>
        <v/>
      </c>
      <c r="G130" s="11">
        <f>IF($AH130="","",INDEX('Per Line'!$F$2:$F$1601,$AH130))</f>
        <v/>
      </c>
      <c r="H130">
        <f>IF($AH130="","",INDEX('Per Line'!$G$2:$G$1601,$AH130)&amp;"")</f>
        <v/>
      </c>
      <c r="I130">
        <f>IF($AH130="","",INDEX('Per Line'!$I$2:$I$1601,$AH130)&amp;"")</f>
        <v/>
      </c>
      <c r="J130">
        <f>IF($AH130="","",INDEX('Per Line'!$J$2:$J$1601,$AH130)&amp;"")</f>
        <v/>
      </c>
      <c r="K130">
        <f>IF($AH130="","",INDEX('Per Line'!$K$2:$K$1601,$AH130)&amp;"")</f>
        <v/>
      </c>
      <c r="L130">
        <f>IF($AH130="","",INDEX('Per Line'!$L$2:$L$1601,$AH130)&amp;"")</f>
        <v/>
      </c>
      <c r="M130">
        <f>IF($AH130="","",INDEX('Per Line'!$M$2:$M$1601,$AH130))</f>
        <v/>
      </c>
      <c r="N130" s="7">
        <f>IF($AH130="","",M130*AE130/100)</f>
        <v/>
      </c>
      <c r="O130">
        <f>IF($AH130="","",INDEX('Per Line'!$Z$2:$Z$1601,$AH130)&amp;"")</f>
        <v/>
      </c>
      <c r="P130">
        <f>IF($AH130="","",INDEX('Per Line'!$AC$2:$AC$1601,$AH130)&amp;"")</f>
        <v/>
      </c>
      <c r="Q130">
        <f>IF($AH130="","",INDEX('Per Line'!$AD$2:$AD$1601,$AH130))</f>
        <v/>
      </c>
      <c r="R130">
        <f>IF($AH130="","",IF(AND(ISNUMBER(Q130),Q130&gt;0),AF130&gt;Q130,FALSE))</f>
        <v/>
      </c>
      <c r="S130">
        <f>IF($AH130="","",INDEX('Per Line'!$AH$2:$AH$1601,$AH130)&amp;"")</f>
        <v/>
      </c>
      <c r="T130" s="11">
        <f>IF($AH130="","",INDEX('Per Line'!$AI$2:$AI$1601,$AH130))</f>
        <v/>
      </c>
      <c r="U130">
        <f>IF($AH130="","",Settings!$C$8)</f>
        <v/>
      </c>
      <c r="V130" s="7">
        <f>IF($AH130="","",SUMIFS('Per Line'!$V$2:$V$1601,'Per Line'!$D$2:$D$1601,$B130,'Per Line'!$AN$2:$AN$1601,1))</f>
        <v/>
      </c>
      <c r="W130" s="7">
        <f>IF($AH130="","",V130*U130)</f>
        <v/>
      </c>
      <c r="X130">
        <f>IF($AH130="","",Settings!$C$7)</f>
        <v/>
      </c>
      <c r="Y130" s="7">
        <f>IF($AH130="","",SUMIFS('Per Line'!$V$2:$V$1601,'Per Line'!$D$2:$D$1601,$B130,'Per Line'!$AM$2:$AM$1601,0,'Per Line'!$AN$2:$AN$1601,0))</f>
        <v/>
      </c>
      <c r="Z130" s="7">
        <f>IF($AH130="","",Y130*X130)</f>
        <v/>
      </c>
      <c r="AA130">
        <f>IF($AH130="","",Settings!$C$6)</f>
        <v/>
      </c>
      <c r="AB130" s="7">
        <f>IF($AH130="","",SUMIFS('Per Line'!$V$2:$V$1601,'Per Line'!$D$2:$D$1601,$B130,'Per Line'!$AM$2:$AM$1601,1,'Per Line'!$AN$2:$AN$1601,0))</f>
        <v/>
      </c>
      <c r="AC130" s="7">
        <f>IF($AH130="","",AB130*AA130)</f>
        <v/>
      </c>
      <c r="AD130" s="7">
        <f>IF($AH130="","",AC130+Z130+W130)</f>
        <v/>
      </c>
      <c r="AE130" s="7">
        <f>IF($AH130="","",AF130-AD130)</f>
        <v/>
      </c>
      <c r="AF130" s="7">
        <f>IF($AH130="","",Y130+AB130+V130)</f>
        <v/>
      </c>
      <c r="AG130" s="7">
        <f>IF($AH130="","",AF130-AD130-N130)</f>
        <v/>
      </c>
      <c r="AH130" s="13">
        <f>IF(ROWS($AH$2:$AH130)&lt;=MAX('Per Line'!$AL$2:$AL$1601),MATCH(ROWS($AH$2:$AH130),'Per Line'!$AL$2:$AL$1601,0),"")</f>
        <v/>
      </c>
    </row>
    <row r="131">
      <c r="A131" s="12" t="n"/>
      <c r="B131">
        <f>IF($AH131="","",INDEX('Per Line'!$D$2:$D$1601,$AH131)&amp;"")</f>
        <v/>
      </c>
      <c r="C131">
        <f>IF($AH131="","",INDEX('Per Line'!$A$2:$A$1601,$AH131)&amp;"")</f>
        <v/>
      </c>
      <c r="D131">
        <f>IF($AH131="","",INDEX('Per Line'!$B$2:$B$1601,$AH131))</f>
        <v/>
      </c>
      <c r="E131">
        <f>IF($AH131="","",INDEX('Per Line'!$C$2:$C$1601,$AH131)&amp;"")</f>
        <v/>
      </c>
      <c r="F131">
        <f>IF($AH131="","",INDEX('Per Line'!$E$2:$E$1601,$AH131)&amp;"")</f>
        <v/>
      </c>
      <c r="G131" s="11">
        <f>IF($AH131="","",INDEX('Per Line'!$F$2:$F$1601,$AH131))</f>
        <v/>
      </c>
      <c r="H131">
        <f>IF($AH131="","",INDEX('Per Line'!$G$2:$G$1601,$AH131)&amp;"")</f>
        <v/>
      </c>
      <c r="I131">
        <f>IF($AH131="","",INDEX('Per Line'!$I$2:$I$1601,$AH131)&amp;"")</f>
        <v/>
      </c>
      <c r="J131">
        <f>IF($AH131="","",INDEX('Per Line'!$J$2:$J$1601,$AH131)&amp;"")</f>
        <v/>
      </c>
      <c r="K131">
        <f>IF($AH131="","",INDEX('Per Line'!$K$2:$K$1601,$AH131)&amp;"")</f>
        <v/>
      </c>
      <c r="L131">
        <f>IF($AH131="","",INDEX('Per Line'!$L$2:$L$1601,$AH131)&amp;"")</f>
        <v/>
      </c>
      <c r="M131">
        <f>IF($AH131="","",INDEX('Per Line'!$M$2:$M$1601,$AH131))</f>
        <v/>
      </c>
      <c r="N131" s="7">
        <f>IF($AH131="","",M131*AE131/100)</f>
        <v/>
      </c>
      <c r="O131">
        <f>IF($AH131="","",INDEX('Per Line'!$Z$2:$Z$1601,$AH131)&amp;"")</f>
        <v/>
      </c>
      <c r="P131">
        <f>IF($AH131="","",INDEX('Per Line'!$AC$2:$AC$1601,$AH131)&amp;"")</f>
        <v/>
      </c>
      <c r="Q131">
        <f>IF($AH131="","",INDEX('Per Line'!$AD$2:$AD$1601,$AH131))</f>
        <v/>
      </c>
      <c r="R131">
        <f>IF($AH131="","",IF(AND(ISNUMBER(Q131),Q131&gt;0),AF131&gt;Q131,FALSE))</f>
        <v/>
      </c>
      <c r="S131">
        <f>IF($AH131="","",INDEX('Per Line'!$AH$2:$AH$1601,$AH131)&amp;"")</f>
        <v/>
      </c>
      <c r="T131" s="11">
        <f>IF($AH131="","",INDEX('Per Line'!$AI$2:$AI$1601,$AH131))</f>
        <v/>
      </c>
      <c r="U131">
        <f>IF($AH131="","",Settings!$C$8)</f>
        <v/>
      </c>
      <c r="V131" s="7">
        <f>IF($AH131="","",SUMIFS('Per Line'!$V$2:$V$1601,'Per Line'!$D$2:$D$1601,$B131,'Per Line'!$AN$2:$AN$1601,1))</f>
        <v/>
      </c>
      <c r="W131" s="7">
        <f>IF($AH131="","",V131*U131)</f>
        <v/>
      </c>
      <c r="X131">
        <f>IF($AH131="","",Settings!$C$7)</f>
        <v/>
      </c>
      <c r="Y131" s="7">
        <f>IF($AH131="","",SUMIFS('Per Line'!$V$2:$V$1601,'Per Line'!$D$2:$D$1601,$B131,'Per Line'!$AM$2:$AM$1601,0,'Per Line'!$AN$2:$AN$1601,0))</f>
        <v/>
      </c>
      <c r="Z131" s="7">
        <f>IF($AH131="","",Y131*X131)</f>
        <v/>
      </c>
      <c r="AA131">
        <f>IF($AH131="","",Settings!$C$6)</f>
        <v/>
      </c>
      <c r="AB131" s="7">
        <f>IF($AH131="","",SUMIFS('Per Line'!$V$2:$V$1601,'Per Line'!$D$2:$D$1601,$B131,'Per Line'!$AM$2:$AM$1601,1,'Per Line'!$AN$2:$AN$1601,0))</f>
        <v/>
      </c>
      <c r="AC131" s="7">
        <f>IF($AH131="","",AB131*AA131)</f>
        <v/>
      </c>
      <c r="AD131" s="7">
        <f>IF($AH131="","",AC131+Z131+W131)</f>
        <v/>
      </c>
      <c r="AE131" s="7">
        <f>IF($AH131="","",AF131-AD131)</f>
        <v/>
      </c>
      <c r="AF131" s="7">
        <f>IF($AH131="","",Y131+AB131+V131)</f>
        <v/>
      </c>
      <c r="AG131" s="7">
        <f>IF($AH131="","",AF131-AD131-N131)</f>
        <v/>
      </c>
      <c r="AH131" s="13">
        <f>IF(ROWS($AH$2:$AH131)&lt;=MAX('Per Line'!$AL$2:$AL$1601),MATCH(ROWS($AH$2:$AH131),'Per Line'!$AL$2:$AL$1601,0),"")</f>
        <v/>
      </c>
    </row>
    <row r="132">
      <c r="A132" s="12" t="n"/>
      <c r="B132">
        <f>IF($AH132="","",INDEX('Per Line'!$D$2:$D$1601,$AH132)&amp;"")</f>
        <v/>
      </c>
      <c r="C132">
        <f>IF($AH132="","",INDEX('Per Line'!$A$2:$A$1601,$AH132)&amp;"")</f>
        <v/>
      </c>
      <c r="D132">
        <f>IF($AH132="","",INDEX('Per Line'!$B$2:$B$1601,$AH132))</f>
        <v/>
      </c>
      <c r="E132">
        <f>IF($AH132="","",INDEX('Per Line'!$C$2:$C$1601,$AH132)&amp;"")</f>
        <v/>
      </c>
      <c r="F132">
        <f>IF($AH132="","",INDEX('Per Line'!$E$2:$E$1601,$AH132)&amp;"")</f>
        <v/>
      </c>
      <c r="G132" s="11">
        <f>IF($AH132="","",INDEX('Per Line'!$F$2:$F$1601,$AH132))</f>
        <v/>
      </c>
      <c r="H132">
        <f>IF($AH132="","",INDEX('Per Line'!$G$2:$G$1601,$AH132)&amp;"")</f>
        <v/>
      </c>
      <c r="I132">
        <f>IF($AH132="","",INDEX('Per Line'!$I$2:$I$1601,$AH132)&amp;"")</f>
        <v/>
      </c>
      <c r="J132">
        <f>IF($AH132="","",INDEX('Per Line'!$J$2:$J$1601,$AH132)&amp;"")</f>
        <v/>
      </c>
      <c r="K132">
        <f>IF($AH132="","",INDEX('Per Line'!$K$2:$K$1601,$AH132)&amp;"")</f>
        <v/>
      </c>
      <c r="L132">
        <f>IF($AH132="","",INDEX('Per Line'!$L$2:$L$1601,$AH132)&amp;"")</f>
        <v/>
      </c>
      <c r="M132">
        <f>IF($AH132="","",INDEX('Per Line'!$M$2:$M$1601,$AH132))</f>
        <v/>
      </c>
      <c r="N132" s="7">
        <f>IF($AH132="","",M132*AE132/100)</f>
        <v/>
      </c>
      <c r="O132">
        <f>IF($AH132="","",INDEX('Per Line'!$Z$2:$Z$1601,$AH132)&amp;"")</f>
        <v/>
      </c>
      <c r="P132">
        <f>IF($AH132="","",INDEX('Per Line'!$AC$2:$AC$1601,$AH132)&amp;"")</f>
        <v/>
      </c>
      <c r="Q132">
        <f>IF($AH132="","",INDEX('Per Line'!$AD$2:$AD$1601,$AH132))</f>
        <v/>
      </c>
      <c r="R132">
        <f>IF($AH132="","",IF(AND(ISNUMBER(Q132),Q132&gt;0),AF132&gt;Q132,FALSE))</f>
        <v/>
      </c>
      <c r="S132">
        <f>IF($AH132="","",INDEX('Per Line'!$AH$2:$AH$1601,$AH132)&amp;"")</f>
        <v/>
      </c>
      <c r="T132" s="11">
        <f>IF($AH132="","",INDEX('Per Line'!$AI$2:$AI$1601,$AH132))</f>
        <v/>
      </c>
      <c r="U132">
        <f>IF($AH132="","",Settings!$C$8)</f>
        <v/>
      </c>
      <c r="V132" s="7">
        <f>IF($AH132="","",SUMIFS('Per Line'!$V$2:$V$1601,'Per Line'!$D$2:$D$1601,$B132,'Per Line'!$AN$2:$AN$1601,1))</f>
        <v/>
      </c>
      <c r="W132" s="7">
        <f>IF($AH132="","",V132*U132)</f>
        <v/>
      </c>
      <c r="X132">
        <f>IF($AH132="","",Settings!$C$7)</f>
        <v/>
      </c>
      <c r="Y132" s="7">
        <f>IF($AH132="","",SUMIFS('Per Line'!$V$2:$V$1601,'Per Line'!$D$2:$D$1601,$B132,'Per Line'!$AM$2:$AM$1601,0,'Per Line'!$AN$2:$AN$1601,0))</f>
        <v/>
      </c>
      <c r="Z132" s="7">
        <f>IF($AH132="","",Y132*X132)</f>
        <v/>
      </c>
      <c r="AA132">
        <f>IF($AH132="","",Settings!$C$6)</f>
        <v/>
      </c>
      <c r="AB132" s="7">
        <f>IF($AH132="","",SUMIFS('Per Line'!$V$2:$V$1601,'Per Line'!$D$2:$D$1601,$B132,'Per Line'!$AM$2:$AM$1601,1,'Per Line'!$AN$2:$AN$1601,0))</f>
        <v/>
      </c>
      <c r="AC132" s="7">
        <f>IF($AH132="","",AB132*AA132)</f>
        <v/>
      </c>
      <c r="AD132" s="7">
        <f>IF($AH132="","",AC132+Z132+W132)</f>
        <v/>
      </c>
      <c r="AE132" s="7">
        <f>IF($AH132="","",AF132-AD132)</f>
        <v/>
      </c>
      <c r="AF132" s="7">
        <f>IF($AH132="","",Y132+AB132+V132)</f>
        <v/>
      </c>
      <c r="AG132" s="7">
        <f>IF($AH132="","",AF132-AD132-N132)</f>
        <v/>
      </c>
      <c r="AH132" s="13">
        <f>IF(ROWS($AH$2:$AH132)&lt;=MAX('Per Line'!$AL$2:$AL$1601),MATCH(ROWS($AH$2:$AH132),'Per Line'!$AL$2:$AL$1601,0),"")</f>
        <v/>
      </c>
    </row>
    <row r="133">
      <c r="A133" s="12" t="n"/>
      <c r="B133">
        <f>IF($AH133="","",INDEX('Per Line'!$D$2:$D$1601,$AH133)&amp;"")</f>
        <v/>
      </c>
      <c r="C133">
        <f>IF($AH133="","",INDEX('Per Line'!$A$2:$A$1601,$AH133)&amp;"")</f>
        <v/>
      </c>
      <c r="D133">
        <f>IF($AH133="","",INDEX('Per Line'!$B$2:$B$1601,$AH133))</f>
        <v/>
      </c>
      <c r="E133">
        <f>IF($AH133="","",INDEX('Per Line'!$C$2:$C$1601,$AH133)&amp;"")</f>
        <v/>
      </c>
      <c r="F133">
        <f>IF($AH133="","",INDEX('Per Line'!$E$2:$E$1601,$AH133)&amp;"")</f>
        <v/>
      </c>
      <c r="G133" s="11">
        <f>IF($AH133="","",INDEX('Per Line'!$F$2:$F$1601,$AH133))</f>
        <v/>
      </c>
      <c r="H133">
        <f>IF($AH133="","",INDEX('Per Line'!$G$2:$G$1601,$AH133)&amp;"")</f>
        <v/>
      </c>
      <c r="I133">
        <f>IF($AH133="","",INDEX('Per Line'!$I$2:$I$1601,$AH133)&amp;"")</f>
        <v/>
      </c>
      <c r="J133">
        <f>IF($AH133="","",INDEX('Per Line'!$J$2:$J$1601,$AH133)&amp;"")</f>
        <v/>
      </c>
      <c r="K133">
        <f>IF($AH133="","",INDEX('Per Line'!$K$2:$K$1601,$AH133)&amp;"")</f>
        <v/>
      </c>
      <c r="L133">
        <f>IF($AH133="","",INDEX('Per Line'!$L$2:$L$1601,$AH133)&amp;"")</f>
        <v/>
      </c>
      <c r="M133">
        <f>IF($AH133="","",INDEX('Per Line'!$M$2:$M$1601,$AH133))</f>
        <v/>
      </c>
      <c r="N133" s="7">
        <f>IF($AH133="","",M133*AE133/100)</f>
        <v/>
      </c>
      <c r="O133">
        <f>IF($AH133="","",INDEX('Per Line'!$Z$2:$Z$1601,$AH133)&amp;"")</f>
        <v/>
      </c>
      <c r="P133">
        <f>IF($AH133="","",INDEX('Per Line'!$AC$2:$AC$1601,$AH133)&amp;"")</f>
        <v/>
      </c>
      <c r="Q133">
        <f>IF($AH133="","",INDEX('Per Line'!$AD$2:$AD$1601,$AH133))</f>
        <v/>
      </c>
      <c r="R133">
        <f>IF($AH133="","",IF(AND(ISNUMBER(Q133),Q133&gt;0),AF133&gt;Q133,FALSE))</f>
        <v/>
      </c>
      <c r="S133">
        <f>IF($AH133="","",INDEX('Per Line'!$AH$2:$AH$1601,$AH133)&amp;"")</f>
        <v/>
      </c>
      <c r="T133" s="11">
        <f>IF($AH133="","",INDEX('Per Line'!$AI$2:$AI$1601,$AH133))</f>
        <v/>
      </c>
      <c r="U133">
        <f>IF($AH133="","",Settings!$C$8)</f>
        <v/>
      </c>
      <c r="V133" s="7">
        <f>IF($AH133="","",SUMIFS('Per Line'!$V$2:$V$1601,'Per Line'!$D$2:$D$1601,$B133,'Per Line'!$AN$2:$AN$1601,1))</f>
        <v/>
      </c>
      <c r="W133" s="7">
        <f>IF($AH133="","",V133*U133)</f>
        <v/>
      </c>
      <c r="X133">
        <f>IF($AH133="","",Settings!$C$7)</f>
        <v/>
      </c>
      <c r="Y133" s="7">
        <f>IF($AH133="","",SUMIFS('Per Line'!$V$2:$V$1601,'Per Line'!$D$2:$D$1601,$B133,'Per Line'!$AM$2:$AM$1601,0,'Per Line'!$AN$2:$AN$1601,0))</f>
        <v/>
      </c>
      <c r="Z133" s="7">
        <f>IF($AH133="","",Y133*X133)</f>
        <v/>
      </c>
      <c r="AA133">
        <f>IF($AH133="","",Settings!$C$6)</f>
        <v/>
      </c>
      <c r="AB133" s="7">
        <f>IF($AH133="","",SUMIFS('Per Line'!$V$2:$V$1601,'Per Line'!$D$2:$D$1601,$B133,'Per Line'!$AM$2:$AM$1601,1,'Per Line'!$AN$2:$AN$1601,0))</f>
        <v/>
      </c>
      <c r="AC133" s="7">
        <f>IF($AH133="","",AB133*AA133)</f>
        <v/>
      </c>
      <c r="AD133" s="7">
        <f>IF($AH133="","",AC133+Z133+W133)</f>
        <v/>
      </c>
      <c r="AE133" s="7">
        <f>IF($AH133="","",AF133-AD133)</f>
        <v/>
      </c>
      <c r="AF133" s="7">
        <f>IF($AH133="","",Y133+AB133+V133)</f>
        <v/>
      </c>
      <c r="AG133" s="7">
        <f>IF($AH133="","",AF133-AD133-N133)</f>
        <v/>
      </c>
      <c r="AH133" s="13">
        <f>IF(ROWS($AH$2:$AH133)&lt;=MAX('Per Line'!$AL$2:$AL$1601),MATCH(ROWS($AH$2:$AH133),'Per Line'!$AL$2:$AL$1601,0),"")</f>
        <v/>
      </c>
    </row>
    <row r="134">
      <c r="A134" s="12" t="n"/>
      <c r="B134">
        <f>IF($AH134="","",INDEX('Per Line'!$D$2:$D$1601,$AH134)&amp;"")</f>
        <v/>
      </c>
      <c r="C134">
        <f>IF($AH134="","",INDEX('Per Line'!$A$2:$A$1601,$AH134)&amp;"")</f>
        <v/>
      </c>
      <c r="D134">
        <f>IF($AH134="","",INDEX('Per Line'!$B$2:$B$1601,$AH134))</f>
        <v/>
      </c>
      <c r="E134">
        <f>IF($AH134="","",INDEX('Per Line'!$C$2:$C$1601,$AH134)&amp;"")</f>
        <v/>
      </c>
      <c r="F134">
        <f>IF($AH134="","",INDEX('Per Line'!$E$2:$E$1601,$AH134)&amp;"")</f>
        <v/>
      </c>
      <c r="G134" s="11">
        <f>IF($AH134="","",INDEX('Per Line'!$F$2:$F$1601,$AH134))</f>
        <v/>
      </c>
      <c r="H134">
        <f>IF($AH134="","",INDEX('Per Line'!$G$2:$G$1601,$AH134)&amp;"")</f>
        <v/>
      </c>
      <c r="I134">
        <f>IF($AH134="","",INDEX('Per Line'!$I$2:$I$1601,$AH134)&amp;"")</f>
        <v/>
      </c>
      <c r="J134">
        <f>IF($AH134="","",INDEX('Per Line'!$J$2:$J$1601,$AH134)&amp;"")</f>
        <v/>
      </c>
      <c r="K134">
        <f>IF($AH134="","",INDEX('Per Line'!$K$2:$K$1601,$AH134)&amp;"")</f>
        <v/>
      </c>
      <c r="L134">
        <f>IF($AH134="","",INDEX('Per Line'!$L$2:$L$1601,$AH134)&amp;"")</f>
        <v/>
      </c>
      <c r="M134">
        <f>IF($AH134="","",INDEX('Per Line'!$M$2:$M$1601,$AH134))</f>
        <v/>
      </c>
      <c r="N134" s="7">
        <f>IF($AH134="","",M134*AE134/100)</f>
        <v/>
      </c>
      <c r="O134">
        <f>IF($AH134="","",INDEX('Per Line'!$Z$2:$Z$1601,$AH134)&amp;"")</f>
        <v/>
      </c>
      <c r="P134">
        <f>IF($AH134="","",INDEX('Per Line'!$AC$2:$AC$1601,$AH134)&amp;"")</f>
        <v/>
      </c>
      <c r="Q134">
        <f>IF($AH134="","",INDEX('Per Line'!$AD$2:$AD$1601,$AH134))</f>
        <v/>
      </c>
      <c r="R134">
        <f>IF($AH134="","",IF(AND(ISNUMBER(Q134),Q134&gt;0),AF134&gt;Q134,FALSE))</f>
        <v/>
      </c>
      <c r="S134">
        <f>IF($AH134="","",INDEX('Per Line'!$AH$2:$AH$1601,$AH134)&amp;"")</f>
        <v/>
      </c>
      <c r="T134" s="11">
        <f>IF($AH134="","",INDEX('Per Line'!$AI$2:$AI$1601,$AH134))</f>
        <v/>
      </c>
      <c r="U134">
        <f>IF($AH134="","",Settings!$C$8)</f>
        <v/>
      </c>
      <c r="V134" s="7">
        <f>IF($AH134="","",SUMIFS('Per Line'!$V$2:$V$1601,'Per Line'!$D$2:$D$1601,$B134,'Per Line'!$AN$2:$AN$1601,1))</f>
        <v/>
      </c>
      <c r="W134" s="7">
        <f>IF($AH134="","",V134*U134)</f>
        <v/>
      </c>
      <c r="X134">
        <f>IF($AH134="","",Settings!$C$7)</f>
        <v/>
      </c>
      <c r="Y134" s="7">
        <f>IF($AH134="","",SUMIFS('Per Line'!$V$2:$V$1601,'Per Line'!$D$2:$D$1601,$B134,'Per Line'!$AM$2:$AM$1601,0,'Per Line'!$AN$2:$AN$1601,0))</f>
        <v/>
      </c>
      <c r="Z134" s="7">
        <f>IF($AH134="","",Y134*X134)</f>
        <v/>
      </c>
      <c r="AA134">
        <f>IF($AH134="","",Settings!$C$6)</f>
        <v/>
      </c>
      <c r="AB134" s="7">
        <f>IF($AH134="","",SUMIFS('Per Line'!$V$2:$V$1601,'Per Line'!$D$2:$D$1601,$B134,'Per Line'!$AM$2:$AM$1601,1,'Per Line'!$AN$2:$AN$1601,0))</f>
        <v/>
      </c>
      <c r="AC134" s="7">
        <f>IF($AH134="","",AB134*AA134)</f>
        <v/>
      </c>
      <c r="AD134" s="7">
        <f>IF($AH134="","",AC134+Z134+W134)</f>
        <v/>
      </c>
      <c r="AE134" s="7">
        <f>IF($AH134="","",AF134-AD134)</f>
        <v/>
      </c>
      <c r="AF134" s="7">
        <f>IF($AH134="","",Y134+AB134+V134)</f>
        <v/>
      </c>
      <c r="AG134" s="7">
        <f>IF($AH134="","",AF134-AD134-N134)</f>
        <v/>
      </c>
      <c r="AH134" s="13">
        <f>IF(ROWS($AH$2:$AH134)&lt;=MAX('Per Line'!$AL$2:$AL$1601),MATCH(ROWS($AH$2:$AH134),'Per Line'!$AL$2:$AL$1601,0),"")</f>
        <v/>
      </c>
    </row>
    <row r="135">
      <c r="A135" s="12" t="n"/>
      <c r="B135">
        <f>IF($AH135="","",INDEX('Per Line'!$D$2:$D$1601,$AH135)&amp;"")</f>
        <v/>
      </c>
      <c r="C135">
        <f>IF($AH135="","",INDEX('Per Line'!$A$2:$A$1601,$AH135)&amp;"")</f>
        <v/>
      </c>
      <c r="D135">
        <f>IF($AH135="","",INDEX('Per Line'!$B$2:$B$1601,$AH135))</f>
        <v/>
      </c>
      <c r="E135">
        <f>IF($AH135="","",INDEX('Per Line'!$C$2:$C$1601,$AH135)&amp;"")</f>
        <v/>
      </c>
      <c r="F135">
        <f>IF($AH135="","",INDEX('Per Line'!$E$2:$E$1601,$AH135)&amp;"")</f>
        <v/>
      </c>
      <c r="G135" s="11">
        <f>IF($AH135="","",INDEX('Per Line'!$F$2:$F$1601,$AH135))</f>
        <v/>
      </c>
      <c r="H135">
        <f>IF($AH135="","",INDEX('Per Line'!$G$2:$G$1601,$AH135)&amp;"")</f>
        <v/>
      </c>
      <c r="I135">
        <f>IF($AH135="","",INDEX('Per Line'!$I$2:$I$1601,$AH135)&amp;"")</f>
        <v/>
      </c>
      <c r="J135">
        <f>IF($AH135="","",INDEX('Per Line'!$J$2:$J$1601,$AH135)&amp;"")</f>
        <v/>
      </c>
      <c r="K135">
        <f>IF($AH135="","",INDEX('Per Line'!$K$2:$K$1601,$AH135)&amp;"")</f>
        <v/>
      </c>
      <c r="L135">
        <f>IF($AH135="","",INDEX('Per Line'!$L$2:$L$1601,$AH135)&amp;"")</f>
        <v/>
      </c>
      <c r="M135">
        <f>IF($AH135="","",INDEX('Per Line'!$M$2:$M$1601,$AH135))</f>
        <v/>
      </c>
      <c r="N135" s="7">
        <f>IF($AH135="","",M135*AE135/100)</f>
        <v/>
      </c>
      <c r="O135">
        <f>IF($AH135="","",INDEX('Per Line'!$Z$2:$Z$1601,$AH135)&amp;"")</f>
        <v/>
      </c>
      <c r="P135">
        <f>IF($AH135="","",INDEX('Per Line'!$AC$2:$AC$1601,$AH135)&amp;"")</f>
        <v/>
      </c>
      <c r="Q135">
        <f>IF($AH135="","",INDEX('Per Line'!$AD$2:$AD$1601,$AH135))</f>
        <v/>
      </c>
      <c r="R135">
        <f>IF($AH135="","",IF(AND(ISNUMBER(Q135),Q135&gt;0),AF135&gt;Q135,FALSE))</f>
        <v/>
      </c>
      <c r="S135">
        <f>IF($AH135="","",INDEX('Per Line'!$AH$2:$AH$1601,$AH135)&amp;"")</f>
        <v/>
      </c>
      <c r="T135" s="11">
        <f>IF($AH135="","",INDEX('Per Line'!$AI$2:$AI$1601,$AH135))</f>
        <v/>
      </c>
      <c r="U135">
        <f>IF($AH135="","",Settings!$C$8)</f>
        <v/>
      </c>
      <c r="V135" s="7">
        <f>IF($AH135="","",SUMIFS('Per Line'!$V$2:$V$1601,'Per Line'!$D$2:$D$1601,$B135,'Per Line'!$AN$2:$AN$1601,1))</f>
        <v/>
      </c>
      <c r="W135" s="7">
        <f>IF($AH135="","",V135*U135)</f>
        <v/>
      </c>
      <c r="X135">
        <f>IF($AH135="","",Settings!$C$7)</f>
        <v/>
      </c>
      <c r="Y135" s="7">
        <f>IF($AH135="","",SUMIFS('Per Line'!$V$2:$V$1601,'Per Line'!$D$2:$D$1601,$B135,'Per Line'!$AM$2:$AM$1601,0,'Per Line'!$AN$2:$AN$1601,0))</f>
        <v/>
      </c>
      <c r="Z135" s="7">
        <f>IF($AH135="","",Y135*X135)</f>
        <v/>
      </c>
      <c r="AA135">
        <f>IF($AH135="","",Settings!$C$6)</f>
        <v/>
      </c>
      <c r="AB135" s="7">
        <f>IF($AH135="","",SUMIFS('Per Line'!$V$2:$V$1601,'Per Line'!$D$2:$D$1601,$B135,'Per Line'!$AM$2:$AM$1601,1,'Per Line'!$AN$2:$AN$1601,0))</f>
        <v/>
      </c>
      <c r="AC135" s="7">
        <f>IF($AH135="","",AB135*AA135)</f>
        <v/>
      </c>
      <c r="AD135" s="7">
        <f>IF($AH135="","",AC135+Z135+W135)</f>
        <v/>
      </c>
      <c r="AE135" s="7">
        <f>IF($AH135="","",AF135-AD135)</f>
        <v/>
      </c>
      <c r="AF135" s="7">
        <f>IF($AH135="","",Y135+AB135+V135)</f>
        <v/>
      </c>
      <c r="AG135" s="7">
        <f>IF($AH135="","",AF135-AD135-N135)</f>
        <v/>
      </c>
      <c r="AH135" s="13">
        <f>IF(ROWS($AH$2:$AH135)&lt;=MAX('Per Line'!$AL$2:$AL$1601),MATCH(ROWS($AH$2:$AH135),'Per Line'!$AL$2:$AL$1601,0),"")</f>
        <v/>
      </c>
    </row>
    <row r="136">
      <c r="A136" s="12" t="n"/>
      <c r="B136">
        <f>IF($AH136="","",INDEX('Per Line'!$D$2:$D$1601,$AH136)&amp;"")</f>
        <v/>
      </c>
      <c r="C136">
        <f>IF($AH136="","",INDEX('Per Line'!$A$2:$A$1601,$AH136)&amp;"")</f>
        <v/>
      </c>
      <c r="D136">
        <f>IF($AH136="","",INDEX('Per Line'!$B$2:$B$1601,$AH136))</f>
        <v/>
      </c>
      <c r="E136">
        <f>IF($AH136="","",INDEX('Per Line'!$C$2:$C$1601,$AH136)&amp;"")</f>
        <v/>
      </c>
      <c r="F136">
        <f>IF($AH136="","",INDEX('Per Line'!$E$2:$E$1601,$AH136)&amp;"")</f>
        <v/>
      </c>
      <c r="G136" s="11">
        <f>IF($AH136="","",INDEX('Per Line'!$F$2:$F$1601,$AH136))</f>
        <v/>
      </c>
      <c r="H136">
        <f>IF($AH136="","",INDEX('Per Line'!$G$2:$G$1601,$AH136)&amp;"")</f>
        <v/>
      </c>
      <c r="I136">
        <f>IF($AH136="","",INDEX('Per Line'!$I$2:$I$1601,$AH136)&amp;"")</f>
        <v/>
      </c>
      <c r="J136">
        <f>IF($AH136="","",INDEX('Per Line'!$J$2:$J$1601,$AH136)&amp;"")</f>
        <v/>
      </c>
      <c r="K136">
        <f>IF($AH136="","",INDEX('Per Line'!$K$2:$K$1601,$AH136)&amp;"")</f>
        <v/>
      </c>
      <c r="L136">
        <f>IF($AH136="","",INDEX('Per Line'!$L$2:$L$1601,$AH136)&amp;"")</f>
        <v/>
      </c>
      <c r="M136">
        <f>IF($AH136="","",INDEX('Per Line'!$M$2:$M$1601,$AH136))</f>
        <v/>
      </c>
      <c r="N136" s="7">
        <f>IF($AH136="","",M136*AE136/100)</f>
        <v/>
      </c>
      <c r="O136">
        <f>IF($AH136="","",INDEX('Per Line'!$Z$2:$Z$1601,$AH136)&amp;"")</f>
        <v/>
      </c>
      <c r="P136">
        <f>IF($AH136="","",INDEX('Per Line'!$AC$2:$AC$1601,$AH136)&amp;"")</f>
        <v/>
      </c>
      <c r="Q136">
        <f>IF($AH136="","",INDEX('Per Line'!$AD$2:$AD$1601,$AH136))</f>
        <v/>
      </c>
      <c r="R136">
        <f>IF($AH136="","",IF(AND(ISNUMBER(Q136),Q136&gt;0),AF136&gt;Q136,FALSE))</f>
        <v/>
      </c>
      <c r="S136">
        <f>IF($AH136="","",INDEX('Per Line'!$AH$2:$AH$1601,$AH136)&amp;"")</f>
        <v/>
      </c>
      <c r="T136" s="11">
        <f>IF($AH136="","",INDEX('Per Line'!$AI$2:$AI$1601,$AH136))</f>
        <v/>
      </c>
      <c r="U136">
        <f>IF($AH136="","",Settings!$C$8)</f>
        <v/>
      </c>
      <c r="V136" s="7">
        <f>IF($AH136="","",SUMIFS('Per Line'!$V$2:$V$1601,'Per Line'!$D$2:$D$1601,$B136,'Per Line'!$AN$2:$AN$1601,1))</f>
        <v/>
      </c>
      <c r="W136" s="7">
        <f>IF($AH136="","",V136*U136)</f>
        <v/>
      </c>
      <c r="X136">
        <f>IF($AH136="","",Settings!$C$7)</f>
        <v/>
      </c>
      <c r="Y136" s="7">
        <f>IF($AH136="","",SUMIFS('Per Line'!$V$2:$V$1601,'Per Line'!$D$2:$D$1601,$B136,'Per Line'!$AM$2:$AM$1601,0,'Per Line'!$AN$2:$AN$1601,0))</f>
        <v/>
      </c>
      <c r="Z136" s="7">
        <f>IF($AH136="","",Y136*X136)</f>
        <v/>
      </c>
      <c r="AA136">
        <f>IF($AH136="","",Settings!$C$6)</f>
        <v/>
      </c>
      <c r="AB136" s="7">
        <f>IF($AH136="","",SUMIFS('Per Line'!$V$2:$V$1601,'Per Line'!$D$2:$D$1601,$B136,'Per Line'!$AM$2:$AM$1601,1,'Per Line'!$AN$2:$AN$1601,0))</f>
        <v/>
      </c>
      <c r="AC136" s="7">
        <f>IF($AH136="","",AB136*AA136)</f>
        <v/>
      </c>
      <c r="AD136" s="7">
        <f>IF($AH136="","",AC136+Z136+W136)</f>
        <v/>
      </c>
      <c r="AE136" s="7">
        <f>IF($AH136="","",AF136-AD136)</f>
        <v/>
      </c>
      <c r="AF136" s="7">
        <f>IF($AH136="","",Y136+AB136+V136)</f>
        <v/>
      </c>
      <c r="AG136" s="7">
        <f>IF($AH136="","",AF136-AD136-N136)</f>
        <v/>
      </c>
      <c r="AH136" s="13">
        <f>IF(ROWS($AH$2:$AH136)&lt;=MAX('Per Line'!$AL$2:$AL$1601),MATCH(ROWS($AH$2:$AH136),'Per Line'!$AL$2:$AL$1601,0),"")</f>
        <v/>
      </c>
    </row>
    <row r="137">
      <c r="A137" s="12" t="n"/>
      <c r="B137">
        <f>IF($AH137="","",INDEX('Per Line'!$D$2:$D$1601,$AH137)&amp;"")</f>
        <v/>
      </c>
      <c r="C137">
        <f>IF($AH137="","",INDEX('Per Line'!$A$2:$A$1601,$AH137)&amp;"")</f>
        <v/>
      </c>
      <c r="D137">
        <f>IF($AH137="","",INDEX('Per Line'!$B$2:$B$1601,$AH137))</f>
        <v/>
      </c>
      <c r="E137">
        <f>IF($AH137="","",INDEX('Per Line'!$C$2:$C$1601,$AH137)&amp;"")</f>
        <v/>
      </c>
      <c r="F137">
        <f>IF($AH137="","",INDEX('Per Line'!$E$2:$E$1601,$AH137)&amp;"")</f>
        <v/>
      </c>
      <c r="G137" s="11">
        <f>IF($AH137="","",INDEX('Per Line'!$F$2:$F$1601,$AH137))</f>
        <v/>
      </c>
      <c r="H137">
        <f>IF($AH137="","",INDEX('Per Line'!$G$2:$G$1601,$AH137)&amp;"")</f>
        <v/>
      </c>
      <c r="I137">
        <f>IF($AH137="","",INDEX('Per Line'!$I$2:$I$1601,$AH137)&amp;"")</f>
        <v/>
      </c>
      <c r="J137">
        <f>IF($AH137="","",INDEX('Per Line'!$J$2:$J$1601,$AH137)&amp;"")</f>
        <v/>
      </c>
      <c r="K137">
        <f>IF($AH137="","",INDEX('Per Line'!$K$2:$K$1601,$AH137)&amp;"")</f>
        <v/>
      </c>
      <c r="L137">
        <f>IF($AH137="","",INDEX('Per Line'!$L$2:$L$1601,$AH137)&amp;"")</f>
        <v/>
      </c>
      <c r="M137">
        <f>IF($AH137="","",INDEX('Per Line'!$M$2:$M$1601,$AH137))</f>
        <v/>
      </c>
      <c r="N137" s="7">
        <f>IF($AH137="","",M137*AE137/100)</f>
        <v/>
      </c>
      <c r="O137">
        <f>IF($AH137="","",INDEX('Per Line'!$Z$2:$Z$1601,$AH137)&amp;"")</f>
        <v/>
      </c>
      <c r="P137">
        <f>IF($AH137="","",INDEX('Per Line'!$AC$2:$AC$1601,$AH137)&amp;"")</f>
        <v/>
      </c>
      <c r="Q137">
        <f>IF($AH137="","",INDEX('Per Line'!$AD$2:$AD$1601,$AH137))</f>
        <v/>
      </c>
      <c r="R137">
        <f>IF($AH137="","",IF(AND(ISNUMBER(Q137),Q137&gt;0),AF137&gt;Q137,FALSE))</f>
        <v/>
      </c>
      <c r="S137">
        <f>IF($AH137="","",INDEX('Per Line'!$AH$2:$AH$1601,$AH137)&amp;"")</f>
        <v/>
      </c>
      <c r="T137" s="11">
        <f>IF($AH137="","",INDEX('Per Line'!$AI$2:$AI$1601,$AH137))</f>
        <v/>
      </c>
      <c r="U137">
        <f>IF($AH137="","",Settings!$C$8)</f>
        <v/>
      </c>
      <c r="V137" s="7">
        <f>IF($AH137="","",SUMIFS('Per Line'!$V$2:$V$1601,'Per Line'!$D$2:$D$1601,$B137,'Per Line'!$AN$2:$AN$1601,1))</f>
        <v/>
      </c>
      <c r="W137" s="7">
        <f>IF($AH137="","",V137*U137)</f>
        <v/>
      </c>
      <c r="X137">
        <f>IF($AH137="","",Settings!$C$7)</f>
        <v/>
      </c>
      <c r="Y137" s="7">
        <f>IF($AH137="","",SUMIFS('Per Line'!$V$2:$V$1601,'Per Line'!$D$2:$D$1601,$B137,'Per Line'!$AM$2:$AM$1601,0,'Per Line'!$AN$2:$AN$1601,0))</f>
        <v/>
      </c>
      <c r="Z137" s="7">
        <f>IF($AH137="","",Y137*X137)</f>
        <v/>
      </c>
      <c r="AA137">
        <f>IF($AH137="","",Settings!$C$6)</f>
        <v/>
      </c>
      <c r="AB137" s="7">
        <f>IF($AH137="","",SUMIFS('Per Line'!$V$2:$V$1601,'Per Line'!$D$2:$D$1601,$B137,'Per Line'!$AM$2:$AM$1601,1,'Per Line'!$AN$2:$AN$1601,0))</f>
        <v/>
      </c>
      <c r="AC137" s="7">
        <f>IF($AH137="","",AB137*AA137)</f>
        <v/>
      </c>
      <c r="AD137" s="7">
        <f>IF($AH137="","",AC137+Z137+W137)</f>
        <v/>
      </c>
      <c r="AE137" s="7">
        <f>IF($AH137="","",AF137-AD137)</f>
        <v/>
      </c>
      <c r="AF137" s="7">
        <f>IF($AH137="","",Y137+AB137+V137)</f>
        <v/>
      </c>
      <c r="AG137" s="7">
        <f>IF($AH137="","",AF137-AD137-N137)</f>
        <v/>
      </c>
      <c r="AH137" s="13">
        <f>IF(ROWS($AH$2:$AH137)&lt;=MAX('Per Line'!$AL$2:$AL$1601),MATCH(ROWS($AH$2:$AH137),'Per Line'!$AL$2:$AL$1601,0),"")</f>
        <v/>
      </c>
    </row>
    <row r="138">
      <c r="A138" s="12" t="n"/>
      <c r="B138">
        <f>IF($AH138="","",INDEX('Per Line'!$D$2:$D$1601,$AH138)&amp;"")</f>
        <v/>
      </c>
      <c r="C138">
        <f>IF($AH138="","",INDEX('Per Line'!$A$2:$A$1601,$AH138)&amp;"")</f>
        <v/>
      </c>
      <c r="D138">
        <f>IF($AH138="","",INDEX('Per Line'!$B$2:$B$1601,$AH138))</f>
        <v/>
      </c>
      <c r="E138">
        <f>IF($AH138="","",INDEX('Per Line'!$C$2:$C$1601,$AH138)&amp;"")</f>
        <v/>
      </c>
      <c r="F138">
        <f>IF($AH138="","",INDEX('Per Line'!$E$2:$E$1601,$AH138)&amp;"")</f>
        <v/>
      </c>
      <c r="G138" s="11">
        <f>IF($AH138="","",INDEX('Per Line'!$F$2:$F$1601,$AH138))</f>
        <v/>
      </c>
      <c r="H138">
        <f>IF($AH138="","",INDEX('Per Line'!$G$2:$G$1601,$AH138)&amp;"")</f>
        <v/>
      </c>
      <c r="I138">
        <f>IF($AH138="","",INDEX('Per Line'!$I$2:$I$1601,$AH138)&amp;"")</f>
        <v/>
      </c>
      <c r="J138">
        <f>IF($AH138="","",INDEX('Per Line'!$J$2:$J$1601,$AH138)&amp;"")</f>
        <v/>
      </c>
      <c r="K138">
        <f>IF($AH138="","",INDEX('Per Line'!$K$2:$K$1601,$AH138)&amp;"")</f>
        <v/>
      </c>
      <c r="L138">
        <f>IF($AH138="","",INDEX('Per Line'!$L$2:$L$1601,$AH138)&amp;"")</f>
        <v/>
      </c>
      <c r="M138">
        <f>IF($AH138="","",INDEX('Per Line'!$M$2:$M$1601,$AH138))</f>
        <v/>
      </c>
      <c r="N138" s="7">
        <f>IF($AH138="","",M138*AE138/100)</f>
        <v/>
      </c>
      <c r="O138">
        <f>IF($AH138="","",INDEX('Per Line'!$Z$2:$Z$1601,$AH138)&amp;"")</f>
        <v/>
      </c>
      <c r="P138">
        <f>IF($AH138="","",INDEX('Per Line'!$AC$2:$AC$1601,$AH138)&amp;"")</f>
        <v/>
      </c>
      <c r="Q138">
        <f>IF($AH138="","",INDEX('Per Line'!$AD$2:$AD$1601,$AH138))</f>
        <v/>
      </c>
      <c r="R138">
        <f>IF($AH138="","",IF(AND(ISNUMBER(Q138),Q138&gt;0),AF138&gt;Q138,FALSE))</f>
        <v/>
      </c>
      <c r="S138">
        <f>IF($AH138="","",INDEX('Per Line'!$AH$2:$AH$1601,$AH138)&amp;"")</f>
        <v/>
      </c>
      <c r="T138" s="11">
        <f>IF($AH138="","",INDEX('Per Line'!$AI$2:$AI$1601,$AH138))</f>
        <v/>
      </c>
      <c r="U138">
        <f>IF($AH138="","",Settings!$C$8)</f>
        <v/>
      </c>
      <c r="V138" s="7">
        <f>IF($AH138="","",SUMIFS('Per Line'!$V$2:$V$1601,'Per Line'!$D$2:$D$1601,$B138,'Per Line'!$AN$2:$AN$1601,1))</f>
        <v/>
      </c>
      <c r="W138" s="7">
        <f>IF($AH138="","",V138*U138)</f>
        <v/>
      </c>
      <c r="X138">
        <f>IF($AH138="","",Settings!$C$7)</f>
        <v/>
      </c>
      <c r="Y138" s="7">
        <f>IF($AH138="","",SUMIFS('Per Line'!$V$2:$V$1601,'Per Line'!$D$2:$D$1601,$B138,'Per Line'!$AM$2:$AM$1601,0,'Per Line'!$AN$2:$AN$1601,0))</f>
        <v/>
      </c>
      <c r="Z138" s="7">
        <f>IF($AH138="","",Y138*X138)</f>
        <v/>
      </c>
      <c r="AA138">
        <f>IF($AH138="","",Settings!$C$6)</f>
        <v/>
      </c>
      <c r="AB138" s="7">
        <f>IF($AH138="","",SUMIFS('Per Line'!$V$2:$V$1601,'Per Line'!$D$2:$D$1601,$B138,'Per Line'!$AM$2:$AM$1601,1,'Per Line'!$AN$2:$AN$1601,0))</f>
        <v/>
      </c>
      <c r="AC138" s="7">
        <f>IF($AH138="","",AB138*AA138)</f>
        <v/>
      </c>
      <c r="AD138" s="7">
        <f>IF($AH138="","",AC138+Z138+W138)</f>
        <v/>
      </c>
      <c r="AE138" s="7">
        <f>IF($AH138="","",AF138-AD138)</f>
        <v/>
      </c>
      <c r="AF138" s="7">
        <f>IF($AH138="","",Y138+AB138+V138)</f>
        <v/>
      </c>
      <c r="AG138" s="7">
        <f>IF($AH138="","",AF138-AD138-N138)</f>
        <v/>
      </c>
      <c r="AH138" s="13">
        <f>IF(ROWS($AH$2:$AH138)&lt;=MAX('Per Line'!$AL$2:$AL$1601),MATCH(ROWS($AH$2:$AH138),'Per Line'!$AL$2:$AL$1601,0),"")</f>
        <v/>
      </c>
    </row>
    <row r="139">
      <c r="A139" s="12" t="n"/>
      <c r="B139">
        <f>IF($AH139="","",INDEX('Per Line'!$D$2:$D$1601,$AH139)&amp;"")</f>
        <v/>
      </c>
      <c r="C139">
        <f>IF($AH139="","",INDEX('Per Line'!$A$2:$A$1601,$AH139)&amp;"")</f>
        <v/>
      </c>
      <c r="D139">
        <f>IF($AH139="","",INDEX('Per Line'!$B$2:$B$1601,$AH139))</f>
        <v/>
      </c>
      <c r="E139">
        <f>IF($AH139="","",INDEX('Per Line'!$C$2:$C$1601,$AH139)&amp;"")</f>
        <v/>
      </c>
      <c r="F139">
        <f>IF($AH139="","",INDEX('Per Line'!$E$2:$E$1601,$AH139)&amp;"")</f>
        <v/>
      </c>
      <c r="G139" s="11">
        <f>IF($AH139="","",INDEX('Per Line'!$F$2:$F$1601,$AH139))</f>
        <v/>
      </c>
      <c r="H139">
        <f>IF($AH139="","",INDEX('Per Line'!$G$2:$G$1601,$AH139)&amp;"")</f>
        <v/>
      </c>
      <c r="I139">
        <f>IF($AH139="","",INDEX('Per Line'!$I$2:$I$1601,$AH139)&amp;"")</f>
        <v/>
      </c>
      <c r="J139">
        <f>IF($AH139="","",INDEX('Per Line'!$J$2:$J$1601,$AH139)&amp;"")</f>
        <v/>
      </c>
      <c r="K139">
        <f>IF($AH139="","",INDEX('Per Line'!$K$2:$K$1601,$AH139)&amp;"")</f>
        <v/>
      </c>
      <c r="L139">
        <f>IF($AH139="","",INDEX('Per Line'!$L$2:$L$1601,$AH139)&amp;"")</f>
        <v/>
      </c>
      <c r="M139">
        <f>IF($AH139="","",INDEX('Per Line'!$M$2:$M$1601,$AH139))</f>
        <v/>
      </c>
      <c r="N139" s="7">
        <f>IF($AH139="","",M139*AE139/100)</f>
        <v/>
      </c>
      <c r="O139">
        <f>IF($AH139="","",INDEX('Per Line'!$Z$2:$Z$1601,$AH139)&amp;"")</f>
        <v/>
      </c>
      <c r="P139">
        <f>IF($AH139="","",INDEX('Per Line'!$AC$2:$AC$1601,$AH139)&amp;"")</f>
        <v/>
      </c>
      <c r="Q139">
        <f>IF($AH139="","",INDEX('Per Line'!$AD$2:$AD$1601,$AH139))</f>
        <v/>
      </c>
      <c r="R139">
        <f>IF($AH139="","",IF(AND(ISNUMBER(Q139),Q139&gt;0),AF139&gt;Q139,FALSE))</f>
        <v/>
      </c>
      <c r="S139">
        <f>IF($AH139="","",INDEX('Per Line'!$AH$2:$AH$1601,$AH139)&amp;"")</f>
        <v/>
      </c>
      <c r="T139" s="11">
        <f>IF($AH139="","",INDEX('Per Line'!$AI$2:$AI$1601,$AH139))</f>
        <v/>
      </c>
      <c r="U139">
        <f>IF($AH139="","",Settings!$C$8)</f>
        <v/>
      </c>
      <c r="V139" s="7">
        <f>IF($AH139="","",SUMIFS('Per Line'!$V$2:$V$1601,'Per Line'!$D$2:$D$1601,$B139,'Per Line'!$AN$2:$AN$1601,1))</f>
        <v/>
      </c>
      <c r="W139" s="7">
        <f>IF($AH139="","",V139*U139)</f>
        <v/>
      </c>
      <c r="X139">
        <f>IF($AH139="","",Settings!$C$7)</f>
        <v/>
      </c>
      <c r="Y139" s="7">
        <f>IF($AH139="","",SUMIFS('Per Line'!$V$2:$V$1601,'Per Line'!$D$2:$D$1601,$B139,'Per Line'!$AM$2:$AM$1601,0,'Per Line'!$AN$2:$AN$1601,0))</f>
        <v/>
      </c>
      <c r="Z139" s="7">
        <f>IF($AH139="","",Y139*X139)</f>
        <v/>
      </c>
      <c r="AA139">
        <f>IF($AH139="","",Settings!$C$6)</f>
        <v/>
      </c>
      <c r="AB139" s="7">
        <f>IF($AH139="","",SUMIFS('Per Line'!$V$2:$V$1601,'Per Line'!$D$2:$D$1601,$B139,'Per Line'!$AM$2:$AM$1601,1,'Per Line'!$AN$2:$AN$1601,0))</f>
        <v/>
      </c>
      <c r="AC139" s="7">
        <f>IF($AH139="","",AB139*AA139)</f>
        <v/>
      </c>
      <c r="AD139" s="7">
        <f>IF($AH139="","",AC139+Z139+W139)</f>
        <v/>
      </c>
      <c r="AE139" s="7">
        <f>IF($AH139="","",AF139-AD139)</f>
        <v/>
      </c>
      <c r="AF139" s="7">
        <f>IF($AH139="","",Y139+AB139+V139)</f>
        <v/>
      </c>
      <c r="AG139" s="7">
        <f>IF($AH139="","",AF139-AD139-N139)</f>
        <v/>
      </c>
      <c r="AH139" s="13">
        <f>IF(ROWS($AH$2:$AH139)&lt;=MAX('Per Line'!$AL$2:$AL$1601),MATCH(ROWS($AH$2:$AH139),'Per Line'!$AL$2:$AL$1601,0),"")</f>
        <v/>
      </c>
    </row>
    <row r="140">
      <c r="A140" s="12" t="n"/>
      <c r="B140">
        <f>IF($AH140="","",INDEX('Per Line'!$D$2:$D$1601,$AH140)&amp;"")</f>
        <v/>
      </c>
      <c r="C140">
        <f>IF($AH140="","",INDEX('Per Line'!$A$2:$A$1601,$AH140)&amp;"")</f>
        <v/>
      </c>
      <c r="D140">
        <f>IF($AH140="","",INDEX('Per Line'!$B$2:$B$1601,$AH140))</f>
        <v/>
      </c>
      <c r="E140">
        <f>IF($AH140="","",INDEX('Per Line'!$C$2:$C$1601,$AH140)&amp;"")</f>
        <v/>
      </c>
      <c r="F140">
        <f>IF($AH140="","",INDEX('Per Line'!$E$2:$E$1601,$AH140)&amp;"")</f>
        <v/>
      </c>
      <c r="G140" s="11">
        <f>IF($AH140="","",INDEX('Per Line'!$F$2:$F$1601,$AH140))</f>
        <v/>
      </c>
      <c r="H140">
        <f>IF($AH140="","",INDEX('Per Line'!$G$2:$G$1601,$AH140)&amp;"")</f>
        <v/>
      </c>
      <c r="I140">
        <f>IF($AH140="","",INDEX('Per Line'!$I$2:$I$1601,$AH140)&amp;"")</f>
        <v/>
      </c>
      <c r="J140">
        <f>IF($AH140="","",INDEX('Per Line'!$J$2:$J$1601,$AH140)&amp;"")</f>
        <v/>
      </c>
      <c r="K140">
        <f>IF($AH140="","",INDEX('Per Line'!$K$2:$K$1601,$AH140)&amp;"")</f>
        <v/>
      </c>
      <c r="L140">
        <f>IF($AH140="","",INDEX('Per Line'!$L$2:$L$1601,$AH140)&amp;"")</f>
        <v/>
      </c>
      <c r="M140">
        <f>IF($AH140="","",INDEX('Per Line'!$M$2:$M$1601,$AH140))</f>
        <v/>
      </c>
      <c r="N140" s="7">
        <f>IF($AH140="","",M140*AE140/100)</f>
        <v/>
      </c>
      <c r="O140">
        <f>IF($AH140="","",INDEX('Per Line'!$Z$2:$Z$1601,$AH140)&amp;"")</f>
        <v/>
      </c>
      <c r="P140">
        <f>IF($AH140="","",INDEX('Per Line'!$AC$2:$AC$1601,$AH140)&amp;"")</f>
        <v/>
      </c>
      <c r="Q140">
        <f>IF($AH140="","",INDEX('Per Line'!$AD$2:$AD$1601,$AH140))</f>
        <v/>
      </c>
      <c r="R140">
        <f>IF($AH140="","",IF(AND(ISNUMBER(Q140),Q140&gt;0),AF140&gt;Q140,FALSE))</f>
        <v/>
      </c>
      <c r="S140">
        <f>IF($AH140="","",INDEX('Per Line'!$AH$2:$AH$1601,$AH140)&amp;"")</f>
        <v/>
      </c>
      <c r="T140" s="11">
        <f>IF($AH140="","",INDEX('Per Line'!$AI$2:$AI$1601,$AH140))</f>
        <v/>
      </c>
      <c r="U140">
        <f>IF($AH140="","",Settings!$C$8)</f>
        <v/>
      </c>
      <c r="V140" s="7">
        <f>IF($AH140="","",SUMIFS('Per Line'!$V$2:$V$1601,'Per Line'!$D$2:$D$1601,$B140,'Per Line'!$AN$2:$AN$1601,1))</f>
        <v/>
      </c>
      <c r="W140" s="7">
        <f>IF($AH140="","",V140*U140)</f>
        <v/>
      </c>
      <c r="X140">
        <f>IF($AH140="","",Settings!$C$7)</f>
        <v/>
      </c>
      <c r="Y140" s="7">
        <f>IF($AH140="","",SUMIFS('Per Line'!$V$2:$V$1601,'Per Line'!$D$2:$D$1601,$B140,'Per Line'!$AM$2:$AM$1601,0,'Per Line'!$AN$2:$AN$1601,0))</f>
        <v/>
      </c>
      <c r="Z140" s="7">
        <f>IF($AH140="","",Y140*X140)</f>
        <v/>
      </c>
      <c r="AA140">
        <f>IF($AH140="","",Settings!$C$6)</f>
        <v/>
      </c>
      <c r="AB140" s="7">
        <f>IF($AH140="","",SUMIFS('Per Line'!$V$2:$V$1601,'Per Line'!$D$2:$D$1601,$B140,'Per Line'!$AM$2:$AM$1601,1,'Per Line'!$AN$2:$AN$1601,0))</f>
        <v/>
      </c>
      <c r="AC140" s="7">
        <f>IF($AH140="","",AB140*AA140)</f>
        <v/>
      </c>
      <c r="AD140" s="7">
        <f>IF($AH140="","",AC140+Z140+W140)</f>
        <v/>
      </c>
      <c r="AE140" s="7">
        <f>IF($AH140="","",AF140-AD140)</f>
        <v/>
      </c>
      <c r="AF140" s="7">
        <f>IF($AH140="","",Y140+AB140+V140)</f>
        <v/>
      </c>
      <c r="AG140" s="7">
        <f>IF($AH140="","",AF140-AD140-N140)</f>
        <v/>
      </c>
      <c r="AH140" s="13">
        <f>IF(ROWS($AH$2:$AH140)&lt;=MAX('Per Line'!$AL$2:$AL$1601),MATCH(ROWS($AH$2:$AH140),'Per Line'!$AL$2:$AL$1601,0),"")</f>
        <v/>
      </c>
    </row>
    <row r="141">
      <c r="A141" s="12" t="n"/>
      <c r="B141">
        <f>IF($AH141="","",INDEX('Per Line'!$D$2:$D$1601,$AH141)&amp;"")</f>
        <v/>
      </c>
      <c r="C141">
        <f>IF($AH141="","",INDEX('Per Line'!$A$2:$A$1601,$AH141)&amp;"")</f>
        <v/>
      </c>
      <c r="D141">
        <f>IF($AH141="","",INDEX('Per Line'!$B$2:$B$1601,$AH141))</f>
        <v/>
      </c>
      <c r="E141">
        <f>IF($AH141="","",INDEX('Per Line'!$C$2:$C$1601,$AH141)&amp;"")</f>
        <v/>
      </c>
      <c r="F141">
        <f>IF($AH141="","",INDEX('Per Line'!$E$2:$E$1601,$AH141)&amp;"")</f>
        <v/>
      </c>
      <c r="G141" s="11">
        <f>IF($AH141="","",INDEX('Per Line'!$F$2:$F$1601,$AH141))</f>
        <v/>
      </c>
      <c r="H141">
        <f>IF($AH141="","",INDEX('Per Line'!$G$2:$G$1601,$AH141)&amp;"")</f>
        <v/>
      </c>
      <c r="I141">
        <f>IF($AH141="","",INDEX('Per Line'!$I$2:$I$1601,$AH141)&amp;"")</f>
        <v/>
      </c>
      <c r="J141">
        <f>IF($AH141="","",INDEX('Per Line'!$J$2:$J$1601,$AH141)&amp;"")</f>
        <v/>
      </c>
      <c r="K141">
        <f>IF($AH141="","",INDEX('Per Line'!$K$2:$K$1601,$AH141)&amp;"")</f>
        <v/>
      </c>
      <c r="L141">
        <f>IF($AH141="","",INDEX('Per Line'!$L$2:$L$1601,$AH141)&amp;"")</f>
        <v/>
      </c>
      <c r="M141">
        <f>IF($AH141="","",INDEX('Per Line'!$M$2:$M$1601,$AH141))</f>
        <v/>
      </c>
      <c r="N141" s="7">
        <f>IF($AH141="","",M141*AE141/100)</f>
        <v/>
      </c>
      <c r="O141">
        <f>IF($AH141="","",INDEX('Per Line'!$Z$2:$Z$1601,$AH141)&amp;"")</f>
        <v/>
      </c>
      <c r="P141">
        <f>IF($AH141="","",INDEX('Per Line'!$AC$2:$AC$1601,$AH141)&amp;"")</f>
        <v/>
      </c>
      <c r="Q141">
        <f>IF($AH141="","",INDEX('Per Line'!$AD$2:$AD$1601,$AH141))</f>
        <v/>
      </c>
      <c r="R141">
        <f>IF($AH141="","",IF(AND(ISNUMBER(Q141),Q141&gt;0),AF141&gt;Q141,FALSE))</f>
        <v/>
      </c>
      <c r="S141">
        <f>IF($AH141="","",INDEX('Per Line'!$AH$2:$AH$1601,$AH141)&amp;"")</f>
        <v/>
      </c>
      <c r="T141" s="11">
        <f>IF($AH141="","",INDEX('Per Line'!$AI$2:$AI$1601,$AH141))</f>
        <v/>
      </c>
      <c r="U141">
        <f>IF($AH141="","",Settings!$C$8)</f>
        <v/>
      </c>
      <c r="V141" s="7">
        <f>IF($AH141="","",SUMIFS('Per Line'!$V$2:$V$1601,'Per Line'!$D$2:$D$1601,$B141,'Per Line'!$AN$2:$AN$1601,1))</f>
        <v/>
      </c>
      <c r="W141" s="7">
        <f>IF($AH141="","",V141*U141)</f>
        <v/>
      </c>
      <c r="X141">
        <f>IF($AH141="","",Settings!$C$7)</f>
        <v/>
      </c>
      <c r="Y141" s="7">
        <f>IF($AH141="","",SUMIFS('Per Line'!$V$2:$V$1601,'Per Line'!$D$2:$D$1601,$B141,'Per Line'!$AM$2:$AM$1601,0,'Per Line'!$AN$2:$AN$1601,0))</f>
        <v/>
      </c>
      <c r="Z141" s="7">
        <f>IF($AH141="","",Y141*X141)</f>
        <v/>
      </c>
      <c r="AA141">
        <f>IF($AH141="","",Settings!$C$6)</f>
        <v/>
      </c>
      <c r="AB141" s="7">
        <f>IF($AH141="","",SUMIFS('Per Line'!$V$2:$V$1601,'Per Line'!$D$2:$D$1601,$B141,'Per Line'!$AM$2:$AM$1601,1,'Per Line'!$AN$2:$AN$1601,0))</f>
        <v/>
      </c>
      <c r="AC141" s="7">
        <f>IF($AH141="","",AB141*AA141)</f>
        <v/>
      </c>
      <c r="AD141" s="7">
        <f>IF($AH141="","",AC141+Z141+W141)</f>
        <v/>
      </c>
      <c r="AE141" s="7">
        <f>IF($AH141="","",AF141-AD141)</f>
        <v/>
      </c>
      <c r="AF141" s="7">
        <f>IF($AH141="","",Y141+AB141+V141)</f>
        <v/>
      </c>
      <c r="AG141" s="7">
        <f>IF($AH141="","",AF141-AD141-N141)</f>
        <v/>
      </c>
      <c r="AH141" s="13">
        <f>IF(ROWS($AH$2:$AH141)&lt;=MAX('Per Line'!$AL$2:$AL$1601),MATCH(ROWS($AH$2:$AH141),'Per Line'!$AL$2:$AL$1601,0),"")</f>
        <v/>
      </c>
    </row>
    <row r="142">
      <c r="A142" s="12" t="n"/>
      <c r="B142">
        <f>IF($AH142="","",INDEX('Per Line'!$D$2:$D$1601,$AH142)&amp;"")</f>
        <v/>
      </c>
      <c r="C142">
        <f>IF($AH142="","",INDEX('Per Line'!$A$2:$A$1601,$AH142)&amp;"")</f>
        <v/>
      </c>
      <c r="D142">
        <f>IF($AH142="","",INDEX('Per Line'!$B$2:$B$1601,$AH142))</f>
        <v/>
      </c>
      <c r="E142">
        <f>IF($AH142="","",INDEX('Per Line'!$C$2:$C$1601,$AH142)&amp;"")</f>
        <v/>
      </c>
      <c r="F142">
        <f>IF($AH142="","",INDEX('Per Line'!$E$2:$E$1601,$AH142)&amp;"")</f>
        <v/>
      </c>
      <c r="G142" s="11">
        <f>IF($AH142="","",INDEX('Per Line'!$F$2:$F$1601,$AH142))</f>
        <v/>
      </c>
      <c r="H142">
        <f>IF($AH142="","",INDEX('Per Line'!$G$2:$G$1601,$AH142)&amp;"")</f>
        <v/>
      </c>
      <c r="I142">
        <f>IF($AH142="","",INDEX('Per Line'!$I$2:$I$1601,$AH142)&amp;"")</f>
        <v/>
      </c>
      <c r="J142">
        <f>IF($AH142="","",INDEX('Per Line'!$J$2:$J$1601,$AH142)&amp;"")</f>
        <v/>
      </c>
      <c r="K142">
        <f>IF($AH142="","",INDEX('Per Line'!$K$2:$K$1601,$AH142)&amp;"")</f>
        <v/>
      </c>
      <c r="L142">
        <f>IF($AH142="","",INDEX('Per Line'!$L$2:$L$1601,$AH142)&amp;"")</f>
        <v/>
      </c>
      <c r="M142">
        <f>IF($AH142="","",INDEX('Per Line'!$M$2:$M$1601,$AH142))</f>
        <v/>
      </c>
      <c r="N142" s="7">
        <f>IF($AH142="","",M142*AE142/100)</f>
        <v/>
      </c>
      <c r="O142">
        <f>IF($AH142="","",INDEX('Per Line'!$Z$2:$Z$1601,$AH142)&amp;"")</f>
        <v/>
      </c>
      <c r="P142">
        <f>IF($AH142="","",INDEX('Per Line'!$AC$2:$AC$1601,$AH142)&amp;"")</f>
        <v/>
      </c>
      <c r="Q142">
        <f>IF($AH142="","",INDEX('Per Line'!$AD$2:$AD$1601,$AH142))</f>
        <v/>
      </c>
      <c r="R142">
        <f>IF($AH142="","",IF(AND(ISNUMBER(Q142),Q142&gt;0),AF142&gt;Q142,FALSE))</f>
        <v/>
      </c>
      <c r="S142">
        <f>IF($AH142="","",INDEX('Per Line'!$AH$2:$AH$1601,$AH142)&amp;"")</f>
        <v/>
      </c>
      <c r="T142" s="11">
        <f>IF($AH142="","",INDEX('Per Line'!$AI$2:$AI$1601,$AH142))</f>
        <v/>
      </c>
      <c r="U142">
        <f>IF($AH142="","",Settings!$C$8)</f>
        <v/>
      </c>
      <c r="V142" s="7">
        <f>IF($AH142="","",SUMIFS('Per Line'!$V$2:$V$1601,'Per Line'!$D$2:$D$1601,$B142,'Per Line'!$AN$2:$AN$1601,1))</f>
        <v/>
      </c>
      <c r="W142" s="7">
        <f>IF($AH142="","",V142*U142)</f>
        <v/>
      </c>
      <c r="X142">
        <f>IF($AH142="","",Settings!$C$7)</f>
        <v/>
      </c>
      <c r="Y142" s="7">
        <f>IF($AH142="","",SUMIFS('Per Line'!$V$2:$V$1601,'Per Line'!$D$2:$D$1601,$B142,'Per Line'!$AM$2:$AM$1601,0,'Per Line'!$AN$2:$AN$1601,0))</f>
        <v/>
      </c>
      <c r="Z142" s="7">
        <f>IF($AH142="","",Y142*X142)</f>
        <v/>
      </c>
      <c r="AA142">
        <f>IF($AH142="","",Settings!$C$6)</f>
        <v/>
      </c>
      <c r="AB142" s="7">
        <f>IF($AH142="","",SUMIFS('Per Line'!$V$2:$V$1601,'Per Line'!$D$2:$D$1601,$B142,'Per Line'!$AM$2:$AM$1601,1,'Per Line'!$AN$2:$AN$1601,0))</f>
        <v/>
      </c>
      <c r="AC142" s="7">
        <f>IF($AH142="","",AB142*AA142)</f>
        <v/>
      </c>
      <c r="AD142" s="7">
        <f>IF($AH142="","",AC142+Z142+W142)</f>
        <v/>
      </c>
      <c r="AE142" s="7">
        <f>IF($AH142="","",AF142-AD142)</f>
        <v/>
      </c>
      <c r="AF142" s="7">
        <f>IF($AH142="","",Y142+AB142+V142)</f>
        <v/>
      </c>
      <c r="AG142" s="7">
        <f>IF($AH142="","",AF142-AD142-N142)</f>
        <v/>
      </c>
      <c r="AH142" s="13">
        <f>IF(ROWS($AH$2:$AH142)&lt;=MAX('Per Line'!$AL$2:$AL$1601),MATCH(ROWS($AH$2:$AH142),'Per Line'!$AL$2:$AL$1601,0),"")</f>
        <v/>
      </c>
    </row>
    <row r="143">
      <c r="A143" s="12" t="n"/>
      <c r="B143">
        <f>IF($AH143="","",INDEX('Per Line'!$D$2:$D$1601,$AH143)&amp;"")</f>
        <v/>
      </c>
      <c r="C143">
        <f>IF($AH143="","",INDEX('Per Line'!$A$2:$A$1601,$AH143)&amp;"")</f>
        <v/>
      </c>
      <c r="D143">
        <f>IF($AH143="","",INDEX('Per Line'!$B$2:$B$1601,$AH143))</f>
        <v/>
      </c>
      <c r="E143">
        <f>IF($AH143="","",INDEX('Per Line'!$C$2:$C$1601,$AH143)&amp;"")</f>
        <v/>
      </c>
      <c r="F143">
        <f>IF($AH143="","",INDEX('Per Line'!$E$2:$E$1601,$AH143)&amp;"")</f>
        <v/>
      </c>
      <c r="G143" s="11">
        <f>IF($AH143="","",INDEX('Per Line'!$F$2:$F$1601,$AH143))</f>
        <v/>
      </c>
      <c r="H143">
        <f>IF($AH143="","",INDEX('Per Line'!$G$2:$G$1601,$AH143)&amp;"")</f>
        <v/>
      </c>
      <c r="I143">
        <f>IF($AH143="","",INDEX('Per Line'!$I$2:$I$1601,$AH143)&amp;"")</f>
        <v/>
      </c>
      <c r="J143">
        <f>IF($AH143="","",INDEX('Per Line'!$J$2:$J$1601,$AH143)&amp;"")</f>
        <v/>
      </c>
      <c r="K143">
        <f>IF($AH143="","",INDEX('Per Line'!$K$2:$K$1601,$AH143)&amp;"")</f>
        <v/>
      </c>
      <c r="L143">
        <f>IF($AH143="","",INDEX('Per Line'!$L$2:$L$1601,$AH143)&amp;"")</f>
        <v/>
      </c>
      <c r="M143">
        <f>IF($AH143="","",INDEX('Per Line'!$M$2:$M$1601,$AH143))</f>
        <v/>
      </c>
      <c r="N143" s="7">
        <f>IF($AH143="","",M143*AE143/100)</f>
        <v/>
      </c>
      <c r="O143">
        <f>IF($AH143="","",INDEX('Per Line'!$Z$2:$Z$1601,$AH143)&amp;"")</f>
        <v/>
      </c>
      <c r="P143">
        <f>IF($AH143="","",INDEX('Per Line'!$AC$2:$AC$1601,$AH143)&amp;"")</f>
        <v/>
      </c>
      <c r="Q143">
        <f>IF($AH143="","",INDEX('Per Line'!$AD$2:$AD$1601,$AH143))</f>
        <v/>
      </c>
      <c r="R143">
        <f>IF($AH143="","",IF(AND(ISNUMBER(Q143),Q143&gt;0),AF143&gt;Q143,FALSE))</f>
        <v/>
      </c>
      <c r="S143">
        <f>IF($AH143="","",INDEX('Per Line'!$AH$2:$AH$1601,$AH143)&amp;"")</f>
        <v/>
      </c>
      <c r="T143" s="11">
        <f>IF($AH143="","",INDEX('Per Line'!$AI$2:$AI$1601,$AH143))</f>
        <v/>
      </c>
      <c r="U143">
        <f>IF($AH143="","",Settings!$C$8)</f>
        <v/>
      </c>
      <c r="V143" s="7">
        <f>IF($AH143="","",SUMIFS('Per Line'!$V$2:$V$1601,'Per Line'!$D$2:$D$1601,$B143,'Per Line'!$AN$2:$AN$1601,1))</f>
        <v/>
      </c>
      <c r="W143" s="7">
        <f>IF($AH143="","",V143*U143)</f>
        <v/>
      </c>
      <c r="X143">
        <f>IF($AH143="","",Settings!$C$7)</f>
        <v/>
      </c>
      <c r="Y143" s="7">
        <f>IF($AH143="","",SUMIFS('Per Line'!$V$2:$V$1601,'Per Line'!$D$2:$D$1601,$B143,'Per Line'!$AM$2:$AM$1601,0,'Per Line'!$AN$2:$AN$1601,0))</f>
        <v/>
      </c>
      <c r="Z143" s="7">
        <f>IF($AH143="","",Y143*X143)</f>
        <v/>
      </c>
      <c r="AA143">
        <f>IF($AH143="","",Settings!$C$6)</f>
        <v/>
      </c>
      <c r="AB143" s="7">
        <f>IF($AH143="","",SUMIFS('Per Line'!$V$2:$V$1601,'Per Line'!$D$2:$D$1601,$B143,'Per Line'!$AM$2:$AM$1601,1,'Per Line'!$AN$2:$AN$1601,0))</f>
        <v/>
      </c>
      <c r="AC143" s="7">
        <f>IF($AH143="","",AB143*AA143)</f>
        <v/>
      </c>
      <c r="AD143" s="7">
        <f>IF($AH143="","",AC143+Z143+W143)</f>
        <v/>
      </c>
      <c r="AE143" s="7">
        <f>IF($AH143="","",AF143-AD143)</f>
        <v/>
      </c>
      <c r="AF143" s="7">
        <f>IF($AH143="","",Y143+AB143+V143)</f>
        <v/>
      </c>
      <c r="AG143" s="7">
        <f>IF($AH143="","",AF143-AD143-N143)</f>
        <v/>
      </c>
      <c r="AH143" s="13">
        <f>IF(ROWS($AH$2:$AH143)&lt;=MAX('Per Line'!$AL$2:$AL$1601),MATCH(ROWS($AH$2:$AH143),'Per Line'!$AL$2:$AL$1601,0),"")</f>
        <v/>
      </c>
    </row>
    <row r="144">
      <c r="A144" s="12" t="n"/>
      <c r="B144">
        <f>IF($AH144="","",INDEX('Per Line'!$D$2:$D$1601,$AH144)&amp;"")</f>
        <v/>
      </c>
      <c r="C144">
        <f>IF($AH144="","",INDEX('Per Line'!$A$2:$A$1601,$AH144)&amp;"")</f>
        <v/>
      </c>
      <c r="D144">
        <f>IF($AH144="","",INDEX('Per Line'!$B$2:$B$1601,$AH144))</f>
        <v/>
      </c>
      <c r="E144">
        <f>IF($AH144="","",INDEX('Per Line'!$C$2:$C$1601,$AH144)&amp;"")</f>
        <v/>
      </c>
      <c r="F144">
        <f>IF($AH144="","",INDEX('Per Line'!$E$2:$E$1601,$AH144)&amp;"")</f>
        <v/>
      </c>
      <c r="G144" s="11">
        <f>IF($AH144="","",INDEX('Per Line'!$F$2:$F$1601,$AH144))</f>
        <v/>
      </c>
      <c r="H144">
        <f>IF($AH144="","",INDEX('Per Line'!$G$2:$G$1601,$AH144)&amp;"")</f>
        <v/>
      </c>
      <c r="I144">
        <f>IF($AH144="","",INDEX('Per Line'!$I$2:$I$1601,$AH144)&amp;"")</f>
        <v/>
      </c>
      <c r="J144">
        <f>IF($AH144="","",INDEX('Per Line'!$J$2:$J$1601,$AH144)&amp;"")</f>
        <v/>
      </c>
      <c r="K144">
        <f>IF($AH144="","",INDEX('Per Line'!$K$2:$K$1601,$AH144)&amp;"")</f>
        <v/>
      </c>
      <c r="L144">
        <f>IF($AH144="","",INDEX('Per Line'!$L$2:$L$1601,$AH144)&amp;"")</f>
        <v/>
      </c>
      <c r="M144">
        <f>IF($AH144="","",INDEX('Per Line'!$M$2:$M$1601,$AH144))</f>
        <v/>
      </c>
      <c r="N144" s="7">
        <f>IF($AH144="","",M144*AE144/100)</f>
        <v/>
      </c>
      <c r="O144">
        <f>IF($AH144="","",INDEX('Per Line'!$Z$2:$Z$1601,$AH144)&amp;"")</f>
        <v/>
      </c>
      <c r="P144">
        <f>IF($AH144="","",INDEX('Per Line'!$AC$2:$AC$1601,$AH144)&amp;"")</f>
        <v/>
      </c>
      <c r="Q144">
        <f>IF($AH144="","",INDEX('Per Line'!$AD$2:$AD$1601,$AH144))</f>
        <v/>
      </c>
      <c r="R144">
        <f>IF($AH144="","",IF(AND(ISNUMBER(Q144),Q144&gt;0),AF144&gt;Q144,FALSE))</f>
        <v/>
      </c>
      <c r="S144">
        <f>IF($AH144="","",INDEX('Per Line'!$AH$2:$AH$1601,$AH144)&amp;"")</f>
        <v/>
      </c>
      <c r="T144" s="11">
        <f>IF($AH144="","",INDEX('Per Line'!$AI$2:$AI$1601,$AH144))</f>
        <v/>
      </c>
      <c r="U144">
        <f>IF($AH144="","",Settings!$C$8)</f>
        <v/>
      </c>
      <c r="V144" s="7">
        <f>IF($AH144="","",SUMIFS('Per Line'!$V$2:$V$1601,'Per Line'!$D$2:$D$1601,$B144,'Per Line'!$AN$2:$AN$1601,1))</f>
        <v/>
      </c>
      <c r="W144" s="7">
        <f>IF($AH144="","",V144*U144)</f>
        <v/>
      </c>
      <c r="X144">
        <f>IF($AH144="","",Settings!$C$7)</f>
        <v/>
      </c>
      <c r="Y144" s="7">
        <f>IF($AH144="","",SUMIFS('Per Line'!$V$2:$V$1601,'Per Line'!$D$2:$D$1601,$B144,'Per Line'!$AM$2:$AM$1601,0,'Per Line'!$AN$2:$AN$1601,0))</f>
        <v/>
      </c>
      <c r="Z144" s="7">
        <f>IF($AH144="","",Y144*X144)</f>
        <v/>
      </c>
      <c r="AA144">
        <f>IF($AH144="","",Settings!$C$6)</f>
        <v/>
      </c>
      <c r="AB144" s="7">
        <f>IF($AH144="","",SUMIFS('Per Line'!$V$2:$V$1601,'Per Line'!$D$2:$D$1601,$B144,'Per Line'!$AM$2:$AM$1601,1,'Per Line'!$AN$2:$AN$1601,0))</f>
        <v/>
      </c>
      <c r="AC144" s="7">
        <f>IF($AH144="","",AB144*AA144)</f>
        <v/>
      </c>
      <c r="AD144" s="7">
        <f>IF($AH144="","",AC144+Z144+W144)</f>
        <v/>
      </c>
      <c r="AE144" s="7">
        <f>IF($AH144="","",AF144-AD144)</f>
        <v/>
      </c>
      <c r="AF144" s="7">
        <f>IF($AH144="","",Y144+AB144+V144)</f>
        <v/>
      </c>
      <c r="AG144" s="7">
        <f>IF($AH144="","",AF144-AD144-N144)</f>
        <v/>
      </c>
      <c r="AH144" s="13">
        <f>IF(ROWS($AH$2:$AH144)&lt;=MAX('Per Line'!$AL$2:$AL$1601),MATCH(ROWS($AH$2:$AH144),'Per Line'!$AL$2:$AL$1601,0),"")</f>
        <v/>
      </c>
    </row>
    <row r="145">
      <c r="A145" s="12" t="n"/>
      <c r="B145">
        <f>IF($AH145="","",INDEX('Per Line'!$D$2:$D$1601,$AH145)&amp;"")</f>
        <v/>
      </c>
      <c r="C145">
        <f>IF($AH145="","",INDEX('Per Line'!$A$2:$A$1601,$AH145)&amp;"")</f>
        <v/>
      </c>
      <c r="D145">
        <f>IF($AH145="","",INDEX('Per Line'!$B$2:$B$1601,$AH145))</f>
        <v/>
      </c>
      <c r="E145">
        <f>IF($AH145="","",INDEX('Per Line'!$C$2:$C$1601,$AH145)&amp;"")</f>
        <v/>
      </c>
      <c r="F145">
        <f>IF($AH145="","",INDEX('Per Line'!$E$2:$E$1601,$AH145)&amp;"")</f>
        <v/>
      </c>
      <c r="G145" s="11">
        <f>IF($AH145="","",INDEX('Per Line'!$F$2:$F$1601,$AH145))</f>
        <v/>
      </c>
      <c r="H145">
        <f>IF($AH145="","",INDEX('Per Line'!$G$2:$G$1601,$AH145)&amp;"")</f>
        <v/>
      </c>
      <c r="I145">
        <f>IF($AH145="","",INDEX('Per Line'!$I$2:$I$1601,$AH145)&amp;"")</f>
        <v/>
      </c>
      <c r="J145">
        <f>IF($AH145="","",INDEX('Per Line'!$J$2:$J$1601,$AH145)&amp;"")</f>
        <v/>
      </c>
      <c r="K145">
        <f>IF($AH145="","",INDEX('Per Line'!$K$2:$K$1601,$AH145)&amp;"")</f>
        <v/>
      </c>
      <c r="L145">
        <f>IF($AH145="","",INDEX('Per Line'!$L$2:$L$1601,$AH145)&amp;"")</f>
        <v/>
      </c>
      <c r="M145">
        <f>IF($AH145="","",INDEX('Per Line'!$M$2:$M$1601,$AH145))</f>
        <v/>
      </c>
      <c r="N145" s="7">
        <f>IF($AH145="","",M145*AE145/100)</f>
        <v/>
      </c>
      <c r="O145">
        <f>IF($AH145="","",INDEX('Per Line'!$Z$2:$Z$1601,$AH145)&amp;"")</f>
        <v/>
      </c>
      <c r="P145">
        <f>IF($AH145="","",INDEX('Per Line'!$AC$2:$AC$1601,$AH145)&amp;"")</f>
        <v/>
      </c>
      <c r="Q145">
        <f>IF($AH145="","",INDEX('Per Line'!$AD$2:$AD$1601,$AH145))</f>
        <v/>
      </c>
      <c r="R145">
        <f>IF($AH145="","",IF(AND(ISNUMBER(Q145),Q145&gt;0),AF145&gt;Q145,FALSE))</f>
        <v/>
      </c>
      <c r="S145">
        <f>IF($AH145="","",INDEX('Per Line'!$AH$2:$AH$1601,$AH145)&amp;"")</f>
        <v/>
      </c>
      <c r="T145" s="11">
        <f>IF($AH145="","",INDEX('Per Line'!$AI$2:$AI$1601,$AH145))</f>
        <v/>
      </c>
      <c r="U145">
        <f>IF($AH145="","",Settings!$C$8)</f>
        <v/>
      </c>
      <c r="V145" s="7">
        <f>IF($AH145="","",SUMIFS('Per Line'!$V$2:$V$1601,'Per Line'!$D$2:$D$1601,$B145,'Per Line'!$AN$2:$AN$1601,1))</f>
        <v/>
      </c>
      <c r="W145" s="7">
        <f>IF($AH145="","",V145*U145)</f>
        <v/>
      </c>
      <c r="X145">
        <f>IF($AH145="","",Settings!$C$7)</f>
        <v/>
      </c>
      <c r="Y145" s="7">
        <f>IF($AH145="","",SUMIFS('Per Line'!$V$2:$V$1601,'Per Line'!$D$2:$D$1601,$B145,'Per Line'!$AM$2:$AM$1601,0,'Per Line'!$AN$2:$AN$1601,0))</f>
        <v/>
      </c>
      <c r="Z145" s="7">
        <f>IF($AH145="","",Y145*X145)</f>
        <v/>
      </c>
      <c r="AA145">
        <f>IF($AH145="","",Settings!$C$6)</f>
        <v/>
      </c>
      <c r="AB145" s="7">
        <f>IF($AH145="","",SUMIFS('Per Line'!$V$2:$V$1601,'Per Line'!$D$2:$D$1601,$B145,'Per Line'!$AM$2:$AM$1601,1,'Per Line'!$AN$2:$AN$1601,0))</f>
        <v/>
      </c>
      <c r="AC145" s="7">
        <f>IF($AH145="","",AB145*AA145)</f>
        <v/>
      </c>
      <c r="AD145" s="7">
        <f>IF($AH145="","",AC145+Z145+W145)</f>
        <v/>
      </c>
      <c r="AE145" s="7">
        <f>IF($AH145="","",AF145-AD145)</f>
        <v/>
      </c>
      <c r="AF145" s="7">
        <f>IF($AH145="","",Y145+AB145+V145)</f>
        <v/>
      </c>
      <c r="AG145" s="7">
        <f>IF($AH145="","",AF145-AD145-N145)</f>
        <v/>
      </c>
      <c r="AH145" s="13">
        <f>IF(ROWS($AH$2:$AH145)&lt;=MAX('Per Line'!$AL$2:$AL$1601),MATCH(ROWS($AH$2:$AH145),'Per Line'!$AL$2:$AL$1601,0),"")</f>
        <v/>
      </c>
    </row>
    <row r="146">
      <c r="A146" s="12" t="n"/>
      <c r="B146">
        <f>IF($AH146="","",INDEX('Per Line'!$D$2:$D$1601,$AH146)&amp;"")</f>
        <v/>
      </c>
      <c r="C146">
        <f>IF($AH146="","",INDEX('Per Line'!$A$2:$A$1601,$AH146)&amp;"")</f>
        <v/>
      </c>
      <c r="D146">
        <f>IF($AH146="","",INDEX('Per Line'!$B$2:$B$1601,$AH146))</f>
        <v/>
      </c>
      <c r="E146">
        <f>IF($AH146="","",INDEX('Per Line'!$C$2:$C$1601,$AH146)&amp;"")</f>
        <v/>
      </c>
      <c r="F146">
        <f>IF($AH146="","",INDEX('Per Line'!$E$2:$E$1601,$AH146)&amp;"")</f>
        <v/>
      </c>
      <c r="G146" s="11">
        <f>IF($AH146="","",INDEX('Per Line'!$F$2:$F$1601,$AH146))</f>
        <v/>
      </c>
      <c r="H146">
        <f>IF($AH146="","",INDEX('Per Line'!$G$2:$G$1601,$AH146)&amp;"")</f>
        <v/>
      </c>
      <c r="I146">
        <f>IF($AH146="","",INDEX('Per Line'!$I$2:$I$1601,$AH146)&amp;"")</f>
        <v/>
      </c>
      <c r="J146">
        <f>IF($AH146="","",INDEX('Per Line'!$J$2:$J$1601,$AH146)&amp;"")</f>
        <v/>
      </c>
      <c r="K146">
        <f>IF($AH146="","",INDEX('Per Line'!$K$2:$K$1601,$AH146)&amp;"")</f>
        <v/>
      </c>
      <c r="L146">
        <f>IF($AH146="","",INDEX('Per Line'!$L$2:$L$1601,$AH146)&amp;"")</f>
        <v/>
      </c>
      <c r="M146">
        <f>IF($AH146="","",INDEX('Per Line'!$M$2:$M$1601,$AH146))</f>
        <v/>
      </c>
      <c r="N146" s="7">
        <f>IF($AH146="","",M146*AE146/100)</f>
        <v/>
      </c>
      <c r="O146">
        <f>IF($AH146="","",INDEX('Per Line'!$Z$2:$Z$1601,$AH146)&amp;"")</f>
        <v/>
      </c>
      <c r="P146">
        <f>IF($AH146="","",INDEX('Per Line'!$AC$2:$AC$1601,$AH146)&amp;"")</f>
        <v/>
      </c>
      <c r="Q146">
        <f>IF($AH146="","",INDEX('Per Line'!$AD$2:$AD$1601,$AH146))</f>
        <v/>
      </c>
      <c r="R146">
        <f>IF($AH146="","",IF(AND(ISNUMBER(Q146),Q146&gt;0),AF146&gt;Q146,FALSE))</f>
        <v/>
      </c>
      <c r="S146">
        <f>IF($AH146="","",INDEX('Per Line'!$AH$2:$AH$1601,$AH146)&amp;"")</f>
        <v/>
      </c>
      <c r="T146" s="11">
        <f>IF($AH146="","",INDEX('Per Line'!$AI$2:$AI$1601,$AH146))</f>
        <v/>
      </c>
      <c r="U146">
        <f>IF($AH146="","",Settings!$C$8)</f>
        <v/>
      </c>
      <c r="V146" s="7">
        <f>IF($AH146="","",SUMIFS('Per Line'!$V$2:$V$1601,'Per Line'!$D$2:$D$1601,$B146,'Per Line'!$AN$2:$AN$1601,1))</f>
        <v/>
      </c>
      <c r="W146" s="7">
        <f>IF($AH146="","",V146*U146)</f>
        <v/>
      </c>
      <c r="X146">
        <f>IF($AH146="","",Settings!$C$7)</f>
        <v/>
      </c>
      <c r="Y146" s="7">
        <f>IF($AH146="","",SUMIFS('Per Line'!$V$2:$V$1601,'Per Line'!$D$2:$D$1601,$B146,'Per Line'!$AM$2:$AM$1601,0,'Per Line'!$AN$2:$AN$1601,0))</f>
        <v/>
      </c>
      <c r="Z146" s="7">
        <f>IF($AH146="","",Y146*X146)</f>
        <v/>
      </c>
      <c r="AA146">
        <f>IF($AH146="","",Settings!$C$6)</f>
        <v/>
      </c>
      <c r="AB146" s="7">
        <f>IF($AH146="","",SUMIFS('Per Line'!$V$2:$V$1601,'Per Line'!$D$2:$D$1601,$B146,'Per Line'!$AM$2:$AM$1601,1,'Per Line'!$AN$2:$AN$1601,0))</f>
        <v/>
      </c>
      <c r="AC146" s="7">
        <f>IF($AH146="","",AB146*AA146)</f>
        <v/>
      </c>
      <c r="AD146" s="7">
        <f>IF($AH146="","",AC146+Z146+W146)</f>
        <v/>
      </c>
      <c r="AE146" s="7">
        <f>IF($AH146="","",AF146-AD146)</f>
        <v/>
      </c>
      <c r="AF146" s="7">
        <f>IF($AH146="","",Y146+AB146+V146)</f>
        <v/>
      </c>
      <c r="AG146" s="7">
        <f>IF($AH146="","",AF146-AD146-N146)</f>
        <v/>
      </c>
      <c r="AH146" s="13">
        <f>IF(ROWS($AH$2:$AH146)&lt;=MAX('Per Line'!$AL$2:$AL$1601),MATCH(ROWS($AH$2:$AH146),'Per Line'!$AL$2:$AL$1601,0),"")</f>
        <v/>
      </c>
    </row>
    <row r="147">
      <c r="A147" s="12" t="n"/>
      <c r="B147">
        <f>IF($AH147="","",INDEX('Per Line'!$D$2:$D$1601,$AH147)&amp;"")</f>
        <v/>
      </c>
      <c r="C147">
        <f>IF($AH147="","",INDEX('Per Line'!$A$2:$A$1601,$AH147)&amp;"")</f>
        <v/>
      </c>
      <c r="D147">
        <f>IF($AH147="","",INDEX('Per Line'!$B$2:$B$1601,$AH147))</f>
        <v/>
      </c>
      <c r="E147">
        <f>IF($AH147="","",INDEX('Per Line'!$C$2:$C$1601,$AH147)&amp;"")</f>
        <v/>
      </c>
      <c r="F147">
        <f>IF($AH147="","",INDEX('Per Line'!$E$2:$E$1601,$AH147)&amp;"")</f>
        <v/>
      </c>
      <c r="G147" s="11">
        <f>IF($AH147="","",INDEX('Per Line'!$F$2:$F$1601,$AH147))</f>
        <v/>
      </c>
      <c r="H147">
        <f>IF($AH147="","",INDEX('Per Line'!$G$2:$G$1601,$AH147)&amp;"")</f>
        <v/>
      </c>
      <c r="I147">
        <f>IF($AH147="","",INDEX('Per Line'!$I$2:$I$1601,$AH147)&amp;"")</f>
        <v/>
      </c>
      <c r="J147">
        <f>IF($AH147="","",INDEX('Per Line'!$J$2:$J$1601,$AH147)&amp;"")</f>
        <v/>
      </c>
      <c r="K147">
        <f>IF($AH147="","",INDEX('Per Line'!$K$2:$K$1601,$AH147)&amp;"")</f>
        <v/>
      </c>
      <c r="L147">
        <f>IF($AH147="","",INDEX('Per Line'!$L$2:$L$1601,$AH147)&amp;"")</f>
        <v/>
      </c>
      <c r="M147">
        <f>IF($AH147="","",INDEX('Per Line'!$M$2:$M$1601,$AH147))</f>
        <v/>
      </c>
      <c r="N147" s="7">
        <f>IF($AH147="","",M147*AE147/100)</f>
        <v/>
      </c>
      <c r="O147">
        <f>IF($AH147="","",INDEX('Per Line'!$Z$2:$Z$1601,$AH147)&amp;"")</f>
        <v/>
      </c>
      <c r="P147">
        <f>IF($AH147="","",INDEX('Per Line'!$AC$2:$AC$1601,$AH147)&amp;"")</f>
        <v/>
      </c>
      <c r="Q147">
        <f>IF($AH147="","",INDEX('Per Line'!$AD$2:$AD$1601,$AH147))</f>
        <v/>
      </c>
      <c r="R147">
        <f>IF($AH147="","",IF(AND(ISNUMBER(Q147),Q147&gt;0),AF147&gt;Q147,FALSE))</f>
        <v/>
      </c>
      <c r="S147">
        <f>IF($AH147="","",INDEX('Per Line'!$AH$2:$AH$1601,$AH147)&amp;"")</f>
        <v/>
      </c>
      <c r="T147" s="11">
        <f>IF($AH147="","",INDEX('Per Line'!$AI$2:$AI$1601,$AH147))</f>
        <v/>
      </c>
      <c r="U147">
        <f>IF($AH147="","",Settings!$C$8)</f>
        <v/>
      </c>
      <c r="V147" s="7">
        <f>IF($AH147="","",SUMIFS('Per Line'!$V$2:$V$1601,'Per Line'!$D$2:$D$1601,$B147,'Per Line'!$AN$2:$AN$1601,1))</f>
        <v/>
      </c>
      <c r="W147" s="7">
        <f>IF($AH147="","",V147*U147)</f>
        <v/>
      </c>
      <c r="X147">
        <f>IF($AH147="","",Settings!$C$7)</f>
        <v/>
      </c>
      <c r="Y147" s="7">
        <f>IF($AH147="","",SUMIFS('Per Line'!$V$2:$V$1601,'Per Line'!$D$2:$D$1601,$B147,'Per Line'!$AM$2:$AM$1601,0,'Per Line'!$AN$2:$AN$1601,0))</f>
        <v/>
      </c>
      <c r="Z147" s="7">
        <f>IF($AH147="","",Y147*X147)</f>
        <v/>
      </c>
      <c r="AA147">
        <f>IF($AH147="","",Settings!$C$6)</f>
        <v/>
      </c>
      <c r="AB147" s="7">
        <f>IF($AH147="","",SUMIFS('Per Line'!$V$2:$V$1601,'Per Line'!$D$2:$D$1601,$B147,'Per Line'!$AM$2:$AM$1601,1,'Per Line'!$AN$2:$AN$1601,0))</f>
        <v/>
      </c>
      <c r="AC147" s="7">
        <f>IF($AH147="","",AB147*AA147)</f>
        <v/>
      </c>
      <c r="AD147" s="7">
        <f>IF($AH147="","",AC147+Z147+W147)</f>
        <v/>
      </c>
      <c r="AE147" s="7">
        <f>IF($AH147="","",AF147-AD147)</f>
        <v/>
      </c>
      <c r="AF147" s="7">
        <f>IF($AH147="","",Y147+AB147+V147)</f>
        <v/>
      </c>
      <c r="AG147" s="7">
        <f>IF($AH147="","",AF147-AD147-N147)</f>
        <v/>
      </c>
      <c r="AH147" s="13">
        <f>IF(ROWS($AH$2:$AH147)&lt;=MAX('Per Line'!$AL$2:$AL$1601),MATCH(ROWS($AH$2:$AH147),'Per Line'!$AL$2:$AL$1601,0),"")</f>
        <v/>
      </c>
    </row>
    <row r="148">
      <c r="A148" s="12" t="n"/>
      <c r="B148">
        <f>IF($AH148="","",INDEX('Per Line'!$D$2:$D$1601,$AH148)&amp;"")</f>
        <v/>
      </c>
      <c r="C148">
        <f>IF($AH148="","",INDEX('Per Line'!$A$2:$A$1601,$AH148)&amp;"")</f>
        <v/>
      </c>
      <c r="D148">
        <f>IF($AH148="","",INDEX('Per Line'!$B$2:$B$1601,$AH148))</f>
        <v/>
      </c>
      <c r="E148">
        <f>IF($AH148="","",INDEX('Per Line'!$C$2:$C$1601,$AH148)&amp;"")</f>
        <v/>
      </c>
      <c r="F148">
        <f>IF($AH148="","",INDEX('Per Line'!$E$2:$E$1601,$AH148)&amp;"")</f>
        <v/>
      </c>
      <c r="G148" s="11">
        <f>IF($AH148="","",INDEX('Per Line'!$F$2:$F$1601,$AH148))</f>
        <v/>
      </c>
      <c r="H148">
        <f>IF($AH148="","",INDEX('Per Line'!$G$2:$G$1601,$AH148)&amp;"")</f>
        <v/>
      </c>
      <c r="I148">
        <f>IF($AH148="","",INDEX('Per Line'!$I$2:$I$1601,$AH148)&amp;"")</f>
        <v/>
      </c>
      <c r="J148">
        <f>IF($AH148="","",INDEX('Per Line'!$J$2:$J$1601,$AH148)&amp;"")</f>
        <v/>
      </c>
      <c r="K148">
        <f>IF($AH148="","",INDEX('Per Line'!$K$2:$K$1601,$AH148)&amp;"")</f>
        <v/>
      </c>
      <c r="L148">
        <f>IF($AH148="","",INDEX('Per Line'!$L$2:$L$1601,$AH148)&amp;"")</f>
        <v/>
      </c>
      <c r="M148">
        <f>IF($AH148="","",INDEX('Per Line'!$M$2:$M$1601,$AH148))</f>
        <v/>
      </c>
      <c r="N148" s="7">
        <f>IF($AH148="","",M148*AE148/100)</f>
        <v/>
      </c>
      <c r="O148">
        <f>IF($AH148="","",INDEX('Per Line'!$Z$2:$Z$1601,$AH148)&amp;"")</f>
        <v/>
      </c>
      <c r="P148">
        <f>IF($AH148="","",INDEX('Per Line'!$AC$2:$AC$1601,$AH148)&amp;"")</f>
        <v/>
      </c>
      <c r="Q148">
        <f>IF($AH148="","",INDEX('Per Line'!$AD$2:$AD$1601,$AH148))</f>
        <v/>
      </c>
      <c r="R148">
        <f>IF($AH148="","",IF(AND(ISNUMBER(Q148),Q148&gt;0),AF148&gt;Q148,FALSE))</f>
        <v/>
      </c>
      <c r="S148">
        <f>IF($AH148="","",INDEX('Per Line'!$AH$2:$AH$1601,$AH148)&amp;"")</f>
        <v/>
      </c>
      <c r="T148" s="11">
        <f>IF($AH148="","",INDEX('Per Line'!$AI$2:$AI$1601,$AH148))</f>
        <v/>
      </c>
      <c r="U148">
        <f>IF($AH148="","",Settings!$C$8)</f>
        <v/>
      </c>
      <c r="V148" s="7">
        <f>IF($AH148="","",SUMIFS('Per Line'!$V$2:$V$1601,'Per Line'!$D$2:$D$1601,$B148,'Per Line'!$AN$2:$AN$1601,1))</f>
        <v/>
      </c>
      <c r="W148" s="7">
        <f>IF($AH148="","",V148*U148)</f>
        <v/>
      </c>
      <c r="X148">
        <f>IF($AH148="","",Settings!$C$7)</f>
        <v/>
      </c>
      <c r="Y148" s="7">
        <f>IF($AH148="","",SUMIFS('Per Line'!$V$2:$V$1601,'Per Line'!$D$2:$D$1601,$B148,'Per Line'!$AM$2:$AM$1601,0,'Per Line'!$AN$2:$AN$1601,0))</f>
        <v/>
      </c>
      <c r="Z148" s="7">
        <f>IF($AH148="","",Y148*X148)</f>
        <v/>
      </c>
      <c r="AA148">
        <f>IF($AH148="","",Settings!$C$6)</f>
        <v/>
      </c>
      <c r="AB148" s="7">
        <f>IF($AH148="","",SUMIFS('Per Line'!$V$2:$V$1601,'Per Line'!$D$2:$D$1601,$B148,'Per Line'!$AM$2:$AM$1601,1,'Per Line'!$AN$2:$AN$1601,0))</f>
        <v/>
      </c>
      <c r="AC148" s="7">
        <f>IF($AH148="","",AB148*AA148)</f>
        <v/>
      </c>
      <c r="AD148" s="7">
        <f>IF($AH148="","",AC148+Z148+W148)</f>
        <v/>
      </c>
      <c r="AE148" s="7">
        <f>IF($AH148="","",AF148-AD148)</f>
        <v/>
      </c>
      <c r="AF148" s="7">
        <f>IF($AH148="","",Y148+AB148+V148)</f>
        <v/>
      </c>
      <c r="AG148" s="7">
        <f>IF($AH148="","",AF148-AD148-N148)</f>
        <v/>
      </c>
      <c r="AH148" s="13">
        <f>IF(ROWS($AH$2:$AH148)&lt;=MAX('Per Line'!$AL$2:$AL$1601),MATCH(ROWS($AH$2:$AH148),'Per Line'!$AL$2:$AL$1601,0),"")</f>
        <v/>
      </c>
    </row>
    <row r="149">
      <c r="A149" s="12" t="n"/>
      <c r="B149">
        <f>IF($AH149="","",INDEX('Per Line'!$D$2:$D$1601,$AH149)&amp;"")</f>
        <v/>
      </c>
      <c r="C149">
        <f>IF($AH149="","",INDEX('Per Line'!$A$2:$A$1601,$AH149)&amp;"")</f>
        <v/>
      </c>
      <c r="D149">
        <f>IF($AH149="","",INDEX('Per Line'!$B$2:$B$1601,$AH149))</f>
        <v/>
      </c>
      <c r="E149">
        <f>IF($AH149="","",INDEX('Per Line'!$C$2:$C$1601,$AH149)&amp;"")</f>
        <v/>
      </c>
      <c r="F149">
        <f>IF($AH149="","",INDEX('Per Line'!$E$2:$E$1601,$AH149)&amp;"")</f>
        <v/>
      </c>
      <c r="G149" s="11">
        <f>IF($AH149="","",INDEX('Per Line'!$F$2:$F$1601,$AH149))</f>
        <v/>
      </c>
      <c r="H149">
        <f>IF($AH149="","",INDEX('Per Line'!$G$2:$G$1601,$AH149)&amp;"")</f>
        <v/>
      </c>
      <c r="I149">
        <f>IF($AH149="","",INDEX('Per Line'!$I$2:$I$1601,$AH149)&amp;"")</f>
        <v/>
      </c>
      <c r="J149">
        <f>IF($AH149="","",INDEX('Per Line'!$J$2:$J$1601,$AH149)&amp;"")</f>
        <v/>
      </c>
      <c r="K149">
        <f>IF($AH149="","",INDEX('Per Line'!$K$2:$K$1601,$AH149)&amp;"")</f>
        <v/>
      </c>
      <c r="L149">
        <f>IF($AH149="","",INDEX('Per Line'!$L$2:$L$1601,$AH149)&amp;"")</f>
        <v/>
      </c>
      <c r="M149">
        <f>IF($AH149="","",INDEX('Per Line'!$M$2:$M$1601,$AH149))</f>
        <v/>
      </c>
      <c r="N149" s="7">
        <f>IF($AH149="","",M149*AE149/100)</f>
        <v/>
      </c>
      <c r="O149">
        <f>IF($AH149="","",INDEX('Per Line'!$Z$2:$Z$1601,$AH149)&amp;"")</f>
        <v/>
      </c>
      <c r="P149">
        <f>IF($AH149="","",INDEX('Per Line'!$AC$2:$AC$1601,$AH149)&amp;"")</f>
        <v/>
      </c>
      <c r="Q149">
        <f>IF($AH149="","",INDEX('Per Line'!$AD$2:$AD$1601,$AH149))</f>
        <v/>
      </c>
      <c r="R149">
        <f>IF($AH149="","",IF(AND(ISNUMBER(Q149),Q149&gt;0),AF149&gt;Q149,FALSE))</f>
        <v/>
      </c>
      <c r="S149">
        <f>IF($AH149="","",INDEX('Per Line'!$AH$2:$AH$1601,$AH149)&amp;"")</f>
        <v/>
      </c>
      <c r="T149" s="11">
        <f>IF($AH149="","",INDEX('Per Line'!$AI$2:$AI$1601,$AH149))</f>
        <v/>
      </c>
      <c r="U149">
        <f>IF($AH149="","",Settings!$C$8)</f>
        <v/>
      </c>
      <c r="V149" s="7">
        <f>IF($AH149="","",SUMIFS('Per Line'!$V$2:$V$1601,'Per Line'!$D$2:$D$1601,$B149,'Per Line'!$AN$2:$AN$1601,1))</f>
        <v/>
      </c>
      <c r="W149" s="7">
        <f>IF($AH149="","",V149*U149)</f>
        <v/>
      </c>
      <c r="X149">
        <f>IF($AH149="","",Settings!$C$7)</f>
        <v/>
      </c>
      <c r="Y149" s="7">
        <f>IF($AH149="","",SUMIFS('Per Line'!$V$2:$V$1601,'Per Line'!$D$2:$D$1601,$B149,'Per Line'!$AM$2:$AM$1601,0,'Per Line'!$AN$2:$AN$1601,0))</f>
        <v/>
      </c>
      <c r="Z149" s="7">
        <f>IF($AH149="","",Y149*X149)</f>
        <v/>
      </c>
      <c r="AA149">
        <f>IF($AH149="","",Settings!$C$6)</f>
        <v/>
      </c>
      <c r="AB149" s="7">
        <f>IF($AH149="","",SUMIFS('Per Line'!$V$2:$V$1601,'Per Line'!$D$2:$D$1601,$B149,'Per Line'!$AM$2:$AM$1601,1,'Per Line'!$AN$2:$AN$1601,0))</f>
        <v/>
      </c>
      <c r="AC149" s="7">
        <f>IF($AH149="","",AB149*AA149)</f>
        <v/>
      </c>
      <c r="AD149" s="7">
        <f>IF($AH149="","",AC149+Z149+W149)</f>
        <v/>
      </c>
      <c r="AE149" s="7">
        <f>IF($AH149="","",AF149-AD149)</f>
        <v/>
      </c>
      <c r="AF149" s="7">
        <f>IF($AH149="","",Y149+AB149+V149)</f>
        <v/>
      </c>
      <c r="AG149" s="7">
        <f>IF($AH149="","",AF149-AD149-N149)</f>
        <v/>
      </c>
      <c r="AH149" s="13">
        <f>IF(ROWS($AH$2:$AH149)&lt;=MAX('Per Line'!$AL$2:$AL$1601),MATCH(ROWS($AH$2:$AH149),'Per Line'!$AL$2:$AL$1601,0),"")</f>
        <v/>
      </c>
    </row>
    <row r="150">
      <c r="A150" s="12" t="n"/>
      <c r="B150">
        <f>IF($AH150="","",INDEX('Per Line'!$D$2:$D$1601,$AH150)&amp;"")</f>
        <v/>
      </c>
      <c r="C150">
        <f>IF($AH150="","",INDEX('Per Line'!$A$2:$A$1601,$AH150)&amp;"")</f>
        <v/>
      </c>
      <c r="D150">
        <f>IF($AH150="","",INDEX('Per Line'!$B$2:$B$1601,$AH150))</f>
        <v/>
      </c>
      <c r="E150">
        <f>IF($AH150="","",INDEX('Per Line'!$C$2:$C$1601,$AH150)&amp;"")</f>
        <v/>
      </c>
      <c r="F150">
        <f>IF($AH150="","",INDEX('Per Line'!$E$2:$E$1601,$AH150)&amp;"")</f>
        <v/>
      </c>
      <c r="G150" s="11">
        <f>IF($AH150="","",INDEX('Per Line'!$F$2:$F$1601,$AH150))</f>
        <v/>
      </c>
      <c r="H150">
        <f>IF($AH150="","",INDEX('Per Line'!$G$2:$G$1601,$AH150)&amp;"")</f>
        <v/>
      </c>
      <c r="I150">
        <f>IF($AH150="","",INDEX('Per Line'!$I$2:$I$1601,$AH150)&amp;"")</f>
        <v/>
      </c>
      <c r="J150">
        <f>IF($AH150="","",INDEX('Per Line'!$J$2:$J$1601,$AH150)&amp;"")</f>
        <v/>
      </c>
      <c r="K150">
        <f>IF($AH150="","",INDEX('Per Line'!$K$2:$K$1601,$AH150)&amp;"")</f>
        <v/>
      </c>
      <c r="L150">
        <f>IF($AH150="","",INDEX('Per Line'!$L$2:$L$1601,$AH150)&amp;"")</f>
        <v/>
      </c>
      <c r="M150">
        <f>IF($AH150="","",INDEX('Per Line'!$M$2:$M$1601,$AH150))</f>
        <v/>
      </c>
      <c r="N150" s="7">
        <f>IF($AH150="","",M150*AE150/100)</f>
        <v/>
      </c>
      <c r="O150">
        <f>IF($AH150="","",INDEX('Per Line'!$Z$2:$Z$1601,$AH150)&amp;"")</f>
        <v/>
      </c>
      <c r="P150">
        <f>IF($AH150="","",INDEX('Per Line'!$AC$2:$AC$1601,$AH150)&amp;"")</f>
        <v/>
      </c>
      <c r="Q150">
        <f>IF($AH150="","",INDEX('Per Line'!$AD$2:$AD$1601,$AH150))</f>
        <v/>
      </c>
      <c r="R150">
        <f>IF($AH150="","",IF(AND(ISNUMBER(Q150),Q150&gt;0),AF150&gt;Q150,FALSE))</f>
        <v/>
      </c>
      <c r="S150">
        <f>IF($AH150="","",INDEX('Per Line'!$AH$2:$AH$1601,$AH150)&amp;"")</f>
        <v/>
      </c>
      <c r="T150" s="11">
        <f>IF($AH150="","",INDEX('Per Line'!$AI$2:$AI$1601,$AH150))</f>
        <v/>
      </c>
      <c r="U150">
        <f>IF($AH150="","",Settings!$C$8)</f>
        <v/>
      </c>
      <c r="V150" s="7">
        <f>IF($AH150="","",SUMIFS('Per Line'!$V$2:$V$1601,'Per Line'!$D$2:$D$1601,$B150,'Per Line'!$AN$2:$AN$1601,1))</f>
        <v/>
      </c>
      <c r="W150" s="7">
        <f>IF($AH150="","",V150*U150)</f>
        <v/>
      </c>
      <c r="X150">
        <f>IF($AH150="","",Settings!$C$7)</f>
        <v/>
      </c>
      <c r="Y150" s="7">
        <f>IF($AH150="","",SUMIFS('Per Line'!$V$2:$V$1601,'Per Line'!$D$2:$D$1601,$B150,'Per Line'!$AM$2:$AM$1601,0,'Per Line'!$AN$2:$AN$1601,0))</f>
        <v/>
      </c>
      <c r="Z150" s="7">
        <f>IF($AH150="","",Y150*X150)</f>
        <v/>
      </c>
      <c r="AA150">
        <f>IF($AH150="","",Settings!$C$6)</f>
        <v/>
      </c>
      <c r="AB150" s="7">
        <f>IF($AH150="","",SUMIFS('Per Line'!$V$2:$V$1601,'Per Line'!$D$2:$D$1601,$B150,'Per Line'!$AM$2:$AM$1601,1,'Per Line'!$AN$2:$AN$1601,0))</f>
        <v/>
      </c>
      <c r="AC150" s="7">
        <f>IF($AH150="","",AB150*AA150)</f>
        <v/>
      </c>
      <c r="AD150" s="7">
        <f>IF($AH150="","",AC150+Z150+W150)</f>
        <v/>
      </c>
      <c r="AE150" s="7">
        <f>IF($AH150="","",AF150-AD150)</f>
        <v/>
      </c>
      <c r="AF150" s="7">
        <f>IF($AH150="","",Y150+AB150+V150)</f>
        <v/>
      </c>
      <c r="AG150" s="7">
        <f>IF($AH150="","",AF150-AD150-N150)</f>
        <v/>
      </c>
      <c r="AH150" s="13">
        <f>IF(ROWS($AH$2:$AH150)&lt;=MAX('Per Line'!$AL$2:$AL$1601),MATCH(ROWS($AH$2:$AH150),'Per Line'!$AL$2:$AL$1601,0),"")</f>
        <v/>
      </c>
    </row>
    <row r="151">
      <c r="A151" s="12" t="n"/>
      <c r="B151">
        <f>IF($AH151="","",INDEX('Per Line'!$D$2:$D$1601,$AH151)&amp;"")</f>
        <v/>
      </c>
      <c r="C151">
        <f>IF($AH151="","",INDEX('Per Line'!$A$2:$A$1601,$AH151)&amp;"")</f>
        <v/>
      </c>
      <c r="D151">
        <f>IF($AH151="","",INDEX('Per Line'!$B$2:$B$1601,$AH151))</f>
        <v/>
      </c>
      <c r="E151">
        <f>IF($AH151="","",INDEX('Per Line'!$C$2:$C$1601,$AH151)&amp;"")</f>
        <v/>
      </c>
      <c r="F151">
        <f>IF($AH151="","",INDEX('Per Line'!$E$2:$E$1601,$AH151)&amp;"")</f>
        <v/>
      </c>
      <c r="G151" s="11">
        <f>IF($AH151="","",INDEX('Per Line'!$F$2:$F$1601,$AH151))</f>
        <v/>
      </c>
      <c r="H151">
        <f>IF($AH151="","",INDEX('Per Line'!$G$2:$G$1601,$AH151)&amp;"")</f>
        <v/>
      </c>
      <c r="I151">
        <f>IF($AH151="","",INDEX('Per Line'!$I$2:$I$1601,$AH151)&amp;"")</f>
        <v/>
      </c>
      <c r="J151">
        <f>IF($AH151="","",INDEX('Per Line'!$J$2:$J$1601,$AH151)&amp;"")</f>
        <v/>
      </c>
      <c r="K151">
        <f>IF($AH151="","",INDEX('Per Line'!$K$2:$K$1601,$AH151)&amp;"")</f>
        <v/>
      </c>
      <c r="L151">
        <f>IF($AH151="","",INDEX('Per Line'!$L$2:$L$1601,$AH151)&amp;"")</f>
        <v/>
      </c>
      <c r="M151">
        <f>IF($AH151="","",INDEX('Per Line'!$M$2:$M$1601,$AH151))</f>
        <v/>
      </c>
      <c r="N151" s="7">
        <f>IF($AH151="","",M151*AE151/100)</f>
        <v/>
      </c>
      <c r="O151">
        <f>IF($AH151="","",INDEX('Per Line'!$Z$2:$Z$1601,$AH151)&amp;"")</f>
        <v/>
      </c>
      <c r="P151">
        <f>IF($AH151="","",INDEX('Per Line'!$AC$2:$AC$1601,$AH151)&amp;"")</f>
        <v/>
      </c>
      <c r="Q151">
        <f>IF($AH151="","",INDEX('Per Line'!$AD$2:$AD$1601,$AH151))</f>
        <v/>
      </c>
      <c r="R151">
        <f>IF($AH151="","",IF(AND(ISNUMBER(Q151),Q151&gt;0),AF151&gt;Q151,FALSE))</f>
        <v/>
      </c>
      <c r="S151">
        <f>IF($AH151="","",INDEX('Per Line'!$AH$2:$AH$1601,$AH151)&amp;"")</f>
        <v/>
      </c>
      <c r="T151" s="11">
        <f>IF($AH151="","",INDEX('Per Line'!$AI$2:$AI$1601,$AH151))</f>
        <v/>
      </c>
      <c r="U151">
        <f>IF($AH151="","",Settings!$C$8)</f>
        <v/>
      </c>
      <c r="V151" s="7">
        <f>IF($AH151="","",SUMIFS('Per Line'!$V$2:$V$1601,'Per Line'!$D$2:$D$1601,$B151,'Per Line'!$AN$2:$AN$1601,1))</f>
        <v/>
      </c>
      <c r="W151" s="7">
        <f>IF($AH151="","",V151*U151)</f>
        <v/>
      </c>
      <c r="X151">
        <f>IF($AH151="","",Settings!$C$7)</f>
        <v/>
      </c>
      <c r="Y151" s="7">
        <f>IF($AH151="","",SUMIFS('Per Line'!$V$2:$V$1601,'Per Line'!$D$2:$D$1601,$B151,'Per Line'!$AM$2:$AM$1601,0,'Per Line'!$AN$2:$AN$1601,0))</f>
        <v/>
      </c>
      <c r="Z151" s="7">
        <f>IF($AH151="","",Y151*X151)</f>
        <v/>
      </c>
      <c r="AA151">
        <f>IF($AH151="","",Settings!$C$6)</f>
        <v/>
      </c>
      <c r="AB151" s="7">
        <f>IF($AH151="","",SUMIFS('Per Line'!$V$2:$V$1601,'Per Line'!$D$2:$D$1601,$B151,'Per Line'!$AM$2:$AM$1601,1,'Per Line'!$AN$2:$AN$1601,0))</f>
        <v/>
      </c>
      <c r="AC151" s="7">
        <f>IF($AH151="","",AB151*AA151)</f>
        <v/>
      </c>
      <c r="AD151" s="7">
        <f>IF($AH151="","",AC151+Z151+W151)</f>
        <v/>
      </c>
      <c r="AE151" s="7">
        <f>IF($AH151="","",AF151-AD151)</f>
        <v/>
      </c>
      <c r="AF151" s="7">
        <f>IF($AH151="","",Y151+AB151+V151)</f>
        <v/>
      </c>
      <c r="AG151" s="7">
        <f>IF($AH151="","",AF151-AD151-N151)</f>
        <v/>
      </c>
      <c r="AH151" s="13">
        <f>IF(ROWS($AH$2:$AH151)&lt;=MAX('Per Line'!$AL$2:$AL$1601),MATCH(ROWS($AH$2:$AH151),'Per Line'!$AL$2:$AL$1601,0),"")</f>
        <v/>
      </c>
    </row>
    <row r="152">
      <c r="A152" s="12" t="n"/>
      <c r="B152">
        <f>IF($AH152="","",INDEX('Per Line'!$D$2:$D$1601,$AH152)&amp;"")</f>
        <v/>
      </c>
      <c r="C152">
        <f>IF($AH152="","",INDEX('Per Line'!$A$2:$A$1601,$AH152)&amp;"")</f>
        <v/>
      </c>
      <c r="D152">
        <f>IF($AH152="","",INDEX('Per Line'!$B$2:$B$1601,$AH152))</f>
        <v/>
      </c>
      <c r="E152">
        <f>IF($AH152="","",INDEX('Per Line'!$C$2:$C$1601,$AH152)&amp;"")</f>
        <v/>
      </c>
      <c r="F152">
        <f>IF($AH152="","",INDEX('Per Line'!$E$2:$E$1601,$AH152)&amp;"")</f>
        <v/>
      </c>
      <c r="G152" s="11">
        <f>IF($AH152="","",INDEX('Per Line'!$F$2:$F$1601,$AH152))</f>
        <v/>
      </c>
      <c r="H152">
        <f>IF($AH152="","",INDEX('Per Line'!$G$2:$G$1601,$AH152)&amp;"")</f>
        <v/>
      </c>
      <c r="I152">
        <f>IF($AH152="","",INDEX('Per Line'!$I$2:$I$1601,$AH152)&amp;"")</f>
        <v/>
      </c>
      <c r="J152">
        <f>IF($AH152="","",INDEX('Per Line'!$J$2:$J$1601,$AH152)&amp;"")</f>
        <v/>
      </c>
      <c r="K152">
        <f>IF($AH152="","",INDEX('Per Line'!$K$2:$K$1601,$AH152)&amp;"")</f>
        <v/>
      </c>
      <c r="L152">
        <f>IF($AH152="","",INDEX('Per Line'!$L$2:$L$1601,$AH152)&amp;"")</f>
        <v/>
      </c>
      <c r="M152">
        <f>IF($AH152="","",INDEX('Per Line'!$M$2:$M$1601,$AH152))</f>
        <v/>
      </c>
      <c r="N152" s="7">
        <f>IF($AH152="","",M152*AE152/100)</f>
        <v/>
      </c>
      <c r="O152">
        <f>IF($AH152="","",INDEX('Per Line'!$Z$2:$Z$1601,$AH152)&amp;"")</f>
        <v/>
      </c>
      <c r="P152">
        <f>IF($AH152="","",INDEX('Per Line'!$AC$2:$AC$1601,$AH152)&amp;"")</f>
        <v/>
      </c>
      <c r="Q152">
        <f>IF($AH152="","",INDEX('Per Line'!$AD$2:$AD$1601,$AH152))</f>
        <v/>
      </c>
      <c r="R152">
        <f>IF($AH152="","",IF(AND(ISNUMBER(Q152),Q152&gt;0),AF152&gt;Q152,FALSE))</f>
        <v/>
      </c>
      <c r="S152">
        <f>IF($AH152="","",INDEX('Per Line'!$AH$2:$AH$1601,$AH152)&amp;"")</f>
        <v/>
      </c>
      <c r="T152" s="11">
        <f>IF($AH152="","",INDEX('Per Line'!$AI$2:$AI$1601,$AH152))</f>
        <v/>
      </c>
      <c r="U152">
        <f>IF($AH152="","",Settings!$C$8)</f>
        <v/>
      </c>
      <c r="V152" s="7">
        <f>IF($AH152="","",SUMIFS('Per Line'!$V$2:$V$1601,'Per Line'!$D$2:$D$1601,$B152,'Per Line'!$AN$2:$AN$1601,1))</f>
        <v/>
      </c>
      <c r="W152" s="7">
        <f>IF($AH152="","",V152*U152)</f>
        <v/>
      </c>
      <c r="X152">
        <f>IF($AH152="","",Settings!$C$7)</f>
        <v/>
      </c>
      <c r="Y152" s="7">
        <f>IF($AH152="","",SUMIFS('Per Line'!$V$2:$V$1601,'Per Line'!$D$2:$D$1601,$B152,'Per Line'!$AM$2:$AM$1601,0,'Per Line'!$AN$2:$AN$1601,0))</f>
        <v/>
      </c>
      <c r="Z152" s="7">
        <f>IF($AH152="","",Y152*X152)</f>
        <v/>
      </c>
      <c r="AA152">
        <f>IF($AH152="","",Settings!$C$6)</f>
        <v/>
      </c>
      <c r="AB152" s="7">
        <f>IF($AH152="","",SUMIFS('Per Line'!$V$2:$V$1601,'Per Line'!$D$2:$D$1601,$B152,'Per Line'!$AM$2:$AM$1601,1,'Per Line'!$AN$2:$AN$1601,0))</f>
        <v/>
      </c>
      <c r="AC152" s="7">
        <f>IF($AH152="","",AB152*AA152)</f>
        <v/>
      </c>
      <c r="AD152" s="7">
        <f>IF($AH152="","",AC152+Z152+W152)</f>
        <v/>
      </c>
      <c r="AE152" s="7">
        <f>IF($AH152="","",AF152-AD152)</f>
        <v/>
      </c>
      <c r="AF152" s="7">
        <f>IF($AH152="","",Y152+AB152+V152)</f>
        <v/>
      </c>
      <c r="AG152" s="7">
        <f>IF($AH152="","",AF152-AD152-N152)</f>
        <v/>
      </c>
      <c r="AH152" s="13">
        <f>IF(ROWS($AH$2:$AH152)&lt;=MAX('Per Line'!$AL$2:$AL$1601),MATCH(ROWS($AH$2:$AH152),'Per Line'!$AL$2:$AL$1601,0),"")</f>
        <v/>
      </c>
    </row>
    <row r="153">
      <c r="A153" s="12" t="n"/>
      <c r="B153">
        <f>IF($AH153="","",INDEX('Per Line'!$D$2:$D$1601,$AH153)&amp;"")</f>
        <v/>
      </c>
      <c r="C153">
        <f>IF($AH153="","",INDEX('Per Line'!$A$2:$A$1601,$AH153)&amp;"")</f>
        <v/>
      </c>
      <c r="D153">
        <f>IF($AH153="","",INDEX('Per Line'!$B$2:$B$1601,$AH153))</f>
        <v/>
      </c>
      <c r="E153">
        <f>IF($AH153="","",INDEX('Per Line'!$C$2:$C$1601,$AH153)&amp;"")</f>
        <v/>
      </c>
      <c r="F153">
        <f>IF($AH153="","",INDEX('Per Line'!$E$2:$E$1601,$AH153)&amp;"")</f>
        <v/>
      </c>
      <c r="G153" s="11">
        <f>IF($AH153="","",INDEX('Per Line'!$F$2:$F$1601,$AH153))</f>
        <v/>
      </c>
      <c r="H153">
        <f>IF($AH153="","",INDEX('Per Line'!$G$2:$G$1601,$AH153)&amp;"")</f>
        <v/>
      </c>
      <c r="I153">
        <f>IF($AH153="","",INDEX('Per Line'!$I$2:$I$1601,$AH153)&amp;"")</f>
        <v/>
      </c>
      <c r="J153">
        <f>IF($AH153="","",INDEX('Per Line'!$J$2:$J$1601,$AH153)&amp;"")</f>
        <v/>
      </c>
      <c r="K153">
        <f>IF($AH153="","",INDEX('Per Line'!$K$2:$K$1601,$AH153)&amp;"")</f>
        <v/>
      </c>
      <c r="L153">
        <f>IF($AH153="","",INDEX('Per Line'!$L$2:$L$1601,$AH153)&amp;"")</f>
        <v/>
      </c>
      <c r="M153">
        <f>IF($AH153="","",INDEX('Per Line'!$M$2:$M$1601,$AH153))</f>
        <v/>
      </c>
      <c r="N153" s="7">
        <f>IF($AH153="","",M153*AE153/100)</f>
        <v/>
      </c>
      <c r="O153">
        <f>IF($AH153="","",INDEX('Per Line'!$Z$2:$Z$1601,$AH153)&amp;"")</f>
        <v/>
      </c>
      <c r="P153">
        <f>IF($AH153="","",INDEX('Per Line'!$AC$2:$AC$1601,$AH153)&amp;"")</f>
        <v/>
      </c>
      <c r="Q153">
        <f>IF($AH153="","",INDEX('Per Line'!$AD$2:$AD$1601,$AH153))</f>
        <v/>
      </c>
      <c r="R153">
        <f>IF($AH153="","",IF(AND(ISNUMBER(Q153),Q153&gt;0),AF153&gt;Q153,FALSE))</f>
        <v/>
      </c>
      <c r="S153">
        <f>IF($AH153="","",INDEX('Per Line'!$AH$2:$AH$1601,$AH153)&amp;"")</f>
        <v/>
      </c>
      <c r="T153" s="11">
        <f>IF($AH153="","",INDEX('Per Line'!$AI$2:$AI$1601,$AH153))</f>
        <v/>
      </c>
      <c r="U153">
        <f>IF($AH153="","",Settings!$C$8)</f>
        <v/>
      </c>
      <c r="V153" s="7">
        <f>IF($AH153="","",SUMIFS('Per Line'!$V$2:$V$1601,'Per Line'!$D$2:$D$1601,$B153,'Per Line'!$AN$2:$AN$1601,1))</f>
        <v/>
      </c>
      <c r="W153" s="7">
        <f>IF($AH153="","",V153*U153)</f>
        <v/>
      </c>
      <c r="X153">
        <f>IF($AH153="","",Settings!$C$7)</f>
        <v/>
      </c>
      <c r="Y153" s="7">
        <f>IF($AH153="","",SUMIFS('Per Line'!$V$2:$V$1601,'Per Line'!$D$2:$D$1601,$B153,'Per Line'!$AM$2:$AM$1601,0,'Per Line'!$AN$2:$AN$1601,0))</f>
        <v/>
      </c>
      <c r="Z153" s="7">
        <f>IF($AH153="","",Y153*X153)</f>
        <v/>
      </c>
      <c r="AA153">
        <f>IF($AH153="","",Settings!$C$6)</f>
        <v/>
      </c>
      <c r="AB153" s="7">
        <f>IF($AH153="","",SUMIFS('Per Line'!$V$2:$V$1601,'Per Line'!$D$2:$D$1601,$B153,'Per Line'!$AM$2:$AM$1601,1,'Per Line'!$AN$2:$AN$1601,0))</f>
        <v/>
      </c>
      <c r="AC153" s="7">
        <f>IF($AH153="","",AB153*AA153)</f>
        <v/>
      </c>
      <c r="AD153" s="7">
        <f>IF($AH153="","",AC153+Z153+W153)</f>
        <v/>
      </c>
      <c r="AE153" s="7">
        <f>IF($AH153="","",AF153-AD153)</f>
        <v/>
      </c>
      <c r="AF153" s="7">
        <f>IF($AH153="","",Y153+AB153+V153)</f>
        <v/>
      </c>
      <c r="AG153" s="7">
        <f>IF($AH153="","",AF153-AD153-N153)</f>
        <v/>
      </c>
      <c r="AH153" s="13">
        <f>IF(ROWS($AH$2:$AH153)&lt;=MAX('Per Line'!$AL$2:$AL$1601),MATCH(ROWS($AH$2:$AH153),'Per Line'!$AL$2:$AL$1601,0),"")</f>
        <v/>
      </c>
    </row>
    <row r="154">
      <c r="A154" s="12" t="n"/>
      <c r="B154">
        <f>IF($AH154="","",INDEX('Per Line'!$D$2:$D$1601,$AH154)&amp;"")</f>
        <v/>
      </c>
      <c r="C154">
        <f>IF($AH154="","",INDEX('Per Line'!$A$2:$A$1601,$AH154)&amp;"")</f>
        <v/>
      </c>
      <c r="D154">
        <f>IF($AH154="","",INDEX('Per Line'!$B$2:$B$1601,$AH154))</f>
        <v/>
      </c>
      <c r="E154">
        <f>IF($AH154="","",INDEX('Per Line'!$C$2:$C$1601,$AH154)&amp;"")</f>
        <v/>
      </c>
      <c r="F154">
        <f>IF($AH154="","",INDEX('Per Line'!$E$2:$E$1601,$AH154)&amp;"")</f>
        <v/>
      </c>
      <c r="G154" s="11">
        <f>IF($AH154="","",INDEX('Per Line'!$F$2:$F$1601,$AH154))</f>
        <v/>
      </c>
      <c r="H154">
        <f>IF($AH154="","",INDEX('Per Line'!$G$2:$G$1601,$AH154)&amp;"")</f>
        <v/>
      </c>
      <c r="I154">
        <f>IF($AH154="","",INDEX('Per Line'!$I$2:$I$1601,$AH154)&amp;"")</f>
        <v/>
      </c>
      <c r="J154">
        <f>IF($AH154="","",INDEX('Per Line'!$J$2:$J$1601,$AH154)&amp;"")</f>
        <v/>
      </c>
      <c r="K154">
        <f>IF($AH154="","",INDEX('Per Line'!$K$2:$K$1601,$AH154)&amp;"")</f>
        <v/>
      </c>
      <c r="L154">
        <f>IF($AH154="","",INDEX('Per Line'!$L$2:$L$1601,$AH154)&amp;"")</f>
        <v/>
      </c>
      <c r="M154">
        <f>IF($AH154="","",INDEX('Per Line'!$M$2:$M$1601,$AH154))</f>
        <v/>
      </c>
      <c r="N154" s="7">
        <f>IF($AH154="","",M154*AE154/100)</f>
        <v/>
      </c>
      <c r="O154">
        <f>IF($AH154="","",INDEX('Per Line'!$Z$2:$Z$1601,$AH154)&amp;"")</f>
        <v/>
      </c>
      <c r="P154">
        <f>IF($AH154="","",INDEX('Per Line'!$AC$2:$AC$1601,$AH154)&amp;"")</f>
        <v/>
      </c>
      <c r="Q154">
        <f>IF($AH154="","",INDEX('Per Line'!$AD$2:$AD$1601,$AH154))</f>
        <v/>
      </c>
      <c r="R154">
        <f>IF($AH154="","",IF(AND(ISNUMBER(Q154),Q154&gt;0),AF154&gt;Q154,FALSE))</f>
        <v/>
      </c>
      <c r="S154">
        <f>IF($AH154="","",INDEX('Per Line'!$AH$2:$AH$1601,$AH154)&amp;"")</f>
        <v/>
      </c>
      <c r="T154" s="11">
        <f>IF($AH154="","",INDEX('Per Line'!$AI$2:$AI$1601,$AH154))</f>
        <v/>
      </c>
      <c r="U154">
        <f>IF($AH154="","",Settings!$C$8)</f>
        <v/>
      </c>
      <c r="V154" s="7">
        <f>IF($AH154="","",SUMIFS('Per Line'!$V$2:$V$1601,'Per Line'!$D$2:$D$1601,$B154,'Per Line'!$AN$2:$AN$1601,1))</f>
        <v/>
      </c>
      <c r="W154" s="7">
        <f>IF($AH154="","",V154*U154)</f>
        <v/>
      </c>
      <c r="X154">
        <f>IF($AH154="","",Settings!$C$7)</f>
        <v/>
      </c>
      <c r="Y154" s="7">
        <f>IF($AH154="","",SUMIFS('Per Line'!$V$2:$V$1601,'Per Line'!$D$2:$D$1601,$B154,'Per Line'!$AM$2:$AM$1601,0,'Per Line'!$AN$2:$AN$1601,0))</f>
        <v/>
      </c>
      <c r="Z154" s="7">
        <f>IF($AH154="","",Y154*X154)</f>
        <v/>
      </c>
      <c r="AA154">
        <f>IF($AH154="","",Settings!$C$6)</f>
        <v/>
      </c>
      <c r="AB154" s="7">
        <f>IF($AH154="","",SUMIFS('Per Line'!$V$2:$V$1601,'Per Line'!$D$2:$D$1601,$B154,'Per Line'!$AM$2:$AM$1601,1,'Per Line'!$AN$2:$AN$1601,0))</f>
        <v/>
      </c>
      <c r="AC154" s="7">
        <f>IF($AH154="","",AB154*AA154)</f>
        <v/>
      </c>
      <c r="AD154" s="7">
        <f>IF($AH154="","",AC154+Z154+W154)</f>
        <v/>
      </c>
      <c r="AE154" s="7">
        <f>IF($AH154="","",AF154-AD154)</f>
        <v/>
      </c>
      <c r="AF154" s="7">
        <f>IF($AH154="","",Y154+AB154+V154)</f>
        <v/>
      </c>
      <c r="AG154" s="7">
        <f>IF($AH154="","",AF154-AD154-N154)</f>
        <v/>
      </c>
      <c r="AH154" s="13">
        <f>IF(ROWS($AH$2:$AH154)&lt;=MAX('Per Line'!$AL$2:$AL$1601),MATCH(ROWS($AH$2:$AH154),'Per Line'!$AL$2:$AL$1601,0),"")</f>
        <v/>
      </c>
    </row>
    <row r="155">
      <c r="A155" s="12" t="n"/>
      <c r="B155">
        <f>IF($AH155="","",INDEX('Per Line'!$D$2:$D$1601,$AH155)&amp;"")</f>
        <v/>
      </c>
      <c r="C155">
        <f>IF($AH155="","",INDEX('Per Line'!$A$2:$A$1601,$AH155)&amp;"")</f>
        <v/>
      </c>
      <c r="D155">
        <f>IF($AH155="","",INDEX('Per Line'!$B$2:$B$1601,$AH155))</f>
        <v/>
      </c>
      <c r="E155">
        <f>IF($AH155="","",INDEX('Per Line'!$C$2:$C$1601,$AH155)&amp;"")</f>
        <v/>
      </c>
      <c r="F155">
        <f>IF($AH155="","",INDEX('Per Line'!$E$2:$E$1601,$AH155)&amp;"")</f>
        <v/>
      </c>
      <c r="G155" s="11">
        <f>IF($AH155="","",INDEX('Per Line'!$F$2:$F$1601,$AH155))</f>
        <v/>
      </c>
      <c r="H155">
        <f>IF($AH155="","",INDEX('Per Line'!$G$2:$G$1601,$AH155)&amp;"")</f>
        <v/>
      </c>
      <c r="I155">
        <f>IF($AH155="","",INDEX('Per Line'!$I$2:$I$1601,$AH155)&amp;"")</f>
        <v/>
      </c>
      <c r="J155">
        <f>IF($AH155="","",INDEX('Per Line'!$J$2:$J$1601,$AH155)&amp;"")</f>
        <v/>
      </c>
      <c r="K155">
        <f>IF($AH155="","",INDEX('Per Line'!$K$2:$K$1601,$AH155)&amp;"")</f>
        <v/>
      </c>
      <c r="L155">
        <f>IF($AH155="","",INDEX('Per Line'!$L$2:$L$1601,$AH155)&amp;"")</f>
        <v/>
      </c>
      <c r="M155">
        <f>IF($AH155="","",INDEX('Per Line'!$M$2:$M$1601,$AH155))</f>
        <v/>
      </c>
      <c r="N155" s="7">
        <f>IF($AH155="","",M155*AE155/100)</f>
        <v/>
      </c>
      <c r="O155">
        <f>IF($AH155="","",INDEX('Per Line'!$Z$2:$Z$1601,$AH155)&amp;"")</f>
        <v/>
      </c>
      <c r="P155">
        <f>IF($AH155="","",INDEX('Per Line'!$AC$2:$AC$1601,$AH155)&amp;"")</f>
        <v/>
      </c>
      <c r="Q155">
        <f>IF($AH155="","",INDEX('Per Line'!$AD$2:$AD$1601,$AH155))</f>
        <v/>
      </c>
      <c r="R155">
        <f>IF($AH155="","",IF(AND(ISNUMBER(Q155),Q155&gt;0),AF155&gt;Q155,FALSE))</f>
        <v/>
      </c>
      <c r="S155">
        <f>IF($AH155="","",INDEX('Per Line'!$AH$2:$AH$1601,$AH155)&amp;"")</f>
        <v/>
      </c>
      <c r="T155" s="11">
        <f>IF($AH155="","",INDEX('Per Line'!$AI$2:$AI$1601,$AH155))</f>
        <v/>
      </c>
      <c r="U155">
        <f>IF($AH155="","",Settings!$C$8)</f>
        <v/>
      </c>
      <c r="V155" s="7">
        <f>IF($AH155="","",SUMIFS('Per Line'!$V$2:$V$1601,'Per Line'!$D$2:$D$1601,$B155,'Per Line'!$AN$2:$AN$1601,1))</f>
        <v/>
      </c>
      <c r="W155" s="7">
        <f>IF($AH155="","",V155*U155)</f>
        <v/>
      </c>
      <c r="X155">
        <f>IF($AH155="","",Settings!$C$7)</f>
        <v/>
      </c>
      <c r="Y155" s="7">
        <f>IF($AH155="","",SUMIFS('Per Line'!$V$2:$V$1601,'Per Line'!$D$2:$D$1601,$B155,'Per Line'!$AM$2:$AM$1601,0,'Per Line'!$AN$2:$AN$1601,0))</f>
        <v/>
      </c>
      <c r="Z155" s="7">
        <f>IF($AH155="","",Y155*X155)</f>
        <v/>
      </c>
      <c r="AA155">
        <f>IF($AH155="","",Settings!$C$6)</f>
        <v/>
      </c>
      <c r="AB155" s="7">
        <f>IF($AH155="","",SUMIFS('Per Line'!$V$2:$V$1601,'Per Line'!$D$2:$D$1601,$B155,'Per Line'!$AM$2:$AM$1601,1,'Per Line'!$AN$2:$AN$1601,0))</f>
        <v/>
      </c>
      <c r="AC155" s="7">
        <f>IF($AH155="","",AB155*AA155)</f>
        <v/>
      </c>
      <c r="AD155" s="7">
        <f>IF($AH155="","",AC155+Z155+W155)</f>
        <v/>
      </c>
      <c r="AE155" s="7">
        <f>IF($AH155="","",AF155-AD155)</f>
        <v/>
      </c>
      <c r="AF155" s="7">
        <f>IF($AH155="","",Y155+AB155+V155)</f>
        <v/>
      </c>
      <c r="AG155" s="7">
        <f>IF($AH155="","",AF155-AD155-N155)</f>
        <v/>
      </c>
      <c r="AH155" s="13">
        <f>IF(ROWS($AH$2:$AH155)&lt;=MAX('Per Line'!$AL$2:$AL$1601),MATCH(ROWS($AH$2:$AH155),'Per Line'!$AL$2:$AL$1601,0),"")</f>
        <v/>
      </c>
    </row>
    <row r="156">
      <c r="A156" s="12" t="n"/>
      <c r="B156">
        <f>IF($AH156="","",INDEX('Per Line'!$D$2:$D$1601,$AH156)&amp;"")</f>
        <v/>
      </c>
      <c r="C156">
        <f>IF($AH156="","",INDEX('Per Line'!$A$2:$A$1601,$AH156)&amp;"")</f>
        <v/>
      </c>
      <c r="D156">
        <f>IF($AH156="","",INDEX('Per Line'!$B$2:$B$1601,$AH156))</f>
        <v/>
      </c>
      <c r="E156">
        <f>IF($AH156="","",INDEX('Per Line'!$C$2:$C$1601,$AH156)&amp;"")</f>
        <v/>
      </c>
      <c r="F156">
        <f>IF($AH156="","",INDEX('Per Line'!$E$2:$E$1601,$AH156)&amp;"")</f>
        <v/>
      </c>
      <c r="G156" s="11">
        <f>IF($AH156="","",INDEX('Per Line'!$F$2:$F$1601,$AH156))</f>
        <v/>
      </c>
      <c r="H156">
        <f>IF($AH156="","",INDEX('Per Line'!$G$2:$G$1601,$AH156)&amp;"")</f>
        <v/>
      </c>
      <c r="I156">
        <f>IF($AH156="","",INDEX('Per Line'!$I$2:$I$1601,$AH156)&amp;"")</f>
        <v/>
      </c>
      <c r="J156">
        <f>IF($AH156="","",INDEX('Per Line'!$J$2:$J$1601,$AH156)&amp;"")</f>
        <v/>
      </c>
      <c r="K156">
        <f>IF($AH156="","",INDEX('Per Line'!$K$2:$K$1601,$AH156)&amp;"")</f>
        <v/>
      </c>
      <c r="L156">
        <f>IF($AH156="","",INDEX('Per Line'!$L$2:$L$1601,$AH156)&amp;"")</f>
        <v/>
      </c>
      <c r="M156">
        <f>IF($AH156="","",INDEX('Per Line'!$M$2:$M$1601,$AH156))</f>
        <v/>
      </c>
      <c r="N156" s="7">
        <f>IF($AH156="","",M156*AE156/100)</f>
        <v/>
      </c>
      <c r="O156">
        <f>IF($AH156="","",INDEX('Per Line'!$Z$2:$Z$1601,$AH156)&amp;"")</f>
        <v/>
      </c>
      <c r="P156">
        <f>IF($AH156="","",INDEX('Per Line'!$AC$2:$AC$1601,$AH156)&amp;"")</f>
        <v/>
      </c>
      <c r="Q156">
        <f>IF($AH156="","",INDEX('Per Line'!$AD$2:$AD$1601,$AH156))</f>
        <v/>
      </c>
      <c r="R156">
        <f>IF($AH156="","",IF(AND(ISNUMBER(Q156),Q156&gt;0),AF156&gt;Q156,FALSE))</f>
        <v/>
      </c>
      <c r="S156">
        <f>IF($AH156="","",INDEX('Per Line'!$AH$2:$AH$1601,$AH156)&amp;"")</f>
        <v/>
      </c>
      <c r="T156" s="11">
        <f>IF($AH156="","",INDEX('Per Line'!$AI$2:$AI$1601,$AH156))</f>
        <v/>
      </c>
      <c r="U156">
        <f>IF($AH156="","",Settings!$C$8)</f>
        <v/>
      </c>
      <c r="V156" s="7">
        <f>IF($AH156="","",SUMIFS('Per Line'!$V$2:$V$1601,'Per Line'!$D$2:$D$1601,$B156,'Per Line'!$AN$2:$AN$1601,1))</f>
        <v/>
      </c>
      <c r="W156" s="7">
        <f>IF($AH156="","",V156*U156)</f>
        <v/>
      </c>
      <c r="X156">
        <f>IF($AH156="","",Settings!$C$7)</f>
        <v/>
      </c>
      <c r="Y156" s="7">
        <f>IF($AH156="","",SUMIFS('Per Line'!$V$2:$V$1601,'Per Line'!$D$2:$D$1601,$B156,'Per Line'!$AM$2:$AM$1601,0,'Per Line'!$AN$2:$AN$1601,0))</f>
        <v/>
      </c>
      <c r="Z156" s="7">
        <f>IF($AH156="","",Y156*X156)</f>
        <v/>
      </c>
      <c r="AA156">
        <f>IF($AH156="","",Settings!$C$6)</f>
        <v/>
      </c>
      <c r="AB156" s="7">
        <f>IF($AH156="","",SUMIFS('Per Line'!$V$2:$V$1601,'Per Line'!$D$2:$D$1601,$B156,'Per Line'!$AM$2:$AM$1601,1,'Per Line'!$AN$2:$AN$1601,0))</f>
        <v/>
      </c>
      <c r="AC156" s="7">
        <f>IF($AH156="","",AB156*AA156)</f>
        <v/>
      </c>
      <c r="AD156" s="7">
        <f>IF($AH156="","",AC156+Z156+W156)</f>
        <v/>
      </c>
      <c r="AE156" s="7">
        <f>IF($AH156="","",AF156-AD156)</f>
        <v/>
      </c>
      <c r="AF156" s="7">
        <f>IF($AH156="","",Y156+AB156+V156)</f>
        <v/>
      </c>
      <c r="AG156" s="7">
        <f>IF($AH156="","",AF156-AD156-N156)</f>
        <v/>
      </c>
      <c r="AH156" s="13">
        <f>IF(ROWS($AH$2:$AH156)&lt;=MAX('Per Line'!$AL$2:$AL$1601),MATCH(ROWS($AH$2:$AH156),'Per Line'!$AL$2:$AL$1601,0),"")</f>
        <v/>
      </c>
    </row>
    <row r="157">
      <c r="A157" s="12" t="n"/>
      <c r="B157">
        <f>IF($AH157="","",INDEX('Per Line'!$D$2:$D$1601,$AH157)&amp;"")</f>
        <v/>
      </c>
      <c r="C157">
        <f>IF($AH157="","",INDEX('Per Line'!$A$2:$A$1601,$AH157)&amp;"")</f>
        <v/>
      </c>
      <c r="D157">
        <f>IF($AH157="","",INDEX('Per Line'!$B$2:$B$1601,$AH157))</f>
        <v/>
      </c>
      <c r="E157">
        <f>IF($AH157="","",INDEX('Per Line'!$C$2:$C$1601,$AH157)&amp;"")</f>
        <v/>
      </c>
      <c r="F157">
        <f>IF($AH157="","",INDEX('Per Line'!$E$2:$E$1601,$AH157)&amp;"")</f>
        <v/>
      </c>
      <c r="G157" s="11">
        <f>IF($AH157="","",INDEX('Per Line'!$F$2:$F$1601,$AH157))</f>
        <v/>
      </c>
      <c r="H157">
        <f>IF($AH157="","",INDEX('Per Line'!$G$2:$G$1601,$AH157)&amp;"")</f>
        <v/>
      </c>
      <c r="I157">
        <f>IF($AH157="","",INDEX('Per Line'!$I$2:$I$1601,$AH157)&amp;"")</f>
        <v/>
      </c>
      <c r="J157">
        <f>IF($AH157="","",INDEX('Per Line'!$J$2:$J$1601,$AH157)&amp;"")</f>
        <v/>
      </c>
      <c r="K157">
        <f>IF($AH157="","",INDEX('Per Line'!$K$2:$K$1601,$AH157)&amp;"")</f>
        <v/>
      </c>
      <c r="L157">
        <f>IF($AH157="","",INDEX('Per Line'!$L$2:$L$1601,$AH157)&amp;"")</f>
        <v/>
      </c>
      <c r="M157">
        <f>IF($AH157="","",INDEX('Per Line'!$M$2:$M$1601,$AH157))</f>
        <v/>
      </c>
      <c r="N157" s="7">
        <f>IF($AH157="","",M157*AE157/100)</f>
        <v/>
      </c>
      <c r="O157">
        <f>IF($AH157="","",INDEX('Per Line'!$Z$2:$Z$1601,$AH157)&amp;"")</f>
        <v/>
      </c>
      <c r="P157">
        <f>IF($AH157="","",INDEX('Per Line'!$AC$2:$AC$1601,$AH157)&amp;"")</f>
        <v/>
      </c>
      <c r="Q157">
        <f>IF($AH157="","",INDEX('Per Line'!$AD$2:$AD$1601,$AH157))</f>
        <v/>
      </c>
      <c r="R157">
        <f>IF($AH157="","",IF(AND(ISNUMBER(Q157),Q157&gt;0),AF157&gt;Q157,FALSE))</f>
        <v/>
      </c>
      <c r="S157">
        <f>IF($AH157="","",INDEX('Per Line'!$AH$2:$AH$1601,$AH157)&amp;"")</f>
        <v/>
      </c>
      <c r="T157" s="11">
        <f>IF($AH157="","",INDEX('Per Line'!$AI$2:$AI$1601,$AH157))</f>
        <v/>
      </c>
      <c r="U157">
        <f>IF($AH157="","",Settings!$C$8)</f>
        <v/>
      </c>
      <c r="V157" s="7">
        <f>IF($AH157="","",SUMIFS('Per Line'!$V$2:$V$1601,'Per Line'!$D$2:$D$1601,$B157,'Per Line'!$AN$2:$AN$1601,1))</f>
        <v/>
      </c>
      <c r="W157" s="7">
        <f>IF($AH157="","",V157*U157)</f>
        <v/>
      </c>
      <c r="X157">
        <f>IF($AH157="","",Settings!$C$7)</f>
        <v/>
      </c>
      <c r="Y157" s="7">
        <f>IF($AH157="","",SUMIFS('Per Line'!$V$2:$V$1601,'Per Line'!$D$2:$D$1601,$B157,'Per Line'!$AM$2:$AM$1601,0,'Per Line'!$AN$2:$AN$1601,0))</f>
        <v/>
      </c>
      <c r="Z157" s="7">
        <f>IF($AH157="","",Y157*X157)</f>
        <v/>
      </c>
      <c r="AA157">
        <f>IF($AH157="","",Settings!$C$6)</f>
        <v/>
      </c>
      <c r="AB157" s="7">
        <f>IF($AH157="","",SUMIFS('Per Line'!$V$2:$V$1601,'Per Line'!$D$2:$D$1601,$B157,'Per Line'!$AM$2:$AM$1601,1,'Per Line'!$AN$2:$AN$1601,0))</f>
        <v/>
      </c>
      <c r="AC157" s="7">
        <f>IF($AH157="","",AB157*AA157)</f>
        <v/>
      </c>
      <c r="AD157" s="7">
        <f>IF($AH157="","",AC157+Z157+W157)</f>
        <v/>
      </c>
      <c r="AE157" s="7">
        <f>IF($AH157="","",AF157-AD157)</f>
        <v/>
      </c>
      <c r="AF157" s="7">
        <f>IF($AH157="","",Y157+AB157+V157)</f>
        <v/>
      </c>
      <c r="AG157" s="7">
        <f>IF($AH157="","",AF157-AD157-N157)</f>
        <v/>
      </c>
      <c r="AH157" s="13">
        <f>IF(ROWS($AH$2:$AH157)&lt;=MAX('Per Line'!$AL$2:$AL$1601),MATCH(ROWS($AH$2:$AH157),'Per Line'!$AL$2:$AL$1601,0),"")</f>
        <v/>
      </c>
    </row>
    <row r="158">
      <c r="A158" s="12" t="n"/>
      <c r="B158">
        <f>IF($AH158="","",INDEX('Per Line'!$D$2:$D$1601,$AH158)&amp;"")</f>
        <v/>
      </c>
      <c r="C158">
        <f>IF($AH158="","",INDEX('Per Line'!$A$2:$A$1601,$AH158)&amp;"")</f>
        <v/>
      </c>
      <c r="D158">
        <f>IF($AH158="","",INDEX('Per Line'!$B$2:$B$1601,$AH158))</f>
        <v/>
      </c>
      <c r="E158">
        <f>IF($AH158="","",INDEX('Per Line'!$C$2:$C$1601,$AH158)&amp;"")</f>
        <v/>
      </c>
      <c r="F158">
        <f>IF($AH158="","",INDEX('Per Line'!$E$2:$E$1601,$AH158)&amp;"")</f>
        <v/>
      </c>
      <c r="G158" s="11">
        <f>IF($AH158="","",INDEX('Per Line'!$F$2:$F$1601,$AH158))</f>
        <v/>
      </c>
      <c r="H158">
        <f>IF($AH158="","",INDEX('Per Line'!$G$2:$G$1601,$AH158)&amp;"")</f>
        <v/>
      </c>
      <c r="I158">
        <f>IF($AH158="","",INDEX('Per Line'!$I$2:$I$1601,$AH158)&amp;"")</f>
        <v/>
      </c>
      <c r="J158">
        <f>IF($AH158="","",INDEX('Per Line'!$J$2:$J$1601,$AH158)&amp;"")</f>
        <v/>
      </c>
      <c r="K158">
        <f>IF($AH158="","",INDEX('Per Line'!$K$2:$K$1601,$AH158)&amp;"")</f>
        <v/>
      </c>
      <c r="L158">
        <f>IF($AH158="","",INDEX('Per Line'!$L$2:$L$1601,$AH158)&amp;"")</f>
        <v/>
      </c>
      <c r="M158">
        <f>IF($AH158="","",INDEX('Per Line'!$M$2:$M$1601,$AH158))</f>
        <v/>
      </c>
      <c r="N158" s="7">
        <f>IF($AH158="","",M158*AE158/100)</f>
        <v/>
      </c>
      <c r="O158">
        <f>IF($AH158="","",INDEX('Per Line'!$Z$2:$Z$1601,$AH158)&amp;"")</f>
        <v/>
      </c>
      <c r="P158">
        <f>IF($AH158="","",INDEX('Per Line'!$AC$2:$AC$1601,$AH158)&amp;"")</f>
        <v/>
      </c>
      <c r="Q158">
        <f>IF($AH158="","",INDEX('Per Line'!$AD$2:$AD$1601,$AH158))</f>
        <v/>
      </c>
      <c r="R158">
        <f>IF($AH158="","",IF(AND(ISNUMBER(Q158),Q158&gt;0),AF158&gt;Q158,FALSE))</f>
        <v/>
      </c>
      <c r="S158">
        <f>IF($AH158="","",INDEX('Per Line'!$AH$2:$AH$1601,$AH158)&amp;"")</f>
        <v/>
      </c>
      <c r="T158" s="11">
        <f>IF($AH158="","",INDEX('Per Line'!$AI$2:$AI$1601,$AH158))</f>
        <v/>
      </c>
      <c r="U158">
        <f>IF($AH158="","",Settings!$C$8)</f>
        <v/>
      </c>
      <c r="V158" s="7">
        <f>IF($AH158="","",SUMIFS('Per Line'!$V$2:$V$1601,'Per Line'!$D$2:$D$1601,$B158,'Per Line'!$AN$2:$AN$1601,1))</f>
        <v/>
      </c>
      <c r="W158" s="7">
        <f>IF($AH158="","",V158*U158)</f>
        <v/>
      </c>
      <c r="X158">
        <f>IF($AH158="","",Settings!$C$7)</f>
        <v/>
      </c>
      <c r="Y158" s="7">
        <f>IF($AH158="","",SUMIFS('Per Line'!$V$2:$V$1601,'Per Line'!$D$2:$D$1601,$B158,'Per Line'!$AM$2:$AM$1601,0,'Per Line'!$AN$2:$AN$1601,0))</f>
        <v/>
      </c>
      <c r="Z158" s="7">
        <f>IF($AH158="","",Y158*X158)</f>
        <v/>
      </c>
      <c r="AA158">
        <f>IF($AH158="","",Settings!$C$6)</f>
        <v/>
      </c>
      <c r="AB158" s="7">
        <f>IF($AH158="","",SUMIFS('Per Line'!$V$2:$V$1601,'Per Line'!$D$2:$D$1601,$B158,'Per Line'!$AM$2:$AM$1601,1,'Per Line'!$AN$2:$AN$1601,0))</f>
        <v/>
      </c>
      <c r="AC158" s="7">
        <f>IF($AH158="","",AB158*AA158)</f>
        <v/>
      </c>
      <c r="AD158" s="7">
        <f>IF($AH158="","",AC158+Z158+W158)</f>
        <v/>
      </c>
      <c r="AE158" s="7">
        <f>IF($AH158="","",AF158-AD158)</f>
        <v/>
      </c>
      <c r="AF158" s="7">
        <f>IF($AH158="","",Y158+AB158+V158)</f>
        <v/>
      </c>
      <c r="AG158" s="7">
        <f>IF($AH158="","",AF158-AD158-N158)</f>
        <v/>
      </c>
      <c r="AH158" s="13">
        <f>IF(ROWS($AH$2:$AH158)&lt;=MAX('Per Line'!$AL$2:$AL$1601),MATCH(ROWS($AH$2:$AH158),'Per Line'!$AL$2:$AL$1601,0),"")</f>
        <v/>
      </c>
    </row>
    <row r="159">
      <c r="A159" s="12" t="n"/>
      <c r="B159">
        <f>IF($AH159="","",INDEX('Per Line'!$D$2:$D$1601,$AH159)&amp;"")</f>
        <v/>
      </c>
      <c r="C159">
        <f>IF($AH159="","",INDEX('Per Line'!$A$2:$A$1601,$AH159)&amp;"")</f>
        <v/>
      </c>
      <c r="D159">
        <f>IF($AH159="","",INDEX('Per Line'!$B$2:$B$1601,$AH159))</f>
        <v/>
      </c>
      <c r="E159">
        <f>IF($AH159="","",INDEX('Per Line'!$C$2:$C$1601,$AH159)&amp;"")</f>
        <v/>
      </c>
      <c r="F159">
        <f>IF($AH159="","",INDEX('Per Line'!$E$2:$E$1601,$AH159)&amp;"")</f>
        <v/>
      </c>
      <c r="G159" s="11">
        <f>IF($AH159="","",INDEX('Per Line'!$F$2:$F$1601,$AH159))</f>
        <v/>
      </c>
      <c r="H159">
        <f>IF($AH159="","",INDEX('Per Line'!$G$2:$G$1601,$AH159)&amp;"")</f>
        <v/>
      </c>
      <c r="I159">
        <f>IF($AH159="","",INDEX('Per Line'!$I$2:$I$1601,$AH159)&amp;"")</f>
        <v/>
      </c>
      <c r="J159">
        <f>IF($AH159="","",INDEX('Per Line'!$J$2:$J$1601,$AH159)&amp;"")</f>
        <v/>
      </c>
      <c r="K159">
        <f>IF($AH159="","",INDEX('Per Line'!$K$2:$K$1601,$AH159)&amp;"")</f>
        <v/>
      </c>
      <c r="L159">
        <f>IF($AH159="","",INDEX('Per Line'!$L$2:$L$1601,$AH159)&amp;"")</f>
        <v/>
      </c>
      <c r="M159">
        <f>IF($AH159="","",INDEX('Per Line'!$M$2:$M$1601,$AH159))</f>
        <v/>
      </c>
      <c r="N159" s="7">
        <f>IF($AH159="","",M159*AE159/100)</f>
        <v/>
      </c>
      <c r="O159">
        <f>IF($AH159="","",INDEX('Per Line'!$Z$2:$Z$1601,$AH159)&amp;"")</f>
        <v/>
      </c>
      <c r="P159">
        <f>IF($AH159="","",INDEX('Per Line'!$AC$2:$AC$1601,$AH159)&amp;"")</f>
        <v/>
      </c>
      <c r="Q159">
        <f>IF($AH159="","",INDEX('Per Line'!$AD$2:$AD$1601,$AH159))</f>
        <v/>
      </c>
      <c r="R159">
        <f>IF($AH159="","",IF(AND(ISNUMBER(Q159),Q159&gt;0),AF159&gt;Q159,FALSE))</f>
        <v/>
      </c>
      <c r="S159">
        <f>IF($AH159="","",INDEX('Per Line'!$AH$2:$AH$1601,$AH159)&amp;"")</f>
        <v/>
      </c>
      <c r="T159" s="11">
        <f>IF($AH159="","",INDEX('Per Line'!$AI$2:$AI$1601,$AH159))</f>
        <v/>
      </c>
      <c r="U159">
        <f>IF($AH159="","",Settings!$C$8)</f>
        <v/>
      </c>
      <c r="V159" s="7">
        <f>IF($AH159="","",SUMIFS('Per Line'!$V$2:$V$1601,'Per Line'!$D$2:$D$1601,$B159,'Per Line'!$AN$2:$AN$1601,1))</f>
        <v/>
      </c>
      <c r="W159" s="7">
        <f>IF($AH159="","",V159*U159)</f>
        <v/>
      </c>
      <c r="X159">
        <f>IF($AH159="","",Settings!$C$7)</f>
        <v/>
      </c>
      <c r="Y159" s="7">
        <f>IF($AH159="","",SUMIFS('Per Line'!$V$2:$V$1601,'Per Line'!$D$2:$D$1601,$B159,'Per Line'!$AM$2:$AM$1601,0,'Per Line'!$AN$2:$AN$1601,0))</f>
        <v/>
      </c>
      <c r="Z159" s="7">
        <f>IF($AH159="","",Y159*X159)</f>
        <v/>
      </c>
      <c r="AA159">
        <f>IF($AH159="","",Settings!$C$6)</f>
        <v/>
      </c>
      <c r="AB159" s="7">
        <f>IF($AH159="","",SUMIFS('Per Line'!$V$2:$V$1601,'Per Line'!$D$2:$D$1601,$B159,'Per Line'!$AM$2:$AM$1601,1,'Per Line'!$AN$2:$AN$1601,0))</f>
        <v/>
      </c>
      <c r="AC159" s="7">
        <f>IF($AH159="","",AB159*AA159)</f>
        <v/>
      </c>
      <c r="AD159" s="7">
        <f>IF($AH159="","",AC159+Z159+W159)</f>
        <v/>
      </c>
      <c r="AE159" s="7">
        <f>IF($AH159="","",AF159-AD159)</f>
        <v/>
      </c>
      <c r="AF159" s="7">
        <f>IF($AH159="","",Y159+AB159+V159)</f>
        <v/>
      </c>
      <c r="AG159" s="7">
        <f>IF($AH159="","",AF159-AD159-N159)</f>
        <v/>
      </c>
      <c r="AH159" s="13">
        <f>IF(ROWS($AH$2:$AH159)&lt;=MAX('Per Line'!$AL$2:$AL$1601),MATCH(ROWS($AH$2:$AH159),'Per Line'!$AL$2:$AL$1601,0),"")</f>
        <v/>
      </c>
    </row>
    <row r="160">
      <c r="A160" s="12" t="n"/>
      <c r="B160">
        <f>IF($AH160="","",INDEX('Per Line'!$D$2:$D$1601,$AH160)&amp;"")</f>
        <v/>
      </c>
      <c r="C160">
        <f>IF($AH160="","",INDEX('Per Line'!$A$2:$A$1601,$AH160)&amp;"")</f>
        <v/>
      </c>
      <c r="D160">
        <f>IF($AH160="","",INDEX('Per Line'!$B$2:$B$1601,$AH160))</f>
        <v/>
      </c>
      <c r="E160">
        <f>IF($AH160="","",INDEX('Per Line'!$C$2:$C$1601,$AH160)&amp;"")</f>
        <v/>
      </c>
      <c r="F160">
        <f>IF($AH160="","",INDEX('Per Line'!$E$2:$E$1601,$AH160)&amp;"")</f>
        <v/>
      </c>
      <c r="G160" s="11">
        <f>IF($AH160="","",INDEX('Per Line'!$F$2:$F$1601,$AH160))</f>
        <v/>
      </c>
      <c r="H160">
        <f>IF($AH160="","",INDEX('Per Line'!$G$2:$G$1601,$AH160)&amp;"")</f>
        <v/>
      </c>
      <c r="I160">
        <f>IF($AH160="","",INDEX('Per Line'!$I$2:$I$1601,$AH160)&amp;"")</f>
        <v/>
      </c>
      <c r="J160">
        <f>IF($AH160="","",INDEX('Per Line'!$J$2:$J$1601,$AH160)&amp;"")</f>
        <v/>
      </c>
      <c r="K160">
        <f>IF($AH160="","",INDEX('Per Line'!$K$2:$K$1601,$AH160)&amp;"")</f>
        <v/>
      </c>
      <c r="L160">
        <f>IF($AH160="","",INDEX('Per Line'!$L$2:$L$1601,$AH160)&amp;"")</f>
        <v/>
      </c>
      <c r="M160">
        <f>IF($AH160="","",INDEX('Per Line'!$M$2:$M$1601,$AH160))</f>
        <v/>
      </c>
      <c r="N160" s="7">
        <f>IF($AH160="","",M160*AE160/100)</f>
        <v/>
      </c>
      <c r="O160">
        <f>IF($AH160="","",INDEX('Per Line'!$Z$2:$Z$1601,$AH160)&amp;"")</f>
        <v/>
      </c>
      <c r="P160">
        <f>IF($AH160="","",INDEX('Per Line'!$AC$2:$AC$1601,$AH160)&amp;"")</f>
        <v/>
      </c>
      <c r="Q160">
        <f>IF($AH160="","",INDEX('Per Line'!$AD$2:$AD$1601,$AH160))</f>
        <v/>
      </c>
      <c r="R160">
        <f>IF($AH160="","",IF(AND(ISNUMBER(Q160),Q160&gt;0),AF160&gt;Q160,FALSE))</f>
        <v/>
      </c>
      <c r="S160">
        <f>IF($AH160="","",INDEX('Per Line'!$AH$2:$AH$1601,$AH160)&amp;"")</f>
        <v/>
      </c>
      <c r="T160" s="11">
        <f>IF($AH160="","",INDEX('Per Line'!$AI$2:$AI$1601,$AH160))</f>
        <v/>
      </c>
      <c r="U160">
        <f>IF($AH160="","",Settings!$C$8)</f>
        <v/>
      </c>
      <c r="V160" s="7">
        <f>IF($AH160="","",SUMIFS('Per Line'!$V$2:$V$1601,'Per Line'!$D$2:$D$1601,$B160,'Per Line'!$AN$2:$AN$1601,1))</f>
        <v/>
      </c>
      <c r="W160" s="7">
        <f>IF($AH160="","",V160*U160)</f>
        <v/>
      </c>
      <c r="X160">
        <f>IF($AH160="","",Settings!$C$7)</f>
        <v/>
      </c>
      <c r="Y160" s="7">
        <f>IF($AH160="","",SUMIFS('Per Line'!$V$2:$V$1601,'Per Line'!$D$2:$D$1601,$B160,'Per Line'!$AM$2:$AM$1601,0,'Per Line'!$AN$2:$AN$1601,0))</f>
        <v/>
      </c>
      <c r="Z160" s="7">
        <f>IF($AH160="","",Y160*X160)</f>
        <v/>
      </c>
      <c r="AA160">
        <f>IF($AH160="","",Settings!$C$6)</f>
        <v/>
      </c>
      <c r="AB160" s="7">
        <f>IF($AH160="","",SUMIFS('Per Line'!$V$2:$V$1601,'Per Line'!$D$2:$D$1601,$B160,'Per Line'!$AM$2:$AM$1601,1,'Per Line'!$AN$2:$AN$1601,0))</f>
        <v/>
      </c>
      <c r="AC160" s="7">
        <f>IF($AH160="","",AB160*AA160)</f>
        <v/>
      </c>
      <c r="AD160" s="7">
        <f>IF($AH160="","",AC160+Z160+W160)</f>
        <v/>
      </c>
      <c r="AE160" s="7">
        <f>IF($AH160="","",AF160-AD160)</f>
        <v/>
      </c>
      <c r="AF160" s="7">
        <f>IF($AH160="","",Y160+AB160+V160)</f>
        <v/>
      </c>
      <c r="AG160" s="7">
        <f>IF($AH160="","",AF160-AD160-N160)</f>
        <v/>
      </c>
      <c r="AH160" s="13">
        <f>IF(ROWS($AH$2:$AH160)&lt;=MAX('Per Line'!$AL$2:$AL$1601),MATCH(ROWS($AH$2:$AH160),'Per Line'!$AL$2:$AL$1601,0),"")</f>
        <v/>
      </c>
    </row>
    <row r="161">
      <c r="A161" s="12" t="n"/>
      <c r="B161">
        <f>IF($AH161="","",INDEX('Per Line'!$D$2:$D$1601,$AH161)&amp;"")</f>
        <v/>
      </c>
      <c r="C161">
        <f>IF($AH161="","",INDEX('Per Line'!$A$2:$A$1601,$AH161)&amp;"")</f>
        <v/>
      </c>
      <c r="D161">
        <f>IF($AH161="","",INDEX('Per Line'!$B$2:$B$1601,$AH161))</f>
        <v/>
      </c>
      <c r="E161">
        <f>IF($AH161="","",INDEX('Per Line'!$C$2:$C$1601,$AH161)&amp;"")</f>
        <v/>
      </c>
      <c r="F161">
        <f>IF($AH161="","",INDEX('Per Line'!$E$2:$E$1601,$AH161)&amp;"")</f>
        <v/>
      </c>
      <c r="G161" s="11">
        <f>IF($AH161="","",INDEX('Per Line'!$F$2:$F$1601,$AH161))</f>
        <v/>
      </c>
      <c r="H161">
        <f>IF($AH161="","",INDEX('Per Line'!$G$2:$G$1601,$AH161)&amp;"")</f>
        <v/>
      </c>
      <c r="I161">
        <f>IF($AH161="","",INDEX('Per Line'!$I$2:$I$1601,$AH161)&amp;"")</f>
        <v/>
      </c>
      <c r="J161">
        <f>IF($AH161="","",INDEX('Per Line'!$J$2:$J$1601,$AH161)&amp;"")</f>
        <v/>
      </c>
      <c r="K161">
        <f>IF($AH161="","",INDEX('Per Line'!$K$2:$K$1601,$AH161)&amp;"")</f>
        <v/>
      </c>
      <c r="L161">
        <f>IF($AH161="","",INDEX('Per Line'!$L$2:$L$1601,$AH161)&amp;"")</f>
        <v/>
      </c>
      <c r="M161">
        <f>IF($AH161="","",INDEX('Per Line'!$M$2:$M$1601,$AH161))</f>
        <v/>
      </c>
      <c r="N161" s="7">
        <f>IF($AH161="","",M161*AE161/100)</f>
        <v/>
      </c>
      <c r="O161">
        <f>IF($AH161="","",INDEX('Per Line'!$Z$2:$Z$1601,$AH161)&amp;"")</f>
        <v/>
      </c>
      <c r="P161">
        <f>IF($AH161="","",INDEX('Per Line'!$AC$2:$AC$1601,$AH161)&amp;"")</f>
        <v/>
      </c>
      <c r="Q161">
        <f>IF($AH161="","",INDEX('Per Line'!$AD$2:$AD$1601,$AH161))</f>
        <v/>
      </c>
      <c r="R161">
        <f>IF($AH161="","",IF(AND(ISNUMBER(Q161),Q161&gt;0),AF161&gt;Q161,FALSE))</f>
        <v/>
      </c>
      <c r="S161">
        <f>IF($AH161="","",INDEX('Per Line'!$AH$2:$AH$1601,$AH161)&amp;"")</f>
        <v/>
      </c>
      <c r="T161" s="11">
        <f>IF($AH161="","",INDEX('Per Line'!$AI$2:$AI$1601,$AH161))</f>
        <v/>
      </c>
      <c r="U161">
        <f>IF($AH161="","",Settings!$C$8)</f>
        <v/>
      </c>
      <c r="V161" s="7">
        <f>IF($AH161="","",SUMIFS('Per Line'!$V$2:$V$1601,'Per Line'!$D$2:$D$1601,$B161,'Per Line'!$AN$2:$AN$1601,1))</f>
        <v/>
      </c>
      <c r="W161" s="7">
        <f>IF($AH161="","",V161*U161)</f>
        <v/>
      </c>
      <c r="X161">
        <f>IF($AH161="","",Settings!$C$7)</f>
        <v/>
      </c>
      <c r="Y161" s="7">
        <f>IF($AH161="","",SUMIFS('Per Line'!$V$2:$V$1601,'Per Line'!$D$2:$D$1601,$B161,'Per Line'!$AM$2:$AM$1601,0,'Per Line'!$AN$2:$AN$1601,0))</f>
        <v/>
      </c>
      <c r="Z161" s="7">
        <f>IF($AH161="","",Y161*X161)</f>
        <v/>
      </c>
      <c r="AA161">
        <f>IF($AH161="","",Settings!$C$6)</f>
        <v/>
      </c>
      <c r="AB161" s="7">
        <f>IF($AH161="","",SUMIFS('Per Line'!$V$2:$V$1601,'Per Line'!$D$2:$D$1601,$B161,'Per Line'!$AM$2:$AM$1601,1,'Per Line'!$AN$2:$AN$1601,0))</f>
        <v/>
      </c>
      <c r="AC161" s="7">
        <f>IF($AH161="","",AB161*AA161)</f>
        <v/>
      </c>
      <c r="AD161" s="7">
        <f>IF($AH161="","",AC161+Z161+W161)</f>
        <v/>
      </c>
      <c r="AE161" s="7">
        <f>IF($AH161="","",AF161-AD161)</f>
        <v/>
      </c>
      <c r="AF161" s="7">
        <f>IF($AH161="","",Y161+AB161+V161)</f>
        <v/>
      </c>
      <c r="AG161" s="7">
        <f>IF($AH161="","",AF161-AD161-N161)</f>
        <v/>
      </c>
      <c r="AH161" s="13">
        <f>IF(ROWS($AH$2:$AH161)&lt;=MAX('Per Line'!$AL$2:$AL$1601),MATCH(ROWS($AH$2:$AH161),'Per Line'!$AL$2:$AL$1601,0),"")</f>
        <v/>
      </c>
    </row>
    <row r="162">
      <c r="A162" s="12" t="n"/>
      <c r="B162">
        <f>IF($AH162="","",INDEX('Per Line'!$D$2:$D$1601,$AH162)&amp;"")</f>
        <v/>
      </c>
      <c r="C162">
        <f>IF($AH162="","",INDEX('Per Line'!$A$2:$A$1601,$AH162)&amp;"")</f>
        <v/>
      </c>
      <c r="D162">
        <f>IF($AH162="","",INDEX('Per Line'!$B$2:$B$1601,$AH162))</f>
        <v/>
      </c>
      <c r="E162">
        <f>IF($AH162="","",INDEX('Per Line'!$C$2:$C$1601,$AH162)&amp;"")</f>
        <v/>
      </c>
      <c r="F162">
        <f>IF($AH162="","",INDEX('Per Line'!$E$2:$E$1601,$AH162)&amp;"")</f>
        <v/>
      </c>
      <c r="G162" s="11">
        <f>IF($AH162="","",INDEX('Per Line'!$F$2:$F$1601,$AH162))</f>
        <v/>
      </c>
      <c r="H162">
        <f>IF($AH162="","",INDEX('Per Line'!$G$2:$G$1601,$AH162)&amp;"")</f>
        <v/>
      </c>
      <c r="I162">
        <f>IF($AH162="","",INDEX('Per Line'!$I$2:$I$1601,$AH162)&amp;"")</f>
        <v/>
      </c>
      <c r="J162">
        <f>IF($AH162="","",INDEX('Per Line'!$J$2:$J$1601,$AH162)&amp;"")</f>
        <v/>
      </c>
      <c r="K162">
        <f>IF($AH162="","",INDEX('Per Line'!$K$2:$K$1601,$AH162)&amp;"")</f>
        <v/>
      </c>
      <c r="L162">
        <f>IF($AH162="","",INDEX('Per Line'!$L$2:$L$1601,$AH162)&amp;"")</f>
        <v/>
      </c>
      <c r="M162">
        <f>IF($AH162="","",INDEX('Per Line'!$M$2:$M$1601,$AH162))</f>
        <v/>
      </c>
      <c r="N162" s="7">
        <f>IF($AH162="","",M162*AE162/100)</f>
        <v/>
      </c>
      <c r="O162">
        <f>IF($AH162="","",INDEX('Per Line'!$Z$2:$Z$1601,$AH162)&amp;"")</f>
        <v/>
      </c>
      <c r="P162">
        <f>IF($AH162="","",INDEX('Per Line'!$AC$2:$AC$1601,$AH162)&amp;"")</f>
        <v/>
      </c>
      <c r="Q162">
        <f>IF($AH162="","",INDEX('Per Line'!$AD$2:$AD$1601,$AH162))</f>
        <v/>
      </c>
      <c r="R162">
        <f>IF($AH162="","",IF(AND(ISNUMBER(Q162),Q162&gt;0),AF162&gt;Q162,FALSE))</f>
        <v/>
      </c>
      <c r="S162">
        <f>IF($AH162="","",INDEX('Per Line'!$AH$2:$AH$1601,$AH162)&amp;"")</f>
        <v/>
      </c>
      <c r="T162" s="11">
        <f>IF($AH162="","",INDEX('Per Line'!$AI$2:$AI$1601,$AH162))</f>
        <v/>
      </c>
      <c r="U162">
        <f>IF($AH162="","",Settings!$C$8)</f>
        <v/>
      </c>
      <c r="V162" s="7">
        <f>IF($AH162="","",SUMIFS('Per Line'!$V$2:$V$1601,'Per Line'!$D$2:$D$1601,$B162,'Per Line'!$AN$2:$AN$1601,1))</f>
        <v/>
      </c>
      <c r="W162" s="7">
        <f>IF($AH162="","",V162*U162)</f>
        <v/>
      </c>
      <c r="X162">
        <f>IF($AH162="","",Settings!$C$7)</f>
        <v/>
      </c>
      <c r="Y162" s="7">
        <f>IF($AH162="","",SUMIFS('Per Line'!$V$2:$V$1601,'Per Line'!$D$2:$D$1601,$B162,'Per Line'!$AM$2:$AM$1601,0,'Per Line'!$AN$2:$AN$1601,0))</f>
        <v/>
      </c>
      <c r="Z162" s="7">
        <f>IF($AH162="","",Y162*X162)</f>
        <v/>
      </c>
      <c r="AA162">
        <f>IF($AH162="","",Settings!$C$6)</f>
        <v/>
      </c>
      <c r="AB162" s="7">
        <f>IF($AH162="","",SUMIFS('Per Line'!$V$2:$V$1601,'Per Line'!$D$2:$D$1601,$B162,'Per Line'!$AM$2:$AM$1601,1,'Per Line'!$AN$2:$AN$1601,0))</f>
        <v/>
      </c>
      <c r="AC162" s="7">
        <f>IF($AH162="","",AB162*AA162)</f>
        <v/>
      </c>
      <c r="AD162" s="7">
        <f>IF($AH162="","",AC162+Z162+W162)</f>
        <v/>
      </c>
      <c r="AE162" s="7">
        <f>IF($AH162="","",AF162-AD162)</f>
        <v/>
      </c>
      <c r="AF162" s="7">
        <f>IF($AH162="","",Y162+AB162+V162)</f>
        <v/>
      </c>
      <c r="AG162" s="7">
        <f>IF($AH162="","",AF162-AD162-N162)</f>
        <v/>
      </c>
      <c r="AH162" s="13">
        <f>IF(ROWS($AH$2:$AH162)&lt;=MAX('Per Line'!$AL$2:$AL$1601),MATCH(ROWS($AH$2:$AH162),'Per Line'!$AL$2:$AL$1601,0),"")</f>
        <v/>
      </c>
    </row>
    <row r="163">
      <c r="A163" s="12" t="n"/>
      <c r="B163">
        <f>IF($AH163="","",INDEX('Per Line'!$D$2:$D$1601,$AH163)&amp;"")</f>
        <v/>
      </c>
      <c r="C163">
        <f>IF($AH163="","",INDEX('Per Line'!$A$2:$A$1601,$AH163)&amp;"")</f>
        <v/>
      </c>
      <c r="D163">
        <f>IF($AH163="","",INDEX('Per Line'!$B$2:$B$1601,$AH163))</f>
        <v/>
      </c>
      <c r="E163">
        <f>IF($AH163="","",INDEX('Per Line'!$C$2:$C$1601,$AH163)&amp;"")</f>
        <v/>
      </c>
      <c r="F163">
        <f>IF($AH163="","",INDEX('Per Line'!$E$2:$E$1601,$AH163)&amp;"")</f>
        <v/>
      </c>
      <c r="G163" s="11">
        <f>IF($AH163="","",INDEX('Per Line'!$F$2:$F$1601,$AH163))</f>
        <v/>
      </c>
      <c r="H163">
        <f>IF($AH163="","",INDEX('Per Line'!$G$2:$G$1601,$AH163)&amp;"")</f>
        <v/>
      </c>
      <c r="I163">
        <f>IF($AH163="","",INDEX('Per Line'!$I$2:$I$1601,$AH163)&amp;"")</f>
        <v/>
      </c>
      <c r="J163">
        <f>IF($AH163="","",INDEX('Per Line'!$J$2:$J$1601,$AH163)&amp;"")</f>
        <v/>
      </c>
      <c r="K163">
        <f>IF($AH163="","",INDEX('Per Line'!$K$2:$K$1601,$AH163)&amp;"")</f>
        <v/>
      </c>
      <c r="L163">
        <f>IF($AH163="","",INDEX('Per Line'!$L$2:$L$1601,$AH163)&amp;"")</f>
        <v/>
      </c>
      <c r="M163">
        <f>IF($AH163="","",INDEX('Per Line'!$M$2:$M$1601,$AH163))</f>
        <v/>
      </c>
      <c r="N163" s="7">
        <f>IF($AH163="","",M163*AE163/100)</f>
        <v/>
      </c>
      <c r="O163">
        <f>IF($AH163="","",INDEX('Per Line'!$Z$2:$Z$1601,$AH163)&amp;"")</f>
        <v/>
      </c>
      <c r="P163">
        <f>IF($AH163="","",INDEX('Per Line'!$AC$2:$AC$1601,$AH163)&amp;"")</f>
        <v/>
      </c>
      <c r="Q163">
        <f>IF($AH163="","",INDEX('Per Line'!$AD$2:$AD$1601,$AH163))</f>
        <v/>
      </c>
      <c r="R163">
        <f>IF($AH163="","",IF(AND(ISNUMBER(Q163),Q163&gt;0),AF163&gt;Q163,FALSE))</f>
        <v/>
      </c>
      <c r="S163">
        <f>IF($AH163="","",INDEX('Per Line'!$AH$2:$AH$1601,$AH163)&amp;"")</f>
        <v/>
      </c>
      <c r="T163" s="11">
        <f>IF($AH163="","",INDEX('Per Line'!$AI$2:$AI$1601,$AH163))</f>
        <v/>
      </c>
      <c r="U163">
        <f>IF($AH163="","",Settings!$C$8)</f>
        <v/>
      </c>
      <c r="V163" s="7">
        <f>IF($AH163="","",SUMIFS('Per Line'!$V$2:$V$1601,'Per Line'!$D$2:$D$1601,$B163,'Per Line'!$AN$2:$AN$1601,1))</f>
        <v/>
      </c>
      <c r="W163" s="7">
        <f>IF($AH163="","",V163*U163)</f>
        <v/>
      </c>
      <c r="X163">
        <f>IF($AH163="","",Settings!$C$7)</f>
        <v/>
      </c>
      <c r="Y163" s="7">
        <f>IF($AH163="","",SUMIFS('Per Line'!$V$2:$V$1601,'Per Line'!$D$2:$D$1601,$B163,'Per Line'!$AM$2:$AM$1601,0,'Per Line'!$AN$2:$AN$1601,0))</f>
        <v/>
      </c>
      <c r="Z163" s="7">
        <f>IF($AH163="","",Y163*X163)</f>
        <v/>
      </c>
      <c r="AA163">
        <f>IF($AH163="","",Settings!$C$6)</f>
        <v/>
      </c>
      <c r="AB163" s="7">
        <f>IF($AH163="","",SUMIFS('Per Line'!$V$2:$V$1601,'Per Line'!$D$2:$D$1601,$B163,'Per Line'!$AM$2:$AM$1601,1,'Per Line'!$AN$2:$AN$1601,0))</f>
        <v/>
      </c>
      <c r="AC163" s="7">
        <f>IF($AH163="","",AB163*AA163)</f>
        <v/>
      </c>
      <c r="AD163" s="7">
        <f>IF($AH163="","",AC163+Z163+W163)</f>
        <v/>
      </c>
      <c r="AE163" s="7">
        <f>IF($AH163="","",AF163-AD163)</f>
        <v/>
      </c>
      <c r="AF163" s="7">
        <f>IF($AH163="","",Y163+AB163+V163)</f>
        <v/>
      </c>
      <c r="AG163" s="7">
        <f>IF($AH163="","",AF163-AD163-N163)</f>
        <v/>
      </c>
      <c r="AH163" s="13">
        <f>IF(ROWS($AH$2:$AH163)&lt;=MAX('Per Line'!$AL$2:$AL$1601),MATCH(ROWS($AH$2:$AH163),'Per Line'!$AL$2:$AL$1601,0),"")</f>
        <v/>
      </c>
    </row>
    <row r="164">
      <c r="A164" s="12" t="n"/>
      <c r="B164">
        <f>IF($AH164="","",INDEX('Per Line'!$D$2:$D$1601,$AH164)&amp;"")</f>
        <v/>
      </c>
      <c r="C164">
        <f>IF($AH164="","",INDEX('Per Line'!$A$2:$A$1601,$AH164)&amp;"")</f>
        <v/>
      </c>
      <c r="D164">
        <f>IF($AH164="","",INDEX('Per Line'!$B$2:$B$1601,$AH164))</f>
        <v/>
      </c>
      <c r="E164">
        <f>IF($AH164="","",INDEX('Per Line'!$C$2:$C$1601,$AH164)&amp;"")</f>
        <v/>
      </c>
      <c r="F164">
        <f>IF($AH164="","",INDEX('Per Line'!$E$2:$E$1601,$AH164)&amp;"")</f>
        <v/>
      </c>
      <c r="G164" s="11">
        <f>IF($AH164="","",INDEX('Per Line'!$F$2:$F$1601,$AH164))</f>
        <v/>
      </c>
      <c r="H164">
        <f>IF($AH164="","",INDEX('Per Line'!$G$2:$G$1601,$AH164)&amp;"")</f>
        <v/>
      </c>
      <c r="I164">
        <f>IF($AH164="","",INDEX('Per Line'!$I$2:$I$1601,$AH164)&amp;"")</f>
        <v/>
      </c>
      <c r="J164">
        <f>IF($AH164="","",INDEX('Per Line'!$J$2:$J$1601,$AH164)&amp;"")</f>
        <v/>
      </c>
      <c r="K164">
        <f>IF($AH164="","",INDEX('Per Line'!$K$2:$K$1601,$AH164)&amp;"")</f>
        <v/>
      </c>
      <c r="L164">
        <f>IF($AH164="","",INDEX('Per Line'!$L$2:$L$1601,$AH164)&amp;"")</f>
        <v/>
      </c>
      <c r="M164">
        <f>IF($AH164="","",INDEX('Per Line'!$M$2:$M$1601,$AH164))</f>
        <v/>
      </c>
      <c r="N164" s="7">
        <f>IF($AH164="","",M164*AE164/100)</f>
        <v/>
      </c>
      <c r="O164">
        <f>IF($AH164="","",INDEX('Per Line'!$Z$2:$Z$1601,$AH164)&amp;"")</f>
        <v/>
      </c>
      <c r="P164">
        <f>IF($AH164="","",INDEX('Per Line'!$AC$2:$AC$1601,$AH164)&amp;"")</f>
        <v/>
      </c>
      <c r="Q164">
        <f>IF($AH164="","",INDEX('Per Line'!$AD$2:$AD$1601,$AH164))</f>
        <v/>
      </c>
      <c r="R164">
        <f>IF($AH164="","",IF(AND(ISNUMBER(Q164),Q164&gt;0),AF164&gt;Q164,FALSE))</f>
        <v/>
      </c>
      <c r="S164">
        <f>IF($AH164="","",INDEX('Per Line'!$AH$2:$AH$1601,$AH164)&amp;"")</f>
        <v/>
      </c>
      <c r="T164" s="11">
        <f>IF($AH164="","",INDEX('Per Line'!$AI$2:$AI$1601,$AH164))</f>
        <v/>
      </c>
      <c r="U164">
        <f>IF($AH164="","",Settings!$C$8)</f>
        <v/>
      </c>
      <c r="V164" s="7">
        <f>IF($AH164="","",SUMIFS('Per Line'!$V$2:$V$1601,'Per Line'!$D$2:$D$1601,$B164,'Per Line'!$AN$2:$AN$1601,1))</f>
        <v/>
      </c>
      <c r="W164" s="7">
        <f>IF($AH164="","",V164*U164)</f>
        <v/>
      </c>
      <c r="X164">
        <f>IF($AH164="","",Settings!$C$7)</f>
        <v/>
      </c>
      <c r="Y164" s="7">
        <f>IF($AH164="","",SUMIFS('Per Line'!$V$2:$V$1601,'Per Line'!$D$2:$D$1601,$B164,'Per Line'!$AM$2:$AM$1601,0,'Per Line'!$AN$2:$AN$1601,0))</f>
        <v/>
      </c>
      <c r="Z164" s="7">
        <f>IF($AH164="","",Y164*X164)</f>
        <v/>
      </c>
      <c r="AA164">
        <f>IF($AH164="","",Settings!$C$6)</f>
        <v/>
      </c>
      <c r="AB164" s="7">
        <f>IF($AH164="","",SUMIFS('Per Line'!$V$2:$V$1601,'Per Line'!$D$2:$D$1601,$B164,'Per Line'!$AM$2:$AM$1601,1,'Per Line'!$AN$2:$AN$1601,0))</f>
        <v/>
      </c>
      <c r="AC164" s="7">
        <f>IF($AH164="","",AB164*AA164)</f>
        <v/>
      </c>
      <c r="AD164" s="7">
        <f>IF($AH164="","",AC164+Z164+W164)</f>
        <v/>
      </c>
      <c r="AE164" s="7">
        <f>IF($AH164="","",AF164-AD164)</f>
        <v/>
      </c>
      <c r="AF164" s="7">
        <f>IF($AH164="","",Y164+AB164+V164)</f>
        <v/>
      </c>
      <c r="AG164" s="7">
        <f>IF($AH164="","",AF164-AD164-N164)</f>
        <v/>
      </c>
      <c r="AH164" s="13">
        <f>IF(ROWS($AH$2:$AH164)&lt;=MAX('Per Line'!$AL$2:$AL$1601),MATCH(ROWS($AH$2:$AH164),'Per Line'!$AL$2:$AL$1601,0),"")</f>
        <v/>
      </c>
    </row>
    <row r="165">
      <c r="A165" s="12" t="n"/>
      <c r="B165">
        <f>IF($AH165="","",INDEX('Per Line'!$D$2:$D$1601,$AH165)&amp;"")</f>
        <v/>
      </c>
      <c r="C165">
        <f>IF($AH165="","",INDEX('Per Line'!$A$2:$A$1601,$AH165)&amp;"")</f>
        <v/>
      </c>
      <c r="D165">
        <f>IF($AH165="","",INDEX('Per Line'!$B$2:$B$1601,$AH165))</f>
        <v/>
      </c>
      <c r="E165">
        <f>IF($AH165="","",INDEX('Per Line'!$C$2:$C$1601,$AH165)&amp;"")</f>
        <v/>
      </c>
      <c r="F165">
        <f>IF($AH165="","",INDEX('Per Line'!$E$2:$E$1601,$AH165)&amp;"")</f>
        <v/>
      </c>
      <c r="G165" s="11">
        <f>IF($AH165="","",INDEX('Per Line'!$F$2:$F$1601,$AH165))</f>
        <v/>
      </c>
      <c r="H165">
        <f>IF($AH165="","",INDEX('Per Line'!$G$2:$G$1601,$AH165)&amp;"")</f>
        <v/>
      </c>
      <c r="I165">
        <f>IF($AH165="","",INDEX('Per Line'!$I$2:$I$1601,$AH165)&amp;"")</f>
        <v/>
      </c>
      <c r="J165">
        <f>IF($AH165="","",INDEX('Per Line'!$J$2:$J$1601,$AH165)&amp;"")</f>
        <v/>
      </c>
      <c r="K165">
        <f>IF($AH165="","",INDEX('Per Line'!$K$2:$K$1601,$AH165)&amp;"")</f>
        <v/>
      </c>
      <c r="L165">
        <f>IF($AH165="","",INDEX('Per Line'!$L$2:$L$1601,$AH165)&amp;"")</f>
        <v/>
      </c>
      <c r="M165">
        <f>IF($AH165="","",INDEX('Per Line'!$M$2:$M$1601,$AH165))</f>
        <v/>
      </c>
      <c r="N165" s="7">
        <f>IF($AH165="","",M165*AE165/100)</f>
        <v/>
      </c>
      <c r="O165">
        <f>IF($AH165="","",INDEX('Per Line'!$Z$2:$Z$1601,$AH165)&amp;"")</f>
        <v/>
      </c>
      <c r="P165">
        <f>IF($AH165="","",INDEX('Per Line'!$AC$2:$AC$1601,$AH165)&amp;"")</f>
        <v/>
      </c>
      <c r="Q165">
        <f>IF($AH165="","",INDEX('Per Line'!$AD$2:$AD$1601,$AH165))</f>
        <v/>
      </c>
      <c r="R165">
        <f>IF($AH165="","",IF(AND(ISNUMBER(Q165),Q165&gt;0),AF165&gt;Q165,FALSE))</f>
        <v/>
      </c>
      <c r="S165">
        <f>IF($AH165="","",INDEX('Per Line'!$AH$2:$AH$1601,$AH165)&amp;"")</f>
        <v/>
      </c>
      <c r="T165" s="11">
        <f>IF($AH165="","",INDEX('Per Line'!$AI$2:$AI$1601,$AH165))</f>
        <v/>
      </c>
      <c r="U165">
        <f>IF($AH165="","",Settings!$C$8)</f>
        <v/>
      </c>
      <c r="V165" s="7">
        <f>IF($AH165="","",SUMIFS('Per Line'!$V$2:$V$1601,'Per Line'!$D$2:$D$1601,$B165,'Per Line'!$AN$2:$AN$1601,1))</f>
        <v/>
      </c>
      <c r="W165" s="7">
        <f>IF($AH165="","",V165*U165)</f>
        <v/>
      </c>
      <c r="X165">
        <f>IF($AH165="","",Settings!$C$7)</f>
        <v/>
      </c>
      <c r="Y165" s="7">
        <f>IF($AH165="","",SUMIFS('Per Line'!$V$2:$V$1601,'Per Line'!$D$2:$D$1601,$B165,'Per Line'!$AM$2:$AM$1601,0,'Per Line'!$AN$2:$AN$1601,0))</f>
        <v/>
      </c>
      <c r="Z165" s="7">
        <f>IF($AH165="","",Y165*X165)</f>
        <v/>
      </c>
      <c r="AA165">
        <f>IF($AH165="","",Settings!$C$6)</f>
        <v/>
      </c>
      <c r="AB165" s="7">
        <f>IF($AH165="","",SUMIFS('Per Line'!$V$2:$V$1601,'Per Line'!$D$2:$D$1601,$B165,'Per Line'!$AM$2:$AM$1601,1,'Per Line'!$AN$2:$AN$1601,0))</f>
        <v/>
      </c>
      <c r="AC165" s="7">
        <f>IF($AH165="","",AB165*AA165)</f>
        <v/>
      </c>
      <c r="AD165" s="7">
        <f>IF($AH165="","",AC165+Z165+W165)</f>
        <v/>
      </c>
      <c r="AE165" s="7">
        <f>IF($AH165="","",AF165-AD165)</f>
        <v/>
      </c>
      <c r="AF165" s="7">
        <f>IF($AH165="","",Y165+AB165+V165)</f>
        <v/>
      </c>
      <c r="AG165" s="7">
        <f>IF($AH165="","",AF165-AD165-N165)</f>
        <v/>
      </c>
      <c r="AH165" s="13">
        <f>IF(ROWS($AH$2:$AH165)&lt;=MAX('Per Line'!$AL$2:$AL$1601),MATCH(ROWS($AH$2:$AH165),'Per Line'!$AL$2:$AL$1601,0),"")</f>
        <v/>
      </c>
    </row>
    <row r="166">
      <c r="A166" s="12" t="n"/>
      <c r="B166">
        <f>IF($AH166="","",INDEX('Per Line'!$D$2:$D$1601,$AH166)&amp;"")</f>
        <v/>
      </c>
      <c r="C166">
        <f>IF($AH166="","",INDEX('Per Line'!$A$2:$A$1601,$AH166)&amp;"")</f>
        <v/>
      </c>
      <c r="D166">
        <f>IF($AH166="","",INDEX('Per Line'!$B$2:$B$1601,$AH166))</f>
        <v/>
      </c>
      <c r="E166">
        <f>IF($AH166="","",INDEX('Per Line'!$C$2:$C$1601,$AH166)&amp;"")</f>
        <v/>
      </c>
      <c r="F166">
        <f>IF($AH166="","",INDEX('Per Line'!$E$2:$E$1601,$AH166)&amp;"")</f>
        <v/>
      </c>
      <c r="G166" s="11">
        <f>IF($AH166="","",INDEX('Per Line'!$F$2:$F$1601,$AH166))</f>
        <v/>
      </c>
      <c r="H166">
        <f>IF($AH166="","",INDEX('Per Line'!$G$2:$G$1601,$AH166)&amp;"")</f>
        <v/>
      </c>
      <c r="I166">
        <f>IF($AH166="","",INDEX('Per Line'!$I$2:$I$1601,$AH166)&amp;"")</f>
        <v/>
      </c>
      <c r="J166">
        <f>IF($AH166="","",INDEX('Per Line'!$J$2:$J$1601,$AH166)&amp;"")</f>
        <v/>
      </c>
      <c r="K166">
        <f>IF($AH166="","",INDEX('Per Line'!$K$2:$K$1601,$AH166)&amp;"")</f>
        <v/>
      </c>
      <c r="L166">
        <f>IF($AH166="","",INDEX('Per Line'!$L$2:$L$1601,$AH166)&amp;"")</f>
        <v/>
      </c>
      <c r="M166">
        <f>IF($AH166="","",INDEX('Per Line'!$M$2:$M$1601,$AH166))</f>
        <v/>
      </c>
      <c r="N166" s="7">
        <f>IF($AH166="","",M166*AE166/100)</f>
        <v/>
      </c>
      <c r="O166">
        <f>IF($AH166="","",INDEX('Per Line'!$Z$2:$Z$1601,$AH166)&amp;"")</f>
        <v/>
      </c>
      <c r="P166">
        <f>IF($AH166="","",INDEX('Per Line'!$AC$2:$AC$1601,$AH166)&amp;"")</f>
        <v/>
      </c>
      <c r="Q166">
        <f>IF($AH166="","",INDEX('Per Line'!$AD$2:$AD$1601,$AH166))</f>
        <v/>
      </c>
      <c r="R166">
        <f>IF($AH166="","",IF(AND(ISNUMBER(Q166),Q166&gt;0),AF166&gt;Q166,FALSE))</f>
        <v/>
      </c>
      <c r="S166">
        <f>IF($AH166="","",INDEX('Per Line'!$AH$2:$AH$1601,$AH166)&amp;"")</f>
        <v/>
      </c>
      <c r="T166" s="11">
        <f>IF($AH166="","",INDEX('Per Line'!$AI$2:$AI$1601,$AH166))</f>
        <v/>
      </c>
      <c r="U166">
        <f>IF($AH166="","",Settings!$C$8)</f>
        <v/>
      </c>
      <c r="V166" s="7">
        <f>IF($AH166="","",SUMIFS('Per Line'!$V$2:$V$1601,'Per Line'!$D$2:$D$1601,$B166,'Per Line'!$AN$2:$AN$1601,1))</f>
        <v/>
      </c>
      <c r="W166" s="7">
        <f>IF($AH166="","",V166*U166)</f>
        <v/>
      </c>
      <c r="X166">
        <f>IF($AH166="","",Settings!$C$7)</f>
        <v/>
      </c>
      <c r="Y166" s="7">
        <f>IF($AH166="","",SUMIFS('Per Line'!$V$2:$V$1601,'Per Line'!$D$2:$D$1601,$B166,'Per Line'!$AM$2:$AM$1601,0,'Per Line'!$AN$2:$AN$1601,0))</f>
        <v/>
      </c>
      <c r="Z166" s="7">
        <f>IF($AH166="","",Y166*X166)</f>
        <v/>
      </c>
      <c r="AA166">
        <f>IF($AH166="","",Settings!$C$6)</f>
        <v/>
      </c>
      <c r="AB166" s="7">
        <f>IF($AH166="","",SUMIFS('Per Line'!$V$2:$V$1601,'Per Line'!$D$2:$D$1601,$B166,'Per Line'!$AM$2:$AM$1601,1,'Per Line'!$AN$2:$AN$1601,0))</f>
        <v/>
      </c>
      <c r="AC166" s="7">
        <f>IF($AH166="","",AB166*AA166)</f>
        <v/>
      </c>
      <c r="AD166" s="7">
        <f>IF($AH166="","",AC166+Z166+W166)</f>
        <v/>
      </c>
      <c r="AE166" s="7">
        <f>IF($AH166="","",AF166-AD166)</f>
        <v/>
      </c>
      <c r="AF166" s="7">
        <f>IF($AH166="","",Y166+AB166+V166)</f>
        <v/>
      </c>
      <c r="AG166" s="7">
        <f>IF($AH166="","",AF166-AD166-N166)</f>
        <v/>
      </c>
      <c r="AH166" s="13">
        <f>IF(ROWS($AH$2:$AH166)&lt;=MAX('Per Line'!$AL$2:$AL$1601),MATCH(ROWS($AH$2:$AH166),'Per Line'!$AL$2:$AL$1601,0),"")</f>
        <v/>
      </c>
    </row>
    <row r="167">
      <c r="A167" s="12" t="n"/>
      <c r="B167">
        <f>IF($AH167="","",INDEX('Per Line'!$D$2:$D$1601,$AH167)&amp;"")</f>
        <v/>
      </c>
      <c r="C167">
        <f>IF($AH167="","",INDEX('Per Line'!$A$2:$A$1601,$AH167)&amp;"")</f>
        <v/>
      </c>
      <c r="D167">
        <f>IF($AH167="","",INDEX('Per Line'!$B$2:$B$1601,$AH167))</f>
        <v/>
      </c>
      <c r="E167">
        <f>IF($AH167="","",INDEX('Per Line'!$C$2:$C$1601,$AH167)&amp;"")</f>
        <v/>
      </c>
      <c r="F167">
        <f>IF($AH167="","",INDEX('Per Line'!$E$2:$E$1601,$AH167)&amp;"")</f>
        <v/>
      </c>
      <c r="G167" s="11">
        <f>IF($AH167="","",INDEX('Per Line'!$F$2:$F$1601,$AH167))</f>
        <v/>
      </c>
      <c r="H167">
        <f>IF($AH167="","",INDEX('Per Line'!$G$2:$G$1601,$AH167)&amp;"")</f>
        <v/>
      </c>
      <c r="I167">
        <f>IF($AH167="","",INDEX('Per Line'!$I$2:$I$1601,$AH167)&amp;"")</f>
        <v/>
      </c>
      <c r="J167">
        <f>IF($AH167="","",INDEX('Per Line'!$J$2:$J$1601,$AH167)&amp;"")</f>
        <v/>
      </c>
      <c r="K167">
        <f>IF($AH167="","",INDEX('Per Line'!$K$2:$K$1601,$AH167)&amp;"")</f>
        <v/>
      </c>
      <c r="L167">
        <f>IF($AH167="","",INDEX('Per Line'!$L$2:$L$1601,$AH167)&amp;"")</f>
        <v/>
      </c>
      <c r="M167">
        <f>IF($AH167="","",INDEX('Per Line'!$M$2:$M$1601,$AH167))</f>
        <v/>
      </c>
      <c r="N167" s="7">
        <f>IF($AH167="","",M167*AE167/100)</f>
        <v/>
      </c>
      <c r="O167">
        <f>IF($AH167="","",INDEX('Per Line'!$Z$2:$Z$1601,$AH167)&amp;"")</f>
        <v/>
      </c>
      <c r="P167">
        <f>IF($AH167="","",INDEX('Per Line'!$AC$2:$AC$1601,$AH167)&amp;"")</f>
        <v/>
      </c>
      <c r="Q167">
        <f>IF($AH167="","",INDEX('Per Line'!$AD$2:$AD$1601,$AH167))</f>
        <v/>
      </c>
      <c r="R167">
        <f>IF($AH167="","",IF(AND(ISNUMBER(Q167),Q167&gt;0),AF167&gt;Q167,FALSE))</f>
        <v/>
      </c>
      <c r="S167">
        <f>IF($AH167="","",INDEX('Per Line'!$AH$2:$AH$1601,$AH167)&amp;"")</f>
        <v/>
      </c>
      <c r="T167" s="11">
        <f>IF($AH167="","",INDEX('Per Line'!$AI$2:$AI$1601,$AH167))</f>
        <v/>
      </c>
      <c r="U167">
        <f>IF($AH167="","",Settings!$C$8)</f>
        <v/>
      </c>
      <c r="V167" s="7">
        <f>IF($AH167="","",SUMIFS('Per Line'!$V$2:$V$1601,'Per Line'!$D$2:$D$1601,$B167,'Per Line'!$AN$2:$AN$1601,1))</f>
        <v/>
      </c>
      <c r="W167" s="7">
        <f>IF($AH167="","",V167*U167)</f>
        <v/>
      </c>
      <c r="X167">
        <f>IF($AH167="","",Settings!$C$7)</f>
        <v/>
      </c>
      <c r="Y167" s="7">
        <f>IF($AH167="","",SUMIFS('Per Line'!$V$2:$V$1601,'Per Line'!$D$2:$D$1601,$B167,'Per Line'!$AM$2:$AM$1601,0,'Per Line'!$AN$2:$AN$1601,0))</f>
        <v/>
      </c>
      <c r="Z167" s="7">
        <f>IF($AH167="","",Y167*X167)</f>
        <v/>
      </c>
      <c r="AA167">
        <f>IF($AH167="","",Settings!$C$6)</f>
        <v/>
      </c>
      <c r="AB167" s="7">
        <f>IF($AH167="","",SUMIFS('Per Line'!$V$2:$V$1601,'Per Line'!$D$2:$D$1601,$B167,'Per Line'!$AM$2:$AM$1601,1,'Per Line'!$AN$2:$AN$1601,0))</f>
        <v/>
      </c>
      <c r="AC167" s="7">
        <f>IF($AH167="","",AB167*AA167)</f>
        <v/>
      </c>
      <c r="AD167" s="7">
        <f>IF($AH167="","",AC167+Z167+W167)</f>
        <v/>
      </c>
      <c r="AE167" s="7">
        <f>IF($AH167="","",AF167-AD167)</f>
        <v/>
      </c>
      <c r="AF167" s="7">
        <f>IF($AH167="","",Y167+AB167+V167)</f>
        <v/>
      </c>
      <c r="AG167" s="7">
        <f>IF($AH167="","",AF167-AD167-N167)</f>
        <v/>
      </c>
      <c r="AH167" s="13">
        <f>IF(ROWS($AH$2:$AH167)&lt;=MAX('Per Line'!$AL$2:$AL$1601),MATCH(ROWS($AH$2:$AH167),'Per Line'!$AL$2:$AL$1601,0),"")</f>
        <v/>
      </c>
    </row>
    <row r="168">
      <c r="A168" s="12" t="n"/>
      <c r="B168">
        <f>IF($AH168="","",INDEX('Per Line'!$D$2:$D$1601,$AH168)&amp;"")</f>
        <v/>
      </c>
      <c r="C168">
        <f>IF($AH168="","",INDEX('Per Line'!$A$2:$A$1601,$AH168)&amp;"")</f>
        <v/>
      </c>
      <c r="D168">
        <f>IF($AH168="","",INDEX('Per Line'!$B$2:$B$1601,$AH168))</f>
        <v/>
      </c>
      <c r="E168">
        <f>IF($AH168="","",INDEX('Per Line'!$C$2:$C$1601,$AH168)&amp;"")</f>
        <v/>
      </c>
      <c r="F168">
        <f>IF($AH168="","",INDEX('Per Line'!$E$2:$E$1601,$AH168)&amp;"")</f>
        <v/>
      </c>
      <c r="G168" s="11">
        <f>IF($AH168="","",INDEX('Per Line'!$F$2:$F$1601,$AH168))</f>
        <v/>
      </c>
      <c r="H168">
        <f>IF($AH168="","",INDEX('Per Line'!$G$2:$G$1601,$AH168)&amp;"")</f>
        <v/>
      </c>
      <c r="I168">
        <f>IF($AH168="","",INDEX('Per Line'!$I$2:$I$1601,$AH168)&amp;"")</f>
        <v/>
      </c>
      <c r="J168">
        <f>IF($AH168="","",INDEX('Per Line'!$J$2:$J$1601,$AH168)&amp;"")</f>
        <v/>
      </c>
      <c r="K168">
        <f>IF($AH168="","",INDEX('Per Line'!$K$2:$K$1601,$AH168)&amp;"")</f>
        <v/>
      </c>
      <c r="L168">
        <f>IF($AH168="","",INDEX('Per Line'!$L$2:$L$1601,$AH168)&amp;"")</f>
        <v/>
      </c>
      <c r="M168">
        <f>IF($AH168="","",INDEX('Per Line'!$M$2:$M$1601,$AH168))</f>
        <v/>
      </c>
      <c r="N168" s="7">
        <f>IF($AH168="","",M168*AE168/100)</f>
        <v/>
      </c>
      <c r="O168">
        <f>IF($AH168="","",INDEX('Per Line'!$Z$2:$Z$1601,$AH168)&amp;"")</f>
        <v/>
      </c>
      <c r="P168">
        <f>IF($AH168="","",INDEX('Per Line'!$AC$2:$AC$1601,$AH168)&amp;"")</f>
        <v/>
      </c>
      <c r="Q168">
        <f>IF($AH168="","",INDEX('Per Line'!$AD$2:$AD$1601,$AH168))</f>
        <v/>
      </c>
      <c r="R168">
        <f>IF($AH168="","",IF(AND(ISNUMBER(Q168),Q168&gt;0),AF168&gt;Q168,FALSE))</f>
        <v/>
      </c>
      <c r="S168">
        <f>IF($AH168="","",INDEX('Per Line'!$AH$2:$AH$1601,$AH168)&amp;"")</f>
        <v/>
      </c>
      <c r="T168" s="11">
        <f>IF($AH168="","",INDEX('Per Line'!$AI$2:$AI$1601,$AH168))</f>
        <v/>
      </c>
      <c r="U168">
        <f>IF($AH168="","",Settings!$C$8)</f>
        <v/>
      </c>
      <c r="V168" s="7">
        <f>IF($AH168="","",SUMIFS('Per Line'!$V$2:$V$1601,'Per Line'!$D$2:$D$1601,$B168,'Per Line'!$AN$2:$AN$1601,1))</f>
        <v/>
      </c>
      <c r="W168" s="7">
        <f>IF($AH168="","",V168*U168)</f>
        <v/>
      </c>
      <c r="X168">
        <f>IF($AH168="","",Settings!$C$7)</f>
        <v/>
      </c>
      <c r="Y168" s="7">
        <f>IF($AH168="","",SUMIFS('Per Line'!$V$2:$V$1601,'Per Line'!$D$2:$D$1601,$B168,'Per Line'!$AM$2:$AM$1601,0,'Per Line'!$AN$2:$AN$1601,0))</f>
        <v/>
      </c>
      <c r="Z168" s="7">
        <f>IF($AH168="","",Y168*X168)</f>
        <v/>
      </c>
      <c r="AA168">
        <f>IF($AH168="","",Settings!$C$6)</f>
        <v/>
      </c>
      <c r="AB168" s="7">
        <f>IF($AH168="","",SUMIFS('Per Line'!$V$2:$V$1601,'Per Line'!$D$2:$D$1601,$B168,'Per Line'!$AM$2:$AM$1601,1,'Per Line'!$AN$2:$AN$1601,0))</f>
        <v/>
      </c>
      <c r="AC168" s="7">
        <f>IF($AH168="","",AB168*AA168)</f>
        <v/>
      </c>
      <c r="AD168" s="7">
        <f>IF($AH168="","",AC168+Z168+W168)</f>
        <v/>
      </c>
      <c r="AE168" s="7">
        <f>IF($AH168="","",AF168-AD168)</f>
        <v/>
      </c>
      <c r="AF168" s="7">
        <f>IF($AH168="","",Y168+AB168+V168)</f>
        <v/>
      </c>
      <c r="AG168" s="7">
        <f>IF($AH168="","",AF168-AD168-N168)</f>
        <v/>
      </c>
      <c r="AH168" s="13">
        <f>IF(ROWS($AH$2:$AH168)&lt;=MAX('Per Line'!$AL$2:$AL$1601),MATCH(ROWS($AH$2:$AH168),'Per Line'!$AL$2:$AL$1601,0),"")</f>
        <v/>
      </c>
    </row>
    <row r="169">
      <c r="A169" s="12" t="n"/>
      <c r="B169">
        <f>IF($AH169="","",INDEX('Per Line'!$D$2:$D$1601,$AH169)&amp;"")</f>
        <v/>
      </c>
      <c r="C169">
        <f>IF($AH169="","",INDEX('Per Line'!$A$2:$A$1601,$AH169)&amp;"")</f>
        <v/>
      </c>
      <c r="D169">
        <f>IF($AH169="","",INDEX('Per Line'!$B$2:$B$1601,$AH169))</f>
        <v/>
      </c>
      <c r="E169">
        <f>IF($AH169="","",INDEX('Per Line'!$C$2:$C$1601,$AH169)&amp;"")</f>
        <v/>
      </c>
      <c r="F169">
        <f>IF($AH169="","",INDEX('Per Line'!$E$2:$E$1601,$AH169)&amp;"")</f>
        <v/>
      </c>
      <c r="G169" s="11">
        <f>IF($AH169="","",INDEX('Per Line'!$F$2:$F$1601,$AH169))</f>
        <v/>
      </c>
      <c r="H169">
        <f>IF($AH169="","",INDEX('Per Line'!$G$2:$G$1601,$AH169)&amp;"")</f>
        <v/>
      </c>
      <c r="I169">
        <f>IF($AH169="","",INDEX('Per Line'!$I$2:$I$1601,$AH169)&amp;"")</f>
        <v/>
      </c>
      <c r="J169">
        <f>IF($AH169="","",INDEX('Per Line'!$J$2:$J$1601,$AH169)&amp;"")</f>
        <v/>
      </c>
      <c r="K169">
        <f>IF($AH169="","",INDEX('Per Line'!$K$2:$K$1601,$AH169)&amp;"")</f>
        <v/>
      </c>
      <c r="L169">
        <f>IF($AH169="","",INDEX('Per Line'!$L$2:$L$1601,$AH169)&amp;"")</f>
        <v/>
      </c>
      <c r="M169">
        <f>IF($AH169="","",INDEX('Per Line'!$M$2:$M$1601,$AH169))</f>
        <v/>
      </c>
      <c r="N169" s="7">
        <f>IF($AH169="","",M169*AE169/100)</f>
        <v/>
      </c>
      <c r="O169">
        <f>IF($AH169="","",INDEX('Per Line'!$Z$2:$Z$1601,$AH169)&amp;"")</f>
        <v/>
      </c>
      <c r="P169">
        <f>IF($AH169="","",INDEX('Per Line'!$AC$2:$AC$1601,$AH169)&amp;"")</f>
        <v/>
      </c>
      <c r="Q169">
        <f>IF($AH169="","",INDEX('Per Line'!$AD$2:$AD$1601,$AH169))</f>
        <v/>
      </c>
      <c r="R169">
        <f>IF($AH169="","",IF(AND(ISNUMBER(Q169),Q169&gt;0),AF169&gt;Q169,FALSE))</f>
        <v/>
      </c>
      <c r="S169">
        <f>IF($AH169="","",INDEX('Per Line'!$AH$2:$AH$1601,$AH169)&amp;"")</f>
        <v/>
      </c>
      <c r="T169" s="11">
        <f>IF($AH169="","",INDEX('Per Line'!$AI$2:$AI$1601,$AH169))</f>
        <v/>
      </c>
      <c r="U169">
        <f>IF($AH169="","",Settings!$C$8)</f>
        <v/>
      </c>
      <c r="V169" s="7">
        <f>IF($AH169="","",SUMIFS('Per Line'!$V$2:$V$1601,'Per Line'!$D$2:$D$1601,$B169,'Per Line'!$AN$2:$AN$1601,1))</f>
        <v/>
      </c>
      <c r="W169" s="7">
        <f>IF($AH169="","",V169*U169)</f>
        <v/>
      </c>
      <c r="X169">
        <f>IF($AH169="","",Settings!$C$7)</f>
        <v/>
      </c>
      <c r="Y169" s="7">
        <f>IF($AH169="","",SUMIFS('Per Line'!$V$2:$V$1601,'Per Line'!$D$2:$D$1601,$B169,'Per Line'!$AM$2:$AM$1601,0,'Per Line'!$AN$2:$AN$1601,0))</f>
        <v/>
      </c>
      <c r="Z169" s="7">
        <f>IF($AH169="","",Y169*X169)</f>
        <v/>
      </c>
      <c r="AA169">
        <f>IF($AH169="","",Settings!$C$6)</f>
        <v/>
      </c>
      <c r="AB169" s="7">
        <f>IF($AH169="","",SUMIFS('Per Line'!$V$2:$V$1601,'Per Line'!$D$2:$D$1601,$B169,'Per Line'!$AM$2:$AM$1601,1,'Per Line'!$AN$2:$AN$1601,0))</f>
        <v/>
      </c>
      <c r="AC169" s="7">
        <f>IF($AH169="","",AB169*AA169)</f>
        <v/>
      </c>
      <c r="AD169" s="7">
        <f>IF($AH169="","",AC169+Z169+W169)</f>
        <v/>
      </c>
      <c r="AE169" s="7">
        <f>IF($AH169="","",AF169-AD169)</f>
        <v/>
      </c>
      <c r="AF169" s="7">
        <f>IF($AH169="","",Y169+AB169+V169)</f>
        <v/>
      </c>
      <c r="AG169" s="7">
        <f>IF($AH169="","",AF169-AD169-N169)</f>
        <v/>
      </c>
      <c r="AH169" s="13">
        <f>IF(ROWS($AH$2:$AH169)&lt;=MAX('Per Line'!$AL$2:$AL$1601),MATCH(ROWS($AH$2:$AH169),'Per Line'!$AL$2:$AL$1601,0),"")</f>
        <v/>
      </c>
    </row>
    <row r="170">
      <c r="A170" s="12" t="n"/>
      <c r="B170">
        <f>IF($AH170="","",INDEX('Per Line'!$D$2:$D$1601,$AH170)&amp;"")</f>
        <v/>
      </c>
      <c r="C170">
        <f>IF($AH170="","",INDEX('Per Line'!$A$2:$A$1601,$AH170)&amp;"")</f>
        <v/>
      </c>
      <c r="D170">
        <f>IF($AH170="","",INDEX('Per Line'!$B$2:$B$1601,$AH170))</f>
        <v/>
      </c>
      <c r="E170">
        <f>IF($AH170="","",INDEX('Per Line'!$C$2:$C$1601,$AH170)&amp;"")</f>
        <v/>
      </c>
      <c r="F170">
        <f>IF($AH170="","",INDEX('Per Line'!$E$2:$E$1601,$AH170)&amp;"")</f>
        <v/>
      </c>
      <c r="G170" s="11">
        <f>IF($AH170="","",INDEX('Per Line'!$F$2:$F$1601,$AH170))</f>
        <v/>
      </c>
      <c r="H170">
        <f>IF($AH170="","",INDEX('Per Line'!$G$2:$G$1601,$AH170)&amp;"")</f>
        <v/>
      </c>
      <c r="I170">
        <f>IF($AH170="","",INDEX('Per Line'!$I$2:$I$1601,$AH170)&amp;"")</f>
        <v/>
      </c>
      <c r="J170">
        <f>IF($AH170="","",INDEX('Per Line'!$J$2:$J$1601,$AH170)&amp;"")</f>
        <v/>
      </c>
      <c r="K170">
        <f>IF($AH170="","",INDEX('Per Line'!$K$2:$K$1601,$AH170)&amp;"")</f>
        <v/>
      </c>
      <c r="L170">
        <f>IF($AH170="","",INDEX('Per Line'!$L$2:$L$1601,$AH170)&amp;"")</f>
        <v/>
      </c>
      <c r="M170">
        <f>IF($AH170="","",INDEX('Per Line'!$M$2:$M$1601,$AH170))</f>
        <v/>
      </c>
      <c r="N170" s="7">
        <f>IF($AH170="","",M170*AE170/100)</f>
        <v/>
      </c>
      <c r="O170">
        <f>IF($AH170="","",INDEX('Per Line'!$Z$2:$Z$1601,$AH170)&amp;"")</f>
        <v/>
      </c>
      <c r="P170">
        <f>IF($AH170="","",INDEX('Per Line'!$AC$2:$AC$1601,$AH170)&amp;"")</f>
        <v/>
      </c>
      <c r="Q170">
        <f>IF($AH170="","",INDEX('Per Line'!$AD$2:$AD$1601,$AH170))</f>
        <v/>
      </c>
      <c r="R170">
        <f>IF($AH170="","",IF(AND(ISNUMBER(Q170),Q170&gt;0),AF170&gt;Q170,FALSE))</f>
        <v/>
      </c>
      <c r="S170">
        <f>IF($AH170="","",INDEX('Per Line'!$AH$2:$AH$1601,$AH170)&amp;"")</f>
        <v/>
      </c>
      <c r="T170" s="11">
        <f>IF($AH170="","",INDEX('Per Line'!$AI$2:$AI$1601,$AH170))</f>
        <v/>
      </c>
      <c r="U170">
        <f>IF($AH170="","",Settings!$C$8)</f>
        <v/>
      </c>
      <c r="V170" s="7">
        <f>IF($AH170="","",SUMIFS('Per Line'!$V$2:$V$1601,'Per Line'!$D$2:$D$1601,$B170,'Per Line'!$AN$2:$AN$1601,1))</f>
        <v/>
      </c>
      <c r="W170" s="7">
        <f>IF($AH170="","",V170*U170)</f>
        <v/>
      </c>
      <c r="X170">
        <f>IF($AH170="","",Settings!$C$7)</f>
        <v/>
      </c>
      <c r="Y170" s="7">
        <f>IF($AH170="","",SUMIFS('Per Line'!$V$2:$V$1601,'Per Line'!$D$2:$D$1601,$B170,'Per Line'!$AM$2:$AM$1601,0,'Per Line'!$AN$2:$AN$1601,0))</f>
        <v/>
      </c>
      <c r="Z170" s="7">
        <f>IF($AH170="","",Y170*X170)</f>
        <v/>
      </c>
      <c r="AA170">
        <f>IF($AH170="","",Settings!$C$6)</f>
        <v/>
      </c>
      <c r="AB170" s="7">
        <f>IF($AH170="","",SUMIFS('Per Line'!$V$2:$V$1601,'Per Line'!$D$2:$D$1601,$B170,'Per Line'!$AM$2:$AM$1601,1,'Per Line'!$AN$2:$AN$1601,0))</f>
        <v/>
      </c>
      <c r="AC170" s="7">
        <f>IF($AH170="","",AB170*AA170)</f>
        <v/>
      </c>
      <c r="AD170" s="7">
        <f>IF($AH170="","",AC170+Z170+W170)</f>
        <v/>
      </c>
      <c r="AE170" s="7">
        <f>IF($AH170="","",AF170-AD170)</f>
        <v/>
      </c>
      <c r="AF170" s="7">
        <f>IF($AH170="","",Y170+AB170+V170)</f>
        <v/>
      </c>
      <c r="AG170" s="7">
        <f>IF($AH170="","",AF170-AD170-N170)</f>
        <v/>
      </c>
      <c r="AH170" s="13">
        <f>IF(ROWS($AH$2:$AH170)&lt;=MAX('Per Line'!$AL$2:$AL$1601),MATCH(ROWS($AH$2:$AH170),'Per Line'!$AL$2:$AL$1601,0),"")</f>
        <v/>
      </c>
    </row>
    <row r="171">
      <c r="A171" s="12" t="n"/>
      <c r="B171">
        <f>IF($AH171="","",INDEX('Per Line'!$D$2:$D$1601,$AH171)&amp;"")</f>
        <v/>
      </c>
      <c r="C171">
        <f>IF($AH171="","",INDEX('Per Line'!$A$2:$A$1601,$AH171)&amp;"")</f>
        <v/>
      </c>
      <c r="D171">
        <f>IF($AH171="","",INDEX('Per Line'!$B$2:$B$1601,$AH171))</f>
        <v/>
      </c>
      <c r="E171">
        <f>IF($AH171="","",INDEX('Per Line'!$C$2:$C$1601,$AH171)&amp;"")</f>
        <v/>
      </c>
      <c r="F171">
        <f>IF($AH171="","",INDEX('Per Line'!$E$2:$E$1601,$AH171)&amp;"")</f>
        <v/>
      </c>
      <c r="G171" s="11">
        <f>IF($AH171="","",INDEX('Per Line'!$F$2:$F$1601,$AH171))</f>
        <v/>
      </c>
      <c r="H171">
        <f>IF($AH171="","",INDEX('Per Line'!$G$2:$G$1601,$AH171)&amp;"")</f>
        <v/>
      </c>
      <c r="I171">
        <f>IF($AH171="","",INDEX('Per Line'!$I$2:$I$1601,$AH171)&amp;"")</f>
        <v/>
      </c>
      <c r="J171">
        <f>IF($AH171="","",INDEX('Per Line'!$J$2:$J$1601,$AH171)&amp;"")</f>
        <v/>
      </c>
      <c r="K171">
        <f>IF($AH171="","",INDEX('Per Line'!$K$2:$K$1601,$AH171)&amp;"")</f>
        <v/>
      </c>
      <c r="L171">
        <f>IF($AH171="","",INDEX('Per Line'!$L$2:$L$1601,$AH171)&amp;"")</f>
        <v/>
      </c>
      <c r="M171">
        <f>IF($AH171="","",INDEX('Per Line'!$M$2:$M$1601,$AH171))</f>
        <v/>
      </c>
      <c r="N171" s="7">
        <f>IF($AH171="","",M171*AE171/100)</f>
        <v/>
      </c>
      <c r="O171">
        <f>IF($AH171="","",INDEX('Per Line'!$Z$2:$Z$1601,$AH171)&amp;"")</f>
        <v/>
      </c>
      <c r="P171">
        <f>IF($AH171="","",INDEX('Per Line'!$AC$2:$AC$1601,$AH171)&amp;"")</f>
        <v/>
      </c>
      <c r="Q171">
        <f>IF($AH171="","",INDEX('Per Line'!$AD$2:$AD$1601,$AH171))</f>
        <v/>
      </c>
      <c r="R171">
        <f>IF($AH171="","",IF(AND(ISNUMBER(Q171),Q171&gt;0),AF171&gt;Q171,FALSE))</f>
        <v/>
      </c>
      <c r="S171">
        <f>IF($AH171="","",INDEX('Per Line'!$AH$2:$AH$1601,$AH171)&amp;"")</f>
        <v/>
      </c>
      <c r="T171" s="11">
        <f>IF($AH171="","",INDEX('Per Line'!$AI$2:$AI$1601,$AH171))</f>
        <v/>
      </c>
      <c r="U171">
        <f>IF($AH171="","",Settings!$C$8)</f>
        <v/>
      </c>
      <c r="V171" s="7">
        <f>IF($AH171="","",SUMIFS('Per Line'!$V$2:$V$1601,'Per Line'!$D$2:$D$1601,$B171,'Per Line'!$AN$2:$AN$1601,1))</f>
        <v/>
      </c>
      <c r="W171" s="7">
        <f>IF($AH171="","",V171*U171)</f>
        <v/>
      </c>
      <c r="X171">
        <f>IF($AH171="","",Settings!$C$7)</f>
        <v/>
      </c>
      <c r="Y171" s="7">
        <f>IF($AH171="","",SUMIFS('Per Line'!$V$2:$V$1601,'Per Line'!$D$2:$D$1601,$B171,'Per Line'!$AM$2:$AM$1601,0,'Per Line'!$AN$2:$AN$1601,0))</f>
        <v/>
      </c>
      <c r="Z171" s="7">
        <f>IF($AH171="","",Y171*X171)</f>
        <v/>
      </c>
      <c r="AA171">
        <f>IF($AH171="","",Settings!$C$6)</f>
        <v/>
      </c>
      <c r="AB171" s="7">
        <f>IF($AH171="","",SUMIFS('Per Line'!$V$2:$V$1601,'Per Line'!$D$2:$D$1601,$B171,'Per Line'!$AM$2:$AM$1601,1,'Per Line'!$AN$2:$AN$1601,0))</f>
        <v/>
      </c>
      <c r="AC171" s="7">
        <f>IF($AH171="","",AB171*AA171)</f>
        <v/>
      </c>
      <c r="AD171" s="7">
        <f>IF($AH171="","",AC171+Z171+W171)</f>
        <v/>
      </c>
      <c r="AE171" s="7">
        <f>IF($AH171="","",AF171-AD171)</f>
        <v/>
      </c>
      <c r="AF171" s="7">
        <f>IF($AH171="","",Y171+AB171+V171)</f>
        <v/>
      </c>
      <c r="AG171" s="7">
        <f>IF($AH171="","",AF171-AD171-N171)</f>
        <v/>
      </c>
      <c r="AH171" s="13">
        <f>IF(ROWS($AH$2:$AH171)&lt;=MAX('Per Line'!$AL$2:$AL$1601),MATCH(ROWS($AH$2:$AH171),'Per Line'!$AL$2:$AL$1601,0),"")</f>
        <v/>
      </c>
    </row>
    <row r="172">
      <c r="A172" s="12" t="n"/>
      <c r="B172">
        <f>IF($AH172="","",INDEX('Per Line'!$D$2:$D$1601,$AH172)&amp;"")</f>
        <v/>
      </c>
      <c r="C172">
        <f>IF($AH172="","",INDEX('Per Line'!$A$2:$A$1601,$AH172)&amp;"")</f>
        <v/>
      </c>
      <c r="D172">
        <f>IF($AH172="","",INDEX('Per Line'!$B$2:$B$1601,$AH172))</f>
        <v/>
      </c>
      <c r="E172">
        <f>IF($AH172="","",INDEX('Per Line'!$C$2:$C$1601,$AH172)&amp;"")</f>
        <v/>
      </c>
      <c r="F172">
        <f>IF($AH172="","",INDEX('Per Line'!$E$2:$E$1601,$AH172)&amp;"")</f>
        <v/>
      </c>
      <c r="G172" s="11">
        <f>IF($AH172="","",INDEX('Per Line'!$F$2:$F$1601,$AH172))</f>
        <v/>
      </c>
      <c r="H172">
        <f>IF($AH172="","",INDEX('Per Line'!$G$2:$G$1601,$AH172)&amp;"")</f>
        <v/>
      </c>
      <c r="I172">
        <f>IF($AH172="","",INDEX('Per Line'!$I$2:$I$1601,$AH172)&amp;"")</f>
        <v/>
      </c>
      <c r="J172">
        <f>IF($AH172="","",INDEX('Per Line'!$J$2:$J$1601,$AH172)&amp;"")</f>
        <v/>
      </c>
      <c r="K172">
        <f>IF($AH172="","",INDEX('Per Line'!$K$2:$K$1601,$AH172)&amp;"")</f>
        <v/>
      </c>
      <c r="L172">
        <f>IF($AH172="","",INDEX('Per Line'!$L$2:$L$1601,$AH172)&amp;"")</f>
        <v/>
      </c>
      <c r="M172">
        <f>IF($AH172="","",INDEX('Per Line'!$M$2:$M$1601,$AH172))</f>
        <v/>
      </c>
      <c r="N172" s="7">
        <f>IF($AH172="","",M172*AE172/100)</f>
        <v/>
      </c>
      <c r="O172">
        <f>IF($AH172="","",INDEX('Per Line'!$Z$2:$Z$1601,$AH172)&amp;"")</f>
        <v/>
      </c>
      <c r="P172">
        <f>IF($AH172="","",INDEX('Per Line'!$AC$2:$AC$1601,$AH172)&amp;"")</f>
        <v/>
      </c>
      <c r="Q172">
        <f>IF($AH172="","",INDEX('Per Line'!$AD$2:$AD$1601,$AH172))</f>
        <v/>
      </c>
      <c r="R172">
        <f>IF($AH172="","",IF(AND(ISNUMBER(Q172),Q172&gt;0),AF172&gt;Q172,FALSE))</f>
        <v/>
      </c>
      <c r="S172">
        <f>IF($AH172="","",INDEX('Per Line'!$AH$2:$AH$1601,$AH172)&amp;"")</f>
        <v/>
      </c>
      <c r="T172" s="11">
        <f>IF($AH172="","",INDEX('Per Line'!$AI$2:$AI$1601,$AH172))</f>
        <v/>
      </c>
      <c r="U172">
        <f>IF($AH172="","",Settings!$C$8)</f>
        <v/>
      </c>
      <c r="V172" s="7">
        <f>IF($AH172="","",SUMIFS('Per Line'!$V$2:$V$1601,'Per Line'!$D$2:$D$1601,$B172,'Per Line'!$AN$2:$AN$1601,1))</f>
        <v/>
      </c>
      <c r="W172" s="7">
        <f>IF($AH172="","",V172*U172)</f>
        <v/>
      </c>
      <c r="X172">
        <f>IF($AH172="","",Settings!$C$7)</f>
        <v/>
      </c>
      <c r="Y172" s="7">
        <f>IF($AH172="","",SUMIFS('Per Line'!$V$2:$V$1601,'Per Line'!$D$2:$D$1601,$B172,'Per Line'!$AM$2:$AM$1601,0,'Per Line'!$AN$2:$AN$1601,0))</f>
        <v/>
      </c>
      <c r="Z172" s="7">
        <f>IF($AH172="","",Y172*X172)</f>
        <v/>
      </c>
      <c r="AA172">
        <f>IF($AH172="","",Settings!$C$6)</f>
        <v/>
      </c>
      <c r="AB172" s="7">
        <f>IF($AH172="","",SUMIFS('Per Line'!$V$2:$V$1601,'Per Line'!$D$2:$D$1601,$B172,'Per Line'!$AM$2:$AM$1601,1,'Per Line'!$AN$2:$AN$1601,0))</f>
        <v/>
      </c>
      <c r="AC172" s="7">
        <f>IF($AH172="","",AB172*AA172)</f>
        <v/>
      </c>
      <c r="AD172" s="7">
        <f>IF($AH172="","",AC172+Z172+W172)</f>
        <v/>
      </c>
      <c r="AE172" s="7">
        <f>IF($AH172="","",AF172-AD172)</f>
        <v/>
      </c>
      <c r="AF172" s="7">
        <f>IF($AH172="","",Y172+AB172+V172)</f>
        <v/>
      </c>
      <c r="AG172" s="7">
        <f>IF($AH172="","",AF172-AD172-N172)</f>
        <v/>
      </c>
      <c r="AH172" s="13">
        <f>IF(ROWS($AH$2:$AH172)&lt;=MAX('Per Line'!$AL$2:$AL$1601),MATCH(ROWS($AH$2:$AH172),'Per Line'!$AL$2:$AL$1601,0),"")</f>
        <v/>
      </c>
    </row>
    <row r="173">
      <c r="A173" s="12" t="n"/>
      <c r="B173">
        <f>IF($AH173="","",INDEX('Per Line'!$D$2:$D$1601,$AH173)&amp;"")</f>
        <v/>
      </c>
      <c r="C173">
        <f>IF($AH173="","",INDEX('Per Line'!$A$2:$A$1601,$AH173)&amp;"")</f>
        <v/>
      </c>
      <c r="D173">
        <f>IF($AH173="","",INDEX('Per Line'!$B$2:$B$1601,$AH173))</f>
        <v/>
      </c>
      <c r="E173">
        <f>IF($AH173="","",INDEX('Per Line'!$C$2:$C$1601,$AH173)&amp;"")</f>
        <v/>
      </c>
      <c r="F173">
        <f>IF($AH173="","",INDEX('Per Line'!$E$2:$E$1601,$AH173)&amp;"")</f>
        <v/>
      </c>
      <c r="G173" s="11">
        <f>IF($AH173="","",INDEX('Per Line'!$F$2:$F$1601,$AH173))</f>
        <v/>
      </c>
      <c r="H173">
        <f>IF($AH173="","",INDEX('Per Line'!$G$2:$G$1601,$AH173)&amp;"")</f>
        <v/>
      </c>
      <c r="I173">
        <f>IF($AH173="","",INDEX('Per Line'!$I$2:$I$1601,$AH173)&amp;"")</f>
        <v/>
      </c>
      <c r="J173">
        <f>IF($AH173="","",INDEX('Per Line'!$J$2:$J$1601,$AH173)&amp;"")</f>
        <v/>
      </c>
      <c r="K173">
        <f>IF($AH173="","",INDEX('Per Line'!$K$2:$K$1601,$AH173)&amp;"")</f>
        <v/>
      </c>
      <c r="L173">
        <f>IF($AH173="","",INDEX('Per Line'!$L$2:$L$1601,$AH173)&amp;"")</f>
        <v/>
      </c>
      <c r="M173">
        <f>IF($AH173="","",INDEX('Per Line'!$M$2:$M$1601,$AH173))</f>
        <v/>
      </c>
      <c r="N173" s="7">
        <f>IF($AH173="","",M173*AE173/100)</f>
        <v/>
      </c>
      <c r="O173">
        <f>IF($AH173="","",INDEX('Per Line'!$Z$2:$Z$1601,$AH173)&amp;"")</f>
        <v/>
      </c>
      <c r="P173">
        <f>IF($AH173="","",INDEX('Per Line'!$AC$2:$AC$1601,$AH173)&amp;"")</f>
        <v/>
      </c>
      <c r="Q173">
        <f>IF($AH173="","",INDEX('Per Line'!$AD$2:$AD$1601,$AH173))</f>
        <v/>
      </c>
      <c r="R173">
        <f>IF($AH173="","",IF(AND(ISNUMBER(Q173),Q173&gt;0),AF173&gt;Q173,FALSE))</f>
        <v/>
      </c>
      <c r="S173">
        <f>IF($AH173="","",INDEX('Per Line'!$AH$2:$AH$1601,$AH173)&amp;"")</f>
        <v/>
      </c>
      <c r="T173" s="11">
        <f>IF($AH173="","",INDEX('Per Line'!$AI$2:$AI$1601,$AH173))</f>
        <v/>
      </c>
      <c r="U173">
        <f>IF($AH173="","",Settings!$C$8)</f>
        <v/>
      </c>
      <c r="V173" s="7">
        <f>IF($AH173="","",SUMIFS('Per Line'!$V$2:$V$1601,'Per Line'!$D$2:$D$1601,$B173,'Per Line'!$AN$2:$AN$1601,1))</f>
        <v/>
      </c>
      <c r="W173" s="7">
        <f>IF($AH173="","",V173*U173)</f>
        <v/>
      </c>
      <c r="X173">
        <f>IF($AH173="","",Settings!$C$7)</f>
        <v/>
      </c>
      <c r="Y173" s="7">
        <f>IF($AH173="","",SUMIFS('Per Line'!$V$2:$V$1601,'Per Line'!$D$2:$D$1601,$B173,'Per Line'!$AM$2:$AM$1601,0,'Per Line'!$AN$2:$AN$1601,0))</f>
        <v/>
      </c>
      <c r="Z173" s="7">
        <f>IF($AH173="","",Y173*X173)</f>
        <v/>
      </c>
      <c r="AA173">
        <f>IF($AH173="","",Settings!$C$6)</f>
        <v/>
      </c>
      <c r="AB173" s="7">
        <f>IF($AH173="","",SUMIFS('Per Line'!$V$2:$V$1601,'Per Line'!$D$2:$D$1601,$B173,'Per Line'!$AM$2:$AM$1601,1,'Per Line'!$AN$2:$AN$1601,0))</f>
        <v/>
      </c>
      <c r="AC173" s="7">
        <f>IF($AH173="","",AB173*AA173)</f>
        <v/>
      </c>
      <c r="AD173" s="7">
        <f>IF($AH173="","",AC173+Z173+W173)</f>
        <v/>
      </c>
      <c r="AE173" s="7">
        <f>IF($AH173="","",AF173-AD173)</f>
        <v/>
      </c>
      <c r="AF173" s="7">
        <f>IF($AH173="","",Y173+AB173+V173)</f>
        <v/>
      </c>
      <c r="AG173" s="7">
        <f>IF($AH173="","",AF173-AD173-N173)</f>
        <v/>
      </c>
      <c r="AH173" s="13">
        <f>IF(ROWS($AH$2:$AH173)&lt;=MAX('Per Line'!$AL$2:$AL$1601),MATCH(ROWS($AH$2:$AH173),'Per Line'!$AL$2:$AL$1601,0),"")</f>
        <v/>
      </c>
    </row>
    <row r="174">
      <c r="A174" s="12" t="n"/>
      <c r="B174">
        <f>IF($AH174="","",INDEX('Per Line'!$D$2:$D$1601,$AH174)&amp;"")</f>
        <v/>
      </c>
      <c r="C174">
        <f>IF($AH174="","",INDEX('Per Line'!$A$2:$A$1601,$AH174)&amp;"")</f>
        <v/>
      </c>
      <c r="D174">
        <f>IF($AH174="","",INDEX('Per Line'!$B$2:$B$1601,$AH174))</f>
        <v/>
      </c>
      <c r="E174">
        <f>IF($AH174="","",INDEX('Per Line'!$C$2:$C$1601,$AH174)&amp;"")</f>
        <v/>
      </c>
      <c r="F174">
        <f>IF($AH174="","",INDEX('Per Line'!$E$2:$E$1601,$AH174)&amp;"")</f>
        <v/>
      </c>
      <c r="G174" s="11">
        <f>IF($AH174="","",INDEX('Per Line'!$F$2:$F$1601,$AH174))</f>
        <v/>
      </c>
      <c r="H174">
        <f>IF($AH174="","",INDEX('Per Line'!$G$2:$G$1601,$AH174)&amp;"")</f>
        <v/>
      </c>
      <c r="I174">
        <f>IF($AH174="","",INDEX('Per Line'!$I$2:$I$1601,$AH174)&amp;"")</f>
        <v/>
      </c>
      <c r="J174">
        <f>IF($AH174="","",INDEX('Per Line'!$J$2:$J$1601,$AH174)&amp;"")</f>
        <v/>
      </c>
      <c r="K174">
        <f>IF($AH174="","",INDEX('Per Line'!$K$2:$K$1601,$AH174)&amp;"")</f>
        <v/>
      </c>
      <c r="L174">
        <f>IF($AH174="","",INDEX('Per Line'!$L$2:$L$1601,$AH174)&amp;"")</f>
        <v/>
      </c>
      <c r="M174">
        <f>IF($AH174="","",INDEX('Per Line'!$M$2:$M$1601,$AH174))</f>
        <v/>
      </c>
      <c r="N174" s="7">
        <f>IF($AH174="","",M174*AE174/100)</f>
        <v/>
      </c>
      <c r="O174">
        <f>IF($AH174="","",INDEX('Per Line'!$Z$2:$Z$1601,$AH174)&amp;"")</f>
        <v/>
      </c>
      <c r="P174">
        <f>IF($AH174="","",INDEX('Per Line'!$AC$2:$AC$1601,$AH174)&amp;"")</f>
        <v/>
      </c>
      <c r="Q174">
        <f>IF($AH174="","",INDEX('Per Line'!$AD$2:$AD$1601,$AH174))</f>
        <v/>
      </c>
      <c r="R174">
        <f>IF($AH174="","",IF(AND(ISNUMBER(Q174),Q174&gt;0),AF174&gt;Q174,FALSE))</f>
        <v/>
      </c>
      <c r="S174">
        <f>IF($AH174="","",INDEX('Per Line'!$AH$2:$AH$1601,$AH174)&amp;"")</f>
        <v/>
      </c>
      <c r="T174" s="11">
        <f>IF($AH174="","",INDEX('Per Line'!$AI$2:$AI$1601,$AH174))</f>
        <v/>
      </c>
      <c r="U174">
        <f>IF($AH174="","",Settings!$C$8)</f>
        <v/>
      </c>
      <c r="V174" s="7">
        <f>IF($AH174="","",SUMIFS('Per Line'!$V$2:$V$1601,'Per Line'!$D$2:$D$1601,$B174,'Per Line'!$AN$2:$AN$1601,1))</f>
        <v/>
      </c>
      <c r="W174" s="7">
        <f>IF($AH174="","",V174*U174)</f>
        <v/>
      </c>
      <c r="X174">
        <f>IF($AH174="","",Settings!$C$7)</f>
        <v/>
      </c>
      <c r="Y174" s="7">
        <f>IF($AH174="","",SUMIFS('Per Line'!$V$2:$V$1601,'Per Line'!$D$2:$D$1601,$B174,'Per Line'!$AM$2:$AM$1601,0,'Per Line'!$AN$2:$AN$1601,0))</f>
        <v/>
      </c>
      <c r="Z174" s="7">
        <f>IF($AH174="","",Y174*X174)</f>
        <v/>
      </c>
      <c r="AA174">
        <f>IF($AH174="","",Settings!$C$6)</f>
        <v/>
      </c>
      <c r="AB174" s="7">
        <f>IF($AH174="","",SUMIFS('Per Line'!$V$2:$V$1601,'Per Line'!$D$2:$D$1601,$B174,'Per Line'!$AM$2:$AM$1601,1,'Per Line'!$AN$2:$AN$1601,0))</f>
        <v/>
      </c>
      <c r="AC174" s="7">
        <f>IF($AH174="","",AB174*AA174)</f>
        <v/>
      </c>
      <c r="AD174" s="7">
        <f>IF($AH174="","",AC174+Z174+W174)</f>
        <v/>
      </c>
      <c r="AE174" s="7">
        <f>IF($AH174="","",AF174-AD174)</f>
        <v/>
      </c>
      <c r="AF174" s="7">
        <f>IF($AH174="","",Y174+AB174+V174)</f>
        <v/>
      </c>
      <c r="AG174" s="7">
        <f>IF($AH174="","",AF174-AD174-N174)</f>
        <v/>
      </c>
      <c r="AH174" s="13">
        <f>IF(ROWS($AH$2:$AH174)&lt;=MAX('Per Line'!$AL$2:$AL$1601),MATCH(ROWS($AH$2:$AH174),'Per Line'!$AL$2:$AL$1601,0),"")</f>
        <v/>
      </c>
    </row>
    <row r="175">
      <c r="A175" s="12" t="n"/>
      <c r="B175">
        <f>IF($AH175="","",INDEX('Per Line'!$D$2:$D$1601,$AH175)&amp;"")</f>
        <v/>
      </c>
      <c r="C175">
        <f>IF($AH175="","",INDEX('Per Line'!$A$2:$A$1601,$AH175)&amp;"")</f>
        <v/>
      </c>
      <c r="D175">
        <f>IF($AH175="","",INDEX('Per Line'!$B$2:$B$1601,$AH175))</f>
        <v/>
      </c>
      <c r="E175">
        <f>IF($AH175="","",INDEX('Per Line'!$C$2:$C$1601,$AH175)&amp;"")</f>
        <v/>
      </c>
      <c r="F175">
        <f>IF($AH175="","",INDEX('Per Line'!$E$2:$E$1601,$AH175)&amp;"")</f>
        <v/>
      </c>
      <c r="G175" s="11">
        <f>IF($AH175="","",INDEX('Per Line'!$F$2:$F$1601,$AH175))</f>
        <v/>
      </c>
      <c r="H175">
        <f>IF($AH175="","",INDEX('Per Line'!$G$2:$G$1601,$AH175)&amp;"")</f>
        <v/>
      </c>
      <c r="I175">
        <f>IF($AH175="","",INDEX('Per Line'!$I$2:$I$1601,$AH175)&amp;"")</f>
        <v/>
      </c>
      <c r="J175">
        <f>IF($AH175="","",INDEX('Per Line'!$J$2:$J$1601,$AH175)&amp;"")</f>
        <v/>
      </c>
      <c r="K175">
        <f>IF($AH175="","",INDEX('Per Line'!$K$2:$K$1601,$AH175)&amp;"")</f>
        <v/>
      </c>
      <c r="L175">
        <f>IF($AH175="","",INDEX('Per Line'!$L$2:$L$1601,$AH175)&amp;"")</f>
        <v/>
      </c>
      <c r="M175">
        <f>IF($AH175="","",INDEX('Per Line'!$M$2:$M$1601,$AH175))</f>
        <v/>
      </c>
      <c r="N175" s="7">
        <f>IF($AH175="","",M175*AE175/100)</f>
        <v/>
      </c>
      <c r="O175">
        <f>IF($AH175="","",INDEX('Per Line'!$Z$2:$Z$1601,$AH175)&amp;"")</f>
        <v/>
      </c>
      <c r="P175">
        <f>IF($AH175="","",INDEX('Per Line'!$AC$2:$AC$1601,$AH175)&amp;"")</f>
        <v/>
      </c>
      <c r="Q175">
        <f>IF($AH175="","",INDEX('Per Line'!$AD$2:$AD$1601,$AH175))</f>
        <v/>
      </c>
      <c r="R175">
        <f>IF($AH175="","",IF(AND(ISNUMBER(Q175),Q175&gt;0),AF175&gt;Q175,FALSE))</f>
        <v/>
      </c>
      <c r="S175">
        <f>IF($AH175="","",INDEX('Per Line'!$AH$2:$AH$1601,$AH175)&amp;"")</f>
        <v/>
      </c>
      <c r="T175" s="11">
        <f>IF($AH175="","",INDEX('Per Line'!$AI$2:$AI$1601,$AH175))</f>
        <v/>
      </c>
      <c r="U175">
        <f>IF($AH175="","",Settings!$C$8)</f>
        <v/>
      </c>
      <c r="V175" s="7">
        <f>IF($AH175="","",SUMIFS('Per Line'!$V$2:$V$1601,'Per Line'!$D$2:$D$1601,$B175,'Per Line'!$AN$2:$AN$1601,1))</f>
        <v/>
      </c>
      <c r="W175" s="7">
        <f>IF($AH175="","",V175*U175)</f>
        <v/>
      </c>
      <c r="X175">
        <f>IF($AH175="","",Settings!$C$7)</f>
        <v/>
      </c>
      <c r="Y175" s="7">
        <f>IF($AH175="","",SUMIFS('Per Line'!$V$2:$V$1601,'Per Line'!$D$2:$D$1601,$B175,'Per Line'!$AM$2:$AM$1601,0,'Per Line'!$AN$2:$AN$1601,0))</f>
        <v/>
      </c>
      <c r="Z175" s="7">
        <f>IF($AH175="","",Y175*X175)</f>
        <v/>
      </c>
      <c r="AA175">
        <f>IF($AH175="","",Settings!$C$6)</f>
        <v/>
      </c>
      <c r="AB175" s="7">
        <f>IF($AH175="","",SUMIFS('Per Line'!$V$2:$V$1601,'Per Line'!$D$2:$D$1601,$B175,'Per Line'!$AM$2:$AM$1601,1,'Per Line'!$AN$2:$AN$1601,0))</f>
        <v/>
      </c>
      <c r="AC175" s="7">
        <f>IF($AH175="","",AB175*AA175)</f>
        <v/>
      </c>
      <c r="AD175" s="7">
        <f>IF($AH175="","",AC175+Z175+W175)</f>
        <v/>
      </c>
      <c r="AE175" s="7">
        <f>IF($AH175="","",AF175-AD175)</f>
        <v/>
      </c>
      <c r="AF175" s="7">
        <f>IF($AH175="","",Y175+AB175+V175)</f>
        <v/>
      </c>
      <c r="AG175" s="7">
        <f>IF($AH175="","",AF175-AD175-N175)</f>
        <v/>
      </c>
      <c r="AH175" s="13">
        <f>IF(ROWS($AH$2:$AH175)&lt;=MAX('Per Line'!$AL$2:$AL$1601),MATCH(ROWS($AH$2:$AH175),'Per Line'!$AL$2:$AL$1601,0),"")</f>
        <v/>
      </c>
    </row>
    <row r="176">
      <c r="A176" s="12" t="n"/>
      <c r="B176">
        <f>IF($AH176="","",INDEX('Per Line'!$D$2:$D$1601,$AH176)&amp;"")</f>
        <v/>
      </c>
      <c r="C176">
        <f>IF($AH176="","",INDEX('Per Line'!$A$2:$A$1601,$AH176)&amp;"")</f>
        <v/>
      </c>
      <c r="D176">
        <f>IF($AH176="","",INDEX('Per Line'!$B$2:$B$1601,$AH176))</f>
        <v/>
      </c>
      <c r="E176">
        <f>IF($AH176="","",INDEX('Per Line'!$C$2:$C$1601,$AH176)&amp;"")</f>
        <v/>
      </c>
      <c r="F176">
        <f>IF($AH176="","",INDEX('Per Line'!$E$2:$E$1601,$AH176)&amp;"")</f>
        <v/>
      </c>
      <c r="G176" s="11">
        <f>IF($AH176="","",INDEX('Per Line'!$F$2:$F$1601,$AH176))</f>
        <v/>
      </c>
      <c r="H176">
        <f>IF($AH176="","",INDEX('Per Line'!$G$2:$G$1601,$AH176)&amp;"")</f>
        <v/>
      </c>
      <c r="I176">
        <f>IF($AH176="","",INDEX('Per Line'!$I$2:$I$1601,$AH176)&amp;"")</f>
        <v/>
      </c>
      <c r="J176">
        <f>IF($AH176="","",INDEX('Per Line'!$J$2:$J$1601,$AH176)&amp;"")</f>
        <v/>
      </c>
      <c r="K176">
        <f>IF($AH176="","",INDEX('Per Line'!$K$2:$K$1601,$AH176)&amp;"")</f>
        <v/>
      </c>
      <c r="L176">
        <f>IF($AH176="","",INDEX('Per Line'!$L$2:$L$1601,$AH176)&amp;"")</f>
        <v/>
      </c>
      <c r="M176">
        <f>IF($AH176="","",INDEX('Per Line'!$M$2:$M$1601,$AH176))</f>
        <v/>
      </c>
      <c r="N176" s="7">
        <f>IF($AH176="","",M176*AE176/100)</f>
        <v/>
      </c>
      <c r="O176">
        <f>IF($AH176="","",INDEX('Per Line'!$Z$2:$Z$1601,$AH176)&amp;"")</f>
        <v/>
      </c>
      <c r="P176">
        <f>IF($AH176="","",INDEX('Per Line'!$AC$2:$AC$1601,$AH176)&amp;"")</f>
        <v/>
      </c>
      <c r="Q176">
        <f>IF($AH176="","",INDEX('Per Line'!$AD$2:$AD$1601,$AH176))</f>
        <v/>
      </c>
      <c r="R176">
        <f>IF($AH176="","",IF(AND(ISNUMBER(Q176),Q176&gt;0),AF176&gt;Q176,FALSE))</f>
        <v/>
      </c>
      <c r="S176">
        <f>IF($AH176="","",INDEX('Per Line'!$AH$2:$AH$1601,$AH176)&amp;"")</f>
        <v/>
      </c>
      <c r="T176" s="11">
        <f>IF($AH176="","",INDEX('Per Line'!$AI$2:$AI$1601,$AH176))</f>
        <v/>
      </c>
      <c r="U176">
        <f>IF($AH176="","",Settings!$C$8)</f>
        <v/>
      </c>
      <c r="V176" s="7">
        <f>IF($AH176="","",SUMIFS('Per Line'!$V$2:$V$1601,'Per Line'!$D$2:$D$1601,$B176,'Per Line'!$AN$2:$AN$1601,1))</f>
        <v/>
      </c>
      <c r="W176" s="7">
        <f>IF($AH176="","",V176*U176)</f>
        <v/>
      </c>
      <c r="X176">
        <f>IF($AH176="","",Settings!$C$7)</f>
        <v/>
      </c>
      <c r="Y176" s="7">
        <f>IF($AH176="","",SUMIFS('Per Line'!$V$2:$V$1601,'Per Line'!$D$2:$D$1601,$B176,'Per Line'!$AM$2:$AM$1601,0,'Per Line'!$AN$2:$AN$1601,0))</f>
        <v/>
      </c>
      <c r="Z176" s="7">
        <f>IF($AH176="","",Y176*X176)</f>
        <v/>
      </c>
      <c r="AA176">
        <f>IF($AH176="","",Settings!$C$6)</f>
        <v/>
      </c>
      <c r="AB176" s="7">
        <f>IF($AH176="","",SUMIFS('Per Line'!$V$2:$V$1601,'Per Line'!$D$2:$D$1601,$B176,'Per Line'!$AM$2:$AM$1601,1,'Per Line'!$AN$2:$AN$1601,0))</f>
        <v/>
      </c>
      <c r="AC176" s="7">
        <f>IF($AH176="","",AB176*AA176)</f>
        <v/>
      </c>
      <c r="AD176" s="7">
        <f>IF($AH176="","",AC176+Z176+W176)</f>
        <v/>
      </c>
      <c r="AE176" s="7">
        <f>IF($AH176="","",AF176-AD176)</f>
        <v/>
      </c>
      <c r="AF176" s="7">
        <f>IF($AH176="","",Y176+AB176+V176)</f>
        <v/>
      </c>
      <c r="AG176" s="7">
        <f>IF($AH176="","",AF176-AD176-N176)</f>
        <v/>
      </c>
      <c r="AH176" s="13">
        <f>IF(ROWS($AH$2:$AH176)&lt;=MAX('Per Line'!$AL$2:$AL$1601),MATCH(ROWS($AH$2:$AH176),'Per Line'!$AL$2:$AL$1601,0),"")</f>
        <v/>
      </c>
    </row>
    <row r="177">
      <c r="A177" s="12" t="n"/>
      <c r="B177">
        <f>IF($AH177="","",INDEX('Per Line'!$D$2:$D$1601,$AH177)&amp;"")</f>
        <v/>
      </c>
      <c r="C177">
        <f>IF($AH177="","",INDEX('Per Line'!$A$2:$A$1601,$AH177)&amp;"")</f>
        <v/>
      </c>
      <c r="D177">
        <f>IF($AH177="","",INDEX('Per Line'!$B$2:$B$1601,$AH177))</f>
        <v/>
      </c>
      <c r="E177">
        <f>IF($AH177="","",INDEX('Per Line'!$C$2:$C$1601,$AH177)&amp;"")</f>
        <v/>
      </c>
      <c r="F177">
        <f>IF($AH177="","",INDEX('Per Line'!$E$2:$E$1601,$AH177)&amp;"")</f>
        <v/>
      </c>
      <c r="G177" s="11">
        <f>IF($AH177="","",INDEX('Per Line'!$F$2:$F$1601,$AH177))</f>
        <v/>
      </c>
      <c r="H177">
        <f>IF($AH177="","",INDEX('Per Line'!$G$2:$G$1601,$AH177)&amp;"")</f>
        <v/>
      </c>
      <c r="I177">
        <f>IF($AH177="","",INDEX('Per Line'!$I$2:$I$1601,$AH177)&amp;"")</f>
        <v/>
      </c>
      <c r="J177">
        <f>IF($AH177="","",INDEX('Per Line'!$J$2:$J$1601,$AH177)&amp;"")</f>
        <v/>
      </c>
      <c r="K177">
        <f>IF($AH177="","",INDEX('Per Line'!$K$2:$K$1601,$AH177)&amp;"")</f>
        <v/>
      </c>
      <c r="L177">
        <f>IF($AH177="","",INDEX('Per Line'!$L$2:$L$1601,$AH177)&amp;"")</f>
        <v/>
      </c>
      <c r="M177">
        <f>IF($AH177="","",INDEX('Per Line'!$M$2:$M$1601,$AH177))</f>
        <v/>
      </c>
      <c r="N177" s="7">
        <f>IF($AH177="","",M177*AE177/100)</f>
        <v/>
      </c>
      <c r="O177">
        <f>IF($AH177="","",INDEX('Per Line'!$Z$2:$Z$1601,$AH177)&amp;"")</f>
        <v/>
      </c>
      <c r="P177">
        <f>IF($AH177="","",INDEX('Per Line'!$AC$2:$AC$1601,$AH177)&amp;"")</f>
        <v/>
      </c>
      <c r="Q177">
        <f>IF($AH177="","",INDEX('Per Line'!$AD$2:$AD$1601,$AH177))</f>
        <v/>
      </c>
      <c r="R177">
        <f>IF($AH177="","",IF(AND(ISNUMBER(Q177),Q177&gt;0),AF177&gt;Q177,FALSE))</f>
        <v/>
      </c>
      <c r="S177">
        <f>IF($AH177="","",INDEX('Per Line'!$AH$2:$AH$1601,$AH177)&amp;"")</f>
        <v/>
      </c>
      <c r="T177" s="11">
        <f>IF($AH177="","",INDEX('Per Line'!$AI$2:$AI$1601,$AH177))</f>
        <v/>
      </c>
      <c r="U177">
        <f>IF($AH177="","",Settings!$C$8)</f>
        <v/>
      </c>
      <c r="V177" s="7">
        <f>IF($AH177="","",SUMIFS('Per Line'!$V$2:$V$1601,'Per Line'!$D$2:$D$1601,$B177,'Per Line'!$AN$2:$AN$1601,1))</f>
        <v/>
      </c>
      <c r="W177" s="7">
        <f>IF($AH177="","",V177*U177)</f>
        <v/>
      </c>
      <c r="X177">
        <f>IF($AH177="","",Settings!$C$7)</f>
        <v/>
      </c>
      <c r="Y177" s="7">
        <f>IF($AH177="","",SUMIFS('Per Line'!$V$2:$V$1601,'Per Line'!$D$2:$D$1601,$B177,'Per Line'!$AM$2:$AM$1601,0,'Per Line'!$AN$2:$AN$1601,0))</f>
        <v/>
      </c>
      <c r="Z177" s="7">
        <f>IF($AH177="","",Y177*X177)</f>
        <v/>
      </c>
      <c r="AA177">
        <f>IF($AH177="","",Settings!$C$6)</f>
        <v/>
      </c>
      <c r="AB177" s="7">
        <f>IF($AH177="","",SUMIFS('Per Line'!$V$2:$V$1601,'Per Line'!$D$2:$D$1601,$B177,'Per Line'!$AM$2:$AM$1601,1,'Per Line'!$AN$2:$AN$1601,0))</f>
        <v/>
      </c>
      <c r="AC177" s="7">
        <f>IF($AH177="","",AB177*AA177)</f>
        <v/>
      </c>
      <c r="AD177" s="7">
        <f>IF($AH177="","",AC177+Z177+W177)</f>
        <v/>
      </c>
      <c r="AE177" s="7">
        <f>IF($AH177="","",AF177-AD177)</f>
        <v/>
      </c>
      <c r="AF177" s="7">
        <f>IF($AH177="","",Y177+AB177+V177)</f>
        <v/>
      </c>
      <c r="AG177" s="7">
        <f>IF($AH177="","",AF177-AD177-N177)</f>
        <v/>
      </c>
      <c r="AH177" s="13">
        <f>IF(ROWS($AH$2:$AH177)&lt;=MAX('Per Line'!$AL$2:$AL$1601),MATCH(ROWS($AH$2:$AH177),'Per Line'!$AL$2:$AL$1601,0),"")</f>
        <v/>
      </c>
    </row>
    <row r="178">
      <c r="A178" s="12" t="n"/>
      <c r="B178">
        <f>IF($AH178="","",INDEX('Per Line'!$D$2:$D$1601,$AH178)&amp;"")</f>
        <v/>
      </c>
      <c r="C178">
        <f>IF($AH178="","",INDEX('Per Line'!$A$2:$A$1601,$AH178)&amp;"")</f>
        <v/>
      </c>
      <c r="D178">
        <f>IF($AH178="","",INDEX('Per Line'!$B$2:$B$1601,$AH178))</f>
        <v/>
      </c>
      <c r="E178">
        <f>IF($AH178="","",INDEX('Per Line'!$C$2:$C$1601,$AH178)&amp;"")</f>
        <v/>
      </c>
      <c r="F178">
        <f>IF($AH178="","",INDEX('Per Line'!$E$2:$E$1601,$AH178)&amp;"")</f>
        <v/>
      </c>
      <c r="G178" s="11">
        <f>IF($AH178="","",INDEX('Per Line'!$F$2:$F$1601,$AH178))</f>
        <v/>
      </c>
      <c r="H178">
        <f>IF($AH178="","",INDEX('Per Line'!$G$2:$G$1601,$AH178)&amp;"")</f>
        <v/>
      </c>
      <c r="I178">
        <f>IF($AH178="","",INDEX('Per Line'!$I$2:$I$1601,$AH178)&amp;"")</f>
        <v/>
      </c>
      <c r="J178">
        <f>IF($AH178="","",INDEX('Per Line'!$J$2:$J$1601,$AH178)&amp;"")</f>
        <v/>
      </c>
      <c r="K178">
        <f>IF($AH178="","",INDEX('Per Line'!$K$2:$K$1601,$AH178)&amp;"")</f>
        <v/>
      </c>
      <c r="L178">
        <f>IF($AH178="","",INDEX('Per Line'!$L$2:$L$1601,$AH178)&amp;"")</f>
        <v/>
      </c>
      <c r="M178">
        <f>IF($AH178="","",INDEX('Per Line'!$M$2:$M$1601,$AH178))</f>
        <v/>
      </c>
      <c r="N178" s="7">
        <f>IF($AH178="","",M178*AE178/100)</f>
        <v/>
      </c>
      <c r="O178">
        <f>IF($AH178="","",INDEX('Per Line'!$Z$2:$Z$1601,$AH178)&amp;"")</f>
        <v/>
      </c>
      <c r="P178">
        <f>IF($AH178="","",INDEX('Per Line'!$AC$2:$AC$1601,$AH178)&amp;"")</f>
        <v/>
      </c>
      <c r="Q178">
        <f>IF($AH178="","",INDEX('Per Line'!$AD$2:$AD$1601,$AH178))</f>
        <v/>
      </c>
      <c r="R178">
        <f>IF($AH178="","",IF(AND(ISNUMBER(Q178),Q178&gt;0),AF178&gt;Q178,FALSE))</f>
        <v/>
      </c>
      <c r="S178">
        <f>IF($AH178="","",INDEX('Per Line'!$AH$2:$AH$1601,$AH178)&amp;"")</f>
        <v/>
      </c>
      <c r="T178" s="11">
        <f>IF($AH178="","",INDEX('Per Line'!$AI$2:$AI$1601,$AH178))</f>
        <v/>
      </c>
      <c r="U178">
        <f>IF($AH178="","",Settings!$C$8)</f>
        <v/>
      </c>
      <c r="V178" s="7">
        <f>IF($AH178="","",SUMIFS('Per Line'!$V$2:$V$1601,'Per Line'!$D$2:$D$1601,$B178,'Per Line'!$AN$2:$AN$1601,1))</f>
        <v/>
      </c>
      <c r="W178" s="7">
        <f>IF($AH178="","",V178*U178)</f>
        <v/>
      </c>
      <c r="X178">
        <f>IF($AH178="","",Settings!$C$7)</f>
        <v/>
      </c>
      <c r="Y178" s="7">
        <f>IF($AH178="","",SUMIFS('Per Line'!$V$2:$V$1601,'Per Line'!$D$2:$D$1601,$B178,'Per Line'!$AM$2:$AM$1601,0,'Per Line'!$AN$2:$AN$1601,0))</f>
        <v/>
      </c>
      <c r="Z178" s="7">
        <f>IF($AH178="","",Y178*X178)</f>
        <v/>
      </c>
      <c r="AA178">
        <f>IF($AH178="","",Settings!$C$6)</f>
        <v/>
      </c>
      <c r="AB178" s="7">
        <f>IF($AH178="","",SUMIFS('Per Line'!$V$2:$V$1601,'Per Line'!$D$2:$D$1601,$B178,'Per Line'!$AM$2:$AM$1601,1,'Per Line'!$AN$2:$AN$1601,0))</f>
        <v/>
      </c>
      <c r="AC178" s="7">
        <f>IF($AH178="","",AB178*AA178)</f>
        <v/>
      </c>
      <c r="AD178" s="7">
        <f>IF($AH178="","",AC178+Z178+W178)</f>
        <v/>
      </c>
      <c r="AE178" s="7">
        <f>IF($AH178="","",AF178-AD178)</f>
        <v/>
      </c>
      <c r="AF178" s="7">
        <f>IF($AH178="","",Y178+AB178+V178)</f>
        <v/>
      </c>
      <c r="AG178" s="7">
        <f>IF($AH178="","",AF178-AD178-N178)</f>
        <v/>
      </c>
      <c r="AH178" s="13">
        <f>IF(ROWS($AH$2:$AH178)&lt;=MAX('Per Line'!$AL$2:$AL$1601),MATCH(ROWS($AH$2:$AH178),'Per Line'!$AL$2:$AL$1601,0),"")</f>
        <v/>
      </c>
    </row>
    <row r="179">
      <c r="A179" s="12" t="n"/>
      <c r="B179">
        <f>IF($AH179="","",INDEX('Per Line'!$D$2:$D$1601,$AH179)&amp;"")</f>
        <v/>
      </c>
      <c r="C179">
        <f>IF($AH179="","",INDEX('Per Line'!$A$2:$A$1601,$AH179)&amp;"")</f>
        <v/>
      </c>
      <c r="D179">
        <f>IF($AH179="","",INDEX('Per Line'!$B$2:$B$1601,$AH179))</f>
        <v/>
      </c>
      <c r="E179">
        <f>IF($AH179="","",INDEX('Per Line'!$C$2:$C$1601,$AH179)&amp;"")</f>
        <v/>
      </c>
      <c r="F179">
        <f>IF($AH179="","",INDEX('Per Line'!$E$2:$E$1601,$AH179)&amp;"")</f>
        <v/>
      </c>
      <c r="G179" s="11">
        <f>IF($AH179="","",INDEX('Per Line'!$F$2:$F$1601,$AH179))</f>
        <v/>
      </c>
      <c r="H179">
        <f>IF($AH179="","",INDEX('Per Line'!$G$2:$G$1601,$AH179)&amp;"")</f>
        <v/>
      </c>
      <c r="I179">
        <f>IF($AH179="","",INDEX('Per Line'!$I$2:$I$1601,$AH179)&amp;"")</f>
        <v/>
      </c>
      <c r="J179">
        <f>IF($AH179="","",INDEX('Per Line'!$J$2:$J$1601,$AH179)&amp;"")</f>
        <v/>
      </c>
      <c r="K179">
        <f>IF($AH179="","",INDEX('Per Line'!$K$2:$K$1601,$AH179)&amp;"")</f>
        <v/>
      </c>
      <c r="L179">
        <f>IF($AH179="","",INDEX('Per Line'!$L$2:$L$1601,$AH179)&amp;"")</f>
        <v/>
      </c>
      <c r="M179">
        <f>IF($AH179="","",INDEX('Per Line'!$M$2:$M$1601,$AH179))</f>
        <v/>
      </c>
      <c r="N179" s="7">
        <f>IF($AH179="","",M179*AE179/100)</f>
        <v/>
      </c>
      <c r="O179">
        <f>IF($AH179="","",INDEX('Per Line'!$Z$2:$Z$1601,$AH179)&amp;"")</f>
        <v/>
      </c>
      <c r="P179">
        <f>IF($AH179="","",INDEX('Per Line'!$AC$2:$AC$1601,$AH179)&amp;"")</f>
        <v/>
      </c>
      <c r="Q179">
        <f>IF($AH179="","",INDEX('Per Line'!$AD$2:$AD$1601,$AH179))</f>
        <v/>
      </c>
      <c r="R179">
        <f>IF($AH179="","",IF(AND(ISNUMBER(Q179),Q179&gt;0),AF179&gt;Q179,FALSE))</f>
        <v/>
      </c>
      <c r="S179">
        <f>IF($AH179="","",INDEX('Per Line'!$AH$2:$AH$1601,$AH179)&amp;"")</f>
        <v/>
      </c>
      <c r="T179" s="11">
        <f>IF($AH179="","",INDEX('Per Line'!$AI$2:$AI$1601,$AH179))</f>
        <v/>
      </c>
      <c r="U179">
        <f>IF($AH179="","",Settings!$C$8)</f>
        <v/>
      </c>
      <c r="V179" s="7">
        <f>IF($AH179="","",SUMIFS('Per Line'!$V$2:$V$1601,'Per Line'!$D$2:$D$1601,$B179,'Per Line'!$AN$2:$AN$1601,1))</f>
        <v/>
      </c>
      <c r="W179" s="7">
        <f>IF($AH179="","",V179*U179)</f>
        <v/>
      </c>
      <c r="X179">
        <f>IF($AH179="","",Settings!$C$7)</f>
        <v/>
      </c>
      <c r="Y179" s="7">
        <f>IF($AH179="","",SUMIFS('Per Line'!$V$2:$V$1601,'Per Line'!$D$2:$D$1601,$B179,'Per Line'!$AM$2:$AM$1601,0,'Per Line'!$AN$2:$AN$1601,0))</f>
        <v/>
      </c>
      <c r="Z179" s="7">
        <f>IF($AH179="","",Y179*X179)</f>
        <v/>
      </c>
      <c r="AA179">
        <f>IF($AH179="","",Settings!$C$6)</f>
        <v/>
      </c>
      <c r="AB179" s="7">
        <f>IF($AH179="","",SUMIFS('Per Line'!$V$2:$V$1601,'Per Line'!$D$2:$D$1601,$B179,'Per Line'!$AM$2:$AM$1601,1,'Per Line'!$AN$2:$AN$1601,0))</f>
        <v/>
      </c>
      <c r="AC179" s="7">
        <f>IF($AH179="","",AB179*AA179)</f>
        <v/>
      </c>
      <c r="AD179" s="7">
        <f>IF($AH179="","",AC179+Z179+W179)</f>
        <v/>
      </c>
      <c r="AE179" s="7">
        <f>IF($AH179="","",AF179-AD179)</f>
        <v/>
      </c>
      <c r="AF179" s="7">
        <f>IF($AH179="","",Y179+AB179+V179)</f>
        <v/>
      </c>
      <c r="AG179" s="7">
        <f>IF($AH179="","",AF179-AD179-N179)</f>
        <v/>
      </c>
      <c r="AH179" s="13">
        <f>IF(ROWS($AH$2:$AH179)&lt;=MAX('Per Line'!$AL$2:$AL$1601),MATCH(ROWS($AH$2:$AH179),'Per Line'!$AL$2:$AL$1601,0),"")</f>
        <v/>
      </c>
    </row>
    <row r="180">
      <c r="A180" s="12" t="n"/>
      <c r="B180">
        <f>IF($AH180="","",INDEX('Per Line'!$D$2:$D$1601,$AH180)&amp;"")</f>
        <v/>
      </c>
      <c r="C180">
        <f>IF($AH180="","",INDEX('Per Line'!$A$2:$A$1601,$AH180)&amp;"")</f>
        <v/>
      </c>
      <c r="D180">
        <f>IF($AH180="","",INDEX('Per Line'!$B$2:$B$1601,$AH180))</f>
        <v/>
      </c>
      <c r="E180">
        <f>IF($AH180="","",INDEX('Per Line'!$C$2:$C$1601,$AH180)&amp;"")</f>
        <v/>
      </c>
      <c r="F180">
        <f>IF($AH180="","",INDEX('Per Line'!$E$2:$E$1601,$AH180)&amp;"")</f>
        <v/>
      </c>
      <c r="G180" s="11">
        <f>IF($AH180="","",INDEX('Per Line'!$F$2:$F$1601,$AH180))</f>
        <v/>
      </c>
      <c r="H180">
        <f>IF($AH180="","",INDEX('Per Line'!$G$2:$G$1601,$AH180)&amp;"")</f>
        <v/>
      </c>
      <c r="I180">
        <f>IF($AH180="","",INDEX('Per Line'!$I$2:$I$1601,$AH180)&amp;"")</f>
        <v/>
      </c>
      <c r="J180">
        <f>IF($AH180="","",INDEX('Per Line'!$J$2:$J$1601,$AH180)&amp;"")</f>
        <v/>
      </c>
      <c r="K180">
        <f>IF($AH180="","",INDEX('Per Line'!$K$2:$K$1601,$AH180)&amp;"")</f>
        <v/>
      </c>
      <c r="L180">
        <f>IF($AH180="","",INDEX('Per Line'!$L$2:$L$1601,$AH180)&amp;"")</f>
        <v/>
      </c>
      <c r="M180">
        <f>IF($AH180="","",INDEX('Per Line'!$M$2:$M$1601,$AH180))</f>
        <v/>
      </c>
      <c r="N180" s="7">
        <f>IF($AH180="","",M180*AE180/100)</f>
        <v/>
      </c>
      <c r="O180">
        <f>IF($AH180="","",INDEX('Per Line'!$Z$2:$Z$1601,$AH180)&amp;"")</f>
        <v/>
      </c>
      <c r="P180">
        <f>IF($AH180="","",INDEX('Per Line'!$AC$2:$AC$1601,$AH180)&amp;"")</f>
        <v/>
      </c>
      <c r="Q180">
        <f>IF($AH180="","",INDEX('Per Line'!$AD$2:$AD$1601,$AH180))</f>
        <v/>
      </c>
      <c r="R180">
        <f>IF($AH180="","",IF(AND(ISNUMBER(Q180),Q180&gt;0),AF180&gt;Q180,FALSE))</f>
        <v/>
      </c>
      <c r="S180">
        <f>IF($AH180="","",INDEX('Per Line'!$AH$2:$AH$1601,$AH180)&amp;"")</f>
        <v/>
      </c>
      <c r="T180" s="11">
        <f>IF($AH180="","",INDEX('Per Line'!$AI$2:$AI$1601,$AH180))</f>
        <v/>
      </c>
      <c r="U180">
        <f>IF($AH180="","",Settings!$C$8)</f>
        <v/>
      </c>
      <c r="V180" s="7">
        <f>IF($AH180="","",SUMIFS('Per Line'!$V$2:$V$1601,'Per Line'!$D$2:$D$1601,$B180,'Per Line'!$AN$2:$AN$1601,1))</f>
        <v/>
      </c>
      <c r="W180" s="7">
        <f>IF($AH180="","",V180*U180)</f>
        <v/>
      </c>
      <c r="X180">
        <f>IF($AH180="","",Settings!$C$7)</f>
        <v/>
      </c>
      <c r="Y180" s="7">
        <f>IF($AH180="","",SUMIFS('Per Line'!$V$2:$V$1601,'Per Line'!$D$2:$D$1601,$B180,'Per Line'!$AM$2:$AM$1601,0,'Per Line'!$AN$2:$AN$1601,0))</f>
        <v/>
      </c>
      <c r="Z180" s="7">
        <f>IF($AH180="","",Y180*X180)</f>
        <v/>
      </c>
      <c r="AA180">
        <f>IF($AH180="","",Settings!$C$6)</f>
        <v/>
      </c>
      <c r="AB180" s="7">
        <f>IF($AH180="","",SUMIFS('Per Line'!$V$2:$V$1601,'Per Line'!$D$2:$D$1601,$B180,'Per Line'!$AM$2:$AM$1601,1,'Per Line'!$AN$2:$AN$1601,0))</f>
        <v/>
      </c>
      <c r="AC180" s="7">
        <f>IF($AH180="","",AB180*AA180)</f>
        <v/>
      </c>
      <c r="AD180" s="7">
        <f>IF($AH180="","",AC180+Z180+W180)</f>
        <v/>
      </c>
      <c r="AE180" s="7">
        <f>IF($AH180="","",AF180-AD180)</f>
        <v/>
      </c>
      <c r="AF180" s="7">
        <f>IF($AH180="","",Y180+AB180+V180)</f>
        <v/>
      </c>
      <c r="AG180" s="7">
        <f>IF($AH180="","",AF180-AD180-N180)</f>
        <v/>
      </c>
      <c r="AH180" s="13">
        <f>IF(ROWS($AH$2:$AH180)&lt;=MAX('Per Line'!$AL$2:$AL$1601),MATCH(ROWS($AH$2:$AH180),'Per Line'!$AL$2:$AL$1601,0),"")</f>
        <v/>
      </c>
    </row>
    <row r="181">
      <c r="A181" s="12" t="n"/>
      <c r="B181">
        <f>IF($AH181="","",INDEX('Per Line'!$D$2:$D$1601,$AH181)&amp;"")</f>
        <v/>
      </c>
      <c r="C181">
        <f>IF($AH181="","",INDEX('Per Line'!$A$2:$A$1601,$AH181)&amp;"")</f>
        <v/>
      </c>
      <c r="D181">
        <f>IF($AH181="","",INDEX('Per Line'!$B$2:$B$1601,$AH181))</f>
        <v/>
      </c>
      <c r="E181">
        <f>IF($AH181="","",INDEX('Per Line'!$C$2:$C$1601,$AH181)&amp;"")</f>
        <v/>
      </c>
      <c r="F181">
        <f>IF($AH181="","",INDEX('Per Line'!$E$2:$E$1601,$AH181)&amp;"")</f>
        <v/>
      </c>
      <c r="G181" s="11">
        <f>IF($AH181="","",INDEX('Per Line'!$F$2:$F$1601,$AH181))</f>
        <v/>
      </c>
      <c r="H181">
        <f>IF($AH181="","",INDEX('Per Line'!$G$2:$G$1601,$AH181)&amp;"")</f>
        <v/>
      </c>
      <c r="I181">
        <f>IF($AH181="","",INDEX('Per Line'!$I$2:$I$1601,$AH181)&amp;"")</f>
        <v/>
      </c>
      <c r="J181">
        <f>IF($AH181="","",INDEX('Per Line'!$J$2:$J$1601,$AH181)&amp;"")</f>
        <v/>
      </c>
      <c r="K181">
        <f>IF($AH181="","",INDEX('Per Line'!$K$2:$K$1601,$AH181)&amp;"")</f>
        <v/>
      </c>
      <c r="L181">
        <f>IF($AH181="","",INDEX('Per Line'!$L$2:$L$1601,$AH181)&amp;"")</f>
        <v/>
      </c>
      <c r="M181">
        <f>IF($AH181="","",INDEX('Per Line'!$M$2:$M$1601,$AH181))</f>
        <v/>
      </c>
      <c r="N181" s="7">
        <f>IF($AH181="","",M181*AE181/100)</f>
        <v/>
      </c>
      <c r="O181">
        <f>IF($AH181="","",INDEX('Per Line'!$Z$2:$Z$1601,$AH181)&amp;"")</f>
        <v/>
      </c>
      <c r="P181">
        <f>IF($AH181="","",INDEX('Per Line'!$AC$2:$AC$1601,$AH181)&amp;"")</f>
        <v/>
      </c>
      <c r="Q181">
        <f>IF($AH181="","",INDEX('Per Line'!$AD$2:$AD$1601,$AH181))</f>
        <v/>
      </c>
      <c r="R181">
        <f>IF($AH181="","",IF(AND(ISNUMBER(Q181),Q181&gt;0),AF181&gt;Q181,FALSE))</f>
        <v/>
      </c>
      <c r="S181">
        <f>IF($AH181="","",INDEX('Per Line'!$AH$2:$AH$1601,$AH181)&amp;"")</f>
        <v/>
      </c>
      <c r="T181" s="11">
        <f>IF($AH181="","",INDEX('Per Line'!$AI$2:$AI$1601,$AH181))</f>
        <v/>
      </c>
      <c r="U181">
        <f>IF($AH181="","",Settings!$C$8)</f>
        <v/>
      </c>
      <c r="V181" s="7">
        <f>IF($AH181="","",SUMIFS('Per Line'!$V$2:$V$1601,'Per Line'!$D$2:$D$1601,$B181,'Per Line'!$AN$2:$AN$1601,1))</f>
        <v/>
      </c>
      <c r="W181" s="7">
        <f>IF($AH181="","",V181*U181)</f>
        <v/>
      </c>
      <c r="X181">
        <f>IF($AH181="","",Settings!$C$7)</f>
        <v/>
      </c>
      <c r="Y181" s="7">
        <f>IF($AH181="","",SUMIFS('Per Line'!$V$2:$V$1601,'Per Line'!$D$2:$D$1601,$B181,'Per Line'!$AM$2:$AM$1601,0,'Per Line'!$AN$2:$AN$1601,0))</f>
        <v/>
      </c>
      <c r="Z181" s="7">
        <f>IF($AH181="","",Y181*X181)</f>
        <v/>
      </c>
      <c r="AA181">
        <f>IF($AH181="","",Settings!$C$6)</f>
        <v/>
      </c>
      <c r="AB181" s="7">
        <f>IF($AH181="","",SUMIFS('Per Line'!$V$2:$V$1601,'Per Line'!$D$2:$D$1601,$B181,'Per Line'!$AM$2:$AM$1601,1,'Per Line'!$AN$2:$AN$1601,0))</f>
        <v/>
      </c>
      <c r="AC181" s="7">
        <f>IF($AH181="","",AB181*AA181)</f>
        <v/>
      </c>
      <c r="AD181" s="7">
        <f>IF($AH181="","",AC181+Z181+W181)</f>
        <v/>
      </c>
      <c r="AE181" s="7">
        <f>IF($AH181="","",AF181-AD181)</f>
        <v/>
      </c>
      <c r="AF181" s="7">
        <f>IF($AH181="","",Y181+AB181+V181)</f>
        <v/>
      </c>
      <c r="AG181" s="7">
        <f>IF($AH181="","",AF181-AD181-N181)</f>
        <v/>
      </c>
      <c r="AH181" s="13">
        <f>IF(ROWS($AH$2:$AH181)&lt;=MAX('Per Line'!$AL$2:$AL$1601),MATCH(ROWS($AH$2:$AH181),'Per Line'!$AL$2:$AL$1601,0),"")</f>
        <v/>
      </c>
    </row>
    <row r="182">
      <c r="A182" s="12" t="n"/>
      <c r="B182">
        <f>IF($AH182="","",INDEX('Per Line'!$D$2:$D$1601,$AH182)&amp;"")</f>
        <v/>
      </c>
      <c r="C182">
        <f>IF($AH182="","",INDEX('Per Line'!$A$2:$A$1601,$AH182)&amp;"")</f>
        <v/>
      </c>
      <c r="D182">
        <f>IF($AH182="","",INDEX('Per Line'!$B$2:$B$1601,$AH182))</f>
        <v/>
      </c>
      <c r="E182">
        <f>IF($AH182="","",INDEX('Per Line'!$C$2:$C$1601,$AH182)&amp;"")</f>
        <v/>
      </c>
      <c r="F182">
        <f>IF($AH182="","",INDEX('Per Line'!$E$2:$E$1601,$AH182)&amp;"")</f>
        <v/>
      </c>
      <c r="G182" s="11">
        <f>IF($AH182="","",INDEX('Per Line'!$F$2:$F$1601,$AH182))</f>
        <v/>
      </c>
      <c r="H182">
        <f>IF($AH182="","",INDEX('Per Line'!$G$2:$G$1601,$AH182)&amp;"")</f>
        <v/>
      </c>
      <c r="I182">
        <f>IF($AH182="","",INDEX('Per Line'!$I$2:$I$1601,$AH182)&amp;"")</f>
        <v/>
      </c>
      <c r="J182">
        <f>IF($AH182="","",INDEX('Per Line'!$J$2:$J$1601,$AH182)&amp;"")</f>
        <v/>
      </c>
      <c r="K182">
        <f>IF($AH182="","",INDEX('Per Line'!$K$2:$K$1601,$AH182)&amp;"")</f>
        <v/>
      </c>
      <c r="L182">
        <f>IF($AH182="","",INDEX('Per Line'!$L$2:$L$1601,$AH182)&amp;"")</f>
        <v/>
      </c>
      <c r="M182">
        <f>IF($AH182="","",INDEX('Per Line'!$M$2:$M$1601,$AH182))</f>
        <v/>
      </c>
      <c r="N182" s="7">
        <f>IF($AH182="","",M182*AE182/100)</f>
        <v/>
      </c>
      <c r="O182">
        <f>IF($AH182="","",INDEX('Per Line'!$Z$2:$Z$1601,$AH182)&amp;"")</f>
        <v/>
      </c>
      <c r="P182">
        <f>IF($AH182="","",INDEX('Per Line'!$AC$2:$AC$1601,$AH182)&amp;"")</f>
        <v/>
      </c>
      <c r="Q182">
        <f>IF($AH182="","",INDEX('Per Line'!$AD$2:$AD$1601,$AH182))</f>
        <v/>
      </c>
      <c r="R182">
        <f>IF($AH182="","",IF(AND(ISNUMBER(Q182),Q182&gt;0),AF182&gt;Q182,FALSE))</f>
        <v/>
      </c>
      <c r="S182">
        <f>IF($AH182="","",INDEX('Per Line'!$AH$2:$AH$1601,$AH182)&amp;"")</f>
        <v/>
      </c>
      <c r="T182" s="11">
        <f>IF($AH182="","",INDEX('Per Line'!$AI$2:$AI$1601,$AH182))</f>
        <v/>
      </c>
      <c r="U182">
        <f>IF($AH182="","",Settings!$C$8)</f>
        <v/>
      </c>
      <c r="V182" s="7">
        <f>IF($AH182="","",SUMIFS('Per Line'!$V$2:$V$1601,'Per Line'!$D$2:$D$1601,$B182,'Per Line'!$AN$2:$AN$1601,1))</f>
        <v/>
      </c>
      <c r="W182" s="7">
        <f>IF($AH182="","",V182*U182)</f>
        <v/>
      </c>
      <c r="X182">
        <f>IF($AH182="","",Settings!$C$7)</f>
        <v/>
      </c>
      <c r="Y182" s="7">
        <f>IF($AH182="","",SUMIFS('Per Line'!$V$2:$V$1601,'Per Line'!$D$2:$D$1601,$B182,'Per Line'!$AM$2:$AM$1601,0,'Per Line'!$AN$2:$AN$1601,0))</f>
        <v/>
      </c>
      <c r="Z182" s="7">
        <f>IF($AH182="","",Y182*X182)</f>
        <v/>
      </c>
      <c r="AA182">
        <f>IF($AH182="","",Settings!$C$6)</f>
        <v/>
      </c>
      <c r="AB182" s="7">
        <f>IF($AH182="","",SUMIFS('Per Line'!$V$2:$V$1601,'Per Line'!$D$2:$D$1601,$B182,'Per Line'!$AM$2:$AM$1601,1,'Per Line'!$AN$2:$AN$1601,0))</f>
        <v/>
      </c>
      <c r="AC182" s="7">
        <f>IF($AH182="","",AB182*AA182)</f>
        <v/>
      </c>
      <c r="AD182" s="7">
        <f>IF($AH182="","",AC182+Z182+W182)</f>
        <v/>
      </c>
      <c r="AE182" s="7">
        <f>IF($AH182="","",AF182-AD182)</f>
        <v/>
      </c>
      <c r="AF182" s="7">
        <f>IF($AH182="","",Y182+AB182+V182)</f>
        <v/>
      </c>
      <c r="AG182" s="7">
        <f>IF($AH182="","",AF182-AD182-N182)</f>
        <v/>
      </c>
      <c r="AH182" s="13">
        <f>IF(ROWS($AH$2:$AH182)&lt;=MAX('Per Line'!$AL$2:$AL$1601),MATCH(ROWS($AH$2:$AH182),'Per Line'!$AL$2:$AL$1601,0),"")</f>
        <v/>
      </c>
    </row>
    <row r="183">
      <c r="A183" s="12" t="n"/>
      <c r="B183">
        <f>IF($AH183="","",INDEX('Per Line'!$D$2:$D$1601,$AH183)&amp;"")</f>
        <v/>
      </c>
      <c r="C183">
        <f>IF($AH183="","",INDEX('Per Line'!$A$2:$A$1601,$AH183)&amp;"")</f>
        <v/>
      </c>
      <c r="D183">
        <f>IF($AH183="","",INDEX('Per Line'!$B$2:$B$1601,$AH183))</f>
        <v/>
      </c>
      <c r="E183">
        <f>IF($AH183="","",INDEX('Per Line'!$C$2:$C$1601,$AH183)&amp;"")</f>
        <v/>
      </c>
      <c r="F183">
        <f>IF($AH183="","",INDEX('Per Line'!$E$2:$E$1601,$AH183)&amp;"")</f>
        <v/>
      </c>
      <c r="G183" s="11">
        <f>IF($AH183="","",INDEX('Per Line'!$F$2:$F$1601,$AH183))</f>
        <v/>
      </c>
      <c r="H183">
        <f>IF($AH183="","",INDEX('Per Line'!$G$2:$G$1601,$AH183)&amp;"")</f>
        <v/>
      </c>
      <c r="I183">
        <f>IF($AH183="","",INDEX('Per Line'!$I$2:$I$1601,$AH183)&amp;"")</f>
        <v/>
      </c>
      <c r="J183">
        <f>IF($AH183="","",INDEX('Per Line'!$J$2:$J$1601,$AH183)&amp;"")</f>
        <v/>
      </c>
      <c r="K183">
        <f>IF($AH183="","",INDEX('Per Line'!$K$2:$K$1601,$AH183)&amp;"")</f>
        <v/>
      </c>
      <c r="L183">
        <f>IF($AH183="","",INDEX('Per Line'!$L$2:$L$1601,$AH183)&amp;"")</f>
        <v/>
      </c>
      <c r="M183">
        <f>IF($AH183="","",INDEX('Per Line'!$M$2:$M$1601,$AH183))</f>
        <v/>
      </c>
      <c r="N183" s="7">
        <f>IF($AH183="","",M183*AE183/100)</f>
        <v/>
      </c>
      <c r="O183">
        <f>IF($AH183="","",INDEX('Per Line'!$Z$2:$Z$1601,$AH183)&amp;"")</f>
        <v/>
      </c>
      <c r="P183">
        <f>IF($AH183="","",INDEX('Per Line'!$AC$2:$AC$1601,$AH183)&amp;"")</f>
        <v/>
      </c>
      <c r="Q183">
        <f>IF($AH183="","",INDEX('Per Line'!$AD$2:$AD$1601,$AH183))</f>
        <v/>
      </c>
      <c r="R183">
        <f>IF($AH183="","",IF(AND(ISNUMBER(Q183),Q183&gt;0),AF183&gt;Q183,FALSE))</f>
        <v/>
      </c>
      <c r="S183">
        <f>IF($AH183="","",INDEX('Per Line'!$AH$2:$AH$1601,$AH183)&amp;"")</f>
        <v/>
      </c>
      <c r="T183" s="11">
        <f>IF($AH183="","",INDEX('Per Line'!$AI$2:$AI$1601,$AH183))</f>
        <v/>
      </c>
      <c r="U183">
        <f>IF($AH183="","",Settings!$C$8)</f>
        <v/>
      </c>
      <c r="V183" s="7">
        <f>IF($AH183="","",SUMIFS('Per Line'!$V$2:$V$1601,'Per Line'!$D$2:$D$1601,$B183,'Per Line'!$AN$2:$AN$1601,1))</f>
        <v/>
      </c>
      <c r="W183" s="7">
        <f>IF($AH183="","",V183*U183)</f>
        <v/>
      </c>
      <c r="X183">
        <f>IF($AH183="","",Settings!$C$7)</f>
        <v/>
      </c>
      <c r="Y183" s="7">
        <f>IF($AH183="","",SUMIFS('Per Line'!$V$2:$V$1601,'Per Line'!$D$2:$D$1601,$B183,'Per Line'!$AM$2:$AM$1601,0,'Per Line'!$AN$2:$AN$1601,0))</f>
        <v/>
      </c>
      <c r="Z183" s="7">
        <f>IF($AH183="","",Y183*X183)</f>
        <v/>
      </c>
      <c r="AA183">
        <f>IF($AH183="","",Settings!$C$6)</f>
        <v/>
      </c>
      <c r="AB183" s="7">
        <f>IF($AH183="","",SUMIFS('Per Line'!$V$2:$V$1601,'Per Line'!$D$2:$D$1601,$B183,'Per Line'!$AM$2:$AM$1601,1,'Per Line'!$AN$2:$AN$1601,0))</f>
        <v/>
      </c>
      <c r="AC183" s="7">
        <f>IF($AH183="","",AB183*AA183)</f>
        <v/>
      </c>
      <c r="AD183" s="7">
        <f>IF($AH183="","",AC183+Z183+W183)</f>
        <v/>
      </c>
      <c r="AE183" s="7">
        <f>IF($AH183="","",AF183-AD183)</f>
        <v/>
      </c>
      <c r="AF183" s="7">
        <f>IF($AH183="","",Y183+AB183+V183)</f>
        <v/>
      </c>
      <c r="AG183" s="7">
        <f>IF($AH183="","",AF183-AD183-N183)</f>
        <v/>
      </c>
      <c r="AH183" s="13">
        <f>IF(ROWS($AH$2:$AH183)&lt;=MAX('Per Line'!$AL$2:$AL$1601),MATCH(ROWS($AH$2:$AH183),'Per Line'!$AL$2:$AL$1601,0),"")</f>
        <v/>
      </c>
    </row>
    <row r="184">
      <c r="A184" s="12" t="n"/>
      <c r="B184">
        <f>IF($AH184="","",INDEX('Per Line'!$D$2:$D$1601,$AH184)&amp;"")</f>
        <v/>
      </c>
      <c r="C184">
        <f>IF($AH184="","",INDEX('Per Line'!$A$2:$A$1601,$AH184)&amp;"")</f>
        <v/>
      </c>
      <c r="D184">
        <f>IF($AH184="","",INDEX('Per Line'!$B$2:$B$1601,$AH184))</f>
        <v/>
      </c>
      <c r="E184">
        <f>IF($AH184="","",INDEX('Per Line'!$C$2:$C$1601,$AH184)&amp;"")</f>
        <v/>
      </c>
      <c r="F184">
        <f>IF($AH184="","",INDEX('Per Line'!$E$2:$E$1601,$AH184)&amp;"")</f>
        <v/>
      </c>
      <c r="G184" s="11">
        <f>IF($AH184="","",INDEX('Per Line'!$F$2:$F$1601,$AH184))</f>
        <v/>
      </c>
      <c r="H184">
        <f>IF($AH184="","",INDEX('Per Line'!$G$2:$G$1601,$AH184)&amp;"")</f>
        <v/>
      </c>
      <c r="I184">
        <f>IF($AH184="","",INDEX('Per Line'!$I$2:$I$1601,$AH184)&amp;"")</f>
        <v/>
      </c>
      <c r="J184">
        <f>IF($AH184="","",INDEX('Per Line'!$J$2:$J$1601,$AH184)&amp;"")</f>
        <v/>
      </c>
      <c r="K184">
        <f>IF($AH184="","",INDEX('Per Line'!$K$2:$K$1601,$AH184)&amp;"")</f>
        <v/>
      </c>
      <c r="L184">
        <f>IF($AH184="","",INDEX('Per Line'!$L$2:$L$1601,$AH184)&amp;"")</f>
        <v/>
      </c>
      <c r="M184">
        <f>IF($AH184="","",INDEX('Per Line'!$M$2:$M$1601,$AH184))</f>
        <v/>
      </c>
      <c r="N184" s="7">
        <f>IF($AH184="","",M184*AE184/100)</f>
        <v/>
      </c>
      <c r="O184">
        <f>IF($AH184="","",INDEX('Per Line'!$Z$2:$Z$1601,$AH184)&amp;"")</f>
        <v/>
      </c>
      <c r="P184">
        <f>IF($AH184="","",INDEX('Per Line'!$AC$2:$AC$1601,$AH184)&amp;"")</f>
        <v/>
      </c>
      <c r="Q184">
        <f>IF($AH184="","",INDEX('Per Line'!$AD$2:$AD$1601,$AH184))</f>
        <v/>
      </c>
      <c r="R184">
        <f>IF($AH184="","",IF(AND(ISNUMBER(Q184),Q184&gt;0),AF184&gt;Q184,FALSE))</f>
        <v/>
      </c>
      <c r="S184">
        <f>IF($AH184="","",INDEX('Per Line'!$AH$2:$AH$1601,$AH184)&amp;"")</f>
        <v/>
      </c>
      <c r="T184" s="11">
        <f>IF($AH184="","",INDEX('Per Line'!$AI$2:$AI$1601,$AH184))</f>
        <v/>
      </c>
      <c r="U184">
        <f>IF($AH184="","",Settings!$C$8)</f>
        <v/>
      </c>
      <c r="V184" s="7">
        <f>IF($AH184="","",SUMIFS('Per Line'!$V$2:$V$1601,'Per Line'!$D$2:$D$1601,$B184,'Per Line'!$AN$2:$AN$1601,1))</f>
        <v/>
      </c>
      <c r="W184" s="7">
        <f>IF($AH184="","",V184*U184)</f>
        <v/>
      </c>
      <c r="X184">
        <f>IF($AH184="","",Settings!$C$7)</f>
        <v/>
      </c>
      <c r="Y184" s="7">
        <f>IF($AH184="","",SUMIFS('Per Line'!$V$2:$V$1601,'Per Line'!$D$2:$D$1601,$B184,'Per Line'!$AM$2:$AM$1601,0,'Per Line'!$AN$2:$AN$1601,0))</f>
        <v/>
      </c>
      <c r="Z184" s="7">
        <f>IF($AH184="","",Y184*X184)</f>
        <v/>
      </c>
      <c r="AA184">
        <f>IF($AH184="","",Settings!$C$6)</f>
        <v/>
      </c>
      <c r="AB184" s="7">
        <f>IF($AH184="","",SUMIFS('Per Line'!$V$2:$V$1601,'Per Line'!$D$2:$D$1601,$B184,'Per Line'!$AM$2:$AM$1601,1,'Per Line'!$AN$2:$AN$1601,0))</f>
        <v/>
      </c>
      <c r="AC184" s="7">
        <f>IF($AH184="","",AB184*AA184)</f>
        <v/>
      </c>
      <c r="AD184" s="7">
        <f>IF($AH184="","",AC184+Z184+W184)</f>
        <v/>
      </c>
      <c r="AE184" s="7">
        <f>IF($AH184="","",AF184-AD184)</f>
        <v/>
      </c>
      <c r="AF184" s="7">
        <f>IF($AH184="","",Y184+AB184+V184)</f>
        <v/>
      </c>
      <c r="AG184" s="7">
        <f>IF($AH184="","",AF184-AD184-N184)</f>
        <v/>
      </c>
      <c r="AH184" s="13">
        <f>IF(ROWS($AH$2:$AH184)&lt;=MAX('Per Line'!$AL$2:$AL$1601),MATCH(ROWS($AH$2:$AH184),'Per Line'!$AL$2:$AL$1601,0),"")</f>
        <v/>
      </c>
    </row>
    <row r="185">
      <c r="A185" s="12" t="n"/>
      <c r="B185">
        <f>IF($AH185="","",INDEX('Per Line'!$D$2:$D$1601,$AH185)&amp;"")</f>
        <v/>
      </c>
      <c r="C185">
        <f>IF($AH185="","",INDEX('Per Line'!$A$2:$A$1601,$AH185)&amp;"")</f>
        <v/>
      </c>
      <c r="D185">
        <f>IF($AH185="","",INDEX('Per Line'!$B$2:$B$1601,$AH185))</f>
        <v/>
      </c>
      <c r="E185">
        <f>IF($AH185="","",INDEX('Per Line'!$C$2:$C$1601,$AH185)&amp;"")</f>
        <v/>
      </c>
      <c r="F185">
        <f>IF($AH185="","",INDEX('Per Line'!$E$2:$E$1601,$AH185)&amp;"")</f>
        <v/>
      </c>
      <c r="G185" s="11">
        <f>IF($AH185="","",INDEX('Per Line'!$F$2:$F$1601,$AH185))</f>
        <v/>
      </c>
      <c r="H185">
        <f>IF($AH185="","",INDEX('Per Line'!$G$2:$G$1601,$AH185)&amp;"")</f>
        <v/>
      </c>
      <c r="I185">
        <f>IF($AH185="","",INDEX('Per Line'!$I$2:$I$1601,$AH185)&amp;"")</f>
        <v/>
      </c>
      <c r="J185">
        <f>IF($AH185="","",INDEX('Per Line'!$J$2:$J$1601,$AH185)&amp;"")</f>
        <v/>
      </c>
      <c r="K185">
        <f>IF($AH185="","",INDEX('Per Line'!$K$2:$K$1601,$AH185)&amp;"")</f>
        <v/>
      </c>
      <c r="L185">
        <f>IF($AH185="","",INDEX('Per Line'!$L$2:$L$1601,$AH185)&amp;"")</f>
        <v/>
      </c>
      <c r="M185">
        <f>IF($AH185="","",INDEX('Per Line'!$M$2:$M$1601,$AH185))</f>
        <v/>
      </c>
      <c r="N185" s="7">
        <f>IF($AH185="","",M185*AE185/100)</f>
        <v/>
      </c>
      <c r="O185">
        <f>IF($AH185="","",INDEX('Per Line'!$Z$2:$Z$1601,$AH185)&amp;"")</f>
        <v/>
      </c>
      <c r="P185">
        <f>IF($AH185="","",INDEX('Per Line'!$AC$2:$AC$1601,$AH185)&amp;"")</f>
        <v/>
      </c>
      <c r="Q185">
        <f>IF($AH185="","",INDEX('Per Line'!$AD$2:$AD$1601,$AH185))</f>
        <v/>
      </c>
      <c r="R185">
        <f>IF($AH185="","",IF(AND(ISNUMBER(Q185),Q185&gt;0),AF185&gt;Q185,FALSE))</f>
        <v/>
      </c>
      <c r="S185">
        <f>IF($AH185="","",INDEX('Per Line'!$AH$2:$AH$1601,$AH185)&amp;"")</f>
        <v/>
      </c>
      <c r="T185" s="11">
        <f>IF($AH185="","",INDEX('Per Line'!$AI$2:$AI$1601,$AH185))</f>
        <v/>
      </c>
      <c r="U185">
        <f>IF($AH185="","",Settings!$C$8)</f>
        <v/>
      </c>
      <c r="V185" s="7">
        <f>IF($AH185="","",SUMIFS('Per Line'!$V$2:$V$1601,'Per Line'!$D$2:$D$1601,$B185,'Per Line'!$AN$2:$AN$1601,1))</f>
        <v/>
      </c>
      <c r="W185" s="7">
        <f>IF($AH185="","",V185*U185)</f>
        <v/>
      </c>
      <c r="X185">
        <f>IF($AH185="","",Settings!$C$7)</f>
        <v/>
      </c>
      <c r="Y185" s="7">
        <f>IF($AH185="","",SUMIFS('Per Line'!$V$2:$V$1601,'Per Line'!$D$2:$D$1601,$B185,'Per Line'!$AM$2:$AM$1601,0,'Per Line'!$AN$2:$AN$1601,0))</f>
        <v/>
      </c>
      <c r="Z185" s="7">
        <f>IF($AH185="","",Y185*X185)</f>
        <v/>
      </c>
      <c r="AA185">
        <f>IF($AH185="","",Settings!$C$6)</f>
        <v/>
      </c>
      <c r="AB185" s="7">
        <f>IF($AH185="","",SUMIFS('Per Line'!$V$2:$V$1601,'Per Line'!$D$2:$D$1601,$B185,'Per Line'!$AM$2:$AM$1601,1,'Per Line'!$AN$2:$AN$1601,0))</f>
        <v/>
      </c>
      <c r="AC185" s="7">
        <f>IF($AH185="","",AB185*AA185)</f>
        <v/>
      </c>
      <c r="AD185" s="7">
        <f>IF($AH185="","",AC185+Z185+W185)</f>
        <v/>
      </c>
      <c r="AE185" s="7">
        <f>IF($AH185="","",AF185-AD185)</f>
        <v/>
      </c>
      <c r="AF185" s="7">
        <f>IF($AH185="","",Y185+AB185+V185)</f>
        <v/>
      </c>
      <c r="AG185" s="7">
        <f>IF($AH185="","",AF185-AD185-N185)</f>
        <v/>
      </c>
      <c r="AH185" s="13">
        <f>IF(ROWS($AH$2:$AH185)&lt;=MAX('Per Line'!$AL$2:$AL$1601),MATCH(ROWS($AH$2:$AH185),'Per Line'!$AL$2:$AL$1601,0),"")</f>
        <v/>
      </c>
    </row>
    <row r="186">
      <c r="A186" s="12" t="n"/>
      <c r="B186">
        <f>IF($AH186="","",INDEX('Per Line'!$D$2:$D$1601,$AH186)&amp;"")</f>
        <v/>
      </c>
      <c r="C186">
        <f>IF($AH186="","",INDEX('Per Line'!$A$2:$A$1601,$AH186)&amp;"")</f>
        <v/>
      </c>
      <c r="D186">
        <f>IF($AH186="","",INDEX('Per Line'!$B$2:$B$1601,$AH186))</f>
        <v/>
      </c>
      <c r="E186">
        <f>IF($AH186="","",INDEX('Per Line'!$C$2:$C$1601,$AH186)&amp;"")</f>
        <v/>
      </c>
      <c r="F186">
        <f>IF($AH186="","",INDEX('Per Line'!$E$2:$E$1601,$AH186)&amp;"")</f>
        <v/>
      </c>
      <c r="G186" s="11">
        <f>IF($AH186="","",INDEX('Per Line'!$F$2:$F$1601,$AH186))</f>
        <v/>
      </c>
      <c r="H186">
        <f>IF($AH186="","",INDEX('Per Line'!$G$2:$G$1601,$AH186)&amp;"")</f>
        <v/>
      </c>
      <c r="I186">
        <f>IF($AH186="","",INDEX('Per Line'!$I$2:$I$1601,$AH186)&amp;"")</f>
        <v/>
      </c>
      <c r="J186">
        <f>IF($AH186="","",INDEX('Per Line'!$J$2:$J$1601,$AH186)&amp;"")</f>
        <v/>
      </c>
      <c r="K186">
        <f>IF($AH186="","",INDEX('Per Line'!$K$2:$K$1601,$AH186)&amp;"")</f>
        <v/>
      </c>
      <c r="L186">
        <f>IF($AH186="","",INDEX('Per Line'!$L$2:$L$1601,$AH186)&amp;"")</f>
        <v/>
      </c>
      <c r="M186">
        <f>IF($AH186="","",INDEX('Per Line'!$M$2:$M$1601,$AH186))</f>
        <v/>
      </c>
      <c r="N186" s="7">
        <f>IF($AH186="","",M186*AE186/100)</f>
        <v/>
      </c>
      <c r="O186">
        <f>IF($AH186="","",INDEX('Per Line'!$Z$2:$Z$1601,$AH186)&amp;"")</f>
        <v/>
      </c>
      <c r="P186">
        <f>IF($AH186="","",INDEX('Per Line'!$AC$2:$AC$1601,$AH186)&amp;"")</f>
        <v/>
      </c>
      <c r="Q186">
        <f>IF($AH186="","",INDEX('Per Line'!$AD$2:$AD$1601,$AH186))</f>
        <v/>
      </c>
      <c r="R186">
        <f>IF($AH186="","",IF(AND(ISNUMBER(Q186),Q186&gt;0),AF186&gt;Q186,FALSE))</f>
        <v/>
      </c>
      <c r="S186">
        <f>IF($AH186="","",INDEX('Per Line'!$AH$2:$AH$1601,$AH186)&amp;"")</f>
        <v/>
      </c>
      <c r="T186" s="11">
        <f>IF($AH186="","",INDEX('Per Line'!$AI$2:$AI$1601,$AH186))</f>
        <v/>
      </c>
      <c r="U186">
        <f>IF($AH186="","",Settings!$C$8)</f>
        <v/>
      </c>
      <c r="V186" s="7">
        <f>IF($AH186="","",SUMIFS('Per Line'!$V$2:$V$1601,'Per Line'!$D$2:$D$1601,$B186,'Per Line'!$AN$2:$AN$1601,1))</f>
        <v/>
      </c>
      <c r="W186" s="7">
        <f>IF($AH186="","",V186*U186)</f>
        <v/>
      </c>
      <c r="X186">
        <f>IF($AH186="","",Settings!$C$7)</f>
        <v/>
      </c>
      <c r="Y186" s="7">
        <f>IF($AH186="","",SUMIFS('Per Line'!$V$2:$V$1601,'Per Line'!$D$2:$D$1601,$B186,'Per Line'!$AM$2:$AM$1601,0,'Per Line'!$AN$2:$AN$1601,0))</f>
        <v/>
      </c>
      <c r="Z186" s="7">
        <f>IF($AH186="","",Y186*X186)</f>
        <v/>
      </c>
      <c r="AA186">
        <f>IF($AH186="","",Settings!$C$6)</f>
        <v/>
      </c>
      <c r="AB186" s="7">
        <f>IF($AH186="","",SUMIFS('Per Line'!$V$2:$V$1601,'Per Line'!$D$2:$D$1601,$B186,'Per Line'!$AM$2:$AM$1601,1,'Per Line'!$AN$2:$AN$1601,0))</f>
        <v/>
      </c>
      <c r="AC186" s="7">
        <f>IF($AH186="","",AB186*AA186)</f>
        <v/>
      </c>
      <c r="AD186" s="7">
        <f>IF($AH186="","",AC186+Z186+W186)</f>
        <v/>
      </c>
      <c r="AE186" s="7">
        <f>IF($AH186="","",AF186-AD186)</f>
        <v/>
      </c>
      <c r="AF186" s="7">
        <f>IF($AH186="","",Y186+AB186+V186)</f>
        <v/>
      </c>
      <c r="AG186" s="7">
        <f>IF($AH186="","",AF186-AD186-N186)</f>
        <v/>
      </c>
      <c r="AH186" s="13">
        <f>IF(ROWS($AH$2:$AH186)&lt;=MAX('Per Line'!$AL$2:$AL$1601),MATCH(ROWS($AH$2:$AH186),'Per Line'!$AL$2:$AL$1601,0),"")</f>
        <v/>
      </c>
    </row>
    <row r="187">
      <c r="A187" s="12" t="n"/>
      <c r="B187">
        <f>IF($AH187="","",INDEX('Per Line'!$D$2:$D$1601,$AH187)&amp;"")</f>
        <v/>
      </c>
      <c r="C187">
        <f>IF($AH187="","",INDEX('Per Line'!$A$2:$A$1601,$AH187)&amp;"")</f>
        <v/>
      </c>
      <c r="D187">
        <f>IF($AH187="","",INDEX('Per Line'!$B$2:$B$1601,$AH187))</f>
        <v/>
      </c>
      <c r="E187">
        <f>IF($AH187="","",INDEX('Per Line'!$C$2:$C$1601,$AH187)&amp;"")</f>
        <v/>
      </c>
      <c r="F187">
        <f>IF($AH187="","",INDEX('Per Line'!$E$2:$E$1601,$AH187)&amp;"")</f>
        <v/>
      </c>
      <c r="G187" s="11">
        <f>IF($AH187="","",INDEX('Per Line'!$F$2:$F$1601,$AH187))</f>
        <v/>
      </c>
      <c r="H187">
        <f>IF($AH187="","",INDEX('Per Line'!$G$2:$G$1601,$AH187)&amp;"")</f>
        <v/>
      </c>
      <c r="I187">
        <f>IF($AH187="","",INDEX('Per Line'!$I$2:$I$1601,$AH187)&amp;"")</f>
        <v/>
      </c>
      <c r="J187">
        <f>IF($AH187="","",INDEX('Per Line'!$J$2:$J$1601,$AH187)&amp;"")</f>
        <v/>
      </c>
      <c r="K187">
        <f>IF($AH187="","",INDEX('Per Line'!$K$2:$K$1601,$AH187)&amp;"")</f>
        <v/>
      </c>
      <c r="L187">
        <f>IF($AH187="","",INDEX('Per Line'!$L$2:$L$1601,$AH187)&amp;"")</f>
        <v/>
      </c>
      <c r="M187">
        <f>IF($AH187="","",INDEX('Per Line'!$M$2:$M$1601,$AH187))</f>
        <v/>
      </c>
      <c r="N187" s="7">
        <f>IF($AH187="","",M187*AE187/100)</f>
        <v/>
      </c>
      <c r="O187">
        <f>IF($AH187="","",INDEX('Per Line'!$Z$2:$Z$1601,$AH187)&amp;"")</f>
        <v/>
      </c>
      <c r="P187">
        <f>IF($AH187="","",INDEX('Per Line'!$AC$2:$AC$1601,$AH187)&amp;"")</f>
        <v/>
      </c>
      <c r="Q187">
        <f>IF($AH187="","",INDEX('Per Line'!$AD$2:$AD$1601,$AH187))</f>
        <v/>
      </c>
      <c r="R187">
        <f>IF($AH187="","",IF(AND(ISNUMBER(Q187),Q187&gt;0),AF187&gt;Q187,FALSE))</f>
        <v/>
      </c>
      <c r="S187">
        <f>IF($AH187="","",INDEX('Per Line'!$AH$2:$AH$1601,$AH187)&amp;"")</f>
        <v/>
      </c>
      <c r="T187" s="11">
        <f>IF($AH187="","",INDEX('Per Line'!$AI$2:$AI$1601,$AH187))</f>
        <v/>
      </c>
      <c r="U187">
        <f>IF($AH187="","",Settings!$C$8)</f>
        <v/>
      </c>
      <c r="V187" s="7">
        <f>IF($AH187="","",SUMIFS('Per Line'!$V$2:$V$1601,'Per Line'!$D$2:$D$1601,$B187,'Per Line'!$AN$2:$AN$1601,1))</f>
        <v/>
      </c>
      <c r="W187" s="7">
        <f>IF($AH187="","",V187*U187)</f>
        <v/>
      </c>
      <c r="X187">
        <f>IF($AH187="","",Settings!$C$7)</f>
        <v/>
      </c>
      <c r="Y187" s="7">
        <f>IF($AH187="","",SUMIFS('Per Line'!$V$2:$V$1601,'Per Line'!$D$2:$D$1601,$B187,'Per Line'!$AM$2:$AM$1601,0,'Per Line'!$AN$2:$AN$1601,0))</f>
        <v/>
      </c>
      <c r="Z187" s="7">
        <f>IF($AH187="","",Y187*X187)</f>
        <v/>
      </c>
      <c r="AA187">
        <f>IF($AH187="","",Settings!$C$6)</f>
        <v/>
      </c>
      <c r="AB187" s="7">
        <f>IF($AH187="","",SUMIFS('Per Line'!$V$2:$V$1601,'Per Line'!$D$2:$D$1601,$B187,'Per Line'!$AM$2:$AM$1601,1,'Per Line'!$AN$2:$AN$1601,0))</f>
        <v/>
      </c>
      <c r="AC187" s="7">
        <f>IF($AH187="","",AB187*AA187)</f>
        <v/>
      </c>
      <c r="AD187" s="7">
        <f>IF($AH187="","",AC187+Z187+W187)</f>
        <v/>
      </c>
      <c r="AE187" s="7">
        <f>IF($AH187="","",AF187-AD187)</f>
        <v/>
      </c>
      <c r="AF187" s="7">
        <f>IF($AH187="","",Y187+AB187+V187)</f>
        <v/>
      </c>
      <c r="AG187" s="7">
        <f>IF($AH187="","",AF187-AD187-N187)</f>
        <v/>
      </c>
      <c r="AH187" s="13">
        <f>IF(ROWS($AH$2:$AH187)&lt;=MAX('Per Line'!$AL$2:$AL$1601),MATCH(ROWS($AH$2:$AH187),'Per Line'!$AL$2:$AL$1601,0),"")</f>
        <v/>
      </c>
    </row>
    <row r="188">
      <c r="A188" s="12" t="n"/>
      <c r="B188">
        <f>IF($AH188="","",INDEX('Per Line'!$D$2:$D$1601,$AH188)&amp;"")</f>
        <v/>
      </c>
      <c r="C188">
        <f>IF($AH188="","",INDEX('Per Line'!$A$2:$A$1601,$AH188)&amp;"")</f>
        <v/>
      </c>
      <c r="D188">
        <f>IF($AH188="","",INDEX('Per Line'!$B$2:$B$1601,$AH188))</f>
        <v/>
      </c>
      <c r="E188">
        <f>IF($AH188="","",INDEX('Per Line'!$C$2:$C$1601,$AH188)&amp;"")</f>
        <v/>
      </c>
      <c r="F188">
        <f>IF($AH188="","",INDEX('Per Line'!$E$2:$E$1601,$AH188)&amp;"")</f>
        <v/>
      </c>
      <c r="G188" s="11">
        <f>IF($AH188="","",INDEX('Per Line'!$F$2:$F$1601,$AH188))</f>
        <v/>
      </c>
      <c r="H188">
        <f>IF($AH188="","",INDEX('Per Line'!$G$2:$G$1601,$AH188)&amp;"")</f>
        <v/>
      </c>
      <c r="I188">
        <f>IF($AH188="","",INDEX('Per Line'!$I$2:$I$1601,$AH188)&amp;"")</f>
        <v/>
      </c>
      <c r="J188">
        <f>IF($AH188="","",INDEX('Per Line'!$J$2:$J$1601,$AH188)&amp;"")</f>
        <v/>
      </c>
      <c r="K188">
        <f>IF($AH188="","",INDEX('Per Line'!$K$2:$K$1601,$AH188)&amp;"")</f>
        <v/>
      </c>
      <c r="L188">
        <f>IF($AH188="","",INDEX('Per Line'!$L$2:$L$1601,$AH188)&amp;"")</f>
        <v/>
      </c>
      <c r="M188">
        <f>IF($AH188="","",INDEX('Per Line'!$M$2:$M$1601,$AH188))</f>
        <v/>
      </c>
      <c r="N188" s="7">
        <f>IF($AH188="","",M188*AE188/100)</f>
        <v/>
      </c>
      <c r="O188">
        <f>IF($AH188="","",INDEX('Per Line'!$Z$2:$Z$1601,$AH188)&amp;"")</f>
        <v/>
      </c>
      <c r="P188">
        <f>IF($AH188="","",INDEX('Per Line'!$AC$2:$AC$1601,$AH188)&amp;"")</f>
        <v/>
      </c>
      <c r="Q188">
        <f>IF($AH188="","",INDEX('Per Line'!$AD$2:$AD$1601,$AH188))</f>
        <v/>
      </c>
      <c r="R188">
        <f>IF($AH188="","",IF(AND(ISNUMBER(Q188),Q188&gt;0),AF188&gt;Q188,FALSE))</f>
        <v/>
      </c>
      <c r="S188">
        <f>IF($AH188="","",INDEX('Per Line'!$AH$2:$AH$1601,$AH188)&amp;"")</f>
        <v/>
      </c>
      <c r="T188" s="11">
        <f>IF($AH188="","",INDEX('Per Line'!$AI$2:$AI$1601,$AH188))</f>
        <v/>
      </c>
      <c r="U188">
        <f>IF($AH188="","",Settings!$C$8)</f>
        <v/>
      </c>
      <c r="V188" s="7">
        <f>IF($AH188="","",SUMIFS('Per Line'!$V$2:$V$1601,'Per Line'!$D$2:$D$1601,$B188,'Per Line'!$AN$2:$AN$1601,1))</f>
        <v/>
      </c>
      <c r="W188" s="7">
        <f>IF($AH188="","",V188*U188)</f>
        <v/>
      </c>
      <c r="X188">
        <f>IF($AH188="","",Settings!$C$7)</f>
        <v/>
      </c>
      <c r="Y188" s="7">
        <f>IF($AH188="","",SUMIFS('Per Line'!$V$2:$V$1601,'Per Line'!$D$2:$D$1601,$B188,'Per Line'!$AM$2:$AM$1601,0,'Per Line'!$AN$2:$AN$1601,0))</f>
        <v/>
      </c>
      <c r="Z188" s="7">
        <f>IF($AH188="","",Y188*X188)</f>
        <v/>
      </c>
      <c r="AA188">
        <f>IF($AH188="","",Settings!$C$6)</f>
        <v/>
      </c>
      <c r="AB188" s="7">
        <f>IF($AH188="","",SUMIFS('Per Line'!$V$2:$V$1601,'Per Line'!$D$2:$D$1601,$B188,'Per Line'!$AM$2:$AM$1601,1,'Per Line'!$AN$2:$AN$1601,0))</f>
        <v/>
      </c>
      <c r="AC188" s="7">
        <f>IF($AH188="","",AB188*AA188)</f>
        <v/>
      </c>
      <c r="AD188" s="7">
        <f>IF($AH188="","",AC188+Z188+W188)</f>
        <v/>
      </c>
      <c r="AE188" s="7">
        <f>IF($AH188="","",AF188-AD188)</f>
        <v/>
      </c>
      <c r="AF188" s="7">
        <f>IF($AH188="","",Y188+AB188+V188)</f>
        <v/>
      </c>
      <c r="AG188" s="7">
        <f>IF($AH188="","",AF188-AD188-N188)</f>
        <v/>
      </c>
      <c r="AH188" s="13">
        <f>IF(ROWS($AH$2:$AH188)&lt;=MAX('Per Line'!$AL$2:$AL$1601),MATCH(ROWS($AH$2:$AH188),'Per Line'!$AL$2:$AL$1601,0),"")</f>
        <v/>
      </c>
    </row>
    <row r="189">
      <c r="A189" s="12" t="n"/>
      <c r="B189">
        <f>IF($AH189="","",INDEX('Per Line'!$D$2:$D$1601,$AH189)&amp;"")</f>
        <v/>
      </c>
      <c r="C189">
        <f>IF($AH189="","",INDEX('Per Line'!$A$2:$A$1601,$AH189)&amp;"")</f>
        <v/>
      </c>
      <c r="D189">
        <f>IF($AH189="","",INDEX('Per Line'!$B$2:$B$1601,$AH189))</f>
        <v/>
      </c>
      <c r="E189">
        <f>IF($AH189="","",INDEX('Per Line'!$C$2:$C$1601,$AH189)&amp;"")</f>
        <v/>
      </c>
      <c r="F189">
        <f>IF($AH189="","",INDEX('Per Line'!$E$2:$E$1601,$AH189)&amp;"")</f>
        <v/>
      </c>
      <c r="G189" s="11">
        <f>IF($AH189="","",INDEX('Per Line'!$F$2:$F$1601,$AH189))</f>
        <v/>
      </c>
      <c r="H189">
        <f>IF($AH189="","",INDEX('Per Line'!$G$2:$G$1601,$AH189)&amp;"")</f>
        <v/>
      </c>
      <c r="I189">
        <f>IF($AH189="","",INDEX('Per Line'!$I$2:$I$1601,$AH189)&amp;"")</f>
        <v/>
      </c>
      <c r="J189">
        <f>IF($AH189="","",INDEX('Per Line'!$J$2:$J$1601,$AH189)&amp;"")</f>
        <v/>
      </c>
      <c r="K189">
        <f>IF($AH189="","",INDEX('Per Line'!$K$2:$K$1601,$AH189)&amp;"")</f>
        <v/>
      </c>
      <c r="L189">
        <f>IF($AH189="","",INDEX('Per Line'!$L$2:$L$1601,$AH189)&amp;"")</f>
        <v/>
      </c>
      <c r="M189">
        <f>IF($AH189="","",INDEX('Per Line'!$M$2:$M$1601,$AH189))</f>
        <v/>
      </c>
      <c r="N189" s="7">
        <f>IF($AH189="","",M189*AE189/100)</f>
        <v/>
      </c>
      <c r="O189">
        <f>IF($AH189="","",INDEX('Per Line'!$Z$2:$Z$1601,$AH189)&amp;"")</f>
        <v/>
      </c>
      <c r="P189">
        <f>IF($AH189="","",INDEX('Per Line'!$AC$2:$AC$1601,$AH189)&amp;"")</f>
        <v/>
      </c>
      <c r="Q189">
        <f>IF($AH189="","",INDEX('Per Line'!$AD$2:$AD$1601,$AH189))</f>
        <v/>
      </c>
      <c r="R189">
        <f>IF($AH189="","",IF(AND(ISNUMBER(Q189),Q189&gt;0),AF189&gt;Q189,FALSE))</f>
        <v/>
      </c>
      <c r="S189">
        <f>IF($AH189="","",INDEX('Per Line'!$AH$2:$AH$1601,$AH189)&amp;"")</f>
        <v/>
      </c>
      <c r="T189" s="11">
        <f>IF($AH189="","",INDEX('Per Line'!$AI$2:$AI$1601,$AH189))</f>
        <v/>
      </c>
      <c r="U189">
        <f>IF($AH189="","",Settings!$C$8)</f>
        <v/>
      </c>
      <c r="V189" s="7">
        <f>IF($AH189="","",SUMIFS('Per Line'!$V$2:$V$1601,'Per Line'!$D$2:$D$1601,$B189,'Per Line'!$AN$2:$AN$1601,1))</f>
        <v/>
      </c>
      <c r="W189" s="7">
        <f>IF($AH189="","",V189*U189)</f>
        <v/>
      </c>
      <c r="X189">
        <f>IF($AH189="","",Settings!$C$7)</f>
        <v/>
      </c>
      <c r="Y189" s="7">
        <f>IF($AH189="","",SUMIFS('Per Line'!$V$2:$V$1601,'Per Line'!$D$2:$D$1601,$B189,'Per Line'!$AM$2:$AM$1601,0,'Per Line'!$AN$2:$AN$1601,0))</f>
        <v/>
      </c>
      <c r="Z189" s="7">
        <f>IF($AH189="","",Y189*X189)</f>
        <v/>
      </c>
      <c r="AA189">
        <f>IF($AH189="","",Settings!$C$6)</f>
        <v/>
      </c>
      <c r="AB189" s="7">
        <f>IF($AH189="","",SUMIFS('Per Line'!$V$2:$V$1601,'Per Line'!$D$2:$D$1601,$B189,'Per Line'!$AM$2:$AM$1601,1,'Per Line'!$AN$2:$AN$1601,0))</f>
        <v/>
      </c>
      <c r="AC189" s="7">
        <f>IF($AH189="","",AB189*AA189)</f>
        <v/>
      </c>
      <c r="AD189" s="7">
        <f>IF($AH189="","",AC189+Z189+W189)</f>
        <v/>
      </c>
      <c r="AE189" s="7">
        <f>IF($AH189="","",AF189-AD189)</f>
        <v/>
      </c>
      <c r="AF189" s="7">
        <f>IF($AH189="","",Y189+AB189+V189)</f>
        <v/>
      </c>
      <c r="AG189" s="7">
        <f>IF($AH189="","",AF189-AD189-N189)</f>
        <v/>
      </c>
      <c r="AH189" s="13">
        <f>IF(ROWS($AH$2:$AH189)&lt;=MAX('Per Line'!$AL$2:$AL$1601),MATCH(ROWS($AH$2:$AH189),'Per Line'!$AL$2:$AL$1601,0),"")</f>
        <v/>
      </c>
    </row>
    <row r="190">
      <c r="A190" s="12" t="n"/>
      <c r="B190">
        <f>IF($AH190="","",INDEX('Per Line'!$D$2:$D$1601,$AH190)&amp;"")</f>
        <v/>
      </c>
      <c r="C190">
        <f>IF($AH190="","",INDEX('Per Line'!$A$2:$A$1601,$AH190)&amp;"")</f>
        <v/>
      </c>
      <c r="D190">
        <f>IF($AH190="","",INDEX('Per Line'!$B$2:$B$1601,$AH190))</f>
        <v/>
      </c>
      <c r="E190">
        <f>IF($AH190="","",INDEX('Per Line'!$C$2:$C$1601,$AH190)&amp;"")</f>
        <v/>
      </c>
      <c r="F190">
        <f>IF($AH190="","",INDEX('Per Line'!$E$2:$E$1601,$AH190)&amp;"")</f>
        <v/>
      </c>
      <c r="G190" s="11">
        <f>IF($AH190="","",INDEX('Per Line'!$F$2:$F$1601,$AH190))</f>
        <v/>
      </c>
      <c r="H190">
        <f>IF($AH190="","",INDEX('Per Line'!$G$2:$G$1601,$AH190)&amp;"")</f>
        <v/>
      </c>
      <c r="I190">
        <f>IF($AH190="","",INDEX('Per Line'!$I$2:$I$1601,$AH190)&amp;"")</f>
        <v/>
      </c>
      <c r="J190">
        <f>IF($AH190="","",INDEX('Per Line'!$J$2:$J$1601,$AH190)&amp;"")</f>
        <v/>
      </c>
      <c r="K190">
        <f>IF($AH190="","",INDEX('Per Line'!$K$2:$K$1601,$AH190)&amp;"")</f>
        <v/>
      </c>
      <c r="L190">
        <f>IF($AH190="","",INDEX('Per Line'!$L$2:$L$1601,$AH190)&amp;"")</f>
        <v/>
      </c>
      <c r="M190">
        <f>IF($AH190="","",INDEX('Per Line'!$M$2:$M$1601,$AH190))</f>
        <v/>
      </c>
      <c r="N190" s="7">
        <f>IF($AH190="","",M190*AE190/100)</f>
        <v/>
      </c>
      <c r="O190">
        <f>IF($AH190="","",INDEX('Per Line'!$Z$2:$Z$1601,$AH190)&amp;"")</f>
        <v/>
      </c>
      <c r="P190">
        <f>IF($AH190="","",INDEX('Per Line'!$AC$2:$AC$1601,$AH190)&amp;"")</f>
        <v/>
      </c>
      <c r="Q190">
        <f>IF($AH190="","",INDEX('Per Line'!$AD$2:$AD$1601,$AH190))</f>
        <v/>
      </c>
      <c r="R190">
        <f>IF($AH190="","",IF(AND(ISNUMBER(Q190),Q190&gt;0),AF190&gt;Q190,FALSE))</f>
        <v/>
      </c>
      <c r="S190">
        <f>IF($AH190="","",INDEX('Per Line'!$AH$2:$AH$1601,$AH190)&amp;"")</f>
        <v/>
      </c>
      <c r="T190" s="11">
        <f>IF($AH190="","",INDEX('Per Line'!$AI$2:$AI$1601,$AH190))</f>
        <v/>
      </c>
      <c r="U190">
        <f>IF($AH190="","",Settings!$C$8)</f>
        <v/>
      </c>
      <c r="V190" s="7">
        <f>IF($AH190="","",SUMIFS('Per Line'!$V$2:$V$1601,'Per Line'!$D$2:$D$1601,$B190,'Per Line'!$AN$2:$AN$1601,1))</f>
        <v/>
      </c>
      <c r="W190" s="7">
        <f>IF($AH190="","",V190*U190)</f>
        <v/>
      </c>
      <c r="X190">
        <f>IF($AH190="","",Settings!$C$7)</f>
        <v/>
      </c>
      <c r="Y190" s="7">
        <f>IF($AH190="","",SUMIFS('Per Line'!$V$2:$V$1601,'Per Line'!$D$2:$D$1601,$B190,'Per Line'!$AM$2:$AM$1601,0,'Per Line'!$AN$2:$AN$1601,0))</f>
        <v/>
      </c>
      <c r="Z190" s="7">
        <f>IF($AH190="","",Y190*X190)</f>
        <v/>
      </c>
      <c r="AA190">
        <f>IF($AH190="","",Settings!$C$6)</f>
        <v/>
      </c>
      <c r="AB190" s="7">
        <f>IF($AH190="","",SUMIFS('Per Line'!$V$2:$V$1601,'Per Line'!$D$2:$D$1601,$B190,'Per Line'!$AM$2:$AM$1601,1,'Per Line'!$AN$2:$AN$1601,0))</f>
        <v/>
      </c>
      <c r="AC190" s="7">
        <f>IF($AH190="","",AB190*AA190)</f>
        <v/>
      </c>
      <c r="AD190" s="7">
        <f>IF($AH190="","",AC190+Z190+W190)</f>
        <v/>
      </c>
      <c r="AE190" s="7">
        <f>IF($AH190="","",AF190-AD190)</f>
        <v/>
      </c>
      <c r="AF190" s="7">
        <f>IF($AH190="","",Y190+AB190+V190)</f>
        <v/>
      </c>
      <c r="AG190" s="7">
        <f>IF($AH190="","",AF190-AD190-N190)</f>
        <v/>
      </c>
      <c r="AH190" s="13">
        <f>IF(ROWS($AH$2:$AH190)&lt;=MAX('Per Line'!$AL$2:$AL$1601),MATCH(ROWS($AH$2:$AH190),'Per Line'!$AL$2:$AL$1601,0),"")</f>
        <v/>
      </c>
    </row>
    <row r="191">
      <c r="A191" s="12" t="n"/>
      <c r="B191">
        <f>IF($AH191="","",INDEX('Per Line'!$D$2:$D$1601,$AH191)&amp;"")</f>
        <v/>
      </c>
      <c r="C191">
        <f>IF($AH191="","",INDEX('Per Line'!$A$2:$A$1601,$AH191)&amp;"")</f>
        <v/>
      </c>
      <c r="D191">
        <f>IF($AH191="","",INDEX('Per Line'!$B$2:$B$1601,$AH191))</f>
        <v/>
      </c>
      <c r="E191">
        <f>IF($AH191="","",INDEX('Per Line'!$C$2:$C$1601,$AH191)&amp;"")</f>
        <v/>
      </c>
      <c r="F191">
        <f>IF($AH191="","",INDEX('Per Line'!$E$2:$E$1601,$AH191)&amp;"")</f>
        <v/>
      </c>
      <c r="G191" s="11">
        <f>IF($AH191="","",INDEX('Per Line'!$F$2:$F$1601,$AH191))</f>
        <v/>
      </c>
      <c r="H191">
        <f>IF($AH191="","",INDEX('Per Line'!$G$2:$G$1601,$AH191)&amp;"")</f>
        <v/>
      </c>
      <c r="I191">
        <f>IF($AH191="","",INDEX('Per Line'!$I$2:$I$1601,$AH191)&amp;"")</f>
        <v/>
      </c>
      <c r="J191">
        <f>IF($AH191="","",INDEX('Per Line'!$J$2:$J$1601,$AH191)&amp;"")</f>
        <v/>
      </c>
      <c r="K191">
        <f>IF($AH191="","",INDEX('Per Line'!$K$2:$K$1601,$AH191)&amp;"")</f>
        <v/>
      </c>
      <c r="L191">
        <f>IF($AH191="","",INDEX('Per Line'!$L$2:$L$1601,$AH191)&amp;"")</f>
        <v/>
      </c>
      <c r="M191">
        <f>IF($AH191="","",INDEX('Per Line'!$M$2:$M$1601,$AH191))</f>
        <v/>
      </c>
      <c r="N191" s="7">
        <f>IF($AH191="","",M191*AE191/100)</f>
        <v/>
      </c>
      <c r="O191">
        <f>IF($AH191="","",INDEX('Per Line'!$Z$2:$Z$1601,$AH191)&amp;"")</f>
        <v/>
      </c>
      <c r="P191">
        <f>IF($AH191="","",INDEX('Per Line'!$AC$2:$AC$1601,$AH191)&amp;"")</f>
        <v/>
      </c>
      <c r="Q191">
        <f>IF($AH191="","",INDEX('Per Line'!$AD$2:$AD$1601,$AH191))</f>
        <v/>
      </c>
      <c r="R191">
        <f>IF($AH191="","",IF(AND(ISNUMBER(Q191),Q191&gt;0),AF191&gt;Q191,FALSE))</f>
        <v/>
      </c>
      <c r="S191">
        <f>IF($AH191="","",INDEX('Per Line'!$AH$2:$AH$1601,$AH191)&amp;"")</f>
        <v/>
      </c>
      <c r="T191" s="11">
        <f>IF($AH191="","",INDEX('Per Line'!$AI$2:$AI$1601,$AH191))</f>
        <v/>
      </c>
      <c r="U191">
        <f>IF($AH191="","",Settings!$C$8)</f>
        <v/>
      </c>
      <c r="V191" s="7">
        <f>IF($AH191="","",SUMIFS('Per Line'!$V$2:$V$1601,'Per Line'!$D$2:$D$1601,$B191,'Per Line'!$AN$2:$AN$1601,1))</f>
        <v/>
      </c>
      <c r="W191" s="7">
        <f>IF($AH191="","",V191*U191)</f>
        <v/>
      </c>
      <c r="X191">
        <f>IF($AH191="","",Settings!$C$7)</f>
        <v/>
      </c>
      <c r="Y191" s="7">
        <f>IF($AH191="","",SUMIFS('Per Line'!$V$2:$V$1601,'Per Line'!$D$2:$D$1601,$B191,'Per Line'!$AM$2:$AM$1601,0,'Per Line'!$AN$2:$AN$1601,0))</f>
        <v/>
      </c>
      <c r="Z191" s="7">
        <f>IF($AH191="","",Y191*X191)</f>
        <v/>
      </c>
      <c r="AA191">
        <f>IF($AH191="","",Settings!$C$6)</f>
        <v/>
      </c>
      <c r="AB191" s="7">
        <f>IF($AH191="","",SUMIFS('Per Line'!$V$2:$V$1601,'Per Line'!$D$2:$D$1601,$B191,'Per Line'!$AM$2:$AM$1601,1,'Per Line'!$AN$2:$AN$1601,0))</f>
        <v/>
      </c>
      <c r="AC191" s="7">
        <f>IF($AH191="","",AB191*AA191)</f>
        <v/>
      </c>
      <c r="AD191" s="7">
        <f>IF($AH191="","",AC191+Z191+W191)</f>
        <v/>
      </c>
      <c r="AE191" s="7">
        <f>IF($AH191="","",AF191-AD191)</f>
        <v/>
      </c>
      <c r="AF191" s="7">
        <f>IF($AH191="","",Y191+AB191+V191)</f>
        <v/>
      </c>
      <c r="AG191" s="7">
        <f>IF($AH191="","",AF191-AD191-N191)</f>
        <v/>
      </c>
      <c r="AH191" s="13">
        <f>IF(ROWS($AH$2:$AH191)&lt;=MAX('Per Line'!$AL$2:$AL$1601),MATCH(ROWS($AH$2:$AH191),'Per Line'!$AL$2:$AL$1601,0),"")</f>
        <v/>
      </c>
    </row>
    <row r="192">
      <c r="A192" s="12" t="n"/>
      <c r="B192">
        <f>IF($AH192="","",INDEX('Per Line'!$D$2:$D$1601,$AH192)&amp;"")</f>
        <v/>
      </c>
      <c r="C192">
        <f>IF($AH192="","",INDEX('Per Line'!$A$2:$A$1601,$AH192)&amp;"")</f>
        <v/>
      </c>
      <c r="D192">
        <f>IF($AH192="","",INDEX('Per Line'!$B$2:$B$1601,$AH192))</f>
        <v/>
      </c>
      <c r="E192">
        <f>IF($AH192="","",INDEX('Per Line'!$C$2:$C$1601,$AH192)&amp;"")</f>
        <v/>
      </c>
      <c r="F192">
        <f>IF($AH192="","",INDEX('Per Line'!$E$2:$E$1601,$AH192)&amp;"")</f>
        <v/>
      </c>
      <c r="G192" s="11">
        <f>IF($AH192="","",INDEX('Per Line'!$F$2:$F$1601,$AH192))</f>
        <v/>
      </c>
      <c r="H192">
        <f>IF($AH192="","",INDEX('Per Line'!$G$2:$G$1601,$AH192)&amp;"")</f>
        <v/>
      </c>
      <c r="I192">
        <f>IF($AH192="","",INDEX('Per Line'!$I$2:$I$1601,$AH192)&amp;"")</f>
        <v/>
      </c>
      <c r="J192">
        <f>IF($AH192="","",INDEX('Per Line'!$J$2:$J$1601,$AH192)&amp;"")</f>
        <v/>
      </c>
      <c r="K192">
        <f>IF($AH192="","",INDEX('Per Line'!$K$2:$K$1601,$AH192)&amp;"")</f>
        <v/>
      </c>
      <c r="L192">
        <f>IF($AH192="","",INDEX('Per Line'!$L$2:$L$1601,$AH192)&amp;"")</f>
        <v/>
      </c>
      <c r="M192">
        <f>IF($AH192="","",INDEX('Per Line'!$M$2:$M$1601,$AH192))</f>
        <v/>
      </c>
      <c r="N192" s="7">
        <f>IF($AH192="","",M192*AE192/100)</f>
        <v/>
      </c>
      <c r="O192">
        <f>IF($AH192="","",INDEX('Per Line'!$Z$2:$Z$1601,$AH192)&amp;"")</f>
        <v/>
      </c>
      <c r="P192">
        <f>IF($AH192="","",INDEX('Per Line'!$AC$2:$AC$1601,$AH192)&amp;"")</f>
        <v/>
      </c>
      <c r="Q192">
        <f>IF($AH192="","",INDEX('Per Line'!$AD$2:$AD$1601,$AH192))</f>
        <v/>
      </c>
      <c r="R192">
        <f>IF($AH192="","",IF(AND(ISNUMBER(Q192),Q192&gt;0),AF192&gt;Q192,FALSE))</f>
        <v/>
      </c>
      <c r="S192">
        <f>IF($AH192="","",INDEX('Per Line'!$AH$2:$AH$1601,$AH192)&amp;"")</f>
        <v/>
      </c>
      <c r="T192" s="11">
        <f>IF($AH192="","",INDEX('Per Line'!$AI$2:$AI$1601,$AH192))</f>
        <v/>
      </c>
      <c r="U192">
        <f>IF($AH192="","",Settings!$C$8)</f>
        <v/>
      </c>
      <c r="V192" s="7">
        <f>IF($AH192="","",SUMIFS('Per Line'!$V$2:$V$1601,'Per Line'!$D$2:$D$1601,$B192,'Per Line'!$AN$2:$AN$1601,1))</f>
        <v/>
      </c>
      <c r="W192" s="7">
        <f>IF($AH192="","",V192*U192)</f>
        <v/>
      </c>
      <c r="X192">
        <f>IF($AH192="","",Settings!$C$7)</f>
        <v/>
      </c>
      <c r="Y192" s="7">
        <f>IF($AH192="","",SUMIFS('Per Line'!$V$2:$V$1601,'Per Line'!$D$2:$D$1601,$B192,'Per Line'!$AM$2:$AM$1601,0,'Per Line'!$AN$2:$AN$1601,0))</f>
        <v/>
      </c>
      <c r="Z192" s="7">
        <f>IF($AH192="","",Y192*X192)</f>
        <v/>
      </c>
      <c r="AA192">
        <f>IF($AH192="","",Settings!$C$6)</f>
        <v/>
      </c>
      <c r="AB192" s="7">
        <f>IF($AH192="","",SUMIFS('Per Line'!$V$2:$V$1601,'Per Line'!$D$2:$D$1601,$B192,'Per Line'!$AM$2:$AM$1601,1,'Per Line'!$AN$2:$AN$1601,0))</f>
        <v/>
      </c>
      <c r="AC192" s="7">
        <f>IF($AH192="","",AB192*AA192)</f>
        <v/>
      </c>
      <c r="AD192" s="7">
        <f>IF($AH192="","",AC192+Z192+W192)</f>
        <v/>
      </c>
      <c r="AE192" s="7">
        <f>IF($AH192="","",AF192-AD192)</f>
        <v/>
      </c>
      <c r="AF192" s="7">
        <f>IF($AH192="","",Y192+AB192+V192)</f>
        <v/>
      </c>
      <c r="AG192" s="7">
        <f>IF($AH192="","",AF192-AD192-N192)</f>
        <v/>
      </c>
      <c r="AH192" s="13">
        <f>IF(ROWS($AH$2:$AH192)&lt;=MAX('Per Line'!$AL$2:$AL$1601),MATCH(ROWS($AH$2:$AH192),'Per Line'!$AL$2:$AL$1601,0),"")</f>
        <v/>
      </c>
    </row>
    <row r="193">
      <c r="A193" s="12" t="n"/>
      <c r="B193">
        <f>IF($AH193="","",INDEX('Per Line'!$D$2:$D$1601,$AH193)&amp;"")</f>
        <v/>
      </c>
      <c r="C193">
        <f>IF($AH193="","",INDEX('Per Line'!$A$2:$A$1601,$AH193)&amp;"")</f>
        <v/>
      </c>
      <c r="D193">
        <f>IF($AH193="","",INDEX('Per Line'!$B$2:$B$1601,$AH193))</f>
        <v/>
      </c>
      <c r="E193">
        <f>IF($AH193="","",INDEX('Per Line'!$C$2:$C$1601,$AH193)&amp;"")</f>
        <v/>
      </c>
      <c r="F193">
        <f>IF($AH193="","",INDEX('Per Line'!$E$2:$E$1601,$AH193)&amp;"")</f>
        <v/>
      </c>
      <c r="G193" s="11">
        <f>IF($AH193="","",INDEX('Per Line'!$F$2:$F$1601,$AH193))</f>
        <v/>
      </c>
      <c r="H193">
        <f>IF($AH193="","",INDEX('Per Line'!$G$2:$G$1601,$AH193)&amp;"")</f>
        <v/>
      </c>
      <c r="I193">
        <f>IF($AH193="","",INDEX('Per Line'!$I$2:$I$1601,$AH193)&amp;"")</f>
        <v/>
      </c>
      <c r="J193">
        <f>IF($AH193="","",INDEX('Per Line'!$J$2:$J$1601,$AH193)&amp;"")</f>
        <v/>
      </c>
      <c r="K193">
        <f>IF($AH193="","",INDEX('Per Line'!$K$2:$K$1601,$AH193)&amp;"")</f>
        <v/>
      </c>
      <c r="L193">
        <f>IF($AH193="","",INDEX('Per Line'!$L$2:$L$1601,$AH193)&amp;"")</f>
        <v/>
      </c>
      <c r="M193">
        <f>IF($AH193="","",INDEX('Per Line'!$M$2:$M$1601,$AH193))</f>
        <v/>
      </c>
      <c r="N193" s="7">
        <f>IF($AH193="","",M193*AE193/100)</f>
        <v/>
      </c>
      <c r="O193">
        <f>IF($AH193="","",INDEX('Per Line'!$Z$2:$Z$1601,$AH193)&amp;"")</f>
        <v/>
      </c>
      <c r="P193">
        <f>IF($AH193="","",INDEX('Per Line'!$AC$2:$AC$1601,$AH193)&amp;"")</f>
        <v/>
      </c>
      <c r="Q193">
        <f>IF($AH193="","",INDEX('Per Line'!$AD$2:$AD$1601,$AH193))</f>
        <v/>
      </c>
      <c r="R193">
        <f>IF($AH193="","",IF(AND(ISNUMBER(Q193),Q193&gt;0),AF193&gt;Q193,FALSE))</f>
        <v/>
      </c>
      <c r="S193">
        <f>IF($AH193="","",INDEX('Per Line'!$AH$2:$AH$1601,$AH193)&amp;"")</f>
        <v/>
      </c>
      <c r="T193" s="11">
        <f>IF($AH193="","",INDEX('Per Line'!$AI$2:$AI$1601,$AH193))</f>
        <v/>
      </c>
      <c r="U193">
        <f>IF($AH193="","",Settings!$C$8)</f>
        <v/>
      </c>
      <c r="V193" s="7">
        <f>IF($AH193="","",SUMIFS('Per Line'!$V$2:$V$1601,'Per Line'!$D$2:$D$1601,$B193,'Per Line'!$AN$2:$AN$1601,1))</f>
        <v/>
      </c>
      <c r="W193" s="7">
        <f>IF($AH193="","",V193*U193)</f>
        <v/>
      </c>
      <c r="X193">
        <f>IF($AH193="","",Settings!$C$7)</f>
        <v/>
      </c>
      <c r="Y193" s="7">
        <f>IF($AH193="","",SUMIFS('Per Line'!$V$2:$V$1601,'Per Line'!$D$2:$D$1601,$B193,'Per Line'!$AM$2:$AM$1601,0,'Per Line'!$AN$2:$AN$1601,0))</f>
        <v/>
      </c>
      <c r="Z193" s="7">
        <f>IF($AH193="","",Y193*X193)</f>
        <v/>
      </c>
      <c r="AA193">
        <f>IF($AH193="","",Settings!$C$6)</f>
        <v/>
      </c>
      <c r="AB193" s="7">
        <f>IF($AH193="","",SUMIFS('Per Line'!$V$2:$V$1601,'Per Line'!$D$2:$D$1601,$B193,'Per Line'!$AM$2:$AM$1601,1,'Per Line'!$AN$2:$AN$1601,0))</f>
        <v/>
      </c>
      <c r="AC193" s="7">
        <f>IF($AH193="","",AB193*AA193)</f>
        <v/>
      </c>
      <c r="AD193" s="7">
        <f>IF($AH193="","",AC193+Z193+W193)</f>
        <v/>
      </c>
      <c r="AE193" s="7">
        <f>IF($AH193="","",AF193-AD193)</f>
        <v/>
      </c>
      <c r="AF193" s="7">
        <f>IF($AH193="","",Y193+AB193+V193)</f>
        <v/>
      </c>
      <c r="AG193" s="7">
        <f>IF($AH193="","",AF193-AD193-N193)</f>
        <v/>
      </c>
      <c r="AH193" s="13">
        <f>IF(ROWS($AH$2:$AH193)&lt;=MAX('Per Line'!$AL$2:$AL$1601),MATCH(ROWS($AH$2:$AH193),'Per Line'!$AL$2:$AL$1601,0),"")</f>
        <v/>
      </c>
    </row>
    <row r="194">
      <c r="A194" s="12" t="n"/>
      <c r="B194">
        <f>IF($AH194="","",INDEX('Per Line'!$D$2:$D$1601,$AH194)&amp;"")</f>
        <v/>
      </c>
      <c r="C194">
        <f>IF($AH194="","",INDEX('Per Line'!$A$2:$A$1601,$AH194)&amp;"")</f>
        <v/>
      </c>
      <c r="D194">
        <f>IF($AH194="","",INDEX('Per Line'!$B$2:$B$1601,$AH194))</f>
        <v/>
      </c>
      <c r="E194">
        <f>IF($AH194="","",INDEX('Per Line'!$C$2:$C$1601,$AH194)&amp;"")</f>
        <v/>
      </c>
      <c r="F194">
        <f>IF($AH194="","",INDEX('Per Line'!$E$2:$E$1601,$AH194)&amp;"")</f>
        <v/>
      </c>
      <c r="G194" s="11">
        <f>IF($AH194="","",INDEX('Per Line'!$F$2:$F$1601,$AH194))</f>
        <v/>
      </c>
      <c r="H194">
        <f>IF($AH194="","",INDEX('Per Line'!$G$2:$G$1601,$AH194)&amp;"")</f>
        <v/>
      </c>
      <c r="I194">
        <f>IF($AH194="","",INDEX('Per Line'!$I$2:$I$1601,$AH194)&amp;"")</f>
        <v/>
      </c>
      <c r="J194">
        <f>IF($AH194="","",INDEX('Per Line'!$J$2:$J$1601,$AH194)&amp;"")</f>
        <v/>
      </c>
      <c r="K194">
        <f>IF($AH194="","",INDEX('Per Line'!$K$2:$K$1601,$AH194)&amp;"")</f>
        <v/>
      </c>
      <c r="L194">
        <f>IF($AH194="","",INDEX('Per Line'!$L$2:$L$1601,$AH194)&amp;"")</f>
        <v/>
      </c>
      <c r="M194">
        <f>IF($AH194="","",INDEX('Per Line'!$M$2:$M$1601,$AH194))</f>
        <v/>
      </c>
      <c r="N194" s="7">
        <f>IF($AH194="","",M194*AE194/100)</f>
        <v/>
      </c>
      <c r="O194">
        <f>IF($AH194="","",INDEX('Per Line'!$Z$2:$Z$1601,$AH194)&amp;"")</f>
        <v/>
      </c>
      <c r="P194">
        <f>IF($AH194="","",INDEX('Per Line'!$AC$2:$AC$1601,$AH194)&amp;"")</f>
        <v/>
      </c>
      <c r="Q194">
        <f>IF($AH194="","",INDEX('Per Line'!$AD$2:$AD$1601,$AH194))</f>
        <v/>
      </c>
      <c r="R194">
        <f>IF($AH194="","",IF(AND(ISNUMBER(Q194),Q194&gt;0),AF194&gt;Q194,FALSE))</f>
        <v/>
      </c>
      <c r="S194">
        <f>IF($AH194="","",INDEX('Per Line'!$AH$2:$AH$1601,$AH194)&amp;"")</f>
        <v/>
      </c>
      <c r="T194" s="11">
        <f>IF($AH194="","",INDEX('Per Line'!$AI$2:$AI$1601,$AH194))</f>
        <v/>
      </c>
      <c r="U194">
        <f>IF($AH194="","",Settings!$C$8)</f>
        <v/>
      </c>
      <c r="V194" s="7">
        <f>IF($AH194="","",SUMIFS('Per Line'!$V$2:$V$1601,'Per Line'!$D$2:$D$1601,$B194,'Per Line'!$AN$2:$AN$1601,1))</f>
        <v/>
      </c>
      <c r="W194" s="7">
        <f>IF($AH194="","",V194*U194)</f>
        <v/>
      </c>
      <c r="X194">
        <f>IF($AH194="","",Settings!$C$7)</f>
        <v/>
      </c>
      <c r="Y194" s="7">
        <f>IF($AH194="","",SUMIFS('Per Line'!$V$2:$V$1601,'Per Line'!$D$2:$D$1601,$B194,'Per Line'!$AM$2:$AM$1601,0,'Per Line'!$AN$2:$AN$1601,0))</f>
        <v/>
      </c>
      <c r="Z194" s="7">
        <f>IF($AH194="","",Y194*X194)</f>
        <v/>
      </c>
      <c r="AA194">
        <f>IF($AH194="","",Settings!$C$6)</f>
        <v/>
      </c>
      <c r="AB194" s="7">
        <f>IF($AH194="","",SUMIFS('Per Line'!$V$2:$V$1601,'Per Line'!$D$2:$D$1601,$B194,'Per Line'!$AM$2:$AM$1601,1,'Per Line'!$AN$2:$AN$1601,0))</f>
        <v/>
      </c>
      <c r="AC194" s="7">
        <f>IF($AH194="","",AB194*AA194)</f>
        <v/>
      </c>
      <c r="AD194" s="7">
        <f>IF($AH194="","",AC194+Z194+W194)</f>
        <v/>
      </c>
      <c r="AE194" s="7">
        <f>IF($AH194="","",AF194-AD194)</f>
        <v/>
      </c>
      <c r="AF194" s="7">
        <f>IF($AH194="","",Y194+AB194+V194)</f>
        <v/>
      </c>
      <c r="AG194" s="7">
        <f>IF($AH194="","",AF194-AD194-N194)</f>
        <v/>
      </c>
      <c r="AH194" s="13">
        <f>IF(ROWS($AH$2:$AH194)&lt;=MAX('Per Line'!$AL$2:$AL$1601),MATCH(ROWS($AH$2:$AH194),'Per Line'!$AL$2:$AL$1601,0),"")</f>
        <v/>
      </c>
    </row>
    <row r="195">
      <c r="A195" s="12" t="n"/>
      <c r="B195">
        <f>IF($AH195="","",INDEX('Per Line'!$D$2:$D$1601,$AH195)&amp;"")</f>
        <v/>
      </c>
      <c r="C195">
        <f>IF($AH195="","",INDEX('Per Line'!$A$2:$A$1601,$AH195)&amp;"")</f>
        <v/>
      </c>
      <c r="D195">
        <f>IF($AH195="","",INDEX('Per Line'!$B$2:$B$1601,$AH195))</f>
        <v/>
      </c>
      <c r="E195">
        <f>IF($AH195="","",INDEX('Per Line'!$C$2:$C$1601,$AH195)&amp;"")</f>
        <v/>
      </c>
      <c r="F195">
        <f>IF($AH195="","",INDEX('Per Line'!$E$2:$E$1601,$AH195)&amp;"")</f>
        <v/>
      </c>
      <c r="G195" s="11">
        <f>IF($AH195="","",INDEX('Per Line'!$F$2:$F$1601,$AH195))</f>
        <v/>
      </c>
      <c r="H195">
        <f>IF($AH195="","",INDEX('Per Line'!$G$2:$G$1601,$AH195)&amp;"")</f>
        <v/>
      </c>
      <c r="I195">
        <f>IF($AH195="","",INDEX('Per Line'!$I$2:$I$1601,$AH195)&amp;"")</f>
        <v/>
      </c>
      <c r="J195">
        <f>IF($AH195="","",INDEX('Per Line'!$J$2:$J$1601,$AH195)&amp;"")</f>
        <v/>
      </c>
      <c r="K195">
        <f>IF($AH195="","",INDEX('Per Line'!$K$2:$K$1601,$AH195)&amp;"")</f>
        <v/>
      </c>
      <c r="L195">
        <f>IF($AH195="","",INDEX('Per Line'!$L$2:$L$1601,$AH195)&amp;"")</f>
        <v/>
      </c>
      <c r="M195">
        <f>IF($AH195="","",INDEX('Per Line'!$M$2:$M$1601,$AH195))</f>
        <v/>
      </c>
      <c r="N195" s="7">
        <f>IF($AH195="","",M195*AE195/100)</f>
        <v/>
      </c>
      <c r="O195">
        <f>IF($AH195="","",INDEX('Per Line'!$Z$2:$Z$1601,$AH195)&amp;"")</f>
        <v/>
      </c>
      <c r="P195">
        <f>IF($AH195="","",INDEX('Per Line'!$AC$2:$AC$1601,$AH195)&amp;"")</f>
        <v/>
      </c>
      <c r="Q195">
        <f>IF($AH195="","",INDEX('Per Line'!$AD$2:$AD$1601,$AH195))</f>
        <v/>
      </c>
      <c r="R195">
        <f>IF($AH195="","",IF(AND(ISNUMBER(Q195),Q195&gt;0),AF195&gt;Q195,FALSE))</f>
        <v/>
      </c>
      <c r="S195">
        <f>IF($AH195="","",INDEX('Per Line'!$AH$2:$AH$1601,$AH195)&amp;"")</f>
        <v/>
      </c>
      <c r="T195" s="11">
        <f>IF($AH195="","",INDEX('Per Line'!$AI$2:$AI$1601,$AH195))</f>
        <v/>
      </c>
      <c r="U195">
        <f>IF($AH195="","",Settings!$C$8)</f>
        <v/>
      </c>
      <c r="V195" s="7">
        <f>IF($AH195="","",SUMIFS('Per Line'!$V$2:$V$1601,'Per Line'!$D$2:$D$1601,$B195,'Per Line'!$AN$2:$AN$1601,1))</f>
        <v/>
      </c>
      <c r="W195" s="7">
        <f>IF($AH195="","",V195*U195)</f>
        <v/>
      </c>
      <c r="X195">
        <f>IF($AH195="","",Settings!$C$7)</f>
        <v/>
      </c>
      <c r="Y195" s="7">
        <f>IF($AH195="","",SUMIFS('Per Line'!$V$2:$V$1601,'Per Line'!$D$2:$D$1601,$B195,'Per Line'!$AM$2:$AM$1601,0,'Per Line'!$AN$2:$AN$1601,0))</f>
        <v/>
      </c>
      <c r="Z195" s="7">
        <f>IF($AH195="","",Y195*X195)</f>
        <v/>
      </c>
      <c r="AA195">
        <f>IF($AH195="","",Settings!$C$6)</f>
        <v/>
      </c>
      <c r="AB195" s="7">
        <f>IF($AH195="","",SUMIFS('Per Line'!$V$2:$V$1601,'Per Line'!$D$2:$D$1601,$B195,'Per Line'!$AM$2:$AM$1601,1,'Per Line'!$AN$2:$AN$1601,0))</f>
        <v/>
      </c>
      <c r="AC195" s="7">
        <f>IF($AH195="","",AB195*AA195)</f>
        <v/>
      </c>
      <c r="AD195" s="7">
        <f>IF($AH195="","",AC195+Z195+W195)</f>
        <v/>
      </c>
      <c r="AE195" s="7">
        <f>IF($AH195="","",AF195-AD195)</f>
        <v/>
      </c>
      <c r="AF195" s="7">
        <f>IF($AH195="","",Y195+AB195+V195)</f>
        <v/>
      </c>
      <c r="AG195" s="7">
        <f>IF($AH195="","",AF195-AD195-N195)</f>
        <v/>
      </c>
      <c r="AH195" s="13">
        <f>IF(ROWS($AH$2:$AH195)&lt;=MAX('Per Line'!$AL$2:$AL$1601),MATCH(ROWS($AH$2:$AH195),'Per Line'!$AL$2:$AL$1601,0),"")</f>
        <v/>
      </c>
    </row>
    <row r="196">
      <c r="A196" s="12" t="n"/>
      <c r="B196">
        <f>IF($AH196="","",INDEX('Per Line'!$D$2:$D$1601,$AH196)&amp;"")</f>
        <v/>
      </c>
      <c r="C196">
        <f>IF($AH196="","",INDEX('Per Line'!$A$2:$A$1601,$AH196)&amp;"")</f>
        <v/>
      </c>
      <c r="D196">
        <f>IF($AH196="","",INDEX('Per Line'!$B$2:$B$1601,$AH196))</f>
        <v/>
      </c>
      <c r="E196">
        <f>IF($AH196="","",INDEX('Per Line'!$C$2:$C$1601,$AH196)&amp;"")</f>
        <v/>
      </c>
      <c r="F196">
        <f>IF($AH196="","",INDEX('Per Line'!$E$2:$E$1601,$AH196)&amp;"")</f>
        <v/>
      </c>
      <c r="G196" s="11">
        <f>IF($AH196="","",INDEX('Per Line'!$F$2:$F$1601,$AH196))</f>
        <v/>
      </c>
      <c r="H196">
        <f>IF($AH196="","",INDEX('Per Line'!$G$2:$G$1601,$AH196)&amp;"")</f>
        <v/>
      </c>
      <c r="I196">
        <f>IF($AH196="","",INDEX('Per Line'!$I$2:$I$1601,$AH196)&amp;"")</f>
        <v/>
      </c>
      <c r="J196">
        <f>IF($AH196="","",INDEX('Per Line'!$J$2:$J$1601,$AH196)&amp;"")</f>
        <v/>
      </c>
      <c r="K196">
        <f>IF($AH196="","",INDEX('Per Line'!$K$2:$K$1601,$AH196)&amp;"")</f>
        <v/>
      </c>
      <c r="L196">
        <f>IF($AH196="","",INDEX('Per Line'!$L$2:$L$1601,$AH196)&amp;"")</f>
        <v/>
      </c>
      <c r="M196">
        <f>IF($AH196="","",INDEX('Per Line'!$M$2:$M$1601,$AH196))</f>
        <v/>
      </c>
      <c r="N196" s="7">
        <f>IF($AH196="","",M196*AE196/100)</f>
        <v/>
      </c>
      <c r="O196">
        <f>IF($AH196="","",INDEX('Per Line'!$Z$2:$Z$1601,$AH196)&amp;"")</f>
        <v/>
      </c>
      <c r="P196">
        <f>IF($AH196="","",INDEX('Per Line'!$AC$2:$AC$1601,$AH196)&amp;"")</f>
        <v/>
      </c>
      <c r="Q196">
        <f>IF($AH196="","",INDEX('Per Line'!$AD$2:$AD$1601,$AH196))</f>
        <v/>
      </c>
      <c r="R196">
        <f>IF($AH196="","",IF(AND(ISNUMBER(Q196),Q196&gt;0),AF196&gt;Q196,FALSE))</f>
        <v/>
      </c>
      <c r="S196">
        <f>IF($AH196="","",INDEX('Per Line'!$AH$2:$AH$1601,$AH196)&amp;"")</f>
        <v/>
      </c>
      <c r="T196" s="11">
        <f>IF($AH196="","",INDEX('Per Line'!$AI$2:$AI$1601,$AH196))</f>
        <v/>
      </c>
      <c r="U196">
        <f>IF($AH196="","",Settings!$C$8)</f>
        <v/>
      </c>
      <c r="V196" s="7">
        <f>IF($AH196="","",SUMIFS('Per Line'!$V$2:$V$1601,'Per Line'!$D$2:$D$1601,$B196,'Per Line'!$AN$2:$AN$1601,1))</f>
        <v/>
      </c>
      <c r="W196" s="7">
        <f>IF($AH196="","",V196*U196)</f>
        <v/>
      </c>
      <c r="X196">
        <f>IF($AH196="","",Settings!$C$7)</f>
        <v/>
      </c>
      <c r="Y196" s="7">
        <f>IF($AH196="","",SUMIFS('Per Line'!$V$2:$V$1601,'Per Line'!$D$2:$D$1601,$B196,'Per Line'!$AM$2:$AM$1601,0,'Per Line'!$AN$2:$AN$1601,0))</f>
        <v/>
      </c>
      <c r="Z196" s="7">
        <f>IF($AH196="","",Y196*X196)</f>
        <v/>
      </c>
      <c r="AA196">
        <f>IF($AH196="","",Settings!$C$6)</f>
        <v/>
      </c>
      <c r="AB196" s="7">
        <f>IF($AH196="","",SUMIFS('Per Line'!$V$2:$V$1601,'Per Line'!$D$2:$D$1601,$B196,'Per Line'!$AM$2:$AM$1601,1,'Per Line'!$AN$2:$AN$1601,0))</f>
        <v/>
      </c>
      <c r="AC196" s="7">
        <f>IF($AH196="","",AB196*AA196)</f>
        <v/>
      </c>
      <c r="AD196" s="7">
        <f>IF($AH196="","",AC196+Z196+W196)</f>
        <v/>
      </c>
      <c r="AE196" s="7">
        <f>IF($AH196="","",AF196-AD196)</f>
        <v/>
      </c>
      <c r="AF196" s="7">
        <f>IF($AH196="","",Y196+AB196+V196)</f>
        <v/>
      </c>
      <c r="AG196" s="7">
        <f>IF($AH196="","",AF196-AD196-N196)</f>
        <v/>
      </c>
      <c r="AH196" s="13">
        <f>IF(ROWS($AH$2:$AH196)&lt;=MAX('Per Line'!$AL$2:$AL$1601),MATCH(ROWS($AH$2:$AH196),'Per Line'!$AL$2:$AL$1601,0),"")</f>
        <v/>
      </c>
    </row>
    <row r="197">
      <c r="A197" s="12" t="n"/>
      <c r="B197">
        <f>IF($AH197="","",INDEX('Per Line'!$D$2:$D$1601,$AH197)&amp;"")</f>
        <v/>
      </c>
      <c r="C197">
        <f>IF($AH197="","",INDEX('Per Line'!$A$2:$A$1601,$AH197)&amp;"")</f>
        <v/>
      </c>
      <c r="D197">
        <f>IF($AH197="","",INDEX('Per Line'!$B$2:$B$1601,$AH197))</f>
        <v/>
      </c>
      <c r="E197">
        <f>IF($AH197="","",INDEX('Per Line'!$C$2:$C$1601,$AH197)&amp;"")</f>
        <v/>
      </c>
      <c r="F197">
        <f>IF($AH197="","",INDEX('Per Line'!$E$2:$E$1601,$AH197)&amp;"")</f>
        <v/>
      </c>
      <c r="G197" s="11">
        <f>IF($AH197="","",INDEX('Per Line'!$F$2:$F$1601,$AH197))</f>
        <v/>
      </c>
      <c r="H197">
        <f>IF($AH197="","",INDEX('Per Line'!$G$2:$G$1601,$AH197)&amp;"")</f>
        <v/>
      </c>
      <c r="I197">
        <f>IF($AH197="","",INDEX('Per Line'!$I$2:$I$1601,$AH197)&amp;"")</f>
        <v/>
      </c>
      <c r="J197">
        <f>IF($AH197="","",INDEX('Per Line'!$J$2:$J$1601,$AH197)&amp;"")</f>
        <v/>
      </c>
      <c r="K197">
        <f>IF($AH197="","",INDEX('Per Line'!$K$2:$K$1601,$AH197)&amp;"")</f>
        <v/>
      </c>
      <c r="L197">
        <f>IF($AH197="","",INDEX('Per Line'!$L$2:$L$1601,$AH197)&amp;"")</f>
        <v/>
      </c>
      <c r="M197">
        <f>IF($AH197="","",INDEX('Per Line'!$M$2:$M$1601,$AH197))</f>
        <v/>
      </c>
      <c r="N197" s="7">
        <f>IF($AH197="","",M197*AE197/100)</f>
        <v/>
      </c>
      <c r="O197">
        <f>IF($AH197="","",INDEX('Per Line'!$Z$2:$Z$1601,$AH197)&amp;"")</f>
        <v/>
      </c>
      <c r="P197">
        <f>IF($AH197="","",INDEX('Per Line'!$AC$2:$AC$1601,$AH197)&amp;"")</f>
        <v/>
      </c>
      <c r="Q197">
        <f>IF($AH197="","",INDEX('Per Line'!$AD$2:$AD$1601,$AH197))</f>
        <v/>
      </c>
      <c r="R197">
        <f>IF($AH197="","",IF(AND(ISNUMBER(Q197),Q197&gt;0),AF197&gt;Q197,FALSE))</f>
        <v/>
      </c>
      <c r="S197">
        <f>IF($AH197="","",INDEX('Per Line'!$AH$2:$AH$1601,$AH197)&amp;"")</f>
        <v/>
      </c>
      <c r="T197" s="11">
        <f>IF($AH197="","",INDEX('Per Line'!$AI$2:$AI$1601,$AH197))</f>
        <v/>
      </c>
      <c r="U197">
        <f>IF($AH197="","",Settings!$C$8)</f>
        <v/>
      </c>
      <c r="V197" s="7">
        <f>IF($AH197="","",SUMIFS('Per Line'!$V$2:$V$1601,'Per Line'!$D$2:$D$1601,$B197,'Per Line'!$AN$2:$AN$1601,1))</f>
        <v/>
      </c>
      <c r="W197" s="7">
        <f>IF($AH197="","",V197*U197)</f>
        <v/>
      </c>
      <c r="X197">
        <f>IF($AH197="","",Settings!$C$7)</f>
        <v/>
      </c>
      <c r="Y197" s="7">
        <f>IF($AH197="","",SUMIFS('Per Line'!$V$2:$V$1601,'Per Line'!$D$2:$D$1601,$B197,'Per Line'!$AM$2:$AM$1601,0,'Per Line'!$AN$2:$AN$1601,0))</f>
        <v/>
      </c>
      <c r="Z197" s="7">
        <f>IF($AH197="","",Y197*X197)</f>
        <v/>
      </c>
      <c r="AA197">
        <f>IF($AH197="","",Settings!$C$6)</f>
        <v/>
      </c>
      <c r="AB197" s="7">
        <f>IF($AH197="","",SUMIFS('Per Line'!$V$2:$V$1601,'Per Line'!$D$2:$D$1601,$B197,'Per Line'!$AM$2:$AM$1601,1,'Per Line'!$AN$2:$AN$1601,0))</f>
        <v/>
      </c>
      <c r="AC197" s="7">
        <f>IF($AH197="","",AB197*AA197)</f>
        <v/>
      </c>
      <c r="AD197" s="7">
        <f>IF($AH197="","",AC197+Z197+W197)</f>
        <v/>
      </c>
      <c r="AE197" s="7">
        <f>IF($AH197="","",AF197-AD197)</f>
        <v/>
      </c>
      <c r="AF197" s="7">
        <f>IF($AH197="","",Y197+AB197+V197)</f>
        <v/>
      </c>
      <c r="AG197" s="7">
        <f>IF($AH197="","",AF197-AD197-N197)</f>
        <v/>
      </c>
      <c r="AH197" s="13">
        <f>IF(ROWS($AH$2:$AH197)&lt;=MAX('Per Line'!$AL$2:$AL$1601),MATCH(ROWS($AH$2:$AH197),'Per Line'!$AL$2:$AL$1601,0),"")</f>
        <v/>
      </c>
    </row>
    <row r="198">
      <c r="A198" s="12" t="n"/>
      <c r="B198">
        <f>IF($AH198="","",INDEX('Per Line'!$D$2:$D$1601,$AH198)&amp;"")</f>
        <v/>
      </c>
      <c r="C198">
        <f>IF($AH198="","",INDEX('Per Line'!$A$2:$A$1601,$AH198)&amp;"")</f>
        <v/>
      </c>
      <c r="D198">
        <f>IF($AH198="","",INDEX('Per Line'!$B$2:$B$1601,$AH198))</f>
        <v/>
      </c>
      <c r="E198">
        <f>IF($AH198="","",INDEX('Per Line'!$C$2:$C$1601,$AH198)&amp;"")</f>
        <v/>
      </c>
      <c r="F198">
        <f>IF($AH198="","",INDEX('Per Line'!$E$2:$E$1601,$AH198)&amp;"")</f>
        <v/>
      </c>
      <c r="G198" s="11">
        <f>IF($AH198="","",INDEX('Per Line'!$F$2:$F$1601,$AH198))</f>
        <v/>
      </c>
      <c r="H198">
        <f>IF($AH198="","",INDEX('Per Line'!$G$2:$G$1601,$AH198)&amp;"")</f>
        <v/>
      </c>
      <c r="I198">
        <f>IF($AH198="","",INDEX('Per Line'!$I$2:$I$1601,$AH198)&amp;"")</f>
        <v/>
      </c>
      <c r="J198">
        <f>IF($AH198="","",INDEX('Per Line'!$J$2:$J$1601,$AH198)&amp;"")</f>
        <v/>
      </c>
      <c r="K198">
        <f>IF($AH198="","",INDEX('Per Line'!$K$2:$K$1601,$AH198)&amp;"")</f>
        <v/>
      </c>
      <c r="L198">
        <f>IF($AH198="","",INDEX('Per Line'!$L$2:$L$1601,$AH198)&amp;"")</f>
        <v/>
      </c>
      <c r="M198">
        <f>IF($AH198="","",INDEX('Per Line'!$M$2:$M$1601,$AH198))</f>
        <v/>
      </c>
      <c r="N198" s="7">
        <f>IF($AH198="","",M198*AE198/100)</f>
        <v/>
      </c>
      <c r="O198">
        <f>IF($AH198="","",INDEX('Per Line'!$Z$2:$Z$1601,$AH198)&amp;"")</f>
        <v/>
      </c>
      <c r="P198">
        <f>IF($AH198="","",INDEX('Per Line'!$AC$2:$AC$1601,$AH198)&amp;"")</f>
        <v/>
      </c>
      <c r="Q198">
        <f>IF($AH198="","",INDEX('Per Line'!$AD$2:$AD$1601,$AH198))</f>
        <v/>
      </c>
      <c r="R198">
        <f>IF($AH198="","",IF(AND(ISNUMBER(Q198),Q198&gt;0),AF198&gt;Q198,FALSE))</f>
        <v/>
      </c>
      <c r="S198">
        <f>IF($AH198="","",INDEX('Per Line'!$AH$2:$AH$1601,$AH198)&amp;"")</f>
        <v/>
      </c>
      <c r="T198" s="11">
        <f>IF($AH198="","",INDEX('Per Line'!$AI$2:$AI$1601,$AH198))</f>
        <v/>
      </c>
      <c r="U198">
        <f>IF($AH198="","",Settings!$C$8)</f>
        <v/>
      </c>
      <c r="V198" s="7">
        <f>IF($AH198="","",SUMIFS('Per Line'!$V$2:$V$1601,'Per Line'!$D$2:$D$1601,$B198,'Per Line'!$AN$2:$AN$1601,1))</f>
        <v/>
      </c>
      <c r="W198" s="7">
        <f>IF($AH198="","",V198*U198)</f>
        <v/>
      </c>
      <c r="X198">
        <f>IF($AH198="","",Settings!$C$7)</f>
        <v/>
      </c>
      <c r="Y198" s="7">
        <f>IF($AH198="","",SUMIFS('Per Line'!$V$2:$V$1601,'Per Line'!$D$2:$D$1601,$B198,'Per Line'!$AM$2:$AM$1601,0,'Per Line'!$AN$2:$AN$1601,0))</f>
        <v/>
      </c>
      <c r="Z198" s="7">
        <f>IF($AH198="","",Y198*X198)</f>
        <v/>
      </c>
      <c r="AA198">
        <f>IF($AH198="","",Settings!$C$6)</f>
        <v/>
      </c>
      <c r="AB198" s="7">
        <f>IF($AH198="","",SUMIFS('Per Line'!$V$2:$V$1601,'Per Line'!$D$2:$D$1601,$B198,'Per Line'!$AM$2:$AM$1601,1,'Per Line'!$AN$2:$AN$1601,0))</f>
        <v/>
      </c>
      <c r="AC198" s="7">
        <f>IF($AH198="","",AB198*AA198)</f>
        <v/>
      </c>
      <c r="AD198" s="7">
        <f>IF($AH198="","",AC198+Z198+W198)</f>
        <v/>
      </c>
      <c r="AE198" s="7">
        <f>IF($AH198="","",AF198-AD198)</f>
        <v/>
      </c>
      <c r="AF198" s="7">
        <f>IF($AH198="","",Y198+AB198+V198)</f>
        <v/>
      </c>
      <c r="AG198" s="7">
        <f>IF($AH198="","",AF198-AD198-N198)</f>
        <v/>
      </c>
      <c r="AH198" s="13">
        <f>IF(ROWS($AH$2:$AH198)&lt;=MAX('Per Line'!$AL$2:$AL$1601),MATCH(ROWS($AH$2:$AH198),'Per Line'!$AL$2:$AL$1601,0),"")</f>
        <v/>
      </c>
    </row>
    <row r="199">
      <c r="A199" s="12" t="n"/>
      <c r="B199">
        <f>IF($AH199="","",INDEX('Per Line'!$D$2:$D$1601,$AH199)&amp;"")</f>
        <v/>
      </c>
      <c r="C199">
        <f>IF($AH199="","",INDEX('Per Line'!$A$2:$A$1601,$AH199)&amp;"")</f>
        <v/>
      </c>
      <c r="D199">
        <f>IF($AH199="","",INDEX('Per Line'!$B$2:$B$1601,$AH199))</f>
        <v/>
      </c>
      <c r="E199">
        <f>IF($AH199="","",INDEX('Per Line'!$C$2:$C$1601,$AH199)&amp;"")</f>
        <v/>
      </c>
      <c r="F199">
        <f>IF($AH199="","",INDEX('Per Line'!$E$2:$E$1601,$AH199)&amp;"")</f>
        <v/>
      </c>
      <c r="G199" s="11">
        <f>IF($AH199="","",INDEX('Per Line'!$F$2:$F$1601,$AH199))</f>
        <v/>
      </c>
      <c r="H199">
        <f>IF($AH199="","",INDEX('Per Line'!$G$2:$G$1601,$AH199)&amp;"")</f>
        <v/>
      </c>
      <c r="I199">
        <f>IF($AH199="","",INDEX('Per Line'!$I$2:$I$1601,$AH199)&amp;"")</f>
        <v/>
      </c>
      <c r="J199">
        <f>IF($AH199="","",INDEX('Per Line'!$J$2:$J$1601,$AH199)&amp;"")</f>
        <v/>
      </c>
      <c r="K199">
        <f>IF($AH199="","",INDEX('Per Line'!$K$2:$K$1601,$AH199)&amp;"")</f>
        <v/>
      </c>
      <c r="L199">
        <f>IF($AH199="","",INDEX('Per Line'!$L$2:$L$1601,$AH199)&amp;"")</f>
        <v/>
      </c>
      <c r="M199">
        <f>IF($AH199="","",INDEX('Per Line'!$M$2:$M$1601,$AH199))</f>
        <v/>
      </c>
      <c r="N199" s="7">
        <f>IF($AH199="","",M199*AE199/100)</f>
        <v/>
      </c>
      <c r="O199">
        <f>IF($AH199="","",INDEX('Per Line'!$Z$2:$Z$1601,$AH199)&amp;"")</f>
        <v/>
      </c>
      <c r="P199">
        <f>IF($AH199="","",INDEX('Per Line'!$AC$2:$AC$1601,$AH199)&amp;"")</f>
        <v/>
      </c>
      <c r="Q199">
        <f>IF($AH199="","",INDEX('Per Line'!$AD$2:$AD$1601,$AH199))</f>
        <v/>
      </c>
      <c r="R199">
        <f>IF($AH199="","",IF(AND(ISNUMBER(Q199),Q199&gt;0),AF199&gt;Q199,FALSE))</f>
        <v/>
      </c>
      <c r="S199">
        <f>IF($AH199="","",INDEX('Per Line'!$AH$2:$AH$1601,$AH199)&amp;"")</f>
        <v/>
      </c>
      <c r="T199" s="11">
        <f>IF($AH199="","",INDEX('Per Line'!$AI$2:$AI$1601,$AH199))</f>
        <v/>
      </c>
      <c r="U199">
        <f>IF($AH199="","",Settings!$C$8)</f>
        <v/>
      </c>
      <c r="V199" s="7">
        <f>IF($AH199="","",SUMIFS('Per Line'!$V$2:$V$1601,'Per Line'!$D$2:$D$1601,$B199,'Per Line'!$AN$2:$AN$1601,1))</f>
        <v/>
      </c>
      <c r="W199" s="7">
        <f>IF($AH199="","",V199*U199)</f>
        <v/>
      </c>
      <c r="X199">
        <f>IF($AH199="","",Settings!$C$7)</f>
        <v/>
      </c>
      <c r="Y199" s="7">
        <f>IF($AH199="","",SUMIFS('Per Line'!$V$2:$V$1601,'Per Line'!$D$2:$D$1601,$B199,'Per Line'!$AM$2:$AM$1601,0,'Per Line'!$AN$2:$AN$1601,0))</f>
        <v/>
      </c>
      <c r="Z199" s="7">
        <f>IF($AH199="","",Y199*X199)</f>
        <v/>
      </c>
      <c r="AA199">
        <f>IF($AH199="","",Settings!$C$6)</f>
        <v/>
      </c>
      <c r="AB199" s="7">
        <f>IF($AH199="","",SUMIFS('Per Line'!$V$2:$V$1601,'Per Line'!$D$2:$D$1601,$B199,'Per Line'!$AM$2:$AM$1601,1,'Per Line'!$AN$2:$AN$1601,0))</f>
        <v/>
      </c>
      <c r="AC199" s="7">
        <f>IF($AH199="","",AB199*AA199)</f>
        <v/>
      </c>
      <c r="AD199" s="7">
        <f>IF($AH199="","",AC199+Z199+W199)</f>
        <v/>
      </c>
      <c r="AE199" s="7">
        <f>IF($AH199="","",AF199-AD199)</f>
        <v/>
      </c>
      <c r="AF199" s="7">
        <f>IF($AH199="","",Y199+AB199+V199)</f>
        <v/>
      </c>
      <c r="AG199" s="7">
        <f>IF($AH199="","",AF199-AD199-N199)</f>
        <v/>
      </c>
      <c r="AH199" s="13">
        <f>IF(ROWS($AH$2:$AH199)&lt;=MAX('Per Line'!$AL$2:$AL$1601),MATCH(ROWS($AH$2:$AH199),'Per Line'!$AL$2:$AL$1601,0),"")</f>
        <v/>
      </c>
    </row>
    <row r="200">
      <c r="A200" s="12" t="n"/>
      <c r="B200">
        <f>IF($AH200="","",INDEX('Per Line'!$D$2:$D$1601,$AH200)&amp;"")</f>
        <v/>
      </c>
      <c r="C200">
        <f>IF($AH200="","",INDEX('Per Line'!$A$2:$A$1601,$AH200)&amp;"")</f>
        <v/>
      </c>
      <c r="D200">
        <f>IF($AH200="","",INDEX('Per Line'!$B$2:$B$1601,$AH200))</f>
        <v/>
      </c>
      <c r="E200">
        <f>IF($AH200="","",INDEX('Per Line'!$C$2:$C$1601,$AH200)&amp;"")</f>
        <v/>
      </c>
      <c r="F200">
        <f>IF($AH200="","",INDEX('Per Line'!$E$2:$E$1601,$AH200)&amp;"")</f>
        <v/>
      </c>
      <c r="G200" s="11">
        <f>IF($AH200="","",INDEX('Per Line'!$F$2:$F$1601,$AH200))</f>
        <v/>
      </c>
      <c r="H200">
        <f>IF($AH200="","",INDEX('Per Line'!$G$2:$G$1601,$AH200)&amp;"")</f>
        <v/>
      </c>
      <c r="I200">
        <f>IF($AH200="","",INDEX('Per Line'!$I$2:$I$1601,$AH200)&amp;"")</f>
        <v/>
      </c>
      <c r="J200">
        <f>IF($AH200="","",INDEX('Per Line'!$J$2:$J$1601,$AH200)&amp;"")</f>
        <v/>
      </c>
      <c r="K200">
        <f>IF($AH200="","",INDEX('Per Line'!$K$2:$K$1601,$AH200)&amp;"")</f>
        <v/>
      </c>
      <c r="L200">
        <f>IF($AH200="","",INDEX('Per Line'!$L$2:$L$1601,$AH200)&amp;"")</f>
        <v/>
      </c>
      <c r="M200">
        <f>IF($AH200="","",INDEX('Per Line'!$M$2:$M$1601,$AH200))</f>
        <v/>
      </c>
      <c r="N200" s="7">
        <f>IF($AH200="","",M200*AE200/100)</f>
        <v/>
      </c>
      <c r="O200">
        <f>IF($AH200="","",INDEX('Per Line'!$Z$2:$Z$1601,$AH200)&amp;"")</f>
        <v/>
      </c>
      <c r="P200">
        <f>IF($AH200="","",INDEX('Per Line'!$AC$2:$AC$1601,$AH200)&amp;"")</f>
        <v/>
      </c>
      <c r="Q200">
        <f>IF($AH200="","",INDEX('Per Line'!$AD$2:$AD$1601,$AH200))</f>
        <v/>
      </c>
      <c r="R200">
        <f>IF($AH200="","",IF(AND(ISNUMBER(Q200),Q200&gt;0),AF200&gt;Q200,FALSE))</f>
        <v/>
      </c>
      <c r="S200">
        <f>IF($AH200="","",INDEX('Per Line'!$AH$2:$AH$1601,$AH200)&amp;"")</f>
        <v/>
      </c>
      <c r="T200" s="11">
        <f>IF($AH200="","",INDEX('Per Line'!$AI$2:$AI$1601,$AH200))</f>
        <v/>
      </c>
      <c r="U200">
        <f>IF($AH200="","",Settings!$C$8)</f>
        <v/>
      </c>
      <c r="V200" s="7">
        <f>IF($AH200="","",SUMIFS('Per Line'!$V$2:$V$1601,'Per Line'!$D$2:$D$1601,$B200,'Per Line'!$AN$2:$AN$1601,1))</f>
        <v/>
      </c>
      <c r="W200" s="7">
        <f>IF($AH200="","",V200*U200)</f>
        <v/>
      </c>
      <c r="X200">
        <f>IF($AH200="","",Settings!$C$7)</f>
        <v/>
      </c>
      <c r="Y200" s="7">
        <f>IF($AH200="","",SUMIFS('Per Line'!$V$2:$V$1601,'Per Line'!$D$2:$D$1601,$B200,'Per Line'!$AM$2:$AM$1601,0,'Per Line'!$AN$2:$AN$1601,0))</f>
        <v/>
      </c>
      <c r="Z200" s="7">
        <f>IF($AH200="","",Y200*X200)</f>
        <v/>
      </c>
      <c r="AA200">
        <f>IF($AH200="","",Settings!$C$6)</f>
        <v/>
      </c>
      <c r="AB200" s="7">
        <f>IF($AH200="","",SUMIFS('Per Line'!$V$2:$V$1601,'Per Line'!$D$2:$D$1601,$B200,'Per Line'!$AM$2:$AM$1601,1,'Per Line'!$AN$2:$AN$1601,0))</f>
        <v/>
      </c>
      <c r="AC200" s="7">
        <f>IF($AH200="","",AB200*AA200)</f>
        <v/>
      </c>
      <c r="AD200" s="7">
        <f>IF($AH200="","",AC200+Z200+W200)</f>
        <v/>
      </c>
      <c r="AE200" s="7">
        <f>IF($AH200="","",AF200-AD200)</f>
        <v/>
      </c>
      <c r="AF200" s="7">
        <f>IF($AH200="","",Y200+AB200+V200)</f>
        <v/>
      </c>
      <c r="AG200" s="7">
        <f>IF($AH200="","",AF200-AD200-N200)</f>
        <v/>
      </c>
      <c r="AH200" s="13">
        <f>IF(ROWS($AH$2:$AH200)&lt;=MAX('Per Line'!$AL$2:$AL$1601),MATCH(ROWS($AH$2:$AH200),'Per Line'!$AL$2:$AL$1601,0),"")</f>
        <v/>
      </c>
    </row>
    <row r="201">
      <c r="A201" s="12" t="n"/>
      <c r="B201">
        <f>IF($AH201="","",INDEX('Per Line'!$D$2:$D$1601,$AH201)&amp;"")</f>
        <v/>
      </c>
      <c r="C201">
        <f>IF($AH201="","",INDEX('Per Line'!$A$2:$A$1601,$AH201)&amp;"")</f>
        <v/>
      </c>
      <c r="D201">
        <f>IF($AH201="","",INDEX('Per Line'!$B$2:$B$1601,$AH201))</f>
        <v/>
      </c>
      <c r="E201">
        <f>IF($AH201="","",INDEX('Per Line'!$C$2:$C$1601,$AH201)&amp;"")</f>
        <v/>
      </c>
      <c r="F201">
        <f>IF($AH201="","",INDEX('Per Line'!$E$2:$E$1601,$AH201)&amp;"")</f>
        <v/>
      </c>
      <c r="G201" s="11">
        <f>IF($AH201="","",INDEX('Per Line'!$F$2:$F$1601,$AH201))</f>
        <v/>
      </c>
      <c r="H201">
        <f>IF($AH201="","",INDEX('Per Line'!$G$2:$G$1601,$AH201)&amp;"")</f>
        <v/>
      </c>
      <c r="I201">
        <f>IF($AH201="","",INDEX('Per Line'!$I$2:$I$1601,$AH201)&amp;"")</f>
        <v/>
      </c>
      <c r="J201">
        <f>IF($AH201="","",INDEX('Per Line'!$J$2:$J$1601,$AH201)&amp;"")</f>
        <v/>
      </c>
      <c r="K201">
        <f>IF($AH201="","",INDEX('Per Line'!$K$2:$K$1601,$AH201)&amp;"")</f>
        <v/>
      </c>
      <c r="L201">
        <f>IF($AH201="","",INDEX('Per Line'!$L$2:$L$1601,$AH201)&amp;"")</f>
        <v/>
      </c>
      <c r="M201">
        <f>IF($AH201="","",INDEX('Per Line'!$M$2:$M$1601,$AH201))</f>
        <v/>
      </c>
      <c r="N201" s="7">
        <f>IF($AH201="","",M201*AE201/100)</f>
        <v/>
      </c>
      <c r="O201">
        <f>IF($AH201="","",INDEX('Per Line'!$Z$2:$Z$1601,$AH201)&amp;"")</f>
        <v/>
      </c>
      <c r="P201">
        <f>IF($AH201="","",INDEX('Per Line'!$AC$2:$AC$1601,$AH201)&amp;"")</f>
        <v/>
      </c>
      <c r="Q201">
        <f>IF($AH201="","",INDEX('Per Line'!$AD$2:$AD$1601,$AH201))</f>
        <v/>
      </c>
      <c r="R201">
        <f>IF($AH201="","",IF(AND(ISNUMBER(Q201),Q201&gt;0),AF201&gt;Q201,FALSE))</f>
        <v/>
      </c>
      <c r="S201">
        <f>IF($AH201="","",INDEX('Per Line'!$AH$2:$AH$1601,$AH201)&amp;"")</f>
        <v/>
      </c>
      <c r="T201" s="11">
        <f>IF($AH201="","",INDEX('Per Line'!$AI$2:$AI$1601,$AH201))</f>
        <v/>
      </c>
      <c r="U201">
        <f>IF($AH201="","",Settings!$C$8)</f>
        <v/>
      </c>
      <c r="V201" s="7">
        <f>IF($AH201="","",SUMIFS('Per Line'!$V$2:$V$1601,'Per Line'!$D$2:$D$1601,$B201,'Per Line'!$AN$2:$AN$1601,1))</f>
        <v/>
      </c>
      <c r="W201" s="7">
        <f>IF($AH201="","",V201*U201)</f>
        <v/>
      </c>
      <c r="X201">
        <f>IF($AH201="","",Settings!$C$7)</f>
        <v/>
      </c>
      <c r="Y201" s="7">
        <f>IF($AH201="","",SUMIFS('Per Line'!$V$2:$V$1601,'Per Line'!$D$2:$D$1601,$B201,'Per Line'!$AM$2:$AM$1601,0,'Per Line'!$AN$2:$AN$1601,0))</f>
        <v/>
      </c>
      <c r="Z201" s="7">
        <f>IF($AH201="","",Y201*X201)</f>
        <v/>
      </c>
      <c r="AA201">
        <f>IF($AH201="","",Settings!$C$6)</f>
        <v/>
      </c>
      <c r="AB201" s="7">
        <f>IF($AH201="","",SUMIFS('Per Line'!$V$2:$V$1601,'Per Line'!$D$2:$D$1601,$B201,'Per Line'!$AM$2:$AM$1601,1,'Per Line'!$AN$2:$AN$1601,0))</f>
        <v/>
      </c>
      <c r="AC201" s="7">
        <f>IF($AH201="","",AB201*AA201)</f>
        <v/>
      </c>
      <c r="AD201" s="7">
        <f>IF($AH201="","",AC201+Z201+W201)</f>
        <v/>
      </c>
      <c r="AE201" s="7">
        <f>IF($AH201="","",AF201-AD201)</f>
        <v/>
      </c>
      <c r="AF201" s="7">
        <f>IF($AH201="","",Y201+AB201+V201)</f>
        <v/>
      </c>
      <c r="AG201" s="7">
        <f>IF($AH201="","",AF201-AD201-N201)</f>
        <v/>
      </c>
      <c r="AH201" s="13">
        <f>IF(ROWS($AH$2:$AH201)&lt;=MAX('Per Line'!$AL$2:$AL$1601),MATCH(ROWS($AH$2:$AH201),'Per Line'!$AL$2:$AL$1601,0),"")</f>
        <v/>
      </c>
    </row>
    <row r="202">
      <c r="A202" s="12" t="n"/>
      <c r="B202">
        <f>IF($AH202="","",INDEX('Per Line'!$D$2:$D$1601,$AH202)&amp;"")</f>
        <v/>
      </c>
      <c r="C202">
        <f>IF($AH202="","",INDEX('Per Line'!$A$2:$A$1601,$AH202)&amp;"")</f>
        <v/>
      </c>
      <c r="D202">
        <f>IF($AH202="","",INDEX('Per Line'!$B$2:$B$1601,$AH202))</f>
        <v/>
      </c>
      <c r="E202">
        <f>IF($AH202="","",INDEX('Per Line'!$C$2:$C$1601,$AH202)&amp;"")</f>
        <v/>
      </c>
      <c r="F202">
        <f>IF($AH202="","",INDEX('Per Line'!$E$2:$E$1601,$AH202)&amp;"")</f>
        <v/>
      </c>
      <c r="G202" s="11">
        <f>IF($AH202="","",INDEX('Per Line'!$F$2:$F$1601,$AH202))</f>
        <v/>
      </c>
      <c r="H202">
        <f>IF($AH202="","",INDEX('Per Line'!$G$2:$G$1601,$AH202)&amp;"")</f>
        <v/>
      </c>
      <c r="I202">
        <f>IF($AH202="","",INDEX('Per Line'!$I$2:$I$1601,$AH202)&amp;"")</f>
        <v/>
      </c>
      <c r="J202">
        <f>IF($AH202="","",INDEX('Per Line'!$J$2:$J$1601,$AH202)&amp;"")</f>
        <v/>
      </c>
      <c r="K202">
        <f>IF($AH202="","",INDEX('Per Line'!$K$2:$K$1601,$AH202)&amp;"")</f>
        <v/>
      </c>
      <c r="L202">
        <f>IF($AH202="","",INDEX('Per Line'!$L$2:$L$1601,$AH202)&amp;"")</f>
        <v/>
      </c>
      <c r="M202">
        <f>IF($AH202="","",INDEX('Per Line'!$M$2:$M$1601,$AH202))</f>
        <v/>
      </c>
      <c r="N202" s="7">
        <f>IF($AH202="","",M202*AE202/100)</f>
        <v/>
      </c>
      <c r="O202">
        <f>IF($AH202="","",INDEX('Per Line'!$Z$2:$Z$1601,$AH202)&amp;"")</f>
        <v/>
      </c>
      <c r="P202">
        <f>IF($AH202="","",INDEX('Per Line'!$AC$2:$AC$1601,$AH202)&amp;"")</f>
        <v/>
      </c>
      <c r="Q202">
        <f>IF($AH202="","",INDEX('Per Line'!$AD$2:$AD$1601,$AH202))</f>
        <v/>
      </c>
      <c r="R202">
        <f>IF($AH202="","",IF(AND(ISNUMBER(Q202),Q202&gt;0),AF202&gt;Q202,FALSE))</f>
        <v/>
      </c>
      <c r="S202">
        <f>IF($AH202="","",INDEX('Per Line'!$AH$2:$AH$1601,$AH202)&amp;"")</f>
        <v/>
      </c>
      <c r="T202" s="11">
        <f>IF($AH202="","",INDEX('Per Line'!$AI$2:$AI$1601,$AH202))</f>
        <v/>
      </c>
      <c r="U202">
        <f>IF($AH202="","",Settings!$C$8)</f>
        <v/>
      </c>
      <c r="V202" s="7">
        <f>IF($AH202="","",SUMIFS('Per Line'!$V$2:$V$1601,'Per Line'!$D$2:$D$1601,$B202,'Per Line'!$AN$2:$AN$1601,1))</f>
        <v/>
      </c>
      <c r="W202" s="7">
        <f>IF($AH202="","",V202*U202)</f>
        <v/>
      </c>
      <c r="X202">
        <f>IF($AH202="","",Settings!$C$7)</f>
        <v/>
      </c>
      <c r="Y202" s="7">
        <f>IF($AH202="","",SUMIFS('Per Line'!$V$2:$V$1601,'Per Line'!$D$2:$D$1601,$B202,'Per Line'!$AM$2:$AM$1601,0,'Per Line'!$AN$2:$AN$1601,0))</f>
        <v/>
      </c>
      <c r="Z202" s="7">
        <f>IF($AH202="","",Y202*X202)</f>
        <v/>
      </c>
      <c r="AA202">
        <f>IF($AH202="","",Settings!$C$6)</f>
        <v/>
      </c>
      <c r="AB202" s="7">
        <f>IF($AH202="","",SUMIFS('Per Line'!$V$2:$V$1601,'Per Line'!$D$2:$D$1601,$B202,'Per Line'!$AM$2:$AM$1601,1,'Per Line'!$AN$2:$AN$1601,0))</f>
        <v/>
      </c>
      <c r="AC202" s="7">
        <f>IF($AH202="","",AB202*AA202)</f>
        <v/>
      </c>
      <c r="AD202" s="7">
        <f>IF($AH202="","",AC202+Z202+W202)</f>
        <v/>
      </c>
      <c r="AE202" s="7">
        <f>IF($AH202="","",AF202-AD202)</f>
        <v/>
      </c>
      <c r="AF202" s="7">
        <f>IF($AH202="","",Y202+AB202+V202)</f>
        <v/>
      </c>
      <c r="AG202" s="7">
        <f>IF($AH202="","",AF202-AD202-N202)</f>
        <v/>
      </c>
      <c r="AH202" s="13">
        <f>IF(ROWS($AH$2:$AH202)&lt;=MAX('Per Line'!$AL$2:$AL$1601),MATCH(ROWS($AH$2:$AH202),'Per Line'!$AL$2:$AL$1601,0),"")</f>
        <v/>
      </c>
    </row>
    <row r="203">
      <c r="A203" s="12" t="n"/>
      <c r="B203">
        <f>IF($AH203="","",INDEX('Per Line'!$D$2:$D$1601,$AH203)&amp;"")</f>
        <v/>
      </c>
      <c r="C203">
        <f>IF($AH203="","",INDEX('Per Line'!$A$2:$A$1601,$AH203)&amp;"")</f>
        <v/>
      </c>
      <c r="D203">
        <f>IF($AH203="","",INDEX('Per Line'!$B$2:$B$1601,$AH203))</f>
        <v/>
      </c>
      <c r="E203">
        <f>IF($AH203="","",INDEX('Per Line'!$C$2:$C$1601,$AH203)&amp;"")</f>
        <v/>
      </c>
      <c r="F203">
        <f>IF($AH203="","",INDEX('Per Line'!$E$2:$E$1601,$AH203)&amp;"")</f>
        <v/>
      </c>
      <c r="G203" s="11">
        <f>IF($AH203="","",INDEX('Per Line'!$F$2:$F$1601,$AH203))</f>
        <v/>
      </c>
      <c r="H203">
        <f>IF($AH203="","",INDEX('Per Line'!$G$2:$G$1601,$AH203)&amp;"")</f>
        <v/>
      </c>
      <c r="I203">
        <f>IF($AH203="","",INDEX('Per Line'!$I$2:$I$1601,$AH203)&amp;"")</f>
        <v/>
      </c>
      <c r="J203">
        <f>IF($AH203="","",INDEX('Per Line'!$J$2:$J$1601,$AH203)&amp;"")</f>
        <v/>
      </c>
      <c r="K203">
        <f>IF($AH203="","",INDEX('Per Line'!$K$2:$K$1601,$AH203)&amp;"")</f>
        <v/>
      </c>
      <c r="L203">
        <f>IF($AH203="","",INDEX('Per Line'!$L$2:$L$1601,$AH203)&amp;"")</f>
        <v/>
      </c>
      <c r="M203">
        <f>IF($AH203="","",INDEX('Per Line'!$M$2:$M$1601,$AH203))</f>
        <v/>
      </c>
      <c r="N203" s="7">
        <f>IF($AH203="","",M203*AE203/100)</f>
        <v/>
      </c>
      <c r="O203">
        <f>IF($AH203="","",INDEX('Per Line'!$Z$2:$Z$1601,$AH203)&amp;"")</f>
        <v/>
      </c>
      <c r="P203">
        <f>IF($AH203="","",INDEX('Per Line'!$AC$2:$AC$1601,$AH203)&amp;"")</f>
        <v/>
      </c>
      <c r="Q203">
        <f>IF($AH203="","",INDEX('Per Line'!$AD$2:$AD$1601,$AH203))</f>
        <v/>
      </c>
      <c r="R203">
        <f>IF($AH203="","",IF(AND(ISNUMBER(Q203),Q203&gt;0),AF203&gt;Q203,FALSE))</f>
        <v/>
      </c>
      <c r="S203">
        <f>IF($AH203="","",INDEX('Per Line'!$AH$2:$AH$1601,$AH203)&amp;"")</f>
        <v/>
      </c>
      <c r="T203" s="11">
        <f>IF($AH203="","",INDEX('Per Line'!$AI$2:$AI$1601,$AH203))</f>
        <v/>
      </c>
      <c r="U203">
        <f>IF($AH203="","",Settings!$C$8)</f>
        <v/>
      </c>
      <c r="V203" s="7">
        <f>IF($AH203="","",SUMIFS('Per Line'!$V$2:$V$1601,'Per Line'!$D$2:$D$1601,$B203,'Per Line'!$AN$2:$AN$1601,1))</f>
        <v/>
      </c>
      <c r="W203" s="7">
        <f>IF($AH203="","",V203*U203)</f>
        <v/>
      </c>
      <c r="X203">
        <f>IF($AH203="","",Settings!$C$7)</f>
        <v/>
      </c>
      <c r="Y203" s="7">
        <f>IF($AH203="","",SUMIFS('Per Line'!$V$2:$V$1601,'Per Line'!$D$2:$D$1601,$B203,'Per Line'!$AM$2:$AM$1601,0,'Per Line'!$AN$2:$AN$1601,0))</f>
        <v/>
      </c>
      <c r="Z203" s="7">
        <f>IF($AH203="","",Y203*X203)</f>
        <v/>
      </c>
      <c r="AA203">
        <f>IF($AH203="","",Settings!$C$6)</f>
        <v/>
      </c>
      <c r="AB203" s="7">
        <f>IF($AH203="","",SUMIFS('Per Line'!$V$2:$V$1601,'Per Line'!$D$2:$D$1601,$B203,'Per Line'!$AM$2:$AM$1601,1,'Per Line'!$AN$2:$AN$1601,0))</f>
        <v/>
      </c>
      <c r="AC203" s="7">
        <f>IF($AH203="","",AB203*AA203)</f>
        <v/>
      </c>
      <c r="AD203" s="7">
        <f>IF($AH203="","",AC203+Z203+W203)</f>
        <v/>
      </c>
      <c r="AE203" s="7">
        <f>IF($AH203="","",AF203-AD203)</f>
        <v/>
      </c>
      <c r="AF203" s="7">
        <f>IF($AH203="","",Y203+AB203+V203)</f>
        <v/>
      </c>
      <c r="AG203" s="7">
        <f>IF($AH203="","",AF203-AD203-N203)</f>
        <v/>
      </c>
      <c r="AH203" s="13">
        <f>IF(ROWS($AH$2:$AH203)&lt;=MAX('Per Line'!$AL$2:$AL$1601),MATCH(ROWS($AH$2:$AH203),'Per Line'!$AL$2:$AL$1601,0),"")</f>
        <v/>
      </c>
    </row>
    <row r="204">
      <c r="A204" s="12" t="n"/>
      <c r="B204">
        <f>IF($AH204="","",INDEX('Per Line'!$D$2:$D$1601,$AH204)&amp;"")</f>
        <v/>
      </c>
      <c r="C204">
        <f>IF($AH204="","",INDEX('Per Line'!$A$2:$A$1601,$AH204)&amp;"")</f>
        <v/>
      </c>
      <c r="D204">
        <f>IF($AH204="","",INDEX('Per Line'!$B$2:$B$1601,$AH204))</f>
        <v/>
      </c>
      <c r="E204">
        <f>IF($AH204="","",INDEX('Per Line'!$C$2:$C$1601,$AH204)&amp;"")</f>
        <v/>
      </c>
      <c r="F204">
        <f>IF($AH204="","",INDEX('Per Line'!$E$2:$E$1601,$AH204)&amp;"")</f>
        <v/>
      </c>
      <c r="G204" s="11">
        <f>IF($AH204="","",INDEX('Per Line'!$F$2:$F$1601,$AH204))</f>
        <v/>
      </c>
      <c r="H204">
        <f>IF($AH204="","",INDEX('Per Line'!$G$2:$G$1601,$AH204)&amp;"")</f>
        <v/>
      </c>
      <c r="I204">
        <f>IF($AH204="","",INDEX('Per Line'!$I$2:$I$1601,$AH204)&amp;"")</f>
        <v/>
      </c>
      <c r="J204">
        <f>IF($AH204="","",INDEX('Per Line'!$J$2:$J$1601,$AH204)&amp;"")</f>
        <v/>
      </c>
      <c r="K204">
        <f>IF($AH204="","",INDEX('Per Line'!$K$2:$K$1601,$AH204)&amp;"")</f>
        <v/>
      </c>
      <c r="L204">
        <f>IF($AH204="","",INDEX('Per Line'!$L$2:$L$1601,$AH204)&amp;"")</f>
        <v/>
      </c>
      <c r="M204">
        <f>IF($AH204="","",INDEX('Per Line'!$M$2:$M$1601,$AH204))</f>
        <v/>
      </c>
      <c r="N204" s="7">
        <f>IF($AH204="","",M204*AE204/100)</f>
        <v/>
      </c>
      <c r="O204">
        <f>IF($AH204="","",INDEX('Per Line'!$Z$2:$Z$1601,$AH204)&amp;"")</f>
        <v/>
      </c>
      <c r="P204">
        <f>IF($AH204="","",INDEX('Per Line'!$AC$2:$AC$1601,$AH204)&amp;"")</f>
        <v/>
      </c>
      <c r="Q204">
        <f>IF($AH204="","",INDEX('Per Line'!$AD$2:$AD$1601,$AH204))</f>
        <v/>
      </c>
      <c r="R204">
        <f>IF($AH204="","",IF(AND(ISNUMBER(Q204),Q204&gt;0),AF204&gt;Q204,FALSE))</f>
        <v/>
      </c>
      <c r="S204">
        <f>IF($AH204="","",INDEX('Per Line'!$AH$2:$AH$1601,$AH204)&amp;"")</f>
        <v/>
      </c>
      <c r="T204" s="11">
        <f>IF($AH204="","",INDEX('Per Line'!$AI$2:$AI$1601,$AH204))</f>
        <v/>
      </c>
      <c r="U204">
        <f>IF($AH204="","",Settings!$C$8)</f>
        <v/>
      </c>
      <c r="V204" s="7">
        <f>IF($AH204="","",SUMIFS('Per Line'!$V$2:$V$1601,'Per Line'!$D$2:$D$1601,$B204,'Per Line'!$AN$2:$AN$1601,1))</f>
        <v/>
      </c>
      <c r="W204" s="7">
        <f>IF($AH204="","",V204*U204)</f>
        <v/>
      </c>
      <c r="X204">
        <f>IF($AH204="","",Settings!$C$7)</f>
        <v/>
      </c>
      <c r="Y204" s="7">
        <f>IF($AH204="","",SUMIFS('Per Line'!$V$2:$V$1601,'Per Line'!$D$2:$D$1601,$B204,'Per Line'!$AM$2:$AM$1601,0,'Per Line'!$AN$2:$AN$1601,0))</f>
        <v/>
      </c>
      <c r="Z204" s="7">
        <f>IF($AH204="","",Y204*X204)</f>
        <v/>
      </c>
      <c r="AA204">
        <f>IF($AH204="","",Settings!$C$6)</f>
        <v/>
      </c>
      <c r="AB204" s="7">
        <f>IF($AH204="","",SUMIFS('Per Line'!$V$2:$V$1601,'Per Line'!$D$2:$D$1601,$B204,'Per Line'!$AM$2:$AM$1601,1,'Per Line'!$AN$2:$AN$1601,0))</f>
        <v/>
      </c>
      <c r="AC204" s="7">
        <f>IF($AH204="","",AB204*AA204)</f>
        <v/>
      </c>
      <c r="AD204" s="7">
        <f>IF($AH204="","",AC204+Z204+W204)</f>
        <v/>
      </c>
      <c r="AE204" s="7">
        <f>IF($AH204="","",AF204-AD204)</f>
        <v/>
      </c>
      <c r="AF204" s="7">
        <f>IF($AH204="","",Y204+AB204+V204)</f>
        <v/>
      </c>
      <c r="AG204" s="7">
        <f>IF($AH204="","",AF204-AD204-N204)</f>
        <v/>
      </c>
      <c r="AH204" s="13">
        <f>IF(ROWS($AH$2:$AH204)&lt;=MAX('Per Line'!$AL$2:$AL$1601),MATCH(ROWS($AH$2:$AH204),'Per Line'!$AL$2:$AL$1601,0),"")</f>
        <v/>
      </c>
    </row>
    <row r="205">
      <c r="A205" s="12" t="n"/>
      <c r="B205">
        <f>IF($AH205="","",INDEX('Per Line'!$D$2:$D$1601,$AH205)&amp;"")</f>
        <v/>
      </c>
      <c r="C205">
        <f>IF($AH205="","",INDEX('Per Line'!$A$2:$A$1601,$AH205)&amp;"")</f>
        <v/>
      </c>
      <c r="D205">
        <f>IF($AH205="","",INDEX('Per Line'!$B$2:$B$1601,$AH205))</f>
        <v/>
      </c>
      <c r="E205">
        <f>IF($AH205="","",INDEX('Per Line'!$C$2:$C$1601,$AH205)&amp;"")</f>
        <v/>
      </c>
      <c r="F205">
        <f>IF($AH205="","",INDEX('Per Line'!$E$2:$E$1601,$AH205)&amp;"")</f>
        <v/>
      </c>
      <c r="G205" s="11">
        <f>IF($AH205="","",INDEX('Per Line'!$F$2:$F$1601,$AH205))</f>
        <v/>
      </c>
      <c r="H205">
        <f>IF($AH205="","",INDEX('Per Line'!$G$2:$G$1601,$AH205)&amp;"")</f>
        <v/>
      </c>
      <c r="I205">
        <f>IF($AH205="","",INDEX('Per Line'!$I$2:$I$1601,$AH205)&amp;"")</f>
        <v/>
      </c>
      <c r="J205">
        <f>IF($AH205="","",INDEX('Per Line'!$J$2:$J$1601,$AH205)&amp;"")</f>
        <v/>
      </c>
      <c r="K205">
        <f>IF($AH205="","",INDEX('Per Line'!$K$2:$K$1601,$AH205)&amp;"")</f>
        <v/>
      </c>
      <c r="L205">
        <f>IF($AH205="","",INDEX('Per Line'!$L$2:$L$1601,$AH205)&amp;"")</f>
        <v/>
      </c>
      <c r="M205">
        <f>IF($AH205="","",INDEX('Per Line'!$M$2:$M$1601,$AH205))</f>
        <v/>
      </c>
      <c r="N205" s="7">
        <f>IF($AH205="","",M205*AE205/100)</f>
        <v/>
      </c>
      <c r="O205">
        <f>IF($AH205="","",INDEX('Per Line'!$Z$2:$Z$1601,$AH205)&amp;"")</f>
        <v/>
      </c>
      <c r="P205">
        <f>IF($AH205="","",INDEX('Per Line'!$AC$2:$AC$1601,$AH205)&amp;"")</f>
        <v/>
      </c>
      <c r="Q205">
        <f>IF($AH205="","",INDEX('Per Line'!$AD$2:$AD$1601,$AH205))</f>
        <v/>
      </c>
      <c r="R205">
        <f>IF($AH205="","",IF(AND(ISNUMBER(Q205),Q205&gt;0),AF205&gt;Q205,FALSE))</f>
        <v/>
      </c>
      <c r="S205">
        <f>IF($AH205="","",INDEX('Per Line'!$AH$2:$AH$1601,$AH205)&amp;"")</f>
        <v/>
      </c>
      <c r="T205" s="11">
        <f>IF($AH205="","",INDEX('Per Line'!$AI$2:$AI$1601,$AH205))</f>
        <v/>
      </c>
      <c r="U205">
        <f>IF($AH205="","",Settings!$C$8)</f>
        <v/>
      </c>
      <c r="V205" s="7">
        <f>IF($AH205="","",SUMIFS('Per Line'!$V$2:$V$1601,'Per Line'!$D$2:$D$1601,$B205,'Per Line'!$AN$2:$AN$1601,1))</f>
        <v/>
      </c>
      <c r="W205" s="7">
        <f>IF($AH205="","",V205*U205)</f>
        <v/>
      </c>
      <c r="X205">
        <f>IF($AH205="","",Settings!$C$7)</f>
        <v/>
      </c>
      <c r="Y205" s="7">
        <f>IF($AH205="","",SUMIFS('Per Line'!$V$2:$V$1601,'Per Line'!$D$2:$D$1601,$B205,'Per Line'!$AM$2:$AM$1601,0,'Per Line'!$AN$2:$AN$1601,0))</f>
        <v/>
      </c>
      <c r="Z205" s="7">
        <f>IF($AH205="","",Y205*X205)</f>
        <v/>
      </c>
      <c r="AA205">
        <f>IF($AH205="","",Settings!$C$6)</f>
        <v/>
      </c>
      <c r="AB205" s="7">
        <f>IF($AH205="","",SUMIFS('Per Line'!$V$2:$V$1601,'Per Line'!$D$2:$D$1601,$B205,'Per Line'!$AM$2:$AM$1601,1,'Per Line'!$AN$2:$AN$1601,0))</f>
        <v/>
      </c>
      <c r="AC205" s="7">
        <f>IF($AH205="","",AB205*AA205)</f>
        <v/>
      </c>
      <c r="AD205" s="7">
        <f>IF($AH205="","",AC205+Z205+W205)</f>
        <v/>
      </c>
      <c r="AE205" s="7">
        <f>IF($AH205="","",AF205-AD205)</f>
        <v/>
      </c>
      <c r="AF205" s="7">
        <f>IF($AH205="","",Y205+AB205+V205)</f>
        <v/>
      </c>
      <c r="AG205" s="7">
        <f>IF($AH205="","",AF205-AD205-N205)</f>
        <v/>
      </c>
      <c r="AH205" s="13">
        <f>IF(ROWS($AH$2:$AH205)&lt;=MAX('Per Line'!$AL$2:$AL$1601),MATCH(ROWS($AH$2:$AH205),'Per Line'!$AL$2:$AL$1601,0),"")</f>
        <v/>
      </c>
    </row>
    <row r="206">
      <c r="A206" s="12" t="n"/>
      <c r="B206">
        <f>IF($AH206="","",INDEX('Per Line'!$D$2:$D$1601,$AH206)&amp;"")</f>
        <v/>
      </c>
      <c r="C206">
        <f>IF($AH206="","",INDEX('Per Line'!$A$2:$A$1601,$AH206)&amp;"")</f>
        <v/>
      </c>
      <c r="D206">
        <f>IF($AH206="","",INDEX('Per Line'!$B$2:$B$1601,$AH206))</f>
        <v/>
      </c>
      <c r="E206">
        <f>IF($AH206="","",INDEX('Per Line'!$C$2:$C$1601,$AH206)&amp;"")</f>
        <v/>
      </c>
      <c r="F206">
        <f>IF($AH206="","",INDEX('Per Line'!$E$2:$E$1601,$AH206)&amp;"")</f>
        <v/>
      </c>
      <c r="G206" s="11">
        <f>IF($AH206="","",INDEX('Per Line'!$F$2:$F$1601,$AH206))</f>
        <v/>
      </c>
      <c r="H206">
        <f>IF($AH206="","",INDEX('Per Line'!$G$2:$G$1601,$AH206)&amp;"")</f>
        <v/>
      </c>
      <c r="I206">
        <f>IF($AH206="","",INDEX('Per Line'!$I$2:$I$1601,$AH206)&amp;"")</f>
        <v/>
      </c>
      <c r="J206">
        <f>IF($AH206="","",INDEX('Per Line'!$J$2:$J$1601,$AH206)&amp;"")</f>
        <v/>
      </c>
      <c r="K206">
        <f>IF($AH206="","",INDEX('Per Line'!$K$2:$K$1601,$AH206)&amp;"")</f>
        <v/>
      </c>
      <c r="L206">
        <f>IF($AH206="","",INDEX('Per Line'!$L$2:$L$1601,$AH206)&amp;"")</f>
        <v/>
      </c>
      <c r="M206">
        <f>IF($AH206="","",INDEX('Per Line'!$M$2:$M$1601,$AH206))</f>
        <v/>
      </c>
      <c r="N206" s="7">
        <f>IF($AH206="","",M206*AE206/100)</f>
        <v/>
      </c>
      <c r="O206">
        <f>IF($AH206="","",INDEX('Per Line'!$Z$2:$Z$1601,$AH206)&amp;"")</f>
        <v/>
      </c>
      <c r="P206">
        <f>IF($AH206="","",INDEX('Per Line'!$AC$2:$AC$1601,$AH206)&amp;"")</f>
        <v/>
      </c>
      <c r="Q206">
        <f>IF($AH206="","",INDEX('Per Line'!$AD$2:$AD$1601,$AH206))</f>
        <v/>
      </c>
      <c r="R206">
        <f>IF($AH206="","",IF(AND(ISNUMBER(Q206),Q206&gt;0),AF206&gt;Q206,FALSE))</f>
        <v/>
      </c>
      <c r="S206">
        <f>IF($AH206="","",INDEX('Per Line'!$AH$2:$AH$1601,$AH206)&amp;"")</f>
        <v/>
      </c>
      <c r="T206" s="11">
        <f>IF($AH206="","",INDEX('Per Line'!$AI$2:$AI$1601,$AH206))</f>
        <v/>
      </c>
      <c r="U206">
        <f>IF($AH206="","",Settings!$C$8)</f>
        <v/>
      </c>
      <c r="V206" s="7">
        <f>IF($AH206="","",SUMIFS('Per Line'!$V$2:$V$1601,'Per Line'!$D$2:$D$1601,$B206,'Per Line'!$AN$2:$AN$1601,1))</f>
        <v/>
      </c>
      <c r="W206" s="7">
        <f>IF($AH206="","",V206*U206)</f>
        <v/>
      </c>
      <c r="X206">
        <f>IF($AH206="","",Settings!$C$7)</f>
        <v/>
      </c>
      <c r="Y206" s="7">
        <f>IF($AH206="","",SUMIFS('Per Line'!$V$2:$V$1601,'Per Line'!$D$2:$D$1601,$B206,'Per Line'!$AM$2:$AM$1601,0,'Per Line'!$AN$2:$AN$1601,0))</f>
        <v/>
      </c>
      <c r="Z206" s="7">
        <f>IF($AH206="","",Y206*X206)</f>
        <v/>
      </c>
      <c r="AA206">
        <f>IF($AH206="","",Settings!$C$6)</f>
        <v/>
      </c>
      <c r="AB206" s="7">
        <f>IF($AH206="","",SUMIFS('Per Line'!$V$2:$V$1601,'Per Line'!$D$2:$D$1601,$B206,'Per Line'!$AM$2:$AM$1601,1,'Per Line'!$AN$2:$AN$1601,0))</f>
        <v/>
      </c>
      <c r="AC206" s="7">
        <f>IF($AH206="","",AB206*AA206)</f>
        <v/>
      </c>
      <c r="AD206" s="7">
        <f>IF($AH206="","",AC206+Z206+W206)</f>
        <v/>
      </c>
      <c r="AE206" s="7">
        <f>IF($AH206="","",AF206-AD206)</f>
        <v/>
      </c>
      <c r="AF206" s="7">
        <f>IF($AH206="","",Y206+AB206+V206)</f>
        <v/>
      </c>
      <c r="AG206" s="7">
        <f>IF($AH206="","",AF206-AD206-N206)</f>
        <v/>
      </c>
      <c r="AH206" s="13">
        <f>IF(ROWS($AH$2:$AH206)&lt;=MAX('Per Line'!$AL$2:$AL$1601),MATCH(ROWS($AH$2:$AH206),'Per Line'!$AL$2:$AL$1601,0),"")</f>
        <v/>
      </c>
    </row>
    <row r="207">
      <c r="A207" s="12" t="n"/>
      <c r="B207">
        <f>IF($AH207="","",INDEX('Per Line'!$D$2:$D$1601,$AH207)&amp;"")</f>
        <v/>
      </c>
      <c r="C207">
        <f>IF($AH207="","",INDEX('Per Line'!$A$2:$A$1601,$AH207)&amp;"")</f>
        <v/>
      </c>
      <c r="D207">
        <f>IF($AH207="","",INDEX('Per Line'!$B$2:$B$1601,$AH207))</f>
        <v/>
      </c>
      <c r="E207">
        <f>IF($AH207="","",INDEX('Per Line'!$C$2:$C$1601,$AH207)&amp;"")</f>
        <v/>
      </c>
      <c r="F207">
        <f>IF($AH207="","",INDEX('Per Line'!$E$2:$E$1601,$AH207)&amp;"")</f>
        <v/>
      </c>
      <c r="G207" s="11">
        <f>IF($AH207="","",INDEX('Per Line'!$F$2:$F$1601,$AH207))</f>
        <v/>
      </c>
      <c r="H207">
        <f>IF($AH207="","",INDEX('Per Line'!$G$2:$G$1601,$AH207)&amp;"")</f>
        <v/>
      </c>
      <c r="I207">
        <f>IF($AH207="","",INDEX('Per Line'!$I$2:$I$1601,$AH207)&amp;"")</f>
        <v/>
      </c>
      <c r="J207">
        <f>IF($AH207="","",INDEX('Per Line'!$J$2:$J$1601,$AH207)&amp;"")</f>
        <v/>
      </c>
      <c r="K207">
        <f>IF($AH207="","",INDEX('Per Line'!$K$2:$K$1601,$AH207)&amp;"")</f>
        <v/>
      </c>
      <c r="L207">
        <f>IF($AH207="","",INDEX('Per Line'!$L$2:$L$1601,$AH207)&amp;"")</f>
        <v/>
      </c>
      <c r="M207">
        <f>IF($AH207="","",INDEX('Per Line'!$M$2:$M$1601,$AH207))</f>
        <v/>
      </c>
      <c r="N207" s="7">
        <f>IF($AH207="","",M207*AE207/100)</f>
        <v/>
      </c>
      <c r="O207">
        <f>IF($AH207="","",INDEX('Per Line'!$Z$2:$Z$1601,$AH207)&amp;"")</f>
        <v/>
      </c>
      <c r="P207">
        <f>IF($AH207="","",INDEX('Per Line'!$AC$2:$AC$1601,$AH207)&amp;"")</f>
        <v/>
      </c>
      <c r="Q207">
        <f>IF($AH207="","",INDEX('Per Line'!$AD$2:$AD$1601,$AH207))</f>
        <v/>
      </c>
      <c r="R207">
        <f>IF($AH207="","",IF(AND(ISNUMBER(Q207),Q207&gt;0),AF207&gt;Q207,FALSE))</f>
        <v/>
      </c>
      <c r="S207">
        <f>IF($AH207="","",INDEX('Per Line'!$AH$2:$AH$1601,$AH207)&amp;"")</f>
        <v/>
      </c>
      <c r="T207" s="11">
        <f>IF($AH207="","",INDEX('Per Line'!$AI$2:$AI$1601,$AH207))</f>
        <v/>
      </c>
      <c r="U207">
        <f>IF($AH207="","",Settings!$C$8)</f>
        <v/>
      </c>
      <c r="V207" s="7">
        <f>IF($AH207="","",SUMIFS('Per Line'!$V$2:$V$1601,'Per Line'!$D$2:$D$1601,$B207,'Per Line'!$AN$2:$AN$1601,1))</f>
        <v/>
      </c>
      <c r="W207" s="7">
        <f>IF($AH207="","",V207*U207)</f>
        <v/>
      </c>
      <c r="X207">
        <f>IF($AH207="","",Settings!$C$7)</f>
        <v/>
      </c>
      <c r="Y207" s="7">
        <f>IF($AH207="","",SUMIFS('Per Line'!$V$2:$V$1601,'Per Line'!$D$2:$D$1601,$B207,'Per Line'!$AM$2:$AM$1601,0,'Per Line'!$AN$2:$AN$1601,0))</f>
        <v/>
      </c>
      <c r="Z207" s="7">
        <f>IF($AH207="","",Y207*X207)</f>
        <v/>
      </c>
      <c r="AA207">
        <f>IF($AH207="","",Settings!$C$6)</f>
        <v/>
      </c>
      <c r="AB207" s="7">
        <f>IF($AH207="","",SUMIFS('Per Line'!$V$2:$V$1601,'Per Line'!$D$2:$D$1601,$B207,'Per Line'!$AM$2:$AM$1601,1,'Per Line'!$AN$2:$AN$1601,0))</f>
        <v/>
      </c>
      <c r="AC207" s="7">
        <f>IF($AH207="","",AB207*AA207)</f>
        <v/>
      </c>
      <c r="AD207" s="7">
        <f>IF($AH207="","",AC207+Z207+W207)</f>
        <v/>
      </c>
      <c r="AE207" s="7">
        <f>IF($AH207="","",AF207-AD207)</f>
        <v/>
      </c>
      <c r="AF207" s="7">
        <f>IF($AH207="","",Y207+AB207+V207)</f>
        <v/>
      </c>
      <c r="AG207" s="7">
        <f>IF($AH207="","",AF207-AD207-N207)</f>
        <v/>
      </c>
      <c r="AH207" s="13">
        <f>IF(ROWS($AH$2:$AH207)&lt;=MAX('Per Line'!$AL$2:$AL$1601),MATCH(ROWS($AH$2:$AH207),'Per Line'!$AL$2:$AL$1601,0),"")</f>
        <v/>
      </c>
    </row>
    <row r="208">
      <c r="A208" s="12" t="n"/>
      <c r="B208">
        <f>IF($AH208="","",INDEX('Per Line'!$D$2:$D$1601,$AH208)&amp;"")</f>
        <v/>
      </c>
      <c r="C208">
        <f>IF($AH208="","",INDEX('Per Line'!$A$2:$A$1601,$AH208)&amp;"")</f>
        <v/>
      </c>
      <c r="D208">
        <f>IF($AH208="","",INDEX('Per Line'!$B$2:$B$1601,$AH208))</f>
        <v/>
      </c>
      <c r="E208">
        <f>IF($AH208="","",INDEX('Per Line'!$C$2:$C$1601,$AH208)&amp;"")</f>
        <v/>
      </c>
      <c r="F208">
        <f>IF($AH208="","",INDEX('Per Line'!$E$2:$E$1601,$AH208)&amp;"")</f>
        <v/>
      </c>
      <c r="G208" s="11">
        <f>IF($AH208="","",INDEX('Per Line'!$F$2:$F$1601,$AH208))</f>
        <v/>
      </c>
      <c r="H208">
        <f>IF($AH208="","",INDEX('Per Line'!$G$2:$G$1601,$AH208)&amp;"")</f>
        <v/>
      </c>
      <c r="I208">
        <f>IF($AH208="","",INDEX('Per Line'!$I$2:$I$1601,$AH208)&amp;"")</f>
        <v/>
      </c>
      <c r="J208">
        <f>IF($AH208="","",INDEX('Per Line'!$J$2:$J$1601,$AH208)&amp;"")</f>
        <v/>
      </c>
      <c r="K208">
        <f>IF($AH208="","",INDEX('Per Line'!$K$2:$K$1601,$AH208)&amp;"")</f>
        <v/>
      </c>
      <c r="L208">
        <f>IF($AH208="","",INDEX('Per Line'!$L$2:$L$1601,$AH208)&amp;"")</f>
        <v/>
      </c>
      <c r="M208">
        <f>IF($AH208="","",INDEX('Per Line'!$M$2:$M$1601,$AH208))</f>
        <v/>
      </c>
      <c r="N208" s="7">
        <f>IF($AH208="","",M208*AE208/100)</f>
        <v/>
      </c>
      <c r="O208">
        <f>IF($AH208="","",INDEX('Per Line'!$Z$2:$Z$1601,$AH208)&amp;"")</f>
        <v/>
      </c>
      <c r="P208">
        <f>IF($AH208="","",INDEX('Per Line'!$AC$2:$AC$1601,$AH208)&amp;"")</f>
        <v/>
      </c>
      <c r="Q208">
        <f>IF($AH208="","",INDEX('Per Line'!$AD$2:$AD$1601,$AH208))</f>
        <v/>
      </c>
      <c r="R208">
        <f>IF($AH208="","",IF(AND(ISNUMBER(Q208),Q208&gt;0),AF208&gt;Q208,FALSE))</f>
        <v/>
      </c>
      <c r="S208">
        <f>IF($AH208="","",INDEX('Per Line'!$AH$2:$AH$1601,$AH208)&amp;"")</f>
        <v/>
      </c>
      <c r="T208" s="11">
        <f>IF($AH208="","",INDEX('Per Line'!$AI$2:$AI$1601,$AH208))</f>
        <v/>
      </c>
      <c r="U208">
        <f>IF($AH208="","",Settings!$C$8)</f>
        <v/>
      </c>
      <c r="V208" s="7">
        <f>IF($AH208="","",SUMIFS('Per Line'!$V$2:$V$1601,'Per Line'!$D$2:$D$1601,$B208,'Per Line'!$AN$2:$AN$1601,1))</f>
        <v/>
      </c>
      <c r="W208" s="7">
        <f>IF($AH208="","",V208*U208)</f>
        <v/>
      </c>
      <c r="X208">
        <f>IF($AH208="","",Settings!$C$7)</f>
        <v/>
      </c>
      <c r="Y208" s="7">
        <f>IF($AH208="","",SUMIFS('Per Line'!$V$2:$V$1601,'Per Line'!$D$2:$D$1601,$B208,'Per Line'!$AM$2:$AM$1601,0,'Per Line'!$AN$2:$AN$1601,0))</f>
        <v/>
      </c>
      <c r="Z208" s="7">
        <f>IF($AH208="","",Y208*X208)</f>
        <v/>
      </c>
      <c r="AA208">
        <f>IF($AH208="","",Settings!$C$6)</f>
        <v/>
      </c>
      <c r="AB208" s="7">
        <f>IF($AH208="","",SUMIFS('Per Line'!$V$2:$V$1601,'Per Line'!$D$2:$D$1601,$B208,'Per Line'!$AM$2:$AM$1601,1,'Per Line'!$AN$2:$AN$1601,0))</f>
        <v/>
      </c>
      <c r="AC208" s="7">
        <f>IF($AH208="","",AB208*AA208)</f>
        <v/>
      </c>
      <c r="AD208" s="7">
        <f>IF($AH208="","",AC208+Z208+W208)</f>
        <v/>
      </c>
      <c r="AE208" s="7">
        <f>IF($AH208="","",AF208-AD208)</f>
        <v/>
      </c>
      <c r="AF208" s="7">
        <f>IF($AH208="","",Y208+AB208+V208)</f>
        <v/>
      </c>
      <c r="AG208" s="7">
        <f>IF($AH208="","",AF208-AD208-N208)</f>
        <v/>
      </c>
      <c r="AH208" s="13">
        <f>IF(ROWS($AH$2:$AH208)&lt;=MAX('Per Line'!$AL$2:$AL$1601),MATCH(ROWS($AH$2:$AH208),'Per Line'!$AL$2:$AL$1601,0),"")</f>
        <v/>
      </c>
    </row>
    <row r="209">
      <c r="A209" s="12" t="n"/>
      <c r="B209">
        <f>IF($AH209="","",INDEX('Per Line'!$D$2:$D$1601,$AH209)&amp;"")</f>
        <v/>
      </c>
      <c r="C209">
        <f>IF($AH209="","",INDEX('Per Line'!$A$2:$A$1601,$AH209)&amp;"")</f>
        <v/>
      </c>
      <c r="D209">
        <f>IF($AH209="","",INDEX('Per Line'!$B$2:$B$1601,$AH209))</f>
        <v/>
      </c>
      <c r="E209">
        <f>IF($AH209="","",INDEX('Per Line'!$C$2:$C$1601,$AH209)&amp;"")</f>
        <v/>
      </c>
      <c r="F209">
        <f>IF($AH209="","",INDEX('Per Line'!$E$2:$E$1601,$AH209)&amp;"")</f>
        <v/>
      </c>
      <c r="G209" s="11">
        <f>IF($AH209="","",INDEX('Per Line'!$F$2:$F$1601,$AH209))</f>
        <v/>
      </c>
      <c r="H209">
        <f>IF($AH209="","",INDEX('Per Line'!$G$2:$G$1601,$AH209)&amp;"")</f>
        <v/>
      </c>
      <c r="I209">
        <f>IF($AH209="","",INDEX('Per Line'!$I$2:$I$1601,$AH209)&amp;"")</f>
        <v/>
      </c>
      <c r="J209">
        <f>IF($AH209="","",INDEX('Per Line'!$J$2:$J$1601,$AH209)&amp;"")</f>
        <v/>
      </c>
      <c r="K209">
        <f>IF($AH209="","",INDEX('Per Line'!$K$2:$K$1601,$AH209)&amp;"")</f>
        <v/>
      </c>
      <c r="L209">
        <f>IF($AH209="","",INDEX('Per Line'!$L$2:$L$1601,$AH209)&amp;"")</f>
        <v/>
      </c>
      <c r="M209">
        <f>IF($AH209="","",INDEX('Per Line'!$M$2:$M$1601,$AH209))</f>
        <v/>
      </c>
      <c r="N209" s="7">
        <f>IF($AH209="","",M209*AE209/100)</f>
        <v/>
      </c>
      <c r="O209">
        <f>IF($AH209="","",INDEX('Per Line'!$Z$2:$Z$1601,$AH209)&amp;"")</f>
        <v/>
      </c>
      <c r="P209">
        <f>IF($AH209="","",INDEX('Per Line'!$AC$2:$AC$1601,$AH209)&amp;"")</f>
        <v/>
      </c>
      <c r="Q209">
        <f>IF($AH209="","",INDEX('Per Line'!$AD$2:$AD$1601,$AH209))</f>
        <v/>
      </c>
      <c r="R209">
        <f>IF($AH209="","",IF(AND(ISNUMBER(Q209),Q209&gt;0),AF209&gt;Q209,FALSE))</f>
        <v/>
      </c>
      <c r="S209">
        <f>IF($AH209="","",INDEX('Per Line'!$AH$2:$AH$1601,$AH209)&amp;"")</f>
        <v/>
      </c>
      <c r="T209" s="11">
        <f>IF($AH209="","",INDEX('Per Line'!$AI$2:$AI$1601,$AH209))</f>
        <v/>
      </c>
      <c r="U209">
        <f>IF($AH209="","",Settings!$C$8)</f>
        <v/>
      </c>
      <c r="V209" s="7">
        <f>IF($AH209="","",SUMIFS('Per Line'!$V$2:$V$1601,'Per Line'!$D$2:$D$1601,$B209,'Per Line'!$AN$2:$AN$1601,1))</f>
        <v/>
      </c>
      <c r="W209" s="7">
        <f>IF($AH209="","",V209*U209)</f>
        <v/>
      </c>
      <c r="X209">
        <f>IF($AH209="","",Settings!$C$7)</f>
        <v/>
      </c>
      <c r="Y209" s="7">
        <f>IF($AH209="","",SUMIFS('Per Line'!$V$2:$V$1601,'Per Line'!$D$2:$D$1601,$B209,'Per Line'!$AM$2:$AM$1601,0,'Per Line'!$AN$2:$AN$1601,0))</f>
        <v/>
      </c>
      <c r="Z209" s="7">
        <f>IF($AH209="","",Y209*X209)</f>
        <v/>
      </c>
      <c r="AA209">
        <f>IF($AH209="","",Settings!$C$6)</f>
        <v/>
      </c>
      <c r="AB209" s="7">
        <f>IF($AH209="","",SUMIFS('Per Line'!$V$2:$V$1601,'Per Line'!$D$2:$D$1601,$B209,'Per Line'!$AM$2:$AM$1601,1,'Per Line'!$AN$2:$AN$1601,0))</f>
        <v/>
      </c>
      <c r="AC209" s="7">
        <f>IF($AH209="","",AB209*AA209)</f>
        <v/>
      </c>
      <c r="AD209" s="7">
        <f>IF($AH209="","",AC209+Z209+W209)</f>
        <v/>
      </c>
      <c r="AE209" s="7">
        <f>IF($AH209="","",AF209-AD209)</f>
        <v/>
      </c>
      <c r="AF209" s="7">
        <f>IF($AH209="","",Y209+AB209+V209)</f>
        <v/>
      </c>
      <c r="AG209" s="7">
        <f>IF($AH209="","",AF209-AD209-N209)</f>
        <v/>
      </c>
      <c r="AH209" s="13">
        <f>IF(ROWS($AH$2:$AH209)&lt;=MAX('Per Line'!$AL$2:$AL$1601),MATCH(ROWS($AH$2:$AH209),'Per Line'!$AL$2:$AL$1601,0),"")</f>
        <v/>
      </c>
    </row>
    <row r="210">
      <c r="A210" s="12" t="n"/>
      <c r="B210">
        <f>IF($AH210="","",INDEX('Per Line'!$D$2:$D$1601,$AH210)&amp;"")</f>
        <v/>
      </c>
      <c r="C210">
        <f>IF($AH210="","",INDEX('Per Line'!$A$2:$A$1601,$AH210)&amp;"")</f>
        <v/>
      </c>
      <c r="D210">
        <f>IF($AH210="","",INDEX('Per Line'!$B$2:$B$1601,$AH210))</f>
        <v/>
      </c>
      <c r="E210">
        <f>IF($AH210="","",INDEX('Per Line'!$C$2:$C$1601,$AH210)&amp;"")</f>
        <v/>
      </c>
      <c r="F210">
        <f>IF($AH210="","",INDEX('Per Line'!$E$2:$E$1601,$AH210)&amp;"")</f>
        <v/>
      </c>
      <c r="G210" s="11">
        <f>IF($AH210="","",INDEX('Per Line'!$F$2:$F$1601,$AH210))</f>
        <v/>
      </c>
      <c r="H210">
        <f>IF($AH210="","",INDEX('Per Line'!$G$2:$G$1601,$AH210)&amp;"")</f>
        <v/>
      </c>
      <c r="I210">
        <f>IF($AH210="","",INDEX('Per Line'!$I$2:$I$1601,$AH210)&amp;"")</f>
        <v/>
      </c>
      <c r="J210">
        <f>IF($AH210="","",INDEX('Per Line'!$J$2:$J$1601,$AH210)&amp;"")</f>
        <v/>
      </c>
      <c r="K210">
        <f>IF($AH210="","",INDEX('Per Line'!$K$2:$K$1601,$AH210)&amp;"")</f>
        <v/>
      </c>
      <c r="L210">
        <f>IF($AH210="","",INDEX('Per Line'!$L$2:$L$1601,$AH210)&amp;"")</f>
        <v/>
      </c>
      <c r="M210">
        <f>IF($AH210="","",INDEX('Per Line'!$M$2:$M$1601,$AH210))</f>
        <v/>
      </c>
      <c r="N210" s="7">
        <f>IF($AH210="","",M210*AE210/100)</f>
        <v/>
      </c>
      <c r="O210">
        <f>IF($AH210="","",INDEX('Per Line'!$Z$2:$Z$1601,$AH210)&amp;"")</f>
        <v/>
      </c>
      <c r="P210">
        <f>IF($AH210="","",INDEX('Per Line'!$AC$2:$AC$1601,$AH210)&amp;"")</f>
        <v/>
      </c>
      <c r="Q210">
        <f>IF($AH210="","",INDEX('Per Line'!$AD$2:$AD$1601,$AH210))</f>
        <v/>
      </c>
      <c r="R210">
        <f>IF($AH210="","",IF(AND(ISNUMBER(Q210),Q210&gt;0),AF210&gt;Q210,FALSE))</f>
        <v/>
      </c>
      <c r="S210">
        <f>IF($AH210="","",INDEX('Per Line'!$AH$2:$AH$1601,$AH210)&amp;"")</f>
        <v/>
      </c>
      <c r="T210" s="11">
        <f>IF($AH210="","",INDEX('Per Line'!$AI$2:$AI$1601,$AH210))</f>
        <v/>
      </c>
      <c r="U210">
        <f>IF($AH210="","",Settings!$C$8)</f>
        <v/>
      </c>
      <c r="V210" s="7">
        <f>IF($AH210="","",SUMIFS('Per Line'!$V$2:$V$1601,'Per Line'!$D$2:$D$1601,$B210,'Per Line'!$AN$2:$AN$1601,1))</f>
        <v/>
      </c>
      <c r="W210" s="7">
        <f>IF($AH210="","",V210*U210)</f>
        <v/>
      </c>
      <c r="X210">
        <f>IF($AH210="","",Settings!$C$7)</f>
        <v/>
      </c>
      <c r="Y210" s="7">
        <f>IF($AH210="","",SUMIFS('Per Line'!$V$2:$V$1601,'Per Line'!$D$2:$D$1601,$B210,'Per Line'!$AM$2:$AM$1601,0,'Per Line'!$AN$2:$AN$1601,0))</f>
        <v/>
      </c>
      <c r="Z210" s="7">
        <f>IF($AH210="","",Y210*X210)</f>
        <v/>
      </c>
      <c r="AA210">
        <f>IF($AH210="","",Settings!$C$6)</f>
        <v/>
      </c>
      <c r="AB210" s="7">
        <f>IF($AH210="","",SUMIFS('Per Line'!$V$2:$V$1601,'Per Line'!$D$2:$D$1601,$B210,'Per Line'!$AM$2:$AM$1601,1,'Per Line'!$AN$2:$AN$1601,0))</f>
        <v/>
      </c>
      <c r="AC210" s="7">
        <f>IF($AH210="","",AB210*AA210)</f>
        <v/>
      </c>
      <c r="AD210" s="7">
        <f>IF($AH210="","",AC210+Z210+W210)</f>
        <v/>
      </c>
      <c r="AE210" s="7">
        <f>IF($AH210="","",AF210-AD210)</f>
        <v/>
      </c>
      <c r="AF210" s="7">
        <f>IF($AH210="","",Y210+AB210+V210)</f>
        <v/>
      </c>
      <c r="AG210" s="7">
        <f>IF($AH210="","",AF210-AD210-N210)</f>
        <v/>
      </c>
      <c r="AH210" s="13">
        <f>IF(ROWS($AH$2:$AH210)&lt;=MAX('Per Line'!$AL$2:$AL$1601),MATCH(ROWS($AH$2:$AH210),'Per Line'!$AL$2:$AL$1601,0),"")</f>
        <v/>
      </c>
    </row>
    <row r="211">
      <c r="A211" s="12" t="n"/>
      <c r="B211">
        <f>IF($AH211="","",INDEX('Per Line'!$D$2:$D$1601,$AH211)&amp;"")</f>
        <v/>
      </c>
      <c r="C211">
        <f>IF($AH211="","",INDEX('Per Line'!$A$2:$A$1601,$AH211)&amp;"")</f>
        <v/>
      </c>
      <c r="D211">
        <f>IF($AH211="","",INDEX('Per Line'!$B$2:$B$1601,$AH211))</f>
        <v/>
      </c>
      <c r="E211">
        <f>IF($AH211="","",INDEX('Per Line'!$C$2:$C$1601,$AH211)&amp;"")</f>
        <v/>
      </c>
      <c r="F211">
        <f>IF($AH211="","",INDEX('Per Line'!$E$2:$E$1601,$AH211)&amp;"")</f>
        <v/>
      </c>
      <c r="G211" s="11">
        <f>IF($AH211="","",INDEX('Per Line'!$F$2:$F$1601,$AH211))</f>
        <v/>
      </c>
      <c r="H211">
        <f>IF($AH211="","",INDEX('Per Line'!$G$2:$G$1601,$AH211)&amp;"")</f>
        <v/>
      </c>
      <c r="I211">
        <f>IF($AH211="","",INDEX('Per Line'!$I$2:$I$1601,$AH211)&amp;"")</f>
        <v/>
      </c>
      <c r="J211">
        <f>IF($AH211="","",INDEX('Per Line'!$J$2:$J$1601,$AH211)&amp;"")</f>
        <v/>
      </c>
      <c r="K211">
        <f>IF($AH211="","",INDEX('Per Line'!$K$2:$K$1601,$AH211)&amp;"")</f>
        <v/>
      </c>
      <c r="L211">
        <f>IF($AH211="","",INDEX('Per Line'!$L$2:$L$1601,$AH211)&amp;"")</f>
        <v/>
      </c>
      <c r="M211">
        <f>IF($AH211="","",INDEX('Per Line'!$M$2:$M$1601,$AH211))</f>
        <v/>
      </c>
      <c r="N211" s="7">
        <f>IF($AH211="","",M211*AE211/100)</f>
        <v/>
      </c>
      <c r="O211">
        <f>IF($AH211="","",INDEX('Per Line'!$Z$2:$Z$1601,$AH211)&amp;"")</f>
        <v/>
      </c>
      <c r="P211">
        <f>IF($AH211="","",INDEX('Per Line'!$AC$2:$AC$1601,$AH211)&amp;"")</f>
        <v/>
      </c>
      <c r="Q211">
        <f>IF($AH211="","",INDEX('Per Line'!$AD$2:$AD$1601,$AH211))</f>
        <v/>
      </c>
      <c r="R211">
        <f>IF($AH211="","",IF(AND(ISNUMBER(Q211),Q211&gt;0),AF211&gt;Q211,FALSE))</f>
        <v/>
      </c>
      <c r="S211">
        <f>IF($AH211="","",INDEX('Per Line'!$AH$2:$AH$1601,$AH211)&amp;"")</f>
        <v/>
      </c>
      <c r="T211" s="11">
        <f>IF($AH211="","",INDEX('Per Line'!$AI$2:$AI$1601,$AH211))</f>
        <v/>
      </c>
      <c r="U211">
        <f>IF($AH211="","",Settings!$C$8)</f>
        <v/>
      </c>
      <c r="V211" s="7">
        <f>IF($AH211="","",SUMIFS('Per Line'!$V$2:$V$1601,'Per Line'!$D$2:$D$1601,$B211,'Per Line'!$AN$2:$AN$1601,1))</f>
        <v/>
      </c>
      <c r="W211" s="7">
        <f>IF($AH211="","",V211*U211)</f>
        <v/>
      </c>
      <c r="X211">
        <f>IF($AH211="","",Settings!$C$7)</f>
        <v/>
      </c>
      <c r="Y211" s="7">
        <f>IF($AH211="","",SUMIFS('Per Line'!$V$2:$V$1601,'Per Line'!$D$2:$D$1601,$B211,'Per Line'!$AM$2:$AM$1601,0,'Per Line'!$AN$2:$AN$1601,0))</f>
        <v/>
      </c>
      <c r="Z211" s="7">
        <f>IF($AH211="","",Y211*X211)</f>
        <v/>
      </c>
      <c r="AA211">
        <f>IF($AH211="","",Settings!$C$6)</f>
        <v/>
      </c>
      <c r="AB211" s="7">
        <f>IF($AH211="","",SUMIFS('Per Line'!$V$2:$V$1601,'Per Line'!$D$2:$D$1601,$B211,'Per Line'!$AM$2:$AM$1601,1,'Per Line'!$AN$2:$AN$1601,0))</f>
        <v/>
      </c>
      <c r="AC211" s="7">
        <f>IF($AH211="","",AB211*AA211)</f>
        <v/>
      </c>
      <c r="AD211" s="7">
        <f>IF($AH211="","",AC211+Z211+W211)</f>
        <v/>
      </c>
      <c r="AE211" s="7">
        <f>IF($AH211="","",AF211-AD211)</f>
        <v/>
      </c>
      <c r="AF211" s="7">
        <f>IF($AH211="","",Y211+AB211+V211)</f>
        <v/>
      </c>
      <c r="AG211" s="7">
        <f>IF($AH211="","",AF211-AD211-N211)</f>
        <v/>
      </c>
      <c r="AH211" s="13">
        <f>IF(ROWS($AH$2:$AH211)&lt;=MAX('Per Line'!$AL$2:$AL$1601),MATCH(ROWS($AH$2:$AH211),'Per Line'!$AL$2:$AL$1601,0),"")</f>
        <v/>
      </c>
    </row>
    <row r="212">
      <c r="A212" s="12" t="n"/>
      <c r="B212">
        <f>IF($AH212="","",INDEX('Per Line'!$D$2:$D$1601,$AH212)&amp;"")</f>
        <v/>
      </c>
      <c r="C212">
        <f>IF($AH212="","",INDEX('Per Line'!$A$2:$A$1601,$AH212)&amp;"")</f>
        <v/>
      </c>
      <c r="D212">
        <f>IF($AH212="","",INDEX('Per Line'!$B$2:$B$1601,$AH212))</f>
        <v/>
      </c>
      <c r="E212">
        <f>IF($AH212="","",INDEX('Per Line'!$C$2:$C$1601,$AH212)&amp;"")</f>
        <v/>
      </c>
      <c r="F212">
        <f>IF($AH212="","",INDEX('Per Line'!$E$2:$E$1601,$AH212)&amp;"")</f>
        <v/>
      </c>
      <c r="G212" s="11">
        <f>IF($AH212="","",INDEX('Per Line'!$F$2:$F$1601,$AH212))</f>
        <v/>
      </c>
      <c r="H212">
        <f>IF($AH212="","",INDEX('Per Line'!$G$2:$G$1601,$AH212)&amp;"")</f>
        <v/>
      </c>
      <c r="I212">
        <f>IF($AH212="","",INDEX('Per Line'!$I$2:$I$1601,$AH212)&amp;"")</f>
        <v/>
      </c>
      <c r="J212">
        <f>IF($AH212="","",INDEX('Per Line'!$J$2:$J$1601,$AH212)&amp;"")</f>
        <v/>
      </c>
      <c r="K212">
        <f>IF($AH212="","",INDEX('Per Line'!$K$2:$K$1601,$AH212)&amp;"")</f>
        <v/>
      </c>
      <c r="L212">
        <f>IF($AH212="","",INDEX('Per Line'!$L$2:$L$1601,$AH212)&amp;"")</f>
        <v/>
      </c>
      <c r="M212">
        <f>IF($AH212="","",INDEX('Per Line'!$M$2:$M$1601,$AH212))</f>
        <v/>
      </c>
      <c r="N212" s="7">
        <f>IF($AH212="","",M212*AE212/100)</f>
        <v/>
      </c>
      <c r="O212">
        <f>IF($AH212="","",INDEX('Per Line'!$Z$2:$Z$1601,$AH212)&amp;"")</f>
        <v/>
      </c>
      <c r="P212">
        <f>IF($AH212="","",INDEX('Per Line'!$AC$2:$AC$1601,$AH212)&amp;"")</f>
        <v/>
      </c>
      <c r="Q212">
        <f>IF($AH212="","",INDEX('Per Line'!$AD$2:$AD$1601,$AH212))</f>
        <v/>
      </c>
      <c r="R212">
        <f>IF($AH212="","",IF(AND(ISNUMBER(Q212),Q212&gt;0),AF212&gt;Q212,FALSE))</f>
        <v/>
      </c>
      <c r="S212">
        <f>IF($AH212="","",INDEX('Per Line'!$AH$2:$AH$1601,$AH212)&amp;"")</f>
        <v/>
      </c>
      <c r="T212" s="11">
        <f>IF($AH212="","",INDEX('Per Line'!$AI$2:$AI$1601,$AH212))</f>
        <v/>
      </c>
      <c r="U212">
        <f>IF($AH212="","",Settings!$C$8)</f>
        <v/>
      </c>
      <c r="V212" s="7">
        <f>IF($AH212="","",SUMIFS('Per Line'!$V$2:$V$1601,'Per Line'!$D$2:$D$1601,$B212,'Per Line'!$AN$2:$AN$1601,1))</f>
        <v/>
      </c>
      <c r="W212" s="7">
        <f>IF($AH212="","",V212*U212)</f>
        <v/>
      </c>
      <c r="X212">
        <f>IF($AH212="","",Settings!$C$7)</f>
        <v/>
      </c>
      <c r="Y212" s="7">
        <f>IF($AH212="","",SUMIFS('Per Line'!$V$2:$V$1601,'Per Line'!$D$2:$D$1601,$B212,'Per Line'!$AM$2:$AM$1601,0,'Per Line'!$AN$2:$AN$1601,0))</f>
        <v/>
      </c>
      <c r="Z212" s="7">
        <f>IF($AH212="","",Y212*X212)</f>
        <v/>
      </c>
      <c r="AA212">
        <f>IF($AH212="","",Settings!$C$6)</f>
        <v/>
      </c>
      <c r="AB212" s="7">
        <f>IF($AH212="","",SUMIFS('Per Line'!$V$2:$V$1601,'Per Line'!$D$2:$D$1601,$B212,'Per Line'!$AM$2:$AM$1601,1,'Per Line'!$AN$2:$AN$1601,0))</f>
        <v/>
      </c>
      <c r="AC212" s="7">
        <f>IF($AH212="","",AB212*AA212)</f>
        <v/>
      </c>
      <c r="AD212" s="7">
        <f>IF($AH212="","",AC212+Z212+W212)</f>
        <v/>
      </c>
      <c r="AE212" s="7">
        <f>IF($AH212="","",AF212-AD212)</f>
        <v/>
      </c>
      <c r="AF212" s="7">
        <f>IF($AH212="","",Y212+AB212+V212)</f>
        <v/>
      </c>
      <c r="AG212" s="7">
        <f>IF($AH212="","",AF212-AD212-N212)</f>
        <v/>
      </c>
      <c r="AH212" s="13">
        <f>IF(ROWS($AH$2:$AH212)&lt;=MAX('Per Line'!$AL$2:$AL$1601),MATCH(ROWS($AH$2:$AH212),'Per Line'!$AL$2:$AL$1601,0),"")</f>
        <v/>
      </c>
    </row>
    <row r="213">
      <c r="A213" s="12" t="n"/>
      <c r="B213">
        <f>IF($AH213="","",INDEX('Per Line'!$D$2:$D$1601,$AH213)&amp;"")</f>
        <v/>
      </c>
      <c r="C213">
        <f>IF($AH213="","",INDEX('Per Line'!$A$2:$A$1601,$AH213)&amp;"")</f>
        <v/>
      </c>
      <c r="D213">
        <f>IF($AH213="","",INDEX('Per Line'!$B$2:$B$1601,$AH213))</f>
        <v/>
      </c>
      <c r="E213">
        <f>IF($AH213="","",INDEX('Per Line'!$C$2:$C$1601,$AH213)&amp;"")</f>
        <v/>
      </c>
      <c r="F213">
        <f>IF($AH213="","",INDEX('Per Line'!$E$2:$E$1601,$AH213)&amp;"")</f>
        <v/>
      </c>
      <c r="G213" s="11">
        <f>IF($AH213="","",INDEX('Per Line'!$F$2:$F$1601,$AH213))</f>
        <v/>
      </c>
      <c r="H213">
        <f>IF($AH213="","",INDEX('Per Line'!$G$2:$G$1601,$AH213)&amp;"")</f>
        <v/>
      </c>
      <c r="I213">
        <f>IF($AH213="","",INDEX('Per Line'!$I$2:$I$1601,$AH213)&amp;"")</f>
        <v/>
      </c>
      <c r="J213">
        <f>IF($AH213="","",INDEX('Per Line'!$J$2:$J$1601,$AH213)&amp;"")</f>
        <v/>
      </c>
      <c r="K213">
        <f>IF($AH213="","",INDEX('Per Line'!$K$2:$K$1601,$AH213)&amp;"")</f>
        <v/>
      </c>
      <c r="L213">
        <f>IF($AH213="","",INDEX('Per Line'!$L$2:$L$1601,$AH213)&amp;"")</f>
        <v/>
      </c>
      <c r="M213">
        <f>IF($AH213="","",INDEX('Per Line'!$M$2:$M$1601,$AH213))</f>
        <v/>
      </c>
      <c r="N213" s="7">
        <f>IF($AH213="","",M213*AE213/100)</f>
        <v/>
      </c>
      <c r="O213">
        <f>IF($AH213="","",INDEX('Per Line'!$Z$2:$Z$1601,$AH213)&amp;"")</f>
        <v/>
      </c>
      <c r="P213">
        <f>IF($AH213="","",INDEX('Per Line'!$AC$2:$AC$1601,$AH213)&amp;"")</f>
        <v/>
      </c>
      <c r="Q213">
        <f>IF($AH213="","",INDEX('Per Line'!$AD$2:$AD$1601,$AH213))</f>
        <v/>
      </c>
      <c r="R213">
        <f>IF($AH213="","",IF(AND(ISNUMBER(Q213),Q213&gt;0),AF213&gt;Q213,FALSE))</f>
        <v/>
      </c>
      <c r="S213">
        <f>IF($AH213="","",INDEX('Per Line'!$AH$2:$AH$1601,$AH213)&amp;"")</f>
        <v/>
      </c>
      <c r="T213" s="11">
        <f>IF($AH213="","",INDEX('Per Line'!$AI$2:$AI$1601,$AH213))</f>
        <v/>
      </c>
      <c r="U213">
        <f>IF($AH213="","",Settings!$C$8)</f>
        <v/>
      </c>
      <c r="V213" s="7">
        <f>IF($AH213="","",SUMIFS('Per Line'!$V$2:$V$1601,'Per Line'!$D$2:$D$1601,$B213,'Per Line'!$AN$2:$AN$1601,1))</f>
        <v/>
      </c>
      <c r="W213" s="7">
        <f>IF($AH213="","",V213*U213)</f>
        <v/>
      </c>
      <c r="X213">
        <f>IF($AH213="","",Settings!$C$7)</f>
        <v/>
      </c>
      <c r="Y213" s="7">
        <f>IF($AH213="","",SUMIFS('Per Line'!$V$2:$V$1601,'Per Line'!$D$2:$D$1601,$B213,'Per Line'!$AM$2:$AM$1601,0,'Per Line'!$AN$2:$AN$1601,0))</f>
        <v/>
      </c>
      <c r="Z213" s="7">
        <f>IF($AH213="","",Y213*X213)</f>
        <v/>
      </c>
      <c r="AA213">
        <f>IF($AH213="","",Settings!$C$6)</f>
        <v/>
      </c>
      <c r="AB213" s="7">
        <f>IF($AH213="","",SUMIFS('Per Line'!$V$2:$V$1601,'Per Line'!$D$2:$D$1601,$B213,'Per Line'!$AM$2:$AM$1601,1,'Per Line'!$AN$2:$AN$1601,0))</f>
        <v/>
      </c>
      <c r="AC213" s="7">
        <f>IF($AH213="","",AB213*AA213)</f>
        <v/>
      </c>
      <c r="AD213" s="7">
        <f>IF($AH213="","",AC213+Z213+W213)</f>
        <v/>
      </c>
      <c r="AE213" s="7">
        <f>IF($AH213="","",AF213-AD213)</f>
        <v/>
      </c>
      <c r="AF213" s="7">
        <f>IF($AH213="","",Y213+AB213+V213)</f>
        <v/>
      </c>
      <c r="AG213" s="7">
        <f>IF($AH213="","",AF213-AD213-N213)</f>
        <v/>
      </c>
      <c r="AH213" s="13">
        <f>IF(ROWS($AH$2:$AH213)&lt;=MAX('Per Line'!$AL$2:$AL$1601),MATCH(ROWS($AH$2:$AH213),'Per Line'!$AL$2:$AL$1601,0),"")</f>
        <v/>
      </c>
    </row>
    <row r="214">
      <c r="A214" s="12" t="n"/>
      <c r="B214">
        <f>IF($AH214="","",INDEX('Per Line'!$D$2:$D$1601,$AH214)&amp;"")</f>
        <v/>
      </c>
      <c r="C214">
        <f>IF($AH214="","",INDEX('Per Line'!$A$2:$A$1601,$AH214)&amp;"")</f>
        <v/>
      </c>
      <c r="D214">
        <f>IF($AH214="","",INDEX('Per Line'!$B$2:$B$1601,$AH214))</f>
        <v/>
      </c>
      <c r="E214">
        <f>IF($AH214="","",INDEX('Per Line'!$C$2:$C$1601,$AH214)&amp;"")</f>
        <v/>
      </c>
      <c r="F214">
        <f>IF($AH214="","",INDEX('Per Line'!$E$2:$E$1601,$AH214)&amp;"")</f>
        <v/>
      </c>
      <c r="G214" s="11">
        <f>IF($AH214="","",INDEX('Per Line'!$F$2:$F$1601,$AH214))</f>
        <v/>
      </c>
      <c r="H214">
        <f>IF($AH214="","",INDEX('Per Line'!$G$2:$G$1601,$AH214)&amp;"")</f>
        <v/>
      </c>
      <c r="I214">
        <f>IF($AH214="","",INDEX('Per Line'!$I$2:$I$1601,$AH214)&amp;"")</f>
        <v/>
      </c>
      <c r="J214">
        <f>IF($AH214="","",INDEX('Per Line'!$J$2:$J$1601,$AH214)&amp;"")</f>
        <v/>
      </c>
      <c r="K214">
        <f>IF($AH214="","",INDEX('Per Line'!$K$2:$K$1601,$AH214)&amp;"")</f>
        <v/>
      </c>
      <c r="L214">
        <f>IF($AH214="","",INDEX('Per Line'!$L$2:$L$1601,$AH214)&amp;"")</f>
        <v/>
      </c>
      <c r="M214">
        <f>IF($AH214="","",INDEX('Per Line'!$M$2:$M$1601,$AH214))</f>
        <v/>
      </c>
      <c r="N214" s="7">
        <f>IF($AH214="","",M214*AE214/100)</f>
        <v/>
      </c>
      <c r="O214">
        <f>IF($AH214="","",INDEX('Per Line'!$Z$2:$Z$1601,$AH214)&amp;"")</f>
        <v/>
      </c>
      <c r="P214">
        <f>IF($AH214="","",INDEX('Per Line'!$AC$2:$AC$1601,$AH214)&amp;"")</f>
        <v/>
      </c>
      <c r="Q214">
        <f>IF($AH214="","",INDEX('Per Line'!$AD$2:$AD$1601,$AH214))</f>
        <v/>
      </c>
      <c r="R214">
        <f>IF($AH214="","",IF(AND(ISNUMBER(Q214),Q214&gt;0),AF214&gt;Q214,FALSE))</f>
        <v/>
      </c>
      <c r="S214">
        <f>IF($AH214="","",INDEX('Per Line'!$AH$2:$AH$1601,$AH214)&amp;"")</f>
        <v/>
      </c>
      <c r="T214" s="11">
        <f>IF($AH214="","",INDEX('Per Line'!$AI$2:$AI$1601,$AH214))</f>
        <v/>
      </c>
      <c r="U214">
        <f>IF($AH214="","",Settings!$C$8)</f>
        <v/>
      </c>
      <c r="V214" s="7">
        <f>IF($AH214="","",SUMIFS('Per Line'!$V$2:$V$1601,'Per Line'!$D$2:$D$1601,$B214,'Per Line'!$AN$2:$AN$1601,1))</f>
        <v/>
      </c>
      <c r="W214" s="7">
        <f>IF($AH214="","",V214*U214)</f>
        <v/>
      </c>
      <c r="X214">
        <f>IF($AH214="","",Settings!$C$7)</f>
        <v/>
      </c>
      <c r="Y214" s="7">
        <f>IF($AH214="","",SUMIFS('Per Line'!$V$2:$V$1601,'Per Line'!$D$2:$D$1601,$B214,'Per Line'!$AM$2:$AM$1601,0,'Per Line'!$AN$2:$AN$1601,0))</f>
        <v/>
      </c>
      <c r="Z214" s="7">
        <f>IF($AH214="","",Y214*X214)</f>
        <v/>
      </c>
      <c r="AA214">
        <f>IF($AH214="","",Settings!$C$6)</f>
        <v/>
      </c>
      <c r="AB214" s="7">
        <f>IF($AH214="","",SUMIFS('Per Line'!$V$2:$V$1601,'Per Line'!$D$2:$D$1601,$B214,'Per Line'!$AM$2:$AM$1601,1,'Per Line'!$AN$2:$AN$1601,0))</f>
        <v/>
      </c>
      <c r="AC214" s="7">
        <f>IF($AH214="","",AB214*AA214)</f>
        <v/>
      </c>
      <c r="AD214" s="7">
        <f>IF($AH214="","",AC214+Z214+W214)</f>
        <v/>
      </c>
      <c r="AE214" s="7">
        <f>IF($AH214="","",AF214-AD214)</f>
        <v/>
      </c>
      <c r="AF214" s="7">
        <f>IF($AH214="","",Y214+AB214+V214)</f>
        <v/>
      </c>
      <c r="AG214" s="7">
        <f>IF($AH214="","",AF214-AD214-N214)</f>
        <v/>
      </c>
      <c r="AH214" s="13">
        <f>IF(ROWS($AH$2:$AH214)&lt;=MAX('Per Line'!$AL$2:$AL$1601),MATCH(ROWS($AH$2:$AH214),'Per Line'!$AL$2:$AL$1601,0),"")</f>
        <v/>
      </c>
    </row>
    <row r="215">
      <c r="A215" s="12" t="n"/>
      <c r="B215">
        <f>IF($AH215="","",INDEX('Per Line'!$D$2:$D$1601,$AH215)&amp;"")</f>
        <v/>
      </c>
      <c r="C215">
        <f>IF($AH215="","",INDEX('Per Line'!$A$2:$A$1601,$AH215)&amp;"")</f>
        <v/>
      </c>
      <c r="D215">
        <f>IF($AH215="","",INDEX('Per Line'!$B$2:$B$1601,$AH215))</f>
        <v/>
      </c>
      <c r="E215">
        <f>IF($AH215="","",INDEX('Per Line'!$C$2:$C$1601,$AH215)&amp;"")</f>
        <v/>
      </c>
      <c r="F215">
        <f>IF($AH215="","",INDEX('Per Line'!$E$2:$E$1601,$AH215)&amp;"")</f>
        <v/>
      </c>
      <c r="G215" s="11">
        <f>IF($AH215="","",INDEX('Per Line'!$F$2:$F$1601,$AH215))</f>
        <v/>
      </c>
      <c r="H215">
        <f>IF($AH215="","",INDEX('Per Line'!$G$2:$G$1601,$AH215)&amp;"")</f>
        <v/>
      </c>
      <c r="I215">
        <f>IF($AH215="","",INDEX('Per Line'!$I$2:$I$1601,$AH215)&amp;"")</f>
        <v/>
      </c>
      <c r="J215">
        <f>IF($AH215="","",INDEX('Per Line'!$J$2:$J$1601,$AH215)&amp;"")</f>
        <v/>
      </c>
      <c r="K215">
        <f>IF($AH215="","",INDEX('Per Line'!$K$2:$K$1601,$AH215)&amp;"")</f>
        <v/>
      </c>
      <c r="L215">
        <f>IF($AH215="","",INDEX('Per Line'!$L$2:$L$1601,$AH215)&amp;"")</f>
        <v/>
      </c>
      <c r="M215">
        <f>IF($AH215="","",INDEX('Per Line'!$M$2:$M$1601,$AH215))</f>
        <v/>
      </c>
      <c r="N215" s="7">
        <f>IF($AH215="","",M215*AE215/100)</f>
        <v/>
      </c>
      <c r="O215">
        <f>IF($AH215="","",INDEX('Per Line'!$Z$2:$Z$1601,$AH215)&amp;"")</f>
        <v/>
      </c>
      <c r="P215">
        <f>IF($AH215="","",INDEX('Per Line'!$AC$2:$AC$1601,$AH215)&amp;"")</f>
        <v/>
      </c>
      <c r="Q215">
        <f>IF($AH215="","",INDEX('Per Line'!$AD$2:$AD$1601,$AH215))</f>
        <v/>
      </c>
      <c r="R215">
        <f>IF($AH215="","",IF(AND(ISNUMBER(Q215),Q215&gt;0),AF215&gt;Q215,FALSE))</f>
        <v/>
      </c>
      <c r="S215">
        <f>IF($AH215="","",INDEX('Per Line'!$AH$2:$AH$1601,$AH215)&amp;"")</f>
        <v/>
      </c>
      <c r="T215" s="11">
        <f>IF($AH215="","",INDEX('Per Line'!$AI$2:$AI$1601,$AH215))</f>
        <v/>
      </c>
      <c r="U215">
        <f>IF($AH215="","",Settings!$C$8)</f>
        <v/>
      </c>
      <c r="V215" s="7">
        <f>IF($AH215="","",SUMIFS('Per Line'!$V$2:$V$1601,'Per Line'!$D$2:$D$1601,$B215,'Per Line'!$AN$2:$AN$1601,1))</f>
        <v/>
      </c>
      <c r="W215" s="7">
        <f>IF($AH215="","",V215*U215)</f>
        <v/>
      </c>
      <c r="X215">
        <f>IF($AH215="","",Settings!$C$7)</f>
        <v/>
      </c>
      <c r="Y215" s="7">
        <f>IF($AH215="","",SUMIFS('Per Line'!$V$2:$V$1601,'Per Line'!$D$2:$D$1601,$B215,'Per Line'!$AM$2:$AM$1601,0,'Per Line'!$AN$2:$AN$1601,0))</f>
        <v/>
      </c>
      <c r="Z215" s="7">
        <f>IF($AH215="","",Y215*X215)</f>
        <v/>
      </c>
      <c r="AA215">
        <f>IF($AH215="","",Settings!$C$6)</f>
        <v/>
      </c>
      <c r="AB215" s="7">
        <f>IF($AH215="","",SUMIFS('Per Line'!$V$2:$V$1601,'Per Line'!$D$2:$D$1601,$B215,'Per Line'!$AM$2:$AM$1601,1,'Per Line'!$AN$2:$AN$1601,0))</f>
        <v/>
      </c>
      <c r="AC215" s="7">
        <f>IF($AH215="","",AB215*AA215)</f>
        <v/>
      </c>
      <c r="AD215" s="7">
        <f>IF($AH215="","",AC215+Z215+W215)</f>
        <v/>
      </c>
      <c r="AE215" s="7">
        <f>IF($AH215="","",AF215-AD215)</f>
        <v/>
      </c>
      <c r="AF215" s="7">
        <f>IF($AH215="","",Y215+AB215+V215)</f>
        <v/>
      </c>
      <c r="AG215" s="7">
        <f>IF($AH215="","",AF215-AD215-N215)</f>
        <v/>
      </c>
      <c r="AH215" s="13">
        <f>IF(ROWS($AH$2:$AH215)&lt;=MAX('Per Line'!$AL$2:$AL$1601),MATCH(ROWS($AH$2:$AH215),'Per Line'!$AL$2:$AL$1601,0),"")</f>
        <v/>
      </c>
    </row>
    <row r="216">
      <c r="A216" s="12" t="n"/>
      <c r="B216">
        <f>IF($AH216="","",INDEX('Per Line'!$D$2:$D$1601,$AH216)&amp;"")</f>
        <v/>
      </c>
      <c r="C216">
        <f>IF($AH216="","",INDEX('Per Line'!$A$2:$A$1601,$AH216)&amp;"")</f>
        <v/>
      </c>
      <c r="D216">
        <f>IF($AH216="","",INDEX('Per Line'!$B$2:$B$1601,$AH216))</f>
        <v/>
      </c>
      <c r="E216">
        <f>IF($AH216="","",INDEX('Per Line'!$C$2:$C$1601,$AH216)&amp;"")</f>
        <v/>
      </c>
      <c r="F216">
        <f>IF($AH216="","",INDEX('Per Line'!$E$2:$E$1601,$AH216)&amp;"")</f>
        <v/>
      </c>
      <c r="G216" s="11">
        <f>IF($AH216="","",INDEX('Per Line'!$F$2:$F$1601,$AH216))</f>
        <v/>
      </c>
      <c r="H216">
        <f>IF($AH216="","",INDEX('Per Line'!$G$2:$G$1601,$AH216)&amp;"")</f>
        <v/>
      </c>
      <c r="I216">
        <f>IF($AH216="","",INDEX('Per Line'!$I$2:$I$1601,$AH216)&amp;"")</f>
        <v/>
      </c>
      <c r="J216">
        <f>IF($AH216="","",INDEX('Per Line'!$J$2:$J$1601,$AH216)&amp;"")</f>
        <v/>
      </c>
      <c r="K216">
        <f>IF($AH216="","",INDEX('Per Line'!$K$2:$K$1601,$AH216)&amp;"")</f>
        <v/>
      </c>
      <c r="L216">
        <f>IF($AH216="","",INDEX('Per Line'!$L$2:$L$1601,$AH216)&amp;"")</f>
        <v/>
      </c>
      <c r="M216">
        <f>IF($AH216="","",INDEX('Per Line'!$M$2:$M$1601,$AH216))</f>
        <v/>
      </c>
      <c r="N216" s="7">
        <f>IF($AH216="","",M216*AE216/100)</f>
        <v/>
      </c>
      <c r="O216">
        <f>IF($AH216="","",INDEX('Per Line'!$Z$2:$Z$1601,$AH216)&amp;"")</f>
        <v/>
      </c>
      <c r="P216">
        <f>IF($AH216="","",INDEX('Per Line'!$AC$2:$AC$1601,$AH216)&amp;"")</f>
        <v/>
      </c>
      <c r="Q216">
        <f>IF($AH216="","",INDEX('Per Line'!$AD$2:$AD$1601,$AH216))</f>
        <v/>
      </c>
      <c r="R216">
        <f>IF($AH216="","",IF(AND(ISNUMBER(Q216),Q216&gt;0),AF216&gt;Q216,FALSE))</f>
        <v/>
      </c>
      <c r="S216">
        <f>IF($AH216="","",INDEX('Per Line'!$AH$2:$AH$1601,$AH216)&amp;"")</f>
        <v/>
      </c>
      <c r="T216" s="11">
        <f>IF($AH216="","",INDEX('Per Line'!$AI$2:$AI$1601,$AH216))</f>
        <v/>
      </c>
      <c r="U216">
        <f>IF($AH216="","",Settings!$C$8)</f>
        <v/>
      </c>
      <c r="V216" s="7">
        <f>IF($AH216="","",SUMIFS('Per Line'!$V$2:$V$1601,'Per Line'!$D$2:$D$1601,$B216,'Per Line'!$AN$2:$AN$1601,1))</f>
        <v/>
      </c>
      <c r="W216" s="7">
        <f>IF($AH216="","",V216*U216)</f>
        <v/>
      </c>
      <c r="X216">
        <f>IF($AH216="","",Settings!$C$7)</f>
        <v/>
      </c>
      <c r="Y216" s="7">
        <f>IF($AH216="","",SUMIFS('Per Line'!$V$2:$V$1601,'Per Line'!$D$2:$D$1601,$B216,'Per Line'!$AM$2:$AM$1601,0,'Per Line'!$AN$2:$AN$1601,0))</f>
        <v/>
      </c>
      <c r="Z216" s="7">
        <f>IF($AH216="","",Y216*X216)</f>
        <v/>
      </c>
      <c r="AA216">
        <f>IF($AH216="","",Settings!$C$6)</f>
        <v/>
      </c>
      <c r="AB216" s="7">
        <f>IF($AH216="","",SUMIFS('Per Line'!$V$2:$V$1601,'Per Line'!$D$2:$D$1601,$B216,'Per Line'!$AM$2:$AM$1601,1,'Per Line'!$AN$2:$AN$1601,0))</f>
        <v/>
      </c>
      <c r="AC216" s="7">
        <f>IF($AH216="","",AB216*AA216)</f>
        <v/>
      </c>
      <c r="AD216" s="7">
        <f>IF($AH216="","",AC216+Z216+W216)</f>
        <v/>
      </c>
      <c r="AE216" s="7">
        <f>IF($AH216="","",AF216-AD216)</f>
        <v/>
      </c>
      <c r="AF216" s="7">
        <f>IF($AH216="","",Y216+AB216+V216)</f>
        <v/>
      </c>
      <c r="AG216" s="7">
        <f>IF($AH216="","",AF216-AD216-N216)</f>
        <v/>
      </c>
      <c r="AH216" s="13">
        <f>IF(ROWS($AH$2:$AH216)&lt;=MAX('Per Line'!$AL$2:$AL$1601),MATCH(ROWS($AH$2:$AH216),'Per Line'!$AL$2:$AL$1601,0),"")</f>
        <v/>
      </c>
    </row>
    <row r="217">
      <c r="A217" s="12" t="n"/>
      <c r="B217">
        <f>IF($AH217="","",INDEX('Per Line'!$D$2:$D$1601,$AH217)&amp;"")</f>
        <v/>
      </c>
      <c r="C217">
        <f>IF($AH217="","",INDEX('Per Line'!$A$2:$A$1601,$AH217)&amp;"")</f>
        <v/>
      </c>
      <c r="D217">
        <f>IF($AH217="","",INDEX('Per Line'!$B$2:$B$1601,$AH217))</f>
        <v/>
      </c>
      <c r="E217">
        <f>IF($AH217="","",INDEX('Per Line'!$C$2:$C$1601,$AH217)&amp;"")</f>
        <v/>
      </c>
      <c r="F217">
        <f>IF($AH217="","",INDEX('Per Line'!$E$2:$E$1601,$AH217)&amp;"")</f>
        <v/>
      </c>
      <c r="G217" s="11">
        <f>IF($AH217="","",INDEX('Per Line'!$F$2:$F$1601,$AH217))</f>
        <v/>
      </c>
      <c r="H217">
        <f>IF($AH217="","",INDEX('Per Line'!$G$2:$G$1601,$AH217)&amp;"")</f>
        <v/>
      </c>
      <c r="I217">
        <f>IF($AH217="","",INDEX('Per Line'!$I$2:$I$1601,$AH217)&amp;"")</f>
        <v/>
      </c>
      <c r="J217">
        <f>IF($AH217="","",INDEX('Per Line'!$J$2:$J$1601,$AH217)&amp;"")</f>
        <v/>
      </c>
      <c r="K217">
        <f>IF($AH217="","",INDEX('Per Line'!$K$2:$K$1601,$AH217)&amp;"")</f>
        <v/>
      </c>
      <c r="L217">
        <f>IF($AH217="","",INDEX('Per Line'!$L$2:$L$1601,$AH217)&amp;"")</f>
        <v/>
      </c>
      <c r="M217">
        <f>IF($AH217="","",INDEX('Per Line'!$M$2:$M$1601,$AH217))</f>
        <v/>
      </c>
      <c r="N217" s="7">
        <f>IF($AH217="","",M217*AE217/100)</f>
        <v/>
      </c>
      <c r="O217">
        <f>IF($AH217="","",INDEX('Per Line'!$Z$2:$Z$1601,$AH217)&amp;"")</f>
        <v/>
      </c>
      <c r="P217">
        <f>IF($AH217="","",INDEX('Per Line'!$AC$2:$AC$1601,$AH217)&amp;"")</f>
        <v/>
      </c>
      <c r="Q217">
        <f>IF($AH217="","",INDEX('Per Line'!$AD$2:$AD$1601,$AH217))</f>
        <v/>
      </c>
      <c r="R217">
        <f>IF($AH217="","",IF(AND(ISNUMBER(Q217),Q217&gt;0),AF217&gt;Q217,FALSE))</f>
        <v/>
      </c>
      <c r="S217">
        <f>IF($AH217="","",INDEX('Per Line'!$AH$2:$AH$1601,$AH217)&amp;"")</f>
        <v/>
      </c>
      <c r="T217" s="11">
        <f>IF($AH217="","",INDEX('Per Line'!$AI$2:$AI$1601,$AH217))</f>
        <v/>
      </c>
      <c r="U217">
        <f>IF($AH217="","",Settings!$C$8)</f>
        <v/>
      </c>
      <c r="V217" s="7">
        <f>IF($AH217="","",SUMIFS('Per Line'!$V$2:$V$1601,'Per Line'!$D$2:$D$1601,$B217,'Per Line'!$AN$2:$AN$1601,1))</f>
        <v/>
      </c>
      <c r="W217" s="7">
        <f>IF($AH217="","",V217*U217)</f>
        <v/>
      </c>
      <c r="X217">
        <f>IF($AH217="","",Settings!$C$7)</f>
        <v/>
      </c>
      <c r="Y217" s="7">
        <f>IF($AH217="","",SUMIFS('Per Line'!$V$2:$V$1601,'Per Line'!$D$2:$D$1601,$B217,'Per Line'!$AM$2:$AM$1601,0,'Per Line'!$AN$2:$AN$1601,0))</f>
        <v/>
      </c>
      <c r="Z217" s="7">
        <f>IF($AH217="","",Y217*X217)</f>
        <v/>
      </c>
      <c r="AA217">
        <f>IF($AH217="","",Settings!$C$6)</f>
        <v/>
      </c>
      <c r="AB217" s="7">
        <f>IF($AH217="","",SUMIFS('Per Line'!$V$2:$V$1601,'Per Line'!$D$2:$D$1601,$B217,'Per Line'!$AM$2:$AM$1601,1,'Per Line'!$AN$2:$AN$1601,0))</f>
        <v/>
      </c>
      <c r="AC217" s="7">
        <f>IF($AH217="","",AB217*AA217)</f>
        <v/>
      </c>
      <c r="AD217" s="7">
        <f>IF($AH217="","",AC217+Z217+W217)</f>
        <v/>
      </c>
      <c r="AE217" s="7">
        <f>IF($AH217="","",AF217-AD217)</f>
        <v/>
      </c>
      <c r="AF217" s="7">
        <f>IF($AH217="","",Y217+AB217+V217)</f>
        <v/>
      </c>
      <c r="AG217" s="7">
        <f>IF($AH217="","",AF217-AD217-N217)</f>
        <v/>
      </c>
      <c r="AH217" s="13">
        <f>IF(ROWS($AH$2:$AH217)&lt;=MAX('Per Line'!$AL$2:$AL$1601),MATCH(ROWS($AH$2:$AH217),'Per Line'!$AL$2:$AL$1601,0),"")</f>
        <v/>
      </c>
    </row>
    <row r="218">
      <c r="A218" s="12" t="n"/>
      <c r="B218">
        <f>IF($AH218="","",INDEX('Per Line'!$D$2:$D$1601,$AH218)&amp;"")</f>
        <v/>
      </c>
      <c r="C218">
        <f>IF($AH218="","",INDEX('Per Line'!$A$2:$A$1601,$AH218)&amp;"")</f>
        <v/>
      </c>
      <c r="D218">
        <f>IF($AH218="","",INDEX('Per Line'!$B$2:$B$1601,$AH218))</f>
        <v/>
      </c>
      <c r="E218">
        <f>IF($AH218="","",INDEX('Per Line'!$C$2:$C$1601,$AH218)&amp;"")</f>
        <v/>
      </c>
      <c r="F218">
        <f>IF($AH218="","",INDEX('Per Line'!$E$2:$E$1601,$AH218)&amp;"")</f>
        <v/>
      </c>
      <c r="G218" s="11">
        <f>IF($AH218="","",INDEX('Per Line'!$F$2:$F$1601,$AH218))</f>
        <v/>
      </c>
      <c r="H218">
        <f>IF($AH218="","",INDEX('Per Line'!$G$2:$G$1601,$AH218)&amp;"")</f>
        <v/>
      </c>
      <c r="I218">
        <f>IF($AH218="","",INDEX('Per Line'!$I$2:$I$1601,$AH218)&amp;"")</f>
        <v/>
      </c>
      <c r="J218">
        <f>IF($AH218="","",INDEX('Per Line'!$J$2:$J$1601,$AH218)&amp;"")</f>
        <v/>
      </c>
      <c r="K218">
        <f>IF($AH218="","",INDEX('Per Line'!$K$2:$K$1601,$AH218)&amp;"")</f>
        <v/>
      </c>
      <c r="L218">
        <f>IF($AH218="","",INDEX('Per Line'!$L$2:$L$1601,$AH218)&amp;"")</f>
        <v/>
      </c>
      <c r="M218">
        <f>IF($AH218="","",INDEX('Per Line'!$M$2:$M$1601,$AH218))</f>
        <v/>
      </c>
      <c r="N218" s="7">
        <f>IF($AH218="","",M218*AE218/100)</f>
        <v/>
      </c>
      <c r="O218">
        <f>IF($AH218="","",INDEX('Per Line'!$Z$2:$Z$1601,$AH218)&amp;"")</f>
        <v/>
      </c>
      <c r="P218">
        <f>IF($AH218="","",INDEX('Per Line'!$AC$2:$AC$1601,$AH218)&amp;"")</f>
        <v/>
      </c>
      <c r="Q218">
        <f>IF($AH218="","",INDEX('Per Line'!$AD$2:$AD$1601,$AH218))</f>
        <v/>
      </c>
      <c r="R218">
        <f>IF($AH218="","",IF(AND(ISNUMBER(Q218),Q218&gt;0),AF218&gt;Q218,FALSE))</f>
        <v/>
      </c>
      <c r="S218">
        <f>IF($AH218="","",INDEX('Per Line'!$AH$2:$AH$1601,$AH218)&amp;"")</f>
        <v/>
      </c>
      <c r="T218" s="11">
        <f>IF($AH218="","",INDEX('Per Line'!$AI$2:$AI$1601,$AH218))</f>
        <v/>
      </c>
      <c r="U218">
        <f>IF($AH218="","",Settings!$C$8)</f>
        <v/>
      </c>
      <c r="V218" s="7">
        <f>IF($AH218="","",SUMIFS('Per Line'!$V$2:$V$1601,'Per Line'!$D$2:$D$1601,$B218,'Per Line'!$AN$2:$AN$1601,1))</f>
        <v/>
      </c>
      <c r="W218" s="7">
        <f>IF($AH218="","",V218*U218)</f>
        <v/>
      </c>
      <c r="X218">
        <f>IF($AH218="","",Settings!$C$7)</f>
        <v/>
      </c>
      <c r="Y218" s="7">
        <f>IF($AH218="","",SUMIFS('Per Line'!$V$2:$V$1601,'Per Line'!$D$2:$D$1601,$B218,'Per Line'!$AM$2:$AM$1601,0,'Per Line'!$AN$2:$AN$1601,0))</f>
        <v/>
      </c>
      <c r="Z218" s="7">
        <f>IF($AH218="","",Y218*X218)</f>
        <v/>
      </c>
      <c r="AA218">
        <f>IF($AH218="","",Settings!$C$6)</f>
        <v/>
      </c>
      <c r="AB218" s="7">
        <f>IF($AH218="","",SUMIFS('Per Line'!$V$2:$V$1601,'Per Line'!$D$2:$D$1601,$B218,'Per Line'!$AM$2:$AM$1601,1,'Per Line'!$AN$2:$AN$1601,0))</f>
        <v/>
      </c>
      <c r="AC218" s="7">
        <f>IF($AH218="","",AB218*AA218)</f>
        <v/>
      </c>
      <c r="AD218" s="7">
        <f>IF($AH218="","",AC218+Z218+W218)</f>
        <v/>
      </c>
      <c r="AE218" s="7">
        <f>IF($AH218="","",AF218-AD218)</f>
        <v/>
      </c>
      <c r="AF218" s="7">
        <f>IF($AH218="","",Y218+AB218+V218)</f>
        <v/>
      </c>
      <c r="AG218" s="7">
        <f>IF($AH218="","",AF218-AD218-N218)</f>
        <v/>
      </c>
      <c r="AH218" s="13">
        <f>IF(ROWS($AH$2:$AH218)&lt;=MAX('Per Line'!$AL$2:$AL$1601),MATCH(ROWS($AH$2:$AH218),'Per Line'!$AL$2:$AL$1601,0),"")</f>
        <v/>
      </c>
    </row>
    <row r="219">
      <c r="A219" s="12" t="n"/>
      <c r="B219">
        <f>IF($AH219="","",INDEX('Per Line'!$D$2:$D$1601,$AH219)&amp;"")</f>
        <v/>
      </c>
      <c r="C219">
        <f>IF($AH219="","",INDEX('Per Line'!$A$2:$A$1601,$AH219)&amp;"")</f>
        <v/>
      </c>
      <c r="D219">
        <f>IF($AH219="","",INDEX('Per Line'!$B$2:$B$1601,$AH219))</f>
        <v/>
      </c>
      <c r="E219">
        <f>IF($AH219="","",INDEX('Per Line'!$C$2:$C$1601,$AH219)&amp;"")</f>
        <v/>
      </c>
      <c r="F219">
        <f>IF($AH219="","",INDEX('Per Line'!$E$2:$E$1601,$AH219)&amp;"")</f>
        <v/>
      </c>
      <c r="G219" s="11">
        <f>IF($AH219="","",INDEX('Per Line'!$F$2:$F$1601,$AH219))</f>
        <v/>
      </c>
      <c r="H219">
        <f>IF($AH219="","",INDEX('Per Line'!$G$2:$G$1601,$AH219)&amp;"")</f>
        <v/>
      </c>
      <c r="I219">
        <f>IF($AH219="","",INDEX('Per Line'!$I$2:$I$1601,$AH219)&amp;"")</f>
        <v/>
      </c>
      <c r="J219">
        <f>IF($AH219="","",INDEX('Per Line'!$J$2:$J$1601,$AH219)&amp;"")</f>
        <v/>
      </c>
      <c r="K219">
        <f>IF($AH219="","",INDEX('Per Line'!$K$2:$K$1601,$AH219)&amp;"")</f>
        <v/>
      </c>
      <c r="L219">
        <f>IF($AH219="","",INDEX('Per Line'!$L$2:$L$1601,$AH219)&amp;"")</f>
        <v/>
      </c>
      <c r="M219">
        <f>IF($AH219="","",INDEX('Per Line'!$M$2:$M$1601,$AH219))</f>
        <v/>
      </c>
      <c r="N219" s="7">
        <f>IF($AH219="","",M219*AE219/100)</f>
        <v/>
      </c>
      <c r="O219">
        <f>IF($AH219="","",INDEX('Per Line'!$Z$2:$Z$1601,$AH219)&amp;"")</f>
        <v/>
      </c>
      <c r="P219">
        <f>IF($AH219="","",INDEX('Per Line'!$AC$2:$AC$1601,$AH219)&amp;"")</f>
        <v/>
      </c>
      <c r="Q219">
        <f>IF($AH219="","",INDEX('Per Line'!$AD$2:$AD$1601,$AH219))</f>
        <v/>
      </c>
      <c r="R219">
        <f>IF($AH219="","",IF(AND(ISNUMBER(Q219),Q219&gt;0),AF219&gt;Q219,FALSE))</f>
        <v/>
      </c>
      <c r="S219">
        <f>IF($AH219="","",INDEX('Per Line'!$AH$2:$AH$1601,$AH219)&amp;"")</f>
        <v/>
      </c>
      <c r="T219" s="11">
        <f>IF($AH219="","",INDEX('Per Line'!$AI$2:$AI$1601,$AH219))</f>
        <v/>
      </c>
      <c r="U219">
        <f>IF($AH219="","",Settings!$C$8)</f>
        <v/>
      </c>
      <c r="V219" s="7">
        <f>IF($AH219="","",SUMIFS('Per Line'!$V$2:$V$1601,'Per Line'!$D$2:$D$1601,$B219,'Per Line'!$AN$2:$AN$1601,1))</f>
        <v/>
      </c>
      <c r="W219" s="7">
        <f>IF($AH219="","",V219*U219)</f>
        <v/>
      </c>
      <c r="X219">
        <f>IF($AH219="","",Settings!$C$7)</f>
        <v/>
      </c>
      <c r="Y219" s="7">
        <f>IF($AH219="","",SUMIFS('Per Line'!$V$2:$V$1601,'Per Line'!$D$2:$D$1601,$B219,'Per Line'!$AM$2:$AM$1601,0,'Per Line'!$AN$2:$AN$1601,0))</f>
        <v/>
      </c>
      <c r="Z219" s="7">
        <f>IF($AH219="","",Y219*X219)</f>
        <v/>
      </c>
      <c r="AA219">
        <f>IF($AH219="","",Settings!$C$6)</f>
        <v/>
      </c>
      <c r="AB219" s="7">
        <f>IF($AH219="","",SUMIFS('Per Line'!$V$2:$V$1601,'Per Line'!$D$2:$D$1601,$B219,'Per Line'!$AM$2:$AM$1601,1,'Per Line'!$AN$2:$AN$1601,0))</f>
        <v/>
      </c>
      <c r="AC219" s="7">
        <f>IF($AH219="","",AB219*AA219)</f>
        <v/>
      </c>
      <c r="AD219" s="7">
        <f>IF($AH219="","",AC219+Z219+W219)</f>
        <v/>
      </c>
      <c r="AE219" s="7">
        <f>IF($AH219="","",AF219-AD219)</f>
        <v/>
      </c>
      <c r="AF219" s="7">
        <f>IF($AH219="","",Y219+AB219+V219)</f>
        <v/>
      </c>
      <c r="AG219" s="7">
        <f>IF($AH219="","",AF219-AD219-N219)</f>
        <v/>
      </c>
      <c r="AH219" s="13">
        <f>IF(ROWS($AH$2:$AH219)&lt;=MAX('Per Line'!$AL$2:$AL$1601),MATCH(ROWS($AH$2:$AH219),'Per Line'!$AL$2:$AL$1601,0),"")</f>
        <v/>
      </c>
    </row>
    <row r="220">
      <c r="A220" s="12" t="n"/>
      <c r="B220">
        <f>IF($AH220="","",INDEX('Per Line'!$D$2:$D$1601,$AH220)&amp;"")</f>
        <v/>
      </c>
      <c r="C220">
        <f>IF($AH220="","",INDEX('Per Line'!$A$2:$A$1601,$AH220)&amp;"")</f>
        <v/>
      </c>
      <c r="D220">
        <f>IF($AH220="","",INDEX('Per Line'!$B$2:$B$1601,$AH220))</f>
        <v/>
      </c>
      <c r="E220">
        <f>IF($AH220="","",INDEX('Per Line'!$C$2:$C$1601,$AH220)&amp;"")</f>
        <v/>
      </c>
      <c r="F220">
        <f>IF($AH220="","",INDEX('Per Line'!$E$2:$E$1601,$AH220)&amp;"")</f>
        <v/>
      </c>
      <c r="G220" s="11">
        <f>IF($AH220="","",INDEX('Per Line'!$F$2:$F$1601,$AH220))</f>
        <v/>
      </c>
      <c r="H220">
        <f>IF($AH220="","",INDEX('Per Line'!$G$2:$G$1601,$AH220)&amp;"")</f>
        <v/>
      </c>
      <c r="I220">
        <f>IF($AH220="","",INDEX('Per Line'!$I$2:$I$1601,$AH220)&amp;"")</f>
        <v/>
      </c>
      <c r="J220">
        <f>IF($AH220="","",INDEX('Per Line'!$J$2:$J$1601,$AH220)&amp;"")</f>
        <v/>
      </c>
      <c r="K220">
        <f>IF($AH220="","",INDEX('Per Line'!$K$2:$K$1601,$AH220)&amp;"")</f>
        <v/>
      </c>
      <c r="L220">
        <f>IF($AH220="","",INDEX('Per Line'!$L$2:$L$1601,$AH220)&amp;"")</f>
        <v/>
      </c>
      <c r="M220">
        <f>IF($AH220="","",INDEX('Per Line'!$M$2:$M$1601,$AH220))</f>
        <v/>
      </c>
      <c r="N220" s="7">
        <f>IF($AH220="","",M220*AE220/100)</f>
        <v/>
      </c>
      <c r="O220">
        <f>IF($AH220="","",INDEX('Per Line'!$Z$2:$Z$1601,$AH220)&amp;"")</f>
        <v/>
      </c>
      <c r="P220">
        <f>IF($AH220="","",INDEX('Per Line'!$AC$2:$AC$1601,$AH220)&amp;"")</f>
        <v/>
      </c>
      <c r="Q220">
        <f>IF($AH220="","",INDEX('Per Line'!$AD$2:$AD$1601,$AH220))</f>
        <v/>
      </c>
      <c r="R220">
        <f>IF($AH220="","",IF(AND(ISNUMBER(Q220),Q220&gt;0),AF220&gt;Q220,FALSE))</f>
        <v/>
      </c>
      <c r="S220">
        <f>IF($AH220="","",INDEX('Per Line'!$AH$2:$AH$1601,$AH220)&amp;"")</f>
        <v/>
      </c>
      <c r="T220" s="11">
        <f>IF($AH220="","",INDEX('Per Line'!$AI$2:$AI$1601,$AH220))</f>
        <v/>
      </c>
      <c r="U220">
        <f>IF($AH220="","",Settings!$C$8)</f>
        <v/>
      </c>
      <c r="V220" s="7">
        <f>IF($AH220="","",SUMIFS('Per Line'!$V$2:$V$1601,'Per Line'!$D$2:$D$1601,$B220,'Per Line'!$AN$2:$AN$1601,1))</f>
        <v/>
      </c>
      <c r="W220" s="7">
        <f>IF($AH220="","",V220*U220)</f>
        <v/>
      </c>
      <c r="X220">
        <f>IF($AH220="","",Settings!$C$7)</f>
        <v/>
      </c>
      <c r="Y220" s="7">
        <f>IF($AH220="","",SUMIFS('Per Line'!$V$2:$V$1601,'Per Line'!$D$2:$D$1601,$B220,'Per Line'!$AM$2:$AM$1601,0,'Per Line'!$AN$2:$AN$1601,0))</f>
        <v/>
      </c>
      <c r="Z220" s="7">
        <f>IF($AH220="","",Y220*X220)</f>
        <v/>
      </c>
      <c r="AA220">
        <f>IF($AH220="","",Settings!$C$6)</f>
        <v/>
      </c>
      <c r="AB220" s="7">
        <f>IF($AH220="","",SUMIFS('Per Line'!$V$2:$V$1601,'Per Line'!$D$2:$D$1601,$B220,'Per Line'!$AM$2:$AM$1601,1,'Per Line'!$AN$2:$AN$1601,0))</f>
        <v/>
      </c>
      <c r="AC220" s="7">
        <f>IF($AH220="","",AB220*AA220)</f>
        <v/>
      </c>
      <c r="AD220" s="7">
        <f>IF($AH220="","",AC220+Z220+W220)</f>
        <v/>
      </c>
      <c r="AE220" s="7">
        <f>IF($AH220="","",AF220-AD220)</f>
        <v/>
      </c>
      <c r="AF220" s="7">
        <f>IF($AH220="","",Y220+AB220+V220)</f>
        <v/>
      </c>
      <c r="AG220" s="7">
        <f>IF($AH220="","",AF220-AD220-N220)</f>
        <v/>
      </c>
      <c r="AH220" s="13">
        <f>IF(ROWS($AH$2:$AH220)&lt;=MAX('Per Line'!$AL$2:$AL$1601),MATCH(ROWS($AH$2:$AH220),'Per Line'!$AL$2:$AL$1601,0),"")</f>
        <v/>
      </c>
    </row>
    <row r="221">
      <c r="A221" s="12" t="n"/>
      <c r="B221">
        <f>IF($AH221="","",INDEX('Per Line'!$D$2:$D$1601,$AH221)&amp;"")</f>
        <v/>
      </c>
      <c r="C221">
        <f>IF($AH221="","",INDEX('Per Line'!$A$2:$A$1601,$AH221)&amp;"")</f>
        <v/>
      </c>
      <c r="D221">
        <f>IF($AH221="","",INDEX('Per Line'!$B$2:$B$1601,$AH221))</f>
        <v/>
      </c>
      <c r="E221">
        <f>IF($AH221="","",INDEX('Per Line'!$C$2:$C$1601,$AH221)&amp;"")</f>
        <v/>
      </c>
      <c r="F221">
        <f>IF($AH221="","",INDEX('Per Line'!$E$2:$E$1601,$AH221)&amp;"")</f>
        <v/>
      </c>
      <c r="G221" s="11">
        <f>IF($AH221="","",INDEX('Per Line'!$F$2:$F$1601,$AH221))</f>
        <v/>
      </c>
      <c r="H221">
        <f>IF($AH221="","",INDEX('Per Line'!$G$2:$G$1601,$AH221)&amp;"")</f>
        <v/>
      </c>
      <c r="I221">
        <f>IF($AH221="","",INDEX('Per Line'!$I$2:$I$1601,$AH221)&amp;"")</f>
        <v/>
      </c>
      <c r="J221">
        <f>IF($AH221="","",INDEX('Per Line'!$J$2:$J$1601,$AH221)&amp;"")</f>
        <v/>
      </c>
      <c r="K221">
        <f>IF($AH221="","",INDEX('Per Line'!$K$2:$K$1601,$AH221)&amp;"")</f>
        <v/>
      </c>
      <c r="L221">
        <f>IF($AH221="","",INDEX('Per Line'!$L$2:$L$1601,$AH221)&amp;"")</f>
        <v/>
      </c>
      <c r="M221">
        <f>IF($AH221="","",INDEX('Per Line'!$M$2:$M$1601,$AH221))</f>
        <v/>
      </c>
      <c r="N221" s="7">
        <f>IF($AH221="","",M221*AE221/100)</f>
        <v/>
      </c>
      <c r="O221">
        <f>IF($AH221="","",INDEX('Per Line'!$Z$2:$Z$1601,$AH221)&amp;"")</f>
        <v/>
      </c>
      <c r="P221">
        <f>IF($AH221="","",INDEX('Per Line'!$AC$2:$AC$1601,$AH221)&amp;"")</f>
        <v/>
      </c>
      <c r="Q221">
        <f>IF($AH221="","",INDEX('Per Line'!$AD$2:$AD$1601,$AH221))</f>
        <v/>
      </c>
      <c r="R221">
        <f>IF($AH221="","",IF(AND(ISNUMBER(Q221),Q221&gt;0),AF221&gt;Q221,FALSE))</f>
        <v/>
      </c>
      <c r="S221">
        <f>IF($AH221="","",INDEX('Per Line'!$AH$2:$AH$1601,$AH221)&amp;"")</f>
        <v/>
      </c>
      <c r="T221" s="11">
        <f>IF($AH221="","",INDEX('Per Line'!$AI$2:$AI$1601,$AH221))</f>
        <v/>
      </c>
      <c r="U221">
        <f>IF($AH221="","",Settings!$C$8)</f>
        <v/>
      </c>
      <c r="V221" s="7">
        <f>IF($AH221="","",SUMIFS('Per Line'!$V$2:$V$1601,'Per Line'!$D$2:$D$1601,$B221,'Per Line'!$AN$2:$AN$1601,1))</f>
        <v/>
      </c>
      <c r="W221" s="7">
        <f>IF($AH221="","",V221*U221)</f>
        <v/>
      </c>
      <c r="X221">
        <f>IF($AH221="","",Settings!$C$7)</f>
        <v/>
      </c>
      <c r="Y221" s="7">
        <f>IF($AH221="","",SUMIFS('Per Line'!$V$2:$V$1601,'Per Line'!$D$2:$D$1601,$B221,'Per Line'!$AM$2:$AM$1601,0,'Per Line'!$AN$2:$AN$1601,0))</f>
        <v/>
      </c>
      <c r="Z221" s="7">
        <f>IF($AH221="","",Y221*X221)</f>
        <v/>
      </c>
      <c r="AA221">
        <f>IF($AH221="","",Settings!$C$6)</f>
        <v/>
      </c>
      <c r="AB221" s="7">
        <f>IF($AH221="","",SUMIFS('Per Line'!$V$2:$V$1601,'Per Line'!$D$2:$D$1601,$B221,'Per Line'!$AM$2:$AM$1601,1,'Per Line'!$AN$2:$AN$1601,0))</f>
        <v/>
      </c>
      <c r="AC221" s="7">
        <f>IF($AH221="","",AB221*AA221)</f>
        <v/>
      </c>
      <c r="AD221" s="7">
        <f>IF($AH221="","",AC221+Z221+W221)</f>
        <v/>
      </c>
      <c r="AE221" s="7">
        <f>IF($AH221="","",AF221-AD221)</f>
        <v/>
      </c>
      <c r="AF221" s="7">
        <f>IF($AH221="","",Y221+AB221+V221)</f>
        <v/>
      </c>
      <c r="AG221" s="7">
        <f>IF($AH221="","",AF221-AD221-N221)</f>
        <v/>
      </c>
      <c r="AH221" s="13">
        <f>IF(ROWS($AH$2:$AH221)&lt;=MAX('Per Line'!$AL$2:$AL$1601),MATCH(ROWS($AH$2:$AH221),'Per Line'!$AL$2:$AL$1601,0),"")</f>
        <v/>
      </c>
    </row>
    <row r="222">
      <c r="A222" s="12" t="n"/>
      <c r="B222">
        <f>IF($AH222="","",INDEX('Per Line'!$D$2:$D$1601,$AH222)&amp;"")</f>
        <v/>
      </c>
      <c r="C222">
        <f>IF($AH222="","",INDEX('Per Line'!$A$2:$A$1601,$AH222)&amp;"")</f>
        <v/>
      </c>
      <c r="D222">
        <f>IF($AH222="","",INDEX('Per Line'!$B$2:$B$1601,$AH222))</f>
        <v/>
      </c>
      <c r="E222">
        <f>IF($AH222="","",INDEX('Per Line'!$C$2:$C$1601,$AH222)&amp;"")</f>
        <v/>
      </c>
      <c r="F222">
        <f>IF($AH222="","",INDEX('Per Line'!$E$2:$E$1601,$AH222)&amp;"")</f>
        <v/>
      </c>
      <c r="G222" s="11">
        <f>IF($AH222="","",INDEX('Per Line'!$F$2:$F$1601,$AH222))</f>
        <v/>
      </c>
      <c r="H222">
        <f>IF($AH222="","",INDEX('Per Line'!$G$2:$G$1601,$AH222)&amp;"")</f>
        <v/>
      </c>
      <c r="I222">
        <f>IF($AH222="","",INDEX('Per Line'!$I$2:$I$1601,$AH222)&amp;"")</f>
        <v/>
      </c>
      <c r="J222">
        <f>IF($AH222="","",INDEX('Per Line'!$J$2:$J$1601,$AH222)&amp;"")</f>
        <v/>
      </c>
      <c r="K222">
        <f>IF($AH222="","",INDEX('Per Line'!$K$2:$K$1601,$AH222)&amp;"")</f>
        <v/>
      </c>
      <c r="L222">
        <f>IF($AH222="","",INDEX('Per Line'!$L$2:$L$1601,$AH222)&amp;"")</f>
        <v/>
      </c>
      <c r="M222">
        <f>IF($AH222="","",INDEX('Per Line'!$M$2:$M$1601,$AH222))</f>
        <v/>
      </c>
      <c r="N222" s="7">
        <f>IF($AH222="","",M222*AE222/100)</f>
        <v/>
      </c>
      <c r="O222">
        <f>IF($AH222="","",INDEX('Per Line'!$Z$2:$Z$1601,$AH222)&amp;"")</f>
        <v/>
      </c>
      <c r="P222">
        <f>IF($AH222="","",INDEX('Per Line'!$AC$2:$AC$1601,$AH222)&amp;"")</f>
        <v/>
      </c>
      <c r="Q222">
        <f>IF($AH222="","",INDEX('Per Line'!$AD$2:$AD$1601,$AH222))</f>
        <v/>
      </c>
      <c r="R222">
        <f>IF($AH222="","",IF(AND(ISNUMBER(Q222),Q222&gt;0),AF222&gt;Q222,FALSE))</f>
        <v/>
      </c>
      <c r="S222">
        <f>IF($AH222="","",INDEX('Per Line'!$AH$2:$AH$1601,$AH222)&amp;"")</f>
        <v/>
      </c>
      <c r="T222" s="11">
        <f>IF($AH222="","",INDEX('Per Line'!$AI$2:$AI$1601,$AH222))</f>
        <v/>
      </c>
      <c r="U222">
        <f>IF($AH222="","",Settings!$C$8)</f>
        <v/>
      </c>
      <c r="V222" s="7">
        <f>IF($AH222="","",SUMIFS('Per Line'!$V$2:$V$1601,'Per Line'!$D$2:$D$1601,$B222,'Per Line'!$AN$2:$AN$1601,1))</f>
        <v/>
      </c>
      <c r="W222" s="7">
        <f>IF($AH222="","",V222*U222)</f>
        <v/>
      </c>
      <c r="X222">
        <f>IF($AH222="","",Settings!$C$7)</f>
        <v/>
      </c>
      <c r="Y222" s="7">
        <f>IF($AH222="","",SUMIFS('Per Line'!$V$2:$V$1601,'Per Line'!$D$2:$D$1601,$B222,'Per Line'!$AM$2:$AM$1601,0,'Per Line'!$AN$2:$AN$1601,0))</f>
        <v/>
      </c>
      <c r="Z222" s="7">
        <f>IF($AH222="","",Y222*X222)</f>
        <v/>
      </c>
      <c r="AA222">
        <f>IF($AH222="","",Settings!$C$6)</f>
        <v/>
      </c>
      <c r="AB222" s="7">
        <f>IF($AH222="","",SUMIFS('Per Line'!$V$2:$V$1601,'Per Line'!$D$2:$D$1601,$B222,'Per Line'!$AM$2:$AM$1601,1,'Per Line'!$AN$2:$AN$1601,0))</f>
        <v/>
      </c>
      <c r="AC222" s="7">
        <f>IF($AH222="","",AB222*AA222)</f>
        <v/>
      </c>
      <c r="AD222" s="7">
        <f>IF($AH222="","",AC222+Z222+W222)</f>
        <v/>
      </c>
      <c r="AE222" s="7">
        <f>IF($AH222="","",AF222-AD222)</f>
        <v/>
      </c>
      <c r="AF222" s="7">
        <f>IF($AH222="","",Y222+AB222+V222)</f>
        <v/>
      </c>
      <c r="AG222" s="7">
        <f>IF($AH222="","",AF222-AD222-N222)</f>
        <v/>
      </c>
      <c r="AH222" s="13">
        <f>IF(ROWS($AH$2:$AH222)&lt;=MAX('Per Line'!$AL$2:$AL$1601),MATCH(ROWS($AH$2:$AH222),'Per Line'!$AL$2:$AL$1601,0),"")</f>
        <v/>
      </c>
    </row>
    <row r="223">
      <c r="A223" s="12" t="n"/>
      <c r="B223">
        <f>IF($AH223="","",INDEX('Per Line'!$D$2:$D$1601,$AH223)&amp;"")</f>
        <v/>
      </c>
      <c r="C223">
        <f>IF($AH223="","",INDEX('Per Line'!$A$2:$A$1601,$AH223)&amp;"")</f>
        <v/>
      </c>
      <c r="D223">
        <f>IF($AH223="","",INDEX('Per Line'!$B$2:$B$1601,$AH223))</f>
        <v/>
      </c>
      <c r="E223">
        <f>IF($AH223="","",INDEX('Per Line'!$C$2:$C$1601,$AH223)&amp;"")</f>
        <v/>
      </c>
      <c r="F223">
        <f>IF($AH223="","",INDEX('Per Line'!$E$2:$E$1601,$AH223)&amp;"")</f>
        <v/>
      </c>
      <c r="G223" s="11">
        <f>IF($AH223="","",INDEX('Per Line'!$F$2:$F$1601,$AH223))</f>
        <v/>
      </c>
      <c r="H223">
        <f>IF($AH223="","",INDEX('Per Line'!$G$2:$G$1601,$AH223)&amp;"")</f>
        <v/>
      </c>
      <c r="I223">
        <f>IF($AH223="","",INDEX('Per Line'!$I$2:$I$1601,$AH223)&amp;"")</f>
        <v/>
      </c>
      <c r="J223">
        <f>IF($AH223="","",INDEX('Per Line'!$J$2:$J$1601,$AH223)&amp;"")</f>
        <v/>
      </c>
      <c r="K223">
        <f>IF($AH223="","",INDEX('Per Line'!$K$2:$K$1601,$AH223)&amp;"")</f>
        <v/>
      </c>
      <c r="L223">
        <f>IF($AH223="","",INDEX('Per Line'!$L$2:$L$1601,$AH223)&amp;"")</f>
        <v/>
      </c>
      <c r="M223">
        <f>IF($AH223="","",INDEX('Per Line'!$M$2:$M$1601,$AH223))</f>
        <v/>
      </c>
      <c r="N223" s="7">
        <f>IF($AH223="","",M223*AE223/100)</f>
        <v/>
      </c>
      <c r="O223">
        <f>IF($AH223="","",INDEX('Per Line'!$Z$2:$Z$1601,$AH223)&amp;"")</f>
        <v/>
      </c>
      <c r="P223">
        <f>IF($AH223="","",INDEX('Per Line'!$AC$2:$AC$1601,$AH223)&amp;"")</f>
        <v/>
      </c>
      <c r="Q223">
        <f>IF($AH223="","",INDEX('Per Line'!$AD$2:$AD$1601,$AH223))</f>
        <v/>
      </c>
      <c r="R223">
        <f>IF($AH223="","",IF(AND(ISNUMBER(Q223),Q223&gt;0),AF223&gt;Q223,FALSE))</f>
        <v/>
      </c>
      <c r="S223">
        <f>IF($AH223="","",INDEX('Per Line'!$AH$2:$AH$1601,$AH223)&amp;"")</f>
        <v/>
      </c>
      <c r="T223" s="11">
        <f>IF($AH223="","",INDEX('Per Line'!$AI$2:$AI$1601,$AH223))</f>
        <v/>
      </c>
      <c r="U223">
        <f>IF($AH223="","",Settings!$C$8)</f>
        <v/>
      </c>
      <c r="V223" s="7">
        <f>IF($AH223="","",SUMIFS('Per Line'!$V$2:$V$1601,'Per Line'!$D$2:$D$1601,$B223,'Per Line'!$AN$2:$AN$1601,1))</f>
        <v/>
      </c>
      <c r="W223" s="7">
        <f>IF($AH223="","",V223*U223)</f>
        <v/>
      </c>
      <c r="X223">
        <f>IF($AH223="","",Settings!$C$7)</f>
        <v/>
      </c>
      <c r="Y223" s="7">
        <f>IF($AH223="","",SUMIFS('Per Line'!$V$2:$V$1601,'Per Line'!$D$2:$D$1601,$B223,'Per Line'!$AM$2:$AM$1601,0,'Per Line'!$AN$2:$AN$1601,0))</f>
        <v/>
      </c>
      <c r="Z223" s="7">
        <f>IF($AH223="","",Y223*X223)</f>
        <v/>
      </c>
      <c r="AA223">
        <f>IF($AH223="","",Settings!$C$6)</f>
        <v/>
      </c>
      <c r="AB223" s="7">
        <f>IF($AH223="","",SUMIFS('Per Line'!$V$2:$V$1601,'Per Line'!$D$2:$D$1601,$B223,'Per Line'!$AM$2:$AM$1601,1,'Per Line'!$AN$2:$AN$1601,0))</f>
        <v/>
      </c>
      <c r="AC223" s="7">
        <f>IF($AH223="","",AB223*AA223)</f>
        <v/>
      </c>
      <c r="AD223" s="7">
        <f>IF($AH223="","",AC223+Z223+W223)</f>
        <v/>
      </c>
      <c r="AE223" s="7">
        <f>IF($AH223="","",AF223-AD223)</f>
        <v/>
      </c>
      <c r="AF223" s="7">
        <f>IF($AH223="","",Y223+AB223+V223)</f>
        <v/>
      </c>
      <c r="AG223" s="7">
        <f>IF($AH223="","",AF223-AD223-N223)</f>
        <v/>
      </c>
      <c r="AH223" s="13">
        <f>IF(ROWS($AH$2:$AH223)&lt;=MAX('Per Line'!$AL$2:$AL$1601),MATCH(ROWS($AH$2:$AH223),'Per Line'!$AL$2:$AL$1601,0),"")</f>
        <v/>
      </c>
    </row>
    <row r="224">
      <c r="A224" s="12" t="n"/>
      <c r="B224">
        <f>IF($AH224="","",INDEX('Per Line'!$D$2:$D$1601,$AH224)&amp;"")</f>
        <v/>
      </c>
      <c r="C224">
        <f>IF($AH224="","",INDEX('Per Line'!$A$2:$A$1601,$AH224)&amp;"")</f>
        <v/>
      </c>
      <c r="D224">
        <f>IF($AH224="","",INDEX('Per Line'!$B$2:$B$1601,$AH224))</f>
        <v/>
      </c>
      <c r="E224">
        <f>IF($AH224="","",INDEX('Per Line'!$C$2:$C$1601,$AH224)&amp;"")</f>
        <v/>
      </c>
      <c r="F224">
        <f>IF($AH224="","",INDEX('Per Line'!$E$2:$E$1601,$AH224)&amp;"")</f>
        <v/>
      </c>
      <c r="G224" s="11">
        <f>IF($AH224="","",INDEX('Per Line'!$F$2:$F$1601,$AH224))</f>
        <v/>
      </c>
      <c r="H224">
        <f>IF($AH224="","",INDEX('Per Line'!$G$2:$G$1601,$AH224)&amp;"")</f>
        <v/>
      </c>
      <c r="I224">
        <f>IF($AH224="","",INDEX('Per Line'!$I$2:$I$1601,$AH224)&amp;"")</f>
        <v/>
      </c>
      <c r="J224">
        <f>IF($AH224="","",INDEX('Per Line'!$J$2:$J$1601,$AH224)&amp;"")</f>
        <v/>
      </c>
      <c r="K224">
        <f>IF($AH224="","",INDEX('Per Line'!$K$2:$K$1601,$AH224)&amp;"")</f>
        <v/>
      </c>
      <c r="L224">
        <f>IF($AH224="","",INDEX('Per Line'!$L$2:$L$1601,$AH224)&amp;"")</f>
        <v/>
      </c>
      <c r="M224">
        <f>IF($AH224="","",INDEX('Per Line'!$M$2:$M$1601,$AH224))</f>
        <v/>
      </c>
      <c r="N224" s="7">
        <f>IF($AH224="","",M224*AE224/100)</f>
        <v/>
      </c>
      <c r="O224">
        <f>IF($AH224="","",INDEX('Per Line'!$Z$2:$Z$1601,$AH224)&amp;"")</f>
        <v/>
      </c>
      <c r="P224">
        <f>IF($AH224="","",INDEX('Per Line'!$AC$2:$AC$1601,$AH224)&amp;"")</f>
        <v/>
      </c>
      <c r="Q224">
        <f>IF($AH224="","",INDEX('Per Line'!$AD$2:$AD$1601,$AH224))</f>
        <v/>
      </c>
      <c r="R224">
        <f>IF($AH224="","",IF(AND(ISNUMBER(Q224),Q224&gt;0),AF224&gt;Q224,FALSE))</f>
        <v/>
      </c>
      <c r="S224">
        <f>IF($AH224="","",INDEX('Per Line'!$AH$2:$AH$1601,$AH224)&amp;"")</f>
        <v/>
      </c>
      <c r="T224" s="11">
        <f>IF($AH224="","",INDEX('Per Line'!$AI$2:$AI$1601,$AH224))</f>
        <v/>
      </c>
      <c r="U224">
        <f>IF($AH224="","",Settings!$C$8)</f>
        <v/>
      </c>
      <c r="V224" s="7">
        <f>IF($AH224="","",SUMIFS('Per Line'!$V$2:$V$1601,'Per Line'!$D$2:$D$1601,$B224,'Per Line'!$AN$2:$AN$1601,1))</f>
        <v/>
      </c>
      <c r="W224" s="7">
        <f>IF($AH224="","",V224*U224)</f>
        <v/>
      </c>
      <c r="X224">
        <f>IF($AH224="","",Settings!$C$7)</f>
        <v/>
      </c>
      <c r="Y224" s="7">
        <f>IF($AH224="","",SUMIFS('Per Line'!$V$2:$V$1601,'Per Line'!$D$2:$D$1601,$B224,'Per Line'!$AM$2:$AM$1601,0,'Per Line'!$AN$2:$AN$1601,0))</f>
        <v/>
      </c>
      <c r="Z224" s="7">
        <f>IF($AH224="","",Y224*X224)</f>
        <v/>
      </c>
      <c r="AA224">
        <f>IF($AH224="","",Settings!$C$6)</f>
        <v/>
      </c>
      <c r="AB224" s="7">
        <f>IF($AH224="","",SUMIFS('Per Line'!$V$2:$V$1601,'Per Line'!$D$2:$D$1601,$B224,'Per Line'!$AM$2:$AM$1601,1,'Per Line'!$AN$2:$AN$1601,0))</f>
        <v/>
      </c>
      <c r="AC224" s="7">
        <f>IF($AH224="","",AB224*AA224)</f>
        <v/>
      </c>
      <c r="AD224" s="7">
        <f>IF($AH224="","",AC224+Z224+W224)</f>
        <v/>
      </c>
      <c r="AE224" s="7">
        <f>IF($AH224="","",AF224-AD224)</f>
        <v/>
      </c>
      <c r="AF224" s="7">
        <f>IF($AH224="","",Y224+AB224+V224)</f>
        <v/>
      </c>
      <c r="AG224" s="7">
        <f>IF($AH224="","",AF224-AD224-N224)</f>
        <v/>
      </c>
      <c r="AH224" s="13">
        <f>IF(ROWS($AH$2:$AH224)&lt;=MAX('Per Line'!$AL$2:$AL$1601),MATCH(ROWS($AH$2:$AH224),'Per Line'!$AL$2:$AL$1601,0),"")</f>
        <v/>
      </c>
    </row>
    <row r="225">
      <c r="A225" s="12" t="n"/>
      <c r="B225">
        <f>IF($AH225="","",INDEX('Per Line'!$D$2:$D$1601,$AH225)&amp;"")</f>
        <v/>
      </c>
      <c r="C225">
        <f>IF($AH225="","",INDEX('Per Line'!$A$2:$A$1601,$AH225)&amp;"")</f>
        <v/>
      </c>
      <c r="D225">
        <f>IF($AH225="","",INDEX('Per Line'!$B$2:$B$1601,$AH225))</f>
        <v/>
      </c>
      <c r="E225">
        <f>IF($AH225="","",INDEX('Per Line'!$C$2:$C$1601,$AH225)&amp;"")</f>
        <v/>
      </c>
      <c r="F225">
        <f>IF($AH225="","",INDEX('Per Line'!$E$2:$E$1601,$AH225)&amp;"")</f>
        <v/>
      </c>
      <c r="G225" s="11">
        <f>IF($AH225="","",INDEX('Per Line'!$F$2:$F$1601,$AH225))</f>
        <v/>
      </c>
      <c r="H225">
        <f>IF($AH225="","",INDEX('Per Line'!$G$2:$G$1601,$AH225)&amp;"")</f>
        <v/>
      </c>
      <c r="I225">
        <f>IF($AH225="","",INDEX('Per Line'!$I$2:$I$1601,$AH225)&amp;"")</f>
        <v/>
      </c>
      <c r="J225">
        <f>IF($AH225="","",INDEX('Per Line'!$J$2:$J$1601,$AH225)&amp;"")</f>
        <v/>
      </c>
      <c r="K225">
        <f>IF($AH225="","",INDEX('Per Line'!$K$2:$K$1601,$AH225)&amp;"")</f>
        <v/>
      </c>
      <c r="L225">
        <f>IF($AH225="","",INDEX('Per Line'!$L$2:$L$1601,$AH225)&amp;"")</f>
        <v/>
      </c>
      <c r="M225">
        <f>IF($AH225="","",INDEX('Per Line'!$M$2:$M$1601,$AH225))</f>
        <v/>
      </c>
      <c r="N225" s="7">
        <f>IF($AH225="","",M225*AE225/100)</f>
        <v/>
      </c>
      <c r="O225">
        <f>IF($AH225="","",INDEX('Per Line'!$Z$2:$Z$1601,$AH225)&amp;"")</f>
        <v/>
      </c>
      <c r="P225">
        <f>IF($AH225="","",INDEX('Per Line'!$AC$2:$AC$1601,$AH225)&amp;"")</f>
        <v/>
      </c>
      <c r="Q225">
        <f>IF($AH225="","",INDEX('Per Line'!$AD$2:$AD$1601,$AH225))</f>
        <v/>
      </c>
      <c r="R225">
        <f>IF($AH225="","",IF(AND(ISNUMBER(Q225),Q225&gt;0),AF225&gt;Q225,FALSE))</f>
        <v/>
      </c>
      <c r="S225">
        <f>IF($AH225="","",INDEX('Per Line'!$AH$2:$AH$1601,$AH225)&amp;"")</f>
        <v/>
      </c>
      <c r="T225" s="11">
        <f>IF($AH225="","",INDEX('Per Line'!$AI$2:$AI$1601,$AH225))</f>
        <v/>
      </c>
      <c r="U225">
        <f>IF($AH225="","",Settings!$C$8)</f>
        <v/>
      </c>
      <c r="V225" s="7">
        <f>IF($AH225="","",SUMIFS('Per Line'!$V$2:$V$1601,'Per Line'!$D$2:$D$1601,$B225,'Per Line'!$AN$2:$AN$1601,1))</f>
        <v/>
      </c>
      <c r="W225" s="7">
        <f>IF($AH225="","",V225*U225)</f>
        <v/>
      </c>
      <c r="X225">
        <f>IF($AH225="","",Settings!$C$7)</f>
        <v/>
      </c>
      <c r="Y225" s="7">
        <f>IF($AH225="","",SUMIFS('Per Line'!$V$2:$V$1601,'Per Line'!$D$2:$D$1601,$B225,'Per Line'!$AM$2:$AM$1601,0,'Per Line'!$AN$2:$AN$1601,0))</f>
        <v/>
      </c>
      <c r="Z225" s="7">
        <f>IF($AH225="","",Y225*X225)</f>
        <v/>
      </c>
      <c r="AA225">
        <f>IF($AH225="","",Settings!$C$6)</f>
        <v/>
      </c>
      <c r="AB225" s="7">
        <f>IF($AH225="","",SUMIFS('Per Line'!$V$2:$V$1601,'Per Line'!$D$2:$D$1601,$B225,'Per Line'!$AM$2:$AM$1601,1,'Per Line'!$AN$2:$AN$1601,0))</f>
        <v/>
      </c>
      <c r="AC225" s="7">
        <f>IF($AH225="","",AB225*AA225)</f>
        <v/>
      </c>
      <c r="AD225" s="7">
        <f>IF($AH225="","",AC225+Z225+W225)</f>
        <v/>
      </c>
      <c r="AE225" s="7">
        <f>IF($AH225="","",AF225-AD225)</f>
        <v/>
      </c>
      <c r="AF225" s="7">
        <f>IF($AH225="","",Y225+AB225+V225)</f>
        <v/>
      </c>
      <c r="AG225" s="7">
        <f>IF($AH225="","",AF225-AD225-N225)</f>
        <v/>
      </c>
      <c r="AH225" s="13">
        <f>IF(ROWS($AH$2:$AH225)&lt;=MAX('Per Line'!$AL$2:$AL$1601),MATCH(ROWS($AH$2:$AH225),'Per Line'!$AL$2:$AL$1601,0),"")</f>
        <v/>
      </c>
    </row>
    <row r="226">
      <c r="A226" s="12" t="n"/>
      <c r="B226">
        <f>IF($AH226="","",INDEX('Per Line'!$D$2:$D$1601,$AH226)&amp;"")</f>
        <v/>
      </c>
      <c r="C226">
        <f>IF($AH226="","",INDEX('Per Line'!$A$2:$A$1601,$AH226)&amp;"")</f>
        <v/>
      </c>
      <c r="D226">
        <f>IF($AH226="","",INDEX('Per Line'!$B$2:$B$1601,$AH226))</f>
        <v/>
      </c>
      <c r="E226">
        <f>IF($AH226="","",INDEX('Per Line'!$C$2:$C$1601,$AH226)&amp;"")</f>
        <v/>
      </c>
      <c r="F226">
        <f>IF($AH226="","",INDEX('Per Line'!$E$2:$E$1601,$AH226)&amp;"")</f>
        <v/>
      </c>
      <c r="G226" s="11">
        <f>IF($AH226="","",INDEX('Per Line'!$F$2:$F$1601,$AH226))</f>
        <v/>
      </c>
      <c r="H226">
        <f>IF($AH226="","",INDEX('Per Line'!$G$2:$G$1601,$AH226)&amp;"")</f>
        <v/>
      </c>
      <c r="I226">
        <f>IF($AH226="","",INDEX('Per Line'!$I$2:$I$1601,$AH226)&amp;"")</f>
        <v/>
      </c>
      <c r="J226">
        <f>IF($AH226="","",INDEX('Per Line'!$J$2:$J$1601,$AH226)&amp;"")</f>
        <v/>
      </c>
      <c r="K226">
        <f>IF($AH226="","",INDEX('Per Line'!$K$2:$K$1601,$AH226)&amp;"")</f>
        <v/>
      </c>
      <c r="L226">
        <f>IF($AH226="","",INDEX('Per Line'!$L$2:$L$1601,$AH226)&amp;"")</f>
        <v/>
      </c>
      <c r="M226">
        <f>IF($AH226="","",INDEX('Per Line'!$M$2:$M$1601,$AH226))</f>
        <v/>
      </c>
      <c r="N226" s="7">
        <f>IF($AH226="","",M226*AE226/100)</f>
        <v/>
      </c>
      <c r="O226">
        <f>IF($AH226="","",INDEX('Per Line'!$Z$2:$Z$1601,$AH226)&amp;"")</f>
        <v/>
      </c>
      <c r="P226">
        <f>IF($AH226="","",INDEX('Per Line'!$AC$2:$AC$1601,$AH226)&amp;"")</f>
        <v/>
      </c>
      <c r="Q226">
        <f>IF($AH226="","",INDEX('Per Line'!$AD$2:$AD$1601,$AH226))</f>
        <v/>
      </c>
      <c r="R226">
        <f>IF($AH226="","",IF(AND(ISNUMBER(Q226),Q226&gt;0),AF226&gt;Q226,FALSE))</f>
        <v/>
      </c>
      <c r="S226">
        <f>IF($AH226="","",INDEX('Per Line'!$AH$2:$AH$1601,$AH226)&amp;"")</f>
        <v/>
      </c>
      <c r="T226" s="11">
        <f>IF($AH226="","",INDEX('Per Line'!$AI$2:$AI$1601,$AH226))</f>
        <v/>
      </c>
      <c r="U226">
        <f>IF($AH226="","",Settings!$C$8)</f>
        <v/>
      </c>
      <c r="V226" s="7">
        <f>IF($AH226="","",SUMIFS('Per Line'!$V$2:$V$1601,'Per Line'!$D$2:$D$1601,$B226,'Per Line'!$AN$2:$AN$1601,1))</f>
        <v/>
      </c>
      <c r="W226" s="7">
        <f>IF($AH226="","",V226*U226)</f>
        <v/>
      </c>
      <c r="X226">
        <f>IF($AH226="","",Settings!$C$7)</f>
        <v/>
      </c>
      <c r="Y226" s="7">
        <f>IF($AH226="","",SUMIFS('Per Line'!$V$2:$V$1601,'Per Line'!$D$2:$D$1601,$B226,'Per Line'!$AM$2:$AM$1601,0,'Per Line'!$AN$2:$AN$1601,0))</f>
        <v/>
      </c>
      <c r="Z226" s="7">
        <f>IF($AH226="","",Y226*X226)</f>
        <v/>
      </c>
      <c r="AA226">
        <f>IF($AH226="","",Settings!$C$6)</f>
        <v/>
      </c>
      <c r="AB226" s="7">
        <f>IF($AH226="","",SUMIFS('Per Line'!$V$2:$V$1601,'Per Line'!$D$2:$D$1601,$B226,'Per Line'!$AM$2:$AM$1601,1,'Per Line'!$AN$2:$AN$1601,0))</f>
        <v/>
      </c>
      <c r="AC226" s="7">
        <f>IF($AH226="","",AB226*AA226)</f>
        <v/>
      </c>
      <c r="AD226" s="7">
        <f>IF($AH226="","",AC226+Z226+W226)</f>
        <v/>
      </c>
      <c r="AE226" s="7">
        <f>IF($AH226="","",AF226-AD226)</f>
        <v/>
      </c>
      <c r="AF226" s="7">
        <f>IF($AH226="","",Y226+AB226+V226)</f>
        <v/>
      </c>
      <c r="AG226" s="7">
        <f>IF($AH226="","",AF226-AD226-N226)</f>
        <v/>
      </c>
      <c r="AH226" s="13">
        <f>IF(ROWS($AH$2:$AH226)&lt;=MAX('Per Line'!$AL$2:$AL$1601),MATCH(ROWS($AH$2:$AH226),'Per Line'!$AL$2:$AL$1601,0),"")</f>
        <v/>
      </c>
    </row>
    <row r="227">
      <c r="A227" s="12" t="n"/>
      <c r="B227">
        <f>IF($AH227="","",INDEX('Per Line'!$D$2:$D$1601,$AH227)&amp;"")</f>
        <v/>
      </c>
      <c r="C227">
        <f>IF($AH227="","",INDEX('Per Line'!$A$2:$A$1601,$AH227)&amp;"")</f>
        <v/>
      </c>
      <c r="D227">
        <f>IF($AH227="","",INDEX('Per Line'!$B$2:$B$1601,$AH227))</f>
        <v/>
      </c>
      <c r="E227">
        <f>IF($AH227="","",INDEX('Per Line'!$C$2:$C$1601,$AH227)&amp;"")</f>
        <v/>
      </c>
      <c r="F227">
        <f>IF($AH227="","",INDEX('Per Line'!$E$2:$E$1601,$AH227)&amp;"")</f>
        <v/>
      </c>
      <c r="G227" s="11">
        <f>IF($AH227="","",INDEX('Per Line'!$F$2:$F$1601,$AH227))</f>
        <v/>
      </c>
      <c r="H227">
        <f>IF($AH227="","",INDEX('Per Line'!$G$2:$G$1601,$AH227)&amp;"")</f>
        <v/>
      </c>
      <c r="I227">
        <f>IF($AH227="","",INDEX('Per Line'!$I$2:$I$1601,$AH227)&amp;"")</f>
        <v/>
      </c>
      <c r="J227">
        <f>IF($AH227="","",INDEX('Per Line'!$J$2:$J$1601,$AH227)&amp;"")</f>
        <v/>
      </c>
      <c r="K227">
        <f>IF($AH227="","",INDEX('Per Line'!$K$2:$K$1601,$AH227)&amp;"")</f>
        <v/>
      </c>
      <c r="L227">
        <f>IF($AH227="","",INDEX('Per Line'!$L$2:$L$1601,$AH227)&amp;"")</f>
        <v/>
      </c>
      <c r="M227">
        <f>IF($AH227="","",INDEX('Per Line'!$M$2:$M$1601,$AH227))</f>
        <v/>
      </c>
      <c r="N227" s="7">
        <f>IF($AH227="","",M227*AE227/100)</f>
        <v/>
      </c>
      <c r="O227">
        <f>IF($AH227="","",INDEX('Per Line'!$Z$2:$Z$1601,$AH227)&amp;"")</f>
        <v/>
      </c>
      <c r="P227">
        <f>IF($AH227="","",INDEX('Per Line'!$AC$2:$AC$1601,$AH227)&amp;"")</f>
        <v/>
      </c>
      <c r="Q227">
        <f>IF($AH227="","",INDEX('Per Line'!$AD$2:$AD$1601,$AH227))</f>
        <v/>
      </c>
      <c r="R227">
        <f>IF($AH227="","",IF(AND(ISNUMBER(Q227),Q227&gt;0),AF227&gt;Q227,FALSE))</f>
        <v/>
      </c>
      <c r="S227">
        <f>IF($AH227="","",INDEX('Per Line'!$AH$2:$AH$1601,$AH227)&amp;"")</f>
        <v/>
      </c>
      <c r="T227" s="11">
        <f>IF($AH227="","",INDEX('Per Line'!$AI$2:$AI$1601,$AH227))</f>
        <v/>
      </c>
      <c r="U227">
        <f>IF($AH227="","",Settings!$C$8)</f>
        <v/>
      </c>
      <c r="V227" s="7">
        <f>IF($AH227="","",SUMIFS('Per Line'!$V$2:$V$1601,'Per Line'!$D$2:$D$1601,$B227,'Per Line'!$AN$2:$AN$1601,1))</f>
        <v/>
      </c>
      <c r="W227" s="7">
        <f>IF($AH227="","",V227*U227)</f>
        <v/>
      </c>
      <c r="X227">
        <f>IF($AH227="","",Settings!$C$7)</f>
        <v/>
      </c>
      <c r="Y227" s="7">
        <f>IF($AH227="","",SUMIFS('Per Line'!$V$2:$V$1601,'Per Line'!$D$2:$D$1601,$B227,'Per Line'!$AM$2:$AM$1601,0,'Per Line'!$AN$2:$AN$1601,0))</f>
        <v/>
      </c>
      <c r="Z227" s="7">
        <f>IF($AH227="","",Y227*X227)</f>
        <v/>
      </c>
      <c r="AA227">
        <f>IF($AH227="","",Settings!$C$6)</f>
        <v/>
      </c>
      <c r="AB227" s="7">
        <f>IF($AH227="","",SUMIFS('Per Line'!$V$2:$V$1601,'Per Line'!$D$2:$D$1601,$B227,'Per Line'!$AM$2:$AM$1601,1,'Per Line'!$AN$2:$AN$1601,0))</f>
        <v/>
      </c>
      <c r="AC227" s="7">
        <f>IF($AH227="","",AB227*AA227)</f>
        <v/>
      </c>
      <c r="AD227" s="7">
        <f>IF($AH227="","",AC227+Z227+W227)</f>
        <v/>
      </c>
      <c r="AE227" s="7">
        <f>IF($AH227="","",AF227-AD227)</f>
        <v/>
      </c>
      <c r="AF227" s="7">
        <f>IF($AH227="","",Y227+AB227+V227)</f>
        <v/>
      </c>
      <c r="AG227" s="7">
        <f>IF($AH227="","",AF227-AD227-N227)</f>
        <v/>
      </c>
      <c r="AH227" s="13">
        <f>IF(ROWS($AH$2:$AH227)&lt;=MAX('Per Line'!$AL$2:$AL$1601),MATCH(ROWS($AH$2:$AH227),'Per Line'!$AL$2:$AL$1601,0),"")</f>
        <v/>
      </c>
    </row>
    <row r="228">
      <c r="A228" s="12" t="n"/>
      <c r="B228">
        <f>IF($AH228="","",INDEX('Per Line'!$D$2:$D$1601,$AH228)&amp;"")</f>
        <v/>
      </c>
      <c r="C228">
        <f>IF($AH228="","",INDEX('Per Line'!$A$2:$A$1601,$AH228)&amp;"")</f>
        <v/>
      </c>
      <c r="D228">
        <f>IF($AH228="","",INDEX('Per Line'!$B$2:$B$1601,$AH228))</f>
        <v/>
      </c>
      <c r="E228">
        <f>IF($AH228="","",INDEX('Per Line'!$C$2:$C$1601,$AH228)&amp;"")</f>
        <v/>
      </c>
      <c r="F228">
        <f>IF($AH228="","",INDEX('Per Line'!$E$2:$E$1601,$AH228)&amp;"")</f>
        <v/>
      </c>
      <c r="G228" s="11">
        <f>IF($AH228="","",INDEX('Per Line'!$F$2:$F$1601,$AH228))</f>
        <v/>
      </c>
      <c r="H228">
        <f>IF($AH228="","",INDEX('Per Line'!$G$2:$G$1601,$AH228)&amp;"")</f>
        <v/>
      </c>
      <c r="I228">
        <f>IF($AH228="","",INDEX('Per Line'!$I$2:$I$1601,$AH228)&amp;"")</f>
        <v/>
      </c>
      <c r="J228">
        <f>IF($AH228="","",INDEX('Per Line'!$J$2:$J$1601,$AH228)&amp;"")</f>
        <v/>
      </c>
      <c r="K228">
        <f>IF($AH228="","",INDEX('Per Line'!$K$2:$K$1601,$AH228)&amp;"")</f>
        <v/>
      </c>
      <c r="L228">
        <f>IF($AH228="","",INDEX('Per Line'!$L$2:$L$1601,$AH228)&amp;"")</f>
        <v/>
      </c>
      <c r="M228">
        <f>IF($AH228="","",INDEX('Per Line'!$M$2:$M$1601,$AH228))</f>
        <v/>
      </c>
      <c r="N228" s="7">
        <f>IF($AH228="","",M228*AE228/100)</f>
        <v/>
      </c>
      <c r="O228">
        <f>IF($AH228="","",INDEX('Per Line'!$Z$2:$Z$1601,$AH228)&amp;"")</f>
        <v/>
      </c>
      <c r="P228">
        <f>IF($AH228="","",INDEX('Per Line'!$AC$2:$AC$1601,$AH228)&amp;"")</f>
        <v/>
      </c>
      <c r="Q228">
        <f>IF($AH228="","",INDEX('Per Line'!$AD$2:$AD$1601,$AH228))</f>
        <v/>
      </c>
      <c r="R228">
        <f>IF($AH228="","",IF(AND(ISNUMBER(Q228),Q228&gt;0),AF228&gt;Q228,FALSE))</f>
        <v/>
      </c>
      <c r="S228">
        <f>IF($AH228="","",INDEX('Per Line'!$AH$2:$AH$1601,$AH228)&amp;"")</f>
        <v/>
      </c>
      <c r="T228" s="11">
        <f>IF($AH228="","",INDEX('Per Line'!$AI$2:$AI$1601,$AH228))</f>
        <v/>
      </c>
      <c r="U228">
        <f>IF($AH228="","",Settings!$C$8)</f>
        <v/>
      </c>
      <c r="V228" s="7">
        <f>IF($AH228="","",SUMIFS('Per Line'!$V$2:$V$1601,'Per Line'!$D$2:$D$1601,$B228,'Per Line'!$AN$2:$AN$1601,1))</f>
        <v/>
      </c>
      <c r="W228" s="7">
        <f>IF($AH228="","",V228*U228)</f>
        <v/>
      </c>
      <c r="X228">
        <f>IF($AH228="","",Settings!$C$7)</f>
        <v/>
      </c>
      <c r="Y228" s="7">
        <f>IF($AH228="","",SUMIFS('Per Line'!$V$2:$V$1601,'Per Line'!$D$2:$D$1601,$B228,'Per Line'!$AM$2:$AM$1601,0,'Per Line'!$AN$2:$AN$1601,0))</f>
        <v/>
      </c>
      <c r="Z228" s="7">
        <f>IF($AH228="","",Y228*X228)</f>
        <v/>
      </c>
      <c r="AA228">
        <f>IF($AH228="","",Settings!$C$6)</f>
        <v/>
      </c>
      <c r="AB228" s="7">
        <f>IF($AH228="","",SUMIFS('Per Line'!$V$2:$V$1601,'Per Line'!$D$2:$D$1601,$B228,'Per Line'!$AM$2:$AM$1601,1,'Per Line'!$AN$2:$AN$1601,0))</f>
        <v/>
      </c>
      <c r="AC228" s="7">
        <f>IF($AH228="","",AB228*AA228)</f>
        <v/>
      </c>
      <c r="AD228" s="7">
        <f>IF($AH228="","",AC228+Z228+W228)</f>
        <v/>
      </c>
      <c r="AE228" s="7">
        <f>IF($AH228="","",AF228-AD228)</f>
        <v/>
      </c>
      <c r="AF228" s="7">
        <f>IF($AH228="","",Y228+AB228+V228)</f>
        <v/>
      </c>
      <c r="AG228" s="7">
        <f>IF($AH228="","",AF228-AD228-N228)</f>
        <v/>
      </c>
      <c r="AH228" s="13">
        <f>IF(ROWS($AH$2:$AH228)&lt;=MAX('Per Line'!$AL$2:$AL$1601),MATCH(ROWS($AH$2:$AH228),'Per Line'!$AL$2:$AL$1601,0),"")</f>
        <v/>
      </c>
    </row>
    <row r="229">
      <c r="A229" s="12" t="n"/>
      <c r="B229">
        <f>IF($AH229="","",INDEX('Per Line'!$D$2:$D$1601,$AH229)&amp;"")</f>
        <v/>
      </c>
      <c r="C229">
        <f>IF($AH229="","",INDEX('Per Line'!$A$2:$A$1601,$AH229)&amp;"")</f>
        <v/>
      </c>
      <c r="D229">
        <f>IF($AH229="","",INDEX('Per Line'!$B$2:$B$1601,$AH229))</f>
        <v/>
      </c>
      <c r="E229">
        <f>IF($AH229="","",INDEX('Per Line'!$C$2:$C$1601,$AH229)&amp;"")</f>
        <v/>
      </c>
      <c r="F229">
        <f>IF($AH229="","",INDEX('Per Line'!$E$2:$E$1601,$AH229)&amp;"")</f>
        <v/>
      </c>
      <c r="G229" s="11">
        <f>IF($AH229="","",INDEX('Per Line'!$F$2:$F$1601,$AH229))</f>
        <v/>
      </c>
      <c r="H229">
        <f>IF($AH229="","",INDEX('Per Line'!$G$2:$G$1601,$AH229)&amp;"")</f>
        <v/>
      </c>
      <c r="I229">
        <f>IF($AH229="","",INDEX('Per Line'!$I$2:$I$1601,$AH229)&amp;"")</f>
        <v/>
      </c>
      <c r="J229">
        <f>IF($AH229="","",INDEX('Per Line'!$J$2:$J$1601,$AH229)&amp;"")</f>
        <v/>
      </c>
      <c r="K229">
        <f>IF($AH229="","",INDEX('Per Line'!$K$2:$K$1601,$AH229)&amp;"")</f>
        <v/>
      </c>
      <c r="L229">
        <f>IF($AH229="","",INDEX('Per Line'!$L$2:$L$1601,$AH229)&amp;"")</f>
        <v/>
      </c>
      <c r="M229">
        <f>IF($AH229="","",INDEX('Per Line'!$M$2:$M$1601,$AH229))</f>
        <v/>
      </c>
      <c r="N229" s="7">
        <f>IF($AH229="","",M229*AE229/100)</f>
        <v/>
      </c>
      <c r="O229">
        <f>IF($AH229="","",INDEX('Per Line'!$Z$2:$Z$1601,$AH229)&amp;"")</f>
        <v/>
      </c>
      <c r="P229">
        <f>IF($AH229="","",INDEX('Per Line'!$AC$2:$AC$1601,$AH229)&amp;"")</f>
        <v/>
      </c>
      <c r="Q229">
        <f>IF($AH229="","",INDEX('Per Line'!$AD$2:$AD$1601,$AH229))</f>
        <v/>
      </c>
      <c r="R229">
        <f>IF($AH229="","",IF(AND(ISNUMBER(Q229),Q229&gt;0),AF229&gt;Q229,FALSE))</f>
        <v/>
      </c>
      <c r="S229">
        <f>IF($AH229="","",INDEX('Per Line'!$AH$2:$AH$1601,$AH229)&amp;"")</f>
        <v/>
      </c>
      <c r="T229" s="11">
        <f>IF($AH229="","",INDEX('Per Line'!$AI$2:$AI$1601,$AH229))</f>
        <v/>
      </c>
      <c r="U229">
        <f>IF($AH229="","",Settings!$C$8)</f>
        <v/>
      </c>
      <c r="V229" s="7">
        <f>IF($AH229="","",SUMIFS('Per Line'!$V$2:$V$1601,'Per Line'!$D$2:$D$1601,$B229,'Per Line'!$AN$2:$AN$1601,1))</f>
        <v/>
      </c>
      <c r="W229" s="7">
        <f>IF($AH229="","",V229*U229)</f>
        <v/>
      </c>
      <c r="X229">
        <f>IF($AH229="","",Settings!$C$7)</f>
        <v/>
      </c>
      <c r="Y229" s="7">
        <f>IF($AH229="","",SUMIFS('Per Line'!$V$2:$V$1601,'Per Line'!$D$2:$D$1601,$B229,'Per Line'!$AM$2:$AM$1601,0,'Per Line'!$AN$2:$AN$1601,0))</f>
        <v/>
      </c>
      <c r="Z229" s="7">
        <f>IF($AH229="","",Y229*X229)</f>
        <v/>
      </c>
      <c r="AA229">
        <f>IF($AH229="","",Settings!$C$6)</f>
        <v/>
      </c>
      <c r="AB229" s="7">
        <f>IF($AH229="","",SUMIFS('Per Line'!$V$2:$V$1601,'Per Line'!$D$2:$D$1601,$B229,'Per Line'!$AM$2:$AM$1601,1,'Per Line'!$AN$2:$AN$1601,0))</f>
        <v/>
      </c>
      <c r="AC229" s="7">
        <f>IF($AH229="","",AB229*AA229)</f>
        <v/>
      </c>
      <c r="AD229" s="7">
        <f>IF($AH229="","",AC229+Z229+W229)</f>
        <v/>
      </c>
      <c r="AE229" s="7">
        <f>IF($AH229="","",AF229-AD229)</f>
        <v/>
      </c>
      <c r="AF229" s="7">
        <f>IF($AH229="","",Y229+AB229+V229)</f>
        <v/>
      </c>
      <c r="AG229" s="7">
        <f>IF($AH229="","",AF229-AD229-N229)</f>
        <v/>
      </c>
      <c r="AH229" s="13">
        <f>IF(ROWS($AH$2:$AH229)&lt;=MAX('Per Line'!$AL$2:$AL$1601),MATCH(ROWS($AH$2:$AH229),'Per Line'!$AL$2:$AL$1601,0),"")</f>
        <v/>
      </c>
    </row>
    <row r="230">
      <c r="A230" s="12" t="n"/>
      <c r="B230">
        <f>IF($AH230="","",INDEX('Per Line'!$D$2:$D$1601,$AH230)&amp;"")</f>
        <v/>
      </c>
      <c r="C230">
        <f>IF($AH230="","",INDEX('Per Line'!$A$2:$A$1601,$AH230)&amp;"")</f>
        <v/>
      </c>
      <c r="D230">
        <f>IF($AH230="","",INDEX('Per Line'!$B$2:$B$1601,$AH230))</f>
        <v/>
      </c>
      <c r="E230">
        <f>IF($AH230="","",INDEX('Per Line'!$C$2:$C$1601,$AH230)&amp;"")</f>
        <v/>
      </c>
      <c r="F230">
        <f>IF($AH230="","",INDEX('Per Line'!$E$2:$E$1601,$AH230)&amp;"")</f>
        <v/>
      </c>
      <c r="G230" s="11">
        <f>IF($AH230="","",INDEX('Per Line'!$F$2:$F$1601,$AH230))</f>
        <v/>
      </c>
      <c r="H230">
        <f>IF($AH230="","",INDEX('Per Line'!$G$2:$G$1601,$AH230)&amp;"")</f>
        <v/>
      </c>
      <c r="I230">
        <f>IF($AH230="","",INDEX('Per Line'!$I$2:$I$1601,$AH230)&amp;"")</f>
        <v/>
      </c>
      <c r="J230">
        <f>IF($AH230="","",INDEX('Per Line'!$J$2:$J$1601,$AH230)&amp;"")</f>
        <v/>
      </c>
      <c r="K230">
        <f>IF($AH230="","",INDEX('Per Line'!$K$2:$K$1601,$AH230)&amp;"")</f>
        <v/>
      </c>
      <c r="L230">
        <f>IF($AH230="","",INDEX('Per Line'!$L$2:$L$1601,$AH230)&amp;"")</f>
        <v/>
      </c>
      <c r="M230">
        <f>IF($AH230="","",INDEX('Per Line'!$M$2:$M$1601,$AH230))</f>
        <v/>
      </c>
      <c r="N230" s="7">
        <f>IF($AH230="","",M230*AE230/100)</f>
        <v/>
      </c>
      <c r="O230">
        <f>IF($AH230="","",INDEX('Per Line'!$Z$2:$Z$1601,$AH230)&amp;"")</f>
        <v/>
      </c>
      <c r="P230">
        <f>IF($AH230="","",INDEX('Per Line'!$AC$2:$AC$1601,$AH230)&amp;"")</f>
        <v/>
      </c>
      <c r="Q230">
        <f>IF($AH230="","",INDEX('Per Line'!$AD$2:$AD$1601,$AH230))</f>
        <v/>
      </c>
      <c r="R230">
        <f>IF($AH230="","",IF(AND(ISNUMBER(Q230),Q230&gt;0),AF230&gt;Q230,FALSE))</f>
        <v/>
      </c>
      <c r="S230">
        <f>IF($AH230="","",INDEX('Per Line'!$AH$2:$AH$1601,$AH230)&amp;"")</f>
        <v/>
      </c>
      <c r="T230" s="11">
        <f>IF($AH230="","",INDEX('Per Line'!$AI$2:$AI$1601,$AH230))</f>
        <v/>
      </c>
      <c r="U230">
        <f>IF($AH230="","",Settings!$C$8)</f>
        <v/>
      </c>
      <c r="V230" s="7">
        <f>IF($AH230="","",SUMIFS('Per Line'!$V$2:$V$1601,'Per Line'!$D$2:$D$1601,$B230,'Per Line'!$AN$2:$AN$1601,1))</f>
        <v/>
      </c>
      <c r="W230" s="7">
        <f>IF($AH230="","",V230*U230)</f>
        <v/>
      </c>
      <c r="X230">
        <f>IF($AH230="","",Settings!$C$7)</f>
        <v/>
      </c>
      <c r="Y230" s="7">
        <f>IF($AH230="","",SUMIFS('Per Line'!$V$2:$V$1601,'Per Line'!$D$2:$D$1601,$B230,'Per Line'!$AM$2:$AM$1601,0,'Per Line'!$AN$2:$AN$1601,0))</f>
        <v/>
      </c>
      <c r="Z230" s="7">
        <f>IF($AH230="","",Y230*X230)</f>
        <v/>
      </c>
      <c r="AA230">
        <f>IF($AH230="","",Settings!$C$6)</f>
        <v/>
      </c>
      <c r="AB230" s="7">
        <f>IF($AH230="","",SUMIFS('Per Line'!$V$2:$V$1601,'Per Line'!$D$2:$D$1601,$B230,'Per Line'!$AM$2:$AM$1601,1,'Per Line'!$AN$2:$AN$1601,0))</f>
        <v/>
      </c>
      <c r="AC230" s="7">
        <f>IF($AH230="","",AB230*AA230)</f>
        <v/>
      </c>
      <c r="AD230" s="7">
        <f>IF($AH230="","",AC230+Z230+W230)</f>
        <v/>
      </c>
      <c r="AE230" s="7">
        <f>IF($AH230="","",AF230-AD230)</f>
        <v/>
      </c>
      <c r="AF230" s="7">
        <f>IF($AH230="","",Y230+AB230+V230)</f>
        <v/>
      </c>
      <c r="AG230" s="7">
        <f>IF($AH230="","",AF230-AD230-N230)</f>
        <v/>
      </c>
      <c r="AH230" s="13">
        <f>IF(ROWS($AH$2:$AH230)&lt;=MAX('Per Line'!$AL$2:$AL$1601),MATCH(ROWS($AH$2:$AH230),'Per Line'!$AL$2:$AL$1601,0),"")</f>
        <v/>
      </c>
    </row>
    <row r="231">
      <c r="A231" s="12" t="n"/>
      <c r="B231">
        <f>IF($AH231="","",INDEX('Per Line'!$D$2:$D$1601,$AH231)&amp;"")</f>
        <v/>
      </c>
      <c r="C231">
        <f>IF($AH231="","",INDEX('Per Line'!$A$2:$A$1601,$AH231)&amp;"")</f>
        <v/>
      </c>
      <c r="D231">
        <f>IF($AH231="","",INDEX('Per Line'!$B$2:$B$1601,$AH231))</f>
        <v/>
      </c>
      <c r="E231">
        <f>IF($AH231="","",INDEX('Per Line'!$C$2:$C$1601,$AH231)&amp;"")</f>
        <v/>
      </c>
      <c r="F231">
        <f>IF($AH231="","",INDEX('Per Line'!$E$2:$E$1601,$AH231)&amp;"")</f>
        <v/>
      </c>
      <c r="G231" s="11">
        <f>IF($AH231="","",INDEX('Per Line'!$F$2:$F$1601,$AH231))</f>
        <v/>
      </c>
      <c r="H231">
        <f>IF($AH231="","",INDEX('Per Line'!$G$2:$G$1601,$AH231)&amp;"")</f>
        <v/>
      </c>
      <c r="I231">
        <f>IF($AH231="","",INDEX('Per Line'!$I$2:$I$1601,$AH231)&amp;"")</f>
        <v/>
      </c>
      <c r="J231">
        <f>IF($AH231="","",INDEX('Per Line'!$J$2:$J$1601,$AH231)&amp;"")</f>
        <v/>
      </c>
      <c r="K231">
        <f>IF($AH231="","",INDEX('Per Line'!$K$2:$K$1601,$AH231)&amp;"")</f>
        <v/>
      </c>
      <c r="L231">
        <f>IF($AH231="","",INDEX('Per Line'!$L$2:$L$1601,$AH231)&amp;"")</f>
        <v/>
      </c>
      <c r="M231">
        <f>IF($AH231="","",INDEX('Per Line'!$M$2:$M$1601,$AH231))</f>
        <v/>
      </c>
      <c r="N231" s="7">
        <f>IF($AH231="","",M231*AE231/100)</f>
        <v/>
      </c>
      <c r="O231">
        <f>IF($AH231="","",INDEX('Per Line'!$Z$2:$Z$1601,$AH231)&amp;"")</f>
        <v/>
      </c>
      <c r="P231">
        <f>IF($AH231="","",INDEX('Per Line'!$AC$2:$AC$1601,$AH231)&amp;"")</f>
        <v/>
      </c>
      <c r="Q231">
        <f>IF($AH231="","",INDEX('Per Line'!$AD$2:$AD$1601,$AH231))</f>
        <v/>
      </c>
      <c r="R231">
        <f>IF($AH231="","",IF(AND(ISNUMBER(Q231),Q231&gt;0),AF231&gt;Q231,FALSE))</f>
        <v/>
      </c>
      <c r="S231">
        <f>IF($AH231="","",INDEX('Per Line'!$AH$2:$AH$1601,$AH231)&amp;"")</f>
        <v/>
      </c>
      <c r="T231" s="11">
        <f>IF($AH231="","",INDEX('Per Line'!$AI$2:$AI$1601,$AH231))</f>
        <v/>
      </c>
      <c r="U231">
        <f>IF($AH231="","",Settings!$C$8)</f>
        <v/>
      </c>
      <c r="V231" s="7">
        <f>IF($AH231="","",SUMIFS('Per Line'!$V$2:$V$1601,'Per Line'!$D$2:$D$1601,$B231,'Per Line'!$AN$2:$AN$1601,1))</f>
        <v/>
      </c>
      <c r="W231" s="7">
        <f>IF($AH231="","",V231*U231)</f>
        <v/>
      </c>
      <c r="X231">
        <f>IF($AH231="","",Settings!$C$7)</f>
        <v/>
      </c>
      <c r="Y231" s="7">
        <f>IF($AH231="","",SUMIFS('Per Line'!$V$2:$V$1601,'Per Line'!$D$2:$D$1601,$B231,'Per Line'!$AM$2:$AM$1601,0,'Per Line'!$AN$2:$AN$1601,0))</f>
        <v/>
      </c>
      <c r="Z231" s="7">
        <f>IF($AH231="","",Y231*X231)</f>
        <v/>
      </c>
      <c r="AA231">
        <f>IF($AH231="","",Settings!$C$6)</f>
        <v/>
      </c>
      <c r="AB231" s="7">
        <f>IF($AH231="","",SUMIFS('Per Line'!$V$2:$V$1601,'Per Line'!$D$2:$D$1601,$B231,'Per Line'!$AM$2:$AM$1601,1,'Per Line'!$AN$2:$AN$1601,0))</f>
        <v/>
      </c>
      <c r="AC231" s="7">
        <f>IF($AH231="","",AB231*AA231)</f>
        <v/>
      </c>
      <c r="AD231" s="7">
        <f>IF($AH231="","",AC231+Z231+W231)</f>
        <v/>
      </c>
      <c r="AE231" s="7">
        <f>IF($AH231="","",AF231-AD231)</f>
        <v/>
      </c>
      <c r="AF231" s="7">
        <f>IF($AH231="","",Y231+AB231+V231)</f>
        <v/>
      </c>
      <c r="AG231" s="7">
        <f>IF($AH231="","",AF231-AD231-N231)</f>
        <v/>
      </c>
      <c r="AH231" s="13">
        <f>IF(ROWS($AH$2:$AH231)&lt;=MAX('Per Line'!$AL$2:$AL$1601),MATCH(ROWS($AH$2:$AH231),'Per Line'!$AL$2:$AL$1601,0),"")</f>
        <v/>
      </c>
    </row>
    <row r="232">
      <c r="A232" s="12" t="n"/>
      <c r="B232">
        <f>IF($AH232="","",INDEX('Per Line'!$D$2:$D$1601,$AH232)&amp;"")</f>
        <v/>
      </c>
      <c r="C232">
        <f>IF($AH232="","",INDEX('Per Line'!$A$2:$A$1601,$AH232)&amp;"")</f>
        <v/>
      </c>
      <c r="D232">
        <f>IF($AH232="","",INDEX('Per Line'!$B$2:$B$1601,$AH232))</f>
        <v/>
      </c>
      <c r="E232">
        <f>IF($AH232="","",INDEX('Per Line'!$C$2:$C$1601,$AH232)&amp;"")</f>
        <v/>
      </c>
      <c r="F232">
        <f>IF($AH232="","",INDEX('Per Line'!$E$2:$E$1601,$AH232)&amp;"")</f>
        <v/>
      </c>
      <c r="G232" s="11">
        <f>IF($AH232="","",INDEX('Per Line'!$F$2:$F$1601,$AH232))</f>
        <v/>
      </c>
      <c r="H232">
        <f>IF($AH232="","",INDEX('Per Line'!$G$2:$G$1601,$AH232)&amp;"")</f>
        <v/>
      </c>
      <c r="I232">
        <f>IF($AH232="","",INDEX('Per Line'!$I$2:$I$1601,$AH232)&amp;"")</f>
        <v/>
      </c>
      <c r="J232">
        <f>IF($AH232="","",INDEX('Per Line'!$J$2:$J$1601,$AH232)&amp;"")</f>
        <v/>
      </c>
      <c r="K232">
        <f>IF($AH232="","",INDEX('Per Line'!$K$2:$K$1601,$AH232)&amp;"")</f>
        <v/>
      </c>
      <c r="L232">
        <f>IF($AH232="","",INDEX('Per Line'!$L$2:$L$1601,$AH232)&amp;"")</f>
        <v/>
      </c>
      <c r="M232">
        <f>IF($AH232="","",INDEX('Per Line'!$M$2:$M$1601,$AH232))</f>
        <v/>
      </c>
      <c r="N232" s="7">
        <f>IF($AH232="","",M232*AE232/100)</f>
        <v/>
      </c>
      <c r="O232">
        <f>IF($AH232="","",INDEX('Per Line'!$Z$2:$Z$1601,$AH232)&amp;"")</f>
        <v/>
      </c>
      <c r="P232">
        <f>IF($AH232="","",INDEX('Per Line'!$AC$2:$AC$1601,$AH232)&amp;"")</f>
        <v/>
      </c>
      <c r="Q232">
        <f>IF($AH232="","",INDEX('Per Line'!$AD$2:$AD$1601,$AH232))</f>
        <v/>
      </c>
      <c r="R232">
        <f>IF($AH232="","",IF(AND(ISNUMBER(Q232),Q232&gt;0),AF232&gt;Q232,FALSE))</f>
        <v/>
      </c>
      <c r="S232">
        <f>IF($AH232="","",INDEX('Per Line'!$AH$2:$AH$1601,$AH232)&amp;"")</f>
        <v/>
      </c>
      <c r="T232" s="11">
        <f>IF($AH232="","",INDEX('Per Line'!$AI$2:$AI$1601,$AH232))</f>
        <v/>
      </c>
      <c r="U232">
        <f>IF($AH232="","",Settings!$C$8)</f>
        <v/>
      </c>
      <c r="V232" s="7">
        <f>IF($AH232="","",SUMIFS('Per Line'!$V$2:$V$1601,'Per Line'!$D$2:$D$1601,$B232,'Per Line'!$AN$2:$AN$1601,1))</f>
        <v/>
      </c>
      <c r="W232" s="7">
        <f>IF($AH232="","",V232*U232)</f>
        <v/>
      </c>
      <c r="X232">
        <f>IF($AH232="","",Settings!$C$7)</f>
        <v/>
      </c>
      <c r="Y232" s="7">
        <f>IF($AH232="","",SUMIFS('Per Line'!$V$2:$V$1601,'Per Line'!$D$2:$D$1601,$B232,'Per Line'!$AM$2:$AM$1601,0,'Per Line'!$AN$2:$AN$1601,0))</f>
        <v/>
      </c>
      <c r="Z232" s="7">
        <f>IF($AH232="","",Y232*X232)</f>
        <v/>
      </c>
      <c r="AA232">
        <f>IF($AH232="","",Settings!$C$6)</f>
        <v/>
      </c>
      <c r="AB232" s="7">
        <f>IF($AH232="","",SUMIFS('Per Line'!$V$2:$V$1601,'Per Line'!$D$2:$D$1601,$B232,'Per Line'!$AM$2:$AM$1601,1,'Per Line'!$AN$2:$AN$1601,0))</f>
        <v/>
      </c>
      <c r="AC232" s="7">
        <f>IF($AH232="","",AB232*AA232)</f>
        <v/>
      </c>
      <c r="AD232" s="7">
        <f>IF($AH232="","",AC232+Z232+W232)</f>
        <v/>
      </c>
      <c r="AE232" s="7">
        <f>IF($AH232="","",AF232-AD232)</f>
        <v/>
      </c>
      <c r="AF232" s="7">
        <f>IF($AH232="","",Y232+AB232+V232)</f>
        <v/>
      </c>
      <c r="AG232" s="7">
        <f>IF($AH232="","",AF232-AD232-N232)</f>
        <v/>
      </c>
      <c r="AH232" s="13">
        <f>IF(ROWS($AH$2:$AH232)&lt;=MAX('Per Line'!$AL$2:$AL$1601),MATCH(ROWS($AH$2:$AH232),'Per Line'!$AL$2:$AL$1601,0),"")</f>
        <v/>
      </c>
    </row>
    <row r="233">
      <c r="A233" s="12" t="n"/>
      <c r="B233">
        <f>IF($AH233="","",INDEX('Per Line'!$D$2:$D$1601,$AH233)&amp;"")</f>
        <v/>
      </c>
      <c r="C233">
        <f>IF($AH233="","",INDEX('Per Line'!$A$2:$A$1601,$AH233)&amp;"")</f>
        <v/>
      </c>
      <c r="D233">
        <f>IF($AH233="","",INDEX('Per Line'!$B$2:$B$1601,$AH233))</f>
        <v/>
      </c>
      <c r="E233">
        <f>IF($AH233="","",INDEX('Per Line'!$C$2:$C$1601,$AH233)&amp;"")</f>
        <v/>
      </c>
      <c r="F233">
        <f>IF($AH233="","",INDEX('Per Line'!$E$2:$E$1601,$AH233)&amp;"")</f>
        <v/>
      </c>
      <c r="G233" s="11">
        <f>IF($AH233="","",INDEX('Per Line'!$F$2:$F$1601,$AH233))</f>
        <v/>
      </c>
      <c r="H233">
        <f>IF($AH233="","",INDEX('Per Line'!$G$2:$G$1601,$AH233)&amp;"")</f>
        <v/>
      </c>
      <c r="I233">
        <f>IF($AH233="","",INDEX('Per Line'!$I$2:$I$1601,$AH233)&amp;"")</f>
        <v/>
      </c>
      <c r="J233">
        <f>IF($AH233="","",INDEX('Per Line'!$J$2:$J$1601,$AH233)&amp;"")</f>
        <v/>
      </c>
      <c r="K233">
        <f>IF($AH233="","",INDEX('Per Line'!$K$2:$K$1601,$AH233)&amp;"")</f>
        <v/>
      </c>
      <c r="L233">
        <f>IF($AH233="","",INDEX('Per Line'!$L$2:$L$1601,$AH233)&amp;"")</f>
        <v/>
      </c>
      <c r="M233">
        <f>IF($AH233="","",INDEX('Per Line'!$M$2:$M$1601,$AH233))</f>
        <v/>
      </c>
      <c r="N233" s="7">
        <f>IF($AH233="","",M233*AE233/100)</f>
        <v/>
      </c>
      <c r="O233">
        <f>IF($AH233="","",INDEX('Per Line'!$Z$2:$Z$1601,$AH233)&amp;"")</f>
        <v/>
      </c>
      <c r="P233">
        <f>IF($AH233="","",INDEX('Per Line'!$AC$2:$AC$1601,$AH233)&amp;"")</f>
        <v/>
      </c>
      <c r="Q233">
        <f>IF($AH233="","",INDEX('Per Line'!$AD$2:$AD$1601,$AH233))</f>
        <v/>
      </c>
      <c r="R233">
        <f>IF($AH233="","",IF(AND(ISNUMBER(Q233),Q233&gt;0),AF233&gt;Q233,FALSE))</f>
        <v/>
      </c>
      <c r="S233">
        <f>IF($AH233="","",INDEX('Per Line'!$AH$2:$AH$1601,$AH233)&amp;"")</f>
        <v/>
      </c>
      <c r="T233" s="11">
        <f>IF($AH233="","",INDEX('Per Line'!$AI$2:$AI$1601,$AH233))</f>
        <v/>
      </c>
      <c r="U233">
        <f>IF($AH233="","",Settings!$C$8)</f>
        <v/>
      </c>
      <c r="V233" s="7">
        <f>IF($AH233="","",SUMIFS('Per Line'!$V$2:$V$1601,'Per Line'!$D$2:$D$1601,$B233,'Per Line'!$AN$2:$AN$1601,1))</f>
        <v/>
      </c>
      <c r="W233" s="7">
        <f>IF($AH233="","",V233*U233)</f>
        <v/>
      </c>
      <c r="X233">
        <f>IF($AH233="","",Settings!$C$7)</f>
        <v/>
      </c>
      <c r="Y233" s="7">
        <f>IF($AH233="","",SUMIFS('Per Line'!$V$2:$V$1601,'Per Line'!$D$2:$D$1601,$B233,'Per Line'!$AM$2:$AM$1601,0,'Per Line'!$AN$2:$AN$1601,0))</f>
        <v/>
      </c>
      <c r="Z233" s="7">
        <f>IF($AH233="","",Y233*X233)</f>
        <v/>
      </c>
      <c r="AA233">
        <f>IF($AH233="","",Settings!$C$6)</f>
        <v/>
      </c>
      <c r="AB233" s="7">
        <f>IF($AH233="","",SUMIFS('Per Line'!$V$2:$V$1601,'Per Line'!$D$2:$D$1601,$B233,'Per Line'!$AM$2:$AM$1601,1,'Per Line'!$AN$2:$AN$1601,0))</f>
        <v/>
      </c>
      <c r="AC233" s="7">
        <f>IF($AH233="","",AB233*AA233)</f>
        <v/>
      </c>
      <c r="AD233" s="7">
        <f>IF($AH233="","",AC233+Z233+W233)</f>
        <v/>
      </c>
      <c r="AE233" s="7">
        <f>IF($AH233="","",AF233-AD233)</f>
        <v/>
      </c>
      <c r="AF233" s="7">
        <f>IF($AH233="","",Y233+AB233+V233)</f>
        <v/>
      </c>
      <c r="AG233" s="7">
        <f>IF($AH233="","",AF233-AD233-N233)</f>
        <v/>
      </c>
      <c r="AH233" s="13">
        <f>IF(ROWS($AH$2:$AH233)&lt;=MAX('Per Line'!$AL$2:$AL$1601),MATCH(ROWS($AH$2:$AH233),'Per Line'!$AL$2:$AL$1601,0),"")</f>
        <v/>
      </c>
    </row>
    <row r="234">
      <c r="A234" s="12" t="n"/>
      <c r="B234">
        <f>IF($AH234="","",INDEX('Per Line'!$D$2:$D$1601,$AH234)&amp;"")</f>
        <v/>
      </c>
      <c r="C234">
        <f>IF($AH234="","",INDEX('Per Line'!$A$2:$A$1601,$AH234)&amp;"")</f>
        <v/>
      </c>
      <c r="D234">
        <f>IF($AH234="","",INDEX('Per Line'!$B$2:$B$1601,$AH234))</f>
        <v/>
      </c>
      <c r="E234">
        <f>IF($AH234="","",INDEX('Per Line'!$C$2:$C$1601,$AH234)&amp;"")</f>
        <v/>
      </c>
      <c r="F234">
        <f>IF($AH234="","",INDEX('Per Line'!$E$2:$E$1601,$AH234)&amp;"")</f>
        <v/>
      </c>
      <c r="G234" s="11">
        <f>IF($AH234="","",INDEX('Per Line'!$F$2:$F$1601,$AH234))</f>
        <v/>
      </c>
      <c r="H234">
        <f>IF($AH234="","",INDEX('Per Line'!$G$2:$G$1601,$AH234)&amp;"")</f>
        <v/>
      </c>
      <c r="I234">
        <f>IF($AH234="","",INDEX('Per Line'!$I$2:$I$1601,$AH234)&amp;"")</f>
        <v/>
      </c>
      <c r="J234">
        <f>IF($AH234="","",INDEX('Per Line'!$J$2:$J$1601,$AH234)&amp;"")</f>
        <v/>
      </c>
      <c r="K234">
        <f>IF($AH234="","",INDEX('Per Line'!$K$2:$K$1601,$AH234)&amp;"")</f>
        <v/>
      </c>
      <c r="L234">
        <f>IF($AH234="","",INDEX('Per Line'!$L$2:$L$1601,$AH234)&amp;"")</f>
        <v/>
      </c>
      <c r="M234">
        <f>IF($AH234="","",INDEX('Per Line'!$M$2:$M$1601,$AH234))</f>
        <v/>
      </c>
      <c r="N234" s="7">
        <f>IF($AH234="","",M234*AE234/100)</f>
        <v/>
      </c>
      <c r="O234">
        <f>IF($AH234="","",INDEX('Per Line'!$Z$2:$Z$1601,$AH234)&amp;"")</f>
        <v/>
      </c>
      <c r="P234">
        <f>IF($AH234="","",INDEX('Per Line'!$AC$2:$AC$1601,$AH234)&amp;"")</f>
        <v/>
      </c>
      <c r="Q234">
        <f>IF($AH234="","",INDEX('Per Line'!$AD$2:$AD$1601,$AH234))</f>
        <v/>
      </c>
      <c r="R234">
        <f>IF($AH234="","",IF(AND(ISNUMBER(Q234),Q234&gt;0),AF234&gt;Q234,FALSE))</f>
        <v/>
      </c>
      <c r="S234">
        <f>IF($AH234="","",INDEX('Per Line'!$AH$2:$AH$1601,$AH234)&amp;"")</f>
        <v/>
      </c>
      <c r="T234" s="11">
        <f>IF($AH234="","",INDEX('Per Line'!$AI$2:$AI$1601,$AH234))</f>
        <v/>
      </c>
      <c r="U234">
        <f>IF($AH234="","",Settings!$C$8)</f>
        <v/>
      </c>
      <c r="V234" s="7">
        <f>IF($AH234="","",SUMIFS('Per Line'!$V$2:$V$1601,'Per Line'!$D$2:$D$1601,$B234,'Per Line'!$AN$2:$AN$1601,1))</f>
        <v/>
      </c>
      <c r="W234" s="7">
        <f>IF($AH234="","",V234*U234)</f>
        <v/>
      </c>
      <c r="X234">
        <f>IF($AH234="","",Settings!$C$7)</f>
        <v/>
      </c>
      <c r="Y234" s="7">
        <f>IF($AH234="","",SUMIFS('Per Line'!$V$2:$V$1601,'Per Line'!$D$2:$D$1601,$B234,'Per Line'!$AM$2:$AM$1601,0,'Per Line'!$AN$2:$AN$1601,0))</f>
        <v/>
      </c>
      <c r="Z234" s="7">
        <f>IF($AH234="","",Y234*X234)</f>
        <v/>
      </c>
      <c r="AA234">
        <f>IF($AH234="","",Settings!$C$6)</f>
        <v/>
      </c>
      <c r="AB234" s="7">
        <f>IF($AH234="","",SUMIFS('Per Line'!$V$2:$V$1601,'Per Line'!$D$2:$D$1601,$B234,'Per Line'!$AM$2:$AM$1601,1,'Per Line'!$AN$2:$AN$1601,0))</f>
        <v/>
      </c>
      <c r="AC234" s="7">
        <f>IF($AH234="","",AB234*AA234)</f>
        <v/>
      </c>
      <c r="AD234" s="7">
        <f>IF($AH234="","",AC234+Z234+W234)</f>
        <v/>
      </c>
      <c r="AE234" s="7">
        <f>IF($AH234="","",AF234-AD234)</f>
        <v/>
      </c>
      <c r="AF234" s="7">
        <f>IF($AH234="","",Y234+AB234+V234)</f>
        <v/>
      </c>
      <c r="AG234" s="7">
        <f>IF($AH234="","",AF234-AD234-N234)</f>
        <v/>
      </c>
      <c r="AH234" s="13">
        <f>IF(ROWS($AH$2:$AH234)&lt;=MAX('Per Line'!$AL$2:$AL$1601),MATCH(ROWS($AH$2:$AH234),'Per Line'!$AL$2:$AL$1601,0),"")</f>
        <v/>
      </c>
    </row>
    <row r="235">
      <c r="A235" s="12" t="n"/>
      <c r="B235">
        <f>IF($AH235="","",INDEX('Per Line'!$D$2:$D$1601,$AH235)&amp;"")</f>
        <v/>
      </c>
      <c r="C235">
        <f>IF($AH235="","",INDEX('Per Line'!$A$2:$A$1601,$AH235)&amp;"")</f>
        <v/>
      </c>
      <c r="D235">
        <f>IF($AH235="","",INDEX('Per Line'!$B$2:$B$1601,$AH235))</f>
        <v/>
      </c>
      <c r="E235">
        <f>IF($AH235="","",INDEX('Per Line'!$C$2:$C$1601,$AH235)&amp;"")</f>
        <v/>
      </c>
      <c r="F235">
        <f>IF($AH235="","",INDEX('Per Line'!$E$2:$E$1601,$AH235)&amp;"")</f>
        <v/>
      </c>
      <c r="G235" s="11">
        <f>IF($AH235="","",INDEX('Per Line'!$F$2:$F$1601,$AH235))</f>
        <v/>
      </c>
      <c r="H235">
        <f>IF($AH235="","",INDEX('Per Line'!$G$2:$G$1601,$AH235)&amp;"")</f>
        <v/>
      </c>
      <c r="I235">
        <f>IF($AH235="","",INDEX('Per Line'!$I$2:$I$1601,$AH235)&amp;"")</f>
        <v/>
      </c>
      <c r="J235">
        <f>IF($AH235="","",INDEX('Per Line'!$J$2:$J$1601,$AH235)&amp;"")</f>
        <v/>
      </c>
      <c r="K235">
        <f>IF($AH235="","",INDEX('Per Line'!$K$2:$K$1601,$AH235)&amp;"")</f>
        <v/>
      </c>
      <c r="L235">
        <f>IF($AH235="","",INDEX('Per Line'!$L$2:$L$1601,$AH235)&amp;"")</f>
        <v/>
      </c>
      <c r="M235">
        <f>IF($AH235="","",INDEX('Per Line'!$M$2:$M$1601,$AH235))</f>
        <v/>
      </c>
      <c r="N235" s="7">
        <f>IF($AH235="","",M235*AE235/100)</f>
        <v/>
      </c>
      <c r="O235">
        <f>IF($AH235="","",INDEX('Per Line'!$Z$2:$Z$1601,$AH235)&amp;"")</f>
        <v/>
      </c>
      <c r="P235">
        <f>IF($AH235="","",INDEX('Per Line'!$AC$2:$AC$1601,$AH235)&amp;"")</f>
        <v/>
      </c>
      <c r="Q235">
        <f>IF($AH235="","",INDEX('Per Line'!$AD$2:$AD$1601,$AH235))</f>
        <v/>
      </c>
      <c r="R235">
        <f>IF($AH235="","",IF(AND(ISNUMBER(Q235),Q235&gt;0),AF235&gt;Q235,FALSE))</f>
        <v/>
      </c>
      <c r="S235">
        <f>IF($AH235="","",INDEX('Per Line'!$AH$2:$AH$1601,$AH235)&amp;"")</f>
        <v/>
      </c>
      <c r="T235" s="11">
        <f>IF($AH235="","",INDEX('Per Line'!$AI$2:$AI$1601,$AH235))</f>
        <v/>
      </c>
      <c r="U235">
        <f>IF($AH235="","",Settings!$C$8)</f>
        <v/>
      </c>
      <c r="V235" s="7">
        <f>IF($AH235="","",SUMIFS('Per Line'!$V$2:$V$1601,'Per Line'!$D$2:$D$1601,$B235,'Per Line'!$AN$2:$AN$1601,1))</f>
        <v/>
      </c>
      <c r="W235" s="7">
        <f>IF($AH235="","",V235*U235)</f>
        <v/>
      </c>
      <c r="X235">
        <f>IF($AH235="","",Settings!$C$7)</f>
        <v/>
      </c>
      <c r="Y235" s="7">
        <f>IF($AH235="","",SUMIFS('Per Line'!$V$2:$V$1601,'Per Line'!$D$2:$D$1601,$B235,'Per Line'!$AM$2:$AM$1601,0,'Per Line'!$AN$2:$AN$1601,0))</f>
        <v/>
      </c>
      <c r="Z235" s="7">
        <f>IF($AH235="","",Y235*X235)</f>
        <v/>
      </c>
      <c r="AA235">
        <f>IF($AH235="","",Settings!$C$6)</f>
        <v/>
      </c>
      <c r="AB235" s="7">
        <f>IF($AH235="","",SUMIFS('Per Line'!$V$2:$V$1601,'Per Line'!$D$2:$D$1601,$B235,'Per Line'!$AM$2:$AM$1601,1,'Per Line'!$AN$2:$AN$1601,0))</f>
        <v/>
      </c>
      <c r="AC235" s="7">
        <f>IF($AH235="","",AB235*AA235)</f>
        <v/>
      </c>
      <c r="AD235" s="7">
        <f>IF($AH235="","",AC235+Z235+W235)</f>
        <v/>
      </c>
      <c r="AE235" s="7">
        <f>IF($AH235="","",AF235-AD235)</f>
        <v/>
      </c>
      <c r="AF235" s="7">
        <f>IF($AH235="","",Y235+AB235+V235)</f>
        <v/>
      </c>
      <c r="AG235" s="7">
        <f>IF($AH235="","",AF235-AD235-N235)</f>
        <v/>
      </c>
      <c r="AH235" s="13">
        <f>IF(ROWS($AH$2:$AH235)&lt;=MAX('Per Line'!$AL$2:$AL$1601),MATCH(ROWS($AH$2:$AH235),'Per Line'!$AL$2:$AL$1601,0),"")</f>
        <v/>
      </c>
    </row>
    <row r="236">
      <c r="A236" s="12" t="n"/>
      <c r="B236">
        <f>IF($AH236="","",INDEX('Per Line'!$D$2:$D$1601,$AH236)&amp;"")</f>
        <v/>
      </c>
      <c r="C236">
        <f>IF($AH236="","",INDEX('Per Line'!$A$2:$A$1601,$AH236)&amp;"")</f>
        <v/>
      </c>
      <c r="D236">
        <f>IF($AH236="","",INDEX('Per Line'!$B$2:$B$1601,$AH236))</f>
        <v/>
      </c>
      <c r="E236">
        <f>IF($AH236="","",INDEX('Per Line'!$C$2:$C$1601,$AH236)&amp;"")</f>
        <v/>
      </c>
      <c r="F236">
        <f>IF($AH236="","",INDEX('Per Line'!$E$2:$E$1601,$AH236)&amp;"")</f>
        <v/>
      </c>
      <c r="G236" s="11">
        <f>IF($AH236="","",INDEX('Per Line'!$F$2:$F$1601,$AH236))</f>
        <v/>
      </c>
      <c r="H236">
        <f>IF($AH236="","",INDEX('Per Line'!$G$2:$G$1601,$AH236)&amp;"")</f>
        <v/>
      </c>
      <c r="I236">
        <f>IF($AH236="","",INDEX('Per Line'!$I$2:$I$1601,$AH236)&amp;"")</f>
        <v/>
      </c>
      <c r="J236">
        <f>IF($AH236="","",INDEX('Per Line'!$J$2:$J$1601,$AH236)&amp;"")</f>
        <v/>
      </c>
      <c r="K236">
        <f>IF($AH236="","",INDEX('Per Line'!$K$2:$K$1601,$AH236)&amp;"")</f>
        <v/>
      </c>
      <c r="L236">
        <f>IF($AH236="","",INDEX('Per Line'!$L$2:$L$1601,$AH236)&amp;"")</f>
        <v/>
      </c>
      <c r="M236">
        <f>IF($AH236="","",INDEX('Per Line'!$M$2:$M$1601,$AH236))</f>
        <v/>
      </c>
      <c r="N236" s="7">
        <f>IF($AH236="","",M236*AE236/100)</f>
        <v/>
      </c>
      <c r="O236">
        <f>IF($AH236="","",INDEX('Per Line'!$Z$2:$Z$1601,$AH236)&amp;"")</f>
        <v/>
      </c>
      <c r="P236">
        <f>IF($AH236="","",INDEX('Per Line'!$AC$2:$AC$1601,$AH236)&amp;"")</f>
        <v/>
      </c>
      <c r="Q236">
        <f>IF($AH236="","",INDEX('Per Line'!$AD$2:$AD$1601,$AH236))</f>
        <v/>
      </c>
      <c r="R236">
        <f>IF($AH236="","",IF(AND(ISNUMBER(Q236),Q236&gt;0),AF236&gt;Q236,FALSE))</f>
        <v/>
      </c>
      <c r="S236">
        <f>IF($AH236="","",INDEX('Per Line'!$AH$2:$AH$1601,$AH236)&amp;"")</f>
        <v/>
      </c>
      <c r="T236" s="11">
        <f>IF($AH236="","",INDEX('Per Line'!$AI$2:$AI$1601,$AH236))</f>
        <v/>
      </c>
      <c r="U236">
        <f>IF($AH236="","",Settings!$C$8)</f>
        <v/>
      </c>
      <c r="V236" s="7">
        <f>IF($AH236="","",SUMIFS('Per Line'!$V$2:$V$1601,'Per Line'!$D$2:$D$1601,$B236,'Per Line'!$AN$2:$AN$1601,1))</f>
        <v/>
      </c>
      <c r="W236" s="7">
        <f>IF($AH236="","",V236*U236)</f>
        <v/>
      </c>
      <c r="X236">
        <f>IF($AH236="","",Settings!$C$7)</f>
        <v/>
      </c>
      <c r="Y236" s="7">
        <f>IF($AH236="","",SUMIFS('Per Line'!$V$2:$V$1601,'Per Line'!$D$2:$D$1601,$B236,'Per Line'!$AM$2:$AM$1601,0,'Per Line'!$AN$2:$AN$1601,0))</f>
        <v/>
      </c>
      <c r="Z236" s="7">
        <f>IF($AH236="","",Y236*X236)</f>
        <v/>
      </c>
      <c r="AA236">
        <f>IF($AH236="","",Settings!$C$6)</f>
        <v/>
      </c>
      <c r="AB236" s="7">
        <f>IF($AH236="","",SUMIFS('Per Line'!$V$2:$V$1601,'Per Line'!$D$2:$D$1601,$B236,'Per Line'!$AM$2:$AM$1601,1,'Per Line'!$AN$2:$AN$1601,0))</f>
        <v/>
      </c>
      <c r="AC236" s="7">
        <f>IF($AH236="","",AB236*AA236)</f>
        <v/>
      </c>
      <c r="AD236" s="7">
        <f>IF($AH236="","",AC236+Z236+W236)</f>
        <v/>
      </c>
      <c r="AE236" s="7">
        <f>IF($AH236="","",AF236-AD236)</f>
        <v/>
      </c>
      <c r="AF236" s="7">
        <f>IF($AH236="","",Y236+AB236+V236)</f>
        <v/>
      </c>
      <c r="AG236" s="7">
        <f>IF($AH236="","",AF236-AD236-N236)</f>
        <v/>
      </c>
      <c r="AH236" s="13">
        <f>IF(ROWS($AH$2:$AH236)&lt;=MAX('Per Line'!$AL$2:$AL$1601),MATCH(ROWS($AH$2:$AH236),'Per Line'!$AL$2:$AL$1601,0),"")</f>
        <v/>
      </c>
    </row>
    <row r="237">
      <c r="A237" s="12" t="n"/>
      <c r="B237">
        <f>IF($AH237="","",INDEX('Per Line'!$D$2:$D$1601,$AH237)&amp;"")</f>
        <v/>
      </c>
      <c r="C237">
        <f>IF($AH237="","",INDEX('Per Line'!$A$2:$A$1601,$AH237)&amp;"")</f>
        <v/>
      </c>
      <c r="D237">
        <f>IF($AH237="","",INDEX('Per Line'!$B$2:$B$1601,$AH237))</f>
        <v/>
      </c>
      <c r="E237">
        <f>IF($AH237="","",INDEX('Per Line'!$C$2:$C$1601,$AH237)&amp;"")</f>
        <v/>
      </c>
      <c r="F237">
        <f>IF($AH237="","",INDEX('Per Line'!$E$2:$E$1601,$AH237)&amp;"")</f>
        <v/>
      </c>
      <c r="G237" s="11">
        <f>IF($AH237="","",INDEX('Per Line'!$F$2:$F$1601,$AH237))</f>
        <v/>
      </c>
      <c r="H237">
        <f>IF($AH237="","",INDEX('Per Line'!$G$2:$G$1601,$AH237)&amp;"")</f>
        <v/>
      </c>
      <c r="I237">
        <f>IF($AH237="","",INDEX('Per Line'!$I$2:$I$1601,$AH237)&amp;"")</f>
        <v/>
      </c>
      <c r="J237">
        <f>IF($AH237="","",INDEX('Per Line'!$J$2:$J$1601,$AH237)&amp;"")</f>
        <v/>
      </c>
      <c r="K237">
        <f>IF($AH237="","",INDEX('Per Line'!$K$2:$K$1601,$AH237)&amp;"")</f>
        <v/>
      </c>
      <c r="L237">
        <f>IF($AH237="","",INDEX('Per Line'!$L$2:$L$1601,$AH237)&amp;"")</f>
        <v/>
      </c>
      <c r="M237">
        <f>IF($AH237="","",INDEX('Per Line'!$M$2:$M$1601,$AH237))</f>
        <v/>
      </c>
      <c r="N237" s="7">
        <f>IF($AH237="","",M237*AE237/100)</f>
        <v/>
      </c>
      <c r="O237">
        <f>IF($AH237="","",INDEX('Per Line'!$Z$2:$Z$1601,$AH237)&amp;"")</f>
        <v/>
      </c>
      <c r="P237">
        <f>IF($AH237="","",INDEX('Per Line'!$AC$2:$AC$1601,$AH237)&amp;"")</f>
        <v/>
      </c>
      <c r="Q237">
        <f>IF($AH237="","",INDEX('Per Line'!$AD$2:$AD$1601,$AH237))</f>
        <v/>
      </c>
      <c r="R237">
        <f>IF($AH237="","",IF(AND(ISNUMBER(Q237),Q237&gt;0),AF237&gt;Q237,FALSE))</f>
        <v/>
      </c>
      <c r="S237">
        <f>IF($AH237="","",INDEX('Per Line'!$AH$2:$AH$1601,$AH237)&amp;"")</f>
        <v/>
      </c>
      <c r="T237" s="11">
        <f>IF($AH237="","",INDEX('Per Line'!$AI$2:$AI$1601,$AH237))</f>
        <v/>
      </c>
      <c r="U237">
        <f>IF($AH237="","",Settings!$C$8)</f>
        <v/>
      </c>
      <c r="V237" s="7">
        <f>IF($AH237="","",SUMIFS('Per Line'!$V$2:$V$1601,'Per Line'!$D$2:$D$1601,$B237,'Per Line'!$AN$2:$AN$1601,1))</f>
        <v/>
      </c>
      <c r="W237" s="7">
        <f>IF($AH237="","",V237*U237)</f>
        <v/>
      </c>
      <c r="X237">
        <f>IF($AH237="","",Settings!$C$7)</f>
        <v/>
      </c>
      <c r="Y237" s="7">
        <f>IF($AH237="","",SUMIFS('Per Line'!$V$2:$V$1601,'Per Line'!$D$2:$D$1601,$B237,'Per Line'!$AM$2:$AM$1601,0,'Per Line'!$AN$2:$AN$1601,0))</f>
        <v/>
      </c>
      <c r="Z237" s="7">
        <f>IF($AH237="","",Y237*X237)</f>
        <v/>
      </c>
      <c r="AA237">
        <f>IF($AH237="","",Settings!$C$6)</f>
        <v/>
      </c>
      <c r="AB237" s="7">
        <f>IF($AH237="","",SUMIFS('Per Line'!$V$2:$V$1601,'Per Line'!$D$2:$D$1601,$B237,'Per Line'!$AM$2:$AM$1601,1,'Per Line'!$AN$2:$AN$1601,0))</f>
        <v/>
      </c>
      <c r="AC237" s="7">
        <f>IF($AH237="","",AB237*AA237)</f>
        <v/>
      </c>
      <c r="AD237" s="7">
        <f>IF($AH237="","",AC237+Z237+W237)</f>
        <v/>
      </c>
      <c r="AE237" s="7">
        <f>IF($AH237="","",AF237-AD237)</f>
        <v/>
      </c>
      <c r="AF237" s="7">
        <f>IF($AH237="","",Y237+AB237+V237)</f>
        <v/>
      </c>
      <c r="AG237" s="7">
        <f>IF($AH237="","",AF237-AD237-N237)</f>
        <v/>
      </c>
      <c r="AH237" s="13">
        <f>IF(ROWS($AH$2:$AH237)&lt;=MAX('Per Line'!$AL$2:$AL$1601),MATCH(ROWS($AH$2:$AH237),'Per Line'!$AL$2:$AL$1601,0),"")</f>
        <v/>
      </c>
    </row>
    <row r="238">
      <c r="A238" s="12" t="n"/>
      <c r="B238">
        <f>IF($AH238="","",INDEX('Per Line'!$D$2:$D$1601,$AH238)&amp;"")</f>
        <v/>
      </c>
      <c r="C238">
        <f>IF($AH238="","",INDEX('Per Line'!$A$2:$A$1601,$AH238)&amp;"")</f>
        <v/>
      </c>
      <c r="D238">
        <f>IF($AH238="","",INDEX('Per Line'!$B$2:$B$1601,$AH238))</f>
        <v/>
      </c>
      <c r="E238">
        <f>IF($AH238="","",INDEX('Per Line'!$C$2:$C$1601,$AH238)&amp;"")</f>
        <v/>
      </c>
      <c r="F238">
        <f>IF($AH238="","",INDEX('Per Line'!$E$2:$E$1601,$AH238)&amp;"")</f>
        <v/>
      </c>
      <c r="G238" s="11">
        <f>IF($AH238="","",INDEX('Per Line'!$F$2:$F$1601,$AH238))</f>
        <v/>
      </c>
      <c r="H238">
        <f>IF($AH238="","",INDEX('Per Line'!$G$2:$G$1601,$AH238)&amp;"")</f>
        <v/>
      </c>
      <c r="I238">
        <f>IF($AH238="","",INDEX('Per Line'!$I$2:$I$1601,$AH238)&amp;"")</f>
        <v/>
      </c>
      <c r="J238">
        <f>IF($AH238="","",INDEX('Per Line'!$J$2:$J$1601,$AH238)&amp;"")</f>
        <v/>
      </c>
      <c r="K238">
        <f>IF($AH238="","",INDEX('Per Line'!$K$2:$K$1601,$AH238)&amp;"")</f>
        <v/>
      </c>
      <c r="L238">
        <f>IF($AH238="","",INDEX('Per Line'!$L$2:$L$1601,$AH238)&amp;"")</f>
        <v/>
      </c>
      <c r="M238">
        <f>IF($AH238="","",INDEX('Per Line'!$M$2:$M$1601,$AH238))</f>
        <v/>
      </c>
      <c r="N238" s="7">
        <f>IF($AH238="","",M238*AE238/100)</f>
        <v/>
      </c>
      <c r="O238">
        <f>IF($AH238="","",INDEX('Per Line'!$Z$2:$Z$1601,$AH238)&amp;"")</f>
        <v/>
      </c>
      <c r="P238">
        <f>IF($AH238="","",INDEX('Per Line'!$AC$2:$AC$1601,$AH238)&amp;"")</f>
        <v/>
      </c>
      <c r="Q238">
        <f>IF($AH238="","",INDEX('Per Line'!$AD$2:$AD$1601,$AH238))</f>
        <v/>
      </c>
      <c r="R238">
        <f>IF($AH238="","",IF(AND(ISNUMBER(Q238),Q238&gt;0),AF238&gt;Q238,FALSE))</f>
        <v/>
      </c>
      <c r="S238">
        <f>IF($AH238="","",INDEX('Per Line'!$AH$2:$AH$1601,$AH238)&amp;"")</f>
        <v/>
      </c>
      <c r="T238" s="11">
        <f>IF($AH238="","",INDEX('Per Line'!$AI$2:$AI$1601,$AH238))</f>
        <v/>
      </c>
      <c r="U238">
        <f>IF($AH238="","",Settings!$C$8)</f>
        <v/>
      </c>
      <c r="V238" s="7">
        <f>IF($AH238="","",SUMIFS('Per Line'!$V$2:$V$1601,'Per Line'!$D$2:$D$1601,$B238,'Per Line'!$AN$2:$AN$1601,1))</f>
        <v/>
      </c>
      <c r="W238" s="7">
        <f>IF($AH238="","",V238*U238)</f>
        <v/>
      </c>
      <c r="X238">
        <f>IF($AH238="","",Settings!$C$7)</f>
        <v/>
      </c>
      <c r="Y238" s="7">
        <f>IF($AH238="","",SUMIFS('Per Line'!$V$2:$V$1601,'Per Line'!$D$2:$D$1601,$B238,'Per Line'!$AM$2:$AM$1601,0,'Per Line'!$AN$2:$AN$1601,0))</f>
        <v/>
      </c>
      <c r="Z238" s="7">
        <f>IF($AH238="","",Y238*X238)</f>
        <v/>
      </c>
      <c r="AA238">
        <f>IF($AH238="","",Settings!$C$6)</f>
        <v/>
      </c>
      <c r="AB238" s="7">
        <f>IF($AH238="","",SUMIFS('Per Line'!$V$2:$V$1601,'Per Line'!$D$2:$D$1601,$B238,'Per Line'!$AM$2:$AM$1601,1,'Per Line'!$AN$2:$AN$1601,0))</f>
        <v/>
      </c>
      <c r="AC238" s="7">
        <f>IF($AH238="","",AB238*AA238)</f>
        <v/>
      </c>
      <c r="AD238" s="7">
        <f>IF($AH238="","",AC238+Z238+W238)</f>
        <v/>
      </c>
      <c r="AE238" s="7">
        <f>IF($AH238="","",AF238-AD238)</f>
        <v/>
      </c>
      <c r="AF238" s="7">
        <f>IF($AH238="","",Y238+AB238+V238)</f>
        <v/>
      </c>
      <c r="AG238" s="7">
        <f>IF($AH238="","",AF238-AD238-N238)</f>
        <v/>
      </c>
      <c r="AH238" s="13">
        <f>IF(ROWS($AH$2:$AH238)&lt;=MAX('Per Line'!$AL$2:$AL$1601),MATCH(ROWS($AH$2:$AH238),'Per Line'!$AL$2:$AL$1601,0),"")</f>
        <v/>
      </c>
    </row>
    <row r="239">
      <c r="A239" s="12" t="n"/>
      <c r="B239">
        <f>IF($AH239="","",INDEX('Per Line'!$D$2:$D$1601,$AH239)&amp;"")</f>
        <v/>
      </c>
      <c r="C239">
        <f>IF($AH239="","",INDEX('Per Line'!$A$2:$A$1601,$AH239)&amp;"")</f>
        <v/>
      </c>
      <c r="D239">
        <f>IF($AH239="","",INDEX('Per Line'!$B$2:$B$1601,$AH239))</f>
        <v/>
      </c>
      <c r="E239">
        <f>IF($AH239="","",INDEX('Per Line'!$C$2:$C$1601,$AH239)&amp;"")</f>
        <v/>
      </c>
      <c r="F239">
        <f>IF($AH239="","",INDEX('Per Line'!$E$2:$E$1601,$AH239)&amp;"")</f>
        <v/>
      </c>
      <c r="G239" s="11">
        <f>IF($AH239="","",INDEX('Per Line'!$F$2:$F$1601,$AH239))</f>
        <v/>
      </c>
      <c r="H239">
        <f>IF($AH239="","",INDEX('Per Line'!$G$2:$G$1601,$AH239)&amp;"")</f>
        <v/>
      </c>
      <c r="I239">
        <f>IF($AH239="","",INDEX('Per Line'!$I$2:$I$1601,$AH239)&amp;"")</f>
        <v/>
      </c>
      <c r="J239">
        <f>IF($AH239="","",INDEX('Per Line'!$J$2:$J$1601,$AH239)&amp;"")</f>
        <v/>
      </c>
      <c r="K239">
        <f>IF($AH239="","",INDEX('Per Line'!$K$2:$K$1601,$AH239)&amp;"")</f>
        <v/>
      </c>
      <c r="L239">
        <f>IF($AH239="","",INDEX('Per Line'!$L$2:$L$1601,$AH239)&amp;"")</f>
        <v/>
      </c>
      <c r="M239">
        <f>IF($AH239="","",INDEX('Per Line'!$M$2:$M$1601,$AH239))</f>
        <v/>
      </c>
      <c r="N239" s="7">
        <f>IF($AH239="","",M239*AE239/100)</f>
        <v/>
      </c>
      <c r="O239">
        <f>IF($AH239="","",INDEX('Per Line'!$Z$2:$Z$1601,$AH239)&amp;"")</f>
        <v/>
      </c>
      <c r="P239">
        <f>IF($AH239="","",INDEX('Per Line'!$AC$2:$AC$1601,$AH239)&amp;"")</f>
        <v/>
      </c>
      <c r="Q239">
        <f>IF($AH239="","",INDEX('Per Line'!$AD$2:$AD$1601,$AH239))</f>
        <v/>
      </c>
      <c r="R239">
        <f>IF($AH239="","",IF(AND(ISNUMBER(Q239),Q239&gt;0),AF239&gt;Q239,FALSE))</f>
        <v/>
      </c>
      <c r="S239">
        <f>IF($AH239="","",INDEX('Per Line'!$AH$2:$AH$1601,$AH239)&amp;"")</f>
        <v/>
      </c>
      <c r="T239" s="11">
        <f>IF($AH239="","",INDEX('Per Line'!$AI$2:$AI$1601,$AH239))</f>
        <v/>
      </c>
      <c r="U239">
        <f>IF($AH239="","",Settings!$C$8)</f>
        <v/>
      </c>
      <c r="V239" s="7">
        <f>IF($AH239="","",SUMIFS('Per Line'!$V$2:$V$1601,'Per Line'!$D$2:$D$1601,$B239,'Per Line'!$AN$2:$AN$1601,1))</f>
        <v/>
      </c>
      <c r="W239" s="7">
        <f>IF($AH239="","",V239*U239)</f>
        <v/>
      </c>
      <c r="X239">
        <f>IF($AH239="","",Settings!$C$7)</f>
        <v/>
      </c>
      <c r="Y239" s="7">
        <f>IF($AH239="","",SUMIFS('Per Line'!$V$2:$V$1601,'Per Line'!$D$2:$D$1601,$B239,'Per Line'!$AM$2:$AM$1601,0,'Per Line'!$AN$2:$AN$1601,0))</f>
        <v/>
      </c>
      <c r="Z239" s="7">
        <f>IF($AH239="","",Y239*X239)</f>
        <v/>
      </c>
      <c r="AA239">
        <f>IF($AH239="","",Settings!$C$6)</f>
        <v/>
      </c>
      <c r="AB239" s="7">
        <f>IF($AH239="","",SUMIFS('Per Line'!$V$2:$V$1601,'Per Line'!$D$2:$D$1601,$B239,'Per Line'!$AM$2:$AM$1601,1,'Per Line'!$AN$2:$AN$1601,0))</f>
        <v/>
      </c>
      <c r="AC239" s="7">
        <f>IF($AH239="","",AB239*AA239)</f>
        <v/>
      </c>
      <c r="AD239" s="7">
        <f>IF($AH239="","",AC239+Z239+W239)</f>
        <v/>
      </c>
      <c r="AE239" s="7">
        <f>IF($AH239="","",AF239-AD239)</f>
        <v/>
      </c>
      <c r="AF239" s="7">
        <f>IF($AH239="","",Y239+AB239+V239)</f>
        <v/>
      </c>
      <c r="AG239" s="7">
        <f>IF($AH239="","",AF239-AD239-N239)</f>
        <v/>
      </c>
      <c r="AH239" s="13">
        <f>IF(ROWS($AH$2:$AH239)&lt;=MAX('Per Line'!$AL$2:$AL$1601),MATCH(ROWS($AH$2:$AH239),'Per Line'!$AL$2:$AL$1601,0),"")</f>
        <v/>
      </c>
    </row>
    <row r="240">
      <c r="A240" s="12" t="n"/>
      <c r="B240">
        <f>IF($AH240="","",INDEX('Per Line'!$D$2:$D$1601,$AH240)&amp;"")</f>
        <v/>
      </c>
      <c r="C240">
        <f>IF($AH240="","",INDEX('Per Line'!$A$2:$A$1601,$AH240)&amp;"")</f>
        <v/>
      </c>
      <c r="D240">
        <f>IF($AH240="","",INDEX('Per Line'!$B$2:$B$1601,$AH240))</f>
        <v/>
      </c>
      <c r="E240">
        <f>IF($AH240="","",INDEX('Per Line'!$C$2:$C$1601,$AH240)&amp;"")</f>
        <v/>
      </c>
      <c r="F240">
        <f>IF($AH240="","",INDEX('Per Line'!$E$2:$E$1601,$AH240)&amp;"")</f>
        <v/>
      </c>
      <c r="G240" s="11">
        <f>IF($AH240="","",INDEX('Per Line'!$F$2:$F$1601,$AH240))</f>
        <v/>
      </c>
      <c r="H240">
        <f>IF($AH240="","",INDEX('Per Line'!$G$2:$G$1601,$AH240)&amp;"")</f>
        <v/>
      </c>
      <c r="I240">
        <f>IF($AH240="","",INDEX('Per Line'!$I$2:$I$1601,$AH240)&amp;"")</f>
        <v/>
      </c>
      <c r="J240">
        <f>IF($AH240="","",INDEX('Per Line'!$J$2:$J$1601,$AH240)&amp;"")</f>
        <v/>
      </c>
      <c r="K240">
        <f>IF($AH240="","",INDEX('Per Line'!$K$2:$K$1601,$AH240)&amp;"")</f>
        <v/>
      </c>
      <c r="L240">
        <f>IF($AH240="","",INDEX('Per Line'!$L$2:$L$1601,$AH240)&amp;"")</f>
        <v/>
      </c>
      <c r="M240">
        <f>IF($AH240="","",INDEX('Per Line'!$M$2:$M$1601,$AH240))</f>
        <v/>
      </c>
      <c r="N240" s="7">
        <f>IF($AH240="","",M240*AE240/100)</f>
        <v/>
      </c>
      <c r="O240">
        <f>IF($AH240="","",INDEX('Per Line'!$Z$2:$Z$1601,$AH240)&amp;"")</f>
        <v/>
      </c>
      <c r="P240">
        <f>IF($AH240="","",INDEX('Per Line'!$AC$2:$AC$1601,$AH240)&amp;"")</f>
        <v/>
      </c>
      <c r="Q240">
        <f>IF($AH240="","",INDEX('Per Line'!$AD$2:$AD$1601,$AH240))</f>
        <v/>
      </c>
      <c r="R240">
        <f>IF($AH240="","",IF(AND(ISNUMBER(Q240),Q240&gt;0),AF240&gt;Q240,FALSE))</f>
        <v/>
      </c>
      <c r="S240">
        <f>IF($AH240="","",INDEX('Per Line'!$AH$2:$AH$1601,$AH240)&amp;"")</f>
        <v/>
      </c>
      <c r="T240" s="11">
        <f>IF($AH240="","",INDEX('Per Line'!$AI$2:$AI$1601,$AH240))</f>
        <v/>
      </c>
      <c r="U240">
        <f>IF($AH240="","",Settings!$C$8)</f>
        <v/>
      </c>
      <c r="V240" s="7">
        <f>IF($AH240="","",SUMIFS('Per Line'!$V$2:$V$1601,'Per Line'!$D$2:$D$1601,$B240,'Per Line'!$AN$2:$AN$1601,1))</f>
        <v/>
      </c>
      <c r="W240" s="7">
        <f>IF($AH240="","",V240*U240)</f>
        <v/>
      </c>
      <c r="X240">
        <f>IF($AH240="","",Settings!$C$7)</f>
        <v/>
      </c>
      <c r="Y240" s="7">
        <f>IF($AH240="","",SUMIFS('Per Line'!$V$2:$V$1601,'Per Line'!$D$2:$D$1601,$B240,'Per Line'!$AM$2:$AM$1601,0,'Per Line'!$AN$2:$AN$1601,0))</f>
        <v/>
      </c>
      <c r="Z240" s="7">
        <f>IF($AH240="","",Y240*X240)</f>
        <v/>
      </c>
      <c r="AA240">
        <f>IF($AH240="","",Settings!$C$6)</f>
        <v/>
      </c>
      <c r="AB240" s="7">
        <f>IF($AH240="","",SUMIFS('Per Line'!$V$2:$V$1601,'Per Line'!$D$2:$D$1601,$B240,'Per Line'!$AM$2:$AM$1601,1,'Per Line'!$AN$2:$AN$1601,0))</f>
        <v/>
      </c>
      <c r="AC240" s="7">
        <f>IF($AH240="","",AB240*AA240)</f>
        <v/>
      </c>
      <c r="AD240" s="7">
        <f>IF($AH240="","",AC240+Z240+W240)</f>
        <v/>
      </c>
      <c r="AE240" s="7">
        <f>IF($AH240="","",AF240-AD240)</f>
        <v/>
      </c>
      <c r="AF240" s="7">
        <f>IF($AH240="","",Y240+AB240+V240)</f>
        <v/>
      </c>
      <c r="AG240" s="7">
        <f>IF($AH240="","",AF240-AD240-N240)</f>
        <v/>
      </c>
      <c r="AH240" s="13">
        <f>IF(ROWS($AH$2:$AH240)&lt;=MAX('Per Line'!$AL$2:$AL$1601),MATCH(ROWS($AH$2:$AH240),'Per Line'!$AL$2:$AL$1601,0),"")</f>
        <v/>
      </c>
    </row>
    <row r="241">
      <c r="A241" s="12" t="n"/>
      <c r="B241">
        <f>IF($AH241="","",INDEX('Per Line'!$D$2:$D$1601,$AH241)&amp;"")</f>
        <v/>
      </c>
      <c r="C241">
        <f>IF($AH241="","",INDEX('Per Line'!$A$2:$A$1601,$AH241)&amp;"")</f>
        <v/>
      </c>
      <c r="D241">
        <f>IF($AH241="","",INDEX('Per Line'!$B$2:$B$1601,$AH241))</f>
        <v/>
      </c>
      <c r="E241">
        <f>IF($AH241="","",INDEX('Per Line'!$C$2:$C$1601,$AH241)&amp;"")</f>
        <v/>
      </c>
      <c r="F241">
        <f>IF($AH241="","",INDEX('Per Line'!$E$2:$E$1601,$AH241)&amp;"")</f>
        <v/>
      </c>
      <c r="G241" s="11">
        <f>IF($AH241="","",INDEX('Per Line'!$F$2:$F$1601,$AH241))</f>
        <v/>
      </c>
      <c r="H241">
        <f>IF($AH241="","",INDEX('Per Line'!$G$2:$G$1601,$AH241)&amp;"")</f>
        <v/>
      </c>
      <c r="I241">
        <f>IF($AH241="","",INDEX('Per Line'!$I$2:$I$1601,$AH241)&amp;"")</f>
        <v/>
      </c>
      <c r="J241">
        <f>IF($AH241="","",INDEX('Per Line'!$J$2:$J$1601,$AH241)&amp;"")</f>
        <v/>
      </c>
      <c r="K241">
        <f>IF($AH241="","",INDEX('Per Line'!$K$2:$K$1601,$AH241)&amp;"")</f>
        <v/>
      </c>
      <c r="L241">
        <f>IF($AH241="","",INDEX('Per Line'!$L$2:$L$1601,$AH241)&amp;"")</f>
        <v/>
      </c>
      <c r="M241">
        <f>IF($AH241="","",INDEX('Per Line'!$M$2:$M$1601,$AH241))</f>
        <v/>
      </c>
      <c r="N241" s="7">
        <f>IF($AH241="","",M241*AE241/100)</f>
        <v/>
      </c>
      <c r="O241">
        <f>IF($AH241="","",INDEX('Per Line'!$Z$2:$Z$1601,$AH241)&amp;"")</f>
        <v/>
      </c>
      <c r="P241">
        <f>IF($AH241="","",INDEX('Per Line'!$AC$2:$AC$1601,$AH241)&amp;"")</f>
        <v/>
      </c>
      <c r="Q241">
        <f>IF($AH241="","",INDEX('Per Line'!$AD$2:$AD$1601,$AH241))</f>
        <v/>
      </c>
      <c r="R241">
        <f>IF($AH241="","",IF(AND(ISNUMBER(Q241),Q241&gt;0),AF241&gt;Q241,FALSE))</f>
        <v/>
      </c>
      <c r="S241">
        <f>IF($AH241="","",INDEX('Per Line'!$AH$2:$AH$1601,$AH241)&amp;"")</f>
        <v/>
      </c>
      <c r="T241" s="11">
        <f>IF($AH241="","",INDEX('Per Line'!$AI$2:$AI$1601,$AH241))</f>
        <v/>
      </c>
      <c r="U241">
        <f>IF($AH241="","",Settings!$C$8)</f>
        <v/>
      </c>
      <c r="V241" s="7">
        <f>IF($AH241="","",SUMIFS('Per Line'!$V$2:$V$1601,'Per Line'!$D$2:$D$1601,$B241,'Per Line'!$AN$2:$AN$1601,1))</f>
        <v/>
      </c>
      <c r="W241" s="7">
        <f>IF($AH241="","",V241*U241)</f>
        <v/>
      </c>
      <c r="X241">
        <f>IF($AH241="","",Settings!$C$7)</f>
        <v/>
      </c>
      <c r="Y241" s="7">
        <f>IF($AH241="","",SUMIFS('Per Line'!$V$2:$V$1601,'Per Line'!$D$2:$D$1601,$B241,'Per Line'!$AM$2:$AM$1601,0,'Per Line'!$AN$2:$AN$1601,0))</f>
        <v/>
      </c>
      <c r="Z241" s="7">
        <f>IF($AH241="","",Y241*X241)</f>
        <v/>
      </c>
      <c r="AA241">
        <f>IF($AH241="","",Settings!$C$6)</f>
        <v/>
      </c>
      <c r="AB241" s="7">
        <f>IF($AH241="","",SUMIFS('Per Line'!$V$2:$V$1601,'Per Line'!$D$2:$D$1601,$B241,'Per Line'!$AM$2:$AM$1601,1,'Per Line'!$AN$2:$AN$1601,0))</f>
        <v/>
      </c>
      <c r="AC241" s="7">
        <f>IF($AH241="","",AB241*AA241)</f>
        <v/>
      </c>
      <c r="AD241" s="7">
        <f>IF($AH241="","",AC241+Z241+W241)</f>
        <v/>
      </c>
      <c r="AE241" s="7">
        <f>IF($AH241="","",AF241-AD241)</f>
        <v/>
      </c>
      <c r="AF241" s="7">
        <f>IF($AH241="","",Y241+AB241+V241)</f>
        <v/>
      </c>
      <c r="AG241" s="7">
        <f>IF($AH241="","",AF241-AD241-N241)</f>
        <v/>
      </c>
      <c r="AH241" s="13">
        <f>IF(ROWS($AH$2:$AH241)&lt;=MAX('Per Line'!$AL$2:$AL$1601),MATCH(ROWS($AH$2:$AH241),'Per Line'!$AL$2:$AL$1601,0),"")</f>
        <v/>
      </c>
    </row>
    <row r="242">
      <c r="A242" s="12" t="n"/>
      <c r="B242">
        <f>IF($AH242="","",INDEX('Per Line'!$D$2:$D$1601,$AH242)&amp;"")</f>
        <v/>
      </c>
      <c r="C242">
        <f>IF($AH242="","",INDEX('Per Line'!$A$2:$A$1601,$AH242)&amp;"")</f>
        <v/>
      </c>
      <c r="D242">
        <f>IF($AH242="","",INDEX('Per Line'!$B$2:$B$1601,$AH242))</f>
        <v/>
      </c>
      <c r="E242">
        <f>IF($AH242="","",INDEX('Per Line'!$C$2:$C$1601,$AH242)&amp;"")</f>
        <v/>
      </c>
      <c r="F242">
        <f>IF($AH242="","",INDEX('Per Line'!$E$2:$E$1601,$AH242)&amp;"")</f>
        <v/>
      </c>
      <c r="G242" s="11">
        <f>IF($AH242="","",INDEX('Per Line'!$F$2:$F$1601,$AH242))</f>
        <v/>
      </c>
      <c r="H242">
        <f>IF($AH242="","",INDEX('Per Line'!$G$2:$G$1601,$AH242)&amp;"")</f>
        <v/>
      </c>
      <c r="I242">
        <f>IF($AH242="","",INDEX('Per Line'!$I$2:$I$1601,$AH242)&amp;"")</f>
        <v/>
      </c>
      <c r="J242">
        <f>IF($AH242="","",INDEX('Per Line'!$J$2:$J$1601,$AH242)&amp;"")</f>
        <v/>
      </c>
      <c r="K242">
        <f>IF($AH242="","",INDEX('Per Line'!$K$2:$K$1601,$AH242)&amp;"")</f>
        <v/>
      </c>
      <c r="L242">
        <f>IF($AH242="","",INDEX('Per Line'!$L$2:$L$1601,$AH242)&amp;"")</f>
        <v/>
      </c>
      <c r="M242">
        <f>IF($AH242="","",INDEX('Per Line'!$M$2:$M$1601,$AH242))</f>
        <v/>
      </c>
      <c r="N242" s="7">
        <f>IF($AH242="","",M242*AE242/100)</f>
        <v/>
      </c>
      <c r="O242">
        <f>IF($AH242="","",INDEX('Per Line'!$Z$2:$Z$1601,$AH242)&amp;"")</f>
        <v/>
      </c>
      <c r="P242">
        <f>IF($AH242="","",INDEX('Per Line'!$AC$2:$AC$1601,$AH242)&amp;"")</f>
        <v/>
      </c>
      <c r="Q242">
        <f>IF($AH242="","",INDEX('Per Line'!$AD$2:$AD$1601,$AH242))</f>
        <v/>
      </c>
      <c r="R242">
        <f>IF($AH242="","",IF(AND(ISNUMBER(Q242),Q242&gt;0),AF242&gt;Q242,FALSE))</f>
        <v/>
      </c>
      <c r="S242">
        <f>IF($AH242="","",INDEX('Per Line'!$AH$2:$AH$1601,$AH242)&amp;"")</f>
        <v/>
      </c>
      <c r="T242" s="11">
        <f>IF($AH242="","",INDEX('Per Line'!$AI$2:$AI$1601,$AH242))</f>
        <v/>
      </c>
      <c r="U242">
        <f>IF($AH242="","",Settings!$C$8)</f>
        <v/>
      </c>
      <c r="V242" s="7">
        <f>IF($AH242="","",SUMIFS('Per Line'!$V$2:$V$1601,'Per Line'!$D$2:$D$1601,$B242,'Per Line'!$AN$2:$AN$1601,1))</f>
        <v/>
      </c>
      <c r="W242" s="7">
        <f>IF($AH242="","",V242*U242)</f>
        <v/>
      </c>
      <c r="X242">
        <f>IF($AH242="","",Settings!$C$7)</f>
        <v/>
      </c>
      <c r="Y242" s="7">
        <f>IF($AH242="","",SUMIFS('Per Line'!$V$2:$V$1601,'Per Line'!$D$2:$D$1601,$B242,'Per Line'!$AM$2:$AM$1601,0,'Per Line'!$AN$2:$AN$1601,0))</f>
        <v/>
      </c>
      <c r="Z242" s="7">
        <f>IF($AH242="","",Y242*X242)</f>
        <v/>
      </c>
      <c r="AA242">
        <f>IF($AH242="","",Settings!$C$6)</f>
        <v/>
      </c>
      <c r="AB242" s="7">
        <f>IF($AH242="","",SUMIFS('Per Line'!$V$2:$V$1601,'Per Line'!$D$2:$D$1601,$B242,'Per Line'!$AM$2:$AM$1601,1,'Per Line'!$AN$2:$AN$1601,0))</f>
        <v/>
      </c>
      <c r="AC242" s="7">
        <f>IF($AH242="","",AB242*AA242)</f>
        <v/>
      </c>
      <c r="AD242" s="7">
        <f>IF($AH242="","",AC242+Z242+W242)</f>
        <v/>
      </c>
      <c r="AE242" s="7">
        <f>IF($AH242="","",AF242-AD242)</f>
        <v/>
      </c>
      <c r="AF242" s="7">
        <f>IF($AH242="","",Y242+AB242+V242)</f>
        <v/>
      </c>
      <c r="AG242" s="7">
        <f>IF($AH242="","",AF242-AD242-N242)</f>
        <v/>
      </c>
      <c r="AH242" s="13">
        <f>IF(ROWS($AH$2:$AH242)&lt;=MAX('Per Line'!$AL$2:$AL$1601),MATCH(ROWS($AH$2:$AH242),'Per Line'!$AL$2:$AL$1601,0),"")</f>
        <v/>
      </c>
    </row>
    <row r="243">
      <c r="A243" s="12" t="n"/>
      <c r="B243">
        <f>IF($AH243="","",INDEX('Per Line'!$D$2:$D$1601,$AH243)&amp;"")</f>
        <v/>
      </c>
      <c r="C243">
        <f>IF($AH243="","",INDEX('Per Line'!$A$2:$A$1601,$AH243)&amp;"")</f>
        <v/>
      </c>
      <c r="D243">
        <f>IF($AH243="","",INDEX('Per Line'!$B$2:$B$1601,$AH243))</f>
        <v/>
      </c>
      <c r="E243">
        <f>IF($AH243="","",INDEX('Per Line'!$C$2:$C$1601,$AH243)&amp;"")</f>
        <v/>
      </c>
      <c r="F243">
        <f>IF($AH243="","",INDEX('Per Line'!$E$2:$E$1601,$AH243)&amp;"")</f>
        <v/>
      </c>
      <c r="G243" s="11">
        <f>IF($AH243="","",INDEX('Per Line'!$F$2:$F$1601,$AH243))</f>
        <v/>
      </c>
      <c r="H243">
        <f>IF($AH243="","",INDEX('Per Line'!$G$2:$G$1601,$AH243)&amp;"")</f>
        <v/>
      </c>
      <c r="I243">
        <f>IF($AH243="","",INDEX('Per Line'!$I$2:$I$1601,$AH243)&amp;"")</f>
        <v/>
      </c>
      <c r="J243">
        <f>IF($AH243="","",INDEX('Per Line'!$J$2:$J$1601,$AH243)&amp;"")</f>
        <v/>
      </c>
      <c r="K243">
        <f>IF($AH243="","",INDEX('Per Line'!$K$2:$K$1601,$AH243)&amp;"")</f>
        <v/>
      </c>
      <c r="L243">
        <f>IF($AH243="","",INDEX('Per Line'!$L$2:$L$1601,$AH243)&amp;"")</f>
        <v/>
      </c>
      <c r="M243">
        <f>IF($AH243="","",INDEX('Per Line'!$M$2:$M$1601,$AH243))</f>
        <v/>
      </c>
      <c r="N243" s="7">
        <f>IF($AH243="","",M243*AE243/100)</f>
        <v/>
      </c>
      <c r="O243">
        <f>IF($AH243="","",INDEX('Per Line'!$Z$2:$Z$1601,$AH243)&amp;"")</f>
        <v/>
      </c>
      <c r="P243">
        <f>IF($AH243="","",INDEX('Per Line'!$AC$2:$AC$1601,$AH243)&amp;"")</f>
        <v/>
      </c>
      <c r="Q243">
        <f>IF($AH243="","",INDEX('Per Line'!$AD$2:$AD$1601,$AH243))</f>
        <v/>
      </c>
      <c r="R243">
        <f>IF($AH243="","",IF(AND(ISNUMBER(Q243),Q243&gt;0),AF243&gt;Q243,FALSE))</f>
        <v/>
      </c>
      <c r="S243">
        <f>IF($AH243="","",INDEX('Per Line'!$AH$2:$AH$1601,$AH243)&amp;"")</f>
        <v/>
      </c>
      <c r="T243" s="11">
        <f>IF($AH243="","",INDEX('Per Line'!$AI$2:$AI$1601,$AH243))</f>
        <v/>
      </c>
      <c r="U243">
        <f>IF($AH243="","",Settings!$C$8)</f>
        <v/>
      </c>
      <c r="V243" s="7">
        <f>IF($AH243="","",SUMIFS('Per Line'!$V$2:$V$1601,'Per Line'!$D$2:$D$1601,$B243,'Per Line'!$AN$2:$AN$1601,1))</f>
        <v/>
      </c>
      <c r="W243" s="7">
        <f>IF($AH243="","",V243*U243)</f>
        <v/>
      </c>
      <c r="X243">
        <f>IF($AH243="","",Settings!$C$7)</f>
        <v/>
      </c>
      <c r="Y243" s="7">
        <f>IF($AH243="","",SUMIFS('Per Line'!$V$2:$V$1601,'Per Line'!$D$2:$D$1601,$B243,'Per Line'!$AM$2:$AM$1601,0,'Per Line'!$AN$2:$AN$1601,0))</f>
        <v/>
      </c>
      <c r="Z243" s="7">
        <f>IF($AH243="","",Y243*X243)</f>
        <v/>
      </c>
      <c r="AA243">
        <f>IF($AH243="","",Settings!$C$6)</f>
        <v/>
      </c>
      <c r="AB243" s="7">
        <f>IF($AH243="","",SUMIFS('Per Line'!$V$2:$V$1601,'Per Line'!$D$2:$D$1601,$B243,'Per Line'!$AM$2:$AM$1601,1,'Per Line'!$AN$2:$AN$1601,0))</f>
        <v/>
      </c>
      <c r="AC243" s="7">
        <f>IF($AH243="","",AB243*AA243)</f>
        <v/>
      </c>
      <c r="AD243" s="7">
        <f>IF($AH243="","",AC243+Z243+W243)</f>
        <v/>
      </c>
      <c r="AE243" s="7">
        <f>IF($AH243="","",AF243-AD243)</f>
        <v/>
      </c>
      <c r="AF243" s="7">
        <f>IF($AH243="","",Y243+AB243+V243)</f>
        <v/>
      </c>
      <c r="AG243" s="7">
        <f>IF($AH243="","",AF243-AD243-N243)</f>
        <v/>
      </c>
      <c r="AH243" s="13">
        <f>IF(ROWS($AH$2:$AH243)&lt;=MAX('Per Line'!$AL$2:$AL$1601),MATCH(ROWS($AH$2:$AH243),'Per Line'!$AL$2:$AL$1601,0),"")</f>
        <v/>
      </c>
    </row>
    <row r="244">
      <c r="A244" s="12" t="n"/>
      <c r="B244">
        <f>IF($AH244="","",INDEX('Per Line'!$D$2:$D$1601,$AH244)&amp;"")</f>
        <v/>
      </c>
      <c r="C244">
        <f>IF($AH244="","",INDEX('Per Line'!$A$2:$A$1601,$AH244)&amp;"")</f>
        <v/>
      </c>
      <c r="D244">
        <f>IF($AH244="","",INDEX('Per Line'!$B$2:$B$1601,$AH244))</f>
        <v/>
      </c>
      <c r="E244">
        <f>IF($AH244="","",INDEX('Per Line'!$C$2:$C$1601,$AH244)&amp;"")</f>
        <v/>
      </c>
      <c r="F244">
        <f>IF($AH244="","",INDEX('Per Line'!$E$2:$E$1601,$AH244)&amp;"")</f>
        <v/>
      </c>
      <c r="G244" s="11">
        <f>IF($AH244="","",INDEX('Per Line'!$F$2:$F$1601,$AH244))</f>
        <v/>
      </c>
      <c r="H244">
        <f>IF($AH244="","",INDEX('Per Line'!$G$2:$G$1601,$AH244)&amp;"")</f>
        <v/>
      </c>
      <c r="I244">
        <f>IF($AH244="","",INDEX('Per Line'!$I$2:$I$1601,$AH244)&amp;"")</f>
        <v/>
      </c>
      <c r="J244">
        <f>IF($AH244="","",INDEX('Per Line'!$J$2:$J$1601,$AH244)&amp;"")</f>
        <v/>
      </c>
      <c r="K244">
        <f>IF($AH244="","",INDEX('Per Line'!$K$2:$K$1601,$AH244)&amp;"")</f>
        <v/>
      </c>
      <c r="L244">
        <f>IF($AH244="","",INDEX('Per Line'!$L$2:$L$1601,$AH244)&amp;"")</f>
        <v/>
      </c>
      <c r="M244">
        <f>IF($AH244="","",INDEX('Per Line'!$M$2:$M$1601,$AH244))</f>
        <v/>
      </c>
      <c r="N244" s="7">
        <f>IF($AH244="","",M244*AE244/100)</f>
        <v/>
      </c>
      <c r="O244">
        <f>IF($AH244="","",INDEX('Per Line'!$Z$2:$Z$1601,$AH244)&amp;"")</f>
        <v/>
      </c>
      <c r="P244">
        <f>IF($AH244="","",INDEX('Per Line'!$AC$2:$AC$1601,$AH244)&amp;"")</f>
        <v/>
      </c>
      <c r="Q244">
        <f>IF($AH244="","",INDEX('Per Line'!$AD$2:$AD$1601,$AH244))</f>
        <v/>
      </c>
      <c r="R244">
        <f>IF($AH244="","",IF(AND(ISNUMBER(Q244),Q244&gt;0),AF244&gt;Q244,FALSE))</f>
        <v/>
      </c>
      <c r="S244">
        <f>IF($AH244="","",INDEX('Per Line'!$AH$2:$AH$1601,$AH244)&amp;"")</f>
        <v/>
      </c>
      <c r="T244" s="11">
        <f>IF($AH244="","",INDEX('Per Line'!$AI$2:$AI$1601,$AH244))</f>
        <v/>
      </c>
      <c r="U244">
        <f>IF($AH244="","",Settings!$C$8)</f>
        <v/>
      </c>
      <c r="V244" s="7">
        <f>IF($AH244="","",SUMIFS('Per Line'!$V$2:$V$1601,'Per Line'!$D$2:$D$1601,$B244,'Per Line'!$AN$2:$AN$1601,1))</f>
        <v/>
      </c>
      <c r="W244" s="7">
        <f>IF($AH244="","",V244*U244)</f>
        <v/>
      </c>
      <c r="X244">
        <f>IF($AH244="","",Settings!$C$7)</f>
        <v/>
      </c>
      <c r="Y244" s="7">
        <f>IF($AH244="","",SUMIFS('Per Line'!$V$2:$V$1601,'Per Line'!$D$2:$D$1601,$B244,'Per Line'!$AM$2:$AM$1601,0,'Per Line'!$AN$2:$AN$1601,0))</f>
        <v/>
      </c>
      <c r="Z244" s="7">
        <f>IF($AH244="","",Y244*X244)</f>
        <v/>
      </c>
      <c r="AA244">
        <f>IF($AH244="","",Settings!$C$6)</f>
        <v/>
      </c>
      <c r="AB244" s="7">
        <f>IF($AH244="","",SUMIFS('Per Line'!$V$2:$V$1601,'Per Line'!$D$2:$D$1601,$B244,'Per Line'!$AM$2:$AM$1601,1,'Per Line'!$AN$2:$AN$1601,0))</f>
        <v/>
      </c>
      <c r="AC244" s="7">
        <f>IF($AH244="","",AB244*AA244)</f>
        <v/>
      </c>
      <c r="AD244" s="7">
        <f>IF($AH244="","",AC244+Z244+W244)</f>
        <v/>
      </c>
      <c r="AE244" s="7">
        <f>IF($AH244="","",AF244-AD244)</f>
        <v/>
      </c>
      <c r="AF244" s="7">
        <f>IF($AH244="","",Y244+AB244+V244)</f>
        <v/>
      </c>
      <c r="AG244" s="7">
        <f>IF($AH244="","",AF244-AD244-N244)</f>
        <v/>
      </c>
      <c r="AH244" s="13">
        <f>IF(ROWS($AH$2:$AH244)&lt;=MAX('Per Line'!$AL$2:$AL$1601),MATCH(ROWS($AH$2:$AH244),'Per Line'!$AL$2:$AL$1601,0),"")</f>
        <v/>
      </c>
    </row>
    <row r="245">
      <c r="A245" s="12" t="n"/>
      <c r="B245">
        <f>IF($AH245="","",INDEX('Per Line'!$D$2:$D$1601,$AH245)&amp;"")</f>
        <v/>
      </c>
      <c r="C245">
        <f>IF($AH245="","",INDEX('Per Line'!$A$2:$A$1601,$AH245)&amp;"")</f>
        <v/>
      </c>
      <c r="D245">
        <f>IF($AH245="","",INDEX('Per Line'!$B$2:$B$1601,$AH245))</f>
        <v/>
      </c>
      <c r="E245">
        <f>IF($AH245="","",INDEX('Per Line'!$C$2:$C$1601,$AH245)&amp;"")</f>
        <v/>
      </c>
      <c r="F245">
        <f>IF($AH245="","",INDEX('Per Line'!$E$2:$E$1601,$AH245)&amp;"")</f>
        <v/>
      </c>
      <c r="G245" s="11">
        <f>IF($AH245="","",INDEX('Per Line'!$F$2:$F$1601,$AH245))</f>
        <v/>
      </c>
      <c r="H245">
        <f>IF($AH245="","",INDEX('Per Line'!$G$2:$G$1601,$AH245)&amp;"")</f>
        <v/>
      </c>
      <c r="I245">
        <f>IF($AH245="","",INDEX('Per Line'!$I$2:$I$1601,$AH245)&amp;"")</f>
        <v/>
      </c>
      <c r="J245">
        <f>IF($AH245="","",INDEX('Per Line'!$J$2:$J$1601,$AH245)&amp;"")</f>
        <v/>
      </c>
      <c r="K245">
        <f>IF($AH245="","",INDEX('Per Line'!$K$2:$K$1601,$AH245)&amp;"")</f>
        <v/>
      </c>
      <c r="L245">
        <f>IF($AH245="","",INDEX('Per Line'!$L$2:$L$1601,$AH245)&amp;"")</f>
        <v/>
      </c>
      <c r="M245">
        <f>IF($AH245="","",INDEX('Per Line'!$M$2:$M$1601,$AH245))</f>
        <v/>
      </c>
      <c r="N245" s="7">
        <f>IF($AH245="","",M245*AE245/100)</f>
        <v/>
      </c>
      <c r="O245">
        <f>IF($AH245="","",INDEX('Per Line'!$Z$2:$Z$1601,$AH245)&amp;"")</f>
        <v/>
      </c>
      <c r="P245">
        <f>IF($AH245="","",INDEX('Per Line'!$AC$2:$AC$1601,$AH245)&amp;"")</f>
        <v/>
      </c>
      <c r="Q245">
        <f>IF($AH245="","",INDEX('Per Line'!$AD$2:$AD$1601,$AH245))</f>
        <v/>
      </c>
      <c r="R245">
        <f>IF($AH245="","",IF(AND(ISNUMBER(Q245),Q245&gt;0),AF245&gt;Q245,FALSE))</f>
        <v/>
      </c>
      <c r="S245">
        <f>IF($AH245="","",INDEX('Per Line'!$AH$2:$AH$1601,$AH245)&amp;"")</f>
        <v/>
      </c>
      <c r="T245" s="11">
        <f>IF($AH245="","",INDEX('Per Line'!$AI$2:$AI$1601,$AH245))</f>
        <v/>
      </c>
      <c r="U245">
        <f>IF($AH245="","",Settings!$C$8)</f>
        <v/>
      </c>
      <c r="V245" s="7">
        <f>IF($AH245="","",SUMIFS('Per Line'!$V$2:$V$1601,'Per Line'!$D$2:$D$1601,$B245,'Per Line'!$AN$2:$AN$1601,1))</f>
        <v/>
      </c>
      <c r="W245" s="7">
        <f>IF($AH245="","",V245*U245)</f>
        <v/>
      </c>
      <c r="X245">
        <f>IF($AH245="","",Settings!$C$7)</f>
        <v/>
      </c>
      <c r="Y245" s="7">
        <f>IF($AH245="","",SUMIFS('Per Line'!$V$2:$V$1601,'Per Line'!$D$2:$D$1601,$B245,'Per Line'!$AM$2:$AM$1601,0,'Per Line'!$AN$2:$AN$1601,0))</f>
        <v/>
      </c>
      <c r="Z245" s="7">
        <f>IF($AH245="","",Y245*X245)</f>
        <v/>
      </c>
      <c r="AA245">
        <f>IF($AH245="","",Settings!$C$6)</f>
        <v/>
      </c>
      <c r="AB245" s="7">
        <f>IF($AH245="","",SUMIFS('Per Line'!$V$2:$V$1601,'Per Line'!$D$2:$D$1601,$B245,'Per Line'!$AM$2:$AM$1601,1,'Per Line'!$AN$2:$AN$1601,0))</f>
        <v/>
      </c>
      <c r="AC245" s="7">
        <f>IF($AH245="","",AB245*AA245)</f>
        <v/>
      </c>
      <c r="AD245" s="7">
        <f>IF($AH245="","",AC245+Z245+W245)</f>
        <v/>
      </c>
      <c r="AE245" s="7">
        <f>IF($AH245="","",AF245-AD245)</f>
        <v/>
      </c>
      <c r="AF245" s="7">
        <f>IF($AH245="","",Y245+AB245+V245)</f>
        <v/>
      </c>
      <c r="AG245" s="7">
        <f>IF($AH245="","",AF245-AD245-N245)</f>
        <v/>
      </c>
      <c r="AH245" s="13">
        <f>IF(ROWS($AH$2:$AH245)&lt;=MAX('Per Line'!$AL$2:$AL$1601),MATCH(ROWS($AH$2:$AH245),'Per Line'!$AL$2:$AL$1601,0),"")</f>
        <v/>
      </c>
    </row>
    <row r="246">
      <c r="A246" s="12" t="n"/>
      <c r="B246">
        <f>IF($AH246="","",INDEX('Per Line'!$D$2:$D$1601,$AH246)&amp;"")</f>
        <v/>
      </c>
      <c r="C246">
        <f>IF($AH246="","",INDEX('Per Line'!$A$2:$A$1601,$AH246)&amp;"")</f>
        <v/>
      </c>
      <c r="D246">
        <f>IF($AH246="","",INDEX('Per Line'!$B$2:$B$1601,$AH246))</f>
        <v/>
      </c>
      <c r="E246">
        <f>IF($AH246="","",INDEX('Per Line'!$C$2:$C$1601,$AH246)&amp;"")</f>
        <v/>
      </c>
      <c r="F246">
        <f>IF($AH246="","",INDEX('Per Line'!$E$2:$E$1601,$AH246)&amp;"")</f>
        <v/>
      </c>
      <c r="G246" s="11">
        <f>IF($AH246="","",INDEX('Per Line'!$F$2:$F$1601,$AH246))</f>
        <v/>
      </c>
      <c r="H246">
        <f>IF($AH246="","",INDEX('Per Line'!$G$2:$G$1601,$AH246)&amp;"")</f>
        <v/>
      </c>
      <c r="I246">
        <f>IF($AH246="","",INDEX('Per Line'!$I$2:$I$1601,$AH246)&amp;"")</f>
        <v/>
      </c>
      <c r="J246">
        <f>IF($AH246="","",INDEX('Per Line'!$J$2:$J$1601,$AH246)&amp;"")</f>
        <v/>
      </c>
      <c r="K246">
        <f>IF($AH246="","",INDEX('Per Line'!$K$2:$K$1601,$AH246)&amp;"")</f>
        <v/>
      </c>
      <c r="L246">
        <f>IF($AH246="","",INDEX('Per Line'!$L$2:$L$1601,$AH246)&amp;"")</f>
        <v/>
      </c>
      <c r="M246">
        <f>IF($AH246="","",INDEX('Per Line'!$M$2:$M$1601,$AH246))</f>
        <v/>
      </c>
      <c r="N246" s="7">
        <f>IF($AH246="","",M246*AE246/100)</f>
        <v/>
      </c>
      <c r="O246">
        <f>IF($AH246="","",INDEX('Per Line'!$Z$2:$Z$1601,$AH246)&amp;"")</f>
        <v/>
      </c>
      <c r="P246">
        <f>IF($AH246="","",INDEX('Per Line'!$AC$2:$AC$1601,$AH246)&amp;"")</f>
        <v/>
      </c>
      <c r="Q246">
        <f>IF($AH246="","",INDEX('Per Line'!$AD$2:$AD$1601,$AH246))</f>
        <v/>
      </c>
      <c r="R246">
        <f>IF($AH246="","",IF(AND(ISNUMBER(Q246),Q246&gt;0),AF246&gt;Q246,FALSE))</f>
        <v/>
      </c>
      <c r="S246">
        <f>IF($AH246="","",INDEX('Per Line'!$AH$2:$AH$1601,$AH246)&amp;"")</f>
        <v/>
      </c>
      <c r="T246" s="11">
        <f>IF($AH246="","",INDEX('Per Line'!$AI$2:$AI$1601,$AH246))</f>
        <v/>
      </c>
      <c r="U246">
        <f>IF($AH246="","",Settings!$C$8)</f>
        <v/>
      </c>
      <c r="V246" s="7">
        <f>IF($AH246="","",SUMIFS('Per Line'!$V$2:$V$1601,'Per Line'!$D$2:$D$1601,$B246,'Per Line'!$AN$2:$AN$1601,1))</f>
        <v/>
      </c>
      <c r="W246" s="7">
        <f>IF($AH246="","",V246*U246)</f>
        <v/>
      </c>
      <c r="X246">
        <f>IF($AH246="","",Settings!$C$7)</f>
        <v/>
      </c>
      <c r="Y246" s="7">
        <f>IF($AH246="","",SUMIFS('Per Line'!$V$2:$V$1601,'Per Line'!$D$2:$D$1601,$B246,'Per Line'!$AM$2:$AM$1601,0,'Per Line'!$AN$2:$AN$1601,0))</f>
        <v/>
      </c>
      <c r="Z246" s="7">
        <f>IF($AH246="","",Y246*X246)</f>
        <v/>
      </c>
      <c r="AA246">
        <f>IF($AH246="","",Settings!$C$6)</f>
        <v/>
      </c>
      <c r="AB246" s="7">
        <f>IF($AH246="","",SUMIFS('Per Line'!$V$2:$V$1601,'Per Line'!$D$2:$D$1601,$B246,'Per Line'!$AM$2:$AM$1601,1,'Per Line'!$AN$2:$AN$1601,0))</f>
        <v/>
      </c>
      <c r="AC246" s="7">
        <f>IF($AH246="","",AB246*AA246)</f>
        <v/>
      </c>
      <c r="AD246" s="7">
        <f>IF($AH246="","",AC246+Z246+W246)</f>
        <v/>
      </c>
      <c r="AE246" s="7">
        <f>IF($AH246="","",AF246-AD246)</f>
        <v/>
      </c>
      <c r="AF246" s="7">
        <f>IF($AH246="","",Y246+AB246+V246)</f>
        <v/>
      </c>
      <c r="AG246" s="7">
        <f>IF($AH246="","",AF246-AD246-N246)</f>
        <v/>
      </c>
      <c r="AH246" s="13">
        <f>IF(ROWS($AH$2:$AH246)&lt;=MAX('Per Line'!$AL$2:$AL$1601),MATCH(ROWS($AH$2:$AH246),'Per Line'!$AL$2:$AL$1601,0),"")</f>
        <v/>
      </c>
    </row>
    <row r="247">
      <c r="A247" s="12" t="n"/>
      <c r="B247">
        <f>IF($AH247="","",INDEX('Per Line'!$D$2:$D$1601,$AH247)&amp;"")</f>
        <v/>
      </c>
      <c r="C247">
        <f>IF($AH247="","",INDEX('Per Line'!$A$2:$A$1601,$AH247)&amp;"")</f>
        <v/>
      </c>
      <c r="D247">
        <f>IF($AH247="","",INDEX('Per Line'!$B$2:$B$1601,$AH247))</f>
        <v/>
      </c>
      <c r="E247">
        <f>IF($AH247="","",INDEX('Per Line'!$C$2:$C$1601,$AH247)&amp;"")</f>
        <v/>
      </c>
      <c r="F247">
        <f>IF($AH247="","",INDEX('Per Line'!$E$2:$E$1601,$AH247)&amp;"")</f>
        <v/>
      </c>
      <c r="G247" s="11">
        <f>IF($AH247="","",INDEX('Per Line'!$F$2:$F$1601,$AH247))</f>
        <v/>
      </c>
      <c r="H247">
        <f>IF($AH247="","",INDEX('Per Line'!$G$2:$G$1601,$AH247)&amp;"")</f>
        <v/>
      </c>
      <c r="I247">
        <f>IF($AH247="","",INDEX('Per Line'!$I$2:$I$1601,$AH247)&amp;"")</f>
        <v/>
      </c>
      <c r="J247">
        <f>IF($AH247="","",INDEX('Per Line'!$J$2:$J$1601,$AH247)&amp;"")</f>
        <v/>
      </c>
      <c r="K247">
        <f>IF($AH247="","",INDEX('Per Line'!$K$2:$K$1601,$AH247)&amp;"")</f>
        <v/>
      </c>
      <c r="L247">
        <f>IF($AH247="","",INDEX('Per Line'!$L$2:$L$1601,$AH247)&amp;"")</f>
        <v/>
      </c>
      <c r="M247">
        <f>IF($AH247="","",INDEX('Per Line'!$M$2:$M$1601,$AH247))</f>
        <v/>
      </c>
      <c r="N247" s="7">
        <f>IF($AH247="","",M247*AE247/100)</f>
        <v/>
      </c>
      <c r="O247">
        <f>IF($AH247="","",INDEX('Per Line'!$Z$2:$Z$1601,$AH247)&amp;"")</f>
        <v/>
      </c>
      <c r="P247">
        <f>IF($AH247="","",INDEX('Per Line'!$AC$2:$AC$1601,$AH247)&amp;"")</f>
        <v/>
      </c>
      <c r="Q247">
        <f>IF($AH247="","",INDEX('Per Line'!$AD$2:$AD$1601,$AH247))</f>
        <v/>
      </c>
      <c r="R247">
        <f>IF($AH247="","",IF(AND(ISNUMBER(Q247),Q247&gt;0),AF247&gt;Q247,FALSE))</f>
        <v/>
      </c>
      <c r="S247">
        <f>IF($AH247="","",INDEX('Per Line'!$AH$2:$AH$1601,$AH247)&amp;"")</f>
        <v/>
      </c>
      <c r="T247" s="11">
        <f>IF($AH247="","",INDEX('Per Line'!$AI$2:$AI$1601,$AH247))</f>
        <v/>
      </c>
      <c r="U247">
        <f>IF($AH247="","",Settings!$C$8)</f>
        <v/>
      </c>
      <c r="V247" s="7">
        <f>IF($AH247="","",SUMIFS('Per Line'!$V$2:$V$1601,'Per Line'!$D$2:$D$1601,$B247,'Per Line'!$AN$2:$AN$1601,1))</f>
        <v/>
      </c>
      <c r="W247" s="7">
        <f>IF($AH247="","",V247*U247)</f>
        <v/>
      </c>
      <c r="X247">
        <f>IF($AH247="","",Settings!$C$7)</f>
        <v/>
      </c>
      <c r="Y247" s="7">
        <f>IF($AH247="","",SUMIFS('Per Line'!$V$2:$V$1601,'Per Line'!$D$2:$D$1601,$B247,'Per Line'!$AM$2:$AM$1601,0,'Per Line'!$AN$2:$AN$1601,0))</f>
        <v/>
      </c>
      <c r="Z247" s="7">
        <f>IF($AH247="","",Y247*X247)</f>
        <v/>
      </c>
      <c r="AA247">
        <f>IF($AH247="","",Settings!$C$6)</f>
        <v/>
      </c>
      <c r="AB247" s="7">
        <f>IF($AH247="","",SUMIFS('Per Line'!$V$2:$V$1601,'Per Line'!$D$2:$D$1601,$B247,'Per Line'!$AM$2:$AM$1601,1,'Per Line'!$AN$2:$AN$1601,0))</f>
        <v/>
      </c>
      <c r="AC247" s="7">
        <f>IF($AH247="","",AB247*AA247)</f>
        <v/>
      </c>
      <c r="AD247" s="7">
        <f>IF($AH247="","",AC247+Z247+W247)</f>
        <v/>
      </c>
      <c r="AE247" s="7">
        <f>IF($AH247="","",AF247-AD247)</f>
        <v/>
      </c>
      <c r="AF247" s="7">
        <f>IF($AH247="","",Y247+AB247+V247)</f>
        <v/>
      </c>
      <c r="AG247" s="7">
        <f>IF($AH247="","",AF247-AD247-N247)</f>
        <v/>
      </c>
      <c r="AH247" s="13">
        <f>IF(ROWS($AH$2:$AH247)&lt;=MAX('Per Line'!$AL$2:$AL$1601),MATCH(ROWS($AH$2:$AH247),'Per Line'!$AL$2:$AL$1601,0),"")</f>
        <v/>
      </c>
    </row>
    <row r="248">
      <c r="A248" s="12" t="n"/>
      <c r="B248">
        <f>IF($AH248="","",INDEX('Per Line'!$D$2:$D$1601,$AH248)&amp;"")</f>
        <v/>
      </c>
      <c r="C248">
        <f>IF($AH248="","",INDEX('Per Line'!$A$2:$A$1601,$AH248)&amp;"")</f>
        <v/>
      </c>
      <c r="D248">
        <f>IF($AH248="","",INDEX('Per Line'!$B$2:$B$1601,$AH248))</f>
        <v/>
      </c>
      <c r="E248">
        <f>IF($AH248="","",INDEX('Per Line'!$C$2:$C$1601,$AH248)&amp;"")</f>
        <v/>
      </c>
      <c r="F248">
        <f>IF($AH248="","",INDEX('Per Line'!$E$2:$E$1601,$AH248)&amp;"")</f>
        <v/>
      </c>
      <c r="G248" s="11">
        <f>IF($AH248="","",INDEX('Per Line'!$F$2:$F$1601,$AH248))</f>
        <v/>
      </c>
      <c r="H248">
        <f>IF($AH248="","",INDEX('Per Line'!$G$2:$G$1601,$AH248)&amp;"")</f>
        <v/>
      </c>
      <c r="I248">
        <f>IF($AH248="","",INDEX('Per Line'!$I$2:$I$1601,$AH248)&amp;"")</f>
        <v/>
      </c>
      <c r="J248">
        <f>IF($AH248="","",INDEX('Per Line'!$J$2:$J$1601,$AH248)&amp;"")</f>
        <v/>
      </c>
      <c r="K248">
        <f>IF($AH248="","",INDEX('Per Line'!$K$2:$K$1601,$AH248)&amp;"")</f>
        <v/>
      </c>
      <c r="L248">
        <f>IF($AH248="","",INDEX('Per Line'!$L$2:$L$1601,$AH248)&amp;"")</f>
        <v/>
      </c>
      <c r="M248">
        <f>IF($AH248="","",INDEX('Per Line'!$M$2:$M$1601,$AH248))</f>
        <v/>
      </c>
      <c r="N248" s="7">
        <f>IF($AH248="","",M248*AE248/100)</f>
        <v/>
      </c>
      <c r="O248">
        <f>IF($AH248="","",INDEX('Per Line'!$Z$2:$Z$1601,$AH248)&amp;"")</f>
        <v/>
      </c>
      <c r="P248">
        <f>IF($AH248="","",INDEX('Per Line'!$AC$2:$AC$1601,$AH248)&amp;"")</f>
        <v/>
      </c>
      <c r="Q248">
        <f>IF($AH248="","",INDEX('Per Line'!$AD$2:$AD$1601,$AH248))</f>
        <v/>
      </c>
      <c r="R248">
        <f>IF($AH248="","",IF(AND(ISNUMBER(Q248),Q248&gt;0),AF248&gt;Q248,FALSE))</f>
        <v/>
      </c>
      <c r="S248">
        <f>IF($AH248="","",INDEX('Per Line'!$AH$2:$AH$1601,$AH248)&amp;"")</f>
        <v/>
      </c>
      <c r="T248" s="11">
        <f>IF($AH248="","",INDEX('Per Line'!$AI$2:$AI$1601,$AH248))</f>
        <v/>
      </c>
      <c r="U248">
        <f>IF($AH248="","",Settings!$C$8)</f>
        <v/>
      </c>
      <c r="V248" s="7">
        <f>IF($AH248="","",SUMIFS('Per Line'!$V$2:$V$1601,'Per Line'!$D$2:$D$1601,$B248,'Per Line'!$AN$2:$AN$1601,1))</f>
        <v/>
      </c>
      <c r="W248" s="7">
        <f>IF($AH248="","",V248*U248)</f>
        <v/>
      </c>
      <c r="X248">
        <f>IF($AH248="","",Settings!$C$7)</f>
        <v/>
      </c>
      <c r="Y248" s="7">
        <f>IF($AH248="","",SUMIFS('Per Line'!$V$2:$V$1601,'Per Line'!$D$2:$D$1601,$B248,'Per Line'!$AM$2:$AM$1601,0,'Per Line'!$AN$2:$AN$1601,0))</f>
        <v/>
      </c>
      <c r="Z248" s="7">
        <f>IF($AH248="","",Y248*X248)</f>
        <v/>
      </c>
      <c r="AA248">
        <f>IF($AH248="","",Settings!$C$6)</f>
        <v/>
      </c>
      <c r="AB248" s="7">
        <f>IF($AH248="","",SUMIFS('Per Line'!$V$2:$V$1601,'Per Line'!$D$2:$D$1601,$B248,'Per Line'!$AM$2:$AM$1601,1,'Per Line'!$AN$2:$AN$1601,0))</f>
        <v/>
      </c>
      <c r="AC248" s="7">
        <f>IF($AH248="","",AB248*AA248)</f>
        <v/>
      </c>
      <c r="AD248" s="7">
        <f>IF($AH248="","",AC248+Z248+W248)</f>
        <v/>
      </c>
      <c r="AE248" s="7">
        <f>IF($AH248="","",AF248-AD248)</f>
        <v/>
      </c>
      <c r="AF248" s="7">
        <f>IF($AH248="","",Y248+AB248+V248)</f>
        <v/>
      </c>
      <c r="AG248" s="7">
        <f>IF($AH248="","",AF248-AD248-N248)</f>
        <v/>
      </c>
      <c r="AH248" s="13">
        <f>IF(ROWS($AH$2:$AH248)&lt;=MAX('Per Line'!$AL$2:$AL$1601),MATCH(ROWS($AH$2:$AH248),'Per Line'!$AL$2:$AL$1601,0),"")</f>
        <v/>
      </c>
    </row>
    <row r="249">
      <c r="A249" s="12" t="n"/>
      <c r="B249">
        <f>IF($AH249="","",INDEX('Per Line'!$D$2:$D$1601,$AH249)&amp;"")</f>
        <v/>
      </c>
      <c r="C249">
        <f>IF($AH249="","",INDEX('Per Line'!$A$2:$A$1601,$AH249)&amp;"")</f>
        <v/>
      </c>
      <c r="D249">
        <f>IF($AH249="","",INDEX('Per Line'!$B$2:$B$1601,$AH249))</f>
        <v/>
      </c>
      <c r="E249">
        <f>IF($AH249="","",INDEX('Per Line'!$C$2:$C$1601,$AH249)&amp;"")</f>
        <v/>
      </c>
      <c r="F249">
        <f>IF($AH249="","",INDEX('Per Line'!$E$2:$E$1601,$AH249)&amp;"")</f>
        <v/>
      </c>
      <c r="G249" s="11">
        <f>IF($AH249="","",INDEX('Per Line'!$F$2:$F$1601,$AH249))</f>
        <v/>
      </c>
      <c r="H249">
        <f>IF($AH249="","",INDEX('Per Line'!$G$2:$G$1601,$AH249)&amp;"")</f>
        <v/>
      </c>
      <c r="I249">
        <f>IF($AH249="","",INDEX('Per Line'!$I$2:$I$1601,$AH249)&amp;"")</f>
        <v/>
      </c>
      <c r="J249">
        <f>IF($AH249="","",INDEX('Per Line'!$J$2:$J$1601,$AH249)&amp;"")</f>
        <v/>
      </c>
      <c r="K249">
        <f>IF($AH249="","",INDEX('Per Line'!$K$2:$K$1601,$AH249)&amp;"")</f>
        <v/>
      </c>
      <c r="L249">
        <f>IF($AH249="","",INDEX('Per Line'!$L$2:$L$1601,$AH249)&amp;"")</f>
        <v/>
      </c>
      <c r="M249">
        <f>IF($AH249="","",INDEX('Per Line'!$M$2:$M$1601,$AH249))</f>
        <v/>
      </c>
      <c r="N249" s="7">
        <f>IF($AH249="","",M249*AE249/100)</f>
        <v/>
      </c>
      <c r="O249">
        <f>IF($AH249="","",INDEX('Per Line'!$Z$2:$Z$1601,$AH249)&amp;"")</f>
        <v/>
      </c>
      <c r="P249">
        <f>IF($AH249="","",INDEX('Per Line'!$AC$2:$AC$1601,$AH249)&amp;"")</f>
        <v/>
      </c>
      <c r="Q249">
        <f>IF($AH249="","",INDEX('Per Line'!$AD$2:$AD$1601,$AH249))</f>
        <v/>
      </c>
      <c r="R249">
        <f>IF($AH249="","",IF(AND(ISNUMBER(Q249),Q249&gt;0),AF249&gt;Q249,FALSE))</f>
        <v/>
      </c>
      <c r="S249">
        <f>IF($AH249="","",INDEX('Per Line'!$AH$2:$AH$1601,$AH249)&amp;"")</f>
        <v/>
      </c>
      <c r="T249" s="11">
        <f>IF($AH249="","",INDEX('Per Line'!$AI$2:$AI$1601,$AH249))</f>
        <v/>
      </c>
      <c r="U249">
        <f>IF($AH249="","",Settings!$C$8)</f>
        <v/>
      </c>
      <c r="V249" s="7">
        <f>IF($AH249="","",SUMIFS('Per Line'!$V$2:$V$1601,'Per Line'!$D$2:$D$1601,$B249,'Per Line'!$AN$2:$AN$1601,1))</f>
        <v/>
      </c>
      <c r="W249" s="7">
        <f>IF($AH249="","",V249*U249)</f>
        <v/>
      </c>
      <c r="X249">
        <f>IF($AH249="","",Settings!$C$7)</f>
        <v/>
      </c>
      <c r="Y249" s="7">
        <f>IF($AH249="","",SUMIFS('Per Line'!$V$2:$V$1601,'Per Line'!$D$2:$D$1601,$B249,'Per Line'!$AM$2:$AM$1601,0,'Per Line'!$AN$2:$AN$1601,0))</f>
        <v/>
      </c>
      <c r="Z249" s="7">
        <f>IF($AH249="","",Y249*X249)</f>
        <v/>
      </c>
      <c r="AA249">
        <f>IF($AH249="","",Settings!$C$6)</f>
        <v/>
      </c>
      <c r="AB249" s="7">
        <f>IF($AH249="","",SUMIFS('Per Line'!$V$2:$V$1601,'Per Line'!$D$2:$D$1601,$B249,'Per Line'!$AM$2:$AM$1601,1,'Per Line'!$AN$2:$AN$1601,0))</f>
        <v/>
      </c>
      <c r="AC249" s="7">
        <f>IF($AH249="","",AB249*AA249)</f>
        <v/>
      </c>
      <c r="AD249" s="7">
        <f>IF($AH249="","",AC249+Z249+W249)</f>
        <v/>
      </c>
      <c r="AE249" s="7">
        <f>IF($AH249="","",AF249-AD249)</f>
        <v/>
      </c>
      <c r="AF249" s="7">
        <f>IF($AH249="","",Y249+AB249+V249)</f>
        <v/>
      </c>
      <c r="AG249" s="7">
        <f>IF($AH249="","",AF249-AD249-N249)</f>
        <v/>
      </c>
      <c r="AH249" s="13">
        <f>IF(ROWS($AH$2:$AH249)&lt;=MAX('Per Line'!$AL$2:$AL$1601),MATCH(ROWS($AH$2:$AH249),'Per Line'!$AL$2:$AL$1601,0),"")</f>
        <v/>
      </c>
    </row>
    <row r="250">
      <c r="A250" s="12" t="n"/>
      <c r="B250">
        <f>IF($AH250="","",INDEX('Per Line'!$D$2:$D$1601,$AH250)&amp;"")</f>
        <v/>
      </c>
      <c r="C250">
        <f>IF($AH250="","",INDEX('Per Line'!$A$2:$A$1601,$AH250)&amp;"")</f>
        <v/>
      </c>
      <c r="D250">
        <f>IF($AH250="","",INDEX('Per Line'!$B$2:$B$1601,$AH250))</f>
        <v/>
      </c>
      <c r="E250">
        <f>IF($AH250="","",INDEX('Per Line'!$C$2:$C$1601,$AH250)&amp;"")</f>
        <v/>
      </c>
      <c r="F250">
        <f>IF($AH250="","",INDEX('Per Line'!$E$2:$E$1601,$AH250)&amp;"")</f>
        <v/>
      </c>
      <c r="G250" s="11">
        <f>IF($AH250="","",INDEX('Per Line'!$F$2:$F$1601,$AH250))</f>
        <v/>
      </c>
      <c r="H250">
        <f>IF($AH250="","",INDEX('Per Line'!$G$2:$G$1601,$AH250)&amp;"")</f>
        <v/>
      </c>
      <c r="I250">
        <f>IF($AH250="","",INDEX('Per Line'!$I$2:$I$1601,$AH250)&amp;"")</f>
        <v/>
      </c>
      <c r="J250">
        <f>IF($AH250="","",INDEX('Per Line'!$J$2:$J$1601,$AH250)&amp;"")</f>
        <v/>
      </c>
      <c r="K250">
        <f>IF($AH250="","",INDEX('Per Line'!$K$2:$K$1601,$AH250)&amp;"")</f>
        <v/>
      </c>
      <c r="L250">
        <f>IF($AH250="","",INDEX('Per Line'!$L$2:$L$1601,$AH250)&amp;"")</f>
        <v/>
      </c>
      <c r="M250">
        <f>IF($AH250="","",INDEX('Per Line'!$M$2:$M$1601,$AH250))</f>
        <v/>
      </c>
      <c r="N250" s="7">
        <f>IF($AH250="","",M250*AE250/100)</f>
        <v/>
      </c>
      <c r="O250">
        <f>IF($AH250="","",INDEX('Per Line'!$Z$2:$Z$1601,$AH250)&amp;"")</f>
        <v/>
      </c>
      <c r="P250">
        <f>IF($AH250="","",INDEX('Per Line'!$AC$2:$AC$1601,$AH250)&amp;"")</f>
        <v/>
      </c>
      <c r="Q250">
        <f>IF($AH250="","",INDEX('Per Line'!$AD$2:$AD$1601,$AH250))</f>
        <v/>
      </c>
      <c r="R250">
        <f>IF($AH250="","",IF(AND(ISNUMBER(Q250),Q250&gt;0),AF250&gt;Q250,FALSE))</f>
        <v/>
      </c>
      <c r="S250">
        <f>IF($AH250="","",INDEX('Per Line'!$AH$2:$AH$1601,$AH250)&amp;"")</f>
        <v/>
      </c>
      <c r="T250" s="11">
        <f>IF($AH250="","",INDEX('Per Line'!$AI$2:$AI$1601,$AH250))</f>
        <v/>
      </c>
      <c r="U250">
        <f>IF($AH250="","",Settings!$C$8)</f>
        <v/>
      </c>
      <c r="V250" s="7">
        <f>IF($AH250="","",SUMIFS('Per Line'!$V$2:$V$1601,'Per Line'!$D$2:$D$1601,$B250,'Per Line'!$AN$2:$AN$1601,1))</f>
        <v/>
      </c>
      <c r="W250" s="7">
        <f>IF($AH250="","",V250*U250)</f>
        <v/>
      </c>
      <c r="X250">
        <f>IF($AH250="","",Settings!$C$7)</f>
        <v/>
      </c>
      <c r="Y250" s="7">
        <f>IF($AH250="","",SUMIFS('Per Line'!$V$2:$V$1601,'Per Line'!$D$2:$D$1601,$B250,'Per Line'!$AM$2:$AM$1601,0,'Per Line'!$AN$2:$AN$1601,0))</f>
        <v/>
      </c>
      <c r="Z250" s="7">
        <f>IF($AH250="","",Y250*X250)</f>
        <v/>
      </c>
      <c r="AA250">
        <f>IF($AH250="","",Settings!$C$6)</f>
        <v/>
      </c>
      <c r="AB250" s="7">
        <f>IF($AH250="","",SUMIFS('Per Line'!$V$2:$V$1601,'Per Line'!$D$2:$D$1601,$B250,'Per Line'!$AM$2:$AM$1601,1,'Per Line'!$AN$2:$AN$1601,0))</f>
        <v/>
      </c>
      <c r="AC250" s="7">
        <f>IF($AH250="","",AB250*AA250)</f>
        <v/>
      </c>
      <c r="AD250" s="7">
        <f>IF($AH250="","",AC250+Z250+W250)</f>
        <v/>
      </c>
      <c r="AE250" s="7">
        <f>IF($AH250="","",AF250-AD250)</f>
        <v/>
      </c>
      <c r="AF250" s="7">
        <f>IF($AH250="","",Y250+AB250+V250)</f>
        <v/>
      </c>
      <c r="AG250" s="7">
        <f>IF($AH250="","",AF250-AD250-N250)</f>
        <v/>
      </c>
      <c r="AH250" s="13">
        <f>IF(ROWS($AH$2:$AH250)&lt;=MAX('Per Line'!$AL$2:$AL$1601),MATCH(ROWS($AH$2:$AH250),'Per Line'!$AL$2:$AL$1601,0),"")</f>
        <v/>
      </c>
    </row>
    <row r="251">
      <c r="A251" s="12" t="n"/>
      <c r="B251">
        <f>IF($AH251="","",INDEX('Per Line'!$D$2:$D$1601,$AH251)&amp;"")</f>
        <v/>
      </c>
      <c r="C251">
        <f>IF($AH251="","",INDEX('Per Line'!$A$2:$A$1601,$AH251)&amp;"")</f>
        <v/>
      </c>
      <c r="D251">
        <f>IF($AH251="","",INDEX('Per Line'!$B$2:$B$1601,$AH251))</f>
        <v/>
      </c>
      <c r="E251">
        <f>IF($AH251="","",INDEX('Per Line'!$C$2:$C$1601,$AH251)&amp;"")</f>
        <v/>
      </c>
      <c r="F251">
        <f>IF($AH251="","",INDEX('Per Line'!$E$2:$E$1601,$AH251)&amp;"")</f>
        <v/>
      </c>
      <c r="G251" s="11">
        <f>IF($AH251="","",INDEX('Per Line'!$F$2:$F$1601,$AH251))</f>
        <v/>
      </c>
      <c r="H251">
        <f>IF($AH251="","",INDEX('Per Line'!$G$2:$G$1601,$AH251)&amp;"")</f>
        <v/>
      </c>
      <c r="I251">
        <f>IF($AH251="","",INDEX('Per Line'!$I$2:$I$1601,$AH251)&amp;"")</f>
        <v/>
      </c>
      <c r="J251">
        <f>IF($AH251="","",INDEX('Per Line'!$J$2:$J$1601,$AH251)&amp;"")</f>
        <v/>
      </c>
      <c r="K251">
        <f>IF($AH251="","",INDEX('Per Line'!$K$2:$K$1601,$AH251)&amp;"")</f>
        <v/>
      </c>
      <c r="L251">
        <f>IF($AH251="","",INDEX('Per Line'!$L$2:$L$1601,$AH251)&amp;"")</f>
        <v/>
      </c>
      <c r="M251">
        <f>IF($AH251="","",INDEX('Per Line'!$M$2:$M$1601,$AH251))</f>
        <v/>
      </c>
      <c r="N251" s="7">
        <f>IF($AH251="","",M251*AE251/100)</f>
        <v/>
      </c>
      <c r="O251">
        <f>IF($AH251="","",INDEX('Per Line'!$Z$2:$Z$1601,$AH251)&amp;"")</f>
        <v/>
      </c>
      <c r="P251">
        <f>IF($AH251="","",INDEX('Per Line'!$AC$2:$AC$1601,$AH251)&amp;"")</f>
        <v/>
      </c>
      <c r="Q251">
        <f>IF($AH251="","",INDEX('Per Line'!$AD$2:$AD$1601,$AH251))</f>
        <v/>
      </c>
      <c r="R251">
        <f>IF($AH251="","",IF(AND(ISNUMBER(Q251),Q251&gt;0),AF251&gt;Q251,FALSE))</f>
        <v/>
      </c>
      <c r="S251">
        <f>IF($AH251="","",INDEX('Per Line'!$AH$2:$AH$1601,$AH251)&amp;"")</f>
        <v/>
      </c>
      <c r="T251" s="11">
        <f>IF($AH251="","",INDEX('Per Line'!$AI$2:$AI$1601,$AH251))</f>
        <v/>
      </c>
      <c r="U251">
        <f>IF($AH251="","",Settings!$C$8)</f>
        <v/>
      </c>
      <c r="V251" s="7">
        <f>IF($AH251="","",SUMIFS('Per Line'!$V$2:$V$1601,'Per Line'!$D$2:$D$1601,$B251,'Per Line'!$AN$2:$AN$1601,1))</f>
        <v/>
      </c>
      <c r="W251" s="7">
        <f>IF($AH251="","",V251*U251)</f>
        <v/>
      </c>
      <c r="X251">
        <f>IF($AH251="","",Settings!$C$7)</f>
        <v/>
      </c>
      <c r="Y251" s="7">
        <f>IF($AH251="","",SUMIFS('Per Line'!$V$2:$V$1601,'Per Line'!$D$2:$D$1601,$B251,'Per Line'!$AM$2:$AM$1601,0,'Per Line'!$AN$2:$AN$1601,0))</f>
        <v/>
      </c>
      <c r="Z251" s="7">
        <f>IF($AH251="","",Y251*X251)</f>
        <v/>
      </c>
      <c r="AA251">
        <f>IF($AH251="","",Settings!$C$6)</f>
        <v/>
      </c>
      <c r="AB251" s="7">
        <f>IF($AH251="","",SUMIFS('Per Line'!$V$2:$V$1601,'Per Line'!$D$2:$D$1601,$B251,'Per Line'!$AM$2:$AM$1601,1,'Per Line'!$AN$2:$AN$1601,0))</f>
        <v/>
      </c>
      <c r="AC251" s="7">
        <f>IF($AH251="","",AB251*AA251)</f>
        <v/>
      </c>
      <c r="AD251" s="7">
        <f>IF($AH251="","",AC251+Z251+W251)</f>
        <v/>
      </c>
      <c r="AE251" s="7">
        <f>IF($AH251="","",AF251-AD251)</f>
        <v/>
      </c>
      <c r="AF251" s="7">
        <f>IF($AH251="","",Y251+AB251+V251)</f>
        <v/>
      </c>
      <c r="AG251" s="7">
        <f>IF($AH251="","",AF251-AD251-N251)</f>
        <v/>
      </c>
      <c r="AH251" s="13">
        <f>IF(ROWS($AH$2:$AH251)&lt;=MAX('Per Line'!$AL$2:$AL$1601),MATCH(ROWS($AH$2:$AH251),'Per Line'!$AL$2:$AL$1601,0),"")</f>
        <v/>
      </c>
    </row>
    <row r="252">
      <c r="A252" s="12" t="n"/>
      <c r="B252">
        <f>IF($AH252="","",INDEX('Per Line'!$D$2:$D$1601,$AH252)&amp;"")</f>
        <v/>
      </c>
      <c r="C252">
        <f>IF($AH252="","",INDEX('Per Line'!$A$2:$A$1601,$AH252)&amp;"")</f>
        <v/>
      </c>
      <c r="D252">
        <f>IF($AH252="","",INDEX('Per Line'!$B$2:$B$1601,$AH252))</f>
        <v/>
      </c>
      <c r="E252">
        <f>IF($AH252="","",INDEX('Per Line'!$C$2:$C$1601,$AH252)&amp;"")</f>
        <v/>
      </c>
      <c r="F252">
        <f>IF($AH252="","",INDEX('Per Line'!$E$2:$E$1601,$AH252)&amp;"")</f>
        <v/>
      </c>
      <c r="G252" s="11">
        <f>IF($AH252="","",INDEX('Per Line'!$F$2:$F$1601,$AH252))</f>
        <v/>
      </c>
      <c r="H252">
        <f>IF($AH252="","",INDEX('Per Line'!$G$2:$G$1601,$AH252)&amp;"")</f>
        <v/>
      </c>
      <c r="I252">
        <f>IF($AH252="","",INDEX('Per Line'!$I$2:$I$1601,$AH252)&amp;"")</f>
        <v/>
      </c>
      <c r="J252">
        <f>IF($AH252="","",INDEX('Per Line'!$J$2:$J$1601,$AH252)&amp;"")</f>
        <v/>
      </c>
      <c r="K252">
        <f>IF($AH252="","",INDEX('Per Line'!$K$2:$K$1601,$AH252)&amp;"")</f>
        <v/>
      </c>
      <c r="L252">
        <f>IF($AH252="","",INDEX('Per Line'!$L$2:$L$1601,$AH252)&amp;"")</f>
        <v/>
      </c>
      <c r="M252">
        <f>IF($AH252="","",INDEX('Per Line'!$M$2:$M$1601,$AH252))</f>
        <v/>
      </c>
      <c r="N252" s="7">
        <f>IF($AH252="","",M252*AE252/100)</f>
        <v/>
      </c>
      <c r="O252">
        <f>IF($AH252="","",INDEX('Per Line'!$Z$2:$Z$1601,$AH252)&amp;"")</f>
        <v/>
      </c>
      <c r="P252">
        <f>IF($AH252="","",INDEX('Per Line'!$AC$2:$AC$1601,$AH252)&amp;"")</f>
        <v/>
      </c>
      <c r="Q252">
        <f>IF($AH252="","",INDEX('Per Line'!$AD$2:$AD$1601,$AH252))</f>
        <v/>
      </c>
      <c r="R252">
        <f>IF($AH252="","",IF(AND(ISNUMBER(Q252),Q252&gt;0),AF252&gt;Q252,FALSE))</f>
        <v/>
      </c>
      <c r="S252">
        <f>IF($AH252="","",INDEX('Per Line'!$AH$2:$AH$1601,$AH252)&amp;"")</f>
        <v/>
      </c>
      <c r="T252" s="11">
        <f>IF($AH252="","",INDEX('Per Line'!$AI$2:$AI$1601,$AH252))</f>
        <v/>
      </c>
      <c r="U252">
        <f>IF($AH252="","",Settings!$C$8)</f>
        <v/>
      </c>
      <c r="V252" s="7">
        <f>IF($AH252="","",SUMIFS('Per Line'!$V$2:$V$1601,'Per Line'!$D$2:$D$1601,$B252,'Per Line'!$AN$2:$AN$1601,1))</f>
        <v/>
      </c>
      <c r="W252" s="7">
        <f>IF($AH252="","",V252*U252)</f>
        <v/>
      </c>
      <c r="X252">
        <f>IF($AH252="","",Settings!$C$7)</f>
        <v/>
      </c>
      <c r="Y252" s="7">
        <f>IF($AH252="","",SUMIFS('Per Line'!$V$2:$V$1601,'Per Line'!$D$2:$D$1601,$B252,'Per Line'!$AM$2:$AM$1601,0,'Per Line'!$AN$2:$AN$1601,0))</f>
        <v/>
      </c>
      <c r="Z252" s="7">
        <f>IF($AH252="","",Y252*X252)</f>
        <v/>
      </c>
      <c r="AA252">
        <f>IF($AH252="","",Settings!$C$6)</f>
        <v/>
      </c>
      <c r="AB252" s="7">
        <f>IF($AH252="","",SUMIFS('Per Line'!$V$2:$V$1601,'Per Line'!$D$2:$D$1601,$B252,'Per Line'!$AM$2:$AM$1601,1,'Per Line'!$AN$2:$AN$1601,0))</f>
        <v/>
      </c>
      <c r="AC252" s="7">
        <f>IF($AH252="","",AB252*AA252)</f>
        <v/>
      </c>
      <c r="AD252" s="7">
        <f>IF($AH252="","",AC252+Z252+W252)</f>
        <v/>
      </c>
      <c r="AE252" s="7">
        <f>IF($AH252="","",AF252-AD252)</f>
        <v/>
      </c>
      <c r="AF252" s="7">
        <f>IF($AH252="","",Y252+AB252+V252)</f>
        <v/>
      </c>
      <c r="AG252" s="7">
        <f>IF($AH252="","",AF252-AD252-N252)</f>
        <v/>
      </c>
      <c r="AH252" s="13">
        <f>IF(ROWS($AH$2:$AH252)&lt;=MAX('Per Line'!$AL$2:$AL$1601),MATCH(ROWS($AH$2:$AH252),'Per Line'!$AL$2:$AL$1601,0),"")</f>
        <v/>
      </c>
    </row>
    <row r="253">
      <c r="A253" s="12" t="n"/>
      <c r="B253">
        <f>IF($AH253="","",INDEX('Per Line'!$D$2:$D$1601,$AH253)&amp;"")</f>
        <v/>
      </c>
      <c r="C253">
        <f>IF($AH253="","",INDEX('Per Line'!$A$2:$A$1601,$AH253)&amp;"")</f>
        <v/>
      </c>
      <c r="D253">
        <f>IF($AH253="","",INDEX('Per Line'!$B$2:$B$1601,$AH253))</f>
        <v/>
      </c>
      <c r="E253">
        <f>IF($AH253="","",INDEX('Per Line'!$C$2:$C$1601,$AH253)&amp;"")</f>
        <v/>
      </c>
      <c r="F253">
        <f>IF($AH253="","",INDEX('Per Line'!$E$2:$E$1601,$AH253)&amp;"")</f>
        <v/>
      </c>
      <c r="G253" s="11">
        <f>IF($AH253="","",INDEX('Per Line'!$F$2:$F$1601,$AH253))</f>
        <v/>
      </c>
      <c r="H253">
        <f>IF($AH253="","",INDEX('Per Line'!$G$2:$G$1601,$AH253)&amp;"")</f>
        <v/>
      </c>
      <c r="I253">
        <f>IF($AH253="","",INDEX('Per Line'!$I$2:$I$1601,$AH253)&amp;"")</f>
        <v/>
      </c>
      <c r="J253">
        <f>IF($AH253="","",INDEX('Per Line'!$J$2:$J$1601,$AH253)&amp;"")</f>
        <v/>
      </c>
      <c r="K253">
        <f>IF($AH253="","",INDEX('Per Line'!$K$2:$K$1601,$AH253)&amp;"")</f>
        <v/>
      </c>
      <c r="L253">
        <f>IF($AH253="","",INDEX('Per Line'!$L$2:$L$1601,$AH253)&amp;"")</f>
        <v/>
      </c>
      <c r="M253">
        <f>IF($AH253="","",INDEX('Per Line'!$M$2:$M$1601,$AH253))</f>
        <v/>
      </c>
      <c r="N253" s="7">
        <f>IF($AH253="","",M253*AE253/100)</f>
        <v/>
      </c>
      <c r="O253">
        <f>IF($AH253="","",INDEX('Per Line'!$Z$2:$Z$1601,$AH253)&amp;"")</f>
        <v/>
      </c>
      <c r="P253">
        <f>IF($AH253="","",INDEX('Per Line'!$AC$2:$AC$1601,$AH253)&amp;"")</f>
        <v/>
      </c>
      <c r="Q253">
        <f>IF($AH253="","",INDEX('Per Line'!$AD$2:$AD$1601,$AH253))</f>
        <v/>
      </c>
      <c r="R253">
        <f>IF($AH253="","",IF(AND(ISNUMBER(Q253),Q253&gt;0),AF253&gt;Q253,FALSE))</f>
        <v/>
      </c>
      <c r="S253">
        <f>IF($AH253="","",INDEX('Per Line'!$AH$2:$AH$1601,$AH253)&amp;"")</f>
        <v/>
      </c>
      <c r="T253" s="11">
        <f>IF($AH253="","",INDEX('Per Line'!$AI$2:$AI$1601,$AH253))</f>
        <v/>
      </c>
      <c r="U253">
        <f>IF($AH253="","",Settings!$C$8)</f>
        <v/>
      </c>
      <c r="V253" s="7">
        <f>IF($AH253="","",SUMIFS('Per Line'!$V$2:$V$1601,'Per Line'!$D$2:$D$1601,$B253,'Per Line'!$AN$2:$AN$1601,1))</f>
        <v/>
      </c>
      <c r="W253" s="7">
        <f>IF($AH253="","",V253*U253)</f>
        <v/>
      </c>
      <c r="X253">
        <f>IF($AH253="","",Settings!$C$7)</f>
        <v/>
      </c>
      <c r="Y253" s="7">
        <f>IF($AH253="","",SUMIFS('Per Line'!$V$2:$V$1601,'Per Line'!$D$2:$D$1601,$B253,'Per Line'!$AM$2:$AM$1601,0,'Per Line'!$AN$2:$AN$1601,0))</f>
        <v/>
      </c>
      <c r="Z253" s="7">
        <f>IF($AH253="","",Y253*X253)</f>
        <v/>
      </c>
      <c r="AA253">
        <f>IF($AH253="","",Settings!$C$6)</f>
        <v/>
      </c>
      <c r="AB253" s="7">
        <f>IF($AH253="","",SUMIFS('Per Line'!$V$2:$V$1601,'Per Line'!$D$2:$D$1601,$B253,'Per Line'!$AM$2:$AM$1601,1,'Per Line'!$AN$2:$AN$1601,0))</f>
        <v/>
      </c>
      <c r="AC253" s="7">
        <f>IF($AH253="","",AB253*AA253)</f>
        <v/>
      </c>
      <c r="AD253" s="7">
        <f>IF($AH253="","",AC253+Z253+W253)</f>
        <v/>
      </c>
      <c r="AE253" s="7">
        <f>IF($AH253="","",AF253-AD253)</f>
        <v/>
      </c>
      <c r="AF253" s="7">
        <f>IF($AH253="","",Y253+AB253+V253)</f>
        <v/>
      </c>
      <c r="AG253" s="7">
        <f>IF($AH253="","",AF253-AD253-N253)</f>
        <v/>
      </c>
      <c r="AH253" s="13">
        <f>IF(ROWS($AH$2:$AH253)&lt;=MAX('Per Line'!$AL$2:$AL$1601),MATCH(ROWS($AH$2:$AH253),'Per Line'!$AL$2:$AL$1601,0),"")</f>
        <v/>
      </c>
    </row>
    <row r="254">
      <c r="A254" s="12" t="n"/>
      <c r="B254">
        <f>IF($AH254="","",INDEX('Per Line'!$D$2:$D$1601,$AH254)&amp;"")</f>
        <v/>
      </c>
      <c r="C254">
        <f>IF($AH254="","",INDEX('Per Line'!$A$2:$A$1601,$AH254)&amp;"")</f>
        <v/>
      </c>
      <c r="D254">
        <f>IF($AH254="","",INDEX('Per Line'!$B$2:$B$1601,$AH254))</f>
        <v/>
      </c>
      <c r="E254">
        <f>IF($AH254="","",INDEX('Per Line'!$C$2:$C$1601,$AH254)&amp;"")</f>
        <v/>
      </c>
      <c r="F254">
        <f>IF($AH254="","",INDEX('Per Line'!$E$2:$E$1601,$AH254)&amp;"")</f>
        <v/>
      </c>
      <c r="G254" s="11">
        <f>IF($AH254="","",INDEX('Per Line'!$F$2:$F$1601,$AH254))</f>
        <v/>
      </c>
      <c r="H254">
        <f>IF($AH254="","",INDEX('Per Line'!$G$2:$G$1601,$AH254)&amp;"")</f>
        <v/>
      </c>
      <c r="I254">
        <f>IF($AH254="","",INDEX('Per Line'!$I$2:$I$1601,$AH254)&amp;"")</f>
        <v/>
      </c>
      <c r="J254">
        <f>IF($AH254="","",INDEX('Per Line'!$J$2:$J$1601,$AH254)&amp;"")</f>
        <v/>
      </c>
      <c r="K254">
        <f>IF($AH254="","",INDEX('Per Line'!$K$2:$K$1601,$AH254)&amp;"")</f>
        <v/>
      </c>
      <c r="L254">
        <f>IF($AH254="","",INDEX('Per Line'!$L$2:$L$1601,$AH254)&amp;"")</f>
        <v/>
      </c>
      <c r="M254">
        <f>IF($AH254="","",INDEX('Per Line'!$M$2:$M$1601,$AH254))</f>
        <v/>
      </c>
      <c r="N254" s="7">
        <f>IF($AH254="","",M254*AE254/100)</f>
        <v/>
      </c>
      <c r="O254">
        <f>IF($AH254="","",INDEX('Per Line'!$Z$2:$Z$1601,$AH254)&amp;"")</f>
        <v/>
      </c>
      <c r="P254">
        <f>IF($AH254="","",INDEX('Per Line'!$AC$2:$AC$1601,$AH254)&amp;"")</f>
        <v/>
      </c>
      <c r="Q254">
        <f>IF($AH254="","",INDEX('Per Line'!$AD$2:$AD$1601,$AH254))</f>
        <v/>
      </c>
      <c r="R254">
        <f>IF($AH254="","",IF(AND(ISNUMBER(Q254),Q254&gt;0),AF254&gt;Q254,FALSE))</f>
        <v/>
      </c>
      <c r="S254">
        <f>IF($AH254="","",INDEX('Per Line'!$AH$2:$AH$1601,$AH254)&amp;"")</f>
        <v/>
      </c>
      <c r="T254" s="11">
        <f>IF($AH254="","",INDEX('Per Line'!$AI$2:$AI$1601,$AH254))</f>
        <v/>
      </c>
      <c r="U254">
        <f>IF($AH254="","",Settings!$C$8)</f>
        <v/>
      </c>
      <c r="V254" s="7">
        <f>IF($AH254="","",SUMIFS('Per Line'!$V$2:$V$1601,'Per Line'!$D$2:$D$1601,$B254,'Per Line'!$AN$2:$AN$1601,1))</f>
        <v/>
      </c>
      <c r="W254" s="7">
        <f>IF($AH254="","",V254*U254)</f>
        <v/>
      </c>
      <c r="X254">
        <f>IF($AH254="","",Settings!$C$7)</f>
        <v/>
      </c>
      <c r="Y254" s="7">
        <f>IF($AH254="","",SUMIFS('Per Line'!$V$2:$V$1601,'Per Line'!$D$2:$D$1601,$B254,'Per Line'!$AM$2:$AM$1601,0,'Per Line'!$AN$2:$AN$1601,0))</f>
        <v/>
      </c>
      <c r="Z254" s="7">
        <f>IF($AH254="","",Y254*X254)</f>
        <v/>
      </c>
      <c r="AA254">
        <f>IF($AH254="","",Settings!$C$6)</f>
        <v/>
      </c>
      <c r="AB254" s="7">
        <f>IF($AH254="","",SUMIFS('Per Line'!$V$2:$V$1601,'Per Line'!$D$2:$D$1601,$B254,'Per Line'!$AM$2:$AM$1601,1,'Per Line'!$AN$2:$AN$1601,0))</f>
        <v/>
      </c>
      <c r="AC254" s="7">
        <f>IF($AH254="","",AB254*AA254)</f>
        <v/>
      </c>
      <c r="AD254" s="7">
        <f>IF($AH254="","",AC254+Z254+W254)</f>
        <v/>
      </c>
      <c r="AE254" s="7">
        <f>IF($AH254="","",AF254-AD254)</f>
        <v/>
      </c>
      <c r="AF254" s="7">
        <f>IF($AH254="","",Y254+AB254+V254)</f>
        <v/>
      </c>
      <c r="AG254" s="7">
        <f>IF($AH254="","",AF254-AD254-N254)</f>
        <v/>
      </c>
      <c r="AH254" s="13">
        <f>IF(ROWS($AH$2:$AH254)&lt;=MAX('Per Line'!$AL$2:$AL$1601),MATCH(ROWS($AH$2:$AH254),'Per Line'!$AL$2:$AL$1601,0),"")</f>
        <v/>
      </c>
    </row>
    <row r="255">
      <c r="A255" s="12" t="n"/>
      <c r="B255">
        <f>IF($AH255="","",INDEX('Per Line'!$D$2:$D$1601,$AH255)&amp;"")</f>
        <v/>
      </c>
      <c r="C255">
        <f>IF($AH255="","",INDEX('Per Line'!$A$2:$A$1601,$AH255)&amp;"")</f>
        <v/>
      </c>
      <c r="D255">
        <f>IF($AH255="","",INDEX('Per Line'!$B$2:$B$1601,$AH255))</f>
        <v/>
      </c>
      <c r="E255">
        <f>IF($AH255="","",INDEX('Per Line'!$C$2:$C$1601,$AH255)&amp;"")</f>
        <v/>
      </c>
      <c r="F255">
        <f>IF($AH255="","",INDEX('Per Line'!$E$2:$E$1601,$AH255)&amp;"")</f>
        <v/>
      </c>
      <c r="G255" s="11">
        <f>IF($AH255="","",INDEX('Per Line'!$F$2:$F$1601,$AH255))</f>
        <v/>
      </c>
      <c r="H255">
        <f>IF($AH255="","",INDEX('Per Line'!$G$2:$G$1601,$AH255)&amp;"")</f>
        <v/>
      </c>
      <c r="I255">
        <f>IF($AH255="","",INDEX('Per Line'!$I$2:$I$1601,$AH255)&amp;"")</f>
        <v/>
      </c>
      <c r="J255">
        <f>IF($AH255="","",INDEX('Per Line'!$J$2:$J$1601,$AH255)&amp;"")</f>
        <v/>
      </c>
      <c r="K255">
        <f>IF($AH255="","",INDEX('Per Line'!$K$2:$K$1601,$AH255)&amp;"")</f>
        <v/>
      </c>
      <c r="L255">
        <f>IF($AH255="","",INDEX('Per Line'!$L$2:$L$1601,$AH255)&amp;"")</f>
        <v/>
      </c>
      <c r="M255">
        <f>IF($AH255="","",INDEX('Per Line'!$M$2:$M$1601,$AH255))</f>
        <v/>
      </c>
      <c r="N255" s="7">
        <f>IF($AH255="","",M255*AE255/100)</f>
        <v/>
      </c>
      <c r="O255">
        <f>IF($AH255="","",INDEX('Per Line'!$Z$2:$Z$1601,$AH255)&amp;"")</f>
        <v/>
      </c>
      <c r="P255">
        <f>IF($AH255="","",INDEX('Per Line'!$AC$2:$AC$1601,$AH255)&amp;"")</f>
        <v/>
      </c>
      <c r="Q255">
        <f>IF($AH255="","",INDEX('Per Line'!$AD$2:$AD$1601,$AH255))</f>
        <v/>
      </c>
      <c r="R255">
        <f>IF($AH255="","",IF(AND(ISNUMBER(Q255),Q255&gt;0),AF255&gt;Q255,FALSE))</f>
        <v/>
      </c>
      <c r="S255">
        <f>IF($AH255="","",INDEX('Per Line'!$AH$2:$AH$1601,$AH255)&amp;"")</f>
        <v/>
      </c>
      <c r="T255" s="11">
        <f>IF($AH255="","",INDEX('Per Line'!$AI$2:$AI$1601,$AH255))</f>
        <v/>
      </c>
      <c r="U255">
        <f>IF($AH255="","",Settings!$C$8)</f>
        <v/>
      </c>
      <c r="V255" s="7">
        <f>IF($AH255="","",SUMIFS('Per Line'!$V$2:$V$1601,'Per Line'!$D$2:$D$1601,$B255,'Per Line'!$AN$2:$AN$1601,1))</f>
        <v/>
      </c>
      <c r="W255" s="7">
        <f>IF($AH255="","",V255*U255)</f>
        <v/>
      </c>
      <c r="X255">
        <f>IF($AH255="","",Settings!$C$7)</f>
        <v/>
      </c>
      <c r="Y255" s="7">
        <f>IF($AH255="","",SUMIFS('Per Line'!$V$2:$V$1601,'Per Line'!$D$2:$D$1601,$B255,'Per Line'!$AM$2:$AM$1601,0,'Per Line'!$AN$2:$AN$1601,0))</f>
        <v/>
      </c>
      <c r="Z255" s="7">
        <f>IF($AH255="","",Y255*X255)</f>
        <v/>
      </c>
      <c r="AA255">
        <f>IF($AH255="","",Settings!$C$6)</f>
        <v/>
      </c>
      <c r="AB255" s="7">
        <f>IF($AH255="","",SUMIFS('Per Line'!$V$2:$V$1601,'Per Line'!$D$2:$D$1601,$B255,'Per Line'!$AM$2:$AM$1601,1,'Per Line'!$AN$2:$AN$1601,0))</f>
        <v/>
      </c>
      <c r="AC255" s="7">
        <f>IF($AH255="","",AB255*AA255)</f>
        <v/>
      </c>
      <c r="AD255" s="7">
        <f>IF($AH255="","",AC255+Z255+W255)</f>
        <v/>
      </c>
      <c r="AE255" s="7">
        <f>IF($AH255="","",AF255-AD255)</f>
        <v/>
      </c>
      <c r="AF255" s="7">
        <f>IF($AH255="","",Y255+AB255+V255)</f>
        <v/>
      </c>
      <c r="AG255" s="7">
        <f>IF($AH255="","",AF255-AD255-N255)</f>
        <v/>
      </c>
      <c r="AH255" s="13">
        <f>IF(ROWS($AH$2:$AH255)&lt;=MAX('Per Line'!$AL$2:$AL$1601),MATCH(ROWS($AH$2:$AH255),'Per Line'!$AL$2:$AL$1601,0),"")</f>
        <v/>
      </c>
    </row>
    <row r="256">
      <c r="A256" s="12" t="n"/>
      <c r="B256">
        <f>IF($AH256="","",INDEX('Per Line'!$D$2:$D$1601,$AH256)&amp;"")</f>
        <v/>
      </c>
      <c r="C256">
        <f>IF($AH256="","",INDEX('Per Line'!$A$2:$A$1601,$AH256)&amp;"")</f>
        <v/>
      </c>
      <c r="D256">
        <f>IF($AH256="","",INDEX('Per Line'!$B$2:$B$1601,$AH256))</f>
        <v/>
      </c>
      <c r="E256">
        <f>IF($AH256="","",INDEX('Per Line'!$C$2:$C$1601,$AH256)&amp;"")</f>
        <v/>
      </c>
      <c r="F256">
        <f>IF($AH256="","",INDEX('Per Line'!$E$2:$E$1601,$AH256)&amp;"")</f>
        <v/>
      </c>
      <c r="G256" s="11">
        <f>IF($AH256="","",INDEX('Per Line'!$F$2:$F$1601,$AH256))</f>
        <v/>
      </c>
      <c r="H256">
        <f>IF($AH256="","",INDEX('Per Line'!$G$2:$G$1601,$AH256)&amp;"")</f>
        <v/>
      </c>
      <c r="I256">
        <f>IF($AH256="","",INDEX('Per Line'!$I$2:$I$1601,$AH256)&amp;"")</f>
        <v/>
      </c>
      <c r="J256">
        <f>IF($AH256="","",INDEX('Per Line'!$J$2:$J$1601,$AH256)&amp;"")</f>
        <v/>
      </c>
      <c r="K256">
        <f>IF($AH256="","",INDEX('Per Line'!$K$2:$K$1601,$AH256)&amp;"")</f>
        <v/>
      </c>
      <c r="L256">
        <f>IF($AH256="","",INDEX('Per Line'!$L$2:$L$1601,$AH256)&amp;"")</f>
        <v/>
      </c>
      <c r="M256">
        <f>IF($AH256="","",INDEX('Per Line'!$M$2:$M$1601,$AH256))</f>
        <v/>
      </c>
      <c r="N256" s="7">
        <f>IF($AH256="","",M256*AE256/100)</f>
        <v/>
      </c>
      <c r="O256">
        <f>IF($AH256="","",INDEX('Per Line'!$Z$2:$Z$1601,$AH256)&amp;"")</f>
        <v/>
      </c>
      <c r="P256">
        <f>IF($AH256="","",INDEX('Per Line'!$AC$2:$AC$1601,$AH256)&amp;"")</f>
        <v/>
      </c>
      <c r="Q256">
        <f>IF($AH256="","",INDEX('Per Line'!$AD$2:$AD$1601,$AH256))</f>
        <v/>
      </c>
      <c r="R256">
        <f>IF($AH256="","",IF(AND(ISNUMBER(Q256),Q256&gt;0),AF256&gt;Q256,FALSE))</f>
        <v/>
      </c>
      <c r="S256">
        <f>IF($AH256="","",INDEX('Per Line'!$AH$2:$AH$1601,$AH256)&amp;"")</f>
        <v/>
      </c>
      <c r="T256" s="11">
        <f>IF($AH256="","",INDEX('Per Line'!$AI$2:$AI$1601,$AH256))</f>
        <v/>
      </c>
      <c r="U256">
        <f>IF($AH256="","",Settings!$C$8)</f>
        <v/>
      </c>
      <c r="V256" s="7">
        <f>IF($AH256="","",SUMIFS('Per Line'!$V$2:$V$1601,'Per Line'!$D$2:$D$1601,$B256,'Per Line'!$AN$2:$AN$1601,1))</f>
        <v/>
      </c>
      <c r="W256" s="7">
        <f>IF($AH256="","",V256*U256)</f>
        <v/>
      </c>
      <c r="X256">
        <f>IF($AH256="","",Settings!$C$7)</f>
        <v/>
      </c>
      <c r="Y256" s="7">
        <f>IF($AH256="","",SUMIFS('Per Line'!$V$2:$V$1601,'Per Line'!$D$2:$D$1601,$B256,'Per Line'!$AM$2:$AM$1601,0,'Per Line'!$AN$2:$AN$1601,0))</f>
        <v/>
      </c>
      <c r="Z256" s="7">
        <f>IF($AH256="","",Y256*X256)</f>
        <v/>
      </c>
      <c r="AA256">
        <f>IF($AH256="","",Settings!$C$6)</f>
        <v/>
      </c>
      <c r="AB256" s="7">
        <f>IF($AH256="","",SUMIFS('Per Line'!$V$2:$V$1601,'Per Line'!$D$2:$D$1601,$B256,'Per Line'!$AM$2:$AM$1601,1,'Per Line'!$AN$2:$AN$1601,0))</f>
        <v/>
      </c>
      <c r="AC256" s="7">
        <f>IF($AH256="","",AB256*AA256)</f>
        <v/>
      </c>
      <c r="AD256" s="7">
        <f>IF($AH256="","",AC256+Z256+W256)</f>
        <v/>
      </c>
      <c r="AE256" s="7">
        <f>IF($AH256="","",AF256-AD256)</f>
        <v/>
      </c>
      <c r="AF256" s="7">
        <f>IF($AH256="","",Y256+AB256+V256)</f>
        <v/>
      </c>
      <c r="AG256" s="7">
        <f>IF($AH256="","",AF256-AD256-N256)</f>
        <v/>
      </c>
      <c r="AH256" s="13">
        <f>IF(ROWS($AH$2:$AH256)&lt;=MAX('Per Line'!$AL$2:$AL$1601),MATCH(ROWS($AH$2:$AH256),'Per Line'!$AL$2:$AL$1601,0),"")</f>
        <v/>
      </c>
    </row>
    <row r="257">
      <c r="A257" s="12" t="n"/>
      <c r="B257">
        <f>IF($AH257="","",INDEX('Per Line'!$D$2:$D$1601,$AH257)&amp;"")</f>
        <v/>
      </c>
      <c r="C257">
        <f>IF($AH257="","",INDEX('Per Line'!$A$2:$A$1601,$AH257)&amp;"")</f>
        <v/>
      </c>
      <c r="D257">
        <f>IF($AH257="","",INDEX('Per Line'!$B$2:$B$1601,$AH257))</f>
        <v/>
      </c>
      <c r="E257">
        <f>IF($AH257="","",INDEX('Per Line'!$C$2:$C$1601,$AH257)&amp;"")</f>
        <v/>
      </c>
      <c r="F257">
        <f>IF($AH257="","",INDEX('Per Line'!$E$2:$E$1601,$AH257)&amp;"")</f>
        <v/>
      </c>
      <c r="G257" s="11">
        <f>IF($AH257="","",INDEX('Per Line'!$F$2:$F$1601,$AH257))</f>
        <v/>
      </c>
      <c r="H257">
        <f>IF($AH257="","",INDEX('Per Line'!$G$2:$G$1601,$AH257)&amp;"")</f>
        <v/>
      </c>
      <c r="I257">
        <f>IF($AH257="","",INDEX('Per Line'!$I$2:$I$1601,$AH257)&amp;"")</f>
        <v/>
      </c>
      <c r="J257">
        <f>IF($AH257="","",INDEX('Per Line'!$J$2:$J$1601,$AH257)&amp;"")</f>
        <v/>
      </c>
      <c r="K257">
        <f>IF($AH257="","",INDEX('Per Line'!$K$2:$K$1601,$AH257)&amp;"")</f>
        <v/>
      </c>
      <c r="L257">
        <f>IF($AH257="","",INDEX('Per Line'!$L$2:$L$1601,$AH257)&amp;"")</f>
        <v/>
      </c>
      <c r="M257">
        <f>IF($AH257="","",INDEX('Per Line'!$M$2:$M$1601,$AH257))</f>
        <v/>
      </c>
      <c r="N257" s="7">
        <f>IF($AH257="","",M257*AE257/100)</f>
        <v/>
      </c>
      <c r="O257">
        <f>IF($AH257="","",INDEX('Per Line'!$Z$2:$Z$1601,$AH257)&amp;"")</f>
        <v/>
      </c>
      <c r="P257">
        <f>IF($AH257="","",INDEX('Per Line'!$AC$2:$AC$1601,$AH257)&amp;"")</f>
        <v/>
      </c>
      <c r="Q257">
        <f>IF($AH257="","",INDEX('Per Line'!$AD$2:$AD$1601,$AH257))</f>
        <v/>
      </c>
      <c r="R257">
        <f>IF($AH257="","",IF(AND(ISNUMBER(Q257),Q257&gt;0),AF257&gt;Q257,FALSE))</f>
        <v/>
      </c>
      <c r="S257">
        <f>IF($AH257="","",INDEX('Per Line'!$AH$2:$AH$1601,$AH257)&amp;"")</f>
        <v/>
      </c>
      <c r="T257" s="11">
        <f>IF($AH257="","",INDEX('Per Line'!$AI$2:$AI$1601,$AH257))</f>
        <v/>
      </c>
      <c r="U257">
        <f>IF($AH257="","",Settings!$C$8)</f>
        <v/>
      </c>
      <c r="V257" s="7">
        <f>IF($AH257="","",SUMIFS('Per Line'!$V$2:$V$1601,'Per Line'!$D$2:$D$1601,$B257,'Per Line'!$AN$2:$AN$1601,1))</f>
        <v/>
      </c>
      <c r="W257" s="7">
        <f>IF($AH257="","",V257*U257)</f>
        <v/>
      </c>
      <c r="X257">
        <f>IF($AH257="","",Settings!$C$7)</f>
        <v/>
      </c>
      <c r="Y257" s="7">
        <f>IF($AH257="","",SUMIFS('Per Line'!$V$2:$V$1601,'Per Line'!$D$2:$D$1601,$B257,'Per Line'!$AM$2:$AM$1601,0,'Per Line'!$AN$2:$AN$1601,0))</f>
        <v/>
      </c>
      <c r="Z257" s="7">
        <f>IF($AH257="","",Y257*X257)</f>
        <v/>
      </c>
      <c r="AA257">
        <f>IF($AH257="","",Settings!$C$6)</f>
        <v/>
      </c>
      <c r="AB257" s="7">
        <f>IF($AH257="","",SUMIFS('Per Line'!$V$2:$V$1601,'Per Line'!$D$2:$D$1601,$B257,'Per Line'!$AM$2:$AM$1601,1,'Per Line'!$AN$2:$AN$1601,0))</f>
        <v/>
      </c>
      <c r="AC257" s="7">
        <f>IF($AH257="","",AB257*AA257)</f>
        <v/>
      </c>
      <c r="AD257" s="7">
        <f>IF($AH257="","",AC257+Z257+W257)</f>
        <v/>
      </c>
      <c r="AE257" s="7">
        <f>IF($AH257="","",AF257-AD257)</f>
        <v/>
      </c>
      <c r="AF257" s="7">
        <f>IF($AH257="","",Y257+AB257+V257)</f>
        <v/>
      </c>
      <c r="AG257" s="7">
        <f>IF($AH257="","",AF257-AD257-N257)</f>
        <v/>
      </c>
      <c r="AH257" s="13">
        <f>IF(ROWS($AH$2:$AH257)&lt;=MAX('Per Line'!$AL$2:$AL$1601),MATCH(ROWS($AH$2:$AH257),'Per Line'!$AL$2:$AL$1601,0),"")</f>
        <v/>
      </c>
    </row>
    <row r="258">
      <c r="A258" s="12" t="n"/>
      <c r="B258">
        <f>IF($AH258="","",INDEX('Per Line'!$D$2:$D$1601,$AH258)&amp;"")</f>
        <v/>
      </c>
      <c r="C258">
        <f>IF($AH258="","",INDEX('Per Line'!$A$2:$A$1601,$AH258)&amp;"")</f>
        <v/>
      </c>
      <c r="D258">
        <f>IF($AH258="","",INDEX('Per Line'!$B$2:$B$1601,$AH258))</f>
        <v/>
      </c>
      <c r="E258">
        <f>IF($AH258="","",INDEX('Per Line'!$C$2:$C$1601,$AH258)&amp;"")</f>
        <v/>
      </c>
      <c r="F258">
        <f>IF($AH258="","",INDEX('Per Line'!$E$2:$E$1601,$AH258)&amp;"")</f>
        <v/>
      </c>
      <c r="G258" s="11">
        <f>IF($AH258="","",INDEX('Per Line'!$F$2:$F$1601,$AH258))</f>
        <v/>
      </c>
      <c r="H258">
        <f>IF($AH258="","",INDEX('Per Line'!$G$2:$G$1601,$AH258)&amp;"")</f>
        <v/>
      </c>
      <c r="I258">
        <f>IF($AH258="","",INDEX('Per Line'!$I$2:$I$1601,$AH258)&amp;"")</f>
        <v/>
      </c>
      <c r="J258">
        <f>IF($AH258="","",INDEX('Per Line'!$J$2:$J$1601,$AH258)&amp;"")</f>
        <v/>
      </c>
      <c r="K258">
        <f>IF($AH258="","",INDEX('Per Line'!$K$2:$K$1601,$AH258)&amp;"")</f>
        <v/>
      </c>
      <c r="L258">
        <f>IF($AH258="","",INDEX('Per Line'!$L$2:$L$1601,$AH258)&amp;"")</f>
        <v/>
      </c>
      <c r="M258">
        <f>IF($AH258="","",INDEX('Per Line'!$M$2:$M$1601,$AH258))</f>
        <v/>
      </c>
      <c r="N258" s="7">
        <f>IF($AH258="","",M258*AE258/100)</f>
        <v/>
      </c>
      <c r="O258">
        <f>IF($AH258="","",INDEX('Per Line'!$Z$2:$Z$1601,$AH258)&amp;"")</f>
        <v/>
      </c>
      <c r="P258">
        <f>IF($AH258="","",INDEX('Per Line'!$AC$2:$AC$1601,$AH258)&amp;"")</f>
        <v/>
      </c>
      <c r="Q258">
        <f>IF($AH258="","",INDEX('Per Line'!$AD$2:$AD$1601,$AH258))</f>
        <v/>
      </c>
      <c r="R258">
        <f>IF($AH258="","",IF(AND(ISNUMBER(Q258),Q258&gt;0),AF258&gt;Q258,FALSE))</f>
        <v/>
      </c>
      <c r="S258">
        <f>IF($AH258="","",INDEX('Per Line'!$AH$2:$AH$1601,$AH258)&amp;"")</f>
        <v/>
      </c>
      <c r="T258" s="11">
        <f>IF($AH258="","",INDEX('Per Line'!$AI$2:$AI$1601,$AH258))</f>
        <v/>
      </c>
      <c r="U258">
        <f>IF($AH258="","",Settings!$C$8)</f>
        <v/>
      </c>
      <c r="V258" s="7">
        <f>IF($AH258="","",SUMIFS('Per Line'!$V$2:$V$1601,'Per Line'!$D$2:$D$1601,$B258,'Per Line'!$AN$2:$AN$1601,1))</f>
        <v/>
      </c>
      <c r="W258" s="7">
        <f>IF($AH258="","",V258*U258)</f>
        <v/>
      </c>
      <c r="X258">
        <f>IF($AH258="","",Settings!$C$7)</f>
        <v/>
      </c>
      <c r="Y258" s="7">
        <f>IF($AH258="","",SUMIFS('Per Line'!$V$2:$V$1601,'Per Line'!$D$2:$D$1601,$B258,'Per Line'!$AM$2:$AM$1601,0,'Per Line'!$AN$2:$AN$1601,0))</f>
        <v/>
      </c>
      <c r="Z258" s="7">
        <f>IF($AH258="","",Y258*X258)</f>
        <v/>
      </c>
      <c r="AA258">
        <f>IF($AH258="","",Settings!$C$6)</f>
        <v/>
      </c>
      <c r="AB258" s="7">
        <f>IF($AH258="","",SUMIFS('Per Line'!$V$2:$V$1601,'Per Line'!$D$2:$D$1601,$B258,'Per Line'!$AM$2:$AM$1601,1,'Per Line'!$AN$2:$AN$1601,0))</f>
        <v/>
      </c>
      <c r="AC258" s="7">
        <f>IF($AH258="","",AB258*AA258)</f>
        <v/>
      </c>
      <c r="AD258" s="7">
        <f>IF($AH258="","",AC258+Z258+W258)</f>
        <v/>
      </c>
      <c r="AE258" s="7">
        <f>IF($AH258="","",AF258-AD258)</f>
        <v/>
      </c>
      <c r="AF258" s="7">
        <f>IF($AH258="","",Y258+AB258+V258)</f>
        <v/>
      </c>
      <c r="AG258" s="7">
        <f>IF($AH258="","",AF258-AD258-N258)</f>
        <v/>
      </c>
      <c r="AH258" s="13">
        <f>IF(ROWS($AH$2:$AH258)&lt;=MAX('Per Line'!$AL$2:$AL$1601),MATCH(ROWS($AH$2:$AH258),'Per Line'!$AL$2:$AL$1601,0),"")</f>
        <v/>
      </c>
    </row>
    <row r="259">
      <c r="A259" s="12" t="n"/>
      <c r="B259">
        <f>IF($AH259="","",INDEX('Per Line'!$D$2:$D$1601,$AH259)&amp;"")</f>
        <v/>
      </c>
      <c r="C259">
        <f>IF($AH259="","",INDEX('Per Line'!$A$2:$A$1601,$AH259)&amp;"")</f>
        <v/>
      </c>
      <c r="D259">
        <f>IF($AH259="","",INDEX('Per Line'!$B$2:$B$1601,$AH259))</f>
        <v/>
      </c>
      <c r="E259">
        <f>IF($AH259="","",INDEX('Per Line'!$C$2:$C$1601,$AH259)&amp;"")</f>
        <v/>
      </c>
      <c r="F259">
        <f>IF($AH259="","",INDEX('Per Line'!$E$2:$E$1601,$AH259)&amp;"")</f>
        <v/>
      </c>
      <c r="G259" s="11">
        <f>IF($AH259="","",INDEX('Per Line'!$F$2:$F$1601,$AH259))</f>
        <v/>
      </c>
      <c r="H259">
        <f>IF($AH259="","",INDEX('Per Line'!$G$2:$G$1601,$AH259)&amp;"")</f>
        <v/>
      </c>
      <c r="I259">
        <f>IF($AH259="","",INDEX('Per Line'!$I$2:$I$1601,$AH259)&amp;"")</f>
        <v/>
      </c>
      <c r="J259">
        <f>IF($AH259="","",INDEX('Per Line'!$J$2:$J$1601,$AH259)&amp;"")</f>
        <v/>
      </c>
      <c r="K259">
        <f>IF($AH259="","",INDEX('Per Line'!$K$2:$K$1601,$AH259)&amp;"")</f>
        <v/>
      </c>
      <c r="L259">
        <f>IF($AH259="","",INDEX('Per Line'!$L$2:$L$1601,$AH259)&amp;"")</f>
        <v/>
      </c>
      <c r="M259">
        <f>IF($AH259="","",INDEX('Per Line'!$M$2:$M$1601,$AH259))</f>
        <v/>
      </c>
      <c r="N259" s="7">
        <f>IF($AH259="","",M259*AE259/100)</f>
        <v/>
      </c>
      <c r="O259">
        <f>IF($AH259="","",INDEX('Per Line'!$Z$2:$Z$1601,$AH259)&amp;"")</f>
        <v/>
      </c>
      <c r="P259">
        <f>IF($AH259="","",INDEX('Per Line'!$AC$2:$AC$1601,$AH259)&amp;"")</f>
        <v/>
      </c>
      <c r="Q259">
        <f>IF($AH259="","",INDEX('Per Line'!$AD$2:$AD$1601,$AH259))</f>
        <v/>
      </c>
      <c r="R259">
        <f>IF($AH259="","",IF(AND(ISNUMBER(Q259),Q259&gt;0),AF259&gt;Q259,FALSE))</f>
        <v/>
      </c>
      <c r="S259">
        <f>IF($AH259="","",INDEX('Per Line'!$AH$2:$AH$1601,$AH259)&amp;"")</f>
        <v/>
      </c>
      <c r="T259" s="11">
        <f>IF($AH259="","",INDEX('Per Line'!$AI$2:$AI$1601,$AH259))</f>
        <v/>
      </c>
      <c r="U259">
        <f>IF($AH259="","",Settings!$C$8)</f>
        <v/>
      </c>
      <c r="V259" s="7">
        <f>IF($AH259="","",SUMIFS('Per Line'!$V$2:$V$1601,'Per Line'!$D$2:$D$1601,$B259,'Per Line'!$AN$2:$AN$1601,1))</f>
        <v/>
      </c>
      <c r="W259" s="7">
        <f>IF($AH259="","",V259*U259)</f>
        <v/>
      </c>
      <c r="X259">
        <f>IF($AH259="","",Settings!$C$7)</f>
        <v/>
      </c>
      <c r="Y259" s="7">
        <f>IF($AH259="","",SUMIFS('Per Line'!$V$2:$V$1601,'Per Line'!$D$2:$D$1601,$B259,'Per Line'!$AM$2:$AM$1601,0,'Per Line'!$AN$2:$AN$1601,0))</f>
        <v/>
      </c>
      <c r="Z259" s="7">
        <f>IF($AH259="","",Y259*X259)</f>
        <v/>
      </c>
      <c r="AA259">
        <f>IF($AH259="","",Settings!$C$6)</f>
        <v/>
      </c>
      <c r="AB259" s="7">
        <f>IF($AH259="","",SUMIFS('Per Line'!$V$2:$V$1601,'Per Line'!$D$2:$D$1601,$B259,'Per Line'!$AM$2:$AM$1601,1,'Per Line'!$AN$2:$AN$1601,0))</f>
        <v/>
      </c>
      <c r="AC259" s="7">
        <f>IF($AH259="","",AB259*AA259)</f>
        <v/>
      </c>
      <c r="AD259" s="7">
        <f>IF($AH259="","",AC259+Z259+W259)</f>
        <v/>
      </c>
      <c r="AE259" s="7">
        <f>IF($AH259="","",AF259-AD259)</f>
        <v/>
      </c>
      <c r="AF259" s="7">
        <f>IF($AH259="","",Y259+AB259+V259)</f>
        <v/>
      </c>
      <c r="AG259" s="7">
        <f>IF($AH259="","",AF259-AD259-N259)</f>
        <v/>
      </c>
      <c r="AH259" s="13">
        <f>IF(ROWS($AH$2:$AH259)&lt;=MAX('Per Line'!$AL$2:$AL$1601),MATCH(ROWS($AH$2:$AH259),'Per Line'!$AL$2:$AL$1601,0),"")</f>
        <v/>
      </c>
    </row>
    <row r="260">
      <c r="A260" s="12" t="n"/>
      <c r="B260">
        <f>IF($AH260="","",INDEX('Per Line'!$D$2:$D$1601,$AH260)&amp;"")</f>
        <v/>
      </c>
      <c r="C260">
        <f>IF($AH260="","",INDEX('Per Line'!$A$2:$A$1601,$AH260)&amp;"")</f>
        <v/>
      </c>
      <c r="D260">
        <f>IF($AH260="","",INDEX('Per Line'!$B$2:$B$1601,$AH260))</f>
        <v/>
      </c>
      <c r="E260">
        <f>IF($AH260="","",INDEX('Per Line'!$C$2:$C$1601,$AH260)&amp;"")</f>
        <v/>
      </c>
      <c r="F260">
        <f>IF($AH260="","",INDEX('Per Line'!$E$2:$E$1601,$AH260)&amp;"")</f>
        <v/>
      </c>
      <c r="G260" s="11">
        <f>IF($AH260="","",INDEX('Per Line'!$F$2:$F$1601,$AH260))</f>
        <v/>
      </c>
      <c r="H260">
        <f>IF($AH260="","",INDEX('Per Line'!$G$2:$G$1601,$AH260)&amp;"")</f>
        <v/>
      </c>
      <c r="I260">
        <f>IF($AH260="","",INDEX('Per Line'!$I$2:$I$1601,$AH260)&amp;"")</f>
        <v/>
      </c>
      <c r="J260">
        <f>IF($AH260="","",INDEX('Per Line'!$J$2:$J$1601,$AH260)&amp;"")</f>
        <v/>
      </c>
      <c r="K260">
        <f>IF($AH260="","",INDEX('Per Line'!$K$2:$K$1601,$AH260)&amp;"")</f>
        <v/>
      </c>
      <c r="L260">
        <f>IF($AH260="","",INDEX('Per Line'!$L$2:$L$1601,$AH260)&amp;"")</f>
        <v/>
      </c>
      <c r="M260">
        <f>IF($AH260="","",INDEX('Per Line'!$M$2:$M$1601,$AH260))</f>
        <v/>
      </c>
      <c r="N260" s="7">
        <f>IF($AH260="","",M260*AE260/100)</f>
        <v/>
      </c>
      <c r="O260">
        <f>IF($AH260="","",INDEX('Per Line'!$Z$2:$Z$1601,$AH260)&amp;"")</f>
        <v/>
      </c>
      <c r="P260">
        <f>IF($AH260="","",INDEX('Per Line'!$AC$2:$AC$1601,$AH260)&amp;"")</f>
        <v/>
      </c>
      <c r="Q260">
        <f>IF($AH260="","",INDEX('Per Line'!$AD$2:$AD$1601,$AH260))</f>
        <v/>
      </c>
      <c r="R260">
        <f>IF($AH260="","",IF(AND(ISNUMBER(Q260),Q260&gt;0),AF260&gt;Q260,FALSE))</f>
        <v/>
      </c>
      <c r="S260">
        <f>IF($AH260="","",INDEX('Per Line'!$AH$2:$AH$1601,$AH260)&amp;"")</f>
        <v/>
      </c>
      <c r="T260" s="11">
        <f>IF($AH260="","",INDEX('Per Line'!$AI$2:$AI$1601,$AH260))</f>
        <v/>
      </c>
      <c r="U260">
        <f>IF($AH260="","",Settings!$C$8)</f>
        <v/>
      </c>
      <c r="V260" s="7">
        <f>IF($AH260="","",SUMIFS('Per Line'!$V$2:$V$1601,'Per Line'!$D$2:$D$1601,$B260,'Per Line'!$AN$2:$AN$1601,1))</f>
        <v/>
      </c>
      <c r="W260" s="7">
        <f>IF($AH260="","",V260*U260)</f>
        <v/>
      </c>
      <c r="X260">
        <f>IF($AH260="","",Settings!$C$7)</f>
        <v/>
      </c>
      <c r="Y260" s="7">
        <f>IF($AH260="","",SUMIFS('Per Line'!$V$2:$V$1601,'Per Line'!$D$2:$D$1601,$B260,'Per Line'!$AM$2:$AM$1601,0,'Per Line'!$AN$2:$AN$1601,0))</f>
        <v/>
      </c>
      <c r="Z260" s="7">
        <f>IF($AH260="","",Y260*X260)</f>
        <v/>
      </c>
      <c r="AA260">
        <f>IF($AH260="","",Settings!$C$6)</f>
        <v/>
      </c>
      <c r="AB260" s="7">
        <f>IF($AH260="","",SUMIFS('Per Line'!$V$2:$V$1601,'Per Line'!$D$2:$D$1601,$B260,'Per Line'!$AM$2:$AM$1601,1,'Per Line'!$AN$2:$AN$1601,0))</f>
        <v/>
      </c>
      <c r="AC260" s="7">
        <f>IF($AH260="","",AB260*AA260)</f>
        <v/>
      </c>
      <c r="AD260" s="7">
        <f>IF($AH260="","",AC260+Z260+W260)</f>
        <v/>
      </c>
      <c r="AE260" s="7">
        <f>IF($AH260="","",AF260-AD260)</f>
        <v/>
      </c>
      <c r="AF260" s="7">
        <f>IF($AH260="","",Y260+AB260+V260)</f>
        <v/>
      </c>
      <c r="AG260" s="7">
        <f>IF($AH260="","",AF260-AD260-N260)</f>
        <v/>
      </c>
      <c r="AH260" s="13">
        <f>IF(ROWS($AH$2:$AH260)&lt;=MAX('Per Line'!$AL$2:$AL$1601),MATCH(ROWS($AH$2:$AH260),'Per Line'!$AL$2:$AL$1601,0),"")</f>
        <v/>
      </c>
    </row>
    <row r="261">
      <c r="A261" s="12" t="n"/>
      <c r="B261">
        <f>IF($AH261="","",INDEX('Per Line'!$D$2:$D$1601,$AH261)&amp;"")</f>
        <v/>
      </c>
      <c r="C261">
        <f>IF($AH261="","",INDEX('Per Line'!$A$2:$A$1601,$AH261)&amp;"")</f>
        <v/>
      </c>
      <c r="D261">
        <f>IF($AH261="","",INDEX('Per Line'!$B$2:$B$1601,$AH261))</f>
        <v/>
      </c>
      <c r="E261">
        <f>IF($AH261="","",INDEX('Per Line'!$C$2:$C$1601,$AH261)&amp;"")</f>
        <v/>
      </c>
      <c r="F261">
        <f>IF($AH261="","",INDEX('Per Line'!$E$2:$E$1601,$AH261)&amp;"")</f>
        <v/>
      </c>
      <c r="G261" s="11">
        <f>IF($AH261="","",INDEX('Per Line'!$F$2:$F$1601,$AH261))</f>
        <v/>
      </c>
      <c r="H261">
        <f>IF($AH261="","",INDEX('Per Line'!$G$2:$G$1601,$AH261)&amp;"")</f>
        <v/>
      </c>
      <c r="I261">
        <f>IF($AH261="","",INDEX('Per Line'!$I$2:$I$1601,$AH261)&amp;"")</f>
        <v/>
      </c>
      <c r="J261">
        <f>IF($AH261="","",INDEX('Per Line'!$J$2:$J$1601,$AH261)&amp;"")</f>
        <v/>
      </c>
      <c r="K261">
        <f>IF($AH261="","",INDEX('Per Line'!$K$2:$K$1601,$AH261)&amp;"")</f>
        <v/>
      </c>
      <c r="L261">
        <f>IF($AH261="","",INDEX('Per Line'!$L$2:$L$1601,$AH261)&amp;"")</f>
        <v/>
      </c>
      <c r="M261">
        <f>IF($AH261="","",INDEX('Per Line'!$M$2:$M$1601,$AH261))</f>
        <v/>
      </c>
      <c r="N261" s="7">
        <f>IF($AH261="","",M261*AE261/100)</f>
        <v/>
      </c>
      <c r="O261">
        <f>IF($AH261="","",INDEX('Per Line'!$Z$2:$Z$1601,$AH261)&amp;"")</f>
        <v/>
      </c>
      <c r="P261">
        <f>IF($AH261="","",INDEX('Per Line'!$AC$2:$AC$1601,$AH261)&amp;"")</f>
        <v/>
      </c>
      <c r="Q261">
        <f>IF($AH261="","",INDEX('Per Line'!$AD$2:$AD$1601,$AH261))</f>
        <v/>
      </c>
      <c r="R261">
        <f>IF($AH261="","",IF(AND(ISNUMBER(Q261),Q261&gt;0),AF261&gt;Q261,FALSE))</f>
        <v/>
      </c>
      <c r="S261">
        <f>IF($AH261="","",INDEX('Per Line'!$AH$2:$AH$1601,$AH261)&amp;"")</f>
        <v/>
      </c>
      <c r="T261" s="11">
        <f>IF($AH261="","",INDEX('Per Line'!$AI$2:$AI$1601,$AH261))</f>
        <v/>
      </c>
      <c r="U261">
        <f>IF($AH261="","",Settings!$C$8)</f>
        <v/>
      </c>
      <c r="V261" s="7">
        <f>IF($AH261="","",SUMIFS('Per Line'!$V$2:$V$1601,'Per Line'!$D$2:$D$1601,$B261,'Per Line'!$AN$2:$AN$1601,1))</f>
        <v/>
      </c>
      <c r="W261" s="7">
        <f>IF($AH261="","",V261*U261)</f>
        <v/>
      </c>
      <c r="X261">
        <f>IF($AH261="","",Settings!$C$7)</f>
        <v/>
      </c>
      <c r="Y261" s="7">
        <f>IF($AH261="","",SUMIFS('Per Line'!$V$2:$V$1601,'Per Line'!$D$2:$D$1601,$B261,'Per Line'!$AM$2:$AM$1601,0,'Per Line'!$AN$2:$AN$1601,0))</f>
        <v/>
      </c>
      <c r="Z261" s="7">
        <f>IF($AH261="","",Y261*X261)</f>
        <v/>
      </c>
      <c r="AA261">
        <f>IF($AH261="","",Settings!$C$6)</f>
        <v/>
      </c>
      <c r="AB261" s="7">
        <f>IF($AH261="","",SUMIFS('Per Line'!$V$2:$V$1601,'Per Line'!$D$2:$D$1601,$B261,'Per Line'!$AM$2:$AM$1601,1,'Per Line'!$AN$2:$AN$1601,0))</f>
        <v/>
      </c>
      <c r="AC261" s="7">
        <f>IF($AH261="","",AB261*AA261)</f>
        <v/>
      </c>
      <c r="AD261" s="7">
        <f>IF($AH261="","",AC261+Z261+W261)</f>
        <v/>
      </c>
      <c r="AE261" s="7">
        <f>IF($AH261="","",AF261-AD261)</f>
        <v/>
      </c>
      <c r="AF261" s="7">
        <f>IF($AH261="","",Y261+AB261+V261)</f>
        <v/>
      </c>
      <c r="AG261" s="7">
        <f>IF($AH261="","",AF261-AD261-N261)</f>
        <v/>
      </c>
      <c r="AH261" s="13">
        <f>IF(ROWS($AH$2:$AH261)&lt;=MAX('Per Line'!$AL$2:$AL$1601),MATCH(ROWS($AH$2:$AH261),'Per Line'!$AL$2:$AL$1601,0),"")</f>
        <v/>
      </c>
    </row>
    <row r="262">
      <c r="A262" s="12" t="n"/>
      <c r="B262">
        <f>IF($AH262="","",INDEX('Per Line'!$D$2:$D$1601,$AH262)&amp;"")</f>
        <v/>
      </c>
      <c r="C262">
        <f>IF($AH262="","",INDEX('Per Line'!$A$2:$A$1601,$AH262)&amp;"")</f>
        <v/>
      </c>
      <c r="D262">
        <f>IF($AH262="","",INDEX('Per Line'!$B$2:$B$1601,$AH262))</f>
        <v/>
      </c>
      <c r="E262">
        <f>IF($AH262="","",INDEX('Per Line'!$C$2:$C$1601,$AH262)&amp;"")</f>
        <v/>
      </c>
      <c r="F262">
        <f>IF($AH262="","",INDEX('Per Line'!$E$2:$E$1601,$AH262)&amp;"")</f>
        <v/>
      </c>
      <c r="G262" s="11">
        <f>IF($AH262="","",INDEX('Per Line'!$F$2:$F$1601,$AH262))</f>
        <v/>
      </c>
      <c r="H262">
        <f>IF($AH262="","",INDEX('Per Line'!$G$2:$G$1601,$AH262)&amp;"")</f>
        <v/>
      </c>
      <c r="I262">
        <f>IF($AH262="","",INDEX('Per Line'!$I$2:$I$1601,$AH262)&amp;"")</f>
        <v/>
      </c>
      <c r="J262">
        <f>IF($AH262="","",INDEX('Per Line'!$J$2:$J$1601,$AH262)&amp;"")</f>
        <v/>
      </c>
      <c r="K262">
        <f>IF($AH262="","",INDEX('Per Line'!$K$2:$K$1601,$AH262)&amp;"")</f>
        <v/>
      </c>
      <c r="L262">
        <f>IF($AH262="","",INDEX('Per Line'!$L$2:$L$1601,$AH262)&amp;"")</f>
        <v/>
      </c>
      <c r="M262">
        <f>IF($AH262="","",INDEX('Per Line'!$M$2:$M$1601,$AH262))</f>
        <v/>
      </c>
      <c r="N262" s="7">
        <f>IF($AH262="","",M262*AE262/100)</f>
        <v/>
      </c>
      <c r="O262">
        <f>IF($AH262="","",INDEX('Per Line'!$Z$2:$Z$1601,$AH262)&amp;"")</f>
        <v/>
      </c>
      <c r="P262">
        <f>IF($AH262="","",INDEX('Per Line'!$AC$2:$AC$1601,$AH262)&amp;"")</f>
        <v/>
      </c>
      <c r="Q262">
        <f>IF($AH262="","",INDEX('Per Line'!$AD$2:$AD$1601,$AH262))</f>
        <v/>
      </c>
      <c r="R262">
        <f>IF($AH262="","",IF(AND(ISNUMBER(Q262),Q262&gt;0),AF262&gt;Q262,FALSE))</f>
        <v/>
      </c>
      <c r="S262">
        <f>IF($AH262="","",INDEX('Per Line'!$AH$2:$AH$1601,$AH262)&amp;"")</f>
        <v/>
      </c>
      <c r="T262" s="11">
        <f>IF($AH262="","",INDEX('Per Line'!$AI$2:$AI$1601,$AH262))</f>
        <v/>
      </c>
      <c r="U262">
        <f>IF($AH262="","",Settings!$C$8)</f>
        <v/>
      </c>
      <c r="V262" s="7">
        <f>IF($AH262="","",SUMIFS('Per Line'!$V$2:$V$1601,'Per Line'!$D$2:$D$1601,$B262,'Per Line'!$AN$2:$AN$1601,1))</f>
        <v/>
      </c>
      <c r="W262" s="7">
        <f>IF($AH262="","",V262*U262)</f>
        <v/>
      </c>
      <c r="X262">
        <f>IF($AH262="","",Settings!$C$7)</f>
        <v/>
      </c>
      <c r="Y262" s="7">
        <f>IF($AH262="","",SUMIFS('Per Line'!$V$2:$V$1601,'Per Line'!$D$2:$D$1601,$B262,'Per Line'!$AM$2:$AM$1601,0,'Per Line'!$AN$2:$AN$1601,0))</f>
        <v/>
      </c>
      <c r="Z262" s="7">
        <f>IF($AH262="","",Y262*X262)</f>
        <v/>
      </c>
      <c r="AA262">
        <f>IF($AH262="","",Settings!$C$6)</f>
        <v/>
      </c>
      <c r="AB262" s="7">
        <f>IF($AH262="","",SUMIFS('Per Line'!$V$2:$V$1601,'Per Line'!$D$2:$D$1601,$B262,'Per Line'!$AM$2:$AM$1601,1,'Per Line'!$AN$2:$AN$1601,0))</f>
        <v/>
      </c>
      <c r="AC262" s="7">
        <f>IF($AH262="","",AB262*AA262)</f>
        <v/>
      </c>
      <c r="AD262" s="7">
        <f>IF($AH262="","",AC262+Z262+W262)</f>
        <v/>
      </c>
      <c r="AE262" s="7">
        <f>IF($AH262="","",AF262-AD262)</f>
        <v/>
      </c>
      <c r="AF262" s="7">
        <f>IF($AH262="","",Y262+AB262+V262)</f>
        <v/>
      </c>
      <c r="AG262" s="7">
        <f>IF($AH262="","",AF262-AD262-N262)</f>
        <v/>
      </c>
      <c r="AH262" s="13">
        <f>IF(ROWS($AH$2:$AH262)&lt;=MAX('Per Line'!$AL$2:$AL$1601),MATCH(ROWS($AH$2:$AH262),'Per Line'!$AL$2:$AL$1601,0),"")</f>
        <v/>
      </c>
    </row>
    <row r="263">
      <c r="A263" s="12" t="n"/>
      <c r="B263">
        <f>IF($AH263="","",INDEX('Per Line'!$D$2:$D$1601,$AH263)&amp;"")</f>
        <v/>
      </c>
      <c r="C263">
        <f>IF($AH263="","",INDEX('Per Line'!$A$2:$A$1601,$AH263)&amp;"")</f>
        <v/>
      </c>
      <c r="D263">
        <f>IF($AH263="","",INDEX('Per Line'!$B$2:$B$1601,$AH263))</f>
        <v/>
      </c>
      <c r="E263">
        <f>IF($AH263="","",INDEX('Per Line'!$C$2:$C$1601,$AH263)&amp;"")</f>
        <v/>
      </c>
      <c r="F263">
        <f>IF($AH263="","",INDEX('Per Line'!$E$2:$E$1601,$AH263)&amp;"")</f>
        <v/>
      </c>
      <c r="G263" s="11">
        <f>IF($AH263="","",INDEX('Per Line'!$F$2:$F$1601,$AH263))</f>
        <v/>
      </c>
      <c r="H263">
        <f>IF($AH263="","",INDEX('Per Line'!$G$2:$G$1601,$AH263)&amp;"")</f>
        <v/>
      </c>
      <c r="I263">
        <f>IF($AH263="","",INDEX('Per Line'!$I$2:$I$1601,$AH263)&amp;"")</f>
        <v/>
      </c>
      <c r="J263">
        <f>IF($AH263="","",INDEX('Per Line'!$J$2:$J$1601,$AH263)&amp;"")</f>
        <v/>
      </c>
      <c r="K263">
        <f>IF($AH263="","",INDEX('Per Line'!$K$2:$K$1601,$AH263)&amp;"")</f>
        <v/>
      </c>
      <c r="L263">
        <f>IF($AH263="","",INDEX('Per Line'!$L$2:$L$1601,$AH263)&amp;"")</f>
        <v/>
      </c>
      <c r="M263">
        <f>IF($AH263="","",INDEX('Per Line'!$M$2:$M$1601,$AH263))</f>
        <v/>
      </c>
      <c r="N263" s="7">
        <f>IF($AH263="","",M263*AE263/100)</f>
        <v/>
      </c>
      <c r="O263">
        <f>IF($AH263="","",INDEX('Per Line'!$Z$2:$Z$1601,$AH263)&amp;"")</f>
        <v/>
      </c>
      <c r="P263">
        <f>IF($AH263="","",INDEX('Per Line'!$AC$2:$AC$1601,$AH263)&amp;"")</f>
        <v/>
      </c>
      <c r="Q263">
        <f>IF($AH263="","",INDEX('Per Line'!$AD$2:$AD$1601,$AH263))</f>
        <v/>
      </c>
      <c r="R263">
        <f>IF($AH263="","",IF(AND(ISNUMBER(Q263),Q263&gt;0),AF263&gt;Q263,FALSE))</f>
        <v/>
      </c>
      <c r="S263">
        <f>IF($AH263="","",INDEX('Per Line'!$AH$2:$AH$1601,$AH263)&amp;"")</f>
        <v/>
      </c>
      <c r="T263" s="11">
        <f>IF($AH263="","",INDEX('Per Line'!$AI$2:$AI$1601,$AH263))</f>
        <v/>
      </c>
      <c r="U263">
        <f>IF($AH263="","",Settings!$C$8)</f>
        <v/>
      </c>
      <c r="V263" s="7">
        <f>IF($AH263="","",SUMIFS('Per Line'!$V$2:$V$1601,'Per Line'!$D$2:$D$1601,$B263,'Per Line'!$AN$2:$AN$1601,1))</f>
        <v/>
      </c>
      <c r="W263" s="7">
        <f>IF($AH263="","",V263*U263)</f>
        <v/>
      </c>
      <c r="X263">
        <f>IF($AH263="","",Settings!$C$7)</f>
        <v/>
      </c>
      <c r="Y263" s="7">
        <f>IF($AH263="","",SUMIFS('Per Line'!$V$2:$V$1601,'Per Line'!$D$2:$D$1601,$B263,'Per Line'!$AM$2:$AM$1601,0,'Per Line'!$AN$2:$AN$1601,0))</f>
        <v/>
      </c>
      <c r="Z263" s="7">
        <f>IF($AH263="","",Y263*X263)</f>
        <v/>
      </c>
      <c r="AA263">
        <f>IF($AH263="","",Settings!$C$6)</f>
        <v/>
      </c>
      <c r="AB263" s="7">
        <f>IF($AH263="","",SUMIFS('Per Line'!$V$2:$V$1601,'Per Line'!$D$2:$D$1601,$B263,'Per Line'!$AM$2:$AM$1601,1,'Per Line'!$AN$2:$AN$1601,0))</f>
        <v/>
      </c>
      <c r="AC263" s="7">
        <f>IF($AH263="","",AB263*AA263)</f>
        <v/>
      </c>
      <c r="AD263" s="7">
        <f>IF($AH263="","",AC263+Z263+W263)</f>
        <v/>
      </c>
      <c r="AE263" s="7">
        <f>IF($AH263="","",AF263-AD263)</f>
        <v/>
      </c>
      <c r="AF263" s="7">
        <f>IF($AH263="","",Y263+AB263+V263)</f>
        <v/>
      </c>
      <c r="AG263" s="7">
        <f>IF($AH263="","",AF263-AD263-N263)</f>
        <v/>
      </c>
      <c r="AH263" s="13">
        <f>IF(ROWS($AH$2:$AH263)&lt;=MAX('Per Line'!$AL$2:$AL$1601),MATCH(ROWS($AH$2:$AH263),'Per Line'!$AL$2:$AL$1601,0),"")</f>
        <v/>
      </c>
    </row>
    <row r="264">
      <c r="A264" s="12" t="n"/>
      <c r="B264">
        <f>IF($AH264="","",INDEX('Per Line'!$D$2:$D$1601,$AH264)&amp;"")</f>
        <v/>
      </c>
      <c r="C264">
        <f>IF($AH264="","",INDEX('Per Line'!$A$2:$A$1601,$AH264)&amp;"")</f>
        <v/>
      </c>
      <c r="D264">
        <f>IF($AH264="","",INDEX('Per Line'!$B$2:$B$1601,$AH264))</f>
        <v/>
      </c>
      <c r="E264">
        <f>IF($AH264="","",INDEX('Per Line'!$C$2:$C$1601,$AH264)&amp;"")</f>
        <v/>
      </c>
      <c r="F264">
        <f>IF($AH264="","",INDEX('Per Line'!$E$2:$E$1601,$AH264)&amp;"")</f>
        <v/>
      </c>
      <c r="G264" s="11">
        <f>IF($AH264="","",INDEX('Per Line'!$F$2:$F$1601,$AH264))</f>
        <v/>
      </c>
      <c r="H264">
        <f>IF($AH264="","",INDEX('Per Line'!$G$2:$G$1601,$AH264)&amp;"")</f>
        <v/>
      </c>
      <c r="I264">
        <f>IF($AH264="","",INDEX('Per Line'!$I$2:$I$1601,$AH264)&amp;"")</f>
        <v/>
      </c>
      <c r="J264">
        <f>IF($AH264="","",INDEX('Per Line'!$J$2:$J$1601,$AH264)&amp;"")</f>
        <v/>
      </c>
      <c r="K264">
        <f>IF($AH264="","",INDEX('Per Line'!$K$2:$K$1601,$AH264)&amp;"")</f>
        <v/>
      </c>
      <c r="L264">
        <f>IF($AH264="","",INDEX('Per Line'!$L$2:$L$1601,$AH264)&amp;"")</f>
        <v/>
      </c>
      <c r="M264">
        <f>IF($AH264="","",INDEX('Per Line'!$M$2:$M$1601,$AH264))</f>
        <v/>
      </c>
      <c r="N264" s="7">
        <f>IF($AH264="","",M264*AE264/100)</f>
        <v/>
      </c>
      <c r="O264">
        <f>IF($AH264="","",INDEX('Per Line'!$Z$2:$Z$1601,$AH264)&amp;"")</f>
        <v/>
      </c>
      <c r="P264">
        <f>IF($AH264="","",INDEX('Per Line'!$AC$2:$AC$1601,$AH264)&amp;"")</f>
        <v/>
      </c>
      <c r="Q264">
        <f>IF($AH264="","",INDEX('Per Line'!$AD$2:$AD$1601,$AH264))</f>
        <v/>
      </c>
      <c r="R264">
        <f>IF($AH264="","",IF(AND(ISNUMBER(Q264),Q264&gt;0),AF264&gt;Q264,FALSE))</f>
        <v/>
      </c>
      <c r="S264">
        <f>IF($AH264="","",INDEX('Per Line'!$AH$2:$AH$1601,$AH264)&amp;"")</f>
        <v/>
      </c>
      <c r="T264" s="11">
        <f>IF($AH264="","",INDEX('Per Line'!$AI$2:$AI$1601,$AH264))</f>
        <v/>
      </c>
      <c r="U264">
        <f>IF($AH264="","",Settings!$C$8)</f>
        <v/>
      </c>
      <c r="V264" s="7">
        <f>IF($AH264="","",SUMIFS('Per Line'!$V$2:$V$1601,'Per Line'!$D$2:$D$1601,$B264,'Per Line'!$AN$2:$AN$1601,1))</f>
        <v/>
      </c>
      <c r="W264" s="7">
        <f>IF($AH264="","",V264*U264)</f>
        <v/>
      </c>
      <c r="X264">
        <f>IF($AH264="","",Settings!$C$7)</f>
        <v/>
      </c>
      <c r="Y264" s="7">
        <f>IF($AH264="","",SUMIFS('Per Line'!$V$2:$V$1601,'Per Line'!$D$2:$D$1601,$B264,'Per Line'!$AM$2:$AM$1601,0,'Per Line'!$AN$2:$AN$1601,0))</f>
        <v/>
      </c>
      <c r="Z264" s="7">
        <f>IF($AH264="","",Y264*X264)</f>
        <v/>
      </c>
      <c r="AA264">
        <f>IF($AH264="","",Settings!$C$6)</f>
        <v/>
      </c>
      <c r="AB264" s="7">
        <f>IF($AH264="","",SUMIFS('Per Line'!$V$2:$V$1601,'Per Line'!$D$2:$D$1601,$B264,'Per Line'!$AM$2:$AM$1601,1,'Per Line'!$AN$2:$AN$1601,0))</f>
        <v/>
      </c>
      <c r="AC264" s="7">
        <f>IF($AH264="","",AB264*AA264)</f>
        <v/>
      </c>
      <c r="AD264" s="7">
        <f>IF($AH264="","",AC264+Z264+W264)</f>
        <v/>
      </c>
      <c r="AE264" s="7">
        <f>IF($AH264="","",AF264-AD264)</f>
        <v/>
      </c>
      <c r="AF264" s="7">
        <f>IF($AH264="","",Y264+AB264+V264)</f>
        <v/>
      </c>
      <c r="AG264" s="7">
        <f>IF($AH264="","",AF264-AD264-N264)</f>
        <v/>
      </c>
      <c r="AH264" s="13">
        <f>IF(ROWS($AH$2:$AH264)&lt;=MAX('Per Line'!$AL$2:$AL$1601),MATCH(ROWS($AH$2:$AH264),'Per Line'!$AL$2:$AL$1601,0),"")</f>
        <v/>
      </c>
    </row>
    <row r="265">
      <c r="A265" s="12" t="n"/>
      <c r="B265">
        <f>IF($AH265="","",INDEX('Per Line'!$D$2:$D$1601,$AH265)&amp;"")</f>
        <v/>
      </c>
      <c r="C265">
        <f>IF($AH265="","",INDEX('Per Line'!$A$2:$A$1601,$AH265)&amp;"")</f>
        <v/>
      </c>
      <c r="D265">
        <f>IF($AH265="","",INDEX('Per Line'!$B$2:$B$1601,$AH265))</f>
        <v/>
      </c>
      <c r="E265">
        <f>IF($AH265="","",INDEX('Per Line'!$C$2:$C$1601,$AH265)&amp;"")</f>
        <v/>
      </c>
      <c r="F265">
        <f>IF($AH265="","",INDEX('Per Line'!$E$2:$E$1601,$AH265)&amp;"")</f>
        <v/>
      </c>
      <c r="G265" s="11">
        <f>IF($AH265="","",INDEX('Per Line'!$F$2:$F$1601,$AH265))</f>
        <v/>
      </c>
      <c r="H265">
        <f>IF($AH265="","",INDEX('Per Line'!$G$2:$G$1601,$AH265)&amp;"")</f>
        <v/>
      </c>
      <c r="I265">
        <f>IF($AH265="","",INDEX('Per Line'!$I$2:$I$1601,$AH265)&amp;"")</f>
        <v/>
      </c>
      <c r="J265">
        <f>IF($AH265="","",INDEX('Per Line'!$J$2:$J$1601,$AH265)&amp;"")</f>
        <v/>
      </c>
      <c r="K265">
        <f>IF($AH265="","",INDEX('Per Line'!$K$2:$K$1601,$AH265)&amp;"")</f>
        <v/>
      </c>
      <c r="L265">
        <f>IF($AH265="","",INDEX('Per Line'!$L$2:$L$1601,$AH265)&amp;"")</f>
        <v/>
      </c>
      <c r="M265">
        <f>IF($AH265="","",INDEX('Per Line'!$M$2:$M$1601,$AH265))</f>
        <v/>
      </c>
      <c r="N265" s="7">
        <f>IF($AH265="","",M265*AE265/100)</f>
        <v/>
      </c>
      <c r="O265">
        <f>IF($AH265="","",INDEX('Per Line'!$Z$2:$Z$1601,$AH265)&amp;"")</f>
        <v/>
      </c>
      <c r="P265">
        <f>IF($AH265="","",INDEX('Per Line'!$AC$2:$AC$1601,$AH265)&amp;"")</f>
        <v/>
      </c>
      <c r="Q265">
        <f>IF($AH265="","",INDEX('Per Line'!$AD$2:$AD$1601,$AH265))</f>
        <v/>
      </c>
      <c r="R265">
        <f>IF($AH265="","",IF(AND(ISNUMBER(Q265),Q265&gt;0),AF265&gt;Q265,FALSE))</f>
        <v/>
      </c>
      <c r="S265">
        <f>IF($AH265="","",INDEX('Per Line'!$AH$2:$AH$1601,$AH265)&amp;"")</f>
        <v/>
      </c>
      <c r="T265" s="11">
        <f>IF($AH265="","",INDEX('Per Line'!$AI$2:$AI$1601,$AH265))</f>
        <v/>
      </c>
      <c r="U265">
        <f>IF($AH265="","",Settings!$C$8)</f>
        <v/>
      </c>
      <c r="V265" s="7">
        <f>IF($AH265="","",SUMIFS('Per Line'!$V$2:$V$1601,'Per Line'!$D$2:$D$1601,$B265,'Per Line'!$AN$2:$AN$1601,1))</f>
        <v/>
      </c>
      <c r="W265" s="7">
        <f>IF($AH265="","",V265*U265)</f>
        <v/>
      </c>
      <c r="X265">
        <f>IF($AH265="","",Settings!$C$7)</f>
        <v/>
      </c>
      <c r="Y265" s="7">
        <f>IF($AH265="","",SUMIFS('Per Line'!$V$2:$V$1601,'Per Line'!$D$2:$D$1601,$B265,'Per Line'!$AM$2:$AM$1601,0,'Per Line'!$AN$2:$AN$1601,0))</f>
        <v/>
      </c>
      <c r="Z265" s="7">
        <f>IF($AH265="","",Y265*X265)</f>
        <v/>
      </c>
      <c r="AA265">
        <f>IF($AH265="","",Settings!$C$6)</f>
        <v/>
      </c>
      <c r="AB265" s="7">
        <f>IF($AH265="","",SUMIFS('Per Line'!$V$2:$V$1601,'Per Line'!$D$2:$D$1601,$B265,'Per Line'!$AM$2:$AM$1601,1,'Per Line'!$AN$2:$AN$1601,0))</f>
        <v/>
      </c>
      <c r="AC265" s="7">
        <f>IF($AH265="","",AB265*AA265)</f>
        <v/>
      </c>
      <c r="AD265" s="7">
        <f>IF($AH265="","",AC265+Z265+W265)</f>
        <v/>
      </c>
      <c r="AE265" s="7">
        <f>IF($AH265="","",AF265-AD265)</f>
        <v/>
      </c>
      <c r="AF265" s="7">
        <f>IF($AH265="","",Y265+AB265+V265)</f>
        <v/>
      </c>
      <c r="AG265" s="7">
        <f>IF($AH265="","",AF265-AD265-N265)</f>
        <v/>
      </c>
      <c r="AH265" s="13">
        <f>IF(ROWS($AH$2:$AH265)&lt;=MAX('Per Line'!$AL$2:$AL$1601),MATCH(ROWS($AH$2:$AH265),'Per Line'!$AL$2:$AL$1601,0),"")</f>
        <v/>
      </c>
    </row>
    <row r="266">
      <c r="A266" s="12" t="n"/>
      <c r="B266">
        <f>IF($AH266="","",INDEX('Per Line'!$D$2:$D$1601,$AH266)&amp;"")</f>
        <v/>
      </c>
      <c r="C266">
        <f>IF($AH266="","",INDEX('Per Line'!$A$2:$A$1601,$AH266)&amp;"")</f>
        <v/>
      </c>
      <c r="D266">
        <f>IF($AH266="","",INDEX('Per Line'!$B$2:$B$1601,$AH266))</f>
        <v/>
      </c>
      <c r="E266">
        <f>IF($AH266="","",INDEX('Per Line'!$C$2:$C$1601,$AH266)&amp;"")</f>
        <v/>
      </c>
      <c r="F266">
        <f>IF($AH266="","",INDEX('Per Line'!$E$2:$E$1601,$AH266)&amp;"")</f>
        <v/>
      </c>
      <c r="G266" s="11">
        <f>IF($AH266="","",INDEX('Per Line'!$F$2:$F$1601,$AH266))</f>
        <v/>
      </c>
      <c r="H266">
        <f>IF($AH266="","",INDEX('Per Line'!$G$2:$G$1601,$AH266)&amp;"")</f>
        <v/>
      </c>
      <c r="I266">
        <f>IF($AH266="","",INDEX('Per Line'!$I$2:$I$1601,$AH266)&amp;"")</f>
        <v/>
      </c>
      <c r="J266">
        <f>IF($AH266="","",INDEX('Per Line'!$J$2:$J$1601,$AH266)&amp;"")</f>
        <v/>
      </c>
      <c r="K266">
        <f>IF($AH266="","",INDEX('Per Line'!$K$2:$K$1601,$AH266)&amp;"")</f>
        <v/>
      </c>
      <c r="L266">
        <f>IF($AH266="","",INDEX('Per Line'!$L$2:$L$1601,$AH266)&amp;"")</f>
        <v/>
      </c>
      <c r="M266">
        <f>IF($AH266="","",INDEX('Per Line'!$M$2:$M$1601,$AH266))</f>
        <v/>
      </c>
      <c r="N266" s="7">
        <f>IF($AH266="","",M266*AE266/100)</f>
        <v/>
      </c>
      <c r="O266">
        <f>IF($AH266="","",INDEX('Per Line'!$Z$2:$Z$1601,$AH266)&amp;"")</f>
        <v/>
      </c>
      <c r="P266">
        <f>IF($AH266="","",INDEX('Per Line'!$AC$2:$AC$1601,$AH266)&amp;"")</f>
        <v/>
      </c>
      <c r="Q266">
        <f>IF($AH266="","",INDEX('Per Line'!$AD$2:$AD$1601,$AH266))</f>
        <v/>
      </c>
      <c r="R266">
        <f>IF($AH266="","",IF(AND(ISNUMBER(Q266),Q266&gt;0),AF266&gt;Q266,FALSE))</f>
        <v/>
      </c>
      <c r="S266">
        <f>IF($AH266="","",INDEX('Per Line'!$AH$2:$AH$1601,$AH266)&amp;"")</f>
        <v/>
      </c>
      <c r="T266" s="11">
        <f>IF($AH266="","",INDEX('Per Line'!$AI$2:$AI$1601,$AH266))</f>
        <v/>
      </c>
      <c r="U266">
        <f>IF($AH266="","",Settings!$C$8)</f>
        <v/>
      </c>
      <c r="V266" s="7">
        <f>IF($AH266="","",SUMIFS('Per Line'!$V$2:$V$1601,'Per Line'!$D$2:$D$1601,$B266,'Per Line'!$AN$2:$AN$1601,1))</f>
        <v/>
      </c>
      <c r="W266" s="7">
        <f>IF($AH266="","",V266*U266)</f>
        <v/>
      </c>
      <c r="X266">
        <f>IF($AH266="","",Settings!$C$7)</f>
        <v/>
      </c>
      <c r="Y266" s="7">
        <f>IF($AH266="","",SUMIFS('Per Line'!$V$2:$V$1601,'Per Line'!$D$2:$D$1601,$B266,'Per Line'!$AM$2:$AM$1601,0,'Per Line'!$AN$2:$AN$1601,0))</f>
        <v/>
      </c>
      <c r="Z266" s="7">
        <f>IF($AH266="","",Y266*X266)</f>
        <v/>
      </c>
      <c r="AA266">
        <f>IF($AH266="","",Settings!$C$6)</f>
        <v/>
      </c>
      <c r="AB266" s="7">
        <f>IF($AH266="","",SUMIFS('Per Line'!$V$2:$V$1601,'Per Line'!$D$2:$D$1601,$B266,'Per Line'!$AM$2:$AM$1601,1,'Per Line'!$AN$2:$AN$1601,0))</f>
        <v/>
      </c>
      <c r="AC266" s="7">
        <f>IF($AH266="","",AB266*AA266)</f>
        <v/>
      </c>
      <c r="AD266" s="7">
        <f>IF($AH266="","",AC266+Z266+W266)</f>
        <v/>
      </c>
      <c r="AE266" s="7">
        <f>IF($AH266="","",AF266-AD266)</f>
        <v/>
      </c>
      <c r="AF266" s="7">
        <f>IF($AH266="","",Y266+AB266+V266)</f>
        <v/>
      </c>
      <c r="AG266" s="7">
        <f>IF($AH266="","",AF266-AD266-N266)</f>
        <v/>
      </c>
      <c r="AH266" s="13">
        <f>IF(ROWS($AH$2:$AH266)&lt;=MAX('Per Line'!$AL$2:$AL$1601),MATCH(ROWS($AH$2:$AH266),'Per Line'!$AL$2:$AL$1601,0),"")</f>
        <v/>
      </c>
    </row>
    <row r="267">
      <c r="A267" s="12" t="n"/>
      <c r="B267">
        <f>IF($AH267="","",INDEX('Per Line'!$D$2:$D$1601,$AH267)&amp;"")</f>
        <v/>
      </c>
      <c r="C267">
        <f>IF($AH267="","",INDEX('Per Line'!$A$2:$A$1601,$AH267)&amp;"")</f>
        <v/>
      </c>
      <c r="D267">
        <f>IF($AH267="","",INDEX('Per Line'!$B$2:$B$1601,$AH267))</f>
        <v/>
      </c>
      <c r="E267">
        <f>IF($AH267="","",INDEX('Per Line'!$C$2:$C$1601,$AH267)&amp;"")</f>
        <v/>
      </c>
      <c r="F267">
        <f>IF($AH267="","",INDEX('Per Line'!$E$2:$E$1601,$AH267)&amp;"")</f>
        <v/>
      </c>
      <c r="G267" s="11">
        <f>IF($AH267="","",INDEX('Per Line'!$F$2:$F$1601,$AH267))</f>
        <v/>
      </c>
      <c r="H267">
        <f>IF($AH267="","",INDEX('Per Line'!$G$2:$G$1601,$AH267)&amp;"")</f>
        <v/>
      </c>
      <c r="I267">
        <f>IF($AH267="","",INDEX('Per Line'!$I$2:$I$1601,$AH267)&amp;"")</f>
        <v/>
      </c>
      <c r="J267">
        <f>IF($AH267="","",INDEX('Per Line'!$J$2:$J$1601,$AH267)&amp;"")</f>
        <v/>
      </c>
      <c r="K267">
        <f>IF($AH267="","",INDEX('Per Line'!$K$2:$K$1601,$AH267)&amp;"")</f>
        <v/>
      </c>
      <c r="L267">
        <f>IF($AH267="","",INDEX('Per Line'!$L$2:$L$1601,$AH267)&amp;"")</f>
        <v/>
      </c>
      <c r="M267">
        <f>IF($AH267="","",INDEX('Per Line'!$M$2:$M$1601,$AH267))</f>
        <v/>
      </c>
      <c r="N267" s="7">
        <f>IF($AH267="","",M267*AE267/100)</f>
        <v/>
      </c>
      <c r="O267">
        <f>IF($AH267="","",INDEX('Per Line'!$Z$2:$Z$1601,$AH267)&amp;"")</f>
        <v/>
      </c>
      <c r="P267">
        <f>IF($AH267="","",INDEX('Per Line'!$AC$2:$AC$1601,$AH267)&amp;"")</f>
        <v/>
      </c>
      <c r="Q267">
        <f>IF($AH267="","",INDEX('Per Line'!$AD$2:$AD$1601,$AH267))</f>
        <v/>
      </c>
      <c r="R267">
        <f>IF($AH267="","",IF(AND(ISNUMBER(Q267),Q267&gt;0),AF267&gt;Q267,FALSE))</f>
        <v/>
      </c>
      <c r="S267">
        <f>IF($AH267="","",INDEX('Per Line'!$AH$2:$AH$1601,$AH267)&amp;"")</f>
        <v/>
      </c>
      <c r="T267" s="11">
        <f>IF($AH267="","",INDEX('Per Line'!$AI$2:$AI$1601,$AH267))</f>
        <v/>
      </c>
      <c r="U267">
        <f>IF($AH267="","",Settings!$C$8)</f>
        <v/>
      </c>
      <c r="V267" s="7">
        <f>IF($AH267="","",SUMIFS('Per Line'!$V$2:$V$1601,'Per Line'!$D$2:$D$1601,$B267,'Per Line'!$AN$2:$AN$1601,1))</f>
        <v/>
      </c>
      <c r="W267" s="7">
        <f>IF($AH267="","",V267*U267)</f>
        <v/>
      </c>
      <c r="X267">
        <f>IF($AH267="","",Settings!$C$7)</f>
        <v/>
      </c>
      <c r="Y267" s="7">
        <f>IF($AH267="","",SUMIFS('Per Line'!$V$2:$V$1601,'Per Line'!$D$2:$D$1601,$B267,'Per Line'!$AM$2:$AM$1601,0,'Per Line'!$AN$2:$AN$1601,0))</f>
        <v/>
      </c>
      <c r="Z267" s="7">
        <f>IF($AH267="","",Y267*X267)</f>
        <v/>
      </c>
      <c r="AA267">
        <f>IF($AH267="","",Settings!$C$6)</f>
        <v/>
      </c>
      <c r="AB267" s="7">
        <f>IF($AH267="","",SUMIFS('Per Line'!$V$2:$V$1601,'Per Line'!$D$2:$D$1601,$B267,'Per Line'!$AM$2:$AM$1601,1,'Per Line'!$AN$2:$AN$1601,0))</f>
        <v/>
      </c>
      <c r="AC267" s="7">
        <f>IF($AH267="","",AB267*AA267)</f>
        <v/>
      </c>
      <c r="AD267" s="7">
        <f>IF($AH267="","",AC267+Z267+W267)</f>
        <v/>
      </c>
      <c r="AE267" s="7">
        <f>IF($AH267="","",AF267-AD267)</f>
        <v/>
      </c>
      <c r="AF267" s="7">
        <f>IF($AH267="","",Y267+AB267+V267)</f>
        <v/>
      </c>
      <c r="AG267" s="7">
        <f>IF($AH267="","",AF267-AD267-N267)</f>
        <v/>
      </c>
      <c r="AH267" s="13">
        <f>IF(ROWS($AH$2:$AH267)&lt;=MAX('Per Line'!$AL$2:$AL$1601),MATCH(ROWS($AH$2:$AH267),'Per Line'!$AL$2:$AL$1601,0),"")</f>
        <v/>
      </c>
    </row>
    <row r="268">
      <c r="A268" s="12" t="n"/>
      <c r="B268">
        <f>IF($AH268="","",INDEX('Per Line'!$D$2:$D$1601,$AH268)&amp;"")</f>
        <v/>
      </c>
      <c r="C268">
        <f>IF($AH268="","",INDEX('Per Line'!$A$2:$A$1601,$AH268)&amp;"")</f>
        <v/>
      </c>
      <c r="D268">
        <f>IF($AH268="","",INDEX('Per Line'!$B$2:$B$1601,$AH268))</f>
        <v/>
      </c>
      <c r="E268">
        <f>IF($AH268="","",INDEX('Per Line'!$C$2:$C$1601,$AH268)&amp;"")</f>
        <v/>
      </c>
      <c r="F268">
        <f>IF($AH268="","",INDEX('Per Line'!$E$2:$E$1601,$AH268)&amp;"")</f>
        <v/>
      </c>
      <c r="G268" s="11">
        <f>IF($AH268="","",INDEX('Per Line'!$F$2:$F$1601,$AH268))</f>
        <v/>
      </c>
      <c r="H268">
        <f>IF($AH268="","",INDEX('Per Line'!$G$2:$G$1601,$AH268)&amp;"")</f>
        <v/>
      </c>
      <c r="I268">
        <f>IF($AH268="","",INDEX('Per Line'!$I$2:$I$1601,$AH268)&amp;"")</f>
        <v/>
      </c>
      <c r="J268">
        <f>IF($AH268="","",INDEX('Per Line'!$J$2:$J$1601,$AH268)&amp;"")</f>
        <v/>
      </c>
      <c r="K268">
        <f>IF($AH268="","",INDEX('Per Line'!$K$2:$K$1601,$AH268)&amp;"")</f>
        <v/>
      </c>
      <c r="L268">
        <f>IF($AH268="","",INDEX('Per Line'!$L$2:$L$1601,$AH268)&amp;"")</f>
        <v/>
      </c>
      <c r="M268">
        <f>IF($AH268="","",INDEX('Per Line'!$M$2:$M$1601,$AH268))</f>
        <v/>
      </c>
      <c r="N268" s="7">
        <f>IF($AH268="","",M268*AE268/100)</f>
        <v/>
      </c>
      <c r="O268">
        <f>IF($AH268="","",INDEX('Per Line'!$Z$2:$Z$1601,$AH268)&amp;"")</f>
        <v/>
      </c>
      <c r="P268">
        <f>IF($AH268="","",INDEX('Per Line'!$AC$2:$AC$1601,$AH268)&amp;"")</f>
        <v/>
      </c>
      <c r="Q268">
        <f>IF($AH268="","",INDEX('Per Line'!$AD$2:$AD$1601,$AH268))</f>
        <v/>
      </c>
      <c r="R268">
        <f>IF($AH268="","",IF(AND(ISNUMBER(Q268),Q268&gt;0),AF268&gt;Q268,FALSE))</f>
        <v/>
      </c>
      <c r="S268">
        <f>IF($AH268="","",INDEX('Per Line'!$AH$2:$AH$1601,$AH268)&amp;"")</f>
        <v/>
      </c>
      <c r="T268" s="11">
        <f>IF($AH268="","",INDEX('Per Line'!$AI$2:$AI$1601,$AH268))</f>
        <v/>
      </c>
      <c r="U268">
        <f>IF($AH268="","",Settings!$C$8)</f>
        <v/>
      </c>
      <c r="V268" s="7">
        <f>IF($AH268="","",SUMIFS('Per Line'!$V$2:$V$1601,'Per Line'!$D$2:$D$1601,$B268,'Per Line'!$AN$2:$AN$1601,1))</f>
        <v/>
      </c>
      <c r="W268" s="7">
        <f>IF($AH268="","",V268*U268)</f>
        <v/>
      </c>
      <c r="X268">
        <f>IF($AH268="","",Settings!$C$7)</f>
        <v/>
      </c>
      <c r="Y268" s="7">
        <f>IF($AH268="","",SUMIFS('Per Line'!$V$2:$V$1601,'Per Line'!$D$2:$D$1601,$B268,'Per Line'!$AM$2:$AM$1601,0,'Per Line'!$AN$2:$AN$1601,0))</f>
        <v/>
      </c>
      <c r="Z268" s="7">
        <f>IF($AH268="","",Y268*X268)</f>
        <v/>
      </c>
      <c r="AA268">
        <f>IF($AH268="","",Settings!$C$6)</f>
        <v/>
      </c>
      <c r="AB268" s="7">
        <f>IF($AH268="","",SUMIFS('Per Line'!$V$2:$V$1601,'Per Line'!$D$2:$D$1601,$B268,'Per Line'!$AM$2:$AM$1601,1,'Per Line'!$AN$2:$AN$1601,0))</f>
        <v/>
      </c>
      <c r="AC268" s="7">
        <f>IF($AH268="","",AB268*AA268)</f>
        <v/>
      </c>
      <c r="AD268" s="7">
        <f>IF($AH268="","",AC268+Z268+W268)</f>
        <v/>
      </c>
      <c r="AE268" s="7">
        <f>IF($AH268="","",AF268-AD268)</f>
        <v/>
      </c>
      <c r="AF268" s="7">
        <f>IF($AH268="","",Y268+AB268+V268)</f>
        <v/>
      </c>
      <c r="AG268" s="7">
        <f>IF($AH268="","",AF268-AD268-N268)</f>
        <v/>
      </c>
      <c r="AH268" s="13">
        <f>IF(ROWS($AH$2:$AH268)&lt;=MAX('Per Line'!$AL$2:$AL$1601),MATCH(ROWS($AH$2:$AH268),'Per Line'!$AL$2:$AL$1601,0),"")</f>
        <v/>
      </c>
    </row>
    <row r="269">
      <c r="A269" s="12" t="n"/>
      <c r="B269">
        <f>IF($AH269="","",INDEX('Per Line'!$D$2:$D$1601,$AH269)&amp;"")</f>
        <v/>
      </c>
      <c r="C269">
        <f>IF($AH269="","",INDEX('Per Line'!$A$2:$A$1601,$AH269)&amp;"")</f>
        <v/>
      </c>
      <c r="D269">
        <f>IF($AH269="","",INDEX('Per Line'!$B$2:$B$1601,$AH269))</f>
        <v/>
      </c>
      <c r="E269">
        <f>IF($AH269="","",INDEX('Per Line'!$C$2:$C$1601,$AH269)&amp;"")</f>
        <v/>
      </c>
      <c r="F269">
        <f>IF($AH269="","",INDEX('Per Line'!$E$2:$E$1601,$AH269)&amp;"")</f>
        <v/>
      </c>
      <c r="G269" s="11">
        <f>IF($AH269="","",INDEX('Per Line'!$F$2:$F$1601,$AH269))</f>
        <v/>
      </c>
      <c r="H269">
        <f>IF($AH269="","",INDEX('Per Line'!$G$2:$G$1601,$AH269)&amp;"")</f>
        <v/>
      </c>
      <c r="I269">
        <f>IF($AH269="","",INDEX('Per Line'!$I$2:$I$1601,$AH269)&amp;"")</f>
        <v/>
      </c>
      <c r="J269">
        <f>IF($AH269="","",INDEX('Per Line'!$J$2:$J$1601,$AH269)&amp;"")</f>
        <v/>
      </c>
      <c r="K269">
        <f>IF($AH269="","",INDEX('Per Line'!$K$2:$K$1601,$AH269)&amp;"")</f>
        <v/>
      </c>
      <c r="L269">
        <f>IF($AH269="","",INDEX('Per Line'!$L$2:$L$1601,$AH269)&amp;"")</f>
        <v/>
      </c>
      <c r="M269">
        <f>IF($AH269="","",INDEX('Per Line'!$M$2:$M$1601,$AH269))</f>
        <v/>
      </c>
      <c r="N269" s="7">
        <f>IF($AH269="","",M269*AE269/100)</f>
        <v/>
      </c>
      <c r="O269">
        <f>IF($AH269="","",INDEX('Per Line'!$Z$2:$Z$1601,$AH269)&amp;"")</f>
        <v/>
      </c>
      <c r="P269">
        <f>IF($AH269="","",INDEX('Per Line'!$AC$2:$AC$1601,$AH269)&amp;"")</f>
        <v/>
      </c>
      <c r="Q269">
        <f>IF($AH269="","",INDEX('Per Line'!$AD$2:$AD$1601,$AH269))</f>
        <v/>
      </c>
      <c r="R269">
        <f>IF($AH269="","",IF(AND(ISNUMBER(Q269),Q269&gt;0),AF269&gt;Q269,FALSE))</f>
        <v/>
      </c>
      <c r="S269">
        <f>IF($AH269="","",INDEX('Per Line'!$AH$2:$AH$1601,$AH269)&amp;"")</f>
        <v/>
      </c>
      <c r="T269" s="11">
        <f>IF($AH269="","",INDEX('Per Line'!$AI$2:$AI$1601,$AH269))</f>
        <v/>
      </c>
      <c r="U269">
        <f>IF($AH269="","",Settings!$C$8)</f>
        <v/>
      </c>
      <c r="V269" s="7">
        <f>IF($AH269="","",SUMIFS('Per Line'!$V$2:$V$1601,'Per Line'!$D$2:$D$1601,$B269,'Per Line'!$AN$2:$AN$1601,1))</f>
        <v/>
      </c>
      <c r="W269" s="7">
        <f>IF($AH269="","",V269*U269)</f>
        <v/>
      </c>
      <c r="X269">
        <f>IF($AH269="","",Settings!$C$7)</f>
        <v/>
      </c>
      <c r="Y269" s="7">
        <f>IF($AH269="","",SUMIFS('Per Line'!$V$2:$V$1601,'Per Line'!$D$2:$D$1601,$B269,'Per Line'!$AM$2:$AM$1601,0,'Per Line'!$AN$2:$AN$1601,0))</f>
        <v/>
      </c>
      <c r="Z269" s="7">
        <f>IF($AH269="","",Y269*X269)</f>
        <v/>
      </c>
      <c r="AA269">
        <f>IF($AH269="","",Settings!$C$6)</f>
        <v/>
      </c>
      <c r="AB269" s="7">
        <f>IF($AH269="","",SUMIFS('Per Line'!$V$2:$V$1601,'Per Line'!$D$2:$D$1601,$B269,'Per Line'!$AM$2:$AM$1601,1,'Per Line'!$AN$2:$AN$1601,0))</f>
        <v/>
      </c>
      <c r="AC269" s="7">
        <f>IF($AH269="","",AB269*AA269)</f>
        <v/>
      </c>
      <c r="AD269" s="7">
        <f>IF($AH269="","",AC269+Z269+W269)</f>
        <v/>
      </c>
      <c r="AE269" s="7">
        <f>IF($AH269="","",AF269-AD269)</f>
        <v/>
      </c>
      <c r="AF269" s="7">
        <f>IF($AH269="","",Y269+AB269+V269)</f>
        <v/>
      </c>
      <c r="AG269" s="7">
        <f>IF($AH269="","",AF269-AD269-N269)</f>
        <v/>
      </c>
      <c r="AH269" s="13">
        <f>IF(ROWS($AH$2:$AH269)&lt;=MAX('Per Line'!$AL$2:$AL$1601),MATCH(ROWS($AH$2:$AH269),'Per Line'!$AL$2:$AL$1601,0),"")</f>
        <v/>
      </c>
    </row>
    <row r="270">
      <c r="A270" s="12" t="n"/>
      <c r="B270">
        <f>IF($AH270="","",INDEX('Per Line'!$D$2:$D$1601,$AH270)&amp;"")</f>
        <v/>
      </c>
      <c r="C270">
        <f>IF($AH270="","",INDEX('Per Line'!$A$2:$A$1601,$AH270)&amp;"")</f>
        <v/>
      </c>
      <c r="D270">
        <f>IF($AH270="","",INDEX('Per Line'!$B$2:$B$1601,$AH270))</f>
        <v/>
      </c>
      <c r="E270">
        <f>IF($AH270="","",INDEX('Per Line'!$C$2:$C$1601,$AH270)&amp;"")</f>
        <v/>
      </c>
      <c r="F270">
        <f>IF($AH270="","",INDEX('Per Line'!$E$2:$E$1601,$AH270)&amp;"")</f>
        <v/>
      </c>
      <c r="G270" s="11">
        <f>IF($AH270="","",INDEX('Per Line'!$F$2:$F$1601,$AH270))</f>
        <v/>
      </c>
      <c r="H270">
        <f>IF($AH270="","",INDEX('Per Line'!$G$2:$G$1601,$AH270)&amp;"")</f>
        <v/>
      </c>
      <c r="I270">
        <f>IF($AH270="","",INDEX('Per Line'!$I$2:$I$1601,$AH270)&amp;"")</f>
        <v/>
      </c>
      <c r="J270">
        <f>IF($AH270="","",INDEX('Per Line'!$J$2:$J$1601,$AH270)&amp;"")</f>
        <v/>
      </c>
      <c r="K270">
        <f>IF($AH270="","",INDEX('Per Line'!$K$2:$K$1601,$AH270)&amp;"")</f>
        <v/>
      </c>
      <c r="L270">
        <f>IF($AH270="","",INDEX('Per Line'!$L$2:$L$1601,$AH270)&amp;"")</f>
        <v/>
      </c>
      <c r="M270">
        <f>IF($AH270="","",INDEX('Per Line'!$M$2:$M$1601,$AH270))</f>
        <v/>
      </c>
      <c r="N270" s="7">
        <f>IF($AH270="","",M270*AE270/100)</f>
        <v/>
      </c>
      <c r="O270">
        <f>IF($AH270="","",INDEX('Per Line'!$Z$2:$Z$1601,$AH270)&amp;"")</f>
        <v/>
      </c>
      <c r="P270">
        <f>IF($AH270="","",INDEX('Per Line'!$AC$2:$AC$1601,$AH270)&amp;"")</f>
        <v/>
      </c>
      <c r="Q270">
        <f>IF($AH270="","",INDEX('Per Line'!$AD$2:$AD$1601,$AH270))</f>
        <v/>
      </c>
      <c r="R270">
        <f>IF($AH270="","",IF(AND(ISNUMBER(Q270),Q270&gt;0),AF270&gt;Q270,FALSE))</f>
        <v/>
      </c>
      <c r="S270">
        <f>IF($AH270="","",INDEX('Per Line'!$AH$2:$AH$1601,$AH270)&amp;"")</f>
        <v/>
      </c>
      <c r="T270" s="11">
        <f>IF($AH270="","",INDEX('Per Line'!$AI$2:$AI$1601,$AH270))</f>
        <v/>
      </c>
      <c r="U270">
        <f>IF($AH270="","",Settings!$C$8)</f>
        <v/>
      </c>
      <c r="V270" s="7">
        <f>IF($AH270="","",SUMIFS('Per Line'!$V$2:$V$1601,'Per Line'!$D$2:$D$1601,$B270,'Per Line'!$AN$2:$AN$1601,1))</f>
        <v/>
      </c>
      <c r="W270" s="7">
        <f>IF($AH270="","",V270*U270)</f>
        <v/>
      </c>
      <c r="X270">
        <f>IF($AH270="","",Settings!$C$7)</f>
        <v/>
      </c>
      <c r="Y270" s="7">
        <f>IF($AH270="","",SUMIFS('Per Line'!$V$2:$V$1601,'Per Line'!$D$2:$D$1601,$B270,'Per Line'!$AM$2:$AM$1601,0,'Per Line'!$AN$2:$AN$1601,0))</f>
        <v/>
      </c>
      <c r="Z270" s="7">
        <f>IF($AH270="","",Y270*X270)</f>
        <v/>
      </c>
      <c r="AA270">
        <f>IF($AH270="","",Settings!$C$6)</f>
        <v/>
      </c>
      <c r="AB270" s="7">
        <f>IF($AH270="","",SUMIFS('Per Line'!$V$2:$V$1601,'Per Line'!$D$2:$D$1601,$B270,'Per Line'!$AM$2:$AM$1601,1,'Per Line'!$AN$2:$AN$1601,0))</f>
        <v/>
      </c>
      <c r="AC270" s="7">
        <f>IF($AH270="","",AB270*AA270)</f>
        <v/>
      </c>
      <c r="AD270" s="7">
        <f>IF($AH270="","",AC270+Z270+W270)</f>
        <v/>
      </c>
      <c r="AE270" s="7">
        <f>IF($AH270="","",AF270-AD270)</f>
        <v/>
      </c>
      <c r="AF270" s="7">
        <f>IF($AH270="","",Y270+AB270+V270)</f>
        <v/>
      </c>
      <c r="AG270" s="7">
        <f>IF($AH270="","",AF270-AD270-N270)</f>
        <v/>
      </c>
      <c r="AH270" s="13">
        <f>IF(ROWS($AH$2:$AH270)&lt;=MAX('Per Line'!$AL$2:$AL$1601),MATCH(ROWS($AH$2:$AH270),'Per Line'!$AL$2:$AL$1601,0),"")</f>
        <v/>
      </c>
    </row>
    <row r="271">
      <c r="A271" s="12" t="n"/>
      <c r="B271">
        <f>IF($AH271="","",INDEX('Per Line'!$D$2:$D$1601,$AH271)&amp;"")</f>
        <v/>
      </c>
      <c r="C271">
        <f>IF($AH271="","",INDEX('Per Line'!$A$2:$A$1601,$AH271)&amp;"")</f>
        <v/>
      </c>
      <c r="D271">
        <f>IF($AH271="","",INDEX('Per Line'!$B$2:$B$1601,$AH271))</f>
        <v/>
      </c>
      <c r="E271">
        <f>IF($AH271="","",INDEX('Per Line'!$C$2:$C$1601,$AH271)&amp;"")</f>
        <v/>
      </c>
      <c r="F271">
        <f>IF($AH271="","",INDEX('Per Line'!$E$2:$E$1601,$AH271)&amp;"")</f>
        <v/>
      </c>
      <c r="G271" s="11">
        <f>IF($AH271="","",INDEX('Per Line'!$F$2:$F$1601,$AH271))</f>
        <v/>
      </c>
      <c r="H271">
        <f>IF($AH271="","",INDEX('Per Line'!$G$2:$G$1601,$AH271)&amp;"")</f>
        <v/>
      </c>
      <c r="I271">
        <f>IF($AH271="","",INDEX('Per Line'!$I$2:$I$1601,$AH271)&amp;"")</f>
        <v/>
      </c>
      <c r="J271">
        <f>IF($AH271="","",INDEX('Per Line'!$J$2:$J$1601,$AH271)&amp;"")</f>
        <v/>
      </c>
      <c r="K271">
        <f>IF($AH271="","",INDEX('Per Line'!$K$2:$K$1601,$AH271)&amp;"")</f>
        <v/>
      </c>
      <c r="L271">
        <f>IF($AH271="","",INDEX('Per Line'!$L$2:$L$1601,$AH271)&amp;"")</f>
        <v/>
      </c>
      <c r="M271">
        <f>IF($AH271="","",INDEX('Per Line'!$M$2:$M$1601,$AH271))</f>
        <v/>
      </c>
      <c r="N271" s="7">
        <f>IF($AH271="","",M271*AE271/100)</f>
        <v/>
      </c>
      <c r="O271">
        <f>IF($AH271="","",INDEX('Per Line'!$Z$2:$Z$1601,$AH271)&amp;"")</f>
        <v/>
      </c>
      <c r="P271">
        <f>IF($AH271="","",INDEX('Per Line'!$AC$2:$AC$1601,$AH271)&amp;"")</f>
        <v/>
      </c>
      <c r="Q271">
        <f>IF($AH271="","",INDEX('Per Line'!$AD$2:$AD$1601,$AH271))</f>
        <v/>
      </c>
      <c r="R271">
        <f>IF($AH271="","",IF(AND(ISNUMBER(Q271),Q271&gt;0),AF271&gt;Q271,FALSE))</f>
        <v/>
      </c>
      <c r="S271">
        <f>IF($AH271="","",INDEX('Per Line'!$AH$2:$AH$1601,$AH271)&amp;"")</f>
        <v/>
      </c>
      <c r="T271" s="11">
        <f>IF($AH271="","",INDEX('Per Line'!$AI$2:$AI$1601,$AH271))</f>
        <v/>
      </c>
      <c r="U271">
        <f>IF($AH271="","",Settings!$C$8)</f>
        <v/>
      </c>
      <c r="V271" s="7">
        <f>IF($AH271="","",SUMIFS('Per Line'!$V$2:$V$1601,'Per Line'!$D$2:$D$1601,$B271,'Per Line'!$AN$2:$AN$1601,1))</f>
        <v/>
      </c>
      <c r="W271" s="7">
        <f>IF($AH271="","",V271*U271)</f>
        <v/>
      </c>
      <c r="X271">
        <f>IF($AH271="","",Settings!$C$7)</f>
        <v/>
      </c>
      <c r="Y271" s="7">
        <f>IF($AH271="","",SUMIFS('Per Line'!$V$2:$V$1601,'Per Line'!$D$2:$D$1601,$B271,'Per Line'!$AM$2:$AM$1601,0,'Per Line'!$AN$2:$AN$1601,0))</f>
        <v/>
      </c>
      <c r="Z271" s="7">
        <f>IF($AH271="","",Y271*X271)</f>
        <v/>
      </c>
      <c r="AA271">
        <f>IF($AH271="","",Settings!$C$6)</f>
        <v/>
      </c>
      <c r="AB271" s="7">
        <f>IF($AH271="","",SUMIFS('Per Line'!$V$2:$V$1601,'Per Line'!$D$2:$D$1601,$B271,'Per Line'!$AM$2:$AM$1601,1,'Per Line'!$AN$2:$AN$1601,0))</f>
        <v/>
      </c>
      <c r="AC271" s="7">
        <f>IF($AH271="","",AB271*AA271)</f>
        <v/>
      </c>
      <c r="AD271" s="7">
        <f>IF($AH271="","",AC271+Z271+W271)</f>
        <v/>
      </c>
      <c r="AE271" s="7">
        <f>IF($AH271="","",AF271-AD271)</f>
        <v/>
      </c>
      <c r="AF271" s="7">
        <f>IF($AH271="","",Y271+AB271+V271)</f>
        <v/>
      </c>
      <c r="AG271" s="7">
        <f>IF($AH271="","",AF271-AD271-N271)</f>
        <v/>
      </c>
      <c r="AH271" s="13">
        <f>IF(ROWS($AH$2:$AH271)&lt;=MAX('Per Line'!$AL$2:$AL$1601),MATCH(ROWS($AH$2:$AH271),'Per Line'!$AL$2:$AL$1601,0),"")</f>
        <v/>
      </c>
    </row>
    <row r="272">
      <c r="A272" s="12" t="n"/>
      <c r="B272">
        <f>IF($AH272="","",INDEX('Per Line'!$D$2:$D$1601,$AH272)&amp;"")</f>
        <v/>
      </c>
      <c r="C272">
        <f>IF($AH272="","",INDEX('Per Line'!$A$2:$A$1601,$AH272)&amp;"")</f>
        <v/>
      </c>
      <c r="D272">
        <f>IF($AH272="","",INDEX('Per Line'!$B$2:$B$1601,$AH272))</f>
        <v/>
      </c>
      <c r="E272">
        <f>IF($AH272="","",INDEX('Per Line'!$C$2:$C$1601,$AH272)&amp;"")</f>
        <v/>
      </c>
      <c r="F272">
        <f>IF($AH272="","",INDEX('Per Line'!$E$2:$E$1601,$AH272)&amp;"")</f>
        <v/>
      </c>
      <c r="G272" s="11">
        <f>IF($AH272="","",INDEX('Per Line'!$F$2:$F$1601,$AH272))</f>
        <v/>
      </c>
      <c r="H272">
        <f>IF($AH272="","",INDEX('Per Line'!$G$2:$G$1601,$AH272)&amp;"")</f>
        <v/>
      </c>
      <c r="I272">
        <f>IF($AH272="","",INDEX('Per Line'!$I$2:$I$1601,$AH272)&amp;"")</f>
        <v/>
      </c>
      <c r="J272">
        <f>IF($AH272="","",INDEX('Per Line'!$J$2:$J$1601,$AH272)&amp;"")</f>
        <v/>
      </c>
      <c r="K272">
        <f>IF($AH272="","",INDEX('Per Line'!$K$2:$K$1601,$AH272)&amp;"")</f>
        <v/>
      </c>
      <c r="L272">
        <f>IF($AH272="","",INDEX('Per Line'!$L$2:$L$1601,$AH272)&amp;"")</f>
        <v/>
      </c>
      <c r="M272">
        <f>IF($AH272="","",INDEX('Per Line'!$M$2:$M$1601,$AH272))</f>
        <v/>
      </c>
      <c r="N272" s="7">
        <f>IF($AH272="","",M272*AE272/100)</f>
        <v/>
      </c>
      <c r="O272">
        <f>IF($AH272="","",INDEX('Per Line'!$Z$2:$Z$1601,$AH272)&amp;"")</f>
        <v/>
      </c>
      <c r="P272">
        <f>IF($AH272="","",INDEX('Per Line'!$AC$2:$AC$1601,$AH272)&amp;"")</f>
        <v/>
      </c>
      <c r="Q272">
        <f>IF($AH272="","",INDEX('Per Line'!$AD$2:$AD$1601,$AH272))</f>
        <v/>
      </c>
      <c r="R272">
        <f>IF($AH272="","",IF(AND(ISNUMBER(Q272),Q272&gt;0),AF272&gt;Q272,FALSE))</f>
        <v/>
      </c>
      <c r="S272">
        <f>IF($AH272="","",INDEX('Per Line'!$AH$2:$AH$1601,$AH272)&amp;"")</f>
        <v/>
      </c>
      <c r="T272" s="11">
        <f>IF($AH272="","",INDEX('Per Line'!$AI$2:$AI$1601,$AH272))</f>
        <v/>
      </c>
      <c r="U272">
        <f>IF($AH272="","",Settings!$C$8)</f>
        <v/>
      </c>
      <c r="V272" s="7">
        <f>IF($AH272="","",SUMIFS('Per Line'!$V$2:$V$1601,'Per Line'!$D$2:$D$1601,$B272,'Per Line'!$AN$2:$AN$1601,1))</f>
        <v/>
      </c>
      <c r="W272" s="7">
        <f>IF($AH272="","",V272*U272)</f>
        <v/>
      </c>
      <c r="X272">
        <f>IF($AH272="","",Settings!$C$7)</f>
        <v/>
      </c>
      <c r="Y272" s="7">
        <f>IF($AH272="","",SUMIFS('Per Line'!$V$2:$V$1601,'Per Line'!$D$2:$D$1601,$B272,'Per Line'!$AM$2:$AM$1601,0,'Per Line'!$AN$2:$AN$1601,0))</f>
        <v/>
      </c>
      <c r="Z272" s="7">
        <f>IF($AH272="","",Y272*X272)</f>
        <v/>
      </c>
      <c r="AA272">
        <f>IF($AH272="","",Settings!$C$6)</f>
        <v/>
      </c>
      <c r="AB272" s="7">
        <f>IF($AH272="","",SUMIFS('Per Line'!$V$2:$V$1601,'Per Line'!$D$2:$D$1601,$B272,'Per Line'!$AM$2:$AM$1601,1,'Per Line'!$AN$2:$AN$1601,0))</f>
        <v/>
      </c>
      <c r="AC272" s="7">
        <f>IF($AH272="","",AB272*AA272)</f>
        <v/>
      </c>
      <c r="AD272" s="7">
        <f>IF($AH272="","",AC272+Z272+W272)</f>
        <v/>
      </c>
      <c r="AE272" s="7">
        <f>IF($AH272="","",AF272-AD272)</f>
        <v/>
      </c>
      <c r="AF272" s="7">
        <f>IF($AH272="","",Y272+AB272+V272)</f>
        <v/>
      </c>
      <c r="AG272" s="7">
        <f>IF($AH272="","",AF272-AD272-N272)</f>
        <v/>
      </c>
      <c r="AH272" s="13">
        <f>IF(ROWS($AH$2:$AH272)&lt;=MAX('Per Line'!$AL$2:$AL$1601),MATCH(ROWS($AH$2:$AH272),'Per Line'!$AL$2:$AL$1601,0),"")</f>
        <v/>
      </c>
    </row>
    <row r="273">
      <c r="A273" s="12" t="n"/>
      <c r="B273">
        <f>IF($AH273="","",INDEX('Per Line'!$D$2:$D$1601,$AH273)&amp;"")</f>
        <v/>
      </c>
      <c r="C273">
        <f>IF($AH273="","",INDEX('Per Line'!$A$2:$A$1601,$AH273)&amp;"")</f>
        <v/>
      </c>
      <c r="D273">
        <f>IF($AH273="","",INDEX('Per Line'!$B$2:$B$1601,$AH273))</f>
        <v/>
      </c>
      <c r="E273">
        <f>IF($AH273="","",INDEX('Per Line'!$C$2:$C$1601,$AH273)&amp;"")</f>
        <v/>
      </c>
      <c r="F273">
        <f>IF($AH273="","",INDEX('Per Line'!$E$2:$E$1601,$AH273)&amp;"")</f>
        <v/>
      </c>
      <c r="G273" s="11">
        <f>IF($AH273="","",INDEX('Per Line'!$F$2:$F$1601,$AH273))</f>
        <v/>
      </c>
      <c r="H273">
        <f>IF($AH273="","",INDEX('Per Line'!$G$2:$G$1601,$AH273)&amp;"")</f>
        <v/>
      </c>
      <c r="I273">
        <f>IF($AH273="","",INDEX('Per Line'!$I$2:$I$1601,$AH273)&amp;"")</f>
        <v/>
      </c>
      <c r="J273">
        <f>IF($AH273="","",INDEX('Per Line'!$J$2:$J$1601,$AH273)&amp;"")</f>
        <v/>
      </c>
      <c r="K273">
        <f>IF($AH273="","",INDEX('Per Line'!$K$2:$K$1601,$AH273)&amp;"")</f>
        <v/>
      </c>
      <c r="L273">
        <f>IF($AH273="","",INDEX('Per Line'!$L$2:$L$1601,$AH273)&amp;"")</f>
        <v/>
      </c>
      <c r="M273">
        <f>IF($AH273="","",INDEX('Per Line'!$M$2:$M$1601,$AH273))</f>
        <v/>
      </c>
      <c r="N273" s="7">
        <f>IF($AH273="","",M273*AE273/100)</f>
        <v/>
      </c>
      <c r="O273">
        <f>IF($AH273="","",INDEX('Per Line'!$Z$2:$Z$1601,$AH273)&amp;"")</f>
        <v/>
      </c>
      <c r="P273">
        <f>IF($AH273="","",INDEX('Per Line'!$AC$2:$AC$1601,$AH273)&amp;"")</f>
        <v/>
      </c>
      <c r="Q273">
        <f>IF($AH273="","",INDEX('Per Line'!$AD$2:$AD$1601,$AH273))</f>
        <v/>
      </c>
      <c r="R273">
        <f>IF($AH273="","",IF(AND(ISNUMBER(Q273),Q273&gt;0),AF273&gt;Q273,FALSE))</f>
        <v/>
      </c>
      <c r="S273">
        <f>IF($AH273="","",INDEX('Per Line'!$AH$2:$AH$1601,$AH273)&amp;"")</f>
        <v/>
      </c>
      <c r="T273" s="11">
        <f>IF($AH273="","",INDEX('Per Line'!$AI$2:$AI$1601,$AH273))</f>
        <v/>
      </c>
      <c r="U273">
        <f>IF($AH273="","",Settings!$C$8)</f>
        <v/>
      </c>
      <c r="V273" s="7">
        <f>IF($AH273="","",SUMIFS('Per Line'!$V$2:$V$1601,'Per Line'!$D$2:$D$1601,$B273,'Per Line'!$AN$2:$AN$1601,1))</f>
        <v/>
      </c>
      <c r="W273" s="7">
        <f>IF($AH273="","",V273*U273)</f>
        <v/>
      </c>
      <c r="X273">
        <f>IF($AH273="","",Settings!$C$7)</f>
        <v/>
      </c>
      <c r="Y273" s="7">
        <f>IF($AH273="","",SUMIFS('Per Line'!$V$2:$V$1601,'Per Line'!$D$2:$D$1601,$B273,'Per Line'!$AM$2:$AM$1601,0,'Per Line'!$AN$2:$AN$1601,0))</f>
        <v/>
      </c>
      <c r="Z273" s="7">
        <f>IF($AH273="","",Y273*X273)</f>
        <v/>
      </c>
      <c r="AA273">
        <f>IF($AH273="","",Settings!$C$6)</f>
        <v/>
      </c>
      <c r="AB273" s="7">
        <f>IF($AH273="","",SUMIFS('Per Line'!$V$2:$V$1601,'Per Line'!$D$2:$D$1601,$B273,'Per Line'!$AM$2:$AM$1601,1,'Per Line'!$AN$2:$AN$1601,0))</f>
        <v/>
      </c>
      <c r="AC273" s="7">
        <f>IF($AH273="","",AB273*AA273)</f>
        <v/>
      </c>
      <c r="AD273" s="7">
        <f>IF($AH273="","",AC273+Z273+W273)</f>
        <v/>
      </c>
      <c r="AE273" s="7">
        <f>IF($AH273="","",AF273-AD273)</f>
        <v/>
      </c>
      <c r="AF273" s="7">
        <f>IF($AH273="","",Y273+AB273+V273)</f>
        <v/>
      </c>
      <c r="AG273" s="7">
        <f>IF($AH273="","",AF273-AD273-N273)</f>
        <v/>
      </c>
      <c r="AH273" s="13">
        <f>IF(ROWS($AH$2:$AH273)&lt;=MAX('Per Line'!$AL$2:$AL$1601),MATCH(ROWS($AH$2:$AH273),'Per Line'!$AL$2:$AL$1601,0),"")</f>
        <v/>
      </c>
    </row>
    <row r="274">
      <c r="A274" s="12" t="n"/>
      <c r="B274">
        <f>IF($AH274="","",INDEX('Per Line'!$D$2:$D$1601,$AH274)&amp;"")</f>
        <v/>
      </c>
      <c r="C274">
        <f>IF($AH274="","",INDEX('Per Line'!$A$2:$A$1601,$AH274)&amp;"")</f>
        <v/>
      </c>
      <c r="D274">
        <f>IF($AH274="","",INDEX('Per Line'!$B$2:$B$1601,$AH274))</f>
        <v/>
      </c>
      <c r="E274">
        <f>IF($AH274="","",INDEX('Per Line'!$C$2:$C$1601,$AH274)&amp;"")</f>
        <v/>
      </c>
      <c r="F274">
        <f>IF($AH274="","",INDEX('Per Line'!$E$2:$E$1601,$AH274)&amp;"")</f>
        <v/>
      </c>
      <c r="G274" s="11">
        <f>IF($AH274="","",INDEX('Per Line'!$F$2:$F$1601,$AH274))</f>
        <v/>
      </c>
      <c r="H274">
        <f>IF($AH274="","",INDEX('Per Line'!$G$2:$G$1601,$AH274)&amp;"")</f>
        <v/>
      </c>
      <c r="I274">
        <f>IF($AH274="","",INDEX('Per Line'!$I$2:$I$1601,$AH274)&amp;"")</f>
        <v/>
      </c>
      <c r="J274">
        <f>IF($AH274="","",INDEX('Per Line'!$J$2:$J$1601,$AH274)&amp;"")</f>
        <v/>
      </c>
      <c r="K274">
        <f>IF($AH274="","",INDEX('Per Line'!$K$2:$K$1601,$AH274)&amp;"")</f>
        <v/>
      </c>
      <c r="L274">
        <f>IF($AH274="","",INDEX('Per Line'!$L$2:$L$1601,$AH274)&amp;"")</f>
        <v/>
      </c>
      <c r="M274">
        <f>IF($AH274="","",INDEX('Per Line'!$M$2:$M$1601,$AH274))</f>
        <v/>
      </c>
      <c r="N274" s="7">
        <f>IF($AH274="","",M274*AE274/100)</f>
        <v/>
      </c>
      <c r="O274">
        <f>IF($AH274="","",INDEX('Per Line'!$Z$2:$Z$1601,$AH274)&amp;"")</f>
        <v/>
      </c>
      <c r="P274">
        <f>IF($AH274="","",INDEX('Per Line'!$AC$2:$AC$1601,$AH274)&amp;"")</f>
        <v/>
      </c>
      <c r="Q274">
        <f>IF($AH274="","",INDEX('Per Line'!$AD$2:$AD$1601,$AH274))</f>
        <v/>
      </c>
      <c r="R274">
        <f>IF($AH274="","",IF(AND(ISNUMBER(Q274),Q274&gt;0),AF274&gt;Q274,FALSE))</f>
        <v/>
      </c>
      <c r="S274">
        <f>IF($AH274="","",INDEX('Per Line'!$AH$2:$AH$1601,$AH274)&amp;"")</f>
        <v/>
      </c>
      <c r="T274" s="11">
        <f>IF($AH274="","",INDEX('Per Line'!$AI$2:$AI$1601,$AH274))</f>
        <v/>
      </c>
      <c r="U274">
        <f>IF($AH274="","",Settings!$C$8)</f>
        <v/>
      </c>
      <c r="V274" s="7">
        <f>IF($AH274="","",SUMIFS('Per Line'!$V$2:$V$1601,'Per Line'!$D$2:$D$1601,$B274,'Per Line'!$AN$2:$AN$1601,1))</f>
        <v/>
      </c>
      <c r="W274" s="7">
        <f>IF($AH274="","",V274*U274)</f>
        <v/>
      </c>
      <c r="X274">
        <f>IF($AH274="","",Settings!$C$7)</f>
        <v/>
      </c>
      <c r="Y274" s="7">
        <f>IF($AH274="","",SUMIFS('Per Line'!$V$2:$V$1601,'Per Line'!$D$2:$D$1601,$B274,'Per Line'!$AM$2:$AM$1601,0,'Per Line'!$AN$2:$AN$1601,0))</f>
        <v/>
      </c>
      <c r="Z274" s="7">
        <f>IF($AH274="","",Y274*X274)</f>
        <v/>
      </c>
      <c r="AA274">
        <f>IF($AH274="","",Settings!$C$6)</f>
        <v/>
      </c>
      <c r="AB274" s="7">
        <f>IF($AH274="","",SUMIFS('Per Line'!$V$2:$V$1601,'Per Line'!$D$2:$D$1601,$B274,'Per Line'!$AM$2:$AM$1601,1,'Per Line'!$AN$2:$AN$1601,0))</f>
        <v/>
      </c>
      <c r="AC274" s="7">
        <f>IF($AH274="","",AB274*AA274)</f>
        <v/>
      </c>
      <c r="AD274" s="7">
        <f>IF($AH274="","",AC274+Z274+W274)</f>
        <v/>
      </c>
      <c r="AE274" s="7">
        <f>IF($AH274="","",AF274-AD274)</f>
        <v/>
      </c>
      <c r="AF274" s="7">
        <f>IF($AH274="","",Y274+AB274+V274)</f>
        <v/>
      </c>
      <c r="AG274" s="7">
        <f>IF($AH274="","",AF274-AD274-N274)</f>
        <v/>
      </c>
      <c r="AH274" s="13">
        <f>IF(ROWS($AH$2:$AH274)&lt;=MAX('Per Line'!$AL$2:$AL$1601),MATCH(ROWS($AH$2:$AH274),'Per Line'!$AL$2:$AL$1601,0),"")</f>
        <v/>
      </c>
    </row>
    <row r="275">
      <c r="A275" s="12" t="n"/>
      <c r="B275">
        <f>IF($AH275="","",INDEX('Per Line'!$D$2:$D$1601,$AH275)&amp;"")</f>
        <v/>
      </c>
      <c r="C275">
        <f>IF($AH275="","",INDEX('Per Line'!$A$2:$A$1601,$AH275)&amp;"")</f>
        <v/>
      </c>
      <c r="D275">
        <f>IF($AH275="","",INDEX('Per Line'!$B$2:$B$1601,$AH275))</f>
        <v/>
      </c>
      <c r="E275">
        <f>IF($AH275="","",INDEX('Per Line'!$C$2:$C$1601,$AH275)&amp;"")</f>
        <v/>
      </c>
      <c r="F275">
        <f>IF($AH275="","",INDEX('Per Line'!$E$2:$E$1601,$AH275)&amp;"")</f>
        <v/>
      </c>
      <c r="G275" s="11">
        <f>IF($AH275="","",INDEX('Per Line'!$F$2:$F$1601,$AH275))</f>
        <v/>
      </c>
      <c r="H275">
        <f>IF($AH275="","",INDEX('Per Line'!$G$2:$G$1601,$AH275)&amp;"")</f>
        <v/>
      </c>
      <c r="I275">
        <f>IF($AH275="","",INDEX('Per Line'!$I$2:$I$1601,$AH275)&amp;"")</f>
        <v/>
      </c>
      <c r="J275">
        <f>IF($AH275="","",INDEX('Per Line'!$J$2:$J$1601,$AH275)&amp;"")</f>
        <v/>
      </c>
      <c r="K275">
        <f>IF($AH275="","",INDEX('Per Line'!$K$2:$K$1601,$AH275)&amp;"")</f>
        <v/>
      </c>
      <c r="L275">
        <f>IF($AH275="","",INDEX('Per Line'!$L$2:$L$1601,$AH275)&amp;"")</f>
        <v/>
      </c>
      <c r="M275">
        <f>IF($AH275="","",INDEX('Per Line'!$M$2:$M$1601,$AH275))</f>
        <v/>
      </c>
      <c r="N275" s="7">
        <f>IF($AH275="","",M275*AE275/100)</f>
        <v/>
      </c>
      <c r="O275">
        <f>IF($AH275="","",INDEX('Per Line'!$Z$2:$Z$1601,$AH275)&amp;"")</f>
        <v/>
      </c>
      <c r="P275">
        <f>IF($AH275="","",INDEX('Per Line'!$AC$2:$AC$1601,$AH275)&amp;"")</f>
        <v/>
      </c>
      <c r="Q275">
        <f>IF($AH275="","",INDEX('Per Line'!$AD$2:$AD$1601,$AH275))</f>
        <v/>
      </c>
      <c r="R275">
        <f>IF($AH275="","",IF(AND(ISNUMBER(Q275),Q275&gt;0),AF275&gt;Q275,FALSE))</f>
        <v/>
      </c>
      <c r="S275">
        <f>IF($AH275="","",INDEX('Per Line'!$AH$2:$AH$1601,$AH275)&amp;"")</f>
        <v/>
      </c>
      <c r="T275" s="11">
        <f>IF($AH275="","",INDEX('Per Line'!$AI$2:$AI$1601,$AH275))</f>
        <v/>
      </c>
      <c r="U275">
        <f>IF($AH275="","",Settings!$C$8)</f>
        <v/>
      </c>
      <c r="V275" s="7">
        <f>IF($AH275="","",SUMIFS('Per Line'!$V$2:$V$1601,'Per Line'!$D$2:$D$1601,$B275,'Per Line'!$AN$2:$AN$1601,1))</f>
        <v/>
      </c>
      <c r="W275" s="7">
        <f>IF($AH275="","",V275*U275)</f>
        <v/>
      </c>
      <c r="X275">
        <f>IF($AH275="","",Settings!$C$7)</f>
        <v/>
      </c>
      <c r="Y275" s="7">
        <f>IF($AH275="","",SUMIFS('Per Line'!$V$2:$V$1601,'Per Line'!$D$2:$D$1601,$B275,'Per Line'!$AM$2:$AM$1601,0,'Per Line'!$AN$2:$AN$1601,0))</f>
        <v/>
      </c>
      <c r="Z275" s="7">
        <f>IF($AH275="","",Y275*X275)</f>
        <v/>
      </c>
      <c r="AA275">
        <f>IF($AH275="","",Settings!$C$6)</f>
        <v/>
      </c>
      <c r="AB275" s="7">
        <f>IF($AH275="","",SUMIFS('Per Line'!$V$2:$V$1601,'Per Line'!$D$2:$D$1601,$B275,'Per Line'!$AM$2:$AM$1601,1,'Per Line'!$AN$2:$AN$1601,0))</f>
        <v/>
      </c>
      <c r="AC275" s="7">
        <f>IF($AH275="","",AB275*AA275)</f>
        <v/>
      </c>
      <c r="AD275" s="7">
        <f>IF($AH275="","",AC275+Z275+W275)</f>
        <v/>
      </c>
      <c r="AE275" s="7">
        <f>IF($AH275="","",AF275-AD275)</f>
        <v/>
      </c>
      <c r="AF275" s="7">
        <f>IF($AH275="","",Y275+AB275+V275)</f>
        <v/>
      </c>
      <c r="AG275" s="7">
        <f>IF($AH275="","",AF275-AD275-N275)</f>
        <v/>
      </c>
      <c r="AH275" s="13">
        <f>IF(ROWS($AH$2:$AH275)&lt;=MAX('Per Line'!$AL$2:$AL$1601),MATCH(ROWS($AH$2:$AH275),'Per Line'!$AL$2:$AL$1601,0),"")</f>
        <v/>
      </c>
    </row>
    <row r="276">
      <c r="A276" s="12" t="n"/>
      <c r="B276">
        <f>IF($AH276="","",INDEX('Per Line'!$D$2:$D$1601,$AH276)&amp;"")</f>
        <v/>
      </c>
      <c r="C276">
        <f>IF($AH276="","",INDEX('Per Line'!$A$2:$A$1601,$AH276)&amp;"")</f>
        <v/>
      </c>
      <c r="D276">
        <f>IF($AH276="","",INDEX('Per Line'!$B$2:$B$1601,$AH276))</f>
        <v/>
      </c>
      <c r="E276">
        <f>IF($AH276="","",INDEX('Per Line'!$C$2:$C$1601,$AH276)&amp;"")</f>
        <v/>
      </c>
      <c r="F276">
        <f>IF($AH276="","",INDEX('Per Line'!$E$2:$E$1601,$AH276)&amp;"")</f>
        <v/>
      </c>
      <c r="G276" s="11">
        <f>IF($AH276="","",INDEX('Per Line'!$F$2:$F$1601,$AH276))</f>
        <v/>
      </c>
      <c r="H276">
        <f>IF($AH276="","",INDEX('Per Line'!$G$2:$G$1601,$AH276)&amp;"")</f>
        <v/>
      </c>
      <c r="I276">
        <f>IF($AH276="","",INDEX('Per Line'!$I$2:$I$1601,$AH276)&amp;"")</f>
        <v/>
      </c>
      <c r="J276">
        <f>IF($AH276="","",INDEX('Per Line'!$J$2:$J$1601,$AH276)&amp;"")</f>
        <v/>
      </c>
      <c r="K276">
        <f>IF($AH276="","",INDEX('Per Line'!$K$2:$K$1601,$AH276)&amp;"")</f>
        <v/>
      </c>
      <c r="L276">
        <f>IF($AH276="","",INDEX('Per Line'!$L$2:$L$1601,$AH276)&amp;"")</f>
        <v/>
      </c>
      <c r="M276">
        <f>IF($AH276="","",INDEX('Per Line'!$M$2:$M$1601,$AH276))</f>
        <v/>
      </c>
      <c r="N276" s="7">
        <f>IF($AH276="","",M276*AE276/100)</f>
        <v/>
      </c>
      <c r="O276">
        <f>IF($AH276="","",INDEX('Per Line'!$Z$2:$Z$1601,$AH276)&amp;"")</f>
        <v/>
      </c>
      <c r="P276">
        <f>IF($AH276="","",INDEX('Per Line'!$AC$2:$AC$1601,$AH276)&amp;"")</f>
        <v/>
      </c>
      <c r="Q276">
        <f>IF($AH276="","",INDEX('Per Line'!$AD$2:$AD$1601,$AH276))</f>
        <v/>
      </c>
      <c r="R276">
        <f>IF($AH276="","",IF(AND(ISNUMBER(Q276),Q276&gt;0),AF276&gt;Q276,FALSE))</f>
        <v/>
      </c>
      <c r="S276">
        <f>IF($AH276="","",INDEX('Per Line'!$AH$2:$AH$1601,$AH276)&amp;"")</f>
        <v/>
      </c>
      <c r="T276" s="11">
        <f>IF($AH276="","",INDEX('Per Line'!$AI$2:$AI$1601,$AH276))</f>
        <v/>
      </c>
      <c r="U276">
        <f>IF($AH276="","",Settings!$C$8)</f>
        <v/>
      </c>
      <c r="V276" s="7">
        <f>IF($AH276="","",SUMIFS('Per Line'!$V$2:$V$1601,'Per Line'!$D$2:$D$1601,$B276,'Per Line'!$AN$2:$AN$1601,1))</f>
        <v/>
      </c>
      <c r="W276" s="7">
        <f>IF($AH276="","",V276*U276)</f>
        <v/>
      </c>
      <c r="X276">
        <f>IF($AH276="","",Settings!$C$7)</f>
        <v/>
      </c>
      <c r="Y276" s="7">
        <f>IF($AH276="","",SUMIFS('Per Line'!$V$2:$V$1601,'Per Line'!$D$2:$D$1601,$B276,'Per Line'!$AM$2:$AM$1601,0,'Per Line'!$AN$2:$AN$1601,0))</f>
        <v/>
      </c>
      <c r="Z276" s="7">
        <f>IF($AH276="","",Y276*X276)</f>
        <v/>
      </c>
      <c r="AA276">
        <f>IF($AH276="","",Settings!$C$6)</f>
        <v/>
      </c>
      <c r="AB276" s="7">
        <f>IF($AH276="","",SUMIFS('Per Line'!$V$2:$V$1601,'Per Line'!$D$2:$D$1601,$B276,'Per Line'!$AM$2:$AM$1601,1,'Per Line'!$AN$2:$AN$1601,0))</f>
        <v/>
      </c>
      <c r="AC276" s="7">
        <f>IF($AH276="","",AB276*AA276)</f>
        <v/>
      </c>
      <c r="AD276" s="7">
        <f>IF($AH276="","",AC276+Z276+W276)</f>
        <v/>
      </c>
      <c r="AE276" s="7">
        <f>IF($AH276="","",AF276-AD276)</f>
        <v/>
      </c>
      <c r="AF276" s="7">
        <f>IF($AH276="","",Y276+AB276+V276)</f>
        <v/>
      </c>
      <c r="AG276" s="7">
        <f>IF($AH276="","",AF276-AD276-N276)</f>
        <v/>
      </c>
      <c r="AH276" s="13">
        <f>IF(ROWS($AH$2:$AH276)&lt;=MAX('Per Line'!$AL$2:$AL$1601),MATCH(ROWS($AH$2:$AH276),'Per Line'!$AL$2:$AL$1601,0),"")</f>
        <v/>
      </c>
    </row>
    <row r="277">
      <c r="A277" s="12" t="n"/>
      <c r="B277">
        <f>IF($AH277="","",INDEX('Per Line'!$D$2:$D$1601,$AH277)&amp;"")</f>
        <v/>
      </c>
      <c r="C277">
        <f>IF($AH277="","",INDEX('Per Line'!$A$2:$A$1601,$AH277)&amp;"")</f>
        <v/>
      </c>
      <c r="D277">
        <f>IF($AH277="","",INDEX('Per Line'!$B$2:$B$1601,$AH277))</f>
        <v/>
      </c>
      <c r="E277">
        <f>IF($AH277="","",INDEX('Per Line'!$C$2:$C$1601,$AH277)&amp;"")</f>
        <v/>
      </c>
      <c r="F277">
        <f>IF($AH277="","",INDEX('Per Line'!$E$2:$E$1601,$AH277)&amp;"")</f>
        <v/>
      </c>
      <c r="G277" s="11">
        <f>IF($AH277="","",INDEX('Per Line'!$F$2:$F$1601,$AH277))</f>
        <v/>
      </c>
      <c r="H277">
        <f>IF($AH277="","",INDEX('Per Line'!$G$2:$G$1601,$AH277)&amp;"")</f>
        <v/>
      </c>
      <c r="I277">
        <f>IF($AH277="","",INDEX('Per Line'!$I$2:$I$1601,$AH277)&amp;"")</f>
        <v/>
      </c>
      <c r="J277">
        <f>IF($AH277="","",INDEX('Per Line'!$J$2:$J$1601,$AH277)&amp;"")</f>
        <v/>
      </c>
      <c r="K277">
        <f>IF($AH277="","",INDEX('Per Line'!$K$2:$K$1601,$AH277)&amp;"")</f>
        <v/>
      </c>
      <c r="L277">
        <f>IF($AH277="","",INDEX('Per Line'!$L$2:$L$1601,$AH277)&amp;"")</f>
        <v/>
      </c>
      <c r="M277">
        <f>IF($AH277="","",INDEX('Per Line'!$M$2:$M$1601,$AH277))</f>
        <v/>
      </c>
      <c r="N277" s="7">
        <f>IF($AH277="","",M277*AE277/100)</f>
        <v/>
      </c>
      <c r="O277">
        <f>IF($AH277="","",INDEX('Per Line'!$Z$2:$Z$1601,$AH277)&amp;"")</f>
        <v/>
      </c>
      <c r="P277">
        <f>IF($AH277="","",INDEX('Per Line'!$AC$2:$AC$1601,$AH277)&amp;"")</f>
        <v/>
      </c>
      <c r="Q277">
        <f>IF($AH277="","",INDEX('Per Line'!$AD$2:$AD$1601,$AH277))</f>
        <v/>
      </c>
      <c r="R277">
        <f>IF($AH277="","",IF(AND(ISNUMBER(Q277),Q277&gt;0),AF277&gt;Q277,FALSE))</f>
        <v/>
      </c>
      <c r="S277">
        <f>IF($AH277="","",INDEX('Per Line'!$AH$2:$AH$1601,$AH277)&amp;"")</f>
        <v/>
      </c>
      <c r="T277" s="11">
        <f>IF($AH277="","",INDEX('Per Line'!$AI$2:$AI$1601,$AH277))</f>
        <v/>
      </c>
      <c r="U277">
        <f>IF($AH277="","",Settings!$C$8)</f>
        <v/>
      </c>
      <c r="V277" s="7">
        <f>IF($AH277="","",SUMIFS('Per Line'!$V$2:$V$1601,'Per Line'!$D$2:$D$1601,$B277,'Per Line'!$AN$2:$AN$1601,1))</f>
        <v/>
      </c>
      <c r="W277" s="7">
        <f>IF($AH277="","",V277*U277)</f>
        <v/>
      </c>
      <c r="X277">
        <f>IF($AH277="","",Settings!$C$7)</f>
        <v/>
      </c>
      <c r="Y277" s="7">
        <f>IF($AH277="","",SUMIFS('Per Line'!$V$2:$V$1601,'Per Line'!$D$2:$D$1601,$B277,'Per Line'!$AM$2:$AM$1601,0,'Per Line'!$AN$2:$AN$1601,0))</f>
        <v/>
      </c>
      <c r="Z277" s="7">
        <f>IF($AH277="","",Y277*X277)</f>
        <v/>
      </c>
      <c r="AA277">
        <f>IF($AH277="","",Settings!$C$6)</f>
        <v/>
      </c>
      <c r="AB277" s="7">
        <f>IF($AH277="","",SUMIFS('Per Line'!$V$2:$V$1601,'Per Line'!$D$2:$D$1601,$B277,'Per Line'!$AM$2:$AM$1601,1,'Per Line'!$AN$2:$AN$1601,0))</f>
        <v/>
      </c>
      <c r="AC277" s="7">
        <f>IF($AH277="","",AB277*AA277)</f>
        <v/>
      </c>
      <c r="AD277" s="7">
        <f>IF($AH277="","",AC277+Z277+W277)</f>
        <v/>
      </c>
      <c r="AE277" s="7">
        <f>IF($AH277="","",AF277-AD277)</f>
        <v/>
      </c>
      <c r="AF277" s="7">
        <f>IF($AH277="","",Y277+AB277+V277)</f>
        <v/>
      </c>
      <c r="AG277" s="7">
        <f>IF($AH277="","",AF277-AD277-N277)</f>
        <v/>
      </c>
      <c r="AH277" s="13">
        <f>IF(ROWS($AH$2:$AH277)&lt;=MAX('Per Line'!$AL$2:$AL$1601),MATCH(ROWS($AH$2:$AH277),'Per Line'!$AL$2:$AL$1601,0),"")</f>
        <v/>
      </c>
    </row>
    <row r="278">
      <c r="A278" s="12" t="n"/>
      <c r="B278">
        <f>IF($AH278="","",INDEX('Per Line'!$D$2:$D$1601,$AH278)&amp;"")</f>
        <v/>
      </c>
      <c r="C278">
        <f>IF($AH278="","",INDEX('Per Line'!$A$2:$A$1601,$AH278)&amp;"")</f>
        <v/>
      </c>
      <c r="D278">
        <f>IF($AH278="","",INDEX('Per Line'!$B$2:$B$1601,$AH278))</f>
        <v/>
      </c>
      <c r="E278">
        <f>IF($AH278="","",INDEX('Per Line'!$C$2:$C$1601,$AH278)&amp;"")</f>
        <v/>
      </c>
      <c r="F278">
        <f>IF($AH278="","",INDEX('Per Line'!$E$2:$E$1601,$AH278)&amp;"")</f>
        <v/>
      </c>
      <c r="G278" s="11">
        <f>IF($AH278="","",INDEX('Per Line'!$F$2:$F$1601,$AH278))</f>
        <v/>
      </c>
      <c r="H278">
        <f>IF($AH278="","",INDEX('Per Line'!$G$2:$G$1601,$AH278)&amp;"")</f>
        <v/>
      </c>
      <c r="I278">
        <f>IF($AH278="","",INDEX('Per Line'!$I$2:$I$1601,$AH278)&amp;"")</f>
        <v/>
      </c>
      <c r="J278">
        <f>IF($AH278="","",INDEX('Per Line'!$J$2:$J$1601,$AH278)&amp;"")</f>
        <v/>
      </c>
      <c r="K278">
        <f>IF($AH278="","",INDEX('Per Line'!$K$2:$K$1601,$AH278)&amp;"")</f>
        <v/>
      </c>
      <c r="L278">
        <f>IF($AH278="","",INDEX('Per Line'!$L$2:$L$1601,$AH278)&amp;"")</f>
        <v/>
      </c>
      <c r="M278">
        <f>IF($AH278="","",INDEX('Per Line'!$M$2:$M$1601,$AH278))</f>
        <v/>
      </c>
      <c r="N278" s="7">
        <f>IF($AH278="","",M278*AE278/100)</f>
        <v/>
      </c>
      <c r="O278">
        <f>IF($AH278="","",INDEX('Per Line'!$Z$2:$Z$1601,$AH278)&amp;"")</f>
        <v/>
      </c>
      <c r="P278">
        <f>IF($AH278="","",INDEX('Per Line'!$AC$2:$AC$1601,$AH278)&amp;"")</f>
        <v/>
      </c>
      <c r="Q278">
        <f>IF($AH278="","",INDEX('Per Line'!$AD$2:$AD$1601,$AH278))</f>
        <v/>
      </c>
      <c r="R278">
        <f>IF($AH278="","",IF(AND(ISNUMBER(Q278),Q278&gt;0),AF278&gt;Q278,FALSE))</f>
        <v/>
      </c>
      <c r="S278">
        <f>IF($AH278="","",INDEX('Per Line'!$AH$2:$AH$1601,$AH278)&amp;"")</f>
        <v/>
      </c>
      <c r="T278" s="11">
        <f>IF($AH278="","",INDEX('Per Line'!$AI$2:$AI$1601,$AH278))</f>
        <v/>
      </c>
      <c r="U278">
        <f>IF($AH278="","",Settings!$C$8)</f>
        <v/>
      </c>
      <c r="V278" s="7">
        <f>IF($AH278="","",SUMIFS('Per Line'!$V$2:$V$1601,'Per Line'!$D$2:$D$1601,$B278,'Per Line'!$AN$2:$AN$1601,1))</f>
        <v/>
      </c>
      <c r="W278" s="7">
        <f>IF($AH278="","",V278*U278)</f>
        <v/>
      </c>
      <c r="X278">
        <f>IF($AH278="","",Settings!$C$7)</f>
        <v/>
      </c>
      <c r="Y278" s="7">
        <f>IF($AH278="","",SUMIFS('Per Line'!$V$2:$V$1601,'Per Line'!$D$2:$D$1601,$B278,'Per Line'!$AM$2:$AM$1601,0,'Per Line'!$AN$2:$AN$1601,0))</f>
        <v/>
      </c>
      <c r="Z278" s="7">
        <f>IF($AH278="","",Y278*X278)</f>
        <v/>
      </c>
      <c r="AA278">
        <f>IF($AH278="","",Settings!$C$6)</f>
        <v/>
      </c>
      <c r="AB278" s="7">
        <f>IF($AH278="","",SUMIFS('Per Line'!$V$2:$V$1601,'Per Line'!$D$2:$D$1601,$B278,'Per Line'!$AM$2:$AM$1601,1,'Per Line'!$AN$2:$AN$1601,0))</f>
        <v/>
      </c>
      <c r="AC278" s="7">
        <f>IF($AH278="","",AB278*AA278)</f>
        <v/>
      </c>
      <c r="AD278" s="7">
        <f>IF($AH278="","",AC278+Z278+W278)</f>
        <v/>
      </c>
      <c r="AE278" s="7">
        <f>IF($AH278="","",AF278-AD278)</f>
        <v/>
      </c>
      <c r="AF278" s="7">
        <f>IF($AH278="","",Y278+AB278+V278)</f>
        <v/>
      </c>
      <c r="AG278" s="7">
        <f>IF($AH278="","",AF278-AD278-N278)</f>
        <v/>
      </c>
      <c r="AH278" s="13">
        <f>IF(ROWS($AH$2:$AH278)&lt;=MAX('Per Line'!$AL$2:$AL$1601),MATCH(ROWS($AH$2:$AH278),'Per Line'!$AL$2:$AL$1601,0),"")</f>
        <v/>
      </c>
    </row>
    <row r="279">
      <c r="A279" s="12" t="n"/>
      <c r="B279">
        <f>IF($AH279="","",INDEX('Per Line'!$D$2:$D$1601,$AH279)&amp;"")</f>
        <v/>
      </c>
      <c r="C279">
        <f>IF($AH279="","",INDEX('Per Line'!$A$2:$A$1601,$AH279)&amp;"")</f>
        <v/>
      </c>
      <c r="D279">
        <f>IF($AH279="","",INDEX('Per Line'!$B$2:$B$1601,$AH279))</f>
        <v/>
      </c>
      <c r="E279">
        <f>IF($AH279="","",INDEX('Per Line'!$C$2:$C$1601,$AH279)&amp;"")</f>
        <v/>
      </c>
      <c r="F279">
        <f>IF($AH279="","",INDEX('Per Line'!$E$2:$E$1601,$AH279)&amp;"")</f>
        <v/>
      </c>
      <c r="G279" s="11">
        <f>IF($AH279="","",INDEX('Per Line'!$F$2:$F$1601,$AH279))</f>
        <v/>
      </c>
      <c r="H279">
        <f>IF($AH279="","",INDEX('Per Line'!$G$2:$G$1601,$AH279)&amp;"")</f>
        <v/>
      </c>
      <c r="I279">
        <f>IF($AH279="","",INDEX('Per Line'!$I$2:$I$1601,$AH279)&amp;"")</f>
        <v/>
      </c>
      <c r="J279">
        <f>IF($AH279="","",INDEX('Per Line'!$J$2:$J$1601,$AH279)&amp;"")</f>
        <v/>
      </c>
      <c r="K279">
        <f>IF($AH279="","",INDEX('Per Line'!$K$2:$K$1601,$AH279)&amp;"")</f>
        <v/>
      </c>
      <c r="L279">
        <f>IF($AH279="","",INDEX('Per Line'!$L$2:$L$1601,$AH279)&amp;"")</f>
        <v/>
      </c>
      <c r="M279">
        <f>IF($AH279="","",INDEX('Per Line'!$M$2:$M$1601,$AH279))</f>
        <v/>
      </c>
      <c r="N279" s="7">
        <f>IF($AH279="","",M279*AE279/100)</f>
        <v/>
      </c>
      <c r="O279">
        <f>IF($AH279="","",INDEX('Per Line'!$Z$2:$Z$1601,$AH279)&amp;"")</f>
        <v/>
      </c>
      <c r="P279">
        <f>IF($AH279="","",INDEX('Per Line'!$AC$2:$AC$1601,$AH279)&amp;"")</f>
        <v/>
      </c>
      <c r="Q279">
        <f>IF($AH279="","",INDEX('Per Line'!$AD$2:$AD$1601,$AH279))</f>
        <v/>
      </c>
      <c r="R279">
        <f>IF($AH279="","",IF(AND(ISNUMBER(Q279),Q279&gt;0),AF279&gt;Q279,FALSE))</f>
        <v/>
      </c>
      <c r="S279">
        <f>IF($AH279="","",INDEX('Per Line'!$AH$2:$AH$1601,$AH279)&amp;"")</f>
        <v/>
      </c>
      <c r="T279" s="11">
        <f>IF($AH279="","",INDEX('Per Line'!$AI$2:$AI$1601,$AH279))</f>
        <v/>
      </c>
      <c r="U279">
        <f>IF($AH279="","",Settings!$C$8)</f>
        <v/>
      </c>
      <c r="V279" s="7">
        <f>IF($AH279="","",SUMIFS('Per Line'!$V$2:$V$1601,'Per Line'!$D$2:$D$1601,$B279,'Per Line'!$AN$2:$AN$1601,1))</f>
        <v/>
      </c>
      <c r="W279" s="7">
        <f>IF($AH279="","",V279*U279)</f>
        <v/>
      </c>
      <c r="X279">
        <f>IF($AH279="","",Settings!$C$7)</f>
        <v/>
      </c>
      <c r="Y279" s="7">
        <f>IF($AH279="","",SUMIFS('Per Line'!$V$2:$V$1601,'Per Line'!$D$2:$D$1601,$B279,'Per Line'!$AM$2:$AM$1601,0,'Per Line'!$AN$2:$AN$1601,0))</f>
        <v/>
      </c>
      <c r="Z279" s="7">
        <f>IF($AH279="","",Y279*X279)</f>
        <v/>
      </c>
      <c r="AA279">
        <f>IF($AH279="","",Settings!$C$6)</f>
        <v/>
      </c>
      <c r="AB279" s="7">
        <f>IF($AH279="","",SUMIFS('Per Line'!$V$2:$V$1601,'Per Line'!$D$2:$D$1601,$B279,'Per Line'!$AM$2:$AM$1601,1,'Per Line'!$AN$2:$AN$1601,0))</f>
        <v/>
      </c>
      <c r="AC279" s="7">
        <f>IF($AH279="","",AB279*AA279)</f>
        <v/>
      </c>
      <c r="AD279" s="7">
        <f>IF($AH279="","",AC279+Z279+W279)</f>
        <v/>
      </c>
      <c r="AE279" s="7">
        <f>IF($AH279="","",AF279-AD279)</f>
        <v/>
      </c>
      <c r="AF279" s="7">
        <f>IF($AH279="","",Y279+AB279+V279)</f>
        <v/>
      </c>
      <c r="AG279" s="7">
        <f>IF($AH279="","",AF279-AD279-N279)</f>
        <v/>
      </c>
      <c r="AH279" s="13">
        <f>IF(ROWS($AH$2:$AH279)&lt;=MAX('Per Line'!$AL$2:$AL$1601),MATCH(ROWS($AH$2:$AH279),'Per Line'!$AL$2:$AL$1601,0),"")</f>
        <v/>
      </c>
    </row>
    <row r="280">
      <c r="A280" s="12" t="n"/>
      <c r="B280">
        <f>IF($AH280="","",INDEX('Per Line'!$D$2:$D$1601,$AH280)&amp;"")</f>
        <v/>
      </c>
      <c r="C280">
        <f>IF($AH280="","",INDEX('Per Line'!$A$2:$A$1601,$AH280)&amp;"")</f>
        <v/>
      </c>
      <c r="D280">
        <f>IF($AH280="","",INDEX('Per Line'!$B$2:$B$1601,$AH280))</f>
        <v/>
      </c>
      <c r="E280">
        <f>IF($AH280="","",INDEX('Per Line'!$C$2:$C$1601,$AH280)&amp;"")</f>
        <v/>
      </c>
      <c r="F280">
        <f>IF($AH280="","",INDEX('Per Line'!$E$2:$E$1601,$AH280)&amp;"")</f>
        <v/>
      </c>
      <c r="G280" s="11">
        <f>IF($AH280="","",INDEX('Per Line'!$F$2:$F$1601,$AH280))</f>
        <v/>
      </c>
      <c r="H280">
        <f>IF($AH280="","",INDEX('Per Line'!$G$2:$G$1601,$AH280)&amp;"")</f>
        <v/>
      </c>
      <c r="I280">
        <f>IF($AH280="","",INDEX('Per Line'!$I$2:$I$1601,$AH280)&amp;"")</f>
        <v/>
      </c>
      <c r="J280">
        <f>IF($AH280="","",INDEX('Per Line'!$J$2:$J$1601,$AH280)&amp;"")</f>
        <v/>
      </c>
      <c r="K280">
        <f>IF($AH280="","",INDEX('Per Line'!$K$2:$K$1601,$AH280)&amp;"")</f>
        <v/>
      </c>
      <c r="L280">
        <f>IF($AH280="","",INDEX('Per Line'!$L$2:$L$1601,$AH280)&amp;"")</f>
        <v/>
      </c>
      <c r="M280">
        <f>IF($AH280="","",INDEX('Per Line'!$M$2:$M$1601,$AH280))</f>
        <v/>
      </c>
      <c r="N280" s="7">
        <f>IF($AH280="","",M280*AE280/100)</f>
        <v/>
      </c>
      <c r="O280">
        <f>IF($AH280="","",INDEX('Per Line'!$Z$2:$Z$1601,$AH280)&amp;"")</f>
        <v/>
      </c>
      <c r="P280">
        <f>IF($AH280="","",INDEX('Per Line'!$AC$2:$AC$1601,$AH280)&amp;"")</f>
        <v/>
      </c>
      <c r="Q280">
        <f>IF($AH280="","",INDEX('Per Line'!$AD$2:$AD$1601,$AH280))</f>
        <v/>
      </c>
      <c r="R280">
        <f>IF($AH280="","",IF(AND(ISNUMBER(Q280),Q280&gt;0),AF280&gt;Q280,FALSE))</f>
        <v/>
      </c>
      <c r="S280">
        <f>IF($AH280="","",INDEX('Per Line'!$AH$2:$AH$1601,$AH280)&amp;"")</f>
        <v/>
      </c>
      <c r="T280" s="11">
        <f>IF($AH280="","",INDEX('Per Line'!$AI$2:$AI$1601,$AH280))</f>
        <v/>
      </c>
      <c r="U280">
        <f>IF($AH280="","",Settings!$C$8)</f>
        <v/>
      </c>
      <c r="V280" s="7">
        <f>IF($AH280="","",SUMIFS('Per Line'!$V$2:$V$1601,'Per Line'!$D$2:$D$1601,$B280,'Per Line'!$AN$2:$AN$1601,1))</f>
        <v/>
      </c>
      <c r="W280" s="7">
        <f>IF($AH280="","",V280*U280)</f>
        <v/>
      </c>
      <c r="X280">
        <f>IF($AH280="","",Settings!$C$7)</f>
        <v/>
      </c>
      <c r="Y280" s="7">
        <f>IF($AH280="","",SUMIFS('Per Line'!$V$2:$V$1601,'Per Line'!$D$2:$D$1601,$B280,'Per Line'!$AM$2:$AM$1601,0,'Per Line'!$AN$2:$AN$1601,0))</f>
        <v/>
      </c>
      <c r="Z280" s="7">
        <f>IF($AH280="","",Y280*X280)</f>
        <v/>
      </c>
      <c r="AA280">
        <f>IF($AH280="","",Settings!$C$6)</f>
        <v/>
      </c>
      <c r="AB280" s="7">
        <f>IF($AH280="","",SUMIFS('Per Line'!$V$2:$V$1601,'Per Line'!$D$2:$D$1601,$B280,'Per Line'!$AM$2:$AM$1601,1,'Per Line'!$AN$2:$AN$1601,0))</f>
        <v/>
      </c>
      <c r="AC280" s="7">
        <f>IF($AH280="","",AB280*AA280)</f>
        <v/>
      </c>
      <c r="AD280" s="7">
        <f>IF($AH280="","",AC280+Z280+W280)</f>
        <v/>
      </c>
      <c r="AE280" s="7">
        <f>IF($AH280="","",AF280-AD280)</f>
        <v/>
      </c>
      <c r="AF280" s="7">
        <f>IF($AH280="","",Y280+AB280+V280)</f>
        <v/>
      </c>
      <c r="AG280" s="7">
        <f>IF($AH280="","",AF280-AD280-N280)</f>
        <v/>
      </c>
      <c r="AH280" s="13">
        <f>IF(ROWS($AH$2:$AH280)&lt;=MAX('Per Line'!$AL$2:$AL$1601),MATCH(ROWS($AH$2:$AH280),'Per Line'!$AL$2:$AL$1601,0),"")</f>
        <v/>
      </c>
    </row>
    <row r="281">
      <c r="A281" s="12" t="n"/>
      <c r="B281">
        <f>IF($AH281="","",INDEX('Per Line'!$D$2:$D$1601,$AH281)&amp;"")</f>
        <v/>
      </c>
      <c r="C281">
        <f>IF($AH281="","",INDEX('Per Line'!$A$2:$A$1601,$AH281)&amp;"")</f>
        <v/>
      </c>
      <c r="D281">
        <f>IF($AH281="","",INDEX('Per Line'!$B$2:$B$1601,$AH281))</f>
        <v/>
      </c>
      <c r="E281">
        <f>IF($AH281="","",INDEX('Per Line'!$C$2:$C$1601,$AH281)&amp;"")</f>
        <v/>
      </c>
      <c r="F281">
        <f>IF($AH281="","",INDEX('Per Line'!$E$2:$E$1601,$AH281)&amp;"")</f>
        <v/>
      </c>
      <c r="G281" s="11">
        <f>IF($AH281="","",INDEX('Per Line'!$F$2:$F$1601,$AH281))</f>
        <v/>
      </c>
      <c r="H281">
        <f>IF($AH281="","",INDEX('Per Line'!$G$2:$G$1601,$AH281)&amp;"")</f>
        <v/>
      </c>
      <c r="I281">
        <f>IF($AH281="","",INDEX('Per Line'!$I$2:$I$1601,$AH281)&amp;"")</f>
        <v/>
      </c>
      <c r="J281">
        <f>IF($AH281="","",INDEX('Per Line'!$J$2:$J$1601,$AH281)&amp;"")</f>
        <v/>
      </c>
      <c r="K281">
        <f>IF($AH281="","",INDEX('Per Line'!$K$2:$K$1601,$AH281)&amp;"")</f>
        <v/>
      </c>
      <c r="L281">
        <f>IF($AH281="","",INDEX('Per Line'!$L$2:$L$1601,$AH281)&amp;"")</f>
        <v/>
      </c>
      <c r="M281">
        <f>IF($AH281="","",INDEX('Per Line'!$M$2:$M$1601,$AH281))</f>
        <v/>
      </c>
      <c r="N281" s="7">
        <f>IF($AH281="","",M281*AE281/100)</f>
        <v/>
      </c>
      <c r="O281">
        <f>IF($AH281="","",INDEX('Per Line'!$Z$2:$Z$1601,$AH281)&amp;"")</f>
        <v/>
      </c>
      <c r="P281">
        <f>IF($AH281="","",INDEX('Per Line'!$AC$2:$AC$1601,$AH281)&amp;"")</f>
        <v/>
      </c>
      <c r="Q281">
        <f>IF($AH281="","",INDEX('Per Line'!$AD$2:$AD$1601,$AH281))</f>
        <v/>
      </c>
      <c r="R281">
        <f>IF($AH281="","",IF(AND(ISNUMBER(Q281),Q281&gt;0),AF281&gt;Q281,FALSE))</f>
        <v/>
      </c>
      <c r="S281">
        <f>IF($AH281="","",INDEX('Per Line'!$AH$2:$AH$1601,$AH281)&amp;"")</f>
        <v/>
      </c>
      <c r="T281" s="11">
        <f>IF($AH281="","",INDEX('Per Line'!$AI$2:$AI$1601,$AH281))</f>
        <v/>
      </c>
      <c r="U281">
        <f>IF($AH281="","",Settings!$C$8)</f>
        <v/>
      </c>
      <c r="V281" s="7">
        <f>IF($AH281="","",SUMIFS('Per Line'!$V$2:$V$1601,'Per Line'!$D$2:$D$1601,$B281,'Per Line'!$AN$2:$AN$1601,1))</f>
        <v/>
      </c>
      <c r="W281" s="7">
        <f>IF($AH281="","",V281*U281)</f>
        <v/>
      </c>
      <c r="X281">
        <f>IF($AH281="","",Settings!$C$7)</f>
        <v/>
      </c>
      <c r="Y281" s="7">
        <f>IF($AH281="","",SUMIFS('Per Line'!$V$2:$V$1601,'Per Line'!$D$2:$D$1601,$B281,'Per Line'!$AM$2:$AM$1601,0,'Per Line'!$AN$2:$AN$1601,0))</f>
        <v/>
      </c>
      <c r="Z281" s="7">
        <f>IF($AH281="","",Y281*X281)</f>
        <v/>
      </c>
      <c r="AA281">
        <f>IF($AH281="","",Settings!$C$6)</f>
        <v/>
      </c>
      <c r="AB281" s="7">
        <f>IF($AH281="","",SUMIFS('Per Line'!$V$2:$V$1601,'Per Line'!$D$2:$D$1601,$B281,'Per Line'!$AM$2:$AM$1601,1,'Per Line'!$AN$2:$AN$1601,0))</f>
        <v/>
      </c>
      <c r="AC281" s="7">
        <f>IF($AH281="","",AB281*AA281)</f>
        <v/>
      </c>
      <c r="AD281" s="7">
        <f>IF($AH281="","",AC281+Z281+W281)</f>
        <v/>
      </c>
      <c r="AE281" s="7">
        <f>IF($AH281="","",AF281-AD281)</f>
        <v/>
      </c>
      <c r="AF281" s="7">
        <f>IF($AH281="","",Y281+AB281+V281)</f>
        <v/>
      </c>
      <c r="AG281" s="7">
        <f>IF($AH281="","",AF281-AD281-N281)</f>
        <v/>
      </c>
      <c r="AH281" s="13">
        <f>IF(ROWS($AH$2:$AH281)&lt;=MAX('Per Line'!$AL$2:$AL$1601),MATCH(ROWS($AH$2:$AH281),'Per Line'!$AL$2:$AL$1601,0),"")</f>
        <v/>
      </c>
    </row>
    <row r="282">
      <c r="A282" s="12" t="n"/>
      <c r="B282">
        <f>IF($AH282="","",INDEX('Per Line'!$D$2:$D$1601,$AH282)&amp;"")</f>
        <v/>
      </c>
      <c r="C282">
        <f>IF($AH282="","",INDEX('Per Line'!$A$2:$A$1601,$AH282)&amp;"")</f>
        <v/>
      </c>
      <c r="D282">
        <f>IF($AH282="","",INDEX('Per Line'!$B$2:$B$1601,$AH282))</f>
        <v/>
      </c>
      <c r="E282">
        <f>IF($AH282="","",INDEX('Per Line'!$C$2:$C$1601,$AH282)&amp;"")</f>
        <v/>
      </c>
      <c r="F282">
        <f>IF($AH282="","",INDEX('Per Line'!$E$2:$E$1601,$AH282)&amp;"")</f>
        <v/>
      </c>
      <c r="G282" s="11">
        <f>IF($AH282="","",INDEX('Per Line'!$F$2:$F$1601,$AH282))</f>
        <v/>
      </c>
      <c r="H282">
        <f>IF($AH282="","",INDEX('Per Line'!$G$2:$G$1601,$AH282)&amp;"")</f>
        <v/>
      </c>
      <c r="I282">
        <f>IF($AH282="","",INDEX('Per Line'!$I$2:$I$1601,$AH282)&amp;"")</f>
        <v/>
      </c>
      <c r="J282">
        <f>IF($AH282="","",INDEX('Per Line'!$J$2:$J$1601,$AH282)&amp;"")</f>
        <v/>
      </c>
      <c r="K282">
        <f>IF($AH282="","",INDEX('Per Line'!$K$2:$K$1601,$AH282)&amp;"")</f>
        <v/>
      </c>
      <c r="L282">
        <f>IF($AH282="","",INDEX('Per Line'!$L$2:$L$1601,$AH282)&amp;"")</f>
        <v/>
      </c>
      <c r="M282">
        <f>IF($AH282="","",INDEX('Per Line'!$M$2:$M$1601,$AH282))</f>
        <v/>
      </c>
      <c r="N282" s="7">
        <f>IF($AH282="","",M282*AE282/100)</f>
        <v/>
      </c>
      <c r="O282">
        <f>IF($AH282="","",INDEX('Per Line'!$Z$2:$Z$1601,$AH282)&amp;"")</f>
        <v/>
      </c>
      <c r="P282">
        <f>IF($AH282="","",INDEX('Per Line'!$AC$2:$AC$1601,$AH282)&amp;"")</f>
        <v/>
      </c>
      <c r="Q282">
        <f>IF($AH282="","",INDEX('Per Line'!$AD$2:$AD$1601,$AH282))</f>
        <v/>
      </c>
      <c r="R282">
        <f>IF($AH282="","",IF(AND(ISNUMBER(Q282),Q282&gt;0),AF282&gt;Q282,FALSE))</f>
        <v/>
      </c>
      <c r="S282">
        <f>IF($AH282="","",INDEX('Per Line'!$AH$2:$AH$1601,$AH282)&amp;"")</f>
        <v/>
      </c>
      <c r="T282" s="11">
        <f>IF($AH282="","",INDEX('Per Line'!$AI$2:$AI$1601,$AH282))</f>
        <v/>
      </c>
      <c r="U282">
        <f>IF($AH282="","",Settings!$C$8)</f>
        <v/>
      </c>
      <c r="V282" s="7">
        <f>IF($AH282="","",SUMIFS('Per Line'!$V$2:$V$1601,'Per Line'!$D$2:$D$1601,$B282,'Per Line'!$AN$2:$AN$1601,1))</f>
        <v/>
      </c>
      <c r="W282" s="7">
        <f>IF($AH282="","",V282*U282)</f>
        <v/>
      </c>
      <c r="X282">
        <f>IF($AH282="","",Settings!$C$7)</f>
        <v/>
      </c>
      <c r="Y282" s="7">
        <f>IF($AH282="","",SUMIFS('Per Line'!$V$2:$V$1601,'Per Line'!$D$2:$D$1601,$B282,'Per Line'!$AM$2:$AM$1601,0,'Per Line'!$AN$2:$AN$1601,0))</f>
        <v/>
      </c>
      <c r="Z282" s="7">
        <f>IF($AH282="","",Y282*X282)</f>
        <v/>
      </c>
      <c r="AA282">
        <f>IF($AH282="","",Settings!$C$6)</f>
        <v/>
      </c>
      <c r="AB282" s="7">
        <f>IF($AH282="","",SUMIFS('Per Line'!$V$2:$V$1601,'Per Line'!$D$2:$D$1601,$B282,'Per Line'!$AM$2:$AM$1601,1,'Per Line'!$AN$2:$AN$1601,0))</f>
        <v/>
      </c>
      <c r="AC282" s="7">
        <f>IF($AH282="","",AB282*AA282)</f>
        <v/>
      </c>
      <c r="AD282" s="7">
        <f>IF($AH282="","",AC282+Z282+W282)</f>
        <v/>
      </c>
      <c r="AE282" s="7">
        <f>IF($AH282="","",AF282-AD282)</f>
        <v/>
      </c>
      <c r="AF282" s="7">
        <f>IF($AH282="","",Y282+AB282+V282)</f>
        <v/>
      </c>
      <c r="AG282" s="7">
        <f>IF($AH282="","",AF282-AD282-N282)</f>
        <v/>
      </c>
      <c r="AH282" s="13">
        <f>IF(ROWS($AH$2:$AH282)&lt;=MAX('Per Line'!$AL$2:$AL$1601),MATCH(ROWS($AH$2:$AH282),'Per Line'!$AL$2:$AL$1601,0),"")</f>
        <v/>
      </c>
    </row>
    <row r="283">
      <c r="A283" s="12" t="n"/>
      <c r="B283">
        <f>IF($AH283="","",INDEX('Per Line'!$D$2:$D$1601,$AH283)&amp;"")</f>
        <v/>
      </c>
      <c r="C283">
        <f>IF($AH283="","",INDEX('Per Line'!$A$2:$A$1601,$AH283)&amp;"")</f>
        <v/>
      </c>
      <c r="D283">
        <f>IF($AH283="","",INDEX('Per Line'!$B$2:$B$1601,$AH283))</f>
        <v/>
      </c>
      <c r="E283">
        <f>IF($AH283="","",INDEX('Per Line'!$C$2:$C$1601,$AH283)&amp;"")</f>
        <v/>
      </c>
      <c r="F283">
        <f>IF($AH283="","",INDEX('Per Line'!$E$2:$E$1601,$AH283)&amp;"")</f>
        <v/>
      </c>
      <c r="G283" s="11">
        <f>IF($AH283="","",INDEX('Per Line'!$F$2:$F$1601,$AH283))</f>
        <v/>
      </c>
      <c r="H283">
        <f>IF($AH283="","",INDEX('Per Line'!$G$2:$G$1601,$AH283)&amp;"")</f>
        <v/>
      </c>
      <c r="I283">
        <f>IF($AH283="","",INDEX('Per Line'!$I$2:$I$1601,$AH283)&amp;"")</f>
        <v/>
      </c>
      <c r="J283">
        <f>IF($AH283="","",INDEX('Per Line'!$J$2:$J$1601,$AH283)&amp;"")</f>
        <v/>
      </c>
      <c r="K283">
        <f>IF($AH283="","",INDEX('Per Line'!$K$2:$K$1601,$AH283)&amp;"")</f>
        <v/>
      </c>
      <c r="L283">
        <f>IF($AH283="","",INDEX('Per Line'!$L$2:$L$1601,$AH283)&amp;"")</f>
        <v/>
      </c>
      <c r="M283">
        <f>IF($AH283="","",INDEX('Per Line'!$M$2:$M$1601,$AH283))</f>
        <v/>
      </c>
      <c r="N283" s="7">
        <f>IF($AH283="","",M283*AE283/100)</f>
        <v/>
      </c>
      <c r="O283">
        <f>IF($AH283="","",INDEX('Per Line'!$Z$2:$Z$1601,$AH283)&amp;"")</f>
        <v/>
      </c>
      <c r="P283">
        <f>IF($AH283="","",INDEX('Per Line'!$AC$2:$AC$1601,$AH283)&amp;"")</f>
        <v/>
      </c>
      <c r="Q283">
        <f>IF($AH283="","",INDEX('Per Line'!$AD$2:$AD$1601,$AH283))</f>
        <v/>
      </c>
      <c r="R283">
        <f>IF($AH283="","",IF(AND(ISNUMBER(Q283),Q283&gt;0),AF283&gt;Q283,FALSE))</f>
        <v/>
      </c>
      <c r="S283">
        <f>IF($AH283="","",INDEX('Per Line'!$AH$2:$AH$1601,$AH283)&amp;"")</f>
        <v/>
      </c>
      <c r="T283" s="11">
        <f>IF($AH283="","",INDEX('Per Line'!$AI$2:$AI$1601,$AH283))</f>
        <v/>
      </c>
      <c r="U283">
        <f>IF($AH283="","",Settings!$C$8)</f>
        <v/>
      </c>
      <c r="V283" s="7">
        <f>IF($AH283="","",SUMIFS('Per Line'!$V$2:$V$1601,'Per Line'!$D$2:$D$1601,$B283,'Per Line'!$AN$2:$AN$1601,1))</f>
        <v/>
      </c>
      <c r="W283" s="7">
        <f>IF($AH283="","",V283*U283)</f>
        <v/>
      </c>
      <c r="X283">
        <f>IF($AH283="","",Settings!$C$7)</f>
        <v/>
      </c>
      <c r="Y283" s="7">
        <f>IF($AH283="","",SUMIFS('Per Line'!$V$2:$V$1601,'Per Line'!$D$2:$D$1601,$B283,'Per Line'!$AM$2:$AM$1601,0,'Per Line'!$AN$2:$AN$1601,0))</f>
        <v/>
      </c>
      <c r="Z283" s="7">
        <f>IF($AH283="","",Y283*X283)</f>
        <v/>
      </c>
      <c r="AA283">
        <f>IF($AH283="","",Settings!$C$6)</f>
        <v/>
      </c>
      <c r="AB283" s="7">
        <f>IF($AH283="","",SUMIFS('Per Line'!$V$2:$V$1601,'Per Line'!$D$2:$D$1601,$B283,'Per Line'!$AM$2:$AM$1601,1,'Per Line'!$AN$2:$AN$1601,0))</f>
        <v/>
      </c>
      <c r="AC283" s="7">
        <f>IF($AH283="","",AB283*AA283)</f>
        <v/>
      </c>
      <c r="AD283" s="7">
        <f>IF($AH283="","",AC283+Z283+W283)</f>
        <v/>
      </c>
      <c r="AE283" s="7">
        <f>IF($AH283="","",AF283-AD283)</f>
        <v/>
      </c>
      <c r="AF283" s="7">
        <f>IF($AH283="","",Y283+AB283+V283)</f>
        <v/>
      </c>
      <c r="AG283" s="7">
        <f>IF($AH283="","",AF283-AD283-N283)</f>
        <v/>
      </c>
      <c r="AH283" s="13">
        <f>IF(ROWS($AH$2:$AH283)&lt;=MAX('Per Line'!$AL$2:$AL$1601),MATCH(ROWS($AH$2:$AH283),'Per Line'!$AL$2:$AL$1601,0),"")</f>
        <v/>
      </c>
    </row>
    <row r="284">
      <c r="A284" s="12" t="n"/>
      <c r="B284">
        <f>IF($AH284="","",INDEX('Per Line'!$D$2:$D$1601,$AH284)&amp;"")</f>
        <v/>
      </c>
      <c r="C284">
        <f>IF($AH284="","",INDEX('Per Line'!$A$2:$A$1601,$AH284)&amp;"")</f>
        <v/>
      </c>
      <c r="D284">
        <f>IF($AH284="","",INDEX('Per Line'!$B$2:$B$1601,$AH284))</f>
        <v/>
      </c>
      <c r="E284">
        <f>IF($AH284="","",INDEX('Per Line'!$C$2:$C$1601,$AH284)&amp;"")</f>
        <v/>
      </c>
      <c r="F284">
        <f>IF($AH284="","",INDEX('Per Line'!$E$2:$E$1601,$AH284)&amp;"")</f>
        <v/>
      </c>
      <c r="G284" s="11">
        <f>IF($AH284="","",INDEX('Per Line'!$F$2:$F$1601,$AH284))</f>
        <v/>
      </c>
      <c r="H284">
        <f>IF($AH284="","",INDEX('Per Line'!$G$2:$G$1601,$AH284)&amp;"")</f>
        <v/>
      </c>
      <c r="I284">
        <f>IF($AH284="","",INDEX('Per Line'!$I$2:$I$1601,$AH284)&amp;"")</f>
        <v/>
      </c>
      <c r="J284">
        <f>IF($AH284="","",INDEX('Per Line'!$J$2:$J$1601,$AH284)&amp;"")</f>
        <v/>
      </c>
      <c r="K284">
        <f>IF($AH284="","",INDEX('Per Line'!$K$2:$K$1601,$AH284)&amp;"")</f>
        <v/>
      </c>
      <c r="L284">
        <f>IF($AH284="","",INDEX('Per Line'!$L$2:$L$1601,$AH284)&amp;"")</f>
        <v/>
      </c>
      <c r="M284">
        <f>IF($AH284="","",INDEX('Per Line'!$M$2:$M$1601,$AH284))</f>
        <v/>
      </c>
      <c r="N284" s="7">
        <f>IF($AH284="","",M284*AE284/100)</f>
        <v/>
      </c>
      <c r="O284">
        <f>IF($AH284="","",INDEX('Per Line'!$Z$2:$Z$1601,$AH284)&amp;"")</f>
        <v/>
      </c>
      <c r="P284">
        <f>IF($AH284="","",INDEX('Per Line'!$AC$2:$AC$1601,$AH284)&amp;"")</f>
        <v/>
      </c>
      <c r="Q284">
        <f>IF($AH284="","",INDEX('Per Line'!$AD$2:$AD$1601,$AH284))</f>
        <v/>
      </c>
      <c r="R284">
        <f>IF($AH284="","",IF(AND(ISNUMBER(Q284),Q284&gt;0),AF284&gt;Q284,FALSE))</f>
        <v/>
      </c>
      <c r="S284">
        <f>IF($AH284="","",INDEX('Per Line'!$AH$2:$AH$1601,$AH284)&amp;"")</f>
        <v/>
      </c>
      <c r="T284" s="11">
        <f>IF($AH284="","",INDEX('Per Line'!$AI$2:$AI$1601,$AH284))</f>
        <v/>
      </c>
      <c r="U284">
        <f>IF($AH284="","",Settings!$C$8)</f>
        <v/>
      </c>
      <c r="V284" s="7">
        <f>IF($AH284="","",SUMIFS('Per Line'!$V$2:$V$1601,'Per Line'!$D$2:$D$1601,$B284,'Per Line'!$AN$2:$AN$1601,1))</f>
        <v/>
      </c>
      <c r="W284" s="7">
        <f>IF($AH284="","",V284*U284)</f>
        <v/>
      </c>
      <c r="X284">
        <f>IF($AH284="","",Settings!$C$7)</f>
        <v/>
      </c>
      <c r="Y284" s="7">
        <f>IF($AH284="","",SUMIFS('Per Line'!$V$2:$V$1601,'Per Line'!$D$2:$D$1601,$B284,'Per Line'!$AM$2:$AM$1601,0,'Per Line'!$AN$2:$AN$1601,0))</f>
        <v/>
      </c>
      <c r="Z284" s="7">
        <f>IF($AH284="","",Y284*X284)</f>
        <v/>
      </c>
      <c r="AA284">
        <f>IF($AH284="","",Settings!$C$6)</f>
        <v/>
      </c>
      <c r="AB284" s="7">
        <f>IF($AH284="","",SUMIFS('Per Line'!$V$2:$V$1601,'Per Line'!$D$2:$D$1601,$B284,'Per Line'!$AM$2:$AM$1601,1,'Per Line'!$AN$2:$AN$1601,0))</f>
        <v/>
      </c>
      <c r="AC284" s="7">
        <f>IF($AH284="","",AB284*AA284)</f>
        <v/>
      </c>
      <c r="AD284" s="7">
        <f>IF($AH284="","",AC284+Z284+W284)</f>
        <v/>
      </c>
      <c r="AE284" s="7">
        <f>IF($AH284="","",AF284-AD284)</f>
        <v/>
      </c>
      <c r="AF284" s="7">
        <f>IF($AH284="","",Y284+AB284+V284)</f>
        <v/>
      </c>
      <c r="AG284" s="7">
        <f>IF($AH284="","",AF284-AD284-N284)</f>
        <v/>
      </c>
      <c r="AH284" s="13">
        <f>IF(ROWS($AH$2:$AH284)&lt;=MAX('Per Line'!$AL$2:$AL$1601),MATCH(ROWS($AH$2:$AH284),'Per Line'!$AL$2:$AL$1601,0),"")</f>
        <v/>
      </c>
    </row>
    <row r="285">
      <c r="A285" s="12" t="n"/>
      <c r="B285">
        <f>IF($AH285="","",INDEX('Per Line'!$D$2:$D$1601,$AH285)&amp;"")</f>
        <v/>
      </c>
      <c r="C285">
        <f>IF($AH285="","",INDEX('Per Line'!$A$2:$A$1601,$AH285)&amp;"")</f>
        <v/>
      </c>
      <c r="D285">
        <f>IF($AH285="","",INDEX('Per Line'!$B$2:$B$1601,$AH285))</f>
        <v/>
      </c>
      <c r="E285">
        <f>IF($AH285="","",INDEX('Per Line'!$C$2:$C$1601,$AH285)&amp;"")</f>
        <v/>
      </c>
      <c r="F285">
        <f>IF($AH285="","",INDEX('Per Line'!$E$2:$E$1601,$AH285)&amp;"")</f>
        <v/>
      </c>
      <c r="G285" s="11">
        <f>IF($AH285="","",INDEX('Per Line'!$F$2:$F$1601,$AH285))</f>
        <v/>
      </c>
      <c r="H285">
        <f>IF($AH285="","",INDEX('Per Line'!$G$2:$G$1601,$AH285)&amp;"")</f>
        <v/>
      </c>
      <c r="I285">
        <f>IF($AH285="","",INDEX('Per Line'!$I$2:$I$1601,$AH285)&amp;"")</f>
        <v/>
      </c>
      <c r="J285">
        <f>IF($AH285="","",INDEX('Per Line'!$J$2:$J$1601,$AH285)&amp;"")</f>
        <v/>
      </c>
      <c r="K285">
        <f>IF($AH285="","",INDEX('Per Line'!$K$2:$K$1601,$AH285)&amp;"")</f>
        <v/>
      </c>
      <c r="L285">
        <f>IF($AH285="","",INDEX('Per Line'!$L$2:$L$1601,$AH285)&amp;"")</f>
        <v/>
      </c>
      <c r="M285">
        <f>IF($AH285="","",INDEX('Per Line'!$M$2:$M$1601,$AH285))</f>
        <v/>
      </c>
      <c r="N285" s="7">
        <f>IF($AH285="","",M285*AE285/100)</f>
        <v/>
      </c>
      <c r="O285">
        <f>IF($AH285="","",INDEX('Per Line'!$Z$2:$Z$1601,$AH285)&amp;"")</f>
        <v/>
      </c>
      <c r="P285">
        <f>IF($AH285="","",INDEX('Per Line'!$AC$2:$AC$1601,$AH285)&amp;"")</f>
        <v/>
      </c>
      <c r="Q285">
        <f>IF($AH285="","",INDEX('Per Line'!$AD$2:$AD$1601,$AH285))</f>
        <v/>
      </c>
      <c r="R285">
        <f>IF($AH285="","",IF(AND(ISNUMBER(Q285),Q285&gt;0),AF285&gt;Q285,FALSE))</f>
        <v/>
      </c>
      <c r="S285">
        <f>IF($AH285="","",INDEX('Per Line'!$AH$2:$AH$1601,$AH285)&amp;"")</f>
        <v/>
      </c>
      <c r="T285" s="11">
        <f>IF($AH285="","",INDEX('Per Line'!$AI$2:$AI$1601,$AH285))</f>
        <v/>
      </c>
      <c r="U285">
        <f>IF($AH285="","",Settings!$C$8)</f>
        <v/>
      </c>
      <c r="V285" s="7">
        <f>IF($AH285="","",SUMIFS('Per Line'!$V$2:$V$1601,'Per Line'!$D$2:$D$1601,$B285,'Per Line'!$AN$2:$AN$1601,1))</f>
        <v/>
      </c>
      <c r="W285" s="7">
        <f>IF($AH285="","",V285*U285)</f>
        <v/>
      </c>
      <c r="X285">
        <f>IF($AH285="","",Settings!$C$7)</f>
        <v/>
      </c>
      <c r="Y285" s="7">
        <f>IF($AH285="","",SUMIFS('Per Line'!$V$2:$V$1601,'Per Line'!$D$2:$D$1601,$B285,'Per Line'!$AM$2:$AM$1601,0,'Per Line'!$AN$2:$AN$1601,0))</f>
        <v/>
      </c>
      <c r="Z285" s="7">
        <f>IF($AH285="","",Y285*X285)</f>
        <v/>
      </c>
      <c r="AA285">
        <f>IF($AH285="","",Settings!$C$6)</f>
        <v/>
      </c>
      <c r="AB285" s="7">
        <f>IF($AH285="","",SUMIFS('Per Line'!$V$2:$V$1601,'Per Line'!$D$2:$D$1601,$B285,'Per Line'!$AM$2:$AM$1601,1,'Per Line'!$AN$2:$AN$1601,0))</f>
        <v/>
      </c>
      <c r="AC285" s="7">
        <f>IF($AH285="","",AB285*AA285)</f>
        <v/>
      </c>
      <c r="AD285" s="7">
        <f>IF($AH285="","",AC285+Z285+W285)</f>
        <v/>
      </c>
      <c r="AE285" s="7">
        <f>IF($AH285="","",AF285-AD285)</f>
        <v/>
      </c>
      <c r="AF285" s="7">
        <f>IF($AH285="","",Y285+AB285+V285)</f>
        <v/>
      </c>
      <c r="AG285" s="7">
        <f>IF($AH285="","",AF285-AD285-N285)</f>
        <v/>
      </c>
      <c r="AH285" s="13">
        <f>IF(ROWS($AH$2:$AH285)&lt;=MAX('Per Line'!$AL$2:$AL$1601),MATCH(ROWS($AH$2:$AH285),'Per Line'!$AL$2:$AL$1601,0),"")</f>
        <v/>
      </c>
    </row>
    <row r="286">
      <c r="A286" s="12" t="n"/>
      <c r="B286">
        <f>IF($AH286="","",INDEX('Per Line'!$D$2:$D$1601,$AH286)&amp;"")</f>
        <v/>
      </c>
      <c r="C286">
        <f>IF($AH286="","",INDEX('Per Line'!$A$2:$A$1601,$AH286)&amp;"")</f>
        <v/>
      </c>
      <c r="D286">
        <f>IF($AH286="","",INDEX('Per Line'!$B$2:$B$1601,$AH286))</f>
        <v/>
      </c>
      <c r="E286">
        <f>IF($AH286="","",INDEX('Per Line'!$C$2:$C$1601,$AH286)&amp;"")</f>
        <v/>
      </c>
      <c r="F286">
        <f>IF($AH286="","",INDEX('Per Line'!$E$2:$E$1601,$AH286)&amp;"")</f>
        <v/>
      </c>
      <c r="G286" s="11">
        <f>IF($AH286="","",INDEX('Per Line'!$F$2:$F$1601,$AH286))</f>
        <v/>
      </c>
      <c r="H286">
        <f>IF($AH286="","",INDEX('Per Line'!$G$2:$G$1601,$AH286)&amp;"")</f>
        <v/>
      </c>
      <c r="I286">
        <f>IF($AH286="","",INDEX('Per Line'!$I$2:$I$1601,$AH286)&amp;"")</f>
        <v/>
      </c>
      <c r="J286">
        <f>IF($AH286="","",INDEX('Per Line'!$J$2:$J$1601,$AH286)&amp;"")</f>
        <v/>
      </c>
      <c r="K286">
        <f>IF($AH286="","",INDEX('Per Line'!$K$2:$K$1601,$AH286)&amp;"")</f>
        <v/>
      </c>
      <c r="L286">
        <f>IF($AH286="","",INDEX('Per Line'!$L$2:$L$1601,$AH286)&amp;"")</f>
        <v/>
      </c>
      <c r="M286">
        <f>IF($AH286="","",INDEX('Per Line'!$M$2:$M$1601,$AH286))</f>
        <v/>
      </c>
      <c r="N286" s="7">
        <f>IF($AH286="","",M286*AE286/100)</f>
        <v/>
      </c>
      <c r="O286">
        <f>IF($AH286="","",INDEX('Per Line'!$Z$2:$Z$1601,$AH286)&amp;"")</f>
        <v/>
      </c>
      <c r="P286">
        <f>IF($AH286="","",INDEX('Per Line'!$AC$2:$AC$1601,$AH286)&amp;"")</f>
        <v/>
      </c>
      <c r="Q286">
        <f>IF($AH286="","",INDEX('Per Line'!$AD$2:$AD$1601,$AH286))</f>
        <v/>
      </c>
      <c r="R286">
        <f>IF($AH286="","",IF(AND(ISNUMBER(Q286),Q286&gt;0),AF286&gt;Q286,FALSE))</f>
        <v/>
      </c>
      <c r="S286">
        <f>IF($AH286="","",INDEX('Per Line'!$AH$2:$AH$1601,$AH286)&amp;"")</f>
        <v/>
      </c>
      <c r="T286" s="11">
        <f>IF($AH286="","",INDEX('Per Line'!$AI$2:$AI$1601,$AH286))</f>
        <v/>
      </c>
      <c r="U286">
        <f>IF($AH286="","",Settings!$C$8)</f>
        <v/>
      </c>
      <c r="V286" s="7">
        <f>IF($AH286="","",SUMIFS('Per Line'!$V$2:$V$1601,'Per Line'!$D$2:$D$1601,$B286,'Per Line'!$AN$2:$AN$1601,1))</f>
        <v/>
      </c>
      <c r="W286" s="7">
        <f>IF($AH286="","",V286*U286)</f>
        <v/>
      </c>
      <c r="X286">
        <f>IF($AH286="","",Settings!$C$7)</f>
        <v/>
      </c>
      <c r="Y286" s="7">
        <f>IF($AH286="","",SUMIFS('Per Line'!$V$2:$V$1601,'Per Line'!$D$2:$D$1601,$B286,'Per Line'!$AM$2:$AM$1601,0,'Per Line'!$AN$2:$AN$1601,0))</f>
        <v/>
      </c>
      <c r="Z286" s="7">
        <f>IF($AH286="","",Y286*X286)</f>
        <v/>
      </c>
      <c r="AA286">
        <f>IF($AH286="","",Settings!$C$6)</f>
        <v/>
      </c>
      <c r="AB286" s="7">
        <f>IF($AH286="","",SUMIFS('Per Line'!$V$2:$V$1601,'Per Line'!$D$2:$D$1601,$B286,'Per Line'!$AM$2:$AM$1601,1,'Per Line'!$AN$2:$AN$1601,0))</f>
        <v/>
      </c>
      <c r="AC286" s="7">
        <f>IF($AH286="","",AB286*AA286)</f>
        <v/>
      </c>
      <c r="AD286" s="7">
        <f>IF($AH286="","",AC286+Z286+W286)</f>
        <v/>
      </c>
      <c r="AE286" s="7">
        <f>IF($AH286="","",AF286-AD286)</f>
        <v/>
      </c>
      <c r="AF286" s="7">
        <f>IF($AH286="","",Y286+AB286+V286)</f>
        <v/>
      </c>
      <c r="AG286" s="7">
        <f>IF($AH286="","",AF286-AD286-N286)</f>
        <v/>
      </c>
      <c r="AH286" s="13">
        <f>IF(ROWS($AH$2:$AH286)&lt;=MAX('Per Line'!$AL$2:$AL$1601),MATCH(ROWS($AH$2:$AH286),'Per Line'!$AL$2:$AL$1601,0),"")</f>
        <v/>
      </c>
    </row>
    <row r="287">
      <c r="A287" s="12" t="n"/>
      <c r="B287">
        <f>IF($AH287="","",INDEX('Per Line'!$D$2:$D$1601,$AH287)&amp;"")</f>
        <v/>
      </c>
      <c r="C287">
        <f>IF($AH287="","",INDEX('Per Line'!$A$2:$A$1601,$AH287)&amp;"")</f>
        <v/>
      </c>
      <c r="D287">
        <f>IF($AH287="","",INDEX('Per Line'!$B$2:$B$1601,$AH287))</f>
        <v/>
      </c>
      <c r="E287">
        <f>IF($AH287="","",INDEX('Per Line'!$C$2:$C$1601,$AH287)&amp;"")</f>
        <v/>
      </c>
      <c r="F287">
        <f>IF($AH287="","",INDEX('Per Line'!$E$2:$E$1601,$AH287)&amp;"")</f>
        <v/>
      </c>
      <c r="G287" s="11">
        <f>IF($AH287="","",INDEX('Per Line'!$F$2:$F$1601,$AH287))</f>
        <v/>
      </c>
      <c r="H287">
        <f>IF($AH287="","",INDEX('Per Line'!$G$2:$G$1601,$AH287)&amp;"")</f>
        <v/>
      </c>
      <c r="I287">
        <f>IF($AH287="","",INDEX('Per Line'!$I$2:$I$1601,$AH287)&amp;"")</f>
        <v/>
      </c>
      <c r="J287">
        <f>IF($AH287="","",INDEX('Per Line'!$J$2:$J$1601,$AH287)&amp;"")</f>
        <v/>
      </c>
      <c r="K287">
        <f>IF($AH287="","",INDEX('Per Line'!$K$2:$K$1601,$AH287)&amp;"")</f>
        <v/>
      </c>
      <c r="L287">
        <f>IF($AH287="","",INDEX('Per Line'!$L$2:$L$1601,$AH287)&amp;"")</f>
        <v/>
      </c>
      <c r="M287">
        <f>IF($AH287="","",INDEX('Per Line'!$M$2:$M$1601,$AH287))</f>
        <v/>
      </c>
      <c r="N287" s="7">
        <f>IF($AH287="","",M287*AE287/100)</f>
        <v/>
      </c>
      <c r="O287">
        <f>IF($AH287="","",INDEX('Per Line'!$Z$2:$Z$1601,$AH287)&amp;"")</f>
        <v/>
      </c>
      <c r="P287">
        <f>IF($AH287="","",INDEX('Per Line'!$AC$2:$AC$1601,$AH287)&amp;"")</f>
        <v/>
      </c>
      <c r="Q287">
        <f>IF($AH287="","",INDEX('Per Line'!$AD$2:$AD$1601,$AH287))</f>
        <v/>
      </c>
      <c r="R287">
        <f>IF($AH287="","",IF(AND(ISNUMBER(Q287),Q287&gt;0),AF287&gt;Q287,FALSE))</f>
        <v/>
      </c>
      <c r="S287">
        <f>IF($AH287="","",INDEX('Per Line'!$AH$2:$AH$1601,$AH287)&amp;"")</f>
        <v/>
      </c>
      <c r="T287" s="11">
        <f>IF($AH287="","",INDEX('Per Line'!$AI$2:$AI$1601,$AH287))</f>
        <v/>
      </c>
      <c r="U287">
        <f>IF($AH287="","",Settings!$C$8)</f>
        <v/>
      </c>
      <c r="V287" s="7">
        <f>IF($AH287="","",SUMIFS('Per Line'!$V$2:$V$1601,'Per Line'!$D$2:$D$1601,$B287,'Per Line'!$AN$2:$AN$1601,1))</f>
        <v/>
      </c>
      <c r="W287" s="7">
        <f>IF($AH287="","",V287*U287)</f>
        <v/>
      </c>
      <c r="X287">
        <f>IF($AH287="","",Settings!$C$7)</f>
        <v/>
      </c>
      <c r="Y287" s="7">
        <f>IF($AH287="","",SUMIFS('Per Line'!$V$2:$V$1601,'Per Line'!$D$2:$D$1601,$B287,'Per Line'!$AM$2:$AM$1601,0,'Per Line'!$AN$2:$AN$1601,0))</f>
        <v/>
      </c>
      <c r="Z287" s="7">
        <f>IF($AH287="","",Y287*X287)</f>
        <v/>
      </c>
      <c r="AA287">
        <f>IF($AH287="","",Settings!$C$6)</f>
        <v/>
      </c>
      <c r="AB287" s="7">
        <f>IF($AH287="","",SUMIFS('Per Line'!$V$2:$V$1601,'Per Line'!$D$2:$D$1601,$B287,'Per Line'!$AM$2:$AM$1601,1,'Per Line'!$AN$2:$AN$1601,0))</f>
        <v/>
      </c>
      <c r="AC287" s="7">
        <f>IF($AH287="","",AB287*AA287)</f>
        <v/>
      </c>
      <c r="AD287" s="7">
        <f>IF($AH287="","",AC287+Z287+W287)</f>
        <v/>
      </c>
      <c r="AE287" s="7">
        <f>IF($AH287="","",AF287-AD287)</f>
        <v/>
      </c>
      <c r="AF287" s="7">
        <f>IF($AH287="","",Y287+AB287+V287)</f>
        <v/>
      </c>
      <c r="AG287" s="7">
        <f>IF($AH287="","",AF287-AD287-N287)</f>
        <v/>
      </c>
      <c r="AH287" s="13">
        <f>IF(ROWS($AH$2:$AH287)&lt;=MAX('Per Line'!$AL$2:$AL$1601),MATCH(ROWS($AH$2:$AH287),'Per Line'!$AL$2:$AL$1601,0),"")</f>
        <v/>
      </c>
    </row>
    <row r="288">
      <c r="A288" s="12" t="n"/>
      <c r="B288">
        <f>IF($AH288="","",INDEX('Per Line'!$D$2:$D$1601,$AH288)&amp;"")</f>
        <v/>
      </c>
      <c r="C288">
        <f>IF($AH288="","",INDEX('Per Line'!$A$2:$A$1601,$AH288)&amp;"")</f>
        <v/>
      </c>
      <c r="D288">
        <f>IF($AH288="","",INDEX('Per Line'!$B$2:$B$1601,$AH288))</f>
        <v/>
      </c>
      <c r="E288">
        <f>IF($AH288="","",INDEX('Per Line'!$C$2:$C$1601,$AH288)&amp;"")</f>
        <v/>
      </c>
      <c r="F288">
        <f>IF($AH288="","",INDEX('Per Line'!$E$2:$E$1601,$AH288)&amp;"")</f>
        <v/>
      </c>
      <c r="G288" s="11">
        <f>IF($AH288="","",INDEX('Per Line'!$F$2:$F$1601,$AH288))</f>
        <v/>
      </c>
      <c r="H288">
        <f>IF($AH288="","",INDEX('Per Line'!$G$2:$G$1601,$AH288)&amp;"")</f>
        <v/>
      </c>
      <c r="I288">
        <f>IF($AH288="","",INDEX('Per Line'!$I$2:$I$1601,$AH288)&amp;"")</f>
        <v/>
      </c>
      <c r="J288">
        <f>IF($AH288="","",INDEX('Per Line'!$J$2:$J$1601,$AH288)&amp;"")</f>
        <v/>
      </c>
      <c r="K288">
        <f>IF($AH288="","",INDEX('Per Line'!$K$2:$K$1601,$AH288)&amp;"")</f>
        <v/>
      </c>
      <c r="L288">
        <f>IF($AH288="","",INDEX('Per Line'!$L$2:$L$1601,$AH288)&amp;"")</f>
        <v/>
      </c>
      <c r="M288">
        <f>IF($AH288="","",INDEX('Per Line'!$M$2:$M$1601,$AH288))</f>
        <v/>
      </c>
      <c r="N288" s="7">
        <f>IF($AH288="","",M288*AE288/100)</f>
        <v/>
      </c>
      <c r="O288">
        <f>IF($AH288="","",INDEX('Per Line'!$Z$2:$Z$1601,$AH288)&amp;"")</f>
        <v/>
      </c>
      <c r="P288">
        <f>IF($AH288="","",INDEX('Per Line'!$AC$2:$AC$1601,$AH288)&amp;"")</f>
        <v/>
      </c>
      <c r="Q288">
        <f>IF($AH288="","",INDEX('Per Line'!$AD$2:$AD$1601,$AH288))</f>
        <v/>
      </c>
      <c r="R288">
        <f>IF($AH288="","",IF(AND(ISNUMBER(Q288),Q288&gt;0),AF288&gt;Q288,FALSE))</f>
        <v/>
      </c>
      <c r="S288">
        <f>IF($AH288="","",INDEX('Per Line'!$AH$2:$AH$1601,$AH288)&amp;"")</f>
        <v/>
      </c>
      <c r="T288" s="11">
        <f>IF($AH288="","",INDEX('Per Line'!$AI$2:$AI$1601,$AH288))</f>
        <v/>
      </c>
      <c r="U288">
        <f>IF($AH288="","",Settings!$C$8)</f>
        <v/>
      </c>
      <c r="V288" s="7">
        <f>IF($AH288="","",SUMIFS('Per Line'!$V$2:$V$1601,'Per Line'!$D$2:$D$1601,$B288,'Per Line'!$AN$2:$AN$1601,1))</f>
        <v/>
      </c>
      <c r="W288" s="7">
        <f>IF($AH288="","",V288*U288)</f>
        <v/>
      </c>
      <c r="X288">
        <f>IF($AH288="","",Settings!$C$7)</f>
        <v/>
      </c>
      <c r="Y288" s="7">
        <f>IF($AH288="","",SUMIFS('Per Line'!$V$2:$V$1601,'Per Line'!$D$2:$D$1601,$B288,'Per Line'!$AM$2:$AM$1601,0,'Per Line'!$AN$2:$AN$1601,0))</f>
        <v/>
      </c>
      <c r="Z288" s="7">
        <f>IF($AH288="","",Y288*X288)</f>
        <v/>
      </c>
      <c r="AA288">
        <f>IF($AH288="","",Settings!$C$6)</f>
        <v/>
      </c>
      <c r="AB288" s="7">
        <f>IF($AH288="","",SUMIFS('Per Line'!$V$2:$V$1601,'Per Line'!$D$2:$D$1601,$B288,'Per Line'!$AM$2:$AM$1601,1,'Per Line'!$AN$2:$AN$1601,0))</f>
        <v/>
      </c>
      <c r="AC288" s="7">
        <f>IF($AH288="","",AB288*AA288)</f>
        <v/>
      </c>
      <c r="AD288" s="7">
        <f>IF($AH288="","",AC288+Z288+W288)</f>
        <v/>
      </c>
      <c r="AE288" s="7">
        <f>IF($AH288="","",AF288-AD288)</f>
        <v/>
      </c>
      <c r="AF288" s="7">
        <f>IF($AH288="","",Y288+AB288+V288)</f>
        <v/>
      </c>
      <c r="AG288" s="7">
        <f>IF($AH288="","",AF288-AD288-N288)</f>
        <v/>
      </c>
      <c r="AH288" s="13">
        <f>IF(ROWS($AH$2:$AH288)&lt;=MAX('Per Line'!$AL$2:$AL$1601),MATCH(ROWS($AH$2:$AH288),'Per Line'!$AL$2:$AL$1601,0),"")</f>
        <v/>
      </c>
    </row>
    <row r="289">
      <c r="A289" s="12" t="n"/>
      <c r="B289">
        <f>IF($AH289="","",INDEX('Per Line'!$D$2:$D$1601,$AH289)&amp;"")</f>
        <v/>
      </c>
      <c r="C289">
        <f>IF($AH289="","",INDEX('Per Line'!$A$2:$A$1601,$AH289)&amp;"")</f>
        <v/>
      </c>
      <c r="D289">
        <f>IF($AH289="","",INDEX('Per Line'!$B$2:$B$1601,$AH289))</f>
        <v/>
      </c>
      <c r="E289">
        <f>IF($AH289="","",INDEX('Per Line'!$C$2:$C$1601,$AH289)&amp;"")</f>
        <v/>
      </c>
      <c r="F289">
        <f>IF($AH289="","",INDEX('Per Line'!$E$2:$E$1601,$AH289)&amp;"")</f>
        <v/>
      </c>
      <c r="G289" s="11">
        <f>IF($AH289="","",INDEX('Per Line'!$F$2:$F$1601,$AH289))</f>
        <v/>
      </c>
      <c r="H289">
        <f>IF($AH289="","",INDEX('Per Line'!$G$2:$G$1601,$AH289)&amp;"")</f>
        <v/>
      </c>
      <c r="I289">
        <f>IF($AH289="","",INDEX('Per Line'!$I$2:$I$1601,$AH289)&amp;"")</f>
        <v/>
      </c>
      <c r="J289">
        <f>IF($AH289="","",INDEX('Per Line'!$J$2:$J$1601,$AH289)&amp;"")</f>
        <v/>
      </c>
      <c r="K289">
        <f>IF($AH289="","",INDEX('Per Line'!$K$2:$K$1601,$AH289)&amp;"")</f>
        <v/>
      </c>
      <c r="L289">
        <f>IF($AH289="","",INDEX('Per Line'!$L$2:$L$1601,$AH289)&amp;"")</f>
        <v/>
      </c>
      <c r="M289">
        <f>IF($AH289="","",INDEX('Per Line'!$M$2:$M$1601,$AH289))</f>
        <v/>
      </c>
      <c r="N289" s="7">
        <f>IF($AH289="","",M289*AE289/100)</f>
        <v/>
      </c>
      <c r="O289">
        <f>IF($AH289="","",INDEX('Per Line'!$Z$2:$Z$1601,$AH289)&amp;"")</f>
        <v/>
      </c>
      <c r="P289">
        <f>IF($AH289="","",INDEX('Per Line'!$AC$2:$AC$1601,$AH289)&amp;"")</f>
        <v/>
      </c>
      <c r="Q289">
        <f>IF($AH289="","",INDEX('Per Line'!$AD$2:$AD$1601,$AH289))</f>
        <v/>
      </c>
      <c r="R289">
        <f>IF($AH289="","",IF(AND(ISNUMBER(Q289),Q289&gt;0),AF289&gt;Q289,FALSE))</f>
        <v/>
      </c>
      <c r="S289">
        <f>IF($AH289="","",INDEX('Per Line'!$AH$2:$AH$1601,$AH289)&amp;"")</f>
        <v/>
      </c>
      <c r="T289" s="11">
        <f>IF($AH289="","",INDEX('Per Line'!$AI$2:$AI$1601,$AH289))</f>
        <v/>
      </c>
      <c r="U289">
        <f>IF($AH289="","",Settings!$C$8)</f>
        <v/>
      </c>
      <c r="V289" s="7">
        <f>IF($AH289="","",SUMIFS('Per Line'!$V$2:$V$1601,'Per Line'!$D$2:$D$1601,$B289,'Per Line'!$AN$2:$AN$1601,1))</f>
        <v/>
      </c>
      <c r="W289" s="7">
        <f>IF($AH289="","",V289*U289)</f>
        <v/>
      </c>
      <c r="X289">
        <f>IF($AH289="","",Settings!$C$7)</f>
        <v/>
      </c>
      <c r="Y289" s="7">
        <f>IF($AH289="","",SUMIFS('Per Line'!$V$2:$V$1601,'Per Line'!$D$2:$D$1601,$B289,'Per Line'!$AM$2:$AM$1601,0,'Per Line'!$AN$2:$AN$1601,0))</f>
        <v/>
      </c>
      <c r="Z289" s="7">
        <f>IF($AH289="","",Y289*X289)</f>
        <v/>
      </c>
      <c r="AA289">
        <f>IF($AH289="","",Settings!$C$6)</f>
        <v/>
      </c>
      <c r="AB289" s="7">
        <f>IF($AH289="","",SUMIFS('Per Line'!$V$2:$V$1601,'Per Line'!$D$2:$D$1601,$B289,'Per Line'!$AM$2:$AM$1601,1,'Per Line'!$AN$2:$AN$1601,0))</f>
        <v/>
      </c>
      <c r="AC289" s="7">
        <f>IF($AH289="","",AB289*AA289)</f>
        <v/>
      </c>
      <c r="AD289" s="7">
        <f>IF($AH289="","",AC289+Z289+W289)</f>
        <v/>
      </c>
      <c r="AE289" s="7">
        <f>IF($AH289="","",AF289-AD289)</f>
        <v/>
      </c>
      <c r="AF289" s="7">
        <f>IF($AH289="","",Y289+AB289+V289)</f>
        <v/>
      </c>
      <c r="AG289" s="7">
        <f>IF($AH289="","",AF289-AD289-N289)</f>
        <v/>
      </c>
      <c r="AH289" s="13">
        <f>IF(ROWS($AH$2:$AH289)&lt;=MAX('Per Line'!$AL$2:$AL$1601),MATCH(ROWS($AH$2:$AH289),'Per Line'!$AL$2:$AL$1601,0),"")</f>
        <v/>
      </c>
    </row>
    <row r="290">
      <c r="A290" s="12" t="n"/>
      <c r="B290">
        <f>IF($AH290="","",INDEX('Per Line'!$D$2:$D$1601,$AH290)&amp;"")</f>
        <v/>
      </c>
      <c r="C290">
        <f>IF($AH290="","",INDEX('Per Line'!$A$2:$A$1601,$AH290)&amp;"")</f>
        <v/>
      </c>
      <c r="D290">
        <f>IF($AH290="","",INDEX('Per Line'!$B$2:$B$1601,$AH290))</f>
        <v/>
      </c>
      <c r="E290">
        <f>IF($AH290="","",INDEX('Per Line'!$C$2:$C$1601,$AH290)&amp;"")</f>
        <v/>
      </c>
      <c r="F290">
        <f>IF($AH290="","",INDEX('Per Line'!$E$2:$E$1601,$AH290)&amp;"")</f>
        <v/>
      </c>
      <c r="G290" s="11">
        <f>IF($AH290="","",INDEX('Per Line'!$F$2:$F$1601,$AH290))</f>
        <v/>
      </c>
      <c r="H290">
        <f>IF($AH290="","",INDEX('Per Line'!$G$2:$G$1601,$AH290)&amp;"")</f>
        <v/>
      </c>
      <c r="I290">
        <f>IF($AH290="","",INDEX('Per Line'!$I$2:$I$1601,$AH290)&amp;"")</f>
        <v/>
      </c>
      <c r="J290">
        <f>IF($AH290="","",INDEX('Per Line'!$J$2:$J$1601,$AH290)&amp;"")</f>
        <v/>
      </c>
      <c r="K290">
        <f>IF($AH290="","",INDEX('Per Line'!$K$2:$K$1601,$AH290)&amp;"")</f>
        <v/>
      </c>
      <c r="L290">
        <f>IF($AH290="","",INDEX('Per Line'!$L$2:$L$1601,$AH290)&amp;"")</f>
        <v/>
      </c>
      <c r="M290">
        <f>IF($AH290="","",INDEX('Per Line'!$M$2:$M$1601,$AH290))</f>
        <v/>
      </c>
      <c r="N290" s="7">
        <f>IF($AH290="","",M290*AE290/100)</f>
        <v/>
      </c>
      <c r="O290">
        <f>IF($AH290="","",INDEX('Per Line'!$Z$2:$Z$1601,$AH290)&amp;"")</f>
        <v/>
      </c>
      <c r="P290">
        <f>IF($AH290="","",INDEX('Per Line'!$AC$2:$AC$1601,$AH290)&amp;"")</f>
        <v/>
      </c>
      <c r="Q290">
        <f>IF($AH290="","",INDEX('Per Line'!$AD$2:$AD$1601,$AH290))</f>
        <v/>
      </c>
      <c r="R290">
        <f>IF($AH290="","",IF(AND(ISNUMBER(Q290),Q290&gt;0),AF290&gt;Q290,FALSE))</f>
        <v/>
      </c>
      <c r="S290">
        <f>IF($AH290="","",INDEX('Per Line'!$AH$2:$AH$1601,$AH290)&amp;"")</f>
        <v/>
      </c>
      <c r="T290" s="11">
        <f>IF($AH290="","",INDEX('Per Line'!$AI$2:$AI$1601,$AH290))</f>
        <v/>
      </c>
      <c r="U290">
        <f>IF($AH290="","",Settings!$C$8)</f>
        <v/>
      </c>
      <c r="V290" s="7">
        <f>IF($AH290="","",SUMIFS('Per Line'!$V$2:$V$1601,'Per Line'!$D$2:$D$1601,$B290,'Per Line'!$AN$2:$AN$1601,1))</f>
        <v/>
      </c>
      <c r="W290" s="7">
        <f>IF($AH290="","",V290*U290)</f>
        <v/>
      </c>
      <c r="X290">
        <f>IF($AH290="","",Settings!$C$7)</f>
        <v/>
      </c>
      <c r="Y290" s="7">
        <f>IF($AH290="","",SUMIFS('Per Line'!$V$2:$V$1601,'Per Line'!$D$2:$D$1601,$B290,'Per Line'!$AM$2:$AM$1601,0,'Per Line'!$AN$2:$AN$1601,0))</f>
        <v/>
      </c>
      <c r="Z290" s="7">
        <f>IF($AH290="","",Y290*X290)</f>
        <v/>
      </c>
      <c r="AA290">
        <f>IF($AH290="","",Settings!$C$6)</f>
        <v/>
      </c>
      <c r="AB290" s="7">
        <f>IF($AH290="","",SUMIFS('Per Line'!$V$2:$V$1601,'Per Line'!$D$2:$D$1601,$B290,'Per Line'!$AM$2:$AM$1601,1,'Per Line'!$AN$2:$AN$1601,0))</f>
        <v/>
      </c>
      <c r="AC290" s="7">
        <f>IF($AH290="","",AB290*AA290)</f>
        <v/>
      </c>
      <c r="AD290" s="7">
        <f>IF($AH290="","",AC290+Z290+W290)</f>
        <v/>
      </c>
      <c r="AE290" s="7">
        <f>IF($AH290="","",AF290-AD290)</f>
        <v/>
      </c>
      <c r="AF290" s="7">
        <f>IF($AH290="","",Y290+AB290+V290)</f>
        <v/>
      </c>
      <c r="AG290" s="7">
        <f>IF($AH290="","",AF290-AD290-N290)</f>
        <v/>
      </c>
      <c r="AH290" s="13">
        <f>IF(ROWS($AH$2:$AH290)&lt;=MAX('Per Line'!$AL$2:$AL$1601),MATCH(ROWS($AH$2:$AH290),'Per Line'!$AL$2:$AL$1601,0),"")</f>
        <v/>
      </c>
    </row>
    <row r="291">
      <c r="A291" s="12" t="n"/>
      <c r="B291">
        <f>IF($AH291="","",INDEX('Per Line'!$D$2:$D$1601,$AH291)&amp;"")</f>
        <v/>
      </c>
      <c r="C291">
        <f>IF($AH291="","",INDEX('Per Line'!$A$2:$A$1601,$AH291)&amp;"")</f>
        <v/>
      </c>
      <c r="D291">
        <f>IF($AH291="","",INDEX('Per Line'!$B$2:$B$1601,$AH291))</f>
        <v/>
      </c>
      <c r="E291">
        <f>IF($AH291="","",INDEX('Per Line'!$C$2:$C$1601,$AH291)&amp;"")</f>
        <v/>
      </c>
      <c r="F291">
        <f>IF($AH291="","",INDEX('Per Line'!$E$2:$E$1601,$AH291)&amp;"")</f>
        <v/>
      </c>
      <c r="G291" s="11">
        <f>IF($AH291="","",INDEX('Per Line'!$F$2:$F$1601,$AH291))</f>
        <v/>
      </c>
      <c r="H291">
        <f>IF($AH291="","",INDEX('Per Line'!$G$2:$G$1601,$AH291)&amp;"")</f>
        <v/>
      </c>
      <c r="I291">
        <f>IF($AH291="","",INDEX('Per Line'!$I$2:$I$1601,$AH291)&amp;"")</f>
        <v/>
      </c>
      <c r="J291">
        <f>IF($AH291="","",INDEX('Per Line'!$J$2:$J$1601,$AH291)&amp;"")</f>
        <v/>
      </c>
      <c r="K291">
        <f>IF($AH291="","",INDEX('Per Line'!$K$2:$K$1601,$AH291)&amp;"")</f>
        <v/>
      </c>
      <c r="L291">
        <f>IF($AH291="","",INDEX('Per Line'!$L$2:$L$1601,$AH291)&amp;"")</f>
        <v/>
      </c>
      <c r="M291">
        <f>IF($AH291="","",INDEX('Per Line'!$M$2:$M$1601,$AH291))</f>
        <v/>
      </c>
      <c r="N291" s="7">
        <f>IF($AH291="","",M291*AE291/100)</f>
        <v/>
      </c>
      <c r="O291">
        <f>IF($AH291="","",INDEX('Per Line'!$Z$2:$Z$1601,$AH291)&amp;"")</f>
        <v/>
      </c>
      <c r="P291">
        <f>IF($AH291="","",INDEX('Per Line'!$AC$2:$AC$1601,$AH291)&amp;"")</f>
        <v/>
      </c>
      <c r="Q291">
        <f>IF($AH291="","",INDEX('Per Line'!$AD$2:$AD$1601,$AH291))</f>
        <v/>
      </c>
      <c r="R291">
        <f>IF($AH291="","",IF(AND(ISNUMBER(Q291),Q291&gt;0),AF291&gt;Q291,FALSE))</f>
        <v/>
      </c>
      <c r="S291">
        <f>IF($AH291="","",INDEX('Per Line'!$AH$2:$AH$1601,$AH291)&amp;"")</f>
        <v/>
      </c>
      <c r="T291" s="11">
        <f>IF($AH291="","",INDEX('Per Line'!$AI$2:$AI$1601,$AH291))</f>
        <v/>
      </c>
      <c r="U291">
        <f>IF($AH291="","",Settings!$C$8)</f>
        <v/>
      </c>
      <c r="V291" s="7">
        <f>IF($AH291="","",SUMIFS('Per Line'!$V$2:$V$1601,'Per Line'!$D$2:$D$1601,$B291,'Per Line'!$AN$2:$AN$1601,1))</f>
        <v/>
      </c>
      <c r="W291" s="7">
        <f>IF($AH291="","",V291*U291)</f>
        <v/>
      </c>
      <c r="X291">
        <f>IF($AH291="","",Settings!$C$7)</f>
        <v/>
      </c>
      <c r="Y291" s="7">
        <f>IF($AH291="","",SUMIFS('Per Line'!$V$2:$V$1601,'Per Line'!$D$2:$D$1601,$B291,'Per Line'!$AM$2:$AM$1601,0,'Per Line'!$AN$2:$AN$1601,0))</f>
        <v/>
      </c>
      <c r="Z291" s="7">
        <f>IF($AH291="","",Y291*X291)</f>
        <v/>
      </c>
      <c r="AA291">
        <f>IF($AH291="","",Settings!$C$6)</f>
        <v/>
      </c>
      <c r="AB291" s="7">
        <f>IF($AH291="","",SUMIFS('Per Line'!$V$2:$V$1601,'Per Line'!$D$2:$D$1601,$B291,'Per Line'!$AM$2:$AM$1601,1,'Per Line'!$AN$2:$AN$1601,0))</f>
        <v/>
      </c>
      <c r="AC291" s="7">
        <f>IF($AH291="","",AB291*AA291)</f>
        <v/>
      </c>
      <c r="AD291" s="7">
        <f>IF($AH291="","",AC291+Z291+W291)</f>
        <v/>
      </c>
      <c r="AE291" s="7">
        <f>IF($AH291="","",AF291-AD291)</f>
        <v/>
      </c>
      <c r="AF291" s="7">
        <f>IF($AH291="","",Y291+AB291+V291)</f>
        <v/>
      </c>
      <c r="AG291" s="7">
        <f>IF($AH291="","",AF291-AD291-N291)</f>
        <v/>
      </c>
      <c r="AH291" s="13">
        <f>IF(ROWS($AH$2:$AH291)&lt;=MAX('Per Line'!$AL$2:$AL$1601),MATCH(ROWS($AH$2:$AH291),'Per Line'!$AL$2:$AL$1601,0),"")</f>
        <v/>
      </c>
    </row>
    <row r="292">
      <c r="A292" s="12" t="n"/>
      <c r="B292">
        <f>IF($AH292="","",INDEX('Per Line'!$D$2:$D$1601,$AH292)&amp;"")</f>
        <v/>
      </c>
      <c r="C292">
        <f>IF($AH292="","",INDEX('Per Line'!$A$2:$A$1601,$AH292)&amp;"")</f>
        <v/>
      </c>
      <c r="D292">
        <f>IF($AH292="","",INDEX('Per Line'!$B$2:$B$1601,$AH292))</f>
        <v/>
      </c>
      <c r="E292">
        <f>IF($AH292="","",INDEX('Per Line'!$C$2:$C$1601,$AH292)&amp;"")</f>
        <v/>
      </c>
      <c r="F292">
        <f>IF($AH292="","",INDEX('Per Line'!$E$2:$E$1601,$AH292)&amp;"")</f>
        <v/>
      </c>
      <c r="G292" s="11">
        <f>IF($AH292="","",INDEX('Per Line'!$F$2:$F$1601,$AH292))</f>
        <v/>
      </c>
      <c r="H292">
        <f>IF($AH292="","",INDEX('Per Line'!$G$2:$G$1601,$AH292)&amp;"")</f>
        <v/>
      </c>
      <c r="I292">
        <f>IF($AH292="","",INDEX('Per Line'!$I$2:$I$1601,$AH292)&amp;"")</f>
        <v/>
      </c>
      <c r="J292">
        <f>IF($AH292="","",INDEX('Per Line'!$J$2:$J$1601,$AH292)&amp;"")</f>
        <v/>
      </c>
      <c r="K292">
        <f>IF($AH292="","",INDEX('Per Line'!$K$2:$K$1601,$AH292)&amp;"")</f>
        <v/>
      </c>
      <c r="L292">
        <f>IF($AH292="","",INDEX('Per Line'!$L$2:$L$1601,$AH292)&amp;"")</f>
        <v/>
      </c>
      <c r="M292">
        <f>IF($AH292="","",INDEX('Per Line'!$M$2:$M$1601,$AH292))</f>
        <v/>
      </c>
      <c r="N292" s="7">
        <f>IF($AH292="","",M292*AE292/100)</f>
        <v/>
      </c>
      <c r="O292">
        <f>IF($AH292="","",INDEX('Per Line'!$Z$2:$Z$1601,$AH292)&amp;"")</f>
        <v/>
      </c>
      <c r="P292">
        <f>IF($AH292="","",INDEX('Per Line'!$AC$2:$AC$1601,$AH292)&amp;"")</f>
        <v/>
      </c>
      <c r="Q292">
        <f>IF($AH292="","",INDEX('Per Line'!$AD$2:$AD$1601,$AH292))</f>
        <v/>
      </c>
      <c r="R292">
        <f>IF($AH292="","",IF(AND(ISNUMBER(Q292),Q292&gt;0),AF292&gt;Q292,FALSE))</f>
        <v/>
      </c>
      <c r="S292">
        <f>IF($AH292="","",INDEX('Per Line'!$AH$2:$AH$1601,$AH292)&amp;"")</f>
        <v/>
      </c>
      <c r="T292" s="11">
        <f>IF($AH292="","",INDEX('Per Line'!$AI$2:$AI$1601,$AH292))</f>
        <v/>
      </c>
      <c r="U292">
        <f>IF($AH292="","",Settings!$C$8)</f>
        <v/>
      </c>
      <c r="V292" s="7">
        <f>IF($AH292="","",SUMIFS('Per Line'!$V$2:$V$1601,'Per Line'!$D$2:$D$1601,$B292,'Per Line'!$AN$2:$AN$1601,1))</f>
        <v/>
      </c>
      <c r="W292" s="7">
        <f>IF($AH292="","",V292*U292)</f>
        <v/>
      </c>
      <c r="X292">
        <f>IF($AH292="","",Settings!$C$7)</f>
        <v/>
      </c>
      <c r="Y292" s="7">
        <f>IF($AH292="","",SUMIFS('Per Line'!$V$2:$V$1601,'Per Line'!$D$2:$D$1601,$B292,'Per Line'!$AM$2:$AM$1601,0,'Per Line'!$AN$2:$AN$1601,0))</f>
        <v/>
      </c>
      <c r="Z292" s="7">
        <f>IF($AH292="","",Y292*X292)</f>
        <v/>
      </c>
      <c r="AA292">
        <f>IF($AH292="","",Settings!$C$6)</f>
        <v/>
      </c>
      <c r="AB292" s="7">
        <f>IF($AH292="","",SUMIFS('Per Line'!$V$2:$V$1601,'Per Line'!$D$2:$D$1601,$B292,'Per Line'!$AM$2:$AM$1601,1,'Per Line'!$AN$2:$AN$1601,0))</f>
        <v/>
      </c>
      <c r="AC292" s="7">
        <f>IF($AH292="","",AB292*AA292)</f>
        <v/>
      </c>
      <c r="AD292" s="7">
        <f>IF($AH292="","",AC292+Z292+W292)</f>
        <v/>
      </c>
      <c r="AE292" s="7">
        <f>IF($AH292="","",AF292-AD292)</f>
        <v/>
      </c>
      <c r="AF292" s="7">
        <f>IF($AH292="","",Y292+AB292+V292)</f>
        <v/>
      </c>
      <c r="AG292" s="7">
        <f>IF($AH292="","",AF292-AD292-N292)</f>
        <v/>
      </c>
      <c r="AH292" s="13">
        <f>IF(ROWS($AH$2:$AH292)&lt;=MAX('Per Line'!$AL$2:$AL$1601),MATCH(ROWS($AH$2:$AH292),'Per Line'!$AL$2:$AL$1601,0),"")</f>
        <v/>
      </c>
    </row>
    <row r="293">
      <c r="A293" s="12" t="n"/>
      <c r="B293">
        <f>IF($AH293="","",INDEX('Per Line'!$D$2:$D$1601,$AH293)&amp;"")</f>
        <v/>
      </c>
      <c r="C293">
        <f>IF($AH293="","",INDEX('Per Line'!$A$2:$A$1601,$AH293)&amp;"")</f>
        <v/>
      </c>
      <c r="D293">
        <f>IF($AH293="","",INDEX('Per Line'!$B$2:$B$1601,$AH293))</f>
        <v/>
      </c>
      <c r="E293">
        <f>IF($AH293="","",INDEX('Per Line'!$C$2:$C$1601,$AH293)&amp;"")</f>
        <v/>
      </c>
      <c r="F293">
        <f>IF($AH293="","",INDEX('Per Line'!$E$2:$E$1601,$AH293)&amp;"")</f>
        <v/>
      </c>
      <c r="G293" s="11">
        <f>IF($AH293="","",INDEX('Per Line'!$F$2:$F$1601,$AH293))</f>
        <v/>
      </c>
      <c r="H293">
        <f>IF($AH293="","",INDEX('Per Line'!$G$2:$G$1601,$AH293)&amp;"")</f>
        <v/>
      </c>
      <c r="I293">
        <f>IF($AH293="","",INDEX('Per Line'!$I$2:$I$1601,$AH293)&amp;"")</f>
        <v/>
      </c>
      <c r="J293">
        <f>IF($AH293="","",INDEX('Per Line'!$J$2:$J$1601,$AH293)&amp;"")</f>
        <v/>
      </c>
      <c r="K293">
        <f>IF($AH293="","",INDEX('Per Line'!$K$2:$K$1601,$AH293)&amp;"")</f>
        <v/>
      </c>
      <c r="L293">
        <f>IF($AH293="","",INDEX('Per Line'!$L$2:$L$1601,$AH293)&amp;"")</f>
        <v/>
      </c>
      <c r="M293">
        <f>IF($AH293="","",INDEX('Per Line'!$M$2:$M$1601,$AH293))</f>
        <v/>
      </c>
      <c r="N293" s="7">
        <f>IF($AH293="","",M293*AE293/100)</f>
        <v/>
      </c>
      <c r="O293">
        <f>IF($AH293="","",INDEX('Per Line'!$Z$2:$Z$1601,$AH293)&amp;"")</f>
        <v/>
      </c>
      <c r="P293">
        <f>IF($AH293="","",INDEX('Per Line'!$AC$2:$AC$1601,$AH293)&amp;"")</f>
        <v/>
      </c>
      <c r="Q293">
        <f>IF($AH293="","",INDEX('Per Line'!$AD$2:$AD$1601,$AH293))</f>
        <v/>
      </c>
      <c r="R293">
        <f>IF($AH293="","",IF(AND(ISNUMBER(Q293),Q293&gt;0),AF293&gt;Q293,FALSE))</f>
        <v/>
      </c>
      <c r="S293">
        <f>IF($AH293="","",INDEX('Per Line'!$AH$2:$AH$1601,$AH293)&amp;"")</f>
        <v/>
      </c>
      <c r="T293" s="11">
        <f>IF($AH293="","",INDEX('Per Line'!$AI$2:$AI$1601,$AH293))</f>
        <v/>
      </c>
      <c r="U293">
        <f>IF($AH293="","",Settings!$C$8)</f>
        <v/>
      </c>
      <c r="V293" s="7">
        <f>IF($AH293="","",SUMIFS('Per Line'!$V$2:$V$1601,'Per Line'!$D$2:$D$1601,$B293,'Per Line'!$AN$2:$AN$1601,1))</f>
        <v/>
      </c>
      <c r="W293" s="7">
        <f>IF($AH293="","",V293*U293)</f>
        <v/>
      </c>
      <c r="X293">
        <f>IF($AH293="","",Settings!$C$7)</f>
        <v/>
      </c>
      <c r="Y293" s="7">
        <f>IF($AH293="","",SUMIFS('Per Line'!$V$2:$V$1601,'Per Line'!$D$2:$D$1601,$B293,'Per Line'!$AM$2:$AM$1601,0,'Per Line'!$AN$2:$AN$1601,0))</f>
        <v/>
      </c>
      <c r="Z293" s="7">
        <f>IF($AH293="","",Y293*X293)</f>
        <v/>
      </c>
      <c r="AA293">
        <f>IF($AH293="","",Settings!$C$6)</f>
        <v/>
      </c>
      <c r="AB293" s="7">
        <f>IF($AH293="","",SUMIFS('Per Line'!$V$2:$V$1601,'Per Line'!$D$2:$D$1601,$B293,'Per Line'!$AM$2:$AM$1601,1,'Per Line'!$AN$2:$AN$1601,0))</f>
        <v/>
      </c>
      <c r="AC293" s="7">
        <f>IF($AH293="","",AB293*AA293)</f>
        <v/>
      </c>
      <c r="AD293" s="7">
        <f>IF($AH293="","",AC293+Z293+W293)</f>
        <v/>
      </c>
      <c r="AE293" s="7">
        <f>IF($AH293="","",AF293-AD293)</f>
        <v/>
      </c>
      <c r="AF293" s="7">
        <f>IF($AH293="","",Y293+AB293+V293)</f>
        <v/>
      </c>
      <c r="AG293" s="7">
        <f>IF($AH293="","",AF293-AD293-N293)</f>
        <v/>
      </c>
      <c r="AH293" s="13">
        <f>IF(ROWS($AH$2:$AH293)&lt;=MAX('Per Line'!$AL$2:$AL$1601),MATCH(ROWS($AH$2:$AH293),'Per Line'!$AL$2:$AL$1601,0),"")</f>
        <v/>
      </c>
    </row>
    <row r="294">
      <c r="A294" s="12" t="n"/>
      <c r="B294">
        <f>IF($AH294="","",INDEX('Per Line'!$D$2:$D$1601,$AH294)&amp;"")</f>
        <v/>
      </c>
      <c r="C294">
        <f>IF($AH294="","",INDEX('Per Line'!$A$2:$A$1601,$AH294)&amp;"")</f>
        <v/>
      </c>
      <c r="D294">
        <f>IF($AH294="","",INDEX('Per Line'!$B$2:$B$1601,$AH294))</f>
        <v/>
      </c>
      <c r="E294">
        <f>IF($AH294="","",INDEX('Per Line'!$C$2:$C$1601,$AH294)&amp;"")</f>
        <v/>
      </c>
      <c r="F294">
        <f>IF($AH294="","",INDEX('Per Line'!$E$2:$E$1601,$AH294)&amp;"")</f>
        <v/>
      </c>
      <c r="G294" s="11">
        <f>IF($AH294="","",INDEX('Per Line'!$F$2:$F$1601,$AH294))</f>
        <v/>
      </c>
      <c r="H294">
        <f>IF($AH294="","",INDEX('Per Line'!$G$2:$G$1601,$AH294)&amp;"")</f>
        <v/>
      </c>
      <c r="I294">
        <f>IF($AH294="","",INDEX('Per Line'!$I$2:$I$1601,$AH294)&amp;"")</f>
        <v/>
      </c>
      <c r="J294">
        <f>IF($AH294="","",INDEX('Per Line'!$J$2:$J$1601,$AH294)&amp;"")</f>
        <v/>
      </c>
      <c r="K294">
        <f>IF($AH294="","",INDEX('Per Line'!$K$2:$K$1601,$AH294)&amp;"")</f>
        <v/>
      </c>
      <c r="L294">
        <f>IF($AH294="","",INDEX('Per Line'!$L$2:$L$1601,$AH294)&amp;"")</f>
        <v/>
      </c>
      <c r="M294">
        <f>IF($AH294="","",INDEX('Per Line'!$M$2:$M$1601,$AH294))</f>
        <v/>
      </c>
      <c r="N294" s="7">
        <f>IF($AH294="","",M294*AE294/100)</f>
        <v/>
      </c>
      <c r="O294">
        <f>IF($AH294="","",INDEX('Per Line'!$Z$2:$Z$1601,$AH294)&amp;"")</f>
        <v/>
      </c>
      <c r="P294">
        <f>IF($AH294="","",INDEX('Per Line'!$AC$2:$AC$1601,$AH294)&amp;"")</f>
        <v/>
      </c>
      <c r="Q294">
        <f>IF($AH294="","",INDEX('Per Line'!$AD$2:$AD$1601,$AH294))</f>
        <v/>
      </c>
      <c r="R294">
        <f>IF($AH294="","",IF(AND(ISNUMBER(Q294),Q294&gt;0),AF294&gt;Q294,FALSE))</f>
        <v/>
      </c>
      <c r="S294">
        <f>IF($AH294="","",INDEX('Per Line'!$AH$2:$AH$1601,$AH294)&amp;"")</f>
        <v/>
      </c>
      <c r="T294" s="11">
        <f>IF($AH294="","",INDEX('Per Line'!$AI$2:$AI$1601,$AH294))</f>
        <v/>
      </c>
      <c r="U294">
        <f>IF($AH294="","",Settings!$C$8)</f>
        <v/>
      </c>
      <c r="V294" s="7">
        <f>IF($AH294="","",SUMIFS('Per Line'!$V$2:$V$1601,'Per Line'!$D$2:$D$1601,$B294,'Per Line'!$AN$2:$AN$1601,1))</f>
        <v/>
      </c>
      <c r="W294" s="7">
        <f>IF($AH294="","",V294*U294)</f>
        <v/>
      </c>
      <c r="X294">
        <f>IF($AH294="","",Settings!$C$7)</f>
        <v/>
      </c>
      <c r="Y294" s="7">
        <f>IF($AH294="","",SUMIFS('Per Line'!$V$2:$V$1601,'Per Line'!$D$2:$D$1601,$B294,'Per Line'!$AM$2:$AM$1601,0,'Per Line'!$AN$2:$AN$1601,0))</f>
        <v/>
      </c>
      <c r="Z294" s="7">
        <f>IF($AH294="","",Y294*X294)</f>
        <v/>
      </c>
      <c r="AA294">
        <f>IF($AH294="","",Settings!$C$6)</f>
        <v/>
      </c>
      <c r="AB294" s="7">
        <f>IF($AH294="","",SUMIFS('Per Line'!$V$2:$V$1601,'Per Line'!$D$2:$D$1601,$B294,'Per Line'!$AM$2:$AM$1601,1,'Per Line'!$AN$2:$AN$1601,0))</f>
        <v/>
      </c>
      <c r="AC294" s="7">
        <f>IF($AH294="","",AB294*AA294)</f>
        <v/>
      </c>
      <c r="AD294" s="7">
        <f>IF($AH294="","",AC294+Z294+W294)</f>
        <v/>
      </c>
      <c r="AE294" s="7">
        <f>IF($AH294="","",AF294-AD294)</f>
        <v/>
      </c>
      <c r="AF294" s="7">
        <f>IF($AH294="","",Y294+AB294+V294)</f>
        <v/>
      </c>
      <c r="AG294" s="7">
        <f>IF($AH294="","",AF294-AD294-N294)</f>
        <v/>
      </c>
      <c r="AH294" s="13">
        <f>IF(ROWS($AH$2:$AH294)&lt;=MAX('Per Line'!$AL$2:$AL$1601),MATCH(ROWS($AH$2:$AH294),'Per Line'!$AL$2:$AL$1601,0),"")</f>
        <v/>
      </c>
    </row>
    <row r="295">
      <c r="A295" s="12" t="n"/>
      <c r="B295">
        <f>IF($AH295="","",INDEX('Per Line'!$D$2:$D$1601,$AH295)&amp;"")</f>
        <v/>
      </c>
      <c r="C295">
        <f>IF($AH295="","",INDEX('Per Line'!$A$2:$A$1601,$AH295)&amp;"")</f>
        <v/>
      </c>
      <c r="D295">
        <f>IF($AH295="","",INDEX('Per Line'!$B$2:$B$1601,$AH295))</f>
        <v/>
      </c>
      <c r="E295">
        <f>IF($AH295="","",INDEX('Per Line'!$C$2:$C$1601,$AH295)&amp;"")</f>
        <v/>
      </c>
      <c r="F295">
        <f>IF($AH295="","",INDEX('Per Line'!$E$2:$E$1601,$AH295)&amp;"")</f>
        <v/>
      </c>
      <c r="G295" s="11">
        <f>IF($AH295="","",INDEX('Per Line'!$F$2:$F$1601,$AH295))</f>
        <v/>
      </c>
      <c r="H295">
        <f>IF($AH295="","",INDEX('Per Line'!$G$2:$G$1601,$AH295)&amp;"")</f>
        <v/>
      </c>
      <c r="I295">
        <f>IF($AH295="","",INDEX('Per Line'!$I$2:$I$1601,$AH295)&amp;"")</f>
        <v/>
      </c>
      <c r="J295">
        <f>IF($AH295="","",INDEX('Per Line'!$J$2:$J$1601,$AH295)&amp;"")</f>
        <v/>
      </c>
      <c r="K295">
        <f>IF($AH295="","",INDEX('Per Line'!$K$2:$K$1601,$AH295)&amp;"")</f>
        <v/>
      </c>
      <c r="L295">
        <f>IF($AH295="","",INDEX('Per Line'!$L$2:$L$1601,$AH295)&amp;"")</f>
        <v/>
      </c>
      <c r="M295">
        <f>IF($AH295="","",INDEX('Per Line'!$M$2:$M$1601,$AH295))</f>
        <v/>
      </c>
      <c r="N295" s="7">
        <f>IF($AH295="","",M295*AE295/100)</f>
        <v/>
      </c>
      <c r="O295">
        <f>IF($AH295="","",INDEX('Per Line'!$Z$2:$Z$1601,$AH295)&amp;"")</f>
        <v/>
      </c>
      <c r="P295">
        <f>IF($AH295="","",INDEX('Per Line'!$AC$2:$AC$1601,$AH295)&amp;"")</f>
        <v/>
      </c>
      <c r="Q295">
        <f>IF($AH295="","",INDEX('Per Line'!$AD$2:$AD$1601,$AH295))</f>
        <v/>
      </c>
      <c r="R295">
        <f>IF($AH295="","",IF(AND(ISNUMBER(Q295),Q295&gt;0),AF295&gt;Q295,FALSE))</f>
        <v/>
      </c>
      <c r="S295">
        <f>IF($AH295="","",INDEX('Per Line'!$AH$2:$AH$1601,$AH295)&amp;"")</f>
        <v/>
      </c>
      <c r="T295" s="11">
        <f>IF($AH295="","",INDEX('Per Line'!$AI$2:$AI$1601,$AH295))</f>
        <v/>
      </c>
      <c r="U295">
        <f>IF($AH295="","",Settings!$C$8)</f>
        <v/>
      </c>
      <c r="V295" s="7">
        <f>IF($AH295="","",SUMIFS('Per Line'!$V$2:$V$1601,'Per Line'!$D$2:$D$1601,$B295,'Per Line'!$AN$2:$AN$1601,1))</f>
        <v/>
      </c>
      <c r="W295" s="7">
        <f>IF($AH295="","",V295*U295)</f>
        <v/>
      </c>
      <c r="X295">
        <f>IF($AH295="","",Settings!$C$7)</f>
        <v/>
      </c>
      <c r="Y295" s="7">
        <f>IF($AH295="","",SUMIFS('Per Line'!$V$2:$V$1601,'Per Line'!$D$2:$D$1601,$B295,'Per Line'!$AM$2:$AM$1601,0,'Per Line'!$AN$2:$AN$1601,0))</f>
        <v/>
      </c>
      <c r="Z295" s="7">
        <f>IF($AH295="","",Y295*X295)</f>
        <v/>
      </c>
      <c r="AA295">
        <f>IF($AH295="","",Settings!$C$6)</f>
        <v/>
      </c>
      <c r="AB295" s="7">
        <f>IF($AH295="","",SUMIFS('Per Line'!$V$2:$V$1601,'Per Line'!$D$2:$D$1601,$B295,'Per Line'!$AM$2:$AM$1601,1,'Per Line'!$AN$2:$AN$1601,0))</f>
        <v/>
      </c>
      <c r="AC295" s="7">
        <f>IF($AH295="","",AB295*AA295)</f>
        <v/>
      </c>
      <c r="AD295" s="7">
        <f>IF($AH295="","",AC295+Z295+W295)</f>
        <v/>
      </c>
      <c r="AE295" s="7">
        <f>IF($AH295="","",AF295-AD295)</f>
        <v/>
      </c>
      <c r="AF295" s="7">
        <f>IF($AH295="","",Y295+AB295+V295)</f>
        <v/>
      </c>
      <c r="AG295" s="7">
        <f>IF($AH295="","",AF295-AD295-N295)</f>
        <v/>
      </c>
      <c r="AH295" s="13">
        <f>IF(ROWS($AH$2:$AH295)&lt;=MAX('Per Line'!$AL$2:$AL$1601),MATCH(ROWS($AH$2:$AH295),'Per Line'!$AL$2:$AL$1601,0),"")</f>
        <v/>
      </c>
    </row>
    <row r="296">
      <c r="A296" s="12" t="n"/>
      <c r="B296">
        <f>IF($AH296="","",INDEX('Per Line'!$D$2:$D$1601,$AH296)&amp;"")</f>
        <v/>
      </c>
      <c r="C296">
        <f>IF($AH296="","",INDEX('Per Line'!$A$2:$A$1601,$AH296)&amp;"")</f>
        <v/>
      </c>
      <c r="D296">
        <f>IF($AH296="","",INDEX('Per Line'!$B$2:$B$1601,$AH296))</f>
        <v/>
      </c>
      <c r="E296">
        <f>IF($AH296="","",INDEX('Per Line'!$C$2:$C$1601,$AH296)&amp;"")</f>
        <v/>
      </c>
      <c r="F296">
        <f>IF($AH296="","",INDEX('Per Line'!$E$2:$E$1601,$AH296)&amp;"")</f>
        <v/>
      </c>
      <c r="G296" s="11">
        <f>IF($AH296="","",INDEX('Per Line'!$F$2:$F$1601,$AH296))</f>
        <v/>
      </c>
      <c r="H296">
        <f>IF($AH296="","",INDEX('Per Line'!$G$2:$G$1601,$AH296)&amp;"")</f>
        <v/>
      </c>
      <c r="I296">
        <f>IF($AH296="","",INDEX('Per Line'!$I$2:$I$1601,$AH296)&amp;"")</f>
        <v/>
      </c>
      <c r="J296">
        <f>IF($AH296="","",INDEX('Per Line'!$J$2:$J$1601,$AH296)&amp;"")</f>
        <v/>
      </c>
      <c r="K296">
        <f>IF($AH296="","",INDEX('Per Line'!$K$2:$K$1601,$AH296)&amp;"")</f>
        <v/>
      </c>
      <c r="L296">
        <f>IF($AH296="","",INDEX('Per Line'!$L$2:$L$1601,$AH296)&amp;"")</f>
        <v/>
      </c>
      <c r="M296">
        <f>IF($AH296="","",INDEX('Per Line'!$M$2:$M$1601,$AH296))</f>
        <v/>
      </c>
      <c r="N296" s="7">
        <f>IF($AH296="","",M296*AE296/100)</f>
        <v/>
      </c>
      <c r="O296">
        <f>IF($AH296="","",INDEX('Per Line'!$Z$2:$Z$1601,$AH296)&amp;"")</f>
        <v/>
      </c>
      <c r="P296">
        <f>IF($AH296="","",INDEX('Per Line'!$AC$2:$AC$1601,$AH296)&amp;"")</f>
        <v/>
      </c>
      <c r="Q296">
        <f>IF($AH296="","",INDEX('Per Line'!$AD$2:$AD$1601,$AH296))</f>
        <v/>
      </c>
      <c r="R296">
        <f>IF($AH296="","",IF(AND(ISNUMBER(Q296),Q296&gt;0),AF296&gt;Q296,FALSE))</f>
        <v/>
      </c>
      <c r="S296">
        <f>IF($AH296="","",INDEX('Per Line'!$AH$2:$AH$1601,$AH296)&amp;"")</f>
        <v/>
      </c>
      <c r="T296" s="11">
        <f>IF($AH296="","",INDEX('Per Line'!$AI$2:$AI$1601,$AH296))</f>
        <v/>
      </c>
      <c r="U296">
        <f>IF($AH296="","",Settings!$C$8)</f>
        <v/>
      </c>
      <c r="V296" s="7">
        <f>IF($AH296="","",SUMIFS('Per Line'!$V$2:$V$1601,'Per Line'!$D$2:$D$1601,$B296,'Per Line'!$AN$2:$AN$1601,1))</f>
        <v/>
      </c>
      <c r="W296" s="7">
        <f>IF($AH296="","",V296*U296)</f>
        <v/>
      </c>
      <c r="X296">
        <f>IF($AH296="","",Settings!$C$7)</f>
        <v/>
      </c>
      <c r="Y296" s="7">
        <f>IF($AH296="","",SUMIFS('Per Line'!$V$2:$V$1601,'Per Line'!$D$2:$D$1601,$B296,'Per Line'!$AM$2:$AM$1601,0,'Per Line'!$AN$2:$AN$1601,0))</f>
        <v/>
      </c>
      <c r="Z296" s="7">
        <f>IF($AH296="","",Y296*X296)</f>
        <v/>
      </c>
      <c r="AA296">
        <f>IF($AH296="","",Settings!$C$6)</f>
        <v/>
      </c>
      <c r="AB296" s="7">
        <f>IF($AH296="","",SUMIFS('Per Line'!$V$2:$V$1601,'Per Line'!$D$2:$D$1601,$B296,'Per Line'!$AM$2:$AM$1601,1,'Per Line'!$AN$2:$AN$1601,0))</f>
        <v/>
      </c>
      <c r="AC296" s="7">
        <f>IF($AH296="","",AB296*AA296)</f>
        <v/>
      </c>
      <c r="AD296" s="7">
        <f>IF($AH296="","",AC296+Z296+W296)</f>
        <v/>
      </c>
      <c r="AE296" s="7">
        <f>IF($AH296="","",AF296-AD296)</f>
        <v/>
      </c>
      <c r="AF296" s="7">
        <f>IF($AH296="","",Y296+AB296+V296)</f>
        <v/>
      </c>
      <c r="AG296" s="7">
        <f>IF($AH296="","",AF296-AD296-N296)</f>
        <v/>
      </c>
      <c r="AH296" s="13">
        <f>IF(ROWS($AH$2:$AH296)&lt;=MAX('Per Line'!$AL$2:$AL$1601),MATCH(ROWS($AH$2:$AH296),'Per Line'!$AL$2:$AL$1601,0),"")</f>
        <v/>
      </c>
    </row>
    <row r="297">
      <c r="A297" s="12" t="n"/>
      <c r="B297">
        <f>IF($AH297="","",INDEX('Per Line'!$D$2:$D$1601,$AH297)&amp;"")</f>
        <v/>
      </c>
      <c r="C297">
        <f>IF($AH297="","",INDEX('Per Line'!$A$2:$A$1601,$AH297)&amp;"")</f>
        <v/>
      </c>
      <c r="D297">
        <f>IF($AH297="","",INDEX('Per Line'!$B$2:$B$1601,$AH297))</f>
        <v/>
      </c>
      <c r="E297">
        <f>IF($AH297="","",INDEX('Per Line'!$C$2:$C$1601,$AH297)&amp;"")</f>
        <v/>
      </c>
      <c r="F297">
        <f>IF($AH297="","",INDEX('Per Line'!$E$2:$E$1601,$AH297)&amp;"")</f>
        <v/>
      </c>
      <c r="G297" s="11">
        <f>IF($AH297="","",INDEX('Per Line'!$F$2:$F$1601,$AH297))</f>
        <v/>
      </c>
      <c r="H297">
        <f>IF($AH297="","",INDEX('Per Line'!$G$2:$G$1601,$AH297)&amp;"")</f>
        <v/>
      </c>
      <c r="I297">
        <f>IF($AH297="","",INDEX('Per Line'!$I$2:$I$1601,$AH297)&amp;"")</f>
        <v/>
      </c>
      <c r="J297">
        <f>IF($AH297="","",INDEX('Per Line'!$J$2:$J$1601,$AH297)&amp;"")</f>
        <v/>
      </c>
      <c r="K297">
        <f>IF($AH297="","",INDEX('Per Line'!$K$2:$K$1601,$AH297)&amp;"")</f>
        <v/>
      </c>
      <c r="L297">
        <f>IF($AH297="","",INDEX('Per Line'!$L$2:$L$1601,$AH297)&amp;"")</f>
        <v/>
      </c>
      <c r="M297">
        <f>IF($AH297="","",INDEX('Per Line'!$M$2:$M$1601,$AH297))</f>
        <v/>
      </c>
      <c r="N297" s="7">
        <f>IF($AH297="","",M297*AE297/100)</f>
        <v/>
      </c>
      <c r="O297">
        <f>IF($AH297="","",INDEX('Per Line'!$Z$2:$Z$1601,$AH297)&amp;"")</f>
        <v/>
      </c>
      <c r="P297">
        <f>IF($AH297="","",INDEX('Per Line'!$AC$2:$AC$1601,$AH297)&amp;"")</f>
        <v/>
      </c>
      <c r="Q297">
        <f>IF($AH297="","",INDEX('Per Line'!$AD$2:$AD$1601,$AH297))</f>
        <v/>
      </c>
      <c r="R297">
        <f>IF($AH297="","",IF(AND(ISNUMBER(Q297),Q297&gt;0),AF297&gt;Q297,FALSE))</f>
        <v/>
      </c>
      <c r="S297">
        <f>IF($AH297="","",INDEX('Per Line'!$AH$2:$AH$1601,$AH297)&amp;"")</f>
        <v/>
      </c>
      <c r="T297" s="11">
        <f>IF($AH297="","",INDEX('Per Line'!$AI$2:$AI$1601,$AH297))</f>
        <v/>
      </c>
      <c r="U297">
        <f>IF($AH297="","",Settings!$C$8)</f>
        <v/>
      </c>
      <c r="V297" s="7">
        <f>IF($AH297="","",SUMIFS('Per Line'!$V$2:$V$1601,'Per Line'!$D$2:$D$1601,$B297,'Per Line'!$AN$2:$AN$1601,1))</f>
        <v/>
      </c>
      <c r="W297" s="7">
        <f>IF($AH297="","",V297*U297)</f>
        <v/>
      </c>
      <c r="X297">
        <f>IF($AH297="","",Settings!$C$7)</f>
        <v/>
      </c>
      <c r="Y297" s="7">
        <f>IF($AH297="","",SUMIFS('Per Line'!$V$2:$V$1601,'Per Line'!$D$2:$D$1601,$B297,'Per Line'!$AM$2:$AM$1601,0,'Per Line'!$AN$2:$AN$1601,0))</f>
        <v/>
      </c>
      <c r="Z297" s="7">
        <f>IF($AH297="","",Y297*X297)</f>
        <v/>
      </c>
      <c r="AA297">
        <f>IF($AH297="","",Settings!$C$6)</f>
        <v/>
      </c>
      <c r="AB297" s="7">
        <f>IF($AH297="","",SUMIFS('Per Line'!$V$2:$V$1601,'Per Line'!$D$2:$D$1601,$B297,'Per Line'!$AM$2:$AM$1601,1,'Per Line'!$AN$2:$AN$1601,0))</f>
        <v/>
      </c>
      <c r="AC297" s="7">
        <f>IF($AH297="","",AB297*AA297)</f>
        <v/>
      </c>
      <c r="AD297" s="7">
        <f>IF($AH297="","",AC297+Z297+W297)</f>
        <v/>
      </c>
      <c r="AE297" s="7">
        <f>IF($AH297="","",AF297-AD297)</f>
        <v/>
      </c>
      <c r="AF297" s="7">
        <f>IF($AH297="","",Y297+AB297+V297)</f>
        <v/>
      </c>
      <c r="AG297" s="7">
        <f>IF($AH297="","",AF297-AD297-N297)</f>
        <v/>
      </c>
      <c r="AH297" s="13">
        <f>IF(ROWS($AH$2:$AH297)&lt;=MAX('Per Line'!$AL$2:$AL$1601),MATCH(ROWS($AH$2:$AH297),'Per Line'!$AL$2:$AL$1601,0),"")</f>
        <v/>
      </c>
    </row>
    <row r="298">
      <c r="A298" s="12" t="n"/>
      <c r="B298">
        <f>IF($AH298="","",INDEX('Per Line'!$D$2:$D$1601,$AH298)&amp;"")</f>
        <v/>
      </c>
      <c r="C298">
        <f>IF($AH298="","",INDEX('Per Line'!$A$2:$A$1601,$AH298)&amp;"")</f>
        <v/>
      </c>
      <c r="D298">
        <f>IF($AH298="","",INDEX('Per Line'!$B$2:$B$1601,$AH298))</f>
        <v/>
      </c>
      <c r="E298">
        <f>IF($AH298="","",INDEX('Per Line'!$C$2:$C$1601,$AH298)&amp;"")</f>
        <v/>
      </c>
      <c r="F298">
        <f>IF($AH298="","",INDEX('Per Line'!$E$2:$E$1601,$AH298)&amp;"")</f>
        <v/>
      </c>
      <c r="G298" s="11">
        <f>IF($AH298="","",INDEX('Per Line'!$F$2:$F$1601,$AH298))</f>
        <v/>
      </c>
      <c r="H298">
        <f>IF($AH298="","",INDEX('Per Line'!$G$2:$G$1601,$AH298)&amp;"")</f>
        <v/>
      </c>
      <c r="I298">
        <f>IF($AH298="","",INDEX('Per Line'!$I$2:$I$1601,$AH298)&amp;"")</f>
        <v/>
      </c>
      <c r="J298">
        <f>IF($AH298="","",INDEX('Per Line'!$J$2:$J$1601,$AH298)&amp;"")</f>
        <v/>
      </c>
      <c r="K298">
        <f>IF($AH298="","",INDEX('Per Line'!$K$2:$K$1601,$AH298)&amp;"")</f>
        <v/>
      </c>
      <c r="L298">
        <f>IF($AH298="","",INDEX('Per Line'!$L$2:$L$1601,$AH298)&amp;"")</f>
        <v/>
      </c>
      <c r="M298">
        <f>IF($AH298="","",INDEX('Per Line'!$M$2:$M$1601,$AH298))</f>
        <v/>
      </c>
      <c r="N298" s="7">
        <f>IF($AH298="","",M298*AE298/100)</f>
        <v/>
      </c>
      <c r="O298">
        <f>IF($AH298="","",INDEX('Per Line'!$Z$2:$Z$1601,$AH298)&amp;"")</f>
        <v/>
      </c>
      <c r="P298">
        <f>IF($AH298="","",INDEX('Per Line'!$AC$2:$AC$1601,$AH298)&amp;"")</f>
        <v/>
      </c>
      <c r="Q298">
        <f>IF($AH298="","",INDEX('Per Line'!$AD$2:$AD$1601,$AH298))</f>
        <v/>
      </c>
      <c r="R298">
        <f>IF($AH298="","",IF(AND(ISNUMBER(Q298),Q298&gt;0),AF298&gt;Q298,FALSE))</f>
        <v/>
      </c>
      <c r="S298">
        <f>IF($AH298="","",INDEX('Per Line'!$AH$2:$AH$1601,$AH298)&amp;"")</f>
        <v/>
      </c>
      <c r="T298" s="11">
        <f>IF($AH298="","",INDEX('Per Line'!$AI$2:$AI$1601,$AH298))</f>
        <v/>
      </c>
      <c r="U298">
        <f>IF($AH298="","",Settings!$C$8)</f>
        <v/>
      </c>
      <c r="V298" s="7">
        <f>IF($AH298="","",SUMIFS('Per Line'!$V$2:$V$1601,'Per Line'!$D$2:$D$1601,$B298,'Per Line'!$AN$2:$AN$1601,1))</f>
        <v/>
      </c>
      <c r="W298" s="7">
        <f>IF($AH298="","",V298*U298)</f>
        <v/>
      </c>
      <c r="X298">
        <f>IF($AH298="","",Settings!$C$7)</f>
        <v/>
      </c>
      <c r="Y298" s="7">
        <f>IF($AH298="","",SUMIFS('Per Line'!$V$2:$V$1601,'Per Line'!$D$2:$D$1601,$B298,'Per Line'!$AM$2:$AM$1601,0,'Per Line'!$AN$2:$AN$1601,0))</f>
        <v/>
      </c>
      <c r="Z298" s="7">
        <f>IF($AH298="","",Y298*X298)</f>
        <v/>
      </c>
      <c r="AA298">
        <f>IF($AH298="","",Settings!$C$6)</f>
        <v/>
      </c>
      <c r="AB298" s="7">
        <f>IF($AH298="","",SUMIFS('Per Line'!$V$2:$V$1601,'Per Line'!$D$2:$D$1601,$B298,'Per Line'!$AM$2:$AM$1601,1,'Per Line'!$AN$2:$AN$1601,0))</f>
        <v/>
      </c>
      <c r="AC298" s="7">
        <f>IF($AH298="","",AB298*AA298)</f>
        <v/>
      </c>
      <c r="AD298" s="7">
        <f>IF($AH298="","",AC298+Z298+W298)</f>
        <v/>
      </c>
      <c r="AE298" s="7">
        <f>IF($AH298="","",AF298-AD298)</f>
        <v/>
      </c>
      <c r="AF298" s="7">
        <f>IF($AH298="","",Y298+AB298+V298)</f>
        <v/>
      </c>
      <c r="AG298" s="7">
        <f>IF($AH298="","",AF298-AD298-N298)</f>
        <v/>
      </c>
      <c r="AH298" s="13">
        <f>IF(ROWS($AH$2:$AH298)&lt;=MAX('Per Line'!$AL$2:$AL$1601),MATCH(ROWS($AH$2:$AH298),'Per Line'!$AL$2:$AL$1601,0),"")</f>
        <v/>
      </c>
    </row>
    <row r="299">
      <c r="A299" s="12" t="n"/>
      <c r="B299">
        <f>IF($AH299="","",INDEX('Per Line'!$D$2:$D$1601,$AH299)&amp;"")</f>
        <v/>
      </c>
      <c r="C299">
        <f>IF($AH299="","",INDEX('Per Line'!$A$2:$A$1601,$AH299)&amp;"")</f>
        <v/>
      </c>
      <c r="D299">
        <f>IF($AH299="","",INDEX('Per Line'!$B$2:$B$1601,$AH299))</f>
        <v/>
      </c>
      <c r="E299">
        <f>IF($AH299="","",INDEX('Per Line'!$C$2:$C$1601,$AH299)&amp;"")</f>
        <v/>
      </c>
      <c r="F299">
        <f>IF($AH299="","",INDEX('Per Line'!$E$2:$E$1601,$AH299)&amp;"")</f>
        <v/>
      </c>
      <c r="G299" s="11">
        <f>IF($AH299="","",INDEX('Per Line'!$F$2:$F$1601,$AH299))</f>
        <v/>
      </c>
      <c r="H299">
        <f>IF($AH299="","",INDEX('Per Line'!$G$2:$G$1601,$AH299)&amp;"")</f>
        <v/>
      </c>
      <c r="I299">
        <f>IF($AH299="","",INDEX('Per Line'!$I$2:$I$1601,$AH299)&amp;"")</f>
        <v/>
      </c>
      <c r="J299">
        <f>IF($AH299="","",INDEX('Per Line'!$J$2:$J$1601,$AH299)&amp;"")</f>
        <v/>
      </c>
      <c r="K299">
        <f>IF($AH299="","",INDEX('Per Line'!$K$2:$K$1601,$AH299)&amp;"")</f>
        <v/>
      </c>
      <c r="L299">
        <f>IF($AH299="","",INDEX('Per Line'!$L$2:$L$1601,$AH299)&amp;"")</f>
        <v/>
      </c>
      <c r="M299">
        <f>IF($AH299="","",INDEX('Per Line'!$M$2:$M$1601,$AH299))</f>
        <v/>
      </c>
      <c r="N299" s="7">
        <f>IF($AH299="","",M299*AE299/100)</f>
        <v/>
      </c>
      <c r="O299">
        <f>IF($AH299="","",INDEX('Per Line'!$Z$2:$Z$1601,$AH299)&amp;"")</f>
        <v/>
      </c>
      <c r="P299">
        <f>IF($AH299="","",INDEX('Per Line'!$AC$2:$AC$1601,$AH299)&amp;"")</f>
        <v/>
      </c>
      <c r="Q299">
        <f>IF($AH299="","",INDEX('Per Line'!$AD$2:$AD$1601,$AH299))</f>
        <v/>
      </c>
      <c r="R299">
        <f>IF($AH299="","",IF(AND(ISNUMBER(Q299),Q299&gt;0),AF299&gt;Q299,FALSE))</f>
        <v/>
      </c>
      <c r="S299">
        <f>IF($AH299="","",INDEX('Per Line'!$AH$2:$AH$1601,$AH299)&amp;"")</f>
        <v/>
      </c>
      <c r="T299" s="11">
        <f>IF($AH299="","",INDEX('Per Line'!$AI$2:$AI$1601,$AH299))</f>
        <v/>
      </c>
      <c r="U299">
        <f>IF($AH299="","",Settings!$C$8)</f>
        <v/>
      </c>
      <c r="V299" s="7">
        <f>IF($AH299="","",SUMIFS('Per Line'!$V$2:$V$1601,'Per Line'!$D$2:$D$1601,$B299,'Per Line'!$AN$2:$AN$1601,1))</f>
        <v/>
      </c>
      <c r="W299" s="7">
        <f>IF($AH299="","",V299*U299)</f>
        <v/>
      </c>
      <c r="X299">
        <f>IF($AH299="","",Settings!$C$7)</f>
        <v/>
      </c>
      <c r="Y299" s="7">
        <f>IF($AH299="","",SUMIFS('Per Line'!$V$2:$V$1601,'Per Line'!$D$2:$D$1601,$B299,'Per Line'!$AM$2:$AM$1601,0,'Per Line'!$AN$2:$AN$1601,0))</f>
        <v/>
      </c>
      <c r="Z299" s="7">
        <f>IF($AH299="","",Y299*X299)</f>
        <v/>
      </c>
      <c r="AA299">
        <f>IF($AH299="","",Settings!$C$6)</f>
        <v/>
      </c>
      <c r="AB299" s="7">
        <f>IF($AH299="","",SUMIFS('Per Line'!$V$2:$V$1601,'Per Line'!$D$2:$D$1601,$B299,'Per Line'!$AM$2:$AM$1601,1,'Per Line'!$AN$2:$AN$1601,0))</f>
        <v/>
      </c>
      <c r="AC299" s="7">
        <f>IF($AH299="","",AB299*AA299)</f>
        <v/>
      </c>
      <c r="AD299" s="7">
        <f>IF($AH299="","",AC299+Z299+W299)</f>
        <v/>
      </c>
      <c r="AE299" s="7">
        <f>IF($AH299="","",AF299-AD299)</f>
        <v/>
      </c>
      <c r="AF299" s="7">
        <f>IF($AH299="","",Y299+AB299+V299)</f>
        <v/>
      </c>
      <c r="AG299" s="7">
        <f>IF($AH299="","",AF299-AD299-N299)</f>
        <v/>
      </c>
      <c r="AH299" s="13">
        <f>IF(ROWS($AH$2:$AH299)&lt;=MAX('Per Line'!$AL$2:$AL$1601),MATCH(ROWS($AH$2:$AH299),'Per Line'!$AL$2:$AL$1601,0),"")</f>
        <v/>
      </c>
    </row>
    <row r="300">
      <c r="A300" s="12" t="n"/>
      <c r="B300">
        <f>IF($AH300="","",INDEX('Per Line'!$D$2:$D$1601,$AH300)&amp;"")</f>
        <v/>
      </c>
      <c r="C300">
        <f>IF($AH300="","",INDEX('Per Line'!$A$2:$A$1601,$AH300)&amp;"")</f>
        <v/>
      </c>
      <c r="D300">
        <f>IF($AH300="","",INDEX('Per Line'!$B$2:$B$1601,$AH300))</f>
        <v/>
      </c>
      <c r="E300">
        <f>IF($AH300="","",INDEX('Per Line'!$C$2:$C$1601,$AH300)&amp;"")</f>
        <v/>
      </c>
      <c r="F300">
        <f>IF($AH300="","",INDEX('Per Line'!$E$2:$E$1601,$AH300)&amp;"")</f>
        <v/>
      </c>
      <c r="G300" s="11">
        <f>IF($AH300="","",INDEX('Per Line'!$F$2:$F$1601,$AH300))</f>
        <v/>
      </c>
      <c r="H300">
        <f>IF($AH300="","",INDEX('Per Line'!$G$2:$G$1601,$AH300)&amp;"")</f>
        <v/>
      </c>
      <c r="I300">
        <f>IF($AH300="","",INDEX('Per Line'!$I$2:$I$1601,$AH300)&amp;"")</f>
        <v/>
      </c>
      <c r="J300">
        <f>IF($AH300="","",INDEX('Per Line'!$J$2:$J$1601,$AH300)&amp;"")</f>
        <v/>
      </c>
      <c r="K300">
        <f>IF($AH300="","",INDEX('Per Line'!$K$2:$K$1601,$AH300)&amp;"")</f>
        <v/>
      </c>
      <c r="L300">
        <f>IF($AH300="","",INDEX('Per Line'!$L$2:$L$1601,$AH300)&amp;"")</f>
        <v/>
      </c>
      <c r="M300">
        <f>IF($AH300="","",INDEX('Per Line'!$M$2:$M$1601,$AH300))</f>
        <v/>
      </c>
      <c r="N300" s="7">
        <f>IF($AH300="","",M300*AE300/100)</f>
        <v/>
      </c>
      <c r="O300">
        <f>IF($AH300="","",INDEX('Per Line'!$Z$2:$Z$1601,$AH300)&amp;"")</f>
        <v/>
      </c>
      <c r="P300">
        <f>IF($AH300="","",INDEX('Per Line'!$AC$2:$AC$1601,$AH300)&amp;"")</f>
        <v/>
      </c>
      <c r="Q300">
        <f>IF($AH300="","",INDEX('Per Line'!$AD$2:$AD$1601,$AH300))</f>
        <v/>
      </c>
      <c r="R300">
        <f>IF($AH300="","",IF(AND(ISNUMBER(Q300),Q300&gt;0),AF300&gt;Q300,FALSE))</f>
        <v/>
      </c>
      <c r="S300">
        <f>IF($AH300="","",INDEX('Per Line'!$AH$2:$AH$1601,$AH300)&amp;"")</f>
        <v/>
      </c>
      <c r="T300" s="11">
        <f>IF($AH300="","",INDEX('Per Line'!$AI$2:$AI$1601,$AH300))</f>
        <v/>
      </c>
      <c r="U300">
        <f>IF($AH300="","",Settings!$C$8)</f>
        <v/>
      </c>
      <c r="V300" s="7">
        <f>IF($AH300="","",SUMIFS('Per Line'!$V$2:$V$1601,'Per Line'!$D$2:$D$1601,$B300,'Per Line'!$AN$2:$AN$1601,1))</f>
        <v/>
      </c>
      <c r="W300" s="7">
        <f>IF($AH300="","",V300*U300)</f>
        <v/>
      </c>
      <c r="X300">
        <f>IF($AH300="","",Settings!$C$7)</f>
        <v/>
      </c>
      <c r="Y300" s="7">
        <f>IF($AH300="","",SUMIFS('Per Line'!$V$2:$V$1601,'Per Line'!$D$2:$D$1601,$B300,'Per Line'!$AM$2:$AM$1601,0,'Per Line'!$AN$2:$AN$1601,0))</f>
        <v/>
      </c>
      <c r="Z300" s="7">
        <f>IF($AH300="","",Y300*X300)</f>
        <v/>
      </c>
      <c r="AA300">
        <f>IF($AH300="","",Settings!$C$6)</f>
        <v/>
      </c>
      <c r="AB300" s="7">
        <f>IF($AH300="","",SUMIFS('Per Line'!$V$2:$V$1601,'Per Line'!$D$2:$D$1601,$B300,'Per Line'!$AM$2:$AM$1601,1,'Per Line'!$AN$2:$AN$1601,0))</f>
        <v/>
      </c>
      <c r="AC300" s="7">
        <f>IF($AH300="","",AB300*AA300)</f>
        <v/>
      </c>
      <c r="AD300" s="7">
        <f>IF($AH300="","",AC300+Z300+W300)</f>
        <v/>
      </c>
      <c r="AE300" s="7">
        <f>IF($AH300="","",AF300-AD300)</f>
        <v/>
      </c>
      <c r="AF300" s="7">
        <f>IF($AH300="","",Y300+AB300+V300)</f>
        <v/>
      </c>
      <c r="AG300" s="7">
        <f>IF($AH300="","",AF300-AD300-N300)</f>
        <v/>
      </c>
      <c r="AH300" s="13">
        <f>IF(ROWS($AH$2:$AH300)&lt;=MAX('Per Line'!$AL$2:$AL$1601),MATCH(ROWS($AH$2:$AH300),'Per Line'!$AL$2:$AL$1601,0),"")</f>
        <v/>
      </c>
    </row>
    <row r="301">
      <c r="A301" s="12" t="n"/>
      <c r="B301">
        <f>IF($AH301="","",INDEX('Per Line'!$D$2:$D$1601,$AH301)&amp;"")</f>
        <v/>
      </c>
      <c r="C301">
        <f>IF($AH301="","",INDEX('Per Line'!$A$2:$A$1601,$AH301)&amp;"")</f>
        <v/>
      </c>
      <c r="D301">
        <f>IF($AH301="","",INDEX('Per Line'!$B$2:$B$1601,$AH301))</f>
        <v/>
      </c>
      <c r="E301">
        <f>IF($AH301="","",INDEX('Per Line'!$C$2:$C$1601,$AH301)&amp;"")</f>
        <v/>
      </c>
      <c r="F301">
        <f>IF($AH301="","",INDEX('Per Line'!$E$2:$E$1601,$AH301)&amp;"")</f>
        <v/>
      </c>
      <c r="G301" s="11">
        <f>IF($AH301="","",INDEX('Per Line'!$F$2:$F$1601,$AH301))</f>
        <v/>
      </c>
      <c r="H301">
        <f>IF($AH301="","",INDEX('Per Line'!$G$2:$G$1601,$AH301)&amp;"")</f>
        <v/>
      </c>
      <c r="I301">
        <f>IF($AH301="","",INDEX('Per Line'!$I$2:$I$1601,$AH301)&amp;"")</f>
        <v/>
      </c>
      <c r="J301">
        <f>IF($AH301="","",INDEX('Per Line'!$J$2:$J$1601,$AH301)&amp;"")</f>
        <v/>
      </c>
      <c r="K301">
        <f>IF($AH301="","",INDEX('Per Line'!$K$2:$K$1601,$AH301)&amp;"")</f>
        <v/>
      </c>
      <c r="L301">
        <f>IF($AH301="","",INDEX('Per Line'!$L$2:$L$1601,$AH301)&amp;"")</f>
        <v/>
      </c>
      <c r="M301">
        <f>IF($AH301="","",INDEX('Per Line'!$M$2:$M$1601,$AH301))</f>
        <v/>
      </c>
      <c r="N301" s="7">
        <f>IF($AH301="","",M301*AE301/100)</f>
        <v/>
      </c>
      <c r="O301">
        <f>IF($AH301="","",INDEX('Per Line'!$Z$2:$Z$1601,$AH301)&amp;"")</f>
        <v/>
      </c>
      <c r="P301">
        <f>IF($AH301="","",INDEX('Per Line'!$AC$2:$AC$1601,$AH301)&amp;"")</f>
        <v/>
      </c>
      <c r="Q301">
        <f>IF($AH301="","",INDEX('Per Line'!$AD$2:$AD$1601,$AH301))</f>
        <v/>
      </c>
      <c r="R301">
        <f>IF($AH301="","",IF(AND(ISNUMBER(Q301),Q301&gt;0),AF301&gt;Q301,FALSE))</f>
        <v/>
      </c>
      <c r="S301">
        <f>IF($AH301="","",INDEX('Per Line'!$AH$2:$AH$1601,$AH301)&amp;"")</f>
        <v/>
      </c>
      <c r="T301" s="11">
        <f>IF($AH301="","",INDEX('Per Line'!$AI$2:$AI$1601,$AH301))</f>
        <v/>
      </c>
      <c r="U301">
        <f>IF($AH301="","",Settings!$C$8)</f>
        <v/>
      </c>
      <c r="V301" s="7">
        <f>IF($AH301="","",SUMIFS('Per Line'!$V$2:$V$1601,'Per Line'!$D$2:$D$1601,$B301,'Per Line'!$AN$2:$AN$1601,1))</f>
        <v/>
      </c>
      <c r="W301" s="7">
        <f>IF($AH301="","",V301*U301)</f>
        <v/>
      </c>
      <c r="X301">
        <f>IF($AH301="","",Settings!$C$7)</f>
        <v/>
      </c>
      <c r="Y301" s="7">
        <f>IF($AH301="","",SUMIFS('Per Line'!$V$2:$V$1601,'Per Line'!$D$2:$D$1601,$B301,'Per Line'!$AM$2:$AM$1601,0,'Per Line'!$AN$2:$AN$1601,0))</f>
        <v/>
      </c>
      <c r="Z301" s="7">
        <f>IF($AH301="","",Y301*X301)</f>
        <v/>
      </c>
      <c r="AA301">
        <f>IF($AH301="","",Settings!$C$6)</f>
        <v/>
      </c>
      <c r="AB301" s="7">
        <f>IF($AH301="","",SUMIFS('Per Line'!$V$2:$V$1601,'Per Line'!$D$2:$D$1601,$B301,'Per Line'!$AM$2:$AM$1601,1,'Per Line'!$AN$2:$AN$1601,0))</f>
        <v/>
      </c>
      <c r="AC301" s="7">
        <f>IF($AH301="","",AB301*AA301)</f>
        <v/>
      </c>
      <c r="AD301" s="7">
        <f>IF($AH301="","",AC301+Z301+W301)</f>
        <v/>
      </c>
      <c r="AE301" s="7">
        <f>IF($AH301="","",AF301-AD301)</f>
        <v/>
      </c>
      <c r="AF301" s="7">
        <f>IF($AH301="","",Y301+AB301+V301)</f>
        <v/>
      </c>
      <c r="AG301" s="7">
        <f>IF($AH301="","",AF301-AD301-N301)</f>
        <v/>
      </c>
      <c r="AH301" s="13">
        <f>IF(ROWS($AH$2:$AH301)&lt;=MAX('Per Line'!$AL$2:$AL$1601),MATCH(ROWS($AH$2:$AH301),'Per Line'!$AL$2:$AL$1601,0),"")</f>
        <v/>
      </c>
    </row>
    <row r="302">
      <c r="A302" s="12" t="n"/>
      <c r="B302">
        <f>IF($AH302="","",INDEX('Per Line'!$D$2:$D$1601,$AH302)&amp;"")</f>
        <v/>
      </c>
      <c r="C302">
        <f>IF($AH302="","",INDEX('Per Line'!$A$2:$A$1601,$AH302)&amp;"")</f>
        <v/>
      </c>
      <c r="D302">
        <f>IF($AH302="","",INDEX('Per Line'!$B$2:$B$1601,$AH302))</f>
        <v/>
      </c>
      <c r="E302">
        <f>IF($AH302="","",INDEX('Per Line'!$C$2:$C$1601,$AH302)&amp;"")</f>
        <v/>
      </c>
      <c r="F302">
        <f>IF($AH302="","",INDEX('Per Line'!$E$2:$E$1601,$AH302)&amp;"")</f>
        <v/>
      </c>
      <c r="G302" s="11">
        <f>IF($AH302="","",INDEX('Per Line'!$F$2:$F$1601,$AH302))</f>
        <v/>
      </c>
      <c r="H302">
        <f>IF($AH302="","",INDEX('Per Line'!$G$2:$G$1601,$AH302)&amp;"")</f>
        <v/>
      </c>
      <c r="I302">
        <f>IF($AH302="","",INDEX('Per Line'!$I$2:$I$1601,$AH302)&amp;"")</f>
        <v/>
      </c>
      <c r="J302">
        <f>IF($AH302="","",INDEX('Per Line'!$J$2:$J$1601,$AH302)&amp;"")</f>
        <v/>
      </c>
      <c r="K302">
        <f>IF($AH302="","",INDEX('Per Line'!$K$2:$K$1601,$AH302)&amp;"")</f>
        <v/>
      </c>
      <c r="L302">
        <f>IF($AH302="","",INDEX('Per Line'!$L$2:$L$1601,$AH302)&amp;"")</f>
        <v/>
      </c>
      <c r="M302">
        <f>IF($AH302="","",INDEX('Per Line'!$M$2:$M$1601,$AH302))</f>
        <v/>
      </c>
      <c r="N302" s="7">
        <f>IF($AH302="","",M302*AE302/100)</f>
        <v/>
      </c>
      <c r="O302">
        <f>IF($AH302="","",INDEX('Per Line'!$Z$2:$Z$1601,$AH302)&amp;"")</f>
        <v/>
      </c>
      <c r="P302">
        <f>IF($AH302="","",INDEX('Per Line'!$AC$2:$AC$1601,$AH302)&amp;"")</f>
        <v/>
      </c>
      <c r="Q302">
        <f>IF($AH302="","",INDEX('Per Line'!$AD$2:$AD$1601,$AH302))</f>
        <v/>
      </c>
      <c r="R302">
        <f>IF($AH302="","",IF(AND(ISNUMBER(Q302),Q302&gt;0),AF302&gt;Q302,FALSE))</f>
        <v/>
      </c>
      <c r="S302">
        <f>IF($AH302="","",INDEX('Per Line'!$AH$2:$AH$1601,$AH302)&amp;"")</f>
        <v/>
      </c>
      <c r="T302" s="11">
        <f>IF($AH302="","",INDEX('Per Line'!$AI$2:$AI$1601,$AH302))</f>
        <v/>
      </c>
      <c r="U302">
        <f>IF($AH302="","",Settings!$C$8)</f>
        <v/>
      </c>
      <c r="V302" s="7">
        <f>IF($AH302="","",SUMIFS('Per Line'!$V$2:$V$1601,'Per Line'!$D$2:$D$1601,$B302,'Per Line'!$AN$2:$AN$1601,1))</f>
        <v/>
      </c>
      <c r="W302" s="7">
        <f>IF($AH302="","",V302*U302)</f>
        <v/>
      </c>
      <c r="X302">
        <f>IF($AH302="","",Settings!$C$7)</f>
        <v/>
      </c>
      <c r="Y302" s="7">
        <f>IF($AH302="","",SUMIFS('Per Line'!$V$2:$V$1601,'Per Line'!$D$2:$D$1601,$B302,'Per Line'!$AM$2:$AM$1601,0,'Per Line'!$AN$2:$AN$1601,0))</f>
        <v/>
      </c>
      <c r="Z302" s="7">
        <f>IF($AH302="","",Y302*X302)</f>
        <v/>
      </c>
      <c r="AA302">
        <f>IF($AH302="","",Settings!$C$6)</f>
        <v/>
      </c>
      <c r="AB302" s="7">
        <f>IF($AH302="","",SUMIFS('Per Line'!$V$2:$V$1601,'Per Line'!$D$2:$D$1601,$B302,'Per Line'!$AM$2:$AM$1601,1,'Per Line'!$AN$2:$AN$1601,0))</f>
        <v/>
      </c>
      <c r="AC302" s="7">
        <f>IF($AH302="","",AB302*AA302)</f>
        <v/>
      </c>
      <c r="AD302" s="7">
        <f>IF($AH302="","",AC302+Z302+W302)</f>
        <v/>
      </c>
      <c r="AE302" s="7">
        <f>IF($AH302="","",AF302-AD302)</f>
        <v/>
      </c>
      <c r="AF302" s="7">
        <f>IF($AH302="","",Y302+AB302+V302)</f>
        <v/>
      </c>
      <c r="AG302" s="7">
        <f>IF($AH302="","",AF302-AD302-N302)</f>
        <v/>
      </c>
      <c r="AH302" s="13">
        <f>IF(ROWS($AH$2:$AH302)&lt;=MAX('Per Line'!$AL$2:$AL$1601),MATCH(ROWS($AH$2:$AH302),'Per Line'!$AL$2:$AL$1601,0),"")</f>
        <v/>
      </c>
    </row>
    <row r="303">
      <c r="A303" s="12" t="n"/>
      <c r="B303">
        <f>IF($AH303="","",INDEX('Per Line'!$D$2:$D$1601,$AH303)&amp;"")</f>
        <v/>
      </c>
      <c r="C303">
        <f>IF($AH303="","",INDEX('Per Line'!$A$2:$A$1601,$AH303)&amp;"")</f>
        <v/>
      </c>
      <c r="D303">
        <f>IF($AH303="","",INDEX('Per Line'!$B$2:$B$1601,$AH303))</f>
        <v/>
      </c>
      <c r="E303">
        <f>IF($AH303="","",INDEX('Per Line'!$C$2:$C$1601,$AH303)&amp;"")</f>
        <v/>
      </c>
      <c r="F303">
        <f>IF($AH303="","",INDEX('Per Line'!$E$2:$E$1601,$AH303)&amp;"")</f>
        <v/>
      </c>
      <c r="G303" s="11">
        <f>IF($AH303="","",INDEX('Per Line'!$F$2:$F$1601,$AH303))</f>
        <v/>
      </c>
      <c r="H303">
        <f>IF($AH303="","",INDEX('Per Line'!$G$2:$G$1601,$AH303)&amp;"")</f>
        <v/>
      </c>
      <c r="I303">
        <f>IF($AH303="","",INDEX('Per Line'!$I$2:$I$1601,$AH303)&amp;"")</f>
        <v/>
      </c>
      <c r="J303">
        <f>IF($AH303="","",INDEX('Per Line'!$J$2:$J$1601,$AH303)&amp;"")</f>
        <v/>
      </c>
      <c r="K303">
        <f>IF($AH303="","",INDEX('Per Line'!$K$2:$K$1601,$AH303)&amp;"")</f>
        <v/>
      </c>
      <c r="L303">
        <f>IF($AH303="","",INDEX('Per Line'!$L$2:$L$1601,$AH303)&amp;"")</f>
        <v/>
      </c>
      <c r="M303">
        <f>IF($AH303="","",INDEX('Per Line'!$M$2:$M$1601,$AH303))</f>
        <v/>
      </c>
      <c r="N303" s="7">
        <f>IF($AH303="","",M303*AE303/100)</f>
        <v/>
      </c>
      <c r="O303">
        <f>IF($AH303="","",INDEX('Per Line'!$Z$2:$Z$1601,$AH303)&amp;"")</f>
        <v/>
      </c>
      <c r="P303">
        <f>IF($AH303="","",INDEX('Per Line'!$AC$2:$AC$1601,$AH303)&amp;"")</f>
        <v/>
      </c>
      <c r="Q303">
        <f>IF($AH303="","",INDEX('Per Line'!$AD$2:$AD$1601,$AH303))</f>
        <v/>
      </c>
      <c r="R303">
        <f>IF($AH303="","",IF(AND(ISNUMBER(Q303),Q303&gt;0),AF303&gt;Q303,FALSE))</f>
        <v/>
      </c>
      <c r="S303">
        <f>IF($AH303="","",INDEX('Per Line'!$AH$2:$AH$1601,$AH303)&amp;"")</f>
        <v/>
      </c>
      <c r="T303" s="11">
        <f>IF($AH303="","",INDEX('Per Line'!$AI$2:$AI$1601,$AH303))</f>
        <v/>
      </c>
      <c r="U303">
        <f>IF($AH303="","",Settings!$C$8)</f>
        <v/>
      </c>
      <c r="V303" s="7">
        <f>IF($AH303="","",SUMIFS('Per Line'!$V$2:$V$1601,'Per Line'!$D$2:$D$1601,$B303,'Per Line'!$AN$2:$AN$1601,1))</f>
        <v/>
      </c>
      <c r="W303" s="7">
        <f>IF($AH303="","",V303*U303)</f>
        <v/>
      </c>
      <c r="X303">
        <f>IF($AH303="","",Settings!$C$7)</f>
        <v/>
      </c>
      <c r="Y303" s="7">
        <f>IF($AH303="","",SUMIFS('Per Line'!$V$2:$V$1601,'Per Line'!$D$2:$D$1601,$B303,'Per Line'!$AM$2:$AM$1601,0,'Per Line'!$AN$2:$AN$1601,0))</f>
        <v/>
      </c>
      <c r="Z303" s="7">
        <f>IF($AH303="","",Y303*X303)</f>
        <v/>
      </c>
      <c r="AA303">
        <f>IF($AH303="","",Settings!$C$6)</f>
        <v/>
      </c>
      <c r="AB303" s="7">
        <f>IF($AH303="","",SUMIFS('Per Line'!$V$2:$V$1601,'Per Line'!$D$2:$D$1601,$B303,'Per Line'!$AM$2:$AM$1601,1,'Per Line'!$AN$2:$AN$1601,0))</f>
        <v/>
      </c>
      <c r="AC303" s="7">
        <f>IF($AH303="","",AB303*AA303)</f>
        <v/>
      </c>
      <c r="AD303" s="7">
        <f>IF($AH303="","",AC303+Z303+W303)</f>
        <v/>
      </c>
      <c r="AE303" s="7">
        <f>IF($AH303="","",AF303-AD303)</f>
        <v/>
      </c>
      <c r="AF303" s="7">
        <f>IF($AH303="","",Y303+AB303+V303)</f>
        <v/>
      </c>
      <c r="AG303" s="7">
        <f>IF($AH303="","",AF303-AD303-N303)</f>
        <v/>
      </c>
      <c r="AH303" s="13">
        <f>IF(ROWS($AH$2:$AH303)&lt;=MAX('Per Line'!$AL$2:$AL$1601),MATCH(ROWS($AH$2:$AH303),'Per Line'!$AL$2:$AL$1601,0),"")</f>
        <v/>
      </c>
    </row>
    <row r="304">
      <c r="A304" s="12" t="n"/>
      <c r="B304">
        <f>IF($AH304="","",INDEX('Per Line'!$D$2:$D$1601,$AH304)&amp;"")</f>
        <v/>
      </c>
      <c r="C304">
        <f>IF($AH304="","",INDEX('Per Line'!$A$2:$A$1601,$AH304)&amp;"")</f>
        <v/>
      </c>
      <c r="D304">
        <f>IF($AH304="","",INDEX('Per Line'!$B$2:$B$1601,$AH304))</f>
        <v/>
      </c>
      <c r="E304">
        <f>IF($AH304="","",INDEX('Per Line'!$C$2:$C$1601,$AH304)&amp;"")</f>
        <v/>
      </c>
      <c r="F304">
        <f>IF($AH304="","",INDEX('Per Line'!$E$2:$E$1601,$AH304)&amp;"")</f>
        <v/>
      </c>
      <c r="G304" s="11">
        <f>IF($AH304="","",INDEX('Per Line'!$F$2:$F$1601,$AH304))</f>
        <v/>
      </c>
      <c r="H304">
        <f>IF($AH304="","",INDEX('Per Line'!$G$2:$G$1601,$AH304)&amp;"")</f>
        <v/>
      </c>
      <c r="I304">
        <f>IF($AH304="","",INDEX('Per Line'!$I$2:$I$1601,$AH304)&amp;"")</f>
        <v/>
      </c>
      <c r="J304">
        <f>IF($AH304="","",INDEX('Per Line'!$J$2:$J$1601,$AH304)&amp;"")</f>
        <v/>
      </c>
      <c r="K304">
        <f>IF($AH304="","",INDEX('Per Line'!$K$2:$K$1601,$AH304)&amp;"")</f>
        <v/>
      </c>
      <c r="L304">
        <f>IF($AH304="","",INDEX('Per Line'!$L$2:$L$1601,$AH304)&amp;"")</f>
        <v/>
      </c>
      <c r="M304">
        <f>IF($AH304="","",INDEX('Per Line'!$M$2:$M$1601,$AH304))</f>
        <v/>
      </c>
      <c r="N304" s="7">
        <f>IF($AH304="","",M304*AE304/100)</f>
        <v/>
      </c>
      <c r="O304">
        <f>IF($AH304="","",INDEX('Per Line'!$Z$2:$Z$1601,$AH304)&amp;"")</f>
        <v/>
      </c>
      <c r="P304">
        <f>IF($AH304="","",INDEX('Per Line'!$AC$2:$AC$1601,$AH304)&amp;"")</f>
        <v/>
      </c>
      <c r="Q304">
        <f>IF($AH304="","",INDEX('Per Line'!$AD$2:$AD$1601,$AH304))</f>
        <v/>
      </c>
      <c r="R304">
        <f>IF($AH304="","",IF(AND(ISNUMBER(Q304),Q304&gt;0),AF304&gt;Q304,FALSE))</f>
        <v/>
      </c>
      <c r="S304">
        <f>IF($AH304="","",INDEX('Per Line'!$AH$2:$AH$1601,$AH304)&amp;"")</f>
        <v/>
      </c>
      <c r="T304" s="11">
        <f>IF($AH304="","",INDEX('Per Line'!$AI$2:$AI$1601,$AH304))</f>
        <v/>
      </c>
      <c r="U304">
        <f>IF($AH304="","",Settings!$C$8)</f>
        <v/>
      </c>
      <c r="V304" s="7">
        <f>IF($AH304="","",SUMIFS('Per Line'!$V$2:$V$1601,'Per Line'!$D$2:$D$1601,$B304,'Per Line'!$AN$2:$AN$1601,1))</f>
        <v/>
      </c>
      <c r="W304" s="7">
        <f>IF($AH304="","",V304*U304)</f>
        <v/>
      </c>
      <c r="X304">
        <f>IF($AH304="","",Settings!$C$7)</f>
        <v/>
      </c>
      <c r="Y304" s="7">
        <f>IF($AH304="","",SUMIFS('Per Line'!$V$2:$V$1601,'Per Line'!$D$2:$D$1601,$B304,'Per Line'!$AM$2:$AM$1601,0,'Per Line'!$AN$2:$AN$1601,0))</f>
        <v/>
      </c>
      <c r="Z304" s="7">
        <f>IF($AH304="","",Y304*X304)</f>
        <v/>
      </c>
      <c r="AA304">
        <f>IF($AH304="","",Settings!$C$6)</f>
        <v/>
      </c>
      <c r="AB304" s="7">
        <f>IF($AH304="","",SUMIFS('Per Line'!$V$2:$V$1601,'Per Line'!$D$2:$D$1601,$B304,'Per Line'!$AM$2:$AM$1601,1,'Per Line'!$AN$2:$AN$1601,0))</f>
        <v/>
      </c>
      <c r="AC304" s="7">
        <f>IF($AH304="","",AB304*AA304)</f>
        <v/>
      </c>
      <c r="AD304" s="7">
        <f>IF($AH304="","",AC304+Z304+W304)</f>
        <v/>
      </c>
      <c r="AE304" s="7">
        <f>IF($AH304="","",AF304-AD304)</f>
        <v/>
      </c>
      <c r="AF304" s="7">
        <f>IF($AH304="","",Y304+AB304+V304)</f>
        <v/>
      </c>
      <c r="AG304" s="7">
        <f>IF($AH304="","",AF304-AD304-N304)</f>
        <v/>
      </c>
      <c r="AH304" s="13">
        <f>IF(ROWS($AH$2:$AH304)&lt;=MAX('Per Line'!$AL$2:$AL$1601),MATCH(ROWS($AH$2:$AH304),'Per Line'!$AL$2:$AL$1601,0),"")</f>
        <v/>
      </c>
    </row>
    <row r="305">
      <c r="A305" s="12" t="n"/>
      <c r="B305">
        <f>IF($AH305="","",INDEX('Per Line'!$D$2:$D$1601,$AH305)&amp;"")</f>
        <v/>
      </c>
      <c r="C305">
        <f>IF($AH305="","",INDEX('Per Line'!$A$2:$A$1601,$AH305)&amp;"")</f>
        <v/>
      </c>
      <c r="D305">
        <f>IF($AH305="","",INDEX('Per Line'!$B$2:$B$1601,$AH305))</f>
        <v/>
      </c>
      <c r="E305">
        <f>IF($AH305="","",INDEX('Per Line'!$C$2:$C$1601,$AH305)&amp;"")</f>
        <v/>
      </c>
      <c r="F305">
        <f>IF($AH305="","",INDEX('Per Line'!$E$2:$E$1601,$AH305)&amp;"")</f>
        <v/>
      </c>
      <c r="G305" s="11">
        <f>IF($AH305="","",INDEX('Per Line'!$F$2:$F$1601,$AH305))</f>
        <v/>
      </c>
      <c r="H305">
        <f>IF($AH305="","",INDEX('Per Line'!$G$2:$G$1601,$AH305)&amp;"")</f>
        <v/>
      </c>
      <c r="I305">
        <f>IF($AH305="","",INDEX('Per Line'!$I$2:$I$1601,$AH305)&amp;"")</f>
        <v/>
      </c>
      <c r="J305">
        <f>IF($AH305="","",INDEX('Per Line'!$J$2:$J$1601,$AH305)&amp;"")</f>
        <v/>
      </c>
      <c r="K305">
        <f>IF($AH305="","",INDEX('Per Line'!$K$2:$K$1601,$AH305)&amp;"")</f>
        <v/>
      </c>
      <c r="L305">
        <f>IF($AH305="","",INDEX('Per Line'!$L$2:$L$1601,$AH305)&amp;"")</f>
        <v/>
      </c>
      <c r="M305">
        <f>IF($AH305="","",INDEX('Per Line'!$M$2:$M$1601,$AH305))</f>
        <v/>
      </c>
      <c r="N305" s="7">
        <f>IF($AH305="","",M305*AE305/100)</f>
        <v/>
      </c>
      <c r="O305">
        <f>IF($AH305="","",INDEX('Per Line'!$Z$2:$Z$1601,$AH305)&amp;"")</f>
        <v/>
      </c>
      <c r="P305">
        <f>IF($AH305="","",INDEX('Per Line'!$AC$2:$AC$1601,$AH305)&amp;"")</f>
        <v/>
      </c>
      <c r="Q305">
        <f>IF($AH305="","",INDEX('Per Line'!$AD$2:$AD$1601,$AH305))</f>
        <v/>
      </c>
      <c r="R305">
        <f>IF($AH305="","",IF(AND(ISNUMBER(Q305),Q305&gt;0),AF305&gt;Q305,FALSE))</f>
        <v/>
      </c>
      <c r="S305">
        <f>IF($AH305="","",INDEX('Per Line'!$AH$2:$AH$1601,$AH305)&amp;"")</f>
        <v/>
      </c>
      <c r="T305" s="11">
        <f>IF($AH305="","",INDEX('Per Line'!$AI$2:$AI$1601,$AH305))</f>
        <v/>
      </c>
      <c r="U305">
        <f>IF($AH305="","",Settings!$C$8)</f>
        <v/>
      </c>
      <c r="V305" s="7">
        <f>IF($AH305="","",SUMIFS('Per Line'!$V$2:$V$1601,'Per Line'!$D$2:$D$1601,$B305,'Per Line'!$AN$2:$AN$1601,1))</f>
        <v/>
      </c>
      <c r="W305" s="7">
        <f>IF($AH305="","",V305*U305)</f>
        <v/>
      </c>
      <c r="X305">
        <f>IF($AH305="","",Settings!$C$7)</f>
        <v/>
      </c>
      <c r="Y305" s="7">
        <f>IF($AH305="","",SUMIFS('Per Line'!$V$2:$V$1601,'Per Line'!$D$2:$D$1601,$B305,'Per Line'!$AM$2:$AM$1601,0,'Per Line'!$AN$2:$AN$1601,0))</f>
        <v/>
      </c>
      <c r="Z305" s="7">
        <f>IF($AH305="","",Y305*X305)</f>
        <v/>
      </c>
      <c r="AA305">
        <f>IF($AH305="","",Settings!$C$6)</f>
        <v/>
      </c>
      <c r="AB305" s="7">
        <f>IF($AH305="","",SUMIFS('Per Line'!$V$2:$V$1601,'Per Line'!$D$2:$D$1601,$B305,'Per Line'!$AM$2:$AM$1601,1,'Per Line'!$AN$2:$AN$1601,0))</f>
        <v/>
      </c>
      <c r="AC305" s="7">
        <f>IF($AH305="","",AB305*AA305)</f>
        <v/>
      </c>
      <c r="AD305" s="7">
        <f>IF($AH305="","",AC305+Z305+W305)</f>
        <v/>
      </c>
      <c r="AE305" s="7">
        <f>IF($AH305="","",AF305-AD305)</f>
        <v/>
      </c>
      <c r="AF305" s="7">
        <f>IF($AH305="","",Y305+AB305+V305)</f>
        <v/>
      </c>
      <c r="AG305" s="7">
        <f>IF($AH305="","",AF305-AD305-N305)</f>
        <v/>
      </c>
      <c r="AH305" s="13">
        <f>IF(ROWS($AH$2:$AH305)&lt;=MAX('Per Line'!$AL$2:$AL$1601),MATCH(ROWS($AH$2:$AH305),'Per Line'!$AL$2:$AL$1601,0),"")</f>
        <v/>
      </c>
    </row>
    <row r="306">
      <c r="A306" s="12" t="n"/>
      <c r="B306">
        <f>IF($AH306="","",INDEX('Per Line'!$D$2:$D$1601,$AH306)&amp;"")</f>
        <v/>
      </c>
      <c r="C306">
        <f>IF($AH306="","",INDEX('Per Line'!$A$2:$A$1601,$AH306)&amp;"")</f>
        <v/>
      </c>
      <c r="D306">
        <f>IF($AH306="","",INDEX('Per Line'!$B$2:$B$1601,$AH306))</f>
        <v/>
      </c>
      <c r="E306">
        <f>IF($AH306="","",INDEX('Per Line'!$C$2:$C$1601,$AH306)&amp;"")</f>
        <v/>
      </c>
      <c r="F306">
        <f>IF($AH306="","",INDEX('Per Line'!$E$2:$E$1601,$AH306)&amp;"")</f>
        <v/>
      </c>
      <c r="G306" s="11">
        <f>IF($AH306="","",INDEX('Per Line'!$F$2:$F$1601,$AH306))</f>
        <v/>
      </c>
      <c r="H306">
        <f>IF($AH306="","",INDEX('Per Line'!$G$2:$G$1601,$AH306)&amp;"")</f>
        <v/>
      </c>
      <c r="I306">
        <f>IF($AH306="","",INDEX('Per Line'!$I$2:$I$1601,$AH306)&amp;"")</f>
        <v/>
      </c>
      <c r="J306">
        <f>IF($AH306="","",INDEX('Per Line'!$J$2:$J$1601,$AH306)&amp;"")</f>
        <v/>
      </c>
      <c r="K306">
        <f>IF($AH306="","",INDEX('Per Line'!$K$2:$K$1601,$AH306)&amp;"")</f>
        <v/>
      </c>
      <c r="L306">
        <f>IF($AH306="","",INDEX('Per Line'!$L$2:$L$1601,$AH306)&amp;"")</f>
        <v/>
      </c>
      <c r="M306">
        <f>IF($AH306="","",INDEX('Per Line'!$M$2:$M$1601,$AH306))</f>
        <v/>
      </c>
      <c r="N306" s="7">
        <f>IF($AH306="","",M306*AE306/100)</f>
        <v/>
      </c>
      <c r="O306">
        <f>IF($AH306="","",INDEX('Per Line'!$Z$2:$Z$1601,$AH306)&amp;"")</f>
        <v/>
      </c>
      <c r="P306">
        <f>IF($AH306="","",INDEX('Per Line'!$AC$2:$AC$1601,$AH306)&amp;"")</f>
        <v/>
      </c>
      <c r="Q306">
        <f>IF($AH306="","",INDEX('Per Line'!$AD$2:$AD$1601,$AH306))</f>
        <v/>
      </c>
      <c r="R306">
        <f>IF($AH306="","",IF(AND(ISNUMBER(Q306),Q306&gt;0),AF306&gt;Q306,FALSE))</f>
        <v/>
      </c>
      <c r="S306">
        <f>IF($AH306="","",INDEX('Per Line'!$AH$2:$AH$1601,$AH306)&amp;"")</f>
        <v/>
      </c>
      <c r="T306" s="11">
        <f>IF($AH306="","",INDEX('Per Line'!$AI$2:$AI$1601,$AH306))</f>
        <v/>
      </c>
      <c r="U306">
        <f>IF($AH306="","",Settings!$C$8)</f>
        <v/>
      </c>
      <c r="V306" s="7">
        <f>IF($AH306="","",SUMIFS('Per Line'!$V$2:$V$1601,'Per Line'!$D$2:$D$1601,$B306,'Per Line'!$AN$2:$AN$1601,1))</f>
        <v/>
      </c>
      <c r="W306" s="7">
        <f>IF($AH306="","",V306*U306)</f>
        <v/>
      </c>
      <c r="X306">
        <f>IF($AH306="","",Settings!$C$7)</f>
        <v/>
      </c>
      <c r="Y306" s="7">
        <f>IF($AH306="","",SUMIFS('Per Line'!$V$2:$V$1601,'Per Line'!$D$2:$D$1601,$B306,'Per Line'!$AM$2:$AM$1601,0,'Per Line'!$AN$2:$AN$1601,0))</f>
        <v/>
      </c>
      <c r="Z306" s="7">
        <f>IF($AH306="","",Y306*X306)</f>
        <v/>
      </c>
      <c r="AA306">
        <f>IF($AH306="","",Settings!$C$6)</f>
        <v/>
      </c>
      <c r="AB306" s="7">
        <f>IF($AH306="","",SUMIFS('Per Line'!$V$2:$V$1601,'Per Line'!$D$2:$D$1601,$B306,'Per Line'!$AM$2:$AM$1601,1,'Per Line'!$AN$2:$AN$1601,0))</f>
        <v/>
      </c>
      <c r="AC306" s="7">
        <f>IF($AH306="","",AB306*AA306)</f>
        <v/>
      </c>
      <c r="AD306" s="7">
        <f>IF($AH306="","",AC306+Z306+W306)</f>
        <v/>
      </c>
      <c r="AE306" s="7">
        <f>IF($AH306="","",AF306-AD306)</f>
        <v/>
      </c>
      <c r="AF306" s="7">
        <f>IF($AH306="","",Y306+AB306+V306)</f>
        <v/>
      </c>
      <c r="AG306" s="7">
        <f>IF($AH306="","",AF306-AD306-N306)</f>
        <v/>
      </c>
      <c r="AH306" s="13">
        <f>IF(ROWS($AH$2:$AH306)&lt;=MAX('Per Line'!$AL$2:$AL$1601),MATCH(ROWS($AH$2:$AH306),'Per Line'!$AL$2:$AL$1601,0),"")</f>
        <v/>
      </c>
    </row>
    <row r="307">
      <c r="A307" s="12" t="n"/>
      <c r="B307">
        <f>IF($AH307="","",INDEX('Per Line'!$D$2:$D$1601,$AH307)&amp;"")</f>
        <v/>
      </c>
      <c r="C307">
        <f>IF($AH307="","",INDEX('Per Line'!$A$2:$A$1601,$AH307)&amp;"")</f>
        <v/>
      </c>
      <c r="D307">
        <f>IF($AH307="","",INDEX('Per Line'!$B$2:$B$1601,$AH307))</f>
        <v/>
      </c>
      <c r="E307">
        <f>IF($AH307="","",INDEX('Per Line'!$C$2:$C$1601,$AH307)&amp;"")</f>
        <v/>
      </c>
      <c r="F307">
        <f>IF($AH307="","",INDEX('Per Line'!$E$2:$E$1601,$AH307)&amp;"")</f>
        <v/>
      </c>
      <c r="G307" s="11">
        <f>IF($AH307="","",INDEX('Per Line'!$F$2:$F$1601,$AH307))</f>
        <v/>
      </c>
      <c r="H307">
        <f>IF($AH307="","",INDEX('Per Line'!$G$2:$G$1601,$AH307)&amp;"")</f>
        <v/>
      </c>
      <c r="I307">
        <f>IF($AH307="","",INDEX('Per Line'!$I$2:$I$1601,$AH307)&amp;"")</f>
        <v/>
      </c>
      <c r="J307">
        <f>IF($AH307="","",INDEX('Per Line'!$J$2:$J$1601,$AH307)&amp;"")</f>
        <v/>
      </c>
      <c r="K307">
        <f>IF($AH307="","",INDEX('Per Line'!$K$2:$K$1601,$AH307)&amp;"")</f>
        <v/>
      </c>
      <c r="L307">
        <f>IF($AH307="","",INDEX('Per Line'!$L$2:$L$1601,$AH307)&amp;"")</f>
        <v/>
      </c>
      <c r="M307">
        <f>IF($AH307="","",INDEX('Per Line'!$M$2:$M$1601,$AH307))</f>
        <v/>
      </c>
      <c r="N307" s="7">
        <f>IF($AH307="","",M307*AE307/100)</f>
        <v/>
      </c>
      <c r="O307">
        <f>IF($AH307="","",INDEX('Per Line'!$Z$2:$Z$1601,$AH307)&amp;"")</f>
        <v/>
      </c>
      <c r="P307">
        <f>IF($AH307="","",INDEX('Per Line'!$AC$2:$AC$1601,$AH307)&amp;"")</f>
        <v/>
      </c>
      <c r="Q307">
        <f>IF($AH307="","",INDEX('Per Line'!$AD$2:$AD$1601,$AH307))</f>
        <v/>
      </c>
      <c r="R307">
        <f>IF($AH307="","",IF(AND(ISNUMBER(Q307),Q307&gt;0),AF307&gt;Q307,FALSE))</f>
        <v/>
      </c>
      <c r="S307">
        <f>IF($AH307="","",INDEX('Per Line'!$AH$2:$AH$1601,$AH307)&amp;"")</f>
        <v/>
      </c>
      <c r="T307" s="11">
        <f>IF($AH307="","",INDEX('Per Line'!$AI$2:$AI$1601,$AH307))</f>
        <v/>
      </c>
      <c r="U307">
        <f>IF($AH307="","",Settings!$C$8)</f>
        <v/>
      </c>
      <c r="V307" s="7">
        <f>IF($AH307="","",SUMIFS('Per Line'!$V$2:$V$1601,'Per Line'!$D$2:$D$1601,$B307,'Per Line'!$AN$2:$AN$1601,1))</f>
        <v/>
      </c>
      <c r="W307" s="7">
        <f>IF($AH307="","",V307*U307)</f>
        <v/>
      </c>
      <c r="X307">
        <f>IF($AH307="","",Settings!$C$7)</f>
        <v/>
      </c>
      <c r="Y307" s="7">
        <f>IF($AH307="","",SUMIFS('Per Line'!$V$2:$V$1601,'Per Line'!$D$2:$D$1601,$B307,'Per Line'!$AM$2:$AM$1601,0,'Per Line'!$AN$2:$AN$1601,0))</f>
        <v/>
      </c>
      <c r="Z307" s="7">
        <f>IF($AH307="","",Y307*X307)</f>
        <v/>
      </c>
      <c r="AA307">
        <f>IF($AH307="","",Settings!$C$6)</f>
        <v/>
      </c>
      <c r="AB307" s="7">
        <f>IF($AH307="","",SUMIFS('Per Line'!$V$2:$V$1601,'Per Line'!$D$2:$D$1601,$B307,'Per Line'!$AM$2:$AM$1601,1,'Per Line'!$AN$2:$AN$1601,0))</f>
        <v/>
      </c>
      <c r="AC307" s="7">
        <f>IF($AH307="","",AB307*AA307)</f>
        <v/>
      </c>
      <c r="AD307" s="7">
        <f>IF($AH307="","",AC307+Z307+W307)</f>
        <v/>
      </c>
      <c r="AE307" s="7">
        <f>IF($AH307="","",AF307-AD307)</f>
        <v/>
      </c>
      <c r="AF307" s="7">
        <f>IF($AH307="","",Y307+AB307+V307)</f>
        <v/>
      </c>
      <c r="AG307" s="7">
        <f>IF($AH307="","",AF307-AD307-N307)</f>
        <v/>
      </c>
      <c r="AH307" s="13">
        <f>IF(ROWS($AH$2:$AH307)&lt;=MAX('Per Line'!$AL$2:$AL$1601),MATCH(ROWS($AH$2:$AH307),'Per Line'!$AL$2:$AL$1601,0),"")</f>
        <v/>
      </c>
    </row>
    <row r="308">
      <c r="A308" s="12" t="n"/>
      <c r="B308">
        <f>IF($AH308="","",INDEX('Per Line'!$D$2:$D$1601,$AH308)&amp;"")</f>
        <v/>
      </c>
      <c r="C308">
        <f>IF($AH308="","",INDEX('Per Line'!$A$2:$A$1601,$AH308)&amp;"")</f>
        <v/>
      </c>
      <c r="D308">
        <f>IF($AH308="","",INDEX('Per Line'!$B$2:$B$1601,$AH308))</f>
        <v/>
      </c>
      <c r="E308">
        <f>IF($AH308="","",INDEX('Per Line'!$C$2:$C$1601,$AH308)&amp;"")</f>
        <v/>
      </c>
      <c r="F308">
        <f>IF($AH308="","",INDEX('Per Line'!$E$2:$E$1601,$AH308)&amp;"")</f>
        <v/>
      </c>
      <c r="G308" s="11">
        <f>IF($AH308="","",INDEX('Per Line'!$F$2:$F$1601,$AH308))</f>
        <v/>
      </c>
      <c r="H308">
        <f>IF($AH308="","",INDEX('Per Line'!$G$2:$G$1601,$AH308)&amp;"")</f>
        <v/>
      </c>
      <c r="I308">
        <f>IF($AH308="","",INDEX('Per Line'!$I$2:$I$1601,$AH308)&amp;"")</f>
        <v/>
      </c>
      <c r="J308">
        <f>IF($AH308="","",INDEX('Per Line'!$J$2:$J$1601,$AH308)&amp;"")</f>
        <v/>
      </c>
      <c r="K308">
        <f>IF($AH308="","",INDEX('Per Line'!$K$2:$K$1601,$AH308)&amp;"")</f>
        <v/>
      </c>
      <c r="L308">
        <f>IF($AH308="","",INDEX('Per Line'!$L$2:$L$1601,$AH308)&amp;"")</f>
        <v/>
      </c>
      <c r="M308">
        <f>IF($AH308="","",INDEX('Per Line'!$M$2:$M$1601,$AH308))</f>
        <v/>
      </c>
      <c r="N308" s="7">
        <f>IF($AH308="","",M308*AE308/100)</f>
        <v/>
      </c>
      <c r="O308">
        <f>IF($AH308="","",INDEX('Per Line'!$Z$2:$Z$1601,$AH308)&amp;"")</f>
        <v/>
      </c>
      <c r="P308">
        <f>IF($AH308="","",INDEX('Per Line'!$AC$2:$AC$1601,$AH308)&amp;"")</f>
        <v/>
      </c>
      <c r="Q308">
        <f>IF($AH308="","",INDEX('Per Line'!$AD$2:$AD$1601,$AH308))</f>
        <v/>
      </c>
      <c r="R308">
        <f>IF($AH308="","",IF(AND(ISNUMBER(Q308),Q308&gt;0),AF308&gt;Q308,FALSE))</f>
        <v/>
      </c>
      <c r="S308">
        <f>IF($AH308="","",INDEX('Per Line'!$AH$2:$AH$1601,$AH308)&amp;"")</f>
        <v/>
      </c>
      <c r="T308" s="11">
        <f>IF($AH308="","",INDEX('Per Line'!$AI$2:$AI$1601,$AH308))</f>
        <v/>
      </c>
      <c r="U308">
        <f>IF($AH308="","",Settings!$C$8)</f>
        <v/>
      </c>
      <c r="V308" s="7">
        <f>IF($AH308="","",SUMIFS('Per Line'!$V$2:$V$1601,'Per Line'!$D$2:$D$1601,$B308,'Per Line'!$AN$2:$AN$1601,1))</f>
        <v/>
      </c>
      <c r="W308" s="7">
        <f>IF($AH308="","",V308*U308)</f>
        <v/>
      </c>
      <c r="X308">
        <f>IF($AH308="","",Settings!$C$7)</f>
        <v/>
      </c>
      <c r="Y308" s="7">
        <f>IF($AH308="","",SUMIFS('Per Line'!$V$2:$V$1601,'Per Line'!$D$2:$D$1601,$B308,'Per Line'!$AM$2:$AM$1601,0,'Per Line'!$AN$2:$AN$1601,0))</f>
        <v/>
      </c>
      <c r="Z308" s="7">
        <f>IF($AH308="","",Y308*X308)</f>
        <v/>
      </c>
      <c r="AA308">
        <f>IF($AH308="","",Settings!$C$6)</f>
        <v/>
      </c>
      <c r="AB308" s="7">
        <f>IF($AH308="","",SUMIFS('Per Line'!$V$2:$V$1601,'Per Line'!$D$2:$D$1601,$B308,'Per Line'!$AM$2:$AM$1601,1,'Per Line'!$AN$2:$AN$1601,0))</f>
        <v/>
      </c>
      <c r="AC308" s="7">
        <f>IF($AH308="","",AB308*AA308)</f>
        <v/>
      </c>
      <c r="AD308" s="7">
        <f>IF($AH308="","",AC308+Z308+W308)</f>
        <v/>
      </c>
      <c r="AE308" s="7">
        <f>IF($AH308="","",AF308-AD308)</f>
        <v/>
      </c>
      <c r="AF308" s="7">
        <f>IF($AH308="","",Y308+AB308+V308)</f>
        <v/>
      </c>
      <c r="AG308" s="7">
        <f>IF($AH308="","",AF308-AD308-N308)</f>
        <v/>
      </c>
      <c r="AH308" s="13">
        <f>IF(ROWS($AH$2:$AH308)&lt;=MAX('Per Line'!$AL$2:$AL$1601),MATCH(ROWS($AH$2:$AH308),'Per Line'!$AL$2:$AL$1601,0),"")</f>
        <v/>
      </c>
    </row>
    <row r="309">
      <c r="A309" s="12" t="n"/>
      <c r="B309">
        <f>IF($AH309="","",INDEX('Per Line'!$D$2:$D$1601,$AH309)&amp;"")</f>
        <v/>
      </c>
      <c r="C309">
        <f>IF($AH309="","",INDEX('Per Line'!$A$2:$A$1601,$AH309)&amp;"")</f>
        <v/>
      </c>
      <c r="D309">
        <f>IF($AH309="","",INDEX('Per Line'!$B$2:$B$1601,$AH309))</f>
        <v/>
      </c>
      <c r="E309">
        <f>IF($AH309="","",INDEX('Per Line'!$C$2:$C$1601,$AH309)&amp;"")</f>
        <v/>
      </c>
      <c r="F309">
        <f>IF($AH309="","",INDEX('Per Line'!$E$2:$E$1601,$AH309)&amp;"")</f>
        <v/>
      </c>
      <c r="G309" s="11">
        <f>IF($AH309="","",INDEX('Per Line'!$F$2:$F$1601,$AH309))</f>
        <v/>
      </c>
      <c r="H309">
        <f>IF($AH309="","",INDEX('Per Line'!$G$2:$G$1601,$AH309)&amp;"")</f>
        <v/>
      </c>
      <c r="I309">
        <f>IF($AH309="","",INDEX('Per Line'!$I$2:$I$1601,$AH309)&amp;"")</f>
        <v/>
      </c>
      <c r="J309">
        <f>IF($AH309="","",INDEX('Per Line'!$J$2:$J$1601,$AH309)&amp;"")</f>
        <v/>
      </c>
      <c r="K309">
        <f>IF($AH309="","",INDEX('Per Line'!$K$2:$K$1601,$AH309)&amp;"")</f>
        <v/>
      </c>
      <c r="L309">
        <f>IF($AH309="","",INDEX('Per Line'!$L$2:$L$1601,$AH309)&amp;"")</f>
        <v/>
      </c>
      <c r="M309">
        <f>IF($AH309="","",INDEX('Per Line'!$M$2:$M$1601,$AH309))</f>
        <v/>
      </c>
      <c r="N309" s="7">
        <f>IF($AH309="","",M309*AE309/100)</f>
        <v/>
      </c>
      <c r="O309">
        <f>IF($AH309="","",INDEX('Per Line'!$Z$2:$Z$1601,$AH309)&amp;"")</f>
        <v/>
      </c>
      <c r="P309">
        <f>IF($AH309="","",INDEX('Per Line'!$AC$2:$AC$1601,$AH309)&amp;"")</f>
        <v/>
      </c>
      <c r="Q309">
        <f>IF($AH309="","",INDEX('Per Line'!$AD$2:$AD$1601,$AH309))</f>
        <v/>
      </c>
      <c r="R309">
        <f>IF($AH309="","",IF(AND(ISNUMBER(Q309),Q309&gt;0),AF309&gt;Q309,FALSE))</f>
        <v/>
      </c>
      <c r="S309">
        <f>IF($AH309="","",INDEX('Per Line'!$AH$2:$AH$1601,$AH309)&amp;"")</f>
        <v/>
      </c>
      <c r="T309" s="11">
        <f>IF($AH309="","",INDEX('Per Line'!$AI$2:$AI$1601,$AH309))</f>
        <v/>
      </c>
      <c r="U309">
        <f>IF($AH309="","",Settings!$C$8)</f>
        <v/>
      </c>
      <c r="V309" s="7">
        <f>IF($AH309="","",SUMIFS('Per Line'!$V$2:$V$1601,'Per Line'!$D$2:$D$1601,$B309,'Per Line'!$AN$2:$AN$1601,1))</f>
        <v/>
      </c>
      <c r="W309" s="7">
        <f>IF($AH309="","",V309*U309)</f>
        <v/>
      </c>
      <c r="X309">
        <f>IF($AH309="","",Settings!$C$7)</f>
        <v/>
      </c>
      <c r="Y309" s="7">
        <f>IF($AH309="","",SUMIFS('Per Line'!$V$2:$V$1601,'Per Line'!$D$2:$D$1601,$B309,'Per Line'!$AM$2:$AM$1601,0,'Per Line'!$AN$2:$AN$1601,0))</f>
        <v/>
      </c>
      <c r="Z309" s="7">
        <f>IF($AH309="","",Y309*X309)</f>
        <v/>
      </c>
      <c r="AA309">
        <f>IF($AH309="","",Settings!$C$6)</f>
        <v/>
      </c>
      <c r="AB309" s="7">
        <f>IF($AH309="","",SUMIFS('Per Line'!$V$2:$V$1601,'Per Line'!$D$2:$D$1601,$B309,'Per Line'!$AM$2:$AM$1601,1,'Per Line'!$AN$2:$AN$1601,0))</f>
        <v/>
      </c>
      <c r="AC309" s="7">
        <f>IF($AH309="","",AB309*AA309)</f>
        <v/>
      </c>
      <c r="AD309" s="7">
        <f>IF($AH309="","",AC309+Z309+W309)</f>
        <v/>
      </c>
      <c r="AE309" s="7">
        <f>IF($AH309="","",AF309-AD309)</f>
        <v/>
      </c>
      <c r="AF309" s="7">
        <f>IF($AH309="","",Y309+AB309+V309)</f>
        <v/>
      </c>
      <c r="AG309" s="7">
        <f>IF($AH309="","",AF309-AD309-N309)</f>
        <v/>
      </c>
      <c r="AH309" s="13">
        <f>IF(ROWS($AH$2:$AH309)&lt;=MAX('Per Line'!$AL$2:$AL$1601),MATCH(ROWS($AH$2:$AH309),'Per Line'!$AL$2:$AL$1601,0),"")</f>
        <v/>
      </c>
    </row>
    <row r="310">
      <c r="A310" s="12" t="n"/>
      <c r="B310">
        <f>IF($AH310="","",INDEX('Per Line'!$D$2:$D$1601,$AH310)&amp;"")</f>
        <v/>
      </c>
      <c r="C310">
        <f>IF($AH310="","",INDEX('Per Line'!$A$2:$A$1601,$AH310)&amp;"")</f>
        <v/>
      </c>
      <c r="D310">
        <f>IF($AH310="","",INDEX('Per Line'!$B$2:$B$1601,$AH310))</f>
        <v/>
      </c>
      <c r="E310">
        <f>IF($AH310="","",INDEX('Per Line'!$C$2:$C$1601,$AH310)&amp;"")</f>
        <v/>
      </c>
      <c r="F310">
        <f>IF($AH310="","",INDEX('Per Line'!$E$2:$E$1601,$AH310)&amp;"")</f>
        <v/>
      </c>
      <c r="G310" s="11">
        <f>IF($AH310="","",INDEX('Per Line'!$F$2:$F$1601,$AH310))</f>
        <v/>
      </c>
      <c r="H310">
        <f>IF($AH310="","",INDEX('Per Line'!$G$2:$G$1601,$AH310)&amp;"")</f>
        <v/>
      </c>
      <c r="I310">
        <f>IF($AH310="","",INDEX('Per Line'!$I$2:$I$1601,$AH310)&amp;"")</f>
        <v/>
      </c>
      <c r="J310">
        <f>IF($AH310="","",INDEX('Per Line'!$J$2:$J$1601,$AH310)&amp;"")</f>
        <v/>
      </c>
      <c r="K310">
        <f>IF($AH310="","",INDEX('Per Line'!$K$2:$K$1601,$AH310)&amp;"")</f>
        <v/>
      </c>
      <c r="L310">
        <f>IF($AH310="","",INDEX('Per Line'!$L$2:$L$1601,$AH310)&amp;"")</f>
        <v/>
      </c>
      <c r="M310">
        <f>IF($AH310="","",INDEX('Per Line'!$M$2:$M$1601,$AH310))</f>
        <v/>
      </c>
      <c r="N310" s="7">
        <f>IF($AH310="","",M310*AE310/100)</f>
        <v/>
      </c>
      <c r="O310">
        <f>IF($AH310="","",INDEX('Per Line'!$Z$2:$Z$1601,$AH310)&amp;"")</f>
        <v/>
      </c>
      <c r="P310">
        <f>IF($AH310="","",INDEX('Per Line'!$AC$2:$AC$1601,$AH310)&amp;"")</f>
        <v/>
      </c>
      <c r="Q310">
        <f>IF($AH310="","",INDEX('Per Line'!$AD$2:$AD$1601,$AH310))</f>
        <v/>
      </c>
      <c r="R310">
        <f>IF($AH310="","",IF(AND(ISNUMBER(Q310),Q310&gt;0),AF310&gt;Q310,FALSE))</f>
        <v/>
      </c>
      <c r="S310">
        <f>IF($AH310="","",INDEX('Per Line'!$AH$2:$AH$1601,$AH310)&amp;"")</f>
        <v/>
      </c>
      <c r="T310" s="11">
        <f>IF($AH310="","",INDEX('Per Line'!$AI$2:$AI$1601,$AH310))</f>
        <v/>
      </c>
      <c r="U310">
        <f>IF($AH310="","",Settings!$C$8)</f>
        <v/>
      </c>
      <c r="V310" s="7">
        <f>IF($AH310="","",SUMIFS('Per Line'!$V$2:$V$1601,'Per Line'!$D$2:$D$1601,$B310,'Per Line'!$AN$2:$AN$1601,1))</f>
        <v/>
      </c>
      <c r="W310" s="7">
        <f>IF($AH310="","",V310*U310)</f>
        <v/>
      </c>
      <c r="X310">
        <f>IF($AH310="","",Settings!$C$7)</f>
        <v/>
      </c>
      <c r="Y310" s="7">
        <f>IF($AH310="","",SUMIFS('Per Line'!$V$2:$V$1601,'Per Line'!$D$2:$D$1601,$B310,'Per Line'!$AM$2:$AM$1601,0,'Per Line'!$AN$2:$AN$1601,0))</f>
        <v/>
      </c>
      <c r="Z310" s="7">
        <f>IF($AH310="","",Y310*X310)</f>
        <v/>
      </c>
      <c r="AA310">
        <f>IF($AH310="","",Settings!$C$6)</f>
        <v/>
      </c>
      <c r="AB310" s="7">
        <f>IF($AH310="","",SUMIFS('Per Line'!$V$2:$V$1601,'Per Line'!$D$2:$D$1601,$B310,'Per Line'!$AM$2:$AM$1601,1,'Per Line'!$AN$2:$AN$1601,0))</f>
        <v/>
      </c>
      <c r="AC310" s="7">
        <f>IF($AH310="","",AB310*AA310)</f>
        <v/>
      </c>
      <c r="AD310" s="7">
        <f>IF($AH310="","",AC310+Z310+W310)</f>
        <v/>
      </c>
      <c r="AE310" s="7">
        <f>IF($AH310="","",AF310-AD310)</f>
        <v/>
      </c>
      <c r="AF310" s="7">
        <f>IF($AH310="","",Y310+AB310+V310)</f>
        <v/>
      </c>
      <c r="AG310" s="7">
        <f>IF($AH310="","",AF310-AD310-N310)</f>
        <v/>
      </c>
      <c r="AH310" s="13">
        <f>IF(ROWS($AH$2:$AH310)&lt;=MAX('Per Line'!$AL$2:$AL$1601),MATCH(ROWS($AH$2:$AH310),'Per Line'!$AL$2:$AL$1601,0),"")</f>
        <v/>
      </c>
    </row>
    <row r="311">
      <c r="A311" s="12" t="n"/>
      <c r="B311">
        <f>IF($AH311="","",INDEX('Per Line'!$D$2:$D$1601,$AH311)&amp;"")</f>
        <v/>
      </c>
      <c r="C311">
        <f>IF($AH311="","",INDEX('Per Line'!$A$2:$A$1601,$AH311)&amp;"")</f>
        <v/>
      </c>
      <c r="D311">
        <f>IF($AH311="","",INDEX('Per Line'!$B$2:$B$1601,$AH311))</f>
        <v/>
      </c>
      <c r="E311">
        <f>IF($AH311="","",INDEX('Per Line'!$C$2:$C$1601,$AH311)&amp;"")</f>
        <v/>
      </c>
      <c r="F311">
        <f>IF($AH311="","",INDEX('Per Line'!$E$2:$E$1601,$AH311)&amp;"")</f>
        <v/>
      </c>
      <c r="G311" s="11">
        <f>IF($AH311="","",INDEX('Per Line'!$F$2:$F$1601,$AH311))</f>
        <v/>
      </c>
      <c r="H311">
        <f>IF($AH311="","",INDEX('Per Line'!$G$2:$G$1601,$AH311)&amp;"")</f>
        <v/>
      </c>
      <c r="I311">
        <f>IF($AH311="","",INDEX('Per Line'!$I$2:$I$1601,$AH311)&amp;"")</f>
        <v/>
      </c>
      <c r="J311">
        <f>IF($AH311="","",INDEX('Per Line'!$J$2:$J$1601,$AH311)&amp;"")</f>
        <v/>
      </c>
      <c r="K311">
        <f>IF($AH311="","",INDEX('Per Line'!$K$2:$K$1601,$AH311)&amp;"")</f>
        <v/>
      </c>
      <c r="L311">
        <f>IF($AH311="","",INDEX('Per Line'!$L$2:$L$1601,$AH311)&amp;"")</f>
        <v/>
      </c>
      <c r="M311">
        <f>IF($AH311="","",INDEX('Per Line'!$M$2:$M$1601,$AH311))</f>
        <v/>
      </c>
      <c r="N311" s="7">
        <f>IF($AH311="","",M311*AE311/100)</f>
        <v/>
      </c>
      <c r="O311">
        <f>IF($AH311="","",INDEX('Per Line'!$Z$2:$Z$1601,$AH311)&amp;"")</f>
        <v/>
      </c>
      <c r="P311">
        <f>IF($AH311="","",INDEX('Per Line'!$AC$2:$AC$1601,$AH311)&amp;"")</f>
        <v/>
      </c>
      <c r="Q311">
        <f>IF($AH311="","",INDEX('Per Line'!$AD$2:$AD$1601,$AH311))</f>
        <v/>
      </c>
      <c r="R311">
        <f>IF($AH311="","",IF(AND(ISNUMBER(Q311),Q311&gt;0),AF311&gt;Q311,FALSE))</f>
        <v/>
      </c>
      <c r="S311">
        <f>IF($AH311="","",INDEX('Per Line'!$AH$2:$AH$1601,$AH311)&amp;"")</f>
        <v/>
      </c>
      <c r="T311" s="11">
        <f>IF($AH311="","",INDEX('Per Line'!$AI$2:$AI$1601,$AH311))</f>
        <v/>
      </c>
      <c r="U311">
        <f>IF($AH311="","",Settings!$C$8)</f>
        <v/>
      </c>
      <c r="V311" s="7">
        <f>IF($AH311="","",SUMIFS('Per Line'!$V$2:$V$1601,'Per Line'!$D$2:$D$1601,$B311,'Per Line'!$AN$2:$AN$1601,1))</f>
        <v/>
      </c>
      <c r="W311" s="7">
        <f>IF($AH311="","",V311*U311)</f>
        <v/>
      </c>
      <c r="X311">
        <f>IF($AH311="","",Settings!$C$7)</f>
        <v/>
      </c>
      <c r="Y311" s="7">
        <f>IF($AH311="","",SUMIFS('Per Line'!$V$2:$V$1601,'Per Line'!$D$2:$D$1601,$B311,'Per Line'!$AM$2:$AM$1601,0,'Per Line'!$AN$2:$AN$1601,0))</f>
        <v/>
      </c>
      <c r="Z311" s="7">
        <f>IF($AH311="","",Y311*X311)</f>
        <v/>
      </c>
      <c r="AA311">
        <f>IF($AH311="","",Settings!$C$6)</f>
        <v/>
      </c>
      <c r="AB311" s="7">
        <f>IF($AH311="","",SUMIFS('Per Line'!$V$2:$V$1601,'Per Line'!$D$2:$D$1601,$B311,'Per Line'!$AM$2:$AM$1601,1,'Per Line'!$AN$2:$AN$1601,0))</f>
        <v/>
      </c>
      <c r="AC311" s="7">
        <f>IF($AH311="","",AB311*AA311)</f>
        <v/>
      </c>
      <c r="AD311" s="7">
        <f>IF($AH311="","",AC311+Z311+W311)</f>
        <v/>
      </c>
      <c r="AE311" s="7">
        <f>IF($AH311="","",AF311-AD311)</f>
        <v/>
      </c>
      <c r="AF311" s="7">
        <f>IF($AH311="","",Y311+AB311+V311)</f>
        <v/>
      </c>
      <c r="AG311" s="7">
        <f>IF($AH311="","",AF311-AD311-N311)</f>
        <v/>
      </c>
      <c r="AH311" s="13">
        <f>IF(ROWS($AH$2:$AH311)&lt;=MAX('Per Line'!$AL$2:$AL$1601),MATCH(ROWS($AH$2:$AH311),'Per Line'!$AL$2:$AL$1601,0),"")</f>
        <v/>
      </c>
    </row>
    <row r="312">
      <c r="A312" s="12" t="n"/>
      <c r="B312">
        <f>IF($AH312="","",INDEX('Per Line'!$D$2:$D$1601,$AH312)&amp;"")</f>
        <v/>
      </c>
      <c r="C312">
        <f>IF($AH312="","",INDEX('Per Line'!$A$2:$A$1601,$AH312)&amp;"")</f>
        <v/>
      </c>
      <c r="D312">
        <f>IF($AH312="","",INDEX('Per Line'!$B$2:$B$1601,$AH312))</f>
        <v/>
      </c>
      <c r="E312">
        <f>IF($AH312="","",INDEX('Per Line'!$C$2:$C$1601,$AH312)&amp;"")</f>
        <v/>
      </c>
      <c r="F312">
        <f>IF($AH312="","",INDEX('Per Line'!$E$2:$E$1601,$AH312)&amp;"")</f>
        <v/>
      </c>
      <c r="G312" s="11">
        <f>IF($AH312="","",INDEX('Per Line'!$F$2:$F$1601,$AH312))</f>
        <v/>
      </c>
      <c r="H312">
        <f>IF($AH312="","",INDEX('Per Line'!$G$2:$G$1601,$AH312)&amp;"")</f>
        <v/>
      </c>
      <c r="I312">
        <f>IF($AH312="","",INDEX('Per Line'!$I$2:$I$1601,$AH312)&amp;"")</f>
        <v/>
      </c>
      <c r="J312">
        <f>IF($AH312="","",INDEX('Per Line'!$J$2:$J$1601,$AH312)&amp;"")</f>
        <v/>
      </c>
      <c r="K312">
        <f>IF($AH312="","",INDEX('Per Line'!$K$2:$K$1601,$AH312)&amp;"")</f>
        <v/>
      </c>
      <c r="L312">
        <f>IF($AH312="","",INDEX('Per Line'!$L$2:$L$1601,$AH312)&amp;"")</f>
        <v/>
      </c>
      <c r="M312">
        <f>IF($AH312="","",INDEX('Per Line'!$M$2:$M$1601,$AH312))</f>
        <v/>
      </c>
      <c r="N312" s="7">
        <f>IF($AH312="","",M312*AE312/100)</f>
        <v/>
      </c>
      <c r="O312">
        <f>IF($AH312="","",INDEX('Per Line'!$Z$2:$Z$1601,$AH312)&amp;"")</f>
        <v/>
      </c>
      <c r="P312">
        <f>IF($AH312="","",INDEX('Per Line'!$AC$2:$AC$1601,$AH312)&amp;"")</f>
        <v/>
      </c>
      <c r="Q312">
        <f>IF($AH312="","",INDEX('Per Line'!$AD$2:$AD$1601,$AH312))</f>
        <v/>
      </c>
      <c r="R312">
        <f>IF($AH312="","",IF(AND(ISNUMBER(Q312),Q312&gt;0),AF312&gt;Q312,FALSE))</f>
        <v/>
      </c>
      <c r="S312">
        <f>IF($AH312="","",INDEX('Per Line'!$AH$2:$AH$1601,$AH312)&amp;"")</f>
        <v/>
      </c>
      <c r="T312" s="11">
        <f>IF($AH312="","",INDEX('Per Line'!$AI$2:$AI$1601,$AH312))</f>
        <v/>
      </c>
      <c r="U312">
        <f>IF($AH312="","",Settings!$C$8)</f>
        <v/>
      </c>
      <c r="V312" s="7">
        <f>IF($AH312="","",SUMIFS('Per Line'!$V$2:$V$1601,'Per Line'!$D$2:$D$1601,$B312,'Per Line'!$AN$2:$AN$1601,1))</f>
        <v/>
      </c>
      <c r="W312" s="7">
        <f>IF($AH312="","",V312*U312)</f>
        <v/>
      </c>
      <c r="X312">
        <f>IF($AH312="","",Settings!$C$7)</f>
        <v/>
      </c>
      <c r="Y312" s="7">
        <f>IF($AH312="","",SUMIFS('Per Line'!$V$2:$V$1601,'Per Line'!$D$2:$D$1601,$B312,'Per Line'!$AM$2:$AM$1601,0,'Per Line'!$AN$2:$AN$1601,0))</f>
        <v/>
      </c>
      <c r="Z312" s="7">
        <f>IF($AH312="","",Y312*X312)</f>
        <v/>
      </c>
      <c r="AA312">
        <f>IF($AH312="","",Settings!$C$6)</f>
        <v/>
      </c>
      <c r="AB312" s="7">
        <f>IF($AH312="","",SUMIFS('Per Line'!$V$2:$V$1601,'Per Line'!$D$2:$D$1601,$B312,'Per Line'!$AM$2:$AM$1601,1,'Per Line'!$AN$2:$AN$1601,0))</f>
        <v/>
      </c>
      <c r="AC312" s="7">
        <f>IF($AH312="","",AB312*AA312)</f>
        <v/>
      </c>
      <c r="AD312" s="7">
        <f>IF($AH312="","",AC312+Z312+W312)</f>
        <v/>
      </c>
      <c r="AE312" s="7">
        <f>IF($AH312="","",AF312-AD312)</f>
        <v/>
      </c>
      <c r="AF312" s="7">
        <f>IF($AH312="","",Y312+AB312+V312)</f>
        <v/>
      </c>
      <c r="AG312" s="7">
        <f>IF($AH312="","",AF312-AD312-N312)</f>
        <v/>
      </c>
      <c r="AH312" s="13">
        <f>IF(ROWS($AH$2:$AH312)&lt;=MAX('Per Line'!$AL$2:$AL$1601),MATCH(ROWS($AH$2:$AH312),'Per Line'!$AL$2:$AL$1601,0),"")</f>
        <v/>
      </c>
    </row>
    <row r="313">
      <c r="A313" s="12" t="n"/>
      <c r="B313">
        <f>IF($AH313="","",INDEX('Per Line'!$D$2:$D$1601,$AH313)&amp;"")</f>
        <v/>
      </c>
      <c r="C313">
        <f>IF($AH313="","",INDEX('Per Line'!$A$2:$A$1601,$AH313)&amp;"")</f>
        <v/>
      </c>
      <c r="D313">
        <f>IF($AH313="","",INDEX('Per Line'!$B$2:$B$1601,$AH313))</f>
        <v/>
      </c>
      <c r="E313">
        <f>IF($AH313="","",INDEX('Per Line'!$C$2:$C$1601,$AH313)&amp;"")</f>
        <v/>
      </c>
      <c r="F313">
        <f>IF($AH313="","",INDEX('Per Line'!$E$2:$E$1601,$AH313)&amp;"")</f>
        <v/>
      </c>
      <c r="G313" s="11">
        <f>IF($AH313="","",INDEX('Per Line'!$F$2:$F$1601,$AH313))</f>
        <v/>
      </c>
      <c r="H313">
        <f>IF($AH313="","",INDEX('Per Line'!$G$2:$G$1601,$AH313)&amp;"")</f>
        <v/>
      </c>
      <c r="I313">
        <f>IF($AH313="","",INDEX('Per Line'!$I$2:$I$1601,$AH313)&amp;"")</f>
        <v/>
      </c>
      <c r="J313">
        <f>IF($AH313="","",INDEX('Per Line'!$J$2:$J$1601,$AH313)&amp;"")</f>
        <v/>
      </c>
      <c r="K313">
        <f>IF($AH313="","",INDEX('Per Line'!$K$2:$K$1601,$AH313)&amp;"")</f>
        <v/>
      </c>
      <c r="L313">
        <f>IF($AH313="","",INDEX('Per Line'!$L$2:$L$1601,$AH313)&amp;"")</f>
        <v/>
      </c>
      <c r="M313">
        <f>IF($AH313="","",INDEX('Per Line'!$M$2:$M$1601,$AH313))</f>
        <v/>
      </c>
      <c r="N313" s="7">
        <f>IF($AH313="","",M313*AE313/100)</f>
        <v/>
      </c>
      <c r="O313">
        <f>IF($AH313="","",INDEX('Per Line'!$Z$2:$Z$1601,$AH313)&amp;"")</f>
        <v/>
      </c>
      <c r="P313">
        <f>IF($AH313="","",INDEX('Per Line'!$AC$2:$AC$1601,$AH313)&amp;"")</f>
        <v/>
      </c>
      <c r="Q313">
        <f>IF($AH313="","",INDEX('Per Line'!$AD$2:$AD$1601,$AH313))</f>
        <v/>
      </c>
      <c r="R313">
        <f>IF($AH313="","",IF(AND(ISNUMBER(Q313),Q313&gt;0),AF313&gt;Q313,FALSE))</f>
        <v/>
      </c>
      <c r="S313">
        <f>IF($AH313="","",INDEX('Per Line'!$AH$2:$AH$1601,$AH313)&amp;"")</f>
        <v/>
      </c>
      <c r="T313" s="11">
        <f>IF($AH313="","",INDEX('Per Line'!$AI$2:$AI$1601,$AH313))</f>
        <v/>
      </c>
      <c r="U313">
        <f>IF($AH313="","",Settings!$C$8)</f>
        <v/>
      </c>
      <c r="V313" s="7">
        <f>IF($AH313="","",SUMIFS('Per Line'!$V$2:$V$1601,'Per Line'!$D$2:$D$1601,$B313,'Per Line'!$AN$2:$AN$1601,1))</f>
        <v/>
      </c>
      <c r="W313" s="7">
        <f>IF($AH313="","",V313*U313)</f>
        <v/>
      </c>
      <c r="X313">
        <f>IF($AH313="","",Settings!$C$7)</f>
        <v/>
      </c>
      <c r="Y313" s="7">
        <f>IF($AH313="","",SUMIFS('Per Line'!$V$2:$V$1601,'Per Line'!$D$2:$D$1601,$B313,'Per Line'!$AM$2:$AM$1601,0,'Per Line'!$AN$2:$AN$1601,0))</f>
        <v/>
      </c>
      <c r="Z313" s="7">
        <f>IF($AH313="","",Y313*X313)</f>
        <v/>
      </c>
      <c r="AA313">
        <f>IF($AH313="","",Settings!$C$6)</f>
        <v/>
      </c>
      <c r="AB313" s="7">
        <f>IF($AH313="","",SUMIFS('Per Line'!$V$2:$V$1601,'Per Line'!$D$2:$D$1601,$B313,'Per Line'!$AM$2:$AM$1601,1,'Per Line'!$AN$2:$AN$1601,0))</f>
        <v/>
      </c>
      <c r="AC313" s="7">
        <f>IF($AH313="","",AB313*AA313)</f>
        <v/>
      </c>
      <c r="AD313" s="7">
        <f>IF($AH313="","",AC313+Z313+W313)</f>
        <v/>
      </c>
      <c r="AE313" s="7">
        <f>IF($AH313="","",AF313-AD313)</f>
        <v/>
      </c>
      <c r="AF313" s="7">
        <f>IF($AH313="","",Y313+AB313+V313)</f>
        <v/>
      </c>
      <c r="AG313" s="7">
        <f>IF($AH313="","",AF313-AD313-N313)</f>
        <v/>
      </c>
      <c r="AH313" s="13">
        <f>IF(ROWS($AH$2:$AH313)&lt;=MAX('Per Line'!$AL$2:$AL$1601),MATCH(ROWS($AH$2:$AH313),'Per Line'!$AL$2:$AL$1601,0),"")</f>
        <v/>
      </c>
    </row>
    <row r="314">
      <c r="A314" s="12" t="n"/>
      <c r="B314">
        <f>IF($AH314="","",INDEX('Per Line'!$D$2:$D$1601,$AH314)&amp;"")</f>
        <v/>
      </c>
      <c r="C314">
        <f>IF($AH314="","",INDEX('Per Line'!$A$2:$A$1601,$AH314)&amp;"")</f>
        <v/>
      </c>
      <c r="D314">
        <f>IF($AH314="","",INDEX('Per Line'!$B$2:$B$1601,$AH314))</f>
        <v/>
      </c>
      <c r="E314">
        <f>IF($AH314="","",INDEX('Per Line'!$C$2:$C$1601,$AH314)&amp;"")</f>
        <v/>
      </c>
      <c r="F314">
        <f>IF($AH314="","",INDEX('Per Line'!$E$2:$E$1601,$AH314)&amp;"")</f>
        <v/>
      </c>
      <c r="G314" s="11">
        <f>IF($AH314="","",INDEX('Per Line'!$F$2:$F$1601,$AH314))</f>
        <v/>
      </c>
      <c r="H314">
        <f>IF($AH314="","",INDEX('Per Line'!$G$2:$G$1601,$AH314)&amp;"")</f>
        <v/>
      </c>
      <c r="I314">
        <f>IF($AH314="","",INDEX('Per Line'!$I$2:$I$1601,$AH314)&amp;"")</f>
        <v/>
      </c>
      <c r="J314">
        <f>IF($AH314="","",INDEX('Per Line'!$J$2:$J$1601,$AH314)&amp;"")</f>
        <v/>
      </c>
      <c r="K314">
        <f>IF($AH314="","",INDEX('Per Line'!$K$2:$K$1601,$AH314)&amp;"")</f>
        <v/>
      </c>
      <c r="L314">
        <f>IF($AH314="","",INDEX('Per Line'!$L$2:$L$1601,$AH314)&amp;"")</f>
        <v/>
      </c>
      <c r="M314">
        <f>IF($AH314="","",INDEX('Per Line'!$M$2:$M$1601,$AH314))</f>
        <v/>
      </c>
      <c r="N314" s="7">
        <f>IF($AH314="","",M314*AE314/100)</f>
        <v/>
      </c>
      <c r="O314">
        <f>IF($AH314="","",INDEX('Per Line'!$Z$2:$Z$1601,$AH314)&amp;"")</f>
        <v/>
      </c>
      <c r="P314">
        <f>IF($AH314="","",INDEX('Per Line'!$AC$2:$AC$1601,$AH314)&amp;"")</f>
        <v/>
      </c>
      <c r="Q314">
        <f>IF($AH314="","",INDEX('Per Line'!$AD$2:$AD$1601,$AH314))</f>
        <v/>
      </c>
      <c r="R314">
        <f>IF($AH314="","",IF(AND(ISNUMBER(Q314),Q314&gt;0),AF314&gt;Q314,FALSE))</f>
        <v/>
      </c>
      <c r="S314">
        <f>IF($AH314="","",INDEX('Per Line'!$AH$2:$AH$1601,$AH314)&amp;"")</f>
        <v/>
      </c>
      <c r="T314" s="11">
        <f>IF($AH314="","",INDEX('Per Line'!$AI$2:$AI$1601,$AH314))</f>
        <v/>
      </c>
      <c r="U314">
        <f>IF($AH314="","",Settings!$C$8)</f>
        <v/>
      </c>
      <c r="V314" s="7">
        <f>IF($AH314="","",SUMIFS('Per Line'!$V$2:$V$1601,'Per Line'!$D$2:$D$1601,$B314,'Per Line'!$AN$2:$AN$1601,1))</f>
        <v/>
      </c>
      <c r="W314" s="7">
        <f>IF($AH314="","",V314*U314)</f>
        <v/>
      </c>
      <c r="X314">
        <f>IF($AH314="","",Settings!$C$7)</f>
        <v/>
      </c>
      <c r="Y314" s="7">
        <f>IF($AH314="","",SUMIFS('Per Line'!$V$2:$V$1601,'Per Line'!$D$2:$D$1601,$B314,'Per Line'!$AM$2:$AM$1601,0,'Per Line'!$AN$2:$AN$1601,0))</f>
        <v/>
      </c>
      <c r="Z314" s="7">
        <f>IF($AH314="","",Y314*X314)</f>
        <v/>
      </c>
      <c r="AA314">
        <f>IF($AH314="","",Settings!$C$6)</f>
        <v/>
      </c>
      <c r="AB314" s="7">
        <f>IF($AH314="","",SUMIFS('Per Line'!$V$2:$V$1601,'Per Line'!$D$2:$D$1601,$B314,'Per Line'!$AM$2:$AM$1601,1,'Per Line'!$AN$2:$AN$1601,0))</f>
        <v/>
      </c>
      <c r="AC314" s="7">
        <f>IF($AH314="","",AB314*AA314)</f>
        <v/>
      </c>
      <c r="AD314" s="7">
        <f>IF($AH314="","",AC314+Z314+W314)</f>
        <v/>
      </c>
      <c r="AE314" s="7">
        <f>IF($AH314="","",AF314-AD314)</f>
        <v/>
      </c>
      <c r="AF314" s="7">
        <f>IF($AH314="","",Y314+AB314+V314)</f>
        <v/>
      </c>
      <c r="AG314" s="7">
        <f>IF($AH314="","",AF314-AD314-N314)</f>
        <v/>
      </c>
      <c r="AH314" s="13">
        <f>IF(ROWS($AH$2:$AH314)&lt;=MAX('Per Line'!$AL$2:$AL$1601),MATCH(ROWS($AH$2:$AH314),'Per Line'!$AL$2:$AL$1601,0),"")</f>
        <v/>
      </c>
    </row>
    <row r="315">
      <c r="A315" s="12" t="n"/>
      <c r="B315">
        <f>IF($AH315="","",INDEX('Per Line'!$D$2:$D$1601,$AH315)&amp;"")</f>
        <v/>
      </c>
      <c r="C315">
        <f>IF($AH315="","",INDEX('Per Line'!$A$2:$A$1601,$AH315)&amp;"")</f>
        <v/>
      </c>
      <c r="D315">
        <f>IF($AH315="","",INDEX('Per Line'!$B$2:$B$1601,$AH315))</f>
        <v/>
      </c>
      <c r="E315">
        <f>IF($AH315="","",INDEX('Per Line'!$C$2:$C$1601,$AH315)&amp;"")</f>
        <v/>
      </c>
      <c r="F315">
        <f>IF($AH315="","",INDEX('Per Line'!$E$2:$E$1601,$AH315)&amp;"")</f>
        <v/>
      </c>
      <c r="G315" s="11">
        <f>IF($AH315="","",INDEX('Per Line'!$F$2:$F$1601,$AH315))</f>
        <v/>
      </c>
      <c r="H315">
        <f>IF($AH315="","",INDEX('Per Line'!$G$2:$G$1601,$AH315)&amp;"")</f>
        <v/>
      </c>
      <c r="I315">
        <f>IF($AH315="","",INDEX('Per Line'!$I$2:$I$1601,$AH315)&amp;"")</f>
        <v/>
      </c>
      <c r="J315">
        <f>IF($AH315="","",INDEX('Per Line'!$J$2:$J$1601,$AH315)&amp;"")</f>
        <v/>
      </c>
      <c r="K315">
        <f>IF($AH315="","",INDEX('Per Line'!$K$2:$K$1601,$AH315)&amp;"")</f>
        <v/>
      </c>
      <c r="L315">
        <f>IF($AH315="","",INDEX('Per Line'!$L$2:$L$1601,$AH315)&amp;"")</f>
        <v/>
      </c>
      <c r="M315">
        <f>IF($AH315="","",INDEX('Per Line'!$M$2:$M$1601,$AH315))</f>
        <v/>
      </c>
      <c r="N315" s="7">
        <f>IF($AH315="","",M315*AE315/100)</f>
        <v/>
      </c>
      <c r="O315">
        <f>IF($AH315="","",INDEX('Per Line'!$Z$2:$Z$1601,$AH315)&amp;"")</f>
        <v/>
      </c>
      <c r="P315">
        <f>IF($AH315="","",INDEX('Per Line'!$AC$2:$AC$1601,$AH315)&amp;"")</f>
        <v/>
      </c>
      <c r="Q315">
        <f>IF($AH315="","",INDEX('Per Line'!$AD$2:$AD$1601,$AH315))</f>
        <v/>
      </c>
      <c r="R315">
        <f>IF($AH315="","",IF(AND(ISNUMBER(Q315),Q315&gt;0),AF315&gt;Q315,FALSE))</f>
        <v/>
      </c>
      <c r="S315">
        <f>IF($AH315="","",INDEX('Per Line'!$AH$2:$AH$1601,$AH315)&amp;"")</f>
        <v/>
      </c>
      <c r="T315" s="11">
        <f>IF($AH315="","",INDEX('Per Line'!$AI$2:$AI$1601,$AH315))</f>
        <v/>
      </c>
      <c r="U315">
        <f>IF($AH315="","",Settings!$C$8)</f>
        <v/>
      </c>
      <c r="V315" s="7">
        <f>IF($AH315="","",SUMIFS('Per Line'!$V$2:$V$1601,'Per Line'!$D$2:$D$1601,$B315,'Per Line'!$AN$2:$AN$1601,1))</f>
        <v/>
      </c>
      <c r="W315" s="7">
        <f>IF($AH315="","",V315*U315)</f>
        <v/>
      </c>
      <c r="X315">
        <f>IF($AH315="","",Settings!$C$7)</f>
        <v/>
      </c>
      <c r="Y315" s="7">
        <f>IF($AH315="","",SUMIFS('Per Line'!$V$2:$V$1601,'Per Line'!$D$2:$D$1601,$B315,'Per Line'!$AM$2:$AM$1601,0,'Per Line'!$AN$2:$AN$1601,0))</f>
        <v/>
      </c>
      <c r="Z315" s="7">
        <f>IF($AH315="","",Y315*X315)</f>
        <v/>
      </c>
      <c r="AA315">
        <f>IF($AH315="","",Settings!$C$6)</f>
        <v/>
      </c>
      <c r="AB315" s="7">
        <f>IF($AH315="","",SUMIFS('Per Line'!$V$2:$V$1601,'Per Line'!$D$2:$D$1601,$B315,'Per Line'!$AM$2:$AM$1601,1,'Per Line'!$AN$2:$AN$1601,0))</f>
        <v/>
      </c>
      <c r="AC315" s="7">
        <f>IF($AH315="","",AB315*AA315)</f>
        <v/>
      </c>
      <c r="AD315" s="7">
        <f>IF($AH315="","",AC315+Z315+W315)</f>
        <v/>
      </c>
      <c r="AE315" s="7">
        <f>IF($AH315="","",AF315-AD315)</f>
        <v/>
      </c>
      <c r="AF315" s="7">
        <f>IF($AH315="","",Y315+AB315+V315)</f>
        <v/>
      </c>
      <c r="AG315" s="7">
        <f>IF($AH315="","",AF315-AD315-N315)</f>
        <v/>
      </c>
      <c r="AH315" s="13">
        <f>IF(ROWS($AH$2:$AH315)&lt;=MAX('Per Line'!$AL$2:$AL$1601),MATCH(ROWS($AH$2:$AH315),'Per Line'!$AL$2:$AL$1601,0),"")</f>
        <v/>
      </c>
    </row>
    <row r="316">
      <c r="A316" s="12" t="n"/>
      <c r="B316">
        <f>IF($AH316="","",INDEX('Per Line'!$D$2:$D$1601,$AH316)&amp;"")</f>
        <v/>
      </c>
      <c r="C316">
        <f>IF($AH316="","",INDEX('Per Line'!$A$2:$A$1601,$AH316)&amp;"")</f>
        <v/>
      </c>
      <c r="D316">
        <f>IF($AH316="","",INDEX('Per Line'!$B$2:$B$1601,$AH316))</f>
        <v/>
      </c>
      <c r="E316">
        <f>IF($AH316="","",INDEX('Per Line'!$C$2:$C$1601,$AH316)&amp;"")</f>
        <v/>
      </c>
      <c r="F316">
        <f>IF($AH316="","",INDEX('Per Line'!$E$2:$E$1601,$AH316)&amp;"")</f>
        <v/>
      </c>
      <c r="G316" s="11">
        <f>IF($AH316="","",INDEX('Per Line'!$F$2:$F$1601,$AH316))</f>
        <v/>
      </c>
      <c r="H316">
        <f>IF($AH316="","",INDEX('Per Line'!$G$2:$G$1601,$AH316)&amp;"")</f>
        <v/>
      </c>
      <c r="I316">
        <f>IF($AH316="","",INDEX('Per Line'!$I$2:$I$1601,$AH316)&amp;"")</f>
        <v/>
      </c>
      <c r="J316">
        <f>IF($AH316="","",INDEX('Per Line'!$J$2:$J$1601,$AH316)&amp;"")</f>
        <v/>
      </c>
      <c r="K316">
        <f>IF($AH316="","",INDEX('Per Line'!$K$2:$K$1601,$AH316)&amp;"")</f>
        <v/>
      </c>
      <c r="L316">
        <f>IF($AH316="","",INDEX('Per Line'!$L$2:$L$1601,$AH316)&amp;"")</f>
        <v/>
      </c>
      <c r="M316">
        <f>IF($AH316="","",INDEX('Per Line'!$M$2:$M$1601,$AH316))</f>
        <v/>
      </c>
      <c r="N316" s="7">
        <f>IF($AH316="","",M316*AE316/100)</f>
        <v/>
      </c>
      <c r="O316">
        <f>IF($AH316="","",INDEX('Per Line'!$Z$2:$Z$1601,$AH316)&amp;"")</f>
        <v/>
      </c>
      <c r="P316">
        <f>IF($AH316="","",INDEX('Per Line'!$AC$2:$AC$1601,$AH316)&amp;"")</f>
        <v/>
      </c>
      <c r="Q316">
        <f>IF($AH316="","",INDEX('Per Line'!$AD$2:$AD$1601,$AH316))</f>
        <v/>
      </c>
      <c r="R316">
        <f>IF($AH316="","",IF(AND(ISNUMBER(Q316),Q316&gt;0),AF316&gt;Q316,FALSE))</f>
        <v/>
      </c>
      <c r="S316">
        <f>IF($AH316="","",INDEX('Per Line'!$AH$2:$AH$1601,$AH316)&amp;"")</f>
        <v/>
      </c>
      <c r="T316" s="11">
        <f>IF($AH316="","",INDEX('Per Line'!$AI$2:$AI$1601,$AH316))</f>
        <v/>
      </c>
      <c r="U316">
        <f>IF($AH316="","",Settings!$C$8)</f>
        <v/>
      </c>
      <c r="V316" s="7">
        <f>IF($AH316="","",SUMIFS('Per Line'!$V$2:$V$1601,'Per Line'!$D$2:$D$1601,$B316,'Per Line'!$AN$2:$AN$1601,1))</f>
        <v/>
      </c>
      <c r="W316" s="7">
        <f>IF($AH316="","",V316*U316)</f>
        <v/>
      </c>
      <c r="X316">
        <f>IF($AH316="","",Settings!$C$7)</f>
        <v/>
      </c>
      <c r="Y316" s="7">
        <f>IF($AH316="","",SUMIFS('Per Line'!$V$2:$V$1601,'Per Line'!$D$2:$D$1601,$B316,'Per Line'!$AM$2:$AM$1601,0,'Per Line'!$AN$2:$AN$1601,0))</f>
        <v/>
      </c>
      <c r="Z316" s="7">
        <f>IF($AH316="","",Y316*X316)</f>
        <v/>
      </c>
      <c r="AA316">
        <f>IF($AH316="","",Settings!$C$6)</f>
        <v/>
      </c>
      <c r="AB316" s="7">
        <f>IF($AH316="","",SUMIFS('Per Line'!$V$2:$V$1601,'Per Line'!$D$2:$D$1601,$B316,'Per Line'!$AM$2:$AM$1601,1,'Per Line'!$AN$2:$AN$1601,0))</f>
        <v/>
      </c>
      <c r="AC316" s="7">
        <f>IF($AH316="","",AB316*AA316)</f>
        <v/>
      </c>
      <c r="AD316" s="7">
        <f>IF($AH316="","",AC316+Z316+W316)</f>
        <v/>
      </c>
      <c r="AE316" s="7">
        <f>IF($AH316="","",AF316-AD316)</f>
        <v/>
      </c>
      <c r="AF316" s="7">
        <f>IF($AH316="","",Y316+AB316+V316)</f>
        <v/>
      </c>
      <c r="AG316" s="7">
        <f>IF($AH316="","",AF316-AD316-N316)</f>
        <v/>
      </c>
      <c r="AH316" s="13">
        <f>IF(ROWS($AH$2:$AH316)&lt;=MAX('Per Line'!$AL$2:$AL$1601),MATCH(ROWS($AH$2:$AH316),'Per Line'!$AL$2:$AL$1601,0),"")</f>
        <v/>
      </c>
    </row>
    <row r="317">
      <c r="A317" s="12" t="n"/>
      <c r="B317">
        <f>IF($AH317="","",INDEX('Per Line'!$D$2:$D$1601,$AH317)&amp;"")</f>
        <v/>
      </c>
      <c r="C317">
        <f>IF($AH317="","",INDEX('Per Line'!$A$2:$A$1601,$AH317)&amp;"")</f>
        <v/>
      </c>
      <c r="D317">
        <f>IF($AH317="","",INDEX('Per Line'!$B$2:$B$1601,$AH317))</f>
        <v/>
      </c>
      <c r="E317">
        <f>IF($AH317="","",INDEX('Per Line'!$C$2:$C$1601,$AH317)&amp;"")</f>
        <v/>
      </c>
      <c r="F317">
        <f>IF($AH317="","",INDEX('Per Line'!$E$2:$E$1601,$AH317)&amp;"")</f>
        <v/>
      </c>
      <c r="G317" s="11">
        <f>IF($AH317="","",INDEX('Per Line'!$F$2:$F$1601,$AH317))</f>
        <v/>
      </c>
      <c r="H317">
        <f>IF($AH317="","",INDEX('Per Line'!$G$2:$G$1601,$AH317)&amp;"")</f>
        <v/>
      </c>
      <c r="I317">
        <f>IF($AH317="","",INDEX('Per Line'!$I$2:$I$1601,$AH317)&amp;"")</f>
        <v/>
      </c>
      <c r="J317">
        <f>IF($AH317="","",INDEX('Per Line'!$J$2:$J$1601,$AH317)&amp;"")</f>
        <v/>
      </c>
      <c r="K317">
        <f>IF($AH317="","",INDEX('Per Line'!$K$2:$K$1601,$AH317)&amp;"")</f>
        <v/>
      </c>
      <c r="L317">
        <f>IF($AH317="","",INDEX('Per Line'!$L$2:$L$1601,$AH317)&amp;"")</f>
        <v/>
      </c>
      <c r="M317">
        <f>IF($AH317="","",INDEX('Per Line'!$M$2:$M$1601,$AH317))</f>
        <v/>
      </c>
      <c r="N317" s="7">
        <f>IF($AH317="","",M317*AE317/100)</f>
        <v/>
      </c>
      <c r="O317">
        <f>IF($AH317="","",INDEX('Per Line'!$Z$2:$Z$1601,$AH317)&amp;"")</f>
        <v/>
      </c>
      <c r="P317">
        <f>IF($AH317="","",INDEX('Per Line'!$AC$2:$AC$1601,$AH317)&amp;"")</f>
        <v/>
      </c>
      <c r="Q317">
        <f>IF($AH317="","",INDEX('Per Line'!$AD$2:$AD$1601,$AH317))</f>
        <v/>
      </c>
      <c r="R317">
        <f>IF($AH317="","",IF(AND(ISNUMBER(Q317),Q317&gt;0),AF317&gt;Q317,FALSE))</f>
        <v/>
      </c>
      <c r="S317">
        <f>IF($AH317="","",INDEX('Per Line'!$AH$2:$AH$1601,$AH317)&amp;"")</f>
        <v/>
      </c>
      <c r="T317" s="11">
        <f>IF($AH317="","",INDEX('Per Line'!$AI$2:$AI$1601,$AH317))</f>
        <v/>
      </c>
      <c r="U317">
        <f>IF($AH317="","",Settings!$C$8)</f>
        <v/>
      </c>
      <c r="V317" s="7">
        <f>IF($AH317="","",SUMIFS('Per Line'!$V$2:$V$1601,'Per Line'!$D$2:$D$1601,$B317,'Per Line'!$AN$2:$AN$1601,1))</f>
        <v/>
      </c>
      <c r="W317" s="7">
        <f>IF($AH317="","",V317*U317)</f>
        <v/>
      </c>
      <c r="X317">
        <f>IF($AH317="","",Settings!$C$7)</f>
        <v/>
      </c>
      <c r="Y317" s="7">
        <f>IF($AH317="","",SUMIFS('Per Line'!$V$2:$V$1601,'Per Line'!$D$2:$D$1601,$B317,'Per Line'!$AM$2:$AM$1601,0,'Per Line'!$AN$2:$AN$1601,0))</f>
        <v/>
      </c>
      <c r="Z317" s="7">
        <f>IF($AH317="","",Y317*X317)</f>
        <v/>
      </c>
      <c r="AA317">
        <f>IF($AH317="","",Settings!$C$6)</f>
        <v/>
      </c>
      <c r="AB317" s="7">
        <f>IF($AH317="","",SUMIFS('Per Line'!$V$2:$V$1601,'Per Line'!$D$2:$D$1601,$B317,'Per Line'!$AM$2:$AM$1601,1,'Per Line'!$AN$2:$AN$1601,0))</f>
        <v/>
      </c>
      <c r="AC317" s="7">
        <f>IF($AH317="","",AB317*AA317)</f>
        <v/>
      </c>
      <c r="AD317" s="7">
        <f>IF($AH317="","",AC317+Z317+W317)</f>
        <v/>
      </c>
      <c r="AE317" s="7">
        <f>IF($AH317="","",AF317-AD317)</f>
        <v/>
      </c>
      <c r="AF317" s="7">
        <f>IF($AH317="","",Y317+AB317+V317)</f>
        <v/>
      </c>
      <c r="AG317" s="7">
        <f>IF($AH317="","",AF317-AD317-N317)</f>
        <v/>
      </c>
      <c r="AH317" s="13">
        <f>IF(ROWS($AH$2:$AH317)&lt;=MAX('Per Line'!$AL$2:$AL$1601),MATCH(ROWS($AH$2:$AH317),'Per Line'!$AL$2:$AL$1601,0),"")</f>
        <v/>
      </c>
    </row>
    <row r="318">
      <c r="A318" s="12" t="n"/>
      <c r="B318">
        <f>IF($AH318="","",INDEX('Per Line'!$D$2:$D$1601,$AH318)&amp;"")</f>
        <v/>
      </c>
      <c r="C318">
        <f>IF($AH318="","",INDEX('Per Line'!$A$2:$A$1601,$AH318)&amp;"")</f>
        <v/>
      </c>
      <c r="D318">
        <f>IF($AH318="","",INDEX('Per Line'!$B$2:$B$1601,$AH318))</f>
        <v/>
      </c>
      <c r="E318">
        <f>IF($AH318="","",INDEX('Per Line'!$C$2:$C$1601,$AH318)&amp;"")</f>
        <v/>
      </c>
      <c r="F318">
        <f>IF($AH318="","",INDEX('Per Line'!$E$2:$E$1601,$AH318)&amp;"")</f>
        <v/>
      </c>
      <c r="G318" s="11">
        <f>IF($AH318="","",INDEX('Per Line'!$F$2:$F$1601,$AH318))</f>
        <v/>
      </c>
      <c r="H318">
        <f>IF($AH318="","",INDEX('Per Line'!$G$2:$G$1601,$AH318)&amp;"")</f>
        <v/>
      </c>
      <c r="I318">
        <f>IF($AH318="","",INDEX('Per Line'!$I$2:$I$1601,$AH318)&amp;"")</f>
        <v/>
      </c>
      <c r="J318">
        <f>IF($AH318="","",INDEX('Per Line'!$J$2:$J$1601,$AH318)&amp;"")</f>
        <v/>
      </c>
      <c r="K318">
        <f>IF($AH318="","",INDEX('Per Line'!$K$2:$K$1601,$AH318)&amp;"")</f>
        <v/>
      </c>
      <c r="L318">
        <f>IF($AH318="","",INDEX('Per Line'!$L$2:$L$1601,$AH318)&amp;"")</f>
        <v/>
      </c>
      <c r="M318">
        <f>IF($AH318="","",INDEX('Per Line'!$M$2:$M$1601,$AH318))</f>
        <v/>
      </c>
      <c r="N318" s="7">
        <f>IF($AH318="","",M318*AE318/100)</f>
        <v/>
      </c>
      <c r="O318">
        <f>IF($AH318="","",INDEX('Per Line'!$Z$2:$Z$1601,$AH318)&amp;"")</f>
        <v/>
      </c>
      <c r="P318">
        <f>IF($AH318="","",INDEX('Per Line'!$AC$2:$AC$1601,$AH318)&amp;"")</f>
        <v/>
      </c>
      <c r="Q318">
        <f>IF($AH318="","",INDEX('Per Line'!$AD$2:$AD$1601,$AH318))</f>
        <v/>
      </c>
      <c r="R318">
        <f>IF($AH318="","",IF(AND(ISNUMBER(Q318),Q318&gt;0),AF318&gt;Q318,FALSE))</f>
        <v/>
      </c>
      <c r="S318">
        <f>IF($AH318="","",INDEX('Per Line'!$AH$2:$AH$1601,$AH318)&amp;"")</f>
        <v/>
      </c>
      <c r="T318" s="11">
        <f>IF($AH318="","",INDEX('Per Line'!$AI$2:$AI$1601,$AH318))</f>
        <v/>
      </c>
      <c r="U318">
        <f>IF($AH318="","",Settings!$C$8)</f>
        <v/>
      </c>
      <c r="V318" s="7">
        <f>IF($AH318="","",SUMIFS('Per Line'!$V$2:$V$1601,'Per Line'!$D$2:$D$1601,$B318,'Per Line'!$AN$2:$AN$1601,1))</f>
        <v/>
      </c>
      <c r="W318" s="7">
        <f>IF($AH318="","",V318*U318)</f>
        <v/>
      </c>
      <c r="X318">
        <f>IF($AH318="","",Settings!$C$7)</f>
        <v/>
      </c>
      <c r="Y318" s="7">
        <f>IF($AH318="","",SUMIFS('Per Line'!$V$2:$V$1601,'Per Line'!$D$2:$D$1601,$B318,'Per Line'!$AM$2:$AM$1601,0,'Per Line'!$AN$2:$AN$1601,0))</f>
        <v/>
      </c>
      <c r="Z318" s="7">
        <f>IF($AH318="","",Y318*X318)</f>
        <v/>
      </c>
      <c r="AA318">
        <f>IF($AH318="","",Settings!$C$6)</f>
        <v/>
      </c>
      <c r="AB318" s="7">
        <f>IF($AH318="","",SUMIFS('Per Line'!$V$2:$V$1601,'Per Line'!$D$2:$D$1601,$B318,'Per Line'!$AM$2:$AM$1601,1,'Per Line'!$AN$2:$AN$1601,0))</f>
        <v/>
      </c>
      <c r="AC318" s="7">
        <f>IF($AH318="","",AB318*AA318)</f>
        <v/>
      </c>
      <c r="AD318" s="7">
        <f>IF($AH318="","",AC318+Z318+W318)</f>
        <v/>
      </c>
      <c r="AE318" s="7">
        <f>IF($AH318="","",AF318-AD318)</f>
        <v/>
      </c>
      <c r="AF318" s="7">
        <f>IF($AH318="","",Y318+AB318+V318)</f>
        <v/>
      </c>
      <c r="AG318" s="7">
        <f>IF($AH318="","",AF318-AD318-N318)</f>
        <v/>
      </c>
      <c r="AH318" s="13">
        <f>IF(ROWS($AH$2:$AH318)&lt;=MAX('Per Line'!$AL$2:$AL$1601),MATCH(ROWS($AH$2:$AH318),'Per Line'!$AL$2:$AL$1601,0),"")</f>
        <v/>
      </c>
    </row>
    <row r="319">
      <c r="A319" s="12" t="n"/>
      <c r="B319">
        <f>IF($AH319="","",INDEX('Per Line'!$D$2:$D$1601,$AH319)&amp;"")</f>
        <v/>
      </c>
      <c r="C319">
        <f>IF($AH319="","",INDEX('Per Line'!$A$2:$A$1601,$AH319)&amp;"")</f>
        <v/>
      </c>
      <c r="D319">
        <f>IF($AH319="","",INDEX('Per Line'!$B$2:$B$1601,$AH319))</f>
        <v/>
      </c>
      <c r="E319">
        <f>IF($AH319="","",INDEX('Per Line'!$C$2:$C$1601,$AH319)&amp;"")</f>
        <v/>
      </c>
      <c r="F319">
        <f>IF($AH319="","",INDEX('Per Line'!$E$2:$E$1601,$AH319)&amp;"")</f>
        <v/>
      </c>
      <c r="G319" s="11">
        <f>IF($AH319="","",INDEX('Per Line'!$F$2:$F$1601,$AH319))</f>
        <v/>
      </c>
      <c r="H319">
        <f>IF($AH319="","",INDEX('Per Line'!$G$2:$G$1601,$AH319)&amp;"")</f>
        <v/>
      </c>
      <c r="I319">
        <f>IF($AH319="","",INDEX('Per Line'!$I$2:$I$1601,$AH319)&amp;"")</f>
        <v/>
      </c>
      <c r="J319">
        <f>IF($AH319="","",INDEX('Per Line'!$J$2:$J$1601,$AH319)&amp;"")</f>
        <v/>
      </c>
      <c r="K319">
        <f>IF($AH319="","",INDEX('Per Line'!$K$2:$K$1601,$AH319)&amp;"")</f>
        <v/>
      </c>
      <c r="L319">
        <f>IF($AH319="","",INDEX('Per Line'!$L$2:$L$1601,$AH319)&amp;"")</f>
        <v/>
      </c>
      <c r="M319">
        <f>IF($AH319="","",INDEX('Per Line'!$M$2:$M$1601,$AH319))</f>
        <v/>
      </c>
      <c r="N319" s="7">
        <f>IF($AH319="","",M319*AE319/100)</f>
        <v/>
      </c>
      <c r="O319">
        <f>IF($AH319="","",INDEX('Per Line'!$Z$2:$Z$1601,$AH319)&amp;"")</f>
        <v/>
      </c>
      <c r="P319">
        <f>IF($AH319="","",INDEX('Per Line'!$AC$2:$AC$1601,$AH319)&amp;"")</f>
        <v/>
      </c>
      <c r="Q319">
        <f>IF($AH319="","",INDEX('Per Line'!$AD$2:$AD$1601,$AH319))</f>
        <v/>
      </c>
      <c r="R319">
        <f>IF($AH319="","",IF(AND(ISNUMBER(Q319),Q319&gt;0),AF319&gt;Q319,FALSE))</f>
        <v/>
      </c>
      <c r="S319">
        <f>IF($AH319="","",INDEX('Per Line'!$AH$2:$AH$1601,$AH319)&amp;"")</f>
        <v/>
      </c>
      <c r="T319" s="11">
        <f>IF($AH319="","",INDEX('Per Line'!$AI$2:$AI$1601,$AH319))</f>
        <v/>
      </c>
      <c r="U319">
        <f>IF($AH319="","",Settings!$C$8)</f>
        <v/>
      </c>
      <c r="V319" s="7">
        <f>IF($AH319="","",SUMIFS('Per Line'!$V$2:$V$1601,'Per Line'!$D$2:$D$1601,$B319,'Per Line'!$AN$2:$AN$1601,1))</f>
        <v/>
      </c>
      <c r="W319" s="7">
        <f>IF($AH319="","",V319*U319)</f>
        <v/>
      </c>
      <c r="X319">
        <f>IF($AH319="","",Settings!$C$7)</f>
        <v/>
      </c>
      <c r="Y319" s="7">
        <f>IF($AH319="","",SUMIFS('Per Line'!$V$2:$V$1601,'Per Line'!$D$2:$D$1601,$B319,'Per Line'!$AM$2:$AM$1601,0,'Per Line'!$AN$2:$AN$1601,0))</f>
        <v/>
      </c>
      <c r="Z319" s="7">
        <f>IF($AH319="","",Y319*X319)</f>
        <v/>
      </c>
      <c r="AA319">
        <f>IF($AH319="","",Settings!$C$6)</f>
        <v/>
      </c>
      <c r="AB319" s="7">
        <f>IF($AH319="","",SUMIFS('Per Line'!$V$2:$V$1601,'Per Line'!$D$2:$D$1601,$B319,'Per Line'!$AM$2:$AM$1601,1,'Per Line'!$AN$2:$AN$1601,0))</f>
        <v/>
      </c>
      <c r="AC319" s="7">
        <f>IF($AH319="","",AB319*AA319)</f>
        <v/>
      </c>
      <c r="AD319" s="7">
        <f>IF($AH319="","",AC319+Z319+W319)</f>
        <v/>
      </c>
      <c r="AE319" s="7">
        <f>IF($AH319="","",AF319-AD319)</f>
        <v/>
      </c>
      <c r="AF319" s="7">
        <f>IF($AH319="","",Y319+AB319+V319)</f>
        <v/>
      </c>
      <c r="AG319" s="7">
        <f>IF($AH319="","",AF319-AD319-N319)</f>
        <v/>
      </c>
      <c r="AH319" s="13">
        <f>IF(ROWS($AH$2:$AH319)&lt;=MAX('Per Line'!$AL$2:$AL$1601),MATCH(ROWS($AH$2:$AH319),'Per Line'!$AL$2:$AL$1601,0),"")</f>
        <v/>
      </c>
    </row>
    <row r="320">
      <c r="A320" s="12" t="n"/>
      <c r="B320">
        <f>IF($AH320="","",INDEX('Per Line'!$D$2:$D$1601,$AH320)&amp;"")</f>
        <v/>
      </c>
      <c r="C320">
        <f>IF($AH320="","",INDEX('Per Line'!$A$2:$A$1601,$AH320)&amp;"")</f>
        <v/>
      </c>
      <c r="D320">
        <f>IF($AH320="","",INDEX('Per Line'!$B$2:$B$1601,$AH320))</f>
        <v/>
      </c>
      <c r="E320">
        <f>IF($AH320="","",INDEX('Per Line'!$C$2:$C$1601,$AH320)&amp;"")</f>
        <v/>
      </c>
      <c r="F320">
        <f>IF($AH320="","",INDEX('Per Line'!$E$2:$E$1601,$AH320)&amp;"")</f>
        <v/>
      </c>
      <c r="G320" s="11">
        <f>IF($AH320="","",INDEX('Per Line'!$F$2:$F$1601,$AH320))</f>
        <v/>
      </c>
      <c r="H320">
        <f>IF($AH320="","",INDEX('Per Line'!$G$2:$G$1601,$AH320)&amp;"")</f>
        <v/>
      </c>
      <c r="I320">
        <f>IF($AH320="","",INDEX('Per Line'!$I$2:$I$1601,$AH320)&amp;"")</f>
        <v/>
      </c>
      <c r="J320">
        <f>IF($AH320="","",INDEX('Per Line'!$J$2:$J$1601,$AH320)&amp;"")</f>
        <v/>
      </c>
      <c r="K320">
        <f>IF($AH320="","",INDEX('Per Line'!$K$2:$K$1601,$AH320)&amp;"")</f>
        <v/>
      </c>
      <c r="L320">
        <f>IF($AH320="","",INDEX('Per Line'!$L$2:$L$1601,$AH320)&amp;"")</f>
        <v/>
      </c>
      <c r="M320">
        <f>IF($AH320="","",INDEX('Per Line'!$M$2:$M$1601,$AH320))</f>
        <v/>
      </c>
      <c r="N320" s="7">
        <f>IF($AH320="","",M320*AE320/100)</f>
        <v/>
      </c>
      <c r="O320">
        <f>IF($AH320="","",INDEX('Per Line'!$Z$2:$Z$1601,$AH320)&amp;"")</f>
        <v/>
      </c>
      <c r="P320">
        <f>IF($AH320="","",INDEX('Per Line'!$AC$2:$AC$1601,$AH320)&amp;"")</f>
        <v/>
      </c>
      <c r="Q320">
        <f>IF($AH320="","",INDEX('Per Line'!$AD$2:$AD$1601,$AH320))</f>
        <v/>
      </c>
      <c r="R320">
        <f>IF($AH320="","",IF(AND(ISNUMBER(Q320),Q320&gt;0),AF320&gt;Q320,FALSE))</f>
        <v/>
      </c>
      <c r="S320">
        <f>IF($AH320="","",INDEX('Per Line'!$AH$2:$AH$1601,$AH320)&amp;"")</f>
        <v/>
      </c>
      <c r="T320" s="11">
        <f>IF($AH320="","",INDEX('Per Line'!$AI$2:$AI$1601,$AH320))</f>
        <v/>
      </c>
      <c r="U320">
        <f>IF($AH320="","",Settings!$C$8)</f>
        <v/>
      </c>
      <c r="V320" s="7">
        <f>IF($AH320="","",SUMIFS('Per Line'!$V$2:$V$1601,'Per Line'!$D$2:$D$1601,$B320,'Per Line'!$AN$2:$AN$1601,1))</f>
        <v/>
      </c>
      <c r="W320" s="7">
        <f>IF($AH320="","",V320*U320)</f>
        <v/>
      </c>
      <c r="X320">
        <f>IF($AH320="","",Settings!$C$7)</f>
        <v/>
      </c>
      <c r="Y320" s="7">
        <f>IF($AH320="","",SUMIFS('Per Line'!$V$2:$V$1601,'Per Line'!$D$2:$D$1601,$B320,'Per Line'!$AM$2:$AM$1601,0,'Per Line'!$AN$2:$AN$1601,0))</f>
        <v/>
      </c>
      <c r="Z320" s="7">
        <f>IF($AH320="","",Y320*X320)</f>
        <v/>
      </c>
      <c r="AA320">
        <f>IF($AH320="","",Settings!$C$6)</f>
        <v/>
      </c>
      <c r="AB320" s="7">
        <f>IF($AH320="","",SUMIFS('Per Line'!$V$2:$V$1601,'Per Line'!$D$2:$D$1601,$B320,'Per Line'!$AM$2:$AM$1601,1,'Per Line'!$AN$2:$AN$1601,0))</f>
        <v/>
      </c>
      <c r="AC320" s="7">
        <f>IF($AH320="","",AB320*AA320)</f>
        <v/>
      </c>
      <c r="AD320" s="7">
        <f>IF($AH320="","",AC320+Z320+W320)</f>
        <v/>
      </c>
      <c r="AE320" s="7">
        <f>IF($AH320="","",AF320-AD320)</f>
        <v/>
      </c>
      <c r="AF320" s="7">
        <f>IF($AH320="","",Y320+AB320+V320)</f>
        <v/>
      </c>
      <c r="AG320" s="7">
        <f>IF($AH320="","",AF320-AD320-N320)</f>
        <v/>
      </c>
      <c r="AH320" s="13">
        <f>IF(ROWS($AH$2:$AH320)&lt;=MAX('Per Line'!$AL$2:$AL$1601),MATCH(ROWS($AH$2:$AH320),'Per Line'!$AL$2:$AL$1601,0),"")</f>
        <v/>
      </c>
    </row>
    <row r="321">
      <c r="A321" s="12" t="n"/>
      <c r="B321">
        <f>IF($AH321="","",INDEX('Per Line'!$D$2:$D$1601,$AH321)&amp;"")</f>
        <v/>
      </c>
      <c r="C321">
        <f>IF($AH321="","",INDEX('Per Line'!$A$2:$A$1601,$AH321)&amp;"")</f>
        <v/>
      </c>
      <c r="D321">
        <f>IF($AH321="","",INDEX('Per Line'!$B$2:$B$1601,$AH321))</f>
        <v/>
      </c>
      <c r="E321">
        <f>IF($AH321="","",INDEX('Per Line'!$C$2:$C$1601,$AH321)&amp;"")</f>
        <v/>
      </c>
      <c r="F321">
        <f>IF($AH321="","",INDEX('Per Line'!$E$2:$E$1601,$AH321)&amp;"")</f>
        <v/>
      </c>
      <c r="G321" s="11">
        <f>IF($AH321="","",INDEX('Per Line'!$F$2:$F$1601,$AH321))</f>
        <v/>
      </c>
      <c r="H321">
        <f>IF($AH321="","",INDEX('Per Line'!$G$2:$G$1601,$AH321)&amp;"")</f>
        <v/>
      </c>
      <c r="I321">
        <f>IF($AH321="","",INDEX('Per Line'!$I$2:$I$1601,$AH321)&amp;"")</f>
        <v/>
      </c>
      <c r="J321">
        <f>IF($AH321="","",INDEX('Per Line'!$J$2:$J$1601,$AH321)&amp;"")</f>
        <v/>
      </c>
      <c r="K321">
        <f>IF($AH321="","",INDEX('Per Line'!$K$2:$K$1601,$AH321)&amp;"")</f>
        <v/>
      </c>
      <c r="L321">
        <f>IF($AH321="","",INDEX('Per Line'!$L$2:$L$1601,$AH321)&amp;"")</f>
        <v/>
      </c>
      <c r="M321">
        <f>IF($AH321="","",INDEX('Per Line'!$M$2:$M$1601,$AH321))</f>
        <v/>
      </c>
      <c r="N321" s="7">
        <f>IF($AH321="","",M321*AE321/100)</f>
        <v/>
      </c>
      <c r="O321">
        <f>IF($AH321="","",INDEX('Per Line'!$Z$2:$Z$1601,$AH321)&amp;"")</f>
        <v/>
      </c>
      <c r="P321">
        <f>IF($AH321="","",INDEX('Per Line'!$AC$2:$AC$1601,$AH321)&amp;"")</f>
        <v/>
      </c>
      <c r="Q321">
        <f>IF($AH321="","",INDEX('Per Line'!$AD$2:$AD$1601,$AH321))</f>
        <v/>
      </c>
      <c r="R321">
        <f>IF($AH321="","",IF(AND(ISNUMBER(Q321),Q321&gt;0),AF321&gt;Q321,FALSE))</f>
        <v/>
      </c>
      <c r="S321">
        <f>IF($AH321="","",INDEX('Per Line'!$AH$2:$AH$1601,$AH321)&amp;"")</f>
        <v/>
      </c>
      <c r="T321" s="11">
        <f>IF($AH321="","",INDEX('Per Line'!$AI$2:$AI$1601,$AH321))</f>
        <v/>
      </c>
      <c r="U321">
        <f>IF($AH321="","",Settings!$C$8)</f>
        <v/>
      </c>
      <c r="V321" s="7">
        <f>IF($AH321="","",SUMIFS('Per Line'!$V$2:$V$1601,'Per Line'!$D$2:$D$1601,$B321,'Per Line'!$AN$2:$AN$1601,1))</f>
        <v/>
      </c>
      <c r="W321" s="7">
        <f>IF($AH321="","",V321*U321)</f>
        <v/>
      </c>
      <c r="X321">
        <f>IF($AH321="","",Settings!$C$7)</f>
        <v/>
      </c>
      <c r="Y321" s="7">
        <f>IF($AH321="","",SUMIFS('Per Line'!$V$2:$V$1601,'Per Line'!$D$2:$D$1601,$B321,'Per Line'!$AM$2:$AM$1601,0,'Per Line'!$AN$2:$AN$1601,0))</f>
        <v/>
      </c>
      <c r="Z321" s="7">
        <f>IF($AH321="","",Y321*X321)</f>
        <v/>
      </c>
      <c r="AA321">
        <f>IF($AH321="","",Settings!$C$6)</f>
        <v/>
      </c>
      <c r="AB321" s="7">
        <f>IF($AH321="","",SUMIFS('Per Line'!$V$2:$V$1601,'Per Line'!$D$2:$D$1601,$B321,'Per Line'!$AM$2:$AM$1601,1,'Per Line'!$AN$2:$AN$1601,0))</f>
        <v/>
      </c>
      <c r="AC321" s="7">
        <f>IF($AH321="","",AB321*AA321)</f>
        <v/>
      </c>
      <c r="AD321" s="7">
        <f>IF($AH321="","",AC321+Z321+W321)</f>
        <v/>
      </c>
      <c r="AE321" s="7">
        <f>IF($AH321="","",AF321-AD321)</f>
        <v/>
      </c>
      <c r="AF321" s="7">
        <f>IF($AH321="","",Y321+AB321+V321)</f>
        <v/>
      </c>
      <c r="AG321" s="7">
        <f>IF($AH321="","",AF321-AD321-N321)</f>
        <v/>
      </c>
      <c r="AH321" s="13">
        <f>IF(ROWS($AH$2:$AH321)&lt;=MAX('Per Line'!$AL$2:$AL$1601),MATCH(ROWS($AH$2:$AH321),'Per Line'!$AL$2:$AL$1601,0),"")</f>
        <v/>
      </c>
    </row>
    <row r="322">
      <c r="A322" s="12" t="n"/>
      <c r="B322">
        <f>IF($AH322="","",INDEX('Per Line'!$D$2:$D$1601,$AH322)&amp;"")</f>
        <v/>
      </c>
      <c r="C322">
        <f>IF($AH322="","",INDEX('Per Line'!$A$2:$A$1601,$AH322)&amp;"")</f>
        <v/>
      </c>
      <c r="D322">
        <f>IF($AH322="","",INDEX('Per Line'!$B$2:$B$1601,$AH322))</f>
        <v/>
      </c>
      <c r="E322">
        <f>IF($AH322="","",INDEX('Per Line'!$C$2:$C$1601,$AH322)&amp;"")</f>
        <v/>
      </c>
      <c r="F322">
        <f>IF($AH322="","",INDEX('Per Line'!$E$2:$E$1601,$AH322)&amp;"")</f>
        <v/>
      </c>
      <c r="G322" s="11">
        <f>IF($AH322="","",INDEX('Per Line'!$F$2:$F$1601,$AH322))</f>
        <v/>
      </c>
      <c r="H322">
        <f>IF($AH322="","",INDEX('Per Line'!$G$2:$G$1601,$AH322)&amp;"")</f>
        <v/>
      </c>
      <c r="I322">
        <f>IF($AH322="","",INDEX('Per Line'!$I$2:$I$1601,$AH322)&amp;"")</f>
        <v/>
      </c>
      <c r="J322">
        <f>IF($AH322="","",INDEX('Per Line'!$J$2:$J$1601,$AH322)&amp;"")</f>
        <v/>
      </c>
      <c r="K322">
        <f>IF($AH322="","",INDEX('Per Line'!$K$2:$K$1601,$AH322)&amp;"")</f>
        <v/>
      </c>
      <c r="L322">
        <f>IF($AH322="","",INDEX('Per Line'!$L$2:$L$1601,$AH322)&amp;"")</f>
        <v/>
      </c>
      <c r="M322">
        <f>IF($AH322="","",INDEX('Per Line'!$M$2:$M$1601,$AH322))</f>
        <v/>
      </c>
      <c r="N322" s="7">
        <f>IF($AH322="","",M322*AE322/100)</f>
        <v/>
      </c>
      <c r="O322">
        <f>IF($AH322="","",INDEX('Per Line'!$Z$2:$Z$1601,$AH322)&amp;"")</f>
        <v/>
      </c>
      <c r="P322">
        <f>IF($AH322="","",INDEX('Per Line'!$AC$2:$AC$1601,$AH322)&amp;"")</f>
        <v/>
      </c>
      <c r="Q322">
        <f>IF($AH322="","",INDEX('Per Line'!$AD$2:$AD$1601,$AH322))</f>
        <v/>
      </c>
      <c r="R322">
        <f>IF($AH322="","",IF(AND(ISNUMBER(Q322),Q322&gt;0),AF322&gt;Q322,FALSE))</f>
        <v/>
      </c>
      <c r="S322">
        <f>IF($AH322="","",INDEX('Per Line'!$AH$2:$AH$1601,$AH322)&amp;"")</f>
        <v/>
      </c>
      <c r="T322" s="11">
        <f>IF($AH322="","",INDEX('Per Line'!$AI$2:$AI$1601,$AH322))</f>
        <v/>
      </c>
      <c r="U322">
        <f>IF($AH322="","",Settings!$C$8)</f>
        <v/>
      </c>
      <c r="V322" s="7">
        <f>IF($AH322="","",SUMIFS('Per Line'!$V$2:$V$1601,'Per Line'!$D$2:$D$1601,$B322,'Per Line'!$AN$2:$AN$1601,1))</f>
        <v/>
      </c>
      <c r="W322" s="7">
        <f>IF($AH322="","",V322*U322)</f>
        <v/>
      </c>
      <c r="X322">
        <f>IF($AH322="","",Settings!$C$7)</f>
        <v/>
      </c>
      <c r="Y322" s="7">
        <f>IF($AH322="","",SUMIFS('Per Line'!$V$2:$V$1601,'Per Line'!$D$2:$D$1601,$B322,'Per Line'!$AM$2:$AM$1601,0,'Per Line'!$AN$2:$AN$1601,0))</f>
        <v/>
      </c>
      <c r="Z322" s="7">
        <f>IF($AH322="","",Y322*X322)</f>
        <v/>
      </c>
      <c r="AA322">
        <f>IF($AH322="","",Settings!$C$6)</f>
        <v/>
      </c>
      <c r="AB322" s="7">
        <f>IF($AH322="","",SUMIFS('Per Line'!$V$2:$V$1601,'Per Line'!$D$2:$D$1601,$B322,'Per Line'!$AM$2:$AM$1601,1,'Per Line'!$AN$2:$AN$1601,0))</f>
        <v/>
      </c>
      <c r="AC322" s="7">
        <f>IF($AH322="","",AB322*AA322)</f>
        <v/>
      </c>
      <c r="AD322" s="7">
        <f>IF($AH322="","",AC322+Z322+W322)</f>
        <v/>
      </c>
      <c r="AE322" s="7">
        <f>IF($AH322="","",AF322-AD322)</f>
        <v/>
      </c>
      <c r="AF322" s="7">
        <f>IF($AH322="","",Y322+AB322+V322)</f>
        <v/>
      </c>
      <c r="AG322" s="7">
        <f>IF($AH322="","",AF322-AD322-N322)</f>
        <v/>
      </c>
      <c r="AH322" s="13">
        <f>IF(ROWS($AH$2:$AH322)&lt;=MAX('Per Line'!$AL$2:$AL$1601),MATCH(ROWS($AH$2:$AH322),'Per Line'!$AL$2:$AL$1601,0),"")</f>
        <v/>
      </c>
    </row>
    <row r="323">
      <c r="A323" s="12" t="n"/>
      <c r="B323">
        <f>IF($AH323="","",INDEX('Per Line'!$D$2:$D$1601,$AH323)&amp;"")</f>
        <v/>
      </c>
      <c r="C323">
        <f>IF($AH323="","",INDEX('Per Line'!$A$2:$A$1601,$AH323)&amp;"")</f>
        <v/>
      </c>
      <c r="D323">
        <f>IF($AH323="","",INDEX('Per Line'!$B$2:$B$1601,$AH323))</f>
        <v/>
      </c>
      <c r="E323">
        <f>IF($AH323="","",INDEX('Per Line'!$C$2:$C$1601,$AH323)&amp;"")</f>
        <v/>
      </c>
      <c r="F323">
        <f>IF($AH323="","",INDEX('Per Line'!$E$2:$E$1601,$AH323)&amp;"")</f>
        <v/>
      </c>
      <c r="G323" s="11">
        <f>IF($AH323="","",INDEX('Per Line'!$F$2:$F$1601,$AH323))</f>
        <v/>
      </c>
      <c r="H323">
        <f>IF($AH323="","",INDEX('Per Line'!$G$2:$G$1601,$AH323)&amp;"")</f>
        <v/>
      </c>
      <c r="I323">
        <f>IF($AH323="","",INDEX('Per Line'!$I$2:$I$1601,$AH323)&amp;"")</f>
        <v/>
      </c>
      <c r="J323">
        <f>IF($AH323="","",INDEX('Per Line'!$J$2:$J$1601,$AH323)&amp;"")</f>
        <v/>
      </c>
      <c r="K323">
        <f>IF($AH323="","",INDEX('Per Line'!$K$2:$K$1601,$AH323)&amp;"")</f>
        <v/>
      </c>
      <c r="L323">
        <f>IF($AH323="","",INDEX('Per Line'!$L$2:$L$1601,$AH323)&amp;"")</f>
        <v/>
      </c>
      <c r="M323">
        <f>IF($AH323="","",INDEX('Per Line'!$M$2:$M$1601,$AH323))</f>
        <v/>
      </c>
      <c r="N323" s="7">
        <f>IF($AH323="","",M323*AE323/100)</f>
        <v/>
      </c>
      <c r="O323">
        <f>IF($AH323="","",INDEX('Per Line'!$Z$2:$Z$1601,$AH323)&amp;"")</f>
        <v/>
      </c>
      <c r="P323">
        <f>IF($AH323="","",INDEX('Per Line'!$AC$2:$AC$1601,$AH323)&amp;"")</f>
        <v/>
      </c>
      <c r="Q323">
        <f>IF($AH323="","",INDEX('Per Line'!$AD$2:$AD$1601,$AH323))</f>
        <v/>
      </c>
      <c r="R323">
        <f>IF($AH323="","",IF(AND(ISNUMBER(Q323),Q323&gt;0),AF323&gt;Q323,FALSE))</f>
        <v/>
      </c>
      <c r="S323">
        <f>IF($AH323="","",INDEX('Per Line'!$AH$2:$AH$1601,$AH323)&amp;"")</f>
        <v/>
      </c>
      <c r="T323" s="11">
        <f>IF($AH323="","",INDEX('Per Line'!$AI$2:$AI$1601,$AH323))</f>
        <v/>
      </c>
      <c r="U323">
        <f>IF($AH323="","",Settings!$C$8)</f>
        <v/>
      </c>
      <c r="V323" s="7">
        <f>IF($AH323="","",SUMIFS('Per Line'!$V$2:$V$1601,'Per Line'!$D$2:$D$1601,$B323,'Per Line'!$AN$2:$AN$1601,1))</f>
        <v/>
      </c>
      <c r="W323" s="7">
        <f>IF($AH323="","",V323*U323)</f>
        <v/>
      </c>
      <c r="X323">
        <f>IF($AH323="","",Settings!$C$7)</f>
        <v/>
      </c>
      <c r="Y323" s="7">
        <f>IF($AH323="","",SUMIFS('Per Line'!$V$2:$V$1601,'Per Line'!$D$2:$D$1601,$B323,'Per Line'!$AM$2:$AM$1601,0,'Per Line'!$AN$2:$AN$1601,0))</f>
        <v/>
      </c>
      <c r="Z323" s="7">
        <f>IF($AH323="","",Y323*X323)</f>
        <v/>
      </c>
      <c r="AA323">
        <f>IF($AH323="","",Settings!$C$6)</f>
        <v/>
      </c>
      <c r="AB323" s="7">
        <f>IF($AH323="","",SUMIFS('Per Line'!$V$2:$V$1601,'Per Line'!$D$2:$D$1601,$B323,'Per Line'!$AM$2:$AM$1601,1,'Per Line'!$AN$2:$AN$1601,0))</f>
        <v/>
      </c>
      <c r="AC323" s="7">
        <f>IF($AH323="","",AB323*AA323)</f>
        <v/>
      </c>
      <c r="AD323" s="7">
        <f>IF($AH323="","",AC323+Z323+W323)</f>
        <v/>
      </c>
      <c r="AE323" s="7">
        <f>IF($AH323="","",AF323-AD323)</f>
        <v/>
      </c>
      <c r="AF323" s="7">
        <f>IF($AH323="","",Y323+AB323+V323)</f>
        <v/>
      </c>
      <c r="AG323" s="7">
        <f>IF($AH323="","",AF323-AD323-N323)</f>
        <v/>
      </c>
      <c r="AH323" s="13">
        <f>IF(ROWS($AH$2:$AH323)&lt;=MAX('Per Line'!$AL$2:$AL$1601),MATCH(ROWS($AH$2:$AH323),'Per Line'!$AL$2:$AL$1601,0),"")</f>
        <v/>
      </c>
    </row>
    <row r="324">
      <c r="A324" s="12" t="n"/>
      <c r="B324">
        <f>IF($AH324="","",INDEX('Per Line'!$D$2:$D$1601,$AH324)&amp;"")</f>
        <v/>
      </c>
      <c r="C324">
        <f>IF($AH324="","",INDEX('Per Line'!$A$2:$A$1601,$AH324)&amp;"")</f>
        <v/>
      </c>
      <c r="D324">
        <f>IF($AH324="","",INDEX('Per Line'!$B$2:$B$1601,$AH324))</f>
        <v/>
      </c>
      <c r="E324">
        <f>IF($AH324="","",INDEX('Per Line'!$C$2:$C$1601,$AH324)&amp;"")</f>
        <v/>
      </c>
      <c r="F324">
        <f>IF($AH324="","",INDEX('Per Line'!$E$2:$E$1601,$AH324)&amp;"")</f>
        <v/>
      </c>
      <c r="G324" s="11">
        <f>IF($AH324="","",INDEX('Per Line'!$F$2:$F$1601,$AH324))</f>
        <v/>
      </c>
      <c r="H324">
        <f>IF($AH324="","",INDEX('Per Line'!$G$2:$G$1601,$AH324)&amp;"")</f>
        <v/>
      </c>
      <c r="I324">
        <f>IF($AH324="","",INDEX('Per Line'!$I$2:$I$1601,$AH324)&amp;"")</f>
        <v/>
      </c>
      <c r="J324">
        <f>IF($AH324="","",INDEX('Per Line'!$J$2:$J$1601,$AH324)&amp;"")</f>
        <v/>
      </c>
      <c r="K324">
        <f>IF($AH324="","",INDEX('Per Line'!$K$2:$K$1601,$AH324)&amp;"")</f>
        <v/>
      </c>
      <c r="L324">
        <f>IF($AH324="","",INDEX('Per Line'!$L$2:$L$1601,$AH324)&amp;"")</f>
        <v/>
      </c>
      <c r="M324">
        <f>IF($AH324="","",INDEX('Per Line'!$M$2:$M$1601,$AH324))</f>
        <v/>
      </c>
      <c r="N324" s="7">
        <f>IF($AH324="","",M324*AE324/100)</f>
        <v/>
      </c>
      <c r="O324">
        <f>IF($AH324="","",INDEX('Per Line'!$Z$2:$Z$1601,$AH324)&amp;"")</f>
        <v/>
      </c>
      <c r="P324">
        <f>IF($AH324="","",INDEX('Per Line'!$AC$2:$AC$1601,$AH324)&amp;"")</f>
        <v/>
      </c>
      <c r="Q324">
        <f>IF($AH324="","",INDEX('Per Line'!$AD$2:$AD$1601,$AH324))</f>
        <v/>
      </c>
      <c r="R324">
        <f>IF($AH324="","",IF(AND(ISNUMBER(Q324),Q324&gt;0),AF324&gt;Q324,FALSE))</f>
        <v/>
      </c>
      <c r="S324">
        <f>IF($AH324="","",INDEX('Per Line'!$AH$2:$AH$1601,$AH324)&amp;"")</f>
        <v/>
      </c>
      <c r="T324" s="11">
        <f>IF($AH324="","",INDEX('Per Line'!$AI$2:$AI$1601,$AH324))</f>
        <v/>
      </c>
      <c r="U324">
        <f>IF($AH324="","",Settings!$C$8)</f>
        <v/>
      </c>
      <c r="V324" s="7">
        <f>IF($AH324="","",SUMIFS('Per Line'!$V$2:$V$1601,'Per Line'!$D$2:$D$1601,$B324,'Per Line'!$AN$2:$AN$1601,1))</f>
        <v/>
      </c>
      <c r="W324" s="7">
        <f>IF($AH324="","",V324*U324)</f>
        <v/>
      </c>
      <c r="X324">
        <f>IF($AH324="","",Settings!$C$7)</f>
        <v/>
      </c>
      <c r="Y324" s="7">
        <f>IF($AH324="","",SUMIFS('Per Line'!$V$2:$V$1601,'Per Line'!$D$2:$D$1601,$B324,'Per Line'!$AM$2:$AM$1601,0,'Per Line'!$AN$2:$AN$1601,0))</f>
        <v/>
      </c>
      <c r="Z324" s="7">
        <f>IF($AH324="","",Y324*X324)</f>
        <v/>
      </c>
      <c r="AA324">
        <f>IF($AH324="","",Settings!$C$6)</f>
        <v/>
      </c>
      <c r="AB324" s="7">
        <f>IF($AH324="","",SUMIFS('Per Line'!$V$2:$V$1601,'Per Line'!$D$2:$D$1601,$B324,'Per Line'!$AM$2:$AM$1601,1,'Per Line'!$AN$2:$AN$1601,0))</f>
        <v/>
      </c>
      <c r="AC324" s="7">
        <f>IF($AH324="","",AB324*AA324)</f>
        <v/>
      </c>
      <c r="AD324" s="7">
        <f>IF($AH324="","",AC324+Z324+W324)</f>
        <v/>
      </c>
      <c r="AE324" s="7">
        <f>IF($AH324="","",AF324-AD324)</f>
        <v/>
      </c>
      <c r="AF324" s="7">
        <f>IF($AH324="","",Y324+AB324+V324)</f>
        <v/>
      </c>
      <c r="AG324" s="7">
        <f>IF($AH324="","",AF324-AD324-N324)</f>
        <v/>
      </c>
      <c r="AH324" s="13">
        <f>IF(ROWS($AH$2:$AH324)&lt;=MAX('Per Line'!$AL$2:$AL$1601),MATCH(ROWS($AH$2:$AH324),'Per Line'!$AL$2:$AL$1601,0),"")</f>
        <v/>
      </c>
    </row>
    <row r="325">
      <c r="A325" s="12" t="n"/>
      <c r="B325">
        <f>IF($AH325="","",INDEX('Per Line'!$D$2:$D$1601,$AH325)&amp;"")</f>
        <v/>
      </c>
      <c r="C325">
        <f>IF($AH325="","",INDEX('Per Line'!$A$2:$A$1601,$AH325)&amp;"")</f>
        <v/>
      </c>
      <c r="D325">
        <f>IF($AH325="","",INDEX('Per Line'!$B$2:$B$1601,$AH325))</f>
        <v/>
      </c>
      <c r="E325">
        <f>IF($AH325="","",INDEX('Per Line'!$C$2:$C$1601,$AH325)&amp;"")</f>
        <v/>
      </c>
      <c r="F325">
        <f>IF($AH325="","",INDEX('Per Line'!$E$2:$E$1601,$AH325)&amp;"")</f>
        <v/>
      </c>
      <c r="G325" s="11">
        <f>IF($AH325="","",INDEX('Per Line'!$F$2:$F$1601,$AH325))</f>
        <v/>
      </c>
      <c r="H325">
        <f>IF($AH325="","",INDEX('Per Line'!$G$2:$G$1601,$AH325)&amp;"")</f>
        <v/>
      </c>
      <c r="I325">
        <f>IF($AH325="","",INDEX('Per Line'!$I$2:$I$1601,$AH325)&amp;"")</f>
        <v/>
      </c>
      <c r="J325">
        <f>IF($AH325="","",INDEX('Per Line'!$J$2:$J$1601,$AH325)&amp;"")</f>
        <v/>
      </c>
      <c r="K325">
        <f>IF($AH325="","",INDEX('Per Line'!$K$2:$K$1601,$AH325)&amp;"")</f>
        <v/>
      </c>
      <c r="L325">
        <f>IF($AH325="","",INDEX('Per Line'!$L$2:$L$1601,$AH325)&amp;"")</f>
        <v/>
      </c>
      <c r="M325">
        <f>IF($AH325="","",INDEX('Per Line'!$M$2:$M$1601,$AH325))</f>
        <v/>
      </c>
      <c r="N325" s="7">
        <f>IF($AH325="","",M325*AE325/100)</f>
        <v/>
      </c>
      <c r="O325">
        <f>IF($AH325="","",INDEX('Per Line'!$Z$2:$Z$1601,$AH325)&amp;"")</f>
        <v/>
      </c>
      <c r="P325">
        <f>IF($AH325="","",INDEX('Per Line'!$AC$2:$AC$1601,$AH325)&amp;"")</f>
        <v/>
      </c>
      <c r="Q325">
        <f>IF($AH325="","",INDEX('Per Line'!$AD$2:$AD$1601,$AH325))</f>
        <v/>
      </c>
      <c r="R325">
        <f>IF($AH325="","",IF(AND(ISNUMBER(Q325),Q325&gt;0),AF325&gt;Q325,FALSE))</f>
        <v/>
      </c>
      <c r="S325">
        <f>IF($AH325="","",INDEX('Per Line'!$AH$2:$AH$1601,$AH325)&amp;"")</f>
        <v/>
      </c>
      <c r="T325" s="11">
        <f>IF($AH325="","",INDEX('Per Line'!$AI$2:$AI$1601,$AH325))</f>
        <v/>
      </c>
      <c r="U325">
        <f>IF($AH325="","",Settings!$C$8)</f>
        <v/>
      </c>
      <c r="V325" s="7">
        <f>IF($AH325="","",SUMIFS('Per Line'!$V$2:$V$1601,'Per Line'!$D$2:$D$1601,$B325,'Per Line'!$AN$2:$AN$1601,1))</f>
        <v/>
      </c>
      <c r="W325" s="7">
        <f>IF($AH325="","",V325*U325)</f>
        <v/>
      </c>
      <c r="X325">
        <f>IF($AH325="","",Settings!$C$7)</f>
        <v/>
      </c>
      <c r="Y325" s="7">
        <f>IF($AH325="","",SUMIFS('Per Line'!$V$2:$V$1601,'Per Line'!$D$2:$D$1601,$B325,'Per Line'!$AM$2:$AM$1601,0,'Per Line'!$AN$2:$AN$1601,0))</f>
        <v/>
      </c>
      <c r="Z325" s="7">
        <f>IF($AH325="","",Y325*X325)</f>
        <v/>
      </c>
      <c r="AA325">
        <f>IF($AH325="","",Settings!$C$6)</f>
        <v/>
      </c>
      <c r="AB325" s="7">
        <f>IF($AH325="","",SUMIFS('Per Line'!$V$2:$V$1601,'Per Line'!$D$2:$D$1601,$B325,'Per Line'!$AM$2:$AM$1601,1,'Per Line'!$AN$2:$AN$1601,0))</f>
        <v/>
      </c>
      <c r="AC325" s="7">
        <f>IF($AH325="","",AB325*AA325)</f>
        <v/>
      </c>
      <c r="AD325" s="7">
        <f>IF($AH325="","",AC325+Z325+W325)</f>
        <v/>
      </c>
      <c r="AE325" s="7">
        <f>IF($AH325="","",AF325-AD325)</f>
        <v/>
      </c>
      <c r="AF325" s="7">
        <f>IF($AH325="","",Y325+AB325+V325)</f>
        <v/>
      </c>
      <c r="AG325" s="7">
        <f>IF($AH325="","",AF325-AD325-N325)</f>
        <v/>
      </c>
      <c r="AH325" s="13">
        <f>IF(ROWS($AH$2:$AH325)&lt;=MAX('Per Line'!$AL$2:$AL$1601),MATCH(ROWS($AH$2:$AH325),'Per Line'!$AL$2:$AL$1601,0),"")</f>
        <v/>
      </c>
    </row>
    <row r="326">
      <c r="A326" s="12" t="n"/>
      <c r="B326">
        <f>IF($AH326="","",INDEX('Per Line'!$D$2:$D$1601,$AH326)&amp;"")</f>
        <v/>
      </c>
      <c r="C326">
        <f>IF($AH326="","",INDEX('Per Line'!$A$2:$A$1601,$AH326)&amp;"")</f>
        <v/>
      </c>
      <c r="D326">
        <f>IF($AH326="","",INDEX('Per Line'!$B$2:$B$1601,$AH326))</f>
        <v/>
      </c>
      <c r="E326">
        <f>IF($AH326="","",INDEX('Per Line'!$C$2:$C$1601,$AH326)&amp;"")</f>
        <v/>
      </c>
      <c r="F326">
        <f>IF($AH326="","",INDEX('Per Line'!$E$2:$E$1601,$AH326)&amp;"")</f>
        <v/>
      </c>
      <c r="G326" s="11">
        <f>IF($AH326="","",INDEX('Per Line'!$F$2:$F$1601,$AH326))</f>
        <v/>
      </c>
      <c r="H326">
        <f>IF($AH326="","",INDEX('Per Line'!$G$2:$G$1601,$AH326)&amp;"")</f>
        <v/>
      </c>
      <c r="I326">
        <f>IF($AH326="","",INDEX('Per Line'!$I$2:$I$1601,$AH326)&amp;"")</f>
        <v/>
      </c>
      <c r="J326">
        <f>IF($AH326="","",INDEX('Per Line'!$J$2:$J$1601,$AH326)&amp;"")</f>
        <v/>
      </c>
      <c r="K326">
        <f>IF($AH326="","",INDEX('Per Line'!$K$2:$K$1601,$AH326)&amp;"")</f>
        <v/>
      </c>
      <c r="L326">
        <f>IF($AH326="","",INDEX('Per Line'!$L$2:$L$1601,$AH326)&amp;"")</f>
        <v/>
      </c>
      <c r="M326">
        <f>IF($AH326="","",INDEX('Per Line'!$M$2:$M$1601,$AH326))</f>
        <v/>
      </c>
      <c r="N326" s="7">
        <f>IF($AH326="","",M326*AE326/100)</f>
        <v/>
      </c>
      <c r="O326">
        <f>IF($AH326="","",INDEX('Per Line'!$Z$2:$Z$1601,$AH326)&amp;"")</f>
        <v/>
      </c>
      <c r="P326">
        <f>IF($AH326="","",INDEX('Per Line'!$AC$2:$AC$1601,$AH326)&amp;"")</f>
        <v/>
      </c>
      <c r="Q326">
        <f>IF($AH326="","",INDEX('Per Line'!$AD$2:$AD$1601,$AH326))</f>
        <v/>
      </c>
      <c r="R326">
        <f>IF($AH326="","",IF(AND(ISNUMBER(Q326),Q326&gt;0),AF326&gt;Q326,FALSE))</f>
        <v/>
      </c>
      <c r="S326">
        <f>IF($AH326="","",INDEX('Per Line'!$AH$2:$AH$1601,$AH326)&amp;"")</f>
        <v/>
      </c>
      <c r="T326" s="11">
        <f>IF($AH326="","",INDEX('Per Line'!$AI$2:$AI$1601,$AH326))</f>
        <v/>
      </c>
      <c r="U326">
        <f>IF($AH326="","",Settings!$C$8)</f>
        <v/>
      </c>
      <c r="V326" s="7">
        <f>IF($AH326="","",SUMIFS('Per Line'!$V$2:$V$1601,'Per Line'!$D$2:$D$1601,$B326,'Per Line'!$AN$2:$AN$1601,1))</f>
        <v/>
      </c>
      <c r="W326" s="7">
        <f>IF($AH326="","",V326*U326)</f>
        <v/>
      </c>
      <c r="X326">
        <f>IF($AH326="","",Settings!$C$7)</f>
        <v/>
      </c>
      <c r="Y326" s="7">
        <f>IF($AH326="","",SUMIFS('Per Line'!$V$2:$V$1601,'Per Line'!$D$2:$D$1601,$B326,'Per Line'!$AM$2:$AM$1601,0,'Per Line'!$AN$2:$AN$1601,0))</f>
        <v/>
      </c>
      <c r="Z326" s="7">
        <f>IF($AH326="","",Y326*X326)</f>
        <v/>
      </c>
      <c r="AA326">
        <f>IF($AH326="","",Settings!$C$6)</f>
        <v/>
      </c>
      <c r="AB326" s="7">
        <f>IF($AH326="","",SUMIFS('Per Line'!$V$2:$V$1601,'Per Line'!$D$2:$D$1601,$B326,'Per Line'!$AM$2:$AM$1601,1,'Per Line'!$AN$2:$AN$1601,0))</f>
        <v/>
      </c>
      <c r="AC326" s="7">
        <f>IF($AH326="","",AB326*AA326)</f>
        <v/>
      </c>
      <c r="AD326" s="7">
        <f>IF($AH326="","",AC326+Z326+W326)</f>
        <v/>
      </c>
      <c r="AE326" s="7">
        <f>IF($AH326="","",AF326-AD326)</f>
        <v/>
      </c>
      <c r="AF326" s="7">
        <f>IF($AH326="","",Y326+AB326+V326)</f>
        <v/>
      </c>
      <c r="AG326" s="7">
        <f>IF($AH326="","",AF326-AD326-N326)</f>
        <v/>
      </c>
      <c r="AH326" s="13">
        <f>IF(ROWS($AH$2:$AH326)&lt;=MAX('Per Line'!$AL$2:$AL$1601),MATCH(ROWS($AH$2:$AH326),'Per Line'!$AL$2:$AL$1601,0),"")</f>
        <v/>
      </c>
    </row>
    <row r="327">
      <c r="A327" s="12" t="n"/>
      <c r="B327">
        <f>IF($AH327="","",INDEX('Per Line'!$D$2:$D$1601,$AH327)&amp;"")</f>
        <v/>
      </c>
      <c r="C327">
        <f>IF($AH327="","",INDEX('Per Line'!$A$2:$A$1601,$AH327)&amp;"")</f>
        <v/>
      </c>
      <c r="D327">
        <f>IF($AH327="","",INDEX('Per Line'!$B$2:$B$1601,$AH327))</f>
        <v/>
      </c>
      <c r="E327">
        <f>IF($AH327="","",INDEX('Per Line'!$C$2:$C$1601,$AH327)&amp;"")</f>
        <v/>
      </c>
      <c r="F327">
        <f>IF($AH327="","",INDEX('Per Line'!$E$2:$E$1601,$AH327)&amp;"")</f>
        <v/>
      </c>
      <c r="G327" s="11">
        <f>IF($AH327="","",INDEX('Per Line'!$F$2:$F$1601,$AH327))</f>
        <v/>
      </c>
      <c r="H327">
        <f>IF($AH327="","",INDEX('Per Line'!$G$2:$G$1601,$AH327)&amp;"")</f>
        <v/>
      </c>
      <c r="I327">
        <f>IF($AH327="","",INDEX('Per Line'!$I$2:$I$1601,$AH327)&amp;"")</f>
        <v/>
      </c>
      <c r="J327">
        <f>IF($AH327="","",INDEX('Per Line'!$J$2:$J$1601,$AH327)&amp;"")</f>
        <v/>
      </c>
      <c r="K327">
        <f>IF($AH327="","",INDEX('Per Line'!$K$2:$K$1601,$AH327)&amp;"")</f>
        <v/>
      </c>
      <c r="L327">
        <f>IF($AH327="","",INDEX('Per Line'!$L$2:$L$1601,$AH327)&amp;"")</f>
        <v/>
      </c>
      <c r="M327">
        <f>IF($AH327="","",INDEX('Per Line'!$M$2:$M$1601,$AH327))</f>
        <v/>
      </c>
      <c r="N327" s="7">
        <f>IF($AH327="","",M327*AE327/100)</f>
        <v/>
      </c>
      <c r="O327">
        <f>IF($AH327="","",INDEX('Per Line'!$Z$2:$Z$1601,$AH327)&amp;"")</f>
        <v/>
      </c>
      <c r="P327">
        <f>IF($AH327="","",INDEX('Per Line'!$AC$2:$AC$1601,$AH327)&amp;"")</f>
        <v/>
      </c>
      <c r="Q327">
        <f>IF($AH327="","",INDEX('Per Line'!$AD$2:$AD$1601,$AH327))</f>
        <v/>
      </c>
      <c r="R327">
        <f>IF($AH327="","",IF(AND(ISNUMBER(Q327),Q327&gt;0),AF327&gt;Q327,FALSE))</f>
        <v/>
      </c>
      <c r="S327">
        <f>IF($AH327="","",INDEX('Per Line'!$AH$2:$AH$1601,$AH327)&amp;"")</f>
        <v/>
      </c>
      <c r="T327" s="11">
        <f>IF($AH327="","",INDEX('Per Line'!$AI$2:$AI$1601,$AH327))</f>
        <v/>
      </c>
      <c r="U327">
        <f>IF($AH327="","",Settings!$C$8)</f>
        <v/>
      </c>
      <c r="V327" s="7">
        <f>IF($AH327="","",SUMIFS('Per Line'!$V$2:$V$1601,'Per Line'!$D$2:$D$1601,$B327,'Per Line'!$AN$2:$AN$1601,1))</f>
        <v/>
      </c>
      <c r="W327" s="7">
        <f>IF($AH327="","",V327*U327)</f>
        <v/>
      </c>
      <c r="X327">
        <f>IF($AH327="","",Settings!$C$7)</f>
        <v/>
      </c>
      <c r="Y327" s="7">
        <f>IF($AH327="","",SUMIFS('Per Line'!$V$2:$V$1601,'Per Line'!$D$2:$D$1601,$B327,'Per Line'!$AM$2:$AM$1601,0,'Per Line'!$AN$2:$AN$1601,0))</f>
        <v/>
      </c>
      <c r="Z327" s="7">
        <f>IF($AH327="","",Y327*X327)</f>
        <v/>
      </c>
      <c r="AA327">
        <f>IF($AH327="","",Settings!$C$6)</f>
        <v/>
      </c>
      <c r="AB327" s="7">
        <f>IF($AH327="","",SUMIFS('Per Line'!$V$2:$V$1601,'Per Line'!$D$2:$D$1601,$B327,'Per Line'!$AM$2:$AM$1601,1,'Per Line'!$AN$2:$AN$1601,0))</f>
        <v/>
      </c>
      <c r="AC327" s="7">
        <f>IF($AH327="","",AB327*AA327)</f>
        <v/>
      </c>
      <c r="AD327" s="7">
        <f>IF($AH327="","",AC327+Z327+W327)</f>
        <v/>
      </c>
      <c r="AE327" s="7">
        <f>IF($AH327="","",AF327-AD327)</f>
        <v/>
      </c>
      <c r="AF327" s="7">
        <f>IF($AH327="","",Y327+AB327+V327)</f>
        <v/>
      </c>
      <c r="AG327" s="7">
        <f>IF($AH327="","",AF327-AD327-N327)</f>
        <v/>
      </c>
      <c r="AH327" s="13">
        <f>IF(ROWS($AH$2:$AH327)&lt;=MAX('Per Line'!$AL$2:$AL$1601),MATCH(ROWS($AH$2:$AH327),'Per Line'!$AL$2:$AL$1601,0),"")</f>
        <v/>
      </c>
    </row>
    <row r="328">
      <c r="A328" s="12" t="n"/>
      <c r="B328">
        <f>IF($AH328="","",INDEX('Per Line'!$D$2:$D$1601,$AH328)&amp;"")</f>
        <v/>
      </c>
      <c r="C328">
        <f>IF($AH328="","",INDEX('Per Line'!$A$2:$A$1601,$AH328)&amp;"")</f>
        <v/>
      </c>
      <c r="D328">
        <f>IF($AH328="","",INDEX('Per Line'!$B$2:$B$1601,$AH328))</f>
        <v/>
      </c>
      <c r="E328">
        <f>IF($AH328="","",INDEX('Per Line'!$C$2:$C$1601,$AH328)&amp;"")</f>
        <v/>
      </c>
      <c r="F328">
        <f>IF($AH328="","",INDEX('Per Line'!$E$2:$E$1601,$AH328)&amp;"")</f>
        <v/>
      </c>
      <c r="G328" s="11">
        <f>IF($AH328="","",INDEX('Per Line'!$F$2:$F$1601,$AH328))</f>
        <v/>
      </c>
      <c r="H328">
        <f>IF($AH328="","",INDEX('Per Line'!$G$2:$G$1601,$AH328)&amp;"")</f>
        <v/>
      </c>
      <c r="I328">
        <f>IF($AH328="","",INDEX('Per Line'!$I$2:$I$1601,$AH328)&amp;"")</f>
        <v/>
      </c>
      <c r="J328">
        <f>IF($AH328="","",INDEX('Per Line'!$J$2:$J$1601,$AH328)&amp;"")</f>
        <v/>
      </c>
      <c r="K328">
        <f>IF($AH328="","",INDEX('Per Line'!$K$2:$K$1601,$AH328)&amp;"")</f>
        <v/>
      </c>
      <c r="L328">
        <f>IF($AH328="","",INDEX('Per Line'!$L$2:$L$1601,$AH328)&amp;"")</f>
        <v/>
      </c>
      <c r="M328">
        <f>IF($AH328="","",INDEX('Per Line'!$M$2:$M$1601,$AH328))</f>
        <v/>
      </c>
      <c r="N328" s="7">
        <f>IF($AH328="","",M328*AE328/100)</f>
        <v/>
      </c>
      <c r="O328">
        <f>IF($AH328="","",INDEX('Per Line'!$Z$2:$Z$1601,$AH328)&amp;"")</f>
        <v/>
      </c>
      <c r="P328">
        <f>IF($AH328="","",INDEX('Per Line'!$AC$2:$AC$1601,$AH328)&amp;"")</f>
        <v/>
      </c>
      <c r="Q328">
        <f>IF($AH328="","",INDEX('Per Line'!$AD$2:$AD$1601,$AH328))</f>
        <v/>
      </c>
      <c r="R328">
        <f>IF($AH328="","",IF(AND(ISNUMBER(Q328),Q328&gt;0),AF328&gt;Q328,FALSE))</f>
        <v/>
      </c>
      <c r="S328">
        <f>IF($AH328="","",INDEX('Per Line'!$AH$2:$AH$1601,$AH328)&amp;"")</f>
        <v/>
      </c>
      <c r="T328" s="11">
        <f>IF($AH328="","",INDEX('Per Line'!$AI$2:$AI$1601,$AH328))</f>
        <v/>
      </c>
      <c r="U328">
        <f>IF($AH328="","",Settings!$C$8)</f>
        <v/>
      </c>
      <c r="V328" s="7">
        <f>IF($AH328="","",SUMIFS('Per Line'!$V$2:$V$1601,'Per Line'!$D$2:$D$1601,$B328,'Per Line'!$AN$2:$AN$1601,1))</f>
        <v/>
      </c>
      <c r="W328" s="7">
        <f>IF($AH328="","",V328*U328)</f>
        <v/>
      </c>
      <c r="X328">
        <f>IF($AH328="","",Settings!$C$7)</f>
        <v/>
      </c>
      <c r="Y328" s="7">
        <f>IF($AH328="","",SUMIFS('Per Line'!$V$2:$V$1601,'Per Line'!$D$2:$D$1601,$B328,'Per Line'!$AM$2:$AM$1601,0,'Per Line'!$AN$2:$AN$1601,0))</f>
        <v/>
      </c>
      <c r="Z328" s="7">
        <f>IF($AH328="","",Y328*X328)</f>
        <v/>
      </c>
      <c r="AA328">
        <f>IF($AH328="","",Settings!$C$6)</f>
        <v/>
      </c>
      <c r="AB328" s="7">
        <f>IF($AH328="","",SUMIFS('Per Line'!$V$2:$V$1601,'Per Line'!$D$2:$D$1601,$B328,'Per Line'!$AM$2:$AM$1601,1,'Per Line'!$AN$2:$AN$1601,0))</f>
        <v/>
      </c>
      <c r="AC328" s="7">
        <f>IF($AH328="","",AB328*AA328)</f>
        <v/>
      </c>
      <c r="AD328" s="7">
        <f>IF($AH328="","",AC328+Z328+W328)</f>
        <v/>
      </c>
      <c r="AE328" s="7">
        <f>IF($AH328="","",AF328-AD328)</f>
        <v/>
      </c>
      <c r="AF328" s="7">
        <f>IF($AH328="","",Y328+AB328+V328)</f>
        <v/>
      </c>
      <c r="AG328" s="7">
        <f>IF($AH328="","",AF328-AD328-N328)</f>
        <v/>
      </c>
      <c r="AH328" s="13">
        <f>IF(ROWS($AH$2:$AH328)&lt;=MAX('Per Line'!$AL$2:$AL$1601),MATCH(ROWS($AH$2:$AH328),'Per Line'!$AL$2:$AL$1601,0),"")</f>
        <v/>
      </c>
    </row>
    <row r="329">
      <c r="A329" s="12" t="n"/>
      <c r="B329">
        <f>IF($AH329="","",INDEX('Per Line'!$D$2:$D$1601,$AH329)&amp;"")</f>
        <v/>
      </c>
      <c r="C329">
        <f>IF($AH329="","",INDEX('Per Line'!$A$2:$A$1601,$AH329)&amp;"")</f>
        <v/>
      </c>
      <c r="D329">
        <f>IF($AH329="","",INDEX('Per Line'!$B$2:$B$1601,$AH329))</f>
        <v/>
      </c>
      <c r="E329">
        <f>IF($AH329="","",INDEX('Per Line'!$C$2:$C$1601,$AH329)&amp;"")</f>
        <v/>
      </c>
      <c r="F329">
        <f>IF($AH329="","",INDEX('Per Line'!$E$2:$E$1601,$AH329)&amp;"")</f>
        <v/>
      </c>
      <c r="G329" s="11">
        <f>IF($AH329="","",INDEX('Per Line'!$F$2:$F$1601,$AH329))</f>
        <v/>
      </c>
      <c r="H329">
        <f>IF($AH329="","",INDEX('Per Line'!$G$2:$G$1601,$AH329)&amp;"")</f>
        <v/>
      </c>
      <c r="I329">
        <f>IF($AH329="","",INDEX('Per Line'!$I$2:$I$1601,$AH329)&amp;"")</f>
        <v/>
      </c>
      <c r="J329">
        <f>IF($AH329="","",INDEX('Per Line'!$J$2:$J$1601,$AH329)&amp;"")</f>
        <v/>
      </c>
      <c r="K329">
        <f>IF($AH329="","",INDEX('Per Line'!$K$2:$K$1601,$AH329)&amp;"")</f>
        <v/>
      </c>
      <c r="L329">
        <f>IF($AH329="","",INDEX('Per Line'!$L$2:$L$1601,$AH329)&amp;"")</f>
        <v/>
      </c>
      <c r="M329">
        <f>IF($AH329="","",INDEX('Per Line'!$M$2:$M$1601,$AH329))</f>
        <v/>
      </c>
      <c r="N329" s="7">
        <f>IF($AH329="","",M329*AE329/100)</f>
        <v/>
      </c>
      <c r="O329">
        <f>IF($AH329="","",INDEX('Per Line'!$Z$2:$Z$1601,$AH329)&amp;"")</f>
        <v/>
      </c>
      <c r="P329">
        <f>IF($AH329="","",INDEX('Per Line'!$AC$2:$AC$1601,$AH329)&amp;"")</f>
        <v/>
      </c>
      <c r="Q329">
        <f>IF($AH329="","",INDEX('Per Line'!$AD$2:$AD$1601,$AH329))</f>
        <v/>
      </c>
      <c r="R329">
        <f>IF($AH329="","",IF(AND(ISNUMBER(Q329),Q329&gt;0),AF329&gt;Q329,FALSE))</f>
        <v/>
      </c>
      <c r="S329">
        <f>IF($AH329="","",INDEX('Per Line'!$AH$2:$AH$1601,$AH329)&amp;"")</f>
        <v/>
      </c>
      <c r="T329" s="11">
        <f>IF($AH329="","",INDEX('Per Line'!$AI$2:$AI$1601,$AH329))</f>
        <v/>
      </c>
      <c r="U329">
        <f>IF($AH329="","",Settings!$C$8)</f>
        <v/>
      </c>
      <c r="V329" s="7">
        <f>IF($AH329="","",SUMIFS('Per Line'!$V$2:$V$1601,'Per Line'!$D$2:$D$1601,$B329,'Per Line'!$AN$2:$AN$1601,1))</f>
        <v/>
      </c>
      <c r="W329" s="7">
        <f>IF($AH329="","",V329*U329)</f>
        <v/>
      </c>
      <c r="X329">
        <f>IF($AH329="","",Settings!$C$7)</f>
        <v/>
      </c>
      <c r="Y329" s="7">
        <f>IF($AH329="","",SUMIFS('Per Line'!$V$2:$V$1601,'Per Line'!$D$2:$D$1601,$B329,'Per Line'!$AM$2:$AM$1601,0,'Per Line'!$AN$2:$AN$1601,0))</f>
        <v/>
      </c>
      <c r="Z329" s="7">
        <f>IF($AH329="","",Y329*X329)</f>
        <v/>
      </c>
      <c r="AA329">
        <f>IF($AH329="","",Settings!$C$6)</f>
        <v/>
      </c>
      <c r="AB329" s="7">
        <f>IF($AH329="","",SUMIFS('Per Line'!$V$2:$V$1601,'Per Line'!$D$2:$D$1601,$B329,'Per Line'!$AM$2:$AM$1601,1,'Per Line'!$AN$2:$AN$1601,0))</f>
        <v/>
      </c>
      <c r="AC329" s="7">
        <f>IF($AH329="","",AB329*AA329)</f>
        <v/>
      </c>
      <c r="AD329" s="7">
        <f>IF($AH329="","",AC329+Z329+W329)</f>
        <v/>
      </c>
      <c r="AE329" s="7">
        <f>IF($AH329="","",AF329-AD329)</f>
        <v/>
      </c>
      <c r="AF329" s="7">
        <f>IF($AH329="","",Y329+AB329+V329)</f>
        <v/>
      </c>
      <c r="AG329" s="7">
        <f>IF($AH329="","",AF329-AD329-N329)</f>
        <v/>
      </c>
      <c r="AH329" s="13">
        <f>IF(ROWS($AH$2:$AH329)&lt;=MAX('Per Line'!$AL$2:$AL$1601),MATCH(ROWS($AH$2:$AH329),'Per Line'!$AL$2:$AL$1601,0),"")</f>
        <v/>
      </c>
    </row>
    <row r="330">
      <c r="A330" s="12" t="n"/>
      <c r="B330">
        <f>IF($AH330="","",INDEX('Per Line'!$D$2:$D$1601,$AH330)&amp;"")</f>
        <v/>
      </c>
      <c r="C330">
        <f>IF($AH330="","",INDEX('Per Line'!$A$2:$A$1601,$AH330)&amp;"")</f>
        <v/>
      </c>
      <c r="D330">
        <f>IF($AH330="","",INDEX('Per Line'!$B$2:$B$1601,$AH330))</f>
        <v/>
      </c>
      <c r="E330">
        <f>IF($AH330="","",INDEX('Per Line'!$C$2:$C$1601,$AH330)&amp;"")</f>
        <v/>
      </c>
      <c r="F330">
        <f>IF($AH330="","",INDEX('Per Line'!$E$2:$E$1601,$AH330)&amp;"")</f>
        <v/>
      </c>
      <c r="G330" s="11">
        <f>IF($AH330="","",INDEX('Per Line'!$F$2:$F$1601,$AH330))</f>
        <v/>
      </c>
      <c r="H330">
        <f>IF($AH330="","",INDEX('Per Line'!$G$2:$G$1601,$AH330)&amp;"")</f>
        <v/>
      </c>
      <c r="I330">
        <f>IF($AH330="","",INDEX('Per Line'!$I$2:$I$1601,$AH330)&amp;"")</f>
        <v/>
      </c>
      <c r="J330">
        <f>IF($AH330="","",INDEX('Per Line'!$J$2:$J$1601,$AH330)&amp;"")</f>
        <v/>
      </c>
      <c r="K330">
        <f>IF($AH330="","",INDEX('Per Line'!$K$2:$K$1601,$AH330)&amp;"")</f>
        <v/>
      </c>
      <c r="L330">
        <f>IF($AH330="","",INDEX('Per Line'!$L$2:$L$1601,$AH330)&amp;"")</f>
        <v/>
      </c>
      <c r="M330">
        <f>IF($AH330="","",INDEX('Per Line'!$M$2:$M$1601,$AH330))</f>
        <v/>
      </c>
      <c r="N330" s="7">
        <f>IF($AH330="","",M330*AE330/100)</f>
        <v/>
      </c>
      <c r="O330">
        <f>IF($AH330="","",INDEX('Per Line'!$Z$2:$Z$1601,$AH330)&amp;"")</f>
        <v/>
      </c>
      <c r="P330">
        <f>IF($AH330="","",INDEX('Per Line'!$AC$2:$AC$1601,$AH330)&amp;"")</f>
        <v/>
      </c>
      <c r="Q330">
        <f>IF($AH330="","",INDEX('Per Line'!$AD$2:$AD$1601,$AH330))</f>
        <v/>
      </c>
      <c r="R330">
        <f>IF($AH330="","",IF(AND(ISNUMBER(Q330),Q330&gt;0),AF330&gt;Q330,FALSE))</f>
        <v/>
      </c>
      <c r="S330">
        <f>IF($AH330="","",INDEX('Per Line'!$AH$2:$AH$1601,$AH330)&amp;"")</f>
        <v/>
      </c>
      <c r="T330" s="11">
        <f>IF($AH330="","",INDEX('Per Line'!$AI$2:$AI$1601,$AH330))</f>
        <v/>
      </c>
      <c r="U330">
        <f>IF($AH330="","",Settings!$C$8)</f>
        <v/>
      </c>
      <c r="V330" s="7">
        <f>IF($AH330="","",SUMIFS('Per Line'!$V$2:$V$1601,'Per Line'!$D$2:$D$1601,$B330,'Per Line'!$AN$2:$AN$1601,1))</f>
        <v/>
      </c>
      <c r="W330" s="7">
        <f>IF($AH330="","",V330*U330)</f>
        <v/>
      </c>
      <c r="X330">
        <f>IF($AH330="","",Settings!$C$7)</f>
        <v/>
      </c>
      <c r="Y330" s="7">
        <f>IF($AH330="","",SUMIFS('Per Line'!$V$2:$V$1601,'Per Line'!$D$2:$D$1601,$B330,'Per Line'!$AM$2:$AM$1601,0,'Per Line'!$AN$2:$AN$1601,0))</f>
        <v/>
      </c>
      <c r="Z330" s="7">
        <f>IF($AH330="","",Y330*X330)</f>
        <v/>
      </c>
      <c r="AA330">
        <f>IF($AH330="","",Settings!$C$6)</f>
        <v/>
      </c>
      <c r="AB330" s="7">
        <f>IF($AH330="","",SUMIFS('Per Line'!$V$2:$V$1601,'Per Line'!$D$2:$D$1601,$B330,'Per Line'!$AM$2:$AM$1601,1,'Per Line'!$AN$2:$AN$1601,0))</f>
        <v/>
      </c>
      <c r="AC330" s="7">
        <f>IF($AH330="","",AB330*AA330)</f>
        <v/>
      </c>
      <c r="AD330" s="7">
        <f>IF($AH330="","",AC330+Z330+W330)</f>
        <v/>
      </c>
      <c r="AE330" s="7">
        <f>IF($AH330="","",AF330-AD330)</f>
        <v/>
      </c>
      <c r="AF330" s="7">
        <f>IF($AH330="","",Y330+AB330+V330)</f>
        <v/>
      </c>
      <c r="AG330" s="7">
        <f>IF($AH330="","",AF330-AD330-N330)</f>
        <v/>
      </c>
      <c r="AH330" s="13">
        <f>IF(ROWS($AH$2:$AH330)&lt;=MAX('Per Line'!$AL$2:$AL$1601),MATCH(ROWS($AH$2:$AH330),'Per Line'!$AL$2:$AL$1601,0),"")</f>
        <v/>
      </c>
    </row>
    <row r="331">
      <c r="A331" s="12" t="n"/>
      <c r="B331">
        <f>IF($AH331="","",INDEX('Per Line'!$D$2:$D$1601,$AH331)&amp;"")</f>
        <v/>
      </c>
      <c r="C331">
        <f>IF($AH331="","",INDEX('Per Line'!$A$2:$A$1601,$AH331)&amp;"")</f>
        <v/>
      </c>
      <c r="D331">
        <f>IF($AH331="","",INDEX('Per Line'!$B$2:$B$1601,$AH331))</f>
        <v/>
      </c>
      <c r="E331">
        <f>IF($AH331="","",INDEX('Per Line'!$C$2:$C$1601,$AH331)&amp;"")</f>
        <v/>
      </c>
      <c r="F331">
        <f>IF($AH331="","",INDEX('Per Line'!$E$2:$E$1601,$AH331)&amp;"")</f>
        <v/>
      </c>
      <c r="G331" s="11">
        <f>IF($AH331="","",INDEX('Per Line'!$F$2:$F$1601,$AH331))</f>
        <v/>
      </c>
      <c r="H331">
        <f>IF($AH331="","",INDEX('Per Line'!$G$2:$G$1601,$AH331)&amp;"")</f>
        <v/>
      </c>
      <c r="I331">
        <f>IF($AH331="","",INDEX('Per Line'!$I$2:$I$1601,$AH331)&amp;"")</f>
        <v/>
      </c>
      <c r="J331">
        <f>IF($AH331="","",INDEX('Per Line'!$J$2:$J$1601,$AH331)&amp;"")</f>
        <v/>
      </c>
      <c r="K331">
        <f>IF($AH331="","",INDEX('Per Line'!$K$2:$K$1601,$AH331)&amp;"")</f>
        <v/>
      </c>
      <c r="L331">
        <f>IF($AH331="","",INDEX('Per Line'!$L$2:$L$1601,$AH331)&amp;"")</f>
        <v/>
      </c>
      <c r="M331">
        <f>IF($AH331="","",INDEX('Per Line'!$M$2:$M$1601,$AH331))</f>
        <v/>
      </c>
      <c r="N331" s="7">
        <f>IF($AH331="","",M331*AE331/100)</f>
        <v/>
      </c>
      <c r="O331">
        <f>IF($AH331="","",INDEX('Per Line'!$Z$2:$Z$1601,$AH331)&amp;"")</f>
        <v/>
      </c>
      <c r="P331">
        <f>IF($AH331="","",INDEX('Per Line'!$AC$2:$AC$1601,$AH331)&amp;"")</f>
        <v/>
      </c>
      <c r="Q331">
        <f>IF($AH331="","",INDEX('Per Line'!$AD$2:$AD$1601,$AH331))</f>
        <v/>
      </c>
      <c r="R331">
        <f>IF($AH331="","",IF(AND(ISNUMBER(Q331),Q331&gt;0),AF331&gt;Q331,FALSE))</f>
        <v/>
      </c>
      <c r="S331">
        <f>IF($AH331="","",INDEX('Per Line'!$AH$2:$AH$1601,$AH331)&amp;"")</f>
        <v/>
      </c>
      <c r="T331" s="11">
        <f>IF($AH331="","",INDEX('Per Line'!$AI$2:$AI$1601,$AH331))</f>
        <v/>
      </c>
      <c r="U331">
        <f>IF($AH331="","",Settings!$C$8)</f>
        <v/>
      </c>
      <c r="V331" s="7">
        <f>IF($AH331="","",SUMIFS('Per Line'!$V$2:$V$1601,'Per Line'!$D$2:$D$1601,$B331,'Per Line'!$AN$2:$AN$1601,1))</f>
        <v/>
      </c>
      <c r="W331" s="7">
        <f>IF($AH331="","",V331*U331)</f>
        <v/>
      </c>
      <c r="X331">
        <f>IF($AH331="","",Settings!$C$7)</f>
        <v/>
      </c>
      <c r="Y331" s="7">
        <f>IF($AH331="","",SUMIFS('Per Line'!$V$2:$V$1601,'Per Line'!$D$2:$D$1601,$B331,'Per Line'!$AM$2:$AM$1601,0,'Per Line'!$AN$2:$AN$1601,0))</f>
        <v/>
      </c>
      <c r="Z331" s="7">
        <f>IF($AH331="","",Y331*X331)</f>
        <v/>
      </c>
      <c r="AA331">
        <f>IF($AH331="","",Settings!$C$6)</f>
        <v/>
      </c>
      <c r="AB331" s="7">
        <f>IF($AH331="","",SUMIFS('Per Line'!$V$2:$V$1601,'Per Line'!$D$2:$D$1601,$B331,'Per Line'!$AM$2:$AM$1601,1,'Per Line'!$AN$2:$AN$1601,0))</f>
        <v/>
      </c>
      <c r="AC331" s="7">
        <f>IF($AH331="","",AB331*AA331)</f>
        <v/>
      </c>
      <c r="AD331" s="7">
        <f>IF($AH331="","",AC331+Z331+W331)</f>
        <v/>
      </c>
      <c r="AE331" s="7">
        <f>IF($AH331="","",AF331-AD331)</f>
        <v/>
      </c>
      <c r="AF331" s="7">
        <f>IF($AH331="","",Y331+AB331+V331)</f>
        <v/>
      </c>
      <c r="AG331" s="7">
        <f>IF($AH331="","",AF331-AD331-N331)</f>
        <v/>
      </c>
      <c r="AH331" s="13">
        <f>IF(ROWS($AH$2:$AH331)&lt;=MAX('Per Line'!$AL$2:$AL$1601),MATCH(ROWS($AH$2:$AH331),'Per Line'!$AL$2:$AL$1601,0),"")</f>
        <v/>
      </c>
    </row>
    <row r="332">
      <c r="A332" s="12" t="n"/>
      <c r="B332">
        <f>IF($AH332="","",INDEX('Per Line'!$D$2:$D$1601,$AH332)&amp;"")</f>
        <v/>
      </c>
      <c r="C332">
        <f>IF($AH332="","",INDEX('Per Line'!$A$2:$A$1601,$AH332)&amp;"")</f>
        <v/>
      </c>
      <c r="D332">
        <f>IF($AH332="","",INDEX('Per Line'!$B$2:$B$1601,$AH332))</f>
        <v/>
      </c>
      <c r="E332">
        <f>IF($AH332="","",INDEX('Per Line'!$C$2:$C$1601,$AH332)&amp;"")</f>
        <v/>
      </c>
      <c r="F332">
        <f>IF($AH332="","",INDEX('Per Line'!$E$2:$E$1601,$AH332)&amp;"")</f>
        <v/>
      </c>
      <c r="G332" s="11">
        <f>IF($AH332="","",INDEX('Per Line'!$F$2:$F$1601,$AH332))</f>
        <v/>
      </c>
      <c r="H332">
        <f>IF($AH332="","",INDEX('Per Line'!$G$2:$G$1601,$AH332)&amp;"")</f>
        <v/>
      </c>
      <c r="I332">
        <f>IF($AH332="","",INDEX('Per Line'!$I$2:$I$1601,$AH332)&amp;"")</f>
        <v/>
      </c>
      <c r="J332">
        <f>IF($AH332="","",INDEX('Per Line'!$J$2:$J$1601,$AH332)&amp;"")</f>
        <v/>
      </c>
      <c r="K332">
        <f>IF($AH332="","",INDEX('Per Line'!$K$2:$K$1601,$AH332)&amp;"")</f>
        <v/>
      </c>
      <c r="L332">
        <f>IF($AH332="","",INDEX('Per Line'!$L$2:$L$1601,$AH332)&amp;"")</f>
        <v/>
      </c>
      <c r="M332">
        <f>IF($AH332="","",INDEX('Per Line'!$M$2:$M$1601,$AH332))</f>
        <v/>
      </c>
      <c r="N332" s="7">
        <f>IF($AH332="","",M332*AE332/100)</f>
        <v/>
      </c>
      <c r="O332">
        <f>IF($AH332="","",INDEX('Per Line'!$Z$2:$Z$1601,$AH332)&amp;"")</f>
        <v/>
      </c>
      <c r="P332">
        <f>IF($AH332="","",INDEX('Per Line'!$AC$2:$AC$1601,$AH332)&amp;"")</f>
        <v/>
      </c>
      <c r="Q332">
        <f>IF($AH332="","",INDEX('Per Line'!$AD$2:$AD$1601,$AH332))</f>
        <v/>
      </c>
      <c r="R332">
        <f>IF($AH332="","",IF(AND(ISNUMBER(Q332),Q332&gt;0),AF332&gt;Q332,FALSE))</f>
        <v/>
      </c>
      <c r="S332">
        <f>IF($AH332="","",INDEX('Per Line'!$AH$2:$AH$1601,$AH332)&amp;"")</f>
        <v/>
      </c>
      <c r="T332" s="11">
        <f>IF($AH332="","",INDEX('Per Line'!$AI$2:$AI$1601,$AH332))</f>
        <v/>
      </c>
      <c r="U332">
        <f>IF($AH332="","",Settings!$C$8)</f>
        <v/>
      </c>
      <c r="V332" s="7">
        <f>IF($AH332="","",SUMIFS('Per Line'!$V$2:$V$1601,'Per Line'!$D$2:$D$1601,$B332,'Per Line'!$AN$2:$AN$1601,1))</f>
        <v/>
      </c>
      <c r="W332" s="7">
        <f>IF($AH332="","",V332*U332)</f>
        <v/>
      </c>
      <c r="X332">
        <f>IF($AH332="","",Settings!$C$7)</f>
        <v/>
      </c>
      <c r="Y332" s="7">
        <f>IF($AH332="","",SUMIFS('Per Line'!$V$2:$V$1601,'Per Line'!$D$2:$D$1601,$B332,'Per Line'!$AM$2:$AM$1601,0,'Per Line'!$AN$2:$AN$1601,0))</f>
        <v/>
      </c>
      <c r="Z332" s="7">
        <f>IF($AH332="","",Y332*X332)</f>
        <v/>
      </c>
      <c r="AA332">
        <f>IF($AH332="","",Settings!$C$6)</f>
        <v/>
      </c>
      <c r="AB332" s="7">
        <f>IF($AH332="","",SUMIFS('Per Line'!$V$2:$V$1601,'Per Line'!$D$2:$D$1601,$B332,'Per Line'!$AM$2:$AM$1601,1,'Per Line'!$AN$2:$AN$1601,0))</f>
        <v/>
      </c>
      <c r="AC332" s="7">
        <f>IF($AH332="","",AB332*AA332)</f>
        <v/>
      </c>
      <c r="AD332" s="7">
        <f>IF($AH332="","",AC332+Z332+W332)</f>
        <v/>
      </c>
      <c r="AE332" s="7">
        <f>IF($AH332="","",AF332-AD332)</f>
        <v/>
      </c>
      <c r="AF332" s="7">
        <f>IF($AH332="","",Y332+AB332+V332)</f>
        <v/>
      </c>
      <c r="AG332" s="7">
        <f>IF($AH332="","",AF332-AD332-N332)</f>
        <v/>
      </c>
      <c r="AH332" s="13">
        <f>IF(ROWS($AH$2:$AH332)&lt;=MAX('Per Line'!$AL$2:$AL$1601),MATCH(ROWS($AH$2:$AH332),'Per Line'!$AL$2:$AL$1601,0),"")</f>
        <v/>
      </c>
    </row>
    <row r="333">
      <c r="A333" s="12" t="n"/>
      <c r="B333">
        <f>IF($AH333="","",INDEX('Per Line'!$D$2:$D$1601,$AH333)&amp;"")</f>
        <v/>
      </c>
      <c r="C333">
        <f>IF($AH333="","",INDEX('Per Line'!$A$2:$A$1601,$AH333)&amp;"")</f>
        <v/>
      </c>
      <c r="D333">
        <f>IF($AH333="","",INDEX('Per Line'!$B$2:$B$1601,$AH333))</f>
        <v/>
      </c>
      <c r="E333">
        <f>IF($AH333="","",INDEX('Per Line'!$C$2:$C$1601,$AH333)&amp;"")</f>
        <v/>
      </c>
      <c r="F333">
        <f>IF($AH333="","",INDEX('Per Line'!$E$2:$E$1601,$AH333)&amp;"")</f>
        <v/>
      </c>
      <c r="G333" s="11">
        <f>IF($AH333="","",INDEX('Per Line'!$F$2:$F$1601,$AH333))</f>
        <v/>
      </c>
      <c r="H333">
        <f>IF($AH333="","",INDEX('Per Line'!$G$2:$G$1601,$AH333)&amp;"")</f>
        <v/>
      </c>
      <c r="I333">
        <f>IF($AH333="","",INDEX('Per Line'!$I$2:$I$1601,$AH333)&amp;"")</f>
        <v/>
      </c>
      <c r="J333">
        <f>IF($AH333="","",INDEX('Per Line'!$J$2:$J$1601,$AH333)&amp;"")</f>
        <v/>
      </c>
      <c r="K333">
        <f>IF($AH333="","",INDEX('Per Line'!$K$2:$K$1601,$AH333)&amp;"")</f>
        <v/>
      </c>
      <c r="L333">
        <f>IF($AH333="","",INDEX('Per Line'!$L$2:$L$1601,$AH333)&amp;"")</f>
        <v/>
      </c>
      <c r="M333">
        <f>IF($AH333="","",INDEX('Per Line'!$M$2:$M$1601,$AH333))</f>
        <v/>
      </c>
      <c r="N333" s="7">
        <f>IF($AH333="","",M333*AE333/100)</f>
        <v/>
      </c>
      <c r="O333">
        <f>IF($AH333="","",INDEX('Per Line'!$Z$2:$Z$1601,$AH333)&amp;"")</f>
        <v/>
      </c>
      <c r="P333">
        <f>IF($AH333="","",INDEX('Per Line'!$AC$2:$AC$1601,$AH333)&amp;"")</f>
        <v/>
      </c>
      <c r="Q333">
        <f>IF($AH333="","",INDEX('Per Line'!$AD$2:$AD$1601,$AH333))</f>
        <v/>
      </c>
      <c r="R333">
        <f>IF($AH333="","",IF(AND(ISNUMBER(Q333),Q333&gt;0),AF333&gt;Q333,FALSE))</f>
        <v/>
      </c>
      <c r="S333">
        <f>IF($AH333="","",INDEX('Per Line'!$AH$2:$AH$1601,$AH333)&amp;"")</f>
        <v/>
      </c>
      <c r="T333" s="11">
        <f>IF($AH333="","",INDEX('Per Line'!$AI$2:$AI$1601,$AH333))</f>
        <v/>
      </c>
      <c r="U333">
        <f>IF($AH333="","",Settings!$C$8)</f>
        <v/>
      </c>
      <c r="V333" s="7">
        <f>IF($AH333="","",SUMIFS('Per Line'!$V$2:$V$1601,'Per Line'!$D$2:$D$1601,$B333,'Per Line'!$AN$2:$AN$1601,1))</f>
        <v/>
      </c>
      <c r="W333" s="7">
        <f>IF($AH333="","",V333*U333)</f>
        <v/>
      </c>
      <c r="X333">
        <f>IF($AH333="","",Settings!$C$7)</f>
        <v/>
      </c>
      <c r="Y333" s="7">
        <f>IF($AH333="","",SUMIFS('Per Line'!$V$2:$V$1601,'Per Line'!$D$2:$D$1601,$B333,'Per Line'!$AM$2:$AM$1601,0,'Per Line'!$AN$2:$AN$1601,0))</f>
        <v/>
      </c>
      <c r="Z333" s="7">
        <f>IF($AH333="","",Y333*X333)</f>
        <v/>
      </c>
      <c r="AA333">
        <f>IF($AH333="","",Settings!$C$6)</f>
        <v/>
      </c>
      <c r="AB333" s="7">
        <f>IF($AH333="","",SUMIFS('Per Line'!$V$2:$V$1601,'Per Line'!$D$2:$D$1601,$B333,'Per Line'!$AM$2:$AM$1601,1,'Per Line'!$AN$2:$AN$1601,0))</f>
        <v/>
      </c>
      <c r="AC333" s="7">
        <f>IF($AH333="","",AB333*AA333)</f>
        <v/>
      </c>
      <c r="AD333" s="7">
        <f>IF($AH333="","",AC333+Z333+W333)</f>
        <v/>
      </c>
      <c r="AE333" s="7">
        <f>IF($AH333="","",AF333-AD333)</f>
        <v/>
      </c>
      <c r="AF333" s="7">
        <f>IF($AH333="","",Y333+AB333+V333)</f>
        <v/>
      </c>
      <c r="AG333" s="7">
        <f>IF($AH333="","",AF333-AD333-N333)</f>
        <v/>
      </c>
      <c r="AH333" s="13">
        <f>IF(ROWS($AH$2:$AH333)&lt;=MAX('Per Line'!$AL$2:$AL$1601),MATCH(ROWS($AH$2:$AH333),'Per Line'!$AL$2:$AL$1601,0),"")</f>
        <v/>
      </c>
    </row>
    <row r="334">
      <c r="A334" s="12" t="n"/>
      <c r="B334">
        <f>IF($AH334="","",INDEX('Per Line'!$D$2:$D$1601,$AH334)&amp;"")</f>
        <v/>
      </c>
      <c r="C334">
        <f>IF($AH334="","",INDEX('Per Line'!$A$2:$A$1601,$AH334)&amp;"")</f>
        <v/>
      </c>
      <c r="D334">
        <f>IF($AH334="","",INDEX('Per Line'!$B$2:$B$1601,$AH334))</f>
        <v/>
      </c>
      <c r="E334">
        <f>IF($AH334="","",INDEX('Per Line'!$C$2:$C$1601,$AH334)&amp;"")</f>
        <v/>
      </c>
      <c r="F334">
        <f>IF($AH334="","",INDEX('Per Line'!$E$2:$E$1601,$AH334)&amp;"")</f>
        <v/>
      </c>
      <c r="G334" s="11">
        <f>IF($AH334="","",INDEX('Per Line'!$F$2:$F$1601,$AH334))</f>
        <v/>
      </c>
      <c r="H334">
        <f>IF($AH334="","",INDEX('Per Line'!$G$2:$G$1601,$AH334)&amp;"")</f>
        <v/>
      </c>
      <c r="I334">
        <f>IF($AH334="","",INDEX('Per Line'!$I$2:$I$1601,$AH334)&amp;"")</f>
        <v/>
      </c>
      <c r="J334">
        <f>IF($AH334="","",INDEX('Per Line'!$J$2:$J$1601,$AH334)&amp;"")</f>
        <v/>
      </c>
      <c r="K334">
        <f>IF($AH334="","",INDEX('Per Line'!$K$2:$K$1601,$AH334)&amp;"")</f>
        <v/>
      </c>
      <c r="L334">
        <f>IF($AH334="","",INDEX('Per Line'!$L$2:$L$1601,$AH334)&amp;"")</f>
        <v/>
      </c>
      <c r="M334">
        <f>IF($AH334="","",INDEX('Per Line'!$M$2:$M$1601,$AH334))</f>
        <v/>
      </c>
      <c r="N334" s="7">
        <f>IF($AH334="","",M334*AE334/100)</f>
        <v/>
      </c>
      <c r="O334">
        <f>IF($AH334="","",INDEX('Per Line'!$Z$2:$Z$1601,$AH334)&amp;"")</f>
        <v/>
      </c>
      <c r="P334">
        <f>IF($AH334="","",INDEX('Per Line'!$AC$2:$AC$1601,$AH334)&amp;"")</f>
        <v/>
      </c>
      <c r="Q334">
        <f>IF($AH334="","",INDEX('Per Line'!$AD$2:$AD$1601,$AH334))</f>
        <v/>
      </c>
      <c r="R334">
        <f>IF($AH334="","",IF(AND(ISNUMBER(Q334),Q334&gt;0),AF334&gt;Q334,FALSE))</f>
        <v/>
      </c>
      <c r="S334">
        <f>IF($AH334="","",INDEX('Per Line'!$AH$2:$AH$1601,$AH334)&amp;"")</f>
        <v/>
      </c>
      <c r="T334" s="11">
        <f>IF($AH334="","",INDEX('Per Line'!$AI$2:$AI$1601,$AH334))</f>
        <v/>
      </c>
      <c r="U334">
        <f>IF($AH334="","",Settings!$C$8)</f>
        <v/>
      </c>
      <c r="V334" s="7">
        <f>IF($AH334="","",SUMIFS('Per Line'!$V$2:$V$1601,'Per Line'!$D$2:$D$1601,$B334,'Per Line'!$AN$2:$AN$1601,1))</f>
        <v/>
      </c>
      <c r="W334" s="7">
        <f>IF($AH334="","",V334*U334)</f>
        <v/>
      </c>
      <c r="X334">
        <f>IF($AH334="","",Settings!$C$7)</f>
        <v/>
      </c>
      <c r="Y334" s="7">
        <f>IF($AH334="","",SUMIFS('Per Line'!$V$2:$V$1601,'Per Line'!$D$2:$D$1601,$B334,'Per Line'!$AM$2:$AM$1601,0,'Per Line'!$AN$2:$AN$1601,0))</f>
        <v/>
      </c>
      <c r="Z334" s="7">
        <f>IF($AH334="","",Y334*X334)</f>
        <v/>
      </c>
      <c r="AA334">
        <f>IF($AH334="","",Settings!$C$6)</f>
        <v/>
      </c>
      <c r="AB334" s="7">
        <f>IF($AH334="","",SUMIFS('Per Line'!$V$2:$V$1601,'Per Line'!$D$2:$D$1601,$B334,'Per Line'!$AM$2:$AM$1601,1,'Per Line'!$AN$2:$AN$1601,0))</f>
        <v/>
      </c>
      <c r="AC334" s="7">
        <f>IF($AH334="","",AB334*AA334)</f>
        <v/>
      </c>
      <c r="AD334" s="7">
        <f>IF($AH334="","",AC334+Z334+W334)</f>
        <v/>
      </c>
      <c r="AE334" s="7">
        <f>IF($AH334="","",AF334-AD334)</f>
        <v/>
      </c>
      <c r="AF334" s="7">
        <f>IF($AH334="","",Y334+AB334+V334)</f>
        <v/>
      </c>
      <c r="AG334" s="7">
        <f>IF($AH334="","",AF334-AD334-N334)</f>
        <v/>
      </c>
      <c r="AH334" s="13">
        <f>IF(ROWS($AH$2:$AH334)&lt;=MAX('Per Line'!$AL$2:$AL$1601),MATCH(ROWS($AH$2:$AH334),'Per Line'!$AL$2:$AL$1601,0),"")</f>
        <v/>
      </c>
    </row>
    <row r="335">
      <c r="A335" s="12" t="n"/>
      <c r="B335">
        <f>IF($AH335="","",INDEX('Per Line'!$D$2:$D$1601,$AH335)&amp;"")</f>
        <v/>
      </c>
      <c r="C335">
        <f>IF($AH335="","",INDEX('Per Line'!$A$2:$A$1601,$AH335)&amp;"")</f>
        <v/>
      </c>
      <c r="D335">
        <f>IF($AH335="","",INDEX('Per Line'!$B$2:$B$1601,$AH335))</f>
        <v/>
      </c>
      <c r="E335">
        <f>IF($AH335="","",INDEX('Per Line'!$C$2:$C$1601,$AH335)&amp;"")</f>
        <v/>
      </c>
      <c r="F335">
        <f>IF($AH335="","",INDEX('Per Line'!$E$2:$E$1601,$AH335)&amp;"")</f>
        <v/>
      </c>
      <c r="G335" s="11">
        <f>IF($AH335="","",INDEX('Per Line'!$F$2:$F$1601,$AH335))</f>
        <v/>
      </c>
      <c r="H335">
        <f>IF($AH335="","",INDEX('Per Line'!$G$2:$G$1601,$AH335)&amp;"")</f>
        <v/>
      </c>
      <c r="I335">
        <f>IF($AH335="","",INDEX('Per Line'!$I$2:$I$1601,$AH335)&amp;"")</f>
        <v/>
      </c>
      <c r="J335">
        <f>IF($AH335="","",INDEX('Per Line'!$J$2:$J$1601,$AH335)&amp;"")</f>
        <v/>
      </c>
      <c r="K335">
        <f>IF($AH335="","",INDEX('Per Line'!$K$2:$K$1601,$AH335)&amp;"")</f>
        <v/>
      </c>
      <c r="L335">
        <f>IF($AH335="","",INDEX('Per Line'!$L$2:$L$1601,$AH335)&amp;"")</f>
        <v/>
      </c>
      <c r="M335">
        <f>IF($AH335="","",INDEX('Per Line'!$M$2:$M$1601,$AH335))</f>
        <v/>
      </c>
      <c r="N335" s="7">
        <f>IF($AH335="","",M335*AE335/100)</f>
        <v/>
      </c>
      <c r="O335">
        <f>IF($AH335="","",INDEX('Per Line'!$Z$2:$Z$1601,$AH335)&amp;"")</f>
        <v/>
      </c>
      <c r="P335">
        <f>IF($AH335="","",INDEX('Per Line'!$AC$2:$AC$1601,$AH335)&amp;"")</f>
        <v/>
      </c>
      <c r="Q335">
        <f>IF($AH335="","",INDEX('Per Line'!$AD$2:$AD$1601,$AH335))</f>
        <v/>
      </c>
      <c r="R335">
        <f>IF($AH335="","",IF(AND(ISNUMBER(Q335),Q335&gt;0),AF335&gt;Q335,FALSE))</f>
        <v/>
      </c>
      <c r="S335">
        <f>IF($AH335="","",INDEX('Per Line'!$AH$2:$AH$1601,$AH335)&amp;"")</f>
        <v/>
      </c>
      <c r="T335" s="11">
        <f>IF($AH335="","",INDEX('Per Line'!$AI$2:$AI$1601,$AH335))</f>
        <v/>
      </c>
      <c r="U335">
        <f>IF($AH335="","",Settings!$C$8)</f>
        <v/>
      </c>
      <c r="V335" s="7">
        <f>IF($AH335="","",SUMIFS('Per Line'!$V$2:$V$1601,'Per Line'!$D$2:$D$1601,$B335,'Per Line'!$AN$2:$AN$1601,1))</f>
        <v/>
      </c>
      <c r="W335" s="7">
        <f>IF($AH335="","",V335*U335)</f>
        <v/>
      </c>
      <c r="X335">
        <f>IF($AH335="","",Settings!$C$7)</f>
        <v/>
      </c>
      <c r="Y335" s="7">
        <f>IF($AH335="","",SUMIFS('Per Line'!$V$2:$V$1601,'Per Line'!$D$2:$D$1601,$B335,'Per Line'!$AM$2:$AM$1601,0,'Per Line'!$AN$2:$AN$1601,0))</f>
        <v/>
      </c>
      <c r="Z335" s="7">
        <f>IF($AH335="","",Y335*X335)</f>
        <v/>
      </c>
      <c r="AA335">
        <f>IF($AH335="","",Settings!$C$6)</f>
        <v/>
      </c>
      <c r="AB335" s="7">
        <f>IF($AH335="","",SUMIFS('Per Line'!$V$2:$V$1601,'Per Line'!$D$2:$D$1601,$B335,'Per Line'!$AM$2:$AM$1601,1,'Per Line'!$AN$2:$AN$1601,0))</f>
        <v/>
      </c>
      <c r="AC335" s="7">
        <f>IF($AH335="","",AB335*AA335)</f>
        <v/>
      </c>
      <c r="AD335" s="7">
        <f>IF($AH335="","",AC335+Z335+W335)</f>
        <v/>
      </c>
      <c r="AE335" s="7">
        <f>IF($AH335="","",AF335-AD335)</f>
        <v/>
      </c>
      <c r="AF335" s="7">
        <f>IF($AH335="","",Y335+AB335+V335)</f>
        <v/>
      </c>
      <c r="AG335" s="7">
        <f>IF($AH335="","",AF335-AD335-N335)</f>
        <v/>
      </c>
      <c r="AH335" s="13">
        <f>IF(ROWS($AH$2:$AH335)&lt;=MAX('Per Line'!$AL$2:$AL$1601),MATCH(ROWS($AH$2:$AH335),'Per Line'!$AL$2:$AL$1601,0),"")</f>
        <v/>
      </c>
    </row>
    <row r="336">
      <c r="A336" s="12" t="n"/>
      <c r="B336">
        <f>IF($AH336="","",INDEX('Per Line'!$D$2:$D$1601,$AH336)&amp;"")</f>
        <v/>
      </c>
      <c r="C336">
        <f>IF($AH336="","",INDEX('Per Line'!$A$2:$A$1601,$AH336)&amp;"")</f>
        <v/>
      </c>
      <c r="D336">
        <f>IF($AH336="","",INDEX('Per Line'!$B$2:$B$1601,$AH336))</f>
        <v/>
      </c>
      <c r="E336">
        <f>IF($AH336="","",INDEX('Per Line'!$C$2:$C$1601,$AH336)&amp;"")</f>
        <v/>
      </c>
      <c r="F336">
        <f>IF($AH336="","",INDEX('Per Line'!$E$2:$E$1601,$AH336)&amp;"")</f>
        <v/>
      </c>
      <c r="G336" s="11">
        <f>IF($AH336="","",INDEX('Per Line'!$F$2:$F$1601,$AH336))</f>
        <v/>
      </c>
      <c r="H336">
        <f>IF($AH336="","",INDEX('Per Line'!$G$2:$G$1601,$AH336)&amp;"")</f>
        <v/>
      </c>
      <c r="I336">
        <f>IF($AH336="","",INDEX('Per Line'!$I$2:$I$1601,$AH336)&amp;"")</f>
        <v/>
      </c>
      <c r="J336">
        <f>IF($AH336="","",INDEX('Per Line'!$J$2:$J$1601,$AH336)&amp;"")</f>
        <v/>
      </c>
      <c r="K336">
        <f>IF($AH336="","",INDEX('Per Line'!$K$2:$K$1601,$AH336)&amp;"")</f>
        <v/>
      </c>
      <c r="L336">
        <f>IF($AH336="","",INDEX('Per Line'!$L$2:$L$1601,$AH336)&amp;"")</f>
        <v/>
      </c>
      <c r="M336">
        <f>IF($AH336="","",INDEX('Per Line'!$M$2:$M$1601,$AH336))</f>
        <v/>
      </c>
      <c r="N336" s="7">
        <f>IF($AH336="","",M336*AE336/100)</f>
        <v/>
      </c>
      <c r="O336">
        <f>IF($AH336="","",INDEX('Per Line'!$Z$2:$Z$1601,$AH336)&amp;"")</f>
        <v/>
      </c>
      <c r="P336">
        <f>IF($AH336="","",INDEX('Per Line'!$AC$2:$AC$1601,$AH336)&amp;"")</f>
        <v/>
      </c>
      <c r="Q336">
        <f>IF($AH336="","",INDEX('Per Line'!$AD$2:$AD$1601,$AH336))</f>
        <v/>
      </c>
      <c r="R336">
        <f>IF($AH336="","",IF(AND(ISNUMBER(Q336),Q336&gt;0),AF336&gt;Q336,FALSE))</f>
        <v/>
      </c>
      <c r="S336">
        <f>IF($AH336="","",INDEX('Per Line'!$AH$2:$AH$1601,$AH336)&amp;"")</f>
        <v/>
      </c>
      <c r="T336" s="11">
        <f>IF($AH336="","",INDEX('Per Line'!$AI$2:$AI$1601,$AH336))</f>
        <v/>
      </c>
      <c r="U336">
        <f>IF($AH336="","",Settings!$C$8)</f>
        <v/>
      </c>
      <c r="V336" s="7">
        <f>IF($AH336="","",SUMIFS('Per Line'!$V$2:$V$1601,'Per Line'!$D$2:$D$1601,$B336,'Per Line'!$AN$2:$AN$1601,1))</f>
        <v/>
      </c>
      <c r="W336" s="7">
        <f>IF($AH336="","",V336*U336)</f>
        <v/>
      </c>
      <c r="X336">
        <f>IF($AH336="","",Settings!$C$7)</f>
        <v/>
      </c>
      <c r="Y336" s="7">
        <f>IF($AH336="","",SUMIFS('Per Line'!$V$2:$V$1601,'Per Line'!$D$2:$D$1601,$B336,'Per Line'!$AM$2:$AM$1601,0,'Per Line'!$AN$2:$AN$1601,0))</f>
        <v/>
      </c>
      <c r="Z336" s="7">
        <f>IF($AH336="","",Y336*X336)</f>
        <v/>
      </c>
      <c r="AA336">
        <f>IF($AH336="","",Settings!$C$6)</f>
        <v/>
      </c>
      <c r="AB336" s="7">
        <f>IF($AH336="","",SUMIFS('Per Line'!$V$2:$V$1601,'Per Line'!$D$2:$D$1601,$B336,'Per Line'!$AM$2:$AM$1601,1,'Per Line'!$AN$2:$AN$1601,0))</f>
        <v/>
      </c>
      <c r="AC336" s="7">
        <f>IF($AH336="","",AB336*AA336)</f>
        <v/>
      </c>
      <c r="AD336" s="7">
        <f>IF($AH336="","",AC336+Z336+W336)</f>
        <v/>
      </c>
      <c r="AE336" s="7">
        <f>IF($AH336="","",AF336-AD336)</f>
        <v/>
      </c>
      <c r="AF336" s="7">
        <f>IF($AH336="","",Y336+AB336+V336)</f>
        <v/>
      </c>
      <c r="AG336" s="7">
        <f>IF($AH336="","",AF336-AD336-N336)</f>
        <v/>
      </c>
      <c r="AH336" s="13">
        <f>IF(ROWS($AH$2:$AH336)&lt;=MAX('Per Line'!$AL$2:$AL$1601),MATCH(ROWS($AH$2:$AH336),'Per Line'!$AL$2:$AL$1601,0),"")</f>
        <v/>
      </c>
    </row>
    <row r="337">
      <c r="A337" s="12" t="n"/>
      <c r="B337">
        <f>IF($AH337="","",INDEX('Per Line'!$D$2:$D$1601,$AH337)&amp;"")</f>
        <v/>
      </c>
      <c r="C337">
        <f>IF($AH337="","",INDEX('Per Line'!$A$2:$A$1601,$AH337)&amp;"")</f>
        <v/>
      </c>
      <c r="D337">
        <f>IF($AH337="","",INDEX('Per Line'!$B$2:$B$1601,$AH337))</f>
        <v/>
      </c>
      <c r="E337">
        <f>IF($AH337="","",INDEX('Per Line'!$C$2:$C$1601,$AH337)&amp;"")</f>
        <v/>
      </c>
      <c r="F337">
        <f>IF($AH337="","",INDEX('Per Line'!$E$2:$E$1601,$AH337)&amp;"")</f>
        <v/>
      </c>
      <c r="G337" s="11">
        <f>IF($AH337="","",INDEX('Per Line'!$F$2:$F$1601,$AH337))</f>
        <v/>
      </c>
      <c r="H337">
        <f>IF($AH337="","",INDEX('Per Line'!$G$2:$G$1601,$AH337)&amp;"")</f>
        <v/>
      </c>
      <c r="I337">
        <f>IF($AH337="","",INDEX('Per Line'!$I$2:$I$1601,$AH337)&amp;"")</f>
        <v/>
      </c>
      <c r="J337">
        <f>IF($AH337="","",INDEX('Per Line'!$J$2:$J$1601,$AH337)&amp;"")</f>
        <v/>
      </c>
      <c r="K337">
        <f>IF($AH337="","",INDEX('Per Line'!$K$2:$K$1601,$AH337)&amp;"")</f>
        <v/>
      </c>
      <c r="L337">
        <f>IF($AH337="","",INDEX('Per Line'!$L$2:$L$1601,$AH337)&amp;"")</f>
        <v/>
      </c>
      <c r="M337">
        <f>IF($AH337="","",INDEX('Per Line'!$M$2:$M$1601,$AH337))</f>
        <v/>
      </c>
      <c r="N337" s="7">
        <f>IF($AH337="","",M337*AE337/100)</f>
        <v/>
      </c>
      <c r="O337">
        <f>IF($AH337="","",INDEX('Per Line'!$Z$2:$Z$1601,$AH337)&amp;"")</f>
        <v/>
      </c>
      <c r="P337">
        <f>IF($AH337="","",INDEX('Per Line'!$AC$2:$AC$1601,$AH337)&amp;"")</f>
        <v/>
      </c>
      <c r="Q337">
        <f>IF($AH337="","",INDEX('Per Line'!$AD$2:$AD$1601,$AH337))</f>
        <v/>
      </c>
      <c r="R337">
        <f>IF($AH337="","",IF(AND(ISNUMBER(Q337),Q337&gt;0),AF337&gt;Q337,FALSE))</f>
        <v/>
      </c>
      <c r="S337">
        <f>IF($AH337="","",INDEX('Per Line'!$AH$2:$AH$1601,$AH337)&amp;"")</f>
        <v/>
      </c>
      <c r="T337" s="11">
        <f>IF($AH337="","",INDEX('Per Line'!$AI$2:$AI$1601,$AH337))</f>
        <v/>
      </c>
      <c r="U337">
        <f>IF($AH337="","",Settings!$C$8)</f>
        <v/>
      </c>
      <c r="V337" s="7">
        <f>IF($AH337="","",SUMIFS('Per Line'!$V$2:$V$1601,'Per Line'!$D$2:$D$1601,$B337,'Per Line'!$AN$2:$AN$1601,1))</f>
        <v/>
      </c>
      <c r="W337" s="7">
        <f>IF($AH337="","",V337*U337)</f>
        <v/>
      </c>
      <c r="X337">
        <f>IF($AH337="","",Settings!$C$7)</f>
        <v/>
      </c>
      <c r="Y337" s="7">
        <f>IF($AH337="","",SUMIFS('Per Line'!$V$2:$V$1601,'Per Line'!$D$2:$D$1601,$B337,'Per Line'!$AM$2:$AM$1601,0,'Per Line'!$AN$2:$AN$1601,0))</f>
        <v/>
      </c>
      <c r="Z337" s="7">
        <f>IF($AH337="","",Y337*X337)</f>
        <v/>
      </c>
      <c r="AA337">
        <f>IF($AH337="","",Settings!$C$6)</f>
        <v/>
      </c>
      <c r="AB337" s="7">
        <f>IF($AH337="","",SUMIFS('Per Line'!$V$2:$V$1601,'Per Line'!$D$2:$D$1601,$B337,'Per Line'!$AM$2:$AM$1601,1,'Per Line'!$AN$2:$AN$1601,0))</f>
        <v/>
      </c>
      <c r="AC337" s="7">
        <f>IF($AH337="","",AB337*AA337)</f>
        <v/>
      </c>
      <c r="AD337" s="7">
        <f>IF($AH337="","",AC337+Z337+W337)</f>
        <v/>
      </c>
      <c r="AE337" s="7">
        <f>IF($AH337="","",AF337-AD337)</f>
        <v/>
      </c>
      <c r="AF337" s="7">
        <f>IF($AH337="","",Y337+AB337+V337)</f>
        <v/>
      </c>
      <c r="AG337" s="7">
        <f>IF($AH337="","",AF337-AD337-N337)</f>
        <v/>
      </c>
      <c r="AH337" s="13">
        <f>IF(ROWS($AH$2:$AH337)&lt;=MAX('Per Line'!$AL$2:$AL$1601),MATCH(ROWS($AH$2:$AH337),'Per Line'!$AL$2:$AL$1601,0),"")</f>
        <v/>
      </c>
    </row>
    <row r="338">
      <c r="A338" s="12" t="n"/>
      <c r="B338">
        <f>IF($AH338="","",INDEX('Per Line'!$D$2:$D$1601,$AH338)&amp;"")</f>
        <v/>
      </c>
      <c r="C338">
        <f>IF($AH338="","",INDEX('Per Line'!$A$2:$A$1601,$AH338)&amp;"")</f>
        <v/>
      </c>
      <c r="D338">
        <f>IF($AH338="","",INDEX('Per Line'!$B$2:$B$1601,$AH338))</f>
        <v/>
      </c>
      <c r="E338">
        <f>IF($AH338="","",INDEX('Per Line'!$C$2:$C$1601,$AH338)&amp;"")</f>
        <v/>
      </c>
      <c r="F338">
        <f>IF($AH338="","",INDEX('Per Line'!$E$2:$E$1601,$AH338)&amp;"")</f>
        <v/>
      </c>
      <c r="G338" s="11">
        <f>IF($AH338="","",INDEX('Per Line'!$F$2:$F$1601,$AH338))</f>
        <v/>
      </c>
      <c r="H338">
        <f>IF($AH338="","",INDEX('Per Line'!$G$2:$G$1601,$AH338)&amp;"")</f>
        <v/>
      </c>
      <c r="I338">
        <f>IF($AH338="","",INDEX('Per Line'!$I$2:$I$1601,$AH338)&amp;"")</f>
        <v/>
      </c>
      <c r="J338">
        <f>IF($AH338="","",INDEX('Per Line'!$J$2:$J$1601,$AH338)&amp;"")</f>
        <v/>
      </c>
      <c r="K338">
        <f>IF($AH338="","",INDEX('Per Line'!$K$2:$K$1601,$AH338)&amp;"")</f>
        <v/>
      </c>
      <c r="L338">
        <f>IF($AH338="","",INDEX('Per Line'!$L$2:$L$1601,$AH338)&amp;"")</f>
        <v/>
      </c>
      <c r="M338">
        <f>IF($AH338="","",INDEX('Per Line'!$M$2:$M$1601,$AH338))</f>
        <v/>
      </c>
      <c r="N338" s="7">
        <f>IF($AH338="","",M338*AE338/100)</f>
        <v/>
      </c>
      <c r="O338">
        <f>IF($AH338="","",INDEX('Per Line'!$Z$2:$Z$1601,$AH338)&amp;"")</f>
        <v/>
      </c>
      <c r="P338">
        <f>IF($AH338="","",INDEX('Per Line'!$AC$2:$AC$1601,$AH338)&amp;"")</f>
        <v/>
      </c>
      <c r="Q338">
        <f>IF($AH338="","",INDEX('Per Line'!$AD$2:$AD$1601,$AH338))</f>
        <v/>
      </c>
      <c r="R338">
        <f>IF($AH338="","",IF(AND(ISNUMBER(Q338),Q338&gt;0),AF338&gt;Q338,FALSE))</f>
        <v/>
      </c>
      <c r="S338">
        <f>IF($AH338="","",INDEX('Per Line'!$AH$2:$AH$1601,$AH338)&amp;"")</f>
        <v/>
      </c>
      <c r="T338" s="11">
        <f>IF($AH338="","",INDEX('Per Line'!$AI$2:$AI$1601,$AH338))</f>
        <v/>
      </c>
      <c r="U338">
        <f>IF($AH338="","",Settings!$C$8)</f>
        <v/>
      </c>
      <c r="V338" s="7">
        <f>IF($AH338="","",SUMIFS('Per Line'!$V$2:$V$1601,'Per Line'!$D$2:$D$1601,$B338,'Per Line'!$AN$2:$AN$1601,1))</f>
        <v/>
      </c>
      <c r="W338" s="7">
        <f>IF($AH338="","",V338*U338)</f>
        <v/>
      </c>
      <c r="X338">
        <f>IF($AH338="","",Settings!$C$7)</f>
        <v/>
      </c>
      <c r="Y338" s="7">
        <f>IF($AH338="","",SUMIFS('Per Line'!$V$2:$V$1601,'Per Line'!$D$2:$D$1601,$B338,'Per Line'!$AM$2:$AM$1601,0,'Per Line'!$AN$2:$AN$1601,0))</f>
        <v/>
      </c>
      <c r="Z338" s="7">
        <f>IF($AH338="","",Y338*X338)</f>
        <v/>
      </c>
      <c r="AA338">
        <f>IF($AH338="","",Settings!$C$6)</f>
        <v/>
      </c>
      <c r="AB338" s="7">
        <f>IF($AH338="","",SUMIFS('Per Line'!$V$2:$V$1601,'Per Line'!$D$2:$D$1601,$B338,'Per Line'!$AM$2:$AM$1601,1,'Per Line'!$AN$2:$AN$1601,0))</f>
        <v/>
      </c>
      <c r="AC338" s="7">
        <f>IF($AH338="","",AB338*AA338)</f>
        <v/>
      </c>
      <c r="AD338" s="7">
        <f>IF($AH338="","",AC338+Z338+W338)</f>
        <v/>
      </c>
      <c r="AE338" s="7">
        <f>IF($AH338="","",AF338-AD338)</f>
        <v/>
      </c>
      <c r="AF338" s="7">
        <f>IF($AH338="","",Y338+AB338+V338)</f>
        <v/>
      </c>
      <c r="AG338" s="7">
        <f>IF($AH338="","",AF338-AD338-N338)</f>
        <v/>
      </c>
      <c r="AH338" s="13">
        <f>IF(ROWS($AH$2:$AH338)&lt;=MAX('Per Line'!$AL$2:$AL$1601),MATCH(ROWS($AH$2:$AH338),'Per Line'!$AL$2:$AL$1601,0),"")</f>
        <v/>
      </c>
    </row>
    <row r="339">
      <c r="A339" s="12" t="n"/>
      <c r="B339">
        <f>IF($AH339="","",INDEX('Per Line'!$D$2:$D$1601,$AH339)&amp;"")</f>
        <v/>
      </c>
      <c r="C339">
        <f>IF($AH339="","",INDEX('Per Line'!$A$2:$A$1601,$AH339)&amp;"")</f>
        <v/>
      </c>
      <c r="D339">
        <f>IF($AH339="","",INDEX('Per Line'!$B$2:$B$1601,$AH339))</f>
        <v/>
      </c>
      <c r="E339">
        <f>IF($AH339="","",INDEX('Per Line'!$C$2:$C$1601,$AH339)&amp;"")</f>
        <v/>
      </c>
      <c r="F339">
        <f>IF($AH339="","",INDEX('Per Line'!$E$2:$E$1601,$AH339)&amp;"")</f>
        <v/>
      </c>
      <c r="G339" s="11">
        <f>IF($AH339="","",INDEX('Per Line'!$F$2:$F$1601,$AH339))</f>
        <v/>
      </c>
      <c r="H339">
        <f>IF($AH339="","",INDEX('Per Line'!$G$2:$G$1601,$AH339)&amp;"")</f>
        <v/>
      </c>
      <c r="I339">
        <f>IF($AH339="","",INDEX('Per Line'!$I$2:$I$1601,$AH339)&amp;"")</f>
        <v/>
      </c>
      <c r="J339">
        <f>IF($AH339="","",INDEX('Per Line'!$J$2:$J$1601,$AH339)&amp;"")</f>
        <v/>
      </c>
      <c r="K339">
        <f>IF($AH339="","",INDEX('Per Line'!$K$2:$K$1601,$AH339)&amp;"")</f>
        <v/>
      </c>
      <c r="L339">
        <f>IF($AH339="","",INDEX('Per Line'!$L$2:$L$1601,$AH339)&amp;"")</f>
        <v/>
      </c>
      <c r="M339">
        <f>IF($AH339="","",INDEX('Per Line'!$M$2:$M$1601,$AH339))</f>
        <v/>
      </c>
      <c r="N339" s="7">
        <f>IF($AH339="","",M339*AE339/100)</f>
        <v/>
      </c>
      <c r="O339">
        <f>IF($AH339="","",INDEX('Per Line'!$Z$2:$Z$1601,$AH339)&amp;"")</f>
        <v/>
      </c>
      <c r="P339">
        <f>IF($AH339="","",INDEX('Per Line'!$AC$2:$AC$1601,$AH339)&amp;"")</f>
        <v/>
      </c>
      <c r="Q339">
        <f>IF($AH339="","",INDEX('Per Line'!$AD$2:$AD$1601,$AH339))</f>
        <v/>
      </c>
      <c r="R339">
        <f>IF($AH339="","",IF(AND(ISNUMBER(Q339),Q339&gt;0),AF339&gt;Q339,FALSE))</f>
        <v/>
      </c>
      <c r="S339">
        <f>IF($AH339="","",INDEX('Per Line'!$AH$2:$AH$1601,$AH339)&amp;"")</f>
        <v/>
      </c>
      <c r="T339" s="11">
        <f>IF($AH339="","",INDEX('Per Line'!$AI$2:$AI$1601,$AH339))</f>
        <v/>
      </c>
      <c r="U339">
        <f>IF($AH339="","",Settings!$C$8)</f>
        <v/>
      </c>
      <c r="V339" s="7">
        <f>IF($AH339="","",SUMIFS('Per Line'!$V$2:$V$1601,'Per Line'!$D$2:$D$1601,$B339,'Per Line'!$AN$2:$AN$1601,1))</f>
        <v/>
      </c>
      <c r="W339" s="7">
        <f>IF($AH339="","",V339*U339)</f>
        <v/>
      </c>
      <c r="X339">
        <f>IF($AH339="","",Settings!$C$7)</f>
        <v/>
      </c>
      <c r="Y339" s="7">
        <f>IF($AH339="","",SUMIFS('Per Line'!$V$2:$V$1601,'Per Line'!$D$2:$D$1601,$B339,'Per Line'!$AM$2:$AM$1601,0,'Per Line'!$AN$2:$AN$1601,0))</f>
        <v/>
      </c>
      <c r="Z339" s="7">
        <f>IF($AH339="","",Y339*X339)</f>
        <v/>
      </c>
      <c r="AA339">
        <f>IF($AH339="","",Settings!$C$6)</f>
        <v/>
      </c>
      <c r="AB339" s="7">
        <f>IF($AH339="","",SUMIFS('Per Line'!$V$2:$V$1601,'Per Line'!$D$2:$D$1601,$B339,'Per Line'!$AM$2:$AM$1601,1,'Per Line'!$AN$2:$AN$1601,0))</f>
        <v/>
      </c>
      <c r="AC339" s="7">
        <f>IF($AH339="","",AB339*AA339)</f>
        <v/>
      </c>
      <c r="AD339" s="7">
        <f>IF($AH339="","",AC339+Z339+W339)</f>
        <v/>
      </c>
      <c r="AE339" s="7">
        <f>IF($AH339="","",AF339-AD339)</f>
        <v/>
      </c>
      <c r="AF339" s="7">
        <f>IF($AH339="","",Y339+AB339+V339)</f>
        <v/>
      </c>
      <c r="AG339" s="7">
        <f>IF($AH339="","",AF339-AD339-N339)</f>
        <v/>
      </c>
      <c r="AH339" s="13">
        <f>IF(ROWS($AH$2:$AH339)&lt;=MAX('Per Line'!$AL$2:$AL$1601),MATCH(ROWS($AH$2:$AH339),'Per Line'!$AL$2:$AL$1601,0),"")</f>
        <v/>
      </c>
    </row>
    <row r="340">
      <c r="A340" s="12" t="n"/>
      <c r="B340">
        <f>IF($AH340="","",INDEX('Per Line'!$D$2:$D$1601,$AH340)&amp;"")</f>
        <v/>
      </c>
      <c r="C340">
        <f>IF($AH340="","",INDEX('Per Line'!$A$2:$A$1601,$AH340)&amp;"")</f>
        <v/>
      </c>
      <c r="D340">
        <f>IF($AH340="","",INDEX('Per Line'!$B$2:$B$1601,$AH340))</f>
        <v/>
      </c>
      <c r="E340">
        <f>IF($AH340="","",INDEX('Per Line'!$C$2:$C$1601,$AH340)&amp;"")</f>
        <v/>
      </c>
      <c r="F340">
        <f>IF($AH340="","",INDEX('Per Line'!$E$2:$E$1601,$AH340)&amp;"")</f>
        <v/>
      </c>
      <c r="G340" s="11">
        <f>IF($AH340="","",INDEX('Per Line'!$F$2:$F$1601,$AH340))</f>
        <v/>
      </c>
      <c r="H340">
        <f>IF($AH340="","",INDEX('Per Line'!$G$2:$G$1601,$AH340)&amp;"")</f>
        <v/>
      </c>
      <c r="I340">
        <f>IF($AH340="","",INDEX('Per Line'!$I$2:$I$1601,$AH340)&amp;"")</f>
        <v/>
      </c>
      <c r="J340">
        <f>IF($AH340="","",INDEX('Per Line'!$J$2:$J$1601,$AH340)&amp;"")</f>
        <v/>
      </c>
      <c r="K340">
        <f>IF($AH340="","",INDEX('Per Line'!$K$2:$K$1601,$AH340)&amp;"")</f>
        <v/>
      </c>
      <c r="L340">
        <f>IF($AH340="","",INDEX('Per Line'!$L$2:$L$1601,$AH340)&amp;"")</f>
        <v/>
      </c>
      <c r="M340">
        <f>IF($AH340="","",INDEX('Per Line'!$M$2:$M$1601,$AH340))</f>
        <v/>
      </c>
      <c r="N340" s="7">
        <f>IF($AH340="","",M340*AE340/100)</f>
        <v/>
      </c>
      <c r="O340">
        <f>IF($AH340="","",INDEX('Per Line'!$Z$2:$Z$1601,$AH340)&amp;"")</f>
        <v/>
      </c>
      <c r="P340">
        <f>IF($AH340="","",INDEX('Per Line'!$AC$2:$AC$1601,$AH340)&amp;"")</f>
        <v/>
      </c>
      <c r="Q340">
        <f>IF($AH340="","",INDEX('Per Line'!$AD$2:$AD$1601,$AH340))</f>
        <v/>
      </c>
      <c r="R340">
        <f>IF($AH340="","",IF(AND(ISNUMBER(Q340),Q340&gt;0),AF340&gt;Q340,FALSE))</f>
        <v/>
      </c>
      <c r="S340">
        <f>IF($AH340="","",INDEX('Per Line'!$AH$2:$AH$1601,$AH340)&amp;"")</f>
        <v/>
      </c>
      <c r="T340" s="11">
        <f>IF($AH340="","",INDEX('Per Line'!$AI$2:$AI$1601,$AH340))</f>
        <v/>
      </c>
      <c r="U340">
        <f>IF($AH340="","",Settings!$C$8)</f>
        <v/>
      </c>
      <c r="V340" s="7">
        <f>IF($AH340="","",SUMIFS('Per Line'!$V$2:$V$1601,'Per Line'!$D$2:$D$1601,$B340,'Per Line'!$AN$2:$AN$1601,1))</f>
        <v/>
      </c>
      <c r="W340" s="7">
        <f>IF($AH340="","",V340*U340)</f>
        <v/>
      </c>
      <c r="X340">
        <f>IF($AH340="","",Settings!$C$7)</f>
        <v/>
      </c>
      <c r="Y340" s="7">
        <f>IF($AH340="","",SUMIFS('Per Line'!$V$2:$V$1601,'Per Line'!$D$2:$D$1601,$B340,'Per Line'!$AM$2:$AM$1601,0,'Per Line'!$AN$2:$AN$1601,0))</f>
        <v/>
      </c>
      <c r="Z340" s="7">
        <f>IF($AH340="","",Y340*X340)</f>
        <v/>
      </c>
      <c r="AA340">
        <f>IF($AH340="","",Settings!$C$6)</f>
        <v/>
      </c>
      <c r="AB340" s="7">
        <f>IF($AH340="","",SUMIFS('Per Line'!$V$2:$V$1601,'Per Line'!$D$2:$D$1601,$B340,'Per Line'!$AM$2:$AM$1601,1,'Per Line'!$AN$2:$AN$1601,0))</f>
        <v/>
      </c>
      <c r="AC340" s="7">
        <f>IF($AH340="","",AB340*AA340)</f>
        <v/>
      </c>
      <c r="AD340" s="7">
        <f>IF($AH340="","",AC340+Z340+W340)</f>
        <v/>
      </c>
      <c r="AE340" s="7">
        <f>IF($AH340="","",AF340-AD340)</f>
        <v/>
      </c>
      <c r="AF340" s="7">
        <f>IF($AH340="","",Y340+AB340+V340)</f>
        <v/>
      </c>
      <c r="AG340" s="7">
        <f>IF($AH340="","",AF340-AD340-N340)</f>
        <v/>
      </c>
      <c r="AH340" s="13">
        <f>IF(ROWS($AH$2:$AH340)&lt;=MAX('Per Line'!$AL$2:$AL$1601),MATCH(ROWS($AH$2:$AH340),'Per Line'!$AL$2:$AL$1601,0),"")</f>
        <v/>
      </c>
    </row>
    <row r="341">
      <c r="A341" s="12" t="n"/>
      <c r="B341">
        <f>IF($AH341="","",INDEX('Per Line'!$D$2:$D$1601,$AH341)&amp;"")</f>
        <v/>
      </c>
      <c r="C341">
        <f>IF($AH341="","",INDEX('Per Line'!$A$2:$A$1601,$AH341)&amp;"")</f>
        <v/>
      </c>
      <c r="D341">
        <f>IF($AH341="","",INDEX('Per Line'!$B$2:$B$1601,$AH341))</f>
        <v/>
      </c>
      <c r="E341">
        <f>IF($AH341="","",INDEX('Per Line'!$C$2:$C$1601,$AH341)&amp;"")</f>
        <v/>
      </c>
      <c r="F341">
        <f>IF($AH341="","",INDEX('Per Line'!$E$2:$E$1601,$AH341)&amp;"")</f>
        <v/>
      </c>
      <c r="G341" s="11">
        <f>IF($AH341="","",INDEX('Per Line'!$F$2:$F$1601,$AH341))</f>
        <v/>
      </c>
      <c r="H341">
        <f>IF($AH341="","",INDEX('Per Line'!$G$2:$G$1601,$AH341)&amp;"")</f>
        <v/>
      </c>
      <c r="I341">
        <f>IF($AH341="","",INDEX('Per Line'!$I$2:$I$1601,$AH341)&amp;"")</f>
        <v/>
      </c>
      <c r="J341">
        <f>IF($AH341="","",INDEX('Per Line'!$J$2:$J$1601,$AH341)&amp;"")</f>
        <v/>
      </c>
      <c r="K341">
        <f>IF($AH341="","",INDEX('Per Line'!$K$2:$K$1601,$AH341)&amp;"")</f>
        <v/>
      </c>
      <c r="L341">
        <f>IF($AH341="","",INDEX('Per Line'!$L$2:$L$1601,$AH341)&amp;"")</f>
        <v/>
      </c>
      <c r="M341">
        <f>IF($AH341="","",INDEX('Per Line'!$M$2:$M$1601,$AH341))</f>
        <v/>
      </c>
      <c r="N341" s="7">
        <f>IF($AH341="","",M341*AE341/100)</f>
        <v/>
      </c>
      <c r="O341">
        <f>IF($AH341="","",INDEX('Per Line'!$Z$2:$Z$1601,$AH341)&amp;"")</f>
        <v/>
      </c>
      <c r="P341">
        <f>IF($AH341="","",INDEX('Per Line'!$AC$2:$AC$1601,$AH341)&amp;"")</f>
        <v/>
      </c>
      <c r="Q341">
        <f>IF($AH341="","",INDEX('Per Line'!$AD$2:$AD$1601,$AH341))</f>
        <v/>
      </c>
      <c r="R341">
        <f>IF($AH341="","",IF(AND(ISNUMBER(Q341),Q341&gt;0),AF341&gt;Q341,FALSE))</f>
        <v/>
      </c>
      <c r="S341">
        <f>IF($AH341="","",INDEX('Per Line'!$AH$2:$AH$1601,$AH341)&amp;"")</f>
        <v/>
      </c>
      <c r="T341" s="11">
        <f>IF($AH341="","",INDEX('Per Line'!$AI$2:$AI$1601,$AH341))</f>
        <v/>
      </c>
      <c r="U341">
        <f>IF($AH341="","",Settings!$C$8)</f>
        <v/>
      </c>
      <c r="V341" s="7">
        <f>IF($AH341="","",SUMIFS('Per Line'!$V$2:$V$1601,'Per Line'!$D$2:$D$1601,$B341,'Per Line'!$AN$2:$AN$1601,1))</f>
        <v/>
      </c>
      <c r="W341" s="7">
        <f>IF($AH341="","",V341*U341)</f>
        <v/>
      </c>
      <c r="X341">
        <f>IF($AH341="","",Settings!$C$7)</f>
        <v/>
      </c>
      <c r="Y341" s="7">
        <f>IF($AH341="","",SUMIFS('Per Line'!$V$2:$V$1601,'Per Line'!$D$2:$D$1601,$B341,'Per Line'!$AM$2:$AM$1601,0,'Per Line'!$AN$2:$AN$1601,0))</f>
        <v/>
      </c>
      <c r="Z341" s="7">
        <f>IF($AH341="","",Y341*X341)</f>
        <v/>
      </c>
      <c r="AA341">
        <f>IF($AH341="","",Settings!$C$6)</f>
        <v/>
      </c>
      <c r="AB341" s="7">
        <f>IF($AH341="","",SUMIFS('Per Line'!$V$2:$V$1601,'Per Line'!$D$2:$D$1601,$B341,'Per Line'!$AM$2:$AM$1601,1,'Per Line'!$AN$2:$AN$1601,0))</f>
        <v/>
      </c>
      <c r="AC341" s="7">
        <f>IF($AH341="","",AB341*AA341)</f>
        <v/>
      </c>
      <c r="AD341" s="7">
        <f>IF($AH341="","",AC341+Z341+W341)</f>
        <v/>
      </c>
      <c r="AE341" s="7">
        <f>IF($AH341="","",AF341-AD341)</f>
        <v/>
      </c>
      <c r="AF341" s="7">
        <f>IF($AH341="","",Y341+AB341+V341)</f>
        <v/>
      </c>
      <c r="AG341" s="7">
        <f>IF($AH341="","",AF341-AD341-N341)</f>
        <v/>
      </c>
      <c r="AH341" s="13">
        <f>IF(ROWS($AH$2:$AH341)&lt;=MAX('Per Line'!$AL$2:$AL$1601),MATCH(ROWS($AH$2:$AH341),'Per Line'!$AL$2:$AL$1601,0),"")</f>
        <v/>
      </c>
    </row>
    <row r="342">
      <c r="A342" s="12" t="n"/>
      <c r="B342">
        <f>IF($AH342="","",INDEX('Per Line'!$D$2:$D$1601,$AH342)&amp;"")</f>
        <v/>
      </c>
      <c r="C342">
        <f>IF($AH342="","",INDEX('Per Line'!$A$2:$A$1601,$AH342)&amp;"")</f>
        <v/>
      </c>
      <c r="D342">
        <f>IF($AH342="","",INDEX('Per Line'!$B$2:$B$1601,$AH342))</f>
        <v/>
      </c>
      <c r="E342">
        <f>IF($AH342="","",INDEX('Per Line'!$C$2:$C$1601,$AH342)&amp;"")</f>
        <v/>
      </c>
      <c r="F342">
        <f>IF($AH342="","",INDEX('Per Line'!$E$2:$E$1601,$AH342)&amp;"")</f>
        <v/>
      </c>
      <c r="G342" s="11">
        <f>IF($AH342="","",INDEX('Per Line'!$F$2:$F$1601,$AH342))</f>
        <v/>
      </c>
      <c r="H342">
        <f>IF($AH342="","",INDEX('Per Line'!$G$2:$G$1601,$AH342)&amp;"")</f>
        <v/>
      </c>
      <c r="I342">
        <f>IF($AH342="","",INDEX('Per Line'!$I$2:$I$1601,$AH342)&amp;"")</f>
        <v/>
      </c>
      <c r="J342">
        <f>IF($AH342="","",INDEX('Per Line'!$J$2:$J$1601,$AH342)&amp;"")</f>
        <v/>
      </c>
      <c r="K342">
        <f>IF($AH342="","",INDEX('Per Line'!$K$2:$K$1601,$AH342)&amp;"")</f>
        <v/>
      </c>
      <c r="L342">
        <f>IF($AH342="","",INDEX('Per Line'!$L$2:$L$1601,$AH342)&amp;"")</f>
        <v/>
      </c>
      <c r="M342">
        <f>IF($AH342="","",INDEX('Per Line'!$M$2:$M$1601,$AH342))</f>
        <v/>
      </c>
      <c r="N342" s="7">
        <f>IF($AH342="","",M342*AE342/100)</f>
        <v/>
      </c>
      <c r="O342">
        <f>IF($AH342="","",INDEX('Per Line'!$Z$2:$Z$1601,$AH342)&amp;"")</f>
        <v/>
      </c>
      <c r="P342">
        <f>IF($AH342="","",INDEX('Per Line'!$AC$2:$AC$1601,$AH342)&amp;"")</f>
        <v/>
      </c>
      <c r="Q342">
        <f>IF($AH342="","",INDEX('Per Line'!$AD$2:$AD$1601,$AH342))</f>
        <v/>
      </c>
      <c r="R342">
        <f>IF($AH342="","",IF(AND(ISNUMBER(Q342),Q342&gt;0),AF342&gt;Q342,FALSE))</f>
        <v/>
      </c>
      <c r="S342">
        <f>IF($AH342="","",INDEX('Per Line'!$AH$2:$AH$1601,$AH342)&amp;"")</f>
        <v/>
      </c>
      <c r="T342" s="11">
        <f>IF($AH342="","",INDEX('Per Line'!$AI$2:$AI$1601,$AH342))</f>
        <v/>
      </c>
      <c r="U342">
        <f>IF($AH342="","",Settings!$C$8)</f>
        <v/>
      </c>
      <c r="V342" s="7">
        <f>IF($AH342="","",SUMIFS('Per Line'!$V$2:$V$1601,'Per Line'!$D$2:$D$1601,$B342,'Per Line'!$AN$2:$AN$1601,1))</f>
        <v/>
      </c>
      <c r="W342" s="7">
        <f>IF($AH342="","",V342*U342)</f>
        <v/>
      </c>
      <c r="X342">
        <f>IF($AH342="","",Settings!$C$7)</f>
        <v/>
      </c>
      <c r="Y342" s="7">
        <f>IF($AH342="","",SUMIFS('Per Line'!$V$2:$V$1601,'Per Line'!$D$2:$D$1601,$B342,'Per Line'!$AM$2:$AM$1601,0,'Per Line'!$AN$2:$AN$1601,0))</f>
        <v/>
      </c>
      <c r="Z342" s="7">
        <f>IF($AH342="","",Y342*X342)</f>
        <v/>
      </c>
      <c r="AA342">
        <f>IF($AH342="","",Settings!$C$6)</f>
        <v/>
      </c>
      <c r="AB342" s="7">
        <f>IF($AH342="","",SUMIFS('Per Line'!$V$2:$V$1601,'Per Line'!$D$2:$D$1601,$B342,'Per Line'!$AM$2:$AM$1601,1,'Per Line'!$AN$2:$AN$1601,0))</f>
        <v/>
      </c>
      <c r="AC342" s="7">
        <f>IF($AH342="","",AB342*AA342)</f>
        <v/>
      </c>
      <c r="AD342" s="7">
        <f>IF($AH342="","",AC342+Z342+W342)</f>
        <v/>
      </c>
      <c r="AE342" s="7">
        <f>IF($AH342="","",AF342-AD342)</f>
        <v/>
      </c>
      <c r="AF342" s="7">
        <f>IF($AH342="","",Y342+AB342+V342)</f>
        <v/>
      </c>
      <c r="AG342" s="7">
        <f>IF($AH342="","",AF342-AD342-N342)</f>
        <v/>
      </c>
      <c r="AH342" s="13">
        <f>IF(ROWS($AH$2:$AH342)&lt;=MAX('Per Line'!$AL$2:$AL$1601),MATCH(ROWS($AH$2:$AH342),'Per Line'!$AL$2:$AL$1601,0),"")</f>
        <v/>
      </c>
    </row>
    <row r="343">
      <c r="A343" s="12" t="n"/>
      <c r="B343">
        <f>IF($AH343="","",INDEX('Per Line'!$D$2:$D$1601,$AH343)&amp;"")</f>
        <v/>
      </c>
      <c r="C343">
        <f>IF($AH343="","",INDEX('Per Line'!$A$2:$A$1601,$AH343)&amp;"")</f>
        <v/>
      </c>
      <c r="D343">
        <f>IF($AH343="","",INDEX('Per Line'!$B$2:$B$1601,$AH343))</f>
        <v/>
      </c>
      <c r="E343">
        <f>IF($AH343="","",INDEX('Per Line'!$C$2:$C$1601,$AH343)&amp;"")</f>
        <v/>
      </c>
      <c r="F343">
        <f>IF($AH343="","",INDEX('Per Line'!$E$2:$E$1601,$AH343)&amp;"")</f>
        <v/>
      </c>
      <c r="G343" s="11">
        <f>IF($AH343="","",INDEX('Per Line'!$F$2:$F$1601,$AH343))</f>
        <v/>
      </c>
      <c r="H343">
        <f>IF($AH343="","",INDEX('Per Line'!$G$2:$G$1601,$AH343)&amp;"")</f>
        <v/>
      </c>
      <c r="I343">
        <f>IF($AH343="","",INDEX('Per Line'!$I$2:$I$1601,$AH343)&amp;"")</f>
        <v/>
      </c>
      <c r="J343">
        <f>IF($AH343="","",INDEX('Per Line'!$J$2:$J$1601,$AH343)&amp;"")</f>
        <v/>
      </c>
      <c r="K343">
        <f>IF($AH343="","",INDEX('Per Line'!$K$2:$K$1601,$AH343)&amp;"")</f>
        <v/>
      </c>
      <c r="L343">
        <f>IF($AH343="","",INDEX('Per Line'!$L$2:$L$1601,$AH343)&amp;"")</f>
        <v/>
      </c>
      <c r="M343">
        <f>IF($AH343="","",INDEX('Per Line'!$M$2:$M$1601,$AH343))</f>
        <v/>
      </c>
      <c r="N343" s="7">
        <f>IF($AH343="","",M343*AE343/100)</f>
        <v/>
      </c>
      <c r="O343">
        <f>IF($AH343="","",INDEX('Per Line'!$Z$2:$Z$1601,$AH343)&amp;"")</f>
        <v/>
      </c>
      <c r="P343">
        <f>IF($AH343="","",INDEX('Per Line'!$AC$2:$AC$1601,$AH343)&amp;"")</f>
        <v/>
      </c>
      <c r="Q343">
        <f>IF($AH343="","",INDEX('Per Line'!$AD$2:$AD$1601,$AH343))</f>
        <v/>
      </c>
      <c r="R343">
        <f>IF($AH343="","",IF(AND(ISNUMBER(Q343),Q343&gt;0),AF343&gt;Q343,FALSE))</f>
        <v/>
      </c>
      <c r="S343">
        <f>IF($AH343="","",INDEX('Per Line'!$AH$2:$AH$1601,$AH343)&amp;"")</f>
        <v/>
      </c>
      <c r="T343" s="11">
        <f>IF($AH343="","",INDEX('Per Line'!$AI$2:$AI$1601,$AH343))</f>
        <v/>
      </c>
      <c r="U343">
        <f>IF($AH343="","",Settings!$C$8)</f>
        <v/>
      </c>
      <c r="V343" s="7">
        <f>IF($AH343="","",SUMIFS('Per Line'!$V$2:$V$1601,'Per Line'!$D$2:$D$1601,$B343,'Per Line'!$AN$2:$AN$1601,1))</f>
        <v/>
      </c>
      <c r="W343" s="7">
        <f>IF($AH343="","",V343*U343)</f>
        <v/>
      </c>
      <c r="X343">
        <f>IF($AH343="","",Settings!$C$7)</f>
        <v/>
      </c>
      <c r="Y343" s="7">
        <f>IF($AH343="","",SUMIFS('Per Line'!$V$2:$V$1601,'Per Line'!$D$2:$D$1601,$B343,'Per Line'!$AM$2:$AM$1601,0,'Per Line'!$AN$2:$AN$1601,0))</f>
        <v/>
      </c>
      <c r="Z343" s="7">
        <f>IF($AH343="","",Y343*X343)</f>
        <v/>
      </c>
      <c r="AA343">
        <f>IF($AH343="","",Settings!$C$6)</f>
        <v/>
      </c>
      <c r="AB343" s="7">
        <f>IF($AH343="","",SUMIFS('Per Line'!$V$2:$V$1601,'Per Line'!$D$2:$D$1601,$B343,'Per Line'!$AM$2:$AM$1601,1,'Per Line'!$AN$2:$AN$1601,0))</f>
        <v/>
      </c>
      <c r="AC343" s="7">
        <f>IF($AH343="","",AB343*AA343)</f>
        <v/>
      </c>
      <c r="AD343" s="7">
        <f>IF($AH343="","",AC343+Z343+W343)</f>
        <v/>
      </c>
      <c r="AE343" s="7">
        <f>IF($AH343="","",AF343-AD343)</f>
        <v/>
      </c>
      <c r="AF343" s="7">
        <f>IF($AH343="","",Y343+AB343+V343)</f>
        <v/>
      </c>
      <c r="AG343" s="7">
        <f>IF($AH343="","",AF343-AD343-N343)</f>
        <v/>
      </c>
      <c r="AH343" s="13">
        <f>IF(ROWS($AH$2:$AH343)&lt;=MAX('Per Line'!$AL$2:$AL$1601),MATCH(ROWS($AH$2:$AH343),'Per Line'!$AL$2:$AL$1601,0),"")</f>
        <v/>
      </c>
    </row>
    <row r="344">
      <c r="A344" s="12" t="n"/>
      <c r="B344">
        <f>IF($AH344="","",INDEX('Per Line'!$D$2:$D$1601,$AH344)&amp;"")</f>
        <v/>
      </c>
      <c r="C344">
        <f>IF($AH344="","",INDEX('Per Line'!$A$2:$A$1601,$AH344)&amp;"")</f>
        <v/>
      </c>
      <c r="D344">
        <f>IF($AH344="","",INDEX('Per Line'!$B$2:$B$1601,$AH344))</f>
        <v/>
      </c>
      <c r="E344">
        <f>IF($AH344="","",INDEX('Per Line'!$C$2:$C$1601,$AH344)&amp;"")</f>
        <v/>
      </c>
      <c r="F344">
        <f>IF($AH344="","",INDEX('Per Line'!$E$2:$E$1601,$AH344)&amp;"")</f>
        <v/>
      </c>
      <c r="G344" s="11">
        <f>IF($AH344="","",INDEX('Per Line'!$F$2:$F$1601,$AH344))</f>
        <v/>
      </c>
      <c r="H344">
        <f>IF($AH344="","",INDEX('Per Line'!$G$2:$G$1601,$AH344)&amp;"")</f>
        <v/>
      </c>
      <c r="I344">
        <f>IF($AH344="","",INDEX('Per Line'!$I$2:$I$1601,$AH344)&amp;"")</f>
        <v/>
      </c>
      <c r="J344">
        <f>IF($AH344="","",INDEX('Per Line'!$J$2:$J$1601,$AH344)&amp;"")</f>
        <v/>
      </c>
      <c r="K344">
        <f>IF($AH344="","",INDEX('Per Line'!$K$2:$K$1601,$AH344)&amp;"")</f>
        <v/>
      </c>
      <c r="L344">
        <f>IF($AH344="","",INDEX('Per Line'!$L$2:$L$1601,$AH344)&amp;"")</f>
        <v/>
      </c>
      <c r="M344">
        <f>IF($AH344="","",INDEX('Per Line'!$M$2:$M$1601,$AH344))</f>
        <v/>
      </c>
      <c r="N344" s="7">
        <f>IF($AH344="","",M344*AE344/100)</f>
        <v/>
      </c>
      <c r="O344">
        <f>IF($AH344="","",INDEX('Per Line'!$Z$2:$Z$1601,$AH344)&amp;"")</f>
        <v/>
      </c>
      <c r="P344">
        <f>IF($AH344="","",INDEX('Per Line'!$AC$2:$AC$1601,$AH344)&amp;"")</f>
        <v/>
      </c>
      <c r="Q344">
        <f>IF($AH344="","",INDEX('Per Line'!$AD$2:$AD$1601,$AH344))</f>
        <v/>
      </c>
      <c r="R344">
        <f>IF($AH344="","",IF(AND(ISNUMBER(Q344),Q344&gt;0),AF344&gt;Q344,FALSE))</f>
        <v/>
      </c>
      <c r="S344">
        <f>IF($AH344="","",INDEX('Per Line'!$AH$2:$AH$1601,$AH344)&amp;"")</f>
        <v/>
      </c>
      <c r="T344" s="11">
        <f>IF($AH344="","",INDEX('Per Line'!$AI$2:$AI$1601,$AH344))</f>
        <v/>
      </c>
      <c r="U344">
        <f>IF($AH344="","",Settings!$C$8)</f>
        <v/>
      </c>
      <c r="V344" s="7">
        <f>IF($AH344="","",SUMIFS('Per Line'!$V$2:$V$1601,'Per Line'!$D$2:$D$1601,$B344,'Per Line'!$AN$2:$AN$1601,1))</f>
        <v/>
      </c>
      <c r="W344" s="7">
        <f>IF($AH344="","",V344*U344)</f>
        <v/>
      </c>
      <c r="X344">
        <f>IF($AH344="","",Settings!$C$7)</f>
        <v/>
      </c>
      <c r="Y344" s="7">
        <f>IF($AH344="","",SUMIFS('Per Line'!$V$2:$V$1601,'Per Line'!$D$2:$D$1601,$B344,'Per Line'!$AM$2:$AM$1601,0,'Per Line'!$AN$2:$AN$1601,0))</f>
        <v/>
      </c>
      <c r="Z344" s="7">
        <f>IF($AH344="","",Y344*X344)</f>
        <v/>
      </c>
      <c r="AA344">
        <f>IF($AH344="","",Settings!$C$6)</f>
        <v/>
      </c>
      <c r="AB344" s="7">
        <f>IF($AH344="","",SUMIFS('Per Line'!$V$2:$V$1601,'Per Line'!$D$2:$D$1601,$B344,'Per Line'!$AM$2:$AM$1601,1,'Per Line'!$AN$2:$AN$1601,0))</f>
        <v/>
      </c>
      <c r="AC344" s="7">
        <f>IF($AH344="","",AB344*AA344)</f>
        <v/>
      </c>
      <c r="AD344" s="7">
        <f>IF($AH344="","",AC344+Z344+W344)</f>
        <v/>
      </c>
      <c r="AE344" s="7">
        <f>IF($AH344="","",AF344-AD344)</f>
        <v/>
      </c>
      <c r="AF344" s="7">
        <f>IF($AH344="","",Y344+AB344+V344)</f>
        <v/>
      </c>
      <c r="AG344" s="7">
        <f>IF($AH344="","",AF344-AD344-N344)</f>
        <v/>
      </c>
      <c r="AH344" s="13">
        <f>IF(ROWS($AH$2:$AH344)&lt;=MAX('Per Line'!$AL$2:$AL$1601),MATCH(ROWS($AH$2:$AH344),'Per Line'!$AL$2:$AL$1601,0),"")</f>
        <v/>
      </c>
    </row>
    <row r="345">
      <c r="A345" s="12" t="n"/>
      <c r="B345">
        <f>IF($AH345="","",INDEX('Per Line'!$D$2:$D$1601,$AH345)&amp;"")</f>
        <v/>
      </c>
      <c r="C345">
        <f>IF($AH345="","",INDEX('Per Line'!$A$2:$A$1601,$AH345)&amp;"")</f>
        <v/>
      </c>
      <c r="D345">
        <f>IF($AH345="","",INDEX('Per Line'!$B$2:$B$1601,$AH345))</f>
        <v/>
      </c>
      <c r="E345">
        <f>IF($AH345="","",INDEX('Per Line'!$C$2:$C$1601,$AH345)&amp;"")</f>
        <v/>
      </c>
      <c r="F345">
        <f>IF($AH345="","",INDEX('Per Line'!$E$2:$E$1601,$AH345)&amp;"")</f>
        <v/>
      </c>
      <c r="G345" s="11">
        <f>IF($AH345="","",INDEX('Per Line'!$F$2:$F$1601,$AH345))</f>
        <v/>
      </c>
      <c r="H345">
        <f>IF($AH345="","",INDEX('Per Line'!$G$2:$G$1601,$AH345)&amp;"")</f>
        <v/>
      </c>
      <c r="I345">
        <f>IF($AH345="","",INDEX('Per Line'!$I$2:$I$1601,$AH345)&amp;"")</f>
        <v/>
      </c>
      <c r="J345">
        <f>IF($AH345="","",INDEX('Per Line'!$J$2:$J$1601,$AH345)&amp;"")</f>
        <v/>
      </c>
      <c r="K345">
        <f>IF($AH345="","",INDEX('Per Line'!$K$2:$K$1601,$AH345)&amp;"")</f>
        <v/>
      </c>
      <c r="L345">
        <f>IF($AH345="","",INDEX('Per Line'!$L$2:$L$1601,$AH345)&amp;"")</f>
        <v/>
      </c>
      <c r="M345">
        <f>IF($AH345="","",INDEX('Per Line'!$M$2:$M$1601,$AH345))</f>
        <v/>
      </c>
      <c r="N345" s="7">
        <f>IF($AH345="","",M345*AE345/100)</f>
        <v/>
      </c>
      <c r="O345">
        <f>IF($AH345="","",INDEX('Per Line'!$Z$2:$Z$1601,$AH345)&amp;"")</f>
        <v/>
      </c>
      <c r="P345">
        <f>IF($AH345="","",INDEX('Per Line'!$AC$2:$AC$1601,$AH345)&amp;"")</f>
        <v/>
      </c>
      <c r="Q345">
        <f>IF($AH345="","",INDEX('Per Line'!$AD$2:$AD$1601,$AH345))</f>
        <v/>
      </c>
      <c r="R345">
        <f>IF($AH345="","",IF(AND(ISNUMBER(Q345),Q345&gt;0),AF345&gt;Q345,FALSE))</f>
        <v/>
      </c>
      <c r="S345">
        <f>IF($AH345="","",INDEX('Per Line'!$AH$2:$AH$1601,$AH345)&amp;"")</f>
        <v/>
      </c>
      <c r="T345" s="11">
        <f>IF($AH345="","",INDEX('Per Line'!$AI$2:$AI$1601,$AH345))</f>
        <v/>
      </c>
      <c r="U345">
        <f>IF($AH345="","",Settings!$C$8)</f>
        <v/>
      </c>
      <c r="V345" s="7">
        <f>IF($AH345="","",SUMIFS('Per Line'!$V$2:$V$1601,'Per Line'!$D$2:$D$1601,$B345,'Per Line'!$AN$2:$AN$1601,1))</f>
        <v/>
      </c>
      <c r="W345" s="7">
        <f>IF($AH345="","",V345*U345)</f>
        <v/>
      </c>
      <c r="X345">
        <f>IF($AH345="","",Settings!$C$7)</f>
        <v/>
      </c>
      <c r="Y345" s="7">
        <f>IF($AH345="","",SUMIFS('Per Line'!$V$2:$V$1601,'Per Line'!$D$2:$D$1601,$B345,'Per Line'!$AM$2:$AM$1601,0,'Per Line'!$AN$2:$AN$1601,0))</f>
        <v/>
      </c>
      <c r="Z345" s="7">
        <f>IF($AH345="","",Y345*X345)</f>
        <v/>
      </c>
      <c r="AA345">
        <f>IF($AH345="","",Settings!$C$6)</f>
        <v/>
      </c>
      <c r="AB345" s="7">
        <f>IF($AH345="","",SUMIFS('Per Line'!$V$2:$V$1601,'Per Line'!$D$2:$D$1601,$B345,'Per Line'!$AM$2:$AM$1601,1,'Per Line'!$AN$2:$AN$1601,0))</f>
        <v/>
      </c>
      <c r="AC345" s="7">
        <f>IF($AH345="","",AB345*AA345)</f>
        <v/>
      </c>
      <c r="AD345" s="7">
        <f>IF($AH345="","",AC345+Z345+W345)</f>
        <v/>
      </c>
      <c r="AE345" s="7">
        <f>IF($AH345="","",AF345-AD345)</f>
        <v/>
      </c>
      <c r="AF345" s="7">
        <f>IF($AH345="","",Y345+AB345+V345)</f>
        <v/>
      </c>
      <c r="AG345" s="7">
        <f>IF($AH345="","",AF345-AD345-N345)</f>
        <v/>
      </c>
      <c r="AH345" s="13">
        <f>IF(ROWS($AH$2:$AH345)&lt;=MAX('Per Line'!$AL$2:$AL$1601),MATCH(ROWS($AH$2:$AH345),'Per Line'!$AL$2:$AL$1601,0),"")</f>
        <v/>
      </c>
    </row>
    <row r="346">
      <c r="A346" s="12" t="n"/>
      <c r="B346">
        <f>IF($AH346="","",INDEX('Per Line'!$D$2:$D$1601,$AH346)&amp;"")</f>
        <v/>
      </c>
      <c r="C346">
        <f>IF($AH346="","",INDEX('Per Line'!$A$2:$A$1601,$AH346)&amp;"")</f>
        <v/>
      </c>
      <c r="D346">
        <f>IF($AH346="","",INDEX('Per Line'!$B$2:$B$1601,$AH346))</f>
        <v/>
      </c>
      <c r="E346">
        <f>IF($AH346="","",INDEX('Per Line'!$C$2:$C$1601,$AH346)&amp;"")</f>
        <v/>
      </c>
      <c r="F346">
        <f>IF($AH346="","",INDEX('Per Line'!$E$2:$E$1601,$AH346)&amp;"")</f>
        <v/>
      </c>
      <c r="G346" s="11">
        <f>IF($AH346="","",INDEX('Per Line'!$F$2:$F$1601,$AH346))</f>
        <v/>
      </c>
      <c r="H346">
        <f>IF($AH346="","",INDEX('Per Line'!$G$2:$G$1601,$AH346)&amp;"")</f>
        <v/>
      </c>
      <c r="I346">
        <f>IF($AH346="","",INDEX('Per Line'!$I$2:$I$1601,$AH346)&amp;"")</f>
        <v/>
      </c>
      <c r="J346">
        <f>IF($AH346="","",INDEX('Per Line'!$J$2:$J$1601,$AH346)&amp;"")</f>
        <v/>
      </c>
      <c r="K346">
        <f>IF($AH346="","",INDEX('Per Line'!$K$2:$K$1601,$AH346)&amp;"")</f>
        <v/>
      </c>
      <c r="L346">
        <f>IF($AH346="","",INDEX('Per Line'!$L$2:$L$1601,$AH346)&amp;"")</f>
        <v/>
      </c>
      <c r="M346">
        <f>IF($AH346="","",INDEX('Per Line'!$M$2:$M$1601,$AH346))</f>
        <v/>
      </c>
      <c r="N346" s="7">
        <f>IF($AH346="","",M346*AE346/100)</f>
        <v/>
      </c>
      <c r="O346">
        <f>IF($AH346="","",INDEX('Per Line'!$Z$2:$Z$1601,$AH346)&amp;"")</f>
        <v/>
      </c>
      <c r="P346">
        <f>IF($AH346="","",INDEX('Per Line'!$AC$2:$AC$1601,$AH346)&amp;"")</f>
        <v/>
      </c>
      <c r="Q346">
        <f>IF($AH346="","",INDEX('Per Line'!$AD$2:$AD$1601,$AH346))</f>
        <v/>
      </c>
      <c r="R346">
        <f>IF($AH346="","",IF(AND(ISNUMBER(Q346),Q346&gt;0),AF346&gt;Q346,FALSE))</f>
        <v/>
      </c>
      <c r="S346">
        <f>IF($AH346="","",INDEX('Per Line'!$AH$2:$AH$1601,$AH346)&amp;"")</f>
        <v/>
      </c>
      <c r="T346" s="11">
        <f>IF($AH346="","",INDEX('Per Line'!$AI$2:$AI$1601,$AH346))</f>
        <v/>
      </c>
      <c r="U346">
        <f>IF($AH346="","",Settings!$C$8)</f>
        <v/>
      </c>
      <c r="V346" s="7">
        <f>IF($AH346="","",SUMIFS('Per Line'!$V$2:$V$1601,'Per Line'!$D$2:$D$1601,$B346,'Per Line'!$AN$2:$AN$1601,1))</f>
        <v/>
      </c>
      <c r="W346" s="7">
        <f>IF($AH346="","",V346*U346)</f>
        <v/>
      </c>
      <c r="X346">
        <f>IF($AH346="","",Settings!$C$7)</f>
        <v/>
      </c>
      <c r="Y346" s="7">
        <f>IF($AH346="","",SUMIFS('Per Line'!$V$2:$V$1601,'Per Line'!$D$2:$D$1601,$B346,'Per Line'!$AM$2:$AM$1601,0,'Per Line'!$AN$2:$AN$1601,0))</f>
        <v/>
      </c>
      <c r="Z346" s="7">
        <f>IF($AH346="","",Y346*X346)</f>
        <v/>
      </c>
      <c r="AA346">
        <f>IF($AH346="","",Settings!$C$6)</f>
        <v/>
      </c>
      <c r="AB346" s="7">
        <f>IF($AH346="","",SUMIFS('Per Line'!$V$2:$V$1601,'Per Line'!$D$2:$D$1601,$B346,'Per Line'!$AM$2:$AM$1601,1,'Per Line'!$AN$2:$AN$1601,0))</f>
        <v/>
      </c>
      <c r="AC346" s="7">
        <f>IF($AH346="","",AB346*AA346)</f>
        <v/>
      </c>
      <c r="AD346" s="7">
        <f>IF($AH346="","",AC346+Z346+W346)</f>
        <v/>
      </c>
      <c r="AE346" s="7">
        <f>IF($AH346="","",AF346-AD346)</f>
        <v/>
      </c>
      <c r="AF346" s="7">
        <f>IF($AH346="","",Y346+AB346+V346)</f>
        <v/>
      </c>
      <c r="AG346" s="7">
        <f>IF($AH346="","",AF346-AD346-N346)</f>
        <v/>
      </c>
      <c r="AH346" s="13">
        <f>IF(ROWS($AH$2:$AH346)&lt;=MAX('Per Line'!$AL$2:$AL$1601),MATCH(ROWS($AH$2:$AH346),'Per Line'!$AL$2:$AL$1601,0),"")</f>
        <v/>
      </c>
    </row>
    <row r="347">
      <c r="A347" s="12" t="n"/>
      <c r="B347">
        <f>IF($AH347="","",INDEX('Per Line'!$D$2:$D$1601,$AH347)&amp;"")</f>
        <v/>
      </c>
      <c r="C347">
        <f>IF($AH347="","",INDEX('Per Line'!$A$2:$A$1601,$AH347)&amp;"")</f>
        <v/>
      </c>
      <c r="D347">
        <f>IF($AH347="","",INDEX('Per Line'!$B$2:$B$1601,$AH347))</f>
        <v/>
      </c>
      <c r="E347">
        <f>IF($AH347="","",INDEX('Per Line'!$C$2:$C$1601,$AH347)&amp;"")</f>
        <v/>
      </c>
      <c r="F347">
        <f>IF($AH347="","",INDEX('Per Line'!$E$2:$E$1601,$AH347)&amp;"")</f>
        <v/>
      </c>
      <c r="G347" s="11">
        <f>IF($AH347="","",INDEX('Per Line'!$F$2:$F$1601,$AH347))</f>
        <v/>
      </c>
      <c r="H347">
        <f>IF($AH347="","",INDEX('Per Line'!$G$2:$G$1601,$AH347)&amp;"")</f>
        <v/>
      </c>
      <c r="I347">
        <f>IF($AH347="","",INDEX('Per Line'!$I$2:$I$1601,$AH347)&amp;"")</f>
        <v/>
      </c>
      <c r="J347">
        <f>IF($AH347="","",INDEX('Per Line'!$J$2:$J$1601,$AH347)&amp;"")</f>
        <v/>
      </c>
      <c r="K347">
        <f>IF($AH347="","",INDEX('Per Line'!$K$2:$K$1601,$AH347)&amp;"")</f>
        <v/>
      </c>
      <c r="L347">
        <f>IF($AH347="","",INDEX('Per Line'!$L$2:$L$1601,$AH347)&amp;"")</f>
        <v/>
      </c>
      <c r="M347">
        <f>IF($AH347="","",INDEX('Per Line'!$M$2:$M$1601,$AH347))</f>
        <v/>
      </c>
      <c r="N347" s="7">
        <f>IF($AH347="","",M347*AE347/100)</f>
        <v/>
      </c>
      <c r="O347">
        <f>IF($AH347="","",INDEX('Per Line'!$Z$2:$Z$1601,$AH347)&amp;"")</f>
        <v/>
      </c>
      <c r="P347">
        <f>IF($AH347="","",INDEX('Per Line'!$AC$2:$AC$1601,$AH347)&amp;"")</f>
        <v/>
      </c>
      <c r="Q347">
        <f>IF($AH347="","",INDEX('Per Line'!$AD$2:$AD$1601,$AH347))</f>
        <v/>
      </c>
      <c r="R347">
        <f>IF($AH347="","",IF(AND(ISNUMBER(Q347),Q347&gt;0),AF347&gt;Q347,FALSE))</f>
        <v/>
      </c>
      <c r="S347">
        <f>IF($AH347="","",INDEX('Per Line'!$AH$2:$AH$1601,$AH347)&amp;"")</f>
        <v/>
      </c>
      <c r="T347" s="11">
        <f>IF($AH347="","",INDEX('Per Line'!$AI$2:$AI$1601,$AH347))</f>
        <v/>
      </c>
      <c r="U347">
        <f>IF($AH347="","",Settings!$C$8)</f>
        <v/>
      </c>
      <c r="V347" s="7">
        <f>IF($AH347="","",SUMIFS('Per Line'!$V$2:$V$1601,'Per Line'!$D$2:$D$1601,$B347,'Per Line'!$AN$2:$AN$1601,1))</f>
        <v/>
      </c>
      <c r="W347" s="7">
        <f>IF($AH347="","",V347*U347)</f>
        <v/>
      </c>
      <c r="X347">
        <f>IF($AH347="","",Settings!$C$7)</f>
        <v/>
      </c>
      <c r="Y347" s="7">
        <f>IF($AH347="","",SUMIFS('Per Line'!$V$2:$V$1601,'Per Line'!$D$2:$D$1601,$B347,'Per Line'!$AM$2:$AM$1601,0,'Per Line'!$AN$2:$AN$1601,0))</f>
        <v/>
      </c>
      <c r="Z347" s="7">
        <f>IF($AH347="","",Y347*X347)</f>
        <v/>
      </c>
      <c r="AA347">
        <f>IF($AH347="","",Settings!$C$6)</f>
        <v/>
      </c>
      <c r="AB347" s="7">
        <f>IF($AH347="","",SUMIFS('Per Line'!$V$2:$V$1601,'Per Line'!$D$2:$D$1601,$B347,'Per Line'!$AM$2:$AM$1601,1,'Per Line'!$AN$2:$AN$1601,0))</f>
        <v/>
      </c>
      <c r="AC347" s="7">
        <f>IF($AH347="","",AB347*AA347)</f>
        <v/>
      </c>
      <c r="AD347" s="7">
        <f>IF($AH347="","",AC347+Z347+W347)</f>
        <v/>
      </c>
      <c r="AE347" s="7">
        <f>IF($AH347="","",AF347-AD347)</f>
        <v/>
      </c>
      <c r="AF347" s="7">
        <f>IF($AH347="","",Y347+AB347+V347)</f>
        <v/>
      </c>
      <c r="AG347" s="7">
        <f>IF($AH347="","",AF347-AD347-N347)</f>
        <v/>
      </c>
      <c r="AH347" s="13">
        <f>IF(ROWS($AH$2:$AH347)&lt;=MAX('Per Line'!$AL$2:$AL$1601),MATCH(ROWS($AH$2:$AH347),'Per Line'!$AL$2:$AL$1601,0),"")</f>
        <v/>
      </c>
    </row>
    <row r="348">
      <c r="A348" s="12" t="n"/>
      <c r="B348">
        <f>IF($AH348="","",INDEX('Per Line'!$D$2:$D$1601,$AH348)&amp;"")</f>
        <v/>
      </c>
      <c r="C348">
        <f>IF($AH348="","",INDEX('Per Line'!$A$2:$A$1601,$AH348)&amp;"")</f>
        <v/>
      </c>
      <c r="D348">
        <f>IF($AH348="","",INDEX('Per Line'!$B$2:$B$1601,$AH348))</f>
        <v/>
      </c>
      <c r="E348">
        <f>IF($AH348="","",INDEX('Per Line'!$C$2:$C$1601,$AH348)&amp;"")</f>
        <v/>
      </c>
      <c r="F348">
        <f>IF($AH348="","",INDEX('Per Line'!$E$2:$E$1601,$AH348)&amp;"")</f>
        <v/>
      </c>
      <c r="G348" s="11">
        <f>IF($AH348="","",INDEX('Per Line'!$F$2:$F$1601,$AH348))</f>
        <v/>
      </c>
      <c r="H348">
        <f>IF($AH348="","",INDEX('Per Line'!$G$2:$G$1601,$AH348)&amp;"")</f>
        <v/>
      </c>
      <c r="I348">
        <f>IF($AH348="","",INDEX('Per Line'!$I$2:$I$1601,$AH348)&amp;"")</f>
        <v/>
      </c>
      <c r="J348">
        <f>IF($AH348="","",INDEX('Per Line'!$J$2:$J$1601,$AH348)&amp;"")</f>
        <v/>
      </c>
      <c r="K348">
        <f>IF($AH348="","",INDEX('Per Line'!$K$2:$K$1601,$AH348)&amp;"")</f>
        <v/>
      </c>
      <c r="L348">
        <f>IF($AH348="","",INDEX('Per Line'!$L$2:$L$1601,$AH348)&amp;"")</f>
        <v/>
      </c>
      <c r="M348">
        <f>IF($AH348="","",INDEX('Per Line'!$M$2:$M$1601,$AH348))</f>
        <v/>
      </c>
      <c r="N348" s="7">
        <f>IF($AH348="","",M348*AE348/100)</f>
        <v/>
      </c>
      <c r="O348">
        <f>IF($AH348="","",INDEX('Per Line'!$Z$2:$Z$1601,$AH348)&amp;"")</f>
        <v/>
      </c>
      <c r="P348">
        <f>IF($AH348="","",INDEX('Per Line'!$AC$2:$AC$1601,$AH348)&amp;"")</f>
        <v/>
      </c>
      <c r="Q348">
        <f>IF($AH348="","",INDEX('Per Line'!$AD$2:$AD$1601,$AH348))</f>
        <v/>
      </c>
      <c r="R348">
        <f>IF($AH348="","",IF(AND(ISNUMBER(Q348),Q348&gt;0),AF348&gt;Q348,FALSE))</f>
        <v/>
      </c>
      <c r="S348">
        <f>IF($AH348="","",INDEX('Per Line'!$AH$2:$AH$1601,$AH348)&amp;"")</f>
        <v/>
      </c>
      <c r="T348" s="11">
        <f>IF($AH348="","",INDEX('Per Line'!$AI$2:$AI$1601,$AH348))</f>
        <v/>
      </c>
      <c r="U348">
        <f>IF($AH348="","",Settings!$C$8)</f>
        <v/>
      </c>
      <c r="V348" s="7">
        <f>IF($AH348="","",SUMIFS('Per Line'!$V$2:$V$1601,'Per Line'!$D$2:$D$1601,$B348,'Per Line'!$AN$2:$AN$1601,1))</f>
        <v/>
      </c>
      <c r="W348" s="7">
        <f>IF($AH348="","",V348*U348)</f>
        <v/>
      </c>
      <c r="X348">
        <f>IF($AH348="","",Settings!$C$7)</f>
        <v/>
      </c>
      <c r="Y348" s="7">
        <f>IF($AH348="","",SUMIFS('Per Line'!$V$2:$V$1601,'Per Line'!$D$2:$D$1601,$B348,'Per Line'!$AM$2:$AM$1601,0,'Per Line'!$AN$2:$AN$1601,0))</f>
        <v/>
      </c>
      <c r="Z348" s="7">
        <f>IF($AH348="","",Y348*X348)</f>
        <v/>
      </c>
      <c r="AA348">
        <f>IF($AH348="","",Settings!$C$6)</f>
        <v/>
      </c>
      <c r="AB348" s="7">
        <f>IF($AH348="","",SUMIFS('Per Line'!$V$2:$V$1601,'Per Line'!$D$2:$D$1601,$B348,'Per Line'!$AM$2:$AM$1601,1,'Per Line'!$AN$2:$AN$1601,0))</f>
        <v/>
      </c>
      <c r="AC348" s="7">
        <f>IF($AH348="","",AB348*AA348)</f>
        <v/>
      </c>
      <c r="AD348" s="7">
        <f>IF($AH348="","",AC348+Z348+W348)</f>
        <v/>
      </c>
      <c r="AE348" s="7">
        <f>IF($AH348="","",AF348-AD348)</f>
        <v/>
      </c>
      <c r="AF348" s="7">
        <f>IF($AH348="","",Y348+AB348+V348)</f>
        <v/>
      </c>
      <c r="AG348" s="7">
        <f>IF($AH348="","",AF348-AD348-N348)</f>
        <v/>
      </c>
      <c r="AH348" s="13">
        <f>IF(ROWS($AH$2:$AH348)&lt;=MAX('Per Line'!$AL$2:$AL$1601),MATCH(ROWS($AH$2:$AH348),'Per Line'!$AL$2:$AL$1601,0),"")</f>
        <v/>
      </c>
    </row>
    <row r="349">
      <c r="A349" s="12" t="n"/>
      <c r="B349">
        <f>IF($AH349="","",INDEX('Per Line'!$D$2:$D$1601,$AH349)&amp;"")</f>
        <v/>
      </c>
      <c r="C349">
        <f>IF($AH349="","",INDEX('Per Line'!$A$2:$A$1601,$AH349)&amp;"")</f>
        <v/>
      </c>
      <c r="D349">
        <f>IF($AH349="","",INDEX('Per Line'!$B$2:$B$1601,$AH349))</f>
        <v/>
      </c>
      <c r="E349">
        <f>IF($AH349="","",INDEX('Per Line'!$C$2:$C$1601,$AH349)&amp;"")</f>
        <v/>
      </c>
      <c r="F349">
        <f>IF($AH349="","",INDEX('Per Line'!$E$2:$E$1601,$AH349)&amp;"")</f>
        <v/>
      </c>
      <c r="G349" s="11">
        <f>IF($AH349="","",INDEX('Per Line'!$F$2:$F$1601,$AH349))</f>
        <v/>
      </c>
      <c r="H349">
        <f>IF($AH349="","",INDEX('Per Line'!$G$2:$G$1601,$AH349)&amp;"")</f>
        <v/>
      </c>
      <c r="I349">
        <f>IF($AH349="","",INDEX('Per Line'!$I$2:$I$1601,$AH349)&amp;"")</f>
        <v/>
      </c>
      <c r="J349">
        <f>IF($AH349="","",INDEX('Per Line'!$J$2:$J$1601,$AH349)&amp;"")</f>
        <v/>
      </c>
      <c r="K349">
        <f>IF($AH349="","",INDEX('Per Line'!$K$2:$K$1601,$AH349)&amp;"")</f>
        <v/>
      </c>
      <c r="L349">
        <f>IF($AH349="","",INDEX('Per Line'!$L$2:$L$1601,$AH349)&amp;"")</f>
        <v/>
      </c>
      <c r="M349">
        <f>IF($AH349="","",INDEX('Per Line'!$M$2:$M$1601,$AH349))</f>
        <v/>
      </c>
      <c r="N349" s="7">
        <f>IF($AH349="","",M349*AE349/100)</f>
        <v/>
      </c>
      <c r="O349">
        <f>IF($AH349="","",INDEX('Per Line'!$Z$2:$Z$1601,$AH349)&amp;"")</f>
        <v/>
      </c>
      <c r="P349">
        <f>IF($AH349="","",INDEX('Per Line'!$AC$2:$AC$1601,$AH349)&amp;"")</f>
        <v/>
      </c>
      <c r="Q349">
        <f>IF($AH349="","",INDEX('Per Line'!$AD$2:$AD$1601,$AH349))</f>
        <v/>
      </c>
      <c r="R349">
        <f>IF($AH349="","",IF(AND(ISNUMBER(Q349),Q349&gt;0),AF349&gt;Q349,FALSE))</f>
        <v/>
      </c>
      <c r="S349">
        <f>IF($AH349="","",INDEX('Per Line'!$AH$2:$AH$1601,$AH349)&amp;"")</f>
        <v/>
      </c>
      <c r="T349" s="11">
        <f>IF($AH349="","",INDEX('Per Line'!$AI$2:$AI$1601,$AH349))</f>
        <v/>
      </c>
      <c r="U349">
        <f>IF($AH349="","",Settings!$C$8)</f>
        <v/>
      </c>
      <c r="V349" s="7">
        <f>IF($AH349="","",SUMIFS('Per Line'!$V$2:$V$1601,'Per Line'!$D$2:$D$1601,$B349,'Per Line'!$AN$2:$AN$1601,1))</f>
        <v/>
      </c>
      <c r="W349" s="7">
        <f>IF($AH349="","",V349*U349)</f>
        <v/>
      </c>
      <c r="X349">
        <f>IF($AH349="","",Settings!$C$7)</f>
        <v/>
      </c>
      <c r="Y349" s="7">
        <f>IF($AH349="","",SUMIFS('Per Line'!$V$2:$V$1601,'Per Line'!$D$2:$D$1601,$B349,'Per Line'!$AM$2:$AM$1601,0,'Per Line'!$AN$2:$AN$1601,0))</f>
        <v/>
      </c>
      <c r="Z349" s="7">
        <f>IF($AH349="","",Y349*X349)</f>
        <v/>
      </c>
      <c r="AA349">
        <f>IF($AH349="","",Settings!$C$6)</f>
        <v/>
      </c>
      <c r="AB349" s="7">
        <f>IF($AH349="","",SUMIFS('Per Line'!$V$2:$V$1601,'Per Line'!$D$2:$D$1601,$B349,'Per Line'!$AM$2:$AM$1601,1,'Per Line'!$AN$2:$AN$1601,0))</f>
        <v/>
      </c>
      <c r="AC349" s="7">
        <f>IF($AH349="","",AB349*AA349)</f>
        <v/>
      </c>
      <c r="AD349" s="7">
        <f>IF($AH349="","",AC349+Z349+W349)</f>
        <v/>
      </c>
      <c r="AE349" s="7">
        <f>IF($AH349="","",AF349-AD349)</f>
        <v/>
      </c>
      <c r="AF349" s="7">
        <f>IF($AH349="","",Y349+AB349+V349)</f>
        <v/>
      </c>
      <c r="AG349" s="7">
        <f>IF($AH349="","",AF349-AD349-N349)</f>
        <v/>
      </c>
      <c r="AH349" s="13">
        <f>IF(ROWS($AH$2:$AH349)&lt;=MAX('Per Line'!$AL$2:$AL$1601),MATCH(ROWS($AH$2:$AH349),'Per Line'!$AL$2:$AL$1601,0),"")</f>
        <v/>
      </c>
    </row>
    <row r="350">
      <c r="A350" s="12" t="n"/>
      <c r="B350">
        <f>IF($AH350="","",INDEX('Per Line'!$D$2:$D$1601,$AH350)&amp;"")</f>
        <v/>
      </c>
      <c r="C350">
        <f>IF($AH350="","",INDEX('Per Line'!$A$2:$A$1601,$AH350)&amp;"")</f>
        <v/>
      </c>
      <c r="D350">
        <f>IF($AH350="","",INDEX('Per Line'!$B$2:$B$1601,$AH350))</f>
        <v/>
      </c>
      <c r="E350">
        <f>IF($AH350="","",INDEX('Per Line'!$C$2:$C$1601,$AH350)&amp;"")</f>
        <v/>
      </c>
      <c r="F350">
        <f>IF($AH350="","",INDEX('Per Line'!$E$2:$E$1601,$AH350)&amp;"")</f>
        <v/>
      </c>
      <c r="G350" s="11">
        <f>IF($AH350="","",INDEX('Per Line'!$F$2:$F$1601,$AH350))</f>
        <v/>
      </c>
      <c r="H350">
        <f>IF($AH350="","",INDEX('Per Line'!$G$2:$G$1601,$AH350)&amp;"")</f>
        <v/>
      </c>
      <c r="I350">
        <f>IF($AH350="","",INDEX('Per Line'!$I$2:$I$1601,$AH350)&amp;"")</f>
        <v/>
      </c>
      <c r="J350">
        <f>IF($AH350="","",INDEX('Per Line'!$J$2:$J$1601,$AH350)&amp;"")</f>
        <v/>
      </c>
      <c r="K350">
        <f>IF($AH350="","",INDEX('Per Line'!$K$2:$K$1601,$AH350)&amp;"")</f>
        <v/>
      </c>
      <c r="L350">
        <f>IF($AH350="","",INDEX('Per Line'!$L$2:$L$1601,$AH350)&amp;"")</f>
        <v/>
      </c>
      <c r="M350">
        <f>IF($AH350="","",INDEX('Per Line'!$M$2:$M$1601,$AH350))</f>
        <v/>
      </c>
      <c r="N350" s="7">
        <f>IF($AH350="","",M350*AE350/100)</f>
        <v/>
      </c>
      <c r="O350">
        <f>IF($AH350="","",INDEX('Per Line'!$Z$2:$Z$1601,$AH350)&amp;"")</f>
        <v/>
      </c>
      <c r="P350">
        <f>IF($AH350="","",INDEX('Per Line'!$AC$2:$AC$1601,$AH350)&amp;"")</f>
        <v/>
      </c>
      <c r="Q350">
        <f>IF($AH350="","",INDEX('Per Line'!$AD$2:$AD$1601,$AH350))</f>
        <v/>
      </c>
      <c r="R350">
        <f>IF($AH350="","",IF(AND(ISNUMBER(Q350),Q350&gt;0),AF350&gt;Q350,FALSE))</f>
        <v/>
      </c>
      <c r="S350">
        <f>IF($AH350="","",INDEX('Per Line'!$AH$2:$AH$1601,$AH350)&amp;"")</f>
        <v/>
      </c>
      <c r="T350" s="11">
        <f>IF($AH350="","",INDEX('Per Line'!$AI$2:$AI$1601,$AH350))</f>
        <v/>
      </c>
      <c r="U350">
        <f>IF($AH350="","",Settings!$C$8)</f>
        <v/>
      </c>
      <c r="V350" s="7">
        <f>IF($AH350="","",SUMIFS('Per Line'!$V$2:$V$1601,'Per Line'!$D$2:$D$1601,$B350,'Per Line'!$AN$2:$AN$1601,1))</f>
        <v/>
      </c>
      <c r="W350" s="7">
        <f>IF($AH350="","",V350*U350)</f>
        <v/>
      </c>
      <c r="X350">
        <f>IF($AH350="","",Settings!$C$7)</f>
        <v/>
      </c>
      <c r="Y350" s="7">
        <f>IF($AH350="","",SUMIFS('Per Line'!$V$2:$V$1601,'Per Line'!$D$2:$D$1601,$B350,'Per Line'!$AM$2:$AM$1601,0,'Per Line'!$AN$2:$AN$1601,0))</f>
        <v/>
      </c>
      <c r="Z350" s="7">
        <f>IF($AH350="","",Y350*X350)</f>
        <v/>
      </c>
      <c r="AA350">
        <f>IF($AH350="","",Settings!$C$6)</f>
        <v/>
      </c>
      <c r="AB350" s="7">
        <f>IF($AH350="","",SUMIFS('Per Line'!$V$2:$V$1601,'Per Line'!$D$2:$D$1601,$B350,'Per Line'!$AM$2:$AM$1601,1,'Per Line'!$AN$2:$AN$1601,0))</f>
        <v/>
      </c>
      <c r="AC350" s="7">
        <f>IF($AH350="","",AB350*AA350)</f>
        <v/>
      </c>
      <c r="AD350" s="7">
        <f>IF($AH350="","",AC350+Z350+W350)</f>
        <v/>
      </c>
      <c r="AE350" s="7">
        <f>IF($AH350="","",AF350-AD350)</f>
        <v/>
      </c>
      <c r="AF350" s="7">
        <f>IF($AH350="","",Y350+AB350+V350)</f>
        <v/>
      </c>
      <c r="AG350" s="7">
        <f>IF($AH350="","",AF350-AD350-N350)</f>
        <v/>
      </c>
      <c r="AH350" s="13">
        <f>IF(ROWS($AH$2:$AH350)&lt;=MAX('Per Line'!$AL$2:$AL$1601),MATCH(ROWS($AH$2:$AH350),'Per Line'!$AL$2:$AL$1601,0),"")</f>
        <v/>
      </c>
    </row>
    <row r="351">
      <c r="A351" s="12" t="n"/>
      <c r="B351">
        <f>IF($AH351="","",INDEX('Per Line'!$D$2:$D$1601,$AH351)&amp;"")</f>
        <v/>
      </c>
      <c r="C351">
        <f>IF($AH351="","",INDEX('Per Line'!$A$2:$A$1601,$AH351)&amp;"")</f>
        <v/>
      </c>
      <c r="D351">
        <f>IF($AH351="","",INDEX('Per Line'!$B$2:$B$1601,$AH351))</f>
        <v/>
      </c>
      <c r="E351">
        <f>IF($AH351="","",INDEX('Per Line'!$C$2:$C$1601,$AH351)&amp;"")</f>
        <v/>
      </c>
      <c r="F351">
        <f>IF($AH351="","",INDEX('Per Line'!$E$2:$E$1601,$AH351)&amp;"")</f>
        <v/>
      </c>
      <c r="G351" s="11">
        <f>IF($AH351="","",INDEX('Per Line'!$F$2:$F$1601,$AH351))</f>
        <v/>
      </c>
      <c r="H351">
        <f>IF($AH351="","",INDEX('Per Line'!$G$2:$G$1601,$AH351)&amp;"")</f>
        <v/>
      </c>
      <c r="I351">
        <f>IF($AH351="","",INDEX('Per Line'!$I$2:$I$1601,$AH351)&amp;"")</f>
        <v/>
      </c>
      <c r="J351">
        <f>IF($AH351="","",INDEX('Per Line'!$J$2:$J$1601,$AH351)&amp;"")</f>
        <v/>
      </c>
      <c r="K351">
        <f>IF($AH351="","",INDEX('Per Line'!$K$2:$K$1601,$AH351)&amp;"")</f>
        <v/>
      </c>
      <c r="L351">
        <f>IF($AH351="","",INDEX('Per Line'!$L$2:$L$1601,$AH351)&amp;"")</f>
        <v/>
      </c>
      <c r="M351">
        <f>IF($AH351="","",INDEX('Per Line'!$M$2:$M$1601,$AH351))</f>
        <v/>
      </c>
      <c r="N351" s="7">
        <f>IF($AH351="","",M351*AE351/100)</f>
        <v/>
      </c>
      <c r="O351">
        <f>IF($AH351="","",INDEX('Per Line'!$Z$2:$Z$1601,$AH351)&amp;"")</f>
        <v/>
      </c>
      <c r="P351">
        <f>IF($AH351="","",INDEX('Per Line'!$AC$2:$AC$1601,$AH351)&amp;"")</f>
        <v/>
      </c>
      <c r="Q351">
        <f>IF($AH351="","",INDEX('Per Line'!$AD$2:$AD$1601,$AH351))</f>
        <v/>
      </c>
      <c r="R351">
        <f>IF($AH351="","",IF(AND(ISNUMBER(Q351),Q351&gt;0),AF351&gt;Q351,FALSE))</f>
        <v/>
      </c>
      <c r="S351">
        <f>IF($AH351="","",INDEX('Per Line'!$AH$2:$AH$1601,$AH351)&amp;"")</f>
        <v/>
      </c>
      <c r="T351" s="11">
        <f>IF($AH351="","",INDEX('Per Line'!$AI$2:$AI$1601,$AH351))</f>
        <v/>
      </c>
      <c r="U351">
        <f>IF($AH351="","",Settings!$C$8)</f>
        <v/>
      </c>
      <c r="V351" s="7">
        <f>IF($AH351="","",SUMIFS('Per Line'!$V$2:$V$1601,'Per Line'!$D$2:$D$1601,$B351,'Per Line'!$AN$2:$AN$1601,1))</f>
        <v/>
      </c>
      <c r="W351" s="7">
        <f>IF($AH351="","",V351*U351)</f>
        <v/>
      </c>
      <c r="X351">
        <f>IF($AH351="","",Settings!$C$7)</f>
        <v/>
      </c>
      <c r="Y351" s="7">
        <f>IF($AH351="","",SUMIFS('Per Line'!$V$2:$V$1601,'Per Line'!$D$2:$D$1601,$B351,'Per Line'!$AM$2:$AM$1601,0,'Per Line'!$AN$2:$AN$1601,0))</f>
        <v/>
      </c>
      <c r="Z351" s="7">
        <f>IF($AH351="","",Y351*X351)</f>
        <v/>
      </c>
      <c r="AA351">
        <f>IF($AH351="","",Settings!$C$6)</f>
        <v/>
      </c>
      <c r="AB351" s="7">
        <f>IF($AH351="","",SUMIFS('Per Line'!$V$2:$V$1601,'Per Line'!$D$2:$D$1601,$B351,'Per Line'!$AM$2:$AM$1601,1,'Per Line'!$AN$2:$AN$1601,0))</f>
        <v/>
      </c>
      <c r="AC351" s="7">
        <f>IF($AH351="","",AB351*AA351)</f>
        <v/>
      </c>
      <c r="AD351" s="7">
        <f>IF($AH351="","",AC351+Z351+W351)</f>
        <v/>
      </c>
      <c r="AE351" s="7">
        <f>IF($AH351="","",AF351-AD351)</f>
        <v/>
      </c>
      <c r="AF351" s="7">
        <f>IF($AH351="","",Y351+AB351+V351)</f>
        <v/>
      </c>
      <c r="AG351" s="7">
        <f>IF($AH351="","",AF351-AD351-N351)</f>
        <v/>
      </c>
      <c r="AH351" s="13">
        <f>IF(ROWS($AH$2:$AH351)&lt;=MAX('Per Line'!$AL$2:$AL$1601),MATCH(ROWS($AH$2:$AH351),'Per Line'!$AL$2:$AL$1601,0),"")</f>
        <v/>
      </c>
    </row>
    <row r="352">
      <c r="A352" s="12" t="n"/>
      <c r="B352">
        <f>IF($AH352="","",INDEX('Per Line'!$D$2:$D$1601,$AH352)&amp;"")</f>
        <v/>
      </c>
      <c r="C352">
        <f>IF($AH352="","",INDEX('Per Line'!$A$2:$A$1601,$AH352)&amp;"")</f>
        <v/>
      </c>
      <c r="D352">
        <f>IF($AH352="","",INDEX('Per Line'!$B$2:$B$1601,$AH352))</f>
        <v/>
      </c>
      <c r="E352">
        <f>IF($AH352="","",INDEX('Per Line'!$C$2:$C$1601,$AH352)&amp;"")</f>
        <v/>
      </c>
      <c r="F352">
        <f>IF($AH352="","",INDEX('Per Line'!$E$2:$E$1601,$AH352)&amp;"")</f>
        <v/>
      </c>
      <c r="G352" s="11">
        <f>IF($AH352="","",INDEX('Per Line'!$F$2:$F$1601,$AH352))</f>
        <v/>
      </c>
      <c r="H352">
        <f>IF($AH352="","",INDEX('Per Line'!$G$2:$G$1601,$AH352)&amp;"")</f>
        <v/>
      </c>
      <c r="I352">
        <f>IF($AH352="","",INDEX('Per Line'!$I$2:$I$1601,$AH352)&amp;"")</f>
        <v/>
      </c>
      <c r="J352">
        <f>IF($AH352="","",INDEX('Per Line'!$J$2:$J$1601,$AH352)&amp;"")</f>
        <v/>
      </c>
      <c r="K352">
        <f>IF($AH352="","",INDEX('Per Line'!$K$2:$K$1601,$AH352)&amp;"")</f>
        <v/>
      </c>
      <c r="L352">
        <f>IF($AH352="","",INDEX('Per Line'!$L$2:$L$1601,$AH352)&amp;"")</f>
        <v/>
      </c>
      <c r="M352">
        <f>IF($AH352="","",INDEX('Per Line'!$M$2:$M$1601,$AH352))</f>
        <v/>
      </c>
      <c r="N352" s="7">
        <f>IF($AH352="","",M352*AE352/100)</f>
        <v/>
      </c>
      <c r="O352">
        <f>IF($AH352="","",INDEX('Per Line'!$Z$2:$Z$1601,$AH352)&amp;"")</f>
        <v/>
      </c>
      <c r="P352">
        <f>IF($AH352="","",INDEX('Per Line'!$AC$2:$AC$1601,$AH352)&amp;"")</f>
        <v/>
      </c>
      <c r="Q352">
        <f>IF($AH352="","",INDEX('Per Line'!$AD$2:$AD$1601,$AH352))</f>
        <v/>
      </c>
      <c r="R352">
        <f>IF($AH352="","",IF(AND(ISNUMBER(Q352),Q352&gt;0),AF352&gt;Q352,FALSE))</f>
        <v/>
      </c>
      <c r="S352">
        <f>IF($AH352="","",INDEX('Per Line'!$AH$2:$AH$1601,$AH352)&amp;"")</f>
        <v/>
      </c>
      <c r="T352" s="11">
        <f>IF($AH352="","",INDEX('Per Line'!$AI$2:$AI$1601,$AH352))</f>
        <v/>
      </c>
      <c r="U352">
        <f>IF($AH352="","",Settings!$C$8)</f>
        <v/>
      </c>
      <c r="V352" s="7">
        <f>IF($AH352="","",SUMIFS('Per Line'!$V$2:$V$1601,'Per Line'!$D$2:$D$1601,$B352,'Per Line'!$AN$2:$AN$1601,1))</f>
        <v/>
      </c>
      <c r="W352" s="7">
        <f>IF($AH352="","",V352*U352)</f>
        <v/>
      </c>
      <c r="X352">
        <f>IF($AH352="","",Settings!$C$7)</f>
        <v/>
      </c>
      <c r="Y352" s="7">
        <f>IF($AH352="","",SUMIFS('Per Line'!$V$2:$V$1601,'Per Line'!$D$2:$D$1601,$B352,'Per Line'!$AM$2:$AM$1601,0,'Per Line'!$AN$2:$AN$1601,0))</f>
        <v/>
      </c>
      <c r="Z352" s="7">
        <f>IF($AH352="","",Y352*X352)</f>
        <v/>
      </c>
      <c r="AA352">
        <f>IF($AH352="","",Settings!$C$6)</f>
        <v/>
      </c>
      <c r="AB352" s="7">
        <f>IF($AH352="","",SUMIFS('Per Line'!$V$2:$V$1601,'Per Line'!$D$2:$D$1601,$B352,'Per Line'!$AM$2:$AM$1601,1,'Per Line'!$AN$2:$AN$1601,0))</f>
        <v/>
      </c>
      <c r="AC352" s="7">
        <f>IF($AH352="","",AB352*AA352)</f>
        <v/>
      </c>
      <c r="AD352" s="7">
        <f>IF($AH352="","",AC352+Z352+W352)</f>
        <v/>
      </c>
      <c r="AE352" s="7">
        <f>IF($AH352="","",AF352-AD352)</f>
        <v/>
      </c>
      <c r="AF352" s="7">
        <f>IF($AH352="","",Y352+AB352+V352)</f>
        <v/>
      </c>
      <c r="AG352" s="7">
        <f>IF($AH352="","",AF352-AD352-N352)</f>
        <v/>
      </c>
      <c r="AH352" s="13">
        <f>IF(ROWS($AH$2:$AH352)&lt;=MAX('Per Line'!$AL$2:$AL$1601),MATCH(ROWS($AH$2:$AH352),'Per Line'!$AL$2:$AL$1601,0),"")</f>
        <v/>
      </c>
    </row>
    <row r="353">
      <c r="A353" s="12" t="n"/>
      <c r="B353">
        <f>IF($AH353="","",INDEX('Per Line'!$D$2:$D$1601,$AH353)&amp;"")</f>
        <v/>
      </c>
      <c r="C353">
        <f>IF($AH353="","",INDEX('Per Line'!$A$2:$A$1601,$AH353)&amp;"")</f>
        <v/>
      </c>
      <c r="D353">
        <f>IF($AH353="","",INDEX('Per Line'!$B$2:$B$1601,$AH353))</f>
        <v/>
      </c>
      <c r="E353">
        <f>IF($AH353="","",INDEX('Per Line'!$C$2:$C$1601,$AH353)&amp;"")</f>
        <v/>
      </c>
      <c r="F353">
        <f>IF($AH353="","",INDEX('Per Line'!$E$2:$E$1601,$AH353)&amp;"")</f>
        <v/>
      </c>
      <c r="G353" s="11">
        <f>IF($AH353="","",INDEX('Per Line'!$F$2:$F$1601,$AH353))</f>
        <v/>
      </c>
      <c r="H353">
        <f>IF($AH353="","",INDEX('Per Line'!$G$2:$G$1601,$AH353)&amp;"")</f>
        <v/>
      </c>
      <c r="I353">
        <f>IF($AH353="","",INDEX('Per Line'!$I$2:$I$1601,$AH353)&amp;"")</f>
        <v/>
      </c>
      <c r="J353">
        <f>IF($AH353="","",INDEX('Per Line'!$J$2:$J$1601,$AH353)&amp;"")</f>
        <v/>
      </c>
      <c r="K353">
        <f>IF($AH353="","",INDEX('Per Line'!$K$2:$K$1601,$AH353)&amp;"")</f>
        <v/>
      </c>
      <c r="L353">
        <f>IF($AH353="","",INDEX('Per Line'!$L$2:$L$1601,$AH353)&amp;"")</f>
        <v/>
      </c>
      <c r="M353">
        <f>IF($AH353="","",INDEX('Per Line'!$M$2:$M$1601,$AH353))</f>
        <v/>
      </c>
      <c r="N353" s="7">
        <f>IF($AH353="","",M353*AE353/100)</f>
        <v/>
      </c>
      <c r="O353">
        <f>IF($AH353="","",INDEX('Per Line'!$Z$2:$Z$1601,$AH353)&amp;"")</f>
        <v/>
      </c>
      <c r="P353">
        <f>IF($AH353="","",INDEX('Per Line'!$AC$2:$AC$1601,$AH353)&amp;"")</f>
        <v/>
      </c>
      <c r="Q353">
        <f>IF($AH353="","",INDEX('Per Line'!$AD$2:$AD$1601,$AH353))</f>
        <v/>
      </c>
      <c r="R353">
        <f>IF($AH353="","",IF(AND(ISNUMBER(Q353),Q353&gt;0),AF353&gt;Q353,FALSE))</f>
        <v/>
      </c>
      <c r="S353">
        <f>IF($AH353="","",INDEX('Per Line'!$AH$2:$AH$1601,$AH353)&amp;"")</f>
        <v/>
      </c>
      <c r="T353" s="11">
        <f>IF($AH353="","",INDEX('Per Line'!$AI$2:$AI$1601,$AH353))</f>
        <v/>
      </c>
      <c r="U353">
        <f>IF($AH353="","",Settings!$C$8)</f>
        <v/>
      </c>
      <c r="V353" s="7">
        <f>IF($AH353="","",SUMIFS('Per Line'!$V$2:$V$1601,'Per Line'!$D$2:$D$1601,$B353,'Per Line'!$AN$2:$AN$1601,1))</f>
        <v/>
      </c>
      <c r="W353" s="7">
        <f>IF($AH353="","",V353*U353)</f>
        <v/>
      </c>
      <c r="X353">
        <f>IF($AH353="","",Settings!$C$7)</f>
        <v/>
      </c>
      <c r="Y353" s="7">
        <f>IF($AH353="","",SUMIFS('Per Line'!$V$2:$V$1601,'Per Line'!$D$2:$D$1601,$B353,'Per Line'!$AM$2:$AM$1601,0,'Per Line'!$AN$2:$AN$1601,0))</f>
        <v/>
      </c>
      <c r="Z353" s="7">
        <f>IF($AH353="","",Y353*X353)</f>
        <v/>
      </c>
      <c r="AA353">
        <f>IF($AH353="","",Settings!$C$6)</f>
        <v/>
      </c>
      <c r="AB353" s="7">
        <f>IF($AH353="","",SUMIFS('Per Line'!$V$2:$V$1601,'Per Line'!$D$2:$D$1601,$B353,'Per Line'!$AM$2:$AM$1601,1,'Per Line'!$AN$2:$AN$1601,0))</f>
        <v/>
      </c>
      <c r="AC353" s="7">
        <f>IF($AH353="","",AB353*AA353)</f>
        <v/>
      </c>
      <c r="AD353" s="7">
        <f>IF($AH353="","",AC353+Z353+W353)</f>
        <v/>
      </c>
      <c r="AE353" s="7">
        <f>IF($AH353="","",AF353-AD353)</f>
        <v/>
      </c>
      <c r="AF353" s="7">
        <f>IF($AH353="","",Y353+AB353+V353)</f>
        <v/>
      </c>
      <c r="AG353" s="7">
        <f>IF($AH353="","",AF353-AD353-N353)</f>
        <v/>
      </c>
      <c r="AH353" s="13">
        <f>IF(ROWS($AH$2:$AH353)&lt;=MAX('Per Line'!$AL$2:$AL$1601),MATCH(ROWS($AH$2:$AH353),'Per Line'!$AL$2:$AL$1601,0),"")</f>
        <v/>
      </c>
    </row>
    <row r="354">
      <c r="A354" s="12" t="n"/>
      <c r="B354">
        <f>IF($AH354="","",INDEX('Per Line'!$D$2:$D$1601,$AH354)&amp;"")</f>
        <v/>
      </c>
      <c r="C354">
        <f>IF($AH354="","",INDEX('Per Line'!$A$2:$A$1601,$AH354)&amp;"")</f>
        <v/>
      </c>
      <c r="D354">
        <f>IF($AH354="","",INDEX('Per Line'!$B$2:$B$1601,$AH354))</f>
        <v/>
      </c>
      <c r="E354">
        <f>IF($AH354="","",INDEX('Per Line'!$C$2:$C$1601,$AH354)&amp;"")</f>
        <v/>
      </c>
      <c r="F354">
        <f>IF($AH354="","",INDEX('Per Line'!$E$2:$E$1601,$AH354)&amp;"")</f>
        <v/>
      </c>
      <c r="G354" s="11">
        <f>IF($AH354="","",INDEX('Per Line'!$F$2:$F$1601,$AH354))</f>
        <v/>
      </c>
      <c r="H354">
        <f>IF($AH354="","",INDEX('Per Line'!$G$2:$G$1601,$AH354)&amp;"")</f>
        <v/>
      </c>
      <c r="I354">
        <f>IF($AH354="","",INDEX('Per Line'!$I$2:$I$1601,$AH354)&amp;"")</f>
        <v/>
      </c>
      <c r="J354">
        <f>IF($AH354="","",INDEX('Per Line'!$J$2:$J$1601,$AH354)&amp;"")</f>
        <v/>
      </c>
      <c r="K354">
        <f>IF($AH354="","",INDEX('Per Line'!$K$2:$K$1601,$AH354)&amp;"")</f>
        <v/>
      </c>
      <c r="L354">
        <f>IF($AH354="","",INDEX('Per Line'!$L$2:$L$1601,$AH354)&amp;"")</f>
        <v/>
      </c>
      <c r="M354">
        <f>IF($AH354="","",INDEX('Per Line'!$M$2:$M$1601,$AH354))</f>
        <v/>
      </c>
      <c r="N354" s="7">
        <f>IF($AH354="","",M354*AE354/100)</f>
        <v/>
      </c>
      <c r="O354">
        <f>IF($AH354="","",INDEX('Per Line'!$Z$2:$Z$1601,$AH354)&amp;"")</f>
        <v/>
      </c>
      <c r="P354">
        <f>IF($AH354="","",INDEX('Per Line'!$AC$2:$AC$1601,$AH354)&amp;"")</f>
        <v/>
      </c>
      <c r="Q354">
        <f>IF($AH354="","",INDEX('Per Line'!$AD$2:$AD$1601,$AH354))</f>
        <v/>
      </c>
      <c r="R354">
        <f>IF($AH354="","",IF(AND(ISNUMBER(Q354),Q354&gt;0),AF354&gt;Q354,FALSE))</f>
        <v/>
      </c>
      <c r="S354">
        <f>IF($AH354="","",INDEX('Per Line'!$AH$2:$AH$1601,$AH354)&amp;"")</f>
        <v/>
      </c>
      <c r="T354" s="11">
        <f>IF($AH354="","",INDEX('Per Line'!$AI$2:$AI$1601,$AH354))</f>
        <v/>
      </c>
      <c r="U354">
        <f>IF($AH354="","",Settings!$C$8)</f>
        <v/>
      </c>
      <c r="V354" s="7">
        <f>IF($AH354="","",SUMIFS('Per Line'!$V$2:$V$1601,'Per Line'!$D$2:$D$1601,$B354,'Per Line'!$AN$2:$AN$1601,1))</f>
        <v/>
      </c>
      <c r="W354" s="7">
        <f>IF($AH354="","",V354*U354)</f>
        <v/>
      </c>
      <c r="X354">
        <f>IF($AH354="","",Settings!$C$7)</f>
        <v/>
      </c>
      <c r="Y354" s="7">
        <f>IF($AH354="","",SUMIFS('Per Line'!$V$2:$V$1601,'Per Line'!$D$2:$D$1601,$B354,'Per Line'!$AM$2:$AM$1601,0,'Per Line'!$AN$2:$AN$1601,0))</f>
        <v/>
      </c>
      <c r="Z354" s="7">
        <f>IF($AH354="","",Y354*X354)</f>
        <v/>
      </c>
      <c r="AA354">
        <f>IF($AH354="","",Settings!$C$6)</f>
        <v/>
      </c>
      <c r="AB354" s="7">
        <f>IF($AH354="","",SUMIFS('Per Line'!$V$2:$V$1601,'Per Line'!$D$2:$D$1601,$B354,'Per Line'!$AM$2:$AM$1601,1,'Per Line'!$AN$2:$AN$1601,0))</f>
        <v/>
      </c>
      <c r="AC354" s="7">
        <f>IF($AH354="","",AB354*AA354)</f>
        <v/>
      </c>
      <c r="AD354" s="7">
        <f>IF($AH354="","",AC354+Z354+W354)</f>
        <v/>
      </c>
      <c r="AE354" s="7">
        <f>IF($AH354="","",AF354-AD354)</f>
        <v/>
      </c>
      <c r="AF354" s="7">
        <f>IF($AH354="","",Y354+AB354+V354)</f>
        <v/>
      </c>
      <c r="AG354" s="7">
        <f>IF($AH354="","",AF354-AD354-N354)</f>
        <v/>
      </c>
      <c r="AH354" s="13">
        <f>IF(ROWS($AH$2:$AH354)&lt;=MAX('Per Line'!$AL$2:$AL$1601),MATCH(ROWS($AH$2:$AH354),'Per Line'!$AL$2:$AL$1601,0),"")</f>
        <v/>
      </c>
    </row>
    <row r="355">
      <c r="A355" s="12" t="n"/>
      <c r="B355">
        <f>IF($AH355="","",INDEX('Per Line'!$D$2:$D$1601,$AH355)&amp;"")</f>
        <v/>
      </c>
      <c r="C355">
        <f>IF($AH355="","",INDEX('Per Line'!$A$2:$A$1601,$AH355)&amp;"")</f>
        <v/>
      </c>
      <c r="D355">
        <f>IF($AH355="","",INDEX('Per Line'!$B$2:$B$1601,$AH355))</f>
        <v/>
      </c>
      <c r="E355">
        <f>IF($AH355="","",INDEX('Per Line'!$C$2:$C$1601,$AH355)&amp;"")</f>
        <v/>
      </c>
      <c r="F355">
        <f>IF($AH355="","",INDEX('Per Line'!$E$2:$E$1601,$AH355)&amp;"")</f>
        <v/>
      </c>
      <c r="G355" s="11">
        <f>IF($AH355="","",INDEX('Per Line'!$F$2:$F$1601,$AH355))</f>
        <v/>
      </c>
      <c r="H355">
        <f>IF($AH355="","",INDEX('Per Line'!$G$2:$G$1601,$AH355)&amp;"")</f>
        <v/>
      </c>
      <c r="I355">
        <f>IF($AH355="","",INDEX('Per Line'!$I$2:$I$1601,$AH355)&amp;"")</f>
        <v/>
      </c>
      <c r="J355">
        <f>IF($AH355="","",INDEX('Per Line'!$J$2:$J$1601,$AH355)&amp;"")</f>
        <v/>
      </c>
      <c r="K355">
        <f>IF($AH355="","",INDEX('Per Line'!$K$2:$K$1601,$AH355)&amp;"")</f>
        <v/>
      </c>
      <c r="L355">
        <f>IF($AH355="","",INDEX('Per Line'!$L$2:$L$1601,$AH355)&amp;"")</f>
        <v/>
      </c>
      <c r="M355">
        <f>IF($AH355="","",INDEX('Per Line'!$M$2:$M$1601,$AH355))</f>
        <v/>
      </c>
      <c r="N355" s="7">
        <f>IF($AH355="","",M355*AE355/100)</f>
        <v/>
      </c>
      <c r="O355">
        <f>IF($AH355="","",INDEX('Per Line'!$Z$2:$Z$1601,$AH355)&amp;"")</f>
        <v/>
      </c>
      <c r="P355">
        <f>IF($AH355="","",INDEX('Per Line'!$AC$2:$AC$1601,$AH355)&amp;"")</f>
        <v/>
      </c>
      <c r="Q355">
        <f>IF($AH355="","",INDEX('Per Line'!$AD$2:$AD$1601,$AH355))</f>
        <v/>
      </c>
      <c r="R355">
        <f>IF($AH355="","",IF(AND(ISNUMBER(Q355),Q355&gt;0),AF355&gt;Q355,FALSE))</f>
        <v/>
      </c>
      <c r="S355">
        <f>IF($AH355="","",INDEX('Per Line'!$AH$2:$AH$1601,$AH355)&amp;"")</f>
        <v/>
      </c>
      <c r="T355" s="11">
        <f>IF($AH355="","",INDEX('Per Line'!$AI$2:$AI$1601,$AH355))</f>
        <v/>
      </c>
      <c r="U355">
        <f>IF($AH355="","",Settings!$C$8)</f>
        <v/>
      </c>
      <c r="V355" s="7">
        <f>IF($AH355="","",SUMIFS('Per Line'!$V$2:$V$1601,'Per Line'!$D$2:$D$1601,$B355,'Per Line'!$AN$2:$AN$1601,1))</f>
        <v/>
      </c>
      <c r="W355" s="7">
        <f>IF($AH355="","",V355*U355)</f>
        <v/>
      </c>
      <c r="X355">
        <f>IF($AH355="","",Settings!$C$7)</f>
        <v/>
      </c>
      <c r="Y355" s="7">
        <f>IF($AH355="","",SUMIFS('Per Line'!$V$2:$V$1601,'Per Line'!$D$2:$D$1601,$B355,'Per Line'!$AM$2:$AM$1601,0,'Per Line'!$AN$2:$AN$1601,0))</f>
        <v/>
      </c>
      <c r="Z355" s="7">
        <f>IF($AH355="","",Y355*X355)</f>
        <v/>
      </c>
      <c r="AA355">
        <f>IF($AH355="","",Settings!$C$6)</f>
        <v/>
      </c>
      <c r="AB355" s="7">
        <f>IF($AH355="","",SUMIFS('Per Line'!$V$2:$V$1601,'Per Line'!$D$2:$D$1601,$B355,'Per Line'!$AM$2:$AM$1601,1,'Per Line'!$AN$2:$AN$1601,0))</f>
        <v/>
      </c>
      <c r="AC355" s="7">
        <f>IF($AH355="","",AB355*AA355)</f>
        <v/>
      </c>
      <c r="AD355" s="7">
        <f>IF($AH355="","",AC355+Z355+W355)</f>
        <v/>
      </c>
      <c r="AE355" s="7">
        <f>IF($AH355="","",AF355-AD355)</f>
        <v/>
      </c>
      <c r="AF355" s="7">
        <f>IF($AH355="","",Y355+AB355+V355)</f>
        <v/>
      </c>
      <c r="AG355" s="7">
        <f>IF($AH355="","",AF355-AD355-N355)</f>
        <v/>
      </c>
      <c r="AH355" s="13">
        <f>IF(ROWS($AH$2:$AH355)&lt;=MAX('Per Line'!$AL$2:$AL$1601),MATCH(ROWS($AH$2:$AH355),'Per Line'!$AL$2:$AL$1601,0),"")</f>
        <v/>
      </c>
    </row>
    <row r="356">
      <c r="A356" s="12" t="n"/>
      <c r="B356">
        <f>IF($AH356="","",INDEX('Per Line'!$D$2:$D$1601,$AH356)&amp;"")</f>
        <v/>
      </c>
      <c r="C356">
        <f>IF($AH356="","",INDEX('Per Line'!$A$2:$A$1601,$AH356)&amp;"")</f>
        <v/>
      </c>
      <c r="D356">
        <f>IF($AH356="","",INDEX('Per Line'!$B$2:$B$1601,$AH356))</f>
        <v/>
      </c>
      <c r="E356">
        <f>IF($AH356="","",INDEX('Per Line'!$C$2:$C$1601,$AH356)&amp;"")</f>
        <v/>
      </c>
      <c r="F356">
        <f>IF($AH356="","",INDEX('Per Line'!$E$2:$E$1601,$AH356)&amp;"")</f>
        <v/>
      </c>
      <c r="G356" s="11">
        <f>IF($AH356="","",INDEX('Per Line'!$F$2:$F$1601,$AH356))</f>
        <v/>
      </c>
      <c r="H356">
        <f>IF($AH356="","",INDEX('Per Line'!$G$2:$G$1601,$AH356)&amp;"")</f>
        <v/>
      </c>
      <c r="I356">
        <f>IF($AH356="","",INDEX('Per Line'!$I$2:$I$1601,$AH356)&amp;"")</f>
        <v/>
      </c>
      <c r="J356">
        <f>IF($AH356="","",INDEX('Per Line'!$J$2:$J$1601,$AH356)&amp;"")</f>
        <v/>
      </c>
      <c r="K356">
        <f>IF($AH356="","",INDEX('Per Line'!$K$2:$K$1601,$AH356)&amp;"")</f>
        <v/>
      </c>
      <c r="L356">
        <f>IF($AH356="","",INDEX('Per Line'!$L$2:$L$1601,$AH356)&amp;"")</f>
        <v/>
      </c>
      <c r="M356">
        <f>IF($AH356="","",INDEX('Per Line'!$M$2:$M$1601,$AH356))</f>
        <v/>
      </c>
      <c r="N356" s="7">
        <f>IF($AH356="","",M356*AE356/100)</f>
        <v/>
      </c>
      <c r="O356">
        <f>IF($AH356="","",INDEX('Per Line'!$Z$2:$Z$1601,$AH356)&amp;"")</f>
        <v/>
      </c>
      <c r="P356">
        <f>IF($AH356="","",INDEX('Per Line'!$AC$2:$AC$1601,$AH356)&amp;"")</f>
        <v/>
      </c>
      <c r="Q356">
        <f>IF($AH356="","",INDEX('Per Line'!$AD$2:$AD$1601,$AH356))</f>
        <v/>
      </c>
      <c r="R356">
        <f>IF($AH356="","",IF(AND(ISNUMBER(Q356),Q356&gt;0),AF356&gt;Q356,FALSE))</f>
        <v/>
      </c>
      <c r="S356">
        <f>IF($AH356="","",INDEX('Per Line'!$AH$2:$AH$1601,$AH356)&amp;"")</f>
        <v/>
      </c>
      <c r="T356" s="11">
        <f>IF($AH356="","",INDEX('Per Line'!$AI$2:$AI$1601,$AH356))</f>
        <v/>
      </c>
      <c r="U356">
        <f>IF($AH356="","",Settings!$C$8)</f>
        <v/>
      </c>
      <c r="V356" s="7">
        <f>IF($AH356="","",SUMIFS('Per Line'!$V$2:$V$1601,'Per Line'!$D$2:$D$1601,$B356,'Per Line'!$AN$2:$AN$1601,1))</f>
        <v/>
      </c>
      <c r="W356" s="7">
        <f>IF($AH356="","",V356*U356)</f>
        <v/>
      </c>
      <c r="X356">
        <f>IF($AH356="","",Settings!$C$7)</f>
        <v/>
      </c>
      <c r="Y356" s="7">
        <f>IF($AH356="","",SUMIFS('Per Line'!$V$2:$V$1601,'Per Line'!$D$2:$D$1601,$B356,'Per Line'!$AM$2:$AM$1601,0,'Per Line'!$AN$2:$AN$1601,0))</f>
        <v/>
      </c>
      <c r="Z356" s="7">
        <f>IF($AH356="","",Y356*X356)</f>
        <v/>
      </c>
      <c r="AA356">
        <f>IF($AH356="","",Settings!$C$6)</f>
        <v/>
      </c>
      <c r="AB356" s="7">
        <f>IF($AH356="","",SUMIFS('Per Line'!$V$2:$V$1601,'Per Line'!$D$2:$D$1601,$B356,'Per Line'!$AM$2:$AM$1601,1,'Per Line'!$AN$2:$AN$1601,0))</f>
        <v/>
      </c>
      <c r="AC356" s="7">
        <f>IF($AH356="","",AB356*AA356)</f>
        <v/>
      </c>
      <c r="AD356" s="7">
        <f>IF($AH356="","",AC356+Z356+W356)</f>
        <v/>
      </c>
      <c r="AE356" s="7">
        <f>IF($AH356="","",AF356-AD356)</f>
        <v/>
      </c>
      <c r="AF356" s="7">
        <f>IF($AH356="","",Y356+AB356+V356)</f>
        <v/>
      </c>
      <c r="AG356" s="7">
        <f>IF($AH356="","",AF356-AD356-N356)</f>
        <v/>
      </c>
      <c r="AH356" s="13">
        <f>IF(ROWS($AH$2:$AH356)&lt;=MAX('Per Line'!$AL$2:$AL$1601),MATCH(ROWS($AH$2:$AH356),'Per Line'!$AL$2:$AL$1601,0),"")</f>
        <v/>
      </c>
    </row>
    <row r="357">
      <c r="A357" s="12" t="n"/>
      <c r="B357">
        <f>IF($AH357="","",INDEX('Per Line'!$D$2:$D$1601,$AH357)&amp;"")</f>
        <v/>
      </c>
      <c r="C357">
        <f>IF($AH357="","",INDEX('Per Line'!$A$2:$A$1601,$AH357)&amp;"")</f>
        <v/>
      </c>
      <c r="D357">
        <f>IF($AH357="","",INDEX('Per Line'!$B$2:$B$1601,$AH357))</f>
        <v/>
      </c>
      <c r="E357">
        <f>IF($AH357="","",INDEX('Per Line'!$C$2:$C$1601,$AH357)&amp;"")</f>
        <v/>
      </c>
      <c r="F357">
        <f>IF($AH357="","",INDEX('Per Line'!$E$2:$E$1601,$AH357)&amp;"")</f>
        <v/>
      </c>
      <c r="G357" s="11">
        <f>IF($AH357="","",INDEX('Per Line'!$F$2:$F$1601,$AH357))</f>
        <v/>
      </c>
      <c r="H357">
        <f>IF($AH357="","",INDEX('Per Line'!$G$2:$G$1601,$AH357)&amp;"")</f>
        <v/>
      </c>
      <c r="I357">
        <f>IF($AH357="","",INDEX('Per Line'!$I$2:$I$1601,$AH357)&amp;"")</f>
        <v/>
      </c>
      <c r="J357">
        <f>IF($AH357="","",INDEX('Per Line'!$J$2:$J$1601,$AH357)&amp;"")</f>
        <v/>
      </c>
      <c r="K357">
        <f>IF($AH357="","",INDEX('Per Line'!$K$2:$K$1601,$AH357)&amp;"")</f>
        <v/>
      </c>
      <c r="L357">
        <f>IF($AH357="","",INDEX('Per Line'!$L$2:$L$1601,$AH357)&amp;"")</f>
        <v/>
      </c>
      <c r="M357">
        <f>IF($AH357="","",INDEX('Per Line'!$M$2:$M$1601,$AH357))</f>
        <v/>
      </c>
      <c r="N357" s="7">
        <f>IF($AH357="","",M357*AE357/100)</f>
        <v/>
      </c>
      <c r="O357">
        <f>IF($AH357="","",INDEX('Per Line'!$Z$2:$Z$1601,$AH357)&amp;"")</f>
        <v/>
      </c>
      <c r="P357">
        <f>IF($AH357="","",INDEX('Per Line'!$AC$2:$AC$1601,$AH357)&amp;"")</f>
        <v/>
      </c>
      <c r="Q357">
        <f>IF($AH357="","",INDEX('Per Line'!$AD$2:$AD$1601,$AH357))</f>
        <v/>
      </c>
      <c r="R357">
        <f>IF($AH357="","",IF(AND(ISNUMBER(Q357),Q357&gt;0),AF357&gt;Q357,FALSE))</f>
        <v/>
      </c>
      <c r="S357">
        <f>IF($AH357="","",INDEX('Per Line'!$AH$2:$AH$1601,$AH357)&amp;"")</f>
        <v/>
      </c>
      <c r="T357" s="11">
        <f>IF($AH357="","",INDEX('Per Line'!$AI$2:$AI$1601,$AH357))</f>
        <v/>
      </c>
      <c r="U357">
        <f>IF($AH357="","",Settings!$C$8)</f>
        <v/>
      </c>
      <c r="V357" s="7">
        <f>IF($AH357="","",SUMIFS('Per Line'!$V$2:$V$1601,'Per Line'!$D$2:$D$1601,$B357,'Per Line'!$AN$2:$AN$1601,1))</f>
        <v/>
      </c>
      <c r="W357" s="7">
        <f>IF($AH357="","",V357*U357)</f>
        <v/>
      </c>
      <c r="X357">
        <f>IF($AH357="","",Settings!$C$7)</f>
        <v/>
      </c>
      <c r="Y357" s="7">
        <f>IF($AH357="","",SUMIFS('Per Line'!$V$2:$V$1601,'Per Line'!$D$2:$D$1601,$B357,'Per Line'!$AM$2:$AM$1601,0,'Per Line'!$AN$2:$AN$1601,0))</f>
        <v/>
      </c>
      <c r="Z357" s="7">
        <f>IF($AH357="","",Y357*X357)</f>
        <v/>
      </c>
      <c r="AA357">
        <f>IF($AH357="","",Settings!$C$6)</f>
        <v/>
      </c>
      <c r="AB357" s="7">
        <f>IF($AH357="","",SUMIFS('Per Line'!$V$2:$V$1601,'Per Line'!$D$2:$D$1601,$B357,'Per Line'!$AM$2:$AM$1601,1,'Per Line'!$AN$2:$AN$1601,0))</f>
        <v/>
      </c>
      <c r="AC357" s="7">
        <f>IF($AH357="","",AB357*AA357)</f>
        <v/>
      </c>
      <c r="AD357" s="7">
        <f>IF($AH357="","",AC357+Z357+W357)</f>
        <v/>
      </c>
      <c r="AE357" s="7">
        <f>IF($AH357="","",AF357-AD357)</f>
        <v/>
      </c>
      <c r="AF357" s="7">
        <f>IF($AH357="","",Y357+AB357+V357)</f>
        <v/>
      </c>
      <c r="AG357" s="7">
        <f>IF($AH357="","",AF357-AD357-N357)</f>
        <v/>
      </c>
      <c r="AH357" s="13">
        <f>IF(ROWS($AH$2:$AH357)&lt;=MAX('Per Line'!$AL$2:$AL$1601),MATCH(ROWS($AH$2:$AH357),'Per Line'!$AL$2:$AL$1601,0),"")</f>
        <v/>
      </c>
    </row>
    <row r="358">
      <c r="A358" s="12" t="n"/>
      <c r="B358">
        <f>IF($AH358="","",INDEX('Per Line'!$D$2:$D$1601,$AH358)&amp;"")</f>
        <v/>
      </c>
      <c r="C358">
        <f>IF($AH358="","",INDEX('Per Line'!$A$2:$A$1601,$AH358)&amp;"")</f>
        <v/>
      </c>
      <c r="D358">
        <f>IF($AH358="","",INDEX('Per Line'!$B$2:$B$1601,$AH358))</f>
        <v/>
      </c>
      <c r="E358">
        <f>IF($AH358="","",INDEX('Per Line'!$C$2:$C$1601,$AH358)&amp;"")</f>
        <v/>
      </c>
      <c r="F358">
        <f>IF($AH358="","",INDEX('Per Line'!$E$2:$E$1601,$AH358)&amp;"")</f>
        <v/>
      </c>
      <c r="G358" s="11">
        <f>IF($AH358="","",INDEX('Per Line'!$F$2:$F$1601,$AH358))</f>
        <v/>
      </c>
      <c r="H358">
        <f>IF($AH358="","",INDEX('Per Line'!$G$2:$G$1601,$AH358)&amp;"")</f>
        <v/>
      </c>
      <c r="I358">
        <f>IF($AH358="","",INDEX('Per Line'!$I$2:$I$1601,$AH358)&amp;"")</f>
        <v/>
      </c>
      <c r="J358">
        <f>IF($AH358="","",INDEX('Per Line'!$J$2:$J$1601,$AH358)&amp;"")</f>
        <v/>
      </c>
      <c r="K358">
        <f>IF($AH358="","",INDEX('Per Line'!$K$2:$K$1601,$AH358)&amp;"")</f>
        <v/>
      </c>
      <c r="L358">
        <f>IF($AH358="","",INDEX('Per Line'!$L$2:$L$1601,$AH358)&amp;"")</f>
        <v/>
      </c>
      <c r="M358">
        <f>IF($AH358="","",INDEX('Per Line'!$M$2:$M$1601,$AH358))</f>
        <v/>
      </c>
      <c r="N358" s="7">
        <f>IF($AH358="","",M358*AE358/100)</f>
        <v/>
      </c>
      <c r="O358">
        <f>IF($AH358="","",INDEX('Per Line'!$Z$2:$Z$1601,$AH358)&amp;"")</f>
        <v/>
      </c>
      <c r="P358">
        <f>IF($AH358="","",INDEX('Per Line'!$AC$2:$AC$1601,$AH358)&amp;"")</f>
        <v/>
      </c>
      <c r="Q358">
        <f>IF($AH358="","",INDEX('Per Line'!$AD$2:$AD$1601,$AH358))</f>
        <v/>
      </c>
      <c r="R358">
        <f>IF($AH358="","",IF(AND(ISNUMBER(Q358),Q358&gt;0),AF358&gt;Q358,FALSE))</f>
        <v/>
      </c>
      <c r="S358">
        <f>IF($AH358="","",INDEX('Per Line'!$AH$2:$AH$1601,$AH358)&amp;"")</f>
        <v/>
      </c>
      <c r="T358" s="11">
        <f>IF($AH358="","",INDEX('Per Line'!$AI$2:$AI$1601,$AH358))</f>
        <v/>
      </c>
      <c r="U358">
        <f>IF($AH358="","",Settings!$C$8)</f>
        <v/>
      </c>
      <c r="V358" s="7">
        <f>IF($AH358="","",SUMIFS('Per Line'!$V$2:$V$1601,'Per Line'!$D$2:$D$1601,$B358,'Per Line'!$AN$2:$AN$1601,1))</f>
        <v/>
      </c>
      <c r="W358" s="7">
        <f>IF($AH358="","",V358*U358)</f>
        <v/>
      </c>
      <c r="X358">
        <f>IF($AH358="","",Settings!$C$7)</f>
        <v/>
      </c>
      <c r="Y358" s="7">
        <f>IF($AH358="","",SUMIFS('Per Line'!$V$2:$V$1601,'Per Line'!$D$2:$D$1601,$B358,'Per Line'!$AM$2:$AM$1601,0,'Per Line'!$AN$2:$AN$1601,0))</f>
        <v/>
      </c>
      <c r="Z358" s="7">
        <f>IF($AH358="","",Y358*X358)</f>
        <v/>
      </c>
      <c r="AA358">
        <f>IF($AH358="","",Settings!$C$6)</f>
        <v/>
      </c>
      <c r="AB358" s="7">
        <f>IF($AH358="","",SUMIFS('Per Line'!$V$2:$V$1601,'Per Line'!$D$2:$D$1601,$B358,'Per Line'!$AM$2:$AM$1601,1,'Per Line'!$AN$2:$AN$1601,0))</f>
        <v/>
      </c>
      <c r="AC358" s="7">
        <f>IF($AH358="","",AB358*AA358)</f>
        <v/>
      </c>
      <c r="AD358" s="7">
        <f>IF($AH358="","",AC358+Z358+W358)</f>
        <v/>
      </c>
      <c r="AE358" s="7">
        <f>IF($AH358="","",AF358-AD358)</f>
        <v/>
      </c>
      <c r="AF358" s="7">
        <f>IF($AH358="","",Y358+AB358+V358)</f>
        <v/>
      </c>
      <c r="AG358" s="7">
        <f>IF($AH358="","",AF358-AD358-N358)</f>
        <v/>
      </c>
      <c r="AH358" s="13">
        <f>IF(ROWS($AH$2:$AH358)&lt;=MAX('Per Line'!$AL$2:$AL$1601),MATCH(ROWS($AH$2:$AH358),'Per Line'!$AL$2:$AL$1601,0),"")</f>
        <v/>
      </c>
    </row>
    <row r="359">
      <c r="A359" s="12" t="n"/>
      <c r="B359">
        <f>IF($AH359="","",INDEX('Per Line'!$D$2:$D$1601,$AH359)&amp;"")</f>
        <v/>
      </c>
      <c r="C359">
        <f>IF($AH359="","",INDEX('Per Line'!$A$2:$A$1601,$AH359)&amp;"")</f>
        <v/>
      </c>
      <c r="D359">
        <f>IF($AH359="","",INDEX('Per Line'!$B$2:$B$1601,$AH359))</f>
        <v/>
      </c>
      <c r="E359">
        <f>IF($AH359="","",INDEX('Per Line'!$C$2:$C$1601,$AH359)&amp;"")</f>
        <v/>
      </c>
      <c r="F359">
        <f>IF($AH359="","",INDEX('Per Line'!$E$2:$E$1601,$AH359)&amp;"")</f>
        <v/>
      </c>
      <c r="G359" s="11">
        <f>IF($AH359="","",INDEX('Per Line'!$F$2:$F$1601,$AH359))</f>
        <v/>
      </c>
      <c r="H359">
        <f>IF($AH359="","",INDEX('Per Line'!$G$2:$G$1601,$AH359)&amp;"")</f>
        <v/>
      </c>
      <c r="I359">
        <f>IF($AH359="","",INDEX('Per Line'!$I$2:$I$1601,$AH359)&amp;"")</f>
        <v/>
      </c>
      <c r="J359">
        <f>IF($AH359="","",INDEX('Per Line'!$J$2:$J$1601,$AH359)&amp;"")</f>
        <v/>
      </c>
      <c r="K359">
        <f>IF($AH359="","",INDEX('Per Line'!$K$2:$K$1601,$AH359)&amp;"")</f>
        <v/>
      </c>
      <c r="L359">
        <f>IF($AH359="","",INDEX('Per Line'!$L$2:$L$1601,$AH359)&amp;"")</f>
        <v/>
      </c>
      <c r="M359">
        <f>IF($AH359="","",INDEX('Per Line'!$M$2:$M$1601,$AH359))</f>
        <v/>
      </c>
      <c r="N359" s="7">
        <f>IF($AH359="","",M359*AE359/100)</f>
        <v/>
      </c>
      <c r="O359">
        <f>IF($AH359="","",INDEX('Per Line'!$Z$2:$Z$1601,$AH359)&amp;"")</f>
        <v/>
      </c>
      <c r="P359">
        <f>IF($AH359="","",INDEX('Per Line'!$AC$2:$AC$1601,$AH359)&amp;"")</f>
        <v/>
      </c>
      <c r="Q359">
        <f>IF($AH359="","",INDEX('Per Line'!$AD$2:$AD$1601,$AH359))</f>
        <v/>
      </c>
      <c r="R359">
        <f>IF($AH359="","",IF(AND(ISNUMBER(Q359),Q359&gt;0),AF359&gt;Q359,FALSE))</f>
        <v/>
      </c>
      <c r="S359">
        <f>IF($AH359="","",INDEX('Per Line'!$AH$2:$AH$1601,$AH359)&amp;"")</f>
        <v/>
      </c>
      <c r="T359" s="11">
        <f>IF($AH359="","",INDEX('Per Line'!$AI$2:$AI$1601,$AH359))</f>
        <v/>
      </c>
      <c r="U359">
        <f>IF($AH359="","",Settings!$C$8)</f>
        <v/>
      </c>
      <c r="V359" s="7">
        <f>IF($AH359="","",SUMIFS('Per Line'!$V$2:$V$1601,'Per Line'!$D$2:$D$1601,$B359,'Per Line'!$AN$2:$AN$1601,1))</f>
        <v/>
      </c>
      <c r="W359" s="7">
        <f>IF($AH359="","",V359*U359)</f>
        <v/>
      </c>
      <c r="X359">
        <f>IF($AH359="","",Settings!$C$7)</f>
        <v/>
      </c>
      <c r="Y359" s="7">
        <f>IF($AH359="","",SUMIFS('Per Line'!$V$2:$V$1601,'Per Line'!$D$2:$D$1601,$B359,'Per Line'!$AM$2:$AM$1601,0,'Per Line'!$AN$2:$AN$1601,0))</f>
        <v/>
      </c>
      <c r="Z359" s="7">
        <f>IF($AH359="","",Y359*X359)</f>
        <v/>
      </c>
      <c r="AA359">
        <f>IF($AH359="","",Settings!$C$6)</f>
        <v/>
      </c>
      <c r="AB359" s="7">
        <f>IF($AH359="","",SUMIFS('Per Line'!$V$2:$V$1601,'Per Line'!$D$2:$D$1601,$B359,'Per Line'!$AM$2:$AM$1601,1,'Per Line'!$AN$2:$AN$1601,0))</f>
        <v/>
      </c>
      <c r="AC359" s="7">
        <f>IF($AH359="","",AB359*AA359)</f>
        <v/>
      </c>
      <c r="AD359" s="7">
        <f>IF($AH359="","",AC359+Z359+W359)</f>
        <v/>
      </c>
      <c r="AE359" s="7">
        <f>IF($AH359="","",AF359-AD359)</f>
        <v/>
      </c>
      <c r="AF359" s="7">
        <f>IF($AH359="","",Y359+AB359+V359)</f>
        <v/>
      </c>
      <c r="AG359" s="7">
        <f>IF($AH359="","",AF359-AD359-N359)</f>
        <v/>
      </c>
      <c r="AH359" s="13">
        <f>IF(ROWS($AH$2:$AH359)&lt;=MAX('Per Line'!$AL$2:$AL$1601),MATCH(ROWS($AH$2:$AH359),'Per Line'!$AL$2:$AL$1601,0),"")</f>
        <v/>
      </c>
    </row>
    <row r="360">
      <c r="A360" s="12" t="n"/>
      <c r="B360">
        <f>IF($AH360="","",INDEX('Per Line'!$D$2:$D$1601,$AH360)&amp;"")</f>
        <v/>
      </c>
      <c r="C360">
        <f>IF($AH360="","",INDEX('Per Line'!$A$2:$A$1601,$AH360)&amp;"")</f>
        <v/>
      </c>
      <c r="D360">
        <f>IF($AH360="","",INDEX('Per Line'!$B$2:$B$1601,$AH360))</f>
        <v/>
      </c>
      <c r="E360">
        <f>IF($AH360="","",INDEX('Per Line'!$C$2:$C$1601,$AH360)&amp;"")</f>
        <v/>
      </c>
      <c r="F360">
        <f>IF($AH360="","",INDEX('Per Line'!$E$2:$E$1601,$AH360)&amp;"")</f>
        <v/>
      </c>
      <c r="G360" s="11">
        <f>IF($AH360="","",INDEX('Per Line'!$F$2:$F$1601,$AH360))</f>
        <v/>
      </c>
      <c r="H360">
        <f>IF($AH360="","",INDEX('Per Line'!$G$2:$G$1601,$AH360)&amp;"")</f>
        <v/>
      </c>
      <c r="I360">
        <f>IF($AH360="","",INDEX('Per Line'!$I$2:$I$1601,$AH360)&amp;"")</f>
        <v/>
      </c>
      <c r="J360">
        <f>IF($AH360="","",INDEX('Per Line'!$J$2:$J$1601,$AH360)&amp;"")</f>
        <v/>
      </c>
      <c r="K360">
        <f>IF($AH360="","",INDEX('Per Line'!$K$2:$K$1601,$AH360)&amp;"")</f>
        <v/>
      </c>
      <c r="L360">
        <f>IF($AH360="","",INDEX('Per Line'!$L$2:$L$1601,$AH360)&amp;"")</f>
        <v/>
      </c>
      <c r="M360">
        <f>IF($AH360="","",INDEX('Per Line'!$M$2:$M$1601,$AH360))</f>
        <v/>
      </c>
      <c r="N360" s="7">
        <f>IF($AH360="","",M360*AE360/100)</f>
        <v/>
      </c>
      <c r="O360">
        <f>IF($AH360="","",INDEX('Per Line'!$Z$2:$Z$1601,$AH360)&amp;"")</f>
        <v/>
      </c>
      <c r="P360">
        <f>IF($AH360="","",INDEX('Per Line'!$AC$2:$AC$1601,$AH360)&amp;"")</f>
        <v/>
      </c>
      <c r="Q360">
        <f>IF($AH360="","",INDEX('Per Line'!$AD$2:$AD$1601,$AH360))</f>
        <v/>
      </c>
      <c r="R360">
        <f>IF($AH360="","",IF(AND(ISNUMBER(Q360),Q360&gt;0),AF360&gt;Q360,FALSE))</f>
        <v/>
      </c>
      <c r="S360">
        <f>IF($AH360="","",INDEX('Per Line'!$AH$2:$AH$1601,$AH360)&amp;"")</f>
        <v/>
      </c>
      <c r="T360" s="11">
        <f>IF($AH360="","",INDEX('Per Line'!$AI$2:$AI$1601,$AH360))</f>
        <v/>
      </c>
      <c r="U360">
        <f>IF($AH360="","",Settings!$C$8)</f>
        <v/>
      </c>
      <c r="V360" s="7">
        <f>IF($AH360="","",SUMIFS('Per Line'!$V$2:$V$1601,'Per Line'!$D$2:$D$1601,$B360,'Per Line'!$AN$2:$AN$1601,1))</f>
        <v/>
      </c>
      <c r="W360" s="7">
        <f>IF($AH360="","",V360*U360)</f>
        <v/>
      </c>
      <c r="X360">
        <f>IF($AH360="","",Settings!$C$7)</f>
        <v/>
      </c>
      <c r="Y360" s="7">
        <f>IF($AH360="","",SUMIFS('Per Line'!$V$2:$V$1601,'Per Line'!$D$2:$D$1601,$B360,'Per Line'!$AM$2:$AM$1601,0,'Per Line'!$AN$2:$AN$1601,0))</f>
        <v/>
      </c>
      <c r="Z360" s="7">
        <f>IF($AH360="","",Y360*X360)</f>
        <v/>
      </c>
      <c r="AA360">
        <f>IF($AH360="","",Settings!$C$6)</f>
        <v/>
      </c>
      <c r="AB360" s="7">
        <f>IF($AH360="","",SUMIFS('Per Line'!$V$2:$V$1601,'Per Line'!$D$2:$D$1601,$B360,'Per Line'!$AM$2:$AM$1601,1,'Per Line'!$AN$2:$AN$1601,0))</f>
        <v/>
      </c>
      <c r="AC360" s="7">
        <f>IF($AH360="","",AB360*AA360)</f>
        <v/>
      </c>
      <c r="AD360" s="7">
        <f>IF($AH360="","",AC360+Z360+W360)</f>
        <v/>
      </c>
      <c r="AE360" s="7">
        <f>IF($AH360="","",AF360-AD360)</f>
        <v/>
      </c>
      <c r="AF360" s="7">
        <f>IF($AH360="","",Y360+AB360+V360)</f>
        <v/>
      </c>
      <c r="AG360" s="7">
        <f>IF($AH360="","",AF360-AD360-N360)</f>
        <v/>
      </c>
      <c r="AH360" s="13">
        <f>IF(ROWS($AH$2:$AH360)&lt;=MAX('Per Line'!$AL$2:$AL$1601),MATCH(ROWS($AH$2:$AH360),'Per Line'!$AL$2:$AL$1601,0),"")</f>
        <v/>
      </c>
    </row>
    <row r="361">
      <c r="A361" s="12" t="n"/>
      <c r="B361">
        <f>IF($AH361="","",INDEX('Per Line'!$D$2:$D$1601,$AH361)&amp;"")</f>
        <v/>
      </c>
      <c r="C361">
        <f>IF($AH361="","",INDEX('Per Line'!$A$2:$A$1601,$AH361)&amp;"")</f>
        <v/>
      </c>
      <c r="D361">
        <f>IF($AH361="","",INDEX('Per Line'!$B$2:$B$1601,$AH361))</f>
        <v/>
      </c>
      <c r="E361">
        <f>IF($AH361="","",INDEX('Per Line'!$C$2:$C$1601,$AH361)&amp;"")</f>
        <v/>
      </c>
      <c r="F361">
        <f>IF($AH361="","",INDEX('Per Line'!$E$2:$E$1601,$AH361)&amp;"")</f>
        <v/>
      </c>
      <c r="G361" s="11">
        <f>IF($AH361="","",INDEX('Per Line'!$F$2:$F$1601,$AH361))</f>
        <v/>
      </c>
      <c r="H361">
        <f>IF($AH361="","",INDEX('Per Line'!$G$2:$G$1601,$AH361)&amp;"")</f>
        <v/>
      </c>
      <c r="I361">
        <f>IF($AH361="","",INDEX('Per Line'!$I$2:$I$1601,$AH361)&amp;"")</f>
        <v/>
      </c>
      <c r="J361">
        <f>IF($AH361="","",INDEX('Per Line'!$J$2:$J$1601,$AH361)&amp;"")</f>
        <v/>
      </c>
      <c r="K361">
        <f>IF($AH361="","",INDEX('Per Line'!$K$2:$K$1601,$AH361)&amp;"")</f>
        <v/>
      </c>
      <c r="L361">
        <f>IF($AH361="","",INDEX('Per Line'!$L$2:$L$1601,$AH361)&amp;"")</f>
        <v/>
      </c>
      <c r="M361">
        <f>IF($AH361="","",INDEX('Per Line'!$M$2:$M$1601,$AH361))</f>
        <v/>
      </c>
      <c r="N361" s="7">
        <f>IF($AH361="","",M361*AE361/100)</f>
        <v/>
      </c>
      <c r="O361">
        <f>IF($AH361="","",INDEX('Per Line'!$Z$2:$Z$1601,$AH361)&amp;"")</f>
        <v/>
      </c>
      <c r="P361">
        <f>IF($AH361="","",INDEX('Per Line'!$AC$2:$AC$1601,$AH361)&amp;"")</f>
        <v/>
      </c>
      <c r="Q361">
        <f>IF($AH361="","",INDEX('Per Line'!$AD$2:$AD$1601,$AH361))</f>
        <v/>
      </c>
      <c r="R361">
        <f>IF($AH361="","",IF(AND(ISNUMBER(Q361),Q361&gt;0),AF361&gt;Q361,FALSE))</f>
        <v/>
      </c>
      <c r="S361">
        <f>IF($AH361="","",INDEX('Per Line'!$AH$2:$AH$1601,$AH361)&amp;"")</f>
        <v/>
      </c>
      <c r="T361" s="11">
        <f>IF($AH361="","",INDEX('Per Line'!$AI$2:$AI$1601,$AH361))</f>
        <v/>
      </c>
      <c r="U361">
        <f>IF($AH361="","",Settings!$C$8)</f>
        <v/>
      </c>
      <c r="V361" s="7">
        <f>IF($AH361="","",SUMIFS('Per Line'!$V$2:$V$1601,'Per Line'!$D$2:$D$1601,$B361,'Per Line'!$AN$2:$AN$1601,1))</f>
        <v/>
      </c>
      <c r="W361" s="7">
        <f>IF($AH361="","",V361*U361)</f>
        <v/>
      </c>
      <c r="X361">
        <f>IF($AH361="","",Settings!$C$7)</f>
        <v/>
      </c>
      <c r="Y361" s="7">
        <f>IF($AH361="","",SUMIFS('Per Line'!$V$2:$V$1601,'Per Line'!$D$2:$D$1601,$B361,'Per Line'!$AM$2:$AM$1601,0,'Per Line'!$AN$2:$AN$1601,0))</f>
        <v/>
      </c>
      <c r="Z361" s="7">
        <f>IF($AH361="","",Y361*X361)</f>
        <v/>
      </c>
      <c r="AA361">
        <f>IF($AH361="","",Settings!$C$6)</f>
        <v/>
      </c>
      <c r="AB361" s="7">
        <f>IF($AH361="","",SUMIFS('Per Line'!$V$2:$V$1601,'Per Line'!$D$2:$D$1601,$B361,'Per Line'!$AM$2:$AM$1601,1,'Per Line'!$AN$2:$AN$1601,0))</f>
        <v/>
      </c>
      <c r="AC361" s="7">
        <f>IF($AH361="","",AB361*AA361)</f>
        <v/>
      </c>
      <c r="AD361" s="7">
        <f>IF($AH361="","",AC361+Z361+W361)</f>
        <v/>
      </c>
      <c r="AE361" s="7">
        <f>IF($AH361="","",AF361-AD361)</f>
        <v/>
      </c>
      <c r="AF361" s="7">
        <f>IF($AH361="","",Y361+AB361+V361)</f>
        <v/>
      </c>
      <c r="AG361" s="7">
        <f>IF($AH361="","",AF361-AD361-N361)</f>
        <v/>
      </c>
      <c r="AH361" s="13">
        <f>IF(ROWS($AH$2:$AH361)&lt;=MAX('Per Line'!$AL$2:$AL$1601),MATCH(ROWS($AH$2:$AH361),'Per Line'!$AL$2:$AL$1601,0),"")</f>
        <v/>
      </c>
    </row>
    <row r="362">
      <c r="A362" s="12" t="n"/>
      <c r="B362">
        <f>IF($AH362="","",INDEX('Per Line'!$D$2:$D$1601,$AH362)&amp;"")</f>
        <v/>
      </c>
      <c r="C362">
        <f>IF($AH362="","",INDEX('Per Line'!$A$2:$A$1601,$AH362)&amp;"")</f>
        <v/>
      </c>
      <c r="D362">
        <f>IF($AH362="","",INDEX('Per Line'!$B$2:$B$1601,$AH362))</f>
        <v/>
      </c>
      <c r="E362">
        <f>IF($AH362="","",INDEX('Per Line'!$C$2:$C$1601,$AH362)&amp;"")</f>
        <v/>
      </c>
      <c r="F362">
        <f>IF($AH362="","",INDEX('Per Line'!$E$2:$E$1601,$AH362)&amp;"")</f>
        <v/>
      </c>
      <c r="G362" s="11">
        <f>IF($AH362="","",INDEX('Per Line'!$F$2:$F$1601,$AH362))</f>
        <v/>
      </c>
      <c r="H362">
        <f>IF($AH362="","",INDEX('Per Line'!$G$2:$G$1601,$AH362)&amp;"")</f>
        <v/>
      </c>
      <c r="I362">
        <f>IF($AH362="","",INDEX('Per Line'!$I$2:$I$1601,$AH362)&amp;"")</f>
        <v/>
      </c>
      <c r="J362">
        <f>IF($AH362="","",INDEX('Per Line'!$J$2:$J$1601,$AH362)&amp;"")</f>
        <v/>
      </c>
      <c r="K362">
        <f>IF($AH362="","",INDEX('Per Line'!$K$2:$K$1601,$AH362)&amp;"")</f>
        <v/>
      </c>
      <c r="L362">
        <f>IF($AH362="","",INDEX('Per Line'!$L$2:$L$1601,$AH362)&amp;"")</f>
        <v/>
      </c>
      <c r="M362">
        <f>IF($AH362="","",INDEX('Per Line'!$M$2:$M$1601,$AH362))</f>
        <v/>
      </c>
      <c r="N362" s="7">
        <f>IF($AH362="","",M362*AE362/100)</f>
        <v/>
      </c>
      <c r="O362">
        <f>IF($AH362="","",INDEX('Per Line'!$Z$2:$Z$1601,$AH362)&amp;"")</f>
        <v/>
      </c>
      <c r="P362">
        <f>IF($AH362="","",INDEX('Per Line'!$AC$2:$AC$1601,$AH362)&amp;"")</f>
        <v/>
      </c>
      <c r="Q362">
        <f>IF($AH362="","",INDEX('Per Line'!$AD$2:$AD$1601,$AH362))</f>
        <v/>
      </c>
      <c r="R362">
        <f>IF($AH362="","",IF(AND(ISNUMBER(Q362),Q362&gt;0),AF362&gt;Q362,FALSE))</f>
        <v/>
      </c>
      <c r="S362">
        <f>IF($AH362="","",INDEX('Per Line'!$AH$2:$AH$1601,$AH362)&amp;"")</f>
        <v/>
      </c>
      <c r="T362" s="11">
        <f>IF($AH362="","",INDEX('Per Line'!$AI$2:$AI$1601,$AH362))</f>
        <v/>
      </c>
      <c r="U362">
        <f>IF($AH362="","",Settings!$C$8)</f>
        <v/>
      </c>
      <c r="V362" s="7">
        <f>IF($AH362="","",SUMIFS('Per Line'!$V$2:$V$1601,'Per Line'!$D$2:$D$1601,$B362,'Per Line'!$AN$2:$AN$1601,1))</f>
        <v/>
      </c>
      <c r="W362" s="7">
        <f>IF($AH362="","",V362*U362)</f>
        <v/>
      </c>
      <c r="X362">
        <f>IF($AH362="","",Settings!$C$7)</f>
        <v/>
      </c>
      <c r="Y362" s="7">
        <f>IF($AH362="","",SUMIFS('Per Line'!$V$2:$V$1601,'Per Line'!$D$2:$D$1601,$B362,'Per Line'!$AM$2:$AM$1601,0,'Per Line'!$AN$2:$AN$1601,0))</f>
        <v/>
      </c>
      <c r="Z362" s="7">
        <f>IF($AH362="","",Y362*X362)</f>
        <v/>
      </c>
      <c r="AA362">
        <f>IF($AH362="","",Settings!$C$6)</f>
        <v/>
      </c>
      <c r="AB362" s="7">
        <f>IF($AH362="","",SUMIFS('Per Line'!$V$2:$V$1601,'Per Line'!$D$2:$D$1601,$B362,'Per Line'!$AM$2:$AM$1601,1,'Per Line'!$AN$2:$AN$1601,0))</f>
        <v/>
      </c>
      <c r="AC362" s="7">
        <f>IF($AH362="","",AB362*AA362)</f>
        <v/>
      </c>
      <c r="AD362" s="7">
        <f>IF($AH362="","",AC362+Z362+W362)</f>
        <v/>
      </c>
      <c r="AE362" s="7">
        <f>IF($AH362="","",AF362-AD362)</f>
        <v/>
      </c>
      <c r="AF362" s="7">
        <f>IF($AH362="","",Y362+AB362+V362)</f>
        <v/>
      </c>
      <c r="AG362" s="7">
        <f>IF($AH362="","",AF362-AD362-N362)</f>
        <v/>
      </c>
      <c r="AH362" s="13">
        <f>IF(ROWS($AH$2:$AH362)&lt;=MAX('Per Line'!$AL$2:$AL$1601),MATCH(ROWS($AH$2:$AH362),'Per Line'!$AL$2:$AL$1601,0),"")</f>
        <v/>
      </c>
    </row>
    <row r="363">
      <c r="A363" s="12" t="n"/>
      <c r="B363">
        <f>IF($AH363="","",INDEX('Per Line'!$D$2:$D$1601,$AH363)&amp;"")</f>
        <v/>
      </c>
      <c r="C363">
        <f>IF($AH363="","",INDEX('Per Line'!$A$2:$A$1601,$AH363)&amp;"")</f>
        <v/>
      </c>
      <c r="D363">
        <f>IF($AH363="","",INDEX('Per Line'!$B$2:$B$1601,$AH363))</f>
        <v/>
      </c>
      <c r="E363">
        <f>IF($AH363="","",INDEX('Per Line'!$C$2:$C$1601,$AH363)&amp;"")</f>
        <v/>
      </c>
      <c r="F363">
        <f>IF($AH363="","",INDEX('Per Line'!$E$2:$E$1601,$AH363)&amp;"")</f>
        <v/>
      </c>
      <c r="G363" s="11">
        <f>IF($AH363="","",INDEX('Per Line'!$F$2:$F$1601,$AH363))</f>
        <v/>
      </c>
      <c r="H363">
        <f>IF($AH363="","",INDEX('Per Line'!$G$2:$G$1601,$AH363)&amp;"")</f>
        <v/>
      </c>
      <c r="I363">
        <f>IF($AH363="","",INDEX('Per Line'!$I$2:$I$1601,$AH363)&amp;"")</f>
        <v/>
      </c>
      <c r="J363">
        <f>IF($AH363="","",INDEX('Per Line'!$J$2:$J$1601,$AH363)&amp;"")</f>
        <v/>
      </c>
      <c r="K363">
        <f>IF($AH363="","",INDEX('Per Line'!$K$2:$K$1601,$AH363)&amp;"")</f>
        <v/>
      </c>
      <c r="L363">
        <f>IF($AH363="","",INDEX('Per Line'!$L$2:$L$1601,$AH363)&amp;"")</f>
        <v/>
      </c>
      <c r="M363">
        <f>IF($AH363="","",INDEX('Per Line'!$M$2:$M$1601,$AH363))</f>
        <v/>
      </c>
      <c r="N363" s="7">
        <f>IF($AH363="","",M363*AE363/100)</f>
        <v/>
      </c>
      <c r="O363">
        <f>IF($AH363="","",INDEX('Per Line'!$Z$2:$Z$1601,$AH363)&amp;"")</f>
        <v/>
      </c>
      <c r="P363">
        <f>IF($AH363="","",INDEX('Per Line'!$AC$2:$AC$1601,$AH363)&amp;"")</f>
        <v/>
      </c>
      <c r="Q363">
        <f>IF($AH363="","",INDEX('Per Line'!$AD$2:$AD$1601,$AH363))</f>
        <v/>
      </c>
      <c r="R363">
        <f>IF($AH363="","",IF(AND(ISNUMBER(Q363),Q363&gt;0),AF363&gt;Q363,FALSE))</f>
        <v/>
      </c>
      <c r="S363">
        <f>IF($AH363="","",INDEX('Per Line'!$AH$2:$AH$1601,$AH363)&amp;"")</f>
        <v/>
      </c>
      <c r="T363" s="11">
        <f>IF($AH363="","",INDEX('Per Line'!$AI$2:$AI$1601,$AH363))</f>
        <v/>
      </c>
      <c r="U363">
        <f>IF($AH363="","",Settings!$C$8)</f>
        <v/>
      </c>
      <c r="V363" s="7">
        <f>IF($AH363="","",SUMIFS('Per Line'!$V$2:$V$1601,'Per Line'!$D$2:$D$1601,$B363,'Per Line'!$AN$2:$AN$1601,1))</f>
        <v/>
      </c>
      <c r="W363" s="7">
        <f>IF($AH363="","",V363*U363)</f>
        <v/>
      </c>
      <c r="X363">
        <f>IF($AH363="","",Settings!$C$7)</f>
        <v/>
      </c>
      <c r="Y363" s="7">
        <f>IF($AH363="","",SUMIFS('Per Line'!$V$2:$V$1601,'Per Line'!$D$2:$D$1601,$B363,'Per Line'!$AM$2:$AM$1601,0,'Per Line'!$AN$2:$AN$1601,0))</f>
        <v/>
      </c>
      <c r="Z363" s="7">
        <f>IF($AH363="","",Y363*X363)</f>
        <v/>
      </c>
      <c r="AA363">
        <f>IF($AH363="","",Settings!$C$6)</f>
        <v/>
      </c>
      <c r="AB363" s="7">
        <f>IF($AH363="","",SUMIFS('Per Line'!$V$2:$V$1601,'Per Line'!$D$2:$D$1601,$B363,'Per Line'!$AM$2:$AM$1601,1,'Per Line'!$AN$2:$AN$1601,0))</f>
        <v/>
      </c>
      <c r="AC363" s="7">
        <f>IF($AH363="","",AB363*AA363)</f>
        <v/>
      </c>
      <c r="AD363" s="7">
        <f>IF($AH363="","",AC363+Z363+W363)</f>
        <v/>
      </c>
      <c r="AE363" s="7">
        <f>IF($AH363="","",AF363-AD363)</f>
        <v/>
      </c>
      <c r="AF363" s="7">
        <f>IF($AH363="","",Y363+AB363+V363)</f>
        <v/>
      </c>
      <c r="AG363" s="7">
        <f>IF($AH363="","",AF363-AD363-N363)</f>
        <v/>
      </c>
      <c r="AH363" s="13">
        <f>IF(ROWS($AH$2:$AH363)&lt;=MAX('Per Line'!$AL$2:$AL$1601),MATCH(ROWS($AH$2:$AH363),'Per Line'!$AL$2:$AL$1601,0),"")</f>
        <v/>
      </c>
    </row>
    <row r="364">
      <c r="A364" s="12" t="n"/>
      <c r="B364">
        <f>IF($AH364="","",INDEX('Per Line'!$D$2:$D$1601,$AH364)&amp;"")</f>
        <v/>
      </c>
      <c r="C364">
        <f>IF($AH364="","",INDEX('Per Line'!$A$2:$A$1601,$AH364)&amp;"")</f>
        <v/>
      </c>
      <c r="D364">
        <f>IF($AH364="","",INDEX('Per Line'!$B$2:$B$1601,$AH364))</f>
        <v/>
      </c>
      <c r="E364">
        <f>IF($AH364="","",INDEX('Per Line'!$C$2:$C$1601,$AH364)&amp;"")</f>
        <v/>
      </c>
      <c r="F364">
        <f>IF($AH364="","",INDEX('Per Line'!$E$2:$E$1601,$AH364)&amp;"")</f>
        <v/>
      </c>
      <c r="G364" s="11">
        <f>IF($AH364="","",INDEX('Per Line'!$F$2:$F$1601,$AH364))</f>
        <v/>
      </c>
      <c r="H364">
        <f>IF($AH364="","",INDEX('Per Line'!$G$2:$G$1601,$AH364)&amp;"")</f>
        <v/>
      </c>
      <c r="I364">
        <f>IF($AH364="","",INDEX('Per Line'!$I$2:$I$1601,$AH364)&amp;"")</f>
        <v/>
      </c>
      <c r="J364">
        <f>IF($AH364="","",INDEX('Per Line'!$J$2:$J$1601,$AH364)&amp;"")</f>
        <v/>
      </c>
      <c r="K364">
        <f>IF($AH364="","",INDEX('Per Line'!$K$2:$K$1601,$AH364)&amp;"")</f>
        <v/>
      </c>
      <c r="L364">
        <f>IF($AH364="","",INDEX('Per Line'!$L$2:$L$1601,$AH364)&amp;"")</f>
        <v/>
      </c>
      <c r="M364">
        <f>IF($AH364="","",INDEX('Per Line'!$M$2:$M$1601,$AH364))</f>
        <v/>
      </c>
      <c r="N364" s="7">
        <f>IF($AH364="","",M364*AE364/100)</f>
        <v/>
      </c>
      <c r="O364">
        <f>IF($AH364="","",INDEX('Per Line'!$Z$2:$Z$1601,$AH364)&amp;"")</f>
        <v/>
      </c>
      <c r="P364">
        <f>IF($AH364="","",INDEX('Per Line'!$AC$2:$AC$1601,$AH364)&amp;"")</f>
        <v/>
      </c>
      <c r="Q364">
        <f>IF($AH364="","",INDEX('Per Line'!$AD$2:$AD$1601,$AH364))</f>
        <v/>
      </c>
      <c r="R364">
        <f>IF($AH364="","",IF(AND(ISNUMBER(Q364),Q364&gt;0),AF364&gt;Q364,FALSE))</f>
        <v/>
      </c>
      <c r="S364">
        <f>IF($AH364="","",INDEX('Per Line'!$AH$2:$AH$1601,$AH364)&amp;"")</f>
        <v/>
      </c>
      <c r="T364" s="11">
        <f>IF($AH364="","",INDEX('Per Line'!$AI$2:$AI$1601,$AH364))</f>
        <v/>
      </c>
      <c r="U364">
        <f>IF($AH364="","",Settings!$C$8)</f>
        <v/>
      </c>
      <c r="V364" s="7">
        <f>IF($AH364="","",SUMIFS('Per Line'!$V$2:$V$1601,'Per Line'!$D$2:$D$1601,$B364,'Per Line'!$AN$2:$AN$1601,1))</f>
        <v/>
      </c>
      <c r="W364" s="7">
        <f>IF($AH364="","",V364*U364)</f>
        <v/>
      </c>
      <c r="X364">
        <f>IF($AH364="","",Settings!$C$7)</f>
        <v/>
      </c>
      <c r="Y364" s="7">
        <f>IF($AH364="","",SUMIFS('Per Line'!$V$2:$V$1601,'Per Line'!$D$2:$D$1601,$B364,'Per Line'!$AM$2:$AM$1601,0,'Per Line'!$AN$2:$AN$1601,0))</f>
        <v/>
      </c>
      <c r="Z364" s="7">
        <f>IF($AH364="","",Y364*X364)</f>
        <v/>
      </c>
      <c r="AA364">
        <f>IF($AH364="","",Settings!$C$6)</f>
        <v/>
      </c>
      <c r="AB364" s="7">
        <f>IF($AH364="","",SUMIFS('Per Line'!$V$2:$V$1601,'Per Line'!$D$2:$D$1601,$B364,'Per Line'!$AM$2:$AM$1601,1,'Per Line'!$AN$2:$AN$1601,0))</f>
        <v/>
      </c>
      <c r="AC364" s="7">
        <f>IF($AH364="","",AB364*AA364)</f>
        <v/>
      </c>
      <c r="AD364" s="7">
        <f>IF($AH364="","",AC364+Z364+W364)</f>
        <v/>
      </c>
      <c r="AE364" s="7">
        <f>IF($AH364="","",AF364-AD364)</f>
        <v/>
      </c>
      <c r="AF364" s="7">
        <f>IF($AH364="","",Y364+AB364+V364)</f>
        <v/>
      </c>
      <c r="AG364" s="7">
        <f>IF($AH364="","",AF364-AD364-N364)</f>
        <v/>
      </c>
      <c r="AH364" s="13">
        <f>IF(ROWS($AH$2:$AH364)&lt;=MAX('Per Line'!$AL$2:$AL$1601),MATCH(ROWS($AH$2:$AH364),'Per Line'!$AL$2:$AL$1601,0),"")</f>
        <v/>
      </c>
    </row>
    <row r="365">
      <c r="A365" s="12" t="n"/>
      <c r="B365">
        <f>IF($AH365="","",INDEX('Per Line'!$D$2:$D$1601,$AH365)&amp;"")</f>
        <v/>
      </c>
      <c r="C365">
        <f>IF($AH365="","",INDEX('Per Line'!$A$2:$A$1601,$AH365)&amp;"")</f>
        <v/>
      </c>
      <c r="D365">
        <f>IF($AH365="","",INDEX('Per Line'!$B$2:$B$1601,$AH365))</f>
        <v/>
      </c>
      <c r="E365">
        <f>IF($AH365="","",INDEX('Per Line'!$C$2:$C$1601,$AH365)&amp;"")</f>
        <v/>
      </c>
      <c r="F365">
        <f>IF($AH365="","",INDEX('Per Line'!$E$2:$E$1601,$AH365)&amp;"")</f>
        <v/>
      </c>
      <c r="G365" s="11">
        <f>IF($AH365="","",INDEX('Per Line'!$F$2:$F$1601,$AH365))</f>
        <v/>
      </c>
      <c r="H365">
        <f>IF($AH365="","",INDEX('Per Line'!$G$2:$G$1601,$AH365)&amp;"")</f>
        <v/>
      </c>
      <c r="I365">
        <f>IF($AH365="","",INDEX('Per Line'!$I$2:$I$1601,$AH365)&amp;"")</f>
        <v/>
      </c>
      <c r="J365">
        <f>IF($AH365="","",INDEX('Per Line'!$J$2:$J$1601,$AH365)&amp;"")</f>
        <v/>
      </c>
      <c r="K365">
        <f>IF($AH365="","",INDEX('Per Line'!$K$2:$K$1601,$AH365)&amp;"")</f>
        <v/>
      </c>
      <c r="L365">
        <f>IF($AH365="","",INDEX('Per Line'!$L$2:$L$1601,$AH365)&amp;"")</f>
        <v/>
      </c>
      <c r="M365">
        <f>IF($AH365="","",INDEX('Per Line'!$M$2:$M$1601,$AH365))</f>
        <v/>
      </c>
      <c r="N365" s="7">
        <f>IF($AH365="","",M365*AE365/100)</f>
        <v/>
      </c>
      <c r="O365">
        <f>IF($AH365="","",INDEX('Per Line'!$Z$2:$Z$1601,$AH365)&amp;"")</f>
        <v/>
      </c>
      <c r="P365">
        <f>IF($AH365="","",INDEX('Per Line'!$AC$2:$AC$1601,$AH365)&amp;"")</f>
        <v/>
      </c>
      <c r="Q365">
        <f>IF($AH365="","",INDEX('Per Line'!$AD$2:$AD$1601,$AH365))</f>
        <v/>
      </c>
      <c r="R365">
        <f>IF($AH365="","",IF(AND(ISNUMBER(Q365),Q365&gt;0),AF365&gt;Q365,FALSE))</f>
        <v/>
      </c>
      <c r="S365">
        <f>IF($AH365="","",INDEX('Per Line'!$AH$2:$AH$1601,$AH365)&amp;"")</f>
        <v/>
      </c>
      <c r="T365" s="11">
        <f>IF($AH365="","",INDEX('Per Line'!$AI$2:$AI$1601,$AH365))</f>
        <v/>
      </c>
      <c r="U365">
        <f>IF($AH365="","",Settings!$C$8)</f>
        <v/>
      </c>
      <c r="V365" s="7">
        <f>IF($AH365="","",SUMIFS('Per Line'!$V$2:$V$1601,'Per Line'!$D$2:$D$1601,$B365,'Per Line'!$AN$2:$AN$1601,1))</f>
        <v/>
      </c>
      <c r="W365" s="7">
        <f>IF($AH365="","",V365*U365)</f>
        <v/>
      </c>
      <c r="X365">
        <f>IF($AH365="","",Settings!$C$7)</f>
        <v/>
      </c>
      <c r="Y365" s="7">
        <f>IF($AH365="","",SUMIFS('Per Line'!$V$2:$V$1601,'Per Line'!$D$2:$D$1601,$B365,'Per Line'!$AM$2:$AM$1601,0,'Per Line'!$AN$2:$AN$1601,0))</f>
        <v/>
      </c>
      <c r="Z365" s="7">
        <f>IF($AH365="","",Y365*X365)</f>
        <v/>
      </c>
      <c r="AA365">
        <f>IF($AH365="","",Settings!$C$6)</f>
        <v/>
      </c>
      <c r="AB365" s="7">
        <f>IF($AH365="","",SUMIFS('Per Line'!$V$2:$V$1601,'Per Line'!$D$2:$D$1601,$B365,'Per Line'!$AM$2:$AM$1601,1,'Per Line'!$AN$2:$AN$1601,0))</f>
        <v/>
      </c>
      <c r="AC365" s="7">
        <f>IF($AH365="","",AB365*AA365)</f>
        <v/>
      </c>
      <c r="AD365" s="7">
        <f>IF($AH365="","",AC365+Z365+W365)</f>
        <v/>
      </c>
      <c r="AE365" s="7">
        <f>IF($AH365="","",AF365-AD365)</f>
        <v/>
      </c>
      <c r="AF365" s="7">
        <f>IF($AH365="","",Y365+AB365+V365)</f>
        <v/>
      </c>
      <c r="AG365" s="7">
        <f>IF($AH365="","",AF365-AD365-N365)</f>
        <v/>
      </c>
      <c r="AH365" s="13">
        <f>IF(ROWS($AH$2:$AH365)&lt;=MAX('Per Line'!$AL$2:$AL$1601),MATCH(ROWS($AH$2:$AH365),'Per Line'!$AL$2:$AL$1601,0),"")</f>
        <v/>
      </c>
    </row>
    <row r="366">
      <c r="A366" s="12" t="n"/>
      <c r="B366">
        <f>IF($AH366="","",INDEX('Per Line'!$D$2:$D$1601,$AH366)&amp;"")</f>
        <v/>
      </c>
      <c r="C366">
        <f>IF($AH366="","",INDEX('Per Line'!$A$2:$A$1601,$AH366)&amp;"")</f>
        <v/>
      </c>
      <c r="D366">
        <f>IF($AH366="","",INDEX('Per Line'!$B$2:$B$1601,$AH366))</f>
        <v/>
      </c>
      <c r="E366">
        <f>IF($AH366="","",INDEX('Per Line'!$C$2:$C$1601,$AH366)&amp;"")</f>
        <v/>
      </c>
      <c r="F366">
        <f>IF($AH366="","",INDEX('Per Line'!$E$2:$E$1601,$AH366)&amp;"")</f>
        <v/>
      </c>
      <c r="G366" s="11">
        <f>IF($AH366="","",INDEX('Per Line'!$F$2:$F$1601,$AH366))</f>
        <v/>
      </c>
      <c r="H366">
        <f>IF($AH366="","",INDEX('Per Line'!$G$2:$G$1601,$AH366)&amp;"")</f>
        <v/>
      </c>
      <c r="I366">
        <f>IF($AH366="","",INDEX('Per Line'!$I$2:$I$1601,$AH366)&amp;"")</f>
        <v/>
      </c>
      <c r="J366">
        <f>IF($AH366="","",INDEX('Per Line'!$J$2:$J$1601,$AH366)&amp;"")</f>
        <v/>
      </c>
      <c r="K366">
        <f>IF($AH366="","",INDEX('Per Line'!$K$2:$K$1601,$AH366)&amp;"")</f>
        <v/>
      </c>
      <c r="L366">
        <f>IF($AH366="","",INDEX('Per Line'!$L$2:$L$1601,$AH366)&amp;"")</f>
        <v/>
      </c>
      <c r="M366">
        <f>IF($AH366="","",INDEX('Per Line'!$M$2:$M$1601,$AH366))</f>
        <v/>
      </c>
      <c r="N366" s="7">
        <f>IF($AH366="","",M366*AE366/100)</f>
        <v/>
      </c>
      <c r="O366">
        <f>IF($AH366="","",INDEX('Per Line'!$Z$2:$Z$1601,$AH366)&amp;"")</f>
        <v/>
      </c>
      <c r="P366">
        <f>IF($AH366="","",INDEX('Per Line'!$AC$2:$AC$1601,$AH366)&amp;"")</f>
        <v/>
      </c>
      <c r="Q366">
        <f>IF($AH366="","",INDEX('Per Line'!$AD$2:$AD$1601,$AH366))</f>
        <v/>
      </c>
      <c r="R366">
        <f>IF($AH366="","",IF(AND(ISNUMBER(Q366),Q366&gt;0),AF366&gt;Q366,FALSE))</f>
        <v/>
      </c>
      <c r="S366">
        <f>IF($AH366="","",INDEX('Per Line'!$AH$2:$AH$1601,$AH366)&amp;"")</f>
        <v/>
      </c>
      <c r="T366" s="11">
        <f>IF($AH366="","",INDEX('Per Line'!$AI$2:$AI$1601,$AH366))</f>
        <v/>
      </c>
      <c r="U366">
        <f>IF($AH366="","",Settings!$C$8)</f>
        <v/>
      </c>
      <c r="V366" s="7">
        <f>IF($AH366="","",SUMIFS('Per Line'!$V$2:$V$1601,'Per Line'!$D$2:$D$1601,$B366,'Per Line'!$AN$2:$AN$1601,1))</f>
        <v/>
      </c>
      <c r="W366" s="7">
        <f>IF($AH366="","",V366*U366)</f>
        <v/>
      </c>
      <c r="X366">
        <f>IF($AH366="","",Settings!$C$7)</f>
        <v/>
      </c>
      <c r="Y366" s="7">
        <f>IF($AH366="","",SUMIFS('Per Line'!$V$2:$V$1601,'Per Line'!$D$2:$D$1601,$B366,'Per Line'!$AM$2:$AM$1601,0,'Per Line'!$AN$2:$AN$1601,0))</f>
        <v/>
      </c>
      <c r="Z366" s="7">
        <f>IF($AH366="","",Y366*X366)</f>
        <v/>
      </c>
      <c r="AA366">
        <f>IF($AH366="","",Settings!$C$6)</f>
        <v/>
      </c>
      <c r="AB366" s="7">
        <f>IF($AH366="","",SUMIFS('Per Line'!$V$2:$V$1601,'Per Line'!$D$2:$D$1601,$B366,'Per Line'!$AM$2:$AM$1601,1,'Per Line'!$AN$2:$AN$1601,0))</f>
        <v/>
      </c>
      <c r="AC366" s="7">
        <f>IF($AH366="","",AB366*AA366)</f>
        <v/>
      </c>
      <c r="AD366" s="7">
        <f>IF($AH366="","",AC366+Z366+W366)</f>
        <v/>
      </c>
      <c r="AE366" s="7">
        <f>IF($AH366="","",AF366-AD366)</f>
        <v/>
      </c>
      <c r="AF366" s="7">
        <f>IF($AH366="","",Y366+AB366+V366)</f>
        <v/>
      </c>
      <c r="AG366" s="7">
        <f>IF($AH366="","",AF366-AD366-N366)</f>
        <v/>
      </c>
      <c r="AH366" s="13">
        <f>IF(ROWS($AH$2:$AH366)&lt;=MAX('Per Line'!$AL$2:$AL$1601),MATCH(ROWS($AH$2:$AH366),'Per Line'!$AL$2:$AL$1601,0),"")</f>
        <v/>
      </c>
    </row>
    <row r="367">
      <c r="A367" s="12" t="n"/>
      <c r="B367">
        <f>IF($AH367="","",INDEX('Per Line'!$D$2:$D$1601,$AH367)&amp;"")</f>
        <v/>
      </c>
      <c r="C367">
        <f>IF($AH367="","",INDEX('Per Line'!$A$2:$A$1601,$AH367)&amp;"")</f>
        <v/>
      </c>
      <c r="D367">
        <f>IF($AH367="","",INDEX('Per Line'!$B$2:$B$1601,$AH367))</f>
        <v/>
      </c>
      <c r="E367">
        <f>IF($AH367="","",INDEX('Per Line'!$C$2:$C$1601,$AH367)&amp;"")</f>
        <v/>
      </c>
      <c r="F367">
        <f>IF($AH367="","",INDEX('Per Line'!$E$2:$E$1601,$AH367)&amp;"")</f>
        <v/>
      </c>
      <c r="G367" s="11">
        <f>IF($AH367="","",INDEX('Per Line'!$F$2:$F$1601,$AH367))</f>
        <v/>
      </c>
      <c r="H367">
        <f>IF($AH367="","",INDEX('Per Line'!$G$2:$G$1601,$AH367)&amp;"")</f>
        <v/>
      </c>
      <c r="I367">
        <f>IF($AH367="","",INDEX('Per Line'!$I$2:$I$1601,$AH367)&amp;"")</f>
        <v/>
      </c>
      <c r="J367">
        <f>IF($AH367="","",INDEX('Per Line'!$J$2:$J$1601,$AH367)&amp;"")</f>
        <v/>
      </c>
      <c r="K367">
        <f>IF($AH367="","",INDEX('Per Line'!$K$2:$K$1601,$AH367)&amp;"")</f>
        <v/>
      </c>
      <c r="L367">
        <f>IF($AH367="","",INDEX('Per Line'!$L$2:$L$1601,$AH367)&amp;"")</f>
        <v/>
      </c>
      <c r="M367">
        <f>IF($AH367="","",INDEX('Per Line'!$M$2:$M$1601,$AH367))</f>
        <v/>
      </c>
      <c r="N367" s="7">
        <f>IF($AH367="","",M367*AE367/100)</f>
        <v/>
      </c>
      <c r="O367">
        <f>IF($AH367="","",INDEX('Per Line'!$Z$2:$Z$1601,$AH367)&amp;"")</f>
        <v/>
      </c>
      <c r="P367">
        <f>IF($AH367="","",INDEX('Per Line'!$AC$2:$AC$1601,$AH367)&amp;"")</f>
        <v/>
      </c>
      <c r="Q367">
        <f>IF($AH367="","",INDEX('Per Line'!$AD$2:$AD$1601,$AH367))</f>
        <v/>
      </c>
      <c r="R367">
        <f>IF($AH367="","",IF(AND(ISNUMBER(Q367),Q367&gt;0),AF367&gt;Q367,FALSE))</f>
        <v/>
      </c>
      <c r="S367">
        <f>IF($AH367="","",INDEX('Per Line'!$AH$2:$AH$1601,$AH367)&amp;"")</f>
        <v/>
      </c>
      <c r="T367" s="11">
        <f>IF($AH367="","",INDEX('Per Line'!$AI$2:$AI$1601,$AH367))</f>
        <v/>
      </c>
      <c r="U367">
        <f>IF($AH367="","",Settings!$C$8)</f>
        <v/>
      </c>
      <c r="V367" s="7">
        <f>IF($AH367="","",SUMIFS('Per Line'!$V$2:$V$1601,'Per Line'!$D$2:$D$1601,$B367,'Per Line'!$AN$2:$AN$1601,1))</f>
        <v/>
      </c>
      <c r="W367" s="7">
        <f>IF($AH367="","",V367*U367)</f>
        <v/>
      </c>
      <c r="X367">
        <f>IF($AH367="","",Settings!$C$7)</f>
        <v/>
      </c>
      <c r="Y367" s="7">
        <f>IF($AH367="","",SUMIFS('Per Line'!$V$2:$V$1601,'Per Line'!$D$2:$D$1601,$B367,'Per Line'!$AM$2:$AM$1601,0,'Per Line'!$AN$2:$AN$1601,0))</f>
        <v/>
      </c>
      <c r="Z367" s="7">
        <f>IF($AH367="","",Y367*X367)</f>
        <v/>
      </c>
      <c r="AA367">
        <f>IF($AH367="","",Settings!$C$6)</f>
        <v/>
      </c>
      <c r="AB367" s="7">
        <f>IF($AH367="","",SUMIFS('Per Line'!$V$2:$V$1601,'Per Line'!$D$2:$D$1601,$B367,'Per Line'!$AM$2:$AM$1601,1,'Per Line'!$AN$2:$AN$1601,0))</f>
        <v/>
      </c>
      <c r="AC367" s="7">
        <f>IF($AH367="","",AB367*AA367)</f>
        <v/>
      </c>
      <c r="AD367" s="7">
        <f>IF($AH367="","",AC367+Z367+W367)</f>
        <v/>
      </c>
      <c r="AE367" s="7">
        <f>IF($AH367="","",AF367-AD367)</f>
        <v/>
      </c>
      <c r="AF367" s="7">
        <f>IF($AH367="","",Y367+AB367+V367)</f>
        <v/>
      </c>
      <c r="AG367" s="7">
        <f>IF($AH367="","",AF367-AD367-N367)</f>
        <v/>
      </c>
      <c r="AH367" s="13">
        <f>IF(ROWS($AH$2:$AH367)&lt;=MAX('Per Line'!$AL$2:$AL$1601),MATCH(ROWS($AH$2:$AH367),'Per Line'!$AL$2:$AL$1601,0),"")</f>
        <v/>
      </c>
    </row>
    <row r="368">
      <c r="A368" s="12" t="n"/>
      <c r="B368">
        <f>IF($AH368="","",INDEX('Per Line'!$D$2:$D$1601,$AH368)&amp;"")</f>
        <v/>
      </c>
      <c r="C368">
        <f>IF($AH368="","",INDEX('Per Line'!$A$2:$A$1601,$AH368)&amp;"")</f>
        <v/>
      </c>
      <c r="D368">
        <f>IF($AH368="","",INDEX('Per Line'!$B$2:$B$1601,$AH368))</f>
        <v/>
      </c>
      <c r="E368">
        <f>IF($AH368="","",INDEX('Per Line'!$C$2:$C$1601,$AH368)&amp;"")</f>
        <v/>
      </c>
      <c r="F368">
        <f>IF($AH368="","",INDEX('Per Line'!$E$2:$E$1601,$AH368)&amp;"")</f>
        <v/>
      </c>
      <c r="G368" s="11">
        <f>IF($AH368="","",INDEX('Per Line'!$F$2:$F$1601,$AH368))</f>
        <v/>
      </c>
      <c r="H368">
        <f>IF($AH368="","",INDEX('Per Line'!$G$2:$G$1601,$AH368)&amp;"")</f>
        <v/>
      </c>
      <c r="I368">
        <f>IF($AH368="","",INDEX('Per Line'!$I$2:$I$1601,$AH368)&amp;"")</f>
        <v/>
      </c>
      <c r="J368">
        <f>IF($AH368="","",INDEX('Per Line'!$J$2:$J$1601,$AH368)&amp;"")</f>
        <v/>
      </c>
      <c r="K368">
        <f>IF($AH368="","",INDEX('Per Line'!$K$2:$K$1601,$AH368)&amp;"")</f>
        <v/>
      </c>
      <c r="L368">
        <f>IF($AH368="","",INDEX('Per Line'!$L$2:$L$1601,$AH368)&amp;"")</f>
        <v/>
      </c>
      <c r="M368">
        <f>IF($AH368="","",INDEX('Per Line'!$M$2:$M$1601,$AH368))</f>
        <v/>
      </c>
      <c r="N368" s="7">
        <f>IF($AH368="","",M368*AE368/100)</f>
        <v/>
      </c>
      <c r="O368">
        <f>IF($AH368="","",INDEX('Per Line'!$Z$2:$Z$1601,$AH368)&amp;"")</f>
        <v/>
      </c>
      <c r="P368">
        <f>IF($AH368="","",INDEX('Per Line'!$AC$2:$AC$1601,$AH368)&amp;"")</f>
        <v/>
      </c>
      <c r="Q368">
        <f>IF($AH368="","",INDEX('Per Line'!$AD$2:$AD$1601,$AH368))</f>
        <v/>
      </c>
      <c r="R368">
        <f>IF($AH368="","",IF(AND(ISNUMBER(Q368),Q368&gt;0),AF368&gt;Q368,FALSE))</f>
        <v/>
      </c>
      <c r="S368">
        <f>IF($AH368="","",INDEX('Per Line'!$AH$2:$AH$1601,$AH368)&amp;"")</f>
        <v/>
      </c>
      <c r="T368" s="11">
        <f>IF($AH368="","",INDEX('Per Line'!$AI$2:$AI$1601,$AH368))</f>
        <v/>
      </c>
      <c r="U368">
        <f>IF($AH368="","",Settings!$C$8)</f>
        <v/>
      </c>
      <c r="V368" s="7">
        <f>IF($AH368="","",SUMIFS('Per Line'!$V$2:$V$1601,'Per Line'!$D$2:$D$1601,$B368,'Per Line'!$AN$2:$AN$1601,1))</f>
        <v/>
      </c>
      <c r="W368" s="7">
        <f>IF($AH368="","",V368*U368)</f>
        <v/>
      </c>
      <c r="X368">
        <f>IF($AH368="","",Settings!$C$7)</f>
        <v/>
      </c>
      <c r="Y368" s="7">
        <f>IF($AH368="","",SUMIFS('Per Line'!$V$2:$V$1601,'Per Line'!$D$2:$D$1601,$B368,'Per Line'!$AM$2:$AM$1601,0,'Per Line'!$AN$2:$AN$1601,0))</f>
        <v/>
      </c>
      <c r="Z368" s="7">
        <f>IF($AH368="","",Y368*X368)</f>
        <v/>
      </c>
      <c r="AA368">
        <f>IF($AH368="","",Settings!$C$6)</f>
        <v/>
      </c>
      <c r="AB368" s="7">
        <f>IF($AH368="","",SUMIFS('Per Line'!$V$2:$V$1601,'Per Line'!$D$2:$D$1601,$B368,'Per Line'!$AM$2:$AM$1601,1,'Per Line'!$AN$2:$AN$1601,0))</f>
        <v/>
      </c>
      <c r="AC368" s="7">
        <f>IF($AH368="","",AB368*AA368)</f>
        <v/>
      </c>
      <c r="AD368" s="7">
        <f>IF($AH368="","",AC368+Z368+W368)</f>
        <v/>
      </c>
      <c r="AE368" s="7">
        <f>IF($AH368="","",AF368-AD368)</f>
        <v/>
      </c>
      <c r="AF368" s="7">
        <f>IF($AH368="","",Y368+AB368+V368)</f>
        <v/>
      </c>
      <c r="AG368" s="7">
        <f>IF($AH368="","",AF368-AD368-N368)</f>
        <v/>
      </c>
      <c r="AH368" s="13">
        <f>IF(ROWS($AH$2:$AH368)&lt;=MAX('Per Line'!$AL$2:$AL$1601),MATCH(ROWS($AH$2:$AH368),'Per Line'!$AL$2:$AL$1601,0),"")</f>
        <v/>
      </c>
    </row>
    <row r="369">
      <c r="A369" s="12" t="n"/>
      <c r="B369">
        <f>IF($AH369="","",INDEX('Per Line'!$D$2:$D$1601,$AH369)&amp;"")</f>
        <v/>
      </c>
      <c r="C369">
        <f>IF($AH369="","",INDEX('Per Line'!$A$2:$A$1601,$AH369)&amp;"")</f>
        <v/>
      </c>
      <c r="D369">
        <f>IF($AH369="","",INDEX('Per Line'!$B$2:$B$1601,$AH369))</f>
        <v/>
      </c>
      <c r="E369">
        <f>IF($AH369="","",INDEX('Per Line'!$C$2:$C$1601,$AH369)&amp;"")</f>
        <v/>
      </c>
      <c r="F369">
        <f>IF($AH369="","",INDEX('Per Line'!$E$2:$E$1601,$AH369)&amp;"")</f>
        <v/>
      </c>
      <c r="G369" s="11">
        <f>IF($AH369="","",INDEX('Per Line'!$F$2:$F$1601,$AH369))</f>
        <v/>
      </c>
      <c r="H369">
        <f>IF($AH369="","",INDEX('Per Line'!$G$2:$G$1601,$AH369)&amp;"")</f>
        <v/>
      </c>
      <c r="I369">
        <f>IF($AH369="","",INDEX('Per Line'!$I$2:$I$1601,$AH369)&amp;"")</f>
        <v/>
      </c>
      <c r="J369">
        <f>IF($AH369="","",INDEX('Per Line'!$J$2:$J$1601,$AH369)&amp;"")</f>
        <v/>
      </c>
      <c r="K369">
        <f>IF($AH369="","",INDEX('Per Line'!$K$2:$K$1601,$AH369)&amp;"")</f>
        <v/>
      </c>
      <c r="L369">
        <f>IF($AH369="","",INDEX('Per Line'!$L$2:$L$1601,$AH369)&amp;"")</f>
        <v/>
      </c>
      <c r="M369">
        <f>IF($AH369="","",INDEX('Per Line'!$M$2:$M$1601,$AH369))</f>
        <v/>
      </c>
      <c r="N369" s="7">
        <f>IF($AH369="","",M369*AE369/100)</f>
        <v/>
      </c>
      <c r="O369">
        <f>IF($AH369="","",INDEX('Per Line'!$Z$2:$Z$1601,$AH369)&amp;"")</f>
        <v/>
      </c>
      <c r="P369">
        <f>IF($AH369="","",INDEX('Per Line'!$AC$2:$AC$1601,$AH369)&amp;"")</f>
        <v/>
      </c>
      <c r="Q369">
        <f>IF($AH369="","",INDEX('Per Line'!$AD$2:$AD$1601,$AH369))</f>
        <v/>
      </c>
      <c r="R369">
        <f>IF($AH369="","",IF(AND(ISNUMBER(Q369),Q369&gt;0),AF369&gt;Q369,FALSE))</f>
        <v/>
      </c>
      <c r="S369">
        <f>IF($AH369="","",INDEX('Per Line'!$AH$2:$AH$1601,$AH369)&amp;"")</f>
        <v/>
      </c>
      <c r="T369" s="11">
        <f>IF($AH369="","",INDEX('Per Line'!$AI$2:$AI$1601,$AH369))</f>
        <v/>
      </c>
      <c r="U369">
        <f>IF($AH369="","",Settings!$C$8)</f>
        <v/>
      </c>
      <c r="V369" s="7">
        <f>IF($AH369="","",SUMIFS('Per Line'!$V$2:$V$1601,'Per Line'!$D$2:$D$1601,$B369,'Per Line'!$AN$2:$AN$1601,1))</f>
        <v/>
      </c>
      <c r="W369" s="7">
        <f>IF($AH369="","",V369*U369)</f>
        <v/>
      </c>
      <c r="X369">
        <f>IF($AH369="","",Settings!$C$7)</f>
        <v/>
      </c>
      <c r="Y369" s="7">
        <f>IF($AH369="","",SUMIFS('Per Line'!$V$2:$V$1601,'Per Line'!$D$2:$D$1601,$B369,'Per Line'!$AM$2:$AM$1601,0,'Per Line'!$AN$2:$AN$1601,0))</f>
        <v/>
      </c>
      <c r="Z369" s="7">
        <f>IF($AH369="","",Y369*X369)</f>
        <v/>
      </c>
      <c r="AA369">
        <f>IF($AH369="","",Settings!$C$6)</f>
        <v/>
      </c>
      <c r="AB369" s="7">
        <f>IF($AH369="","",SUMIFS('Per Line'!$V$2:$V$1601,'Per Line'!$D$2:$D$1601,$B369,'Per Line'!$AM$2:$AM$1601,1,'Per Line'!$AN$2:$AN$1601,0))</f>
        <v/>
      </c>
      <c r="AC369" s="7">
        <f>IF($AH369="","",AB369*AA369)</f>
        <v/>
      </c>
      <c r="AD369" s="7">
        <f>IF($AH369="","",AC369+Z369+W369)</f>
        <v/>
      </c>
      <c r="AE369" s="7">
        <f>IF($AH369="","",AF369-AD369)</f>
        <v/>
      </c>
      <c r="AF369" s="7">
        <f>IF($AH369="","",Y369+AB369+V369)</f>
        <v/>
      </c>
      <c r="AG369" s="7">
        <f>IF($AH369="","",AF369-AD369-N369)</f>
        <v/>
      </c>
      <c r="AH369" s="13">
        <f>IF(ROWS($AH$2:$AH369)&lt;=MAX('Per Line'!$AL$2:$AL$1601),MATCH(ROWS($AH$2:$AH369),'Per Line'!$AL$2:$AL$1601,0),"")</f>
        <v/>
      </c>
    </row>
    <row r="370">
      <c r="A370" s="12" t="n"/>
      <c r="B370">
        <f>IF($AH370="","",INDEX('Per Line'!$D$2:$D$1601,$AH370)&amp;"")</f>
        <v/>
      </c>
      <c r="C370">
        <f>IF($AH370="","",INDEX('Per Line'!$A$2:$A$1601,$AH370)&amp;"")</f>
        <v/>
      </c>
      <c r="D370">
        <f>IF($AH370="","",INDEX('Per Line'!$B$2:$B$1601,$AH370))</f>
        <v/>
      </c>
      <c r="E370">
        <f>IF($AH370="","",INDEX('Per Line'!$C$2:$C$1601,$AH370)&amp;"")</f>
        <v/>
      </c>
      <c r="F370">
        <f>IF($AH370="","",INDEX('Per Line'!$E$2:$E$1601,$AH370)&amp;"")</f>
        <v/>
      </c>
      <c r="G370" s="11">
        <f>IF($AH370="","",INDEX('Per Line'!$F$2:$F$1601,$AH370))</f>
        <v/>
      </c>
      <c r="H370">
        <f>IF($AH370="","",INDEX('Per Line'!$G$2:$G$1601,$AH370)&amp;"")</f>
        <v/>
      </c>
      <c r="I370">
        <f>IF($AH370="","",INDEX('Per Line'!$I$2:$I$1601,$AH370)&amp;"")</f>
        <v/>
      </c>
      <c r="J370">
        <f>IF($AH370="","",INDEX('Per Line'!$J$2:$J$1601,$AH370)&amp;"")</f>
        <v/>
      </c>
      <c r="K370">
        <f>IF($AH370="","",INDEX('Per Line'!$K$2:$K$1601,$AH370)&amp;"")</f>
        <v/>
      </c>
      <c r="L370">
        <f>IF($AH370="","",INDEX('Per Line'!$L$2:$L$1601,$AH370)&amp;"")</f>
        <v/>
      </c>
      <c r="M370">
        <f>IF($AH370="","",INDEX('Per Line'!$M$2:$M$1601,$AH370))</f>
        <v/>
      </c>
      <c r="N370" s="7">
        <f>IF($AH370="","",M370*AE370/100)</f>
        <v/>
      </c>
      <c r="O370">
        <f>IF($AH370="","",INDEX('Per Line'!$Z$2:$Z$1601,$AH370)&amp;"")</f>
        <v/>
      </c>
      <c r="P370">
        <f>IF($AH370="","",INDEX('Per Line'!$AC$2:$AC$1601,$AH370)&amp;"")</f>
        <v/>
      </c>
      <c r="Q370">
        <f>IF($AH370="","",INDEX('Per Line'!$AD$2:$AD$1601,$AH370))</f>
        <v/>
      </c>
      <c r="R370">
        <f>IF($AH370="","",IF(AND(ISNUMBER(Q370),Q370&gt;0),AF370&gt;Q370,FALSE))</f>
        <v/>
      </c>
      <c r="S370">
        <f>IF($AH370="","",INDEX('Per Line'!$AH$2:$AH$1601,$AH370)&amp;"")</f>
        <v/>
      </c>
      <c r="T370" s="11">
        <f>IF($AH370="","",INDEX('Per Line'!$AI$2:$AI$1601,$AH370))</f>
        <v/>
      </c>
      <c r="U370">
        <f>IF($AH370="","",Settings!$C$8)</f>
        <v/>
      </c>
      <c r="V370" s="7">
        <f>IF($AH370="","",SUMIFS('Per Line'!$V$2:$V$1601,'Per Line'!$D$2:$D$1601,$B370,'Per Line'!$AN$2:$AN$1601,1))</f>
        <v/>
      </c>
      <c r="W370" s="7">
        <f>IF($AH370="","",V370*U370)</f>
        <v/>
      </c>
      <c r="X370">
        <f>IF($AH370="","",Settings!$C$7)</f>
        <v/>
      </c>
      <c r="Y370" s="7">
        <f>IF($AH370="","",SUMIFS('Per Line'!$V$2:$V$1601,'Per Line'!$D$2:$D$1601,$B370,'Per Line'!$AM$2:$AM$1601,0,'Per Line'!$AN$2:$AN$1601,0))</f>
        <v/>
      </c>
      <c r="Z370" s="7">
        <f>IF($AH370="","",Y370*X370)</f>
        <v/>
      </c>
      <c r="AA370">
        <f>IF($AH370="","",Settings!$C$6)</f>
        <v/>
      </c>
      <c r="AB370" s="7">
        <f>IF($AH370="","",SUMIFS('Per Line'!$V$2:$V$1601,'Per Line'!$D$2:$D$1601,$B370,'Per Line'!$AM$2:$AM$1601,1,'Per Line'!$AN$2:$AN$1601,0))</f>
        <v/>
      </c>
      <c r="AC370" s="7">
        <f>IF($AH370="","",AB370*AA370)</f>
        <v/>
      </c>
      <c r="AD370" s="7">
        <f>IF($AH370="","",AC370+Z370+W370)</f>
        <v/>
      </c>
      <c r="AE370" s="7">
        <f>IF($AH370="","",AF370-AD370)</f>
        <v/>
      </c>
      <c r="AF370" s="7">
        <f>IF($AH370="","",Y370+AB370+V370)</f>
        <v/>
      </c>
      <c r="AG370" s="7">
        <f>IF($AH370="","",AF370-AD370-N370)</f>
        <v/>
      </c>
      <c r="AH370" s="13">
        <f>IF(ROWS($AH$2:$AH370)&lt;=MAX('Per Line'!$AL$2:$AL$1601),MATCH(ROWS($AH$2:$AH370),'Per Line'!$AL$2:$AL$1601,0),"")</f>
        <v/>
      </c>
    </row>
    <row r="371">
      <c r="A371" s="12" t="n"/>
      <c r="B371">
        <f>IF($AH371="","",INDEX('Per Line'!$D$2:$D$1601,$AH371)&amp;"")</f>
        <v/>
      </c>
      <c r="C371">
        <f>IF($AH371="","",INDEX('Per Line'!$A$2:$A$1601,$AH371)&amp;"")</f>
        <v/>
      </c>
      <c r="D371">
        <f>IF($AH371="","",INDEX('Per Line'!$B$2:$B$1601,$AH371))</f>
        <v/>
      </c>
      <c r="E371">
        <f>IF($AH371="","",INDEX('Per Line'!$C$2:$C$1601,$AH371)&amp;"")</f>
        <v/>
      </c>
      <c r="F371">
        <f>IF($AH371="","",INDEX('Per Line'!$E$2:$E$1601,$AH371)&amp;"")</f>
        <v/>
      </c>
      <c r="G371" s="11">
        <f>IF($AH371="","",INDEX('Per Line'!$F$2:$F$1601,$AH371))</f>
        <v/>
      </c>
      <c r="H371">
        <f>IF($AH371="","",INDEX('Per Line'!$G$2:$G$1601,$AH371)&amp;"")</f>
        <v/>
      </c>
      <c r="I371">
        <f>IF($AH371="","",INDEX('Per Line'!$I$2:$I$1601,$AH371)&amp;"")</f>
        <v/>
      </c>
      <c r="J371">
        <f>IF($AH371="","",INDEX('Per Line'!$J$2:$J$1601,$AH371)&amp;"")</f>
        <v/>
      </c>
      <c r="K371">
        <f>IF($AH371="","",INDEX('Per Line'!$K$2:$K$1601,$AH371)&amp;"")</f>
        <v/>
      </c>
      <c r="L371">
        <f>IF($AH371="","",INDEX('Per Line'!$L$2:$L$1601,$AH371)&amp;"")</f>
        <v/>
      </c>
      <c r="M371">
        <f>IF($AH371="","",INDEX('Per Line'!$M$2:$M$1601,$AH371))</f>
        <v/>
      </c>
      <c r="N371" s="7">
        <f>IF($AH371="","",M371*AE371/100)</f>
        <v/>
      </c>
      <c r="O371">
        <f>IF($AH371="","",INDEX('Per Line'!$Z$2:$Z$1601,$AH371)&amp;"")</f>
        <v/>
      </c>
      <c r="P371">
        <f>IF($AH371="","",INDEX('Per Line'!$AC$2:$AC$1601,$AH371)&amp;"")</f>
        <v/>
      </c>
      <c r="Q371">
        <f>IF($AH371="","",INDEX('Per Line'!$AD$2:$AD$1601,$AH371))</f>
        <v/>
      </c>
      <c r="R371">
        <f>IF($AH371="","",IF(AND(ISNUMBER(Q371),Q371&gt;0),AF371&gt;Q371,FALSE))</f>
        <v/>
      </c>
      <c r="S371">
        <f>IF($AH371="","",INDEX('Per Line'!$AH$2:$AH$1601,$AH371)&amp;"")</f>
        <v/>
      </c>
      <c r="T371" s="11">
        <f>IF($AH371="","",INDEX('Per Line'!$AI$2:$AI$1601,$AH371))</f>
        <v/>
      </c>
      <c r="U371">
        <f>IF($AH371="","",Settings!$C$8)</f>
        <v/>
      </c>
      <c r="V371" s="7">
        <f>IF($AH371="","",SUMIFS('Per Line'!$V$2:$V$1601,'Per Line'!$D$2:$D$1601,$B371,'Per Line'!$AN$2:$AN$1601,1))</f>
        <v/>
      </c>
      <c r="W371" s="7">
        <f>IF($AH371="","",V371*U371)</f>
        <v/>
      </c>
      <c r="X371">
        <f>IF($AH371="","",Settings!$C$7)</f>
        <v/>
      </c>
      <c r="Y371" s="7">
        <f>IF($AH371="","",SUMIFS('Per Line'!$V$2:$V$1601,'Per Line'!$D$2:$D$1601,$B371,'Per Line'!$AM$2:$AM$1601,0,'Per Line'!$AN$2:$AN$1601,0))</f>
        <v/>
      </c>
      <c r="Z371" s="7">
        <f>IF($AH371="","",Y371*X371)</f>
        <v/>
      </c>
      <c r="AA371">
        <f>IF($AH371="","",Settings!$C$6)</f>
        <v/>
      </c>
      <c r="AB371" s="7">
        <f>IF($AH371="","",SUMIFS('Per Line'!$V$2:$V$1601,'Per Line'!$D$2:$D$1601,$B371,'Per Line'!$AM$2:$AM$1601,1,'Per Line'!$AN$2:$AN$1601,0))</f>
        <v/>
      </c>
      <c r="AC371" s="7">
        <f>IF($AH371="","",AB371*AA371)</f>
        <v/>
      </c>
      <c r="AD371" s="7">
        <f>IF($AH371="","",AC371+Z371+W371)</f>
        <v/>
      </c>
      <c r="AE371" s="7">
        <f>IF($AH371="","",AF371-AD371)</f>
        <v/>
      </c>
      <c r="AF371" s="7">
        <f>IF($AH371="","",Y371+AB371+V371)</f>
        <v/>
      </c>
      <c r="AG371" s="7">
        <f>IF($AH371="","",AF371-AD371-N371)</f>
        <v/>
      </c>
      <c r="AH371" s="13">
        <f>IF(ROWS($AH$2:$AH371)&lt;=MAX('Per Line'!$AL$2:$AL$1601),MATCH(ROWS($AH$2:$AH371),'Per Line'!$AL$2:$AL$1601,0),"")</f>
        <v/>
      </c>
    </row>
    <row r="372">
      <c r="A372" s="12" t="n"/>
      <c r="B372">
        <f>IF($AH372="","",INDEX('Per Line'!$D$2:$D$1601,$AH372)&amp;"")</f>
        <v/>
      </c>
      <c r="C372">
        <f>IF($AH372="","",INDEX('Per Line'!$A$2:$A$1601,$AH372)&amp;"")</f>
        <v/>
      </c>
      <c r="D372">
        <f>IF($AH372="","",INDEX('Per Line'!$B$2:$B$1601,$AH372))</f>
        <v/>
      </c>
      <c r="E372">
        <f>IF($AH372="","",INDEX('Per Line'!$C$2:$C$1601,$AH372)&amp;"")</f>
        <v/>
      </c>
      <c r="F372">
        <f>IF($AH372="","",INDEX('Per Line'!$E$2:$E$1601,$AH372)&amp;"")</f>
        <v/>
      </c>
      <c r="G372" s="11">
        <f>IF($AH372="","",INDEX('Per Line'!$F$2:$F$1601,$AH372))</f>
        <v/>
      </c>
      <c r="H372">
        <f>IF($AH372="","",INDEX('Per Line'!$G$2:$G$1601,$AH372)&amp;"")</f>
        <v/>
      </c>
      <c r="I372">
        <f>IF($AH372="","",INDEX('Per Line'!$I$2:$I$1601,$AH372)&amp;"")</f>
        <v/>
      </c>
      <c r="J372">
        <f>IF($AH372="","",INDEX('Per Line'!$J$2:$J$1601,$AH372)&amp;"")</f>
        <v/>
      </c>
      <c r="K372">
        <f>IF($AH372="","",INDEX('Per Line'!$K$2:$K$1601,$AH372)&amp;"")</f>
        <v/>
      </c>
      <c r="L372">
        <f>IF($AH372="","",INDEX('Per Line'!$L$2:$L$1601,$AH372)&amp;"")</f>
        <v/>
      </c>
      <c r="M372">
        <f>IF($AH372="","",INDEX('Per Line'!$M$2:$M$1601,$AH372))</f>
        <v/>
      </c>
      <c r="N372" s="7">
        <f>IF($AH372="","",M372*AE372/100)</f>
        <v/>
      </c>
      <c r="O372">
        <f>IF($AH372="","",INDEX('Per Line'!$Z$2:$Z$1601,$AH372)&amp;"")</f>
        <v/>
      </c>
      <c r="P372">
        <f>IF($AH372="","",INDEX('Per Line'!$AC$2:$AC$1601,$AH372)&amp;"")</f>
        <v/>
      </c>
      <c r="Q372">
        <f>IF($AH372="","",INDEX('Per Line'!$AD$2:$AD$1601,$AH372))</f>
        <v/>
      </c>
      <c r="R372">
        <f>IF($AH372="","",IF(AND(ISNUMBER(Q372),Q372&gt;0),AF372&gt;Q372,FALSE))</f>
        <v/>
      </c>
      <c r="S372">
        <f>IF($AH372="","",INDEX('Per Line'!$AH$2:$AH$1601,$AH372)&amp;"")</f>
        <v/>
      </c>
      <c r="T372" s="11">
        <f>IF($AH372="","",INDEX('Per Line'!$AI$2:$AI$1601,$AH372))</f>
        <v/>
      </c>
      <c r="U372">
        <f>IF($AH372="","",Settings!$C$8)</f>
        <v/>
      </c>
      <c r="V372" s="7">
        <f>IF($AH372="","",SUMIFS('Per Line'!$V$2:$V$1601,'Per Line'!$D$2:$D$1601,$B372,'Per Line'!$AN$2:$AN$1601,1))</f>
        <v/>
      </c>
      <c r="W372" s="7">
        <f>IF($AH372="","",V372*U372)</f>
        <v/>
      </c>
      <c r="X372">
        <f>IF($AH372="","",Settings!$C$7)</f>
        <v/>
      </c>
      <c r="Y372" s="7">
        <f>IF($AH372="","",SUMIFS('Per Line'!$V$2:$V$1601,'Per Line'!$D$2:$D$1601,$B372,'Per Line'!$AM$2:$AM$1601,0,'Per Line'!$AN$2:$AN$1601,0))</f>
        <v/>
      </c>
      <c r="Z372" s="7">
        <f>IF($AH372="","",Y372*X372)</f>
        <v/>
      </c>
      <c r="AA372">
        <f>IF($AH372="","",Settings!$C$6)</f>
        <v/>
      </c>
      <c r="AB372" s="7">
        <f>IF($AH372="","",SUMIFS('Per Line'!$V$2:$V$1601,'Per Line'!$D$2:$D$1601,$B372,'Per Line'!$AM$2:$AM$1601,1,'Per Line'!$AN$2:$AN$1601,0))</f>
        <v/>
      </c>
      <c r="AC372" s="7">
        <f>IF($AH372="","",AB372*AA372)</f>
        <v/>
      </c>
      <c r="AD372" s="7">
        <f>IF($AH372="","",AC372+Z372+W372)</f>
        <v/>
      </c>
      <c r="AE372" s="7">
        <f>IF($AH372="","",AF372-AD372)</f>
        <v/>
      </c>
      <c r="AF372" s="7">
        <f>IF($AH372="","",Y372+AB372+V372)</f>
        <v/>
      </c>
      <c r="AG372" s="7">
        <f>IF($AH372="","",AF372-AD372-N372)</f>
        <v/>
      </c>
      <c r="AH372" s="13">
        <f>IF(ROWS($AH$2:$AH372)&lt;=MAX('Per Line'!$AL$2:$AL$1601),MATCH(ROWS($AH$2:$AH372),'Per Line'!$AL$2:$AL$1601,0),"")</f>
        <v/>
      </c>
    </row>
    <row r="373">
      <c r="A373" s="12" t="n"/>
      <c r="B373">
        <f>IF($AH373="","",INDEX('Per Line'!$D$2:$D$1601,$AH373)&amp;"")</f>
        <v/>
      </c>
      <c r="C373">
        <f>IF($AH373="","",INDEX('Per Line'!$A$2:$A$1601,$AH373)&amp;"")</f>
        <v/>
      </c>
      <c r="D373">
        <f>IF($AH373="","",INDEX('Per Line'!$B$2:$B$1601,$AH373))</f>
        <v/>
      </c>
      <c r="E373">
        <f>IF($AH373="","",INDEX('Per Line'!$C$2:$C$1601,$AH373)&amp;"")</f>
        <v/>
      </c>
      <c r="F373">
        <f>IF($AH373="","",INDEX('Per Line'!$E$2:$E$1601,$AH373)&amp;"")</f>
        <v/>
      </c>
      <c r="G373" s="11">
        <f>IF($AH373="","",INDEX('Per Line'!$F$2:$F$1601,$AH373))</f>
        <v/>
      </c>
      <c r="H373">
        <f>IF($AH373="","",INDEX('Per Line'!$G$2:$G$1601,$AH373)&amp;"")</f>
        <v/>
      </c>
      <c r="I373">
        <f>IF($AH373="","",INDEX('Per Line'!$I$2:$I$1601,$AH373)&amp;"")</f>
        <v/>
      </c>
      <c r="J373">
        <f>IF($AH373="","",INDEX('Per Line'!$J$2:$J$1601,$AH373)&amp;"")</f>
        <v/>
      </c>
      <c r="K373">
        <f>IF($AH373="","",INDEX('Per Line'!$K$2:$K$1601,$AH373)&amp;"")</f>
        <v/>
      </c>
      <c r="L373">
        <f>IF($AH373="","",INDEX('Per Line'!$L$2:$L$1601,$AH373)&amp;"")</f>
        <v/>
      </c>
      <c r="M373">
        <f>IF($AH373="","",INDEX('Per Line'!$M$2:$M$1601,$AH373))</f>
        <v/>
      </c>
      <c r="N373" s="7">
        <f>IF($AH373="","",M373*AE373/100)</f>
        <v/>
      </c>
      <c r="O373">
        <f>IF($AH373="","",INDEX('Per Line'!$Z$2:$Z$1601,$AH373)&amp;"")</f>
        <v/>
      </c>
      <c r="P373">
        <f>IF($AH373="","",INDEX('Per Line'!$AC$2:$AC$1601,$AH373)&amp;"")</f>
        <v/>
      </c>
      <c r="Q373">
        <f>IF($AH373="","",INDEX('Per Line'!$AD$2:$AD$1601,$AH373))</f>
        <v/>
      </c>
      <c r="R373">
        <f>IF($AH373="","",IF(AND(ISNUMBER(Q373),Q373&gt;0),AF373&gt;Q373,FALSE))</f>
        <v/>
      </c>
      <c r="S373">
        <f>IF($AH373="","",INDEX('Per Line'!$AH$2:$AH$1601,$AH373)&amp;"")</f>
        <v/>
      </c>
      <c r="T373" s="11">
        <f>IF($AH373="","",INDEX('Per Line'!$AI$2:$AI$1601,$AH373))</f>
        <v/>
      </c>
      <c r="U373">
        <f>IF($AH373="","",Settings!$C$8)</f>
        <v/>
      </c>
      <c r="V373" s="7">
        <f>IF($AH373="","",SUMIFS('Per Line'!$V$2:$V$1601,'Per Line'!$D$2:$D$1601,$B373,'Per Line'!$AN$2:$AN$1601,1))</f>
        <v/>
      </c>
      <c r="W373" s="7">
        <f>IF($AH373="","",V373*U373)</f>
        <v/>
      </c>
      <c r="X373">
        <f>IF($AH373="","",Settings!$C$7)</f>
        <v/>
      </c>
      <c r="Y373" s="7">
        <f>IF($AH373="","",SUMIFS('Per Line'!$V$2:$V$1601,'Per Line'!$D$2:$D$1601,$B373,'Per Line'!$AM$2:$AM$1601,0,'Per Line'!$AN$2:$AN$1601,0))</f>
        <v/>
      </c>
      <c r="Z373" s="7">
        <f>IF($AH373="","",Y373*X373)</f>
        <v/>
      </c>
      <c r="AA373">
        <f>IF($AH373="","",Settings!$C$6)</f>
        <v/>
      </c>
      <c r="AB373" s="7">
        <f>IF($AH373="","",SUMIFS('Per Line'!$V$2:$V$1601,'Per Line'!$D$2:$D$1601,$B373,'Per Line'!$AM$2:$AM$1601,1,'Per Line'!$AN$2:$AN$1601,0))</f>
        <v/>
      </c>
      <c r="AC373" s="7">
        <f>IF($AH373="","",AB373*AA373)</f>
        <v/>
      </c>
      <c r="AD373" s="7">
        <f>IF($AH373="","",AC373+Z373+W373)</f>
        <v/>
      </c>
      <c r="AE373" s="7">
        <f>IF($AH373="","",AF373-AD373)</f>
        <v/>
      </c>
      <c r="AF373" s="7">
        <f>IF($AH373="","",Y373+AB373+V373)</f>
        <v/>
      </c>
      <c r="AG373" s="7">
        <f>IF($AH373="","",AF373-AD373-N373)</f>
        <v/>
      </c>
      <c r="AH373" s="13">
        <f>IF(ROWS($AH$2:$AH373)&lt;=MAX('Per Line'!$AL$2:$AL$1601),MATCH(ROWS($AH$2:$AH373),'Per Line'!$AL$2:$AL$1601,0),"")</f>
        <v/>
      </c>
    </row>
    <row r="374">
      <c r="A374" s="12" t="n"/>
      <c r="B374">
        <f>IF($AH374="","",INDEX('Per Line'!$D$2:$D$1601,$AH374)&amp;"")</f>
        <v/>
      </c>
      <c r="C374">
        <f>IF($AH374="","",INDEX('Per Line'!$A$2:$A$1601,$AH374)&amp;"")</f>
        <v/>
      </c>
      <c r="D374">
        <f>IF($AH374="","",INDEX('Per Line'!$B$2:$B$1601,$AH374))</f>
        <v/>
      </c>
      <c r="E374">
        <f>IF($AH374="","",INDEX('Per Line'!$C$2:$C$1601,$AH374)&amp;"")</f>
        <v/>
      </c>
      <c r="F374">
        <f>IF($AH374="","",INDEX('Per Line'!$E$2:$E$1601,$AH374)&amp;"")</f>
        <v/>
      </c>
      <c r="G374" s="11">
        <f>IF($AH374="","",INDEX('Per Line'!$F$2:$F$1601,$AH374))</f>
        <v/>
      </c>
      <c r="H374">
        <f>IF($AH374="","",INDEX('Per Line'!$G$2:$G$1601,$AH374)&amp;"")</f>
        <v/>
      </c>
      <c r="I374">
        <f>IF($AH374="","",INDEX('Per Line'!$I$2:$I$1601,$AH374)&amp;"")</f>
        <v/>
      </c>
      <c r="J374">
        <f>IF($AH374="","",INDEX('Per Line'!$J$2:$J$1601,$AH374)&amp;"")</f>
        <v/>
      </c>
      <c r="K374">
        <f>IF($AH374="","",INDEX('Per Line'!$K$2:$K$1601,$AH374)&amp;"")</f>
        <v/>
      </c>
      <c r="L374">
        <f>IF($AH374="","",INDEX('Per Line'!$L$2:$L$1601,$AH374)&amp;"")</f>
        <v/>
      </c>
      <c r="M374">
        <f>IF($AH374="","",INDEX('Per Line'!$M$2:$M$1601,$AH374))</f>
        <v/>
      </c>
      <c r="N374" s="7">
        <f>IF($AH374="","",M374*AE374/100)</f>
        <v/>
      </c>
      <c r="O374">
        <f>IF($AH374="","",INDEX('Per Line'!$Z$2:$Z$1601,$AH374)&amp;"")</f>
        <v/>
      </c>
      <c r="P374">
        <f>IF($AH374="","",INDEX('Per Line'!$AC$2:$AC$1601,$AH374)&amp;"")</f>
        <v/>
      </c>
      <c r="Q374">
        <f>IF($AH374="","",INDEX('Per Line'!$AD$2:$AD$1601,$AH374))</f>
        <v/>
      </c>
      <c r="R374">
        <f>IF($AH374="","",IF(AND(ISNUMBER(Q374),Q374&gt;0),AF374&gt;Q374,FALSE))</f>
        <v/>
      </c>
      <c r="S374">
        <f>IF($AH374="","",INDEX('Per Line'!$AH$2:$AH$1601,$AH374)&amp;"")</f>
        <v/>
      </c>
      <c r="T374" s="11">
        <f>IF($AH374="","",INDEX('Per Line'!$AI$2:$AI$1601,$AH374))</f>
        <v/>
      </c>
      <c r="U374">
        <f>IF($AH374="","",Settings!$C$8)</f>
        <v/>
      </c>
      <c r="V374" s="7">
        <f>IF($AH374="","",SUMIFS('Per Line'!$V$2:$V$1601,'Per Line'!$D$2:$D$1601,$B374,'Per Line'!$AN$2:$AN$1601,1))</f>
        <v/>
      </c>
      <c r="W374" s="7">
        <f>IF($AH374="","",V374*U374)</f>
        <v/>
      </c>
      <c r="X374">
        <f>IF($AH374="","",Settings!$C$7)</f>
        <v/>
      </c>
      <c r="Y374" s="7">
        <f>IF($AH374="","",SUMIFS('Per Line'!$V$2:$V$1601,'Per Line'!$D$2:$D$1601,$B374,'Per Line'!$AM$2:$AM$1601,0,'Per Line'!$AN$2:$AN$1601,0))</f>
        <v/>
      </c>
      <c r="Z374" s="7">
        <f>IF($AH374="","",Y374*X374)</f>
        <v/>
      </c>
      <c r="AA374">
        <f>IF($AH374="","",Settings!$C$6)</f>
        <v/>
      </c>
      <c r="AB374" s="7">
        <f>IF($AH374="","",SUMIFS('Per Line'!$V$2:$V$1601,'Per Line'!$D$2:$D$1601,$B374,'Per Line'!$AM$2:$AM$1601,1,'Per Line'!$AN$2:$AN$1601,0))</f>
        <v/>
      </c>
      <c r="AC374" s="7">
        <f>IF($AH374="","",AB374*AA374)</f>
        <v/>
      </c>
      <c r="AD374" s="7">
        <f>IF($AH374="","",AC374+Z374+W374)</f>
        <v/>
      </c>
      <c r="AE374" s="7">
        <f>IF($AH374="","",AF374-AD374)</f>
        <v/>
      </c>
      <c r="AF374" s="7">
        <f>IF($AH374="","",Y374+AB374+V374)</f>
        <v/>
      </c>
      <c r="AG374" s="7">
        <f>IF($AH374="","",AF374-AD374-N374)</f>
        <v/>
      </c>
      <c r="AH374" s="13">
        <f>IF(ROWS($AH$2:$AH374)&lt;=MAX('Per Line'!$AL$2:$AL$1601),MATCH(ROWS($AH$2:$AH374),'Per Line'!$AL$2:$AL$1601,0),"")</f>
        <v/>
      </c>
    </row>
    <row r="375">
      <c r="A375" s="12" t="n"/>
      <c r="B375">
        <f>IF($AH375="","",INDEX('Per Line'!$D$2:$D$1601,$AH375)&amp;"")</f>
        <v/>
      </c>
      <c r="C375">
        <f>IF($AH375="","",INDEX('Per Line'!$A$2:$A$1601,$AH375)&amp;"")</f>
        <v/>
      </c>
      <c r="D375">
        <f>IF($AH375="","",INDEX('Per Line'!$B$2:$B$1601,$AH375))</f>
        <v/>
      </c>
      <c r="E375">
        <f>IF($AH375="","",INDEX('Per Line'!$C$2:$C$1601,$AH375)&amp;"")</f>
        <v/>
      </c>
      <c r="F375">
        <f>IF($AH375="","",INDEX('Per Line'!$E$2:$E$1601,$AH375)&amp;"")</f>
        <v/>
      </c>
      <c r="G375" s="11">
        <f>IF($AH375="","",INDEX('Per Line'!$F$2:$F$1601,$AH375))</f>
        <v/>
      </c>
      <c r="H375">
        <f>IF($AH375="","",INDEX('Per Line'!$G$2:$G$1601,$AH375)&amp;"")</f>
        <v/>
      </c>
      <c r="I375">
        <f>IF($AH375="","",INDEX('Per Line'!$I$2:$I$1601,$AH375)&amp;"")</f>
        <v/>
      </c>
      <c r="J375">
        <f>IF($AH375="","",INDEX('Per Line'!$J$2:$J$1601,$AH375)&amp;"")</f>
        <v/>
      </c>
      <c r="K375">
        <f>IF($AH375="","",INDEX('Per Line'!$K$2:$K$1601,$AH375)&amp;"")</f>
        <v/>
      </c>
      <c r="L375">
        <f>IF($AH375="","",INDEX('Per Line'!$L$2:$L$1601,$AH375)&amp;"")</f>
        <v/>
      </c>
      <c r="M375">
        <f>IF($AH375="","",INDEX('Per Line'!$M$2:$M$1601,$AH375))</f>
        <v/>
      </c>
      <c r="N375" s="7">
        <f>IF($AH375="","",M375*AE375/100)</f>
        <v/>
      </c>
      <c r="O375">
        <f>IF($AH375="","",INDEX('Per Line'!$Z$2:$Z$1601,$AH375)&amp;"")</f>
        <v/>
      </c>
      <c r="P375">
        <f>IF($AH375="","",INDEX('Per Line'!$AC$2:$AC$1601,$AH375)&amp;"")</f>
        <v/>
      </c>
      <c r="Q375">
        <f>IF($AH375="","",INDEX('Per Line'!$AD$2:$AD$1601,$AH375))</f>
        <v/>
      </c>
      <c r="R375">
        <f>IF($AH375="","",IF(AND(ISNUMBER(Q375),Q375&gt;0),AF375&gt;Q375,FALSE))</f>
        <v/>
      </c>
      <c r="S375">
        <f>IF($AH375="","",INDEX('Per Line'!$AH$2:$AH$1601,$AH375)&amp;"")</f>
        <v/>
      </c>
      <c r="T375" s="11">
        <f>IF($AH375="","",INDEX('Per Line'!$AI$2:$AI$1601,$AH375))</f>
        <v/>
      </c>
      <c r="U375">
        <f>IF($AH375="","",Settings!$C$8)</f>
        <v/>
      </c>
      <c r="V375" s="7">
        <f>IF($AH375="","",SUMIFS('Per Line'!$V$2:$V$1601,'Per Line'!$D$2:$D$1601,$B375,'Per Line'!$AN$2:$AN$1601,1))</f>
        <v/>
      </c>
      <c r="W375" s="7">
        <f>IF($AH375="","",V375*U375)</f>
        <v/>
      </c>
      <c r="X375">
        <f>IF($AH375="","",Settings!$C$7)</f>
        <v/>
      </c>
      <c r="Y375" s="7">
        <f>IF($AH375="","",SUMIFS('Per Line'!$V$2:$V$1601,'Per Line'!$D$2:$D$1601,$B375,'Per Line'!$AM$2:$AM$1601,0,'Per Line'!$AN$2:$AN$1601,0))</f>
        <v/>
      </c>
      <c r="Z375" s="7">
        <f>IF($AH375="","",Y375*X375)</f>
        <v/>
      </c>
      <c r="AA375">
        <f>IF($AH375="","",Settings!$C$6)</f>
        <v/>
      </c>
      <c r="AB375" s="7">
        <f>IF($AH375="","",SUMIFS('Per Line'!$V$2:$V$1601,'Per Line'!$D$2:$D$1601,$B375,'Per Line'!$AM$2:$AM$1601,1,'Per Line'!$AN$2:$AN$1601,0))</f>
        <v/>
      </c>
      <c r="AC375" s="7">
        <f>IF($AH375="","",AB375*AA375)</f>
        <v/>
      </c>
      <c r="AD375" s="7">
        <f>IF($AH375="","",AC375+Z375+W375)</f>
        <v/>
      </c>
      <c r="AE375" s="7">
        <f>IF($AH375="","",AF375-AD375)</f>
        <v/>
      </c>
      <c r="AF375" s="7">
        <f>IF($AH375="","",Y375+AB375+V375)</f>
        <v/>
      </c>
      <c r="AG375" s="7">
        <f>IF($AH375="","",AF375-AD375-N375)</f>
        <v/>
      </c>
      <c r="AH375" s="13">
        <f>IF(ROWS($AH$2:$AH375)&lt;=MAX('Per Line'!$AL$2:$AL$1601),MATCH(ROWS($AH$2:$AH375),'Per Line'!$AL$2:$AL$1601,0),"")</f>
        <v/>
      </c>
    </row>
    <row r="376">
      <c r="A376" s="12" t="n"/>
      <c r="B376">
        <f>IF($AH376="","",INDEX('Per Line'!$D$2:$D$1601,$AH376)&amp;"")</f>
        <v/>
      </c>
      <c r="C376">
        <f>IF($AH376="","",INDEX('Per Line'!$A$2:$A$1601,$AH376)&amp;"")</f>
        <v/>
      </c>
      <c r="D376">
        <f>IF($AH376="","",INDEX('Per Line'!$B$2:$B$1601,$AH376))</f>
        <v/>
      </c>
      <c r="E376">
        <f>IF($AH376="","",INDEX('Per Line'!$C$2:$C$1601,$AH376)&amp;"")</f>
        <v/>
      </c>
      <c r="F376">
        <f>IF($AH376="","",INDEX('Per Line'!$E$2:$E$1601,$AH376)&amp;"")</f>
        <v/>
      </c>
      <c r="G376" s="11">
        <f>IF($AH376="","",INDEX('Per Line'!$F$2:$F$1601,$AH376))</f>
        <v/>
      </c>
      <c r="H376">
        <f>IF($AH376="","",INDEX('Per Line'!$G$2:$G$1601,$AH376)&amp;"")</f>
        <v/>
      </c>
      <c r="I376">
        <f>IF($AH376="","",INDEX('Per Line'!$I$2:$I$1601,$AH376)&amp;"")</f>
        <v/>
      </c>
      <c r="J376">
        <f>IF($AH376="","",INDEX('Per Line'!$J$2:$J$1601,$AH376)&amp;"")</f>
        <v/>
      </c>
      <c r="K376">
        <f>IF($AH376="","",INDEX('Per Line'!$K$2:$K$1601,$AH376)&amp;"")</f>
        <v/>
      </c>
      <c r="L376">
        <f>IF($AH376="","",INDEX('Per Line'!$L$2:$L$1601,$AH376)&amp;"")</f>
        <v/>
      </c>
      <c r="M376">
        <f>IF($AH376="","",INDEX('Per Line'!$M$2:$M$1601,$AH376))</f>
        <v/>
      </c>
      <c r="N376" s="7">
        <f>IF($AH376="","",M376*AE376/100)</f>
        <v/>
      </c>
      <c r="O376">
        <f>IF($AH376="","",INDEX('Per Line'!$Z$2:$Z$1601,$AH376)&amp;"")</f>
        <v/>
      </c>
      <c r="P376">
        <f>IF($AH376="","",INDEX('Per Line'!$AC$2:$AC$1601,$AH376)&amp;"")</f>
        <v/>
      </c>
      <c r="Q376">
        <f>IF($AH376="","",INDEX('Per Line'!$AD$2:$AD$1601,$AH376))</f>
        <v/>
      </c>
      <c r="R376">
        <f>IF($AH376="","",IF(AND(ISNUMBER(Q376),Q376&gt;0),AF376&gt;Q376,FALSE))</f>
        <v/>
      </c>
      <c r="S376">
        <f>IF($AH376="","",INDEX('Per Line'!$AH$2:$AH$1601,$AH376)&amp;"")</f>
        <v/>
      </c>
      <c r="T376" s="11">
        <f>IF($AH376="","",INDEX('Per Line'!$AI$2:$AI$1601,$AH376))</f>
        <v/>
      </c>
      <c r="U376">
        <f>IF($AH376="","",Settings!$C$8)</f>
        <v/>
      </c>
      <c r="V376" s="7">
        <f>IF($AH376="","",SUMIFS('Per Line'!$V$2:$V$1601,'Per Line'!$D$2:$D$1601,$B376,'Per Line'!$AN$2:$AN$1601,1))</f>
        <v/>
      </c>
      <c r="W376" s="7">
        <f>IF($AH376="","",V376*U376)</f>
        <v/>
      </c>
      <c r="X376">
        <f>IF($AH376="","",Settings!$C$7)</f>
        <v/>
      </c>
      <c r="Y376" s="7">
        <f>IF($AH376="","",SUMIFS('Per Line'!$V$2:$V$1601,'Per Line'!$D$2:$D$1601,$B376,'Per Line'!$AM$2:$AM$1601,0,'Per Line'!$AN$2:$AN$1601,0))</f>
        <v/>
      </c>
      <c r="Z376" s="7">
        <f>IF($AH376="","",Y376*X376)</f>
        <v/>
      </c>
      <c r="AA376">
        <f>IF($AH376="","",Settings!$C$6)</f>
        <v/>
      </c>
      <c r="AB376" s="7">
        <f>IF($AH376="","",SUMIFS('Per Line'!$V$2:$V$1601,'Per Line'!$D$2:$D$1601,$B376,'Per Line'!$AM$2:$AM$1601,1,'Per Line'!$AN$2:$AN$1601,0))</f>
        <v/>
      </c>
      <c r="AC376" s="7">
        <f>IF($AH376="","",AB376*AA376)</f>
        <v/>
      </c>
      <c r="AD376" s="7">
        <f>IF($AH376="","",AC376+Z376+W376)</f>
        <v/>
      </c>
      <c r="AE376" s="7">
        <f>IF($AH376="","",AF376-AD376)</f>
        <v/>
      </c>
      <c r="AF376" s="7">
        <f>IF($AH376="","",Y376+AB376+V376)</f>
        <v/>
      </c>
      <c r="AG376" s="7">
        <f>IF($AH376="","",AF376-AD376-N376)</f>
        <v/>
      </c>
      <c r="AH376" s="13">
        <f>IF(ROWS($AH$2:$AH376)&lt;=MAX('Per Line'!$AL$2:$AL$1601),MATCH(ROWS($AH$2:$AH376),'Per Line'!$AL$2:$AL$1601,0),"")</f>
        <v/>
      </c>
    </row>
    <row r="377">
      <c r="A377" s="12" t="n"/>
      <c r="B377">
        <f>IF($AH377="","",INDEX('Per Line'!$D$2:$D$1601,$AH377)&amp;"")</f>
        <v/>
      </c>
      <c r="C377">
        <f>IF($AH377="","",INDEX('Per Line'!$A$2:$A$1601,$AH377)&amp;"")</f>
        <v/>
      </c>
      <c r="D377">
        <f>IF($AH377="","",INDEX('Per Line'!$B$2:$B$1601,$AH377))</f>
        <v/>
      </c>
      <c r="E377">
        <f>IF($AH377="","",INDEX('Per Line'!$C$2:$C$1601,$AH377)&amp;"")</f>
        <v/>
      </c>
      <c r="F377">
        <f>IF($AH377="","",INDEX('Per Line'!$E$2:$E$1601,$AH377)&amp;"")</f>
        <v/>
      </c>
      <c r="G377" s="11">
        <f>IF($AH377="","",INDEX('Per Line'!$F$2:$F$1601,$AH377))</f>
        <v/>
      </c>
      <c r="H377">
        <f>IF($AH377="","",INDEX('Per Line'!$G$2:$G$1601,$AH377)&amp;"")</f>
        <v/>
      </c>
      <c r="I377">
        <f>IF($AH377="","",INDEX('Per Line'!$I$2:$I$1601,$AH377)&amp;"")</f>
        <v/>
      </c>
      <c r="J377">
        <f>IF($AH377="","",INDEX('Per Line'!$J$2:$J$1601,$AH377)&amp;"")</f>
        <v/>
      </c>
      <c r="K377">
        <f>IF($AH377="","",INDEX('Per Line'!$K$2:$K$1601,$AH377)&amp;"")</f>
        <v/>
      </c>
      <c r="L377">
        <f>IF($AH377="","",INDEX('Per Line'!$L$2:$L$1601,$AH377)&amp;"")</f>
        <v/>
      </c>
      <c r="M377">
        <f>IF($AH377="","",INDEX('Per Line'!$M$2:$M$1601,$AH377))</f>
        <v/>
      </c>
      <c r="N377" s="7">
        <f>IF($AH377="","",M377*AE377/100)</f>
        <v/>
      </c>
      <c r="O377">
        <f>IF($AH377="","",INDEX('Per Line'!$Z$2:$Z$1601,$AH377)&amp;"")</f>
        <v/>
      </c>
      <c r="P377">
        <f>IF($AH377="","",INDEX('Per Line'!$AC$2:$AC$1601,$AH377)&amp;"")</f>
        <v/>
      </c>
      <c r="Q377">
        <f>IF($AH377="","",INDEX('Per Line'!$AD$2:$AD$1601,$AH377))</f>
        <v/>
      </c>
      <c r="R377">
        <f>IF($AH377="","",IF(AND(ISNUMBER(Q377),Q377&gt;0),AF377&gt;Q377,FALSE))</f>
        <v/>
      </c>
      <c r="S377">
        <f>IF($AH377="","",INDEX('Per Line'!$AH$2:$AH$1601,$AH377)&amp;"")</f>
        <v/>
      </c>
      <c r="T377" s="11">
        <f>IF($AH377="","",INDEX('Per Line'!$AI$2:$AI$1601,$AH377))</f>
        <v/>
      </c>
      <c r="U377">
        <f>IF($AH377="","",Settings!$C$8)</f>
        <v/>
      </c>
      <c r="V377" s="7">
        <f>IF($AH377="","",SUMIFS('Per Line'!$V$2:$V$1601,'Per Line'!$D$2:$D$1601,$B377,'Per Line'!$AN$2:$AN$1601,1))</f>
        <v/>
      </c>
      <c r="W377" s="7">
        <f>IF($AH377="","",V377*U377)</f>
        <v/>
      </c>
      <c r="X377">
        <f>IF($AH377="","",Settings!$C$7)</f>
        <v/>
      </c>
      <c r="Y377" s="7">
        <f>IF($AH377="","",SUMIFS('Per Line'!$V$2:$V$1601,'Per Line'!$D$2:$D$1601,$B377,'Per Line'!$AM$2:$AM$1601,0,'Per Line'!$AN$2:$AN$1601,0))</f>
        <v/>
      </c>
      <c r="Z377" s="7">
        <f>IF($AH377="","",Y377*X377)</f>
        <v/>
      </c>
      <c r="AA377">
        <f>IF($AH377="","",Settings!$C$6)</f>
        <v/>
      </c>
      <c r="AB377" s="7">
        <f>IF($AH377="","",SUMIFS('Per Line'!$V$2:$V$1601,'Per Line'!$D$2:$D$1601,$B377,'Per Line'!$AM$2:$AM$1601,1,'Per Line'!$AN$2:$AN$1601,0))</f>
        <v/>
      </c>
      <c r="AC377" s="7">
        <f>IF($AH377="","",AB377*AA377)</f>
        <v/>
      </c>
      <c r="AD377" s="7">
        <f>IF($AH377="","",AC377+Z377+W377)</f>
        <v/>
      </c>
      <c r="AE377" s="7">
        <f>IF($AH377="","",AF377-AD377)</f>
        <v/>
      </c>
      <c r="AF377" s="7">
        <f>IF($AH377="","",Y377+AB377+V377)</f>
        <v/>
      </c>
      <c r="AG377" s="7">
        <f>IF($AH377="","",AF377-AD377-N377)</f>
        <v/>
      </c>
      <c r="AH377" s="13">
        <f>IF(ROWS($AH$2:$AH377)&lt;=MAX('Per Line'!$AL$2:$AL$1601),MATCH(ROWS($AH$2:$AH377),'Per Line'!$AL$2:$AL$1601,0),"")</f>
        <v/>
      </c>
    </row>
    <row r="378">
      <c r="A378" s="12" t="n"/>
      <c r="B378">
        <f>IF($AH378="","",INDEX('Per Line'!$D$2:$D$1601,$AH378)&amp;"")</f>
        <v/>
      </c>
      <c r="C378">
        <f>IF($AH378="","",INDEX('Per Line'!$A$2:$A$1601,$AH378)&amp;"")</f>
        <v/>
      </c>
      <c r="D378">
        <f>IF($AH378="","",INDEX('Per Line'!$B$2:$B$1601,$AH378))</f>
        <v/>
      </c>
      <c r="E378">
        <f>IF($AH378="","",INDEX('Per Line'!$C$2:$C$1601,$AH378)&amp;"")</f>
        <v/>
      </c>
      <c r="F378">
        <f>IF($AH378="","",INDEX('Per Line'!$E$2:$E$1601,$AH378)&amp;"")</f>
        <v/>
      </c>
      <c r="G378" s="11">
        <f>IF($AH378="","",INDEX('Per Line'!$F$2:$F$1601,$AH378))</f>
        <v/>
      </c>
      <c r="H378">
        <f>IF($AH378="","",INDEX('Per Line'!$G$2:$G$1601,$AH378)&amp;"")</f>
        <v/>
      </c>
      <c r="I378">
        <f>IF($AH378="","",INDEX('Per Line'!$I$2:$I$1601,$AH378)&amp;"")</f>
        <v/>
      </c>
      <c r="J378">
        <f>IF($AH378="","",INDEX('Per Line'!$J$2:$J$1601,$AH378)&amp;"")</f>
        <v/>
      </c>
      <c r="K378">
        <f>IF($AH378="","",INDEX('Per Line'!$K$2:$K$1601,$AH378)&amp;"")</f>
        <v/>
      </c>
      <c r="L378">
        <f>IF($AH378="","",INDEX('Per Line'!$L$2:$L$1601,$AH378)&amp;"")</f>
        <v/>
      </c>
      <c r="M378">
        <f>IF($AH378="","",INDEX('Per Line'!$M$2:$M$1601,$AH378))</f>
        <v/>
      </c>
      <c r="N378" s="7">
        <f>IF($AH378="","",M378*AE378/100)</f>
        <v/>
      </c>
      <c r="O378">
        <f>IF($AH378="","",INDEX('Per Line'!$Z$2:$Z$1601,$AH378)&amp;"")</f>
        <v/>
      </c>
      <c r="P378">
        <f>IF($AH378="","",INDEX('Per Line'!$AC$2:$AC$1601,$AH378)&amp;"")</f>
        <v/>
      </c>
      <c r="Q378">
        <f>IF($AH378="","",INDEX('Per Line'!$AD$2:$AD$1601,$AH378))</f>
        <v/>
      </c>
      <c r="R378">
        <f>IF($AH378="","",IF(AND(ISNUMBER(Q378),Q378&gt;0),AF378&gt;Q378,FALSE))</f>
        <v/>
      </c>
      <c r="S378">
        <f>IF($AH378="","",INDEX('Per Line'!$AH$2:$AH$1601,$AH378)&amp;"")</f>
        <v/>
      </c>
      <c r="T378" s="11">
        <f>IF($AH378="","",INDEX('Per Line'!$AI$2:$AI$1601,$AH378))</f>
        <v/>
      </c>
      <c r="U378">
        <f>IF($AH378="","",Settings!$C$8)</f>
        <v/>
      </c>
      <c r="V378" s="7">
        <f>IF($AH378="","",SUMIFS('Per Line'!$V$2:$V$1601,'Per Line'!$D$2:$D$1601,$B378,'Per Line'!$AN$2:$AN$1601,1))</f>
        <v/>
      </c>
      <c r="W378" s="7">
        <f>IF($AH378="","",V378*U378)</f>
        <v/>
      </c>
      <c r="X378">
        <f>IF($AH378="","",Settings!$C$7)</f>
        <v/>
      </c>
      <c r="Y378" s="7">
        <f>IF($AH378="","",SUMIFS('Per Line'!$V$2:$V$1601,'Per Line'!$D$2:$D$1601,$B378,'Per Line'!$AM$2:$AM$1601,0,'Per Line'!$AN$2:$AN$1601,0))</f>
        <v/>
      </c>
      <c r="Z378" s="7">
        <f>IF($AH378="","",Y378*X378)</f>
        <v/>
      </c>
      <c r="AA378">
        <f>IF($AH378="","",Settings!$C$6)</f>
        <v/>
      </c>
      <c r="AB378" s="7">
        <f>IF($AH378="","",SUMIFS('Per Line'!$V$2:$V$1601,'Per Line'!$D$2:$D$1601,$B378,'Per Line'!$AM$2:$AM$1601,1,'Per Line'!$AN$2:$AN$1601,0))</f>
        <v/>
      </c>
      <c r="AC378" s="7">
        <f>IF($AH378="","",AB378*AA378)</f>
        <v/>
      </c>
      <c r="AD378" s="7">
        <f>IF($AH378="","",AC378+Z378+W378)</f>
        <v/>
      </c>
      <c r="AE378" s="7">
        <f>IF($AH378="","",AF378-AD378)</f>
        <v/>
      </c>
      <c r="AF378" s="7">
        <f>IF($AH378="","",Y378+AB378+V378)</f>
        <v/>
      </c>
      <c r="AG378" s="7">
        <f>IF($AH378="","",AF378-AD378-N378)</f>
        <v/>
      </c>
      <c r="AH378" s="13">
        <f>IF(ROWS($AH$2:$AH378)&lt;=MAX('Per Line'!$AL$2:$AL$1601),MATCH(ROWS($AH$2:$AH378),'Per Line'!$AL$2:$AL$1601,0),"")</f>
        <v/>
      </c>
    </row>
    <row r="379">
      <c r="A379" s="12" t="n"/>
      <c r="B379">
        <f>IF($AH379="","",INDEX('Per Line'!$D$2:$D$1601,$AH379)&amp;"")</f>
        <v/>
      </c>
      <c r="C379">
        <f>IF($AH379="","",INDEX('Per Line'!$A$2:$A$1601,$AH379)&amp;"")</f>
        <v/>
      </c>
      <c r="D379">
        <f>IF($AH379="","",INDEX('Per Line'!$B$2:$B$1601,$AH379))</f>
        <v/>
      </c>
      <c r="E379">
        <f>IF($AH379="","",INDEX('Per Line'!$C$2:$C$1601,$AH379)&amp;"")</f>
        <v/>
      </c>
      <c r="F379">
        <f>IF($AH379="","",INDEX('Per Line'!$E$2:$E$1601,$AH379)&amp;"")</f>
        <v/>
      </c>
      <c r="G379" s="11">
        <f>IF($AH379="","",INDEX('Per Line'!$F$2:$F$1601,$AH379))</f>
        <v/>
      </c>
      <c r="H379">
        <f>IF($AH379="","",INDEX('Per Line'!$G$2:$G$1601,$AH379)&amp;"")</f>
        <v/>
      </c>
      <c r="I379">
        <f>IF($AH379="","",INDEX('Per Line'!$I$2:$I$1601,$AH379)&amp;"")</f>
        <v/>
      </c>
      <c r="J379">
        <f>IF($AH379="","",INDEX('Per Line'!$J$2:$J$1601,$AH379)&amp;"")</f>
        <v/>
      </c>
      <c r="K379">
        <f>IF($AH379="","",INDEX('Per Line'!$K$2:$K$1601,$AH379)&amp;"")</f>
        <v/>
      </c>
      <c r="L379">
        <f>IF($AH379="","",INDEX('Per Line'!$L$2:$L$1601,$AH379)&amp;"")</f>
        <v/>
      </c>
      <c r="M379">
        <f>IF($AH379="","",INDEX('Per Line'!$M$2:$M$1601,$AH379))</f>
        <v/>
      </c>
      <c r="N379" s="7">
        <f>IF($AH379="","",M379*AE379/100)</f>
        <v/>
      </c>
      <c r="O379">
        <f>IF($AH379="","",INDEX('Per Line'!$Z$2:$Z$1601,$AH379)&amp;"")</f>
        <v/>
      </c>
      <c r="P379">
        <f>IF($AH379="","",INDEX('Per Line'!$AC$2:$AC$1601,$AH379)&amp;"")</f>
        <v/>
      </c>
      <c r="Q379">
        <f>IF($AH379="","",INDEX('Per Line'!$AD$2:$AD$1601,$AH379))</f>
        <v/>
      </c>
      <c r="R379">
        <f>IF($AH379="","",IF(AND(ISNUMBER(Q379),Q379&gt;0),AF379&gt;Q379,FALSE))</f>
        <v/>
      </c>
      <c r="S379">
        <f>IF($AH379="","",INDEX('Per Line'!$AH$2:$AH$1601,$AH379)&amp;"")</f>
        <v/>
      </c>
      <c r="T379" s="11">
        <f>IF($AH379="","",INDEX('Per Line'!$AI$2:$AI$1601,$AH379))</f>
        <v/>
      </c>
      <c r="U379">
        <f>IF($AH379="","",Settings!$C$8)</f>
        <v/>
      </c>
      <c r="V379" s="7">
        <f>IF($AH379="","",SUMIFS('Per Line'!$V$2:$V$1601,'Per Line'!$D$2:$D$1601,$B379,'Per Line'!$AN$2:$AN$1601,1))</f>
        <v/>
      </c>
      <c r="W379" s="7">
        <f>IF($AH379="","",V379*U379)</f>
        <v/>
      </c>
      <c r="X379">
        <f>IF($AH379="","",Settings!$C$7)</f>
        <v/>
      </c>
      <c r="Y379" s="7">
        <f>IF($AH379="","",SUMIFS('Per Line'!$V$2:$V$1601,'Per Line'!$D$2:$D$1601,$B379,'Per Line'!$AM$2:$AM$1601,0,'Per Line'!$AN$2:$AN$1601,0))</f>
        <v/>
      </c>
      <c r="Z379" s="7">
        <f>IF($AH379="","",Y379*X379)</f>
        <v/>
      </c>
      <c r="AA379">
        <f>IF($AH379="","",Settings!$C$6)</f>
        <v/>
      </c>
      <c r="AB379" s="7">
        <f>IF($AH379="","",SUMIFS('Per Line'!$V$2:$V$1601,'Per Line'!$D$2:$D$1601,$B379,'Per Line'!$AM$2:$AM$1601,1,'Per Line'!$AN$2:$AN$1601,0))</f>
        <v/>
      </c>
      <c r="AC379" s="7">
        <f>IF($AH379="","",AB379*AA379)</f>
        <v/>
      </c>
      <c r="AD379" s="7">
        <f>IF($AH379="","",AC379+Z379+W379)</f>
        <v/>
      </c>
      <c r="AE379" s="7">
        <f>IF($AH379="","",AF379-AD379)</f>
        <v/>
      </c>
      <c r="AF379" s="7">
        <f>IF($AH379="","",Y379+AB379+V379)</f>
        <v/>
      </c>
      <c r="AG379" s="7">
        <f>IF($AH379="","",AF379-AD379-N379)</f>
        <v/>
      </c>
      <c r="AH379" s="13">
        <f>IF(ROWS($AH$2:$AH379)&lt;=MAX('Per Line'!$AL$2:$AL$1601),MATCH(ROWS($AH$2:$AH379),'Per Line'!$AL$2:$AL$1601,0),"")</f>
        <v/>
      </c>
    </row>
    <row r="380">
      <c r="A380" s="12" t="n"/>
      <c r="B380">
        <f>IF($AH380="","",INDEX('Per Line'!$D$2:$D$1601,$AH380)&amp;"")</f>
        <v/>
      </c>
      <c r="C380">
        <f>IF($AH380="","",INDEX('Per Line'!$A$2:$A$1601,$AH380)&amp;"")</f>
        <v/>
      </c>
      <c r="D380">
        <f>IF($AH380="","",INDEX('Per Line'!$B$2:$B$1601,$AH380))</f>
        <v/>
      </c>
      <c r="E380">
        <f>IF($AH380="","",INDEX('Per Line'!$C$2:$C$1601,$AH380)&amp;"")</f>
        <v/>
      </c>
      <c r="F380">
        <f>IF($AH380="","",INDEX('Per Line'!$E$2:$E$1601,$AH380)&amp;"")</f>
        <v/>
      </c>
      <c r="G380" s="11">
        <f>IF($AH380="","",INDEX('Per Line'!$F$2:$F$1601,$AH380))</f>
        <v/>
      </c>
      <c r="H380">
        <f>IF($AH380="","",INDEX('Per Line'!$G$2:$G$1601,$AH380)&amp;"")</f>
        <v/>
      </c>
      <c r="I380">
        <f>IF($AH380="","",INDEX('Per Line'!$I$2:$I$1601,$AH380)&amp;"")</f>
        <v/>
      </c>
      <c r="J380">
        <f>IF($AH380="","",INDEX('Per Line'!$J$2:$J$1601,$AH380)&amp;"")</f>
        <v/>
      </c>
      <c r="K380">
        <f>IF($AH380="","",INDEX('Per Line'!$K$2:$K$1601,$AH380)&amp;"")</f>
        <v/>
      </c>
      <c r="L380">
        <f>IF($AH380="","",INDEX('Per Line'!$L$2:$L$1601,$AH380)&amp;"")</f>
        <v/>
      </c>
      <c r="M380">
        <f>IF($AH380="","",INDEX('Per Line'!$M$2:$M$1601,$AH380))</f>
        <v/>
      </c>
      <c r="N380" s="7">
        <f>IF($AH380="","",M380*AE380/100)</f>
        <v/>
      </c>
      <c r="O380">
        <f>IF($AH380="","",INDEX('Per Line'!$Z$2:$Z$1601,$AH380)&amp;"")</f>
        <v/>
      </c>
      <c r="P380">
        <f>IF($AH380="","",INDEX('Per Line'!$AC$2:$AC$1601,$AH380)&amp;"")</f>
        <v/>
      </c>
      <c r="Q380">
        <f>IF($AH380="","",INDEX('Per Line'!$AD$2:$AD$1601,$AH380))</f>
        <v/>
      </c>
      <c r="R380">
        <f>IF($AH380="","",IF(AND(ISNUMBER(Q380),Q380&gt;0),AF380&gt;Q380,FALSE))</f>
        <v/>
      </c>
      <c r="S380">
        <f>IF($AH380="","",INDEX('Per Line'!$AH$2:$AH$1601,$AH380)&amp;"")</f>
        <v/>
      </c>
      <c r="T380" s="11">
        <f>IF($AH380="","",INDEX('Per Line'!$AI$2:$AI$1601,$AH380))</f>
        <v/>
      </c>
      <c r="U380">
        <f>IF($AH380="","",Settings!$C$8)</f>
        <v/>
      </c>
      <c r="V380" s="7">
        <f>IF($AH380="","",SUMIFS('Per Line'!$V$2:$V$1601,'Per Line'!$D$2:$D$1601,$B380,'Per Line'!$AN$2:$AN$1601,1))</f>
        <v/>
      </c>
      <c r="W380" s="7">
        <f>IF($AH380="","",V380*U380)</f>
        <v/>
      </c>
      <c r="X380">
        <f>IF($AH380="","",Settings!$C$7)</f>
        <v/>
      </c>
      <c r="Y380" s="7">
        <f>IF($AH380="","",SUMIFS('Per Line'!$V$2:$V$1601,'Per Line'!$D$2:$D$1601,$B380,'Per Line'!$AM$2:$AM$1601,0,'Per Line'!$AN$2:$AN$1601,0))</f>
        <v/>
      </c>
      <c r="Z380" s="7">
        <f>IF($AH380="","",Y380*X380)</f>
        <v/>
      </c>
      <c r="AA380">
        <f>IF($AH380="","",Settings!$C$6)</f>
        <v/>
      </c>
      <c r="AB380" s="7">
        <f>IF($AH380="","",SUMIFS('Per Line'!$V$2:$V$1601,'Per Line'!$D$2:$D$1601,$B380,'Per Line'!$AM$2:$AM$1601,1,'Per Line'!$AN$2:$AN$1601,0))</f>
        <v/>
      </c>
      <c r="AC380" s="7">
        <f>IF($AH380="","",AB380*AA380)</f>
        <v/>
      </c>
      <c r="AD380" s="7">
        <f>IF($AH380="","",AC380+Z380+W380)</f>
        <v/>
      </c>
      <c r="AE380" s="7">
        <f>IF($AH380="","",AF380-AD380)</f>
        <v/>
      </c>
      <c r="AF380" s="7">
        <f>IF($AH380="","",Y380+AB380+V380)</f>
        <v/>
      </c>
      <c r="AG380" s="7">
        <f>IF($AH380="","",AF380-AD380-N380)</f>
        <v/>
      </c>
      <c r="AH380" s="13">
        <f>IF(ROWS($AH$2:$AH380)&lt;=MAX('Per Line'!$AL$2:$AL$1601),MATCH(ROWS($AH$2:$AH380),'Per Line'!$AL$2:$AL$1601,0),"")</f>
        <v/>
      </c>
    </row>
    <row r="381">
      <c r="A381" s="12" t="n"/>
      <c r="B381">
        <f>IF($AH381="","",INDEX('Per Line'!$D$2:$D$1601,$AH381)&amp;"")</f>
        <v/>
      </c>
      <c r="C381">
        <f>IF($AH381="","",INDEX('Per Line'!$A$2:$A$1601,$AH381)&amp;"")</f>
        <v/>
      </c>
      <c r="D381">
        <f>IF($AH381="","",INDEX('Per Line'!$B$2:$B$1601,$AH381))</f>
        <v/>
      </c>
      <c r="E381">
        <f>IF($AH381="","",INDEX('Per Line'!$C$2:$C$1601,$AH381)&amp;"")</f>
        <v/>
      </c>
      <c r="F381">
        <f>IF($AH381="","",INDEX('Per Line'!$E$2:$E$1601,$AH381)&amp;"")</f>
        <v/>
      </c>
      <c r="G381" s="11">
        <f>IF($AH381="","",INDEX('Per Line'!$F$2:$F$1601,$AH381))</f>
        <v/>
      </c>
      <c r="H381">
        <f>IF($AH381="","",INDEX('Per Line'!$G$2:$G$1601,$AH381)&amp;"")</f>
        <v/>
      </c>
      <c r="I381">
        <f>IF($AH381="","",INDEX('Per Line'!$I$2:$I$1601,$AH381)&amp;"")</f>
        <v/>
      </c>
      <c r="J381">
        <f>IF($AH381="","",INDEX('Per Line'!$J$2:$J$1601,$AH381)&amp;"")</f>
        <v/>
      </c>
      <c r="K381">
        <f>IF($AH381="","",INDEX('Per Line'!$K$2:$K$1601,$AH381)&amp;"")</f>
        <v/>
      </c>
      <c r="L381">
        <f>IF($AH381="","",INDEX('Per Line'!$L$2:$L$1601,$AH381)&amp;"")</f>
        <v/>
      </c>
      <c r="M381">
        <f>IF($AH381="","",INDEX('Per Line'!$M$2:$M$1601,$AH381))</f>
        <v/>
      </c>
      <c r="N381" s="7">
        <f>IF($AH381="","",M381*AE381/100)</f>
        <v/>
      </c>
      <c r="O381">
        <f>IF($AH381="","",INDEX('Per Line'!$Z$2:$Z$1601,$AH381)&amp;"")</f>
        <v/>
      </c>
      <c r="P381">
        <f>IF($AH381="","",INDEX('Per Line'!$AC$2:$AC$1601,$AH381)&amp;"")</f>
        <v/>
      </c>
      <c r="Q381">
        <f>IF($AH381="","",INDEX('Per Line'!$AD$2:$AD$1601,$AH381))</f>
        <v/>
      </c>
      <c r="R381">
        <f>IF($AH381="","",IF(AND(ISNUMBER(Q381),Q381&gt;0),AF381&gt;Q381,FALSE))</f>
        <v/>
      </c>
      <c r="S381">
        <f>IF($AH381="","",INDEX('Per Line'!$AH$2:$AH$1601,$AH381)&amp;"")</f>
        <v/>
      </c>
      <c r="T381" s="11">
        <f>IF($AH381="","",INDEX('Per Line'!$AI$2:$AI$1601,$AH381))</f>
        <v/>
      </c>
      <c r="U381">
        <f>IF($AH381="","",Settings!$C$8)</f>
        <v/>
      </c>
      <c r="V381" s="7">
        <f>IF($AH381="","",SUMIFS('Per Line'!$V$2:$V$1601,'Per Line'!$D$2:$D$1601,$B381,'Per Line'!$AN$2:$AN$1601,1))</f>
        <v/>
      </c>
      <c r="W381" s="7">
        <f>IF($AH381="","",V381*U381)</f>
        <v/>
      </c>
      <c r="X381">
        <f>IF($AH381="","",Settings!$C$7)</f>
        <v/>
      </c>
      <c r="Y381" s="7">
        <f>IF($AH381="","",SUMIFS('Per Line'!$V$2:$V$1601,'Per Line'!$D$2:$D$1601,$B381,'Per Line'!$AM$2:$AM$1601,0,'Per Line'!$AN$2:$AN$1601,0))</f>
        <v/>
      </c>
      <c r="Z381" s="7">
        <f>IF($AH381="","",Y381*X381)</f>
        <v/>
      </c>
      <c r="AA381">
        <f>IF($AH381="","",Settings!$C$6)</f>
        <v/>
      </c>
      <c r="AB381" s="7">
        <f>IF($AH381="","",SUMIFS('Per Line'!$V$2:$V$1601,'Per Line'!$D$2:$D$1601,$B381,'Per Line'!$AM$2:$AM$1601,1,'Per Line'!$AN$2:$AN$1601,0))</f>
        <v/>
      </c>
      <c r="AC381" s="7">
        <f>IF($AH381="","",AB381*AA381)</f>
        <v/>
      </c>
      <c r="AD381" s="7">
        <f>IF($AH381="","",AC381+Z381+W381)</f>
        <v/>
      </c>
      <c r="AE381" s="7">
        <f>IF($AH381="","",AF381-AD381)</f>
        <v/>
      </c>
      <c r="AF381" s="7">
        <f>IF($AH381="","",Y381+AB381+V381)</f>
        <v/>
      </c>
      <c r="AG381" s="7">
        <f>IF($AH381="","",AF381-AD381-N381)</f>
        <v/>
      </c>
      <c r="AH381" s="13">
        <f>IF(ROWS($AH$2:$AH381)&lt;=MAX('Per Line'!$AL$2:$AL$1601),MATCH(ROWS($AH$2:$AH381),'Per Line'!$AL$2:$AL$1601,0),"")</f>
        <v/>
      </c>
    </row>
    <row r="382">
      <c r="A382" s="12" t="n"/>
      <c r="B382">
        <f>IF($AH382="","",INDEX('Per Line'!$D$2:$D$1601,$AH382)&amp;"")</f>
        <v/>
      </c>
      <c r="C382">
        <f>IF($AH382="","",INDEX('Per Line'!$A$2:$A$1601,$AH382)&amp;"")</f>
        <v/>
      </c>
      <c r="D382">
        <f>IF($AH382="","",INDEX('Per Line'!$B$2:$B$1601,$AH382))</f>
        <v/>
      </c>
      <c r="E382">
        <f>IF($AH382="","",INDEX('Per Line'!$C$2:$C$1601,$AH382)&amp;"")</f>
        <v/>
      </c>
      <c r="F382">
        <f>IF($AH382="","",INDEX('Per Line'!$E$2:$E$1601,$AH382)&amp;"")</f>
        <v/>
      </c>
      <c r="G382" s="11">
        <f>IF($AH382="","",INDEX('Per Line'!$F$2:$F$1601,$AH382))</f>
        <v/>
      </c>
      <c r="H382">
        <f>IF($AH382="","",INDEX('Per Line'!$G$2:$G$1601,$AH382)&amp;"")</f>
        <v/>
      </c>
      <c r="I382">
        <f>IF($AH382="","",INDEX('Per Line'!$I$2:$I$1601,$AH382)&amp;"")</f>
        <v/>
      </c>
      <c r="J382">
        <f>IF($AH382="","",INDEX('Per Line'!$J$2:$J$1601,$AH382)&amp;"")</f>
        <v/>
      </c>
      <c r="K382">
        <f>IF($AH382="","",INDEX('Per Line'!$K$2:$K$1601,$AH382)&amp;"")</f>
        <v/>
      </c>
      <c r="L382">
        <f>IF($AH382="","",INDEX('Per Line'!$L$2:$L$1601,$AH382)&amp;"")</f>
        <v/>
      </c>
      <c r="M382">
        <f>IF($AH382="","",INDEX('Per Line'!$M$2:$M$1601,$AH382))</f>
        <v/>
      </c>
      <c r="N382" s="7">
        <f>IF($AH382="","",M382*AE382/100)</f>
        <v/>
      </c>
      <c r="O382">
        <f>IF($AH382="","",INDEX('Per Line'!$Z$2:$Z$1601,$AH382)&amp;"")</f>
        <v/>
      </c>
      <c r="P382">
        <f>IF($AH382="","",INDEX('Per Line'!$AC$2:$AC$1601,$AH382)&amp;"")</f>
        <v/>
      </c>
      <c r="Q382">
        <f>IF($AH382="","",INDEX('Per Line'!$AD$2:$AD$1601,$AH382))</f>
        <v/>
      </c>
      <c r="R382">
        <f>IF($AH382="","",IF(AND(ISNUMBER(Q382),Q382&gt;0),AF382&gt;Q382,FALSE))</f>
        <v/>
      </c>
      <c r="S382">
        <f>IF($AH382="","",INDEX('Per Line'!$AH$2:$AH$1601,$AH382)&amp;"")</f>
        <v/>
      </c>
      <c r="T382" s="11">
        <f>IF($AH382="","",INDEX('Per Line'!$AI$2:$AI$1601,$AH382))</f>
        <v/>
      </c>
      <c r="U382">
        <f>IF($AH382="","",Settings!$C$8)</f>
        <v/>
      </c>
      <c r="V382" s="7">
        <f>IF($AH382="","",SUMIFS('Per Line'!$V$2:$V$1601,'Per Line'!$D$2:$D$1601,$B382,'Per Line'!$AN$2:$AN$1601,1))</f>
        <v/>
      </c>
      <c r="W382" s="7">
        <f>IF($AH382="","",V382*U382)</f>
        <v/>
      </c>
      <c r="X382">
        <f>IF($AH382="","",Settings!$C$7)</f>
        <v/>
      </c>
      <c r="Y382" s="7">
        <f>IF($AH382="","",SUMIFS('Per Line'!$V$2:$V$1601,'Per Line'!$D$2:$D$1601,$B382,'Per Line'!$AM$2:$AM$1601,0,'Per Line'!$AN$2:$AN$1601,0))</f>
        <v/>
      </c>
      <c r="Z382" s="7">
        <f>IF($AH382="","",Y382*X382)</f>
        <v/>
      </c>
      <c r="AA382">
        <f>IF($AH382="","",Settings!$C$6)</f>
        <v/>
      </c>
      <c r="AB382" s="7">
        <f>IF($AH382="","",SUMIFS('Per Line'!$V$2:$V$1601,'Per Line'!$D$2:$D$1601,$B382,'Per Line'!$AM$2:$AM$1601,1,'Per Line'!$AN$2:$AN$1601,0))</f>
        <v/>
      </c>
      <c r="AC382" s="7">
        <f>IF($AH382="","",AB382*AA382)</f>
        <v/>
      </c>
      <c r="AD382" s="7">
        <f>IF($AH382="","",AC382+Z382+W382)</f>
        <v/>
      </c>
      <c r="AE382" s="7">
        <f>IF($AH382="","",AF382-AD382)</f>
        <v/>
      </c>
      <c r="AF382" s="7">
        <f>IF($AH382="","",Y382+AB382+V382)</f>
        <v/>
      </c>
      <c r="AG382" s="7">
        <f>IF($AH382="","",AF382-AD382-N382)</f>
        <v/>
      </c>
      <c r="AH382" s="13">
        <f>IF(ROWS($AH$2:$AH382)&lt;=MAX('Per Line'!$AL$2:$AL$1601),MATCH(ROWS($AH$2:$AH382),'Per Line'!$AL$2:$AL$1601,0),"")</f>
        <v/>
      </c>
    </row>
    <row r="383">
      <c r="A383" s="12" t="n"/>
      <c r="B383">
        <f>IF($AH383="","",INDEX('Per Line'!$D$2:$D$1601,$AH383)&amp;"")</f>
        <v/>
      </c>
      <c r="C383">
        <f>IF($AH383="","",INDEX('Per Line'!$A$2:$A$1601,$AH383)&amp;"")</f>
        <v/>
      </c>
      <c r="D383">
        <f>IF($AH383="","",INDEX('Per Line'!$B$2:$B$1601,$AH383))</f>
        <v/>
      </c>
      <c r="E383">
        <f>IF($AH383="","",INDEX('Per Line'!$C$2:$C$1601,$AH383)&amp;"")</f>
        <v/>
      </c>
      <c r="F383">
        <f>IF($AH383="","",INDEX('Per Line'!$E$2:$E$1601,$AH383)&amp;"")</f>
        <v/>
      </c>
      <c r="G383" s="11">
        <f>IF($AH383="","",INDEX('Per Line'!$F$2:$F$1601,$AH383))</f>
        <v/>
      </c>
      <c r="H383">
        <f>IF($AH383="","",INDEX('Per Line'!$G$2:$G$1601,$AH383)&amp;"")</f>
        <v/>
      </c>
      <c r="I383">
        <f>IF($AH383="","",INDEX('Per Line'!$I$2:$I$1601,$AH383)&amp;"")</f>
        <v/>
      </c>
      <c r="J383">
        <f>IF($AH383="","",INDEX('Per Line'!$J$2:$J$1601,$AH383)&amp;"")</f>
        <v/>
      </c>
      <c r="K383">
        <f>IF($AH383="","",INDEX('Per Line'!$K$2:$K$1601,$AH383)&amp;"")</f>
        <v/>
      </c>
      <c r="L383">
        <f>IF($AH383="","",INDEX('Per Line'!$L$2:$L$1601,$AH383)&amp;"")</f>
        <v/>
      </c>
      <c r="M383">
        <f>IF($AH383="","",INDEX('Per Line'!$M$2:$M$1601,$AH383))</f>
        <v/>
      </c>
      <c r="N383" s="7">
        <f>IF($AH383="","",M383*AE383/100)</f>
        <v/>
      </c>
      <c r="O383">
        <f>IF($AH383="","",INDEX('Per Line'!$Z$2:$Z$1601,$AH383)&amp;"")</f>
        <v/>
      </c>
      <c r="P383">
        <f>IF($AH383="","",INDEX('Per Line'!$AC$2:$AC$1601,$AH383)&amp;"")</f>
        <v/>
      </c>
      <c r="Q383">
        <f>IF($AH383="","",INDEX('Per Line'!$AD$2:$AD$1601,$AH383))</f>
        <v/>
      </c>
      <c r="R383">
        <f>IF($AH383="","",IF(AND(ISNUMBER(Q383),Q383&gt;0),AF383&gt;Q383,FALSE))</f>
        <v/>
      </c>
      <c r="S383">
        <f>IF($AH383="","",INDEX('Per Line'!$AH$2:$AH$1601,$AH383)&amp;"")</f>
        <v/>
      </c>
      <c r="T383" s="11">
        <f>IF($AH383="","",INDEX('Per Line'!$AI$2:$AI$1601,$AH383))</f>
        <v/>
      </c>
      <c r="U383">
        <f>IF($AH383="","",Settings!$C$8)</f>
        <v/>
      </c>
      <c r="V383" s="7">
        <f>IF($AH383="","",SUMIFS('Per Line'!$V$2:$V$1601,'Per Line'!$D$2:$D$1601,$B383,'Per Line'!$AN$2:$AN$1601,1))</f>
        <v/>
      </c>
      <c r="W383" s="7">
        <f>IF($AH383="","",V383*U383)</f>
        <v/>
      </c>
      <c r="X383">
        <f>IF($AH383="","",Settings!$C$7)</f>
        <v/>
      </c>
      <c r="Y383" s="7">
        <f>IF($AH383="","",SUMIFS('Per Line'!$V$2:$V$1601,'Per Line'!$D$2:$D$1601,$B383,'Per Line'!$AM$2:$AM$1601,0,'Per Line'!$AN$2:$AN$1601,0))</f>
        <v/>
      </c>
      <c r="Z383" s="7">
        <f>IF($AH383="","",Y383*X383)</f>
        <v/>
      </c>
      <c r="AA383">
        <f>IF($AH383="","",Settings!$C$6)</f>
        <v/>
      </c>
      <c r="AB383" s="7">
        <f>IF($AH383="","",SUMIFS('Per Line'!$V$2:$V$1601,'Per Line'!$D$2:$D$1601,$B383,'Per Line'!$AM$2:$AM$1601,1,'Per Line'!$AN$2:$AN$1601,0))</f>
        <v/>
      </c>
      <c r="AC383" s="7">
        <f>IF($AH383="","",AB383*AA383)</f>
        <v/>
      </c>
      <c r="AD383" s="7">
        <f>IF($AH383="","",AC383+Z383+W383)</f>
        <v/>
      </c>
      <c r="AE383" s="7">
        <f>IF($AH383="","",AF383-AD383)</f>
        <v/>
      </c>
      <c r="AF383" s="7">
        <f>IF($AH383="","",Y383+AB383+V383)</f>
        <v/>
      </c>
      <c r="AG383" s="7">
        <f>IF($AH383="","",AF383-AD383-N383)</f>
        <v/>
      </c>
      <c r="AH383" s="13">
        <f>IF(ROWS($AH$2:$AH383)&lt;=MAX('Per Line'!$AL$2:$AL$1601),MATCH(ROWS($AH$2:$AH383),'Per Line'!$AL$2:$AL$1601,0),"")</f>
        <v/>
      </c>
    </row>
    <row r="384">
      <c r="A384" s="12" t="n"/>
      <c r="B384">
        <f>IF($AH384="","",INDEX('Per Line'!$D$2:$D$1601,$AH384)&amp;"")</f>
        <v/>
      </c>
      <c r="C384">
        <f>IF($AH384="","",INDEX('Per Line'!$A$2:$A$1601,$AH384)&amp;"")</f>
        <v/>
      </c>
      <c r="D384">
        <f>IF($AH384="","",INDEX('Per Line'!$B$2:$B$1601,$AH384))</f>
        <v/>
      </c>
      <c r="E384">
        <f>IF($AH384="","",INDEX('Per Line'!$C$2:$C$1601,$AH384)&amp;"")</f>
        <v/>
      </c>
      <c r="F384">
        <f>IF($AH384="","",INDEX('Per Line'!$E$2:$E$1601,$AH384)&amp;"")</f>
        <v/>
      </c>
      <c r="G384" s="11">
        <f>IF($AH384="","",INDEX('Per Line'!$F$2:$F$1601,$AH384))</f>
        <v/>
      </c>
      <c r="H384">
        <f>IF($AH384="","",INDEX('Per Line'!$G$2:$G$1601,$AH384)&amp;"")</f>
        <v/>
      </c>
      <c r="I384">
        <f>IF($AH384="","",INDEX('Per Line'!$I$2:$I$1601,$AH384)&amp;"")</f>
        <v/>
      </c>
      <c r="J384">
        <f>IF($AH384="","",INDEX('Per Line'!$J$2:$J$1601,$AH384)&amp;"")</f>
        <v/>
      </c>
      <c r="K384">
        <f>IF($AH384="","",INDEX('Per Line'!$K$2:$K$1601,$AH384)&amp;"")</f>
        <v/>
      </c>
      <c r="L384">
        <f>IF($AH384="","",INDEX('Per Line'!$L$2:$L$1601,$AH384)&amp;"")</f>
        <v/>
      </c>
      <c r="M384">
        <f>IF($AH384="","",INDEX('Per Line'!$M$2:$M$1601,$AH384))</f>
        <v/>
      </c>
      <c r="N384" s="7">
        <f>IF($AH384="","",M384*AE384/100)</f>
        <v/>
      </c>
      <c r="O384">
        <f>IF($AH384="","",INDEX('Per Line'!$Z$2:$Z$1601,$AH384)&amp;"")</f>
        <v/>
      </c>
      <c r="P384">
        <f>IF($AH384="","",INDEX('Per Line'!$AC$2:$AC$1601,$AH384)&amp;"")</f>
        <v/>
      </c>
      <c r="Q384">
        <f>IF($AH384="","",INDEX('Per Line'!$AD$2:$AD$1601,$AH384))</f>
        <v/>
      </c>
      <c r="R384">
        <f>IF($AH384="","",IF(AND(ISNUMBER(Q384),Q384&gt;0),AF384&gt;Q384,FALSE))</f>
        <v/>
      </c>
      <c r="S384">
        <f>IF($AH384="","",INDEX('Per Line'!$AH$2:$AH$1601,$AH384)&amp;"")</f>
        <v/>
      </c>
      <c r="T384" s="11">
        <f>IF($AH384="","",INDEX('Per Line'!$AI$2:$AI$1601,$AH384))</f>
        <v/>
      </c>
      <c r="U384">
        <f>IF($AH384="","",Settings!$C$8)</f>
        <v/>
      </c>
      <c r="V384" s="7">
        <f>IF($AH384="","",SUMIFS('Per Line'!$V$2:$V$1601,'Per Line'!$D$2:$D$1601,$B384,'Per Line'!$AN$2:$AN$1601,1))</f>
        <v/>
      </c>
      <c r="W384" s="7">
        <f>IF($AH384="","",V384*U384)</f>
        <v/>
      </c>
      <c r="X384">
        <f>IF($AH384="","",Settings!$C$7)</f>
        <v/>
      </c>
      <c r="Y384" s="7">
        <f>IF($AH384="","",SUMIFS('Per Line'!$V$2:$V$1601,'Per Line'!$D$2:$D$1601,$B384,'Per Line'!$AM$2:$AM$1601,0,'Per Line'!$AN$2:$AN$1601,0))</f>
        <v/>
      </c>
      <c r="Z384" s="7">
        <f>IF($AH384="","",Y384*X384)</f>
        <v/>
      </c>
      <c r="AA384">
        <f>IF($AH384="","",Settings!$C$6)</f>
        <v/>
      </c>
      <c r="AB384" s="7">
        <f>IF($AH384="","",SUMIFS('Per Line'!$V$2:$V$1601,'Per Line'!$D$2:$D$1601,$B384,'Per Line'!$AM$2:$AM$1601,1,'Per Line'!$AN$2:$AN$1601,0))</f>
        <v/>
      </c>
      <c r="AC384" s="7">
        <f>IF($AH384="","",AB384*AA384)</f>
        <v/>
      </c>
      <c r="AD384" s="7">
        <f>IF($AH384="","",AC384+Z384+W384)</f>
        <v/>
      </c>
      <c r="AE384" s="7">
        <f>IF($AH384="","",AF384-AD384)</f>
        <v/>
      </c>
      <c r="AF384" s="7">
        <f>IF($AH384="","",Y384+AB384+V384)</f>
        <v/>
      </c>
      <c r="AG384" s="7">
        <f>IF($AH384="","",AF384-AD384-N384)</f>
        <v/>
      </c>
      <c r="AH384" s="13">
        <f>IF(ROWS($AH$2:$AH384)&lt;=MAX('Per Line'!$AL$2:$AL$1601),MATCH(ROWS($AH$2:$AH384),'Per Line'!$AL$2:$AL$1601,0),"")</f>
        <v/>
      </c>
    </row>
    <row r="385">
      <c r="A385" s="12" t="n"/>
      <c r="B385">
        <f>IF($AH385="","",INDEX('Per Line'!$D$2:$D$1601,$AH385)&amp;"")</f>
        <v/>
      </c>
      <c r="C385">
        <f>IF($AH385="","",INDEX('Per Line'!$A$2:$A$1601,$AH385)&amp;"")</f>
        <v/>
      </c>
      <c r="D385">
        <f>IF($AH385="","",INDEX('Per Line'!$B$2:$B$1601,$AH385))</f>
        <v/>
      </c>
      <c r="E385">
        <f>IF($AH385="","",INDEX('Per Line'!$C$2:$C$1601,$AH385)&amp;"")</f>
        <v/>
      </c>
      <c r="F385">
        <f>IF($AH385="","",INDEX('Per Line'!$E$2:$E$1601,$AH385)&amp;"")</f>
        <v/>
      </c>
      <c r="G385" s="11">
        <f>IF($AH385="","",INDEX('Per Line'!$F$2:$F$1601,$AH385))</f>
        <v/>
      </c>
      <c r="H385">
        <f>IF($AH385="","",INDEX('Per Line'!$G$2:$G$1601,$AH385)&amp;"")</f>
        <v/>
      </c>
      <c r="I385">
        <f>IF($AH385="","",INDEX('Per Line'!$I$2:$I$1601,$AH385)&amp;"")</f>
        <v/>
      </c>
      <c r="J385">
        <f>IF($AH385="","",INDEX('Per Line'!$J$2:$J$1601,$AH385)&amp;"")</f>
        <v/>
      </c>
      <c r="K385">
        <f>IF($AH385="","",INDEX('Per Line'!$K$2:$K$1601,$AH385)&amp;"")</f>
        <v/>
      </c>
      <c r="L385">
        <f>IF($AH385="","",INDEX('Per Line'!$L$2:$L$1601,$AH385)&amp;"")</f>
        <v/>
      </c>
      <c r="M385">
        <f>IF($AH385="","",INDEX('Per Line'!$M$2:$M$1601,$AH385))</f>
        <v/>
      </c>
      <c r="N385" s="7">
        <f>IF($AH385="","",M385*AE385/100)</f>
        <v/>
      </c>
      <c r="O385">
        <f>IF($AH385="","",INDEX('Per Line'!$Z$2:$Z$1601,$AH385)&amp;"")</f>
        <v/>
      </c>
      <c r="P385">
        <f>IF($AH385="","",INDEX('Per Line'!$AC$2:$AC$1601,$AH385)&amp;"")</f>
        <v/>
      </c>
      <c r="Q385">
        <f>IF($AH385="","",INDEX('Per Line'!$AD$2:$AD$1601,$AH385))</f>
        <v/>
      </c>
      <c r="R385">
        <f>IF($AH385="","",IF(AND(ISNUMBER(Q385),Q385&gt;0),AF385&gt;Q385,FALSE))</f>
        <v/>
      </c>
      <c r="S385">
        <f>IF($AH385="","",INDEX('Per Line'!$AH$2:$AH$1601,$AH385)&amp;"")</f>
        <v/>
      </c>
      <c r="T385" s="11">
        <f>IF($AH385="","",INDEX('Per Line'!$AI$2:$AI$1601,$AH385))</f>
        <v/>
      </c>
      <c r="U385">
        <f>IF($AH385="","",Settings!$C$8)</f>
        <v/>
      </c>
      <c r="V385" s="7">
        <f>IF($AH385="","",SUMIFS('Per Line'!$V$2:$V$1601,'Per Line'!$D$2:$D$1601,$B385,'Per Line'!$AN$2:$AN$1601,1))</f>
        <v/>
      </c>
      <c r="W385" s="7">
        <f>IF($AH385="","",V385*U385)</f>
        <v/>
      </c>
      <c r="X385">
        <f>IF($AH385="","",Settings!$C$7)</f>
        <v/>
      </c>
      <c r="Y385" s="7">
        <f>IF($AH385="","",SUMIFS('Per Line'!$V$2:$V$1601,'Per Line'!$D$2:$D$1601,$B385,'Per Line'!$AM$2:$AM$1601,0,'Per Line'!$AN$2:$AN$1601,0))</f>
        <v/>
      </c>
      <c r="Z385" s="7">
        <f>IF($AH385="","",Y385*X385)</f>
        <v/>
      </c>
      <c r="AA385">
        <f>IF($AH385="","",Settings!$C$6)</f>
        <v/>
      </c>
      <c r="AB385" s="7">
        <f>IF($AH385="","",SUMIFS('Per Line'!$V$2:$V$1601,'Per Line'!$D$2:$D$1601,$B385,'Per Line'!$AM$2:$AM$1601,1,'Per Line'!$AN$2:$AN$1601,0))</f>
        <v/>
      </c>
      <c r="AC385" s="7">
        <f>IF($AH385="","",AB385*AA385)</f>
        <v/>
      </c>
      <c r="AD385" s="7">
        <f>IF($AH385="","",AC385+Z385+W385)</f>
        <v/>
      </c>
      <c r="AE385" s="7">
        <f>IF($AH385="","",AF385-AD385)</f>
        <v/>
      </c>
      <c r="AF385" s="7">
        <f>IF($AH385="","",Y385+AB385+V385)</f>
        <v/>
      </c>
      <c r="AG385" s="7">
        <f>IF($AH385="","",AF385-AD385-N385)</f>
        <v/>
      </c>
      <c r="AH385" s="13">
        <f>IF(ROWS($AH$2:$AH385)&lt;=MAX('Per Line'!$AL$2:$AL$1601),MATCH(ROWS($AH$2:$AH385),'Per Line'!$AL$2:$AL$1601,0),"")</f>
        <v/>
      </c>
    </row>
    <row r="386">
      <c r="A386" s="12" t="n"/>
      <c r="B386">
        <f>IF($AH386="","",INDEX('Per Line'!$D$2:$D$1601,$AH386)&amp;"")</f>
        <v/>
      </c>
      <c r="C386">
        <f>IF($AH386="","",INDEX('Per Line'!$A$2:$A$1601,$AH386)&amp;"")</f>
        <v/>
      </c>
      <c r="D386">
        <f>IF($AH386="","",INDEX('Per Line'!$B$2:$B$1601,$AH386))</f>
        <v/>
      </c>
      <c r="E386">
        <f>IF($AH386="","",INDEX('Per Line'!$C$2:$C$1601,$AH386)&amp;"")</f>
        <v/>
      </c>
      <c r="F386">
        <f>IF($AH386="","",INDEX('Per Line'!$E$2:$E$1601,$AH386)&amp;"")</f>
        <v/>
      </c>
      <c r="G386" s="11">
        <f>IF($AH386="","",INDEX('Per Line'!$F$2:$F$1601,$AH386))</f>
        <v/>
      </c>
      <c r="H386">
        <f>IF($AH386="","",INDEX('Per Line'!$G$2:$G$1601,$AH386)&amp;"")</f>
        <v/>
      </c>
      <c r="I386">
        <f>IF($AH386="","",INDEX('Per Line'!$I$2:$I$1601,$AH386)&amp;"")</f>
        <v/>
      </c>
      <c r="J386">
        <f>IF($AH386="","",INDEX('Per Line'!$J$2:$J$1601,$AH386)&amp;"")</f>
        <v/>
      </c>
      <c r="K386">
        <f>IF($AH386="","",INDEX('Per Line'!$K$2:$K$1601,$AH386)&amp;"")</f>
        <v/>
      </c>
      <c r="L386">
        <f>IF($AH386="","",INDEX('Per Line'!$L$2:$L$1601,$AH386)&amp;"")</f>
        <v/>
      </c>
      <c r="M386">
        <f>IF($AH386="","",INDEX('Per Line'!$M$2:$M$1601,$AH386))</f>
        <v/>
      </c>
      <c r="N386" s="7">
        <f>IF($AH386="","",M386*AE386/100)</f>
        <v/>
      </c>
      <c r="O386">
        <f>IF($AH386="","",INDEX('Per Line'!$Z$2:$Z$1601,$AH386)&amp;"")</f>
        <v/>
      </c>
      <c r="P386">
        <f>IF($AH386="","",INDEX('Per Line'!$AC$2:$AC$1601,$AH386)&amp;"")</f>
        <v/>
      </c>
      <c r="Q386">
        <f>IF($AH386="","",INDEX('Per Line'!$AD$2:$AD$1601,$AH386))</f>
        <v/>
      </c>
      <c r="R386">
        <f>IF($AH386="","",IF(AND(ISNUMBER(Q386),Q386&gt;0),AF386&gt;Q386,FALSE))</f>
        <v/>
      </c>
      <c r="S386">
        <f>IF($AH386="","",INDEX('Per Line'!$AH$2:$AH$1601,$AH386)&amp;"")</f>
        <v/>
      </c>
      <c r="T386" s="11">
        <f>IF($AH386="","",INDEX('Per Line'!$AI$2:$AI$1601,$AH386))</f>
        <v/>
      </c>
      <c r="U386">
        <f>IF($AH386="","",Settings!$C$8)</f>
        <v/>
      </c>
      <c r="V386" s="7">
        <f>IF($AH386="","",SUMIFS('Per Line'!$V$2:$V$1601,'Per Line'!$D$2:$D$1601,$B386,'Per Line'!$AN$2:$AN$1601,1))</f>
        <v/>
      </c>
      <c r="W386" s="7">
        <f>IF($AH386="","",V386*U386)</f>
        <v/>
      </c>
      <c r="X386">
        <f>IF($AH386="","",Settings!$C$7)</f>
        <v/>
      </c>
      <c r="Y386" s="7">
        <f>IF($AH386="","",SUMIFS('Per Line'!$V$2:$V$1601,'Per Line'!$D$2:$D$1601,$B386,'Per Line'!$AM$2:$AM$1601,0,'Per Line'!$AN$2:$AN$1601,0))</f>
        <v/>
      </c>
      <c r="Z386" s="7">
        <f>IF($AH386="","",Y386*X386)</f>
        <v/>
      </c>
      <c r="AA386">
        <f>IF($AH386="","",Settings!$C$6)</f>
        <v/>
      </c>
      <c r="AB386" s="7">
        <f>IF($AH386="","",SUMIFS('Per Line'!$V$2:$V$1601,'Per Line'!$D$2:$D$1601,$B386,'Per Line'!$AM$2:$AM$1601,1,'Per Line'!$AN$2:$AN$1601,0))</f>
        <v/>
      </c>
      <c r="AC386" s="7">
        <f>IF($AH386="","",AB386*AA386)</f>
        <v/>
      </c>
      <c r="AD386" s="7">
        <f>IF($AH386="","",AC386+Z386+W386)</f>
        <v/>
      </c>
      <c r="AE386" s="7">
        <f>IF($AH386="","",AF386-AD386)</f>
        <v/>
      </c>
      <c r="AF386" s="7">
        <f>IF($AH386="","",Y386+AB386+V386)</f>
        <v/>
      </c>
      <c r="AG386" s="7">
        <f>IF($AH386="","",AF386-AD386-N386)</f>
        <v/>
      </c>
      <c r="AH386" s="13">
        <f>IF(ROWS($AH$2:$AH386)&lt;=MAX('Per Line'!$AL$2:$AL$1601),MATCH(ROWS($AH$2:$AH386),'Per Line'!$AL$2:$AL$1601,0),"")</f>
        <v/>
      </c>
    </row>
    <row r="387">
      <c r="A387" s="12" t="n"/>
      <c r="B387">
        <f>IF($AH387="","",INDEX('Per Line'!$D$2:$D$1601,$AH387)&amp;"")</f>
        <v/>
      </c>
      <c r="C387">
        <f>IF($AH387="","",INDEX('Per Line'!$A$2:$A$1601,$AH387)&amp;"")</f>
        <v/>
      </c>
      <c r="D387">
        <f>IF($AH387="","",INDEX('Per Line'!$B$2:$B$1601,$AH387))</f>
        <v/>
      </c>
      <c r="E387">
        <f>IF($AH387="","",INDEX('Per Line'!$C$2:$C$1601,$AH387)&amp;"")</f>
        <v/>
      </c>
      <c r="F387">
        <f>IF($AH387="","",INDEX('Per Line'!$E$2:$E$1601,$AH387)&amp;"")</f>
        <v/>
      </c>
      <c r="G387" s="11">
        <f>IF($AH387="","",INDEX('Per Line'!$F$2:$F$1601,$AH387))</f>
        <v/>
      </c>
      <c r="H387">
        <f>IF($AH387="","",INDEX('Per Line'!$G$2:$G$1601,$AH387)&amp;"")</f>
        <v/>
      </c>
      <c r="I387">
        <f>IF($AH387="","",INDEX('Per Line'!$I$2:$I$1601,$AH387)&amp;"")</f>
        <v/>
      </c>
      <c r="J387">
        <f>IF($AH387="","",INDEX('Per Line'!$J$2:$J$1601,$AH387)&amp;"")</f>
        <v/>
      </c>
      <c r="K387">
        <f>IF($AH387="","",INDEX('Per Line'!$K$2:$K$1601,$AH387)&amp;"")</f>
        <v/>
      </c>
      <c r="L387">
        <f>IF($AH387="","",INDEX('Per Line'!$L$2:$L$1601,$AH387)&amp;"")</f>
        <v/>
      </c>
      <c r="M387">
        <f>IF($AH387="","",INDEX('Per Line'!$M$2:$M$1601,$AH387))</f>
        <v/>
      </c>
      <c r="N387" s="7">
        <f>IF($AH387="","",M387*AE387/100)</f>
        <v/>
      </c>
      <c r="O387">
        <f>IF($AH387="","",INDEX('Per Line'!$Z$2:$Z$1601,$AH387)&amp;"")</f>
        <v/>
      </c>
      <c r="P387">
        <f>IF($AH387="","",INDEX('Per Line'!$AC$2:$AC$1601,$AH387)&amp;"")</f>
        <v/>
      </c>
      <c r="Q387">
        <f>IF($AH387="","",INDEX('Per Line'!$AD$2:$AD$1601,$AH387))</f>
        <v/>
      </c>
      <c r="R387">
        <f>IF($AH387="","",IF(AND(ISNUMBER(Q387),Q387&gt;0),AF387&gt;Q387,FALSE))</f>
        <v/>
      </c>
      <c r="S387">
        <f>IF($AH387="","",INDEX('Per Line'!$AH$2:$AH$1601,$AH387)&amp;"")</f>
        <v/>
      </c>
      <c r="T387" s="11">
        <f>IF($AH387="","",INDEX('Per Line'!$AI$2:$AI$1601,$AH387))</f>
        <v/>
      </c>
      <c r="U387">
        <f>IF($AH387="","",Settings!$C$8)</f>
        <v/>
      </c>
      <c r="V387" s="7">
        <f>IF($AH387="","",SUMIFS('Per Line'!$V$2:$V$1601,'Per Line'!$D$2:$D$1601,$B387,'Per Line'!$AN$2:$AN$1601,1))</f>
        <v/>
      </c>
      <c r="W387" s="7">
        <f>IF($AH387="","",V387*U387)</f>
        <v/>
      </c>
      <c r="X387">
        <f>IF($AH387="","",Settings!$C$7)</f>
        <v/>
      </c>
      <c r="Y387" s="7">
        <f>IF($AH387="","",SUMIFS('Per Line'!$V$2:$V$1601,'Per Line'!$D$2:$D$1601,$B387,'Per Line'!$AM$2:$AM$1601,0,'Per Line'!$AN$2:$AN$1601,0))</f>
        <v/>
      </c>
      <c r="Z387" s="7">
        <f>IF($AH387="","",Y387*X387)</f>
        <v/>
      </c>
      <c r="AA387">
        <f>IF($AH387="","",Settings!$C$6)</f>
        <v/>
      </c>
      <c r="AB387" s="7">
        <f>IF($AH387="","",SUMIFS('Per Line'!$V$2:$V$1601,'Per Line'!$D$2:$D$1601,$B387,'Per Line'!$AM$2:$AM$1601,1,'Per Line'!$AN$2:$AN$1601,0))</f>
        <v/>
      </c>
      <c r="AC387" s="7">
        <f>IF($AH387="","",AB387*AA387)</f>
        <v/>
      </c>
      <c r="AD387" s="7">
        <f>IF($AH387="","",AC387+Z387+W387)</f>
        <v/>
      </c>
      <c r="AE387" s="7">
        <f>IF($AH387="","",AF387-AD387)</f>
        <v/>
      </c>
      <c r="AF387" s="7">
        <f>IF($AH387="","",Y387+AB387+V387)</f>
        <v/>
      </c>
      <c r="AG387" s="7">
        <f>IF($AH387="","",AF387-AD387-N387)</f>
        <v/>
      </c>
      <c r="AH387" s="13">
        <f>IF(ROWS($AH$2:$AH387)&lt;=MAX('Per Line'!$AL$2:$AL$1601),MATCH(ROWS($AH$2:$AH387),'Per Line'!$AL$2:$AL$1601,0),"")</f>
        <v/>
      </c>
    </row>
    <row r="388">
      <c r="A388" s="12" t="n"/>
      <c r="B388">
        <f>IF($AH388="","",INDEX('Per Line'!$D$2:$D$1601,$AH388)&amp;"")</f>
        <v/>
      </c>
      <c r="C388">
        <f>IF($AH388="","",INDEX('Per Line'!$A$2:$A$1601,$AH388)&amp;"")</f>
        <v/>
      </c>
      <c r="D388">
        <f>IF($AH388="","",INDEX('Per Line'!$B$2:$B$1601,$AH388))</f>
        <v/>
      </c>
      <c r="E388">
        <f>IF($AH388="","",INDEX('Per Line'!$C$2:$C$1601,$AH388)&amp;"")</f>
        <v/>
      </c>
      <c r="F388">
        <f>IF($AH388="","",INDEX('Per Line'!$E$2:$E$1601,$AH388)&amp;"")</f>
        <v/>
      </c>
      <c r="G388" s="11">
        <f>IF($AH388="","",INDEX('Per Line'!$F$2:$F$1601,$AH388))</f>
        <v/>
      </c>
      <c r="H388">
        <f>IF($AH388="","",INDEX('Per Line'!$G$2:$G$1601,$AH388)&amp;"")</f>
        <v/>
      </c>
      <c r="I388">
        <f>IF($AH388="","",INDEX('Per Line'!$I$2:$I$1601,$AH388)&amp;"")</f>
        <v/>
      </c>
      <c r="J388">
        <f>IF($AH388="","",INDEX('Per Line'!$J$2:$J$1601,$AH388)&amp;"")</f>
        <v/>
      </c>
      <c r="K388">
        <f>IF($AH388="","",INDEX('Per Line'!$K$2:$K$1601,$AH388)&amp;"")</f>
        <v/>
      </c>
      <c r="L388">
        <f>IF($AH388="","",INDEX('Per Line'!$L$2:$L$1601,$AH388)&amp;"")</f>
        <v/>
      </c>
      <c r="M388">
        <f>IF($AH388="","",INDEX('Per Line'!$M$2:$M$1601,$AH388))</f>
        <v/>
      </c>
      <c r="N388" s="7">
        <f>IF($AH388="","",M388*AE388/100)</f>
        <v/>
      </c>
      <c r="O388">
        <f>IF($AH388="","",INDEX('Per Line'!$Z$2:$Z$1601,$AH388)&amp;"")</f>
        <v/>
      </c>
      <c r="P388">
        <f>IF($AH388="","",INDEX('Per Line'!$AC$2:$AC$1601,$AH388)&amp;"")</f>
        <v/>
      </c>
      <c r="Q388">
        <f>IF($AH388="","",INDEX('Per Line'!$AD$2:$AD$1601,$AH388))</f>
        <v/>
      </c>
      <c r="R388">
        <f>IF($AH388="","",IF(AND(ISNUMBER(Q388),Q388&gt;0),AF388&gt;Q388,FALSE))</f>
        <v/>
      </c>
      <c r="S388">
        <f>IF($AH388="","",INDEX('Per Line'!$AH$2:$AH$1601,$AH388)&amp;"")</f>
        <v/>
      </c>
      <c r="T388" s="11">
        <f>IF($AH388="","",INDEX('Per Line'!$AI$2:$AI$1601,$AH388))</f>
        <v/>
      </c>
      <c r="U388">
        <f>IF($AH388="","",Settings!$C$8)</f>
        <v/>
      </c>
      <c r="V388" s="7">
        <f>IF($AH388="","",SUMIFS('Per Line'!$V$2:$V$1601,'Per Line'!$D$2:$D$1601,$B388,'Per Line'!$AN$2:$AN$1601,1))</f>
        <v/>
      </c>
      <c r="W388" s="7">
        <f>IF($AH388="","",V388*U388)</f>
        <v/>
      </c>
      <c r="X388">
        <f>IF($AH388="","",Settings!$C$7)</f>
        <v/>
      </c>
      <c r="Y388" s="7">
        <f>IF($AH388="","",SUMIFS('Per Line'!$V$2:$V$1601,'Per Line'!$D$2:$D$1601,$B388,'Per Line'!$AM$2:$AM$1601,0,'Per Line'!$AN$2:$AN$1601,0))</f>
        <v/>
      </c>
      <c r="Z388" s="7">
        <f>IF($AH388="","",Y388*X388)</f>
        <v/>
      </c>
      <c r="AA388">
        <f>IF($AH388="","",Settings!$C$6)</f>
        <v/>
      </c>
      <c r="AB388" s="7">
        <f>IF($AH388="","",SUMIFS('Per Line'!$V$2:$V$1601,'Per Line'!$D$2:$D$1601,$B388,'Per Line'!$AM$2:$AM$1601,1,'Per Line'!$AN$2:$AN$1601,0))</f>
        <v/>
      </c>
      <c r="AC388" s="7">
        <f>IF($AH388="","",AB388*AA388)</f>
        <v/>
      </c>
      <c r="AD388" s="7">
        <f>IF($AH388="","",AC388+Z388+W388)</f>
        <v/>
      </c>
      <c r="AE388" s="7">
        <f>IF($AH388="","",AF388-AD388)</f>
        <v/>
      </c>
      <c r="AF388" s="7">
        <f>IF($AH388="","",Y388+AB388+V388)</f>
        <v/>
      </c>
      <c r="AG388" s="7">
        <f>IF($AH388="","",AF388-AD388-N388)</f>
        <v/>
      </c>
      <c r="AH388" s="13">
        <f>IF(ROWS($AH$2:$AH388)&lt;=MAX('Per Line'!$AL$2:$AL$1601),MATCH(ROWS($AH$2:$AH388),'Per Line'!$AL$2:$AL$1601,0),"")</f>
        <v/>
      </c>
    </row>
    <row r="389">
      <c r="A389" s="12" t="n"/>
      <c r="B389">
        <f>IF($AH389="","",INDEX('Per Line'!$D$2:$D$1601,$AH389)&amp;"")</f>
        <v/>
      </c>
      <c r="C389">
        <f>IF($AH389="","",INDEX('Per Line'!$A$2:$A$1601,$AH389)&amp;"")</f>
        <v/>
      </c>
      <c r="D389">
        <f>IF($AH389="","",INDEX('Per Line'!$B$2:$B$1601,$AH389))</f>
        <v/>
      </c>
      <c r="E389">
        <f>IF($AH389="","",INDEX('Per Line'!$C$2:$C$1601,$AH389)&amp;"")</f>
        <v/>
      </c>
      <c r="F389">
        <f>IF($AH389="","",INDEX('Per Line'!$E$2:$E$1601,$AH389)&amp;"")</f>
        <v/>
      </c>
      <c r="G389" s="11">
        <f>IF($AH389="","",INDEX('Per Line'!$F$2:$F$1601,$AH389))</f>
        <v/>
      </c>
      <c r="H389">
        <f>IF($AH389="","",INDEX('Per Line'!$G$2:$G$1601,$AH389)&amp;"")</f>
        <v/>
      </c>
      <c r="I389">
        <f>IF($AH389="","",INDEX('Per Line'!$I$2:$I$1601,$AH389)&amp;"")</f>
        <v/>
      </c>
      <c r="J389">
        <f>IF($AH389="","",INDEX('Per Line'!$J$2:$J$1601,$AH389)&amp;"")</f>
        <v/>
      </c>
      <c r="K389">
        <f>IF($AH389="","",INDEX('Per Line'!$K$2:$K$1601,$AH389)&amp;"")</f>
        <v/>
      </c>
      <c r="L389">
        <f>IF($AH389="","",INDEX('Per Line'!$L$2:$L$1601,$AH389)&amp;"")</f>
        <v/>
      </c>
      <c r="M389">
        <f>IF($AH389="","",INDEX('Per Line'!$M$2:$M$1601,$AH389))</f>
        <v/>
      </c>
      <c r="N389" s="7">
        <f>IF($AH389="","",M389*AE389/100)</f>
        <v/>
      </c>
      <c r="O389">
        <f>IF($AH389="","",INDEX('Per Line'!$Z$2:$Z$1601,$AH389)&amp;"")</f>
        <v/>
      </c>
      <c r="P389">
        <f>IF($AH389="","",INDEX('Per Line'!$AC$2:$AC$1601,$AH389)&amp;"")</f>
        <v/>
      </c>
      <c r="Q389">
        <f>IF($AH389="","",INDEX('Per Line'!$AD$2:$AD$1601,$AH389))</f>
        <v/>
      </c>
      <c r="R389">
        <f>IF($AH389="","",IF(AND(ISNUMBER(Q389),Q389&gt;0),AF389&gt;Q389,FALSE))</f>
        <v/>
      </c>
      <c r="S389">
        <f>IF($AH389="","",INDEX('Per Line'!$AH$2:$AH$1601,$AH389)&amp;"")</f>
        <v/>
      </c>
      <c r="T389" s="11">
        <f>IF($AH389="","",INDEX('Per Line'!$AI$2:$AI$1601,$AH389))</f>
        <v/>
      </c>
      <c r="U389">
        <f>IF($AH389="","",Settings!$C$8)</f>
        <v/>
      </c>
      <c r="V389" s="7">
        <f>IF($AH389="","",SUMIFS('Per Line'!$V$2:$V$1601,'Per Line'!$D$2:$D$1601,$B389,'Per Line'!$AN$2:$AN$1601,1))</f>
        <v/>
      </c>
      <c r="W389" s="7">
        <f>IF($AH389="","",V389*U389)</f>
        <v/>
      </c>
      <c r="X389">
        <f>IF($AH389="","",Settings!$C$7)</f>
        <v/>
      </c>
      <c r="Y389" s="7">
        <f>IF($AH389="","",SUMIFS('Per Line'!$V$2:$V$1601,'Per Line'!$D$2:$D$1601,$B389,'Per Line'!$AM$2:$AM$1601,0,'Per Line'!$AN$2:$AN$1601,0))</f>
        <v/>
      </c>
      <c r="Z389" s="7">
        <f>IF($AH389="","",Y389*X389)</f>
        <v/>
      </c>
      <c r="AA389">
        <f>IF($AH389="","",Settings!$C$6)</f>
        <v/>
      </c>
      <c r="AB389" s="7">
        <f>IF($AH389="","",SUMIFS('Per Line'!$V$2:$V$1601,'Per Line'!$D$2:$D$1601,$B389,'Per Line'!$AM$2:$AM$1601,1,'Per Line'!$AN$2:$AN$1601,0))</f>
        <v/>
      </c>
      <c r="AC389" s="7">
        <f>IF($AH389="","",AB389*AA389)</f>
        <v/>
      </c>
      <c r="AD389" s="7">
        <f>IF($AH389="","",AC389+Z389+W389)</f>
        <v/>
      </c>
      <c r="AE389" s="7">
        <f>IF($AH389="","",AF389-AD389)</f>
        <v/>
      </c>
      <c r="AF389" s="7">
        <f>IF($AH389="","",Y389+AB389+V389)</f>
        <v/>
      </c>
      <c r="AG389" s="7">
        <f>IF($AH389="","",AF389-AD389-N389)</f>
        <v/>
      </c>
      <c r="AH389" s="13">
        <f>IF(ROWS($AH$2:$AH389)&lt;=MAX('Per Line'!$AL$2:$AL$1601),MATCH(ROWS($AH$2:$AH389),'Per Line'!$AL$2:$AL$1601,0),"")</f>
        <v/>
      </c>
    </row>
    <row r="390">
      <c r="A390" s="12" t="n"/>
      <c r="B390">
        <f>IF($AH390="","",INDEX('Per Line'!$D$2:$D$1601,$AH390)&amp;"")</f>
        <v/>
      </c>
      <c r="C390">
        <f>IF($AH390="","",INDEX('Per Line'!$A$2:$A$1601,$AH390)&amp;"")</f>
        <v/>
      </c>
      <c r="D390">
        <f>IF($AH390="","",INDEX('Per Line'!$B$2:$B$1601,$AH390))</f>
        <v/>
      </c>
      <c r="E390">
        <f>IF($AH390="","",INDEX('Per Line'!$C$2:$C$1601,$AH390)&amp;"")</f>
        <v/>
      </c>
      <c r="F390">
        <f>IF($AH390="","",INDEX('Per Line'!$E$2:$E$1601,$AH390)&amp;"")</f>
        <v/>
      </c>
      <c r="G390" s="11">
        <f>IF($AH390="","",INDEX('Per Line'!$F$2:$F$1601,$AH390))</f>
        <v/>
      </c>
      <c r="H390">
        <f>IF($AH390="","",INDEX('Per Line'!$G$2:$G$1601,$AH390)&amp;"")</f>
        <v/>
      </c>
      <c r="I390">
        <f>IF($AH390="","",INDEX('Per Line'!$I$2:$I$1601,$AH390)&amp;"")</f>
        <v/>
      </c>
      <c r="J390">
        <f>IF($AH390="","",INDEX('Per Line'!$J$2:$J$1601,$AH390)&amp;"")</f>
        <v/>
      </c>
      <c r="K390">
        <f>IF($AH390="","",INDEX('Per Line'!$K$2:$K$1601,$AH390)&amp;"")</f>
        <v/>
      </c>
      <c r="L390">
        <f>IF($AH390="","",INDEX('Per Line'!$L$2:$L$1601,$AH390)&amp;"")</f>
        <v/>
      </c>
      <c r="M390">
        <f>IF($AH390="","",INDEX('Per Line'!$M$2:$M$1601,$AH390))</f>
        <v/>
      </c>
      <c r="N390" s="7">
        <f>IF($AH390="","",M390*AE390/100)</f>
        <v/>
      </c>
      <c r="O390">
        <f>IF($AH390="","",INDEX('Per Line'!$Z$2:$Z$1601,$AH390)&amp;"")</f>
        <v/>
      </c>
      <c r="P390">
        <f>IF($AH390="","",INDEX('Per Line'!$AC$2:$AC$1601,$AH390)&amp;"")</f>
        <v/>
      </c>
      <c r="Q390">
        <f>IF($AH390="","",INDEX('Per Line'!$AD$2:$AD$1601,$AH390))</f>
        <v/>
      </c>
      <c r="R390">
        <f>IF($AH390="","",IF(AND(ISNUMBER(Q390),Q390&gt;0),AF390&gt;Q390,FALSE))</f>
        <v/>
      </c>
      <c r="S390">
        <f>IF($AH390="","",INDEX('Per Line'!$AH$2:$AH$1601,$AH390)&amp;"")</f>
        <v/>
      </c>
      <c r="T390" s="11">
        <f>IF($AH390="","",INDEX('Per Line'!$AI$2:$AI$1601,$AH390))</f>
        <v/>
      </c>
      <c r="U390">
        <f>IF($AH390="","",Settings!$C$8)</f>
        <v/>
      </c>
      <c r="V390" s="7">
        <f>IF($AH390="","",SUMIFS('Per Line'!$V$2:$V$1601,'Per Line'!$D$2:$D$1601,$B390,'Per Line'!$AN$2:$AN$1601,1))</f>
        <v/>
      </c>
      <c r="W390" s="7">
        <f>IF($AH390="","",V390*U390)</f>
        <v/>
      </c>
      <c r="X390">
        <f>IF($AH390="","",Settings!$C$7)</f>
        <v/>
      </c>
      <c r="Y390" s="7">
        <f>IF($AH390="","",SUMIFS('Per Line'!$V$2:$V$1601,'Per Line'!$D$2:$D$1601,$B390,'Per Line'!$AM$2:$AM$1601,0,'Per Line'!$AN$2:$AN$1601,0))</f>
        <v/>
      </c>
      <c r="Z390" s="7">
        <f>IF($AH390="","",Y390*X390)</f>
        <v/>
      </c>
      <c r="AA390">
        <f>IF($AH390="","",Settings!$C$6)</f>
        <v/>
      </c>
      <c r="AB390" s="7">
        <f>IF($AH390="","",SUMIFS('Per Line'!$V$2:$V$1601,'Per Line'!$D$2:$D$1601,$B390,'Per Line'!$AM$2:$AM$1601,1,'Per Line'!$AN$2:$AN$1601,0))</f>
        <v/>
      </c>
      <c r="AC390" s="7">
        <f>IF($AH390="","",AB390*AA390)</f>
        <v/>
      </c>
      <c r="AD390" s="7">
        <f>IF($AH390="","",AC390+Z390+W390)</f>
        <v/>
      </c>
      <c r="AE390" s="7">
        <f>IF($AH390="","",AF390-AD390)</f>
        <v/>
      </c>
      <c r="AF390" s="7">
        <f>IF($AH390="","",Y390+AB390+V390)</f>
        <v/>
      </c>
      <c r="AG390" s="7">
        <f>IF($AH390="","",AF390-AD390-N390)</f>
        <v/>
      </c>
      <c r="AH390" s="13">
        <f>IF(ROWS($AH$2:$AH390)&lt;=MAX('Per Line'!$AL$2:$AL$1601),MATCH(ROWS($AH$2:$AH390),'Per Line'!$AL$2:$AL$1601,0),"")</f>
        <v/>
      </c>
    </row>
    <row r="391">
      <c r="A391" s="12" t="n"/>
      <c r="B391">
        <f>IF($AH391="","",INDEX('Per Line'!$D$2:$D$1601,$AH391)&amp;"")</f>
        <v/>
      </c>
      <c r="C391">
        <f>IF($AH391="","",INDEX('Per Line'!$A$2:$A$1601,$AH391)&amp;"")</f>
        <v/>
      </c>
      <c r="D391">
        <f>IF($AH391="","",INDEX('Per Line'!$B$2:$B$1601,$AH391))</f>
        <v/>
      </c>
      <c r="E391">
        <f>IF($AH391="","",INDEX('Per Line'!$C$2:$C$1601,$AH391)&amp;"")</f>
        <v/>
      </c>
      <c r="F391">
        <f>IF($AH391="","",INDEX('Per Line'!$E$2:$E$1601,$AH391)&amp;"")</f>
        <v/>
      </c>
      <c r="G391" s="11">
        <f>IF($AH391="","",INDEX('Per Line'!$F$2:$F$1601,$AH391))</f>
        <v/>
      </c>
      <c r="H391">
        <f>IF($AH391="","",INDEX('Per Line'!$G$2:$G$1601,$AH391)&amp;"")</f>
        <v/>
      </c>
      <c r="I391">
        <f>IF($AH391="","",INDEX('Per Line'!$I$2:$I$1601,$AH391)&amp;"")</f>
        <v/>
      </c>
      <c r="J391">
        <f>IF($AH391="","",INDEX('Per Line'!$J$2:$J$1601,$AH391)&amp;"")</f>
        <v/>
      </c>
      <c r="K391">
        <f>IF($AH391="","",INDEX('Per Line'!$K$2:$K$1601,$AH391)&amp;"")</f>
        <v/>
      </c>
      <c r="L391">
        <f>IF($AH391="","",INDEX('Per Line'!$L$2:$L$1601,$AH391)&amp;"")</f>
        <v/>
      </c>
      <c r="M391">
        <f>IF($AH391="","",INDEX('Per Line'!$M$2:$M$1601,$AH391))</f>
        <v/>
      </c>
      <c r="N391" s="7">
        <f>IF($AH391="","",M391*AE391/100)</f>
        <v/>
      </c>
      <c r="O391">
        <f>IF($AH391="","",INDEX('Per Line'!$Z$2:$Z$1601,$AH391)&amp;"")</f>
        <v/>
      </c>
      <c r="P391">
        <f>IF($AH391="","",INDEX('Per Line'!$AC$2:$AC$1601,$AH391)&amp;"")</f>
        <v/>
      </c>
      <c r="Q391">
        <f>IF($AH391="","",INDEX('Per Line'!$AD$2:$AD$1601,$AH391))</f>
        <v/>
      </c>
      <c r="R391">
        <f>IF($AH391="","",IF(AND(ISNUMBER(Q391),Q391&gt;0),AF391&gt;Q391,FALSE))</f>
        <v/>
      </c>
      <c r="S391">
        <f>IF($AH391="","",INDEX('Per Line'!$AH$2:$AH$1601,$AH391)&amp;"")</f>
        <v/>
      </c>
      <c r="T391" s="11">
        <f>IF($AH391="","",INDEX('Per Line'!$AI$2:$AI$1601,$AH391))</f>
        <v/>
      </c>
      <c r="U391">
        <f>IF($AH391="","",Settings!$C$8)</f>
        <v/>
      </c>
      <c r="V391" s="7">
        <f>IF($AH391="","",SUMIFS('Per Line'!$V$2:$V$1601,'Per Line'!$D$2:$D$1601,$B391,'Per Line'!$AN$2:$AN$1601,1))</f>
        <v/>
      </c>
      <c r="W391" s="7">
        <f>IF($AH391="","",V391*U391)</f>
        <v/>
      </c>
      <c r="X391">
        <f>IF($AH391="","",Settings!$C$7)</f>
        <v/>
      </c>
      <c r="Y391" s="7">
        <f>IF($AH391="","",SUMIFS('Per Line'!$V$2:$V$1601,'Per Line'!$D$2:$D$1601,$B391,'Per Line'!$AM$2:$AM$1601,0,'Per Line'!$AN$2:$AN$1601,0))</f>
        <v/>
      </c>
      <c r="Z391" s="7">
        <f>IF($AH391="","",Y391*X391)</f>
        <v/>
      </c>
      <c r="AA391">
        <f>IF($AH391="","",Settings!$C$6)</f>
        <v/>
      </c>
      <c r="AB391" s="7">
        <f>IF($AH391="","",SUMIFS('Per Line'!$V$2:$V$1601,'Per Line'!$D$2:$D$1601,$B391,'Per Line'!$AM$2:$AM$1601,1,'Per Line'!$AN$2:$AN$1601,0))</f>
        <v/>
      </c>
      <c r="AC391" s="7">
        <f>IF($AH391="","",AB391*AA391)</f>
        <v/>
      </c>
      <c r="AD391" s="7">
        <f>IF($AH391="","",AC391+Z391+W391)</f>
        <v/>
      </c>
      <c r="AE391" s="7">
        <f>IF($AH391="","",AF391-AD391)</f>
        <v/>
      </c>
      <c r="AF391" s="7">
        <f>IF($AH391="","",Y391+AB391+V391)</f>
        <v/>
      </c>
      <c r="AG391" s="7">
        <f>IF($AH391="","",AF391-AD391-N391)</f>
        <v/>
      </c>
      <c r="AH391" s="13">
        <f>IF(ROWS($AH$2:$AH391)&lt;=MAX('Per Line'!$AL$2:$AL$1601),MATCH(ROWS($AH$2:$AH391),'Per Line'!$AL$2:$AL$1601,0),"")</f>
        <v/>
      </c>
    </row>
    <row r="392">
      <c r="A392" s="12" t="n"/>
      <c r="B392">
        <f>IF($AH392="","",INDEX('Per Line'!$D$2:$D$1601,$AH392)&amp;"")</f>
        <v/>
      </c>
      <c r="C392">
        <f>IF($AH392="","",INDEX('Per Line'!$A$2:$A$1601,$AH392)&amp;"")</f>
        <v/>
      </c>
      <c r="D392">
        <f>IF($AH392="","",INDEX('Per Line'!$B$2:$B$1601,$AH392))</f>
        <v/>
      </c>
      <c r="E392">
        <f>IF($AH392="","",INDEX('Per Line'!$C$2:$C$1601,$AH392)&amp;"")</f>
        <v/>
      </c>
      <c r="F392">
        <f>IF($AH392="","",INDEX('Per Line'!$E$2:$E$1601,$AH392)&amp;"")</f>
        <v/>
      </c>
      <c r="G392" s="11">
        <f>IF($AH392="","",INDEX('Per Line'!$F$2:$F$1601,$AH392))</f>
        <v/>
      </c>
      <c r="H392">
        <f>IF($AH392="","",INDEX('Per Line'!$G$2:$G$1601,$AH392)&amp;"")</f>
        <v/>
      </c>
      <c r="I392">
        <f>IF($AH392="","",INDEX('Per Line'!$I$2:$I$1601,$AH392)&amp;"")</f>
        <v/>
      </c>
      <c r="J392">
        <f>IF($AH392="","",INDEX('Per Line'!$J$2:$J$1601,$AH392)&amp;"")</f>
        <v/>
      </c>
      <c r="K392">
        <f>IF($AH392="","",INDEX('Per Line'!$K$2:$K$1601,$AH392)&amp;"")</f>
        <v/>
      </c>
      <c r="L392">
        <f>IF($AH392="","",INDEX('Per Line'!$L$2:$L$1601,$AH392)&amp;"")</f>
        <v/>
      </c>
      <c r="M392">
        <f>IF($AH392="","",INDEX('Per Line'!$M$2:$M$1601,$AH392))</f>
        <v/>
      </c>
      <c r="N392" s="7">
        <f>IF($AH392="","",M392*AE392/100)</f>
        <v/>
      </c>
      <c r="O392">
        <f>IF($AH392="","",INDEX('Per Line'!$Z$2:$Z$1601,$AH392)&amp;"")</f>
        <v/>
      </c>
      <c r="P392">
        <f>IF($AH392="","",INDEX('Per Line'!$AC$2:$AC$1601,$AH392)&amp;"")</f>
        <v/>
      </c>
      <c r="Q392">
        <f>IF($AH392="","",INDEX('Per Line'!$AD$2:$AD$1601,$AH392))</f>
        <v/>
      </c>
      <c r="R392">
        <f>IF($AH392="","",IF(AND(ISNUMBER(Q392),Q392&gt;0),AF392&gt;Q392,FALSE))</f>
        <v/>
      </c>
      <c r="S392">
        <f>IF($AH392="","",INDEX('Per Line'!$AH$2:$AH$1601,$AH392)&amp;"")</f>
        <v/>
      </c>
      <c r="T392" s="11">
        <f>IF($AH392="","",INDEX('Per Line'!$AI$2:$AI$1601,$AH392))</f>
        <v/>
      </c>
      <c r="U392">
        <f>IF($AH392="","",Settings!$C$8)</f>
        <v/>
      </c>
      <c r="V392" s="7">
        <f>IF($AH392="","",SUMIFS('Per Line'!$V$2:$V$1601,'Per Line'!$D$2:$D$1601,$B392,'Per Line'!$AN$2:$AN$1601,1))</f>
        <v/>
      </c>
      <c r="W392" s="7">
        <f>IF($AH392="","",V392*U392)</f>
        <v/>
      </c>
      <c r="X392">
        <f>IF($AH392="","",Settings!$C$7)</f>
        <v/>
      </c>
      <c r="Y392" s="7">
        <f>IF($AH392="","",SUMIFS('Per Line'!$V$2:$V$1601,'Per Line'!$D$2:$D$1601,$B392,'Per Line'!$AM$2:$AM$1601,0,'Per Line'!$AN$2:$AN$1601,0))</f>
        <v/>
      </c>
      <c r="Z392" s="7">
        <f>IF($AH392="","",Y392*X392)</f>
        <v/>
      </c>
      <c r="AA392">
        <f>IF($AH392="","",Settings!$C$6)</f>
        <v/>
      </c>
      <c r="AB392" s="7">
        <f>IF($AH392="","",SUMIFS('Per Line'!$V$2:$V$1601,'Per Line'!$D$2:$D$1601,$B392,'Per Line'!$AM$2:$AM$1601,1,'Per Line'!$AN$2:$AN$1601,0))</f>
        <v/>
      </c>
      <c r="AC392" s="7">
        <f>IF($AH392="","",AB392*AA392)</f>
        <v/>
      </c>
      <c r="AD392" s="7">
        <f>IF($AH392="","",AC392+Z392+W392)</f>
        <v/>
      </c>
      <c r="AE392" s="7">
        <f>IF($AH392="","",AF392-AD392)</f>
        <v/>
      </c>
      <c r="AF392" s="7">
        <f>IF($AH392="","",Y392+AB392+V392)</f>
        <v/>
      </c>
      <c r="AG392" s="7">
        <f>IF($AH392="","",AF392-AD392-N392)</f>
        <v/>
      </c>
      <c r="AH392" s="13">
        <f>IF(ROWS($AH$2:$AH392)&lt;=MAX('Per Line'!$AL$2:$AL$1601),MATCH(ROWS($AH$2:$AH392),'Per Line'!$AL$2:$AL$1601,0),"")</f>
        <v/>
      </c>
    </row>
    <row r="393">
      <c r="A393" s="12" t="n"/>
      <c r="B393">
        <f>IF($AH393="","",INDEX('Per Line'!$D$2:$D$1601,$AH393)&amp;"")</f>
        <v/>
      </c>
      <c r="C393">
        <f>IF($AH393="","",INDEX('Per Line'!$A$2:$A$1601,$AH393)&amp;"")</f>
        <v/>
      </c>
      <c r="D393">
        <f>IF($AH393="","",INDEX('Per Line'!$B$2:$B$1601,$AH393))</f>
        <v/>
      </c>
      <c r="E393">
        <f>IF($AH393="","",INDEX('Per Line'!$C$2:$C$1601,$AH393)&amp;"")</f>
        <v/>
      </c>
      <c r="F393">
        <f>IF($AH393="","",INDEX('Per Line'!$E$2:$E$1601,$AH393)&amp;"")</f>
        <v/>
      </c>
      <c r="G393" s="11">
        <f>IF($AH393="","",INDEX('Per Line'!$F$2:$F$1601,$AH393))</f>
        <v/>
      </c>
      <c r="H393">
        <f>IF($AH393="","",INDEX('Per Line'!$G$2:$G$1601,$AH393)&amp;"")</f>
        <v/>
      </c>
      <c r="I393">
        <f>IF($AH393="","",INDEX('Per Line'!$I$2:$I$1601,$AH393)&amp;"")</f>
        <v/>
      </c>
      <c r="J393">
        <f>IF($AH393="","",INDEX('Per Line'!$J$2:$J$1601,$AH393)&amp;"")</f>
        <v/>
      </c>
      <c r="K393">
        <f>IF($AH393="","",INDEX('Per Line'!$K$2:$K$1601,$AH393)&amp;"")</f>
        <v/>
      </c>
      <c r="L393">
        <f>IF($AH393="","",INDEX('Per Line'!$L$2:$L$1601,$AH393)&amp;"")</f>
        <v/>
      </c>
      <c r="M393">
        <f>IF($AH393="","",INDEX('Per Line'!$M$2:$M$1601,$AH393))</f>
        <v/>
      </c>
      <c r="N393" s="7">
        <f>IF($AH393="","",M393*AE393/100)</f>
        <v/>
      </c>
      <c r="O393">
        <f>IF($AH393="","",INDEX('Per Line'!$Z$2:$Z$1601,$AH393)&amp;"")</f>
        <v/>
      </c>
      <c r="P393">
        <f>IF($AH393="","",INDEX('Per Line'!$AC$2:$AC$1601,$AH393)&amp;"")</f>
        <v/>
      </c>
      <c r="Q393">
        <f>IF($AH393="","",INDEX('Per Line'!$AD$2:$AD$1601,$AH393))</f>
        <v/>
      </c>
      <c r="R393">
        <f>IF($AH393="","",IF(AND(ISNUMBER(Q393),Q393&gt;0),AF393&gt;Q393,FALSE))</f>
        <v/>
      </c>
      <c r="S393">
        <f>IF($AH393="","",INDEX('Per Line'!$AH$2:$AH$1601,$AH393)&amp;"")</f>
        <v/>
      </c>
      <c r="T393" s="11">
        <f>IF($AH393="","",INDEX('Per Line'!$AI$2:$AI$1601,$AH393))</f>
        <v/>
      </c>
      <c r="U393">
        <f>IF($AH393="","",Settings!$C$8)</f>
        <v/>
      </c>
      <c r="V393" s="7">
        <f>IF($AH393="","",SUMIFS('Per Line'!$V$2:$V$1601,'Per Line'!$D$2:$D$1601,$B393,'Per Line'!$AN$2:$AN$1601,1))</f>
        <v/>
      </c>
      <c r="W393" s="7">
        <f>IF($AH393="","",V393*U393)</f>
        <v/>
      </c>
      <c r="X393">
        <f>IF($AH393="","",Settings!$C$7)</f>
        <v/>
      </c>
      <c r="Y393" s="7">
        <f>IF($AH393="","",SUMIFS('Per Line'!$V$2:$V$1601,'Per Line'!$D$2:$D$1601,$B393,'Per Line'!$AM$2:$AM$1601,0,'Per Line'!$AN$2:$AN$1601,0))</f>
        <v/>
      </c>
      <c r="Z393" s="7">
        <f>IF($AH393="","",Y393*X393)</f>
        <v/>
      </c>
      <c r="AA393">
        <f>IF($AH393="","",Settings!$C$6)</f>
        <v/>
      </c>
      <c r="AB393" s="7">
        <f>IF($AH393="","",SUMIFS('Per Line'!$V$2:$V$1601,'Per Line'!$D$2:$D$1601,$B393,'Per Line'!$AM$2:$AM$1601,1,'Per Line'!$AN$2:$AN$1601,0))</f>
        <v/>
      </c>
      <c r="AC393" s="7">
        <f>IF($AH393="","",AB393*AA393)</f>
        <v/>
      </c>
      <c r="AD393" s="7">
        <f>IF($AH393="","",AC393+Z393+W393)</f>
        <v/>
      </c>
      <c r="AE393" s="7">
        <f>IF($AH393="","",AF393-AD393)</f>
        <v/>
      </c>
      <c r="AF393" s="7">
        <f>IF($AH393="","",Y393+AB393+V393)</f>
        <v/>
      </c>
      <c r="AG393" s="7">
        <f>IF($AH393="","",AF393-AD393-N393)</f>
        <v/>
      </c>
      <c r="AH393" s="13">
        <f>IF(ROWS($AH$2:$AH393)&lt;=MAX('Per Line'!$AL$2:$AL$1601),MATCH(ROWS($AH$2:$AH393),'Per Line'!$AL$2:$AL$1601,0),"")</f>
        <v/>
      </c>
    </row>
    <row r="394">
      <c r="A394" s="12" t="n"/>
      <c r="B394">
        <f>IF($AH394="","",INDEX('Per Line'!$D$2:$D$1601,$AH394)&amp;"")</f>
        <v/>
      </c>
      <c r="C394">
        <f>IF($AH394="","",INDEX('Per Line'!$A$2:$A$1601,$AH394)&amp;"")</f>
        <v/>
      </c>
      <c r="D394">
        <f>IF($AH394="","",INDEX('Per Line'!$B$2:$B$1601,$AH394))</f>
        <v/>
      </c>
      <c r="E394">
        <f>IF($AH394="","",INDEX('Per Line'!$C$2:$C$1601,$AH394)&amp;"")</f>
        <v/>
      </c>
      <c r="F394">
        <f>IF($AH394="","",INDEX('Per Line'!$E$2:$E$1601,$AH394)&amp;"")</f>
        <v/>
      </c>
      <c r="G394" s="11">
        <f>IF($AH394="","",INDEX('Per Line'!$F$2:$F$1601,$AH394))</f>
        <v/>
      </c>
      <c r="H394">
        <f>IF($AH394="","",INDEX('Per Line'!$G$2:$G$1601,$AH394)&amp;"")</f>
        <v/>
      </c>
      <c r="I394">
        <f>IF($AH394="","",INDEX('Per Line'!$I$2:$I$1601,$AH394)&amp;"")</f>
        <v/>
      </c>
      <c r="J394">
        <f>IF($AH394="","",INDEX('Per Line'!$J$2:$J$1601,$AH394)&amp;"")</f>
        <v/>
      </c>
      <c r="K394">
        <f>IF($AH394="","",INDEX('Per Line'!$K$2:$K$1601,$AH394)&amp;"")</f>
        <v/>
      </c>
      <c r="L394">
        <f>IF($AH394="","",INDEX('Per Line'!$L$2:$L$1601,$AH394)&amp;"")</f>
        <v/>
      </c>
      <c r="M394">
        <f>IF($AH394="","",INDEX('Per Line'!$M$2:$M$1601,$AH394))</f>
        <v/>
      </c>
      <c r="N394" s="7">
        <f>IF($AH394="","",M394*AE394/100)</f>
        <v/>
      </c>
      <c r="O394">
        <f>IF($AH394="","",INDEX('Per Line'!$Z$2:$Z$1601,$AH394)&amp;"")</f>
        <v/>
      </c>
      <c r="P394">
        <f>IF($AH394="","",INDEX('Per Line'!$AC$2:$AC$1601,$AH394)&amp;"")</f>
        <v/>
      </c>
      <c r="Q394">
        <f>IF($AH394="","",INDEX('Per Line'!$AD$2:$AD$1601,$AH394))</f>
        <v/>
      </c>
      <c r="R394">
        <f>IF($AH394="","",IF(AND(ISNUMBER(Q394),Q394&gt;0),AF394&gt;Q394,FALSE))</f>
        <v/>
      </c>
      <c r="S394">
        <f>IF($AH394="","",INDEX('Per Line'!$AH$2:$AH$1601,$AH394)&amp;"")</f>
        <v/>
      </c>
      <c r="T394" s="11">
        <f>IF($AH394="","",INDEX('Per Line'!$AI$2:$AI$1601,$AH394))</f>
        <v/>
      </c>
      <c r="U394">
        <f>IF($AH394="","",Settings!$C$8)</f>
        <v/>
      </c>
      <c r="V394" s="7">
        <f>IF($AH394="","",SUMIFS('Per Line'!$V$2:$V$1601,'Per Line'!$D$2:$D$1601,$B394,'Per Line'!$AN$2:$AN$1601,1))</f>
        <v/>
      </c>
      <c r="W394" s="7">
        <f>IF($AH394="","",V394*U394)</f>
        <v/>
      </c>
      <c r="X394">
        <f>IF($AH394="","",Settings!$C$7)</f>
        <v/>
      </c>
      <c r="Y394" s="7">
        <f>IF($AH394="","",SUMIFS('Per Line'!$V$2:$V$1601,'Per Line'!$D$2:$D$1601,$B394,'Per Line'!$AM$2:$AM$1601,0,'Per Line'!$AN$2:$AN$1601,0))</f>
        <v/>
      </c>
      <c r="Z394" s="7">
        <f>IF($AH394="","",Y394*X394)</f>
        <v/>
      </c>
      <c r="AA394">
        <f>IF($AH394="","",Settings!$C$6)</f>
        <v/>
      </c>
      <c r="AB394" s="7">
        <f>IF($AH394="","",SUMIFS('Per Line'!$V$2:$V$1601,'Per Line'!$D$2:$D$1601,$B394,'Per Line'!$AM$2:$AM$1601,1,'Per Line'!$AN$2:$AN$1601,0))</f>
        <v/>
      </c>
      <c r="AC394" s="7">
        <f>IF($AH394="","",AB394*AA394)</f>
        <v/>
      </c>
      <c r="AD394" s="7">
        <f>IF($AH394="","",AC394+Z394+W394)</f>
        <v/>
      </c>
      <c r="AE394" s="7">
        <f>IF($AH394="","",AF394-AD394)</f>
        <v/>
      </c>
      <c r="AF394" s="7">
        <f>IF($AH394="","",Y394+AB394+V394)</f>
        <v/>
      </c>
      <c r="AG394" s="7">
        <f>IF($AH394="","",AF394-AD394-N394)</f>
        <v/>
      </c>
      <c r="AH394" s="13">
        <f>IF(ROWS($AH$2:$AH394)&lt;=MAX('Per Line'!$AL$2:$AL$1601),MATCH(ROWS($AH$2:$AH394),'Per Line'!$AL$2:$AL$1601,0),"")</f>
        <v/>
      </c>
    </row>
    <row r="395">
      <c r="A395" s="12" t="n"/>
      <c r="B395">
        <f>IF($AH395="","",INDEX('Per Line'!$D$2:$D$1601,$AH395)&amp;"")</f>
        <v/>
      </c>
      <c r="C395">
        <f>IF($AH395="","",INDEX('Per Line'!$A$2:$A$1601,$AH395)&amp;"")</f>
        <v/>
      </c>
      <c r="D395">
        <f>IF($AH395="","",INDEX('Per Line'!$B$2:$B$1601,$AH395))</f>
        <v/>
      </c>
      <c r="E395">
        <f>IF($AH395="","",INDEX('Per Line'!$C$2:$C$1601,$AH395)&amp;"")</f>
        <v/>
      </c>
      <c r="F395">
        <f>IF($AH395="","",INDEX('Per Line'!$E$2:$E$1601,$AH395)&amp;"")</f>
        <v/>
      </c>
      <c r="G395" s="11">
        <f>IF($AH395="","",INDEX('Per Line'!$F$2:$F$1601,$AH395))</f>
        <v/>
      </c>
      <c r="H395">
        <f>IF($AH395="","",INDEX('Per Line'!$G$2:$G$1601,$AH395)&amp;"")</f>
        <v/>
      </c>
      <c r="I395">
        <f>IF($AH395="","",INDEX('Per Line'!$I$2:$I$1601,$AH395)&amp;"")</f>
        <v/>
      </c>
      <c r="J395">
        <f>IF($AH395="","",INDEX('Per Line'!$J$2:$J$1601,$AH395)&amp;"")</f>
        <v/>
      </c>
      <c r="K395">
        <f>IF($AH395="","",INDEX('Per Line'!$K$2:$K$1601,$AH395)&amp;"")</f>
        <v/>
      </c>
      <c r="L395">
        <f>IF($AH395="","",INDEX('Per Line'!$L$2:$L$1601,$AH395)&amp;"")</f>
        <v/>
      </c>
      <c r="M395">
        <f>IF($AH395="","",INDEX('Per Line'!$M$2:$M$1601,$AH395))</f>
        <v/>
      </c>
      <c r="N395" s="7">
        <f>IF($AH395="","",M395*AE395/100)</f>
        <v/>
      </c>
      <c r="O395">
        <f>IF($AH395="","",INDEX('Per Line'!$Z$2:$Z$1601,$AH395)&amp;"")</f>
        <v/>
      </c>
      <c r="P395">
        <f>IF($AH395="","",INDEX('Per Line'!$AC$2:$AC$1601,$AH395)&amp;"")</f>
        <v/>
      </c>
      <c r="Q395">
        <f>IF($AH395="","",INDEX('Per Line'!$AD$2:$AD$1601,$AH395))</f>
        <v/>
      </c>
      <c r="R395">
        <f>IF($AH395="","",IF(AND(ISNUMBER(Q395),Q395&gt;0),AF395&gt;Q395,FALSE))</f>
        <v/>
      </c>
      <c r="S395">
        <f>IF($AH395="","",INDEX('Per Line'!$AH$2:$AH$1601,$AH395)&amp;"")</f>
        <v/>
      </c>
      <c r="T395" s="11">
        <f>IF($AH395="","",INDEX('Per Line'!$AI$2:$AI$1601,$AH395))</f>
        <v/>
      </c>
      <c r="U395">
        <f>IF($AH395="","",Settings!$C$8)</f>
        <v/>
      </c>
      <c r="V395" s="7">
        <f>IF($AH395="","",SUMIFS('Per Line'!$V$2:$V$1601,'Per Line'!$D$2:$D$1601,$B395,'Per Line'!$AN$2:$AN$1601,1))</f>
        <v/>
      </c>
      <c r="W395" s="7">
        <f>IF($AH395="","",V395*U395)</f>
        <v/>
      </c>
      <c r="X395">
        <f>IF($AH395="","",Settings!$C$7)</f>
        <v/>
      </c>
      <c r="Y395" s="7">
        <f>IF($AH395="","",SUMIFS('Per Line'!$V$2:$V$1601,'Per Line'!$D$2:$D$1601,$B395,'Per Line'!$AM$2:$AM$1601,0,'Per Line'!$AN$2:$AN$1601,0))</f>
        <v/>
      </c>
      <c r="Z395" s="7">
        <f>IF($AH395="","",Y395*X395)</f>
        <v/>
      </c>
      <c r="AA395">
        <f>IF($AH395="","",Settings!$C$6)</f>
        <v/>
      </c>
      <c r="AB395" s="7">
        <f>IF($AH395="","",SUMIFS('Per Line'!$V$2:$V$1601,'Per Line'!$D$2:$D$1601,$B395,'Per Line'!$AM$2:$AM$1601,1,'Per Line'!$AN$2:$AN$1601,0))</f>
        <v/>
      </c>
      <c r="AC395" s="7">
        <f>IF($AH395="","",AB395*AA395)</f>
        <v/>
      </c>
      <c r="AD395" s="7">
        <f>IF($AH395="","",AC395+Z395+W395)</f>
        <v/>
      </c>
      <c r="AE395" s="7">
        <f>IF($AH395="","",AF395-AD395)</f>
        <v/>
      </c>
      <c r="AF395" s="7">
        <f>IF($AH395="","",Y395+AB395+V395)</f>
        <v/>
      </c>
      <c r="AG395" s="7">
        <f>IF($AH395="","",AF395-AD395-N395)</f>
        <v/>
      </c>
      <c r="AH395" s="13">
        <f>IF(ROWS($AH$2:$AH395)&lt;=MAX('Per Line'!$AL$2:$AL$1601),MATCH(ROWS($AH$2:$AH395),'Per Line'!$AL$2:$AL$1601,0),"")</f>
        <v/>
      </c>
    </row>
    <row r="396">
      <c r="A396" s="12" t="n"/>
      <c r="B396">
        <f>IF($AH396="","",INDEX('Per Line'!$D$2:$D$1601,$AH396)&amp;"")</f>
        <v/>
      </c>
      <c r="C396">
        <f>IF($AH396="","",INDEX('Per Line'!$A$2:$A$1601,$AH396)&amp;"")</f>
        <v/>
      </c>
      <c r="D396">
        <f>IF($AH396="","",INDEX('Per Line'!$B$2:$B$1601,$AH396))</f>
        <v/>
      </c>
      <c r="E396">
        <f>IF($AH396="","",INDEX('Per Line'!$C$2:$C$1601,$AH396)&amp;"")</f>
        <v/>
      </c>
      <c r="F396">
        <f>IF($AH396="","",INDEX('Per Line'!$E$2:$E$1601,$AH396)&amp;"")</f>
        <v/>
      </c>
      <c r="G396" s="11">
        <f>IF($AH396="","",INDEX('Per Line'!$F$2:$F$1601,$AH396))</f>
        <v/>
      </c>
      <c r="H396">
        <f>IF($AH396="","",INDEX('Per Line'!$G$2:$G$1601,$AH396)&amp;"")</f>
        <v/>
      </c>
      <c r="I396">
        <f>IF($AH396="","",INDEX('Per Line'!$I$2:$I$1601,$AH396)&amp;"")</f>
        <v/>
      </c>
      <c r="J396">
        <f>IF($AH396="","",INDEX('Per Line'!$J$2:$J$1601,$AH396)&amp;"")</f>
        <v/>
      </c>
      <c r="K396">
        <f>IF($AH396="","",INDEX('Per Line'!$K$2:$K$1601,$AH396)&amp;"")</f>
        <v/>
      </c>
      <c r="L396">
        <f>IF($AH396="","",INDEX('Per Line'!$L$2:$L$1601,$AH396)&amp;"")</f>
        <v/>
      </c>
      <c r="M396">
        <f>IF($AH396="","",INDEX('Per Line'!$M$2:$M$1601,$AH396))</f>
        <v/>
      </c>
      <c r="N396" s="7">
        <f>IF($AH396="","",M396*AE396/100)</f>
        <v/>
      </c>
      <c r="O396">
        <f>IF($AH396="","",INDEX('Per Line'!$Z$2:$Z$1601,$AH396)&amp;"")</f>
        <v/>
      </c>
      <c r="P396">
        <f>IF($AH396="","",INDEX('Per Line'!$AC$2:$AC$1601,$AH396)&amp;"")</f>
        <v/>
      </c>
      <c r="Q396">
        <f>IF($AH396="","",INDEX('Per Line'!$AD$2:$AD$1601,$AH396))</f>
        <v/>
      </c>
      <c r="R396">
        <f>IF($AH396="","",IF(AND(ISNUMBER(Q396),Q396&gt;0),AF396&gt;Q396,FALSE))</f>
        <v/>
      </c>
      <c r="S396">
        <f>IF($AH396="","",INDEX('Per Line'!$AH$2:$AH$1601,$AH396)&amp;"")</f>
        <v/>
      </c>
      <c r="T396" s="11">
        <f>IF($AH396="","",INDEX('Per Line'!$AI$2:$AI$1601,$AH396))</f>
        <v/>
      </c>
      <c r="U396">
        <f>IF($AH396="","",Settings!$C$8)</f>
        <v/>
      </c>
      <c r="V396" s="7">
        <f>IF($AH396="","",SUMIFS('Per Line'!$V$2:$V$1601,'Per Line'!$D$2:$D$1601,$B396,'Per Line'!$AN$2:$AN$1601,1))</f>
        <v/>
      </c>
      <c r="W396" s="7">
        <f>IF($AH396="","",V396*U396)</f>
        <v/>
      </c>
      <c r="X396">
        <f>IF($AH396="","",Settings!$C$7)</f>
        <v/>
      </c>
      <c r="Y396" s="7">
        <f>IF($AH396="","",SUMIFS('Per Line'!$V$2:$V$1601,'Per Line'!$D$2:$D$1601,$B396,'Per Line'!$AM$2:$AM$1601,0,'Per Line'!$AN$2:$AN$1601,0))</f>
        <v/>
      </c>
      <c r="Z396" s="7">
        <f>IF($AH396="","",Y396*X396)</f>
        <v/>
      </c>
      <c r="AA396">
        <f>IF($AH396="","",Settings!$C$6)</f>
        <v/>
      </c>
      <c r="AB396" s="7">
        <f>IF($AH396="","",SUMIFS('Per Line'!$V$2:$V$1601,'Per Line'!$D$2:$D$1601,$B396,'Per Line'!$AM$2:$AM$1601,1,'Per Line'!$AN$2:$AN$1601,0))</f>
        <v/>
      </c>
      <c r="AC396" s="7">
        <f>IF($AH396="","",AB396*AA396)</f>
        <v/>
      </c>
      <c r="AD396" s="7">
        <f>IF($AH396="","",AC396+Z396+W396)</f>
        <v/>
      </c>
      <c r="AE396" s="7">
        <f>IF($AH396="","",AF396-AD396)</f>
        <v/>
      </c>
      <c r="AF396" s="7">
        <f>IF($AH396="","",Y396+AB396+V396)</f>
        <v/>
      </c>
      <c r="AG396" s="7">
        <f>IF($AH396="","",AF396-AD396-N396)</f>
        <v/>
      </c>
      <c r="AH396" s="13">
        <f>IF(ROWS($AH$2:$AH396)&lt;=MAX('Per Line'!$AL$2:$AL$1601),MATCH(ROWS($AH$2:$AH396),'Per Line'!$AL$2:$AL$1601,0),"")</f>
        <v/>
      </c>
    </row>
    <row r="397">
      <c r="A397" s="12" t="n"/>
      <c r="B397">
        <f>IF($AH397="","",INDEX('Per Line'!$D$2:$D$1601,$AH397)&amp;"")</f>
        <v/>
      </c>
      <c r="C397">
        <f>IF($AH397="","",INDEX('Per Line'!$A$2:$A$1601,$AH397)&amp;"")</f>
        <v/>
      </c>
      <c r="D397">
        <f>IF($AH397="","",INDEX('Per Line'!$B$2:$B$1601,$AH397))</f>
        <v/>
      </c>
      <c r="E397">
        <f>IF($AH397="","",INDEX('Per Line'!$C$2:$C$1601,$AH397)&amp;"")</f>
        <v/>
      </c>
      <c r="F397">
        <f>IF($AH397="","",INDEX('Per Line'!$E$2:$E$1601,$AH397)&amp;"")</f>
        <v/>
      </c>
      <c r="G397" s="11">
        <f>IF($AH397="","",INDEX('Per Line'!$F$2:$F$1601,$AH397))</f>
        <v/>
      </c>
      <c r="H397">
        <f>IF($AH397="","",INDEX('Per Line'!$G$2:$G$1601,$AH397)&amp;"")</f>
        <v/>
      </c>
      <c r="I397">
        <f>IF($AH397="","",INDEX('Per Line'!$I$2:$I$1601,$AH397)&amp;"")</f>
        <v/>
      </c>
      <c r="J397">
        <f>IF($AH397="","",INDEX('Per Line'!$J$2:$J$1601,$AH397)&amp;"")</f>
        <v/>
      </c>
      <c r="K397">
        <f>IF($AH397="","",INDEX('Per Line'!$K$2:$K$1601,$AH397)&amp;"")</f>
        <v/>
      </c>
      <c r="L397">
        <f>IF($AH397="","",INDEX('Per Line'!$L$2:$L$1601,$AH397)&amp;"")</f>
        <v/>
      </c>
      <c r="M397">
        <f>IF($AH397="","",INDEX('Per Line'!$M$2:$M$1601,$AH397))</f>
        <v/>
      </c>
      <c r="N397" s="7">
        <f>IF($AH397="","",M397*AE397/100)</f>
        <v/>
      </c>
      <c r="O397">
        <f>IF($AH397="","",INDEX('Per Line'!$Z$2:$Z$1601,$AH397)&amp;"")</f>
        <v/>
      </c>
      <c r="P397">
        <f>IF($AH397="","",INDEX('Per Line'!$AC$2:$AC$1601,$AH397)&amp;"")</f>
        <v/>
      </c>
      <c r="Q397">
        <f>IF($AH397="","",INDEX('Per Line'!$AD$2:$AD$1601,$AH397))</f>
        <v/>
      </c>
      <c r="R397">
        <f>IF($AH397="","",IF(AND(ISNUMBER(Q397),Q397&gt;0),AF397&gt;Q397,FALSE))</f>
        <v/>
      </c>
      <c r="S397">
        <f>IF($AH397="","",INDEX('Per Line'!$AH$2:$AH$1601,$AH397)&amp;"")</f>
        <v/>
      </c>
      <c r="T397" s="11">
        <f>IF($AH397="","",INDEX('Per Line'!$AI$2:$AI$1601,$AH397))</f>
        <v/>
      </c>
      <c r="U397">
        <f>IF($AH397="","",Settings!$C$8)</f>
        <v/>
      </c>
      <c r="V397" s="7">
        <f>IF($AH397="","",SUMIFS('Per Line'!$V$2:$V$1601,'Per Line'!$D$2:$D$1601,$B397,'Per Line'!$AN$2:$AN$1601,1))</f>
        <v/>
      </c>
      <c r="W397" s="7">
        <f>IF($AH397="","",V397*U397)</f>
        <v/>
      </c>
      <c r="X397">
        <f>IF($AH397="","",Settings!$C$7)</f>
        <v/>
      </c>
      <c r="Y397" s="7">
        <f>IF($AH397="","",SUMIFS('Per Line'!$V$2:$V$1601,'Per Line'!$D$2:$D$1601,$B397,'Per Line'!$AM$2:$AM$1601,0,'Per Line'!$AN$2:$AN$1601,0))</f>
        <v/>
      </c>
      <c r="Z397" s="7">
        <f>IF($AH397="","",Y397*X397)</f>
        <v/>
      </c>
      <c r="AA397">
        <f>IF($AH397="","",Settings!$C$6)</f>
        <v/>
      </c>
      <c r="AB397" s="7">
        <f>IF($AH397="","",SUMIFS('Per Line'!$V$2:$V$1601,'Per Line'!$D$2:$D$1601,$B397,'Per Line'!$AM$2:$AM$1601,1,'Per Line'!$AN$2:$AN$1601,0))</f>
        <v/>
      </c>
      <c r="AC397" s="7">
        <f>IF($AH397="","",AB397*AA397)</f>
        <v/>
      </c>
      <c r="AD397" s="7">
        <f>IF($AH397="","",AC397+Z397+W397)</f>
        <v/>
      </c>
      <c r="AE397" s="7">
        <f>IF($AH397="","",AF397-AD397)</f>
        <v/>
      </c>
      <c r="AF397" s="7">
        <f>IF($AH397="","",Y397+AB397+V397)</f>
        <v/>
      </c>
      <c r="AG397" s="7">
        <f>IF($AH397="","",AF397-AD397-N397)</f>
        <v/>
      </c>
      <c r="AH397" s="13">
        <f>IF(ROWS($AH$2:$AH397)&lt;=MAX('Per Line'!$AL$2:$AL$1601),MATCH(ROWS($AH$2:$AH397),'Per Line'!$AL$2:$AL$1601,0),"")</f>
        <v/>
      </c>
    </row>
    <row r="398">
      <c r="A398" s="12" t="n"/>
      <c r="B398">
        <f>IF($AH398="","",INDEX('Per Line'!$D$2:$D$1601,$AH398)&amp;"")</f>
        <v/>
      </c>
      <c r="C398">
        <f>IF($AH398="","",INDEX('Per Line'!$A$2:$A$1601,$AH398)&amp;"")</f>
        <v/>
      </c>
      <c r="D398">
        <f>IF($AH398="","",INDEX('Per Line'!$B$2:$B$1601,$AH398))</f>
        <v/>
      </c>
      <c r="E398">
        <f>IF($AH398="","",INDEX('Per Line'!$C$2:$C$1601,$AH398)&amp;"")</f>
        <v/>
      </c>
      <c r="F398">
        <f>IF($AH398="","",INDEX('Per Line'!$E$2:$E$1601,$AH398)&amp;"")</f>
        <v/>
      </c>
      <c r="G398" s="11">
        <f>IF($AH398="","",INDEX('Per Line'!$F$2:$F$1601,$AH398))</f>
        <v/>
      </c>
      <c r="H398">
        <f>IF($AH398="","",INDEX('Per Line'!$G$2:$G$1601,$AH398)&amp;"")</f>
        <v/>
      </c>
      <c r="I398">
        <f>IF($AH398="","",INDEX('Per Line'!$I$2:$I$1601,$AH398)&amp;"")</f>
        <v/>
      </c>
      <c r="J398">
        <f>IF($AH398="","",INDEX('Per Line'!$J$2:$J$1601,$AH398)&amp;"")</f>
        <v/>
      </c>
      <c r="K398">
        <f>IF($AH398="","",INDEX('Per Line'!$K$2:$K$1601,$AH398)&amp;"")</f>
        <v/>
      </c>
      <c r="L398">
        <f>IF($AH398="","",INDEX('Per Line'!$L$2:$L$1601,$AH398)&amp;"")</f>
        <v/>
      </c>
      <c r="M398">
        <f>IF($AH398="","",INDEX('Per Line'!$M$2:$M$1601,$AH398))</f>
        <v/>
      </c>
      <c r="N398" s="7">
        <f>IF($AH398="","",M398*AE398/100)</f>
        <v/>
      </c>
      <c r="O398">
        <f>IF($AH398="","",INDEX('Per Line'!$Z$2:$Z$1601,$AH398)&amp;"")</f>
        <v/>
      </c>
      <c r="P398">
        <f>IF($AH398="","",INDEX('Per Line'!$AC$2:$AC$1601,$AH398)&amp;"")</f>
        <v/>
      </c>
      <c r="Q398">
        <f>IF($AH398="","",INDEX('Per Line'!$AD$2:$AD$1601,$AH398))</f>
        <v/>
      </c>
      <c r="R398">
        <f>IF($AH398="","",IF(AND(ISNUMBER(Q398),Q398&gt;0),AF398&gt;Q398,FALSE))</f>
        <v/>
      </c>
      <c r="S398">
        <f>IF($AH398="","",INDEX('Per Line'!$AH$2:$AH$1601,$AH398)&amp;"")</f>
        <v/>
      </c>
      <c r="T398" s="11">
        <f>IF($AH398="","",INDEX('Per Line'!$AI$2:$AI$1601,$AH398))</f>
        <v/>
      </c>
      <c r="U398">
        <f>IF($AH398="","",Settings!$C$8)</f>
        <v/>
      </c>
      <c r="V398" s="7">
        <f>IF($AH398="","",SUMIFS('Per Line'!$V$2:$V$1601,'Per Line'!$D$2:$D$1601,$B398,'Per Line'!$AN$2:$AN$1601,1))</f>
        <v/>
      </c>
      <c r="W398" s="7">
        <f>IF($AH398="","",V398*U398)</f>
        <v/>
      </c>
      <c r="X398">
        <f>IF($AH398="","",Settings!$C$7)</f>
        <v/>
      </c>
      <c r="Y398" s="7">
        <f>IF($AH398="","",SUMIFS('Per Line'!$V$2:$V$1601,'Per Line'!$D$2:$D$1601,$B398,'Per Line'!$AM$2:$AM$1601,0,'Per Line'!$AN$2:$AN$1601,0))</f>
        <v/>
      </c>
      <c r="Z398" s="7">
        <f>IF($AH398="","",Y398*X398)</f>
        <v/>
      </c>
      <c r="AA398">
        <f>IF($AH398="","",Settings!$C$6)</f>
        <v/>
      </c>
      <c r="AB398" s="7">
        <f>IF($AH398="","",SUMIFS('Per Line'!$V$2:$V$1601,'Per Line'!$D$2:$D$1601,$B398,'Per Line'!$AM$2:$AM$1601,1,'Per Line'!$AN$2:$AN$1601,0))</f>
        <v/>
      </c>
      <c r="AC398" s="7">
        <f>IF($AH398="","",AB398*AA398)</f>
        <v/>
      </c>
      <c r="AD398" s="7">
        <f>IF($AH398="","",AC398+Z398+W398)</f>
        <v/>
      </c>
      <c r="AE398" s="7">
        <f>IF($AH398="","",AF398-AD398)</f>
        <v/>
      </c>
      <c r="AF398" s="7">
        <f>IF($AH398="","",Y398+AB398+V398)</f>
        <v/>
      </c>
      <c r="AG398" s="7">
        <f>IF($AH398="","",AF398-AD398-N398)</f>
        <v/>
      </c>
      <c r="AH398" s="13">
        <f>IF(ROWS($AH$2:$AH398)&lt;=MAX('Per Line'!$AL$2:$AL$1601),MATCH(ROWS($AH$2:$AH398),'Per Line'!$AL$2:$AL$1601,0),"")</f>
        <v/>
      </c>
    </row>
    <row r="399">
      <c r="A399" s="12" t="n"/>
      <c r="B399">
        <f>IF($AH399="","",INDEX('Per Line'!$D$2:$D$1601,$AH399)&amp;"")</f>
        <v/>
      </c>
      <c r="C399">
        <f>IF($AH399="","",INDEX('Per Line'!$A$2:$A$1601,$AH399)&amp;"")</f>
        <v/>
      </c>
      <c r="D399">
        <f>IF($AH399="","",INDEX('Per Line'!$B$2:$B$1601,$AH399))</f>
        <v/>
      </c>
      <c r="E399">
        <f>IF($AH399="","",INDEX('Per Line'!$C$2:$C$1601,$AH399)&amp;"")</f>
        <v/>
      </c>
      <c r="F399">
        <f>IF($AH399="","",INDEX('Per Line'!$E$2:$E$1601,$AH399)&amp;"")</f>
        <v/>
      </c>
      <c r="G399" s="11">
        <f>IF($AH399="","",INDEX('Per Line'!$F$2:$F$1601,$AH399))</f>
        <v/>
      </c>
      <c r="H399">
        <f>IF($AH399="","",INDEX('Per Line'!$G$2:$G$1601,$AH399)&amp;"")</f>
        <v/>
      </c>
      <c r="I399">
        <f>IF($AH399="","",INDEX('Per Line'!$I$2:$I$1601,$AH399)&amp;"")</f>
        <v/>
      </c>
      <c r="J399">
        <f>IF($AH399="","",INDEX('Per Line'!$J$2:$J$1601,$AH399)&amp;"")</f>
        <v/>
      </c>
      <c r="K399">
        <f>IF($AH399="","",INDEX('Per Line'!$K$2:$K$1601,$AH399)&amp;"")</f>
        <v/>
      </c>
      <c r="L399">
        <f>IF($AH399="","",INDEX('Per Line'!$L$2:$L$1601,$AH399)&amp;"")</f>
        <v/>
      </c>
      <c r="M399">
        <f>IF($AH399="","",INDEX('Per Line'!$M$2:$M$1601,$AH399))</f>
        <v/>
      </c>
      <c r="N399" s="7">
        <f>IF($AH399="","",M399*AE399/100)</f>
        <v/>
      </c>
      <c r="O399">
        <f>IF($AH399="","",INDEX('Per Line'!$Z$2:$Z$1601,$AH399)&amp;"")</f>
        <v/>
      </c>
      <c r="P399">
        <f>IF($AH399="","",INDEX('Per Line'!$AC$2:$AC$1601,$AH399)&amp;"")</f>
        <v/>
      </c>
      <c r="Q399">
        <f>IF($AH399="","",INDEX('Per Line'!$AD$2:$AD$1601,$AH399))</f>
        <v/>
      </c>
      <c r="R399">
        <f>IF($AH399="","",IF(AND(ISNUMBER(Q399),Q399&gt;0),AF399&gt;Q399,FALSE))</f>
        <v/>
      </c>
      <c r="S399">
        <f>IF($AH399="","",INDEX('Per Line'!$AH$2:$AH$1601,$AH399)&amp;"")</f>
        <v/>
      </c>
      <c r="T399" s="11">
        <f>IF($AH399="","",INDEX('Per Line'!$AI$2:$AI$1601,$AH399))</f>
        <v/>
      </c>
      <c r="U399">
        <f>IF($AH399="","",Settings!$C$8)</f>
        <v/>
      </c>
      <c r="V399" s="7">
        <f>IF($AH399="","",SUMIFS('Per Line'!$V$2:$V$1601,'Per Line'!$D$2:$D$1601,$B399,'Per Line'!$AN$2:$AN$1601,1))</f>
        <v/>
      </c>
      <c r="W399" s="7">
        <f>IF($AH399="","",V399*U399)</f>
        <v/>
      </c>
      <c r="X399">
        <f>IF($AH399="","",Settings!$C$7)</f>
        <v/>
      </c>
      <c r="Y399" s="7">
        <f>IF($AH399="","",SUMIFS('Per Line'!$V$2:$V$1601,'Per Line'!$D$2:$D$1601,$B399,'Per Line'!$AM$2:$AM$1601,0,'Per Line'!$AN$2:$AN$1601,0))</f>
        <v/>
      </c>
      <c r="Z399" s="7">
        <f>IF($AH399="","",Y399*X399)</f>
        <v/>
      </c>
      <c r="AA399">
        <f>IF($AH399="","",Settings!$C$6)</f>
        <v/>
      </c>
      <c r="AB399" s="7">
        <f>IF($AH399="","",SUMIFS('Per Line'!$V$2:$V$1601,'Per Line'!$D$2:$D$1601,$B399,'Per Line'!$AM$2:$AM$1601,1,'Per Line'!$AN$2:$AN$1601,0))</f>
        <v/>
      </c>
      <c r="AC399" s="7">
        <f>IF($AH399="","",AB399*AA399)</f>
        <v/>
      </c>
      <c r="AD399" s="7">
        <f>IF($AH399="","",AC399+Z399+W399)</f>
        <v/>
      </c>
      <c r="AE399" s="7">
        <f>IF($AH399="","",AF399-AD399)</f>
        <v/>
      </c>
      <c r="AF399" s="7">
        <f>IF($AH399="","",Y399+AB399+V399)</f>
        <v/>
      </c>
      <c r="AG399" s="7">
        <f>IF($AH399="","",AF399-AD399-N399)</f>
        <v/>
      </c>
      <c r="AH399" s="13">
        <f>IF(ROWS($AH$2:$AH399)&lt;=MAX('Per Line'!$AL$2:$AL$1601),MATCH(ROWS($AH$2:$AH399),'Per Line'!$AL$2:$AL$1601,0),"")</f>
        <v/>
      </c>
    </row>
    <row r="400">
      <c r="A400" s="12" t="n"/>
      <c r="B400">
        <f>IF($AH400="","",INDEX('Per Line'!$D$2:$D$1601,$AH400)&amp;"")</f>
        <v/>
      </c>
      <c r="C400">
        <f>IF($AH400="","",INDEX('Per Line'!$A$2:$A$1601,$AH400)&amp;"")</f>
        <v/>
      </c>
      <c r="D400">
        <f>IF($AH400="","",INDEX('Per Line'!$B$2:$B$1601,$AH400))</f>
        <v/>
      </c>
      <c r="E400">
        <f>IF($AH400="","",INDEX('Per Line'!$C$2:$C$1601,$AH400)&amp;"")</f>
        <v/>
      </c>
      <c r="F400">
        <f>IF($AH400="","",INDEX('Per Line'!$E$2:$E$1601,$AH400)&amp;"")</f>
        <v/>
      </c>
      <c r="G400" s="11">
        <f>IF($AH400="","",INDEX('Per Line'!$F$2:$F$1601,$AH400))</f>
        <v/>
      </c>
      <c r="H400">
        <f>IF($AH400="","",INDEX('Per Line'!$G$2:$G$1601,$AH400)&amp;"")</f>
        <v/>
      </c>
      <c r="I400">
        <f>IF($AH400="","",INDEX('Per Line'!$I$2:$I$1601,$AH400)&amp;"")</f>
        <v/>
      </c>
      <c r="J400">
        <f>IF($AH400="","",INDEX('Per Line'!$J$2:$J$1601,$AH400)&amp;"")</f>
        <v/>
      </c>
      <c r="K400">
        <f>IF($AH400="","",INDEX('Per Line'!$K$2:$K$1601,$AH400)&amp;"")</f>
        <v/>
      </c>
      <c r="L400">
        <f>IF($AH400="","",INDEX('Per Line'!$L$2:$L$1601,$AH400)&amp;"")</f>
        <v/>
      </c>
      <c r="M400">
        <f>IF($AH400="","",INDEX('Per Line'!$M$2:$M$1601,$AH400))</f>
        <v/>
      </c>
      <c r="N400" s="7">
        <f>IF($AH400="","",M400*AE400/100)</f>
        <v/>
      </c>
      <c r="O400">
        <f>IF($AH400="","",INDEX('Per Line'!$Z$2:$Z$1601,$AH400)&amp;"")</f>
        <v/>
      </c>
      <c r="P400">
        <f>IF($AH400="","",INDEX('Per Line'!$AC$2:$AC$1601,$AH400)&amp;"")</f>
        <v/>
      </c>
      <c r="Q400">
        <f>IF($AH400="","",INDEX('Per Line'!$AD$2:$AD$1601,$AH400))</f>
        <v/>
      </c>
      <c r="R400">
        <f>IF($AH400="","",IF(AND(ISNUMBER(Q400),Q400&gt;0),AF400&gt;Q400,FALSE))</f>
        <v/>
      </c>
      <c r="S400">
        <f>IF($AH400="","",INDEX('Per Line'!$AH$2:$AH$1601,$AH400)&amp;"")</f>
        <v/>
      </c>
      <c r="T400" s="11">
        <f>IF($AH400="","",INDEX('Per Line'!$AI$2:$AI$1601,$AH400))</f>
        <v/>
      </c>
      <c r="U400">
        <f>IF($AH400="","",Settings!$C$8)</f>
        <v/>
      </c>
      <c r="V400" s="7">
        <f>IF($AH400="","",SUMIFS('Per Line'!$V$2:$V$1601,'Per Line'!$D$2:$D$1601,$B400,'Per Line'!$AN$2:$AN$1601,1))</f>
        <v/>
      </c>
      <c r="W400" s="7">
        <f>IF($AH400="","",V400*U400)</f>
        <v/>
      </c>
      <c r="X400">
        <f>IF($AH400="","",Settings!$C$7)</f>
        <v/>
      </c>
      <c r="Y400" s="7">
        <f>IF($AH400="","",SUMIFS('Per Line'!$V$2:$V$1601,'Per Line'!$D$2:$D$1601,$B400,'Per Line'!$AM$2:$AM$1601,0,'Per Line'!$AN$2:$AN$1601,0))</f>
        <v/>
      </c>
      <c r="Z400" s="7">
        <f>IF($AH400="","",Y400*X400)</f>
        <v/>
      </c>
      <c r="AA400">
        <f>IF($AH400="","",Settings!$C$6)</f>
        <v/>
      </c>
      <c r="AB400" s="7">
        <f>IF($AH400="","",SUMIFS('Per Line'!$V$2:$V$1601,'Per Line'!$D$2:$D$1601,$B400,'Per Line'!$AM$2:$AM$1601,1,'Per Line'!$AN$2:$AN$1601,0))</f>
        <v/>
      </c>
      <c r="AC400" s="7">
        <f>IF($AH400="","",AB400*AA400)</f>
        <v/>
      </c>
      <c r="AD400" s="7">
        <f>IF($AH400="","",AC400+Z400+W400)</f>
        <v/>
      </c>
      <c r="AE400" s="7">
        <f>IF($AH400="","",AF400-AD400)</f>
        <v/>
      </c>
      <c r="AF400" s="7">
        <f>IF($AH400="","",Y400+AB400+V400)</f>
        <v/>
      </c>
      <c r="AG400" s="7">
        <f>IF($AH400="","",AF400-AD400-N400)</f>
        <v/>
      </c>
      <c r="AH400" s="13">
        <f>IF(ROWS($AH$2:$AH400)&lt;=MAX('Per Line'!$AL$2:$AL$1601),MATCH(ROWS($AH$2:$AH400),'Per Line'!$AL$2:$AL$1601,0),"")</f>
        <v/>
      </c>
    </row>
    <row r="401">
      <c r="A401" s="12" t="n"/>
      <c r="B401">
        <f>IF($AH401="","",INDEX('Per Line'!$D$2:$D$1601,$AH401)&amp;"")</f>
        <v/>
      </c>
      <c r="C401">
        <f>IF($AH401="","",INDEX('Per Line'!$A$2:$A$1601,$AH401)&amp;"")</f>
        <v/>
      </c>
      <c r="D401">
        <f>IF($AH401="","",INDEX('Per Line'!$B$2:$B$1601,$AH401))</f>
        <v/>
      </c>
      <c r="E401">
        <f>IF($AH401="","",INDEX('Per Line'!$C$2:$C$1601,$AH401)&amp;"")</f>
        <v/>
      </c>
      <c r="F401">
        <f>IF($AH401="","",INDEX('Per Line'!$E$2:$E$1601,$AH401)&amp;"")</f>
        <v/>
      </c>
      <c r="G401" s="11">
        <f>IF($AH401="","",INDEX('Per Line'!$F$2:$F$1601,$AH401))</f>
        <v/>
      </c>
      <c r="H401">
        <f>IF($AH401="","",INDEX('Per Line'!$G$2:$G$1601,$AH401)&amp;"")</f>
        <v/>
      </c>
      <c r="I401">
        <f>IF($AH401="","",INDEX('Per Line'!$I$2:$I$1601,$AH401)&amp;"")</f>
        <v/>
      </c>
      <c r="J401">
        <f>IF($AH401="","",INDEX('Per Line'!$J$2:$J$1601,$AH401)&amp;"")</f>
        <v/>
      </c>
      <c r="K401">
        <f>IF($AH401="","",INDEX('Per Line'!$K$2:$K$1601,$AH401)&amp;"")</f>
        <v/>
      </c>
      <c r="L401">
        <f>IF($AH401="","",INDEX('Per Line'!$L$2:$L$1601,$AH401)&amp;"")</f>
        <v/>
      </c>
      <c r="M401">
        <f>IF($AH401="","",INDEX('Per Line'!$M$2:$M$1601,$AH401))</f>
        <v/>
      </c>
      <c r="N401" s="7">
        <f>IF($AH401="","",M401*AE401/100)</f>
        <v/>
      </c>
      <c r="O401">
        <f>IF($AH401="","",INDEX('Per Line'!$Z$2:$Z$1601,$AH401)&amp;"")</f>
        <v/>
      </c>
      <c r="P401">
        <f>IF($AH401="","",INDEX('Per Line'!$AC$2:$AC$1601,$AH401)&amp;"")</f>
        <v/>
      </c>
      <c r="Q401">
        <f>IF($AH401="","",INDEX('Per Line'!$AD$2:$AD$1601,$AH401))</f>
        <v/>
      </c>
      <c r="R401">
        <f>IF($AH401="","",IF(AND(ISNUMBER(Q401),Q401&gt;0),AF401&gt;Q401,FALSE))</f>
        <v/>
      </c>
      <c r="S401">
        <f>IF($AH401="","",INDEX('Per Line'!$AH$2:$AH$1601,$AH401)&amp;"")</f>
        <v/>
      </c>
      <c r="T401" s="11">
        <f>IF($AH401="","",INDEX('Per Line'!$AI$2:$AI$1601,$AH401))</f>
        <v/>
      </c>
      <c r="U401">
        <f>IF($AH401="","",Settings!$C$8)</f>
        <v/>
      </c>
      <c r="V401" s="7">
        <f>IF($AH401="","",SUMIFS('Per Line'!$V$2:$V$1601,'Per Line'!$D$2:$D$1601,$B401,'Per Line'!$AN$2:$AN$1601,1))</f>
        <v/>
      </c>
      <c r="W401" s="7">
        <f>IF($AH401="","",V401*U401)</f>
        <v/>
      </c>
      <c r="X401">
        <f>IF($AH401="","",Settings!$C$7)</f>
        <v/>
      </c>
      <c r="Y401" s="7">
        <f>IF($AH401="","",SUMIFS('Per Line'!$V$2:$V$1601,'Per Line'!$D$2:$D$1601,$B401,'Per Line'!$AM$2:$AM$1601,0,'Per Line'!$AN$2:$AN$1601,0))</f>
        <v/>
      </c>
      <c r="Z401" s="7">
        <f>IF($AH401="","",Y401*X401)</f>
        <v/>
      </c>
      <c r="AA401">
        <f>IF($AH401="","",Settings!$C$6)</f>
        <v/>
      </c>
      <c r="AB401" s="7">
        <f>IF($AH401="","",SUMIFS('Per Line'!$V$2:$V$1601,'Per Line'!$D$2:$D$1601,$B401,'Per Line'!$AM$2:$AM$1601,1,'Per Line'!$AN$2:$AN$1601,0))</f>
        <v/>
      </c>
      <c r="AC401" s="7">
        <f>IF($AH401="","",AB401*AA401)</f>
        <v/>
      </c>
      <c r="AD401" s="7">
        <f>IF($AH401="","",AC401+Z401+W401)</f>
        <v/>
      </c>
      <c r="AE401" s="7">
        <f>IF($AH401="","",AF401-AD401)</f>
        <v/>
      </c>
      <c r="AF401" s="7">
        <f>IF($AH401="","",Y401+AB401+V401)</f>
        <v/>
      </c>
      <c r="AG401" s="7">
        <f>IF($AH401="","",AF401-AD401-N401)</f>
        <v/>
      </c>
      <c r="AH401" s="13">
        <f>IF(ROWS($AH$2:$AH401)&lt;=MAX('Per Line'!$AL$2:$AL$1601),MATCH(ROWS($AH$2:$AH401),'Per Line'!$AL$2:$AL$1601,0),"")</f>
        <v/>
      </c>
    </row>
  </sheetData>
  <autoFilter ref="A1:AH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2026-10-12T12:57:30Z</dcterms:created>
  <dcterms:modified xmlns:dcterms="http://purl.org/dc/terms/" xmlns:xsi="http://www.w3.org/2001/XMLSchema-instance" xsi:type="dcterms:W3CDTF">2026-10-12T12:57:30Z</dcterms:modified>
</cp:coreProperties>
</file>