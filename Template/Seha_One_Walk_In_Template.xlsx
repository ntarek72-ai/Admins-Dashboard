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Line'!$A$1:$Y$501</definedName>
    <definedName name="_xlnm._FilterDatabase" localSheetId="3" hidden="1">'Per Invoice'!$A$1:$Q$201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SEHA ONE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A, C-F, H-Q (same order as the system export).</t>
        </is>
      </c>
    </row>
    <row r="6">
      <c r="A6" s="3" t="inlineStr">
        <is>
          <t>3. Green columns (B, G, R, S, T, U) and the grey helper columns (V-Y)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July 2026 sheet)</t>
        </is>
      </c>
    </row>
    <row r="15">
      <c r="A15" s="3" t="inlineStr">
        <is>
          <t>Co val = Co Payment % x Subtotal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(11%) if Local is TRUE, otherwise Imported rate (5%).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SEHA ONE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0.11</v>
      </c>
      <c r="D6" t="inlineStr">
        <is>
          <t>Source: July sheet (Rebates = 0.11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July sheet (Rebates = 0.05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Line'!$W$2:$W$501)</f>
        <v/>
      </c>
    </row>
    <row r="12">
      <c r="B12" t="inlineStr">
        <is>
          <t>Invoices shown in Per Invoice</t>
        </is>
      </c>
      <c r="C12">
        <f>SUMPRODUCT(--('Per Invoice'!$B$2:$B$201&lt;&gt;""))</f>
        <v/>
      </c>
    </row>
    <row r="13">
      <c r="B13" t="inlineStr">
        <is>
          <t>Grand Total - Per Line (Product Total)</t>
        </is>
      </c>
      <c r="C13" s="7">
        <f>SUM('Per Line'!$L$2:$L$501)</f>
        <v/>
      </c>
    </row>
    <row r="14">
      <c r="B14" t="inlineStr">
        <is>
          <t>Grand Total - Per Invoice</t>
        </is>
      </c>
      <c r="C14" s="7">
        <f>SUM('Per Invoice'!$O$2:$O$201)</f>
        <v/>
      </c>
    </row>
    <row r="15">
      <c r="B15" t="inlineStr">
        <is>
          <t>Discount - Per Line</t>
        </is>
      </c>
      <c r="C15" s="7">
        <f>SUM('Per Line'!$S$2:$S$501)</f>
        <v/>
      </c>
    </row>
    <row r="16">
      <c r="B16" t="inlineStr">
        <is>
          <t>Discount - Per Invoice</t>
        </is>
      </c>
      <c r="C16" s="7">
        <f>SUM('Per Invoice'!$M$2:$M$201)</f>
        <v/>
      </c>
    </row>
    <row r="17">
      <c r="B17" t="inlineStr">
        <is>
          <t>Co val - Per Line</t>
        </is>
      </c>
      <c r="C17" s="7">
        <f>SUM('Per Line'!$G$2:$G$501)</f>
        <v/>
      </c>
    </row>
    <row r="18">
      <c r="B18" t="inlineStr">
        <is>
          <t>Co val - Per Invoice</t>
        </is>
      </c>
      <c r="C18" s="7">
        <f>SUM('Per Invoice'!$F$2:$F$201)</f>
        <v/>
      </c>
    </row>
    <row r="19">
      <c r="B19" t="inlineStr">
        <is>
          <t>Net - Per Line</t>
        </is>
      </c>
      <c r="C19" s="7">
        <f>SUM('Per Line'!$U$2:$U$501)</f>
        <v/>
      </c>
    </row>
    <row r="20">
      <c r="B20" t="inlineStr">
        <is>
          <t>Net - Per Invoice</t>
        </is>
      </c>
      <c r="C20" s="7">
        <f>SUM('Per Invoice'!$P$2:$P$201)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3" customWidth="1" min="5" max="5"/>
    <col width="12" customWidth="1" min="6" max="6"/>
    <col width="11" customWidth="1" min="7" max="7"/>
    <col width="12" customWidth="1" min="8" max="8"/>
    <col width="40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7" customWidth="1" min="15" max="15"/>
    <col width="28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32" customHeight="1">
      <c r="A1" s="8" t="inlineStr">
        <is>
          <t>Pos Reference</t>
        </is>
      </c>
      <c r="B1" s="9" t="inlineStr">
        <is>
          <t>Inv</t>
        </is>
      </c>
      <c r="C1" s="8" t="inlineStr">
        <is>
          <t>Insurance Company</t>
        </is>
      </c>
      <c r="D1" s="8" t="inlineStr">
        <is>
          <t>Name</t>
        </is>
      </c>
      <c r="E1" s="8" t="inlineStr">
        <is>
          <t>Card Number</t>
        </is>
      </c>
      <c r="F1" s="8" t="inlineStr">
        <is>
          <t>Co Payment %</t>
        </is>
      </c>
      <c r="G1" s="9" t="inlineStr">
        <is>
          <t>Co val</t>
        </is>
      </c>
      <c r="H1" s="8" t="inlineStr">
        <is>
          <t>Heisenberg id</t>
        </is>
      </c>
      <c r="I1" s="8" t="inlineStr">
        <is>
          <t>Product</t>
        </is>
      </c>
      <c r="J1" s="8" t="inlineStr">
        <is>
          <t>Original Quantity</t>
        </is>
      </c>
      <c r="K1" s="8" t="inlineStr">
        <is>
          <t>Original Price</t>
        </is>
      </c>
      <c r="L1" s="8" t="inlineStr">
        <is>
          <t>Total Delivered</t>
        </is>
      </c>
      <c r="M1" s="8" t="inlineStr">
        <is>
          <t>Payment Type</t>
        </is>
      </c>
      <c r="N1" s="8" t="inlineStr">
        <is>
          <t>Session</t>
        </is>
      </c>
      <c r="O1" s="8" t="inlineStr">
        <is>
          <t>Create Date</t>
        </is>
      </c>
      <c r="P1" s="8" t="inlineStr">
        <is>
          <t>Order Reference</t>
        </is>
      </c>
      <c r="Q1" s="8" t="inlineStr">
        <is>
          <t>Product Template - Product Tmpl → Is Local</t>
        </is>
      </c>
      <c r="R1" s="9" t="inlineStr">
        <is>
          <t>Rebates</t>
        </is>
      </c>
      <c r="S1" s="9" t="inlineStr">
        <is>
          <t>Discount</t>
        </is>
      </c>
      <c r="T1" s="9" t="inlineStr">
        <is>
          <t>Subtotal</t>
        </is>
      </c>
      <c r="U1" s="9" t="inlineStr">
        <is>
          <t>Net</t>
        </is>
      </c>
      <c r="V1" s="10" t="inlineStr">
        <is>
          <t>Order 1st Row (helper)</t>
        </is>
      </c>
      <c r="W1" s="10" t="inlineStr">
        <is>
          <t>Invoice # (helper)</t>
        </is>
      </c>
      <c r="X1" s="10" t="inlineStr">
        <is>
          <t>Is Local (helper)</t>
        </is>
      </c>
      <c r="Y1" s="10" t="inlineStr">
        <is>
          <t>Sort Key (helper)</t>
        </is>
      </c>
    </row>
    <row r="2">
      <c r="B2">
        <f>IF($A2="","",IFERROR(IF(INDEX('Per Invoice'!$A$2:$A$201,MATCH($A2,'Per Invoice'!$B$2:$B$201,0))=0,"",INDEX('Per Invoice'!$A$2:$A$201,MATCH($A2,'Per Invoice'!$B$2:$B$201,0))),""))</f>
        <v/>
      </c>
      <c r="G2" s="7">
        <f>IF($A2="","",F2*T2/100)</f>
        <v/>
      </c>
      <c r="J2" s="7" t="n"/>
      <c r="K2" s="7" t="n"/>
      <c r="L2" s="7" t="n"/>
      <c r="O2" s="11" t="n"/>
      <c r="R2">
        <f>IF($A2="","",IF($X2=1,Settings!$C$6,Settings!$C$7)*1)</f>
        <v/>
      </c>
      <c r="S2" s="7">
        <f>IF($A2="","",R2*L2)</f>
        <v/>
      </c>
      <c r="T2" s="7">
        <f>IF($A2="","",L2-S2)</f>
        <v/>
      </c>
      <c r="U2" s="7">
        <f>IF($A2="","",T2-G2)</f>
        <v/>
      </c>
      <c r="V2">
        <f>IF($A2="","",IF(COUNTIF($A$2:$A2,$A2)=1,1,0))</f>
        <v/>
      </c>
      <c r="W2">
        <f>IF($V2=1,SUMPRODUCT(--($Y$2:$Y$501&lt;$Y2))+1,"")</f>
        <v/>
      </c>
      <c r="X2">
        <f>IF($A2="","",IF(OR($Q2=TRUE(),$Q2="TRUE"),1,0))</f>
        <v/>
      </c>
      <c r="Y2">
        <f>IF($V2=1,IFERROR(VALUE(MID($A2,2,20)),1000000000)+ROW()/100000,"")</f>
        <v/>
      </c>
    </row>
    <row r="3">
      <c r="B3">
        <f>IF($A3="","",IFERROR(IF(INDEX('Per Invoice'!$A$2:$A$201,MATCH($A3,'Per Invoice'!$B$2:$B$201,0))=0,"",INDEX('Per Invoice'!$A$2:$A$201,MATCH($A3,'Per Invoice'!$B$2:$B$201,0))),""))</f>
        <v/>
      </c>
      <c r="G3" s="7">
        <f>IF($A3="","",F3*T3/100)</f>
        <v/>
      </c>
      <c r="J3" s="7" t="n"/>
      <c r="K3" s="7" t="n"/>
      <c r="L3" s="7" t="n"/>
      <c r="O3" s="11" t="n"/>
      <c r="R3">
        <f>IF($A3="","",IF($X3=1,Settings!$C$6,Settings!$C$7)*1)</f>
        <v/>
      </c>
      <c r="S3" s="7">
        <f>IF($A3="","",R3*L3)</f>
        <v/>
      </c>
      <c r="T3" s="7">
        <f>IF($A3="","",L3-S3)</f>
        <v/>
      </c>
      <c r="U3" s="7">
        <f>IF($A3="","",T3-G3)</f>
        <v/>
      </c>
      <c r="V3">
        <f>IF($A3="","",IF(COUNTIF($A$2:$A3,$A3)=1,1,0))</f>
        <v/>
      </c>
      <c r="W3">
        <f>IF($V3=1,SUMPRODUCT(--($Y$2:$Y$501&lt;$Y3))+1,"")</f>
        <v/>
      </c>
      <c r="X3">
        <f>IF($A3="","",IF(OR($Q3=TRUE(),$Q3="TRUE"),1,0))</f>
        <v/>
      </c>
      <c r="Y3">
        <f>IF($V3=1,IFERROR(VALUE(MID($A3,2,20)),1000000000)+ROW()/100000,"")</f>
        <v/>
      </c>
    </row>
    <row r="4">
      <c r="B4">
        <f>IF($A4="","",IFERROR(IF(INDEX('Per Invoice'!$A$2:$A$201,MATCH($A4,'Per Invoice'!$B$2:$B$201,0))=0,"",INDEX('Per Invoice'!$A$2:$A$201,MATCH($A4,'Per Invoice'!$B$2:$B$201,0))),""))</f>
        <v/>
      </c>
      <c r="G4" s="7">
        <f>IF($A4="","",F4*T4/100)</f>
        <v/>
      </c>
      <c r="J4" s="7" t="n"/>
      <c r="K4" s="7" t="n"/>
      <c r="L4" s="7" t="n"/>
      <c r="O4" s="11" t="n"/>
      <c r="R4">
        <f>IF($A4="","",IF($X4=1,Settings!$C$6,Settings!$C$7)*1)</f>
        <v/>
      </c>
      <c r="S4" s="7">
        <f>IF($A4="","",R4*L4)</f>
        <v/>
      </c>
      <c r="T4" s="7">
        <f>IF($A4="","",L4-S4)</f>
        <v/>
      </c>
      <c r="U4" s="7">
        <f>IF($A4="","",T4-G4)</f>
        <v/>
      </c>
      <c r="V4">
        <f>IF($A4="","",IF(COUNTIF($A$2:$A4,$A4)=1,1,0))</f>
        <v/>
      </c>
      <c r="W4">
        <f>IF($V4=1,SUMPRODUCT(--($Y$2:$Y$501&lt;$Y4))+1,"")</f>
        <v/>
      </c>
      <c r="X4">
        <f>IF($A4="","",IF(OR($Q4=TRUE(),$Q4="TRUE"),1,0))</f>
        <v/>
      </c>
      <c r="Y4">
        <f>IF($V4=1,IFERROR(VALUE(MID($A4,2,20)),1000000000)+ROW()/100000,"")</f>
        <v/>
      </c>
    </row>
    <row r="5">
      <c r="B5">
        <f>IF($A5="","",IFERROR(IF(INDEX('Per Invoice'!$A$2:$A$201,MATCH($A5,'Per Invoice'!$B$2:$B$201,0))=0,"",INDEX('Per Invoice'!$A$2:$A$201,MATCH($A5,'Per Invoice'!$B$2:$B$201,0))),""))</f>
        <v/>
      </c>
      <c r="G5" s="7">
        <f>IF($A5="","",F5*T5/100)</f>
        <v/>
      </c>
      <c r="J5" s="7" t="n"/>
      <c r="K5" s="7" t="n"/>
      <c r="L5" s="7" t="n"/>
      <c r="O5" s="11" t="n"/>
      <c r="R5">
        <f>IF($A5="","",IF($X5=1,Settings!$C$6,Settings!$C$7)*1)</f>
        <v/>
      </c>
      <c r="S5" s="7">
        <f>IF($A5="","",R5*L5)</f>
        <v/>
      </c>
      <c r="T5" s="7">
        <f>IF($A5="","",L5-S5)</f>
        <v/>
      </c>
      <c r="U5" s="7">
        <f>IF($A5="","",T5-G5)</f>
        <v/>
      </c>
      <c r="V5">
        <f>IF($A5="","",IF(COUNTIF($A$2:$A5,$A5)=1,1,0))</f>
        <v/>
      </c>
      <c r="W5">
        <f>IF($V5=1,SUMPRODUCT(--($Y$2:$Y$501&lt;$Y5))+1,"")</f>
        <v/>
      </c>
      <c r="X5">
        <f>IF($A5="","",IF(OR($Q5=TRUE(),$Q5="TRUE"),1,0))</f>
        <v/>
      </c>
      <c r="Y5">
        <f>IF($V5=1,IFERROR(VALUE(MID($A5,2,20)),1000000000)+ROW()/100000,"")</f>
        <v/>
      </c>
    </row>
    <row r="6">
      <c r="B6">
        <f>IF($A6="","",IFERROR(IF(INDEX('Per Invoice'!$A$2:$A$201,MATCH($A6,'Per Invoice'!$B$2:$B$201,0))=0,"",INDEX('Per Invoice'!$A$2:$A$201,MATCH($A6,'Per Invoice'!$B$2:$B$201,0))),""))</f>
        <v/>
      </c>
      <c r="G6" s="7">
        <f>IF($A6="","",F6*T6/100)</f>
        <v/>
      </c>
      <c r="J6" s="7" t="n"/>
      <c r="K6" s="7" t="n"/>
      <c r="L6" s="7" t="n"/>
      <c r="O6" s="11" t="n"/>
      <c r="R6">
        <f>IF($A6="","",IF($X6=1,Settings!$C$6,Settings!$C$7)*1)</f>
        <v/>
      </c>
      <c r="S6" s="7">
        <f>IF($A6="","",R6*L6)</f>
        <v/>
      </c>
      <c r="T6" s="7">
        <f>IF($A6="","",L6-S6)</f>
        <v/>
      </c>
      <c r="U6" s="7">
        <f>IF($A6="","",T6-G6)</f>
        <v/>
      </c>
      <c r="V6">
        <f>IF($A6="","",IF(COUNTIF($A$2:$A6,$A6)=1,1,0))</f>
        <v/>
      </c>
      <c r="W6">
        <f>IF($V6=1,SUMPRODUCT(--($Y$2:$Y$501&lt;$Y6))+1,"")</f>
        <v/>
      </c>
      <c r="X6">
        <f>IF($A6="","",IF(OR($Q6=TRUE(),$Q6="TRUE"),1,0))</f>
        <v/>
      </c>
      <c r="Y6">
        <f>IF($V6=1,IFERROR(VALUE(MID($A6,2,20)),1000000000)+ROW()/100000,"")</f>
        <v/>
      </c>
    </row>
    <row r="7">
      <c r="B7">
        <f>IF($A7="","",IFERROR(IF(INDEX('Per Invoice'!$A$2:$A$201,MATCH($A7,'Per Invoice'!$B$2:$B$201,0))=0,"",INDEX('Per Invoice'!$A$2:$A$201,MATCH($A7,'Per Invoice'!$B$2:$B$201,0))),""))</f>
        <v/>
      </c>
      <c r="G7" s="7">
        <f>IF($A7="","",F7*T7/100)</f>
        <v/>
      </c>
      <c r="J7" s="7" t="n"/>
      <c r="K7" s="7" t="n"/>
      <c r="L7" s="7" t="n"/>
      <c r="O7" s="11" t="n"/>
      <c r="R7">
        <f>IF($A7="","",IF($X7=1,Settings!$C$6,Settings!$C$7)*1)</f>
        <v/>
      </c>
      <c r="S7" s="7">
        <f>IF($A7="","",R7*L7)</f>
        <v/>
      </c>
      <c r="T7" s="7">
        <f>IF($A7="","",L7-S7)</f>
        <v/>
      </c>
      <c r="U7" s="7">
        <f>IF($A7="","",T7-G7)</f>
        <v/>
      </c>
      <c r="V7">
        <f>IF($A7="","",IF(COUNTIF($A$2:$A7,$A7)=1,1,0))</f>
        <v/>
      </c>
      <c r="W7">
        <f>IF($V7=1,SUMPRODUCT(--($Y$2:$Y$501&lt;$Y7))+1,"")</f>
        <v/>
      </c>
      <c r="X7">
        <f>IF($A7="","",IF(OR($Q7=TRUE(),$Q7="TRUE"),1,0))</f>
        <v/>
      </c>
      <c r="Y7">
        <f>IF($V7=1,IFERROR(VALUE(MID($A7,2,20)),1000000000)+ROW()/100000,"")</f>
        <v/>
      </c>
    </row>
    <row r="8">
      <c r="B8">
        <f>IF($A8="","",IFERROR(IF(INDEX('Per Invoice'!$A$2:$A$201,MATCH($A8,'Per Invoice'!$B$2:$B$201,0))=0,"",INDEX('Per Invoice'!$A$2:$A$201,MATCH($A8,'Per Invoice'!$B$2:$B$201,0))),""))</f>
        <v/>
      </c>
      <c r="G8" s="7">
        <f>IF($A8="","",F8*T8/100)</f>
        <v/>
      </c>
      <c r="J8" s="7" t="n"/>
      <c r="K8" s="7" t="n"/>
      <c r="L8" s="7" t="n"/>
      <c r="O8" s="11" t="n"/>
      <c r="R8">
        <f>IF($A8="","",IF($X8=1,Settings!$C$6,Settings!$C$7)*1)</f>
        <v/>
      </c>
      <c r="S8" s="7">
        <f>IF($A8="","",R8*L8)</f>
        <v/>
      </c>
      <c r="T8" s="7">
        <f>IF($A8="","",L8-S8)</f>
        <v/>
      </c>
      <c r="U8" s="7">
        <f>IF($A8="","",T8-G8)</f>
        <v/>
      </c>
      <c r="V8">
        <f>IF($A8="","",IF(COUNTIF($A$2:$A8,$A8)=1,1,0))</f>
        <v/>
      </c>
      <c r="W8">
        <f>IF($V8=1,SUMPRODUCT(--($Y$2:$Y$501&lt;$Y8))+1,"")</f>
        <v/>
      </c>
      <c r="X8">
        <f>IF($A8="","",IF(OR($Q8=TRUE(),$Q8="TRUE"),1,0))</f>
        <v/>
      </c>
      <c r="Y8">
        <f>IF($V8=1,IFERROR(VALUE(MID($A8,2,20)),1000000000)+ROW()/100000,"")</f>
        <v/>
      </c>
    </row>
    <row r="9">
      <c r="B9">
        <f>IF($A9="","",IFERROR(IF(INDEX('Per Invoice'!$A$2:$A$201,MATCH($A9,'Per Invoice'!$B$2:$B$201,0))=0,"",INDEX('Per Invoice'!$A$2:$A$201,MATCH($A9,'Per Invoice'!$B$2:$B$201,0))),""))</f>
        <v/>
      </c>
      <c r="G9" s="7">
        <f>IF($A9="","",F9*T9/100)</f>
        <v/>
      </c>
      <c r="J9" s="7" t="n"/>
      <c r="K9" s="7" t="n"/>
      <c r="L9" s="7" t="n"/>
      <c r="O9" s="11" t="n"/>
      <c r="R9">
        <f>IF($A9="","",IF($X9=1,Settings!$C$6,Settings!$C$7)*1)</f>
        <v/>
      </c>
      <c r="S9" s="7">
        <f>IF($A9="","",R9*L9)</f>
        <v/>
      </c>
      <c r="T9" s="7">
        <f>IF($A9="","",L9-S9)</f>
        <v/>
      </c>
      <c r="U9" s="7">
        <f>IF($A9="","",T9-G9)</f>
        <v/>
      </c>
      <c r="V9">
        <f>IF($A9="","",IF(COUNTIF($A$2:$A9,$A9)=1,1,0))</f>
        <v/>
      </c>
      <c r="W9">
        <f>IF($V9=1,SUMPRODUCT(--($Y$2:$Y$501&lt;$Y9))+1,"")</f>
        <v/>
      </c>
      <c r="X9">
        <f>IF($A9="","",IF(OR($Q9=TRUE(),$Q9="TRUE"),1,0))</f>
        <v/>
      </c>
      <c r="Y9">
        <f>IF($V9=1,IFERROR(VALUE(MID($A9,2,20)),1000000000)+ROW()/100000,"")</f>
        <v/>
      </c>
    </row>
    <row r="10">
      <c r="B10">
        <f>IF($A10="","",IFERROR(IF(INDEX('Per Invoice'!$A$2:$A$201,MATCH($A10,'Per Invoice'!$B$2:$B$201,0))=0,"",INDEX('Per Invoice'!$A$2:$A$201,MATCH($A10,'Per Invoice'!$B$2:$B$201,0))),""))</f>
        <v/>
      </c>
      <c r="G10" s="7">
        <f>IF($A10="","",F10*T10/100)</f>
        <v/>
      </c>
      <c r="J10" s="7" t="n"/>
      <c r="K10" s="7" t="n"/>
      <c r="L10" s="7" t="n"/>
      <c r="O10" s="11" t="n"/>
      <c r="R10">
        <f>IF($A10="","",IF($X10=1,Settings!$C$6,Settings!$C$7)*1)</f>
        <v/>
      </c>
      <c r="S10" s="7">
        <f>IF($A10="","",R10*L10)</f>
        <v/>
      </c>
      <c r="T10" s="7">
        <f>IF($A10="","",L10-S10)</f>
        <v/>
      </c>
      <c r="U10" s="7">
        <f>IF($A10="","",T10-G10)</f>
        <v/>
      </c>
      <c r="V10">
        <f>IF($A10="","",IF(COUNTIF($A$2:$A10,$A10)=1,1,0))</f>
        <v/>
      </c>
      <c r="W10">
        <f>IF($V10=1,SUMPRODUCT(--($Y$2:$Y$501&lt;$Y10))+1,"")</f>
        <v/>
      </c>
      <c r="X10">
        <f>IF($A10="","",IF(OR($Q10=TRUE(),$Q10="TRUE"),1,0))</f>
        <v/>
      </c>
      <c r="Y10">
        <f>IF($V10=1,IFERROR(VALUE(MID($A10,2,20)),1000000000)+ROW()/100000,"")</f>
        <v/>
      </c>
    </row>
    <row r="11">
      <c r="B11">
        <f>IF($A11="","",IFERROR(IF(INDEX('Per Invoice'!$A$2:$A$201,MATCH($A11,'Per Invoice'!$B$2:$B$201,0))=0,"",INDEX('Per Invoice'!$A$2:$A$201,MATCH($A11,'Per Invoice'!$B$2:$B$201,0))),""))</f>
        <v/>
      </c>
      <c r="G11" s="7">
        <f>IF($A11="","",F11*T11/100)</f>
        <v/>
      </c>
      <c r="J11" s="7" t="n"/>
      <c r="K11" s="7" t="n"/>
      <c r="L11" s="7" t="n"/>
      <c r="O11" s="11" t="n"/>
      <c r="R11">
        <f>IF($A11="","",IF($X11=1,Settings!$C$6,Settings!$C$7)*1)</f>
        <v/>
      </c>
      <c r="S11" s="7">
        <f>IF($A11="","",R11*L11)</f>
        <v/>
      </c>
      <c r="T11" s="7">
        <f>IF($A11="","",L11-S11)</f>
        <v/>
      </c>
      <c r="U11" s="7">
        <f>IF($A11="","",T11-G11)</f>
        <v/>
      </c>
      <c r="V11">
        <f>IF($A11="","",IF(COUNTIF($A$2:$A11,$A11)=1,1,0))</f>
        <v/>
      </c>
      <c r="W11">
        <f>IF($V11=1,SUMPRODUCT(--($Y$2:$Y$501&lt;$Y11))+1,"")</f>
        <v/>
      </c>
      <c r="X11">
        <f>IF($A11="","",IF(OR($Q11=TRUE(),$Q11="TRUE"),1,0))</f>
        <v/>
      </c>
      <c r="Y11">
        <f>IF($V11=1,IFERROR(VALUE(MID($A11,2,20)),1000000000)+ROW()/100000,"")</f>
        <v/>
      </c>
    </row>
    <row r="12">
      <c r="B12">
        <f>IF($A12="","",IFERROR(IF(INDEX('Per Invoice'!$A$2:$A$201,MATCH($A12,'Per Invoice'!$B$2:$B$201,0))=0,"",INDEX('Per Invoice'!$A$2:$A$201,MATCH($A12,'Per Invoice'!$B$2:$B$201,0))),""))</f>
        <v/>
      </c>
      <c r="G12" s="7">
        <f>IF($A12="","",F12*T12/100)</f>
        <v/>
      </c>
      <c r="J12" s="7" t="n"/>
      <c r="K12" s="7" t="n"/>
      <c r="L12" s="7" t="n"/>
      <c r="O12" s="11" t="n"/>
      <c r="R12">
        <f>IF($A12="","",IF($X12=1,Settings!$C$6,Settings!$C$7)*1)</f>
        <v/>
      </c>
      <c r="S12" s="7">
        <f>IF($A12="","",R12*L12)</f>
        <v/>
      </c>
      <c r="T12" s="7">
        <f>IF($A12="","",L12-S12)</f>
        <v/>
      </c>
      <c r="U12" s="7">
        <f>IF($A12="","",T12-G12)</f>
        <v/>
      </c>
      <c r="V12">
        <f>IF($A12="","",IF(COUNTIF($A$2:$A12,$A12)=1,1,0))</f>
        <v/>
      </c>
      <c r="W12">
        <f>IF($V12=1,SUMPRODUCT(--($Y$2:$Y$501&lt;$Y12))+1,"")</f>
        <v/>
      </c>
      <c r="X12">
        <f>IF($A12="","",IF(OR($Q12=TRUE(),$Q12="TRUE"),1,0))</f>
        <v/>
      </c>
      <c r="Y12">
        <f>IF($V12=1,IFERROR(VALUE(MID($A12,2,20)),1000000000)+ROW()/100000,"")</f>
        <v/>
      </c>
    </row>
    <row r="13">
      <c r="B13">
        <f>IF($A13="","",IFERROR(IF(INDEX('Per Invoice'!$A$2:$A$201,MATCH($A13,'Per Invoice'!$B$2:$B$201,0))=0,"",INDEX('Per Invoice'!$A$2:$A$201,MATCH($A13,'Per Invoice'!$B$2:$B$201,0))),""))</f>
        <v/>
      </c>
      <c r="G13" s="7">
        <f>IF($A13="","",F13*T13/100)</f>
        <v/>
      </c>
      <c r="J13" s="7" t="n"/>
      <c r="K13" s="7" t="n"/>
      <c r="L13" s="7" t="n"/>
      <c r="O13" s="11" t="n"/>
      <c r="R13">
        <f>IF($A13="","",IF($X13=1,Settings!$C$6,Settings!$C$7)*1)</f>
        <v/>
      </c>
      <c r="S13" s="7">
        <f>IF($A13="","",R13*L13)</f>
        <v/>
      </c>
      <c r="T13" s="7">
        <f>IF($A13="","",L13-S13)</f>
        <v/>
      </c>
      <c r="U13" s="7">
        <f>IF($A13="","",T13-G13)</f>
        <v/>
      </c>
      <c r="V13">
        <f>IF($A13="","",IF(COUNTIF($A$2:$A13,$A13)=1,1,0))</f>
        <v/>
      </c>
      <c r="W13">
        <f>IF($V13=1,SUMPRODUCT(--($Y$2:$Y$501&lt;$Y13))+1,"")</f>
        <v/>
      </c>
      <c r="X13">
        <f>IF($A13="","",IF(OR($Q13=TRUE(),$Q13="TRUE"),1,0))</f>
        <v/>
      </c>
      <c r="Y13">
        <f>IF($V13=1,IFERROR(VALUE(MID($A13,2,20)),1000000000)+ROW()/100000,"")</f>
        <v/>
      </c>
    </row>
    <row r="14">
      <c r="B14">
        <f>IF($A14="","",IFERROR(IF(INDEX('Per Invoice'!$A$2:$A$201,MATCH($A14,'Per Invoice'!$B$2:$B$201,0))=0,"",INDEX('Per Invoice'!$A$2:$A$201,MATCH($A14,'Per Invoice'!$B$2:$B$201,0))),""))</f>
        <v/>
      </c>
      <c r="G14" s="7">
        <f>IF($A14="","",F14*T14/100)</f>
        <v/>
      </c>
      <c r="J14" s="7" t="n"/>
      <c r="K14" s="7" t="n"/>
      <c r="L14" s="7" t="n"/>
      <c r="O14" s="11" t="n"/>
      <c r="R14">
        <f>IF($A14="","",IF($X14=1,Settings!$C$6,Settings!$C$7)*1)</f>
        <v/>
      </c>
      <c r="S14" s="7">
        <f>IF($A14="","",R14*L14)</f>
        <v/>
      </c>
      <c r="T14" s="7">
        <f>IF($A14="","",L14-S14)</f>
        <v/>
      </c>
      <c r="U14" s="7">
        <f>IF($A14="","",T14-G14)</f>
        <v/>
      </c>
      <c r="V14">
        <f>IF($A14="","",IF(COUNTIF($A$2:$A14,$A14)=1,1,0))</f>
        <v/>
      </c>
      <c r="W14">
        <f>IF($V14=1,SUMPRODUCT(--($Y$2:$Y$501&lt;$Y14))+1,"")</f>
        <v/>
      </c>
      <c r="X14">
        <f>IF($A14="","",IF(OR($Q14=TRUE(),$Q14="TRUE"),1,0))</f>
        <v/>
      </c>
      <c r="Y14">
        <f>IF($V14=1,IFERROR(VALUE(MID($A14,2,20)),1000000000)+ROW()/100000,"")</f>
        <v/>
      </c>
    </row>
    <row r="15">
      <c r="B15">
        <f>IF($A15="","",IFERROR(IF(INDEX('Per Invoice'!$A$2:$A$201,MATCH($A15,'Per Invoice'!$B$2:$B$201,0))=0,"",INDEX('Per Invoice'!$A$2:$A$201,MATCH($A15,'Per Invoice'!$B$2:$B$201,0))),""))</f>
        <v/>
      </c>
      <c r="G15" s="7">
        <f>IF($A15="","",F15*T15/100)</f>
        <v/>
      </c>
      <c r="J15" s="7" t="n"/>
      <c r="K15" s="7" t="n"/>
      <c r="L15" s="7" t="n"/>
      <c r="O15" s="11" t="n"/>
      <c r="R15">
        <f>IF($A15="","",IF($X15=1,Settings!$C$6,Settings!$C$7)*1)</f>
        <v/>
      </c>
      <c r="S15" s="7">
        <f>IF($A15="","",R15*L15)</f>
        <v/>
      </c>
      <c r="T15" s="7">
        <f>IF($A15="","",L15-S15)</f>
        <v/>
      </c>
      <c r="U15" s="7">
        <f>IF($A15="","",T15-G15)</f>
        <v/>
      </c>
      <c r="V15">
        <f>IF($A15="","",IF(COUNTIF($A$2:$A15,$A15)=1,1,0))</f>
        <v/>
      </c>
      <c r="W15">
        <f>IF($V15=1,SUMPRODUCT(--($Y$2:$Y$501&lt;$Y15))+1,"")</f>
        <v/>
      </c>
      <c r="X15">
        <f>IF($A15="","",IF(OR($Q15=TRUE(),$Q15="TRUE"),1,0))</f>
        <v/>
      </c>
      <c r="Y15">
        <f>IF($V15=1,IFERROR(VALUE(MID($A15,2,20)),1000000000)+ROW()/100000,"")</f>
        <v/>
      </c>
    </row>
    <row r="16">
      <c r="B16">
        <f>IF($A16="","",IFERROR(IF(INDEX('Per Invoice'!$A$2:$A$201,MATCH($A16,'Per Invoice'!$B$2:$B$201,0))=0,"",INDEX('Per Invoice'!$A$2:$A$201,MATCH($A16,'Per Invoice'!$B$2:$B$201,0))),""))</f>
        <v/>
      </c>
      <c r="G16" s="7">
        <f>IF($A16="","",F16*T16/100)</f>
        <v/>
      </c>
      <c r="J16" s="7" t="n"/>
      <c r="K16" s="7" t="n"/>
      <c r="L16" s="7" t="n"/>
      <c r="O16" s="11" t="n"/>
      <c r="R16">
        <f>IF($A16="","",IF($X16=1,Settings!$C$6,Settings!$C$7)*1)</f>
        <v/>
      </c>
      <c r="S16" s="7">
        <f>IF($A16="","",R16*L16)</f>
        <v/>
      </c>
      <c r="T16" s="7">
        <f>IF($A16="","",L16-S16)</f>
        <v/>
      </c>
      <c r="U16" s="7">
        <f>IF($A16="","",T16-G16)</f>
        <v/>
      </c>
      <c r="V16">
        <f>IF($A16="","",IF(COUNTIF($A$2:$A16,$A16)=1,1,0))</f>
        <v/>
      </c>
      <c r="W16">
        <f>IF($V16=1,SUMPRODUCT(--($Y$2:$Y$501&lt;$Y16))+1,"")</f>
        <v/>
      </c>
      <c r="X16">
        <f>IF($A16="","",IF(OR($Q16=TRUE(),$Q16="TRUE"),1,0))</f>
        <v/>
      </c>
      <c r="Y16">
        <f>IF($V16=1,IFERROR(VALUE(MID($A16,2,20)),1000000000)+ROW()/100000,"")</f>
        <v/>
      </c>
    </row>
    <row r="17">
      <c r="B17">
        <f>IF($A17="","",IFERROR(IF(INDEX('Per Invoice'!$A$2:$A$201,MATCH($A17,'Per Invoice'!$B$2:$B$201,0))=0,"",INDEX('Per Invoice'!$A$2:$A$201,MATCH($A17,'Per Invoice'!$B$2:$B$201,0))),""))</f>
        <v/>
      </c>
      <c r="G17" s="7">
        <f>IF($A17="","",F17*T17/100)</f>
        <v/>
      </c>
      <c r="J17" s="7" t="n"/>
      <c r="K17" s="7" t="n"/>
      <c r="L17" s="7" t="n"/>
      <c r="O17" s="11" t="n"/>
      <c r="R17">
        <f>IF($A17="","",IF($X17=1,Settings!$C$6,Settings!$C$7)*1)</f>
        <v/>
      </c>
      <c r="S17" s="7">
        <f>IF($A17="","",R17*L17)</f>
        <v/>
      </c>
      <c r="T17" s="7">
        <f>IF($A17="","",L17-S17)</f>
        <v/>
      </c>
      <c r="U17" s="7">
        <f>IF($A17="","",T17-G17)</f>
        <v/>
      </c>
      <c r="V17">
        <f>IF($A17="","",IF(COUNTIF($A$2:$A17,$A17)=1,1,0))</f>
        <v/>
      </c>
      <c r="W17">
        <f>IF($V17=1,SUMPRODUCT(--($Y$2:$Y$501&lt;$Y17))+1,"")</f>
        <v/>
      </c>
      <c r="X17">
        <f>IF($A17="","",IF(OR($Q17=TRUE(),$Q17="TRUE"),1,0))</f>
        <v/>
      </c>
      <c r="Y17">
        <f>IF($V17=1,IFERROR(VALUE(MID($A17,2,20)),1000000000)+ROW()/100000,"")</f>
        <v/>
      </c>
    </row>
    <row r="18">
      <c r="B18">
        <f>IF($A18="","",IFERROR(IF(INDEX('Per Invoice'!$A$2:$A$201,MATCH($A18,'Per Invoice'!$B$2:$B$201,0))=0,"",INDEX('Per Invoice'!$A$2:$A$201,MATCH($A18,'Per Invoice'!$B$2:$B$201,0))),""))</f>
        <v/>
      </c>
      <c r="G18" s="7">
        <f>IF($A18="","",F18*T18/100)</f>
        <v/>
      </c>
      <c r="J18" s="7" t="n"/>
      <c r="K18" s="7" t="n"/>
      <c r="L18" s="7" t="n"/>
      <c r="O18" s="11" t="n"/>
      <c r="R18">
        <f>IF($A18="","",IF($X18=1,Settings!$C$6,Settings!$C$7)*1)</f>
        <v/>
      </c>
      <c r="S18" s="7">
        <f>IF($A18="","",R18*L18)</f>
        <v/>
      </c>
      <c r="T18" s="7">
        <f>IF($A18="","",L18-S18)</f>
        <v/>
      </c>
      <c r="U18" s="7">
        <f>IF($A18="","",T18-G18)</f>
        <v/>
      </c>
      <c r="V18">
        <f>IF($A18="","",IF(COUNTIF($A$2:$A18,$A18)=1,1,0))</f>
        <v/>
      </c>
      <c r="W18">
        <f>IF($V18=1,SUMPRODUCT(--($Y$2:$Y$501&lt;$Y18))+1,"")</f>
        <v/>
      </c>
      <c r="X18">
        <f>IF($A18="","",IF(OR($Q18=TRUE(),$Q18="TRUE"),1,0))</f>
        <v/>
      </c>
      <c r="Y18">
        <f>IF($V18=1,IFERROR(VALUE(MID($A18,2,20)),1000000000)+ROW()/100000,"")</f>
        <v/>
      </c>
    </row>
    <row r="19">
      <c r="B19">
        <f>IF($A19="","",IFERROR(IF(INDEX('Per Invoice'!$A$2:$A$201,MATCH($A19,'Per Invoice'!$B$2:$B$201,0))=0,"",INDEX('Per Invoice'!$A$2:$A$201,MATCH($A19,'Per Invoice'!$B$2:$B$201,0))),""))</f>
        <v/>
      </c>
      <c r="G19" s="7">
        <f>IF($A19="","",F19*T19/100)</f>
        <v/>
      </c>
      <c r="J19" s="7" t="n"/>
      <c r="K19" s="7" t="n"/>
      <c r="L19" s="7" t="n"/>
      <c r="O19" s="11" t="n"/>
      <c r="R19">
        <f>IF($A19="","",IF($X19=1,Settings!$C$6,Settings!$C$7)*1)</f>
        <v/>
      </c>
      <c r="S19" s="7">
        <f>IF($A19="","",R19*L19)</f>
        <v/>
      </c>
      <c r="T19" s="7">
        <f>IF($A19="","",L19-S19)</f>
        <v/>
      </c>
      <c r="U19" s="7">
        <f>IF($A19="","",T19-G19)</f>
        <v/>
      </c>
      <c r="V19">
        <f>IF($A19="","",IF(COUNTIF($A$2:$A19,$A19)=1,1,0))</f>
        <v/>
      </c>
      <c r="W19">
        <f>IF($V19=1,SUMPRODUCT(--($Y$2:$Y$501&lt;$Y19))+1,"")</f>
        <v/>
      </c>
      <c r="X19">
        <f>IF($A19="","",IF(OR($Q19=TRUE(),$Q19="TRUE"),1,0))</f>
        <v/>
      </c>
      <c r="Y19">
        <f>IF($V19=1,IFERROR(VALUE(MID($A19,2,20)),1000000000)+ROW()/100000,"")</f>
        <v/>
      </c>
    </row>
    <row r="20">
      <c r="B20">
        <f>IF($A20="","",IFERROR(IF(INDEX('Per Invoice'!$A$2:$A$201,MATCH($A20,'Per Invoice'!$B$2:$B$201,0))=0,"",INDEX('Per Invoice'!$A$2:$A$201,MATCH($A20,'Per Invoice'!$B$2:$B$201,0))),""))</f>
        <v/>
      </c>
      <c r="G20" s="7">
        <f>IF($A20="","",F20*T20/100)</f>
        <v/>
      </c>
      <c r="J20" s="7" t="n"/>
      <c r="K20" s="7" t="n"/>
      <c r="L20" s="7" t="n"/>
      <c r="O20" s="11" t="n"/>
      <c r="R20">
        <f>IF($A20="","",IF($X20=1,Settings!$C$6,Settings!$C$7)*1)</f>
        <v/>
      </c>
      <c r="S20" s="7">
        <f>IF($A20="","",R20*L20)</f>
        <v/>
      </c>
      <c r="T20" s="7">
        <f>IF($A20="","",L20-S20)</f>
        <v/>
      </c>
      <c r="U20" s="7">
        <f>IF($A20="","",T20-G20)</f>
        <v/>
      </c>
      <c r="V20">
        <f>IF($A20="","",IF(COUNTIF($A$2:$A20,$A20)=1,1,0))</f>
        <v/>
      </c>
      <c r="W20">
        <f>IF($V20=1,SUMPRODUCT(--($Y$2:$Y$501&lt;$Y20))+1,"")</f>
        <v/>
      </c>
      <c r="X20">
        <f>IF($A20="","",IF(OR($Q20=TRUE(),$Q20="TRUE"),1,0))</f>
        <v/>
      </c>
      <c r="Y20">
        <f>IF($V20=1,IFERROR(VALUE(MID($A20,2,20)),1000000000)+ROW()/100000,"")</f>
        <v/>
      </c>
    </row>
    <row r="21">
      <c r="B21">
        <f>IF($A21="","",IFERROR(IF(INDEX('Per Invoice'!$A$2:$A$201,MATCH($A21,'Per Invoice'!$B$2:$B$201,0))=0,"",INDEX('Per Invoice'!$A$2:$A$201,MATCH($A21,'Per Invoice'!$B$2:$B$201,0))),""))</f>
        <v/>
      </c>
      <c r="G21" s="7">
        <f>IF($A21="","",F21*T21/100)</f>
        <v/>
      </c>
      <c r="J21" s="7" t="n"/>
      <c r="K21" s="7" t="n"/>
      <c r="L21" s="7" t="n"/>
      <c r="O21" s="11" t="n"/>
      <c r="R21">
        <f>IF($A21="","",IF($X21=1,Settings!$C$6,Settings!$C$7)*1)</f>
        <v/>
      </c>
      <c r="S21" s="7">
        <f>IF($A21="","",R21*L21)</f>
        <v/>
      </c>
      <c r="T21" s="7">
        <f>IF($A21="","",L21-S21)</f>
        <v/>
      </c>
      <c r="U21" s="7">
        <f>IF($A21="","",T21-G21)</f>
        <v/>
      </c>
      <c r="V21">
        <f>IF($A21="","",IF(COUNTIF($A$2:$A21,$A21)=1,1,0))</f>
        <v/>
      </c>
      <c r="W21">
        <f>IF($V21=1,SUMPRODUCT(--($Y$2:$Y$501&lt;$Y21))+1,"")</f>
        <v/>
      </c>
      <c r="X21">
        <f>IF($A21="","",IF(OR($Q21=TRUE(),$Q21="TRUE"),1,0))</f>
        <v/>
      </c>
      <c r="Y21">
        <f>IF($V21=1,IFERROR(VALUE(MID($A21,2,20)),1000000000)+ROW()/100000,"")</f>
        <v/>
      </c>
    </row>
    <row r="22">
      <c r="B22">
        <f>IF($A22="","",IFERROR(IF(INDEX('Per Invoice'!$A$2:$A$201,MATCH($A22,'Per Invoice'!$B$2:$B$201,0))=0,"",INDEX('Per Invoice'!$A$2:$A$201,MATCH($A22,'Per Invoice'!$B$2:$B$201,0))),""))</f>
        <v/>
      </c>
      <c r="G22" s="7">
        <f>IF($A22="","",F22*T22/100)</f>
        <v/>
      </c>
      <c r="J22" s="7" t="n"/>
      <c r="K22" s="7" t="n"/>
      <c r="L22" s="7" t="n"/>
      <c r="O22" s="11" t="n"/>
      <c r="R22">
        <f>IF($A22="","",IF($X22=1,Settings!$C$6,Settings!$C$7)*1)</f>
        <v/>
      </c>
      <c r="S22" s="7">
        <f>IF($A22="","",R22*L22)</f>
        <v/>
      </c>
      <c r="T22" s="7">
        <f>IF($A22="","",L22-S22)</f>
        <v/>
      </c>
      <c r="U22" s="7">
        <f>IF($A22="","",T22-G22)</f>
        <v/>
      </c>
      <c r="V22">
        <f>IF($A22="","",IF(COUNTIF($A$2:$A22,$A22)=1,1,0))</f>
        <v/>
      </c>
      <c r="W22">
        <f>IF($V22=1,SUMPRODUCT(--($Y$2:$Y$501&lt;$Y22))+1,"")</f>
        <v/>
      </c>
      <c r="X22">
        <f>IF($A22="","",IF(OR($Q22=TRUE(),$Q22="TRUE"),1,0))</f>
        <v/>
      </c>
      <c r="Y22">
        <f>IF($V22=1,IFERROR(VALUE(MID($A22,2,20)),1000000000)+ROW()/100000,"")</f>
        <v/>
      </c>
    </row>
    <row r="23">
      <c r="B23">
        <f>IF($A23="","",IFERROR(IF(INDEX('Per Invoice'!$A$2:$A$201,MATCH($A23,'Per Invoice'!$B$2:$B$201,0))=0,"",INDEX('Per Invoice'!$A$2:$A$201,MATCH($A23,'Per Invoice'!$B$2:$B$201,0))),""))</f>
        <v/>
      </c>
      <c r="G23" s="7">
        <f>IF($A23="","",F23*T23/100)</f>
        <v/>
      </c>
      <c r="J23" s="7" t="n"/>
      <c r="K23" s="7" t="n"/>
      <c r="L23" s="7" t="n"/>
      <c r="O23" s="11" t="n"/>
      <c r="R23">
        <f>IF($A23="","",IF($X23=1,Settings!$C$6,Settings!$C$7)*1)</f>
        <v/>
      </c>
      <c r="S23" s="7">
        <f>IF($A23="","",R23*L23)</f>
        <v/>
      </c>
      <c r="T23" s="7">
        <f>IF($A23="","",L23-S23)</f>
        <v/>
      </c>
      <c r="U23" s="7">
        <f>IF($A23="","",T23-G23)</f>
        <v/>
      </c>
      <c r="V23">
        <f>IF($A23="","",IF(COUNTIF($A$2:$A23,$A23)=1,1,0))</f>
        <v/>
      </c>
      <c r="W23">
        <f>IF($V23=1,SUMPRODUCT(--($Y$2:$Y$501&lt;$Y23))+1,"")</f>
        <v/>
      </c>
      <c r="X23">
        <f>IF($A23="","",IF(OR($Q23=TRUE(),$Q23="TRUE"),1,0))</f>
        <v/>
      </c>
      <c r="Y23">
        <f>IF($V23=1,IFERROR(VALUE(MID($A23,2,20)),1000000000)+ROW()/100000,"")</f>
        <v/>
      </c>
    </row>
    <row r="24">
      <c r="B24">
        <f>IF($A24="","",IFERROR(IF(INDEX('Per Invoice'!$A$2:$A$201,MATCH($A24,'Per Invoice'!$B$2:$B$201,0))=0,"",INDEX('Per Invoice'!$A$2:$A$201,MATCH($A24,'Per Invoice'!$B$2:$B$201,0))),""))</f>
        <v/>
      </c>
      <c r="G24" s="7">
        <f>IF($A24="","",F24*T24/100)</f>
        <v/>
      </c>
      <c r="J24" s="7" t="n"/>
      <c r="K24" s="7" t="n"/>
      <c r="L24" s="7" t="n"/>
      <c r="O24" s="11" t="n"/>
      <c r="R24">
        <f>IF($A24="","",IF($X24=1,Settings!$C$6,Settings!$C$7)*1)</f>
        <v/>
      </c>
      <c r="S24" s="7">
        <f>IF($A24="","",R24*L24)</f>
        <v/>
      </c>
      <c r="T24" s="7">
        <f>IF($A24="","",L24-S24)</f>
        <v/>
      </c>
      <c r="U24" s="7">
        <f>IF($A24="","",T24-G24)</f>
        <v/>
      </c>
      <c r="V24">
        <f>IF($A24="","",IF(COUNTIF($A$2:$A24,$A24)=1,1,0))</f>
        <v/>
      </c>
      <c r="W24">
        <f>IF($V24=1,SUMPRODUCT(--($Y$2:$Y$501&lt;$Y24))+1,"")</f>
        <v/>
      </c>
      <c r="X24">
        <f>IF($A24="","",IF(OR($Q24=TRUE(),$Q24="TRUE"),1,0))</f>
        <v/>
      </c>
      <c r="Y24">
        <f>IF($V24=1,IFERROR(VALUE(MID($A24,2,20)),1000000000)+ROW()/100000,"")</f>
        <v/>
      </c>
    </row>
    <row r="25">
      <c r="B25">
        <f>IF($A25="","",IFERROR(IF(INDEX('Per Invoice'!$A$2:$A$201,MATCH($A25,'Per Invoice'!$B$2:$B$201,0))=0,"",INDEX('Per Invoice'!$A$2:$A$201,MATCH($A25,'Per Invoice'!$B$2:$B$201,0))),""))</f>
        <v/>
      </c>
      <c r="G25" s="7">
        <f>IF($A25="","",F25*T25/100)</f>
        <v/>
      </c>
      <c r="J25" s="7" t="n"/>
      <c r="K25" s="7" t="n"/>
      <c r="L25" s="7" t="n"/>
      <c r="O25" s="11" t="n"/>
      <c r="R25">
        <f>IF($A25="","",IF($X25=1,Settings!$C$6,Settings!$C$7)*1)</f>
        <v/>
      </c>
      <c r="S25" s="7">
        <f>IF($A25="","",R25*L25)</f>
        <v/>
      </c>
      <c r="T25" s="7">
        <f>IF($A25="","",L25-S25)</f>
        <v/>
      </c>
      <c r="U25" s="7">
        <f>IF($A25="","",T25-G25)</f>
        <v/>
      </c>
      <c r="V25">
        <f>IF($A25="","",IF(COUNTIF($A$2:$A25,$A25)=1,1,0))</f>
        <v/>
      </c>
      <c r="W25">
        <f>IF($V25=1,SUMPRODUCT(--($Y$2:$Y$501&lt;$Y25))+1,"")</f>
        <v/>
      </c>
      <c r="X25">
        <f>IF($A25="","",IF(OR($Q25=TRUE(),$Q25="TRUE"),1,0))</f>
        <v/>
      </c>
      <c r="Y25">
        <f>IF($V25=1,IFERROR(VALUE(MID($A25,2,20)),1000000000)+ROW()/100000,"")</f>
        <v/>
      </c>
    </row>
    <row r="26">
      <c r="B26">
        <f>IF($A26="","",IFERROR(IF(INDEX('Per Invoice'!$A$2:$A$201,MATCH($A26,'Per Invoice'!$B$2:$B$201,0))=0,"",INDEX('Per Invoice'!$A$2:$A$201,MATCH($A26,'Per Invoice'!$B$2:$B$201,0))),""))</f>
        <v/>
      </c>
      <c r="G26" s="7">
        <f>IF($A26="","",F26*T26/100)</f>
        <v/>
      </c>
      <c r="J26" s="7" t="n"/>
      <c r="K26" s="7" t="n"/>
      <c r="L26" s="7" t="n"/>
      <c r="O26" s="11" t="n"/>
      <c r="R26">
        <f>IF($A26="","",IF($X26=1,Settings!$C$6,Settings!$C$7)*1)</f>
        <v/>
      </c>
      <c r="S26" s="7">
        <f>IF($A26="","",R26*L26)</f>
        <v/>
      </c>
      <c r="T26" s="7">
        <f>IF($A26="","",L26-S26)</f>
        <v/>
      </c>
      <c r="U26" s="7">
        <f>IF($A26="","",T26-G26)</f>
        <v/>
      </c>
      <c r="V26">
        <f>IF($A26="","",IF(COUNTIF($A$2:$A26,$A26)=1,1,0))</f>
        <v/>
      </c>
      <c r="W26">
        <f>IF($V26=1,SUMPRODUCT(--($Y$2:$Y$501&lt;$Y26))+1,"")</f>
        <v/>
      </c>
      <c r="X26">
        <f>IF($A26="","",IF(OR($Q26=TRUE(),$Q26="TRUE"),1,0))</f>
        <v/>
      </c>
      <c r="Y26">
        <f>IF($V26=1,IFERROR(VALUE(MID($A26,2,20)),1000000000)+ROW()/100000,"")</f>
        <v/>
      </c>
    </row>
    <row r="27">
      <c r="B27">
        <f>IF($A27="","",IFERROR(IF(INDEX('Per Invoice'!$A$2:$A$201,MATCH($A27,'Per Invoice'!$B$2:$B$201,0))=0,"",INDEX('Per Invoice'!$A$2:$A$201,MATCH($A27,'Per Invoice'!$B$2:$B$201,0))),""))</f>
        <v/>
      </c>
      <c r="G27" s="7">
        <f>IF($A27="","",F27*T27/100)</f>
        <v/>
      </c>
      <c r="J27" s="7" t="n"/>
      <c r="K27" s="7" t="n"/>
      <c r="L27" s="7" t="n"/>
      <c r="O27" s="11" t="n"/>
      <c r="R27">
        <f>IF($A27="","",IF($X27=1,Settings!$C$6,Settings!$C$7)*1)</f>
        <v/>
      </c>
      <c r="S27" s="7">
        <f>IF($A27="","",R27*L27)</f>
        <v/>
      </c>
      <c r="T27" s="7">
        <f>IF($A27="","",L27-S27)</f>
        <v/>
      </c>
      <c r="U27" s="7">
        <f>IF($A27="","",T27-G27)</f>
        <v/>
      </c>
      <c r="V27">
        <f>IF($A27="","",IF(COUNTIF($A$2:$A27,$A27)=1,1,0))</f>
        <v/>
      </c>
      <c r="W27">
        <f>IF($V27=1,SUMPRODUCT(--($Y$2:$Y$501&lt;$Y27))+1,"")</f>
        <v/>
      </c>
      <c r="X27">
        <f>IF($A27="","",IF(OR($Q27=TRUE(),$Q27="TRUE"),1,0))</f>
        <v/>
      </c>
      <c r="Y27">
        <f>IF($V27=1,IFERROR(VALUE(MID($A27,2,20)),1000000000)+ROW()/100000,"")</f>
        <v/>
      </c>
    </row>
    <row r="28">
      <c r="B28">
        <f>IF($A28="","",IFERROR(IF(INDEX('Per Invoice'!$A$2:$A$201,MATCH($A28,'Per Invoice'!$B$2:$B$201,0))=0,"",INDEX('Per Invoice'!$A$2:$A$201,MATCH($A28,'Per Invoice'!$B$2:$B$201,0))),""))</f>
        <v/>
      </c>
      <c r="G28" s="7">
        <f>IF($A28="","",F28*T28/100)</f>
        <v/>
      </c>
      <c r="J28" s="7" t="n"/>
      <c r="K28" s="7" t="n"/>
      <c r="L28" s="7" t="n"/>
      <c r="O28" s="11" t="n"/>
      <c r="R28">
        <f>IF($A28="","",IF($X28=1,Settings!$C$6,Settings!$C$7)*1)</f>
        <v/>
      </c>
      <c r="S28" s="7">
        <f>IF($A28="","",R28*L28)</f>
        <v/>
      </c>
      <c r="T28" s="7">
        <f>IF($A28="","",L28-S28)</f>
        <v/>
      </c>
      <c r="U28" s="7">
        <f>IF($A28="","",T28-G28)</f>
        <v/>
      </c>
      <c r="V28">
        <f>IF($A28="","",IF(COUNTIF($A$2:$A28,$A28)=1,1,0))</f>
        <v/>
      </c>
      <c r="W28">
        <f>IF($V28=1,SUMPRODUCT(--($Y$2:$Y$501&lt;$Y28))+1,"")</f>
        <v/>
      </c>
      <c r="X28">
        <f>IF($A28="","",IF(OR($Q28=TRUE(),$Q28="TRUE"),1,0))</f>
        <v/>
      </c>
      <c r="Y28">
        <f>IF($V28=1,IFERROR(VALUE(MID($A28,2,20)),1000000000)+ROW()/100000,"")</f>
        <v/>
      </c>
    </row>
    <row r="29">
      <c r="B29">
        <f>IF($A29="","",IFERROR(IF(INDEX('Per Invoice'!$A$2:$A$201,MATCH($A29,'Per Invoice'!$B$2:$B$201,0))=0,"",INDEX('Per Invoice'!$A$2:$A$201,MATCH($A29,'Per Invoice'!$B$2:$B$201,0))),""))</f>
        <v/>
      </c>
      <c r="G29" s="7">
        <f>IF($A29="","",F29*T29/100)</f>
        <v/>
      </c>
      <c r="J29" s="7" t="n"/>
      <c r="K29" s="7" t="n"/>
      <c r="L29" s="7" t="n"/>
      <c r="O29" s="11" t="n"/>
      <c r="R29">
        <f>IF($A29="","",IF($X29=1,Settings!$C$6,Settings!$C$7)*1)</f>
        <v/>
      </c>
      <c r="S29" s="7">
        <f>IF($A29="","",R29*L29)</f>
        <v/>
      </c>
      <c r="T29" s="7">
        <f>IF($A29="","",L29-S29)</f>
        <v/>
      </c>
      <c r="U29" s="7">
        <f>IF($A29="","",T29-G29)</f>
        <v/>
      </c>
      <c r="V29">
        <f>IF($A29="","",IF(COUNTIF($A$2:$A29,$A29)=1,1,0))</f>
        <v/>
      </c>
      <c r="W29">
        <f>IF($V29=1,SUMPRODUCT(--($Y$2:$Y$501&lt;$Y29))+1,"")</f>
        <v/>
      </c>
      <c r="X29">
        <f>IF($A29="","",IF(OR($Q29=TRUE(),$Q29="TRUE"),1,0))</f>
        <v/>
      </c>
      <c r="Y29">
        <f>IF($V29=1,IFERROR(VALUE(MID($A29,2,20)),1000000000)+ROW()/100000,"")</f>
        <v/>
      </c>
    </row>
    <row r="30">
      <c r="B30">
        <f>IF($A30="","",IFERROR(IF(INDEX('Per Invoice'!$A$2:$A$201,MATCH($A30,'Per Invoice'!$B$2:$B$201,0))=0,"",INDEX('Per Invoice'!$A$2:$A$201,MATCH($A30,'Per Invoice'!$B$2:$B$201,0))),""))</f>
        <v/>
      </c>
      <c r="G30" s="7">
        <f>IF($A30="","",F30*T30/100)</f>
        <v/>
      </c>
      <c r="J30" s="7" t="n"/>
      <c r="K30" s="7" t="n"/>
      <c r="L30" s="7" t="n"/>
      <c r="O30" s="11" t="n"/>
      <c r="R30">
        <f>IF($A30="","",IF($X30=1,Settings!$C$6,Settings!$C$7)*1)</f>
        <v/>
      </c>
      <c r="S30" s="7">
        <f>IF($A30="","",R30*L30)</f>
        <v/>
      </c>
      <c r="T30" s="7">
        <f>IF($A30="","",L30-S30)</f>
        <v/>
      </c>
      <c r="U30" s="7">
        <f>IF($A30="","",T30-G30)</f>
        <v/>
      </c>
      <c r="V30">
        <f>IF($A30="","",IF(COUNTIF($A$2:$A30,$A30)=1,1,0))</f>
        <v/>
      </c>
      <c r="W30">
        <f>IF($V30=1,SUMPRODUCT(--($Y$2:$Y$501&lt;$Y30))+1,"")</f>
        <v/>
      </c>
      <c r="X30">
        <f>IF($A30="","",IF(OR($Q30=TRUE(),$Q30="TRUE"),1,0))</f>
        <v/>
      </c>
      <c r="Y30">
        <f>IF($V30=1,IFERROR(VALUE(MID($A30,2,20)),1000000000)+ROW()/100000,"")</f>
        <v/>
      </c>
    </row>
    <row r="31">
      <c r="B31">
        <f>IF($A31="","",IFERROR(IF(INDEX('Per Invoice'!$A$2:$A$201,MATCH($A31,'Per Invoice'!$B$2:$B$201,0))=0,"",INDEX('Per Invoice'!$A$2:$A$201,MATCH($A31,'Per Invoice'!$B$2:$B$201,0))),""))</f>
        <v/>
      </c>
      <c r="G31" s="7">
        <f>IF($A31="","",F31*T31/100)</f>
        <v/>
      </c>
      <c r="J31" s="7" t="n"/>
      <c r="K31" s="7" t="n"/>
      <c r="L31" s="7" t="n"/>
      <c r="O31" s="11" t="n"/>
      <c r="R31">
        <f>IF($A31="","",IF($X31=1,Settings!$C$6,Settings!$C$7)*1)</f>
        <v/>
      </c>
      <c r="S31" s="7">
        <f>IF($A31="","",R31*L31)</f>
        <v/>
      </c>
      <c r="T31" s="7">
        <f>IF($A31="","",L31-S31)</f>
        <v/>
      </c>
      <c r="U31" s="7">
        <f>IF($A31="","",T31-G31)</f>
        <v/>
      </c>
      <c r="V31">
        <f>IF($A31="","",IF(COUNTIF($A$2:$A31,$A31)=1,1,0))</f>
        <v/>
      </c>
      <c r="W31">
        <f>IF($V31=1,SUMPRODUCT(--($Y$2:$Y$501&lt;$Y31))+1,"")</f>
        <v/>
      </c>
      <c r="X31">
        <f>IF($A31="","",IF(OR($Q31=TRUE(),$Q31="TRUE"),1,0))</f>
        <v/>
      </c>
      <c r="Y31">
        <f>IF($V31=1,IFERROR(VALUE(MID($A31,2,20)),1000000000)+ROW()/100000,"")</f>
        <v/>
      </c>
    </row>
    <row r="32">
      <c r="B32">
        <f>IF($A32="","",IFERROR(IF(INDEX('Per Invoice'!$A$2:$A$201,MATCH($A32,'Per Invoice'!$B$2:$B$201,0))=0,"",INDEX('Per Invoice'!$A$2:$A$201,MATCH($A32,'Per Invoice'!$B$2:$B$201,0))),""))</f>
        <v/>
      </c>
      <c r="G32" s="7">
        <f>IF($A32="","",F32*T32/100)</f>
        <v/>
      </c>
      <c r="J32" s="7" t="n"/>
      <c r="K32" s="7" t="n"/>
      <c r="L32" s="7" t="n"/>
      <c r="O32" s="11" t="n"/>
      <c r="R32">
        <f>IF($A32="","",IF($X32=1,Settings!$C$6,Settings!$C$7)*1)</f>
        <v/>
      </c>
      <c r="S32" s="7">
        <f>IF($A32="","",R32*L32)</f>
        <v/>
      </c>
      <c r="T32" s="7">
        <f>IF($A32="","",L32-S32)</f>
        <v/>
      </c>
      <c r="U32" s="7">
        <f>IF($A32="","",T32-G32)</f>
        <v/>
      </c>
      <c r="V32">
        <f>IF($A32="","",IF(COUNTIF($A$2:$A32,$A32)=1,1,0))</f>
        <v/>
      </c>
      <c r="W32">
        <f>IF($V32=1,SUMPRODUCT(--($Y$2:$Y$501&lt;$Y32))+1,"")</f>
        <v/>
      </c>
      <c r="X32">
        <f>IF($A32="","",IF(OR($Q32=TRUE(),$Q32="TRUE"),1,0))</f>
        <v/>
      </c>
      <c r="Y32">
        <f>IF($V32=1,IFERROR(VALUE(MID($A32,2,20)),1000000000)+ROW()/100000,"")</f>
        <v/>
      </c>
    </row>
    <row r="33">
      <c r="B33">
        <f>IF($A33="","",IFERROR(IF(INDEX('Per Invoice'!$A$2:$A$201,MATCH($A33,'Per Invoice'!$B$2:$B$201,0))=0,"",INDEX('Per Invoice'!$A$2:$A$201,MATCH($A33,'Per Invoice'!$B$2:$B$201,0))),""))</f>
        <v/>
      </c>
      <c r="G33" s="7">
        <f>IF($A33="","",F33*T33/100)</f>
        <v/>
      </c>
      <c r="J33" s="7" t="n"/>
      <c r="K33" s="7" t="n"/>
      <c r="L33" s="7" t="n"/>
      <c r="O33" s="11" t="n"/>
      <c r="R33">
        <f>IF($A33="","",IF($X33=1,Settings!$C$6,Settings!$C$7)*1)</f>
        <v/>
      </c>
      <c r="S33" s="7">
        <f>IF($A33="","",R33*L33)</f>
        <v/>
      </c>
      <c r="T33" s="7">
        <f>IF($A33="","",L33-S33)</f>
        <v/>
      </c>
      <c r="U33" s="7">
        <f>IF($A33="","",T33-G33)</f>
        <v/>
      </c>
      <c r="V33">
        <f>IF($A33="","",IF(COUNTIF($A$2:$A33,$A33)=1,1,0))</f>
        <v/>
      </c>
      <c r="W33">
        <f>IF($V33=1,SUMPRODUCT(--($Y$2:$Y$501&lt;$Y33))+1,"")</f>
        <v/>
      </c>
      <c r="X33">
        <f>IF($A33="","",IF(OR($Q33=TRUE(),$Q33="TRUE"),1,0))</f>
        <v/>
      </c>
      <c r="Y33">
        <f>IF($V33=1,IFERROR(VALUE(MID($A33,2,20)),1000000000)+ROW()/100000,"")</f>
        <v/>
      </c>
    </row>
    <row r="34">
      <c r="B34">
        <f>IF($A34="","",IFERROR(IF(INDEX('Per Invoice'!$A$2:$A$201,MATCH($A34,'Per Invoice'!$B$2:$B$201,0))=0,"",INDEX('Per Invoice'!$A$2:$A$201,MATCH($A34,'Per Invoice'!$B$2:$B$201,0))),""))</f>
        <v/>
      </c>
      <c r="G34" s="7">
        <f>IF($A34="","",F34*T34/100)</f>
        <v/>
      </c>
      <c r="J34" s="7" t="n"/>
      <c r="K34" s="7" t="n"/>
      <c r="L34" s="7" t="n"/>
      <c r="O34" s="11" t="n"/>
      <c r="R34">
        <f>IF($A34="","",IF($X34=1,Settings!$C$6,Settings!$C$7)*1)</f>
        <v/>
      </c>
      <c r="S34" s="7">
        <f>IF($A34="","",R34*L34)</f>
        <v/>
      </c>
      <c r="T34" s="7">
        <f>IF($A34="","",L34-S34)</f>
        <v/>
      </c>
      <c r="U34" s="7">
        <f>IF($A34="","",T34-G34)</f>
        <v/>
      </c>
      <c r="V34">
        <f>IF($A34="","",IF(COUNTIF($A$2:$A34,$A34)=1,1,0))</f>
        <v/>
      </c>
      <c r="W34">
        <f>IF($V34=1,SUMPRODUCT(--($Y$2:$Y$501&lt;$Y34))+1,"")</f>
        <v/>
      </c>
      <c r="X34">
        <f>IF($A34="","",IF(OR($Q34=TRUE(),$Q34="TRUE"),1,0))</f>
        <v/>
      </c>
      <c r="Y34">
        <f>IF($V34=1,IFERROR(VALUE(MID($A34,2,20)),1000000000)+ROW()/100000,"")</f>
        <v/>
      </c>
    </row>
    <row r="35">
      <c r="B35">
        <f>IF($A35="","",IFERROR(IF(INDEX('Per Invoice'!$A$2:$A$201,MATCH($A35,'Per Invoice'!$B$2:$B$201,0))=0,"",INDEX('Per Invoice'!$A$2:$A$201,MATCH($A35,'Per Invoice'!$B$2:$B$201,0))),""))</f>
        <v/>
      </c>
      <c r="G35" s="7">
        <f>IF($A35="","",F35*T35/100)</f>
        <v/>
      </c>
      <c r="J35" s="7" t="n"/>
      <c r="K35" s="7" t="n"/>
      <c r="L35" s="7" t="n"/>
      <c r="O35" s="11" t="n"/>
      <c r="R35">
        <f>IF($A35="","",IF($X35=1,Settings!$C$6,Settings!$C$7)*1)</f>
        <v/>
      </c>
      <c r="S35" s="7">
        <f>IF($A35="","",R35*L35)</f>
        <v/>
      </c>
      <c r="T35" s="7">
        <f>IF($A35="","",L35-S35)</f>
        <v/>
      </c>
      <c r="U35" s="7">
        <f>IF($A35="","",T35-G35)</f>
        <v/>
      </c>
      <c r="V35">
        <f>IF($A35="","",IF(COUNTIF($A$2:$A35,$A35)=1,1,0))</f>
        <v/>
      </c>
      <c r="W35">
        <f>IF($V35=1,SUMPRODUCT(--($Y$2:$Y$501&lt;$Y35))+1,"")</f>
        <v/>
      </c>
      <c r="X35">
        <f>IF($A35="","",IF(OR($Q35=TRUE(),$Q35="TRUE"),1,0))</f>
        <v/>
      </c>
      <c r="Y35">
        <f>IF($V35=1,IFERROR(VALUE(MID($A35,2,20)),1000000000)+ROW()/100000,"")</f>
        <v/>
      </c>
    </row>
    <row r="36">
      <c r="B36">
        <f>IF($A36="","",IFERROR(IF(INDEX('Per Invoice'!$A$2:$A$201,MATCH($A36,'Per Invoice'!$B$2:$B$201,0))=0,"",INDEX('Per Invoice'!$A$2:$A$201,MATCH($A36,'Per Invoice'!$B$2:$B$201,0))),""))</f>
        <v/>
      </c>
      <c r="G36" s="7">
        <f>IF($A36="","",F36*T36/100)</f>
        <v/>
      </c>
      <c r="J36" s="7" t="n"/>
      <c r="K36" s="7" t="n"/>
      <c r="L36" s="7" t="n"/>
      <c r="O36" s="11" t="n"/>
      <c r="R36">
        <f>IF($A36="","",IF($X36=1,Settings!$C$6,Settings!$C$7)*1)</f>
        <v/>
      </c>
      <c r="S36" s="7">
        <f>IF($A36="","",R36*L36)</f>
        <v/>
      </c>
      <c r="T36" s="7">
        <f>IF($A36="","",L36-S36)</f>
        <v/>
      </c>
      <c r="U36" s="7">
        <f>IF($A36="","",T36-G36)</f>
        <v/>
      </c>
      <c r="V36">
        <f>IF($A36="","",IF(COUNTIF($A$2:$A36,$A36)=1,1,0))</f>
        <v/>
      </c>
      <c r="W36">
        <f>IF($V36=1,SUMPRODUCT(--($Y$2:$Y$501&lt;$Y36))+1,"")</f>
        <v/>
      </c>
      <c r="X36">
        <f>IF($A36="","",IF(OR($Q36=TRUE(),$Q36="TRUE"),1,0))</f>
        <v/>
      </c>
      <c r="Y36">
        <f>IF($V36=1,IFERROR(VALUE(MID($A36,2,20)),1000000000)+ROW()/100000,"")</f>
        <v/>
      </c>
    </row>
    <row r="37">
      <c r="B37">
        <f>IF($A37="","",IFERROR(IF(INDEX('Per Invoice'!$A$2:$A$201,MATCH($A37,'Per Invoice'!$B$2:$B$201,0))=0,"",INDEX('Per Invoice'!$A$2:$A$201,MATCH($A37,'Per Invoice'!$B$2:$B$201,0))),""))</f>
        <v/>
      </c>
      <c r="G37" s="7">
        <f>IF($A37="","",F37*T37/100)</f>
        <v/>
      </c>
      <c r="J37" s="7" t="n"/>
      <c r="K37" s="7" t="n"/>
      <c r="L37" s="7" t="n"/>
      <c r="O37" s="11" t="n"/>
      <c r="R37">
        <f>IF($A37="","",IF($X37=1,Settings!$C$6,Settings!$C$7)*1)</f>
        <v/>
      </c>
      <c r="S37" s="7">
        <f>IF($A37="","",R37*L37)</f>
        <v/>
      </c>
      <c r="T37" s="7">
        <f>IF($A37="","",L37-S37)</f>
        <v/>
      </c>
      <c r="U37" s="7">
        <f>IF($A37="","",T37-G37)</f>
        <v/>
      </c>
      <c r="V37">
        <f>IF($A37="","",IF(COUNTIF($A$2:$A37,$A37)=1,1,0))</f>
        <v/>
      </c>
      <c r="W37">
        <f>IF($V37=1,SUMPRODUCT(--($Y$2:$Y$501&lt;$Y37))+1,"")</f>
        <v/>
      </c>
      <c r="X37">
        <f>IF($A37="","",IF(OR($Q37=TRUE(),$Q37="TRUE"),1,0))</f>
        <v/>
      </c>
      <c r="Y37">
        <f>IF($V37=1,IFERROR(VALUE(MID($A37,2,20)),1000000000)+ROW()/100000,"")</f>
        <v/>
      </c>
    </row>
    <row r="38">
      <c r="B38">
        <f>IF($A38="","",IFERROR(IF(INDEX('Per Invoice'!$A$2:$A$201,MATCH($A38,'Per Invoice'!$B$2:$B$201,0))=0,"",INDEX('Per Invoice'!$A$2:$A$201,MATCH($A38,'Per Invoice'!$B$2:$B$201,0))),""))</f>
        <v/>
      </c>
      <c r="G38" s="7">
        <f>IF($A38="","",F38*T38/100)</f>
        <v/>
      </c>
      <c r="J38" s="7" t="n"/>
      <c r="K38" s="7" t="n"/>
      <c r="L38" s="7" t="n"/>
      <c r="O38" s="11" t="n"/>
      <c r="R38">
        <f>IF($A38="","",IF($X38=1,Settings!$C$6,Settings!$C$7)*1)</f>
        <v/>
      </c>
      <c r="S38" s="7">
        <f>IF($A38="","",R38*L38)</f>
        <v/>
      </c>
      <c r="T38" s="7">
        <f>IF($A38="","",L38-S38)</f>
        <v/>
      </c>
      <c r="U38" s="7">
        <f>IF($A38="","",T38-G38)</f>
        <v/>
      </c>
      <c r="V38">
        <f>IF($A38="","",IF(COUNTIF($A$2:$A38,$A38)=1,1,0))</f>
        <v/>
      </c>
      <c r="W38">
        <f>IF($V38=1,SUMPRODUCT(--($Y$2:$Y$501&lt;$Y38))+1,"")</f>
        <v/>
      </c>
      <c r="X38">
        <f>IF($A38="","",IF(OR($Q38=TRUE(),$Q38="TRUE"),1,0))</f>
        <v/>
      </c>
      <c r="Y38">
        <f>IF($V38=1,IFERROR(VALUE(MID($A38,2,20)),1000000000)+ROW()/100000,"")</f>
        <v/>
      </c>
    </row>
    <row r="39">
      <c r="B39">
        <f>IF($A39="","",IFERROR(IF(INDEX('Per Invoice'!$A$2:$A$201,MATCH($A39,'Per Invoice'!$B$2:$B$201,0))=0,"",INDEX('Per Invoice'!$A$2:$A$201,MATCH($A39,'Per Invoice'!$B$2:$B$201,0))),""))</f>
        <v/>
      </c>
      <c r="G39" s="7">
        <f>IF($A39="","",F39*T39/100)</f>
        <v/>
      </c>
      <c r="J39" s="7" t="n"/>
      <c r="K39" s="7" t="n"/>
      <c r="L39" s="7" t="n"/>
      <c r="O39" s="11" t="n"/>
      <c r="R39">
        <f>IF($A39="","",IF($X39=1,Settings!$C$6,Settings!$C$7)*1)</f>
        <v/>
      </c>
      <c r="S39" s="7">
        <f>IF($A39="","",R39*L39)</f>
        <v/>
      </c>
      <c r="T39" s="7">
        <f>IF($A39="","",L39-S39)</f>
        <v/>
      </c>
      <c r="U39" s="7">
        <f>IF($A39="","",T39-G39)</f>
        <v/>
      </c>
      <c r="V39">
        <f>IF($A39="","",IF(COUNTIF($A$2:$A39,$A39)=1,1,0))</f>
        <v/>
      </c>
      <c r="W39">
        <f>IF($V39=1,SUMPRODUCT(--($Y$2:$Y$501&lt;$Y39))+1,"")</f>
        <v/>
      </c>
      <c r="X39">
        <f>IF($A39="","",IF(OR($Q39=TRUE(),$Q39="TRUE"),1,0))</f>
        <v/>
      </c>
      <c r="Y39">
        <f>IF($V39=1,IFERROR(VALUE(MID($A39,2,20)),1000000000)+ROW()/100000,"")</f>
        <v/>
      </c>
    </row>
    <row r="40">
      <c r="B40">
        <f>IF($A40="","",IFERROR(IF(INDEX('Per Invoice'!$A$2:$A$201,MATCH($A40,'Per Invoice'!$B$2:$B$201,0))=0,"",INDEX('Per Invoice'!$A$2:$A$201,MATCH($A40,'Per Invoice'!$B$2:$B$201,0))),""))</f>
        <v/>
      </c>
      <c r="G40" s="7">
        <f>IF($A40="","",F40*T40/100)</f>
        <v/>
      </c>
      <c r="J40" s="7" t="n"/>
      <c r="K40" s="7" t="n"/>
      <c r="L40" s="7" t="n"/>
      <c r="O40" s="11" t="n"/>
      <c r="R40">
        <f>IF($A40="","",IF($X40=1,Settings!$C$6,Settings!$C$7)*1)</f>
        <v/>
      </c>
      <c r="S40" s="7">
        <f>IF($A40="","",R40*L40)</f>
        <v/>
      </c>
      <c r="T40" s="7">
        <f>IF($A40="","",L40-S40)</f>
        <v/>
      </c>
      <c r="U40" s="7">
        <f>IF($A40="","",T40-G40)</f>
        <v/>
      </c>
      <c r="V40">
        <f>IF($A40="","",IF(COUNTIF($A$2:$A40,$A40)=1,1,0))</f>
        <v/>
      </c>
      <c r="W40">
        <f>IF($V40=1,SUMPRODUCT(--($Y$2:$Y$501&lt;$Y40))+1,"")</f>
        <v/>
      </c>
      <c r="X40">
        <f>IF($A40="","",IF(OR($Q40=TRUE(),$Q40="TRUE"),1,0))</f>
        <v/>
      </c>
      <c r="Y40">
        <f>IF($V40=1,IFERROR(VALUE(MID($A40,2,20)),1000000000)+ROW()/100000,"")</f>
        <v/>
      </c>
    </row>
    <row r="41">
      <c r="B41">
        <f>IF($A41="","",IFERROR(IF(INDEX('Per Invoice'!$A$2:$A$201,MATCH($A41,'Per Invoice'!$B$2:$B$201,0))=0,"",INDEX('Per Invoice'!$A$2:$A$201,MATCH($A41,'Per Invoice'!$B$2:$B$201,0))),""))</f>
        <v/>
      </c>
      <c r="G41" s="7">
        <f>IF($A41="","",F41*T41/100)</f>
        <v/>
      </c>
      <c r="J41" s="7" t="n"/>
      <c r="K41" s="7" t="n"/>
      <c r="L41" s="7" t="n"/>
      <c r="O41" s="11" t="n"/>
      <c r="R41">
        <f>IF($A41="","",IF($X41=1,Settings!$C$6,Settings!$C$7)*1)</f>
        <v/>
      </c>
      <c r="S41" s="7">
        <f>IF($A41="","",R41*L41)</f>
        <v/>
      </c>
      <c r="T41" s="7">
        <f>IF($A41="","",L41-S41)</f>
        <v/>
      </c>
      <c r="U41" s="7">
        <f>IF($A41="","",T41-G41)</f>
        <v/>
      </c>
      <c r="V41">
        <f>IF($A41="","",IF(COUNTIF($A$2:$A41,$A41)=1,1,0))</f>
        <v/>
      </c>
      <c r="W41">
        <f>IF($V41=1,SUMPRODUCT(--($Y$2:$Y$501&lt;$Y41))+1,"")</f>
        <v/>
      </c>
      <c r="X41">
        <f>IF($A41="","",IF(OR($Q41=TRUE(),$Q41="TRUE"),1,0))</f>
        <v/>
      </c>
      <c r="Y41">
        <f>IF($V41=1,IFERROR(VALUE(MID($A41,2,20)),1000000000)+ROW()/100000,"")</f>
        <v/>
      </c>
    </row>
    <row r="42">
      <c r="B42">
        <f>IF($A42="","",IFERROR(IF(INDEX('Per Invoice'!$A$2:$A$201,MATCH($A42,'Per Invoice'!$B$2:$B$201,0))=0,"",INDEX('Per Invoice'!$A$2:$A$201,MATCH($A42,'Per Invoice'!$B$2:$B$201,0))),""))</f>
        <v/>
      </c>
      <c r="G42" s="7">
        <f>IF($A42="","",F42*T42/100)</f>
        <v/>
      </c>
      <c r="J42" s="7" t="n"/>
      <c r="K42" s="7" t="n"/>
      <c r="L42" s="7" t="n"/>
      <c r="O42" s="11" t="n"/>
      <c r="R42">
        <f>IF($A42="","",IF($X42=1,Settings!$C$6,Settings!$C$7)*1)</f>
        <v/>
      </c>
      <c r="S42" s="7">
        <f>IF($A42="","",R42*L42)</f>
        <v/>
      </c>
      <c r="T42" s="7">
        <f>IF($A42="","",L42-S42)</f>
        <v/>
      </c>
      <c r="U42" s="7">
        <f>IF($A42="","",T42-G42)</f>
        <v/>
      </c>
      <c r="V42">
        <f>IF($A42="","",IF(COUNTIF($A$2:$A42,$A42)=1,1,0))</f>
        <v/>
      </c>
      <c r="W42">
        <f>IF($V42=1,SUMPRODUCT(--($Y$2:$Y$501&lt;$Y42))+1,"")</f>
        <v/>
      </c>
      <c r="X42">
        <f>IF($A42="","",IF(OR($Q42=TRUE(),$Q42="TRUE"),1,0))</f>
        <v/>
      </c>
      <c r="Y42">
        <f>IF($V42=1,IFERROR(VALUE(MID($A42,2,20)),1000000000)+ROW()/100000,"")</f>
        <v/>
      </c>
    </row>
    <row r="43">
      <c r="B43">
        <f>IF($A43="","",IFERROR(IF(INDEX('Per Invoice'!$A$2:$A$201,MATCH($A43,'Per Invoice'!$B$2:$B$201,0))=0,"",INDEX('Per Invoice'!$A$2:$A$201,MATCH($A43,'Per Invoice'!$B$2:$B$201,0))),""))</f>
        <v/>
      </c>
      <c r="G43" s="7">
        <f>IF($A43="","",F43*T43/100)</f>
        <v/>
      </c>
      <c r="J43" s="7" t="n"/>
      <c r="K43" s="7" t="n"/>
      <c r="L43" s="7" t="n"/>
      <c r="O43" s="11" t="n"/>
      <c r="R43">
        <f>IF($A43="","",IF($X43=1,Settings!$C$6,Settings!$C$7)*1)</f>
        <v/>
      </c>
      <c r="S43" s="7">
        <f>IF($A43="","",R43*L43)</f>
        <v/>
      </c>
      <c r="T43" s="7">
        <f>IF($A43="","",L43-S43)</f>
        <v/>
      </c>
      <c r="U43" s="7">
        <f>IF($A43="","",T43-G43)</f>
        <v/>
      </c>
      <c r="V43">
        <f>IF($A43="","",IF(COUNTIF($A$2:$A43,$A43)=1,1,0))</f>
        <v/>
      </c>
      <c r="W43">
        <f>IF($V43=1,SUMPRODUCT(--($Y$2:$Y$501&lt;$Y43))+1,"")</f>
        <v/>
      </c>
      <c r="X43">
        <f>IF($A43="","",IF(OR($Q43=TRUE(),$Q43="TRUE"),1,0))</f>
        <v/>
      </c>
      <c r="Y43">
        <f>IF($V43=1,IFERROR(VALUE(MID($A43,2,20)),1000000000)+ROW()/100000,"")</f>
        <v/>
      </c>
    </row>
    <row r="44">
      <c r="B44">
        <f>IF($A44="","",IFERROR(IF(INDEX('Per Invoice'!$A$2:$A$201,MATCH($A44,'Per Invoice'!$B$2:$B$201,0))=0,"",INDEX('Per Invoice'!$A$2:$A$201,MATCH($A44,'Per Invoice'!$B$2:$B$201,0))),""))</f>
        <v/>
      </c>
      <c r="G44" s="7">
        <f>IF($A44="","",F44*T44/100)</f>
        <v/>
      </c>
      <c r="J44" s="7" t="n"/>
      <c r="K44" s="7" t="n"/>
      <c r="L44" s="7" t="n"/>
      <c r="O44" s="11" t="n"/>
      <c r="R44">
        <f>IF($A44="","",IF($X44=1,Settings!$C$6,Settings!$C$7)*1)</f>
        <v/>
      </c>
      <c r="S44" s="7">
        <f>IF($A44="","",R44*L44)</f>
        <v/>
      </c>
      <c r="T44" s="7">
        <f>IF($A44="","",L44-S44)</f>
        <v/>
      </c>
      <c r="U44" s="7">
        <f>IF($A44="","",T44-G44)</f>
        <v/>
      </c>
      <c r="V44">
        <f>IF($A44="","",IF(COUNTIF($A$2:$A44,$A44)=1,1,0))</f>
        <v/>
      </c>
      <c r="W44">
        <f>IF($V44=1,SUMPRODUCT(--($Y$2:$Y$501&lt;$Y44))+1,"")</f>
        <v/>
      </c>
      <c r="X44">
        <f>IF($A44="","",IF(OR($Q44=TRUE(),$Q44="TRUE"),1,0))</f>
        <v/>
      </c>
      <c r="Y44">
        <f>IF($V44=1,IFERROR(VALUE(MID($A44,2,20)),1000000000)+ROW()/100000,"")</f>
        <v/>
      </c>
    </row>
    <row r="45">
      <c r="B45">
        <f>IF($A45="","",IFERROR(IF(INDEX('Per Invoice'!$A$2:$A$201,MATCH($A45,'Per Invoice'!$B$2:$B$201,0))=0,"",INDEX('Per Invoice'!$A$2:$A$201,MATCH($A45,'Per Invoice'!$B$2:$B$201,0))),""))</f>
        <v/>
      </c>
      <c r="G45" s="7">
        <f>IF($A45="","",F45*T45/100)</f>
        <v/>
      </c>
      <c r="J45" s="7" t="n"/>
      <c r="K45" s="7" t="n"/>
      <c r="L45" s="7" t="n"/>
      <c r="O45" s="11" t="n"/>
      <c r="R45">
        <f>IF($A45="","",IF($X45=1,Settings!$C$6,Settings!$C$7)*1)</f>
        <v/>
      </c>
      <c r="S45" s="7">
        <f>IF($A45="","",R45*L45)</f>
        <v/>
      </c>
      <c r="T45" s="7">
        <f>IF($A45="","",L45-S45)</f>
        <v/>
      </c>
      <c r="U45" s="7">
        <f>IF($A45="","",T45-G45)</f>
        <v/>
      </c>
      <c r="V45">
        <f>IF($A45="","",IF(COUNTIF($A$2:$A45,$A45)=1,1,0))</f>
        <v/>
      </c>
      <c r="W45">
        <f>IF($V45=1,SUMPRODUCT(--($Y$2:$Y$501&lt;$Y45))+1,"")</f>
        <v/>
      </c>
      <c r="X45">
        <f>IF($A45="","",IF(OR($Q45=TRUE(),$Q45="TRUE"),1,0))</f>
        <v/>
      </c>
      <c r="Y45">
        <f>IF($V45=1,IFERROR(VALUE(MID($A45,2,20)),1000000000)+ROW()/100000,"")</f>
        <v/>
      </c>
    </row>
    <row r="46">
      <c r="B46">
        <f>IF($A46="","",IFERROR(IF(INDEX('Per Invoice'!$A$2:$A$201,MATCH($A46,'Per Invoice'!$B$2:$B$201,0))=0,"",INDEX('Per Invoice'!$A$2:$A$201,MATCH($A46,'Per Invoice'!$B$2:$B$201,0))),""))</f>
        <v/>
      </c>
      <c r="G46" s="7">
        <f>IF($A46="","",F46*T46/100)</f>
        <v/>
      </c>
      <c r="J46" s="7" t="n"/>
      <c r="K46" s="7" t="n"/>
      <c r="L46" s="7" t="n"/>
      <c r="O46" s="11" t="n"/>
      <c r="R46">
        <f>IF($A46="","",IF($X46=1,Settings!$C$6,Settings!$C$7)*1)</f>
        <v/>
      </c>
      <c r="S46" s="7">
        <f>IF($A46="","",R46*L46)</f>
        <v/>
      </c>
      <c r="T46" s="7">
        <f>IF($A46="","",L46-S46)</f>
        <v/>
      </c>
      <c r="U46" s="7">
        <f>IF($A46="","",T46-G46)</f>
        <v/>
      </c>
      <c r="V46">
        <f>IF($A46="","",IF(COUNTIF($A$2:$A46,$A46)=1,1,0))</f>
        <v/>
      </c>
      <c r="W46">
        <f>IF($V46=1,SUMPRODUCT(--($Y$2:$Y$501&lt;$Y46))+1,"")</f>
        <v/>
      </c>
      <c r="X46">
        <f>IF($A46="","",IF(OR($Q46=TRUE(),$Q46="TRUE"),1,0))</f>
        <v/>
      </c>
      <c r="Y46">
        <f>IF($V46=1,IFERROR(VALUE(MID($A46,2,20)),1000000000)+ROW()/100000,"")</f>
        <v/>
      </c>
    </row>
    <row r="47">
      <c r="B47">
        <f>IF($A47="","",IFERROR(IF(INDEX('Per Invoice'!$A$2:$A$201,MATCH($A47,'Per Invoice'!$B$2:$B$201,0))=0,"",INDEX('Per Invoice'!$A$2:$A$201,MATCH($A47,'Per Invoice'!$B$2:$B$201,0))),""))</f>
        <v/>
      </c>
      <c r="G47" s="7">
        <f>IF($A47="","",F47*T47/100)</f>
        <v/>
      </c>
      <c r="J47" s="7" t="n"/>
      <c r="K47" s="7" t="n"/>
      <c r="L47" s="7" t="n"/>
      <c r="O47" s="11" t="n"/>
      <c r="R47">
        <f>IF($A47="","",IF($X47=1,Settings!$C$6,Settings!$C$7)*1)</f>
        <v/>
      </c>
      <c r="S47" s="7">
        <f>IF($A47="","",R47*L47)</f>
        <v/>
      </c>
      <c r="T47" s="7">
        <f>IF($A47="","",L47-S47)</f>
        <v/>
      </c>
      <c r="U47" s="7">
        <f>IF($A47="","",T47-G47)</f>
        <v/>
      </c>
      <c r="V47">
        <f>IF($A47="","",IF(COUNTIF($A$2:$A47,$A47)=1,1,0))</f>
        <v/>
      </c>
      <c r="W47">
        <f>IF($V47=1,SUMPRODUCT(--($Y$2:$Y$501&lt;$Y47))+1,"")</f>
        <v/>
      </c>
      <c r="X47">
        <f>IF($A47="","",IF(OR($Q47=TRUE(),$Q47="TRUE"),1,0))</f>
        <v/>
      </c>
      <c r="Y47">
        <f>IF($V47=1,IFERROR(VALUE(MID($A47,2,20)),1000000000)+ROW()/100000,"")</f>
        <v/>
      </c>
    </row>
    <row r="48">
      <c r="B48">
        <f>IF($A48="","",IFERROR(IF(INDEX('Per Invoice'!$A$2:$A$201,MATCH($A48,'Per Invoice'!$B$2:$B$201,0))=0,"",INDEX('Per Invoice'!$A$2:$A$201,MATCH($A48,'Per Invoice'!$B$2:$B$201,0))),""))</f>
        <v/>
      </c>
      <c r="G48" s="7">
        <f>IF($A48="","",F48*T48/100)</f>
        <v/>
      </c>
      <c r="J48" s="7" t="n"/>
      <c r="K48" s="7" t="n"/>
      <c r="L48" s="7" t="n"/>
      <c r="O48" s="11" t="n"/>
      <c r="R48">
        <f>IF($A48="","",IF($X48=1,Settings!$C$6,Settings!$C$7)*1)</f>
        <v/>
      </c>
      <c r="S48" s="7">
        <f>IF($A48="","",R48*L48)</f>
        <v/>
      </c>
      <c r="T48" s="7">
        <f>IF($A48="","",L48-S48)</f>
        <v/>
      </c>
      <c r="U48" s="7">
        <f>IF($A48="","",T48-G48)</f>
        <v/>
      </c>
      <c r="V48">
        <f>IF($A48="","",IF(COUNTIF($A$2:$A48,$A48)=1,1,0))</f>
        <v/>
      </c>
      <c r="W48">
        <f>IF($V48=1,SUMPRODUCT(--($Y$2:$Y$501&lt;$Y48))+1,"")</f>
        <v/>
      </c>
      <c r="X48">
        <f>IF($A48="","",IF(OR($Q48=TRUE(),$Q48="TRUE"),1,0))</f>
        <v/>
      </c>
      <c r="Y48">
        <f>IF($V48=1,IFERROR(VALUE(MID($A48,2,20)),1000000000)+ROW()/100000,"")</f>
        <v/>
      </c>
    </row>
    <row r="49">
      <c r="B49">
        <f>IF($A49="","",IFERROR(IF(INDEX('Per Invoice'!$A$2:$A$201,MATCH($A49,'Per Invoice'!$B$2:$B$201,0))=0,"",INDEX('Per Invoice'!$A$2:$A$201,MATCH($A49,'Per Invoice'!$B$2:$B$201,0))),""))</f>
        <v/>
      </c>
      <c r="G49" s="7">
        <f>IF($A49="","",F49*T49/100)</f>
        <v/>
      </c>
      <c r="J49" s="7" t="n"/>
      <c r="K49" s="7" t="n"/>
      <c r="L49" s="7" t="n"/>
      <c r="O49" s="11" t="n"/>
      <c r="R49">
        <f>IF($A49="","",IF($X49=1,Settings!$C$6,Settings!$C$7)*1)</f>
        <v/>
      </c>
      <c r="S49" s="7">
        <f>IF($A49="","",R49*L49)</f>
        <v/>
      </c>
      <c r="T49" s="7">
        <f>IF($A49="","",L49-S49)</f>
        <v/>
      </c>
      <c r="U49" s="7">
        <f>IF($A49="","",T49-G49)</f>
        <v/>
      </c>
      <c r="V49">
        <f>IF($A49="","",IF(COUNTIF($A$2:$A49,$A49)=1,1,0))</f>
        <v/>
      </c>
      <c r="W49">
        <f>IF($V49=1,SUMPRODUCT(--($Y$2:$Y$501&lt;$Y49))+1,"")</f>
        <v/>
      </c>
      <c r="X49">
        <f>IF($A49="","",IF(OR($Q49=TRUE(),$Q49="TRUE"),1,0))</f>
        <v/>
      </c>
      <c r="Y49">
        <f>IF($V49=1,IFERROR(VALUE(MID($A49,2,20)),1000000000)+ROW()/100000,"")</f>
        <v/>
      </c>
    </row>
    <row r="50">
      <c r="B50">
        <f>IF($A50="","",IFERROR(IF(INDEX('Per Invoice'!$A$2:$A$201,MATCH($A50,'Per Invoice'!$B$2:$B$201,0))=0,"",INDEX('Per Invoice'!$A$2:$A$201,MATCH($A50,'Per Invoice'!$B$2:$B$201,0))),""))</f>
        <v/>
      </c>
      <c r="G50" s="7">
        <f>IF($A50="","",F50*T50/100)</f>
        <v/>
      </c>
      <c r="J50" s="7" t="n"/>
      <c r="K50" s="7" t="n"/>
      <c r="L50" s="7" t="n"/>
      <c r="O50" s="11" t="n"/>
      <c r="R50">
        <f>IF($A50="","",IF($X50=1,Settings!$C$6,Settings!$C$7)*1)</f>
        <v/>
      </c>
      <c r="S50" s="7">
        <f>IF($A50="","",R50*L50)</f>
        <v/>
      </c>
      <c r="T50" s="7">
        <f>IF($A50="","",L50-S50)</f>
        <v/>
      </c>
      <c r="U50" s="7">
        <f>IF($A50="","",T50-G50)</f>
        <v/>
      </c>
      <c r="V50">
        <f>IF($A50="","",IF(COUNTIF($A$2:$A50,$A50)=1,1,0))</f>
        <v/>
      </c>
      <c r="W50">
        <f>IF($V50=1,SUMPRODUCT(--($Y$2:$Y$501&lt;$Y50))+1,"")</f>
        <v/>
      </c>
      <c r="X50">
        <f>IF($A50="","",IF(OR($Q50=TRUE(),$Q50="TRUE"),1,0))</f>
        <v/>
      </c>
      <c r="Y50">
        <f>IF($V50=1,IFERROR(VALUE(MID($A50,2,20)),1000000000)+ROW()/100000,"")</f>
        <v/>
      </c>
    </row>
    <row r="51">
      <c r="B51">
        <f>IF($A51="","",IFERROR(IF(INDEX('Per Invoice'!$A$2:$A$201,MATCH($A51,'Per Invoice'!$B$2:$B$201,0))=0,"",INDEX('Per Invoice'!$A$2:$A$201,MATCH($A51,'Per Invoice'!$B$2:$B$201,0))),""))</f>
        <v/>
      </c>
      <c r="G51" s="7">
        <f>IF($A51="","",F51*T51/100)</f>
        <v/>
      </c>
      <c r="J51" s="7" t="n"/>
      <c r="K51" s="7" t="n"/>
      <c r="L51" s="7" t="n"/>
      <c r="O51" s="11" t="n"/>
      <c r="R51">
        <f>IF($A51="","",IF($X51=1,Settings!$C$6,Settings!$C$7)*1)</f>
        <v/>
      </c>
      <c r="S51" s="7">
        <f>IF($A51="","",R51*L51)</f>
        <v/>
      </c>
      <c r="T51" s="7">
        <f>IF($A51="","",L51-S51)</f>
        <v/>
      </c>
      <c r="U51" s="7">
        <f>IF($A51="","",T51-G51)</f>
        <v/>
      </c>
      <c r="V51">
        <f>IF($A51="","",IF(COUNTIF($A$2:$A51,$A51)=1,1,0))</f>
        <v/>
      </c>
      <c r="W51">
        <f>IF($V51=1,SUMPRODUCT(--($Y$2:$Y$501&lt;$Y51))+1,"")</f>
        <v/>
      </c>
      <c r="X51">
        <f>IF($A51="","",IF(OR($Q51=TRUE(),$Q51="TRUE"),1,0))</f>
        <v/>
      </c>
      <c r="Y51">
        <f>IF($V51=1,IFERROR(VALUE(MID($A51,2,20)),1000000000)+ROW()/100000,"")</f>
        <v/>
      </c>
    </row>
    <row r="52">
      <c r="B52">
        <f>IF($A52="","",IFERROR(IF(INDEX('Per Invoice'!$A$2:$A$201,MATCH($A52,'Per Invoice'!$B$2:$B$201,0))=0,"",INDEX('Per Invoice'!$A$2:$A$201,MATCH($A52,'Per Invoice'!$B$2:$B$201,0))),""))</f>
        <v/>
      </c>
      <c r="G52" s="7">
        <f>IF($A52="","",F52*T52/100)</f>
        <v/>
      </c>
      <c r="J52" s="7" t="n"/>
      <c r="K52" s="7" t="n"/>
      <c r="L52" s="7" t="n"/>
      <c r="O52" s="11" t="n"/>
      <c r="R52">
        <f>IF($A52="","",IF($X52=1,Settings!$C$6,Settings!$C$7)*1)</f>
        <v/>
      </c>
      <c r="S52" s="7">
        <f>IF($A52="","",R52*L52)</f>
        <v/>
      </c>
      <c r="T52" s="7">
        <f>IF($A52="","",L52-S52)</f>
        <v/>
      </c>
      <c r="U52" s="7">
        <f>IF($A52="","",T52-G52)</f>
        <v/>
      </c>
      <c r="V52">
        <f>IF($A52="","",IF(COUNTIF($A$2:$A52,$A52)=1,1,0))</f>
        <v/>
      </c>
      <c r="W52">
        <f>IF($V52=1,SUMPRODUCT(--($Y$2:$Y$501&lt;$Y52))+1,"")</f>
        <v/>
      </c>
      <c r="X52">
        <f>IF($A52="","",IF(OR($Q52=TRUE(),$Q52="TRUE"),1,0))</f>
        <v/>
      </c>
      <c r="Y52">
        <f>IF($V52=1,IFERROR(VALUE(MID($A52,2,20)),1000000000)+ROW()/100000,"")</f>
        <v/>
      </c>
    </row>
    <row r="53">
      <c r="B53">
        <f>IF($A53="","",IFERROR(IF(INDEX('Per Invoice'!$A$2:$A$201,MATCH($A53,'Per Invoice'!$B$2:$B$201,0))=0,"",INDEX('Per Invoice'!$A$2:$A$201,MATCH($A53,'Per Invoice'!$B$2:$B$201,0))),""))</f>
        <v/>
      </c>
      <c r="G53" s="7">
        <f>IF($A53="","",F53*T53/100)</f>
        <v/>
      </c>
      <c r="J53" s="7" t="n"/>
      <c r="K53" s="7" t="n"/>
      <c r="L53" s="7" t="n"/>
      <c r="O53" s="11" t="n"/>
      <c r="R53">
        <f>IF($A53="","",IF($X53=1,Settings!$C$6,Settings!$C$7)*1)</f>
        <v/>
      </c>
      <c r="S53" s="7">
        <f>IF($A53="","",R53*L53)</f>
        <v/>
      </c>
      <c r="T53" s="7">
        <f>IF($A53="","",L53-S53)</f>
        <v/>
      </c>
      <c r="U53" s="7">
        <f>IF($A53="","",T53-G53)</f>
        <v/>
      </c>
      <c r="V53">
        <f>IF($A53="","",IF(COUNTIF($A$2:$A53,$A53)=1,1,0))</f>
        <v/>
      </c>
      <c r="W53">
        <f>IF($V53=1,SUMPRODUCT(--($Y$2:$Y$501&lt;$Y53))+1,"")</f>
        <v/>
      </c>
      <c r="X53">
        <f>IF($A53="","",IF(OR($Q53=TRUE(),$Q53="TRUE"),1,0))</f>
        <v/>
      </c>
      <c r="Y53">
        <f>IF($V53=1,IFERROR(VALUE(MID($A53,2,20)),1000000000)+ROW()/100000,"")</f>
        <v/>
      </c>
    </row>
    <row r="54">
      <c r="B54">
        <f>IF($A54="","",IFERROR(IF(INDEX('Per Invoice'!$A$2:$A$201,MATCH($A54,'Per Invoice'!$B$2:$B$201,0))=0,"",INDEX('Per Invoice'!$A$2:$A$201,MATCH($A54,'Per Invoice'!$B$2:$B$201,0))),""))</f>
        <v/>
      </c>
      <c r="G54" s="7">
        <f>IF($A54="","",F54*T54/100)</f>
        <v/>
      </c>
      <c r="J54" s="7" t="n"/>
      <c r="K54" s="7" t="n"/>
      <c r="L54" s="7" t="n"/>
      <c r="O54" s="11" t="n"/>
      <c r="R54">
        <f>IF($A54="","",IF($X54=1,Settings!$C$6,Settings!$C$7)*1)</f>
        <v/>
      </c>
      <c r="S54" s="7">
        <f>IF($A54="","",R54*L54)</f>
        <v/>
      </c>
      <c r="T54" s="7">
        <f>IF($A54="","",L54-S54)</f>
        <v/>
      </c>
      <c r="U54" s="7">
        <f>IF($A54="","",T54-G54)</f>
        <v/>
      </c>
      <c r="V54">
        <f>IF($A54="","",IF(COUNTIF($A$2:$A54,$A54)=1,1,0))</f>
        <v/>
      </c>
      <c r="W54">
        <f>IF($V54=1,SUMPRODUCT(--($Y$2:$Y$501&lt;$Y54))+1,"")</f>
        <v/>
      </c>
      <c r="X54">
        <f>IF($A54="","",IF(OR($Q54=TRUE(),$Q54="TRUE"),1,0))</f>
        <v/>
      </c>
      <c r="Y54">
        <f>IF($V54=1,IFERROR(VALUE(MID($A54,2,20)),1000000000)+ROW()/100000,"")</f>
        <v/>
      </c>
    </row>
    <row r="55">
      <c r="B55">
        <f>IF($A55="","",IFERROR(IF(INDEX('Per Invoice'!$A$2:$A$201,MATCH($A55,'Per Invoice'!$B$2:$B$201,0))=0,"",INDEX('Per Invoice'!$A$2:$A$201,MATCH($A55,'Per Invoice'!$B$2:$B$201,0))),""))</f>
        <v/>
      </c>
      <c r="G55" s="7">
        <f>IF($A55="","",F55*T55/100)</f>
        <v/>
      </c>
      <c r="J55" s="7" t="n"/>
      <c r="K55" s="7" t="n"/>
      <c r="L55" s="7" t="n"/>
      <c r="O55" s="11" t="n"/>
      <c r="R55">
        <f>IF($A55="","",IF($X55=1,Settings!$C$6,Settings!$C$7)*1)</f>
        <v/>
      </c>
      <c r="S55" s="7">
        <f>IF($A55="","",R55*L55)</f>
        <v/>
      </c>
      <c r="T55" s="7">
        <f>IF($A55="","",L55-S55)</f>
        <v/>
      </c>
      <c r="U55" s="7">
        <f>IF($A55="","",T55-G55)</f>
        <v/>
      </c>
      <c r="V55">
        <f>IF($A55="","",IF(COUNTIF($A$2:$A55,$A55)=1,1,0))</f>
        <v/>
      </c>
      <c r="W55">
        <f>IF($V55=1,SUMPRODUCT(--($Y$2:$Y$501&lt;$Y55))+1,"")</f>
        <v/>
      </c>
      <c r="X55">
        <f>IF($A55="","",IF(OR($Q55=TRUE(),$Q55="TRUE"),1,0))</f>
        <v/>
      </c>
      <c r="Y55">
        <f>IF($V55=1,IFERROR(VALUE(MID($A55,2,20)),1000000000)+ROW()/100000,"")</f>
        <v/>
      </c>
    </row>
    <row r="56">
      <c r="B56">
        <f>IF($A56="","",IFERROR(IF(INDEX('Per Invoice'!$A$2:$A$201,MATCH($A56,'Per Invoice'!$B$2:$B$201,0))=0,"",INDEX('Per Invoice'!$A$2:$A$201,MATCH($A56,'Per Invoice'!$B$2:$B$201,0))),""))</f>
        <v/>
      </c>
      <c r="G56" s="7">
        <f>IF($A56="","",F56*T56/100)</f>
        <v/>
      </c>
      <c r="J56" s="7" t="n"/>
      <c r="K56" s="7" t="n"/>
      <c r="L56" s="7" t="n"/>
      <c r="O56" s="11" t="n"/>
      <c r="R56">
        <f>IF($A56="","",IF($X56=1,Settings!$C$6,Settings!$C$7)*1)</f>
        <v/>
      </c>
      <c r="S56" s="7">
        <f>IF($A56="","",R56*L56)</f>
        <v/>
      </c>
      <c r="T56" s="7">
        <f>IF($A56="","",L56-S56)</f>
        <v/>
      </c>
      <c r="U56" s="7">
        <f>IF($A56="","",T56-G56)</f>
        <v/>
      </c>
      <c r="V56">
        <f>IF($A56="","",IF(COUNTIF($A$2:$A56,$A56)=1,1,0))</f>
        <v/>
      </c>
      <c r="W56">
        <f>IF($V56=1,SUMPRODUCT(--($Y$2:$Y$501&lt;$Y56))+1,"")</f>
        <v/>
      </c>
      <c r="X56">
        <f>IF($A56="","",IF(OR($Q56=TRUE(),$Q56="TRUE"),1,0))</f>
        <v/>
      </c>
      <c r="Y56">
        <f>IF($V56=1,IFERROR(VALUE(MID($A56,2,20)),1000000000)+ROW()/100000,"")</f>
        <v/>
      </c>
    </row>
    <row r="57">
      <c r="B57">
        <f>IF($A57="","",IFERROR(IF(INDEX('Per Invoice'!$A$2:$A$201,MATCH($A57,'Per Invoice'!$B$2:$B$201,0))=0,"",INDEX('Per Invoice'!$A$2:$A$201,MATCH($A57,'Per Invoice'!$B$2:$B$201,0))),""))</f>
        <v/>
      </c>
      <c r="G57" s="7">
        <f>IF($A57="","",F57*T57/100)</f>
        <v/>
      </c>
      <c r="J57" s="7" t="n"/>
      <c r="K57" s="7" t="n"/>
      <c r="L57" s="7" t="n"/>
      <c r="O57" s="11" t="n"/>
      <c r="R57">
        <f>IF($A57="","",IF($X57=1,Settings!$C$6,Settings!$C$7)*1)</f>
        <v/>
      </c>
      <c r="S57" s="7">
        <f>IF($A57="","",R57*L57)</f>
        <v/>
      </c>
      <c r="T57" s="7">
        <f>IF($A57="","",L57-S57)</f>
        <v/>
      </c>
      <c r="U57" s="7">
        <f>IF($A57="","",T57-G57)</f>
        <v/>
      </c>
      <c r="V57">
        <f>IF($A57="","",IF(COUNTIF($A$2:$A57,$A57)=1,1,0))</f>
        <v/>
      </c>
      <c r="W57">
        <f>IF($V57=1,SUMPRODUCT(--($Y$2:$Y$501&lt;$Y57))+1,"")</f>
        <v/>
      </c>
      <c r="X57">
        <f>IF($A57="","",IF(OR($Q57=TRUE(),$Q57="TRUE"),1,0))</f>
        <v/>
      </c>
      <c r="Y57">
        <f>IF($V57=1,IFERROR(VALUE(MID($A57,2,20)),1000000000)+ROW()/100000,"")</f>
        <v/>
      </c>
    </row>
    <row r="58">
      <c r="B58">
        <f>IF($A58="","",IFERROR(IF(INDEX('Per Invoice'!$A$2:$A$201,MATCH($A58,'Per Invoice'!$B$2:$B$201,0))=0,"",INDEX('Per Invoice'!$A$2:$A$201,MATCH($A58,'Per Invoice'!$B$2:$B$201,0))),""))</f>
        <v/>
      </c>
      <c r="G58" s="7">
        <f>IF($A58="","",F58*T58/100)</f>
        <v/>
      </c>
      <c r="J58" s="7" t="n"/>
      <c r="K58" s="7" t="n"/>
      <c r="L58" s="7" t="n"/>
      <c r="O58" s="11" t="n"/>
      <c r="R58">
        <f>IF($A58="","",IF($X58=1,Settings!$C$6,Settings!$C$7)*1)</f>
        <v/>
      </c>
      <c r="S58" s="7">
        <f>IF($A58="","",R58*L58)</f>
        <v/>
      </c>
      <c r="T58" s="7">
        <f>IF($A58="","",L58-S58)</f>
        <v/>
      </c>
      <c r="U58" s="7">
        <f>IF($A58="","",T58-G58)</f>
        <v/>
      </c>
      <c r="V58">
        <f>IF($A58="","",IF(COUNTIF($A$2:$A58,$A58)=1,1,0))</f>
        <v/>
      </c>
      <c r="W58">
        <f>IF($V58=1,SUMPRODUCT(--($Y$2:$Y$501&lt;$Y58))+1,"")</f>
        <v/>
      </c>
      <c r="X58">
        <f>IF($A58="","",IF(OR($Q58=TRUE(),$Q58="TRUE"),1,0))</f>
        <v/>
      </c>
      <c r="Y58">
        <f>IF($V58=1,IFERROR(VALUE(MID($A58,2,20)),1000000000)+ROW()/100000,"")</f>
        <v/>
      </c>
    </row>
    <row r="59">
      <c r="B59">
        <f>IF($A59="","",IFERROR(IF(INDEX('Per Invoice'!$A$2:$A$201,MATCH($A59,'Per Invoice'!$B$2:$B$201,0))=0,"",INDEX('Per Invoice'!$A$2:$A$201,MATCH($A59,'Per Invoice'!$B$2:$B$201,0))),""))</f>
        <v/>
      </c>
      <c r="G59" s="7">
        <f>IF($A59="","",F59*T59/100)</f>
        <v/>
      </c>
      <c r="J59" s="7" t="n"/>
      <c r="K59" s="7" t="n"/>
      <c r="L59" s="7" t="n"/>
      <c r="O59" s="11" t="n"/>
      <c r="R59">
        <f>IF($A59="","",IF($X59=1,Settings!$C$6,Settings!$C$7)*1)</f>
        <v/>
      </c>
      <c r="S59" s="7">
        <f>IF($A59="","",R59*L59)</f>
        <v/>
      </c>
      <c r="T59" s="7">
        <f>IF($A59="","",L59-S59)</f>
        <v/>
      </c>
      <c r="U59" s="7">
        <f>IF($A59="","",T59-G59)</f>
        <v/>
      </c>
      <c r="V59">
        <f>IF($A59="","",IF(COUNTIF($A$2:$A59,$A59)=1,1,0))</f>
        <v/>
      </c>
      <c r="W59">
        <f>IF($V59=1,SUMPRODUCT(--($Y$2:$Y$501&lt;$Y59))+1,"")</f>
        <v/>
      </c>
      <c r="X59">
        <f>IF($A59="","",IF(OR($Q59=TRUE(),$Q59="TRUE"),1,0))</f>
        <v/>
      </c>
      <c r="Y59">
        <f>IF($V59=1,IFERROR(VALUE(MID($A59,2,20)),1000000000)+ROW()/100000,"")</f>
        <v/>
      </c>
    </row>
    <row r="60">
      <c r="B60">
        <f>IF($A60="","",IFERROR(IF(INDEX('Per Invoice'!$A$2:$A$201,MATCH($A60,'Per Invoice'!$B$2:$B$201,0))=0,"",INDEX('Per Invoice'!$A$2:$A$201,MATCH($A60,'Per Invoice'!$B$2:$B$201,0))),""))</f>
        <v/>
      </c>
      <c r="G60" s="7">
        <f>IF($A60="","",F60*T60/100)</f>
        <v/>
      </c>
      <c r="J60" s="7" t="n"/>
      <c r="K60" s="7" t="n"/>
      <c r="L60" s="7" t="n"/>
      <c r="O60" s="11" t="n"/>
      <c r="R60">
        <f>IF($A60="","",IF($X60=1,Settings!$C$6,Settings!$C$7)*1)</f>
        <v/>
      </c>
      <c r="S60" s="7">
        <f>IF($A60="","",R60*L60)</f>
        <v/>
      </c>
      <c r="T60" s="7">
        <f>IF($A60="","",L60-S60)</f>
        <v/>
      </c>
      <c r="U60" s="7">
        <f>IF($A60="","",T60-G60)</f>
        <v/>
      </c>
      <c r="V60">
        <f>IF($A60="","",IF(COUNTIF($A$2:$A60,$A60)=1,1,0))</f>
        <v/>
      </c>
      <c r="W60">
        <f>IF($V60=1,SUMPRODUCT(--($Y$2:$Y$501&lt;$Y60))+1,"")</f>
        <v/>
      </c>
      <c r="X60">
        <f>IF($A60="","",IF(OR($Q60=TRUE(),$Q60="TRUE"),1,0))</f>
        <v/>
      </c>
      <c r="Y60">
        <f>IF($V60=1,IFERROR(VALUE(MID($A60,2,20)),1000000000)+ROW()/100000,"")</f>
        <v/>
      </c>
    </row>
    <row r="61">
      <c r="B61">
        <f>IF($A61="","",IFERROR(IF(INDEX('Per Invoice'!$A$2:$A$201,MATCH($A61,'Per Invoice'!$B$2:$B$201,0))=0,"",INDEX('Per Invoice'!$A$2:$A$201,MATCH($A61,'Per Invoice'!$B$2:$B$201,0))),""))</f>
        <v/>
      </c>
      <c r="G61" s="7">
        <f>IF($A61="","",F61*T61/100)</f>
        <v/>
      </c>
      <c r="J61" s="7" t="n"/>
      <c r="K61" s="7" t="n"/>
      <c r="L61" s="7" t="n"/>
      <c r="O61" s="11" t="n"/>
      <c r="R61">
        <f>IF($A61="","",IF($X61=1,Settings!$C$6,Settings!$C$7)*1)</f>
        <v/>
      </c>
      <c r="S61" s="7">
        <f>IF($A61="","",R61*L61)</f>
        <v/>
      </c>
      <c r="T61" s="7">
        <f>IF($A61="","",L61-S61)</f>
        <v/>
      </c>
      <c r="U61" s="7">
        <f>IF($A61="","",T61-G61)</f>
        <v/>
      </c>
      <c r="V61">
        <f>IF($A61="","",IF(COUNTIF($A$2:$A61,$A61)=1,1,0))</f>
        <v/>
      </c>
      <c r="W61">
        <f>IF($V61=1,SUMPRODUCT(--($Y$2:$Y$501&lt;$Y61))+1,"")</f>
        <v/>
      </c>
      <c r="X61">
        <f>IF($A61="","",IF(OR($Q61=TRUE(),$Q61="TRUE"),1,0))</f>
        <v/>
      </c>
      <c r="Y61">
        <f>IF($V61=1,IFERROR(VALUE(MID($A61,2,20)),1000000000)+ROW()/100000,"")</f>
        <v/>
      </c>
    </row>
    <row r="62">
      <c r="B62">
        <f>IF($A62="","",IFERROR(IF(INDEX('Per Invoice'!$A$2:$A$201,MATCH($A62,'Per Invoice'!$B$2:$B$201,0))=0,"",INDEX('Per Invoice'!$A$2:$A$201,MATCH($A62,'Per Invoice'!$B$2:$B$201,0))),""))</f>
        <v/>
      </c>
      <c r="G62" s="7">
        <f>IF($A62="","",F62*T62/100)</f>
        <v/>
      </c>
      <c r="J62" s="7" t="n"/>
      <c r="K62" s="7" t="n"/>
      <c r="L62" s="7" t="n"/>
      <c r="O62" s="11" t="n"/>
      <c r="R62">
        <f>IF($A62="","",IF($X62=1,Settings!$C$6,Settings!$C$7)*1)</f>
        <v/>
      </c>
      <c r="S62" s="7">
        <f>IF($A62="","",R62*L62)</f>
        <v/>
      </c>
      <c r="T62" s="7">
        <f>IF($A62="","",L62-S62)</f>
        <v/>
      </c>
      <c r="U62" s="7">
        <f>IF($A62="","",T62-G62)</f>
        <v/>
      </c>
      <c r="V62">
        <f>IF($A62="","",IF(COUNTIF($A$2:$A62,$A62)=1,1,0))</f>
        <v/>
      </c>
      <c r="W62">
        <f>IF($V62=1,SUMPRODUCT(--($Y$2:$Y$501&lt;$Y62))+1,"")</f>
        <v/>
      </c>
      <c r="X62">
        <f>IF($A62="","",IF(OR($Q62=TRUE(),$Q62="TRUE"),1,0))</f>
        <v/>
      </c>
      <c r="Y62">
        <f>IF($V62=1,IFERROR(VALUE(MID($A62,2,20)),1000000000)+ROW()/100000,"")</f>
        <v/>
      </c>
    </row>
    <row r="63">
      <c r="B63">
        <f>IF($A63="","",IFERROR(IF(INDEX('Per Invoice'!$A$2:$A$201,MATCH($A63,'Per Invoice'!$B$2:$B$201,0))=0,"",INDEX('Per Invoice'!$A$2:$A$201,MATCH($A63,'Per Invoice'!$B$2:$B$201,0))),""))</f>
        <v/>
      </c>
      <c r="G63" s="7">
        <f>IF($A63="","",F63*T63/100)</f>
        <v/>
      </c>
      <c r="J63" s="7" t="n"/>
      <c r="K63" s="7" t="n"/>
      <c r="L63" s="7" t="n"/>
      <c r="O63" s="11" t="n"/>
      <c r="R63">
        <f>IF($A63="","",IF($X63=1,Settings!$C$6,Settings!$C$7)*1)</f>
        <v/>
      </c>
      <c r="S63" s="7">
        <f>IF($A63="","",R63*L63)</f>
        <v/>
      </c>
      <c r="T63" s="7">
        <f>IF($A63="","",L63-S63)</f>
        <v/>
      </c>
      <c r="U63" s="7">
        <f>IF($A63="","",T63-G63)</f>
        <v/>
      </c>
      <c r="V63">
        <f>IF($A63="","",IF(COUNTIF($A$2:$A63,$A63)=1,1,0))</f>
        <v/>
      </c>
      <c r="W63">
        <f>IF($V63=1,SUMPRODUCT(--($Y$2:$Y$501&lt;$Y63))+1,"")</f>
        <v/>
      </c>
      <c r="X63">
        <f>IF($A63="","",IF(OR($Q63=TRUE(),$Q63="TRUE"),1,0))</f>
        <v/>
      </c>
      <c r="Y63">
        <f>IF($V63=1,IFERROR(VALUE(MID($A63,2,20)),1000000000)+ROW()/100000,"")</f>
        <v/>
      </c>
    </row>
    <row r="64">
      <c r="B64">
        <f>IF($A64="","",IFERROR(IF(INDEX('Per Invoice'!$A$2:$A$201,MATCH($A64,'Per Invoice'!$B$2:$B$201,0))=0,"",INDEX('Per Invoice'!$A$2:$A$201,MATCH($A64,'Per Invoice'!$B$2:$B$201,0))),""))</f>
        <v/>
      </c>
      <c r="G64" s="7">
        <f>IF($A64="","",F64*T64/100)</f>
        <v/>
      </c>
      <c r="J64" s="7" t="n"/>
      <c r="K64" s="7" t="n"/>
      <c r="L64" s="7" t="n"/>
      <c r="O64" s="11" t="n"/>
      <c r="R64">
        <f>IF($A64="","",IF($X64=1,Settings!$C$6,Settings!$C$7)*1)</f>
        <v/>
      </c>
      <c r="S64" s="7">
        <f>IF($A64="","",R64*L64)</f>
        <v/>
      </c>
      <c r="T64" s="7">
        <f>IF($A64="","",L64-S64)</f>
        <v/>
      </c>
      <c r="U64" s="7">
        <f>IF($A64="","",T64-G64)</f>
        <v/>
      </c>
      <c r="V64">
        <f>IF($A64="","",IF(COUNTIF($A$2:$A64,$A64)=1,1,0))</f>
        <v/>
      </c>
      <c r="W64">
        <f>IF($V64=1,SUMPRODUCT(--($Y$2:$Y$501&lt;$Y64))+1,"")</f>
        <v/>
      </c>
      <c r="X64">
        <f>IF($A64="","",IF(OR($Q64=TRUE(),$Q64="TRUE"),1,0))</f>
        <v/>
      </c>
      <c r="Y64">
        <f>IF($V64=1,IFERROR(VALUE(MID($A64,2,20)),1000000000)+ROW()/100000,"")</f>
        <v/>
      </c>
    </row>
    <row r="65">
      <c r="B65">
        <f>IF($A65="","",IFERROR(IF(INDEX('Per Invoice'!$A$2:$A$201,MATCH($A65,'Per Invoice'!$B$2:$B$201,0))=0,"",INDEX('Per Invoice'!$A$2:$A$201,MATCH($A65,'Per Invoice'!$B$2:$B$201,0))),""))</f>
        <v/>
      </c>
      <c r="G65" s="7">
        <f>IF($A65="","",F65*T65/100)</f>
        <v/>
      </c>
      <c r="J65" s="7" t="n"/>
      <c r="K65" s="7" t="n"/>
      <c r="L65" s="7" t="n"/>
      <c r="O65" s="11" t="n"/>
      <c r="R65">
        <f>IF($A65="","",IF($X65=1,Settings!$C$6,Settings!$C$7)*1)</f>
        <v/>
      </c>
      <c r="S65" s="7">
        <f>IF($A65="","",R65*L65)</f>
        <v/>
      </c>
      <c r="T65" s="7">
        <f>IF($A65="","",L65-S65)</f>
        <v/>
      </c>
      <c r="U65" s="7">
        <f>IF($A65="","",T65-G65)</f>
        <v/>
      </c>
      <c r="V65">
        <f>IF($A65="","",IF(COUNTIF($A$2:$A65,$A65)=1,1,0))</f>
        <v/>
      </c>
      <c r="W65">
        <f>IF($V65=1,SUMPRODUCT(--($Y$2:$Y$501&lt;$Y65))+1,"")</f>
        <v/>
      </c>
      <c r="X65">
        <f>IF($A65="","",IF(OR($Q65=TRUE(),$Q65="TRUE"),1,0))</f>
        <v/>
      </c>
      <c r="Y65">
        <f>IF($V65=1,IFERROR(VALUE(MID($A65,2,20)),1000000000)+ROW()/100000,"")</f>
        <v/>
      </c>
    </row>
    <row r="66">
      <c r="B66">
        <f>IF($A66="","",IFERROR(IF(INDEX('Per Invoice'!$A$2:$A$201,MATCH($A66,'Per Invoice'!$B$2:$B$201,0))=0,"",INDEX('Per Invoice'!$A$2:$A$201,MATCH($A66,'Per Invoice'!$B$2:$B$201,0))),""))</f>
        <v/>
      </c>
      <c r="G66" s="7">
        <f>IF($A66="","",F66*T66/100)</f>
        <v/>
      </c>
      <c r="J66" s="7" t="n"/>
      <c r="K66" s="7" t="n"/>
      <c r="L66" s="7" t="n"/>
      <c r="O66" s="11" t="n"/>
      <c r="R66">
        <f>IF($A66="","",IF($X66=1,Settings!$C$6,Settings!$C$7)*1)</f>
        <v/>
      </c>
      <c r="S66" s="7">
        <f>IF($A66="","",R66*L66)</f>
        <v/>
      </c>
      <c r="T66" s="7">
        <f>IF($A66="","",L66-S66)</f>
        <v/>
      </c>
      <c r="U66" s="7">
        <f>IF($A66="","",T66-G66)</f>
        <v/>
      </c>
      <c r="V66">
        <f>IF($A66="","",IF(COUNTIF($A$2:$A66,$A66)=1,1,0))</f>
        <v/>
      </c>
      <c r="W66">
        <f>IF($V66=1,SUMPRODUCT(--($Y$2:$Y$501&lt;$Y66))+1,"")</f>
        <v/>
      </c>
      <c r="X66">
        <f>IF($A66="","",IF(OR($Q66=TRUE(),$Q66="TRUE"),1,0))</f>
        <v/>
      </c>
      <c r="Y66">
        <f>IF($V66=1,IFERROR(VALUE(MID($A66,2,20)),1000000000)+ROW()/100000,"")</f>
        <v/>
      </c>
    </row>
    <row r="67">
      <c r="B67">
        <f>IF($A67="","",IFERROR(IF(INDEX('Per Invoice'!$A$2:$A$201,MATCH($A67,'Per Invoice'!$B$2:$B$201,0))=0,"",INDEX('Per Invoice'!$A$2:$A$201,MATCH($A67,'Per Invoice'!$B$2:$B$201,0))),""))</f>
        <v/>
      </c>
      <c r="G67" s="7">
        <f>IF($A67="","",F67*T67/100)</f>
        <v/>
      </c>
      <c r="J67" s="7" t="n"/>
      <c r="K67" s="7" t="n"/>
      <c r="L67" s="7" t="n"/>
      <c r="O67" s="11" t="n"/>
      <c r="R67">
        <f>IF($A67="","",IF($X67=1,Settings!$C$6,Settings!$C$7)*1)</f>
        <v/>
      </c>
      <c r="S67" s="7">
        <f>IF($A67="","",R67*L67)</f>
        <v/>
      </c>
      <c r="T67" s="7">
        <f>IF($A67="","",L67-S67)</f>
        <v/>
      </c>
      <c r="U67" s="7">
        <f>IF($A67="","",T67-G67)</f>
        <v/>
      </c>
      <c r="V67">
        <f>IF($A67="","",IF(COUNTIF($A$2:$A67,$A67)=1,1,0))</f>
        <v/>
      </c>
      <c r="W67">
        <f>IF($V67=1,SUMPRODUCT(--($Y$2:$Y$501&lt;$Y67))+1,"")</f>
        <v/>
      </c>
      <c r="X67">
        <f>IF($A67="","",IF(OR($Q67=TRUE(),$Q67="TRUE"),1,0))</f>
        <v/>
      </c>
      <c r="Y67">
        <f>IF($V67=1,IFERROR(VALUE(MID($A67,2,20)),1000000000)+ROW()/100000,"")</f>
        <v/>
      </c>
    </row>
    <row r="68">
      <c r="B68">
        <f>IF($A68="","",IFERROR(IF(INDEX('Per Invoice'!$A$2:$A$201,MATCH($A68,'Per Invoice'!$B$2:$B$201,0))=0,"",INDEX('Per Invoice'!$A$2:$A$201,MATCH($A68,'Per Invoice'!$B$2:$B$201,0))),""))</f>
        <v/>
      </c>
      <c r="G68" s="7">
        <f>IF($A68="","",F68*T68/100)</f>
        <v/>
      </c>
      <c r="J68" s="7" t="n"/>
      <c r="K68" s="7" t="n"/>
      <c r="L68" s="7" t="n"/>
      <c r="O68" s="11" t="n"/>
      <c r="R68">
        <f>IF($A68="","",IF($X68=1,Settings!$C$6,Settings!$C$7)*1)</f>
        <v/>
      </c>
      <c r="S68" s="7">
        <f>IF($A68="","",R68*L68)</f>
        <v/>
      </c>
      <c r="T68" s="7">
        <f>IF($A68="","",L68-S68)</f>
        <v/>
      </c>
      <c r="U68" s="7">
        <f>IF($A68="","",T68-G68)</f>
        <v/>
      </c>
      <c r="V68">
        <f>IF($A68="","",IF(COUNTIF($A$2:$A68,$A68)=1,1,0))</f>
        <v/>
      </c>
      <c r="W68">
        <f>IF($V68=1,SUMPRODUCT(--($Y$2:$Y$501&lt;$Y68))+1,"")</f>
        <v/>
      </c>
      <c r="X68">
        <f>IF($A68="","",IF(OR($Q68=TRUE(),$Q68="TRUE"),1,0))</f>
        <v/>
      </c>
      <c r="Y68">
        <f>IF($V68=1,IFERROR(VALUE(MID($A68,2,20)),1000000000)+ROW()/100000,"")</f>
        <v/>
      </c>
    </row>
    <row r="69">
      <c r="B69">
        <f>IF($A69="","",IFERROR(IF(INDEX('Per Invoice'!$A$2:$A$201,MATCH($A69,'Per Invoice'!$B$2:$B$201,0))=0,"",INDEX('Per Invoice'!$A$2:$A$201,MATCH($A69,'Per Invoice'!$B$2:$B$201,0))),""))</f>
        <v/>
      </c>
      <c r="G69" s="7">
        <f>IF($A69="","",F69*T69/100)</f>
        <v/>
      </c>
      <c r="J69" s="7" t="n"/>
      <c r="K69" s="7" t="n"/>
      <c r="L69" s="7" t="n"/>
      <c r="O69" s="11" t="n"/>
      <c r="R69">
        <f>IF($A69="","",IF($X69=1,Settings!$C$6,Settings!$C$7)*1)</f>
        <v/>
      </c>
      <c r="S69" s="7">
        <f>IF($A69="","",R69*L69)</f>
        <v/>
      </c>
      <c r="T69" s="7">
        <f>IF($A69="","",L69-S69)</f>
        <v/>
      </c>
      <c r="U69" s="7">
        <f>IF($A69="","",T69-G69)</f>
        <v/>
      </c>
      <c r="V69">
        <f>IF($A69="","",IF(COUNTIF($A$2:$A69,$A69)=1,1,0))</f>
        <v/>
      </c>
      <c r="W69">
        <f>IF($V69=1,SUMPRODUCT(--($Y$2:$Y$501&lt;$Y69))+1,"")</f>
        <v/>
      </c>
      <c r="X69">
        <f>IF($A69="","",IF(OR($Q69=TRUE(),$Q69="TRUE"),1,0))</f>
        <v/>
      </c>
      <c r="Y69">
        <f>IF($V69=1,IFERROR(VALUE(MID($A69,2,20)),1000000000)+ROW()/100000,"")</f>
        <v/>
      </c>
    </row>
    <row r="70">
      <c r="B70">
        <f>IF($A70="","",IFERROR(IF(INDEX('Per Invoice'!$A$2:$A$201,MATCH($A70,'Per Invoice'!$B$2:$B$201,0))=0,"",INDEX('Per Invoice'!$A$2:$A$201,MATCH($A70,'Per Invoice'!$B$2:$B$201,0))),""))</f>
        <v/>
      </c>
      <c r="G70" s="7">
        <f>IF($A70="","",F70*T70/100)</f>
        <v/>
      </c>
      <c r="J70" s="7" t="n"/>
      <c r="K70" s="7" t="n"/>
      <c r="L70" s="7" t="n"/>
      <c r="O70" s="11" t="n"/>
      <c r="R70">
        <f>IF($A70="","",IF($X70=1,Settings!$C$6,Settings!$C$7)*1)</f>
        <v/>
      </c>
      <c r="S70" s="7">
        <f>IF($A70="","",R70*L70)</f>
        <v/>
      </c>
      <c r="T70" s="7">
        <f>IF($A70="","",L70-S70)</f>
        <v/>
      </c>
      <c r="U70" s="7">
        <f>IF($A70="","",T70-G70)</f>
        <v/>
      </c>
      <c r="V70">
        <f>IF($A70="","",IF(COUNTIF($A$2:$A70,$A70)=1,1,0))</f>
        <v/>
      </c>
      <c r="W70">
        <f>IF($V70=1,SUMPRODUCT(--($Y$2:$Y$501&lt;$Y70))+1,"")</f>
        <v/>
      </c>
      <c r="X70">
        <f>IF($A70="","",IF(OR($Q70=TRUE(),$Q70="TRUE"),1,0))</f>
        <v/>
      </c>
      <c r="Y70">
        <f>IF($V70=1,IFERROR(VALUE(MID($A70,2,20)),1000000000)+ROW()/100000,"")</f>
        <v/>
      </c>
    </row>
    <row r="71">
      <c r="B71">
        <f>IF($A71="","",IFERROR(IF(INDEX('Per Invoice'!$A$2:$A$201,MATCH($A71,'Per Invoice'!$B$2:$B$201,0))=0,"",INDEX('Per Invoice'!$A$2:$A$201,MATCH($A71,'Per Invoice'!$B$2:$B$201,0))),""))</f>
        <v/>
      </c>
      <c r="G71" s="7">
        <f>IF($A71="","",F71*T71/100)</f>
        <v/>
      </c>
      <c r="J71" s="7" t="n"/>
      <c r="K71" s="7" t="n"/>
      <c r="L71" s="7" t="n"/>
      <c r="O71" s="11" t="n"/>
      <c r="R71">
        <f>IF($A71="","",IF($X71=1,Settings!$C$6,Settings!$C$7)*1)</f>
        <v/>
      </c>
      <c r="S71" s="7">
        <f>IF($A71="","",R71*L71)</f>
        <v/>
      </c>
      <c r="T71" s="7">
        <f>IF($A71="","",L71-S71)</f>
        <v/>
      </c>
      <c r="U71" s="7">
        <f>IF($A71="","",T71-G71)</f>
        <v/>
      </c>
      <c r="V71">
        <f>IF($A71="","",IF(COUNTIF($A$2:$A71,$A71)=1,1,0))</f>
        <v/>
      </c>
      <c r="W71">
        <f>IF($V71=1,SUMPRODUCT(--($Y$2:$Y$501&lt;$Y71))+1,"")</f>
        <v/>
      </c>
      <c r="X71">
        <f>IF($A71="","",IF(OR($Q71=TRUE(),$Q71="TRUE"),1,0))</f>
        <v/>
      </c>
      <c r="Y71">
        <f>IF($V71=1,IFERROR(VALUE(MID($A71,2,20)),1000000000)+ROW()/100000,"")</f>
        <v/>
      </c>
    </row>
    <row r="72">
      <c r="B72">
        <f>IF($A72="","",IFERROR(IF(INDEX('Per Invoice'!$A$2:$A$201,MATCH($A72,'Per Invoice'!$B$2:$B$201,0))=0,"",INDEX('Per Invoice'!$A$2:$A$201,MATCH($A72,'Per Invoice'!$B$2:$B$201,0))),""))</f>
        <v/>
      </c>
      <c r="G72" s="7">
        <f>IF($A72="","",F72*T72/100)</f>
        <v/>
      </c>
      <c r="J72" s="7" t="n"/>
      <c r="K72" s="7" t="n"/>
      <c r="L72" s="7" t="n"/>
      <c r="O72" s="11" t="n"/>
      <c r="R72">
        <f>IF($A72="","",IF($X72=1,Settings!$C$6,Settings!$C$7)*1)</f>
        <v/>
      </c>
      <c r="S72" s="7">
        <f>IF($A72="","",R72*L72)</f>
        <v/>
      </c>
      <c r="T72" s="7">
        <f>IF($A72="","",L72-S72)</f>
        <v/>
      </c>
      <c r="U72" s="7">
        <f>IF($A72="","",T72-G72)</f>
        <v/>
      </c>
      <c r="V72">
        <f>IF($A72="","",IF(COUNTIF($A$2:$A72,$A72)=1,1,0))</f>
        <v/>
      </c>
      <c r="W72">
        <f>IF($V72=1,SUMPRODUCT(--($Y$2:$Y$501&lt;$Y72))+1,"")</f>
        <v/>
      </c>
      <c r="X72">
        <f>IF($A72="","",IF(OR($Q72=TRUE(),$Q72="TRUE"),1,0))</f>
        <v/>
      </c>
      <c r="Y72">
        <f>IF($V72=1,IFERROR(VALUE(MID($A72,2,20)),1000000000)+ROW()/100000,"")</f>
        <v/>
      </c>
    </row>
    <row r="73">
      <c r="B73">
        <f>IF($A73="","",IFERROR(IF(INDEX('Per Invoice'!$A$2:$A$201,MATCH($A73,'Per Invoice'!$B$2:$B$201,0))=0,"",INDEX('Per Invoice'!$A$2:$A$201,MATCH($A73,'Per Invoice'!$B$2:$B$201,0))),""))</f>
        <v/>
      </c>
      <c r="G73" s="7">
        <f>IF($A73="","",F73*T73/100)</f>
        <v/>
      </c>
      <c r="J73" s="7" t="n"/>
      <c r="K73" s="7" t="n"/>
      <c r="L73" s="7" t="n"/>
      <c r="O73" s="11" t="n"/>
      <c r="R73">
        <f>IF($A73="","",IF($X73=1,Settings!$C$6,Settings!$C$7)*1)</f>
        <v/>
      </c>
      <c r="S73" s="7">
        <f>IF($A73="","",R73*L73)</f>
        <v/>
      </c>
      <c r="T73" s="7">
        <f>IF($A73="","",L73-S73)</f>
        <v/>
      </c>
      <c r="U73" s="7">
        <f>IF($A73="","",T73-G73)</f>
        <v/>
      </c>
      <c r="V73">
        <f>IF($A73="","",IF(COUNTIF($A$2:$A73,$A73)=1,1,0))</f>
        <v/>
      </c>
      <c r="W73">
        <f>IF($V73=1,SUMPRODUCT(--($Y$2:$Y$501&lt;$Y73))+1,"")</f>
        <v/>
      </c>
      <c r="X73">
        <f>IF($A73="","",IF(OR($Q73=TRUE(),$Q73="TRUE"),1,0))</f>
        <v/>
      </c>
      <c r="Y73">
        <f>IF($V73=1,IFERROR(VALUE(MID($A73,2,20)),1000000000)+ROW()/100000,"")</f>
        <v/>
      </c>
    </row>
    <row r="74">
      <c r="B74">
        <f>IF($A74="","",IFERROR(IF(INDEX('Per Invoice'!$A$2:$A$201,MATCH($A74,'Per Invoice'!$B$2:$B$201,0))=0,"",INDEX('Per Invoice'!$A$2:$A$201,MATCH($A74,'Per Invoice'!$B$2:$B$201,0))),""))</f>
        <v/>
      </c>
      <c r="G74" s="7">
        <f>IF($A74="","",F74*T74/100)</f>
        <v/>
      </c>
      <c r="J74" s="7" t="n"/>
      <c r="K74" s="7" t="n"/>
      <c r="L74" s="7" t="n"/>
      <c r="O74" s="11" t="n"/>
      <c r="R74">
        <f>IF($A74="","",IF($X74=1,Settings!$C$6,Settings!$C$7)*1)</f>
        <v/>
      </c>
      <c r="S74" s="7">
        <f>IF($A74="","",R74*L74)</f>
        <v/>
      </c>
      <c r="T74" s="7">
        <f>IF($A74="","",L74-S74)</f>
        <v/>
      </c>
      <c r="U74" s="7">
        <f>IF($A74="","",T74-G74)</f>
        <v/>
      </c>
      <c r="V74">
        <f>IF($A74="","",IF(COUNTIF($A$2:$A74,$A74)=1,1,0))</f>
        <v/>
      </c>
      <c r="W74">
        <f>IF($V74=1,SUMPRODUCT(--($Y$2:$Y$501&lt;$Y74))+1,"")</f>
        <v/>
      </c>
      <c r="X74">
        <f>IF($A74="","",IF(OR($Q74=TRUE(),$Q74="TRUE"),1,0))</f>
        <v/>
      </c>
      <c r="Y74">
        <f>IF($V74=1,IFERROR(VALUE(MID($A74,2,20)),1000000000)+ROW()/100000,"")</f>
        <v/>
      </c>
    </row>
    <row r="75">
      <c r="B75">
        <f>IF($A75="","",IFERROR(IF(INDEX('Per Invoice'!$A$2:$A$201,MATCH($A75,'Per Invoice'!$B$2:$B$201,0))=0,"",INDEX('Per Invoice'!$A$2:$A$201,MATCH($A75,'Per Invoice'!$B$2:$B$201,0))),""))</f>
        <v/>
      </c>
      <c r="G75" s="7">
        <f>IF($A75="","",F75*T75/100)</f>
        <v/>
      </c>
      <c r="J75" s="7" t="n"/>
      <c r="K75" s="7" t="n"/>
      <c r="L75" s="7" t="n"/>
      <c r="O75" s="11" t="n"/>
      <c r="R75">
        <f>IF($A75="","",IF($X75=1,Settings!$C$6,Settings!$C$7)*1)</f>
        <v/>
      </c>
      <c r="S75" s="7">
        <f>IF($A75="","",R75*L75)</f>
        <v/>
      </c>
      <c r="T75" s="7">
        <f>IF($A75="","",L75-S75)</f>
        <v/>
      </c>
      <c r="U75" s="7">
        <f>IF($A75="","",T75-G75)</f>
        <v/>
      </c>
      <c r="V75">
        <f>IF($A75="","",IF(COUNTIF($A$2:$A75,$A75)=1,1,0))</f>
        <v/>
      </c>
      <c r="W75">
        <f>IF($V75=1,SUMPRODUCT(--($Y$2:$Y$501&lt;$Y75))+1,"")</f>
        <v/>
      </c>
      <c r="X75">
        <f>IF($A75="","",IF(OR($Q75=TRUE(),$Q75="TRUE"),1,0))</f>
        <v/>
      </c>
      <c r="Y75">
        <f>IF($V75=1,IFERROR(VALUE(MID($A75,2,20)),1000000000)+ROW()/100000,"")</f>
        <v/>
      </c>
    </row>
    <row r="76">
      <c r="B76">
        <f>IF($A76="","",IFERROR(IF(INDEX('Per Invoice'!$A$2:$A$201,MATCH($A76,'Per Invoice'!$B$2:$B$201,0))=0,"",INDEX('Per Invoice'!$A$2:$A$201,MATCH($A76,'Per Invoice'!$B$2:$B$201,0))),""))</f>
        <v/>
      </c>
      <c r="G76" s="7">
        <f>IF($A76="","",F76*T76/100)</f>
        <v/>
      </c>
      <c r="J76" s="7" t="n"/>
      <c r="K76" s="7" t="n"/>
      <c r="L76" s="7" t="n"/>
      <c r="O76" s="11" t="n"/>
      <c r="R76">
        <f>IF($A76="","",IF($X76=1,Settings!$C$6,Settings!$C$7)*1)</f>
        <v/>
      </c>
      <c r="S76" s="7">
        <f>IF($A76="","",R76*L76)</f>
        <v/>
      </c>
      <c r="T76" s="7">
        <f>IF($A76="","",L76-S76)</f>
        <v/>
      </c>
      <c r="U76" s="7">
        <f>IF($A76="","",T76-G76)</f>
        <v/>
      </c>
      <c r="V76">
        <f>IF($A76="","",IF(COUNTIF($A$2:$A76,$A76)=1,1,0))</f>
        <v/>
      </c>
      <c r="W76">
        <f>IF($V76=1,SUMPRODUCT(--($Y$2:$Y$501&lt;$Y76))+1,"")</f>
        <v/>
      </c>
      <c r="X76">
        <f>IF($A76="","",IF(OR($Q76=TRUE(),$Q76="TRUE"),1,0))</f>
        <v/>
      </c>
      <c r="Y76">
        <f>IF($V76=1,IFERROR(VALUE(MID($A76,2,20)),1000000000)+ROW()/100000,"")</f>
        <v/>
      </c>
    </row>
    <row r="77">
      <c r="B77">
        <f>IF($A77="","",IFERROR(IF(INDEX('Per Invoice'!$A$2:$A$201,MATCH($A77,'Per Invoice'!$B$2:$B$201,0))=0,"",INDEX('Per Invoice'!$A$2:$A$201,MATCH($A77,'Per Invoice'!$B$2:$B$201,0))),""))</f>
        <v/>
      </c>
      <c r="G77" s="7">
        <f>IF($A77="","",F77*T77/100)</f>
        <v/>
      </c>
      <c r="J77" s="7" t="n"/>
      <c r="K77" s="7" t="n"/>
      <c r="L77" s="7" t="n"/>
      <c r="O77" s="11" t="n"/>
      <c r="R77">
        <f>IF($A77="","",IF($X77=1,Settings!$C$6,Settings!$C$7)*1)</f>
        <v/>
      </c>
      <c r="S77" s="7">
        <f>IF($A77="","",R77*L77)</f>
        <v/>
      </c>
      <c r="T77" s="7">
        <f>IF($A77="","",L77-S77)</f>
        <v/>
      </c>
      <c r="U77" s="7">
        <f>IF($A77="","",T77-G77)</f>
        <v/>
      </c>
      <c r="V77">
        <f>IF($A77="","",IF(COUNTIF($A$2:$A77,$A77)=1,1,0))</f>
        <v/>
      </c>
      <c r="W77">
        <f>IF($V77=1,SUMPRODUCT(--($Y$2:$Y$501&lt;$Y77))+1,"")</f>
        <v/>
      </c>
      <c r="X77">
        <f>IF($A77="","",IF(OR($Q77=TRUE(),$Q77="TRUE"),1,0))</f>
        <v/>
      </c>
      <c r="Y77">
        <f>IF($V77=1,IFERROR(VALUE(MID($A77,2,20)),1000000000)+ROW()/100000,"")</f>
        <v/>
      </c>
    </row>
    <row r="78">
      <c r="B78">
        <f>IF($A78="","",IFERROR(IF(INDEX('Per Invoice'!$A$2:$A$201,MATCH($A78,'Per Invoice'!$B$2:$B$201,0))=0,"",INDEX('Per Invoice'!$A$2:$A$201,MATCH($A78,'Per Invoice'!$B$2:$B$201,0))),""))</f>
        <v/>
      </c>
      <c r="G78" s="7">
        <f>IF($A78="","",F78*T78/100)</f>
        <v/>
      </c>
      <c r="J78" s="7" t="n"/>
      <c r="K78" s="7" t="n"/>
      <c r="L78" s="7" t="n"/>
      <c r="O78" s="11" t="n"/>
      <c r="R78">
        <f>IF($A78="","",IF($X78=1,Settings!$C$6,Settings!$C$7)*1)</f>
        <v/>
      </c>
      <c r="S78" s="7">
        <f>IF($A78="","",R78*L78)</f>
        <v/>
      </c>
      <c r="T78" s="7">
        <f>IF($A78="","",L78-S78)</f>
        <v/>
      </c>
      <c r="U78" s="7">
        <f>IF($A78="","",T78-G78)</f>
        <v/>
      </c>
      <c r="V78">
        <f>IF($A78="","",IF(COUNTIF($A$2:$A78,$A78)=1,1,0))</f>
        <v/>
      </c>
      <c r="W78">
        <f>IF($V78=1,SUMPRODUCT(--($Y$2:$Y$501&lt;$Y78))+1,"")</f>
        <v/>
      </c>
      <c r="X78">
        <f>IF($A78="","",IF(OR($Q78=TRUE(),$Q78="TRUE"),1,0))</f>
        <v/>
      </c>
      <c r="Y78">
        <f>IF($V78=1,IFERROR(VALUE(MID($A78,2,20)),1000000000)+ROW()/100000,"")</f>
        <v/>
      </c>
    </row>
    <row r="79">
      <c r="B79">
        <f>IF($A79="","",IFERROR(IF(INDEX('Per Invoice'!$A$2:$A$201,MATCH($A79,'Per Invoice'!$B$2:$B$201,0))=0,"",INDEX('Per Invoice'!$A$2:$A$201,MATCH($A79,'Per Invoice'!$B$2:$B$201,0))),""))</f>
        <v/>
      </c>
      <c r="G79" s="7">
        <f>IF($A79="","",F79*T79/100)</f>
        <v/>
      </c>
      <c r="J79" s="7" t="n"/>
      <c r="K79" s="7" t="n"/>
      <c r="L79" s="7" t="n"/>
      <c r="O79" s="11" t="n"/>
      <c r="R79">
        <f>IF($A79="","",IF($X79=1,Settings!$C$6,Settings!$C$7)*1)</f>
        <v/>
      </c>
      <c r="S79" s="7">
        <f>IF($A79="","",R79*L79)</f>
        <v/>
      </c>
      <c r="T79" s="7">
        <f>IF($A79="","",L79-S79)</f>
        <v/>
      </c>
      <c r="U79" s="7">
        <f>IF($A79="","",T79-G79)</f>
        <v/>
      </c>
      <c r="V79">
        <f>IF($A79="","",IF(COUNTIF($A$2:$A79,$A79)=1,1,0))</f>
        <v/>
      </c>
      <c r="W79">
        <f>IF($V79=1,SUMPRODUCT(--($Y$2:$Y$501&lt;$Y79))+1,"")</f>
        <v/>
      </c>
      <c r="X79">
        <f>IF($A79="","",IF(OR($Q79=TRUE(),$Q79="TRUE"),1,0))</f>
        <v/>
      </c>
      <c r="Y79">
        <f>IF($V79=1,IFERROR(VALUE(MID($A79,2,20)),1000000000)+ROW()/100000,"")</f>
        <v/>
      </c>
    </row>
    <row r="80">
      <c r="B80">
        <f>IF($A80="","",IFERROR(IF(INDEX('Per Invoice'!$A$2:$A$201,MATCH($A80,'Per Invoice'!$B$2:$B$201,0))=0,"",INDEX('Per Invoice'!$A$2:$A$201,MATCH($A80,'Per Invoice'!$B$2:$B$201,0))),""))</f>
        <v/>
      </c>
      <c r="G80" s="7">
        <f>IF($A80="","",F80*T80/100)</f>
        <v/>
      </c>
      <c r="J80" s="7" t="n"/>
      <c r="K80" s="7" t="n"/>
      <c r="L80" s="7" t="n"/>
      <c r="O80" s="11" t="n"/>
      <c r="R80">
        <f>IF($A80="","",IF($X80=1,Settings!$C$6,Settings!$C$7)*1)</f>
        <v/>
      </c>
      <c r="S80" s="7">
        <f>IF($A80="","",R80*L80)</f>
        <v/>
      </c>
      <c r="T80" s="7">
        <f>IF($A80="","",L80-S80)</f>
        <v/>
      </c>
      <c r="U80" s="7">
        <f>IF($A80="","",T80-G80)</f>
        <v/>
      </c>
      <c r="V80">
        <f>IF($A80="","",IF(COUNTIF($A$2:$A80,$A80)=1,1,0))</f>
        <v/>
      </c>
      <c r="W80">
        <f>IF($V80=1,SUMPRODUCT(--($Y$2:$Y$501&lt;$Y80))+1,"")</f>
        <v/>
      </c>
      <c r="X80">
        <f>IF($A80="","",IF(OR($Q80=TRUE(),$Q80="TRUE"),1,0))</f>
        <v/>
      </c>
      <c r="Y80">
        <f>IF($V80=1,IFERROR(VALUE(MID($A80,2,20)),1000000000)+ROW()/100000,"")</f>
        <v/>
      </c>
    </row>
    <row r="81">
      <c r="B81">
        <f>IF($A81="","",IFERROR(IF(INDEX('Per Invoice'!$A$2:$A$201,MATCH($A81,'Per Invoice'!$B$2:$B$201,0))=0,"",INDEX('Per Invoice'!$A$2:$A$201,MATCH($A81,'Per Invoice'!$B$2:$B$201,0))),""))</f>
        <v/>
      </c>
      <c r="G81" s="7">
        <f>IF($A81="","",F81*T81/100)</f>
        <v/>
      </c>
      <c r="J81" s="7" t="n"/>
      <c r="K81" s="7" t="n"/>
      <c r="L81" s="7" t="n"/>
      <c r="O81" s="11" t="n"/>
      <c r="R81">
        <f>IF($A81="","",IF($X81=1,Settings!$C$6,Settings!$C$7)*1)</f>
        <v/>
      </c>
      <c r="S81" s="7">
        <f>IF($A81="","",R81*L81)</f>
        <v/>
      </c>
      <c r="T81" s="7">
        <f>IF($A81="","",L81-S81)</f>
        <v/>
      </c>
      <c r="U81" s="7">
        <f>IF($A81="","",T81-G81)</f>
        <v/>
      </c>
      <c r="V81">
        <f>IF($A81="","",IF(COUNTIF($A$2:$A81,$A81)=1,1,0))</f>
        <v/>
      </c>
      <c r="W81">
        <f>IF($V81=1,SUMPRODUCT(--($Y$2:$Y$501&lt;$Y81))+1,"")</f>
        <v/>
      </c>
      <c r="X81">
        <f>IF($A81="","",IF(OR($Q81=TRUE(),$Q81="TRUE"),1,0))</f>
        <v/>
      </c>
      <c r="Y81">
        <f>IF($V81=1,IFERROR(VALUE(MID($A81,2,20)),1000000000)+ROW()/100000,"")</f>
        <v/>
      </c>
    </row>
    <row r="82">
      <c r="B82">
        <f>IF($A82="","",IFERROR(IF(INDEX('Per Invoice'!$A$2:$A$201,MATCH($A82,'Per Invoice'!$B$2:$B$201,0))=0,"",INDEX('Per Invoice'!$A$2:$A$201,MATCH($A82,'Per Invoice'!$B$2:$B$201,0))),""))</f>
        <v/>
      </c>
      <c r="G82" s="7">
        <f>IF($A82="","",F82*T82/100)</f>
        <v/>
      </c>
      <c r="J82" s="7" t="n"/>
      <c r="K82" s="7" t="n"/>
      <c r="L82" s="7" t="n"/>
      <c r="O82" s="11" t="n"/>
      <c r="R82">
        <f>IF($A82="","",IF($X82=1,Settings!$C$6,Settings!$C$7)*1)</f>
        <v/>
      </c>
      <c r="S82" s="7">
        <f>IF($A82="","",R82*L82)</f>
        <v/>
      </c>
      <c r="T82" s="7">
        <f>IF($A82="","",L82-S82)</f>
        <v/>
      </c>
      <c r="U82" s="7">
        <f>IF($A82="","",T82-G82)</f>
        <v/>
      </c>
      <c r="V82">
        <f>IF($A82="","",IF(COUNTIF($A$2:$A82,$A82)=1,1,0))</f>
        <v/>
      </c>
      <c r="W82">
        <f>IF($V82=1,SUMPRODUCT(--($Y$2:$Y$501&lt;$Y82))+1,"")</f>
        <v/>
      </c>
      <c r="X82">
        <f>IF($A82="","",IF(OR($Q82=TRUE(),$Q82="TRUE"),1,0))</f>
        <v/>
      </c>
      <c r="Y82">
        <f>IF($V82=1,IFERROR(VALUE(MID($A82,2,20)),1000000000)+ROW()/100000,"")</f>
        <v/>
      </c>
    </row>
    <row r="83">
      <c r="B83">
        <f>IF($A83="","",IFERROR(IF(INDEX('Per Invoice'!$A$2:$A$201,MATCH($A83,'Per Invoice'!$B$2:$B$201,0))=0,"",INDEX('Per Invoice'!$A$2:$A$201,MATCH($A83,'Per Invoice'!$B$2:$B$201,0))),""))</f>
        <v/>
      </c>
      <c r="G83" s="7">
        <f>IF($A83="","",F83*T83/100)</f>
        <v/>
      </c>
      <c r="J83" s="7" t="n"/>
      <c r="K83" s="7" t="n"/>
      <c r="L83" s="7" t="n"/>
      <c r="O83" s="11" t="n"/>
      <c r="R83">
        <f>IF($A83="","",IF($X83=1,Settings!$C$6,Settings!$C$7)*1)</f>
        <v/>
      </c>
      <c r="S83" s="7">
        <f>IF($A83="","",R83*L83)</f>
        <v/>
      </c>
      <c r="T83" s="7">
        <f>IF($A83="","",L83-S83)</f>
        <v/>
      </c>
      <c r="U83" s="7">
        <f>IF($A83="","",T83-G83)</f>
        <v/>
      </c>
      <c r="V83">
        <f>IF($A83="","",IF(COUNTIF($A$2:$A83,$A83)=1,1,0))</f>
        <v/>
      </c>
      <c r="W83">
        <f>IF($V83=1,SUMPRODUCT(--($Y$2:$Y$501&lt;$Y83))+1,"")</f>
        <v/>
      </c>
      <c r="X83">
        <f>IF($A83="","",IF(OR($Q83=TRUE(),$Q83="TRUE"),1,0))</f>
        <v/>
      </c>
      <c r="Y83">
        <f>IF($V83=1,IFERROR(VALUE(MID($A83,2,20)),1000000000)+ROW()/100000,"")</f>
        <v/>
      </c>
    </row>
    <row r="84">
      <c r="B84">
        <f>IF($A84="","",IFERROR(IF(INDEX('Per Invoice'!$A$2:$A$201,MATCH($A84,'Per Invoice'!$B$2:$B$201,0))=0,"",INDEX('Per Invoice'!$A$2:$A$201,MATCH($A84,'Per Invoice'!$B$2:$B$201,0))),""))</f>
        <v/>
      </c>
      <c r="G84" s="7">
        <f>IF($A84="","",F84*T84/100)</f>
        <v/>
      </c>
      <c r="J84" s="7" t="n"/>
      <c r="K84" s="7" t="n"/>
      <c r="L84" s="7" t="n"/>
      <c r="O84" s="11" t="n"/>
      <c r="R84">
        <f>IF($A84="","",IF($X84=1,Settings!$C$6,Settings!$C$7)*1)</f>
        <v/>
      </c>
      <c r="S84" s="7">
        <f>IF($A84="","",R84*L84)</f>
        <v/>
      </c>
      <c r="T84" s="7">
        <f>IF($A84="","",L84-S84)</f>
        <v/>
      </c>
      <c r="U84" s="7">
        <f>IF($A84="","",T84-G84)</f>
        <v/>
      </c>
      <c r="V84">
        <f>IF($A84="","",IF(COUNTIF($A$2:$A84,$A84)=1,1,0))</f>
        <v/>
      </c>
      <c r="W84">
        <f>IF($V84=1,SUMPRODUCT(--($Y$2:$Y$501&lt;$Y84))+1,"")</f>
        <v/>
      </c>
      <c r="X84">
        <f>IF($A84="","",IF(OR($Q84=TRUE(),$Q84="TRUE"),1,0))</f>
        <v/>
      </c>
      <c r="Y84">
        <f>IF($V84=1,IFERROR(VALUE(MID($A84,2,20)),1000000000)+ROW()/100000,"")</f>
        <v/>
      </c>
    </row>
    <row r="85">
      <c r="B85">
        <f>IF($A85="","",IFERROR(IF(INDEX('Per Invoice'!$A$2:$A$201,MATCH($A85,'Per Invoice'!$B$2:$B$201,0))=0,"",INDEX('Per Invoice'!$A$2:$A$201,MATCH($A85,'Per Invoice'!$B$2:$B$201,0))),""))</f>
        <v/>
      </c>
      <c r="G85" s="7">
        <f>IF($A85="","",F85*T85/100)</f>
        <v/>
      </c>
      <c r="J85" s="7" t="n"/>
      <c r="K85" s="7" t="n"/>
      <c r="L85" s="7" t="n"/>
      <c r="O85" s="11" t="n"/>
      <c r="R85">
        <f>IF($A85="","",IF($X85=1,Settings!$C$6,Settings!$C$7)*1)</f>
        <v/>
      </c>
      <c r="S85" s="7">
        <f>IF($A85="","",R85*L85)</f>
        <v/>
      </c>
      <c r="T85" s="7">
        <f>IF($A85="","",L85-S85)</f>
        <v/>
      </c>
      <c r="U85" s="7">
        <f>IF($A85="","",T85-G85)</f>
        <v/>
      </c>
      <c r="V85">
        <f>IF($A85="","",IF(COUNTIF($A$2:$A85,$A85)=1,1,0))</f>
        <v/>
      </c>
      <c r="W85">
        <f>IF($V85=1,SUMPRODUCT(--($Y$2:$Y$501&lt;$Y85))+1,"")</f>
        <v/>
      </c>
      <c r="X85">
        <f>IF($A85="","",IF(OR($Q85=TRUE(),$Q85="TRUE"),1,0))</f>
        <v/>
      </c>
      <c r="Y85">
        <f>IF($V85=1,IFERROR(VALUE(MID($A85,2,20)),1000000000)+ROW()/100000,"")</f>
        <v/>
      </c>
    </row>
    <row r="86">
      <c r="B86">
        <f>IF($A86="","",IFERROR(IF(INDEX('Per Invoice'!$A$2:$A$201,MATCH($A86,'Per Invoice'!$B$2:$B$201,0))=0,"",INDEX('Per Invoice'!$A$2:$A$201,MATCH($A86,'Per Invoice'!$B$2:$B$201,0))),""))</f>
        <v/>
      </c>
      <c r="G86" s="7">
        <f>IF($A86="","",F86*T86/100)</f>
        <v/>
      </c>
      <c r="J86" s="7" t="n"/>
      <c r="K86" s="7" t="n"/>
      <c r="L86" s="7" t="n"/>
      <c r="O86" s="11" t="n"/>
      <c r="R86">
        <f>IF($A86="","",IF($X86=1,Settings!$C$6,Settings!$C$7)*1)</f>
        <v/>
      </c>
      <c r="S86" s="7">
        <f>IF($A86="","",R86*L86)</f>
        <v/>
      </c>
      <c r="T86" s="7">
        <f>IF($A86="","",L86-S86)</f>
        <v/>
      </c>
      <c r="U86" s="7">
        <f>IF($A86="","",T86-G86)</f>
        <v/>
      </c>
      <c r="V86">
        <f>IF($A86="","",IF(COUNTIF($A$2:$A86,$A86)=1,1,0))</f>
        <v/>
      </c>
      <c r="W86">
        <f>IF($V86=1,SUMPRODUCT(--($Y$2:$Y$501&lt;$Y86))+1,"")</f>
        <v/>
      </c>
      <c r="X86">
        <f>IF($A86="","",IF(OR($Q86=TRUE(),$Q86="TRUE"),1,0))</f>
        <v/>
      </c>
      <c r="Y86">
        <f>IF($V86=1,IFERROR(VALUE(MID($A86,2,20)),1000000000)+ROW()/100000,"")</f>
        <v/>
      </c>
    </row>
    <row r="87">
      <c r="B87">
        <f>IF($A87="","",IFERROR(IF(INDEX('Per Invoice'!$A$2:$A$201,MATCH($A87,'Per Invoice'!$B$2:$B$201,0))=0,"",INDEX('Per Invoice'!$A$2:$A$201,MATCH($A87,'Per Invoice'!$B$2:$B$201,0))),""))</f>
        <v/>
      </c>
      <c r="G87" s="7">
        <f>IF($A87="","",F87*T87/100)</f>
        <v/>
      </c>
      <c r="J87" s="7" t="n"/>
      <c r="K87" s="7" t="n"/>
      <c r="L87" s="7" t="n"/>
      <c r="O87" s="11" t="n"/>
      <c r="R87">
        <f>IF($A87="","",IF($X87=1,Settings!$C$6,Settings!$C$7)*1)</f>
        <v/>
      </c>
      <c r="S87" s="7">
        <f>IF($A87="","",R87*L87)</f>
        <v/>
      </c>
      <c r="T87" s="7">
        <f>IF($A87="","",L87-S87)</f>
        <v/>
      </c>
      <c r="U87" s="7">
        <f>IF($A87="","",T87-G87)</f>
        <v/>
      </c>
      <c r="V87">
        <f>IF($A87="","",IF(COUNTIF($A$2:$A87,$A87)=1,1,0))</f>
        <v/>
      </c>
      <c r="W87">
        <f>IF($V87=1,SUMPRODUCT(--($Y$2:$Y$501&lt;$Y87))+1,"")</f>
        <v/>
      </c>
      <c r="X87">
        <f>IF($A87="","",IF(OR($Q87=TRUE(),$Q87="TRUE"),1,0))</f>
        <v/>
      </c>
      <c r="Y87">
        <f>IF($V87=1,IFERROR(VALUE(MID($A87,2,20)),1000000000)+ROW()/100000,"")</f>
        <v/>
      </c>
    </row>
    <row r="88">
      <c r="B88">
        <f>IF($A88="","",IFERROR(IF(INDEX('Per Invoice'!$A$2:$A$201,MATCH($A88,'Per Invoice'!$B$2:$B$201,0))=0,"",INDEX('Per Invoice'!$A$2:$A$201,MATCH($A88,'Per Invoice'!$B$2:$B$201,0))),""))</f>
        <v/>
      </c>
      <c r="G88" s="7">
        <f>IF($A88="","",F88*T88/100)</f>
        <v/>
      </c>
      <c r="J88" s="7" t="n"/>
      <c r="K88" s="7" t="n"/>
      <c r="L88" s="7" t="n"/>
      <c r="O88" s="11" t="n"/>
      <c r="R88">
        <f>IF($A88="","",IF($X88=1,Settings!$C$6,Settings!$C$7)*1)</f>
        <v/>
      </c>
      <c r="S88" s="7">
        <f>IF($A88="","",R88*L88)</f>
        <v/>
      </c>
      <c r="T88" s="7">
        <f>IF($A88="","",L88-S88)</f>
        <v/>
      </c>
      <c r="U88" s="7">
        <f>IF($A88="","",T88-G88)</f>
        <v/>
      </c>
      <c r="V88">
        <f>IF($A88="","",IF(COUNTIF($A$2:$A88,$A88)=1,1,0))</f>
        <v/>
      </c>
      <c r="W88">
        <f>IF($V88=1,SUMPRODUCT(--($Y$2:$Y$501&lt;$Y88))+1,"")</f>
        <v/>
      </c>
      <c r="X88">
        <f>IF($A88="","",IF(OR($Q88=TRUE(),$Q88="TRUE"),1,0))</f>
        <v/>
      </c>
      <c r="Y88">
        <f>IF($V88=1,IFERROR(VALUE(MID($A88,2,20)),1000000000)+ROW()/100000,"")</f>
        <v/>
      </c>
    </row>
    <row r="89">
      <c r="B89">
        <f>IF($A89="","",IFERROR(IF(INDEX('Per Invoice'!$A$2:$A$201,MATCH($A89,'Per Invoice'!$B$2:$B$201,0))=0,"",INDEX('Per Invoice'!$A$2:$A$201,MATCH($A89,'Per Invoice'!$B$2:$B$201,0))),""))</f>
        <v/>
      </c>
      <c r="G89" s="7">
        <f>IF($A89="","",F89*T89/100)</f>
        <v/>
      </c>
      <c r="J89" s="7" t="n"/>
      <c r="K89" s="7" t="n"/>
      <c r="L89" s="7" t="n"/>
      <c r="O89" s="11" t="n"/>
      <c r="R89">
        <f>IF($A89="","",IF($X89=1,Settings!$C$6,Settings!$C$7)*1)</f>
        <v/>
      </c>
      <c r="S89" s="7">
        <f>IF($A89="","",R89*L89)</f>
        <v/>
      </c>
      <c r="T89" s="7">
        <f>IF($A89="","",L89-S89)</f>
        <v/>
      </c>
      <c r="U89" s="7">
        <f>IF($A89="","",T89-G89)</f>
        <v/>
      </c>
      <c r="V89">
        <f>IF($A89="","",IF(COUNTIF($A$2:$A89,$A89)=1,1,0))</f>
        <v/>
      </c>
      <c r="W89">
        <f>IF($V89=1,SUMPRODUCT(--($Y$2:$Y$501&lt;$Y89))+1,"")</f>
        <v/>
      </c>
      <c r="X89">
        <f>IF($A89="","",IF(OR($Q89=TRUE(),$Q89="TRUE"),1,0))</f>
        <v/>
      </c>
      <c r="Y89">
        <f>IF($V89=1,IFERROR(VALUE(MID($A89,2,20)),1000000000)+ROW()/100000,"")</f>
        <v/>
      </c>
    </row>
    <row r="90">
      <c r="B90">
        <f>IF($A90="","",IFERROR(IF(INDEX('Per Invoice'!$A$2:$A$201,MATCH($A90,'Per Invoice'!$B$2:$B$201,0))=0,"",INDEX('Per Invoice'!$A$2:$A$201,MATCH($A90,'Per Invoice'!$B$2:$B$201,0))),""))</f>
        <v/>
      </c>
      <c r="G90" s="7">
        <f>IF($A90="","",F90*T90/100)</f>
        <v/>
      </c>
      <c r="J90" s="7" t="n"/>
      <c r="K90" s="7" t="n"/>
      <c r="L90" s="7" t="n"/>
      <c r="O90" s="11" t="n"/>
      <c r="R90">
        <f>IF($A90="","",IF($X90=1,Settings!$C$6,Settings!$C$7)*1)</f>
        <v/>
      </c>
      <c r="S90" s="7">
        <f>IF($A90="","",R90*L90)</f>
        <v/>
      </c>
      <c r="T90" s="7">
        <f>IF($A90="","",L90-S90)</f>
        <v/>
      </c>
      <c r="U90" s="7">
        <f>IF($A90="","",T90-G90)</f>
        <v/>
      </c>
      <c r="V90">
        <f>IF($A90="","",IF(COUNTIF($A$2:$A90,$A90)=1,1,0))</f>
        <v/>
      </c>
      <c r="W90">
        <f>IF($V90=1,SUMPRODUCT(--($Y$2:$Y$501&lt;$Y90))+1,"")</f>
        <v/>
      </c>
      <c r="X90">
        <f>IF($A90="","",IF(OR($Q90=TRUE(),$Q90="TRUE"),1,0))</f>
        <v/>
      </c>
      <c r="Y90">
        <f>IF($V90=1,IFERROR(VALUE(MID($A90,2,20)),1000000000)+ROW()/100000,"")</f>
        <v/>
      </c>
    </row>
    <row r="91">
      <c r="B91">
        <f>IF($A91="","",IFERROR(IF(INDEX('Per Invoice'!$A$2:$A$201,MATCH($A91,'Per Invoice'!$B$2:$B$201,0))=0,"",INDEX('Per Invoice'!$A$2:$A$201,MATCH($A91,'Per Invoice'!$B$2:$B$201,0))),""))</f>
        <v/>
      </c>
      <c r="G91" s="7">
        <f>IF($A91="","",F91*T91/100)</f>
        <v/>
      </c>
      <c r="J91" s="7" t="n"/>
      <c r="K91" s="7" t="n"/>
      <c r="L91" s="7" t="n"/>
      <c r="O91" s="11" t="n"/>
      <c r="R91">
        <f>IF($A91="","",IF($X91=1,Settings!$C$6,Settings!$C$7)*1)</f>
        <v/>
      </c>
      <c r="S91" s="7">
        <f>IF($A91="","",R91*L91)</f>
        <v/>
      </c>
      <c r="T91" s="7">
        <f>IF($A91="","",L91-S91)</f>
        <v/>
      </c>
      <c r="U91" s="7">
        <f>IF($A91="","",T91-G91)</f>
        <v/>
      </c>
      <c r="V91">
        <f>IF($A91="","",IF(COUNTIF($A$2:$A91,$A91)=1,1,0))</f>
        <v/>
      </c>
      <c r="W91">
        <f>IF($V91=1,SUMPRODUCT(--($Y$2:$Y$501&lt;$Y91))+1,"")</f>
        <v/>
      </c>
      <c r="X91">
        <f>IF($A91="","",IF(OR($Q91=TRUE(),$Q91="TRUE"),1,0))</f>
        <v/>
      </c>
      <c r="Y91">
        <f>IF($V91=1,IFERROR(VALUE(MID($A91,2,20)),1000000000)+ROW()/100000,"")</f>
        <v/>
      </c>
    </row>
    <row r="92">
      <c r="B92">
        <f>IF($A92="","",IFERROR(IF(INDEX('Per Invoice'!$A$2:$A$201,MATCH($A92,'Per Invoice'!$B$2:$B$201,0))=0,"",INDEX('Per Invoice'!$A$2:$A$201,MATCH($A92,'Per Invoice'!$B$2:$B$201,0))),""))</f>
        <v/>
      </c>
      <c r="G92" s="7">
        <f>IF($A92="","",F92*T92/100)</f>
        <v/>
      </c>
      <c r="J92" s="7" t="n"/>
      <c r="K92" s="7" t="n"/>
      <c r="L92" s="7" t="n"/>
      <c r="O92" s="11" t="n"/>
      <c r="R92">
        <f>IF($A92="","",IF($X92=1,Settings!$C$6,Settings!$C$7)*1)</f>
        <v/>
      </c>
      <c r="S92" s="7">
        <f>IF($A92="","",R92*L92)</f>
        <v/>
      </c>
      <c r="T92" s="7">
        <f>IF($A92="","",L92-S92)</f>
        <v/>
      </c>
      <c r="U92" s="7">
        <f>IF($A92="","",T92-G92)</f>
        <v/>
      </c>
      <c r="V92">
        <f>IF($A92="","",IF(COUNTIF($A$2:$A92,$A92)=1,1,0))</f>
        <v/>
      </c>
      <c r="W92">
        <f>IF($V92=1,SUMPRODUCT(--($Y$2:$Y$501&lt;$Y92))+1,"")</f>
        <v/>
      </c>
      <c r="X92">
        <f>IF($A92="","",IF(OR($Q92=TRUE(),$Q92="TRUE"),1,0))</f>
        <v/>
      </c>
      <c r="Y92">
        <f>IF($V92=1,IFERROR(VALUE(MID($A92,2,20)),1000000000)+ROW()/100000,"")</f>
        <v/>
      </c>
    </row>
    <row r="93">
      <c r="B93">
        <f>IF($A93="","",IFERROR(IF(INDEX('Per Invoice'!$A$2:$A$201,MATCH($A93,'Per Invoice'!$B$2:$B$201,0))=0,"",INDEX('Per Invoice'!$A$2:$A$201,MATCH($A93,'Per Invoice'!$B$2:$B$201,0))),""))</f>
        <v/>
      </c>
      <c r="G93" s="7">
        <f>IF($A93="","",F93*T93/100)</f>
        <v/>
      </c>
      <c r="J93" s="7" t="n"/>
      <c r="K93" s="7" t="n"/>
      <c r="L93" s="7" t="n"/>
      <c r="O93" s="11" t="n"/>
      <c r="R93">
        <f>IF($A93="","",IF($X93=1,Settings!$C$6,Settings!$C$7)*1)</f>
        <v/>
      </c>
      <c r="S93" s="7">
        <f>IF($A93="","",R93*L93)</f>
        <v/>
      </c>
      <c r="T93" s="7">
        <f>IF($A93="","",L93-S93)</f>
        <v/>
      </c>
      <c r="U93" s="7">
        <f>IF($A93="","",T93-G93)</f>
        <v/>
      </c>
      <c r="V93">
        <f>IF($A93="","",IF(COUNTIF($A$2:$A93,$A93)=1,1,0))</f>
        <v/>
      </c>
      <c r="W93">
        <f>IF($V93=1,SUMPRODUCT(--($Y$2:$Y$501&lt;$Y93))+1,"")</f>
        <v/>
      </c>
      <c r="X93">
        <f>IF($A93="","",IF(OR($Q93=TRUE(),$Q93="TRUE"),1,0))</f>
        <v/>
      </c>
      <c r="Y93">
        <f>IF($V93=1,IFERROR(VALUE(MID($A93,2,20)),1000000000)+ROW()/100000,"")</f>
        <v/>
      </c>
    </row>
    <row r="94">
      <c r="B94">
        <f>IF($A94="","",IFERROR(IF(INDEX('Per Invoice'!$A$2:$A$201,MATCH($A94,'Per Invoice'!$B$2:$B$201,0))=0,"",INDEX('Per Invoice'!$A$2:$A$201,MATCH($A94,'Per Invoice'!$B$2:$B$201,0))),""))</f>
        <v/>
      </c>
      <c r="G94" s="7">
        <f>IF($A94="","",F94*T94/100)</f>
        <v/>
      </c>
      <c r="J94" s="7" t="n"/>
      <c r="K94" s="7" t="n"/>
      <c r="L94" s="7" t="n"/>
      <c r="O94" s="11" t="n"/>
      <c r="R94">
        <f>IF($A94="","",IF($X94=1,Settings!$C$6,Settings!$C$7)*1)</f>
        <v/>
      </c>
      <c r="S94" s="7">
        <f>IF($A94="","",R94*L94)</f>
        <v/>
      </c>
      <c r="T94" s="7">
        <f>IF($A94="","",L94-S94)</f>
        <v/>
      </c>
      <c r="U94" s="7">
        <f>IF($A94="","",T94-G94)</f>
        <v/>
      </c>
      <c r="V94">
        <f>IF($A94="","",IF(COUNTIF($A$2:$A94,$A94)=1,1,0))</f>
        <v/>
      </c>
      <c r="W94">
        <f>IF($V94=1,SUMPRODUCT(--($Y$2:$Y$501&lt;$Y94))+1,"")</f>
        <v/>
      </c>
      <c r="X94">
        <f>IF($A94="","",IF(OR($Q94=TRUE(),$Q94="TRUE"),1,0))</f>
        <v/>
      </c>
      <c r="Y94">
        <f>IF($V94=1,IFERROR(VALUE(MID($A94,2,20)),1000000000)+ROW()/100000,"")</f>
        <v/>
      </c>
    </row>
    <row r="95">
      <c r="B95">
        <f>IF($A95="","",IFERROR(IF(INDEX('Per Invoice'!$A$2:$A$201,MATCH($A95,'Per Invoice'!$B$2:$B$201,0))=0,"",INDEX('Per Invoice'!$A$2:$A$201,MATCH($A95,'Per Invoice'!$B$2:$B$201,0))),""))</f>
        <v/>
      </c>
      <c r="G95" s="7">
        <f>IF($A95="","",F95*T95/100)</f>
        <v/>
      </c>
      <c r="J95" s="7" t="n"/>
      <c r="K95" s="7" t="n"/>
      <c r="L95" s="7" t="n"/>
      <c r="O95" s="11" t="n"/>
      <c r="R95">
        <f>IF($A95="","",IF($X95=1,Settings!$C$6,Settings!$C$7)*1)</f>
        <v/>
      </c>
      <c r="S95" s="7">
        <f>IF($A95="","",R95*L95)</f>
        <v/>
      </c>
      <c r="T95" s="7">
        <f>IF($A95="","",L95-S95)</f>
        <v/>
      </c>
      <c r="U95" s="7">
        <f>IF($A95="","",T95-G95)</f>
        <v/>
      </c>
      <c r="V95">
        <f>IF($A95="","",IF(COUNTIF($A$2:$A95,$A95)=1,1,0))</f>
        <v/>
      </c>
      <c r="W95">
        <f>IF($V95=1,SUMPRODUCT(--($Y$2:$Y$501&lt;$Y95))+1,"")</f>
        <v/>
      </c>
      <c r="X95">
        <f>IF($A95="","",IF(OR($Q95=TRUE(),$Q95="TRUE"),1,0))</f>
        <v/>
      </c>
      <c r="Y95">
        <f>IF($V95=1,IFERROR(VALUE(MID($A95,2,20)),1000000000)+ROW()/100000,"")</f>
        <v/>
      </c>
    </row>
    <row r="96">
      <c r="B96">
        <f>IF($A96="","",IFERROR(IF(INDEX('Per Invoice'!$A$2:$A$201,MATCH($A96,'Per Invoice'!$B$2:$B$201,0))=0,"",INDEX('Per Invoice'!$A$2:$A$201,MATCH($A96,'Per Invoice'!$B$2:$B$201,0))),""))</f>
        <v/>
      </c>
      <c r="G96" s="7">
        <f>IF($A96="","",F96*T96/100)</f>
        <v/>
      </c>
      <c r="J96" s="7" t="n"/>
      <c r="K96" s="7" t="n"/>
      <c r="L96" s="7" t="n"/>
      <c r="O96" s="11" t="n"/>
      <c r="R96">
        <f>IF($A96="","",IF($X96=1,Settings!$C$6,Settings!$C$7)*1)</f>
        <v/>
      </c>
      <c r="S96" s="7">
        <f>IF($A96="","",R96*L96)</f>
        <v/>
      </c>
      <c r="T96" s="7">
        <f>IF($A96="","",L96-S96)</f>
        <v/>
      </c>
      <c r="U96" s="7">
        <f>IF($A96="","",T96-G96)</f>
        <v/>
      </c>
      <c r="V96">
        <f>IF($A96="","",IF(COUNTIF($A$2:$A96,$A96)=1,1,0))</f>
        <v/>
      </c>
      <c r="W96">
        <f>IF($V96=1,SUMPRODUCT(--($Y$2:$Y$501&lt;$Y96))+1,"")</f>
        <v/>
      </c>
      <c r="X96">
        <f>IF($A96="","",IF(OR($Q96=TRUE(),$Q96="TRUE"),1,0))</f>
        <v/>
      </c>
      <c r="Y96">
        <f>IF($V96=1,IFERROR(VALUE(MID($A96,2,20)),1000000000)+ROW()/100000,"")</f>
        <v/>
      </c>
    </row>
    <row r="97">
      <c r="B97">
        <f>IF($A97="","",IFERROR(IF(INDEX('Per Invoice'!$A$2:$A$201,MATCH($A97,'Per Invoice'!$B$2:$B$201,0))=0,"",INDEX('Per Invoice'!$A$2:$A$201,MATCH($A97,'Per Invoice'!$B$2:$B$201,0))),""))</f>
        <v/>
      </c>
      <c r="G97" s="7">
        <f>IF($A97="","",F97*T97/100)</f>
        <v/>
      </c>
      <c r="J97" s="7" t="n"/>
      <c r="K97" s="7" t="n"/>
      <c r="L97" s="7" t="n"/>
      <c r="O97" s="11" t="n"/>
      <c r="R97">
        <f>IF($A97="","",IF($X97=1,Settings!$C$6,Settings!$C$7)*1)</f>
        <v/>
      </c>
      <c r="S97" s="7">
        <f>IF($A97="","",R97*L97)</f>
        <v/>
      </c>
      <c r="T97" s="7">
        <f>IF($A97="","",L97-S97)</f>
        <v/>
      </c>
      <c r="U97" s="7">
        <f>IF($A97="","",T97-G97)</f>
        <v/>
      </c>
      <c r="V97">
        <f>IF($A97="","",IF(COUNTIF($A$2:$A97,$A97)=1,1,0))</f>
        <v/>
      </c>
      <c r="W97">
        <f>IF($V97=1,SUMPRODUCT(--($Y$2:$Y$501&lt;$Y97))+1,"")</f>
        <v/>
      </c>
      <c r="X97">
        <f>IF($A97="","",IF(OR($Q97=TRUE(),$Q97="TRUE"),1,0))</f>
        <v/>
      </c>
      <c r="Y97">
        <f>IF($V97=1,IFERROR(VALUE(MID($A97,2,20)),1000000000)+ROW()/100000,"")</f>
        <v/>
      </c>
    </row>
    <row r="98">
      <c r="B98">
        <f>IF($A98="","",IFERROR(IF(INDEX('Per Invoice'!$A$2:$A$201,MATCH($A98,'Per Invoice'!$B$2:$B$201,0))=0,"",INDEX('Per Invoice'!$A$2:$A$201,MATCH($A98,'Per Invoice'!$B$2:$B$201,0))),""))</f>
        <v/>
      </c>
      <c r="G98" s="7">
        <f>IF($A98="","",F98*T98/100)</f>
        <v/>
      </c>
      <c r="J98" s="7" t="n"/>
      <c r="K98" s="7" t="n"/>
      <c r="L98" s="7" t="n"/>
      <c r="O98" s="11" t="n"/>
      <c r="R98">
        <f>IF($A98="","",IF($X98=1,Settings!$C$6,Settings!$C$7)*1)</f>
        <v/>
      </c>
      <c r="S98" s="7">
        <f>IF($A98="","",R98*L98)</f>
        <v/>
      </c>
      <c r="T98" s="7">
        <f>IF($A98="","",L98-S98)</f>
        <v/>
      </c>
      <c r="U98" s="7">
        <f>IF($A98="","",T98-G98)</f>
        <v/>
      </c>
      <c r="V98">
        <f>IF($A98="","",IF(COUNTIF($A$2:$A98,$A98)=1,1,0))</f>
        <v/>
      </c>
      <c r="W98">
        <f>IF($V98=1,SUMPRODUCT(--($Y$2:$Y$501&lt;$Y98))+1,"")</f>
        <v/>
      </c>
      <c r="X98">
        <f>IF($A98="","",IF(OR($Q98=TRUE(),$Q98="TRUE"),1,0))</f>
        <v/>
      </c>
      <c r="Y98">
        <f>IF($V98=1,IFERROR(VALUE(MID($A98,2,20)),1000000000)+ROW()/100000,"")</f>
        <v/>
      </c>
    </row>
    <row r="99">
      <c r="B99">
        <f>IF($A99="","",IFERROR(IF(INDEX('Per Invoice'!$A$2:$A$201,MATCH($A99,'Per Invoice'!$B$2:$B$201,0))=0,"",INDEX('Per Invoice'!$A$2:$A$201,MATCH($A99,'Per Invoice'!$B$2:$B$201,0))),""))</f>
        <v/>
      </c>
      <c r="G99" s="7">
        <f>IF($A99="","",F99*T99/100)</f>
        <v/>
      </c>
      <c r="J99" s="7" t="n"/>
      <c r="K99" s="7" t="n"/>
      <c r="L99" s="7" t="n"/>
      <c r="O99" s="11" t="n"/>
      <c r="R99">
        <f>IF($A99="","",IF($X99=1,Settings!$C$6,Settings!$C$7)*1)</f>
        <v/>
      </c>
      <c r="S99" s="7">
        <f>IF($A99="","",R99*L99)</f>
        <v/>
      </c>
      <c r="T99" s="7">
        <f>IF($A99="","",L99-S99)</f>
        <v/>
      </c>
      <c r="U99" s="7">
        <f>IF($A99="","",T99-G99)</f>
        <v/>
      </c>
      <c r="V99">
        <f>IF($A99="","",IF(COUNTIF($A$2:$A99,$A99)=1,1,0))</f>
        <v/>
      </c>
      <c r="W99">
        <f>IF($V99=1,SUMPRODUCT(--($Y$2:$Y$501&lt;$Y99))+1,"")</f>
        <v/>
      </c>
      <c r="X99">
        <f>IF($A99="","",IF(OR($Q99=TRUE(),$Q99="TRUE"),1,0))</f>
        <v/>
      </c>
      <c r="Y99">
        <f>IF($V99=1,IFERROR(VALUE(MID($A99,2,20)),1000000000)+ROW()/100000,"")</f>
        <v/>
      </c>
    </row>
    <row r="100">
      <c r="B100">
        <f>IF($A100="","",IFERROR(IF(INDEX('Per Invoice'!$A$2:$A$201,MATCH($A100,'Per Invoice'!$B$2:$B$201,0))=0,"",INDEX('Per Invoice'!$A$2:$A$201,MATCH($A100,'Per Invoice'!$B$2:$B$201,0))),""))</f>
        <v/>
      </c>
      <c r="G100" s="7">
        <f>IF($A100="","",F100*T100/100)</f>
        <v/>
      </c>
      <c r="J100" s="7" t="n"/>
      <c r="K100" s="7" t="n"/>
      <c r="L100" s="7" t="n"/>
      <c r="O100" s="11" t="n"/>
      <c r="R100">
        <f>IF($A100="","",IF($X100=1,Settings!$C$6,Settings!$C$7)*1)</f>
        <v/>
      </c>
      <c r="S100" s="7">
        <f>IF($A100="","",R100*L100)</f>
        <v/>
      </c>
      <c r="T100" s="7">
        <f>IF($A100="","",L100-S100)</f>
        <v/>
      </c>
      <c r="U100" s="7">
        <f>IF($A100="","",T100-G100)</f>
        <v/>
      </c>
      <c r="V100">
        <f>IF($A100="","",IF(COUNTIF($A$2:$A100,$A100)=1,1,0))</f>
        <v/>
      </c>
      <c r="W100">
        <f>IF($V100=1,SUMPRODUCT(--($Y$2:$Y$501&lt;$Y100))+1,"")</f>
        <v/>
      </c>
      <c r="X100">
        <f>IF($A100="","",IF(OR($Q100=TRUE(),$Q100="TRUE"),1,0))</f>
        <v/>
      </c>
      <c r="Y100">
        <f>IF($V100=1,IFERROR(VALUE(MID($A100,2,20)),1000000000)+ROW()/100000,"")</f>
        <v/>
      </c>
    </row>
    <row r="101">
      <c r="B101">
        <f>IF($A101="","",IFERROR(IF(INDEX('Per Invoice'!$A$2:$A$201,MATCH($A101,'Per Invoice'!$B$2:$B$201,0))=0,"",INDEX('Per Invoice'!$A$2:$A$201,MATCH($A101,'Per Invoice'!$B$2:$B$201,0))),""))</f>
        <v/>
      </c>
      <c r="G101" s="7">
        <f>IF($A101="","",F101*T101/100)</f>
        <v/>
      </c>
      <c r="J101" s="7" t="n"/>
      <c r="K101" s="7" t="n"/>
      <c r="L101" s="7" t="n"/>
      <c r="O101" s="11" t="n"/>
      <c r="R101">
        <f>IF($A101="","",IF($X101=1,Settings!$C$6,Settings!$C$7)*1)</f>
        <v/>
      </c>
      <c r="S101" s="7">
        <f>IF($A101="","",R101*L101)</f>
        <v/>
      </c>
      <c r="T101" s="7">
        <f>IF($A101="","",L101-S101)</f>
        <v/>
      </c>
      <c r="U101" s="7">
        <f>IF($A101="","",T101-G101)</f>
        <v/>
      </c>
      <c r="V101">
        <f>IF($A101="","",IF(COUNTIF($A$2:$A101,$A101)=1,1,0))</f>
        <v/>
      </c>
      <c r="W101">
        <f>IF($V101=1,SUMPRODUCT(--($Y$2:$Y$501&lt;$Y101))+1,"")</f>
        <v/>
      </c>
      <c r="X101">
        <f>IF($A101="","",IF(OR($Q101=TRUE(),$Q101="TRUE"),1,0))</f>
        <v/>
      </c>
      <c r="Y101">
        <f>IF($V101=1,IFERROR(VALUE(MID($A101,2,20)),1000000000)+ROW()/100000,"")</f>
        <v/>
      </c>
    </row>
    <row r="102">
      <c r="B102">
        <f>IF($A102="","",IFERROR(IF(INDEX('Per Invoice'!$A$2:$A$201,MATCH($A102,'Per Invoice'!$B$2:$B$201,0))=0,"",INDEX('Per Invoice'!$A$2:$A$201,MATCH($A102,'Per Invoice'!$B$2:$B$201,0))),""))</f>
        <v/>
      </c>
      <c r="G102" s="7">
        <f>IF($A102="","",F102*T102/100)</f>
        <v/>
      </c>
      <c r="J102" s="7" t="n"/>
      <c r="K102" s="7" t="n"/>
      <c r="L102" s="7" t="n"/>
      <c r="O102" s="11" t="n"/>
      <c r="R102">
        <f>IF($A102="","",IF($X102=1,Settings!$C$6,Settings!$C$7)*1)</f>
        <v/>
      </c>
      <c r="S102" s="7">
        <f>IF($A102="","",R102*L102)</f>
        <v/>
      </c>
      <c r="T102" s="7">
        <f>IF($A102="","",L102-S102)</f>
        <v/>
      </c>
      <c r="U102" s="7">
        <f>IF($A102="","",T102-G102)</f>
        <v/>
      </c>
      <c r="V102">
        <f>IF($A102="","",IF(COUNTIF($A$2:$A102,$A102)=1,1,0))</f>
        <v/>
      </c>
      <c r="W102">
        <f>IF($V102=1,SUMPRODUCT(--($Y$2:$Y$501&lt;$Y102))+1,"")</f>
        <v/>
      </c>
      <c r="X102">
        <f>IF($A102="","",IF(OR($Q102=TRUE(),$Q102="TRUE"),1,0))</f>
        <v/>
      </c>
      <c r="Y102">
        <f>IF($V102=1,IFERROR(VALUE(MID($A102,2,20)),1000000000)+ROW()/100000,"")</f>
        <v/>
      </c>
    </row>
    <row r="103">
      <c r="B103">
        <f>IF($A103="","",IFERROR(IF(INDEX('Per Invoice'!$A$2:$A$201,MATCH($A103,'Per Invoice'!$B$2:$B$201,0))=0,"",INDEX('Per Invoice'!$A$2:$A$201,MATCH($A103,'Per Invoice'!$B$2:$B$201,0))),""))</f>
        <v/>
      </c>
      <c r="G103" s="7">
        <f>IF($A103="","",F103*T103/100)</f>
        <v/>
      </c>
      <c r="J103" s="7" t="n"/>
      <c r="K103" s="7" t="n"/>
      <c r="L103" s="7" t="n"/>
      <c r="O103" s="11" t="n"/>
      <c r="R103">
        <f>IF($A103="","",IF($X103=1,Settings!$C$6,Settings!$C$7)*1)</f>
        <v/>
      </c>
      <c r="S103" s="7">
        <f>IF($A103="","",R103*L103)</f>
        <v/>
      </c>
      <c r="T103" s="7">
        <f>IF($A103="","",L103-S103)</f>
        <v/>
      </c>
      <c r="U103" s="7">
        <f>IF($A103="","",T103-G103)</f>
        <v/>
      </c>
      <c r="V103">
        <f>IF($A103="","",IF(COUNTIF($A$2:$A103,$A103)=1,1,0))</f>
        <v/>
      </c>
      <c r="W103">
        <f>IF($V103=1,SUMPRODUCT(--($Y$2:$Y$501&lt;$Y103))+1,"")</f>
        <v/>
      </c>
      <c r="X103">
        <f>IF($A103="","",IF(OR($Q103=TRUE(),$Q103="TRUE"),1,0))</f>
        <v/>
      </c>
      <c r="Y103">
        <f>IF($V103=1,IFERROR(VALUE(MID($A103,2,20)),1000000000)+ROW()/100000,"")</f>
        <v/>
      </c>
    </row>
    <row r="104">
      <c r="B104">
        <f>IF($A104="","",IFERROR(IF(INDEX('Per Invoice'!$A$2:$A$201,MATCH($A104,'Per Invoice'!$B$2:$B$201,0))=0,"",INDEX('Per Invoice'!$A$2:$A$201,MATCH($A104,'Per Invoice'!$B$2:$B$201,0))),""))</f>
        <v/>
      </c>
      <c r="G104" s="7">
        <f>IF($A104="","",F104*T104/100)</f>
        <v/>
      </c>
      <c r="J104" s="7" t="n"/>
      <c r="K104" s="7" t="n"/>
      <c r="L104" s="7" t="n"/>
      <c r="O104" s="11" t="n"/>
      <c r="R104">
        <f>IF($A104="","",IF($X104=1,Settings!$C$6,Settings!$C$7)*1)</f>
        <v/>
      </c>
      <c r="S104" s="7">
        <f>IF($A104="","",R104*L104)</f>
        <v/>
      </c>
      <c r="T104" s="7">
        <f>IF($A104="","",L104-S104)</f>
        <v/>
      </c>
      <c r="U104" s="7">
        <f>IF($A104="","",T104-G104)</f>
        <v/>
      </c>
      <c r="V104">
        <f>IF($A104="","",IF(COUNTIF($A$2:$A104,$A104)=1,1,0))</f>
        <v/>
      </c>
      <c r="W104">
        <f>IF($V104=1,SUMPRODUCT(--($Y$2:$Y$501&lt;$Y104))+1,"")</f>
        <v/>
      </c>
      <c r="X104">
        <f>IF($A104="","",IF(OR($Q104=TRUE(),$Q104="TRUE"),1,0))</f>
        <v/>
      </c>
      <c r="Y104">
        <f>IF($V104=1,IFERROR(VALUE(MID($A104,2,20)),1000000000)+ROW()/100000,"")</f>
        <v/>
      </c>
    </row>
    <row r="105">
      <c r="B105">
        <f>IF($A105="","",IFERROR(IF(INDEX('Per Invoice'!$A$2:$A$201,MATCH($A105,'Per Invoice'!$B$2:$B$201,0))=0,"",INDEX('Per Invoice'!$A$2:$A$201,MATCH($A105,'Per Invoice'!$B$2:$B$201,0))),""))</f>
        <v/>
      </c>
      <c r="G105" s="7">
        <f>IF($A105="","",F105*T105/100)</f>
        <v/>
      </c>
      <c r="J105" s="7" t="n"/>
      <c r="K105" s="7" t="n"/>
      <c r="L105" s="7" t="n"/>
      <c r="O105" s="11" t="n"/>
      <c r="R105">
        <f>IF($A105="","",IF($X105=1,Settings!$C$6,Settings!$C$7)*1)</f>
        <v/>
      </c>
      <c r="S105" s="7">
        <f>IF($A105="","",R105*L105)</f>
        <v/>
      </c>
      <c r="T105" s="7">
        <f>IF($A105="","",L105-S105)</f>
        <v/>
      </c>
      <c r="U105" s="7">
        <f>IF($A105="","",T105-G105)</f>
        <v/>
      </c>
      <c r="V105">
        <f>IF($A105="","",IF(COUNTIF($A$2:$A105,$A105)=1,1,0))</f>
        <v/>
      </c>
      <c r="W105">
        <f>IF($V105=1,SUMPRODUCT(--($Y$2:$Y$501&lt;$Y105))+1,"")</f>
        <v/>
      </c>
      <c r="X105">
        <f>IF($A105="","",IF(OR($Q105=TRUE(),$Q105="TRUE"),1,0))</f>
        <v/>
      </c>
      <c r="Y105">
        <f>IF($V105=1,IFERROR(VALUE(MID($A105,2,20)),1000000000)+ROW()/100000,"")</f>
        <v/>
      </c>
    </row>
    <row r="106">
      <c r="B106">
        <f>IF($A106="","",IFERROR(IF(INDEX('Per Invoice'!$A$2:$A$201,MATCH($A106,'Per Invoice'!$B$2:$B$201,0))=0,"",INDEX('Per Invoice'!$A$2:$A$201,MATCH($A106,'Per Invoice'!$B$2:$B$201,0))),""))</f>
        <v/>
      </c>
      <c r="G106" s="7">
        <f>IF($A106="","",F106*T106/100)</f>
        <v/>
      </c>
      <c r="J106" s="7" t="n"/>
      <c r="K106" s="7" t="n"/>
      <c r="L106" s="7" t="n"/>
      <c r="O106" s="11" t="n"/>
      <c r="R106">
        <f>IF($A106="","",IF($X106=1,Settings!$C$6,Settings!$C$7)*1)</f>
        <v/>
      </c>
      <c r="S106" s="7">
        <f>IF($A106="","",R106*L106)</f>
        <v/>
      </c>
      <c r="T106" s="7">
        <f>IF($A106="","",L106-S106)</f>
        <v/>
      </c>
      <c r="U106" s="7">
        <f>IF($A106="","",T106-G106)</f>
        <v/>
      </c>
      <c r="V106">
        <f>IF($A106="","",IF(COUNTIF($A$2:$A106,$A106)=1,1,0))</f>
        <v/>
      </c>
      <c r="W106">
        <f>IF($V106=1,SUMPRODUCT(--($Y$2:$Y$501&lt;$Y106))+1,"")</f>
        <v/>
      </c>
      <c r="X106">
        <f>IF($A106="","",IF(OR($Q106=TRUE(),$Q106="TRUE"),1,0))</f>
        <v/>
      </c>
      <c r="Y106">
        <f>IF($V106=1,IFERROR(VALUE(MID($A106,2,20)),1000000000)+ROW()/100000,"")</f>
        <v/>
      </c>
    </row>
    <row r="107">
      <c r="B107">
        <f>IF($A107="","",IFERROR(IF(INDEX('Per Invoice'!$A$2:$A$201,MATCH($A107,'Per Invoice'!$B$2:$B$201,0))=0,"",INDEX('Per Invoice'!$A$2:$A$201,MATCH($A107,'Per Invoice'!$B$2:$B$201,0))),""))</f>
        <v/>
      </c>
      <c r="G107" s="7">
        <f>IF($A107="","",F107*T107/100)</f>
        <v/>
      </c>
      <c r="J107" s="7" t="n"/>
      <c r="K107" s="7" t="n"/>
      <c r="L107" s="7" t="n"/>
      <c r="O107" s="11" t="n"/>
      <c r="R107">
        <f>IF($A107="","",IF($X107=1,Settings!$C$6,Settings!$C$7)*1)</f>
        <v/>
      </c>
      <c r="S107" s="7">
        <f>IF($A107="","",R107*L107)</f>
        <v/>
      </c>
      <c r="T107" s="7">
        <f>IF($A107="","",L107-S107)</f>
        <v/>
      </c>
      <c r="U107" s="7">
        <f>IF($A107="","",T107-G107)</f>
        <v/>
      </c>
      <c r="V107">
        <f>IF($A107="","",IF(COUNTIF($A$2:$A107,$A107)=1,1,0))</f>
        <v/>
      </c>
      <c r="W107">
        <f>IF($V107=1,SUMPRODUCT(--($Y$2:$Y$501&lt;$Y107))+1,"")</f>
        <v/>
      </c>
      <c r="X107">
        <f>IF($A107="","",IF(OR($Q107=TRUE(),$Q107="TRUE"),1,0))</f>
        <v/>
      </c>
      <c r="Y107">
        <f>IF($V107=1,IFERROR(VALUE(MID($A107,2,20)),1000000000)+ROW()/100000,"")</f>
        <v/>
      </c>
    </row>
    <row r="108">
      <c r="B108">
        <f>IF($A108="","",IFERROR(IF(INDEX('Per Invoice'!$A$2:$A$201,MATCH($A108,'Per Invoice'!$B$2:$B$201,0))=0,"",INDEX('Per Invoice'!$A$2:$A$201,MATCH($A108,'Per Invoice'!$B$2:$B$201,0))),""))</f>
        <v/>
      </c>
      <c r="G108" s="7">
        <f>IF($A108="","",F108*T108/100)</f>
        <v/>
      </c>
      <c r="J108" s="7" t="n"/>
      <c r="K108" s="7" t="n"/>
      <c r="L108" s="7" t="n"/>
      <c r="O108" s="11" t="n"/>
      <c r="R108">
        <f>IF($A108="","",IF($X108=1,Settings!$C$6,Settings!$C$7)*1)</f>
        <v/>
      </c>
      <c r="S108" s="7">
        <f>IF($A108="","",R108*L108)</f>
        <v/>
      </c>
      <c r="T108" s="7">
        <f>IF($A108="","",L108-S108)</f>
        <v/>
      </c>
      <c r="U108" s="7">
        <f>IF($A108="","",T108-G108)</f>
        <v/>
      </c>
      <c r="V108">
        <f>IF($A108="","",IF(COUNTIF($A$2:$A108,$A108)=1,1,0))</f>
        <v/>
      </c>
      <c r="W108">
        <f>IF($V108=1,SUMPRODUCT(--($Y$2:$Y$501&lt;$Y108))+1,"")</f>
        <v/>
      </c>
      <c r="X108">
        <f>IF($A108="","",IF(OR($Q108=TRUE(),$Q108="TRUE"),1,0))</f>
        <v/>
      </c>
      <c r="Y108">
        <f>IF($V108=1,IFERROR(VALUE(MID($A108,2,20)),1000000000)+ROW()/100000,"")</f>
        <v/>
      </c>
    </row>
    <row r="109">
      <c r="B109">
        <f>IF($A109="","",IFERROR(IF(INDEX('Per Invoice'!$A$2:$A$201,MATCH($A109,'Per Invoice'!$B$2:$B$201,0))=0,"",INDEX('Per Invoice'!$A$2:$A$201,MATCH($A109,'Per Invoice'!$B$2:$B$201,0))),""))</f>
        <v/>
      </c>
      <c r="G109" s="7">
        <f>IF($A109="","",F109*T109/100)</f>
        <v/>
      </c>
      <c r="J109" s="7" t="n"/>
      <c r="K109" s="7" t="n"/>
      <c r="L109" s="7" t="n"/>
      <c r="O109" s="11" t="n"/>
      <c r="R109">
        <f>IF($A109="","",IF($X109=1,Settings!$C$6,Settings!$C$7)*1)</f>
        <v/>
      </c>
      <c r="S109" s="7">
        <f>IF($A109="","",R109*L109)</f>
        <v/>
      </c>
      <c r="T109" s="7">
        <f>IF($A109="","",L109-S109)</f>
        <v/>
      </c>
      <c r="U109" s="7">
        <f>IF($A109="","",T109-G109)</f>
        <v/>
      </c>
      <c r="V109">
        <f>IF($A109="","",IF(COUNTIF($A$2:$A109,$A109)=1,1,0))</f>
        <v/>
      </c>
      <c r="W109">
        <f>IF($V109=1,SUMPRODUCT(--($Y$2:$Y$501&lt;$Y109))+1,"")</f>
        <v/>
      </c>
      <c r="X109">
        <f>IF($A109="","",IF(OR($Q109=TRUE(),$Q109="TRUE"),1,0))</f>
        <v/>
      </c>
      <c r="Y109">
        <f>IF($V109=1,IFERROR(VALUE(MID($A109,2,20)),1000000000)+ROW()/100000,"")</f>
        <v/>
      </c>
    </row>
    <row r="110">
      <c r="B110">
        <f>IF($A110="","",IFERROR(IF(INDEX('Per Invoice'!$A$2:$A$201,MATCH($A110,'Per Invoice'!$B$2:$B$201,0))=0,"",INDEX('Per Invoice'!$A$2:$A$201,MATCH($A110,'Per Invoice'!$B$2:$B$201,0))),""))</f>
        <v/>
      </c>
      <c r="G110" s="7">
        <f>IF($A110="","",F110*T110/100)</f>
        <v/>
      </c>
      <c r="J110" s="7" t="n"/>
      <c r="K110" s="7" t="n"/>
      <c r="L110" s="7" t="n"/>
      <c r="O110" s="11" t="n"/>
      <c r="R110">
        <f>IF($A110="","",IF($X110=1,Settings!$C$6,Settings!$C$7)*1)</f>
        <v/>
      </c>
      <c r="S110" s="7">
        <f>IF($A110="","",R110*L110)</f>
        <v/>
      </c>
      <c r="T110" s="7">
        <f>IF($A110="","",L110-S110)</f>
        <v/>
      </c>
      <c r="U110" s="7">
        <f>IF($A110="","",T110-G110)</f>
        <v/>
      </c>
      <c r="V110">
        <f>IF($A110="","",IF(COUNTIF($A$2:$A110,$A110)=1,1,0))</f>
        <v/>
      </c>
      <c r="W110">
        <f>IF($V110=1,SUMPRODUCT(--($Y$2:$Y$501&lt;$Y110))+1,"")</f>
        <v/>
      </c>
      <c r="X110">
        <f>IF($A110="","",IF(OR($Q110=TRUE(),$Q110="TRUE"),1,0))</f>
        <v/>
      </c>
      <c r="Y110">
        <f>IF($V110=1,IFERROR(VALUE(MID($A110,2,20)),1000000000)+ROW()/100000,"")</f>
        <v/>
      </c>
    </row>
    <row r="111">
      <c r="B111">
        <f>IF($A111="","",IFERROR(IF(INDEX('Per Invoice'!$A$2:$A$201,MATCH($A111,'Per Invoice'!$B$2:$B$201,0))=0,"",INDEX('Per Invoice'!$A$2:$A$201,MATCH($A111,'Per Invoice'!$B$2:$B$201,0))),""))</f>
        <v/>
      </c>
      <c r="G111" s="7">
        <f>IF($A111="","",F111*T111/100)</f>
        <v/>
      </c>
      <c r="J111" s="7" t="n"/>
      <c r="K111" s="7" t="n"/>
      <c r="L111" s="7" t="n"/>
      <c r="O111" s="11" t="n"/>
      <c r="R111">
        <f>IF($A111="","",IF($X111=1,Settings!$C$6,Settings!$C$7)*1)</f>
        <v/>
      </c>
      <c r="S111" s="7">
        <f>IF($A111="","",R111*L111)</f>
        <v/>
      </c>
      <c r="T111" s="7">
        <f>IF($A111="","",L111-S111)</f>
        <v/>
      </c>
      <c r="U111" s="7">
        <f>IF($A111="","",T111-G111)</f>
        <v/>
      </c>
      <c r="V111">
        <f>IF($A111="","",IF(COUNTIF($A$2:$A111,$A111)=1,1,0))</f>
        <v/>
      </c>
      <c r="W111">
        <f>IF($V111=1,SUMPRODUCT(--($Y$2:$Y$501&lt;$Y111))+1,"")</f>
        <v/>
      </c>
      <c r="X111">
        <f>IF($A111="","",IF(OR($Q111=TRUE(),$Q111="TRUE"),1,0))</f>
        <v/>
      </c>
      <c r="Y111">
        <f>IF($V111=1,IFERROR(VALUE(MID($A111,2,20)),1000000000)+ROW()/100000,"")</f>
        <v/>
      </c>
    </row>
    <row r="112">
      <c r="B112">
        <f>IF($A112="","",IFERROR(IF(INDEX('Per Invoice'!$A$2:$A$201,MATCH($A112,'Per Invoice'!$B$2:$B$201,0))=0,"",INDEX('Per Invoice'!$A$2:$A$201,MATCH($A112,'Per Invoice'!$B$2:$B$201,0))),""))</f>
        <v/>
      </c>
      <c r="G112" s="7">
        <f>IF($A112="","",F112*T112/100)</f>
        <v/>
      </c>
      <c r="J112" s="7" t="n"/>
      <c r="K112" s="7" t="n"/>
      <c r="L112" s="7" t="n"/>
      <c r="O112" s="11" t="n"/>
      <c r="R112">
        <f>IF($A112="","",IF($X112=1,Settings!$C$6,Settings!$C$7)*1)</f>
        <v/>
      </c>
      <c r="S112" s="7">
        <f>IF($A112="","",R112*L112)</f>
        <v/>
      </c>
      <c r="T112" s="7">
        <f>IF($A112="","",L112-S112)</f>
        <v/>
      </c>
      <c r="U112" s="7">
        <f>IF($A112="","",T112-G112)</f>
        <v/>
      </c>
      <c r="V112">
        <f>IF($A112="","",IF(COUNTIF($A$2:$A112,$A112)=1,1,0))</f>
        <v/>
      </c>
      <c r="W112">
        <f>IF($V112=1,SUMPRODUCT(--($Y$2:$Y$501&lt;$Y112))+1,"")</f>
        <v/>
      </c>
      <c r="X112">
        <f>IF($A112="","",IF(OR($Q112=TRUE(),$Q112="TRUE"),1,0))</f>
        <v/>
      </c>
      <c r="Y112">
        <f>IF($V112=1,IFERROR(VALUE(MID($A112,2,20)),1000000000)+ROW()/100000,"")</f>
        <v/>
      </c>
    </row>
    <row r="113">
      <c r="B113">
        <f>IF($A113="","",IFERROR(IF(INDEX('Per Invoice'!$A$2:$A$201,MATCH($A113,'Per Invoice'!$B$2:$B$201,0))=0,"",INDEX('Per Invoice'!$A$2:$A$201,MATCH($A113,'Per Invoice'!$B$2:$B$201,0))),""))</f>
        <v/>
      </c>
      <c r="G113" s="7">
        <f>IF($A113="","",F113*T113/100)</f>
        <v/>
      </c>
      <c r="J113" s="7" t="n"/>
      <c r="K113" s="7" t="n"/>
      <c r="L113" s="7" t="n"/>
      <c r="O113" s="11" t="n"/>
      <c r="R113">
        <f>IF($A113="","",IF($X113=1,Settings!$C$6,Settings!$C$7)*1)</f>
        <v/>
      </c>
      <c r="S113" s="7">
        <f>IF($A113="","",R113*L113)</f>
        <v/>
      </c>
      <c r="T113" s="7">
        <f>IF($A113="","",L113-S113)</f>
        <v/>
      </c>
      <c r="U113" s="7">
        <f>IF($A113="","",T113-G113)</f>
        <v/>
      </c>
      <c r="V113">
        <f>IF($A113="","",IF(COUNTIF($A$2:$A113,$A113)=1,1,0))</f>
        <v/>
      </c>
      <c r="W113">
        <f>IF($V113=1,SUMPRODUCT(--($Y$2:$Y$501&lt;$Y113))+1,"")</f>
        <v/>
      </c>
      <c r="X113">
        <f>IF($A113="","",IF(OR($Q113=TRUE(),$Q113="TRUE"),1,0))</f>
        <v/>
      </c>
      <c r="Y113">
        <f>IF($V113=1,IFERROR(VALUE(MID($A113,2,20)),1000000000)+ROW()/100000,"")</f>
        <v/>
      </c>
    </row>
    <row r="114">
      <c r="B114">
        <f>IF($A114="","",IFERROR(IF(INDEX('Per Invoice'!$A$2:$A$201,MATCH($A114,'Per Invoice'!$B$2:$B$201,0))=0,"",INDEX('Per Invoice'!$A$2:$A$201,MATCH($A114,'Per Invoice'!$B$2:$B$201,0))),""))</f>
        <v/>
      </c>
      <c r="G114" s="7">
        <f>IF($A114="","",F114*T114/100)</f>
        <v/>
      </c>
      <c r="J114" s="7" t="n"/>
      <c r="K114" s="7" t="n"/>
      <c r="L114" s="7" t="n"/>
      <c r="O114" s="11" t="n"/>
      <c r="R114">
        <f>IF($A114="","",IF($X114=1,Settings!$C$6,Settings!$C$7)*1)</f>
        <v/>
      </c>
      <c r="S114" s="7">
        <f>IF($A114="","",R114*L114)</f>
        <v/>
      </c>
      <c r="T114" s="7">
        <f>IF($A114="","",L114-S114)</f>
        <v/>
      </c>
      <c r="U114" s="7">
        <f>IF($A114="","",T114-G114)</f>
        <v/>
      </c>
      <c r="V114">
        <f>IF($A114="","",IF(COUNTIF($A$2:$A114,$A114)=1,1,0))</f>
        <v/>
      </c>
      <c r="W114">
        <f>IF($V114=1,SUMPRODUCT(--($Y$2:$Y$501&lt;$Y114))+1,"")</f>
        <v/>
      </c>
      <c r="X114">
        <f>IF($A114="","",IF(OR($Q114=TRUE(),$Q114="TRUE"),1,0))</f>
        <v/>
      </c>
      <c r="Y114">
        <f>IF($V114=1,IFERROR(VALUE(MID($A114,2,20)),1000000000)+ROW()/100000,"")</f>
        <v/>
      </c>
    </row>
    <row r="115">
      <c r="B115">
        <f>IF($A115="","",IFERROR(IF(INDEX('Per Invoice'!$A$2:$A$201,MATCH($A115,'Per Invoice'!$B$2:$B$201,0))=0,"",INDEX('Per Invoice'!$A$2:$A$201,MATCH($A115,'Per Invoice'!$B$2:$B$201,0))),""))</f>
        <v/>
      </c>
      <c r="G115" s="7">
        <f>IF($A115="","",F115*T115/100)</f>
        <v/>
      </c>
      <c r="J115" s="7" t="n"/>
      <c r="K115" s="7" t="n"/>
      <c r="L115" s="7" t="n"/>
      <c r="O115" s="11" t="n"/>
      <c r="R115">
        <f>IF($A115="","",IF($X115=1,Settings!$C$6,Settings!$C$7)*1)</f>
        <v/>
      </c>
      <c r="S115" s="7">
        <f>IF($A115="","",R115*L115)</f>
        <v/>
      </c>
      <c r="T115" s="7">
        <f>IF($A115="","",L115-S115)</f>
        <v/>
      </c>
      <c r="U115" s="7">
        <f>IF($A115="","",T115-G115)</f>
        <v/>
      </c>
      <c r="V115">
        <f>IF($A115="","",IF(COUNTIF($A$2:$A115,$A115)=1,1,0))</f>
        <v/>
      </c>
      <c r="W115">
        <f>IF($V115=1,SUMPRODUCT(--($Y$2:$Y$501&lt;$Y115))+1,"")</f>
        <v/>
      </c>
      <c r="X115">
        <f>IF($A115="","",IF(OR($Q115=TRUE(),$Q115="TRUE"),1,0))</f>
        <v/>
      </c>
      <c r="Y115">
        <f>IF($V115=1,IFERROR(VALUE(MID($A115,2,20)),1000000000)+ROW()/100000,"")</f>
        <v/>
      </c>
    </row>
    <row r="116">
      <c r="B116">
        <f>IF($A116="","",IFERROR(IF(INDEX('Per Invoice'!$A$2:$A$201,MATCH($A116,'Per Invoice'!$B$2:$B$201,0))=0,"",INDEX('Per Invoice'!$A$2:$A$201,MATCH($A116,'Per Invoice'!$B$2:$B$201,0))),""))</f>
        <v/>
      </c>
      <c r="G116" s="7">
        <f>IF($A116="","",F116*T116/100)</f>
        <v/>
      </c>
      <c r="J116" s="7" t="n"/>
      <c r="K116" s="7" t="n"/>
      <c r="L116" s="7" t="n"/>
      <c r="O116" s="11" t="n"/>
      <c r="R116">
        <f>IF($A116="","",IF($X116=1,Settings!$C$6,Settings!$C$7)*1)</f>
        <v/>
      </c>
      <c r="S116" s="7">
        <f>IF($A116="","",R116*L116)</f>
        <v/>
      </c>
      <c r="T116" s="7">
        <f>IF($A116="","",L116-S116)</f>
        <v/>
      </c>
      <c r="U116" s="7">
        <f>IF($A116="","",T116-G116)</f>
        <v/>
      </c>
      <c r="V116">
        <f>IF($A116="","",IF(COUNTIF($A$2:$A116,$A116)=1,1,0))</f>
        <v/>
      </c>
      <c r="W116">
        <f>IF($V116=1,SUMPRODUCT(--($Y$2:$Y$501&lt;$Y116))+1,"")</f>
        <v/>
      </c>
      <c r="X116">
        <f>IF($A116="","",IF(OR($Q116=TRUE(),$Q116="TRUE"),1,0))</f>
        <v/>
      </c>
      <c r="Y116">
        <f>IF($V116=1,IFERROR(VALUE(MID($A116,2,20)),1000000000)+ROW()/100000,"")</f>
        <v/>
      </c>
    </row>
    <row r="117">
      <c r="B117">
        <f>IF($A117="","",IFERROR(IF(INDEX('Per Invoice'!$A$2:$A$201,MATCH($A117,'Per Invoice'!$B$2:$B$201,0))=0,"",INDEX('Per Invoice'!$A$2:$A$201,MATCH($A117,'Per Invoice'!$B$2:$B$201,0))),""))</f>
        <v/>
      </c>
      <c r="G117" s="7">
        <f>IF($A117="","",F117*T117/100)</f>
        <v/>
      </c>
      <c r="J117" s="7" t="n"/>
      <c r="K117" s="7" t="n"/>
      <c r="L117" s="7" t="n"/>
      <c r="O117" s="11" t="n"/>
      <c r="R117">
        <f>IF($A117="","",IF($X117=1,Settings!$C$6,Settings!$C$7)*1)</f>
        <v/>
      </c>
      <c r="S117" s="7">
        <f>IF($A117="","",R117*L117)</f>
        <v/>
      </c>
      <c r="T117" s="7">
        <f>IF($A117="","",L117-S117)</f>
        <v/>
      </c>
      <c r="U117" s="7">
        <f>IF($A117="","",T117-G117)</f>
        <v/>
      </c>
      <c r="V117">
        <f>IF($A117="","",IF(COUNTIF($A$2:$A117,$A117)=1,1,0))</f>
        <v/>
      </c>
      <c r="W117">
        <f>IF($V117=1,SUMPRODUCT(--($Y$2:$Y$501&lt;$Y117))+1,"")</f>
        <v/>
      </c>
      <c r="X117">
        <f>IF($A117="","",IF(OR($Q117=TRUE(),$Q117="TRUE"),1,0))</f>
        <v/>
      </c>
      <c r="Y117">
        <f>IF($V117=1,IFERROR(VALUE(MID($A117,2,20)),1000000000)+ROW()/100000,"")</f>
        <v/>
      </c>
    </row>
    <row r="118">
      <c r="B118">
        <f>IF($A118="","",IFERROR(IF(INDEX('Per Invoice'!$A$2:$A$201,MATCH($A118,'Per Invoice'!$B$2:$B$201,0))=0,"",INDEX('Per Invoice'!$A$2:$A$201,MATCH($A118,'Per Invoice'!$B$2:$B$201,0))),""))</f>
        <v/>
      </c>
      <c r="G118" s="7">
        <f>IF($A118="","",F118*T118/100)</f>
        <v/>
      </c>
      <c r="J118" s="7" t="n"/>
      <c r="K118" s="7" t="n"/>
      <c r="L118" s="7" t="n"/>
      <c r="O118" s="11" t="n"/>
      <c r="R118">
        <f>IF($A118="","",IF($X118=1,Settings!$C$6,Settings!$C$7)*1)</f>
        <v/>
      </c>
      <c r="S118" s="7">
        <f>IF($A118="","",R118*L118)</f>
        <v/>
      </c>
      <c r="T118" s="7">
        <f>IF($A118="","",L118-S118)</f>
        <v/>
      </c>
      <c r="U118" s="7">
        <f>IF($A118="","",T118-G118)</f>
        <v/>
      </c>
      <c r="V118">
        <f>IF($A118="","",IF(COUNTIF($A$2:$A118,$A118)=1,1,0))</f>
        <v/>
      </c>
      <c r="W118">
        <f>IF($V118=1,SUMPRODUCT(--($Y$2:$Y$501&lt;$Y118))+1,"")</f>
        <v/>
      </c>
      <c r="X118">
        <f>IF($A118="","",IF(OR($Q118=TRUE(),$Q118="TRUE"),1,0))</f>
        <v/>
      </c>
      <c r="Y118">
        <f>IF($V118=1,IFERROR(VALUE(MID($A118,2,20)),1000000000)+ROW()/100000,"")</f>
        <v/>
      </c>
    </row>
    <row r="119">
      <c r="B119">
        <f>IF($A119="","",IFERROR(IF(INDEX('Per Invoice'!$A$2:$A$201,MATCH($A119,'Per Invoice'!$B$2:$B$201,0))=0,"",INDEX('Per Invoice'!$A$2:$A$201,MATCH($A119,'Per Invoice'!$B$2:$B$201,0))),""))</f>
        <v/>
      </c>
      <c r="G119" s="7">
        <f>IF($A119="","",F119*T119/100)</f>
        <v/>
      </c>
      <c r="J119" s="7" t="n"/>
      <c r="K119" s="7" t="n"/>
      <c r="L119" s="7" t="n"/>
      <c r="O119" s="11" t="n"/>
      <c r="R119">
        <f>IF($A119="","",IF($X119=1,Settings!$C$6,Settings!$C$7)*1)</f>
        <v/>
      </c>
      <c r="S119" s="7">
        <f>IF($A119="","",R119*L119)</f>
        <v/>
      </c>
      <c r="T119" s="7">
        <f>IF($A119="","",L119-S119)</f>
        <v/>
      </c>
      <c r="U119" s="7">
        <f>IF($A119="","",T119-G119)</f>
        <v/>
      </c>
      <c r="V119">
        <f>IF($A119="","",IF(COUNTIF($A$2:$A119,$A119)=1,1,0))</f>
        <v/>
      </c>
      <c r="W119">
        <f>IF($V119=1,SUMPRODUCT(--($Y$2:$Y$501&lt;$Y119))+1,"")</f>
        <v/>
      </c>
      <c r="X119">
        <f>IF($A119="","",IF(OR($Q119=TRUE(),$Q119="TRUE"),1,0))</f>
        <v/>
      </c>
      <c r="Y119">
        <f>IF($V119=1,IFERROR(VALUE(MID($A119,2,20)),1000000000)+ROW()/100000,"")</f>
        <v/>
      </c>
    </row>
    <row r="120">
      <c r="B120">
        <f>IF($A120="","",IFERROR(IF(INDEX('Per Invoice'!$A$2:$A$201,MATCH($A120,'Per Invoice'!$B$2:$B$201,0))=0,"",INDEX('Per Invoice'!$A$2:$A$201,MATCH($A120,'Per Invoice'!$B$2:$B$201,0))),""))</f>
        <v/>
      </c>
      <c r="G120" s="7">
        <f>IF($A120="","",F120*T120/100)</f>
        <v/>
      </c>
      <c r="J120" s="7" t="n"/>
      <c r="K120" s="7" t="n"/>
      <c r="L120" s="7" t="n"/>
      <c r="O120" s="11" t="n"/>
      <c r="R120">
        <f>IF($A120="","",IF($X120=1,Settings!$C$6,Settings!$C$7)*1)</f>
        <v/>
      </c>
      <c r="S120" s="7">
        <f>IF($A120="","",R120*L120)</f>
        <v/>
      </c>
      <c r="T120" s="7">
        <f>IF($A120="","",L120-S120)</f>
        <v/>
      </c>
      <c r="U120" s="7">
        <f>IF($A120="","",T120-G120)</f>
        <v/>
      </c>
      <c r="V120">
        <f>IF($A120="","",IF(COUNTIF($A$2:$A120,$A120)=1,1,0))</f>
        <v/>
      </c>
      <c r="W120">
        <f>IF($V120=1,SUMPRODUCT(--($Y$2:$Y$501&lt;$Y120))+1,"")</f>
        <v/>
      </c>
      <c r="X120">
        <f>IF($A120="","",IF(OR($Q120=TRUE(),$Q120="TRUE"),1,0))</f>
        <v/>
      </c>
      <c r="Y120">
        <f>IF($V120=1,IFERROR(VALUE(MID($A120,2,20)),1000000000)+ROW()/100000,"")</f>
        <v/>
      </c>
    </row>
    <row r="121">
      <c r="B121">
        <f>IF($A121="","",IFERROR(IF(INDEX('Per Invoice'!$A$2:$A$201,MATCH($A121,'Per Invoice'!$B$2:$B$201,0))=0,"",INDEX('Per Invoice'!$A$2:$A$201,MATCH($A121,'Per Invoice'!$B$2:$B$201,0))),""))</f>
        <v/>
      </c>
      <c r="G121" s="7">
        <f>IF($A121="","",F121*T121/100)</f>
        <v/>
      </c>
      <c r="J121" s="7" t="n"/>
      <c r="K121" s="7" t="n"/>
      <c r="L121" s="7" t="n"/>
      <c r="O121" s="11" t="n"/>
      <c r="R121">
        <f>IF($A121="","",IF($X121=1,Settings!$C$6,Settings!$C$7)*1)</f>
        <v/>
      </c>
      <c r="S121" s="7">
        <f>IF($A121="","",R121*L121)</f>
        <v/>
      </c>
      <c r="T121" s="7">
        <f>IF($A121="","",L121-S121)</f>
        <v/>
      </c>
      <c r="U121" s="7">
        <f>IF($A121="","",T121-G121)</f>
        <v/>
      </c>
      <c r="V121">
        <f>IF($A121="","",IF(COUNTIF($A$2:$A121,$A121)=1,1,0))</f>
        <v/>
      </c>
      <c r="W121">
        <f>IF($V121=1,SUMPRODUCT(--($Y$2:$Y$501&lt;$Y121))+1,"")</f>
        <v/>
      </c>
      <c r="X121">
        <f>IF($A121="","",IF(OR($Q121=TRUE(),$Q121="TRUE"),1,0))</f>
        <v/>
      </c>
      <c r="Y121">
        <f>IF($V121=1,IFERROR(VALUE(MID($A121,2,20)),1000000000)+ROW()/100000,"")</f>
        <v/>
      </c>
    </row>
    <row r="122">
      <c r="B122">
        <f>IF($A122="","",IFERROR(IF(INDEX('Per Invoice'!$A$2:$A$201,MATCH($A122,'Per Invoice'!$B$2:$B$201,0))=0,"",INDEX('Per Invoice'!$A$2:$A$201,MATCH($A122,'Per Invoice'!$B$2:$B$201,0))),""))</f>
        <v/>
      </c>
      <c r="G122" s="7">
        <f>IF($A122="","",F122*T122/100)</f>
        <v/>
      </c>
      <c r="J122" s="7" t="n"/>
      <c r="K122" s="7" t="n"/>
      <c r="L122" s="7" t="n"/>
      <c r="O122" s="11" t="n"/>
      <c r="R122">
        <f>IF($A122="","",IF($X122=1,Settings!$C$6,Settings!$C$7)*1)</f>
        <v/>
      </c>
      <c r="S122" s="7">
        <f>IF($A122="","",R122*L122)</f>
        <v/>
      </c>
      <c r="T122" s="7">
        <f>IF($A122="","",L122-S122)</f>
        <v/>
      </c>
      <c r="U122" s="7">
        <f>IF($A122="","",T122-G122)</f>
        <v/>
      </c>
      <c r="V122">
        <f>IF($A122="","",IF(COUNTIF($A$2:$A122,$A122)=1,1,0))</f>
        <v/>
      </c>
      <c r="W122">
        <f>IF($V122=1,SUMPRODUCT(--($Y$2:$Y$501&lt;$Y122))+1,"")</f>
        <v/>
      </c>
      <c r="X122">
        <f>IF($A122="","",IF(OR($Q122=TRUE(),$Q122="TRUE"),1,0))</f>
        <v/>
      </c>
      <c r="Y122">
        <f>IF($V122=1,IFERROR(VALUE(MID($A122,2,20)),1000000000)+ROW()/100000,"")</f>
        <v/>
      </c>
    </row>
    <row r="123">
      <c r="B123">
        <f>IF($A123="","",IFERROR(IF(INDEX('Per Invoice'!$A$2:$A$201,MATCH($A123,'Per Invoice'!$B$2:$B$201,0))=0,"",INDEX('Per Invoice'!$A$2:$A$201,MATCH($A123,'Per Invoice'!$B$2:$B$201,0))),""))</f>
        <v/>
      </c>
      <c r="G123" s="7">
        <f>IF($A123="","",F123*T123/100)</f>
        <v/>
      </c>
      <c r="J123" s="7" t="n"/>
      <c r="K123" s="7" t="n"/>
      <c r="L123" s="7" t="n"/>
      <c r="O123" s="11" t="n"/>
      <c r="R123">
        <f>IF($A123="","",IF($X123=1,Settings!$C$6,Settings!$C$7)*1)</f>
        <v/>
      </c>
      <c r="S123" s="7">
        <f>IF($A123="","",R123*L123)</f>
        <v/>
      </c>
      <c r="T123" s="7">
        <f>IF($A123="","",L123-S123)</f>
        <v/>
      </c>
      <c r="U123" s="7">
        <f>IF($A123="","",T123-G123)</f>
        <v/>
      </c>
      <c r="V123">
        <f>IF($A123="","",IF(COUNTIF($A$2:$A123,$A123)=1,1,0))</f>
        <v/>
      </c>
      <c r="W123">
        <f>IF($V123=1,SUMPRODUCT(--($Y$2:$Y$501&lt;$Y123))+1,"")</f>
        <v/>
      </c>
      <c r="X123">
        <f>IF($A123="","",IF(OR($Q123=TRUE(),$Q123="TRUE"),1,0))</f>
        <v/>
      </c>
      <c r="Y123">
        <f>IF($V123=1,IFERROR(VALUE(MID($A123,2,20)),1000000000)+ROW()/100000,"")</f>
        <v/>
      </c>
    </row>
    <row r="124">
      <c r="B124">
        <f>IF($A124="","",IFERROR(IF(INDEX('Per Invoice'!$A$2:$A$201,MATCH($A124,'Per Invoice'!$B$2:$B$201,0))=0,"",INDEX('Per Invoice'!$A$2:$A$201,MATCH($A124,'Per Invoice'!$B$2:$B$201,0))),""))</f>
        <v/>
      </c>
      <c r="G124" s="7">
        <f>IF($A124="","",F124*T124/100)</f>
        <v/>
      </c>
      <c r="J124" s="7" t="n"/>
      <c r="K124" s="7" t="n"/>
      <c r="L124" s="7" t="n"/>
      <c r="O124" s="11" t="n"/>
      <c r="R124">
        <f>IF($A124="","",IF($X124=1,Settings!$C$6,Settings!$C$7)*1)</f>
        <v/>
      </c>
      <c r="S124" s="7">
        <f>IF($A124="","",R124*L124)</f>
        <v/>
      </c>
      <c r="T124" s="7">
        <f>IF($A124="","",L124-S124)</f>
        <v/>
      </c>
      <c r="U124" s="7">
        <f>IF($A124="","",T124-G124)</f>
        <v/>
      </c>
      <c r="V124">
        <f>IF($A124="","",IF(COUNTIF($A$2:$A124,$A124)=1,1,0))</f>
        <v/>
      </c>
      <c r="W124">
        <f>IF($V124=1,SUMPRODUCT(--($Y$2:$Y$501&lt;$Y124))+1,"")</f>
        <v/>
      </c>
      <c r="X124">
        <f>IF($A124="","",IF(OR($Q124=TRUE(),$Q124="TRUE"),1,0))</f>
        <v/>
      </c>
      <c r="Y124">
        <f>IF($V124=1,IFERROR(VALUE(MID($A124,2,20)),1000000000)+ROW()/100000,"")</f>
        <v/>
      </c>
    </row>
    <row r="125">
      <c r="B125">
        <f>IF($A125="","",IFERROR(IF(INDEX('Per Invoice'!$A$2:$A$201,MATCH($A125,'Per Invoice'!$B$2:$B$201,0))=0,"",INDEX('Per Invoice'!$A$2:$A$201,MATCH($A125,'Per Invoice'!$B$2:$B$201,0))),""))</f>
        <v/>
      </c>
      <c r="G125" s="7">
        <f>IF($A125="","",F125*T125/100)</f>
        <v/>
      </c>
      <c r="J125" s="7" t="n"/>
      <c r="K125" s="7" t="n"/>
      <c r="L125" s="7" t="n"/>
      <c r="O125" s="11" t="n"/>
      <c r="R125">
        <f>IF($A125="","",IF($X125=1,Settings!$C$6,Settings!$C$7)*1)</f>
        <v/>
      </c>
      <c r="S125" s="7">
        <f>IF($A125="","",R125*L125)</f>
        <v/>
      </c>
      <c r="T125" s="7">
        <f>IF($A125="","",L125-S125)</f>
        <v/>
      </c>
      <c r="U125" s="7">
        <f>IF($A125="","",T125-G125)</f>
        <v/>
      </c>
      <c r="V125">
        <f>IF($A125="","",IF(COUNTIF($A$2:$A125,$A125)=1,1,0))</f>
        <v/>
      </c>
      <c r="W125">
        <f>IF($V125=1,SUMPRODUCT(--($Y$2:$Y$501&lt;$Y125))+1,"")</f>
        <v/>
      </c>
      <c r="X125">
        <f>IF($A125="","",IF(OR($Q125=TRUE(),$Q125="TRUE"),1,0))</f>
        <v/>
      </c>
      <c r="Y125">
        <f>IF($V125=1,IFERROR(VALUE(MID($A125,2,20)),1000000000)+ROW()/100000,"")</f>
        <v/>
      </c>
    </row>
    <row r="126">
      <c r="B126">
        <f>IF($A126="","",IFERROR(IF(INDEX('Per Invoice'!$A$2:$A$201,MATCH($A126,'Per Invoice'!$B$2:$B$201,0))=0,"",INDEX('Per Invoice'!$A$2:$A$201,MATCH($A126,'Per Invoice'!$B$2:$B$201,0))),""))</f>
        <v/>
      </c>
      <c r="G126" s="7">
        <f>IF($A126="","",F126*T126/100)</f>
        <v/>
      </c>
      <c r="J126" s="7" t="n"/>
      <c r="K126" s="7" t="n"/>
      <c r="L126" s="7" t="n"/>
      <c r="O126" s="11" t="n"/>
      <c r="R126">
        <f>IF($A126="","",IF($X126=1,Settings!$C$6,Settings!$C$7)*1)</f>
        <v/>
      </c>
      <c r="S126" s="7">
        <f>IF($A126="","",R126*L126)</f>
        <v/>
      </c>
      <c r="T126" s="7">
        <f>IF($A126="","",L126-S126)</f>
        <v/>
      </c>
      <c r="U126" s="7">
        <f>IF($A126="","",T126-G126)</f>
        <v/>
      </c>
      <c r="V126">
        <f>IF($A126="","",IF(COUNTIF($A$2:$A126,$A126)=1,1,0))</f>
        <v/>
      </c>
      <c r="W126">
        <f>IF($V126=1,SUMPRODUCT(--($Y$2:$Y$501&lt;$Y126))+1,"")</f>
        <v/>
      </c>
      <c r="X126">
        <f>IF($A126="","",IF(OR($Q126=TRUE(),$Q126="TRUE"),1,0))</f>
        <v/>
      </c>
      <c r="Y126">
        <f>IF($V126=1,IFERROR(VALUE(MID($A126,2,20)),1000000000)+ROW()/100000,"")</f>
        <v/>
      </c>
    </row>
    <row r="127">
      <c r="B127">
        <f>IF($A127="","",IFERROR(IF(INDEX('Per Invoice'!$A$2:$A$201,MATCH($A127,'Per Invoice'!$B$2:$B$201,0))=0,"",INDEX('Per Invoice'!$A$2:$A$201,MATCH($A127,'Per Invoice'!$B$2:$B$201,0))),""))</f>
        <v/>
      </c>
      <c r="G127" s="7">
        <f>IF($A127="","",F127*T127/100)</f>
        <v/>
      </c>
      <c r="J127" s="7" t="n"/>
      <c r="K127" s="7" t="n"/>
      <c r="L127" s="7" t="n"/>
      <c r="O127" s="11" t="n"/>
      <c r="R127">
        <f>IF($A127="","",IF($X127=1,Settings!$C$6,Settings!$C$7)*1)</f>
        <v/>
      </c>
      <c r="S127" s="7">
        <f>IF($A127="","",R127*L127)</f>
        <v/>
      </c>
      <c r="T127" s="7">
        <f>IF($A127="","",L127-S127)</f>
        <v/>
      </c>
      <c r="U127" s="7">
        <f>IF($A127="","",T127-G127)</f>
        <v/>
      </c>
      <c r="V127">
        <f>IF($A127="","",IF(COUNTIF($A$2:$A127,$A127)=1,1,0))</f>
        <v/>
      </c>
      <c r="W127">
        <f>IF($V127=1,SUMPRODUCT(--($Y$2:$Y$501&lt;$Y127))+1,"")</f>
        <v/>
      </c>
      <c r="X127">
        <f>IF($A127="","",IF(OR($Q127=TRUE(),$Q127="TRUE"),1,0))</f>
        <v/>
      </c>
      <c r="Y127">
        <f>IF($V127=1,IFERROR(VALUE(MID($A127,2,20)),1000000000)+ROW()/100000,"")</f>
        <v/>
      </c>
    </row>
    <row r="128">
      <c r="B128">
        <f>IF($A128="","",IFERROR(IF(INDEX('Per Invoice'!$A$2:$A$201,MATCH($A128,'Per Invoice'!$B$2:$B$201,0))=0,"",INDEX('Per Invoice'!$A$2:$A$201,MATCH($A128,'Per Invoice'!$B$2:$B$201,0))),""))</f>
        <v/>
      </c>
      <c r="G128" s="7">
        <f>IF($A128="","",F128*T128/100)</f>
        <v/>
      </c>
      <c r="J128" s="7" t="n"/>
      <c r="K128" s="7" t="n"/>
      <c r="L128" s="7" t="n"/>
      <c r="O128" s="11" t="n"/>
      <c r="R128">
        <f>IF($A128="","",IF($X128=1,Settings!$C$6,Settings!$C$7)*1)</f>
        <v/>
      </c>
      <c r="S128" s="7">
        <f>IF($A128="","",R128*L128)</f>
        <v/>
      </c>
      <c r="T128" s="7">
        <f>IF($A128="","",L128-S128)</f>
        <v/>
      </c>
      <c r="U128" s="7">
        <f>IF($A128="","",T128-G128)</f>
        <v/>
      </c>
      <c r="V128">
        <f>IF($A128="","",IF(COUNTIF($A$2:$A128,$A128)=1,1,0))</f>
        <v/>
      </c>
      <c r="W128">
        <f>IF($V128=1,SUMPRODUCT(--($Y$2:$Y$501&lt;$Y128))+1,"")</f>
        <v/>
      </c>
      <c r="X128">
        <f>IF($A128="","",IF(OR($Q128=TRUE(),$Q128="TRUE"),1,0))</f>
        <v/>
      </c>
      <c r="Y128">
        <f>IF($V128=1,IFERROR(VALUE(MID($A128,2,20)),1000000000)+ROW()/100000,"")</f>
        <v/>
      </c>
    </row>
    <row r="129">
      <c r="B129">
        <f>IF($A129="","",IFERROR(IF(INDEX('Per Invoice'!$A$2:$A$201,MATCH($A129,'Per Invoice'!$B$2:$B$201,0))=0,"",INDEX('Per Invoice'!$A$2:$A$201,MATCH($A129,'Per Invoice'!$B$2:$B$201,0))),""))</f>
        <v/>
      </c>
      <c r="G129" s="7">
        <f>IF($A129="","",F129*T129/100)</f>
        <v/>
      </c>
      <c r="J129" s="7" t="n"/>
      <c r="K129" s="7" t="n"/>
      <c r="L129" s="7" t="n"/>
      <c r="O129" s="11" t="n"/>
      <c r="R129">
        <f>IF($A129="","",IF($X129=1,Settings!$C$6,Settings!$C$7)*1)</f>
        <v/>
      </c>
      <c r="S129" s="7">
        <f>IF($A129="","",R129*L129)</f>
        <v/>
      </c>
      <c r="T129" s="7">
        <f>IF($A129="","",L129-S129)</f>
        <v/>
      </c>
      <c r="U129" s="7">
        <f>IF($A129="","",T129-G129)</f>
        <v/>
      </c>
      <c r="V129">
        <f>IF($A129="","",IF(COUNTIF($A$2:$A129,$A129)=1,1,0))</f>
        <v/>
      </c>
      <c r="W129">
        <f>IF($V129=1,SUMPRODUCT(--($Y$2:$Y$501&lt;$Y129))+1,"")</f>
        <v/>
      </c>
      <c r="X129">
        <f>IF($A129="","",IF(OR($Q129=TRUE(),$Q129="TRUE"),1,0))</f>
        <v/>
      </c>
      <c r="Y129">
        <f>IF($V129=1,IFERROR(VALUE(MID($A129,2,20)),1000000000)+ROW()/100000,"")</f>
        <v/>
      </c>
    </row>
    <row r="130">
      <c r="B130">
        <f>IF($A130="","",IFERROR(IF(INDEX('Per Invoice'!$A$2:$A$201,MATCH($A130,'Per Invoice'!$B$2:$B$201,0))=0,"",INDEX('Per Invoice'!$A$2:$A$201,MATCH($A130,'Per Invoice'!$B$2:$B$201,0))),""))</f>
        <v/>
      </c>
      <c r="G130" s="7">
        <f>IF($A130="","",F130*T130/100)</f>
        <v/>
      </c>
      <c r="J130" s="7" t="n"/>
      <c r="K130" s="7" t="n"/>
      <c r="L130" s="7" t="n"/>
      <c r="O130" s="11" t="n"/>
      <c r="R130">
        <f>IF($A130="","",IF($X130=1,Settings!$C$6,Settings!$C$7)*1)</f>
        <v/>
      </c>
      <c r="S130" s="7">
        <f>IF($A130="","",R130*L130)</f>
        <v/>
      </c>
      <c r="T130" s="7">
        <f>IF($A130="","",L130-S130)</f>
        <v/>
      </c>
      <c r="U130" s="7">
        <f>IF($A130="","",T130-G130)</f>
        <v/>
      </c>
      <c r="V130">
        <f>IF($A130="","",IF(COUNTIF($A$2:$A130,$A130)=1,1,0))</f>
        <v/>
      </c>
      <c r="W130">
        <f>IF($V130=1,SUMPRODUCT(--($Y$2:$Y$501&lt;$Y130))+1,"")</f>
        <v/>
      </c>
      <c r="X130">
        <f>IF($A130="","",IF(OR($Q130=TRUE(),$Q130="TRUE"),1,0))</f>
        <v/>
      </c>
      <c r="Y130">
        <f>IF($V130=1,IFERROR(VALUE(MID($A130,2,20)),1000000000)+ROW()/100000,"")</f>
        <v/>
      </c>
    </row>
    <row r="131">
      <c r="B131">
        <f>IF($A131="","",IFERROR(IF(INDEX('Per Invoice'!$A$2:$A$201,MATCH($A131,'Per Invoice'!$B$2:$B$201,0))=0,"",INDEX('Per Invoice'!$A$2:$A$201,MATCH($A131,'Per Invoice'!$B$2:$B$201,0))),""))</f>
        <v/>
      </c>
      <c r="G131" s="7">
        <f>IF($A131="","",F131*T131/100)</f>
        <v/>
      </c>
      <c r="J131" s="7" t="n"/>
      <c r="K131" s="7" t="n"/>
      <c r="L131" s="7" t="n"/>
      <c r="O131" s="11" t="n"/>
      <c r="R131">
        <f>IF($A131="","",IF($X131=1,Settings!$C$6,Settings!$C$7)*1)</f>
        <v/>
      </c>
      <c r="S131" s="7">
        <f>IF($A131="","",R131*L131)</f>
        <v/>
      </c>
      <c r="T131" s="7">
        <f>IF($A131="","",L131-S131)</f>
        <v/>
      </c>
      <c r="U131" s="7">
        <f>IF($A131="","",T131-G131)</f>
        <v/>
      </c>
      <c r="V131">
        <f>IF($A131="","",IF(COUNTIF($A$2:$A131,$A131)=1,1,0))</f>
        <v/>
      </c>
      <c r="W131">
        <f>IF($V131=1,SUMPRODUCT(--($Y$2:$Y$501&lt;$Y131))+1,"")</f>
        <v/>
      </c>
      <c r="X131">
        <f>IF($A131="","",IF(OR($Q131=TRUE(),$Q131="TRUE"),1,0))</f>
        <v/>
      </c>
      <c r="Y131">
        <f>IF($V131=1,IFERROR(VALUE(MID($A131,2,20)),1000000000)+ROW()/100000,"")</f>
        <v/>
      </c>
    </row>
    <row r="132">
      <c r="B132">
        <f>IF($A132="","",IFERROR(IF(INDEX('Per Invoice'!$A$2:$A$201,MATCH($A132,'Per Invoice'!$B$2:$B$201,0))=0,"",INDEX('Per Invoice'!$A$2:$A$201,MATCH($A132,'Per Invoice'!$B$2:$B$201,0))),""))</f>
        <v/>
      </c>
      <c r="G132" s="7">
        <f>IF($A132="","",F132*T132/100)</f>
        <v/>
      </c>
      <c r="J132" s="7" t="n"/>
      <c r="K132" s="7" t="n"/>
      <c r="L132" s="7" t="n"/>
      <c r="O132" s="11" t="n"/>
      <c r="R132">
        <f>IF($A132="","",IF($X132=1,Settings!$C$6,Settings!$C$7)*1)</f>
        <v/>
      </c>
      <c r="S132" s="7">
        <f>IF($A132="","",R132*L132)</f>
        <v/>
      </c>
      <c r="T132" s="7">
        <f>IF($A132="","",L132-S132)</f>
        <v/>
      </c>
      <c r="U132" s="7">
        <f>IF($A132="","",T132-G132)</f>
        <v/>
      </c>
      <c r="V132">
        <f>IF($A132="","",IF(COUNTIF($A$2:$A132,$A132)=1,1,0))</f>
        <v/>
      </c>
      <c r="W132">
        <f>IF($V132=1,SUMPRODUCT(--($Y$2:$Y$501&lt;$Y132))+1,"")</f>
        <v/>
      </c>
      <c r="X132">
        <f>IF($A132="","",IF(OR($Q132=TRUE(),$Q132="TRUE"),1,0))</f>
        <v/>
      </c>
      <c r="Y132">
        <f>IF($V132=1,IFERROR(VALUE(MID($A132,2,20)),1000000000)+ROW()/100000,"")</f>
        <v/>
      </c>
    </row>
    <row r="133">
      <c r="B133">
        <f>IF($A133="","",IFERROR(IF(INDEX('Per Invoice'!$A$2:$A$201,MATCH($A133,'Per Invoice'!$B$2:$B$201,0))=0,"",INDEX('Per Invoice'!$A$2:$A$201,MATCH($A133,'Per Invoice'!$B$2:$B$201,0))),""))</f>
        <v/>
      </c>
      <c r="G133" s="7">
        <f>IF($A133="","",F133*T133/100)</f>
        <v/>
      </c>
      <c r="J133" s="7" t="n"/>
      <c r="K133" s="7" t="n"/>
      <c r="L133" s="7" t="n"/>
      <c r="O133" s="11" t="n"/>
      <c r="R133">
        <f>IF($A133="","",IF($X133=1,Settings!$C$6,Settings!$C$7)*1)</f>
        <v/>
      </c>
      <c r="S133" s="7">
        <f>IF($A133="","",R133*L133)</f>
        <v/>
      </c>
      <c r="T133" s="7">
        <f>IF($A133="","",L133-S133)</f>
        <v/>
      </c>
      <c r="U133" s="7">
        <f>IF($A133="","",T133-G133)</f>
        <v/>
      </c>
      <c r="V133">
        <f>IF($A133="","",IF(COUNTIF($A$2:$A133,$A133)=1,1,0))</f>
        <v/>
      </c>
      <c r="W133">
        <f>IF($V133=1,SUMPRODUCT(--($Y$2:$Y$501&lt;$Y133))+1,"")</f>
        <v/>
      </c>
      <c r="X133">
        <f>IF($A133="","",IF(OR($Q133=TRUE(),$Q133="TRUE"),1,0))</f>
        <v/>
      </c>
      <c r="Y133">
        <f>IF($V133=1,IFERROR(VALUE(MID($A133,2,20)),1000000000)+ROW()/100000,"")</f>
        <v/>
      </c>
    </row>
    <row r="134">
      <c r="B134">
        <f>IF($A134="","",IFERROR(IF(INDEX('Per Invoice'!$A$2:$A$201,MATCH($A134,'Per Invoice'!$B$2:$B$201,0))=0,"",INDEX('Per Invoice'!$A$2:$A$201,MATCH($A134,'Per Invoice'!$B$2:$B$201,0))),""))</f>
        <v/>
      </c>
      <c r="G134" s="7">
        <f>IF($A134="","",F134*T134/100)</f>
        <v/>
      </c>
      <c r="J134" s="7" t="n"/>
      <c r="K134" s="7" t="n"/>
      <c r="L134" s="7" t="n"/>
      <c r="O134" s="11" t="n"/>
      <c r="R134">
        <f>IF($A134="","",IF($X134=1,Settings!$C$6,Settings!$C$7)*1)</f>
        <v/>
      </c>
      <c r="S134" s="7">
        <f>IF($A134="","",R134*L134)</f>
        <v/>
      </c>
      <c r="T134" s="7">
        <f>IF($A134="","",L134-S134)</f>
        <v/>
      </c>
      <c r="U134" s="7">
        <f>IF($A134="","",T134-G134)</f>
        <v/>
      </c>
      <c r="V134">
        <f>IF($A134="","",IF(COUNTIF($A$2:$A134,$A134)=1,1,0))</f>
        <v/>
      </c>
      <c r="W134">
        <f>IF($V134=1,SUMPRODUCT(--($Y$2:$Y$501&lt;$Y134))+1,"")</f>
        <v/>
      </c>
      <c r="X134">
        <f>IF($A134="","",IF(OR($Q134=TRUE(),$Q134="TRUE"),1,0))</f>
        <v/>
      </c>
      <c r="Y134">
        <f>IF($V134=1,IFERROR(VALUE(MID($A134,2,20)),1000000000)+ROW()/100000,"")</f>
        <v/>
      </c>
    </row>
    <row r="135">
      <c r="B135">
        <f>IF($A135="","",IFERROR(IF(INDEX('Per Invoice'!$A$2:$A$201,MATCH($A135,'Per Invoice'!$B$2:$B$201,0))=0,"",INDEX('Per Invoice'!$A$2:$A$201,MATCH($A135,'Per Invoice'!$B$2:$B$201,0))),""))</f>
        <v/>
      </c>
      <c r="G135" s="7">
        <f>IF($A135="","",F135*T135/100)</f>
        <v/>
      </c>
      <c r="J135" s="7" t="n"/>
      <c r="K135" s="7" t="n"/>
      <c r="L135" s="7" t="n"/>
      <c r="O135" s="11" t="n"/>
      <c r="R135">
        <f>IF($A135="","",IF($X135=1,Settings!$C$6,Settings!$C$7)*1)</f>
        <v/>
      </c>
      <c r="S135" s="7">
        <f>IF($A135="","",R135*L135)</f>
        <v/>
      </c>
      <c r="T135" s="7">
        <f>IF($A135="","",L135-S135)</f>
        <v/>
      </c>
      <c r="U135" s="7">
        <f>IF($A135="","",T135-G135)</f>
        <v/>
      </c>
      <c r="V135">
        <f>IF($A135="","",IF(COUNTIF($A$2:$A135,$A135)=1,1,0))</f>
        <v/>
      </c>
      <c r="W135">
        <f>IF($V135=1,SUMPRODUCT(--($Y$2:$Y$501&lt;$Y135))+1,"")</f>
        <v/>
      </c>
      <c r="X135">
        <f>IF($A135="","",IF(OR($Q135=TRUE(),$Q135="TRUE"),1,0))</f>
        <v/>
      </c>
      <c r="Y135">
        <f>IF($V135=1,IFERROR(VALUE(MID($A135,2,20)),1000000000)+ROW()/100000,"")</f>
        <v/>
      </c>
    </row>
    <row r="136">
      <c r="B136">
        <f>IF($A136="","",IFERROR(IF(INDEX('Per Invoice'!$A$2:$A$201,MATCH($A136,'Per Invoice'!$B$2:$B$201,0))=0,"",INDEX('Per Invoice'!$A$2:$A$201,MATCH($A136,'Per Invoice'!$B$2:$B$201,0))),""))</f>
        <v/>
      </c>
      <c r="G136" s="7">
        <f>IF($A136="","",F136*T136/100)</f>
        <v/>
      </c>
      <c r="J136" s="7" t="n"/>
      <c r="K136" s="7" t="n"/>
      <c r="L136" s="7" t="n"/>
      <c r="O136" s="11" t="n"/>
      <c r="R136">
        <f>IF($A136="","",IF($X136=1,Settings!$C$6,Settings!$C$7)*1)</f>
        <v/>
      </c>
      <c r="S136" s="7">
        <f>IF($A136="","",R136*L136)</f>
        <v/>
      </c>
      <c r="T136" s="7">
        <f>IF($A136="","",L136-S136)</f>
        <v/>
      </c>
      <c r="U136" s="7">
        <f>IF($A136="","",T136-G136)</f>
        <v/>
      </c>
      <c r="V136">
        <f>IF($A136="","",IF(COUNTIF($A$2:$A136,$A136)=1,1,0))</f>
        <v/>
      </c>
      <c r="W136">
        <f>IF($V136=1,SUMPRODUCT(--($Y$2:$Y$501&lt;$Y136))+1,"")</f>
        <v/>
      </c>
      <c r="X136">
        <f>IF($A136="","",IF(OR($Q136=TRUE(),$Q136="TRUE"),1,0))</f>
        <v/>
      </c>
      <c r="Y136">
        <f>IF($V136=1,IFERROR(VALUE(MID($A136,2,20)),1000000000)+ROW()/100000,"")</f>
        <v/>
      </c>
    </row>
    <row r="137">
      <c r="B137">
        <f>IF($A137="","",IFERROR(IF(INDEX('Per Invoice'!$A$2:$A$201,MATCH($A137,'Per Invoice'!$B$2:$B$201,0))=0,"",INDEX('Per Invoice'!$A$2:$A$201,MATCH($A137,'Per Invoice'!$B$2:$B$201,0))),""))</f>
        <v/>
      </c>
      <c r="G137" s="7">
        <f>IF($A137="","",F137*T137/100)</f>
        <v/>
      </c>
      <c r="J137" s="7" t="n"/>
      <c r="K137" s="7" t="n"/>
      <c r="L137" s="7" t="n"/>
      <c r="O137" s="11" t="n"/>
      <c r="R137">
        <f>IF($A137="","",IF($X137=1,Settings!$C$6,Settings!$C$7)*1)</f>
        <v/>
      </c>
      <c r="S137" s="7">
        <f>IF($A137="","",R137*L137)</f>
        <v/>
      </c>
      <c r="T137" s="7">
        <f>IF($A137="","",L137-S137)</f>
        <v/>
      </c>
      <c r="U137" s="7">
        <f>IF($A137="","",T137-G137)</f>
        <v/>
      </c>
      <c r="V137">
        <f>IF($A137="","",IF(COUNTIF($A$2:$A137,$A137)=1,1,0))</f>
        <v/>
      </c>
      <c r="W137">
        <f>IF($V137=1,SUMPRODUCT(--($Y$2:$Y$501&lt;$Y137))+1,"")</f>
        <v/>
      </c>
      <c r="X137">
        <f>IF($A137="","",IF(OR($Q137=TRUE(),$Q137="TRUE"),1,0))</f>
        <v/>
      </c>
      <c r="Y137">
        <f>IF($V137=1,IFERROR(VALUE(MID($A137,2,20)),1000000000)+ROW()/100000,"")</f>
        <v/>
      </c>
    </row>
    <row r="138">
      <c r="B138">
        <f>IF($A138="","",IFERROR(IF(INDEX('Per Invoice'!$A$2:$A$201,MATCH($A138,'Per Invoice'!$B$2:$B$201,0))=0,"",INDEX('Per Invoice'!$A$2:$A$201,MATCH($A138,'Per Invoice'!$B$2:$B$201,0))),""))</f>
        <v/>
      </c>
      <c r="G138" s="7">
        <f>IF($A138="","",F138*T138/100)</f>
        <v/>
      </c>
      <c r="J138" s="7" t="n"/>
      <c r="K138" s="7" t="n"/>
      <c r="L138" s="7" t="n"/>
      <c r="O138" s="11" t="n"/>
      <c r="R138">
        <f>IF($A138="","",IF($X138=1,Settings!$C$6,Settings!$C$7)*1)</f>
        <v/>
      </c>
      <c r="S138" s="7">
        <f>IF($A138="","",R138*L138)</f>
        <v/>
      </c>
      <c r="T138" s="7">
        <f>IF($A138="","",L138-S138)</f>
        <v/>
      </c>
      <c r="U138" s="7">
        <f>IF($A138="","",T138-G138)</f>
        <v/>
      </c>
      <c r="V138">
        <f>IF($A138="","",IF(COUNTIF($A$2:$A138,$A138)=1,1,0))</f>
        <v/>
      </c>
      <c r="W138">
        <f>IF($V138=1,SUMPRODUCT(--($Y$2:$Y$501&lt;$Y138))+1,"")</f>
        <v/>
      </c>
      <c r="X138">
        <f>IF($A138="","",IF(OR($Q138=TRUE(),$Q138="TRUE"),1,0))</f>
        <v/>
      </c>
      <c r="Y138">
        <f>IF($V138=1,IFERROR(VALUE(MID($A138,2,20)),1000000000)+ROW()/100000,"")</f>
        <v/>
      </c>
    </row>
    <row r="139">
      <c r="B139">
        <f>IF($A139="","",IFERROR(IF(INDEX('Per Invoice'!$A$2:$A$201,MATCH($A139,'Per Invoice'!$B$2:$B$201,0))=0,"",INDEX('Per Invoice'!$A$2:$A$201,MATCH($A139,'Per Invoice'!$B$2:$B$201,0))),""))</f>
        <v/>
      </c>
      <c r="G139" s="7">
        <f>IF($A139="","",F139*T139/100)</f>
        <v/>
      </c>
      <c r="J139" s="7" t="n"/>
      <c r="K139" s="7" t="n"/>
      <c r="L139" s="7" t="n"/>
      <c r="O139" s="11" t="n"/>
      <c r="R139">
        <f>IF($A139="","",IF($X139=1,Settings!$C$6,Settings!$C$7)*1)</f>
        <v/>
      </c>
      <c r="S139" s="7">
        <f>IF($A139="","",R139*L139)</f>
        <v/>
      </c>
      <c r="T139" s="7">
        <f>IF($A139="","",L139-S139)</f>
        <v/>
      </c>
      <c r="U139" s="7">
        <f>IF($A139="","",T139-G139)</f>
        <v/>
      </c>
      <c r="V139">
        <f>IF($A139="","",IF(COUNTIF($A$2:$A139,$A139)=1,1,0))</f>
        <v/>
      </c>
      <c r="W139">
        <f>IF($V139=1,SUMPRODUCT(--($Y$2:$Y$501&lt;$Y139))+1,"")</f>
        <v/>
      </c>
      <c r="X139">
        <f>IF($A139="","",IF(OR($Q139=TRUE(),$Q139="TRUE"),1,0))</f>
        <v/>
      </c>
      <c r="Y139">
        <f>IF($V139=1,IFERROR(VALUE(MID($A139,2,20)),1000000000)+ROW()/100000,"")</f>
        <v/>
      </c>
    </row>
    <row r="140">
      <c r="B140">
        <f>IF($A140="","",IFERROR(IF(INDEX('Per Invoice'!$A$2:$A$201,MATCH($A140,'Per Invoice'!$B$2:$B$201,0))=0,"",INDEX('Per Invoice'!$A$2:$A$201,MATCH($A140,'Per Invoice'!$B$2:$B$201,0))),""))</f>
        <v/>
      </c>
      <c r="G140" s="7">
        <f>IF($A140="","",F140*T140/100)</f>
        <v/>
      </c>
      <c r="J140" s="7" t="n"/>
      <c r="K140" s="7" t="n"/>
      <c r="L140" s="7" t="n"/>
      <c r="O140" s="11" t="n"/>
      <c r="R140">
        <f>IF($A140="","",IF($X140=1,Settings!$C$6,Settings!$C$7)*1)</f>
        <v/>
      </c>
      <c r="S140" s="7">
        <f>IF($A140="","",R140*L140)</f>
        <v/>
      </c>
      <c r="T140" s="7">
        <f>IF($A140="","",L140-S140)</f>
        <v/>
      </c>
      <c r="U140" s="7">
        <f>IF($A140="","",T140-G140)</f>
        <v/>
      </c>
      <c r="V140">
        <f>IF($A140="","",IF(COUNTIF($A$2:$A140,$A140)=1,1,0))</f>
        <v/>
      </c>
      <c r="W140">
        <f>IF($V140=1,SUMPRODUCT(--($Y$2:$Y$501&lt;$Y140))+1,"")</f>
        <v/>
      </c>
      <c r="X140">
        <f>IF($A140="","",IF(OR($Q140=TRUE(),$Q140="TRUE"),1,0))</f>
        <v/>
      </c>
      <c r="Y140">
        <f>IF($V140=1,IFERROR(VALUE(MID($A140,2,20)),1000000000)+ROW()/100000,"")</f>
        <v/>
      </c>
    </row>
    <row r="141">
      <c r="B141">
        <f>IF($A141="","",IFERROR(IF(INDEX('Per Invoice'!$A$2:$A$201,MATCH($A141,'Per Invoice'!$B$2:$B$201,0))=0,"",INDEX('Per Invoice'!$A$2:$A$201,MATCH($A141,'Per Invoice'!$B$2:$B$201,0))),""))</f>
        <v/>
      </c>
      <c r="G141" s="7">
        <f>IF($A141="","",F141*T141/100)</f>
        <v/>
      </c>
      <c r="J141" s="7" t="n"/>
      <c r="K141" s="7" t="n"/>
      <c r="L141" s="7" t="n"/>
      <c r="O141" s="11" t="n"/>
      <c r="R141">
        <f>IF($A141="","",IF($X141=1,Settings!$C$6,Settings!$C$7)*1)</f>
        <v/>
      </c>
      <c r="S141" s="7">
        <f>IF($A141="","",R141*L141)</f>
        <v/>
      </c>
      <c r="T141" s="7">
        <f>IF($A141="","",L141-S141)</f>
        <v/>
      </c>
      <c r="U141" s="7">
        <f>IF($A141="","",T141-G141)</f>
        <v/>
      </c>
      <c r="V141">
        <f>IF($A141="","",IF(COUNTIF($A$2:$A141,$A141)=1,1,0))</f>
        <v/>
      </c>
      <c r="W141">
        <f>IF($V141=1,SUMPRODUCT(--($Y$2:$Y$501&lt;$Y141))+1,"")</f>
        <v/>
      </c>
      <c r="X141">
        <f>IF($A141="","",IF(OR($Q141=TRUE(),$Q141="TRUE"),1,0))</f>
        <v/>
      </c>
      <c r="Y141">
        <f>IF($V141=1,IFERROR(VALUE(MID($A141,2,20)),1000000000)+ROW()/100000,"")</f>
        <v/>
      </c>
    </row>
    <row r="142">
      <c r="B142">
        <f>IF($A142="","",IFERROR(IF(INDEX('Per Invoice'!$A$2:$A$201,MATCH($A142,'Per Invoice'!$B$2:$B$201,0))=0,"",INDEX('Per Invoice'!$A$2:$A$201,MATCH($A142,'Per Invoice'!$B$2:$B$201,0))),""))</f>
        <v/>
      </c>
      <c r="G142" s="7">
        <f>IF($A142="","",F142*T142/100)</f>
        <v/>
      </c>
      <c r="J142" s="7" t="n"/>
      <c r="K142" s="7" t="n"/>
      <c r="L142" s="7" t="n"/>
      <c r="O142" s="11" t="n"/>
      <c r="R142">
        <f>IF($A142="","",IF($X142=1,Settings!$C$6,Settings!$C$7)*1)</f>
        <v/>
      </c>
      <c r="S142" s="7">
        <f>IF($A142="","",R142*L142)</f>
        <v/>
      </c>
      <c r="T142" s="7">
        <f>IF($A142="","",L142-S142)</f>
        <v/>
      </c>
      <c r="U142" s="7">
        <f>IF($A142="","",T142-G142)</f>
        <v/>
      </c>
      <c r="V142">
        <f>IF($A142="","",IF(COUNTIF($A$2:$A142,$A142)=1,1,0))</f>
        <v/>
      </c>
      <c r="W142">
        <f>IF($V142=1,SUMPRODUCT(--($Y$2:$Y$501&lt;$Y142))+1,"")</f>
        <v/>
      </c>
      <c r="X142">
        <f>IF($A142="","",IF(OR($Q142=TRUE(),$Q142="TRUE"),1,0))</f>
        <v/>
      </c>
      <c r="Y142">
        <f>IF($V142=1,IFERROR(VALUE(MID($A142,2,20)),1000000000)+ROW()/100000,"")</f>
        <v/>
      </c>
    </row>
    <row r="143">
      <c r="B143">
        <f>IF($A143="","",IFERROR(IF(INDEX('Per Invoice'!$A$2:$A$201,MATCH($A143,'Per Invoice'!$B$2:$B$201,0))=0,"",INDEX('Per Invoice'!$A$2:$A$201,MATCH($A143,'Per Invoice'!$B$2:$B$201,0))),""))</f>
        <v/>
      </c>
      <c r="G143" s="7">
        <f>IF($A143="","",F143*T143/100)</f>
        <v/>
      </c>
      <c r="J143" s="7" t="n"/>
      <c r="K143" s="7" t="n"/>
      <c r="L143" s="7" t="n"/>
      <c r="O143" s="11" t="n"/>
      <c r="R143">
        <f>IF($A143="","",IF($X143=1,Settings!$C$6,Settings!$C$7)*1)</f>
        <v/>
      </c>
      <c r="S143" s="7">
        <f>IF($A143="","",R143*L143)</f>
        <v/>
      </c>
      <c r="T143" s="7">
        <f>IF($A143="","",L143-S143)</f>
        <v/>
      </c>
      <c r="U143" s="7">
        <f>IF($A143="","",T143-G143)</f>
        <v/>
      </c>
      <c r="V143">
        <f>IF($A143="","",IF(COUNTIF($A$2:$A143,$A143)=1,1,0))</f>
        <v/>
      </c>
      <c r="W143">
        <f>IF($V143=1,SUMPRODUCT(--($Y$2:$Y$501&lt;$Y143))+1,"")</f>
        <v/>
      </c>
      <c r="X143">
        <f>IF($A143="","",IF(OR($Q143=TRUE(),$Q143="TRUE"),1,0))</f>
        <v/>
      </c>
      <c r="Y143">
        <f>IF($V143=1,IFERROR(VALUE(MID($A143,2,20)),1000000000)+ROW()/100000,"")</f>
        <v/>
      </c>
    </row>
    <row r="144">
      <c r="B144">
        <f>IF($A144="","",IFERROR(IF(INDEX('Per Invoice'!$A$2:$A$201,MATCH($A144,'Per Invoice'!$B$2:$B$201,0))=0,"",INDEX('Per Invoice'!$A$2:$A$201,MATCH($A144,'Per Invoice'!$B$2:$B$201,0))),""))</f>
        <v/>
      </c>
      <c r="G144" s="7">
        <f>IF($A144="","",F144*T144/100)</f>
        <v/>
      </c>
      <c r="J144" s="7" t="n"/>
      <c r="K144" s="7" t="n"/>
      <c r="L144" s="7" t="n"/>
      <c r="O144" s="11" t="n"/>
      <c r="R144">
        <f>IF($A144="","",IF($X144=1,Settings!$C$6,Settings!$C$7)*1)</f>
        <v/>
      </c>
      <c r="S144" s="7">
        <f>IF($A144="","",R144*L144)</f>
        <v/>
      </c>
      <c r="T144" s="7">
        <f>IF($A144="","",L144-S144)</f>
        <v/>
      </c>
      <c r="U144" s="7">
        <f>IF($A144="","",T144-G144)</f>
        <v/>
      </c>
      <c r="V144">
        <f>IF($A144="","",IF(COUNTIF($A$2:$A144,$A144)=1,1,0))</f>
        <v/>
      </c>
      <c r="W144">
        <f>IF($V144=1,SUMPRODUCT(--($Y$2:$Y$501&lt;$Y144))+1,"")</f>
        <v/>
      </c>
      <c r="X144">
        <f>IF($A144="","",IF(OR($Q144=TRUE(),$Q144="TRUE"),1,0))</f>
        <v/>
      </c>
      <c r="Y144">
        <f>IF($V144=1,IFERROR(VALUE(MID($A144,2,20)),1000000000)+ROW()/100000,"")</f>
        <v/>
      </c>
    </row>
    <row r="145">
      <c r="B145">
        <f>IF($A145="","",IFERROR(IF(INDEX('Per Invoice'!$A$2:$A$201,MATCH($A145,'Per Invoice'!$B$2:$B$201,0))=0,"",INDEX('Per Invoice'!$A$2:$A$201,MATCH($A145,'Per Invoice'!$B$2:$B$201,0))),""))</f>
        <v/>
      </c>
      <c r="G145" s="7">
        <f>IF($A145="","",F145*T145/100)</f>
        <v/>
      </c>
      <c r="J145" s="7" t="n"/>
      <c r="K145" s="7" t="n"/>
      <c r="L145" s="7" t="n"/>
      <c r="O145" s="11" t="n"/>
      <c r="R145">
        <f>IF($A145="","",IF($X145=1,Settings!$C$6,Settings!$C$7)*1)</f>
        <v/>
      </c>
      <c r="S145" s="7">
        <f>IF($A145="","",R145*L145)</f>
        <v/>
      </c>
      <c r="T145" s="7">
        <f>IF($A145="","",L145-S145)</f>
        <v/>
      </c>
      <c r="U145" s="7">
        <f>IF($A145="","",T145-G145)</f>
        <v/>
      </c>
      <c r="V145">
        <f>IF($A145="","",IF(COUNTIF($A$2:$A145,$A145)=1,1,0))</f>
        <v/>
      </c>
      <c r="W145">
        <f>IF($V145=1,SUMPRODUCT(--($Y$2:$Y$501&lt;$Y145))+1,"")</f>
        <v/>
      </c>
      <c r="X145">
        <f>IF($A145="","",IF(OR($Q145=TRUE(),$Q145="TRUE"),1,0))</f>
        <v/>
      </c>
      <c r="Y145">
        <f>IF($V145=1,IFERROR(VALUE(MID($A145,2,20)),1000000000)+ROW()/100000,"")</f>
        <v/>
      </c>
    </row>
    <row r="146">
      <c r="B146">
        <f>IF($A146="","",IFERROR(IF(INDEX('Per Invoice'!$A$2:$A$201,MATCH($A146,'Per Invoice'!$B$2:$B$201,0))=0,"",INDEX('Per Invoice'!$A$2:$A$201,MATCH($A146,'Per Invoice'!$B$2:$B$201,0))),""))</f>
        <v/>
      </c>
      <c r="G146" s="7">
        <f>IF($A146="","",F146*T146/100)</f>
        <v/>
      </c>
      <c r="J146" s="7" t="n"/>
      <c r="K146" s="7" t="n"/>
      <c r="L146" s="7" t="n"/>
      <c r="O146" s="11" t="n"/>
      <c r="R146">
        <f>IF($A146="","",IF($X146=1,Settings!$C$6,Settings!$C$7)*1)</f>
        <v/>
      </c>
      <c r="S146" s="7">
        <f>IF($A146="","",R146*L146)</f>
        <v/>
      </c>
      <c r="T146" s="7">
        <f>IF($A146="","",L146-S146)</f>
        <v/>
      </c>
      <c r="U146" s="7">
        <f>IF($A146="","",T146-G146)</f>
        <v/>
      </c>
      <c r="V146">
        <f>IF($A146="","",IF(COUNTIF($A$2:$A146,$A146)=1,1,0))</f>
        <v/>
      </c>
      <c r="W146">
        <f>IF($V146=1,SUMPRODUCT(--($Y$2:$Y$501&lt;$Y146))+1,"")</f>
        <v/>
      </c>
      <c r="X146">
        <f>IF($A146="","",IF(OR($Q146=TRUE(),$Q146="TRUE"),1,0))</f>
        <v/>
      </c>
      <c r="Y146">
        <f>IF($V146=1,IFERROR(VALUE(MID($A146,2,20)),1000000000)+ROW()/100000,"")</f>
        <v/>
      </c>
    </row>
    <row r="147">
      <c r="B147">
        <f>IF($A147="","",IFERROR(IF(INDEX('Per Invoice'!$A$2:$A$201,MATCH($A147,'Per Invoice'!$B$2:$B$201,0))=0,"",INDEX('Per Invoice'!$A$2:$A$201,MATCH($A147,'Per Invoice'!$B$2:$B$201,0))),""))</f>
        <v/>
      </c>
      <c r="G147" s="7">
        <f>IF($A147="","",F147*T147/100)</f>
        <v/>
      </c>
      <c r="J147" s="7" t="n"/>
      <c r="K147" s="7" t="n"/>
      <c r="L147" s="7" t="n"/>
      <c r="O147" s="11" t="n"/>
      <c r="R147">
        <f>IF($A147="","",IF($X147=1,Settings!$C$6,Settings!$C$7)*1)</f>
        <v/>
      </c>
      <c r="S147" s="7">
        <f>IF($A147="","",R147*L147)</f>
        <v/>
      </c>
      <c r="T147" s="7">
        <f>IF($A147="","",L147-S147)</f>
        <v/>
      </c>
      <c r="U147" s="7">
        <f>IF($A147="","",T147-G147)</f>
        <v/>
      </c>
      <c r="V147">
        <f>IF($A147="","",IF(COUNTIF($A$2:$A147,$A147)=1,1,0))</f>
        <v/>
      </c>
      <c r="W147">
        <f>IF($V147=1,SUMPRODUCT(--($Y$2:$Y$501&lt;$Y147))+1,"")</f>
        <v/>
      </c>
      <c r="X147">
        <f>IF($A147="","",IF(OR($Q147=TRUE(),$Q147="TRUE"),1,0))</f>
        <v/>
      </c>
      <c r="Y147">
        <f>IF($V147=1,IFERROR(VALUE(MID($A147,2,20)),1000000000)+ROW()/100000,"")</f>
        <v/>
      </c>
    </row>
    <row r="148">
      <c r="B148">
        <f>IF($A148="","",IFERROR(IF(INDEX('Per Invoice'!$A$2:$A$201,MATCH($A148,'Per Invoice'!$B$2:$B$201,0))=0,"",INDEX('Per Invoice'!$A$2:$A$201,MATCH($A148,'Per Invoice'!$B$2:$B$201,0))),""))</f>
        <v/>
      </c>
      <c r="G148" s="7">
        <f>IF($A148="","",F148*T148/100)</f>
        <v/>
      </c>
      <c r="J148" s="7" t="n"/>
      <c r="K148" s="7" t="n"/>
      <c r="L148" s="7" t="n"/>
      <c r="O148" s="11" t="n"/>
      <c r="R148">
        <f>IF($A148="","",IF($X148=1,Settings!$C$6,Settings!$C$7)*1)</f>
        <v/>
      </c>
      <c r="S148" s="7">
        <f>IF($A148="","",R148*L148)</f>
        <v/>
      </c>
      <c r="T148" s="7">
        <f>IF($A148="","",L148-S148)</f>
        <v/>
      </c>
      <c r="U148" s="7">
        <f>IF($A148="","",T148-G148)</f>
        <v/>
      </c>
      <c r="V148">
        <f>IF($A148="","",IF(COUNTIF($A$2:$A148,$A148)=1,1,0))</f>
        <v/>
      </c>
      <c r="W148">
        <f>IF($V148=1,SUMPRODUCT(--($Y$2:$Y$501&lt;$Y148))+1,"")</f>
        <v/>
      </c>
      <c r="X148">
        <f>IF($A148="","",IF(OR($Q148=TRUE(),$Q148="TRUE"),1,0))</f>
        <v/>
      </c>
      <c r="Y148">
        <f>IF($V148=1,IFERROR(VALUE(MID($A148,2,20)),1000000000)+ROW()/100000,"")</f>
        <v/>
      </c>
    </row>
    <row r="149">
      <c r="B149">
        <f>IF($A149="","",IFERROR(IF(INDEX('Per Invoice'!$A$2:$A$201,MATCH($A149,'Per Invoice'!$B$2:$B$201,0))=0,"",INDEX('Per Invoice'!$A$2:$A$201,MATCH($A149,'Per Invoice'!$B$2:$B$201,0))),""))</f>
        <v/>
      </c>
      <c r="G149" s="7">
        <f>IF($A149="","",F149*T149/100)</f>
        <v/>
      </c>
      <c r="J149" s="7" t="n"/>
      <c r="K149" s="7" t="n"/>
      <c r="L149" s="7" t="n"/>
      <c r="O149" s="11" t="n"/>
      <c r="R149">
        <f>IF($A149="","",IF($X149=1,Settings!$C$6,Settings!$C$7)*1)</f>
        <v/>
      </c>
      <c r="S149" s="7">
        <f>IF($A149="","",R149*L149)</f>
        <v/>
      </c>
      <c r="T149" s="7">
        <f>IF($A149="","",L149-S149)</f>
        <v/>
      </c>
      <c r="U149" s="7">
        <f>IF($A149="","",T149-G149)</f>
        <v/>
      </c>
      <c r="V149">
        <f>IF($A149="","",IF(COUNTIF($A$2:$A149,$A149)=1,1,0))</f>
        <v/>
      </c>
      <c r="W149">
        <f>IF($V149=1,SUMPRODUCT(--($Y$2:$Y$501&lt;$Y149))+1,"")</f>
        <v/>
      </c>
      <c r="X149">
        <f>IF($A149="","",IF(OR($Q149=TRUE(),$Q149="TRUE"),1,0))</f>
        <v/>
      </c>
      <c r="Y149">
        <f>IF($V149=1,IFERROR(VALUE(MID($A149,2,20)),1000000000)+ROW()/100000,"")</f>
        <v/>
      </c>
    </row>
    <row r="150">
      <c r="B150">
        <f>IF($A150="","",IFERROR(IF(INDEX('Per Invoice'!$A$2:$A$201,MATCH($A150,'Per Invoice'!$B$2:$B$201,0))=0,"",INDEX('Per Invoice'!$A$2:$A$201,MATCH($A150,'Per Invoice'!$B$2:$B$201,0))),""))</f>
        <v/>
      </c>
      <c r="G150" s="7">
        <f>IF($A150="","",F150*T150/100)</f>
        <v/>
      </c>
      <c r="J150" s="7" t="n"/>
      <c r="K150" s="7" t="n"/>
      <c r="L150" s="7" t="n"/>
      <c r="O150" s="11" t="n"/>
      <c r="R150">
        <f>IF($A150="","",IF($X150=1,Settings!$C$6,Settings!$C$7)*1)</f>
        <v/>
      </c>
      <c r="S150" s="7">
        <f>IF($A150="","",R150*L150)</f>
        <v/>
      </c>
      <c r="T150" s="7">
        <f>IF($A150="","",L150-S150)</f>
        <v/>
      </c>
      <c r="U150" s="7">
        <f>IF($A150="","",T150-G150)</f>
        <v/>
      </c>
      <c r="V150">
        <f>IF($A150="","",IF(COUNTIF($A$2:$A150,$A150)=1,1,0))</f>
        <v/>
      </c>
      <c r="W150">
        <f>IF($V150=1,SUMPRODUCT(--($Y$2:$Y$501&lt;$Y150))+1,"")</f>
        <v/>
      </c>
      <c r="X150">
        <f>IF($A150="","",IF(OR($Q150=TRUE(),$Q150="TRUE"),1,0))</f>
        <v/>
      </c>
      <c r="Y150">
        <f>IF($V150=1,IFERROR(VALUE(MID($A150,2,20)),1000000000)+ROW()/100000,"")</f>
        <v/>
      </c>
    </row>
    <row r="151">
      <c r="B151">
        <f>IF($A151="","",IFERROR(IF(INDEX('Per Invoice'!$A$2:$A$201,MATCH($A151,'Per Invoice'!$B$2:$B$201,0))=0,"",INDEX('Per Invoice'!$A$2:$A$201,MATCH($A151,'Per Invoice'!$B$2:$B$201,0))),""))</f>
        <v/>
      </c>
      <c r="G151" s="7">
        <f>IF($A151="","",F151*T151/100)</f>
        <v/>
      </c>
      <c r="J151" s="7" t="n"/>
      <c r="K151" s="7" t="n"/>
      <c r="L151" s="7" t="n"/>
      <c r="O151" s="11" t="n"/>
      <c r="R151">
        <f>IF($A151="","",IF($X151=1,Settings!$C$6,Settings!$C$7)*1)</f>
        <v/>
      </c>
      <c r="S151" s="7">
        <f>IF($A151="","",R151*L151)</f>
        <v/>
      </c>
      <c r="T151" s="7">
        <f>IF($A151="","",L151-S151)</f>
        <v/>
      </c>
      <c r="U151" s="7">
        <f>IF($A151="","",T151-G151)</f>
        <v/>
      </c>
      <c r="V151">
        <f>IF($A151="","",IF(COUNTIF($A$2:$A151,$A151)=1,1,0))</f>
        <v/>
      </c>
      <c r="W151">
        <f>IF($V151=1,SUMPRODUCT(--($Y$2:$Y$501&lt;$Y151))+1,"")</f>
        <v/>
      </c>
      <c r="X151">
        <f>IF($A151="","",IF(OR($Q151=TRUE(),$Q151="TRUE"),1,0))</f>
        <v/>
      </c>
      <c r="Y151">
        <f>IF($V151=1,IFERROR(VALUE(MID($A151,2,20)),1000000000)+ROW()/100000,"")</f>
        <v/>
      </c>
    </row>
    <row r="152">
      <c r="B152">
        <f>IF($A152="","",IFERROR(IF(INDEX('Per Invoice'!$A$2:$A$201,MATCH($A152,'Per Invoice'!$B$2:$B$201,0))=0,"",INDEX('Per Invoice'!$A$2:$A$201,MATCH($A152,'Per Invoice'!$B$2:$B$201,0))),""))</f>
        <v/>
      </c>
      <c r="G152" s="7">
        <f>IF($A152="","",F152*T152/100)</f>
        <v/>
      </c>
      <c r="J152" s="7" t="n"/>
      <c r="K152" s="7" t="n"/>
      <c r="L152" s="7" t="n"/>
      <c r="O152" s="11" t="n"/>
      <c r="R152">
        <f>IF($A152="","",IF($X152=1,Settings!$C$6,Settings!$C$7)*1)</f>
        <v/>
      </c>
      <c r="S152" s="7">
        <f>IF($A152="","",R152*L152)</f>
        <v/>
      </c>
      <c r="T152" s="7">
        <f>IF($A152="","",L152-S152)</f>
        <v/>
      </c>
      <c r="U152" s="7">
        <f>IF($A152="","",T152-G152)</f>
        <v/>
      </c>
      <c r="V152">
        <f>IF($A152="","",IF(COUNTIF($A$2:$A152,$A152)=1,1,0))</f>
        <v/>
      </c>
      <c r="W152">
        <f>IF($V152=1,SUMPRODUCT(--($Y$2:$Y$501&lt;$Y152))+1,"")</f>
        <v/>
      </c>
      <c r="X152">
        <f>IF($A152="","",IF(OR($Q152=TRUE(),$Q152="TRUE"),1,0))</f>
        <v/>
      </c>
      <c r="Y152">
        <f>IF($V152=1,IFERROR(VALUE(MID($A152,2,20)),1000000000)+ROW()/100000,"")</f>
        <v/>
      </c>
    </row>
    <row r="153">
      <c r="B153">
        <f>IF($A153="","",IFERROR(IF(INDEX('Per Invoice'!$A$2:$A$201,MATCH($A153,'Per Invoice'!$B$2:$B$201,0))=0,"",INDEX('Per Invoice'!$A$2:$A$201,MATCH($A153,'Per Invoice'!$B$2:$B$201,0))),""))</f>
        <v/>
      </c>
      <c r="G153" s="7">
        <f>IF($A153="","",F153*T153/100)</f>
        <v/>
      </c>
      <c r="J153" s="7" t="n"/>
      <c r="K153" s="7" t="n"/>
      <c r="L153" s="7" t="n"/>
      <c r="O153" s="11" t="n"/>
      <c r="R153">
        <f>IF($A153="","",IF($X153=1,Settings!$C$6,Settings!$C$7)*1)</f>
        <v/>
      </c>
      <c r="S153" s="7">
        <f>IF($A153="","",R153*L153)</f>
        <v/>
      </c>
      <c r="T153" s="7">
        <f>IF($A153="","",L153-S153)</f>
        <v/>
      </c>
      <c r="U153" s="7">
        <f>IF($A153="","",T153-G153)</f>
        <v/>
      </c>
      <c r="V153">
        <f>IF($A153="","",IF(COUNTIF($A$2:$A153,$A153)=1,1,0))</f>
        <v/>
      </c>
      <c r="W153">
        <f>IF($V153=1,SUMPRODUCT(--($Y$2:$Y$501&lt;$Y153))+1,"")</f>
        <v/>
      </c>
      <c r="X153">
        <f>IF($A153="","",IF(OR($Q153=TRUE(),$Q153="TRUE"),1,0))</f>
        <v/>
      </c>
      <c r="Y153">
        <f>IF($V153=1,IFERROR(VALUE(MID($A153,2,20)),1000000000)+ROW()/100000,"")</f>
        <v/>
      </c>
    </row>
    <row r="154">
      <c r="B154">
        <f>IF($A154="","",IFERROR(IF(INDEX('Per Invoice'!$A$2:$A$201,MATCH($A154,'Per Invoice'!$B$2:$B$201,0))=0,"",INDEX('Per Invoice'!$A$2:$A$201,MATCH($A154,'Per Invoice'!$B$2:$B$201,0))),""))</f>
        <v/>
      </c>
      <c r="G154" s="7">
        <f>IF($A154="","",F154*T154/100)</f>
        <v/>
      </c>
      <c r="J154" s="7" t="n"/>
      <c r="K154" s="7" t="n"/>
      <c r="L154" s="7" t="n"/>
      <c r="O154" s="11" t="n"/>
      <c r="R154">
        <f>IF($A154="","",IF($X154=1,Settings!$C$6,Settings!$C$7)*1)</f>
        <v/>
      </c>
      <c r="S154" s="7">
        <f>IF($A154="","",R154*L154)</f>
        <v/>
      </c>
      <c r="T154" s="7">
        <f>IF($A154="","",L154-S154)</f>
        <v/>
      </c>
      <c r="U154" s="7">
        <f>IF($A154="","",T154-G154)</f>
        <v/>
      </c>
      <c r="V154">
        <f>IF($A154="","",IF(COUNTIF($A$2:$A154,$A154)=1,1,0))</f>
        <v/>
      </c>
      <c r="W154">
        <f>IF($V154=1,SUMPRODUCT(--($Y$2:$Y$501&lt;$Y154))+1,"")</f>
        <v/>
      </c>
      <c r="X154">
        <f>IF($A154="","",IF(OR($Q154=TRUE(),$Q154="TRUE"),1,0))</f>
        <v/>
      </c>
      <c r="Y154">
        <f>IF($V154=1,IFERROR(VALUE(MID($A154,2,20)),1000000000)+ROW()/100000,"")</f>
        <v/>
      </c>
    </row>
    <row r="155">
      <c r="B155">
        <f>IF($A155="","",IFERROR(IF(INDEX('Per Invoice'!$A$2:$A$201,MATCH($A155,'Per Invoice'!$B$2:$B$201,0))=0,"",INDEX('Per Invoice'!$A$2:$A$201,MATCH($A155,'Per Invoice'!$B$2:$B$201,0))),""))</f>
        <v/>
      </c>
      <c r="G155" s="7">
        <f>IF($A155="","",F155*T155/100)</f>
        <v/>
      </c>
      <c r="J155" s="7" t="n"/>
      <c r="K155" s="7" t="n"/>
      <c r="L155" s="7" t="n"/>
      <c r="O155" s="11" t="n"/>
      <c r="R155">
        <f>IF($A155="","",IF($X155=1,Settings!$C$6,Settings!$C$7)*1)</f>
        <v/>
      </c>
      <c r="S155" s="7">
        <f>IF($A155="","",R155*L155)</f>
        <v/>
      </c>
      <c r="T155" s="7">
        <f>IF($A155="","",L155-S155)</f>
        <v/>
      </c>
      <c r="U155" s="7">
        <f>IF($A155="","",T155-G155)</f>
        <v/>
      </c>
      <c r="V155">
        <f>IF($A155="","",IF(COUNTIF($A$2:$A155,$A155)=1,1,0))</f>
        <v/>
      </c>
      <c r="W155">
        <f>IF($V155=1,SUMPRODUCT(--($Y$2:$Y$501&lt;$Y155))+1,"")</f>
        <v/>
      </c>
      <c r="X155">
        <f>IF($A155="","",IF(OR($Q155=TRUE(),$Q155="TRUE"),1,0))</f>
        <v/>
      </c>
      <c r="Y155">
        <f>IF($V155=1,IFERROR(VALUE(MID($A155,2,20)),1000000000)+ROW()/100000,"")</f>
        <v/>
      </c>
    </row>
    <row r="156">
      <c r="B156">
        <f>IF($A156="","",IFERROR(IF(INDEX('Per Invoice'!$A$2:$A$201,MATCH($A156,'Per Invoice'!$B$2:$B$201,0))=0,"",INDEX('Per Invoice'!$A$2:$A$201,MATCH($A156,'Per Invoice'!$B$2:$B$201,0))),""))</f>
        <v/>
      </c>
      <c r="G156" s="7">
        <f>IF($A156="","",F156*T156/100)</f>
        <v/>
      </c>
      <c r="J156" s="7" t="n"/>
      <c r="K156" s="7" t="n"/>
      <c r="L156" s="7" t="n"/>
      <c r="O156" s="11" t="n"/>
      <c r="R156">
        <f>IF($A156="","",IF($X156=1,Settings!$C$6,Settings!$C$7)*1)</f>
        <v/>
      </c>
      <c r="S156" s="7">
        <f>IF($A156="","",R156*L156)</f>
        <v/>
      </c>
      <c r="T156" s="7">
        <f>IF($A156="","",L156-S156)</f>
        <v/>
      </c>
      <c r="U156" s="7">
        <f>IF($A156="","",T156-G156)</f>
        <v/>
      </c>
      <c r="V156">
        <f>IF($A156="","",IF(COUNTIF($A$2:$A156,$A156)=1,1,0))</f>
        <v/>
      </c>
      <c r="W156">
        <f>IF($V156=1,SUMPRODUCT(--($Y$2:$Y$501&lt;$Y156))+1,"")</f>
        <v/>
      </c>
      <c r="X156">
        <f>IF($A156="","",IF(OR($Q156=TRUE(),$Q156="TRUE"),1,0))</f>
        <v/>
      </c>
      <c r="Y156">
        <f>IF($V156=1,IFERROR(VALUE(MID($A156,2,20)),1000000000)+ROW()/100000,"")</f>
        <v/>
      </c>
    </row>
    <row r="157">
      <c r="B157">
        <f>IF($A157="","",IFERROR(IF(INDEX('Per Invoice'!$A$2:$A$201,MATCH($A157,'Per Invoice'!$B$2:$B$201,0))=0,"",INDEX('Per Invoice'!$A$2:$A$201,MATCH($A157,'Per Invoice'!$B$2:$B$201,0))),""))</f>
        <v/>
      </c>
      <c r="G157" s="7">
        <f>IF($A157="","",F157*T157/100)</f>
        <v/>
      </c>
      <c r="J157" s="7" t="n"/>
      <c r="K157" s="7" t="n"/>
      <c r="L157" s="7" t="n"/>
      <c r="O157" s="11" t="n"/>
      <c r="R157">
        <f>IF($A157="","",IF($X157=1,Settings!$C$6,Settings!$C$7)*1)</f>
        <v/>
      </c>
      <c r="S157" s="7">
        <f>IF($A157="","",R157*L157)</f>
        <v/>
      </c>
      <c r="T157" s="7">
        <f>IF($A157="","",L157-S157)</f>
        <v/>
      </c>
      <c r="U157" s="7">
        <f>IF($A157="","",T157-G157)</f>
        <v/>
      </c>
      <c r="V157">
        <f>IF($A157="","",IF(COUNTIF($A$2:$A157,$A157)=1,1,0))</f>
        <v/>
      </c>
      <c r="W157">
        <f>IF($V157=1,SUMPRODUCT(--($Y$2:$Y$501&lt;$Y157))+1,"")</f>
        <v/>
      </c>
      <c r="X157">
        <f>IF($A157="","",IF(OR($Q157=TRUE(),$Q157="TRUE"),1,0))</f>
        <v/>
      </c>
      <c r="Y157">
        <f>IF($V157=1,IFERROR(VALUE(MID($A157,2,20)),1000000000)+ROW()/100000,"")</f>
        <v/>
      </c>
    </row>
    <row r="158">
      <c r="B158">
        <f>IF($A158="","",IFERROR(IF(INDEX('Per Invoice'!$A$2:$A$201,MATCH($A158,'Per Invoice'!$B$2:$B$201,0))=0,"",INDEX('Per Invoice'!$A$2:$A$201,MATCH($A158,'Per Invoice'!$B$2:$B$201,0))),""))</f>
        <v/>
      </c>
      <c r="G158" s="7">
        <f>IF($A158="","",F158*T158/100)</f>
        <v/>
      </c>
      <c r="J158" s="7" t="n"/>
      <c r="K158" s="7" t="n"/>
      <c r="L158" s="7" t="n"/>
      <c r="O158" s="11" t="n"/>
      <c r="R158">
        <f>IF($A158="","",IF($X158=1,Settings!$C$6,Settings!$C$7)*1)</f>
        <v/>
      </c>
      <c r="S158" s="7">
        <f>IF($A158="","",R158*L158)</f>
        <v/>
      </c>
      <c r="T158" s="7">
        <f>IF($A158="","",L158-S158)</f>
        <v/>
      </c>
      <c r="U158" s="7">
        <f>IF($A158="","",T158-G158)</f>
        <v/>
      </c>
      <c r="V158">
        <f>IF($A158="","",IF(COUNTIF($A$2:$A158,$A158)=1,1,0))</f>
        <v/>
      </c>
      <c r="W158">
        <f>IF($V158=1,SUMPRODUCT(--($Y$2:$Y$501&lt;$Y158))+1,"")</f>
        <v/>
      </c>
      <c r="X158">
        <f>IF($A158="","",IF(OR($Q158=TRUE(),$Q158="TRUE"),1,0))</f>
        <v/>
      </c>
      <c r="Y158">
        <f>IF($V158=1,IFERROR(VALUE(MID($A158,2,20)),1000000000)+ROW()/100000,"")</f>
        <v/>
      </c>
    </row>
    <row r="159">
      <c r="B159">
        <f>IF($A159="","",IFERROR(IF(INDEX('Per Invoice'!$A$2:$A$201,MATCH($A159,'Per Invoice'!$B$2:$B$201,0))=0,"",INDEX('Per Invoice'!$A$2:$A$201,MATCH($A159,'Per Invoice'!$B$2:$B$201,0))),""))</f>
        <v/>
      </c>
      <c r="G159" s="7">
        <f>IF($A159="","",F159*T159/100)</f>
        <v/>
      </c>
      <c r="J159" s="7" t="n"/>
      <c r="K159" s="7" t="n"/>
      <c r="L159" s="7" t="n"/>
      <c r="O159" s="11" t="n"/>
      <c r="R159">
        <f>IF($A159="","",IF($X159=1,Settings!$C$6,Settings!$C$7)*1)</f>
        <v/>
      </c>
      <c r="S159" s="7">
        <f>IF($A159="","",R159*L159)</f>
        <v/>
      </c>
      <c r="T159" s="7">
        <f>IF($A159="","",L159-S159)</f>
        <v/>
      </c>
      <c r="U159" s="7">
        <f>IF($A159="","",T159-G159)</f>
        <v/>
      </c>
      <c r="V159">
        <f>IF($A159="","",IF(COUNTIF($A$2:$A159,$A159)=1,1,0))</f>
        <v/>
      </c>
      <c r="W159">
        <f>IF($V159=1,SUMPRODUCT(--($Y$2:$Y$501&lt;$Y159))+1,"")</f>
        <v/>
      </c>
      <c r="X159">
        <f>IF($A159="","",IF(OR($Q159=TRUE(),$Q159="TRUE"),1,0))</f>
        <v/>
      </c>
      <c r="Y159">
        <f>IF($V159=1,IFERROR(VALUE(MID($A159,2,20)),1000000000)+ROW()/100000,"")</f>
        <v/>
      </c>
    </row>
    <row r="160">
      <c r="B160">
        <f>IF($A160="","",IFERROR(IF(INDEX('Per Invoice'!$A$2:$A$201,MATCH($A160,'Per Invoice'!$B$2:$B$201,0))=0,"",INDEX('Per Invoice'!$A$2:$A$201,MATCH($A160,'Per Invoice'!$B$2:$B$201,0))),""))</f>
        <v/>
      </c>
      <c r="G160" s="7">
        <f>IF($A160="","",F160*T160/100)</f>
        <v/>
      </c>
      <c r="J160" s="7" t="n"/>
      <c r="K160" s="7" t="n"/>
      <c r="L160" s="7" t="n"/>
      <c r="O160" s="11" t="n"/>
      <c r="R160">
        <f>IF($A160="","",IF($X160=1,Settings!$C$6,Settings!$C$7)*1)</f>
        <v/>
      </c>
      <c r="S160" s="7">
        <f>IF($A160="","",R160*L160)</f>
        <v/>
      </c>
      <c r="T160" s="7">
        <f>IF($A160="","",L160-S160)</f>
        <v/>
      </c>
      <c r="U160" s="7">
        <f>IF($A160="","",T160-G160)</f>
        <v/>
      </c>
      <c r="V160">
        <f>IF($A160="","",IF(COUNTIF($A$2:$A160,$A160)=1,1,0))</f>
        <v/>
      </c>
      <c r="W160">
        <f>IF($V160=1,SUMPRODUCT(--($Y$2:$Y$501&lt;$Y160))+1,"")</f>
        <v/>
      </c>
      <c r="X160">
        <f>IF($A160="","",IF(OR($Q160=TRUE(),$Q160="TRUE"),1,0))</f>
        <v/>
      </c>
      <c r="Y160">
        <f>IF($V160=1,IFERROR(VALUE(MID($A160,2,20)),1000000000)+ROW()/100000,"")</f>
        <v/>
      </c>
    </row>
    <row r="161">
      <c r="B161">
        <f>IF($A161="","",IFERROR(IF(INDEX('Per Invoice'!$A$2:$A$201,MATCH($A161,'Per Invoice'!$B$2:$B$201,0))=0,"",INDEX('Per Invoice'!$A$2:$A$201,MATCH($A161,'Per Invoice'!$B$2:$B$201,0))),""))</f>
        <v/>
      </c>
      <c r="G161" s="7">
        <f>IF($A161="","",F161*T161/100)</f>
        <v/>
      </c>
      <c r="J161" s="7" t="n"/>
      <c r="K161" s="7" t="n"/>
      <c r="L161" s="7" t="n"/>
      <c r="O161" s="11" t="n"/>
      <c r="R161">
        <f>IF($A161="","",IF($X161=1,Settings!$C$6,Settings!$C$7)*1)</f>
        <v/>
      </c>
      <c r="S161" s="7">
        <f>IF($A161="","",R161*L161)</f>
        <v/>
      </c>
      <c r="T161" s="7">
        <f>IF($A161="","",L161-S161)</f>
        <v/>
      </c>
      <c r="U161" s="7">
        <f>IF($A161="","",T161-G161)</f>
        <v/>
      </c>
      <c r="V161">
        <f>IF($A161="","",IF(COUNTIF($A$2:$A161,$A161)=1,1,0))</f>
        <v/>
      </c>
      <c r="W161">
        <f>IF($V161=1,SUMPRODUCT(--($Y$2:$Y$501&lt;$Y161))+1,"")</f>
        <v/>
      </c>
      <c r="X161">
        <f>IF($A161="","",IF(OR($Q161=TRUE(),$Q161="TRUE"),1,0))</f>
        <v/>
      </c>
      <c r="Y161">
        <f>IF($V161=1,IFERROR(VALUE(MID($A161,2,20)),1000000000)+ROW()/100000,"")</f>
        <v/>
      </c>
    </row>
    <row r="162">
      <c r="B162">
        <f>IF($A162="","",IFERROR(IF(INDEX('Per Invoice'!$A$2:$A$201,MATCH($A162,'Per Invoice'!$B$2:$B$201,0))=0,"",INDEX('Per Invoice'!$A$2:$A$201,MATCH($A162,'Per Invoice'!$B$2:$B$201,0))),""))</f>
        <v/>
      </c>
      <c r="G162" s="7">
        <f>IF($A162="","",F162*T162/100)</f>
        <v/>
      </c>
      <c r="J162" s="7" t="n"/>
      <c r="K162" s="7" t="n"/>
      <c r="L162" s="7" t="n"/>
      <c r="O162" s="11" t="n"/>
      <c r="R162">
        <f>IF($A162="","",IF($X162=1,Settings!$C$6,Settings!$C$7)*1)</f>
        <v/>
      </c>
      <c r="S162" s="7">
        <f>IF($A162="","",R162*L162)</f>
        <v/>
      </c>
      <c r="T162" s="7">
        <f>IF($A162="","",L162-S162)</f>
        <v/>
      </c>
      <c r="U162" s="7">
        <f>IF($A162="","",T162-G162)</f>
        <v/>
      </c>
      <c r="V162">
        <f>IF($A162="","",IF(COUNTIF($A$2:$A162,$A162)=1,1,0))</f>
        <v/>
      </c>
      <c r="W162">
        <f>IF($V162=1,SUMPRODUCT(--($Y$2:$Y$501&lt;$Y162))+1,"")</f>
        <v/>
      </c>
      <c r="X162">
        <f>IF($A162="","",IF(OR($Q162=TRUE(),$Q162="TRUE"),1,0))</f>
        <v/>
      </c>
      <c r="Y162">
        <f>IF($V162=1,IFERROR(VALUE(MID($A162,2,20)),1000000000)+ROW()/100000,"")</f>
        <v/>
      </c>
    </row>
    <row r="163">
      <c r="B163">
        <f>IF($A163="","",IFERROR(IF(INDEX('Per Invoice'!$A$2:$A$201,MATCH($A163,'Per Invoice'!$B$2:$B$201,0))=0,"",INDEX('Per Invoice'!$A$2:$A$201,MATCH($A163,'Per Invoice'!$B$2:$B$201,0))),""))</f>
        <v/>
      </c>
      <c r="G163" s="7">
        <f>IF($A163="","",F163*T163/100)</f>
        <v/>
      </c>
      <c r="J163" s="7" t="n"/>
      <c r="K163" s="7" t="n"/>
      <c r="L163" s="7" t="n"/>
      <c r="O163" s="11" t="n"/>
      <c r="R163">
        <f>IF($A163="","",IF($X163=1,Settings!$C$6,Settings!$C$7)*1)</f>
        <v/>
      </c>
      <c r="S163" s="7">
        <f>IF($A163="","",R163*L163)</f>
        <v/>
      </c>
      <c r="T163" s="7">
        <f>IF($A163="","",L163-S163)</f>
        <v/>
      </c>
      <c r="U163" s="7">
        <f>IF($A163="","",T163-G163)</f>
        <v/>
      </c>
      <c r="V163">
        <f>IF($A163="","",IF(COUNTIF($A$2:$A163,$A163)=1,1,0))</f>
        <v/>
      </c>
      <c r="W163">
        <f>IF($V163=1,SUMPRODUCT(--($Y$2:$Y$501&lt;$Y163))+1,"")</f>
        <v/>
      </c>
      <c r="X163">
        <f>IF($A163="","",IF(OR($Q163=TRUE(),$Q163="TRUE"),1,0))</f>
        <v/>
      </c>
      <c r="Y163">
        <f>IF($V163=1,IFERROR(VALUE(MID($A163,2,20)),1000000000)+ROW()/100000,"")</f>
        <v/>
      </c>
    </row>
    <row r="164">
      <c r="B164">
        <f>IF($A164="","",IFERROR(IF(INDEX('Per Invoice'!$A$2:$A$201,MATCH($A164,'Per Invoice'!$B$2:$B$201,0))=0,"",INDEX('Per Invoice'!$A$2:$A$201,MATCH($A164,'Per Invoice'!$B$2:$B$201,0))),""))</f>
        <v/>
      </c>
      <c r="G164" s="7">
        <f>IF($A164="","",F164*T164/100)</f>
        <v/>
      </c>
      <c r="J164" s="7" t="n"/>
      <c r="K164" s="7" t="n"/>
      <c r="L164" s="7" t="n"/>
      <c r="O164" s="11" t="n"/>
      <c r="R164">
        <f>IF($A164="","",IF($X164=1,Settings!$C$6,Settings!$C$7)*1)</f>
        <v/>
      </c>
      <c r="S164" s="7">
        <f>IF($A164="","",R164*L164)</f>
        <v/>
      </c>
      <c r="T164" s="7">
        <f>IF($A164="","",L164-S164)</f>
        <v/>
      </c>
      <c r="U164" s="7">
        <f>IF($A164="","",T164-G164)</f>
        <v/>
      </c>
      <c r="V164">
        <f>IF($A164="","",IF(COUNTIF($A$2:$A164,$A164)=1,1,0))</f>
        <v/>
      </c>
      <c r="W164">
        <f>IF($V164=1,SUMPRODUCT(--($Y$2:$Y$501&lt;$Y164))+1,"")</f>
        <v/>
      </c>
      <c r="X164">
        <f>IF($A164="","",IF(OR($Q164=TRUE(),$Q164="TRUE"),1,0))</f>
        <v/>
      </c>
      <c r="Y164">
        <f>IF($V164=1,IFERROR(VALUE(MID($A164,2,20)),1000000000)+ROW()/100000,"")</f>
        <v/>
      </c>
    </row>
    <row r="165">
      <c r="B165">
        <f>IF($A165="","",IFERROR(IF(INDEX('Per Invoice'!$A$2:$A$201,MATCH($A165,'Per Invoice'!$B$2:$B$201,0))=0,"",INDEX('Per Invoice'!$A$2:$A$201,MATCH($A165,'Per Invoice'!$B$2:$B$201,0))),""))</f>
        <v/>
      </c>
      <c r="G165" s="7">
        <f>IF($A165="","",F165*T165/100)</f>
        <v/>
      </c>
      <c r="J165" s="7" t="n"/>
      <c r="K165" s="7" t="n"/>
      <c r="L165" s="7" t="n"/>
      <c r="O165" s="11" t="n"/>
      <c r="R165">
        <f>IF($A165="","",IF($X165=1,Settings!$C$6,Settings!$C$7)*1)</f>
        <v/>
      </c>
      <c r="S165" s="7">
        <f>IF($A165="","",R165*L165)</f>
        <v/>
      </c>
      <c r="T165" s="7">
        <f>IF($A165="","",L165-S165)</f>
        <v/>
      </c>
      <c r="U165" s="7">
        <f>IF($A165="","",T165-G165)</f>
        <v/>
      </c>
      <c r="V165">
        <f>IF($A165="","",IF(COUNTIF($A$2:$A165,$A165)=1,1,0))</f>
        <v/>
      </c>
      <c r="W165">
        <f>IF($V165=1,SUMPRODUCT(--($Y$2:$Y$501&lt;$Y165))+1,"")</f>
        <v/>
      </c>
      <c r="X165">
        <f>IF($A165="","",IF(OR($Q165=TRUE(),$Q165="TRUE"),1,0))</f>
        <v/>
      </c>
      <c r="Y165">
        <f>IF($V165=1,IFERROR(VALUE(MID($A165,2,20)),1000000000)+ROW()/100000,"")</f>
        <v/>
      </c>
    </row>
    <row r="166">
      <c r="B166">
        <f>IF($A166="","",IFERROR(IF(INDEX('Per Invoice'!$A$2:$A$201,MATCH($A166,'Per Invoice'!$B$2:$B$201,0))=0,"",INDEX('Per Invoice'!$A$2:$A$201,MATCH($A166,'Per Invoice'!$B$2:$B$201,0))),""))</f>
        <v/>
      </c>
      <c r="G166" s="7">
        <f>IF($A166="","",F166*T166/100)</f>
        <v/>
      </c>
      <c r="J166" s="7" t="n"/>
      <c r="K166" s="7" t="n"/>
      <c r="L166" s="7" t="n"/>
      <c r="O166" s="11" t="n"/>
      <c r="R166">
        <f>IF($A166="","",IF($X166=1,Settings!$C$6,Settings!$C$7)*1)</f>
        <v/>
      </c>
      <c r="S166" s="7">
        <f>IF($A166="","",R166*L166)</f>
        <v/>
      </c>
      <c r="T166" s="7">
        <f>IF($A166="","",L166-S166)</f>
        <v/>
      </c>
      <c r="U166" s="7">
        <f>IF($A166="","",T166-G166)</f>
        <v/>
      </c>
      <c r="V166">
        <f>IF($A166="","",IF(COUNTIF($A$2:$A166,$A166)=1,1,0))</f>
        <v/>
      </c>
      <c r="W166">
        <f>IF($V166=1,SUMPRODUCT(--($Y$2:$Y$501&lt;$Y166))+1,"")</f>
        <v/>
      </c>
      <c r="X166">
        <f>IF($A166="","",IF(OR($Q166=TRUE(),$Q166="TRUE"),1,0))</f>
        <v/>
      </c>
      <c r="Y166">
        <f>IF($V166=1,IFERROR(VALUE(MID($A166,2,20)),1000000000)+ROW()/100000,"")</f>
        <v/>
      </c>
    </row>
    <row r="167">
      <c r="B167">
        <f>IF($A167="","",IFERROR(IF(INDEX('Per Invoice'!$A$2:$A$201,MATCH($A167,'Per Invoice'!$B$2:$B$201,0))=0,"",INDEX('Per Invoice'!$A$2:$A$201,MATCH($A167,'Per Invoice'!$B$2:$B$201,0))),""))</f>
        <v/>
      </c>
      <c r="G167" s="7">
        <f>IF($A167="","",F167*T167/100)</f>
        <v/>
      </c>
      <c r="J167" s="7" t="n"/>
      <c r="K167" s="7" t="n"/>
      <c r="L167" s="7" t="n"/>
      <c r="O167" s="11" t="n"/>
      <c r="R167">
        <f>IF($A167="","",IF($X167=1,Settings!$C$6,Settings!$C$7)*1)</f>
        <v/>
      </c>
      <c r="S167" s="7">
        <f>IF($A167="","",R167*L167)</f>
        <v/>
      </c>
      <c r="T167" s="7">
        <f>IF($A167="","",L167-S167)</f>
        <v/>
      </c>
      <c r="U167" s="7">
        <f>IF($A167="","",T167-G167)</f>
        <v/>
      </c>
      <c r="V167">
        <f>IF($A167="","",IF(COUNTIF($A$2:$A167,$A167)=1,1,0))</f>
        <v/>
      </c>
      <c r="W167">
        <f>IF($V167=1,SUMPRODUCT(--($Y$2:$Y$501&lt;$Y167))+1,"")</f>
        <v/>
      </c>
      <c r="X167">
        <f>IF($A167="","",IF(OR($Q167=TRUE(),$Q167="TRUE"),1,0))</f>
        <v/>
      </c>
      <c r="Y167">
        <f>IF($V167=1,IFERROR(VALUE(MID($A167,2,20)),1000000000)+ROW()/100000,"")</f>
        <v/>
      </c>
    </row>
    <row r="168">
      <c r="B168">
        <f>IF($A168="","",IFERROR(IF(INDEX('Per Invoice'!$A$2:$A$201,MATCH($A168,'Per Invoice'!$B$2:$B$201,0))=0,"",INDEX('Per Invoice'!$A$2:$A$201,MATCH($A168,'Per Invoice'!$B$2:$B$201,0))),""))</f>
        <v/>
      </c>
      <c r="G168" s="7">
        <f>IF($A168="","",F168*T168/100)</f>
        <v/>
      </c>
      <c r="J168" s="7" t="n"/>
      <c r="K168" s="7" t="n"/>
      <c r="L168" s="7" t="n"/>
      <c r="O168" s="11" t="n"/>
      <c r="R168">
        <f>IF($A168="","",IF($X168=1,Settings!$C$6,Settings!$C$7)*1)</f>
        <v/>
      </c>
      <c r="S168" s="7">
        <f>IF($A168="","",R168*L168)</f>
        <v/>
      </c>
      <c r="T168" s="7">
        <f>IF($A168="","",L168-S168)</f>
        <v/>
      </c>
      <c r="U168" s="7">
        <f>IF($A168="","",T168-G168)</f>
        <v/>
      </c>
      <c r="V168">
        <f>IF($A168="","",IF(COUNTIF($A$2:$A168,$A168)=1,1,0))</f>
        <v/>
      </c>
      <c r="W168">
        <f>IF($V168=1,SUMPRODUCT(--($Y$2:$Y$501&lt;$Y168))+1,"")</f>
        <v/>
      </c>
      <c r="X168">
        <f>IF($A168="","",IF(OR($Q168=TRUE(),$Q168="TRUE"),1,0))</f>
        <v/>
      </c>
      <c r="Y168">
        <f>IF($V168=1,IFERROR(VALUE(MID($A168,2,20)),1000000000)+ROW()/100000,"")</f>
        <v/>
      </c>
    </row>
    <row r="169">
      <c r="B169">
        <f>IF($A169="","",IFERROR(IF(INDEX('Per Invoice'!$A$2:$A$201,MATCH($A169,'Per Invoice'!$B$2:$B$201,0))=0,"",INDEX('Per Invoice'!$A$2:$A$201,MATCH($A169,'Per Invoice'!$B$2:$B$201,0))),""))</f>
        <v/>
      </c>
      <c r="G169" s="7">
        <f>IF($A169="","",F169*T169/100)</f>
        <v/>
      </c>
      <c r="J169" s="7" t="n"/>
      <c r="K169" s="7" t="n"/>
      <c r="L169" s="7" t="n"/>
      <c r="O169" s="11" t="n"/>
      <c r="R169">
        <f>IF($A169="","",IF($X169=1,Settings!$C$6,Settings!$C$7)*1)</f>
        <v/>
      </c>
      <c r="S169" s="7">
        <f>IF($A169="","",R169*L169)</f>
        <v/>
      </c>
      <c r="T169" s="7">
        <f>IF($A169="","",L169-S169)</f>
        <v/>
      </c>
      <c r="U169" s="7">
        <f>IF($A169="","",T169-G169)</f>
        <v/>
      </c>
      <c r="V169">
        <f>IF($A169="","",IF(COUNTIF($A$2:$A169,$A169)=1,1,0))</f>
        <v/>
      </c>
      <c r="W169">
        <f>IF($V169=1,SUMPRODUCT(--($Y$2:$Y$501&lt;$Y169))+1,"")</f>
        <v/>
      </c>
      <c r="X169">
        <f>IF($A169="","",IF(OR($Q169=TRUE(),$Q169="TRUE"),1,0))</f>
        <v/>
      </c>
      <c r="Y169">
        <f>IF($V169=1,IFERROR(VALUE(MID($A169,2,20)),1000000000)+ROW()/100000,"")</f>
        <v/>
      </c>
    </row>
    <row r="170">
      <c r="B170">
        <f>IF($A170="","",IFERROR(IF(INDEX('Per Invoice'!$A$2:$A$201,MATCH($A170,'Per Invoice'!$B$2:$B$201,0))=0,"",INDEX('Per Invoice'!$A$2:$A$201,MATCH($A170,'Per Invoice'!$B$2:$B$201,0))),""))</f>
        <v/>
      </c>
      <c r="G170" s="7">
        <f>IF($A170="","",F170*T170/100)</f>
        <v/>
      </c>
      <c r="J170" s="7" t="n"/>
      <c r="K170" s="7" t="n"/>
      <c r="L170" s="7" t="n"/>
      <c r="O170" s="11" t="n"/>
      <c r="R170">
        <f>IF($A170="","",IF($X170=1,Settings!$C$6,Settings!$C$7)*1)</f>
        <v/>
      </c>
      <c r="S170" s="7">
        <f>IF($A170="","",R170*L170)</f>
        <v/>
      </c>
      <c r="T170" s="7">
        <f>IF($A170="","",L170-S170)</f>
        <v/>
      </c>
      <c r="U170" s="7">
        <f>IF($A170="","",T170-G170)</f>
        <v/>
      </c>
      <c r="V170">
        <f>IF($A170="","",IF(COUNTIF($A$2:$A170,$A170)=1,1,0))</f>
        <v/>
      </c>
      <c r="W170">
        <f>IF($V170=1,SUMPRODUCT(--($Y$2:$Y$501&lt;$Y170))+1,"")</f>
        <v/>
      </c>
      <c r="X170">
        <f>IF($A170="","",IF(OR($Q170=TRUE(),$Q170="TRUE"),1,0))</f>
        <v/>
      </c>
      <c r="Y170">
        <f>IF($V170=1,IFERROR(VALUE(MID($A170,2,20)),1000000000)+ROW()/100000,"")</f>
        <v/>
      </c>
    </row>
    <row r="171">
      <c r="B171">
        <f>IF($A171="","",IFERROR(IF(INDEX('Per Invoice'!$A$2:$A$201,MATCH($A171,'Per Invoice'!$B$2:$B$201,0))=0,"",INDEX('Per Invoice'!$A$2:$A$201,MATCH($A171,'Per Invoice'!$B$2:$B$201,0))),""))</f>
        <v/>
      </c>
      <c r="G171" s="7">
        <f>IF($A171="","",F171*T171/100)</f>
        <v/>
      </c>
      <c r="J171" s="7" t="n"/>
      <c r="K171" s="7" t="n"/>
      <c r="L171" s="7" t="n"/>
      <c r="O171" s="11" t="n"/>
      <c r="R171">
        <f>IF($A171="","",IF($X171=1,Settings!$C$6,Settings!$C$7)*1)</f>
        <v/>
      </c>
      <c r="S171" s="7">
        <f>IF($A171="","",R171*L171)</f>
        <v/>
      </c>
      <c r="T171" s="7">
        <f>IF($A171="","",L171-S171)</f>
        <v/>
      </c>
      <c r="U171" s="7">
        <f>IF($A171="","",T171-G171)</f>
        <v/>
      </c>
      <c r="V171">
        <f>IF($A171="","",IF(COUNTIF($A$2:$A171,$A171)=1,1,0))</f>
        <v/>
      </c>
      <c r="W171">
        <f>IF($V171=1,SUMPRODUCT(--($Y$2:$Y$501&lt;$Y171))+1,"")</f>
        <v/>
      </c>
      <c r="X171">
        <f>IF($A171="","",IF(OR($Q171=TRUE(),$Q171="TRUE"),1,0))</f>
        <v/>
      </c>
      <c r="Y171">
        <f>IF($V171=1,IFERROR(VALUE(MID($A171,2,20)),1000000000)+ROW()/100000,"")</f>
        <v/>
      </c>
    </row>
    <row r="172">
      <c r="B172">
        <f>IF($A172="","",IFERROR(IF(INDEX('Per Invoice'!$A$2:$A$201,MATCH($A172,'Per Invoice'!$B$2:$B$201,0))=0,"",INDEX('Per Invoice'!$A$2:$A$201,MATCH($A172,'Per Invoice'!$B$2:$B$201,0))),""))</f>
        <v/>
      </c>
      <c r="G172" s="7">
        <f>IF($A172="","",F172*T172/100)</f>
        <v/>
      </c>
      <c r="J172" s="7" t="n"/>
      <c r="K172" s="7" t="n"/>
      <c r="L172" s="7" t="n"/>
      <c r="O172" s="11" t="n"/>
      <c r="R172">
        <f>IF($A172="","",IF($X172=1,Settings!$C$6,Settings!$C$7)*1)</f>
        <v/>
      </c>
      <c r="S172" s="7">
        <f>IF($A172="","",R172*L172)</f>
        <v/>
      </c>
      <c r="T172" s="7">
        <f>IF($A172="","",L172-S172)</f>
        <v/>
      </c>
      <c r="U172" s="7">
        <f>IF($A172="","",T172-G172)</f>
        <v/>
      </c>
      <c r="V172">
        <f>IF($A172="","",IF(COUNTIF($A$2:$A172,$A172)=1,1,0))</f>
        <v/>
      </c>
      <c r="W172">
        <f>IF($V172=1,SUMPRODUCT(--($Y$2:$Y$501&lt;$Y172))+1,"")</f>
        <v/>
      </c>
      <c r="X172">
        <f>IF($A172="","",IF(OR($Q172=TRUE(),$Q172="TRUE"),1,0))</f>
        <v/>
      </c>
      <c r="Y172">
        <f>IF($V172=1,IFERROR(VALUE(MID($A172,2,20)),1000000000)+ROW()/100000,"")</f>
        <v/>
      </c>
    </row>
    <row r="173">
      <c r="B173">
        <f>IF($A173="","",IFERROR(IF(INDEX('Per Invoice'!$A$2:$A$201,MATCH($A173,'Per Invoice'!$B$2:$B$201,0))=0,"",INDEX('Per Invoice'!$A$2:$A$201,MATCH($A173,'Per Invoice'!$B$2:$B$201,0))),""))</f>
        <v/>
      </c>
      <c r="G173" s="7">
        <f>IF($A173="","",F173*T173/100)</f>
        <v/>
      </c>
      <c r="J173" s="7" t="n"/>
      <c r="K173" s="7" t="n"/>
      <c r="L173" s="7" t="n"/>
      <c r="O173" s="11" t="n"/>
      <c r="R173">
        <f>IF($A173="","",IF($X173=1,Settings!$C$6,Settings!$C$7)*1)</f>
        <v/>
      </c>
      <c r="S173" s="7">
        <f>IF($A173="","",R173*L173)</f>
        <v/>
      </c>
      <c r="T173" s="7">
        <f>IF($A173="","",L173-S173)</f>
        <v/>
      </c>
      <c r="U173" s="7">
        <f>IF($A173="","",T173-G173)</f>
        <v/>
      </c>
      <c r="V173">
        <f>IF($A173="","",IF(COUNTIF($A$2:$A173,$A173)=1,1,0))</f>
        <v/>
      </c>
      <c r="W173">
        <f>IF($V173=1,SUMPRODUCT(--($Y$2:$Y$501&lt;$Y173))+1,"")</f>
        <v/>
      </c>
      <c r="X173">
        <f>IF($A173="","",IF(OR($Q173=TRUE(),$Q173="TRUE"),1,0))</f>
        <v/>
      </c>
      <c r="Y173">
        <f>IF($V173=1,IFERROR(VALUE(MID($A173,2,20)),1000000000)+ROW()/100000,"")</f>
        <v/>
      </c>
    </row>
    <row r="174">
      <c r="B174">
        <f>IF($A174="","",IFERROR(IF(INDEX('Per Invoice'!$A$2:$A$201,MATCH($A174,'Per Invoice'!$B$2:$B$201,0))=0,"",INDEX('Per Invoice'!$A$2:$A$201,MATCH($A174,'Per Invoice'!$B$2:$B$201,0))),""))</f>
        <v/>
      </c>
      <c r="G174" s="7">
        <f>IF($A174="","",F174*T174/100)</f>
        <v/>
      </c>
      <c r="J174" s="7" t="n"/>
      <c r="K174" s="7" t="n"/>
      <c r="L174" s="7" t="n"/>
      <c r="O174" s="11" t="n"/>
      <c r="R174">
        <f>IF($A174="","",IF($X174=1,Settings!$C$6,Settings!$C$7)*1)</f>
        <v/>
      </c>
      <c r="S174" s="7">
        <f>IF($A174="","",R174*L174)</f>
        <v/>
      </c>
      <c r="T174" s="7">
        <f>IF($A174="","",L174-S174)</f>
        <v/>
      </c>
      <c r="U174" s="7">
        <f>IF($A174="","",T174-G174)</f>
        <v/>
      </c>
      <c r="V174">
        <f>IF($A174="","",IF(COUNTIF($A$2:$A174,$A174)=1,1,0))</f>
        <v/>
      </c>
      <c r="W174">
        <f>IF($V174=1,SUMPRODUCT(--($Y$2:$Y$501&lt;$Y174))+1,"")</f>
        <v/>
      </c>
      <c r="X174">
        <f>IF($A174="","",IF(OR($Q174=TRUE(),$Q174="TRUE"),1,0))</f>
        <v/>
      </c>
      <c r="Y174">
        <f>IF($V174=1,IFERROR(VALUE(MID($A174,2,20)),1000000000)+ROW()/100000,"")</f>
        <v/>
      </c>
    </row>
    <row r="175">
      <c r="B175">
        <f>IF($A175="","",IFERROR(IF(INDEX('Per Invoice'!$A$2:$A$201,MATCH($A175,'Per Invoice'!$B$2:$B$201,0))=0,"",INDEX('Per Invoice'!$A$2:$A$201,MATCH($A175,'Per Invoice'!$B$2:$B$201,0))),""))</f>
        <v/>
      </c>
      <c r="G175" s="7">
        <f>IF($A175="","",F175*T175/100)</f>
        <v/>
      </c>
      <c r="J175" s="7" t="n"/>
      <c r="K175" s="7" t="n"/>
      <c r="L175" s="7" t="n"/>
      <c r="O175" s="11" t="n"/>
      <c r="R175">
        <f>IF($A175="","",IF($X175=1,Settings!$C$6,Settings!$C$7)*1)</f>
        <v/>
      </c>
      <c r="S175" s="7">
        <f>IF($A175="","",R175*L175)</f>
        <v/>
      </c>
      <c r="T175" s="7">
        <f>IF($A175="","",L175-S175)</f>
        <v/>
      </c>
      <c r="U175" s="7">
        <f>IF($A175="","",T175-G175)</f>
        <v/>
      </c>
      <c r="V175">
        <f>IF($A175="","",IF(COUNTIF($A$2:$A175,$A175)=1,1,0))</f>
        <v/>
      </c>
      <c r="W175">
        <f>IF($V175=1,SUMPRODUCT(--($Y$2:$Y$501&lt;$Y175))+1,"")</f>
        <v/>
      </c>
      <c r="X175">
        <f>IF($A175="","",IF(OR($Q175=TRUE(),$Q175="TRUE"),1,0))</f>
        <v/>
      </c>
      <c r="Y175">
        <f>IF($V175=1,IFERROR(VALUE(MID($A175,2,20)),1000000000)+ROW()/100000,"")</f>
        <v/>
      </c>
    </row>
    <row r="176">
      <c r="B176">
        <f>IF($A176="","",IFERROR(IF(INDEX('Per Invoice'!$A$2:$A$201,MATCH($A176,'Per Invoice'!$B$2:$B$201,0))=0,"",INDEX('Per Invoice'!$A$2:$A$201,MATCH($A176,'Per Invoice'!$B$2:$B$201,0))),""))</f>
        <v/>
      </c>
      <c r="G176" s="7">
        <f>IF($A176="","",F176*T176/100)</f>
        <v/>
      </c>
      <c r="J176" s="7" t="n"/>
      <c r="K176" s="7" t="n"/>
      <c r="L176" s="7" t="n"/>
      <c r="O176" s="11" t="n"/>
      <c r="R176">
        <f>IF($A176="","",IF($X176=1,Settings!$C$6,Settings!$C$7)*1)</f>
        <v/>
      </c>
      <c r="S176" s="7">
        <f>IF($A176="","",R176*L176)</f>
        <v/>
      </c>
      <c r="T176" s="7">
        <f>IF($A176="","",L176-S176)</f>
        <v/>
      </c>
      <c r="U176" s="7">
        <f>IF($A176="","",T176-G176)</f>
        <v/>
      </c>
      <c r="V176">
        <f>IF($A176="","",IF(COUNTIF($A$2:$A176,$A176)=1,1,0))</f>
        <v/>
      </c>
      <c r="W176">
        <f>IF($V176=1,SUMPRODUCT(--($Y$2:$Y$501&lt;$Y176))+1,"")</f>
        <v/>
      </c>
      <c r="X176">
        <f>IF($A176="","",IF(OR($Q176=TRUE(),$Q176="TRUE"),1,0))</f>
        <v/>
      </c>
      <c r="Y176">
        <f>IF($V176=1,IFERROR(VALUE(MID($A176,2,20)),1000000000)+ROW()/100000,"")</f>
        <v/>
      </c>
    </row>
    <row r="177">
      <c r="B177">
        <f>IF($A177="","",IFERROR(IF(INDEX('Per Invoice'!$A$2:$A$201,MATCH($A177,'Per Invoice'!$B$2:$B$201,0))=0,"",INDEX('Per Invoice'!$A$2:$A$201,MATCH($A177,'Per Invoice'!$B$2:$B$201,0))),""))</f>
        <v/>
      </c>
      <c r="G177" s="7">
        <f>IF($A177="","",F177*T177/100)</f>
        <v/>
      </c>
      <c r="J177" s="7" t="n"/>
      <c r="K177" s="7" t="n"/>
      <c r="L177" s="7" t="n"/>
      <c r="O177" s="11" t="n"/>
      <c r="R177">
        <f>IF($A177="","",IF($X177=1,Settings!$C$6,Settings!$C$7)*1)</f>
        <v/>
      </c>
      <c r="S177" s="7">
        <f>IF($A177="","",R177*L177)</f>
        <v/>
      </c>
      <c r="T177" s="7">
        <f>IF($A177="","",L177-S177)</f>
        <v/>
      </c>
      <c r="U177" s="7">
        <f>IF($A177="","",T177-G177)</f>
        <v/>
      </c>
      <c r="V177">
        <f>IF($A177="","",IF(COUNTIF($A$2:$A177,$A177)=1,1,0))</f>
        <v/>
      </c>
      <c r="W177">
        <f>IF($V177=1,SUMPRODUCT(--($Y$2:$Y$501&lt;$Y177))+1,"")</f>
        <v/>
      </c>
      <c r="X177">
        <f>IF($A177="","",IF(OR($Q177=TRUE(),$Q177="TRUE"),1,0))</f>
        <v/>
      </c>
      <c r="Y177">
        <f>IF($V177=1,IFERROR(VALUE(MID($A177,2,20)),1000000000)+ROW()/100000,"")</f>
        <v/>
      </c>
    </row>
    <row r="178">
      <c r="B178">
        <f>IF($A178="","",IFERROR(IF(INDEX('Per Invoice'!$A$2:$A$201,MATCH($A178,'Per Invoice'!$B$2:$B$201,0))=0,"",INDEX('Per Invoice'!$A$2:$A$201,MATCH($A178,'Per Invoice'!$B$2:$B$201,0))),""))</f>
        <v/>
      </c>
      <c r="G178" s="7">
        <f>IF($A178="","",F178*T178/100)</f>
        <v/>
      </c>
      <c r="J178" s="7" t="n"/>
      <c r="K178" s="7" t="n"/>
      <c r="L178" s="7" t="n"/>
      <c r="O178" s="11" t="n"/>
      <c r="R178">
        <f>IF($A178="","",IF($X178=1,Settings!$C$6,Settings!$C$7)*1)</f>
        <v/>
      </c>
      <c r="S178" s="7">
        <f>IF($A178="","",R178*L178)</f>
        <v/>
      </c>
      <c r="T178" s="7">
        <f>IF($A178="","",L178-S178)</f>
        <v/>
      </c>
      <c r="U178" s="7">
        <f>IF($A178="","",T178-G178)</f>
        <v/>
      </c>
      <c r="V178">
        <f>IF($A178="","",IF(COUNTIF($A$2:$A178,$A178)=1,1,0))</f>
        <v/>
      </c>
      <c r="W178">
        <f>IF($V178=1,SUMPRODUCT(--($Y$2:$Y$501&lt;$Y178))+1,"")</f>
        <v/>
      </c>
      <c r="X178">
        <f>IF($A178="","",IF(OR($Q178=TRUE(),$Q178="TRUE"),1,0))</f>
        <v/>
      </c>
      <c r="Y178">
        <f>IF($V178=1,IFERROR(VALUE(MID($A178,2,20)),1000000000)+ROW()/100000,"")</f>
        <v/>
      </c>
    </row>
    <row r="179">
      <c r="B179">
        <f>IF($A179="","",IFERROR(IF(INDEX('Per Invoice'!$A$2:$A$201,MATCH($A179,'Per Invoice'!$B$2:$B$201,0))=0,"",INDEX('Per Invoice'!$A$2:$A$201,MATCH($A179,'Per Invoice'!$B$2:$B$201,0))),""))</f>
        <v/>
      </c>
      <c r="G179" s="7">
        <f>IF($A179="","",F179*T179/100)</f>
        <v/>
      </c>
      <c r="J179" s="7" t="n"/>
      <c r="K179" s="7" t="n"/>
      <c r="L179" s="7" t="n"/>
      <c r="O179" s="11" t="n"/>
      <c r="R179">
        <f>IF($A179="","",IF($X179=1,Settings!$C$6,Settings!$C$7)*1)</f>
        <v/>
      </c>
      <c r="S179" s="7">
        <f>IF($A179="","",R179*L179)</f>
        <v/>
      </c>
      <c r="T179" s="7">
        <f>IF($A179="","",L179-S179)</f>
        <v/>
      </c>
      <c r="U179" s="7">
        <f>IF($A179="","",T179-G179)</f>
        <v/>
      </c>
      <c r="V179">
        <f>IF($A179="","",IF(COUNTIF($A$2:$A179,$A179)=1,1,0))</f>
        <v/>
      </c>
      <c r="W179">
        <f>IF($V179=1,SUMPRODUCT(--($Y$2:$Y$501&lt;$Y179))+1,"")</f>
        <v/>
      </c>
      <c r="X179">
        <f>IF($A179="","",IF(OR($Q179=TRUE(),$Q179="TRUE"),1,0))</f>
        <v/>
      </c>
      <c r="Y179">
        <f>IF($V179=1,IFERROR(VALUE(MID($A179,2,20)),1000000000)+ROW()/100000,"")</f>
        <v/>
      </c>
    </row>
    <row r="180">
      <c r="B180">
        <f>IF($A180="","",IFERROR(IF(INDEX('Per Invoice'!$A$2:$A$201,MATCH($A180,'Per Invoice'!$B$2:$B$201,0))=0,"",INDEX('Per Invoice'!$A$2:$A$201,MATCH($A180,'Per Invoice'!$B$2:$B$201,0))),""))</f>
        <v/>
      </c>
      <c r="G180" s="7">
        <f>IF($A180="","",F180*T180/100)</f>
        <v/>
      </c>
      <c r="J180" s="7" t="n"/>
      <c r="K180" s="7" t="n"/>
      <c r="L180" s="7" t="n"/>
      <c r="O180" s="11" t="n"/>
      <c r="R180">
        <f>IF($A180="","",IF($X180=1,Settings!$C$6,Settings!$C$7)*1)</f>
        <v/>
      </c>
      <c r="S180" s="7">
        <f>IF($A180="","",R180*L180)</f>
        <v/>
      </c>
      <c r="T180" s="7">
        <f>IF($A180="","",L180-S180)</f>
        <v/>
      </c>
      <c r="U180" s="7">
        <f>IF($A180="","",T180-G180)</f>
        <v/>
      </c>
      <c r="V180">
        <f>IF($A180="","",IF(COUNTIF($A$2:$A180,$A180)=1,1,0))</f>
        <v/>
      </c>
      <c r="W180">
        <f>IF($V180=1,SUMPRODUCT(--($Y$2:$Y$501&lt;$Y180))+1,"")</f>
        <v/>
      </c>
      <c r="X180">
        <f>IF($A180="","",IF(OR($Q180=TRUE(),$Q180="TRUE"),1,0))</f>
        <v/>
      </c>
      <c r="Y180">
        <f>IF($V180=1,IFERROR(VALUE(MID($A180,2,20)),1000000000)+ROW()/100000,"")</f>
        <v/>
      </c>
    </row>
    <row r="181">
      <c r="B181">
        <f>IF($A181="","",IFERROR(IF(INDEX('Per Invoice'!$A$2:$A$201,MATCH($A181,'Per Invoice'!$B$2:$B$201,0))=0,"",INDEX('Per Invoice'!$A$2:$A$201,MATCH($A181,'Per Invoice'!$B$2:$B$201,0))),""))</f>
        <v/>
      </c>
      <c r="G181" s="7">
        <f>IF($A181="","",F181*T181/100)</f>
        <v/>
      </c>
      <c r="J181" s="7" t="n"/>
      <c r="K181" s="7" t="n"/>
      <c r="L181" s="7" t="n"/>
      <c r="O181" s="11" t="n"/>
      <c r="R181">
        <f>IF($A181="","",IF($X181=1,Settings!$C$6,Settings!$C$7)*1)</f>
        <v/>
      </c>
      <c r="S181" s="7">
        <f>IF($A181="","",R181*L181)</f>
        <v/>
      </c>
      <c r="T181" s="7">
        <f>IF($A181="","",L181-S181)</f>
        <v/>
      </c>
      <c r="U181" s="7">
        <f>IF($A181="","",T181-G181)</f>
        <v/>
      </c>
      <c r="V181">
        <f>IF($A181="","",IF(COUNTIF($A$2:$A181,$A181)=1,1,0))</f>
        <v/>
      </c>
      <c r="W181">
        <f>IF($V181=1,SUMPRODUCT(--($Y$2:$Y$501&lt;$Y181))+1,"")</f>
        <v/>
      </c>
      <c r="X181">
        <f>IF($A181="","",IF(OR($Q181=TRUE(),$Q181="TRUE"),1,0))</f>
        <v/>
      </c>
      <c r="Y181">
        <f>IF($V181=1,IFERROR(VALUE(MID($A181,2,20)),1000000000)+ROW()/100000,"")</f>
        <v/>
      </c>
    </row>
    <row r="182">
      <c r="B182">
        <f>IF($A182="","",IFERROR(IF(INDEX('Per Invoice'!$A$2:$A$201,MATCH($A182,'Per Invoice'!$B$2:$B$201,0))=0,"",INDEX('Per Invoice'!$A$2:$A$201,MATCH($A182,'Per Invoice'!$B$2:$B$201,0))),""))</f>
        <v/>
      </c>
      <c r="G182" s="7">
        <f>IF($A182="","",F182*T182/100)</f>
        <v/>
      </c>
      <c r="J182" s="7" t="n"/>
      <c r="K182" s="7" t="n"/>
      <c r="L182" s="7" t="n"/>
      <c r="O182" s="11" t="n"/>
      <c r="R182">
        <f>IF($A182="","",IF($X182=1,Settings!$C$6,Settings!$C$7)*1)</f>
        <v/>
      </c>
      <c r="S182" s="7">
        <f>IF($A182="","",R182*L182)</f>
        <v/>
      </c>
      <c r="T182" s="7">
        <f>IF($A182="","",L182-S182)</f>
        <v/>
      </c>
      <c r="U182" s="7">
        <f>IF($A182="","",T182-G182)</f>
        <v/>
      </c>
      <c r="V182">
        <f>IF($A182="","",IF(COUNTIF($A$2:$A182,$A182)=1,1,0))</f>
        <v/>
      </c>
      <c r="W182">
        <f>IF($V182=1,SUMPRODUCT(--($Y$2:$Y$501&lt;$Y182))+1,"")</f>
        <v/>
      </c>
      <c r="X182">
        <f>IF($A182="","",IF(OR($Q182=TRUE(),$Q182="TRUE"),1,0))</f>
        <v/>
      </c>
      <c r="Y182">
        <f>IF($V182=1,IFERROR(VALUE(MID($A182,2,20)),1000000000)+ROW()/100000,"")</f>
        <v/>
      </c>
    </row>
    <row r="183">
      <c r="B183">
        <f>IF($A183="","",IFERROR(IF(INDEX('Per Invoice'!$A$2:$A$201,MATCH($A183,'Per Invoice'!$B$2:$B$201,0))=0,"",INDEX('Per Invoice'!$A$2:$A$201,MATCH($A183,'Per Invoice'!$B$2:$B$201,0))),""))</f>
        <v/>
      </c>
      <c r="G183" s="7">
        <f>IF($A183="","",F183*T183/100)</f>
        <v/>
      </c>
      <c r="J183" s="7" t="n"/>
      <c r="K183" s="7" t="n"/>
      <c r="L183" s="7" t="n"/>
      <c r="O183" s="11" t="n"/>
      <c r="R183">
        <f>IF($A183="","",IF($X183=1,Settings!$C$6,Settings!$C$7)*1)</f>
        <v/>
      </c>
      <c r="S183" s="7">
        <f>IF($A183="","",R183*L183)</f>
        <v/>
      </c>
      <c r="T183" s="7">
        <f>IF($A183="","",L183-S183)</f>
        <v/>
      </c>
      <c r="U183" s="7">
        <f>IF($A183="","",T183-G183)</f>
        <v/>
      </c>
      <c r="V183">
        <f>IF($A183="","",IF(COUNTIF($A$2:$A183,$A183)=1,1,0))</f>
        <v/>
      </c>
      <c r="W183">
        <f>IF($V183=1,SUMPRODUCT(--($Y$2:$Y$501&lt;$Y183))+1,"")</f>
        <v/>
      </c>
      <c r="X183">
        <f>IF($A183="","",IF(OR($Q183=TRUE(),$Q183="TRUE"),1,0))</f>
        <v/>
      </c>
      <c r="Y183">
        <f>IF($V183=1,IFERROR(VALUE(MID($A183,2,20)),1000000000)+ROW()/100000,"")</f>
        <v/>
      </c>
    </row>
    <row r="184">
      <c r="B184">
        <f>IF($A184="","",IFERROR(IF(INDEX('Per Invoice'!$A$2:$A$201,MATCH($A184,'Per Invoice'!$B$2:$B$201,0))=0,"",INDEX('Per Invoice'!$A$2:$A$201,MATCH($A184,'Per Invoice'!$B$2:$B$201,0))),""))</f>
        <v/>
      </c>
      <c r="G184" s="7">
        <f>IF($A184="","",F184*T184/100)</f>
        <v/>
      </c>
      <c r="J184" s="7" t="n"/>
      <c r="K184" s="7" t="n"/>
      <c r="L184" s="7" t="n"/>
      <c r="O184" s="11" t="n"/>
      <c r="R184">
        <f>IF($A184="","",IF($X184=1,Settings!$C$6,Settings!$C$7)*1)</f>
        <v/>
      </c>
      <c r="S184" s="7">
        <f>IF($A184="","",R184*L184)</f>
        <v/>
      </c>
      <c r="T184" s="7">
        <f>IF($A184="","",L184-S184)</f>
        <v/>
      </c>
      <c r="U184" s="7">
        <f>IF($A184="","",T184-G184)</f>
        <v/>
      </c>
      <c r="V184">
        <f>IF($A184="","",IF(COUNTIF($A$2:$A184,$A184)=1,1,0))</f>
        <v/>
      </c>
      <c r="W184">
        <f>IF($V184=1,SUMPRODUCT(--($Y$2:$Y$501&lt;$Y184))+1,"")</f>
        <v/>
      </c>
      <c r="X184">
        <f>IF($A184="","",IF(OR($Q184=TRUE(),$Q184="TRUE"),1,0))</f>
        <v/>
      </c>
      <c r="Y184">
        <f>IF($V184=1,IFERROR(VALUE(MID($A184,2,20)),1000000000)+ROW()/100000,"")</f>
        <v/>
      </c>
    </row>
    <row r="185">
      <c r="B185">
        <f>IF($A185="","",IFERROR(IF(INDEX('Per Invoice'!$A$2:$A$201,MATCH($A185,'Per Invoice'!$B$2:$B$201,0))=0,"",INDEX('Per Invoice'!$A$2:$A$201,MATCH($A185,'Per Invoice'!$B$2:$B$201,0))),""))</f>
        <v/>
      </c>
      <c r="G185" s="7">
        <f>IF($A185="","",F185*T185/100)</f>
        <v/>
      </c>
      <c r="J185" s="7" t="n"/>
      <c r="K185" s="7" t="n"/>
      <c r="L185" s="7" t="n"/>
      <c r="O185" s="11" t="n"/>
      <c r="R185">
        <f>IF($A185="","",IF($X185=1,Settings!$C$6,Settings!$C$7)*1)</f>
        <v/>
      </c>
      <c r="S185" s="7">
        <f>IF($A185="","",R185*L185)</f>
        <v/>
      </c>
      <c r="T185" s="7">
        <f>IF($A185="","",L185-S185)</f>
        <v/>
      </c>
      <c r="U185" s="7">
        <f>IF($A185="","",T185-G185)</f>
        <v/>
      </c>
      <c r="V185">
        <f>IF($A185="","",IF(COUNTIF($A$2:$A185,$A185)=1,1,0))</f>
        <v/>
      </c>
      <c r="W185">
        <f>IF($V185=1,SUMPRODUCT(--($Y$2:$Y$501&lt;$Y185))+1,"")</f>
        <v/>
      </c>
      <c r="X185">
        <f>IF($A185="","",IF(OR($Q185=TRUE(),$Q185="TRUE"),1,0))</f>
        <v/>
      </c>
      <c r="Y185">
        <f>IF($V185=1,IFERROR(VALUE(MID($A185,2,20)),1000000000)+ROW()/100000,"")</f>
        <v/>
      </c>
    </row>
    <row r="186">
      <c r="B186">
        <f>IF($A186="","",IFERROR(IF(INDEX('Per Invoice'!$A$2:$A$201,MATCH($A186,'Per Invoice'!$B$2:$B$201,0))=0,"",INDEX('Per Invoice'!$A$2:$A$201,MATCH($A186,'Per Invoice'!$B$2:$B$201,0))),""))</f>
        <v/>
      </c>
      <c r="G186" s="7">
        <f>IF($A186="","",F186*T186/100)</f>
        <v/>
      </c>
      <c r="J186" s="7" t="n"/>
      <c r="K186" s="7" t="n"/>
      <c r="L186" s="7" t="n"/>
      <c r="O186" s="11" t="n"/>
      <c r="R186">
        <f>IF($A186="","",IF($X186=1,Settings!$C$6,Settings!$C$7)*1)</f>
        <v/>
      </c>
      <c r="S186" s="7">
        <f>IF($A186="","",R186*L186)</f>
        <v/>
      </c>
      <c r="T186" s="7">
        <f>IF($A186="","",L186-S186)</f>
        <v/>
      </c>
      <c r="U186" s="7">
        <f>IF($A186="","",T186-G186)</f>
        <v/>
      </c>
      <c r="V186">
        <f>IF($A186="","",IF(COUNTIF($A$2:$A186,$A186)=1,1,0))</f>
        <v/>
      </c>
      <c r="W186">
        <f>IF($V186=1,SUMPRODUCT(--($Y$2:$Y$501&lt;$Y186))+1,"")</f>
        <v/>
      </c>
      <c r="X186">
        <f>IF($A186="","",IF(OR($Q186=TRUE(),$Q186="TRUE"),1,0))</f>
        <v/>
      </c>
      <c r="Y186">
        <f>IF($V186=1,IFERROR(VALUE(MID($A186,2,20)),1000000000)+ROW()/100000,"")</f>
        <v/>
      </c>
    </row>
    <row r="187">
      <c r="B187">
        <f>IF($A187="","",IFERROR(IF(INDEX('Per Invoice'!$A$2:$A$201,MATCH($A187,'Per Invoice'!$B$2:$B$201,0))=0,"",INDEX('Per Invoice'!$A$2:$A$201,MATCH($A187,'Per Invoice'!$B$2:$B$201,0))),""))</f>
        <v/>
      </c>
      <c r="G187" s="7">
        <f>IF($A187="","",F187*T187/100)</f>
        <v/>
      </c>
      <c r="J187" s="7" t="n"/>
      <c r="K187" s="7" t="n"/>
      <c r="L187" s="7" t="n"/>
      <c r="O187" s="11" t="n"/>
      <c r="R187">
        <f>IF($A187="","",IF($X187=1,Settings!$C$6,Settings!$C$7)*1)</f>
        <v/>
      </c>
      <c r="S187" s="7">
        <f>IF($A187="","",R187*L187)</f>
        <v/>
      </c>
      <c r="T187" s="7">
        <f>IF($A187="","",L187-S187)</f>
        <v/>
      </c>
      <c r="U187" s="7">
        <f>IF($A187="","",T187-G187)</f>
        <v/>
      </c>
      <c r="V187">
        <f>IF($A187="","",IF(COUNTIF($A$2:$A187,$A187)=1,1,0))</f>
        <v/>
      </c>
      <c r="W187">
        <f>IF($V187=1,SUMPRODUCT(--($Y$2:$Y$501&lt;$Y187))+1,"")</f>
        <v/>
      </c>
      <c r="X187">
        <f>IF($A187="","",IF(OR($Q187=TRUE(),$Q187="TRUE"),1,0))</f>
        <v/>
      </c>
      <c r="Y187">
        <f>IF($V187=1,IFERROR(VALUE(MID($A187,2,20)),1000000000)+ROW()/100000,"")</f>
        <v/>
      </c>
    </row>
    <row r="188">
      <c r="B188">
        <f>IF($A188="","",IFERROR(IF(INDEX('Per Invoice'!$A$2:$A$201,MATCH($A188,'Per Invoice'!$B$2:$B$201,0))=0,"",INDEX('Per Invoice'!$A$2:$A$201,MATCH($A188,'Per Invoice'!$B$2:$B$201,0))),""))</f>
        <v/>
      </c>
      <c r="G188" s="7">
        <f>IF($A188="","",F188*T188/100)</f>
        <v/>
      </c>
      <c r="J188" s="7" t="n"/>
      <c r="K188" s="7" t="n"/>
      <c r="L188" s="7" t="n"/>
      <c r="O188" s="11" t="n"/>
      <c r="R188">
        <f>IF($A188="","",IF($X188=1,Settings!$C$6,Settings!$C$7)*1)</f>
        <v/>
      </c>
      <c r="S188" s="7">
        <f>IF($A188="","",R188*L188)</f>
        <v/>
      </c>
      <c r="T188" s="7">
        <f>IF($A188="","",L188-S188)</f>
        <v/>
      </c>
      <c r="U188" s="7">
        <f>IF($A188="","",T188-G188)</f>
        <v/>
      </c>
      <c r="V188">
        <f>IF($A188="","",IF(COUNTIF($A$2:$A188,$A188)=1,1,0))</f>
        <v/>
      </c>
      <c r="W188">
        <f>IF($V188=1,SUMPRODUCT(--($Y$2:$Y$501&lt;$Y188))+1,"")</f>
        <v/>
      </c>
      <c r="X188">
        <f>IF($A188="","",IF(OR($Q188=TRUE(),$Q188="TRUE"),1,0))</f>
        <v/>
      </c>
      <c r="Y188">
        <f>IF($V188=1,IFERROR(VALUE(MID($A188,2,20)),1000000000)+ROW()/100000,"")</f>
        <v/>
      </c>
    </row>
    <row r="189">
      <c r="B189">
        <f>IF($A189="","",IFERROR(IF(INDEX('Per Invoice'!$A$2:$A$201,MATCH($A189,'Per Invoice'!$B$2:$B$201,0))=0,"",INDEX('Per Invoice'!$A$2:$A$201,MATCH($A189,'Per Invoice'!$B$2:$B$201,0))),""))</f>
        <v/>
      </c>
      <c r="G189" s="7">
        <f>IF($A189="","",F189*T189/100)</f>
        <v/>
      </c>
      <c r="J189" s="7" t="n"/>
      <c r="K189" s="7" t="n"/>
      <c r="L189" s="7" t="n"/>
      <c r="O189" s="11" t="n"/>
      <c r="R189">
        <f>IF($A189="","",IF($X189=1,Settings!$C$6,Settings!$C$7)*1)</f>
        <v/>
      </c>
      <c r="S189" s="7">
        <f>IF($A189="","",R189*L189)</f>
        <v/>
      </c>
      <c r="T189" s="7">
        <f>IF($A189="","",L189-S189)</f>
        <v/>
      </c>
      <c r="U189" s="7">
        <f>IF($A189="","",T189-G189)</f>
        <v/>
      </c>
      <c r="V189">
        <f>IF($A189="","",IF(COUNTIF($A$2:$A189,$A189)=1,1,0))</f>
        <v/>
      </c>
      <c r="W189">
        <f>IF($V189=1,SUMPRODUCT(--($Y$2:$Y$501&lt;$Y189))+1,"")</f>
        <v/>
      </c>
      <c r="X189">
        <f>IF($A189="","",IF(OR($Q189=TRUE(),$Q189="TRUE"),1,0))</f>
        <v/>
      </c>
      <c r="Y189">
        <f>IF($V189=1,IFERROR(VALUE(MID($A189,2,20)),1000000000)+ROW()/100000,"")</f>
        <v/>
      </c>
    </row>
    <row r="190">
      <c r="B190">
        <f>IF($A190="","",IFERROR(IF(INDEX('Per Invoice'!$A$2:$A$201,MATCH($A190,'Per Invoice'!$B$2:$B$201,0))=0,"",INDEX('Per Invoice'!$A$2:$A$201,MATCH($A190,'Per Invoice'!$B$2:$B$201,0))),""))</f>
        <v/>
      </c>
      <c r="G190" s="7">
        <f>IF($A190="","",F190*T190/100)</f>
        <v/>
      </c>
      <c r="J190" s="7" t="n"/>
      <c r="K190" s="7" t="n"/>
      <c r="L190" s="7" t="n"/>
      <c r="O190" s="11" t="n"/>
      <c r="R190">
        <f>IF($A190="","",IF($X190=1,Settings!$C$6,Settings!$C$7)*1)</f>
        <v/>
      </c>
      <c r="S190" s="7">
        <f>IF($A190="","",R190*L190)</f>
        <v/>
      </c>
      <c r="T190" s="7">
        <f>IF($A190="","",L190-S190)</f>
        <v/>
      </c>
      <c r="U190" s="7">
        <f>IF($A190="","",T190-G190)</f>
        <v/>
      </c>
      <c r="V190">
        <f>IF($A190="","",IF(COUNTIF($A$2:$A190,$A190)=1,1,0))</f>
        <v/>
      </c>
      <c r="W190">
        <f>IF($V190=1,SUMPRODUCT(--($Y$2:$Y$501&lt;$Y190))+1,"")</f>
        <v/>
      </c>
      <c r="X190">
        <f>IF($A190="","",IF(OR($Q190=TRUE(),$Q190="TRUE"),1,0))</f>
        <v/>
      </c>
      <c r="Y190">
        <f>IF($V190=1,IFERROR(VALUE(MID($A190,2,20)),1000000000)+ROW()/100000,"")</f>
        <v/>
      </c>
    </row>
    <row r="191">
      <c r="B191">
        <f>IF($A191="","",IFERROR(IF(INDEX('Per Invoice'!$A$2:$A$201,MATCH($A191,'Per Invoice'!$B$2:$B$201,0))=0,"",INDEX('Per Invoice'!$A$2:$A$201,MATCH($A191,'Per Invoice'!$B$2:$B$201,0))),""))</f>
        <v/>
      </c>
      <c r="G191" s="7">
        <f>IF($A191="","",F191*T191/100)</f>
        <v/>
      </c>
      <c r="J191" s="7" t="n"/>
      <c r="K191" s="7" t="n"/>
      <c r="L191" s="7" t="n"/>
      <c r="O191" s="11" t="n"/>
      <c r="R191">
        <f>IF($A191="","",IF($X191=1,Settings!$C$6,Settings!$C$7)*1)</f>
        <v/>
      </c>
      <c r="S191" s="7">
        <f>IF($A191="","",R191*L191)</f>
        <v/>
      </c>
      <c r="T191" s="7">
        <f>IF($A191="","",L191-S191)</f>
        <v/>
      </c>
      <c r="U191" s="7">
        <f>IF($A191="","",T191-G191)</f>
        <v/>
      </c>
      <c r="V191">
        <f>IF($A191="","",IF(COUNTIF($A$2:$A191,$A191)=1,1,0))</f>
        <v/>
      </c>
      <c r="W191">
        <f>IF($V191=1,SUMPRODUCT(--($Y$2:$Y$501&lt;$Y191))+1,"")</f>
        <v/>
      </c>
      <c r="X191">
        <f>IF($A191="","",IF(OR($Q191=TRUE(),$Q191="TRUE"),1,0))</f>
        <v/>
      </c>
      <c r="Y191">
        <f>IF($V191=1,IFERROR(VALUE(MID($A191,2,20)),1000000000)+ROW()/100000,"")</f>
        <v/>
      </c>
    </row>
    <row r="192">
      <c r="B192">
        <f>IF($A192="","",IFERROR(IF(INDEX('Per Invoice'!$A$2:$A$201,MATCH($A192,'Per Invoice'!$B$2:$B$201,0))=0,"",INDEX('Per Invoice'!$A$2:$A$201,MATCH($A192,'Per Invoice'!$B$2:$B$201,0))),""))</f>
        <v/>
      </c>
      <c r="G192" s="7">
        <f>IF($A192="","",F192*T192/100)</f>
        <v/>
      </c>
      <c r="J192" s="7" t="n"/>
      <c r="K192" s="7" t="n"/>
      <c r="L192" s="7" t="n"/>
      <c r="O192" s="11" t="n"/>
      <c r="R192">
        <f>IF($A192="","",IF($X192=1,Settings!$C$6,Settings!$C$7)*1)</f>
        <v/>
      </c>
      <c r="S192" s="7">
        <f>IF($A192="","",R192*L192)</f>
        <v/>
      </c>
      <c r="T192" s="7">
        <f>IF($A192="","",L192-S192)</f>
        <v/>
      </c>
      <c r="U192" s="7">
        <f>IF($A192="","",T192-G192)</f>
        <v/>
      </c>
      <c r="V192">
        <f>IF($A192="","",IF(COUNTIF($A$2:$A192,$A192)=1,1,0))</f>
        <v/>
      </c>
      <c r="W192">
        <f>IF($V192=1,SUMPRODUCT(--($Y$2:$Y$501&lt;$Y192))+1,"")</f>
        <v/>
      </c>
      <c r="X192">
        <f>IF($A192="","",IF(OR($Q192=TRUE(),$Q192="TRUE"),1,0))</f>
        <v/>
      </c>
      <c r="Y192">
        <f>IF($V192=1,IFERROR(VALUE(MID($A192,2,20)),1000000000)+ROW()/100000,"")</f>
        <v/>
      </c>
    </row>
    <row r="193">
      <c r="B193">
        <f>IF($A193="","",IFERROR(IF(INDEX('Per Invoice'!$A$2:$A$201,MATCH($A193,'Per Invoice'!$B$2:$B$201,0))=0,"",INDEX('Per Invoice'!$A$2:$A$201,MATCH($A193,'Per Invoice'!$B$2:$B$201,0))),""))</f>
        <v/>
      </c>
      <c r="G193" s="7">
        <f>IF($A193="","",F193*T193/100)</f>
        <v/>
      </c>
      <c r="J193" s="7" t="n"/>
      <c r="K193" s="7" t="n"/>
      <c r="L193" s="7" t="n"/>
      <c r="O193" s="11" t="n"/>
      <c r="R193">
        <f>IF($A193="","",IF($X193=1,Settings!$C$6,Settings!$C$7)*1)</f>
        <v/>
      </c>
      <c r="S193" s="7">
        <f>IF($A193="","",R193*L193)</f>
        <v/>
      </c>
      <c r="T193" s="7">
        <f>IF($A193="","",L193-S193)</f>
        <v/>
      </c>
      <c r="U193" s="7">
        <f>IF($A193="","",T193-G193)</f>
        <v/>
      </c>
      <c r="V193">
        <f>IF($A193="","",IF(COUNTIF($A$2:$A193,$A193)=1,1,0))</f>
        <v/>
      </c>
      <c r="W193">
        <f>IF($V193=1,SUMPRODUCT(--($Y$2:$Y$501&lt;$Y193))+1,"")</f>
        <v/>
      </c>
      <c r="X193">
        <f>IF($A193="","",IF(OR($Q193=TRUE(),$Q193="TRUE"),1,0))</f>
        <v/>
      </c>
      <c r="Y193">
        <f>IF($V193=1,IFERROR(VALUE(MID($A193,2,20)),1000000000)+ROW()/100000,"")</f>
        <v/>
      </c>
    </row>
    <row r="194">
      <c r="B194">
        <f>IF($A194="","",IFERROR(IF(INDEX('Per Invoice'!$A$2:$A$201,MATCH($A194,'Per Invoice'!$B$2:$B$201,0))=0,"",INDEX('Per Invoice'!$A$2:$A$201,MATCH($A194,'Per Invoice'!$B$2:$B$201,0))),""))</f>
        <v/>
      </c>
      <c r="G194" s="7">
        <f>IF($A194="","",F194*T194/100)</f>
        <v/>
      </c>
      <c r="J194" s="7" t="n"/>
      <c r="K194" s="7" t="n"/>
      <c r="L194" s="7" t="n"/>
      <c r="O194" s="11" t="n"/>
      <c r="R194">
        <f>IF($A194="","",IF($X194=1,Settings!$C$6,Settings!$C$7)*1)</f>
        <v/>
      </c>
      <c r="S194" s="7">
        <f>IF($A194="","",R194*L194)</f>
        <v/>
      </c>
      <c r="T194" s="7">
        <f>IF($A194="","",L194-S194)</f>
        <v/>
      </c>
      <c r="U194" s="7">
        <f>IF($A194="","",T194-G194)</f>
        <v/>
      </c>
      <c r="V194">
        <f>IF($A194="","",IF(COUNTIF($A$2:$A194,$A194)=1,1,0))</f>
        <v/>
      </c>
      <c r="W194">
        <f>IF($V194=1,SUMPRODUCT(--($Y$2:$Y$501&lt;$Y194))+1,"")</f>
        <v/>
      </c>
      <c r="X194">
        <f>IF($A194="","",IF(OR($Q194=TRUE(),$Q194="TRUE"),1,0))</f>
        <v/>
      </c>
      <c r="Y194">
        <f>IF($V194=1,IFERROR(VALUE(MID($A194,2,20)),1000000000)+ROW()/100000,"")</f>
        <v/>
      </c>
    </row>
    <row r="195">
      <c r="B195">
        <f>IF($A195="","",IFERROR(IF(INDEX('Per Invoice'!$A$2:$A$201,MATCH($A195,'Per Invoice'!$B$2:$B$201,0))=0,"",INDEX('Per Invoice'!$A$2:$A$201,MATCH($A195,'Per Invoice'!$B$2:$B$201,0))),""))</f>
        <v/>
      </c>
      <c r="G195" s="7">
        <f>IF($A195="","",F195*T195/100)</f>
        <v/>
      </c>
      <c r="J195" s="7" t="n"/>
      <c r="K195" s="7" t="n"/>
      <c r="L195" s="7" t="n"/>
      <c r="O195" s="11" t="n"/>
      <c r="R195">
        <f>IF($A195="","",IF($X195=1,Settings!$C$6,Settings!$C$7)*1)</f>
        <v/>
      </c>
      <c r="S195" s="7">
        <f>IF($A195="","",R195*L195)</f>
        <v/>
      </c>
      <c r="T195" s="7">
        <f>IF($A195="","",L195-S195)</f>
        <v/>
      </c>
      <c r="U195" s="7">
        <f>IF($A195="","",T195-G195)</f>
        <v/>
      </c>
      <c r="V195">
        <f>IF($A195="","",IF(COUNTIF($A$2:$A195,$A195)=1,1,0))</f>
        <v/>
      </c>
      <c r="W195">
        <f>IF($V195=1,SUMPRODUCT(--($Y$2:$Y$501&lt;$Y195))+1,"")</f>
        <v/>
      </c>
      <c r="X195">
        <f>IF($A195="","",IF(OR($Q195=TRUE(),$Q195="TRUE"),1,0))</f>
        <v/>
      </c>
      <c r="Y195">
        <f>IF($V195=1,IFERROR(VALUE(MID($A195,2,20)),1000000000)+ROW()/100000,"")</f>
        <v/>
      </c>
    </row>
    <row r="196">
      <c r="B196">
        <f>IF($A196="","",IFERROR(IF(INDEX('Per Invoice'!$A$2:$A$201,MATCH($A196,'Per Invoice'!$B$2:$B$201,0))=0,"",INDEX('Per Invoice'!$A$2:$A$201,MATCH($A196,'Per Invoice'!$B$2:$B$201,0))),""))</f>
        <v/>
      </c>
      <c r="G196" s="7">
        <f>IF($A196="","",F196*T196/100)</f>
        <v/>
      </c>
      <c r="J196" s="7" t="n"/>
      <c r="K196" s="7" t="n"/>
      <c r="L196" s="7" t="n"/>
      <c r="O196" s="11" t="n"/>
      <c r="R196">
        <f>IF($A196="","",IF($X196=1,Settings!$C$6,Settings!$C$7)*1)</f>
        <v/>
      </c>
      <c r="S196" s="7">
        <f>IF($A196="","",R196*L196)</f>
        <v/>
      </c>
      <c r="T196" s="7">
        <f>IF($A196="","",L196-S196)</f>
        <v/>
      </c>
      <c r="U196" s="7">
        <f>IF($A196="","",T196-G196)</f>
        <v/>
      </c>
      <c r="V196">
        <f>IF($A196="","",IF(COUNTIF($A$2:$A196,$A196)=1,1,0))</f>
        <v/>
      </c>
      <c r="W196">
        <f>IF($V196=1,SUMPRODUCT(--($Y$2:$Y$501&lt;$Y196))+1,"")</f>
        <v/>
      </c>
      <c r="X196">
        <f>IF($A196="","",IF(OR($Q196=TRUE(),$Q196="TRUE"),1,0))</f>
        <v/>
      </c>
      <c r="Y196">
        <f>IF($V196=1,IFERROR(VALUE(MID($A196,2,20)),1000000000)+ROW()/100000,"")</f>
        <v/>
      </c>
    </row>
    <row r="197">
      <c r="B197">
        <f>IF($A197="","",IFERROR(IF(INDEX('Per Invoice'!$A$2:$A$201,MATCH($A197,'Per Invoice'!$B$2:$B$201,0))=0,"",INDEX('Per Invoice'!$A$2:$A$201,MATCH($A197,'Per Invoice'!$B$2:$B$201,0))),""))</f>
        <v/>
      </c>
      <c r="G197" s="7">
        <f>IF($A197="","",F197*T197/100)</f>
        <v/>
      </c>
      <c r="J197" s="7" t="n"/>
      <c r="K197" s="7" t="n"/>
      <c r="L197" s="7" t="n"/>
      <c r="O197" s="11" t="n"/>
      <c r="R197">
        <f>IF($A197="","",IF($X197=1,Settings!$C$6,Settings!$C$7)*1)</f>
        <v/>
      </c>
      <c r="S197" s="7">
        <f>IF($A197="","",R197*L197)</f>
        <v/>
      </c>
      <c r="T197" s="7">
        <f>IF($A197="","",L197-S197)</f>
        <v/>
      </c>
      <c r="U197" s="7">
        <f>IF($A197="","",T197-G197)</f>
        <v/>
      </c>
      <c r="V197">
        <f>IF($A197="","",IF(COUNTIF($A$2:$A197,$A197)=1,1,0))</f>
        <v/>
      </c>
      <c r="W197">
        <f>IF($V197=1,SUMPRODUCT(--($Y$2:$Y$501&lt;$Y197))+1,"")</f>
        <v/>
      </c>
      <c r="X197">
        <f>IF($A197="","",IF(OR($Q197=TRUE(),$Q197="TRUE"),1,0))</f>
        <v/>
      </c>
      <c r="Y197">
        <f>IF($V197=1,IFERROR(VALUE(MID($A197,2,20)),1000000000)+ROW()/100000,"")</f>
        <v/>
      </c>
    </row>
    <row r="198">
      <c r="B198">
        <f>IF($A198="","",IFERROR(IF(INDEX('Per Invoice'!$A$2:$A$201,MATCH($A198,'Per Invoice'!$B$2:$B$201,0))=0,"",INDEX('Per Invoice'!$A$2:$A$201,MATCH($A198,'Per Invoice'!$B$2:$B$201,0))),""))</f>
        <v/>
      </c>
      <c r="G198" s="7">
        <f>IF($A198="","",F198*T198/100)</f>
        <v/>
      </c>
      <c r="J198" s="7" t="n"/>
      <c r="K198" s="7" t="n"/>
      <c r="L198" s="7" t="n"/>
      <c r="O198" s="11" t="n"/>
      <c r="R198">
        <f>IF($A198="","",IF($X198=1,Settings!$C$6,Settings!$C$7)*1)</f>
        <v/>
      </c>
      <c r="S198" s="7">
        <f>IF($A198="","",R198*L198)</f>
        <v/>
      </c>
      <c r="T198" s="7">
        <f>IF($A198="","",L198-S198)</f>
        <v/>
      </c>
      <c r="U198" s="7">
        <f>IF($A198="","",T198-G198)</f>
        <v/>
      </c>
      <c r="V198">
        <f>IF($A198="","",IF(COUNTIF($A$2:$A198,$A198)=1,1,0))</f>
        <v/>
      </c>
      <c r="W198">
        <f>IF($V198=1,SUMPRODUCT(--($Y$2:$Y$501&lt;$Y198))+1,"")</f>
        <v/>
      </c>
      <c r="X198">
        <f>IF($A198="","",IF(OR($Q198=TRUE(),$Q198="TRUE"),1,0))</f>
        <v/>
      </c>
      <c r="Y198">
        <f>IF($V198=1,IFERROR(VALUE(MID($A198,2,20)),1000000000)+ROW()/100000,"")</f>
        <v/>
      </c>
    </row>
    <row r="199">
      <c r="B199">
        <f>IF($A199="","",IFERROR(IF(INDEX('Per Invoice'!$A$2:$A$201,MATCH($A199,'Per Invoice'!$B$2:$B$201,0))=0,"",INDEX('Per Invoice'!$A$2:$A$201,MATCH($A199,'Per Invoice'!$B$2:$B$201,0))),""))</f>
        <v/>
      </c>
      <c r="G199" s="7">
        <f>IF($A199="","",F199*T199/100)</f>
        <v/>
      </c>
      <c r="J199" s="7" t="n"/>
      <c r="K199" s="7" t="n"/>
      <c r="L199" s="7" t="n"/>
      <c r="O199" s="11" t="n"/>
      <c r="R199">
        <f>IF($A199="","",IF($X199=1,Settings!$C$6,Settings!$C$7)*1)</f>
        <v/>
      </c>
      <c r="S199" s="7">
        <f>IF($A199="","",R199*L199)</f>
        <v/>
      </c>
      <c r="T199" s="7">
        <f>IF($A199="","",L199-S199)</f>
        <v/>
      </c>
      <c r="U199" s="7">
        <f>IF($A199="","",T199-G199)</f>
        <v/>
      </c>
      <c r="V199">
        <f>IF($A199="","",IF(COUNTIF($A$2:$A199,$A199)=1,1,0))</f>
        <v/>
      </c>
      <c r="W199">
        <f>IF($V199=1,SUMPRODUCT(--($Y$2:$Y$501&lt;$Y199))+1,"")</f>
        <v/>
      </c>
      <c r="X199">
        <f>IF($A199="","",IF(OR($Q199=TRUE(),$Q199="TRUE"),1,0))</f>
        <v/>
      </c>
      <c r="Y199">
        <f>IF($V199=1,IFERROR(VALUE(MID($A199,2,20)),1000000000)+ROW()/100000,"")</f>
        <v/>
      </c>
    </row>
    <row r="200">
      <c r="B200">
        <f>IF($A200="","",IFERROR(IF(INDEX('Per Invoice'!$A$2:$A$201,MATCH($A200,'Per Invoice'!$B$2:$B$201,0))=0,"",INDEX('Per Invoice'!$A$2:$A$201,MATCH($A200,'Per Invoice'!$B$2:$B$201,0))),""))</f>
        <v/>
      </c>
      <c r="G200" s="7">
        <f>IF($A200="","",F200*T200/100)</f>
        <v/>
      </c>
      <c r="J200" s="7" t="n"/>
      <c r="K200" s="7" t="n"/>
      <c r="L200" s="7" t="n"/>
      <c r="O200" s="11" t="n"/>
      <c r="R200">
        <f>IF($A200="","",IF($X200=1,Settings!$C$6,Settings!$C$7)*1)</f>
        <v/>
      </c>
      <c r="S200" s="7">
        <f>IF($A200="","",R200*L200)</f>
        <v/>
      </c>
      <c r="T200" s="7">
        <f>IF($A200="","",L200-S200)</f>
        <v/>
      </c>
      <c r="U200" s="7">
        <f>IF($A200="","",T200-G200)</f>
        <v/>
      </c>
      <c r="V200">
        <f>IF($A200="","",IF(COUNTIF($A$2:$A200,$A200)=1,1,0))</f>
        <v/>
      </c>
      <c r="W200">
        <f>IF($V200=1,SUMPRODUCT(--($Y$2:$Y$501&lt;$Y200))+1,"")</f>
        <v/>
      </c>
      <c r="X200">
        <f>IF($A200="","",IF(OR($Q200=TRUE(),$Q200="TRUE"),1,0))</f>
        <v/>
      </c>
      <c r="Y200">
        <f>IF($V200=1,IFERROR(VALUE(MID($A200,2,20)),1000000000)+ROW()/100000,"")</f>
        <v/>
      </c>
    </row>
    <row r="201">
      <c r="B201">
        <f>IF($A201="","",IFERROR(IF(INDEX('Per Invoice'!$A$2:$A$201,MATCH($A201,'Per Invoice'!$B$2:$B$201,0))=0,"",INDEX('Per Invoice'!$A$2:$A$201,MATCH($A201,'Per Invoice'!$B$2:$B$201,0))),""))</f>
        <v/>
      </c>
      <c r="G201" s="7">
        <f>IF($A201="","",F201*T201/100)</f>
        <v/>
      </c>
      <c r="J201" s="7" t="n"/>
      <c r="K201" s="7" t="n"/>
      <c r="L201" s="7" t="n"/>
      <c r="O201" s="11" t="n"/>
      <c r="R201">
        <f>IF($A201="","",IF($X201=1,Settings!$C$6,Settings!$C$7)*1)</f>
        <v/>
      </c>
      <c r="S201" s="7">
        <f>IF($A201="","",R201*L201)</f>
        <v/>
      </c>
      <c r="T201" s="7">
        <f>IF($A201="","",L201-S201)</f>
        <v/>
      </c>
      <c r="U201" s="7">
        <f>IF($A201="","",T201-G201)</f>
        <v/>
      </c>
      <c r="V201">
        <f>IF($A201="","",IF(COUNTIF($A$2:$A201,$A201)=1,1,0))</f>
        <v/>
      </c>
      <c r="W201">
        <f>IF($V201=1,SUMPRODUCT(--($Y$2:$Y$501&lt;$Y201))+1,"")</f>
        <v/>
      </c>
      <c r="X201">
        <f>IF($A201="","",IF(OR($Q201=TRUE(),$Q201="TRUE"),1,0))</f>
        <v/>
      </c>
      <c r="Y201">
        <f>IF($V201=1,IFERROR(VALUE(MID($A201,2,20)),1000000000)+ROW()/100000,"")</f>
        <v/>
      </c>
    </row>
    <row r="202">
      <c r="B202">
        <f>IF($A202="","",IFERROR(IF(INDEX('Per Invoice'!$A$2:$A$201,MATCH($A202,'Per Invoice'!$B$2:$B$201,0))=0,"",INDEX('Per Invoice'!$A$2:$A$201,MATCH($A202,'Per Invoice'!$B$2:$B$201,0))),""))</f>
        <v/>
      </c>
      <c r="G202" s="7">
        <f>IF($A202="","",F202*T202/100)</f>
        <v/>
      </c>
      <c r="J202" s="7" t="n"/>
      <c r="K202" s="7" t="n"/>
      <c r="L202" s="7" t="n"/>
      <c r="O202" s="11" t="n"/>
      <c r="R202">
        <f>IF($A202="","",IF($X202=1,Settings!$C$6,Settings!$C$7)*1)</f>
        <v/>
      </c>
      <c r="S202" s="7">
        <f>IF($A202="","",R202*L202)</f>
        <v/>
      </c>
      <c r="T202" s="7">
        <f>IF($A202="","",L202-S202)</f>
        <v/>
      </c>
      <c r="U202" s="7">
        <f>IF($A202="","",T202-G202)</f>
        <v/>
      </c>
      <c r="V202">
        <f>IF($A202="","",IF(COUNTIF($A$2:$A202,$A202)=1,1,0))</f>
        <v/>
      </c>
      <c r="W202">
        <f>IF($V202=1,SUMPRODUCT(--($Y$2:$Y$501&lt;$Y202))+1,"")</f>
        <v/>
      </c>
      <c r="X202">
        <f>IF($A202="","",IF(OR($Q202=TRUE(),$Q202="TRUE"),1,0))</f>
        <v/>
      </c>
      <c r="Y202">
        <f>IF($V202=1,IFERROR(VALUE(MID($A202,2,20)),1000000000)+ROW()/100000,"")</f>
        <v/>
      </c>
    </row>
    <row r="203">
      <c r="B203">
        <f>IF($A203="","",IFERROR(IF(INDEX('Per Invoice'!$A$2:$A$201,MATCH($A203,'Per Invoice'!$B$2:$B$201,0))=0,"",INDEX('Per Invoice'!$A$2:$A$201,MATCH($A203,'Per Invoice'!$B$2:$B$201,0))),""))</f>
        <v/>
      </c>
      <c r="G203" s="7">
        <f>IF($A203="","",F203*T203/100)</f>
        <v/>
      </c>
      <c r="J203" s="7" t="n"/>
      <c r="K203" s="7" t="n"/>
      <c r="L203" s="7" t="n"/>
      <c r="O203" s="11" t="n"/>
      <c r="R203">
        <f>IF($A203="","",IF($X203=1,Settings!$C$6,Settings!$C$7)*1)</f>
        <v/>
      </c>
      <c r="S203" s="7">
        <f>IF($A203="","",R203*L203)</f>
        <v/>
      </c>
      <c r="T203" s="7">
        <f>IF($A203="","",L203-S203)</f>
        <v/>
      </c>
      <c r="U203" s="7">
        <f>IF($A203="","",T203-G203)</f>
        <v/>
      </c>
      <c r="V203">
        <f>IF($A203="","",IF(COUNTIF($A$2:$A203,$A203)=1,1,0))</f>
        <v/>
      </c>
      <c r="W203">
        <f>IF($V203=1,SUMPRODUCT(--($Y$2:$Y$501&lt;$Y203))+1,"")</f>
        <v/>
      </c>
      <c r="X203">
        <f>IF($A203="","",IF(OR($Q203=TRUE(),$Q203="TRUE"),1,0))</f>
        <v/>
      </c>
      <c r="Y203">
        <f>IF($V203=1,IFERROR(VALUE(MID($A203,2,20)),1000000000)+ROW()/100000,"")</f>
        <v/>
      </c>
    </row>
    <row r="204">
      <c r="B204">
        <f>IF($A204="","",IFERROR(IF(INDEX('Per Invoice'!$A$2:$A$201,MATCH($A204,'Per Invoice'!$B$2:$B$201,0))=0,"",INDEX('Per Invoice'!$A$2:$A$201,MATCH($A204,'Per Invoice'!$B$2:$B$201,0))),""))</f>
        <v/>
      </c>
      <c r="G204" s="7">
        <f>IF($A204="","",F204*T204/100)</f>
        <v/>
      </c>
      <c r="J204" s="7" t="n"/>
      <c r="K204" s="7" t="n"/>
      <c r="L204" s="7" t="n"/>
      <c r="O204" s="11" t="n"/>
      <c r="R204">
        <f>IF($A204="","",IF($X204=1,Settings!$C$6,Settings!$C$7)*1)</f>
        <v/>
      </c>
      <c r="S204" s="7">
        <f>IF($A204="","",R204*L204)</f>
        <v/>
      </c>
      <c r="T204" s="7">
        <f>IF($A204="","",L204-S204)</f>
        <v/>
      </c>
      <c r="U204" s="7">
        <f>IF($A204="","",T204-G204)</f>
        <v/>
      </c>
      <c r="V204">
        <f>IF($A204="","",IF(COUNTIF($A$2:$A204,$A204)=1,1,0))</f>
        <v/>
      </c>
      <c r="W204">
        <f>IF($V204=1,SUMPRODUCT(--($Y$2:$Y$501&lt;$Y204))+1,"")</f>
        <v/>
      </c>
      <c r="X204">
        <f>IF($A204="","",IF(OR($Q204=TRUE(),$Q204="TRUE"),1,0))</f>
        <v/>
      </c>
      <c r="Y204">
        <f>IF($V204=1,IFERROR(VALUE(MID($A204,2,20)),1000000000)+ROW()/100000,"")</f>
        <v/>
      </c>
    </row>
    <row r="205">
      <c r="B205">
        <f>IF($A205="","",IFERROR(IF(INDEX('Per Invoice'!$A$2:$A$201,MATCH($A205,'Per Invoice'!$B$2:$B$201,0))=0,"",INDEX('Per Invoice'!$A$2:$A$201,MATCH($A205,'Per Invoice'!$B$2:$B$201,0))),""))</f>
        <v/>
      </c>
      <c r="G205" s="7">
        <f>IF($A205="","",F205*T205/100)</f>
        <v/>
      </c>
      <c r="J205" s="7" t="n"/>
      <c r="K205" s="7" t="n"/>
      <c r="L205" s="7" t="n"/>
      <c r="O205" s="11" t="n"/>
      <c r="R205">
        <f>IF($A205="","",IF($X205=1,Settings!$C$6,Settings!$C$7)*1)</f>
        <v/>
      </c>
      <c r="S205" s="7">
        <f>IF($A205="","",R205*L205)</f>
        <v/>
      </c>
      <c r="T205" s="7">
        <f>IF($A205="","",L205-S205)</f>
        <v/>
      </c>
      <c r="U205" s="7">
        <f>IF($A205="","",T205-G205)</f>
        <v/>
      </c>
      <c r="V205">
        <f>IF($A205="","",IF(COUNTIF($A$2:$A205,$A205)=1,1,0))</f>
        <v/>
      </c>
      <c r="W205">
        <f>IF($V205=1,SUMPRODUCT(--($Y$2:$Y$501&lt;$Y205))+1,"")</f>
        <v/>
      </c>
      <c r="X205">
        <f>IF($A205="","",IF(OR($Q205=TRUE(),$Q205="TRUE"),1,0))</f>
        <v/>
      </c>
      <c r="Y205">
        <f>IF($V205=1,IFERROR(VALUE(MID($A205,2,20)),1000000000)+ROW()/100000,"")</f>
        <v/>
      </c>
    </row>
    <row r="206">
      <c r="B206">
        <f>IF($A206="","",IFERROR(IF(INDEX('Per Invoice'!$A$2:$A$201,MATCH($A206,'Per Invoice'!$B$2:$B$201,0))=0,"",INDEX('Per Invoice'!$A$2:$A$201,MATCH($A206,'Per Invoice'!$B$2:$B$201,0))),""))</f>
        <v/>
      </c>
      <c r="G206" s="7">
        <f>IF($A206="","",F206*T206/100)</f>
        <v/>
      </c>
      <c r="J206" s="7" t="n"/>
      <c r="K206" s="7" t="n"/>
      <c r="L206" s="7" t="n"/>
      <c r="O206" s="11" t="n"/>
      <c r="R206">
        <f>IF($A206="","",IF($X206=1,Settings!$C$6,Settings!$C$7)*1)</f>
        <v/>
      </c>
      <c r="S206" s="7">
        <f>IF($A206="","",R206*L206)</f>
        <v/>
      </c>
      <c r="T206" s="7">
        <f>IF($A206="","",L206-S206)</f>
        <v/>
      </c>
      <c r="U206" s="7">
        <f>IF($A206="","",T206-G206)</f>
        <v/>
      </c>
      <c r="V206">
        <f>IF($A206="","",IF(COUNTIF($A$2:$A206,$A206)=1,1,0))</f>
        <v/>
      </c>
      <c r="W206">
        <f>IF($V206=1,SUMPRODUCT(--($Y$2:$Y$501&lt;$Y206))+1,"")</f>
        <v/>
      </c>
      <c r="X206">
        <f>IF($A206="","",IF(OR($Q206=TRUE(),$Q206="TRUE"),1,0))</f>
        <v/>
      </c>
      <c r="Y206">
        <f>IF($V206=1,IFERROR(VALUE(MID($A206,2,20)),1000000000)+ROW()/100000,"")</f>
        <v/>
      </c>
    </row>
    <row r="207">
      <c r="B207">
        <f>IF($A207="","",IFERROR(IF(INDEX('Per Invoice'!$A$2:$A$201,MATCH($A207,'Per Invoice'!$B$2:$B$201,0))=0,"",INDEX('Per Invoice'!$A$2:$A$201,MATCH($A207,'Per Invoice'!$B$2:$B$201,0))),""))</f>
        <v/>
      </c>
      <c r="G207" s="7">
        <f>IF($A207="","",F207*T207/100)</f>
        <v/>
      </c>
      <c r="J207" s="7" t="n"/>
      <c r="K207" s="7" t="n"/>
      <c r="L207" s="7" t="n"/>
      <c r="O207" s="11" t="n"/>
      <c r="R207">
        <f>IF($A207="","",IF($X207=1,Settings!$C$6,Settings!$C$7)*1)</f>
        <v/>
      </c>
      <c r="S207" s="7">
        <f>IF($A207="","",R207*L207)</f>
        <v/>
      </c>
      <c r="T207" s="7">
        <f>IF($A207="","",L207-S207)</f>
        <v/>
      </c>
      <c r="U207" s="7">
        <f>IF($A207="","",T207-G207)</f>
        <v/>
      </c>
      <c r="V207">
        <f>IF($A207="","",IF(COUNTIF($A$2:$A207,$A207)=1,1,0))</f>
        <v/>
      </c>
      <c r="W207">
        <f>IF($V207=1,SUMPRODUCT(--($Y$2:$Y$501&lt;$Y207))+1,"")</f>
        <v/>
      </c>
      <c r="X207">
        <f>IF($A207="","",IF(OR($Q207=TRUE(),$Q207="TRUE"),1,0))</f>
        <v/>
      </c>
      <c r="Y207">
        <f>IF($V207=1,IFERROR(VALUE(MID($A207,2,20)),1000000000)+ROW()/100000,"")</f>
        <v/>
      </c>
    </row>
    <row r="208">
      <c r="B208">
        <f>IF($A208="","",IFERROR(IF(INDEX('Per Invoice'!$A$2:$A$201,MATCH($A208,'Per Invoice'!$B$2:$B$201,0))=0,"",INDEX('Per Invoice'!$A$2:$A$201,MATCH($A208,'Per Invoice'!$B$2:$B$201,0))),""))</f>
        <v/>
      </c>
      <c r="G208" s="7">
        <f>IF($A208="","",F208*T208/100)</f>
        <v/>
      </c>
      <c r="J208" s="7" t="n"/>
      <c r="K208" s="7" t="n"/>
      <c r="L208" s="7" t="n"/>
      <c r="O208" s="11" t="n"/>
      <c r="R208">
        <f>IF($A208="","",IF($X208=1,Settings!$C$6,Settings!$C$7)*1)</f>
        <v/>
      </c>
      <c r="S208" s="7">
        <f>IF($A208="","",R208*L208)</f>
        <v/>
      </c>
      <c r="T208" s="7">
        <f>IF($A208="","",L208-S208)</f>
        <v/>
      </c>
      <c r="U208" s="7">
        <f>IF($A208="","",T208-G208)</f>
        <v/>
      </c>
      <c r="V208">
        <f>IF($A208="","",IF(COUNTIF($A$2:$A208,$A208)=1,1,0))</f>
        <v/>
      </c>
      <c r="W208">
        <f>IF($V208=1,SUMPRODUCT(--($Y$2:$Y$501&lt;$Y208))+1,"")</f>
        <v/>
      </c>
      <c r="X208">
        <f>IF($A208="","",IF(OR($Q208=TRUE(),$Q208="TRUE"),1,0))</f>
        <v/>
      </c>
      <c r="Y208">
        <f>IF($V208=1,IFERROR(VALUE(MID($A208,2,20)),1000000000)+ROW()/100000,"")</f>
        <v/>
      </c>
    </row>
    <row r="209">
      <c r="B209">
        <f>IF($A209="","",IFERROR(IF(INDEX('Per Invoice'!$A$2:$A$201,MATCH($A209,'Per Invoice'!$B$2:$B$201,0))=0,"",INDEX('Per Invoice'!$A$2:$A$201,MATCH($A209,'Per Invoice'!$B$2:$B$201,0))),""))</f>
        <v/>
      </c>
      <c r="G209" s="7">
        <f>IF($A209="","",F209*T209/100)</f>
        <v/>
      </c>
      <c r="J209" s="7" t="n"/>
      <c r="K209" s="7" t="n"/>
      <c r="L209" s="7" t="n"/>
      <c r="O209" s="11" t="n"/>
      <c r="R209">
        <f>IF($A209="","",IF($X209=1,Settings!$C$6,Settings!$C$7)*1)</f>
        <v/>
      </c>
      <c r="S209" s="7">
        <f>IF($A209="","",R209*L209)</f>
        <v/>
      </c>
      <c r="T209" s="7">
        <f>IF($A209="","",L209-S209)</f>
        <v/>
      </c>
      <c r="U209" s="7">
        <f>IF($A209="","",T209-G209)</f>
        <v/>
      </c>
      <c r="V209">
        <f>IF($A209="","",IF(COUNTIF($A$2:$A209,$A209)=1,1,0))</f>
        <v/>
      </c>
      <c r="W209">
        <f>IF($V209=1,SUMPRODUCT(--($Y$2:$Y$501&lt;$Y209))+1,"")</f>
        <v/>
      </c>
      <c r="X209">
        <f>IF($A209="","",IF(OR($Q209=TRUE(),$Q209="TRUE"),1,0))</f>
        <v/>
      </c>
      <c r="Y209">
        <f>IF($V209=1,IFERROR(VALUE(MID($A209,2,20)),1000000000)+ROW()/100000,"")</f>
        <v/>
      </c>
    </row>
    <row r="210">
      <c r="B210">
        <f>IF($A210="","",IFERROR(IF(INDEX('Per Invoice'!$A$2:$A$201,MATCH($A210,'Per Invoice'!$B$2:$B$201,0))=0,"",INDEX('Per Invoice'!$A$2:$A$201,MATCH($A210,'Per Invoice'!$B$2:$B$201,0))),""))</f>
        <v/>
      </c>
      <c r="G210" s="7">
        <f>IF($A210="","",F210*T210/100)</f>
        <v/>
      </c>
      <c r="J210" s="7" t="n"/>
      <c r="K210" s="7" t="n"/>
      <c r="L210" s="7" t="n"/>
      <c r="O210" s="11" t="n"/>
      <c r="R210">
        <f>IF($A210="","",IF($X210=1,Settings!$C$6,Settings!$C$7)*1)</f>
        <v/>
      </c>
      <c r="S210" s="7">
        <f>IF($A210="","",R210*L210)</f>
        <v/>
      </c>
      <c r="T210" s="7">
        <f>IF($A210="","",L210-S210)</f>
        <v/>
      </c>
      <c r="U210" s="7">
        <f>IF($A210="","",T210-G210)</f>
        <v/>
      </c>
      <c r="V210">
        <f>IF($A210="","",IF(COUNTIF($A$2:$A210,$A210)=1,1,0))</f>
        <v/>
      </c>
      <c r="W210">
        <f>IF($V210=1,SUMPRODUCT(--($Y$2:$Y$501&lt;$Y210))+1,"")</f>
        <v/>
      </c>
      <c r="X210">
        <f>IF($A210="","",IF(OR($Q210=TRUE(),$Q210="TRUE"),1,0))</f>
        <v/>
      </c>
      <c r="Y210">
        <f>IF($V210=1,IFERROR(VALUE(MID($A210,2,20)),1000000000)+ROW()/100000,"")</f>
        <v/>
      </c>
    </row>
    <row r="211">
      <c r="B211">
        <f>IF($A211="","",IFERROR(IF(INDEX('Per Invoice'!$A$2:$A$201,MATCH($A211,'Per Invoice'!$B$2:$B$201,0))=0,"",INDEX('Per Invoice'!$A$2:$A$201,MATCH($A211,'Per Invoice'!$B$2:$B$201,0))),""))</f>
        <v/>
      </c>
      <c r="G211" s="7">
        <f>IF($A211="","",F211*T211/100)</f>
        <v/>
      </c>
      <c r="J211" s="7" t="n"/>
      <c r="K211" s="7" t="n"/>
      <c r="L211" s="7" t="n"/>
      <c r="O211" s="11" t="n"/>
      <c r="R211">
        <f>IF($A211="","",IF($X211=1,Settings!$C$6,Settings!$C$7)*1)</f>
        <v/>
      </c>
      <c r="S211" s="7">
        <f>IF($A211="","",R211*L211)</f>
        <v/>
      </c>
      <c r="T211" s="7">
        <f>IF($A211="","",L211-S211)</f>
        <v/>
      </c>
      <c r="U211" s="7">
        <f>IF($A211="","",T211-G211)</f>
        <v/>
      </c>
      <c r="V211">
        <f>IF($A211="","",IF(COUNTIF($A$2:$A211,$A211)=1,1,0))</f>
        <v/>
      </c>
      <c r="W211">
        <f>IF($V211=1,SUMPRODUCT(--($Y$2:$Y$501&lt;$Y211))+1,"")</f>
        <v/>
      </c>
      <c r="X211">
        <f>IF($A211="","",IF(OR($Q211=TRUE(),$Q211="TRUE"),1,0))</f>
        <v/>
      </c>
      <c r="Y211">
        <f>IF($V211=1,IFERROR(VALUE(MID($A211,2,20)),1000000000)+ROW()/100000,"")</f>
        <v/>
      </c>
    </row>
    <row r="212">
      <c r="B212">
        <f>IF($A212="","",IFERROR(IF(INDEX('Per Invoice'!$A$2:$A$201,MATCH($A212,'Per Invoice'!$B$2:$B$201,0))=0,"",INDEX('Per Invoice'!$A$2:$A$201,MATCH($A212,'Per Invoice'!$B$2:$B$201,0))),""))</f>
        <v/>
      </c>
      <c r="G212" s="7">
        <f>IF($A212="","",F212*T212/100)</f>
        <v/>
      </c>
      <c r="J212" s="7" t="n"/>
      <c r="K212" s="7" t="n"/>
      <c r="L212" s="7" t="n"/>
      <c r="O212" s="11" t="n"/>
      <c r="R212">
        <f>IF($A212="","",IF($X212=1,Settings!$C$6,Settings!$C$7)*1)</f>
        <v/>
      </c>
      <c r="S212" s="7">
        <f>IF($A212="","",R212*L212)</f>
        <v/>
      </c>
      <c r="T212" s="7">
        <f>IF($A212="","",L212-S212)</f>
        <v/>
      </c>
      <c r="U212" s="7">
        <f>IF($A212="","",T212-G212)</f>
        <v/>
      </c>
      <c r="V212">
        <f>IF($A212="","",IF(COUNTIF($A$2:$A212,$A212)=1,1,0))</f>
        <v/>
      </c>
      <c r="W212">
        <f>IF($V212=1,SUMPRODUCT(--($Y$2:$Y$501&lt;$Y212))+1,"")</f>
        <v/>
      </c>
      <c r="X212">
        <f>IF($A212="","",IF(OR($Q212=TRUE(),$Q212="TRUE"),1,0))</f>
        <v/>
      </c>
      <c r="Y212">
        <f>IF($V212=1,IFERROR(VALUE(MID($A212,2,20)),1000000000)+ROW()/100000,"")</f>
        <v/>
      </c>
    </row>
    <row r="213">
      <c r="B213">
        <f>IF($A213="","",IFERROR(IF(INDEX('Per Invoice'!$A$2:$A$201,MATCH($A213,'Per Invoice'!$B$2:$B$201,0))=0,"",INDEX('Per Invoice'!$A$2:$A$201,MATCH($A213,'Per Invoice'!$B$2:$B$201,0))),""))</f>
        <v/>
      </c>
      <c r="G213" s="7">
        <f>IF($A213="","",F213*T213/100)</f>
        <v/>
      </c>
      <c r="J213" s="7" t="n"/>
      <c r="K213" s="7" t="n"/>
      <c r="L213" s="7" t="n"/>
      <c r="O213" s="11" t="n"/>
      <c r="R213">
        <f>IF($A213="","",IF($X213=1,Settings!$C$6,Settings!$C$7)*1)</f>
        <v/>
      </c>
      <c r="S213" s="7">
        <f>IF($A213="","",R213*L213)</f>
        <v/>
      </c>
      <c r="T213" s="7">
        <f>IF($A213="","",L213-S213)</f>
        <v/>
      </c>
      <c r="U213" s="7">
        <f>IF($A213="","",T213-G213)</f>
        <v/>
      </c>
      <c r="V213">
        <f>IF($A213="","",IF(COUNTIF($A$2:$A213,$A213)=1,1,0))</f>
        <v/>
      </c>
      <c r="W213">
        <f>IF($V213=1,SUMPRODUCT(--($Y$2:$Y$501&lt;$Y213))+1,"")</f>
        <v/>
      </c>
      <c r="X213">
        <f>IF($A213="","",IF(OR($Q213=TRUE(),$Q213="TRUE"),1,0))</f>
        <v/>
      </c>
      <c r="Y213">
        <f>IF($V213=1,IFERROR(VALUE(MID($A213,2,20)),1000000000)+ROW()/100000,"")</f>
        <v/>
      </c>
    </row>
    <row r="214">
      <c r="B214">
        <f>IF($A214="","",IFERROR(IF(INDEX('Per Invoice'!$A$2:$A$201,MATCH($A214,'Per Invoice'!$B$2:$B$201,0))=0,"",INDEX('Per Invoice'!$A$2:$A$201,MATCH($A214,'Per Invoice'!$B$2:$B$201,0))),""))</f>
        <v/>
      </c>
      <c r="G214" s="7">
        <f>IF($A214="","",F214*T214/100)</f>
        <v/>
      </c>
      <c r="J214" s="7" t="n"/>
      <c r="K214" s="7" t="n"/>
      <c r="L214" s="7" t="n"/>
      <c r="O214" s="11" t="n"/>
      <c r="R214">
        <f>IF($A214="","",IF($X214=1,Settings!$C$6,Settings!$C$7)*1)</f>
        <v/>
      </c>
      <c r="S214" s="7">
        <f>IF($A214="","",R214*L214)</f>
        <v/>
      </c>
      <c r="T214" s="7">
        <f>IF($A214="","",L214-S214)</f>
        <v/>
      </c>
      <c r="U214" s="7">
        <f>IF($A214="","",T214-G214)</f>
        <v/>
      </c>
      <c r="V214">
        <f>IF($A214="","",IF(COUNTIF($A$2:$A214,$A214)=1,1,0))</f>
        <v/>
      </c>
      <c r="W214">
        <f>IF($V214=1,SUMPRODUCT(--($Y$2:$Y$501&lt;$Y214))+1,"")</f>
        <v/>
      </c>
      <c r="X214">
        <f>IF($A214="","",IF(OR($Q214=TRUE(),$Q214="TRUE"),1,0))</f>
        <v/>
      </c>
      <c r="Y214">
        <f>IF($V214=1,IFERROR(VALUE(MID($A214,2,20)),1000000000)+ROW()/100000,"")</f>
        <v/>
      </c>
    </row>
    <row r="215">
      <c r="B215">
        <f>IF($A215="","",IFERROR(IF(INDEX('Per Invoice'!$A$2:$A$201,MATCH($A215,'Per Invoice'!$B$2:$B$201,0))=0,"",INDEX('Per Invoice'!$A$2:$A$201,MATCH($A215,'Per Invoice'!$B$2:$B$201,0))),""))</f>
        <v/>
      </c>
      <c r="G215" s="7">
        <f>IF($A215="","",F215*T215/100)</f>
        <v/>
      </c>
      <c r="J215" s="7" t="n"/>
      <c r="K215" s="7" t="n"/>
      <c r="L215" s="7" t="n"/>
      <c r="O215" s="11" t="n"/>
      <c r="R215">
        <f>IF($A215="","",IF($X215=1,Settings!$C$6,Settings!$C$7)*1)</f>
        <v/>
      </c>
      <c r="S215" s="7">
        <f>IF($A215="","",R215*L215)</f>
        <v/>
      </c>
      <c r="T215" s="7">
        <f>IF($A215="","",L215-S215)</f>
        <v/>
      </c>
      <c r="U215" s="7">
        <f>IF($A215="","",T215-G215)</f>
        <v/>
      </c>
      <c r="V215">
        <f>IF($A215="","",IF(COUNTIF($A$2:$A215,$A215)=1,1,0))</f>
        <v/>
      </c>
      <c r="W215">
        <f>IF($V215=1,SUMPRODUCT(--($Y$2:$Y$501&lt;$Y215))+1,"")</f>
        <v/>
      </c>
      <c r="X215">
        <f>IF($A215="","",IF(OR($Q215=TRUE(),$Q215="TRUE"),1,0))</f>
        <v/>
      </c>
      <c r="Y215">
        <f>IF($V215=1,IFERROR(VALUE(MID($A215,2,20)),1000000000)+ROW()/100000,"")</f>
        <v/>
      </c>
    </row>
    <row r="216">
      <c r="B216">
        <f>IF($A216="","",IFERROR(IF(INDEX('Per Invoice'!$A$2:$A$201,MATCH($A216,'Per Invoice'!$B$2:$B$201,0))=0,"",INDEX('Per Invoice'!$A$2:$A$201,MATCH($A216,'Per Invoice'!$B$2:$B$201,0))),""))</f>
        <v/>
      </c>
      <c r="G216" s="7">
        <f>IF($A216="","",F216*T216/100)</f>
        <v/>
      </c>
      <c r="J216" s="7" t="n"/>
      <c r="K216" s="7" t="n"/>
      <c r="L216" s="7" t="n"/>
      <c r="O216" s="11" t="n"/>
      <c r="R216">
        <f>IF($A216="","",IF($X216=1,Settings!$C$6,Settings!$C$7)*1)</f>
        <v/>
      </c>
      <c r="S216" s="7">
        <f>IF($A216="","",R216*L216)</f>
        <v/>
      </c>
      <c r="T216" s="7">
        <f>IF($A216="","",L216-S216)</f>
        <v/>
      </c>
      <c r="U216" s="7">
        <f>IF($A216="","",T216-G216)</f>
        <v/>
      </c>
      <c r="V216">
        <f>IF($A216="","",IF(COUNTIF($A$2:$A216,$A216)=1,1,0))</f>
        <v/>
      </c>
      <c r="W216">
        <f>IF($V216=1,SUMPRODUCT(--($Y$2:$Y$501&lt;$Y216))+1,"")</f>
        <v/>
      </c>
      <c r="X216">
        <f>IF($A216="","",IF(OR($Q216=TRUE(),$Q216="TRUE"),1,0))</f>
        <v/>
      </c>
      <c r="Y216">
        <f>IF($V216=1,IFERROR(VALUE(MID($A216,2,20)),1000000000)+ROW()/100000,"")</f>
        <v/>
      </c>
    </row>
    <row r="217">
      <c r="B217">
        <f>IF($A217="","",IFERROR(IF(INDEX('Per Invoice'!$A$2:$A$201,MATCH($A217,'Per Invoice'!$B$2:$B$201,0))=0,"",INDEX('Per Invoice'!$A$2:$A$201,MATCH($A217,'Per Invoice'!$B$2:$B$201,0))),""))</f>
        <v/>
      </c>
      <c r="G217" s="7">
        <f>IF($A217="","",F217*T217/100)</f>
        <v/>
      </c>
      <c r="J217" s="7" t="n"/>
      <c r="K217" s="7" t="n"/>
      <c r="L217" s="7" t="n"/>
      <c r="O217" s="11" t="n"/>
      <c r="R217">
        <f>IF($A217="","",IF($X217=1,Settings!$C$6,Settings!$C$7)*1)</f>
        <v/>
      </c>
      <c r="S217" s="7">
        <f>IF($A217="","",R217*L217)</f>
        <v/>
      </c>
      <c r="T217" s="7">
        <f>IF($A217="","",L217-S217)</f>
        <v/>
      </c>
      <c r="U217" s="7">
        <f>IF($A217="","",T217-G217)</f>
        <v/>
      </c>
      <c r="V217">
        <f>IF($A217="","",IF(COUNTIF($A$2:$A217,$A217)=1,1,0))</f>
        <v/>
      </c>
      <c r="W217">
        <f>IF($V217=1,SUMPRODUCT(--($Y$2:$Y$501&lt;$Y217))+1,"")</f>
        <v/>
      </c>
      <c r="X217">
        <f>IF($A217="","",IF(OR($Q217=TRUE(),$Q217="TRUE"),1,0))</f>
        <v/>
      </c>
      <c r="Y217">
        <f>IF($V217=1,IFERROR(VALUE(MID($A217,2,20)),1000000000)+ROW()/100000,"")</f>
        <v/>
      </c>
    </row>
    <row r="218">
      <c r="B218">
        <f>IF($A218="","",IFERROR(IF(INDEX('Per Invoice'!$A$2:$A$201,MATCH($A218,'Per Invoice'!$B$2:$B$201,0))=0,"",INDEX('Per Invoice'!$A$2:$A$201,MATCH($A218,'Per Invoice'!$B$2:$B$201,0))),""))</f>
        <v/>
      </c>
      <c r="G218" s="7">
        <f>IF($A218="","",F218*T218/100)</f>
        <v/>
      </c>
      <c r="J218" s="7" t="n"/>
      <c r="K218" s="7" t="n"/>
      <c r="L218" s="7" t="n"/>
      <c r="O218" s="11" t="n"/>
      <c r="R218">
        <f>IF($A218="","",IF($X218=1,Settings!$C$6,Settings!$C$7)*1)</f>
        <v/>
      </c>
      <c r="S218" s="7">
        <f>IF($A218="","",R218*L218)</f>
        <v/>
      </c>
      <c r="T218" s="7">
        <f>IF($A218="","",L218-S218)</f>
        <v/>
      </c>
      <c r="U218" s="7">
        <f>IF($A218="","",T218-G218)</f>
        <v/>
      </c>
      <c r="V218">
        <f>IF($A218="","",IF(COUNTIF($A$2:$A218,$A218)=1,1,0))</f>
        <v/>
      </c>
      <c r="W218">
        <f>IF($V218=1,SUMPRODUCT(--($Y$2:$Y$501&lt;$Y218))+1,"")</f>
        <v/>
      </c>
      <c r="X218">
        <f>IF($A218="","",IF(OR($Q218=TRUE(),$Q218="TRUE"),1,0))</f>
        <v/>
      </c>
      <c r="Y218">
        <f>IF($V218=1,IFERROR(VALUE(MID($A218,2,20)),1000000000)+ROW()/100000,"")</f>
        <v/>
      </c>
    </row>
    <row r="219">
      <c r="B219">
        <f>IF($A219="","",IFERROR(IF(INDEX('Per Invoice'!$A$2:$A$201,MATCH($A219,'Per Invoice'!$B$2:$B$201,0))=0,"",INDEX('Per Invoice'!$A$2:$A$201,MATCH($A219,'Per Invoice'!$B$2:$B$201,0))),""))</f>
        <v/>
      </c>
      <c r="G219" s="7">
        <f>IF($A219="","",F219*T219/100)</f>
        <v/>
      </c>
      <c r="J219" s="7" t="n"/>
      <c r="K219" s="7" t="n"/>
      <c r="L219" s="7" t="n"/>
      <c r="O219" s="11" t="n"/>
      <c r="R219">
        <f>IF($A219="","",IF($X219=1,Settings!$C$6,Settings!$C$7)*1)</f>
        <v/>
      </c>
      <c r="S219" s="7">
        <f>IF($A219="","",R219*L219)</f>
        <v/>
      </c>
      <c r="T219" s="7">
        <f>IF($A219="","",L219-S219)</f>
        <v/>
      </c>
      <c r="U219" s="7">
        <f>IF($A219="","",T219-G219)</f>
        <v/>
      </c>
      <c r="V219">
        <f>IF($A219="","",IF(COUNTIF($A$2:$A219,$A219)=1,1,0))</f>
        <v/>
      </c>
      <c r="W219">
        <f>IF($V219=1,SUMPRODUCT(--($Y$2:$Y$501&lt;$Y219))+1,"")</f>
        <v/>
      </c>
      <c r="X219">
        <f>IF($A219="","",IF(OR($Q219=TRUE(),$Q219="TRUE"),1,0))</f>
        <v/>
      </c>
      <c r="Y219">
        <f>IF($V219=1,IFERROR(VALUE(MID($A219,2,20)),1000000000)+ROW()/100000,"")</f>
        <v/>
      </c>
    </row>
    <row r="220">
      <c r="B220">
        <f>IF($A220="","",IFERROR(IF(INDEX('Per Invoice'!$A$2:$A$201,MATCH($A220,'Per Invoice'!$B$2:$B$201,0))=0,"",INDEX('Per Invoice'!$A$2:$A$201,MATCH($A220,'Per Invoice'!$B$2:$B$201,0))),""))</f>
        <v/>
      </c>
      <c r="G220" s="7">
        <f>IF($A220="","",F220*T220/100)</f>
        <v/>
      </c>
      <c r="J220" s="7" t="n"/>
      <c r="K220" s="7" t="n"/>
      <c r="L220" s="7" t="n"/>
      <c r="O220" s="11" t="n"/>
      <c r="R220">
        <f>IF($A220="","",IF($X220=1,Settings!$C$6,Settings!$C$7)*1)</f>
        <v/>
      </c>
      <c r="S220" s="7">
        <f>IF($A220="","",R220*L220)</f>
        <v/>
      </c>
      <c r="T220" s="7">
        <f>IF($A220="","",L220-S220)</f>
        <v/>
      </c>
      <c r="U220" s="7">
        <f>IF($A220="","",T220-G220)</f>
        <v/>
      </c>
      <c r="V220">
        <f>IF($A220="","",IF(COUNTIF($A$2:$A220,$A220)=1,1,0))</f>
        <v/>
      </c>
      <c r="W220">
        <f>IF($V220=1,SUMPRODUCT(--($Y$2:$Y$501&lt;$Y220))+1,"")</f>
        <v/>
      </c>
      <c r="X220">
        <f>IF($A220="","",IF(OR($Q220=TRUE(),$Q220="TRUE"),1,0))</f>
        <v/>
      </c>
      <c r="Y220">
        <f>IF($V220=1,IFERROR(VALUE(MID($A220,2,20)),1000000000)+ROW()/100000,"")</f>
        <v/>
      </c>
    </row>
    <row r="221">
      <c r="B221">
        <f>IF($A221="","",IFERROR(IF(INDEX('Per Invoice'!$A$2:$A$201,MATCH($A221,'Per Invoice'!$B$2:$B$201,0))=0,"",INDEX('Per Invoice'!$A$2:$A$201,MATCH($A221,'Per Invoice'!$B$2:$B$201,0))),""))</f>
        <v/>
      </c>
      <c r="G221" s="7">
        <f>IF($A221="","",F221*T221/100)</f>
        <v/>
      </c>
      <c r="J221" s="7" t="n"/>
      <c r="K221" s="7" t="n"/>
      <c r="L221" s="7" t="n"/>
      <c r="O221" s="11" t="n"/>
      <c r="R221">
        <f>IF($A221="","",IF($X221=1,Settings!$C$6,Settings!$C$7)*1)</f>
        <v/>
      </c>
      <c r="S221" s="7">
        <f>IF($A221="","",R221*L221)</f>
        <v/>
      </c>
      <c r="T221" s="7">
        <f>IF($A221="","",L221-S221)</f>
        <v/>
      </c>
      <c r="U221" s="7">
        <f>IF($A221="","",T221-G221)</f>
        <v/>
      </c>
      <c r="V221">
        <f>IF($A221="","",IF(COUNTIF($A$2:$A221,$A221)=1,1,0))</f>
        <v/>
      </c>
      <c r="W221">
        <f>IF($V221=1,SUMPRODUCT(--($Y$2:$Y$501&lt;$Y221))+1,"")</f>
        <v/>
      </c>
      <c r="X221">
        <f>IF($A221="","",IF(OR($Q221=TRUE(),$Q221="TRUE"),1,0))</f>
        <v/>
      </c>
      <c r="Y221">
        <f>IF($V221=1,IFERROR(VALUE(MID($A221,2,20)),1000000000)+ROW()/100000,"")</f>
        <v/>
      </c>
    </row>
    <row r="222">
      <c r="B222">
        <f>IF($A222="","",IFERROR(IF(INDEX('Per Invoice'!$A$2:$A$201,MATCH($A222,'Per Invoice'!$B$2:$B$201,0))=0,"",INDEX('Per Invoice'!$A$2:$A$201,MATCH($A222,'Per Invoice'!$B$2:$B$201,0))),""))</f>
        <v/>
      </c>
      <c r="G222" s="7">
        <f>IF($A222="","",F222*T222/100)</f>
        <v/>
      </c>
      <c r="J222" s="7" t="n"/>
      <c r="K222" s="7" t="n"/>
      <c r="L222" s="7" t="n"/>
      <c r="O222" s="11" t="n"/>
      <c r="R222">
        <f>IF($A222="","",IF($X222=1,Settings!$C$6,Settings!$C$7)*1)</f>
        <v/>
      </c>
      <c r="S222" s="7">
        <f>IF($A222="","",R222*L222)</f>
        <v/>
      </c>
      <c r="T222" s="7">
        <f>IF($A222="","",L222-S222)</f>
        <v/>
      </c>
      <c r="U222" s="7">
        <f>IF($A222="","",T222-G222)</f>
        <v/>
      </c>
      <c r="V222">
        <f>IF($A222="","",IF(COUNTIF($A$2:$A222,$A222)=1,1,0))</f>
        <v/>
      </c>
      <c r="W222">
        <f>IF($V222=1,SUMPRODUCT(--($Y$2:$Y$501&lt;$Y222))+1,"")</f>
        <v/>
      </c>
      <c r="X222">
        <f>IF($A222="","",IF(OR($Q222=TRUE(),$Q222="TRUE"),1,0))</f>
        <v/>
      </c>
      <c r="Y222">
        <f>IF($V222=1,IFERROR(VALUE(MID($A222,2,20)),1000000000)+ROW()/100000,"")</f>
        <v/>
      </c>
    </row>
    <row r="223">
      <c r="B223">
        <f>IF($A223="","",IFERROR(IF(INDEX('Per Invoice'!$A$2:$A$201,MATCH($A223,'Per Invoice'!$B$2:$B$201,0))=0,"",INDEX('Per Invoice'!$A$2:$A$201,MATCH($A223,'Per Invoice'!$B$2:$B$201,0))),""))</f>
        <v/>
      </c>
      <c r="G223" s="7">
        <f>IF($A223="","",F223*T223/100)</f>
        <v/>
      </c>
      <c r="J223" s="7" t="n"/>
      <c r="K223" s="7" t="n"/>
      <c r="L223" s="7" t="n"/>
      <c r="O223" s="11" t="n"/>
      <c r="R223">
        <f>IF($A223="","",IF($X223=1,Settings!$C$6,Settings!$C$7)*1)</f>
        <v/>
      </c>
      <c r="S223" s="7">
        <f>IF($A223="","",R223*L223)</f>
        <v/>
      </c>
      <c r="T223" s="7">
        <f>IF($A223="","",L223-S223)</f>
        <v/>
      </c>
      <c r="U223" s="7">
        <f>IF($A223="","",T223-G223)</f>
        <v/>
      </c>
      <c r="V223">
        <f>IF($A223="","",IF(COUNTIF($A$2:$A223,$A223)=1,1,0))</f>
        <v/>
      </c>
      <c r="W223">
        <f>IF($V223=1,SUMPRODUCT(--($Y$2:$Y$501&lt;$Y223))+1,"")</f>
        <v/>
      </c>
      <c r="X223">
        <f>IF($A223="","",IF(OR($Q223=TRUE(),$Q223="TRUE"),1,0))</f>
        <v/>
      </c>
      <c r="Y223">
        <f>IF($V223=1,IFERROR(VALUE(MID($A223,2,20)),1000000000)+ROW()/100000,"")</f>
        <v/>
      </c>
    </row>
    <row r="224">
      <c r="B224">
        <f>IF($A224="","",IFERROR(IF(INDEX('Per Invoice'!$A$2:$A$201,MATCH($A224,'Per Invoice'!$B$2:$B$201,0))=0,"",INDEX('Per Invoice'!$A$2:$A$201,MATCH($A224,'Per Invoice'!$B$2:$B$201,0))),""))</f>
        <v/>
      </c>
      <c r="G224" s="7">
        <f>IF($A224="","",F224*T224/100)</f>
        <v/>
      </c>
      <c r="J224" s="7" t="n"/>
      <c r="K224" s="7" t="n"/>
      <c r="L224" s="7" t="n"/>
      <c r="O224" s="11" t="n"/>
      <c r="R224">
        <f>IF($A224="","",IF($X224=1,Settings!$C$6,Settings!$C$7)*1)</f>
        <v/>
      </c>
      <c r="S224" s="7">
        <f>IF($A224="","",R224*L224)</f>
        <v/>
      </c>
      <c r="T224" s="7">
        <f>IF($A224="","",L224-S224)</f>
        <v/>
      </c>
      <c r="U224" s="7">
        <f>IF($A224="","",T224-G224)</f>
        <v/>
      </c>
      <c r="V224">
        <f>IF($A224="","",IF(COUNTIF($A$2:$A224,$A224)=1,1,0))</f>
        <v/>
      </c>
      <c r="W224">
        <f>IF($V224=1,SUMPRODUCT(--($Y$2:$Y$501&lt;$Y224))+1,"")</f>
        <v/>
      </c>
      <c r="X224">
        <f>IF($A224="","",IF(OR($Q224=TRUE(),$Q224="TRUE"),1,0))</f>
        <v/>
      </c>
      <c r="Y224">
        <f>IF($V224=1,IFERROR(VALUE(MID($A224,2,20)),1000000000)+ROW()/100000,"")</f>
        <v/>
      </c>
    </row>
    <row r="225">
      <c r="B225">
        <f>IF($A225="","",IFERROR(IF(INDEX('Per Invoice'!$A$2:$A$201,MATCH($A225,'Per Invoice'!$B$2:$B$201,0))=0,"",INDEX('Per Invoice'!$A$2:$A$201,MATCH($A225,'Per Invoice'!$B$2:$B$201,0))),""))</f>
        <v/>
      </c>
      <c r="G225" s="7">
        <f>IF($A225="","",F225*T225/100)</f>
        <v/>
      </c>
      <c r="J225" s="7" t="n"/>
      <c r="K225" s="7" t="n"/>
      <c r="L225" s="7" t="n"/>
      <c r="O225" s="11" t="n"/>
      <c r="R225">
        <f>IF($A225="","",IF($X225=1,Settings!$C$6,Settings!$C$7)*1)</f>
        <v/>
      </c>
      <c r="S225" s="7">
        <f>IF($A225="","",R225*L225)</f>
        <v/>
      </c>
      <c r="T225" s="7">
        <f>IF($A225="","",L225-S225)</f>
        <v/>
      </c>
      <c r="U225" s="7">
        <f>IF($A225="","",T225-G225)</f>
        <v/>
      </c>
      <c r="V225">
        <f>IF($A225="","",IF(COUNTIF($A$2:$A225,$A225)=1,1,0))</f>
        <v/>
      </c>
      <c r="W225">
        <f>IF($V225=1,SUMPRODUCT(--($Y$2:$Y$501&lt;$Y225))+1,"")</f>
        <v/>
      </c>
      <c r="X225">
        <f>IF($A225="","",IF(OR($Q225=TRUE(),$Q225="TRUE"),1,0))</f>
        <v/>
      </c>
      <c r="Y225">
        <f>IF($V225=1,IFERROR(VALUE(MID($A225,2,20)),1000000000)+ROW()/100000,"")</f>
        <v/>
      </c>
    </row>
    <row r="226">
      <c r="B226">
        <f>IF($A226="","",IFERROR(IF(INDEX('Per Invoice'!$A$2:$A$201,MATCH($A226,'Per Invoice'!$B$2:$B$201,0))=0,"",INDEX('Per Invoice'!$A$2:$A$201,MATCH($A226,'Per Invoice'!$B$2:$B$201,0))),""))</f>
        <v/>
      </c>
      <c r="G226" s="7">
        <f>IF($A226="","",F226*T226/100)</f>
        <v/>
      </c>
      <c r="J226" s="7" t="n"/>
      <c r="K226" s="7" t="n"/>
      <c r="L226" s="7" t="n"/>
      <c r="O226" s="11" t="n"/>
      <c r="R226">
        <f>IF($A226="","",IF($X226=1,Settings!$C$6,Settings!$C$7)*1)</f>
        <v/>
      </c>
      <c r="S226" s="7">
        <f>IF($A226="","",R226*L226)</f>
        <v/>
      </c>
      <c r="T226" s="7">
        <f>IF($A226="","",L226-S226)</f>
        <v/>
      </c>
      <c r="U226" s="7">
        <f>IF($A226="","",T226-G226)</f>
        <v/>
      </c>
      <c r="V226">
        <f>IF($A226="","",IF(COUNTIF($A$2:$A226,$A226)=1,1,0))</f>
        <v/>
      </c>
      <c r="W226">
        <f>IF($V226=1,SUMPRODUCT(--($Y$2:$Y$501&lt;$Y226))+1,"")</f>
        <v/>
      </c>
      <c r="X226">
        <f>IF($A226="","",IF(OR($Q226=TRUE(),$Q226="TRUE"),1,0))</f>
        <v/>
      </c>
      <c r="Y226">
        <f>IF($V226=1,IFERROR(VALUE(MID($A226,2,20)),1000000000)+ROW()/100000,"")</f>
        <v/>
      </c>
    </row>
    <row r="227">
      <c r="B227">
        <f>IF($A227="","",IFERROR(IF(INDEX('Per Invoice'!$A$2:$A$201,MATCH($A227,'Per Invoice'!$B$2:$B$201,0))=0,"",INDEX('Per Invoice'!$A$2:$A$201,MATCH($A227,'Per Invoice'!$B$2:$B$201,0))),""))</f>
        <v/>
      </c>
      <c r="G227" s="7">
        <f>IF($A227="","",F227*T227/100)</f>
        <v/>
      </c>
      <c r="J227" s="7" t="n"/>
      <c r="K227" s="7" t="n"/>
      <c r="L227" s="7" t="n"/>
      <c r="O227" s="11" t="n"/>
      <c r="R227">
        <f>IF($A227="","",IF($X227=1,Settings!$C$6,Settings!$C$7)*1)</f>
        <v/>
      </c>
      <c r="S227" s="7">
        <f>IF($A227="","",R227*L227)</f>
        <v/>
      </c>
      <c r="T227" s="7">
        <f>IF($A227="","",L227-S227)</f>
        <v/>
      </c>
      <c r="U227" s="7">
        <f>IF($A227="","",T227-G227)</f>
        <v/>
      </c>
      <c r="V227">
        <f>IF($A227="","",IF(COUNTIF($A$2:$A227,$A227)=1,1,0))</f>
        <v/>
      </c>
      <c r="W227">
        <f>IF($V227=1,SUMPRODUCT(--($Y$2:$Y$501&lt;$Y227))+1,"")</f>
        <v/>
      </c>
      <c r="X227">
        <f>IF($A227="","",IF(OR($Q227=TRUE(),$Q227="TRUE"),1,0))</f>
        <v/>
      </c>
      <c r="Y227">
        <f>IF($V227=1,IFERROR(VALUE(MID($A227,2,20)),1000000000)+ROW()/100000,"")</f>
        <v/>
      </c>
    </row>
    <row r="228">
      <c r="B228">
        <f>IF($A228="","",IFERROR(IF(INDEX('Per Invoice'!$A$2:$A$201,MATCH($A228,'Per Invoice'!$B$2:$B$201,0))=0,"",INDEX('Per Invoice'!$A$2:$A$201,MATCH($A228,'Per Invoice'!$B$2:$B$201,0))),""))</f>
        <v/>
      </c>
      <c r="G228" s="7">
        <f>IF($A228="","",F228*T228/100)</f>
        <v/>
      </c>
      <c r="J228" s="7" t="n"/>
      <c r="K228" s="7" t="n"/>
      <c r="L228" s="7" t="n"/>
      <c r="O228" s="11" t="n"/>
      <c r="R228">
        <f>IF($A228="","",IF($X228=1,Settings!$C$6,Settings!$C$7)*1)</f>
        <v/>
      </c>
      <c r="S228" s="7">
        <f>IF($A228="","",R228*L228)</f>
        <v/>
      </c>
      <c r="T228" s="7">
        <f>IF($A228="","",L228-S228)</f>
        <v/>
      </c>
      <c r="U228" s="7">
        <f>IF($A228="","",T228-G228)</f>
        <v/>
      </c>
      <c r="V228">
        <f>IF($A228="","",IF(COUNTIF($A$2:$A228,$A228)=1,1,0))</f>
        <v/>
      </c>
      <c r="W228">
        <f>IF($V228=1,SUMPRODUCT(--($Y$2:$Y$501&lt;$Y228))+1,"")</f>
        <v/>
      </c>
      <c r="X228">
        <f>IF($A228="","",IF(OR($Q228=TRUE(),$Q228="TRUE"),1,0))</f>
        <v/>
      </c>
      <c r="Y228">
        <f>IF($V228=1,IFERROR(VALUE(MID($A228,2,20)),1000000000)+ROW()/100000,"")</f>
        <v/>
      </c>
    </row>
    <row r="229">
      <c r="B229">
        <f>IF($A229="","",IFERROR(IF(INDEX('Per Invoice'!$A$2:$A$201,MATCH($A229,'Per Invoice'!$B$2:$B$201,0))=0,"",INDEX('Per Invoice'!$A$2:$A$201,MATCH($A229,'Per Invoice'!$B$2:$B$201,0))),""))</f>
        <v/>
      </c>
      <c r="G229" s="7">
        <f>IF($A229="","",F229*T229/100)</f>
        <v/>
      </c>
      <c r="J229" s="7" t="n"/>
      <c r="K229" s="7" t="n"/>
      <c r="L229" s="7" t="n"/>
      <c r="O229" s="11" t="n"/>
      <c r="R229">
        <f>IF($A229="","",IF($X229=1,Settings!$C$6,Settings!$C$7)*1)</f>
        <v/>
      </c>
      <c r="S229" s="7">
        <f>IF($A229="","",R229*L229)</f>
        <v/>
      </c>
      <c r="T229" s="7">
        <f>IF($A229="","",L229-S229)</f>
        <v/>
      </c>
      <c r="U229" s="7">
        <f>IF($A229="","",T229-G229)</f>
        <v/>
      </c>
      <c r="V229">
        <f>IF($A229="","",IF(COUNTIF($A$2:$A229,$A229)=1,1,0))</f>
        <v/>
      </c>
      <c r="W229">
        <f>IF($V229=1,SUMPRODUCT(--($Y$2:$Y$501&lt;$Y229))+1,"")</f>
        <v/>
      </c>
      <c r="X229">
        <f>IF($A229="","",IF(OR($Q229=TRUE(),$Q229="TRUE"),1,0))</f>
        <v/>
      </c>
      <c r="Y229">
        <f>IF($V229=1,IFERROR(VALUE(MID($A229,2,20)),1000000000)+ROW()/100000,"")</f>
        <v/>
      </c>
    </row>
    <row r="230">
      <c r="B230">
        <f>IF($A230="","",IFERROR(IF(INDEX('Per Invoice'!$A$2:$A$201,MATCH($A230,'Per Invoice'!$B$2:$B$201,0))=0,"",INDEX('Per Invoice'!$A$2:$A$201,MATCH($A230,'Per Invoice'!$B$2:$B$201,0))),""))</f>
        <v/>
      </c>
      <c r="G230" s="7">
        <f>IF($A230="","",F230*T230/100)</f>
        <v/>
      </c>
      <c r="J230" s="7" t="n"/>
      <c r="K230" s="7" t="n"/>
      <c r="L230" s="7" t="n"/>
      <c r="O230" s="11" t="n"/>
      <c r="R230">
        <f>IF($A230="","",IF($X230=1,Settings!$C$6,Settings!$C$7)*1)</f>
        <v/>
      </c>
      <c r="S230" s="7">
        <f>IF($A230="","",R230*L230)</f>
        <v/>
      </c>
      <c r="T230" s="7">
        <f>IF($A230="","",L230-S230)</f>
        <v/>
      </c>
      <c r="U230" s="7">
        <f>IF($A230="","",T230-G230)</f>
        <v/>
      </c>
      <c r="V230">
        <f>IF($A230="","",IF(COUNTIF($A$2:$A230,$A230)=1,1,0))</f>
        <v/>
      </c>
      <c r="W230">
        <f>IF($V230=1,SUMPRODUCT(--($Y$2:$Y$501&lt;$Y230))+1,"")</f>
        <v/>
      </c>
      <c r="X230">
        <f>IF($A230="","",IF(OR($Q230=TRUE(),$Q230="TRUE"),1,0))</f>
        <v/>
      </c>
      <c r="Y230">
        <f>IF($V230=1,IFERROR(VALUE(MID($A230,2,20)),1000000000)+ROW()/100000,"")</f>
        <v/>
      </c>
    </row>
    <row r="231">
      <c r="B231">
        <f>IF($A231="","",IFERROR(IF(INDEX('Per Invoice'!$A$2:$A$201,MATCH($A231,'Per Invoice'!$B$2:$B$201,0))=0,"",INDEX('Per Invoice'!$A$2:$A$201,MATCH($A231,'Per Invoice'!$B$2:$B$201,0))),""))</f>
        <v/>
      </c>
      <c r="G231" s="7">
        <f>IF($A231="","",F231*T231/100)</f>
        <v/>
      </c>
      <c r="J231" s="7" t="n"/>
      <c r="K231" s="7" t="n"/>
      <c r="L231" s="7" t="n"/>
      <c r="O231" s="11" t="n"/>
      <c r="R231">
        <f>IF($A231="","",IF($X231=1,Settings!$C$6,Settings!$C$7)*1)</f>
        <v/>
      </c>
      <c r="S231" s="7">
        <f>IF($A231="","",R231*L231)</f>
        <v/>
      </c>
      <c r="T231" s="7">
        <f>IF($A231="","",L231-S231)</f>
        <v/>
      </c>
      <c r="U231" s="7">
        <f>IF($A231="","",T231-G231)</f>
        <v/>
      </c>
      <c r="V231">
        <f>IF($A231="","",IF(COUNTIF($A$2:$A231,$A231)=1,1,0))</f>
        <v/>
      </c>
      <c r="W231">
        <f>IF($V231=1,SUMPRODUCT(--($Y$2:$Y$501&lt;$Y231))+1,"")</f>
        <v/>
      </c>
      <c r="X231">
        <f>IF($A231="","",IF(OR($Q231=TRUE(),$Q231="TRUE"),1,0))</f>
        <v/>
      </c>
      <c r="Y231">
        <f>IF($V231=1,IFERROR(VALUE(MID($A231,2,20)),1000000000)+ROW()/100000,"")</f>
        <v/>
      </c>
    </row>
    <row r="232">
      <c r="B232">
        <f>IF($A232="","",IFERROR(IF(INDEX('Per Invoice'!$A$2:$A$201,MATCH($A232,'Per Invoice'!$B$2:$B$201,0))=0,"",INDEX('Per Invoice'!$A$2:$A$201,MATCH($A232,'Per Invoice'!$B$2:$B$201,0))),""))</f>
        <v/>
      </c>
      <c r="G232" s="7">
        <f>IF($A232="","",F232*T232/100)</f>
        <v/>
      </c>
      <c r="J232" s="7" t="n"/>
      <c r="K232" s="7" t="n"/>
      <c r="L232" s="7" t="n"/>
      <c r="O232" s="11" t="n"/>
      <c r="R232">
        <f>IF($A232="","",IF($X232=1,Settings!$C$6,Settings!$C$7)*1)</f>
        <v/>
      </c>
      <c r="S232" s="7">
        <f>IF($A232="","",R232*L232)</f>
        <v/>
      </c>
      <c r="T232" s="7">
        <f>IF($A232="","",L232-S232)</f>
        <v/>
      </c>
      <c r="U232" s="7">
        <f>IF($A232="","",T232-G232)</f>
        <v/>
      </c>
      <c r="V232">
        <f>IF($A232="","",IF(COUNTIF($A$2:$A232,$A232)=1,1,0))</f>
        <v/>
      </c>
      <c r="W232">
        <f>IF($V232=1,SUMPRODUCT(--($Y$2:$Y$501&lt;$Y232))+1,"")</f>
        <v/>
      </c>
      <c r="X232">
        <f>IF($A232="","",IF(OR($Q232=TRUE(),$Q232="TRUE"),1,0))</f>
        <v/>
      </c>
      <c r="Y232">
        <f>IF($V232=1,IFERROR(VALUE(MID($A232,2,20)),1000000000)+ROW()/100000,"")</f>
        <v/>
      </c>
    </row>
    <row r="233">
      <c r="B233">
        <f>IF($A233="","",IFERROR(IF(INDEX('Per Invoice'!$A$2:$A$201,MATCH($A233,'Per Invoice'!$B$2:$B$201,0))=0,"",INDEX('Per Invoice'!$A$2:$A$201,MATCH($A233,'Per Invoice'!$B$2:$B$201,0))),""))</f>
        <v/>
      </c>
      <c r="G233" s="7">
        <f>IF($A233="","",F233*T233/100)</f>
        <v/>
      </c>
      <c r="J233" s="7" t="n"/>
      <c r="K233" s="7" t="n"/>
      <c r="L233" s="7" t="n"/>
      <c r="O233" s="11" t="n"/>
      <c r="R233">
        <f>IF($A233="","",IF($X233=1,Settings!$C$6,Settings!$C$7)*1)</f>
        <v/>
      </c>
      <c r="S233" s="7">
        <f>IF($A233="","",R233*L233)</f>
        <v/>
      </c>
      <c r="T233" s="7">
        <f>IF($A233="","",L233-S233)</f>
        <v/>
      </c>
      <c r="U233" s="7">
        <f>IF($A233="","",T233-G233)</f>
        <v/>
      </c>
      <c r="V233">
        <f>IF($A233="","",IF(COUNTIF($A$2:$A233,$A233)=1,1,0))</f>
        <v/>
      </c>
      <c r="W233">
        <f>IF($V233=1,SUMPRODUCT(--($Y$2:$Y$501&lt;$Y233))+1,"")</f>
        <v/>
      </c>
      <c r="X233">
        <f>IF($A233="","",IF(OR($Q233=TRUE(),$Q233="TRUE"),1,0))</f>
        <v/>
      </c>
      <c r="Y233">
        <f>IF($V233=1,IFERROR(VALUE(MID($A233,2,20)),1000000000)+ROW()/100000,"")</f>
        <v/>
      </c>
    </row>
    <row r="234">
      <c r="B234">
        <f>IF($A234="","",IFERROR(IF(INDEX('Per Invoice'!$A$2:$A$201,MATCH($A234,'Per Invoice'!$B$2:$B$201,0))=0,"",INDEX('Per Invoice'!$A$2:$A$201,MATCH($A234,'Per Invoice'!$B$2:$B$201,0))),""))</f>
        <v/>
      </c>
      <c r="G234" s="7">
        <f>IF($A234="","",F234*T234/100)</f>
        <v/>
      </c>
      <c r="J234" s="7" t="n"/>
      <c r="K234" s="7" t="n"/>
      <c r="L234" s="7" t="n"/>
      <c r="O234" s="11" t="n"/>
      <c r="R234">
        <f>IF($A234="","",IF($X234=1,Settings!$C$6,Settings!$C$7)*1)</f>
        <v/>
      </c>
      <c r="S234" s="7">
        <f>IF($A234="","",R234*L234)</f>
        <v/>
      </c>
      <c r="T234" s="7">
        <f>IF($A234="","",L234-S234)</f>
        <v/>
      </c>
      <c r="U234" s="7">
        <f>IF($A234="","",T234-G234)</f>
        <v/>
      </c>
      <c r="V234">
        <f>IF($A234="","",IF(COUNTIF($A$2:$A234,$A234)=1,1,0))</f>
        <v/>
      </c>
      <c r="W234">
        <f>IF($V234=1,SUMPRODUCT(--($Y$2:$Y$501&lt;$Y234))+1,"")</f>
        <v/>
      </c>
      <c r="X234">
        <f>IF($A234="","",IF(OR($Q234=TRUE(),$Q234="TRUE"),1,0))</f>
        <v/>
      </c>
      <c r="Y234">
        <f>IF($V234=1,IFERROR(VALUE(MID($A234,2,20)),1000000000)+ROW()/100000,"")</f>
        <v/>
      </c>
    </row>
    <row r="235">
      <c r="B235">
        <f>IF($A235="","",IFERROR(IF(INDEX('Per Invoice'!$A$2:$A$201,MATCH($A235,'Per Invoice'!$B$2:$B$201,0))=0,"",INDEX('Per Invoice'!$A$2:$A$201,MATCH($A235,'Per Invoice'!$B$2:$B$201,0))),""))</f>
        <v/>
      </c>
      <c r="G235" s="7">
        <f>IF($A235="","",F235*T235/100)</f>
        <v/>
      </c>
      <c r="J235" s="7" t="n"/>
      <c r="K235" s="7" t="n"/>
      <c r="L235" s="7" t="n"/>
      <c r="O235" s="11" t="n"/>
      <c r="R235">
        <f>IF($A235="","",IF($X235=1,Settings!$C$6,Settings!$C$7)*1)</f>
        <v/>
      </c>
      <c r="S235" s="7">
        <f>IF($A235="","",R235*L235)</f>
        <v/>
      </c>
      <c r="T235" s="7">
        <f>IF($A235="","",L235-S235)</f>
        <v/>
      </c>
      <c r="U235" s="7">
        <f>IF($A235="","",T235-G235)</f>
        <v/>
      </c>
      <c r="V235">
        <f>IF($A235="","",IF(COUNTIF($A$2:$A235,$A235)=1,1,0))</f>
        <v/>
      </c>
      <c r="W235">
        <f>IF($V235=1,SUMPRODUCT(--($Y$2:$Y$501&lt;$Y235))+1,"")</f>
        <v/>
      </c>
      <c r="X235">
        <f>IF($A235="","",IF(OR($Q235=TRUE(),$Q235="TRUE"),1,0))</f>
        <v/>
      </c>
      <c r="Y235">
        <f>IF($V235=1,IFERROR(VALUE(MID($A235,2,20)),1000000000)+ROW()/100000,"")</f>
        <v/>
      </c>
    </row>
    <row r="236">
      <c r="B236">
        <f>IF($A236="","",IFERROR(IF(INDEX('Per Invoice'!$A$2:$A$201,MATCH($A236,'Per Invoice'!$B$2:$B$201,0))=0,"",INDEX('Per Invoice'!$A$2:$A$201,MATCH($A236,'Per Invoice'!$B$2:$B$201,0))),""))</f>
        <v/>
      </c>
      <c r="G236" s="7">
        <f>IF($A236="","",F236*T236/100)</f>
        <v/>
      </c>
      <c r="J236" s="7" t="n"/>
      <c r="K236" s="7" t="n"/>
      <c r="L236" s="7" t="n"/>
      <c r="O236" s="11" t="n"/>
      <c r="R236">
        <f>IF($A236="","",IF($X236=1,Settings!$C$6,Settings!$C$7)*1)</f>
        <v/>
      </c>
      <c r="S236" s="7">
        <f>IF($A236="","",R236*L236)</f>
        <v/>
      </c>
      <c r="T236" s="7">
        <f>IF($A236="","",L236-S236)</f>
        <v/>
      </c>
      <c r="U236" s="7">
        <f>IF($A236="","",T236-G236)</f>
        <v/>
      </c>
      <c r="V236">
        <f>IF($A236="","",IF(COUNTIF($A$2:$A236,$A236)=1,1,0))</f>
        <v/>
      </c>
      <c r="W236">
        <f>IF($V236=1,SUMPRODUCT(--($Y$2:$Y$501&lt;$Y236))+1,"")</f>
        <v/>
      </c>
      <c r="X236">
        <f>IF($A236="","",IF(OR($Q236=TRUE(),$Q236="TRUE"),1,0))</f>
        <v/>
      </c>
      <c r="Y236">
        <f>IF($V236=1,IFERROR(VALUE(MID($A236,2,20)),1000000000)+ROW()/100000,"")</f>
        <v/>
      </c>
    </row>
    <row r="237">
      <c r="B237">
        <f>IF($A237="","",IFERROR(IF(INDEX('Per Invoice'!$A$2:$A$201,MATCH($A237,'Per Invoice'!$B$2:$B$201,0))=0,"",INDEX('Per Invoice'!$A$2:$A$201,MATCH($A237,'Per Invoice'!$B$2:$B$201,0))),""))</f>
        <v/>
      </c>
      <c r="G237" s="7">
        <f>IF($A237="","",F237*T237/100)</f>
        <v/>
      </c>
      <c r="J237" s="7" t="n"/>
      <c r="K237" s="7" t="n"/>
      <c r="L237" s="7" t="n"/>
      <c r="O237" s="11" t="n"/>
      <c r="R237">
        <f>IF($A237="","",IF($X237=1,Settings!$C$6,Settings!$C$7)*1)</f>
        <v/>
      </c>
      <c r="S237" s="7">
        <f>IF($A237="","",R237*L237)</f>
        <v/>
      </c>
      <c r="T237" s="7">
        <f>IF($A237="","",L237-S237)</f>
        <v/>
      </c>
      <c r="U237" s="7">
        <f>IF($A237="","",T237-G237)</f>
        <v/>
      </c>
      <c r="V237">
        <f>IF($A237="","",IF(COUNTIF($A$2:$A237,$A237)=1,1,0))</f>
        <v/>
      </c>
      <c r="W237">
        <f>IF($V237=1,SUMPRODUCT(--($Y$2:$Y$501&lt;$Y237))+1,"")</f>
        <v/>
      </c>
      <c r="X237">
        <f>IF($A237="","",IF(OR($Q237=TRUE(),$Q237="TRUE"),1,0))</f>
        <v/>
      </c>
      <c r="Y237">
        <f>IF($V237=1,IFERROR(VALUE(MID($A237,2,20)),1000000000)+ROW()/100000,"")</f>
        <v/>
      </c>
    </row>
    <row r="238">
      <c r="B238">
        <f>IF($A238="","",IFERROR(IF(INDEX('Per Invoice'!$A$2:$A$201,MATCH($A238,'Per Invoice'!$B$2:$B$201,0))=0,"",INDEX('Per Invoice'!$A$2:$A$201,MATCH($A238,'Per Invoice'!$B$2:$B$201,0))),""))</f>
        <v/>
      </c>
      <c r="G238" s="7">
        <f>IF($A238="","",F238*T238/100)</f>
        <v/>
      </c>
      <c r="J238" s="7" t="n"/>
      <c r="K238" s="7" t="n"/>
      <c r="L238" s="7" t="n"/>
      <c r="O238" s="11" t="n"/>
      <c r="R238">
        <f>IF($A238="","",IF($X238=1,Settings!$C$6,Settings!$C$7)*1)</f>
        <v/>
      </c>
      <c r="S238" s="7">
        <f>IF($A238="","",R238*L238)</f>
        <v/>
      </c>
      <c r="T238" s="7">
        <f>IF($A238="","",L238-S238)</f>
        <v/>
      </c>
      <c r="U238" s="7">
        <f>IF($A238="","",T238-G238)</f>
        <v/>
      </c>
      <c r="V238">
        <f>IF($A238="","",IF(COUNTIF($A$2:$A238,$A238)=1,1,0))</f>
        <v/>
      </c>
      <c r="W238">
        <f>IF($V238=1,SUMPRODUCT(--($Y$2:$Y$501&lt;$Y238))+1,"")</f>
        <v/>
      </c>
      <c r="X238">
        <f>IF($A238="","",IF(OR($Q238=TRUE(),$Q238="TRUE"),1,0))</f>
        <v/>
      </c>
      <c r="Y238">
        <f>IF($V238=1,IFERROR(VALUE(MID($A238,2,20)),1000000000)+ROW()/100000,"")</f>
        <v/>
      </c>
    </row>
    <row r="239">
      <c r="B239">
        <f>IF($A239="","",IFERROR(IF(INDEX('Per Invoice'!$A$2:$A$201,MATCH($A239,'Per Invoice'!$B$2:$B$201,0))=0,"",INDEX('Per Invoice'!$A$2:$A$201,MATCH($A239,'Per Invoice'!$B$2:$B$201,0))),""))</f>
        <v/>
      </c>
      <c r="G239" s="7">
        <f>IF($A239="","",F239*T239/100)</f>
        <v/>
      </c>
      <c r="J239" s="7" t="n"/>
      <c r="K239" s="7" t="n"/>
      <c r="L239" s="7" t="n"/>
      <c r="O239" s="11" t="n"/>
      <c r="R239">
        <f>IF($A239="","",IF($X239=1,Settings!$C$6,Settings!$C$7)*1)</f>
        <v/>
      </c>
      <c r="S239" s="7">
        <f>IF($A239="","",R239*L239)</f>
        <v/>
      </c>
      <c r="T239" s="7">
        <f>IF($A239="","",L239-S239)</f>
        <v/>
      </c>
      <c r="U239" s="7">
        <f>IF($A239="","",T239-G239)</f>
        <v/>
      </c>
      <c r="V239">
        <f>IF($A239="","",IF(COUNTIF($A$2:$A239,$A239)=1,1,0))</f>
        <v/>
      </c>
      <c r="W239">
        <f>IF($V239=1,SUMPRODUCT(--($Y$2:$Y$501&lt;$Y239))+1,"")</f>
        <v/>
      </c>
      <c r="X239">
        <f>IF($A239="","",IF(OR($Q239=TRUE(),$Q239="TRUE"),1,0))</f>
        <v/>
      </c>
      <c r="Y239">
        <f>IF($V239=1,IFERROR(VALUE(MID($A239,2,20)),1000000000)+ROW()/100000,"")</f>
        <v/>
      </c>
    </row>
    <row r="240">
      <c r="B240">
        <f>IF($A240="","",IFERROR(IF(INDEX('Per Invoice'!$A$2:$A$201,MATCH($A240,'Per Invoice'!$B$2:$B$201,0))=0,"",INDEX('Per Invoice'!$A$2:$A$201,MATCH($A240,'Per Invoice'!$B$2:$B$201,0))),""))</f>
        <v/>
      </c>
      <c r="G240" s="7">
        <f>IF($A240="","",F240*T240/100)</f>
        <v/>
      </c>
      <c r="J240" s="7" t="n"/>
      <c r="K240" s="7" t="n"/>
      <c r="L240" s="7" t="n"/>
      <c r="O240" s="11" t="n"/>
      <c r="R240">
        <f>IF($A240="","",IF($X240=1,Settings!$C$6,Settings!$C$7)*1)</f>
        <v/>
      </c>
      <c r="S240" s="7">
        <f>IF($A240="","",R240*L240)</f>
        <v/>
      </c>
      <c r="T240" s="7">
        <f>IF($A240="","",L240-S240)</f>
        <v/>
      </c>
      <c r="U240" s="7">
        <f>IF($A240="","",T240-G240)</f>
        <v/>
      </c>
      <c r="V240">
        <f>IF($A240="","",IF(COUNTIF($A$2:$A240,$A240)=1,1,0))</f>
        <v/>
      </c>
      <c r="W240">
        <f>IF($V240=1,SUMPRODUCT(--($Y$2:$Y$501&lt;$Y240))+1,"")</f>
        <v/>
      </c>
      <c r="X240">
        <f>IF($A240="","",IF(OR($Q240=TRUE(),$Q240="TRUE"),1,0))</f>
        <v/>
      </c>
      <c r="Y240">
        <f>IF($V240=1,IFERROR(VALUE(MID($A240,2,20)),1000000000)+ROW()/100000,"")</f>
        <v/>
      </c>
    </row>
    <row r="241">
      <c r="B241">
        <f>IF($A241="","",IFERROR(IF(INDEX('Per Invoice'!$A$2:$A$201,MATCH($A241,'Per Invoice'!$B$2:$B$201,0))=0,"",INDEX('Per Invoice'!$A$2:$A$201,MATCH($A241,'Per Invoice'!$B$2:$B$201,0))),""))</f>
        <v/>
      </c>
      <c r="G241" s="7">
        <f>IF($A241="","",F241*T241/100)</f>
        <v/>
      </c>
      <c r="J241" s="7" t="n"/>
      <c r="K241" s="7" t="n"/>
      <c r="L241" s="7" t="n"/>
      <c r="O241" s="11" t="n"/>
      <c r="R241">
        <f>IF($A241="","",IF($X241=1,Settings!$C$6,Settings!$C$7)*1)</f>
        <v/>
      </c>
      <c r="S241" s="7">
        <f>IF($A241="","",R241*L241)</f>
        <v/>
      </c>
      <c r="T241" s="7">
        <f>IF($A241="","",L241-S241)</f>
        <v/>
      </c>
      <c r="U241" s="7">
        <f>IF($A241="","",T241-G241)</f>
        <v/>
      </c>
      <c r="V241">
        <f>IF($A241="","",IF(COUNTIF($A$2:$A241,$A241)=1,1,0))</f>
        <v/>
      </c>
      <c r="W241">
        <f>IF($V241=1,SUMPRODUCT(--($Y$2:$Y$501&lt;$Y241))+1,"")</f>
        <v/>
      </c>
      <c r="X241">
        <f>IF($A241="","",IF(OR($Q241=TRUE(),$Q241="TRUE"),1,0))</f>
        <v/>
      </c>
      <c r="Y241">
        <f>IF($V241=1,IFERROR(VALUE(MID($A241,2,20)),1000000000)+ROW()/100000,"")</f>
        <v/>
      </c>
    </row>
    <row r="242">
      <c r="B242">
        <f>IF($A242="","",IFERROR(IF(INDEX('Per Invoice'!$A$2:$A$201,MATCH($A242,'Per Invoice'!$B$2:$B$201,0))=0,"",INDEX('Per Invoice'!$A$2:$A$201,MATCH($A242,'Per Invoice'!$B$2:$B$201,0))),""))</f>
        <v/>
      </c>
      <c r="G242" s="7">
        <f>IF($A242="","",F242*T242/100)</f>
        <v/>
      </c>
      <c r="J242" s="7" t="n"/>
      <c r="K242" s="7" t="n"/>
      <c r="L242" s="7" t="n"/>
      <c r="O242" s="11" t="n"/>
      <c r="R242">
        <f>IF($A242="","",IF($X242=1,Settings!$C$6,Settings!$C$7)*1)</f>
        <v/>
      </c>
      <c r="S242" s="7">
        <f>IF($A242="","",R242*L242)</f>
        <v/>
      </c>
      <c r="T242" s="7">
        <f>IF($A242="","",L242-S242)</f>
        <v/>
      </c>
      <c r="U242" s="7">
        <f>IF($A242="","",T242-G242)</f>
        <v/>
      </c>
      <c r="V242">
        <f>IF($A242="","",IF(COUNTIF($A$2:$A242,$A242)=1,1,0))</f>
        <v/>
      </c>
      <c r="W242">
        <f>IF($V242=1,SUMPRODUCT(--($Y$2:$Y$501&lt;$Y242))+1,"")</f>
        <v/>
      </c>
      <c r="X242">
        <f>IF($A242="","",IF(OR($Q242=TRUE(),$Q242="TRUE"),1,0))</f>
        <v/>
      </c>
      <c r="Y242">
        <f>IF($V242=1,IFERROR(VALUE(MID($A242,2,20)),1000000000)+ROW()/100000,"")</f>
        <v/>
      </c>
    </row>
    <row r="243">
      <c r="B243">
        <f>IF($A243="","",IFERROR(IF(INDEX('Per Invoice'!$A$2:$A$201,MATCH($A243,'Per Invoice'!$B$2:$B$201,0))=0,"",INDEX('Per Invoice'!$A$2:$A$201,MATCH($A243,'Per Invoice'!$B$2:$B$201,0))),""))</f>
        <v/>
      </c>
      <c r="G243" s="7">
        <f>IF($A243="","",F243*T243/100)</f>
        <v/>
      </c>
      <c r="J243" s="7" t="n"/>
      <c r="K243" s="7" t="n"/>
      <c r="L243" s="7" t="n"/>
      <c r="O243" s="11" t="n"/>
      <c r="R243">
        <f>IF($A243="","",IF($X243=1,Settings!$C$6,Settings!$C$7)*1)</f>
        <v/>
      </c>
      <c r="S243" s="7">
        <f>IF($A243="","",R243*L243)</f>
        <v/>
      </c>
      <c r="T243" s="7">
        <f>IF($A243="","",L243-S243)</f>
        <v/>
      </c>
      <c r="U243" s="7">
        <f>IF($A243="","",T243-G243)</f>
        <v/>
      </c>
      <c r="V243">
        <f>IF($A243="","",IF(COUNTIF($A$2:$A243,$A243)=1,1,0))</f>
        <v/>
      </c>
      <c r="W243">
        <f>IF($V243=1,SUMPRODUCT(--($Y$2:$Y$501&lt;$Y243))+1,"")</f>
        <v/>
      </c>
      <c r="X243">
        <f>IF($A243="","",IF(OR($Q243=TRUE(),$Q243="TRUE"),1,0))</f>
        <v/>
      </c>
      <c r="Y243">
        <f>IF($V243=1,IFERROR(VALUE(MID($A243,2,20)),1000000000)+ROW()/100000,"")</f>
        <v/>
      </c>
    </row>
    <row r="244">
      <c r="B244">
        <f>IF($A244="","",IFERROR(IF(INDEX('Per Invoice'!$A$2:$A$201,MATCH($A244,'Per Invoice'!$B$2:$B$201,0))=0,"",INDEX('Per Invoice'!$A$2:$A$201,MATCH($A244,'Per Invoice'!$B$2:$B$201,0))),""))</f>
        <v/>
      </c>
      <c r="G244" s="7">
        <f>IF($A244="","",F244*T244/100)</f>
        <v/>
      </c>
      <c r="J244" s="7" t="n"/>
      <c r="K244" s="7" t="n"/>
      <c r="L244" s="7" t="n"/>
      <c r="O244" s="11" t="n"/>
      <c r="R244">
        <f>IF($A244="","",IF($X244=1,Settings!$C$6,Settings!$C$7)*1)</f>
        <v/>
      </c>
      <c r="S244" s="7">
        <f>IF($A244="","",R244*L244)</f>
        <v/>
      </c>
      <c r="T244" s="7">
        <f>IF($A244="","",L244-S244)</f>
        <v/>
      </c>
      <c r="U244" s="7">
        <f>IF($A244="","",T244-G244)</f>
        <v/>
      </c>
      <c r="V244">
        <f>IF($A244="","",IF(COUNTIF($A$2:$A244,$A244)=1,1,0))</f>
        <v/>
      </c>
      <c r="W244">
        <f>IF($V244=1,SUMPRODUCT(--($Y$2:$Y$501&lt;$Y244))+1,"")</f>
        <v/>
      </c>
      <c r="X244">
        <f>IF($A244="","",IF(OR($Q244=TRUE(),$Q244="TRUE"),1,0))</f>
        <v/>
      </c>
      <c r="Y244">
        <f>IF($V244=1,IFERROR(VALUE(MID($A244,2,20)),1000000000)+ROW()/100000,"")</f>
        <v/>
      </c>
    </row>
    <row r="245">
      <c r="B245">
        <f>IF($A245="","",IFERROR(IF(INDEX('Per Invoice'!$A$2:$A$201,MATCH($A245,'Per Invoice'!$B$2:$B$201,0))=0,"",INDEX('Per Invoice'!$A$2:$A$201,MATCH($A245,'Per Invoice'!$B$2:$B$201,0))),""))</f>
        <v/>
      </c>
      <c r="G245" s="7">
        <f>IF($A245="","",F245*T245/100)</f>
        <v/>
      </c>
      <c r="J245" s="7" t="n"/>
      <c r="K245" s="7" t="n"/>
      <c r="L245" s="7" t="n"/>
      <c r="O245" s="11" t="n"/>
      <c r="R245">
        <f>IF($A245="","",IF($X245=1,Settings!$C$6,Settings!$C$7)*1)</f>
        <v/>
      </c>
      <c r="S245" s="7">
        <f>IF($A245="","",R245*L245)</f>
        <v/>
      </c>
      <c r="T245" s="7">
        <f>IF($A245="","",L245-S245)</f>
        <v/>
      </c>
      <c r="U245" s="7">
        <f>IF($A245="","",T245-G245)</f>
        <v/>
      </c>
      <c r="V245">
        <f>IF($A245="","",IF(COUNTIF($A$2:$A245,$A245)=1,1,0))</f>
        <v/>
      </c>
      <c r="W245">
        <f>IF($V245=1,SUMPRODUCT(--($Y$2:$Y$501&lt;$Y245))+1,"")</f>
        <v/>
      </c>
      <c r="X245">
        <f>IF($A245="","",IF(OR($Q245=TRUE(),$Q245="TRUE"),1,0))</f>
        <v/>
      </c>
      <c r="Y245">
        <f>IF($V245=1,IFERROR(VALUE(MID($A245,2,20)),1000000000)+ROW()/100000,"")</f>
        <v/>
      </c>
    </row>
    <row r="246">
      <c r="B246">
        <f>IF($A246="","",IFERROR(IF(INDEX('Per Invoice'!$A$2:$A$201,MATCH($A246,'Per Invoice'!$B$2:$B$201,0))=0,"",INDEX('Per Invoice'!$A$2:$A$201,MATCH($A246,'Per Invoice'!$B$2:$B$201,0))),""))</f>
        <v/>
      </c>
      <c r="G246" s="7">
        <f>IF($A246="","",F246*T246/100)</f>
        <v/>
      </c>
      <c r="J246" s="7" t="n"/>
      <c r="K246" s="7" t="n"/>
      <c r="L246" s="7" t="n"/>
      <c r="O246" s="11" t="n"/>
      <c r="R246">
        <f>IF($A246="","",IF($X246=1,Settings!$C$6,Settings!$C$7)*1)</f>
        <v/>
      </c>
      <c r="S246" s="7">
        <f>IF($A246="","",R246*L246)</f>
        <v/>
      </c>
      <c r="T246" s="7">
        <f>IF($A246="","",L246-S246)</f>
        <v/>
      </c>
      <c r="U246" s="7">
        <f>IF($A246="","",T246-G246)</f>
        <v/>
      </c>
      <c r="V246">
        <f>IF($A246="","",IF(COUNTIF($A$2:$A246,$A246)=1,1,0))</f>
        <v/>
      </c>
      <c r="W246">
        <f>IF($V246=1,SUMPRODUCT(--($Y$2:$Y$501&lt;$Y246))+1,"")</f>
        <v/>
      </c>
      <c r="X246">
        <f>IF($A246="","",IF(OR($Q246=TRUE(),$Q246="TRUE"),1,0))</f>
        <v/>
      </c>
      <c r="Y246">
        <f>IF($V246=1,IFERROR(VALUE(MID($A246,2,20)),1000000000)+ROW()/100000,"")</f>
        <v/>
      </c>
    </row>
    <row r="247">
      <c r="B247">
        <f>IF($A247="","",IFERROR(IF(INDEX('Per Invoice'!$A$2:$A$201,MATCH($A247,'Per Invoice'!$B$2:$B$201,0))=0,"",INDEX('Per Invoice'!$A$2:$A$201,MATCH($A247,'Per Invoice'!$B$2:$B$201,0))),""))</f>
        <v/>
      </c>
      <c r="G247" s="7">
        <f>IF($A247="","",F247*T247/100)</f>
        <v/>
      </c>
      <c r="J247" s="7" t="n"/>
      <c r="K247" s="7" t="n"/>
      <c r="L247" s="7" t="n"/>
      <c r="O247" s="11" t="n"/>
      <c r="R247">
        <f>IF($A247="","",IF($X247=1,Settings!$C$6,Settings!$C$7)*1)</f>
        <v/>
      </c>
      <c r="S247" s="7">
        <f>IF($A247="","",R247*L247)</f>
        <v/>
      </c>
      <c r="T247" s="7">
        <f>IF($A247="","",L247-S247)</f>
        <v/>
      </c>
      <c r="U247" s="7">
        <f>IF($A247="","",T247-G247)</f>
        <v/>
      </c>
      <c r="V247">
        <f>IF($A247="","",IF(COUNTIF($A$2:$A247,$A247)=1,1,0))</f>
        <v/>
      </c>
      <c r="W247">
        <f>IF($V247=1,SUMPRODUCT(--($Y$2:$Y$501&lt;$Y247))+1,"")</f>
        <v/>
      </c>
      <c r="X247">
        <f>IF($A247="","",IF(OR($Q247=TRUE(),$Q247="TRUE"),1,0))</f>
        <v/>
      </c>
      <c r="Y247">
        <f>IF($V247=1,IFERROR(VALUE(MID($A247,2,20)),1000000000)+ROW()/100000,"")</f>
        <v/>
      </c>
    </row>
    <row r="248">
      <c r="B248">
        <f>IF($A248="","",IFERROR(IF(INDEX('Per Invoice'!$A$2:$A$201,MATCH($A248,'Per Invoice'!$B$2:$B$201,0))=0,"",INDEX('Per Invoice'!$A$2:$A$201,MATCH($A248,'Per Invoice'!$B$2:$B$201,0))),""))</f>
        <v/>
      </c>
      <c r="G248" s="7">
        <f>IF($A248="","",F248*T248/100)</f>
        <v/>
      </c>
      <c r="J248" s="7" t="n"/>
      <c r="K248" s="7" t="n"/>
      <c r="L248" s="7" t="n"/>
      <c r="O248" s="11" t="n"/>
      <c r="R248">
        <f>IF($A248="","",IF($X248=1,Settings!$C$6,Settings!$C$7)*1)</f>
        <v/>
      </c>
      <c r="S248" s="7">
        <f>IF($A248="","",R248*L248)</f>
        <v/>
      </c>
      <c r="T248" s="7">
        <f>IF($A248="","",L248-S248)</f>
        <v/>
      </c>
      <c r="U248" s="7">
        <f>IF($A248="","",T248-G248)</f>
        <v/>
      </c>
      <c r="V248">
        <f>IF($A248="","",IF(COUNTIF($A$2:$A248,$A248)=1,1,0))</f>
        <v/>
      </c>
      <c r="W248">
        <f>IF($V248=1,SUMPRODUCT(--($Y$2:$Y$501&lt;$Y248))+1,"")</f>
        <v/>
      </c>
      <c r="X248">
        <f>IF($A248="","",IF(OR($Q248=TRUE(),$Q248="TRUE"),1,0))</f>
        <v/>
      </c>
      <c r="Y248">
        <f>IF($V248=1,IFERROR(VALUE(MID($A248,2,20)),1000000000)+ROW()/100000,"")</f>
        <v/>
      </c>
    </row>
    <row r="249">
      <c r="B249">
        <f>IF($A249="","",IFERROR(IF(INDEX('Per Invoice'!$A$2:$A$201,MATCH($A249,'Per Invoice'!$B$2:$B$201,0))=0,"",INDEX('Per Invoice'!$A$2:$A$201,MATCH($A249,'Per Invoice'!$B$2:$B$201,0))),""))</f>
        <v/>
      </c>
      <c r="G249" s="7">
        <f>IF($A249="","",F249*T249/100)</f>
        <v/>
      </c>
      <c r="J249" s="7" t="n"/>
      <c r="K249" s="7" t="n"/>
      <c r="L249" s="7" t="n"/>
      <c r="O249" s="11" t="n"/>
      <c r="R249">
        <f>IF($A249="","",IF($X249=1,Settings!$C$6,Settings!$C$7)*1)</f>
        <v/>
      </c>
      <c r="S249" s="7">
        <f>IF($A249="","",R249*L249)</f>
        <v/>
      </c>
      <c r="T249" s="7">
        <f>IF($A249="","",L249-S249)</f>
        <v/>
      </c>
      <c r="U249" s="7">
        <f>IF($A249="","",T249-G249)</f>
        <v/>
      </c>
      <c r="V249">
        <f>IF($A249="","",IF(COUNTIF($A$2:$A249,$A249)=1,1,0))</f>
        <v/>
      </c>
      <c r="W249">
        <f>IF($V249=1,SUMPRODUCT(--($Y$2:$Y$501&lt;$Y249))+1,"")</f>
        <v/>
      </c>
      <c r="X249">
        <f>IF($A249="","",IF(OR($Q249=TRUE(),$Q249="TRUE"),1,0))</f>
        <v/>
      </c>
      <c r="Y249">
        <f>IF($V249=1,IFERROR(VALUE(MID($A249,2,20)),1000000000)+ROW()/100000,"")</f>
        <v/>
      </c>
    </row>
    <row r="250">
      <c r="B250">
        <f>IF($A250="","",IFERROR(IF(INDEX('Per Invoice'!$A$2:$A$201,MATCH($A250,'Per Invoice'!$B$2:$B$201,0))=0,"",INDEX('Per Invoice'!$A$2:$A$201,MATCH($A250,'Per Invoice'!$B$2:$B$201,0))),""))</f>
        <v/>
      </c>
      <c r="G250" s="7">
        <f>IF($A250="","",F250*T250/100)</f>
        <v/>
      </c>
      <c r="J250" s="7" t="n"/>
      <c r="K250" s="7" t="n"/>
      <c r="L250" s="7" t="n"/>
      <c r="O250" s="11" t="n"/>
      <c r="R250">
        <f>IF($A250="","",IF($X250=1,Settings!$C$6,Settings!$C$7)*1)</f>
        <v/>
      </c>
      <c r="S250" s="7">
        <f>IF($A250="","",R250*L250)</f>
        <v/>
      </c>
      <c r="T250" s="7">
        <f>IF($A250="","",L250-S250)</f>
        <v/>
      </c>
      <c r="U250" s="7">
        <f>IF($A250="","",T250-G250)</f>
        <v/>
      </c>
      <c r="V250">
        <f>IF($A250="","",IF(COUNTIF($A$2:$A250,$A250)=1,1,0))</f>
        <v/>
      </c>
      <c r="W250">
        <f>IF($V250=1,SUMPRODUCT(--($Y$2:$Y$501&lt;$Y250))+1,"")</f>
        <v/>
      </c>
      <c r="X250">
        <f>IF($A250="","",IF(OR($Q250=TRUE(),$Q250="TRUE"),1,0))</f>
        <v/>
      </c>
      <c r="Y250">
        <f>IF($V250=1,IFERROR(VALUE(MID($A250,2,20)),1000000000)+ROW()/100000,"")</f>
        <v/>
      </c>
    </row>
    <row r="251">
      <c r="B251">
        <f>IF($A251="","",IFERROR(IF(INDEX('Per Invoice'!$A$2:$A$201,MATCH($A251,'Per Invoice'!$B$2:$B$201,0))=0,"",INDEX('Per Invoice'!$A$2:$A$201,MATCH($A251,'Per Invoice'!$B$2:$B$201,0))),""))</f>
        <v/>
      </c>
      <c r="G251" s="7">
        <f>IF($A251="","",F251*T251/100)</f>
        <v/>
      </c>
      <c r="J251" s="7" t="n"/>
      <c r="K251" s="7" t="n"/>
      <c r="L251" s="7" t="n"/>
      <c r="O251" s="11" t="n"/>
      <c r="R251">
        <f>IF($A251="","",IF($X251=1,Settings!$C$6,Settings!$C$7)*1)</f>
        <v/>
      </c>
      <c r="S251" s="7">
        <f>IF($A251="","",R251*L251)</f>
        <v/>
      </c>
      <c r="T251" s="7">
        <f>IF($A251="","",L251-S251)</f>
        <v/>
      </c>
      <c r="U251" s="7">
        <f>IF($A251="","",T251-G251)</f>
        <v/>
      </c>
      <c r="V251">
        <f>IF($A251="","",IF(COUNTIF($A$2:$A251,$A251)=1,1,0))</f>
        <v/>
      </c>
      <c r="W251">
        <f>IF($V251=1,SUMPRODUCT(--($Y$2:$Y$501&lt;$Y251))+1,"")</f>
        <v/>
      </c>
      <c r="X251">
        <f>IF($A251="","",IF(OR($Q251=TRUE(),$Q251="TRUE"),1,0))</f>
        <v/>
      </c>
      <c r="Y251">
        <f>IF($V251=1,IFERROR(VALUE(MID($A251,2,20)),1000000000)+ROW()/100000,"")</f>
        <v/>
      </c>
    </row>
    <row r="252">
      <c r="B252">
        <f>IF($A252="","",IFERROR(IF(INDEX('Per Invoice'!$A$2:$A$201,MATCH($A252,'Per Invoice'!$B$2:$B$201,0))=0,"",INDEX('Per Invoice'!$A$2:$A$201,MATCH($A252,'Per Invoice'!$B$2:$B$201,0))),""))</f>
        <v/>
      </c>
      <c r="G252" s="7">
        <f>IF($A252="","",F252*T252/100)</f>
        <v/>
      </c>
      <c r="J252" s="7" t="n"/>
      <c r="K252" s="7" t="n"/>
      <c r="L252" s="7" t="n"/>
      <c r="O252" s="11" t="n"/>
      <c r="R252">
        <f>IF($A252="","",IF($X252=1,Settings!$C$6,Settings!$C$7)*1)</f>
        <v/>
      </c>
      <c r="S252" s="7">
        <f>IF($A252="","",R252*L252)</f>
        <v/>
      </c>
      <c r="T252" s="7">
        <f>IF($A252="","",L252-S252)</f>
        <v/>
      </c>
      <c r="U252" s="7">
        <f>IF($A252="","",T252-G252)</f>
        <v/>
      </c>
      <c r="V252">
        <f>IF($A252="","",IF(COUNTIF($A$2:$A252,$A252)=1,1,0))</f>
        <v/>
      </c>
      <c r="W252">
        <f>IF($V252=1,SUMPRODUCT(--($Y$2:$Y$501&lt;$Y252))+1,"")</f>
        <v/>
      </c>
      <c r="X252">
        <f>IF($A252="","",IF(OR($Q252=TRUE(),$Q252="TRUE"),1,0))</f>
        <v/>
      </c>
      <c r="Y252">
        <f>IF($V252=1,IFERROR(VALUE(MID($A252,2,20)),1000000000)+ROW()/100000,"")</f>
        <v/>
      </c>
    </row>
    <row r="253">
      <c r="B253">
        <f>IF($A253="","",IFERROR(IF(INDEX('Per Invoice'!$A$2:$A$201,MATCH($A253,'Per Invoice'!$B$2:$B$201,0))=0,"",INDEX('Per Invoice'!$A$2:$A$201,MATCH($A253,'Per Invoice'!$B$2:$B$201,0))),""))</f>
        <v/>
      </c>
      <c r="G253" s="7">
        <f>IF($A253="","",F253*T253/100)</f>
        <v/>
      </c>
      <c r="J253" s="7" t="n"/>
      <c r="K253" s="7" t="n"/>
      <c r="L253" s="7" t="n"/>
      <c r="O253" s="11" t="n"/>
      <c r="R253">
        <f>IF($A253="","",IF($X253=1,Settings!$C$6,Settings!$C$7)*1)</f>
        <v/>
      </c>
      <c r="S253" s="7">
        <f>IF($A253="","",R253*L253)</f>
        <v/>
      </c>
      <c r="T253" s="7">
        <f>IF($A253="","",L253-S253)</f>
        <v/>
      </c>
      <c r="U253" s="7">
        <f>IF($A253="","",T253-G253)</f>
        <v/>
      </c>
      <c r="V253">
        <f>IF($A253="","",IF(COUNTIF($A$2:$A253,$A253)=1,1,0))</f>
        <v/>
      </c>
      <c r="W253">
        <f>IF($V253=1,SUMPRODUCT(--($Y$2:$Y$501&lt;$Y253))+1,"")</f>
        <v/>
      </c>
      <c r="X253">
        <f>IF($A253="","",IF(OR($Q253=TRUE(),$Q253="TRUE"),1,0))</f>
        <v/>
      </c>
      <c r="Y253">
        <f>IF($V253=1,IFERROR(VALUE(MID($A253,2,20)),1000000000)+ROW()/100000,"")</f>
        <v/>
      </c>
    </row>
    <row r="254">
      <c r="B254">
        <f>IF($A254="","",IFERROR(IF(INDEX('Per Invoice'!$A$2:$A$201,MATCH($A254,'Per Invoice'!$B$2:$B$201,0))=0,"",INDEX('Per Invoice'!$A$2:$A$201,MATCH($A254,'Per Invoice'!$B$2:$B$201,0))),""))</f>
        <v/>
      </c>
      <c r="G254" s="7">
        <f>IF($A254="","",F254*T254/100)</f>
        <v/>
      </c>
      <c r="J254" s="7" t="n"/>
      <c r="K254" s="7" t="n"/>
      <c r="L254" s="7" t="n"/>
      <c r="O254" s="11" t="n"/>
      <c r="R254">
        <f>IF($A254="","",IF($X254=1,Settings!$C$6,Settings!$C$7)*1)</f>
        <v/>
      </c>
      <c r="S254" s="7">
        <f>IF($A254="","",R254*L254)</f>
        <v/>
      </c>
      <c r="T254" s="7">
        <f>IF($A254="","",L254-S254)</f>
        <v/>
      </c>
      <c r="U254" s="7">
        <f>IF($A254="","",T254-G254)</f>
        <v/>
      </c>
      <c r="V254">
        <f>IF($A254="","",IF(COUNTIF($A$2:$A254,$A254)=1,1,0))</f>
        <v/>
      </c>
      <c r="W254">
        <f>IF($V254=1,SUMPRODUCT(--($Y$2:$Y$501&lt;$Y254))+1,"")</f>
        <v/>
      </c>
      <c r="X254">
        <f>IF($A254="","",IF(OR($Q254=TRUE(),$Q254="TRUE"),1,0))</f>
        <v/>
      </c>
      <c r="Y254">
        <f>IF($V254=1,IFERROR(VALUE(MID($A254,2,20)),1000000000)+ROW()/100000,"")</f>
        <v/>
      </c>
    </row>
    <row r="255">
      <c r="B255">
        <f>IF($A255="","",IFERROR(IF(INDEX('Per Invoice'!$A$2:$A$201,MATCH($A255,'Per Invoice'!$B$2:$B$201,0))=0,"",INDEX('Per Invoice'!$A$2:$A$201,MATCH($A255,'Per Invoice'!$B$2:$B$201,0))),""))</f>
        <v/>
      </c>
      <c r="G255" s="7">
        <f>IF($A255="","",F255*T255/100)</f>
        <v/>
      </c>
      <c r="J255" s="7" t="n"/>
      <c r="K255" s="7" t="n"/>
      <c r="L255" s="7" t="n"/>
      <c r="O255" s="11" t="n"/>
      <c r="R255">
        <f>IF($A255="","",IF($X255=1,Settings!$C$6,Settings!$C$7)*1)</f>
        <v/>
      </c>
      <c r="S255" s="7">
        <f>IF($A255="","",R255*L255)</f>
        <v/>
      </c>
      <c r="T255" s="7">
        <f>IF($A255="","",L255-S255)</f>
        <v/>
      </c>
      <c r="U255" s="7">
        <f>IF($A255="","",T255-G255)</f>
        <v/>
      </c>
      <c r="V255">
        <f>IF($A255="","",IF(COUNTIF($A$2:$A255,$A255)=1,1,0))</f>
        <v/>
      </c>
      <c r="W255">
        <f>IF($V255=1,SUMPRODUCT(--($Y$2:$Y$501&lt;$Y255))+1,"")</f>
        <v/>
      </c>
      <c r="X255">
        <f>IF($A255="","",IF(OR($Q255=TRUE(),$Q255="TRUE"),1,0))</f>
        <v/>
      </c>
      <c r="Y255">
        <f>IF($V255=1,IFERROR(VALUE(MID($A255,2,20)),1000000000)+ROW()/100000,"")</f>
        <v/>
      </c>
    </row>
    <row r="256">
      <c r="B256">
        <f>IF($A256="","",IFERROR(IF(INDEX('Per Invoice'!$A$2:$A$201,MATCH($A256,'Per Invoice'!$B$2:$B$201,0))=0,"",INDEX('Per Invoice'!$A$2:$A$201,MATCH($A256,'Per Invoice'!$B$2:$B$201,0))),""))</f>
        <v/>
      </c>
      <c r="G256" s="7">
        <f>IF($A256="","",F256*T256/100)</f>
        <v/>
      </c>
      <c r="J256" s="7" t="n"/>
      <c r="K256" s="7" t="n"/>
      <c r="L256" s="7" t="n"/>
      <c r="O256" s="11" t="n"/>
      <c r="R256">
        <f>IF($A256="","",IF($X256=1,Settings!$C$6,Settings!$C$7)*1)</f>
        <v/>
      </c>
      <c r="S256" s="7">
        <f>IF($A256="","",R256*L256)</f>
        <v/>
      </c>
      <c r="T256" s="7">
        <f>IF($A256="","",L256-S256)</f>
        <v/>
      </c>
      <c r="U256" s="7">
        <f>IF($A256="","",T256-G256)</f>
        <v/>
      </c>
      <c r="V256">
        <f>IF($A256="","",IF(COUNTIF($A$2:$A256,$A256)=1,1,0))</f>
        <v/>
      </c>
      <c r="W256">
        <f>IF($V256=1,SUMPRODUCT(--($Y$2:$Y$501&lt;$Y256))+1,"")</f>
        <v/>
      </c>
      <c r="X256">
        <f>IF($A256="","",IF(OR($Q256=TRUE(),$Q256="TRUE"),1,0))</f>
        <v/>
      </c>
      <c r="Y256">
        <f>IF($V256=1,IFERROR(VALUE(MID($A256,2,20)),1000000000)+ROW()/100000,"")</f>
        <v/>
      </c>
    </row>
    <row r="257">
      <c r="B257">
        <f>IF($A257="","",IFERROR(IF(INDEX('Per Invoice'!$A$2:$A$201,MATCH($A257,'Per Invoice'!$B$2:$B$201,0))=0,"",INDEX('Per Invoice'!$A$2:$A$201,MATCH($A257,'Per Invoice'!$B$2:$B$201,0))),""))</f>
        <v/>
      </c>
      <c r="G257" s="7">
        <f>IF($A257="","",F257*T257/100)</f>
        <v/>
      </c>
      <c r="J257" s="7" t="n"/>
      <c r="K257" s="7" t="n"/>
      <c r="L257" s="7" t="n"/>
      <c r="O257" s="11" t="n"/>
      <c r="R257">
        <f>IF($A257="","",IF($X257=1,Settings!$C$6,Settings!$C$7)*1)</f>
        <v/>
      </c>
      <c r="S257" s="7">
        <f>IF($A257="","",R257*L257)</f>
        <v/>
      </c>
      <c r="T257" s="7">
        <f>IF($A257="","",L257-S257)</f>
        <v/>
      </c>
      <c r="U257" s="7">
        <f>IF($A257="","",T257-G257)</f>
        <v/>
      </c>
      <c r="V257">
        <f>IF($A257="","",IF(COUNTIF($A$2:$A257,$A257)=1,1,0))</f>
        <v/>
      </c>
      <c r="W257">
        <f>IF($V257=1,SUMPRODUCT(--($Y$2:$Y$501&lt;$Y257))+1,"")</f>
        <v/>
      </c>
      <c r="X257">
        <f>IF($A257="","",IF(OR($Q257=TRUE(),$Q257="TRUE"),1,0))</f>
        <v/>
      </c>
      <c r="Y257">
        <f>IF($V257=1,IFERROR(VALUE(MID($A257,2,20)),1000000000)+ROW()/100000,"")</f>
        <v/>
      </c>
    </row>
    <row r="258">
      <c r="B258">
        <f>IF($A258="","",IFERROR(IF(INDEX('Per Invoice'!$A$2:$A$201,MATCH($A258,'Per Invoice'!$B$2:$B$201,0))=0,"",INDEX('Per Invoice'!$A$2:$A$201,MATCH($A258,'Per Invoice'!$B$2:$B$201,0))),""))</f>
        <v/>
      </c>
      <c r="G258" s="7">
        <f>IF($A258="","",F258*T258/100)</f>
        <v/>
      </c>
      <c r="J258" s="7" t="n"/>
      <c r="K258" s="7" t="n"/>
      <c r="L258" s="7" t="n"/>
      <c r="O258" s="11" t="n"/>
      <c r="R258">
        <f>IF($A258="","",IF($X258=1,Settings!$C$6,Settings!$C$7)*1)</f>
        <v/>
      </c>
      <c r="S258" s="7">
        <f>IF($A258="","",R258*L258)</f>
        <v/>
      </c>
      <c r="T258" s="7">
        <f>IF($A258="","",L258-S258)</f>
        <v/>
      </c>
      <c r="U258" s="7">
        <f>IF($A258="","",T258-G258)</f>
        <v/>
      </c>
      <c r="V258">
        <f>IF($A258="","",IF(COUNTIF($A$2:$A258,$A258)=1,1,0))</f>
        <v/>
      </c>
      <c r="W258">
        <f>IF($V258=1,SUMPRODUCT(--($Y$2:$Y$501&lt;$Y258))+1,"")</f>
        <v/>
      </c>
      <c r="X258">
        <f>IF($A258="","",IF(OR($Q258=TRUE(),$Q258="TRUE"),1,0))</f>
        <v/>
      </c>
      <c r="Y258">
        <f>IF($V258=1,IFERROR(VALUE(MID($A258,2,20)),1000000000)+ROW()/100000,"")</f>
        <v/>
      </c>
    </row>
    <row r="259">
      <c r="B259">
        <f>IF($A259="","",IFERROR(IF(INDEX('Per Invoice'!$A$2:$A$201,MATCH($A259,'Per Invoice'!$B$2:$B$201,0))=0,"",INDEX('Per Invoice'!$A$2:$A$201,MATCH($A259,'Per Invoice'!$B$2:$B$201,0))),""))</f>
        <v/>
      </c>
      <c r="G259" s="7">
        <f>IF($A259="","",F259*T259/100)</f>
        <v/>
      </c>
      <c r="J259" s="7" t="n"/>
      <c r="K259" s="7" t="n"/>
      <c r="L259" s="7" t="n"/>
      <c r="O259" s="11" t="n"/>
      <c r="R259">
        <f>IF($A259="","",IF($X259=1,Settings!$C$6,Settings!$C$7)*1)</f>
        <v/>
      </c>
      <c r="S259" s="7">
        <f>IF($A259="","",R259*L259)</f>
        <v/>
      </c>
      <c r="T259" s="7">
        <f>IF($A259="","",L259-S259)</f>
        <v/>
      </c>
      <c r="U259" s="7">
        <f>IF($A259="","",T259-G259)</f>
        <v/>
      </c>
      <c r="V259">
        <f>IF($A259="","",IF(COUNTIF($A$2:$A259,$A259)=1,1,0))</f>
        <v/>
      </c>
      <c r="W259">
        <f>IF($V259=1,SUMPRODUCT(--($Y$2:$Y$501&lt;$Y259))+1,"")</f>
        <v/>
      </c>
      <c r="X259">
        <f>IF($A259="","",IF(OR($Q259=TRUE(),$Q259="TRUE"),1,0))</f>
        <v/>
      </c>
      <c r="Y259">
        <f>IF($V259=1,IFERROR(VALUE(MID($A259,2,20)),1000000000)+ROW()/100000,"")</f>
        <v/>
      </c>
    </row>
    <row r="260">
      <c r="B260">
        <f>IF($A260="","",IFERROR(IF(INDEX('Per Invoice'!$A$2:$A$201,MATCH($A260,'Per Invoice'!$B$2:$B$201,0))=0,"",INDEX('Per Invoice'!$A$2:$A$201,MATCH($A260,'Per Invoice'!$B$2:$B$201,0))),""))</f>
        <v/>
      </c>
      <c r="G260" s="7">
        <f>IF($A260="","",F260*T260/100)</f>
        <v/>
      </c>
      <c r="J260" s="7" t="n"/>
      <c r="K260" s="7" t="n"/>
      <c r="L260" s="7" t="n"/>
      <c r="O260" s="11" t="n"/>
      <c r="R260">
        <f>IF($A260="","",IF($X260=1,Settings!$C$6,Settings!$C$7)*1)</f>
        <v/>
      </c>
      <c r="S260" s="7">
        <f>IF($A260="","",R260*L260)</f>
        <v/>
      </c>
      <c r="T260" s="7">
        <f>IF($A260="","",L260-S260)</f>
        <v/>
      </c>
      <c r="U260" s="7">
        <f>IF($A260="","",T260-G260)</f>
        <v/>
      </c>
      <c r="V260">
        <f>IF($A260="","",IF(COUNTIF($A$2:$A260,$A260)=1,1,0))</f>
        <v/>
      </c>
      <c r="W260">
        <f>IF($V260=1,SUMPRODUCT(--($Y$2:$Y$501&lt;$Y260))+1,"")</f>
        <v/>
      </c>
      <c r="X260">
        <f>IF($A260="","",IF(OR($Q260=TRUE(),$Q260="TRUE"),1,0))</f>
        <v/>
      </c>
      <c r="Y260">
        <f>IF($V260=1,IFERROR(VALUE(MID($A260,2,20)),1000000000)+ROW()/100000,"")</f>
        <v/>
      </c>
    </row>
    <row r="261">
      <c r="B261">
        <f>IF($A261="","",IFERROR(IF(INDEX('Per Invoice'!$A$2:$A$201,MATCH($A261,'Per Invoice'!$B$2:$B$201,0))=0,"",INDEX('Per Invoice'!$A$2:$A$201,MATCH($A261,'Per Invoice'!$B$2:$B$201,0))),""))</f>
        <v/>
      </c>
      <c r="G261" s="7">
        <f>IF($A261="","",F261*T261/100)</f>
        <v/>
      </c>
      <c r="J261" s="7" t="n"/>
      <c r="K261" s="7" t="n"/>
      <c r="L261" s="7" t="n"/>
      <c r="O261" s="11" t="n"/>
      <c r="R261">
        <f>IF($A261="","",IF($X261=1,Settings!$C$6,Settings!$C$7)*1)</f>
        <v/>
      </c>
      <c r="S261" s="7">
        <f>IF($A261="","",R261*L261)</f>
        <v/>
      </c>
      <c r="T261" s="7">
        <f>IF($A261="","",L261-S261)</f>
        <v/>
      </c>
      <c r="U261" s="7">
        <f>IF($A261="","",T261-G261)</f>
        <v/>
      </c>
      <c r="V261">
        <f>IF($A261="","",IF(COUNTIF($A$2:$A261,$A261)=1,1,0))</f>
        <v/>
      </c>
      <c r="W261">
        <f>IF($V261=1,SUMPRODUCT(--($Y$2:$Y$501&lt;$Y261))+1,"")</f>
        <v/>
      </c>
      <c r="X261">
        <f>IF($A261="","",IF(OR($Q261=TRUE(),$Q261="TRUE"),1,0))</f>
        <v/>
      </c>
      <c r="Y261">
        <f>IF($V261=1,IFERROR(VALUE(MID($A261,2,20)),1000000000)+ROW()/100000,"")</f>
        <v/>
      </c>
    </row>
    <row r="262">
      <c r="B262">
        <f>IF($A262="","",IFERROR(IF(INDEX('Per Invoice'!$A$2:$A$201,MATCH($A262,'Per Invoice'!$B$2:$B$201,0))=0,"",INDEX('Per Invoice'!$A$2:$A$201,MATCH($A262,'Per Invoice'!$B$2:$B$201,0))),""))</f>
        <v/>
      </c>
      <c r="G262" s="7">
        <f>IF($A262="","",F262*T262/100)</f>
        <v/>
      </c>
      <c r="J262" s="7" t="n"/>
      <c r="K262" s="7" t="n"/>
      <c r="L262" s="7" t="n"/>
      <c r="O262" s="11" t="n"/>
      <c r="R262">
        <f>IF($A262="","",IF($X262=1,Settings!$C$6,Settings!$C$7)*1)</f>
        <v/>
      </c>
      <c r="S262" s="7">
        <f>IF($A262="","",R262*L262)</f>
        <v/>
      </c>
      <c r="T262" s="7">
        <f>IF($A262="","",L262-S262)</f>
        <v/>
      </c>
      <c r="U262" s="7">
        <f>IF($A262="","",T262-G262)</f>
        <v/>
      </c>
      <c r="V262">
        <f>IF($A262="","",IF(COUNTIF($A$2:$A262,$A262)=1,1,0))</f>
        <v/>
      </c>
      <c r="W262">
        <f>IF($V262=1,SUMPRODUCT(--($Y$2:$Y$501&lt;$Y262))+1,"")</f>
        <v/>
      </c>
      <c r="X262">
        <f>IF($A262="","",IF(OR($Q262=TRUE(),$Q262="TRUE"),1,0))</f>
        <v/>
      </c>
      <c r="Y262">
        <f>IF($V262=1,IFERROR(VALUE(MID($A262,2,20)),1000000000)+ROW()/100000,"")</f>
        <v/>
      </c>
    </row>
    <row r="263">
      <c r="B263">
        <f>IF($A263="","",IFERROR(IF(INDEX('Per Invoice'!$A$2:$A$201,MATCH($A263,'Per Invoice'!$B$2:$B$201,0))=0,"",INDEX('Per Invoice'!$A$2:$A$201,MATCH($A263,'Per Invoice'!$B$2:$B$201,0))),""))</f>
        <v/>
      </c>
      <c r="G263" s="7">
        <f>IF($A263="","",F263*T263/100)</f>
        <v/>
      </c>
      <c r="J263" s="7" t="n"/>
      <c r="K263" s="7" t="n"/>
      <c r="L263" s="7" t="n"/>
      <c r="O263" s="11" t="n"/>
      <c r="R263">
        <f>IF($A263="","",IF($X263=1,Settings!$C$6,Settings!$C$7)*1)</f>
        <v/>
      </c>
      <c r="S263" s="7">
        <f>IF($A263="","",R263*L263)</f>
        <v/>
      </c>
      <c r="T263" s="7">
        <f>IF($A263="","",L263-S263)</f>
        <v/>
      </c>
      <c r="U263" s="7">
        <f>IF($A263="","",T263-G263)</f>
        <v/>
      </c>
      <c r="V263">
        <f>IF($A263="","",IF(COUNTIF($A$2:$A263,$A263)=1,1,0))</f>
        <v/>
      </c>
      <c r="W263">
        <f>IF($V263=1,SUMPRODUCT(--($Y$2:$Y$501&lt;$Y263))+1,"")</f>
        <v/>
      </c>
      <c r="X263">
        <f>IF($A263="","",IF(OR($Q263=TRUE(),$Q263="TRUE"),1,0))</f>
        <v/>
      </c>
      <c r="Y263">
        <f>IF($V263=1,IFERROR(VALUE(MID($A263,2,20)),1000000000)+ROW()/100000,"")</f>
        <v/>
      </c>
    </row>
    <row r="264">
      <c r="B264">
        <f>IF($A264="","",IFERROR(IF(INDEX('Per Invoice'!$A$2:$A$201,MATCH($A264,'Per Invoice'!$B$2:$B$201,0))=0,"",INDEX('Per Invoice'!$A$2:$A$201,MATCH($A264,'Per Invoice'!$B$2:$B$201,0))),""))</f>
        <v/>
      </c>
      <c r="G264" s="7">
        <f>IF($A264="","",F264*T264/100)</f>
        <v/>
      </c>
      <c r="J264" s="7" t="n"/>
      <c r="K264" s="7" t="n"/>
      <c r="L264" s="7" t="n"/>
      <c r="O264" s="11" t="n"/>
      <c r="R264">
        <f>IF($A264="","",IF($X264=1,Settings!$C$6,Settings!$C$7)*1)</f>
        <v/>
      </c>
      <c r="S264" s="7">
        <f>IF($A264="","",R264*L264)</f>
        <v/>
      </c>
      <c r="T264" s="7">
        <f>IF($A264="","",L264-S264)</f>
        <v/>
      </c>
      <c r="U264" s="7">
        <f>IF($A264="","",T264-G264)</f>
        <v/>
      </c>
      <c r="V264">
        <f>IF($A264="","",IF(COUNTIF($A$2:$A264,$A264)=1,1,0))</f>
        <v/>
      </c>
      <c r="W264">
        <f>IF($V264=1,SUMPRODUCT(--($Y$2:$Y$501&lt;$Y264))+1,"")</f>
        <v/>
      </c>
      <c r="X264">
        <f>IF($A264="","",IF(OR($Q264=TRUE(),$Q264="TRUE"),1,0))</f>
        <v/>
      </c>
      <c r="Y264">
        <f>IF($V264=1,IFERROR(VALUE(MID($A264,2,20)),1000000000)+ROW()/100000,"")</f>
        <v/>
      </c>
    </row>
    <row r="265">
      <c r="B265">
        <f>IF($A265="","",IFERROR(IF(INDEX('Per Invoice'!$A$2:$A$201,MATCH($A265,'Per Invoice'!$B$2:$B$201,0))=0,"",INDEX('Per Invoice'!$A$2:$A$201,MATCH($A265,'Per Invoice'!$B$2:$B$201,0))),""))</f>
        <v/>
      </c>
      <c r="G265" s="7">
        <f>IF($A265="","",F265*T265/100)</f>
        <v/>
      </c>
      <c r="J265" s="7" t="n"/>
      <c r="K265" s="7" t="n"/>
      <c r="L265" s="7" t="n"/>
      <c r="O265" s="11" t="n"/>
      <c r="R265">
        <f>IF($A265="","",IF($X265=1,Settings!$C$6,Settings!$C$7)*1)</f>
        <v/>
      </c>
      <c r="S265" s="7">
        <f>IF($A265="","",R265*L265)</f>
        <v/>
      </c>
      <c r="T265" s="7">
        <f>IF($A265="","",L265-S265)</f>
        <v/>
      </c>
      <c r="U265" s="7">
        <f>IF($A265="","",T265-G265)</f>
        <v/>
      </c>
      <c r="V265">
        <f>IF($A265="","",IF(COUNTIF($A$2:$A265,$A265)=1,1,0))</f>
        <v/>
      </c>
      <c r="W265">
        <f>IF($V265=1,SUMPRODUCT(--($Y$2:$Y$501&lt;$Y265))+1,"")</f>
        <v/>
      </c>
      <c r="X265">
        <f>IF($A265="","",IF(OR($Q265=TRUE(),$Q265="TRUE"),1,0))</f>
        <v/>
      </c>
      <c r="Y265">
        <f>IF($V265=1,IFERROR(VALUE(MID($A265,2,20)),1000000000)+ROW()/100000,"")</f>
        <v/>
      </c>
    </row>
    <row r="266">
      <c r="B266">
        <f>IF($A266="","",IFERROR(IF(INDEX('Per Invoice'!$A$2:$A$201,MATCH($A266,'Per Invoice'!$B$2:$B$201,0))=0,"",INDEX('Per Invoice'!$A$2:$A$201,MATCH($A266,'Per Invoice'!$B$2:$B$201,0))),""))</f>
        <v/>
      </c>
      <c r="G266" s="7">
        <f>IF($A266="","",F266*T266/100)</f>
        <v/>
      </c>
      <c r="J266" s="7" t="n"/>
      <c r="K266" s="7" t="n"/>
      <c r="L266" s="7" t="n"/>
      <c r="O266" s="11" t="n"/>
      <c r="R266">
        <f>IF($A266="","",IF($X266=1,Settings!$C$6,Settings!$C$7)*1)</f>
        <v/>
      </c>
      <c r="S266" s="7">
        <f>IF($A266="","",R266*L266)</f>
        <v/>
      </c>
      <c r="T266" s="7">
        <f>IF($A266="","",L266-S266)</f>
        <v/>
      </c>
      <c r="U266" s="7">
        <f>IF($A266="","",T266-G266)</f>
        <v/>
      </c>
      <c r="V266">
        <f>IF($A266="","",IF(COUNTIF($A$2:$A266,$A266)=1,1,0))</f>
        <v/>
      </c>
      <c r="W266">
        <f>IF($V266=1,SUMPRODUCT(--($Y$2:$Y$501&lt;$Y266))+1,"")</f>
        <v/>
      </c>
      <c r="X266">
        <f>IF($A266="","",IF(OR($Q266=TRUE(),$Q266="TRUE"),1,0))</f>
        <v/>
      </c>
      <c r="Y266">
        <f>IF($V266=1,IFERROR(VALUE(MID($A266,2,20)),1000000000)+ROW()/100000,"")</f>
        <v/>
      </c>
    </row>
    <row r="267">
      <c r="B267">
        <f>IF($A267="","",IFERROR(IF(INDEX('Per Invoice'!$A$2:$A$201,MATCH($A267,'Per Invoice'!$B$2:$B$201,0))=0,"",INDEX('Per Invoice'!$A$2:$A$201,MATCH($A267,'Per Invoice'!$B$2:$B$201,0))),""))</f>
        <v/>
      </c>
      <c r="G267" s="7">
        <f>IF($A267="","",F267*T267/100)</f>
        <v/>
      </c>
      <c r="J267" s="7" t="n"/>
      <c r="K267" s="7" t="n"/>
      <c r="L267" s="7" t="n"/>
      <c r="O267" s="11" t="n"/>
      <c r="R267">
        <f>IF($A267="","",IF($X267=1,Settings!$C$6,Settings!$C$7)*1)</f>
        <v/>
      </c>
      <c r="S267" s="7">
        <f>IF($A267="","",R267*L267)</f>
        <v/>
      </c>
      <c r="T267" s="7">
        <f>IF($A267="","",L267-S267)</f>
        <v/>
      </c>
      <c r="U267" s="7">
        <f>IF($A267="","",T267-G267)</f>
        <v/>
      </c>
      <c r="V267">
        <f>IF($A267="","",IF(COUNTIF($A$2:$A267,$A267)=1,1,0))</f>
        <v/>
      </c>
      <c r="W267">
        <f>IF($V267=1,SUMPRODUCT(--($Y$2:$Y$501&lt;$Y267))+1,"")</f>
        <v/>
      </c>
      <c r="X267">
        <f>IF($A267="","",IF(OR($Q267=TRUE(),$Q267="TRUE"),1,0))</f>
        <v/>
      </c>
      <c r="Y267">
        <f>IF($V267=1,IFERROR(VALUE(MID($A267,2,20)),1000000000)+ROW()/100000,"")</f>
        <v/>
      </c>
    </row>
    <row r="268">
      <c r="B268">
        <f>IF($A268="","",IFERROR(IF(INDEX('Per Invoice'!$A$2:$A$201,MATCH($A268,'Per Invoice'!$B$2:$B$201,0))=0,"",INDEX('Per Invoice'!$A$2:$A$201,MATCH($A268,'Per Invoice'!$B$2:$B$201,0))),""))</f>
        <v/>
      </c>
      <c r="G268" s="7">
        <f>IF($A268="","",F268*T268/100)</f>
        <v/>
      </c>
      <c r="J268" s="7" t="n"/>
      <c r="K268" s="7" t="n"/>
      <c r="L268" s="7" t="n"/>
      <c r="O268" s="11" t="n"/>
      <c r="R268">
        <f>IF($A268="","",IF($X268=1,Settings!$C$6,Settings!$C$7)*1)</f>
        <v/>
      </c>
      <c r="S268" s="7">
        <f>IF($A268="","",R268*L268)</f>
        <v/>
      </c>
      <c r="T268" s="7">
        <f>IF($A268="","",L268-S268)</f>
        <v/>
      </c>
      <c r="U268" s="7">
        <f>IF($A268="","",T268-G268)</f>
        <v/>
      </c>
      <c r="V268">
        <f>IF($A268="","",IF(COUNTIF($A$2:$A268,$A268)=1,1,0))</f>
        <v/>
      </c>
      <c r="W268">
        <f>IF($V268=1,SUMPRODUCT(--($Y$2:$Y$501&lt;$Y268))+1,"")</f>
        <v/>
      </c>
      <c r="X268">
        <f>IF($A268="","",IF(OR($Q268=TRUE(),$Q268="TRUE"),1,0))</f>
        <v/>
      </c>
      <c r="Y268">
        <f>IF($V268=1,IFERROR(VALUE(MID($A268,2,20)),1000000000)+ROW()/100000,"")</f>
        <v/>
      </c>
    </row>
    <row r="269">
      <c r="B269">
        <f>IF($A269="","",IFERROR(IF(INDEX('Per Invoice'!$A$2:$A$201,MATCH($A269,'Per Invoice'!$B$2:$B$201,0))=0,"",INDEX('Per Invoice'!$A$2:$A$201,MATCH($A269,'Per Invoice'!$B$2:$B$201,0))),""))</f>
        <v/>
      </c>
      <c r="G269" s="7">
        <f>IF($A269="","",F269*T269/100)</f>
        <v/>
      </c>
      <c r="J269" s="7" t="n"/>
      <c r="K269" s="7" t="n"/>
      <c r="L269" s="7" t="n"/>
      <c r="O269" s="11" t="n"/>
      <c r="R269">
        <f>IF($A269="","",IF($X269=1,Settings!$C$6,Settings!$C$7)*1)</f>
        <v/>
      </c>
      <c r="S269" s="7">
        <f>IF($A269="","",R269*L269)</f>
        <v/>
      </c>
      <c r="T269" s="7">
        <f>IF($A269="","",L269-S269)</f>
        <v/>
      </c>
      <c r="U269" s="7">
        <f>IF($A269="","",T269-G269)</f>
        <v/>
      </c>
      <c r="V269">
        <f>IF($A269="","",IF(COUNTIF($A$2:$A269,$A269)=1,1,0))</f>
        <v/>
      </c>
      <c r="W269">
        <f>IF($V269=1,SUMPRODUCT(--($Y$2:$Y$501&lt;$Y269))+1,"")</f>
        <v/>
      </c>
      <c r="X269">
        <f>IF($A269="","",IF(OR($Q269=TRUE(),$Q269="TRUE"),1,0))</f>
        <v/>
      </c>
      <c r="Y269">
        <f>IF($V269=1,IFERROR(VALUE(MID($A269,2,20)),1000000000)+ROW()/100000,"")</f>
        <v/>
      </c>
    </row>
    <row r="270">
      <c r="B270">
        <f>IF($A270="","",IFERROR(IF(INDEX('Per Invoice'!$A$2:$A$201,MATCH($A270,'Per Invoice'!$B$2:$B$201,0))=0,"",INDEX('Per Invoice'!$A$2:$A$201,MATCH($A270,'Per Invoice'!$B$2:$B$201,0))),""))</f>
        <v/>
      </c>
      <c r="G270" s="7">
        <f>IF($A270="","",F270*T270/100)</f>
        <v/>
      </c>
      <c r="J270" s="7" t="n"/>
      <c r="K270" s="7" t="n"/>
      <c r="L270" s="7" t="n"/>
      <c r="O270" s="11" t="n"/>
      <c r="R270">
        <f>IF($A270="","",IF($X270=1,Settings!$C$6,Settings!$C$7)*1)</f>
        <v/>
      </c>
      <c r="S270" s="7">
        <f>IF($A270="","",R270*L270)</f>
        <v/>
      </c>
      <c r="T270" s="7">
        <f>IF($A270="","",L270-S270)</f>
        <v/>
      </c>
      <c r="U270" s="7">
        <f>IF($A270="","",T270-G270)</f>
        <v/>
      </c>
      <c r="V270">
        <f>IF($A270="","",IF(COUNTIF($A$2:$A270,$A270)=1,1,0))</f>
        <v/>
      </c>
      <c r="W270">
        <f>IF($V270=1,SUMPRODUCT(--($Y$2:$Y$501&lt;$Y270))+1,"")</f>
        <v/>
      </c>
      <c r="X270">
        <f>IF($A270="","",IF(OR($Q270=TRUE(),$Q270="TRUE"),1,0))</f>
        <v/>
      </c>
      <c r="Y270">
        <f>IF($V270=1,IFERROR(VALUE(MID($A270,2,20)),1000000000)+ROW()/100000,"")</f>
        <v/>
      </c>
    </row>
    <row r="271">
      <c r="B271">
        <f>IF($A271="","",IFERROR(IF(INDEX('Per Invoice'!$A$2:$A$201,MATCH($A271,'Per Invoice'!$B$2:$B$201,0))=0,"",INDEX('Per Invoice'!$A$2:$A$201,MATCH($A271,'Per Invoice'!$B$2:$B$201,0))),""))</f>
        <v/>
      </c>
      <c r="G271" s="7">
        <f>IF($A271="","",F271*T271/100)</f>
        <v/>
      </c>
      <c r="J271" s="7" t="n"/>
      <c r="K271" s="7" t="n"/>
      <c r="L271" s="7" t="n"/>
      <c r="O271" s="11" t="n"/>
      <c r="R271">
        <f>IF($A271="","",IF($X271=1,Settings!$C$6,Settings!$C$7)*1)</f>
        <v/>
      </c>
      <c r="S271" s="7">
        <f>IF($A271="","",R271*L271)</f>
        <v/>
      </c>
      <c r="T271" s="7">
        <f>IF($A271="","",L271-S271)</f>
        <v/>
      </c>
      <c r="U271" s="7">
        <f>IF($A271="","",T271-G271)</f>
        <v/>
      </c>
      <c r="V271">
        <f>IF($A271="","",IF(COUNTIF($A$2:$A271,$A271)=1,1,0))</f>
        <v/>
      </c>
      <c r="W271">
        <f>IF($V271=1,SUMPRODUCT(--($Y$2:$Y$501&lt;$Y271))+1,"")</f>
        <v/>
      </c>
      <c r="X271">
        <f>IF($A271="","",IF(OR($Q271=TRUE(),$Q271="TRUE"),1,0))</f>
        <v/>
      </c>
      <c r="Y271">
        <f>IF($V271=1,IFERROR(VALUE(MID($A271,2,20)),1000000000)+ROW()/100000,"")</f>
        <v/>
      </c>
    </row>
    <row r="272">
      <c r="B272">
        <f>IF($A272="","",IFERROR(IF(INDEX('Per Invoice'!$A$2:$A$201,MATCH($A272,'Per Invoice'!$B$2:$B$201,0))=0,"",INDEX('Per Invoice'!$A$2:$A$201,MATCH($A272,'Per Invoice'!$B$2:$B$201,0))),""))</f>
        <v/>
      </c>
      <c r="G272" s="7">
        <f>IF($A272="","",F272*T272/100)</f>
        <v/>
      </c>
      <c r="J272" s="7" t="n"/>
      <c r="K272" s="7" t="n"/>
      <c r="L272" s="7" t="n"/>
      <c r="O272" s="11" t="n"/>
      <c r="R272">
        <f>IF($A272="","",IF($X272=1,Settings!$C$6,Settings!$C$7)*1)</f>
        <v/>
      </c>
      <c r="S272" s="7">
        <f>IF($A272="","",R272*L272)</f>
        <v/>
      </c>
      <c r="T272" s="7">
        <f>IF($A272="","",L272-S272)</f>
        <v/>
      </c>
      <c r="U272" s="7">
        <f>IF($A272="","",T272-G272)</f>
        <v/>
      </c>
      <c r="V272">
        <f>IF($A272="","",IF(COUNTIF($A$2:$A272,$A272)=1,1,0))</f>
        <v/>
      </c>
      <c r="W272">
        <f>IF($V272=1,SUMPRODUCT(--($Y$2:$Y$501&lt;$Y272))+1,"")</f>
        <v/>
      </c>
      <c r="X272">
        <f>IF($A272="","",IF(OR($Q272=TRUE(),$Q272="TRUE"),1,0))</f>
        <v/>
      </c>
      <c r="Y272">
        <f>IF($V272=1,IFERROR(VALUE(MID($A272,2,20)),1000000000)+ROW()/100000,"")</f>
        <v/>
      </c>
    </row>
    <row r="273">
      <c r="B273">
        <f>IF($A273="","",IFERROR(IF(INDEX('Per Invoice'!$A$2:$A$201,MATCH($A273,'Per Invoice'!$B$2:$B$201,0))=0,"",INDEX('Per Invoice'!$A$2:$A$201,MATCH($A273,'Per Invoice'!$B$2:$B$201,0))),""))</f>
        <v/>
      </c>
      <c r="G273" s="7">
        <f>IF($A273="","",F273*T273/100)</f>
        <v/>
      </c>
      <c r="J273" s="7" t="n"/>
      <c r="K273" s="7" t="n"/>
      <c r="L273" s="7" t="n"/>
      <c r="O273" s="11" t="n"/>
      <c r="R273">
        <f>IF($A273="","",IF($X273=1,Settings!$C$6,Settings!$C$7)*1)</f>
        <v/>
      </c>
      <c r="S273" s="7">
        <f>IF($A273="","",R273*L273)</f>
        <v/>
      </c>
      <c r="T273" s="7">
        <f>IF($A273="","",L273-S273)</f>
        <v/>
      </c>
      <c r="U273" s="7">
        <f>IF($A273="","",T273-G273)</f>
        <v/>
      </c>
      <c r="V273">
        <f>IF($A273="","",IF(COUNTIF($A$2:$A273,$A273)=1,1,0))</f>
        <v/>
      </c>
      <c r="W273">
        <f>IF($V273=1,SUMPRODUCT(--($Y$2:$Y$501&lt;$Y273))+1,"")</f>
        <v/>
      </c>
      <c r="X273">
        <f>IF($A273="","",IF(OR($Q273=TRUE(),$Q273="TRUE"),1,0))</f>
        <v/>
      </c>
      <c r="Y273">
        <f>IF($V273=1,IFERROR(VALUE(MID($A273,2,20)),1000000000)+ROW()/100000,"")</f>
        <v/>
      </c>
    </row>
    <row r="274">
      <c r="B274">
        <f>IF($A274="","",IFERROR(IF(INDEX('Per Invoice'!$A$2:$A$201,MATCH($A274,'Per Invoice'!$B$2:$B$201,0))=0,"",INDEX('Per Invoice'!$A$2:$A$201,MATCH($A274,'Per Invoice'!$B$2:$B$201,0))),""))</f>
        <v/>
      </c>
      <c r="G274" s="7">
        <f>IF($A274="","",F274*T274/100)</f>
        <v/>
      </c>
      <c r="J274" s="7" t="n"/>
      <c r="K274" s="7" t="n"/>
      <c r="L274" s="7" t="n"/>
      <c r="O274" s="11" t="n"/>
      <c r="R274">
        <f>IF($A274="","",IF($X274=1,Settings!$C$6,Settings!$C$7)*1)</f>
        <v/>
      </c>
      <c r="S274" s="7">
        <f>IF($A274="","",R274*L274)</f>
        <v/>
      </c>
      <c r="T274" s="7">
        <f>IF($A274="","",L274-S274)</f>
        <v/>
      </c>
      <c r="U274" s="7">
        <f>IF($A274="","",T274-G274)</f>
        <v/>
      </c>
      <c r="V274">
        <f>IF($A274="","",IF(COUNTIF($A$2:$A274,$A274)=1,1,0))</f>
        <v/>
      </c>
      <c r="W274">
        <f>IF($V274=1,SUMPRODUCT(--($Y$2:$Y$501&lt;$Y274))+1,"")</f>
        <v/>
      </c>
      <c r="X274">
        <f>IF($A274="","",IF(OR($Q274=TRUE(),$Q274="TRUE"),1,0))</f>
        <v/>
      </c>
      <c r="Y274">
        <f>IF($V274=1,IFERROR(VALUE(MID($A274,2,20)),1000000000)+ROW()/100000,"")</f>
        <v/>
      </c>
    </row>
    <row r="275">
      <c r="B275">
        <f>IF($A275="","",IFERROR(IF(INDEX('Per Invoice'!$A$2:$A$201,MATCH($A275,'Per Invoice'!$B$2:$B$201,0))=0,"",INDEX('Per Invoice'!$A$2:$A$201,MATCH($A275,'Per Invoice'!$B$2:$B$201,0))),""))</f>
        <v/>
      </c>
      <c r="G275" s="7">
        <f>IF($A275="","",F275*T275/100)</f>
        <v/>
      </c>
      <c r="J275" s="7" t="n"/>
      <c r="K275" s="7" t="n"/>
      <c r="L275" s="7" t="n"/>
      <c r="O275" s="11" t="n"/>
      <c r="R275">
        <f>IF($A275="","",IF($X275=1,Settings!$C$6,Settings!$C$7)*1)</f>
        <v/>
      </c>
      <c r="S275" s="7">
        <f>IF($A275="","",R275*L275)</f>
        <v/>
      </c>
      <c r="T275" s="7">
        <f>IF($A275="","",L275-S275)</f>
        <v/>
      </c>
      <c r="U275" s="7">
        <f>IF($A275="","",T275-G275)</f>
        <v/>
      </c>
      <c r="V275">
        <f>IF($A275="","",IF(COUNTIF($A$2:$A275,$A275)=1,1,0))</f>
        <v/>
      </c>
      <c r="W275">
        <f>IF($V275=1,SUMPRODUCT(--($Y$2:$Y$501&lt;$Y275))+1,"")</f>
        <v/>
      </c>
      <c r="X275">
        <f>IF($A275="","",IF(OR($Q275=TRUE(),$Q275="TRUE"),1,0))</f>
        <v/>
      </c>
      <c r="Y275">
        <f>IF($V275=1,IFERROR(VALUE(MID($A275,2,20)),1000000000)+ROW()/100000,"")</f>
        <v/>
      </c>
    </row>
    <row r="276">
      <c r="B276">
        <f>IF($A276="","",IFERROR(IF(INDEX('Per Invoice'!$A$2:$A$201,MATCH($A276,'Per Invoice'!$B$2:$B$201,0))=0,"",INDEX('Per Invoice'!$A$2:$A$201,MATCH($A276,'Per Invoice'!$B$2:$B$201,0))),""))</f>
        <v/>
      </c>
      <c r="G276" s="7">
        <f>IF($A276="","",F276*T276/100)</f>
        <v/>
      </c>
      <c r="J276" s="7" t="n"/>
      <c r="K276" s="7" t="n"/>
      <c r="L276" s="7" t="n"/>
      <c r="O276" s="11" t="n"/>
      <c r="R276">
        <f>IF($A276="","",IF($X276=1,Settings!$C$6,Settings!$C$7)*1)</f>
        <v/>
      </c>
      <c r="S276" s="7">
        <f>IF($A276="","",R276*L276)</f>
        <v/>
      </c>
      <c r="T276" s="7">
        <f>IF($A276="","",L276-S276)</f>
        <v/>
      </c>
      <c r="U276" s="7">
        <f>IF($A276="","",T276-G276)</f>
        <v/>
      </c>
      <c r="V276">
        <f>IF($A276="","",IF(COUNTIF($A$2:$A276,$A276)=1,1,0))</f>
        <v/>
      </c>
      <c r="W276">
        <f>IF($V276=1,SUMPRODUCT(--($Y$2:$Y$501&lt;$Y276))+1,"")</f>
        <v/>
      </c>
      <c r="X276">
        <f>IF($A276="","",IF(OR($Q276=TRUE(),$Q276="TRUE"),1,0))</f>
        <v/>
      </c>
      <c r="Y276">
        <f>IF($V276=1,IFERROR(VALUE(MID($A276,2,20)),1000000000)+ROW()/100000,"")</f>
        <v/>
      </c>
    </row>
    <row r="277">
      <c r="B277">
        <f>IF($A277="","",IFERROR(IF(INDEX('Per Invoice'!$A$2:$A$201,MATCH($A277,'Per Invoice'!$B$2:$B$201,0))=0,"",INDEX('Per Invoice'!$A$2:$A$201,MATCH($A277,'Per Invoice'!$B$2:$B$201,0))),""))</f>
        <v/>
      </c>
      <c r="G277" s="7">
        <f>IF($A277="","",F277*T277/100)</f>
        <v/>
      </c>
      <c r="J277" s="7" t="n"/>
      <c r="K277" s="7" t="n"/>
      <c r="L277" s="7" t="n"/>
      <c r="O277" s="11" t="n"/>
      <c r="R277">
        <f>IF($A277="","",IF($X277=1,Settings!$C$6,Settings!$C$7)*1)</f>
        <v/>
      </c>
      <c r="S277" s="7">
        <f>IF($A277="","",R277*L277)</f>
        <v/>
      </c>
      <c r="T277" s="7">
        <f>IF($A277="","",L277-S277)</f>
        <v/>
      </c>
      <c r="U277" s="7">
        <f>IF($A277="","",T277-G277)</f>
        <v/>
      </c>
      <c r="V277">
        <f>IF($A277="","",IF(COUNTIF($A$2:$A277,$A277)=1,1,0))</f>
        <v/>
      </c>
      <c r="W277">
        <f>IF($V277=1,SUMPRODUCT(--($Y$2:$Y$501&lt;$Y277))+1,"")</f>
        <v/>
      </c>
      <c r="X277">
        <f>IF($A277="","",IF(OR($Q277=TRUE(),$Q277="TRUE"),1,0))</f>
        <v/>
      </c>
      <c r="Y277">
        <f>IF($V277=1,IFERROR(VALUE(MID($A277,2,20)),1000000000)+ROW()/100000,"")</f>
        <v/>
      </c>
    </row>
    <row r="278">
      <c r="B278">
        <f>IF($A278="","",IFERROR(IF(INDEX('Per Invoice'!$A$2:$A$201,MATCH($A278,'Per Invoice'!$B$2:$B$201,0))=0,"",INDEX('Per Invoice'!$A$2:$A$201,MATCH($A278,'Per Invoice'!$B$2:$B$201,0))),""))</f>
        <v/>
      </c>
      <c r="G278" s="7">
        <f>IF($A278="","",F278*T278/100)</f>
        <v/>
      </c>
      <c r="J278" s="7" t="n"/>
      <c r="K278" s="7" t="n"/>
      <c r="L278" s="7" t="n"/>
      <c r="O278" s="11" t="n"/>
      <c r="R278">
        <f>IF($A278="","",IF($X278=1,Settings!$C$6,Settings!$C$7)*1)</f>
        <v/>
      </c>
      <c r="S278" s="7">
        <f>IF($A278="","",R278*L278)</f>
        <v/>
      </c>
      <c r="T278" s="7">
        <f>IF($A278="","",L278-S278)</f>
        <v/>
      </c>
      <c r="U278" s="7">
        <f>IF($A278="","",T278-G278)</f>
        <v/>
      </c>
      <c r="V278">
        <f>IF($A278="","",IF(COUNTIF($A$2:$A278,$A278)=1,1,0))</f>
        <v/>
      </c>
      <c r="W278">
        <f>IF($V278=1,SUMPRODUCT(--($Y$2:$Y$501&lt;$Y278))+1,"")</f>
        <v/>
      </c>
      <c r="X278">
        <f>IF($A278="","",IF(OR($Q278=TRUE(),$Q278="TRUE"),1,0))</f>
        <v/>
      </c>
      <c r="Y278">
        <f>IF($V278=1,IFERROR(VALUE(MID($A278,2,20)),1000000000)+ROW()/100000,"")</f>
        <v/>
      </c>
    </row>
    <row r="279">
      <c r="B279">
        <f>IF($A279="","",IFERROR(IF(INDEX('Per Invoice'!$A$2:$A$201,MATCH($A279,'Per Invoice'!$B$2:$B$201,0))=0,"",INDEX('Per Invoice'!$A$2:$A$201,MATCH($A279,'Per Invoice'!$B$2:$B$201,0))),""))</f>
        <v/>
      </c>
      <c r="G279" s="7">
        <f>IF($A279="","",F279*T279/100)</f>
        <v/>
      </c>
      <c r="J279" s="7" t="n"/>
      <c r="K279" s="7" t="n"/>
      <c r="L279" s="7" t="n"/>
      <c r="O279" s="11" t="n"/>
      <c r="R279">
        <f>IF($A279="","",IF($X279=1,Settings!$C$6,Settings!$C$7)*1)</f>
        <v/>
      </c>
      <c r="S279" s="7">
        <f>IF($A279="","",R279*L279)</f>
        <v/>
      </c>
      <c r="T279" s="7">
        <f>IF($A279="","",L279-S279)</f>
        <v/>
      </c>
      <c r="U279" s="7">
        <f>IF($A279="","",T279-G279)</f>
        <v/>
      </c>
      <c r="V279">
        <f>IF($A279="","",IF(COUNTIF($A$2:$A279,$A279)=1,1,0))</f>
        <v/>
      </c>
      <c r="W279">
        <f>IF($V279=1,SUMPRODUCT(--($Y$2:$Y$501&lt;$Y279))+1,"")</f>
        <v/>
      </c>
      <c r="X279">
        <f>IF($A279="","",IF(OR($Q279=TRUE(),$Q279="TRUE"),1,0))</f>
        <v/>
      </c>
      <c r="Y279">
        <f>IF($V279=1,IFERROR(VALUE(MID($A279,2,20)),1000000000)+ROW()/100000,"")</f>
        <v/>
      </c>
    </row>
    <row r="280">
      <c r="B280">
        <f>IF($A280="","",IFERROR(IF(INDEX('Per Invoice'!$A$2:$A$201,MATCH($A280,'Per Invoice'!$B$2:$B$201,0))=0,"",INDEX('Per Invoice'!$A$2:$A$201,MATCH($A280,'Per Invoice'!$B$2:$B$201,0))),""))</f>
        <v/>
      </c>
      <c r="G280" s="7">
        <f>IF($A280="","",F280*T280/100)</f>
        <v/>
      </c>
      <c r="J280" s="7" t="n"/>
      <c r="K280" s="7" t="n"/>
      <c r="L280" s="7" t="n"/>
      <c r="O280" s="11" t="n"/>
      <c r="R280">
        <f>IF($A280="","",IF($X280=1,Settings!$C$6,Settings!$C$7)*1)</f>
        <v/>
      </c>
      <c r="S280" s="7">
        <f>IF($A280="","",R280*L280)</f>
        <v/>
      </c>
      <c r="T280" s="7">
        <f>IF($A280="","",L280-S280)</f>
        <v/>
      </c>
      <c r="U280" s="7">
        <f>IF($A280="","",T280-G280)</f>
        <v/>
      </c>
      <c r="V280">
        <f>IF($A280="","",IF(COUNTIF($A$2:$A280,$A280)=1,1,0))</f>
        <v/>
      </c>
      <c r="W280">
        <f>IF($V280=1,SUMPRODUCT(--($Y$2:$Y$501&lt;$Y280))+1,"")</f>
        <v/>
      </c>
      <c r="X280">
        <f>IF($A280="","",IF(OR($Q280=TRUE(),$Q280="TRUE"),1,0))</f>
        <v/>
      </c>
      <c r="Y280">
        <f>IF($V280=1,IFERROR(VALUE(MID($A280,2,20)),1000000000)+ROW()/100000,"")</f>
        <v/>
      </c>
    </row>
    <row r="281">
      <c r="B281">
        <f>IF($A281="","",IFERROR(IF(INDEX('Per Invoice'!$A$2:$A$201,MATCH($A281,'Per Invoice'!$B$2:$B$201,0))=0,"",INDEX('Per Invoice'!$A$2:$A$201,MATCH($A281,'Per Invoice'!$B$2:$B$201,0))),""))</f>
        <v/>
      </c>
      <c r="G281" s="7">
        <f>IF($A281="","",F281*T281/100)</f>
        <v/>
      </c>
      <c r="J281" s="7" t="n"/>
      <c r="K281" s="7" t="n"/>
      <c r="L281" s="7" t="n"/>
      <c r="O281" s="11" t="n"/>
      <c r="R281">
        <f>IF($A281="","",IF($X281=1,Settings!$C$6,Settings!$C$7)*1)</f>
        <v/>
      </c>
      <c r="S281" s="7">
        <f>IF($A281="","",R281*L281)</f>
        <v/>
      </c>
      <c r="T281" s="7">
        <f>IF($A281="","",L281-S281)</f>
        <v/>
      </c>
      <c r="U281" s="7">
        <f>IF($A281="","",T281-G281)</f>
        <v/>
      </c>
      <c r="V281">
        <f>IF($A281="","",IF(COUNTIF($A$2:$A281,$A281)=1,1,0))</f>
        <v/>
      </c>
      <c r="W281">
        <f>IF($V281=1,SUMPRODUCT(--($Y$2:$Y$501&lt;$Y281))+1,"")</f>
        <v/>
      </c>
      <c r="X281">
        <f>IF($A281="","",IF(OR($Q281=TRUE(),$Q281="TRUE"),1,0))</f>
        <v/>
      </c>
      <c r="Y281">
        <f>IF($V281=1,IFERROR(VALUE(MID($A281,2,20)),1000000000)+ROW()/100000,"")</f>
        <v/>
      </c>
    </row>
    <row r="282">
      <c r="B282">
        <f>IF($A282="","",IFERROR(IF(INDEX('Per Invoice'!$A$2:$A$201,MATCH($A282,'Per Invoice'!$B$2:$B$201,0))=0,"",INDEX('Per Invoice'!$A$2:$A$201,MATCH($A282,'Per Invoice'!$B$2:$B$201,0))),""))</f>
        <v/>
      </c>
      <c r="G282" s="7">
        <f>IF($A282="","",F282*T282/100)</f>
        <v/>
      </c>
      <c r="J282" s="7" t="n"/>
      <c r="K282" s="7" t="n"/>
      <c r="L282" s="7" t="n"/>
      <c r="O282" s="11" t="n"/>
      <c r="R282">
        <f>IF($A282="","",IF($X282=1,Settings!$C$6,Settings!$C$7)*1)</f>
        <v/>
      </c>
      <c r="S282" s="7">
        <f>IF($A282="","",R282*L282)</f>
        <v/>
      </c>
      <c r="T282" s="7">
        <f>IF($A282="","",L282-S282)</f>
        <v/>
      </c>
      <c r="U282" s="7">
        <f>IF($A282="","",T282-G282)</f>
        <v/>
      </c>
      <c r="V282">
        <f>IF($A282="","",IF(COUNTIF($A$2:$A282,$A282)=1,1,0))</f>
        <v/>
      </c>
      <c r="W282">
        <f>IF($V282=1,SUMPRODUCT(--($Y$2:$Y$501&lt;$Y282))+1,"")</f>
        <v/>
      </c>
      <c r="X282">
        <f>IF($A282="","",IF(OR($Q282=TRUE(),$Q282="TRUE"),1,0))</f>
        <v/>
      </c>
      <c r="Y282">
        <f>IF($V282=1,IFERROR(VALUE(MID($A282,2,20)),1000000000)+ROW()/100000,"")</f>
        <v/>
      </c>
    </row>
    <row r="283">
      <c r="B283">
        <f>IF($A283="","",IFERROR(IF(INDEX('Per Invoice'!$A$2:$A$201,MATCH($A283,'Per Invoice'!$B$2:$B$201,0))=0,"",INDEX('Per Invoice'!$A$2:$A$201,MATCH($A283,'Per Invoice'!$B$2:$B$201,0))),""))</f>
        <v/>
      </c>
      <c r="G283" s="7">
        <f>IF($A283="","",F283*T283/100)</f>
        <v/>
      </c>
      <c r="J283" s="7" t="n"/>
      <c r="K283" s="7" t="n"/>
      <c r="L283" s="7" t="n"/>
      <c r="O283" s="11" t="n"/>
      <c r="R283">
        <f>IF($A283="","",IF($X283=1,Settings!$C$6,Settings!$C$7)*1)</f>
        <v/>
      </c>
      <c r="S283" s="7">
        <f>IF($A283="","",R283*L283)</f>
        <v/>
      </c>
      <c r="T283" s="7">
        <f>IF($A283="","",L283-S283)</f>
        <v/>
      </c>
      <c r="U283" s="7">
        <f>IF($A283="","",T283-G283)</f>
        <v/>
      </c>
      <c r="V283">
        <f>IF($A283="","",IF(COUNTIF($A$2:$A283,$A283)=1,1,0))</f>
        <v/>
      </c>
      <c r="W283">
        <f>IF($V283=1,SUMPRODUCT(--($Y$2:$Y$501&lt;$Y283))+1,"")</f>
        <v/>
      </c>
      <c r="X283">
        <f>IF($A283="","",IF(OR($Q283=TRUE(),$Q283="TRUE"),1,0))</f>
        <v/>
      </c>
      <c r="Y283">
        <f>IF($V283=1,IFERROR(VALUE(MID($A283,2,20)),1000000000)+ROW()/100000,"")</f>
        <v/>
      </c>
    </row>
    <row r="284">
      <c r="B284">
        <f>IF($A284="","",IFERROR(IF(INDEX('Per Invoice'!$A$2:$A$201,MATCH($A284,'Per Invoice'!$B$2:$B$201,0))=0,"",INDEX('Per Invoice'!$A$2:$A$201,MATCH($A284,'Per Invoice'!$B$2:$B$201,0))),""))</f>
        <v/>
      </c>
      <c r="G284" s="7">
        <f>IF($A284="","",F284*T284/100)</f>
        <v/>
      </c>
      <c r="J284" s="7" t="n"/>
      <c r="K284" s="7" t="n"/>
      <c r="L284" s="7" t="n"/>
      <c r="O284" s="11" t="n"/>
      <c r="R284">
        <f>IF($A284="","",IF($X284=1,Settings!$C$6,Settings!$C$7)*1)</f>
        <v/>
      </c>
      <c r="S284" s="7">
        <f>IF($A284="","",R284*L284)</f>
        <v/>
      </c>
      <c r="T284" s="7">
        <f>IF($A284="","",L284-S284)</f>
        <v/>
      </c>
      <c r="U284" s="7">
        <f>IF($A284="","",T284-G284)</f>
        <v/>
      </c>
      <c r="V284">
        <f>IF($A284="","",IF(COUNTIF($A$2:$A284,$A284)=1,1,0))</f>
        <v/>
      </c>
      <c r="W284">
        <f>IF($V284=1,SUMPRODUCT(--($Y$2:$Y$501&lt;$Y284))+1,"")</f>
        <v/>
      </c>
      <c r="X284">
        <f>IF($A284="","",IF(OR($Q284=TRUE(),$Q284="TRUE"),1,0))</f>
        <v/>
      </c>
      <c r="Y284">
        <f>IF($V284=1,IFERROR(VALUE(MID($A284,2,20)),1000000000)+ROW()/100000,"")</f>
        <v/>
      </c>
    </row>
    <row r="285">
      <c r="B285">
        <f>IF($A285="","",IFERROR(IF(INDEX('Per Invoice'!$A$2:$A$201,MATCH($A285,'Per Invoice'!$B$2:$B$201,0))=0,"",INDEX('Per Invoice'!$A$2:$A$201,MATCH($A285,'Per Invoice'!$B$2:$B$201,0))),""))</f>
        <v/>
      </c>
      <c r="G285" s="7">
        <f>IF($A285="","",F285*T285/100)</f>
        <v/>
      </c>
      <c r="J285" s="7" t="n"/>
      <c r="K285" s="7" t="n"/>
      <c r="L285" s="7" t="n"/>
      <c r="O285" s="11" t="n"/>
      <c r="R285">
        <f>IF($A285="","",IF($X285=1,Settings!$C$6,Settings!$C$7)*1)</f>
        <v/>
      </c>
      <c r="S285" s="7">
        <f>IF($A285="","",R285*L285)</f>
        <v/>
      </c>
      <c r="T285" s="7">
        <f>IF($A285="","",L285-S285)</f>
        <v/>
      </c>
      <c r="U285" s="7">
        <f>IF($A285="","",T285-G285)</f>
        <v/>
      </c>
      <c r="V285">
        <f>IF($A285="","",IF(COUNTIF($A$2:$A285,$A285)=1,1,0))</f>
        <v/>
      </c>
      <c r="W285">
        <f>IF($V285=1,SUMPRODUCT(--($Y$2:$Y$501&lt;$Y285))+1,"")</f>
        <v/>
      </c>
      <c r="X285">
        <f>IF($A285="","",IF(OR($Q285=TRUE(),$Q285="TRUE"),1,0))</f>
        <v/>
      </c>
      <c r="Y285">
        <f>IF($V285=1,IFERROR(VALUE(MID($A285,2,20)),1000000000)+ROW()/100000,"")</f>
        <v/>
      </c>
    </row>
    <row r="286">
      <c r="B286">
        <f>IF($A286="","",IFERROR(IF(INDEX('Per Invoice'!$A$2:$A$201,MATCH($A286,'Per Invoice'!$B$2:$B$201,0))=0,"",INDEX('Per Invoice'!$A$2:$A$201,MATCH($A286,'Per Invoice'!$B$2:$B$201,0))),""))</f>
        <v/>
      </c>
      <c r="G286" s="7">
        <f>IF($A286="","",F286*T286/100)</f>
        <v/>
      </c>
      <c r="J286" s="7" t="n"/>
      <c r="K286" s="7" t="n"/>
      <c r="L286" s="7" t="n"/>
      <c r="O286" s="11" t="n"/>
      <c r="R286">
        <f>IF($A286="","",IF($X286=1,Settings!$C$6,Settings!$C$7)*1)</f>
        <v/>
      </c>
      <c r="S286" s="7">
        <f>IF($A286="","",R286*L286)</f>
        <v/>
      </c>
      <c r="T286" s="7">
        <f>IF($A286="","",L286-S286)</f>
        <v/>
      </c>
      <c r="U286" s="7">
        <f>IF($A286="","",T286-G286)</f>
        <v/>
      </c>
      <c r="V286">
        <f>IF($A286="","",IF(COUNTIF($A$2:$A286,$A286)=1,1,0))</f>
        <v/>
      </c>
      <c r="W286">
        <f>IF($V286=1,SUMPRODUCT(--($Y$2:$Y$501&lt;$Y286))+1,"")</f>
        <v/>
      </c>
      <c r="X286">
        <f>IF($A286="","",IF(OR($Q286=TRUE(),$Q286="TRUE"),1,0))</f>
        <v/>
      </c>
      <c r="Y286">
        <f>IF($V286=1,IFERROR(VALUE(MID($A286,2,20)),1000000000)+ROW()/100000,"")</f>
        <v/>
      </c>
    </row>
    <row r="287">
      <c r="B287">
        <f>IF($A287="","",IFERROR(IF(INDEX('Per Invoice'!$A$2:$A$201,MATCH($A287,'Per Invoice'!$B$2:$B$201,0))=0,"",INDEX('Per Invoice'!$A$2:$A$201,MATCH($A287,'Per Invoice'!$B$2:$B$201,0))),""))</f>
        <v/>
      </c>
      <c r="G287" s="7">
        <f>IF($A287="","",F287*T287/100)</f>
        <v/>
      </c>
      <c r="J287" s="7" t="n"/>
      <c r="K287" s="7" t="n"/>
      <c r="L287" s="7" t="n"/>
      <c r="O287" s="11" t="n"/>
      <c r="R287">
        <f>IF($A287="","",IF($X287=1,Settings!$C$6,Settings!$C$7)*1)</f>
        <v/>
      </c>
      <c r="S287" s="7">
        <f>IF($A287="","",R287*L287)</f>
        <v/>
      </c>
      <c r="T287" s="7">
        <f>IF($A287="","",L287-S287)</f>
        <v/>
      </c>
      <c r="U287" s="7">
        <f>IF($A287="","",T287-G287)</f>
        <v/>
      </c>
      <c r="V287">
        <f>IF($A287="","",IF(COUNTIF($A$2:$A287,$A287)=1,1,0))</f>
        <v/>
      </c>
      <c r="W287">
        <f>IF($V287=1,SUMPRODUCT(--($Y$2:$Y$501&lt;$Y287))+1,"")</f>
        <v/>
      </c>
      <c r="X287">
        <f>IF($A287="","",IF(OR($Q287=TRUE(),$Q287="TRUE"),1,0))</f>
        <v/>
      </c>
      <c r="Y287">
        <f>IF($V287=1,IFERROR(VALUE(MID($A287,2,20)),1000000000)+ROW()/100000,"")</f>
        <v/>
      </c>
    </row>
    <row r="288">
      <c r="B288">
        <f>IF($A288="","",IFERROR(IF(INDEX('Per Invoice'!$A$2:$A$201,MATCH($A288,'Per Invoice'!$B$2:$B$201,0))=0,"",INDEX('Per Invoice'!$A$2:$A$201,MATCH($A288,'Per Invoice'!$B$2:$B$201,0))),""))</f>
        <v/>
      </c>
      <c r="G288" s="7">
        <f>IF($A288="","",F288*T288/100)</f>
        <v/>
      </c>
      <c r="J288" s="7" t="n"/>
      <c r="K288" s="7" t="n"/>
      <c r="L288" s="7" t="n"/>
      <c r="O288" s="11" t="n"/>
      <c r="R288">
        <f>IF($A288="","",IF($X288=1,Settings!$C$6,Settings!$C$7)*1)</f>
        <v/>
      </c>
      <c r="S288" s="7">
        <f>IF($A288="","",R288*L288)</f>
        <v/>
      </c>
      <c r="T288" s="7">
        <f>IF($A288="","",L288-S288)</f>
        <v/>
      </c>
      <c r="U288" s="7">
        <f>IF($A288="","",T288-G288)</f>
        <v/>
      </c>
      <c r="V288">
        <f>IF($A288="","",IF(COUNTIF($A$2:$A288,$A288)=1,1,0))</f>
        <v/>
      </c>
      <c r="W288">
        <f>IF($V288=1,SUMPRODUCT(--($Y$2:$Y$501&lt;$Y288))+1,"")</f>
        <v/>
      </c>
      <c r="X288">
        <f>IF($A288="","",IF(OR($Q288=TRUE(),$Q288="TRUE"),1,0))</f>
        <v/>
      </c>
      <c r="Y288">
        <f>IF($V288=1,IFERROR(VALUE(MID($A288,2,20)),1000000000)+ROW()/100000,"")</f>
        <v/>
      </c>
    </row>
    <row r="289">
      <c r="B289">
        <f>IF($A289="","",IFERROR(IF(INDEX('Per Invoice'!$A$2:$A$201,MATCH($A289,'Per Invoice'!$B$2:$B$201,0))=0,"",INDEX('Per Invoice'!$A$2:$A$201,MATCH($A289,'Per Invoice'!$B$2:$B$201,0))),""))</f>
        <v/>
      </c>
      <c r="G289" s="7">
        <f>IF($A289="","",F289*T289/100)</f>
        <v/>
      </c>
      <c r="J289" s="7" t="n"/>
      <c r="K289" s="7" t="n"/>
      <c r="L289" s="7" t="n"/>
      <c r="O289" s="11" t="n"/>
      <c r="R289">
        <f>IF($A289="","",IF($X289=1,Settings!$C$6,Settings!$C$7)*1)</f>
        <v/>
      </c>
      <c r="S289" s="7">
        <f>IF($A289="","",R289*L289)</f>
        <v/>
      </c>
      <c r="T289" s="7">
        <f>IF($A289="","",L289-S289)</f>
        <v/>
      </c>
      <c r="U289" s="7">
        <f>IF($A289="","",T289-G289)</f>
        <v/>
      </c>
      <c r="V289">
        <f>IF($A289="","",IF(COUNTIF($A$2:$A289,$A289)=1,1,0))</f>
        <v/>
      </c>
      <c r="W289">
        <f>IF($V289=1,SUMPRODUCT(--($Y$2:$Y$501&lt;$Y289))+1,"")</f>
        <v/>
      </c>
      <c r="X289">
        <f>IF($A289="","",IF(OR($Q289=TRUE(),$Q289="TRUE"),1,0))</f>
        <v/>
      </c>
      <c r="Y289">
        <f>IF($V289=1,IFERROR(VALUE(MID($A289,2,20)),1000000000)+ROW()/100000,"")</f>
        <v/>
      </c>
    </row>
    <row r="290">
      <c r="B290">
        <f>IF($A290="","",IFERROR(IF(INDEX('Per Invoice'!$A$2:$A$201,MATCH($A290,'Per Invoice'!$B$2:$B$201,0))=0,"",INDEX('Per Invoice'!$A$2:$A$201,MATCH($A290,'Per Invoice'!$B$2:$B$201,0))),""))</f>
        <v/>
      </c>
      <c r="G290" s="7">
        <f>IF($A290="","",F290*T290/100)</f>
        <v/>
      </c>
      <c r="J290" s="7" t="n"/>
      <c r="K290" s="7" t="n"/>
      <c r="L290" s="7" t="n"/>
      <c r="O290" s="11" t="n"/>
      <c r="R290">
        <f>IF($A290="","",IF($X290=1,Settings!$C$6,Settings!$C$7)*1)</f>
        <v/>
      </c>
      <c r="S290" s="7">
        <f>IF($A290="","",R290*L290)</f>
        <v/>
      </c>
      <c r="T290" s="7">
        <f>IF($A290="","",L290-S290)</f>
        <v/>
      </c>
      <c r="U290" s="7">
        <f>IF($A290="","",T290-G290)</f>
        <v/>
      </c>
      <c r="V290">
        <f>IF($A290="","",IF(COUNTIF($A$2:$A290,$A290)=1,1,0))</f>
        <v/>
      </c>
      <c r="W290">
        <f>IF($V290=1,SUMPRODUCT(--($Y$2:$Y$501&lt;$Y290))+1,"")</f>
        <v/>
      </c>
      <c r="X290">
        <f>IF($A290="","",IF(OR($Q290=TRUE(),$Q290="TRUE"),1,0))</f>
        <v/>
      </c>
      <c r="Y290">
        <f>IF($V290=1,IFERROR(VALUE(MID($A290,2,20)),1000000000)+ROW()/100000,"")</f>
        <v/>
      </c>
    </row>
    <row r="291">
      <c r="B291">
        <f>IF($A291="","",IFERROR(IF(INDEX('Per Invoice'!$A$2:$A$201,MATCH($A291,'Per Invoice'!$B$2:$B$201,0))=0,"",INDEX('Per Invoice'!$A$2:$A$201,MATCH($A291,'Per Invoice'!$B$2:$B$201,0))),""))</f>
        <v/>
      </c>
      <c r="G291" s="7">
        <f>IF($A291="","",F291*T291/100)</f>
        <v/>
      </c>
      <c r="J291" s="7" t="n"/>
      <c r="K291" s="7" t="n"/>
      <c r="L291" s="7" t="n"/>
      <c r="O291" s="11" t="n"/>
      <c r="R291">
        <f>IF($A291="","",IF($X291=1,Settings!$C$6,Settings!$C$7)*1)</f>
        <v/>
      </c>
      <c r="S291" s="7">
        <f>IF($A291="","",R291*L291)</f>
        <v/>
      </c>
      <c r="T291" s="7">
        <f>IF($A291="","",L291-S291)</f>
        <v/>
      </c>
      <c r="U291" s="7">
        <f>IF($A291="","",T291-G291)</f>
        <v/>
      </c>
      <c r="V291">
        <f>IF($A291="","",IF(COUNTIF($A$2:$A291,$A291)=1,1,0))</f>
        <v/>
      </c>
      <c r="W291">
        <f>IF($V291=1,SUMPRODUCT(--($Y$2:$Y$501&lt;$Y291))+1,"")</f>
        <v/>
      </c>
      <c r="X291">
        <f>IF($A291="","",IF(OR($Q291=TRUE(),$Q291="TRUE"),1,0))</f>
        <v/>
      </c>
      <c r="Y291">
        <f>IF($V291=1,IFERROR(VALUE(MID($A291,2,20)),1000000000)+ROW()/100000,"")</f>
        <v/>
      </c>
    </row>
    <row r="292">
      <c r="B292">
        <f>IF($A292="","",IFERROR(IF(INDEX('Per Invoice'!$A$2:$A$201,MATCH($A292,'Per Invoice'!$B$2:$B$201,0))=0,"",INDEX('Per Invoice'!$A$2:$A$201,MATCH($A292,'Per Invoice'!$B$2:$B$201,0))),""))</f>
        <v/>
      </c>
      <c r="G292" s="7">
        <f>IF($A292="","",F292*T292/100)</f>
        <v/>
      </c>
      <c r="J292" s="7" t="n"/>
      <c r="K292" s="7" t="n"/>
      <c r="L292" s="7" t="n"/>
      <c r="O292" s="11" t="n"/>
      <c r="R292">
        <f>IF($A292="","",IF($X292=1,Settings!$C$6,Settings!$C$7)*1)</f>
        <v/>
      </c>
      <c r="S292" s="7">
        <f>IF($A292="","",R292*L292)</f>
        <v/>
      </c>
      <c r="T292" s="7">
        <f>IF($A292="","",L292-S292)</f>
        <v/>
      </c>
      <c r="U292" s="7">
        <f>IF($A292="","",T292-G292)</f>
        <v/>
      </c>
      <c r="V292">
        <f>IF($A292="","",IF(COUNTIF($A$2:$A292,$A292)=1,1,0))</f>
        <v/>
      </c>
      <c r="W292">
        <f>IF($V292=1,SUMPRODUCT(--($Y$2:$Y$501&lt;$Y292))+1,"")</f>
        <v/>
      </c>
      <c r="X292">
        <f>IF($A292="","",IF(OR($Q292=TRUE(),$Q292="TRUE"),1,0))</f>
        <v/>
      </c>
      <c r="Y292">
        <f>IF($V292=1,IFERROR(VALUE(MID($A292,2,20)),1000000000)+ROW()/100000,"")</f>
        <v/>
      </c>
    </row>
    <row r="293">
      <c r="B293">
        <f>IF($A293="","",IFERROR(IF(INDEX('Per Invoice'!$A$2:$A$201,MATCH($A293,'Per Invoice'!$B$2:$B$201,0))=0,"",INDEX('Per Invoice'!$A$2:$A$201,MATCH($A293,'Per Invoice'!$B$2:$B$201,0))),""))</f>
        <v/>
      </c>
      <c r="G293" s="7">
        <f>IF($A293="","",F293*T293/100)</f>
        <v/>
      </c>
      <c r="J293" s="7" t="n"/>
      <c r="K293" s="7" t="n"/>
      <c r="L293" s="7" t="n"/>
      <c r="O293" s="11" t="n"/>
      <c r="R293">
        <f>IF($A293="","",IF($X293=1,Settings!$C$6,Settings!$C$7)*1)</f>
        <v/>
      </c>
      <c r="S293" s="7">
        <f>IF($A293="","",R293*L293)</f>
        <v/>
      </c>
      <c r="T293" s="7">
        <f>IF($A293="","",L293-S293)</f>
        <v/>
      </c>
      <c r="U293" s="7">
        <f>IF($A293="","",T293-G293)</f>
        <v/>
      </c>
      <c r="V293">
        <f>IF($A293="","",IF(COUNTIF($A$2:$A293,$A293)=1,1,0))</f>
        <v/>
      </c>
      <c r="W293">
        <f>IF($V293=1,SUMPRODUCT(--($Y$2:$Y$501&lt;$Y293))+1,"")</f>
        <v/>
      </c>
      <c r="X293">
        <f>IF($A293="","",IF(OR($Q293=TRUE(),$Q293="TRUE"),1,0))</f>
        <v/>
      </c>
      <c r="Y293">
        <f>IF($V293=1,IFERROR(VALUE(MID($A293,2,20)),1000000000)+ROW()/100000,"")</f>
        <v/>
      </c>
    </row>
    <row r="294">
      <c r="B294">
        <f>IF($A294="","",IFERROR(IF(INDEX('Per Invoice'!$A$2:$A$201,MATCH($A294,'Per Invoice'!$B$2:$B$201,0))=0,"",INDEX('Per Invoice'!$A$2:$A$201,MATCH($A294,'Per Invoice'!$B$2:$B$201,0))),""))</f>
        <v/>
      </c>
      <c r="G294" s="7">
        <f>IF($A294="","",F294*T294/100)</f>
        <v/>
      </c>
      <c r="J294" s="7" t="n"/>
      <c r="K294" s="7" t="n"/>
      <c r="L294" s="7" t="n"/>
      <c r="O294" s="11" t="n"/>
      <c r="R294">
        <f>IF($A294="","",IF($X294=1,Settings!$C$6,Settings!$C$7)*1)</f>
        <v/>
      </c>
      <c r="S294" s="7">
        <f>IF($A294="","",R294*L294)</f>
        <v/>
      </c>
      <c r="T294" s="7">
        <f>IF($A294="","",L294-S294)</f>
        <v/>
      </c>
      <c r="U294" s="7">
        <f>IF($A294="","",T294-G294)</f>
        <v/>
      </c>
      <c r="V294">
        <f>IF($A294="","",IF(COUNTIF($A$2:$A294,$A294)=1,1,0))</f>
        <v/>
      </c>
      <c r="W294">
        <f>IF($V294=1,SUMPRODUCT(--($Y$2:$Y$501&lt;$Y294))+1,"")</f>
        <v/>
      </c>
      <c r="X294">
        <f>IF($A294="","",IF(OR($Q294=TRUE(),$Q294="TRUE"),1,0))</f>
        <v/>
      </c>
      <c r="Y294">
        <f>IF($V294=1,IFERROR(VALUE(MID($A294,2,20)),1000000000)+ROW()/100000,"")</f>
        <v/>
      </c>
    </row>
    <row r="295">
      <c r="B295">
        <f>IF($A295="","",IFERROR(IF(INDEX('Per Invoice'!$A$2:$A$201,MATCH($A295,'Per Invoice'!$B$2:$B$201,0))=0,"",INDEX('Per Invoice'!$A$2:$A$201,MATCH($A295,'Per Invoice'!$B$2:$B$201,0))),""))</f>
        <v/>
      </c>
      <c r="G295" s="7">
        <f>IF($A295="","",F295*T295/100)</f>
        <v/>
      </c>
      <c r="J295" s="7" t="n"/>
      <c r="K295" s="7" t="n"/>
      <c r="L295" s="7" t="n"/>
      <c r="O295" s="11" t="n"/>
      <c r="R295">
        <f>IF($A295="","",IF($X295=1,Settings!$C$6,Settings!$C$7)*1)</f>
        <v/>
      </c>
      <c r="S295" s="7">
        <f>IF($A295="","",R295*L295)</f>
        <v/>
      </c>
      <c r="T295" s="7">
        <f>IF($A295="","",L295-S295)</f>
        <v/>
      </c>
      <c r="U295" s="7">
        <f>IF($A295="","",T295-G295)</f>
        <v/>
      </c>
      <c r="V295">
        <f>IF($A295="","",IF(COUNTIF($A$2:$A295,$A295)=1,1,0))</f>
        <v/>
      </c>
      <c r="W295">
        <f>IF($V295=1,SUMPRODUCT(--($Y$2:$Y$501&lt;$Y295))+1,"")</f>
        <v/>
      </c>
      <c r="X295">
        <f>IF($A295="","",IF(OR($Q295=TRUE(),$Q295="TRUE"),1,0))</f>
        <v/>
      </c>
      <c r="Y295">
        <f>IF($V295=1,IFERROR(VALUE(MID($A295,2,20)),1000000000)+ROW()/100000,"")</f>
        <v/>
      </c>
    </row>
    <row r="296">
      <c r="B296">
        <f>IF($A296="","",IFERROR(IF(INDEX('Per Invoice'!$A$2:$A$201,MATCH($A296,'Per Invoice'!$B$2:$B$201,0))=0,"",INDEX('Per Invoice'!$A$2:$A$201,MATCH($A296,'Per Invoice'!$B$2:$B$201,0))),""))</f>
        <v/>
      </c>
      <c r="G296" s="7">
        <f>IF($A296="","",F296*T296/100)</f>
        <v/>
      </c>
      <c r="J296" s="7" t="n"/>
      <c r="K296" s="7" t="n"/>
      <c r="L296" s="7" t="n"/>
      <c r="O296" s="11" t="n"/>
      <c r="R296">
        <f>IF($A296="","",IF($X296=1,Settings!$C$6,Settings!$C$7)*1)</f>
        <v/>
      </c>
      <c r="S296" s="7">
        <f>IF($A296="","",R296*L296)</f>
        <v/>
      </c>
      <c r="T296" s="7">
        <f>IF($A296="","",L296-S296)</f>
        <v/>
      </c>
      <c r="U296" s="7">
        <f>IF($A296="","",T296-G296)</f>
        <v/>
      </c>
      <c r="V296">
        <f>IF($A296="","",IF(COUNTIF($A$2:$A296,$A296)=1,1,0))</f>
        <v/>
      </c>
      <c r="W296">
        <f>IF($V296=1,SUMPRODUCT(--($Y$2:$Y$501&lt;$Y296))+1,"")</f>
        <v/>
      </c>
      <c r="X296">
        <f>IF($A296="","",IF(OR($Q296=TRUE(),$Q296="TRUE"),1,0))</f>
        <v/>
      </c>
      <c r="Y296">
        <f>IF($V296=1,IFERROR(VALUE(MID($A296,2,20)),1000000000)+ROW()/100000,"")</f>
        <v/>
      </c>
    </row>
    <row r="297">
      <c r="B297">
        <f>IF($A297="","",IFERROR(IF(INDEX('Per Invoice'!$A$2:$A$201,MATCH($A297,'Per Invoice'!$B$2:$B$201,0))=0,"",INDEX('Per Invoice'!$A$2:$A$201,MATCH($A297,'Per Invoice'!$B$2:$B$201,0))),""))</f>
        <v/>
      </c>
      <c r="G297" s="7">
        <f>IF($A297="","",F297*T297/100)</f>
        <v/>
      </c>
      <c r="J297" s="7" t="n"/>
      <c r="K297" s="7" t="n"/>
      <c r="L297" s="7" t="n"/>
      <c r="O297" s="11" t="n"/>
      <c r="R297">
        <f>IF($A297="","",IF($X297=1,Settings!$C$6,Settings!$C$7)*1)</f>
        <v/>
      </c>
      <c r="S297" s="7">
        <f>IF($A297="","",R297*L297)</f>
        <v/>
      </c>
      <c r="T297" s="7">
        <f>IF($A297="","",L297-S297)</f>
        <v/>
      </c>
      <c r="U297" s="7">
        <f>IF($A297="","",T297-G297)</f>
        <v/>
      </c>
      <c r="V297">
        <f>IF($A297="","",IF(COUNTIF($A$2:$A297,$A297)=1,1,0))</f>
        <v/>
      </c>
      <c r="W297">
        <f>IF($V297=1,SUMPRODUCT(--($Y$2:$Y$501&lt;$Y297))+1,"")</f>
        <v/>
      </c>
      <c r="X297">
        <f>IF($A297="","",IF(OR($Q297=TRUE(),$Q297="TRUE"),1,0))</f>
        <v/>
      </c>
      <c r="Y297">
        <f>IF($V297=1,IFERROR(VALUE(MID($A297,2,20)),1000000000)+ROW()/100000,"")</f>
        <v/>
      </c>
    </row>
    <row r="298">
      <c r="B298">
        <f>IF($A298="","",IFERROR(IF(INDEX('Per Invoice'!$A$2:$A$201,MATCH($A298,'Per Invoice'!$B$2:$B$201,0))=0,"",INDEX('Per Invoice'!$A$2:$A$201,MATCH($A298,'Per Invoice'!$B$2:$B$201,0))),""))</f>
        <v/>
      </c>
      <c r="G298" s="7">
        <f>IF($A298="","",F298*T298/100)</f>
        <v/>
      </c>
      <c r="J298" s="7" t="n"/>
      <c r="K298" s="7" t="n"/>
      <c r="L298" s="7" t="n"/>
      <c r="O298" s="11" t="n"/>
      <c r="R298">
        <f>IF($A298="","",IF($X298=1,Settings!$C$6,Settings!$C$7)*1)</f>
        <v/>
      </c>
      <c r="S298" s="7">
        <f>IF($A298="","",R298*L298)</f>
        <v/>
      </c>
      <c r="T298" s="7">
        <f>IF($A298="","",L298-S298)</f>
        <v/>
      </c>
      <c r="U298" s="7">
        <f>IF($A298="","",T298-G298)</f>
        <v/>
      </c>
      <c r="V298">
        <f>IF($A298="","",IF(COUNTIF($A$2:$A298,$A298)=1,1,0))</f>
        <v/>
      </c>
      <c r="W298">
        <f>IF($V298=1,SUMPRODUCT(--($Y$2:$Y$501&lt;$Y298))+1,"")</f>
        <v/>
      </c>
      <c r="X298">
        <f>IF($A298="","",IF(OR($Q298=TRUE(),$Q298="TRUE"),1,0))</f>
        <v/>
      </c>
      <c r="Y298">
        <f>IF($V298=1,IFERROR(VALUE(MID($A298,2,20)),1000000000)+ROW()/100000,"")</f>
        <v/>
      </c>
    </row>
    <row r="299">
      <c r="B299">
        <f>IF($A299="","",IFERROR(IF(INDEX('Per Invoice'!$A$2:$A$201,MATCH($A299,'Per Invoice'!$B$2:$B$201,0))=0,"",INDEX('Per Invoice'!$A$2:$A$201,MATCH($A299,'Per Invoice'!$B$2:$B$201,0))),""))</f>
        <v/>
      </c>
      <c r="G299" s="7">
        <f>IF($A299="","",F299*T299/100)</f>
        <v/>
      </c>
      <c r="J299" s="7" t="n"/>
      <c r="K299" s="7" t="n"/>
      <c r="L299" s="7" t="n"/>
      <c r="O299" s="11" t="n"/>
      <c r="R299">
        <f>IF($A299="","",IF($X299=1,Settings!$C$6,Settings!$C$7)*1)</f>
        <v/>
      </c>
      <c r="S299" s="7">
        <f>IF($A299="","",R299*L299)</f>
        <v/>
      </c>
      <c r="T299" s="7">
        <f>IF($A299="","",L299-S299)</f>
        <v/>
      </c>
      <c r="U299" s="7">
        <f>IF($A299="","",T299-G299)</f>
        <v/>
      </c>
      <c r="V299">
        <f>IF($A299="","",IF(COUNTIF($A$2:$A299,$A299)=1,1,0))</f>
        <v/>
      </c>
      <c r="W299">
        <f>IF($V299=1,SUMPRODUCT(--($Y$2:$Y$501&lt;$Y299))+1,"")</f>
        <v/>
      </c>
      <c r="X299">
        <f>IF($A299="","",IF(OR($Q299=TRUE(),$Q299="TRUE"),1,0))</f>
        <v/>
      </c>
      <c r="Y299">
        <f>IF($V299=1,IFERROR(VALUE(MID($A299,2,20)),1000000000)+ROW()/100000,"")</f>
        <v/>
      </c>
    </row>
    <row r="300">
      <c r="B300">
        <f>IF($A300="","",IFERROR(IF(INDEX('Per Invoice'!$A$2:$A$201,MATCH($A300,'Per Invoice'!$B$2:$B$201,0))=0,"",INDEX('Per Invoice'!$A$2:$A$201,MATCH($A300,'Per Invoice'!$B$2:$B$201,0))),""))</f>
        <v/>
      </c>
      <c r="G300" s="7">
        <f>IF($A300="","",F300*T300/100)</f>
        <v/>
      </c>
      <c r="J300" s="7" t="n"/>
      <c r="K300" s="7" t="n"/>
      <c r="L300" s="7" t="n"/>
      <c r="O300" s="11" t="n"/>
      <c r="R300">
        <f>IF($A300="","",IF($X300=1,Settings!$C$6,Settings!$C$7)*1)</f>
        <v/>
      </c>
      <c r="S300" s="7">
        <f>IF($A300="","",R300*L300)</f>
        <v/>
      </c>
      <c r="T300" s="7">
        <f>IF($A300="","",L300-S300)</f>
        <v/>
      </c>
      <c r="U300" s="7">
        <f>IF($A300="","",T300-G300)</f>
        <v/>
      </c>
      <c r="V300">
        <f>IF($A300="","",IF(COUNTIF($A$2:$A300,$A300)=1,1,0))</f>
        <v/>
      </c>
      <c r="W300">
        <f>IF($V300=1,SUMPRODUCT(--($Y$2:$Y$501&lt;$Y300))+1,"")</f>
        <v/>
      </c>
      <c r="X300">
        <f>IF($A300="","",IF(OR($Q300=TRUE(),$Q300="TRUE"),1,0))</f>
        <v/>
      </c>
      <c r="Y300">
        <f>IF($V300=1,IFERROR(VALUE(MID($A300,2,20)),1000000000)+ROW()/100000,"")</f>
        <v/>
      </c>
    </row>
    <row r="301">
      <c r="B301">
        <f>IF($A301="","",IFERROR(IF(INDEX('Per Invoice'!$A$2:$A$201,MATCH($A301,'Per Invoice'!$B$2:$B$201,0))=0,"",INDEX('Per Invoice'!$A$2:$A$201,MATCH($A301,'Per Invoice'!$B$2:$B$201,0))),""))</f>
        <v/>
      </c>
      <c r="G301" s="7">
        <f>IF($A301="","",F301*T301/100)</f>
        <v/>
      </c>
      <c r="J301" s="7" t="n"/>
      <c r="K301" s="7" t="n"/>
      <c r="L301" s="7" t="n"/>
      <c r="O301" s="11" t="n"/>
      <c r="R301">
        <f>IF($A301="","",IF($X301=1,Settings!$C$6,Settings!$C$7)*1)</f>
        <v/>
      </c>
      <c r="S301" s="7">
        <f>IF($A301="","",R301*L301)</f>
        <v/>
      </c>
      <c r="T301" s="7">
        <f>IF($A301="","",L301-S301)</f>
        <v/>
      </c>
      <c r="U301" s="7">
        <f>IF($A301="","",T301-G301)</f>
        <v/>
      </c>
      <c r="V301">
        <f>IF($A301="","",IF(COUNTIF($A$2:$A301,$A301)=1,1,0))</f>
        <v/>
      </c>
      <c r="W301">
        <f>IF($V301=1,SUMPRODUCT(--($Y$2:$Y$501&lt;$Y301))+1,"")</f>
        <v/>
      </c>
      <c r="X301">
        <f>IF($A301="","",IF(OR($Q301=TRUE(),$Q301="TRUE"),1,0))</f>
        <v/>
      </c>
      <c r="Y301">
        <f>IF($V301=1,IFERROR(VALUE(MID($A301,2,20)),1000000000)+ROW()/100000,"")</f>
        <v/>
      </c>
    </row>
    <row r="302">
      <c r="B302">
        <f>IF($A302="","",IFERROR(IF(INDEX('Per Invoice'!$A$2:$A$201,MATCH($A302,'Per Invoice'!$B$2:$B$201,0))=0,"",INDEX('Per Invoice'!$A$2:$A$201,MATCH($A302,'Per Invoice'!$B$2:$B$201,0))),""))</f>
        <v/>
      </c>
      <c r="G302" s="7">
        <f>IF($A302="","",F302*T302/100)</f>
        <v/>
      </c>
      <c r="J302" s="7" t="n"/>
      <c r="K302" s="7" t="n"/>
      <c r="L302" s="7" t="n"/>
      <c r="O302" s="11" t="n"/>
      <c r="R302">
        <f>IF($A302="","",IF($X302=1,Settings!$C$6,Settings!$C$7)*1)</f>
        <v/>
      </c>
      <c r="S302" s="7">
        <f>IF($A302="","",R302*L302)</f>
        <v/>
      </c>
      <c r="T302" s="7">
        <f>IF($A302="","",L302-S302)</f>
        <v/>
      </c>
      <c r="U302" s="7">
        <f>IF($A302="","",T302-G302)</f>
        <v/>
      </c>
      <c r="V302">
        <f>IF($A302="","",IF(COUNTIF($A$2:$A302,$A302)=1,1,0))</f>
        <v/>
      </c>
      <c r="W302">
        <f>IF($V302=1,SUMPRODUCT(--($Y$2:$Y$501&lt;$Y302))+1,"")</f>
        <v/>
      </c>
      <c r="X302">
        <f>IF($A302="","",IF(OR($Q302=TRUE(),$Q302="TRUE"),1,0))</f>
        <v/>
      </c>
      <c r="Y302">
        <f>IF($V302=1,IFERROR(VALUE(MID($A302,2,20)),1000000000)+ROW()/100000,"")</f>
        <v/>
      </c>
    </row>
    <row r="303">
      <c r="B303">
        <f>IF($A303="","",IFERROR(IF(INDEX('Per Invoice'!$A$2:$A$201,MATCH($A303,'Per Invoice'!$B$2:$B$201,0))=0,"",INDEX('Per Invoice'!$A$2:$A$201,MATCH($A303,'Per Invoice'!$B$2:$B$201,0))),""))</f>
        <v/>
      </c>
      <c r="G303" s="7">
        <f>IF($A303="","",F303*T303/100)</f>
        <v/>
      </c>
      <c r="J303" s="7" t="n"/>
      <c r="K303" s="7" t="n"/>
      <c r="L303" s="7" t="n"/>
      <c r="O303" s="11" t="n"/>
      <c r="R303">
        <f>IF($A303="","",IF($X303=1,Settings!$C$6,Settings!$C$7)*1)</f>
        <v/>
      </c>
      <c r="S303" s="7">
        <f>IF($A303="","",R303*L303)</f>
        <v/>
      </c>
      <c r="T303" s="7">
        <f>IF($A303="","",L303-S303)</f>
        <v/>
      </c>
      <c r="U303" s="7">
        <f>IF($A303="","",T303-G303)</f>
        <v/>
      </c>
      <c r="V303">
        <f>IF($A303="","",IF(COUNTIF($A$2:$A303,$A303)=1,1,0))</f>
        <v/>
      </c>
      <c r="W303">
        <f>IF($V303=1,SUMPRODUCT(--($Y$2:$Y$501&lt;$Y303))+1,"")</f>
        <v/>
      </c>
      <c r="X303">
        <f>IF($A303="","",IF(OR($Q303=TRUE(),$Q303="TRUE"),1,0))</f>
        <v/>
      </c>
      <c r="Y303">
        <f>IF($V303=1,IFERROR(VALUE(MID($A303,2,20)),1000000000)+ROW()/100000,"")</f>
        <v/>
      </c>
    </row>
    <row r="304">
      <c r="B304">
        <f>IF($A304="","",IFERROR(IF(INDEX('Per Invoice'!$A$2:$A$201,MATCH($A304,'Per Invoice'!$B$2:$B$201,0))=0,"",INDEX('Per Invoice'!$A$2:$A$201,MATCH($A304,'Per Invoice'!$B$2:$B$201,0))),""))</f>
        <v/>
      </c>
      <c r="G304" s="7">
        <f>IF($A304="","",F304*T304/100)</f>
        <v/>
      </c>
      <c r="J304" s="7" t="n"/>
      <c r="K304" s="7" t="n"/>
      <c r="L304" s="7" t="n"/>
      <c r="O304" s="11" t="n"/>
      <c r="R304">
        <f>IF($A304="","",IF($X304=1,Settings!$C$6,Settings!$C$7)*1)</f>
        <v/>
      </c>
      <c r="S304" s="7">
        <f>IF($A304="","",R304*L304)</f>
        <v/>
      </c>
      <c r="T304" s="7">
        <f>IF($A304="","",L304-S304)</f>
        <v/>
      </c>
      <c r="U304" s="7">
        <f>IF($A304="","",T304-G304)</f>
        <v/>
      </c>
      <c r="V304">
        <f>IF($A304="","",IF(COUNTIF($A$2:$A304,$A304)=1,1,0))</f>
        <v/>
      </c>
      <c r="W304">
        <f>IF($V304=1,SUMPRODUCT(--($Y$2:$Y$501&lt;$Y304))+1,"")</f>
        <v/>
      </c>
      <c r="X304">
        <f>IF($A304="","",IF(OR($Q304=TRUE(),$Q304="TRUE"),1,0))</f>
        <v/>
      </c>
      <c r="Y304">
        <f>IF($V304=1,IFERROR(VALUE(MID($A304,2,20)),1000000000)+ROW()/100000,"")</f>
        <v/>
      </c>
    </row>
    <row r="305">
      <c r="B305">
        <f>IF($A305="","",IFERROR(IF(INDEX('Per Invoice'!$A$2:$A$201,MATCH($A305,'Per Invoice'!$B$2:$B$201,0))=0,"",INDEX('Per Invoice'!$A$2:$A$201,MATCH($A305,'Per Invoice'!$B$2:$B$201,0))),""))</f>
        <v/>
      </c>
      <c r="G305" s="7">
        <f>IF($A305="","",F305*T305/100)</f>
        <v/>
      </c>
      <c r="J305" s="7" t="n"/>
      <c r="K305" s="7" t="n"/>
      <c r="L305" s="7" t="n"/>
      <c r="O305" s="11" t="n"/>
      <c r="R305">
        <f>IF($A305="","",IF($X305=1,Settings!$C$6,Settings!$C$7)*1)</f>
        <v/>
      </c>
      <c r="S305" s="7">
        <f>IF($A305="","",R305*L305)</f>
        <v/>
      </c>
      <c r="T305" s="7">
        <f>IF($A305="","",L305-S305)</f>
        <v/>
      </c>
      <c r="U305" s="7">
        <f>IF($A305="","",T305-G305)</f>
        <v/>
      </c>
      <c r="V305">
        <f>IF($A305="","",IF(COUNTIF($A$2:$A305,$A305)=1,1,0))</f>
        <v/>
      </c>
      <c r="W305">
        <f>IF($V305=1,SUMPRODUCT(--($Y$2:$Y$501&lt;$Y305))+1,"")</f>
        <v/>
      </c>
      <c r="X305">
        <f>IF($A305="","",IF(OR($Q305=TRUE(),$Q305="TRUE"),1,0))</f>
        <v/>
      </c>
      <c r="Y305">
        <f>IF($V305=1,IFERROR(VALUE(MID($A305,2,20)),1000000000)+ROW()/100000,"")</f>
        <v/>
      </c>
    </row>
    <row r="306">
      <c r="B306">
        <f>IF($A306="","",IFERROR(IF(INDEX('Per Invoice'!$A$2:$A$201,MATCH($A306,'Per Invoice'!$B$2:$B$201,0))=0,"",INDEX('Per Invoice'!$A$2:$A$201,MATCH($A306,'Per Invoice'!$B$2:$B$201,0))),""))</f>
        <v/>
      </c>
      <c r="G306" s="7">
        <f>IF($A306="","",F306*T306/100)</f>
        <v/>
      </c>
      <c r="J306" s="7" t="n"/>
      <c r="K306" s="7" t="n"/>
      <c r="L306" s="7" t="n"/>
      <c r="O306" s="11" t="n"/>
      <c r="R306">
        <f>IF($A306="","",IF($X306=1,Settings!$C$6,Settings!$C$7)*1)</f>
        <v/>
      </c>
      <c r="S306" s="7">
        <f>IF($A306="","",R306*L306)</f>
        <v/>
      </c>
      <c r="T306" s="7">
        <f>IF($A306="","",L306-S306)</f>
        <v/>
      </c>
      <c r="U306" s="7">
        <f>IF($A306="","",T306-G306)</f>
        <v/>
      </c>
      <c r="V306">
        <f>IF($A306="","",IF(COUNTIF($A$2:$A306,$A306)=1,1,0))</f>
        <v/>
      </c>
      <c r="W306">
        <f>IF($V306=1,SUMPRODUCT(--($Y$2:$Y$501&lt;$Y306))+1,"")</f>
        <v/>
      </c>
      <c r="X306">
        <f>IF($A306="","",IF(OR($Q306=TRUE(),$Q306="TRUE"),1,0))</f>
        <v/>
      </c>
      <c r="Y306">
        <f>IF($V306=1,IFERROR(VALUE(MID($A306,2,20)),1000000000)+ROW()/100000,"")</f>
        <v/>
      </c>
    </row>
    <row r="307">
      <c r="B307">
        <f>IF($A307="","",IFERROR(IF(INDEX('Per Invoice'!$A$2:$A$201,MATCH($A307,'Per Invoice'!$B$2:$B$201,0))=0,"",INDEX('Per Invoice'!$A$2:$A$201,MATCH($A307,'Per Invoice'!$B$2:$B$201,0))),""))</f>
        <v/>
      </c>
      <c r="G307" s="7">
        <f>IF($A307="","",F307*T307/100)</f>
        <v/>
      </c>
      <c r="J307" s="7" t="n"/>
      <c r="K307" s="7" t="n"/>
      <c r="L307" s="7" t="n"/>
      <c r="O307" s="11" t="n"/>
      <c r="R307">
        <f>IF($A307="","",IF($X307=1,Settings!$C$6,Settings!$C$7)*1)</f>
        <v/>
      </c>
      <c r="S307" s="7">
        <f>IF($A307="","",R307*L307)</f>
        <v/>
      </c>
      <c r="T307" s="7">
        <f>IF($A307="","",L307-S307)</f>
        <v/>
      </c>
      <c r="U307" s="7">
        <f>IF($A307="","",T307-G307)</f>
        <v/>
      </c>
      <c r="V307">
        <f>IF($A307="","",IF(COUNTIF($A$2:$A307,$A307)=1,1,0))</f>
        <v/>
      </c>
      <c r="W307">
        <f>IF($V307=1,SUMPRODUCT(--($Y$2:$Y$501&lt;$Y307))+1,"")</f>
        <v/>
      </c>
      <c r="X307">
        <f>IF($A307="","",IF(OR($Q307=TRUE(),$Q307="TRUE"),1,0))</f>
        <v/>
      </c>
      <c r="Y307">
        <f>IF($V307=1,IFERROR(VALUE(MID($A307,2,20)),1000000000)+ROW()/100000,"")</f>
        <v/>
      </c>
    </row>
    <row r="308">
      <c r="B308">
        <f>IF($A308="","",IFERROR(IF(INDEX('Per Invoice'!$A$2:$A$201,MATCH($A308,'Per Invoice'!$B$2:$B$201,0))=0,"",INDEX('Per Invoice'!$A$2:$A$201,MATCH($A308,'Per Invoice'!$B$2:$B$201,0))),""))</f>
        <v/>
      </c>
      <c r="G308" s="7">
        <f>IF($A308="","",F308*T308/100)</f>
        <v/>
      </c>
      <c r="J308" s="7" t="n"/>
      <c r="K308" s="7" t="n"/>
      <c r="L308" s="7" t="n"/>
      <c r="O308" s="11" t="n"/>
      <c r="R308">
        <f>IF($A308="","",IF($X308=1,Settings!$C$6,Settings!$C$7)*1)</f>
        <v/>
      </c>
      <c r="S308" s="7">
        <f>IF($A308="","",R308*L308)</f>
        <v/>
      </c>
      <c r="T308" s="7">
        <f>IF($A308="","",L308-S308)</f>
        <v/>
      </c>
      <c r="U308" s="7">
        <f>IF($A308="","",T308-G308)</f>
        <v/>
      </c>
      <c r="V308">
        <f>IF($A308="","",IF(COUNTIF($A$2:$A308,$A308)=1,1,0))</f>
        <v/>
      </c>
      <c r="W308">
        <f>IF($V308=1,SUMPRODUCT(--($Y$2:$Y$501&lt;$Y308))+1,"")</f>
        <v/>
      </c>
      <c r="X308">
        <f>IF($A308="","",IF(OR($Q308=TRUE(),$Q308="TRUE"),1,0))</f>
        <v/>
      </c>
      <c r="Y308">
        <f>IF($V308=1,IFERROR(VALUE(MID($A308,2,20)),1000000000)+ROW()/100000,"")</f>
        <v/>
      </c>
    </row>
    <row r="309">
      <c r="B309">
        <f>IF($A309="","",IFERROR(IF(INDEX('Per Invoice'!$A$2:$A$201,MATCH($A309,'Per Invoice'!$B$2:$B$201,0))=0,"",INDEX('Per Invoice'!$A$2:$A$201,MATCH($A309,'Per Invoice'!$B$2:$B$201,0))),""))</f>
        <v/>
      </c>
      <c r="G309" s="7">
        <f>IF($A309="","",F309*T309/100)</f>
        <v/>
      </c>
      <c r="J309" s="7" t="n"/>
      <c r="K309" s="7" t="n"/>
      <c r="L309" s="7" t="n"/>
      <c r="O309" s="11" t="n"/>
      <c r="R309">
        <f>IF($A309="","",IF($X309=1,Settings!$C$6,Settings!$C$7)*1)</f>
        <v/>
      </c>
      <c r="S309" s="7">
        <f>IF($A309="","",R309*L309)</f>
        <v/>
      </c>
      <c r="T309" s="7">
        <f>IF($A309="","",L309-S309)</f>
        <v/>
      </c>
      <c r="U309" s="7">
        <f>IF($A309="","",T309-G309)</f>
        <v/>
      </c>
      <c r="V309">
        <f>IF($A309="","",IF(COUNTIF($A$2:$A309,$A309)=1,1,0))</f>
        <v/>
      </c>
      <c r="W309">
        <f>IF($V309=1,SUMPRODUCT(--($Y$2:$Y$501&lt;$Y309))+1,"")</f>
        <v/>
      </c>
      <c r="X309">
        <f>IF($A309="","",IF(OR($Q309=TRUE(),$Q309="TRUE"),1,0))</f>
        <v/>
      </c>
      <c r="Y309">
        <f>IF($V309=1,IFERROR(VALUE(MID($A309,2,20)),1000000000)+ROW()/100000,"")</f>
        <v/>
      </c>
    </row>
    <row r="310">
      <c r="B310">
        <f>IF($A310="","",IFERROR(IF(INDEX('Per Invoice'!$A$2:$A$201,MATCH($A310,'Per Invoice'!$B$2:$B$201,0))=0,"",INDEX('Per Invoice'!$A$2:$A$201,MATCH($A310,'Per Invoice'!$B$2:$B$201,0))),""))</f>
        <v/>
      </c>
      <c r="G310" s="7">
        <f>IF($A310="","",F310*T310/100)</f>
        <v/>
      </c>
      <c r="J310" s="7" t="n"/>
      <c r="K310" s="7" t="n"/>
      <c r="L310" s="7" t="n"/>
      <c r="O310" s="11" t="n"/>
      <c r="R310">
        <f>IF($A310="","",IF($X310=1,Settings!$C$6,Settings!$C$7)*1)</f>
        <v/>
      </c>
      <c r="S310" s="7">
        <f>IF($A310="","",R310*L310)</f>
        <v/>
      </c>
      <c r="T310" s="7">
        <f>IF($A310="","",L310-S310)</f>
        <v/>
      </c>
      <c r="U310" s="7">
        <f>IF($A310="","",T310-G310)</f>
        <v/>
      </c>
      <c r="V310">
        <f>IF($A310="","",IF(COUNTIF($A$2:$A310,$A310)=1,1,0))</f>
        <v/>
      </c>
      <c r="W310">
        <f>IF($V310=1,SUMPRODUCT(--($Y$2:$Y$501&lt;$Y310))+1,"")</f>
        <v/>
      </c>
      <c r="X310">
        <f>IF($A310="","",IF(OR($Q310=TRUE(),$Q310="TRUE"),1,0))</f>
        <v/>
      </c>
      <c r="Y310">
        <f>IF($V310=1,IFERROR(VALUE(MID($A310,2,20)),1000000000)+ROW()/100000,"")</f>
        <v/>
      </c>
    </row>
    <row r="311">
      <c r="B311">
        <f>IF($A311="","",IFERROR(IF(INDEX('Per Invoice'!$A$2:$A$201,MATCH($A311,'Per Invoice'!$B$2:$B$201,0))=0,"",INDEX('Per Invoice'!$A$2:$A$201,MATCH($A311,'Per Invoice'!$B$2:$B$201,0))),""))</f>
        <v/>
      </c>
      <c r="G311" s="7">
        <f>IF($A311="","",F311*T311/100)</f>
        <v/>
      </c>
      <c r="J311" s="7" t="n"/>
      <c r="K311" s="7" t="n"/>
      <c r="L311" s="7" t="n"/>
      <c r="O311" s="11" t="n"/>
      <c r="R311">
        <f>IF($A311="","",IF($X311=1,Settings!$C$6,Settings!$C$7)*1)</f>
        <v/>
      </c>
      <c r="S311" s="7">
        <f>IF($A311="","",R311*L311)</f>
        <v/>
      </c>
      <c r="T311" s="7">
        <f>IF($A311="","",L311-S311)</f>
        <v/>
      </c>
      <c r="U311" s="7">
        <f>IF($A311="","",T311-G311)</f>
        <v/>
      </c>
      <c r="V311">
        <f>IF($A311="","",IF(COUNTIF($A$2:$A311,$A311)=1,1,0))</f>
        <v/>
      </c>
      <c r="W311">
        <f>IF($V311=1,SUMPRODUCT(--($Y$2:$Y$501&lt;$Y311))+1,"")</f>
        <v/>
      </c>
      <c r="X311">
        <f>IF($A311="","",IF(OR($Q311=TRUE(),$Q311="TRUE"),1,0))</f>
        <v/>
      </c>
      <c r="Y311">
        <f>IF($V311=1,IFERROR(VALUE(MID($A311,2,20)),1000000000)+ROW()/100000,"")</f>
        <v/>
      </c>
    </row>
    <row r="312">
      <c r="B312">
        <f>IF($A312="","",IFERROR(IF(INDEX('Per Invoice'!$A$2:$A$201,MATCH($A312,'Per Invoice'!$B$2:$B$201,0))=0,"",INDEX('Per Invoice'!$A$2:$A$201,MATCH($A312,'Per Invoice'!$B$2:$B$201,0))),""))</f>
        <v/>
      </c>
      <c r="G312" s="7">
        <f>IF($A312="","",F312*T312/100)</f>
        <v/>
      </c>
      <c r="J312" s="7" t="n"/>
      <c r="K312" s="7" t="n"/>
      <c r="L312" s="7" t="n"/>
      <c r="O312" s="11" t="n"/>
      <c r="R312">
        <f>IF($A312="","",IF($X312=1,Settings!$C$6,Settings!$C$7)*1)</f>
        <v/>
      </c>
      <c r="S312" s="7">
        <f>IF($A312="","",R312*L312)</f>
        <v/>
      </c>
      <c r="T312" s="7">
        <f>IF($A312="","",L312-S312)</f>
        <v/>
      </c>
      <c r="U312" s="7">
        <f>IF($A312="","",T312-G312)</f>
        <v/>
      </c>
      <c r="V312">
        <f>IF($A312="","",IF(COUNTIF($A$2:$A312,$A312)=1,1,0))</f>
        <v/>
      </c>
      <c r="W312">
        <f>IF($V312=1,SUMPRODUCT(--($Y$2:$Y$501&lt;$Y312))+1,"")</f>
        <v/>
      </c>
      <c r="X312">
        <f>IF($A312="","",IF(OR($Q312=TRUE(),$Q312="TRUE"),1,0))</f>
        <v/>
      </c>
      <c r="Y312">
        <f>IF($V312=1,IFERROR(VALUE(MID($A312,2,20)),1000000000)+ROW()/100000,"")</f>
        <v/>
      </c>
    </row>
    <row r="313">
      <c r="B313">
        <f>IF($A313="","",IFERROR(IF(INDEX('Per Invoice'!$A$2:$A$201,MATCH($A313,'Per Invoice'!$B$2:$B$201,0))=0,"",INDEX('Per Invoice'!$A$2:$A$201,MATCH($A313,'Per Invoice'!$B$2:$B$201,0))),""))</f>
        <v/>
      </c>
      <c r="G313" s="7">
        <f>IF($A313="","",F313*T313/100)</f>
        <v/>
      </c>
      <c r="J313" s="7" t="n"/>
      <c r="K313" s="7" t="n"/>
      <c r="L313" s="7" t="n"/>
      <c r="O313" s="11" t="n"/>
      <c r="R313">
        <f>IF($A313="","",IF($X313=1,Settings!$C$6,Settings!$C$7)*1)</f>
        <v/>
      </c>
      <c r="S313" s="7">
        <f>IF($A313="","",R313*L313)</f>
        <v/>
      </c>
      <c r="T313" s="7">
        <f>IF($A313="","",L313-S313)</f>
        <v/>
      </c>
      <c r="U313" s="7">
        <f>IF($A313="","",T313-G313)</f>
        <v/>
      </c>
      <c r="V313">
        <f>IF($A313="","",IF(COUNTIF($A$2:$A313,$A313)=1,1,0))</f>
        <v/>
      </c>
      <c r="W313">
        <f>IF($V313=1,SUMPRODUCT(--($Y$2:$Y$501&lt;$Y313))+1,"")</f>
        <v/>
      </c>
      <c r="X313">
        <f>IF($A313="","",IF(OR($Q313=TRUE(),$Q313="TRUE"),1,0))</f>
        <v/>
      </c>
      <c r="Y313">
        <f>IF($V313=1,IFERROR(VALUE(MID($A313,2,20)),1000000000)+ROW()/100000,"")</f>
        <v/>
      </c>
    </row>
    <row r="314">
      <c r="B314">
        <f>IF($A314="","",IFERROR(IF(INDEX('Per Invoice'!$A$2:$A$201,MATCH($A314,'Per Invoice'!$B$2:$B$201,0))=0,"",INDEX('Per Invoice'!$A$2:$A$201,MATCH($A314,'Per Invoice'!$B$2:$B$201,0))),""))</f>
        <v/>
      </c>
      <c r="G314" s="7">
        <f>IF($A314="","",F314*T314/100)</f>
        <v/>
      </c>
      <c r="J314" s="7" t="n"/>
      <c r="K314" s="7" t="n"/>
      <c r="L314" s="7" t="n"/>
      <c r="O314" s="11" t="n"/>
      <c r="R314">
        <f>IF($A314="","",IF($X314=1,Settings!$C$6,Settings!$C$7)*1)</f>
        <v/>
      </c>
      <c r="S314" s="7">
        <f>IF($A314="","",R314*L314)</f>
        <v/>
      </c>
      <c r="T314" s="7">
        <f>IF($A314="","",L314-S314)</f>
        <v/>
      </c>
      <c r="U314" s="7">
        <f>IF($A314="","",T314-G314)</f>
        <v/>
      </c>
      <c r="V314">
        <f>IF($A314="","",IF(COUNTIF($A$2:$A314,$A314)=1,1,0))</f>
        <v/>
      </c>
      <c r="W314">
        <f>IF($V314=1,SUMPRODUCT(--($Y$2:$Y$501&lt;$Y314))+1,"")</f>
        <v/>
      </c>
      <c r="X314">
        <f>IF($A314="","",IF(OR($Q314=TRUE(),$Q314="TRUE"),1,0))</f>
        <v/>
      </c>
      <c r="Y314">
        <f>IF($V314=1,IFERROR(VALUE(MID($A314,2,20)),1000000000)+ROW()/100000,"")</f>
        <v/>
      </c>
    </row>
    <row r="315">
      <c r="B315">
        <f>IF($A315="","",IFERROR(IF(INDEX('Per Invoice'!$A$2:$A$201,MATCH($A315,'Per Invoice'!$B$2:$B$201,0))=0,"",INDEX('Per Invoice'!$A$2:$A$201,MATCH($A315,'Per Invoice'!$B$2:$B$201,0))),""))</f>
        <v/>
      </c>
      <c r="G315" s="7">
        <f>IF($A315="","",F315*T315/100)</f>
        <v/>
      </c>
      <c r="J315" s="7" t="n"/>
      <c r="K315" s="7" t="n"/>
      <c r="L315" s="7" t="n"/>
      <c r="O315" s="11" t="n"/>
      <c r="R315">
        <f>IF($A315="","",IF($X315=1,Settings!$C$6,Settings!$C$7)*1)</f>
        <v/>
      </c>
      <c r="S315" s="7">
        <f>IF($A315="","",R315*L315)</f>
        <v/>
      </c>
      <c r="T315" s="7">
        <f>IF($A315="","",L315-S315)</f>
        <v/>
      </c>
      <c r="U315" s="7">
        <f>IF($A315="","",T315-G315)</f>
        <v/>
      </c>
      <c r="V315">
        <f>IF($A315="","",IF(COUNTIF($A$2:$A315,$A315)=1,1,0))</f>
        <v/>
      </c>
      <c r="W315">
        <f>IF($V315=1,SUMPRODUCT(--($Y$2:$Y$501&lt;$Y315))+1,"")</f>
        <v/>
      </c>
      <c r="X315">
        <f>IF($A315="","",IF(OR($Q315=TRUE(),$Q315="TRUE"),1,0))</f>
        <v/>
      </c>
      <c r="Y315">
        <f>IF($V315=1,IFERROR(VALUE(MID($A315,2,20)),1000000000)+ROW()/100000,"")</f>
        <v/>
      </c>
    </row>
    <row r="316">
      <c r="B316">
        <f>IF($A316="","",IFERROR(IF(INDEX('Per Invoice'!$A$2:$A$201,MATCH($A316,'Per Invoice'!$B$2:$B$201,0))=0,"",INDEX('Per Invoice'!$A$2:$A$201,MATCH($A316,'Per Invoice'!$B$2:$B$201,0))),""))</f>
        <v/>
      </c>
      <c r="G316" s="7">
        <f>IF($A316="","",F316*T316/100)</f>
        <v/>
      </c>
      <c r="J316" s="7" t="n"/>
      <c r="K316" s="7" t="n"/>
      <c r="L316" s="7" t="n"/>
      <c r="O316" s="11" t="n"/>
      <c r="R316">
        <f>IF($A316="","",IF($X316=1,Settings!$C$6,Settings!$C$7)*1)</f>
        <v/>
      </c>
      <c r="S316" s="7">
        <f>IF($A316="","",R316*L316)</f>
        <v/>
      </c>
      <c r="T316" s="7">
        <f>IF($A316="","",L316-S316)</f>
        <v/>
      </c>
      <c r="U316" s="7">
        <f>IF($A316="","",T316-G316)</f>
        <v/>
      </c>
      <c r="V316">
        <f>IF($A316="","",IF(COUNTIF($A$2:$A316,$A316)=1,1,0))</f>
        <v/>
      </c>
      <c r="W316">
        <f>IF($V316=1,SUMPRODUCT(--($Y$2:$Y$501&lt;$Y316))+1,"")</f>
        <v/>
      </c>
      <c r="X316">
        <f>IF($A316="","",IF(OR($Q316=TRUE(),$Q316="TRUE"),1,0))</f>
        <v/>
      </c>
      <c r="Y316">
        <f>IF($V316=1,IFERROR(VALUE(MID($A316,2,20)),1000000000)+ROW()/100000,"")</f>
        <v/>
      </c>
    </row>
    <row r="317">
      <c r="B317">
        <f>IF($A317="","",IFERROR(IF(INDEX('Per Invoice'!$A$2:$A$201,MATCH($A317,'Per Invoice'!$B$2:$B$201,0))=0,"",INDEX('Per Invoice'!$A$2:$A$201,MATCH($A317,'Per Invoice'!$B$2:$B$201,0))),""))</f>
        <v/>
      </c>
      <c r="G317" s="7">
        <f>IF($A317="","",F317*T317/100)</f>
        <v/>
      </c>
      <c r="J317" s="7" t="n"/>
      <c r="K317" s="7" t="n"/>
      <c r="L317" s="7" t="n"/>
      <c r="O317" s="11" t="n"/>
      <c r="R317">
        <f>IF($A317="","",IF($X317=1,Settings!$C$6,Settings!$C$7)*1)</f>
        <v/>
      </c>
      <c r="S317" s="7">
        <f>IF($A317="","",R317*L317)</f>
        <v/>
      </c>
      <c r="T317" s="7">
        <f>IF($A317="","",L317-S317)</f>
        <v/>
      </c>
      <c r="U317" s="7">
        <f>IF($A317="","",T317-G317)</f>
        <v/>
      </c>
      <c r="V317">
        <f>IF($A317="","",IF(COUNTIF($A$2:$A317,$A317)=1,1,0))</f>
        <v/>
      </c>
      <c r="W317">
        <f>IF($V317=1,SUMPRODUCT(--($Y$2:$Y$501&lt;$Y317))+1,"")</f>
        <v/>
      </c>
      <c r="X317">
        <f>IF($A317="","",IF(OR($Q317=TRUE(),$Q317="TRUE"),1,0))</f>
        <v/>
      </c>
      <c r="Y317">
        <f>IF($V317=1,IFERROR(VALUE(MID($A317,2,20)),1000000000)+ROW()/100000,"")</f>
        <v/>
      </c>
    </row>
    <row r="318">
      <c r="B318">
        <f>IF($A318="","",IFERROR(IF(INDEX('Per Invoice'!$A$2:$A$201,MATCH($A318,'Per Invoice'!$B$2:$B$201,0))=0,"",INDEX('Per Invoice'!$A$2:$A$201,MATCH($A318,'Per Invoice'!$B$2:$B$201,0))),""))</f>
        <v/>
      </c>
      <c r="G318" s="7">
        <f>IF($A318="","",F318*T318/100)</f>
        <v/>
      </c>
      <c r="J318" s="7" t="n"/>
      <c r="K318" s="7" t="n"/>
      <c r="L318" s="7" t="n"/>
      <c r="O318" s="11" t="n"/>
      <c r="R318">
        <f>IF($A318="","",IF($X318=1,Settings!$C$6,Settings!$C$7)*1)</f>
        <v/>
      </c>
      <c r="S318" s="7">
        <f>IF($A318="","",R318*L318)</f>
        <v/>
      </c>
      <c r="T318" s="7">
        <f>IF($A318="","",L318-S318)</f>
        <v/>
      </c>
      <c r="U318" s="7">
        <f>IF($A318="","",T318-G318)</f>
        <v/>
      </c>
      <c r="V318">
        <f>IF($A318="","",IF(COUNTIF($A$2:$A318,$A318)=1,1,0))</f>
        <v/>
      </c>
      <c r="W318">
        <f>IF($V318=1,SUMPRODUCT(--($Y$2:$Y$501&lt;$Y318))+1,"")</f>
        <v/>
      </c>
      <c r="X318">
        <f>IF($A318="","",IF(OR($Q318=TRUE(),$Q318="TRUE"),1,0))</f>
        <v/>
      </c>
      <c r="Y318">
        <f>IF($V318=1,IFERROR(VALUE(MID($A318,2,20)),1000000000)+ROW()/100000,"")</f>
        <v/>
      </c>
    </row>
    <row r="319">
      <c r="B319">
        <f>IF($A319="","",IFERROR(IF(INDEX('Per Invoice'!$A$2:$A$201,MATCH($A319,'Per Invoice'!$B$2:$B$201,0))=0,"",INDEX('Per Invoice'!$A$2:$A$201,MATCH($A319,'Per Invoice'!$B$2:$B$201,0))),""))</f>
        <v/>
      </c>
      <c r="G319" s="7">
        <f>IF($A319="","",F319*T319/100)</f>
        <v/>
      </c>
      <c r="J319" s="7" t="n"/>
      <c r="K319" s="7" t="n"/>
      <c r="L319" s="7" t="n"/>
      <c r="O319" s="11" t="n"/>
      <c r="R319">
        <f>IF($A319="","",IF($X319=1,Settings!$C$6,Settings!$C$7)*1)</f>
        <v/>
      </c>
      <c r="S319" s="7">
        <f>IF($A319="","",R319*L319)</f>
        <v/>
      </c>
      <c r="T319" s="7">
        <f>IF($A319="","",L319-S319)</f>
        <v/>
      </c>
      <c r="U319" s="7">
        <f>IF($A319="","",T319-G319)</f>
        <v/>
      </c>
      <c r="V319">
        <f>IF($A319="","",IF(COUNTIF($A$2:$A319,$A319)=1,1,0))</f>
        <v/>
      </c>
      <c r="W319">
        <f>IF($V319=1,SUMPRODUCT(--($Y$2:$Y$501&lt;$Y319))+1,"")</f>
        <v/>
      </c>
      <c r="X319">
        <f>IF($A319="","",IF(OR($Q319=TRUE(),$Q319="TRUE"),1,0))</f>
        <v/>
      </c>
      <c r="Y319">
        <f>IF($V319=1,IFERROR(VALUE(MID($A319,2,20)),1000000000)+ROW()/100000,"")</f>
        <v/>
      </c>
    </row>
    <row r="320">
      <c r="B320">
        <f>IF($A320="","",IFERROR(IF(INDEX('Per Invoice'!$A$2:$A$201,MATCH($A320,'Per Invoice'!$B$2:$B$201,0))=0,"",INDEX('Per Invoice'!$A$2:$A$201,MATCH($A320,'Per Invoice'!$B$2:$B$201,0))),""))</f>
        <v/>
      </c>
      <c r="G320" s="7">
        <f>IF($A320="","",F320*T320/100)</f>
        <v/>
      </c>
      <c r="J320" s="7" t="n"/>
      <c r="K320" s="7" t="n"/>
      <c r="L320" s="7" t="n"/>
      <c r="O320" s="11" t="n"/>
      <c r="R320">
        <f>IF($A320="","",IF($X320=1,Settings!$C$6,Settings!$C$7)*1)</f>
        <v/>
      </c>
      <c r="S320" s="7">
        <f>IF($A320="","",R320*L320)</f>
        <v/>
      </c>
      <c r="T320" s="7">
        <f>IF($A320="","",L320-S320)</f>
        <v/>
      </c>
      <c r="U320" s="7">
        <f>IF($A320="","",T320-G320)</f>
        <v/>
      </c>
      <c r="V320">
        <f>IF($A320="","",IF(COUNTIF($A$2:$A320,$A320)=1,1,0))</f>
        <v/>
      </c>
      <c r="W320">
        <f>IF($V320=1,SUMPRODUCT(--($Y$2:$Y$501&lt;$Y320))+1,"")</f>
        <v/>
      </c>
      <c r="X320">
        <f>IF($A320="","",IF(OR($Q320=TRUE(),$Q320="TRUE"),1,0))</f>
        <v/>
      </c>
      <c r="Y320">
        <f>IF($V320=1,IFERROR(VALUE(MID($A320,2,20)),1000000000)+ROW()/100000,"")</f>
        <v/>
      </c>
    </row>
    <row r="321">
      <c r="B321">
        <f>IF($A321="","",IFERROR(IF(INDEX('Per Invoice'!$A$2:$A$201,MATCH($A321,'Per Invoice'!$B$2:$B$201,0))=0,"",INDEX('Per Invoice'!$A$2:$A$201,MATCH($A321,'Per Invoice'!$B$2:$B$201,0))),""))</f>
        <v/>
      </c>
      <c r="G321" s="7">
        <f>IF($A321="","",F321*T321/100)</f>
        <v/>
      </c>
      <c r="J321" s="7" t="n"/>
      <c r="K321" s="7" t="n"/>
      <c r="L321" s="7" t="n"/>
      <c r="O321" s="11" t="n"/>
      <c r="R321">
        <f>IF($A321="","",IF($X321=1,Settings!$C$6,Settings!$C$7)*1)</f>
        <v/>
      </c>
      <c r="S321" s="7">
        <f>IF($A321="","",R321*L321)</f>
        <v/>
      </c>
      <c r="T321" s="7">
        <f>IF($A321="","",L321-S321)</f>
        <v/>
      </c>
      <c r="U321" s="7">
        <f>IF($A321="","",T321-G321)</f>
        <v/>
      </c>
      <c r="V321">
        <f>IF($A321="","",IF(COUNTIF($A$2:$A321,$A321)=1,1,0))</f>
        <v/>
      </c>
      <c r="W321">
        <f>IF($V321=1,SUMPRODUCT(--($Y$2:$Y$501&lt;$Y321))+1,"")</f>
        <v/>
      </c>
      <c r="X321">
        <f>IF($A321="","",IF(OR($Q321=TRUE(),$Q321="TRUE"),1,0))</f>
        <v/>
      </c>
      <c r="Y321">
        <f>IF($V321=1,IFERROR(VALUE(MID($A321,2,20)),1000000000)+ROW()/100000,"")</f>
        <v/>
      </c>
    </row>
    <row r="322">
      <c r="B322">
        <f>IF($A322="","",IFERROR(IF(INDEX('Per Invoice'!$A$2:$A$201,MATCH($A322,'Per Invoice'!$B$2:$B$201,0))=0,"",INDEX('Per Invoice'!$A$2:$A$201,MATCH($A322,'Per Invoice'!$B$2:$B$201,0))),""))</f>
        <v/>
      </c>
      <c r="G322" s="7">
        <f>IF($A322="","",F322*T322/100)</f>
        <v/>
      </c>
      <c r="J322" s="7" t="n"/>
      <c r="K322" s="7" t="n"/>
      <c r="L322" s="7" t="n"/>
      <c r="O322" s="11" t="n"/>
      <c r="R322">
        <f>IF($A322="","",IF($X322=1,Settings!$C$6,Settings!$C$7)*1)</f>
        <v/>
      </c>
      <c r="S322" s="7">
        <f>IF($A322="","",R322*L322)</f>
        <v/>
      </c>
      <c r="T322" s="7">
        <f>IF($A322="","",L322-S322)</f>
        <v/>
      </c>
      <c r="U322" s="7">
        <f>IF($A322="","",T322-G322)</f>
        <v/>
      </c>
      <c r="V322">
        <f>IF($A322="","",IF(COUNTIF($A$2:$A322,$A322)=1,1,0))</f>
        <v/>
      </c>
      <c r="W322">
        <f>IF($V322=1,SUMPRODUCT(--($Y$2:$Y$501&lt;$Y322))+1,"")</f>
        <v/>
      </c>
      <c r="X322">
        <f>IF($A322="","",IF(OR($Q322=TRUE(),$Q322="TRUE"),1,0))</f>
        <v/>
      </c>
      <c r="Y322">
        <f>IF($V322=1,IFERROR(VALUE(MID($A322,2,20)),1000000000)+ROW()/100000,"")</f>
        <v/>
      </c>
    </row>
    <row r="323">
      <c r="B323">
        <f>IF($A323="","",IFERROR(IF(INDEX('Per Invoice'!$A$2:$A$201,MATCH($A323,'Per Invoice'!$B$2:$B$201,0))=0,"",INDEX('Per Invoice'!$A$2:$A$201,MATCH($A323,'Per Invoice'!$B$2:$B$201,0))),""))</f>
        <v/>
      </c>
      <c r="G323" s="7">
        <f>IF($A323="","",F323*T323/100)</f>
        <v/>
      </c>
      <c r="J323" s="7" t="n"/>
      <c r="K323" s="7" t="n"/>
      <c r="L323" s="7" t="n"/>
      <c r="O323" s="11" t="n"/>
      <c r="R323">
        <f>IF($A323="","",IF($X323=1,Settings!$C$6,Settings!$C$7)*1)</f>
        <v/>
      </c>
      <c r="S323" s="7">
        <f>IF($A323="","",R323*L323)</f>
        <v/>
      </c>
      <c r="T323" s="7">
        <f>IF($A323="","",L323-S323)</f>
        <v/>
      </c>
      <c r="U323" s="7">
        <f>IF($A323="","",T323-G323)</f>
        <v/>
      </c>
      <c r="V323">
        <f>IF($A323="","",IF(COUNTIF($A$2:$A323,$A323)=1,1,0))</f>
        <v/>
      </c>
      <c r="W323">
        <f>IF($V323=1,SUMPRODUCT(--($Y$2:$Y$501&lt;$Y323))+1,"")</f>
        <v/>
      </c>
      <c r="X323">
        <f>IF($A323="","",IF(OR($Q323=TRUE(),$Q323="TRUE"),1,0))</f>
        <v/>
      </c>
      <c r="Y323">
        <f>IF($V323=1,IFERROR(VALUE(MID($A323,2,20)),1000000000)+ROW()/100000,"")</f>
        <v/>
      </c>
    </row>
    <row r="324">
      <c r="B324">
        <f>IF($A324="","",IFERROR(IF(INDEX('Per Invoice'!$A$2:$A$201,MATCH($A324,'Per Invoice'!$B$2:$B$201,0))=0,"",INDEX('Per Invoice'!$A$2:$A$201,MATCH($A324,'Per Invoice'!$B$2:$B$201,0))),""))</f>
        <v/>
      </c>
      <c r="G324" s="7">
        <f>IF($A324="","",F324*T324/100)</f>
        <v/>
      </c>
      <c r="J324" s="7" t="n"/>
      <c r="K324" s="7" t="n"/>
      <c r="L324" s="7" t="n"/>
      <c r="O324" s="11" t="n"/>
      <c r="R324">
        <f>IF($A324="","",IF($X324=1,Settings!$C$6,Settings!$C$7)*1)</f>
        <v/>
      </c>
      <c r="S324" s="7">
        <f>IF($A324="","",R324*L324)</f>
        <v/>
      </c>
      <c r="T324" s="7">
        <f>IF($A324="","",L324-S324)</f>
        <v/>
      </c>
      <c r="U324" s="7">
        <f>IF($A324="","",T324-G324)</f>
        <v/>
      </c>
      <c r="V324">
        <f>IF($A324="","",IF(COUNTIF($A$2:$A324,$A324)=1,1,0))</f>
        <v/>
      </c>
      <c r="W324">
        <f>IF($V324=1,SUMPRODUCT(--($Y$2:$Y$501&lt;$Y324))+1,"")</f>
        <v/>
      </c>
      <c r="X324">
        <f>IF($A324="","",IF(OR($Q324=TRUE(),$Q324="TRUE"),1,0))</f>
        <v/>
      </c>
      <c r="Y324">
        <f>IF($V324=1,IFERROR(VALUE(MID($A324,2,20)),1000000000)+ROW()/100000,"")</f>
        <v/>
      </c>
    </row>
    <row r="325">
      <c r="B325">
        <f>IF($A325="","",IFERROR(IF(INDEX('Per Invoice'!$A$2:$A$201,MATCH($A325,'Per Invoice'!$B$2:$B$201,0))=0,"",INDEX('Per Invoice'!$A$2:$A$201,MATCH($A325,'Per Invoice'!$B$2:$B$201,0))),""))</f>
        <v/>
      </c>
      <c r="G325" s="7">
        <f>IF($A325="","",F325*T325/100)</f>
        <v/>
      </c>
      <c r="J325" s="7" t="n"/>
      <c r="K325" s="7" t="n"/>
      <c r="L325" s="7" t="n"/>
      <c r="O325" s="11" t="n"/>
      <c r="R325">
        <f>IF($A325="","",IF($X325=1,Settings!$C$6,Settings!$C$7)*1)</f>
        <v/>
      </c>
      <c r="S325" s="7">
        <f>IF($A325="","",R325*L325)</f>
        <v/>
      </c>
      <c r="T325" s="7">
        <f>IF($A325="","",L325-S325)</f>
        <v/>
      </c>
      <c r="U325" s="7">
        <f>IF($A325="","",T325-G325)</f>
        <v/>
      </c>
      <c r="V325">
        <f>IF($A325="","",IF(COUNTIF($A$2:$A325,$A325)=1,1,0))</f>
        <v/>
      </c>
      <c r="W325">
        <f>IF($V325=1,SUMPRODUCT(--($Y$2:$Y$501&lt;$Y325))+1,"")</f>
        <v/>
      </c>
      <c r="X325">
        <f>IF($A325="","",IF(OR($Q325=TRUE(),$Q325="TRUE"),1,0))</f>
        <v/>
      </c>
      <c r="Y325">
        <f>IF($V325=1,IFERROR(VALUE(MID($A325,2,20)),1000000000)+ROW()/100000,"")</f>
        <v/>
      </c>
    </row>
    <row r="326">
      <c r="B326">
        <f>IF($A326="","",IFERROR(IF(INDEX('Per Invoice'!$A$2:$A$201,MATCH($A326,'Per Invoice'!$B$2:$B$201,0))=0,"",INDEX('Per Invoice'!$A$2:$A$201,MATCH($A326,'Per Invoice'!$B$2:$B$201,0))),""))</f>
        <v/>
      </c>
      <c r="G326" s="7">
        <f>IF($A326="","",F326*T326/100)</f>
        <v/>
      </c>
      <c r="J326" s="7" t="n"/>
      <c r="K326" s="7" t="n"/>
      <c r="L326" s="7" t="n"/>
      <c r="O326" s="11" t="n"/>
      <c r="R326">
        <f>IF($A326="","",IF($X326=1,Settings!$C$6,Settings!$C$7)*1)</f>
        <v/>
      </c>
      <c r="S326" s="7">
        <f>IF($A326="","",R326*L326)</f>
        <v/>
      </c>
      <c r="T326" s="7">
        <f>IF($A326="","",L326-S326)</f>
        <v/>
      </c>
      <c r="U326" s="7">
        <f>IF($A326="","",T326-G326)</f>
        <v/>
      </c>
      <c r="V326">
        <f>IF($A326="","",IF(COUNTIF($A$2:$A326,$A326)=1,1,0))</f>
        <v/>
      </c>
      <c r="W326">
        <f>IF($V326=1,SUMPRODUCT(--($Y$2:$Y$501&lt;$Y326))+1,"")</f>
        <v/>
      </c>
      <c r="X326">
        <f>IF($A326="","",IF(OR($Q326=TRUE(),$Q326="TRUE"),1,0))</f>
        <v/>
      </c>
      <c r="Y326">
        <f>IF($V326=1,IFERROR(VALUE(MID($A326,2,20)),1000000000)+ROW()/100000,"")</f>
        <v/>
      </c>
    </row>
    <row r="327">
      <c r="B327">
        <f>IF($A327="","",IFERROR(IF(INDEX('Per Invoice'!$A$2:$A$201,MATCH($A327,'Per Invoice'!$B$2:$B$201,0))=0,"",INDEX('Per Invoice'!$A$2:$A$201,MATCH($A327,'Per Invoice'!$B$2:$B$201,0))),""))</f>
        <v/>
      </c>
      <c r="G327" s="7">
        <f>IF($A327="","",F327*T327/100)</f>
        <v/>
      </c>
      <c r="J327" s="7" t="n"/>
      <c r="K327" s="7" t="n"/>
      <c r="L327" s="7" t="n"/>
      <c r="O327" s="11" t="n"/>
      <c r="R327">
        <f>IF($A327="","",IF($X327=1,Settings!$C$6,Settings!$C$7)*1)</f>
        <v/>
      </c>
      <c r="S327" s="7">
        <f>IF($A327="","",R327*L327)</f>
        <v/>
      </c>
      <c r="T327" s="7">
        <f>IF($A327="","",L327-S327)</f>
        <v/>
      </c>
      <c r="U327" s="7">
        <f>IF($A327="","",T327-G327)</f>
        <v/>
      </c>
      <c r="V327">
        <f>IF($A327="","",IF(COUNTIF($A$2:$A327,$A327)=1,1,0))</f>
        <v/>
      </c>
      <c r="W327">
        <f>IF($V327=1,SUMPRODUCT(--($Y$2:$Y$501&lt;$Y327))+1,"")</f>
        <v/>
      </c>
      <c r="X327">
        <f>IF($A327="","",IF(OR($Q327=TRUE(),$Q327="TRUE"),1,0))</f>
        <v/>
      </c>
      <c r="Y327">
        <f>IF($V327=1,IFERROR(VALUE(MID($A327,2,20)),1000000000)+ROW()/100000,"")</f>
        <v/>
      </c>
    </row>
    <row r="328">
      <c r="B328">
        <f>IF($A328="","",IFERROR(IF(INDEX('Per Invoice'!$A$2:$A$201,MATCH($A328,'Per Invoice'!$B$2:$B$201,0))=0,"",INDEX('Per Invoice'!$A$2:$A$201,MATCH($A328,'Per Invoice'!$B$2:$B$201,0))),""))</f>
        <v/>
      </c>
      <c r="G328" s="7">
        <f>IF($A328="","",F328*T328/100)</f>
        <v/>
      </c>
      <c r="J328" s="7" t="n"/>
      <c r="K328" s="7" t="n"/>
      <c r="L328" s="7" t="n"/>
      <c r="O328" s="11" t="n"/>
      <c r="R328">
        <f>IF($A328="","",IF($X328=1,Settings!$C$6,Settings!$C$7)*1)</f>
        <v/>
      </c>
      <c r="S328" s="7">
        <f>IF($A328="","",R328*L328)</f>
        <v/>
      </c>
      <c r="T328" s="7">
        <f>IF($A328="","",L328-S328)</f>
        <v/>
      </c>
      <c r="U328" s="7">
        <f>IF($A328="","",T328-G328)</f>
        <v/>
      </c>
      <c r="V328">
        <f>IF($A328="","",IF(COUNTIF($A$2:$A328,$A328)=1,1,0))</f>
        <v/>
      </c>
      <c r="W328">
        <f>IF($V328=1,SUMPRODUCT(--($Y$2:$Y$501&lt;$Y328))+1,"")</f>
        <v/>
      </c>
      <c r="X328">
        <f>IF($A328="","",IF(OR($Q328=TRUE(),$Q328="TRUE"),1,0))</f>
        <v/>
      </c>
      <c r="Y328">
        <f>IF($V328=1,IFERROR(VALUE(MID($A328,2,20)),1000000000)+ROW()/100000,"")</f>
        <v/>
      </c>
    </row>
    <row r="329">
      <c r="B329">
        <f>IF($A329="","",IFERROR(IF(INDEX('Per Invoice'!$A$2:$A$201,MATCH($A329,'Per Invoice'!$B$2:$B$201,0))=0,"",INDEX('Per Invoice'!$A$2:$A$201,MATCH($A329,'Per Invoice'!$B$2:$B$201,0))),""))</f>
        <v/>
      </c>
      <c r="G329" s="7">
        <f>IF($A329="","",F329*T329/100)</f>
        <v/>
      </c>
      <c r="J329" s="7" t="n"/>
      <c r="K329" s="7" t="n"/>
      <c r="L329" s="7" t="n"/>
      <c r="O329" s="11" t="n"/>
      <c r="R329">
        <f>IF($A329="","",IF($X329=1,Settings!$C$6,Settings!$C$7)*1)</f>
        <v/>
      </c>
      <c r="S329" s="7">
        <f>IF($A329="","",R329*L329)</f>
        <v/>
      </c>
      <c r="T329" s="7">
        <f>IF($A329="","",L329-S329)</f>
        <v/>
      </c>
      <c r="U329" s="7">
        <f>IF($A329="","",T329-G329)</f>
        <v/>
      </c>
      <c r="V329">
        <f>IF($A329="","",IF(COUNTIF($A$2:$A329,$A329)=1,1,0))</f>
        <v/>
      </c>
      <c r="W329">
        <f>IF($V329=1,SUMPRODUCT(--($Y$2:$Y$501&lt;$Y329))+1,"")</f>
        <v/>
      </c>
      <c r="X329">
        <f>IF($A329="","",IF(OR($Q329=TRUE(),$Q329="TRUE"),1,0))</f>
        <v/>
      </c>
      <c r="Y329">
        <f>IF($V329=1,IFERROR(VALUE(MID($A329,2,20)),1000000000)+ROW()/100000,"")</f>
        <v/>
      </c>
    </row>
    <row r="330">
      <c r="B330">
        <f>IF($A330="","",IFERROR(IF(INDEX('Per Invoice'!$A$2:$A$201,MATCH($A330,'Per Invoice'!$B$2:$B$201,0))=0,"",INDEX('Per Invoice'!$A$2:$A$201,MATCH($A330,'Per Invoice'!$B$2:$B$201,0))),""))</f>
        <v/>
      </c>
      <c r="G330" s="7">
        <f>IF($A330="","",F330*T330/100)</f>
        <v/>
      </c>
      <c r="J330" s="7" t="n"/>
      <c r="K330" s="7" t="n"/>
      <c r="L330" s="7" t="n"/>
      <c r="O330" s="11" t="n"/>
      <c r="R330">
        <f>IF($A330="","",IF($X330=1,Settings!$C$6,Settings!$C$7)*1)</f>
        <v/>
      </c>
      <c r="S330" s="7">
        <f>IF($A330="","",R330*L330)</f>
        <v/>
      </c>
      <c r="T330" s="7">
        <f>IF($A330="","",L330-S330)</f>
        <v/>
      </c>
      <c r="U330" s="7">
        <f>IF($A330="","",T330-G330)</f>
        <v/>
      </c>
      <c r="V330">
        <f>IF($A330="","",IF(COUNTIF($A$2:$A330,$A330)=1,1,0))</f>
        <v/>
      </c>
      <c r="W330">
        <f>IF($V330=1,SUMPRODUCT(--($Y$2:$Y$501&lt;$Y330))+1,"")</f>
        <v/>
      </c>
      <c r="X330">
        <f>IF($A330="","",IF(OR($Q330=TRUE(),$Q330="TRUE"),1,0))</f>
        <v/>
      </c>
      <c r="Y330">
        <f>IF($V330=1,IFERROR(VALUE(MID($A330,2,20)),1000000000)+ROW()/100000,"")</f>
        <v/>
      </c>
    </row>
    <row r="331">
      <c r="B331">
        <f>IF($A331="","",IFERROR(IF(INDEX('Per Invoice'!$A$2:$A$201,MATCH($A331,'Per Invoice'!$B$2:$B$201,0))=0,"",INDEX('Per Invoice'!$A$2:$A$201,MATCH($A331,'Per Invoice'!$B$2:$B$201,0))),""))</f>
        <v/>
      </c>
      <c r="G331" s="7">
        <f>IF($A331="","",F331*T331/100)</f>
        <v/>
      </c>
      <c r="J331" s="7" t="n"/>
      <c r="K331" s="7" t="n"/>
      <c r="L331" s="7" t="n"/>
      <c r="O331" s="11" t="n"/>
      <c r="R331">
        <f>IF($A331="","",IF($X331=1,Settings!$C$6,Settings!$C$7)*1)</f>
        <v/>
      </c>
      <c r="S331" s="7">
        <f>IF($A331="","",R331*L331)</f>
        <v/>
      </c>
      <c r="T331" s="7">
        <f>IF($A331="","",L331-S331)</f>
        <v/>
      </c>
      <c r="U331" s="7">
        <f>IF($A331="","",T331-G331)</f>
        <v/>
      </c>
      <c r="V331">
        <f>IF($A331="","",IF(COUNTIF($A$2:$A331,$A331)=1,1,0))</f>
        <v/>
      </c>
      <c r="W331">
        <f>IF($V331=1,SUMPRODUCT(--($Y$2:$Y$501&lt;$Y331))+1,"")</f>
        <v/>
      </c>
      <c r="X331">
        <f>IF($A331="","",IF(OR($Q331=TRUE(),$Q331="TRUE"),1,0))</f>
        <v/>
      </c>
      <c r="Y331">
        <f>IF($V331=1,IFERROR(VALUE(MID($A331,2,20)),1000000000)+ROW()/100000,"")</f>
        <v/>
      </c>
    </row>
    <row r="332">
      <c r="B332">
        <f>IF($A332="","",IFERROR(IF(INDEX('Per Invoice'!$A$2:$A$201,MATCH($A332,'Per Invoice'!$B$2:$B$201,0))=0,"",INDEX('Per Invoice'!$A$2:$A$201,MATCH($A332,'Per Invoice'!$B$2:$B$201,0))),""))</f>
        <v/>
      </c>
      <c r="G332" s="7">
        <f>IF($A332="","",F332*T332/100)</f>
        <v/>
      </c>
      <c r="J332" s="7" t="n"/>
      <c r="K332" s="7" t="n"/>
      <c r="L332" s="7" t="n"/>
      <c r="O332" s="11" t="n"/>
      <c r="R332">
        <f>IF($A332="","",IF($X332=1,Settings!$C$6,Settings!$C$7)*1)</f>
        <v/>
      </c>
      <c r="S332" s="7">
        <f>IF($A332="","",R332*L332)</f>
        <v/>
      </c>
      <c r="T332" s="7">
        <f>IF($A332="","",L332-S332)</f>
        <v/>
      </c>
      <c r="U332" s="7">
        <f>IF($A332="","",T332-G332)</f>
        <v/>
      </c>
      <c r="V332">
        <f>IF($A332="","",IF(COUNTIF($A$2:$A332,$A332)=1,1,0))</f>
        <v/>
      </c>
      <c r="W332">
        <f>IF($V332=1,SUMPRODUCT(--($Y$2:$Y$501&lt;$Y332))+1,"")</f>
        <v/>
      </c>
      <c r="X332">
        <f>IF($A332="","",IF(OR($Q332=TRUE(),$Q332="TRUE"),1,0))</f>
        <v/>
      </c>
      <c r="Y332">
        <f>IF($V332=1,IFERROR(VALUE(MID($A332,2,20)),1000000000)+ROW()/100000,"")</f>
        <v/>
      </c>
    </row>
    <row r="333">
      <c r="B333">
        <f>IF($A333="","",IFERROR(IF(INDEX('Per Invoice'!$A$2:$A$201,MATCH($A333,'Per Invoice'!$B$2:$B$201,0))=0,"",INDEX('Per Invoice'!$A$2:$A$201,MATCH($A333,'Per Invoice'!$B$2:$B$201,0))),""))</f>
        <v/>
      </c>
      <c r="G333" s="7">
        <f>IF($A333="","",F333*T333/100)</f>
        <v/>
      </c>
      <c r="J333" s="7" t="n"/>
      <c r="K333" s="7" t="n"/>
      <c r="L333" s="7" t="n"/>
      <c r="O333" s="11" t="n"/>
      <c r="R333">
        <f>IF($A333="","",IF($X333=1,Settings!$C$6,Settings!$C$7)*1)</f>
        <v/>
      </c>
      <c r="S333" s="7">
        <f>IF($A333="","",R333*L333)</f>
        <v/>
      </c>
      <c r="T333" s="7">
        <f>IF($A333="","",L333-S333)</f>
        <v/>
      </c>
      <c r="U333" s="7">
        <f>IF($A333="","",T333-G333)</f>
        <v/>
      </c>
      <c r="V333">
        <f>IF($A333="","",IF(COUNTIF($A$2:$A333,$A333)=1,1,0))</f>
        <v/>
      </c>
      <c r="W333">
        <f>IF($V333=1,SUMPRODUCT(--($Y$2:$Y$501&lt;$Y333))+1,"")</f>
        <v/>
      </c>
      <c r="X333">
        <f>IF($A333="","",IF(OR($Q333=TRUE(),$Q333="TRUE"),1,0))</f>
        <v/>
      </c>
      <c r="Y333">
        <f>IF($V333=1,IFERROR(VALUE(MID($A333,2,20)),1000000000)+ROW()/100000,"")</f>
        <v/>
      </c>
    </row>
    <row r="334">
      <c r="B334">
        <f>IF($A334="","",IFERROR(IF(INDEX('Per Invoice'!$A$2:$A$201,MATCH($A334,'Per Invoice'!$B$2:$B$201,0))=0,"",INDEX('Per Invoice'!$A$2:$A$201,MATCH($A334,'Per Invoice'!$B$2:$B$201,0))),""))</f>
        <v/>
      </c>
      <c r="G334" s="7">
        <f>IF($A334="","",F334*T334/100)</f>
        <v/>
      </c>
      <c r="J334" s="7" t="n"/>
      <c r="K334" s="7" t="n"/>
      <c r="L334" s="7" t="n"/>
      <c r="O334" s="11" t="n"/>
      <c r="R334">
        <f>IF($A334="","",IF($X334=1,Settings!$C$6,Settings!$C$7)*1)</f>
        <v/>
      </c>
      <c r="S334" s="7">
        <f>IF($A334="","",R334*L334)</f>
        <v/>
      </c>
      <c r="T334" s="7">
        <f>IF($A334="","",L334-S334)</f>
        <v/>
      </c>
      <c r="U334" s="7">
        <f>IF($A334="","",T334-G334)</f>
        <v/>
      </c>
      <c r="V334">
        <f>IF($A334="","",IF(COUNTIF($A$2:$A334,$A334)=1,1,0))</f>
        <v/>
      </c>
      <c r="W334">
        <f>IF($V334=1,SUMPRODUCT(--($Y$2:$Y$501&lt;$Y334))+1,"")</f>
        <v/>
      </c>
      <c r="X334">
        <f>IF($A334="","",IF(OR($Q334=TRUE(),$Q334="TRUE"),1,0))</f>
        <v/>
      </c>
      <c r="Y334">
        <f>IF($V334=1,IFERROR(VALUE(MID($A334,2,20)),1000000000)+ROW()/100000,"")</f>
        <v/>
      </c>
    </row>
    <row r="335">
      <c r="B335">
        <f>IF($A335="","",IFERROR(IF(INDEX('Per Invoice'!$A$2:$A$201,MATCH($A335,'Per Invoice'!$B$2:$B$201,0))=0,"",INDEX('Per Invoice'!$A$2:$A$201,MATCH($A335,'Per Invoice'!$B$2:$B$201,0))),""))</f>
        <v/>
      </c>
      <c r="G335" s="7">
        <f>IF($A335="","",F335*T335/100)</f>
        <v/>
      </c>
      <c r="J335" s="7" t="n"/>
      <c r="K335" s="7" t="n"/>
      <c r="L335" s="7" t="n"/>
      <c r="O335" s="11" t="n"/>
      <c r="R335">
        <f>IF($A335="","",IF($X335=1,Settings!$C$6,Settings!$C$7)*1)</f>
        <v/>
      </c>
      <c r="S335" s="7">
        <f>IF($A335="","",R335*L335)</f>
        <v/>
      </c>
      <c r="T335" s="7">
        <f>IF($A335="","",L335-S335)</f>
        <v/>
      </c>
      <c r="U335" s="7">
        <f>IF($A335="","",T335-G335)</f>
        <v/>
      </c>
      <c r="V335">
        <f>IF($A335="","",IF(COUNTIF($A$2:$A335,$A335)=1,1,0))</f>
        <v/>
      </c>
      <c r="W335">
        <f>IF($V335=1,SUMPRODUCT(--($Y$2:$Y$501&lt;$Y335))+1,"")</f>
        <v/>
      </c>
      <c r="X335">
        <f>IF($A335="","",IF(OR($Q335=TRUE(),$Q335="TRUE"),1,0))</f>
        <v/>
      </c>
      <c r="Y335">
        <f>IF($V335=1,IFERROR(VALUE(MID($A335,2,20)),1000000000)+ROW()/100000,"")</f>
        <v/>
      </c>
    </row>
    <row r="336">
      <c r="B336">
        <f>IF($A336="","",IFERROR(IF(INDEX('Per Invoice'!$A$2:$A$201,MATCH($A336,'Per Invoice'!$B$2:$B$201,0))=0,"",INDEX('Per Invoice'!$A$2:$A$201,MATCH($A336,'Per Invoice'!$B$2:$B$201,0))),""))</f>
        <v/>
      </c>
      <c r="G336" s="7">
        <f>IF($A336="","",F336*T336/100)</f>
        <v/>
      </c>
      <c r="J336" s="7" t="n"/>
      <c r="K336" s="7" t="n"/>
      <c r="L336" s="7" t="n"/>
      <c r="O336" s="11" t="n"/>
      <c r="R336">
        <f>IF($A336="","",IF($X336=1,Settings!$C$6,Settings!$C$7)*1)</f>
        <v/>
      </c>
      <c r="S336" s="7">
        <f>IF($A336="","",R336*L336)</f>
        <v/>
      </c>
      <c r="T336" s="7">
        <f>IF($A336="","",L336-S336)</f>
        <v/>
      </c>
      <c r="U336" s="7">
        <f>IF($A336="","",T336-G336)</f>
        <v/>
      </c>
      <c r="V336">
        <f>IF($A336="","",IF(COUNTIF($A$2:$A336,$A336)=1,1,0))</f>
        <v/>
      </c>
      <c r="W336">
        <f>IF($V336=1,SUMPRODUCT(--($Y$2:$Y$501&lt;$Y336))+1,"")</f>
        <v/>
      </c>
      <c r="X336">
        <f>IF($A336="","",IF(OR($Q336=TRUE(),$Q336="TRUE"),1,0))</f>
        <v/>
      </c>
      <c r="Y336">
        <f>IF($V336=1,IFERROR(VALUE(MID($A336,2,20)),1000000000)+ROW()/100000,"")</f>
        <v/>
      </c>
    </row>
    <row r="337">
      <c r="B337">
        <f>IF($A337="","",IFERROR(IF(INDEX('Per Invoice'!$A$2:$A$201,MATCH($A337,'Per Invoice'!$B$2:$B$201,0))=0,"",INDEX('Per Invoice'!$A$2:$A$201,MATCH($A337,'Per Invoice'!$B$2:$B$201,0))),""))</f>
        <v/>
      </c>
      <c r="G337" s="7">
        <f>IF($A337="","",F337*T337/100)</f>
        <v/>
      </c>
      <c r="J337" s="7" t="n"/>
      <c r="K337" s="7" t="n"/>
      <c r="L337" s="7" t="n"/>
      <c r="O337" s="11" t="n"/>
      <c r="R337">
        <f>IF($A337="","",IF($X337=1,Settings!$C$6,Settings!$C$7)*1)</f>
        <v/>
      </c>
      <c r="S337" s="7">
        <f>IF($A337="","",R337*L337)</f>
        <v/>
      </c>
      <c r="T337" s="7">
        <f>IF($A337="","",L337-S337)</f>
        <v/>
      </c>
      <c r="U337" s="7">
        <f>IF($A337="","",T337-G337)</f>
        <v/>
      </c>
      <c r="V337">
        <f>IF($A337="","",IF(COUNTIF($A$2:$A337,$A337)=1,1,0))</f>
        <v/>
      </c>
      <c r="W337">
        <f>IF($V337=1,SUMPRODUCT(--($Y$2:$Y$501&lt;$Y337))+1,"")</f>
        <v/>
      </c>
      <c r="X337">
        <f>IF($A337="","",IF(OR($Q337=TRUE(),$Q337="TRUE"),1,0))</f>
        <v/>
      </c>
      <c r="Y337">
        <f>IF($V337=1,IFERROR(VALUE(MID($A337,2,20)),1000000000)+ROW()/100000,"")</f>
        <v/>
      </c>
    </row>
    <row r="338">
      <c r="B338">
        <f>IF($A338="","",IFERROR(IF(INDEX('Per Invoice'!$A$2:$A$201,MATCH($A338,'Per Invoice'!$B$2:$B$201,0))=0,"",INDEX('Per Invoice'!$A$2:$A$201,MATCH($A338,'Per Invoice'!$B$2:$B$201,0))),""))</f>
        <v/>
      </c>
      <c r="G338" s="7">
        <f>IF($A338="","",F338*T338/100)</f>
        <v/>
      </c>
      <c r="J338" s="7" t="n"/>
      <c r="K338" s="7" t="n"/>
      <c r="L338" s="7" t="n"/>
      <c r="O338" s="11" t="n"/>
      <c r="R338">
        <f>IF($A338="","",IF($X338=1,Settings!$C$6,Settings!$C$7)*1)</f>
        <v/>
      </c>
      <c r="S338" s="7">
        <f>IF($A338="","",R338*L338)</f>
        <v/>
      </c>
      <c r="T338" s="7">
        <f>IF($A338="","",L338-S338)</f>
        <v/>
      </c>
      <c r="U338" s="7">
        <f>IF($A338="","",T338-G338)</f>
        <v/>
      </c>
      <c r="V338">
        <f>IF($A338="","",IF(COUNTIF($A$2:$A338,$A338)=1,1,0))</f>
        <v/>
      </c>
      <c r="W338">
        <f>IF($V338=1,SUMPRODUCT(--($Y$2:$Y$501&lt;$Y338))+1,"")</f>
        <v/>
      </c>
      <c r="X338">
        <f>IF($A338="","",IF(OR($Q338=TRUE(),$Q338="TRUE"),1,0))</f>
        <v/>
      </c>
      <c r="Y338">
        <f>IF($V338=1,IFERROR(VALUE(MID($A338,2,20)),1000000000)+ROW()/100000,"")</f>
        <v/>
      </c>
    </row>
    <row r="339">
      <c r="B339">
        <f>IF($A339="","",IFERROR(IF(INDEX('Per Invoice'!$A$2:$A$201,MATCH($A339,'Per Invoice'!$B$2:$B$201,0))=0,"",INDEX('Per Invoice'!$A$2:$A$201,MATCH($A339,'Per Invoice'!$B$2:$B$201,0))),""))</f>
        <v/>
      </c>
      <c r="G339" s="7">
        <f>IF($A339="","",F339*T339/100)</f>
        <v/>
      </c>
      <c r="J339" s="7" t="n"/>
      <c r="K339" s="7" t="n"/>
      <c r="L339" s="7" t="n"/>
      <c r="O339" s="11" t="n"/>
      <c r="R339">
        <f>IF($A339="","",IF($X339=1,Settings!$C$6,Settings!$C$7)*1)</f>
        <v/>
      </c>
      <c r="S339" s="7">
        <f>IF($A339="","",R339*L339)</f>
        <v/>
      </c>
      <c r="T339" s="7">
        <f>IF($A339="","",L339-S339)</f>
        <v/>
      </c>
      <c r="U339" s="7">
        <f>IF($A339="","",T339-G339)</f>
        <v/>
      </c>
      <c r="V339">
        <f>IF($A339="","",IF(COUNTIF($A$2:$A339,$A339)=1,1,0))</f>
        <v/>
      </c>
      <c r="W339">
        <f>IF($V339=1,SUMPRODUCT(--($Y$2:$Y$501&lt;$Y339))+1,"")</f>
        <v/>
      </c>
      <c r="X339">
        <f>IF($A339="","",IF(OR($Q339=TRUE(),$Q339="TRUE"),1,0))</f>
        <v/>
      </c>
      <c r="Y339">
        <f>IF($V339=1,IFERROR(VALUE(MID($A339,2,20)),1000000000)+ROW()/100000,"")</f>
        <v/>
      </c>
    </row>
    <row r="340">
      <c r="B340">
        <f>IF($A340="","",IFERROR(IF(INDEX('Per Invoice'!$A$2:$A$201,MATCH($A340,'Per Invoice'!$B$2:$B$201,0))=0,"",INDEX('Per Invoice'!$A$2:$A$201,MATCH($A340,'Per Invoice'!$B$2:$B$201,0))),""))</f>
        <v/>
      </c>
      <c r="G340" s="7">
        <f>IF($A340="","",F340*T340/100)</f>
        <v/>
      </c>
      <c r="J340" s="7" t="n"/>
      <c r="K340" s="7" t="n"/>
      <c r="L340" s="7" t="n"/>
      <c r="O340" s="11" t="n"/>
      <c r="R340">
        <f>IF($A340="","",IF($X340=1,Settings!$C$6,Settings!$C$7)*1)</f>
        <v/>
      </c>
      <c r="S340" s="7">
        <f>IF($A340="","",R340*L340)</f>
        <v/>
      </c>
      <c r="T340" s="7">
        <f>IF($A340="","",L340-S340)</f>
        <v/>
      </c>
      <c r="U340" s="7">
        <f>IF($A340="","",T340-G340)</f>
        <v/>
      </c>
      <c r="V340">
        <f>IF($A340="","",IF(COUNTIF($A$2:$A340,$A340)=1,1,0))</f>
        <v/>
      </c>
      <c r="W340">
        <f>IF($V340=1,SUMPRODUCT(--($Y$2:$Y$501&lt;$Y340))+1,"")</f>
        <v/>
      </c>
      <c r="X340">
        <f>IF($A340="","",IF(OR($Q340=TRUE(),$Q340="TRUE"),1,0))</f>
        <v/>
      </c>
      <c r="Y340">
        <f>IF($V340=1,IFERROR(VALUE(MID($A340,2,20)),1000000000)+ROW()/100000,"")</f>
        <v/>
      </c>
    </row>
    <row r="341">
      <c r="B341">
        <f>IF($A341="","",IFERROR(IF(INDEX('Per Invoice'!$A$2:$A$201,MATCH($A341,'Per Invoice'!$B$2:$B$201,0))=0,"",INDEX('Per Invoice'!$A$2:$A$201,MATCH($A341,'Per Invoice'!$B$2:$B$201,0))),""))</f>
        <v/>
      </c>
      <c r="G341" s="7">
        <f>IF($A341="","",F341*T341/100)</f>
        <v/>
      </c>
      <c r="J341" s="7" t="n"/>
      <c r="K341" s="7" t="n"/>
      <c r="L341" s="7" t="n"/>
      <c r="O341" s="11" t="n"/>
      <c r="R341">
        <f>IF($A341="","",IF($X341=1,Settings!$C$6,Settings!$C$7)*1)</f>
        <v/>
      </c>
      <c r="S341" s="7">
        <f>IF($A341="","",R341*L341)</f>
        <v/>
      </c>
      <c r="T341" s="7">
        <f>IF($A341="","",L341-S341)</f>
        <v/>
      </c>
      <c r="U341" s="7">
        <f>IF($A341="","",T341-G341)</f>
        <v/>
      </c>
      <c r="V341">
        <f>IF($A341="","",IF(COUNTIF($A$2:$A341,$A341)=1,1,0))</f>
        <v/>
      </c>
      <c r="W341">
        <f>IF($V341=1,SUMPRODUCT(--($Y$2:$Y$501&lt;$Y341))+1,"")</f>
        <v/>
      </c>
      <c r="X341">
        <f>IF($A341="","",IF(OR($Q341=TRUE(),$Q341="TRUE"),1,0))</f>
        <v/>
      </c>
      <c r="Y341">
        <f>IF($V341=1,IFERROR(VALUE(MID($A341,2,20)),1000000000)+ROW()/100000,"")</f>
        <v/>
      </c>
    </row>
    <row r="342">
      <c r="B342">
        <f>IF($A342="","",IFERROR(IF(INDEX('Per Invoice'!$A$2:$A$201,MATCH($A342,'Per Invoice'!$B$2:$B$201,0))=0,"",INDEX('Per Invoice'!$A$2:$A$201,MATCH($A342,'Per Invoice'!$B$2:$B$201,0))),""))</f>
        <v/>
      </c>
      <c r="G342" s="7">
        <f>IF($A342="","",F342*T342/100)</f>
        <v/>
      </c>
      <c r="J342" s="7" t="n"/>
      <c r="K342" s="7" t="n"/>
      <c r="L342" s="7" t="n"/>
      <c r="O342" s="11" t="n"/>
      <c r="R342">
        <f>IF($A342="","",IF($X342=1,Settings!$C$6,Settings!$C$7)*1)</f>
        <v/>
      </c>
      <c r="S342" s="7">
        <f>IF($A342="","",R342*L342)</f>
        <v/>
      </c>
      <c r="T342" s="7">
        <f>IF($A342="","",L342-S342)</f>
        <v/>
      </c>
      <c r="U342" s="7">
        <f>IF($A342="","",T342-G342)</f>
        <v/>
      </c>
      <c r="V342">
        <f>IF($A342="","",IF(COUNTIF($A$2:$A342,$A342)=1,1,0))</f>
        <v/>
      </c>
      <c r="W342">
        <f>IF($V342=1,SUMPRODUCT(--($Y$2:$Y$501&lt;$Y342))+1,"")</f>
        <v/>
      </c>
      <c r="X342">
        <f>IF($A342="","",IF(OR($Q342=TRUE(),$Q342="TRUE"),1,0))</f>
        <v/>
      </c>
      <c r="Y342">
        <f>IF($V342=1,IFERROR(VALUE(MID($A342,2,20)),1000000000)+ROW()/100000,"")</f>
        <v/>
      </c>
    </row>
    <row r="343">
      <c r="B343">
        <f>IF($A343="","",IFERROR(IF(INDEX('Per Invoice'!$A$2:$A$201,MATCH($A343,'Per Invoice'!$B$2:$B$201,0))=0,"",INDEX('Per Invoice'!$A$2:$A$201,MATCH($A343,'Per Invoice'!$B$2:$B$201,0))),""))</f>
        <v/>
      </c>
      <c r="G343" s="7">
        <f>IF($A343="","",F343*T343/100)</f>
        <v/>
      </c>
      <c r="J343" s="7" t="n"/>
      <c r="K343" s="7" t="n"/>
      <c r="L343" s="7" t="n"/>
      <c r="O343" s="11" t="n"/>
      <c r="R343">
        <f>IF($A343="","",IF($X343=1,Settings!$C$6,Settings!$C$7)*1)</f>
        <v/>
      </c>
      <c r="S343" s="7">
        <f>IF($A343="","",R343*L343)</f>
        <v/>
      </c>
      <c r="T343" s="7">
        <f>IF($A343="","",L343-S343)</f>
        <v/>
      </c>
      <c r="U343" s="7">
        <f>IF($A343="","",T343-G343)</f>
        <v/>
      </c>
      <c r="V343">
        <f>IF($A343="","",IF(COUNTIF($A$2:$A343,$A343)=1,1,0))</f>
        <v/>
      </c>
      <c r="W343">
        <f>IF($V343=1,SUMPRODUCT(--($Y$2:$Y$501&lt;$Y343))+1,"")</f>
        <v/>
      </c>
      <c r="X343">
        <f>IF($A343="","",IF(OR($Q343=TRUE(),$Q343="TRUE"),1,0))</f>
        <v/>
      </c>
      <c r="Y343">
        <f>IF($V343=1,IFERROR(VALUE(MID($A343,2,20)),1000000000)+ROW()/100000,"")</f>
        <v/>
      </c>
    </row>
    <row r="344">
      <c r="B344">
        <f>IF($A344="","",IFERROR(IF(INDEX('Per Invoice'!$A$2:$A$201,MATCH($A344,'Per Invoice'!$B$2:$B$201,0))=0,"",INDEX('Per Invoice'!$A$2:$A$201,MATCH($A344,'Per Invoice'!$B$2:$B$201,0))),""))</f>
        <v/>
      </c>
      <c r="G344" s="7">
        <f>IF($A344="","",F344*T344/100)</f>
        <v/>
      </c>
      <c r="J344" s="7" t="n"/>
      <c r="K344" s="7" t="n"/>
      <c r="L344" s="7" t="n"/>
      <c r="O344" s="11" t="n"/>
      <c r="R344">
        <f>IF($A344="","",IF($X344=1,Settings!$C$6,Settings!$C$7)*1)</f>
        <v/>
      </c>
      <c r="S344" s="7">
        <f>IF($A344="","",R344*L344)</f>
        <v/>
      </c>
      <c r="T344" s="7">
        <f>IF($A344="","",L344-S344)</f>
        <v/>
      </c>
      <c r="U344" s="7">
        <f>IF($A344="","",T344-G344)</f>
        <v/>
      </c>
      <c r="V344">
        <f>IF($A344="","",IF(COUNTIF($A$2:$A344,$A344)=1,1,0))</f>
        <v/>
      </c>
      <c r="W344">
        <f>IF($V344=1,SUMPRODUCT(--($Y$2:$Y$501&lt;$Y344))+1,"")</f>
        <v/>
      </c>
      <c r="X344">
        <f>IF($A344="","",IF(OR($Q344=TRUE(),$Q344="TRUE"),1,0))</f>
        <v/>
      </c>
      <c r="Y344">
        <f>IF($V344=1,IFERROR(VALUE(MID($A344,2,20)),1000000000)+ROW()/100000,"")</f>
        <v/>
      </c>
    </row>
    <row r="345">
      <c r="B345">
        <f>IF($A345="","",IFERROR(IF(INDEX('Per Invoice'!$A$2:$A$201,MATCH($A345,'Per Invoice'!$B$2:$B$201,0))=0,"",INDEX('Per Invoice'!$A$2:$A$201,MATCH($A345,'Per Invoice'!$B$2:$B$201,0))),""))</f>
        <v/>
      </c>
      <c r="G345" s="7">
        <f>IF($A345="","",F345*T345/100)</f>
        <v/>
      </c>
      <c r="J345" s="7" t="n"/>
      <c r="K345" s="7" t="n"/>
      <c r="L345" s="7" t="n"/>
      <c r="O345" s="11" t="n"/>
      <c r="R345">
        <f>IF($A345="","",IF($X345=1,Settings!$C$6,Settings!$C$7)*1)</f>
        <v/>
      </c>
      <c r="S345" s="7">
        <f>IF($A345="","",R345*L345)</f>
        <v/>
      </c>
      <c r="T345" s="7">
        <f>IF($A345="","",L345-S345)</f>
        <v/>
      </c>
      <c r="U345" s="7">
        <f>IF($A345="","",T345-G345)</f>
        <v/>
      </c>
      <c r="V345">
        <f>IF($A345="","",IF(COUNTIF($A$2:$A345,$A345)=1,1,0))</f>
        <v/>
      </c>
      <c r="W345">
        <f>IF($V345=1,SUMPRODUCT(--($Y$2:$Y$501&lt;$Y345))+1,"")</f>
        <v/>
      </c>
      <c r="X345">
        <f>IF($A345="","",IF(OR($Q345=TRUE(),$Q345="TRUE"),1,0))</f>
        <v/>
      </c>
      <c r="Y345">
        <f>IF($V345=1,IFERROR(VALUE(MID($A345,2,20)),1000000000)+ROW()/100000,"")</f>
        <v/>
      </c>
    </row>
    <row r="346">
      <c r="B346">
        <f>IF($A346="","",IFERROR(IF(INDEX('Per Invoice'!$A$2:$A$201,MATCH($A346,'Per Invoice'!$B$2:$B$201,0))=0,"",INDEX('Per Invoice'!$A$2:$A$201,MATCH($A346,'Per Invoice'!$B$2:$B$201,0))),""))</f>
        <v/>
      </c>
      <c r="G346" s="7">
        <f>IF($A346="","",F346*T346/100)</f>
        <v/>
      </c>
      <c r="J346" s="7" t="n"/>
      <c r="K346" s="7" t="n"/>
      <c r="L346" s="7" t="n"/>
      <c r="O346" s="11" t="n"/>
      <c r="R346">
        <f>IF($A346="","",IF($X346=1,Settings!$C$6,Settings!$C$7)*1)</f>
        <v/>
      </c>
      <c r="S346" s="7">
        <f>IF($A346="","",R346*L346)</f>
        <v/>
      </c>
      <c r="T346" s="7">
        <f>IF($A346="","",L346-S346)</f>
        <v/>
      </c>
      <c r="U346" s="7">
        <f>IF($A346="","",T346-G346)</f>
        <v/>
      </c>
      <c r="V346">
        <f>IF($A346="","",IF(COUNTIF($A$2:$A346,$A346)=1,1,0))</f>
        <v/>
      </c>
      <c r="W346">
        <f>IF($V346=1,SUMPRODUCT(--($Y$2:$Y$501&lt;$Y346))+1,"")</f>
        <v/>
      </c>
      <c r="X346">
        <f>IF($A346="","",IF(OR($Q346=TRUE(),$Q346="TRUE"),1,0))</f>
        <v/>
      </c>
      <c r="Y346">
        <f>IF($V346=1,IFERROR(VALUE(MID($A346,2,20)),1000000000)+ROW()/100000,"")</f>
        <v/>
      </c>
    </row>
    <row r="347">
      <c r="B347">
        <f>IF($A347="","",IFERROR(IF(INDEX('Per Invoice'!$A$2:$A$201,MATCH($A347,'Per Invoice'!$B$2:$B$201,0))=0,"",INDEX('Per Invoice'!$A$2:$A$201,MATCH($A347,'Per Invoice'!$B$2:$B$201,0))),""))</f>
        <v/>
      </c>
      <c r="G347" s="7">
        <f>IF($A347="","",F347*T347/100)</f>
        <v/>
      </c>
      <c r="J347" s="7" t="n"/>
      <c r="K347" s="7" t="n"/>
      <c r="L347" s="7" t="n"/>
      <c r="O347" s="11" t="n"/>
      <c r="R347">
        <f>IF($A347="","",IF($X347=1,Settings!$C$6,Settings!$C$7)*1)</f>
        <v/>
      </c>
      <c r="S347" s="7">
        <f>IF($A347="","",R347*L347)</f>
        <v/>
      </c>
      <c r="T347" s="7">
        <f>IF($A347="","",L347-S347)</f>
        <v/>
      </c>
      <c r="U347" s="7">
        <f>IF($A347="","",T347-G347)</f>
        <v/>
      </c>
      <c r="V347">
        <f>IF($A347="","",IF(COUNTIF($A$2:$A347,$A347)=1,1,0))</f>
        <v/>
      </c>
      <c r="W347">
        <f>IF($V347=1,SUMPRODUCT(--($Y$2:$Y$501&lt;$Y347))+1,"")</f>
        <v/>
      </c>
      <c r="X347">
        <f>IF($A347="","",IF(OR($Q347=TRUE(),$Q347="TRUE"),1,0))</f>
        <v/>
      </c>
      <c r="Y347">
        <f>IF($V347=1,IFERROR(VALUE(MID($A347,2,20)),1000000000)+ROW()/100000,"")</f>
        <v/>
      </c>
    </row>
    <row r="348">
      <c r="B348">
        <f>IF($A348="","",IFERROR(IF(INDEX('Per Invoice'!$A$2:$A$201,MATCH($A348,'Per Invoice'!$B$2:$B$201,0))=0,"",INDEX('Per Invoice'!$A$2:$A$201,MATCH($A348,'Per Invoice'!$B$2:$B$201,0))),""))</f>
        <v/>
      </c>
      <c r="G348" s="7">
        <f>IF($A348="","",F348*T348/100)</f>
        <v/>
      </c>
      <c r="J348" s="7" t="n"/>
      <c r="K348" s="7" t="n"/>
      <c r="L348" s="7" t="n"/>
      <c r="O348" s="11" t="n"/>
      <c r="R348">
        <f>IF($A348="","",IF($X348=1,Settings!$C$6,Settings!$C$7)*1)</f>
        <v/>
      </c>
      <c r="S348" s="7">
        <f>IF($A348="","",R348*L348)</f>
        <v/>
      </c>
      <c r="T348" s="7">
        <f>IF($A348="","",L348-S348)</f>
        <v/>
      </c>
      <c r="U348" s="7">
        <f>IF($A348="","",T348-G348)</f>
        <v/>
      </c>
      <c r="V348">
        <f>IF($A348="","",IF(COUNTIF($A$2:$A348,$A348)=1,1,0))</f>
        <v/>
      </c>
      <c r="W348">
        <f>IF($V348=1,SUMPRODUCT(--($Y$2:$Y$501&lt;$Y348))+1,"")</f>
        <v/>
      </c>
      <c r="X348">
        <f>IF($A348="","",IF(OR($Q348=TRUE(),$Q348="TRUE"),1,0))</f>
        <v/>
      </c>
      <c r="Y348">
        <f>IF($V348=1,IFERROR(VALUE(MID($A348,2,20)),1000000000)+ROW()/100000,"")</f>
        <v/>
      </c>
    </row>
    <row r="349">
      <c r="B349">
        <f>IF($A349="","",IFERROR(IF(INDEX('Per Invoice'!$A$2:$A$201,MATCH($A349,'Per Invoice'!$B$2:$B$201,0))=0,"",INDEX('Per Invoice'!$A$2:$A$201,MATCH($A349,'Per Invoice'!$B$2:$B$201,0))),""))</f>
        <v/>
      </c>
      <c r="G349" s="7">
        <f>IF($A349="","",F349*T349/100)</f>
        <v/>
      </c>
      <c r="J349" s="7" t="n"/>
      <c r="K349" s="7" t="n"/>
      <c r="L349" s="7" t="n"/>
      <c r="O349" s="11" t="n"/>
      <c r="R349">
        <f>IF($A349="","",IF($X349=1,Settings!$C$6,Settings!$C$7)*1)</f>
        <v/>
      </c>
      <c r="S349" s="7">
        <f>IF($A349="","",R349*L349)</f>
        <v/>
      </c>
      <c r="T349" s="7">
        <f>IF($A349="","",L349-S349)</f>
        <v/>
      </c>
      <c r="U349" s="7">
        <f>IF($A349="","",T349-G349)</f>
        <v/>
      </c>
      <c r="V349">
        <f>IF($A349="","",IF(COUNTIF($A$2:$A349,$A349)=1,1,0))</f>
        <v/>
      </c>
      <c r="W349">
        <f>IF($V349=1,SUMPRODUCT(--($Y$2:$Y$501&lt;$Y349))+1,"")</f>
        <v/>
      </c>
      <c r="X349">
        <f>IF($A349="","",IF(OR($Q349=TRUE(),$Q349="TRUE"),1,0))</f>
        <v/>
      </c>
      <c r="Y349">
        <f>IF($V349=1,IFERROR(VALUE(MID($A349,2,20)),1000000000)+ROW()/100000,"")</f>
        <v/>
      </c>
    </row>
    <row r="350">
      <c r="B350">
        <f>IF($A350="","",IFERROR(IF(INDEX('Per Invoice'!$A$2:$A$201,MATCH($A350,'Per Invoice'!$B$2:$B$201,0))=0,"",INDEX('Per Invoice'!$A$2:$A$201,MATCH($A350,'Per Invoice'!$B$2:$B$201,0))),""))</f>
        <v/>
      </c>
      <c r="G350" s="7">
        <f>IF($A350="","",F350*T350/100)</f>
        <v/>
      </c>
      <c r="J350" s="7" t="n"/>
      <c r="K350" s="7" t="n"/>
      <c r="L350" s="7" t="n"/>
      <c r="O350" s="11" t="n"/>
      <c r="R350">
        <f>IF($A350="","",IF($X350=1,Settings!$C$6,Settings!$C$7)*1)</f>
        <v/>
      </c>
      <c r="S350" s="7">
        <f>IF($A350="","",R350*L350)</f>
        <v/>
      </c>
      <c r="T350" s="7">
        <f>IF($A350="","",L350-S350)</f>
        <v/>
      </c>
      <c r="U350" s="7">
        <f>IF($A350="","",T350-G350)</f>
        <v/>
      </c>
      <c r="V350">
        <f>IF($A350="","",IF(COUNTIF($A$2:$A350,$A350)=1,1,0))</f>
        <v/>
      </c>
      <c r="W350">
        <f>IF($V350=1,SUMPRODUCT(--($Y$2:$Y$501&lt;$Y350))+1,"")</f>
        <v/>
      </c>
      <c r="X350">
        <f>IF($A350="","",IF(OR($Q350=TRUE(),$Q350="TRUE"),1,0))</f>
        <v/>
      </c>
      <c r="Y350">
        <f>IF($V350=1,IFERROR(VALUE(MID($A350,2,20)),1000000000)+ROW()/100000,"")</f>
        <v/>
      </c>
    </row>
    <row r="351">
      <c r="B351">
        <f>IF($A351="","",IFERROR(IF(INDEX('Per Invoice'!$A$2:$A$201,MATCH($A351,'Per Invoice'!$B$2:$B$201,0))=0,"",INDEX('Per Invoice'!$A$2:$A$201,MATCH($A351,'Per Invoice'!$B$2:$B$201,0))),""))</f>
        <v/>
      </c>
      <c r="G351" s="7">
        <f>IF($A351="","",F351*T351/100)</f>
        <v/>
      </c>
      <c r="J351" s="7" t="n"/>
      <c r="K351" s="7" t="n"/>
      <c r="L351" s="7" t="n"/>
      <c r="O351" s="11" t="n"/>
      <c r="R351">
        <f>IF($A351="","",IF($X351=1,Settings!$C$6,Settings!$C$7)*1)</f>
        <v/>
      </c>
      <c r="S351" s="7">
        <f>IF($A351="","",R351*L351)</f>
        <v/>
      </c>
      <c r="T351" s="7">
        <f>IF($A351="","",L351-S351)</f>
        <v/>
      </c>
      <c r="U351" s="7">
        <f>IF($A351="","",T351-G351)</f>
        <v/>
      </c>
      <c r="V351">
        <f>IF($A351="","",IF(COUNTIF($A$2:$A351,$A351)=1,1,0))</f>
        <v/>
      </c>
      <c r="W351">
        <f>IF($V351=1,SUMPRODUCT(--($Y$2:$Y$501&lt;$Y351))+1,"")</f>
        <v/>
      </c>
      <c r="X351">
        <f>IF($A351="","",IF(OR($Q351=TRUE(),$Q351="TRUE"),1,0))</f>
        <v/>
      </c>
      <c r="Y351">
        <f>IF($V351=1,IFERROR(VALUE(MID($A351,2,20)),1000000000)+ROW()/100000,"")</f>
        <v/>
      </c>
    </row>
    <row r="352">
      <c r="B352">
        <f>IF($A352="","",IFERROR(IF(INDEX('Per Invoice'!$A$2:$A$201,MATCH($A352,'Per Invoice'!$B$2:$B$201,0))=0,"",INDEX('Per Invoice'!$A$2:$A$201,MATCH($A352,'Per Invoice'!$B$2:$B$201,0))),""))</f>
        <v/>
      </c>
      <c r="G352" s="7">
        <f>IF($A352="","",F352*T352/100)</f>
        <v/>
      </c>
      <c r="J352" s="7" t="n"/>
      <c r="K352" s="7" t="n"/>
      <c r="L352" s="7" t="n"/>
      <c r="O352" s="11" t="n"/>
      <c r="R352">
        <f>IF($A352="","",IF($X352=1,Settings!$C$6,Settings!$C$7)*1)</f>
        <v/>
      </c>
      <c r="S352" s="7">
        <f>IF($A352="","",R352*L352)</f>
        <v/>
      </c>
      <c r="T352" s="7">
        <f>IF($A352="","",L352-S352)</f>
        <v/>
      </c>
      <c r="U352" s="7">
        <f>IF($A352="","",T352-G352)</f>
        <v/>
      </c>
      <c r="V352">
        <f>IF($A352="","",IF(COUNTIF($A$2:$A352,$A352)=1,1,0))</f>
        <v/>
      </c>
      <c r="W352">
        <f>IF($V352=1,SUMPRODUCT(--($Y$2:$Y$501&lt;$Y352))+1,"")</f>
        <v/>
      </c>
      <c r="X352">
        <f>IF($A352="","",IF(OR($Q352=TRUE(),$Q352="TRUE"),1,0))</f>
        <v/>
      </c>
      <c r="Y352">
        <f>IF($V352=1,IFERROR(VALUE(MID($A352,2,20)),1000000000)+ROW()/100000,"")</f>
        <v/>
      </c>
    </row>
    <row r="353">
      <c r="B353">
        <f>IF($A353="","",IFERROR(IF(INDEX('Per Invoice'!$A$2:$A$201,MATCH($A353,'Per Invoice'!$B$2:$B$201,0))=0,"",INDEX('Per Invoice'!$A$2:$A$201,MATCH($A353,'Per Invoice'!$B$2:$B$201,0))),""))</f>
        <v/>
      </c>
      <c r="G353" s="7">
        <f>IF($A353="","",F353*T353/100)</f>
        <v/>
      </c>
      <c r="J353" s="7" t="n"/>
      <c r="K353" s="7" t="n"/>
      <c r="L353" s="7" t="n"/>
      <c r="O353" s="11" t="n"/>
      <c r="R353">
        <f>IF($A353="","",IF($X353=1,Settings!$C$6,Settings!$C$7)*1)</f>
        <v/>
      </c>
      <c r="S353" s="7">
        <f>IF($A353="","",R353*L353)</f>
        <v/>
      </c>
      <c r="T353" s="7">
        <f>IF($A353="","",L353-S353)</f>
        <v/>
      </c>
      <c r="U353" s="7">
        <f>IF($A353="","",T353-G353)</f>
        <v/>
      </c>
      <c r="V353">
        <f>IF($A353="","",IF(COUNTIF($A$2:$A353,$A353)=1,1,0))</f>
        <v/>
      </c>
      <c r="W353">
        <f>IF($V353=1,SUMPRODUCT(--($Y$2:$Y$501&lt;$Y353))+1,"")</f>
        <v/>
      </c>
      <c r="X353">
        <f>IF($A353="","",IF(OR($Q353=TRUE(),$Q353="TRUE"),1,0))</f>
        <v/>
      </c>
      <c r="Y353">
        <f>IF($V353=1,IFERROR(VALUE(MID($A353,2,20)),1000000000)+ROW()/100000,"")</f>
        <v/>
      </c>
    </row>
    <row r="354">
      <c r="B354">
        <f>IF($A354="","",IFERROR(IF(INDEX('Per Invoice'!$A$2:$A$201,MATCH($A354,'Per Invoice'!$B$2:$B$201,0))=0,"",INDEX('Per Invoice'!$A$2:$A$201,MATCH($A354,'Per Invoice'!$B$2:$B$201,0))),""))</f>
        <v/>
      </c>
      <c r="G354" s="7">
        <f>IF($A354="","",F354*T354/100)</f>
        <v/>
      </c>
      <c r="J354" s="7" t="n"/>
      <c r="K354" s="7" t="n"/>
      <c r="L354" s="7" t="n"/>
      <c r="O354" s="11" t="n"/>
      <c r="R354">
        <f>IF($A354="","",IF($X354=1,Settings!$C$6,Settings!$C$7)*1)</f>
        <v/>
      </c>
      <c r="S354" s="7">
        <f>IF($A354="","",R354*L354)</f>
        <v/>
      </c>
      <c r="T354" s="7">
        <f>IF($A354="","",L354-S354)</f>
        <v/>
      </c>
      <c r="U354" s="7">
        <f>IF($A354="","",T354-G354)</f>
        <v/>
      </c>
      <c r="V354">
        <f>IF($A354="","",IF(COUNTIF($A$2:$A354,$A354)=1,1,0))</f>
        <v/>
      </c>
      <c r="W354">
        <f>IF($V354=1,SUMPRODUCT(--($Y$2:$Y$501&lt;$Y354))+1,"")</f>
        <v/>
      </c>
      <c r="X354">
        <f>IF($A354="","",IF(OR($Q354=TRUE(),$Q354="TRUE"),1,0))</f>
        <v/>
      </c>
      <c r="Y354">
        <f>IF($V354=1,IFERROR(VALUE(MID($A354,2,20)),1000000000)+ROW()/100000,"")</f>
        <v/>
      </c>
    </row>
    <row r="355">
      <c r="B355">
        <f>IF($A355="","",IFERROR(IF(INDEX('Per Invoice'!$A$2:$A$201,MATCH($A355,'Per Invoice'!$B$2:$B$201,0))=0,"",INDEX('Per Invoice'!$A$2:$A$201,MATCH($A355,'Per Invoice'!$B$2:$B$201,0))),""))</f>
        <v/>
      </c>
      <c r="G355" s="7">
        <f>IF($A355="","",F355*T355/100)</f>
        <v/>
      </c>
      <c r="J355" s="7" t="n"/>
      <c r="K355" s="7" t="n"/>
      <c r="L355" s="7" t="n"/>
      <c r="O355" s="11" t="n"/>
      <c r="R355">
        <f>IF($A355="","",IF($X355=1,Settings!$C$6,Settings!$C$7)*1)</f>
        <v/>
      </c>
      <c r="S355" s="7">
        <f>IF($A355="","",R355*L355)</f>
        <v/>
      </c>
      <c r="T355" s="7">
        <f>IF($A355="","",L355-S355)</f>
        <v/>
      </c>
      <c r="U355" s="7">
        <f>IF($A355="","",T355-G355)</f>
        <v/>
      </c>
      <c r="V355">
        <f>IF($A355="","",IF(COUNTIF($A$2:$A355,$A355)=1,1,0))</f>
        <v/>
      </c>
      <c r="W355">
        <f>IF($V355=1,SUMPRODUCT(--($Y$2:$Y$501&lt;$Y355))+1,"")</f>
        <v/>
      </c>
      <c r="X355">
        <f>IF($A355="","",IF(OR($Q355=TRUE(),$Q355="TRUE"),1,0))</f>
        <v/>
      </c>
      <c r="Y355">
        <f>IF($V355=1,IFERROR(VALUE(MID($A355,2,20)),1000000000)+ROW()/100000,"")</f>
        <v/>
      </c>
    </row>
    <row r="356">
      <c r="B356">
        <f>IF($A356="","",IFERROR(IF(INDEX('Per Invoice'!$A$2:$A$201,MATCH($A356,'Per Invoice'!$B$2:$B$201,0))=0,"",INDEX('Per Invoice'!$A$2:$A$201,MATCH($A356,'Per Invoice'!$B$2:$B$201,0))),""))</f>
        <v/>
      </c>
      <c r="G356" s="7">
        <f>IF($A356="","",F356*T356/100)</f>
        <v/>
      </c>
      <c r="J356" s="7" t="n"/>
      <c r="K356" s="7" t="n"/>
      <c r="L356" s="7" t="n"/>
      <c r="O356" s="11" t="n"/>
      <c r="R356">
        <f>IF($A356="","",IF($X356=1,Settings!$C$6,Settings!$C$7)*1)</f>
        <v/>
      </c>
      <c r="S356" s="7">
        <f>IF($A356="","",R356*L356)</f>
        <v/>
      </c>
      <c r="T356" s="7">
        <f>IF($A356="","",L356-S356)</f>
        <v/>
      </c>
      <c r="U356" s="7">
        <f>IF($A356="","",T356-G356)</f>
        <v/>
      </c>
      <c r="V356">
        <f>IF($A356="","",IF(COUNTIF($A$2:$A356,$A356)=1,1,0))</f>
        <v/>
      </c>
      <c r="W356">
        <f>IF($V356=1,SUMPRODUCT(--($Y$2:$Y$501&lt;$Y356))+1,"")</f>
        <v/>
      </c>
      <c r="X356">
        <f>IF($A356="","",IF(OR($Q356=TRUE(),$Q356="TRUE"),1,0))</f>
        <v/>
      </c>
      <c r="Y356">
        <f>IF($V356=1,IFERROR(VALUE(MID($A356,2,20)),1000000000)+ROW()/100000,"")</f>
        <v/>
      </c>
    </row>
    <row r="357">
      <c r="B357">
        <f>IF($A357="","",IFERROR(IF(INDEX('Per Invoice'!$A$2:$A$201,MATCH($A357,'Per Invoice'!$B$2:$B$201,0))=0,"",INDEX('Per Invoice'!$A$2:$A$201,MATCH($A357,'Per Invoice'!$B$2:$B$201,0))),""))</f>
        <v/>
      </c>
      <c r="G357" s="7">
        <f>IF($A357="","",F357*T357/100)</f>
        <v/>
      </c>
      <c r="J357" s="7" t="n"/>
      <c r="K357" s="7" t="n"/>
      <c r="L357" s="7" t="n"/>
      <c r="O357" s="11" t="n"/>
      <c r="R357">
        <f>IF($A357="","",IF($X357=1,Settings!$C$6,Settings!$C$7)*1)</f>
        <v/>
      </c>
      <c r="S357" s="7">
        <f>IF($A357="","",R357*L357)</f>
        <v/>
      </c>
      <c r="T357" s="7">
        <f>IF($A357="","",L357-S357)</f>
        <v/>
      </c>
      <c r="U357" s="7">
        <f>IF($A357="","",T357-G357)</f>
        <v/>
      </c>
      <c r="V357">
        <f>IF($A357="","",IF(COUNTIF($A$2:$A357,$A357)=1,1,0))</f>
        <v/>
      </c>
      <c r="W357">
        <f>IF($V357=1,SUMPRODUCT(--($Y$2:$Y$501&lt;$Y357))+1,"")</f>
        <v/>
      </c>
      <c r="X357">
        <f>IF($A357="","",IF(OR($Q357=TRUE(),$Q357="TRUE"),1,0))</f>
        <v/>
      </c>
      <c r="Y357">
        <f>IF($V357=1,IFERROR(VALUE(MID($A357,2,20)),1000000000)+ROW()/100000,"")</f>
        <v/>
      </c>
    </row>
    <row r="358">
      <c r="B358">
        <f>IF($A358="","",IFERROR(IF(INDEX('Per Invoice'!$A$2:$A$201,MATCH($A358,'Per Invoice'!$B$2:$B$201,0))=0,"",INDEX('Per Invoice'!$A$2:$A$201,MATCH($A358,'Per Invoice'!$B$2:$B$201,0))),""))</f>
        <v/>
      </c>
      <c r="G358" s="7">
        <f>IF($A358="","",F358*T358/100)</f>
        <v/>
      </c>
      <c r="J358" s="7" t="n"/>
      <c r="K358" s="7" t="n"/>
      <c r="L358" s="7" t="n"/>
      <c r="O358" s="11" t="n"/>
      <c r="R358">
        <f>IF($A358="","",IF($X358=1,Settings!$C$6,Settings!$C$7)*1)</f>
        <v/>
      </c>
      <c r="S358" s="7">
        <f>IF($A358="","",R358*L358)</f>
        <v/>
      </c>
      <c r="T358" s="7">
        <f>IF($A358="","",L358-S358)</f>
        <v/>
      </c>
      <c r="U358" s="7">
        <f>IF($A358="","",T358-G358)</f>
        <v/>
      </c>
      <c r="V358">
        <f>IF($A358="","",IF(COUNTIF($A$2:$A358,$A358)=1,1,0))</f>
        <v/>
      </c>
      <c r="W358">
        <f>IF($V358=1,SUMPRODUCT(--($Y$2:$Y$501&lt;$Y358))+1,"")</f>
        <v/>
      </c>
      <c r="X358">
        <f>IF($A358="","",IF(OR($Q358=TRUE(),$Q358="TRUE"),1,0))</f>
        <v/>
      </c>
      <c r="Y358">
        <f>IF($V358=1,IFERROR(VALUE(MID($A358,2,20)),1000000000)+ROW()/100000,"")</f>
        <v/>
      </c>
    </row>
    <row r="359">
      <c r="B359">
        <f>IF($A359="","",IFERROR(IF(INDEX('Per Invoice'!$A$2:$A$201,MATCH($A359,'Per Invoice'!$B$2:$B$201,0))=0,"",INDEX('Per Invoice'!$A$2:$A$201,MATCH($A359,'Per Invoice'!$B$2:$B$201,0))),""))</f>
        <v/>
      </c>
      <c r="G359" s="7">
        <f>IF($A359="","",F359*T359/100)</f>
        <v/>
      </c>
      <c r="J359" s="7" t="n"/>
      <c r="K359" s="7" t="n"/>
      <c r="L359" s="7" t="n"/>
      <c r="O359" s="11" t="n"/>
      <c r="R359">
        <f>IF($A359="","",IF($X359=1,Settings!$C$6,Settings!$C$7)*1)</f>
        <v/>
      </c>
      <c r="S359" s="7">
        <f>IF($A359="","",R359*L359)</f>
        <v/>
      </c>
      <c r="T359" s="7">
        <f>IF($A359="","",L359-S359)</f>
        <v/>
      </c>
      <c r="U359" s="7">
        <f>IF($A359="","",T359-G359)</f>
        <v/>
      </c>
      <c r="V359">
        <f>IF($A359="","",IF(COUNTIF($A$2:$A359,$A359)=1,1,0))</f>
        <v/>
      </c>
      <c r="W359">
        <f>IF($V359=1,SUMPRODUCT(--($Y$2:$Y$501&lt;$Y359))+1,"")</f>
        <v/>
      </c>
      <c r="X359">
        <f>IF($A359="","",IF(OR($Q359=TRUE(),$Q359="TRUE"),1,0))</f>
        <v/>
      </c>
      <c r="Y359">
        <f>IF($V359=1,IFERROR(VALUE(MID($A359,2,20)),1000000000)+ROW()/100000,"")</f>
        <v/>
      </c>
    </row>
    <row r="360">
      <c r="B360">
        <f>IF($A360="","",IFERROR(IF(INDEX('Per Invoice'!$A$2:$A$201,MATCH($A360,'Per Invoice'!$B$2:$B$201,0))=0,"",INDEX('Per Invoice'!$A$2:$A$201,MATCH($A360,'Per Invoice'!$B$2:$B$201,0))),""))</f>
        <v/>
      </c>
      <c r="G360" s="7">
        <f>IF($A360="","",F360*T360/100)</f>
        <v/>
      </c>
      <c r="J360" s="7" t="n"/>
      <c r="K360" s="7" t="n"/>
      <c r="L360" s="7" t="n"/>
      <c r="O360" s="11" t="n"/>
      <c r="R360">
        <f>IF($A360="","",IF($X360=1,Settings!$C$6,Settings!$C$7)*1)</f>
        <v/>
      </c>
      <c r="S360" s="7">
        <f>IF($A360="","",R360*L360)</f>
        <v/>
      </c>
      <c r="T360" s="7">
        <f>IF($A360="","",L360-S360)</f>
        <v/>
      </c>
      <c r="U360" s="7">
        <f>IF($A360="","",T360-G360)</f>
        <v/>
      </c>
      <c r="V360">
        <f>IF($A360="","",IF(COUNTIF($A$2:$A360,$A360)=1,1,0))</f>
        <v/>
      </c>
      <c r="W360">
        <f>IF($V360=1,SUMPRODUCT(--($Y$2:$Y$501&lt;$Y360))+1,"")</f>
        <v/>
      </c>
      <c r="X360">
        <f>IF($A360="","",IF(OR($Q360=TRUE(),$Q360="TRUE"),1,0))</f>
        <v/>
      </c>
      <c r="Y360">
        <f>IF($V360=1,IFERROR(VALUE(MID($A360,2,20)),1000000000)+ROW()/100000,"")</f>
        <v/>
      </c>
    </row>
    <row r="361">
      <c r="B361">
        <f>IF($A361="","",IFERROR(IF(INDEX('Per Invoice'!$A$2:$A$201,MATCH($A361,'Per Invoice'!$B$2:$B$201,0))=0,"",INDEX('Per Invoice'!$A$2:$A$201,MATCH($A361,'Per Invoice'!$B$2:$B$201,0))),""))</f>
        <v/>
      </c>
      <c r="G361" s="7">
        <f>IF($A361="","",F361*T361/100)</f>
        <v/>
      </c>
      <c r="J361" s="7" t="n"/>
      <c r="K361" s="7" t="n"/>
      <c r="L361" s="7" t="n"/>
      <c r="O361" s="11" t="n"/>
      <c r="R361">
        <f>IF($A361="","",IF($X361=1,Settings!$C$6,Settings!$C$7)*1)</f>
        <v/>
      </c>
      <c r="S361" s="7">
        <f>IF($A361="","",R361*L361)</f>
        <v/>
      </c>
      <c r="T361" s="7">
        <f>IF($A361="","",L361-S361)</f>
        <v/>
      </c>
      <c r="U361" s="7">
        <f>IF($A361="","",T361-G361)</f>
        <v/>
      </c>
      <c r="V361">
        <f>IF($A361="","",IF(COUNTIF($A$2:$A361,$A361)=1,1,0))</f>
        <v/>
      </c>
      <c r="W361">
        <f>IF($V361=1,SUMPRODUCT(--($Y$2:$Y$501&lt;$Y361))+1,"")</f>
        <v/>
      </c>
      <c r="X361">
        <f>IF($A361="","",IF(OR($Q361=TRUE(),$Q361="TRUE"),1,0))</f>
        <v/>
      </c>
      <c r="Y361">
        <f>IF($V361=1,IFERROR(VALUE(MID($A361,2,20)),1000000000)+ROW()/100000,"")</f>
        <v/>
      </c>
    </row>
    <row r="362">
      <c r="B362">
        <f>IF($A362="","",IFERROR(IF(INDEX('Per Invoice'!$A$2:$A$201,MATCH($A362,'Per Invoice'!$B$2:$B$201,0))=0,"",INDEX('Per Invoice'!$A$2:$A$201,MATCH($A362,'Per Invoice'!$B$2:$B$201,0))),""))</f>
        <v/>
      </c>
      <c r="G362" s="7">
        <f>IF($A362="","",F362*T362/100)</f>
        <v/>
      </c>
      <c r="J362" s="7" t="n"/>
      <c r="K362" s="7" t="n"/>
      <c r="L362" s="7" t="n"/>
      <c r="O362" s="11" t="n"/>
      <c r="R362">
        <f>IF($A362="","",IF($X362=1,Settings!$C$6,Settings!$C$7)*1)</f>
        <v/>
      </c>
      <c r="S362" s="7">
        <f>IF($A362="","",R362*L362)</f>
        <v/>
      </c>
      <c r="T362" s="7">
        <f>IF($A362="","",L362-S362)</f>
        <v/>
      </c>
      <c r="U362" s="7">
        <f>IF($A362="","",T362-G362)</f>
        <v/>
      </c>
      <c r="V362">
        <f>IF($A362="","",IF(COUNTIF($A$2:$A362,$A362)=1,1,0))</f>
        <v/>
      </c>
      <c r="W362">
        <f>IF($V362=1,SUMPRODUCT(--($Y$2:$Y$501&lt;$Y362))+1,"")</f>
        <v/>
      </c>
      <c r="X362">
        <f>IF($A362="","",IF(OR($Q362=TRUE(),$Q362="TRUE"),1,0))</f>
        <v/>
      </c>
      <c r="Y362">
        <f>IF($V362=1,IFERROR(VALUE(MID($A362,2,20)),1000000000)+ROW()/100000,"")</f>
        <v/>
      </c>
    </row>
    <row r="363">
      <c r="B363">
        <f>IF($A363="","",IFERROR(IF(INDEX('Per Invoice'!$A$2:$A$201,MATCH($A363,'Per Invoice'!$B$2:$B$201,0))=0,"",INDEX('Per Invoice'!$A$2:$A$201,MATCH($A363,'Per Invoice'!$B$2:$B$201,0))),""))</f>
        <v/>
      </c>
      <c r="G363" s="7">
        <f>IF($A363="","",F363*T363/100)</f>
        <v/>
      </c>
      <c r="J363" s="7" t="n"/>
      <c r="K363" s="7" t="n"/>
      <c r="L363" s="7" t="n"/>
      <c r="O363" s="11" t="n"/>
      <c r="R363">
        <f>IF($A363="","",IF($X363=1,Settings!$C$6,Settings!$C$7)*1)</f>
        <v/>
      </c>
      <c r="S363" s="7">
        <f>IF($A363="","",R363*L363)</f>
        <v/>
      </c>
      <c r="T363" s="7">
        <f>IF($A363="","",L363-S363)</f>
        <v/>
      </c>
      <c r="U363" s="7">
        <f>IF($A363="","",T363-G363)</f>
        <v/>
      </c>
      <c r="V363">
        <f>IF($A363="","",IF(COUNTIF($A$2:$A363,$A363)=1,1,0))</f>
        <v/>
      </c>
      <c r="W363">
        <f>IF($V363=1,SUMPRODUCT(--($Y$2:$Y$501&lt;$Y363))+1,"")</f>
        <v/>
      </c>
      <c r="X363">
        <f>IF($A363="","",IF(OR($Q363=TRUE(),$Q363="TRUE"),1,0))</f>
        <v/>
      </c>
      <c r="Y363">
        <f>IF($V363=1,IFERROR(VALUE(MID($A363,2,20)),1000000000)+ROW()/100000,"")</f>
        <v/>
      </c>
    </row>
    <row r="364">
      <c r="B364">
        <f>IF($A364="","",IFERROR(IF(INDEX('Per Invoice'!$A$2:$A$201,MATCH($A364,'Per Invoice'!$B$2:$B$201,0))=0,"",INDEX('Per Invoice'!$A$2:$A$201,MATCH($A364,'Per Invoice'!$B$2:$B$201,0))),""))</f>
        <v/>
      </c>
      <c r="G364" s="7">
        <f>IF($A364="","",F364*T364/100)</f>
        <v/>
      </c>
      <c r="J364" s="7" t="n"/>
      <c r="K364" s="7" t="n"/>
      <c r="L364" s="7" t="n"/>
      <c r="O364" s="11" t="n"/>
      <c r="R364">
        <f>IF($A364="","",IF($X364=1,Settings!$C$6,Settings!$C$7)*1)</f>
        <v/>
      </c>
      <c r="S364" s="7">
        <f>IF($A364="","",R364*L364)</f>
        <v/>
      </c>
      <c r="T364" s="7">
        <f>IF($A364="","",L364-S364)</f>
        <v/>
      </c>
      <c r="U364" s="7">
        <f>IF($A364="","",T364-G364)</f>
        <v/>
      </c>
      <c r="V364">
        <f>IF($A364="","",IF(COUNTIF($A$2:$A364,$A364)=1,1,0))</f>
        <v/>
      </c>
      <c r="W364">
        <f>IF($V364=1,SUMPRODUCT(--($Y$2:$Y$501&lt;$Y364))+1,"")</f>
        <v/>
      </c>
      <c r="X364">
        <f>IF($A364="","",IF(OR($Q364=TRUE(),$Q364="TRUE"),1,0))</f>
        <v/>
      </c>
      <c r="Y364">
        <f>IF($V364=1,IFERROR(VALUE(MID($A364,2,20)),1000000000)+ROW()/100000,"")</f>
        <v/>
      </c>
    </row>
    <row r="365">
      <c r="B365">
        <f>IF($A365="","",IFERROR(IF(INDEX('Per Invoice'!$A$2:$A$201,MATCH($A365,'Per Invoice'!$B$2:$B$201,0))=0,"",INDEX('Per Invoice'!$A$2:$A$201,MATCH($A365,'Per Invoice'!$B$2:$B$201,0))),""))</f>
        <v/>
      </c>
      <c r="G365" s="7">
        <f>IF($A365="","",F365*T365/100)</f>
        <v/>
      </c>
      <c r="J365" s="7" t="n"/>
      <c r="K365" s="7" t="n"/>
      <c r="L365" s="7" t="n"/>
      <c r="O365" s="11" t="n"/>
      <c r="R365">
        <f>IF($A365="","",IF($X365=1,Settings!$C$6,Settings!$C$7)*1)</f>
        <v/>
      </c>
      <c r="S365" s="7">
        <f>IF($A365="","",R365*L365)</f>
        <v/>
      </c>
      <c r="T365" s="7">
        <f>IF($A365="","",L365-S365)</f>
        <v/>
      </c>
      <c r="U365" s="7">
        <f>IF($A365="","",T365-G365)</f>
        <v/>
      </c>
      <c r="V365">
        <f>IF($A365="","",IF(COUNTIF($A$2:$A365,$A365)=1,1,0))</f>
        <v/>
      </c>
      <c r="W365">
        <f>IF($V365=1,SUMPRODUCT(--($Y$2:$Y$501&lt;$Y365))+1,"")</f>
        <v/>
      </c>
      <c r="X365">
        <f>IF($A365="","",IF(OR($Q365=TRUE(),$Q365="TRUE"),1,0))</f>
        <v/>
      </c>
      <c r="Y365">
        <f>IF($V365=1,IFERROR(VALUE(MID($A365,2,20)),1000000000)+ROW()/100000,"")</f>
        <v/>
      </c>
    </row>
    <row r="366">
      <c r="B366">
        <f>IF($A366="","",IFERROR(IF(INDEX('Per Invoice'!$A$2:$A$201,MATCH($A366,'Per Invoice'!$B$2:$B$201,0))=0,"",INDEX('Per Invoice'!$A$2:$A$201,MATCH($A366,'Per Invoice'!$B$2:$B$201,0))),""))</f>
        <v/>
      </c>
      <c r="G366" s="7">
        <f>IF($A366="","",F366*T366/100)</f>
        <v/>
      </c>
      <c r="J366" s="7" t="n"/>
      <c r="K366" s="7" t="n"/>
      <c r="L366" s="7" t="n"/>
      <c r="O366" s="11" t="n"/>
      <c r="R366">
        <f>IF($A366="","",IF($X366=1,Settings!$C$6,Settings!$C$7)*1)</f>
        <v/>
      </c>
      <c r="S366" s="7">
        <f>IF($A366="","",R366*L366)</f>
        <v/>
      </c>
      <c r="T366" s="7">
        <f>IF($A366="","",L366-S366)</f>
        <v/>
      </c>
      <c r="U366" s="7">
        <f>IF($A366="","",T366-G366)</f>
        <v/>
      </c>
      <c r="V366">
        <f>IF($A366="","",IF(COUNTIF($A$2:$A366,$A366)=1,1,0))</f>
        <v/>
      </c>
      <c r="W366">
        <f>IF($V366=1,SUMPRODUCT(--($Y$2:$Y$501&lt;$Y366))+1,"")</f>
        <v/>
      </c>
      <c r="X366">
        <f>IF($A366="","",IF(OR($Q366=TRUE(),$Q366="TRUE"),1,0))</f>
        <v/>
      </c>
      <c r="Y366">
        <f>IF($V366=1,IFERROR(VALUE(MID($A366,2,20)),1000000000)+ROW()/100000,"")</f>
        <v/>
      </c>
    </row>
    <row r="367">
      <c r="B367">
        <f>IF($A367="","",IFERROR(IF(INDEX('Per Invoice'!$A$2:$A$201,MATCH($A367,'Per Invoice'!$B$2:$B$201,0))=0,"",INDEX('Per Invoice'!$A$2:$A$201,MATCH($A367,'Per Invoice'!$B$2:$B$201,0))),""))</f>
        <v/>
      </c>
      <c r="G367" s="7">
        <f>IF($A367="","",F367*T367/100)</f>
        <v/>
      </c>
      <c r="J367" s="7" t="n"/>
      <c r="K367" s="7" t="n"/>
      <c r="L367" s="7" t="n"/>
      <c r="O367" s="11" t="n"/>
      <c r="R367">
        <f>IF($A367="","",IF($X367=1,Settings!$C$6,Settings!$C$7)*1)</f>
        <v/>
      </c>
      <c r="S367" s="7">
        <f>IF($A367="","",R367*L367)</f>
        <v/>
      </c>
      <c r="T367" s="7">
        <f>IF($A367="","",L367-S367)</f>
        <v/>
      </c>
      <c r="U367" s="7">
        <f>IF($A367="","",T367-G367)</f>
        <v/>
      </c>
      <c r="V367">
        <f>IF($A367="","",IF(COUNTIF($A$2:$A367,$A367)=1,1,0))</f>
        <v/>
      </c>
      <c r="W367">
        <f>IF($V367=1,SUMPRODUCT(--($Y$2:$Y$501&lt;$Y367))+1,"")</f>
        <v/>
      </c>
      <c r="X367">
        <f>IF($A367="","",IF(OR($Q367=TRUE(),$Q367="TRUE"),1,0))</f>
        <v/>
      </c>
      <c r="Y367">
        <f>IF($V367=1,IFERROR(VALUE(MID($A367,2,20)),1000000000)+ROW()/100000,"")</f>
        <v/>
      </c>
    </row>
    <row r="368">
      <c r="B368">
        <f>IF($A368="","",IFERROR(IF(INDEX('Per Invoice'!$A$2:$A$201,MATCH($A368,'Per Invoice'!$B$2:$B$201,0))=0,"",INDEX('Per Invoice'!$A$2:$A$201,MATCH($A368,'Per Invoice'!$B$2:$B$201,0))),""))</f>
        <v/>
      </c>
      <c r="G368" s="7">
        <f>IF($A368="","",F368*T368/100)</f>
        <v/>
      </c>
      <c r="J368" s="7" t="n"/>
      <c r="K368" s="7" t="n"/>
      <c r="L368" s="7" t="n"/>
      <c r="O368" s="11" t="n"/>
      <c r="R368">
        <f>IF($A368="","",IF($X368=1,Settings!$C$6,Settings!$C$7)*1)</f>
        <v/>
      </c>
      <c r="S368" s="7">
        <f>IF($A368="","",R368*L368)</f>
        <v/>
      </c>
      <c r="T368" s="7">
        <f>IF($A368="","",L368-S368)</f>
        <v/>
      </c>
      <c r="U368" s="7">
        <f>IF($A368="","",T368-G368)</f>
        <v/>
      </c>
      <c r="V368">
        <f>IF($A368="","",IF(COUNTIF($A$2:$A368,$A368)=1,1,0))</f>
        <v/>
      </c>
      <c r="W368">
        <f>IF($V368=1,SUMPRODUCT(--($Y$2:$Y$501&lt;$Y368))+1,"")</f>
        <v/>
      </c>
      <c r="X368">
        <f>IF($A368="","",IF(OR($Q368=TRUE(),$Q368="TRUE"),1,0))</f>
        <v/>
      </c>
      <c r="Y368">
        <f>IF($V368=1,IFERROR(VALUE(MID($A368,2,20)),1000000000)+ROW()/100000,"")</f>
        <v/>
      </c>
    </row>
    <row r="369">
      <c r="B369">
        <f>IF($A369="","",IFERROR(IF(INDEX('Per Invoice'!$A$2:$A$201,MATCH($A369,'Per Invoice'!$B$2:$B$201,0))=0,"",INDEX('Per Invoice'!$A$2:$A$201,MATCH($A369,'Per Invoice'!$B$2:$B$201,0))),""))</f>
        <v/>
      </c>
      <c r="G369" s="7">
        <f>IF($A369="","",F369*T369/100)</f>
        <v/>
      </c>
      <c r="J369" s="7" t="n"/>
      <c r="K369" s="7" t="n"/>
      <c r="L369" s="7" t="n"/>
      <c r="O369" s="11" t="n"/>
      <c r="R369">
        <f>IF($A369="","",IF($X369=1,Settings!$C$6,Settings!$C$7)*1)</f>
        <v/>
      </c>
      <c r="S369" s="7">
        <f>IF($A369="","",R369*L369)</f>
        <v/>
      </c>
      <c r="T369" s="7">
        <f>IF($A369="","",L369-S369)</f>
        <v/>
      </c>
      <c r="U369" s="7">
        <f>IF($A369="","",T369-G369)</f>
        <v/>
      </c>
      <c r="V369">
        <f>IF($A369="","",IF(COUNTIF($A$2:$A369,$A369)=1,1,0))</f>
        <v/>
      </c>
      <c r="W369">
        <f>IF($V369=1,SUMPRODUCT(--($Y$2:$Y$501&lt;$Y369))+1,"")</f>
        <v/>
      </c>
      <c r="X369">
        <f>IF($A369="","",IF(OR($Q369=TRUE(),$Q369="TRUE"),1,0))</f>
        <v/>
      </c>
      <c r="Y369">
        <f>IF($V369=1,IFERROR(VALUE(MID($A369,2,20)),1000000000)+ROW()/100000,"")</f>
        <v/>
      </c>
    </row>
    <row r="370">
      <c r="B370">
        <f>IF($A370="","",IFERROR(IF(INDEX('Per Invoice'!$A$2:$A$201,MATCH($A370,'Per Invoice'!$B$2:$B$201,0))=0,"",INDEX('Per Invoice'!$A$2:$A$201,MATCH($A370,'Per Invoice'!$B$2:$B$201,0))),""))</f>
        <v/>
      </c>
      <c r="G370" s="7">
        <f>IF($A370="","",F370*T370/100)</f>
        <v/>
      </c>
      <c r="J370" s="7" t="n"/>
      <c r="K370" s="7" t="n"/>
      <c r="L370" s="7" t="n"/>
      <c r="O370" s="11" t="n"/>
      <c r="R370">
        <f>IF($A370="","",IF($X370=1,Settings!$C$6,Settings!$C$7)*1)</f>
        <v/>
      </c>
      <c r="S370" s="7">
        <f>IF($A370="","",R370*L370)</f>
        <v/>
      </c>
      <c r="T370" s="7">
        <f>IF($A370="","",L370-S370)</f>
        <v/>
      </c>
      <c r="U370" s="7">
        <f>IF($A370="","",T370-G370)</f>
        <v/>
      </c>
      <c r="V370">
        <f>IF($A370="","",IF(COUNTIF($A$2:$A370,$A370)=1,1,0))</f>
        <v/>
      </c>
      <c r="W370">
        <f>IF($V370=1,SUMPRODUCT(--($Y$2:$Y$501&lt;$Y370))+1,"")</f>
        <v/>
      </c>
      <c r="X370">
        <f>IF($A370="","",IF(OR($Q370=TRUE(),$Q370="TRUE"),1,0))</f>
        <v/>
      </c>
      <c r="Y370">
        <f>IF($V370=1,IFERROR(VALUE(MID($A370,2,20)),1000000000)+ROW()/100000,"")</f>
        <v/>
      </c>
    </row>
    <row r="371">
      <c r="B371">
        <f>IF($A371="","",IFERROR(IF(INDEX('Per Invoice'!$A$2:$A$201,MATCH($A371,'Per Invoice'!$B$2:$B$201,0))=0,"",INDEX('Per Invoice'!$A$2:$A$201,MATCH($A371,'Per Invoice'!$B$2:$B$201,0))),""))</f>
        <v/>
      </c>
      <c r="G371" s="7">
        <f>IF($A371="","",F371*T371/100)</f>
        <v/>
      </c>
      <c r="J371" s="7" t="n"/>
      <c r="K371" s="7" t="n"/>
      <c r="L371" s="7" t="n"/>
      <c r="O371" s="11" t="n"/>
      <c r="R371">
        <f>IF($A371="","",IF($X371=1,Settings!$C$6,Settings!$C$7)*1)</f>
        <v/>
      </c>
      <c r="S371" s="7">
        <f>IF($A371="","",R371*L371)</f>
        <v/>
      </c>
      <c r="T371" s="7">
        <f>IF($A371="","",L371-S371)</f>
        <v/>
      </c>
      <c r="U371" s="7">
        <f>IF($A371="","",T371-G371)</f>
        <v/>
      </c>
      <c r="V371">
        <f>IF($A371="","",IF(COUNTIF($A$2:$A371,$A371)=1,1,0))</f>
        <v/>
      </c>
      <c r="W371">
        <f>IF($V371=1,SUMPRODUCT(--($Y$2:$Y$501&lt;$Y371))+1,"")</f>
        <v/>
      </c>
      <c r="X371">
        <f>IF($A371="","",IF(OR($Q371=TRUE(),$Q371="TRUE"),1,0))</f>
        <v/>
      </c>
      <c r="Y371">
        <f>IF($V371=1,IFERROR(VALUE(MID($A371,2,20)),1000000000)+ROW()/100000,"")</f>
        <v/>
      </c>
    </row>
    <row r="372">
      <c r="B372">
        <f>IF($A372="","",IFERROR(IF(INDEX('Per Invoice'!$A$2:$A$201,MATCH($A372,'Per Invoice'!$B$2:$B$201,0))=0,"",INDEX('Per Invoice'!$A$2:$A$201,MATCH($A372,'Per Invoice'!$B$2:$B$201,0))),""))</f>
        <v/>
      </c>
      <c r="G372" s="7">
        <f>IF($A372="","",F372*T372/100)</f>
        <v/>
      </c>
      <c r="J372" s="7" t="n"/>
      <c r="K372" s="7" t="n"/>
      <c r="L372" s="7" t="n"/>
      <c r="O372" s="11" t="n"/>
      <c r="R372">
        <f>IF($A372="","",IF($X372=1,Settings!$C$6,Settings!$C$7)*1)</f>
        <v/>
      </c>
      <c r="S372" s="7">
        <f>IF($A372="","",R372*L372)</f>
        <v/>
      </c>
      <c r="T372" s="7">
        <f>IF($A372="","",L372-S372)</f>
        <v/>
      </c>
      <c r="U372" s="7">
        <f>IF($A372="","",T372-G372)</f>
        <v/>
      </c>
      <c r="V372">
        <f>IF($A372="","",IF(COUNTIF($A$2:$A372,$A372)=1,1,0))</f>
        <v/>
      </c>
      <c r="W372">
        <f>IF($V372=1,SUMPRODUCT(--($Y$2:$Y$501&lt;$Y372))+1,"")</f>
        <v/>
      </c>
      <c r="X372">
        <f>IF($A372="","",IF(OR($Q372=TRUE(),$Q372="TRUE"),1,0))</f>
        <v/>
      </c>
      <c r="Y372">
        <f>IF($V372=1,IFERROR(VALUE(MID($A372,2,20)),1000000000)+ROW()/100000,"")</f>
        <v/>
      </c>
    </row>
    <row r="373">
      <c r="B373">
        <f>IF($A373="","",IFERROR(IF(INDEX('Per Invoice'!$A$2:$A$201,MATCH($A373,'Per Invoice'!$B$2:$B$201,0))=0,"",INDEX('Per Invoice'!$A$2:$A$201,MATCH($A373,'Per Invoice'!$B$2:$B$201,0))),""))</f>
        <v/>
      </c>
      <c r="G373" s="7">
        <f>IF($A373="","",F373*T373/100)</f>
        <v/>
      </c>
      <c r="J373" s="7" t="n"/>
      <c r="K373" s="7" t="n"/>
      <c r="L373" s="7" t="n"/>
      <c r="O373" s="11" t="n"/>
      <c r="R373">
        <f>IF($A373="","",IF($X373=1,Settings!$C$6,Settings!$C$7)*1)</f>
        <v/>
      </c>
      <c r="S373" s="7">
        <f>IF($A373="","",R373*L373)</f>
        <v/>
      </c>
      <c r="T373" s="7">
        <f>IF($A373="","",L373-S373)</f>
        <v/>
      </c>
      <c r="U373" s="7">
        <f>IF($A373="","",T373-G373)</f>
        <v/>
      </c>
      <c r="V373">
        <f>IF($A373="","",IF(COUNTIF($A$2:$A373,$A373)=1,1,0))</f>
        <v/>
      </c>
      <c r="W373">
        <f>IF($V373=1,SUMPRODUCT(--($Y$2:$Y$501&lt;$Y373))+1,"")</f>
        <v/>
      </c>
      <c r="X373">
        <f>IF($A373="","",IF(OR($Q373=TRUE(),$Q373="TRUE"),1,0))</f>
        <v/>
      </c>
      <c r="Y373">
        <f>IF($V373=1,IFERROR(VALUE(MID($A373,2,20)),1000000000)+ROW()/100000,"")</f>
        <v/>
      </c>
    </row>
    <row r="374">
      <c r="B374">
        <f>IF($A374="","",IFERROR(IF(INDEX('Per Invoice'!$A$2:$A$201,MATCH($A374,'Per Invoice'!$B$2:$B$201,0))=0,"",INDEX('Per Invoice'!$A$2:$A$201,MATCH($A374,'Per Invoice'!$B$2:$B$201,0))),""))</f>
        <v/>
      </c>
      <c r="G374" s="7">
        <f>IF($A374="","",F374*T374/100)</f>
        <v/>
      </c>
      <c r="J374" s="7" t="n"/>
      <c r="K374" s="7" t="n"/>
      <c r="L374" s="7" t="n"/>
      <c r="O374" s="11" t="n"/>
      <c r="R374">
        <f>IF($A374="","",IF($X374=1,Settings!$C$6,Settings!$C$7)*1)</f>
        <v/>
      </c>
      <c r="S374" s="7">
        <f>IF($A374="","",R374*L374)</f>
        <v/>
      </c>
      <c r="T374" s="7">
        <f>IF($A374="","",L374-S374)</f>
        <v/>
      </c>
      <c r="U374" s="7">
        <f>IF($A374="","",T374-G374)</f>
        <v/>
      </c>
      <c r="V374">
        <f>IF($A374="","",IF(COUNTIF($A$2:$A374,$A374)=1,1,0))</f>
        <v/>
      </c>
      <c r="W374">
        <f>IF($V374=1,SUMPRODUCT(--($Y$2:$Y$501&lt;$Y374))+1,"")</f>
        <v/>
      </c>
      <c r="X374">
        <f>IF($A374="","",IF(OR($Q374=TRUE(),$Q374="TRUE"),1,0))</f>
        <v/>
      </c>
      <c r="Y374">
        <f>IF($V374=1,IFERROR(VALUE(MID($A374,2,20)),1000000000)+ROW()/100000,"")</f>
        <v/>
      </c>
    </row>
    <row r="375">
      <c r="B375">
        <f>IF($A375="","",IFERROR(IF(INDEX('Per Invoice'!$A$2:$A$201,MATCH($A375,'Per Invoice'!$B$2:$B$201,0))=0,"",INDEX('Per Invoice'!$A$2:$A$201,MATCH($A375,'Per Invoice'!$B$2:$B$201,0))),""))</f>
        <v/>
      </c>
      <c r="G375" s="7">
        <f>IF($A375="","",F375*T375/100)</f>
        <v/>
      </c>
      <c r="J375" s="7" t="n"/>
      <c r="K375" s="7" t="n"/>
      <c r="L375" s="7" t="n"/>
      <c r="O375" s="11" t="n"/>
      <c r="R375">
        <f>IF($A375="","",IF($X375=1,Settings!$C$6,Settings!$C$7)*1)</f>
        <v/>
      </c>
      <c r="S375" s="7">
        <f>IF($A375="","",R375*L375)</f>
        <v/>
      </c>
      <c r="T375" s="7">
        <f>IF($A375="","",L375-S375)</f>
        <v/>
      </c>
      <c r="U375" s="7">
        <f>IF($A375="","",T375-G375)</f>
        <v/>
      </c>
      <c r="V375">
        <f>IF($A375="","",IF(COUNTIF($A$2:$A375,$A375)=1,1,0))</f>
        <v/>
      </c>
      <c r="W375">
        <f>IF($V375=1,SUMPRODUCT(--($Y$2:$Y$501&lt;$Y375))+1,"")</f>
        <v/>
      </c>
      <c r="X375">
        <f>IF($A375="","",IF(OR($Q375=TRUE(),$Q375="TRUE"),1,0))</f>
        <v/>
      </c>
      <c r="Y375">
        <f>IF($V375=1,IFERROR(VALUE(MID($A375,2,20)),1000000000)+ROW()/100000,"")</f>
        <v/>
      </c>
    </row>
    <row r="376">
      <c r="B376">
        <f>IF($A376="","",IFERROR(IF(INDEX('Per Invoice'!$A$2:$A$201,MATCH($A376,'Per Invoice'!$B$2:$B$201,0))=0,"",INDEX('Per Invoice'!$A$2:$A$201,MATCH($A376,'Per Invoice'!$B$2:$B$201,0))),""))</f>
        <v/>
      </c>
      <c r="G376" s="7">
        <f>IF($A376="","",F376*T376/100)</f>
        <v/>
      </c>
      <c r="J376" s="7" t="n"/>
      <c r="K376" s="7" t="n"/>
      <c r="L376" s="7" t="n"/>
      <c r="O376" s="11" t="n"/>
      <c r="R376">
        <f>IF($A376="","",IF($X376=1,Settings!$C$6,Settings!$C$7)*1)</f>
        <v/>
      </c>
      <c r="S376" s="7">
        <f>IF($A376="","",R376*L376)</f>
        <v/>
      </c>
      <c r="T376" s="7">
        <f>IF($A376="","",L376-S376)</f>
        <v/>
      </c>
      <c r="U376" s="7">
        <f>IF($A376="","",T376-G376)</f>
        <v/>
      </c>
      <c r="V376">
        <f>IF($A376="","",IF(COUNTIF($A$2:$A376,$A376)=1,1,0))</f>
        <v/>
      </c>
      <c r="W376">
        <f>IF($V376=1,SUMPRODUCT(--($Y$2:$Y$501&lt;$Y376))+1,"")</f>
        <v/>
      </c>
      <c r="X376">
        <f>IF($A376="","",IF(OR($Q376=TRUE(),$Q376="TRUE"),1,0))</f>
        <v/>
      </c>
      <c r="Y376">
        <f>IF($V376=1,IFERROR(VALUE(MID($A376,2,20)),1000000000)+ROW()/100000,"")</f>
        <v/>
      </c>
    </row>
    <row r="377">
      <c r="B377">
        <f>IF($A377="","",IFERROR(IF(INDEX('Per Invoice'!$A$2:$A$201,MATCH($A377,'Per Invoice'!$B$2:$B$201,0))=0,"",INDEX('Per Invoice'!$A$2:$A$201,MATCH($A377,'Per Invoice'!$B$2:$B$201,0))),""))</f>
        <v/>
      </c>
      <c r="G377" s="7">
        <f>IF($A377="","",F377*T377/100)</f>
        <v/>
      </c>
      <c r="J377" s="7" t="n"/>
      <c r="K377" s="7" t="n"/>
      <c r="L377" s="7" t="n"/>
      <c r="O377" s="11" t="n"/>
      <c r="R377">
        <f>IF($A377="","",IF($X377=1,Settings!$C$6,Settings!$C$7)*1)</f>
        <v/>
      </c>
      <c r="S377" s="7">
        <f>IF($A377="","",R377*L377)</f>
        <v/>
      </c>
      <c r="T377" s="7">
        <f>IF($A377="","",L377-S377)</f>
        <v/>
      </c>
      <c r="U377" s="7">
        <f>IF($A377="","",T377-G377)</f>
        <v/>
      </c>
      <c r="V377">
        <f>IF($A377="","",IF(COUNTIF($A$2:$A377,$A377)=1,1,0))</f>
        <v/>
      </c>
      <c r="W377">
        <f>IF($V377=1,SUMPRODUCT(--($Y$2:$Y$501&lt;$Y377))+1,"")</f>
        <v/>
      </c>
      <c r="X377">
        <f>IF($A377="","",IF(OR($Q377=TRUE(),$Q377="TRUE"),1,0))</f>
        <v/>
      </c>
      <c r="Y377">
        <f>IF($V377=1,IFERROR(VALUE(MID($A377,2,20)),1000000000)+ROW()/100000,"")</f>
        <v/>
      </c>
    </row>
    <row r="378">
      <c r="B378">
        <f>IF($A378="","",IFERROR(IF(INDEX('Per Invoice'!$A$2:$A$201,MATCH($A378,'Per Invoice'!$B$2:$B$201,0))=0,"",INDEX('Per Invoice'!$A$2:$A$201,MATCH($A378,'Per Invoice'!$B$2:$B$201,0))),""))</f>
        <v/>
      </c>
      <c r="G378" s="7">
        <f>IF($A378="","",F378*T378/100)</f>
        <v/>
      </c>
      <c r="J378" s="7" t="n"/>
      <c r="K378" s="7" t="n"/>
      <c r="L378" s="7" t="n"/>
      <c r="O378" s="11" t="n"/>
      <c r="R378">
        <f>IF($A378="","",IF($X378=1,Settings!$C$6,Settings!$C$7)*1)</f>
        <v/>
      </c>
      <c r="S378" s="7">
        <f>IF($A378="","",R378*L378)</f>
        <v/>
      </c>
      <c r="T378" s="7">
        <f>IF($A378="","",L378-S378)</f>
        <v/>
      </c>
      <c r="U378" s="7">
        <f>IF($A378="","",T378-G378)</f>
        <v/>
      </c>
      <c r="V378">
        <f>IF($A378="","",IF(COUNTIF($A$2:$A378,$A378)=1,1,0))</f>
        <v/>
      </c>
      <c r="W378">
        <f>IF($V378=1,SUMPRODUCT(--($Y$2:$Y$501&lt;$Y378))+1,"")</f>
        <v/>
      </c>
      <c r="X378">
        <f>IF($A378="","",IF(OR($Q378=TRUE(),$Q378="TRUE"),1,0))</f>
        <v/>
      </c>
      <c r="Y378">
        <f>IF($V378=1,IFERROR(VALUE(MID($A378,2,20)),1000000000)+ROW()/100000,"")</f>
        <v/>
      </c>
    </row>
    <row r="379">
      <c r="B379">
        <f>IF($A379="","",IFERROR(IF(INDEX('Per Invoice'!$A$2:$A$201,MATCH($A379,'Per Invoice'!$B$2:$B$201,0))=0,"",INDEX('Per Invoice'!$A$2:$A$201,MATCH($A379,'Per Invoice'!$B$2:$B$201,0))),""))</f>
        <v/>
      </c>
      <c r="G379" s="7">
        <f>IF($A379="","",F379*T379/100)</f>
        <v/>
      </c>
      <c r="J379" s="7" t="n"/>
      <c r="K379" s="7" t="n"/>
      <c r="L379" s="7" t="n"/>
      <c r="O379" s="11" t="n"/>
      <c r="R379">
        <f>IF($A379="","",IF($X379=1,Settings!$C$6,Settings!$C$7)*1)</f>
        <v/>
      </c>
      <c r="S379" s="7">
        <f>IF($A379="","",R379*L379)</f>
        <v/>
      </c>
      <c r="T379" s="7">
        <f>IF($A379="","",L379-S379)</f>
        <v/>
      </c>
      <c r="U379" s="7">
        <f>IF($A379="","",T379-G379)</f>
        <v/>
      </c>
      <c r="V379">
        <f>IF($A379="","",IF(COUNTIF($A$2:$A379,$A379)=1,1,0))</f>
        <v/>
      </c>
      <c r="W379">
        <f>IF($V379=1,SUMPRODUCT(--($Y$2:$Y$501&lt;$Y379))+1,"")</f>
        <v/>
      </c>
      <c r="X379">
        <f>IF($A379="","",IF(OR($Q379=TRUE(),$Q379="TRUE"),1,0))</f>
        <v/>
      </c>
      <c r="Y379">
        <f>IF($V379=1,IFERROR(VALUE(MID($A379,2,20)),1000000000)+ROW()/100000,"")</f>
        <v/>
      </c>
    </row>
    <row r="380">
      <c r="B380">
        <f>IF($A380="","",IFERROR(IF(INDEX('Per Invoice'!$A$2:$A$201,MATCH($A380,'Per Invoice'!$B$2:$B$201,0))=0,"",INDEX('Per Invoice'!$A$2:$A$201,MATCH($A380,'Per Invoice'!$B$2:$B$201,0))),""))</f>
        <v/>
      </c>
      <c r="G380" s="7">
        <f>IF($A380="","",F380*T380/100)</f>
        <v/>
      </c>
      <c r="J380" s="7" t="n"/>
      <c r="K380" s="7" t="n"/>
      <c r="L380" s="7" t="n"/>
      <c r="O380" s="11" t="n"/>
      <c r="R380">
        <f>IF($A380="","",IF($X380=1,Settings!$C$6,Settings!$C$7)*1)</f>
        <v/>
      </c>
      <c r="S380" s="7">
        <f>IF($A380="","",R380*L380)</f>
        <v/>
      </c>
      <c r="T380" s="7">
        <f>IF($A380="","",L380-S380)</f>
        <v/>
      </c>
      <c r="U380" s="7">
        <f>IF($A380="","",T380-G380)</f>
        <v/>
      </c>
      <c r="V380">
        <f>IF($A380="","",IF(COUNTIF($A$2:$A380,$A380)=1,1,0))</f>
        <v/>
      </c>
      <c r="W380">
        <f>IF($V380=1,SUMPRODUCT(--($Y$2:$Y$501&lt;$Y380))+1,"")</f>
        <v/>
      </c>
      <c r="X380">
        <f>IF($A380="","",IF(OR($Q380=TRUE(),$Q380="TRUE"),1,0))</f>
        <v/>
      </c>
      <c r="Y380">
        <f>IF($V380=1,IFERROR(VALUE(MID($A380,2,20)),1000000000)+ROW()/100000,"")</f>
        <v/>
      </c>
    </row>
    <row r="381">
      <c r="B381">
        <f>IF($A381="","",IFERROR(IF(INDEX('Per Invoice'!$A$2:$A$201,MATCH($A381,'Per Invoice'!$B$2:$B$201,0))=0,"",INDEX('Per Invoice'!$A$2:$A$201,MATCH($A381,'Per Invoice'!$B$2:$B$201,0))),""))</f>
        <v/>
      </c>
      <c r="G381" s="7">
        <f>IF($A381="","",F381*T381/100)</f>
        <v/>
      </c>
      <c r="J381" s="7" t="n"/>
      <c r="K381" s="7" t="n"/>
      <c r="L381" s="7" t="n"/>
      <c r="O381" s="11" t="n"/>
      <c r="R381">
        <f>IF($A381="","",IF($X381=1,Settings!$C$6,Settings!$C$7)*1)</f>
        <v/>
      </c>
      <c r="S381" s="7">
        <f>IF($A381="","",R381*L381)</f>
        <v/>
      </c>
      <c r="T381" s="7">
        <f>IF($A381="","",L381-S381)</f>
        <v/>
      </c>
      <c r="U381" s="7">
        <f>IF($A381="","",T381-G381)</f>
        <v/>
      </c>
      <c r="V381">
        <f>IF($A381="","",IF(COUNTIF($A$2:$A381,$A381)=1,1,0))</f>
        <v/>
      </c>
      <c r="W381">
        <f>IF($V381=1,SUMPRODUCT(--($Y$2:$Y$501&lt;$Y381))+1,"")</f>
        <v/>
      </c>
      <c r="X381">
        <f>IF($A381="","",IF(OR($Q381=TRUE(),$Q381="TRUE"),1,0))</f>
        <v/>
      </c>
      <c r="Y381">
        <f>IF($V381=1,IFERROR(VALUE(MID($A381,2,20)),1000000000)+ROW()/100000,"")</f>
        <v/>
      </c>
    </row>
    <row r="382">
      <c r="B382">
        <f>IF($A382="","",IFERROR(IF(INDEX('Per Invoice'!$A$2:$A$201,MATCH($A382,'Per Invoice'!$B$2:$B$201,0))=0,"",INDEX('Per Invoice'!$A$2:$A$201,MATCH($A382,'Per Invoice'!$B$2:$B$201,0))),""))</f>
        <v/>
      </c>
      <c r="G382" s="7">
        <f>IF($A382="","",F382*T382/100)</f>
        <v/>
      </c>
      <c r="J382" s="7" t="n"/>
      <c r="K382" s="7" t="n"/>
      <c r="L382" s="7" t="n"/>
      <c r="O382" s="11" t="n"/>
      <c r="R382">
        <f>IF($A382="","",IF($X382=1,Settings!$C$6,Settings!$C$7)*1)</f>
        <v/>
      </c>
      <c r="S382" s="7">
        <f>IF($A382="","",R382*L382)</f>
        <v/>
      </c>
      <c r="T382" s="7">
        <f>IF($A382="","",L382-S382)</f>
        <v/>
      </c>
      <c r="U382" s="7">
        <f>IF($A382="","",T382-G382)</f>
        <v/>
      </c>
      <c r="V382">
        <f>IF($A382="","",IF(COUNTIF($A$2:$A382,$A382)=1,1,0))</f>
        <v/>
      </c>
      <c r="W382">
        <f>IF($V382=1,SUMPRODUCT(--($Y$2:$Y$501&lt;$Y382))+1,"")</f>
        <v/>
      </c>
      <c r="X382">
        <f>IF($A382="","",IF(OR($Q382=TRUE(),$Q382="TRUE"),1,0))</f>
        <v/>
      </c>
      <c r="Y382">
        <f>IF($V382=1,IFERROR(VALUE(MID($A382,2,20)),1000000000)+ROW()/100000,"")</f>
        <v/>
      </c>
    </row>
    <row r="383">
      <c r="B383">
        <f>IF($A383="","",IFERROR(IF(INDEX('Per Invoice'!$A$2:$A$201,MATCH($A383,'Per Invoice'!$B$2:$B$201,0))=0,"",INDEX('Per Invoice'!$A$2:$A$201,MATCH($A383,'Per Invoice'!$B$2:$B$201,0))),""))</f>
        <v/>
      </c>
      <c r="G383" s="7">
        <f>IF($A383="","",F383*T383/100)</f>
        <v/>
      </c>
      <c r="J383" s="7" t="n"/>
      <c r="K383" s="7" t="n"/>
      <c r="L383" s="7" t="n"/>
      <c r="O383" s="11" t="n"/>
      <c r="R383">
        <f>IF($A383="","",IF($X383=1,Settings!$C$6,Settings!$C$7)*1)</f>
        <v/>
      </c>
      <c r="S383" s="7">
        <f>IF($A383="","",R383*L383)</f>
        <v/>
      </c>
      <c r="T383" s="7">
        <f>IF($A383="","",L383-S383)</f>
        <v/>
      </c>
      <c r="U383" s="7">
        <f>IF($A383="","",T383-G383)</f>
        <v/>
      </c>
      <c r="V383">
        <f>IF($A383="","",IF(COUNTIF($A$2:$A383,$A383)=1,1,0))</f>
        <v/>
      </c>
      <c r="W383">
        <f>IF($V383=1,SUMPRODUCT(--($Y$2:$Y$501&lt;$Y383))+1,"")</f>
        <v/>
      </c>
      <c r="X383">
        <f>IF($A383="","",IF(OR($Q383=TRUE(),$Q383="TRUE"),1,0))</f>
        <v/>
      </c>
      <c r="Y383">
        <f>IF($V383=1,IFERROR(VALUE(MID($A383,2,20)),1000000000)+ROW()/100000,"")</f>
        <v/>
      </c>
    </row>
    <row r="384">
      <c r="B384">
        <f>IF($A384="","",IFERROR(IF(INDEX('Per Invoice'!$A$2:$A$201,MATCH($A384,'Per Invoice'!$B$2:$B$201,0))=0,"",INDEX('Per Invoice'!$A$2:$A$201,MATCH($A384,'Per Invoice'!$B$2:$B$201,0))),""))</f>
        <v/>
      </c>
      <c r="G384" s="7">
        <f>IF($A384="","",F384*T384/100)</f>
        <v/>
      </c>
      <c r="J384" s="7" t="n"/>
      <c r="K384" s="7" t="n"/>
      <c r="L384" s="7" t="n"/>
      <c r="O384" s="11" t="n"/>
      <c r="R384">
        <f>IF($A384="","",IF($X384=1,Settings!$C$6,Settings!$C$7)*1)</f>
        <v/>
      </c>
      <c r="S384" s="7">
        <f>IF($A384="","",R384*L384)</f>
        <v/>
      </c>
      <c r="T384" s="7">
        <f>IF($A384="","",L384-S384)</f>
        <v/>
      </c>
      <c r="U384" s="7">
        <f>IF($A384="","",T384-G384)</f>
        <v/>
      </c>
      <c r="V384">
        <f>IF($A384="","",IF(COUNTIF($A$2:$A384,$A384)=1,1,0))</f>
        <v/>
      </c>
      <c r="W384">
        <f>IF($V384=1,SUMPRODUCT(--($Y$2:$Y$501&lt;$Y384))+1,"")</f>
        <v/>
      </c>
      <c r="X384">
        <f>IF($A384="","",IF(OR($Q384=TRUE(),$Q384="TRUE"),1,0))</f>
        <v/>
      </c>
      <c r="Y384">
        <f>IF($V384=1,IFERROR(VALUE(MID($A384,2,20)),1000000000)+ROW()/100000,"")</f>
        <v/>
      </c>
    </row>
    <row r="385">
      <c r="B385">
        <f>IF($A385="","",IFERROR(IF(INDEX('Per Invoice'!$A$2:$A$201,MATCH($A385,'Per Invoice'!$B$2:$B$201,0))=0,"",INDEX('Per Invoice'!$A$2:$A$201,MATCH($A385,'Per Invoice'!$B$2:$B$201,0))),""))</f>
        <v/>
      </c>
      <c r="G385" s="7">
        <f>IF($A385="","",F385*T385/100)</f>
        <v/>
      </c>
      <c r="J385" s="7" t="n"/>
      <c r="K385" s="7" t="n"/>
      <c r="L385" s="7" t="n"/>
      <c r="O385" s="11" t="n"/>
      <c r="R385">
        <f>IF($A385="","",IF($X385=1,Settings!$C$6,Settings!$C$7)*1)</f>
        <v/>
      </c>
      <c r="S385" s="7">
        <f>IF($A385="","",R385*L385)</f>
        <v/>
      </c>
      <c r="T385" s="7">
        <f>IF($A385="","",L385-S385)</f>
        <v/>
      </c>
      <c r="U385" s="7">
        <f>IF($A385="","",T385-G385)</f>
        <v/>
      </c>
      <c r="V385">
        <f>IF($A385="","",IF(COUNTIF($A$2:$A385,$A385)=1,1,0))</f>
        <v/>
      </c>
      <c r="W385">
        <f>IF($V385=1,SUMPRODUCT(--($Y$2:$Y$501&lt;$Y385))+1,"")</f>
        <v/>
      </c>
      <c r="X385">
        <f>IF($A385="","",IF(OR($Q385=TRUE(),$Q385="TRUE"),1,0))</f>
        <v/>
      </c>
      <c r="Y385">
        <f>IF($V385=1,IFERROR(VALUE(MID($A385,2,20)),1000000000)+ROW()/100000,"")</f>
        <v/>
      </c>
    </row>
    <row r="386">
      <c r="B386">
        <f>IF($A386="","",IFERROR(IF(INDEX('Per Invoice'!$A$2:$A$201,MATCH($A386,'Per Invoice'!$B$2:$B$201,0))=0,"",INDEX('Per Invoice'!$A$2:$A$201,MATCH($A386,'Per Invoice'!$B$2:$B$201,0))),""))</f>
        <v/>
      </c>
      <c r="G386" s="7">
        <f>IF($A386="","",F386*T386/100)</f>
        <v/>
      </c>
      <c r="J386" s="7" t="n"/>
      <c r="K386" s="7" t="n"/>
      <c r="L386" s="7" t="n"/>
      <c r="O386" s="11" t="n"/>
      <c r="R386">
        <f>IF($A386="","",IF($X386=1,Settings!$C$6,Settings!$C$7)*1)</f>
        <v/>
      </c>
      <c r="S386" s="7">
        <f>IF($A386="","",R386*L386)</f>
        <v/>
      </c>
      <c r="T386" s="7">
        <f>IF($A386="","",L386-S386)</f>
        <v/>
      </c>
      <c r="U386" s="7">
        <f>IF($A386="","",T386-G386)</f>
        <v/>
      </c>
      <c r="V386">
        <f>IF($A386="","",IF(COUNTIF($A$2:$A386,$A386)=1,1,0))</f>
        <v/>
      </c>
      <c r="W386">
        <f>IF($V386=1,SUMPRODUCT(--($Y$2:$Y$501&lt;$Y386))+1,"")</f>
        <v/>
      </c>
      <c r="X386">
        <f>IF($A386="","",IF(OR($Q386=TRUE(),$Q386="TRUE"),1,0))</f>
        <v/>
      </c>
      <c r="Y386">
        <f>IF($V386=1,IFERROR(VALUE(MID($A386,2,20)),1000000000)+ROW()/100000,"")</f>
        <v/>
      </c>
    </row>
    <row r="387">
      <c r="B387">
        <f>IF($A387="","",IFERROR(IF(INDEX('Per Invoice'!$A$2:$A$201,MATCH($A387,'Per Invoice'!$B$2:$B$201,0))=0,"",INDEX('Per Invoice'!$A$2:$A$201,MATCH($A387,'Per Invoice'!$B$2:$B$201,0))),""))</f>
        <v/>
      </c>
      <c r="G387" s="7">
        <f>IF($A387="","",F387*T387/100)</f>
        <v/>
      </c>
      <c r="J387" s="7" t="n"/>
      <c r="K387" s="7" t="n"/>
      <c r="L387" s="7" t="n"/>
      <c r="O387" s="11" t="n"/>
      <c r="R387">
        <f>IF($A387="","",IF($X387=1,Settings!$C$6,Settings!$C$7)*1)</f>
        <v/>
      </c>
      <c r="S387" s="7">
        <f>IF($A387="","",R387*L387)</f>
        <v/>
      </c>
      <c r="T387" s="7">
        <f>IF($A387="","",L387-S387)</f>
        <v/>
      </c>
      <c r="U387" s="7">
        <f>IF($A387="","",T387-G387)</f>
        <v/>
      </c>
      <c r="V387">
        <f>IF($A387="","",IF(COUNTIF($A$2:$A387,$A387)=1,1,0))</f>
        <v/>
      </c>
      <c r="W387">
        <f>IF($V387=1,SUMPRODUCT(--($Y$2:$Y$501&lt;$Y387))+1,"")</f>
        <v/>
      </c>
      <c r="X387">
        <f>IF($A387="","",IF(OR($Q387=TRUE(),$Q387="TRUE"),1,0))</f>
        <v/>
      </c>
      <c r="Y387">
        <f>IF($V387=1,IFERROR(VALUE(MID($A387,2,20)),1000000000)+ROW()/100000,"")</f>
        <v/>
      </c>
    </row>
    <row r="388">
      <c r="B388">
        <f>IF($A388="","",IFERROR(IF(INDEX('Per Invoice'!$A$2:$A$201,MATCH($A388,'Per Invoice'!$B$2:$B$201,0))=0,"",INDEX('Per Invoice'!$A$2:$A$201,MATCH($A388,'Per Invoice'!$B$2:$B$201,0))),""))</f>
        <v/>
      </c>
      <c r="G388" s="7">
        <f>IF($A388="","",F388*T388/100)</f>
        <v/>
      </c>
      <c r="J388" s="7" t="n"/>
      <c r="K388" s="7" t="n"/>
      <c r="L388" s="7" t="n"/>
      <c r="O388" s="11" t="n"/>
      <c r="R388">
        <f>IF($A388="","",IF($X388=1,Settings!$C$6,Settings!$C$7)*1)</f>
        <v/>
      </c>
      <c r="S388" s="7">
        <f>IF($A388="","",R388*L388)</f>
        <v/>
      </c>
      <c r="T388" s="7">
        <f>IF($A388="","",L388-S388)</f>
        <v/>
      </c>
      <c r="U388" s="7">
        <f>IF($A388="","",T388-G388)</f>
        <v/>
      </c>
      <c r="V388">
        <f>IF($A388="","",IF(COUNTIF($A$2:$A388,$A388)=1,1,0))</f>
        <v/>
      </c>
      <c r="W388">
        <f>IF($V388=1,SUMPRODUCT(--($Y$2:$Y$501&lt;$Y388))+1,"")</f>
        <v/>
      </c>
      <c r="X388">
        <f>IF($A388="","",IF(OR($Q388=TRUE(),$Q388="TRUE"),1,0))</f>
        <v/>
      </c>
      <c r="Y388">
        <f>IF($V388=1,IFERROR(VALUE(MID($A388,2,20)),1000000000)+ROW()/100000,"")</f>
        <v/>
      </c>
    </row>
    <row r="389">
      <c r="B389">
        <f>IF($A389="","",IFERROR(IF(INDEX('Per Invoice'!$A$2:$A$201,MATCH($A389,'Per Invoice'!$B$2:$B$201,0))=0,"",INDEX('Per Invoice'!$A$2:$A$201,MATCH($A389,'Per Invoice'!$B$2:$B$201,0))),""))</f>
        <v/>
      </c>
      <c r="G389" s="7">
        <f>IF($A389="","",F389*T389/100)</f>
        <v/>
      </c>
      <c r="J389" s="7" t="n"/>
      <c r="K389" s="7" t="n"/>
      <c r="L389" s="7" t="n"/>
      <c r="O389" s="11" t="n"/>
      <c r="R389">
        <f>IF($A389="","",IF($X389=1,Settings!$C$6,Settings!$C$7)*1)</f>
        <v/>
      </c>
      <c r="S389" s="7">
        <f>IF($A389="","",R389*L389)</f>
        <v/>
      </c>
      <c r="T389" s="7">
        <f>IF($A389="","",L389-S389)</f>
        <v/>
      </c>
      <c r="U389" s="7">
        <f>IF($A389="","",T389-G389)</f>
        <v/>
      </c>
      <c r="V389">
        <f>IF($A389="","",IF(COUNTIF($A$2:$A389,$A389)=1,1,0))</f>
        <v/>
      </c>
      <c r="W389">
        <f>IF($V389=1,SUMPRODUCT(--($Y$2:$Y$501&lt;$Y389))+1,"")</f>
        <v/>
      </c>
      <c r="X389">
        <f>IF($A389="","",IF(OR($Q389=TRUE(),$Q389="TRUE"),1,0))</f>
        <v/>
      </c>
      <c r="Y389">
        <f>IF($V389=1,IFERROR(VALUE(MID($A389,2,20)),1000000000)+ROW()/100000,"")</f>
        <v/>
      </c>
    </row>
    <row r="390">
      <c r="B390">
        <f>IF($A390="","",IFERROR(IF(INDEX('Per Invoice'!$A$2:$A$201,MATCH($A390,'Per Invoice'!$B$2:$B$201,0))=0,"",INDEX('Per Invoice'!$A$2:$A$201,MATCH($A390,'Per Invoice'!$B$2:$B$201,0))),""))</f>
        <v/>
      </c>
      <c r="G390" s="7">
        <f>IF($A390="","",F390*T390/100)</f>
        <v/>
      </c>
      <c r="J390" s="7" t="n"/>
      <c r="K390" s="7" t="n"/>
      <c r="L390" s="7" t="n"/>
      <c r="O390" s="11" t="n"/>
      <c r="R390">
        <f>IF($A390="","",IF($X390=1,Settings!$C$6,Settings!$C$7)*1)</f>
        <v/>
      </c>
      <c r="S390" s="7">
        <f>IF($A390="","",R390*L390)</f>
        <v/>
      </c>
      <c r="T390" s="7">
        <f>IF($A390="","",L390-S390)</f>
        <v/>
      </c>
      <c r="U390" s="7">
        <f>IF($A390="","",T390-G390)</f>
        <v/>
      </c>
      <c r="V390">
        <f>IF($A390="","",IF(COUNTIF($A$2:$A390,$A390)=1,1,0))</f>
        <v/>
      </c>
      <c r="W390">
        <f>IF($V390=1,SUMPRODUCT(--($Y$2:$Y$501&lt;$Y390))+1,"")</f>
        <v/>
      </c>
      <c r="X390">
        <f>IF($A390="","",IF(OR($Q390=TRUE(),$Q390="TRUE"),1,0))</f>
        <v/>
      </c>
      <c r="Y390">
        <f>IF($V390=1,IFERROR(VALUE(MID($A390,2,20)),1000000000)+ROW()/100000,"")</f>
        <v/>
      </c>
    </row>
    <row r="391">
      <c r="B391">
        <f>IF($A391="","",IFERROR(IF(INDEX('Per Invoice'!$A$2:$A$201,MATCH($A391,'Per Invoice'!$B$2:$B$201,0))=0,"",INDEX('Per Invoice'!$A$2:$A$201,MATCH($A391,'Per Invoice'!$B$2:$B$201,0))),""))</f>
        <v/>
      </c>
      <c r="G391" s="7">
        <f>IF($A391="","",F391*T391/100)</f>
        <v/>
      </c>
      <c r="J391" s="7" t="n"/>
      <c r="K391" s="7" t="n"/>
      <c r="L391" s="7" t="n"/>
      <c r="O391" s="11" t="n"/>
      <c r="R391">
        <f>IF($A391="","",IF($X391=1,Settings!$C$6,Settings!$C$7)*1)</f>
        <v/>
      </c>
      <c r="S391" s="7">
        <f>IF($A391="","",R391*L391)</f>
        <v/>
      </c>
      <c r="T391" s="7">
        <f>IF($A391="","",L391-S391)</f>
        <v/>
      </c>
      <c r="U391" s="7">
        <f>IF($A391="","",T391-G391)</f>
        <v/>
      </c>
      <c r="V391">
        <f>IF($A391="","",IF(COUNTIF($A$2:$A391,$A391)=1,1,0))</f>
        <v/>
      </c>
      <c r="W391">
        <f>IF($V391=1,SUMPRODUCT(--($Y$2:$Y$501&lt;$Y391))+1,"")</f>
        <v/>
      </c>
      <c r="X391">
        <f>IF($A391="","",IF(OR($Q391=TRUE(),$Q391="TRUE"),1,0))</f>
        <v/>
      </c>
      <c r="Y391">
        <f>IF($V391=1,IFERROR(VALUE(MID($A391,2,20)),1000000000)+ROW()/100000,"")</f>
        <v/>
      </c>
    </row>
    <row r="392">
      <c r="B392">
        <f>IF($A392="","",IFERROR(IF(INDEX('Per Invoice'!$A$2:$A$201,MATCH($A392,'Per Invoice'!$B$2:$B$201,0))=0,"",INDEX('Per Invoice'!$A$2:$A$201,MATCH($A392,'Per Invoice'!$B$2:$B$201,0))),""))</f>
        <v/>
      </c>
      <c r="G392" s="7">
        <f>IF($A392="","",F392*T392/100)</f>
        <v/>
      </c>
      <c r="J392" s="7" t="n"/>
      <c r="K392" s="7" t="n"/>
      <c r="L392" s="7" t="n"/>
      <c r="O392" s="11" t="n"/>
      <c r="R392">
        <f>IF($A392="","",IF($X392=1,Settings!$C$6,Settings!$C$7)*1)</f>
        <v/>
      </c>
      <c r="S392" s="7">
        <f>IF($A392="","",R392*L392)</f>
        <v/>
      </c>
      <c r="T392" s="7">
        <f>IF($A392="","",L392-S392)</f>
        <v/>
      </c>
      <c r="U392" s="7">
        <f>IF($A392="","",T392-G392)</f>
        <v/>
      </c>
      <c r="V392">
        <f>IF($A392="","",IF(COUNTIF($A$2:$A392,$A392)=1,1,0))</f>
        <v/>
      </c>
      <c r="W392">
        <f>IF($V392=1,SUMPRODUCT(--($Y$2:$Y$501&lt;$Y392))+1,"")</f>
        <v/>
      </c>
      <c r="X392">
        <f>IF($A392="","",IF(OR($Q392=TRUE(),$Q392="TRUE"),1,0))</f>
        <v/>
      </c>
      <c r="Y392">
        <f>IF($V392=1,IFERROR(VALUE(MID($A392,2,20)),1000000000)+ROW()/100000,"")</f>
        <v/>
      </c>
    </row>
    <row r="393">
      <c r="B393">
        <f>IF($A393="","",IFERROR(IF(INDEX('Per Invoice'!$A$2:$A$201,MATCH($A393,'Per Invoice'!$B$2:$B$201,0))=0,"",INDEX('Per Invoice'!$A$2:$A$201,MATCH($A393,'Per Invoice'!$B$2:$B$201,0))),""))</f>
        <v/>
      </c>
      <c r="G393" s="7">
        <f>IF($A393="","",F393*T393/100)</f>
        <v/>
      </c>
      <c r="J393" s="7" t="n"/>
      <c r="K393" s="7" t="n"/>
      <c r="L393" s="7" t="n"/>
      <c r="O393" s="11" t="n"/>
      <c r="R393">
        <f>IF($A393="","",IF($X393=1,Settings!$C$6,Settings!$C$7)*1)</f>
        <v/>
      </c>
      <c r="S393" s="7">
        <f>IF($A393="","",R393*L393)</f>
        <v/>
      </c>
      <c r="T393" s="7">
        <f>IF($A393="","",L393-S393)</f>
        <v/>
      </c>
      <c r="U393" s="7">
        <f>IF($A393="","",T393-G393)</f>
        <v/>
      </c>
      <c r="V393">
        <f>IF($A393="","",IF(COUNTIF($A$2:$A393,$A393)=1,1,0))</f>
        <v/>
      </c>
      <c r="W393">
        <f>IF($V393=1,SUMPRODUCT(--($Y$2:$Y$501&lt;$Y393))+1,"")</f>
        <v/>
      </c>
      <c r="X393">
        <f>IF($A393="","",IF(OR($Q393=TRUE(),$Q393="TRUE"),1,0))</f>
        <v/>
      </c>
      <c r="Y393">
        <f>IF($V393=1,IFERROR(VALUE(MID($A393,2,20)),1000000000)+ROW()/100000,"")</f>
        <v/>
      </c>
    </row>
    <row r="394">
      <c r="B394">
        <f>IF($A394="","",IFERROR(IF(INDEX('Per Invoice'!$A$2:$A$201,MATCH($A394,'Per Invoice'!$B$2:$B$201,0))=0,"",INDEX('Per Invoice'!$A$2:$A$201,MATCH($A394,'Per Invoice'!$B$2:$B$201,0))),""))</f>
        <v/>
      </c>
      <c r="G394" s="7">
        <f>IF($A394="","",F394*T394/100)</f>
        <v/>
      </c>
      <c r="J394" s="7" t="n"/>
      <c r="K394" s="7" t="n"/>
      <c r="L394" s="7" t="n"/>
      <c r="O394" s="11" t="n"/>
      <c r="R394">
        <f>IF($A394="","",IF($X394=1,Settings!$C$6,Settings!$C$7)*1)</f>
        <v/>
      </c>
      <c r="S394" s="7">
        <f>IF($A394="","",R394*L394)</f>
        <v/>
      </c>
      <c r="T394" s="7">
        <f>IF($A394="","",L394-S394)</f>
        <v/>
      </c>
      <c r="U394" s="7">
        <f>IF($A394="","",T394-G394)</f>
        <v/>
      </c>
      <c r="V394">
        <f>IF($A394="","",IF(COUNTIF($A$2:$A394,$A394)=1,1,0))</f>
        <v/>
      </c>
      <c r="W394">
        <f>IF($V394=1,SUMPRODUCT(--($Y$2:$Y$501&lt;$Y394))+1,"")</f>
        <v/>
      </c>
      <c r="X394">
        <f>IF($A394="","",IF(OR($Q394=TRUE(),$Q394="TRUE"),1,0))</f>
        <v/>
      </c>
      <c r="Y394">
        <f>IF($V394=1,IFERROR(VALUE(MID($A394,2,20)),1000000000)+ROW()/100000,"")</f>
        <v/>
      </c>
    </row>
    <row r="395">
      <c r="B395">
        <f>IF($A395="","",IFERROR(IF(INDEX('Per Invoice'!$A$2:$A$201,MATCH($A395,'Per Invoice'!$B$2:$B$201,0))=0,"",INDEX('Per Invoice'!$A$2:$A$201,MATCH($A395,'Per Invoice'!$B$2:$B$201,0))),""))</f>
        <v/>
      </c>
      <c r="G395" s="7">
        <f>IF($A395="","",F395*T395/100)</f>
        <v/>
      </c>
      <c r="J395" s="7" t="n"/>
      <c r="K395" s="7" t="n"/>
      <c r="L395" s="7" t="n"/>
      <c r="O395" s="11" t="n"/>
      <c r="R395">
        <f>IF($A395="","",IF($X395=1,Settings!$C$6,Settings!$C$7)*1)</f>
        <v/>
      </c>
      <c r="S395" s="7">
        <f>IF($A395="","",R395*L395)</f>
        <v/>
      </c>
      <c r="T395" s="7">
        <f>IF($A395="","",L395-S395)</f>
        <v/>
      </c>
      <c r="U395" s="7">
        <f>IF($A395="","",T395-G395)</f>
        <v/>
      </c>
      <c r="V395">
        <f>IF($A395="","",IF(COUNTIF($A$2:$A395,$A395)=1,1,0))</f>
        <v/>
      </c>
      <c r="W395">
        <f>IF($V395=1,SUMPRODUCT(--($Y$2:$Y$501&lt;$Y395))+1,"")</f>
        <v/>
      </c>
      <c r="X395">
        <f>IF($A395="","",IF(OR($Q395=TRUE(),$Q395="TRUE"),1,0))</f>
        <v/>
      </c>
      <c r="Y395">
        <f>IF($V395=1,IFERROR(VALUE(MID($A395,2,20)),1000000000)+ROW()/100000,"")</f>
        <v/>
      </c>
    </row>
    <row r="396">
      <c r="B396">
        <f>IF($A396="","",IFERROR(IF(INDEX('Per Invoice'!$A$2:$A$201,MATCH($A396,'Per Invoice'!$B$2:$B$201,0))=0,"",INDEX('Per Invoice'!$A$2:$A$201,MATCH($A396,'Per Invoice'!$B$2:$B$201,0))),""))</f>
        <v/>
      </c>
      <c r="G396" s="7">
        <f>IF($A396="","",F396*T396/100)</f>
        <v/>
      </c>
      <c r="J396" s="7" t="n"/>
      <c r="K396" s="7" t="n"/>
      <c r="L396" s="7" t="n"/>
      <c r="O396" s="11" t="n"/>
      <c r="R396">
        <f>IF($A396="","",IF($X396=1,Settings!$C$6,Settings!$C$7)*1)</f>
        <v/>
      </c>
      <c r="S396" s="7">
        <f>IF($A396="","",R396*L396)</f>
        <v/>
      </c>
      <c r="T396" s="7">
        <f>IF($A396="","",L396-S396)</f>
        <v/>
      </c>
      <c r="U396" s="7">
        <f>IF($A396="","",T396-G396)</f>
        <v/>
      </c>
      <c r="V396">
        <f>IF($A396="","",IF(COUNTIF($A$2:$A396,$A396)=1,1,0))</f>
        <v/>
      </c>
      <c r="W396">
        <f>IF($V396=1,SUMPRODUCT(--($Y$2:$Y$501&lt;$Y396))+1,"")</f>
        <v/>
      </c>
      <c r="X396">
        <f>IF($A396="","",IF(OR($Q396=TRUE(),$Q396="TRUE"),1,0))</f>
        <v/>
      </c>
      <c r="Y396">
        <f>IF($V396=1,IFERROR(VALUE(MID($A396,2,20)),1000000000)+ROW()/100000,"")</f>
        <v/>
      </c>
    </row>
    <row r="397">
      <c r="B397">
        <f>IF($A397="","",IFERROR(IF(INDEX('Per Invoice'!$A$2:$A$201,MATCH($A397,'Per Invoice'!$B$2:$B$201,0))=0,"",INDEX('Per Invoice'!$A$2:$A$201,MATCH($A397,'Per Invoice'!$B$2:$B$201,0))),""))</f>
        <v/>
      </c>
      <c r="G397" s="7">
        <f>IF($A397="","",F397*T397/100)</f>
        <v/>
      </c>
      <c r="J397" s="7" t="n"/>
      <c r="K397" s="7" t="n"/>
      <c r="L397" s="7" t="n"/>
      <c r="O397" s="11" t="n"/>
      <c r="R397">
        <f>IF($A397="","",IF($X397=1,Settings!$C$6,Settings!$C$7)*1)</f>
        <v/>
      </c>
      <c r="S397" s="7">
        <f>IF($A397="","",R397*L397)</f>
        <v/>
      </c>
      <c r="T397" s="7">
        <f>IF($A397="","",L397-S397)</f>
        <v/>
      </c>
      <c r="U397" s="7">
        <f>IF($A397="","",T397-G397)</f>
        <v/>
      </c>
      <c r="V397">
        <f>IF($A397="","",IF(COUNTIF($A$2:$A397,$A397)=1,1,0))</f>
        <v/>
      </c>
      <c r="W397">
        <f>IF($V397=1,SUMPRODUCT(--($Y$2:$Y$501&lt;$Y397))+1,"")</f>
        <v/>
      </c>
      <c r="X397">
        <f>IF($A397="","",IF(OR($Q397=TRUE(),$Q397="TRUE"),1,0))</f>
        <v/>
      </c>
      <c r="Y397">
        <f>IF($V397=1,IFERROR(VALUE(MID($A397,2,20)),1000000000)+ROW()/100000,"")</f>
        <v/>
      </c>
    </row>
    <row r="398">
      <c r="B398">
        <f>IF($A398="","",IFERROR(IF(INDEX('Per Invoice'!$A$2:$A$201,MATCH($A398,'Per Invoice'!$B$2:$B$201,0))=0,"",INDEX('Per Invoice'!$A$2:$A$201,MATCH($A398,'Per Invoice'!$B$2:$B$201,0))),""))</f>
        <v/>
      </c>
      <c r="G398" s="7">
        <f>IF($A398="","",F398*T398/100)</f>
        <v/>
      </c>
      <c r="J398" s="7" t="n"/>
      <c r="K398" s="7" t="n"/>
      <c r="L398" s="7" t="n"/>
      <c r="O398" s="11" t="n"/>
      <c r="R398">
        <f>IF($A398="","",IF($X398=1,Settings!$C$6,Settings!$C$7)*1)</f>
        <v/>
      </c>
      <c r="S398" s="7">
        <f>IF($A398="","",R398*L398)</f>
        <v/>
      </c>
      <c r="T398" s="7">
        <f>IF($A398="","",L398-S398)</f>
        <v/>
      </c>
      <c r="U398" s="7">
        <f>IF($A398="","",T398-G398)</f>
        <v/>
      </c>
      <c r="V398">
        <f>IF($A398="","",IF(COUNTIF($A$2:$A398,$A398)=1,1,0))</f>
        <v/>
      </c>
      <c r="W398">
        <f>IF($V398=1,SUMPRODUCT(--($Y$2:$Y$501&lt;$Y398))+1,"")</f>
        <v/>
      </c>
      <c r="X398">
        <f>IF($A398="","",IF(OR($Q398=TRUE(),$Q398="TRUE"),1,0))</f>
        <v/>
      </c>
      <c r="Y398">
        <f>IF($V398=1,IFERROR(VALUE(MID($A398,2,20)),1000000000)+ROW()/100000,"")</f>
        <v/>
      </c>
    </row>
    <row r="399">
      <c r="B399">
        <f>IF($A399="","",IFERROR(IF(INDEX('Per Invoice'!$A$2:$A$201,MATCH($A399,'Per Invoice'!$B$2:$B$201,0))=0,"",INDEX('Per Invoice'!$A$2:$A$201,MATCH($A399,'Per Invoice'!$B$2:$B$201,0))),""))</f>
        <v/>
      </c>
      <c r="G399" s="7">
        <f>IF($A399="","",F399*T399/100)</f>
        <v/>
      </c>
      <c r="J399" s="7" t="n"/>
      <c r="K399" s="7" t="n"/>
      <c r="L399" s="7" t="n"/>
      <c r="O399" s="11" t="n"/>
      <c r="R399">
        <f>IF($A399="","",IF($X399=1,Settings!$C$6,Settings!$C$7)*1)</f>
        <v/>
      </c>
      <c r="S399" s="7">
        <f>IF($A399="","",R399*L399)</f>
        <v/>
      </c>
      <c r="T399" s="7">
        <f>IF($A399="","",L399-S399)</f>
        <v/>
      </c>
      <c r="U399" s="7">
        <f>IF($A399="","",T399-G399)</f>
        <v/>
      </c>
      <c r="V399">
        <f>IF($A399="","",IF(COUNTIF($A$2:$A399,$A399)=1,1,0))</f>
        <v/>
      </c>
      <c r="W399">
        <f>IF($V399=1,SUMPRODUCT(--($Y$2:$Y$501&lt;$Y399))+1,"")</f>
        <v/>
      </c>
      <c r="X399">
        <f>IF($A399="","",IF(OR($Q399=TRUE(),$Q399="TRUE"),1,0))</f>
        <v/>
      </c>
      <c r="Y399">
        <f>IF($V399=1,IFERROR(VALUE(MID($A399,2,20)),1000000000)+ROW()/100000,"")</f>
        <v/>
      </c>
    </row>
    <row r="400">
      <c r="B400">
        <f>IF($A400="","",IFERROR(IF(INDEX('Per Invoice'!$A$2:$A$201,MATCH($A400,'Per Invoice'!$B$2:$B$201,0))=0,"",INDEX('Per Invoice'!$A$2:$A$201,MATCH($A400,'Per Invoice'!$B$2:$B$201,0))),""))</f>
        <v/>
      </c>
      <c r="G400" s="7">
        <f>IF($A400="","",F400*T400/100)</f>
        <v/>
      </c>
      <c r="J400" s="7" t="n"/>
      <c r="K400" s="7" t="n"/>
      <c r="L400" s="7" t="n"/>
      <c r="O400" s="11" t="n"/>
      <c r="R400">
        <f>IF($A400="","",IF($X400=1,Settings!$C$6,Settings!$C$7)*1)</f>
        <v/>
      </c>
      <c r="S400" s="7">
        <f>IF($A400="","",R400*L400)</f>
        <v/>
      </c>
      <c r="T400" s="7">
        <f>IF($A400="","",L400-S400)</f>
        <v/>
      </c>
      <c r="U400" s="7">
        <f>IF($A400="","",T400-G400)</f>
        <v/>
      </c>
      <c r="V400">
        <f>IF($A400="","",IF(COUNTIF($A$2:$A400,$A400)=1,1,0))</f>
        <v/>
      </c>
      <c r="W400">
        <f>IF($V400=1,SUMPRODUCT(--($Y$2:$Y$501&lt;$Y400))+1,"")</f>
        <v/>
      </c>
      <c r="X400">
        <f>IF($A400="","",IF(OR($Q400=TRUE(),$Q400="TRUE"),1,0))</f>
        <v/>
      </c>
      <c r="Y400">
        <f>IF($V400=1,IFERROR(VALUE(MID($A400,2,20)),1000000000)+ROW()/100000,"")</f>
        <v/>
      </c>
    </row>
    <row r="401">
      <c r="B401">
        <f>IF($A401="","",IFERROR(IF(INDEX('Per Invoice'!$A$2:$A$201,MATCH($A401,'Per Invoice'!$B$2:$B$201,0))=0,"",INDEX('Per Invoice'!$A$2:$A$201,MATCH($A401,'Per Invoice'!$B$2:$B$201,0))),""))</f>
        <v/>
      </c>
      <c r="G401" s="7">
        <f>IF($A401="","",F401*T401/100)</f>
        <v/>
      </c>
      <c r="J401" s="7" t="n"/>
      <c r="K401" s="7" t="n"/>
      <c r="L401" s="7" t="n"/>
      <c r="O401" s="11" t="n"/>
      <c r="R401">
        <f>IF($A401="","",IF($X401=1,Settings!$C$6,Settings!$C$7)*1)</f>
        <v/>
      </c>
      <c r="S401" s="7">
        <f>IF($A401="","",R401*L401)</f>
        <v/>
      </c>
      <c r="T401" s="7">
        <f>IF($A401="","",L401-S401)</f>
        <v/>
      </c>
      <c r="U401" s="7">
        <f>IF($A401="","",T401-G401)</f>
        <v/>
      </c>
      <c r="V401">
        <f>IF($A401="","",IF(COUNTIF($A$2:$A401,$A401)=1,1,0))</f>
        <v/>
      </c>
      <c r="W401">
        <f>IF($V401=1,SUMPRODUCT(--($Y$2:$Y$501&lt;$Y401))+1,"")</f>
        <v/>
      </c>
      <c r="X401">
        <f>IF($A401="","",IF(OR($Q401=TRUE(),$Q401="TRUE"),1,0))</f>
        <v/>
      </c>
      <c r="Y401">
        <f>IF($V401=1,IFERROR(VALUE(MID($A401,2,20)),1000000000)+ROW()/100000,"")</f>
        <v/>
      </c>
    </row>
    <row r="402">
      <c r="B402">
        <f>IF($A402="","",IFERROR(IF(INDEX('Per Invoice'!$A$2:$A$201,MATCH($A402,'Per Invoice'!$B$2:$B$201,0))=0,"",INDEX('Per Invoice'!$A$2:$A$201,MATCH($A402,'Per Invoice'!$B$2:$B$201,0))),""))</f>
        <v/>
      </c>
      <c r="G402" s="7">
        <f>IF($A402="","",F402*T402/100)</f>
        <v/>
      </c>
      <c r="J402" s="7" t="n"/>
      <c r="K402" s="7" t="n"/>
      <c r="L402" s="7" t="n"/>
      <c r="O402" s="11" t="n"/>
      <c r="R402">
        <f>IF($A402="","",IF($X402=1,Settings!$C$6,Settings!$C$7)*1)</f>
        <v/>
      </c>
      <c r="S402" s="7">
        <f>IF($A402="","",R402*L402)</f>
        <v/>
      </c>
      <c r="T402" s="7">
        <f>IF($A402="","",L402-S402)</f>
        <v/>
      </c>
      <c r="U402" s="7">
        <f>IF($A402="","",T402-G402)</f>
        <v/>
      </c>
      <c r="V402">
        <f>IF($A402="","",IF(COUNTIF($A$2:$A402,$A402)=1,1,0))</f>
        <v/>
      </c>
      <c r="W402">
        <f>IF($V402=1,SUMPRODUCT(--($Y$2:$Y$501&lt;$Y402))+1,"")</f>
        <v/>
      </c>
      <c r="X402">
        <f>IF($A402="","",IF(OR($Q402=TRUE(),$Q402="TRUE"),1,0))</f>
        <v/>
      </c>
      <c r="Y402">
        <f>IF($V402=1,IFERROR(VALUE(MID($A402,2,20)),1000000000)+ROW()/100000,"")</f>
        <v/>
      </c>
    </row>
    <row r="403">
      <c r="B403">
        <f>IF($A403="","",IFERROR(IF(INDEX('Per Invoice'!$A$2:$A$201,MATCH($A403,'Per Invoice'!$B$2:$B$201,0))=0,"",INDEX('Per Invoice'!$A$2:$A$201,MATCH($A403,'Per Invoice'!$B$2:$B$201,0))),""))</f>
        <v/>
      </c>
      <c r="G403" s="7">
        <f>IF($A403="","",F403*T403/100)</f>
        <v/>
      </c>
      <c r="J403" s="7" t="n"/>
      <c r="K403" s="7" t="n"/>
      <c r="L403" s="7" t="n"/>
      <c r="O403" s="11" t="n"/>
      <c r="R403">
        <f>IF($A403="","",IF($X403=1,Settings!$C$6,Settings!$C$7)*1)</f>
        <v/>
      </c>
      <c r="S403" s="7">
        <f>IF($A403="","",R403*L403)</f>
        <v/>
      </c>
      <c r="T403" s="7">
        <f>IF($A403="","",L403-S403)</f>
        <v/>
      </c>
      <c r="U403" s="7">
        <f>IF($A403="","",T403-G403)</f>
        <v/>
      </c>
      <c r="V403">
        <f>IF($A403="","",IF(COUNTIF($A$2:$A403,$A403)=1,1,0))</f>
        <v/>
      </c>
      <c r="W403">
        <f>IF($V403=1,SUMPRODUCT(--($Y$2:$Y$501&lt;$Y403))+1,"")</f>
        <v/>
      </c>
      <c r="X403">
        <f>IF($A403="","",IF(OR($Q403=TRUE(),$Q403="TRUE"),1,0))</f>
        <v/>
      </c>
      <c r="Y403">
        <f>IF($V403=1,IFERROR(VALUE(MID($A403,2,20)),1000000000)+ROW()/100000,"")</f>
        <v/>
      </c>
    </row>
    <row r="404">
      <c r="B404">
        <f>IF($A404="","",IFERROR(IF(INDEX('Per Invoice'!$A$2:$A$201,MATCH($A404,'Per Invoice'!$B$2:$B$201,0))=0,"",INDEX('Per Invoice'!$A$2:$A$201,MATCH($A404,'Per Invoice'!$B$2:$B$201,0))),""))</f>
        <v/>
      </c>
      <c r="G404" s="7">
        <f>IF($A404="","",F404*T404/100)</f>
        <v/>
      </c>
      <c r="J404" s="7" t="n"/>
      <c r="K404" s="7" t="n"/>
      <c r="L404" s="7" t="n"/>
      <c r="O404" s="11" t="n"/>
      <c r="R404">
        <f>IF($A404="","",IF($X404=1,Settings!$C$6,Settings!$C$7)*1)</f>
        <v/>
      </c>
      <c r="S404" s="7">
        <f>IF($A404="","",R404*L404)</f>
        <v/>
      </c>
      <c r="T404" s="7">
        <f>IF($A404="","",L404-S404)</f>
        <v/>
      </c>
      <c r="U404" s="7">
        <f>IF($A404="","",T404-G404)</f>
        <v/>
      </c>
      <c r="V404">
        <f>IF($A404="","",IF(COUNTIF($A$2:$A404,$A404)=1,1,0))</f>
        <v/>
      </c>
      <c r="W404">
        <f>IF($V404=1,SUMPRODUCT(--($Y$2:$Y$501&lt;$Y404))+1,"")</f>
        <v/>
      </c>
      <c r="X404">
        <f>IF($A404="","",IF(OR($Q404=TRUE(),$Q404="TRUE"),1,0))</f>
        <v/>
      </c>
      <c r="Y404">
        <f>IF($V404=1,IFERROR(VALUE(MID($A404,2,20)),1000000000)+ROW()/100000,"")</f>
        <v/>
      </c>
    </row>
    <row r="405">
      <c r="B405">
        <f>IF($A405="","",IFERROR(IF(INDEX('Per Invoice'!$A$2:$A$201,MATCH($A405,'Per Invoice'!$B$2:$B$201,0))=0,"",INDEX('Per Invoice'!$A$2:$A$201,MATCH($A405,'Per Invoice'!$B$2:$B$201,0))),""))</f>
        <v/>
      </c>
      <c r="G405" s="7">
        <f>IF($A405="","",F405*T405/100)</f>
        <v/>
      </c>
      <c r="J405" s="7" t="n"/>
      <c r="K405" s="7" t="n"/>
      <c r="L405" s="7" t="n"/>
      <c r="O405" s="11" t="n"/>
      <c r="R405">
        <f>IF($A405="","",IF($X405=1,Settings!$C$6,Settings!$C$7)*1)</f>
        <v/>
      </c>
      <c r="S405" s="7">
        <f>IF($A405="","",R405*L405)</f>
        <v/>
      </c>
      <c r="T405" s="7">
        <f>IF($A405="","",L405-S405)</f>
        <v/>
      </c>
      <c r="U405" s="7">
        <f>IF($A405="","",T405-G405)</f>
        <v/>
      </c>
      <c r="V405">
        <f>IF($A405="","",IF(COUNTIF($A$2:$A405,$A405)=1,1,0))</f>
        <v/>
      </c>
      <c r="W405">
        <f>IF($V405=1,SUMPRODUCT(--($Y$2:$Y$501&lt;$Y405))+1,"")</f>
        <v/>
      </c>
      <c r="X405">
        <f>IF($A405="","",IF(OR($Q405=TRUE(),$Q405="TRUE"),1,0))</f>
        <v/>
      </c>
      <c r="Y405">
        <f>IF($V405=1,IFERROR(VALUE(MID($A405,2,20)),1000000000)+ROW()/100000,"")</f>
        <v/>
      </c>
    </row>
    <row r="406">
      <c r="B406">
        <f>IF($A406="","",IFERROR(IF(INDEX('Per Invoice'!$A$2:$A$201,MATCH($A406,'Per Invoice'!$B$2:$B$201,0))=0,"",INDEX('Per Invoice'!$A$2:$A$201,MATCH($A406,'Per Invoice'!$B$2:$B$201,0))),""))</f>
        <v/>
      </c>
      <c r="G406" s="7">
        <f>IF($A406="","",F406*T406/100)</f>
        <v/>
      </c>
      <c r="J406" s="7" t="n"/>
      <c r="K406" s="7" t="n"/>
      <c r="L406" s="7" t="n"/>
      <c r="O406" s="11" t="n"/>
      <c r="R406">
        <f>IF($A406="","",IF($X406=1,Settings!$C$6,Settings!$C$7)*1)</f>
        <v/>
      </c>
      <c r="S406" s="7">
        <f>IF($A406="","",R406*L406)</f>
        <v/>
      </c>
      <c r="T406" s="7">
        <f>IF($A406="","",L406-S406)</f>
        <v/>
      </c>
      <c r="U406" s="7">
        <f>IF($A406="","",T406-G406)</f>
        <v/>
      </c>
      <c r="V406">
        <f>IF($A406="","",IF(COUNTIF($A$2:$A406,$A406)=1,1,0))</f>
        <v/>
      </c>
      <c r="W406">
        <f>IF($V406=1,SUMPRODUCT(--($Y$2:$Y$501&lt;$Y406))+1,"")</f>
        <v/>
      </c>
      <c r="X406">
        <f>IF($A406="","",IF(OR($Q406=TRUE(),$Q406="TRUE"),1,0))</f>
        <v/>
      </c>
      <c r="Y406">
        <f>IF($V406=1,IFERROR(VALUE(MID($A406,2,20)),1000000000)+ROW()/100000,"")</f>
        <v/>
      </c>
    </row>
    <row r="407">
      <c r="B407">
        <f>IF($A407="","",IFERROR(IF(INDEX('Per Invoice'!$A$2:$A$201,MATCH($A407,'Per Invoice'!$B$2:$B$201,0))=0,"",INDEX('Per Invoice'!$A$2:$A$201,MATCH($A407,'Per Invoice'!$B$2:$B$201,0))),""))</f>
        <v/>
      </c>
      <c r="G407" s="7">
        <f>IF($A407="","",F407*T407/100)</f>
        <v/>
      </c>
      <c r="J407" s="7" t="n"/>
      <c r="K407" s="7" t="n"/>
      <c r="L407" s="7" t="n"/>
      <c r="O407" s="11" t="n"/>
      <c r="R407">
        <f>IF($A407="","",IF($X407=1,Settings!$C$6,Settings!$C$7)*1)</f>
        <v/>
      </c>
      <c r="S407" s="7">
        <f>IF($A407="","",R407*L407)</f>
        <v/>
      </c>
      <c r="T407" s="7">
        <f>IF($A407="","",L407-S407)</f>
        <v/>
      </c>
      <c r="U407" s="7">
        <f>IF($A407="","",T407-G407)</f>
        <v/>
      </c>
      <c r="V407">
        <f>IF($A407="","",IF(COUNTIF($A$2:$A407,$A407)=1,1,0))</f>
        <v/>
      </c>
      <c r="W407">
        <f>IF($V407=1,SUMPRODUCT(--($Y$2:$Y$501&lt;$Y407))+1,"")</f>
        <v/>
      </c>
      <c r="X407">
        <f>IF($A407="","",IF(OR($Q407=TRUE(),$Q407="TRUE"),1,0))</f>
        <v/>
      </c>
      <c r="Y407">
        <f>IF($V407=1,IFERROR(VALUE(MID($A407,2,20)),1000000000)+ROW()/100000,"")</f>
        <v/>
      </c>
    </row>
    <row r="408">
      <c r="B408">
        <f>IF($A408="","",IFERROR(IF(INDEX('Per Invoice'!$A$2:$A$201,MATCH($A408,'Per Invoice'!$B$2:$B$201,0))=0,"",INDEX('Per Invoice'!$A$2:$A$201,MATCH($A408,'Per Invoice'!$B$2:$B$201,0))),""))</f>
        <v/>
      </c>
      <c r="G408" s="7">
        <f>IF($A408="","",F408*T408/100)</f>
        <v/>
      </c>
      <c r="J408" s="7" t="n"/>
      <c r="K408" s="7" t="n"/>
      <c r="L408" s="7" t="n"/>
      <c r="O408" s="11" t="n"/>
      <c r="R408">
        <f>IF($A408="","",IF($X408=1,Settings!$C$6,Settings!$C$7)*1)</f>
        <v/>
      </c>
      <c r="S408" s="7">
        <f>IF($A408="","",R408*L408)</f>
        <v/>
      </c>
      <c r="T408" s="7">
        <f>IF($A408="","",L408-S408)</f>
        <v/>
      </c>
      <c r="U408" s="7">
        <f>IF($A408="","",T408-G408)</f>
        <v/>
      </c>
      <c r="V408">
        <f>IF($A408="","",IF(COUNTIF($A$2:$A408,$A408)=1,1,0))</f>
        <v/>
      </c>
      <c r="W408">
        <f>IF($V408=1,SUMPRODUCT(--($Y$2:$Y$501&lt;$Y408))+1,"")</f>
        <v/>
      </c>
      <c r="X408">
        <f>IF($A408="","",IF(OR($Q408=TRUE(),$Q408="TRUE"),1,0))</f>
        <v/>
      </c>
      <c r="Y408">
        <f>IF($V408=1,IFERROR(VALUE(MID($A408,2,20)),1000000000)+ROW()/100000,"")</f>
        <v/>
      </c>
    </row>
    <row r="409">
      <c r="B409">
        <f>IF($A409="","",IFERROR(IF(INDEX('Per Invoice'!$A$2:$A$201,MATCH($A409,'Per Invoice'!$B$2:$B$201,0))=0,"",INDEX('Per Invoice'!$A$2:$A$201,MATCH($A409,'Per Invoice'!$B$2:$B$201,0))),""))</f>
        <v/>
      </c>
      <c r="G409" s="7">
        <f>IF($A409="","",F409*T409/100)</f>
        <v/>
      </c>
      <c r="J409" s="7" t="n"/>
      <c r="K409" s="7" t="n"/>
      <c r="L409" s="7" t="n"/>
      <c r="O409" s="11" t="n"/>
      <c r="R409">
        <f>IF($A409="","",IF($X409=1,Settings!$C$6,Settings!$C$7)*1)</f>
        <v/>
      </c>
      <c r="S409" s="7">
        <f>IF($A409="","",R409*L409)</f>
        <v/>
      </c>
      <c r="T409" s="7">
        <f>IF($A409="","",L409-S409)</f>
        <v/>
      </c>
      <c r="U409" s="7">
        <f>IF($A409="","",T409-G409)</f>
        <v/>
      </c>
      <c r="V409">
        <f>IF($A409="","",IF(COUNTIF($A$2:$A409,$A409)=1,1,0))</f>
        <v/>
      </c>
      <c r="W409">
        <f>IF($V409=1,SUMPRODUCT(--($Y$2:$Y$501&lt;$Y409))+1,"")</f>
        <v/>
      </c>
      <c r="X409">
        <f>IF($A409="","",IF(OR($Q409=TRUE(),$Q409="TRUE"),1,0))</f>
        <v/>
      </c>
      <c r="Y409">
        <f>IF($V409=1,IFERROR(VALUE(MID($A409,2,20)),1000000000)+ROW()/100000,"")</f>
        <v/>
      </c>
    </row>
    <row r="410">
      <c r="B410">
        <f>IF($A410="","",IFERROR(IF(INDEX('Per Invoice'!$A$2:$A$201,MATCH($A410,'Per Invoice'!$B$2:$B$201,0))=0,"",INDEX('Per Invoice'!$A$2:$A$201,MATCH($A410,'Per Invoice'!$B$2:$B$201,0))),""))</f>
        <v/>
      </c>
      <c r="G410" s="7">
        <f>IF($A410="","",F410*T410/100)</f>
        <v/>
      </c>
      <c r="J410" s="7" t="n"/>
      <c r="K410" s="7" t="n"/>
      <c r="L410" s="7" t="n"/>
      <c r="O410" s="11" t="n"/>
      <c r="R410">
        <f>IF($A410="","",IF($X410=1,Settings!$C$6,Settings!$C$7)*1)</f>
        <v/>
      </c>
      <c r="S410" s="7">
        <f>IF($A410="","",R410*L410)</f>
        <v/>
      </c>
      <c r="T410" s="7">
        <f>IF($A410="","",L410-S410)</f>
        <v/>
      </c>
      <c r="U410" s="7">
        <f>IF($A410="","",T410-G410)</f>
        <v/>
      </c>
      <c r="V410">
        <f>IF($A410="","",IF(COUNTIF($A$2:$A410,$A410)=1,1,0))</f>
        <v/>
      </c>
      <c r="W410">
        <f>IF($V410=1,SUMPRODUCT(--($Y$2:$Y$501&lt;$Y410))+1,"")</f>
        <v/>
      </c>
      <c r="X410">
        <f>IF($A410="","",IF(OR($Q410=TRUE(),$Q410="TRUE"),1,0))</f>
        <v/>
      </c>
      <c r="Y410">
        <f>IF($V410=1,IFERROR(VALUE(MID($A410,2,20)),1000000000)+ROW()/100000,"")</f>
        <v/>
      </c>
    </row>
    <row r="411">
      <c r="B411">
        <f>IF($A411="","",IFERROR(IF(INDEX('Per Invoice'!$A$2:$A$201,MATCH($A411,'Per Invoice'!$B$2:$B$201,0))=0,"",INDEX('Per Invoice'!$A$2:$A$201,MATCH($A411,'Per Invoice'!$B$2:$B$201,0))),""))</f>
        <v/>
      </c>
      <c r="G411" s="7">
        <f>IF($A411="","",F411*T411/100)</f>
        <v/>
      </c>
      <c r="J411" s="7" t="n"/>
      <c r="K411" s="7" t="n"/>
      <c r="L411" s="7" t="n"/>
      <c r="O411" s="11" t="n"/>
      <c r="R411">
        <f>IF($A411="","",IF($X411=1,Settings!$C$6,Settings!$C$7)*1)</f>
        <v/>
      </c>
      <c r="S411" s="7">
        <f>IF($A411="","",R411*L411)</f>
        <v/>
      </c>
      <c r="T411" s="7">
        <f>IF($A411="","",L411-S411)</f>
        <v/>
      </c>
      <c r="U411" s="7">
        <f>IF($A411="","",T411-G411)</f>
        <v/>
      </c>
      <c r="V411">
        <f>IF($A411="","",IF(COUNTIF($A$2:$A411,$A411)=1,1,0))</f>
        <v/>
      </c>
      <c r="W411">
        <f>IF($V411=1,SUMPRODUCT(--($Y$2:$Y$501&lt;$Y411))+1,"")</f>
        <v/>
      </c>
      <c r="X411">
        <f>IF($A411="","",IF(OR($Q411=TRUE(),$Q411="TRUE"),1,0))</f>
        <v/>
      </c>
      <c r="Y411">
        <f>IF($V411=1,IFERROR(VALUE(MID($A411,2,20)),1000000000)+ROW()/100000,"")</f>
        <v/>
      </c>
    </row>
    <row r="412">
      <c r="B412">
        <f>IF($A412="","",IFERROR(IF(INDEX('Per Invoice'!$A$2:$A$201,MATCH($A412,'Per Invoice'!$B$2:$B$201,0))=0,"",INDEX('Per Invoice'!$A$2:$A$201,MATCH($A412,'Per Invoice'!$B$2:$B$201,0))),""))</f>
        <v/>
      </c>
      <c r="G412" s="7">
        <f>IF($A412="","",F412*T412/100)</f>
        <v/>
      </c>
      <c r="J412" s="7" t="n"/>
      <c r="K412" s="7" t="n"/>
      <c r="L412" s="7" t="n"/>
      <c r="O412" s="11" t="n"/>
      <c r="R412">
        <f>IF($A412="","",IF($X412=1,Settings!$C$6,Settings!$C$7)*1)</f>
        <v/>
      </c>
      <c r="S412" s="7">
        <f>IF($A412="","",R412*L412)</f>
        <v/>
      </c>
      <c r="T412" s="7">
        <f>IF($A412="","",L412-S412)</f>
        <v/>
      </c>
      <c r="U412" s="7">
        <f>IF($A412="","",T412-G412)</f>
        <v/>
      </c>
      <c r="V412">
        <f>IF($A412="","",IF(COUNTIF($A$2:$A412,$A412)=1,1,0))</f>
        <v/>
      </c>
      <c r="W412">
        <f>IF($V412=1,SUMPRODUCT(--($Y$2:$Y$501&lt;$Y412))+1,"")</f>
        <v/>
      </c>
      <c r="X412">
        <f>IF($A412="","",IF(OR($Q412=TRUE(),$Q412="TRUE"),1,0))</f>
        <v/>
      </c>
      <c r="Y412">
        <f>IF($V412=1,IFERROR(VALUE(MID($A412,2,20)),1000000000)+ROW()/100000,"")</f>
        <v/>
      </c>
    </row>
    <row r="413">
      <c r="B413">
        <f>IF($A413="","",IFERROR(IF(INDEX('Per Invoice'!$A$2:$A$201,MATCH($A413,'Per Invoice'!$B$2:$B$201,0))=0,"",INDEX('Per Invoice'!$A$2:$A$201,MATCH($A413,'Per Invoice'!$B$2:$B$201,0))),""))</f>
        <v/>
      </c>
      <c r="G413" s="7">
        <f>IF($A413="","",F413*T413/100)</f>
        <v/>
      </c>
      <c r="J413" s="7" t="n"/>
      <c r="K413" s="7" t="n"/>
      <c r="L413" s="7" t="n"/>
      <c r="O413" s="11" t="n"/>
      <c r="R413">
        <f>IF($A413="","",IF($X413=1,Settings!$C$6,Settings!$C$7)*1)</f>
        <v/>
      </c>
      <c r="S413" s="7">
        <f>IF($A413="","",R413*L413)</f>
        <v/>
      </c>
      <c r="T413" s="7">
        <f>IF($A413="","",L413-S413)</f>
        <v/>
      </c>
      <c r="U413" s="7">
        <f>IF($A413="","",T413-G413)</f>
        <v/>
      </c>
      <c r="V413">
        <f>IF($A413="","",IF(COUNTIF($A$2:$A413,$A413)=1,1,0))</f>
        <v/>
      </c>
      <c r="W413">
        <f>IF($V413=1,SUMPRODUCT(--($Y$2:$Y$501&lt;$Y413))+1,"")</f>
        <v/>
      </c>
      <c r="X413">
        <f>IF($A413="","",IF(OR($Q413=TRUE(),$Q413="TRUE"),1,0))</f>
        <v/>
      </c>
      <c r="Y413">
        <f>IF($V413=1,IFERROR(VALUE(MID($A413,2,20)),1000000000)+ROW()/100000,"")</f>
        <v/>
      </c>
    </row>
    <row r="414">
      <c r="B414">
        <f>IF($A414="","",IFERROR(IF(INDEX('Per Invoice'!$A$2:$A$201,MATCH($A414,'Per Invoice'!$B$2:$B$201,0))=0,"",INDEX('Per Invoice'!$A$2:$A$201,MATCH($A414,'Per Invoice'!$B$2:$B$201,0))),""))</f>
        <v/>
      </c>
      <c r="G414" s="7">
        <f>IF($A414="","",F414*T414/100)</f>
        <v/>
      </c>
      <c r="J414" s="7" t="n"/>
      <c r="K414" s="7" t="n"/>
      <c r="L414" s="7" t="n"/>
      <c r="O414" s="11" t="n"/>
      <c r="R414">
        <f>IF($A414="","",IF($X414=1,Settings!$C$6,Settings!$C$7)*1)</f>
        <v/>
      </c>
      <c r="S414" s="7">
        <f>IF($A414="","",R414*L414)</f>
        <v/>
      </c>
      <c r="T414" s="7">
        <f>IF($A414="","",L414-S414)</f>
        <v/>
      </c>
      <c r="U414" s="7">
        <f>IF($A414="","",T414-G414)</f>
        <v/>
      </c>
      <c r="V414">
        <f>IF($A414="","",IF(COUNTIF($A$2:$A414,$A414)=1,1,0))</f>
        <v/>
      </c>
      <c r="W414">
        <f>IF($V414=1,SUMPRODUCT(--($Y$2:$Y$501&lt;$Y414))+1,"")</f>
        <v/>
      </c>
      <c r="X414">
        <f>IF($A414="","",IF(OR($Q414=TRUE(),$Q414="TRUE"),1,0))</f>
        <v/>
      </c>
      <c r="Y414">
        <f>IF($V414=1,IFERROR(VALUE(MID($A414,2,20)),1000000000)+ROW()/100000,"")</f>
        <v/>
      </c>
    </row>
    <row r="415">
      <c r="B415">
        <f>IF($A415="","",IFERROR(IF(INDEX('Per Invoice'!$A$2:$A$201,MATCH($A415,'Per Invoice'!$B$2:$B$201,0))=0,"",INDEX('Per Invoice'!$A$2:$A$201,MATCH($A415,'Per Invoice'!$B$2:$B$201,0))),""))</f>
        <v/>
      </c>
      <c r="G415" s="7">
        <f>IF($A415="","",F415*T415/100)</f>
        <v/>
      </c>
      <c r="J415" s="7" t="n"/>
      <c r="K415" s="7" t="n"/>
      <c r="L415" s="7" t="n"/>
      <c r="O415" s="11" t="n"/>
      <c r="R415">
        <f>IF($A415="","",IF($X415=1,Settings!$C$6,Settings!$C$7)*1)</f>
        <v/>
      </c>
      <c r="S415" s="7">
        <f>IF($A415="","",R415*L415)</f>
        <v/>
      </c>
      <c r="T415" s="7">
        <f>IF($A415="","",L415-S415)</f>
        <v/>
      </c>
      <c r="U415" s="7">
        <f>IF($A415="","",T415-G415)</f>
        <v/>
      </c>
      <c r="V415">
        <f>IF($A415="","",IF(COUNTIF($A$2:$A415,$A415)=1,1,0))</f>
        <v/>
      </c>
      <c r="W415">
        <f>IF($V415=1,SUMPRODUCT(--($Y$2:$Y$501&lt;$Y415))+1,"")</f>
        <v/>
      </c>
      <c r="X415">
        <f>IF($A415="","",IF(OR($Q415=TRUE(),$Q415="TRUE"),1,0))</f>
        <v/>
      </c>
      <c r="Y415">
        <f>IF($V415=1,IFERROR(VALUE(MID($A415,2,20)),1000000000)+ROW()/100000,"")</f>
        <v/>
      </c>
    </row>
    <row r="416">
      <c r="B416">
        <f>IF($A416="","",IFERROR(IF(INDEX('Per Invoice'!$A$2:$A$201,MATCH($A416,'Per Invoice'!$B$2:$B$201,0))=0,"",INDEX('Per Invoice'!$A$2:$A$201,MATCH($A416,'Per Invoice'!$B$2:$B$201,0))),""))</f>
        <v/>
      </c>
      <c r="G416" s="7">
        <f>IF($A416="","",F416*T416/100)</f>
        <v/>
      </c>
      <c r="J416" s="7" t="n"/>
      <c r="K416" s="7" t="n"/>
      <c r="L416" s="7" t="n"/>
      <c r="O416" s="11" t="n"/>
      <c r="R416">
        <f>IF($A416="","",IF($X416=1,Settings!$C$6,Settings!$C$7)*1)</f>
        <v/>
      </c>
      <c r="S416" s="7">
        <f>IF($A416="","",R416*L416)</f>
        <v/>
      </c>
      <c r="T416" s="7">
        <f>IF($A416="","",L416-S416)</f>
        <v/>
      </c>
      <c r="U416" s="7">
        <f>IF($A416="","",T416-G416)</f>
        <v/>
      </c>
      <c r="V416">
        <f>IF($A416="","",IF(COUNTIF($A$2:$A416,$A416)=1,1,0))</f>
        <v/>
      </c>
      <c r="W416">
        <f>IF($V416=1,SUMPRODUCT(--($Y$2:$Y$501&lt;$Y416))+1,"")</f>
        <v/>
      </c>
      <c r="X416">
        <f>IF($A416="","",IF(OR($Q416=TRUE(),$Q416="TRUE"),1,0))</f>
        <v/>
      </c>
      <c r="Y416">
        <f>IF($V416=1,IFERROR(VALUE(MID($A416,2,20)),1000000000)+ROW()/100000,"")</f>
        <v/>
      </c>
    </row>
    <row r="417">
      <c r="B417">
        <f>IF($A417="","",IFERROR(IF(INDEX('Per Invoice'!$A$2:$A$201,MATCH($A417,'Per Invoice'!$B$2:$B$201,0))=0,"",INDEX('Per Invoice'!$A$2:$A$201,MATCH($A417,'Per Invoice'!$B$2:$B$201,0))),""))</f>
        <v/>
      </c>
      <c r="G417" s="7">
        <f>IF($A417="","",F417*T417/100)</f>
        <v/>
      </c>
      <c r="J417" s="7" t="n"/>
      <c r="K417" s="7" t="n"/>
      <c r="L417" s="7" t="n"/>
      <c r="O417" s="11" t="n"/>
      <c r="R417">
        <f>IF($A417="","",IF($X417=1,Settings!$C$6,Settings!$C$7)*1)</f>
        <v/>
      </c>
      <c r="S417" s="7">
        <f>IF($A417="","",R417*L417)</f>
        <v/>
      </c>
      <c r="T417" s="7">
        <f>IF($A417="","",L417-S417)</f>
        <v/>
      </c>
      <c r="U417" s="7">
        <f>IF($A417="","",T417-G417)</f>
        <v/>
      </c>
      <c r="V417">
        <f>IF($A417="","",IF(COUNTIF($A$2:$A417,$A417)=1,1,0))</f>
        <v/>
      </c>
      <c r="W417">
        <f>IF($V417=1,SUMPRODUCT(--($Y$2:$Y$501&lt;$Y417))+1,"")</f>
        <v/>
      </c>
      <c r="X417">
        <f>IF($A417="","",IF(OR($Q417=TRUE(),$Q417="TRUE"),1,0))</f>
        <v/>
      </c>
      <c r="Y417">
        <f>IF($V417=1,IFERROR(VALUE(MID($A417,2,20)),1000000000)+ROW()/100000,"")</f>
        <v/>
      </c>
    </row>
    <row r="418">
      <c r="B418">
        <f>IF($A418="","",IFERROR(IF(INDEX('Per Invoice'!$A$2:$A$201,MATCH($A418,'Per Invoice'!$B$2:$B$201,0))=0,"",INDEX('Per Invoice'!$A$2:$A$201,MATCH($A418,'Per Invoice'!$B$2:$B$201,0))),""))</f>
        <v/>
      </c>
      <c r="G418" s="7">
        <f>IF($A418="","",F418*T418/100)</f>
        <v/>
      </c>
      <c r="J418" s="7" t="n"/>
      <c r="K418" s="7" t="n"/>
      <c r="L418" s="7" t="n"/>
      <c r="O418" s="11" t="n"/>
      <c r="R418">
        <f>IF($A418="","",IF($X418=1,Settings!$C$6,Settings!$C$7)*1)</f>
        <v/>
      </c>
      <c r="S418" s="7">
        <f>IF($A418="","",R418*L418)</f>
        <v/>
      </c>
      <c r="T418" s="7">
        <f>IF($A418="","",L418-S418)</f>
        <v/>
      </c>
      <c r="U418" s="7">
        <f>IF($A418="","",T418-G418)</f>
        <v/>
      </c>
      <c r="V418">
        <f>IF($A418="","",IF(COUNTIF($A$2:$A418,$A418)=1,1,0))</f>
        <v/>
      </c>
      <c r="W418">
        <f>IF($V418=1,SUMPRODUCT(--($Y$2:$Y$501&lt;$Y418))+1,"")</f>
        <v/>
      </c>
      <c r="X418">
        <f>IF($A418="","",IF(OR($Q418=TRUE(),$Q418="TRUE"),1,0))</f>
        <v/>
      </c>
      <c r="Y418">
        <f>IF($V418=1,IFERROR(VALUE(MID($A418,2,20)),1000000000)+ROW()/100000,"")</f>
        <v/>
      </c>
    </row>
    <row r="419">
      <c r="B419">
        <f>IF($A419="","",IFERROR(IF(INDEX('Per Invoice'!$A$2:$A$201,MATCH($A419,'Per Invoice'!$B$2:$B$201,0))=0,"",INDEX('Per Invoice'!$A$2:$A$201,MATCH($A419,'Per Invoice'!$B$2:$B$201,0))),""))</f>
        <v/>
      </c>
      <c r="G419" s="7">
        <f>IF($A419="","",F419*T419/100)</f>
        <v/>
      </c>
      <c r="J419" s="7" t="n"/>
      <c r="K419" s="7" t="n"/>
      <c r="L419" s="7" t="n"/>
      <c r="O419" s="11" t="n"/>
      <c r="R419">
        <f>IF($A419="","",IF($X419=1,Settings!$C$6,Settings!$C$7)*1)</f>
        <v/>
      </c>
      <c r="S419" s="7">
        <f>IF($A419="","",R419*L419)</f>
        <v/>
      </c>
      <c r="T419" s="7">
        <f>IF($A419="","",L419-S419)</f>
        <v/>
      </c>
      <c r="U419" s="7">
        <f>IF($A419="","",T419-G419)</f>
        <v/>
      </c>
      <c r="V419">
        <f>IF($A419="","",IF(COUNTIF($A$2:$A419,$A419)=1,1,0))</f>
        <v/>
      </c>
      <c r="W419">
        <f>IF($V419=1,SUMPRODUCT(--($Y$2:$Y$501&lt;$Y419))+1,"")</f>
        <v/>
      </c>
      <c r="X419">
        <f>IF($A419="","",IF(OR($Q419=TRUE(),$Q419="TRUE"),1,0))</f>
        <v/>
      </c>
      <c r="Y419">
        <f>IF($V419=1,IFERROR(VALUE(MID($A419,2,20)),1000000000)+ROW()/100000,"")</f>
        <v/>
      </c>
    </row>
    <row r="420">
      <c r="B420">
        <f>IF($A420="","",IFERROR(IF(INDEX('Per Invoice'!$A$2:$A$201,MATCH($A420,'Per Invoice'!$B$2:$B$201,0))=0,"",INDEX('Per Invoice'!$A$2:$A$201,MATCH($A420,'Per Invoice'!$B$2:$B$201,0))),""))</f>
        <v/>
      </c>
      <c r="G420" s="7">
        <f>IF($A420="","",F420*T420/100)</f>
        <v/>
      </c>
      <c r="J420" s="7" t="n"/>
      <c r="K420" s="7" t="n"/>
      <c r="L420" s="7" t="n"/>
      <c r="O420" s="11" t="n"/>
      <c r="R420">
        <f>IF($A420="","",IF($X420=1,Settings!$C$6,Settings!$C$7)*1)</f>
        <v/>
      </c>
      <c r="S420" s="7">
        <f>IF($A420="","",R420*L420)</f>
        <v/>
      </c>
      <c r="T420" s="7">
        <f>IF($A420="","",L420-S420)</f>
        <v/>
      </c>
      <c r="U420" s="7">
        <f>IF($A420="","",T420-G420)</f>
        <v/>
      </c>
      <c r="V420">
        <f>IF($A420="","",IF(COUNTIF($A$2:$A420,$A420)=1,1,0))</f>
        <v/>
      </c>
      <c r="W420">
        <f>IF($V420=1,SUMPRODUCT(--($Y$2:$Y$501&lt;$Y420))+1,"")</f>
        <v/>
      </c>
      <c r="X420">
        <f>IF($A420="","",IF(OR($Q420=TRUE(),$Q420="TRUE"),1,0))</f>
        <v/>
      </c>
      <c r="Y420">
        <f>IF($V420=1,IFERROR(VALUE(MID($A420,2,20)),1000000000)+ROW()/100000,"")</f>
        <v/>
      </c>
    </row>
    <row r="421">
      <c r="B421">
        <f>IF($A421="","",IFERROR(IF(INDEX('Per Invoice'!$A$2:$A$201,MATCH($A421,'Per Invoice'!$B$2:$B$201,0))=0,"",INDEX('Per Invoice'!$A$2:$A$201,MATCH($A421,'Per Invoice'!$B$2:$B$201,0))),""))</f>
        <v/>
      </c>
      <c r="G421" s="7">
        <f>IF($A421="","",F421*T421/100)</f>
        <v/>
      </c>
      <c r="J421" s="7" t="n"/>
      <c r="K421" s="7" t="n"/>
      <c r="L421" s="7" t="n"/>
      <c r="O421" s="11" t="n"/>
      <c r="R421">
        <f>IF($A421="","",IF($X421=1,Settings!$C$6,Settings!$C$7)*1)</f>
        <v/>
      </c>
      <c r="S421" s="7">
        <f>IF($A421="","",R421*L421)</f>
        <v/>
      </c>
      <c r="T421" s="7">
        <f>IF($A421="","",L421-S421)</f>
        <v/>
      </c>
      <c r="U421" s="7">
        <f>IF($A421="","",T421-G421)</f>
        <v/>
      </c>
      <c r="V421">
        <f>IF($A421="","",IF(COUNTIF($A$2:$A421,$A421)=1,1,0))</f>
        <v/>
      </c>
      <c r="W421">
        <f>IF($V421=1,SUMPRODUCT(--($Y$2:$Y$501&lt;$Y421))+1,"")</f>
        <v/>
      </c>
      <c r="X421">
        <f>IF($A421="","",IF(OR($Q421=TRUE(),$Q421="TRUE"),1,0))</f>
        <v/>
      </c>
      <c r="Y421">
        <f>IF($V421=1,IFERROR(VALUE(MID($A421,2,20)),1000000000)+ROW()/100000,"")</f>
        <v/>
      </c>
    </row>
    <row r="422">
      <c r="B422">
        <f>IF($A422="","",IFERROR(IF(INDEX('Per Invoice'!$A$2:$A$201,MATCH($A422,'Per Invoice'!$B$2:$B$201,0))=0,"",INDEX('Per Invoice'!$A$2:$A$201,MATCH($A422,'Per Invoice'!$B$2:$B$201,0))),""))</f>
        <v/>
      </c>
      <c r="G422" s="7">
        <f>IF($A422="","",F422*T422/100)</f>
        <v/>
      </c>
      <c r="J422" s="7" t="n"/>
      <c r="K422" s="7" t="n"/>
      <c r="L422" s="7" t="n"/>
      <c r="O422" s="11" t="n"/>
      <c r="R422">
        <f>IF($A422="","",IF($X422=1,Settings!$C$6,Settings!$C$7)*1)</f>
        <v/>
      </c>
      <c r="S422" s="7">
        <f>IF($A422="","",R422*L422)</f>
        <v/>
      </c>
      <c r="T422" s="7">
        <f>IF($A422="","",L422-S422)</f>
        <v/>
      </c>
      <c r="U422" s="7">
        <f>IF($A422="","",T422-G422)</f>
        <v/>
      </c>
      <c r="V422">
        <f>IF($A422="","",IF(COUNTIF($A$2:$A422,$A422)=1,1,0))</f>
        <v/>
      </c>
      <c r="W422">
        <f>IF($V422=1,SUMPRODUCT(--($Y$2:$Y$501&lt;$Y422))+1,"")</f>
        <v/>
      </c>
      <c r="X422">
        <f>IF($A422="","",IF(OR($Q422=TRUE(),$Q422="TRUE"),1,0))</f>
        <v/>
      </c>
      <c r="Y422">
        <f>IF($V422=1,IFERROR(VALUE(MID($A422,2,20)),1000000000)+ROW()/100000,"")</f>
        <v/>
      </c>
    </row>
    <row r="423">
      <c r="B423">
        <f>IF($A423="","",IFERROR(IF(INDEX('Per Invoice'!$A$2:$A$201,MATCH($A423,'Per Invoice'!$B$2:$B$201,0))=0,"",INDEX('Per Invoice'!$A$2:$A$201,MATCH($A423,'Per Invoice'!$B$2:$B$201,0))),""))</f>
        <v/>
      </c>
      <c r="G423" s="7">
        <f>IF($A423="","",F423*T423/100)</f>
        <v/>
      </c>
      <c r="J423" s="7" t="n"/>
      <c r="K423" s="7" t="n"/>
      <c r="L423" s="7" t="n"/>
      <c r="O423" s="11" t="n"/>
      <c r="R423">
        <f>IF($A423="","",IF($X423=1,Settings!$C$6,Settings!$C$7)*1)</f>
        <v/>
      </c>
      <c r="S423" s="7">
        <f>IF($A423="","",R423*L423)</f>
        <v/>
      </c>
      <c r="T423" s="7">
        <f>IF($A423="","",L423-S423)</f>
        <v/>
      </c>
      <c r="U423" s="7">
        <f>IF($A423="","",T423-G423)</f>
        <v/>
      </c>
      <c r="V423">
        <f>IF($A423="","",IF(COUNTIF($A$2:$A423,$A423)=1,1,0))</f>
        <v/>
      </c>
      <c r="W423">
        <f>IF($V423=1,SUMPRODUCT(--($Y$2:$Y$501&lt;$Y423))+1,"")</f>
        <v/>
      </c>
      <c r="X423">
        <f>IF($A423="","",IF(OR($Q423=TRUE(),$Q423="TRUE"),1,0))</f>
        <v/>
      </c>
      <c r="Y423">
        <f>IF($V423=1,IFERROR(VALUE(MID($A423,2,20)),1000000000)+ROW()/100000,"")</f>
        <v/>
      </c>
    </row>
    <row r="424">
      <c r="B424">
        <f>IF($A424="","",IFERROR(IF(INDEX('Per Invoice'!$A$2:$A$201,MATCH($A424,'Per Invoice'!$B$2:$B$201,0))=0,"",INDEX('Per Invoice'!$A$2:$A$201,MATCH($A424,'Per Invoice'!$B$2:$B$201,0))),""))</f>
        <v/>
      </c>
      <c r="G424" s="7">
        <f>IF($A424="","",F424*T424/100)</f>
        <v/>
      </c>
      <c r="J424" s="7" t="n"/>
      <c r="K424" s="7" t="n"/>
      <c r="L424" s="7" t="n"/>
      <c r="O424" s="11" t="n"/>
      <c r="R424">
        <f>IF($A424="","",IF($X424=1,Settings!$C$6,Settings!$C$7)*1)</f>
        <v/>
      </c>
      <c r="S424" s="7">
        <f>IF($A424="","",R424*L424)</f>
        <v/>
      </c>
      <c r="T424" s="7">
        <f>IF($A424="","",L424-S424)</f>
        <v/>
      </c>
      <c r="U424" s="7">
        <f>IF($A424="","",T424-G424)</f>
        <v/>
      </c>
      <c r="V424">
        <f>IF($A424="","",IF(COUNTIF($A$2:$A424,$A424)=1,1,0))</f>
        <v/>
      </c>
      <c r="W424">
        <f>IF($V424=1,SUMPRODUCT(--($Y$2:$Y$501&lt;$Y424))+1,"")</f>
        <v/>
      </c>
      <c r="X424">
        <f>IF($A424="","",IF(OR($Q424=TRUE(),$Q424="TRUE"),1,0))</f>
        <v/>
      </c>
      <c r="Y424">
        <f>IF($V424=1,IFERROR(VALUE(MID($A424,2,20)),1000000000)+ROW()/100000,"")</f>
        <v/>
      </c>
    </row>
    <row r="425">
      <c r="B425">
        <f>IF($A425="","",IFERROR(IF(INDEX('Per Invoice'!$A$2:$A$201,MATCH($A425,'Per Invoice'!$B$2:$B$201,0))=0,"",INDEX('Per Invoice'!$A$2:$A$201,MATCH($A425,'Per Invoice'!$B$2:$B$201,0))),""))</f>
        <v/>
      </c>
      <c r="G425" s="7">
        <f>IF($A425="","",F425*T425/100)</f>
        <v/>
      </c>
      <c r="J425" s="7" t="n"/>
      <c r="K425" s="7" t="n"/>
      <c r="L425" s="7" t="n"/>
      <c r="O425" s="11" t="n"/>
      <c r="R425">
        <f>IF($A425="","",IF($X425=1,Settings!$C$6,Settings!$C$7)*1)</f>
        <v/>
      </c>
      <c r="S425" s="7">
        <f>IF($A425="","",R425*L425)</f>
        <v/>
      </c>
      <c r="T425" s="7">
        <f>IF($A425="","",L425-S425)</f>
        <v/>
      </c>
      <c r="U425" s="7">
        <f>IF($A425="","",T425-G425)</f>
        <v/>
      </c>
      <c r="V425">
        <f>IF($A425="","",IF(COUNTIF($A$2:$A425,$A425)=1,1,0))</f>
        <v/>
      </c>
      <c r="W425">
        <f>IF($V425=1,SUMPRODUCT(--($Y$2:$Y$501&lt;$Y425))+1,"")</f>
        <v/>
      </c>
      <c r="X425">
        <f>IF($A425="","",IF(OR($Q425=TRUE(),$Q425="TRUE"),1,0))</f>
        <v/>
      </c>
      <c r="Y425">
        <f>IF($V425=1,IFERROR(VALUE(MID($A425,2,20)),1000000000)+ROW()/100000,"")</f>
        <v/>
      </c>
    </row>
    <row r="426">
      <c r="B426">
        <f>IF($A426="","",IFERROR(IF(INDEX('Per Invoice'!$A$2:$A$201,MATCH($A426,'Per Invoice'!$B$2:$B$201,0))=0,"",INDEX('Per Invoice'!$A$2:$A$201,MATCH($A426,'Per Invoice'!$B$2:$B$201,0))),""))</f>
        <v/>
      </c>
      <c r="G426" s="7">
        <f>IF($A426="","",F426*T426/100)</f>
        <v/>
      </c>
      <c r="J426" s="7" t="n"/>
      <c r="K426" s="7" t="n"/>
      <c r="L426" s="7" t="n"/>
      <c r="O426" s="11" t="n"/>
      <c r="R426">
        <f>IF($A426="","",IF($X426=1,Settings!$C$6,Settings!$C$7)*1)</f>
        <v/>
      </c>
      <c r="S426" s="7">
        <f>IF($A426="","",R426*L426)</f>
        <v/>
      </c>
      <c r="T426" s="7">
        <f>IF($A426="","",L426-S426)</f>
        <v/>
      </c>
      <c r="U426" s="7">
        <f>IF($A426="","",T426-G426)</f>
        <v/>
      </c>
      <c r="V426">
        <f>IF($A426="","",IF(COUNTIF($A$2:$A426,$A426)=1,1,0))</f>
        <v/>
      </c>
      <c r="W426">
        <f>IF($V426=1,SUMPRODUCT(--($Y$2:$Y$501&lt;$Y426))+1,"")</f>
        <v/>
      </c>
      <c r="X426">
        <f>IF($A426="","",IF(OR($Q426=TRUE(),$Q426="TRUE"),1,0))</f>
        <v/>
      </c>
      <c r="Y426">
        <f>IF($V426=1,IFERROR(VALUE(MID($A426,2,20)),1000000000)+ROW()/100000,"")</f>
        <v/>
      </c>
    </row>
    <row r="427">
      <c r="B427">
        <f>IF($A427="","",IFERROR(IF(INDEX('Per Invoice'!$A$2:$A$201,MATCH($A427,'Per Invoice'!$B$2:$B$201,0))=0,"",INDEX('Per Invoice'!$A$2:$A$201,MATCH($A427,'Per Invoice'!$B$2:$B$201,0))),""))</f>
        <v/>
      </c>
      <c r="G427" s="7">
        <f>IF($A427="","",F427*T427/100)</f>
        <v/>
      </c>
      <c r="J427" s="7" t="n"/>
      <c r="K427" s="7" t="n"/>
      <c r="L427" s="7" t="n"/>
      <c r="O427" s="11" t="n"/>
      <c r="R427">
        <f>IF($A427="","",IF($X427=1,Settings!$C$6,Settings!$C$7)*1)</f>
        <v/>
      </c>
      <c r="S427" s="7">
        <f>IF($A427="","",R427*L427)</f>
        <v/>
      </c>
      <c r="T427" s="7">
        <f>IF($A427="","",L427-S427)</f>
        <v/>
      </c>
      <c r="U427" s="7">
        <f>IF($A427="","",T427-G427)</f>
        <v/>
      </c>
      <c r="V427">
        <f>IF($A427="","",IF(COUNTIF($A$2:$A427,$A427)=1,1,0))</f>
        <v/>
      </c>
      <c r="W427">
        <f>IF($V427=1,SUMPRODUCT(--($Y$2:$Y$501&lt;$Y427))+1,"")</f>
        <v/>
      </c>
      <c r="X427">
        <f>IF($A427="","",IF(OR($Q427=TRUE(),$Q427="TRUE"),1,0))</f>
        <v/>
      </c>
      <c r="Y427">
        <f>IF($V427=1,IFERROR(VALUE(MID($A427,2,20)),1000000000)+ROW()/100000,"")</f>
        <v/>
      </c>
    </row>
    <row r="428">
      <c r="B428">
        <f>IF($A428="","",IFERROR(IF(INDEX('Per Invoice'!$A$2:$A$201,MATCH($A428,'Per Invoice'!$B$2:$B$201,0))=0,"",INDEX('Per Invoice'!$A$2:$A$201,MATCH($A428,'Per Invoice'!$B$2:$B$201,0))),""))</f>
        <v/>
      </c>
      <c r="G428" s="7">
        <f>IF($A428="","",F428*T428/100)</f>
        <v/>
      </c>
      <c r="J428" s="7" t="n"/>
      <c r="K428" s="7" t="n"/>
      <c r="L428" s="7" t="n"/>
      <c r="O428" s="11" t="n"/>
      <c r="R428">
        <f>IF($A428="","",IF($X428=1,Settings!$C$6,Settings!$C$7)*1)</f>
        <v/>
      </c>
      <c r="S428" s="7">
        <f>IF($A428="","",R428*L428)</f>
        <v/>
      </c>
      <c r="T428" s="7">
        <f>IF($A428="","",L428-S428)</f>
        <v/>
      </c>
      <c r="U428" s="7">
        <f>IF($A428="","",T428-G428)</f>
        <v/>
      </c>
      <c r="V428">
        <f>IF($A428="","",IF(COUNTIF($A$2:$A428,$A428)=1,1,0))</f>
        <v/>
      </c>
      <c r="W428">
        <f>IF($V428=1,SUMPRODUCT(--($Y$2:$Y$501&lt;$Y428))+1,"")</f>
        <v/>
      </c>
      <c r="X428">
        <f>IF($A428="","",IF(OR($Q428=TRUE(),$Q428="TRUE"),1,0))</f>
        <v/>
      </c>
      <c r="Y428">
        <f>IF($V428=1,IFERROR(VALUE(MID($A428,2,20)),1000000000)+ROW()/100000,"")</f>
        <v/>
      </c>
    </row>
    <row r="429">
      <c r="B429">
        <f>IF($A429="","",IFERROR(IF(INDEX('Per Invoice'!$A$2:$A$201,MATCH($A429,'Per Invoice'!$B$2:$B$201,0))=0,"",INDEX('Per Invoice'!$A$2:$A$201,MATCH($A429,'Per Invoice'!$B$2:$B$201,0))),""))</f>
        <v/>
      </c>
      <c r="G429" s="7">
        <f>IF($A429="","",F429*T429/100)</f>
        <v/>
      </c>
      <c r="J429" s="7" t="n"/>
      <c r="K429" s="7" t="n"/>
      <c r="L429" s="7" t="n"/>
      <c r="O429" s="11" t="n"/>
      <c r="R429">
        <f>IF($A429="","",IF($X429=1,Settings!$C$6,Settings!$C$7)*1)</f>
        <v/>
      </c>
      <c r="S429" s="7">
        <f>IF($A429="","",R429*L429)</f>
        <v/>
      </c>
      <c r="T429" s="7">
        <f>IF($A429="","",L429-S429)</f>
        <v/>
      </c>
      <c r="U429" s="7">
        <f>IF($A429="","",T429-G429)</f>
        <v/>
      </c>
      <c r="V429">
        <f>IF($A429="","",IF(COUNTIF($A$2:$A429,$A429)=1,1,0))</f>
        <v/>
      </c>
      <c r="W429">
        <f>IF($V429=1,SUMPRODUCT(--($Y$2:$Y$501&lt;$Y429))+1,"")</f>
        <v/>
      </c>
      <c r="X429">
        <f>IF($A429="","",IF(OR($Q429=TRUE(),$Q429="TRUE"),1,0))</f>
        <v/>
      </c>
      <c r="Y429">
        <f>IF($V429=1,IFERROR(VALUE(MID($A429,2,20)),1000000000)+ROW()/100000,"")</f>
        <v/>
      </c>
    </row>
    <row r="430">
      <c r="B430">
        <f>IF($A430="","",IFERROR(IF(INDEX('Per Invoice'!$A$2:$A$201,MATCH($A430,'Per Invoice'!$B$2:$B$201,0))=0,"",INDEX('Per Invoice'!$A$2:$A$201,MATCH($A430,'Per Invoice'!$B$2:$B$201,0))),""))</f>
        <v/>
      </c>
      <c r="G430" s="7">
        <f>IF($A430="","",F430*T430/100)</f>
        <v/>
      </c>
      <c r="J430" s="7" t="n"/>
      <c r="K430" s="7" t="n"/>
      <c r="L430" s="7" t="n"/>
      <c r="O430" s="11" t="n"/>
      <c r="R430">
        <f>IF($A430="","",IF($X430=1,Settings!$C$6,Settings!$C$7)*1)</f>
        <v/>
      </c>
      <c r="S430" s="7">
        <f>IF($A430="","",R430*L430)</f>
        <v/>
      </c>
      <c r="T430" s="7">
        <f>IF($A430="","",L430-S430)</f>
        <v/>
      </c>
      <c r="U430" s="7">
        <f>IF($A430="","",T430-G430)</f>
        <v/>
      </c>
      <c r="V430">
        <f>IF($A430="","",IF(COUNTIF($A$2:$A430,$A430)=1,1,0))</f>
        <v/>
      </c>
      <c r="W430">
        <f>IF($V430=1,SUMPRODUCT(--($Y$2:$Y$501&lt;$Y430))+1,"")</f>
        <v/>
      </c>
      <c r="X430">
        <f>IF($A430="","",IF(OR($Q430=TRUE(),$Q430="TRUE"),1,0))</f>
        <v/>
      </c>
      <c r="Y430">
        <f>IF($V430=1,IFERROR(VALUE(MID($A430,2,20)),1000000000)+ROW()/100000,"")</f>
        <v/>
      </c>
    </row>
    <row r="431">
      <c r="B431">
        <f>IF($A431="","",IFERROR(IF(INDEX('Per Invoice'!$A$2:$A$201,MATCH($A431,'Per Invoice'!$B$2:$B$201,0))=0,"",INDEX('Per Invoice'!$A$2:$A$201,MATCH($A431,'Per Invoice'!$B$2:$B$201,0))),""))</f>
        <v/>
      </c>
      <c r="G431" s="7">
        <f>IF($A431="","",F431*T431/100)</f>
        <v/>
      </c>
      <c r="J431" s="7" t="n"/>
      <c r="K431" s="7" t="n"/>
      <c r="L431" s="7" t="n"/>
      <c r="O431" s="11" t="n"/>
      <c r="R431">
        <f>IF($A431="","",IF($X431=1,Settings!$C$6,Settings!$C$7)*1)</f>
        <v/>
      </c>
      <c r="S431" s="7">
        <f>IF($A431="","",R431*L431)</f>
        <v/>
      </c>
      <c r="T431" s="7">
        <f>IF($A431="","",L431-S431)</f>
        <v/>
      </c>
      <c r="U431" s="7">
        <f>IF($A431="","",T431-G431)</f>
        <v/>
      </c>
      <c r="V431">
        <f>IF($A431="","",IF(COUNTIF($A$2:$A431,$A431)=1,1,0))</f>
        <v/>
      </c>
      <c r="W431">
        <f>IF($V431=1,SUMPRODUCT(--($Y$2:$Y$501&lt;$Y431))+1,"")</f>
        <v/>
      </c>
      <c r="X431">
        <f>IF($A431="","",IF(OR($Q431=TRUE(),$Q431="TRUE"),1,0))</f>
        <v/>
      </c>
      <c r="Y431">
        <f>IF($V431=1,IFERROR(VALUE(MID($A431,2,20)),1000000000)+ROW()/100000,"")</f>
        <v/>
      </c>
    </row>
    <row r="432">
      <c r="B432">
        <f>IF($A432="","",IFERROR(IF(INDEX('Per Invoice'!$A$2:$A$201,MATCH($A432,'Per Invoice'!$B$2:$B$201,0))=0,"",INDEX('Per Invoice'!$A$2:$A$201,MATCH($A432,'Per Invoice'!$B$2:$B$201,0))),""))</f>
        <v/>
      </c>
      <c r="G432" s="7">
        <f>IF($A432="","",F432*T432/100)</f>
        <v/>
      </c>
      <c r="J432" s="7" t="n"/>
      <c r="K432" s="7" t="n"/>
      <c r="L432" s="7" t="n"/>
      <c r="O432" s="11" t="n"/>
      <c r="R432">
        <f>IF($A432="","",IF($X432=1,Settings!$C$6,Settings!$C$7)*1)</f>
        <v/>
      </c>
      <c r="S432" s="7">
        <f>IF($A432="","",R432*L432)</f>
        <v/>
      </c>
      <c r="T432" s="7">
        <f>IF($A432="","",L432-S432)</f>
        <v/>
      </c>
      <c r="U432" s="7">
        <f>IF($A432="","",T432-G432)</f>
        <v/>
      </c>
      <c r="V432">
        <f>IF($A432="","",IF(COUNTIF($A$2:$A432,$A432)=1,1,0))</f>
        <v/>
      </c>
      <c r="W432">
        <f>IF($V432=1,SUMPRODUCT(--($Y$2:$Y$501&lt;$Y432))+1,"")</f>
        <v/>
      </c>
      <c r="X432">
        <f>IF($A432="","",IF(OR($Q432=TRUE(),$Q432="TRUE"),1,0))</f>
        <v/>
      </c>
      <c r="Y432">
        <f>IF($V432=1,IFERROR(VALUE(MID($A432,2,20)),1000000000)+ROW()/100000,"")</f>
        <v/>
      </c>
    </row>
    <row r="433">
      <c r="B433">
        <f>IF($A433="","",IFERROR(IF(INDEX('Per Invoice'!$A$2:$A$201,MATCH($A433,'Per Invoice'!$B$2:$B$201,0))=0,"",INDEX('Per Invoice'!$A$2:$A$201,MATCH($A433,'Per Invoice'!$B$2:$B$201,0))),""))</f>
        <v/>
      </c>
      <c r="G433" s="7">
        <f>IF($A433="","",F433*T433/100)</f>
        <v/>
      </c>
      <c r="J433" s="7" t="n"/>
      <c r="K433" s="7" t="n"/>
      <c r="L433" s="7" t="n"/>
      <c r="O433" s="11" t="n"/>
      <c r="R433">
        <f>IF($A433="","",IF($X433=1,Settings!$C$6,Settings!$C$7)*1)</f>
        <v/>
      </c>
      <c r="S433" s="7">
        <f>IF($A433="","",R433*L433)</f>
        <v/>
      </c>
      <c r="T433" s="7">
        <f>IF($A433="","",L433-S433)</f>
        <v/>
      </c>
      <c r="U433" s="7">
        <f>IF($A433="","",T433-G433)</f>
        <v/>
      </c>
      <c r="V433">
        <f>IF($A433="","",IF(COUNTIF($A$2:$A433,$A433)=1,1,0))</f>
        <v/>
      </c>
      <c r="W433">
        <f>IF($V433=1,SUMPRODUCT(--($Y$2:$Y$501&lt;$Y433))+1,"")</f>
        <v/>
      </c>
      <c r="X433">
        <f>IF($A433="","",IF(OR($Q433=TRUE(),$Q433="TRUE"),1,0))</f>
        <v/>
      </c>
      <c r="Y433">
        <f>IF($V433=1,IFERROR(VALUE(MID($A433,2,20)),1000000000)+ROW()/100000,"")</f>
        <v/>
      </c>
    </row>
    <row r="434">
      <c r="B434">
        <f>IF($A434="","",IFERROR(IF(INDEX('Per Invoice'!$A$2:$A$201,MATCH($A434,'Per Invoice'!$B$2:$B$201,0))=0,"",INDEX('Per Invoice'!$A$2:$A$201,MATCH($A434,'Per Invoice'!$B$2:$B$201,0))),""))</f>
        <v/>
      </c>
      <c r="G434" s="7">
        <f>IF($A434="","",F434*T434/100)</f>
        <v/>
      </c>
      <c r="J434" s="7" t="n"/>
      <c r="K434" s="7" t="n"/>
      <c r="L434" s="7" t="n"/>
      <c r="O434" s="11" t="n"/>
      <c r="R434">
        <f>IF($A434="","",IF($X434=1,Settings!$C$6,Settings!$C$7)*1)</f>
        <v/>
      </c>
      <c r="S434" s="7">
        <f>IF($A434="","",R434*L434)</f>
        <v/>
      </c>
      <c r="T434" s="7">
        <f>IF($A434="","",L434-S434)</f>
        <v/>
      </c>
      <c r="U434" s="7">
        <f>IF($A434="","",T434-G434)</f>
        <v/>
      </c>
      <c r="V434">
        <f>IF($A434="","",IF(COUNTIF($A$2:$A434,$A434)=1,1,0))</f>
        <v/>
      </c>
      <c r="W434">
        <f>IF($V434=1,SUMPRODUCT(--($Y$2:$Y$501&lt;$Y434))+1,"")</f>
        <v/>
      </c>
      <c r="X434">
        <f>IF($A434="","",IF(OR($Q434=TRUE(),$Q434="TRUE"),1,0))</f>
        <v/>
      </c>
      <c r="Y434">
        <f>IF($V434=1,IFERROR(VALUE(MID($A434,2,20)),1000000000)+ROW()/100000,"")</f>
        <v/>
      </c>
    </row>
    <row r="435">
      <c r="B435">
        <f>IF($A435="","",IFERROR(IF(INDEX('Per Invoice'!$A$2:$A$201,MATCH($A435,'Per Invoice'!$B$2:$B$201,0))=0,"",INDEX('Per Invoice'!$A$2:$A$201,MATCH($A435,'Per Invoice'!$B$2:$B$201,0))),""))</f>
        <v/>
      </c>
      <c r="G435" s="7">
        <f>IF($A435="","",F435*T435/100)</f>
        <v/>
      </c>
      <c r="J435" s="7" t="n"/>
      <c r="K435" s="7" t="n"/>
      <c r="L435" s="7" t="n"/>
      <c r="O435" s="11" t="n"/>
      <c r="R435">
        <f>IF($A435="","",IF($X435=1,Settings!$C$6,Settings!$C$7)*1)</f>
        <v/>
      </c>
      <c r="S435" s="7">
        <f>IF($A435="","",R435*L435)</f>
        <v/>
      </c>
      <c r="T435" s="7">
        <f>IF($A435="","",L435-S435)</f>
        <v/>
      </c>
      <c r="U435" s="7">
        <f>IF($A435="","",T435-G435)</f>
        <v/>
      </c>
      <c r="V435">
        <f>IF($A435="","",IF(COUNTIF($A$2:$A435,$A435)=1,1,0))</f>
        <v/>
      </c>
      <c r="W435">
        <f>IF($V435=1,SUMPRODUCT(--($Y$2:$Y$501&lt;$Y435))+1,"")</f>
        <v/>
      </c>
      <c r="X435">
        <f>IF($A435="","",IF(OR($Q435=TRUE(),$Q435="TRUE"),1,0))</f>
        <v/>
      </c>
      <c r="Y435">
        <f>IF($V435=1,IFERROR(VALUE(MID($A435,2,20)),1000000000)+ROW()/100000,"")</f>
        <v/>
      </c>
    </row>
    <row r="436">
      <c r="B436">
        <f>IF($A436="","",IFERROR(IF(INDEX('Per Invoice'!$A$2:$A$201,MATCH($A436,'Per Invoice'!$B$2:$B$201,0))=0,"",INDEX('Per Invoice'!$A$2:$A$201,MATCH($A436,'Per Invoice'!$B$2:$B$201,0))),""))</f>
        <v/>
      </c>
      <c r="G436" s="7">
        <f>IF($A436="","",F436*T436/100)</f>
        <v/>
      </c>
      <c r="J436" s="7" t="n"/>
      <c r="K436" s="7" t="n"/>
      <c r="L436" s="7" t="n"/>
      <c r="O436" s="11" t="n"/>
      <c r="R436">
        <f>IF($A436="","",IF($X436=1,Settings!$C$6,Settings!$C$7)*1)</f>
        <v/>
      </c>
      <c r="S436" s="7">
        <f>IF($A436="","",R436*L436)</f>
        <v/>
      </c>
      <c r="T436" s="7">
        <f>IF($A436="","",L436-S436)</f>
        <v/>
      </c>
      <c r="U436" s="7">
        <f>IF($A436="","",T436-G436)</f>
        <v/>
      </c>
      <c r="V436">
        <f>IF($A436="","",IF(COUNTIF($A$2:$A436,$A436)=1,1,0))</f>
        <v/>
      </c>
      <c r="W436">
        <f>IF($V436=1,SUMPRODUCT(--($Y$2:$Y$501&lt;$Y436))+1,"")</f>
        <v/>
      </c>
      <c r="X436">
        <f>IF($A436="","",IF(OR($Q436=TRUE(),$Q436="TRUE"),1,0))</f>
        <v/>
      </c>
      <c r="Y436">
        <f>IF($V436=1,IFERROR(VALUE(MID($A436,2,20)),1000000000)+ROW()/100000,"")</f>
        <v/>
      </c>
    </row>
    <row r="437">
      <c r="B437">
        <f>IF($A437="","",IFERROR(IF(INDEX('Per Invoice'!$A$2:$A$201,MATCH($A437,'Per Invoice'!$B$2:$B$201,0))=0,"",INDEX('Per Invoice'!$A$2:$A$201,MATCH($A437,'Per Invoice'!$B$2:$B$201,0))),""))</f>
        <v/>
      </c>
      <c r="G437" s="7">
        <f>IF($A437="","",F437*T437/100)</f>
        <v/>
      </c>
      <c r="J437" s="7" t="n"/>
      <c r="K437" s="7" t="n"/>
      <c r="L437" s="7" t="n"/>
      <c r="O437" s="11" t="n"/>
      <c r="R437">
        <f>IF($A437="","",IF($X437=1,Settings!$C$6,Settings!$C$7)*1)</f>
        <v/>
      </c>
      <c r="S437" s="7">
        <f>IF($A437="","",R437*L437)</f>
        <v/>
      </c>
      <c r="T437" s="7">
        <f>IF($A437="","",L437-S437)</f>
        <v/>
      </c>
      <c r="U437" s="7">
        <f>IF($A437="","",T437-G437)</f>
        <v/>
      </c>
      <c r="V437">
        <f>IF($A437="","",IF(COUNTIF($A$2:$A437,$A437)=1,1,0))</f>
        <v/>
      </c>
      <c r="W437">
        <f>IF($V437=1,SUMPRODUCT(--($Y$2:$Y$501&lt;$Y437))+1,"")</f>
        <v/>
      </c>
      <c r="X437">
        <f>IF($A437="","",IF(OR($Q437=TRUE(),$Q437="TRUE"),1,0))</f>
        <v/>
      </c>
      <c r="Y437">
        <f>IF($V437=1,IFERROR(VALUE(MID($A437,2,20)),1000000000)+ROW()/100000,"")</f>
        <v/>
      </c>
    </row>
    <row r="438">
      <c r="B438">
        <f>IF($A438="","",IFERROR(IF(INDEX('Per Invoice'!$A$2:$A$201,MATCH($A438,'Per Invoice'!$B$2:$B$201,0))=0,"",INDEX('Per Invoice'!$A$2:$A$201,MATCH($A438,'Per Invoice'!$B$2:$B$201,0))),""))</f>
        <v/>
      </c>
      <c r="G438" s="7">
        <f>IF($A438="","",F438*T438/100)</f>
        <v/>
      </c>
      <c r="J438" s="7" t="n"/>
      <c r="K438" s="7" t="n"/>
      <c r="L438" s="7" t="n"/>
      <c r="O438" s="11" t="n"/>
      <c r="R438">
        <f>IF($A438="","",IF($X438=1,Settings!$C$6,Settings!$C$7)*1)</f>
        <v/>
      </c>
      <c r="S438" s="7">
        <f>IF($A438="","",R438*L438)</f>
        <v/>
      </c>
      <c r="T438" s="7">
        <f>IF($A438="","",L438-S438)</f>
        <v/>
      </c>
      <c r="U438" s="7">
        <f>IF($A438="","",T438-G438)</f>
        <v/>
      </c>
      <c r="V438">
        <f>IF($A438="","",IF(COUNTIF($A$2:$A438,$A438)=1,1,0))</f>
        <v/>
      </c>
      <c r="W438">
        <f>IF($V438=1,SUMPRODUCT(--($Y$2:$Y$501&lt;$Y438))+1,"")</f>
        <v/>
      </c>
      <c r="X438">
        <f>IF($A438="","",IF(OR($Q438=TRUE(),$Q438="TRUE"),1,0))</f>
        <v/>
      </c>
      <c r="Y438">
        <f>IF($V438=1,IFERROR(VALUE(MID($A438,2,20)),1000000000)+ROW()/100000,"")</f>
        <v/>
      </c>
    </row>
    <row r="439">
      <c r="B439">
        <f>IF($A439="","",IFERROR(IF(INDEX('Per Invoice'!$A$2:$A$201,MATCH($A439,'Per Invoice'!$B$2:$B$201,0))=0,"",INDEX('Per Invoice'!$A$2:$A$201,MATCH($A439,'Per Invoice'!$B$2:$B$201,0))),""))</f>
        <v/>
      </c>
      <c r="G439" s="7">
        <f>IF($A439="","",F439*T439/100)</f>
        <v/>
      </c>
      <c r="J439" s="7" t="n"/>
      <c r="K439" s="7" t="n"/>
      <c r="L439" s="7" t="n"/>
      <c r="O439" s="11" t="n"/>
      <c r="R439">
        <f>IF($A439="","",IF($X439=1,Settings!$C$6,Settings!$C$7)*1)</f>
        <v/>
      </c>
      <c r="S439" s="7">
        <f>IF($A439="","",R439*L439)</f>
        <v/>
      </c>
      <c r="T439" s="7">
        <f>IF($A439="","",L439-S439)</f>
        <v/>
      </c>
      <c r="U439" s="7">
        <f>IF($A439="","",T439-G439)</f>
        <v/>
      </c>
      <c r="V439">
        <f>IF($A439="","",IF(COUNTIF($A$2:$A439,$A439)=1,1,0))</f>
        <v/>
      </c>
      <c r="W439">
        <f>IF($V439=1,SUMPRODUCT(--($Y$2:$Y$501&lt;$Y439))+1,"")</f>
        <v/>
      </c>
      <c r="X439">
        <f>IF($A439="","",IF(OR($Q439=TRUE(),$Q439="TRUE"),1,0))</f>
        <v/>
      </c>
      <c r="Y439">
        <f>IF($V439=1,IFERROR(VALUE(MID($A439,2,20)),1000000000)+ROW()/100000,"")</f>
        <v/>
      </c>
    </row>
    <row r="440">
      <c r="B440">
        <f>IF($A440="","",IFERROR(IF(INDEX('Per Invoice'!$A$2:$A$201,MATCH($A440,'Per Invoice'!$B$2:$B$201,0))=0,"",INDEX('Per Invoice'!$A$2:$A$201,MATCH($A440,'Per Invoice'!$B$2:$B$201,0))),""))</f>
        <v/>
      </c>
      <c r="G440" s="7">
        <f>IF($A440="","",F440*T440/100)</f>
        <v/>
      </c>
      <c r="J440" s="7" t="n"/>
      <c r="K440" s="7" t="n"/>
      <c r="L440" s="7" t="n"/>
      <c r="O440" s="11" t="n"/>
      <c r="R440">
        <f>IF($A440="","",IF($X440=1,Settings!$C$6,Settings!$C$7)*1)</f>
        <v/>
      </c>
      <c r="S440" s="7">
        <f>IF($A440="","",R440*L440)</f>
        <v/>
      </c>
      <c r="T440" s="7">
        <f>IF($A440="","",L440-S440)</f>
        <v/>
      </c>
      <c r="U440" s="7">
        <f>IF($A440="","",T440-G440)</f>
        <v/>
      </c>
      <c r="V440">
        <f>IF($A440="","",IF(COUNTIF($A$2:$A440,$A440)=1,1,0))</f>
        <v/>
      </c>
      <c r="W440">
        <f>IF($V440=1,SUMPRODUCT(--($Y$2:$Y$501&lt;$Y440))+1,"")</f>
        <v/>
      </c>
      <c r="X440">
        <f>IF($A440="","",IF(OR($Q440=TRUE(),$Q440="TRUE"),1,0))</f>
        <v/>
      </c>
      <c r="Y440">
        <f>IF($V440=1,IFERROR(VALUE(MID($A440,2,20)),1000000000)+ROW()/100000,"")</f>
        <v/>
      </c>
    </row>
    <row r="441">
      <c r="B441">
        <f>IF($A441="","",IFERROR(IF(INDEX('Per Invoice'!$A$2:$A$201,MATCH($A441,'Per Invoice'!$B$2:$B$201,0))=0,"",INDEX('Per Invoice'!$A$2:$A$201,MATCH($A441,'Per Invoice'!$B$2:$B$201,0))),""))</f>
        <v/>
      </c>
      <c r="G441" s="7">
        <f>IF($A441="","",F441*T441/100)</f>
        <v/>
      </c>
      <c r="J441" s="7" t="n"/>
      <c r="K441" s="7" t="n"/>
      <c r="L441" s="7" t="n"/>
      <c r="O441" s="11" t="n"/>
      <c r="R441">
        <f>IF($A441="","",IF($X441=1,Settings!$C$6,Settings!$C$7)*1)</f>
        <v/>
      </c>
      <c r="S441" s="7">
        <f>IF($A441="","",R441*L441)</f>
        <v/>
      </c>
      <c r="T441" s="7">
        <f>IF($A441="","",L441-S441)</f>
        <v/>
      </c>
      <c r="U441" s="7">
        <f>IF($A441="","",T441-G441)</f>
        <v/>
      </c>
      <c r="V441">
        <f>IF($A441="","",IF(COUNTIF($A$2:$A441,$A441)=1,1,0))</f>
        <v/>
      </c>
      <c r="W441">
        <f>IF($V441=1,SUMPRODUCT(--($Y$2:$Y$501&lt;$Y441))+1,"")</f>
        <v/>
      </c>
      <c r="X441">
        <f>IF($A441="","",IF(OR($Q441=TRUE(),$Q441="TRUE"),1,0))</f>
        <v/>
      </c>
      <c r="Y441">
        <f>IF($V441=1,IFERROR(VALUE(MID($A441,2,20)),1000000000)+ROW()/100000,"")</f>
        <v/>
      </c>
    </row>
    <row r="442">
      <c r="B442">
        <f>IF($A442="","",IFERROR(IF(INDEX('Per Invoice'!$A$2:$A$201,MATCH($A442,'Per Invoice'!$B$2:$B$201,0))=0,"",INDEX('Per Invoice'!$A$2:$A$201,MATCH($A442,'Per Invoice'!$B$2:$B$201,0))),""))</f>
        <v/>
      </c>
      <c r="G442" s="7">
        <f>IF($A442="","",F442*T442/100)</f>
        <v/>
      </c>
      <c r="J442" s="7" t="n"/>
      <c r="K442" s="7" t="n"/>
      <c r="L442" s="7" t="n"/>
      <c r="O442" s="11" t="n"/>
      <c r="R442">
        <f>IF($A442="","",IF($X442=1,Settings!$C$6,Settings!$C$7)*1)</f>
        <v/>
      </c>
      <c r="S442" s="7">
        <f>IF($A442="","",R442*L442)</f>
        <v/>
      </c>
      <c r="T442" s="7">
        <f>IF($A442="","",L442-S442)</f>
        <v/>
      </c>
      <c r="U442" s="7">
        <f>IF($A442="","",T442-G442)</f>
        <v/>
      </c>
      <c r="V442">
        <f>IF($A442="","",IF(COUNTIF($A$2:$A442,$A442)=1,1,0))</f>
        <v/>
      </c>
      <c r="W442">
        <f>IF($V442=1,SUMPRODUCT(--($Y$2:$Y$501&lt;$Y442))+1,"")</f>
        <v/>
      </c>
      <c r="X442">
        <f>IF($A442="","",IF(OR($Q442=TRUE(),$Q442="TRUE"),1,0))</f>
        <v/>
      </c>
      <c r="Y442">
        <f>IF($V442=1,IFERROR(VALUE(MID($A442,2,20)),1000000000)+ROW()/100000,"")</f>
        <v/>
      </c>
    </row>
    <row r="443">
      <c r="B443">
        <f>IF($A443="","",IFERROR(IF(INDEX('Per Invoice'!$A$2:$A$201,MATCH($A443,'Per Invoice'!$B$2:$B$201,0))=0,"",INDEX('Per Invoice'!$A$2:$A$201,MATCH($A443,'Per Invoice'!$B$2:$B$201,0))),""))</f>
        <v/>
      </c>
      <c r="G443" s="7">
        <f>IF($A443="","",F443*T443/100)</f>
        <v/>
      </c>
      <c r="J443" s="7" t="n"/>
      <c r="K443" s="7" t="n"/>
      <c r="L443" s="7" t="n"/>
      <c r="O443" s="11" t="n"/>
      <c r="R443">
        <f>IF($A443="","",IF($X443=1,Settings!$C$6,Settings!$C$7)*1)</f>
        <v/>
      </c>
      <c r="S443" s="7">
        <f>IF($A443="","",R443*L443)</f>
        <v/>
      </c>
      <c r="T443" s="7">
        <f>IF($A443="","",L443-S443)</f>
        <v/>
      </c>
      <c r="U443" s="7">
        <f>IF($A443="","",T443-G443)</f>
        <v/>
      </c>
      <c r="V443">
        <f>IF($A443="","",IF(COUNTIF($A$2:$A443,$A443)=1,1,0))</f>
        <v/>
      </c>
      <c r="W443">
        <f>IF($V443=1,SUMPRODUCT(--($Y$2:$Y$501&lt;$Y443))+1,"")</f>
        <v/>
      </c>
      <c r="X443">
        <f>IF($A443="","",IF(OR($Q443=TRUE(),$Q443="TRUE"),1,0))</f>
        <v/>
      </c>
      <c r="Y443">
        <f>IF($V443=1,IFERROR(VALUE(MID($A443,2,20)),1000000000)+ROW()/100000,"")</f>
        <v/>
      </c>
    </row>
    <row r="444">
      <c r="B444">
        <f>IF($A444="","",IFERROR(IF(INDEX('Per Invoice'!$A$2:$A$201,MATCH($A444,'Per Invoice'!$B$2:$B$201,0))=0,"",INDEX('Per Invoice'!$A$2:$A$201,MATCH($A444,'Per Invoice'!$B$2:$B$201,0))),""))</f>
        <v/>
      </c>
      <c r="G444" s="7">
        <f>IF($A444="","",F444*T444/100)</f>
        <v/>
      </c>
      <c r="J444" s="7" t="n"/>
      <c r="K444" s="7" t="n"/>
      <c r="L444" s="7" t="n"/>
      <c r="O444" s="11" t="n"/>
      <c r="R444">
        <f>IF($A444="","",IF($X444=1,Settings!$C$6,Settings!$C$7)*1)</f>
        <v/>
      </c>
      <c r="S444" s="7">
        <f>IF($A444="","",R444*L444)</f>
        <v/>
      </c>
      <c r="T444" s="7">
        <f>IF($A444="","",L444-S444)</f>
        <v/>
      </c>
      <c r="U444" s="7">
        <f>IF($A444="","",T444-G444)</f>
        <v/>
      </c>
      <c r="V444">
        <f>IF($A444="","",IF(COUNTIF($A$2:$A444,$A444)=1,1,0))</f>
        <v/>
      </c>
      <c r="W444">
        <f>IF($V444=1,SUMPRODUCT(--($Y$2:$Y$501&lt;$Y444))+1,"")</f>
        <v/>
      </c>
      <c r="X444">
        <f>IF($A444="","",IF(OR($Q444=TRUE(),$Q444="TRUE"),1,0))</f>
        <v/>
      </c>
      <c r="Y444">
        <f>IF($V444=1,IFERROR(VALUE(MID($A444,2,20)),1000000000)+ROW()/100000,"")</f>
        <v/>
      </c>
    </row>
    <row r="445">
      <c r="B445">
        <f>IF($A445="","",IFERROR(IF(INDEX('Per Invoice'!$A$2:$A$201,MATCH($A445,'Per Invoice'!$B$2:$B$201,0))=0,"",INDEX('Per Invoice'!$A$2:$A$201,MATCH($A445,'Per Invoice'!$B$2:$B$201,0))),""))</f>
        <v/>
      </c>
      <c r="G445" s="7">
        <f>IF($A445="","",F445*T445/100)</f>
        <v/>
      </c>
      <c r="J445" s="7" t="n"/>
      <c r="K445" s="7" t="n"/>
      <c r="L445" s="7" t="n"/>
      <c r="O445" s="11" t="n"/>
      <c r="R445">
        <f>IF($A445="","",IF($X445=1,Settings!$C$6,Settings!$C$7)*1)</f>
        <v/>
      </c>
      <c r="S445" s="7">
        <f>IF($A445="","",R445*L445)</f>
        <v/>
      </c>
      <c r="T445" s="7">
        <f>IF($A445="","",L445-S445)</f>
        <v/>
      </c>
      <c r="U445" s="7">
        <f>IF($A445="","",T445-G445)</f>
        <v/>
      </c>
      <c r="V445">
        <f>IF($A445="","",IF(COUNTIF($A$2:$A445,$A445)=1,1,0))</f>
        <v/>
      </c>
      <c r="W445">
        <f>IF($V445=1,SUMPRODUCT(--($Y$2:$Y$501&lt;$Y445))+1,"")</f>
        <v/>
      </c>
      <c r="X445">
        <f>IF($A445="","",IF(OR($Q445=TRUE(),$Q445="TRUE"),1,0))</f>
        <v/>
      </c>
      <c r="Y445">
        <f>IF($V445=1,IFERROR(VALUE(MID($A445,2,20)),1000000000)+ROW()/100000,"")</f>
        <v/>
      </c>
    </row>
    <row r="446">
      <c r="B446">
        <f>IF($A446="","",IFERROR(IF(INDEX('Per Invoice'!$A$2:$A$201,MATCH($A446,'Per Invoice'!$B$2:$B$201,0))=0,"",INDEX('Per Invoice'!$A$2:$A$201,MATCH($A446,'Per Invoice'!$B$2:$B$201,0))),""))</f>
        <v/>
      </c>
      <c r="G446" s="7">
        <f>IF($A446="","",F446*T446/100)</f>
        <v/>
      </c>
      <c r="J446" s="7" t="n"/>
      <c r="K446" s="7" t="n"/>
      <c r="L446" s="7" t="n"/>
      <c r="O446" s="11" t="n"/>
      <c r="R446">
        <f>IF($A446="","",IF($X446=1,Settings!$C$6,Settings!$C$7)*1)</f>
        <v/>
      </c>
      <c r="S446" s="7">
        <f>IF($A446="","",R446*L446)</f>
        <v/>
      </c>
      <c r="T446" s="7">
        <f>IF($A446="","",L446-S446)</f>
        <v/>
      </c>
      <c r="U446" s="7">
        <f>IF($A446="","",T446-G446)</f>
        <v/>
      </c>
      <c r="V446">
        <f>IF($A446="","",IF(COUNTIF($A$2:$A446,$A446)=1,1,0))</f>
        <v/>
      </c>
      <c r="W446">
        <f>IF($V446=1,SUMPRODUCT(--($Y$2:$Y$501&lt;$Y446))+1,"")</f>
        <v/>
      </c>
      <c r="X446">
        <f>IF($A446="","",IF(OR($Q446=TRUE(),$Q446="TRUE"),1,0))</f>
        <v/>
      </c>
      <c r="Y446">
        <f>IF($V446=1,IFERROR(VALUE(MID($A446,2,20)),1000000000)+ROW()/100000,"")</f>
        <v/>
      </c>
    </row>
    <row r="447">
      <c r="B447">
        <f>IF($A447="","",IFERROR(IF(INDEX('Per Invoice'!$A$2:$A$201,MATCH($A447,'Per Invoice'!$B$2:$B$201,0))=0,"",INDEX('Per Invoice'!$A$2:$A$201,MATCH($A447,'Per Invoice'!$B$2:$B$201,0))),""))</f>
        <v/>
      </c>
      <c r="G447" s="7">
        <f>IF($A447="","",F447*T447/100)</f>
        <v/>
      </c>
      <c r="J447" s="7" t="n"/>
      <c r="K447" s="7" t="n"/>
      <c r="L447" s="7" t="n"/>
      <c r="O447" s="11" t="n"/>
      <c r="R447">
        <f>IF($A447="","",IF($X447=1,Settings!$C$6,Settings!$C$7)*1)</f>
        <v/>
      </c>
      <c r="S447" s="7">
        <f>IF($A447="","",R447*L447)</f>
        <v/>
      </c>
      <c r="T447" s="7">
        <f>IF($A447="","",L447-S447)</f>
        <v/>
      </c>
      <c r="U447" s="7">
        <f>IF($A447="","",T447-G447)</f>
        <v/>
      </c>
      <c r="V447">
        <f>IF($A447="","",IF(COUNTIF($A$2:$A447,$A447)=1,1,0))</f>
        <v/>
      </c>
      <c r="W447">
        <f>IF($V447=1,SUMPRODUCT(--($Y$2:$Y$501&lt;$Y447))+1,"")</f>
        <v/>
      </c>
      <c r="X447">
        <f>IF($A447="","",IF(OR($Q447=TRUE(),$Q447="TRUE"),1,0))</f>
        <v/>
      </c>
      <c r="Y447">
        <f>IF($V447=1,IFERROR(VALUE(MID($A447,2,20)),1000000000)+ROW()/100000,"")</f>
        <v/>
      </c>
    </row>
    <row r="448">
      <c r="B448">
        <f>IF($A448="","",IFERROR(IF(INDEX('Per Invoice'!$A$2:$A$201,MATCH($A448,'Per Invoice'!$B$2:$B$201,0))=0,"",INDEX('Per Invoice'!$A$2:$A$201,MATCH($A448,'Per Invoice'!$B$2:$B$201,0))),""))</f>
        <v/>
      </c>
      <c r="G448" s="7">
        <f>IF($A448="","",F448*T448/100)</f>
        <v/>
      </c>
      <c r="J448" s="7" t="n"/>
      <c r="K448" s="7" t="n"/>
      <c r="L448" s="7" t="n"/>
      <c r="O448" s="11" t="n"/>
      <c r="R448">
        <f>IF($A448="","",IF($X448=1,Settings!$C$6,Settings!$C$7)*1)</f>
        <v/>
      </c>
      <c r="S448" s="7">
        <f>IF($A448="","",R448*L448)</f>
        <v/>
      </c>
      <c r="T448" s="7">
        <f>IF($A448="","",L448-S448)</f>
        <v/>
      </c>
      <c r="U448" s="7">
        <f>IF($A448="","",T448-G448)</f>
        <v/>
      </c>
      <c r="V448">
        <f>IF($A448="","",IF(COUNTIF($A$2:$A448,$A448)=1,1,0))</f>
        <v/>
      </c>
      <c r="W448">
        <f>IF($V448=1,SUMPRODUCT(--($Y$2:$Y$501&lt;$Y448))+1,"")</f>
        <v/>
      </c>
      <c r="X448">
        <f>IF($A448="","",IF(OR($Q448=TRUE(),$Q448="TRUE"),1,0))</f>
        <v/>
      </c>
      <c r="Y448">
        <f>IF($V448=1,IFERROR(VALUE(MID($A448,2,20)),1000000000)+ROW()/100000,"")</f>
        <v/>
      </c>
    </row>
    <row r="449">
      <c r="B449">
        <f>IF($A449="","",IFERROR(IF(INDEX('Per Invoice'!$A$2:$A$201,MATCH($A449,'Per Invoice'!$B$2:$B$201,0))=0,"",INDEX('Per Invoice'!$A$2:$A$201,MATCH($A449,'Per Invoice'!$B$2:$B$201,0))),""))</f>
        <v/>
      </c>
      <c r="G449" s="7">
        <f>IF($A449="","",F449*T449/100)</f>
        <v/>
      </c>
      <c r="J449" s="7" t="n"/>
      <c r="K449" s="7" t="n"/>
      <c r="L449" s="7" t="n"/>
      <c r="O449" s="11" t="n"/>
      <c r="R449">
        <f>IF($A449="","",IF($X449=1,Settings!$C$6,Settings!$C$7)*1)</f>
        <v/>
      </c>
      <c r="S449" s="7">
        <f>IF($A449="","",R449*L449)</f>
        <v/>
      </c>
      <c r="T449" s="7">
        <f>IF($A449="","",L449-S449)</f>
        <v/>
      </c>
      <c r="U449" s="7">
        <f>IF($A449="","",T449-G449)</f>
        <v/>
      </c>
      <c r="V449">
        <f>IF($A449="","",IF(COUNTIF($A$2:$A449,$A449)=1,1,0))</f>
        <v/>
      </c>
      <c r="W449">
        <f>IF($V449=1,SUMPRODUCT(--($Y$2:$Y$501&lt;$Y449))+1,"")</f>
        <v/>
      </c>
      <c r="X449">
        <f>IF($A449="","",IF(OR($Q449=TRUE(),$Q449="TRUE"),1,0))</f>
        <v/>
      </c>
      <c r="Y449">
        <f>IF($V449=1,IFERROR(VALUE(MID($A449,2,20)),1000000000)+ROW()/100000,"")</f>
        <v/>
      </c>
    </row>
    <row r="450">
      <c r="B450">
        <f>IF($A450="","",IFERROR(IF(INDEX('Per Invoice'!$A$2:$A$201,MATCH($A450,'Per Invoice'!$B$2:$B$201,0))=0,"",INDEX('Per Invoice'!$A$2:$A$201,MATCH($A450,'Per Invoice'!$B$2:$B$201,0))),""))</f>
        <v/>
      </c>
      <c r="G450" s="7">
        <f>IF($A450="","",F450*T450/100)</f>
        <v/>
      </c>
      <c r="J450" s="7" t="n"/>
      <c r="K450" s="7" t="n"/>
      <c r="L450" s="7" t="n"/>
      <c r="O450" s="11" t="n"/>
      <c r="R450">
        <f>IF($A450="","",IF($X450=1,Settings!$C$6,Settings!$C$7)*1)</f>
        <v/>
      </c>
      <c r="S450" s="7">
        <f>IF($A450="","",R450*L450)</f>
        <v/>
      </c>
      <c r="T450" s="7">
        <f>IF($A450="","",L450-S450)</f>
        <v/>
      </c>
      <c r="U450" s="7">
        <f>IF($A450="","",T450-G450)</f>
        <v/>
      </c>
      <c r="V450">
        <f>IF($A450="","",IF(COUNTIF($A$2:$A450,$A450)=1,1,0))</f>
        <v/>
      </c>
      <c r="W450">
        <f>IF($V450=1,SUMPRODUCT(--($Y$2:$Y$501&lt;$Y450))+1,"")</f>
        <v/>
      </c>
      <c r="X450">
        <f>IF($A450="","",IF(OR($Q450=TRUE(),$Q450="TRUE"),1,0))</f>
        <v/>
      </c>
      <c r="Y450">
        <f>IF($V450=1,IFERROR(VALUE(MID($A450,2,20)),1000000000)+ROW()/100000,"")</f>
        <v/>
      </c>
    </row>
    <row r="451">
      <c r="B451">
        <f>IF($A451="","",IFERROR(IF(INDEX('Per Invoice'!$A$2:$A$201,MATCH($A451,'Per Invoice'!$B$2:$B$201,0))=0,"",INDEX('Per Invoice'!$A$2:$A$201,MATCH($A451,'Per Invoice'!$B$2:$B$201,0))),""))</f>
        <v/>
      </c>
      <c r="G451" s="7">
        <f>IF($A451="","",F451*T451/100)</f>
        <v/>
      </c>
      <c r="J451" s="7" t="n"/>
      <c r="K451" s="7" t="n"/>
      <c r="L451" s="7" t="n"/>
      <c r="O451" s="11" t="n"/>
      <c r="R451">
        <f>IF($A451="","",IF($X451=1,Settings!$C$6,Settings!$C$7)*1)</f>
        <v/>
      </c>
      <c r="S451" s="7">
        <f>IF($A451="","",R451*L451)</f>
        <v/>
      </c>
      <c r="T451" s="7">
        <f>IF($A451="","",L451-S451)</f>
        <v/>
      </c>
      <c r="U451" s="7">
        <f>IF($A451="","",T451-G451)</f>
        <v/>
      </c>
      <c r="V451">
        <f>IF($A451="","",IF(COUNTIF($A$2:$A451,$A451)=1,1,0))</f>
        <v/>
      </c>
      <c r="W451">
        <f>IF($V451=1,SUMPRODUCT(--($Y$2:$Y$501&lt;$Y451))+1,"")</f>
        <v/>
      </c>
      <c r="X451">
        <f>IF($A451="","",IF(OR($Q451=TRUE(),$Q451="TRUE"),1,0))</f>
        <v/>
      </c>
      <c r="Y451">
        <f>IF($V451=1,IFERROR(VALUE(MID($A451,2,20)),1000000000)+ROW()/100000,"")</f>
        <v/>
      </c>
    </row>
    <row r="452">
      <c r="B452">
        <f>IF($A452="","",IFERROR(IF(INDEX('Per Invoice'!$A$2:$A$201,MATCH($A452,'Per Invoice'!$B$2:$B$201,0))=0,"",INDEX('Per Invoice'!$A$2:$A$201,MATCH($A452,'Per Invoice'!$B$2:$B$201,0))),""))</f>
        <v/>
      </c>
      <c r="G452" s="7">
        <f>IF($A452="","",F452*T452/100)</f>
        <v/>
      </c>
      <c r="J452" s="7" t="n"/>
      <c r="K452" s="7" t="n"/>
      <c r="L452" s="7" t="n"/>
      <c r="O452" s="11" t="n"/>
      <c r="R452">
        <f>IF($A452="","",IF($X452=1,Settings!$C$6,Settings!$C$7)*1)</f>
        <v/>
      </c>
      <c r="S452" s="7">
        <f>IF($A452="","",R452*L452)</f>
        <v/>
      </c>
      <c r="T452" s="7">
        <f>IF($A452="","",L452-S452)</f>
        <v/>
      </c>
      <c r="U452" s="7">
        <f>IF($A452="","",T452-G452)</f>
        <v/>
      </c>
      <c r="V452">
        <f>IF($A452="","",IF(COUNTIF($A$2:$A452,$A452)=1,1,0))</f>
        <v/>
      </c>
      <c r="W452">
        <f>IF($V452=1,SUMPRODUCT(--($Y$2:$Y$501&lt;$Y452))+1,"")</f>
        <v/>
      </c>
      <c r="X452">
        <f>IF($A452="","",IF(OR($Q452=TRUE(),$Q452="TRUE"),1,0))</f>
        <v/>
      </c>
      <c r="Y452">
        <f>IF($V452=1,IFERROR(VALUE(MID($A452,2,20)),1000000000)+ROW()/100000,"")</f>
        <v/>
      </c>
    </row>
    <row r="453">
      <c r="B453">
        <f>IF($A453="","",IFERROR(IF(INDEX('Per Invoice'!$A$2:$A$201,MATCH($A453,'Per Invoice'!$B$2:$B$201,0))=0,"",INDEX('Per Invoice'!$A$2:$A$201,MATCH($A453,'Per Invoice'!$B$2:$B$201,0))),""))</f>
        <v/>
      </c>
      <c r="G453" s="7">
        <f>IF($A453="","",F453*T453/100)</f>
        <v/>
      </c>
      <c r="J453" s="7" t="n"/>
      <c r="K453" s="7" t="n"/>
      <c r="L453" s="7" t="n"/>
      <c r="O453" s="11" t="n"/>
      <c r="R453">
        <f>IF($A453="","",IF($X453=1,Settings!$C$6,Settings!$C$7)*1)</f>
        <v/>
      </c>
      <c r="S453" s="7">
        <f>IF($A453="","",R453*L453)</f>
        <v/>
      </c>
      <c r="T453" s="7">
        <f>IF($A453="","",L453-S453)</f>
        <v/>
      </c>
      <c r="U453" s="7">
        <f>IF($A453="","",T453-G453)</f>
        <v/>
      </c>
      <c r="V453">
        <f>IF($A453="","",IF(COUNTIF($A$2:$A453,$A453)=1,1,0))</f>
        <v/>
      </c>
      <c r="W453">
        <f>IF($V453=1,SUMPRODUCT(--($Y$2:$Y$501&lt;$Y453))+1,"")</f>
        <v/>
      </c>
      <c r="X453">
        <f>IF($A453="","",IF(OR($Q453=TRUE(),$Q453="TRUE"),1,0))</f>
        <v/>
      </c>
      <c r="Y453">
        <f>IF($V453=1,IFERROR(VALUE(MID($A453,2,20)),1000000000)+ROW()/100000,"")</f>
        <v/>
      </c>
    </row>
    <row r="454">
      <c r="B454">
        <f>IF($A454="","",IFERROR(IF(INDEX('Per Invoice'!$A$2:$A$201,MATCH($A454,'Per Invoice'!$B$2:$B$201,0))=0,"",INDEX('Per Invoice'!$A$2:$A$201,MATCH($A454,'Per Invoice'!$B$2:$B$201,0))),""))</f>
        <v/>
      </c>
      <c r="G454" s="7">
        <f>IF($A454="","",F454*T454/100)</f>
        <v/>
      </c>
      <c r="J454" s="7" t="n"/>
      <c r="K454" s="7" t="n"/>
      <c r="L454" s="7" t="n"/>
      <c r="O454" s="11" t="n"/>
      <c r="R454">
        <f>IF($A454="","",IF($X454=1,Settings!$C$6,Settings!$C$7)*1)</f>
        <v/>
      </c>
      <c r="S454" s="7">
        <f>IF($A454="","",R454*L454)</f>
        <v/>
      </c>
      <c r="T454" s="7">
        <f>IF($A454="","",L454-S454)</f>
        <v/>
      </c>
      <c r="U454" s="7">
        <f>IF($A454="","",T454-G454)</f>
        <v/>
      </c>
      <c r="V454">
        <f>IF($A454="","",IF(COUNTIF($A$2:$A454,$A454)=1,1,0))</f>
        <v/>
      </c>
      <c r="W454">
        <f>IF($V454=1,SUMPRODUCT(--($Y$2:$Y$501&lt;$Y454))+1,"")</f>
        <v/>
      </c>
      <c r="X454">
        <f>IF($A454="","",IF(OR($Q454=TRUE(),$Q454="TRUE"),1,0))</f>
        <v/>
      </c>
      <c r="Y454">
        <f>IF($V454=1,IFERROR(VALUE(MID($A454,2,20)),1000000000)+ROW()/100000,"")</f>
        <v/>
      </c>
    </row>
    <row r="455">
      <c r="B455">
        <f>IF($A455="","",IFERROR(IF(INDEX('Per Invoice'!$A$2:$A$201,MATCH($A455,'Per Invoice'!$B$2:$B$201,0))=0,"",INDEX('Per Invoice'!$A$2:$A$201,MATCH($A455,'Per Invoice'!$B$2:$B$201,0))),""))</f>
        <v/>
      </c>
      <c r="G455" s="7">
        <f>IF($A455="","",F455*T455/100)</f>
        <v/>
      </c>
      <c r="J455" s="7" t="n"/>
      <c r="K455" s="7" t="n"/>
      <c r="L455" s="7" t="n"/>
      <c r="O455" s="11" t="n"/>
      <c r="R455">
        <f>IF($A455="","",IF($X455=1,Settings!$C$6,Settings!$C$7)*1)</f>
        <v/>
      </c>
      <c r="S455" s="7">
        <f>IF($A455="","",R455*L455)</f>
        <v/>
      </c>
      <c r="T455" s="7">
        <f>IF($A455="","",L455-S455)</f>
        <v/>
      </c>
      <c r="U455" s="7">
        <f>IF($A455="","",T455-G455)</f>
        <v/>
      </c>
      <c r="V455">
        <f>IF($A455="","",IF(COUNTIF($A$2:$A455,$A455)=1,1,0))</f>
        <v/>
      </c>
      <c r="W455">
        <f>IF($V455=1,SUMPRODUCT(--($Y$2:$Y$501&lt;$Y455))+1,"")</f>
        <v/>
      </c>
      <c r="X455">
        <f>IF($A455="","",IF(OR($Q455=TRUE(),$Q455="TRUE"),1,0))</f>
        <v/>
      </c>
      <c r="Y455">
        <f>IF($V455=1,IFERROR(VALUE(MID($A455,2,20)),1000000000)+ROW()/100000,"")</f>
        <v/>
      </c>
    </row>
    <row r="456">
      <c r="B456">
        <f>IF($A456="","",IFERROR(IF(INDEX('Per Invoice'!$A$2:$A$201,MATCH($A456,'Per Invoice'!$B$2:$B$201,0))=0,"",INDEX('Per Invoice'!$A$2:$A$201,MATCH($A456,'Per Invoice'!$B$2:$B$201,0))),""))</f>
        <v/>
      </c>
      <c r="G456" s="7">
        <f>IF($A456="","",F456*T456/100)</f>
        <v/>
      </c>
      <c r="J456" s="7" t="n"/>
      <c r="K456" s="7" t="n"/>
      <c r="L456" s="7" t="n"/>
      <c r="O456" s="11" t="n"/>
      <c r="R456">
        <f>IF($A456="","",IF($X456=1,Settings!$C$6,Settings!$C$7)*1)</f>
        <v/>
      </c>
      <c r="S456" s="7">
        <f>IF($A456="","",R456*L456)</f>
        <v/>
      </c>
      <c r="T456" s="7">
        <f>IF($A456="","",L456-S456)</f>
        <v/>
      </c>
      <c r="U456" s="7">
        <f>IF($A456="","",T456-G456)</f>
        <v/>
      </c>
      <c r="V456">
        <f>IF($A456="","",IF(COUNTIF($A$2:$A456,$A456)=1,1,0))</f>
        <v/>
      </c>
      <c r="W456">
        <f>IF($V456=1,SUMPRODUCT(--($Y$2:$Y$501&lt;$Y456))+1,"")</f>
        <v/>
      </c>
      <c r="X456">
        <f>IF($A456="","",IF(OR($Q456=TRUE(),$Q456="TRUE"),1,0))</f>
        <v/>
      </c>
      <c r="Y456">
        <f>IF($V456=1,IFERROR(VALUE(MID($A456,2,20)),1000000000)+ROW()/100000,"")</f>
        <v/>
      </c>
    </row>
    <row r="457">
      <c r="B457">
        <f>IF($A457="","",IFERROR(IF(INDEX('Per Invoice'!$A$2:$A$201,MATCH($A457,'Per Invoice'!$B$2:$B$201,0))=0,"",INDEX('Per Invoice'!$A$2:$A$201,MATCH($A457,'Per Invoice'!$B$2:$B$201,0))),""))</f>
        <v/>
      </c>
      <c r="G457" s="7">
        <f>IF($A457="","",F457*T457/100)</f>
        <v/>
      </c>
      <c r="J457" s="7" t="n"/>
      <c r="K457" s="7" t="n"/>
      <c r="L457" s="7" t="n"/>
      <c r="O457" s="11" t="n"/>
      <c r="R457">
        <f>IF($A457="","",IF($X457=1,Settings!$C$6,Settings!$C$7)*1)</f>
        <v/>
      </c>
      <c r="S457" s="7">
        <f>IF($A457="","",R457*L457)</f>
        <v/>
      </c>
      <c r="T457" s="7">
        <f>IF($A457="","",L457-S457)</f>
        <v/>
      </c>
      <c r="U457" s="7">
        <f>IF($A457="","",T457-G457)</f>
        <v/>
      </c>
      <c r="V457">
        <f>IF($A457="","",IF(COUNTIF($A$2:$A457,$A457)=1,1,0))</f>
        <v/>
      </c>
      <c r="W457">
        <f>IF($V457=1,SUMPRODUCT(--($Y$2:$Y$501&lt;$Y457))+1,"")</f>
        <v/>
      </c>
      <c r="X457">
        <f>IF($A457="","",IF(OR($Q457=TRUE(),$Q457="TRUE"),1,0))</f>
        <v/>
      </c>
      <c r="Y457">
        <f>IF($V457=1,IFERROR(VALUE(MID($A457,2,20)),1000000000)+ROW()/100000,"")</f>
        <v/>
      </c>
    </row>
    <row r="458">
      <c r="B458">
        <f>IF($A458="","",IFERROR(IF(INDEX('Per Invoice'!$A$2:$A$201,MATCH($A458,'Per Invoice'!$B$2:$B$201,0))=0,"",INDEX('Per Invoice'!$A$2:$A$201,MATCH($A458,'Per Invoice'!$B$2:$B$201,0))),""))</f>
        <v/>
      </c>
      <c r="G458" s="7">
        <f>IF($A458="","",F458*T458/100)</f>
        <v/>
      </c>
      <c r="J458" s="7" t="n"/>
      <c r="K458" s="7" t="n"/>
      <c r="L458" s="7" t="n"/>
      <c r="O458" s="11" t="n"/>
      <c r="R458">
        <f>IF($A458="","",IF($X458=1,Settings!$C$6,Settings!$C$7)*1)</f>
        <v/>
      </c>
      <c r="S458" s="7">
        <f>IF($A458="","",R458*L458)</f>
        <v/>
      </c>
      <c r="T458" s="7">
        <f>IF($A458="","",L458-S458)</f>
        <v/>
      </c>
      <c r="U458" s="7">
        <f>IF($A458="","",T458-G458)</f>
        <v/>
      </c>
      <c r="V458">
        <f>IF($A458="","",IF(COUNTIF($A$2:$A458,$A458)=1,1,0))</f>
        <v/>
      </c>
      <c r="W458">
        <f>IF($V458=1,SUMPRODUCT(--($Y$2:$Y$501&lt;$Y458))+1,"")</f>
        <v/>
      </c>
      <c r="X458">
        <f>IF($A458="","",IF(OR($Q458=TRUE(),$Q458="TRUE"),1,0))</f>
        <v/>
      </c>
      <c r="Y458">
        <f>IF($V458=1,IFERROR(VALUE(MID($A458,2,20)),1000000000)+ROW()/100000,"")</f>
        <v/>
      </c>
    </row>
    <row r="459">
      <c r="B459">
        <f>IF($A459="","",IFERROR(IF(INDEX('Per Invoice'!$A$2:$A$201,MATCH($A459,'Per Invoice'!$B$2:$B$201,0))=0,"",INDEX('Per Invoice'!$A$2:$A$201,MATCH($A459,'Per Invoice'!$B$2:$B$201,0))),""))</f>
        <v/>
      </c>
      <c r="G459" s="7">
        <f>IF($A459="","",F459*T459/100)</f>
        <v/>
      </c>
      <c r="J459" s="7" t="n"/>
      <c r="K459" s="7" t="n"/>
      <c r="L459" s="7" t="n"/>
      <c r="O459" s="11" t="n"/>
      <c r="R459">
        <f>IF($A459="","",IF($X459=1,Settings!$C$6,Settings!$C$7)*1)</f>
        <v/>
      </c>
      <c r="S459" s="7">
        <f>IF($A459="","",R459*L459)</f>
        <v/>
      </c>
      <c r="T459" s="7">
        <f>IF($A459="","",L459-S459)</f>
        <v/>
      </c>
      <c r="U459" s="7">
        <f>IF($A459="","",T459-G459)</f>
        <v/>
      </c>
      <c r="V459">
        <f>IF($A459="","",IF(COUNTIF($A$2:$A459,$A459)=1,1,0))</f>
        <v/>
      </c>
      <c r="W459">
        <f>IF($V459=1,SUMPRODUCT(--($Y$2:$Y$501&lt;$Y459))+1,"")</f>
        <v/>
      </c>
      <c r="X459">
        <f>IF($A459="","",IF(OR($Q459=TRUE(),$Q459="TRUE"),1,0))</f>
        <v/>
      </c>
      <c r="Y459">
        <f>IF($V459=1,IFERROR(VALUE(MID($A459,2,20)),1000000000)+ROW()/100000,"")</f>
        <v/>
      </c>
    </row>
    <row r="460">
      <c r="B460">
        <f>IF($A460="","",IFERROR(IF(INDEX('Per Invoice'!$A$2:$A$201,MATCH($A460,'Per Invoice'!$B$2:$B$201,0))=0,"",INDEX('Per Invoice'!$A$2:$A$201,MATCH($A460,'Per Invoice'!$B$2:$B$201,0))),""))</f>
        <v/>
      </c>
      <c r="G460" s="7">
        <f>IF($A460="","",F460*T460/100)</f>
        <v/>
      </c>
      <c r="J460" s="7" t="n"/>
      <c r="K460" s="7" t="n"/>
      <c r="L460" s="7" t="n"/>
      <c r="O460" s="11" t="n"/>
      <c r="R460">
        <f>IF($A460="","",IF($X460=1,Settings!$C$6,Settings!$C$7)*1)</f>
        <v/>
      </c>
      <c r="S460" s="7">
        <f>IF($A460="","",R460*L460)</f>
        <v/>
      </c>
      <c r="T460" s="7">
        <f>IF($A460="","",L460-S460)</f>
        <v/>
      </c>
      <c r="U460" s="7">
        <f>IF($A460="","",T460-G460)</f>
        <v/>
      </c>
      <c r="V460">
        <f>IF($A460="","",IF(COUNTIF($A$2:$A460,$A460)=1,1,0))</f>
        <v/>
      </c>
      <c r="W460">
        <f>IF($V460=1,SUMPRODUCT(--($Y$2:$Y$501&lt;$Y460))+1,"")</f>
        <v/>
      </c>
      <c r="X460">
        <f>IF($A460="","",IF(OR($Q460=TRUE(),$Q460="TRUE"),1,0))</f>
        <v/>
      </c>
      <c r="Y460">
        <f>IF($V460=1,IFERROR(VALUE(MID($A460,2,20)),1000000000)+ROW()/100000,"")</f>
        <v/>
      </c>
    </row>
    <row r="461">
      <c r="B461">
        <f>IF($A461="","",IFERROR(IF(INDEX('Per Invoice'!$A$2:$A$201,MATCH($A461,'Per Invoice'!$B$2:$B$201,0))=0,"",INDEX('Per Invoice'!$A$2:$A$201,MATCH($A461,'Per Invoice'!$B$2:$B$201,0))),""))</f>
        <v/>
      </c>
      <c r="G461" s="7">
        <f>IF($A461="","",F461*T461/100)</f>
        <v/>
      </c>
      <c r="J461" s="7" t="n"/>
      <c r="K461" s="7" t="n"/>
      <c r="L461" s="7" t="n"/>
      <c r="O461" s="11" t="n"/>
      <c r="R461">
        <f>IF($A461="","",IF($X461=1,Settings!$C$6,Settings!$C$7)*1)</f>
        <v/>
      </c>
      <c r="S461" s="7">
        <f>IF($A461="","",R461*L461)</f>
        <v/>
      </c>
      <c r="T461" s="7">
        <f>IF($A461="","",L461-S461)</f>
        <v/>
      </c>
      <c r="U461" s="7">
        <f>IF($A461="","",T461-G461)</f>
        <v/>
      </c>
      <c r="V461">
        <f>IF($A461="","",IF(COUNTIF($A$2:$A461,$A461)=1,1,0))</f>
        <v/>
      </c>
      <c r="W461">
        <f>IF($V461=1,SUMPRODUCT(--($Y$2:$Y$501&lt;$Y461))+1,"")</f>
        <v/>
      </c>
      <c r="X461">
        <f>IF($A461="","",IF(OR($Q461=TRUE(),$Q461="TRUE"),1,0))</f>
        <v/>
      </c>
      <c r="Y461">
        <f>IF($V461=1,IFERROR(VALUE(MID($A461,2,20)),1000000000)+ROW()/100000,"")</f>
        <v/>
      </c>
    </row>
    <row r="462">
      <c r="B462">
        <f>IF($A462="","",IFERROR(IF(INDEX('Per Invoice'!$A$2:$A$201,MATCH($A462,'Per Invoice'!$B$2:$B$201,0))=0,"",INDEX('Per Invoice'!$A$2:$A$201,MATCH($A462,'Per Invoice'!$B$2:$B$201,0))),""))</f>
        <v/>
      </c>
      <c r="G462" s="7">
        <f>IF($A462="","",F462*T462/100)</f>
        <v/>
      </c>
      <c r="J462" s="7" t="n"/>
      <c r="K462" s="7" t="n"/>
      <c r="L462" s="7" t="n"/>
      <c r="O462" s="11" t="n"/>
      <c r="R462">
        <f>IF($A462="","",IF($X462=1,Settings!$C$6,Settings!$C$7)*1)</f>
        <v/>
      </c>
      <c r="S462" s="7">
        <f>IF($A462="","",R462*L462)</f>
        <v/>
      </c>
      <c r="T462" s="7">
        <f>IF($A462="","",L462-S462)</f>
        <v/>
      </c>
      <c r="U462" s="7">
        <f>IF($A462="","",T462-G462)</f>
        <v/>
      </c>
      <c r="V462">
        <f>IF($A462="","",IF(COUNTIF($A$2:$A462,$A462)=1,1,0))</f>
        <v/>
      </c>
      <c r="W462">
        <f>IF($V462=1,SUMPRODUCT(--($Y$2:$Y$501&lt;$Y462))+1,"")</f>
        <v/>
      </c>
      <c r="X462">
        <f>IF($A462="","",IF(OR($Q462=TRUE(),$Q462="TRUE"),1,0))</f>
        <v/>
      </c>
      <c r="Y462">
        <f>IF($V462=1,IFERROR(VALUE(MID($A462,2,20)),1000000000)+ROW()/100000,"")</f>
        <v/>
      </c>
    </row>
    <row r="463">
      <c r="B463">
        <f>IF($A463="","",IFERROR(IF(INDEX('Per Invoice'!$A$2:$A$201,MATCH($A463,'Per Invoice'!$B$2:$B$201,0))=0,"",INDEX('Per Invoice'!$A$2:$A$201,MATCH($A463,'Per Invoice'!$B$2:$B$201,0))),""))</f>
        <v/>
      </c>
      <c r="G463" s="7">
        <f>IF($A463="","",F463*T463/100)</f>
        <v/>
      </c>
      <c r="J463" s="7" t="n"/>
      <c r="K463" s="7" t="n"/>
      <c r="L463" s="7" t="n"/>
      <c r="O463" s="11" t="n"/>
      <c r="R463">
        <f>IF($A463="","",IF($X463=1,Settings!$C$6,Settings!$C$7)*1)</f>
        <v/>
      </c>
      <c r="S463" s="7">
        <f>IF($A463="","",R463*L463)</f>
        <v/>
      </c>
      <c r="T463" s="7">
        <f>IF($A463="","",L463-S463)</f>
        <v/>
      </c>
      <c r="U463" s="7">
        <f>IF($A463="","",T463-G463)</f>
        <v/>
      </c>
      <c r="V463">
        <f>IF($A463="","",IF(COUNTIF($A$2:$A463,$A463)=1,1,0))</f>
        <v/>
      </c>
      <c r="W463">
        <f>IF($V463=1,SUMPRODUCT(--($Y$2:$Y$501&lt;$Y463))+1,"")</f>
        <v/>
      </c>
      <c r="X463">
        <f>IF($A463="","",IF(OR($Q463=TRUE(),$Q463="TRUE"),1,0))</f>
        <v/>
      </c>
      <c r="Y463">
        <f>IF($V463=1,IFERROR(VALUE(MID($A463,2,20)),1000000000)+ROW()/100000,"")</f>
        <v/>
      </c>
    </row>
    <row r="464">
      <c r="B464">
        <f>IF($A464="","",IFERROR(IF(INDEX('Per Invoice'!$A$2:$A$201,MATCH($A464,'Per Invoice'!$B$2:$B$201,0))=0,"",INDEX('Per Invoice'!$A$2:$A$201,MATCH($A464,'Per Invoice'!$B$2:$B$201,0))),""))</f>
        <v/>
      </c>
      <c r="G464" s="7">
        <f>IF($A464="","",F464*T464/100)</f>
        <v/>
      </c>
      <c r="J464" s="7" t="n"/>
      <c r="K464" s="7" t="n"/>
      <c r="L464" s="7" t="n"/>
      <c r="O464" s="11" t="n"/>
      <c r="R464">
        <f>IF($A464="","",IF($X464=1,Settings!$C$6,Settings!$C$7)*1)</f>
        <v/>
      </c>
      <c r="S464" s="7">
        <f>IF($A464="","",R464*L464)</f>
        <v/>
      </c>
      <c r="T464" s="7">
        <f>IF($A464="","",L464-S464)</f>
        <v/>
      </c>
      <c r="U464" s="7">
        <f>IF($A464="","",T464-G464)</f>
        <v/>
      </c>
      <c r="V464">
        <f>IF($A464="","",IF(COUNTIF($A$2:$A464,$A464)=1,1,0))</f>
        <v/>
      </c>
      <c r="W464">
        <f>IF($V464=1,SUMPRODUCT(--($Y$2:$Y$501&lt;$Y464))+1,"")</f>
        <v/>
      </c>
      <c r="X464">
        <f>IF($A464="","",IF(OR($Q464=TRUE(),$Q464="TRUE"),1,0))</f>
        <v/>
      </c>
      <c r="Y464">
        <f>IF($V464=1,IFERROR(VALUE(MID($A464,2,20)),1000000000)+ROW()/100000,"")</f>
        <v/>
      </c>
    </row>
    <row r="465">
      <c r="B465">
        <f>IF($A465="","",IFERROR(IF(INDEX('Per Invoice'!$A$2:$A$201,MATCH($A465,'Per Invoice'!$B$2:$B$201,0))=0,"",INDEX('Per Invoice'!$A$2:$A$201,MATCH($A465,'Per Invoice'!$B$2:$B$201,0))),""))</f>
        <v/>
      </c>
      <c r="G465" s="7">
        <f>IF($A465="","",F465*T465/100)</f>
        <v/>
      </c>
      <c r="J465" s="7" t="n"/>
      <c r="K465" s="7" t="n"/>
      <c r="L465" s="7" t="n"/>
      <c r="O465" s="11" t="n"/>
      <c r="R465">
        <f>IF($A465="","",IF($X465=1,Settings!$C$6,Settings!$C$7)*1)</f>
        <v/>
      </c>
      <c r="S465" s="7">
        <f>IF($A465="","",R465*L465)</f>
        <v/>
      </c>
      <c r="T465" s="7">
        <f>IF($A465="","",L465-S465)</f>
        <v/>
      </c>
      <c r="U465" s="7">
        <f>IF($A465="","",T465-G465)</f>
        <v/>
      </c>
      <c r="V465">
        <f>IF($A465="","",IF(COUNTIF($A$2:$A465,$A465)=1,1,0))</f>
        <v/>
      </c>
      <c r="W465">
        <f>IF($V465=1,SUMPRODUCT(--($Y$2:$Y$501&lt;$Y465))+1,"")</f>
        <v/>
      </c>
      <c r="X465">
        <f>IF($A465="","",IF(OR($Q465=TRUE(),$Q465="TRUE"),1,0))</f>
        <v/>
      </c>
      <c r="Y465">
        <f>IF($V465=1,IFERROR(VALUE(MID($A465,2,20)),1000000000)+ROW()/100000,"")</f>
        <v/>
      </c>
    </row>
    <row r="466">
      <c r="B466">
        <f>IF($A466="","",IFERROR(IF(INDEX('Per Invoice'!$A$2:$A$201,MATCH($A466,'Per Invoice'!$B$2:$B$201,0))=0,"",INDEX('Per Invoice'!$A$2:$A$201,MATCH($A466,'Per Invoice'!$B$2:$B$201,0))),""))</f>
        <v/>
      </c>
      <c r="G466" s="7">
        <f>IF($A466="","",F466*T466/100)</f>
        <v/>
      </c>
      <c r="J466" s="7" t="n"/>
      <c r="K466" s="7" t="n"/>
      <c r="L466" s="7" t="n"/>
      <c r="O466" s="11" t="n"/>
      <c r="R466">
        <f>IF($A466="","",IF($X466=1,Settings!$C$6,Settings!$C$7)*1)</f>
        <v/>
      </c>
      <c r="S466" s="7">
        <f>IF($A466="","",R466*L466)</f>
        <v/>
      </c>
      <c r="T466" s="7">
        <f>IF($A466="","",L466-S466)</f>
        <v/>
      </c>
      <c r="U466" s="7">
        <f>IF($A466="","",T466-G466)</f>
        <v/>
      </c>
      <c r="V466">
        <f>IF($A466="","",IF(COUNTIF($A$2:$A466,$A466)=1,1,0))</f>
        <v/>
      </c>
      <c r="W466">
        <f>IF($V466=1,SUMPRODUCT(--($Y$2:$Y$501&lt;$Y466))+1,"")</f>
        <v/>
      </c>
      <c r="X466">
        <f>IF($A466="","",IF(OR($Q466=TRUE(),$Q466="TRUE"),1,0))</f>
        <v/>
      </c>
      <c r="Y466">
        <f>IF($V466=1,IFERROR(VALUE(MID($A466,2,20)),1000000000)+ROW()/100000,"")</f>
        <v/>
      </c>
    </row>
    <row r="467">
      <c r="B467">
        <f>IF($A467="","",IFERROR(IF(INDEX('Per Invoice'!$A$2:$A$201,MATCH($A467,'Per Invoice'!$B$2:$B$201,0))=0,"",INDEX('Per Invoice'!$A$2:$A$201,MATCH($A467,'Per Invoice'!$B$2:$B$201,0))),""))</f>
        <v/>
      </c>
      <c r="G467" s="7">
        <f>IF($A467="","",F467*T467/100)</f>
        <v/>
      </c>
      <c r="J467" s="7" t="n"/>
      <c r="K467" s="7" t="n"/>
      <c r="L467" s="7" t="n"/>
      <c r="O467" s="11" t="n"/>
      <c r="R467">
        <f>IF($A467="","",IF($X467=1,Settings!$C$6,Settings!$C$7)*1)</f>
        <v/>
      </c>
      <c r="S467" s="7">
        <f>IF($A467="","",R467*L467)</f>
        <v/>
      </c>
      <c r="T467" s="7">
        <f>IF($A467="","",L467-S467)</f>
        <v/>
      </c>
      <c r="U467" s="7">
        <f>IF($A467="","",T467-G467)</f>
        <v/>
      </c>
      <c r="V467">
        <f>IF($A467="","",IF(COUNTIF($A$2:$A467,$A467)=1,1,0))</f>
        <v/>
      </c>
      <c r="W467">
        <f>IF($V467=1,SUMPRODUCT(--($Y$2:$Y$501&lt;$Y467))+1,"")</f>
        <v/>
      </c>
      <c r="X467">
        <f>IF($A467="","",IF(OR($Q467=TRUE(),$Q467="TRUE"),1,0))</f>
        <v/>
      </c>
      <c r="Y467">
        <f>IF($V467=1,IFERROR(VALUE(MID($A467,2,20)),1000000000)+ROW()/100000,"")</f>
        <v/>
      </c>
    </row>
    <row r="468">
      <c r="B468">
        <f>IF($A468="","",IFERROR(IF(INDEX('Per Invoice'!$A$2:$A$201,MATCH($A468,'Per Invoice'!$B$2:$B$201,0))=0,"",INDEX('Per Invoice'!$A$2:$A$201,MATCH($A468,'Per Invoice'!$B$2:$B$201,0))),""))</f>
        <v/>
      </c>
      <c r="G468" s="7">
        <f>IF($A468="","",F468*T468/100)</f>
        <v/>
      </c>
      <c r="J468" s="7" t="n"/>
      <c r="K468" s="7" t="n"/>
      <c r="L468" s="7" t="n"/>
      <c r="O468" s="11" t="n"/>
      <c r="R468">
        <f>IF($A468="","",IF($X468=1,Settings!$C$6,Settings!$C$7)*1)</f>
        <v/>
      </c>
      <c r="S468" s="7">
        <f>IF($A468="","",R468*L468)</f>
        <v/>
      </c>
      <c r="T468" s="7">
        <f>IF($A468="","",L468-S468)</f>
        <v/>
      </c>
      <c r="U468" s="7">
        <f>IF($A468="","",T468-G468)</f>
        <v/>
      </c>
      <c r="V468">
        <f>IF($A468="","",IF(COUNTIF($A$2:$A468,$A468)=1,1,0))</f>
        <v/>
      </c>
      <c r="W468">
        <f>IF($V468=1,SUMPRODUCT(--($Y$2:$Y$501&lt;$Y468))+1,"")</f>
        <v/>
      </c>
      <c r="X468">
        <f>IF($A468="","",IF(OR($Q468=TRUE(),$Q468="TRUE"),1,0))</f>
        <v/>
      </c>
      <c r="Y468">
        <f>IF($V468=1,IFERROR(VALUE(MID($A468,2,20)),1000000000)+ROW()/100000,"")</f>
        <v/>
      </c>
    </row>
    <row r="469">
      <c r="B469">
        <f>IF($A469="","",IFERROR(IF(INDEX('Per Invoice'!$A$2:$A$201,MATCH($A469,'Per Invoice'!$B$2:$B$201,0))=0,"",INDEX('Per Invoice'!$A$2:$A$201,MATCH($A469,'Per Invoice'!$B$2:$B$201,0))),""))</f>
        <v/>
      </c>
      <c r="G469" s="7">
        <f>IF($A469="","",F469*T469/100)</f>
        <v/>
      </c>
      <c r="J469" s="7" t="n"/>
      <c r="K469" s="7" t="n"/>
      <c r="L469" s="7" t="n"/>
      <c r="O469" s="11" t="n"/>
      <c r="R469">
        <f>IF($A469="","",IF($X469=1,Settings!$C$6,Settings!$C$7)*1)</f>
        <v/>
      </c>
      <c r="S469" s="7">
        <f>IF($A469="","",R469*L469)</f>
        <v/>
      </c>
      <c r="T469" s="7">
        <f>IF($A469="","",L469-S469)</f>
        <v/>
      </c>
      <c r="U469" s="7">
        <f>IF($A469="","",T469-G469)</f>
        <v/>
      </c>
      <c r="V469">
        <f>IF($A469="","",IF(COUNTIF($A$2:$A469,$A469)=1,1,0))</f>
        <v/>
      </c>
      <c r="W469">
        <f>IF($V469=1,SUMPRODUCT(--($Y$2:$Y$501&lt;$Y469))+1,"")</f>
        <v/>
      </c>
      <c r="X469">
        <f>IF($A469="","",IF(OR($Q469=TRUE(),$Q469="TRUE"),1,0))</f>
        <v/>
      </c>
      <c r="Y469">
        <f>IF($V469=1,IFERROR(VALUE(MID($A469,2,20)),1000000000)+ROW()/100000,"")</f>
        <v/>
      </c>
    </row>
    <row r="470">
      <c r="B470">
        <f>IF($A470="","",IFERROR(IF(INDEX('Per Invoice'!$A$2:$A$201,MATCH($A470,'Per Invoice'!$B$2:$B$201,0))=0,"",INDEX('Per Invoice'!$A$2:$A$201,MATCH($A470,'Per Invoice'!$B$2:$B$201,0))),""))</f>
        <v/>
      </c>
      <c r="G470" s="7">
        <f>IF($A470="","",F470*T470/100)</f>
        <v/>
      </c>
      <c r="J470" s="7" t="n"/>
      <c r="K470" s="7" t="n"/>
      <c r="L470" s="7" t="n"/>
      <c r="O470" s="11" t="n"/>
      <c r="R470">
        <f>IF($A470="","",IF($X470=1,Settings!$C$6,Settings!$C$7)*1)</f>
        <v/>
      </c>
      <c r="S470" s="7">
        <f>IF($A470="","",R470*L470)</f>
        <v/>
      </c>
      <c r="T470" s="7">
        <f>IF($A470="","",L470-S470)</f>
        <v/>
      </c>
      <c r="U470" s="7">
        <f>IF($A470="","",T470-G470)</f>
        <v/>
      </c>
      <c r="V470">
        <f>IF($A470="","",IF(COUNTIF($A$2:$A470,$A470)=1,1,0))</f>
        <v/>
      </c>
      <c r="W470">
        <f>IF($V470=1,SUMPRODUCT(--($Y$2:$Y$501&lt;$Y470))+1,"")</f>
        <v/>
      </c>
      <c r="X470">
        <f>IF($A470="","",IF(OR($Q470=TRUE(),$Q470="TRUE"),1,0))</f>
        <v/>
      </c>
      <c r="Y470">
        <f>IF($V470=1,IFERROR(VALUE(MID($A470,2,20)),1000000000)+ROW()/100000,"")</f>
        <v/>
      </c>
    </row>
    <row r="471">
      <c r="B471">
        <f>IF($A471="","",IFERROR(IF(INDEX('Per Invoice'!$A$2:$A$201,MATCH($A471,'Per Invoice'!$B$2:$B$201,0))=0,"",INDEX('Per Invoice'!$A$2:$A$201,MATCH($A471,'Per Invoice'!$B$2:$B$201,0))),""))</f>
        <v/>
      </c>
      <c r="G471" s="7">
        <f>IF($A471="","",F471*T471/100)</f>
        <v/>
      </c>
      <c r="J471" s="7" t="n"/>
      <c r="K471" s="7" t="n"/>
      <c r="L471" s="7" t="n"/>
      <c r="O471" s="11" t="n"/>
      <c r="R471">
        <f>IF($A471="","",IF($X471=1,Settings!$C$6,Settings!$C$7)*1)</f>
        <v/>
      </c>
      <c r="S471" s="7">
        <f>IF($A471="","",R471*L471)</f>
        <v/>
      </c>
      <c r="T471" s="7">
        <f>IF($A471="","",L471-S471)</f>
        <v/>
      </c>
      <c r="U471" s="7">
        <f>IF($A471="","",T471-G471)</f>
        <v/>
      </c>
      <c r="V471">
        <f>IF($A471="","",IF(COUNTIF($A$2:$A471,$A471)=1,1,0))</f>
        <v/>
      </c>
      <c r="W471">
        <f>IF($V471=1,SUMPRODUCT(--($Y$2:$Y$501&lt;$Y471))+1,"")</f>
        <v/>
      </c>
      <c r="X471">
        <f>IF($A471="","",IF(OR($Q471=TRUE(),$Q471="TRUE"),1,0))</f>
        <v/>
      </c>
      <c r="Y471">
        <f>IF($V471=1,IFERROR(VALUE(MID($A471,2,20)),1000000000)+ROW()/100000,"")</f>
        <v/>
      </c>
    </row>
    <row r="472">
      <c r="B472">
        <f>IF($A472="","",IFERROR(IF(INDEX('Per Invoice'!$A$2:$A$201,MATCH($A472,'Per Invoice'!$B$2:$B$201,0))=0,"",INDEX('Per Invoice'!$A$2:$A$201,MATCH($A472,'Per Invoice'!$B$2:$B$201,0))),""))</f>
        <v/>
      </c>
      <c r="G472" s="7">
        <f>IF($A472="","",F472*T472/100)</f>
        <v/>
      </c>
      <c r="J472" s="7" t="n"/>
      <c r="K472" s="7" t="n"/>
      <c r="L472" s="7" t="n"/>
      <c r="O472" s="11" t="n"/>
      <c r="R472">
        <f>IF($A472="","",IF($X472=1,Settings!$C$6,Settings!$C$7)*1)</f>
        <v/>
      </c>
      <c r="S472" s="7">
        <f>IF($A472="","",R472*L472)</f>
        <v/>
      </c>
      <c r="T472" s="7">
        <f>IF($A472="","",L472-S472)</f>
        <v/>
      </c>
      <c r="U472" s="7">
        <f>IF($A472="","",T472-G472)</f>
        <v/>
      </c>
      <c r="V472">
        <f>IF($A472="","",IF(COUNTIF($A$2:$A472,$A472)=1,1,0))</f>
        <v/>
      </c>
      <c r="W472">
        <f>IF($V472=1,SUMPRODUCT(--($Y$2:$Y$501&lt;$Y472))+1,"")</f>
        <v/>
      </c>
      <c r="X472">
        <f>IF($A472="","",IF(OR($Q472=TRUE(),$Q472="TRUE"),1,0))</f>
        <v/>
      </c>
      <c r="Y472">
        <f>IF($V472=1,IFERROR(VALUE(MID($A472,2,20)),1000000000)+ROW()/100000,"")</f>
        <v/>
      </c>
    </row>
    <row r="473">
      <c r="B473">
        <f>IF($A473="","",IFERROR(IF(INDEX('Per Invoice'!$A$2:$A$201,MATCH($A473,'Per Invoice'!$B$2:$B$201,0))=0,"",INDEX('Per Invoice'!$A$2:$A$201,MATCH($A473,'Per Invoice'!$B$2:$B$201,0))),""))</f>
        <v/>
      </c>
      <c r="G473" s="7">
        <f>IF($A473="","",F473*T473/100)</f>
        <v/>
      </c>
      <c r="J473" s="7" t="n"/>
      <c r="K473" s="7" t="n"/>
      <c r="L473" s="7" t="n"/>
      <c r="O473" s="11" t="n"/>
      <c r="R473">
        <f>IF($A473="","",IF($X473=1,Settings!$C$6,Settings!$C$7)*1)</f>
        <v/>
      </c>
      <c r="S473" s="7">
        <f>IF($A473="","",R473*L473)</f>
        <v/>
      </c>
      <c r="T473" s="7">
        <f>IF($A473="","",L473-S473)</f>
        <v/>
      </c>
      <c r="U473" s="7">
        <f>IF($A473="","",T473-G473)</f>
        <v/>
      </c>
      <c r="V473">
        <f>IF($A473="","",IF(COUNTIF($A$2:$A473,$A473)=1,1,0))</f>
        <v/>
      </c>
      <c r="W473">
        <f>IF($V473=1,SUMPRODUCT(--($Y$2:$Y$501&lt;$Y473))+1,"")</f>
        <v/>
      </c>
      <c r="X473">
        <f>IF($A473="","",IF(OR($Q473=TRUE(),$Q473="TRUE"),1,0))</f>
        <v/>
      </c>
      <c r="Y473">
        <f>IF($V473=1,IFERROR(VALUE(MID($A473,2,20)),1000000000)+ROW()/100000,"")</f>
        <v/>
      </c>
    </row>
    <row r="474">
      <c r="B474">
        <f>IF($A474="","",IFERROR(IF(INDEX('Per Invoice'!$A$2:$A$201,MATCH($A474,'Per Invoice'!$B$2:$B$201,0))=0,"",INDEX('Per Invoice'!$A$2:$A$201,MATCH($A474,'Per Invoice'!$B$2:$B$201,0))),""))</f>
        <v/>
      </c>
      <c r="G474" s="7">
        <f>IF($A474="","",F474*T474/100)</f>
        <v/>
      </c>
      <c r="J474" s="7" t="n"/>
      <c r="K474" s="7" t="n"/>
      <c r="L474" s="7" t="n"/>
      <c r="O474" s="11" t="n"/>
      <c r="R474">
        <f>IF($A474="","",IF($X474=1,Settings!$C$6,Settings!$C$7)*1)</f>
        <v/>
      </c>
      <c r="S474" s="7">
        <f>IF($A474="","",R474*L474)</f>
        <v/>
      </c>
      <c r="T474" s="7">
        <f>IF($A474="","",L474-S474)</f>
        <v/>
      </c>
      <c r="U474" s="7">
        <f>IF($A474="","",T474-G474)</f>
        <v/>
      </c>
      <c r="V474">
        <f>IF($A474="","",IF(COUNTIF($A$2:$A474,$A474)=1,1,0))</f>
        <v/>
      </c>
      <c r="W474">
        <f>IF($V474=1,SUMPRODUCT(--($Y$2:$Y$501&lt;$Y474))+1,"")</f>
        <v/>
      </c>
      <c r="X474">
        <f>IF($A474="","",IF(OR($Q474=TRUE(),$Q474="TRUE"),1,0))</f>
        <v/>
      </c>
      <c r="Y474">
        <f>IF($V474=1,IFERROR(VALUE(MID($A474,2,20)),1000000000)+ROW()/100000,"")</f>
        <v/>
      </c>
    </row>
    <row r="475">
      <c r="B475">
        <f>IF($A475="","",IFERROR(IF(INDEX('Per Invoice'!$A$2:$A$201,MATCH($A475,'Per Invoice'!$B$2:$B$201,0))=0,"",INDEX('Per Invoice'!$A$2:$A$201,MATCH($A475,'Per Invoice'!$B$2:$B$201,0))),""))</f>
        <v/>
      </c>
      <c r="G475" s="7">
        <f>IF($A475="","",F475*T475/100)</f>
        <v/>
      </c>
      <c r="J475" s="7" t="n"/>
      <c r="K475" s="7" t="n"/>
      <c r="L475" s="7" t="n"/>
      <c r="O475" s="11" t="n"/>
      <c r="R475">
        <f>IF($A475="","",IF($X475=1,Settings!$C$6,Settings!$C$7)*1)</f>
        <v/>
      </c>
      <c r="S475" s="7">
        <f>IF($A475="","",R475*L475)</f>
        <v/>
      </c>
      <c r="T475" s="7">
        <f>IF($A475="","",L475-S475)</f>
        <v/>
      </c>
      <c r="U475" s="7">
        <f>IF($A475="","",T475-G475)</f>
        <v/>
      </c>
      <c r="V475">
        <f>IF($A475="","",IF(COUNTIF($A$2:$A475,$A475)=1,1,0))</f>
        <v/>
      </c>
      <c r="W475">
        <f>IF($V475=1,SUMPRODUCT(--($Y$2:$Y$501&lt;$Y475))+1,"")</f>
        <v/>
      </c>
      <c r="X475">
        <f>IF($A475="","",IF(OR($Q475=TRUE(),$Q475="TRUE"),1,0))</f>
        <v/>
      </c>
      <c r="Y475">
        <f>IF($V475=1,IFERROR(VALUE(MID($A475,2,20)),1000000000)+ROW()/100000,"")</f>
        <v/>
      </c>
    </row>
    <row r="476">
      <c r="B476">
        <f>IF($A476="","",IFERROR(IF(INDEX('Per Invoice'!$A$2:$A$201,MATCH($A476,'Per Invoice'!$B$2:$B$201,0))=0,"",INDEX('Per Invoice'!$A$2:$A$201,MATCH($A476,'Per Invoice'!$B$2:$B$201,0))),""))</f>
        <v/>
      </c>
      <c r="G476" s="7">
        <f>IF($A476="","",F476*T476/100)</f>
        <v/>
      </c>
      <c r="J476" s="7" t="n"/>
      <c r="K476" s="7" t="n"/>
      <c r="L476" s="7" t="n"/>
      <c r="O476" s="11" t="n"/>
      <c r="R476">
        <f>IF($A476="","",IF($X476=1,Settings!$C$6,Settings!$C$7)*1)</f>
        <v/>
      </c>
      <c r="S476" s="7">
        <f>IF($A476="","",R476*L476)</f>
        <v/>
      </c>
      <c r="T476" s="7">
        <f>IF($A476="","",L476-S476)</f>
        <v/>
      </c>
      <c r="U476" s="7">
        <f>IF($A476="","",T476-G476)</f>
        <v/>
      </c>
      <c r="V476">
        <f>IF($A476="","",IF(COUNTIF($A$2:$A476,$A476)=1,1,0))</f>
        <v/>
      </c>
      <c r="W476">
        <f>IF($V476=1,SUMPRODUCT(--($Y$2:$Y$501&lt;$Y476))+1,"")</f>
        <v/>
      </c>
      <c r="X476">
        <f>IF($A476="","",IF(OR($Q476=TRUE(),$Q476="TRUE"),1,0))</f>
        <v/>
      </c>
      <c r="Y476">
        <f>IF($V476=1,IFERROR(VALUE(MID($A476,2,20)),1000000000)+ROW()/100000,"")</f>
        <v/>
      </c>
    </row>
    <row r="477">
      <c r="B477">
        <f>IF($A477="","",IFERROR(IF(INDEX('Per Invoice'!$A$2:$A$201,MATCH($A477,'Per Invoice'!$B$2:$B$201,0))=0,"",INDEX('Per Invoice'!$A$2:$A$201,MATCH($A477,'Per Invoice'!$B$2:$B$201,0))),""))</f>
        <v/>
      </c>
      <c r="G477" s="7">
        <f>IF($A477="","",F477*T477/100)</f>
        <v/>
      </c>
      <c r="J477" s="7" t="n"/>
      <c r="K477" s="7" t="n"/>
      <c r="L477" s="7" t="n"/>
      <c r="O477" s="11" t="n"/>
      <c r="R477">
        <f>IF($A477="","",IF($X477=1,Settings!$C$6,Settings!$C$7)*1)</f>
        <v/>
      </c>
      <c r="S477" s="7">
        <f>IF($A477="","",R477*L477)</f>
        <v/>
      </c>
      <c r="T477" s="7">
        <f>IF($A477="","",L477-S477)</f>
        <v/>
      </c>
      <c r="U477" s="7">
        <f>IF($A477="","",T477-G477)</f>
        <v/>
      </c>
      <c r="V477">
        <f>IF($A477="","",IF(COUNTIF($A$2:$A477,$A477)=1,1,0))</f>
        <v/>
      </c>
      <c r="W477">
        <f>IF($V477=1,SUMPRODUCT(--($Y$2:$Y$501&lt;$Y477))+1,"")</f>
        <v/>
      </c>
      <c r="X477">
        <f>IF($A477="","",IF(OR($Q477=TRUE(),$Q477="TRUE"),1,0))</f>
        <v/>
      </c>
      <c r="Y477">
        <f>IF($V477=1,IFERROR(VALUE(MID($A477,2,20)),1000000000)+ROW()/100000,"")</f>
        <v/>
      </c>
    </row>
    <row r="478">
      <c r="B478">
        <f>IF($A478="","",IFERROR(IF(INDEX('Per Invoice'!$A$2:$A$201,MATCH($A478,'Per Invoice'!$B$2:$B$201,0))=0,"",INDEX('Per Invoice'!$A$2:$A$201,MATCH($A478,'Per Invoice'!$B$2:$B$201,0))),""))</f>
        <v/>
      </c>
      <c r="G478" s="7">
        <f>IF($A478="","",F478*T478/100)</f>
        <v/>
      </c>
      <c r="J478" s="7" t="n"/>
      <c r="K478" s="7" t="n"/>
      <c r="L478" s="7" t="n"/>
      <c r="O478" s="11" t="n"/>
      <c r="R478">
        <f>IF($A478="","",IF($X478=1,Settings!$C$6,Settings!$C$7)*1)</f>
        <v/>
      </c>
      <c r="S478" s="7">
        <f>IF($A478="","",R478*L478)</f>
        <v/>
      </c>
      <c r="T478" s="7">
        <f>IF($A478="","",L478-S478)</f>
        <v/>
      </c>
      <c r="U478" s="7">
        <f>IF($A478="","",T478-G478)</f>
        <v/>
      </c>
      <c r="V478">
        <f>IF($A478="","",IF(COUNTIF($A$2:$A478,$A478)=1,1,0))</f>
        <v/>
      </c>
      <c r="W478">
        <f>IF($V478=1,SUMPRODUCT(--($Y$2:$Y$501&lt;$Y478))+1,"")</f>
        <v/>
      </c>
      <c r="X478">
        <f>IF($A478="","",IF(OR($Q478=TRUE(),$Q478="TRUE"),1,0))</f>
        <v/>
      </c>
      <c r="Y478">
        <f>IF($V478=1,IFERROR(VALUE(MID($A478,2,20)),1000000000)+ROW()/100000,"")</f>
        <v/>
      </c>
    </row>
    <row r="479">
      <c r="B479">
        <f>IF($A479="","",IFERROR(IF(INDEX('Per Invoice'!$A$2:$A$201,MATCH($A479,'Per Invoice'!$B$2:$B$201,0))=0,"",INDEX('Per Invoice'!$A$2:$A$201,MATCH($A479,'Per Invoice'!$B$2:$B$201,0))),""))</f>
        <v/>
      </c>
      <c r="G479" s="7">
        <f>IF($A479="","",F479*T479/100)</f>
        <v/>
      </c>
      <c r="J479" s="7" t="n"/>
      <c r="K479" s="7" t="n"/>
      <c r="L479" s="7" t="n"/>
      <c r="O479" s="11" t="n"/>
      <c r="R479">
        <f>IF($A479="","",IF($X479=1,Settings!$C$6,Settings!$C$7)*1)</f>
        <v/>
      </c>
      <c r="S479" s="7">
        <f>IF($A479="","",R479*L479)</f>
        <v/>
      </c>
      <c r="T479" s="7">
        <f>IF($A479="","",L479-S479)</f>
        <v/>
      </c>
      <c r="U479" s="7">
        <f>IF($A479="","",T479-G479)</f>
        <v/>
      </c>
      <c r="V479">
        <f>IF($A479="","",IF(COUNTIF($A$2:$A479,$A479)=1,1,0))</f>
        <v/>
      </c>
      <c r="W479">
        <f>IF($V479=1,SUMPRODUCT(--($Y$2:$Y$501&lt;$Y479))+1,"")</f>
        <v/>
      </c>
      <c r="X479">
        <f>IF($A479="","",IF(OR($Q479=TRUE(),$Q479="TRUE"),1,0))</f>
        <v/>
      </c>
      <c r="Y479">
        <f>IF($V479=1,IFERROR(VALUE(MID($A479,2,20)),1000000000)+ROW()/100000,"")</f>
        <v/>
      </c>
    </row>
    <row r="480">
      <c r="B480">
        <f>IF($A480="","",IFERROR(IF(INDEX('Per Invoice'!$A$2:$A$201,MATCH($A480,'Per Invoice'!$B$2:$B$201,0))=0,"",INDEX('Per Invoice'!$A$2:$A$201,MATCH($A480,'Per Invoice'!$B$2:$B$201,0))),""))</f>
        <v/>
      </c>
      <c r="G480" s="7">
        <f>IF($A480="","",F480*T480/100)</f>
        <v/>
      </c>
      <c r="J480" s="7" t="n"/>
      <c r="K480" s="7" t="n"/>
      <c r="L480" s="7" t="n"/>
      <c r="O480" s="11" t="n"/>
      <c r="R480">
        <f>IF($A480="","",IF($X480=1,Settings!$C$6,Settings!$C$7)*1)</f>
        <v/>
      </c>
      <c r="S480" s="7">
        <f>IF($A480="","",R480*L480)</f>
        <v/>
      </c>
      <c r="T480" s="7">
        <f>IF($A480="","",L480-S480)</f>
        <v/>
      </c>
      <c r="U480" s="7">
        <f>IF($A480="","",T480-G480)</f>
        <v/>
      </c>
      <c r="V480">
        <f>IF($A480="","",IF(COUNTIF($A$2:$A480,$A480)=1,1,0))</f>
        <v/>
      </c>
      <c r="W480">
        <f>IF($V480=1,SUMPRODUCT(--($Y$2:$Y$501&lt;$Y480))+1,"")</f>
        <v/>
      </c>
      <c r="X480">
        <f>IF($A480="","",IF(OR($Q480=TRUE(),$Q480="TRUE"),1,0))</f>
        <v/>
      </c>
      <c r="Y480">
        <f>IF($V480=1,IFERROR(VALUE(MID($A480,2,20)),1000000000)+ROW()/100000,"")</f>
        <v/>
      </c>
    </row>
    <row r="481">
      <c r="B481">
        <f>IF($A481="","",IFERROR(IF(INDEX('Per Invoice'!$A$2:$A$201,MATCH($A481,'Per Invoice'!$B$2:$B$201,0))=0,"",INDEX('Per Invoice'!$A$2:$A$201,MATCH($A481,'Per Invoice'!$B$2:$B$201,0))),""))</f>
        <v/>
      </c>
      <c r="G481" s="7">
        <f>IF($A481="","",F481*T481/100)</f>
        <v/>
      </c>
      <c r="J481" s="7" t="n"/>
      <c r="K481" s="7" t="n"/>
      <c r="L481" s="7" t="n"/>
      <c r="O481" s="11" t="n"/>
      <c r="R481">
        <f>IF($A481="","",IF($X481=1,Settings!$C$6,Settings!$C$7)*1)</f>
        <v/>
      </c>
      <c r="S481" s="7">
        <f>IF($A481="","",R481*L481)</f>
        <v/>
      </c>
      <c r="T481" s="7">
        <f>IF($A481="","",L481-S481)</f>
        <v/>
      </c>
      <c r="U481" s="7">
        <f>IF($A481="","",T481-G481)</f>
        <v/>
      </c>
      <c r="V481">
        <f>IF($A481="","",IF(COUNTIF($A$2:$A481,$A481)=1,1,0))</f>
        <v/>
      </c>
      <c r="W481">
        <f>IF($V481=1,SUMPRODUCT(--($Y$2:$Y$501&lt;$Y481))+1,"")</f>
        <v/>
      </c>
      <c r="X481">
        <f>IF($A481="","",IF(OR($Q481=TRUE(),$Q481="TRUE"),1,0))</f>
        <v/>
      </c>
      <c r="Y481">
        <f>IF($V481=1,IFERROR(VALUE(MID($A481,2,20)),1000000000)+ROW()/100000,"")</f>
        <v/>
      </c>
    </row>
    <row r="482">
      <c r="B482">
        <f>IF($A482="","",IFERROR(IF(INDEX('Per Invoice'!$A$2:$A$201,MATCH($A482,'Per Invoice'!$B$2:$B$201,0))=0,"",INDEX('Per Invoice'!$A$2:$A$201,MATCH($A482,'Per Invoice'!$B$2:$B$201,0))),""))</f>
        <v/>
      </c>
      <c r="G482" s="7">
        <f>IF($A482="","",F482*T482/100)</f>
        <v/>
      </c>
      <c r="J482" s="7" t="n"/>
      <c r="K482" s="7" t="n"/>
      <c r="L482" s="7" t="n"/>
      <c r="O482" s="11" t="n"/>
      <c r="R482">
        <f>IF($A482="","",IF($X482=1,Settings!$C$6,Settings!$C$7)*1)</f>
        <v/>
      </c>
      <c r="S482" s="7">
        <f>IF($A482="","",R482*L482)</f>
        <v/>
      </c>
      <c r="T482" s="7">
        <f>IF($A482="","",L482-S482)</f>
        <v/>
      </c>
      <c r="U482" s="7">
        <f>IF($A482="","",T482-G482)</f>
        <v/>
      </c>
      <c r="V482">
        <f>IF($A482="","",IF(COUNTIF($A$2:$A482,$A482)=1,1,0))</f>
        <v/>
      </c>
      <c r="W482">
        <f>IF($V482=1,SUMPRODUCT(--($Y$2:$Y$501&lt;$Y482))+1,"")</f>
        <v/>
      </c>
      <c r="X482">
        <f>IF($A482="","",IF(OR($Q482=TRUE(),$Q482="TRUE"),1,0))</f>
        <v/>
      </c>
      <c r="Y482">
        <f>IF($V482=1,IFERROR(VALUE(MID($A482,2,20)),1000000000)+ROW()/100000,"")</f>
        <v/>
      </c>
    </row>
    <row r="483">
      <c r="B483">
        <f>IF($A483="","",IFERROR(IF(INDEX('Per Invoice'!$A$2:$A$201,MATCH($A483,'Per Invoice'!$B$2:$B$201,0))=0,"",INDEX('Per Invoice'!$A$2:$A$201,MATCH($A483,'Per Invoice'!$B$2:$B$201,0))),""))</f>
        <v/>
      </c>
      <c r="G483" s="7">
        <f>IF($A483="","",F483*T483/100)</f>
        <v/>
      </c>
      <c r="J483" s="7" t="n"/>
      <c r="K483" s="7" t="n"/>
      <c r="L483" s="7" t="n"/>
      <c r="O483" s="11" t="n"/>
      <c r="R483">
        <f>IF($A483="","",IF($X483=1,Settings!$C$6,Settings!$C$7)*1)</f>
        <v/>
      </c>
      <c r="S483" s="7">
        <f>IF($A483="","",R483*L483)</f>
        <v/>
      </c>
      <c r="T483" s="7">
        <f>IF($A483="","",L483-S483)</f>
        <v/>
      </c>
      <c r="U483" s="7">
        <f>IF($A483="","",T483-G483)</f>
        <v/>
      </c>
      <c r="V483">
        <f>IF($A483="","",IF(COUNTIF($A$2:$A483,$A483)=1,1,0))</f>
        <v/>
      </c>
      <c r="W483">
        <f>IF($V483=1,SUMPRODUCT(--($Y$2:$Y$501&lt;$Y483))+1,"")</f>
        <v/>
      </c>
      <c r="X483">
        <f>IF($A483="","",IF(OR($Q483=TRUE(),$Q483="TRUE"),1,0))</f>
        <v/>
      </c>
      <c r="Y483">
        <f>IF($V483=1,IFERROR(VALUE(MID($A483,2,20)),1000000000)+ROW()/100000,"")</f>
        <v/>
      </c>
    </row>
    <row r="484">
      <c r="B484">
        <f>IF($A484="","",IFERROR(IF(INDEX('Per Invoice'!$A$2:$A$201,MATCH($A484,'Per Invoice'!$B$2:$B$201,0))=0,"",INDEX('Per Invoice'!$A$2:$A$201,MATCH($A484,'Per Invoice'!$B$2:$B$201,0))),""))</f>
        <v/>
      </c>
      <c r="G484" s="7">
        <f>IF($A484="","",F484*T484/100)</f>
        <v/>
      </c>
      <c r="J484" s="7" t="n"/>
      <c r="K484" s="7" t="n"/>
      <c r="L484" s="7" t="n"/>
      <c r="O484" s="11" t="n"/>
      <c r="R484">
        <f>IF($A484="","",IF($X484=1,Settings!$C$6,Settings!$C$7)*1)</f>
        <v/>
      </c>
      <c r="S484" s="7">
        <f>IF($A484="","",R484*L484)</f>
        <v/>
      </c>
      <c r="T484" s="7">
        <f>IF($A484="","",L484-S484)</f>
        <v/>
      </c>
      <c r="U484" s="7">
        <f>IF($A484="","",T484-G484)</f>
        <v/>
      </c>
      <c r="V484">
        <f>IF($A484="","",IF(COUNTIF($A$2:$A484,$A484)=1,1,0))</f>
        <v/>
      </c>
      <c r="W484">
        <f>IF($V484=1,SUMPRODUCT(--($Y$2:$Y$501&lt;$Y484))+1,"")</f>
        <v/>
      </c>
      <c r="X484">
        <f>IF($A484="","",IF(OR($Q484=TRUE(),$Q484="TRUE"),1,0))</f>
        <v/>
      </c>
      <c r="Y484">
        <f>IF($V484=1,IFERROR(VALUE(MID($A484,2,20)),1000000000)+ROW()/100000,"")</f>
        <v/>
      </c>
    </row>
    <row r="485">
      <c r="B485">
        <f>IF($A485="","",IFERROR(IF(INDEX('Per Invoice'!$A$2:$A$201,MATCH($A485,'Per Invoice'!$B$2:$B$201,0))=0,"",INDEX('Per Invoice'!$A$2:$A$201,MATCH($A485,'Per Invoice'!$B$2:$B$201,0))),""))</f>
        <v/>
      </c>
      <c r="G485" s="7">
        <f>IF($A485="","",F485*T485/100)</f>
        <v/>
      </c>
      <c r="J485" s="7" t="n"/>
      <c r="K485" s="7" t="n"/>
      <c r="L485" s="7" t="n"/>
      <c r="O485" s="11" t="n"/>
      <c r="R485">
        <f>IF($A485="","",IF($X485=1,Settings!$C$6,Settings!$C$7)*1)</f>
        <v/>
      </c>
      <c r="S485" s="7">
        <f>IF($A485="","",R485*L485)</f>
        <v/>
      </c>
      <c r="T485" s="7">
        <f>IF($A485="","",L485-S485)</f>
        <v/>
      </c>
      <c r="U485" s="7">
        <f>IF($A485="","",T485-G485)</f>
        <v/>
      </c>
      <c r="V485">
        <f>IF($A485="","",IF(COUNTIF($A$2:$A485,$A485)=1,1,0))</f>
        <v/>
      </c>
      <c r="W485">
        <f>IF($V485=1,SUMPRODUCT(--($Y$2:$Y$501&lt;$Y485))+1,"")</f>
        <v/>
      </c>
      <c r="X485">
        <f>IF($A485="","",IF(OR($Q485=TRUE(),$Q485="TRUE"),1,0))</f>
        <v/>
      </c>
      <c r="Y485">
        <f>IF($V485=1,IFERROR(VALUE(MID($A485,2,20)),1000000000)+ROW()/100000,"")</f>
        <v/>
      </c>
    </row>
    <row r="486">
      <c r="B486">
        <f>IF($A486="","",IFERROR(IF(INDEX('Per Invoice'!$A$2:$A$201,MATCH($A486,'Per Invoice'!$B$2:$B$201,0))=0,"",INDEX('Per Invoice'!$A$2:$A$201,MATCH($A486,'Per Invoice'!$B$2:$B$201,0))),""))</f>
        <v/>
      </c>
      <c r="G486" s="7">
        <f>IF($A486="","",F486*T486/100)</f>
        <v/>
      </c>
      <c r="J486" s="7" t="n"/>
      <c r="K486" s="7" t="n"/>
      <c r="L486" s="7" t="n"/>
      <c r="O486" s="11" t="n"/>
      <c r="R486">
        <f>IF($A486="","",IF($X486=1,Settings!$C$6,Settings!$C$7)*1)</f>
        <v/>
      </c>
      <c r="S486" s="7">
        <f>IF($A486="","",R486*L486)</f>
        <v/>
      </c>
      <c r="T486" s="7">
        <f>IF($A486="","",L486-S486)</f>
        <v/>
      </c>
      <c r="U486" s="7">
        <f>IF($A486="","",T486-G486)</f>
        <v/>
      </c>
      <c r="V486">
        <f>IF($A486="","",IF(COUNTIF($A$2:$A486,$A486)=1,1,0))</f>
        <v/>
      </c>
      <c r="W486">
        <f>IF($V486=1,SUMPRODUCT(--($Y$2:$Y$501&lt;$Y486))+1,"")</f>
        <v/>
      </c>
      <c r="X486">
        <f>IF($A486="","",IF(OR($Q486=TRUE(),$Q486="TRUE"),1,0))</f>
        <v/>
      </c>
      <c r="Y486">
        <f>IF($V486=1,IFERROR(VALUE(MID($A486,2,20)),1000000000)+ROW()/100000,"")</f>
        <v/>
      </c>
    </row>
    <row r="487">
      <c r="B487">
        <f>IF($A487="","",IFERROR(IF(INDEX('Per Invoice'!$A$2:$A$201,MATCH($A487,'Per Invoice'!$B$2:$B$201,0))=0,"",INDEX('Per Invoice'!$A$2:$A$201,MATCH($A487,'Per Invoice'!$B$2:$B$201,0))),""))</f>
        <v/>
      </c>
      <c r="G487" s="7">
        <f>IF($A487="","",F487*T487/100)</f>
        <v/>
      </c>
      <c r="J487" s="7" t="n"/>
      <c r="K487" s="7" t="n"/>
      <c r="L487" s="7" t="n"/>
      <c r="O487" s="11" t="n"/>
      <c r="R487">
        <f>IF($A487="","",IF($X487=1,Settings!$C$6,Settings!$C$7)*1)</f>
        <v/>
      </c>
      <c r="S487" s="7">
        <f>IF($A487="","",R487*L487)</f>
        <v/>
      </c>
      <c r="T487" s="7">
        <f>IF($A487="","",L487-S487)</f>
        <v/>
      </c>
      <c r="U487" s="7">
        <f>IF($A487="","",T487-G487)</f>
        <v/>
      </c>
      <c r="V487">
        <f>IF($A487="","",IF(COUNTIF($A$2:$A487,$A487)=1,1,0))</f>
        <v/>
      </c>
      <c r="W487">
        <f>IF($V487=1,SUMPRODUCT(--($Y$2:$Y$501&lt;$Y487))+1,"")</f>
        <v/>
      </c>
      <c r="X487">
        <f>IF($A487="","",IF(OR($Q487=TRUE(),$Q487="TRUE"),1,0))</f>
        <v/>
      </c>
      <c r="Y487">
        <f>IF($V487=1,IFERROR(VALUE(MID($A487,2,20)),1000000000)+ROW()/100000,"")</f>
        <v/>
      </c>
    </row>
    <row r="488">
      <c r="B488">
        <f>IF($A488="","",IFERROR(IF(INDEX('Per Invoice'!$A$2:$A$201,MATCH($A488,'Per Invoice'!$B$2:$B$201,0))=0,"",INDEX('Per Invoice'!$A$2:$A$201,MATCH($A488,'Per Invoice'!$B$2:$B$201,0))),""))</f>
        <v/>
      </c>
      <c r="G488" s="7">
        <f>IF($A488="","",F488*T488/100)</f>
        <v/>
      </c>
      <c r="J488" s="7" t="n"/>
      <c r="K488" s="7" t="n"/>
      <c r="L488" s="7" t="n"/>
      <c r="O488" s="11" t="n"/>
      <c r="R488">
        <f>IF($A488="","",IF($X488=1,Settings!$C$6,Settings!$C$7)*1)</f>
        <v/>
      </c>
      <c r="S488" s="7">
        <f>IF($A488="","",R488*L488)</f>
        <v/>
      </c>
      <c r="T488" s="7">
        <f>IF($A488="","",L488-S488)</f>
        <v/>
      </c>
      <c r="U488" s="7">
        <f>IF($A488="","",T488-G488)</f>
        <v/>
      </c>
      <c r="V488">
        <f>IF($A488="","",IF(COUNTIF($A$2:$A488,$A488)=1,1,0))</f>
        <v/>
      </c>
      <c r="W488">
        <f>IF($V488=1,SUMPRODUCT(--($Y$2:$Y$501&lt;$Y488))+1,"")</f>
        <v/>
      </c>
      <c r="X488">
        <f>IF($A488="","",IF(OR($Q488=TRUE(),$Q488="TRUE"),1,0))</f>
        <v/>
      </c>
      <c r="Y488">
        <f>IF($V488=1,IFERROR(VALUE(MID($A488,2,20)),1000000000)+ROW()/100000,"")</f>
        <v/>
      </c>
    </row>
    <row r="489">
      <c r="B489">
        <f>IF($A489="","",IFERROR(IF(INDEX('Per Invoice'!$A$2:$A$201,MATCH($A489,'Per Invoice'!$B$2:$B$201,0))=0,"",INDEX('Per Invoice'!$A$2:$A$201,MATCH($A489,'Per Invoice'!$B$2:$B$201,0))),""))</f>
        <v/>
      </c>
      <c r="G489" s="7">
        <f>IF($A489="","",F489*T489/100)</f>
        <v/>
      </c>
      <c r="J489" s="7" t="n"/>
      <c r="K489" s="7" t="n"/>
      <c r="L489" s="7" t="n"/>
      <c r="O489" s="11" t="n"/>
      <c r="R489">
        <f>IF($A489="","",IF($X489=1,Settings!$C$6,Settings!$C$7)*1)</f>
        <v/>
      </c>
      <c r="S489" s="7">
        <f>IF($A489="","",R489*L489)</f>
        <v/>
      </c>
      <c r="T489" s="7">
        <f>IF($A489="","",L489-S489)</f>
        <v/>
      </c>
      <c r="U489" s="7">
        <f>IF($A489="","",T489-G489)</f>
        <v/>
      </c>
      <c r="V489">
        <f>IF($A489="","",IF(COUNTIF($A$2:$A489,$A489)=1,1,0))</f>
        <v/>
      </c>
      <c r="W489">
        <f>IF($V489=1,SUMPRODUCT(--($Y$2:$Y$501&lt;$Y489))+1,"")</f>
        <v/>
      </c>
      <c r="X489">
        <f>IF($A489="","",IF(OR($Q489=TRUE(),$Q489="TRUE"),1,0))</f>
        <v/>
      </c>
      <c r="Y489">
        <f>IF($V489=1,IFERROR(VALUE(MID($A489,2,20)),1000000000)+ROW()/100000,"")</f>
        <v/>
      </c>
    </row>
    <row r="490">
      <c r="B490">
        <f>IF($A490="","",IFERROR(IF(INDEX('Per Invoice'!$A$2:$A$201,MATCH($A490,'Per Invoice'!$B$2:$B$201,0))=0,"",INDEX('Per Invoice'!$A$2:$A$201,MATCH($A490,'Per Invoice'!$B$2:$B$201,0))),""))</f>
        <v/>
      </c>
      <c r="G490" s="7">
        <f>IF($A490="","",F490*T490/100)</f>
        <v/>
      </c>
      <c r="J490" s="7" t="n"/>
      <c r="K490" s="7" t="n"/>
      <c r="L490" s="7" t="n"/>
      <c r="O490" s="11" t="n"/>
      <c r="R490">
        <f>IF($A490="","",IF($X490=1,Settings!$C$6,Settings!$C$7)*1)</f>
        <v/>
      </c>
      <c r="S490" s="7">
        <f>IF($A490="","",R490*L490)</f>
        <v/>
      </c>
      <c r="T490" s="7">
        <f>IF($A490="","",L490-S490)</f>
        <v/>
      </c>
      <c r="U490" s="7">
        <f>IF($A490="","",T490-G490)</f>
        <v/>
      </c>
      <c r="V490">
        <f>IF($A490="","",IF(COUNTIF($A$2:$A490,$A490)=1,1,0))</f>
        <v/>
      </c>
      <c r="W490">
        <f>IF($V490=1,SUMPRODUCT(--($Y$2:$Y$501&lt;$Y490))+1,"")</f>
        <v/>
      </c>
      <c r="X490">
        <f>IF($A490="","",IF(OR($Q490=TRUE(),$Q490="TRUE"),1,0))</f>
        <v/>
      </c>
      <c r="Y490">
        <f>IF($V490=1,IFERROR(VALUE(MID($A490,2,20)),1000000000)+ROW()/100000,"")</f>
        <v/>
      </c>
    </row>
    <row r="491">
      <c r="B491">
        <f>IF($A491="","",IFERROR(IF(INDEX('Per Invoice'!$A$2:$A$201,MATCH($A491,'Per Invoice'!$B$2:$B$201,0))=0,"",INDEX('Per Invoice'!$A$2:$A$201,MATCH($A491,'Per Invoice'!$B$2:$B$201,0))),""))</f>
        <v/>
      </c>
      <c r="G491" s="7">
        <f>IF($A491="","",F491*T491/100)</f>
        <v/>
      </c>
      <c r="J491" s="7" t="n"/>
      <c r="K491" s="7" t="n"/>
      <c r="L491" s="7" t="n"/>
      <c r="O491" s="11" t="n"/>
      <c r="R491">
        <f>IF($A491="","",IF($X491=1,Settings!$C$6,Settings!$C$7)*1)</f>
        <v/>
      </c>
      <c r="S491" s="7">
        <f>IF($A491="","",R491*L491)</f>
        <v/>
      </c>
      <c r="T491" s="7">
        <f>IF($A491="","",L491-S491)</f>
        <v/>
      </c>
      <c r="U491" s="7">
        <f>IF($A491="","",T491-G491)</f>
        <v/>
      </c>
      <c r="V491">
        <f>IF($A491="","",IF(COUNTIF($A$2:$A491,$A491)=1,1,0))</f>
        <v/>
      </c>
      <c r="W491">
        <f>IF($V491=1,SUMPRODUCT(--($Y$2:$Y$501&lt;$Y491))+1,"")</f>
        <v/>
      </c>
      <c r="X491">
        <f>IF($A491="","",IF(OR($Q491=TRUE(),$Q491="TRUE"),1,0))</f>
        <v/>
      </c>
      <c r="Y491">
        <f>IF($V491=1,IFERROR(VALUE(MID($A491,2,20)),1000000000)+ROW()/100000,"")</f>
        <v/>
      </c>
    </row>
    <row r="492">
      <c r="B492">
        <f>IF($A492="","",IFERROR(IF(INDEX('Per Invoice'!$A$2:$A$201,MATCH($A492,'Per Invoice'!$B$2:$B$201,0))=0,"",INDEX('Per Invoice'!$A$2:$A$201,MATCH($A492,'Per Invoice'!$B$2:$B$201,0))),""))</f>
        <v/>
      </c>
      <c r="G492" s="7">
        <f>IF($A492="","",F492*T492/100)</f>
        <v/>
      </c>
      <c r="J492" s="7" t="n"/>
      <c r="K492" s="7" t="n"/>
      <c r="L492" s="7" t="n"/>
      <c r="O492" s="11" t="n"/>
      <c r="R492">
        <f>IF($A492="","",IF($X492=1,Settings!$C$6,Settings!$C$7)*1)</f>
        <v/>
      </c>
      <c r="S492" s="7">
        <f>IF($A492="","",R492*L492)</f>
        <v/>
      </c>
      <c r="T492" s="7">
        <f>IF($A492="","",L492-S492)</f>
        <v/>
      </c>
      <c r="U492" s="7">
        <f>IF($A492="","",T492-G492)</f>
        <v/>
      </c>
      <c r="V492">
        <f>IF($A492="","",IF(COUNTIF($A$2:$A492,$A492)=1,1,0))</f>
        <v/>
      </c>
      <c r="W492">
        <f>IF($V492=1,SUMPRODUCT(--($Y$2:$Y$501&lt;$Y492))+1,"")</f>
        <v/>
      </c>
      <c r="X492">
        <f>IF($A492="","",IF(OR($Q492=TRUE(),$Q492="TRUE"),1,0))</f>
        <v/>
      </c>
      <c r="Y492">
        <f>IF($V492=1,IFERROR(VALUE(MID($A492,2,20)),1000000000)+ROW()/100000,"")</f>
        <v/>
      </c>
    </row>
    <row r="493">
      <c r="B493">
        <f>IF($A493="","",IFERROR(IF(INDEX('Per Invoice'!$A$2:$A$201,MATCH($A493,'Per Invoice'!$B$2:$B$201,0))=0,"",INDEX('Per Invoice'!$A$2:$A$201,MATCH($A493,'Per Invoice'!$B$2:$B$201,0))),""))</f>
        <v/>
      </c>
      <c r="G493" s="7">
        <f>IF($A493="","",F493*T493/100)</f>
        <v/>
      </c>
      <c r="J493" s="7" t="n"/>
      <c r="K493" s="7" t="n"/>
      <c r="L493" s="7" t="n"/>
      <c r="O493" s="11" t="n"/>
      <c r="R493">
        <f>IF($A493="","",IF($X493=1,Settings!$C$6,Settings!$C$7)*1)</f>
        <v/>
      </c>
      <c r="S493" s="7">
        <f>IF($A493="","",R493*L493)</f>
        <v/>
      </c>
      <c r="T493" s="7">
        <f>IF($A493="","",L493-S493)</f>
        <v/>
      </c>
      <c r="U493" s="7">
        <f>IF($A493="","",T493-G493)</f>
        <v/>
      </c>
      <c r="V493">
        <f>IF($A493="","",IF(COUNTIF($A$2:$A493,$A493)=1,1,0))</f>
        <v/>
      </c>
      <c r="W493">
        <f>IF($V493=1,SUMPRODUCT(--($Y$2:$Y$501&lt;$Y493))+1,"")</f>
        <v/>
      </c>
      <c r="X493">
        <f>IF($A493="","",IF(OR($Q493=TRUE(),$Q493="TRUE"),1,0))</f>
        <v/>
      </c>
      <c r="Y493">
        <f>IF($V493=1,IFERROR(VALUE(MID($A493,2,20)),1000000000)+ROW()/100000,"")</f>
        <v/>
      </c>
    </row>
    <row r="494">
      <c r="B494">
        <f>IF($A494="","",IFERROR(IF(INDEX('Per Invoice'!$A$2:$A$201,MATCH($A494,'Per Invoice'!$B$2:$B$201,0))=0,"",INDEX('Per Invoice'!$A$2:$A$201,MATCH($A494,'Per Invoice'!$B$2:$B$201,0))),""))</f>
        <v/>
      </c>
      <c r="G494" s="7">
        <f>IF($A494="","",F494*T494/100)</f>
        <v/>
      </c>
      <c r="J494" s="7" t="n"/>
      <c r="K494" s="7" t="n"/>
      <c r="L494" s="7" t="n"/>
      <c r="O494" s="11" t="n"/>
      <c r="R494">
        <f>IF($A494="","",IF($X494=1,Settings!$C$6,Settings!$C$7)*1)</f>
        <v/>
      </c>
      <c r="S494" s="7">
        <f>IF($A494="","",R494*L494)</f>
        <v/>
      </c>
      <c r="T494" s="7">
        <f>IF($A494="","",L494-S494)</f>
        <v/>
      </c>
      <c r="U494" s="7">
        <f>IF($A494="","",T494-G494)</f>
        <v/>
      </c>
      <c r="V494">
        <f>IF($A494="","",IF(COUNTIF($A$2:$A494,$A494)=1,1,0))</f>
        <v/>
      </c>
      <c r="W494">
        <f>IF($V494=1,SUMPRODUCT(--($Y$2:$Y$501&lt;$Y494))+1,"")</f>
        <v/>
      </c>
      <c r="X494">
        <f>IF($A494="","",IF(OR($Q494=TRUE(),$Q494="TRUE"),1,0))</f>
        <v/>
      </c>
      <c r="Y494">
        <f>IF($V494=1,IFERROR(VALUE(MID($A494,2,20)),1000000000)+ROW()/100000,"")</f>
        <v/>
      </c>
    </row>
    <row r="495">
      <c r="B495">
        <f>IF($A495="","",IFERROR(IF(INDEX('Per Invoice'!$A$2:$A$201,MATCH($A495,'Per Invoice'!$B$2:$B$201,0))=0,"",INDEX('Per Invoice'!$A$2:$A$201,MATCH($A495,'Per Invoice'!$B$2:$B$201,0))),""))</f>
        <v/>
      </c>
      <c r="G495" s="7">
        <f>IF($A495="","",F495*T495/100)</f>
        <v/>
      </c>
      <c r="J495" s="7" t="n"/>
      <c r="K495" s="7" t="n"/>
      <c r="L495" s="7" t="n"/>
      <c r="O495" s="11" t="n"/>
      <c r="R495">
        <f>IF($A495="","",IF($X495=1,Settings!$C$6,Settings!$C$7)*1)</f>
        <v/>
      </c>
      <c r="S495" s="7">
        <f>IF($A495="","",R495*L495)</f>
        <v/>
      </c>
      <c r="T495" s="7">
        <f>IF($A495="","",L495-S495)</f>
        <v/>
      </c>
      <c r="U495" s="7">
        <f>IF($A495="","",T495-G495)</f>
        <v/>
      </c>
      <c r="V495">
        <f>IF($A495="","",IF(COUNTIF($A$2:$A495,$A495)=1,1,0))</f>
        <v/>
      </c>
      <c r="W495">
        <f>IF($V495=1,SUMPRODUCT(--($Y$2:$Y$501&lt;$Y495))+1,"")</f>
        <v/>
      </c>
      <c r="X495">
        <f>IF($A495="","",IF(OR($Q495=TRUE(),$Q495="TRUE"),1,0))</f>
        <v/>
      </c>
      <c r="Y495">
        <f>IF($V495=1,IFERROR(VALUE(MID($A495,2,20)),1000000000)+ROW()/100000,"")</f>
        <v/>
      </c>
    </row>
    <row r="496">
      <c r="B496">
        <f>IF($A496="","",IFERROR(IF(INDEX('Per Invoice'!$A$2:$A$201,MATCH($A496,'Per Invoice'!$B$2:$B$201,0))=0,"",INDEX('Per Invoice'!$A$2:$A$201,MATCH($A496,'Per Invoice'!$B$2:$B$201,0))),""))</f>
        <v/>
      </c>
      <c r="G496" s="7">
        <f>IF($A496="","",F496*T496/100)</f>
        <v/>
      </c>
      <c r="J496" s="7" t="n"/>
      <c r="K496" s="7" t="n"/>
      <c r="L496" s="7" t="n"/>
      <c r="O496" s="11" t="n"/>
      <c r="R496">
        <f>IF($A496="","",IF($X496=1,Settings!$C$6,Settings!$C$7)*1)</f>
        <v/>
      </c>
      <c r="S496" s="7">
        <f>IF($A496="","",R496*L496)</f>
        <v/>
      </c>
      <c r="T496" s="7">
        <f>IF($A496="","",L496-S496)</f>
        <v/>
      </c>
      <c r="U496" s="7">
        <f>IF($A496="","",T496-G496)</f>
        <v/>
      </c>
      <c r="V496">
        <f>IF($A496="","",IF(COUNTIF($A$2:$A496,$A496)=1,1,0))</f>
        <v/>
      </c>
      <c r="W496">
        <f>IF($V496=1,SUMPRODUCT(--($Y$2:$Y$501&lt;$Y496))+1,"")</f>
        <v/>
      </c>
      <c r="X496">
        <f>IF($A496="","",IF(OR($Q496=TRUE(),$Q496="TRUE"),1,0))</f>
        <v/>
      </c>
      <c r="Y496">
        <f>IF($V496=1,IFERROR(VALUE(MID($A496,2,20)),1000000000)+ROW()/100000,"")</f>
        <v/>
      </c>
    </row>
    <row r="497">
      <c r="B497">
        <f>IF($A497="","",IFERROR(IF(INDEX('Per Invoice'!$A$2:$A$201,MATCH($A497,'Per Invoice'!$B$2:$B$201,0))=0,"",INDEX('Per Invoice'!$A$2:$A$201,MATCH($A497,'Per Invoice'!$B$2:$B$201,0))),""))</f>
        <v/>
      </c>
      <c r="G497" s="7">
        <f>IF($A497="","",F497*T497/100)</f>
        <v/>
      </c>
      <c r="J497" s="7" t="n"/>
      <c r="K497" s="7" t="n"/>
      <c r="L497" s="7" t="n"/>
      <c r="O497" s="11" t="n"/>
      <c r="R497">
        <f>IF($A497="","",IF($X497=1,Settings!$C$6,Settings!$C$7)*1)</f>
        <v/>
      </c>
      <c r="S497" s="7">
        <f>IF($A497="","",R497*L497)</f>
        <v/>
      </c>
      <c r="T497" s="7">
        <f>IF($A497="","",L497-S497)</f>
        <v/>
      </c>
      <c r="U497" s="7">
        <f>IF($A497="","",T497-G497)</f>
        <v/>
      </c>
      <c r="V497">
        <f>IF($A497="","",IF(COUNTIF($A$2:$A497,$A497)=1,1,0))</f>
        <v/>
      </c>
      <c r="W497">
        <f>IF($V497=1,SUMPRODUCT(--($Y$2:$Y$501&lt;$Y497))+1,"")</f>
        <v/>
      </c>
      <c r="X497">
        <f>IF($A497="","",IF(OR($Q497=TRUE(),$Q497="TRUE"),1,0))</f>
        <v/>
      </c>
      <c r="Y497">
        <f>IF($V497=1,IFERROR(VALUE(MID($A497,2,20)),1000000000)+ROW()/100000,"")</f>
        <v/>
      </c>
    </row>
    <row r="498">
      <c r="B498">
        <f>IF($A498="","",IFERROR(IF(INDEX('Per Invoice'!$A$2:$A$201,MATCH($A498,'Per Invoice'!$B$2:$B$201,0))=0,"",INDEX('Per Invoice'!$A$2:$A$201,MATCH($A498,'Per Invoice'!$B$2:$B$201,0))),""))</f>
        <v/>
      </c>
      <c r="G498" s="7">
        <f>IF($A498="","",F498*T498/100)</f>
        <v/>
      </c>
      <c r="J498" s="7" t="n"/>
      <c r="K498" s="7" t="n"/>
      <c r="L498" s="7" t="n"/>
      <c r="O498" s="11" t="n"/>
      <c r="R498">
        <f>IF($A498="","",IF($X498=1,Settings!$C$6,Settings!$C$7)*1)</f>
        <v/>
      </c>
      <c r="S498" s="7">
        <f>IF($A498="","",R498*L498)</f>
        <v/>
      </c>
      <c r="T498" s="7">
        <f>IF($A498="","",L498-S498)</f>
        <v/>
      </c>
      <c r="U498" s="7">
        <f>IF($A498="","",T498-G498)</f>
        <v/>
      </c>
      <c r="V498">
        <f>IF($A498="","",IF(COUNTIF($A$2:$A498,$A498)=1,1,0))</f>
        <v/>
      </c>
      <c r="W498">
        <f>IF($V498=1,SUMPRODUCT(--($Y$2:$Y$501&lt;$Y498))+1,"")</f>
        <v/>
      </c>
      <c r="X498">
        <f>IF($A498="","",IF(OR($Q498=TRUE(),$Q498="TRUE"),1,0))</f>
        <v/>
      </c>
      <c r="Y498">
        <f>IF($V498=1,IFERROR(VALUE(MID($A498,2,20)),1000000000)+ROW()/100000,"")</f>
        <v/>
      </c>
    </row>
    <row r="499">
      <c r="B499">
        <f>IF($A499="","",IFERROR(IF(INDEX('Per Invoice'!$A$2:$A$201,MATCH($A499,'Per Invoice'!$B$2:$B$201,0))=0,"",INDEX('Per Invoice'!$A$2:$A$201,MATCH($A499,'Per Invoice'!$B$2:$B$201,0))),""))</f>
        <v/>
      </c>
      <c r="G499" s="7">
        <f>IF($A499="","",F499*T499/100)</f>
        <v/>
      </c>
      <c r="J499" s="7" t="n"/>
      <c r="K499" s="7" t="n"/>
      <c r="L499" s="7" t="n"/>
      <c r="O499" s="11" t="n"/>
      <c r="R499">
        <f>IF($A499="","",IF($X499=1,Settings!$C$6,Settings!$C$7)*1)</f>
        <v/>
      </c>
      <c r="S499" s="7">
        <f>IF($A499="","",R499*L499)</f>
        <v/>
      </c>
      <c r="T499" s="7">
        <f>IF($A499="","",L499-S499)</f>
        <v/>
      </c>
      <c r="U499" s="7">
        <f>IF($A499="","",T499-G499)</f>
        <v/>
      </c>
      <c r="V499">
        <f>IF($A499="","",IF(COUNTIF($A$2:$A499,$A499)=1,1,0))</f>
        <v/>
      </c>
      <c r="W499">
        <f>IF($V499=1,SUMPRODUCT(--($Y$2:$Y$501&lt;$Y499))+1,"")</f>
        <v/>
      </c>
      <c r="X499">
        <f>IF($A499="","",IF(OR($Q499=TRUE(),$Q499="TRUE"),1,0))</f>
        <v/>
      </c>
      <c r="Y499">
        <f>IF($V499=1,IFERROR(VALUE(MID($A499,2,20)),1000000000)+ROW()/100000,"")</f>
        <v/>
      </c>
    </row>
    <row r="500">
      <c r="B500">
        <f>IF($A500="","",IFERROR(IF(INDEX('Per Invoice'!$A$2:$A$201,MATCH($A500,'Per Invoice'!$B$2:$B$201,0))=0,"",INDEX('Per Invoice'!$A$2:$A$201,MATCH($A500,'Per Invoice'!$B$2:$B$201,0))),""))</f>
        <v/>
      </c>
      <c r="G500" s="7">
        <f>IF($A500="","",F500*T500/100)</f>
        <v/>
      </c>
      <c r="J500" s="7" t="n"/>
      <c r="K500" s="7" t="n"/>
      <c r="L500" s="7" t="n"/>
      <c r="O500" s="11" t="n"/>
      <c r="R500">
        <f>IF($A500="","",IF($X500=1,Settings!$C$6,Settings!$C$7)*1)</f>
        <v/>
      </c>
      <c r="S500" s="7">
        <f>IF($A500="","",R500*L500)</f>
        <v/>
      </c>
      <c r="T500" s="7">
        <f>IF($A500="","",L500-S500)</f>
        <v/>
      </c>
      <c r="U500" s="7">
        <f>IF($A500="","",T500-G500)</f>
        <v/>
      </c>
      <c r="V500">
        <f>IF($A500="","",IF(COUNTIF($A$2:$A500,$A500)=1,1,0))</f>
        <v/>
      </c>
      <c r="W500">
        <f>IF($V500=1,SUMPRODUCT(--($Y$2:$Y$501&lt;$Y500))+1,"")</f>
        <v/>
      </c>
      <c r="X500">
        <f>IF($A500="","",IF(OR($Q500=TRUE(),$Q500="TRUE"),1,0))</f>
        <v/>
      </c>
      <c r="Y500">
        <f>IF($V500=1,IFERROR(VALUE(MID($A500,2,20)),1000000000)+ROW()/100000,"")</f>
        <v/>
      </c>
    </row>
    <row r="501">
      <c r="B501">
        <f>IF($A501="","",IFERROR(IF(INDEX('Per Invoice'!$A$2:$A$201,MATCH($A501,'Per Invoice'!$B$2:$B$201,0))=0,"",INDEX('Per Invoice'!$A$2:$A$201,MATCH($A501,'Per Invoice'!$B$2:$B$201,0))),""))</f>
        <v/>
      </c>
      <c r="G501" s="7">
        <f>IF($A501="","",F501*T501/100)</f>
        <v/>
      </c>
      <c r="J501" s="7" t="n"/>
      <c r="K501" s="7" t="n"/>
      <c r="L501" s="7" t="n"/>
      <c r="O501" s="11" t="n"/>
      <c r="R501">
        <f>IF($A501="","",IF($X501=1,Settings!$C$6,Settings!$C$7)*1)</f>
        <v/>
      </c>
      <c r="S501" s="7">
        <f>IF($A501="","",R501*L501)</f>
        <v/>
      </c>
      <c r="T501" s="7">
        <f>IF($A501="","",L501-S501)</f>
        <v/>
      </c>
      <c r="U501" s="7">
        <f>IF($A501="","",T501-G501)</f>
        <v/>
      </c>
      <c r="V501">
        <f>IF($A501="","",IF(COUNTIF($A$2:$A501,$A501)=1,1,0))</f>
        <v/>
      </c>
      <c r="W501">
        <f>IF($V501=1,SUMPRODUCT(--($Y$2:$Y$501&lt;$Y501))+1,"")</f>
        <v/>
      </c>
      <c r="X501">
        <f>IF($A501="","",IF(OR($Q501=TRUE(),$Q501="TRUE"),1,0))</f>
        <v/>
      </c>
      <c r="Y501">
        <f>IF($V501=1,IFERROR(VALUE(MID($A501,2,20)),1000000000)+ROW()/100000,"")</f>
        <v/>
      </c>
    </row>
  </sheetData>
  <autoFilter ref="A1:Y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</cols>
  <sheetData>
    <row r="1" ht="32" customHeight="1">
      <c r="A1" s="8" t="inlineStr">
        <is>
          <t>Invoice</t>
        </is>
      </c>
      <c r="B1" s="9" t="inlineStr">
        <is>
          <t>Pos Reference</t>
        </is>
      </c>
      <c r="C1" s="9" t="inlineStr">
        <is>
          <t>Name</t>
        </is>
      </c>
      <c r="D1" s="9" t="inlineStr">
        <is>
          <t>Card Number</t>
        </is>
      </c>
      <c r="E1" s="9" t="inlineStr">
        <is>
          <t>Co Payment %</t>
        </is>
      </c>
      <c r="F1" s="9" t="inlineStr">
        <is>
          <t>Co val</t>
        </is>
      </c>
      <c r="G1" s="9" t="inlineStr">
        <is>
          <t>Imp %</t>
        </is>
      </c>
      <c r="H1" s="9" t="inlineStr">
        <is>
          <t>Imp</t>
        </is>
      </c>
      <c r="I1" s="9" t="inlineStr">
        <is>
          <t>Imp Val</t>
        </is>
      </c>
      <c r="J1" s="9" t="inlineStr">
        <is>
          <t>Local %</t>
        </is>
      </c>
      <c r="K1" s="9" t="inlineStr">
        <is>
          <t>Local</t>
        </is>
      </c>
      <c r="L1" s="9" t="inlineStr">
        <is>
          <t>local val</t>
        </is>
      </c>
      <c r="M1" s="9" t="inlineStr">
        <is>
          <t>Total val</t>
        </is>
      </c>
      <c r="N1" s="9" t="inlineStr">
        <is>
          <t>Subtotal</t>
        </is>
      </c>
      <c r="O1" s="9" t="inlineStr">
        <is>
          <t>Grand Total</t>
        </is>
      </c>
      <c r="P1" s="9" t="inlineStr">
        <is>
          <t>Net</t>
        </is>
      </c>
      <c r="Q1" s="10" t="inlineStr">
        <is>
          <t>Src Row (helper)</t>
        </is>
      </c>
    </row>
    <row r="2">
      <c r="A2" s="12" t="n"/>
      <c r="B2">
        <f>IF($Q2="","",INDEX('Per Line'!$A$2:$A$501,$Q2)&amp;"")</f>
        <v/>
      </c>
      <c r="C2">
        <f>IF($Q2="","",INDEX('Per Line'!$D$2:$D$501,$Q2)&amp;"")</f>
        <v/>
      </c>
      <c r="D2">
        <f>IF($Q2="","",INDEX('Per Line'!$E$2:$E$501,$Q2)&amp;"")</f>
        <v/>
      </c>
      <c r="E2">
        <f>IF($Q2="","",INDEX('Per Line'!$F$2:$F$501,$Q2))</f>
        <v/>
      </c>
      <c r="F2" s="7">
        <f>IF($Q2="","",E2*N2/100)</f>
        <v/>
      </c>
      <c r="G2">
        <f>IF($Q2="","",Settings!$C$7)</f>
        <v/>
      </c>
      <c r="H2" s="7">
        <f>IF($Q2="","",SUMIFS('Per Line'!$L$2:$L$501,'Per Line'!$A$2:$A$501,$B2,'Per Line'!$X$2:$X$501,0))</f>
        <v/>
      </c>
      <c r="I2" s="7">
        <f>IF($Q2="","",H2*G2)</f>
        <v/>
      </c>
      <c r="J2">
        <f>IF($Q2="","",Settings!$C$6)</f>
        <v/>
      </c>
      <c r="K2" s="7">
        <f>IF($Q2="","",SUMIFS('Per Line'!$L$2:$L$501,'Per Line'!$A$2:$A$501,$B2,'Per Line'!$X$2:$X$501,1))</f>
        <v/>
      </c>
      <c r="L2" s="7">
        <f>IF($Q2="","",K2*J2)</f>
        <v/>
      </c>
      <c r="M2" s="7">
        <f>IF($Q2="","",L2+I2)</f>
        <v/>
      </c>
      <c r="N2" s="7">
        <f>IF($Q2="","",O2-M2)</f>
        <v/>
      </c>
      <c r="O2" s="7">
        <f>IF($Q2="","",H2+K2)</f>
        <v/>
      </c>
      <c r="P2" s="7">
        <f>IF($Q2="","",O2-M2-F2)</f>
        <v/>
      </c>
      <c r="Q2" s="13">
        <f>IF(ROWS($Q$2:$Q2)&lt;=MAX('Per Line'!$W$2:$W$501),MATCH(ROWS($Q$2:$Q2),'Per Line'!$W$2:$W$501,0),"")</f>
        <v/>
      </c>
    </row>
    <row r="3">
      <c r="A3" s="12" t="n"/>
      <c r="B3">
        <f>IF($Q3="","",INDEX('Per Line'!$A$2:$A$501,$Q3)&amp;"")</f>
        <v/>
      </c>
      <c r="C3">
        <f>IF($Q3="","",INDEX('Per Line'!$D$2:$D$501,$Q3)&amp;"")</f>
        <v/>
      </c>
      <c r="D3">
        <f>IF($Q3="","",INDEX('Per Line'!$E$2:$E$501,$Q3)&amp;"")</f>
        <v/>
      </c>
      <c r="E3">
        <f>IF($Q3="","",INDEX('Per Line'!$F$2:$F$501,$Q3))</f>
        <v/>
      </c>
      <c r="F3" s="7">
        <f>IF($Q3="","",E3*N3/100)</f>
        <v/>
      </c>
      <c r="G3">
        <f>IF($Q3="","",Settings!$C$7)</f>
        <v/>
      </c>
      <c r="H3" s="7">
        <f>IF($Q3="","",SUMIFS('Per Line'!$L$2:$L$501,'Per Line'!$A$2:$A$501,$B3,'Per Line'!$X$2:$X$501,0))</f>
        <v/>
      </c>
      <c r="I3" s="7">
        <f>IF($Q3="","",H3*G3)</f>
        <v/>
      </c>
      <c r="J3">
        <f>IF($Q3="","",Settings!$C$6)</f>
        <v/>
      </c>
      <c r="K3" s="7">
        <f>IF($Q3="","",SUMIFS('Per Line'!$L$2:$L$501,'Per Line'!$A$2:$A$501,$B3,'Per Line'!$X$2:$X$501,1))</f>
        <v/>
      </c>
      <c r="L3" s="7">
        <f>IF($Q3="","",K3*J3)</f>
        <v/>
      </c>
      <c r="M3" s="7">
        <f>IF($Q3="","",L3+I3)</f>
        <v/>
      </c>
      <c r="N3" s="7">
        <f>IF($Q3="","",O3-M3)</f>
        <v/>
      </c>
      <c r="O3" s="7">
        <f>IF($Q3="","",H3+K3)</f>
        <v/>
      </c>
      <c r="P3" s="7">
        <f>IF($Q3="","",O3-M3-F3)</f>
        <v/>
      </c>
      <c r="Q3" s="13">
        <f>IF(ROWS($Q$2:$Q3)&lt;=MAX('Per Line'!$W$2:$W$501),MATCH(ROWS($Q$2:$Q3),'Per Line'!$W$2:$W$501,0),"")</f>
        <v/>
      </c>
    </row>
    <row r="4">
      <c r="A4" s="12" t="n"/>
      <c r="B4">
        <f>IF($Q4="","",INDEX('Per Line'!$A$2:$A$501,$Q4)&amp;"")</f>
        <v/>
      </c>
      <c r="C4">
        <f>IF($Q4="","",INDEX('Per Line'!$D$2:$D$501,$Q4)&amp;"")</f>
        <v/>
      </c>
      <c r="D4">
        <f>IF($Q4="","",INDEX('Per Line'!$E$2:$E$501,$Q4)&amp;"")</f>
        <v/>
      </c>
      <c r="E4">
        <f>IF($Q4="","",INDEX('Per Line'!$F$2:$F$501,$Q4))</f>
        <v/>
      </c>
      <c r="F4" s="7">
        <f>IF($Q4="","",E4*N4/100)</f>
        <v/>
      </c>
      <c r="G4">
        <f>IF($Q4="","",Settings!$C$7)</f>
        <v/>
      </c>
      <c r="H4" s="7">
        <f>IF($Q4="","",SUMIFS('Per Line'!$L$2:$L$501,'Per Line'!$A$2:$A$501,$B4,'Per Line'!$X$2:$X$501,0))</f>
        <v/>
      </c>
      <c r="I4" s="7">
        <f>IF($Q4="","",H4*G4)</f>
        <v/>
      </c>
      <c r="J4">
        <f>IF($Q4="","",Settings!$C$6)</f>
        <v/>
      </c>
      <c r="K4" s="7">
        <f>IF($Q4="","",SUMIFS('Per Line'!$L$2:$L$501,'Per Line'!$A$2:$A$501,$B4,'Per Line'!$X$2:$X$501,1))</f>
        <v/>
      </c>
      <c r="L4" s="7">
        <f>IF($Q4="","",K4*J4)</f>
        <v/>
      </c>
      <c r="M4" s="7">
        <f>IF($Q4="","",L4+I4)</f>
        <v/>
      </c>
      <c r="N4" s="7">
        <f>IF($Q4="","",O4-M4)</f>
        <v/>
      </c>
      <c r="O4" s="7">
        <f>IF($Q4="","",H4+K4)</f>
        <v/>
      </c>
      <c r="P4" s="7">
        <f>IF($Q4="","",O4-M4-F4)</f>
        <v/>
      </c>
      <c r="Q4" s="13">
        <f>IF(ROWS($Q$2:$Q4)&lt;=MAX('Per Line'!$W$2:$W$501),MATCH(ROWS($Q$2:$Q4),'Per Line'!$W$2:$W$501,0),"")</f>
        <v/>
      </c>
    </row>
    <row r="5">
      <c r="A5" s="12" t="n"/>
      <c r="B5">
        <f>IF($Q5="","",INDEX('Per Line'!$A$2:$A$501,$Q5)&amp;"")</f>
        <v/>
      </c>
      <c r="C5">
        <f>IF($Q5="","",INDEX('Per Line'!$D$2:$D$501,$Q5)&amp;"")</f>
        <v/>
      </c>
      <c r="D5">
        <f>IF($Q5="","",INDEX('Per Line'!$E$2:$E$501,$Q5)&amp;"")</f>
        <v/>
      </c>
      <c r="E5">
        <f>IF($Q5="","",INDEX('Per Line'!$F$2:$F$501,$Q5))</f>
        <v/>
      </c>
      <c r="F5" s="7">
        <f>IF($Q5="","",E5*N5/100)</f>
        <v/>
      </c>
      <c r="G5">
        <f>IF($Q5="","",Settings!$C$7)</f>
        <v/>
      </c>
      <c r="H5" s="7">
        <f>IF($Q5="","",SUMIFS('Per Line'!$L$2:$L$501,'Per Line'!$A$2:$A$501,$B5,'Per Line'!$X$2:$X$501,0))</f>
        <v/>
      </c>
      <c r="I5" s="7">
        <f>IF($Q5="","",H5*G5)</f>
        <v/>
      </c>
      <c r="J5">
        <f>IF($Q5="","",Settings!$C$6)</f>
        <v/>
      </c>
      <c r="K5" s="7">
        <f>IF($Q5="","",SUMIFS('Per Line'!$L$2:$L$501,'Per Line'!$A$2:$A$501,$B5,'Per Line'!$X$2:$X$501,1))</f>
        <v/>
      </c>
      <c r="L5" s="7">
        <f>IF($Q5="","",K5*J5)</f>
        <v/>
      </c>
      <c r="M5" s="7">
        <f>IF($Q5="","",L5+I5)</f>
        <v/>
      </c>
      <c r="N5" s="7">
        <f>IF($Q5="","",O5-M5)</f>
        <v/>
      </c>
      <c r="O5" s="7">
        <f>IF($Q5="","",H5+K5)</f>
        <v/>
      </c>
      <c r="P5" s="7">
        <f>IF($Q5="","",O5-M5-F5)</f>
        <v/>
      </c>
      <c r="Q5" s="13">
        <f>IF(ROWS($Q$2:$Q5)&lt;=MAX('Per Line'!$W$2:$W$501),MATCH(ROWS($Q$2:$Q5),'Per Line'!$W$2:$W$501,0),"")</f>
        <v/>
      </c>
    </row>
    <row r="6">
      <c r="A6" s="12" t="n"/>
      <c r="B6">
        <f>IF($Q6="","",INDEX('Per Line'!$A$2:$A$501,$Q6)&amp;"")</f>
        <v/>
      </c>
      <c r="C6">
        <f>IF($Q6="","",INDEX('Per Line'!$D$2:$D$501,$Q6)&amp;"")</f>
        <v/>
      </c>
      <c r="D6">
        <f>IF($Q6="","",INDEX('Per Line'!$E$2:$E$501,$Q6)&amp;"")</f>
        <v/>
      </c>
      <c r="E6">
        <f>IF($Q6="","",INDEX('Per Line'!$F$2:$F$501,$Q6))</f>
        <v/>
      </c>
      <c r="F6" s="7">
        <f>IF($Q6="","",E6*N6/100)</f>
        <v/>
      </c>
      <c r="G6">
        <f>IF($Q6="","",Settings!$C$7)</f>
        <v/>
      </c>
      <c r="H6" s="7">
        <f>IF($Q6="","",SUMIFS('Per Line'!$L$2:$L$501,'Per Line'!$A$2:$A$501,$B6,'Per Line'!$X$2:$X$501,0))</f>
        <v/>
      </c>
      <c r="I6" s="7">
        <f>IF($Q6="","",H6*G6)</f>
        <v/>
      </c>
      <c r="J6">
        <f>IF($Q6="","",Settings!$C$6)</f>
        <v/>
      </c>
      <c r="K6" s="7">
        <f>IF($Q6="","",SUMIFS('Per Line'!$L$2:$L$501,'Per Line'!$A$2:$A$501,$B6,'Per Line'!$X$2:$X$501,1))</f>
        <v/>
      </c>
      <c r="L6" s="7">
        <f>IF($Q6="","",K6*J6)</f>
        <v/>
      </c>
      <c r="M6" s="7">
        <f>IF($Q6="","",L6+I6)</f>
        <v/>
      </c>
      <c r="N6" s="7">
        <f>IF($Q6="","",O6-M6)</f>
        <v/>
      </c>
      <c r="O6" s="7">
        <f>IF($Q6="","",H6+K6)</f>
        <v/>
      </c>
      <c r="P6" s="7">
        <f>IF($Q6="","",O6-M6-F6)</f>
        <v/>
      </c>
      <c r="Q6" s="13">
        <f>IF(ROWS($Q$2:$Q6)&lt;=MAX('Per Line'!$W$2:$W$501),MATCH(ROWS($Q$2:$Q6),'Per Line'!$W$2:$W$501,0),"")</f>
        <v/>
      </c>
    </row>
    <row r="7">
      <c r="A7" s="12" t="n"/>
      <c r="B7">
        <f>IF($Q7="","",INDEX('Per Line'!$A$2:$A$501,$Q7)&amp;"")</f>
        <v/>
      </c>
      <c r="C7">
        <f>IF($Q7="","",INDEX('Per Line'!$D$2:$D$501,$Q7)&amp;"")</f>
        <v/>
      </c>
      <c r="D7">
        <f>IF($Q7="","",INDEX('Per Line'!$E$2:$E$501,$Q7)&amp;"")</f>
        <v/>
      </c>
      <c r="E7">
        <f>IF($Q7="","",INDEX('Per Line'!$F$2:$F$501,$Q7))</f>
        <v/>
      </c>
      <c r="F7" s="7">
        <f>IF($Q7="","",E7*N7/100)</f>
        <v/>
      </c>
      <c r="G7">
        <f>IF($Q7="","",Settings!$C$7)</f>
        <v/>
      </c>
      <c r="H7" s="7">
        <f>IF($Q7="","",SUMIFS('Per Line'!$L$2:$L$501,'Per Line'!$A$2:$A$501,$B7,'Per Line'!$X$2:$X$501,0))</f>
        <v/>
      </c>
      <c r="I7" s="7">
        <f>IF($Q7="","",H7*G7)</f>
        <v/>
      </c>
      <c r="J7">
        <f>IF($Q7="","",Settings!$C$6)</f>
        <v/>
      </c>
      <c r="K7" s="7">
        <f>IF($Q7="","",SUMIFS('Per Line'!$L$2:$L$501,'Per Line'!$A$2:$A$501,$B7,'Per Line'!$X$2:$X$501,1))</f>
        <v/>
      </c>
      <c r="L7" s="7">
        <f>IF($Q7="","",K7*J7)</f>
        <v/>
      </c>
      <c r="M7" s="7">
        <f>IF($Q7="","",L7+I7)</f>
        <v/>
      </c>
      <c r="N7" s="7">
        <f>IF($Q7="","",O7-M7)</f>
        <v/>
      </c>
      <c r="O7" s="7">
        <f>IF($Q7="","",H7+K7)</f>
        <v/>
      </c>
      <c r="P7" s="7">
        <f>IF($Q7="","",O7-M7-F7)</f>
        <v/>
      </c>
      <c r="Q7" s="13">
        <f>IF(ROWS($Q$2:$Q7)&lt;=MAX('Per Line'!$W$2:$W$501),MATCH(ROWS($Q$2:$Q7),'Per Line'!$W$2:$W$501,0),"")</f>
        <v/>
      </c>
    </row>
    <row r="8">
      <c r="A8" s="12" t="n"/>
      <c r="B8">
        <f>IF($Q8="","",INDEX('Per Line'!$A$2:$A$501,$Q8)&amp;"")</f>
        <v/>
      </c>
      <c r="C8">
        <f>IF($Q8="","",INDEX('Per Line'!$D$2:$D$501,$Q8)&amp;"")</f>
        <v/>
      </c>
      <c r="D8">
        <f>IF($Q8="","",INDEX('Per Line'!$E$2:$E$501,$Q8)&amp;"")</f>
        <v/>
      </c>
      <c r="E8">
        <f>IF($Q8="","",INDEX('Per Line'!$F$2:$F$501,$Q8))</f>
        <v/>
      </c>
      <c r="F8" s="7">
        <f>IF($Q8="","",E8*N8/100)</f>
        <v/>
      </c>
      <c r="G8">
        <f>IF($Q8="","",Settings!$C$7)</f>
        <v/>
      </c>
      <c r="H8" s="7">
        <f>IF($Q8="","",SUMIFS('Per Line'!$L$2:$L$501,'Per Line'!$A$2:$A$501,$B8,'Per Line'!$X$2:$X$501,0))</f>
        <v/>
      </c>
      <c r="I8" s="7">
        <f>IF($Q8="","",H8*G8)</f>
        <v/>
      </c>
      <c r="J8">
        <f>IF($Q8="","",Settings!$C$6)</f>
        <v/>
      </c>
      <c r="K8" s="7">
        <f>IF($Q8="","",SUMIFS('Per Line'!$L$2:$L$501,'Per Line'!$A$2:$A$501,$B8,'Per Line'!$X$2:$X$501,1))</f>
        <v/>
      </c>
      <c r="L8" s="7">
        <f>IF($Q8="","",K8*J8)</f>
        <v/>
      </c>
      <c r="M8" s="7">
        <f>IF($Q8="","",L8+I8)</f>
        <v/>
      </c>
      <c r="N8" s="7">
        <f>IF($Q8="","",O8-M8)</f>
        <v/>
      </c>
      <c r="O8" s="7">
        <f>IF($Q8="","",H8+K8)</f>
        <v/>
      </c>
      <c r="P8" s="7">
        <f>IF($Q8="","",O8-M8-F8)</f>
        <v/>
      </c>
      <c r="Q8" s="13">
        <f>IF(ROWS($Q$2:$Q8)&lt;=MAX('Per Line'!$W$2:$W$501),MATCH(ROWS($Q$2:$Q8),'Per Line'!$W$2:$W$501,0),"")</f>
        <v/>
      </c>
    </row>
    <row r="9">
      <c r="A9" s="12" t="n"/>
      <c r="B9">
        <f>IF($Q9="","",INDEX('Per Line'!$A$2:$A$501,$Q9)&amp;"")</f>
        <v/>
      </c>
      <c r="C9">
        <f>IF($Q9="","",INDEX('Per Line'!$D$2:$D$501,$Q9)&amp;"")</f>
        <v/>
      </c>
      <c r="D9">
        <f>IF($Q9="","",INDEX('Per Line'!$E$2:$E$501,$Q9)&amp;"")</f>
        <v/>
      </c>
      <c r="E9">
        <f>IF($Q9="","",INDEX('Per Line'!$F$2:$F$501,$Q9))</f>
        <v/>
      </c>
      <c r="F9" s="7">
        <f>IF($Q9="","",E9*N9/100)</f>
        <v/>
      </c>
      <c r="G9">
        <f>IF($Q9="","",Settings!$C$7)</f>
        <v/>
      </c>
      <c r="H9" s="7">
        <f>IF($Q9="","",SUMIFS('Per Line'!$L$2:$L$501,'Per Line'!$A$2:$A$501,$B9,'Per Line'!$X$2:$X$501,0))</f>
        <v/>
      </c>
      <c r="I9" s="7">
        <f>IF($Q9="","",H9*G9)</f>
        <v/>
      </c>
      <c r="J9">
        <f>IF($Q9="","",Settings!$C$6)</f>
        <v/>
      </c>
      <c r="K9" s="7">
        <f>IF($Q9="","",SUMIFS('Per Line'!$L$2:$L$501,'Per Line'!$A$2:$A$501,$B9,'Per Line'!$X$2:$X$501,1))</f>
        <v/>
      </c>
      <c r="L9" s="7">
        <f>IF($Q9="","",K9*J9)</f>
        <v/>
      </c>
      <c r="M9" s="7">
        <f>IF($Q9="","",L9+I9)</f>
        <v/>
      </c>
      <c r="N9" s="7">
        <f>IF($Q9="","",O9-M9)</f>
        <v/>
      </c>
      <c r="O9" s="7">
        <f>IF($Q9="","",H9+K9)</f>
        <v/>
      </c>
      <c r="P9" s="7">
        <f>IF($Q9="","",O9-M9-F9)</f>
        <v/>
      </c>
      <c r="Q9" s="13">
        <f>IF(ROWS($Q$2:$Q9)&lt;=MAX('Per Line'!$W$2:$W$501),MATCH(ROWS($Q$2:$Q9),'Per Line'!$W$2:$W$501,0),"")</f>
        <v/>
      </c>
    </row>
    <row r="10">
      <c r="A10" s="12" t="n"/>
      <c r="B10">
        <f>IF($Q10="","",INDEX('Per Line'!$A$2:$A$501,$Q10)&amp;"")</f>
        <v/>
      </c>
      <c r="C10">
        <f>IF($Q10="","",INDEX('Per Line'!$D$2:$D$501,$Q10)&amp;"")</f>
        <v/>
      </c>
      <c r="D10">
        <f>IF($Q10="","",INDEX('Per Line'!$E$2:$E$501,$Q10)&amp;"")</f>
        <v/>
      </c>
      <c r="E10">
        <f>IF($Q10="","",INDEX('Per Line'!$F$2:$F$501,$Q10))</f>
        <v/>
      </c>
      <c r="F10" s="7">
        <f>IF($Q10="","",E10*N10/100)</f>
        <v/>
      </c>
      <c r="G10">
        <f>IF($Q10="","",Settings!$C$7)</f>
        <v/>
      </c>
      <c r="H10" s="7">
        <f>IF($Q10="","",SUMIFS('Per Line'!$L$2:$L$501,'Per Line'!$A$2:$A$501,$B10,'Per Line'!$X$2:$X$501,0))</f>
        <v/>
      </c>
      <c r="I10" s="7">
        <f>IF($Q10="","",H10*G10)</f>
        <v/>
      </c>
      <c r="J10">
        <f>IF($Q10="","",Settings!$C$6)</f>
        <v/>
      </c>
      <c r="K10" s="7">
        <f>IF($Q10="","",SUMIFS('Per Line'!$L$2:$L$501,'Per Line'!$A$2:$A$501,$B10,'Per Line'!$X$2:$X$501,1))</f>
        <v/>
      </c>
      <c r="L10" s="7">
        <f>IF($Q10="","",K10*J10)</f>
        <v/>
      </c>
      <c r="M10" s="7">
        <f>IF($Q10="","",L10+I10)</f>
        <v/>
      </c>
      <c r="N10" s="7">
        <f>IF($Q10="","",O10-M10)</f>
        <v/>
      </c>
      <c r="O10" s="7">
        <f>IF($Q10="","",H10+K10)</f>
        <v/>
      </c>
      <c r="P10" s="7">
        <f>IF($Q10="","",O10-M10-F10)</f>
        <v/>
      </c>
      <c r="Q10" s="13">
        <f>IF(ROWS($Q$2:$Q10)&lt;=MAX('Per Line'!$W$2:$W$501),MATCH(ROWS($Q$2:$Q10),'Per Line'!$W$2:$W$501,0),"")</f>
        <v/>
      </c>
    </row>
    <row r="11">
      <c r="A11" s="12" t="n"/>
      <c r="B11">
        <f>IF($Q11="","",INDEX('Per Line'!$A$2:$A$501,$Q11)&amp;"")</f>
        <v/>
      </c>
      <c r="C11">
        <f>IF($Q11="","",INDEX('Per Line'!$D$2:$D$501,$Q11)&amp;"")</f>
        <v/>
      </c>
      <c r="D11">
        <f>IF($Q11="","",INDEX('Per Line'!$E$2:$E$501,$Q11)&amp;"")</f>
        <v/>
      </c>
      <c r="E11">
        <f>IF($Q11="","",INDEX('Per Line'!$F$2:$F$501,$Q11))</f>
        <v/>
      </c>
      <c r="F11" s="7">
        <f>IF($Q11="","",E11*N11/100)</f>
        <v/>
      </c>
      <c r="G11">
        <f>IF($Q11="","",Settings!$C$7)</f>
        <v/>
      </c>
      <c r="H11" s="7">
        <f>IF($Q11="","",SUMIFS('Per Line'!$L$2:$L$501,'Per Line'!$A$2:$A$501,$B11,'Per Line'!$X$2:$X$501,0))</f>
        <v/>
      </c>
      <c r="I11" s="7">
        <f>IF($Q11="","",H11*G11)</f>
        <v/>
      </c>
      <c r="J11">
        <f>IF($Q11="","",Settings!$C$6)</f>
        <v/>
      </c>
      <c r="K11" s="7">
        <f>IF($Q11="","",SUMIFS('Per Line'!$L$2:$L$501,'Per Line'!$A$2:$A$501,$B11,'Per Line'!$X$2:$X$501,1))</f>
        <v/>
      </c>
      <c r="L11" s="7">
        <f>IF($Q11="","",K11*J11)</f>
        <v/>
      </c>
      <c r="M11" s="7">
        <f>IF($Q11="","",L11+I11)</f>
        <v/>
      </c>
      <c r="N11" s="7">
        <f>IF($Q11="","",O11-M11)</f>
        <v/>
      </c>
      <c r="O11" s="7">
        <f>IF($Q11="","",H11+K11)</f>
        <v/>
      </c>
      <c r="P11" s="7">
        <f>IF($Q11="","",O11-M11-F11)</f>
        <v/>
      </c>
      <c r="Q11" s="13">
        <f>IF(ROWS($Q$2:$Q11)&lt;=MAX('Per Line'!$W$2:$W$501),MATCH(ROWS($Q$2:$Q11),'Per Line'!$W$2:$W$501,0),"")</f>
        <v/>
      </c>
    </row>
    <row r="12">
      <c r="A12" s="12" t="n"/>
      <c r="B12">
        <f>IF($Q12="","",INDEX('Per Line'!$A$2:$A$501,$Q12)&amp;"")</f>
        <v/>
      </c>
      <c r="C12">
        <f>IF($Q12="","",INDEX('Per Line'!$D$2:$D$501,$Q12)&amp;"")</f>
        <v/>
      </c>
      <c r="D12">
        <f>IF($Q12="","",INDEX('Per Line'!$E$2:$E$501,$Q12)&amp;"")</f>
        <v/>
      </c>
      <c r="E12">
        <f>IF($Q12="","",INDEX('Per Line'!$F$2:$F$501,$Q12))</f>
        <v/>
      </c>
      <c r="F12" s="7">
        <f>IF($Q12="","",E12*N12/100)</f>
        <v/>
      </c>
      <c r="G12">
        <f>IF($Q12="","",Settings!$C$7)</f>
        <v/>
      </c>
      <c r="H12" s="7">
        <f>IF($Q12="","",SUMIFS('Per Line'!$L$2:$L$501,'Per Line'!$A$2:$A$501,$B12,'Per Line'!$X$2:$X$501,0))</f>
        <v/>
      </c>
      <c r="I12" s="7">
        <f>IF($Q12="","",H12*G12)</f>
        <v/>
      </c>
      <c r="J12">
        <f>IF($Q12="","",Settings!$C$6)</f>
        <v/>
      </c>
      <c r="K12" s="7">
        <f>IF($Q12="","",SUMIFS('Per Line'!$L$2:$L$501,'Per Line'!$A$2:$A$501,$B12,'Per Line'!$X$2:$X$501,1))</f>
        <v/>
      </c>
      <c r="L12" s="7">
        <f>IF($Q12="","",K12*J12)</f>
        <v/>
      </c>
      <c r="M12" s="7">
        <f>IF($Q12="","",L12+I12)</f>
        <v/>
      </c>
      <c r="N12" s="7">
        <f>IF($Q12="","",O12-M12)</f>
        <v/>
      </c>
      <c r="O12" s="7">
        <f>IF($Q12="","",H12+K12)</f>
        <v/>
      </c>
      <c r="P12" s="7">
        <f>IF($Q12="","",O12-M12-F12)</f>
        <v/>
      </c>
      <c r="Q12" s="13">
        <f>IF(ROWS($Q$2:$Q12)&lt;=MAX('Per Line'!$W$2:$W$501),MATCH(ROWS($Q$2:$Q12),'Per Line'!$W$2:$W$501,0),"")</f>
        <v/>
      </c>
    </row>
    <row r="13">
      <c r="A13" s="12" t="n"/>
      <c r="B13">
        <f>IF($Q13="","",INDEX('Per Line'!$A$2:$A$501,$Q13)&amp;"")</f>
        <v/>
      </c>
      <c r="C13">
        <f>IF($Q13="","",INDEX('Per Line'!$D$2:$D$501,$Q13)&amp;"")</f>
        <v/>
      </c>
      <c r="D13">
        <f>IF($Q13="","",INDEX('Per Line'!$E$2:$E$501,$Q13)&amp;"")</f>
        <v/>
      </c>
      <c r="E13">
        <f>IF($Q13="","",INDEX('Per Line'!$F$2:$F$501,$Q13))</f>
        <v/>
      </c>
      <c r="F13" s="7">
        <f>IF($Q13="","",E13*N13/100)</f>
        <v/>
      </c>
      <c r="G13">
        <f>IF($Q13="","",Settings!$C$7)</f>
        <v/>
      </c>
      <c r="H13" s="7">
        <f>IF($Q13="","",SUMIFS('Per Line'!$L$2:$L$501,'Per Line'!$A$2:$A$501,$B13,'Per Line'!$X$2:$X$501,0))</f>
        <v/>
      </c>
      <c r="I13" s="7">
        <f>IF($Q13="","",H13*G13)</f>
        <v/>
      </c>
      <c r="J13">
        <f>IF($Q13="","",Settings!$C$6)</f>
        <v/>
      </c>
      <c r="K13" s="7">
        <f>IF($Q13="","",SUMIFS('Per Line'!$L$2:$L$501,'Per Line'!$A$2:$A$501,$B13,'Per Line'!$X$2:$X$501,1))</f>
        <v/>
      </c>
      <c r="L13" s="7">
        <f>IF($Q13="","",K13*J13)</f>
        <v/>
      </c>
      <c r="M13" s="7">
        <f>IF($Q13="","",L13+I13)</f>
        <v/>
      </c>
      <c r="N13" s="7">
        <f>IF($Q13="","",O13-M13)</f>
        <v/>
      </c>
      <c r="O13" s="7">
        <f>IF($Q13="","",H13+K13)</f>
        <v/>
      </c>
      <c r="P13" s="7">
        <f>IF($Q13="","",O13-M13-F13)</f>
        <v/>
      </c>
      <c r="Q13" s="13">
        <f>IF(ROWS($Q$2:$Q13)&lt;=MAX('Per Line'!$W$2:$W$501),MATCH(ROWS($Q$2:$Q13),'Per Line'!$W$2:$W$501,0),"")</f>
        <v/>
      </c>
    </row>
    <row r="14">
      <c r="A14" s="12" t="n"/>
      <c r="B14">
        <f>IF($Q14="","",INDEX('Per Line'!$A$2:$A$501,$Q14)&amp;"")</f>
        <v/>
      </c>
      <c r="C14">
        <f>IF($Q14="","",INDEX('Per Line'!$D$2:$D$501,$Q14)&amp;"")</f>
        <v/>
      </c>
      <c r="D14">
        <f>IF($Q14="","",INDEX('Per Line'!$E$2:$E$501,$Q14)&amp;"")</f>
        <v/>
      </c>
      <c r="E14">
        <f>IF($Q14="","",INDEX('Per Line'!$F$2:$F$501,$Q14))</f>
        <v/>
      </c>
      <c r="F14" s="7">
        <f>IF($Q14="","",E14*N14/100)</f>
        <v/>
      </c>
      <c r="G14">
        <f>IF($Q14="","",Settings!$C$7)</f>
        <v/>
      </c>
      <c r="H14" s="7">
        <f>IF($Q14="","",SUMIFS('Per Line'!$L$2:$L$501,'Per Line'!$A$2:$A$501,$B14,'Per Line'!$X$2:$X$501,0))</f>
        <v/>
      </c>
      <c r="I14" s="7">
        <f>IF($Q14="","",H14*G14)</f>
        <v/>
      </c>
      <c r="J14">
        <f>IF($Q14="","",Settings!$C$6)</f>
        <v/>
      </c>
      <c r="K14" s="7">
        <f>IF($Q14="","",SUMIFS('Per Line'!$L$2:$L$501,'Per Line'!$A$2:$A$501,$B14,'Per Line'!$X$2:$X$501,1))</f>
        <v/>
      </c>
      <c r="L14" s="7">
        <f>IF($Q14="","",K14*J14)</f>
        <v/>
      </c>
      <c r="M14" s="7">
        <f>IF($Q14="","",L14+I14)</f>
        <v/>
      </c>
      <c r="N14" s="7">
        <f>IF($Q14="","",O14-M14)</f>
        <v/>
      </c>
      <c r="O14" s="7">
        <f>IF($Q14="","",H14+K14)</f>
        <v/>
      </c>
      <c r="P14" s="7">
        <f>IF($Q14="","",O14-M14-F14)</f>
        <v/>
      </c>
      <c r="Q14" s="13">
        <f>IF(ROWS($Q$2:$Q14)&lt;=MAX('Per Line'!$W$2:$W$501),MATCH(ROWS($Q$2:$Q14),'Per Line'!$W$2:$W$501,0),"")</f>
        <v/>
      </c>
    </row>
    <row r="15">
      <c r="A15" s="12" t="n"/>
      <c r="B15">
        <f>IF($Q15="","",INDEX('Per Line'!$A$2:$A$501,$Q15)&amp;"")</f>
        <v/>
      </c>
      <c r="C15">
        <f>IF($Q15="","",INDEX('Per Line'!$D$2:$D$501,$Q15)&amp;"")</f>
        <v/>
      </c>
      <c r="D15">
        <f>IF($Q15="","",INDEX('Per Line'!$E$2:$E$501,$Q15)&amp;"")</f>
        <v/>
      </c>
      <c r="E15">
        <f>IF($Q15="","",INDEX('Per Line'!$F$2:$F$501,$Q15))</f>
        <v/>
      </c>
      <c r="F15" s="7">
        <f>IF($Q15="","",E15*N15/100)</f>
        <v/>
      </c>
      <c r="G15">
        <f>IF($Q15="","",Settings!$C$7)</f>
        <v/>
      </c>
      <c r="H15" s="7">
        <f>IF($Q15="","",SUMIFS('Per Line'!$L$2:$L$501,'Per Line'!$A$2:$A$501,$B15,'Per Line'!$X$2:$X$501,0))</f>
        <v/>
      </c>
      <c r="I15" s="7">
        <f>IF($Q15="","",H15*G15)</f>
        <v/>
      </c>
      <c r="J15">
        <f>IF($Q15="","",Settings!$C$6)</f>
        <v/>
      </c>
      <c r="K15" s="7">
        <f>IF($Q15="","",SUMIFS('Per Line'!$L$2:$L$501,'Per Line'!$A$2:$A$501,$B15,'Per Line'!$X$2:$X$501,1))</f>
        <v/>
      </c>
      <c r="L15" s="7">
        <f>IF($Q15="","",K15*J15)</f>
        <v/>
      </c>
      <c r="M15" s="7">
        <f>IF($Q15="","",L15+I15)</f>
        <v/>
      </c>
      <c r="N15" s="7">
        <f>IF($Q15="","",O15-M15)</f>
        <v/>
      </c>
      <c r="O15" s="7">
        <f>IF($Q15="","",H15+K15)</f>
        <v/>
      </c>
      <c r="P15" s="7">
        <f>IF($Q15="","",O15-M15-F15)</f>
        <v/>
      </c>
      <c r="Q15" s="13">
        <f>IF(ROWS($Q$2:$Q15)&lt;=MAX('Per Line'!$W$2:$W$501),MATCH(ROWS($Q$2:$Q15),'Per Line'!$W$2:$W$501,0),"")</f>
        <v/>
      </c>
    </row>
    <row r="16">
      <c r="A16" s="12" t="n"/>
      <c r="B16">
        <f>IF($Q16="","",INDEX('Per Line'!$A$2:$A$501,$Q16)&amp;"")</f>
        <v/>
      </c>
      <c r="C16">
        <f>IF($Q16="","",INDEX('Per Line'!$D$2:$D$501,$Q16)&amp;"")</f>
        <v/>
      </c>
      <c r="D16">
        <f>IF($Q16="","",INDEX('Per Line'!$E$2:$E$501,$Q16)&amp;"")</f>
        <v/>
      </c>
      <c r="E16">
        <f>IF($Q16="","",INDEX('Per Line'!$F$2:$F$501,$Q16))</f>
        <v/>
      </c>
      <c r="F16" s="7">
        <f>IF($Q16="","",E16*N16/100)</f>
        <v/>
      </c>
      <c r="G16">
        <f>IF($Q16="","",Settings!$C$7)</f>
        <v/>
      </c>
      <c r="H16" s="7">
        <f>IF($Q16="","",SUMIFS('Per Line'!$L$2:$L$501,'Per Line'!$A$2:$A$501,$B16,'Per Line'!$X$2:$X$501,0))</f>
        <v/>
      </c>
      <c r="I16" s="7">
        <f>IF($Q16="","",H16*G16)</f>
        <v/>
      </c>
      <c r="J16">
        <f>IF($Q16="","",Settings!$C$6)</f>
        <v/>
      </c>
      <c r="K16" s="7">
        <f>IF($Q16="","",SUMIFS('Per Line'!$L$2:$L$501,'Per Line'!$A$2:$A$501,$B16,'Per Line'!$X$2:$X$501,1))</f>
        <v/>
      </c>
      <c r="L16" s="7">
        <f>IF($Q16="","",K16*J16)</f>
        <v/>
      </c>
      <c r="M16" s="7">
        <f>IF($Q16="","",L16+I16)</f>
        <v/>
      </c>
      <c r="N16" s="7">
        <f>IF($Q16="","",O16-M16)</f>
        <v/>
      </c>
      <c r="O16" s="7">
        <f>IF($Q16="","",H16+K16)</f>
        <v/>
      </c>
      <c r="P16" s="7">
        <f>IF($Q16="","",O16-M16-F16)</f>
        <v/>
      </c>
      <c r="Q16" s="13">
        <f>IF(ROWS($Q$2:$Q16)&lt;=MAX('Per Line'!$W$2:$W$501),MATCH(ROWS($Q$2:$Q16),'Per Line'!$W$2:$W$501,0),"")</f>
        <v/>
      </c>
    </row>
    <row r="17">
      <c r="A17" s="12" t="n"/>
      <c r="B17">
        <f>IF($Q17="","",INDEX('Per Line'!$A$2:$A$501,$Q17)&amp;"")</f>
        <v/>
      </c>
      <c r="C17">
        <f>IF($Q17="","",INDEX('Per Line'!$D$2:$D$501,$Q17)&amp;"")</f>
        <v/>
      </c>
      <c r="D17">
        <f>IF($Q17="","",INDEX('Per Line'!$E$2:$E$501,$Q17)&amp;"")</f>
        <v/>
      </c>
      <c r="E17">
        <f>IF($Q17="","",INDEX('Per Line'!$F$2:$F$501,$Q17))</f>
        <v/>
      </c>
      <c r="F17" s="7">
        <f>IF($Q17="","",E17*N17/100)</f>
        <v/>
      </c>
      <c r="G17">
        <f>IF($Q17="","",Settings!$C$7)</f>
        <v/>
      </c>
      <c r="H17" s="7">
        <f>IF($Q17="","",SUMIFS('Per Line'!$L$2:$L$501,'Per Line'!$A$2:$A$501,$B17,'Per Line'!$X$2:$X$501,0))</f>
        <v/>
      </c>
      <c r="I17" s="7">
        <f>IF($Q17="","",H17*G17)</f>
        <v/>
      </c>
      <c r="J17">
        <f>IF($Q17="","",Settings!$C$6)</f>
        <v/>
      </c>
      <c r="K17" s="7">
        <f>IF($Q17="","",SUMIFS('Per Line'!$L$2:$L$501,'Per Line'!$A$2:$A$501,$B17,'Per Line'!$X$2:$X$501,1))</f>
        <v/>
      </c>
      <c r="L17" s="7">
        <f>IF($Q17="","",K17*J17)</f>
        <v/>
      </c>
      <c r="M17" s="7">
        <f>IF($Q17="","",L17+I17)</f>
        <v/>
      </c>
      <c r="N17" s="7">
        <f>IF($Q17="","",O17-M17)</f>
        <v/>
      </c>
      <c r="O17" s="7">
        <f>IF($Q17="","",H17+K17)</f>
        <v/>
      </c>
      <c r="P17" s="7">
        <f>IF($Q17="","",O17-M17-F17)</f>
        <v/>
      </c>
      <c r="Q17" s="13">
        <f>IF(ROWS($Q$2:$Q17)&lt;=MAX('Per Line'!$W$2:$W$501),MATCH(ROWS($Q$2:$Q17),'Per Line'!$W$2:$W$501,0),"")</f>
        <v/>
      </c>
    </row>
    <row r="18">
      <c r="A18" s="12" t="n"/>
      <c r="B18">
        <f>IF($Q18="","",INDEX('Per Line'!$A$2:$A$501,$Q18)&amp;"")</f>
        <v/>
      </c>
      <c r="C18">
        <f>IF($Q18="","",INDEX('Per Line'!$D$2:$D$501,$Q18)&amp;"")</f>
        <v/>
      </c>
      <c r="D18">
        <f>IF($Q18="","",INDEX('Per Line'!$E$2:$E$501,$Q18)&amp;"")</f>
        <v/>
      </c>
      <c r="E18">
        <f>IF($Q18="","",INDEX('Per Line'!$F$2:$F$501,$Q18))</f>
        <v/>
      </c>
      <c r="F18" s="7">
        <f>IF($Q18="","",E18*N18/100)</f>
        <v/>
      </c>
      <c r="G18">
        <f>IF($Q18="","",Settings!$C$7)</f>
        <v/>
      </c>
      <c r="H18" s="7">
        <f>IF($Q18="","",SUMIFS('Per Line'!$L$2:$L$501,'Per Line'!$A$2:$A$501,$B18,'Per Line'!$X$2:$X$501,0))</f>
        <v/>
      </c>
      <c r="I18" s="7">
        <f>IF($Q18="","",H18*G18)</f>
        <v/>
      </c>
      <c r="J18">
        <f>IF($Q18="","",Settings!$C$6)</f>
        <v/>
      </c>
      <c r="K18" s="7">
        <f>IF($Q18="","",SUMIFS('Per Line'!$L$2:$L$501,'Per Line'!$A$2:$A$501,$B18,'Per Line'!$X$2:$X$501,1))</f>
        <v/>
      </c>
      <c r="L18" s="7">
        <f>IF($Q18="","",K18*J18)</f>
        <v/>
      </c>
      <c r="M18" s="7">
        <f>IF($Q18="","",L18+I18)</f>
        <v/>
      </c>
      <c r="N18" s="7">
        <f>IF($Q18="","",O18-M18)</f>
        <v/>
      </c>
      <c r="O18" s="7">
        <f>IF($Q18="","",H18+K18)</f>
        <v/>
      </c>
      <c r="P18" s="7">
        <f>IF($Q18="","",O18-M18-F18)</f>
        <v/>
      </c>
      <c r="Q18" s="13">
        <f>IF(ROWS($Q$2:$Q18)&lt;=MAX('Per Line'!$W$2:$W$501),MATCH(ROWS($Q$2:$Q18),'Per Line'!$W$2:$W$501,0),"")</f>
        <v/>
      </c>
    </row>
    <row r="19">
      <c r="A19" s="12" t="n"/>
      <c r="B19">
        <f>IF($Q19="","",INDEX('Per Line'!$A$2:$A$501,$Q19)&amp;"")</f>
        <v/>
      </c>
      <c r="C19">
        <f>IF($Q19="","",INDEX('Per Line'!$D$2:$D$501,$Q19)&amp;"")</f>
        <v/>
      </c>
      <c r="D19">
        <f>IF($Q19="","",INDEX('Per Line'!$E$2:$E$501,$Q19)&amp;"")</f>
        <v/>
      </c>
      <c r="E19">
        <f>IF($Q19="","",INDEX('Per Line'!$F$2:$F$501,$Q19))</f>
        <v/>
      </c>
      <c r="F19" s="7">
        <f>IF($Q19="","",E19*N19/100)</f>
        <v/>
      </c>
      <c r="G19">
        <f>IF($Q19="","",Settings!$C$7)</f>
        <v/>
      </c>
      <c r="H19" s="7">
        <f>IF($Q19="","",SUMIFS('Per Line'!$L$2:$L$501,'Per Line'!$A$2:$A$501,$B19,'Per Line'!$X$2:$X$501,0))</f>
        <v/>
      </c>
      <c r="I19" s="7">
        <f>IF($Q19="","",H19*G19)</f>
        <v/>
      </c>
      <c r="J19">
        <f>IF($Q19="","",Settings!$C$6)</f>
        <v/>
      </c>
      <c r="K19" s="7">
        <f>IF($Q19="","",SUMIFS('Per Line'!$L$2:$L$501,'Per Line'!$A$2:$A$501,$B19,'Per Line'!$X$2:$X$501,1))</f>
        <v/>
      </c>
      <c r="L19" s="7">
        <f>IF($Q19="","",K19*J19)</f>
        <v/>
      </c>
      <c r="M19" s="7">
        <f>IF($Q19="","",L19+I19)</f>
        <v/>
      </c>
      <c r="N19" s="7">
        <f>IF($Q19="","",O19-M19)</f>
        <v/>
      </c>
      <c r="O19" s="7">
        <f>IF($Q19="","",H19+K19)</f>
        <v/>
      </c>
      <c r="P19" s="7">
        <f>IF($Q19="","",O19-M19-F19)</f>
        <v/>
      </c>
      <c r="Q19" s="13">
        <f>IF(ROWS($Q$2:$Q19)&lt;=MAX('Per Line'!$W$2:$W$501),MATCH(ROWS($Q$2:$Q19),'Per Line'!$W$2:$W$501,0),"")</f>
        <v/>
      </c>
    </row>
    <row r="20">
      <c r="A20" s="12" t="n"/>
      <c r="B20">
        <f>IF($Q20="","",INDEX('Per Line'!$A$2:$A$501,$Q20)&amp;"")</f>
        <v/>
      </c>
      <c r="C20">
        <f>IF($Q20="","",INDEX('Per Line'!$D$2:$D$501,$Q20)&amp;"")</f>
        <v/>
      </c>
      <c r="D20">
        <f>IF($Q20="","",INDEX('Per Line'!$E$2:$E$501,$Q20)&amp;"")</f>
        <v/>
      </c>
      <c r="E20">
        <f>IF($Q20="","",INDEX('Per Line'!$F$2:$F$501,$Q20))</f>
        <v/>
      </c>
      <c r="F20" s="7">
        <f>IF($Q20="","",E20*N20/100)</f>
        <v/>
      </c>
      <c r="G20">
        <f>IF($Q20="","",Settings!$C$7)</f>
        <v/>
      </c>
      <c r="H20" s="7">
        <f>IF($Q20="","",SUMIFS('Per Line'!$L$2:$L$501,'Per Line'!$A$2:$A$501,$B20,'Per Line'!$X$2:$X$501,0))</f>
        <v/>
      </c>
      <c r="I20" s="7">
        <f>IF($Q20="","",H20*G20)</f>
        <v/>
      </c>
      <c r="J20">
        <f>IF($Q20="","",Settings!$C$6)</f>
        <v/>
      </c>
      <c r="K20" s="7">
        <f>IF($Q20="","",SUMIFS('Per Line'!$L$2:$L$501,'Per Line'!$A$2:$A$501,$B20,'Per Line'!$X$2:$X$501,1))</f>
        <v/>
      </c>
      <c r="L20" s="7">
        <f>IF($Q20="","",K20*J20)</f>
        <v/>
      </c>
      <c r="M20" s="7">
        <f>IF($Q20="","",L20+I20)</f>
        <v/>
      </c>
      <c r="N20" s="7">
        <f>IF($Q20="","",O20-M20)</f>
        <v/>
      </c>
      <c r="O20" s="7">
        <f>IF($Q20="","",H20+K20)</f>
        <v/>
      </c>
      <c r="P20" s="7">
        <f>IF($Q20="","",O20-M20-F20)</f>
        <v/>
      </c>
      <c r="Q20" s="13">
        <f>IF(ROWS($Q$2:$Q20)&lt;=MAX('Per Line'!$W$2:$W$501),MATCH(ROWS($Q$2:$Q20),'Per Line'!$W$2:$W$501,0),"")</f>
        <v/>
      </c>
    </row>
    <row r="21">
      <c r="A21" s="12" t="n"/>
      <c r="B21">
        <f>IF($Q21="","",INDEX('Per Line'!$A$2:$A$501,$Q21)&amp;"")</f>
        <v/>
      </c>
      <c r="C21">
        <f>IF($Q21="","",INDEX('Per Line'!$D$2:$D$501,$Q21)&amp;"")</f>
        <v/>
      </c>
      <c r="D21">
        <f>IF($Q21="","",INDEX('Per Line'!$E$2:$E$501,$Q21)&amp;"")</f>
        <v/>
      </c>
      <c r="E21">
        <f>IF($Q21="","",INDEX('Per Line'!$F$2:$F$501,$Q21))</f>
        <v/>
      </c>
      <c r="F21" s="7">
        <f>IF($Q21="","",E21*N21/100)</f>
        <v/>
      </c>
      <c r="G21">
        <f>IF($Q21="","",Settings!$C$7)</f>
        <v/>
      </c>
      <c r="H21" s="7">
        <f>IF($Q21="","",SUMIFS('Per Line'!$L$2:$L$501,'Per Line'!$A$2:$A$501,$B21,'Per Line'!$X$2:$X$501,0))</f>
        <v/>
      </c>
      <c r="I21" s="7">
        <f>IF($Q21="","",H21*G21)</f>
        <v/>
      </c>
      <c r="J21">
        <f>IF($Q21="","",Settings!$C$6)</f>
        <v/>
      </c>
      <c r="K21" s="7">
        <f>IF($Q21="","",SUMIFS('Per Line'!$L$2:$L$501,'Per Line'!$A$2:$A$501,$B21,'Per Line'!$X$2:$X$501,1))</f>
        <v/>
      </c>
      <c r="L21" s="7">
        <f>IF($Q21="","",K21*J21)</f>
        <v/>
      </c>
      <c r="M21" s="7">
        <f>IF($Q21="","",L21+I21)</f>
        <v/>
      </c>
      <c r="N21" s="7">
        <f>IF($Q21="","",O21-M21)</f>
        <v/>
      </c>
      <c r="O21" s="7">
        <f>IF($Q21="","",H21+K21)</f>
        <v/>
      </c>
      <c r="P21" s="7">
        <f>IF($Q21="","",O21-M21-F21)</f>
        <v/>
      </c>
      <c r="Q21" s="13">
        <f>IF(ROWS($Q$2:$Q21)&lt;=MAX('Per Line'!$W$2:$W$501),MATCH(ROWS($Q$2:$Q21),'Per Line'!$W$2:$W$501,0),"")</f>
        <v/>
      </c>
    </row>
    <row r="22">
      <c r="A22" s="12" t="n"/>
      <c r="B22">
        <f>IF($Q22="","",INDEX('Per Line'!$A$2:$A$501,$Q22)&amp;"")</f>
        <v/>
      </c>
      <c r="C22">
        <f>IF($Q22="","",INDEX('Per Line'!$D$2:$D$501,$Q22)&amp;"")</f>
        <v/>
      </c>
      <c r="D22">
        <f>IF($Q22="","",INDEX('Per Line'!$E$2:$E$501,$Q22)&amp;"")</f>
        <v/>
      </c>
      <c r="E22">
        <f>IF($Q22="","",INDEX('Per Line'!$F$2:$F$501,$Q22))</f>
        <v/>
      </c>
      <c r="F22" s="7">
        <f>IF($Q22="","",E22*N22/100)</f>
        <v/>
      </c>
      <c r="G22">
        <f>IF($Q22="","",Settings!$C$7)</f>
        <v/>
      </c>
      <c r="H22" s="7">
        <f>IF($Q22="","",SUMIFS('Per Line'!$L$2:$L$501,'Per Line'!$A$2:$A$501,$B22,'Per Line'!$X$2:$X$501,0))</f>
        <v/>
      </c>
      <c r="I22" s="7">
        <f>IF($Q22="","",H22*G22)</f>
        <v/>
      </c>
      <c r="J22">
        <f>IF($Q22="","",Settings!$C$6)</f>
        <v/>
      </c>
      <c r="K22" s="7">
        <f>IF($Q22="","",SUMIFS('Per Line'!$L$2:$L$501,'Per Line'!$A$2:$A$501,$B22,'Per Line'!$X$2:$X$501,1))</f>
        <v/>
      </c>
      <c r="L22" s="7">
        <f>IF($Q22="","",K22*J22)</f>
        <v/>
      </c>
      <c r="M22" s="7">
        <f>IF($Q22="","",L22+I22)</f>
        <v/>
      </c>
      <c r="N22" s="7">
        <f>IF($Q22="","",O22-M22)</f>
        <v/>
      </c>
      <c r="O22" s="7">
        <f>IF($Q22="","",H22+K22)</f>
        <v/>
      </c>
      <c r="P22" s="7">
        <f>IF($Q22="","",O22-M22-F22)</f>
        <v/>
      </c>
      <c r="Q22" s="13">
        <f>IF(ROWS($Q$2:$Q22)&lt;=MAX('Per Line'!$W$2:$W$501),MATCH(ROWS($Q$2:$Q22),'Per Line'!$W$2:$W$501,0),"")</f>
        <v/>
      </c>
    </row>
    <row r="23">
      <c r="A23" s="12" t="n"/>
      <c r="B23">
        <f>IF($Q23="","",INDEX('Per Line'!$A$2:$A$501,$Q23)&amp;"")</f>
        <v/>
      </c>
      <c r="C23">
        <f>IF($Q23="","",INDEX('Per Line'!$D$2:$D$501,$Q23)&amp;"")</f>
        <v/>
      </c>
      <c r="D23">
        <f>IF($Q23="","",INDEX('Per Line'!$E$2:$E$501,$Q23)&amp;"")</f>
        <v/>
      </c>
      <c r="E23">
        <f>IF($Q23="","",INDEX('Per Line'!$F$2:$F$501,$Q23))</f>
        <v/>
      </c>
      <c r="F23" s="7">
        <f>IF($Q23="","",E23*N23/100)</f>
        <v/>
      </c>
      <c r="G23">
        <f>IF($Q23="","",Settings!$C$7)</f>
        <v/>
      </c>
      <c r="H23" s="7">
        <f>IF($Q23="","",SUMIFS('Per Line'!$L$2:$L$501,'Per Line'!$A$2:$A$501,$B23,'Per Line'!$X$2:$X$501,0))</f>
        <v/>
      </c>
      <c r="I23" s="7">
        <f>IF($Q23="","",H23*G23)</f>
        <v/>
      </c>
      <c r="J23">
        <f>IF($Q23="","",Settings!$C$6)</f>
        <v/>
      </c>
      <c r="K23" s="7">
        <f>IF($Q23="","",SUMIFS('Per Line'!$L$2:$L$501,'Per Line'!$A$2:$A$501,$B23,'Per Line'!$X$2:$X$501,1))</f>
        <v/>
      </c>
      <c r="L23" s="7">
        <f>IF($Q23="","",K23*J23)</f>
        <v/>
      </c>
      <c r="M23" s="7">
        <f>IF($Q23="","",L23+I23)</f>
        <v/>
      </c>
      <c r="N23" s="7">
        <f>IF($Q23="","",O23-M23)</f>
        <v/>
      </c>
      <c r="O23" s="7">
        <f>IF($Q23="","",H23+K23)</f>
        <v/>
      </c>
      <c r="P23" s="7">
        <f>IF($Q23="","",O23-M23-F23)</f>
        <v/>
      </c>
      <c r="Q23" s="13">
        <f>IF(ROWS($Q$2:$Q23)&lt;=MAX('Per Line'!$W$2:$W$501),MATCH(ROWS($Q$2:$Q23),'Per Line'!$W$2:$W$501,0),"")</f>
        <v/>
      </c>
    </row>
    <row r="24">
      <c r="A24" s="12" t="n"/>
      <c r="B24">
        <f>IF($Q24="","",INDEX('Per Line'!$A$2:$A$501,$Q24)&amp;"")</f>
        <v/>
      </c>
      <c r="C24">
        <f>IF($Q24="","",INDEX('Per Line'!$D$2:$D$501,$Q24)&amp;"")</f>
        <v/>
      </c>
      <c r="D24">
        <f>IF($Q24="","",INDEX('Per Line'!$E$2:$E$501,$Q24)&amp;"")</f>
        <v/>
      </c>
      <c r="E24">
        <f>IF($Q24="","",INDEX('Per Line'!$F$2:$F$501,$Q24))</f>
        <v/>
      </c>
      <c r="F24" s="7">
        <f>IF($Q24="","",E24*N24/100)</f>
        <v/>
      </c>
      <c r="G24">
        <f>IF($Q24="","",Settings!$C$7)</f>
        <v/>
      </c>
      <c r="H24" s="7">
        <f>IF($Q24="","",SUMIFS('Per Line'!$L$2:$L$501,'Per Line'!$A$2:$A$501,$B24,'Per Line'!$X$2:$X$501,0))</f>
        <v/>
      </c>
      <c r="I24" s="7">
        <f>IF($Q24="","",H24*G24)</f>
        <v/>
      </c>
      <c r="J24">
        <f>IF($Q24="","",Settings!$C$6)</f>
        <v/>
      </c>
      <c r="K24" s="7">
        <f>IF($Q24="","",SUMIFS('Per Line'!$L$2:$L$501,'Per Line'!$A$2:$A$501,$B24,'Per Line'!$X$2:$X$501,1))</f>
        <v/>
      </c>
      <c r="L24" s="7">
        <f>IF($Q24="","",K24*J24)</f>
        <v/>
      </c>
      <c r="M24" s="7">
        <f>IF($Q24="","",L24+I24)</f>
        <v/>
      </c>
      <c r="N24" s="7">
        <f>IF($Q24="","",O24-M24)</f>
        <v/>
      </c>
      <c r="O24" s="7">
        <f>IF($Q24="","",H24+K24)</f>
        <v/>
      </c>
      <c r="P24" s="7">
        <f>IF($Q24="","",O24-M24-F24)</f>
        <v/>
      </c>
      <c r="Q24" s="13">
        <f>IF(ROWS($Q$2:$Q24)&lt;=MAX('Per Line'!$W$2:$W$501),MATCH(ROWS($Q$2:$Q24),'Per Line'!$W$2:$W$501,0),"")</f>
        <v/>
      </c>
    </row>
    <row r="25">
      <c r="A25" s="12" t="n"/>
      <c r="B25">
        <f>IF($Q25="","",INDEX('Per Line'!$A$2:$A$501,$Q25)&amp;"")</f>
        <v/>
      </c>
      <c r="C25">
        <f>IF($Q25="","",INDEX('Per Line'!$D$2:$D$501,$Q25)&amp;"")</f>
        <v/>
      </c>
      <c r="D25">
        <f>IF($Q25="","",INDEX('Per Line'!$E$2:$E$501,$Q25)&amp;"")</f>
        <v/>
      </c>
      <c r="E25">
        <f>IF($Q25="","",INDEX('Per Line'!$F$2:$F$501,$Q25))</f>
        <v/>
      </c>
      <c r="F25" s="7">
        <f>IF($Q25="","",E25*N25/100)</f>
        <v/>
      </c>
      <c r="G25">
        <f>IF($Q25="","",Settings!$C$7)</f>
        <v/>
      </c>
      <c r="H25" s="7">
        <f>IF($Q25="","",SUMIFS('Per Line'!$L$2:$L$501,'Per Line'!$A$2:$A$501,$B25,'Per Line'!$X$2:$X$501,0))</f>
        <v/>
      </c>
      <c r="I25" s="7">
        <f>IF($Q25="","",H25*G25)</f>
        <v/>
      </c>
      <c r="J25">
        <f>IF($Q25="","",Settings!$C$6)</f>
        <v/>
      </c>
      <c r="K25" s="7">
        <f>IF($Q25="","",SUMIFS('Per Line'!$L$2:$L$501,'Per Line'!$A$2:$A$501,$B25,'Per Line'!$X$2:$X$501,1))</f>
        <v/>
      </c>
      <c r="L25" s="7">
        <f>IF($Q25="","",K25*J25)</f>
        <v/>
      </c>
      <c r="M25" s="7">
        <f>IF($Q25="","",L25+I25)</f>
        <v/>
      </c>
      <c r="N25" s="7">
        <f>IF($Q25="","",O25-M25)</f>
        <v/>
      </c>
      <c r="O25" s="7">
        <f>IF($Q25="","",H25+K25)</f>
        <v/>
      </c>
      <c r="P25" s="7">
        <f>IF($Q25="","",O25-M25-F25)</f>
        <v/>
      </c>
      <c r="Q25" s="13">
        <f>IF(ROWS($Q$2:$Q25)&lt;=MAX('Per Line'!$W$2:$W$501),MATCH(ROWS($Q$2:$Q25),'Per Line'!$W$2:$W$501,0),"")</f>
        <v/>
      </c>
    </row>
    <row r="26">
      <c r="A26" s="12" t="n"/>
      <c r="B26">
        <f>IF($Q26="","",INDEX('Per Line'!$A$2:$A$501,$Q26)&amp;"")</f>
        <v/>
      </c>
      <c r="C26">
        <f>IF($Q26="","",INDEX('Per Line'!$D$2:$D$501,$Q26)&amp;"")</f>
        <v/>
      </c>
      <c r="D26">
        <f>IF($Q26="","",INDEX('Per Line'!$E$2:$E$501,$Q26)&amp;"")</f>
        <v/>
      </c>
      <c r="E26">
        <f>IF($Q26="","",INDEX('Per Line'!$F$2:$F$501,$Q26))</f>
        <v/>
      </c>
      <c r="F26" s="7">
        <f>IF($Q26="","",E26*N26/100)</f>
        <v/>
      </c>
      <c r="G26">
        <f>IF($Q26="","",Settings!$C$7)</f>
        <v/>
      </c>
      <c r="H26" s="7">
        <f>IF($Q26="","",SUMIFS('Per Line'!$L$2:$L$501,'Per Line'!$A$2:$A$501,$B26,'Per Line'!$X$2:$X$501,0))</f>
        <v/>
      </c>
      <c r="I26" s="7">
        <f>IF($Q26="","",H26*G26)</f>
        <v/>
      </c>
      <c r="J26">
        <f>IF($Q26="","",Settings!$C$6)</f>
        <v/>
      </c>
      <c r="K26" s="7">
        <f>IF($Q26="","",SUMIFS('Per Line'!$L$2:$L$501,'Per Line'!$A$2:$A$501,$B26,'Per Line'!$X$2:$X$501,1))</f>
        <v/>
      </c>
      <c r="L26" s="7">
        <f>IF($Q26="","",K26*J26)</f>
        <v/>
      </c>
      <c r="M26" s="7">
        <f>IF($Q26="","",L26+I26)</f>
        <v/>
      </c>
      <c r="N26" s="7">
        <f>IF($Q26="","",O26-M26)</f>
        <v/>
      </c>
      <c r="O26" s="7">
        <f>IF($Q26="","",H26+K26)</f>
        <v/>
      </c>
      <c r="P26" s="7">
        <f>IF($Q26="","",O26-M26-F26)</f>
        <v/>
      </c>
      <c r="Q26" s="13">
        <f>IF(ROWS($Q$2:$Q26)&lt;=MAX('Per Line'!$W$2:$W$501),MATCH(ROWS($Q$2:$Q26),'Per Line'!$W$2:$W$501,0),"")</f>
        <v/>
      </c>
    </row>
    <row r="27">
      <c r="A27" s="12" t="n"/>
      <c r="B27">
        <f>IF($Q27="","",INDEX('Per Line'!$A$2:$A$501,$Q27)&amp;"")</f>
        <v/>
      </c>
      <c r="C27">
        <f>IF($Q27="","",INDEX('Per Line'!$D$2:$D$501,$Q27)&amp;"")</f>
        <v/>
      </c>
      <c r="D27">
        <f>IF($Q27="","",INDEX('Per Line'!$E$2:$E$501,$Q27)&amp;"")</f>
        <v/>
      </c>
      <c r="E27">
        <f>IF($Q27="","",INDEX('Per Line'!$F$2:$F$501,$Q27))</f>
        <v/>
      </c>
      <c r="F27" s="7">
        <f>IF($Q27="","",E27*N27/100)</f>
        <v/>
      </c>
      <c r="G27">
        <f>IF($Q27="","",Settings!$C$7)</f>
        <v/>
      </c>
      <c r="H27" s="7">
        <f>IF($Q27="","",SUMIFS('Per Line'!$L$2:$L$501,'Per Line'!$A$2:$A$501,$B27,'Per Line'!$X$2:$X$501,0))</f>
        <v/>
      </c>
      <c r="I27" s="7">
        <f>IF($Q27="","",H27*G27)</f>
        <v/>
      </c>
      <c r="J27">
        <f>IF($Q27="","",Settings!$C$6)</f>
        <v/>
      </c>
      <c r="K27" s="7">
        <f>IF($Q27="","",SUMIFS('Per Line'!$L$2:$L$501,'Per Line'!$A$2:$A$501,$B27,'Per Line'!$X$2:$X$501,1))</f>
        <v/>
      </c>
      <c r="L27" s="7">
        <f>IF($Q27="","",K27*J27)</f>
        <v/>
      </c>
      <c r="M27" s="7">
        <f>IF($Q27="","",L27+I27)</f>
        <v/>
      </c>
      <c r="N27" s="7">
        <f>IF($Q27="","",O27-M27)</f>
        <v/>
      </c>
      <c r="O27" s="7">
        <f>IF($Q27="","",H27+K27)</f>
        <v/>
      </c>
      <c r="P27" s="7">
        <f>IF($Q27="","",O27-M27-F27)</f>
        <v/>
      </c>
      <c r="Q27" s="13">
        <f>IF(ROWS($Q$2:$Q27)&lt;=MAX('Per Line'!$W$2:$W$501),MATCH(ROWS($Q$2:$Q27),'Per Line'!$W$2:$W$501,0),"")</f>
        <v/>
      </c>
    </row>
    <row r="28">
      <c r="A28" s="12" t="n"/>
      <c r="B28">
        <f>IF($Q28="","",INDEX('Per Line'!$A$2:$A$501,$Q28)&amp;"")</f>
        <v/>
      </c>
      <c r="C28">
        <f>IF($Q28="","",INDEX('Per Line'!$D$2:$D$501,$Q28)&amp;"")</f>
        <v/>
      </c>
      <c r="D28">
        <f>IF($Q28="","",INDEX('Per Line'!$E$2:$E$501,$Q28)&amp;"")</f>
        <v/>
      </c>
      <c r="E28">
        <f>IF($Q28="","",INDEX('Per Line'!$F$2:$F$501,$Q28))</f>
        <v/>
      </c>
      <c r="F28" s="7">
        <f>IF($Q28="","",E28*N28/100)</f>
        <v/>
      </c>
      <c r="G28">
        <f>IF($Q28="","",Settings!$C$7)</f>
        <v/>
      </c>
      <c r="H28" s="7">
        <f>IF($Q28="","",SUMIFS('Per Line'!$L$2:$L$501,'Per Line'!$A$2:$A$501,$B28,'Per Line'!$X$2:$X$501,0))</f>
        <v/>
      </c>
      <c r="I28" s="7">
        <f>IF($Q28="","",H28*G28)</f>
        <v/>
      </c>
      <c r="J28">
        <f>IF($Q28="","",Settings!$C$6)</f>
        <v/>
      </c>
      <c r="K28" s="7">
        <f>IF($Q28="","",SUMIFS('Per Line'!$L$2:$L$501,'Per Line'!$A$2:$A$501,$B28,'Per Line'!$X$2:$X$501,1))</f>
        <v/>
      </c>
      <c r="L28" s="7">
        <f>IF($Q28="","",K28*J28)</f>
        <v/>
      </c>
      <c r="M28" s="7">
        <f>IF($Q28="","",L28+I28)</f>
        <v/>
      </c>
      <c r="N28" s="7">
        <f>IF($Q28="","",O28-M28)</f>
        <v/>
      </c>
      <c r="O28" s="7">
        <f>IF($Q28="","",H28+K28)</f>
        <v/>
      </c>
      <c r="P28" s="7">
        <f>IF($Q28="","",O28-M28-F28)</f>
        <v/>
      </c>
      <c r="Q28" s="13">
        <f>IF(ROWS($Q$2:$Q28)&lt;=MAX('Per Line'!$W$2:$W$501),MATCH(ROWS($Q$2:$Q28),'Per Line'!$W$2:$W$501,0),"")</f>
        <v/>
      </c>
    </row>
    <row r="29">
      <c r="A29" s="12" t="n"/>
      <c r="B29">
        <f>IF($Q29="","",INDEX('Per Line'!$A$2:$A$501,$Q29)&amp;"")</f>
        <v/>
      </c>
      <c r="C29">
        <f>IF($Q29="","",INDEX('Per Line'!$D$2:$D$501,$Q29)&amp;"")</f>
        <v/>
      </c>
      <c r="D29">
        <f>IF($Q29="","",INDEX('Per Line'!$E$2:$E$501,$Q29)&amp;"")</f>
        <v/>
      </c>
      <c r="E29">
        <f>IF($Q29="","",INDEX('Per Line'!$F$2:$F$501,$Q29))</f>
        <v/>
      </c>
      <c r="F29" s="7">
        <f>IF($Q29="","",E29*N29/100)</f>
        <v/>
      </c>
      <c r="G29">
        <f>IF($Q29="","",Settings!$C$7)</f>
        <v/>
      </c>
      <c r="H29" s="7">
        <f>IF($Q29="","",SUMIFS('Per Line'!$L$2:$L$501,'Per Line'!$A$2:$A$501,$B29,'Per Line'!$X$2:$X$501,0))</f>
        <v/>
      </c>
      <c r="I29" s="7">
        <f>IF($Q29="","",H29*G29)</f>
        <v/>
      </c>
      <c r="J29">
        <f>IF($Q29="","",Settings!$C$6)</f>
        <v/>
      </c>
      <c r="K29" s="7">
        <f>IF($Q29="","",SUMIFS('Per Line'!$L$2:$L$501,'Per Line'!$A$2:$A$501,$B29,'Per Line'!$X$2:$X$501,1))</f>
        <v/>
      </c>
      <c r="L29" s="7">
        <f>IF($Q29="","",K29*J29)</f>
        <v/>
      </c>
      <c r="M29" s="7">
        <f>IF($Q29="","",L29+I29)</f>
        <v/>
      </c>
      <c r="N29" s="7">
        <f>IF($Q29="","",O29-M29)</f>
        <v/>
      </c>
      <c r="O29" s="7">
        <f>IF($Q29="","",H29+K29)</f>
        <v/>
      </c>
      <c r="P29" s="7">
        <f>IF($Q29="","",O29-M29-F29)</f>
        <v/>
      </c>
      <c r="Q29" s="13">
        <f>IF(ROWS($Q$2:$Q29)&lt;=MAX('Per Line'!$W$2:$W$501),MATCH(ROWS($Q$2:$Q29),'Per Line'!$W$2:$W$501,0),"")</f>
        <v/>
      </c>
    </row>
    <row r="30">
      <c r="A30" s="12" t="n"/>
      <c r="B30">
        <f>IF($Q30="","",INDEX('Per Line'!$A$2:$A$501,$Q30)&amp;"")</f>
        <v/>
      </c>
      <c r="C30">
        <f>IF($Q30="","",INDEX('Per Line'!$D$2:$D$501,$Q30)&amp;"")</f>
        <v/>
      </c>
      <c r="D30">
        <f>IF($Q30="","",INDEX('Per Line'!$E$2:$E$501,$Q30)&amp;"")</f>
        <v/>
      </c>
      <c r="E30">
        <f>IF($Q30="","",INDEX('Per Line'!$F$2:$F$501,$Q30))</f>
        <v/>
      </c>
      <c r="F30" s="7">
        <f>IF($Q30="","",E30*N30/100)</f>
        <v/>
      </c>
      <c r="G30">
        <f>IF($Q30="","",Settings!$C$7)</f>
        <v/>
      </c>
      <c r="H30" s="7">
        <f>IF($Q30="","",SUMIFS('Per Line'!$L$2:$L$501,'Per Line'!$A$2:$A$501,$B30,'Per Line'!$X$2:$X$501,0))</f>
        <v/>
      </c>
      <c r="I30" s="7">
        <f>IF($Q30="","",H30*G30)</f>
        <v/>
      </c>
      <c r="J30">
        <f>IF($Q30="","",Settings!$C$6)</f>
        <v/>
      </c>
      <c r="K30" s="7">
        <f>IF($Q30="","",SUMIFS('Per Line'!$L$2:$L$501,'Per Line'!$A$2:$A$501,$B30,'Per Line'!$X$2:$X$501,1))</f>
        <v/>
      </c>
      <c r="L30" s="7">
        <f>IF($Q30="","",K30*J30)</f>
        <v/>
      </c>
      <c r="M30" s="7">
        <f>IF($Q30="","",L30+I30)</f>
        <v/>
      </c>
      <c r="N30" s="7">
        <f>IF($Q30="","",O30-M30)</f>
        <v/>
      </c>
      <c r="O30" s="7">
        <f>IF($Q30="","",H30+K30)</f>
        <v/>
      </c>
      <c r="P30" s="7">
        <f>IF($Q30="","",O30-M30-F30)</f>
        <v/>
      </c>
      <c r="Q30" s="13">
        <f>IF(ROWS($Q$2:$Q30)&lt;=MAX('Per Line'!$W$2:$W$501),MATCH(ROWS($Q$2:$Q30),'Per Line'!$W$2:$W$501,0),"")</f>
        <v/>
      </c>
    </row>
    <row r="31">
      <c r="A31" s="12" t="n"/>
      <c r="B31">
        <f>IF($Q31="","",INDEX('Per Line'!$A$2:$A$501,$Q31)&amp;"")</f>
        <v/>
      </c>
      <c r="C31">
        <f>IF($Q31="","",INDEX('Per Line'!$D$2:$D$501,$Q31)&amp;"")</f>
        <v/>
      </c>
      <c r="D31">
        <f>IF($Q31="","",INDEX('Per Line'!$E$2:$E$501,$Q31)&amp;"")</f>
        <v/>
      </c>
      <c r="E31">
        <f>IF($Q31="","",INDEX('Per Line'!$F$2:$F$501,$Q31))</f>
        <v/>
      </c>
      <c r="F31" s="7">
        <f>IF($Q31="","",E31*N31/100)</f>
        <v/>
      </c>
      <c r="G31">
        <f>IF($Q31="","",Settings!$C$7)</f>
        <v/>
      </c>
      <c r="H31" s="7">
        <f>IF($Q31="","",SUMIFS('Per Line'!$L$2:$L$501,'Per Line'!$A$2:$A$501,$B31,'Per Line'!$X$2:$X$501,0))</f>
        <v/>
      </c>
      <c r="I31" s="7">
        <f>IF($Q31="","",H31*G31)</f>
        <v/>
      </c>
      <c r="J31">
        <f>IF($Q31="","",Settings!$C$6)</f>
        <v/>
      </c>
      <c r="K31" s="7">
        <f>IF($Q31="","",SUMIFS('Per Line'!$L$2:$L$501,'Per Line'!$A$2:$A$501,$B31,'Per Line'!$X$2:$X$501,1))</f>
        <v/>
      </c>
      <c r="L31" s="7">
        <f>IF($Q31="","",K31*J31)</f>
        <v/>
      </c>
      <c r="M31" s="7">
        <f>IF($Q31="","",L31+I31)</f>
        <v/>
      </c>
      <c r="N31" s="7">
        <f>IF($Q31="","",O31-M31)</f>
        <v/>
      </c>
      <c r="O31" s="7">
        <f>IF($Q31="","",H31+K31)</f>
        <v/>
      </c>
      <c r="P31" s="7">
        <f>IF($Q31="","",O31-M31-F31)</f>
        <v/>
      </c>
      <c r="Q31" s="13">
        <f>IF(ROWS($Q$2:$Q31)&lt;=MAX('Per Line'!$W$2:$W$501),MATCH(ROWS($Q$2:$Q31),'Per Line'!$W$2:$W$501,0),"")</f>
        <v/>
      </c>
    </row>
    <row r="32">
      <c r="A32" s="12" t="n"/>
      <c r="B32">
        <f>IF($Q32="","",INDEX('Per Line'!$A$2:$A$501,$Q32)&amp;"")</f>
        <v/>
      </c>
      <c r="C32">
        <f>IF($Q32="","",INDEX('Per Line'!$D$2:$D$501,$Q32)&amp;"")</f>
        <v/>
      </c>
      <c r="D32">
        <f>IF($Q32="","",INDEX('Per Line'!$E$2:$E$501,$Q32)&amp;"")</f>
        <v/>
      </c>
      <c r="E32">
        <f>IF($Q32="","",INDEX('Per Line'!$F$2:$F$501,$Q32))</f>
        <v/>
      </c>
      <c r="F32" s="7">
        <f>IF($Q32="","",E32*N32/100)</f>
        <v/>
      </c>
      <c r="G32">
        <f>IF($Q32="","",Settings!$C$7)</f>
        <v/>
      </c>
      <c r="H32" s="7">
        <f>IF($Q32="","",SUMIFS('Per Line'!$L$2:$L$501,'Per Line'!$A$2:$A$501,$B32,'Per Line'!$X$2:$X$501,0))</f>
        <v/>
      </c>
      <c r="I32" s="7">
        <f>IF($Q32="","",H32*G32)</f>
        <v/>
      </c>
      <c r="J32">
        <f>IF($Q32="","",Settings!$C$6)</f>
        <v/>
      </c>
      <c r="K32" s="7">
        <f>IF($Q32="","",SUMIFS('Per Line'!$L$2:$L$501,'Per Line'!$A$2:$A$501,$B32,'Per Line'!$X$2:$X$501,1))</f>
        <v/>
      </c>
      <c r="L32" s="7">
        <f>IF($Q32="","",K32*J32)</f>
        <v/>
      </c>
      <c r="M32" s="7">
        <f>IF($Q32="","",L32+I32)</f>
        <v/>
      </c>
      <c r="N32" s="7">
        <f>IF($Q32="","",O32-M32)</f>
        <v/>
      </c>
      <c r="O32" s="7">
        <f>IF($Q32="","",H32+K32)</f>
        <v/>
      </c>
      <c r="P32" s="7">
        <f>IF($Q32="","",O32-M32-F32)</f>
        <v/>
      </c>
      <c r="Q32" s="13">
        <f>IF(ROWS($Q$2:$Q32)&lt;=MAX('Per Line'!$W$2:$W$501),MATCH(ROWS($Q$2:$Q32),'Per Line'!$W$2:$W$501,0),"")</f>
        <v/>
      </c>
    </row>
    <row r="33">
      <c r="A33" s="12" t="n"/>
      <c r="B33">
        <f>IF($Q33="","",INDEX('Per Line'!$A$2:$A$501,$Q33)&amp;"")</f>
        <v/>
      </c>
      <c r="C33">
        <f>IF($Q33="","",INDEX('Per Line'!$D$2:$D$501,$Q33)&amp;"")</f>
        <v/>
      </c>
      <c r="D33">
        <f>IF($Q33="","",INDEX('Per Line'!$E$2:$E$501,$Q33)&amp;"")</f>
        <v/>
      </c>
      <c r="E33">
        <f>IF($Q33="","",INDEX('Per Line'!$F$2:$F$501,$Q33))</f>
        <v/>
      </c>
      <c r="F33" s="7">
        <f>IF($Q33="","",E33*N33/100)</f>
        <v/>
      </c>
      <c r="G33">
        <f>IF($Q33="","",Settings!$C$7)</f>
        <v/>
      </c>
      <c r="H33" s="7">
        <f>IF($Q33="","",SUMIFS('Per Line'!$L$2:$L$501,'Per Line'!$A$2:$A$501,$B33,'Per Line'!$X$2:$X$501,0))</f>
        <v/>
      </c>
      <c r="I33" s="7">
        <f>IF($Q33="","",H33*G33)</f>
        <v/>
      </c>
      <c r="J33">
        <f>IF($Q33="","",Settings!$C$6)</f>
        <v/>
      </c>
      <c r="K33" s="7">
        <f>IF($Q33="","",SUMIFS('Per Line'!$L$2:$L$501,'Per Line'!$A$2:$A$501,$B33,'Per Line'!$X$2:$X$501,1))</f>
        <v/>
      </c>
      <c r="L33" s="7">
        <f>IF($Q33="","",K33*J33)</f>
        <v/>
      </c>
      <c r="M33" s="7">
        <f>IF($Q33="","",L33+I33)</f>
        <v/>
      </c>
      <c r="N33" s="7">
        <f>IF($Q33="","",O33-M33)</f>
        <v/>
      </c>
      <c r="O33" s="7">
        <f>IF($Q33="","",H33+K33)</f>
        <v/>
      </c>
      <c r="P33" s="7">
        <f>IF($Q33="","",O33-M33-F33)</f>
        <v/>
      </c>
      <c r="Q33" s="13">
        <f>IF(ROWS($Q$2:$Q33)&lt;=MAX('Per Line'!$W$2:$W$501),MATCH(ROWS($Q$2:$Q33),'Per Line'!$W$2:$W$501,0),"")</f>
        <v/>
      </c>
    </row>
    <row r="34">
      <c r="A34" s="12" t="n"/>
      <c r="B34">
        <f>IF($Q34="","",INDEX('Per Line'!$A$2:$A$501,$Q34)&amp;"")</f>
        <v/>
      </c>
      <c r="C34">
        <f>IF($Q34="","",INDEX('Per Line'!$D$2:$D$501,$Q34)&amp;"")</f>
        <v/>
      </c>
      <c r="D34">
        <f>IF($Q34="","",INDEX('Per Line'!$E$2:$E$501,$Q34)&amp;"")</f>
        <v/>
      </c>
      <c r="E34">
        <f>IF($Q34="","",INDEX('Per Line'!$F$2:$F$501,$Q34))</f>
        <v/>
      </c>
      <c r="F34" s="7">
        <f>IF($Q34="","",E34*N34/100)</f>
        <v/>
      </c>
      <c r="G34">
        <f>IF($Q34="","",Settings!$C$7)</f>
        <v/>
      </c>
      <c r="H34" s="7">
        <f>IF($Q34="","",SUMIFS('Per Line'!$L$2:$L$501,'Per Line'!$A$2:$A$501,$B34,'Per Line'!$X$2:$X$501,0))</f>
        <v/>
      </c>
      <c r="I34" s="7">
        <f>IF($Q34="","",H34*G34)</f>
        <v/>
      </c>
      <c r="J34">
        <f>IF($Q34="","",Settings!$C$6)</f>
        <v/>
      </c>
      <c r="K34" s="7">
        <f>IF($Q34="","",SUMIFS('Per Line'!$L$2:$L$501,'Per Line'!$A$2:$A$501,$B34,'Per Line'!$X$2:$X$501,1))</f>
        <v/>
      </c>
      <c r="L34" s="7">
        <f>IF($Q34="","",K34*J34)</f>
        <v/>
      </c>
      <c r="M34" s="7">
        <f>IF($Q34="","",L34+I34)</f>
        <v/>
      </c>
      <c r="N34" s="7">
        <f>IF($Q34="","",O34-M34)</f>
        <v/>
      </c>
      <c r="O34" s="7">
        <f>IF($Q34="","",H34+K34)</f>
        <v/>
      </c>
      <c r="P34" s="7">
        <f>IF($Q34="","",O34-M34-F34)</f>
        <v/>
      </c>
      <c r="Q34" s="13">
        <f>IF(ROWS($Q$2:$Q34)&lt;=MAX('Per Line'!$W$2:$W$501),MATCH(ROWS($Q$2:$Q34),'Per Line'!$W$2:$W$501,0),"")</f>
        <v/>
      </c>
    </row>
    <row r="35">
      <c r="A35" s="12" t="n"/>
      <c r="B35">
        <f>IF($Q35="","",INDEX('Per Line'!$A$2:$A$501,$Q35)&amp;"")</f>
        <v/>
      </c>
      <c r="C35">
        <f>IF($Q35="","",INDEX('Per Line'!$D$2:$D$501,$Q35)&amp;"")</f>
        <v/>
      </c>
      <c r="D35">
        <f>IF($Q35="","",INDEX('Per Line'!$E$2:$E$501,$Q35)&amp;"")</f>
        <v/>
      </c>
      <c r="E35">
        <f>IF($Q35="","",INDEX('Per Line'!$F$2:$F$501,$Q35))</f>
        <v/>
      </c>
      <c r="F35" s="7">
        <f>IF($Q35="","",E35*N35/100)</f>
        <v/>
      </c>
      <c r="G35">
        <f>IF($Q35="","",Settings!$C$7)</f>
        <v/>
      </c>
      <c r="H35" s="7">
        <f>IF($Q35="","",SUMIFS('Per Line'!$L$2:$L$501,'Per Line'!$A$2:$A$501,$B35,'Per Line'!$X$2:$X$501,0))</f>
        <v/>
      </c>
      <c r="I35" s="7">
        <f>IF($Q35="","",H35*G35)</f>
        <v/>
      </c>
      <c r="J35">
        <f>IF($Q35="","",Settings!$C$6)</f>
        <v/>
      </c>
      <c r="K35" s="7">
        <f>IF($Q35="","",SUMIFS('Per Line'!$L$2:$L$501,'Per Line'!$A$2:$A$501,$B35,'Per Line'!$X$2:$X$501,1))</f>
        <v/>
      </c>
      <c r="L35" s="7">
        <f>IF($Q35="","",K35*J35)</f>
        <v/>
      </c>
      <c r="M35" s="7">
        <f>IF($Q35="","",L35+I35)</f>
        <v/>
      </c>
      <c r="N35" s="7">
        <f>IF($Q35="","",O35-M35)</f>
        <v/>
      </c>
      <c r="O35" s="7">
        <f>IF($Q35="","",H35+K35)</f>
        <v/>
      </c>
      <c r="P35" s="7">
        <f>IF($Q35="","",O35-M35-F35)</f>
        <v/>
      </c>
      <c r="Q35" s="13">
        <f>IF(ROWS($Q$2:$Q35)&lt;=MAX('Per Line'!$W$2:$W$501),MATCH(ROWS($Q$2:$Q35),'Per Line'!$W$2:$W$501,0),"")</f>
        <v/>
      </c>
    </row>
    <row r="36">
      <c r="A36" s="12" t="n"/>
      <c r="B36">
        <f>IF($Q36="","",INDEX('Per Line'!$A$2:$A$501,$Q36)&amp;"")</f>
        <v/>
      </c>
      <c r="C36">
        <f>IF($Q36="","",INDEX('Per Line'!$D$2:$D$501,$Q36)&amp;"")</f>
        <v/>
      </c>
      <c r="D36">
        <f>IF($Q36="","",INDEX('Per Line'!$E$2:$E$501,$Q36)&amp;"")</f>
        <v/>
      </c>
      <c r="E36">
        <f>IF($Q36="","",INDEX('Per Line'!$F$2:$F$501,$Q36))</f>
        <v/>
      </c>
      <c r="F36" s="7">
        <f>IF($Q36="","",E36*N36/100)</f>
        <v/>
      </c>
      <c r="G36">
        <f>IF($Q36="","",Settings!$C$7)</f>
        <v/>
      </c>
      <c r="H36" s="7">
        <f>IF($Q36="","",SUMIFS('Per Line'!$L$2:$L$501,'Per Line'!$A$2:$A$501,$B36,'Per Line'!$X$2:$X$501,0))</f>
        <v/>
      </c>
      <c r="I36" s="7">
        <f>IF($Q36="","",H36*G36)</f>
        <v/>
      </c>
      <c r="J36">
        <f>IF($Q36="","",Settings!$C$6)</f>
        <v/>
      </c>
      <c r="K36" s="7">
        <f>IF($Q36="","",SUMIFS('Per Line'!$L$2:$L$501,'Per Line'!$A$2:$A$501,$B36,'Per Line'!$X$2:$X$501,1))</f>
        <v/>
      </c>
      <c r="L36" s="7">
        <f>IF($Q36="","",K36*J36)</f>
        <v/>
      </c>
      <c r="M36" s="7">
        <f>IF($Q36="","",L36+I36)</f>
        <v/>
      </c>
      <c r="N36" s="7">
        <f>IF($Q36="","",O36-M36)</f>
        <v/>
      </c>
      <c r="O36" s="7">
        <f>IF($Q36="","",H36+K36)</f>
        <v/>
      </c>
      <c r="P36" s="7">
        <f>IF($Q36="","",O36-M36-F36)</f>
        <v/>
      </c>
      <c r="Q36" s="13">
        <f>IF(ROWS($Q$2:$Q36)&lt;=MAX('Per Line'!$W$2:$W$501),MATCH(ROWS($Q$2:$Q36),'Per Line'!$W$2:$W$501,0),"")</f>
        <v/>
      </c>
    </row>
    <row r="37">
      <c r="A37" s="12" t="n"/>
      <c r="B37">
        <f>IF($Q37="","",INDEX('Per Line'!$A$2:$A$501,$Q37)&amp;"")</f>
        <v/>
      </c>
      <c r="C37">
        <f>IF($Q37="","",INDEX('Per Line'!$D$2:$D$501,$Q37)&amp;"")</f>
        <v/>
      </c>
      <c r="D37">
        <f>IF($Q37="","",INDEX('Per Line'!$E$2:$E$501,$Q37)&amp;"")</f>
        <v/>
      </c>
      <c r="E37">
        <f>IF($Q37="","",INDEX('Per Line'!$F$2:$F$501,$Q37))</f>
        <v/>
      </c>
      <c r="F37" s="7">
        <f>IF($Q37="","",E37*N37/100)</f>
        <v/>
      </c>
      <c r="G37">
        <f>IF($Q37="","",Settings!$C$7)</f>
        <v/>
      </c>
      <c r="H37" s="7">
        <f>IF($Q37="","",SUMIFS('Per Line'!$L$2:$L$501,'Per Line'!$A$2:$A$501,$B37,'Per Line'!$X$2:$X$501,0))</f>
        <v/>
      </c>
      <c r="I37" s="7">
        <f>IF($Q37="","",H37*G37)</f>
        <v/>
      </c>
      <c r="J37">
        <f>IF($Q37="","",Settings!$C$6)</f>
        <v/>
      </c>
      <c r="K37" s="7">
        <f>IF($Q37="","",SUMIFS('Per Line'!$L$2:$L$501,'Per Line'!$A$2:$A$501,$B37,'Per Line'!$X$2:$X$501,1))</f>
        <v/>
      </c>
      <c r="L37" s="7">
        <f>IF($Q37="","",K37*J37)</f>
        <v/>
      </c>
      <c r="M37" s="7">
        <f>IF($Q37="","",L37+I37)</f>
        <v/>
      </c>
      <c r="N37" s="7">
        <f>IF($Q37="","",O37-M37)</f>
        <v/>
      </c>
      <c r="O37" s="7">
        <f>IF($Q37="","",H37+K37)</f>
        <v/>
      </c>
      <c r="P37" s="7">
        <f>IF($Q37="","",O37-M37-F37)</f>
        <v/>
      </c>
      <c r="Q37" s="13">
        <f>IF(ROWS($Q$2:$Q37)&lt;=MAX('Per Line'!$W$2:$W$501),MATCH(ROWS($Q$2:$Q37),'Per Line'!$W$2:$W$501,0),"")</f>
        <v/>
      </c>
    </row>
    <row r="38">
      <c r="A38" s="12" t="n"/>
      <c r="B38">
        <f>IF($Q38="","",INDEX('Per Line'!$A$2:$A$501,$Q38)&amp;"")</f>
        <v/>
      </c>
      <c r="C38">
        <f>IF($Q38="","",INDEX('Per Line'!$D$2:$D$501,$Q38)&amp;"")</f>
        <v/>
      </c>
      <c r="D38">
        <f>IF($Q38="","",INDEX('Per Line'!$E$2:$E$501,$Q38)&amp;"")</f>
        <v/>
      </c>
      <c r="E38">
        <f>IF($Q38="","",INDEX('Per Line'!$F$2:$F$501,$Q38))</f>
        <v/>
      </c>
      <c r="F38" s="7">
        <f>IF($Q38="","",E38*N38/100)</f>
        <v/>
      </c>
      <c r="G38">
        <f>IF($Q38="","",Settings!$C$7)</f>
        <v/>
      </c>
      <c r="H38" s="7">
        <f>IF($Q38="","",SUMIFS('Per Line'!$L$2:$L$501,'Per Line'!$A$2:$A$501,$B38,'Per Line'!$X$2:$X$501,0))</f>
        <v/>
      </c>
      <c r="I38" s="7">
        <f>IF($Q38="","",H38*G38)</f>
        <v/>
      </c>
      <c r="J38">
        <f>IF($Q38="","",Settings!$C$6)</f>
        <v/>
      </c>
      <c r="K38" s="7">
        <f>IF($Q38="","",SUMIFS('Per Line'!$L$2:$L$501,'Per Line'!$A$2:$A$501,$B38,'Per Line'!$X$2:$X$501,1))</f>
        <v/>
      </c>
      <c r="L38" s="7">
        <f>IF($Q38="","",K38*J38)</f>
        <v/>
      </c>
      <c r="M38" s="7">
        <f>IF($Q38="","",L38+I38)</f>
        <v/>
      </c>
      <c r="N38" s="7">
        <f>IF($Q38="","",O38-M38)</f>
        <v/>
      </c>
      <c r="O38" s="7">
        <f>IF($Q38="","",H38+K38)</f>
        <v/>
      </c>
      <c r="P38" s="7">
        <f>IF($Q38="","",O38-M38-F38)</f>
        <v/>
      </c>
      <c r="Q38" s="13">
        <f>IF(ROWS($Q$2:$Q38)&lt;=MAX('Per Line'!$W$2:$W$501),MATCH(ROWS($Q$2:$Q38),'Per Line'!$W$2:$W$501,0),"")</f>
        <v/>
      </c>
    </row>
    <row r="39">
      <c r="A39" s="12" t="n"/>
      <c r="B39">
        <f>IF($Q39="","",INDEX('Per Line'!$A$2:$A$501,$Q39)&amp;"")</f>
        <v/>
      </c>
      <c r="C39">
        <f>IF($Q39="","",INDEX('Per Line'!$D$2:$D$501,$Q39)&amp;"")</f>
        <v/>
      </c>
      <c r="D39">
        <f>IF($Q39="","",INDEX('Per Line'!$E$2:$E$501,$Q39)&amp;"")</f>
        <v/>
      </c>
      <c r="E39">
        <f>IF($Q39="","",INDEX('Per Line'!$F$2:$F$501,$Q39))</f>
        <v/>
      </c>
      <c r="F39" s="7">
        <f>IF($Q39="","",E39*N39/100)</f>
        <v/>
      </c>
      <c r="G39">
        <f>IF($Q39="","",Settings!$C$7)</f>
        <v/>
      </c>
      <c r="H39" s="7">
        <f>IF($Q39="","",SUMIFS('Per Line'!$L$2:$L$501,'Per Line'!$A$2:$A$501,$B39,'Per Line'!$X$2:$X$501,0))</f>
        <v/>
      </c>
      <c r="I39" s="7">
        <f>IF($Q39="","",H39*G39)</f>
        <v/>
      </c>
      <c r="J39">
        <f>IF($Q39="","",Settings!$C$6)</f>
        <v/>
      </c>
      <c r="K39" s="7">
        <f>IF($Q39="","",SUMIFS('Per Line'!$L$2:$L$501,'Per Line'!$A$2:$A$501,$B39,'Per Line'!$X$2:$X$501,1))</f>
        <v/>
      </c>
      <c r="L39" s="7">
        <f>IF($Q39="","",K39*J39)</f>
        <v/>
      </c>
      <c r="M39" s="7">
        <f>IF($Q39="","",L39+I39)</f>
        <v/>
      </c>
      <c r="N39" s="7">
        <f>IF($Q39="","",O39-M39)</f>
        <v/>
      </c>
      <c r="O39" s="7">
        <f>IF($Q39="","",H39+K39)</f>
        <v/>
      </c>
      <c r="P39" s="7">
        <f>IF($Q39="","",O39-M39-F39)</f>
        <v/>
      </c>
      <c r="Q39" s="13">
        <f>IF(ROWS($Q$2:$Q39)&lt;=MAX('Per Line'!$W$2:$W$501),MATCH(ROWS($Q$2:$Q39),'Per Line'!$W$2:$W$501,0),"")</f>
        <v/>
      </c>
    </row>
    <row r="40">
      <c r="A40" s="12" t="n"/>
      <c r="B40">
        <f>IF($Q40="","",INDEX('Per Line'!$A$2:$A$501,$Q40)&amp;"")</f>
        <v/>
      </c>
      <c r="C40">
        <f>IF($Q40="","",INDEX('Per Line'!$D$2:$D$501,$Q40)&amp;"")</f>
        <v/>
      </c>
      <c r="D40">
        <f>IF($Q40="","",INDEX('Per Line'!$E$2:$E$501,$Q40)&amp;"")</f>
        <v/>
      </c>
      <c r="E40">
        <f>IF($Q40="","",INDEX('Per Line'!$F$2:$F$501,$Q40))</f>
        <v/>
      </c>
      <c r="F40" s="7">
        <f>IF($Q40="","",E40*N40/100)</f>
        <v/>
      </c>
      <c r="G40">
        <f>IF($Q40="","",Settings!$C$7)</f>
        <v/>
      </c>
      <c r="H40" s="7">
        <f>IF($Q40="","",SUMIFS('Per Line'!$L$2:$L$501,'Per Line'!$A$2:$A$501,$B40,'Per Line'!$X$2:$X$501,0))</f>
        <v/>
      </c>
      <c r="I40" s="7">
        <f>IF($Q40="","",H40*G40)</f>
        <v/>
      </c>
      <c r="J40">
        <f>IF($Q40="","",Settings!$C$6)</f>
        <v/>
      </c>
      <c r="K40" s="7">
        <f>IF($Q40="","",SUMIFS('Per Line'!$L$2:$L$501,'Per Line'!$A$2:$A$501,$B40,'Per Line'!$X$2:$X$501,1))</f>
        <v/>
      </c>
      <c r="L40" s="7">
        <f>IF($Q40="","",K40*J40)</f>
        <v/>
      </c>
      <c r="M40" s="7">
        <f>IF($Q40="","",L40+I40)</f>
        <v/>
      </c>
      <c r="N40" s="7">
        <f>IF($Q40="","",O40-M40)</f>
        <v/>
      </c>
      <c r="O40" s="7">
        <f>IF($Q40="","",H40+K40)</f>
        <v/>
      </c>
      <c r="P40" s="7">
        <f>IF($Q40="","",O40-M40-F40)</f>
        <v/>
      </c>
      <c r="Q40" s="13">
        <f>IF(ROWS($Q$2:$Q40)&lt;=MAX('Per Line'!$W$2:$W$501),MATCH(ROWS($Q$2:$Q40),'Per Line'!$W$2:$W$501,0),"")</f>
        <v/>
      </c>
    </row>
    <row r="41">
      <c r="A41" s="12" t="n"/>
      <c r="B41">
        <f>IF($Q41="","",INDEX('Per Line'!$A$2:$A$501,$Q41)&amp;"")</f>
        <v/>
      </c>
      <c r="C41">
        <f>IF($Q41="","",INDEX('Per Line'!$D$2:$D$501,$Q41)&amp;"")</f>
        <v/>
      </c>
      <c r="D41">
        <f>IF($Q41="","",INDEX('Per Line'!$E$2:$E$501,$Q41)&amp;"")</f>
        <v/>
      </c>
      <c r="E41">
        <f>IF($Q41="","",INDEX('Per Line'!$F$2:$F$501,$Q41))</f>
        <v/>
      </c>
      <c r="F41" s="7">
        <f>IF($Q41="","",E41*N41/100)</f>
        <v/>
      </c>
      <c r="G41">
        <f>IF($Q41="","",Settings!$C$7)</f>
        <v/>
      </c>
      <c r="H41" s="7">
        <f>IF($Q41="","",SUMIFS('Per Line'!$L$2:$L$501,'Per Line'!$A$2:$A$501,$B41,'Per Line'!$X$2:$X$501,0))</f>
        <v/>
      </c>
      <c r="I41" s="7">
        <f>IF($Q41="","",H41*G41)</f>
        <v/>
      </c>
      <c r="J41">
        <f>IF($Q41="","",Settings!$C$6)</f>
        <v/>
      </c>
      <c r="K41" s="7">
        <f>IF($Q41="","",SUMIFS('Per Line'!$L$2:$L$501,'Per Line'!$A$2:$A$501,$B41,'Per Line'!$X$2:$X$501,1))</f>
        <v/>
      </c>
      <c r="L41" s="7">
        <f>IF($Q41="","",K41*J41)</f>
        <v/>
      </c>
      <c r="M41" s="7">
        <f>IF($Q41="","",L41+I41)</f>
        <v/>
      </c>
      <c r="N41" s="7">
        <f>IF($Q41="","",O41-M41)</f>
        <v/>
      </c>
      <c r="O41" s="7">
        <f>IF($Q41="","",H41+K41)</f>
        <v/>
      </c>
      <c r="P41" s="7">
        <f>IF($Q41="","",O41-M41-F41)</f>
        <v/>
      </c>
      <c r="Q41" s="13">
        <f>IF(ROWS($Q$2:$Q41)&lt;=MAX('Per Line'!$W$2:$W$501),MATCH(ROWS($Q$2:$Q41),'Per Line'!$W$2:$W$501,0),"")</f>
        <v/>
      </c>
    </row>
    <row r="42">
      <c r="A42" s="12" t="n"/>
      <c r="B42">
        <f>IF($Q42="","",INDEX('Per Line'!$A$2:$A$501,$Q42)&amp;"")</f>
        <v/>
      </c>
      <c r="C42">
        <f>IF($Q42="","",INDEX('Per Line'!$D$2:$D$501,$Q42)&amp;"")</f>
        <v/>
      </c>
      <c r="D42">
        <f>IF($Q42="","",INDEX('Per Line'!$E$2:$E$501,$Q42)&amp;"")</f>
        <v/>
      </c>
      <c r="E42">
        <f>IF($Q42="","",INDEX('Per Line'!$F$2:$F$501,$Q42))</f>
        <v/>
      </c>
      <c r="F42" s="7">
        <f>IF($Q42="","",E42*N42/100)</f>
        <v/>
      </c>
      <c r="G42">
        <f>IF($Q42="","",Settings!$C$7)</f>
        <v/>
      </c>
      <c r="H42" s="7">
        <f>IF($Q42="","",SUMIFS('Per Line'!$L$2:$L$501,'Per Line'!$A$2:$A$501,$B42,'Per Line'!$X$2:$X$501,0))</f>
        <v/>
      </c>
      <c r="I42" s="7">
        <f>IF($Q42="","",H42*G42)</f>
        <v/>
      </c>
      <c r="J42">
        <f>IF($Q42="","",Settings!$C$6)</f>
        <v/>
      </c>
      <c r="K42" s="7">
        <f>IF($Q42="","",SUMIFS('Per Line'!$L$2:$L$501,'Per Line'!$A$2:$A$501,$B42,'Per Line'!$X$2:$X$501,1))</f>
        <v/>
      </c>
      <c r="L42" s="7">
        <f>IF($Q42="","",K42*J42)</f>
        <v/>
      </c>
      <c r="M42" s="7">
        <f>IF($Q42="","",L42+I42)</f>
        <v/>
      </c>
      <c r="N42" s="7">
        <f>IF($Q42="","",O42-M42)</f>
        <v/>
      </c>
      <c r="O42" s="7">
        <f>IF($Q42="","",H42+K42)</f>
        <v/>
      </c>
      <c r="P42" s="7">
        <f>IF($Q42="","",O42-M42-F42)</f>
        <v/>
      </c>
      <c r="Q42" s="13">
        <f>IF(ROWS($Q$2:$Q42)&lt;=MAX('Per Line'!$W$2:$W$501),MATCH(ROWS($Q$2:$Q42),'Per Line'!$W$2:$W$501,0),"")</f>
        <v/>
      </c>
    </row>
    <row r="43">
      <c r="A43" s="12" t="n"/>
      <c r="B43">
        <f>IF($Q43="","",INDEX('Per Line'!$A$2:$A$501,$Q43)&amp;"")</f>
        <v/>
      </c>
      <c r="C43">
        <f>IF($Q43="","",INDEX('Per Line'!$D$2:$D$501,$Q43)&amp;"")</f>
        <v/>
      </c>
      <c r="D43">
        <f>IF($Q43="","",INDEX('Per Line'!$E$2:$E$501,$Q43)&amp;"")</f>
        <v/>
      </c>
      <c r="E43">
        <f>IF($Q43="","",INDEX('Per Line'!$F$2:$F$501,$Q43))</f>
        <v/>
      </c>
      <c r="F43" s="7">
        <f>IF($Q43="","",E43*N43/100)</f>
        <v/>
      </c>
      <c r="G43">
        <f>IF($Q43="","",Settings!$C$7)</f>
        <v/>
      </c>
      <c r="H43" s="7">
        <f>IF($Q43="","",SUMIFS('Per Line'!$L$2:$L$501,'Per Line'!$A$2:$A$501,$B43,'Per Line'!$X$2:$X$501,0))</f>
        <v/>
      </c>
      <c r="I43" s="7">
        <f>IF($Q43="","",H43*G43)</f>
        <v/>
      </c>
      <c r="J43">
        <f>IF($Q43="","",Settings!$C$6)</f>
        <v/>
      </c>
      <c r="K43" s="7">
        <f>IF($Q43="","",SUMIFS('Per Line'!$L$2:$L$501,'Per Line'!$A$2:$A$501,$B43,'Per Line'!$X$2:$X$501,1))</f>
        <v/>
      </c>
      <c r="L43" s="7">
        <f>IF($Q43="","",K43*J43)</f>
        <v/>
      </c>
      <c r="M43" s="7">
        <f>IF($Q43="","",L43+I43)</f>
        <v/>
      </c>
      <c r="N43" s="7">
        <f>IF($Q43="","",O43-M43)</f>
        <v/>
      </c>
      <c r="O43" s="7">
        <f>IF($Q43="","",H43+K43)</f>
        <v/>
      </c>
      <c r="P43" s="7">
        <f>IF($Q43="","",O43-M43-F43)</f>
        <v/>
      </c>
      <c r="Q43" s="13">
        <f>IF(ROWS($Q$2:$Q43)&lt;=MAX('Per Line'!$W$2:$W$501),MATCH(ROWS($Q$2:$Q43),'Per Line'!$W$2:$W$501,0),"")</f>
        <v/>
      </c>
    </row>
    <row r="44">
      <c r="A44" s="12" t="n"/>
      <c r="B44">
        <f>IF($Q44="","",INDEX('Per Line'!$A$2:$A$501,$Q44)&amp;"")</f>
        <v/>
      </c>
      <c r="C44">
        <f>IF($Q44="","",INDEX('Per Line'!$D$2:$D$501,$Q44)&amp;"")</f>
        <v/>
      </c>
      <c r="D44">
        <f>IF($Q44="","",INDEX('Per Line'!$E$2:$E$501,$Q44)&amp;"")</f>
        <v/>
      </c>
      <c r="E44">
        <f>IF($Q44="","",INDEX('Per Line'!$F$2:$F$501,$Q44))</f>
        <v/>
      </c>
      <c r="F44" s="7">
        <f>IF($Q44="","",E44*N44/100)</f>
        <v/>
      </c>
      <c r="G44">
        <f>IF($Q44="","",Settings!$C$7)</f>
        <v/>
      </c>
      <c r="H44" s="7">
        <f>IF($Q44="","",SUMIFS('Per Line'!$L$2:$L$501,'Per Line'!$A$2:$A$501,$B44,'Per Line'!$X$2:$X$501,0))</f>
        <v/>
      </c>
      <c r="I44" s="7">
        <f>IF($Q44="","",H44*G44)</f>
        <v/>
      </c>
      <c r="J44">
        <f>IF($Q44="","",Settings!$C$6)</f>
        <v/>
      </c>
      <c r="K44" s="7">
        <f>IF($Q44="","",SUMIFS('Per Line'!$L$2:$L$501,'Per Line'!$A$2:$A$501,$B44,'Per Line'!$X$2:$X$501,1))</f>
        <v/>
      </c>
      <c r="L44" s="7">
        <f>IF($Q44="","",K44*J44)</f>
        <v/>
      </c>
      <c r="M44" s="7">
        <f>IF($Q44="","",L44+I44)</f>
        <v/>
      </c>
      <c r="N44" s="7">
        <f>IF($Q44="","",O44-M44)</f>
        <v/>
      </c>
      <c r="O44" s="7">
        <f>IF($Q44="","",H44+K44)</f>
        <v/>
      </c>
      <c r="P44" s="7">
        <f>IF($Q44="","",O44-M44-F44)</f>
        <v/>
      </c>
      <c r="Q44" s="13">
        <f>IF(ROWS($Q$2:$Q44)&lt;=MAX('Per Line'!$W$2:$W$501),MATCH(ROWS($Q$2:$Q44),'Per Line'!$W$2:$W$501,0),"")</f>
        <v/>
      </c>
    </row>
    <row r="45">
      <c r="A45" s="12" t="n"/>
      <c r="B45">
        <f>IF($Q45="","",INDEX('Per Line'!$A$2:$A$501,$Q45)&amp;"")</f>
        <v/>
      </c>
      <c r="C45">
        <f>IF($Q45="","",INDEX('Per Line'!$D$2:$D$501,$Q45)&amp;"")</f>
        <v/>
      </c>
      <c r="D45">
        <f>IF($Q45="","",INDEX('Per Line'!$E$2:$E$501,$Q45)&amp;"")</f>
        <v/>
      </c>
      <c r="E45">
        <f>IF($Q45="","",INDEX('Per Line'!$F$2:$F$501,$Q45))</f>
        <v/>
      </c>
      <c r="F45" s="7">
        <f>IF($Q45="","",E45*N45/100)</f>
        <v/>
      </c>
      <c r="G45">
        <f>IF($Q45="","",Settings!$C$7)</f>
        <v/>
      </c>
      <c r="H45" s="7">
        <f>IF($Q45="","",SUMIFS('Per Line'!$L$2:$L$501,'Per Line'!$A$2:$A$501,$B45,'Per Line'!$X$2:$X$501,0))</f>
        <v/>
      </c>
      <c r="I45" s="7">
        <f>IF($Q45="","",H45*G45)</f>
        <v/>
      </c>
      <c r="J45">
        <f>IF($Q45="","",Settings!$C$6)</f>
        <v/>
      </c>
      <c r="K45" s="7">
        <f>IF($Q45="","",SUMIFS('Per Line'!$L$2:$L$501,'Per Line'!$A$2:$A$501,$B45,'Per Line'!$X$2:$X$501,1))</f>
        <v/>
      </c>
      <c r="L45" s="7">
        <f>IF($Q45="","",K45*J45)</f>
        <v/>
      </c>
      <c r="M45" s="7">
        <f>IF($Q45="","",L45+I45)</f>
        <v/>
      </c>
      <c r="N45" s="7">
        <f>IF($Q45="","",O45-M45)</f>
        <v/>
      </c>
      <c r="O45" s="7">
        <f>IF($Q45="","",H45+K45)</f>
        <v/>
      </c>
      <c r="P45" s="7">
        <f>IF($Q45="","",O45-M45-F45)</f>
        <v/>
      </c>
      <c r="Q45" s="13">
        <f>IF(ROWS($Q$2:$Q45)&lt;=MAX('Per Line'!$W$2:$W$501),MATCH(ROWS($Q$2:$Q45),'Per Line'!$W$2:$W$501,0),"")</f>
        <v/>
      </c>
    </row>
    <row r="46">
      <c r="A46" s="12" t="n"/>
      <c r="B46">
        <f>IF($Q46="","",INDEX('Per Line'!$A$2:$A$501,$Q46)&amp;"")</f>
        <v/>
      </c>
      <c r="C46">
        <f>IF($Q46="","",INDEX('Per Line'!$D$2:$D$501,$Q46)&amp;"")</f>
        <v/>
      </c>
      <c r="D46">
        <f>IF($Q46="","",INDEX('Per Line'!$E$2:$E$501,$Q46)&amp;"")</f>
        <v/>
      </c>
      <c r="E46">
        <f>IF($Q46="","",INDEX('Per Line'!$F$2:$F$501,$Q46))</f>
        <v/>
      </c>
      <c r="F46" s="7">
        <f>IF($Q46="","",E46*N46/100)</f>
        <v/>
      </c>
      <c r="G46">
        <f>IF($Q46="","",Settings!$C$7)</f>
        <v/>
      </c>
      <c r="H46" s="7">
        <f>IF($Q46="","",SUMIFS('Per Line'!$L$2:$L$501,'Per Line'!$A$2:$A$501,$B46,'Per Line'!$X$2:$X$501,0))</f>
        <v/>
      </c>
      <c r="I46" s="7">
        <f>IF($Q46="","",H46*G46)</f>
        <v/>
      </c>
      <c r="J46">
        <f>IF($Q46="","",Settings!$C$6)</f>
        <v/>
      </c>
      <c r="K46" s="7">
        <f>IF($Q46="","",SUMIFS('Per Line'!$L$2:$L$501,'Per Line'!$A$2:$A$501,$B46,'Per Line'!$X$2:$X$501,1))</f>
        <v/>
      </c>
      <c r="L46" s="7">
        <f>IF($Q46="","",K46*J46)</f>
        <v/>
      </c>
      <c r="M46" s="7">
        <f>IF($Q46="","",L46+I46)</f>
        <v/>
      </c>
      <c r="N46" s="7">
        <f>IF($Q46="","",O46-M46)</f>
        <v/>
      </c>
      <c r="O46" s="7">
        <f>IF($Q46="","",H46+K46)</f>
        <v/>
      </c>
      <c r="P46" s="7">
        <f>IF($Q46="","",O46-M46-F46)</f>
        <v/>
      </c>
      <c r="Q46" s="13">
        <f>IF(ROWS($Q$2:$Q46)&lt;=MAX('Per Line'!$W$2:$W$501),MATCH(ROWS($Q$2:$Q46),'Per Line'!$W$2:$W$501,0),"")</f>
        <v/>
      </c>
    </row>
    <row r="47">
      <c r="A47" s="12" t="n"/>
      <c r="B47">
        <f>IF($Q47="","",INDEX('Per Line'!$A$2:$A$501,$Q47)&amp;"")</f>
        <v/>
      </c>
      <c r="C47">
        <f>IF($Q47="","",INDEX('Per Line'!$D$2:$D$501,$Q47)&amp;"")</f>
        <v/>
      </c>
      <c r="D47">
        <f>IF($Q47="","",INDEX('Per Line'!$E$2:$E$501,$Q47)&amp;"")</f>
        <v/>
      </c>
      <c r="E47">
        <f>IF($Q47="","",INDEX('Per Line'!$F$2:$F$501,$Q47))</f>
        <v/>
      </c>
      <c r="F47" s="7">
        <f>IF($Q47="","",E47*N47/100)</f>
        <v/>
      </c>
      <c r="G47">
        <f>IF($Q47="","",Settings!$C$7)</f>
        <v/>
      </c>
      <c r="H47" s="7">
        <f>IF($Q47="","",SUMIFS('Per Line'!$L$2:$L$501,'Per Line'!$A$2:$A$501,$B47,'Per Line'!$X$2:$X$501,0))</f>
        <v/>
      </c>
      <c r="I47" s="7">
        <f>IF($Q47="","",H47*G47)</f>
        <v/>
      </c>
      <c r="J47">
        <f>IF($Q47="","",Settings!$C$6)</f>
        <v/>
      </c>
      <c r="K47" s="7">
        <f>IF($Q47="","",SUMIFS('Per Line'!$L$2:$L$501,'Per Line'!$A$2:$A$501,$B47,'Per Line'!$X$2:$X$501,1))</f>
        <v/>
      </c>
      <c r="L47" s="7">
        <f>IF($Q47="","",K47*J47)</f>
        <v/>
      </c>
      <c r="M47" s="7">
        <f>IF($Q47="","",L47+I47)</f>
        <v/>
      </c>
      <c r="N47" s="7">
        <f>IF($Q47="","",O47-M47)</f>
        <v/>
      </c>
      <c r="O47" s="7">
        <f>IF($Q47="","",H47+K47)</f>
        <v/>
      </c>
      <c r="P47" s="7">
        <f>IF($Q47="","",O47-M47-F47)</f>
        <v/>
      </c>
      <c r="Q47" s="13">
        <f>IF(ROWS($Q$2:$Q47)&lt;=MAX('Per Line'!$W$2:$W$501),MATCH(ROWS($Q$2:$Q47),'Per Line'!$W$2:$W$501,0),"")</f>
        <v/>
      </c>
    </row>
    <row r="48">
      <c r="A48" s="12" t="n"/>
      <c r="B48">
        <f>IF($Q48="","",INDEX('Per Line'!$A$2:$A$501,$Q48)&amp;"")</f>
        <v/>
      </c>
      <c r="C48">
        <f>IF($Q48="","",INDEX('Per Line'!$D$2:$D$501,$Q48)&amp;"")</f>
        <v/>
      </c>
      <c r="D48">
        <f>IF($Q48="","",INDEX('Per Line'!$E$2:$E$501,$Q48)&amp;"")</f>
        <v/>
      </c>
      <c r="E48">
        <f>IF($Q48="","",INDEX('Per Line'!$F$2:$F$501,$Q48))</f>
        <v/>
      </c>
      <c r="F48" s="7">
        <f>IF($Q48="","",E48*N48/100)</f>
        <v/>
      </c>
      <c r="G48">
        <f>IF($Q48="","",Settings!$C$7)</f>
        <v/>
      </c>
      <c r="H48" s="7">
        <f>IF($Q48="","",SUMIFS('Per Line'!$L$2:$L$501,'Per Line'!$A$2:$A$501,$B48,'Per Line'!$X$2:$X$501,0))</f>
        <v/>
      </c>
      <c r="I48" s="7">
        <f>IF($Q48="","",H48*G48)</f>
        <v/>
      </c>
      <c r="J48">
        <f>IF($Q48="","",Settings!$C$6)</f>
        <v/>
      </c>
      <c r="K48" s="7">
        <f>IF($Q48="","",SUMIFS('Per Line'!$L$2:$L$501,'Per Line'!$A$2:$A$501,$B48,'Per Line'!$X$2:$X$501,1))</f>
        <v/>
      </c>
      <c r="L48" s="7">
        <f>IF($Q48="","",K48*J48)</f>
        <v/>
      </c>
      <c r="M48" s="7">
        <f>IF($Q48="","",L48+I48)</f>
        <v/>
      </c>
      <c r="N48" s="7">
        <f>IF($Q48="","",O48-M48)</f>
        <v/>
      </c>
      <c r="O48" s="7">
        <f>IF($Q48="","",H48+K48)</f>
        <v/>
      </c>
      <c r="P48" s="7">
        <f>IF($Q48="","",O48-M48-F48)</f>
        <v/>
      </c>
      <c r="Q48" s="13">
        <f>IF(ROWS($Q$2:$Q48)&lt;=MAX('Per Line'!$W$2:$W$501),MATCH(ROWS($Q$2:$Q48),'Per Line'!$W$2:$W$501,0),"")</f>
        <v/>
      </c>
    </row>
    <row r="49">
      <c r="A49" s="12" t="n"/>
      <c r="B49">
        <f>IF($Q49="","",INDEX('Per Line'!$A$2:$A$501,$Q49)&amp;"")</f>
        <v/>
      </c>
      <c r="C49">
        <f>IF($Q49="","",INDEX('Per Line'!$D$2:$D$501,$Q49)&amp;"")</f>
        <v/>
      </c>
      <c r="D49">
        <f>IF($Q49="","",INDEX('Per Line'!$E$2:$E$501,$Q49)&amp;"")</f>
        <v/>
      </c>
      <c r="E49">
        <f>IF($Q49="","",INDEX('Per Line'!$F$2:$F$501,$Q49))</f>
        <v/>
      </c>
      <c r="F49" s="7">
        <f>IF($Q49="","",E49*N49/100)</f>
        <v/>
      </c>
      <c r="G49">
        <f>IF($Q49="","",Settings!$C$7)</f>
        <v/>
      </c>
      <c r="H49" s="7">
        <f>IF($Q49="","",SUMIFS('Per Line'!$L$2:$L$501,'Per Line'!$A$2:$A$501,$B49,'Per Line'!$X$2:$X$501,0))</f>
        <v/>
      </c>
      <c r="I49" s="7">
        <f>IF($Q49="","",H49*G49)</f>
        <v/>
      </c>
      <c r="J49">
        <f>IF($Q49="","",Settings!$C$6)</f>
        <v/>
      </c>
      <c r="K49" s="7">
        <f>IF($Q49="","",SUMIFS('Per Line'!$L$2:$L$501,'Per Line'!$A$2:$A$501,$B49,'Per Line'!$X$2:$X$501,1))</f>
        <v/>
      </c>
      <c r="L49" s="7">
        <f>IF($Q49="","",K49*J49)</f>
        <v/>
      </c>
      <c r="M49" s="7">
        <f>IF($Q49="","",L49+I49)</f>
        <v/>
      </c>
      <c r="N49" s="7">
        <f>IF($Q49="","",O49-M49)</f>
        <v/>
      </c>
      <c r="O49" s="7">
        <f>IF($Q49="","",H49+K49)</f>
        <v/>
      </c>
      <c r="P49" s="7">
        <f>IF($Q49="","",O49-M49-F49)</f>
        <v/>
      </c>
      <c r="Q49" s="13">
        <f>IF(ROWS($Q$2:$Q49)&lt;=MAX('Per Line'!$W$2:$W$501),MATCH(ROWS($Q$2:$Q49),'Per Line'!$W$2:$W$501,0),"")</f>
        <v/>
      </c>
    </row>
    <row r="50">
      <c r="A50" s="12" t="n"/>
      <c r="B50">
        <f>IF($Q50="","",INDEX('Per Line'!$A$2:$A$501,$Q50)&amp;"")</f>
        <v/>
      </c>
      <c r="C50">
        <f>IF($Q50="","",INDEX('Per Line'!$D$2:$D$501,$Q50)&amp;"")</f>
        <v/>
      </c>
      <c r="D50">
        <f>IF($Q50="","",INDEX('Per Line'!$E$2:$E$501,$Q50)&amp;"")</f>
        <v/>
      </c>
      <c r="E50">
        <f>IF($Q50="","",INDEX('Per Line'!$F$2:$F$501,$Q50))</f>
        <v/>
      </c>
      <c r="F50" s="7">
        <f>IF($Q50="","",E50*N50/100)</f>
        <v/>
      </c>
      <c r="G50">
        <f>IF($Q50="","",Settings!$C$7)</f>
        <v/>
      </c>
      <c r="H50" s="7">
        <f>IF($Q50="","",SUMIFS('Per Line'!$L$2:$L$501,'Per Line'!$A$2:$A$501,$B50,'Per Line'!$X$2:$X$501,0))</f>
        <v/>
      </c>
      <c r="I50" s="7">
        <f>IF($Q50="","",H50*G50)</f>
        <v/>
      </c>
      <c r="J50">
        <f>IF($Q50="","",Settings!$C$6)</f>
        <v/>
      </c>
      <c r="K50" s="7">
        <f>IF($Q50="","",SUMIFS('Per Line'!$L$2:$L$501,'Per Line'!$A$2:$A$501,$B50,'Per Line'!$X$2:$X$501,1))</f>
        <v/>
      </c>
      <c r="L50" s="7">
        <f>IF($Q50="","",K50*J50)</f>
        <v/>
      </c>
      <c r="M50" s="7">
        <f>IF($Q50="","",L50+I50)</f>
        <v/>
      </c>
      <c r="N50" s="7">
        <f>IF($Q50="","",O50-M50)</f>
        <v/>
      </c>
      <c r="O50" s="7">
        <f>IF($Q50="","",H50+K50)</f>
        <v/>
      </c>
      <c r="P50" s="7">
        <f>IF($Q50="","",O50-M50-F50)</f>
        <v/>
      </c>
      <c r="Q50" s="13">
        <f>IF(ROWS($Q$2:$Q50)&lt;=MAX('Per Line'!$W$2:$W$501),MATCH(ROWS($Q$2:$Q50),'Per Line'!$W$2:$W$501,0),"")</f>
        <v/>
      </c>
    </row>
    <row r="51">
      <c r="A51" s="12" t="n"/>
      <c r="B51">
        <f>IF($Q51="","",INDEX('Per Line'!$A$2:$A$501,$Q51)&amp;"")</f>
        <v/>
      </c>
      <c r="C51">
        <f>IF($Q51="","",INDEX('Per Line'!$D$2:$D$501,$Q51)&amp;"")</f>
        <v/>
      </c>
      <c r="D51">
        <f>IF($Q51="","",INDEX('Per Line'!$E$2:$E$501,$Q51)&amp;"")</f>
        <v/>
      </c>
      <c r="E51">
        <f>IF($Q51="","",INDEX('Per Line'!$F$2:$F$501,$Q51))</f>
        <v/>
      </c>
      <c r="F51" s="7">
        <f>IF($Q51="","",E51*N51/100)</f>
        <v/>
      </c>
      <c r="G51">
        <f>IF($Q51="","",Settings!$C$7)</f>
        <v/>
      </c>
      <c r="H51" s="7">
        <f>IF($Q51="","",SUMIFS('Per Line'!$L$2:$L$501,'Per Line'!$A$2:$A$501,$B51,'Per Line'!$X$2:$X$501,0))</f>
        <v/>
      </c>
      <c r="I51" s="7">
        <f>IF($Q51="","",H51*G51)</f>
        <v/>
      </c>
      <c r="J51">
        <f>IF($Q51="","",Settings!$C$6)</f>
        <v/>
      </c>
      <c r="K51" s="7">
        <f>IF($Q51="","",SUMIFS('Per Line'!$L$2:$L$501,'Per Line'!$A$2:$A$501,$B51,'Per Line'!$X$2:$X$501,1))</f>
        <v/>
      </c>
      <c r="L51" s="7">
        <f>IF($Q51="","",K51*J51)</f>
        <v/>
      </c>
      <c r="M51" s="7">
        <f>IF($Q51="","",L51+I51)</f>
        <v/>
      </c>
      <c r="N51" s="7">
        <f>IF($Q51="","",O51-M51)</f>
        <v/>
      </c>
      <c r="O51" s="7">
        <f>IF($Q51="","",H51+K51)</f>
        <v/>
      </c>
      <c r="P51" s="7">
        <f>IF($Q51="","",O51-M51-F51)</f>
        <v/>
      </c>
      <c r="Q51" s="13">
        <f>IF(ROWS($Q$2:$Q51)&lt;=MAX('Per Line'!$W$2:$W$501),MATCH(ROWS($Q$2:$Q51),'Per Line'!$W$2:$W$501,0),"")</f>
        <v/>
      </c>
    </row>
    <row r="52">
      <c r="A52" s="12" t="n"/>
      <c r="B52">
        <f>IF($Q52="","",INDEX('Per Line'!$A$2:$A$501,$Q52)&amp;"")</f>
        <v/>
      </c>
      <c r="C52">
        <f>IF($Q52="","",INDEX('Per Line'!$D$2:$D$501,$Q52)&amp;"")</f>
        <v/>
      </c>
      <c r="D52">
        <f>IF($Q52="","",INDEX('Per Line'!$E$2:$E$501,$Q52)&amp;"")</f>
        <v/>
      </c>
      <c r="E52">
        <f>IF($Q52="","",INDEX('Per Line'!$F$2:$F$501,$Q52))</f>
        <v/>
      </c>
      <c r="F52" s="7">
        <f>IF($Q52="","",E52*N52/100)</f>
        <v/>
      </c>
      <c r="G52">
        <f>IF($Q52="","",Settings!$C$7)</f>
        <v/>
      </c>
      <c r="H52" s="7">
        <f>IF($Q52="","",SUMIFS('Per Line'!$L$2:$L$501,'Per Line'!$A$2:$A$501,$B52,'Per Line'!$X$2:$X$501,0))</f>
        <v/>
      </c>
      <c r="I52" s="7">
        <f>IF($Q52="","",H52*G52)</f>
        <v/>
      </c>
      <c r="J52">
        <f>IF($Q52="","",Settings!$C$6)</f>
        <v/>
      </c>
      <c r="K52" s="7">
        <f>IF($Q52="","",SUMIFS('Per Line'!$L$2:$L$501,'Per Line'!$A$2:$A$501,$B52,'Per Line'!$X$2:$X$501,1))</f>
        <v/>
      </c>
      <c r="L52" s="7">
        <f>IF($Q52="","",K52*J52)</f>
        <v/>
      </c>
      <c r="M52" s="7">
        <f>IF($Q52="","",L52+I52)</f>
        <v/>
      </c>
      <c r="N52" s="7">
        <f>IF($Q52="","",O52-M52)</f>
        <v/>
      </c>
      <c r="O52" s="7">
        <f>IF($Q52="","",H52+K52)</f>
        <v/>
      </c>
      <c r="P52" s="7">
        <f>IF($Q52="","",O52-M52-F52)</f>
        <v/>
      </c>
      <c r="Q52" s="13">
        <f>IF(ROWS($Q$2:$Q52)&lt;=MAX('Per Line'!$W$2:$W$501),MATCH(ROWS($Q$2:$Q52),'Per Line'!$W$2:$W$501,0),"")</f>
        <v/>
      </c>
    </row>
    <row r="53">
      <c r="A53" s="12" t="n"/>
      <c r="B53">
        <f>IF($Q53="","",INDEX('Per Line'!$A$2:$A$501,$Q53)&amp;"")</f>
        <v/>
      </c>
      <c r="C53">
        <f>IF($Q53="","",INDEX('Per Line'!$D$2:$D$501,$Q53)&amp;"")</f>
        <v/>
      </c>
      <c r="D53">
        <f>IF($Q53="","",INDEX('Per Line'!$E$2:$E$501,$Q53)&amp;"")</f>
        <v/>
      </c>
      <c r="E53">
        <f>IF($Q53="","",INDEX('Per Line'!$F$2:$F$501,$Q53))</f>
        <v/>
      </c>
      <c r="F53" s="7">
        <f>IF($Q53="","",E53*N53/100)</f>
        <v/>
      </c>
      <c r="G53">
        <f>IF($Q53="","",Settings!$C$7)</f>
        <v/>
      </c>
      <c r="H53" s="7">
        <f>IF($Q53="","",SUMIFS('Per Line'!$L$2:$L$501,'Per Line'!$A$2:$A$501,$B53,'Per Line'!$X$2:$X$501,0))</f>
        <v/>
      </c>
      <c r="I53" s="7">
        <f>IF($Q53="","",H53*G53)</f>
        <v/>
      </c>
      <c r="J53">
        <f>IF($Q53="","",Settings!$C$6)</f>
        <v/>
      </c>
      <c r="K53" s="7">
        <f>IF($Q53="","",SUMIFS('Per Line'!$L$2:$L$501,'Per Line'!$A$2:$A$501,$B53,'Per Line'!$X$2:$X$501,1))</f>
        <v/>
      </c>
      <c r="L53" s="7">
        <f>IF($Q53="","",K53*J53)</f>
        <v/>
      </c>
      <c r="M53" s="7">
        <f>IF($Q53="","",L53+I53)</f>
        <v/>
      </c>
      <c r="N53" s="7">
        <f>IF($Q53="","",O53-M53)</f>
        <v/>
      </c>
      <c r="O53" s="7">
        <f>IF($Q53="","",H53+K53)</f>
        <v/>
      </c>
      <c r="P53" s="7">
        <f>IF($Q53="","",O53-M53-F53)</f>
        <v/>
      </c>
      <c r="Q53" s="13">
        <f>IF(ROWS($Q$2:$Q53)&lt;=MAX('Per Line'!$W$2:$W$501),MATCH(ROWS($Q$2:$Q53),'Per Line'!$W$2:$W$501,0),"")</f>
        <v/>
      </c>
    </row>
    <row r="54">
      <c r="A54" s="12" t="n"/>
      <c r="B54">
        <f>IF($Q54="","",INDEX('Per Line'!$A$2:$A$501,$Q54)&amp;"")</f>
        <v/>
      </c>
      <c r="C54">
        <f>IF($Q54="","",INDEX('Per Line'!$D$2:$D$501,$Q54)&amp;"")</f>
        <v/>
      </c>
      <c r="D54">
        <f>IF($Q54="","",INDEX('Per Line'!$E$2:$E$501,$Q54)&amp;"")</f>
        <v/>
      </c>
      <c r="E54">
        <f>IF($Q54="","",INDEX('Per Line'!$F$2:$F$501,$Q54))</f>
        <v/>
      </c>
      <c r="F54" s="7">
        <f>IF($Q54="","",E54*N54/100)</f>
        <v/>
      </c>
      <c r="G54">
        <f>IF($Q54="","",Settings!$C$7)</f>
        <v/>
      </c>
      <c r="H54" s="7">
        <f>IF($Q54="","",SUMIFS('Per Line'!$L$2:$L$501,'Per Line'!$A$2:$A$501,$B54,'Per Line'!$X$2:$X$501,0))</f>
        <v/>
      </c>
      <c r="I54" s="7">
        <f>IF($Q54="","",H54*G54)</f>
        <v/>
      </c>
      <c r="J54">
        <f>IF($Q54="","",Settings!$C$6)</f>
        <v/>
      </c>
      <c r="K54" s="7">
        <f>IF($Q54="","",SUMIFS('Per Line'!$L$2:$L$501,'Per Line'!$A$2:$A$501,$B54,'Per Line'!$X$2:$X$501,1))</f>
        <v/>
      </c>
      <c r="L54" s="7">
        <f>IF($Q54="","",K54*J54)</f>
        <v/>
      </c>
      <c r="M54" s="7">
        <f>IF($Q54="","",L54+I54)</f>
        <v/>
      </c>
      <c r="N54" s="7">
        <f>IF($Q54="","",O54-M54)</f>
        <v/>
      </c>
      <c r="O54" s="7">
        <f>IF($Q54="","",H54+K54)</f>
        <v/>
      </c>
      <c r="P54" s="7">
        <f>IF($Q54="","",O54-M54-F54)</f>
        <v/>
      </c>
      <c r="Q54" s="13">
        <f>IF(ROWS($Q$2:$Q54)&lt;=MAX('Per Line'!$W$2:$W$501),MATCH(ROWS($Q$2:$Q54),'Per Line'!$W$2:$W$501,0),"")</f>
        <v/>
      </c>
    </row>
    <row r="55">
      <c r="A55" s="12" t="n"/>
      <c r="B55">
        <f>IF($Q55="","",INDEX('Per Line'!$A$2:$A$501,$Q55)&amp;"")</f>
        <v/>
      </c>
      <c r="C55">
        <f>IF($Q55="","",INDEX('Per Line'!$D$2:$D$501,$Q55)&amp;"")</f>
        <v/>
      </c>
      <c r="D55">
        <f>IF($Q55="","",INDEX('Per Line'!$E$2:$E$501,$Q55)&amp;"")</f>
        <v/>
      </c>
      <c r="E55">
        <f>IF($Q55="","",INDEX('Per Line'!$F$2:$F$501,$Q55))</f>
        <v/>
      </c>
      <c r="F55" s="7">
        <f>IF($Q55="","",E55*N55/100)</f>
        <v/>
      </c>
      <c r="G55">
        <f>IF($Q55="","",Settings!$C$7)</f>
        <v/>
      </c>
      <c r="H55" s="7">
        <f>IF($Q55="","",SUMIFS('Per Line'!$L$2:$L$501,'Per Line'!$A$2:$A$501,$B55,'Per Line'!$X$2:$X$501,0))</f>
        <v/>
      </c>
      <c r="I55" s="7">
        <f>IF($Q55="","",H55*G55)</f>
        <v/>
      </c>
      <c r="J55">
        <f>IF($Q55="","",Settings!$C$6)</f>
        <v/>
      </c>
      <c r="K55" s="7">
        <f>IF($Q55="","",SUMIFS('Per Line'!$L$2:$L$501,'Per Line'!$A$2:$A$501,$B55,'Per Line'!$X$2:$X$501,1))</f>
        <v/>
      </c>
      <c r="L55" s="7">
        <f>IF($Q55="","",K55*J55)</f>
        <v/>
      </c>
      <c r="M55" s="7">
        <f>IF($Q55="","",L55+I55)</f>
        <v/>
      </c>
      <c r="N55" s="7">
        <f>IF($Q55="","",O55-M55)</f>
        <v/>
      </c>
      <c r="O55" s="7">
        <f>IF($Q55="","",H55+K55)</f>
        <v/>
      </c>
      <c r="P55" s="7">
        <f>IF($Q55="","",O55-M55-F55)</f>
        <v/>
      </c>
      <c r="Q55" s="13">
        <f>IF(ROWS($Q$2:$Q55)&lt;=MAX('Per Line'!$W$2:$W$501),MATCH(ROWS($Q$2:$Q55),'Per Line'!$W$2:$W$501,0),"")</f>
        <v/>
      </c>
    </row>
    <row r="56">
      <c r="A56" s="12" t="n"/>
      <c r="B56">
        <f>IF($Q56="","",INDEX('Per Line'!$A$2:$A$501,$Q56)&amp;"")</f>
        <v/>
      </c>
      <c r="C56">
        <f>IF($Q56="","",INDEX('Per Line'!$D$2:$D$501,$Q56)&amp;"")</f>
        <v/>
      </c>
      <c r="D56">
        <f>IF($Q56="","",INDEX('Per Line'!$E$2:$E$501,$Q56)&amp;"")</f>
        <v/>
      </c>
      <c r="E56">
        <f>IF($Q56="","",INDEX('Per Line'!$F$2:$F$501,$Q56))</f>
        <v/>
      </c>
      <c r="F56" s="7">
        <f>IF($Q56="","",E56*N56/100)</f>
        <v/>
      </c>
      <c r="G56">
        <f>IF($Q56="","",Settings!$C$7)</f>
        <v/>
      </c>
      <c r="H56" s="7">
        <f>IF($Q56="","",SUMIFS('Per Line'!$L$2:$L$501,'Per Line'!$A$2:$A$501,$B56,'Per Line'!$X$2:$X$501,0))</f>
        <v/>
      </c>
      <c r="I56" s="7">
        <f>IF($Q56="","",H56*G56)</f>
        <v/>
      </c>
      <c r="J56">
        <f>IF($Q56="","",Settings!$C$6)</f>
        <v/>
      </c>
      <c r="K56" s="7">
        <f>IF($Q56="","",SUMIFS('Per Line'!$L$2:$L$501,'Per Line'!$A$2:$A$501,$B56,'Per Line'!$X$2:$X$501,1))</f>
        <v/>
      </c>
      <c r="L56" s="7">
        <f>IF($Q56="","",K56*J56)</f>
        <v/>
      </c>
      <c r="M56" s="7">
        <f>IF($Q56="","",L56+I56)</f>
        <v/>
      </c>
      <c r="N56" s="7">
        <f>IF($Q56="","",O56-M56)</f>
        <v/>
      </c>
      <c r="O56" s="7">
        <f>IF($Q56="","",H56+K56)</f>
        <v/>
      </c>
      <c r="P56" s="7">
        <f>IF($Q56="","",O56-M56-F56)</f>
        <v/>
      </c>
      <c r="Q56" s="13">
        <f>IF(ROWS($Q$2:$Q56)&lt;=MAX('Per Line'!$W$2:$W$501),MATCH(ROWS($Q$2:$Q56),'Per Line'!$W$2:$W$501,0),"")</f>
        <v/>
      </c>
    </row>
    <row r="57">
      <c r="A57" s="12" t="n"/>
      <c r="B57">
        <f>IF($Q57="","",INDEX('Per Line'!$A$2:$A$501,$Q57)&amp;"")</f>
        <v/>
      </c>
      <c r="C57">
        <f>IF($Q57="","",INDEX('Per Line'!$D$2:$D$501,$Q57)&amp;"")</f>
        <v/>
      </c>
      <c r="D57">
        <f>IF($Q57="","",INDEX('Per Line'!$E$2:$E$501,$Q57)&amp;"")</f>
        <v/>
      </c>
      <c r="E57">
        <f>IF($Q57="","",INDEX('Per Line'!$F$2:$F$501,$Q57))</f>
        <v/>
      </c>
      <c r="F57" s="7">
        <f>IF($Q57="","",E57*N57/100)</f>
        <v/>
      </c>
      <c r="G57">
        <f>IF($Q57="","",Settings!$C$7)</f>
        <v/>
      </c>
      <c r="H57" s="7">
        <f>IF($Q57="","",SUMIFS('Per Line'!$L$2:$L$501,'Per Line'!$A$2:$A$501,$B57,'Per Line'!$X$2:$X$501,0))</f>
        <v/>
      </c>
      <c r="I57" s="7">
        <f>IF($Q57="","",H57*G57)</f>
        <v/>
      </c>
      <c r="J57">
        <f>IF($Q57="","",Settings!$C$6)</f>
        <v/>
      </c>
      <c r="K57" s="7">
        <f>IF($Q57="","",SUMIFS('Per Line'!$L$2:$L$501,'Per Line'!$A$2:$A$501,$B57,'Per Line'!$X$2:$X$501,1))</f>
        <v/>
      </c>
      <c r="L57" s="7">
        <f>IF($Q57="","",K57*J57)</f>
        <v/>
      </c>
      <c r="M57" s="7">
        <f>IF($Q57="","",L57+I57)</f>
        <v/>
      </c>
      <c r="N57" s="7">
        <f>IF($Q57="","",O57-M57)</f>
        <v/>
      </c>
      <c r="O57" s="7">
        <f>IF($Q57="","",H57+K57)</f>
        <v/>
      </c>
      <c r="P57" s="7">
        <f>IF($Q57="","",O57-M57-F57)</f>
        <v/>
      </c>
      <c r="Q57" s="13">
        <f>IF(ROWS($Q$2:$Q57)&lt;=MAX('Per Line'!$W$2:$W$501),MATCH(ROWS($Q$2:$Q57),'Per Line'!$W$2:$W$501,0),"")</f>
        <v/>
      </c>
    </row>
    <row r="58">
      <c r="A58" s="12" t="n"/>
      <c r="B58">
        <f>IF($Q58="","",INDEX('Per Line'!$A$2:$A$501,$Q58)&amp;"")</f>
        <v/>
      </c>
      <c r="C58">
        <f>IF($Q58="","",INDEX('Per Line'!$D$2:$D$501,$Q58)&amp;"")</f>
        <v/>
      </c>
      <c r="D58">
        <f>IF($Q58="","",INDEX('Per Line'!$E$2:$E$501,$Q58)&amp;"")</f>
        <v/>
      </c>
      <c r="E58">
        <f>IF($Q58="","",INDEX('Per Line'!$F$2:$F$501,$Q58))</f>
        <v/>
      </c>
      <c r="F58" s="7">
        <f>IF($Q58="","",E58*N58/100)</f>
        <v/>
      </c>
      <c r="G58">
        <f>IF($Q58="","",Settings!$C$7)</f>
        <v/>
      </c>
      <c r="H58" s="7">
        <f>IF($Q58="","",SUMIFS('Per Line'!$L$2:$L$501,'Per Line'!$A$2:$A$501,$B58,'Per Line'!$X$2:$X$501,0))</f>
        <v/>
      </c>
      <c r="I58" s="7">
        <f>IF($Q58="","",H58*G58)</f>
        <v/>
      </c>
      <c r="J58">
        <f>IF($Q58="","",Settings!$C$6)</f>
        <v/>
      </c>
      <c r="K58" s="7">
        <f>IF($Q58="","",SUMIFS('Per Line'!$L$2:$L$501,'Per Line'!$A$2:$A$501,$B58,'Per Line'!$X$2:$X$501,1))</f>
        <v/>
      </c>
      <c r="L58" s="7">
        <f>IF($Q58="","",K58*J58)</f>
        <v/>
      </c>
      <c r="M58" s="7">
        <f>IF($Q58="","",L58+I58)</f>
        <v/>
      </c>
      <c r="N58" s="7">
        <f>IF($Q58="","",O58-M58)</f>
        <v/>
      </c>
      <c r="O58" s="7">
        <f>IF($Q58="","",H58+K58)</f>
        <v/>
      </c>
      <c r="P58" s="7">
        <f>IF($Q58="","",O58-M58-F58)</f>
        <v/>
      </c>
      <c r="Q58" s="13">
        <f>IF(ROWS($Q$2:$Q58)&lt;=MAX('Per Line'!$W$2:$W$501),MATCH(ROWS($Q$2:$Q58),'Per Line'!$W$2:$W$501,0),"")</f>
        <v/>
      </c>
    </row>
    <row r="59">
      <c r="A59" s="12" t="n"/>
      <c r="B59">
        <f>IF($Q59="","",INDEX('Per Line'!$A$2:$A$501,$Q59)&amp;"")</f>
        <v/>
      </c>
      <c r="C59">
        <f>IF($Q59="","",INDEX('Per Line'!$D$2:$D$501,$Q59)&amp;"")</f>
        <v/>
      </c>
      <c r="D59">
        <f>IF($Q59="","",INDEX('Per Line'!$E$2:$E$501,$Q59)&amp;"")</f>
        <v/>
      </c>
      <c r="E59">
        <f>IF($Q59="","",INDEX('Per Line'!$F$2:$F$501,$Q59))</f>
        <v/>
      </c>
      <c r="F59" s="7">
        <f>IF($Q59="","",E59*N59/100)</f>
        <v/>
      </c>
      <c r="G59">
        <f>IF($Q59="","",Settings!$C$7)</f>
        <v/>
      </c>
      <c r="H59" s="7">
        <f>IF($Q59="","",SUMIFS('Per Line'!$L$2:$L$501,'Per Line'!$A$2:$A$501,$B59,'Per Line'!$X$2:$X$501,0))</f>
        <v/>
      </c>
      <c r="I59" s="7">
        <f>IF($Q59="","",H59*G59)</f>
        <v/>
      </c>
      <c r="J59">
        <f>IF($Q59="","",Settings!$C$6)</f>
        <v/>
      </c>
      <c r="K59" s="7">
        <f>IF($Q59="","",SUMIFS('Per Line'!$L$2:$L$501,'Per Line'!$A$2:$A$501,$B59,'Per Line'!$X$2:$X$501,1))</f>
        <v/>
      </c>
      <c r="L59" s="7">
        <f>IF($Q59="","",K59*J59)</f>
        <v/>
      </c>
      <c r="M59" s="7">
        <f>IF($Q59="","",L59+I59)</f>
        <v/>
      </c>
      <c r="N59" s="7">
        <f>IF($Q59="","",O59-M59)</f>
        <v/>
      </c>
      <c r="O59" s="7">
        <f>IF($Q59="","",H59+K59)</f>
        <v/>
      </c>
      <c r="P59" s="7">
        <f>IF($Q59="","",O59-M59-F59)</f>
        <v/>
      </c>
      <c r="Q59" s="13">
        <f>IF(ROWS($Q$2:$Q59)&lt;=MAX('Per Line'!$W$2:$W$501),MATCH(ROWS($Q$2:$Q59),'Per Line'!$W$2:$W$501,0),"")</f>
        <v/>
      </c>
    </row>
    <row r="60">
      <c r="A60" s="12" t="n"/>
      <c r="B60">
        <f>IF($Q60="","",INDEX('Per Line'!$A$2:$A$501,$Q60)&amp;"")</f>
        <v/>
      </c>
      <c r="C60">
        <f>IF($Q60="","",INDEX('Per Line'!$D$2:$D$501,$Q60)&amp;"")</f>
        <v/>
      </c>
      <c r="D60">
        <f>IF($Q60="","",INDEX('Per Line'!$E$2:$E$501,$Q60)&amp;"")</f>
        <v/>
      </c>
      <c r="E60">
        <f>IF($Q60="","",INDEX('Per Line'!$F$2:$F$501,$Q60))</f>
        <v/>
      </c>
      <c r="F60" s="7">
        <f>IF($Q60="","",E60*N60/100)</f>
        <v/>
      </c>
      <c r="G60">
        <f>IF($Q60="","",Settings!$C$7)</f>
        <v/>
      </c>
      <c r="H60" s="7">
        <f>IF($Q60="","",SUMIFS('Per Line'!$L$2:$L$501,'Per Line'!$A$2:$A$501,$B60,'Per Line'!$X$2:$X$501,0))</f>
        <v/>
      </c>
      <c r="I60" s="7">
        <f>IF($Q60="","",H60*G60)</f>
        <v/>
      </c>
      <c r="J60">
        <f>IF($Q60="","",Settings!$C$6)</f>
        <v/>
      </c>
      <c r="K60" s="7">
        <f>IF($Q60="","",SUMIFS('Per Line'!$L$2:$L$501,'Per Line'!$A$2:$A$501,$B60,'Per Line'!$X$2:$X$501,1))</f>
        <v/>
      </c>
      <c r="L60" s="7">
        <f>IF($Q60="","",K60*J60)</f>
        <v/>
      </c>
      <c r="M60" s="7">
        <f>IF($Q60="","",L60+I60)</f>
        <v/>
      </c>
      <c r="N60" s="7">
        <f>IF($Q60="","",O60-M60)</f>
        <v/>
      </c>
      <c r="O60" s="7">
        <f>IF($Q60="","",H60+K60)</f>
        <v/>
      </c>
      <c r="P60" s="7">
        <f>IF($Q60="","",O60-M60-F60)</f>
        <v/>
      </c>
      <c r="Q60" s="13">
        <f>IF(ROWS($Q$2:$Q60)&lt;=MAX('Per Line'!$W$2:$W$501),MATCH(ROWS($Q$2:$Q60),'Per Line'!$W$2:$W$501,0),"")</f>
        <v/>
      </c>
    </row>
    <row r="61">
      <c r="A61" s="12" t="n"/>
      <c r="B61">
        <f>IF($Q61="","",INDEX('Per Line'!$A$2:$A$501,$Q61)&amp;"")</f>
        <v/>
      </c>
      <c r="C61">
        <f>IF($Q61="","",INDEX('Per Line'!$D$2:$D$501,$Q61)&amp;"")</f>
        <v/>
      </c>
      <c r="D61">
        <f>IF($Q61="","",INDEX('Per Line'!$E$2:$E$501,$Q61)&amp;"")</f>
        <v/>
      </c>
      <c r="E61">
        <f>IF($Q61="","",INDEX('Per Line'!$F$2:$F$501,$Q61))</f>
        <v/>
      </c>
      <c r="F61" s="7">
        <f>IF($Q61="","",E61*N61/100)</f>
        <v/>
      </c>
      <c r="G61">
        <f>IF($Q61="","",Settings!$C$7)</f>
        <v/>
      </c>
      <c r="H61" s="7">
        <f>IF($Q61="","",SUMIFS('Per Line'!$L$2:$L$501,'Per Line'!$A$2:$A$501,$B61,'Per Line'!$X$2:$X$501,0))</f>
        <v/>
      </c>
      <c r="I61" s="7">
        <f>IF($Q61="","",H61*G61)</f>
        <v/>
      </c>
      <c r="J61">
        <f>IF($Q61="","",Settings!$C$6)</f>
        <v/>
      </c>
      <c r="K61" s="7">
        <f>IF($Q61="","",SUMIFS('Per Line'!$L$2:$L$501,'Per Line'!$A$2:$A$501,$B61,'Per Line'!$X$2:$X$501,1))</f>
        <v/>
      </c>
      <c r="L61" s="7">
        <f>IF($Q61="","",K61*J61)</f>
        <v/>
      </c>
      <c r="M61" s="7">
        <f>IF($Q61="","",L61+I61)</f>
        <v/>
      </c>
      <c r="N61" s="7">
        <f>IF($Q61="","",O61-M61)</f>
        <v/>
      </c>
      <c r="O61" s="7">
        <f>IF($Q61="","",H61+K61)</f>
        <v/>
      </c>
      <c r="P61" s="7">
        <f>IF($Q61="","",O61-M61-F61)</f>
        <v/>
      </c>
      <c r="Q61" s="13">
        <f>IF(ROWS($Q$2:$Q61)&lt;=MAX('Per Line'!$W$2:$W$501),MATCH(ROWS($Q$2:$Q61),'Per Line'!$W$2:$W$501,0),"")</f>
        <v/>
      </c>
    </row>
    <row r="62">
      <c r="A62" s="12" t="n"/>
      <c r="B62">
        <f>IF($Q62="","",INDEX('Per Line'!$A$2:$A$501,$Q62)&amp;"")</f>
        <v/>
      </c>
      <c r="C62">
        <f>IF($Q62="","",INDEX('Per Line'!$D$2:$D$501,$Q62)&amp;"")</f>
        <v/>
      </c>
      <c r="D62">
        <f>IF($Q62="","",INDEX('Per Line'!$E$2:$E$501,$Q62)&amp;"")</f>
        <v/>
      </c>
      <c r="E62">
        <f>IF($Q62="","",INDEX('Per Line'!$F$2:$F$501,$Q62))</f>
        <v/>
      </c>
      <c r="F62" s="7">
        <f>IF($Q62="","",E62*N62/100)</f>
        <v/>
      </c>
      <c r="G62">
        <f>IF($Q62="","",Settings!$C$7)</f>
        <v/>
      </c>
      <c r="H62" s="7">
        <f>IF($Q62="","",SUMIFS('Per Line'!$L$2:$L$501,'Per Line'!$A$2:$A$501,$B62,'Per Line'!$X$2:$X$501,0))</f>
        <v/>
      </c>
      <c r="I62" s="7">
        <f>IF($Q62="","",H62*G62)</f>
        <v/>
      </c>
      <c r="J62">
        <f>IF($Q62="","",Settings!$C$6)</f>
        <v/>
      </c>
      <c r="K62" s="7">
        <f>IF($Q62="","",SUMIFS('Per Line'!$L$2:$L$501,'Per Line'!$A$2:$A$501,$B62,'Per Line'!$X$2:$X$501,1))</f>
        <v/>
      </c>
      <c r="L62" s="7">
        <f>IF($Q62="","",K62*J62)</f>
        <v/>
      </c>
      <c r="M62" s="7">
        <f>IF($Q62="","",L62+I62)</f>
        <v/>
      </c>
      <c r="N62" s="7">
        <f>IF($Q62="","",O62-M62)</f>
        <v/>
      </c>
      <c r="O62" s="7">
        <f>IF($Q62="","",H62+K62)</f>
        <v/>
      </c>
      <c r="P62" s="7">
        <f>IF($Q62="","",O62-M62-F62)</f>
        <v/>
      </c>
      <c r="Q62" s="13">
        <f>IF(ROWS($Q$2:$Q62)&lt;=MAX('Per Line'!$W$2:$W$501),MATCH(ROWS($Q$2:$Q62),'Per Line'!$W$2:$W$501,0),"")</f>
        <v/>
      </c>
    </row>
    <row r="63">
      <c r="A63" s="12" t="n"/>
      <c r="B63">
        <f>IF($Q63="","",INDEX('Per Line'!$A$2:$A$501,$Q63)&amp;"")</f>
        <v/>
      </c>
      <c r="C63">
        <f>IF($Q63="","",INDEX('Per Line'!$D$2:$D$501,$Q63)&amp;"")</f>
        <v/>
      </c>
      <c r="D63">
        <f>IF($Q63="","",INDEX('Per Line'!$E$2:$E$501,$Q63)&amp;"")</f>
        <v/>
      </c>
      <c r="E63">
        <f>IF($Q63="","",INDEX('Per Line'!$F$2:$F$501,$Q63))</f>
        <v/>
      </c>
      <c r="F63" s="7">
        <f>IF($Q63="","",E63*N63/100)</f>
        <v/>
      </c>
      <c r="G63">
        <f>IF($Q63="","",Settings!$C$7)</f>
        <v/>
      </c>
      <c r="H63" s="7">
        <f>IF($Q63="","",SUMIFS('Per Line'!$L$2:$L$501,'Per Line'!$A$2:$A$501,$B63,'Per Line'!$X$2:$X$501,0))</f>
        <v/>
      </c>
      <c r="I63" s="7">
        <f>IF($Q63="","",H63*G63)</f>
        <v/>
      </c>
      <c r="J63">
        <f>IF($Q63="","",Settings!$C$6)</f>
        <v/>
      </c>
      <c r="K63" s="7">
        <f>IF($Q63="","",SUMIFS('Per Line'!$L$2:$L$501,'Per Line'!$A$2:$A$501,$B63,'Per Line'!$X$2:$X$501,1))</f>
        <v/>
      </c>
      <c r="L63" s="7">
        <f>IF($Q63="","",K63*J63)</f>
        <v/>
      </c>
      <c r="M63" s="7">
        <f>IF($Q63="","",L63+I63)</f>
        <v/>
      </c>
      <c r="N63" s="7">
        <f>IF($Q63="","",O63-M63)</f>
        <v/>
      </c>
      <c r="O63" s="7">
        <f>IF($Q63="","",H63+K63)</f>
        <v/>
      </c>
      <c r="P63" s="7">
        <f>IF($Q63="","",O63-M63-F63)</f>
        <v/>
      </c>
      <c r="Q63" s="13">
        <f>IF(ROWS($Q$2:$Q63)&lt;=MAX('Per Line'!$W$2:$W$501),MATCH(ROWS($Q$2:$Q63),'Per Line'!$W$2:$W$501,0),"")</f>
        <v/>
      </c>
    </row>
    <row r="64">
      <c r="A64" s="12" t="n"/>
      <c r="B64">
        <f>IF($Q64="","",INDEX('Per Line'!$A$2:$A$501,$Q64)&amp;"")</f>
        <v/>
      </c>
      <c r="C64">
        <f>IF($Q64="","",INDEX('Per Line'!$D$2:$D$501,$Q64)&amp;"")</f>
        <v/>
      </c>
      <c r="D64">
        <f>IF($Q64="","",INDEX('Per Line'!$E$2:$E$501,$Q64)&amp;"")</f>
        <v/>
      </c>
      <c r="E64">
        <f>IF($Q64="","",INDEX('Per Line'!$F$2:$F$501,$Q64))</f>
        <v/>
      </c>
      <c r="F64" s="7">
        <f>IF($Q64="","",E64*N64/100)</f>
        <v/>
      </c>
      <c r="G64">
        <f>IF($Q64="","",Settings!$C$7)</f>
        <v/>
      </c>
      <c r="H64" s="7">
        <f>IF($Q64="","",SUMIFS('Per Line'!$L$2:$L$501,'Per Line'!$A$2:$A$501,$B64,'Per Line'!$X$2:$X$501,0))</f>
        <v/>
      </c>
      <c r="I64" s="7">
        <f>IF($Q64="","",H64*G64)</f>
        <v/>
      </c>
      <c r="J64">
        <f>IF($Q64="","",Settings!$C$6)</f>
        <v/>
      </c>
      <c r="K64" s="7">
        <f>IF($Q64="","",SUMIFS('Per Line'!$L$2:$L$501,'Per Line'!$A$2:$A$501,$B64,'Per Line'!$X$2:$X$501,1))</f>
        <v/>
      </c>
      <c r="L64" s="7">
        <f>IF($Q64="","",K64*J64)</f>
        <v/>
      </c>
      <c r="M64" s="7">
        <f>IF($Q64="","",L64+I64)</f>
        <v/>
      </c>
      <c r="N64" s="7">
        <f>IF($Q64="","",O64-M64)</f>
        <v/>
      </c>
      <c r="O64" s="7">
        <f>IF($Q64="","",H64+K64)</f>
        <v/>
      </c>
      <c r="P64" s="7">
        <f>IF($Q64="","",O64-M64-F64)</f>
        <v/>
      </c>
      <c r="Q64" s="13">
        <f>IF(ROWS($Q$2:$Q64)&lt;=MAX('Per Line'!$W$2:$W$501),MATCH(ROWS($Q$2:$Q64),'Per Line'!$W$2:$W$501,0),"")</f>
        <v/>
      </c>
    </row>
    <row r="65">
      <c r="A65" s="12" t="n"/>
      <c r="B65">
        <f>IF($Q65="","",INDEX('Per Line'!$A$2:$A$501,$Q65)&amp;"")</f>
        <v/>
      </c>
      <c r="C65">
        <f>IF($Q65="","",INDEX('Per Line'!$D$2:$D$501,$Q65)&amp;"")</f>
        <v/>
      </c>
      <c r="D65">
        <f>IF($Q65="","",INDEX('Per Line'!$E$2:$E$501,$Q65)&amp;"")</f>
        <v/>
      </c>
      <c r="E65">
        <f>IF($Q65="","",INDEX('Per Line'!$F$2:$F$501,$Q65))</f>
        <v/>
      </c>
      <c r="F65" s="7">
        <f>IF($Q65="","",E65*N65/100)</f>
        <v/>
      </c>
      <c r="G65">
        <f>IF($Q65="","",Settings!$C$7)</f>
        <v/>
      </c>
      <c r="H65" s="7">
        <f>IF($Q65="","",SUMIFS('Per Line'!$L$2:$L$501,'Per Line'!$A$2:$A$501,$B65,'Per Line'!$X$2:$X$501,0))</f>
        <v/>
      </c>
      <c r="I65" s="7">
        <f>IF($Q65="","",H65*G65)</f>
        <v/>
      </c>
      <c r="J65">
        <f>IF($Q65="","",Settings!$C$6)</f>
        <v/>
      </c>
      <c r="K65" s="7">
        <f>IF($Q65="","",SUMIFS('Per Line'!$L$2:$L$501,'Per Line'!$A$2:$A$501,$B65,'Per Line'!$X$2:$X$501,1))</f>
        <v/>
      </c>
      <c r="L65" s="7">
        <f>IF($Q65="","",K65*J65)</f>
        <v/>
      </c>
      <c r="M65" s="7">
        <f>IF($Q65="","",L65+I65)</f>
        <v/>
      </c>
      <c r="N65" s="7">
        <f>IF($Q65="","",O65-M65)</f>
        <v/>
      </c>
      <c r="O65" s="7">
        <f>IF($Q65="","",H65+K65)</f>
        <v/>
      </c>
      <c r="P65" s="7">
        <f>IF($Q65="","",O65-M65-F65)</f>
        <v/>
      </c>
      <c r="Q65" s="13">
        <f>IF(ROWS($Q$2:$Q65)&lt;=MAX('Per Line'!$W$2:$W$501),MATCH(ROWS($Q$2:$Q65),'Per Line'!$W$2:$W$501,0),"")</f>
        <v/>
      </c>
    </row>
    <row r="66">
      <c r="A66" s="12" t="n"/>
      <c r="B66">
        <f>IF($Q66="","",INDEX('Per Line'!$A$2:$A$501,$Q66)&amp;"")</f>
        <v/>
      </c>
      <c r="C66">
        <f>IF($Q66="","",INDEX('Per Line'!$D$2:$D$501,$Q66)&amp;"")</f>
        <v/>
      </c>
      <c r="D66">
        <f>IF($Q66="","",INDEX('Per Line'!$E$2:$E$501,$Q66)&amp;"")</f>
        <v/>
      </c>
      <c r="E66">
        <f>IF($Q66="","",INDEX('Per Line'!$F$2:$F$501,$Q66))</f>
        <v/>
      </c>
      <c r="F66" s="7">
        <f>IF($Q66="","",E66*N66/100)</f>
        <v/>
      </c>
      <c r="G66">
        <f>IF($Q66="","",Settings!$C$7)</f>
        <v/>
      </c>
      <c r="H66" s="7">
        <f>IF($Q66="","",SUMIFS('Per Line'!$L$2:$L$501,'Per Line'!$A$2:$A$501,$B66,'Per Line'!$X$2:$X$501,0))</f>
        <v/>
      </c>
      <c r="I66" s="7">
        <f>IF($Q66="","",H66*G66)</f>
        <v/>
      </c>
      <c r="J66">
        <f>IF($Q66="","",Settings!$C$6)</f>
        <v/>
      </c>
      <c r="K66" s="7">
        <f>IF($Q66="","",SUMIFS('Per Line'!$L$2:$L$501,'Per Line'!$A$2:$A$501,$B66,'Per Line'!$X$2:$X$501,1))</f>
        <v/>
      </c>
      <c r="L66" s="7">
        <f>IF($Q66="","",K66*J66)</f>
        <v/>
      </c>
      <c r="M66" s="7">
        <f>IF($Q66="","",L66+I66)</f>
        <v/>
      </c>
      <c r="N66" s="7">
        <f>IF($Q66="","",O66-M66)</f>
        <v/>
      </c>
      <c r="O66" s="7">
        <f>IF($Q66="","",H66+K66)</f>
        <v/>
      </c>
      <c r="P66" s="7">
        <f>IF($Q66="","",O66-M66-F66)</f>
        <v/>
      </c>
      <c r="Q66" s="13">
        <f>IF(ROWS($Q$2:$Q66)&lt;=MAX('Per Line'!$W$2:$W$501),MATCH(ROWS($Q$2:$Q66),'Per Line'!$W$2:$W$501,0),"")</f>
        <v/>
      </c>
    </row>
    <row r="67">
      <c r="A67" s="12" t="n"/>
      <c r="B67">
        <f>IF($Q67="","",INDEX('Per Line'!$A$2:$A$501,$Q67)&amp;"")</f>
        <v/>
      </c>
      <c r="C67">
        <f>IF($Q67="","",INDEX('Per Line'!$D$2:$D$501,$Q67)&amp;"")</f>
        <v/>
      </c>
      <c r="D67">
        <f>IF($Q67="","",INDEX('Per Line'!$E$2:$E$501,$Q67)&amp;"")</f>
        <v/>
      </c>
      <c r="E67">
        <f>IF($Q67="","",INDEX('Per Line'!$F$2:$F$501,$Q67))</f>
        <v/>
      </c>
      <c r="F67" s="7">
        <f>IF($Q67="","",E67*N67/100)</f>
        <v/>
      </c>
      <c r="G67">
        <f>IF($Q67="","",Settings!$C$7)</f>
        <v/>
      </c>
      <c r="H67" s="7">
        <f>IF($Q67="","",SUMIFS('Per Line'!$L$2:$L$501,'Per Line'!$A$2:$A$501,$B67,'Per Line'!$X$2:$X$501,0))</f>
        <v/>
      </c>
      <c r="I67" s="7">
        <f>IF($Q67="","",H67*G67)</f>
        <v/>
      </c>
      <c r="J67">
        <f>IF($Q67="","",Settings!$C$6)</f>
        <v/>
      </c>
      <c r="K67" s="7">
        <f>IF($Q67="","",SUMIFS('Per Line'!$L$2:$L$501,'Per Line'!$A$2:$A$501,$B67,'Per Line'!$X$2:$X$501,1))</f>
        <v/>
      </c>
      <c r="L67" s="7">
        <f>IF($Q67="","",K67*J67)</f>
        <v/>
      </c>
      <c r="M67" s="7">
        <f>IF($Q67="","",L67+I67)</f>
        <v/>
      </c>
      <c r="N67" s="7">
        <f>IF($Q67="","",O67-M67)</f>
        <v/>
      </c>
      <c r="O67" s="7">
        <f>IF($Q67="","",H67+K67)</f>
        <v/>
      </c>
      <c r="P67" s="7">
        <f>IF($Q67="","",O67-M67-F67)</f>
        <v/>
      </c>
      <c r="Q67" s="13">
        <f>IF(ROWS($Q$2:$Q67)&lt;=MAX('Per Line'!$W$2:$W$501),MATCH(ROWS($Q$2:$Q67),'Per Line'!$W$2:$W$501,0),"")</f>
        <v/>
      </c>
    </row>
    <row r="68">
      <c r="A68" s="12" t="n"/>
      <c r="B68">
        <f>IF($Q68="","",INDEX('Per Line'!$A$2:$A$501,$Q68)&amp;"")</f>
        <v/>
      </c>
      <c r="C68">
        <f>IF($Q68="","",INDEX('Per Line'!$D$2:$D$501,$Q68)&amp;"")</f>
        <v/>
      </c>
      <c r="D68">
        <f>IF($Q68="","",INDEX('Per Line'!$E$2:$E$501,$Q68)&amp;"")</f>
        <v/>
      </c>
      <c r="E68">
        <f>IF($Q68="","",INDEX('Per Line'!$F$2:$F$501,$Q68))</f>
        <v/>
      </c>
      <c r="F68" s="7">
        <f>IF($Q68="","",E68*N68/100)</f>
        <v/>
      </c>
      <c r="G68">
        <f>IF($Q68="","",Settings!$C$7)</f>
        <v/>
      </c>
      <c r="H68" s="7">
        <f>IF($Q68="","",SUMIFS('Per Line'!$L$2:$L$501,'Per Line'!$A$2:$A$501,$B68,'Per Line'!$X$2:$X$501,0))</f>
        <v/>
      </c>
      <c r="I68" s="7">
        <f>IF($Q68="","",H68*G68)</f>
        <v/>
      </c>
      <c r="J68">
        <f>IF($Q68="","",Settings!$C$6)</f>
        <v/>
      </c>
      <c r="K68" s="7">
        <f>IF($Q68="","",SUMIFS('Per Line'!$L$2:$L$501,'Per Line'!$A$2:$A$501,$B68,'Per Line'!$X$2:$X$501,1))</f>
        <v/>
      </c>
      <c r="L68" s="7">
        <f>IF($Q68="","",K68*J68)</f>
        <v/>
      </c>
      <c r="M68" s="7">
        <f>IF($Q68="","",L68+I68)</f>
        <v/>
      </c>
      <c r="N68" s="7">
        <f>IF($Q68="","",O68-M68)</f>
        <v/>
      </c>
      <c r="O68" s="7">
        <f>IF($Q68="","",H68+K68)</f>
        <v/>
      </c>
      <c r="P68" s="7">
        <f>IF($Q68="","",O68-M68-F68)</f>
        <v/>
      </c>
      <c r="Q68" s="13">
        <f>IF(ROWS($Q$2:$Q68)&lt;=MAX('Per Line'!$W$2:$W$501),MATCH(ROWS($Q$2:$Q68),'Per Line'!$W$2:$W$501,0),"")</f>
        <v/>
      </c>
    </row>
    <row r="69">
      <c r="A69" s="12" t="n"/>
      <c r="B69">
        <f>IF($Q69="","",INDEX('Per Line'!$A$2:$A$501,$Q69)&amp;"")</f>
        <v/>
      </c>
      <c r="C69">
        <f>IF($Q69="","",INDEX('Per Line'!$D$2:$D$501,$Q69)&amp;"")</f>
        <v/>
      </c>
      <c r="D69">
        <f>IF($Q69="","",INDEX('Per Line'!$E$2:$E$501,$Q69)&amp;"")</f>
        <v/>
      </c>
      <c r="E69">
        <f>IF($Q69="","",INDEX('Per Line'!$F$2:$F$501,$Q69))</f>
        <v/>
      </c>
      <c r="F69" s="7">
        <f>IF($Q69="","",E69*N69/100)</f>
        <v/>
      </c>
      <c r="G69">
        <f>IF($Q69="","",Settings!$C$7)</f>
        <v/>
      </c>
      <c r="H69" s="7">
        <f>IF($Q69="","",SUMIFS('Per Line'!$L$2:$L$501,'Per Line'!$A$2:$A$501,$B69,'Per Line'!$X$2:$X$501,0))</f>
        <v/>
      </c>
      <c r="I69" s="7">
        <f>IF($Q69="","",H69*G69)</f>
        <v/>
      </c>
      <c r="J69">
        <f>IF($Q69="","",Settings!$C$6)</f>
        <v/>
      </c>
      <c r="K69" s="7">
        <f>IF($Q69="","",SUMIFS('Per Line'!$L$2:$L$501,'Per Line'!$A$2:$A$501,$B69,'Per Line'!$X$2:$X$501,1))</f>
        <v/>
      </c>
      <c r="L69" s="7">
        <f>IF($Q69="","",K69*J69)</f>
        <v/>
      </c>
      <c r="M69" s="7">
        <f>IF($Q69="","",L69+I69)</f>
        <v/>
      </c>
      <c r="N69" s="7">
        <f>IF($Q69="","",O69-M69)</f>
        <v/>
      </c>
      <c r="O69" s="7">
        <f>IF($Q69="","",H69+K69)</f>
        <v/>
      </c>
      <c r="P69" s="7">
        <f>IF($Q69="","",O69-M69-F69)</f>
        <v/>
      </c>
      <c r="Q69" s="13">
        <f>IF(ROWS($Q$2:$Q69)&lt;=MAX('Per Line'!$W$2:$W$501),MATCH(ROWS($Q$2:$Q69),'Per Line'!$W$2:$W$501,0),"")</f>
        <v/>
      </c>
    </row>
    <row r="70">
      <c r="A70" s="12" t="n"/>
      <c r="B70">
        <f>IF($Q70="","",INDEX('Per Line'!$A$2:$A$501,$Q70)&amp;"")</f>
        <v/>
      </c>
      <c r="C70">
        <f>IF($Q70="","",INDEX('Per Line'!$D$2:$D$501,$Q70)&amp;"")</f>
        <v/>
      </c>
      <c r="D70">
        <f>IF($Q70="","",INDEX('Per Line'!$E$2:$E$501,$Q70)&amp;"")</f>
        <v/>
      </c>
      <c r="E70">
        <f>IF($Q70="","",INDEX('Per Line'!$F$2:$F$501,$Q70))</f>
        <v/>
      </c>
      <c r="F70" s="7">
        <f>IF($Q70="","",E70*N70/100)</f>
        <v/>
      </c>
      <c r="G70">
        <f>IF($Q70="","",Settings!$C$7)</f>
        <v/>
      </c>
      <c r="H70" s="7">
        <f>IF($Q70="","",SUMIFS('Per Line'!$L$2:$L$501,'Per Line'!$A$2:$A$501,$B70,'Per Line'!$X$2:$X$501,0))</f>
        <v/>
      </c>
      <c r="I70" s="7">
        <f>IF($Q70="","",H70*G70)</f>
        <v/>
      </c>
      <c r="J70">
        <f>IF($Q70="","",Settings!$C$6)</f>
        <v/>
      </c>
      <c r="K70" s="7">
        <f>IF($Q70="","",SUMIFS('Per Line'!$L$2:$L$501,'Per Line'!$A$2:$A$501,$B70,'Per Line'!$X$2:$X$501,1))</f>
        <v/>
      </c>
      <c r="L70" s="7">
        <f>IF($Q70="","",K70*J70)</f>
        <v/>
      </c>
      <c r="M70" s="7">
        <f>IF($Q70="","",L70+I70)</f>
        <v/>
      </c>
      <c r="N70" s="7">
        <f>IF($Q70="","",O70-M70)</f>
        <v/>
      </c>
      <c r="O70" s="7">
        <f>IF($Q70="","",H70+K70)</f>
        <v/>
      </c>
      <c r="P70" s="7">
        <f>IF($Q70="","",O70-M70-F70)</f>
        <v/>
      </c>
      <c r="Q70" s="13">
        <f>IF(ROWS($Q$2:$Q70)&lt;=MAX('Per Line'!$W$2:$W$501),MATCH(ROWS($Q$2:$Q70),'Per Line'!$W$2:$W$501,0),"")</f>
        <v/>
      </c>
    </row>
    <row r="71">
      <c r="A71" s="12" t="n"/>
      <c r="B71">
        <f>IF($Q71="","",INDEX('Per Line'!$A$2:$A$501,$Q71)&amp;"")</f>
        <v/>
      </c>
      <c r="C71">
        <f>IF($Q71="","",INDEX('Per Line'!$D$2:$D$501,$Q71)&amp;"")</f>
        <v/>
      </c>
      <c r="D71">
        <f>IF($Q71="","",INDEX('Per Line'!$E$2:$E$501,$Q71)&amp;"")</f>
        <v/>
      </c>
      <c r="E71">
        <f>IF($Q71="","",INDEX('Per Line'!$F$2:$F$501,$Q71))</f>
        <v/>
      </c>
      <c r="F71" s="7">
        <f>IF($Q71="","",E71*N71/100)</f>
        <v/>
      </c>
      <c r="G71">
        <f>IF($Q71="","",Settings!$C$7)</f>
        <v/>
      </c>
      <c r="H71" s="7">
        <f>IF($Q71="","",SUMIFS('Per Line'!$L$2:$L$501,'Per Line'!$A$2:$A$501,$B71,'Per Line'!$X$2:$X$501,0))</f>
        <v/>
      </c>
      <c r="I71" s="7">
        <f>IF($Q71="","",H71*G71)</f>
        <v/>
      </c>
      <c r="J71">
        <f>IF($Q71="","",Settings!$C$6)</f>
        <v/>
      </c>
      <c r="K71" s="7">
        <f>IF($Q71="","",SUMIFS('Per Line'!$L$2:$L$501,'Per Line'!$A$2:$A$501,$B71,'Per Line'!$X$2:$X$501,1))</f>
        <v/>
      </c>
      <c r="L71" s="7">
        <f>IF($Q71="","",K71*J71)</f>
        <v/>
      </c>
      <c r="M71" s="7">
        <f>IF($Q71="","",L71+I71)</f>
        <v/>
      </c>
      <c r="N71" s="7">
        <f>IF($Q71="","",O71-M71)</f>
        <v/>
      </c>
      <c r="O71" s="7">
        <f>IF($Q71="","",H71+K71)</f>
        <v/>
      </c>
      <c r="P71" s="7">
        <f>IF($Q71="","",O71-M71-F71)</f>
        <v/>
      </c>
      <c r="Q71" s="13">
        <f>IF(ROWS($Q$2:$Q71)&lt;=MAX('Per Line'!$W$2:$W$501),MATCH(ROWS($Q$2:$Q71),'Per Line'!$W$2:$W$501,0),"")</f>
        <v/>
      </c>
    </row>
    <row r="72">
      <c r="A72" s="12" t="n"/>
      <c r="B72">
        <f>IF($Q72="","",INDEX('Per Line'!$A$2:$A$501,$Q72)&amp;"")</f>
        <v/>
      </c>
      <c r="C72">
        <f>IF($Q72="","",INDEX('Per Line'!$D$2:$D$501,$Q72)&amp;"")</f>
        <v/>
      </c>
      <c r="D72">
        <f>IF($Q72="","",INDEX('Per Line'!$E$2:$E$501,$Q72)&amp;"")</f>
        <v/>
      </c>
      <c r="E72">
        <f>IF($Q72="","",INDEX('Per Line'!$F$2:$F$501,$Q72))</f>
        <v/>
      </c>
      <c r="F72" s="7">
        <f>IF($Q72="","",E72*N72/100)</f>
        <v/>
      </c>
      <c r="G72">
        <f>IF($Q72="","",Settings!$C$7)</f>
        <v/>
      </c>
      <c r="H72" s="7">
        <f>IF($Q72="","",SUMIFS('Per Line'!$L$2:$L$501,'Per Line'!$A$2:$A$501,$B72,'Per Line'!$X$2:$X$501,0))</f>
        <v/>
      </c>
      <c r="I72" s="7">
        <f>IF($Q72="","",H72*G72)</f>
        <v/>
      </c>
      <c r="J72">
        <f>IF($Q72="","",Settings!$C$6)</f>
        <v/>
      </c>
      <c r="K72" s="7">
        <f>IF($Q72="","",SUMIFS('Per Line'!$L$2:$L$501,'Per Line'!$A$2:$A$501,$B72,'Per Line'!$X$2:$X$501,1))</f>
        <v/>
      </c>
      <c r="L72" s="7">
        <f>IF($Q72="","",K72*J72)</f>
        <v/>
      </c>
      <c r="M72" s="7">
        <f>IF($Q72="","",L72+I72)</f>
        <v/>
      </c>
      <c r="N72" s="7">
        <f>IF($Q72="","",O72-M72)</f>
        <v/>
      </c>
      <c r="O72" s="7">
        <f>IF($Q72="","",H72+K72)</f>
        <v/>
      </c>
      <c r="P72" s="7">
        <f>IF($Q72="","",O72-M72-F72)</f>
        <v/>
      </c>
      <c r="Q72" s="13">
        <f>IF(ROWS($Q$2:$Q72)&lt;=MAX('Per Line'!$W$2:$W$501),MATCH(ROWS($Q$2:$Q72),'Per Line'!$W$2:$W$501,0),"")</f>
        <v/>
      </c>
    </row>
    <row r="73">
      <c r="A73" s="12" t="n"/>
      <c r="B73">
        <f>IF($Q73="","",INDEX('Per Line'!$A$2:$A$501,$Q73)&amp;"")</f>
        <v/>
      </c>
      <c r="C73">
        <f>IF($Q73="","",INDEX('Per Line'!$D$2:$D$501,$Q73)&amp;"")</f>
        <v/>
      </c>
      <c r="D73">
        <f>IF($Q73="","",INDEX('Per Line'!$E$2:$E$501,$Q73)&amp;"")</f>
        <v/>
      </c>
      <c r="E73">
        <f>IF($Q73="","",INDEX('Per Line'!$F$2:$F$501,$Q73))</f>
        <v/>
      </c>
      <c r="F73" s="7">
        <f>IF($Q73="","",E73*N73/100)</f>
        <v/>
      </c>
      <c r="G73">
        <f>IF($Q73="","",Settings!$C$7)</f>
        <v/>
      </c>
      <c r="H73" s="7">
        <f>IF($Q73="","",SUMIFS('Per Line'!$L$2:$L$501,'Per Line'!$A$2:$A$501,$B73,'Per Line'!$X$2:$X$501,0))</f>
        <v/>
      </c>
      <c r="I73" s="7">
        <f>IF($Q73="","",H73*G73)</f>
        <v/>
      </c>
      <c r="J73">
        <f>IF($Q73="","",Settings!$C$6)</f>
        <v/>
      </c>
      <c r="K73" s="7">
        <f>IF($Q73="","",SUMIFS('Per Line'!$L$2:$L$501,'Per Line'!$A$2:$A$501,$B73,'Per Line'!$X$2:$X$501,1))</f>
        <v/>
      </c>
      <c r="L73" s="7">
        <f>IF($Q73="","",K73*J73)</f>
        <v/>
      </c>
      <c r="M73" s="7">
        <f>IF($Q73="","",L73+I73)</f>
        <v/>
      </c>
      <c r="N73" s="7">
        <f>IF($Q73="","",O73-M73)</f>
        <v/>
      </c>
      <c r="O73" s="7">
        <f>IF($Q73="","",H73+K73)</f>
        <v/>
      </c>
      <c r="P73" s="7">
        <f>IF($Q73="","",O73-M73-F73)</f>
        <v/>
      </c>
      <c r="Q73" s="13">
        <f>IF(ROWS($Q$2:$Q73)&lt;=MAX('Per Line'!$W$2:$W$501),MATCH(ROWS($Q$2:$Q73),'Per Line'!$W$2:$W$501,0),"")</f>
        <v/>
      </c>
    </row>
    <row r="74">
      <c r="A74" s="12" t="n"/>
      <c r="B74">
        <f>IF($Q74="","",INDEX('Per Line'!$A$2:$A$501,$Q74)&amp;"")</f>
        <v/>
      </c>
      <c r="C74">
        <f>IF($Q74="","",INDEX('Per Line'!$D$2:$D$501,$Q74)&amp;"")</f>
        <v/>
      </c>
      <c r="D74">
        <f>IF($Q74="","",INDEX('Per Line'!$E$2:$E$501,$Q74)&amp;"")</f>
        <v/>
      </c>
      <c r="E74">
        <f>IF($Q74="","",INDEX('Per Line'!$F$2:$F$501,$Q74))</f>
        <v/>
      </c>
      <c r="F74" s="7">
        <f>IF($Q74="","",E74*N74/100)</f>
        <v/>
      </c>
      <c r="G74">
        <f>IF($Q74="","",Settings!$C$7)</f>
        <v/>
      </c>
      <c r="H74" s="7">
        <f>IF($Q74="","",SUMIFS('Per Line'!$L$2:$L$501,'Per Line'!$A$2:$A$501,$B74,'Per Line'!$X$2:$X$501,0))</f>
        <v/>
      </c>
      <c r="I74" s="7">
        <f>IF($Q74="","",H74*G74)</f>
        <v/>
      </c>
      <c r="J74">
        <f>IF($Q74="","",Settings!$C$6)</f>
        <v/>
      </c>
      <c r="K74" s="7">
        <f>IF($Q74="","",SUMIFS('Per Line'!$L$2:$L$501,'Per Line'!$A$2:$A$501,$B74,'Per Line'!$X$2:$X$501,1))</f>
        <v/>
      </c>
      <c r="L74" s="7">
        <f>IF($Q74="","",K74*J74)</f>
        <v/>
      </c>
      <c r="M74" s="7">
        <f>IF($Q74="","",L74+I74)</f>
        <v/>
      </c>
      <c r="N74" s="7">
        <f>IF($Q74="","",O74-M74)</f>
        <v/>
      </c>
      <c r="O74" s="7">
        <f>IF($Q74="","",H74+K74)</f>
        <v/>
      </c>
      <c r="P74" s="7">
        <f>IF($Q74="","",O74-M74-F74)</f>
        <v/>
      </c>
      <c r="Q74" s="13">
        <f>IF(ROWS($Q$2:$Q74)&lt;=MAX('Per Line'!$W$2:$W$501),MATCH(ROWS($Q$2:$Q74),'Per Line'!$W$2:$W$501,0),"")</f>
        <v/>
      </c>
    </row>
    <row r="75">
      <c r="A75" s="12" t="n"/>
      <c r="B75">
        <f>IF($Q75="","",INDEX('Per Line'!$A$2:$A$501,$Q75)&amp;"")</f>
        <v/>
      </c>
      <c r="C75">
        <f>IF($Q75="","",INDEX('Per Line'!$D$2:$D$501,$Q75)&amp;"")</f>
        <v/>
      </c>
      <c r="D75">
        <f>IF($Q75="","",INDEX('Per Line'!$E$2:$E$501,$Q75)&amp;"")</f>
        <v/>
      </c>
      <c r="E75">
        <f>IF($Q75="","",INDEX('Per Line'!$F$2:$F$501,$Q75))</f>
        <v/>
      </c>
      <c r="F75" s="7">
        <f>IF($Q75="","",E75*N75/100)</f>
        <v/>
      </c>
      <c r="G75">
        <f>IF($Q75="","",Settings!$C$7)</f>
        <v/>
      </c>
      <c r="H75" s="7">
        <f>IF($Q75="","",SUMIFS('Per Line'!$L$2:$L$501,'Per Line'!$A$2:$A$501,$B75,'Per Line'!$X$2:$X$501,0))</f>
        <v/>
      </c>
      <c r="I75" s="7">
        <f>IF($Q75="","",H75*G75)</f>
        <v/>
      </c>
      <c r="J75">
        <f>IF($Q75="","",Settings!$C$6)</f>
        <v/>
      </c>
      <c r="K75" s="7">
        <f>IF($Q75="","",SUMIFS('Per Line'!$L$2:$L$501,'Per Line'!$A$2:$A$501,$B75,'Per Line'!$X$2:$X$501,1))</f>
        <v/>
      </c>
      <c r="L75" s="7">
        <f>IF($Q75="","",K75*J75)</f>
        <v/>
      </c>
      <c r="M75" s="7">
        <f>IF($Q75="","",L75+I75)</f>
        <v/>
      </c>
      <c r="N75" s="7">
        <f>IF($Q75="","",O75-M75)</f>
        <v/>
      </c>
      <c r="O75" s="7">
        <f>IF($Q75="","",H75+K75)</f>
        <v/>
      </c>
      <c r="P75" s="7">
        <f>IF($Q75="","",O75-M75-F75)</f>
        <v/>
      </c>
      <c r="Q75" s="13">
        <f>IF(ROWS($Q$2:$Q75)&lt;=MAX('Per Line'!$W$2:$W$501),MATCH(ROWS($Q$2:$Q75),'Per Line'!$W$2:$W$501,0),"")</f>
        <v/>
      </c>
    </row>
    <row r="76">
      <c r="A76" s="12" t="n"/>
      <c r="B76">
        <f>IF($Q76="","",INDEX('Per Line'!$A$2:$A$501,$Q76)&amp;"")</f>
        <v/>
      </c>
      <c r="C76">
        <f>IF($Q76="","",INDEX('Per Line'!$D$2:$D$501,$Q76)&amp;"")</f>
        <v/>
      </c>
      <c r="D76">
        <f>IF($Q76="","",INDEX('Per Line'!$E$2:$E$501,$Q76)&amp;"")</f>
        <v/>
      </c>
      <c r="E76">
        <f>IF($Q76="","",INDEX('Per Line'!$F$2:$F$501,$Q76))</f>
        <v/>
      </c>
      <c r="F76" s="7">
        <f>IF($Q76="","",E76*N76/100)</f>
        <v/>
      </c>
      <c r="G76">
        <f>IF($Q76="","",Settings!$C$7)</f>
        <v/>
      </c>
      <c r="H76" s="7">
        <f>IF($Q76="","",SUMIFS('Per Line'!$L$2:$L$501,'Per Line'!$A$2:$A$501,$B76,'Per Line'!$X$2:$X$501,0))</f>
        <v/>
      </c>
      <c r="I76" s="7">
        <f>IF($Q76="","",H76*G76)</f>
        <v/>
      </c>
      <c r="J76">
        <f>IF($Q76="","",Settings!$C$6)</f>
        <v/>
      </c>
      <c r="K76" s="7">
        <f>IF($Q76="","",SUMIFS('Per Line'!$L$2:$L$501,'Per Line'!$A$2:$A$501,$B76,'Per Line'!$X$2:$X$501,1))</f>
        <v/>
      </c>
      <c r="L76" s="7">
        <f>IF($Q76="","",K76*J76)</f>
        <v/>
      </c>
      <c r="M76" s="7">
        <f>IF($Q76="","",L76+I76)</f>
        <v/>
      </c>
      <c r="N76" s="7">
        <f>IF($Q76="","",O76-M76)</f>
        <v/>
      </c>
      <c r="O76" s="7">
        <f>IF($Q76="","",H76+K76)</f>
        <v/>
      </c>
      <c r="P76" s="7">
        <f>IF($Q76="","",O76-M76-F76)</f>
        <v/>
      </c>
      <c r="Q76" s="13">
        <f>IF(ROWS($Q$2:$Q76)&lt;=MAX('Per Line'!$W$2:$W$501),MATCH(ROWS($Q$2:$Q76),'Per Line'!$W$2:$W$501,0),"")</f>
        <v/>
      </c>
    </row>
    <row r="77">
      <c r="A77" s="12" t="n"/>
      <c r="B77">
        <f>IF($Q77="","",INDEX('Per Line'!$A$2:$A$501,$Q77)&amp;"")</f>
        <v/>
      </c>
      <c r="C77">
        <f>IF($Q77="","",INDEX('Per Line'!$D$2:$D$501,$Q77)&amp;"")</f>
        <v/>
      </c>
      <c r="D77">
        <f>IF($Q77="","",INDEX('Per Line'!$E$2:$E$501,$Q77)&amp;"")</f>
        <v/>
      </c>
      <c r="E77">
        <f>IF($Q77="","",INDEX('Per Line'!$F$2:$F$501,$Q77))</f>
        <v/>
      </c>
      <c r="F77" s="7">
        <f>IF($Q77="","",E77*N77/100)</f>
        <v/>
      </c>
      <c r="G77">
        <f>IF($Q77="","",Settings!$C$7)</f>
        <v/>
      </c>
      <c r="H77" s="7">
        <f>IF($Q77="","",SUMIFS('Per Line'!$L$2:$L$501,'Per Line'!$A$2:$A$501,$B77,'Per Line'!$X$2:$X$501,0))</f>
        <v/>
      </c>
      <c r="I77" s="7">
        <f>IF($Q77="","",H77*G77)</f>
        <v/>
      </c>
      <c r="J77">
        <f>IF($Q77="","",Settings!$C$6)</f>
        <v/>
      </c>
      <c r="K77" s="7">
        <f>IF($Q77="","",SUMIFS('Per Line'!$L$2:$L$501,'Per Line'!$A$2:$A$501,$B77,'Per Line'!$X$2:$X$501,1))</f>
        <v/>
      </c>
      <c r="L77" s="7">
        <f>IF($Q77="","",K77*J77)</f>
        <v/>
      </c>
      <c r="M77" s="7">
        <f>IF($Q77="","",L77+I77)</f>
        <v/>
      </c>
      <c r="N77" s="7">
        <f>IF($Q77="","",O77-M77)</f>
        <v/>
      </c>
      <c r="O77" s="7">
        <f>IF($Q77="","",H77+K77)</f>
        <v/>
      </c>
      <c r="P77" s="7">
        <f>IF($Q77="","",O77-M77-F77)</f>
        <v/>
      </c>
      <c r="Q77" s="13">
        <f>IF(ROWS($Q$2:$Q77)&lt;=MAX('Per Line'!$W$2:$W$501),MATCH(ROWS($Q$2:$Q77),'Per Line'!$W$2:$W$501,0),"")</f>
        <v/>
      </c>
    </row>
    <row r="78">
      <c r="A78" s="12" t="n"/>
      <c r="B78">
        <f>IF($Q78="","",INDEX('Per Line'!$A$2:$A$501,$Q78)&amp;"")</f>
        <v/>
      </c>
      <c r="C78">
        <f>IF($Q78="","",INDEX('Per Line'!$D$2:$D$501,$Q78)&amp;"")</f>
        <v/>
      </c>
      <c r="D78">
        <f>IF($Q78="","",INDEX('Per Line'!$E$2:$E$501,$Q78)&amp;"")</f>
        <v/>
      </c>
      <c r="E78">
        <f>IF($Q78="","",INDEX('Per Line'!$F$2:$F$501,$Q78))</f>
        <v/>
      </c>
      <c r="F78" s="7">
        <f>IF($Q78="","",E78*N78/100)</f>
        <v/>
      </c>
      <c r="G78">
        <f>IF($Q78="","",Settings!$C$7)</f>
        <v/>
      </c>
      <c r="H78" s="7">
        <f>IF($Q78="","",SUMIFS('Per Line'!$L$2:$L$501,'Per Line'!$A$2:$A$501,$B78,'Per Line'!$X$2:$X$501,0))</f>
        <v/>
      </c>
      <c r="I78" s="7">
        <f>IF($Q78="","",H78*G78)</f>
        <v/>
      </c>
      <c r="J78">
        <f>IF($Q78="","",Settings!$C$6)</f>
        <v/>
      </c>
      <c r="K78" s="7">
        <f>IF($Q78="","",SUMIFS('Per Line'!$L$2:$L$501,'Per Line'!$A$2:$A$501,$B78,'Per Line'!$X$2:$X$501,1))</f>
        <v/>
      </c>
      <c r="L78" s="7">
        <f>IF($Q78="","",K78*J78)</f>
        <v/>
      </c>
      <c r="M78" s="7">
        <f>IF($Q78="","",L78+I78)</f>
        <v/>
      </c>
      <c r="N78" s="7">
        <f>IF($Q78="","",O78-M78)</f>
        <v/>
      </c>
      <c r="O78" s="7">
        <f>IF($Q78="","",H78+K78)</f>
        <v/>
      </c>
      <c r="P78" s="7">
        <f>IF($Q78="","",O78-M78-F78)</f>
        <v/>
      </c>
      <c r="Q78" s="13">
        <f>IF(ROWS($Q$2:$Q78)&lt;=MAX('Per Line'!$W$2:$W$501),MATCH(ROWS($Q$2:$Q78),'Per Line'!$W$2:$W$501,0),"")</f>
        <v/>
      </c>
    </row>
    <row r="79">
      <c r="A79" s="12" t="n"/>
      <c r="B79">
        <f>IF($Q79="","",INDEX('Per Line'!$A$2:$A$501,$Q79)&amp;"")</f>
        <v/>
      </c>
      <c r="C79">
        <f>IF($Q79="","",INDEX('Per Line'!$D$2:$D$501,$Q79)&amp;"")</f>
        <v/>
      </c>
      <c r="D79">
        <f>IF($Q79="","",INDEX('Per Line'!$E$2:$E$501,$Q79)&amp;"")</f>
        <v/>
      </c>
      <c r="E79">
        <f>IF($Q79="","",INDEX('Per Line'!$F$2:$F$501,$Q79))</f>
        <v/>
      </c>
      <c r="F79" s="7">
        <f>IF($Q79="","",E79*N79/100)</f>
        <v/>
      </c>
      <c r="G79">
        <f>IF($Q79="","",Settings!$C$7)</f>
        <v/>
      </c>
      <c r="H79" s="7">
        <f>IF($Q79="","",SUMIFS('Per Line'!$L$2:$L$501,'Per Line'!$A$2:$A$501,$B79,'Per Line'!$X$2:$X$501,0))</f>
        <v/>
      </c>
      <c r="I79" s="7">
        <f>IF($Q79="","",H79*G79)</f>
        <v/>
      </c>
      <c r="J79">
        <f>IF($Q79="","",Settings!$C$6)</f>
        <v/>
      </c>
      <c r="K79" s="7">
        <f>IF($Q79="","",SUMIFS('Per Line'!$L$2:$L$501,'Per Line'!$A$2:$A$501,$B79,'Per Line'!$X$2:$X$501,1))</f>
        <v/>
      </c>
      <c r="L79" s="7">
        <f>IF($Q79="","",K79*J79)</f>
        <v/>
      </c>
      <c r="M79" s="7">
        <f>IF($Q79="","",L79+I79)</f>
        <v/>
      </c>
      <c r="N79" s="7">
        <f>IF($Q79="","",O79-M79)</f>
        <v/>
      </c>
      <c r="O79" s="7">
        <f>IF($Q79="","",H79+K79)</f>
        <v/>
      </c>
      <c r="P79" s="7">
        <f>IF($Q79="","",O79-M79-F79)</f>
        <v/>
      </c>
      <c r="Q79" s="13">
        <f>IF(ROWS($Q$2:$Q79)&lt;=MAX('Per Line'!$W$2:$W$501),MATCH(ROWS($Q$2:$Q79),'Per Line'!$W$2:$W$501,0),"")</f>
        <v/>
      </c>
    </row>
    <row r="80">
      <c r="A80" s="12" t="n"/>
      <c r="B80">
        <f>IF($Q80="","",INDEX('Per Line'!$A$2:$A$501,$Q80)&amp;"")</f>
        <v/>
      </c>
      <c r="C80">
        <f>IF($Q80="","",INDEX('Per Line'!$D$2:$D$501,$Q80)&amp;"")</f>
        <v/>
      </c>
      <c r="D80">
        <f>IF($Q80="","",INDEX('Per Line'!$E$2:$E$501,$Q80)&amp;"")</f>
        <v/>
      </c>
      <c r="E80">
        <f>IF($Q80="","",INDEX('Per Line'!$F$2:$F$501,$Q80))</f>
        <v/>
      </c>
      <c r="F80" s="7">
        <f>IF($Q80="","",E80*N80/100)</f>
        <v/>
      </c>
      <c r="G80">
        <f>IF($Q80="","",Settings!$C$7)</f>
        <v/>
      </c>
      <c r="H80" s="7">
        <f>IF($Q80="","",SUMIFS('Per Line'!$L$2:$L$501,'Per Line'!$A$2:$A$501,$B80,'Per Line'!$X$2:$X$501,0))</f>
        <v/>
      </c>
      <c r="I80" s="7">
        <f>IF($Q80="","",H80*G80)</f>
        <v/>
      </c>
      <c r="J80">
        <f>IF($Q80="","",Settings!$C$6)</f>
        <v/>
      </c>
      <c r="K80" s="7">
        <f>IF($Q80="","",SUMIFS('Per Line'!$L$2:$L$501,'Per Line'!$A$2:$A$501,$B80,'Per Line'!$X$2:$X$501,1))</f>
        <v/>
      </c>
      <c r="L80" s="7">
        <f>IF($Q80="","",K80*J80)</f>
        <v/>
      </c>
      <c r="M80" s="7">
        <f>IF($Q80="","",L80+I80)</f>
        <v/>
      </c>
      <c r="N80" s="7">
        <f>IF($Q80="","",O80-M80)</f>
        <v/>
      </c>
      <c r="O80" s="7">
        <f>IF($Q80="","",H80+K80)</f>
        <v/>
      </c>
      <c r="P80" s="7">
        <f>IF($Q80="","",O80-M80-F80)</f>
        <v/>
      </c>
      <c r="Q80" s="13">
        <f>IF(ROWS($Q$2:$Q80)&lt;=MAX('Per Line'!$W$2:$W$501),MATCH(ROWS($Q$2:$Q80),'Per Line'!$W$2:$W$501,0),"")</f>
        <v/>
      </c>
    </row>
    <row r="81">
      <c r="A81" s="12" t="n"/>
      <c r="B81">
        <f>IF($Q81="","",INDEX('Per Line'!$A$2:$A$501,$Q81)&amp;"")</f>
        <v/>
      </c>
      <c r="C81">
        <f>IF($Q81="","",INDEX('Per Line'!$D$2:$D$501,$Q81)&amp;"")</f>
        <v/>
      </c>
      <c r="D81">
        <f>IF($Q81="","",INDEX('Per Line'!$E$2:$E$501,$Q81)&amp;"")</f>
        <v/>
      </c>
      <c r="E81">
        <f>IF($Q81="","",INDEX('Per Line'!$F$2:$F$501,$Q81))</f>
        <v/>
      </c>
      <c r="F81" s="7">
        <f>IF($Q81="","",E81*N81/100)</f>
        <v/>
      </c>
      <c r="G81">
        <f>IF($Q81="","",Settings!$C$7)</f>
        <v/>
      </c>
      <c r="H81" s="7">
        <f>IF($Q81="","",SUMIFS('Per Line'!$L$2:$L$501,'Per Line'!$A$2:$A$501,$B81,'Per Line'!$X$2:$X$501,0))</f>
        <v/>
      </c>
      <c r="I81" s="7">
        <f>IF($Q81="","",H81*G81)</f>
        <v/>
      </c>
      <c r="J81">
        <f>IF($Q81="","",Settings!$C$6)</f>
        <v/>
      </c>
      <c r="K81" s="7">
        <f>IF($Q81="","",SUMIFS('Per Line'!$L$2:$L$501,'Per Line'!$A$2:$A$501,$B81,'Per Line'!$X$2:$X$501,1))</f>
        <v/>
      </c>
      <c r="L81" s="7">
        <f>IF($Q81="","",K81*J81)</f>
        <v/>
      </c>
      <c r="M81" s="7">
        <f>IF($Q81="","",L81+I81)</f>
        <v/>
      </c>
      <c r="N81" s="7">
        <f>IF($Q81="","",O81-M81)</f>
        <v/>
      </c>
      <c r="O81" s="7">
        <f>IF($Q81="","",H81+K81)</f>
        <v/>
      </c>
      <c r="P81" s="7">
        <f>IF($Q81="","",O81-M81-F81)</f>
        <v/>
      </c>
      <c r="Q81" s="13">
        <f>IF(ROWS($Q$2:$Q81)&lt;=MAX('Per Line'!$W$2:$W$501),MATCH(ROWS($Q$2:$Q81),'Per Line'!$W$2:$W$501,0),"")</f>
        <v/>
      </c>
    </row>
    <row r="82">
      <c r="A82" s="12" t="n"/>
      <c r="B82">
        <f>IF($Q82="","",INDEX('Per Line'!$A$2:$A$501,$Q82)&amp;"")</f>
        <v/>
      </c>
      <c r="C82">
        <f>IF($Q82="","",INDEX('Per Line'!$D$2:$D$501,$Q82)&amp;"")</f>
        <v/>
      </c>
      <c r="D82">
        <f>IF($Q82="","",INDEX('Per Line'!$E$2:$E$501,$Q82)&amp;"")</f>
        <v/>
      </c>
      <c r="E82">
        <f>IF($Q82="","",INDEX('Per Line'!$F$2:$F$501,$Q82))</f>
        <v/>
      </c>
      <c r="F82" s="7">
        <f>IF($Q82="","",E82*N82/100)</f>
        <v/>
      </c>
      <c r="G82">
        <f>IF($Q82="","",Settings!$C$7)</f>
        <v/>
      </c>
      <c r="H82" s="7">
        <f>IF($Q82="","",SUMIFS('Per Line'!$L$2:$L$501,'Per Line'!$A$2:$A$501,$B82,'Per Line'!$X$2:$X$501,0))</f>
        <v/>
      </c>
      <c r="I82" s="7">
        <f>IF($Q82="","",H82*G82)</f>
        <v/>
      </c>
      <c r="J82">
        <f>IF($Q82="","",Settings!$C$6)</f>
        <v/>
      </c>
      <c r="K82" s="7">
        <f>IF($Q82="","",SUMIFS('Per Line'!$L$2:$L$501,'Per Line'!$A$2:$A$501,$B82,'Per Line'!$X$2:$X$501,1))</f>
        <v/>
      </c>
      <c r="L82" s="7">
        <f>IF($Q82="","",K82*J82)</f>
        <v/>
      </c>
      <c r="M82" s="7">
        <f>IF($Q82="","",L82+I82)</f>
        <v/>
      </c>
      <c r="N82" s="7">
        <f>IF($Q82="","",O82-M82)</f>
        <v/>
      </c>
      <c r="O82" s="7">
        <f>IF($Q82="","",H82+K82)</f>
        <v/>
      </c>
      <c r="P82" s="7">
        <f>IF($Q82="","",O82-M82-F82)</f>
        <v/>
      </c>
      <c r="Q82" s="13">
        <f>IF(ROWS($Q$2:$Q82)&lt;=MAX('Per Line'!$W$2:$W$501),MATCH(ROWS($Q$2:$Q82),'Per Line'!$W$2:$W$501,0),"")</f>
        <v/>
      </c>
    </row>
    <row r="83">
      <c r="A83" s="12" t="n"/>
      <c r="B83">
        <f>IF($Q83="","",INDEX('Per Line'!$A$2:$A$501,$Q83)&amp;"")</f>
        <v/>
      </c>
      <c r="C83">
        <f>IF($Q83="","",INDEX('Per Line'!$D$2:$D$501,$Q83)&amp;"")</f>
        <v/>
      </c>
      <c r="D83">
        <f>IF($Q83="","",INDEX('Per Line'!$E$2:$E$501,$Q83)&amp;"")</f>
        <v/>
      </c>
      <c r="E83">
        <f>IF($Q83="","",INDEX('Per Line'!$F$2:$F$501,$Q83))</f>
        <v/>
      </c>
      <c r="F83" s="7">
        <f>IF($Q83="","",E83*N83/100)</f>
        <v/>
      </c>
      <c r="G83">
        <f>IF($Q83="","",Settings!$C$7)</f>
        <v/>
      </c>
      <c r="H83" s="7">
        <f>IF($Q83="","",SUMIFS('Per Line'!$L$2:$L$501,'Per Line'!$A$2:$A$501,$B83,'Per Line'!$X$2:$X$501,0))</f>
        <v/>
      </c>
      <c r="I83" s="7">
        <f>IF($Q83="","",H83*G83)</f>
        <v/>
      </c>
      <c r="J83">
        <f>IF($Q83="","",Settings!$C$6)</f>
        <v/>
      </c>
      <c r="K83" s="7">
        <f>IF($Q83="","",SUMIFS('Per Line'!$L$2:$L$501,'Per Line'!$A$2:$A$501,$B83,'Per Line'!$X$2:$X$501,1))</f>
        <v/>
      </c>
      <c r="L83" s="7">
        <f>IF($Q83="","",K83*J83)</f>
        <v/>
      </c>
      <c r="M83" s="7">
        <f>IF($Q83="","",L83+I83)</f>
        <v/>
      </c>
      <c r="N83" s="7">
        <f>IF($Q83="","",O83-M83)</f>
        <v/>
      </c>
      <c r="O83" s="7">
        <f>IF($Q83="","",H83+K83)</f>
        <v/>
      </c>
      <c r="P83" s="7">
        <f>IF($Q83="","",O83-M83-F83)</f>
        <v/>
      </c>
      <c r="Q83" s="13">
        <f>IF(ROWS($Q$2:$Q83)&lt;=MAX('Per Line'!$W$2:$W$501),MATCH(ROWS($Q$2:$Q83),'Per Line'!$W$2:$W$501,0),"")</f>
        <v/>
      </c>
    </row>
    <row r="84">
      <c r="A84" s="12" t="n"/>
      <c r="B84">
        <f>IF($Q84="","",INDEX('Per Line'!$A$2:$A$501,$Q84)&amp;"")</f>
        <v/>
      </c>
      <c r="C84">
        <f>IF($Q84="","",INDEX('Per Line'!$D$2:$D$501,$Q84)&amp;"")</f>
        <v/>
      </c>
      <c r="D84">
        <f>IF($Q84="","",INDEX('Per Line'!$E$2:$E$501,$Q84)&amp;"")</f>
        <v/>
      </c>
      <c r="E84">
        <f>IF($Q84="","",INDEX('Per Line'!$F$2:$F$501,$Q84))</f>
        <v/>
      </c>
      <c r="F84" s="7">
        <f>IF($Q84="","",E84*N84/100)</f>
        <v/>
      </c>
      <c r="G84">
        <f>IF($Q84="","",Settings!$C$7)</f>
        <v/>
      </c>
      <c r="H84" s="7">
        <f>IF($Q84="","",SUMIFS('Per Line'!$L$2:$L$501,'Per Line'!$A$2:$A$501,$B84,'Per Line'!$X$2:$X$501,0))</f>
        <v/>
      </c>
      <c r="I84" s="7">
        <f>IF($Q84="","",H84*G84)</f>
        <v/>
      </c>
      <c r="J84">
        <f>IF($Q84="","",Settings!$C$6)</f>
        <v/>
      </c>
      <c r="K84" s="7">
        <f>IF($Q84="","",SUMIFS('Per Line'!$L$2:$L$501,'Per Line'!$A$2:$A$501,$B84,'Per Line'!$X$2:$X$501,1))</f>
        <v/>
      </c>
      <c r="L84" s="7">
        <f>IF($Q84="","",K84*J84)</f>
        <v/>
      </c>
      <c r="M84" s="7">
        <f>IF($Q84="","",L84+I84)</f>
        <v/>
      </c>
      <c r="N84" s="7">
        <f>IF($Q84="","",O84-M84)</f>
        <v/>
      </c>
      <c r="O84" s="7">
        <f>IF($Q84="","",H84+K84)</f>
        <v/>
      </c>
      <c r="P84" s="7">
        <f>IF($Q84="","",O84-M84-F84)</f>
        <v/>
      </c>
      <c r="Q84" s="13">
        <f>IF(ROWS($Q$2:$Q84)&lt;=MAX('Per Line'!$W$2:$W$501),MATCH(ROWS($Q$2:$Q84),'Per Line'!$W$2:$W$501,0),"")</f>
        <v/>
      </c>
    </row>
    <row r="85">
      <c r="A85" s="12" t="n"/>
      <c r="B85">
        <f>IF($Q85="","",INDEX('Per Line'!$A$2:$A$501,$Q85)&amp;"")</f>
        <v/>
      </c>
      <c r="C85">
        <f>IF($Q85="","",INDEX('Per Line'!$D$2:$D$501,$Q85)&amp;"")</f>
        <v/>
      </c>
      <c r="D85">
        <f>IF($Q85="","",INDEX('Per Line'!$E$2:$E$501,$Q85)&amp;"")</f>
        <v/>
      </c>
      <c r="E85">
        <f>IF($Q85="","",INDEX('Per Line'!$F$2:$F$501,$Q85))</f>
        <v/>
      </c>
      <c r="F85" s="7">
        <f>IF($Q85="","",E85*N85/100)</f>
        <v/>
      </c>
      <c r="G85">
        <f>IF($Q85="","",Settings!$C$7)</f>
        <v/>
      </c>
      <c r="H85" s="7">
        <f>IF($Q85="","",SUMIFS('Per Line'!$L$2:$L$501,'Per Line'!$A$2:$A$501,$B85,'Per Line'!$X$2:$X$501,0))</f>
        <v/>
      </c>
      <c r="I85" s="7">
        <f>IF($Q85="","",H85*G85)</f>
        <v/>
      </c>
      <c r="J85">
        <f>IF($Q85="","",Settings!$C$6)</f>
        <v/>
      </c>
      <c r="K85" s="7">
        <f>IF($Q85="","",SUMIFS('Per Line'!$L$2:$L$501,'Per Line'!$A$2:$A$501,$B85,'Per Line'!$X$2:$X$501,1))</f>
        <v/>
      </c>
      <c r="L85" s="7">
        <f>IF($Q85="","",K85*J85)</f>
        <v/>
      </c>
      <c r="M85" s="7">
        <f>IF($Q85="","",L85+I85)</f>
        <v/>
      </c>
      <c r="N85" s="7">
        <f>IF($Q85="","",O85-M85)</f>
        <v/>
      </c>
      <c r="O85" s="7">
        <f>IF($Q85="","",H85+K85)</f>
        <v/>
      </c>
      <c r="P85" s="7">
        <f>IF($Q85="","",O85-M85-F85)</f>
        <v/>
      </c>
      <c r="Q85" s="13">
        <f>IF(ROWS($Q$2:$Q85)&lt;=MAX('Per Line'!$W$2:$W$501),MATCH(ROWS($Q$2:$Q85),'Per Line'!$W$2:$W$501,0),"")</f>
        <v/>
      </c>
    </row>
    <row r="86">
      <c r="A86" s="12" t="n"/>
      <c r="B86">
        <f>IF($Q86="","",INDEX('Per Line'!$A$2:$A$501,$Q86)&amp;"")</f>
        <v/>
      </c>
      <c r="C86">
        <f>IF($Q86="","",INDEX('Per Line'!$D$2:$D$501,$Q86)&amp;"")</f>
        <v/>
      </c>
      <c r="D86">
        <f>IF($Q86="","",INDEX('Per Line'!$E$2:$E$501,$Q86)&amp;"")</f>
        <v/>
      </c>
      <c r="E86">
        <f>IF($Q86="","",INDEX('Per Line'!$F$2:$F$501,$Q86))</f>
        <v/>
      </c>
      <c r="F86" s="7">
        <f>IF($Q86="","",E86*N86/100)</f>
        <v/>
      </c>
      <c r="G86">
        <f>IF($Q86="","",Settings!$C$7)</f>
        <v/>
      </c>
      <c r="H86" s="7">
        <f>IF($Q86="","",SUMIFS('Per Line'!$L$2:$L$501,'Per Line'!$A$2:$A$501,$B86,'Per Line'!$X$2:$X$501,0))</f>
        <v/>
      </c>
      <c r="I86" s="7">
        <f>IF($Q86="","",H86*G86)</f>
        <v/>
      </c>
      <c r="J86">
        <f>IF($Q86="","",Settings!$C$6)</f>
        <v/>
      </c>
      <c r="K86" s="7">
        <f>IF($Q86="","",SUMIFS('Per Line'!$L$2:$L$501,'Per Line'!$A$2:$A$501,$B86,'Per Line'!$X$2:$X$501,1))</f>
        <v/>
      </c>
      <c r="L86" s="7">
        <f>IF($Q86="","",K86*J86)</f>
        <v/>
      </c>
      <c r="M86" s="7">
        <f>IF($Q86="","",L86+I86)</f>
        <v/>
      </c>
      <c r="N86" s="7">
        <f>IF($Q86="","",O86-M86)</f>
        <v/>
      </c>
      <c r="O86" s="7">
        <f>IF($Q86="","",H86+K86)</f>
        <v/>
      </c>
      <c r="P86" s="7">
        <f>IF($Q86="","",O86-M86-F86)</f>
        <v/>
      </c>
      <c r="Q86" s="13">
        <f>IF(ROWS($Q$2:$Q86)&lt;=MAX('Per Line'!$W$2:$W$501),MATCH(ROWS($Q$2:$Q86),'Per Line'!$W$2:$W$501,0),"")</f>
        <v/>
      </c>
    </row>
    <row r="87">
      <c r="A87" s="12" t="n"/>
      <c r="B87">
        <f>IF($Q87="","",INDEX('Per Line'!$A$2:$A$501,$Q87)&amp;"")</f>
        <v/>
      </c>
      <c r="C87">
        <f>IF($Q87="","",INDEX('Per Line'!$D$2:$D$501,$Q87)&amp;"")</f>
        <v/>
      </c>
      <c r="D87">
        <f>IF($Q87="","",INDEX('Per Line'!$E$2:$E$501,$Q87)&amp;"")</f>
        <v/>
      </c>
      <c r="E87">
        <f>IF($Q87="","",INDEX('Per Line'!$F$2:$F$501,$Q87))</f>
        <v/>
      </c>
      <c r="F87" s="7">
        <f>IF($Q87="","",E87*N87/100)</f>
        <v/>
      </c>
      <c r="G87">
        <f>IF($Q87="","",Settings!$C$7)</f>
        <v/>
      </c>
      <c r="H87" s="7">
        <f>IF($Q87="","",SUMIFS('Per Line'!$L$2:$L$501,'Per Line'!$A$2:$A$501,$B87,'Per Line'!$X$2:$X$501,0))</f>
        <v/>
      </c>
      <c r="I87" s="7">
        <f>IF($Q87="","",H87*G87)</f>
        <v/>
      </c>
      <c r="J87">
        <f>IF($Q87="","",Settings!$C$6)</f>
        <v/>
      </c>
      <c r="K87" s="7">
        <f>IF($Q87="","",SUMIFS('Per Line'!$L$2:$L$501,'Per Line'!$A$2:$A$501,$B87,'Per Line'!$X$2:$X$501,1))</f>
        <v/>
      </c>
      <c r="L87" s="7">
        <f>IF($Q87="","",K87*J87)</f>
        <v/>
      </c>
      <c r="M87" s="7">
        <f>IF($Q87="","",L87+I87)</f>
        <v/>
      </c>
      <c r="N87" s="7">
        <f>IF($Q87="","",O87-M87)</f>
        <v/>
      </c>
      <c r="O87" s="7">
        <f>IF($Q87="","",H87+K87)</f>
        <v/>
      </c>
      <c r="P87" s="7">
        <f>IF($Q87="","",O87-M87-F87)</f>
        <v/>
      </c>
      <c r="Q87" s="13">
        <f>IF(ROWS($Q$2:$Q87)&lt;=MAX('Per Line'!$W$2:$W$501),MATCH(ROWS($Q$2:$Q87),'Per Line'!$W$2:$W$501,0),"")</f>
        <v/>
      </c>
    </row>
    <row r="88">
      <c r="A88" s="12" t="n"/>
      <c r="B88">
        <f>IF($Q88="","",INDEX('Per Line'!$A$2:$A$501,$Q88)&amp;"")</f>
        <v/>
      </c>
      <c r="C88">
        <f>IF($Q88="","",INDEX('Per Line'!$D$2:$D$501,$Q88)&amp;"")</f>
        <v/>
      </c>
      <c r="D88">
        <f>IF($Q88="","",INDEX('Per Line'!$E$2:$E$501,$Q88)&amp;"")</f>
        <v/>
      </c>
      <c r="E88">
        <f>IF($Q88="","",INDEX('Per Line'!$F$2:$F$501,$Q88))</f>
        <v/>
      </c>
      <c r="F88" s="7">
        <f>IF($Q88="","",E88*N88/100)</f>
        <v/>
      </c>
      <c r="G88">
        <f>IF($Q88="","",Settings!$C$7)</f>
        <v/>
      </c>
      <c r="H88" s="7">
        <f>IF($Q88="","",SUMIFS('Per Line'!$L$2:$L$501,'Per Line'!$A$2:$A$501,$B88,'Per Line'!$X$2:$X$501,0))</f>
        <v/>
      </c>
      <c r="I88" s="7">
        <f>IF($Q88="","",H88*G88)</f>
        <v/>
      </c>
      <c r="J88">
        <f>IF($Q88="","",Settings!$C$6)</f>
        <v/>
      </c>
      <c r="K88" s="7">
        <f>IF($Q88="","",SUMIFS('Per Line'!$L$2:$L$501,'Per Line'!$A$2:$A$501,$B88,'Per Line'!$X$2:$X$501,1))</f>
        <v/>
      </c>
      <c r="L88" s="7">
        <f>IF($Q88="","",K88*J88)</f>
        <v/>
      </c>
      <c r="M88" s="7">
        <f>IF($Q88="","",L88+I88)</f>
        <v/>
      </c>
      <c r="N88" s="7">
        <f>IF($Q88="","",O88-M88)</f>
        <v/>
      </c>
      <c r="O88" s="7">
        <f>IF($Q88="","",H88+K88)</f>
        <v/>
      </c>
      <c r="P88" s="7">
        <f>IF($Q88="","",O88-M88-F88)</f>
        <v/>
      </c>
      <c r="Q88" s="13">
        <f>IF(ROWS($Q$2:$Q88)&lt;=MAX('Per Line'!$W$2:$W$501),MATCH(ROWS($Q$2:$Q88),'Per Line'!$W$2:$W$501,0),"")</f>
        <v/>
      </c>
    </row>
    <row r="89">
      <c r="A89" s="12" t="n"/>
      <c r="B89">
        <f>IF($Q89="","",INDEX('Per Line'!$A$2:$A$501,$Q89)&amp;"")</f>
        <v/>
      </c>
      <c r="C89">
        <f>IF($Q89="","",INDEX('Per Line'!$D$2:$D$501,$Q89)&amp;"")</f>
        <v/>
      </c>
      <c r="D89">
        <f>IF($Q89="","",INDEX('Per Line'!$E$2:$E$501,$Q89)&amp;"")</f>
        <v/>
      </c>
      <c r="E89">
        <f>IF($Q89="","",INDEX('Per Line'!$F$2:$F$501,$Q89))</f>
        <v/>
      </c>
      <c r="F89" s="7">
        <f>IF($Q89="","",E89*N89/100)</f>
        <v/>
      </c>
      <c r="G89">
        <f>IF($Q89="","",Settings!$C$7)</f>
        <v/>
      </c>
      <c r="H89" s="7">
        <f>IF($Q89="","",SUMIFS('Per Line'!$L$2:$L$501,'Per Line'!$A$2:$A$501,$B89,'Per Line'!$X$2:$X$501,0))</f>
        <v/>
      </c>
      <c r="I89" s="7">
        <f>IF($Q89="","",H89*G89)</f>
        <v/>
      </c>
      <c r="J89">
        <f>IF($Q89="","",Settings!$C$6)</f>
        <v/>
      </c>
      <c r="K89" s="7">
        <f>IF($Q89="","",SUMIFS('Per Line'!$L$2:$L$501,'Per Line'!$A$2:$A$501,$B89,'Per Line'!$X$2:$X$501,1))</f>
        <v/>
      </c>
      <c r="L89" s="7">
        <f>IF($Q89="","",K89*J89)</f>
        <v/>
      </c>
      <c r="M89" s="7">
        <f>IF($Q89="","",L89+I89)</f>
        <v/>
      </c>
      <c r="N89" s="7">
        <f>IF($Q89="","",O89-M89)</f>
        <v/>
      </c>
      <c r="O89" s="7">
        <f>IF($Q89="","",H89+K89)</f>
        <v/>
      </c>
      <c r="P89" s="7">
        <f>IF($Q89="","",O89-M89-F89)</f>
        <v/>
      </c>
      <c r="Q89" s="13">
        <f>IF(ROWS($Q$2:$Q89)&lt;=MAX('Per Line'!$W$2:$W$501),MATCH(ROWS($Q$2:$Q89),'Per Line'!$W$2:$W$501,0),"")</f>
        <v/>
      </c>
    </row>
    <row r="90">
      <c r="A90" s="12" t="n"/>
      <c r="B90">
        <f>IF($Q90="","",INDEX('Per Line'!$A$2:$A$501,$Q90)&amp;"")</f>
        <v/>
      </c>
      <c r="C90">
        <f>IF($Q90="","",INDEX('Per Line'!$D$2:$D$501,$Q90)&amp;"")</f>
        <v/>
      </c>
      <c r="D90">
        <f>IF($Q90="","",INDEX('Per Line'!$E$2:$E$501,$Q90)&amp;"")</f>
        <v/>
      </c>
      <c r="E90">
        <f>IF($Q90="","",INDEX('Per Line'!$F$2:$F$501,$Q90))</f>
        <v/>
      </c>
      <c r="F90" s="7">
        <f>IF($Q90="","",E90*N90/100)</f>
        <v/>
      </c>
      <c r="G90">
        <f>IF($Q90="","",Settings!$C$7)</f>
        <v/>
      </c>
      <c r="H90" s="7">
        <f>IF($Q90="","",SUMIFS('Per Line'!$L$2:$L$501,'Per Line'!$A$2:$A$501,$B90,'Per Line'!$X$2:$X$501,0))</f>
        <v/>
      </c>
      <c r="I90" s="7">
        <f>IF($Q90="","",H90*G90)</f>
        <v/>
      </c>
      <c r="J90">
        <f>IF($Q90="","",Settings!$C$6)</f>
        <v/>
      </c>
      <c r="K90" s="7">
        <f>IF($Q90="","",SUMIFS('Per Line'!$L$2:$L$501,'Per Line'!$A$2:$A$501,$B90,'Per Line'!$X$2:$X$501,1))</f>
        <v/>
      </c>
      <c r="L90" s="7">
        <f>IF($Q90="","",K90*J90)</f>
        <v/>
      </c>
      <c r="M90" s="7">
        <f>IF($Q90="","",L90+I90)</f>
        <v/>
      </c>
      <c r="N90" s="7">
        <f>IF($Q90="","",O90-M90)</f>
        <v/>
      </c>
      <c r="O90" s="7">
        <f>IF($Q90="","",H90+K90)</f>
        <v/>
      </c>
      <c r="P90" s="7">
        <f>IF($Q90="","",O90-M90-F90)</f>
        <v/>
      </c>
      <c r="Q90" s="13">
        <f>IF(ROWS($Q$2:$Q90)&lt;=MAX('Per Line'!$W$2:$W$501),MATCH(ROWS($Q$2:$Q90),'Per Line'!$W$2:$W$501,0),"")</f>
        <v/>
      </c>
    </row>
    <row r="91">
      <c r="A91" s="12" t="n"/>
      <c r="B91">
        <f>IF($Q91="","",INDEX('Per Line'!$A$2:$A$501,$Q91)&amp;"")</f>
        <v/>
      </c>
      <c r="C91">
        <f>IF($Q91="","",INDEX('Per Line'!$D$2:$D$501,$Q91)&amp;"")</f>
        <v/>
      </c>
      <c r="D91">
        <f>IF($Q91="","",INDEX('Per Line'!$E$2:$E$501,$Q91)&amp;"")</f>
        <v/>
      </c>
      <c r="E91">
        <f>IF($Q91="","",INDEX('Per Line'!$F$2:$F$501,$Q91))</f>
        <v/>
      </c>
      <c r="F91" s="7">
        <f>IF($Q91="","",E91*N91/100)</f>
        <v/>
      </c>
      <c r="G91">
        <f>IF($Q91="","",Settings!$C$7)</f>
        <v/>
      </c>
      <c r="H91" s="7">
        <f>IF($Q91="","",SUMIFS('Per Line'!$L$2:$L$501,'Per Line'!$A$2:$A$501,$B91,'Per Line'!$X$2:$X$501,0))</f>
        <v/>
      </c>
      <c r="I91" s="7">
        <f>IF($Q91="","",H91*G91)</f>
        <v/>
      </c>
      <c r="J91">
        <f>IF($Q91="","",Settings!$C$6)</f>
        <v/>
      </c>
      <c r="K91" s="7">
        <f>IF($Q91="","",SUMIFS('Per Line'!$L$2:$L$501,'Per Line'!$A$2:$A$501,$B91,'Per Line'!$X$2:$X$501,1))</f>
        <v/>
      </c>
      <c r="L91" s="7">
        <f>IF($Q91="","",K91*J91)</f>
        <v/>
      </c>
      <c r="M91" s="7">
        <f>IF($Q91="","",L91+I91)</f>
        <v/>
      </c>
      <c r="N91" s="7">
        <f>IF($Q91="","",O91-M91)</f>
        <v/>
      </c>
      <c r="O91" s="7">
        <f>IF($Q91="","",H91+K91)</f>
        <v/>
      </c>
      <c r="P91" s="7">
        <f>IF($Q91="","",O91-M91-F91)</f>
        <v/>
      </c>
      <c r="Q91" s="13">
        <f>IF(ROWS($Q$2:$Q91)&lt;=MAX('Per Line'!$W$2:$W$501),MATCH(ROWS($Q$2:$Q91),'Per Line'!$W$2:$W$501,0),"")</f>
        <v/>
      </c>
    </row>
    <row r="92">
      <c r="A92" s="12" t="n"/>
      <c r="B92">
        <f>IF($Q92="","",INDEX('Per Line'!$A$2:$A$501,$Q92)&amp;"")</f>
        <v/>
      </c>
      <c r="C92">
        <f>IF($Q92="","",INDEX('Per Line'!$D$2:$D$501,$Q92)&amp;"")</f>
        <v/>
      </c>
      <c r="D92">
        <f>IF($Q92="","",INDEX('Per Line'!$E$2:$E$501,$Q92)&amp;"")</f>
        <v/>
      </c>
      <c r="E92">
        <f>IF($Q92="","",INDEX('Per Line'!$F$2:$F$501,$Q92))</f>
        <v/>
      </c>
      <c r="F92" s="7">
        <f>IF($Q92="","",E92*N92/100)</f>
        <v/>
      </c>
      <c r="G92">
        <f>IF($Q92="","",Settings!$C$7)</f>
        <v/>
      </c>
      <c r="H92" s="7">
        <f>IF($Q92="","",SUMIFS('Per Line'!$L$2:$L$501,'Per Line'!$A$2:$A$501,$B92,'Per Line'!$X$2:$X$501,0))</f>
        <v/>
      </c>
      <c r="I92" s="7">
        <f>IF($Q92="","",H92*G92)</f>
        <v/>
      </c>
      <c r="J92">
        <f>IF($Q92="","",Settings!$C$6)</f>
        <v/>
      </c>
      <c r="K92" s="7">
        <f>IF($Q92="","",SUMIFS('Per Line'!$L$2:$L$501,'Per Line'!$A$2:$A$501,$B92,'Per Line'!$X$2:$X$501,1))</f>
        <v/>
      </c>
      <c r="L92" s="7">
        <f>IF($Q92="","",K92*J92)</f>
        <v/>
      </c>
      <c r="M92" s="7">
        <f>IF($Q92="","",L92+I92)</f>
        <v/>
      </c>
      <c r="N92" s="7">
        <f>IF($Q92="","",O92-M92)</f>
        <v/>
      </c>
      <c r="O92" s="7">
        <f>IF($Q92="","",H92+K92)</f>
        <v/>
      </c>
      <c r="P92" s="7">
        <f>IF($Q92="","",O92-M92-F92)</f>
        <v/>
      </c>
      <c r="Q92" s="13">
        <f>IF(ROWS($Q$2:$Q92)&lt;=MAX('Per Line'!$W$2:$W$501),MATCH(ROWS($Q$2:$Q92),'Per Line'!$W$2:$W$501,0),"")</f>
        <v/>
      </c>
    </row>
    <row r="93">
      <c r="A93" s="12" t="n"/>
      <c r="B93">
        <f>IF($Q93="","",INDEX('Per Line'!$A$2:$A$501,$Q93)&amp;"")</f>
        <v/>
      </c>
      <c r="C93">
        <f>IF($Q93="","",INDEX('Per Line'!$D$2:$D$501,$Q93)&amp;"")</f>
        <v/>
      </c>
      <c r="D93">
        <f>IF($Q93="","",INDEX('Per Line'!$E$2:$E$501,$Q93)&amp;"")</f>
        <v/>
      </c>
      <c r="E93">
        <f>IF($Q93="","",INDEX('Per Line'!$F$2:$F$501,$Q93))</f>
        <v/>
      </c>
      <c r="F93" s="7">
        <f>IF($Q93="","",E93*N93/100)</f>
        <v/>
      </c>
      <c r="G93">
        <f>IF($Q93="","",Settings!$C$7)</f>
        <v/>
      </c>
      <c r="H93" s="7">
        <f>IF($Q93="","",SUMIFS('Per Line'!$L$2:$L$501,'Per Line'!$A$2:$A$501,$B93,'Per Line'!$X$2:$X$501,0))</f>
        <v/>
      </c>
      <c r="I93" s="7">
        <f>IF($Q93="","",H93*G93)</f>
        <v/>
      </c>
      <c r="J93">
        <f>IF($Q93="","",Settings!$C$6)</f>
        <v/>
      </c>
      <c r="K93" s="7">
        <f>IF($Q93="","",SUMIFS('Per Line'!$L$2:$L$501,'Per Line'!$A$2:$A$501,$B93,'Per Line'!$X$2:$X$501,1))</f>
        <v/>
      </c>
      <c r="L93" s="7">
        <f>IF($Q93="","",K93*J93)</f>
        <v/>
      </c>
      <c r="M93" s="7">
        <f>IF($Q93="","",L93+I93)</f>
        <v/>
      </c>
      <c r="N93" s="7">
        <f>IF($Q93="","",O93-M93)</f>
        <v/>
      </c>
      <c r="O93" s="7">
        <f>IF($Q93="","",H93+K93)</f>
        <v/>
      </c>
      <c r="P93" s="7">
        <f>IF($Q93="","",O93-M93-F93)</f>
        <v/>
      </c>
      <c r="Q93" s="13">
        <f>IF(ROWS($Q$2:$Q93)&lt;=MAX('Per Line'!$W$2:$W$501),MATCH(ROWS($Q$2:$Q93),'Per Line'!$W$2:$W$501,0),"")</f>
        <v/>
      </c>
    </row>
    <row r="94">
      <c r="A94" s="12" t="n"/>
      <c r="B94">
        <f>IF($Q94="","",INDEX('Per Line'!$A$2:$A$501,$Q94)&amp;"")</f>
        <v/>
      </c>
      <c r="C94">
        <f>IF($Q94="","",INDEX('Per Line'!$D$2:$D$501,$Q94)&amp;"")</f>
        <v/>
      </c>
      <c r="D94">
        <f>IF($Q94="","",INDEX('Per Line'!$E$2:$E$501,$Q94)&amp;"")</f>
        <v/>
      </c>
      <c r="E94">
        <f>IF($Q94="","",INDEX('Per Line'!$F$2:$F$501,$Q94))</f>
        <v/>
      </c>
      <c r="F94" s="7">
        <f>IF($Q94="","",E94*N94/100)</f>
        <v/>
      </c>
      <c r="G94">
        <f>IF($Q94="","",Settings!$C$7)</f>
        <v/>
      </c>
      <c r="H94" s="7">
        <f>IF($Q94="","",SUMIFS('Per Line'!$L$2:$L$501,'Per Line'!$A$2:$A$501,$B94,'Per Line'!$X$2:$X$501,0))</f>
        <v/>
      </c>
      <c r="I94" s="7">
        <f>IF($Q94="","",H94*G94)</f>
        <v/>
      </c>
      <c r="J94">
        <f>IF($Q94="","",Settings!$C$6)</f>
        <v/>
      </c>
      <c r="K94" s="7">
        <f>IF($Q94="","",SUMIFS('Per Line'!$L$2:$L$501,'Per Line'!$A$2:$A$501,$B94,'Per Line'!$X$2:$X$501,1))</f>
        <v/>
      </c>
      <c r="L94" s="7">
        <f>IF($Q94="","",K94*J94)</f>
        <v/>
      </c>
      <c r="M94" s="7">
        <f>IF($Q94="","",L94+I94)</f>
        <v/>
      </c>
      <c r="N94" s="7">
        <f>IF($Q94="","",O94-M94)</f>
        <v/>
      </c>
      <c r="O94" s="7">
        <f>IF($Q94="","",H94+K94)</f>
        <v/>
      </c>
      <c r="P94" s="7">
        <f>IF($Q94="","",O94-M94-F94)</f>
        <v/>
      </c>
      <c r="Q94" s="13">
        <f>IF(ROWS($Q$2:$Q94)&lt;=MAX('Per Line'!$W$2:$W$501),MATCH(ROWS($Q$2:$Q94),'Per Line'!$W$2:$W$501,0),"")</f>
        <v/>
      </c>
    </row>
    <row r="95">
      <c r="A95" s="12" t="n"/>
      <c r="B95">
        <f>IF($Q95="","",INDEX('Per Line'!$A$2:$A$501,$Q95)&amp;"")</f>
        <v/>
      </c>
      <c r="C95">
        <f>IF($Q95="","",INDEX('Per Line'!$D$2:$D$501,$Q95)&amp;"")</f>
        <v/>
      </c>
      <c r="D95">
        <f>IF($Q95="","",INDEX('Per Line'!$E$2:$E$501,$Q95)&amp;"")</f>
        <v/>
      </c>
      <c r="E95">
        <f>IF($Q95="","",INDEX('Per Line'!$F$2:$F$501,$Q95))</f>
        <v/>
      </c>
      <c r="F95" s="7">
        <f>IF($Q95="","",E95*N95/100)</f>
        <v/>
      </c>
      <c r="G95">
        <f>IF($Q95="","",Settings!$C$7)</f>
        <v/>
      </c>
      <c r="H95" s="7">
        <f>IF($Q95="","",SUMIFS('Per Line'!$L$2:$L$501,'Per Line'!$A$2:$A$501,$B95,'Per Line'!$X$2:$X$501,0))</f>
        <v/>
      </c>
      <c r="I95" s="7">
        <f>IF($Q95="","",H95*G95)</f>
        <v/>
      </c>
      <c r="J95">
        <f>IF($Q95="","",Settings!$C$6)</f>
        <v/>
      </c>
      <c r="K95" s="7">
        <f>IF($Q95="","",SUMIFS('Per Line'!$L$2:$L$501,'Per Line'!$A$2:$A$501,$B95,'Per Line'!$X$2:$X$501,1))</f>
        <v/>
      </c>
      <c r="L95" s="7">
        <f>IF($Q95="","",K95*J95)</f>
        <v/>
      </c>
      <c r="M95" s="7">
        <f>IF($Q95="","",L95+I95)</f>
        <v/>
      </c>
      <c r="N95" s="7">
        <f>IF($Q95="","",O95-M95)</f>
        <v/>
      </c>
      <c r="O95" s="7">
        <f>IF($Q95="","",H95+K95)</f>
        <v/>
      </c>
      <c r="P95" s="7">
        <f>IF($Q95="","",O95-M95-F95)</f>
        <v/>
      </c>
      <c r="Q95" s="13">
        <f>IF(ROWS($Q$2:$Q95)&lt;=MAX('Per Line'!$W$2:$W$501),MATCH(ROWS($Q$2:$Q95),'Per Line'!$W$2:$W$501,0),"")</f>
        <v/>
      </c>
    </row>
    <row r="96">
      <c r="A96" s="12" t="n"/>
      <c r="B96">
        <f>IF($Q96="","",INDEX('Per Line'!$A$2:$A$501,$Q96)&amp;"")</f>
        <v/>
      </c>
      <c r="C96">
        <f>IF($Q96="","",INDEX('Per Line'!$D$2:$D$501,$Q96)&amp;"")</f>
        <v/>
      </c>
      <c r="D96">
        <f>IF($Q96="","",INDEX('Per Line'!$E$2:$E$501,$Q96)&amp;"")</f>
        <v/>
      </c>
      <c r="E96">
        <f>IF($Q96="","",INDEX('Per Line'!$F$2:$F$501,$Q96))</f>
        <v/>
      </c>
      <c r="F96" s="7">
        <f>IF($Q96="","",E96*N96/100)</f>
        <v/>
      </c>
      <c r="G96">
        <f>IF($Q96="","",Settings!$C$7)</f>
        <v/>
      </c>
      <c r="H96" s="7">
        <f>IF($Q96="","",SUMIFS('Per Line'!$L$2:$L$501,'Per Line'!$A$2:$A$501,$B96,'Per Line'!$X$2:$X$501,0))</f>
        <v/>
      </c>
      <c r="I96" s="7">
        <f>IF($Q96="","",H96*G96)</f>
        <v/>
      </c>
      <c r="J96">
        <f>IF($Q96="","",Settings!$C$6)</f>
        <v/>
      </c>
      <c r="K96" s="7">
        <f>IF($Q96="","",SUMIFS('Per Line'!$L$2:$L$501,'Per Line'!$A$2:$A$501,$B96,'Per Line'!$X$2:$X$501,1))</f>
        <v/>
      </c>
      <c r="L96" s="7">
        <f>IF($Q96="","",K96*J96)</f>
        <v/>
      </c>
      <c r="M96" s="7">
        <f>IF($Q96="","",L96+I96)</f>
        <v/>
      </c>
      <c r="N96" s="7">
        <f>IF($Q96="","",O96-M96)</f>
        <v/>
      </c>
      <c r="O96" s="7">
        <f>IF($Q96="","",H96+K96)</f>
        <v/>
      </c>
      <c r="P96" s="7">
        <f>IF($Q96="","",O96-M96-F96)</f>
        <v/>
      </c>
      <c r="Q96" s="13">
        <f>IF(ROWS($Q$2:$Q96)&lt;=MAX('Per Line'!$W$2:$W$501),MATCH(ROWS($Q$2:$Q96),'Per Line'!$W$2:$W$501,0),"")</f>
        <v/>
      </c>
    </row>
    <row r="97">
      <c r="A97" s="12" t="n"/>
      <c r="B97">
        <f>IF($Q97="","",INDEX('Per Line'!$A$2:$A$501,$Q97)&amp;"")</f>
        <v/>
      </c>
      <c r="C97">
        <f>IF($Q97="","",INDEX('Per Line'!$D$2:$D$501,$Q97)&amp;"")</f>
        <v/>
      </c>
      <c r="D97">
        <f>IF($Q97="","",INDEX('Per Line'!$E$2:$E$501,$Q97)&amp;"")</f>
        <v/>
      </c>
      <c r="E97">
        <f>IF($Q97="","",INDEX('Per Line'!$F$2:$F$501,$Q97))</f>
        <v/>
      </c>
      <c r="F97" s="7">
        <f>IF($Q97="","",E97*N97/100)</f>
        <v/>
      </c>
      <c r="G97">
        <f>IF($Q97="","",Settings!$C$7)</f>
        <v/>
      </c>
      <c r="H97" s="7">
        <f>IF($Q97="","",SUMIFS('Per Line'!$L$2:$L$501,'Per Line'!$A$2:$A$501,$B97,'Per Line'!$X$2:$X$501,0))</f>
        <v/>
      </c>
      <c r="I97" s="7">
        <f>IF($Q97="","",H97*G97)</f>
        <v/>
      </c>
      <c r="J97">
        <f>IF($Q97="","",Settings!$C$6)</f>
        <v/>
      </c>
      <c r="K97" s="7">
        <f>IF($Q97="","",SUMIFS('Per Line'!$L$2:$L$501,'Per Line'!$A$2:$A$501,$B97,'Per Line'!$X$2:$X$501,1))</f>
        <v/>
      </c>
      <c r="L97" s="7">
        <f>IF($Q97="","",K97*J97)</f>
        <v/>
      </c>
      <c r="M97" s="7">
        <f>IF($Q97="","",L97+I97)</f>
        <v/>
      </c>
      <c r="N97" s="7">
        <f>IF($Q97="","",O97-M97)</f>
        <v/>
      </c>
      <c r="O97" s="7">
        <f>IF($Q97="","",H97+K97)</f>
        <v/>
      </c>
      <c r="P97" s="7">
        <f>IF($Q97="","",O97-M97-F97)</f>
        <v/>
      </c>
      <c r="Q97" s="13">
        <f>IF(ROWS($Q$2:$Q97)&lt;=MAX('Per Line'!$W$2:$W$501),MATCH(ROWS($Q$2:$Q97),'Per Line'!$W$2:$W$501,0),"")</f>
        <v/>
      </c>
    </row>
    <row r="98">
      <c r="A98" s="12" t="n"/>
      <c r="B98">
        <f>IF($Q98="","",INDEX('Per Line'!$A$2:$A$501,$Q98)&amp;"")</f>
        <v/>
      </c>
      <c r="C98">
        <f>IF($Q98="","",INDEX('Per Line'!$D$2:$D$501,$Q98)&amp;"")</f>
        <v/>
      </c>
      <c r="D98">
        <f>IF($Q98="","",INDEX('Per Line'!$E$2:$E$501,$Q98)&amp;"")</f>
        <v/>
      </c>
      <c r="E98">
        <f>IF($Q98="","",INDEX('Per Line'!$F$2:$F$501,$Q98))</f>
        <v/>
      </c>
      <c r="F98" s="7">
        <f>IF($Q98="","",E98*N98/100)</f>
        <v/>
      </c>
      <c r="G98">
        <f>IF($Q98="","",Settings!$C$7)</f>
        <v/>
      </c>
      <c r="H98" s="7">
        <f>IF($Q98="","",SUMIFS('Per Line'!$L$2:$L$501,'Per Line'!$A$2:$A$501,$B98,'Per Line'!$X$2:$X$501,0))</f>
        <v/>
      </c>
      <c r="I98" s="7">
        <f>IF($Q98="","",H98*G98)</f>
        <v/>
      </c>
      <c r="J98">
        <f>IF($Q98="","",Settings!$C$6)</f>
        <v/>
      </c>
      <c r="K98" s="7">
        <f>IF($Q98="","",SUMIFS('Per Line'!$L$2:$L$501,'Per Line'!$A$2:$A$501,$B98,'Per Line'!$X$2:$X$501,1))</f>
        <v/>
      </c>
      <c r="L98" s="7">
        <f>IF($Q98="","",K98*J98)</f>
        <v/>
      </c>
      <c r="M98" s="7">
        <f>IF($Q98="","",L98+I98)</f>
        <v/>
      </c>
      <c r="N98" s="7">
        <f>IF($Q98="","",O98-M98)</f>
        <v/>
      </c>
      <c r="O98" s="7">
        <f>IF($Q98="","",H98+K98)</f>
        <v/>
      </c>
      <c r="P98" s="7">
        <f>IF($Q98="","",O98-M98-F98)</f>
        <v/>
      </c>
      <c r="Q98" s="13">
        <f>IF(ROWS($Q$2:$Q98)&lt;=MAX('Per Line'!$W$2:$W$501),MATCH(ROWS($Q$2:$Q98),'Per Line'!$W$2:$W$501,0),"")</f>
        <v/>
      </c>
    </row>
    <row r="99">
      <c r="A99" s="12" t="n"/>
      <c r="B99">
        <f>IF($Q99="","",INDEX('Per Line'!$A$2:$A$501,$Q99)&amp;"")</f>
        <v/>
      </c>
      <c r="C99">
        <f>IF($Q99="","",INDEX('Per Line'!$D$2:$D$501,$Q99)&amp;"")</f>
        <v/>
      </c>
      <c r="D99">
        <f>IF($Q99="","",INDEX('Per Line'!$E$2:$E$501,$Q99)&amp;"")</f>
        <v/>
      </c>
      <c r="E99">
        <f>IF($Q99="","",INDEX('Per Line'!$F$2:$F$501,$Q99))</f>
        <v/>
      </c>
      <c r="F99" s="7">
        <f>IF($Q99="","",E99*N99/100)</f>
        <v/>
      </c>
      <c r="G99">
        <f>IF($Q99="","",Settings!$C$7)</f>
        <v/>
      </c>
      <c r="H99" s="7">
        <f>IF($Q99="","",SUMIFS('Per Line'!$L$2:$L$501,'Per Line'!$A$2:$A$501,$B99,'Per Line'!$X$2:$X$501,0))</f>
        <v/>
      </c>
      <c r="I99" s="7">
        <f>IF($Q99="","",H99*G99)</f>
        <v/>
      </c>
      <c r="J99">
        <f>IF($Q99="","",Settings!$C$6)</f>
        <v/>
      </c>
      <c r="K99" s="7">
        <f>IF($Q99="","",SUMIFS('Per Line'!$L$2:$L$501,'Per Line'!$A$2:$A$501,$B99,'Per Line'!$X$2:$X$501,1))</f>
        <v/>
      </c>
      <c r="L99" s="7">
        <f>IF($Q99="","",K99*J99)</f>
        <v/>
      </c>
      <c r="M99" s="7">
        <f>IF($Q99="","",L99+I99)</f>
        <v/>
      </c>
      <c r="N99" s="7">
        <f>IF($Q99="","",O99-M99)</f>
        <v/>
      </c>
      <c r="O99" s="7">
        <f>IF($Q99="","",H99+K99)</f>
        <v/>
      </c>
      <c r="P99" s="7">
        <f>IF($Q99="","",O99-M99-F99)</f>
        <v/>
      </c>
      <c r="Q99" s="13">
        <f>IF(ROWS($Q$2:$Q99)&lt;=MAX('Per Line'!$W$2:$W$501),MATCH(ROWS($Q$2:$Q99),'Per Line'!$W$2:$W$501,0),"")</f>
        <v/>
      </c>
    </row>
    <row r="100">
      <c r="A100" s="12" t="n"/>
      <c r="B100">
        <f>IF($Q100="","",INDEX('Per Line'!$A$2:$A$501,$Q100)&amp;"")</f>
        <v/>
      </c>
      <c r="C100">
        <f>IF($Q100="","",INDEX('Per Line'!$D$2:$D$501,$Q100)&amp;"")</f>
        <v/>
      </c>
      <c r="D100">
        <f>IF($Q100="","",INDEX('Per Line'!$E$2:$E$501,$Q100)&amp;"")</f>
        <v/>
      </c>
      <c r="E100">
        <f>IF($Q100="","",INDEX('Per Line'!$F$2:$F$501,$Q100))</f>
        <v/>
      </c>
      <c r="F100" s="7">
        <f>IF($Q100="","",E100*N100/100)</f>
        <v/>
      </c>
      <c r="G100">
        <f>IF($Q100="","",Settings!$C$7)</f>
        <v/>
      </c>
      <c r="H100" s="7">
        <f>IF($Q100="","",SUMIFS('Per Line'!$L$2:$L$501,'Per Line'!$A$2:$A$501,$B100,'Per Line'!$X$2:$X$501,0))</f>
        <v/>
      </c>
      <c r="I100" s="7">
        <f>IF($Q100="","",H100*G100)</f>
        <v/>
      </c>
      <c r="J100">
        <f>IF($Q100="","",Settings!$C$6)</f>
        <v/>
      </c>
      <c r="K100" s="7">
        <f>IF($Q100="","",SUMIFS('Per Line'!$L$2:$L$501,'Per Line'!$A$2:$A$501,$B100,'Per Line'!$X$2:$X$501,1))</f>
        <v/>
      </c>
      <c r="L100" s="7">
        <f>IF($Q100="","",K100*J100)</f>
        <v/>
      </c>
      <c r="M100" s="7">
        <f>IF($Q100="","",L100+I100)</f>
        <v/>
      </c>
      <c r="N100" s="7">
        <f>IF($Q100="","",O100-M100)</f>
        <v/>
      </c>
      <c r="O100" s="7">
        <f>IF($Q100="","",H100+K100)</f>
        <v/>
      </c>
      <c r="P100" s="7">
        <f>IF($Q100="","",O100-M100-F100)</f>
        <v/>
      </c>
      <c r="Q100" s="13">
        <f>IF(ROWS($Q$2:$Q100)&lt;=MAX('Per Line'!$W$2:$W$501),MATCH(ROWS($Q$2:$Q100),'Per Line'!$W$2:$W$501,0),"")</f>
        <v/>
      </c>
    </row>
    <row r="101">
      <c r="A101" s="12" t="n"/>
      <c r="B101">
        <f>IF($Q101="","",INDEX('Per Line'!$A$2:$A$501,$Q101)&amp;"")</f>
        <v/>
      </c>
      <c r="C101">
        <f>IF($Q101="","",INDEX('Per Line'!$D$2:$D$501,$Q101)&amp;"")</f>
        <v/>
      </c>
      <c r="D101">
        <f>IF($Q101="","",INDEX('Per Line'!$E$2:$E$501,$Q101)&amp;"")</f>
        <v/>
      </c>
      <c r="E101">
        <f>IF($Q101="","",INDEX('Per Line'!$F$2:$F$501,$Q101))</f>
        <v/>
      </c>
      <c r="F101" s="7">
        <f>IF($Q101="","",E101*N101/100)</f>
        <v/>
      </c>
      <c r="G101">
        <f>IF($Q101="","",Settings!$C$7)</f>
        <v/>
      </c>
      <c r="H101" s="7">
        <f>IF($Q101="","",SUMIFS('Per Line'!$L$2:$L$501,'Per Line'!$A$2:$A$501,$B101,'Per Line'!$X$2:$X$501,0))</f>
        <v/>
      </c>
      <c r="I101" s="7">
        <f>IF($Q101="","",H101*G101)</f>
        <v/>
      </c>
      <c r="J101">
        <f>IF($Q101="","",Settings!$C$6)</f>
        <v/>
      </c>
      <c r="K101" s="7">
        <f>IF($Q101="","",SUMIFS('Per Line'!$L$2:$L$501,'Per Line'!$A$2:$A$501,$B101,'Per Line'!$X$2:$X$501,1))</f>
        <v/>
      </c>
      <c r="L101" s="7">
        <f>IF($Q101="","",K101*J101)</f>
        <v/>
      </c>
      <c r="M101" s="7">
        <f>IF($Q101="","",L101+I101)</f>
        <v/>
      </c>
      <c r="N101" s="7">
        <f>IF($Q101="","",O101-M101)</f>
        <v/>
      </c>
      <c r="O101" s="7">
        <f>IF($Q101="","",H101+K101)</f>
        <v/>
      </c>
      <c r="P101" s="7">
        <f>IF($Q101="","",O101-M101-F101)</f>
        <v/>
      </c>
      <c r="Q101" s="13">
        <f>IF(ROWS($Q$2:$Q101)&lt;=MAX('Per Line'!$W$2:$W$501),MATCH(ROWS($Q$2:$Q101),'Per Line'!$W$2:$W$501,0),"")</f>
        <v/>
      </c>
    </row>
    <row r="102">
      <c r="A102" s="12" t="n"/>
      <c r="B102">
        <f>IF($Q102="","",INDEX('Per Line'!$A$2:$A$501,$Q102)&amp;"")</f>
        <v/>
      </c>
      <c r="C102">
        <f>IF($Q102="","",INDEX('Per Line'!$D$2:$D$501,$Q102)&amp;"")</f>
        <v/>
      </c>
      <c r="D102">
        <f>IF($Q102="","",INDEX('Per Line'!$E$2:$E$501,$Q102)&amp;"")</f>
        <v/>
      </c>
      <c r="E102">
        <f>IF($Q102="","",INDEX('Per Line'!$F$2:$F$501,$Q102))</f>
        <v/>
      </c>
      <c r="F102" s="7">
        <f>IF($Q102="","",E102*N102/100)</f>
        <v/>
      </c>
      <c r="G102">
        <f>IF($Q102="","",Settings!$C$7)</f>
        <v/>
      </c>
      <c r="H102" s="7">
        <f>IF($Q102="","",SUMIFS('Per Line'!$L$2:$L$501,'Per Line'!$A$2:$A$501,$B102,'Per Line'!$X$2:$X$501,0))</f>
        <v/>
      </c>
      <c r="I102" s="7">
        <f>IF($Q102="","",H102*G102)</f>
        <v/>
      </c>
      <c r="J102">
        <f>IF($Q102="","",Settings!$C$6)</f>
        <v/>
      </c>
      <c r="K102" s="7">
        <f>IF($Q102="","",SUMIFS('Per Line'!$L$2:$L$501,'Per Line'!$A$2:$A$501,$B102,'Per Line'!$X$2:$X$501,1))</f>
        <v/>
      </c>
      <c r="L102" s="7">
        <f>IF($Q102="","",K102*J102)</f>
        <v/>
      </c>
      <c r="M102" s="7">
        <f>IF($Q102="","",L102+I102)</f>
        <v/>
      </c>
      <c r="N102" s="7">
        <f>IF($Q102="","",O102-M102)</f>
        <v/>
      </c>
      <c r="O102" s="7">
        <f>IF($Q102="","",H102+K102)</f>
        <v/>
      </c>
      <c r="P102" s="7">
        <f>IF($Q102="","",O102-M102-F102)</f>
        <v/>
      </c>
      <c r="Q102" s="13">
        <f>IF(ROWS($Q$2:$Q102)&lt;=MAX('Per Line'!$W$2:$W$501),MATCH(ROWS($Q$2:$Q102),'Per Line'!$W$2:$W$501,0),"")</f>
        <v/>
      </c>
    </row>
    <row r="103">
      <c r="A103" s="12" t="n"/>
      <c r="B103">
        <f>IF($Q103="","",INDEX('Per Line'!$A$2:$A$501,$Q103)&amp;"")</f>
        <v/>
      </c>
      <c r="C103">
        <f>IF($Q103="","",INDEX('Per Line'!$D$2:$D$501,$Q103)&amp;"")</f>
        <v/>
      </c>
      <c r="D103">
        <f>IF($Q103="","",INDEX('Per Line'!$E$2:$E$501,$Q103)&amp;"")</f>
        <v/>
      </c>
      <c r="E103">
        <f>IF($Q103="","",INDEX('Per Line'!$F$2:$F$501,$Q103))</f>
        <v/>
      </c>
      <c r="F103" s="7">
        <f>IF($Q103="","",E103*N103/100)</f>
        <v/>
      </c>
      <c r="G103">
        <f>IF($Q103="","",Settings!$C$7)</f>
        <v/>
      </c>
      <c r="H103" s="7">
        <f>IF($Q103="","",SUMIFS('Per Line'!$L$2:$L$501,'Per Line'!$A$2:$A$501,$B103,'Per Line'!$X$2:$X$501,0))</f>
        <v/>
      </c>
      <c r="I103" s="7">
        <f>IF($Q103="","",H103*G103)</f>
        <v/>
      </c>
      <c r="J103">
        <f>IF($Q103="","",Settings!$C$6)</f>
        <v/>
      </c>
      <c r="K103" s="7">
        <f>IF($Q103="","",SUMIFS('Per Line'!$L$2:$L$501,'Per Line'!$A$2:$A$501,$B103,'Per Line'!$X$2:$X$501,1))</f>
        <v/>
      </c>
      <c r="L103" s="7">
        <f>IF($Q103="","",K103*J103)</f>
        <v/>
      </c>
      <c r="M103" s="7">
        <f>IF($Q103="","",L103+I103)</f>
        <v/>
      </c>
      <c r="N103" s="7">
        <f>IF($Q103="","",O103-M103)</f>
        <v/>
      </c>
      <c r="O103" s="7">
        <f>IF($Q103="","",H103+K103)</f>
        <v/>
      </c>
      <c r="P103" s="7">
        <f>IF($Q103="","",O103-M103-F103)</f>
        <v/>
      </c>
      <c r="Q103" s="13">
        <f>IF(ROWS($Q$2:$Q103)&lt;=MAX('Per Line'!$W$2:$W$501),MATCH(ROWS($Q$2:$Q103),'Per Line'!$W$2:$W$501,0),"")</f>
        <v/>
      </c>
    </row>
    <row r="104">
      <c r="A104" s="12" t="n"/>
      <c r="B104">
        <f>IF($Q104="","",INDEX('Per Line'!$A$2:$A$501,$Q104)&amp;"")</f>
        <v/>
      </c>
      <c r="C104">
        <f>IF($Q104="","",INDEX('Per Line'!$D$2:$D$501,$Q104)&amp;"")</f>
        <v/>
      </c>
      <c r="D104">
        <f>IF($Q104="","",INDEX('Per Line'!$E$2:$E$501,$Q104)&amp;"")</f>
        <v/>
      </c>
      <c r="E104">
        <f>IF($Q104="","",INDEX('Per Line'!$F$2:$F$501,$Q104))</f>
        <v/>
      </c>
      <c r="F104" s="7">
        <f>IF($Q104="","",E104*N104/100)</f>
        <v/>
      </c>
      <c r="G104">
        <f>IF($Q104="","",Settings!$C$7)</f>
        <v/>
      </c>
      <c r="H104" s="7">
        <f>IF($Q104="","",SUMIFS('Per Line'!$L$2:$L$501,'Per Line'!$A$2:$A$501,$B104,'Per Line'!$X$2:$X$501,0))</f>
        <v/>
      </c>
      <c r="I104" s="7">
        <f>IF($Q104="","",H104*G104)</f>
        <v/>
      </c>
      <c r="J104">
        <f>IF($Q104="","",Settings!$C$6)</f>
        <v/>
      </c>
      <c r="K104" s="7">
        <f>IF($Q104="","",SUMIFS('Per Line'!$L$2:$L$501,'Per Line'!$A$2:$A$501,$B104,'Per Line'!$X$2:$X$501,1))</f>
        <v/>
      </c>
      <c r="L104" s="7">
        <f>IF($Q104="","",K104*J104)</f>
        <v/>
      </c>
      <c r="M104" s="7">
        <f>IF($Q104="","",L104+I104)</f>
        <v/>
      </c>
      <c r="N104" s="7">
        <f>IF($Q104="","",O104-M104)</f>
        <v/>
      </c>
      <c r="O104" s="7">
        <f>IF($Q104="","",H104+K104)</f>
        <v/>
      </c>
      <c r="P104" s="7">
        <f>IF($Q104="","",O104-M104-F104)</f>
        <v/>
      </c>
      <c r="Q104" s="13">
        <f>IF(ROWS($Q$2:$Q104)&lt;=MAX('Per Line'!$W$2:$W$501),MATCH(ROWS($Q$2:$Q104),'Per Line'!$W$2:$W$501,0),"")</f>
        <v/>
      </c>
    </row>
    <row r="105">
      <c r="A105" s="12" t="n"/>
      <c r="B105">
        <f>IF($Q105="","",INDEX('Per Line'!$A$2:$A$501,$Q105)&amp;"")</f>
        <v/>
      </c>
      <c r="C105">
        <f>IF($Q105="","",INDEX('Per Line'!$D$2:$D$501,$Q105)&amp;"")</f>
        <v/>
      </c>
      <c r="D105">
        <f>IF($Q105="","",INDEX('Per Line'!$E$2:$E$501,$Q105)&amp;"")</f>
        <v/>
      </c>
      <c r="E105">
        <f>IF($Q105="","",INDEX('Per Line'!$F$2:$F$501,$Q105))</f>
        <v/>
      </c>
      <c r="F105" s="7">
        <f>IF($Q105="","",E105*N105/100)</f>
        <v/>
      </c>
      <c r="G105">
        <f>IF($Q105="","",Settings!$C$7)</f>
        <v/>
      </c>
      <c r="H105" s="7">
        <f>IF($Q105="","",SUMIFS('Per Line'!$L$2:$L$501,'Per Line'!$A$2:$A$501,$B105,'Per Line'!$X$2:$X$501,0))</f>
        <v/>
      </c>
      <c r="I105" s="7">
        <f>IF($Q105="","",H105*G105)</f>
        <v/>
      </c>
      <c r="J105">
        <f>IF($Q105="","",Settings!$C$6)</f>
        <v/>
      </c>
      <c r="K105" s="7">
        <f>IF($Q105="","",SUMIFS('Per Line'!$L$2:$L$501,'Per Line'!$A$2:$A$501,$B105,'Per Line'!$X$2:$X$501,1))</f>
        <v/>
      </c>
      <c r="L105" s="7">
        <f>IF($Q105="","",K105*J105)</f>
        <v/>
      </c>
      <c r="M105" s="7">
        <f>IF($Q105="","",L105+I105)</f>
        <v/>
      </c>
      <c r="N105" s="7">
        <f>IF($Q105="","",O105-M105)</f>
        <v/>
      </c>
      <c r="O105" s="7">
        <f>IF($Q105="","",H105+K105)</f>
        <v/>
      </c>
      <c r="P105" s="7">
        <f>IF($Q105="","",O105-M105-F105)</f>
        <v/>
      </c>
      <c r="Q105" s="13">
        <f>IF(ROWS($Q$2:$Q105)&lt;=MAX('Per Line'!$W$2:$W$501),MATCH(ROWS($Q$2:$Q105),'Per Line'!$W$2:$W$501,0),"")</f>
        <v/>
      </c>
    </row>
    <row r="106">
      <c r="A106" s="12" t="n"/>
      <c r="B106">
        <f>IF($Q106="","",INDEX('Per Line'!$A$2:$A$501,$Q106)&amp;"")</f>
        <v/>
      </c>
      <c r="C106">
        <f>IF($Q106="","",INDEX('Per Line'!$D$2:$D$501,$Q106)&amp;"")</f>
        <v/>
      </c>
      <c r="D106">
        <f>IF($Q106="","",INDEX('Per Line'!$E$2:$E$501,$Q106)&amp;"")</f>
        <v/>
      </c>
      <c r="E106">
        <f>IF($Q106="","",INDEX('Per Line'!$F$2:$F$501,$Q106))</f>
        <v/>
      </c>
      <c r="F106" s="7">
        <f>IF($Q106="","",E106*N106/100)</f>
        <v/>
      </c>
      <c r="G106">
        <f>IF($Q106="","",Settings!$C$7)</f>
        <v/>
      </c>
      <c r="H106" s="7">
        <f>IF($Q106="","",SUMIFS('Per Line'!$L$2:$L$501,'Per Line'!$A$2:$A$501,$B106,'Per Line'!$X$2:$X$501,0))</f>
        <v/>
      </c>
      <c r="I106" s="7">
        <f>IF($Q106="","",H106*G106)</f>
        <v/>
      </c>
      <c r="J106">
        <f>IF($Q106="","",Settings!$C$6)</f>
        <v/>
      </c>
      <c r="K106" s="7">
        <f>IF($Q106="","",SUMIFS('Per Line'!$L$2:$L$501,'Per Line'!$A$2:$A$501,$B106,'Per Line'!$X$2:$X$501,1))</f>
        <v/>
      </c>
      <c r="L106" s="7">
        <f>IF($Q106="","",K106*J106)</f>
        <v/>
      </c>
      <c r="M106" s="7">
        <f>IF($Q106="","",L106+I106)</f>
        <v/>
      </c>
      <c r="N106" s="7">
        <f>IF($Q106="","",O106-M106)</f>
        <v/>
      </c>
      <c r="O106" s="7">
        <f>IF($Q106="","",H106+K106)</f>
        <v/>
      </c>
      <c r="P106" s="7">
        <f>IF($Q106="","",O106-M106-F106)</f>
        <v/>
      </c>
      <c r="Q106" s="13">
        <f>IF(ROWS($Q$2:$Q106)&lt;=MAX('Per Line'!$W$2:$W$501),MATCH(ROWS($Q$2:$Q106),'Per Line'!$W$2:$W$501,0),"")</f>
        <v/>
      </c>
    </row>
    <row r="107">
      <c r="A107" s="12" t="n"/>
      <c r="B107">
        <f>IF($Q107="","",INDEX('Per Line'!$A$2:$A$501,$Q107)&amp;"")</f>
        <v/>
      </c>
      <c r="C107">
        <f>IF($Q107="","",INDEX('Per Line'!$D$2:$D$501,$Q107)&amp;"")</f>
        <v/>
      </c>
      <c r="D107">
        <f>IF($Q107="","",INDEX('Per Line'!$E$2:$E$501,$Q107)&amp;"")</f>
        <v/>
      </c>
      <c r="E107">
        <f>IF($Q107="","",INDEX('Per Line'!$F$2:$F$501,$Q107))</f>
        <v/>
      </c>
      <c r="F107" s="7">
        <f>IF($Q107="","",E107*N107/100)</f>
        <v/>
      </c>
      <c r="G107">
        <f>IF($Q107="","",Settings!$C$7)</f>
        <v/>
      </c>
      <c r="H107" s="7">
        <f>IF($Q107="","",SUMIFS('Per Line'!$L$2:$L$501,'Per Line'!$A$2:$A$501,$B107,'Per Line'!$X$2:$X$501,0))</f>
        <v/>
      </c>
      <c r="I107" s="7">
        <f>IF($Q107="","",H107*G107)</f>
        <v/>
      </c>
      <c r="J107">
        <f>IF($Q107="","",Settings!$C$6)</f>
        <v/>
      </c>
      <c r="K107" s="7">
        <f>IF($Q107="","",SUMIFS('Per Line'!$L$2:$L$501,'Per Line'!$A$2:$A$501,$B107,'Per Line'!$X$2:$X$501,1))</f>
        <v/>
      </c>
      <c r="L107" s="7">
        <f>IF($Q107="","",K107*J107)</f>
        <v/>
      </c>
      <c r="M107" s="7">
        <f>IF($Q107="","",L107+I107)</f>
        <v/>
      </c>
      <c r="N107" s="7">
        <f>IF($Q107="","",O107-M107)</f>
        <v/>
      </c>
      <c r="O107" s="7">
        <f>IF($Q107="","",H107+K107)</f>
        <v/>
      </c>
      <c r="P107" s="7">
        <f>IF($Q107="","",O107-M107-F107)</f>
        <v/>
      </c>
      <c r="Q107" s="13">
        <f>IF(ROWS($Q$2:$Q107)&lt;=MAX('Per Line'!$W$2:$W$501),MATCH(ROWS($Q$2:$Q107),'Per Line'!$W$2:$W$501,0),"")</f>
        <v/>
      </c>
    </row>
    <row r="108">
      <c r="A108" s="12" t="n"/>
      <c r="B108">
        <f>IF($Q108="","",INDEX('Per Line'!$A$2:$A$501,$Q108)&amp;"")</f>
        <v/>
      </c>
      <c r="C108">
        <f>IF($Q108="","",INDEX('Per Line'!$D$2:$D$501,$Q108)&amp;"")</f>
        <v/>
      </c>
      <c r="D108">
        <f>IF($Q108="","",INDEX('Per Line'!$E$2:$E$501,$Q108)&amp;"")</f>
        <v/>
      </c>
      <c r="E108">
        <f>IF($Q108="","",INDEX('Per Line'!$F$2:$F$501,$Q108))</f>
        <v/>
      </c>
      <c r="F108" s="7">
        <f>IF($Q108="","",E108*N108/100)</f>
        <v/>
      </c>
      <c r="G108">
        <f>IF($Q108="","",Settings!$C$7)</f>
        <v/>
      </c>
      <c r="H108" s="7">
        <f>IF($Q108="","",SUMIFS('Per Line'!$L$2:$L$501,'Per Line'!$A$2:$A$501,$B108,'Per Line'!$X$2:$X$501,0))</f>
        <v/>
      </c>
      <c r="I108" s="7">
        <f>IF($Q108="","",H108*G108)</f>
        <v/>
      </c>
      <c r="J108">
        <f>IF($Q108="","",Settings!$C$6)</f>
        <v/>
      </c>
      <c r="K108" s="7">
        <f>IF($Q108="","",SUMIFS('Per Line'!$L$2:$L$501,'Per Line'!$A$2:$A$501,$B108,'Per Line'!$X$2:$X$501,1))</f>
        <v/>
      </c>
      <c r="L108" s="7">
        <f>IF($Q108="","",K108*J108)</f>
        <v/>
      </c>
      <c r="M108" s="7">
        <f>IF($Q108="","",L108+I108)</f>
        <v/>
      </c>
      <c r="N108" s="7">
        <f>IF($Q108="","",O108-M108)</f>
        <v/>
      </c>
      <c r="O108" s="7">
        <f>IF($Q108="","",H108+K108)</f>
        <v/>
      </c>
      <c r="P108" s="7">
        <f>IF($Q108="","",O108-M108-F108)</f>
        <v/>
      </c>
      <c r="Q108" s="13">
        <f>IF(ROWS($Q$2:$Q108)&lt;=MAX('Per Line'!$W$2:$W$501),MATCH(ROWS($Q$2:$Q108),'Per Line'!$W$2:$W$501,0),"")</f>
        <v/>
      </c>
    </row>
    <row r="109">
      <c r="A109" s="12" t="n"/>
      <c r="B109">
        <f>IF($Q109="","",INDEX('Per Line'!$A$2:$A$501,$Q109)&amp;"")</f>
        <v/>
      </c>
      <c r="C109">
        <f>IF($Q109="","",INDEX('Per Line'!$D$2:$D$501,$Q109)&amp;"")</f>
        <v/>
      </c>
      <c r="D109">
        <f>IF($Q109="","",INDEX('Per Line'!$E$2:$E$501,$Q109)&amp;"")</f>
        <v/>
      </c>
      <c r="E109">
        <f>IF($Q109="","",INDEX('Per Line'!$F$2:$F$501,$Q109))</f>
        <v/>
      </c>
      <c r="F109" s="7">
        <f>IF($Q109="","",E109*N109/100)</f>
        <v/>
      </c>
      <c r="G109">
        <f>IF($Q109="","",Settings!$C$7)</f>
        <v/>
      </c>
      <c r="H109" s="7">
        <f>IF($Q109="","",SUMIFS('Per Line'!$L$2:$L$501,'Per Line'!$A$2:$A$501,$B109,'Per Line'!$X$2:$X$501,0))</f>
        <v/>
      </c>
      <c r="I109" s="7">
        <f>IF($Q109="","",H109*G109)</f>
        <v/>
      </c>
      <c r="J109">
        <f>IF($Q109="","",Settings!$C$6)</f>
        <v/>
      </c>
      <c r="K109" s="7">
        <f>IF($Q109="","",SUMIFS('Per Line'!$L$2:$L$501,'Per Line'!$A$2:$A$501,$B109,'Per Line'!$X$2:$X$501,1))</f>
        <v/>
      </c>
      <c r="L109" s="7">
        <f>IF($Q109="","",K109*J109)</f>
        <v/>
      </c>
      <c r="M109" s="7">
        <f>IF($Q109="","",L109+I109)</f>
        <v/>
      </c>
      <c r="N109" s="7">
        <f>IF($Q109="","",O109-M109)</f>
        <v/>
      </c>
      <c r="O109" s="7">
        <f>IF($Q109="","",H109+K109)</f>
        <v/>
      </c>
      <c r="P109" s="7">
        <f>IF($Q109="","",O109-M109-F109)</f>
        <v/>
      </c>
      <c r="Q109" s="13">
        <f>IF(ROWS($Q$2:$Q109)&lt;=MAX('Per Line'!$W$2:$W$501),MATCH(ROWS($Q$2:$Q109),'Per Line'!$W$2:$W$501,0),"")</f>
        <v/>
      </c>
    </row>
    <row r="110">
      <c r="A110" s="12" t="n"/>
      <c r="B110">
        <f>IF($Q110="","",INDEX('Per Line'!$A$2:$A$501,$Q110)&amp;"")</f>
        <v/>
      </c>
      <c r="C110">
        <f>IF($Q110="","",INDEX('Per Line'!$D$2:$D$501,$Q110)&amp;"")</f>
        <v/>
      </c>
      <c r="D110">
        <f>IF($Q110="","",INDEX('Per Line'!$E$2:$E$501,$Q110)&amp;"")</f>
        <v/>
      </c>
      <c r="E110">
        <f>IF($Q110="","",INDEX('Per Line'!$F$2:$F$501,$Q110))</f>
        <v/>
      </c>
      <c r="F110" s="7">
        <f>IF($Q110="","",E110*N110/100)</f>
        <v/>
      </c>
      <c r="G110">
        <f>IF($Q110="","",Settings!$C$7)</f>
        <v/>
      </c>
      <c r="H110" s="7">
        <f>IF($Q110="","",SUMIFS('Per Line'!$L$2:$L$501,'Per Line'!$A$2:$A$501,$B110,'Per Line'!$X$2:$X$501,0))</f>
        <v/>
      </c>
      <c r="I110" s="7">
        <f>IF($Q110="","",H110*G110)</f>
        <v/>
      </c>
      <c r="J110">
        <f>IF($Q110="","",Settings!$C$6)</f>
        <v/>
      </c>
      <c r="K110" s="7">
        <f>IF($Q110="","",SUMIFS('Per Line'!$L$2:$L$501,'Per Line'!$A$2:$A$501,$B110,'Per Line'!$X$2:$X$501,1))</f>
        <v/>
      </c>
      <c r="L110" s="7">
        <f>IF($Q110="","",K110*J110)</f>
        <v/>
      </c>
      <c r="M110" s="7">
        <f>IF($Q110="","",L110+I110)</f>
        <v/>
      </c>
      <c r="N110" s="7">
        <f>IF($Q110="","",O110-M110)</f>
        <v/>
      </c>
      <c r="O110" s="7">
        <f>IF($Q110="","",H110+K110)</f>
        <v/>
      </c>
      <c r="P110" s="7">
        <f>IF($Q110="","",O110-M110-F110)</f>
        <v/>
      </c>
      <c r="Q110" s="13">
        <f>IF(ROWS($Q$2:$Q110)&lt;=MAX('Per Line'!$W$2:$W$501),MATCH(ROWS($Q$2:$Q110),'Per Line'!$W$2:$W$501,0),"")</f>
        <v/>
      </c>
    </row>
    <row r="111">
      <c r="A111" s="12" t="n"/>
      <c r="B111">
        <f>IF($Q111="","",INDEX('Per Line'!$A$2:$A$501,$Q111)&amp;"")</f>
        <v/>
      </c>
      <c r="C111">
        <f>IF($Q111="","",INDEX('Per Line'!$D$2:$D$501,$Q111)&amp;"")</f>
        <v/>
      </c>
      <c r="D111">
        <f>IF($Q111="","",INDEX('Per Line'!$E$2:$E$501,$Q111)&amp;"")</f>
        <v/>
      </c>
      <c r="E111">
        <f>IF($Q111="","",INDEX('Per Line'!$F$2:$F$501,$Q111))</f>
        <v/>
      </c>
      <c r="F111" s="7">
        <f>IF($Q111="","",E111*N111/100)</f>
        <v/>
      </c>
      <c r="G111">
        <f>IF($Q111="","",Settings!$C$7)</f>
        <v/>
      </c>
      <c r="H111" s="7">
        <f>IF($Q111="","",SUMIFS('Per Line'!$L$2:$L$501,'Per Line'!$A$2:$A$501,$B111,'Per Line'!$X$2:$X$501,0))</f>
        <v/>
      </c>
      <c r="I111" s="7">
        <f>IF($Q111="","",H111*G111)</f>
        <v/>
      </c>
      <c r="J111">
        <f>IF($Q111="","",Settings!$C$6)</f>
        <v/>
      </c>
      <c r="K111" s="7">
        <f>IF($Q111="","",SUMIFS('Per Line'!$L$2:$L$501,'Per Line'!$A$2:$A$501,$B111,'Per Line'!$X$2:$X$501,1))</f>
        <v/>
      </c>
      <c r="L111" s="7">
        <f>IF($Q111="","",K111*J111)</f>
        <v/>
      </c>
      <c r="M111" s="7">
        <f>IF($Q111="","",L111+I111)</f>
        <v/>
      </c>
      <c r="N111" s="7">
        <f>IF($Q111="","",O111-M111)</f>
        <v/>
      </c>
      <c r="O111" s="7">
        <f>IF($Q111="","",H111+K111)</f>
        <v/>
      </c>
      <c r="P111" s="7">
        <f>IF($Q111="","",O111-M111-F111)</f>
        <v/>
      </c>
      <c r="Q111" s="13">
        <f>IF(ROWS($Q$2:$Q111)&lt;=MAX('Per Line'!$W$2:$W$501),MATCH(ROWS($Q$2:$Q111),'Per Line'!$W$2:$W$501,0),"")</f>
        <v/>
      </c>
    </row>
    <row r="112">
      <c r="A112" s="12" t="n"/>
      <c r="B112">
        <f>IF($Q112="","",INDEX('Per Line'!$A$2:$A$501,$Q112)&amp;"")</f>
        <v/>
      </c>
      <c r="C112">
        <f>IF($Q112="","",INDEX('Per Line'!$D$2:$D$501,$Q112)&amp;"")</f>
        <v/>
      </c>
      <c r="D112">
        <f>IF($Q112="","",INDEX('Per Line'!$E$2:$E$501,$Q112)&amp;"")</f>
        <v/>
      </c>
      <c r="E112">
        <f>IF($Q112="","",INDEX('Per Line'!$F$2:$F$501,$Q112))</f>
        <v/>
      </c>
      <c r="F112" s="7">
        <f>IF($Q112="","",E112*N112/100)</f>
        <v/>
      </c>
      <c r="G112">
        <f>IF($Q112="","",Settings!$C$7)</f>
        <v/>
      </c>
      <c r="H112" s="7">
        <f>IF($Q112="","",SUMIFS('Per Line'!$L$2:$L$501,'Per Line'!$A$2:$A$501,$B112,'Per Line'!$X$2:$X$501,0))</f>
        <v/>
      </c>
      <c r="I112" s="7">
        <f>IF($Q112="","",H112*G112)</f>
        <v/>
      </c>
      <c r="J112">
        <f>IF($Q112="","",Settings!$C$6)</f>
        <v/>
      </c>
      <c r="K112" s="7">
        <f>IF($Q112="","",SUMIFS('Per Line'!$L$2:$L$501,'Per Line'!$A$2:$A$501,$B112,'Per Line'!$X$2:$X$501,1))</f>
        <v/>
      </c>
      <c r="L112" s="7">
        <f>IF($Q112="","",K112*J112)</f>
        <v/>
      </c>
      <c r="M112" s="7">
        <f>IF($Q112="","",L112+I112)</f>
        <v/>
      </c>
      <c r="N112" s="7">
        <f>IF($Q112="","",O112-M112)</f>
        <v/>
      </c>
      <c r="O112" s="7">
        <f>IF($Q112="","",H112+K112)</f>
        <v/>
      </c>
      <c r="P112" s="7">
        <f>IF($Q112="","",O112-M112-F112)</f>
        <v/>
      </c>
      <c r="Q112" s="13">
        <f>IF(ROWS($Q$2:$Q112)&lt;=MAX('Per Line'!$W$2:$W$501),MATCH(ROWS($Q$2:$Q112),'Per Line'!$W$2:$W$501,0),"")</f>
        <v/>
      </c>
    </row>
    <row r="113">
      <c r="A113" s="12" t="n"/>
      <c r="B113">
        <f>IF($Q113="","",INDEX('Per Line'!$A$2:$A$501,$Q113)&amp;"")</f>
        <v/>
      </c>
      <c r="C113">
        <f>IF($Q113="","",INDEX('Per Line'!$D$2:$D$501,$Q113)&amp;"")</f>
        <v/>
      </c>
      <c r="D113">
        <f>IF($Q113="","",INDEX('Per Line'!$E$2:$E$501,$Q113)&amp;"")</f>
        <v/>
      </c>
      <c r="E113">
        <f>IF($Q113="","",INDEX('Per Line'!$F$2:$F$501,$Q113))</f>
        <v/>
      </c>
      <c r="F113" s="7">
        <f>IF($Q113="","",E113*N113/100)</f>
        <v/>
      </c>
      <c r="G113">
        <f>IF($Q113="","",Settings!$C$7)</f>
        <v/>
      </c>
      <c r="H113" s="7">
        <f>IF($Q113="","",SUMIFS('Per Line'!$L$2:$L$501,'Per Line'!$A$2:$A$501,$B113,'Per Line'!$X$2:$X$501,0))</f>
        <v/>
      </c>
      <c r="I113" s="7">
        <f>IF($Q113="","",H113*G113)</f>
        <v/>
      </c>
      <c r="J113">
        <f>IF($Q113="","",Settings!$C$6)</f>
        <v/>
      </c>
      <c r="K113" s="7">
        <f>IF($Q113="","",SUMIFS('Per Line'!$L$2:$L$501,'Per Line'!$A$2:$A$501,$B113,'Per Line'!$X$2:$X$501,1))</f>
        <v/>
      </c>
      <c r="L113" s="7">
        <f>IF($Q113="","",K113*J113)</f>
        <v/>
      </c>
      <c r="M113" s="7">
        <f>IF($Q113="","",L113+I113)</f>
        <v/>
      </c>
      <c r="N113" s="7">
        <f>IF($Q113="","",O113-M113)</f>
        <v/>
      </c>
      <c r="O113" s="7">
        <f>IF($Q113="","",H113+K113)</f>
        <v/>
      </c>
      <c r="P113" s="7">
        <f>IF($Q113="","",O113-M113-F113)</f>
        <v/>
      </c>
      <c r="Q113" s="13">
        <f>IF(ROWS($Q$2:$Q113)&lt;=MAX('Per Line'!$W$2:$W$501),MATCH(ROWS($Q$2:$Q113),'Per Line'!$W$2:$W$501,0),"")</f>
        <v/>
      </c>
    </row>
    <row r="114">
      <c r="A114" s="12" t="n"/>
      <c r="B114">
        <f>IF($Q114="","",INDEX('Per Line'!$A$2:$A$501,$Q114)&amp;"")</f>
        <v/>
      </c>
      <c r="C114">
        <f>IF($Q114="","",INDEX('Per Line'!$D$2:$D$501,$Q114)&amp;"")</f>
        <v/>
      </c>
      <c r="D114">
        <f>IF($Q114="","",INDEX('Per Line'!$E$2:$E$501,$Q114)&amp;"")</f>
        <v/>
      </c>
      <c r="E114">
        <f>IF($Q114="","",INDEX('Per Line'!$F$2:$F$501,$Q114))</f>
        <v/>
      </c>
      <c r="F114" s="7">
        <f>IF($Q114="","",E114*N114/100)</f>
        <v/>
      </c>
      <c r="G114">
        <f>IF($Q114="","",Settings!$C$7)</f>
        <v/>
      </c>
      <c r="H114" s="7">
        <f>IF($Q114="","",SUMIFS('Per Line'!$L$2:$L$501,'Per Line'!$A$2:$A$501,$B114,'Per Line'!$X$2:$X$501,0))</f>
        <v/>
      </c>
      <c r="I114" s="7">
        <f>IF($Q114="","",H114*G114)</f>
        <v/>
      </c>
      <c r="J114">
        <f>IF($Q114="","",Settings!$C$6)</f>
        <v/>
      </c>
      <c r="K114" s="7">
        <f>IF($Q114="","",SUMIFS('Per Line'!$L$2:$L$501,'Per Line'!$A$2:$A$501,$B114,'Per Line'!$X$2:$X$501,1))</f>
        <v/>
      </c>
      <c r="L114" s="7">
        <f>IF($Q114="","",K114*J114)</f>
        <v/>
      </c>
      <c r="M114" s="7">
        <f>IF($Q114="","",L114+I114)</f>
        <v/>
      </c>
      <c r="N114" s="7">
        <f>IF($Q114="","",O114-M114)</f>
        <v/>
      </c>
      <c r="O114" s="7">
        <f>IF($Q114="","",H114+K114)</f>
        <v/>
      </c>
      <c r="P114" s="7">
        <f>IF($Q114="","",O114-M114-F114)</f>
        <v/>
      </c>
      <c r="Q114" s="13">
        <f>IF(ROWS($Q$2:$Q114)&lt;=MAX('Per Line'!$W$2:$W$501),MATCH(ROWS($Q$2:$Q114),'Per Line'!$W$2:$W$501,0),"")</f>
        <v/>
      </c>
    </row>
    <row r="115">
      <c r="A115" s="12" t="n"/>
      <c r="B115">
        <f>IF($Q115="","",INDEX('Per Line'!$A$2:$A$501,$Q115)&amp;"")</f>
        <v/>
      </c>
      <c r="C115">
        <f>IF($Q115="","",INDEX('Per Line'!$D$2:$D$501,$Q115)&amp;"")</f>
        <v/>
      </c>
      <c r="D115">
        <f>IF($Q115="","",INDEX('Per Line'!$E$2:$E$501,$Q115)&amp;"")</f>
        <v/>
      </c>
      <c r="E115">
        <f>IF($Q115="","",INDEX('Per Line'!$F$2:$F$501,$Q115))</f>
        <v/>
      </c>
      <c r="F115" s="7">
        <f>IF($Q115="","",E115*N115/100)</f>
        <v/>
      </c>
      <c r="G115">
        <f>IF($Q115="","",Settings!$C$7)</f>
        <v/>
      </c>
      <c r="H115" s="7">
        <f>IF($Q115="","",SUMIFS('Per Line'!$L$2:$L$501,'Per Line'!$A$2:$A$501,$B115,'Per Line'!$X$2:$X$501,0))</f>
        <v/>
      </c>
      <c r="I115" s="7">
        <f>IF($Q115="","",H115*G115)</f>
        <v/>
      </c>
      <c r="J115">
        <f>IF($Q115="","",Settings!$C$6)</f>
        <v/>
      </c>
      <c r="K115" s="7">
        <f>IF($Q115="","",SUMIFS('Per Line'!$L$2:$L$501,'Per Line'!$A$2:$A$501,$B115,'Per Line'!$X$2:$X$501,1))</f>
        <v/>
      </c>
      <c r="L115" s="7">
        <f>IF($Q115="","",K115*J115)</f>
        <v/>
      </c>
      <c r="M115" s="7">
        <f>IF($Q115="","",L115+I115)</f>
        <v/>
      </c>
      <c r="N115" s="7">
        <f>IF($Q115="","",O115-M115)</f>
        <v/>
      </c>
      <c r="O115" s="7">
        <f>IF($Q115="","",H115+K115)</f>
        <v/>
      </c>
      <c r="P115" s="7">
        <f>IF($Q115="","",O115-M115-F115)</f>
        <v/>
      </c>
      <c r="Q115" s="13">
        <f>IF(ROWS($Q$2:$Q115)&lt;=MAX('Per Line'!$W$2:$W$501),MATCH(ROWS($Q$2:$Q115),'Per Line'!$W$2:$W$501,0),"")</f>
        <v/>
      </c>
    </row>
    <row r="116">
      <c r="A116" s="12" t="n"/>
      <c r="B116">
        <f>IF($Q116="","",INDEX('Per Line'!$A$2:$A$501,$Q116)&amp;"")</f>
        <v/>
      </c>
      <c r="C116">
        <f>IF($Q116="","",INDEX('Per Line'!$D$2:$D$501,$Q116)&amp;"")</f>
        <v/>
      </c>
      <c r="D116">
        <f>IF($Q116="","",INDEX('Per Line'!$E$2:$E$501,$Q116)&amp;"")</f>
        <v/>
      </c>
      <c r="E116">
        <f>IF($Q116="","",INDEX('Per Line'!$F$2:$F$501,$Q116))</f>
        <v/>
      </c>
      <c r="F116" s="7">
        <f>IF($Q116="","",E116*N116/100)</f>
        <v/>
      </c>
      <c r="G116">
        <f>IF($Q116="","",Settings!$C$7)</f>
        <v/>
      </c>
      <c r="H116" s="7">
        <f>IF($Q116="","",SUMIFS('Per Line'!$L$2:$L$501,'Per Line'!$A$2:$A$501,$B116,'Per Line'!$X$2:$X$501,0))</f>
        <v/>
      </c>
      <c r="I116" s="7">
        <f>IF($Q116="","",H116*G116)</f>
        <v/>
      </c>
      <c r="J116">
        <f>IF($Q116="","",Settings!$C$6)</f>
        <v/>
      </c>
      <c r="K116" s="7">
        <f>IF($Q116="","",SUMIFS('Per Line'!$L$2:$L$501,'Per Line'!$A$2:$A$501,$B116,'Per Line'!$X$2:$X$501,1))</f>
        <v/>
      </c>
      <c r="L116" s="7">
        <f>IF($Q116="","",K116*J116)</f>
        <v/>
      </c>
      <c r="M116" s="7">
        <f>IF($Q116="","",L116+I116)</f>
        <v/>
      </c>
      <c r="N116" s="7">
        <f>IF($Q116="","",O116-M116)</f>
        <v/>
      </c>
      <c r="O116" s="7">
        <f>IF($Q116="","",H116+K116)</f>
        <v/>
      </c>
      <c r="P116" s="7">
        <f>IF($Q116="","",O116-M116-F116)</f>
        <v/>
      </c>
      <c r="Q116" s="13">
        <f>IF(ROWS($Q$2:$Q116)&lt;=MAX('Per Line'!$W$2:$W$501),MATCH(ROWS($Q$2:$Q116),'Per Line'!$W$2:$W$501,0),"")</f>
        <v/>
      </c>
    </row>
    <row r="117">
      <c r="A117" s="12" t="n"/>
      <c r="B117">
        <f>IF($Q117="","",INDEX('Per Line'!$A$2:$A$501,$Q117)&amp;"")</f>
        <v/>
      </c>
      <c r="C117">
        <f>IF($Q117="","",INDEX('Per Line'!$D$2:$D$501,$Q117)&amp;"")</f>
        <v/>
      </c>
      <c r="D117">
        <f>IF($Q117="","",INDEX('Per Line'!$E$2:$E$501,$Q117)&amp;"")</f>
        <v/>
      </c>
      <c r="E117">
        <f>IF($Q117="","",INDEX('Per Line'!$F$2:$F$501,$Q117))</f>
        <v/>
      </c>
      <c r="F117" s="7">
        <f>IF($Q117="","",E117*N117/100)</f>
        <v/>
      </c>
      <c r="G117">
        <f>IF($Q117="","",Settings!$C$7)</f>
        <v/>
      </c>
      <c r="H117" s="7">
        <f>IF($Q117="","",SUMIFS('Per Line'!$L$2:$L$501,'Per Line'!$A$2:$A$501,$B117,'Per Line'!$X$2:$X$501,0))</f>
        <v/>
      </c>
      <c r="I117" s="7">
        <f>IF($Q117="","",H117*G117)</f>
        <v/>
      </c>
      <c r="J117">
        <f>IF($Q117="","",Settings!$C$6)</f>
        <v/>
      </c>
      <c r="K117" s="7">
        <f>IF($Q117="","",SUMIFS('Per Line'!$L$2:$L$501,'Per Line'!$A$2:$A$501,$B117,'Per Line'!$X$2:$X$501,1))</f>
        <v/>
      </c>
      <c r="L117" s="7">
        <f>IF($Q117="","",K117*J117)</f>
        <v/>
      </c>
      <c r="M117" s="7">
        <f>IF($Q117="","",L117+I117)</f>
        <v/>
      </c>
      <c r="N117" s="7">
        <f>IF($Q117="","",O117-M117)</f>
        <v/>
      </c>
      <c r="O117" s="7">
        <f>IF($Q117="","",H117+K117)</f>
        <v/>
      </c>
      <c r="P117" s="7">
        <f>IF($Q117="","",O117-M117-F117)</f>
        <v/>
      </c>
      <c r="Q117" s="13">
        <f>IF(ROWS($Q$2:$Q117)&lt;=MAX('Per Line'!$W$2:$W$501),MATCH(ROWS($Q$2:$Q117),'Per Line'!$W$2:$W$501,0),"")</f>
        <v/>
      </c>
    </row>
    <row r="118">
      <c r="A118" s="12" t="n"/>
      <c r="B118">
        <f>IF($Q118="","",INDEX('Per Line'!$A$2:$A$501,$Q118)&amp;"")</f>
        <v/>
      </c>
      <c r="C118">
        <f>IF($Q118="","",INDEX('Per Line'!$D$2:$D$501,$Q118)&amp;"")</f>
        <v/>
      </c>
      <c r="D118">
        <f>IF($Q118="","",INDEX('Per Line'!$E$2:$E$501,$Q118)&amp;"")</f>
        <v/>
      </c>
      <c r="E118">
        <f>IF($Q118="","",INDEX('Per Line'!$F$2:$F$501,$Q118))</f>
        <v/>
      </c>
      <c r="F118" s="7">
        <f>IF($Q118="","",E118*N118/100)</f>
        <v/>
      </c>
      <c r="G118">
        <f>IF($Q118="","",Settings!$C$7)</f>
        <v/>
      </c>
      <c r="H118" s="7">
        <f>IF($Q118="","",SUMIFS('Per Line'!$L$2:$L$501,'Per Line'!$A$2:$A$501,$B118,'Per Line'!$X$2:$X$501,0))</f>
        <v/>
      </c>
      <c r="I118" s="7">
        <f>IF($Q118="","",H118*G118)</f>
        <v/>
      </c>
      <c r="J118">
        <f>IF($Q118="","",Settings!$C$6)</f>
        <v/>
      </c>
      <c r="K118" s="7">
        <f>IF($Q118="","",SUMIFS('Per Line'!$L$2:$L$501,'Per Line'!$A$2:$A$501,$B118,'Per Line'!$X$2:$X$501,1))</f>
        <v/>
      </c>
      <c r="L118" s="7">
        <f>IF($Q118="","",K118*J118)</f>
        <v/>
      </c>
      <c r="M118" s="7">
        <f>IF($Q118="","",L118+I118)</f>
        <v/>
      </c>
      <c r="N118" s="7">
        <f>IF($Q118="","",O118-M118)</f>
        <v/>
      </c>
      <c r="O118" s="7">
        <f>IF($Q118="","",H118+K118)</f>
        <v/>
      </c>
      <c r="P118" s="7">
        <f>IF($Q118="","",O118-M118-F118)</f>
        <v/>
      </c>
      <c r="Q118" s="13">
        <f>IF(ROWS($Q$2:$Q118)&lt;=MAX('Per Line'!$W$2:$W$501),MATCH(ROWS($Q$2:$Q118),'Per Line'!$W$2:$W$501,0),"")</f>
        <v/>
      </c>
    </row>
    <row r="119">
      <c r="A119" s="12" t="n"/>
      <c r="B119">
        <f>IF($Q119="","",INDEX('Per Line'!$A$2:$A$501,$Q119)&amp;"")</f>
        <v/>
      </c>
      <c r="C119">
        <f>IF($Q119="","",INDEX('Per Line'!$D$2:$D$501,$Q119)&amp;"")</f>
        <v/>
      </c>
      <c r="D119">
        <f>IF($Q119="","",INDEX('Per Line'!$E$2:$E$501,$Q119)&amp;"")</f>
        <v/>
      </c>
      <c r="E119">
        <f>IF($Q119="","",INDEX('Per Line'!$F$2:$F$501,$Q119))</f>
        <v/>
      </c>
      <c r="F119" s="7">
        <f>IF($Q119="","",E119*N119/100)</f>
        <v/>
      </c>
      <c r="G119">
        <f>IF($Q119="","",Settings!$C$7)</f>
        <v/>
      </c>
      <c r="H119" s="7">
        <f>IF($Q119="","",SUMIFS('Per Line'!$L$2:$L$501,'Per Line'!$A$2:$A$501,$B119,'Per Line'!$X$2:$X$501,0))</f>
        <v/>
      </c>
      <c r="I119" s="7">
        <f>IF($Q119="","",H119*G119)</f>
        <v/>
      </c>
      <c r="J119">
        <f>IF($Q119="","",Settings!$C$6)</f>
        <v/>
      </c>
      <c r="K119" s="7">
        <f>IF($Q119="","",SUMIFS('Per Line'!$L$2:$L$501,'Per Line'!$A$2:$A$501,$B119,'Per Line'!$X$2:$X$501,1))</f>
        <v/>
      </c>
      <c r="L119" s="7">
        <f>IF($Q119="","",K119*J119)</f>
        <v/>
      </c>
      <c r="M119" s="7">
        <f>IF($Q119="","",L119+I119)</f>
        <v/>
      </c>
      <c r="N119" s="7">
        <f>IF($Q119="","",O119-M119)</f>
        <v/>
      </c>
      <c r="O119" s="7">
        <f>IF($Q119="","",H119+K119)</f>
        <v/>
      </c>
      <c r="P119" s="7">
        <f>IF($Q119="","",O119-M119-F119)</f>
        <v/>
      </c>
      <c r="Q119" s="13">
        <f>IF(ROWS($Q$2:$Q119)&lt;=MAX('Per Line'!$W$2:$W$501),MATCH(ROWS($Q$2:$Q119),'Per Line'!$W$2:$W$501,0),"")</f>
        <v/>
      </c>
    </row>
    <row r="120">
      <c r="A120" s="12" t="n"/>
      <c r="B120">
        <f>IF($Q120="","",INDEX('Per Line'!$A$2:$A$501,$Q120)&amp;"")</f>
        <v/>
      </c>
      <c r="C120">
        <f>IF($Q120="","",INDEX('Per Line'!$D$2:$D$501,$Q120)&amp;"")</f>
        <v/>
      </c>
      <c r="D120">
        <f>IF($Q120="","",INDEX('Per Line'!$E$2:$E$501,$Q120)&amp;"")</f>
        <v/>
      </c>
      <c r="E120">
        <f>IF($Q120="","",INDEX('Per Line'!$F$2:$F$501,$Q120))</f>
        <v/>
      </c>
      <c r="F120" s="7">
        <f>IF($Q120="","",E120*N120/100)</f>
        <v/>
      </c>
      <c r="G120">
        <f>IF($Q120="","",Settings!$C$7)</f>
        <v/>
      </c>
      <c r="H120" s="7">
        <f>IF($Q120="","",SUMIFS('Per Line'!$L$2:$L$501,'Per Line'!$A$2:$A$501,$B120,'Per Line'!$X$2:$X$501,0))</f>
        <v/>
      </c>
      <c r="I120" s="7">
        <f>IF($Q120="","",H120*G120)</f>
        <v/>
      </c>
      <c r="J120">
        <f>IF($Q120="","",Settings!$C$6)</f>
        <v/>
      </c>
      <c r="K120" s="7">
        <f>IF($Q120="","",SUMIFS('Per Line'!$L$2:$L$501,'Per Line'!$A$2:$A$501,$B120,'Per Line'!$X$2:$X$501,1))</f>
        <v/>
      </c>
      <c r="L120" s="7">
        <f>IF($Q120="","",K120*J120)</f>
        <v/>
      </c>
      <c r="M120" s="7">
        <f>IF($Q120="","",L120+I120)</f>
        <v/>
      </c>
      <c r="N120" s="7">
        <f>IF($Q120="","",O120-M120)</f>
        <v/>
      </c>
      <c r="O120" s="7">
        <f>IF($Q120="","",H120+K120)</f>
        <v/>
      </c>
      <c r="P120" s="7">
        <f>IF($Q120="","",O120-M120-F120)</f>
        <v/>
      </c>
      <c r="Q120" s="13">
        <f>IF(ROWS($Q$2:$Q120)&lt;=MAX('Per Line'!$W$2:$W$501),MATCH(ROWS($Q$2:$Q120),'Per Line'!$W$2:$W$501,0),"")</f>
        <v/>
      </c>
    </row>
    <row r="121">
      <c r="A121" s="12" t="n"/>
      <c r="B121">
        <f>IF($Q121="","",INDEX('Per Line'!$A$2:$A$501,$Q121)&amp;"")</f>
        <v/>
      </c>
      <c r="C121">
        <f>IF($Q121="","",INDEX('Per Line'!$D$2:$D$501,$Q121)&amp;"")</f>
        <v/>
      </c>
      <c r="D121">
        <f>IF($Q121="","",INDEX('Per Line'!$E$2:$E$501,$Q121)&amp;"")</f>
        <v/>
      </c>
      <c r="E121">
        <f>IF($Q121="","",INDEX('Per Line'!$F$2:$F$501,$Q121))</f>
        <v/>
      </c>
      <c r="F121" s="7">
        <f>IF($Q121="","",E121*N121/100)</f>
        <v/>
      </c>
      <c r="G121">
        <f>IF($Q121="","",Settings!$C$7)</f>
        <v/>
      </c>
      <c r="H121" s="7">
        <f>IF($Q121="","",SUMIFS('Per Line'!$L$2:$L$501,'Per Line'!$A$2:$A$501,$B121,'Per Line'!$X$2:$X$501,0))</f>
        <v/>
      </c>
      <c r="I121" s="7">
        <f>IF($Q121="","",H121*G121)</f>
        <v/>
      </c>
      <c r="J121">
        <f>IF($Q121="","",Settings!$C$6)</f>
        <v/>
      </c>
      <c r="K121" s="7">
        <f>IF($Q121="","",SUMIFS('Per Line'!$L$2:$L$501,'Per Line'!$A$2:$A$501,$B121,'Per Line'!$X$2:$X$501,1))</f>
        <v/>
      </c>
      <c r="L121" s="7">
        <f>IF($Q121="","",K121*J121)</f>
        <v/>
      </c>
      <c r="M121" s="7">
        <f>IF($Q121="","",L121+I121)</f>
        <v/>
      </c>
      <c r="N121" s="7">
        <f>IF($Q121="","",O121-M121)</f>
        <v/>
      </c>
      <c r="O121" s="7">
        <f>IF($Q121="","",H121+K121)</f>
        <v/>
      </c>
      <c r="P121" s="7">
        <f>IF($Q121="","",O121-M121-F121)</f>
        <v/>
      </c>
      <c r="Q121" s="13">
        <f>IF(ROWS($Q$2:$Q121)&lt;=MAX('Per Line'!$W$2:$W$501),MATCH(ROWS($Q$2:$Q121),'Per Line'!$W$2:$W$501,0),"")</f>
        <v/>
      </c>
    </row>
    <row r="122">
      <c r="A122" s="12" t="n"/>
      <c r="B122">
        <f>IF($Q122="","",INDEX('Per Line'!$A$2:$A$501,$Q122)&amp;"")</f>
        <v/>
      </c>
      <c r="C122">
        <f>IF($Q122="","",INDEX('Per Line'!$D$2:$D$501,$Q122)&amp;"")</f>
        <v/>
      </c>
      <c r="D122">
        <f>IF($Q122="","",INDEX('Per Line'!$E$2:$E$501,$Q122)&amp;"")</f>
        <v/>
      </c>
      <c r="E122">
        <f>IF($Q122="","",INDEX('Per Line'!$F$2:$F$501,$Q122))</f>
        <v/>
      </c>
      <c r="F122" s="7">
        <f>IF($Q122="","",E122*N122/100)</f>
        <v/>
      </c>
      <c r="G122">
        <f>IF($Q122="","",Settings!$C$7)</f>
        <v/>
      </c>
      <c r="H122" s="7">
        <f>IF($Q122="","",SUMIFS('Per Line'!$L$2:$L$501,'Per Line'!$A$2:$A$501,$B122,'Per Line'!$X$2:$X$501,0))</f>
        <v/>
      </c>
      <c r="I122" s="7">
        <f>IF($Q122="","",H122*G122)</f>
        <v/>
      </c>
      <c r="J122">
        <f>IF($Q122="","",Settings!$C$6)</f>
        <v/>
      </c>
      <c r="K122" s="7">
        <f>IF($Q122="","",SUMIFS('Per Line'!$L$2:$L$501,'Per Line'!$A$2:$A$501,$B122,'Per Line'!$X$2:$X$501,1))</f>
        <v/>
      </c>
      <c r="L122" s="7">
        <f>IF($Q122="","",K122*J122)</f>
        <v/>
      </c>
      <c r="M122" s="7">
        <f>IF($Q122="","",L122+I122)</f>
        <v/>
      </c>
      <c r="N122" s="7">
        <f>IF($Q122="","",O122-M122)</f>
        <v/>
      </c>
      <c r="O122" s="7">
        <f>IF($Q122="","",H122+K122)</f>
        <v/>
      </c>
      <c r="P122" s="7">
        <f>IF($Q122="","",O122-M122-F122)</f>
        <v/>
      </c>
      <c r="Q122" s="13">
        <f>IF(ROWS($Q$2:$Q122)&lt;=MAX('Per Line'!$W$2:$W$501),MATCH(ROWS($Q$2:$Q122),'Per Line'!$W$2:$W$501,0),"")</f>
        <v/>
      </c>
    </row>
    <row r="123">
      <c r="A123" s="12" t="n"/>
      <c r="B123">
        <f>IF($Q123="","",INDEX('Per Line'!$A$2:$A$501,$Q123)&amp;"")</f>
        <v/>
      </c>
      <c r="C123">
        <f>IF($Q123="","",INDEX('Per Line'!$D$2:$D$501,$Q123)&amp;"")</f>
        <v/>
      </c>
      <c r="D123">
        <f>IF($Q123="","",INDEX('Per Line'!$E$2:$E$501,$Q123)&amp;"")</f>
        <v/>
      </c>
      <c r="E123">
        <f>IF($Q123="","",INDEX('Per Line'!$F$2:$F$501,$Q123))</f>
        <v/>
      </c>
      <c r="F123" s="7">
        <f>IF($Q123="","",E123*N123/100)</f>
        <v/>
      </c>
      <c r="G123">
        <f>IF($Q123="","",Settings!$C$7)</f>
        <v/>
      </c>
      <c r="H123" s="7">
        <f>IF($Q123="","",SUMIFS('Per Line'!$L$2:$L$501,'Per Line'!$A$2:$A$501,$B123,'Per Line'!$X$2:$X$501,0))</f>
        <v/>
      </c>
      <c r="I123" s="7">
        <f>IF($Q123="","",H123*G123)</f>
        <v/>
      </c>
      <c r="J123">
        <f>IF($Q123="","",Settings!$C$6)</f>
        <v/>
      </c>
      <c r="K123" s="7">
        <f>IF($Q123="","",SUMIFS('Per Line'!$L$2:$L$501,'Per Line'!$A$2:$A$501,$B123,'Per Line'!$X$2:$X$501,1))</f>
        <v/>
      </c>
      <c r="L123" s="7">
        <f>IF($Q123="","",K123*J123)</f>
        <v/>
      </c>
      <c r="M123" s="7">
        <f>IF($Q123="","",L123+I123)</f>
        <v/>
      </c>
      <c r="N123" s="7">
        <f>IF($Q123="","",O123-M123)</f>
        <v/>
      </c>
      <c r="O123" s="7">
        <f>IF($Q123="","",H123+K123)</f>
        <v/>
      </c>
      <c r="P123" s="7">
        <f>IF($Q123="","",O123-M123-F123)</f>
        <v/>
      </c>
      <c r="Q123" s="13">
        <f>IF(ROWS($Q$2:$Q123)&lt;=MAX('Per Line'!$W$2:$W$501),MATCH(ROWS($Q$2:$Q123),'Per Line'!$W$2:$W$501,0),"")</f>
        <v/>
      </c>
    </row>
    <row r="124">
      <c r="A124" s="12" t="n"/>
      <c r="B124">
        <f>IF($Q124="","",INDEX('Per Line'!$A$2:$A$501,$Q124)&amp;"")</f>
        <v/>
      </c>
      <c r="C124">
        <f>IF($Q124="","",INDEX('Per Line'!$D$2:$D$501,$Q124)&amp;"")</f>
        <v/>
      </c>
      <c r="D124">
        <f>IF($Q124="","",INDEX('Per Line'!$E$2:$E$501,$Q124)&amp;"")</f>
        <v/>
      </c>
      <c r="E124">
        <f>IF($Q124="","",INDEX('Per Line'!$F$2:$F$501,$Q124))</f>
        <v/>
      </c>
      <c r="F124" s="7">
        <f>IF($Q124="","",E124*N124/100)</f>
        <v/>
      </c>
      <c r="G124">
        <f>IF($Q124="","",Settings!$C$7)</f>
        <v/>
      </c>
      <c r="H124" s="7">
        <f>IF($Q124="","",SUMIFS('Per Line'!$L$2:$L$501,'Per Line'!$A$2:$A$501,$B124,'Per Line'!$X$2:$X$501,0))</f>
        <v/>
      </c>
      <c r="I124" s="7">
        <f>IF($Q124="","",H124*G124)</f>
        <v/>
      </c>
      <c r="J124">
        <f>IF($Q124="","",Settings!$C$6)</f>
        <v/>
      </c>
      <c r="K124" s="7">
        <f>IF($Q124="","",SUMIFS('Per Line'!$L$2:$L$501,'Per Line'!$A$2:$A$501,$B124,'Per Line'!$X$2:$X$501,1))</f>
        <v/>
      </c>
      <c r="L124" s="7">
        <f>IF($Q124="","",K124*J124)</f>
        <v/>
      </c>
      <c r="M124" s="7">
        <f>IF($Q124="","",L124+I124)</f>
        <v/>
      </c>
      <c r="N124" s="7">
        <f>IF($Q124="","",O124-M124)</f>
        <v/>
      </c>
      <c r="O124" s="7">
        <f>IF($Q124="","",H124+K124)</f>
        <v/>
      </c>
      <c r="P124" s="7">
        <f>IF($Q124="","",O124-M124-F124)</f>
        <v/>
      </c>
      <c r="Q124" s="13">
        <f>IF(ROWS($Q$2:$Q124)&lt;=MAX('Per Line'!$W$2:$W$501),MATCH(ROWS($Q$2:$Q124),'Per Line'!$W$2:$W$501,0),"")</f>
        <v/>
      </c>
    </row>
    <row r="125">
      <c r="A125" s="12" t="n"/>
      <c r="B125">
        <f>IF($Q125="","",INDEX('Per Line'!$A$2:$A$501,$Q125)&amp;"")</f>
        <v/>
      </c>
      <c r="C125">
        <f>IF($Q125="","",INDEX('Per Line'!$D$2:$D$501,$Q125)&amp;"")</f>
        <v/>
      </c>
      <c r="D125">
        <f>IF($Q125="","",INDEX('Per Line'!$E$2:$E$501,$Q125)&amp;"")</f>
        <v/>
      </c>
      <c r="E125">
        <f>IF($Q125="","",INDEX('Per Line'!$F$2:$F$501,$Q125))</f>
        <v/>
      </c>
      <c r="F125" s="7">
        <f>IF($Q125="","",E125*N125/100)</f>
        <v/>
      </c>
      <c r="G125">
        <f>IF($Q125="","",Settings!$C$7)</f>
        <v/>
      </c>
      <c r="H125" s="7">
        <f>IF($Q125="","",SUMIFS('Per Line'!$L$2:$L$501,'Per Line'!$A$2:$A$501,$B125,'Per Line'!$X$2:$X$501,0))</f>
        <v/>
      </c>
      <c r="I125" s="7">
        <f>IF($Q125="","",H125*G125)</f>
        <v/>
      </c>
      <c r="J125">
        <f>IF($Q125="","",Settings!$C$6)</f>
        <v/>
      </c>
      <c r="K125" s="7">
        <f>IF($Q125="","",SUMIFS('Per Line'!$L$2:$L$501,'Per Line'!$A$2:$A$501,$B125,'Per Line'!$X$2:$X$501,1))</f>
        <v/>
      </c>
      <c r="L125" s="7">
        <f>IF($Q125="","",K125*J125)</f>
        <v/>
      </c>
      <c r="M125" s="7">
        <f>IF($Q125="","",L125+I125)</f>
        <v/>
      </c>
      <c r="N125" s="7">
        <f>IF($Q125="","",O125-M125)</f>
        <v/>
      </c>
      <c r="O125" s="7">
        <f>IF($Q125="","",H125+K125)</f>
        <v/>
      </c>
      <c r="P125" s="7">
        <f>IF($Q125="","",O125-M125-F125)</f>
        <v/>
      </c>
      <c r="Q125" s="13">
        <f>IF(ROWS($Q$2:$Q125)&lt;=MAX('Per Line'!$W$2:$W$501),MATCH(ROWS($Q$2:$Q125),'Per Line'!$W$2:$W$501,0),"")</f>
        <v/>
      </c>
    </row>
    <row r="126">
      <c r="A126" s="12" t="n"/>
      <c r="B126">
        <f>IF($Q126="","",INDEX('Per Line'!$A$2:$A$501,$Q126)&amp;"")</f>
        <v/>
      </c>
      <c r="C126">
        <f>IF($Q126="","",INDEX('Per Line'!$D$2:$D$501,$Q126)&amp;"")</f>
        <v/>
      </c>
      <c r="D126">
        <f>IF($Q126="","",INDEX('Per Line'!$E$2:$E$501,$Q126)&amp;"")</f>
        <v/>
      </c>
      <c r="E126">
        <f>IF($Q126="","",INDEX('Per Line'!$F$2:$F$501,$Q126))</f>
        <v/>
      </c>
      <c r="F126" s="7">
        <f>IF($Q126="","",E126*N126/100)</f>
        <v/>
      </c>
      <c r="G126">
        <f>IF($Q126="","",Settings!$C$7)</f>
        <v/>
      </c>
      <c r="H126" s="7">
        <f>IF($Q126="","",SUMIFS('Per Line'!$L$2:$L$501,'Per Line'!$A$2:$A$501,$B126,'Per Line'!$X$2:$X$501,0))</f>
        <v/>
      </c>
      <c r="I126" s="7">
        <f>IF($Q126="","",H126*G126)</f>
        <v/>
      </c>
      <c r="J126">
        <f>IF($Q126="","",Settings!$C$6)</f>
        <v/>
      </c>
      <c r="K126" s="7">
        <f>IF($Q126="","",SUMIFS('Per Line'!$L$2:$L$501,'Per Line'!$A$2:$A$501,$B126,'Per Line'!$X$2:$X$501,1))</f>
        <v/>
      </c>
      <c r="L126" s="7">
        <f>IF($Q126="","",K126*J126)</f>
        <v/>
      </c>
      <c r="M126" s="7">
        <f>IF($Q126="","",L126+I126)</f>
        <v/>
      </c>
      <c r="N126" s="7">
        <f>IF($Q126="","",O126-M126)</f>
        <v/>
      </c>
      <c r="O126" s="7">
        <f>IF($Q126="","",H126+K126)</f>
        <v/>
      </c>
      <c r="P126" s="7">
        <f>IF($Q126="","",O126-M126-F126)</f>
        <v/>
      </c>
      <c r="Q126" s="13">
        <f>IF(ROWS($Q$2:$Q126)&lt;=MAX('Per Line'!$W$2:$W$501),MATCH(ROWS($Q$2:$Q126),'Per Line'!$W$2:$W$501,0),"")</f>
        <v/>
      </c>
    </row>
    <row r="127">
      <c r="A127" s="12" t="n"/>
      <c r="B127">
        <f>IF($Q127="","",INDEX('Per Line'!$A$2:$A$501,$Q127)&amp;"")</f>
        <v/>
      </c>
      <c r="C127">
        <f>IF($Q127="","",INDEX('Per Line'!$D$2:$D$501,$Q127)&amp;"")</f>
        <v/>
      </c>
      <c r="D127">
        <f>IF($Q127="","",INDEX('Per Line'!$E$2:$E$501,$Q127)&amp;"")</f>
        <v/>
      </c>
      <c r="E127">
        <f>IF($Q127="","",INDEX('Per Line'!$F$2:$F$501,$Q127))</f>
        <v/>
      </c>
      <c r="F127" s="7">
        <f>IF($Q127="","",E127*N127/100)</f>
        <v/>
      </c>
      <c r="G127">
        <f>IF($Q127="","",Settings!$C$7)</f>
        <v/>
      </c>
      <c r="H127" s="7">
        <f>IF($Q127="","",SUMIFS('Per Line'!$L$2:$L$501,'Per Line'!$A$2:$A$501,$B127,'Per Line'!$X$2:$X$501,0))</f>
        <v/>
      </c>
      <c r="I127" s="7">
        <f>IF($Q127="","",H127*G127)</f>
        <v/>
      </c>
      <c r="J127">
        <f>IF($Q127="","",Settings!$C$6)</f>
        <v/>
      </c>
      <c r="K127" s="7">
        <f>IF($Q127="","",SUMIFS('Per Line'!$L$2:$L$501,'Per Line'!$A$2:$A$501,$B127,'Per Line'!$X$2:$X$501,1))</f>
        <v/>
      </c>
      <c r="L127" s="7">
        <f>IF($Q127="","",K127*J127)</f>
        <v/>
      </c>
      <c r="M127" s="7">
        <f>IF($Q127="","",L127+I127)</f>
        <v/>
      </c>
      <c r="N127" s="7">
        <f>IF($Q127="","",O127-M127)</f>
        <v/>
      </c>
      <c r="O127" s="7">
        <f>IF($Q127="","",H127+K127)</f>
        <v/>
      </c>
      <c r="P127" s="7">
        <f>IF($Q127="","",O127-M127-F127)</f>
        <v/>
      </c>
      <c r="Q127" s="13">
        <f>IF(ROWS($Q$2:$Q127)&lt;=MAX('Per Line'!$W$2:$W$501),MATCH(ROWS($Q$2:$Q127),'Per Line'!$W$2:$W$501,0),"")</f>
        <v/>
      </c>
    </row>
    <row r="128">
      <c r="A128" s="12" t="n"/>
      <c r="B128">
        <f>IF($Q128="","",INDEX('Per Line'!$A$2:$A$501,$Q128)&amp;"")</f>
        <v/>
      </c>
      <c r="C128">
        <f>IF($Q128="","",INDEX('Per Line'!$D$2:$D$501,$Q128)&amp;"")</f>
        <v/>
      </c>
      <c r="D128">
        <f>IF($Q128="","",INDEX('Per Line'!$E$2:$E$501,$Q128)&amp;"")</f>
        <v/>
      </c>
      <c r="E128">
        <f>IF($Q128="","",INDEX('Per Line'!$F$2:$F$501,$Q128))</f>
        <v/>
      </c>
      <c r="F128" s="7">
        <f>IF($Q128="","",E128*N128/100)</f>
        <v/>
      </c>
      <c r="G128">
        <f>IF($Q128="","",Settings!$C$7)</f>
        <v/>
      </c>
      <c r="H128" s="7">
        <f>IF($Q128="","",SUMIFS('Per Line'!$L$2:$L$501,'Per Line'!$A$2:$A$501,$B128,'Per Line'!$X$2:$X$501,0))</f>
        <v/>
      </c>
      <c r="I128" s="7">
        <f>IF($Q128="","",H128*G128)</f>
        <v/>
      </c>
      <c r="J128">
        <f>IF($Q128="","",Settings!$C$6)</f>
        <v/>
      </c>
      <c r="K128" s="7">
        <f>IF($Q128="","",SUMIFS('Per Line'!$L$2:$L$501,'Per Line'!$A$2:$A$501,$B128,'Per Line'!$X$2:$X$501,1))</f>
        <v/>
      </c>
      <c r="L128" s="7">
        <f>IF($Q128="","",K128*J128)</f>
        <v/>
      </c>
      <c r="M128" s="7">
        <f>IF($Q128="","",L128+I128)</f>
        <v/>
      </c>
      <c r="N128" s="7">
        <f>IF($Q128="","",O128-M128)</f>
        <v/>
      </c>
      <c r="O128" s="7">
        <f>IF($Q128="","",H128+K128)</f>
        <v/>
      </c>
      <c r="P128" s="7">
        <f>IF($Q128="","",O128-M128-F128)</f>
        <v/>
      </c>
      <c r="Q128" s="13">
        <f>IF(ROWS($Q$2:$Q128)&lt;=MAX('Per Line'!$W$2:$W$501),MATCH(ROWS($Q$2:$Q128),'Per Line'!$W$2:$W$501,0),"")</f>
        <v/>
      </c>
    </row>
    <row r="129">
      <c r="A129" s="12" t="n"/>
      <c r="B129">
        <f>IF($Q129="","",INDEX('Per Line'!$A$2:$A$501,$Q129)&amp;"")</f>
        <v/>
      </c>
      <c r="C129">
        <f>IF($Q129="","",INDEX('Per Line'!$D$2:$D$501,$Q129)&amp;"")</f>
        <v/>
      </c>
      <c r="D129">
        <f>IF($Q129="","",INDEX('Per Line'!$E$2:$E$501,$Q129)&amp;"")</f>
        <v/>
      </c>
      <c r="E129">
        <f>IF($Q129="","",INDEX('Per Line'!$F$2:$F$501,$Q129))</f>
        <v/>
      </c>
      <c r="F129" s="7">
        <f>IF($Q129="","",E129*N129/100)</f>
        <v/>
      </c>
      <c r="G129">
        <f>IF($Q129="","",Settings!$C$7)</f>
        <v/>
      </c>
      <c r="H129" s="7">
        <f>IF($Q129="","",SUMIFS('Per Line'!$L$2:$L$501,'Per Line'!$A$2:$A$501,$B129,'Per Line'!$X$2:$X$501,0))</f>
        <v/>
      </c>
      <c r="I129" s="7">
        <f>IF($Q129="","",H129*G129)</f>
        <v/>
      </c>
      <c r="J129">
        <f>IF($Q129="","",Settings!$C$6)</f>
        <v/>
      </c>
      <c r="K129" s="7">
        <f>IF($Q129="","",SUMIFS('Per Line'!$L$2:$L$501,'Per Line'!$A$2:$A$501,$B129,'Per Line'!$X$2:$X$501,1))</f>
        <v/>
      </c>
      <c r="L129" s="7">
        <f>IF($Q129="","",K129*J129)</f>
        <v/>
      </c>
      <c r="M129" s="7">
        <f>IF($Q129="","",L129+I129)</f>
        <v/>
      </c>
      <c r="N129" s="7">
        <f>IF($Q129="","",O129-M129)</f>
        <v/>
      </c>
      <c r="O129" s="7">
        <f>IF($Q129="","",H129+K129)</f>
        <v/>
      </c>
      <c r="P129" s="7">
        <f>IF($Q129="","",O129-M129-F129)</f>
        <v/>
      </c>
      <c r="Q129" s="13">
        <f>IF(ROWS($Q$2:$Q129)&lt;=MAX('Per Line'!$W$2:$W$501),MATCH(ROWS($Q$2:$Q129),'Per Line'!$W$2:$W$501,0),"")</f>
        <v/>
      </c>
    </row>
    <row r="130">
      <c r="A130" s="12" t="n"/>
      <c r="B130">
        <f>IF($Q130="","",INDEX('Per Line'!$A$2:$A$501,$Q130)&amp;"")</f>
        <v/>
      </c>
      <c r="C130">
        <f>IF($Q130="","",INDEX('Per Line'!$D$2:$D$501,$Q130)&amp;"")</f>
        <v/>
      </c>
      <c r="D130">
        <f>IF($Q130="","",INDEX('Per Line'!$E$2:$E$501,$Q130)&amp;"")</f>
        <v/>
      </c>
      <c r="E130">
        <f>IF($Q130="","",INDEX('Per Line'!$F$2:$F$501,$Q130))</f>
        <v/>
      </c>
      <c r="F130" s="7">
        <f>IF($Q130="","",E130*N130/100)</f>
        <v/>
      </c>
      <c r="G130">
        <f>IF($Q130="","",Settings!$C$7)</f>
        <v/>
      </c>
      <c r="H130" s="7">
        <f>IF($Q130="","",SUMIFS('Per Line'!$L$2:$L$501,'Per Line'!$A$2:$A$501,$B130,'Per Line'!$X$2:$X$501,0))</f>
        <v/>
      </c>
      <c r="I130" s="7">
        <f>IF($Q130="","",H130*G130)</f>
        <v/>
      </c>
      <c r="J130">
        <f>IF($Q130="","",Settings!$C$6)</f>
        <v/>
      </c>
      <c r="K130" s="7">
        <f>IF($Q130="","",SUMIFS('Per Line'!$L$2:$L$501,'Per Line'!$A$2:$A$501,$B130,'Per Line'!$X$2:$X$501,1))</f>
        <v/>
      </c>
      <c r="L130" s="7">
        <f>IF($Q130="","",K130*J130)</f>
        <v/>
      </c>
      <c r="M130" s="7">
        <f>IF($Q130="","",L130+I130)</f>
        <v/>
      </c>
      <c r="N130" s="7">
        <f>IF($Q130="","",O130-M130)</f>
        <v/>
      </c>
      <c r="O130" s="7">
        <f>IF($Q130="","",H130+K130)</f>
        <v/>
      </c>
      <c r="P130" s="7">
        <f>IF($Q130="","",O130-M130-F130)</f>
        <v/>
      </c>
      <c r="Q130" s="13">
        <f>IF(ROWS($Q$2:$Q130)&lt;=MAX('Per Line'!$W$2:$W$501),MATCH(ROWS($Q$2:$Q130),'Per Line'!$W$2:$W$501,0),"")</f>
        <v/>
      </c>
    </row>
    <row r="131">
      <c r="A131" s="12" t="n"/>
      <c r="B131">
        <f>IF($Q131="","",INDEX('Per Line'!$A$2:$A$501,$Q131)&amp;"")</f>
        <v/>
      </c>
      <c r="C131">
        <f>IF($Q131="","",INDEX('Per Line'!$D$2:$D$501,$Q131)&amp;"")</f>
        <v/>
      </c>
      <c r="D131">
        <f>IF($Q131="","",INDEX('Per Line'!$E$2:$E$501,$Q131)&amp;"")</f>
        <v/>
      </c>
      <c r="E131">
        <f>IF($Q131="","",INDEX('Per Line'!$F$2:$F$501,$Q131))</f>
        <v/>
      </c>
      <c r="F131" s="7">
        <f>IF($Q131="","",E131*N131/100)</f>
        <v/>
      </c>
      <c r="G131">
        <f>IF($Q131="","",Settings!$C$7)</f>
        <v/>
      </c>
      <c r="H131" s="7">
        <f>IF($Q131="","",SUMIFS('Per Line'!$L$2:$L$501,'Per Line'!$A$2:$A$501,$B131,'Per Line'!$X$2:$X$501,0))</f>
        <v/>
      </c>
      <c r="I131" s="7">
        <f>IF($Q131="","",H131*G131)</f>
        <v/>
      </c>
      <c r="J131">
        <f>IF($Q131="","",Settings!$C$6)</f>
        <v/>
      </c>
      <c r="K131" s="7">
        <f>IF($Q131="","",SUMIFS('Per Line'!$L$2:$L$501,'Per Line'!$A$2:$A$501,$B131,'Per Line'!$X$2:$X$501,1))</f>
        <v/>
      </c>
      <c r="L131" s="7">
        <f>IF($Q131="","",K131*J131)</f>
        <v/>
      </c>
      <c r="M131" s="7">
        <f>IF($Q131="","",L131+I131)</f>
        <v/>
      </c>
      <c r="N131" s="7">
        <f>IF($Q131="","",O131-M131)</f>
        <v/>
      </c>
      <c r="O131" s="7">
        <f>IF($Q131="","",H131+K131)</f>
        <v/>
      </c>
      <c r="P131" s="7">
        <f>IF($Q131="","",O131-M131-F131)</f>
        <v/>
      </c>
      <c r="Q131" s="13">
        <f>IF(ROWS($Q$2:$Q131)&lt;=MAX('Per Line'!$W$2:$W$501),MATCH(ROWS($Q$2:$Q131),'Per Line'!$W$2:$W$501,0),"")</f>
        <v/>
      </c>
    </row>
    <row r="132">
      <c r="A132" s="12" t="n"/>
      <c r="B132">
        <f>IF($Q132="","",INDEX('Per Line'!$A$2:$A$501,$Q132)&amp;"")</f>
        <v/>
      </c>
      <c r="C132">
        <f>IF($Q132="","",INDEX('Per Line'!$D$2:$D$501,$Q132)&amp;"")</f>
        <v/>
      </c>
      <c r="D132">
        <f>IF($Q132="","",INDEX('Per Line'!$E$2:$E$501,$Q132)&amp;"")</f>
        <v/>
      </c>
      <c r="E132">
        <f>IF($Q132="","",INDEX('Per Line'!$F$2:$F$501,$Q132))</f>
        <v/>
      </c>
      <c r="F132" s="7">
        <f>IF($Q132="","",E132*N132/100)</f>
        <v/>
      </c>
      <c r="G132">
        <f>IF($Q132="","",Settings!$C$7)</f>
        <v/>
      </c>
      <c r="H132" s="7">
        <f>IF($Q132="","",SUMIFS('Per Line'!$L$2:$L$501,'Per Line'!$A$2:$A$501,$B132,'Per Line'!$X$2:$X$501,0))</f>
        <v/>
      </c>
      <c r="I132" s="7">
        <f>IF($Q132="","",H132*G132)</f>
        <v/>
      </c>
      <c r="J132">
        <f>IF($Q132="","",Settings!$C$6)</f>
        <v/>
      </c>
      <c r="K132" s="7">
        <f>IF($Q132="","",SUMIFS('Per Line'!$L$2:$L$501,'Per Line'!$A$2:$A$501,$B132,'Per Line'!$X$2:$X$501,1))</f>
        <v/>
      </c>
      <c r="L132" s="7">
        <f>IF($Q132="","",K132*J132)</f>
        <v/>
      </c>
      <c r="M132" s="7">
        <f>IF($Q132="","",L132+I132)</f>
        <v/>
      </c>
      <c r="N132" s="7">
        <f>IF($Q132="","",O132-M132)</f>
        <v/>
      </c>
      <c r="O132" s="7">
        <f>IF($Q132="","",H132+K132)</f>
        <v/>
      </c>
      <c r="P132" s="7">
        <f>IF($Q132="","",O132-M132-F132)</f>
        <v/>
      </c>
      <c r="Q132" s="13">
        <f>IF(ROWS($Q$2:$Q132)&lt;=MAX('Per Line'!$W$2:$W$501),MATCH(ROWS($Q$2:$Q132),'Per Line'!$W$2:$W$501,0),"")</f>
        <v/>
      </c>
    </row>
    <row r="133">
      <c r="A133" s="12" t="n"/>
      <c r="B133">
        <f>IF($Q133="","",INDEX('Per Line'!$A$2:$A$501,$Q133)&amp;"")</f>
        <v/>
      </c>
      <c r="C133">
        <f>IF($Q133="","",INDEX('Per Line'!$D$2:$D$501,$Q133)&amp;"")</f>
        <v/>
      </c>
      <c r="D133">
        <f>IF($Q133="","",INDEX('Per Line'!$E$2:$E$501,$Q133)&amp;"")</f>
        <v/>
      </c>
      <c r="E133">
        <f>IF($Q133="","",INDEX('Per Line'!$F$2:$F$501,$Q133))</f>
        <v/>
      </c>
      <c r="F133" s="7">
        <f>IF($Q133="","",E133*N133/100)</f>
        <v/>
      </c>
      <c r="G133">
        <f>IF($Q133="","",Settings!$C$7)</f>
        <v/>
      </c>
      <c r="H133" s="7">
        <f>IF($Q133="","",SUMIFS('Per Line'!$L$2:$L$501,'Per Line'!$A$2:$A$501,$B133,'Per Line'!$X$2:$X$501,0))</f>
        <v/>
      </c>
      <c r="I133" s="7">
        <f>IF($Q133="","",H133*G133)</f>
        <v/>
      </c>
      <c r="J133">
        <f>IF($Q133="","",Settings!$C$6)</f>
        <v/>
      </c>
      <c r="K133" s="7">
        <f>IF($Q133="","",SUMIFS('Per Line'!$L$2:$L$501,'Per Line'!$A$2:$A$501,$B133,'Per Line'!$X$2:$X$501,1))</f>
        <v/>
      </c>
      <c r="L133" s="7">
        <f>IF($Q133="","",K133*J133)</f>
        <v/>
      </c>
      <c r="M133" s="7">
        <f>IF($Q133="","",L133+I133)</f>
        <v/>
      </c>
      <c r="N133" s="7">
        <f>IF($Q133="","",O133-M133)</f>
        <v/>
      </c>
      <c r="O133" s="7">
        <f>IF($Q133="","",H133+K133)</f>
        <v/>
      </c>
      <c r="P133" s="7">
        <f>IF($Q133="","",O133-M133-F133)</f>
        <v/>
      </c>
      <c r="Q133" s="13">
        <f>IF(ROWS($Q$2:$Q133)&lt;=MAX('Per Line'!$W$2:$W$501),MATCH(ROWS($Q$2:$Q133),'Per Line'!$W$2:$W$501,0),"")</f>
        <v/>
      </c>
    </row>
    <row r="134">
      <c r="A134" s="12" t="n"/>
      <c r="B134">
        <f>IF($Q134="","",INDEX('Per Line'!$A$2:$A$501,$Q134)&amp;"")</f>
        <v/>
      </c>
      <c r="C134">
        <f>IF($Q134="","",INDEX('Per Line'!$D$2:$D$501,$Q134)&amp;"")</f>
        <v/>
      </c>
      <c r="D134">
        <f>IF($Q134="","",INDEX('Per Line'!$E$2:$E$501,$Q134)&amp;"")</f>
        <v/>
      </c>
      <c r="E134">
        <f>IF($Q134="","",INDEX('Per Line'!$F$2:$F$501,$Q134))</f>
        <v/>
      </c>
      <c r="F134" s="7">
        <f>IF($Q134="","",E134*N134/100)</f>
        <v/>
      </c>
      <c r="G134">
        <f>IF($Q134="","",Settings!$C$7)</f>
        <v/>
      </c>
      <c r="H134" s="7">
        <f>IF($Q134="","",SUMIFS('Per Line'!$L$2:$L$501,'Per Line'!$A$2:$A$501,$B134,'Per Line'!$X$2:$X$501,0))</f>
        <v/>
      </c>
      <c r="I134" s="7">
        <f>IF($Q134="","",H134*G134)</f>
        <v/>
      </c>
      <c r="J134">
        <f>IF($Q134="","",Settings!$C$6)</f>
        <v/>
      </c>
      <c r="K134" s="7">
        <f>IF($Q134="","",SUMIFS('Per Line'!$L$2:$L$501,'Per Line'!$A$2:$A$501,$B134,'Per Line'!$X$2:$X$501,1))</f>
        <v/>
      </c>
      <c r="L134" s="7">
        <f>IF($Q134="","",K134*J134)</f>
        <v/>
      </c>
      <c r="M134" s="7">
        <f>IF($Q134="","",L134+I134)</f>
        <v/>
      </c>
      <c r="N134" s="7">
        <f>IF($Q134="","",O134-M134)</f>
        <v/>
      </c>
      <c r="O134" s="7">
        <f>IF($Q134="","",H134+K134)</f>
        <v/>
      </c>
      <c r="P134" s="7">
        <f>IF($Q134="","",O134-M134-F134)</f>
        <v/>
      </c>
      <c r="Q134" s="13">
        <f>IF(ROWS($Q$2:$Q134)&lt;=MAX('Per Line'!$W$2:$W$501),MATCH(ROWS($Q$2:$Q134),'Per Line'!$W$2:$W$501,0),"")</f>
        <v/>
      </c>
    </row>
    <row r="135">
      <c r="A135" s="12" t="n"/>
      <c r="B135">
        <f>IF($Q135="","",INDEX('Per Line'!$A$2:$A$501,$Q135)&amp;"")</f>
        <v/>
      </c>
      <c r="C135">
        <f>IF($Q135="","",INDEX('Per Line'!$D$2:$D$501,$Q135)&amp;"")</f>
        <v/>
      </c>
      <c r="D135">
        <f>IF($Q135="","",INDEX('Per Line'!$E$2:$E$501,$Q135)&amp;"")</f>
        <v/>
      </c>
      <c r="E135">
        <f>IF($Q135="","",INDEX('Per Line'!$F$2:$F$501,$Q135))</f>
        <v/>
      </c>
      <c r="F135" s="7">
        <f>IF($Q135="","",E135*N135/100)</f>
        <v/>
      </c>
      <c r="G135">
        <f>IF($Q135="","",Settings!$C$7)</f>
        <v/>
      </c>
      <c r="H135" s="7">
        <f>IF($Q135="","",SUMIFS('Per Line'!$L$2:$L$501,'Per Line'!$A$2:$A$501,$B135,'Per Line'!$X$2:$X$501,0))</f>
        <v/>
      </c>
      <c r="I135" s="7">
        <f>IF($Q135="","",H135*G135)</f>
        <v/>
      </c>
      <c r="J135">
        <f>IF($Q135="","",Settings!$C$6)</f>
        <v/>
      </c>
      <c r="K135" s="7">
        <f>IF($Q135="","",SUMIFS('Per Line'!$L$2:$L$501,'Per Line'!$A$2:$A$501,$B135,'Per Line'!$X$2:$X$501,1))</f>
        <v/>
      </c>
      <c r="L135" s="7">
        <f>IF($Q135="","",K135*J135)</f>
        <v/>
      </c>
      <c r="M135" s="7">
        <f>IF($Q135="","",L135+I135)</f>
        <v/>
      </c>
      <c r="N135" s="7">
        <f>IF($Q135="","",O135-M135)</f>
        <v/>
      </c>
      <c r="O135" s="7">
        <f>IF($Q135="","",H135+K135)</f>
        <v/>
      </c>
      <c r="P135" s="7">
        <f>IF($Q135="","",O135-M135-F135)</f>
        <v/>
      </c>
      <c r="Q135" s="13">
        <f>IF(ROWS($Q$2:$Q135)&lt;=MAX('Per Line'!$W$2:$W$501),MATCH(ROWS($Q$2:$Q135),'Per Line'!$W$2:$W$501,0),"")</f>
        <v/>
      </c>
    </row>
    <row r="136">
      <c r="A136" s="12" t="n"/>
      <c r="B136">
        <f>IF($Q136="","",INDEX('Per Line'!$A$2:$A$501,$Q136)&amp;"")</f>
        <v/>
      </c>
      <c r="C136">
        <f>IF($Q136="","",INDEX('Per Line'!$D$2:$D$501,$Q136)&amp;"")</f>
        <v/>
      </c>
      <c r="D136">
        <f>IF($Q136="","",INDEX('Per Line'!$E$2:$E$501,$Q136)&amp;"")</f>
        <v/>
      </c>
      <c r="E136">
        <f>IF($Q136="","",INDEX('Per Line'!$F$2:$F$501,$Q136))</f>
        <v/>
      </c>
      <c r="F136" s="7">
        <f>IF($Q136="","",E136*N136/100)</f>
        <v/>
      </c>
      <c r="G136">
        <f>IF($Q136="","",Settings!$C$7)</f>
        <v/>
      </c>
      <c r="H136" s="7">
        <f>IF($Q136="","",SUMIFS('Per Line'!$L$2:$L$501,'Per Line'!$A$2:$A$501,$B136,'Per Line'!$X$2:$X$501,0))</f>
        <v/>
      </c>
      <c r="I136" s="7">
        <f>IF($Q136="","",H136*G136)</f>
        <v/>
      </c>
      <c r="J136">
        <f>IF($Q136="","",Settings!$C$6)</f>
        <v/>
      </c>
      <c r="K136" s="7">
        <f>IF($Q136="","",SUMIFS('Per Line'!$L$2:$L$501,'Per Line'!$A$2:$A$501,$B136,'Per Line'!$X$2:$X$501,1))</f>
        <v/>
      </c>
      <c r="L136" s="7">
        <f>IF($Q136="","",K136*J136)</f>
        <v/>
      </c>
      <c r="M136" s="7">
        <f>IF($Q136="","",L136+I136)</f>
        <v/>
      </c>
      <c r="N136" s="7">
        <f>IF($Q136="","",O136-M136)</f>
        <v/>
      </c>
      <c r="O136" s="7">
        <f>IF($Q136="","",H136+K136)</f>
        <v/>
      </c>
      <c r="P136" s="7">
        <f>IF($Q136="","",O136-M136-F136)</f>
        <v/>
      </c>
      <c r="Q136" s="13">
        <f>IF(ROWS($Q$2:$Q136)&lt;=MAX('Per Line'!$W$2:$W$501),MATCH(ROWS($Q$2:$Q136),'Per Line'!$W$2:$W$501,0),"")</f>
        <v/>
      </c>
    </row>
    <row r="137">
      <c r="A137" s="12" t="n"/>
      <c r="B137">
        <f>IF($Q137="","",INDEX('Per Line'!$A$2:$A$501,$Q137)&amp;"")</f>
        <v/>
      </c>
      <c r="C137">
        <f>IF($Q137="","",INDEX('Per Line'!$D$2:$D$501,$Q137)&amp;"")</f>
        <v/>
      </c>
      <c r="D137">
        <f>IF($Q137="","",INDEX('Per Line'!$E$2:$E$501,$Q137)&amp;"")</f>
        <v/>
      </c>
      <c r="E137">
        <f>IF($Q137="","",INDEX('Per Line'!$F$2:$F$501,$Q137))</f>
        <v/>
      </c>
      <c r="F137" s="7">
        <f>IF($Q137="","",E137*N137/100)</f>
        <v/>
      </c>
      <c r="G137">
        <f>IF($Q137="","",Settings!$C$7)</f>
        <v/>
      </c>
      <c r="H137" s="7">
        <f>IF($Q137="","",SUMIFS('Per Line'!$L$2:$L$501,'Per Line'!$A$2:$A$501,$B137,'Per Line'!$X$2:$X$501,0))</f>
        <v/>
      </c>
      <c r="I137" s="7">
        <f>IF($Q137="","",H137*G137)</f>
        <v/>
      </c>
      <c r="J137">
        <f>IF($Q137="","",Settings!$C$6)</f>
        <v/>
      </c>
      <c r="K137" s="7">
        <f>IF($Q137="","",SUMIFS('Per Line'!$L$2:$L$501,'Per Line'!$A$2:$A$501,$B137,'Per Line'!$X$2:$X$501,1))</f>
        <v/>
      </c>
      <c r="L137" s="7">
        <f>IF($Q137="","",K137*J137)</f>
        <v/>
      </c>
      <c r="M137" s="7">
        <f>IF($Q137="","",L137+I137)</f>
        <v/>
      </c>
      <c r="N137" s="7">
        <f>IF($Q137="","",O137-M137)</f>
        <v/>
      </c>
      <c r="O137" s="7">
        <f>IF($Q137="","",H137+K137)</f>
        <v/>
      </c>
      <c r="P137" s="7">
        <f>IF($Q137="","",O137-M137-F137)</f>
        <v/>
      </c>
      <c r="Q137" s="13">
        <f>IF(ROWS($Q$2:$Q137)&lt;=MAX('Per Line'!$W$2:$W$501),MATCH(ROWS($Q$2:$Q137),'Per Line'!$W$2:$W$501,0),"")</f>
        <v/>
      </c>
    </row>
    <row r="138">
      <c r="A138" s="12" t="n"/>
      <c r="B138">
        <f>IF($Q138="","",INDEX('Per Line'!$A$2:$A$501,$Q138)&amp;"")</f>
        <v/>
      </c>
      <c r="C138">
        <f>IF($Q138="","",INDEX('Per Line'!$D$2:$D$501,$Q138)&amp;"")</f>
        <v/>
      </c>
      <c r="D138">
        <f>IF($Q138="","",INDEX('Per Line'!$E$2:$E$501,$Q138)&amp;"")</f>
        <v/>
      </c>
      <c r="E138">
        <f>IF($Q138="","",INDEX('Per Line'!$F$2:$F$501,$Q138))</f>
        <v/>
      </c>
      <c r="F138" s="7">
        <f>IF($Q138="","",E138*N138/100)</f>
        <v/>
      </c>
      <c r="G138">
        <f>IF($Q138="","",Settings!$C$7)</f>
        <v/>
      </c>
      <c r="H138" s="7">
        <f>IF($Q138="","",SUMIFS('Per Line'!$L$2:$L$501,'Per Line'!$A$2:$A$501,$B138,'Per Line'!$X$2:$X$501,0))</f>
        <v/>
      </c>
      <c r="I138" s="7">
        <f>IF($Q138="","",H138*G138)</f>
        <v/>
      </c>
      <c r="J138">
        <f>IF($Q138="","",Settings!$C$6)</f>
        <v/>
      </c>
      <c r="K138" s="7">
        <f>IF($Q138="","",SUMIFS('Per Line'!$L$2:$L$501,'Per Line'!$A$2:$A$501,$B138,'Per Line'!$X$2:$X$501,1))</f>
        <v/>
      </c>
      <c r="L138" s="7">
        <f>IF($Q138="","",K138*J138)</f>
        <v/>
      </c>
      <c r="M138" s="7">
        <f>IF($Q138="","",L138+I138)</f>
        <v/>
      </c>
      <c r="N138" s="7">
        <f>IF($Q138="","",O138-M138)</f>
        <v/>
      </c>
      <c r="O138" s="7">
        <f>IF($Q138="","",H138+K138)</f>
        <v/>
      </c>
      <c r="P138" s="7">
        <f>IF($Q138="","",O138-M138-F138)</f>
        <v/>
      </c>
      <c r="Q138" s="13">
        <f>IF(ROWS($Q$2:$Q138)&lt;=MAX('Per Line'!$W$2:$W$501),MATCH(ROWS($Q$2:$Q138),'Per Line'!$W$2:$W$501,0),"")</f>
        <v/>
      </c>
    </row>
    <row r="139">
      <c r="A139" s="12" t="n"/>
      <c r="B139">
        <f>IF($Q139="","",INDEX('Per Line'!$A$2:$A$501,$Q139)&amp;"")</f>
        <v/>
      </c>
      <c r="C139">
        <f>IF($Q139="","",INDEX('Per Line'!$D$2:$D$501,$Q139)&amp;"")</f>
        <v/>
      </c>
      <c r="D139">
        <f>IF($Q139="","",INDEX('Per Line'!$E$2:$E$501,$Q139)&amp;"")</f>
        <v/>
      </c>
      <c r="E139">
        <f>IF($Q139="","",INDEX('Per Line'!$F$2:$F$501,$Q139))</f>
        <v/>
      </c>
      <c r="F139" s="7">
        <f>IF($Q139="","",E139*N139/100)</f>
        <v/>
      </c>
      <c r="G139">
        <f>IF($Q139="","",Settings!$C$7)</f>
        <v/>
      </c>
      <c r="H139" s="7">
        <f>IF($Q139="","",SUMIFS('Per Line'!$L$2:$L$501,'Per Line'!$A$2:$A$501,$B139,'Per Line'!$X$2:$X$501,0))</f>
        <v/>
      </c>
      <c r="I139" s="7">
        <f>IF($Q139="","",H139*G139)</f>
        <v/>
      </c>
      <c r="J139">
        <f>IF($Q139="","",Settings!$C$6)</f>
        <v/>
      </c>
      <c r="K139" s="7">
        <f>IF($Q139="","",SUMIFS('Per Line'!$L$2:$L$501,'Per Line'!$A$2:$A$501,$B139,'Per Line'!$X$2:$X$501,1))</f>
        <v/>
      </c>
      <c r="L139" s="7">
        <f>IF($Q139="","",K139*J139)</f>
        <v/>
      </c>
      <c r="M139" s="7">
        <f>IF($Q139="","",L139+I139)</f>
        <v/>
      </c>
      <c r="N139" s="7">
        <f>IF($Q139="","",O139-M139)</f>
        <v/>
      </c>
      <c r="O139" s="7">
        <f>IF($Q139="","",H139+K139)</f>
        <v/>
      </c>
      <c r="P139" s="7">
        <f>IF($Q139="","",O139-M139-F139)</f>
        <v/>
      </c>
      <c r="Q139" s="13">
        <f>IF(ROWS($Q$2:$Q139)&lt;=MAX('Per Line'!$W$2:$W$501),MATCH(ROWS($Q$2:$Q139),'Per Line'!$W$2:$W$501,0),"")</f>
        <v/>
      </c>
    </row>
    <row r="140">
      <c r="A140" s="12" t="n"/>
      <c r="B140">
        <f>IF($Q140="","",INDEX('Per Line'!$A$2:$A$501,$Q140)&amp;"")</f>
        <v/>
      </c>
      <c r="C140">
        <f>IF($Q140="","",INDEX('Per Line'!$D$2:$D$501,$Q140)&amp;"")</f>
        <v/>
      </c>
      <c r="D140">
        <f>IF($Q140="","",INDEX('Per Line'!$E$2:$E$501,$Q140)&amp;"")</f>
        <v/>
      </c>
      <c r="E140">
        <f>IF($Q140="","",INDEX('Per Line'!$F$2:$F$501,$Q140))</f>
        <v/>
      </c>
      <c r="F140" s="7">
        <f>IF($Q140="","",E140*N140/100)</f>
        <v/>
      </c>
      <c r="G140">
        <f>IF($Q140="","",Settings!$C$7)</f>
        <v/>
      </c>
      <c r="H140" s="7">
        <f>IF($Q140="","",SUMIFS('Per Line'!$L$2:$L$501,'Per Line'!$A$2:$A$501,$B140,'Per Line'!$X$2:$X$501,0))</f>
        <v/>
      </c>
      <c r="I140" s="7">
        <f>IF($Q140="","",H140*G140)</f>
        <v/>
      </c>
      <c r="J140">
        <f>IF($Q140="","",Settings!$C$6)</f>
        <v/>
      </c>
      <c r="K140" s="7">
        <f>IF($Q140="","",SUMIFS('Per Line'!$L$2:$L$501,'Per Line'!$A$2:$A$501,$B140,'Per Line'!$X$2:$X$501,1))</f>
        <v/>
      </c>
      <c r="L140" s="7">
        <f>IF($Q140="","",K140*J140)</f>
        <v/>
      </c>
      <c r="M140" s="7">
        <f>IF($Q140="","",L140+I140)</f>
        <v/>
      </c>
      <c r="N140" s="7">
        <f>IF($Q140="","",O140-M140)</f>
        <v/>
      </c>
      <c r="O140" s="7">
        <f>IF($Q140="","",H140+K140)</f>
        <v/>
      </c>
      <c r="P140" s="7">
        <f>IF($Q140="","",O140-M140-F140)</f>
        <v/>
      </c>
      <c r="Q140" s="13">
        <f>IF(ROWS($Q$2:$Q140)&lt;=MAX('Per Line'!$W$2:$W$501),MATCH(ROWS($Q$2:$Q140),'Per Line'!$W$2:$W$501,0),"")</f>
        <v/>
      </c>
    </row>
    <row r="141">
      <c r="A141" s="12" t="n"/>
      <c r="B141">
        <f>IF($Q141="","",INDEX('Per Line'!$A$2:$A$501,$Q141)&amp;"")</f>
        <v/>
      </c>
      <c r="C141">
        <f>IF($Q141="","",INDEX('Per Line'!$D$2:$D$501,$Q141)&amp;"")</f>
        <v/>
      </c>
      <c r="D141">
        <f>IF($Q141="","",INDEX('Per Line'!$E$2:$E$501,$Q141)&amp;"")</f>
        <v/>
      </c>
      <c r="E141">
        <f>IF($Q141="","",INDEX('Per Line'!$F$2:$F$501,$Q141))</f>
        <v/>
      </c>
      <c r="F141" s="7">
        <f>IF($Q141="","",E141*N141/100)</f>
        <v/>
      </c>
      <c r="G141">
        <f>IF($Q141="","",Settings!$C$7)</f>
        <v/>
      </c>
      <c r="H141" s="7">
        <f>IF($Q141="","",SUMIFS('Per Line'!$L$2:$L$501,'Per Line'!$A$2:$A$501,$B141,'Per Line'!$X$2:$X$501,0))</f>
        <v/>
      </c>
      <c r="I141" s="7">
        <f>IF($Q141="","",H141*G141)</f>
        <v/>
      </c>
      <c r="J141">
        <f>IF($Q141="","",Settings!$C$6)</f>
        <v/>
      </c>
      <c r="K141" s="7">
        <f>IF($Q141="","",SUMIFS('Per Line'!$L$2:$L$501,'Per Line'!$A$2:$A$501,$B141,'Per Line'!$X$2:$X$501,1))</f>
        <v/>
      </c>
      <c r="L141" s="7">
        <f>IF($Q141="","",K141*J141)</f>
        <v/>
      </c>
      <c r="M141" s="7">
        <f>IF($Q141="","",L141+I141)</f>
        <v/>
      </c>
      <c r="N141" s="7">
        <f>IF($Q141="","",O141-M141)</f>
        <v/>
      </c>
      <c r="O141" s="7">
        <f>IF($Q141="","",H141+K141)</f>
        <v/>
      </c>
      <c r="P141" s="7">
        <f>IF($Q141="","",O141-M141-F141)</f>
        <v/>
      </c>
      <c r="Q141" s="13">
        <f>IF(ROWS($Q$2:$Q141)&lt;=MAX('Per Line'!$W$2:$W$501),MATCH(ROWS($Q$2:$Q141),'Per Line'!$W$2:$W$501,0),"")</f>
        <v/>
      </c>
    </row>
    <row r="142">
      <c r="A142" s="12" t="n"/>
      <c r="B142">
        <f>IF($Q142="","",INDEX('Per Line'!$A$2:$A$501,$Q142)&amp;"")</f>
        <v/>
      </c>
      <c r="C142">
        <f>IF($Q142="","",INDEX('Per Line'!$D$2:$D$501,$Q142)&amp;"")</f>
        <v/>
      </c>
      <c r="D142">
        <f>IF($Q142="","",INDEX('Per Line'!$E$2:$E$501,$Q142)&amp;"")</f>
        <v/>
      </c>
      <c r="E142">
        <f>IF($Q142="","",INDEX('Per Line'!$F$2:$F$501,$Q142))</f>
        <v/>
      </c>
      <c r="F142" s="7">
        <f>IF($Q142="","",E142*N142/100)</f>
        <v/>
      </c>
      <c r="G142">
        <f>IF($Q142="","",Settings!$C$7)</f>
        <v/>
      </c>
      <c r="H142" s="7">
        <f>IF($Q142="","",SUMIFS('Per Line'!$L$2:$L$501,'Per Line'!$A$2:$A$501,$B142,'Per Line'!$X$2:$X$501,0))</f>
        <v/>
      </c>
      <c r="I142" s="7">
        <f>IF($Q142="","",H142*G142)</f>
        <v/>
      </c>
      <c r="J142">
        <f>IF($Q142="","",Settings!$C$6)</f>
        <v/>
      </c>
      <c r="K142" s="7">
        <f>IF($Q142="","",SUMIFS('Per Line'!$L$2:$L$501,'Per Line'!$A$2:$A$501,$B142,'Per Line'!$X$2:$X$501,1))</f>
        <v/>
      </c>
      <c r="L142" s="7">
        <f>IF($Q142="","",K142*J142)</f>
        <v/>
      </c>
      <c r="M142" s="7">
        <f>IF($Q142="","",L142+I142)</f>
        <v/>
      </c>
      <c r="N142" s="7">
        <f>IF($Q142="","",O142-M142)</f>
        <v/>
      </c>
      <c r="O142" s="7">
        <f>IF($Q142="","",H142+K142)</f>
        <v/>
      </c>
      <c r="P142" s="7">
        <f>IF($Q142="","",O142-M142-F142)</f>
        <v/>
      </c>
      <c r="Q142" s="13">
        <f>IF(ROWS($Q$2:$Q142)&lt;=MAX('Per Line'!$W$2:$W$501),MATCH(ROWS($Q$2:$Q142),'Per Line'!$W$2:$W$501,0),"")</f>
        <v/>
      </c>
    </row>
    <row r="143">
      <c r="A143" s="12" t="n"/>
      <c r="B143">
        <f>IF($Q143="","",INDEX('Per Line'!$A$2:$A$501,$Q143)&amp;"")</f>
        <v/>
      </c>
      <c r="C143">
        <f>IF($Q143="","",INDEX('Per Line'!$D$2:$D$501,$Q143)&amp;"")</f>
        <v/>
      </c>
      <c r="D143">
        <f>IF($Q143="","",INDEX('Per Line'!$E$2:$E$501,$Q143)&amp;"")</f>
        <v/>
      </c>
      <c r="E143">
        <f>IF($Q143="","",INDEX('Per Line'!$F$2:$F$501,$Q143))</f>
        <v/>
      </c>
      <c r="F143" s="7">
        <f>IF($Q143="","",E143*N143/100)</f>
        <v/>
      </c>
      <c r="G143">
        <f>IF($Q143="","",Settings!$C$7)</f>
        <v/>
      </c>
      <c r="H143" s="7">
        <f>IF($Q143="","",SUMIFS('Per Line'!$L$2:$L$501,'Per Line'!$A$2:$A$501,$B143,'Per Line'!$X$2:$X$501,0))</f>
        <v/>
      </c>
      <c r="I143" s="7">
        <f>IF($Q143="","",H143*G143)</f>
        <v/>
      </c>
      <c r="J143">
        <f>IF($Q143="","",Settings!$C$6)</f>
        <v/>
      </c>
      <c r="K143" s="7">
        <f>IF($Q143="","",SUMIFS('Per Line'!$L$2:$L$501,'Per Line'!$A$2:$A$501,$B143,'Per Line'!$X$2:$X$501,1))</f>
        <v/>
      </c>
      <c r="L143" s="7">
        <f>IF($Q143="","",K143*J143)</f>
        <v/>
      </c>
      <c r="M143" s="7">
        <f>IF($Q143="","",L143+I143)</f>
        <v/>
      </c>
      <c r="N143" s="7">
        <f>IF($Q143="","",O143-M143)</f>
        <v/>
      </c>
      <c r="O143" s="7">
        <f>IF($Q143="","",H143+K143)</f>
        <v/>
      </c>
      <c r="P143" s="7">
        <f>IF($Q143="","",O143-M143-F143)</f>
        <v/>
      </c>
      <c r="Q143" s="13">
        <f>IF(ROWS($Q$2:$Q143)&lt;=MAX('Per Line'!$W$2:$W$501),MATCH(ROWS($Q$2:$Q143),'Per Line'!$W$2:$W$501,0),"")</f>
        <v/>
      </c>
    </row>
    <row r="144">
      <c r="A144" s="12" t="n"/>
      <c r="B144">
        <f>IF($Q144="","",INDEX('Per Line'!$A$2:$A$501,$Q144)&amp;"")</f>
        <v/>
      </c>
      <c r="C144">
        <f>IF($Q144="","",INDEX('Per Line'!$D$2:$D$501,$Q144)&amp;"")</f>
        <v/>
      </c>
      <c r="D144">
        <f>IF($Q144="","",INDEX('Per Line'!$E$2:$E$501,$Q144)&amp;"")</f>
        <v/>
      </c>
      <c r="E144">
        <f>IF($Q144="","",INDEX('Per Line'!$F$2:$F$501,$Q144))</f>
        <v/>
      </c>
      <c r="F144" s="7">
        <f>IF($Q144="","",E144*N144/100)</f>
        <v/>
      </c>
      <c r="G144">
        <f>IF($Q144="","",Settings!$C$7)</f>
        <v/>
      </c>
      <c r="H144" s="7">
        <f>IF($Q144="","",SUMIFS('Per Line'!$L$2:$L$501,'Per Line'!$A$2:$A$501,$B144,'Per Line'!$X$2:$X$501,0))</f>
        <v/>
      </c>
      <c r="I144" s="7">
        <f>IF($Q144="","",H144*G144)</f>
        <v/>
      </c>
      <c r="J144">
        <f>IF($Q144="","",Settings!$C$6)</f>
        <v/>
      </c>
      <c r="K144" s="7">
        <f>IF($Q144="","",SUMIFS('Per Line'!$L$2:$L$501,'Per Line'!$A$2:$A$501,$B144,'Per Line'!$X$2:$X$501,1))</f>
        <v/>
      </c>
      <c r="L144" s="7">
        <f>IF($Q144="","",K144*J144)</f>
        <v/>
      </c>
      <c r="M144" s="7">
        <f>IF($Q144="","",L144+I144)</f>
        <v/>
      </c>
      <c r="N144" s="7">
        <f>IF($Q144="","",O144-M144)</f>
        <v/>
      </c>
      <c r="O144" s="7">
        <f>IF($Q144="","",H144+K144)</f>
        <v/>
      </c>
      <c r="P144" s="7">
        <f>IF($Q144="","",O144-M144-F144)</f>
        <v/>
      </c>
      <c r="Q144" s="13">
        <f>IF(ROWS($Q$2:$Q144)&lt;=MAX('Per Line'!$W$2:$W$501),MATCH(ROWS($Q$2:$Q144),'Per Line'!$W$2:$W$501,0),"")</f>
        <v/>
      </c>
    </row>
    <row r="145">
      <c r="A145" s="12" t="n"/>
      <c r="B145">
        <f>IF($Q145="","",INDEX('Per Line'!$A$2:$A$501,$Q145)&amp;"")</f>
        <v/>
      </c>
      <c r="C145">
        <f>IF($Q145="","",INDEX('Per Line'!$D$2:$D$501,$Q145)&amp;"")</f>
        <v/>
      </c>
      <c r="D145">
        <f>IF($Q145="","",INDEX('Per Line'!$E$2:$E$501,$Q145)&amp;"")</f>
        <v/>
      </c>
      <c r="E145">
        <f>IF($Q145="","",INDEX('Per Line'!$F$2:$F$501,$Q145))</f>
        <v/>
      </c>
      <c r="F145" s="7">
        <f>IF($Q145="","",E145*N145/100)</f>
        <v/>
      </c>
      <c r="G145">
        <f>IF($Q145="","",Settings!$C$7)</f>
        <v/>
      </c>
      <c r="H145" s="7">
        <f>IF($Q145="","",SUMIFS('Per Line'!$L$2:$L$501,'Per Line'!$A$2:$A$501,$B145,'Per Line'!$X$2:$X$501,0))</f>
        <v/>
      </c>
      <c r="I145" s="7">
        <f>IF($Q145="","",H145*G145)</f>
        <v/>
      </c>
      <c r="J145">
        <f>IF($Q145="","",Settings!$C$6)</f>
        <v/>
      </c>
      <c r="K145" s="7">
        <f>IF($Q145="","",SUMIFS('Per Line'!$L$2:$L$501,'Per Line'!$A$2:$A$501,$B145,'Per Line'!$X$2:$X$501,1))</f>
        <v/>
      </c>
      <c r="L145" s="7">
        <f>IF($Q145="","",K145*J145)</f>
        <v/>
      </c>
      <c r="M145" s="7">
        <f>IF($Q145="","",L145+I145)</f>
        <v/>
      </c>
      <c r="N145" s="7">
        <f>IF($Q145="","",O145-M145)</f>
        <v/>
      </c>
      <c r="O145" s="7">
        <f>IF($Q145="","",H145+K145)</f>
        <v/>
      </c>
      <c r="P145" s="7">
        <f>IF($Q145="","",O145-M145-F145)</f>
        <v/>
      </c>
      <c r="Q145" s="13">
        <f>IF(ROWS($Q$2:$Q145)&lt;=MAX('Per Line'!$W$2:$W$501),MATCH(ROWS($Q$2:$Q145),'Per Line'!$W$2:$W$501,0),"")</f>
        <v/>
      </c>
    </row>
    <row r="146">
      <c r="A146" s="12" t="n"/>
      <c r="B146">
        <f>IF($Q146="","",INDEX('Per Line'!$A$2:$A$501,$Q146)&amp;"")</f>
        <v/>
      </c>
      <c r="C146">
        <f>IF($Q146="","",INDEX('Per Line'!$D$2:$D$501,$Q146)&amp;"")</f>
        <v/>
      </c>
      <c r="D146">
        <f>IF($Q146="","",INDEX('Per Line'!$E$2:$E$501,$Q146)&amp;"")</f>
        <v/>
      </c>
      <c r="E146">
        <f>IF($Q146="","",INDEX('Per Line'!$F$2:$F$501,$Q146))</f>
        <v/>
      </c>
      <c r="F146" s="7">
        <f>IF($Q146="","",E146*N146/100)</f>
        <v/>
      </c>
      <c r="G146">
        <f>IF($Q146="","",Settings!$C$7)</f>
        <v/>
      </c>
      <c r="H146" s="7">
        <f>IF($Q146="","",SUMIFS('Per Line'!$L$2:$L$501,'Per Line'!$A$2:$A$501,$B146,'Per Line'!$X$2:$X$501,0))</f>
        <v/>
      </c>
      <c r="I146" s="7">
        <f>IF($Q146="","",H146*G146)</f>
        <v/>
      </c>
      <c r="J146">
        <f>IF($Q146="","",Settings!$C$6)</f>
        <v/>
      </c>
      <c r="K146" s="7">
        <f>IF($Q146="","",SUMIFS('Per Line'!$L$2:$L$501,'Per Line'!$A$2:$A$501,$B146,'Per Line'!$X$2:$X$501,1))</f>
        <v/>
      </c>
      <c r="L146" s="7">
        <f>IF($Q146="","",K146*J146)</f>
        <v/>
      </c>
      <c r="M146" s="7">
        <f>IF($Q146="","",L146+I146)</f>
        <v/>
      </c>
      <c r="N146" s="7">
        <f>IF($Q146="","",O146-M146)</f>
        <v/>
      </c>
      <c r="O146" s="7">
        <f>IF($Q146="","",H146+K146)</f>
        <v/>
      </c>
      <c r="P146" s="7">
        <f>IF($Q146="","",O146-M146-F146)</f>
        <v/>
      </c>
      <c r="Q146" s="13">
        <f>IF(ROWS($Q$2:$Q146)&lt;=MAX('Per Line'!$W$2:$W$501),MATCH(ROWS($Q$2:$Q146),'Per Line'!$W$2:$W$501,0),"")</f>
        <v/>
      </c>
    </row>
    <row r="147">
      <c r="A147" s="12" t="n"/>
      <c r="B147">
        <f>IF($Q147="","",INDEX('Per Line'!$A$2:$A$501,$Q147)&amp;"")</f>
        <v/>
      </c>
      <c r="C147">
        <f>IF($Q147="","",INDEX('Per Line'!$D$2:$D$501,$Q147)&amp;"")</f>
        <v/>
      </c>
      <c r="D147">
        <f>IF($Q147="","",INDEX('Per Line'!$E$2:$E$501,$Q147)&amp;"")</f>
        <v/>
      </c>
      <c r="E147">
        <f>IF($Q147="","",INDEX('Per Line'!$F$2:$F$501,$Q147))</f>
        <v/>
      </c>
      <c r="F147" s="7">
        <f>IF($Q147="","",E147*N147/100)</f>
        <v/>
      </c>
      <c r="G147">
        <f>IF($Q147="","",Settings!$C$7)</f>
        <v/>
      </c>
      <c r="H147" s="7">
        <f>IF($Q147="","",SUMIFS('Per Line'!$L$2:$L$501,'Per Line'!$A$2:$A$501,$B147,'Per Line'!$X$2:$X$501,0))</f>
        <v/>
      </c>
      <c r="I147" s="7">
        <f>IF($Q147="","",H147*G147)</f>
        <v/>
      </c>
      <c r="J147">
        <f>IF($Q147="","",Settings!$C$6)</f>
        <v/>
      </c>
      <c r="K147" s="7">
        <f>IF($Q147="","",SUMIFS('Per Line'!$L$2:$L$501,'Per Line'!$A$2:$A$501,$B147,'Per Line'!$X$2:$X$501,1))</f>
        <v/>
      </c>
      <c r="L147" s="7">
        <f>IF($Q147="","",K147*J147)</f>
        <v/>
      </c>
      <c r="M147" s="7">
        <f>IF($Q147="","",L147+I147)</f>
        <v/>
      </c>
      <c r="N147" s="7">
        <f>IF($Q147="","",O147-M147)</f>
        <v/>
      </c>
      <c r="O147" s="7">
        <f>IF($Q147="","",H147+K147)</f>
        <v/>
      </c>
      <c r="P147" s="7">
        <f>IF($Q147="","",O147-M147-F147)</f>
        <v/>
      </c>
      <c r="Q147" s="13">
        <f>IF(ROWS($Q$2:$Q147)&lt;=MAX('Per Line'!$W$2:$W$501),MATCH(ROWS($Q$2:$Q147),'Per Line'!$W$2:$W$501,0),"")</f>
        <v/>
      </c>
    </row>
    <row r="148">
      <c r="A148" s="12" t="n"/>
      <c r="B148">
        <f>IF($Q148="","",INDEX('Per Line'!$A$2:$A$501,$Q148)&amp;"")</f>
        <v/>
      </c>
      <c r="C148">
        <f>IF($Q148="","",INDEX('Per Line'!$D$2:$D$501,$Q148)&amp;"")</f>
        <v/>
      </c>
      <c r="D148">
        <f>IF($Q148="","",INDEX('Per Line'!$E$2:$E$501,$Q148)&amp;"")</f>
        <v/>
      </c>
      <c r="E148">
        <f>IF($Q148="","",INDEX('Per Line'!$F$2:$F$501,$Q148))</f>
        <v/>
      </c>
      <c r="F148" s="7">
        <f>IF($Q148="","",E148*N148/100)</f>
        <v/>
      </c>
      <c r="G148">
        <f>IF($Q148="","",Settings!$C$7)</f>
        <v/>
      </c>
      <c r="H148" s="7">
        <f>IF($Q148="","",SUMIFS('Per Line'!$L$2:$L$501,'Per Line'!$A$2:$A$501,$B148,'Per Line'!$X$2:$X$501,0))</f>
        <v/>
      </c>
      <c r="I148" s="7">
        <f>IF($Q148="","",H148*G148)</f>
        <v/>
      </c>
      <c r="J148">
        <f>IF($Q148="","",Settings!$C$6)</f>
        <v/>
      </c>
      <c r="K148" s="7">
        <f>IF($Q148="","",SUMIFS('Per Line'!$L$2:$L$501,'Per Line'!$A$2:$A$501,$B148,'Per Line'!$X$2:$X$501,1))</f>
        <v/>
      </c>
      <c r="L148" s="7">
        <f>IF($Q148="","",K148*J148)</f>
        <v/>
      </c>
      <c r="M148" s="7">
        <f>IF($Q148="","",L148+I148)</f>
        <v/>
      </c>
      <c r="N148" s="7">
        <f>IF($Q148="","",O148-M148)</f>
        <v/>
      </c>
      <c r="O148" s="7">
        <f>IF($Q148="","",H148+K148)</f>
        <v/>
      </c>
      <c r="P148" s="7">
        <f>IF($Q148="","",O148-M148-F148)</f>
        <v/>
      </c>
      <c r="Q148" s="13">
        <f>IF(ROWS($Q$2:$Q148)&lt;=MAX('Per Line'!$W$2:$W$501),MATCH(ROWS($Q$2:$Q148),'Per Line'!$W$2:$W$501,0),"")</f>
        <v/>
      </c>
    </row>
    <row r="149">
      <c r="A149" s="12" t="n"/>
      <c r="B149">
        <f>IF($Q149="","",INDEX('Per Line'!$A$2:$A$501,$Q149)&amp;"")</f>
        <v/>
      </c>
      <c r="C149">
        <f>IF($Q149="","",INDEX('Per Line'!$D$2:$D$501,$Q149)&amp;"")</f>
        <v/>
      </c>
      <c r="D149">
        <f>IF($Q149="","",INDEX('Per Line'!$E$2:$E$501,$Q149)&amp;"")</f>
        <v/>
      </c>
      <c r="E149">
        <f>IF($Q149="","",INDEX('Per Line'!$F$2:$F$501,$Q149))</f>
        <v/>
      </c>
      <c r="F149" s="7">
        <f>IF($Q149="","",E149*N149/100)</f>
        <v/>
      </c>
      <c r="G149">
        <f>IF($Q149="","",Settings!$C$7)</f>
        <v/>
      </c>
      <c r="H149" s="7">
        <f>IF($Q149="","",SUMIFS('Per Line'!$L$2:$L$501,'Per Line'!$A$2:$A$501,$B149,'Per Line'!$X$2:$X$501,0))</f>
        <v/>
      </c>
      <c r="I149" s="7">
        <f>IF($Q149="","",H149*G149)</f>
        <v/>
      </c>
      <c r="J149">
        <f>IF($Q149="","",Settings!$C$6)</f>
        <v/>
      </c>
      <c r="K149" s="7">
        <f>IF($Q149="","",SUMIFS('Per Line'!$L$2:$L$501,'Per Line'!$A$2:$A$501,$B149,'Per Line'!$X$2:$X$501,1))</f>
        <v/>
      </c>
      <c r="L149" s="7">
        <f>IF($Q149="","",K149*J149)</f>
        <v/>
      </c>
      <c r="M149" s="7">
        <f>IF($Q149="","",L149+I149)</f>
        <v/>
      </c>
      <c r="N149" s="7">
        <f>IF($Q149="","",O149-M149)</f>
        <v/>
      </c>
      <c r="O149" s="7">
        <f>IF($Q149="","",H149+K149)</f>
        <v/>
      </c>
      <c r="P149" s="7">
        <f>IF($Q149="","",O149-M149-F149)</f>
        <v/>
      </c>
      <c r="Q149" s="13">
        <f>IF(ROWS($Q$2:$Q149)&lt;=MAX('Per Line'!$W$2:$W$501),MATCH(ROWS($Q$2:$Q149),'Per Line'!$W$2:$W$501,0),"")</f>
        <v/>
      </c>
    </row>
    <row r="150">
      <c r="A150" s="12" t="n"/>
      <c r="B150">
        <f>IF($Q150="","",INDEX('Per Line'!$A$2:$A$501,$Q150)&amp;"")</f>
        <v/>
      </c>
      <c r="C150">
        <f>IF($Q150="","",INDEX('Per Line'!$D$2:$D$501,$Q150)&amp;"")</f>
        <v/>
      </c>
      <c r="D150">
        <f>IF($Q150="","",INDEX('Per Line'!$E$2:$E$501,$Q150)&amp;"")</f>
        <v/>
      </c>
      <c r="E150">
        <f>IF($Q150="","",INDEX('Per Line'!$F$2:$F$501,$Q150))</f>
        <v/>
      </c>
      <c r="F150" s="7">
        <f>IF($Q150="","",E150*N150/100)</f>
        <v/>
      </c>
      <c r="G150">
        <f>IF($Q150="","",Settings!$C$7)</f>
        <v/>
      </c>
      <c r="H150" s="7">
        <f>IF($Q150="","",SUMIFS('Per Line'!$L$2:$L$501,'Per Line'!$A$2:$A$501,$B150,'Per Line'!$X$2:$X$501,0))</f>
        <v/>
      </c>
      <c r="I150" s="7">
        <f>IF($Q150="","",H150*G150)</f>
        <v/>
      </c>
      <c r="J150">
        <f>IF($Q150="","",Settings!$C$6)</f>
        <v/>
      </c>
      <c r="K150" s="7">
        <f>IF($Q150="","",SUMIFS('Per Line'!$L$2:$L$501,'Per Line'!$A$2:$A$501,$B150,'Per Line'!$X$2:$X$501,1))</f>
        <v/>
      </c>
      <c r="L150" s="7">
        <f>IF($Q150="","",K150*J150)</f>
        <v/>
      </c>
      <c r="M150" s="7">
        <f>IF($Q150="","",L150+I150)</f>
        <v/>
      </c>
      <c r="N150" s="7">
        <f>IF($Q150="","",O150-M150)</f>
        <v/>
      </c>
      <c r="O150" s="7">
        <f>IF($Q150="","",H150+K150)</f>
        <v/>
      </c>
      <c r="P150" s="7">
        <f>IF($Q150="","",O150-M150-F150)</f>
        <v/>
      </c>
      <c r="Q150" s="13">
        <f>IF(ROWS($Q$2:$Q150)&lt;=MAX('Per Line'!$W$2:$W$501),MATCH(ROWS($Q$2:$Q150),'Per Line'!$W$2:$W$501,0),"")</f>
        <v/>
      </c>
    </row>
    <row r="151">
      <c r="A151" s="12" t="n"/>
      <c r="B151">
        <f>IF($Q151="","",INDEX('Per Line'!$A$2:$A$501,$Q151)&amp;"")</f>
        <v/>
      </c>
      <c r="C151">
        <f>IF($Q151="","",INDEX('Per Line'!$D$2:$D$501,$Q151)&amp;"")</f>
        <v/>
      </c>
      <c r="D151">
        <f>IF($Q151="","",INDEX('Per Line'!$E$2:$E$501,$Q151)&amp;"")</f>
        <v/>
      </c>
      <c r="E151">
        <f>IF($Q151="","",INDEX('Per Line'!$F$2:$F$501,$Q151))</f>
        <v/>
      </c>
      <c r="F151" s="7">
        <f>IF($Q151="","",E151*N151/100)</f>
        <v/>
      </c>
      <c r="G151">
        <f>IF($Q151="","",Settings!$C$7)</f>
        <v/>
      </c>
      <c r="H151" s="7">
        <f>IF($Q151="","",SUMIFS('Per Line'!$L$2:$L$501,'Per Line'!$A$2:$A$501,$B151,'Per Line'!$X$2:$X$501,0))</f>
        <v/>
      </c>
      <c r="I151" s="7">
        <f>IF($Q151="","",H151*G151)</f>
        <v/>
      </c>
      <c r="J151">
        <f>IF($Q151="","",Settings!$C$6)</f>
        <v/>
      </c>
      <c r="K151" s="7">
        <f>IF($Q151="","",SUMIFS('Per Line'!$L$2:$L$501,'Per Line'!$A$2:$A$501,$B151,'Per Line'!$X$2:$X$501,1))</f>
        <v/>
      </c>
      <c r="L151" s="7">
        <f>IF($Q151="","",K151*J151)</f>
        <v/>
      </c>
      <c r="M151" s="7">
        <f>IF($Q151="","",L151+I151)</f>
        <v/>
      </c>
      <c r="N151" s="7">
        <f>IF($Q151="","",O151-M151)</f>
        <v/>
      </c>
      <c r="O151" s="7">
        <f>IF($Q151="","",H151+K151)</f>
        <v/>
      </c>
      <c r="P151" s="7">
        <f>IF($Q151="","",O151-M151-F151)</f>
        <v/>
      </c>
      <c r="Q151" s="13">
        <f>IF(ROWS($Q$2:$Q151)&lt;=MAX('Per Line'!$W$2:$W$501),MATCH(ROWS($Q$2:$Q151),'Per Line'!$W$2:$W$501,0),"")</f>
        <v/>
      </c>
    </row>
    <row r="152">
      <c r="A152" s="12" t="n"/>
      <c r="B152">
        <f>IF($Q152="","",INDEX('Per Line'!$A$2:$A$501,$Q152)&amp;"")</f>
        <v/>
      </c>
      <c r="C152">
        <f>IF($Q152="","",INDEX('Per Line'!$D$2:$D$501,$Q152)&amp;"")</f>
        <v/>
      </c>
      <c r="D152">
        <f>IF($Q152="","",INDEX('Per Line'!$E$2:$E$501,$Q152)&amp;"")</f>
        <v/>
      </c>
      <c r="E152">
        <f>IF($Q152="","",INDEX('Per Line'!$F$2:$F$501,$Q152))</f>
        <v/>
      </c>
      <c r="F152" s="7">
        <f>IF($Q152="","",E152*N152/100)</f>
        <v/>
      </c>
      <c r="G152">
        <f>IF($Q152="","",Settings!$C$7)</f>
        <v/>
      </c>
      <c r="H152" s="7">
        <f>IF($Q152="","",SUMIFS('Per Line'!$L$2:$L$501,'Per Line'!$A$2:$A$501,$B152,'Per Line'!$X$2:$X$501,0))</f>
        <v/>
      </c>
      <c r="I152" s="7">
        <f>IF($Q152="","",H152*G152)</f>
        <v/>
      </c>
      <c r="J152">
        <f>IF($Q152="","",Settings!$C$6)</f>
        <v/>
      </c>
      <c r="K152" s="7">
        <f>IF($Q152="","",SUMIFS('Per Line'!$L$2:$L$501,'Per Line'!$A$2:$A$501,$B152,'Per Line'!$X$2:$X$501,1))</f>
        <v/>
      </c>
      <c r="L152" s="7">
        <f>IF($Q152="","",K152*J152)</f>
        <v/>
      </c>
      <c r="M152" s="7">
        <f>IF($Q152="","",L152+I152)</f>
        <v/>
      </c>
      <c r="N152" s="7">
        <f>IF($Q152="","",O152-M152)</f>
        <v/>
      </c>
      <c r="O152" s="7">
        <f>IF($Q152="","",H152+K152)</f>
        <v/>
      </c>
      <c r="P152" s="7">
        <f>IF($Q152="","",O152-M152-F152)</f>
        <v/>
      </c>
      <c r="Q152" s="13">
        <f>IF(ROWS($Q$2:$Q152)&lt;=MAX('Per Line'!$W$2:$W$501),MATCH(ROWS($Q$2:$Q152),'Per Line'!$W$2:$W$501,0),"")</f>
        <v/>
      </c>
    </row>
    <row r="153">
      <c r="A153" s="12" t="n"/>
      <c r="B153">
        <f>IF($Q153="","",INDEX('Per Line'!$A$2:$A$501,$Q153)&amp;"")</f>
        <v/>
      </c>
      <c r="C153">
        <f>IF($Q153="","",INDEX('Per Line'!$D$2:$D$501,$Q153)&amp;"")</f>
        <v/>
      </c>
      <c r="D153">
        <f>IF($Q153="","",INDEX('Per Line'!$E$2:$E$501,$Q153)&amp;"")</f>
        <v/>
      </c>
      <c r="E153">
        <f>IF($Q153="","",INDEX('Per Line'!$F$2:$F$501,$Q153))</f>
        <v/>
      </c>
      <c r="F153" s="7">
        <f>IF($Q153="","",E153*N153/100)</f>
        <v/>
      </c>
      <c r="G153">
        <f>IF($Q153="","",Settings!$C$7)</f>
        <v/>
      </c>
      <c r="H153" s="7">
        <f>IF($Q153="","",SUMIFS('Per Line'!$L$2:$L$501,'Per Line'!$A$2:$A$501,$B153,'Per Line'!$X$2:$X$501,0))</f>
        <v/>
      </c>
      <c r="I153" s="7">
        <f>IF($Q153="","",H153*G153)</f>
        <v/>
      </c>
      <c r="J153">
        <f>IF($Q153="","",Settings!$C$6)</f>
        <v/>
      </c>
      <c r="K153" s="7">
        <f>IF($Q153="","",SUMIFS('Per Line'!$L$2:$L$501,'Per Line'!$A$2:$A$501,$B153,'Per Line'!$X$2:$X$501,1))</f>
        <v/>
      </c>
      <c r="L153" s="7">
        <f>IF($Q153="","",K153*J153)</f>
        <v/>
      </c>
      <c r="M153" s="7">
        <f>IF($Q153="","",L153+I153)</f>
        <v/>
      </c>
      <c r="N153" s="7">
        <f>IF($Q153="","",O153-M153)</f>
        <v/>
      </c>
      <c r="O153" s="7">
        <f>IF($Q153="","",H153+K153)</f>
        <v/>
      </c>
      <c r="P153" s="7">
        <f>IF($Q153="","",O153-M153-F153)</f>
        <v/>
      </c>
      <c r="Q153" s="13">
        <f>IF(ROWS($Q$2:$Q153)&lt;=MAX('Per Line'!$W$2:$W$501),MATCH(ROWS($Q$2:$Q153),'Per Line'!$W$2:$W$501,0),"")</f>
        <v/>
      </c>
    </row>
    <row r="154">
      <c r="A154" s="12" t="n"/>
      <c r="B154">
        <f>IF($Q154="","",INDEX('Per Line'!$A$2:$A$501,$Q154)&amp;"")</f>
        <v/>
      </c>
      <c r="C154">
        <f>IF($Q154="","",INDEX('Per Line'!$D$2:$D$501,$Q154)&amp;"")</f>
        <v/>
      </c>
      <c r="D154">
        <f>IF($Q154="","",INDEX('Per Line'!$E$2:$E$501,$Q154)&amp;"")</f>
        <v/>
      </c>
      <c r="E154">
        <f>IF($Q154="","",INDEX('Per Line'!$F$2:$F$501,$Q154))</f>
        <v/>
      </c>
      <c r="F154" s="7">
        <f>IF($Q154="","",E154*N154/100)</f>
        <v/>
      </c>
      <c r="G154">
        <f>IF($Q154="","",Settings!$C$7)</f>
        <v/>
      </c>
      <c r="H154" s="7">
        <f>IF($Q154="","",SUMIFS('Per Line'!$L$2:$L$501,'Per Line'!$A$2:$A$501,$B154,'Per Line'!$X$2:$X$501,0))</f>
        <v/>
      </c>
      <c r="I154" s="7">
        <f>IF($Q154="","",H154*G154)</f>
        <v/>
      </c>
      <c r="J154">
        <f>IF($Q154="","",Settings!$C$6)</f>
        <v/>
      </c>
      <c r="K154" s="7">
        <f>IF($Q154="","",SUMIFS('Per Line'!$L$2:$L$501,'Per Line'!$A$2:$A$501,$B154,'Per Line'!$X$2:$X$501,1))</f>
        <v/>
      </c>
      <c r="L154" s="7">
        <f>IF($Q154="","",K154*J154)</f>
        <v/>
      </c>
      <c r="M154" s="7">
        <f>IF($Q154="","",L154+I154)</f>
        <v/>
      </c>
      <c r="N154" s="7">
        <f>IF($Q154="","",O154-M154)</f>
        <v/>
      </c>
      <c r="O154" s="7">
        <f>IF($Q154="","",H154+K154)</f>
        <v/>
      </c>
      <c r="P154" s="7">
        <f>IF($Q154="","",O154-M154-F154)</f>
        <v/>
      </c>
      <c r="Q154" s="13">
        <f>IF(ROWS($Q$2:$Q154)&lt;=MAX('Per Line'!$W$2:$W$501),MATCH(ROWS($Q$2:$Q154),'Per Line'!$W$2:$W$501,0),"")</f>
        <v/>
      </c>
    </row>
    <row r="155">
      <c r="A155" s="12" t="n"/>
      <c r="B155">
        <f>IF($Q155="","",INDEX('Per Line'!$A$2:$A$501,$Q155)&amp;"")</f>
        <v/>
      </c>
      <c r="C155">
        <f>IF($Q155="","",INDEX('Per Line'!$D$2:$D$501,$Q155)&amp;"")</f>
        <v/>
      </c>
      <c r="D155">
        <f>IF($Q155="","",INDEX('Per Line'!$E$2:$E$501,$Q155)&amp;"")</f>
        <v/>
      </c>
      <c r="E155">
        <f>IF($Q155="","",INDEX('Per Line'!$F$2:$F$501,$Q155))</f>
        <v/>
      </c>
      <c r="F155" s="7">
        <f>IF($Q155="","",E155*N155/100)</f>
        <v/>
      </c>
      <c r="G155">
        <f>IF($Q155="","",Settings!$C$7)</f>
        <v/>
      </c>
      <c r="H155" s="7">
        <f>IF($Q155="","",SUMIFS('Per Line'!$L$2:$L$501,'Per Line'!$A$2:$A$501,$B155,'Per Line'!$X$2:$X$501,0))</f>
        <v/>
      </c>
      <c r="I155" s="7">
        <f>IF($Q155="","",H155*G155)</f>
        <v/>
      </c>
      <c r="J155">
        <f>IF($Q155="","",Settings!$C$6)</f>
        <v/>
      </c>
      <c r="K155" s="7">
        <f>IF($Q155="","",SUMIFS('Per Line'!$L$2:$L$501,'Per Line'!$A$2:$A$501,$B155,'Per Line'!$X$2:$X$501,1))</f>
        <v/>
      </c>
      <c r="L155" s="7">
        <f>IF($Q155="","",K155*J155)</f>
        <v/>
      </c>
      <c r="M155" s="7">
        <f>IF($Q155="","",L155+I155)</f>
        <v/>
      </c>
      <c r="N155" s="7">
        <f>IF($Q155="","",O155-M155)</f>
        <v/>
      </c>
      <c r="O155" s="7">
        <f>IF($Q155="","",H155+K155)</f>
        <v/>
      </c>
      <c r="P155" s="7">
        <f>IF($Q155="","",O155-M155-F155)</f>
        <v/>
      </c>
      <c r="Q155" s="13">
        <f>IF(ROWS($Q$2:$Q155)&lt;=MAX('Per Line'!$W$2:$W$501),MATCH(ROWS($Q$2:$Q155),'Per Line'!$W$2:$W$501,0),"")</f>
        <v/>
      </c>
    </row>
    <row r="156">
      <c r="A156" s="12" t="n"/>
      <c r="B156">
        <f>IF($Q156="","",INDEX('Per Line'!$A$2:$A$501,$Q156)&amp;"")</f>
        <v/>
      </c>
      <c r="C156">
        <f>IF($Q156="","",INDEX('Per Line'!$D$2:$D$501,$Q156)&amp;"")</f>
        <v/>
      </c>
      <c r="D156">
        <f>IF($Q156="","",INDEX('Per Line'!$E$2:$E$501,$Q156)&amp;"")</f>
        <v/>
      </c>
      <c r="E156">
        <f>IF($Q156="","",INDEX('Per Line'!$F$2:$F$501,$Q156))</f>
        <v/>
      </c>
      <c r="F156" s="7">
        <f>IF($Q156="","",E156*N156/100)</f>
        <v/>
      </c>
      <c r="G156">
        <f>IF($Q156="","",Settings!$C$7)</f>
        <v/>
      </c>
      <c r="H156" s="7">
        <f>IF($Q156="","",SUMIFS('Per Line'!$L$2:$L$501,'Per Line'!$A$2:$A$501,$B156,'Per Line'!$X$2:$X$501,0))</f>
        <v/>
      </c>
      <c r="I156" s="7">
        <f>IF($Q156="","",H156*G156)</f>
        <v/>
      </c>
      <c r="J156">
        <f>IF($Q156="","",Settings!$C$6)</f>
        <v/>
      </c>
      <c r="K156" s="7">
        <f>IF($Q156="","",SUMIFS('Per Line'!$L$2:$L$501,'Per Line'!$A$2:$A$501,$B156,'Per Line'!$X$2:$X$501,1))</f>
        <v/>
      </c>
      <c r="L156" s="7">
        <f>IF($Q156="","",K156*J156)</f>
        <v/>
      </c>
      <c r="M156" s="7">
        <f>IF($Q156="","",L156+I156)</f>
        <v/>
      </c>
      <c r="N156" s="7">
        <f>IF($Q156="","",O156-M156)</f>
        <v/>
      </c>
      <c r="O156" s="7">
        <f>IF($Q156="","",H156+K156)</f>
        <v/>
      </c>
      <c r="P156" s="7">
        <f>IF($Q156="","",O156-M156-F156)</f>
        <v/>
      </c>
      <c r="Q156" s="13">
        <f>IF(ROWS($Q$2:$Q156)&lt;=MAX('Per Line'!$W$2:$W$501),MATCH(ROWS($Q$2:$Q156),'Per Line'!$W$2:$W$501,0),"")</f>
        <v/>
      </c>
    </row>
    <row r="157">
      <c r="A157" s="12" t="n"/>
      <c r="B157">
        <f>IF($Q157="","",INDEX('Per Line'!$A$2:$A$501,$Q157)&amp;"")</f>
        <v/>
      </c>
      <c r="C157">
        <f>IF($Q157="","",INDEX('Per Line'!$D$2:$D$501,$Q157)&amp;"")</f>
        <v/>
      </c>
      <c r="D157">
        <f>IF($Q157="","",INDEX('Per Line'!$E$2:$E$501,$Q157)&amp;"")</f>
        <v/>
      </c>
      <c r="E157">
        <f>IF($Q157="","",INDEX('Per Line'!$F$2:$F$501,$Q157))</f>
        <v/>
      </c>
      <c r="F157" s="7">
        <f>IF($Q157="","",E157*N157/100)</f>
        <v/>
      </c>
      <c r="G157">
        <f>IF($Q157="","",Settings!$C$7)</f>
        <v/>
      </c>
      <c r="H157" s="7">
        <f>IF($Q157="","",SUMIFS('Per Line'!$L$2:$L$501,'Per Line'!$A$2:$A$501,$B157,'Per Line'!$X$2:$X$501,0))</f>
        <v/>
      </c>
      <c r="I157" s="7">
        <f>IF($Q157="","",H157*G157)</f>
        <v/>
      </c>
      <c r="J157">
        <f>IF($Q157="","",Settings!$C$6)</f>
        <v/>
      </c>
      <c r="K157" s="7">
        <f>IF($Q157="","",SUMIFS('Per Line'!$L$2:$L$501,'Per Line'!$A$2:$A$501,$B157,'Per Line'!$X$2:$X$501,1))</f>
        <v/>
      </c>
      <c r="L157" s="7">
        <f>IF($Q157="","",K157*J157)</f>
        <v/>
      </c>
      <c r="M157" s="7">
        <f>IF($Q157="","",L157+I157)</f>
        <v/>
      </c>
      <c r="N157" s="7">
        <f>IF($Q157="","",O157-M157)</f>
        <v/>
      </c>
      <c r="O157" s="7">
        <f>IF($Q157="","",H157+K157)</f>
        <v/>
      </c>
      <c r="P157" s="7">
        <f>IF($Q157="","",O157-M157-F157)</f>
        <v/>
      </c>
      <c r="Q157" s="13">
        <f>IF(ROWS($Q$2:$Q157)&lt;=MAX('Per Line'!$W$2:$W$501),MATCH(ROWS($Q$2:$Q157),'Per Line'!$W$2:$W$501,0),"")</f>
        <v/>
      </c>
    </row>
    <row r="158">
      <c r="A158" s="12" t="n"/>
      <c r="B158">
        <f>IF($Q158="","",INDEX('Per Line'!$A$2:$A$501,$Q158)&amp;"")</f>
        <v/>
      </c>
      <c r="C158">
        <f>IF($Q158="","",INDEX('Per Line'!$D$2:$D$501,$Q158)&amp;"")</f>
        <v/>
      </c>
      <c r="D158">
        <f>IF($Q158="","",INDEX('Per Line'!$E$2:$E$501,$Q158)&amp;"")</f>
        <v/>
      </c>
      <c r="E158">
        <f>IF($Q158="","",INDEX('Per Line'!$F$2:$F$501,$Q158))</f>
        <v/>
      </c>
      <c r="F158" s="7">
        <f>IF($Q158="","",E158*N158/100)</f>
        <v/>
      </c>
      <c r="G158">
        <f>IF($Q158="","",Settings!$C$7)</f>
        <v/>
      </c>
      <c r="H158" s="7">
        <f>IF($Q158="","",SUMIFS('Per Line'!$L$2:$L$501,'Per Line'!$A$2:$A$501,$B158,'Per Line'!$X$2:$X$501,0))</f>
        <v/>
      </c>
      <c r="I158" s="7">
        <f>IF($Q158="","",H158*G158)</f>
        <v/>
      </c>
      <c r="J158">
        <f>IF($Q158="","",Settings!$C$6)</f>
        <v/>
      </c>
      <c r="K158" s="7">
        <f>IF($Q158="","",SUMIFS('Per Line'!$L$2:$L$501,'Per Line'!$A$2:$A$501,$B158,'Per Line'!$X$2:$X$501,1))</f>
        <v/>
      </c>
      <c r="L158" s="7">
        <f>IF($Q158="","",K158*J158)</f>
        <v/>
      </c>
      <c r="M158" s="7">
        <f>IF($Q158="","",L158+I158)</f>
        <v/>
      </c>
      <c r="N158" s="7">
        <f>IF($Q158="","",O158-M158)</f>
        <v/>
      </c>
      <c r="O158" s="7">
        <f>IF($Q158="","",H158+K158)</f>
        <v/>
      </c>
      <c r="P158" s="7">
        <f>IF($Q158="","",O158-M158-F158)</f>
        <v/>
      </c>
      <c r="Q158" s="13">
        <f>IF(ROWS($Q$2:$Q158)&lt;=MAX('Per Line'!$W$2:$W$501),MATCH(ROWS($Q$2:$Q158),'Per Line'!$W$2:$W$501,0),"")</f>
        <v/>
      </c>
    </row>
    <row r="159">
      <c r="A159" s="12" t="n"/>
      <c r="B159">
        <f>IF($Q159="","",INDEX('Per Line'!$A$2:$A$501,$Q159)&amp;"")</f>
        <v/>
      </c>
      <c r="C159">
        <f>IF($Q159="","",INDEX('Per Line'!$D$2:$D$501,$Q159)&amp;"")</f>
        <v/>
      </c>
      <c r="D159">
        <f>IF($Q159="","",INDEX('Per Line'!$E$2:$E$501,$Q159)&amp;"")</f>
        <v/>
      </c>
      <c r="E159">
        <f>IF($Q159="","",INDEX('Per Line'!$F$2:$F$501,$Q159))</f>
        <v/>
      </c>
      <c r="F159" s="7">
        <f>IF($Q159="","",E159*N159/100)</f>
        <v/>
      </c>
      <c r="G159">
        <f>IF($Q159="","",Settings!$C$7)</f>
        <v/>
      </c>
      <c r="H159" s="7">
        <f>IF($Q159="","",SUMIFS('Per Line'!$L$2:$L$501,'Per Line'!$A$2:$A$501,$B159,'Per Line'!$X$2:$X$501,0))</f>
        <v/>
      </c>
      <c r="I159" s="7">
        <f>IF($Q159="","",H159*G159)</f>
        <v/>
      </c>
      <c r="J159">
        <f>IF($Q159="","",Settings!$C$6)</f>
        <v/>
      </c>
      <c r="K159" s="7">
        <f>IF($Q159="","",SUMIFS('Per Line'!$L$2:$L$501,'Per Line'!$A$2:$A$501,$B159,'Per Line'!$X$2:$X$501,1))</f>
        <v/>
      </c>
      <c r="L159" s="7">
        <f>IF($Q159="","",K159*J159)</f>
        <v/>
      </c>
      <c r="M159" s="7">
        <f>IF($Q159="","",L159+I159)</f>
        <v/>
      </c>
      <c r="N159" s="7">
        <f>IF($Q159="","",O159-M159)</f>
        <v/>
      </c>
      <c r="O159" s="7">
        <f>IF($Q159="","",H159+K159)</f>
        <v/>
      </c>
      <c r="P159" s="7">
        <f>IF($Q159="","",O159-M159-F159)</f>
        <v/>
      </c>
      <c r="Q159" s="13">
        <f>IF(ROWS($Q$2:$Q159)&lt;=MAX('Per Line'!$W$2:$W$501),MATCH(ROWS($Q$2:$Q159),'Per Line'!$W$2:$W$501,0),"")</f>
        <v/>
      </c>
    </row>
    <row r="160">
      <c r="A160" s="12" t="n"/>
      <c r="B160">
        <f>IF($Q160="","",INDEX('Per Line'!$A$2:$A$501,$Q160)&amp;"")</f>
        <v/>
      </c>
      <c r="C160">
        <f>IF($Q160="","",INDEX('Per Line'!$D$2:$D$501,$Q160)&amp;"")</f>
        <v/>
      </c>
      <c r="D160">
        <f>IF($Q160="","",INDEX('Per Line'!$E$2:$E$501,$Q160)&amp;"")</f>
        <v/>
      </c>
      <c r="E160">
        <f>IF($Q160="","",INDEX('Per Line'!$F$2:$F$501,$Q160))</f>
        <v/>
      </c>
      <c r="F160" s="7">
        <f>IF($Q160="","",E160*N160/100)</f>
        <v/>
      </c>
      <c r="G160">
        <f>IF($Q160="","",Settings!$C$7)</f>
        <v/>
      </c>
      <c r="H160" s="7">
        <f>IF($Q160="","",SUMIFS('Per Line'!$L$2:$L$501,'Per Line'!$A$2:$A$501,$B160,'Per Line'!$X$2:$X$501,0))</f>
        <v/>
      </c>
      <c r="I160" s="7">
        <f>IF($Q160="","",H160*G160)</f>
        <v/>
      </c>
      <c r="J160">
        <f>IF($Q160="","",Settings!$C$6)</f>
        <v/>
      </c>
      <c r="K160" s="7">
        <f>IF($Q160="","",SUMIFS('Per Line'!$L$2:$L$501,'Per Line'!$A$2:$A$501,$B160,'Per Line'!$X$2:$X$501,1))</f>
        <v/>
      </c>
      <c r="L160" s="7">
        <f>IF($Q160="","",K160*J160)</f>
        <v/>
      </c>
      <c r="M160" s="7">
        <f>IF($Q160="","",L160+I160)</f>
        <v/>
      </c>
      <c r="N160" s="7">
        <f>IF($Q160="","",O160-M160)</f>
        <v/>
      </c>
      <c r="O160" s="7">
        <f>IF($Q160="","",H160+K160)</f>
        <v/>
      </c>
      <c r="P160" s="7">
        <f>IF($Q160="","",O160-M160-F160)</f>
        <v/>
      </c>
      <c r="Q160" s="13">
        <f>IF(ROWS($Q$2:$Q160)&lt;=MAX('Per Line'!$W$2:$W$501),MATCH(ROWS($Q$2:$Q160),'Per Line'!$W$2:$W$501,0),"")</f>
        <v/>
      </c>
    </row>
    <row r="161">
      <c r="A161" s="12" t="n"/>
      <c r="B161">
        <f>IF($Q161="","",INDEX('Per Line'!$A$2:$A$501,$Q161)&amp;"")</f>
        <v/>
      </c>
      <c r="C161">
        <f>IF($Q161="","",INDEX('Per Line'!$D$2:$D$501,$Q161)&amp;"")</f>
        <v/>
      </c>
      <c r="D161">
        <f>IF($Q161="","",INDEX('Per Line'!$E$2:$E$501,$Q161)&amp;"")</f>
        <v/>
      </c>
      <c r="E161">
        <f>IF($Q161="","",INDEX('Per Line'!$F$2:$F$501,$Q161))</f>
        <v/>
      </c>
      <c r="F161" s="7">
        <f>IF($Q161="","",E161*N161/100)</f>
        <v/>
      </c>
      <c r="G161">
        <f>IF($Q161="","",Settings!$C$7)</f>
        <v/>
      </c>
      <c r="H161" s="7">
        <f>IF($Q161="","",SUMIFS('Per Line'!$L$2:$L$501,'Per Line'!$A$2:$A$501,$B161,'Per Line'!$X$2:$X$501,0))</f>
        <v/>
      </c>
      <c r="I161" s="7">
        <f>IF($Q161="","",H161*G161)</f>
        <v/>
      </c>
      <c r="J161">
        <f>IF($Q161="","",Settings!$C$6)</f>
        <v/>
      </c>
      <c r="K161" s="7">
        <f>IF($Q161="","",SUMIFS('Per Line'!$L$2:$L$501,'Per Line'!$A$2:$A$501,$B161,'Per Line'!$X$2:$X$501,1))</f>
        <v/>
      </c>
      <c r="L161" s="7">
        <f>IF($Q161="","",K161*J161)</f>
        <v/>
      </c>
      <c r="M161" s="7">
        <f>IF($Q161="","",L161+I161)</f>
        <v/>
      </c>
      <c r="N161" s="7">
        <f>IF($Q161="","",O161-M161)</f>
        <v/>
      </c>
      <c r="O161" s="7">
        <f>IF($Q161="","",H161+K161)</f>
        <v/>
      </c>
      <c r="P161" s="7">
        <f>IF($Q161="","",O161-M161-F161)</f>
        <v/>
      </c>
      <c r="Q161" s="13">
        <f>IF(ROWS($Q$2:$Q161)&lt;=MAX('Per Line'!$W$2:$W$501),MATCH(ROWS($Q$2:$Q161),'Per Line'!$W$2:$W$501,0),"")</f>
        <v/>
      </c>
    </row>
    <row r="162">
      <c r="A162" s="12" t="n"/>
      <c r="B162">
        <f>IF($Q162="","",INDEX('Per Line'!$A$2:$A$501,$Q162)&amp;"")</f>
        <v/>
      </c>
      <c r="C162">
        <f>IF($Q162="","",INDEX('Per Line'!$D$2:$D$501,$Q162)&amp;"")</f>
        <v/>
      </c>
      <c r="D162">
        <f>IF($Q162="","",INDEX('Per Line'!$E$2:$E$501,$Q162)&amp;"")</f>
        <v/>
      </c>
      <c r="E162">
        <f>IF($Q162="","",INDEX('Per Line'!$F$2:$F$501,$Q162))</f>
        <v/>
      </c>
      <c r="F162" s="7">
        <f>IF($Q162="","",E162*N162/100)</f>
        <v/>
      </c>
      <c r="G162">
        <f>IF($Q162="","",Settings!$C$7)</f>
        <v/>
      </c>
      <c r="H162" s="7">
        <f>IF($Q162="","",SUMIFS('Per Line'!$L$2:$L$501,'Per Line'!$A$2:$A$501,$B162,'Per Line'!$X$2:$X$501,0))</f>
        <v/>
      </c>
      <c r="I162" s="7">
        <f>IF($Q162="","",H162*G162)</f>
        <v/>
      </c>
      <c r="J162">
        <f>IF($Q162="","",Settings!$C$6)</f>
        <v/>
      </c>
      <c r="K162" s="7">
        <f>IF($Q162="","",SUMIFS('Per Line'!$L$2:$L$501,'Per Line'!$A$2:$A$501,$B162,'Per Line'!$X$2:$X$501,1))</f>
        <v/>
      </c>
      <c r="L162" s="7">
        <f>IF($Q162="","",K162*J162)</f>
        <v/>
      </c>
      <c r="M162" s="7">
        <f>IF($Q162="","",L162+I162)</f>
        <v/>
      </c>
      <c r="N162" s="7">
        <f>IF($Q162="","",O162-M162)</f>
        <v/>
      </c>
      <c r="O162" s="7">
        <f>IF($Q162="","",H162+K162)</f>
        <v/>
      </c>
      <c r="P162" s="7">
        <f>IF($Q162="","",O162-M162-F162)</f>
        <v/>
      </c>
      <c r="Q162" s="13">
        <f>IF(ROWS($Q$2:$Q162)&lt;=MAX('Per Line'!$W$2:$W$501),MATCH(ROWS($Q$2:$Q162),'Per Line'!$W$2:$W$501,0),"")</f>
        <v/>
      </c>
    </row>
    <row r="163">
      <c r="A163" s="12" t="n"/>
      <c r="B163">
        <f>IF($Q163="","",INDEX('Per Line'!$A$2:$A$501,$Q163)&amp;"")</f>
        <v/>
      </c>
      <c r="C163">
        <f>IF($Q163="","",INDEX('Per Line'!$D$2:$D$501,$Q163)&amp;"")</f>
        <v/>
      </c>
      <c r="D163">
        <f>IF($Q163="","",INDEX('Per Line'!$E$2:$E$501,$Q163)&amp;"")</f>
        <v/>
      </c>
      <c r="E163">
        <f>IF($Q163="","",INDEX('Per Line'!$F$2:$F$501,$Q163))</f>
        <v/>
      </c>
      <c r="F163" s="7">
        <f>IF($Q163="","",E163*N163/100)</f>
        <v/>
      </c>
      <c r="G163">
        <f>IF($Q163="","",Settings!$C$7)</f>
        <v/>
      </c>
      <c r="H163" s="7">
        <f>IF($Q163="","",SUMIFS('Per Line'!$L$2:$L$501,'Per Line'!$A$2:$A$501,$B163,'Per Line'!$X$2:$X$501,0))</f>
        <v/>
      </c>
      <c r="I163" s="7">
        <f>IF($Q163="","",H163*G163)</f>
        <v/>
      </c>
      <c r="J163">
        <f>IF($Q163="","",Settings!$C$6)</f>
        <v/>
      </c>
      <c r="K163" s="7">
        <f>IF($Q163="","",SUMIFS('Per Line'!$L$2:$L$501,'Per Line'!$A$2:$A$501,$B163,'Per Line'!$X$2:$X$501,1))</f>
        <v/>
      </c>
      <c r="L163" s="7">
        <f>IF($Q163="","",K163*J163)</f>
        <v/>
      </c>
      <c r="M163" s="7">
        <f>IF($Q163="","",L163+I163)</f>
        <v/>
      </c>
      <c r="N163" s="7">
        <f>IF($Q163="","",O163-M163)</f>
        <v/>
      </c>
      <c r="O163" s="7">
        <f>IF($Q163="","",H163+K163)</f>
        <v/>
      </c>
      <c r="P163" s="7">
        <f>IF($Q163="","",O163-M163-F163)</f>
        <v/>
      </c>
      <c r="Q163" s="13">
        <f>IF(ROWS($Q$2:$Q163)&lt;=MAX('Per Line'!$W$2:$W$501),MATCH(ROWS($Q$2:$Q163),'Per Line'!$W$2:$W$501,0),"")</f>
        <v/>
      </c>
    </row>
    <row r="164">
      <c r="A164" s="12" t="n"/>
      <c r="B164">
        <f>IF($Q164="","",INDEX('Per Line'!$A$2:$A$501,$Q164)&amp;"")</f>
        <v/>
      </c>
      <c r="C164">
        <f>IF($Q164="","",INDEX('Per Line'!$D$2:$D$501,$Q164)&amp;"")</f>
        <v/>
      </c>
      <c r="D164">
        <f>IF($Q164="","",INDEX('Per Line'!$E$2:$E$501,$Q164)&amp;"")</f>
        <v/>
      </c>
      <c r="E164">
        <f>IF($Q164="","",INDEX('Per Line'!$F$2:$F$501,$Q164))</f>
        <v/>
      </c>
      <c r="F164" s="7">
        <f>IF($Q164="","",E164*N164/100)</f>
        <v/>
      </c>
      <c r="G164">
        <f>IF($Q164="","",Settings!$C$7)</f>
        <v/>
      </c>
      <c r="H164" s="7">
        <f>IF($Q164="","",SUMIFS('Per Line'!$L$2:$L$501,'Per Line'!$A$2:$A$501,$B164,'Per Line'!$X$2:$X$501,0))</f>
        <v/>
      </c>
      <c r="I164" s="7">
        <f>IF($Q164="","",H164*G164)</f>
        <v/>
      </c>
      <c r="J164">
        <f>IF($Q164="","",Settings!$C$6)</f>
        <v/>
      </c>
      <c r="K164" s="7">
        <f>IF($Q164="","",SUMIFS('Per Line'!$L$2:$L$501,'Per Line'!$A$2:$A$501,$B164,'Per Line'!$X$2:$X$501,1))</f>
        <v/>
      </c>
      <c r="L164" s="7">
        <f>IF($Q164="","",K164*J164)</f>
        <v/>
      </c>
      <c r="M164" s="7">
        <f>IF($Q164="","",L164+I164)</f>
        <v/>
      </c>
      <c r="N164" s="7">
        <f>IF($Q164="","",O164-M164)</f>
        <v/>
      </c>
      <c r="O164" s="7">
        <f>IF($Q164="","",H164+K164)</f>
        <v/>
      </c>
      <c r="P164" s="7">
        <f>IF($Q164="","",O164-M164-F164)</f>
        <v/>
      </c>
      <c r="Q164" s="13">
        <f>IF(ROWS($Q$2:$Q164)&lt;=MAX('Per Line'!$W$2:$W$501),MATCH(ROWS($Q$2:$Q164),'Per Line'!$W$2:$W$501,0),"")</f>
        <v/>
      </c>
    </row>
    <row r="165">
      <c r="A165" s="12" t="n"/>
      <c r="B165">
        <f>IF($Q165="","",INDEX('Per Line'!$A$2:$A$501,$Q165)&amp;"")</f>
        <v/>
      </c>
      <c r="C165">
        <f>IF($Q165="","",INDEX('Per Line'!$D$2:$D$501,$Q165)&amp;"")</f>
        <v/>
      </c>
      <c r="D165">
        <f>IF($Q165="","",INDEX('Per Line'!$E$2:$E$501,$Q165)&amp;"")</f>
        <v/>
      </c>
      <c r="E165">
        <f>IF($Q165="","",INDEX('Per Line'!$F$2:$F$501,$Q165))</f>
        <v/>
      </c>
      <c r="F165" s="7">
        <f>IF($Q165="","",E165*N165/100)</f>
        <v/>
      </c>
      <c r="G165">
        <f>IF($Q165="","",Settings!$C$7)</f>
        <v/>
      </c>
      <c r="H165" s="7">
        <f>IF($Q165="","",SUMIFS('Per Line'!$L$2:$L$501,'Per Line'!$A$2:$A$501,$B165,'Per Line'!$X$2:$X$501,0))</f>
        <v/>
      </c>
      <c r="I165" s="7">
        <f>IF($Q165="","",H165*G165)</f>
        <v/>
      </c>
      <c r="J165">
        <f>IF($Q165="","",Settings!$C$6)</f>
        <v/>
      </c>
      <c r="K165" s="7">
        <f>IF($Q165="","",SUMIFS('Per Line'!$L$2:$L$501,'Per Line'!$A$2:$A$501,$B165,'Per Line'!$X$2:$X$501,1))</f>
        <v/>
      </c>
      <c r="L165" s="7">
        <f>IF($Q165="","",K165*J165)</f>
        <v/>
      </c>
      <c r="M165" s="7">
        <f>IF($Q165="","",L165+I165)</f>
        <v/>
      </c>
      <c r="N165" s="7">
        <f>IF($Q165="","",O165-M165)</f>
        <v/>
      </c>
      <c r="O165" s="7">
        <f>IF($Q165="","",H165+K165)</f>
        <v/>
      </c>
      <c r="P165" s="7">
        <f>IF($Q165="","",O165-M165-F165)</f>
        <v/>
      </c>
      <c r="Q165" s="13">
        <f>IF(ROWS($Q$2:$Q165)&lt;=MAX('Per Line'!$W$2:$W$501),MATCH(ROWS($Q$2:$Q165),'Per Line'!$W$2:$W$501,0),"")</f>
        <v/>
      </c>
    </row>
    <row r="166">
      <c r="A166" s="12" t="n"/>
      <c r="B166">
        <f>IF($Q166="","",INDEX('Per Line'!$A$2:$A$501,$Q166)&amp;"")</f>
        <v/>
      </c>
      <c r="C166">
        <f>IF($Q166="","",INDEX('Per Line'!$D$2:$D$501,$Q166)&amp;"")</f>
        <v/>
      </c>
      <c r="D166">
        <f>IF($Q166="","",INDEX('Per Line'!$E$2:$E$501,$Q166)&amp;"")</f>
        <v/>
      </c>
      <c r="E166">
        <f>IF($Q166="","",INDEX('Per Line'!$F$2:$F$501,$Q166))</f>
        <v/>
      </c>
      <c r="F166" s="7">
        <f>IF($Q166="","",E166*N166/100)</f>
        <v/>
      </c>
      <c r="G166">
        <f>IF($Q166="","",Settings!$C$7)</f>
        <v/>
      </c>
      <c r="H166" s="7">
        <f>IF($Q166="","",SUMIFS('Per Line'!$L$2:$L$501,'Per Line'!$A$2:$A$501,$B166,'Per Line'!$X$2:$X$501,0))</f>
        <v/>
      </c>
      <c r="I166" s="7">
        <f>IF($Q166="","",H166*G166)</f>
        <v/>
      </c>
      <c r="J166">
        <f>IF($Q166="","",Settings!$C$6)</f>
        <v/>
      </c>
      <c r="K166" s="7">
        <f>IF($Q166="","",SUMIFS('Per Line'!$L$2:$L$501,'Per Line'!$A$2:$A$501,$B166,'Per Line'!$X$2:$X$501,1))</f>
        <v/>
      </c>
      <c r="L166" s="7">
        <f>IF($Q166="","",K166*J166)</f>
        <v/>
      </c>
      <c r="M166" s="7">
        <f>IF($Q166="","",L166+I166)</f>
        <v/>
      </c>
      <c r="N166" s="7">
        <f>IF($Q166="","",O166-M166)</f>
        <v/>
      </c>
      <c r="O166" s="7">
        <f>IF($Q166="","",H166+K166)</f>
        <v/>
      </c>
      <c r="P166" s="7">
        <f>IF($Q166="","",O166-M166-F166)</f>
        <v/>
      </c>
      <c r="Q166" s="13">
        <f>IF(ROWS($Q$2:$Q166)&lt;=MAX('Per Line'!$W$2:$W$501),MATCH(ROWS($Q$2:$Q166),'Per Line'!$W$2:$W$501,0),"")</f>
        <v/>
      </c>
    </row>
    <row r="167">
      <c r="A167" s="12" t="n"/>
      <c r="B167">
        <f>IF($Q167="","",INDEX('Per Line'!$A$2:$A$501,$Q167)&amp;"")</f>
        <v/>
      </c>
      <c r="C167">
        <f>IF($Q167="","",INDEX('Per Line'!$D$2:$D$501,$Q167)&amp;"")</f>
        <v/>
      </c>
      <c r="D167">
        <f>IF($Q167="","",INDEX('Per Line'!$E$2:$E$501,$Q167)&amp;"")</f>
        <v/>
      </c>
      <c r="E167">
        <f>IF($Q167="","",INDEX('Per Line'!$F$2:$F$501,$Q167))</f>
        <v/>
      </c>
      <c r="F167" s="7">
        <f>IF($Q167="","",E167*N167/100)</f>
        <v/>
      </c>
      <c r="G167">
        <f>IF($Q167="","",Settings!$C$7)</f>
        <v/>
      </c>
      <c r="H167" s="7">
        <f>IF($Q167="","",SUMIFS('Per Line'!$L$2:$L$501,'Per Line'!$A$2:$A$501,$B167,'Per Line'!$X$2:$X$501,0))</f>
        <v/>
      </c>
      <c r="I167" s="7">
        <f>IF($Q167="","",H167*G167)</f>
        <v/>
      </c>
      <c r="J167">
        <f>IF($Q167="","",Settings!$C$6)</f>
        <v/>
      </c>
      <c r="K167" s="7">
        <f>IF($Q167="","",SUMIFS('Per Line'!$L$2:$L$501,'Per Line'!$A$2:$A$501,$B167,'Per Line'!$X$2:$X$501,1))</f>
        <v/>
      </c>
      <c r="L167" s="7">
        <f>IF($Q167="","",K167*J167)</f>
        <v/>
      </c>
      <c r="M167" s="7">
        <f>IF($Q167="","",L167+I167)</f>
        <v/>
      </c>
      <c r="N167" s="7">
        <f>IF($Q167="","",O167-M167)</f>
        <v/>
      </c>
      <c r="O167" s="7">
        <f>IF($Q167="","",H167+K167)</f>
        <v/>
      </c>
      <c r="P167" s="7">
        <f>IF($Q167="","",O167-M167-F167)</f>
        <v/>
      </c>
      <c r="Q167" s="13">
        <f>IF(ROWS($Q$2:$Q167)&lt;=MAX('Per Line'!$W$2:$W$501),MATCH(ROWS($Q$2:$Q167),'Per Line'!$W$2:$W$501,0),"")</f>
        <v/>
      </c>
    </row>
    <row r="168">
      <c r="A168" s="12" t="n"/>
      <c r="B168">
        <f>IF($Q168="","",INDEX('Per Line'!$A$2:$A$501,$Q168)&amp;"")</f>
        <v/>
      </c>
      <c r="C168">
        <f>IF($Q168="","",INDEX('Per Line'!$D$2:$D$501,$Q168)&amp;"")</f>
        <v/>
      </c>
      <c r="D168">
        <f>IF($Q168="","",INDEX('Per Line'!$E$2:$E$501,$Q168)&amp;"")</f>
        <v/>
      </c>
      <c r="E168">
        <f>IF($Q168="","",INDEX('Per Line'!$F$2:$F$501,$Q168))</f>
        <v/>
      </c>
      <c r="F168" s="7">
        <f>IF($Q168="","",E168*N168/100)</f>
        <v/>
      </c>
      <c r="G168">
        <f>IF($Q168="","",Settings!$C$7)</f>
        <v/>
      </c>
      <c r="H168" s="7">
        <f>IF($Q168="","",SUMIFS('Per Line'!$L$2:$L$501,'Per Line'!$A$2:$A$501,$B168,'Per Line'!$X$2:$X$501,0))</f>
        <v/>
      </c>
      <c r="I168" s="7">
        <f>IF($Q168="","",H168*G168)</f>
        <v/>
      </c>
      <c r="J168">
        <f>IF($Q168="","",Settings!$C$6)</f>
        <v/>
      </c>
      <c r="K168" s="7">
        <f>IF($Q168="","",SUMIFS('Per Line'!$L$2:$L$501,'Per Line'!$A$2:$A$501,$B168,'Per Line'!$X$2:$X$501,1))</f>
        <v/>
      </c>
      <c r="L168" s="7">
        <f>IF($Q168="","",K168*J168)</f>
        <v/>
      </c>
      <c r="M168" s="7">
        <f>IF($Q168="","",L168+I168)</f>
        <v/>
      </c>
      <c r="N168" s="7">
        <f>IF($Q168="","",O168-M168)</f>
        <v/>
      </c>
      <c r="O168" s="7">
        <f>IF($Q168="","",H168+K168)</f>
        <v/>
      </c>
      <c r="P168" s="7">
        <f>IF($Q168="","",O168-M168-F168)</f>
        <v/>
      </c>
      <c r="Q168" s="13">
        <f>IF(ROWS($Q$2:$Q168)&lt;=MAX('Per Line'!$W$2:$W$501),MATCH(ROWS($Q$2:$Q168),'Per Line'!$W$2:$W$501,0),"")</f>
        <v/>
      </c>
    </row>
    <row r="169">
      <c r="A169" s="12" t="n"/>
      <c r="B169">
        <f>IF($Q169="","",INDEX('Per Line'!$A$2:$A$501,$Q169)&amp;"")</f>
        <v/>
      </c>
      <c r="C169">
        <f>IF($Q169="","",INDEX('Per Line'!$D$2:$D$501,$Q169)&amp;"")</f>
        <v/>
      </c>
      <c r="D169">
        <f>IF($Q169="","",INDEX('Per Line'!$E$2:$E$501,$Q169)&amp;"")</f>
        <v/>
      </c>
      <c r="E169">
        <f>IF($Q169="","",INDEX('Per Line'!$F$2:$F$501,$Q169))</f>
        <v/>
      </c>
      <c r="F169" s="7">
        <f>IF($Q169="","",E169*N169/100)</f>
        <v/>
      </c>
      <c r="G169">
        <f>IF($Q169="","",Settings!$C$7)</f>
        <v/>
      </c>
      <c r="H169" s="7">
        <f>IF($Q169="","",SUMIFS('Per Line'!$L$2:$L$501,'Per Line'!$A$2:$A$501,$B169,'Per Line'!$X$2:$X$501,0))</f>
        <v/>
      </c>
      <c r="I169" s="7">
        <f>IF($Q169="","",H169*G169)</f>
        <v/>
      </c>
      <c r="J169">
        <f>IF($Q169="","",Settings!$C$6)</f>
        <v/>
      </c>
      <c r="K169" s="7">
        <f>IF($Q169="","",SUMIFS('Per Line'!$L$2:$L$501,'Per Line'!$A$2:$A$501,$B169,'Per Line'!$X$2:$X$501,1))</f>
        <v/>
      </c>
      <c r="L169" s="7">
        <f>IF($Q169="","",K169*J169)</f>
        <v/>
      </c>
      <c r="M169" s="7">
        <f>IF($Q169="","",L169+I169)</f>
        <v/>
      </c>
      <c r="N169" s="7">
        <f>IF($Q169="","",O169-M169)</f>
        <v/>
      </c>
      <c r="O169" s="7">
        <f>IF($Q169="","",H169+K169)</f>
        <v/>
      </c>
      <c r="P169" s="7">
        <f>IF($Q169="","",O169-M169-F169)</f>
        <v/>
      </c>
      <c r="Q169" s="13">
        <f>IF(ROWS($Q$2:$Q169)&lt;=MAX('Per Line'!$W$2:$W$501),MATCH(ROWS($Q$2:$Q169),'Per Line'!$W$2:$W$501,0),"")</f>
        <v/>
      </c>
    </row>
    <row r="170">
      <c r="A170" s="12" t="n"/>
      <c r="B170">
        <f>IF($Q170="","",INDEX('Per Line'!$A$2:$A$501,$Q170)&amp;"")</f>
        <v/>
      </c>
      <c r="C170">
        <f>IF($Q170="","",INDEX('Per Line'!$D$2:$D$501,$Q170)&amp;"")</f>
        <v/>
      </c>
      <c r="D170">
        <f>IF($Q170="","",INDEX('Per Line'!$E$2:$E$501,$Q170)&amp;"")</f>
        <v/>
      </c>
      <c r="E170">
        <f>IF($Q170="","",INDEX('Per Line'!$F$2:$F$501,$Q170))</f>
        <v/>
      </c>
      <c r="F170" s="7">
        <f>IF($Q170="","",E170*N170/100)</f>
        <v/>
      </c>
      <c r="G170">
        <f>IF($Q170="","",Settings!$C$7)</f>
        <v/>
      </c>
      <c r="H170" s="7">
        <f>IF($Q170="","",SUMIFS('Per Line'!$L$2:$L$501,'Per Line'!$A$2:$A$501,$B170,'Per Line'!$X$2:$X$501,0))</f>
        <v/>
      </c>
      <c r="I170" s="7">
        <f>IF($Q170="","",H170*G170)</f>
        <v/>
      </c>
      <c r="J170">
        <f>IF($Q170="","",Settings!$C$6)</f>
        <v/>
      </c>
      <c r="K170" s="7">
        <f>IF($Q170="","",SUMIFS('Per Line'!$L$2:$L$501,'Per Line'!$A$2:$A$501,$B170,'Per Line'!$X$2:$X$501,1))</f>
        <v/>
      </c>
      <c r="L170" s="7">
        <f>IF($Q170="","",K170*J170)</f>
        <v/>
      </c>
      <c r="M170" s="7">
        <f>IF($Q170="","",L170+I170)</f>
        <v/>
      </c>
      <c r="N170" s="7">
        <f>IF($Q170="","",O170-M170)</f>
        <v/>
      </c>
      <c r="O170" s="7">
        <f>IF($Q170="","",H170+K170)</f>
        <v/>
      </c>
      <c r="P170" s="7">
        <f>IF($Q170="","",O170-M170-F170)</f>
        <v/>
      </c>
      <c r="Q170" s="13">
        <f>IF(ROWS($Q$2:$Q170)&lt;=MAX('Per Line'!$W$2:$W$501),MATCH(ROWS($Q$2:$Q170),'Per Line'!$W$2:$W$501,0),"")</f>
        <v/>
      </c>
    </row>
    <row r="171">
      <c r="A171" s="12" t="n"/>
      <c r="B171">
        <f>IF($Q171="","",INDEX('Per Line'!$A$2:$A$501,$Q171)&amp;"")</f>
        <v/>
      </c>
      <c r="C171">
        <f>IF($Q171="","",INDEX('Per Line'!$D$2:$D$501,$Q171)&amp;"")</f>
        <v/>
      </c>
      <c r="D171">
        <f>IF($Q171="","",INDEX('Per Line'!$E$2:$E$501,$Q171)&amp;"")</f>
        <v/>
      </c>
      <c r="E171">
        <f>IF($Q171="","",INDEX('Per Line'!$F$2:$F$501,$Q171))</f>
        <v/>
      </c>
      <c r="F171" s="7">
        <f>IF($Q171="","",E171*N171/100)</f>
        <v/>
      </c>
      <c r="G171">
        <f>IF($Q171="","",Settings!$C$7)</f>
        <v/>
      </c>
      <c r="H171" s="7">
        <f>IF($Q171="","",SUMIFS('Per Line'!$L$2:$L$501,'Per Line'!$A$2:$A$501,$B171,'Per Line'!$X$2:$X$501,0))</f>
        <v/>
      </c>
      <c r="I171" s="7">
        <f>IF($Q171="","",H171*G171)</f>
        <v/>
      </c>
      <c r="J171">
        <f>IF($Q171="","",Settings!$C$6)</f>
        <v/>
      </c>
      <c r="K171" s="7">
        <f>IF($Q171="","",SUMIFS('Per Line'!$L$2:$L$501,'Per Line'!$A$2:$A$501,$B171,'Per Line'!$X$2:$X$501,1))</f>
        <v/>
      </c>
      <c r="L171" s="7">
        <f>IF($Q171="","",K171*J171)</f>
        <v/>
      </c>
      <c r="M171" s="7">
        <f>IF($Q171="","",L171+I171)</f>
        <v/>
      </c>
      <c r="N171" s="7">
        <f>IF($Q171="","",O171-M171)</f>
        <v/>
      </c>
      <c r="O171" s="7">
        <f>IF($Q171="","",H171+K171)</f>
        <v/>
      </c>
      <c r="P171" s="7">
        <f>IF($Q171="","",O171-M171-F171)</f>
        <v/>
      </c>
      <c r="Q171" s="13">
        <f>IF(ROWS($Q$2:$Q171)&lt;=MAX('Per Line'!$W$2:$W$501),MATCH(ROWS($Q$2:$Q171),'Per Line'!$W$2:$W$501,0),"")</f>
        <v/>
      </c>
    </row>
    <row r="172">
      <c r="A172" s="12" t="n"/>
      <c r="B172">
        <f>IF($Q172="","",INDEX('Per Line'!$A$2:$A$501,$Q172)&amp;"")</f>
        <v/>
      </c>
      <c r="C172">
        <f>IF($Q172="","",INDEX('Per Line'!$D$2:$D$501,$Q172)&amp;"")</f>
        <v/>
      </c>
      <c r="D172">
        <f>IF($Q172="","",INDEX('Per Line'!$E$2:$E$501,$Q172)&amp;"")</f>
        <v/>
      </c>
      <c r="E172">
        <f>IF($Q172="","",INDEX('Per Line'!$F$2:$F$501,$Q172))</f>
        <v/>
      </c>
      <c r="F172" s="7">
        <f>IF($Q172="","",E172*N172/100)</f>
        <v/>
      </c>
      <c r="G172">
        <f>IF($Q172="","",Settings!$C$7)</f>
        <v/>
      </c>
      <c r="H172" s="7">
        <f>IF($Q172="","",SUMIFS('Per Line'!$L$2:$L$501,'Per Line'!$A$2:$A$501,$B172,'Per Line'!$X$2:$X$501,0))</f>
        <v/>
      </c>
      <c r="I172" s="7">
        <f>IF($Q172="","",H172*G172)</f>
        <v/>
      </c>
      <c r="J172">
        <f>IF($Q172="","",Settings!$C$6)</f>
        <v/>
      </c>
      <c r="K172" s="7">
        <f>IF($Q172="","",SUMIFS('Per Line'!$L$2:$L$501,'Per Line'!$A$2:$A$501,$B172,'Per Line'!$X$2:$X$501,1))</f>
        <v/>
      </c>
      <c r="L172" s="7">
        <f>IF($Q172="","",K172*J172)</f>
        <v/>
      </c>
      <c r="M172" s="7">
        <f>IF($Q172="","",L172+I172)</f>
        <v/>
      </c>
      <c r="N172" s="7">
        <f>IF($Q172="","",O172-M172)</f>
        <v/>
      </c>
      <c r="O172" s="7">
        <f>IF($Q172="","",H172+K172)</f>
        <v/>
      </c>
      <c r="P172" s="7">
        <f>IF($Q172="","",O172-M172-F172)</f>
        <v/>
      </c>
      <c r="Q172" s="13">
        <f>IF(ROWS($Q$2:$Q172)&lt;=MAX('Per Line'!$W$2:$W$501),MATCH(ROWS($Q$2:$Q172),'Per Line'!$W$2:$W$501,0),"")</f>
        <v/>
      </c>
    </row>
    <row r="173">
      <c r="A173" s="12" t="n"/>
      <c r="B173">
        <f>IF($Q173="","",INDEX('Per Line'!$A$2:$A$501,$Q173)&amp;"")</f>
        <v/>
      </c>
      <c r="C173">
        <f>IF($Q173="","",INDEX('Per Line'!$D$2:$D$501,$Q173)&amp;"")</f>
        <v/>
      </c>
      <c r="D173">
        <f>IF($Q173="","",INDEX('Per Line'!$E$2:$E$501,$Q173)&amp;"")</f>
        <v/>
      </c>
      <c r="E173">
        <f>IF($Q173="","",INDEX('Per Line'!$F$2:$F$501,$Q173))</f>
        <v/>
      </c>
      <c r="F173" s="7">
        <f>IF($Q173="","",E173*N173/100)</f>
        <v/>
      </c>
      <c r="G173">
        <f>IF($Q173="","",Settings!$C$7)</f>
        <v/>
      </c>
      <c r="H173" s="7">
        <f>IF($Q173="","",SUMIFS('Per Line'!$L$2:$L$501,'Per Line'!$A$2:$A$501,$B173,'Per Line'!$X$2:$X$501,0))</f>
        <v/>
      </c>
      <c r="I173" s="7">
        <f>IF($Q173="","",H173*G173)</f>
        <v/>
      </c>
      <c r="J173">
        <f>IF($Q173="","",Settings!$C$6)</f>
        <v/>
      </c>
      <c r="K173" s="7">
        <f>IF($Q173="","",SUMIFS('Per Line'!$L$2:$L$501,'Per Line'!$A$2:$A$501,$B173,'Per Line'!$X$2:$X$501,1))</f>
        <v/>
      </c>
      <c r="L173" s="7">
        <f>IF($Q173="","",K173*J173)</f>
        <v/>
      </c>
      <c r="M173" s="7">
        <f>IF($Q173="","",L173+I173)</f>
        <v/>
      </c>
      <c r="N173" s="7">
        <f>IF($Q173="","",O173-M173)</f>
        <v/>
      </c>
      <c r="O173" s="7">
        <f>IF($Q173="","",H173+K173)</f>
        <v/>
      </c>
      <c r="P173" s="7">
        <f>IF($Q173="","",O173-M173-F173)</f>
        <v/>
      </c>
      <c r="Q173" s="13">
        <f>IF(ROWS($Q$2:$Q173)&lt;=MAX('Per Line'!$W$2:$W$501),MATCH(ROWS($Q$2:$Q173),'Per Line'!$W$2:$W$501,0),"")</f>
        <v/>
      </c>
    </row>
    <row r="174">
      <c r="A174" s="12" t="n"/>
      <c r="B174">
        <f>IF($Q174="","",INDEX('Per Line'!$A$2:$A$501,$Q174)&amp;"")</f>
        <v/>
      </c>
      <c r="C174">
        <f>IF($Q174="","",INDEX('Per Line'!$D$2:$D$501,$Q174)&amp;"")</f>
        <v/>
      </c>
      <c r="D174">
        <f>IF($Q174="","",INDEX('Per Line'!$E$2:$E$501,$Q174)&amp;"")</f>
        <v/>
      </c>
      <c r="E174">
        <f>IF($Q174="","",INDEX('Per Line'!$F$2:$F$501,$Q174))</f>
        <v/>
      </c>
      <c r="F174" s="7">
        <f>IF($Q174="","",E174*N174/100)</f>
        <v/>
      </c>
      <c r="G174">
        <f>IF($Q174="","",Settings!$C$7)</f>
        <v/>
      </c>
      <c r="H174" s="7">
        <f>IF($Q174="","",SUMIFS('Per Line'!$L$2:$L$501,'Per Line'!$A$2:$A$501,$B174,'Per Line'!$X$2:$X$501,0))</f>
        <v/>
      </c>
      <c r="I174" s="7">
        <f>IF($Q174="","",H174*G174)</f>
        <v/>
      </c>
      <c r="J174">
        <f>IF($Q174="","",Settings!$C$6)</f>
        <v/>
      </c>
      <c r="K174" s="7">
        <f>IF($Q174="","",SUMIFS('Per Line'!$L$2:$L$501,'Per Line'!$A$2:$A$501,$B174,'Per Line'!$X$2:$X$501,1))</f>
        <v/>
      </c>
      <c r="L174" s="7">
        <f>IF($Q174="","",K174*J174)</f>
        <v/>
      </c>
      <c r="M174" s="7">
        <f>IF($Q174="","",L174+I174)</f>
        <v/>
      </c>
      <c r="N174" s="7">
        <f>IF($Q174="","",O174-M174)</f>
        <v/>
      </c>
      <c r="O174" s="7">
        <f>IF($Q174="","",H174+K174)</f>
        <v/>
      </c>
      <c r="P174" s="7">
        <f>IF($Q174="","",O174-M174-F174)</f>
        <v/>
      </c>
      <c r="Q174" s="13">
        <f>IF(ROWS($Q$2:$Q174)&lt;=MAX('Per Line'!$W$2:$W$501),MATCH(ROWS($Q$2:$Q174),'Per Line'!$W$2:$W$501,0),"")</f>
        <v/>
      </c>
    </row>
    <row r="175">
      <c r="A175" s="12" t="n"/>
      <c r="B175">
        <f>IF($Q175="","",INDEX('Per Line'!$A$2:$A$501,$Q175)&amp;"")</f>
        <v/>
      </c>
      <c r="C175">
        <f>IF($Q175="","",INDEX('Per Line'!$D$2:$D$501,$Q175)&amp;"")</f>
        <v/>
      </c>
      <c r="D175">
        <f>IF($Q175="","",INDEX('Per Line'!$E$2:$E$501,$Q175)&amp;"")</f>
        <v/>
      </c>
      <c r="E175">
        <f>IF($Q175="","",INDEX('Per Line'!$F$2:$F$501,$Q175))</f>
        <v/>
      </c>
      <c r="F175" s="7">
        <f>IF($Q175="","",E175*N175/100)</f>
        <v/>
      </c>
      <c r="G175">
        <f>IF($Q175="","",Settings!$C$7)</f>
        <v/>
      </c>
      <c r="H175" s="7">
        <f>IF($Q175="","",SUMIFS('Per Line'!$L$2:$L$501,'Per Line'!$A$2:$A$501,$B175,'Per Line'!$X$2:$X$501,0))</f>
        <v/>
      </c>
      <c r="I175" s="7">
        <f>IF($Q175="","",H175*G175)</f>
        <v/>
      </c>
      <c r="J175">
        <f>IF($Q175="","",Settings!$C$6)</f>
        <v/>
      </c>
      <c r="K175" s="7">
        <f>IF($Q175="","",SUMIFS('Per Line'!$L$2:$L$501,'Per Line'!$A$2:$A$501,$B175,'Per Line'!$X$2:$X$501,1))</f>
        <v/>
      </c>
      <c r="L175" s="7">
        <f>IF($Q175="","",K175*J175)</f>
        <v/>
      </c>
      <c r="M175" s="7">
        <f>IF($Q175="","",L175+I175)</f>
        <v/>
      </c>
      <c r="N175" s="7">
        <f>IF($Q175="","",O175-M175)</f>
        <v/>
      </c>
      <c r="O175" s="7">
        <f>IF($Q175="","",H175+K175)</f>
        <v/>
      </c>
      <c r="P175" s="7">
        <f>IF($Q175="","",O175-M175-F175)</f>
        <v/>
      </c>
      <c r="Q175" s="13">
        <f>IF(ROWS($Q$2:$Q175)&lt;=MAX('Per Line'!$W$2:$W$501),MATCH(ROWS($Q$2:$Q175),'Per Line'!$W$2:$W$501,0),"")</f>
        <v/>
      </c>
    </row>
    <row r="176">
      <c r="A176" s="12" t="n"/>
      <c r="B176">
        <f>IF($Q176="","",INDEX('Per Line'!$A$2:$A$501,$Q176)&amp;"")</f>
        <v/>
      </c>
      <c r="C176">
        <f>IF($Q176="","",INDEX('Per Line'!$D$2:$D$501,$Q176)&amp;"")</f>
        <v/>
      </c>
      <c r="D176">
        <f>IF($Q176="","",INDEX('Per Line'!$E$2:$E$501,$Q176)&amp;"")</f>
        <v/>
      </c>
      <c r="E176">
        <f>IF($Q176="","",INDEX('Per Line'!$F$2:$F$501,$Q176))</f>
        <v/>
      </c>
      <c r="F176" s="7">
        <f>IF($Q176="","",E176*N176/100)</f>
        <v/>
      </c>
      <c r="G176">
        <f>IF($Q176="","",Settings!$C$7)</f>
        <v/>
      </c>
      <c r="H176" s="7">
        <f>IF($Q176="","",SUMIFS('Per Line'!$L$2:$L$501,'Per Line'!$A$2:$A$501,$B176,'Per Line'!$X$2:$X$501,0))</f>
        <v/>
      </c>
      <c r="I176" s="7">
        <f>IF($Q176="","",H176*G176)</f>
        <v/>
      </c>
      <c r="J176">
        <f>IF($Q176="","",Settings!$C$6)</f>
        <v/>
      </c>
      <c r="K176" s="7">
        <f>IF($Q176="","",SUMIFS('Per Line'!$L$2:$L$501,'Per Line'!$A$2:$A$501,$B176,'Per Line'!$X$2:$X$501,1))</f>
        <v/>
      </c>
      <c r="L176" s="7">
        <f>IF($Q176="","",K176*J176)</f>
        <v/>
      </c>
      <c r="M176" s="7">
        <f>IF($Q176="","",L176+I176)</f>
        <v/>
      </c>
      <c r="N176" s="7">
        <f>IF($Q176="","",O176-M176)</f>
        <v/>
      </c>
      <c r="O176" s="7">
        <f>IF($Q176="","",H176+K176)</f>
        <v/>
      </c>
      <c r="P176" s="7">
        <f>IF($Q176="","",O176-M176-F176)</f>
        <v/>
      </c>
      <c r="Q176" s="13">
        <f>IF(ROWS($Q$2:$Q176)&lt;=MAX('Per Line'!$W$2:$W$501),MATCH(ROWS($Q$2:$Q176),'Per Line'!$W$2:$W$501,0),"")</f>
        <v/>
      </c>
    </row>
    <row r="177">
      <c r="A177" s="12" t="n"/>
      <c r="B177">
        <f>IF($Q177="","",INDEX('Per Line'!$A$2:$A$501,$Q177)&amp;"")</f>
        <v/>
      </c>
      <c r="C177">
        <f>IF($Q177="","",INDEX('Per Line'!$D$2:$D$501,$Q177)&amp;"")</f>
        <v/>
      </c>
      <c r="D177">
        <f>IF($Q177="","",INDEX('Per Line'!$E$2:$E$501,$Q177)&amp;"")</f>
        <v/>
      </c>
      <c r="E177">
        <f>IF($Q177="","",INDEX('Per Line'!$F$2:$F$501,$Q177))</f>
        <v/>
      </c>
      <c r="F177" s="7">
        <f>IF($Q177="","",E177*N177/100)</f>
        <v/>
      </c>
      <c r="G177">
        <f>IF($Q177="","",Settings!$C$7)</f>
        <v/>
      </c>
      <c r="H177" s="7">
        <f>IF($Q177="","",SUMIFS('Per Line'!$L$2:$L$501,'Per Line'!$A$2:$A$501,$B177,'Per Line'!$X$2:$X$501,0))</f>
        <v/>
      </c>
      <c r="I177" s="7">
        <f>IF($Q177="","",H177*G177)</f>
        <v/>
      </c>
      <c r="J177">
        <f>IF($Q177="","",Settings!$C$6)</f>
        <v/>
      </c>
      <c r="K177" s="7">
        <f>IF($Q177="","",SUMIFS('Per Line'!$L$2:$L$501,'Per Line'!$A$2:$A$501,$B177,'Per Line'!$X$2:$X$501,1))</f>
        <v/>
      </c>
      <c r="L177" s="7">
        <f>IF($Q177="","",K177*J177)</f>
        <v/>
      </c>
      <c r="M177" s="7">
        <f>IF($Q177="","",L177+I177)</f>
        <v/>
      </c>
      <c r="N177" s="7">
        <f>IF($Q177="","",O177-M177)</f>
        <v/>
      </c>
      <c r="O177" s="7">
        <f>IF($Q177="","",H177+K177)</f>
        <v/>
      </c>
      <c r="P177" s="7">
        <f>IF($Q177="","",O177-M177-F177)</f>
        <v/>
      </c>
      <c r="Q177" s="13">
        <f>IF(ROWS($Q$2:$Q177)&lt;=MAX('Per Line'!$W$2:$W$501),MATCH(ROWS($Q$2:$Q177),'Per Line'!$W$2:$W$501,0),"")</f>
        <v/>
      </c>
    </row>
    <row r="178">
      <c r="A178" s="12" t="n"/>
      <c r="B178">
        <f>IF($Q178="","",INDEX('Per Line'!$A$2:$A$501,$Q178)&amp;"")</f>
        <v/>
      </c>
      <c r="C178">
        <f>IF($Q178="","",INDEX('Per Line'!$D$2:$D$501,$Q178)&amp;"")</f>
        <v/>
      </c>
      <c r="D178">
        <f>IF($Q178="","",INDEX('Per Line'!$E$2:$E$501,$Q178)&amp;"")</f>
        <v/>
      </c>
      <c r="E178">
        <f>IF($Q178="","",INDEX('Per Line'!$F$2:$F$501,$Q178))</f>
        <v/>
      </c>
      <c r="F178" s="7">
        <f>IF($Q178="","",E178*N178/100)</f>
        <v/>
      </c>
      <c r="G178">
        <f>IF($Q178="","",Settings!$C$7)</f>
        <v/>
      </c>
      <c r="H178" s="7">
        <f>IF($Q178="","",SUMIFS('Per Line'!$L$2:$L$501,'Per Line'!$A$2:$A$501,$B178,'Per Line'!$X$2:$X$501,0))</f>
        <v/>
      </c>
      <c r="I178" s="7">
        <f>IF($Q178="","",H178*G178)</f>
        <v/>
      </c>
      <c r="J178">
        <f>IF($Q178="","",Settings!$C$6)</f>
        <v/>
      </c>
      <c r="K178" s="7">
        <f>IF($Q178="","",SUMIFS('Per Line'!$L$2:$L$501,'Per Line'!$A$2:$A$501,$B178,'Per Line'!$X$2:$X$501,1))</f>
        <v/>
      </c>
      <c r="L178" s="7">
        <f>IF($Q178="","",K178*J178)</f>
        <v/>
      </c>
      <c r="M178" s="7">
        <f>IF($Q178="","",L178+I178)</f>
        <v/>
      </c>
      <c r="N178" s="7">
        <f>IF($Q178="","",O178-M178)</f>
        <v/>
      </c>
      <c r="O178" s="7">
        <f>IF($Q178="","",H178+K178)</f>
        <v/>
      </c>
      <c r="P178" s="7">
        <f>IF($Q178="","",O178-M178-F178)</f>
        <v/>
      </c>
      <c r="Q178" s="13">
        <f>IF(ROWS($Q$2:$Q178)&lt;=MAX('Per Line'!$W$2:$W$501),MATCH(ROWS($Q$2:$Q178),'Per Line'!$W$2:$W$501,0),"")</f>
        <v/>
      </c>
    </row>
    <row r="179">
      <c r="A179" s="12" t="n"/>
      <c r="B179">
        <f>IF($Q179="","",INDEX('Per Line'!$A$2:$A$501,$Q179)&amp;"")</f>
        <v/>
      </c>
      <c r="C179">
        <f>IF($Q179="","",INDEX('Per Line'!$D$2:$D$501,$Q179)&amp;"")</f>
        <v/>
      </c>
      <c r="D179">
        <f>IF($Q179="","",INDEX('Per Line'!$E$2:$E$501,$Q179)&amp;"")</f>
        <v/>
      </c>
      <c r="E179">
        <f>IF($Q179="","",INDEX('Per Line'!$F$2:$F$501,$Q179))</f>
        <v/>
      </c>
      <c r="F179" s="7">
        <f>IF($Q179="","",E179*N179/100)</f>
        <v/>
      </c>
      <c r="G179">
        <f>IF($Q179="","",Settings!$C$7)</f>
        <v/>
      </c>
      <c r="H179" s="7">
        <f>IF($Q179="","",SUMIFS('Per Line'!$L$2:$L$501,'Per Line'!$A$2:$A$501,$B179,'Per Line'!$X$2:$X$501,0))</f>
        <v/>
      </c>
      <c r="I179" s="7">
        <f>IF($Q179="","",H179*G179)</f>
        <v/>
      </c>
      <c r="J179">
        <f>IF($Q179="","",Settings!$C$6)</f>
        <v/>
      </c>
      <c r="K179" s="7">
        <f>IF($Q179="","",SUMIFS('Per Line'!$L$2:$L$501,'Per Line'!$A$2:$A$501,$B179,'Per Line'!$X$2:$X$501,1))</f>
        <v/>
      </c>
      <c r="L179" s="7">
        <f>IF($Q179="","",K179*J179)</f>
        <v/>
      </c>
      <c r="M179" s="7">
        <f>IF($Q179="","",L179+I179)</f>
        <v/>
      </c>
      <c r="N179" s="7">
        <f>IF($Q179="","",O179-M179)</f>
        <v/>
      </c>
      <c r="O179" s="7">
        <f>IF($Q179="","",H179+K179)</f>
        <v/>
      </c>
      <c r="P179" s="7">
        <f>IF($Q179="","",O179-M179-F179)</f>
        <v/>
      </c>
      <c r="Q179" s="13">
        <f>IF(ROWS($Q$2:$Q179)&lt;=MAX('Per Line'!$W$2:$W$501),MATCH(ROWS($Q$2:$Q179),'Per Line'!$W$2:$W$501,0),"")</f>
        <v/>
      </c>
    </row>
    <row r="180">
      <c r="A180" s="12" t="n"/>
      <c r="B180">
        <f>IF($Q180="","",INDEX('Per Line'!$A$2:$A$501,$Q180)&amp;"")</f>
        <v/>
      </c>
      <c r="C180">
        <f>IF($Q180="","",INDEX('Per Line'!$D$2:$D$501,$Q180)&amp;"")</f>
        <v/>
      </c>
      <c r="D180">
        <f>IF($Q180="","",INDEX('Per Line'!$E$2:$E$501,$Q180)&amp;"")</f>
        <v/>
      </c>
      <c r="E180">
        <f>IF($Q180="","",INDEX('Per Line'!$F$2:$F$501,$Q180))</f>
        <v/>
      </c>
      <c r="F180" s="7">
        <f>IF($Q180="","",E180*N180/100)</f>
        <v/>
      </c>
      <c r="G180">
        <f>IF($Q180="","",Settings!$C$7)</f>
        <v/>
      </c>
      <c r="H180" s="7">
        <f>IF($Q180="","",SUMIFS('Per Line'!$L$2:$L$501,'Per Line'!$A$2:$A$501,$B180,'Per Line'!$X$2:$X$501,0))</f>
        <v/>
      </c>
      <c r="I180" s="7">
        <f>IF($Q180="","",H180*G180)</f>
        <v/>
      </c>
      <c r="J180">
        <f>IF($Q180="","",Settings!$C$6)</f>
        <v/>
      </c>
      <c r="K180" s="7">
        <f>IF($Q180="","",SUMIFS('Per Line'!$L$2:$L$501,'Per Line'!$A$2:$A$501,$B180,'Per Line'!$X$2:$X$501,1))</f>
        <v/>
      </c>
      <c r="L180" s="7">
        <f>IF($Q180="","",K180*J180)</f>
        <v/>
      </c>
      <c r="M180" s="7">
        <f>IF($Q180="","",L180+I180)</f>
        <v/>
      </c>
      <c r="N180" s="7">
        <f>IF($Q180="","",O180-M180)</f>
        <v/>
      </c>
      <c r="O180" s="7">
        <f>IF($Q180="","",H180+K180)</f>
        <v/>
      </c>
      <c r="P180" s="7">
        <f>IF($Q180="","",O180-M180-F180)</f>
        <v/>
      </c>
      <c r="Q180" s="13">
        <f>IF(ROWS($Q$2:$Q180)&lt;=MAX('Per Line'!$W$2:$W$501),MATCH(ROWS($Q$2:$Q180),'Per Line'!$W$2:$W$501,0),"")</f>
        <v/>
      </c>
    </row>
    <row r="181">
      <c r="A181" s="12" t="n"/>
      <c r="B181">
        <f>IF($Q181="","",INDEX('Per Line'!$A$2:$A$501,$Q181)&amp;"")</f>
        <v/>
      </c>
      <c r="C181">
        <f>IF($Q181="","",INDEX('Per Line'!$D$2:$D$501,$Q181)&amp;"")</f>
        <v/>
      </c>
      <c r="D181">
        <f>IF($Q181="","",INDEX('Per Line'!$E$2:$E$501,$Q181)&amp;"")</f>
        <v/>
      </c>
      <c r="E181">
        <f>IF($Q181="","",INDEX('Per Line'!$F$2:$F$501,$Q181))</f>
        <v/>
      </c>
      <c r="F181" s="7">
        <f>IF($Q181="","",E181*N181/100)</f>
        <v/>
      </c>
      <c r="G181">
        <f>IF($Q181="","",Settings!$C$7)</f>
        <v/>
      </c>
      <c r="H181" s="7">
        <f>IF($Q181="","",SUMIFS('Per Line'!$L$2:$L$501,'Per Line'!$A$2:$A$501,$B181,'Per Line'!$X$2:$X$501,0))</f>
        <v/>
      </c>
      <c r="I181" s="7">
        <f>IF($Q181="","",H181*G181)</f>
        <v/>
      </c>
      <c r="J181">
        <f>IF($Q181="","",Settings!$C$6)</f>
        <v/>
      </c>
      <c r="K181" s="7">
        <f>IF($Q181="","",SUMIFS('Per Line'!$L$2:$L$501,'Per Line'!$A$2:$A$501,$B181,'Per Line'!$X$2:$X$501,1))</f>
        <v/>
      </c>
      <c r="L181" s="7">
        <f>IF($Q181="","",K181*J181)</f>
        <v/>
      </c>
      <c r="M181" s="7">
        <f>IF($Q181="","",L181+I181)</f>
        <v/>
      </c>
      <c r="N181" s="7">
        <f>IF($Q181="","",O181-M181)</f>
        <v/>
      </c>
      <c r="O181" s="7">
        <f>IF($Q181="","",H181+K181)</f>
        <v/>
      </c>
      <c r="P181" s="7">
        <f>IF($Q181="","",O181-M181-F181)</f>
        <v/>
      </c>
      <c r="Q181" s="13">
        <f>IF(ROWS($Q$2:$Q181)&lt;=MAX('Per Line'!$W$2:$W$501),MATCH(ROWS($Q$2:$Q181),'Per Line'!$W$2:$W$501,0),"")</f>
        <v/>
      </c>
    </row>
    <row r="182">
      <c r="A182" s="12" t="n"/>
      <c r="B182">
        <f>IF($Q182="","",INDEX('Per Line'!$A$2:$A$501,$Q182)&amp;"")</f>
        <v/>
      </c>
      <c r="C182">
        <f>IF($Q182="","",INDEX('Per Line'!$D$2:$D$501,$Q182)&amp;"")</f>
        <v/>
      </c>
      <c r="D182">
        <f>IF($Q182="","",INDEX('Per Line'!$E$2:$E$501,$Q182)&amp;"")</f>
        <v/>
      </c>
      <c r="E182">
        <f>IF($Q182="","",INDEX('Per Line'!$F$2:$F$501,$Q182))</f>
        <v/>
      </c>
      <c r="F182" s="7">
        <f>IF($Q182="","",E182*N182/100)</f>
        <v/>
      </c>
      <c r="G182">
        <f>IF($Q182="","",Settings!$C$7)</f>
        <v/>
      </c>
      <c r="H182" s="7">
        <f>IF($Q182="","",SUMIFS('Per Line'!$L$2:$L$501,'Per Line'!$A$2:$A$501,$B182,'Per Line'!$X$2:$X$501,0))</f>
        <v/>
      </c>
      <c r="I182" s="7">
        <f>IF($Q182="","",H182*G182)</f>
        <v/>
      </c>
      <c r="J182">
        <f>IF($Q182="","",Settings!$C$6)</f>
        <v/>
      </c>
      <c r="K182" s="7">
        <f>IF($Q182="","",SUMIFS('Per Line'!$L$2:$L$501,'Per Line'!$A$2:$A$501,$B182,'Per Line'!$X$2:$X$501,1))</f>
        <v/>
      </c>
      <c r="L182" s="7">
        <f>IF($Q182="","",K182*J182)</f>
        <v/>
      </c>
      <c r="M182" s="7">
        <f>IF($Q182="","",L182+I182)</f>
        <v/>
      </c>
      <c r="N182" s="7">
        <f>IF($Q182="","",O182-M182)</f>
        <v/>
      </c>
      <c r="O182" s="7">
        <f>IF($Q182="","",H182+K182)</f>
        <v/>
      </c>
      <c r="P182" s="7">
        <f>IF($Q182="","",O182-M182-F182)</f>
        <v/>
      </c>
      <c r="Q182" s="13">
        <f>IF(ROWS($Q$2:$Q182)&lt;=MAX('Per Line'!$W$2:$W$501),MATCH(ROWS($Q$2:$Q182),'Per Line'!$W$2:$W$501,0),"")</f>
        <v/>
      </c>
    </row>
    <row r="183">
      <c r="A183" s="12" t="n"/>
      <c r="B183">
        <f>IF($Q183="","",INDEX('Per Line'!$A$2:$A$501,$Q183)&amp;"")</f>
        <v/>
      </c>
      <c r="C183">
        <f>IF($Q183="","",INDEX('Per Line'!$D$2:$D$501,$Q183)&amp;"")</f>
        <v/>
      </c>
      <c r="D183">
        <f>IF($Q183="","",INDEX('Per Line'!$E$2:$E$501,$Q183)&amp;"")</f>
        <v/>
      </c>
      <c r="E183">
        <f>IF($Q183="","",INDEX('Per Line'!$F$2:$F$501,$Q183))</f>
        <v/>
      </c>
      <c r="F183" s="7">
        <f>IF($Q183="","",E183*N183/100)</f>
        <v/>
      </c>
      <c r="G183">
        <f>IF($Q183="","",Settings!$C$7)</f>
        <v/>
      </c>
      <c r="H183" s="7">
        <f>IF($Q183="","",SUMIFS('Per Line'!$L$2:$L$501,'Per Line'!$A$2:$A$501,$B183,'Per Line'!$X$2:$X$501,0))</f>
        <v/>
      </c>
      <c r="I183" s="7">
        <f>IF($Q183="","",H183*G183)</f>
        <v/>
      </c>
      <c r="J183">
        <f>IF($Q183="","",Settings!$C$6)</f>
        <v/>
      </c>
      <c r="K183" s="7">
        <f>IF($Q183="","",SUMIFS('Per Line'!$L$2:$L$501,'Per Line'!$A$2:$A$501,$B183,'Per Line'!$X$2:$X$501,1))</f>
        <v/>
      </c>
      <c r="L183" s="7">
        <f>IF($Q183="","",K183*J183)</f>
        <v/>
      </c>
      <c r="M183" s="7">
        <f>IF($Q183="","",L183+I183)</f>
        <v/>
      </c>
      <c r="N183" s="7">
        <f>IF($Q183="","",O183-M183)</f>
        <v/>
      </c>
      <c r="O183" s="7">
        <f>IF($Q183="","",H183+K183)</f>
        <v/>
      </c>
      <c r="P183" s="7">
        <f>IF($Q183="","",O183-M183-F183)</f>
        <v/>
      </c>
      <c r="Q183" s="13">
        <f>IF(ROWS($Q$2:$Q183)&lt;=MAX('Per Line'!$W$2:$W$501),MATCH(ROWS($Q$2:$Q183),'Per Line'!$W$2:$W$501,0),"")</f>
        <v/>
      </c>
    </row>
    <row r="184">
      <c r="A184" s="12" t="n"/>
      <c r="B184">
        <f>IF($Q184="","",INDEX('Per Line'!$A$2:$A$501,$Q184)&amp;"")</f>
        <v/>
      </c>
      <c r="C184">
        <f>IF($Q184="","",INDEX('Per Line'!$D$2:$D$501,$Q184)&amp;"")</f>
        <v/>
      </c>
      <c r="D184">
        <f>IF($Q184="","",INDEX('Per Line'!$E$2:$E$501,$Q184)&amp;"")</f>
        <v/>
      </c>
      <c r="E184">
        <f>IF($Q184="","",INDEX('Per Line'!$F$2:$F$501,$Q184))</f>
        <v/>
      </c>
      <c r="F184" s="7">
        <f>IF($Q184="","",E184*N184/100)</f>
        <v/>
      </c>
      <c r="G184">
        <f>IF($Q184="","",Settings!$C$7)</f>
        <v/>
      </c>
      <c r="H184" s="7">
        <f>IF($Q184="","",SUMIFS('Per Line'!$L$2:$L$501,'Per Line'!$A$2:$A$501,$B184,'Per Line'!$X$2:$X$501,0))</f>
        <v/>
      </c>
      <c r="I184" s="7">
        <f>IF($Q184="","",H184*G184)</f>
        <v/>
      </c>
      <c r="J184">
        <f>IF($Q184="","",Settings!$C$6)</f>
        <v/>
      </c>
      <c r="K184" s="7">
        <f>IF($Q184="","",SUMIFS('Per Line'!$L$2:$L$501,'Per Line'!$A$2:$A$501,$B184,'Per Line'!$X$2:$X$501,1))</f>
        <v/>
      </c>
      <c r="L184" s="7">
        <f>IF($Q184="","",K184*J184)</f>
        <v/>
      </c>
      <c r="M184" s="7">
        <f>IF($Q184="","",L184+I184)</f>
        <v/>
      </c>
      <c r="N184" s="7">
        <f>IF($Q184="","",O184-M184)</f>
        <v/>
      </c>
      <c r="O184" s="7">
        <f>IF($Q184="","",H184+K184)</f>
        <v/>
      </c>
      <c r="P184" s="7">
        <f>IF($Q184="","",O184-M184-F184)</f>
        <v/>
      </c>
      <c r="Q184" s="13">
        <f>IF(ROWS($Q$2:$Q184)&lt;=MAX('Per Line'!$W$2:$W$501),MATCH(ROWS($Q$2:$Q184),'Per Line'!$W$2:$W$501,0),"")</f>
        <v/>
      </c>
    </row>
    <row r="185">
      <c r="A185" s="12" t="n"/>
      <c r="B185">
        <f>IF($Q185="","",INDEX('Per Line'!$A$2:$A$501,$Q185)&amp;"")</f>
        <v/>
      </c>
      <c r="C185">
        <f>IF($Q185="","",INDEX('Per Line'!$D$2:$D$501,$Q185)&amp;"")</f>
        <v/>
      </c>
      <c r="D185">
        <f>IF($Q185="","",INDEX('Per Line'!$E$2:$E$501,$Q185)&amp;"")</f>
        <v/>
      </c>
      <c r="E185">
        <f>IF($Q185="","",INDEX('Per Line'!$F$2:$F$501,$Q185))</f>
        <v/>
      </c>
      <c r="F185" s="7">
        <f>IF($Q185="","",E185*N185/100)</f>
        <v/>
      </c>
      <c r="G185">
        <f>IF($Q185="","",Settings!$C$7)</f>
        <v/>
      </c>
      <c r="H185" s="7">
        <f>IF($Q185="","",SUMIFS('Per Line'!$L$2:$L$501,'Per Line'!$A$2:$A$501,$B185,'Per Line'!$X$2:$X$501,0))</f>
        <v/>
      </c>
      <c r="I185" s="7">
        <f>IF($Q185="","",H185*G185)</f>
        <v/>
      </c>
      <c r="J185">
        <f>IF($Q185="","",Settings!$C$6)</f>
        <v/>
      </c>
      <c r="K185" s="7">
        <f>IF($Q185="","",SUMIFS('Per Line'!$L$2:$L$501,'Per Line'!$A$2:$A$501,$B185,'Per Line'!$X$2:$X$501,1))</f>
        <v/>
      </c>
      <c r="L185" s="7">
        <f>IF($Q185="","",K185*J185)</f>
        <v/>
      </c>
      <c r="M185" s="7">
        <f>IF($Q185="","",L185+I185)</f>
        <v/>
      </c>
      <c r="N185" s="7">
        <f>IF($Q185="","",O185-M185)</f>
        <v/>
      </c>
      <c r="O185" s="7">
        <f>IF($Q185="","",H185+K185)</f>
        <v/>
      </c>
      <c r="P185" s="7">
        <f>IF($Q185="","",O185-M185-F185)</f>
        <v/>
      </c>
      <c r="Q185" s="13">
        <f>IF(ROWS($Q$2:$Q185)&lt;=MAX('Per Line'!$W$2:$W$501),MATCH(ROWS($Q$2:$Q185),'Per Line'!$W$2:$W$501,0),"")</f>
        <v/>
      </c>
    </row>
    <row r="186">
      <c r="A186" s="12" t="n"/>
      <c r="B186">
        <f>IF($Q186="","",INDEX('Per Line'!$A$2:$A$501,$Q186)&amp;"")</f>
        <v/>
      </c>
      <c r="C186">
        <f>IF($Q186="","",INDEX('Per Line'!$D$2:$D$501,$Q186)&amp;"")</f>
        <v/>
      </c>
      <c r="D186">
        <f>IF($Q186="","",INDEX('Per Line'!$E$2:$E$501,$Q186)&amp;"")</f>
        <v/>
      </c>
      <c r="E186">
        <f>IF($Q186="","",INDEX('Per Line'!$F$2:$F$501,$Q186))</f>
        <v/>
      </c>
      <c r="F186" s="7">
        <f>IF($Q186="","",E186*N186/100)</f>
        <v/>
      </c>
      <c r="G186">
        <f>IF($Q186="","",Settings!$C$7)</f>
        <v/>
      </c>
      <c r="H186" s="7">
        <f>IF($Q186="","",SUMIFS('Per Line'!$L$2:$L$501,'Per Line'!$A$2:$A$501,$B186,'Per Line'!$X$2:$X$501,0))</f>
        <v/>
      </c>
      <c r="I186" s="7">
        <f>IF($Q186="","",H186*G186)</f>
        <v/>
      </c>
      <c r="J186">
        <f>IF($Q186="","",Settings!$C$6)</f>
        <v/>
      </c>
      <c r="K186" s="7">
        <f>IF($Q186="","",SUMIFS('Per Line'!$L$2:$L$501,'Per Line'!$A$2:$A$501,$B186,'Per Line'!$X$2:$X$501,1))</f>
        <v/>
      </c>
      <c r="L186" s="7">
        <f>IF($Q186="","",K186*J186)</f>
        <v/>
      </c>
      <c r="M186" s="7">
        <f>IF($Q186="","",L186+I186)</f>
        <v/>
      </c>
      <c r="N186" s="7">
        <f>IF($Q186="","",O186-M186)</f>
        <v/>
      </c>
      <c r="O186" s="7">
        <f>IF($Q186="","",H186+K186)</f>
        <v/>
      </c>
      <c r="P186" s="7">
        <f>IF($Q186="","",O186-M186-F186)</f>
        <v/>
      </c>
      <c r="Q186" s="13">
        <f>IF(ROWS($Q$2:$Q186)&lt;=MAX('Per Line'!$W$2:$W$501),MATCH(ROWS($Q$2:$Q186),'Per Line'!$W$2:$W$501,0),"")</f>
        <v/>
      </c>
    </row>
    <row r="187">
      <c r="A187" s="12" t="n"/>
      <c r="B187">
        <f>IF($Q187="","",INDEX('Per Line'!$A$2:$A$501,$Q187)&amp;"")</f>
        <v/>
      </c>
      <c r="C187">
        <f>IF($Q187="","",INDEX('Per Line'!$D$2:$D$501,$Q187)&amp;"")</f>
        <v/>
      </c>
      <c r="D187">
        <f>IF($Q187="","",INDEX('Per Line'!$E$2:$E$501,$Q187)&amp;"")</f>
        <v/>
      </c>
      <c r="E187">
        <f>IF($Q187="","",INDEX('Per Line'!$F$2:$F$501,$Q187))</f>
        <v/>
      </c>
      <c r="F187" s="7">
        <f>IF($Q187="","",E187*N187/100)</f>
        <v/>
      </c>
      <c r="G187">
        <f>IF($Q187="","",Settings!$C$7)</f>
        <v/>
      </c>
      <c r="H187" s="7">
        <f>IF($Q187="","",SUMIFS('Per Line'!$L$2:$L$501,'Per Line'!$A$2:$A$501,$B187,'Per Line'!$X$2:$X$501,0))</f>
        <v/>
      </c>
      <c r="I187" s="7">
        <f>IF($Q187="","",H187*G187)</f>
        <v/>
      </c>
      <c r="J187">
        <f>IF($Q187="","",Settings!$C$6)</f>
        <v/>
      </c>
      <c r="K187" s="7">
        <f>IF($Q187="","",SUMIFS('Per Line'!$L$2:$L$501,'Per Line'!$A$2:$A$501,$B187,'Per Line'!$X$2:$X$501,1))</f>
        <v/>
      </c>
      <c r="L187" s="7">
        <f>IF($Q187="","",K187*J187)</f>
        <v/>
      </c>
      <c r="M187" s="7">
        <f>IF($Q187="","",L187+I187)</f>
        <v/>
      </c>
      <c r="N187" s="7">
        <f>IF($Q187="","",O187-M187)</f>
        <v/>
      </c>
      <c r="O187" s="7">
        <f>IF($Q187="","",H187+K187)</f>
        <v/>
      </c>
      <c r="P187" s="7">
        <f>IF($Q187="","",O187-M187-F187)</f>
        <v/>
      </c>
      <c r="Q187" s="13">
        <f>IF(ROWS($Q$2:$Q187)&lt;=MAX('Per Line'!$W$2:$W$501),MATCH(ROWS($Q$2:$Q187),'Per Line'!$W$2:$W$501,0),"")</f>
        <v/>
      </c>
    </row>
    <row r="188">
      <c r="A188" s="12" t="n"/>
      <c r="B188">
        <f>IF($Q188="","",INDEX('Per Line'!$A$2:$A$501,$Q188)&amp;"")</f>
        <v/>
      </c>
      <c r="C188">
        <f>IF($Q188="","",INDEX('Per Line'!$D$2:$D$501,$Q188)&amp;"")</f>
        <v/>
      </c>
      <c r="D188">
        <f>IF($Q188="","",INDEX('Per Line'!$E$2:$E$501,$Q188)&amp;"")</f>
        <v/>
      </c>
      <c r="E188">
        <f>IF($Q188="","",INDEX('Per Line'!$F$2:$F$501,$Q188))</f>
        <v/>
      </c>
      <c r="F188" s="7">
        <f>IF($Q188="","",E188*N188/100)</f>
        <v/>
      </c>
      <c r="G188">
        <f>IF($Q188="","",Settings!$C$7)</f>
        <v/>
      </c>
      <c r="H188" s="7">
        <f>IF($Q188="","",SUMIFS('Per Line'!$L$2:$L$501,'Per Line'!$A$2:$A$501,$B188,'Per Line'!$X$2:$X$501,0))</f>
        <v/>
      </c>
      <c r="I188" s="7">
        <f>IF($Q188="","",H188*G188)</f>
        <v/>
      </c>
      <c r="J188">
        <f>IF($Q188="","",Settings!$C$6)</f>
        <v/>
      </c>
      <c r="K188" s="7">
        <f>IF($Q188="","",SUMIFS('Per Line'!$L$2:$L$501,'Per Line'!$A$2:$A$501,$B188,'Per Line'!$X$2:$X$501,1))</f>
        <v/>
      </c>
      <c r="L188" s="7">
        <f>IF($Q188="","",K188*J188)</f>
        <v/>
      </c>
      <c r="M188" s="7">
        <f>IF($Q188="","",L188+I188)</f>
        <v/>
      </c>
      <c r="N188" s="7">
        <f>IF($Q188="","",O188-M188)</f>
        <v/>
      </c>
      <c r="O188" s="7">
        <f>IF($Q188="","",H188+K188)</f>
        <v/>
      </c>
      <c r="P188" s="7">
        <f>IF($Q188="","",O188-M188-F188)</f>
        <v/>
      </c>
      <c r="Q188" s="13">
        <f>IF(ROWS($Q$2:$Q188)&lt;=MAX('Per Line'!$W$2:$W$501),MATCH(ROWS($Q$2:$Q188),'Per Line'!$W$2:$W$501,0),"")</f>
        <v/>
      </c>
    </row>
    <row r="189">
      <c r="A189" s="12" t="n"/>
      <c r="B189">
        <f>IF($Q189="","",INDEX('Per Line'!$A$2:$A$501,$Q189)&amp;"")</f>
        <v/>
      </c>
      <c r="C189">
        <f>IF($Q189="","",INDEX('Per Line'!$D$2:$D$501,$Q189)&amp;"")</f>
        <v/>
      </c>
      <c r="D189">
        <f>IF($Q189="","",INDEX('Per Line'!$E$2:$E$501,$Q189)&amp;"")</f>
        <v/>
      </c>
      <c r="E189">
        <f>IF($Q189="","",INDEX('Per Line'!$F$2:$F$501,$Q189))</f>
        <v/>
      </c>
      <c r="F189" s="7">
        <f>IF($Q189="","",E189*N189/100)</f>
        <v/>
      </c>
      <c r="G189">
        <f>IF($Q189="","",Settings!$C$7)</f>
        <v/>
      </c>
      <c r="H189" s="7">
        <f>IF($Q189="","",SUMIFS('Per Line'!$L$2:$L$501,'Per Line'!$A$2:$A$501,$B189,'Per Line'!$X$2:$X$501,0))</f>
        <v/>
      </c>
      <c r="I189" s="7">
        <f>IF($Q189="","",H189*G189)</f>
        <v/>
      </c>
      <c r="J189">
        <f>IF($Q189="","",Settings!$C$6)</f>
        <v/>
      </c>
      <c r="K189" s="7">
        <f>IF($Q189="","",SUMIFS('Per Line'!$L$2:$L$501,'Per Line'!$A$2:$A$501,$B189,'Per Line'!$X$2:$X$501,1))</f>
        <v/>
      </c>
      <c r="L189" s="7">
        <f>IF($Q189="","",K189*J189)</f>
        <v/>
      </c>
      <c r="M189" s="7">
        <f>IF($Q189="","",L189+I189)</f>
        <v/>
      </c>
      <c r="N189" s="7">
        <f>IF($Q189="","",O189-M189)</f>
        <v/>
      </c>
      <c r="O189" s="7">
        <f>IF($Q189="","",H189+K189)</f>
        <v/>
      </c>
      <c r="P189" s="7">
        <f>IF($Q189="","",O189-M189-F189)</f>
        <v/>
      </c>
      <c r="Q189" s="13">
        <f>IF(ROWS($Q$2:$Q189)&lt;=MAX('Per Line'!$W$2:$W$501),MATCH(ROWS($Q$2:$Q189),'Per Line'!$W$2:$W$501,0),"")</f>
        <v/>
      </c>
    </row>
    <row r="190">
      <c r="A190" s="12" t="n"/>
      <c r="B190">
        <f>IF($Q190="","",INDEX('Per Line'!$A$2:$A$501,$Q190)&amp;"")</f>
        <v/>
      </c>
      <c r="C190">
        <f>IF($Q190="","",INDEX('Per Line'!$D$2:$D$501,$Q190)&amp;"")</f>
        <v/>
      </c>
      <c r="D190">
        <f>IF($Q190="","",INDEX('Per Line'!$E$2:$E$501,$Q190)&amp;"")</f>
        <v/>
      </c>
      <c r="E190">
        <f>IF($Q190="","",INDEX('Per Line'!$F$2:$F$501,$Q190))</f>
        <v/>
      </c>
      <c r="F190" s="7">
        <f>IF($Q190="","",E190*N190/100)</f>
        <v/>
      </c>
      <c r="G190">
        <f>IF($Q190="","",Settings!$C$7)</f>
        <v/>
      </c>
      <c r="H190" s="7">
        <f>IF($Q190="","",SUMIFS('Per Line'!$L$2:$L$501,'Per Line'!$A$2:$A$501,$B190,'Per Line'!$X$2:$X$501,0))</f>
        <v/>
      </c>
      <c r="I190" s="7">
        <f>IF($Q190="","",H190*G190)</f>
        <v/>
      </c>
      <c r="J190">
        <f>IF($Q190="","",Settings!$C$6)</f>
        <v/>
      </c>
      <c r="K190" s="7">
        <f>IF($Q190="","",SUMIFS('Per Line'!$L$2:$L$501,'Per Line'!$A$2:$A$501,$B190,'Per Line'!$X$2:$X$501,1))</f>
        <v/>
      </c>
      <c r="L190" s="7">
        <f>IF($Q190="","",K190*J190)</f>
        <v/>
      </c>
      <c r="M190" s="7">
        <f>IF($Q190="","",L190+I190)</f>
        <v/>
      </c>
      <c r="N190" s="7">
        <f>IF($Q190="","",O190-M190)</f>
        <v/>
      </c>
      <c r="O190" s="7">
        <f>IF($Q190="","",H190+K190)</f>
        <v/>
      </c>
      <c r="P190" s="7">
        <f>IF($Q190="","",O190-M190-F190)</f>
        <v/>
      </c>
      <c r="Q190" s="13">
        <f>IF(ROWS($Q$2:$Q190)&lt;=MAX('Per Line'!$W$2:$W$501),MATCH(ROWS($Q$2:$Q190),'Per Line'!$W$2:$W$501,0),"")</f>
        <v/>
      </c>
    </row>
    <row r="191">
      <c r="A191" s="12" t="n"/>
      <c r="B191">
        <f>IF($Q191="","",INDEX('Per Line'!$A$2:$A$501,$Q191)&amp;"")</f>
        <v/>
      </c>
      <c r="C191">
        <f>IF($Q191="","",INDEX('Per Line'!$D$2:$D$501,$Q191)&amp;"")</f>
        <v/>
      </c>
      <c r="D191">
        <f>IF($Q191="","",INDEX('Per Line'!$E$2:$E$501,$Q191)&amp;"")</f>
        <v/>
      </c>
      <c r="E191">
        <f>IF($Q191="","",INDEX('Per Line'!$F$2:$F$501,$Q191))</f>
        <v/>
      </c>
      <c r="F191" s="7">
        <f>IF($Q191="","",E191*N191/100)</f>
        <v/>
      </c>
      <c r="G191">
        <f>IF($Q191="","",Settings!$C$7)</f>
        <v/>
      </c>
      <c r="H191" s="7">
        <f>IF($Q191="","",SUMIFS('Per Line'!$L$2:$L$501,'Per Line'!$A$2:$A$501,$B191,'Per Line'!$X$2:$X$501,0))</f>
        <v/>
      </c>
      <c r="I191" s="7">
        <f>IF($Q191="","",H191*G191)</f>
        <v/>
      </c>
      <c r="J191">
        <f>IF($Q191="","",Settings!$C$6)</f>
        <v/>
      </c>
      <c r="K191" s="7">
        <f>IF($Q191="","",SUMIFS('Per Line'!$L$2:$L$501,'Per Line'!$A$2:$A$501,$B191,'Per Line'!$X$2:$X$501,1))</f>
        <v/>
      </c>
      <c r="L191" s="7">
        <f>IF($Q191="","",K191*J191)</f>
        <v/>
      </c>
      <c r="M191" s="7">
        <f>IF($Q191="","",L191+I191)</f>
        <v/>
      </c>
      <c r="N191" s="7">
        <f>IF($Q191="","",O191-M191)</f>
        <v/>
      </c>
      <c r="O191" s="7">
        <f>IF($Q191="","",H191+K191)</f>
        <v/>
      </c>
      <c r="P191" s="7">
        <f>IF($Q191="","",O191-M191-F191)</f>
        <v/>
      </c>
      <c r="Q191" s="13">
        <f>IF(ROWS($Q$2:$Q191)&lt;=MAX('Per Line'!$W$2:$W$501),MATCH(ROWS($Q$2:$Q191),'Per Line'!$W$2:$W$501,0),"")</f>
        <v/>
      </c>
    </row>
    <row r="192">
      <c r="A192" s="12" t="n"/>
      <c r="B192">
        <f>IF($Q192="","",INDEX('Per Line'!$A$2:$A$501,$Q192)&amp;"")</f>
        <v/>
      </c>
      <c r="C192">
        <f>IF($Q192="","",INDEX('Per Line'!$D$2:$D$501,$Q192)&amp;"")</f>
        <v/>
      </c>
      <c r="D192">
        <f>IF($Q192="","",INDEX('Per Line'!$E$2:$E$501,$Q192)&amp;"")</f>
        <v/>
      </c>
      <c r="E192">
        <f>IF($Q192="","",INDEX('Per Line'!$F$2:$F$501,$Q192))</f>
        <v/>
      </c>
      <c r="F192" s="7">
        <f>IF($Q192="","",E192*N192/100)</f>
        <v/>
      </c>
      <c r="G192">
        <f>IF($Q192="","",Settings!$C$7)</f>
        <v/>
      </c>
      <c r="H192" s="7">
        <f>IF($Q192="","",SUMIFS('Per Line'!$L$2:$L$501,'Per Line'!$A$2:$A$501,$B192,'Per Line'!$X$2:$X$501,0))</f>
        <v/>
      </c>
      <c r="I192" s="7">
        <f>IF($Q192="","",H192*G192)</f>
        <v/>
      </c>
      <c r="J192">
        <f>IF($Q192="","",Settings!$C$6)</f>
        <v/>
      </c>
      <c r="K192" s="7">
        <f>IF($Q192="","",SUMIFS('Per Line'!$L$2:$L$501,'Per Line'!$A$2:$A$501,$B192,'Per Line'!$X$2:$X$501,1))</f>
        <v/>
      </c>
      <c r="L192" s="7">
        <f>IF($Q192="","",K192*J192)</f>
        <v/>
      </c>
      <c r="M192" s="7">
        <f>IF($Q192="","",L192+I192)</f>
        <v/>
      </c>
      <c r="N192" s="7">
        <f>IF($Q192="","",O192-M192)</f>
        <v/>
      </c>
      <c r="O192" s="7">
        <f>IF($Q192="","",H192+K192)</f>
        <v/>
      </c>
      <c r="P192" s="7">
        <f>IF($Q192="","",O192-M192-F192)</f>
        <v/>
      </c>
      <c r="Q192" s="13">
        <f>IF(ROWS($Q$2:$Q192)&lt;=MAX('Per Line'!$W$2:$W$501),MATCH(ROWS($Q$2:$Q192),'Per Line'!$W$2:$W$501,0),"")</f>
        <v/>
      </c>
    </row>
    <row r="193">
      <c r="A193" s="12" t="n"/>
      <c r="B193">
        <f>IF($Q193="","",INDEX('Per Line'!$A$2:$A$501,$Q193)&amp;"")</f>
        <v/>
      </c>
      <c r="C193">
        <f>IF($Q193="","",INDEX('Per Line'!$D$2:$D$501,$Q193)&amp;"")</f>
        <v/>
      </c>
      <c r="D193">
        <f>IF($Q193="","",INDEX('Per Line'!$E$2:$E$501,$Q193)&amp;"")</f>
        <v/>
      </c>
      <c r="E193">
        <f>IF($Q193="","",INDEX('Per Line'!$F$2:$F$501,$Q193))</f>
        <v/>
      </c>
      <c r="F193" s="7">
        <f>IF($Q193="","",E193*N193/100)</f>
        <v/>
      </c>
      <c r="G193">
        <f>IF($Q193="","",Settings!$C$7)</f>
        <v/>
      </c>
      <c r="H193" s="7">
        <f>IF($Q193="","",SUMIFS('Per Line'!$L$2:$L$501,'Per Line'!$A$2:$A$501,$B193,'Per Line'!$X$2:$X$501,0))</f>
        <v/>
      </c>
      <c r="I193" s="7">
        <f>IF($Q193="","",H193*G193)</f>
        <v/>
      </c>
      <c r="J193">
        <f>IF($Q193="","",Settings!$C$6)</f>
        <v/>
      </c>
      <c r="K193" s="7">
        <f>IF($Q193="","",SUMIFS('Per Line'!$L$2:$L$501,'Per Line'!$A$2:$A$501,$B193,'Per Line'!$X$2:$X$501,1))</f>
        <v/>
      </c>
      <c r="L193" s="7">
        <f>IF($Q193="","",K193*J193)</f>
        <v/>
      </c>
      <c r="M193" s="7">
        <f>IF($Q193="","",L193+I193)</f>
        <v/>
      </c>
      <c r="N193" s="7">
        <f>IF($Q193="","",O193-M193)</f>
        <v/>
      </c>
      <c r="O193" s="7">
        <f>IF($Q193="","",H193+K193)</f>
        <v/>
      </c>
      <c r="P193" s="7">
        <f>IF($Q193="","",O193-M193-F193)</f>
        <v/>
      </c>
      <c r="Q193" s="13">
        <f>IF(ROWS($Q$2:$Q193)&lt;=MAX('Per Line'!$W$2:$W$501),MATCH(ROWS($Q$2:$Q193),'Per Line'!$W$2:$W$501,0),"")</f>
        <v/>
      </c>
    </row>
    <row r="194">
      <c r="A194" s="12" t="n"/>
      <c r="B194">
        <f>IF($Q194="","",INDEX('Per Line'!$A$2:$A$501,$Q194)&amp;"")</f>
        <v/>
      </c>
      <c r="C194">
        <f>IF($Q194="","",INDEX('Per Line'!$D$2:$D$501,$Q194)&amp;"")</f>
        <v/>
      </c>
      <c r="D194">
        <f>IF($Q194="","",INDEX('Per Line'!$E$2:$E$501,$Q194)&amp;"")</f>
        <v/>
      </c>
      <c r="E194">
        <f>IF($Q194="","",INDEX('Per Line'!$F$2:$F$501,$Q194))</f>
        <v/>
      </c>
      <c r="F194" s="7">
        <f>IF($Q194="","",E194*N194/100)</f>
        <v/>
      </c>
      <c r="G194">
        <f>IF($Q194="","",Settings!$C$7)</f>
        <v/>
      </c>
      <c r="H194" s="7">
        <f>IF($Q194="","",SUMIFS('Per Line'!$L$2:$L$501,'Per Line'!$A$2:$A$501,$B194,'Per Line'!$X$2:$X$501,0))</f>
        <v/>
      </c>
      <c r="I194" s="7">
        <f>IF($Q194="","",H194*G194)</f>
        <v/>
      </c>
      <c r="J194">
        <f>IF($Q194="","",Settings!$C$6)</f>
        <v/>
      </c>
      <c r="K194" s="7">
        <f>IF($Q194="","",SUMIFS('Per Line'!$L$2:$L$501,'Per Line'!$A$2:$A$501,$B194,'Per Line'!$X$2:$X$501,1))</f>
        <v/>
      </c>
      <c r="L194" s="7">
        <f>IF($Q194="","",K194*J194)</f>
        <v/>
      </c>
      <c r="M194" s="7">
        <f>IF($Q194="","",L194+I194)</f>
        <v/>
      </c>
      <c r="N194" s="7">
        <f>IF($Q194="","",O194-M194)</f>
        <v/>
      </c>
      <c r="O194" s="7">
        <f>IF($Q194="","",H194+K194)</f>
        <v/>
      </c>
      <c r="P194" s="7">
        <f>IF($Q194="","",O194-M194-F194)</f>
        <v/>
      </c>
      <c r="Q194" s="13">
        <f>IF(ROWS($Q$2:$Q194)&lt;=MAX('Per Line'!$W$2:$W$501),MATCH(ROWS($Q$2:$Q194),'Per Line'!$W$2:$W$501,0),"")</f>
        <v/>
      </c>
    </row>
    <row r="195">
      <c r="A195" s="12" t="n"/>
      <c r="B195">
        <f>IF($Q195="","",INDEX('Per Line'!$A$2:$A$501,$Q195)&amp;"")</f>
        <v/>
      </c>
      <c r="C195">
        <f>IF($Q195="","",INDEX('Per Line'!$D$2:$D$501,$Q195)&amp;"")</f>
        <v/>
      </c>
      <c r="D195">
        <f>IF($Q195="","",INDEX('Per Line'!$E$2:$E$501,$Q195)&amp;"")</f>
        <v/>
      </c>
      <c r="E195">
        <f>IF($Q195="","",INDEX('Per Line'!$F$2:$F$501,$Q195))</f>
        <v/>
      </c>
      <c r="F195" s="7">
        <f>IF($Q195="","",E195*N195/100)</f>
        <v/>
      </c>
      <c r="G195">
        <f>IF($Q195="","",Settings!$C$7)</f>
        <v/>
      </c>
      <c r="H195" s="7">
        <f>IF($Q195="","",SUMIFS('Per Line'!$L$2:$L$501,'Per Line'!$A$2:$A$501,$B195,'Per Line'!$X$2:$X$501,0))</f>
        <v/>
      </c>
      <c r="I195" s="7">
        <f>IF($Q195="","",H195*G195)</f>
        <v/>
      </c>
      <c r="J195">
        <f>IF($Q195="","",Settings!$C$6)</f>
        <v/>
      </c>
      <c r="K195" s="7">
        <f>IF($Q195="","",SUMIFS('Per Line'!$L$2:$L$501,'Per Line'!$A$2:$A$501,$B195,'Per Line'!$X$2:$X$501,1))</f>
        <v/>
      </c>
      <c r="L195" s="7">
        <f>IF($Q195="","",K195*J195)</f>
        <v/>
      </c>
      <c r="M195" s="7">
        <f>IF($Q195="","",L195+I195)</f>
        <v/>
      </c>
      <c r="N195" s="7">
        <f>IF($Q195="","",O195-M195)</f>
        <v/>
      </c>
      <c r="O195" s="7">
        <f>IF($Q195="","",H195+K195)</f>
        <v/>
      </c>
      <c r="P195" s="7">
        <f>IF($Q195="","",O195-M195-F195)</f>
        <v/>
      </c>
      <c r="Q195" s="13">
        <f>IF(ROWS($Q$2:$Q195)&lt;=MAX('Per Line'!$W$2:$W$501),MATCH(ROWS($Q$2:$Q195),'Per Line'!$W$2:$W$501,0),"")</f>
        <v/>
      </c>
    </row>
    <row r="196">
      <c r="A196" s="12" t="n"/>
      <c r="B196">
        <f>IF($Q196="","",INDEX('Per Line'!$A$2:$A$501,$Q196)&amp;"")</f>
        <v/>
      </c>
      <c r="C196">
        <f>IF($Q196="","",INDEX('Per Line'!$D$2:$D$501,$Q196)&amp;"")</f>
        <v/>
      </c>
      <c r="D196">
        <f>IF($Q196="","",INDEX('Per Line'!$E$2:$E$501,$Q196)&amp;"")</f>
        <v/>
      </c>
      <c r="E196">
        <f>IF($Q196="","",INDEX('Per Line'!$F$2:$F$501,$Q196))</f>
        <v/>
      </c>
      <c r="F196" s="7">
        <f>IF($Q196="","",E196*N196/100)</f>
        <v/>
      </c>
      <c r="G196">
        <f>IF($Q196="","",Settings!$C$7)</f>
        <v/>
      </c>
      <c r="H196" s="7">
        <f>IF($Q196="","",SUMIFS('Per Line'!$L$2:$L$501,'Per Line'!$A$2:$A$501,$B196,'Per Line'!$X$2:$X$501,0))</f>
        <v/>
      </c>
      <c r="I196" s="7">
        <f>IF($Q196="","",H196*G196)</f>
        <v/>
      </c>
      <c r="J196">
        <f>IF($Q196="","",Settings!$C$6)</f>
        <v/>
      </c>
      <c r="K196" s="7">
        <f>IF($Q196="","",SUMIFS('Per Line'!$L$2:$L$501,'Per Line'!$A$2:$A$501,$B196,'Per Line'!$X$2:$X$501,1))</f>
        <v/>
      </c>
      <c r="L196" s="7">
        <f>IF($Q196="","",K196*J196)</f>
        <v/>
      </c>
      <c r="M196" s="7">
        <f>IF($Q196="","",L196+I196)</f>
        <v/>
      </c>
      <c r="N196" s="7">
        <f>IF($Q196="","",O196-M196)</f>
        <v/>
      </c>
      <c r="O196" s="7">
        <f>IF($Q196="","",H196+K196)</f>
        <v/>
      </c>
      <c r="P196" s="7">
        <f>IF($Q196="","",O196-M196-F196)</f>
        <v/>
      </c>
      <c r="Q196" s="13">
        <f>IF(ROWS($Q$2:$Q196)&lt;=MAX('Per Line'!$W$2:$W$501),MATCH(ROWS($Q$2:$Q196),'Per Line'!$W$2:$W$501,0),"")</f>
        <v/>
      </c>
    </row>
    <row r="197">
      <c r="A197" s="12" t="n"/>
      <c r="B197">
        <f>IF($Q197="","",INDEX('Per Line'!$A$2:$A$501,$Q197)&amp;"")</f>
        <v/>
      </c>
      <c r="C197">
        <f>IF($Q197="","",INDEX('Per Line'!$D$2:$D$501,$Q197)&amp;"")</f>
        <v/>
      </c>
      <c r="D197">
        <f>IF($Q197="","",INDEX('Per Line'!$E$2:$E$501,$Q197)&amp;"")</f>
        <v/>
      </c>
      <c r="E197">
        <f>IF($Q197="","",INDEX('Per Line'!$F$2:$F$501,$Q197))</f>
        <v/>
      </c>
      <c r="F197" s="7">
        <f>IF($Q197="","",E197*N197/100)</f>
        <v/>
      </c>
      <c r="G197">
        <f>IF($Q197="","",Settings!$C$7)</f>
        <v/>
      </c>
      <c r="H197" s="7">
        <f>IF($Q197="","",SUMIFS('Per Line'!$L$2:$L$501,'Per Line'!$A$2:$A$501,$B197,'Per Line'!$X$2:$X$501,0))</f>
        <v/>
      </c>
      <c r="I197" s="7">
        <f>IF($Q197="","",H197*G197)</f>
        <v/>
      </c>
      <c r="J197">
        <f>IF($Q197="","",Settings!$C$6)</f>
        <v/>
      </c>
      <c r="K197" s="7">
        <f>IF($Q197="","",SUMIFS('Per Line'!$L$2:$L$501,'Per Line'!$A$2:$A$501,$B197,'Per Line'!$X$2:$X$501,1))</f>
        <v/>
      </c>
      <c r="L197" s="7">
        <f>IF($Q197="","",K197*J197)</f>
        <v/>
      </c>
      <c r="M197" s="7">
        <f>IF($Q197="","",L197+I197)</f>
        <v/>
      </c>
      <c r="N197" s="7">
        <f>IF($Q197="","",O197-M197)</f>
        <v/>
      </c>
      <c r="O197" s="7">
        <f>IF($Q197="","",H197+K197)</f>
        <v/>
      </c>
      <c r="P197" s="7">
        <f>IF($Q197="","",O197-M197-F197)</f>
        <v/>
      </c>
      <c r="Q197" s="13">
        <f>IF(ROWS($Q$2:$Q197)&lt;=MAX('Per Line'!$W$2:$W$501),MATCH(ROWS($Q$2:$Q197),'Per Line'!$W$2:$W$501,0),"")</f>
        <v/>
      </c>
    </row>
    <row r="198">
      <c r="A198" s="12" t="n"/>
      <c r="B198">
        <f>IF($Q198="","",INDEX('Per Line'!$A$2:$A$501,$Q198)&amp;"")</f>
        <v/>
      </c>
      <c r="C198">
        <f>IF($Q198="","",INDEX('Per Line'!$D$2:$D$501,$Q198)&amp;"")</f>
        <v/>
      </c>
      <c r="D198">
        <f>IF($Q198="","",INDEX('Per Line'!$E$2:$E$501,$Q198)&amp;"")</f>
        <v/>
      </c>
      <c r="E198">
        <f>IF($Q198="","",INDEX('Per Line'!$F$2:$F$501,$Q198))</f>
        <v/>
      </c>
      <c r="F198" s="7">
        <f>IF($Q198="","",E198*N198/100)</f>
        <v/>
      </c>
      <c r="G198">
        <f>IF($Q198="","",Settings!$C$7)</f>
        <v/>
      </c>
      <c r="H198" s="7">
        <f>IF($Q198="","",SUMIFS('Per Line'!$L$2:$L$501,'Per Line'!$A$2:$A$501,$B198,'Per Line'!$X$2:$X$501,0))</f>
        <v/>
      </c>
      <c r="I198" s="7">
        <f>IF($Q198="","",H198*G198)</f>
        <v/>
      </c>
      <c r="J198">
        <f>IF($Q198="","",Settings!$C$6)</f>
        <v/>
      </c>
      <c r="K198" s="7">
        <f>IF($Q198="","",SUMIFS('Per Line'!$L$2:$L$501,'Per Line'!$A$2:$A$501,$B198,'Per Line'!$X$2:$X$501,1))</f>
        <v/>
      </c>
      <c r="L198" s="7">
        <f>IF($Q198="","",K198*J198)</f>
        <v/>
      </c>
      <c r="M198" s="7">
        <f>IF($Q198="","",L198+I198)</f>
        <v/>
      </c>
      <c r="N198" s="7">
        <f>IF($Q198="","",O198-M198)</f>
        <v/>
      </c>
      <c r="O198" s="7">
        <f>IF($Q198="","",H198+K198)</f>
        <v/>
      </c>
      <c r="P198" s="7">
        <f>IF($Q198="","",O198-M198-F198)</f>
        <v/>
      </c>
      <c r="Q198" s="13">
        <f>IF(ROWS($Q$2:$Q198)&lt;=MAX('Per Line'!$W$2:$W$501),MATCH(ROWS($Q$2:$Q198),'Per Line'!$W$2:$W$501,0),"")</f>
        <v/>
      </c>
    </row>
    <row r="199">
      <c r="A199" s="12" t="n"/>
      <c r="B199">
        <f>IF($Q199="","",INDEX('Per Line'!$A$2:$A$501,$Q199)&amp;"")</f>
        <v/>
      </c>
      <c r="C199">
        <f>IF($Q199="","",INDEX('Per Line'!$D$2:$D$501,$Q199)&amp;"")</f>
        <v/>
      </c>
      <c r="D199">
        <f>IF($Q199="","",INDEX('Per Line'!$E$2:$E$501,$Q199)&amp;"")</f>
        <v/>
      </c>
      <c r="E199">
        <f>IF($Q199="","",INDEX('Per Line'!$F$2:$F$501,$Q199))</f>
        <v/>
      </c>
      <c r="F199" s="7">
        <f>IF($Q199="","",E199*N199/100)</f>
        <v/>
      </c>
      <c r="G199">
        <f>IF($Q199="","",Settings!$C$7)</f>
        <v/>
      </c>
      <c r="H199" s="7">
        <f>IF($Q199="","",SUMIFS('Per Line'!$L$2:$L$501,'Per Line'!$A$2:$A$501,$B199,'Per Line'!$X$2:$X$501,0))</f>
        <v/>
      </c>
      <c r="I199" s="7">
        <f>IF($Q199="","",H199*G199)</f>
        <v/>
      </c>
      <c r="J199">
        <f>IF($Q199="","",Settings!$C$6)</f>
        <v/>
      </c>
      <c r="K199" s="7">
        <f>IF($Q199="","",SUMIFS('Per Line'!$L$2:$L$501,'Per Line'!$A$2:$A$501,$B199,'Per Line'!$X$2:$X$501,1))</f>
        <v/>
      </c>
      <c r="L199" s="7">
        <f>IF($Q199="","",K199*J199)</f>
        <v/>
      </c>
      <c r="M199" s="7">
        <f>IF($Q199="","",L199+I199)</f>
        <v/>
      </c>
      <c r="N199" s="7">
        <f>IF($Q199="","",O199-M199)</f>
        <v/>
      </c>
      <c r="O199" s="7">
        <f>IF($Q199="","",H199+K199)</f>
        <v/>
      </c>
      <c r="P199" s="7">
        <f>IF($Q199="","",O199-M199-F199)</f>
        <v/>
      </c>
      <c r="Q199" s="13">
        <f>IF(ROWS($Q$2:$Q199)&lt;=MAX('Per Line'!$W$2:$W$501),MATCH(ROWS($Q$2:$Q199),'Per Line'!$W$2:$W$501,0),"")</f>
        <v/>
      </c>
    </row>
    <row r="200">
      <c r="A200" s="12" t="n"/>
      <c r="B200">
        <f>IF($Q200="","",INDEX('Per Line'!$A$2:$A$501,$Q200)&amp;"")</f>
        <v/>
      </c>
      <c r="C200">
        <f>IF($Q200="","",INDEX('Per Line'!$D$2:$D$501,$Q200)&amp;"")</f>
        <v/>
      </c>
      <c r="D200">
        <f>IF($Q200="","",INDEX('Per Line'!$E$2:$E$501,$Q200)&amp;"")</f>
        <v/>
      </c>
      <c r="E200">
        <f>IF($Q200="","",INDEX('Per Line'!$F$2:$F$501,$Q200))</f>
        <v/>
      </c>
      <c r="F200" s="7">
        <f>IF($Q200="","",E200*N200/100)</f>
        <v/>
      </c>
      <c r="G200">
        <f>IF($Q200="","",Settings!$C$7)</f>
        <v/>
      </c>
      <c r="H200" s="7">
        <f>IF($Q200="","",SUMIFS('Per Line'!$L$2:$L$501,'Per Line'!$A$2:$A$501,$B200,'Per Line'!$X$2:$X$501,0))</f>
        <v/>
      </c>
      <c r="I200" s="7">
        <f>IF($Q200="","",H200*G200)</f>
        <v/>
      </c>
      <c r="J200">
        <f>IF($Q200="","",Settings!$C$6)</f>
        <v/>
      </c>
      <c r="K200" s="7">
        <f>IF($Q200="","",SUMIFS('Per Line'!$L$2:$L$501,'Per Line'!$A$2:$A$501,$B200,'Per Line'!$X$2:$X$501,1))</f>
        <v/>
      </c>
      <c r="L200" s="7">
        <f>IF($Q200="","",K200*J200)</f>
        <v/>
      </c>
      <c r="M200" s="7">
        <f>IF($Q200="","",L200+I200)</f>
        <v/>
      </c>
      <c r="N200" s="7">
        <f>IF($Q200="","",O200-M200)</f>
        <v/>
      </c>
      <c r="O200" s="7">
        <f>IF($Q200="","",H200+K200)</f>
        <v/>
      </c>
      <c r="P200" s="7">
        <f>IF($Q200="","",O200-M200-F200)</f>
        <v/>
      </c>
      <c r="Q200" s="13">
        <f>IF(ROWS($Q$2:$Q200)&lt;=MAX('Per Line'!$W$2:$W$501),MATCH(ROWS($Q$2:$Q200),'Per Line'!$W$2:$W$501,0),"")</f>
        <v/>
      </c>
    </row>
    <row r="201">
      <c r="A201" s="12" t="n"/>
      <c r="B201">
        <f>IF($Q201="","",INDEX('Per Line'!$A$2:$A$501,$Q201)&amp;"")</f>
        <v/>
      </c>
      <c r="C201">
        <f>IF($Q201="","",INDEX('Per Line'!$D$2:$D$501,$Q201)&amp;"")</f>
        <v/>
      </c>
      <c r="D201">
        <f>IF($Q201="","",INDEX('Per Line'!$E$2:$E$501,$Q201)&amp;"")</f>
        <v/>
      </c>
      <c r="E201">
        <f>IF($Q201="","",INDEX('Per Line'!$F$2:$F$501,$Q201))</f>
        <v/>
      </c>
      <c r="F201" s="7">
        <f>IF($Q201="","",E201*N201/100)</f>
        <v/>
      </c>
      <c r="G201">
        <f>IF($Q201="","",Settings!$C$7)</f>
        <v/>
      </c>
      <c r="H201" s="7">
        <f>IF($Q201="","",SUMIFS('Per Line'!$L$2:$L$501,'Per Line'!$A$2:$A$501,$B201,'Per Line'!$X$2:$X$501,0))</f>
        <v/>
      </c>
      <c r="I201" s="7">
        <f>IF($Q201="","",H201*G201)</f>
        <v/>
      </c>
      <c r="J201">
        <f>IF($Q201="","",Settings!$C$6)</f>
        <v/>
      </c>
      <c r="K201" s="7">
        <f>IF($Q201="","",SUMIFS('Per Line'!$L$2:$L$501,'Per Line'!$A$2:$A$501,$B201,'Per Line'!$X$2:$X$501,1))</f>
        <v/>
      </c>
      <c r="L201" s="7">
        <f>IF($Q201="","",K201*J201)</f>
        <v/>
      </c>
      <c r="M201" s="7">
        <f>IF($Q201="","",L201+I201)</f>
        <v/>
      </c>
      <c r="N201" s="7">
        <f>IF($Q201="","",O201-M201)</f>
        <v/>
      </c>
      <c r="O201" s="7">
        <f>IF($Q201="","",H201+K201)</f>
        <v/>
      </c>
      <c r="P201" s="7">
        <f>IF($Q201="","",O201-M201-F201)</f>
        <v/>
      </c>
      <c r="Q201" s="13">
        <f>IF(ROWS($Q$2:$Q201)&lt;=MAX('Per Line'!$W$2:$W$501),MATCH(ROWS($Q$2:$Q201),'Per Line'!$W$2:$W$501,0),"")</f>
        <v/>
      </c>
    </row>
  </sheetData>
  <autoFilter ref="A1:Q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2026-10-12T10:14:39Z</dcterms:created>
  <dcterms:modified xmlns:dcterms="http://purl.org/dc/terms/" xmlns:xsi="http://www.w3.org/2001/XMLSchema-instance" xsi:type="dcterms:W3CDTF">2026-10-12T10:14:39Z</dcterms:modified>
</cp:coreProperties>
</file>