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Line'!$A$1:$W$1001</definedName>
    <definedName name="_xlnm._FilterDatabase" localSheetId="3" hidden="1">'Per Invoice'!$A$1:$T$301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MISR HEALTH CARE (Walk In)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A-E, G-K, O-R (same order as the system export).</t>
        </is>
      </c>
    </row>
    <row r="6">
      <c r="A6" s="3" t="inlineStr">
        <is>
          <t>3. Green columns (F, L, M, N, S) and the grey helper columns (T-W) calculate automatically - do not paste over them.</t>
        </is>
      </c>
    </row>
    <row r="7">
      <c r="A7" s="3" t="inlineStr">
        <is>
          <t>4. 'Per Invoice' fills itself from 'Per Line' (one row per POS Reference, split into IMP / Local). No pivot table, no refresh.</t>
        </is>
      </c>
    </row>
    <row r="8">
      <c r="A8" s="3" t="inlineStr">
        <is>
          <t>5. The columns you type yourself in 'Per Invoice' (blue headers): A 'Invoice', C 'approval Refrence'. Everything else is formula. Type them AFTER pasting the month data (they follow the row, not the order).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Co Payment % x Total / 100.   Discount = Total x Rebates (Rebates is a fraction here, e.g. 0.14).   Subtotal = Total - Discount.   Net = Subtotal - Co val.   (Total = 'Total Delivered')</t>
        </is>
      </c>
    </row>
    <row r="16">
      <c r="A16" s="3" t="inlineStr">
        <is>
          <t>Rebates per line = Local rate (12%) if Local is TRUE, otherwise Imported rate (4%). Rates are set in 'Settings'.</t>
        </is>
      </c>
    </row>
    <row r="18">
      <c r="A18" s="3" t="inlineStr">
        <is>
          <t>Per Invoice: IMP = sum of Total of non-local lines; Local = sum of Total of local lines. Grand Total =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1,000 lines and 300 invoices per month. A line with an empty POS Reference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MISR HEALTH CARE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-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Walk In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0.12</v>
      </c>
      <c r="D6" t="inlineStr">
        <is>
          <t>Source: Sep sheet (Rebates = 0.12 on Local lines).</t>
        </is>
      </c>
    </row>
    <row r="7">
      <c r="B7" t="inlineStr">
        <is>
          <t>Imported (IMP) products rebate %</t>
        </is>
      </c>
      <c r="C7" s="5" t="n">
        <v>0.04</v>
      </c>
      <c r="D7" t="inlineStr">
        <is>
          <t>Source: Sep sheet (Rebates = 0.04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Line'!$A$2:$A$1001)</f>
        <v/>
      </c>
    </row>
    <row r="11">
      <c r="B11" t="inlineStr">
        <is>
          <t>Invoices (unique Order #)</t>
        </is>
      </c>
      <c r="C11">
        <f>MAX('Per Line'!$U$2:$U$1001)</f>
        <v/>
      </c>
    </row>
    <row r="12">
      <c r="B12" t="inlineStr">
        <is>
          <t>Invoices shown in Per Invoice</t>
        </is>
      </c>
      <c r="C12">
        <f>SUMPRODUCT(--('Per Invoice'!$B$2:$B$301&lt;&gt;""))</f>
        <v/>
      </c>
    </row>
    <row r="13">
      <c r="B13" t="inlineStr">
        <is>
          <t>Grand Total - Per Line (Product Total)</t>
        </is>
      </c>
      <c r="C13" s="7">
        <f>SUM('Per Line'!$K$2:$K$1001)</f>
        <v/>
      </c>
    </row>
    <row r="14">
      <c r="B14" t="inlineStr">
        <is>
          <t>Grand Total - Per Invoice</t>
        </is>
      </c>
      <c r="C14" s="7">
        <f>SUM('Per Invoice'!$R$2:$R$301)</f>
        <v/>
      </c>
    </row>
    <row r="15">
      <c r="B15" t="inlineStr">
        <is>
          <t>Discount - Per Line</t>
        </is>
      </c>
      <c r="C15" s="7">
        <f>SUM('Per Line'!$L$2:$L$1001)</f>
        <v/>
      </c>
    </row>
    <row r="16">
      <c r="B16" t="inlineStr">
        <is>
          <t>Discount - Per Invoice</t>
        </is>
      </c>
      <c r="C16" s="7">
        <f>SUM('Per Invoice'!$P$2:$P$301)</f>
        <v/>
      </c>
    </row>
    <row r="17">
      <c r="B17" t="inlineStr">
        <is>
          <t>Co val - Per Line</t>
        </is>
      </c>
      <c r="C17" s="7">
        <f>SUM('Per Line'!$F$2:$F$1001)</f>
        <v/>
      </c>
    </row>
    <row r="18">
      <c r="B18" t="inlineStr">
        <is>
          <t>Co val - Per Invoice</t>
        </is>
      </c>
      <c r="C18" s="7">
        <f>SUM('Per Invoice'!$H$2:$H$301)</f>
        <v/>
      </c>
    </row>
    <row r="19">
      <c r="B19" t="inlineStr">
        <is>
          <t>Net - Per Line</t>
        </is>
      </c>
      <c r="C19" s="7">
        <f>SUM('Per Line'!$N$2:$N$1001)</f>
        <v/>
      </c>
    </row>
    <row r="20">
      <c r="B20" t="inlineStr">
        <is>
          <t>Net - Per Invoice</t>
        </is>
      </c>
      <c r="C20" s="7">
        <f>SUM('Per Invoice'!$S$2:$S$301)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Line'!$A:$A)-1&gt;1000,"TOO MANY LINES - extend template",IF(C11&gt;300,"TOO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3" customWidth="1" min="4" max="4"/>
    <col width="12" customWidth="1" min="5" max="5"/>
    <col width="11" customWidth="1" min="6" max="6"/>
    <col width="12" customWidth="1" min="7" max="7"/>
    <col width="40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3" customWidth="1" min="15" max="15"/>
    <col width="12" customWidth="1" min="16" max="16"/>
    <col width="17" customWidth="1" min="17" max="17"/>
    <col width="12" customWidth="1" min="18" max="18"/>
    <col width="11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32" customHeight="1">
      <c r="A1" s="8" t="inlineStr">
        <is>
          <t>Pos Reference</t>
        </is>
      </c>
      <c r="B1" s="8" t="inlineStr">
        <is>
          <t>Insurance Company</t>
        </is>
      </c>
      <c r="C1" s="8" t="inlineStr">
        <is>
          <t>Name</t>
        </is>
      </c>
      <c r="D1" s="8" t="inlineStr">
        <is>
          <t>Card Number</t>
        </is>
      </c>
      <c r="E1" s="8" t="inlineStr">
        <is>
          <t>Co Payment %</t>
        </is>
      </c>
      <c r="F1" s="9" t="inlineStr">
        <is>
          <t>Co val</t>
        </is>
      </c>
      <c r="G1" s="8" t="inlineStr">
        <is>
          <t>Heisenberg id</t>
        </is>
      </c>
      <c r="H1" s="8" t="inlineStr">
        <is>
          <t>Product</t>
        </is>
      </c>
      <c r="I1" s="8" t="inlineStr">
        <is>
          <t>Delivered Qty</t>
        </is>
      </c>
      <c r="J1" s="8" t="inlineStr">
        <is>
          <t>Delivered Price</t>
        </is>
      </c>
      <c r="K1" s="8" t="inlineStr">
        <is>
          <t>Total Delivered</t>
        </is>
      </c>
      <c r="L1" s="9" t="inlineStr">
        <is>
          <t>Discount</t>
        </is>
      </c>
      <c r="M1" s="9" t="inlineStr">
        <is>
          <t>Subtotal</t>
        </is>
      </c>
      <c r="N1" s="9" t="inlineStr">
        <is>
          <t>Net</t>
        </is>
      </c>
      <c r="O1" s="8" t="inlineStr">
        <is>
          <t>Payment Type</t>
        </is>
      </c>
      <c r="P1" s="8" t="inlineStr">
        <is>
          <t>Session</t>
        </is>
      </c>
      <c r="Q1" s="8" t="inlineStr">
        <is>
          <t>Create Date</t>
        </is>
      </c>
      <c r="R1" s="8" t="inlineStr">
        <is>
          <t>Product Template - Product Tmpl → Is Local</t>
        </is>
      </c>
      <c r="S1" s="9" t="inlineStr">
        <is>
          <t>Rebates</t>
        </is>
      </c>
      <c r="T1" s="10" t="inlineStr">
        <is>
          <t>Order 1st Row (helper)</t>
        </is>
      </c>
      <c r="U1" s="10" t="inlineStr">
        <is>
          <t>Invoice # (helper)</t>
        </is>
      </c>
      <c r="V1" s="10" t="inlineStr">
        <is>
          <t>Is Local (helper)</t>
        </is>
      </c>
      <c r="W1" s="10" t="inlineStr">
        <is>
          <t>Sort Key (helper)</t>
        </is>
      </c>
    </row>
    <row r="2">
      <c r="F2" s="7">
        <f>IF($A2="","",E2*K2/100)</f>
        <v/>
      </c>
      <c r="J2" s="7" t="n"/>
      <c r="K2" s="7" t="n"/>
      <c r="L2" s="7">
        <f>IF($A2="","",S2*K2)</f>
        <v/>
      </c>
      <c r="M2" s="7">
        <f>IF($A2="","",K2-L2)</f>
        <v/>
      </c>
      <c r="N2" s="7">
        <f>IF($A2="","",M2-F2)</f>
        <v/>
      </c>
      <c r="Q2" s="11" t="n"/>
      <c r="S2">
        <f>IF($A2="","",IF(AND(ISNUMBER($R2),NOT(ISLOGICAL($R2)),N($R2)&gt;1),$R2/100*1,IF($V2=1,Settings!$C$6,Settings!$C$7)*1))</f>
        <v/>
      </c>
      <c r="T2">
        <f>IF($A2="","",IF(COUNTIF($A$2:$A2,$A2)=1,1,0))</f>
        <v/>
      </c>
      <c r="U2">
        <f>IF($T2=1,SUMPRODUCT(--($W$2:$W$1001&lt;$W2))+1,"")</f>
        <v/>
      </c>
      <c r="V2">
        <f>IF($A2="","",IF(AND(ISNUMBER($R2),NOT(ISLOGICAL($R2)),N($R2)&gt;1),IF(ABS($R2/100-Settings!$C$6)&lt;=ABS($R2/100-Settings!$C$7),1,0),IF(OR($R2=TRUE(),$R2="TRUE"),1,0)))</f>
        <v/>
      </c>
      <c r="W2">
        <f>IF($T2=1,IFERROR(IF(VALUE($A2)&lt;100000000,VALUE($A2),1000000000),IFERROR(IF(VALUE(MID($A2,2,20))&lt;100000000,VALUE(MID($A2,2,20)),1000000000),1000000000))+ROW()/100000,"")</f>
        <v/>
      </c>
    </row>
    <row r="3">
      <c r="F3" s="7">
        <f>IF($A3="","",E3*K3/100)</f>
        <v/>
      </c>
      <c r="J3" s="7" t="n"/>
      <c r="K3" s="7" t="n"/>
      <c r="L3" s="7">
        <f>IF($A3="","",S3*K3)</f>
        <v/>
      </c>
      <c r="M3" s="7">
        <f>IF($A3="","",K3-L3)</f>
        <v/>
      </c>
      <c r="N3" s="7">
        <f>IF($A3="","",M3-F3)</f>
        <v/>
      </c>
      <c r="Q3" s="11" t="n"/>
      <c r="S3">
        <f>IF($A3="","",IF(AND(ISNUMBER($R3),NOT(ISLOGICAL($R3)),N($R3)&gt;1),$R3/100*1,IF($V3=1,Settings!$C$6,Settings!$C$7)*1))</f>
        <v/>
      </c>
      <c r="T3">
        <f>IF($A3="","",IF(COUNTIF($A$2:$A3,$A3)=1,1,0))</f>
        <v/>
      </c>
      <c r="U3">
        <f>IF($T3=1,SUMPRODUCT(--($W$2:$W$1001&lt;$W3))+1,"")</f>
        <v/>
      </c>
      <c r="V3">
        <f>IF($A3="","",IF(AND(ISNUMBER($R3),NOT(ISLOGICAL($R3)),N($R3)&gt;1),IF(ABS($R3/100-Settings!$C$6)&lt;=ABS($R3/100-Settings!$C$7),1,0),IF(OR($R3=TRUE(),$R3="TRUE"),1,0)))</f>
        <v/>
      </c>
      <c r="W3">
        <f>IF($T3=1,IFERROR(IF(VALUE($A3)&lt;100000000,VALUE($A3),1000000000),IFERROR(IF(VALUE(MID($A3,2,20))&lt;100000000,VALUE(MID($A3,2,20)),1000000000),1000000000))+ROW()/100000,"")</f>
        <v/>
      </c>
    </row>
    <row r="4">
      <c r="F4" s="7">
        <f>IF($A4="","",E4*K4/100)</f>
        <v/>
      </c>
      <c r="J4" s="7" t="n"/>
      <c r="K4" s="7" t="n"/>
      <c r="L4" s="7">
        <f>IF($A4="","",S4*K4)</f>
        <v/>
      </c>
      <c r="M4" s="7">
        <f>IF($A4="","",K4-L4)</f>
        <v/>
      </c>
      <c r="N4" s="7">
        <f>IF($A4="","",M4-F4)</f>
        <v/>
      </c>
      <c r="Q4" s="11" t="n"/>
      <c r="S4">
        <f>IF($A4="","",IF(AND(ISNUMBER($R4),NOT(ISLOGICAL($R4)),N($R4)&gt;1),$R4/100*1,IF($V4=1,Settings!$C$6,Settings!$C$7)*1))</f>
        <v/>
      </c>
      <c r="T4">
        <f>IF($A4="","",IF(COUNTIF($A$2:$A4,$A4)=1,1,0))</f>
        <v/>
      </c>
      <c r="U4">
        <f>IF($T4=1,SUMPRODUCT(--($W$2:$W$1001&lt;$W4))+1,"")</f>
        <v/>
      </c>
      <c r="V4">
        <f>IF($A4="","",IF(AND(ISNUMBER($R4),NOT(ISLOGICAL($R4)),N($R4)&gt;1),IF(ABS($R4/100-Settings!$C$6)&lt;=ABS($R4/100-Settings!$C$7),1,0),IF(OR($R4=TRUE(),$R4="TRUE"),1,0)))</f>
        <v/>
      </c>
      <c r="W4">
        <f>IF($T4=1,IFERROR(IF(VALUE($A4)&lt;100000000,VALUE($A4),1000000000),IFERROR(IF(VALUE(MID($A4,2,20))&lt;100000000,VALUE(MID($A4,2,20)),1000000000),1000000000))+ROW()/100000,"")</f>
        <v/>
      </c>
    </row>
    <row r="5">
      <c r="F5" s="7">
        <f>IF($A5="","",E5*K5/100)</f>
        <v/>
      </c>
      <c r="J5" s="7" t="n"/>
      <c r="K5" s="7" t="n"/>
      <c r="L5" s="7">
        <f>IF($A5="","",S5*K5)</f>
        <v/>
      </c>
      <c r="M5" s="7">
        <f>IF($A5="","",K5-L5)</f>
        <v/>
      </c>
      <c r="N5" s="7">
        <f>IF($A5="","",M5-F5)</f>
        <v/>
      </c>
      <c r="Q5" s="11" t="n"/>
      <c r="S5">
        <f>IF($A5="","",IF(AND(ISNUMBER($R5),NOT(ISLOGICAL($R5)),N($R5)&gt;1),$R5/100*1,IF($V5=1,Settings!$C$6,Settings!$C$7)*1))</f>
        <v/>
      </c>
      <c r="T5">
        <f>IF($A5="","",IF(COUNTIF($A$2:$A5,$A5)=1,1,0))</f>
        <v/>
      </c>
      <c r="U5">
        <f>IF($T5=1,SUMPRODUCT(--($W$2:$W$1001&lt;$W5))+1,"")</f>
        <v/>
      </c>
      <c r="V5">
        <f>IF($A5="","",IF(AND(ISNUMBER($R5),NOT(ISLOGICAL($R5)),N($R5)&gt;1),IF(ABS($R5/100-Settings!$C$6)&lt;=ABS($R5/100-Settings!$C$7),1,0),IF(OR($R5=TRUE(),$R5="TRUE"),1,0)))</f>
        <v/>
      </c>
      <c r="W5">
        <f>IF($T5=1,IFERROR(IF(VALUE($A5)&lt;100000000,VALUE($A5),1000000000),IFERROR(IF(VALUE(MID($A5,2,20))&lt;100000000,VALUE(MID($A5,2,20)),1000000000),1000000000))+ROW()/100000,"")</f>
        <v/>
      </c>
    </row>
    <row r="6">
      <c r="F6" s="7">
        <f>IF($A6="","",E6*K6/100)</f>
        <v/>
      </c>
      <c r="J6" s="7" t="n"/>
      <c r="K6" s="7" t="n"/>
      <c r="L6" s="7">
        <f>IF($A6="","",S6*K6)</f>
        <v/>
      </c>
      <c r="M6" s="7">
        <f>IF($A6="","",K6-L6)</f>
        <v/>
      </c>
      <c r="N6" s="7">
        <f>IF($A6="","",M6-F6)</f>
        <v/>
      </c>
      <c r="Q6" s="11" t="n"/>
      <c r="S6">
        <f>IF($A6="","",IF(AND(ISNUMBER($R6),NOT(ISLOGICAL($R6)),N($R6)&gt;1),$R6/100*1,IF($V6=1,Settings!$C$6,Settings!$C$7)*1))</f>
        <v/>
      </c>
      <c r="T6">
        <f>IF($A6="","",IF(COUNTIF($A$2:$A6,$A6)=1,1,0))</f>
        <v/>
      </c>
      <c r="U6">
        <f>IF($T6=1,SUMPRODUCT(--($W$2:$W$1001&lt;$W6))+1,"")</f>
        <v/>
      </c>
      <c r="V6">
        <f>IF($A6="","",IF(AND(ISNUMBER($R6),NOT(ISLOGICAL($R6)),N($R6)&gt;1),IF(ABS($R6/100-Settings!$C$6)&lt;=ABS($R6/100-Settings!$C$7),1,0),IF(OR($R6=TRUE(),$R6="TRUE"),1,0)))</f>
        <v/>
      </c>
      <c r="W6">
        <f>IF($T6=1,IFERROR(IF(VALUE($A6)&lt;100000000,VALUE($A6),1000000000),IFERROR(IF(VALUE(MID($A6,2,20))&lt;100000000,VALUE(MID($A6,2,20)),1000000000),1000000000))+ROW()/100000,"")</f>
        <v/>
      </c>
    </row>
    <row r="7">
      <c r="F7" s="7">
        <f>IF($A7="","",E7*K7/100)</f>
        <v/>
      </c>
      <c r="J7" s="7" t="n"/>
      <c r="K7" s="7" t="n"/>
      <c r="L7" s="7">
        <f>IF($A7="","",S7*K7)</f>
        <v/>
      </c>
      <c r="M7" s="7">
        <f>IF($A7="","",K7-L7)</f>
        <v/>
      </c>
      <c r="N7" s="7">
        <f>IF($A7="","",M7-F7)</f>
        <v/>
      </c>
      <c r="Q7" s="11" t="n"/>
      <c r="S7">
        <f>IF($A7="","",IF(AND(ISNUMBER($R7),NOT(ISLOGICAL($R7)),N($R7)&gt;1),$R7/100*1,IF($V7=1,Settings!$C$6,Settings!$C$7)*1))</f>
        <v/>
      </c>
      <c r="T7">
        <f>IF($A7="","",IF(COUNTIF($A$2:$A7,$A7)=1,1,0))</f>
        <v/>
      </c>
      <c r="U7">
        <f>IF($T7=1,SUMPRODUCT(--($W$2:$W$1001&lt;$W7))+1,"")</f>
        <v/>
      </c>
      <c r="V7">
        <f>IF($A7="","",IF(AND(ISNUMBER($R7),NOT(ISLOGICAL($R7)),N($R7)&gt;1),IF(ABS($R7/100-Settings!$C$6)&lt;=ABS($R7/100-Settings!$C$7),1,0),IF(OR($R7=TRUE(),$R7="TRUE"),1,0)))</f>
        <v/>
      </c>
      <c r="W7">
        <f>IF($T7=1,IFERROR(IF(VALUE($A7)&lt;100000000,VALUE($A7),1000000000),IFERROR(IF(VALUE(MID($A7,2,20))&lt;100000000,VALUE(MID($A7,2,20)),1000000000),1000000000))+ROW()/100000,"")</f>
        <v/>
      </c>
    </row>
    <row r="8">
      <c r="F8" s="7">
        <f>IF($A8="","",E8*K8/100)</f>
        <v/>
      </c>
      <c r="J8" s="7" t="n"/>
      <c r="K8" s="7" t="n"/>
      <c r="L8" s="7">
        <f>IF($A8="","",S8*K8)</f>
        <v/>
      </c>
      <c r="M8" s="7">
        <f>IF($A8="","",K8-L8)</f>
        <v/>
      </c>
      <c r="N8" s="7">
        <f>IF($A8="","",M8-F8)</f>
        <v/>
      </c>
      <c r="Q8" s="11" t="n"/>
      <c r="S8">
        <f>IF($A8="","",IF(AND(ISNUMBER($R8),NOT(ISLOGICAL($R8)),N($R8)&gt;1),$R8/100*1,IF($V8=1,Settings!$C$6,Settings!$C$7)*1))</f>
        <v/>
      </c>
      <c r="T8">
        <f>IF($A8="","",IF(COUNTIF($A$2:$A8,$A8)=1,1,0))</f>
        <v/>
      </c>
      <c r="U8">
        <f>IF($T8=1,SUMPRODUCT(--($W$2:$W$1001&lt;$W8))+1,"")</f>
        <v/>
      </c>
      <c r="V8">
        <f>IF($A8="","",IF(AND(ISNUMBER($R8),NOT(ISLOGICAL($R8)),N($R8)&gt;1),IF(ABS($R8/100-Settings!$C$6)&lt;=ABS($R8/100-Settings!$C$7),1,0),IF(OR($R8=TRUE(),$R8="TRUE"),1,0)))</f>
        <v/>
      </c>
      <c r="W8">
        <f>IF($T8=1,IFERROR(IF(VALUE($A8)&lt;100000000,VALUE($A8),1000000000),IFERROR(IF(VALUE(MID($A8,2,20))&lt;100000000,VALUE(MID($A8,2,20)),1000000000),1000000000))+ROW()/100000,"")</f>
        <v/>
      </c>
    </row>
    <row r="9">
      <c r="F9" s="7">
        <f>IF($A9="","",E9*K9/100)</f>
        <v/>
      </c>
      <c r="J9" s="7" t="n"/>
      <c r="K9" s="7" t="n"/>
      <c r="L9" s="7">
        <f>IF($A9="","",S9*K9)</f>
        <v/>
      </c>
      <c r="M9" s="7">
        <f>IF($A9="","",K9-L9)</f>
        <v/>
      </c>
      <c r="N9" s="7">
        <f>IF($A9="","",M9-F9)</f>
        <v/>
      </c>
      <c r="Q9" s="11" t="n"/>
      <c r="S9">
        <f>IF($A9="","",IF(AND(ISNUMBER($R9),NOT(ISLOGICAL($R9)),N($R9)&gt;1),$R9/100*1,IF($V9=1,Settings!$C$6,Settings!$C$7)*1))</f>
        <v/>
      </c>
      <c r="T9">
        <f>IF($A9="","",IF(COUNTIF($A$2:$A9,$A9)=1,1,0))</f>
        <v/>
      </c>
      <c r="U9">
        <f>IF($T9=1,SUMPRODUCT(--($W$2:$W$1001&lt;$W9))+1,"")</f>
        <v/>
      </c>
      <c r="V9">
        <f>IF($A9="","",IF(AND(ISNUMBER($R9),NOT(ISLOGICAL($R9)),N($R9)&gt;1),IF(ABS($R9/100-Settings!$C$6)&lt;=ABS($R9/100-Settings!$C$7),1,0),IF(OR($R9=TRUE(),$R9="TRUE"),1,0)))</f>
        <v/>
      </c>
      <c r="W9">
        <f>IF($T9=1,IFERROR(IF(VALUE($A9)&lt;100000000,VALUE($A9),1000000000),IFERROR(IF(VALUE(MID($A9,2,20))&lt;100000000,VALUE(MID($A9,2,20)),1000000000),1000000000))+ROW()/100000,"")</f>
        <v/>
      </c>
    </row>
    <row r="10">
      <c r="F10" s="7">
        <f>IF($A10="","",E10*K10/100)</f>
        <v/>
      </c>
      <c r="J10" s="7" t="n"/>
      <c r="K10" s="7" t="n"/>
      <c r="L10" s="7">
        <f>IF($A10="","",S10*K10)</f>
        <v/>
      </c>
      <c r="M10" s="7">
        <f>IF($A10="","",K10-L10)</f>
        <v/>
      </c>
      <c r="N10" s="7">
        <f>IF($A10="","",M10-F10)</f>
        <v/>
      </c>
      <c r="Q10" s="11" t="n"/>
      <c r="S10">
        <f>IF($A10="","",IF(AND(ISNUMBER($R10),NOT(ISLOGICAL($R10)),N($R10)&gt;1),$R10/100*1,IF($V10=1,Settings!$C$6,Settings!$C$7)*1))</f>
        <v/>
      </c>
      <c r="T10">
        <f>IF($A10="","",IF(COUNTIF($A$2:$A10,$A10)=1,1,0))</f>
        <v/>
      </c>
      <c r="U10">
        <f>IF($T10=1,SUMPRODUCT(--($W$2:$W$1001&lt;$W10))+1,"")</f>
        <v/>
      </c>
      <c r="V10">
        <f>IF($A10="","",IF(AND(ISNUMBER($R10),NOT(ISLOGICAL($R10)),N($R10)&gt;1),IF(ABS($R10/100-Settings!$C$6)&lt;=ABS($R10/100-Settings!$C$7),1,0),IF(OR($R10=TRUE(),$R10="TRUE"),1,0)))</f>
        <v/>
      </c>
      <c r="W10">
        <f>IF($T10=1,IFERROR(IF(VALUE($A10)&lt;100000000,VALUE($A10),1000000000),IFERROR(IF(VALUE(MID($A10,2,20))&lt;100000000,VALUE(MID($A10,2,20)),1000000000),1000000000))+ROW()/100000,"")</f>
        <v/>
      </c>
    </row>
    <row r="11">
      <c r="F11" s="7">
        <f>IF($A11="","",E11*K11/100)</f>
        <v/>
      </c>
      <c r="J11" s="7" t="n"/>
      <c r="K11" s="7" t="n"/>
      <c r="L11" s="7">
        <f>IF($A11="","",S11*K11)</f>
        <v/>
      </c>
      <c r="M11" s="7">
        <f>IF($A11="","",K11-L11)</f>
        <v/>
      </c>
      <c r="N11" s="7">
        <f>IF($A11="","",M11-F11)</f>
        <v/>
      </c>
      <c r="Q11" s="11" t="n"/>
      <c r="S11">
        <f>IF($A11="","",IF(AND(ISNUMBER($R11),NOT(ISLOGICAL($R11)),N($R11)&gt;1),$R11/100*1,IF($V11=1,Settings!$C$6,Settings!$C$7)*1))</f>
        <v/>
      </c>
      <c r="T11">
        <f>IF($A11="","",IF(COUNTIF($A$2:$A11,$A11)=1,1,0))</f>
        <v/>
      </c>
      <c r="U11">
        <f>IF($T11=1,SUMPRODUCT(--($W$2:$W$1001&lt;$W11))+1,"")</f>
        <v/>
      </c>
      <c r="V11">
        <f>IF($A11="","",IF(AND(ISNUMBER($R11),NOT(ISLOGICAL($R11)),N($R11)&gt;1),IF(ABS($R11/100-Settings!$C$6)&lt;=ABS($R11/100-Settings!$C$7),1,0),IF(OR($R11=TRUE(),$R11="TRUE"),1,0)))</f>
        <v/>
      </c>
      <c r="W11">
        <f>IF($T11=1,IFERROR(IF(VALUE($A11)&lt;100000000,VALUE($A11),1000000000),IFERROR(IF(VALUE(MID($A11,2,20))&lt;100000000,VALUE(MID($A11,2,20)),1000000000),1000000000))+ROW()/100000,"")</f>
        <v/>
      </c>
    </row>
    <row r="12">
      <c r="F12" s="7">
        <f>IF($A12="","",E12*K12/100)</f>
        <v/>
      </c>
      <c r="J12" s="7" t="n"/>
      <c r="K12" s="7" t="n"/>
      <c r="L12" s="7">
        <f>IF($A12="","",S12*K12)</f>
        <v/>
      </c>
      <c r="M12" s="7">
        <f>IF($A12="","",K12-L12)</f>
        <v/>
      </c>
      <c r="N12" s="7">
        <f>IF($A12="","",M12-F12)</f>
        <v/>
      </c>
      <c r="Q12" s="11" t="n"/>
      <c r="S12">
        <f>IF($A12="","",IF(AND(ISNUMBER($R12),NOT(ISLOGICAL($R12)),N($R12)&gt;1),$R12/100*1,IF($V12=1,Settings!$C$6,Settings!$C$7)*1))</f>
        <v/>
      </c>
      <c r="T12">
        <f>IF($A12="","",IF(COUNTIF($A$2:$A12,$A12)=1,1,0))</f>
        <v/>
      </c>
      <c r="U12">
        <f>IF($T12=1,SUMPRODUCT(--($W$2:$W$1001&lt;$W12))+1,"")</f>
        <v/>
      </c>
      <c r="V12">
        <f>IF($A12="","",IF(AND(ISNUMBER($R12),NOT(ISLOGICAL($R12)),N($R12)&gt;1),IF(ABS($R12/100-Settings!$C$6)&lt;=ABS($R12/100-Settings!$C$7),1,0),IF(OR($R12=TRUE(),$R12="TRUE"),1,0)))</f>
        <v/>
      </c>
      <c r="W12">
        <f>IF($T12=1,IFERROR(IF(VALUE($A12)&lt;100000000,VALUE($A12),1000000000),IFERROR(IF(VALUE(MID($A12,2,20))&lt;100000000,VALUE(MID($A12,2,20)),1000000000),1000000000))+ROW()/100000,"")</f>
        <v/>
      </c>
    </row>
    <row r="13">
      <c r="F13" s="7">
        <f>IF($A13="","",E13*K13/100)</f>
        <v/>
      </c>
      <c r="J13" s="7" t="n"/>
      <c r="K13" s="7" t="n"/>
      <c r="L13" s="7">
        <f>IF($A13="","",S13*K13)</f>
        <v/>
      </c>
      <c r="M13" s="7">
        <f>IF($A13="","",K13-L13)</f>
        <v/>
      </c>
      <c r="N13" s="7">
        <f>IF($A13="","",M13-F13)</f>
        <v/>
      </c>
      <c r="Q13" s="11" t="n"/>
      <c r="S13">
        <f>IF($A13="","",IF(AND(ISNUMBER($R13),NOT(ISLOGICAL($R13)),N($R13)&gt;1),$R13/100*1,IF($V13=1,Settings!$C$6,Settings!$C$7)*1))</f>
        <v/>
      </c>
      <c r="T13">
        <f>IF($A13="","",IF(COUNTIF($A$2:$A13,$A13)=1,1,0))</f>
        <v/>
      </c>
      <c r="U13">
        <f>IF($T13=1,SUMPRODUCT(--($W$2:$W$1001&lt;$W13))+1,"")</f>
        <v/>
      </c>
      <c r="V13">
        <f>IF($A13="","",IF(AND(ISNUMBER($R13),NOT(ISLOGICAL($R13)),N($R13)&gt;1),IF(ABS($R13/100-Settings!$C$6)&lt;=ABS($R13/100-Settings!$C$7),1,0),IF(OR($R13=TRUE(),$R13="TRUE"),1,0)))</f>
        <v/>
      </c>
      <c r="W13">
        <f>IF($T13=1,IFERROR(IF(VALUE($A13)&lt;100000000,VALUE($A13),1000000000),IFERROR(IF(VALUE(MID($A13,2,20))&lt;100000000,VALUE(MID($A13,2,20)),1000000000),1000000000))+ROW()/100000,"")</f>
        <v/>
      </c>
    </row>
    <row r="14">
      <c r="F14" s="7">
        <f>IF($A14="","",E14*K14/100)</f>
        <v/>
      </c>
      <c r="J14" s="7" t="n"/>
      <c r="K14" s="7" t="n"/>
      <c r="L14" s="7">
        <f>IF($A14="","",S14*K14)</f>
        <v/>
      </c>
      <c r="M14" s="7">
        <f>IF($A14="","",K14-L14)</f>
        <v/>
      </c>
      <c r="N14" s="7">
        <f>IF($A14="","",M14-F14)</f>
        <v/>
      </c>
      <c r="Q14" s="11" t="n"/>
      <c r="S14">
        <f>IF($A14="","",IF(AND(ISNUMBER($R14),NOT(ISLOGICAL($R14)),N($R14)&gt;1),$R14/100*1,IF($V14=1,Settings!$C$6,Settings!$C$7)*1))</f>
        <v/>
      </c>
      <c r="T14">
        <f>IF($A14="","",IF(COUNTIF($A$2:$A14,$A14)=1,1,0))</f>
        <v/>
      </c>
      <c r="U14">
        <f>IF($T14=1,SUMPRODUCT(--($W$2:$W$1001&lt;$W14))+1,"")</f>
        <v/>
      </c>
      <c r="V14">
        <f>IF($A14="","",IF(AND(ISNUMBER($R14),NOT(ISLOGICAL($R14)),N($R14)&gt;1),IF(ABS($R14/100-Settings!$C$6)&lt;=ABS($R14/100-Settings!$C$7),1,0),IF(OR($R14=TRUE(),$R14="TRUE"),1,0)))</f>
        <v/>
      </c>
      <c r="W14">
        <f>IF($T14=1,IFERROR(IF(VALUE($A14)&lt;100000000,VALUE($A14),1000000000),IFERROR(IF(VALUE(MID($A14,2,20))&lt;100000000,VALUE(MID($A14,2,20)),1000000000),1000000000))+ROW()/100000,"")</f>
        <v/>
      </c>
    </row>
    <row r="15">
      <c r="F15" s="7">
        <f>IF($A15="","",E15*K15/100)</f>
        <v/>
      </c>
      <c r="J15" s="7" t="n"/>
      <c r="K15" s="7" t="n"/>
      <c r="L15" s="7">
        <f>IF($A15="","",S15*K15)</f>
        <v/>
      </c>
      <c r="M15" s="7">
        <f>IF($A15="","",K15-L15)</f>
        <v/>
      </c>
      <c r="N15" s="7">
        <f>IF($A15="","",M15-F15)</f>
        <v/>
      </c>
      <c r="Q15" s="11" t="n"/>
      <c r="S15">
        <f>IF($A15="","",IF(AND(ISNUMBER($R15),NOT(ISLOGICAL($R15)),N($R15)&gt;1),$R15/100*1,IF($V15=1,Settings!$C$6,Settings!$C$7)*1))</f>
        <v/>
      </c>
      <c r="T15">
        <f>IF($A15="","",IF(COUNTIF($A$2:$A15,$A15)=1,1,0))</f>
        <v/>
      </c>
      <c r="U15">
        <f>IF($T15=1,SUMPRODUCT(--($W$2:$W$1001&lt;$W15))+1,"")</f>
        <v/>
      </c>
      <c r="V15">
        <f>IF($A15="","",IF(AND(ISNUMBER($R15),NOT(ISLOGICAL($R15)),N($R15)&gt;1),IF(ABS($R15/100-Settings!$C$6)&lt;=ABS($R15/100-Settings!$C$7),1,0),IF(OR($R15=TRUE(),$R15="TRUE"),1,0)))</f>
        <v/>
      </c>
      <c r="W15">
        <f>IF($T15=1,IFERROR(IF(VALUE($A15)&lt;100000000,VALUE($A15),1000000000),IFERROR(IF(VALUE(MID($A15,2,20))&lt;100000000,VALUE(MID($A15,2,20)),1000000000),1000000000))+ROW()/100000,"")</f>
        <v/>
      </c>
    </row>
    <row r="16">
      <c r="F16" s="7">
        <f>IF($A16="","",E16*K16/100)</f>
        <v/>
      </c>
      <c r="J16" s="7" t="n"/>
      <c r="K16" s="7" t="n"/>
      <c r="L16" s="7">
        <f>IF($A16="","",S16*K16)</f>
        <v/>
      </c>
      <c r="M16" s="7">
        <f>IF($A16="","",K16-L16)</f>
        <v/>
      </c>
      <c r="N16" s="7">
        <f>IF($A16="","",M16-F16)</f>
        <v/>
      </c>
      <c r="Q16" s="11" t="n"/>
      <c r="S16">
        <f>IF($A16="","",IF(AND(ISNUMBER($R16),NOT(ISLOGICAL($R16)),N($R16)&gt;1),$R16/100*1,IF($V16=1,Settings!$C$6,Settings!$C$7)*1))</f>
        <v/>
      </c>
      <c r="T16">
        <f>IF($A16="","",IF(COUNTIF($A$2:$A16,$A16)=1,1,0))</f>
        <v/>
      </c>
      <c r="U16">
        <f>IF($T16=1,SUMPRODUCT(--($W$2:$W$1001&lt;$W16))+1,"")</f>
        <v/>
      </c>
      <c r="V16">
        <f>IF($A16="","",IF(AND(ISNUMBER($R16),NOT(ISLOGICAL($R16)),N($R16)&gt;1),IF(ABS($R16/100-Settings!$C$6)&lt;=ABS($R16/100-Settings!$C$7),1,0),IF(OR($R16=TRUE(),$R16="TRUE"),1,0)))</f>
        <v/>
      </c>
      <c r="W16">
        <f>IF($T16=1,IFERROR(IF(VALUE($A16)&lt;100000000,VALUE($A16),1000000000),IFERROR(IF(VALUE(MID($A16,2,20))&lt;100000000,VALUE(MID($A16,2,20)),1000000000),1000000000))+ROW()/100000,"")</f>
        <v/>
      </c>
    </row>
    <row r="17">
      <c r="F17" s="7">
        <f>IF($A17="","",E17*K17/100)</f>
        <v/>
      </c>
      <c r="J17" s="7" t="n"/>
      <c r="K17" s="7" t="n"/>
      <c r="L17" s="7">
        <f>IF($A17="","",S17*K17)</f>
        <v/>
      </c>
      <c r="M17" s="7">
        <f>IF($A17="","",K17-L17)</f>
        <v/>
      </c>
      <c r="N17" s="7">
        <f>IF($A17="","",M17-F17)</f>
        <v/>
      </c>
      <c r="Q17" s="11" t="n"/>
      <c r="S17">
        <f>IF($A17="","",IF(AND(ISNUMBER($R17),NOT(ISLOGICAL($R17)),N($R17)&gt;1),$R17/100*1,IF($V17=1,Settings!$C$6,Settings!$C$7)*1))</f>
        <v/>
      </c>
      <c r="T17">
        <f>IF($A17="","",IF(COUNTIF($A$2:$A17,$A17)=1,1,0))</f>
        <v/>
      </c>
      <c r="U17">
        <f>IF($T17=1,SUMPRODUCT(--($W$2:$W$1001&lt;$W17))+1,"")</f>
        <v/>
      </c>
      <c r="V17">
        <f>IF($A17="","",IF(AND(ISNUMBER($R17),NOT(ISLOGICAL($R17)),N($R17)&gt;1),IF(ABS($R17/100-Settings!$C$6)&lt;=ABS($R17/100-Settings!$C$7),1,0),IF(OR($R17=TRUE(),$R17="TRUE"),1,0)))</f>
        <v/>
      </c>
      <c r="W17">
        <f>IF($T17=1,IFERROR(IF(VALUE($A17)&lt;100000000,VALUE($A17),1000000000),IFERROR(IF(VALUE(MID($A17,2,20))&lt;100000000,VALUE(MID($A17,2,20)),1000000000),1000000000))+ROW()/100000,"")</f>
        <v/>
      </c>
    </row>
    <row r="18">
      <c r="F18" s="7">
        <f>IF($A18="","",E18*K18/100)</f>
        <v/>
      </c>
      <c r="J18" s="7" t="n"/>
      <c r="K18" s="7" t="n"/>
      <c r="L18" s="7">
        <f>IF($A18="","",S18*K18)</f>
        <v/>
      </c>
      <c r="M18" s="7">
        <f>IF($A18="","",K18-L18)</f>
        <v/>
      </c>
      <c r="N18" s="7">
        <f>IF($A18="","",M18-F18)</f>
        <v/>
      </c>
      <c r="Q18" s="11" t="n"/>
      <c r="S18">
        <f>IF($A18="","",IF(AND(ISNUMBER($R18),NOT(ISLOGICAL($R18)),N($R18)&gt;1),$R18/100*1,IF($V18=1,Settings!$C$6,Settings!$C$7)*1))</f>
        <v/>
      </c>
      <c r="T18">
        <f>IF($A18="","",IF(COUNTIF($A$2:$A18,$A18)=1,1,0))</f>
        <v/>
      </c>
      <c r="U18">
        <f>IF($T18=1,SUMPRODUCT(--($W$2:$W$1001&lt;$W18))+1,"")</f>
        <v/>
      </c>
      <c r="V18">
        <f>IF($A18="","",IF(AND(ISNUMBER($R18),NOT(ISLOGICAL($R18)),N($R18)&gt;1),IF(ABS($R18/100-Settings!$C$6)&lt;=ABS($R18/100-Settings!$C$7),1,0),IF(OR($R18=TRUE(),$R18="TRUE"),1,0)))</f>
        <v/>
      </c>
      <c r="W18">
        <f>IF($T18=1,IFERROR(IF(VALUE($A18)&lt;100000000,VALUE($A18),1000000000),IFERROR(IF(VALUE(MID($A18,2,20))&lt;100000000,VALUE(MID($A18,2,20)),1000000000),1000000000))+ROW()/100000,"")</f>
        <v/>
      </c>
    </row>
    <row r="19">
      <c r="F19" s="7">
        <f>IF($A19="","",E19*K19/100)</f>
        <v/>
      </c>
      <c r="J19" s="7" t="n"/>
      <c r="K19" s="7" t="n"/>
      <c r="L19" s="7">
        <f>IF($A19="","",S19*K19)</f>
        <v/>
      </c>
      <c r="M19" s="7">
        <f>IF($A19="","",K19-L19)</f>
        <v/>
      </c>
      <c r="N19" s="7">
        <f>IF($A19="","",M19-F19)</f>
        <v/>
      </c>
      <c r="Q19" s="11" t="n"/>
      <c r="S19">
        <f>IF($A19="","",IF(AND(ISNUMBER($R19),NOT(ISLOGICAL($R19)),N($R19)&gt;1),$R19/100*1,IF($V19=1,Settings!$C$6,Settings!$C$7)*1))</f>
        <v/>
      </c>
      <c r="T19">
        <f>IF($A19="","",IF(COUNTIF($A$2:$A19,$A19)=1,1,0))</f>
        <v/>
      </c>
      <c r="U19">
        <f>IF($T19=1,SUMPRODUCT(--($W$2:$W$1001&lt;$W19))+1,"")</f>
        <v/>
      </c>
      <c r="V19">
        <f>IF($A19="","",IF(AND(ISNUMBER($R19),NOT(ISLOGICAL($R19)),N($R19)&gt;1),IF(ABS($R19/100-Settings!$C$6)&lt;=ABS($R19/100-Settings!$C$7),1,0),IF(OR($R19=TRUE(),$R19="TRUE"),1,0)))</f>
        <v/>
      </c>
      <c r="W19">
        <f>IF($T19=1,IFERROR(IF(VALUE($A19)&lt;100000000,VALUE($A19),1000000000),IFERROR(IF(VALUE(MID($A19,2,20))&lt;100000000,VALUE(MID($A19,2,20)),1000000000),1000000000))+ROW()/100000,"")</f>
        <v/>
      </c>
    </row>
    <row r="20">
      <c r="F20" s="7">
        <f>IF($A20="","",E20*K20/100)</f>
        <v/>
      </c>
      <c r="J20" s="7" t="n"/>
      <c r="K20" s="7" t="n"/>
      <c r="L20" s="7">
        <f>IF($A20="","",S20*K20)</f>
        <v/>
      </c>
      <c r="M20" s="7">
        <f>IF($A20="","",K20-L20)</f>
        <v/>
      </c>
      <c r="N20" s="7">
        <f>IF($A20="","",M20-F20)</f>
        <v/>
      </c>
      <c r="Q20" s="11" t="n"/>
      <c r="S20">
        <f>IF($A20="","",IF(AND(ISNUMBER($R20),NOT(ISLOGICAL($R20)),N($R20)&gt;1),$R20/100*1,IF($V20=1,Settings!$C$6,Settings!$C$7)*1))</f>
        <v/>
      </c>
      <c r="T20">
        <f>IF($A20="","",IF(COUNTIF($A$2:$A20,$A20)=1,1,0))</f>
        <v/>
      </c>
      <c r="U20">
        <f>IF($T20=1,SUMPRODUCT(--($W$2:$W$1001&lt;$W20))+1,"")</f>
        <v/>
      </c>
      <c r="V20">
        <f>IF($A20="","",IF(AND(ISNUMBER($R20),NOT(ISLOGICAL($R20)),N($R20)&gt;1),IF(ABS($R20/100-Settings!$C$6)&lt;=ABS($R20/100-Settings!$C$7),1,0),IF(OR($R20=TRUE(),$R20="TRUE"),1,0)))</f>
        <v/>
      </c>
      <c r="W20">
        <f>IF($T20=1,IFERROR(IF(VALUE($A20)&lt;100000000,VALUE($A20),1000000000),IFERROR(IF(VALUE(MID($A20,2,20))&lt;100000000,VALUE(MID($A20,2,20)),1000000000),1000000000))+ROW()/100000,"")</f>
        <v/>
      </c>
    </row>
    <row r="21">
      <c r="F21" s="7">
        <f>IF($A21="","",E21*K21/100)</f>
        <v/>
      </c>
      <c r="J21" s="7" t="n"/>
      <c r="K21" s="7" t="n"/>
      <c r="L21" s="7">
        <f>IF($A21="","",S21*K21)</f>
        <v/>
      </c>
      <c r="M21" s="7">
        <f>IF($A21="","",K21-L21)</f>
        <v/>
      </c>
      <c r="N21" s="7">
        <f>IF($A21="","",M21-F21)</f>
        <v/>
      </c>
      <c r="Q21" s="11" t="n"/>
      <c r="S21">
        <f>IF($A21="","",IF(AND(ISNUMBER($R21),NOT(ISLOGICAL($R21)),N($R21)&gt;1),$R21/100*1,IF($V21=1,Settings!$C$6,Settings!$C$7)*1))</f>
        <v/>
      </c>
      <c r="T21">
        <f>IF($A21="","",IF(COUNTIF($A$2:$A21,$A21)=1,1,0))</f>
        <v/>
      </c>
      <c r="U21">
        <f>IF($T21=1,SUMPRODUCT(--($W$2:$W$1001&lt;$W21))+1,"")</f>
        <v/>
      </c>
      <c r="V21">
        <f>IF($A21="","",IF(AND(ISNUMBER($R21),NOT(ISLOGICAL($R21)),N($R21)&gt;1),IF(ABS($R21/100-Settings!$C$6)&lt;=ABS($R21/100-Settings!$C$7),1,0),IF(OR($R21=TRUE(),$R21="TRUE"),1,0)))</f>
        <v/>
      </c>
      <c r="W21">
        <f>IF($T21=1,IFERROR(IF(VALUE($A21)&lt;100000000,VALUE($A21),1000000000),IFERROR(IF(VALUE(MID($A21,2,20))&lt;100000000,VALUE(MID($A21,2,20)),1000000000),1000000000))+ROW()/100000,"")</f>
        <v/>
      </c>
    </row>
    <row r="22">
      <c r="F22" s="7">
        <f>IF($A22="","",E22*K22/100)</f>
        <v/>
      </c>
      <c r="J22" s="7" t="n"/>
      <c r="K22" s="7" t="n"/>
      <c r="L22" s="7">
        <f>IF($A22="","",S22*K22)</f>
        <v/>
      </c>
      <c r="M22" s="7">
        <f>IF($A22="","",K22-L22)</f>
        <v/>
      </c>
      <c r="N22" s="7">
        <f>IF($A22="","",M22-F22)</f>
        <v/>
      </c>
      <c r="Q22" s="11" t="n"/>
      <c r="S22">
        <f>IF($A22="","",IF(AND(ISNUMBER($R22),NOT(ISLOGICAL($R22)),N($R22)&gt;1),$R22/100*1,IF($V22=1,Settings!$C$6,Settings!$C$7)*1))</f>
        <v/>
      </c>
      <c r="T22">
        <f>IF($A22="","",IF(COUNTIF($A$2:$A22,$A22)=1,1,0))</f>
        <v/>
      </c>
      <c r="U22">
        <f>IF($T22=1,SUMPRODUCT(--($W$2:$W$1001&lt;$W22))+1,"")</f>
        <v/>
      </c>
      <c r="V22">
        <f>IF($A22="","",IF(AND(ISNUMBER($R22),NOT(ISLOGICAL($R22)),N($R22)&gt;1),IF(ABS($R22/100-Settings!$C$6)&lt;=ABS($R22/100-Settings!$C$7),1,0),IF(OR($R22=TRUE(),$R22="TRUE"),1,0)))</f>
        <v/>
      </c>
      <c r="W22">
        <f>IF($T22=1,IFERROR(IF(VALUE($A22)&lt;100000000,VALUE($A22),1000000000),IFERROR(IF(VALUE(MID($A22,2,20))&lt;100000000,VALUE(MID($A22,2,20)),1000000000),1000000000))+ROW()/100000,"")</f>
        <v/>
      </c>
    </row>
    <row r="23">
      <c r="F23" s="7">
        <f>IF($A23="","",E23*K23/100)</f>
        <v/>
      </c>
      <c r="J23" s="7" t="n"/>
      <c r="K23" s="7" t="n"/>
      <c r="L23" s="7">
        <f>IF($A23="","",S23*K23)</f>
        <v/>
      </c>
      <c r="M23" s="7">
        <f>IF($A23="","",K23-L23)</f>
        <v/>
      </c>
      <c r="N23" s="7">
        <f>IF($A23="","",M23-F23)</f>
        <v/>
      </c>
      <c r="Q23" s="11" t="n"/>
      <c r="S23">
        <f>IF($A23="","",IF(AND(ISNUMBER($R23),NOT(ISLOGICAL($R23)),N($R23)&gt;1),$R23/100*1,IF($V23=1,Settings!$C$6,Settings!$C$7)*1))</f>
        <v/>
      </c>
      <c r="T23">
        <f>IF($A23="","",IF(COUNTIF($A$2:$A23,$A23)=1,1,0))</f>
        <v/>
      </c>
      <c r="U23">
        <f>IF($T23=1,SUMPRODUCT(--($W$2:$W$1001&lt;$W23))+1,"")</f>
        <v/>
      </c>
      <c r="V23">
        <f>IF($A23="","",IF(AND(ISNUMBER($R23),NOT(ISLOGICAL($R23)),N($R23)&gt;1),IF(ABS($R23/100-Settings!$C$6)&lt;=ABS($R23/100-Settings!$C$7),1,0),IF(OR($R23=TRUE(),$R23="TRUE"),1,0)))</f>
        <v/>
      </c>
      <c r="W23">
        <f>IF($T23=1,IFERROR(IF(VALUE($A23)&lt;100000000,VALUE($A23),1000000000),IFERROR(IF(VALUE(MID($A23,2,20))&lt;100000000,VALUE(MID($A23,2,20)),1000000000),1000000000))+ROW()/100000,"")</f>
        <v/>
      </c>
    </row>
    <row r="24">
      <c r="F24" s="7">
        <f>IF($A24="","",E24*K24/100)</f>
        <v/>
      </c>
      <c r="J24" s="7" t="n"/>
      <c r="K24" s="7" t="n"/>
      <c r="L24" s="7">
        <f>IF($A24="","",S24*K24)</f>
        <v/>
      </c>
      <c r="M24" s="7">
        <f>IF($A24="","",K24-L24)</f>
        <v/>
      </c>
      <c r="N24" s="7">
        <f>IF($A24="","",M24-F24)</f>
        <v/>
      </c>
      <c r="Q24" s="11" t="n"/>
      <c r="S24">
        <f>IF($A24="","",IF(AND(ISNUMBER($R24),NOT(ISLOGICAL($R24)),N($R24)&gt;1),$R24/100*1,IF($V24=1,Settings!$C$6,Settings!$C$7)*1))</f>
        <v/>
      </c>
      <c r="T24">
        <f>IF($A24="","",IF(COUNTIF($A$2:$A24,$A24)=1,1,0))</f>
        <v/>
      </c>
      <c r="U24">
        <f>IF($T24=1,SUMPRODUCT(--($W$2:$W$1001&lt;$W24))+1,"")</f>
        <v/>
      </c>
      <c r="V24">
        <f>IF($A24="","",IF(AND(ISNUMBER($R24),NOT(ISLOGICAL($R24)),N($R24)&gt;1),IF(ABS($R24/100-Settings!$C$6)&lt;=ABS($R24/100-Settings!$C$7),1,0),IF(OR($R24=TRUE(),$R24="TRUE"),1,0)))</f>
        <v/>
      </c>
      <c r="W24">
        <f>IF($T24=1,IFERROR(IF(VALUE($A24)&lt;100000000,VALUE($A24),1000000000),IFERROR(IF(VALUE(MID($A24,2,20))&lt;100000000,VALUE(MID($A24,2,20)),1000000000),1000000000))+ROW()/100000,"")</f>
        <v/>
      </c>
    </row>
    <row r="25">
      <c r="F25" s="7">
        <f>IF($A25="","",E25*K25/100)</f>
        <v/>
      </c>
      <c r="J25" s="7" t="n"/>
      <c r="K25" s="7" t="n"/>
      <c r="L25" s="7">
        <f>IF($A25="","",S25*K25)</f>
        <v/>
      </c>
      <c r="M25" s="7">
        <f>IF($A25="","",K25-L25)</f>
        <v/>
      </c>
      <c r="N25" s="7">
        <f>IF($A25="","",M25-F25)</f>
        <v/>
      </c>
      <c r="Q25" s="11" t="n"/>
      <c r="S25">
        <f>IF($A25="","",IF(AND(ISNUMBER($R25),NOT(ISLOGICAL($R25)),N($R25)&gt;1),$R25/100*1,IF($V25=1,Settings!$C$6,Settings!$C$7)*1))</f>
        <v/>
      </c>
      <c r="T25">
        <f>IF($A25="","",IF(COUNTIF($A$2:$A25,$A25)=1,1,0))</f>
        <v/>
      </c>
      <c r="U25">
        <f>IF($T25=1,SUMPRODUCT(--($W$2:$W$1001&lt;$W25))+1,"")</f>
        <v/>
      </c>
      <c r="V25">
        <f>IF($A25="","",IF(AND(ISNUMBER($R25),NOT(ISLOGICAL($R25)),N($R25)&gt;1),IF(ABS($R25/100-Settings!$C$6)&lt;=ABS($R25/100-Settings!$C$7),1,0),IF(OR($R25=TRUE(),$R25="TRUE"),1,0)))</f>
        <v/>
      </c>
      <c r="W25">
        <f>IF($T25=1,IFERROR(IF(VALUE($A25)&lt;100000000,VALUE($A25),1000000000),IFERROR(IF(VALUE(MID($A25,2,20))&lt;100000000,VALUE(MID($A25,2,20)),1000000000),1000000000))+ROW()/100000,"")</f>
        <v/>
      </c>
    </row>
    <row r="26">
      <c r="F26" s="7">
        <f>IF($A26="","",E26*K26/100)</f>
        <v/>
      </c>
      <c r="J26" s="7" t="n"/>
      <c r="K26" s="7" t="n"/>
      <c r="L26" s="7">
        <f>IF($A26="","",S26*K26)</f>
        <v/>
      </c>
      <c r="M26" s="7">
        <f>IF($A26="","",K26-L26)</f>
        <v/>
      </c>
      <c r="N26" s="7">
        <f>IF($A26="","",M26-F26)</f>
        <v/>
      </c>
      <c r="Q26" s="11" t="n"/>
      <c r="S26">
        <f>IF($A26="","",IF(AND(ISNUMBER($R26),NOT(ISLOGICAL($R26)),N($R26)&gt;1),$R26/100*1,IF($V26=1,Settings!$C$6,Settings!$C$7)*1))</f>
        <v/>
      </c>
      <c r="T26">
        <f>IF($A26="","",IF(COUNTIF($A$2:$A26,$A26)=1,1,0))</f>
        <v/>
      </c>
      <c r="U26">
        <f>IF($T26=1,SUMPRODUCT(--($W$2:$W$1001&lt;$W26))+1,"")</f>
        <v/>
      </c>
      <c r="V26">
        <f>IF($A26="","",IF(AND(ISNUMBER($R26),NOT(ISLOGICAL($R26)),N($R26)&gt;1),IF(ABS($R26/100-Settings!$C$6)&lt;=ABS($R26/100-Settings!$C$7),1,0),IF(OR($R26=TRUE(),$R26="TRUE"),1,0)))</f>
        <v/>
      </c>
      <c r="W26">
        <f>IF($T26=1,IFERROR(IF(VALUE($A26)&lt;100000000,VALUE($A26),1000000000),IFERROR(IF(VALUE(MID($A26,2,20))&lt;100000000,VALUE(MID($A26,2,20)),1000000000),1000000000))+ROW()/100000,"")</f>
        <v/>
      </c>
    </row>
    <row r="27">
      <c r="F27" s="7">
        <f>IF($A27="","",E27*K27/100)</f>
        <v/>
      </c>
      <c r="J27" s="7" t="n"/>
      <c r="K27" s="7" t="n"/>
      <c r="L27" s="7">
        <f>IF($A27="","",S27*K27)</f>
        <v/>
      </c>
      <c r="M27" s="7">
        <f>IF($A27="","",K27-L27)</f>
        <v/>
      </c>
      <c r="N27" s="7">
        <f>IF($A27="","",M27-F27)</f>
        <v/>
      </c>
      <c r="Q27" s="11" t="n"/>
      <c r="S27">
        <f>IF($A27="","",IF(AND(ISNUMBER($R27),NOT(ISLOGICAL($R27)),N($R27)&gt;1),$R27/100*1,IF($V27=1,Settings!$C$6,Settings!$C$7)*1))</f>
        <v/>
      </c>
      <c r="T27">
        <f>IF($A27="","",IF(COUNTIF($A$2:$A27,$A27)=1,1,0))</f>
        <v/>
      </c>
      <c r="U27">
        <f>IF($T27=1,SUMPRODUCT(--($W$2:$W$1001&lt;$W27))+1,"")</f>
        <v/>
      </c>
      <c r="V27">
        <f>IF($A27="","",IF(AND(ISNUMBER($R27),NOT(ISLOGICAL($R27)),N($R27)&gt;1),IF(ABS($R27/100-Settings!$C$6)&lt;=ABS($R27/100-Settings!$C$7),1,0),IF(OR($R27=TRUE(),$R27="TRUE"),1,0)))</f>
        <v/>
      </c>
      <c r="W27">
        <f>IF($T27=1,IFERROR(IF(VALUE($A27)&lt;100000000,VALUE($A27),1000000000),IFERROR(IF(VALUE(MID($A27,2,20))&lt;100000000,VALUE(MID($A27,2,20)),1000000000),1000000000))+ROW()/100000,"")</f>
        <v/>
      </c>
    </row>
    <row r="28">
      <c r="F28" s="7">
        <f>IF($A28="","",E28*K28/100)</f>
        <v/>
      </c>
      <c r="J28" s="7" t="n"/>
      <c r="K28" s="7" t="n"/>
      <c r="L28" s="7">
        <f>IF($A28="","",S28*K28)</f>
        <v/>
      </c>
      <c r="M28" s="7">
        <f>IF($A28="","",K28-L28)</f>
        <v/>
      </c>
      <c r="N28" s="7">
        <f>IF($A28="","",M28-F28)</f>
        <v/>
      </c>
      <c r="Q28" s="11" t="n"/>
      <c r="S28">
        <f>IF($A28="","",IF(AND(ISNUMBER($R28),NOT(ISLOGICAL($R28)),N($R28)&gt;1),$R28/100*1,IF($V28=1,Settings!$C$6,Settings!$C$7)*1))</f>
        <v/>
      </c>
      <c r="T28">
        <f>IF($A28="","",IF(COUNTIF($A$2:$A28,$A28)=1,1,0))</f>
        <v/>
      </c>
      <c r="U28">
        <f>IF($T28=1,SUMPRODUCT(--($W$2:$W$1001&lt;$W28))+1,"")</f>
        <v/>
      </c>
      <c r="V28">
        <f>IF($A28="","",IF(AND(ISNUMBER($R28),NOT(ISLOGICAL($R28)),N($R28)&gt;1),IF(ABS($R28/100-Settings!$C$6)&lt;=ABS($R28/100-Settings!$C$7),1,0),IF(OR($R28=TRUE(),$R28="TRUE"),1,0)))</f>
        <v/>
      </c>
      <c r="W28">
        <f>IF($T28=1,IFERROR(IF(VALUE($A28)&lt;100000000,VALUE($A28),1000000000),IFERROR(IF(VALUE(MID($A28,2,20))&lt;100000000,VALUE(MID($A28,2,20)),1000000000),1000000000))+ROW()/100000,"")</f>
        <v/>
      </c>
    </row>
    <row r="29">
      <c r="F29" s="7">
        <f>IF($A29="","",E29*K29/100)</f>
        <v/>
      </c>
      <c r="J29" s="7" t="n"/>
      <c r="K29" s="7" t="n"/>
      <c r="L29" s="7">
        <f>IF($A29="","",S29*K29)</f>
        <v/>
      </c>
      <c r="M29" s="7">
        <f>IF($A29="","",K29-L29)</f>
        <v/>
      </c>
      <c r="N29" s="7">
        <f>IF($A29="","",M29-F29)</f>
        <v/>
      </c>
      <c r="Q29" s="11" t="n"/>
      <c r="S29">
        <f>IF($A29="","",IF(AND(ISNUMBER($R29),NOT(ISLOGICAL($R29)),N($R29)&gt;1),$R29/100*1,IF($V29=1,Settings!$C$6,Settings!$C$7)*1))</f>
        <v/>
      </c>
      <c r="T29">
        <f>IF($A29="","",IF(COUNTIF($A$2:$A29,$A29)=1,1,0))</f>
        <v/>
      </c>
      <c r="U29">
        <f>IF($T29=1,SUMPRODUCT(--($W$2:$W$1001&lt;$W29))+1,"")</f>
        <v/>
      </c>
      <c r="V29">
        <f>IF($A29="","",IF(AND(ISNUMBER($R29),NOT(ISLOGICAL($R29)),N($R29)&gt;1),IF(ABS($R29/100-Settings!$C$6)&lt;=ABS($R29/100-Settings!$C$7),1,0),IF(OR($R29=TRUE(),$R29="TRUE"),1,0)))</f>
        <v/>
      </c>
      <c r="W29">
        <f>IF($T29=1,IFERROR(IF(VALUE($A29)&lt;100000000,VALUE($A29),1000000000),IFERROR(IF(VALUE(MID($A29,2,20))&lt;100000000,VALUE(MID($A29,2,20)),1000000000),1000000000))+ROW()/100000,"")</f>
        <v/>
      </c>
    </row>
    <row r="30">
      <c r="F30" s="7">
        <f>IF($A30="","",E30*K30/100)</f>
        <v/>
      </c>
      <c r="J30" s="7" t="n"/>
      <c r="K30" s="7" t="n"/>
      <c r="L30" s="7">
        <f>IF($A30="","",S30*K30)</f>
        <v/>
      </c>
      <c r="M30" s="7">
        <f>IF($A30="","",K30-L30)</f>
        <v/>
      </c>
      <c r="N30" s="7">
        <f>IF($A30="","",M30-F30)</f>
        <v/>
      </c>
      <c r="Q30" s="11" t="n"/>
      <c r="S30">
        <f>IF($A30="","",IF(AND(ISNUMBER($R30),NOT(ISLOGICAL($R30)),N($R30)&gt;1),$R30/100*1,IF($V30=1,Settings!$C$6,Settings!$C$7)*1))</f>
        <v/>
      </c>
      <c r="T30">
        <f>IF($A30="","",IF(COUNTIF($A$2:$A30,$A30)=1,1,0))</f>
        <v/>
      </c>
      <c r="U30">
        <f>IF($T30=1,SUMPRODUCT(--($W$2:$W$1001&lt;$W30))+1,"")</f>
        <v/>
      </c>
      <c r="V30">
        <f>IF($A30="","",IF(AND(ISNUMBER($R30),NOT(ISLOGICAL($R30)),N($R30)&gt;1),IF(ABS($R30/100-Settings!$C$6)&lt;=ABS($R30/100-Settings!$C$7),1,0),IF(OR($R30=TRUE(),$R30="TRUE"),1,0)))</f>
        <v/>
      </c>
      <c r="W30">
        <f>IF($T30=1,IFERROR(IF(VALUE($A30)&lt;100000000,VALUE($A30),1000000000),IFERROR(IF(VALUE(MID($A30,2,20))&lt;100000000,VALUE(MID($A30,2,20)),1000000000),1000000000))+ROW()/100000,"")</f>
        <v/>
      </c>
    </row>
    <row r="31">
      <c r="F31" s="7">
        <f>IF($A31="","",E31*K31/100)</f>
        <v/>
      </c>
      <c r="J31" s="7" t="n"/>
      <c r="K31" s="7" t="n"/>
      <c r="L31" s="7">
        <f>IF($A31="","",S31*K31)</f>
        <v/>
      </c>
      <c r="M31" s="7">
        <f>IF($A31="","",K31-L31)</f>
        <v/>
      </c>
      <c r="N31" s="7">
        <f>IF($A31="","",M31-F31)</f>
        <v/>
      </c>
      <c r="Q31" s="11" t="n"/>
      <c r="S31">
        <f>IF($A31="","",IF(AND(ISNUMBER($R31),NOT(ISLOGICAL($R31)),N($R31)&gt;1),$R31/100*1,IF($V31=1,Settings!$C$6,Settings!$C$7)*1))</f>
        <v/>
      </c>
      <c r="T31">
        <f>IF($A31="","",IF(COUNTIF($A$2:$A31,$A31)=1,1,0))</f>
        <v/>
      </c>
      <c r="U31">
        <f>IF($T31=1,SUMPRODUCT(--($W$2:$W$1001&lt;$W31))+1,"")</f>
        <v/>
      </c>
      <c r="V31">
        <f>IF($A31="","",IF(AND(ISNUMBER($R31),NOT(ISLOGICAL($R31)),N($R31)&gt;1),IF(ABS($R31/100-Settings!$C$6)&lt;=ABS($R31/100-Settings!$C$7),1,0),IF(OR($R31=TRUE(),$R31="TRUE"),1,0)))</f>
        <v/>
      </c>
      <c r="W31">
        <f>IF($T31=1,IFERROR(IF(VALUE($A31)&lt;100000000,VALUE($A31),1000000000),IFERROR(IF(VALUE(MID($A31,2,20))&lt;100000000,VALUE(MID($A31,2,20)),1000000000),1000000000))+ROW()/100000,"")</f>
        <v/>
      </c>
    </row>
    <row r="32">
      <c r="F32" s="7">
        <f>IF($A32="","",E32*K32/100)</f>
        <v/>
      </c>
      <c r="J32" s="7" t="n"/>
      <c r="K32" s="7" t="n"/>
      <c r="L32" s="7">
        <f>IF($A32="","",S32*K32)</f>
        <v/>
      </c>
      <c r="M32" s="7">
        <f>IF($A32="","",K32-L32)</f>
        <v/>
      </c>
      <c r="N32" s="7">
        <f>IF($A32="","",M32-F32)</f>
        <v/>
      </c>
      <c r="Q32" s="11" t="n"/>
      <c r="S32">
        <f>IF($A32="","",IF(AND(ISNUMBER($R32),NOT(ISLOGICAL($R32)),N($R32)&gt;1),$R32/100*1,IF($V32=1,Settings!$C$6,Settings!$C$7)*1))</f>
        <v/>
      </c>
      <c r="T32">
        <f>IF($A32="","",IF(COUNTIF($A$2:$A32,$A32)=1,1,0))</f>
        <v/>
      </c>
      <c r="U32">
        <f>IF($T32=1,SUMPRODUCT(--($W$2:$W$1001&lt;$W32))+1,"")</f>
        <v/>
      </c>
      <c r="V32">
        <f>IF($A32="","",IF(AND(ISNUMBER($R32),NOT(ISLOGICAL($R32)),N($R32)&gt;1),IF(ABS($R32/100-Settings!$C$6)&lt;=ABS($R32/100-Settings!$C$7),1,0),IF(OR($R32=TRUE(),$R32="TRUE"),1,0)))</f>
        <v/>
      </c>
      <c r="W32">
        <f>IF($T32=1,IFERROR(IF(VALUE($A32)&lt;100000000,VALUE($A32),1000000000),IFERROR(IF(VALUE(MID($A32,2,20))&lt;100000000,VALUE(MID($A32,2,20)),1000000000),1000000000))+ROW()/100000,"")</f>
        <v/>
      </c>
    </row>
    <row r="33">
      <c r="F33" s="7">
        <f>IF($A33="","",E33*K33/100)</f>
        <v/>
      </c>
      <c r="J33" s="7" t="n"/>
      <c r="K33" s="7" t="n"/>
      <c r="L33" s="7">
        <f>IF($A33="","",S33*K33)</f>
        <v/>
      </c>
      <c r="M33" s="7">
        <f>IF($A33="","",K33-L33)</f>
        <v/>
      </c>
      <c r="N33" s="7">
        <f>IF($A33="","",M33-F33)</f>
        <v/>
      </c>
      <c r="Q33" s="11" t="n"/>
      <c r="S33">
        <f>IF($A33="","",IF(AND(ISNUMBER($R33),NOT(ISLOGICAL($R33)),N($R33)&gt;1),$R33/100*1,IF($V33=1,Settings!$C$6,Settings!$C$7)*1))</f>
        <v/>
      </c>
      <c r="T33">
        <f>IF($A33="","",IF(COUNTIF($A$2:$A33,$A33)=1,1,0))</f>
        <v/>
      </c>
      <c r="U33">
        <f>IF($T33=1,SUMPRODUCT(--($W$2:$W$1001&lt;$W33))+1,"")</f>
        <v/>
      </c>
      <c r="V33">
        <f>IF($A33="","",IF(AND(ISNUMBER($R33),NOT(ISLOGICAL($R33)),N($R33)&gt;1),IF(ABS($R33/100-Settings!$C$6)&lt;=ABS($R33/100-Settings!$C$7),1,0),IF(OR($R33=TRUE(),$R33="TRUE"),1,0)))</f>
        <v/>
      </c>
      <c r="W33">
        <f>IF($T33=1,IFERROR(IF(VALUE($A33)&lt;100000000,VALUE($A33),1000000000),IFERROR(IF(VALUE(MID($A33,2,20))&lt;100000000,VALUE(MID($A33,2,20)),1000000000),1000000000))+ROW()/100000,"")</f>
        <v/>
      </c>
    </row>
    <row r="34">
      <c r="F34" s="7">
        <f>IF($A34="","",E34*K34/100)</f>
        <v/>
      </c>
      <c r="J34" s="7" t="n"/>
      <c r="K34" s="7" t="n"/>
      <c r="L34" s="7">
        <f>IF($A34="","",S34*K34)</f>
        <v/>
      </c>
      <c r="M34" s="7">
        <f>IF($A34="","",K34-L34)</f>
        <v/>
      </c>
      <c r="N34" s="7">
        <f>IF($A34="","",M34-F34)</f>
        <v/>
      </c>
      <c r="Q34" s="11" t="n"/>
      <c r="S34">
        <f>IF($A34="","",IF(AND(ISNUMBER($R34),NOT(ISLOGICAL($R34)),N($R34)&gt;1),$R34/100*1,IF($V34=1,Settings!$C$6,Settings!$C$7)*1))</f>
        <v/>
      </c>
      <c r="T34">
        <f>IF($A34="","",IF(COUNTIF($A$2:$A34,$A34)=1,1,0))</f>
        <v/>
      </c>
      <c r="U34">
        <f>IF($T34=1,SUMPRODUCT(--($W$2:$W$1001&lt;$W34))+1,"")</f>
        <v/>
      </c>
      <c r="V34">
        <f>IF($A34="","",IF(AND(ISNUMBER($R34),NOT(ISLOGICAL($R34)),N($R34)&gt;1),IF(ABS($R34/100-Settings!$C$6)&lt;=ABS($R34/100-Settings!$C$7),1,0),IF(OR($R34=TRUE(),$R34="TRUE"),1,0)))</f>
        <v/>
      </c>
      <c r="W34">
        <f>IF($T34=1,IFERROR(IF(VALUE($A34)&lt;100000000,VALUE($A34),1000000000),IFERROR(IF(VALUE(MID($A34,2,20))&lt;100000000,VALUE(MID($A34,2,20)),1000000000),1000000000))+ROW()/100000,"")</f>
        <v/>
      </c>
    </row>
    <row r="35">
      <c r="F35" s="7">
        <f>IF($A35="","",E35*K35/100)</f>
        <v/>
      </c>
      <c r="J35" s="7" t="n"/>
      <c r="K35" s="7" t="n"/>
      <c r="L35" s="7">
        <f>IF($A35="","",S35*K35)</f>
        <v/>
      </c>
      <c r="M35" s="7">
        <f>IF($A35="","",K35-L35)</f>
        <v/>
      </c>
      <c r="N35" s="7">
        <f>IF($A35="","",M35-F35)</f>
        <v/>
      </c>
      <c r="Q35" s="11" t="n"/>
      <c r="S35">
        <f>IF($A35="","",IF(AND(ISNUMBER($R35),NOT(ISLOGICAL($R35)),N($R35)&gt;1),$R35/100*1,IF($V35=1,Settings!$C$6,Settings!$C$7)*1))</f>
        <v/>
      </c>
      <c r="T35">
        <f>IF($A35="","",IF(COUNTIF($A$2:$A35,$A35)=1,1,0))</f>
        <v/>
      </c>
      <c r="U35">
        <f>IF($T35=1,SUMPRODUCT(--($W$2:$W$1001&lt;$W35))+1,"")</f>
        <v/>
      </c>
      <c r="V35">
        <f>IF($A35="","",IF(AND(ISNUMBER($R35),NOT(ISLOGICAL($R35)),N($R35)&gt;1),IF(ABS($R35/100-Settings!$C$6)&lt;=ABS($R35/100-Settings!$C$7),1,0),IF(OR($R35=TRUE(),$R35="TRUE"),1,0)))</f>
        <v/>
      </c>
      <c r="W35">
        <f>IF($T35=1,IFERROR(IF(VALUE($A35)&lt;100000000,VALUE($A35),1000000000),IFERROR(IF(VALUE(MID($A35,2,20))&lt;100000000,VALUE(MID($A35,2,20)),1000000000),1000000000))+ROW()/100000,"")</f>
        <v/>
      </c>
    </row>
    <row r="36">
      <c r="F36" s="7">
        <f>IF($A36="","",E36*K36/100)</f>
        <v/>
      </c>
      <c r="J36" s="7" t="n"/>
      <c r="K36" s="7" t="n"/>
      <c r="L36" s="7">
        <f>IF($A36="","",S36*K36)</f>
        <v/>
      </c>
      <c r="M36" s="7">
        <f>IF($A36="","",K36-L36)</f>
        <v/>
      </c>
      <c r="N36" s="7">
        <f>IF($A36="","",M36-F36)</f>
        <v/>
      </c>
      <c r="Q36" s="11" t="n"/>
      <c r="S36">
        <f>IF($A36="","",IF(AND(ISNUMBER($R36),NOT(ISLOGICAL($R36)),N($R36)&gt;1),$R36/100*1,IF($V36=1,Settings!$C$6,Settings!$C$7)*1))</f>
        <v/>
      </c>
      <c r="T36">
        <f>IF($A36="","",IF(COUNTIF($A$2:$A36,$A36)=1,1,0))</f>
        <v/>
      </c>
      <c r="U36">
        <f>IF($T36=1,SUMPRODUCT(--($W$2:$W$1001&lt;$W36))+1,"")</f>
        <v/>
      </c>
      <c r="V36">
        <f>IF($A36="","",IF(AND(ISNUMBER($R36),NOT(ISLOGICAL($R36)),N($R36)&gt;1),IF(ABS($R36/100-Settings!$C$6)&lt;=ABS($R36/100-Settings!$C$7),1,0),IF(OR($R36=TRUE(),$R36="TRUE"),1,0)))</f>
        <v/>
      </c>
      <c r="W36">
        <f>IF($T36=1,IFERROR(IF(VALUE($A36)&lt;100000000,VALUE($A36),1000000000),IFERROR(IF(VALUE(MID($A36,2,20))&lt;100000000,VALUE(MID($A36,2,20)),1000000000),1000000000))+ROW()/100000,"")</f>
        <v/>
      </c>
    </row>
    <row r="37">
      <c r="F37" s="7">
        <f>IF($A37="","",E37*K37/100)</f>
        <v/>
      </c>
      <c r="J37" s="7" t="n"/>
      <c r="K37" s="7" t="n"/>
      <c r="L37" s="7">
        <f>IF($A37="","",S37*K37)</f>
        <v/>
      </c>
      <c r="M37" s="7">
        <f>IF($A37="","",K37-L37)</f>
        <v/>
      </c>
      <c r="N37" s="7">
        <f>IF($A37="","",M37-F37)</f>
        <v/>
      </c>
      <c r="Q37" s="11" t="n"/>
      <c r="S37">
        <f>IF($A37="","",IF(AND(ISNUMBER($R37),NOT(ISLOGICAL($R37)),N($R37)&gt;1),$R37/100*1,IF($V37=1,Settings!$C$6,Settings!$C$7)*1))</f>
        <v/>
      </c>
      <c r="T37">
        <f>IF($A37="","",IF(COUNTIF($A$2:$A37,$A37)=1,1,0))</f>
        <v/>
      </c>
      <c r="U37">
        <f>IF($T37=1,SUMPRODUCT(--($W$2:$W$1001&lt;$W37))+1,"")</f>
        <v/>
      </c>
      <c r="V37">
        <f>IF($A37="","",IF(AND(ISNUMBER($R37),NOT(ISLOGICAL($R37)),N($R37)&gt;1),IF(ABS($R37/100-Settings!$C$6)&lt;=ABS($R37/100-Settings!$C$7),1,0),IF(OR($R37=TRUE(),$R37="TRUE"),1,0)))</f>
        <v/>
      </c>
      <c r="W37">
        <f>IF($T37=1,IFERROR(IF(VALUE($A37)&lt;100000000,VALUE($A37),1000000000),IFERROR(IF(VALUE(MID($A37,2,20))&lt;100000000,VALUE(MID($A37,2,20)),1000000000),1000000000))+ROW()/100000,"")</f>
        <v/>
      </c>
    </row>
    <row r="38">
      <c r="F38" s="7">
        <f>IF($A38="","",E38*K38/100)</f>
        <v/>
      </c>
      <c r="J38" s="7" t="n"/>
      <c r="K38" s="7" t="n"/>
      <c r="L38" s="7">
        <f>IF($A38="","",S38*K38)</f>
        <v/>
      </c>
      <c r="M38" s="7">
        <f>IF($A38="","",K38-L38)</f>
        <v/>
      </c>
      <c r="N38" s="7">
        <f>IF($A38="","",M38-F38)</f>
        <v/>
      </c>
      <c r="Q38" s="11" t="n"/>
      <c r="S38">
        <f>IF($A38="","",IF(AND(ISNUMBER($R38),NOT(ISLOGICAL($R38)),N($R38)&gt;1),$R38/100*1,IF($V38=1,Settings!$C$6,Settings!$C$7)*1))</f>
        <v/>
      </c>
      <c r="T38">
        <f>IF($A38="","",IF(COUNTIF($A$2:$A38,$A38)=1,1,0))</f>
        <v/>
      </c>
      <c r="U38">
        <f>IF($T38=1,SUMPRODUCT(--($W$2:$W$1001&lt;$W38))+1,"")</f>
        <v/>
      </c>
      <c r="V38">
        <f>IF($A38="","",IF(AND(ISNUMBER($R38),NOT(ISLOGICAL($R38)),N($R38)&gt;1),IF(ABS($R38/100-Settings!$C$6)&lt;=ABS($R38/100-Settings!$C$7),1,0),IF(OR($R38=TRUE(),$R38="TRUE"),1,0)))</f>
        <v/>
      </c>
      <c r="W38">
        <f>IF($T38=1,IFERROR(IF(VALUE($A38)&lt;100000000,VALUE($A38),1000000000),IFERROR(IF(VALUE(MID($A38,2,20))&lt;100000000,VALUE(MID($A38,2,20)),1000000000),1000000000))+ROW()/100000,"")</f>
        <v/>
      </c>
    </row>
    <row r="39">
      <c r="F39" s="7">
        <f>IF($A39="","",E39*K39/100)</f>
        <v/>
      </c>
      <c r="J39" s="7" t="n"/>
      <c r="K39" s="7" t="n"/>
      <c r="L39" s="7">
        <f>IF($A39="","",S39*K39)</f>
        <v/>
      </c>
      <c r="M39" s="7">
        <f>IF($A39="","",K39-L39)</f>
        <v/>
      </c>
      <c r="N39" s="7">
        <f>IF($A39="","",M39-F39)</f>
        <v/>
      </c>
      <c r="Q39" s="11" t="n"/>
      <c r="S39">
        <f>IF($A39="","",IF(AND(ISNUMBER($R39),NOT(ISLOGICAL($R39)),N($R39)&gt;1),$R39/100*1,IF($V39=1,Settings!$C$6,Settings!$C$7)*1))</f>
        <v/>
      </c>
      <c r="T39">
        <f>IF($A39="","",IF(COUNTIF($A$2:$A39,$A39)=1,1,0))</f>
        <v/>
      </c>
      <c r="U39">
        <f>IF($T39=1,SUMPRODUCT(--($W$2:$W$1001&lt;$W39))+1,"")</f>
        <v/>
      </c>
      <c r="V39">
        <f>IF($A39="","",IF(AND(ISNUMBER($R39),NOT(ISLOGICAL($R39)),N($R39)&gt;1),IF(ABS($R39/100-Settings!$C$6)&lt;=ABS($R39/100-Settings!$C$7),1,0),IF(OR($R39=TRUE(),$R39="TRUE"),1,0)))</f>
        <v/>
      </c>
      <c r="W39">
        <f>IF($T39=1,IFERROR(IF(VALUE($A39)&lt;100000000,VALUE($A39),1000000000),IFERROR(IF(VALUE(MID($A39,2,20))&lt;100000000,VALUE(MID($A39,2,20)),1000000000),1000000000))+ROW()/100000,"")</f>
        <v/>
      </c>
    </row>
    <row r="40">
      <c r="F40" s="7">
        <f>IF($A40="","",E40*K40/100)</f>
        <v/>
      </c>
      <c r="J40" s="7" t="n"/>
      <c r="K40" s="7" t="n"/>
      <c r="L40" s="7">
        <f>IF($A40="","",S40*K40)</f>
        <v/>
      </c>
      <c r="M40" s="7">
        <f>IF($A40="","",K40-L40)</f>
        <v/>
      </c>
      <c r="N40" s="7">
        <f>IF($A40="","",M40-F40)</f>
        <v/>
      </c>
      <c r="Q40" s="11" t="n"/>
      <c r="S40">
        <f>IF($A40="","",IF(AND(ISNUMBER($R40),NOT(ISLOGICAL($R40)),N($R40)&gt;1),$R40/100*1,IF($V40=1,Settings!$C$6,Settings!$C$7)*1))</f>
        <v/>
      </c>
      <c r="T40">
        <f>IF($A40="","",IF(COUNTIF($A$2:$A40,$A40)=1,1,0))</f>
        <v/>
      </c>
      <c r="U40">
        <f>IF($T40=1,SUMPRODUCT(--($W$2:$W$1001&lt;$W40))+1,"")</f>
        <v/>
      </c>
      <c r="V40">
        <f>IF($A40="","",IF(AND(ISNUMBER($R40),NOT(ISLOGICAL($R40)),N($R40)&gt;1),IF(ABS($R40/100-Settings!$C$6)&lt;=ABS($R40/100-Settings!$C$7),1,0),IF(OR($R40=TRUE(),$R40="TRUE"),1,0)))</f>
        <v/>
      </c>
      <c r="W40">
        <f>IF($T40=1,IFERROR(IF(VALUE($A40)&lt;100000000,VALUE($A40),1000000000),IFERROR(IF(VALUE(MID($A40,2,20))&lt;100000000,VALUE(MID($A40,2,20)),1000000000),1000000000))+ROW()/100000,"")</f>
        <v/>
      </c>
    </row>
    <row r="41">
      <c r="F41" s="7">
        <f>IF($A41="","",E41*K41/100)</f>
        <v/>
      </c>
      <c r="J41" s="7" t="n"/>
      <c r="K41" s="7" t="n"/>
      <c r="L41" s="7">
        <f>IF($A41="","",S41*K41)</f>
        <v/>
      </c>
      <c r="M41" s="7">
        <f>IF($A41="","",K41-L41)</f>
        <v/>
      </c>
      <c r="N41" s="7">
        <f>IF($A41="","",M41-F41)</f>
        <v/>
      </c>
      <c r="Q41" s="11" t="n"/>
      <c r="S41">
        <f>IF($A41="","",IF(AND(ISNUMBER($R41),NOT(ISLOGICAL($R41)),N($R41)&gt;1),$R41/100*1,IF($V41=1,Settings!$C$6,Settings!$C$7)*1))</f>
        <v/>
      </c>
      <c r="T41">
        <f>IF($A41="","",IF(COUNTIF($A$2:$A41,$A41)=1,1,0))</f>
        <v/>
      </c>
      <c r="U41">
        <f>IF($T41=1,SUMPRODUCT(--($W$2:$W$1001&lt;$W41))+1,"")</f>
        <v/>
      </c>
      <c r="V41">
        <f>IF($A41="","",IF(AND(ISNUMBER($R41),NOT(ISLOGICAL($R41)),N($R41)&gt;1),IF(ABS($R41/100-Settings!$C$6)&lt;=ABS($R41/100-Settings!$C$7),1,0),IF(OR($R41=TRUE(),$R41="TRUE"),1,0)))</f>
        <v/>
      </c>
      <c r="W41">
        <f>IF($T41=1,IFERROR(IF(VALUE($A41)&lt;100000000,VALUE($A41),1000000000),IFERROR(IF(VALUE(MID($A41,2,20))&lt;100000000,VALUE(MID($A41,2,20)),1000000000),1000000000))+ROW()/100000,"")</f>
        <v/>
      </c>
    </row>
    <row r="42">
      <c r="F42" s="7">
        <f>IF($A42="","",E42*K42/100)</f>
        <v/>
      </c>
      <c r="J42" s="7" t="n"/>
      <c r="K42" s="7" t="n"/>
      <c r="L42" s="7">
        <f>IF($A42="","",S42*K42)</f>
        <v/>
      </c>
      <c r="M42" s="7">
        <f>IF($A42="","",K42-L42)</f>
        <v/>
      </c>
      <c r="N42" s="7">
        <f>IF($A42="","",M42-F42)</f>
        <v/>
      </c>
      <c r="Q42" s="11" t="n"/>
      <c r="S42">
        <f>IF($A42="","",IF(AND(ISNUMBER($R42),NOT(ISLOGICAL($R42)),N($R42)&gt;1),$R42/100*1,IF($V42=1,Settings!$C$6,Settings!$C$7)*1))</f>
        <v/>
      </c>
      <c r="T42">
        <f>IF($A42="","",IF(COUNTIF($A$2:$A42,$A42)=1,1,0))</f>
        <v/>
      </c>
      <c r="U42">
        <f>IF($T42=1,SUMPRODUCT(--($W$2:$W$1001&lt;$W42))+1,"")</f>
        <v/>
      </c>
      <c r="V42">
        <f>IF($A42="","",IF(AND(ISNUMBER($R42),NOT(ISLOGICAL($R42)),N($R42)&gt;1),IF(ABS($R42/100-Settings!$C$6)&lt;=ABS($R42/100-Settings!$C$7),1,0),IF(OR($R42=TRUE(),$R42="TRUE"),1,0)))</f>
        <v/>
      </c>
      <c r="W42">
        <f>IF($T42=1,IFERROR(IF(VALUE($A42)&lt;100000000,VALUE($A42),1000000000),IFERROR(IF(VALUE(MID($A42,2,20))&lt;100000000,VALUE(MID($A42,2,20)),1000000000),1000000000))+ROW()/100000,"")</f>
        <v/>
      </c>
    </row>
    <row r="43">
      <c r="F43" s="7">
        <f>IF($A43="","",E43*K43/100)</f>
        <v/>
      </c>
      <c r="J43" s="7" t="n"/>
      <c r="K43" s="7" t="n"/>
      <c r="L43" s="7">
        <f>IF($A43="","",S43*K43)</f>
        <v/>
      </c>
      <c r="M43" s="7">
        <f>IF($A43="","",K43-L43)</f>
        <v/>
      </c>
      <c r="N43" s="7">
        <f>IF($A43="","",M43-F43)</f>
        <v/>
      </c>
      <c r="Q43" s="11" t="n"/>
      <c r="S43">
        <f>IF($A43="","",IF(AND(ISNUMBER($R43),NOT(ISLOGICAL($R43)),N($R43)&gt;1),$R43/100*1,IF($V43=1,Settings!$C$6,Settings!$C$7)*1))</f>
        <v/>
      </c>
      <c r="T43">
        <f>IF($A43="","",IF(COUNTIF($A$2:$A43,$A43)=1,1,0))</f>
        <v/>
      </c>
      <c r="U43">
        <f>IF($T43=1,SUMPRODUCT(--($W$2:$W$1001&lt;$W43))+1,"")</f>
        <v/>
      </c>
      <c r="V43">
        <f>IF($A43="","",IF(AND(ISNUMBER($R43),NOT(ISLOGICAL($R43)),N($R43)&gt;1),IF(ABS($R43/100-Settings!$C$6)&lt;=ABS($R43/100-Settings!$C$7),1,0),IF(OR($R43=TRUE(),$R43="TRUE"),1,0)))</f>
        <v/>
      </c>
      <c r="W43">
        <f>IF($T43=1,IFERROR(IF(VALUE($A43)&lt;100000000,VALUE($A43),1000000000),IFERROR(IF(VALUE(MID($A43,2,20))&lt;100000000,VALUE(MID($A43,2,20)),1000000000),1000000000))+ROW()/100000,"")</f>
        <v/>
      </c>
    </row>
    <row r="44">
      <c r="F44" s="7">
        <f>IF($A44="","",E44*K44/100)</f>
        <v/>
      </c>
      <c r="J44" s="7" t="n"/>
      <c r="K44" s="7" t="n"/>
      <c r="L44" s="7">
        <f>IF($A44="","",S44*K44)</f>
        <v/>
      </c>
      <c r="M44" s="7">
        <f>IF($A44="","",K44-L44)</f>
        <v/>
      </c>
      <c r="N44" s="7">
        <f>IF($A44="","",M44-F44)</f>
        <v/>
      </c>
      <c r="Q44" s="11" t="n"/>
      <c r="S44">
        <f>IF($A44="","",IF(AND(ISNUMBER($R44),NOT(ISLOGICAL($R44)),N($R44)&gt;1),$R44/100*1,IF($V44=1,Settings!$C$6,Settings!$C$7)*1))</f>
        <v/>
      </c>
      <c r="T44">
        <f>IF($A44="","",IF(COUNTIF($A$2:$A44,$A44)=1,1,0))</f>
        <v/>
      </c>
      <c r="U44">
        <f>IF($T44=1,SUMPRODUCT(--($W$2:$W$1001&lt;$W44))+1,"")</f>
        <v/>
      </c>
      <c r="V44">
        <f>IF($A44="","",IF(AND(ISNUMBER($R44),NOT(ISLOGICAL($R44)),N($R44)&gt;1),IF(ABS($R44/100-Settings!$C$6)&lt;=ABS($R44/100-Settings!$C$7),1,0),IF(OR($R44=TRUE(),$R44="TRUE"),1,0)))</f>
        <v/>
      </c>
      <c r="W44">
        <f>IF($T44=1,IFERROR(IF(VALUE($A44)&lt;100000000,VALUE($A44),1000000000),IFERROR(IF(VALUE(MID($A44,2,20))&lt;100000000,VALUE(MID($A44,2,20)),1000000000),1000000000))+ROW()/100000,"")</f>
        <v/>
      </c>
    </row>
    <row r="45">
      <c r="F45" s="7">
        <f>IF($A45="","",E45*K45/100)</f>
        <v/>
      </c>
      <c r="J45" s="7" t="n"/>
      <c r="K45" s="7" t="n"/>
      <c r="L45" s="7">
        <f>IF($A45="","",S45*K45)</f>
        <v/>
      </c>
      <c r="M45" s="7">
        <f>IF($A45="","",K45-L45)</f>
        <v/>
      </c>
      <c r="N45" s="7">
        <f>IF($A45="","",M45-F45)</f>
        <v/>
      </c>
      <c r="Q45" s="11" t="n"/>
      <c r="S45">
        <f>IF($A45="","",IF(AND(ISNUMBER($R45),NOT(ISLOGICAL($R45)),N($R45)&gt;1),$R45/100*1,IF($V45=1,Settings!$C$6,Settings!$C$7)*1))</f>
        <v/>
      </c>
      <c r="T45">
        <f>IF($A45="","",IF(COUNTIF($A$2:$A45,$A45)=1,1,0))</f>
        <v/>
      </c>
      <c r="U45">
        <f>IF($T45=1,SUMPRODUCT(--($W$2:$W$1001&lt;$W45))+1,"")</f>
        <v/>
      </c>
      <c r="V45">
        <f>IF($A45="","",IF(AND(ISNUMBER($R45),NOT(ISLOGICAL($R45)),N($R45)&gt;1),IF(ABS($R45/100-Settings!$C$6)&lt;=ABS($R45/100-Settings!$C$7),1,0),IF(OR($R45=TRUE(),$R45="TRUE"),1,0)))</f>
        <v/>
      </c>
      <c r="W45">
        <f>IF($T45=1,IFERROR(IF(VALUE($A45)&lt;100000000,VALUE($A45),1000000000),IFERROR(IF(VALUE(MID($A45,2,20))&lt;100000000,VALUE(MID($A45,2,20)),1000000000),1000000000))+ROW()/100000,"")</f>
        <v/>
      </c>
    </row>
    <row r="46">
      <c r="F46" s="7">
        <f>IF($A46="","",E46*K46/100)</f>
        <v/>
      </c>
      <c r="J46" s="7" t="n"/>
      <c r="K46" s="7" t="n"/>
      <c r="L46" s="7">
        <f>IF($A46="","",S46*K46)</f>
        <v/>
      </c>
      <c r="M46" s="7">
        <f>IF($A46="","",K46-L46)</f>
        <v/>
      </c>
      <c r="N46" s="7">
        <f>IF($A46="","",M46-F46)</f>
        <v/>
      </c>
      <c r="Q46" s="11" t="n"/>
      <c r="S46">
        <f>IF($A46="","",IF(AND(ISNUMBER($R46),NOT(ISLOGICAL($R46)),N($R46)&gt;1),$R46/100*1,IF($V46=1,Settings!$C$6,Settings!$C$7)*1))</f>
        <v/>
      </c>
      <c r="T46">
        <f>IF($A46="","",IF(COUNTIF($A$2:$A46,$A46)=1,1,0))</f>
        <v/>
      </c>
      <c r="U46">
        <f>IF($T46=1,SUMPRODUCT(--($W$2:$W$1001&lt;$W46))+1,"")</f>
        <v/>
      </c>
      <c r="V46">
        <f>IF($A46="","",IF(AND(ISNUMBER($R46),NOT(ISLOGICAL($R46)),N($R46)&gt;1),IF(ABS($R46/100-Settings!$C$6)&lt;=ABS($R46/100-Settings!$C$7),1,0),IF(OR($R46=TRUE(),$R46="TRUE"),1,0)))</f>
        <v/>
      </c>
      <c r="W46">
        <f>IF($T46=1,IFERROR(IF(VALUE($A46)&lt;100000000,VALUE($A46),1000000000),IFERROR(IF(VALUE(MID($A46,2,20))&lt;100000000,VALUE(MID($A46,2,20)),1000000000),1000000000))+ROW()/100000,"")</f>
        <v/>
      </c>
    </row>
    <row r="47">
      <c r="F47" s="7">
        <f>IF($A47="","",E47*K47/100)</f>
        <v/>
      </c>
      <c r="J47" s="7" t="n"/>
      <c r="K47" s="7" t="n"/>
      <c r="L47" s="7">
        <f>IF($A47="","",S47*K47)</f>
        <v/>
      </c>
      <c r="M47" s="7">
        <f>IF($A47="","",K47-L47)</f>
        <v/>
      </c>
      <c r="N47" s="7">
        <f>IF($A47="","",M47-F47)</f>
        <v/>
      </c>
      <c r="Q47" s="11" t="n"/>
      <c r="S47">
        <f>IF($A47="","",IF(AND(ISNUMBER($R47),NOT(ISLOGICAL($R47)),N($R47)&gt;1),$R47/100*1,IF($V47=1,Settings!$C$6,Settings!$C$7)*1))</f>
        <v/>
      </c>
      <c r="T47">
        <f>IF($A47="","",IF(COUNTIF($A$2:$A47,$A47)=1,1,0))</f>
        <v/>
      </c>
      <c r="U47">
        <f>IF($T47=1,SUMPRODUCT(--($W$2:$W$1001&lt;$W47))+1,"")</f>
        <v/>
      </c>
      <c r="V47">
        <f>IF($A47="","",IF(AND(ISNUMBER($R47),NOT(ISLOGICAL($R47)),N($R47)&gt;1),IF(ABS($R47/100-Settings!$C$6)&lt;=ABS($R47/100-Settings!$C$7),1,0),IF(OR($R47=TRUE(),$R47="TRUE"),1,0)))</f>
        <v/>
      </c>
      <c r="W47">
        <f>IF($T47=1,IFERROR(IF(VALUE($A47)&lt;100000000,VALUE($A47),1000000000),IFERROR(IF(VALUE(MID($A47,2,20))&lt;100000000,VALUE(MID($A47,2,20)),1000000000),1000000000))+ROW()/100000,"")</f>
        <v/>
      </c>
    </row>
    <row r="48">
      <c r="F48" s="7">
        <f>IF($A48="","",E48*K48/100)</f>
        <v/>
      </c>
      <c r="J48" s="7" t="n"/>
      <c r="K48" s="7" t="n"/>
      <c r="L48" s="7">
        <f>IF($A48="","",S48*K48)</f>
        <v/>
      </c>
      <c r="M48" s="7">
        <f>IF($A48="","",K48-L48)</f>
        <v/>
      </c>
      <c r="N48" s="7">
        <f>IF($A48="","",M48-F48)</f>
        <v/>
      </c>
      <c r="Q48" s="11" t="n"/>
      <c r="S48">
        <f>IF($A48="","",IF(AND(ISNUMBER($R48),NOT(ISLOGICAL($R48)),N($R48)&gt;1),$R48/100*1,IF($V48=1,Settings!$C$6,Settings!$C$7)*1))</f>
        <v/>
      </c>
      <c r="T48">
        <f>IF($A48="","",IF(COUNTIF($A$2:$A48,$A48)=1,1,0))</f>
        <v/>
      </c>
      <c r="U48">
        <f>IF($T48=1,SUMPRODUCT(--($W$2:$W$1001&lt;$W48))+1,"")</f>
        <v/>
      </c>
      <c r="V48">
        <f>IF($A48="","",IF(AND(ISNUMBER($R48),NOT(ISLOGICAL($R48)),N($R48)&gt;1),IF(ABS($R48/100-Settings!$C$6)&lt;=ABS($R48/100-Settings!$C$7),1,0),IF(OR($R48=TRUE(),$R48="TRUE"),1,0)))</f>
        <v/>
      </c>
      <c r="W48">
        <f>IF($T48=1,IFERROR(IF(VALUE($A48)&lt;100000000,VALUE($A48),1000000000),IFERROR(IF(VALUE(MID($A48,2,20))&lt;100000000,VALUE(MID($A48,2,20)),1000000000),1000000000))+ROW()/100000,"")</f>
        <v/>
      </c>
    </row>
    <row r="49">
      <c r="F49" s="7">
        <f>IF($A49="","",E49*K49/100)</f>
        <v/>
      </c>
      <c r="J49" s="7" t="n"/>
      <c r="K49" s="7" t="n"/>
      <c r="L49" s="7">
        <f>IF($A49="","",S49*K49)</f>
        <v/>
      </c>
      <c r="M49" s="7">
        <f>IF($A49="","",K49-L49)</f>
        <v/>
      </c>
      <c r="N49" s="7">
        <f>IF($A49="","",M49-F49)</f>
        <v/>
      </c>
      <c r="Q49" s="11" t="n"/>
      <c r="S49">
        <f>IF($A49="","",IF(AND(ISNUMBER($R49),NOT(ISLOGICAL($R49)),N($R49)&gt;1),$R49/100*1,IF($V49=1,Settings!$C$6,Settings!$C$7)*1))</f>
        <v/>
      </c>
      <c r="T49">
        <f>IF($A49="","",IF(COUNTIF($A$2:$A49,$A49)=1,1,0))</f>
        <v/>
      </c>
      <c r="U49">
        <f>IF($T49=1,SUMPRODUCT(--($W$2:$W$1001&lt;$W49))+1,"")</f>
        <v/>
      </c>
      <c r="V49">
        <f>IF($A49="","",IF(AND(ISNUMBER($R49),NOT(ISLOGICAL($R49)),N($R49)&gt;1),IF(ABS($R49/100-Settings!$C$6)&lt;=ABS($R49/100-Settings!$C$7),1,0),IF(OR($R49=TRUE(),$R49="TRUE"),1,0)))</f>
        <v/>
      </c>
      <c r="W49">
        <f>IF($T49=1,IFERROR(IF(VALUE($A49)&lt;100000000,VALUE($A49),1000000000),IFERROR(IF(VALUE(MID($A49,2,20))&lt;100000000,VALUE(MID($A49,2,20)),1000000000),1000000000))+ROW()/100000,"")</f>
        <v/>
      </c>
    </row>
    <row r="50">
      <c r="F50" s="7">
        <f>IF($A50="","",E50*K50/100)</f>
        <v/>
      </c>
      <c r="J50" s="7" t="n"/>
      <c r="K50" s="7" t="n"/>
      <c r="L50" s="7">
        <f>IF($A50="","",S50*K50)</f>
        <v/>
      </c>
      <c r="M50" s="7">
        <f>IF($A50="","",K50-L50)</f>
        <v/>
      </c>
      <c r="N50" s="7">
        <f>IF($A50="","",M50-F50)</f>
        <v/>
      </c>
      <c r="Q50" s="11" t="n"/>
      <c r="S50">
        <f>IF($A50="","",IF(AND(ISNUMBER($R50),NOT(ISLOGICAL($R50)),N($R50)&gt;1),$R50/100*1,IF($V50=1,Settings!$C$6,Settings!$C$7)*1))</f>
        <v/>
      </c>
      <c r="T50">
        <f>IF($A50="","",IF(COUNTIF($A$2:$A50,$A50)=1,1,0))</f>
        <v/>
      </c>
      <c r="U50">
        <f>IF($T50=1,SUMPRODUCT(--($W$2:$W$1001&lt;$W50))+1,"")</f>
        <v/>
      </c>
      <c r="V50">
        <f>IF($A50="","",IF(AND(ISNUMBER($R50),NOT(ISLOGICAL($R50)),N($R50)&gt;1),IF(ABS($R50/100-Settings!$C$6)&lt;=ABS($R50/100-Settings!$C$7),1,0),IF(OR($R50=TRUE(),$R50="TRUE"),1,0)))</f>
        <v/>
      </c>
      <c r="W50">
        <f>IF($T50=1,IFERROR(IF(VALUE($A50)&lt;100000000,VALUE($A50),1000000000),IFERROR(IF(VALUE(MID($A50,2,20))&lt;100000000,VALUE(MID($A50,2,20)),1000000000),1000000000))+ROW()/100000,"")</f>
        <v/>
      </c>
    </row>
    <row r="51">
      <c r="F51" s="7">
        <f>IF($A51="","",E51*K51/100)</f>
        <v/>
      </c>
      <c r="J51" s="7" t="n"/>
      <c r="K51" s="7" t="n"/>
      <c r="L51" s="7">
        <f>IF($A51="","",S51*K51)</f>
        <v/>
      </c>
      <c r="M51" s="7">
        <f>IF($A51="","",K51-L51)</f>
        <v/>
      </c>
      <c r="N51" s="7">
        <f>IF($A51="","",M51-F51)</f>
        <v/>
      </c>
      <c r="Q51" s="11" t="n"/>
      <c r="S51">
        <f>IF($A51="","",IF(AND(ISNUMBER($R51),NOT(ISLOGICAL($R51)),N($R51)&gt;1),$R51/100*1,IF($V51=1,Settings!$C$6,Settings!$C$7)*1))</f>
        <v/>
      </c>
      <c r="T51">
        <f>IF($A51="","",IF(COUNTIF($A$2:$A51,$A51)=1,1,0))</f>
        <v/>
      </c>
      <c r="U51">
        <f>IF($T51=1,SUMPRODUCT(--($W$2:$W$1001&lt;$W51))+1,"")</f>
        <v/>
      </c>
      <c r="V51">
        <f>IF($A51="","",IF(AND(ISNUMBER($R51),NOT(ISLOGICAL($R51)),N($R51)&gt;1),IF(ABS($R51/100-Settings!$C$6)&lt;=ABS($R51/100-Settings!$C$7),1,0),IF(OR($R51=TRUE(),$R51="TRUE"),1,0)))</f>
        <v/>
      </c>
      <c r="W51">
        <f>IF($T51=1,IFERROR(IF(VALUE($A51)&lt;100000000,VALUE($A51),1000000000),IFERROR(IF(VALUE(MID($A51,2,20))&lt;100000000,VALUE(MID($A51,2,20)),1000000000),1000000000))+ROW()/100000,"")</f>
        <v/>
      </c>
    </row>
    <row r="52">
      <c r="F52" s="7">
        <f>IF($A52="","",E52*K52/100)</f>
        <v/>
      </c>
      <c r="J52" s="7" t="n"/>
      <c r="K52" s="7" t="n"/>
      <c r="L52" s="7">
        <f>IF($A52="","",S52*K52)</f>
        <v/>
      </c>
      <c r="M52" s="7">
        <f>IF($A52="","",K52-L52)</f>
        <v/>
      </c>
      <c r="N52" s="7">
        <f>IF($A52="","",M52-F52)</f>
        <v/>
      </c>
      <c r="Q52" s="11" t="n"/>
      <c r="S52">
        <f>IF($A52="","",IF(AND(ISNUMBER($R52),NOT(ISLOGICAL($R52)),N($R52)&gt;1),$R52/100*1,IF($V52=1,Settings!$C$6,Settings!$C$7)*1))</f>
        <v/>
      </c>
      <c r="T52">
        <f>IF($A52="","",IF(COUNTIF($A$2:$A52,$A52)=1,1,0))</f>
        <v/>
      </c>
      <c r="U52">
        <f>IF($T52=1,SUMPRODUCT(--($W$2:$W$1001&lt;$W52))+1,"")</f>
        <v/>
      </c>
      <c r="V52">
        <f>IF($A52="","",IF(AND(ISNUMBER($R52),NOT(ISLOGICAL($R52)),N($R52)&gt;1),IF(ABS($R52/100-Settings!$C$6)&lt;=ABS($R52/100-Settings!$C$7),1,0),IF(OR($R52=TRUE(),$R52="TRUE"),1,0)))</f>
        <v/>
      </c>
      <c r="W52">
        <f>IF($T52=1,IFERROR(IF(VALUE($A52)&lt;100000000,VALUE($A52),1000000000),IFERROR(IF(VALUE(MID($A52,2,20))&lt;100000000,VALUE(MID($A52,2,20)),1000000000),1000000000))+ROW()/100000,"")</f>
        <v/>
      </c>
    </row>
    <row r="53">
      <c r="F53" s="7">
        <f>IF($A53="","",E53*K53/100)</f>
        <v/>
      </c>
      <c r="J53" s="7" t="n"/>
      <c r="K53" s="7" t="n"/>
      <c r="L53" s="7">
        <f>IF($A53="","",S53*K53)</f>
        <v/>
      </c>
      <c r="M53" s="7">
        <f>IF($A53="","",K53-L53)</f>
        <v/>
      </c>
      <c r="N53" s="7">
        <f>IF($A53="","",M53-F53)</f>
        <v/>
      </c>
      <c r="Q53" s="11" t="n"/>
      <c r="S53">
        <f>IF($A53="","",IF(AND(ISNUMBER($R53),NOT(ISLOGICAL($R53)),N($R53)&gt;1),$R53/100*1,IF($V53=1,Settings!$C$6,Settings!$C$7)*1))</f>
        <v/>
      </c>
      <c r="T53">
        <f>IF($A53="","",IF(COUNTIF($A$2:$A53,$A53)=1,1,0))</f>
        <v/>
      </c>
      <c r="U53">
        <f>IF($T53=1,SUMPRODUCT(--($W$2:$W$1001&lt;$W53))+1,"")</f>
        <v/>
      </c>
      <c r="V53">
        <f>IF($A53="","",IF(AND(ISNUMBER($R53),NOT(ISLOGICAL($R53)),N($R53)&gt;1),IF(ABS($R53/100-Settings!$C$6)&lt;=ABS($R53/100-Settings!$C$7),1,0),IF(OR($R53=TRUE(),$R53="TRUE"),1,0)))</f>
        <v/>
      </c>
      <c r="W53">
        <f>IF($T53=1,IFERROR(IF(VALUE($A53)&lt;100000000,VALUE($A53),1000000000),IFERROR(IF(VALUE(MID($A53,2,20))&lt;100000000,VALUE(MID($A53,2,20)),1000000000),1000000000))+ROW()/100000,"")</f>
        <v/>
      </c>
    </row>
    <row r="54">
      <c r="F54" s="7">
        <f>IF($A54="","",E54*K54/100)</f>
        <v/>
      </c>
      <c r="J54" s="7" t="n"/>
      <c r="K54" s="7" t="n"/>
      <c r="L54" s="7">
        <f>IF($A54="","",S54*K54)</f>
        <v/>
      </c>
      <c r="M54" s="7">
        <f>IF($A54="","",K54-L54)</f>
        <v/>
      </c>
      <c r="N54" s="7">
        <f>IF($A54="","",M54-F54)</f>
        <v/>
      </c>
      <c r="Q54" s="11" t="n"/>
      <c r="S54">
        <f>IF($A54="","",IF(AND(ISNUMBER($R54),NOT(ISLOGICAL($R54)),N($R54)&gt;1),$R54/100*1,IF($V54=1,Settings!$C$6,Settings!$C$7)*1))</f>
        <v/>
      </c>
      <c r="T54">
        <f>IF($A54="","",IF(COUNTIF($A$2:$A54,$A54)=1,1,0))</f>
        <v/>
      </c>
      <c r="U54">
        <f>IF($T54=1,SUMPRODUCT(--($W$2:$W$1001&lt;$W54))+1,"")</f>
        <v/>
      </c>
      <c r="V54">
        <f>IF($A54="","",IF(AND(ISNUMBER($R54),NOT(ISLOGICAL($R54)),N($R54)&gt;1),IF(ABS($R54/100-Settings!$C$6)&lt;=ABS($R54/100-Settings!$C$7),1,0),IF(OR($R54=TRUE(),$R54="TRUE"),1,0)))</f>
        <v/>
      </c>
      <c r="W54">
        <f>IF($T54=1,IFERROR(IF(VALUE($A54)&lt;100000000,VALUE($A54),1000000000),IFERROR(IF(VALUE(MID($A54,2,20))&lt;100000000,VALUE(MID($A54,2,20)),1000000000),1000000000))+ROW()/100000,"")</f>
        <v/>
      </c>
    </row>
    <row r="55">
      <c r="F55" s="7">
        <f>IF($A55="","",E55*K55/100)</f>
        <v/>
      </c>
      <c r="J55" s="7" t="n"/>
      <c r="K55" s="7" t="n"/>
      <c r="L55" s="7">
        <f>IF($A55="","",S55*K55)</f>
        <v/>
      </c>
      <c r="M55" s="7">
        <f>IF($A55="","",K55-L55)</f>
        <v/>
      </c>
      <c r="N55" s="7">
        <f>IF($A55="","",M55-F55)</f>
        <v/>
      </c>
      <c r="Q55" s="11" t="n"/>
      <c r="S55">
        <f>IF($A55="","",IF(AND(ISNUMBER($R55),NOT(ISLOGICAL($R55)),N($R55)&gt;1),$R55/100*1,IF($V55=1,Settings!$C$6,Settings!$C$7)*1))</f>
        <v/>
      </c>
      <c r="T55">
        <f>IF($A55="","",IF(COUNTIF($A$2:$A55,$A55)=1,1,0))</f>
        <v/>
      </c>
      <c r="U55">
        <f>IF($T55=1,SUMPRODUCT(--($W$2:$W$1001&lt;$W55))+1,"")</f>
        <v/>
      </c>
      <c r="V55">
        <f>IF($A55="","",IF(AND(ISNUMBER($R55),NOT(ISLOGICAL($R55)),N($R55)&gt;1),IF(ABS($R55/100-Settings!$C$6)&lt;=ABS($R55/100-Settings!$C$7),1,0),IF(OR($R55=TRUE(),$R55="TRUE"),1,0)))</f>
        <v/>
      </c>
      <c r="W55">
        <f>IF($T55=1,IFERROR(IF(VALUE($A55)&lt;100000000,VALUE($A55),1000000000),IFERROR(IF(VALUE(MID($A55,2,20))&lt;100000000,VALUE(MID($A55,2,20)),1000000000),1000000000))+ROW()/100000,"")</f>
        <v/>
      </c>
    </row>
    <row r="56">
      <c r="F56" s="7">
        <f>IF($A56="","",E56*K56/100)</f>
        <v/>
      </c>
      <c r="J56" s="7" t="n"/>
      <c r="K56" s="7" t="n"/>
      <c r="L56" s="7">
        <f>IF($A56="","",S56*K56)</f>
        <v/>
      </c>
      <c r="M56" s="7">
        <f>IF($A56="","",K56-L56)</f>
        <v/>
      </c>
      <c r="N56" s="7">
        <f>IF($A56="","",M56-F56)</f>
        <v/>
      </c>
      <c r="Q56" s="11" t="n"/>
      <c r="S56">
        <f>IF($A56="","",IF(AND(ISNUMBER($R56),NOT(ISLOGICAL($R56)),N($R56)&gt;1),$R56/100*1,IF($V56=1,Settings!$C$6,Settings!$C$7)*1))</f>
        <v/>
      </c>
      <c r="T56">
        <f>IF($A56="","",IF(COUNTIF($A$2:$A56,$A56)=1,1,0))</f>
        <v/>
      </c>
      <c r="U56">
        <f>IF($T56=1,SUMPRODUCT(--($W$2:$W$1001&lt;$W56))+1,"")</f>
        <v/>
      </c>
      <c r="V56">
        <f>IF($A56="","",IF(AND(ISNUMBER($R56),NOT(ISLOGICAL($R56)),N($R56)&gt;1),IF(ABS($R56/100-Settings!$C$6)&lt;=ABS($R56/100-Settings!$C$7),1,0),IF(OR($R56=TRUE(),$R56="TRUE"),1,0)))</f>
        <v/>
      </c>
      <c r="W56">
        <f>IF($T56=1,IFERROR(IF(VALUE($A56)&lt;100000000,VALUE($A56),1000000000),IFERROR(IF(VALUE(MID($A56,2,20))&lt;100000000,VALUE(MID($A56,2,20)),1000000000),1000000000))+ROW()/100000,"")</f>
        <v/>
      </c>
    </row>
    <row r="57">
      <c r="F57" s="7">
        <f>IF($A57="","",E57*K57/100)</f>
        <v/>
      </c>
      <c r="J57" s="7" t="n"/>
      <c r="K57" s="7" t="n"/>
      <c r="L57" s="7">
        <f>IF($A57="","",S57*K57)</f>
        <v/>
      </c>
      <c r="M57" s="7">
        <f>IF($A57="","",K57-L57)</f>
        <v/>
      </c>
      <c r="N57" s="7">
        <f>IF($A57="","",M57-F57)</f>
        <v/>
      </c>
      <c r="Q57" s="11" t="n"/>
      <c r="S57">
        <f>IF($A57="","",IF(AND(ISNUMBER($R57),NOT(ISLOGICAL($R57)),N($R57)&gt;1),$R57/100*1,IF($V57=1,Settings!$C$6,Settings!$C$7)*1))</f>
        <v/>
      </c>
      <c r="T57">
        <f>IF($A57="","",IF(COUNTIF($A$2:$A57,$A57)=1,1,0))</f>
        <v/>
      </c>
      <c r="U57">
        <f>IF($T57=1,SUMPRODUCT(--($W$2:$W$1001&lt;$W57))+1,"")</f>
        <v/>
      </c>
      <c r="V57">
        <f>IF($A57="","",IF(AND(ISNUMBER($R57),NOT(ISLOGICAL($R57)),N($R57)&gt;1),IF(ABS($R57/100-Settings!$C$6)&lt;=ABS($R57/100-Settings!$C$7),1,0),IF(OR($R57=TRUE(),$R57="TRUE"),1,0)))</f>
        <v/>
      </c>
      <c r="W57">
        <f>IF($T57=1,IFERROR(IF(VALUE($A57)&lt;100000000,VALUE($A57),1000000000),IFERROR(IF(VALUE(MID($A57,2,20))&lt;100000000,VALUE(MID($A57,2,20)),1000000000),1000000000))+ROW()/100000,"")</f>
        <v/>
      </c>
    </row>
    <row r="58">
      <c r="F58" s="7">
        <f>IF($A58="","",E58*K58/100)</f>
        <v/>
      </c>
      <c r="J58" s="7" t="n"/>
      <c r="K58" s="7" t="n"/>
      <c r="L58" s="7">
        <f>IF($A58="","",S58*K58)</f>
        <v/>
      </c>
      <c r="M58" s="7">
        <f>IF($A58="","",K58-L58)</f>
        <v/>
      </c>
      <c r="N58" s="7">
        <f>IF($A58="","",M58-F58)</f>
        <v/>
      </c>
      <c r="Q58" s="11" t="n"/>
      <c r="S58">
        <f>IF($A58="","",IF(AND(ISNUMBER($R58),NOT(ISLOGICAL($R58)),N($R58)&gt;1),$R58/100*1,IF($V58=1,Settings!$C$6,Settings!$C$7)*1))</f>
        <v/>
      </c>
      <c r="T58">
        <f>IF($A58="","",IF(COUNTIF($A$2:$A58,$A58)=1,1,0))</f>
        <v/>
      </c>
      <c r="U58">
        <f>IF($T58=1,SUMPRODUCT(--($W$2:$W$1001&lt;$W58))+1,"")</f>
        <v/>
      </c>
      <c r="V58">
        <f>IF($A58="","",IF(AND(ISNUMBER($R58),NOT(ISLOGICAL($R58)),N($R58)&gt;1),IF(ABS($R58/100-Settings!$C$6)&lt;=ABS($R58/100-Settings!$C$7),1,0),IF(OR($R58=TRUE(),$R58="TRUE"),1,0)))</f>
        <v/>
      </c>
      <c r="W58">
        <f>IF($T58=1,IFERROR(IF(VALUE($A58)&lt;100000000,VALUE($A58),1000000000),IFERROR(IF(VALUE(MID($A58,2,20))&lt;100000000,VALUE(MID($A58,2,20)),1000000000),1000000000))+ROW()/100000,"")</f>
        <v/>
      </c>
    </row>
    <row r="59">
      <c r="F59" s="7">
        <f>IF($A59="","",E59*K59/100)</f>
        <v/>
      </c>
      <c r="J59" s="7" t="n"/>
      <c r="K59" s="7" t="n"/>
      <c r="L59" s="7">
        <f>IF($A59="","",S59*K59)</f>
        <v/>
      </c>
      <c r="M59" s="7">
        <f>IF($A59="","",K59-L59)</f>
        <v/>
      </c>
      <c r="N59" s="7">
        <f>IF($A59="","",M59-F59)</f>
        <v/>
      </c>
      <c r="Q59" s="11" t="n"/>
      <c r="S59">
        <f>IF($A59="","",IF(AND(ISNUMBER($R59),NOT(ISLOGICAL($R59)),N($R59)&gt;1),$R59/100*1,IF($V59=1,Settings!$C$6,Settings!$C$7)*1))</f>
        <v/>
      </c>
      <c r="T59">
        <f>IF($A59="","",IF(COUNTIF($A$2:$A59,$A59)=1,1,0))</f>
        <v/>
      </c>
      <c r="U59">
        <f>IF($T59=1,SUMPRODUCT(--($W$2:$W$1001&lt;$W59))+1,"")</f>
        <v/>
      </c>
      <c r="V59">
        <f>IF($A59="","",IF(AND(ISNUMBER($R59),NOT(ISLOGICAL($R59)),N($R59)&gt;1),IF(ABS($R59/100-Settings!$C$6)&lt;=ABS($R59/100-Settings!$C$7),1,0),IF(OR($R59=TRUE(),$R59="TRUE"),1,0)))</f>
        <v/>
      </c>
      <c r="W59">
        <f>IF($T59=1,IFERROR(IF(VALUE($A59)&lt;100000000,VALUE($A59),1000000000),IFERROR(IF(VALUE(MID($A59,2,20))&lt;100000000,VALUE(MID($A59,2,20)),1000000000),1000000000))+ROW()/100000,"")</f>
        <v/>
      </c>
    </row>
    <row r="60">
      <c r="F60" s="7">
        <f>IF($A60="","",E60*K60/100)</f>
        <v/>
      </c>
      <c r="J60" s="7" t="n"/>
      <c r="K60" s="7" t="n"/>
      <c r="L60" s="7">
        <f>IF($A60="","",S60*K60)</f>
        <v/>
      </c>
      <c r="M60" s="7">
        <f>IF($A60="","",K60-L60)</f>
        <v/>
      </c>
      <c r="N60" s="7">
        <f>IF($A60="","",M60-F60)</f>
        <v/>
      </c>
      <c r="Q60" s="11" t="n"/>
      <c r="S60">
        <f>IF($A60="","",IF(AND(ISNUMBER($R60),NOT(ISLOGICAL($R60)),N($R60)&gt;1),$R60/100*1,IF($V60=1,Settings!$C$6,Settings!$C$7)*1))</f>
        <v/>
      </c>
      <c r="T60">
        <f>IF($A60="","",IF(COUNTIF($A$2:$A60,$A60)=1,1,0))</f>
        <v/>
      </c>
      <c r="U60">
        <f>IF($T60=1,SUMPRODUCT(--($W$2:$W$1001&lt;$W60))+1,"")</f>
        <v/>
      </c>
      <c r="V60">
        <f>IF($A60="","",IF(AND(ISNUMBER($R60),NOT(ISLOGICAL($R60)),N($R60)&gt;1),IF(ABS($R60/100-Settings!$C$6)&lt;=ABS($R60/100-Settings!$C$7),1,0),IF(OR($R60=TRUE(),$R60="TRUE"),1,0)))</f>
        <v/>
      </c>
      <c r="W60">
        <f>IF($T60=1,IFERROR(IF(VALUE($A60)&lt;100000000,VALUE($A60),1000000000),IFERROR(IF(VALUE(MID($A60,2,20))&lt;100000000,VALUE(MID($A60,2,20)),1000000000),1000000000))+ROW()/100000,"")</f>
        <v/>
      </c>
    </row>
    <row r="61">
      <c r="F61" s="7">
        <f>IF($A61="","",E61*K61/100)</f>
        <v/>
      </c>
      <c r="J61" s="7" t="n"/>
      <c r="K61" s="7" t="n"/>
      <c r="L61" s="7">
        <f>IF($A61="","",S61*K61)</f>
        <v/>
      </c>
      <c r="M61" s="7">
        <f>IF($A61="","",K61-L61)</f>
        <v/>
      </c>
      <c r="N61" s="7">
        <f>IF($A61="","",M61-F61)</f>
        <v/>
      </c>
      <c r="Q61" s="11" t="n"/>
      <c r="S61">
        <f>IF($A61="","",IF(AND(ISNUMBER($R61),NOT(ISLOGICAL($R61)),N($R61)&gt;1),$R61/100*1,IF($V61=1,Settings!$C$6,Settings!$C$7)*1))</f>
        <v/>
      </c>
      <c r="T61">
        <f>IF($A61="","",IF(COUNTIF($A$2:$A61,$A61)=1,1,0))</f>
        <v/>
      </c>
      <c r="U61">
        <f>IF($T61=1,SUMPRODUCT(--($W$2:$W$1001&lt;$W61))+1,"")</f>
        <v/>
      </c>
      <c r="V61">
        <f>IF($A61="","",IF(AND(ISNUMBER($R61),NOT(ISLOGICAL($R61)),N($R61)&gt;1),IF(ABS($R61/100-Settings!$C$6)&lt;=ABS($R61/100-Settings!$C$7),1,0),IF(OR($R61=TRUE(),$R61="TRUE"),1,0)))</f>
        <v/>
      </c>
      <c r="W61">
        <f>IF($T61=1,IFERROR(IF(VALUE($A61)&lt;100000000,VALUE($A61),1000000000),IFERROR(IF(VALUE(MID($A61,2,20))&lt;100000000,VALUE(MID($A61,2,20)),1000000000),1000000000))+ROW()/100000,"")</f>
        <v/>
      </c>
    </row>
    <row r="62">
      <c r="F62" s="7">
        <f>IF($A62="","",E62*K62/100)</f>
        <v/>
      </c>
      <c r="J62" s="7" t="n"/>
      <c r="K62" s="7" t="n"/>
      <c r="L62" s="7">
        <f>IF($A62="","",S62*K62)</f>
        <v/>
      </c>
      <c r="M62" s="7">
        <f>IF($A62="","",K62-L62)</f>
        <v/>
      </c>
      <c r="N62" s="7">
        <f>IF($A62="","",M62-F62)</f>
        <v/>
      </c>
      <c r="Q62" s="11" t="n"/>
      <c r="S62">
        <f>IF($A62="","",IF(AND(ISNUMBER($R62),NOT(ISLOGICAL($R62)),N($R62)&gt;1),$R62/100*1,IF($V62=1,Settings!$C$6,Settings!$C$7)*1))</f>
        <v/>
      </c>
      <c r="T62">
        <f>IF($A62="","",IF(COUNTIF($A$2:$A62,$A62)=1,1,0))</f>
        <v/>
      </c>
      <c r="U62">
        <f>IF($T62=1,SUMPRODUCT(--($W$2:$W$1001&lt;$W62))+1,"")</f>
        <v/>
      </c>
      <c r="V62">
        <f>IF($A62="","",IF(AND(ISNUMBER($R62),NOT(ISLOGICAL($R62)),N($R62)&gt;1),IF(ABS($R62/100-Settings!$C$6)&lt;=ABS($R62/100-Settings!$C$7),1,0),IF(OR($R62=TRUE(),$R62="TRUE"),1,0)))</f>
        <v/>
      </c>
      <c r="W62">
        <f>IF($T62=1,IFERROR(IF(VALUE($A62)&lt;100000000,VALUE($A62),1000000000),IFERROR(IF(VALUE(MID($A62,2,20))&lt;100000000,VALUE(MID($A62,2,20)),1000000000),1000000000))+ROW()/100000,"")</f>
        <v/>
      </c>
    </row>
    <row r="63">
      <c r="F63" s="7">
        <f>IF($A63="","",E63*K63/100)</f>
        <v/>
      </c>
      <c r="J63" s="7" t="n"/>
      <c r="K63" s="7" t="n"/>
      <c r="L63" s="7">
        <f>IF($A63="","",S63*K63)</f>
        <v/>
      </c>
      <c r="M63" s="7">
        <f>IF($A63="","",K63-L63)</f>
        <v/>
      </c>
      <c r="N63" s="7">
        <f>IF($A63="","",M63-F63)</f>
        <v/>
      </c>
      <c r="Q63" s="11" t="n"/>
      <c r="S63">
        <f>IF($A63="","",IF(AND(ISNUMBER($R63),NOT(ISLOGICAL($R63)),N($R63)&gt;1),$R63/100*1,IF($V63=1,Settings!$C$6,Settings!$C$7)*1))</f>
        <v/>
      </c>
      <c r="T63">
        <f>IF($A63="","",IF(COUNTIF($A$2:$A63,$A63)=1,1,0))</f>
        <v/>
      </c>
      <c r="U63">
        <f>IF($T63=1,SUMPRODUCT(--($W$2:$W$1001&lt;$W63))+1,"")</f>
        <v/>
      </c>
      <c r="V63">
        <f>IF($A63="","",IF(AND(ISNUMBER($R63),NOT(ISLOGICAL($R63)),N($R63)&gt;1),IF(ABS($R63/100-Settings!$C$6)&lt;=ABS($R63/100-Settings!$C$7),1,0),IF(OR($R63=TRUE(),$R63="TRUE"),1,0)))</f>
        <v/>
      </c>
      <c r="W63">
        <f>IF($T63=1,IFERROR(IF(VALUE($A63)&lt;100000000,VALUE($A63),1000000000),IFERROR(IF(VALUE(MID($A63,2,20))&lt;100000000,VALUE(MID($A63,2,20)),1000000000),1000000000))+ROW()/100000,"")</f>
        <v/>
      </c>
    </row>
    <row r="64">
      <c r="F64" s="7">
        <f>IF($A64="","",E64*K64/100)</f>
        <v/>
      </c>
      <c r="J64" s="7" t="n"/>
      <c r="K64" s="7" t="n"/>
      <c r="L64" s="7">
        <f>IF($A64="","",S64*K64)</f>
        <v/>
      </c>
      <c r="M64" s="7">
        <f>IF($A64="","",K64-L64)</f>
        <v/>
      </c>
      <c r="N64" s="7">
        <f>IF($A64="","",M64-F64)</f>
        <v/>
      </c>
      <c r="Q64" s="11" t="n"/>
      <c r="S64">
        <f>IF($A64="","",IF(AND(ISNUMBER($R64),NOT(ISLOGICAL($R64)),N($R64)&gt;1),$R64/100*1,IF($V64=1,Settings!$C$6,Settings!$C$7)*1))</f>
        <v/>
      </c>
      <c r="T64">
        <f>IF($A64="","",IF(COUNTIF($A$2:$A64,$A64)=1,1,0))</f>
        <v/>
      </c>
      <c r="U64">
        <f>IF($T64=1,SUMPRODUCT(--($W$2:$W$1001&lt;$W64))+1,"")</f>
        <v/>
      </c>
      <c r="V64">
        <f>IF($A64="","",IF(AND(ISNUMBER($R64),NOT(ISLOGICAL($R64)),N($R64)&gt;1),IF(ABS($R64/100-Settings!$C$6)&lt;=ABS($R64/100-Settings!$C$7),1,0),IF(OR($R64=TRUE(),$R64="TRUE"),1,0)))</f>
        <v/>
      </c>
      <c r="W64">
        <f>IF($T64=1,IFERROR(IF(VALUE($A64)&lt;100000000,VALUE($A64),1000000000),IFERROR(IF(VALUE(MID($A64,2,20))&lt;100000000,VALUE(MID($A64,2,20)),1000000000),1000000000))+ROW()/100000,"")</f>
        <v/>
      </c>
    </row>
    <row r="65">
      <c r="F65" s="7">
        <f>IF($A65="","",E65*K65/100)</f>
        <v/>
      </c>
      <c r="J65" s="7" t="n"/>
      <c r="K65" s="7" t="n"/>
      <c r="L65" s="7">
        <f>IF($A65="","",S65*K65)</f>
        <v/>
      </c>
      <c r="M65" s="7">
        <f>IF($A65="","",K65-L65)</f>
        <v/>
      </c>
      <c r="N65" s="7">
        <f>IF($A65="","",M65-F65)</f>
        <v/>
      </c>
      <c r="Q65" s="11" t="n"/>
      <c r="S65">
        <f>IF($A65="","",IF(AND(ISNUMBER($R65),NOT(ISLOGICAL($R65)),N($R65)&gt;1),$R65/100*1,IF($V65=1,Settings!$C$6,Settings!$C$7)*1))</f>
        <v/>
      </c>
      <c r="T65">
        <f>IF($A65="","",IF(COUNTIF($A$2:$A65,$A65)=1,1,0))</f>
        <v/>
      </c>
      <c r="U65">
        <f>IF($T65=1,SUMPRODUCT(--($W$2:$W$1001&lt;$W65))+1,"")</f>
        <v/>
      </c>
      <c r="V65">
        <f>IF($A65="","",IF(AND(ISNUMBER($R65),NOT(ISLOGICAL($R65)),N($R65)&gt;1),IF(ABS($R65/100-Settings!$C$6)&lt;=ABS($R65/100-Settings!$C$7),1,0),IF(OR($R65=TRUE(),$R65="TRUE"),1,0)))</f>
        <v/>
      </c>
      <c r="W65">
        <f>IF($T65=1,IFERROR(IF(VALUE($A65)&lt;100000000,VALUE($A65),1000000000),IFERROR(IF(VALUE(MID($A65,2,20))&lt;100000000,VALUE(MID($A65,2,20)),1000000000),1000000000))+ROW()/100000,"")</f>
        <v/>
      </c>
    </row>
    <row r="66">
      <c r="F66" s="7">
        <f>IF($A66="","",E66*K66/100)</f>
        <v/>
      </c>
      <c r="J66" s="7" t="n"/>
      <c r="K66" s="7" t="n"/>
      <c r="L66" s="7">
        <f>IF($A66="","",S66*K66)</f>
        <v/>
      </c>
      <c r="M66" s="7">
        <f>IF($A66="","",K66-L66)</f>
        <v/>
      </c>
      <c r="N66" s="7">
        <f>IF($A66="","",M66-F66)</f>
        <v/>
      </c>
      <c r="Q66" s="11" t="n"/>
      <c r="S66">
        <f>IF($A66="","",IF(AND(ISNUMBER($R66),NOT(ISLOGICAL($R66)),N($R66)&gt;1),$R66/100*1,IF($V66=1,Settings!$C$6,Settings!$C$7)*1))</f>
        <v/>
      </c>
      <c r="T66">
        <f>IF($A66="","",IF(COUNTIF($A$2:$A66,$A66)=1,1,0))</f>
        <v/>
      </c>
      <c r="U66">
        <f>IF($T66=1,SUMPRODUCT(--($W$2:$W$1001&lt;$W66))+1,"")</f>
        <v/>
      </c>
      <c r="V66">
        <f>IF($A66="","",IF(AND(ISNUMBER($R66),NOT(ISLOGICAL($R66)),N($R66)&gt;1),IF(ABS($R66/100-Settings!$C$6)&lt;=ABS($R66/100-Settings!$C$7),1,0),IF(OR($R66=TRUE(),$R66="TRUE"),1,0)))</f>
        <v/>
      </c>
      <c r="W66">
        <f>IF($T66=1,IFERROR(IF(VALUE($A66)&lt;100000000,VALUE($A66),1000000000),IFERROR(IF(VALUE(MID($A66,2,20))&lt;100000000,VALUE(MID($A66,2,20)),1000000000),1000000000))+ROW()/100000,"")</f>
        <v/>
      </c>
    </row>
    <row r="67">
      <c r="F67" s="7">
        <f>IF($A67="","",E67*K67/100)</f>
        <v/>
      </c>
      <c r="J67" s="7" t="n"/>
      <c r="K67" s="7" t="n"/>
      <c r="L67" s="7">
        <f>IF($A67="","",S67*K67)</f>
        <v/>
      </c>
      <c r="M67" s="7">
        <f>IF($A67="","",K67-L67)</f>
        <v/>
      </c>
      <c r="N67" s="7">
        <f>IF($A67="","",M67-F67)</f>
        <v/>
      </c>
      <c r="Q67" s="11" t="n"/>
      <c r="S67">
        <f>IF($A67="","",IF(AND(ISNUMBER($R67),NOT(ISLOGICAL($R67)),N($R67)&gt;1),$R67/100*1,IF($V67=1,Settings!$C$6,Settings!$C$7)*1))</f>
        <v/>
      </c>
      <c r="T67">
        <f>IF($A67="","",IF(COUNTIF($A$2:$A67,$A67)=1,1,0))</f>
        <v/>
      </c>
      <c r="U67">
        <f>IF($T67=1,SUMPRODUCT(--($W$2:$W$1001&lt;$W67))+1,"")</f>
        <v/>
      </c>
      <c r="V67">
        <f>IF($A67="","",IF(AND(ISNUMBER($R67),NOT(ISLOGICAL($R67)),N($R67)&gt;1),IF(ABS($R67/100-Settings!$C$6)&lt;=ABS($R67/100-Settings!$C$7),1,0),IF(OR($R67=TRUE(),$R67="TRUE"),1,0)))</f>
        <v/>
      </c>
      <c r="W67">
        <f>IF($T67=1,IFERROR(IF(VALUE($A67)&lt;100000000,VALUE($A67),1000000000),IFERROR(IF(VALUE(MID($A67,2,20))&lt;100000000,VALUE(MID($A67,2,20)),1000000000),1000000000))+ROW()/100000,"")</f>
        <v/>
      </c>
    </row>
    <row r="68">
      <c r="F68" s="7">
        <f>IF($A68="","",E68*K68/100)</f>
        <v/>
      </c>
      <c r="J68" s="7" t="n"/>
      <c r="K68" s="7" t="n"/>
      <c r="L68" s="7">
        <f>IF($A68="","",S68*K68)</f>
        <v/>
      </c>
      <c r="M68" s="7">
        <f>IF($A68="","",K68-L68)</f>
        <v/>
      </c>
      <c r="N68" s="7">
        <f>IF($A68="","",M68-F68)</f>
        <v/>
      </c>
      <c r="Q68" s="11" t="n"/>
      <c r="S68">
        <f>IF($A68="","",IF(AND(ISNUMBER($R68),NOT(ISLOGICAL($R68)),N($R68)&gt;1),$R68/100*1,IF($V68=1,Settings!$C$6,Settings!$C$7)*1))</f>
        <v/>
      </c>
      <c r="T68">
        <f>IF($A68="","",IF(COUNTIF($A$2:$A68,$A68)=1,1,0))</f>
        <v/>
      </c>
      <c r="U68">
        <f>IF($T68=1,SUMPRODUCT(--($W$2:$W$1001&lt;$W68))+1,"")</f>
        <v/>
      </c>
      <c r="V68">
        <f>IF($A68="","",IF(AND(ISNUMBER($R68),NOT(ISLOGICAL($R68)),N($R68)&gt;1),IF(ABS($R68/100-Settings!$C$6)&lt;=ABS($R68/100-Settings!$C$7),1,0),IF(OR($R68=TRUE(),$R68="TRUE"),1,0)))</f>
        <v/>
      </c>
      <c r="W68">
        <f>IF($T68=1,IFERROR(IF(VALUE($A68)&lt;100000000,VALUE($A68),1000000000),IFERROR(IF(VALUE(MID($A68,2,20))&lt;100000000,VALUE(MID($A68,2,20)),1000000000),1000000000))+ROW()/100000,"")</f>
        <v/>
      </c>
    </row>
    <row r="69">
      <c r="F69" s="7">
        <f>IF($A69="","",E69*K69/100)</f>
        <v/>
      </c>
      <c r="J69" s="7" t="n"/>
      <c r="K69" s="7" t="n"/>
      <c r="L69" s="7">
        <f>IF($A69="","",S69*K69)</f>
        <v/>
      </c>
      <c r="M69" s="7">
        <f>IF($A69="","",K69-L69)</f>
        <v/>
      </c>
      <c r="N69" s="7">
        <f>IF($A69="","",M69-F69)</f>
        <v/>
      </c>
      <c r="Q69" s="11" t="n"/>
      <c r="S69">
        <f>IF($A69="","",IF(AND(ISNUMBER($R69),NOT(ISLOGICAL($R69)),N($R69)&gt;1),$R69/100*1,IF($V69=1,Settings!$C$6,Settings!$C$7)*1))</f>
        <v/>
      </c>
      <c r="T69">
        <f>IF($A69="","",IF(COUNTIF($A$2:$A69,$A69)=1,1,0))</f>
        <v/>
      </c>
      <c r="U69">
        <f>IF($T69=1,SUMPRODUCT(--($W$2:$W$1001&lt;$W69))+1,"")</f>
        <v/>
      </c>
      <c r="V69">
        <f>IF($A69="","",IF(AND(ISNUMBER($R69),NOT(ISLOGICAL($R69)),N($R69)&gt;1),IF(ABS($R69/100-Settings!$C$6)&lt;=ABS($R69/100-Settings!$C$7),1,0),IF(OR($R69=TRUE(),$R69="TRUE"),1,0)))</f>
        <v/>
      </c>
      <c r="W69">
        <f>IF($T69=1,IFERROR(IF(VALUE($A69)&lt;100000000,VALUE($A69),1000000000),IFERROR(IF(VALUE(MID($A69,2,20))&lt;100000000,VALUE(MID($A69,2,20)),1000000000),1000000000))+ROW()/100000,"")</f>
        <v/>
      </c>
    </row>
    <row r="70">
      <c r="F70" s="7">
        <f>IF($A70="","",E70*K70/100)</f>
        <v/>
      </c>
      <c r="J70" s="7" t="n"/>
      <c r="K70" s="7" t="n"/>
      <c r="L70" s="7">
        <f>IF($A70="","",S70*K70)</f>
        <v/>
      </c>
      <c r="M70" s="7">
        <f>IF($A70="","",K70-L70)</f>
        <v/>
      </c>
      <c r="N70" s="7">
        <f>IF($A70="","",M70-F70)</f>
        <v/>
      </c>
      <c r="Q70" s="11" t="n"/>
      <c r="S70">
        <f>IF($A70="","",IF(AND(ISNUMBER($R70),NOT(ISLOGICAL($R70)),N($R70)&gt;1),$R70/100*1,IF($V70=1,Settings!$C$6,Settings!$C$7)*1))</f>
        <v/>
      </c>
      <c r="T70">
        <f>IF($A70="","",IF(COUNTIF($A$2:$A70,$A70)=1,1,0))</f>
        <v/>
      </c>
      <c r="U70">
        <f>IF($T70=1,SUMPRODUCT(--($W$2:$W$1001&lt;$W70))+1,"")</f>
        <v/>
      </c>
      <c r="V70">
        <f>IF($A70="","",IF(AND(ISNUMBER($R70),NOT(ISLOGICAL($R70)),N($R70)&gt;1),IF(ABS($R70/100-Settings!$C$6)&lt;=ABS($R70/100-Settings!$C$7),1,0),IF(OR($R70=TRUE(),$R70="TRUE"),1,0)))</f>
        <v/>
      </c>
      <c r="W70">
        <f>IF($T70=1,IFERROR(IF(VALUE($A70)&lt;100000000,VALUE($A70),1000000000),IFERROR(IF(VALUE(MID($A70,2,20))&lt;100000000,VALUE(MID($A70,2,20)),1000000000),1000000000))+ROW()/100000,"")</f>
        <v/>
      </c>
    </row>
    <row r="71">
      <c r="F71" s="7">
        <f>IF($A71="","",E71*K71/100)</f>
        <v/>
      </c>
      <c r="J71" s="7" t="n"/>
      <c r="K71" s="7" t="n"/>
      <c r="L71" s="7">
        <f>IF($A71="","",S71*K71)</f>
        <v/>
      </c>
      <c r="M71" s="7">
        <f>IF($A71="","",K71-L71)</f>
        <v/>
      </c>
      <c r="N71" s="7">
        <f>IF($A71="","",M71-F71)</f>
        <v/>
      </c>
      <c r="Q71" s="11" t="n"/>
      <c r="S71">
        <f>IF($A71="","",IF(AND(ISNUMBER($R71),NOT(ISLOGICAL($R71)),N($R71)&gt;1),$R71/100*1,IF($V71=1,Settings!$C$6,Settings!$C$7)*1))</f>
        <v/>
      </c>
      <c r="T71">
        <f>IF($A71="","",IF(COUNTIF($A$2:$A71,$A71)=1,1,0))</f>
        <v/>
      </c>
      <c r="U71">
        <f>IF($T71=1,SUMPRODUCT(--($W$2:$W$1001&lt;$W71))+1,"")</f>
        <v/>
      </c>
      <c r="V71">
        <f>IF($A71="","",IF(AND(ISNUMBER($R71),NOT(ISLOGICAL($R71)),N($R71)&gt;1),IF(ABS($R71/100-Settings!$C$6)&lt;=ABS($R71/100-Settings!$C$7),1,0),IF(OR($R71=TRUE(),$R71="TRUE"),1,0)))</f>
        <v/>
      </c>
      <c r="W71">
        <f>IF($T71=1,IFERROR(IF(VALUE($A71)&lt;100000000,VALUE($A71),1000000000),IFERROR(IF(VALUE(MID($A71,2,20))&lt;100000000,VALUE(MID($A71,2,20)),1000000000),1000000000))+ROW()/100000,"")</f>
        <v/>
      </c>
    </row>
    <row r="72">
      <c r="F72" s="7">
        <f>IF($A72="","",E72*K72/100)</f>
        <v/>
      </c>
      <c r="J72" s="7" t="n"/>
      <c r="K72" s="7" t="n"/>
      <c r="L72" s="7">
        <f>IF($A72="","",S72*K72)</f>
        <v/>
      </c>
      <c r="M72" s="7">
        <f>IF($A72="","",K72-L72)</f>
        <v/>
      </c>
      <c r="N72" s="7">
        <f>IF($A72="","",M72-F72)</f>
        <v/>
      </c>
      <c r="Q72" s="11" t="n"/>
      <c r="S72">
        <f>IF($A72="","",IF(AND(ISNUMBER($R72),NOT(ISLOGICAL($R72)),N($R72)&gt;1),$R72/100*1,IF($V72=1,Settings!$C$6,Settings!$C$7)*1))</f>
        <v/>
      </c>
      <c r="T72">
        <f>IF($A72="","",IF(COUNTIF($A$2:$A72,$A72)=1,1,0))</f>
        <v/>
      </c>
      <c r="U72">
        <f>IF($T72=1,SUMPRODUCT(--($W$2:$W$1001&lt;$W72))+1,"")</f>
        <v/>
      </c>
      <c r="V72">
        <f>IF($A72="","",IF(AND(ISNUMBER($R72),NOT(ISLOGICAL($R72)),N($R72)&gt;1),IF(ABS($R72/100-Settings!$C$6)&lt;=ABS($R72/100-Settings!$C$7),1,0),IF(OR($R72=TRUE(),$R72="TRUE"),1,0)))</f>
        <v/>
      </c>
      <c r="W72">
        <f>IF($T72=1,IFERROR(IF(VALUE($A72)&lt;100000000,VALUE($A72),1000000000),IFERROR(IF(VALUE(MID($A72,2,20))&lt;100000000,VALUE(MID($A72,2,20)),1000000000),1000000000))+ROW()/100000,"")</f>
        <v/>
      </c>
    </row>
    <row r="73">
      <c r="F73" s="7">
        <f>IF($A73="","",E73*K73/100)</f>
        <v/>
      </c>
      <c r="J73" s="7" t="n"/>
      <c r="K73" s="7" t="n"/>
      <c r="L73" s="7">
        <f>IF($A73="","",S73*K73)</f>
        <v/>
      </c>
      <c r="M73" s="7">
        <f>IF($A73="","",K73-L73)</f>
        <v/>
      </c>
      <c r="N73" s="7">
        <f>IF($A73="","",M73-F73)</f>
        <v/>
      </c>
      <c r="Q73" s="11" t="n"/>
      <c r="S73">
        <f>IF($A73="","",IF(AND(ISNUMBER($R73),NOT(ISLOGICAL($R73)),N($R73)&gt;1),$R73/100*1,IF($V73=1,Settings!$C$6,Settings!$C$7)*1))</f>
        <v/>
      </c>
      <c r="T73">
        <f>IF($A73="","",IF(COUNTIF($A$2:$A73,$A73)=1,1,0))</f>
        <v/>
      </c>
      <c r="U73">
        <f>IF($T73=1,SUMPRODUCT(--($W$2:$W$1001&lt;$W73))+1,"")</f>
        <v/>
      </c>
      <c r="V73">
        <f>IF($A73="","",IF(AND(ISNUMBER($R73),NOT(ISLOGICAL($R73)),N($R73)&gt;1),IF(ABS($R73/100-Settings!$C$6)&lt;=ABS($R73/100-Settings!$C$7),1,0),IF(OR($R73=TRUE(),$R73="TRUE"),1,0)))</f>
        <v/>
      </c>
      <c r="W73">
        <f>IF($T73=1,IFERROR(IF(VALUE($A73)&lt;100000000,VALUE($A73),1000000000),IFERROR(IF(VALUE(MID($A73,2,20))&lt;100000000,VALUE(MID($A73,2,20)),1000000000),1000000000))+ROW()/100000,"")</f>
        <v/>
      </c>
    </row>
    <row r="74">
      <c r="F74" s="7">
        <f>IF($A74="","",E74*K74/100)</f>
        <v/>
      </c>
      <c r="J74" s="7" t="n"/>
      <c r="K74" s="7" t="n"/>
      <c r="L74" s="7">
        <f>IF($A74="","",S74*K74)</f>
        <v/>
      </c>
      <c r="M74" s="7">
        <f>IF($A74="","",K74-L74)</f>
        <v/>
      </c>
      <c r="N74" s="7">
        <f>IF($A74="","",M74-F74)</f>
        <v/>
      </c>
      <c r="Q74" s="11" t="n"/>
      <c r="S74">
        <f>IF($A74="","",IF(AND(ISNUMBER($R74),NOT(ISLOGICAL($R74)),N($R74)&gt;1),$R74/100*1,IF($V74=1,Settings!$C$6,Settings!$C$7)*1))</f>
        <v/>
      </c>
      <c r="T74">
        <f>IF($A74="","",IF(COUNTIF($A$2:$A74,$A74)=1,1,0))</f>
        <v/>
      </c>
      <c r="U74">
        <f>IF($T74=1,SUMPRODUCT(--($W$2:$W$1001&lt;$W74))+1,"")</f>
        <v/>
      </c>
      <c r="V74">
        <f>IF($A74="","",IF(AND(ISNUMBER($R74),NOT(ISLOGICAL($R74)),N($R74)&gt;1),IF(ABS($R74/100-Settings!$C$6)&lt;=ABS($R74/100-Settings!$C$7),1,0),IF(OR($R74=TRUE(),$R74="TRUE"),1,0)))</f>
        <v/>
      </c>
      <c r="W74">
        <f>IF($T74=1,IFERROR(IF(VALUE($A74)&lt;100000000,VALUE($A74),1000000000),IFERROR(IF(VALUE(MID($A74,2,20))&lt;100000000,VALUE(MID($A74,2,20)),1000000000),1000000000))+ROW()/100000,"")</f>
        <v/>
      </c>
    </row>
    <row r="75">
      <c r="F75" s="7">
        <f>IF($A75="","",E75*K75/100)</f>
        <v/>
      </c>
      <c r="J75" s="7" t="n"/>
      <c r="K75" s="7" t="n"/>
      <c r="L75" s="7">
        <f>IF($A75="","",S75*K75)</f>
        <v/>
      </c>
      <c r="M75" s="7">
        <f>IF($A75="","",K75-L75)</f>
        <v/>
      </c>
      <c r="N75" s="7">
        <f>IF($A75="","",M75-F75)</f>
        <v/>
      </c>
      <c r="Q75" s="11" t="n"/>
      <c r="S75">
        <f>IF($A75="","",IF(AND(ISNUMBER($R75),NOT(ISLOGICAL($R75)),N($R75)&gt;1),$R75/100*1,IF($V75=1,Settings!$C$6,Settings!$C$7)*1))</f>
        <v/>
      </c>
      <c r="T75">
        <f>IF($A75="","",IF(COUNTIF($A$2:$A75,$A75)=1,1,0))</f>
        <v/>
      </c>
      <c r="U75">
        <f>IF($T75=1,SUMPRODUCT(--($W$2:$W$1001&lt;$W75))+1,"")</f>
        <v/>
      </c>
      <c r="V75">
        <f>IF($A75="","",IF(AND(ISNUMBER($R75),NOT(ISLOGICAL($R75)),N($R75)&gt;1),IF(ABS($R75/100-Settings!$C$6)&lt;=ABS($R75/100-Settings!$C$7),1,0),IF(OR($R75=TRUE(),$R75="TRUE"),1,0)))</f>
        <v/>
      </c>
      <c r="W75">
        <f>IF($T75=1,IFERROR(IF(VALUE($A75)&lt;100000000,VALUE($A75),1000000000),IFERROR(IF(VALUE(MID($A75,2,20))&lt;100000000,VALUE(MID($A75,2,20)),1000000000),1000000000))+ROW()/100000,"")</f>
        <v/>
      </c>
    </row>
    <row r="76">
      <c r="F76" s="7">
        <f>IF($A76="","",E76*K76/100)</f>
        <v/>
      </c>
      <c r="J76" s="7" t="n"/>
      <c r="K76" s="7" t="n"/>
      <c r="L76" s="7">
        <f>IF($A76="","",S76*K76)</f>
        <v/>
      </c>
      <c r="M76" s="7">
        <f>IF($A76="","",K76-L76)</f>
        <v/>
      </c>
      <c r="N76" s="7">
        <f>IF($A76="","",M76-F76)</f>
        <v/>
      </c>
      <c r="Q76" s="11" t="n"/>
      <c r="S76">
        <f>IF($A76="","",IF(AND(ISNUMBER($R76),NOT(ISLOGICAL($R76)),N($R76)&gt;1),$R76/100*1,IF($V76=1,Settings!$C$6,Settings!$C$7)*1))</f>
        <v/>
      </c>
      <c r="T76">
        <f>IF($A76="","",IF(COUNTIF($A$2:$A76,$A76)=1,1,0))</f>
        <v/>
      </c>
      <c r="U76">
        <f>IF($T76=1,SUMPRODUCT(--($W$2:$W$1001&lt;$W76))+1,"")</f>
        <v/>
      </c>
      <c r="V76">
        <f>IF($A76="","",IF(AND(ISNUMBER($R76),NOT(ISLOGICAL($R76)),N($R76)&gt;1),IF(ABS($R76/100-Settings!$C$6)&lt;=ABS($R76/100-Settings!$C$7),1,0),IF(OR($R76=TRUE(),$R76="TRUE"),1,0)))</f>
        <v/>
      </c>
      <c r="W76">
        <f>IF($T76=1,IFERROR(IF(VALUE($A76)&lt;100000000,VALUE($A76),1000000000),IFERROR(IF(VALUE(MID($A76,2,20))&lt;100000000,VALUE(MID($A76,2,20)),1000000000),1000000000))+ROW()/100000,"")</f>
        <v/>
      </c>
    </row>
    <row r="77">
      <c r="F77" s="7">
        <f>IF($A77="","",E77*K77/100)</f>
        <v/>
      </c>
      <c r="J77" s="7" t="n"/>
      <c r="K77" s="7" t="n"/>
      <c r="L77" s="7">
        <f>IF($A77="","",S77*K77)</f>
        <v/>
      </c>
      <c r="M77" s="7">
        <f>IF($A77="","",K77-L77)</f>
        <v/>
      </c>
      <c r="N77" s="7">
        <f>IF($A77="","",M77-F77)</f>
        <v/>
      </c>
      <c r="Q77" s="11" t="n"/>
      <c r="S77">
        <f>IF($A77="","",IF(AND(ISNUMBER($R77),NOT(ISLOGICAL($R77)),N($R77)&gt;1),$R77/100*1,IF($V77=1,Settings!$C$6,Settings!$C$7)*1))</f>
        <v/>
      </c>
      <c r="T77">
        <f>IF($A77="","",IF(COUNTIF($A$2:$A77,$A77)=1,1,0))</f>
        <v/>
      </c>
      <c r="U77">
        <f>IF($T77=1,SUMPRODUCT(--($W$2:$W$1001&lt;$W77))+1,"")</f>
        <v/>
      </c>
      <c r="V77">
        <f>IF($A77="","",IF(AND(ISNUMBER($R77),NOT(ISLOGICAL($R77)),N($R77)&gt;1),IF(ABS($R77/100-Settings!$C$6)&lt;=ABS($R77/100-Settings!$C$7),1,0),IF(OR($R77=TRUE(),$R77="TRUE"),1,0)))</f>
        <v/>
      </c>
      <c r="W77">
        <f>IF($T77=1,IFERROR(IF(VALUE($A77)&lt;100000000,VALUE($A77),1000000000),IFERROR(IF(VALUE(MID($A77,2,20))&lt;100000000,VALUE(MID($A77,2,20)),1000000000),1000000000))+ROW()/100000,"")</f>
        <v/>
      </c>
    </row>
    <row r="78">
      <c r="F78" s="7">
        <f>IF($A78="","",E78*K78/100)</f>
        <v/>
      </c>
      <c r="J78" s="7" t="n"/>
      <c r="K78" s="7" t="n"/>
      <c r="L78" s="7">
        <f>IF($A78="","",S78*K78)</f>
        <v/>
      </c>
      <c r="M78" s="7">
        <f>IF($A78="","",K78-L78)</f>
        <v/>
      </c>
      <c r="N78" s="7">
        <f>IF($A78="","",M78-F78)</f>
        <v/>
      </c>
      <c r="Q78" s="11" t="n"/>
      <c r="S78">
        <f>IF($A78="","",IF(AND(ISNUMBER($R78),NOT(ISLOGICAL($R78)),N($R78)&gt;1),$R78/100*1,IF($V78=1,Settings!$C$6,Settings!$C$7)*1))</f>
        <v/>
      </c>
      <c r="T78">
        <f>IF($A78="","",IF(COUNTIF($A$2:$A78,$A78)=1,1,0))</f>
        <v/>
      </c>
      <c r="U78">
        <f>IF($T78=1,SUMPRODUCT(--($W$2:$W$1001&lt;$W78))+1,"")</f>
        <v/>
      </c>
      <c r="V78">
        <f>IF($A78="","",IF(AND(ISNUMBER($R78),NOT(ISLOGICAL($R78)),N($R78)&gt;1),IF(ABS($R78/100-Settings!$C$6)&lt;=ABS($R78/100-Settings!$C$7),1,0),IF(OR($R78=TRUE(),$R78="TRUE"),1,0)))</f>
        <v/>
      </c>
      <c r="W78">
        <f>IF($T78=1,IFERROR(IF(VALUE($A78)&lt;100000000,VALUE($A78),1000000000),IFERROR(IF(VALUE(MID($A78,2,20))&lt;100000000,VALUE(MID($A78,2,20)),1000000000),1000000000))+ROW()/100000,"")</f>
        <v/>
      </c>
    </row>
    <row r="79">
      <c r="F79" s="7">
        <f>IF($A79="","",E79*K79/100)</f>
        <v/>
      </c>
      <c r="J79" s="7" t="n"/>
      <c r="K79" s="7" t="n"/>
      <c r="L79" s="7">
        <f>IF($A79="","",S79*K79)</f>
        <v/>
      </c>
      <c r="M79" s="7">
        <f>IF($A79="","",K79-L79)</f>
        <v/>
      </c>
      <c r="N79" s="7">
        <f>IF($A79="","",M79-F79)</f>
        <v/>
      </c>
      <c r="Q79" s="11" t="n"/>
      <c r="S79">
        <f>IF($A79="","",IF(AND(ISNUMBER($R79),NOT(ISLOGICAL($R79)),N($R79)&gt;1),$R79/100*1,IF($V79=1,Settings!$C$6,Settings!$C$7)*1))</f>
        <v/>
      </c>
      <c r="T79">
        <f>IF($A79="","",IF(COUNTIF($A$2:$A79,$A79)=1,1,0))</f>
        <v/>
      </c>
      <c r="U79">
        <f>IF($T79=1,SUMPRODUCT(--($W$2:$W$1001&lt;$W79))+1,"")</f>
        <v/>
      </c>
      <c r="V79">
        <f>IF($A79="","",IF(AND(ISNUMBER($R79),NOT(ISLOGICAL($R79)),N($R79)&gt;1),IF(ABS($R79/100-Settings!$C$6)&lt;=ABS($R79/100-Settings!$C$7),1,0),IF(OR($R79=TRUE(),$R79="TRUE"),1,0)))</f>
        <v/>
      </c>
      <c r="W79">
        <f>IF($T79=1,IFERROR(IF(VALUE($A79)&lt;100000000,VALUE($A79),1000000000),IFERROR(IF(VALUE(MID($A79,2,20))&lt;100000000,VALUE(MID($A79,2,20)),1000000000),1000000000))+ROW()/100000,"")</f>
        <v/>
      </c>
    </row>
    <row r="80">
      <c r="F80" s="7">
        <f>IF($A80="","",E80*K80/100)</f>
        <v/>
      </c>
      <c r="J80" s="7" t="n"/>
      <c r="K80" s="7" t="n"/>
      <c r="L80" s="7">
        <f>IF($A80="","",S80*K80)</f>
        <v/>
      </c>
      <c r="M80" s="7">
        <f>IF($A80="","",K80-L80)</f>
        <v/>
      </c>
      <c r="N80" s="7">
        <f>IF($A80="","",M80-F80)</f>
        <v/>
      </c>
      <c r="Q80" s="11" t="n"/>
      <c r="S80">
        <f>IF($A80="","",IF(AND(ISNUMBER($R80),NOT(ISLOGICAL($R80)),N($R80)&gt;1),$R80/100*1,IF($V80=1,Settings!$C$6,Settings!$C$7)*1))</f>
        <v/>
      </c>
      <c r="T80">
        <f>IF($A80="","",IF(COUNTIF($A$2:$A80,$A80)=1,1,0))</f>
        <v/>
      </c>
      <c r="U80">
        <f>IF($T80=1,SUMPRODUCT(--($W$2:$W$1001&lt;$W80))+1,"")</f>
        <v/>
      </c>
      <c r="V80">
        <f>IF($A80="","",IF(AND(ISNUMBER($R80),NOT(ISLOGICAL($R80)),N($R80)&gt;1),IF(ABS($R80/100-Settings!$C$6)&lt;=ABS($R80/100-Settings!$C$7),1,0),IF(OR($R80=TRUE(),$R80="TRUE"),1,0)))</f>
        <v/>
      </c>
      <c r="W80">
        <f>IF($T80=1,IFERROR(IF(VALUE($A80)&lt;100000000,VALUE($A80),1000000000),IFERROR(IF(VALUE(MID($A80,2,20))&lt;100000000,VALUE(MID($A80,2,20)),1000000000),1000000000))+ROW()/100000,"")</f>
        <v/>
      </c>
    </row>
    <row r="81">
      <c r="F81" s="7">
        <f>IF($A81="","",E81*K81/100)</f>
        <v/>
      </c>
      <c r="J81" s="7" t="n"/>
      <c r="K81" s="7" t="n"/>
      <c r="L81" s="7">
        <f>IF($A81="","",S81*K81)</f>
        <v/>
      </c>
      <c r="M81" s="7">
        <f>IF($A81="","",K81-L81)</f>
        <v/>
      </c>
      <c r="N81" s="7">
        <f>IF($A81="","",M81-F81)</f>
        <v/>
      </c>
      <c r="Q81" s="11" t="n"/>
      <c r="S81">
        <f>IF($A81="","",IF(AND(ISNUMBER($R81),NOT(ISLOGICAL($R81)),N($R81)&gt;1),$R81/100*1,IF($V81=1,Settings!$C$6,Settings!$C$7)*1))</f>
        <v/>
      </c>
      <c r="T81">
        <f>IF($A81="","",IF(COUNTIF($A$2:$A81,$A81)=1,1,0))</f>
        <v/>
      </c>
      <c r="U81">
        <f>IF($T81=1,SUMPRODUCT(--($W$2:$W$1001&lt;$W81))+1,"")</f>
        <v/>
      </c>
      <c r="V81">
        <f>IF($A81="","",IF(AND(ISNUMBER($R81),NOT(ISLOGICAL($R81)),N($R81)&gt;1),IF(ABS($R81/100-Settings!$C$6)&lt;=ABS($R81/100-Settings!$C$7),1,0),IF(OR($R81=TRUE(),$R81="TRUE"),1,0)))</f>
        <v/>
      </c>
      <c r="W81">
        <f>IF($T81=1,IFERROR(IF(VALUE($A81)&lt;100000000,VALUE($A81),1000000000),IFERROR(IF(VALUE(MID($A81,2,20))&lt;100000000,VALUE(MID($A81,2,20)),1000000000),1000000000))+ROW()/100000,"")</f>
        <v/>
      </c>
    </row>
    <row r="82">
      <c r="F82" s="7">
        <f>IF($A82="","",E82*K82/100)</f>
        <v/>
      </c>
      <c r="J82" s="7" t="n"/>
      <c r="K82" s="7" t="n"/>
      <c r="L82" s="7">
        <f>IF($A82="","",S82*K82)</f>
        <v/>
      </c>
      <c r="M82" s="7">
        <f>IF($A82="","",K82-L82)</f>
        <v/>
      </c>
      <c r="N82" s="7">
        <f>IF($A82="","",M82-F82)</f>
        <v/>
      </c>
      <c r="Q82" s="11" t="n"/>
      <c r="S82">
        <f>IF($A82="","",IF(AND(ISNUMBER($R82),NOT(ISLOGICAL($R82)),N($R82)&gt;1),$R82/100*1,IF($V82=1,Settings!$C$6,Settings!$C$7)*1))</f>
        <v/>
      </c>
      <c r="T82">
        <f>IF($A82="","",IF(COUNTIF($A$2:$A82,$A82)=1,1,0))</f>
        <v/>
      </c>
      <c r="U82">
        <f>IF($T82=1,SUMPRODUCT(--($W$2:$W$1001&lt;$W82))+1,"")</f>
        <v/>
      </c>
      <c r="V82">
        <f>IF($A82="","",IF(AND(ISNUMBER($R82),NOT(ISLOGICAL($R82)),N($R82)&gt;1),IF(ABS($R82/100-Settings!$C$6)&lt;=ABS($R82/100-Settings!$C$7),1,0),IF(OR($R82=TRUE(),$R82="TRUE"),1,0)))</f>
        <v/>
      </c>
      <c r="W82">
        <f>IF($T82=1,IFERROR(IF(VALUE($A82)&lt;100000000,VALUE($A82),1000000000),IFERROR(IF(VALUE(MID($A82,2,20))&lt;100000000,VALUE(MID($A82,2,20)),1000000000),1000000000))+ROW()/100000,"")</f>
        <v/>
      </c>
    </row>
    <row r="83">
      <c r="F83" s="7">
        <f>IF($A83="","",E83*K83/100)</f>
        <v/>
      </c>
      <c r="J83" s="7" t="n"/>
      <c r="K83" s="7" t="n"/>
      <c r="L83" s="7">
        <f>IF($A83="","",S83*K83)</f>
        <v/>
      </c>
      <c r="M83" s="7">
        <f>IF($A83="","",K83-L83)</f>
        <v/>
      </c>
      <c r="N83" s="7">
        <f>IF($A83="","",M83-F83)</f>
        <v/>
      </c>
      <c r="Q83" s="11" t="n"/>
      <c r="S83">
        <f>IF($A83="","",IF(AND(ISNUMBER($R83),NOT(ISLOGICAL($R83)),N($R83)&gt;1),$R83/100*1,IF($V83=1,Settings!$C$6,Settings!$C$7)*1))</f>
        <v/>
      </c>
      <c r="T83">
        <f>IF($A83="","",IF(COUNTIF($A$2:$A83,$A83)=1,1,0))</f>
        <v/>
      </c>
      <c r="U83">
        <f>IF($T83=1,SUMPRODUCT(--($W$2:$W$1001&lt;$W83))+1,"")</f>
        <v/>
      </c>
      <c r="V83">
        <f>IF($A83="","",IF(AND(ISNUMBER($R83),NOT(ISLOGICAL($R83)),N($R83)&gt;1),IF(ABS($R83/100-Settings!$C$6)&lt;=ABS($R83/100-Settings!$C$7),1,0),IF(OR($R83=TRUE(),$R83="TRUE"),1,0)))</f>
        <v/>
      </c>
      <c r="W83">
        <f>IF($T83=1,IFERROR(IF(VALUE($A83)&lt;100000000,VALUE($A83),1000000000),IFERROR(IF(VALUE(MID($A83,2,20))&lt;100000000,VALUE(MID($A83,2,20)),1000000000),1000000000))+ROW()/100000,"")</f>
        <v/>
      </c>
    </row>
    <row r="84">
      <c r="F84" s="7">
        <f>IF($A84="","",E84*K84/100)</f>
        <v/>
      </c>
      <c r="J84" s="7" t="n"/>
      <c r="K84" s="7" t="n"/>
      <c r="L84" s="7">
        <f>IF($A84="","",S84*K84)</f>
        <v/>
      </c>
      <c r="M84" s="7">
        <f>IF($A84="","",K84-L84)</f>
        <v/>
      </c>
      <c r="N84" s="7">
        <f>IF($A84="","",M84-F84)</f>
        <v/>
      </c>
      <c r="Q84" s="11" t="n"/>
      <c r="S84">
        <f>IF($A84="","",IF(AND(ISNUMBER($R84),NOT(ISLOGICAL($R84)),N($R84)&gt;1),$R84/100*1,IF($V84=1,Settings!$C$6,Settings!$C$7)*1))</f>
        <v/>
      </c>
      <c r="T84">
        <f>IF($A84="","",IF(COUNTIF($A$2:$A84,$A84)=1,1,0))</f>
        <v/>
      </c>
      <c r="U84">
        <f>IF($T84=1,SUMPRODUCT(--($W$2:$W$1001&lt;$W84))+1,"")</f>
        <v/>
      </c>
      <c r="V84">
        <f>IF($A84="","",IF(AND(ISNUMBER($R84),NOT(ISLOGICAL($R84)),N($R84)&gt;1),IF(ABS($R84/100-Settings!$C$6)&lt;=ABS($R84/100-Settings!$C$7),1,0),IF(OR($R84=TRUE(),$R84="TRUE"),1,0)))</f>
        <v/>
      </c>
      <c r="W84">
        <f>IF($T84=1,IFERROR(IF(VALUE($A84)&lt;100000000,VALUE($A84),1000000000),IFERROR(IF(VALUE(MID($A84,2,20))&lt;100000000,VALUE(MID($A84,2,20)),1000000000),1000000000))+ROW()/100000,"")</f>
        <v/>
      </c>
    </row>
    <row r="85">
      <c r="F85" s="7">
        <f>IF($A85="","",E85*K85/100)</f>
        <v/>
      </c>
      <c r="J85" s="7" t="n"/>
      <c r="K85" s="7" t="n"/>
      <c r="L85" s="7">
        <f>IF($A85="","",S85*K85)</f>
        <v/>
      </c>
      <c r="M85" s="7">
        <f>IF($A85="","",K85-L85)</f>
        <v/>
      </c>
      <c r="N85" s="7">
        <f>IF($A85="","",M85-F85)</f>
        <v/>
      </c>
      <c r="Q85" s="11" t="n"/>
      <c r="S85">
        <f>IF($A85="","",IF(AND(ISNUMBER($R85),NOT(ISLOGICAL($R85)),N($R85)&gt;1),$R85/100*1,IF($V85=1,Settings!$C$6,Settings!$C$7)*1))</f>
        <v/>
      </c>
      <c r="T85">
        <f>IF($A85="","",IF(COUNTIF($A$2:$A85,$A85)=1,1,0))</f>
        <v/>
      </c>
      <c r="U85">
        <f>IF($T85=1,SUMPRODUCT(--($W$2:$W$1001&lt;$W85))+1,"")</f>
        <v/>
      </c>
      <c r="V85">
        <f>IF($A85="","",IF(AND(ISNUMBER($R85),NOT(ISLOGICAL($R85)),N($R85)&gt;1),IF(ABS($R85/100-Settings!$C$6)&lt;=ABS($R85/100-Settings!$C$7),1,0),IF(OR($R85=TRUE(),$R85="TRUE"),1,0)))</f>
        <v/>
      </c>
      <c r="W85">
        <f>IF($T85=1,IFERROR(IF(VALUE($A85)&lt;100000000,VALUE($A85),1000000000),IFERROR(IF(VALUE(MID($A85,2,20))&lt;100000000,VALUE(MID($A85,2,20)),1000000000),1000000000))+ROW()/100000,"")</f>
        <v/>
      </c>
    </row>
    <row r="86">
      <c r="F86" s="7">
        <f>IF($A86="","",E86*K86/100)</f>
        <v/>
      </c>
      <c r="J86" s="7" t="n"/>
      <c r="K86" s="7" t="n"/>
      <c r="L86" s="7">
        <f>IF($A86="","",S86*K86)</f>
        <v/>
      </c>
      <c r="M86" s="7">
        <f>IF($A86="","",K86-L86)</f>
        <v/>
      </c>
      <c r="N86" s="7">
        <f>IF($A86="","",M86-F86)</f>
        <v/>
      </c>
      <c r="Q86" s="11" t="n"/>
      <c r="S86">
        <f>IF($A86="","",IF(AND(ISNUMBER($R86),NOT(ISLOGICAL($R86)),N($R86)&gt;1),$R86/100*1,IF($V86=1,Settings!$C$6,Settings!$C$7)*1))</f>
        <v/>
      </c>
      <c r="T86">
        <f>IF($A86="","",IF(COUNTIF($A$2:$A86,$A86)=1,1,0))</f>
        <v/>
      </c>
      <c r="U86">
        <f>IF($T86=1,SUMPRODUCT(--($W$2:$W$1001&lt;$W86))+1,"")</f>
        <v/>
      </c>
      <c r="V86">
        <f>IF($A86="","",IF(AND(ISNUMBER($R86),NOT(ISLOGICAL($R86)),N($R86)&gt;1),IF(ABS($R86/100-Settings!$C$6)&lt;=ABS($R86/100-Settings!$C$7),1,0),IF(OR($R86=TRUE(),$R86="TRUE"),1,0)))</f>
        <v/>
      </c>
      <c r="W86">
        <f>IF($T86=1,IFERROR(IF(VALUE($A86)&lt;100000000,VALUE($A86),1000000000),IFERROR(IF(VALUE(MID($A86,2,20))&lt;100000000,VALUE(MID($A86,2,20)),1000000000),1000000000))+ROW()/100000,"")</f>
        <v/>
      </c>
    </row>
    <row r="87">
      <c r="F87" s="7">
        <f>IF($A87="","",E87*K87/100)</f>
        <v/>
      </c>
      <c r="J87" s="7" t="n"/>
      <c r="K87" s="7" t="n"/>
      <c r="L87" s="7">
        <f>IF($A87="","",S87*K87)</f>
        <v/>
      </c>
      <c r="M87" s="7">
        <f>IF($A87="","",K87-L87)</f>
        <v/>
      </c>
      <c r="N87" s="7">
        <f>IF($A87="","",M87-F87)</f>
        <v/>
      </c>
      <c r="Q87" s="11" t="n"/>
      <c r="S87">
        <f>IF($A87="","",IF(AND(ISNUMBER($R87),NOT(ISLOGICAL($R87)),N($R87)&gt;1),$R87/100*1,IF($V87=1,Settings!$C$6,Settings!$C$7)*1))</f>
        <v/>
      </c>
      <c r="T87">
        <f>IF($A87="","",IF(COUNTIF($A$2:$A87,$A87)=1,1,0))</f>
        <v/>
      </c>
      <c r="U87">
        <f>IF($T87=1,SUMPRODUCT(--($W$2:$W$1001&lt;$W87))+1,"")</f>
        <v/>
      </c>
      <c r="V87">
        <f>IF($A87="","",IF(AND(ISNUMBER($R87),NOT(ISLOGICAL($R87)),N($R87)&gt;1),IF(ABS($R87/100-Settings!$C$6)&lt;=ABS($R87/100-Settings!$C$7),1,0),IF(OR($R87=TRUE(),$R87="TRUE"),1,0)))</f>
        <v/>
      </c>
      <c r="W87">
        <f>IF($T87=1,IFERROR(IF(VALUE($A87)&lt;100000000,VALUE($A87),1000000000),IFERROR(IF(VALUE(MID($A87,2,20))&lt;100000000,VALUE(MID($A87,2,20)),1000000000),1000000000))+ROW()/100000,"")</f>
        <v/>
      </c>
    </row>
    <row r="88">
      <c r="F88" s="7">
        <f>IF($A88="","",E88*K88/100)</f>
        <v/>
      </c>
      <c r="J88" s="7" t="n"/>
      <c r="K88" s="7" t="n"/>
      <c r="L88" s="7">
        <f>IF($A88="","",S88*K88)</f>
        <v/>
      </c>
      <c r="M88" s="7">
        <f>IF($A88="","",K88-L88)</f>
        <v/>
      </c>
      <c r="N88" s="7">
        <f>IF($A88="","",M88-F88)</f>
        <v/>
      </c>
      <c r="Q88" s="11" t="n"/>
      <c r="S88">
        <f>IF($A88="","",IF(AND(ISNUMBER($R88),NOT(ISLOGICAL($R88)),N($R88)&gt;1),$R88/100*1,IF($V88=1,Settings!$C$6,Settings!$C$7)*1))</f>
        <v/>
      </c>
      <c r="T88">
        <f>IF($A88="","",IF(COUNTIF($A$2:$A88,$A88)=1,1,0))</f>
        <v/>
      </c>
      <c r="U88">
        <f>IF($T88=1,SUMPRODUCT(--($W$2:$W$1001&lt;$W88))+1,"")</f>
        <v/>
      </c>
      <c r="V88">
        <f>IF($A88="","",IF(AND(ISNUMBER($R88),NOT(ISLOGICAL($R88)),N($R88)&gt;1),IF(ABS($R88/100-Settings!$C$6)&lt;=ABS($R88/100-Settings!$C$7),1,0),IF(OR($R88=TRUE(),$R88="TRUE"),1,0)))</f>
        <v/>
      </c>
      <c r="W88">
        <f>IF($T88=1,IFERROR(IF(VALUE($A88)&lt;100000000,VALUE($A88),1000000000),IFERROR(IF(VALUE(MID($A88,2,20))&lt;100000000,VALUE(MID($A88,2,20)),1000000000),1000000000))+ROW()/100000,"")</f>
        <v/>
      </c>
    </row>
    <row r="89">
      <c r="F89" s="7">
        <f>IF($A89="","",E89*K89/100)</f>
        <v/>
      </c>
      <c r="J89" s="7" t="n"/>
      <c r="K89" s="7" t="n"/>
      <c r="L89" s="7">
        <f>IF($A89="","",S89*K89)</f>
        <v/>
      </c>
      <c r="M89" s="7">
        <f>IF($A89="","",K89-L89)</f>
        <v/>
      </c>
      <c r="N89" s="7">
        <f>IF($A89="","",M89-F89)</f>
        <v/>
      </c>
      <c r="Q89" s="11" t="n"/>
      <c r="S89">
        <f>IF($A89="","",IF(AND(ISNUMBER($R89),NOT(ISLOGICAL($R89)),N($R89)&gt;1),$R89/100*1,IF($V89=1,Settings!$C$6,Settings!$C$7)*1))</f>
        <v/>
      </c>
      <c r="T89">
        <f>IF($A89="","",IF(COUNTIF($A$2:$A89,$A89)=1,1,0))</f>
        <v/>
      </c>
      <c r="U89">
        <f>IF($T89=1,SUMPRODUCT(--($W$2:$W$1001&lt;$W89))+1,"")</f>
        <v/>
      </c>
      <c r="V89">
        <f>IF($A89="","",IF(AND(ISNUMBER($R89),NOT(ISLOGICAL($R89)),N($R89)&gt;1),IF(ABS($R89/100-Settings!$C$6)&lt;=ABS($R89/100-Settings!$C$7),1,0),IF(OR($R89=TRUE(),$R89="TRUE"),1,0)))</f>
        <v/>
      </c>
      <c r="W89">
        <f>IF($T89=1,IFERROR(IF(VALUE($A89)&lt;100000000,VALUE($A89),1000000000),IFERROR(IF(VALUE(MID($A89,2,20))&lt;100000000,VALUE(MID($A89,2,20)),1000000000),1000000000))+ROW()/100000,"")</f>
        <v/>
      </c>
    </row>
    <row r="90">
      <c r="F90" s="7">
        <f>IF($A90="","",E90*K90/100)</f>
        <v/>
      </c>
      <c r="J90" s="7" t="n"/>
      <c r="K90" s="7" t="n"/>
      <c r="L90" s="7">
        <f>IF($A90="","",S90*K90)</f>
        <v/>
      </c>
      <c r="M90" s="7">
        <f>IF($A90="","",K90-L90)</f>
        <v/>
      </c>
      <c r="N90" s="7">
        <f>IF($A90="","",M90-F90)</f>
        <v/>
      </c>
      <c r="Q90" s="11" t="n"/>
      <c r="S90">
        <f>IF($A90="","",IF(AND(ISNUMBER($R90),NOT(ISLOGICAL($R90)),N($R90)&gt;1),$R90/100*1,IF($V90=1,Settings!$C$6,Settings!$C$7)*1))</f>
        <v/>
      </c>
      <c r="T90">
        <f>IF($A90="","",IF(COUNTIF($A$2:$A90,$A90)=1,1,0))</f>
        <v/>
      </c>
      <c r="U90">
        <f>IF($T90=1,SUMPRODUCT(--($W$2:$W$1001&lt;$W90))+1,"")</f>
        <v/>
      </c>
      <c r="V90">
        <f>IF($A90="","",IF(AND(ISNUMBER($R90),NOT(ISLOGICAL($R90)),N($R90)&gt;1),IF(ABS($R90/100-Settings!$C$6)&lt;=ABS($R90/100-Settings!$C$7),1,0),IF(OR($R90=TRUE(),$R90="TRUE"),1,0)))</f>
        <v/>
      </c>
      <c r="W90">
        <f>IF($T90=1,IFERROR(IF(VALUE($A90)&lt;100000000,VALUE($A90),1000000000),IFERROR(IF(VALUE(MID($A90,2,20))&lt;100000000,VALUE(MID($A90,2,20)),1000000000),1000000000))+ROW()/100000,"")</f>
        <v/>
      </c>
    </row>
    <row r="91">
      <c r="F91" s="7">
        <f>IF($A91="","",E91*K91/100)</f>
        <v/>
      </c>
      <c r="J91" s="7" t="n"/>
      <c r="K91" s="7" t="n"/>
      <c r="L91" s="7">
        <f>IF($A91="","",S91*K91)</f>
        <v/>
      </c>
      <c r="M91" s="7">
        <f>IF($A91="","",K91-L91)</f>
        <v/>
      </c>
      <c r="N91" s="7">
        <f>IF($A91="","",M91-F91)</f>
        <v/>
      </c>
      <c r="Q91" s="11" t="n"/>
      <c r="S91">
        <f>IF($A91="","",IF(AND(ISNUMBER($R91),NOT(ISLOGICAL($R91)),N($R91)&gt;1),$R91/100*1,IF($V91=1,Settings!$C$6,Settings!$C$7)*1))</f>
        <v/>
      </c>
      <c r="T91">
        <f>IF($A91="","",IF(COUNTIF($A$2:$A91,$A91)=1,1,0))</f>
        <v/>
      </c>
      <c r="U91">
        <f>IF($T91=1,SUMPRODUCT(--($W$2:$W$1001&lt;$W91))+1,"")</f>
        <v/>
      </c>
      <c r="V91">
        <f>IF($A91="","",IF(AND(ISNUMBER($R91),NOT(ISLOGICAL($R91)),N($R91)&gt;1),IF(ABS($R91/100-Settings!$C$6)&lt;=ABS($R91/100-Settings!$C$7),1,0),IF(OR($R91=TRUE(),$R91="TRUE"),1,0)))</f>
        <v/>
      </c>
      <c r="W91">
        <f>IF($T91=1,IFERROR(IF(VALUE($A91)&lt;100000000,VALUE($A91),1000000000),IFERROR(IF(VALUE(MID($A91,2,20))&lt;100000000,VALUE(MID($A91,2,20)),1000000000),1000000000))+ROW()/100000,"")</f>
        <v/>
      </c>
    </row>
    <row r="92">
      <c r="F92" s="7">
        <f>IF($A92="","",E92*K92/100)</f>
        <v/>
      </c>
      <c r="J92" s="7" t="n"/>
      <c r="K92" s="7" t="n"/>
      <c r="L92" s="7">
        <f>IF($A92="","",S92*K92)</f>
        <v/>
      </c>
      <c r="M92" s="7">
        <f>IF($A92="","",K92-L92)</f>
        <v/>
      </c>
      <c r="N92" s="7">
        <f>IF($A92="","",M92-F92)</f>
        <v/>
      </c>
      <c r="Q92" s="11" t="n"/>
      <c r="S92">
        <f>IF($A92="","",IF(AND(ISNUMBER($R92),NOT(ISLOGICAL($R92)),N($R92)&gt;1),$R92/100*1,IF($V92=1,Settings!$C$6,Settings!$C$7)*1))</f>
        <v/>
      </c>
      <c r="T92">
        <f>IF($A92="","",IF(COUNTIF($A$2:$A92,$A92)=1,1,0))</f>
        <v/>
      </c>
      <c r="U92">
        <f>IF($T92=1,SUMPRODUCT(--($W$2:$W$1001&lt;$W92))+1,"")</f>
        <v/>
      </c>
      <c r="V92">
        <f>IF($A92="","",IF(AND(ISNUMBER($R92),NOT(ISLOGICAL($R92)),N($R92)&gt;1),IF(ABS($R92/100-Settings!$C$6)&lt;=ABS($R92/100-Settings!$C$7),1,0),IF(OR($R92=TRUE(),$R92="TRUE"),1,0)))</f>
        <v/>
      </c>
      <c r="W92">
        <f>IF($T92=1,IFERROR(IF(VALUE($A92)&lt;100000000,VALUE($A92),1000000000),IFERROR(IF(VALUE(MID($A92,2,20))&lt;100000000,VALUE(MID($A92,2,20)),1000000000),1000000000))+ROW()/100000,"")</f>
        <v/>
      </c>
    </row>
    <row r="93">
      <c r="F93" s="7">
        <f>IF($A93="","",E93*K93/100)</f>
        <v/>
      </c>
      <c r="J93" s="7" t="n"/>
      <c r="K93" s="7" t="n"/>
      <c r="L93" s="7">
        <f>IF($A93="","",S93*K93)</f>
        <v/>
      </c>
      <c r="M93" s="7">
        <f>IF($A93="","",K93-L93)</f>
        <v/>
      </c>
      <c r="N93" s="7">
        <f>IF($A93="","",M93-F93)</f>
        <v/>
      </c>
      <c r="Q93" s="11" t="n"/>
      <c r="S93">
        <f>IF($A93="","",IF(AND(ISNUMBER($R93),NOT(ISLOGICAL($R93)),N($R93)&gt;1),$R93/100*1,IF($V93=1,Settings!$C$6,Settings!$C$7)*1))</f>
        <v/>
      </c>
      <c r="T93">
        <f>IF($A93="","",IF(COUNTIF($A$2:$A93,$A93)=1,1,0))</f>
        <v/>
      </c>
      <c r="U93">
        <f>IF($T93=1,SUMPRODUCT(--($W$2:$W$1001&lt;$W93))+1,"")</f>
        <v/>
      </c>
      <c r="V93">
        <f>IF($A93="","",IF(AND(ISNUMBER($R93),NOT(ISLOGICAL($R93)),N($R93)&gt;1),IF(ABS($R93/100-Settings!$C$6)&lt;=ABS($R93/100-Settings!$C$7),1,0),IF(OR($R93=TRUE(),$R93="TRUE"),1,0)))</f>
        <v/>
      </c>
      <c r="W93">
        <f>IF($T93=1,IFERROR(IF(VALUE($A93)&lt;100000000,VALUE($A93),1000000000),IFERROR(IF(VALUE(MID($A93,2,20))&lt;100000000,VALUE(MID($A93,2,20)),1000000000),1000000000))+ROW()/100000,"")</f>
        <v/>
      </c>
    </row>
    <row r="94">
      <c r="F94" s="7">
        <f>IF($A94="","",E94*K94/100)</f>
        <v/>
      </c>
      <c r="J94" s="7" t="n"/>
      <c r="K94" s="7" t="n"/>
      <c r="L94" s="7">
        <f>IF($A94="","",S94*K94)</f>
        <v/>
      </c>
      <c r="M94" s="7">
        <f>IF($A94="","",K94-L94)</f>
        <v/>
      </c>
      <c r="N94" s="7">
        <f>IF($A94="","",M94-F94)</f>
        <v/>
      </c>
      <c r="Q94" s="11" t="n"/>
      <c r="S94">
        <f>IF($A94="","",IF(AND(ISNUMBER($R94),NOT(ISLOGICAL($R94)),N($R94)&gt;1),$R94/100*1,IF($V94=1,Settings!$C$6,Settings!$C$7)*1))</f>
        <v/>
      </c>
      <c r="T94">
        <f>IF($A94="","",IF(COUNTIF($A$2:$A94,$A94)=1,1,0))</f>
        <v/>
      </c>
      <c r="U94">
        <f>IF($T94=1,SUMPRODUCT(--($W$2:$W$1001&lt;$W94))+1,"")</f>
        <v/>
      </c>
      <c r="V94">
        <f>IF($A94="","",IF(AND(ISNUMBER($R94),NOT(ISLOGICAL($R94)),N($R94)&gt;1),IF(ABS($R94/100-Settings!$C$6)&lt;=ABS($R94/100-Settings!$C$7),1,0),IF(OR($R94=TRUE(),$R94="TRUE"),1,0)))</f>
        <v/>
      </c>
      <c r="W94">
        <f>IF($T94=1,IFERROR(IF(VALUE($A94)&lt;100000000,VALUE($A94),1000000000),IFERROR(IF(VALUE(MID($A94,2,20))&lt;100000000,VALUE(MID($A94,2,20)),1000000000),1000000000))+ROW()/100000,"")</f>
        <v/>
      </c>
    </row>
    <row r="95">
      <c r="F95" s="7">
        <f>IF($A95="","",E95*K95/100)</f>
        <v/>
      </c>
      <c r="J95" s="7" t="n"/>
      <c r="K95" s="7" t="n"/>
      <c r="L95" s="7">
        <f>IF($A95="","",S95*K95)</f>
        <v/>
      </c>
      <c r="M95" s="7">
        <f>IF($A95="","",K95-L95)</f>
        <v/>
      </c>
      <c r="N95" s="7">
        <f>IF($A95="","",M95-F95)</f>
        <v/>
      </c>
      <c r="Q95" s="11" t="n"/>
      <c r="S95">
        <f>IF($A95="","",IF(AND(ISNUMBER($R95),NOT(ISLOGICAL($R95)),N($R95)&gt;1),$R95/100*1,IF($V95=1,Settings!$C$6,Settings!$C$7)*1))</f>
        <v/>
      </c>
      <c r="T95">
        <f>IF($A95="","",IF(COUNTIF($A$2:$A95,$A95)=1,1,0))</f>
        <v/>
      </c>
      <c r="U95">
        <f>IF($T95=1,SUMPRODUCT(--($W$2:$W$1001&lt;$W95))+1,"")</f>
        <v/>
      </c>
      <c r="V95">
        <f>IF($A95="","",IF(AND(ISNUMBER($R95),NOT(ISLOGICAL($R95)),N($R95)&gt;1),IF(ABS($R95/100-Settings!$C$6)&lt;=ABS($R95/100-Settings!$C$7),1,0),IF(OR($R95=TRUE(),$R95="TRUE"),1,0)))</f>
        <v/>
      </c>
      <c r="W95">
        <f>IF($T95=1,IFERROR(IF(VALUE($A95)&lt;100000000,VALUE($A95),1000000000),IFERROR(IF(VALUE(MID($A95,2,20))&lt;100000000,VALUE(MID($A95,2,20)),1000000000),1000000000))+ROW()/100000,"")</f>
        <v/>
      </c>
    </row>
    <row r="96">
      <c r="F96" s="7">
        <f>IF($A96="","",E96*K96/100)</f>
        <v/>
      </c>
      <c r="J96" s="7" t="n"/>
      <c r="K96" s="7" t="n"/>
      <c r="L96" s="7">
        <f>IF($A96="","",S96*K96)</f>
        <v/>
      </c>
      <c r="M96" s="7">
        <f>IF($A96="","",K96-L96)</f>
        <v/>
      </c>
      <c r="N96" s="7">
        <f>IF($A96="","",M96-F96)</f>
        <v/>
      </c>
      <c r="Q96" s="11" t="n"/>
      <c r="S96">
        <f>IF($A96="","",IF(AND(ISNUMBER($R96),NOT(ISLOGICAL($R96)),N($R96)&gt;1),$R96/100*1,IF($V96=1,Settings!$C$6,Settings!$C$7)*1))</f>
        <v/>
      </c>
      <c r="T96">
        <f>IF($A96="","",IF(COUNTIF($A$2:$A96,$A96)=1,1,0))</f>
        <v/>
      </c>
      <c r="U96">
        <f>IF($T96=1,SUMPRODUCT(--($W$2:$W$1001&lt;$W96))+1,"")</f>
        <v/>
      </c>
      <c r="V96">
        <f>IF($A96="","",IF(AND(ISNUMBER($R96),NOT(ISLOGICAL($R96)),N($R96)&gt;1),IF(ABS($R96/100-Settings!$C$6)&lt;=ABS($R96/100-Settings!$C$7),1,0),IF(OR($R96=TRUE(),$R96="TRUE"),1,0)))</f>
        <v/>
      </c>
      <c r="W96">
        <f>IF($T96=1,IFERROR(IF(VALUE($A96)&lt;100000000,VALUE($A96),1000000000),IFERROR(IF(VALUE(MID($A96,2,20))&lt;100000000,VALUE(MID($A96,2,20)),1000000000),1000000000))+ROW()/100000,"")</f>
        <v/>
      </c>
    </row>
    <row r="97">
      <c r="F97" s="7">
        <f>IF($A97="","",E97*K97/100)</f>
        <v/>
      </c>
      <c r="J97" s="7" t="n"/>
      <c r="K97" s="7" t="n"/>
      <c r="L97" s="7">
        <f>IF($A97="","",S97*K97)</f>
        <v/>
      </c>
      <c r="M97" s="7">
        <f>IF($A97="","",K97-L97)</f>
        <v/>
      </c>
      <c r="N97" s="7">
        <f>IF($A97="","",M97-F97)</f>
        <v/>
      </c>
      <c r="Q97" s="11" t="n"/>
      <c r="S97">
        <f>IF($A97="","",IF(AND(ISNUMBER($R97),NOT(ISLOGICAL($R97)),N($R97)&gt;1),$R97/100*1,IF($V97=1,Settings!$C$6,Settings!$C$7)*1))</f>
        <v/>
      </c>
      <c r="T97">
        <f>IF($A97="","",IF(COUNTIF($A$2:$A97,$A97)=1,1,0))</f>
        <v/>
      </c>
      <c r="U97">
        <f>IF($T97=1,SUMPRODUCT(--($W$2:$W$1001&lt;$W97))+1,"")</f>
        <v/>
      </c>
      <c r="V97">
        <f>IF($A97="","",IF(AND(ISNUMBER($R97),NOT(ISLOGICAL($R97)),N($R97)&gt;1),IF(ABS($R97/100-Settings!$C$6)&lt;=ABS($R97/100-Settings!$C$7),1,0),IF(OR($R97=TRUE(),$R97="TRUE"),1,0)))</f>
        <v/>
      </c>
      <c r="W97">
        <f>IF($T97=1,IFERROR(IF(VALUE($A97)&lt;100000000,VALUE($A97),1000000000),IFERROR(IF(VALUE(MID($A97,2,20))&lt;100000000,VALUE(MID($A97,2,20)),1000000000),1000000000))+ROW()/100000,"")</f>
        <v/>
      </c>
    </row>
    <row r="98">
      <c r="F98" s="7">
        <f>IF($A98="","",E98*K98/100)</f>
        <v/>
      </c>
      <c r="J98" s="7" t="n"/>
      <c r="K98" s="7" t="n"/>
      <c r="L98" s="7">
        <f>IF($A98="","",S98*K98)</f>
        <v/>
      </c>
      <c r="M98" s="7">
        <f>IF($A98="","",K98-L98)</f>
        <v/>
      </c>
      <c r="N98" s="7">
        <f>IF($A98="","",M98-F98)</f>
        <v/>
      </c>
      <c r="Q98" s="11" t="n"/>
      <c r="S98">
        <f>IF($A98="","",IF(AND(ISNUMBER($R98),NOT(ISLOGICAL($R98)),N($R98)&gt;1),$R98/100*1,IF($V98=1,Settings!$C$6,Settings!$C$7)*1))</f>
        <v/>
      </c>
      <c r="T98">
        <f>IF($A98="","",IF(COUNTIF($A$2:$A98,$A98)=1,1,0))</f>
        <v/>
      </c>
      <c r="U98">
        <f>IF($T98=1,SUMPRODUCT(--($W$2:$W$1001&lt;$W98))+1,"")</f>
        <v/>
      </c>
      <c r="V98">
        <f>IF($A98="","",IF(AND(ISNUMBER($R98),NOT(ISLOGICAL($R98)),N($R98)&gt;1),IF(ABS($R98/100-Settings!$C$6)&lt;=ABS($R98/100-Settings!$C$7),1,0),IF(OR($R98=TRUE(),$R98="TRUE"),1,0)))</f>
        <v/>
      </c>
      <c r="W98">
        <f>IF($T98=1,IFERROR(IF(VALUE($A98)&lt;100000000,VALUE($A98),1000000000),IFERROR(IF(VALUE(MID($A98,2,20))&lt;100000000,VALUE(MID($A98,2,20)),1000000000),1000000000))+ROW()/100000,"")</f>
        <v/>
      </c>
    </row>
    <row r="99">
      <c r="F99" s="7">
        <f>IF($A99="","",E99*K99/100)</f>
        <v/>
      </c>
      <c r="J99" s="7" t="n"/>
      <c r="K99" s="7" t="n"/>
      <c r="L99" s="7">
        <f>IF($A99="","",S99*K99)</f>
        <v/>
      </c>
      <c r="M99" s="7">
        <f>IF($A99="","",K99-L99)</f>
        <v/>
      </c>
      <c r="N99" s="7">
        <f>IF($A99="","",M99-F99)</f>
        <v/>
      </c>
      <c r="Q99" s="11" t="n"/>
      <c r="S99">
        <f>IF($A99="","",IF(AND(ISNUMBER($R99),NOT(ISLOGICAL($R99)),N($R99)&gt;1),$R99/100*1,IF($V99=1,Settings!$C$6,Settings!$C$7)*1))</f>
        <v/>
      </c>
      <c r="T99">
        <f>IF($A99="","",IF(COUNTIF($A$2:$A99,$A99)=1,1,0))</f>
        <v/>
      </c>
      <c r="U99">
        <f>IF($T99=1,SUMPRODUCT(--($W$2:$W$1001&lt;$W99))+1,"")</f>
        <v/>
      </c>
      <c r="V99">
        <f>IF($A99="","",IF(AND(ISNUMBER($R99),NOT(ISLOGICAL($R99)),N($R99)&gt;1),IF(ABS($R99/100-Settings!$C$6)&lt;=ABS($R99/100-Settings!$C$7),1,0),IF(OR($R99=TRUE(),$R99="TRUE"),1,0)))</f>
        <v/>
      </c>
      <c r="W99">
        <f>IF($T99=1,IFERROR(IF(VALUE($A99)&lt;100000000,VALUE($A99),1000000000),IFERROR(IF(VALUE(MID($A99,2,20))&lt;100000000,VALUE(MID($A99,2,20)),1000000000),1000000000))+ROW()/100000,"")</f>
        <v/>
      </c>
    </row>
    <row r="100">
      <c r="F100" s="7">
        <f>IF($A100="","",E100*K100/100)</f>
        <v/>
      </c>
      <c r="J100" s="7" t="n"/>
      <c r="K100" s="7" t="n"/>
      <c r="L100" s="7">
        <f>IF($A100="","",S100*K100)</f>
        <v/>
      </c>
      <c r="M100" s="7">
        <f>IF($A100="","",K100-L100)</f>
        <v/>
      </c>
      <c r="N100" s="7">
        <f>IF($A100="","",M100-F100)</f>
        <v/>
      </c>
      <c r="Q100" s="11" t="n"/>
      <c r="S100">
        <f>IF($A100="","",IF(AND(ISNUMBER($R100),NOT(ISLOGICAL($R100)),N($R100)&gt;1),$R100/100*1,IF($V100=1,Settings!$C$6,Settings!$C$7)*1))</f>
        <v/>
      </c>
      <c r="T100">
        <f>IF($A100="","",IF(COUNTIF($A$2:$A100,$A100)=1,1,0))</f>
        <v/>
      </c>
      <c r="U100">
        <f>IF($T100=1,SUMPRODUCT(--($W$2:$W$1001&lt;$W100))+1,"")</f>
        <v/>
      </c>
      <c r="V100">
        <f>IF($A100="","",IF(AND(ISNUMBER($R100),NOT(ISLOGICAL($R100)),N($R100)&gt;1),IF(ABS($R100/100-Settings!$C$6)&lt;=ABS($R100/100-Settings!$C$7),1,0),IF(OR($R100=TRUE(),$R100="TRUE"),1,0)))</f>
        <v/>
      </c>
      <c r="W100">
        <f>IF($T100=1,IFERROR(IF(VALUE($A100)&lt;100000000,VALUE($A100),1000000000),IFERROR(IF(VALUE(MID($A100,2,20))&lt;100000000,VALUE(MID($A100,2,20)),1000000000),1000000000))+ROW()/100000,"")</f>
        <v/>
      </c>
    </row>
    <row r="101">
      <c r="F101" s="7">
        <f>IF($A101="","",E101*K101/100)</f>
        <v/>
      </c>
      <c r="J101" s="7" t="n"/>
      <c r="K101" s="7" t="n"/>
      <c r="L101" s="7">
        <f>IF($A101="","",S101*K101)</f>
        <v/>
      </c>
      <c r="M101" s="7">
        <f>IF($A101="","",K101-L101)</f>
        <v/>
      </c>
      <c r="N101" s="7">
        <f>IF($A101="","",M101-F101)</f>
        <v/>
      </c>
      <c r="Q101" s="11" t="n"/>
      <c r="S101">
        <f>IF($A101="","",IF(AND(ISNUMBER($R101),NOT(ISLOGICAL($R101)),N($R101)&gt;1),$R101/100*1,IF($V101=1,Settings!$C$6,Settings!$C$7)*1))</f>
        <v/>
      </c>
      <c r="T101">
        <f>IF($A101="","",IF(COUNTIF($A$2:$A101,$A101)=1,1,0))</f>
        <v/>
      </c>
      <c r="U101">
        <f>IF($T101=1,SUMPRODUCT(--($W$2:$W$1001&lt;$W101))+1,"")</f>
        <v/>
      </c>
      <c r="V101">
        <f>IF($A101="","",IF(AND(ISNUMBER($R101),NOT(ISLOGICAL($R101)),N($R101)&gt;1),IF(ABS($R101/100-Settings!$C$6)&lt;=ABS($R101/100-Settings!$C$7),1,0),IF(OR($R101=TRUE(),$R101="TRUE"),1,0)))</f>
        <v/>
      </c>
      <c r="W101">
        <f>IF($T101=1,IFERROR(IF(VALUE($A101)&lt;100000000,VALUE($A101),1000000000),IFERROR(IF(VALUE(MID($A101,2,20))&lt;100000000,VALUE(MID($A101,2,20)),1000000000),1000000000))+ROW()/100000,"")</f>
        <v/>
      </c>
    </row>
    <row r="102">
      <c r="F102" s="7">
        <f>IF($A102="","",E102*K102/100)</f>
        <v/>
      </c>
      <c r="J102" s="7" t="n"/>
      <c r="K102" s="7" t="n"/>
      <c r="L102" s="7">
        <f>IF($A102="","",S102*K102)</f>
        <v/>
      </c>
      <c r="M102" s="7">
        <f>IF($A102="","",K102-L102)</f>
        <v/>
      </c>
      <c r="N102" s="7">
        <f>IF($A102="","",M102-F102)</f>
        <v/>
      </c>
      <c r="Q102" s="11" t="n"/>
      <c r="S102">
        <f>IF($A102="","",IF(AND(ISNUMBER($R102),NOT(ISLOGICAL($R102)),N($R102)&gt;1),$R102/100*1,IF($V102=1,Settings!$C$6,Settings!$C$7)*1))</f>
        <v/>
      </c>
      <c r="T102">
        <f>IF($A102="","",IF(COUNTIF($A$2:$A102,$A102)=1,1,0))</f>
        <v/>
      </c>
      <c r="U102">
        <f>IF($T102=1,SUMPRODUCT(--($W$2:$W$1001&lt;$W102))+1,"")</f>
        <v/>
      </c>
      <c r="V102">
        <f>IF($A102="","",IF(AND(ISNUMBER($R102),NOT(ISLOGICAL($R102)),N($R102)&gt;1),IF(ABS($R102/100-Settings!$C$6)&lt;=ABS($R102/100-Settings!$C$7),1,0),IF(OR($R102=TRUE(),$R102="TRUE"),1,0)))</f>
        <v/>
      </c>
      <c r="W102">
        <f>IF($T102=1,IFERROR(IF(VALUE($A102)&lt;100000000,VALUE($A102),1000000000),IFERROR(IF(VALUE(MID($A102,2,20))&lt;100000000,VALUE(MID($A102,2,20)),1000000000),1000000000))+ROW()/100000,"")</f>
        <v/>
      </c>
    </row>
    <row r="103">
      <c r="F103" s="7">
        <f>IF($A103="","",E103*K103/100)</f>
        <v/>
      </c>
      <c r="J103" s="7" t="n"/>
      <c r="K103" s="7" t="n"/>
      <c r="L103" s="7">
        <f>IF($A103="","",S103*K103)</f>
        <v/>
      </c>
      <c r="M103" s="7">
        <f>IF($A103="","",K103-L103)</f>
        <v/>
      </c>
      <c r="N103" s="7">
        <f>IF($A103="","",M103-F103)</f>
        <v/>
      </c>
      <c r="Q103" s="11" t="n"/>
      <c r="S103">
        <f>IF($A103="","",IF(AND(ISNUMBER($R103),NOT(ISLOGICAL($R103)),N($R103)&gt;1),$R103/100*1,IF($V103=1,Settings!$C$6,Settings!$C$7)*1))</f>
        <v/>
      </c>
      <c r="T103">
        <f>IF($A103="","",IF(COUNTIF($A$2:$A103,$A103)=1,1,0))</f>
        <v/>
      </c>
      <c r="U103">
        <f>IF($T103=1,SUMPRODUCT(--($W$2:$W$1001&lt;$W103))+1,"")</f>
        <v/>
      </c>
      <c r="V103">
        <f>IF($A103="","",IF(AND(ISNUMBER($R103),NOT(ISLOGICAL($R103)),N($R103)&gt;1),IF(ABS($R103/100-Settings!$C$6)&lt;=ABS($R103/100-Settings!$C$7),1,0),IF(OR($R103=TRUE(),$R103="TRUE"),1,0)))</f>
        <v/>
      </c>
      <c r="W103">
        <f>IF($T103=1,IFERROR(IF(VALUE($A103)&lt;100000000,VALUE($A103),1000000000),IFERROR(IF(VALUE(MID($A103,2,20))&lt;100000000,VALUE(MID($A103,2,20)),1000000000),1000000000))+ROW()/100000,"")</f>
        <v/>
      </c>
    </row>
    <row r="104">
      <c r="F104" s="7">
        <f>IF($A104="","",E104*K104/100)</f>
        <v/>
      </c>
      <c r="J104" s="7" t="n"/>
      <c r="K104" s="7" t="n"/>
      <c r="L104" s="7">
        <f>IF($A104="","",S104*K104)</f>
        <v/>
      </c>
      <c r="M104" s="7">
        <f>IF($A104="","",K104-L104)</f>
        <v/>
      </c>
      <c r="N104" s="7">
        <f>IF($A104="","",M104-F104)</f>
        <v/>
      </c>
      <c r="Q104" s="11" t="n"/>
      <c r="S104">
        <f>IF($A104="","",IF(AND(ISNUMBER($R104),NOT(ISLOGICAL($R104)),N($R104)&gt;1),$R104/100*1,IF($V104=1,Settings!$C$6,Settings!$C$7)*1))</f>
        <v/>
      </c>
      <c r="T104">
        <f>IF($A104="","",IF(COUNTIF($A$2:$A104,$A104)=1,1,0))</f>
        <v/>
      </c>
      <c r="U104">
        <f>IF($T104=1,SUMPRODUCT(--($W$2:$W$1001&lt;$W104))+1,"")</f>
        <v/>
      </c>
      <c r="V104">
        <f>IF($A104="","",IF(AND(ISNUMBER($R104),NOT(ISLOGICAL($R104)),N($R104)&gt;1),IF(ABS($R104/100-Settings!$C$6)&lt;=ABS($R104/100-Settings!$C$7),1,0),IF(OR($R104=TRUE(),$R104="TRUE"),1,0)))</f>
        <v/>
      </c>
      <c r="W104">
        <f>IF($T104=1,IFERROR(IF(VALUE($A104)&lt;100000000,VALUE($A104),1000000000),IFERROR(IF(VALUE(MID($A104,2,20))&lt;100000000,VALUE(MID($A104,2,20)),1000000000),1000000000))+ROW()/100000,"")</f>
        <v/>
      </c>
    </row>
    <row r="105">
      <c r="F105" s="7">
        <f>IF($A105="","",E105*K105/100)</f>
        <v/>
      </c>
      <c r="J105" s="7" t="n"/>
      <c r="K105" s="7" t="n"/>
      <c r="L105" s="7">
        <f>IF($A105="","",S105*K105)</f>
        <v/>
      </c>
      <c r="M105" s="7">
        <f>IF($A105="","",K105-L105)</f>
        <v/>
      </c>
      <c r="N105" s="7">
        <f>IF($A105="","",M105-F105)</f>
        <v/>
      </c>
      <c r="Q105" s="11" t="n"/>
      <c r="S105">
        <f>IF($A105="","",IF(AND(ISNUMBER($R105),NOT(ISLOGICAL($R105)),N($R105)&gt;1),$R105/100*1,IF($V105=1,Settings!$C$6,Settings!$C$7)*1))</f>
        <v/>
      </c>
      <c r="T105">
        <f>IF($A105="","",IF(COUNTIF($A$2:$A105,$A105)=1,1,0))</f>
        <v/>
      </c>
      <c r="U105">
        <f>IF($T105=1,SUMPRODUCT(--($W$2:$W$1001&lt;$W105))+1,"")</f>
        <v/>
      </c>
      <c r="V105">
        <f>IF($A105="","",IF(AND(ISNUMBER($R105),NOT(ISLOGICAL($R105)),N($R105)&gt;1),IF(ABS($R105/100-Settings!$C$6)&lt;=ABS($R105/100-Settings!$C$7),1,0),IF(OR($R105=TRUE(),$R105="TRUE"),1,0)))</f>
        <v/>
      </c>
      <c r="W105">
        <f>IF($T105=1,IFERROR(IF(VALUE($A105)&lt;100000000,VALUE($A105),1000000000),IFERROR(IF(VALUE(MID($A105,2,20))&lt;100000000,VALUE(MID($A105,2,20)),1000000000),1000000000))+ROW()/100000,"")</f>
        <v/>
      </c>
    </row>
    <row r="106">
      <c r="F106" s="7">
        <f>IF($A106="","",E106*K106/100)</f>
        <v/>
      </c>
      <c r="J106" s="7" t="n"/>
      <c r="K106" s="7" t="n"/>
      <c r="L106" s="7">
        <f>IF($A106="","",S106*K106)</f>
        <v/>
      </c>
      <c r="M106" s="7">
        <f>IF($A106="","",K106-L106)</f>
        <v/>
      </c>
      <c r="N106" s="7">
        <f>IF($A106="","",M106-F106)</f>
        <v/>
      </c>
      <c r="Q106" s="11" t="n"/>
      <c r="S106">
        <f>IF($A106="","",IF(AND(ISNUMBER($R106),NOT(ISLOGICAL($R106)),N($R106)&gt;1),$R106/100*1,IF($V106=1,Settings!$C$6,Settings!$C$7)*1))</f>
        <v/>
      </c>
      <c r="T106">
        <f>IF($A106="","",IF(COUNTIF($A$2:$A106,$A106)=1,1,0))</f>
        <v/>
      </c>
      <c r="U106">
        <f>IF($T106=1,SUMPRODUCT(--($W$2:$W$1001&lt;$W106))+1,"")</f>
        <v/>
      </c>
      <c r="V106">
        <f>IF($A106="","",IF(AND(ISNUMBER($R106),NOT(ISLOGICAL($R106)),N($R106)&gt;1),IF(ABS($R106/100-Settings!$C$6)&lt;=ABS($R106/100-Settings!$C$7),1,0),IF(OR($R106=TRUE(),$R106="TRUE"),1,0)))</f>
        <v/>
      </c>
      <c r="W106">
        <f>IF($T106=1,IFERROR(IF(VALUE($A106)&lt;100000000,VALUE($A106),1000000000),IFERROR(IF(VALUE(MID($A106,2,20))&lt;100000000,VALUE(MID($A106,2,20)),1000000000),1000000000))+ROW()/100000,"")</f>
        <v/>
      </c>
    </row>
    <row r="107">
      <c r="F107" s="7">
        <f>IF($A107="","",E107*K107/100)</f>
        <v/>
      </c>
      <c r="J107" s="7" t="n"/>
      <c r="K107" s="7" t="n"/>
      <c r="L107" s="7">
        <f>IF($A107="","",S107*K107)</f>
        <v/>
      </c>
      <c r="M107" s="7">
        <f>IF($A107="","",K107-L107)</f>
        <v/>
      </c>
      <c r="N107" s="7">
        <f>IF($A107="","",M107-F107)</f>
        <v/>
      </c>
      <c r="Q107" s="11" t="n"/>
      <c r="S107">
        <f>IF($A107="","",IF(AND(ISNUMBER($R107),NOT(ISLOGICAL($R107)),N($R107)&gt;1),$R107/100*1,IF($V107=1,Settings!$C$6,Settings!$C$7)*1))</f>
        <v/>
      </c>
      <c r="T107">
        <f>IF($A107="","",IF(COUNTIF($A$2:$A107,$A107)=1,1,0))</f>
        <v/>
      </c>
      <c r="U107">
        <f>IF($T107=1,SUMPRODUCT(--($W$2:$W$1001&lt;$W107))+1,"")</f>
        <v/>
      </c>
      <c r="V107">
        <f>IF($A107="","",IF(AND(ISNUMBER($R107),NOT(ISLOGICAL($R107)),N($R107)&gt;1),IF(ABS($R107/100-Settings!$C$6)&lt;=ABS($R107/100-Settings!$C$7),1,0),IF(OR($R107=TRUE(),$R107="TRUE"),1,0)))</f>
        <v/>
      </c>
      <c r="W107">
        <f>IF($T107=1,IFERROR(IF(VALUE($A107)&lt;100000000,VALUE($A107),1000000000),IFERROR(IF(VALUE(MID($A107,2,20))&lt;100000000,VALUE(MID($A107,2,20)),1000000000),1000000000))+ROW()/100000,"")</f>
        <v/>
      </c>
    </row>
    <row r="108">
      <c r="F108" s="7">
        <f>IF($A108="","",E108*K108/100)</f>
        <v/>
      </c>
      <c r="J108" s="7" t="n"/>
      <c r="K108" s="7" t="n"/>
      <c r="L108" s="7">
        <f>IF($A108="","",S108*K108)</f>
        <v/>
      </c>
      <c r="M108" s="7">
        <f>IF($A108="","",K108-L108)</f>
        <v/>
      </c>
      <c r="N108" s="7">
        <f>IF($A108="","",M108-F108)</f>
        <v/>
      </c>
      <c r="Q108" s="11" t="n"/>
      <c r="S108">
        <f>IF($A108="","",IF(AND(ISNUMBER($R108),NOT(ISLOGICAL($R108)),N($R108)&gt;1),$R108/100*1,IF($V108=1,Settings!$C$6,Settings!$C$7)*1))</f>
        <v/>
      </c>
      <c r="T108">
        <f>IF($A108="","",IF(COUNTIF($A$2:$A108,$A108)=1,1,0))</f>
        <v/>
      </c>
      <c r="U108">
        <f>IF($T108=1,SUMPRODUCT(--($W$2:$W$1001&lt;$W108))+1,"")</f>
        <v/>
      </c>
      <c r="V108">
        <f>IF($A108="","",IF(AND(ISNUMBER($R108),NOT(ISLOGICAL($R108)),N($R108)&gt;1),IF(ABS($R108/100-Settings!$C$6)&lt;=ABS($R108/100-Settings!$C$7),1,0),IF(OR($R108=TRUE(),$R108="TRUE"),1,0)))</f>
        <v/>
      </c>
      <c r="W108">
        <f>IF($T108=1,IFERROR(IF(VALUE($A108)&lt;100000000,VALUE($A108),1000000000),IFERROR(IF(VALUE(MID($A108,2,20))&lt;100000000,VALUE(MID($A108,2,20)),1000000000),1000000000))+ROW()/100000,"")</f>
        <v/>
      </c>
    </row>
    <row r="109">
      <c r="F109" s="7">
        <f>IF($A109="","",E109*K109/100)</f>
        <v/>
      </c>
      <c r="J109" s="7" t="n"/>
      <c r="K109" s="7" t="n"/>
      <c r="L109" s="7">
        <f>IF($A109="","",S109*K109)</f>
        <v/>
      </c>
      <c r="M109" s="7">
        <f>IF($A109="","",K109-L109)</f>
        <v/>
      </c>
      <c r="N109" s="7">
        <f>IF($A109="","",M109-F109)</f>
        <v/>
      </c>
      <c r="Q109" s="11" t="n"/>
      <c r="S109">
        <f>IF($A109="","",IF(AND(ISNUMBER($R109),NOT(ISLOGICAL($R109)),N($R109)&gt;1),$R109/100*1,IF($V109=1,Settings!$C$6,Settings!$C$7)*1))</f>
        <v/>
      </c>
      <c r="T109">
        <f>IF($A109="","",IF(COUNTIF($A$2:$A109,$A109)=1,1,0))</f>
        <v/>
      </c>
      <c r="U109">
        <f>IF($T109=1,SUMPRODUCT(--($W$2:$W$1001&lt;$W109))+1,"")</f>
        <v/>
      </c>
      <c r="V109">
        <f>IF($A109="","",IF(AND(ISNUMBER($R109),NOT(ISLOGICAL($R109)),N($R109)&gt;1),IF(ABS($R109/100-Settings!$C$6)&lt;=ABS($R109/100-Settings!$C$7),1,0),IF(OR($R109=TRUE(),$R109="TRUE"),1,0)))</f>
        <v/>
      </c>
      <c r="W109">
        <f>IF($T109=1,IFERROR(IF(VALUE($A109)&lt;100000000,VALUE($A109),1000000000),IFERROR(IF(VALUE(MID($A109,2,20))&lt;100000000,VALUE(MID($A109,2,20)),1000000000),1000000000))+ROW()/100000,"")</f>
        <v/>
      </c>
    </row>
    <row r="110">
      <c r="F110" s="7">
        <f>IF($A110="","",E110*K110/100)</f>
        <v/>
      </c>
      <c r="J110" s="7" t="n"/>
      <c r="K110" s="7" t="n"/>
      <c r="L110" s="7">
        <f>IF($A110="","",S110*K110)</f>
        <v/>
      </c>
      <c r="M110" s="7">
        <f>IF($A110="","",K110-L110)</f>
        <v/>
      </c>
      <c r="N110" s="7">
        <f>IF($A110="","",M110-F110)</f>
        <v/>
      </c>
      <c r="Q110" s="11" t="n"/>
      <c r="S110">
        <f>IF($A110="","",IF(AND(ISNUMBER($R110),NOT(ISLOGICAL($R110)),N($R110)&gt;1),$R110/100*1,IF($V110=1,Settings!$C$6,Settings!$C$7)*1))</f>
        <v/>
      </c>
      <c r="T110">
        <f>IF($A110="","",IF(COUNTIF($A$2:$A110,$A110)=1,1,0))</f>
        <v/>
      </c>
      <c r="U110">
        <f>IF($T110=1,SUMPRODUCT(--($W$2:$W$1001&lt;$W110))+1,"")</f>
        <v/>
      </c>
      <c r="V110">
        <f>IF($A110="","",IF(AND(ISNUMBER($R110),NOT(ISLOGICAL($R110)),N($R110)&gt;1),IF(ABS($R110/100-Settings!$C$6)&lt;=ABS($R110/100-Settings!$C$7),1,0),IF(OR($R110=TRUE(),$R110="TRUE"),1,0)))</f>
        <v/>
      </c>
      <c r="W110">
        <f>IF($T110=1,IFERROR(IF(VALUE($A110)&lt;100000000,VALUE($A110),1000000000),IFERROR(IF(VALUE(MID($A110,2,20))&lt;100000000,VALUE(MID($A110,2,20)),1000000000),1000000000))+ROW()/100000,"")</f>
        <v/>
      </c>
    </row>
    <row r="111">
      <c r="F111" s="7">
        <f>IF($A111="","",E111*K111/100)</f>
        <v/>
      </c>
      <c r="J111" s="7" t="n"/>
      <c r="K111" s="7" t="n"/>
      <c r="L111" s="7">
        <f>IF($A111="","",S111*K111)</f>
        <v/>
      </c>
      <c r="M111" s="7">
        <f>IF($A111="","",K111-L111)</f>
        <v/>
      </c>
      <c r="N111" s="7">
        <f>IF($A111="","",M111-F111)</f>
        <v/>
      </c>
      <c r="Q111" s="11" t="n"/>
      <c r="S111">
        <f>IF($A111="","",IF(AND(ISNUMBER($R111),NOT(ISLOGICAL($R111)),N($R111)&gt;1),$R111/100*1,IF($V111=1,Settings!$C$6,Settings!$C$7)*1))</f>
        <v/>
      </c>
      <c r="T111">
        <f>IF($A111="","",IF(COUNTIF($A$2:$A111,$A111)=1,1,0))</f>
        <v/>
      </c>
      <c r="U111">
        <f>IF($T111=1,SUMPRODUCT(--($W$2:$W$1001&lt;$W111))+1,"")</f>
        <v/>
      </c>
      <c r="V111">
        <f>IF($A111="","",IF(AND(ISNUMBER($R111),NOT(ISLOGICAL($R111)),N($R111)&gt;1),IF(ABS($R111/100-Settings!$C$6)&lt;=ABS($R111/100-Settings!$C$7),1,0),IF(OR($R111=TRUE(),$R111="TRUE"),1,0)))</f>
        <v/>
      </c>
      <c r="W111">
        <f>IF($T111=1,IFERROR(IF(VALUE($A111)&lt;100000000,VALUE($A111),1000000000),IFERROR(IF(VALUE(MID($A111,2,20))&lt;100000000,VALUE(MID($A111,2,20)),1000000000),1000000000))+ROW()/100000,"")</f>
        <v/>
      </c>
    </row>
    <row r="112">
      <c r="F112" s="7">
        <f>IF($A112="","",E112*K112/100)</f>
        <v/>
      </c>
      <c r="J112" s="7" t="n"/>
      <c r="K112" s="7" t="n"/>
      <c r="L112" s="7">
        <f>IF($A112="","",S112*K112)</f>
        <v/>
      </c>
      <c r="M112" s="7">
        <f>IF($A112="","",K112-L112)</f>
        <v/>
      </c>
      <c r="N112" s="7">
        <f>IF($A112="","",M112-F112)</f>
        <v/>
      </c>
      <c r="Q112" s="11" t="n"/>
      <c r="S112">
        <f>IF($A112="","",IF(AND(ISNUMBER($R112),NOT(ISLOGICAL($R112)),N($R112)&gt;1),$R112/100*1,IF($V112=1,Settings!$C$6,Settings!$C$7)*1))</f>
        <v/>
      </c>
      <c r="T112">
        <f>IF($A112="","",IF(COUNTIF($A$2:$A112,$A112)=1,1,0))</f>
        <v/>
      </c>
      <c r="U112">
        <f>IF($T112=1,SUMPRODUCT(--($W$2:$W$1001&lt;$W112))+1,"")</f>
        <v/>
      </c>
      <c r="V112">
        <f>IF($A112="","",IF(AND(ISNUMBER($R112),NOT(ISLOGICAL($R112)),N($R112)&gt;1),IF(ABS($R112/100-Settings!$C$6)&lt;=ABS($R112/100-Settings!$C$7),1,0),IF(OR($R112=TRUE(),$R112="TRUE"),1,0)))</f>
        <v/>
      </c>
      <c r="W112">
        <f>IF($T112=1,IFERROR(IF(VALUE($A112)&lt;100000000,VALUE($A112),1000000000),IFERROR(IF(VALUE(MID($A112,2,20))&lt;100000000,VALUE(MID($A112,2,20)),1000000000),1000000000))+ROW()/100000,"")</f>
        <v/>
      </c>
    </row>
    <row r="113">
      <c r="F113" s="7">
        <f>IF($A113="","",E113*K113/100)</f>
        <v/>
      </c>
      <c r="J113" s="7" t="n"/>
      <c r="K113" s="7" t="n"/>
      <c r="L113" s="7">
        <f>IF($A113="","",S113*K113)</f>
        <v/>
      </c>
      <c r="M113" s="7">
        <f>IF($A113="","",K113-L113)</f>
        <v/>
      </c>
      <c r="N113" s="7">
        <f>IF($A113="","",M113-F113)</f>
        <v/>
      </c>
      <c r="Q113" s="11" t="n"/>
      <c r="S113">
        <f>IF($A113="","",IF(AND(ISNUMBER($R113),NOT(ISLOGICAL($R113)),N($R113)&gt;1),$R113/100*1,IF($V113=1,Settings!$C$6,Settings!$C$7)*1))</f>
        <v/>
      </c>
      <c r="T113">
        <f>IF($A113="","",IF(COUNTIF($A$2:$A113,$A113)=1,1,0))</f>
        <v/>
      </c>
      <c r="U113">
        <f>IF($T113=1,SUMPRODUCT(--($W$2:$W$1001&lt;$W113))+1,"")</f>
        <v/>
      </c>
      <c r="V113">
        <f>IF($A113="","",IF(AND(ISNUMBER($R113),NOT(ISLOGICAL($R113)),N($R113)&gt;1),IF(ABS($R113/100-Settings!$C$6)&lt;=ABS($R113/100-Settings!$C$7),1,0),IF(OR($R113=TRUE(),$R113="TRUE"),1,0)))</f>
        <v/>
      </c>
      <c r="W113">
        <f>IF($T113=1,IFERROR(IF(VALUE($A113)&lt;100000000,VALUE($A113),1000000000),IFERROR(IF(VALUE(MID($A113,2,20))&lt;100000000,VALUE(MID($A113,2,20)),1000000000),1000000000))+ROW()/100000,"")</f>
        <v/>
      </c>
    </row>
    <row r="114">
      <c r="F114" s="7">
        <f>IF($A114="","",E114*K114/100)</f>
        <v/>
      </c>
      <c r="J114" s="7" t="n"/>
      <c r="K114" s="7" t="n"/>
      <c r="L114" s="7">
        <f>IF($A114="","",S114*K114)</f>
        <v/>
      </c>
      <c r="M114" s="7">
        <f>IF($A114="","",K114-L114)</f>
        <v/>
      </c>
      <c r="N114" s="7">
        <f>IF($A114="","",M114-F114)</f>
        <v/>
      </c>
      <c r="Q114" s="11" t="n"/>
      <c r="S114">
        <f>IF($A114="","",IF(AND(ISNUMBER($R114),NOT(ISLOGICAL($R114)),N($R114)&gt;1),$R114/100*1,IF($V114=1,Settings!$C$6,Settings!$C$7)*1))</f>
        <v/>
      </c>
      <c r="T114">
        <f>IF($A114="","",IF(COUNTIF($A$2:$A114,$A114)=1,1,0))</f>
        <v/>
      </c>
      <c r="U114">
        <f>IF($T114=1,SUMPRODUCT(--($W$2:$W$1001&lt;$W114))+1,"")</f>
        <v/>
      </c>
      <c r="V114">
        <f>IF($A114="","",IF(AND(ISNUMBER($R114),NOT(ISLOGICAL($R114)),N($R114)&gt;1),IF(ABS($R114/100-Settings!$C$6)&lt;=ABS($R114/100-Settings!$C$7),1,0),IF(OR($R114=TRUE(),$R114="TRUE"),1,0)))</f>
        <v/>
      </c>
      <c r="W114">
        <f>IF($T114=1,IFERROR(IF(VALUE($A114)&lt;100000000,VALUE($A114),1000000000),IFERROR(IF(VALUE(MID($A114,2,20))&lt;100000000,VALUE(MID($A114,2,20)),1000000000),1000000000))+ROW()/100000,"")</f>
        <v/>
      </c>
    </row>
    <row r="115">
      <c r="F115" s="7">
        <f>IF($A115="","",E115*K115/100)</f>
        <v/>
      </c>
      <c r="J115" s="7" t="n"/>
      <c r="K115" s="7" t="n"/>
      <c r="L115" s="7">
        <f>IF($A115="","",S115*K115)</f>
        <v/>
      </c>
      <c r="M115" s="7">
        <f>IF($A115="","",K115-L115)</f>
        <v/>
      </c>
      <c r="N115" s="7">
        <f>IF($A115="","",M115-F115)</f>
        <v/>
      </c>
      <c r="Q115" s="11" t="n"/>
      <c r="S115">
        <f>IF($A115="","",IF(AND(ISNUMBER($R115),NOT(ISLOGICAL($R115)),N($R115)&gt;1),$R115/100*1,IF($V115=1,Settings!$C$6,Settings!$C$7)*1))</f>
        <v/>
      </c>
      <c r="T115">
        <f>IF($A115="","",IF(COUNTIF($A$2:$A115,$A115)=1,1,0))</f>
        <v/>
      </c>
      <c r="U115">
        <f>IF($T115=1,SUMPRODUCT(--($W$2:$W$1001&lt;$W115))+1,"")</f>
        <v/>
      </c>
      <c r="V115">
        <f>IF($A115="","",IF(AND(ISNUMBER($R115),NOT(ISLOGICAL($R115)),N($R115)&gt;1),IF(ABS($R115/100-Settings!$C$6)&lt;=ABS($R115/100-Settings!$C$7),1,0),IF(OR($R115=TRUE(),$R115="TRUE"),1,0)))</f>
        <v/>
      </c>
      <c r="W115">
        <f>IF($T115=1,IFERROR(IF(VALUE($A115)&lt;100000000,VALUE($A115),1000000000),IFERROR(IF(VALUE(MID($A115,2,20))&lt;100000000,VALUE(MID($A115,2,20)),1000000000),1000000000))+ROW()/100000,"")</f>
        <v/>
      </c>
    </row>
    <row r="116">
      <c r="F116" s="7">
        <f>IF($A116="","",E116*K116/100)</f>
        <v/>
      </c>
      <c r="J116" s="7" t="n"/>
      <c r="K116" s="7" t="n"/>
      <c r="L116" s="7">
        <f>IF($A116="","",S116*K116)</f>
        <v/>
      </c>
      <c r="M116" s="7">
        <f>IF($A116="","",K116-L116)</f>
        <v/>
      </c>
      <c r="N116" s="7">
        <f>IF($A116="","",M116-F116)</f>
        <v/>
      </c>
      <c r="Q116" s="11" t="n"/>
      <c r="S116">
        <f>IF($A116="","",IF(AND(ISNUMBER($R116),NOT(ISLOGICAL($R116)),N($R116)&gt;1),$R116/100*1,IF($V116=1,Settings!$C$6,Settings!$C$7)*1))</f>
        <v/>
      </c>
      <c r="T116">
        <f>IF($A116="","",IF(COUNTIF($A$2:$A116,$A116)=1,1,0))</f>
        <v/>
      </c>
      <c r="U116">
        <f>IF($T116=1,SUMPRODUCT(--($W$2:$W$1001&lt;$W116))+1,"")</f>
        <v/>
      </c>
      <c r="V116">
        <f>IF($A116="","",IF(AND(ISNUMBER($R116),NOT(ISLOGICAL($R116)),N($R116)&gt;1),IF(ABS($R116/100-Settings!$C$6)&lt;=ABS($R116/100-Settings!$C$7),1,0),IF(OR($R116=TRUE(),$R116="TRUE"),1,0)))</f>
        <v/>
      </c>
      <c r="W116">
        <f>IF($T116=1,IFERROR(IF(VALUE($A116)&lt;100000000,VALUE($A116),1000000000),IFERROR(IF(VALUE(MID($A116,2,20))&lt;100000000,VALUE(MID($A116,2,20)),1000000000),1000000000))+ROW()/100000,"")</f>
        <v/>
      </c>
    </row>
    <row r="117">
      <c r="F117" s="7">
        <f>IF($A117="","",E117*K117/100)</f>
        <v/>
      </c>
      <c r="J117" s="7" t="n"/>
      <c r="K117" s="7" t="n"/>
      <c r="L117" s="7">
        <f>IF($A117="","",S117*K117)</f>
        <v/>
      </c>
      <c r="M117" s="7">
        <f>IF($A117="","",K117-L117)</f>
        <v/>
      </c>
      <c r="N117" s="7">
        <f>IF($A117="","",M117-F117)</f>
        <v/>
      </c>
      <c r="Q117" s="11" t="n"/>
      <c r="S117">
        <f>IF($A117="","",IF(AND(ISNUMBER($R117),NOT(ISLOGICAL($R117)),N($R117)&gt;1),$R117/100*1,IF($V117=1,Settings!$C$6,Settings!$C$7)*1))</f>
        <v/>
      </c>
      <c r="T117">
        <f>IF($A117="","",IF(COUNTIF($A$2:$A117,$A117)=1,1,0))</f>
        <v/>
      </c>
      <c r="U117">
        <f>IF($T117=1,SUMPRODUCT(--($W$2:$W$1001&lt;$W117))+1,"")</f>
        <v/>
      </c>
      <c r="V117">
        <f>IF($A117="","",IF(AND(ISNUMBER($R117),NOT(ISLOGICAL($R117)),N($R117)&gt;1),IF(ABS($R117/100-Settings!$C$6)&lt;=ABS($R117/100-Settings!$C$7),1,0),IF(OR($R117=TRUE(),$R117="TRUE"),1,0)))</f>
        <v/>
      </c>
      <c r="W117">
        <f>IF($T117=1,IFERROR(IF(VALUE($A117)&lt;100000000,VALUE($A117),1000000000),IFERROR(IF(VALUE(MID($A117,2,20))&lt;100000000,VALUE(MID($A117,2,20)),1000000000),1000000000))+ROW()/100000,"")</f>
        <v/>
      </c>
    </row>
    <row r="118">
      <c r="F118" s="7">
        <f>IF($A118="","",E118*K118/100)</f>
        <v/>
      </c>
      <c r="J118" s="7" t="n"/>
      <c r="K118" s="7" t="n"/>
      <c r="L118" s="7">
        <f>IF($A118="","",S118*K118)</f>
        <v/>
      </c>
      <c r="M118" s="7">
        <f>IF($A118="","",K118-L118)</f>
        <v/>
      </c>
      <c r="N118" s="7">
        <f>IF($A118="","",M118-F118)</f>
        <v/>
      </c>
      <c r="Q118" s="11" t="n"/>
      <c r="S118">
        <f>IF($A118="","",IF(AND(ISNUMBER($R118),NOT(ISLOGICAL($R118)),N($R118)&gt;1),$R118/100*1,IF($V118=1,Settings!$C$6,Settings!$C$7)*1))</f>
        <v/>
      </c>
      <c r="T118">
        <f>IF($A118="","",IF(COUNTIF($A$2:$A118,$A118)=1,1,0))</f>
        <v/>
      </c>
      <c r="U118">
        <f>IF($T118=1,SUMPRODUCT(--($W$2:$W$1001&lt;$W118))+1,"")</f>
        <v/>
      </c>
      <c r="V118">
        <f>IF($A118="","",IF(AND(ISNUMBER($R118),NOT(ISLOGICAL($R118)),N($R118)&gt;1),IF(ABS($R118/100-Settings!$C$6)&lt;=ABS($R118/100-Settings!$C$7),1,0),IF(OR($R118=TRUE(),$R118="TRUE"),1,0)))</f>
        <v/>
      </c>
      <c r="W118">
        <f>IF($T118=1,IFERROR(IF(VALUE($A118)&lt;100000000,VALUE($A118),1000000000),IFERROR(IF(VALUE(MID($A118,2,20))&lt;100000000,VALUE(MID($A118,2,20)),1000000000),1000000000))+ROW()/100000,"")</f>
        <v/>
      </c>
    </row>
    <row r="119">
      <c r="F119" s="7">
        <f>IF($A119="","",E119*K119/100)</f>
        <v/>
      </c>
      <c r="J119" s="7" t="n"/>
      <c r="K119" s="7" t="n"/>
      <c r="L119" s="7">
        <f>IF($A119="","",S119*K119)</f>
        <v/>
      </c>
      <c r="M119" s="7">
        <f>IF($A119="","",K119-L119)</f>
        <v/>
      </c>
      <c r="N119" s="7">
        <f>IF($A119="","",M119-F119)</f>
        <v/>
      </c>
      <c r="Q119" s="11" t="n"/>
      <c r="S119">
        <f>IF($A119="","",IF(AND(ISNUMBER($R119),NOT(ISLOGICAL($R119)),N($R119)&gt;1),$R119/100*1,IF($V119=1,Settings!$C$6,Settings!$C$7)*1))</f>
        <v/>
      </c>
      <c r="T119">
        <f>IF($A119="","",IF(COUNTIF($A$2:$A119,$A119)=1,1,0))</f>
        <v/>
      </c>
      <c r="U119">
        <f>IF($T119=1,SUMPRODUCT(--($W$2:$W$1001&lt;$W119))+1,"")</f>
        <v/>
      </c>
      <c r="V119">
        <f>IF($A119="","",IF(AND(ISNUMBER($R119),NOT(ISLOGICAL($R119)),N($R119)&gt;1),IF(ABS($R119/100-Settings!$C$6)&lt;=ABS($R119/100-Settings!$C$7),1,0),IF(OR($R119=TRUE(),$R119="TRUE"),1,0)))</f>
        <v/>
      </c>
      <c r="W119">
        <f>IF($T119=1,IFERROR(IF(VALUE($A119)&lt;100000000,VALUE($A119),1000000000),IFERROR(IF(VALUE(MID($A119,2,20))&lt;100000000,VALUE(MID($A119,2,20)),1000000000),1000000000))+ROW()/100000,"")</f>
        <v/>
      </c>
    </row>
    <row r="120">
      <c r="F120" s="7">
        <f>IF($A120="","",E120*K120/100)</f>
        <v/>
      </c>
      <c r="J120" s="7" t="n"/>
      <c r="K120" s="7" t="n"/>
      <c r="L120" s="7">
        <f>IF($A120="","",S120*K120)</f>
        <v/>
      </c>
      <c r="M120" s="7">
        <f>IF($A120="","",K120-L120)</f>
        <v/>
      </c>
      <c r="N120" s="7">
        <f>IF($A120="","",M120-F120)</f>
        <v/>
      </c>
      <c r="Q120" s="11" t="n"/>
      <c r="S120">
        <f>IF($A120="","",IF(AND(ISNUMBER($R120),NOT(ISLOGICAL($R120)),N($R120)&gt;1),$R120/100*1,IF($V120=1,Settings!$C$6,Settings!$C$7)*1))</f>
        <v/>
      </c>
      <c r="T120">
        <f>IF($A120="","",IF(COUNTIF($A$2:$A120,$A120)=1,1,0))</f>
        <v/>
      </c>
      <c r="U120">
        <f>IF($T120=1,SUMPRODUCT(--($W$2:$W$1001&lt;$W120))+1,"")</f>
        <v/>
      </c>
      <c r="V120">
        <f>IF($A120="","",IF(AND(ISNUMBER($R120),NOT(ISLOGICAL($R120)),N($R120)&gt;1),IF(ABS($R120/100-Settings!$C$6)&lt;=ABS($R120/100-Settings!$C$7),1,0),IF(OR($R120=TRUE(),$R120="TRUE"),1,0)))</f>
        <v/>
      </c>
      <c r="W120">
        <f>IF($T120=1,IFERROR(IF(VALUE($A120)&lt;100000000,VALUE($A120),1000000000),IFERROR(IF(VALUE(MID($A120,2,20))&lt;100000000,VALUE(MID($A120,2,20)),1000000000),1000000000))+ROW()/100000,"")</f>
        <v/>
      </c>
    </row>
    <row r="121">
      <c r="F121" s="7">
        <f>IF($A121="","",E121*K121/100)</f>
        <v/>
      </c>
      <c r="J121" s="7" t="n"/>
      <c r="K121" s="7" t="n"/>
      <c r="L121" s="7">
        <f>IF($A121="","",S121*K121)</f>
        <v/>
      </c>
      <c r="M121" s="7">
        <f>IF($A121="","",K121-L121)</f>
        <v/>
      </c>
      <c r="N121" s="7">
        <f>IF($A121="","",M121-F121)</f>
        <v/>
      </c>
      <c r="Q121" s="11" t="n"/>
      <c r="S121">
        <f>IF($A121="","",IF(AND(ISNUMBER($R121),NOT(ISLOGICAL($R121)),N($R121)&gt;1),$R121/100*1,IF($V121=1,Settings!$C$6,Settings!$C$7)*1))</f>
        <v/>
      </c>
      <c r="T121">
        <f>IF($A121="","",IF(COUNTIF($A$2:$A121,$A121)=1,1,0))</f>
        <v/>
      </c>
      <c r="U121">
        <f>IF($T121=1,SUMPRODUCT(--($W$2:$W$1001&lt;$W121))+1,"")</f>
        <v/>
      </c>
      <c r="V121">
        <f>IF($A121="","",IF(AND(ISNUMBER($R121),NOT(ISLOGICAL($R121)),N($R121)&gt;1),IF(ABS($R121/100-Settings!$C$6)&lt;=ABS($R121/100-Settings!$C$7),1,0),IF(OR($R121=TRUE(),$R121="TRUE"),1,0)))</f>
        <v/>
      </c>
      <c r="W121">
        <f>IF($T121=1,IFERROR(IF(VALUE($A121)&lt;100000000,VALUE($A121),1000000000),IFERROR(IF(VALUE(MID($A121,2,20))&lt;100000000,VALUE(MID($A121,2,20)),1000000000),1000000000))+ROW()/100000,"")</f>
        <v/>
      </c>
    </row>
    <row r="122">
      <c r="F122" s="7">
        <f>IF($A122="","",E122*K122/100)</f>
        <v/>
      </c>
      <c r="J122" s="7" t="n"/>
      <c r="K122" s="7" t="n"/>
      <c r="L122" s="7">
        <f>IF($A122="","",S122*K122)</f>
        <v/>
      </c>
      <c r="M122" s="7">
        <f>IF($A122="","",K122-L122)</f>
        <v/>
      </c>
      <c r="N122" s="7">
        <f>IF($A122="","",M122-F122)</f>
        <v/>
      </c>
      <c r="Q122" s="11" t="n"/>
      <c r="S122">
        <f>IF($A122="","",IF(AND(ISNUMBER($R122),NOT(ISLOGICAL($R122)),N($R122)&gt;1),$R122/100*1,IF($V122=1,Settings!$C$6,Settings!$C$7)*1))</f>
        <v/>
      </c>
      <c r="T122">
        <f>IF($A122="","",IF(COUNTIF($A$2:$A122,$A122)=1,1,0))</f>
        <v/>
      </c>
      <c r="U122">
        <f>IF($T122=1,SUMPRODUCT(--($W$2:$W$1001&lt;$W122))+1,"")</f>
        <v/>
      </c>
      <c r="V122">
        <f>IF($A122="","",IF(AND(ISNUMBER($R122),NOT(ISLOGICAL($R122)),N($R122)&gt;1),IF(ABS($R122/100-Settings!$C$6)&lt;=ABS($R122/100-Settings!$C$7),1,0),IF(OR($R122=TRUE(),$R122="TRUE"),1,0)))</f>
        <v/>
      </c>
      <c r="W122">
        <f>IF($T122=1,IFERROR(IF(VALUE($A122)&lt;100000000,VALUE($A122),1000000000),IFERROR(IF(VALUE(MID($A122,2,20))&lt;100000000,VALUE(MID($A122,2,20)),1000000000),1000000000))+ROW()/100000,"")</f>
        <v/>
      </c>
    </row>
    <row r="123">
      <c r="F123" s="7">
        <f>IF($A123="","",E123*K123/100)</f>
        <v/>
      </c>
      <c r="J123" s="7" t="n"/>
      <c r="K123" s="7" t="n"/>
      <c r="L123" s="7">
        <f>IF($A123="","",S123*K123)</f>
        <v/>
      </c>
      <c r="M123" s="7">
        <f>IF($A123="","",K123-L123)</f>
        <v/>
      </c>
      <c r="N123" s="7">
        <f>IF($A123="","",M123-F123)</f>
        <v/>
      </c>
      <c r="Q123" s="11" t="n"/>
      <c r="S123">
        <f>IF($A123="","",IF(AND(ISNUMBER($R123),NOT(ISLOGICAL($R123)),N($R123)&gt;1),$R123/100*1,IF($V123=1,Settings!$C$6,Settings!$C$7)*1))</f>
        <v/>
      </c>
      <c r="T123">
        <f>IF($A123="","",IF(COUNTIF($A$2:$A123,$A123)=1,1,0))</f>
        <v/>
      </c>
      <c r="U123">
        <f>IF($T123=1,SUMPRODUCT(--($W$2:$W$1001&lt;$W123))+1,"")</f>
        <v/>
      </c>
      <c r="V123">
        <f>IF($A123="","",IF(AND(ISNUMBER($R123),NOT(ISLOGICAL($R123)),N($R123)&gt;1),IF(ABS($R123/100-Settings!$C$6)&lt;=ABS($R123/100-Settings!$C$7),1,0),IF(OR($R123=TRUE(),$R123="TRUE"),1,0)))</f>
        <v/>
      </c>
      <c r="W123">
        <f>IF($T123=1,IFERROR(IF(VALUE($A123)&lt;100000000,VALUE($A123),1000000000),IFERROR(IF(VALUE(MID($A123,2,20))&lt;100000000,VALUE(MID($A123,2,20)),1000000000),1000000000))+ROW()/100000,"")</f>
        <v/>
      </c>
    </row>
    <row r="124">
      <c r="F124" s="7">
        <f>IF($A124="","",E124*K124/100)</f>
        <v/>
      </c>
      <c r="J124" s="7" t="n"/>
      <c r="K124" s="7" t="n"/>
      <c r="L124" s="7">
        <f>IF($A124="","",S124*K124)</f>
        <v/>
      </c>
      <c r="M124" s="7">
        <f>IF($A124="","",K124-L124)</f>
        <v/>
      </c>
      <c r="N124" s="7">
        <f>IF($A124="","",M124-F124)</f>
        <v/>
      </c>
      <c r="Q124" s="11" t="n"/>
      <c r="S124">
        <f>IF($A124="","",IF(AND(ISNUMBER($R124),NOT(ISLOGICAL($R124)),N($R124)&gt;1),$R124/100*1,IF($V124=1,Settings!$C$6,Settings!$C$7)*1))</f>
        <v/>
      </c>
      <c r="T124">
        <f>IF($A124="","",IF(COUNTIF($A$2:$A124,$A124)=1,1,0))</f>
        <v/>
      </c>
      <c r="U124">
        <f>IF($T124=1,SUMPRODUCT(--($W$2:$W$1001&lt;$W124))+1,"")</f>
        <v/>
      </c>
      <c r="V124">
        <f>IF($A124="","",IF(AND(ISNUMBER($R124),NOT(ISLOGICAL($R124)),N($R124)&gt;1),IF(ABS($R124/100-Settings!$C$6)&lt;=ABS($R124/100-Settings!$C$7),1,0),IF(OR($R124=TRUE(),$R124="TRUE"),1,0)))</f>
        <v/>
      </c>
      <c r="W124">
        <f>IF($T124=1,IFERROR(IF(VALUE($A124)&lt;100000000,VALUE($A124),1000000000),IFERROR(IF(VALUE(MID($A124,2,20))&lt;100000000,VALUE(MID($A124,2,20)),1000000000),1000000000))+ROW()/100000,"")</f>
        <v/>
      </c>
    </row>
    <row r="125">
      <c r="F125" s="7">
        <f>IF($A125="","",E125*K125/100)</f>
        <v/>
      </c>
      <c r="J125" s="7" t="n"/>
      <c r="K125" s="7" t="n"/>
      <c r="L125" s="7">
        <f>IF($A125="","",S125*K125)</f>
        <v/>
      </c>
      <c r="M125" s="7">
        <f>IF($A125="","",K125-L125)</f>
        <v/>
      </c>
      <c r="N125" s="7">
        <f>IF($A125="","",M125-F125)</f>
        <v/>
      </c>
      <c r="Q125" s="11" t="n"/>
      <c r="S125">
        <f>IF($A125="","",IF(AND(ISNUMBER($R125),NOT(ISLOGICAL($R125)),N($R125)&gt;1),$R125/100*1,IF($V125=1,Settings!$C$6,Settings!$C$7)*1))</f>
        <v/>
      </c>
      <c r="T125">
        <f>IF($A125="","",IF(COUNTIF($A$2:$A125,$A125)=1,1,0))</f>
        <v/>
      </c>
      <c r="U125">
        <f>IF($T125=1,SUMPRODUCT(--($W$2:$W$1001&lt;$W125))+1,"")</f>
        <v/>
      </c>
      <c r="V125">
        <f>IF($A125="","",IF(AND(ISNUMBER($R125),NOT(ISLOGICAL($R125)),N($R125)&gt;1),IF(ABS($R125/100-Settings!$C$6)&lt;=ABS($R125/100-Settings!$C$7),1,0),IF(OR($R125=TRUE(),$R125="TRUE"),1,0)))</f>
        <v/>
      </c>
      <c r="W125">
        <f>IF($T125=1,IFERROR(IF(VALUE($A125)&lt;100000000,VALUE($A125),1000000000),IFERROR(IF(VALUE(MID($A125,2,20))&lt;100000000,VALUE(MID($A125,2,20)),1000000000),1000000000))+ROW()/100000,"")</f>
        <v/>
      </c>
    </row>
    <row r="126">
      <c r="F126" s="7">
        <f>IF($A126="","",E126*K126/100)</f>
        <v/>
      </c>
      <c r="J126" s="7" t="n"/>
      <c r="K126" s="7" t="n"/>
      <c r="L126" s="7">
        <f>IF($A126="","",S126*K126)</f>
        <v/>
      </c>
      <c r="M126" s="7">
        <f>IF($A126="","",K126-L126)</f>
        <v/>
      </c>
      <c r="N126" s="7">
        <f>IF($A126="","",M126-F126)</f>
        <v/>
      </c>
      <c r="Q126" s="11" t="n"/>
      <c r="S126">
        <f>IF($A126="","",IF(AND(ISNUMBER($R126),NOT(ISLOGICAL($R126)),N($R126)&gt;1),$R126/100*1,IF($V126=1,Settings!$C$6,Settings!$C$7)*1))</f>
        <v/>
      </c>
      <c r="T126">
        <f>IF($A126="","",IF(COUNTIF($A$2:$A126,$A126)=1,1,0))</f>
        <v/>
      </c>
      <c r="U126">
        <f>IF($T126=1,SUMPRODUCT(--($W$2:$W$1001&lt;$W126))+1,"")</f>
        <v/>
      </c>
      <c r="V126">
        <f>IF($A126="","",IF(AND(ISNUMBER($R126),NOT(ISLOGICAL($R126)),N($R126)&gt;1),IF(ABS($R126/100-Settings!$C$6)&lt;=ABS($R126/100-Settings!$C$7),1,0),IF(OR($R126=TRUE(),$R126="TRUE"),1,0)))</f>
        <v/>
      </c>
      <c r="W126">
        <f>IF($T126=1,IFERROR(IF(VALUE($A126)&lt;100000000,VALUE($A126),1000000000),IFERROR(IF(VALUE(MID($A126,2,20))&lt;100000000,VALUE(MID($A126,2,20)),1000000000),1000000000))+ROW()/100000,"")</f>
        <v/>
      </c>
    </row>
    <row r="127">
      <c r="F127" s="7">
        <f>IF($A127="","",E127*K127/100)</f>
        <v/>
      </c>
      <c r="J127" s="7" t="n"/>
      <c r="K127" s="7" t="n"/>
      <c r="L127" s="7">
        <f>IF($A127="","",S127*K127)</f>
        <v/>
      </c>
      <c r="M127" s="7">
        <f>IF($A127="","",K127-L127)</f>
        <v/>
      </c>
      <c r="N127" s="7">
        <f>IF($A127="","",M127-F127)</f>
        <v/>
      </c>
      <c r="Q127" s="11" t="n"/>
      <c r="S127">
        <f>IF($A127="","",IF(AND(ISNUMBER($R127),NOT(ISLOGICAL($R127)),N($R127)&gt;1),$R127/100*1,IF($V127=1,Settings!$C$6,Settings!$C$7)*1))</f>
        <v/>
      </c>
      <c r="T127">
        <f>IF($A127="","",IF(COUNTIF($A$2:$A127,$A127)=1,1,0))</f>
        <v/>
      </c>
      <c r="U127">
        <f>IF($T127=1,SUMPRODUCT(--($W$2:$W$1001&lt;$W127))+1,"")</f>
        <v/>
      </c>
      <c r="V127">
        <f>IF($A127="","",IF(AND(ISNUMBER($R127),NOT(ISLOGICAL($R127)),N($R127)&gt;1),IF(ABS($R127/100-Settings!$C$6)&lt;=ABS($R127/100-Settings!$C$7),1,0),IF(OR($R127=TRUE(),$R127="TRUE"),1,0)))</f>
        <v/>
      </c>
      <c r="W127">
        <f>IF($T127=1,IFERROR(IF(VALUE($A127)&lt;100000000,VALUE($A127),1000000000),IFERROR(IF(VALUE(MID($A127,2,20))&lt;100000000,VALUE(MID($A127,2,20)),1000000000),1000000000))+ROW()/100000,"")</f>
        <v/>
      </c>
    </row>
    <row r="128">
      <c r="F128" s="7">
        <f>IF($A128="","",E128*K128/100)</f>
        <v/>
      </c>
      <c r="J128" s="7" t="n"/>
      <c r="K128" s="7" t="n"/>
      <c r="L128" s="7">
        <f>IF($A128="","",S128*K128)</f>
        <v/>
      </c>
      <c r="M128" s="7">
        <f>IF($A128="","",K128-L128)</f>
        <v/>
      </c>
      <c r="N128" s="7">
        <f>IF($A128="","",M128-F128)</f>
        <v/>
      </c>
      <c r="Q128" s="11" t="n"/>
      <c r="S128">
        <f>IF($A128="","",IF(AND(ISNUMBER($R128),NOT(ISLOGICAL($R128)),N($R128)&gt;1),$R128/100*1,IF($V128=1,Settings!$C$6,Settings!$C$7)*1))</f>
        <v/>
      </c>
      <c r="T128">
        <f>IF($A128="","",IF(COUNTIF($A$2:$A128,$A128)=1,1,0))</f>
        <v/>
      </c>
      <c r="U128">
        <f>IF($T128=1,SUMPRODUCT(--($W$2:$W$1001&lt;$W128))+1,"")</f>
        <v/>
      </c>
      <c r="V128">
        <f>IF($A128="","",IF(AND(ISNUMBER($R128),NOT(ISLOGICAL($R128)),N($R128)&gt;1),IF(ABS($R128/100-Settings!$C$6)&lt;=ABS($R128/100-Settings!$C$7),1,0),IF(OR($R128=TRUE(),$R128="TRUE"),1,0)))</f>
        <v/>
      </c>
      <c r="W128">
        <f>IF($T128=1,IFERROR(IF(VALUE($A128)&lt;100000000,VALUE($A128),1000000000),IFERROR(IF(VALUE(MID($A128,2,20))&lt;100000000,VALUE(MID($A128,2,20)),1000000000),1000000000))+ROW()/100000,"")</f>
        <v/>
      </c>
    </row>
    <row r="129">
      <c r="F129" s="7">
        <f>IF($A129="","",E129*K129/100)</f>
        <v/>
      </c>
      <c r="J129" s="7" t="n"/>
      <c r="K129" s="7" t="n"/>
      <c r="L129" s="7">
        <f>IF($A129="","",S129*K129)</f>
        <v/>
      </c>
      <c r="M129" s="7">
        <f>IF($A129="","",K129-L129)</f>
        <v/>
      </c>
      <c r="N129" s="7">
        <f>IF($A129="","",M129-F129)</f>
        <v/>
      </c>
      <c r="Q129" s="11" t="n"/>
      <c r="S129">
        <f>IF($A129="","",IF(AND(ISNUMBER($R129),NOT(ISLOGICAL($R129)),N($R129)&gt;1),$R129/100*1,IF($V129=1,Settings!$C$6,Settings!$C$7)*1))</f>
        <v/>
      </c>
      <c r="T129">
        <f>IF($A129="","",IF(COUNTIF($A$2:$A129,$A129)=1,1,0))</f>
        <v/>
      </c>
      <c r="U129">
        <f>IF($T129=1,SUMPRODUCT(--($W$2:$W$1001&lt;$W129))+1,"")</f>
        <v/>
      </c>
      <c r="V129">
        <f>IF($A129="","",IF(AND(ISNUMBER($R129),NOT(ISLOGICAL($R129)),N($R129)&gt;1),IF(ABS($R129/100-Settings!$C$6)&lt;=ABS($R129/100-Settings!$C$7),1,0),IF(OR($R129=TRUE(),$R129="TRUE"),1,0)))</f>
        <v/>
      </c>
      <c r="W129">
        <f>IF($T129=1,IFERROR(IF(VALUE($A129)&lt;100000000,VALUE($A129),1000000000),IFERROR(IF(VALUE(MID($A129,2,20))&lt;100000000,VALUE(MID($A129,2,20)),1000000000),1000000000))+ROW()/100000,"")</f>
        <v/>
      </c>
    </row>
    <row r="130">
      <c r="F130" s="7">
        <f>IF($A130="","",E130*K130/100)</f>
        <v/>
      </c>
      <c r="J130" s="7" t="n"/>
      <c r="K130" s="7" t="n"/>
      <c r="L130" s="7">
        <f>IF($A130="","",S130*K130)</f>
        <v/>
      </c>
      <c r="M130" s="7">
        <f>IF($A130="","",K130-L130)</f>
        <v/>
      </c>
      <c r="N130" s="7">
        <f>IF($A130="","",M130-F130)</f>
        <v/>
      </c>
      <c r="Q130" s="11" t="n"/>
      <c r="S130">
        <f>IF($A130="","",IF(AND(ISNUMBER($R130),NOT(ISLOGICAL($R130)),N($R130)&gt;1),$R130/100*1,IF($V130=1,Settings!$C$6,Settings!$C$7)*1))</f>
        <v/>
      </c>
      <c r="T130">
        <f>IF($A130="","",IF(COUNTIF($A$2:$A130,$A130)=1,1,0))</f>
        <v/>
      </c>
      <c r="U130">
        <f>IF($T130=1,SUMPRODUCT(--($W$2:$W$1001&lt;$W130))+1,"")</f>
        <v/>
      </c>
      <c r="V130">
        <f>IF($A130="","",IF(AND(ISNUMBER($R130),NOT(ISLOGICAL($R130)),N($R130)&gt;1),IF(ABS($R130/100-Settings!$C$6)&lt;=ABS($R130/100-Settings!$C$7),1,0),IF(OR($R130=TRUE(),$R130="TRUE"),1,0)))</f>
        <v/>
      </c>
      <c r="W130">
        <f>IF($T130=1,IFERROR(IF(VALUE($A130)&lt;100000000,VALUE($A130),1000000000),IFERROR(IF(VALUE(MID($A130,2,20))&lt;100000000,VALUE(MID($A130,2,20)),1000000000),1000000000))+ROW()/100000,"")</f>
        <v/>
      </c>
    </row>
    <row r="131">
      <c r="F131" s="7">
        <f>IF($A131="","",E131*K131/100)</f>
        <v/>
      </c>
      <c r="J131" s="7" t="n"/>
      <c r="K131" s="7" t="n"/>
      <c r="L131" s="7">
        <f>IF($A131="","",S131*K131)</f>
        <v/>
      </c>
      <c r="M131" s="7">
        <f>IF($A131="","",K131-L131)</f>
        <v/>
      </c>
      <c r="N131" s="7">
        <f>IF($A131="","",M131-F131)</f>
        <v/>
      </c>
      <c r="Q131" s="11" t="n"/>
      <c r="S131">
        <f>IF($A131="","",IF(AND(ISNUMBER($R131),NOT(ISLOGICAL($R131)),N($R131)&gt;1),$R131/100*1,IF($V131=1,Settings!$C$6,Settings!$C$7)*1))</f>
        <v/>
      </c>
      <c r="T131">
        <f>IF($A131="","",IF(COUNTIF($A$2:$A131,$A131)=1,1,0))</f>
        <v/>
      </c>
      <c r="U131">
        <f>IF($T131=1,SUMPRODUCT(--($W$2:$W$1001&lt;$W131))+1,"")</f>
        <v/>
      </c>
      <c r="V131">
        <f>IF($A131="","",IF(AND(ISNUMBER($R131),NOT(ISLOGICAL($R131)),N($R131)&gt;1),IF(ABS($R131/100-Settings!$C$6)&lt;=ABS($R131/100-Settings!$C$7),1,0),IF(OR($R131=TRUE(),$R131="TRUE"),1,0)))</f>
        <v/>
      </c>
      <c r="W131">
        <f>IF($T131=1,IFERROR(IF(VALUE($A131)&lt;100000000,VALUE($A131),1000000000),IFERROR(IF(VALUE(MID($A131,2,20))&lt;100000000,VALUE(MID($A131,2,20)),1000000000),1000000000))+ROW()/100000,"")</f>
        <v/>
      </c>
    </row>
    <row r="132">
      <c r="F132" s="7">
        <f>IF($A132="","",E132*K132/100)</f>
        <v/>
      </c>
      <c r="J132" s="7" t="n"/>
      <c r="K132" s="7" t="n"/>
      <c r="L132" s="7">
        <f>IF($A132="","",S132*K132)</f>
        <v/>
      </c>
      <c r="M132" s="7">
        <f>IF($A132="","",K132-L132)</f>
        <v/>
      </c>
      <c r="N132" s="7">
        <f>IF($A132="","",M132-F132)</f>
        <v/>
      </c>
      <c r="Q132" s="11" t="n"/>
      <c r="S132">
        <f>IF($A132="","",IF(AND(ISNUMBER($R132),NOT(ISLOGICAL($R132)),N($R132)&gt;1),$R132/100*1,IF($V132=1,Settings!$C$6,Settings!$C$7)*1))</f>
        <v/>
      </c>
      <c r="T132">
        <f>IF($A132="","",IF(COUNTIF($A$2:$A132,$A132)=1,1,0))</f>
        <v/>
      </c>
      <c r="U132">
        <f>IF($T132=1,SUMPRODUCT(--($W$2:$W$1001&lt;$W132))+1,"")</f>
        <v/>
      </c>
      <c r="V132">
        <f>IF($A132="","",IF(AND(ISNUMBER($R132),NOT(ISLOGICAL($R132)),N($R132)&gt;1),IF(ABS($R132/100-Settings!$C$6)&lt;=ABS($R132/100-Settings!$C$7),1,0),IF(OR($R132=TRUE(),$R132="TRUE"),1,0)))</f>
        <v/>
      </c>
      <c r="W132">
        <f>IF($T132=1,IFERROR(IF(VALUE($A132)&lt;100000000,VALUE($A132),1000000000),IFERROR(IF(VALUE(MID($A132,2,20))&lt;100000000,VALUE(MID($A132,2,20)),1000000000),1000000000))+ROW()/100000,"")</f>
        <v/>
      </c>
    </row>
    <row r="133">
      <c r="F133" s="7">
        <f>IF($A133="","",E133*K133/100)</f>
        <v/>
      </c>
      <c r="J133" s="7" t="n"/>
      <c r="K133" s="7" t="n"/>
      <c r="L133" s="7">
        <f>IF($A133="","",S133*K133)</f>
        <v/>
      </c>
      <c r="M133" s="7">
        <f>IF($A133="","",K133-L133)</f>
        <v/>
      </c>
      <c r="N133" s="7">
        <f>IF($A133="","",M133-F133)</f>
        <v/>
      </c>
      <c r="Q133" s="11" t="n"/>
      <c r="S133">
        <f>IF($A133="","",IF(AND(ISNUMBER($R133),NOT(ISLOGICAL($R133)),N($R133)&gt;1),$R133/100*1,IF($V133=1,Settings!$C$6,Settings!$C$7)*1))</f>
        <v/>
      </c>
      <c r="T133">
        <f>IF($A133="","",IF(COUNTIF($A$2:$A133,$A133)=1,1,0))</f>
        <v/>
      </c>
      <c r="U133">
        <f>IF($T133=1,SUMPRODUCT(--($W$2:$W$1001&lt;$W133))+1,"")</f>
        <v/>
      </c>
      <c r="V133">
        <f>IF($A133="","",IF(AND(ISNUMBER($R133),NOT(ISLOGICAL($R133)),N($R133)&gt;1),IF(ABS($R133/100-Settings!$C$6)&lt;=ABS($R133/100-Settings!$C$7),1,0),IF(OR($R133=TRUE(),$R133="TRUE"),1,0)))</f>
        <v/>
      </c>
      <c r="W133">
        <f>IF($T133=1,IFERROR(IF(VALUE($A133)&lt;100000000,VALUE($A133),1000000000),IFERROR(IF(VALUE(MID($A133,2,20))&lt;100000000,VALUE(MID($A133,2,20)),1000000000),1000000000))+ROW()/100000,"")</f>
        <v/>
      </c>
    </row>
    <row r="134">
      <c r="F134" s="7">
        <f>IF($A134="","",E134*K134/100)</f>
        <v/>
      </c>
      <c r="J134" s="7" t="n"/>
      <c r="K134" s="7" t="n"/>
      <c r="L134" s="7">
        <f>IF($A134="","",S134*K134)</f>
        <v/>
      </c>
      <c r="M134" s="7">
        <f>IF($A134="","",K134-L134)</f>
        <v/>
      </c>
      <c r="N134" s="7">
        <f>IF($A134="","",M134-F134)</f>
        <v/>
      </c>
      <c r="Q134" s="11" t="n"/>
      <c r="S134">
        <f>IF($A134="","",IF(AND(ISNUMBER($R134),NOT(ISLOGICAL($R134)),N($R134)&gt;1),$R134/100*1,IF($V134=1,Settings!$C$6,Settings!$C$7)*1))</f>
        <v/>
      </c>
      <c r="T134">
        <f>IF($A134="","",IF(COUNTIF($A$2:$A134,$A134)=1,1,0))</f>
        <v/>
      </c>
      <c r="U134">
        <f>IF($T134=1,SUMPRODUCT(--($W$2:$W$1001&lt;$W134))+1,"")</f>
        <v/>
      </c>
      <c r="V134">
        <f>IF($A134="","",IF(AND(ISNUMBER($R134),NOT(ISLOGICAL($R134)),N($R134)&gt;1),IF(ABS($R134/100-Settings!$C$6)&lt;=ABS($R134/100-Settings!$C$7),1,0),IF(OR($R134=TRUE(),$R134="TRUE"),1,0)))</f>
        <v/>
      </c>
      <c r="W134">
        <f>IF($T134=1,IFERROR(IF(VALUE($A134)&lt;100000000,VALUE($A134),1000000000),IFERROR(IF(VALUE(MID($A134,2,20))&lt;100000000,VALUE(MID($A134,2,20)),1000000000),1000000000))+ROW()/100000,"")</f>
        <v/>
      </c>
    </row>
    <row r="135">
      <c r="F135" s="7">
        <f>IF($A135="","",E135*K135/100)</f>
        <v/>
      </c>
      <c r="J135" s="7" t="n"/>
      <c r="K135" s="7" t="n"/>
      <c r="L135" s="7">
        <f>IF($A135="","",S135*K135)</f>
        <v/>
      </c>
      <c r="M135" s="7">
        <f>IF($A135="","",K135-L135)</f>
        <v/>
      </c>
      <c r="N135" s="7">
        <f>IF($A135="","",M135-F135)</f>
        <v/>
      </c>
      <c r="Q135" s="11" t="n"/>
      <c r="S135">
        <f>IF($A135="","",IF(AND(ISNUMBER($R135),NOT(ISLOGICAL($R135)),N($R135)&gt;1),$R135/100*1,IF($V135=1,Settings!$C$6,Settings!$C$7)*1))</f>
        <v/>
      </c>
      <c r="T135">
        <f>IF($A135="","",IF(COUNTIF($A$2:$A135,$A135)=1,1,0))</f>
        <v/>
      </c>
      <c r="U135">
        <f>IF($T135=1,SUMPRODUCT(--($W$2:$W$1001&lt;$W135))+1,"")</f>
        <v/>
      </c>
      <c r="V135">
        <f>IF($A135="","",IF(AND(ISNUMBER($R135),NOT(ISLOGICAL($R135)),N($R135)&gt;1),IF(ABS($R135/100-Settings!$C$6)&lt;=ABS($R135/100-Settings!$C$7),1,0),IF(OR($R135=TRUE(),$R135="TRUE"),1,0)))</f>
        <v/>
      </c>
      <c r="W135">
        <f>IF($T135=1,IFERROR(IF(VALUE($A135)&lt;100000000,VALUE($A135),1000000000),IFERROR(IF(VALUE(MID($A135,2,20))&lt;100000000,VALUE(MID($A135,2,20)),1000000000),1000000000))+ROW()/100000,"")</f>
        <v/>
      </c>
    </row>
    <row r="136">
      <c r="F136" s="7">
        <f>IF($A136="","",E136*K136/100)</f>
        <v/>
      </c>
      <c r="J136" s="7" t="n"/>
      <c r="K136" s="7" t="n"/>
      <c r="L136" s="7">
        <f>IF($A136="","",S136*K136)</f>
        <v/>
      </c>
      <c r="M136" s="7">
        <f>IF($A136="","",K136-L136)</f>
        <v/>
      </c>
      <c r="N136" s="7">
        <f>IF($A136="","",M136-F136)</f>
        <v/>
      </c>
      <c r="Q136" s="11" t="n"/>
      <c r="S136">
        <f>IF($A136="","",IF(AND(ISNUMBER($R136),NOT(ISLOGICAL($R136)),N($R136)&gt;1),$R136/100*1,IF($V136=1,Settings!$C$6,Settings!$C$7)*1))</f>
        <v/>
      </c>
      <c r="T136">
        <f>IF($A136="","",IF(COUNTIF($A$2:$A136,$A136)=1,1,0))</f>
        <v/>
      </c>
      <c r="U136">
        <f>IF($T136=1,SUMPRODUCT(--($W$2:$W$1001&lt;$W136))+1,"")</f>
        <v/>
      </c>
      <c r="V136">
        <f>IF($A136="","",IF(AND(ISNUMBER($R136),NOT(ISLOGICAL($R136)),N($R136)&gt;1),IF(ABS($R136/100-Settings!$C$6)&lt;=ABS($R136/100-Settings!$C$7),1,0),IF(OR($R136=TRUE(),$R136="TRUE"),1,0)))</f>
        <v/>
      </c>
      <c r="W136">
        <f>IF($T136=1,IFERROR(IF(VALUE($A136)&lt;100000000,VALUE($A136),1000000000),IFERROR(IF(VALUE(MID($A136,2,20))&lt;100000000,VALUE(MID($A136,2,20)),1000000000),1000000000))+ROW()/100000,"")</f>
        <v/>
      </c>
    </row>
    <row r="137">
      <c r="F137" s="7">
        <f>IF($A137="","",E137*K137/100)</f>
        <v/>
      </c>
      <c r="J137" s="7" t="n"/>
      <c r="K137" s="7" t="n"/>
      <c r="L137" s="7">
        <f>IF($A137="","",S137*K137)</f>
        <v/>
      </c>
      <c r="M137" s="7">
        <f>IF($A137="","",K137-L137)</f>
        <v/>
      </c>
      <c r="N137" s="7">
        <f>IF($A137="","",M137-F137)</f>
        <v/>
      </c>
      <c r="Q137" s="11" t="n"/>
      <c r="S137">
        <f>IF($A137="","",IF(AND(ISNUMBER($R137),NOT(ISLOGICAL($R137)),N($R137)&gt;1),$R137/100*1,IF($V137=1,Settings!$C$6,Settings!$C$7)*1))</f>
        <v/>
      </c>
      <c r="T137">
        <f>IF($A137="","",IF(COUNTIF($A$2:$A137,$A137)=1,1,0))</f>
        <v/>
      </c>
      <c r="U137">
        <f>IF($T137=1,SUMPRODUCT(--($W$2:$W$1001&lt;$W137))+1,"")</f>
        <v/>
      </c>
      <c r="V137">
        <f>IF($A137="","",IF(AND(ISNUMBER($R137),NOT(ISLOGICAL($R137)),N($R137)&gt;1),IF(ABS($R137/100-Settings!$C$6)&lt;=ABS($R137/100-Settings!$C$7),1,0),IF(OR($R137=TRUE(),$R137="TRUE"),1,0)))</f>
        <v/>
      </c>
      <c r="W137">
        <f>IF($T137=1,IFERROR(IF(VALUE($A137)&lt;100000000,VALUE($A137),1000000000),IFERROR(IF(VALUE(MID($A137,2,20))&lt;100000000,VALUE(MID($A137,2,20)),1000000000),1000000000))+ROW()/100000,"")</f>
        <v/>
      </c>
    </row>
    <row r="138">
      <c r="F138" s="7">
        <f>IF($A138="","",E138*K138/100)</f>
        <v/>
      </c>
      <c r="J138" s="7" t="n"/>
      <c r="K138" s="7" t="n"/>
      <c r="L138" s="7">
        <f>IF($A138="","",S138*K138)</f>
        <v/>
      </c>
      <c r="M138" s="7">
        <f>IF($A138="","",K138-L138)</f>
        <v/>
      </c>
      <c r="N138" s="7">
        <f>IF($A138="","",M138-F138)</f>
        <v/>
      </c>
      <c r="Q138" s="11" t="n"/>
      <c r="S138">
        <f>IF($A138="","",IF(AND(ISNUMBER($R138),NOT(ISLOGICAL($R138)),N($R138)&gt;1),$R138/100*1,IF($V138=1,Settings!$C$6,Settings!$C$7)*1))</f>
        <v/>
      </c>
      <c r="T138">
        <f>IF($A138="","",IF(COUNTIF($A$2:$A138,$A138)=1,1,0))</f>
        <v/>
      </c>
      <c r="U138">
        <f>IF($T138=1,SUMPRODUCT(--($W$2:$W$1001&lt;$W138))+1,"")</f>
        <v/>
      </c>
      <c r="V138">
        <f>IF($A138="","",IF(AND(ISNUMBER($R138),NOT(ISLOGICAL($R138)),N($R138)&gt;1),IF(ABS($R138/100-Settings!$C$6)&lt;=ABS($R138/100-Settings!$C$7),1,0),IF(OR($R138=TRUE(),$R138="TRUE"),1,0)))</f>
        <v/>
      </c>
      <c r="W138">
        <f>IF($T138=1,IFERROR(IF(VALUE($A138)&lt;100000000,VALUE($A138),1000000000),IFERROR(IF(VALUE(MID($A138,2,20))&lt;100000000,VALUE(MID($A138,2,20)),1000000000),1000000000))+ROW()/100000,"")</f>
        <v/>
      </c>
    </row>
    <row r="139">
      <c r="F139" s="7">
        <f>IF($A139="","",E139*K139/100)</f>
        <v/>
      </c>
      <c r="J139" s="7" t="n"/>
      <c r="K139" s="7" t="n"/>
      <c r="L139" s="7">
        <f>IF($A139="","",S139*K139)</f>
        <v/>
      </c>
      <c r="M139" s="7">
        <f>IF($A139="","",K139-L139)</f>
        <v/>
      </c>
      <c r="N139" s="7">
        <f>IF($A139="","",M139-F139)</f>
        <v/>
      </c>
      <c r="Q139" s="11" t="n"/>
      <c r="S139">
        <f>IF($A139="","",IF(AND(ISNUMBER($R139),NOT(ISLOGICAL($R139)),N($R139)&gt;1),$R139/100*1,IF($V139=1,Settings!$C$6,Settings!$C$7)*1))</f>
        <v/>
      </c>
      <c r="T139">
        <f>IF($A139="","",IF(COUNTIF($A$2:$A139,$A139)=1,1,0))</f>
        <v/>
      </c>
      <c r="U139">
        <f>IF($T139=1,SUMPRODUCT(--($W$2:$W$1001&lt;$W139))+1,"")</f>
        <v/>
      </c>
      <c r="V139">
        <f>IF($A139="","",IF(AND(ISNUMBER($R139),NOT(ISLOGICAL($R139)),N($R139)&gt;1),IF(ABS($R139/100-Settings!$C$6)&lt;=ABS($R139/100-Settings!$C$7),1,0),IF(OR($R139=TRUE(),$R139="TRUE"),1,0)))</f>
        <v/>
      </c>
      <c r="W139">
        <f>IF($T139=1,IFERROR(IF(VALUE($A139)&lt;100000000,VALUE($A139),1000000000),IFERROR(IF(VALUE(MID($A139,2,20))&lt;100000000,VALUE(MID($A139,2,20)),1000000000),1000000000))+ROW()/100000,"")</f>
        <v/>
      </c>
    </row>
    <row r="140">
      <c r="F140" s="7">
        <f>IF($A140="","",E140*K140/100)</f>
        <v/>
      </c>
      <c r="J140" s="7" t="n"/>
      <c r="K140" s="7" t="n"/>
      <c r="L140" s="7">
        <f>IF($A140="","",S140*K140)</f>
        <v/>
      </c>
      <c r="M140" s="7">
        <f>IF($A140="","",K140-L140)</f>
        <v/>
      </c>
      <c r="N140" s="7">
        <f>IF($A140="","",M140-F140)</f>
        <v/>
      </c>
      <c r="Q140" s="11" t="n"/>
      <c r="S140">
        <f>IF($A140="","",IF(AND(ISNUMBER($R140),NOT(ISLOGICAL($R140)),N($R140)&gt;1),$R140/100*1,IF($V140=1,Settings!$C$6,Settings!$C$7)*1))</f>
        <v/>
      </c>
      <c r="T140">
        <f>IF($A140="","",IF(COUNTIF($A$2:$A140,$A140)=1,1,0))</f>
        <v/>
      </c>
      <c r="U140">
        <f>IF($T140=1,SUMPRODUCT(--($W$2:$W$1001&lt;$W140))+1,"")</f>
        <v/>
      </c>
      <c r="V140">
        <f>IF($A140="","",IF(AND(ISNUMBER($R140),NOT(ISLOGICAL($R140)),N($R140)&gt;1),IF(ABS($R140/100-Settings!$C$6)&lt;=ABS($R140/100-Settings!$C$7),1,0),IF(OR($R140=TRUE(),$R140="TRUE"),1,0)))</f>
        <v/>
      </c>
      <c r="W140">
        <f>IF($T140=1,IFERROR(IF(VALUE($A140)&lt;100000000,VALUE($A140),1000000000),IFERROR(IF(VALUE(MID($A140,2,20))&lt;100000000,VALUE(MID($A140,2,20)),1000000000),1000000000))+ROW()/100000,"")</f>
        <v/>
      </c>
    </row>
    <row r="141">
      <c r="F141" s="7">
        <f>IF($A141="","",E141*K141/100)</f>
        <v/>
      </c>
      <c r="J141" s="7" t="n"/>
      <c r="K141" s="7" t="n"/>
      <c r="L141" s="7">
        <f>IF($A141="","",S141*K141)</f>
        <v/>
      </c>
      <c r="M141" s="7">
        <f>IF($A141="","",K141-L141)</f>
        <v/>
      </c>
      <c r="N141" s="7">
        <f>IF($A141="","",M141-F141)</f>
        <v/>
      </c>
      <c r="Q141" s="11" t="n"/>
      <c r="S141">
        <f>IF($A141="","",IF(AND(ISNUMBER($R141),NOT(ISLOGICAL($R141)),N($R141)&gt;1),$R141/100*1,IF($V141=1,Settings!$C$6,Settings!$C$7)*1))</f>
        <v/>
      </c>
      <c r="T141">
        <f>IF($A141="","",IF(COUNTIF($A$2:$A141,$A141)=1,1,0))</f>
        <v/>
      </c>
      <c r="U141">
        <f>IF($T141=1,SUMPRODUCT(--($W$2:$W$1001&lt;$W141))+1,"")</f>
        <v/>
      </c>
      <c r="V141">
        <f>IF($A141="","",IF(AND(ISNUMBER($R141),NOT(ISLOGICAL($R141)),N($R141)&gt;1),IF(ABS($R141/100-Settings!$C$6)&lt;=ABS($R141/100-Settings!$C$7),1,0),IF(OR($R141=TRUE(),$R141="TRUE"),1,0)))</f>
        <v/>
      </c>
      <c r="W141">
        <f>IF($T141=1,IFERROR(IF(VALUE($A141)&lt;100000000,VALUE($A141),1000000000),IFERROR(IF(VALUE(MID($A141,2,20))&lt;100000000,VALUE(MID($A141,2,20)),1000000000),1000000000))+ROW()/100000,"")</f>
        <v/>
      </c>
    </row>
    <row r="142">
      <c r="F142" s="7">
        <f>IF($A142="","",E142*K142/100)</f>
        <v/>
      </c>
      <c r="J142" s="7" t="n"/>
      <c r="K142" s="7" t="n"/>
      <c r="L142" s="7">
        <f>IF($A142="","",S142*K142)</f>
        <v/>
      </c>
      <c r="M142" s="7">
        <f>IF($A142="","",K142-L142)</f>
        <v/>
      </c>
      <c r="N142" s="7">
        <f>IF($A142="","",M142-F142)</f>
        <v/>
      </c>
      <c r="Q142" s="11" t="n"/>
      <c r="S142">
        <f>IF($A142="","",IF(AND(ISNUMBER($R142),NOT(ISLOGICAL($R142)),N($R142)&gt;1),$R142/100*1,IF($V142=1,Settings!$C$6,Settings!$C$7)*1))</f>
        <v/>
      </c>
      <c r="T142">
        <f>IF($A142="","",IF(COUNTIF($A$2:$A142,$A142)=1,1,0))</f>
        <v/>
      </c>
      <c r="U142">
        <f>IF($T142=1,SUMPRODUCT(--($W$2:$W$1001&lt;$W142))+1,"")</f>
        <v/>
      </c>
      <c r="V142">
        <f>IF($A142="","",IF(AND(ISNUMBER($R142),NOT(ISLOGICAL($R142)),N($R142)&gt;1),IF(ABS($R142/100-Settings!$C$6)&lt;=ABS($R142/100-Settings!$C$7),1,0),IF(OR($R142=TRUE(),$R142="TRUE"),1,0)))</f>
        <v/>
      </c>
      <c r="W142">
        <f>IF($T142=1,IFERROR(IF(VALUE($A142)&lt;100000000,VALUE($A142),1000000000),IFERROR(IF(VALUE(MID($A142,2,20))&lt;100000000,VALUE(MID($A142,2,20)),1000000000),1000000000))+ROW()/100000,"")</f>
        <v/>
      </c>
    </row>
    <row r="143">
      <c r="F143" s="7">
        <f>IF($A143="","",E143*K143/100)</f>
        <v/>
      </c>
      <c r="J143" s="7" t="n"/>
      <c r="K143" s="7" t="n"/>
      <c r="L143" s="7">
        <f>IF($A143="","",S143*K143)</f>
        <v/>
      </c>
      <c r="M143" s="7">
        <f>IF($A143="","",K143-L143)</f>
        <v/>
      </c>
      <c r="N143" s="7">
        <f>IF($A143="","",M143-F143)</f>
        <v/>
      </c>
      <c r="Q143" s="11" t="n"/>
      <c r="S143">
        <f>IF($A143="","",IF(AND(ISNUMBER($R143),NOT(ISLOGICAL($R143)),N($R143)&gt;1),$R143/100*1,IF($V143=1,Settings!$C$6,Settings!$C$7)*1))</f>
        <v/>
      </c>
      <c r="T143">
        <f>IF($A143="","",IF(COUNTIF($A$2:$A143,$A143)=1,1,0))</f>
        <v/>
      </c>
      <c r="U143">
        <f>IF($T143=1,SUMPRODUCT(--($W$2:$W$1001&lt;$W143))+1,"")</f>
        <v/>
      </c>
      <c r="V143">
        <f>IF($A143="","",IF(AND(ISNUMBER($R143),NOT(ISLOGICAL($R143)),N($R143)&gt;1),IF(ABS($R143/100-Settings!$C$6)&lt;=ABS($R143/100-Settings!$C$7),1,0),IF(OR($R143=TRUE(),$R143="TRUE"),1,0)))</f>
        <v/>
      </c>
      <c r="W143">
        <f>IF($T143=1,IFERROR(IF(VALUE($A143)&lt;100000000,VALUE($A143),1000000000),IFERROR(IF(VALUE(MID($A143,2,20))&lt;100000000,VALUE(MID($A143,2,20)),1000000000),1000000000))+ROW()/100000,"")</f>
        <v/>
      </c>
    </row>
    <row r="144">
      <c r="F144" s="7">
        <f>IF($A144="","",E144*K144/100)</f>
        <v/>
      </c>
      <c r="J144" s="7" t="n"/>
      <c r="K144" s="7" t="n"/>
      <c r="L144" s="7">
        <f>IF($A144="","",S144*K144)</f>
        <v/>
      </c>
      <c r="M144" s="7">
        <f>IF($A144="","",K144-L144)</f>
        <v/>
      </c>
      <c r="N144" s="7">
        <f>IF($A144="","",M144-F144)</f>
        <v/>
      </c>
      <c r="Q144" s="11" t="n"/>
      <c r="S144">
        <f>IF($A144="","",IF(AND(ISNUMBER($R144),NOT(ISLOGICAL($R144)),N($R144)&gt;1),$R144/100*1,IF($V144=1,Settings!$C$6,Settings!$C$7)*1))</f>
        <v/>
      </c>
      <c r="T144">
        <f>IF($A144="","",IF(COUNTIF($A$2:$A144,$A144)=1,1,0))</f>
        <v/>
      </c>
      <c r="U144">
        <f>IF($T144=1,SUMPRODUCT(--($W$2:$W$1001&lt;$W144))+1,"")</f>
        <v/>
      </c>
      <c r="V144">
        <f>IF($A144="","",IF(AND(ISNUMBER($R144),NOT(ISLOGICAL($R144)),N($R144)&gt;1),IF(ABS($R144/100-Settings!$C$6)&lt;=ABS($R144/100-Settings!$C$7),1,0),IF(OR($R144=TRUE(),$R144="TRUE"),1,0)))</f>
        <v/>
      </c>
      <c r="W144">
        <f>IF($T144=1,IFERROR(IF(VALUE($A144)&lt;100000000,VALUE($A144),1000000000),IFERROR(IF(VALUE(MID($A144,2,20))&lt;100000000,VALUE(MID($A144,2,20)),1000000000),1000000000))+ROW()/100000,"")</f>
        <v/>
      </c>
    </row>
    <row r="145">
      <c r="F145" s="7">
        <f>IF($A145="","",E145*K145/100)</f>
        <v/>
      </c>
      <c r="J145" s="7" t="n"/>
      <c r="K145" s="7" t="n"/>
      <c r="L145" s="7">
        <f>IF($A145="","",S145*K145)</f>
        <v/>
      </c>
      <c r="M145" s="7">
        <f>IF($A145="","",K145-L145)</f>
        <v/>
      </c>
      <c r="N145" s="7">
        <f>IF($A145="","",M145-F145)</f>
        <v/>
      </c>
      <c r="Q145" s="11" t="n"/>
      <c r="S145">
        <f>IF($A145="","",IF(AND(ISNUMBER($R145),NOT(ISLOGICAL($R145)),N($R145)&gt;1),$R145/100*1,IF($V145=1,Settings!$C$6,Settings!$C$7)*1))</f>
        <v/>
      </c>
      <c r="T145">
        <f>IF($A145="","",IF(COUNTIF($A$2:$A145,$A145)=1,1,0))</f>
        <v/>
      </c>
      <c r="U145">
        <f>IF($T145=1,SUMPRODUCT(--($W$2:$W$1001&lt;$W145))+1,"")</f>
        <v/>
      </c>
      <c r="V145">
        <f>IF($A145="","",IF(AND(ISNUMBER($R145),NOT(ISLOGICAL($R145)),N($R145)&gt;1),IF(ABS($R145/100-Settings!$C$6)&lt;=ABS($R145/100-Settings!$C$7),1,0),IF(OR($R145=TRUE(),$R145="TRUE"),1,0)))</f>
        <v/>
      </c>
      <c r="W145">
        <f>IF($T145=1,IFERROR(IF(VALUE($A145)&lt;100000000,VALUE($A145),1000000000),IFERROR(IF(VALUE(MID($A145,2,20))&lt;100000000,VALUE(MID($A145,2,20)),1000000000),1000000000))+ROW()/100000,"")</f>
        <v/>
      </c>
    </row>
    <row r="146">
      <c r="F146" s="7">
        <f>IF($A146="","",E146*K146/100)</f>
        <v/>
      </c>
      <c r="J146" s="7" t="n"/>
      <c r="K146" s="7" t="n"/>
      <c r="L146" s="7">
        <f>IF($A146="","",S146*K146)</f>
        <v/>
      </c>
      <c r="M146" s="7">
        <f>IF($A146="","",K146-L146)</f>
        <v/>
      </c>
      <c r="N146" s="7">
        <f>IF($A146="","",M146-F146)</f>
        <v/>
      </c>
      <c r="Q146" s="11" t="n"/>
      <c r="S146">
        <f>IF($A146="","",IF(AND(ISNUMBER($R146),NOT(ISLOGICAL($R146)),N($R146)&gt;1),$R146/100*1,IF($V146=1,Settings!$C$6,Settings!$C$7)*1))</f>
        <v/>
      </c>
      <c r="T146">
        <f>IF($A146="","",IF(COUNTIF($A$2:$A146,$A146)=1,1,0))</f>
        <v/>
      </c>
      <c r="U146">
        <f>IF($T146=1,SUMPRODUCT(--($W$2:$W$1001&lt;$W146))+1,"")</f>
        <v/>
      </c>
      <c r="V146">
        <f>IF($A146="","",IF(AND(ISNUMBER($R146),NOT(ISLOGICAL($R146)),N($R146)&gt;1),IF(ABS($R146/100-Settings!$C$6)&lt;=ABS($R146/100-Settings!$C$7),1,0),IF(OR($R146=TRUE(),$R146="TRUE"),1,0)))</f>
        <v/>
      </c>
      <c r="W146">
        <f>IF($T146=1,IFERROR(IF(VALUE($A146)&lt;100000000,VALUE($A146),1000000000),IFERROR(IF(VALUE(MID($A146,2,20))&lt;100000000,VALUE(MID($A146,2,20)),1000000000),1000000000))+ROW()/100000,"")</f>
        <v/>
      </c>
    </row>
    <row r="147">
      <c r="F147" s="7">
        <f>IF($A147="","",E147*K147/100)</f>
        <v/>
      </c>
      <c r="J147" s="7" t="n"/>
      <c r="K147" s="7" t="n"/>
      <c r="L147" s="7">
        <f>IF($A147="","",S147*K147)</f>
        <v/>
      </c>
      <c r="M147" s="7">
        <f>IF($A147="","",K147-L147)</f>
        <v/>
      </c>
      <c r="N147" s="7">
        <f>IF($A147="","",M147-F147)</f>
        <v/>
      </c>
      <c r="Q147" s="11" t="n"/>
      <c r="S147">
        <f>IF($A147="","",IF(AND(ISNUMBER($R147),NOT(ISLOGICAL($R147)),N($R147)&gt;1),$R147/100*1,IF($V147=1,Settings!$C$6,Settings!$C$7)*1))</f>
        <v/>
      </c>
      <c r="T147">
        <f>IF($A147="","",IF(COUNTIF($A$2:$A147,$A147)=1,1,0))</f>
        <v/>
      </c>
      <c r="U147">
        <f>IF($T147=1,SUMPRODUCT(--($W$2:$W$1001&lt;$W147))+1,"")</f>
        <v/>
      </c>
      <c r="V147">
        <f>IF($A147="","",IF(AND(ISNUMBER($R147),NOT(ISLOGICAL($R147)),N($R147)&gt;1),IF(ABS($R147/100-Settings!$C$6)&lt;=ABS($R147/100-Settings!$C$7),1,0),IF(OR($R147=TRUE(),$R147="TRUE"),1,0)))</f>
        <v/>
      </c>
      <c r="W147">
        <f>IF($T147=1,IFERROR(IF(VALUE($A147)&lt;100000000,VALUE($A147),1000000000),IFERROR(IF(VALUE(MID($A147,2,20))&lt;100000000,VALUE(MID($A147,2,20)),1000000000),1000000000))+ROW()/100000,"")</f>
        <v/>
      </c>
    </row>
    <row r="148">
      <c r="F148" s="7">
        <f>IF($A148="","",E148*K148/100)</f>
        <v/>
      </c>
      <c r="J148" s="7" t="n"/>
      <c r="K148" s="7" t="n"/>
      <c r="L148" s="7">
        <f>IF($A148="","",S148*K148)</f>
        <v/>
      </c>
      <c r="M148" s="7">
        <f>IF($A148="","",K148-L148)</f>
        <v/>
      </c>
      <c r="N148" s="7">
        <f>IF($A148="","",M148-F148)</f>
        <v/>
      </c>
      <c r="Q148" s="11" t="n"/>
      <c r="S148">
        <f>IF($A148="","",IF(AND(ISNUMBER($R148),NOT(ISLOGICAL($R148)),N($R148)&gt;1),$R148/100*1,IF($V148=1,Settings!$C$6,Settings!$C$7)*1))</f>
        <v/>
      </c>
      <c r="T148">
        <f>IF($A148="","",IF(COUNTIF($A$2:$A148,$A148)=1,1,0))</f>
        <v/>
      </c>
      <c r="U148">
        <f>IF($T148=1,SUMPRODUCT(--($W$2:$W$1001&lt;$W148))+1,"")</f>
        <v/>
      </c>
      <c r="V148">
        <f>IF($A148="","",IF(AND(ISNUMBER($R148),NOT(ISLOGICAL($R148)),N($R148)&gt;1),IF(ABS($R148/100-Settings!$C$6)&lt;=ABS($R148/100-Settings!$C$7),1,0),IF(OR($R148=TRUE(),$R148="TRUE"),1,0)))</f>
        <v/>
      </c>
      <c r="W148">
        <f>IF($T148=1,IFERROR(IF(VALUE($A148)&lt;100000000,VALUE($A148),1000000000),IFERROR(IF(VALUE(MID($A148,2,20))&lt;100000000,VALUE(MID($A148,2,20)),1000000000),1000000000))+ROW()/100000,"")</f>
        <v/>
      </c>
    </row>
    <row r="149">
      <c r="F149" s="7">
        <f>IF($A149="","",E149*K149/100)</f>
        <v/>
      </c>
      <c r="J149" s="7" t="n"/>
      <c r="K149" s="7" t="n"/>
      <c r="L149" s="7">
        <f>IF($A149="","",S149*K149)</f>
        <v/>
      </c>
      <c r="M149" s="7">
        <f>IF($A149="","",K149-L149)</f>
        <v/>
      </c>
      <c r="N149" s="7">
        <f>IF($A149="","",M149-F149)</f>
        <v/>
      </c>
      <c r="Q149" s="11" t="n"/>
      <c r="S149">
        <f>IF($A149="","",IF(AND(ISNUMBER($R149),NOT(ISLOGICAL($R149)),N($R149)&gt;1),$R149/100*1,IF($V149=1,Settings!$C$6,Settings!$C$7)*1))</f>
        <v/>
      </c>
      <c r="T149">
        <f>IF($A149="","",IF(COUNTIF($A$2:$A149,$A149)=1,1,0))</f>
        <v/>
      </c>
      <c r="U149">
        <f>IF($T149=1,SUMPRODUCT(--($W$2:$W$1001&lt;$W149))+1,"")</f>
        <v/>
      </c>
      <c r="V149">
        <f>IF($A149="","",IF(AND(ISNUMBER($R149),NOT(ISLOGICAL($R149)),N($R149)&gt;1),IF(ABS($R149/100-Settings!$C$6)&lt;=ABS($R149/100-Settings!$C$7),1,0),IF(OR($R149=TRUE(),$R149="TRUE"),1,0)))</f>
        <v/>
      </c>
      <c r="W149">
        <f>IF($T149=1,IFERROR(IF(VALUE($A149)&lt;100000000,VALUE($A149),1000000000),IFERROR(IF(VALUE(MID($A149,2,20))&lt;100000000,VALUE(MID($A149,2,20)),1000000000),1000000000))+ROW()/100000,"")</f>
        <v/>
      </c>
    </row>
    <row r="150">
      <c r="F150" s="7">
        <f>IF($A150="","",E150*K150/100)</f>
        <v/>
      </c>
      <c r="J150" s="7" t="n"/>
      <c r="K150" s="7" t="n"/>
      <c r="L150" s="7">
        <f>IF($A150="","",S150*K150)</f>
        <v/>
      </c>
      <c r="M150" s="7">
        <f>IF($A150="","",K150-L150)</f>
        <v/>
      </c>
      <c r="N150" s="7">
        <f>IF($A150="","",M150-F150)</f>
        <v/>
      </c>
      <c r="Q150" s="11" t="n"/>
      <c r="S150">
        <f>IF($A150="","",IF(AND(ISNUMBER($R150),NOT(ISLOGICAL($R150)),N($R150)&gt;1),$R150/100*1,IF($V150=1,Settings!$C$6,Settings!$C$7)*1))</f>
        <v/>
      </c>
      <c r="T150">
        <f>IF($A150="","",IF(COUNTIF($A$2:$A150,$A150)=1,1,0))</f>
        <v/>
      </c>
      <c r="U150">
        <f>IF($T150=1,SUMPRODUCT(--($W$2:$W$1001&lt;$W150))+1,"")</f>
        <v/>
      </c>
      <c r="V150">
        <f>IF($A150="","",IF(AND(ISNUMBER($R150),NOT(ISLOGICAL($R150)),N($R150)&gt;1),IF(ABS($R150/100-Settings!$C$6)&lt;=ABS($R150/100-Settings!$C$7),1,0),IF(OR($R150=TRUE(),$R150="TRUE"),1,0)))</f>
        <v/>
      </c>
      <c r="W150">
        <f>IF($T150=1,IFERROR(IF(VALUE($A150)&lt;100000000,VALUE($A150),1000000000),IFERROR(IF(VALUE(MID($A150,2,20))&lt;100000000,VALUE(MID($A150,2,20)),1000000000),1000000000))+ROW()/100000,"")</f>
        <v/>
      </c>
    </row>
    <row r="151">
      <c r="F151" s="7">
        <f>IF($A151="","",E151*K151/100)</f>
        <v/>
      </c>
      <c r="J151" s="7" t="n"/>
      <c r="K151" s="7" t="n"/>
      <c r="L151" s="7">
        <f>IF($A151="","",S151*K151)</f>
        <v/>
      </c>
      <c r="M151" s="7">
        <f>IF($A151="","",K151-L151)</f>
        <v/>
      </c>
      <c r="N151" s="7">
        <f>IF($A151="","",M151-F151)</f>
        <v/>
      </c>
      <c r="Q151" s="11" t="n"/>
      <c r="S151">
        <f>IF($A151="","",IF(AND(ISNUMBER($R151),NOT(ISLOGICAL($R151)),N($R151)&gt;1),$R151/100*1,IF($V151=1,Settings!$C$6,Settings!$C$7)*1))</f>
        <v/>
      </c>
      <c r="T151">
        <f>IF($A151="","",IF(COUNTIF($A$2:$A151,$A151)=1,1,0))</f>
        <v/>
      </c>
      <c r="U151">
        <f>IF($T151=1,SUMPRODUCT(--($W$2:$W$1001&lt;$W151))+1,"")</f>
        <v/>
      </c>
      <c r="V151">
        <f>IF($A151="","",IF(AND(ISNUMBER($R151),NOT(ISLOGICAL($R151)),N($R151)&gt;1),IF(ABS($R151/100-Settings!$C$6)&lt;=ABS($R151/100-Settings!$C$7),1,0),IF(OR($R151=TRUE(),$R151="TRUE"),1,0)))</f>
        <v/>
      </c>
      <c r="W151">
        <f>IF($T151=1,IFERROR(IF(VALUE($A151)&lt;100000000,VALUE($A151),1000000000),IFERROR(IF(VALUE(MID($A151,2,20))&lt;100000000,VALUE(MID($A151,2,20)),1000000000),1000000000))+ROW()/100000,"")</f>
        <v/>
      </c>
    </row>
    <row r="152">
      <c r="F152" s="7">
        <f>IF($A152="","",E152*K152/100)</f>
        <v/>
      </c>
      <c r="J152" s="7" t="n"/>
      <c r="K152" s="7" t="n"/>
      <c r="L152" s="7">
        <f>IF($A152="","",S152*K152)</f>
        <v/>
      </c>
      <c r="M152" s="7">
        <f>IF($A152="","",K152-L152)</f>
        <v/>
      </c>
      <c r="N152" s="7">
        <f>IF($A152="","",M152-F152)</f>
        <v/>
      </c>
      <c r="Q152" s="11" t="n"/>
      <c r="S152">
        <f>IF($A152="","",IF(AND(ISNUMBER($R152),NOT(ISLOGICAL($R152)),N($R152)&gt;1),$R152/100*1,IF($V152=1,Settings!$C$6,Settings!$C$7)*1))</f>
        <v/>
      </c>
      <c r="T152">
        <f>IF($A152="","",IF(COUNTIF($A$2:$A152,$A152)=1,1,0))</f>
        <v/>
      </c>
      <c r="U152">
        <f>IF($T152=1,SUMPRODUCT(--($W$2:$W$1001&lt;$W152))+1,"")</f>
        <v/>
      </c>
      <c r="V152">
        <f>IF($A152="","",IF(AND(ISNUMBER($R152),NOT(ISLOGICAL($R152)),N($R152)&gt;1),IF(ABS($R152/100-Settings!$C$6)&lt;=ABS($R152/100-Settings!$C$7),1,0),IF(OR($R152=TRUE(),$R152="TRUE"),1,0)))</f>
        <v/>
      </c>
      <c r="W152">
        <f>IF($T152=1,IFERROR(IF(VALUE($A152)&lt;100000000,VALUE($A152),1000000000),IFERROR(IF(VALUE(MID($A152,2,20))&lt;100000000,VALUE(MID($A152,2,20)),1000000000),1000000000))+ROW()/100000,"")</f>
        <v/>
      </c>
    </row>
    <row r="153">
      <c r="F153" s="7">
        <f>IF($A153="","",E153*K153/100)</f>
        <v/>
      </c>
      <c r="J153" s="7" t="n"/>
      <c r="K153" s="7" t="n"/>
      <c r="L153" s="7">
        <f>IF($A153="","",S153*K153)</f>
        <v/>
      </c>
      <c r="M153" s="7">
        <f>IF($A153="","",K153-L153)</f>
        <v/>
      </c>
      <c r="N153" s="7">
        <f>IF($A153="","",M153-F153)</f>
        <v/>
      </c>
      <c r="Q153" s="11" t="n"/>
      <c r="S153">
        <f>IF($A153="","",IF(AND(ISNUMBER($R153),NOT(ISLOGICAL($R153)),N($R153)&gt;1),$R153/100*1,IF($V153=1,Settings!$C$6,Settings!$C$7)*1))</f>
        <v/>
      </c>
      <c r="T153">
        <f>IF($A153="","",IF(COUNTIF($A$2:$A153,$A153)=1,1,0))</f>
        <v/>
      </c>
      <c r="U153">
        <f>IF($T153=1,SUMPRODUCT(--($W$2:$W$1001&lt;$W153))+1,"")</f>
        <v/>
      </c>
      <c r="V153">
        <f>IF($A153="","",IF(AND(ISNUMBER($R153),NOT(ISLOGICAL($R153)),N($R153)&gt;1),IF(ABS($R153/100-Settings!$C$6)&lt;=ABS($R153/100-Settings!$C$7),1,0),IF(OR($R153=TRUE(),$R153="TRUE"),1,0)))</f>
        <v/>
      </c>
      <c r="W153">
        <f>IF($T153=1,IFERROR(IF(VALUE($A153)&lt;100000000,VALUE($A153),1000000000),IFERROR(IF(VALUE(MID($A153,2,20))&lt;100000000,VALUE(MID($A153,2,20)),1000000000),1000000000))+ROW()/100000,"")</f>
        <v/>
      </c>
    </row>
    <row r="154">
      <c r="F154" s="7">
        <f>IF($A154="","",E154*K154/100)</f>
        <v/>
      </c>
      <c r="J154" s="7" t="n"/>
      <c r="K154" s="7" t="n"/>
      <c r="L154" s="7">
        <f>IF($A154="","",S154*K154)</f>
        <v/>
      </c>
      <c r="M154" s="7">
        <f>IF($A154="","",K154-L154)</f>
        <v/>
      </c>
      <c r="N154" s="7">
        <f>IF($A154="","",M154-F154)</f>
        <v/>
      </c>
      <c r="Q154" s="11" t="n"/>
      <c r="S154">
        <f>IF($A154="","",IF(AND(ISNUMBER($R154),NOT(ISLOGICAL($R154)),N($R154)&gt;1),$R154/100*1,IF($V154=1,Settings!$C$6,Settings!$C$7)*1))</f>
        <v/>
      </c>
      <c r="T154">
        <f>IF($A154="","",IF(COUNTIF($A$2:$A154,$A154)=1,1,0))</f>
        <v/>
      </c>
      <c r="U154">
        <f>IF($T154=1,SUMPRODUCT(--($W$2:$W$1001&lt;$W154))+1,"")</f>
        <v/>
      </c>
      <c r="V154">
        <f>IF($A154="","",IF(AND(ISNUMBER($R154),NOT(ISLOGICAL($R154)),N($R154)&gt;1),IF(ABS($R154/100-Settings!$C$6)&lt;=ABS($R154/100-Settings!$C$7),1,0),IF(OR($R154=TRUE(),$R154="TRUE"),1,0)))</f>
        <v/>
      </c>
      <c r="W154">
        <f>IF($T154=1,IFERROR(IF(VALUE($A154)&lt;100000000,VALUE($A154),1000000000),IFERROR(IF(VALUE(MID($A154,2,20))&lt;100000000,VALUE(MID($A154,2,20)),1000000000),1000000000))+ROW()/100000,"")</f>
        <v/>
      </c>
    </row>
    <row r="155">
      <c r="F155" s="7">
        <f>IF($A155="","",E155*K155/100)</f>
        <v/>
      </c>
      <c r="J155" s="7" t="n"/>
      <c r="K155" s="7" t="n"/>
      <c r="L155" s="7">
        <f>IF($A155="","",S155*K155)</f>
        <v/>
      </c>
      <c r="M155" s="7">
        <f>IF($A155="","",K155-L155)</f>
        <v/>
      </c>
      <c r="N155" s="7">
        <f>IF($A155="","",M155-F155)</f>
        <v/>
      </c>
      <c r="Q155" s="11" t="n"/>
      <c r="S155">
        <f>IF($A155="","",IF(AND(ISNUMBER($R155),NOT(ISLOGICAL($R155)),N($R155)&gt;1),$R155/100*1,IF($V155=1,Settings!$C$6,Settings!$C$7)*1))</f>
        <v/>
      </c>
      <c r="T155">
        <f>IF($A155="","",IF(COUNTIF($A$2:$A155,$A155)=1,1,0))</f>
        <v/>
      </c>
      <c r="U155">
        <f>IF($T155=1,SUMPRODUCT(--($W$2:$W$1001&lt;$W155))+1,"")</f>
        <v/>
      </c>
      <c r="V155">
        <f>IF($A155="","",IF(AND(ISNUMBER($R155),NOT(ISLOGICAL($R155)),N($R155)&gt;1),IF(ABS($R155/100-Settings!$C$6)&lt;=ABS($R155/100-Settings!$C$7),1,0),IF(OR($R155=TRUE(),$R155="TRUE"),1,0)))</f>
        <v/>
      </c>
      <c r="W155">
        <f>IF($T155=1,IFERROR(IF(VALUE($A155)&lt;100000000,VALUE($A155),1000000000),IFERROR(IF(VALUE(MID($A155,2,20))&lt;100000000,VALUE(MID($A155,2,20)),1000000000),1000000000))+ROW()/100000,"")</f>
        <v/>
      </c>
    </row>
    <row r="156">
      <c r="F156" s="7">
        <f>IF($A156="","",E156*K156/100)</f>
        <v/>
      </c>
      <c r="J156" s="7" t="n"/>
      <c r="K156" s="7" t="n"/>
      <c r="L156" s="7">
        <f>IF($A156="","",S156*K156)</f>
        <v/>
      </c>
      <c r="M156" s="7">
        <f>IF($A156="","",K156-L156)</f>
        <v/>
      </c>
      <c r="N156" s="7">
        <f>IF($A156="","",M156-F156)</f>
        <v/>
      </c>
      <c r="Q156" s="11" t="n"/>
      <c r="S156">
        <f>IF($A156="","",IF(AND(ISNUMBER($R156),NOT(ISLOGICAL($R156)),N($R156)&gt;1),$R156/100*1,IF($V156=1,Settings!$C$6,Settings!$C$7)*1))</f>
        <v/>
      </c>
      <c r="T156">
        <f>IF($A156="","",IF(COUNTIF($A$2:$A156,$A156)=1,1,0))</f>
        <v/>
      </c>
      <c r="U156">
        <f>IF($T156=1,SUMPRODUCT(--($W$2:$W$1001&lt;$W156))+1,"")</f>
        <v/>
      </c>
      <c r="V156">
        <f>IF($A156="","",IF(AND(ISNUMBER($R156),NOT(ISLOGICAL($R156)),N($R156)&gt;1),IF(ABS($R156/100-Settings!$C$6)&lt;=ABS($R156/100-Settings!$C$7),1,0),IF(OR($R156=TRUE(),$R156="TRUE"),1,0)))</f>
        <v/>
      </c>
      <c r="W156">
        <f>IF($T156=1,IFERROR(IF(VALUE($A156)&lt;100000000,VALUE($A156),1000000000),IFERROR(IF(VALUE(MID($A156,2,20))&lt;100000000,VALUE(MID($A156,2,20)),1000000000),1000000000))+ROW()/100000,"")</f>
        <v/>
      </c>
    </row>
    <row r="157">
      <c r="F157" s="7">
        <f>IF($A157="","",E157*K157/100)</f>
        <v/>
      </c>
      <c r="J157" s="7" t="n"/>
      <c r="K157" s="7" t="n"/>
      <c r="L157" s="7">
        <f>IF($A157="","",S157*K157)</f>
        <v/>
      </c>
      <c r="M157" s="7">
        <f>IF($A157="","",K157-L157)</f>
        <v/>
      </c>
      <c r="N157" s="7">
        <f>IF($A157="","",M157-F157)</f>
        <v/>
      </c>
      <c r="Q157" s="11" t="n"/>
      <c r="S157">
        <f>IF($A157="","",IF(AND(ISNUMBER($R157),NOT(ISLOGICAL($R157)),N($R157)&gt;1),$R157/100*1,IF($V157=1,Settings!$C$6,Settings!$C$7)*1))</f>
        <v/>
      </c>
      <c r="T157">
        <f>IF($A157="","",IF(COUNTIF($A$2:$A157,$A157)=1,1,0))</f>
        <v/>
      </c>
      <c r="U157">
        <f>IF($T157=1,SUMPRODUCT(--($W$2:$W$1001&lt;$W157))+1,"")</f>
        <v/>
      </c>
      <c r="V157">
        <f>IF($A157="","",IF(AND(ISNUMBER($R157),NOT(ISLOGICAL($R157)),N($R157)&gt;1),IF(ABS($R157/100-Settings!$C$6)&lt;=ABS($R157/100-Settings!$C$7),1,0),IF(OR($R157=TRUE(),$R157="TRUE"),1,0)))</f>
        <v/>
      </c>
      <c r="W157">
        <f>IF($T157=1,IFERROR(IF(VALUE($A157)&lt;100000000,VALUE($A157),1000000000),IFERROR(IF(VALUE(MID($A157,2,20))&lt;100000000,VALUE(MID($A157,2,20)),1000000000),1000000000))+ROW()/100000,"")</f>
        <v/>
      </c>
    </row>
    <row r="158">
      <c r="F158" s="7">
        <f>IF($A158="","",E158*K158/100)</f>
        <v/>
      </c>
      <c r="J158" s="7" t="n"/>
      <c r="K158" s="7" t="n"/>
      <c r="L158" s="7">
        <f>IF($A158="","",S158*K158)</f>
        <v/>
      </c>
      <c r="M158" s="7">
        <f>IF($A158="","",K158-L158)</f>
        <v/>
      </c>
      <c r="N158" s="7">
        <f>IF($A158="","",M158-F158)</f>
        <v/>
      </c>
      <c r="Q158" s="11" t="n"/>
      <c r="S158">
        <f>IF($A158="","",IF(AND(ISNUMBER($R158),NOT(ISLOGICAL($R158)),N($R158)&gt;1),$R158/100*1,IF($V158=1,Settings!$C$6,Settings!$C$7)*1))</f>
        <v/>
      </c>
      <c r="T158">
        <f>IF($A158="","",IF(COUNTIF($A$2:$A158,$A158)=1,1,0))</f>
        <v/>
      </c>
      <c r="U158">
        <f>IF($T158=1,SUMPRODUCT(--($W$2:$W$1001&lt;$W158))+1,"")</f>
        <v/>
      </c>
      <c r="V158">
        <f>IF($A158="","",IF(AND(ISNUMBER($R158),NOT(ISLOGICAL($R158)),N($R158)&gt;1),IF(ABS($R158/100-Settings!$C$6)&lt;=ABS($R158/100-Settings!$C$7),1,0),IF(OR($R158=TRUE(),$R158="TRUE"),1,0)))</f>
        <v/>
      </c>
      <c r="W158">
        <f>IF($T158=1,IFERROR(IF(VALUE($A158)&lt;100000000,VALUE($A158),1000000000),IFERROR(IF(VALUE(MID($A158,2,20))&lt;100000000,VALUE(MID($A158,2,20)),1000000000),1000000000))+ROW()/100000,"")</f>
        <v/>
      </c>
    </row>
    <row r="159">
      <c r="F159" s="7">
        <f>IF($A159="","",E159*K159/100)</f>
        <v/>
      </c>
      <c r="J159" s="7" t="n"/>
      <c r="K159" s="7" t="n"/>
      <c r="L159" s="7">
        <f>IF($A159="","",S159*K159)</f>
        <v/>
      </c>
      <c r="M159" s="7">
        <f>IF($A159="","",K159-L159)</f>
        <v/>
      </c>
      <c r="N159" s="7">
        <f>IF($A159="","",M159-F159)</f>
        <v/>
      </c>
      <c r="Q159" s="11" t="n"/>
      <c r="S159">
        <f>IF($A159="","",IF(AND(ISNUMBER($R159),NOT(ISLOGICAL($R159)),N($R159)&gt;1),$R159/100*1,IF($V159=1,Settings!$C$6,Settings!$C$7)*1))</f>
        <v/>
      </c>
      <c r="T159">
        <f>IF($A159="","",IF(COUNTIF($A$2:$A159,$A159)=1,1,0))</f>
        <v/>
      </c>
      <c r="U159">
        <f>IF($T159=1,SUMPRODUCT(--($W$2:$W$1001&lt;$W159))+1,"")</f>
        <v/>
      </c>
      <c r="V159">
        <f>IF($A159="","",IF(AND(ISNUMBER($R159),NOT(ISLOGICAL($R159)),N($R159)&gt;1),IF(ABS($R159/100-Settings!$C$6)&lt;=ABS($R159/100-Settings!$C$7),1,0),IF(OR($R159=TRUE(),$R159="TRUE"),1,0)))</f>
        <v/>
      </c>
      <c r="W159">
        <f>IF($T159=1,IFERROR(IF(VALUE($A159)&lt;100000000,VALUE($A159),1000000000),IFERROR(IF(VALUE(MID($A159,2,20))&lt;100000000,VALUE(MID($A159,2,20)),1000000000),1000000000))+ROW()/100000,"")</f>
        <v/>
      </c>
    </row>
    <row r="160">
      <c r="F160" s="7">
        <f>IF($A160="","",E160*K160/100)</f>
        <v/>
      </c>
      <c r="J160" s="7" t="n"/>
      <c r="K160" s="7" t="n"/>
      <c r="L160" s="7">
        <f>IF($A160="","",S160*K160)</f>
        <v/>
      </c>
      <c r="M160" s="7">
        <f>IF($A160="","",K160-L160)</f>
        <v/>
      </c>
      <c r="N160" s="7">
        <f>IF($A160="","",M160-F160)</f>
        <v/>
      </c>
      <c r="Q160" s="11" t="n"/>
      <c r="S160">
        <f>IF($A160="","",IF(AND(ISNUMBER($R160),NOT(ISLOGICAL($R160)),N($R160)&gt;1),$R160/100*1,IF($V160=1,Settings!$C$6,Settings!$C$7)*1))</f>
        <v/>
      </c>
      <c r="T160">
        <f>IF($A160="","",IF(COUNTIF($A$2:$A160,$A160)=1,1,0))</f>
        <v/>
      </c>
      <c r="U160">
        <f>IF($T160=1,SUMPRODUCT(--($W$2:$W$1001&lt;$W160))+1,"")</f>
        <v/>
      </c>
      <c r="V160">
        <f>IF($A160="","",IF(AND(ISNUMBER($R160),NOT(ISLOGICAL($R160)),N($R160)&gt;1),IF(ABS($R160/100-Settings!$C$6)&lt;=ABS($R160/100-Settings!$C$7),1,0),IF(OR($R160=TRUE(),$R160="TRUE"),1,0)))</f>
        <v/>
      </c>
      <c r="W160">
        <f>IF($T160=1,IFERROR(IF(VALUE($A160)&lt;100000000,VALUE($A160),1000000000),IFERROR(IF(VALUE(MID($A160,2,20))&lt;100000000,VALUE(MID($A160,2,20)),1000000000),1000000000))+ROW()/100000,"")</f>
        <v/>
      </c>
    </row>
    <row r="161">
      <c r="F161" s="7">
        <f>IF($A161="","",E161*K161/100)</f>
        <v/>
      </c>
      <c r="J161" s="7" t="n"/>
      <c r="K161" s="7" t="n"/>
      <c r="L161" s="7">
        <f>IF($A161="","",S161*K161)</f>
        <v/>
      </c>
      <c r="M161" s="7">
        <f>IF($A161="","",K161-L161)</f>
        <v/>
      </c>
      <c r="N161" s="7">
        <f>IF($A161="","",M161-F161)</f>
        <v/>
      </c>
      <c r="Q161" s="11" t="n"/>
      <c r="S161">
        <f>IF($A161="","",IF(AND(ISNUMBER($R161),NOT(ISLOGICAL($R161)),N($R161)&gt;1),$R161/100*1,IF($V161=1,Settings!$C$6,Settings!$C$7)*1))</f>
        <v/>
      </c>
      <c r="T161">
        <f>IF($A161="","",IF(COUNTIF($A$2:$A161,$A161)=1,1,0))</f>
        <v/>
      </c>
      <c r="U161">
        <f>IF($T161=1,SUMPRODUCT(--($W$2:$W$1001&lt;$W161))+1,"")</f>
        <v/>
      </c>
      <c r="V161">
        <f>IF($A161="","",IF(AND(ISNUMBER($R161),NOT(ISLOGICAL($R161)),N($R161)&gt;1),IF(ABS($R161/100-Settings!$C$6)&lt;=ABS($R161/100-Settings!$C$7),1,0),IF(OR($R161=TRUE(),$R161="TRUE"),1,0)))</f>
        <v/>
      </c>
      <c r="W161">
        <f>IF($T161=1,IFERROR(IF(VALUE($A161)&lt;100000000,VALUE($A161),1000000000),IFERROR(IF(VALUE(MID($A161,2,20))&lt;100000000,VALUE(MID($A161,2,20)),1000000000),1000000000))+ROW()/100000,"")</f>
        <v/>
      </c>
    </row>
    <row r="162">
      <c r="F162" s="7">
        <f>IF($A162="","",E162*K162/100)</f>
        <v/>
      </c>
      <c r="J162" s="7" t="n"/>
      <c r="K162" s="7" t="n"/>
      <c r="L162" s="7">
        <f>IF($A162="","",S162*K162)</f>
        <v/>
      </c>
      <c r="M162" s="7">
        <f>IF($A162="","",K162-L162)</f>
        <v/>
      </c>
      <c r="N162" s="7">
        <f>IF($A162="","",M162-F162)</f>
        <v/>
      </c>
      <c r="Q162" s="11" t="n"/>
      <c r="S162">
        <f>IF($A162="","",IF(AND(ISNUMBER($R162),NOT(ISLOGICAL($R162)),N($R162)&gt;1),$R162/100*1,IF($V162=1,Settings!$C$6,Settings!$C$7)*1))</f>
        <v/>
      </c>
      <c r="T162">
        <f>IF($A162="","",IF(COUNTIF($A$2:$A162,$A162)=1,1,0))</f>
        <v/>
      </c>
      <c r="U162">
        <f>IF($T162=1,SUMPRODUCT(--($W$2:$W$1001&lt;$W162))+1,"")</f>
        <v/>
      </c>
      <c r="V162">
        <f>IF($A162="","",IF(AND(ISNUMBER($R162),NOT(ISLOGICAL($R162)),N($R162)&gt;1),IF(ABS($R162/100-Settings!$C$6)&lt;=ABS($R162/100-Settings!$C$7),1,0),IF(OR($R162=TRUE(),$R162="TRUE"),1,0)))</f>
        <v/>
      </c>
      <c r="W162">
        <f>IF($T162=1,IFERROR(IF(VALUE($A162)&lt;100000000,VALUE($A162),1000000000),IFERROR(IF(VALUE(MID($A162,2,20))&lt;100000000,VALUE(MID($A162,2,20)),1000000000),1000000000))+ROW()/100000,"")</f>
        <v/>
      </c>
    </row>
    <row r="163">
      <c r="F163" s="7">
        <f>IF($A163="","",E163*K163/100)</f>
        <v/>
      </c>
      <c r="J163" s="7" t="n"/>
      <c r="K163" s="7" t="n"/>
      <c r="L163" s="7">
        <f>IF($A163="","",S163*K163)</f>
        <v/>
      </c>
      <c r="M163" s="7">
        <f>IF($A163="","",K163-L163)</f>
        <v/>
      </c>
      <c r="N163" s="7">
        <f>IF($A163="","",M163-F163)</f>
        <v/>
      </c>
      <c r="Q163" s="11" t="n"/>
      <c r="S163">
        <f>IF($A163="","",IF(AND(ISNUMBER($R163),NOT(ISLOGICAL($R163)),N($R163)&gt;1),$R163/100*1,IF($V163=1,Settings!$C$6,Settings!$C$7)*1))</f>
        <v/>
      </c>
      <c r="T163">
        <f>IF($A163="","",IF(COUNTIF($A$2:$A163,$A163)=1,1,0))</f>
        <v/>
      </c>
      <c r="U163">
        <f>IF($T163=1,SUMPRODUCT(--($W$2:$W$1001&lt;$W163))+1,"")</f>
        <v/>
      </c>
      <c r="V163">
        <f>IF($A163="","",IF(AND(ISNUMBER($R163),NOT(ISLOGICAL($R163)),N($R163)&gt;1),IF(ABS($R163/100-Settings!$C$6)&lt;=ABS($R163/100-Settings!$C$7),1,0),IF(OR($R163=TRUE(),$R163="TRUE"),1,0)))</f>
        <v/>
      </c>
      <c r="W163">
        <f>IF($T163=1,IFERROR(IF(VALUE($A163)&lt;100000000,VALUE($A163),1000000000),IFERROR(IF(VALUE(MID($A163,2,20))&lt;100000000,VALUE(MID($A163,2,20)),1000000000),1000000000))+ROW()/100000,"")</f>
        <v/>
      </c>
    </row>
    <row r="164">
      <c r="F164" s="7">
        <f>IF($A164="","",E164*K164/100)</f>
        <v/>
      </c>
      <c r="J164" s="7" t="n"/>
      <c r="K164" s="7" t="n"/>
      <c r="L164" s="7">
        <f>IF($A164="","",S164*K164)</f>
        <v/>
      </c>
      <c r="M164" s="7">
        <f>IF($A164="","",K164-L164)</f>
        <v/>
      </c>
      <c r="N164" s="7">
        <f>IF($A164="","",M164-F164)</f>
        <v/>
      </c>
      <c r="Q164" s="11" t="n"/>
      <c r="S164">
        <f>IF($A164="","",IF(AND(ISNUMBER($R164),NOT(ISLOGICAL($R164)),N($R164)&gt;1),$R164/100*1,IF($V164=1,Settings!$C$6,Settings!$C$7)*1))</f>
        <v/>
      </c>
      <c r="T164">
        <f>IF($A164="","",IF(COUNTIF($A$2:$A164,$A164)=1,1,0))</f>
        <v/>
      </c>
      <c r="U164">
        <f>IF($T164=1,SUMPRODUCT(--($W$2:$W$1001&lt;$W164))+1,"")</f>
        <v/>
      </c>
      <c r="V164">
        <f>IF($A164="","",IF(AND(ISNUMBER($R164),NOT(ISLOGICAL($R164)),N($R164)&gt;1),IF(ABS($R164/100-Settings!$C$6)&lt;=ABS($R164/100-Settings!$C$7),1,0),IF(OR($R164=TRUE(),$R164="TRUE"),1,0)))</f>
        <v/>
      </c>
      <c r="W164">
        <f>IF($T164=1,IFERROR(IF(VALUE($A164)&lt;100000000,VALUE($A164),1000000000),IFERROR(IF(VALUE(MID($A164,2,20))&lt;100000000,VALUE(MID($A164,2,20)),1000000000),1000000000))+ROW()/100000,"")</f>
        <v/>
      </c>
    </row>
    <row r="165">
      <c r="F165" s="7">
        <f>IF($A165="","",E165*K165/100)</f>
        <v/>
      </c>
      <c r="J165" s="7" t="n"/>
      <c r="K165" s="7" t="n"/>
      <c r="L165" s="7">
        <f>IF($A165="","",S165*K165)</f>
        <v/>
      </c>
      <c r="M165" s="7">
        <f>IF($A165="","",K165-L165)</f>
        <v/>
      </c>
      <c r="N165" s="7">
        <f>IF($A165="","",M165-F165)</f>
        <v/>
      </c>
      <c r="Q165" s="11" t="n"/>
      <c r="S165">
        <f>IF($A165="","",IF(AND(ISNUMBER($R165),NOT(ISLOGICAL($R165)),N($R165)&gt;1),$R165/100*1,IF($V165=1,Settings!$C$6,Settings!$C$7)*1))</f>
        <v/>
      </c>
      <c r="T165">
        <f>IF($A165="","",IF(COUNTIF($A$2:$A165,$A165)=1,1,0))</f>
        <v/>
      </c>
      <c r="U165">
        <f>IF($T165=1,SUMPRODUCT(--($W$2:$W$1001&lt;$W165))+1,"")</f>
        <v/>
      </c>
      <c r="V165">
        <f>IF($A165="","",IF(AND(ISNUMBER($R165),NOT(ISLOGICAL($R165)),N($R165)&gt;1),IF(ABS($R165/100-Settings!$C$6)&lt;=ABS($R165/100-Settings!$C$7),1,0),IF(OR($R165=TRUE(),$R165="TRUE"),1,0)))</f>
        <v/>
      </c>
      <c r="W165">
        <f>IF($T165=1,IFERROR(IF(VALUE($A165)&lt;100000000,VALUE($A165),1000000000),IFERROR(IF(VALUE(MID($A165,2,20))&lt;100000000,VALUE(MID($A165,2,20)),1000000000),1000000000))+ROW()/100000,"")</f>
        <v/>
      </c>
    </row>
    <row r="166">
      <c r="F166" s="7">
        <f>IF($A166="","",E166*K166/100)</f>
        <v/>
      </c>
      <c r="J166" s="7" t="n"/>
      <c r="K166" s="7" t="n"/>
      <c r="L166" s="7">
        <f>IF($A166="","",S166*K166)</f>
        <v/>
      </c>
      <c r="M166" s="7">
        <f>IF($A166="","",K166-L166)</f>
        <v/>
      </c>
      <c r="N166" s="7">
        <f>IF($A166="","",M166-F166)</f>
        <v/>
      </c>
      <c r="Q166" s="11" t="n"/>
      <c r="S166">
        <f>IF($A166="","",IF(AND(ISNUMBER($R166),NOT(ISLOGICAL($R166)),N($R166)&gt;1),$R166/100*1,IF($V166=1,Settings!$C$6,Settings!$C$7)*1))</f>
        <v/>
      </c>
      <c r="T166">
        <f>IF($A166="","",IF(COUNTIF($A$2:$A166,$A166)=1,1,0))</f>
        <v/>
      </c>
      <c r="U166">
        <f>IF($T166=1,SUMPRODUCT(--($W$2:$W$1001&lt;$W166))+1,"")</f>
        <v/>
      </c>
      <c r="V166">
        <f>IF($A166="","",IF(AND(ISNUMBER($R166),NOT(ISLOGICAL($R166)),N($R166)&gt;1),IF(ABS($R166/100-Settings!$C$6)&lt;=ABS($R166/100-Settings!$C$7),1,0),IF(OR($R166=TRUE(),$R166="TRUE"),1,0)))</f>
        <v/>
      </c>
      <c r="W166">
        <f>IF($T166=1,IFERROR(IF(VALUE($A166)&lt;100000000,VALUE($A166),1000000000),IFERROR(IF(VALUE(MID($A166,2,20))&lt;100000000,VALUE(MID($A166,2,20)),1000000000),1000000000))+ROW()/100000,"")</f>
        <v/>
      </c>
    </row>
    <row r="167">
      <c r="F167" s="7">
        <f>IF($A167="","",E167*K167/100)</f>
        <v/>
      </c>
      <c r="J167" s="7" t="n"/>
      <c r="K167" s="7" t="n"/>
      <c r="L167" s="7">
        <f>IF($A167="","",S167*K167)</f>
        <v/>
      </c>
      <c r="M167" s="7">
        <f>IF($A167="","",K167-L167)</f>
        <v/>
      </c>
      <c r="N167" s="7">
        <f>IF($A167="","",M167-F167)</f>
        <v/>
      </c>
      <c r="Q167" s="11" t="n"/>
      <c r="S167">
        <f>IF($A167="","",IF(AND(ISNUMBER($R167),NOT(ISLOGICAL($R167)),N($R167)&gt;1),$R167/100*1,IF($V167=1,Settings!$C$6,Settings!$C$7)*1))</f>
        <v/>
      </c>
      <c r="T167">
        <f>IF($A167="","",IF(COUNTIF($A$2:$A167,$A167)=1,1,0))</f>
        <v/>
      </c>
      <c r="U167">
        <f>IF($T167=1,SUMPRODUCT(--($W$2:$W$1001&lt;$W167))+1,"")</f>
        <v/>
      </c>
      <c r="V167">
        <f>IF($A167="","",IF(AND(ISNUMBER($R167),NOT(ISLOGICAL($R167)),N($R167)&gt;1),IF(ABS($R167/100-Settings!$C$6)&lt;=ABS($R167/100-Settings!$C$7),1,0),IF(OR($R167=TRUE(),$R167="TRUE"),1,0)))</f>
        <v/>
      </c>
      <c r="W167">
        <f>IF($T167=1,IFERROR(IF(VALUE($A167)&lt;100000000,VALUE($A167),1000000000),IFERROR(IF(VALUE(MID($A167,2,20))&lt;100000000,VALUE(MID($A167,2,20)),1000000000),1000000000))+ROW()/100000,"")</f>
        <v/>
      </c>
    </row>
    <row r="168">
      <c r="F168" s="7">
        <f>IF($A168="","",E168*K168/100)</f>
        <v/>
      </c>
      <c r="J168" s="7" t="n"/>
      <c r="K168" s="7" t="n"/>
      <c r="L168" s="7">
        <f>IF($A168="","",S168*K168)</f>
        <v/>
      </c>
      <c r="M168" s="7">
        <f>IF($A168="","",K168-L168)</f>
        <v/>
      </c>
      <c r="N168" s="7">
        <f>IF($A168="","",M168-F168)</f>
        <v/>
      </c>
      <c r="Q168" s="11" t="n"/>
      <c r="S168">
        <f>IF($A168="","",IF(AND(ISNUMBER($R168),NOT(ISLOGICAL($R168)),N($R168)&gt;1),$R168/100*1,IF($V168=1,Settings!$C$6,Settings!$C$7)*1))</f>
        <v/>
      </c>
      <c r="T168">
        <f>IF($A168="","",IF(COUNTIF($A$2:$A168,$A168)=1,1,0))</f>
        <v/>
      </c>
      <c r="U168">
        <f>IF($T168=1,SUMPRODUCT(--($W$2:$W$1001&lt;$W168))+1,"")</f>
        <v/>
      </c>
      <c r="V168">
        <f>IF($A168="","",IF(AND(ISNUMBER($R168),NOT(ISLOGICAL($R168)),N($R168)&gt;1),IF(ABS($R168/100-Settings!$C$6)&lt;=ABS($R168/100-Settings!$C$7),1,0),IF(OR($R168=TRUE(),$R168="TRUE"),1,0)))</f>
        <v/>
      </c>
      <c r="W168">
        <f>IF($T168=1,IFERROR(IF(VALUE($A168)&lt;100000000,VALUE($A168),1000000000),IFERROR(IF(VALUE(MID($A168,2,20))&lt;100000000,VALUE(MID($A168,2,20)),1000000000),1000000000))+ROW()/100000,"")</f>
        <v/>
      </c>
    </row>
    <row r="169">
      <c r="F169" s="7">
        <f>IF($A169="","",E169*K169/100)</f>
        <v/>
      </c>
      <c r="J169" s="7" t="n"/>
      <c r="K169" s="7" t="n"/>
      <c r="L169" s="7">
        <f>IF($A169="","",S169*K169)</f>
        <v/>
      </c>
      <c r="M169" s="7">
        <f>IF($A169="","",K169-L169)</f>
        <v/>
      </c>
      <c r="N169" s="7">
        <f>IF($A169="","",M169-F169)</f>
        <v/>
      </c>
      <c r="Q169" s="11" t="n"/>
      <c r="S169">
        <f>IF($A169="","",IF(AND(ISNUMBER($R169),NOT(ISLOGICAL($R169)),N($R169)&gt;1),$R169/100*1,IF($V169=1,Settings!$C$6,Settings!$C$7)*1))</f>
        <v/>
      </c>
      <c r="T169">
        <f>IF($A169="","",IF(COUNTIF($A$2:$A169,$A169)=1,1,0))</f>
        <v/>
      </c>
      <c r="U169">
        <f>IF($T169=1,SUMPRODUCT(--($W$2:$W$1001&lt;$W169))+1,"")</f>
        <v/>
      </c>
      <c r="V169">
        <f>IF($A169="","",IF(AND(ISNUMBER($R169),NOT(ISLOGICAL($R169)),N($R169)&gt;1),IF(ABS($R169/100-Settings!$C$6)&lt;=ABS($R169/100-Settings!$C$7),1,0),IF(OR($R169=TRUE(),$R169="TRUE"),1,0)))</f>
        <v/>
      </c>
      <c r="W169">
        <f>IF($T169=1,IFERROR(IF(VALUE($A169)&lt;100000000,VALUE($A169),1000000000),IFERROR(IF(VALUE(MID($A169,2,20))&lt;100000000,VALUE(MID($A169,2,20)),1000000000),1000000000))+ROW()/100000,"")</f>
        <v/>
      </c>
    </row>
    <row r="170">
      <c r="F170" s="7">
        <f>IF($A170="","",E170*K170/100)</f>
        <v/>
      </c>
      <c r="J170" s="7" t="n"/>
      <c r="K170" s="7" t="n"/>
      <c r="L170" s="7">
        <f>IF($A170="","",S170*K170)</f>
        <v/>
      </c>
      <c r="M170" s="7">
        <f>IF($A170="","",K170-L170)</f>
        <v/>
      </c>
      <c r="N170" s="7">
        <f>IF($A170="","",M170-F170)</f>
        <v/>
      </c>
      <c r="Q170" s="11" t="n"/>
      <c r="S170">
        <f>IF($A170="","",IF(AND(ISNUMBER($R170),NOT(ISLOGICAL($R170)),N($R170)&gt;1),$R170/100*1,IF($V170=1,Settings!$C$6,Settings!$C$7)*1))</f>
        <v/>
      </c>
      <c r="T170">
        <f>IF($A170="","",IF(COUNTIF($A$2:$A170,$A170)=1,1,0))</f>
        <v/>
      </c>
      <c r="U170">
        <f>IF($T170=1,SUMPRODUCT(--($W$2:$W$1001&lt;$W170))+1,"")</f>
        <v/>
      </c>
      <c r="V170">
        <f>IF($A170="","",IF(AND(ISNUMBER($R170),NOT(ISLOGICAL($R170)),N($R170)&gt;1),IF(ABS($R170/100-Settings!$C$6)&lt;=ABS($R170/100-Settings!$C$7),1,0),IF(OR($R170=TRUE(),$R170="TRUE"),1,0)))</f>
        <v/>
      </c>
      <c r="W170">
        <f>IF($T170=1,IFERROR(IF(VALUE($A170)&lt;100000000,VALUE($A170),1000000000),IFERROR(IF(VALUE(MID($A170,2,20))&lt;100000000,VALUE(MID($A170,2,20)),1000000000),1000000000))+ROW()/100000,"")</f>
        <v/>
      </c>
    </row>
    <row r="171">
      <c r="F171" s="7">
        <f>IF($A171="","",E171*K171/100)</f>
        <v/>
      </c>
      <c r="J171" s="7" t="n"/>
      <c r="K171" s="7" t="n"/>
      <c r="L171" s="7">
        <f>IF($A171="","",S171*K171)</f>
        <v/>
      </c>
      <c r="M171" s="7">
        <f>IF($A171="","",K171-L171)</f>
        <v/>
      </c>
      <c r="N171" s="7">
        <f>IF($A171="","",M171-F171)</f>
        <v/>
      </c>
      <c r="Q171" s="11" t="n"/>
      <c r="S171">
        <f>IF($A171="","",IF(AND(ISNUMBER($R171),NOT(ISLOGICAL($R171)),N($R171)&gt;1),$R171/100*1,IF($V171=1,Settings!$C$6,Settings!$C$7)*1))</f>
        <v/>
      </c>
      <c r="T171">
        <f>IF($A171="","",IF(COUNTIF($A$2:$A171,$A171)=1,1,0))</f>
        <v/>
      </c>
      <c r="U171">
        <f>IF($T171=1,SUMPRODUCT(--($W$2:$W$1001&lt;$W171))+1,"")</f>
        <v/>
      </c>
      <c r="V171">
        <f>IF($A171="","",IF(AND(ISNUMBER($R171),NOT(ISLOGICAL($R171)),N($R171)&gt;1),IF(ABS($R171/100-Settings!$C$6)&lt;=ABS($R171/100-Settings!$C$7),1,0),IF(OR($R171=TRUE(),$R171="TRUE"),1,0)))</f>
        <v/>
      </c>
      <c r="W171">
        <f>IF($T171=1,IFERROR(IF(VALUE($A171)&lt;100000000,VALUE($A171),1000000000),IFERROR(IF(VALUE(MID($A171,2,20))&lt;100000000,VALUE(MID($A171,2,20)),1000000000),1000000000))+ROW()/100000,"")</f>
        <v/>
      </c>
    </row>
    <row r="172">
      <c r="F172" s="7">
        <f>IF($A172="","",E172*K172/100)</f>
        <v/>
      </c>
      <c r="J172" s="7" t="n"/>
      <c r="K172" s="7" t="n"/>
      <c r="L172" s="7">
        <f>IF($A172="","",S172*K172)</f>
        <v/>
      </c>
      <c r="M172" s="7">
        <f>IF($A172="","",K172-L172)</f>
        <v/>
      </c>
      <c r="N172" s="7">
        <f>IF($A172="","",M172-F172)</f>
        <v/>
      </c>
      <c r="Q172" s="11" t="n"/>
      <c r="S172">
        <f>IF($A172="","",IF(AND(ISNUMBER($R172),NOT(ISLOGICAL($R172)),N($R172)&gt;1),$R172/100*1,IF($V172=1,Settings!$C$6,Settings!$C$7)*1))</f>
        <v/>
      </c>
      <c r="T172">
        <f>IF($A172="","",IF(COUNTIF($A$2:$A172,$A172)=1,1,0))</f>
        <v/>
      </c>
      <c r="U172">
        <f>IF($T172=1,SUMPRODUCT(--($W$2:$W$1001&lt;$W172))+1,"")</f>
        <v/>
      </c>
      <c r="V172">
        <f>IF($A172="","",IF(AND(ISNUMBER($R172),NOT(ISLOGICAL($R172)),N($R172)&gt;1),IF(ABS($R172/100-Settings!$C$6)&lt;=ABS($R172/100-Settings!$C$7),1,0),IF(OR($R172=TRUE(),$R172="TRUE"),1,0)))</f>
        <v/>
      </c>
      <c r="W172">
        <f>IF($T172=1,IFERROR(IF(VALUE($A172)&lt;100000000,VALUE($A172),1000000000),IFERROR(IF(VALUE(MID($A172,2,20))&lt;100000000,VALUE(MID($A172,2,20)),1000000000),1000000000))+ROW()/100000,"")</f>
        <v/>
      </c>
    </row>
    <row r="173">
      <c r="F173" s="7">
        <f>IF($A173="","",E173*K173/100)</f>
        <v/>
      </c>
      <c r="J173" s="7" t="n"/>
      <c r="K173" s="7" t="n"/>
      <c r="L173" s="7">
        <f>IF($A173="","",S173*K173)</f>
        <v/>
      </c>
      <c r="M173" s="7">
        <f>IF($A173="","",K173-L173)</f>
        <v/>
      </c>
      <c r="N173" s="7">
        <f>IF($A173="","",M173-F173)</f>
        <v/>
      </c>
      <c r="Q173" s="11" t="n"/>
      <c r="S173">
        <f>IF($A173="","",IF(AND(ISNUMBER($R173),NOT(ISLOGICAL($R173)),N($R173)&gt;1),$R173/100*1,IF($V173=1,Settings!$C$6,Settings!$C$7)*1))</f>
        <v/>
      </c>
      <c r="T173">
        <f>IF($A173="","",IF(COUNTIF($A$2:$A173,$A173)=1,1,0))</f>
        <v/>
      </c>
      <c r="U173">
        <f>IF($T173=1,SUMPRODUCT(--($W$2:$W$1001&lt;$W173))+1,"")</f>
        <v/>
      </c>
      <c r="V173">
        <f>IF($A173="","",IF(AND(ISNUMBER($R173),NOT(ISLOGICAL($R173)),N($R173)&gt;1),IF(ABS($R173/100-Settings!$C$6)&lt;=ABS($R173/100-Settings!$C$7),1,0),IF(OR($R173=TRUE(),$R173="TRUE"),1,0)))</f>
        <v/>
      </c>
      <c r="W173">
        <f>IF($T173=1,IFERROR(IF(VALUE($A173)&lt;100000000,VALUE($A173),1000000000),IFERROR(IF(VALUE(MID($A173,2,20))&lt;100000000,VALUE(MID($A173,2,20)),1000000000),1000000000))+ROW()/100000,"")</f>
        <v/>
      </c>
    </row>
    <row r="174">
      <c r="F174" s="7">
        <f>IF($A174="","",E174*K174/100)</f>
        <v/>
      </c>
      <c r="J174" s="7" t="n"/>
      <c r="K174" s="7" t="n"/>
      <c r="L174" s="7">
        <f>IF($A174="","",S174*K174)</f>
        <v/>
      </c>
      <c r="M174" s="7">
        <f>IF($A174="","",K174-L174)</f>
        <v/>
      </c>
      <c r="N174" s="7">
        <f>IF($A174="","",M174-F174)</f>
        <v/>
      </c>
      <c r="Q174" s="11" t="n"/>
      <c r="S174">
        <f>IF($A174="","",IF(AND(ISNUMBER($R174),NOT(ISLOGICAL($R174)),N($R174)&gt;1),$R174/100*1,IF($V174=1,Settings!$C$6,Settings!$C$7)*1))</f>
        <v/>
      </c>
      <c r="T174">
        <f>IF($A174="","",IF(COUNTIF($A$2:$A174,$A174)=1,1,0))</f>
        <v/>
      </c>
      <c r="U174">
        <f>IF($T174=1,SUMPRODUCT(--($W$2:$W$1001&lt;$W174))+1,"")</f>
        <v/>
      </c>
      <c r="V174">
        <f>IF($A174="","",IF(AND(ISNUMBER($R174),NOT(ISLOGICAL($R174)),N($R174)&gt;1),IF(ABS($R174/100-Settings!$C$6)&lt;=ABS($R174/100-Settings!$C$7),1,0),IF(OR($R174=TRUE(),$R174="TRUE"),1,0)))</f>
        <v/>
      </c>
      <c r="W174">
        <f>IF($T174=1,IFERROR(IF(VALUE($A174)&lt;100000000,VALUE($A174),1000000000),IFERROR(IF(VALUE(MID($A174,2,20))&lt;100000000,VALUE(MID($A174,2,20)),1000000000),1000000000))+ROW()/100000,"")</f>
        <v/>
      </c>
    </row>
    <row r="175">
      <c r="F175" s="7">
        <f>IF($A175="","",E175*K175/100)</f>
        <v/>
      </c>
      <c r="J175" s="7" t="n"/>
      <c r="K175" s="7" t="n"/>
      <c r="L175" s="7">
        <f>IF($A175="","",S175*K175)</f>
        <v/>
      </c>
      <c r="M175" s="7">
        <f>IF($A175="","",K175-L175)</f>
        <v/>
      </c>
      <c r="N175" s="7">
        <f>IF($A175="","",M175-F175)</f>
        <v/>
      </c>
      <c r="Q175" s="11" t="n"/>
      <c r="S175">
        <f>IF($A175="","",IF(AND(ISNUMBER($R175),NOT(ISLOGICAL($R175)),N($R175)&gt;1),$R175/100*1,IF($V175=1,Settings!$C$6,Settings!$C$7)*1))</f>
        <v/>
      </c>
      <c r="T175">
        <f>IF($A175="","",IF(COUNTIF($A$2:$A175,$A175)=1,1,0))</f>
        <v/>
      </c>
      <c r="U175">
        <f>IF($T175=1,SUMPRODUCT(--($W$2:$W$1001&lt;$W175))+1,"")</f>
        <v/>
      </c>
      <c r="V175">
        <f>IF($A175="","",IF(AND(ISNUMBER($R175),NOT(ISLOGICAL($R175)),N($R175)&gt;1),IF(ABS($R175/100-Settings!$C$6)&lt;=ABS($R175/100-Settings!$C$7),1,0),IF(OR($R175=TRUE(),$R175="TRUE"),1,0)))</f>
        <v/>
      </c>
      <c r="W175">
        <f>IF($T175=1,IFERROR(IF(VALUE($A175)&lt;100000000,VALUE($A175),1000000000),IFERROR(IF(VALUE(MID($A175,2,20))&lt;100000000,VALUE(MID($A175,2,20)),1000000000),1000000000))+ROW()/100000,"")</f>
        <v/>
      </c>
    </row>
    <row r="176">
      <c r="F176" s="7">
        <f>IF($A176="","",E176*K176/100)</f>
        <v/>
      </c>
      <c r="J176" s="7" t="n"/>
      <c r="K176" s="7" t="n"/>
      <c r="L176" s="7">
        <f>IF($A176="","",S176*K176)</f>
        <v/>
      </c>
      <c r="M176" s="7">
        <f>IF($A176="","",K176-L176)</f>
        <v/>
      </c>
      <c r="N176" s="7">
        <f>IF($A176="","",M176-F176)</f>
        <v/>
      </c>
      <c r="Q176" s="11" t="n"/>
      <c r="S176">
        <f>IF($A176="","",IF(AND(ISNUMBER($R176),NOT(ISLOGICAL($R176)),N($R176)&gt;1),$R176/100*1,IF($V176=1,Settings!$C$6,Settings!$C$7)*1))</f>
        <v/>
      </c>
      <c r="T176">
        <f>IF($A176="","",IF(COUNTIF($A$2:$A176,$A176)=1,1,0))</f>
        <v/>
      </c>
      <c r="U176">
        <f>IF($T176=1,SUMPRODUCT(--($W$2:$W$1001&lt;$W176))+1,"")</f>
        <v/>
      </c>
      <c r="V176">
        <f>IF($A176="","",IF(AND(ISNUMBER($R176),NOT(ISLOGICAL($R176)),N($R176)&gt;1),IF(ABS($R176/100-Settings!$C$6)&lt;=ABS($R176/100-Settings!$C$7),1,0),IF(OR($R176=TRUE(),$R176="TRUE"),1,0)))</f>
        <v/>
      </c>
      <c r="W176">
        <f>IF($T176=1,IFERROR(IF(VALUE($A176)&lt;100000000,VALUE($A176),1000000000),IFERROR(IF(VALUE(MID($A176,2,20))&lt;100000000,VALUE(MID($A176,2,20)),1000000000),1000000000))+ROW()/100000,"")</f>
        <v/>
      </c>
    </row>
    <row r="177">
      <c r="F177" s="7">
        <f>IF($A177="","",E177*K177/100)</f>
        <v/>
      </c>
      <c r="J177" s="7" t="n"/>
      <c r="K177" s="7" t="n"/>
      <c r="L177" s="7">
        <f>IF($A177="","",S177*K177)</f>
        <v/>
      </c>
      <c r="M177" s="7">
        <f>IF($A177="","",K177-L177)</f>
        <v/>
      </c>
      <c r="N177" s="7">
        <f>IF($A177="","",M177-F177)</f>
        <v/>
      </c>
      <c r="Q177" s="11" t="n"/>
      <c r="S177">
        <f>IF($A177="","",IF(AND(ISNUMBER($R177),NOT(ISLOGICAL($R177)),N($R177)&gt;1),$R177/100*1,IF($V177=1,Settings!$C$6,Settings!$C$7)*1))</f>
        <v/>
      </c>
      <c r="T177">
        <f>IF($A177="","",IF(COUNTIF($A$2:$A177,$A177)=1,1,0))</f>
        <v/>
      </c>
      <c r="U177">
        <f>IF($T177=1,SUMPRODUCT(--($W$2:$W$1001&lt;$W177))+1,"")</f>
        <v/>
      </c>
      <c r="V177">
        <f>IF($A177="","",IF(AND(ISNUMBER($R177),NOT(ISLOGICAL($R177)),N($R177)&gt;1),IF(ABS($R177/100-Settings!$C$6)&lt;=ABS($R177/100-Settings!$C$7),1,0),IF(OR($R177=TRUE(),$R177="TRUE"),1,0)))</f>
        <v/>
      </c>
      <c r="W177">
        <f>IF($T177=1,IFERROR(IF(VALUE($A177)&lt;100000000,VALUE($A177),1000000000),IFERROR(IF(VALUE(MID($A177,2,20))&lt;100000000,VALUE(MID($A177,2,20)),1000000000),1000000000))+ROW()/100000,"")</f>
        <v/>
      </c>
    </row>
    <row r="178">
      <c r="F178" s="7">
        <f>IF($A178="","",E178*K178/100)</f>
        <v/>
      </c>
      <c r="J178" s="7" t="n"/>
      <c r="K178" s="7" t="n"/>
      <c r="L178" s="7">
        <f>IF($A178="","",S178*K178)</f>
        <v/>
      </c>
      <c r="M178" s="7">
        <f>IF($A178="","",K178-L178)</f>
        <v/>
      </c>
      <c r="N178" s="7">
        <f>IF($A178="","",M178-F178)</f>
        <v/>
      </c>
      <c r="Q178" s="11" t="n"/>
      <c r="S178">
        <f>IF($A178="","",IF(AND(ISNUMBER($R178),NOT(ISLOGICAL($R178)),N($R178)&gt;1),$R178/100*1,IF($V178=1,Settings!$C$6,Settings!$C$7)*1))</f>
        <v/>
      </c>
      <c r="T178">
        <f>IF($A178="","",IF(COUNTIF($A$2:$A178,$A178)=1,1,0))</f>
        <v/>
      </c>
      <c r="U178">
        <f>IF($T178=1,SUMPRODUCT(--($W$2:$W$1001&lt;$W178))+1,"")</f>
        <v/>
      </c>
      <c r="V178">
        <f>IF($A178="","",IF(AND(ISNUMBER($R178),NOT(ISLOGICAL($R178)),N($R178)&gt;1),IF(ABS($R178/100-Settings!$C$6)&lt;=ABS($R178/100-Settings!$C$7),1,0),IF(OR($R178=TRUE(),$R178="TRUE"),1,0)))</f>
        <v/>
      </c>
      <c r="W178">
        <f>IF($T178=1,IFERROR(IF(VALUE($A178)&lt;100000000,VALUE($A178),1000000000),IFERROR(IF(VALUE(MID($A178,2,20))&lt;100000000,VALUE(MID($A178,2,20)),1000000000),1000000000))+ROW()/100000,"")</f>
        <v/>
      </c>
    </row>
    <row r="179">
      <c r="F179" s="7">
        <f>IF($A179="","",E179*K179/100)</f>
        <v/>
      </c>
      <c r="J179" s="7" t="n"/>
      <c r="K179" s="7" t="n"/>
      <c r="L179" s="7">
        <f>IF($A179="","",S179*K179)</f>
        <v/>
      </c>
      <c r="M179" s="7">
        <f>IF($A179="","",K179-L179)</f>
        <v/>
      </c>
      <c r="N179" s="7">
        <f>IF($A179="","",M179-F179)</f>
        <v/>
      </c>
      <c r="Q179" s="11" t="n"/>
      <c r="S179">
        <f>IF($A179="","",IF(AND(ISNUMBER($R179),NOT(ISLOGICAL($R179)),N($R179)&gt;1),$R179/100*1,IF($V179=1,Settings!$C$6,Settings!$C$7)*1))</f>
        <v/>
      </c>
      <c r="T179">
        <f>IF($A179="","",IF(COUNTIF($A$2:$A179,$A179)=1,1,0))</f>
        <v/>
      </c>
      <c r="U179">
        <f>IF($T179=1,SUMPRODUCT(--($W$2:$W$1001&lt;$W179))+1,"")</f>
        <v/>
      </c>
      <c r="V179">
        <f>IF($A179="","",IF(AND(ISNUMBER($R179),NOT(ISLOGICAL($R179)),N($R179)&gt;1),IF(ABS($R179/100-Settings!$C$6)&lt;=ABS($R179/100-Settings!$C$7),1,0),IF(OR($R179=TRUE(),$R179="TRUE"),1,0)))</f>
        <v/>
      </c>
      <c r="W179">
        <f>IF($T179=1,IFERROR(IF(VALUE($A179)&lt;100000000,VALUE($A179),1000000000),IFERROR(IF(VALUE(MID($A179,2,20))&lt;100000000,VALUE(MID($A179,2,20)),1000000000),1000000000))+ROW()/100000,"")</f>
        <v/>
      </c>
    </row>
    <row r="180">
      <c r="F180" s="7">
        <f>IF($A180="","",E180*K180/100)</f>
        <v/>
      </c>
      <c r="J180" s="7" t="n"/>
      <c r="K180" s="7" t="n"/>
      <c r="L180" s="7">
        <f>IF($A180="","",S180*K180)</f>
        <v/>
      </c>
      <c r="M180" s="7">
        <f>IF($A180="","",K180-L180)</f>
        <v/>
      </c>
      <c r="N180" s="7">
        <f>IF($A180="","",M180-F180)</f>
        <v/>
      </c>
      <c r="Q180" s="11" t="n"/>
      <c r="S180">
        <f>IF($A180="","",IF(AND(ISNUMBER($R180),NOT(ISLOGICAL($R180)),N($R180)&gt;1),$R180/100*1,IF($V180=1,Settings!$C$6,Settings!$C$7)*1))</f>
        <v/>
      </c>
      <c r="T180">
        <f>IF($A180="","",IF(COUNTIF($A$2:$A180,$A180)=1,1,0))</f>
        <v/>
      </c>
      <c r="U180">
        <f>IF($T180=1,SUMPRODUCT(--($W$2:$W$1001&lt;$W180))+1,"")</f>
        <v/>
      </c>
      <c r="V180">
        <f>IF($A180="","",IF(AND(ISNUMBER($R180),NOT(ISLOGICAL($R180)),N($R180)&gt;1),IF(ABS($R180/100-Settings!$C$6)&lt;=ABS($R180/100-Settings!$C$7),1,0),IF(OR($R180=TRUE(),$R180="TRUE"),1,0)))</f>
        <v/>
      </c>
      <c r="W180">
        <f>IF($T180=1,IFERROR(IF(VALUE($A180)&lt;100000000,VALUE($A180),1000000000),IFERROR(IF(VALUE(MID($A180,2,20))&lt;100000000,VALUE(MID($A180,2,20)),1000000000),1000000000))+ROW()/100000,"")</f>
        <v/>
      </c>
    </row>
    <row r="181">
      <c r="F181" s="7">
        <f>IF($A181="","",E181*K181/100)</f>
        <v/>
      </c>
      <c r="J181" s="7" t="n"/>
      <c r="K181" s="7" t="n"/>
      <c r="L181" s="7">
        <f>IF($A181="","",S181*K181)</f>
        <v/>
      </c>
      <c r="M181" s="7">
        <f>IF($A181="","",K181-L181)</f>
        <v/>
      </c>
      <c r="N181" s="7">
        <f>IF($A181="","",M181-F181)</f>
        <v/>
      </c>
      <c r="Q181" s="11" t="n"/>
      <c r="S181">
        <f>IF($A181="","",IF(AND(ISNUMBER($R181),NOT(ISLOGICAL($R181)),N($R181)&gt;1),$R181/100*1,IF($V181=1,Settings!$C$6,Settings!$C$7)*1))</f>
        <v/>
      </c>
      <c r="T181">
        <f>IF($A181="","",IF(COUNTIF($A$2:$A181,$A181)=1,1,0))</f>
        <v/>
      </c>
      <c r="U181">
        <f>IF($T181=1,SUMPRODUCT(--($W$2:$W$1001&lt;$W181))+1,"")</f>
        <v/>
      </c>
      <c r="V181">
        <f>IF($A181="","",IF(AND(ISNUMBER($R181),NOT(ISLOGICAL($R181)),N($R181)&gt;1),IF(ABS($R181/100-Settings!$C$6)&lt;=ABS($R181/100-Settings!$C$7),1,0),IF(OR($R181=TRUE(),$R181="TRUE"),1,0)))</f>
        <v/>
      </c>
      <c r="W181">
        <f>IF($T181=1,IFERROR(IF(VALUE($A181)&lt;100000000,VALUE($A181),1000000000),IFERROR(IF(VALUE(MID($A181,2,20))&lt;100000000,VALUE(MID($A181,2,20)),1000000000),1000000000))+ROW()/100000,"")</f>
        <v/>
      </c>
    </row>
    <row r="182">
      <c r="F182" s="7">
        <f>IF($A182="","",E182*K182/100)</f>
        <v/>
      </c>
      <c r="J182" s="7" t="n"/>
      <c r="K182" s="7" t="n"/>
      <c r="L182" s="7">
        <f>IF($A182="","",S182*K182)</f>
        <v/>
      </c>
      <c r="M182" s="7">
        <f>IF($A182="","",K182-L182)</f>
        <v/>
      </c>
      <c r="N182" s="7">
        <f>IF($A182="","",M182-F182)</f>
        <v/>
      </c>
      <c r="Q182" s="11" t="n"/>
      <c r="S182">
        <f>IF($A182="","",IF(AND(ISNUMBER($R182),NOT(ISLOGICAL($R182)),N($R182)&gt;1),$R182/100*1,IF($V182=1,Settings!$C$6,Settings!$C$7)*1))</f>
        <v/>
      </c>
      <c r="T182">
        <f>IF($A182="","",IF(COUNTIF($A$2:$A182,$A182)=1,1,0))</f>
        <v/>
      </c>
      <c r="U182">
        <f>IF($T182=1,SUMPRODUCT(--($W$2:$W$1001&lt;$W182))+1,"")</f>
        <v/>
      </c>
      <c r="V182">
        <f>IF($A182="","",IF(AND(ISNUMBER($R182),NOT(ISLOGICAL($R182)),N($R182)&gt;1),IF(ABS($R182/100-Settings!$C$6)&lt;=ABS($R182/100-Settings!$C$7),1,0),IF(OR($R182=TRUE(),$R182="TRUE"),1,0)))</f>
        <v/>
      </c>
      <c r="W182">
        <f>IF($T182=1,IFERROR(IF(VALUE($A182)&lt;100000000,VALUE($A182),1000000000),IFERROR(IF(VALUE(MID($A182,2,20))&lt;100000000,VALUE(MID($A182,2,20)),1000000000),1000000000))+ROW()/100000,"")</f>
        <v/>
      </c>
    </row>
    <row r="183">
      <c r="F183" s="7">
        <f>IF($A183="","",E183*K183/100)</f>
        <v/>
      </c>
      <c r="J183" s="7" t="n"/>
      <c r="K183" s="7" t="n"/>
      <c r="L183" s="7">
        <f>IF($A183="","",S183*K183)</f>
        <v/>
      </c>
      <c r="M183" s="7">
        <f>IF($A183="","",K183-L183)</f>
        <v/>
      </c>
      <c r="N183" s="7">
        <f>IF($A183="","",M183-F183)</f>
        <v/>
      </c>
      <c r="Q183" s="11" t="n"/>
      <c r="S183">
        <f>IF($A183="","",IF(AND(ISNUMBER($R183),NOT(ISLOGICAL($R183)),N($R183)&gt;1),$R183/100*1,IF($V183=1,Settings!$C$6,Settings!$C$7)*1))</f>
        <v/>
      </c>
      <c r="T183">
        <f>IF($A183="","",IF(COUNTIF($A$2:$A183,$A183)=1,1,0))</f>
        <v/>
      </c>
      <c r="U183">
        <f>IF($T183=1,SUMPRODUCT(--($W$2:$W$1001&lt;$W183))+1,"")</f>
        <v/>
      </c>
      <c r="V183">
        <f>IF($A183="","",IF(AND(ISNUMBER($R183),NOT(ISLOGICAL($R183)),N($R183)&gt;1),IF(ABS($R183/100-Settings!$C$6)&lt;=ABS($R183/100-Settings!$C$7),1,0),IF(OR($R183=TRUE(),$R183="TRUE"),1,0)))</f>
        <v/>
      </c>
      <c r="W183">
        <f>IF($T183=1,IFERROR(IF(VALUE($A183)&lt;100000000,VALUE($A183),1000000000),IFERROR(IF(VALUE(MID($A183,2,20))&lt;100000000,VALUE(MID($A183,2,20)),1000000000),1000000000))+ROW()/100000,"")</f>
        <v/>
      </c>
    </row>
    <row r="184">
      <c r="F184" s="7">
        <f>IF($A184="","",E184*K184/100)</f>
        <v/>
      </c>
      <c r="J184" s="7" t="n"/>
      <c r="K184" s="7" t="n"/>
      <c r="L184" s="7">
        <f>IF($A184="","",S184*K184)</f>
        <v/>
      </c>
      <c r="M184" s="7">
        <f>IF($A184="","",K184-L184)</f>
        <v/>
      </c>
      <c r="N184" s="7">
        <f>IF($A184="","",M184-F184)</f>
        <v/>
      </c>
      <c r="Q184" s="11" t="n"/>
      <c r="S184">
        <f>IF($A184="","",IF(AND(ISNUMBER($R184),NOT(ISLOGICAL($R184)),N($R184)&gt;1),$R184/100*1,IF($V184=1,Settings!$C$6,Settings!$C$7)*1))</f>
        <v/>
      </c>
      <c r="T184">
        <f>IF($A184="","",IF(COUNTIF($A$2:$A184,$A184)=1,1,0))</f>
        <v/>
      </c>
      <c r="U184">
        <f>IF($T184=1,SUMPRODUCT(--($W$2:$W$1001&lt;$W184))+1,"")</f>
        <v/>
      </c>
      <c r="V184">
        <f>IF($A184="","",IF(AND(ISNUMBER($R184),NOT(ISLOGICAL($R184)),N($R184)&gt;1),IF(ABS($R184/100-Settings!$C$6)&lt;=ABS($R184/100-Settings!$C$7),1,0),IF(OR($R184=TRUE(),$R184="TRUE"),1,0)))</f>
        <v/>
      </c>
      <c r="W184">
        <f>IF($T184=1,IFERROR(IF(VALUE($A184)&lt;100000000,VALUE($A184),1000000000),IFERROR(IF(VALUE(MID($A184,2,20))&lt;100000000,VALUE(MID($A184,2,20)),1000000000),1000000000))+ROW()/100000,"")</f>
        <v/>
      </c>
    </row>
    <row r="185">
      <c r="F185" s="7">
        <f>IF($A185="","",E185*K185/100)</f>
        <v/>
      </c>
      <c r="J185" s="7" t="n"/>
      <c r="K185" s="7" t="n"/>
      <c r="L185" s="7">
        <f>IF($A185="","",S185*K185)</f>
        <v/>
      </c>
      <c r="M185" s="7">
        <f>IF($A185="","",K185-L185)</f>
        <v/>
      </c>
      <c r="N185" s="7">
        <f>IF($A185="","",M185-F185)</f>
        <v/>
      </c>
      <c r="Q185" s="11" t="n"/>
      <c r="S185">
        <f>IF($A185="","",IF(AND(ISNUMBER($R185),NOT(ISLOGICAL($R185)),N($R185)&gt;1),$R185/100*1,IF($V185=1,Settings!$C$6,Settings!$C$7)*1))</f>
        <v/>
      </c>
      <c r="T185">
        <f>IF($A185="","",IF(COUNTIF($A$2:$A185,$A185)=1,1,0))</f>
        <v/>
      </c>
      <c r="U185">
        <f>IF($T185=1,SUMPRODUCT(--($W$2:$W$1001&lt;$W185))+1,"")</f>
        <v/>
      </c>
      <c r="V185">
        <f>IF($A185="","",IF(AND(ISNUMBER($R185),NOT(ISLOGICAL($R185)),N($R185)&gt;1),IF(ABS($R185/100-Settings!$C$6)&lt;=ABS($R185/100-Settings!$C$7),1,0),IF(OR($R185=TRUE(),$R185="TRUE"),1,0)))</f>
        <v/>
      </c>
      <c r="W185">
        <f>IF($T185=1,IFERROR(IF(VALUE($A185)&lt;100000000,VALUE($A185),1000000000),IFERROR(IF(VALUE(MID($A185,2,20))&lt;100000000,VALUE(MID($A185,2,20)),1000000000),1000000000))+ROW()/100000,"")</f>
        <v/>
      </c>
    </row>
    <row r="186">
      <c r="F186" s="7">
        <f>IF($A186="","",E186*K186/100)</f>
        <v/>
      </c>
      <c r="J186" s="7" t="n"/>
      <c r="K186" s="7" t="n"/>
      <c r="L186" s="7">
        <f>IF($A186="","",S186*K186)</f>
        <v/>
      </c>
      <c r="M186" s="7">
        <f>IF($A186="","",K186-L186)</f>
        <v/>
      </c>
      <c r="N186" s="7">
        <f>IF($A186="","",M186-F186)</f>
        <v/>
      </c>
      <c r="Q186" s="11" t="n"/>
      <c r="S186">
        <f>IF($A186="","",IF(AND(ISNUMBER($R186),NOT(ISLOGICAL($R186)),N($R186)&gt;1),$R186/100*1,IF($V186=1,Settings!$C$6,Settings!$C$7)*1))</f>
        <v/>
      </c>
      <c r="T186">
        <f>IF($A186="","",IF(COUNTIF($A$2:$A186,$A186)=1,1,0))</f>
        <v/>
      </c>
      <c r="U186">
        <f>IF($T186=1,SUMPRODUCT(--($W$2:$W$1001&lt;$W186))+1,"")</f>
        <v/>
      </c>
      <c r="V186">
        <f>IF($A186="","",IF(AND(ISNUMBER($R186),NOT(ISLOGICAL($R186)),N($R186)&gt;1),IF(ABS($R186/100-Settings!$C$6)&lt;=ABS($R186/100-Settings!$C$7),1,0),IF(OR($R186=TRUE(),$R186="TRUE"),1,0)))</f>
        <v/>
      </c>
      <c r="W186">
        <f>IF($T186=1,IFERROR(IF(VALUE($A186)&lt;100000000,VALUE($A186),1000000000),IFERROR(IF(VALUE(MID($A186,2,20))&lt;100000000,VALUE(MID($A186,2,20)),1000000000),1000000000))+ROW()/100000,"")</f>
        <v/>
      </c>
    </row>
    <row r="187">
      <c r="F187" s="7">
        <f>IF($A187="","",E187*K187/100)</f>
        <v/>
      </c>
      <c r="J187" s="7" t="n"/>
      <c r="K187" s="7" t="n"/>
      <c r="L187" s="7">
        <f>IF($A187="","",S187*K187)</f>
        <v/>
      </c>
      <c r="M187" s="7">
        <f>IF($A187="","",K187-L187)</f>
        <v/>
      </c>
      <c r="N187" s="7">
        <f>IF($A187="","",M187-F187)</f>
        <v/>
      </c>
      <c r="Q187" s="11" t="n"/>
      <c r="S187">
        <f>IF($A187="","",IF(AND(ISNUMBER($R187),NOT(ISLOGICAL($R187)),N($R187)&gt;1),$R187/100*1,IF($V187=1,Settings!$C$6,Settings!$C$7)*1))</f>
        <v/>
      </c>
      <c r="T187">
        <f>IF($A187="","",IF(COUNTIF($A$2:$A187,$A187)=1,1,0))</f>
        <v/>
      </c>
      <c r="U187">
        <f>IF($T187=1,SUMPRODUCT(--($W$2:$W$1001&lt;$W187))+1,"")</f>
        <v/>
      </c>
      <c r="V187">
        <f>IF($A187="","",IF(AND(ISNUMBER($R187),NOT(ISLOGICAL($R187)),N($R187)&gt;1),IF(ABS($R187/100-Settings!$C$6)&lt;=ABS($R187/100-Settings!$C$7),1,0),IF(OR($R187=TRUE(),$R187="TRUE"),1,0)))</f>
        <v/>
      </c>
      <c r="W187">
        <f>IF($T187=1,IFERROR(IF(VALUE($A187)&lt;100000000,VALUE($A187),1000000000),IFERROR(IF(VALUE(MID($A187,2,20))&lt;100000000,VALUE(MID($A187,2,20)),1000000000),1000000000))+ROW()/100000,"")</f>
        <v/>
      </c>
    </row>
    <row r="188">
      <c r="F188" s="7">
        <f>IF($A188="","",E188*K188/100)</f>
        <v/>
      </c>
      <c r="J188" s="7" t="n"/>
      <c r="K188" s="7" t="n"/>
      <c r="L188" s="7">
        <f>IF($A188="","",S188*K188)</f>
        <v/>
      </c>
      <c r="M188" s="7">
        <f>IF($A188="","",K188-L188)</f>
        <v/>
      </c>
      <c r="N188" s="7">
        <f>IF($A188="","",M188-F188)</f>
        <v/>
      </c>
      <c r="Q188" s="11" t="n"/>
      <c r="S188">
        <f>IF($A188="","",IF(AND(ISNUMBER($R188),NOT(ISLOGICAL($R188)),N($R188)&gt;1),$R188/100*1,IF($V188=1,Settings!$C$6,Settings!$C$7)*1))</f>
        <v/>
      </c>
      <c r="T188">
        <f>IF($A188="","",IF(COUNTIF($A$2:$A188,$A188)=1,1,0))</f>
        <v/>
      </c>
      <c r="U188">
        <f>IF($T188=1,SUMPRODUCT(--($W$2:$W$1001&lt;$W188))+1,"")</f>
        <v/>
      </c>
      <c r="V188">
        <f>IF($A188="","",IF(AND(ISNUMBER($R188),NOT(ISLOGICAL($R188)),N($R188)&gt;1),IF(ABS($R188/100-Settings!$C$6)&lt;=ABS($R188/100-Settings!$C$7),1,0),IF(OR($R188=TRUE(),$R188="TRUE"),1,0)))</f>
        <v/>
      </c>
      <c r="W188">
        <f>IF($T188=1,IFERROR(IF(VALUE($A188)&lt;100000000,VALUE($A188),1000000000),IFERROR(IF(VALUE(MID($A188,2,20))&lt;100000000,VALUE(MID($A188,2,20)),1000000000),1000000000))+ROW()/100000,"")</f>
        <v/>
      </c>
    </row>
    <row r="189">
      <c r="F189" s="7">
        <f>IF($A189="","",E189*K189/100)</f>
        <v/>
      </c>
      <c r="J189" s="7" t="n"/>
      <c r="K189" s="7" t="n"/>
      <c r="L189" s="7">
        <f>IF($A189="","",S189*K189)</f>
        <v/>
      </c>
      <c r="M189" s="7">
        <f>IF($A189="","",K189-L189)</f>
        <v/>
      </c>
      <c r="N189" s="7">
        <f>IF($A189="","",M189-F189)</f>
        <v/>
      </c>
      <c r="Q189" s="11" t="n"/>
      <c r="S189">
        <f>IF($A189="","",IF(AND(ISNUMBER($R189),NOT(ISLOGICAL($R189)),N($R189)&gt;1),$R189/100*1,IF($V189=1,Settings!$C$6,Settings!$C$7)*1))</f>
        <v/>
      </c>
      <c r="T189">
        <f>IF($A189="","",IF(COUNTIF($A$2:$A189,$A189)=1,1,0))</f>
        <v/>
      </c>
      <c r="U189">
        <f>IF($T189=1,SUMPRODUCT(--($W$2:$W$1001&lt;$W189))+1,"")</f>
        <v/>
      </c>
      <c r="V189">
        <f>IF($A189="","",IF(AND(ISNUMBER($R189),NOT(ISLOGICAL($R189)),N($R189)&gt;1),IF(ABS($R189/100-Settings!$C$6)&lt;=ABS($R189/100-Settings!$C$7),1,0),IF(OR($R189=TRUE(),$R189="TRUE"),1,0)))</f>
        <v/>
      </c>
      <c r="W189">
        <f>IF($T189=1,IFERROR(IF(VALUE($A189)&lt;100000000,VALUE($A189),1000000000),IFERROR(IF(VALUE(MID($A189,2,20))&lt;100000000,VALUE(MID($A189,2,20)),1000000000),1000000000))+ROW()/100000,"")</f>
        <v/>
      </c>
    </row>
    <row r="190">
      <c r="F190" s="7">
        <f>IF($A190="","",E190*K190/100)</f>
        <v/>
      </c>
      <c r="J190" s="7" t="n"/>
      <c r="K190" s="7" t="n"/>
      <c r="L190" s="7">
        <f>IF($A190="","",S190*K190)</f>
        <v/>
      </c>
      <c r="M190" s="7">
        <f>IF($A190="","",K190-L190)</f>
        <v/>
      </c>
      <c r="N190" s="7">
        <f>IF($A190="","",M190-F190)</f>
        <v/>
      </c>
      <c r="Q190" s="11" t="n"/>
      <c r="S190">
        <f>IF($A190="","",IF(AND(ISNUMBER($R190),NOT(ISLOGICAL($R190)),N($R190)&gt;1),$R190/100*1,IF($V190=1,Settings!$C$6,Settings!$C$7)*1))</f>
        <v/>
      </c>
      <c r="T190">
        <f>IF($A190="","",IF(COUNTIF($A$2:$A190,$A190)=1,1,0))</f>
        <v/>
      </c>
      <c r="U190">
        <f>IF($T190=1,SUMPRODUCT(--($W$2:$W$1001&lt;$W190))+1,"")</f>
        <v/>
      </c>
      <c r="V190">
        <f>IF($A190="","",IF(AND(ISNUMBER($R190),NOT(ISLOGICAL($R190)),N($R190)&gt;1),IF(ABS($R190/100-Settings!$C$6)&lt;=ABS($R190/100-Settings!$C$7),1,0),IF(OR($R190=TRUE(),$R190="TRUE"),1,0)))</f>
        <v/>
      </c>
      <c r="W190">
        <f>IF($T190=1,IFERROR(IF(VALUE($A190)&lt;100000000,VALUE($A190),1000000000),IFERROR(IF(VALUE(MID($A190,2,20))&lt;100000000,VALUE(MID($A190,2,20)),1000000000),1000000000))+ROW()/100000,"")</f>
        <v/>
      </c>
    </row>
    <row r="191">
      <c r="F191" s="7">
        <f>IF($A191="","",E191*K191/100)</f>
        <v/>
      </c>
      <c r="J191" s="7" t="n"/>
      <c r="K191" s="7" t="n"/>
      <c r="L191" s="7">
        <f>IF($A191="","",S191*K191)</f>
        <v/>
      </c>
      <c r="M191" s="7">
        <f>IF($A191="","",K191-L191)</f>
        <v/>
      </c>
      <c r="N191" s="7">
        <f>IF($A191="","",M191-F191)</f>
        <v/>
      </c>
      <c r="Q191" s="11" t="n"/>
      <c r="S191">
        <f>IF($A191="","",IF(AND(ISNUMBER($R191),NOT(ISLOGICAL($R191)),N($R191)&gt;1),$R191/100*1,IF($V191=1,Settings!$C$6,Settings!$C$7)*1))</f>
        <v/>
      </c>
      <c r="T191">
        <f>IF($A191="","",IF(COUNTIF($A$2:$A191,$A191)=1,1,0))</f>
        <v/>
      </c>
      <c r="U191">
        <f>IF($T191=1,SUMPRODUCT(--($W$2:$W$1001&lt;$W191))+1,"")</f>
        <v/>
      </c>
      <c r="V191">
        <f>IF($A191="","",IF(AND(ISNUMBER($R191),NOT(ISLOGICAL($R191)),N($R191)&gt;1),IF(ABS($R191/100-Settings!$C$6)&lt;=ABS($R191/100-Settings!$C$7),1,0),IF(OR($R191=TRUE(),$R191="TRUE"),1,0)))</f>
        <v/>
      </c>
      <c r="W191">
        <f>IF($T191=1,IFERROR(IF(VALUE($A191)&lt;100000000,VALUE($A191),1000000000),IFERROR(IF(VALUE(MID($A191,2,20))&lt;100000000,VALUE(MID($A191,2,20)),1000000000),1000000000))+ROW()/100000,"")</f>
        <v/>
      </c>
    </row>
    <row r="192">
      <c r="F192" s="7">
        <f>IF($A192="","",E192*K192/100)</f>
        <v/>
      </c>
      <c r="J192" s="7" t="n"/>
      <c r="K192" s="7" t="n"/>
      <c r="L192" s="7">
        <f>IF($A192="","",S192*K192)</f>
        <v/>
      </c>
      <c r="M192" s="7">
        <f>IF($A192="","",K192-L192)</f>
        <v/>
      </c>
      <c r="N192" s="7">
        <f>IF($A192="","",M192-F192)</f>
        <v/>
      </c>
      <c r="Q192" s="11" t="n"/>
      <c r="S192">
        <f>IF($A192="","",IF(AND(ISNUMBER($R192),NOT(ISLOGICAL($R192)),N($R192)&gt;1),$R192/100*1,IF($V192=1,Settings!$C$6,Settings!$C$7)*1))</f>
        <v/>
      </c>
      <c r="T192">
        <f>IF($A192="","",IF(COUNTIF($A$2:$A192,$A192)=1,1,0))</f>
        <v/>
      </c>
      <c r="U192">
        <f>IF($T192=1,SUMPRODUCT(--($W$2:$W$1001&lt;$W192))+1,"")</f>
        <v/>
      </c>
      <c r="V192">
        <f>IF($A192="","",IF(AND(ISNUMBER($R192),NOT(ISLOGICAL($R192)),N($R192)&gt;1),IF(ABS($R192/100-Settings!$C$6)&lt;=ABS($R192/100-Settings!$C$7),1,0),IF(OR($R192=TRUE(),$R192="TRUE"),1,0)))</f>
        <v/>
      </c>
      <c r="W192">
        <f>IF($T192=1,IFERROR(IF(VALUE($A192)&lt;100000000,VALUE($A192),1000000000),IFERROR(IF(VALUE(MID($A192,2,20))&lt;100000000,VALUE(MID($A192,2,20)),1000000000),1000000000))+ROW()/100000,"")</f>
        <v/>
      </c>
    </row>
    <row r="193">
      <c r="F193" s="7">
        <f>IF($A193="","",E193*K193/100)</f>
        <v/>
      </c>
      <c r="J193" s="7" t="n"/>
      <c r="K193" s="7" t="n"/>
      <c r="L193" s="7">
        <f>IF($A193="","",S193*K193)</f>
        <v/>
      </c>
      <c r="M193" s="7">
        <f>IF($A193="","",K193-L193)</f>
        <v/>
      </c>
      <c r="N193" s="7">
        <f>IF($A193="","",M193-F193)</f>
        <v/>
      </c>
      <c r="Q193" s="11" t="n"/>
      <c r="S193">
        <f>IF($A193="","",IF(AND(ISNUMBER($R193),NOT(ISLOGICAL($R193)),N($R193)&gt;1),$R193/100*1,IF($V193=1,Settings!$C$6,Settings!$C$7)*1))</f>
        <v/>
      </c>
      <c r="T193">
        <f>IF($A193="","",IF(COUNTIF($A$2:$A193,$A193)=1,1,0))</f>
        <v/>
      </c>
      <c r="U193">
        <f>IF($T193=1,SUMPRODUCT(--($W$2:$W$1001&lt;$W193))+1,"")</f>
        <v/>
      </c>
      <c r="V193">
        <f>IF($A193="","",IF(AND(ISNUMBER($R193),NOT(ISLOGICAL($R193)),N($R193)&gt;1),IF(ABS($R193/100-Settings!$C$6)&lt;=ABS($R193/100-Settings!$C$7),1,0),IF(OR($R193=TRUE(),$R193="TRUE"),1,0)))</f>
        <v/>
      </c>
      <c r="W193">
        <f>IF($T193=1,IFERROR(IF(VALUE($A193)&lt;100000000,VALUE($A193),1000000000),IFERROR(IF(VALUE(MID($A193,2,20))&lt;100000000,VALUE(MID($A193,2,20)),1000000000),1000000000))+ROW()/100000,"")</f>
        <v/>
      </c>
    </row>
    <row r="194">
      <c r="F194" s="7">
        <f>IF($A194="","",E194*K194/100)</f>
        <v/>
      </c>
      <c r="J194" s="7" t="n"/>
      <c r="K194" s="7" t="n"/>
      <c r="L194" s="7">
        <f>IF($A194="","",S194*K194)</f>
        <v/>
      </c>
      <c r="M194" s="7">
        <f>IF($A194="","",K194-L194)</f>
        <v/>
      </c>
      <c r="N194" s="7">
        <f>IF($A194="","",M194-F194)</f>
        <v/>
      </c>
      <c r="Q194" s="11" t="n"/>
      <c r="S194">
        <f>IF($A194="","",IF(AND(ISNUMBER($R194),NOT(ISLOGICAL($R194)),N($R194)&gt;1),$R194/100*1,IF($V194=1,Settings!$C$6,Settings!$C$7)*1))</f>
        <v/>
      </c>
      <c r="T194">
        <f>IF($A194="","",IF(COUNTIF($A$2:$A194,$A194)=1,1,0))</f>
        <v/>
      </c>
      <c r="U194">
        <f>IF($T194=1,SUMPRODUCT(--($W$2:$W$1001&lt;$W194))+1,"")</f>
        <v/>
      </c>
      <c r="V194">
        <f>IF($A194="","",IF(AND(ISNUMBER($R194),NOT(ISLOGICAL($R194)),N($R194)&gt;1),IF(ABS($R194/100-Settings!$C$6)&lt;=ABS($R194/100-Settings!$C$7),1,0),IF(OR($R194=TRUE(),$R194="TRUE"),1,0)))</f>
        <v/>
      </c>
      <c r="W194">
        <f>IF($T194=1,IFERROR(IF(VALUE($A194)&lt;100000000,VALUE($A194),1000000000),IFERROR(IF(VALUE(MID($A194,2,20))&lt;100000000,VALUE(MID($A194,2,20)),1000000000),1000000000))+ROW()/100000,"")</f>
        <v/>
      </c>
    </row>
    <row r="195">
      <c r="F195" s="7">
        <f>IF($A195="","",E195*K195/100)</f>
        <v/>
      </c>
      <c r="J195" s="7" t="n"/>
      <c r="K195" s="7" t="n"/>
      <c r="L195" s="7">
        <f>IF($A195="","",S195*K195)</f>
        <v/>
      </c>
      <c r="M195" s="7">
        <f>IF($A195="","",K195-L195)</f>
        <v/>
      </c>
      <c r="N195" s="7">
        <f>IF($A195="","",M195-F195)</f>
        <v/>
      </c>
      <c r="Q195" s="11" t="n"/>
      <c r="S195">
        <f>IF($A195="","",IF(AND(ISNUMBER($R195),NOT(ISLOGICAL($R195)),N($R195)&gt;1),$R195/100*1,IF($V195=1,Settings!$C$6,Settings!$C$7)*1))</f>
        <v/>
      </c>
      <c r="T195">
        <f>IF($A195="","",IF(COUNTIF($A$2:$A195,$A195)=1,1,0))</f>
        <v/>
      </c>
      <c r="U195">
        <f>IF($T195=1,SUMPRODUCT(--($W$2:$W$1001&lt;$W195))+1,"")</f>
        <v/>
      </c>
      <c r="V195">
        <f>IF($A195="","",IF(AND(ISNUMBER($R195),NOT(ISLOGICAL($R195)),N($R195)&gt;1),IF(ABS($R195/100-Settings!$C$6)&lt;=ABS($R195/100-Settings!$C$7),1,0),IF(OR($R195=TRUE(),$R195="TRUE"),1,0)))</f>
        <v/>
      </c>
      <c r="W195">
        <f>IF($T195=1,IFERROR(IF(VALUE($A195)&lt;100000000,VALUE($A195),1000000000),IFERROR(IF(VALUE(MID($A195,2,20))&lt;100000000,VALUE(MID($A195,2,20)),1000000000),1000000000))+ROW()/100000,"")</f>
        <v/>
      </c>
    </row>
    <row r="196">
      <c r="F196" s="7">
        <f>IF($A196="","",E196*K196/100)</f>
        <v/>
      </c>
      <c r="J196" s="7" t="n"/>
      <c r="K196" s="7" t="n"/>
      <c r="L196" s="7">
        <f>IF($A196="","",S196*K196)</f>
        <v/>
      </c>
      <c r="M196" s="7">
        <f>IF($A196="","",K196-L196)</f>
        <v/>
      </c>
      <c r="N196" s="7">
        <f>IF($A196="","",M196-F196)</f>
        <v/>
      </c>
      <c r="Q196" s="11" t="n"/>
      <c r="S196">
        <f>IF($A196="","",IF(AND(ISNUMBER($R196),NOT(ISLOGICAL($R196)),N($R196)&gt;1),$R196/100*1,IF($V196=1,Settings!$C$6,Settings!$C$7)*1))</f>
        <v/>
      </c>
      <c r="T196">
        <f>IF($A196="","",IF(COUNTIF($A$2:$A196,$A196)=1,1,0))</f>
        <v/>
      </c>
      <c r="U196">
        <f>IF($T196=1,SUMPRODUCT(--($W$2:$W$1001&lt;$W196))+1,"")</f>
        <v/>
      </c>
      <c r="V196">
        <f>IF($A196="","",IF(AND(ISNUMBER($R196),NOT(ISLOGICAL($R196)),N($R196)&gt;1),IF(ABS($R196/100-Settings!$C$6)&lt;=ABS($R196/100-Settings!$C$7),1,0),IF(OR($R196=TRUE(),$R196="TRUE"),1,0)))</f>
        <v/>
      </c>
      <c r="W196">
        <f>IF($T196=1,IFERROR(IF(VALUE($A196)&lt;100000000,VALUE($A196),1000000000),IFERROR(IF(VALUE(MID($A196,2,20))&lt;100000000,VALUE(MID($A196,2,20)),1000000000),1000000000))+ROW()/100000,"")</f>
        <v/>
      </c>
    </row>
    <row r="197">
      <c r="F197" s="7">
        <f>IF($A197="","",E197*K197/100)</f>
        <v/>
      </c>
      <c r="J197" s="7" t="n"/>
      <c r="K197" s="7" t="n"/>
      <c r="L197" s="7">
        <f>IF($A197="","",S197*K197)</f>
        <v/>
      </c>
      <c r="M197" s="7">
        <f>IF($A197="","",K197-L197)</f>
        <v/>
      </c>
      <c r="N197" s="7">
        <f>IF($A197="","",M197-F197)</f>
        <v/>
      </c>
      <c r="Q197" s="11" t="n"/>
      <c r="S197">
        <f>IF($A197="","",IF(AND(ISNUMBER($R197),NOT(ISLOGICAL($R197)),N($R197)&gt;1),$R197/100*1,IF($V197=1,Settings!$C$6,Settings!$C$7)*1))</f>
        <v/>
      </c>
      <c r="T197">
        <f>IF($A197="","",IF(COUNTIF($A$2:$A197,$A197)=1,1,0))</f>
        <v/>
      </c>
      <c r="U197">
        <f>IF($T197=1,SUMPRODUCT(--($W$2:$W$1001&lt;$W197))+1,"")</f>
        <v/>
      </c>
      <c r="V197">
        <f>IF($A197="","",IF(AND(ISNUMBER($R197),NOT(ISLOGICAL($R197)),N($R197)&gt;1),IF(ABS($R197/100-Settings!$C$6)&lt;=ABS($R197/100-Settings!$C$7),1,0),IF(OR($R197=TRUE(),$R197="TRUE"),1,0)))</f>
        <v/>
      </c>
      <c r="W197">
        <f>IF($T197=1,IFERROR(IF(VALUE($A197)&lt;100000000,VALUE($A197),1000000000),IFERROR(IF(VALUE(MID($A197,2,20))&lt;100000000,VALUE(MID($A197,2,20)),1000000000),1000000000))+ROW()/100000,"")</f>
        <v/>
      </c>
    </row>
    <row r="198">
      <c r="F198" s="7">
        <f>IF($A198="","",E198*K198/100)</f>
        <v/>
      </c>
      <c r="J198" s="7" t="n"/>
      <c r="K198" s="7" t="n"/>
      <c r="L198" s="7">
        <f>IF($A198="","",S198*K198)</f>
        <v/>
      </c>
      <c r="M198" s="7">
        <f>IF($A198="","",K198-L198)</f>
        <v/>
      </c>
      <c r="N198" s="7">
        <f>IF($A198="","",M198-F198)</f>
        <v/>
      </c>
      <c r="Q198" s="11" t="n"/>
      <c r="S198">
        <f>IF($A198="","",IF(AND(ISNUMBER($R198),NOT(ISLOGICAL($R198)),N($R198)&gt;1),$R198/100*1,IF($V198=1,Settings!$C$6,Settings!$C$7)*1))</f>
        <v/>
      </c>
      <c r="T198">
        <f>IF($A198="","",IF(COUNTIF($A$2:$A198,$A198)=1,1,0))</f>
        <v/>
      </c>
      <c r="U198">
        <f>IF($T198=1,SUMPRODUCT(--($W$2:$W$1001&lt;$W198))+1,"")</f>
        <v/>
      </c>
      <c r="V198">
        <f>IF($A198="","",IF(AND(ISNUMBER($R198),NOT(ISLOGICAL($R198)),N($R198)&gt;1),IF(ABS($R198/100-Settings!$C$6)&lt;=ABS($R198/100-Settings!$C$7),1,0),IF(OR($R198=TRUE(),$R198="TRUE"),1,0)))</f>
        <v/>
      </c>
      <c r="W198">
        <f>IF($T198=1,IFERROR(IF(VALUE($A198)&lt;100000000,VALUE($A198),1000000000),IFERROR(IF(VALUE(MID($A198,2,20))&lt;100000000,VALUE(MID($A198,2,20)),1000000000),1000000000))+ROW()/100000,"")</f>
        <v/>
      </c>
    </row>
    <row r="199">
      <c r="F199" s="7">
        <f>IF($A199="","",E199*K199/100)</f>
        <v/>
      </c>
      <c r="J199" s="7" t="n"/>
      <c r="K199" s="7" t="n"/>
      <c r="L199" s="7">
        <f>IF($A199="","",S199*K199)</f>
        <v/>
      </c>
      <c r="M199" s="7">
        <f>IF($A199="","",K199-L199)</f>
        <v/>
      </c>
      <c r="N199" s="7">
        <f>IF($A199="","",M199-F199)</f>
        <v/>
      </c>
      <c r="Q199" s="11" t="n"/>
      <c r="S199">
        <f>IF($A199="","",IF(AND(ISNUMBER($R199),NOT(ISLOGICAL($R199)),N($R199)&gt;1),$R199/100*1,IF($V199=1,Settings!$C$6,Settings!$C$7)*1))</f>
        <v/>
      </c>
      <c r="T199">
        <f>IF($A199="","",IF(COUNTIF($A$2:$A199,$A199)=1,1,0))</f>
        <v/>
      </c>
      <c r="U199">
        <f>IF($T199=1,SUMPRODUCT(--($W$2:$W$1001&lt;$W199))+1,"")</f>
        <v/>
      </c>
      <c r="V199">
        <f>IF($A199="","",IF(AND(ISNUMBER($R199),NOT(ISLOGICAL($R199)),N($R199)&gt;1),IF(ABS($R199/100-Settings!$C$6)&lt;=ABS($R199/100-Settings!$C$7),1,0),IF(OR($R199=TRUE(),$R199="TRUE"),1,0)))</f>
        <v/>
      </c>
      <c r="W199">
        <f>IF($T199=1,IFERROR(IF(VALUE($A199)&lt;100000000,VALUE($A199),1000000000),IFERROR(IF(VALUE(MID($A199,2,20))&lt;100000000,VALUE(MID($A199,2,20)),1000000000),1000000000))+ROW()/100000,"")</f>
        <v/>
      </c>
    </row>
    <row r="200">
      <c r="F200" s="7">
        <f>IF($A200="","",E200*K200/100)</f>
        <v/>
      </c>
      <c r="J200" s="7" t="n"/>
      <c r="K200" s="7" t="n"/>
      <c r="L200" s="7">
        <f>IF($A200="","",S200*K200)</f>
        <v/>
      </c>
      <c r="M200" s="7">
        <f>IF($A200="","",K200-L200)</f>
        <v/>
      </c>
      <c r="N200" s="7">
        <f>IF($A200="","",M200-F200)</f>
        <v/>
      </c>
      <c r="Q200" s="11" t="n"/>
      <c r="S200">
        <f>IF($A200="","",IF(AND(ISNUMBER($R200),NOT(ISLOGICAL($R200)),N($R200)&gt;1),$R200/100*1,IF($V200=1,Settings!$C$6,Settings!$C$7)*1))</f>
        <v/>
      </c>
      <c r="T200">
        <f>IF($A200="","",IF(COUNTIF($A$2:$A200,$A200)=1,1,0))</f>
        <v/>
      </c>
      <c r="U200">
        <f>IF($T200=1,SUMPRODUCT(--($W$2:$W$1001&lt;$W200))+1,"")</f>
        <v/>
      </c>
      <c r="V200">
        <f>IF($A200="","",IF(AND(ISNUMBER($R200),NOT(ISLOGICAL($R200)),N($R200)&gt;1),IF(ABS($R200/100-Settings!$C$6)&lt;=ABS($R200/100-Settings!$C$7),1,0),IF(OR($R200=TRUE(),$R200="TRUE"),1,0)))</f>
        <v/>
      </c>
      <c r="W200">
        <f>IF($T200=1,IFERROR(IF(VALUE($A200)&lt;100000000,VALUE($A200),1000000000),IFERROR(IF(VALUE(MID($A200,2,20))&lt;100000000,VALUE(MID($A200,2,20)),1000000000),1000000000))+ROW()/100000,"")</f>
        <v/>
      </c>
    </row>
    <row r="201">
      <c r="F201" s="7">
        <f>IF($A201="","",E201*K201/100)</f>
        <v/>
      </c>
      <c r="J201" s="7" t="n"/>
      <c r="K201" s="7" t="n"/>
      <c r="L201" s="7">
        <f>IF($A201="","",S201*K201)</f>
        <v/>
      </c>
      <c r="M201" s="7">
        <f>IF($A201="","",K201-L201)</f>
        <v/>
      </c>
      <c r="N201" s="7">
        <f>IF($A201="","",M201-F201)</f>
        <v/>
      </c>
      <c r="Q201" s="11" t="n"/>
      <c r="S201">
        <f>IF($A201="","",IF(AND(ISNUMBER($R201),NOT(ISLOGICAL($R201)),N($R201)&gt;1),$R201/100*1,IF($V201=1,Settings!$C$6,Settings!$C$7)*1))</f>
        <v/>
      </c>
      <c r="T201">
        <f>IF($A201="","",IF(COUNTIF($A$2:$A201,$A201)=1,1,0))</f>
        <v/>
      </c>
      <c r="U201">
        <f>IF($T201=1,SUMPRODUCT(--($W$2:$W$1001&lt;$W201))+1,"")</f>
        <v/>
      </c>
      <c r="V201">
        <f>IF($A201="","",IF(AND(ISNUMBER($R201),NOT(ISLOGICAL($R201)),N($R201)&gt;1),IF(ABS($R201/100-Settings!$C$6)&lt;=ABS($R201/100-Settings!$C$7),1,0),IF(OR($R201=TRUE(),$R201="TRUE"),1,0)))</f>
        <v/>
      </c>
      <c r="W201">
        <f>IF($T201=1,IFERROR(IF(VALUE($A201)&lt;100000000,VALUE($A201),1000000000),IFERROR(IF(VALUE(MID($A201,2,20))&lt;100000000,VALUE(MID($A201,2,20)),1000000000),1000000000))+ROW()/100000,"")</f>
        <v/>
      </c>
    </row>
    <row r="202">
      <c r="F202" s="7">
        <f>IF($A202="","",E202*K202/100)</f>
        <v/>
      </c>
      <c r="J202" s="7" t="n"/>
      <c r="K202" s="7" t="n"/>
      <c r="L202" s="7">
        <f>IF($A202="","",S202*K202)</f>
        <v/>
      </c>
      <c r="M202" s="7">
        <f>IF($A202="","",K202-L202)</f>
        <v/>
      </c>
      <c r="N202" s="7">
        <f>IF($A202="","",M202-F202)</f>
        <v/>
      </c>
      <c r="Q202" s="11" t="n"/>
      <c r="S202">
        <f>IF($A202="","",IF(AND(ISNUMBER($R202),NOT(ISLOGICAL($R202)),N($R202)&gt;1),$R202/100*1,IF($V202=1,Settings!$C$6,Settings!$C$7)*1))</f>
        <v/>
      </c>
      <c r="T202">
        <f>IF($A202="","",IF(COUNTIF($A$2:$A202,$A202)=1,1,0))</f>
        <v/>
      </c>
      <c r="U202">
        <f>IF($T202=1,SUMPRODUCT(--($W$2:$W$1001&lt;$W202))+1,"")</f>
        <v/>
      </c>
      <c r="V202">
        <f>IF($A202="","",IF(AND(ISNUMBER($R202),NOT(ISLOGICAL($R202)),N($R202)&gt;1),IF(ABS($R202/100-Settings!$C$6)&lt;=ABS($R202/100-Settings!$C$7),1,0),IF(OR($R202=TRUE(),$R202="TRUE"),1,0)))</f>
        <v/>
      </c>
      <c r="W202">
        <f>IF($T202=1,IFERROR(IF(VALUE($A202)&lt;100000000,VALUE($A202),1000000000),IFERROR(IF(VALUE(MID($A202,2,20))&lt;100000000,VALUE(MID($A202,2,20)),1000000000),1000000000))+ROW()/100000,"")</f>
        <v/>
      </c>
    </row>
    <row r="203">
      <c r="F203" s="7">
        <f>IF($A203="","",E203*K203/100)</f>
        <v/>
      </c>
      <c r="J203" s="7" t="n"/>
      <c r="K203" s="7" t="n"/>
      <c r="L203" s="7">
        <f>IF($A203="","",S203*K203)</f>
        <v/>
      </c>
      <c r="M203" s="7">
        <f>IF($A203="","",K203-L203)</f>
        <v/>
      </c>
      <c r="N203" s="7">
        <f>IF($A203="","",M203-F203)</f>
        <v/>
      </c>
      <c r="Q203" s="11" t="n"/>
      <c r="S203">
        <f>IF($A203="","",IF(AND(ISNUMBER($R203),NOT(ISLOGICAL($R203)),N($R203)&gt;1),$R203/100*1,IF($V203=1,Settings!$C$6,Settings!$C$7)*1))</f>
        <v/>
      </c>
      <c r="T203">
        <f>IF($A203="","",IF(COUNTIF($A$2:$A203,$A203)=1,1,0))</f>
        <v/>
      </c>
      <c r="U203">
        <f>IF($T203=1,SUMPRODUCT(--($W$2:$W$1001&lt;$W203))+1,"")</f>
        <v/>
      </c>
      <c r="V203">
        <f>IF($A203="","",IF(AND(ISNUMBER($R203),NOT(ISLOGICAL($R203)),N($R203)&gt;1),IF(ABS($R203/100-Settings!$C$6)&lt;=ABS($R203/100-Settings!$C$7),1,0),IF(OR($R203=TRUE(),$R203="TRUE"),1,0)))</f>
        <v/>
      </c>
      <c r="W203">
        <f>IF($T203=1,IFERROR(IF(VALUE($A203)&lt;100000000,VALUE($A203),1000000000),IFERROR(IF(VALUE(MID($A203,2,20))&lt;100000000,VALUE(MID($A203,2,20)),1000000000),1000000000))+ROW()/100000,"")</f>
        <v/>
      </c>
    </row>
    <row r="204">
      <c r="F204" s="7">
        <f>IF($A204="","",E204*K204/100)</f>
        <v/>
      </c>
      <c r="J204" s="7" t="n"/>
      <c r="K204" s="7" t="n"/>
      <c r="L204" s="7">
        <f>IF($A204="","",S204*K204)</f>
        <v/>
      </c>
      <c r="M204" s="7">
        <f>IF($A204="","",K204-L204)</f>
        <v/>
      </c>
      <c r="N204" s="7">
        <f>IF($A204="","",M204-F204)</f>
        <v/>
      </c>
      <c r="Q204" s="11" t="n"/>
      <c r="S204">
        <f>IF($A204="","",IF(AND(ISNUMBER($R204),NOT(ISLOGICAL($R204)),N($R204)&gt;1),$R204/100*1,IF($V204=1,Settings!$C$6,Settings!$C$7)*1))</f>
        <v/>
      </c>
      <c r="T204">
        <f>IF($A204="","",IF(COUNTIF($A$2:$A204,$A204)=1,1,0))</f>
        <v/>
      </c>
      <c r="U204">
        <f>IF($T204=1,SUMPRODUCT(--($W$2:$W$1001&lt;$W204))+1,"")</f>
        <v/>
      </c>
      <c r="V204">
        <f>IF($A204="","",IF(AND(ISNUMBER($R204),NOT(ISLOGICAL($R204)),N($R204)&gt;1),IF(ABS($R204/100-Settings!$C$6)&lt;=ABS($R204/100-Settings!$C$7),1,0),IF(OR($R204=TRUE(),$R204="TRUE"),1,0)))</f>
        <v/>
      </c>
      <c r="W204">
        <f>IF($T204=1,IFERROR(IF(VALUE($A204)&lt;100000000,VALUE($A204),1000000000),IFERROR(IF(VALUE(MID($A204,2,20))&lt;100000000,VALUE(MID($A204,2,20)),1000000000),1000000000))+ROW()/100000,"")</f>
        <v/>
      </c>
    </row>
    <row r="205">
      <c r="F205" s="7">
        <f>IF($A205="","",E205*K205/100)</f>
        <v/>
      </c>
      <c r="J205" s="7" t="n"/>
      <c r="K205" s="7" t="n"/>
      <c r="L205" s="7">
        <f>IF($A205="","",S205*K205)</f>
        <v/>
      </c>
      <c r="M205" s="7">
        <f>IF($A205="","",K205-L205)</f>
        <v/>
      </c>
      <c r="N205" s="7">
        <f>IF($A205="","",M205-F205)</f>
        <v/>
      </c>
      <c r="Q205" s="11" t="n"/>
      <c r="S205">
        <f>IF($A205="","",IF(AND(ISNUMBER($R205),NOT(ISLOGICAL($R205)),N($R205)&gt;1),$R205/100*1,IF($V205=1,Settings!$C$6,Settings!$C$7)*1))</f>
        <v/>
      </c>
      <c r="T205">
        <f>IF($A205="","",IF(COUNTIF($A$2:$A205,$A205)=1,1,0))</f>
        <v/>
      </c>
      <c r="U205">
        <f>IF($T205=1,SUMPRODUCT(--($W$2:$W$1001&lt;$W205))+1,"")</f>
        <v/>
      </c>
      <c r="V205">
        <f>IF($A205="","",IF(AND(ISNUMBER($R205),NOT(ISLOGICAL($R205)),N($R205)&gt;1),IF(ABS($R205/100-Settings!$C$6)&lt;=ABS($R205/100-Settings!$C$7),1,0),IF(OR($R205=TRUE(),$R205="TRUE"),1,0)))</f>
        <v/>
      </c>
      <c r="W205">
        <f>IF($T205=1,IFERROR(IF(VALUE($A205)&lt;100000000,VALUE($A205),1000000000),IFERROR(IF(VALUE(MID($A205,2,20))&lt;100000000,VALUE(MID($A205,2,20)),1000000000),1000000000))+ROW()/100000,"")</f>
        <v/>
      </c>
    </row>
    <row r="206">
      <c r="F206" s="7">
        <f>IF($A206="","",E206*K206/100)</f>
        <v/>
      </c>
      <c r="J206" s="7" t="n"/>
      <c r="K206" s="7" t="n"/>
      <c r="L206" s="7">
        <f>IF($A206="","",S206*K206)</f>
        <v/>
      </c>
      <c r="M206" s="7">
        <f>IF($A206="","",K206-L206)</f>
        <v/>
      </c>
      <c r="N206" s="7">
        <f>IF($A206="","",M206-F206)</f>
        <v/>
      </c>
      <c r="Q206" s="11" t="n"/>
      <c r="S206">
        <f>IF($A206="","",IF(AND(ISNUMBER($R206),NOT(ISLOGICAL($R206)),N($R206)&gt;1),$R206/100*1,IF($V206=1,Settings!$C$6,Settings!$C$7)*1))</f>
        <v/>
      </c>
      <c r="T206">
        <f>IF($A206="","",IF(COUNTIF($A$2:$A206,$A206)=1,1,0))</f>
        <v/>
      </c>
      <c r="U206">
        <f>IF($T206=1,SUMPRODUCT(--($W$2:$W$1001&lt;$W206))+1,"")</f>
        <v/>
      </c>
      <c r="V206">
        <f>IF($A206="","",IF(AND(ISNUMBER($R206),NOT(ISLOGICAL($R206)),N($R206)&gt;1),IF(ABS($R206/100-Settings!$C$6)&lt;=ABS($R206/100-Settings!$C$7),1,0),IF(OR($R206=TRUE(),$R206="TRUE"),1,0)))</f>
        <v/>
      </c>
      <c r="W206">
        <f>IF($T206=1,IFERROR(IF(VALUE($A206)&lt;100000000,VALUE($A206),1000000000),IFERROR(IF(VALUE(MID($A206,2,20))&lt;100000000,VALUE(MID($A206,2,20)),1000000000),1000000000))+ROW()/100000,"")</f>
        <v/>
      </c>
    </row>
    <row r="207">
      <c r="F207" s="7">
        <f>IF($A207="","",E207*K207/100)</f>
        <v/>
      </c>
      <c r="J207" s="7" t="n"/>
      <c r="K207" s="7" t="n"/>
      <c r="L207" s="7">
        <f>IF($A207="","",S207*K207)</f>
        <v/>
      </c>
      <c r="M207" s="7">
        <f>IF($A207="","",K207-L207)</f>
        <v/>
      </c>
      <c r="N207" s="7">
        <f>IF($A207="","",M207-F207)</f>
        <v/>
      </c>
      <c r="Q207" s="11" t="n"/>
      <c r="S207">
        <f>IF($A207="","",IF(AND(ISNUMBER($R207),NOT(ISLOGICAL($R207)),N($R207)&gt;1),$R207/100*1,IF($V207=1,Settings!$C$6,Settings!$C$7)*1))</f>
        <v/>
      </c>
      <c r="T207">
        <f>IF($A207="","",IF(COUNTIF($A$2:$A207,$A207)=1,1,0))</f>
        <v/>
      </c>
      <c r="U207">
        <f>IF($T207=1,SUMPRODUCT(--($W$2:$W$1001&lt;$W207))+1,"")</f>
        <v/>
      </c>
      <c r="V207">
        <f>IF($A207="","",IF(AND(ISNUMBER($R207),NOT(ISLOGICAL($R207)),N($R207)&gt;1),IF(ABS($R207/100-Settings!$C$6)&lt;=ABS($R207/100-Settings!$C$7),1,0),IF(OR($R207=TRUE(),$R207="TRUE"),1,0)))</f>
        <v/>
      </c>
      <c r="W207">
        <f>IF($T207=1,IFERROR(IF(VALUE($A207)&lt;100000000,VALUE($A207),1000000000),IFERROR(IF(VALUE(MID($A207,2,20))&lt;100000000,VALUE(MID($A207,2,20)),1000000000),1000000000))+ROW()/100000,"")</f>
        <v/>
      </c>
    </row>
    <row r="208">
      <c r="F208" s="7">
        <f>IF($A208="","",E208*K208/100)</f>
        <v/>
      </c>
      <c r="J208" s="7" t="n"/>
      <c r="K208" s="7" t="n"/>
      <c r="L208" s="7">
        <f>IF($A208="","",S208*K208)</f>
        <v/>
      </c>
      <c r="M208" s="7">
        <f>IF($A208="","",K208-L208)</f>
        <v/>
      </c>
      <c r="N208" s="7">
        <f>IF($A208="","",M208-F208)</f>
        <v/>
      </c>
      <c r="Q208" s="11" t="n"/>
      <c r="S208">
        <f>IF($A208="","",IF(AND(ISNUMBER($R208),NOT(ISLOGICAL($R208)),N($R208)&gt;1),$R208/100*1,IF($V208=1,Settings!$C$6,Settings!$C$7)*1))</f>
        <v/>
      </c>
      <c r="T208">
        <f>IF($A208="","",IF(COUNTIF($A$2:$A208,$A208)=1,1,0))</f>
        <v/>
      </c>
      <c r="U208">
        <f>IF($T208=1,SUMPRODUCT(--($W$2:$W$1001&lt;$W208))+1,"")</f>
        <v/>
      </c>
      <c r="V208">
        <f>IF($A208="","",IF(AND(ISNUMBER($R208),NOT(ISLOGICAL($R208)),N($R208)&gt;1),IF(ABS($R208/100-Settings!$C$6)&lt;=ABS($R208/100-Settings!$C$7),1,0),IF(OR($R208=TRUE(),$R208="TRUE"),1,0)))</f>
        <v/>
      </c>
      <c r="W208">
        <f>IF($T208=1,IFERROR(IF(VALUE($A208)&lt;100000000,VALUE($A208),1000000000),IFERROR(IF(VALUE(MID($A208,2,20))&lt;100000000,VALUE(MID($A208,2,20)),1000000000),1000000000))+ROW()/100000,"")</f>
        <v/>
      </c>
    </row>
    <row r="209">
      <c r="F209" s="7">
        <f>IF($A209="","",E209*K209/100)</f>
        <v/>
      </c>
      <c r="J209" s="7" t="n"/>
      <c r="K209" s="7" t="n"/>
      <c r="L209" s="7">
        <f>IF($A209="","",S209*K209)</f>
        <v/>
      </c>
      <c r="M209" s="7">
        <f>IF($A209="","",K209-L209)</f>
        <v/>
      </c>
      <c r="N209" s="7">
        <f>IF($A209="","",M209-F209)</f>
        <v/>
      </c>
      <c r="Q209" s="11" t="n"/>
      <c r="S209">
        <f>IF($A209="","",IF(AND(ISNUMBER($R209),NOT(ISLOGICAL($R209)),N($R209)&gt;1),$R209/100*1,IF($V209=1,Settings!$C$6,Settings!$C$7)*1))</f>
        <v/>
      </c>
      <c r="T209">
        <f>IF($A209="","",IF(COUNTIF($A$2:$A209,$A209)=1,1,0))</f>
        <v/>
      </c>
      <c r="U209">
        <f>IF($T209=1,SUMPRODUCT(--($W$2:$W$1001&lt;$W209))+1,"")</f>
        <v/>
      </c>
      <c r="V209">
        <f>IF($A209="","",IF(AND(ISNUMBER($R209),NOT(ISLOGICAL($R209)),N($R209)&gt;1),IF(ABS($R209/100-Settings!$C$6)&lt;=ABS($R209/100-Settings!$C$7),1,0),IF(OR($R209=TRUE(),$R209="TRUE"),1,0)))</f>
        <v/>
      </c>
      <c r="W209">
        <f>IF($T209=1,IFERROR(IF(VALUE($A209)&lt;100000000,VALUE($A209),1000000000),IFERROR(IF(VALUE(MID($A209,2,20))&lt;100000000,VALUE(MID($A209,2,20)),1000000000),1000000000))+ROW()/100000,"")</f>
        <v/>
      </c>
    </row>
    <row r="210">
      <c r="F210" s="7">
        <f>IF($A210="","",E210*K210/100)</f>
        <v/>
      </c>
      <c r="J210" s="7" t="n"/>
      <c r="K210" s="7" t="n"/>
      <c r="L210" s="7">
        <f>IF($A210="","",S210*K210)</f>
        <v/>
      </c>
      <c r="M210" s="7">
        <f>IF($A210="","",K210-L210)</f>
        <v/>
      </c>
      <c r="N210" s="7">
        <f>IF($A210="","",M210-F210)</f>
        <v/>
      </c>
      <c r="Q210" s="11" t="n"/>
      <c r="S210">
        <f>IF($A210="","",IF(AND(ISNUMBER($R210),NOT(ISLOGICAL($R210)),N($R210)&gt;1),$R210/100*1,IF($V210=1,Settings!$C$6,Settings!$C$7)*1))</f>
        <v/>
      </c>
      <c r="T210">
        <f>IF($A210="","",IF(COUNTIF($A$2:$A210,$A210)=1,1,0))</f>
        <v/>
      </c>
      <c r="U210">
        <f>IF($T210=1,SUMPRODUCT(--($W$2:$W$1001&lt;$W210))+1,"")</f>
        <v/>
      </c>
      <c r="V210">
        <f>IF($A210="","",IF(AND(ISNUMBER($R210),NOT(ISLOGICAL($R210)),N($R210)&gt;1),IF(ABS($R210/100-Settings!$C$6)&lt;=ABS($R210/100-Settings!$C$7),1,0),IF(OR($R210=TRUE(),$R210="TRUE"),1,0)))</f>
        <v/>
      </c>
      <c r="W210">
        <f>IF($T210=1,IFERROR(IF(VALUE($A210)&lt;100000000,VALUE($A210),1000000000),IFERROR(IF(VALUE(MID($A210,2,20))&lt;100000000,VALUE(MID($A210,2,20)),1000000000),1000000000))+ROW()/100000,"")</f>
        <v/>
      </c>
    </row>
    <row r="211">
      <c r="F211" s="7">
        <f>IF($A211="","",E211*K211/100)</f>
        <v/>
      </c>
      <c r="J211" s="7" t="n"/>
      <c r="K211" s="7" t="n"/>
      <c r="L211" s="7">
        <f>IF($A211="","",S211*K211)</f>
        <v/>
      </c>
      <c r="M211" s="7">
        <f>IF($A211="","",K211-L211)</f>
        <v/>
      </c>
      <c r="N211" s="7">
        <f>IF($A211="","",M211-F211)</f>
        <v/>
      </c>
      <c r="Q211" s="11" t="n"/>
      <c r="S211">
        <f>IF($A211="","",IF(AND(ISNUMBER($R211),NOT(ISLOGICAL($R211)),N($R211)&gt;1),$R211/100*1,IF($V211=1,Settings!$C$6,Settings!$C$7)*1))</f>
        <v/>
      </c>
      <c r="T211">
        <f>IF($A211="","",IF(COUNTIF($A$2:$A211,$A211)=1,1,0))</f>
        <v/>
      </c>
      <c r="U211">
        <f>IF($T211=1,SUMPRODUCT(--($W$2:$W$1001&lt;$W211))+1,"")</f>
        <v/>
      </c>
      <c r="V211">
        <f>IF($A211="","",IF(AND(ISNUMBER($R211),NOT(ISLOGICAL($R211)),N($R211)&gt;1),IF(ABS($R211/100-Settings!$C$6)&lt;=ABS($R211/100-Settings!$C$7),1,0),IF(OR($R211=TRUE(),$R211="TRUE"),1,0)))</f>
        <v/>
      </c>
      <c r="W211">
        <f>IF($T211=1,IFERROR(IF(VALUE($A211)&lt;100000000,VALUE($A211),1000000000),IFERROR(IF(VALUE(MID($A211,2,20))&lt;100000000,VALUE(MID($A211,2,20)),1000000000),1000000000))+ROW()/100000,"")</f>
        <v/>
      </c>
    </row>
    <row r="212">
      <c r="F212" s="7">
        <f>IF($A212="","",E212*K212/100)</f>
        <v/>
      </c>
      <c r="J212" s="7" t="n"/>
      <c r="K212" s="7" t="n"/>
      <c r="L212" s="7">
        <f>IF($A212="","",S212*K212)</f>
        <v/>
      </c>
      <c r="M212" s="7">
        <f>IF($A212="","",K212-L212)</f>
        <v/>
      </c>
      <c r="N212" s="7">
        <f>IF($A212="","",M212-F212)</f>
        <v/>
      </c>
      <c r="Q212" s="11" t="n"/>
      <c r="S212">
        <f>IF($A212="","",IF(AND(ISNUMBER($R212),NOT(ISLOGICAL($R212)),N($R212)&gt;1),$R212/100*1,IF($V212=1,Settings!$C$6,Settings!$C$7)*1))</f>
        <v/>
      </c>
      <c r="T212">
        <f>IF($A212="","",IF(COUNTIF($A$2:$A212,$A212)=1,1,0))</f>
        <v/>
      </c>
      <c r="U212">
        <f>IF($T212=1,SUMPRODUCT(--($W$2:$W$1001&lt;$W212))+1,"")</f>
        <v/>
      </c>
      <c r="V212">
        <f>IF($A212="","",IF(AND(ISNUMBER($R212),NOT(ISLOGICAL($R212)),N($R212)&gt;1),IF(ABS($R212/100-Settings!$C$6)&lt;=ABS($R212/100-Settings!$C$7),1,0),IF(OR($R212=TRUE(),$R212="TRUE"),1,0)))</f>
        <v/>
      </c>
      <c r="W212">
        <f>IF($T212=1,IFERROR(IF(VALUE($A212)&lt;100000000,VALUE($A212),1000000000),IFERROR(IF(VALUE(MID($A212,2,20))&lt;100000000,VALUE(MID($A212,2,20)),1000000000),1000000000))+ROW()/100000,"")</f>
        <v/>
      </c>
    </row>
    <row r="213">
      <c r="F213" s="7">
        <f>IF($A213="","",E213*K213/100)</f>
        <v/>
      </c>
      <c r="J213" s="7" t="n"/>
      <c r="K213" s="7" t="n"/>
      <c r="L213" s="7">
        <f>IF($A213="","",S213*K213)</f>
        <v/>
      </c>
      <c r="M213" s="7">
        <f>IF($A213="","",K213-L213)</f>
        <v/>
      </c>
      <c r="N213" s="7">
        <f>IF($A213="","",M213-F213)</f>
        <v/>
      </c>
      <c r="Q213" s="11" t="n"/>
      <c r="S213">
        <f>IF($A213="","",IF(AND(ISNUMBER($R213),NOT(ISLOGICAL($R213)),N($R213)&gt;1),$R213/100*1,IF($V213=1,Settings!$C$6,Settings!$C$7)*1))</f>
        <v/>
      </c>
      <c r="T213">
        <f>IF($A213="","",IF(COUNTIF($A$2:$A213,$A213)=1,1,0))</f>
        <v/>
      </c>
      <c r="U213">
        <f>IF($T213=1,SUMPRODUCT(--($W$2:$W$1001&lt;$W213))+1,"")</f>
        <v/>
      </c>
      <c r="V213">
        <f>IF($A213="","",IF(AND(ISNUMBER($R213),NOT(ISLOGICAL($R213)),N($R213)&gt;1),IF(ABS($R213/100-Settings!$C$6)&lt;=ABS($R213/100-Settings!$C$7),1,0),IF(OR($R213=TRUE(),$R213="TRUE"),1,0)))</f>
        <v/>
      </c>
      <c r="W213">
        <f>IF($T213=1,IFERROR(IF(VALUE($A213)&lt;100000000,VALUE($A213),1000000000),IFERROR(IF(VALUE(MID($A213,2,20))&lt;100000000,VALUE(MID($A213,2,20)),1000000000),1000000000))+ROW()/100000,"")</f>
        <v/>
      </c>
    </row>
    <row r="214">
      <c r="F214" s="7">
        <f>IF($A214="","",E214*K214/100)</f>
        <v/>
      </c>
      <c r="J214" s="7" t="n"/>
      <c r="K214" s="7" t="n"/>
      <c r="L214" s="7">
        <f>IF($A214="","",S214*K214)</f>
        <v/>
      </c>
      <c r="M214" s="7">
        <f>IF($A214="","",K214-L214)</f>
        <v/>
      </c>
      <c r="N214" s="7">
        <f>IF($A214="","",M214-F214)</f>
        <v/>
      </c>
      <c r="Q214" s="11" t="n"/>
      <c r="S214">
        <f>IF($A214="","",IF(AND(ISNUMBER($R214),NOT(ISLOGICAL($R214)),N($R214)&gt;1),$R214/100*1,IF($V214=1,Settings!$C$6,Settings!$C$7)*1))</f>
        <v/>
      </c>
      <c r="T214">
        <f>IF($A214="","",IF(COUNTIF($A$2:$A214,$A214)=1,1,0))</f>
        <v/>
      </c>
      <c r="U214">
        <f>IF($T214=1,SUMPRODUCT(--($W$2:$W$1001&lt;$W214))+1,"")</f>
        <v/>
      </c>
      <c r="V214">
        <f>IF($A214="","",IF(AND(ISNUMBER($R214),NOT(ISLOGICAL($R214)),N($R214)&gt;1),IF(ABS($R214/100-Settings!$C$6)&lt;=ABS($R214/100-Settings!$C$7),1,0),IF(OR($R214=TRUE(),$R214="TRUE"),1,0)))</f>
        <v/>
      </c>
      <c r="W214">
        <f>IF($T214=1,IFERROR(IF(VALUE($A214)&lt;100000000,VALUE($A214),1000000000),IFERROR(IF(VALUE(MID($A214,2,20))&lt;100000000,VALUE(MID($A214,2,20)),1000000000),1000000000))+ROW()/100000,"")</f>
        <v/>
      </c>
    </row>
    <row r="215">
      <c r="F215" s="7">
        <f>IF($A215="","",E215*K215/100)</f>
        <v/>
      </c>
      <c r="J215" s="7" t="n"/>
      <c r="K215" s="7" t="n"/>
      <c r="L215" s="7">
        <f>IF($A215="","",S215*K215)</f>
        <v/>
      </c>
      <c r="M215" s="7">
        <f>IF($A215="","",K215-L215)</f>
        <v/>
      </c>
      <c r="N215" s="7">
        <f>IF($A215="","",M215-F215)</f>
        <v/>
      </c>
      <c r="Q215" s="11" t="n"/>
      <c r="S215">
        <f>IF($A215="","",IF(AND(ISNUMBER($R215),NOT(ISLOGICAL($R215)),N($R215)&gt;1),$R215/100*1,IF($V215=1,Settings!$C$6,Settings!$C$7)*1))</f>
        <v/>
      </c>
      <c r="T215">
        <f>IF($A215="","",IF(COUNTIF($A$2:$A215,$A215)=1,1,0))</f>
        <v/>
      </c>
      <c r="U215">
        <f>IF($T215=1,SUMPRODUCT(--($W$2:$W$1001&lt;$W215))+1,"")</f>
        <v/>
      </c>
      <c r="V215">
        <f>IF($A215="","",IF(AND(ISNUMBER($R215),NOT(ISLOGICAL($R215)),N($R215)&gt;1),IF(ABS($R215/100-Settings!$C$6)&lt;=ABS($R215/100-Settings!$C$7),1,0),IF(OR($R215=TRUE(),$R215="TRUE"),1,0)))</f>
        <v/>
      </c>
      <c r="W215">
        <f>IF($T215=1,IFERROR(IF(VALUE($A215)&lt;100000000,VALUE($A215),1000000000),IFERROR(IF(VALUE(MID($A215,2,20))&lt;100000000,VALUE(MID($A215,2,20)),1000000000),1000000000))+ROW()/100000,"")</f>
        <v/>
      </c>
    </row>
    <row r="216">
      <c r="F216" s="7">
        <f>IF($A216="","",E216*K216/100)</f>
        <v/>
      </c>
      <c r="J216" s="7" t="n"/>
      <c r="K216" s="7" t="n"/>
      <c r="L216" s="7">
        <f>IF($A216="","",S216*K216)</f>
        <v/>
      </c>
      <c r="M216" s="7">
        <f>IF($A216="","",K216-L216)</f>
        <v/>
      </c>
      <c r="N216" s="7">
        <f>IF($A216="","",M216-F216)</f>
        <v/>
      </c>
      <c r="Q216" s="11" t="n"/>
      <c r="S216">
        <f>IF($A216="","",IF(AND(ISNUMBER($R216),NOT(ISLOGICAL($R216)),N($R216)&gt;1),$R216/100*1,IF($V216=1,Settings!$C$6,Settings!$C$7)*1))</f>
        <v/>
      </c>
      <c r="T216">
        <f>IF($A216="","",IF(COUNTIF($A$2:$A216,$A216)=1,1,0))</f>
        <v/>
      </c>
      <c r="U216">
        <f>IF($T216=1,SUMPRODUCT(--($W$2:$W$1001&lt;$W216))+1,"")</f>
        <v/>
      </c>
      <c r="V216">
        <f>IF($A216="","",IF(AND(ISNUMBER($R216),NOT(ISLOGICAL($R216)),N($R216)&gt;1),IF(ABS($R216/100-Settings!$C$6)&lt;=ABS($R216/100-Settings!$C$7),1,0),IF(OR($R216=TRUE(),$R216="TRUE"),1,0)))</f>
        <v/>
      </c>
      <c r="W216">
        <f>IF($T216=1,IFERROR(IF(VALUE($A216)&lt;100000000,VALUE($A216),1000000000),IFERROR(IF(VALUE(MID($A216,2,20))&lt;100000000,VALUE(MID($A216,2,20)),1000000000),1000000000))+ROW()/100000,"")</f>
        <v/>
      </c>
    </row>
    <row r="217">
      <c r="F217" s="7">
        <f>IF($A217="","",E217*K217/100)</f>
        <v/>
      </c>
      <c r="J217" s="7" t="n"/>
      <c r="K217" s="7" t="n"/>
      <c r="L217" s="7">
        <f>IF($A217="","",S217*K217)</f>
        <v/>
      </c>
      <c r="M217" s="7">
        <f>IF($A217="","",K217-L217)</f>
        <v/>
      </c>
      <c r="N217" s="7">
        <f>IF($A217="","",M217-F217)</f>
        <v/>
      </c>
      <c r="Q217" s="11" t="n"/>
      <c r="S217">
        <f>IF($A217="","",IF(AND(ISNUMBER($R217),NOT(ISLOGICAL($R217)),N($R217)&gt;1),$R217/100*1,IF($V217=1,Settings!$C$6,Settings!$C$7)*1))</f>
        <v/>
      </c>
      <c r="T217">
        <f>IF($A217="","",IF(COUNTIF($A$2:$A217,$A217)=1,1,0))</f>
        <v/>
      </c>
      <c r="U217">
        <f>IF($T217=1,SUMPRODUCT(--($W$2:$W$1001&lt;$W217))+1,"")</f>
        <v/>
      </c>
      <c r="V217">
        <f>IF($A217="","",IF(AND(ISNUMBER($R217),NOT(ISLOGICAL($R217)),N($R217)&gt;1),IF(ABS($R217/100-Settings!$C$6)&lt;=ABS($R217/100-Settings!$C$7),1,0),IF(OR($R217=TRUE(),$R217="TRUE"),1,0)))</f>
        <v/>
      </c>
      <c r="W217">
        <f>IF($T217=1,IFERROR(IF(VALUE($A217)&lt;100000000,VALUE($A217),1000000000),IFERROR(IF(VALUE(MID($A217,2,20))&lt;100000000,VALUE(MID($A217,2,20)),1000000000),1000000000))+ROW()/100000,"")</f>
        <v/>
      </c>
    </row>
    <row r="218">
      <c r="F218" s="7">
        <f>IF($A218="","",E218*K218/100)</f>
        <v/>
      </c>
      <c r="J218" s="7" t="n"/>
      <c r="K218" s="7" t="n"/>
      <c r="L218" s="7">
        <f>IF($A218="","",S218*K218)</f>
        <v/>
      </c>
      <c r="M218" s="7">
        <f>IF($A218="","",K218-L218)</f>
        <v/>
      </c>
      <c r="N218" s="7">
        <f>IF($A218="","",M218-F218)</f>
        <v/>
      </c>
      <c r="Q218" s="11" t="n"/>
      <c r="S218">
        <f>IF($A218="","",IF(AND(ISNUMBER($R218),NOT(ISLOGICAL($R218)),N($R218)&gt;1),$R218/100*1,IF($V218=1,Settings!$C$6,Settings!$C$7)*1))</f>
        <v/>
      </c>
      <c r="T218">
        <f>IF($A218="","",IF(COUNTIF($A$2:$A218,$A218)=1,1,0))</f>
        <v/>
      </c>
      <c r="U218">
        <f>IF($T218=1,SUMPRODUCT(--($W$2:$W$1001&lt;$W218))+1,"")</f>
        <v/>
      </c>
      <c r="V218">
        <f>IF($A218="","",IF(AND(ISNUMBER($R218),NOT(ISLOGICAL($R218)),N($R218)&gt;1),IF(ABS($R218/100-Settings!$C$6)&lt;=ABS($R218/100-Settings!$C$7),1,0),IF(OR($R218=TRUE(),$R218="TRUE"),1,0)))</f>
        <v/>
      </c>
      <c r="W218">
        <f>IF($T218=1,IFERROR(IF(VALUE($A218)&lt;100000000,VALUE($A218),1000000000),IFERROR(IF(VALUE(MID($A218,2,20))&lt;100000000,VALUE(MID($A218,2,20)),1000000000),1000000000))+ROW()/100000,"")</f>
        <v/>
      </c>
    </row>
    <row r="219">
      <c r="F219" s="7">
        <f>IF($A219="","",E219*K219/100)</f>
        <v/>
      </c>
      <c r="J219" s="7" t="n"/>
      <c r="K219" s="7" t="n"/>
      <c r="L219" s="7">
        <f>IF($A219="","",S219*K219)</f>
        <v/>
      </c>
      <c r="M219" s="7">
        <f>IF($A219="","",K219-L219)</f>
        <v/>
      </c>
      <c r="N219" s="7">
        <f>IF($A219="","",M219-F219)</f>
        <v/>
      </c>
      <c r="Q219" s="11" t="n"/>
      <c r="S219">
        <f>IF($A219="","",IF(AND(ISNUMBER($R219),NOT(ISLOGICAL($R219)),N($R219)&gt;1),$R219/100*1,IF($V219=1,Settings!$C$6,Settings!$C$7)*1))</f>
        <v/>
      </c>
      <c r="T219">
        <f>IF($A219="","",IF(COUNTIF($A$2:$A219,$A219)=1,1,0))</f>
        <v/>
      </c>
      <c r="U219">
        <f>IF($T219=1,SUMPRODUCT(--($W$2:$W$1001&lt;$W219))+1,"")</f>
        <v/>
      </c>
      <c r="V219">
        <f>IF($A219="","",IF(AND(ISNUMBER($R219),NOT(ISLOGICAL($R219)),N($R219)&gt;1),IF(ABS($R219/100-Settings!$C$6)&lt;=ABS($R219/100-Settings!$C$7),1,0),IF(OR($R219=TRUE(),$R219="TRUE"),1,0)))</f>
        <v/>
      </c>
      <c r="W219">
        <f>IF($T219=1,IFERROR(IF(VALUE($A219)&lt;100000000,VALUE($A219),1000000000),IFERROR(IF(VALUE(MID($A219,2,20))&lt;100000000,VALUE(MID($A219,2,20)),1000000000),1000000000))+ROW()/100000,"")</f>
        <v/>
      </c>
    </row>
    <row r="220">
      <c r="F220" s="7">
        <f>IF($A220="","",E220*K220/100)</f>
        <v/>
      </c>
      <c r="J220" s="7" t="n"/>
      <c r="K220" s="7" t="n"/>
      <c r="L220" s="7">
        <f>IF($A220="","",S220*K220)</f>
        <v/>
      </c>
      <c r="M220" s="7">
        <f>IF($A220="","",K220-L220)</f>
        <v/>
      </c>
      <c r="N220" s="7">
        <f>IF($A220="","",M220-F220)</f>
        <v/>
      </c>
      <c r="Q220" s="11" t="n"/>
      <c r="S220">
        <f>IF($A220="","",IF(AND(ISNUMBER($R220),NOT(ISLOGICAL($R220)),N($R220)&gt;1),$R220/100*1,IF($V220=1,Settings!$C$6,Settings!$C$7)*1))</f>
        <v/>
      </c>
      <c r="T220">
        <f>IF($A220="","",IF(COUNTIF($A$2:$A220,$A220)=1,1,0))</f>
        <v/>
      </c>
      <c r="U220">
        <f>IF($T220=1,SUMPRODUCT(--($W$2:$W$1001&lt;$W220))+1,"")</f>
        <v/>
      </c>
      <c r="V220">
        <f>IF($A220="","",IF(AND(ISNUMBER($R220),NOT(ISLOGICAL($R220)),N($R220)&gt;1),IF(ABS($R220/100-Settings!$C$6)&lt;=ABS($R220/100-Settings!$C$7),1,0),IF(OR($R220=TRUE(),$R220="TRUE"),1,0)))</f>
        <v/>
      </c>
      <c r="W220">
        <f>IF($T220=1,IFERROR(IF(VALUE($A220)&lt;100000000,VALUE($A220),1000000000),IFERROR(IF(VALUE(MID($A220,2,20))&lt;100000000,VALUE(MID($A220,2,20)),1000000000),1000000000))+ROW()/100000,"")</f>
        <v/>
      </c>
    </row>
    <row r="221">
      <c r="F221" s="7">
        <f>IF($A221="","",E221*K221/100)</f>
        <v/>
      </c>
      <c r="J221" s="7" t="n"/>
      <c r="K221" s="7" t="n"/>
      <c r="L221" s="7">
        <f>IF($A221="","",S221*K221)</f>
        <v/>
      </c>
      <c r="M221" s="7">
        <f>IF($A221="","",K221-L221)</f>
        <v/>
      </c>
      <c r="N221" s="7">
        <f>IF($A221="","",M221-F221)</f>
        <v/>
      </c>
      <c r="Q221" s="11" t="n"/>
      <c r="S221">
        <f>IF($A221="","",IF(AND(ISNUMBER($R221),NOT(ISLOGICAL($R221)),N($R221)&gt;1),$R221/100*1,IF($V221=1,Settings!$C$6,Settings!$C$7)*1))</f>
        <v/>
      </c>
      <c r="T221">
        <f>IF($A221="","",IF(COUNTIF($A$2:$A221,$A221)=1,1,0))</f>
        <v/>
      </c>
      <c r="U221">
        <f>IF($T221=1,SUMPRODUCT(--($W$2:$W$1001&lt;$W221))+1,"")</f>
        <v/>
      </c>
      <c r="V221">
        <f>IF($A221="","",IF(AND(ISNUMBER($R221),NOT(ISLOGICAL($R221)),N($R221)&gt;1),IF(ABS($R221/100-Settings!$C$6)&lt;=ABS($R221/100-Settings!$C$7),1,0),IF(OR($R221=TRUE(),$R221="TRUE"),1,0)))</f>
        <v/>
      </c>
      <c r="W221">
        <f>IF($T221=1,IFERROR(IF(VALUE($A221)&lt;100000000,VALUE($A221),1000000000),IFERROR(IF(VALUE(MID($A221,2,20))&lt;100000000,VALUE(MID($A221,2,20)),1000000000),1000000000))+ROW()/100000,"")</f>
        <v/>
      </c>
    </row>
    <row r="222">
      <c r="F222" s="7">
        <f>IF($A222="","",E222*K222/100)</f>
        <v/>
      </c>
      <c r="J222" s="7" t="n"/>
      <c r="K222" s="7" t="n"/>
      <c r="L222" s="7">
        <f>IF($A222="","",S222*K222)</f>
        <v/>
      </c>
      <c r="M222" s="7">
        <f>IF($A222="","",K222-L222)</f>
        <v/>
      </c>
      <c r="N222" s="7">
        <f>IF($A222="","",M222-F222)</f>
        <v/>
      </c>
      <c r="Q222" s="11" t="n"/>
      <c r="S222">
        <f>IF($A222="","",IF(AND(ISNUMBER($R222),NOT(ISLOGICAL($R222)),N($R222)&gt;1),$R222/100*1,IF($V222=1,Settings!$C$6,Settings!$C$7)*1))</f>
        <v/>
      </c>
      <c r="T222">
        <f>IF($A222="","",IF(COUNTIF($A$2:$A222,$A222)=1,1,0))</f>
        <v/>
      </c>
      <c r="U222">
        <f>IF($T222=1,SUMPRODUCT(--($W$2:$W$1001&lt;$W222))+1,"")</f>
        <v/>
      </c>
      <c r="V222">
        <f>IF($A222="","",IF(AND(ISNUMBER($R222),NOT(ISLOGICAL($R222)),N($R222)&gt;1),IF(ABS($R222/100-Settings!$C$6)&lt;=ABS($R222/100-Settings!$C$7),1,0),IF(OR($R222=TRUE(),$R222="TRUE"),1,0)))</f>
        <v/>
      </c>
      <c r="W222">
        <f>IF($T222=1,IFERROR(IF(VALUE($A222)&lt;100000000,VALUE($A222),1000000000),IFERROR(IF(VALUE(MID($A222,2,20))&lt;100000000,VALUE(MID($A222,2,20)),1000000000),1000000000))+ROW()/100000,"")</f>
        <v/>
      </c>
    </row>
    <row r="223">
      <c r="F223" s="7">
        <f>IF($A223="","",E223*K223/100)</f>
        <v/>
      </c>
      <c r="J223" s="7" t="n"/>
      <c r="K223" s="7" t="n"/>
      <c r="L223" s="7">
        <f>IF($A223="","",S223*K223)</f>
        <v/>
      </c>
      <c r="M223" s="7">
        <f>IF($A223="","",K223-L223)</f>
        <v/>
      </c>
      <c r="N223" s="7">
        <f>IF($A223="","",M223-F223)</f>
        <v/>
      </c>
      <c r="Q223" s="11" t="n"/>
      <c r="S223">
        <f>IF($A223="","",IF(AND(ISNUMBER($R223),NOT(ISLOGICAL($R223)),N($R223)&gt;1),$R223/100*1,IF($V223=1,Settings!$C$6,Settings!$C$7)*1))</f>
        <v/>
      </c>
      <c r="T223">
        <f>IF($A223="","",IF(COUNTIF($A$2:$A223,$A223)=1,1,0))</f>
        <v/>
      </c>
      <c r="U223">
        <f>IF($T223=1,SUMPRODUCT(--($W$2:$W$1001&lt;$W223))+1,"")</f>
        <v/>
      </c>
      <c r="V223">
        <f>IF($A223="","",IF(AND(ISNUMBER($R223),NOT(ISLOGICAL($R223)),N($R223)&gt;1),IF(ABS($R223/100-Settings!$C$6)&lt;=ABS($R223/100-Settings!$C$7),1,0),IF(OR($R223=TRUE(),$R223="TRUE"),1,0)))</f>
        <v/>
      </c>
      <c r="W223">
        <f>IF($T223=1,IFERROR(IF(VALUE($A223)&lt;100000000,VALUE($A223),1000000000),IFERROR(IF(VALUE(MID($A223,2,20))&lt;100000000,VALUE(MID($A223,2,20)),1000000000),1000000000))+ROW()/100000,"")</f>
        <v/>
      </c>
    </row>
    <row r="224">
      <c r="F224" s="7">
        <f>IF($A224="","",E224*K224/100)</f>
        <v/>
      </c>
      <c r="J224" s="7" t="n"/>
      <c r="K224" s="7" t="n"/>
      <c r="L224" s="7">
        <f>IF($A224="","",S224*K224)</f>
        <v/>
      </c>
      <c r="M224" s="7">
        <f>IF($A224="","",K224-L224)</f>
        <v/>
      </c>
      <c r="N224" s="7">
        <f>IF($A224="","",M224-F224)</f>
        <v/>
      </c>
      <c r="Q224" s="11" t="n"/>
      <c r="S224">
        <f>IF($A224="","",IF(AND(ISNUMBER($R224),NOT(ISLOGICAL($R224)),N($R224)&gt;1),$R224/100*1,IF($V224=1,Settings!$C$6,Settings!$C$7)*1))</f>
        <v/>
      </c>
      <c r="T224">
        <f>IF($A224="","",IF(COUNTIF($A$2:$A224,$A224)=1,1,0))</f>
        <v/>
      </c>
      <c r="U224">
        <f>IF($T224=1,SUMPRODUCT(--($W$2:$W$1001&lt;$W224))+1,"")</f>
        <v/>
      </c>
      <c r="V224">
        <f>IF($A224="","",IF(AND(ISNUMBER($R224),NOT(ISLOGICAL($R224)),N($R224)&gt;1),IF(ABS($R224/100-Settings!$C$6)&lt;=ABS($R224/100-Settings!$C$7),1,0),IF(OR($R224=TRUE(),$R224="TRUE"),1,0)))</f>
        <v/>
      </c>
      <c r="W224">
        <f>IF($T224=1,IFERROR(IF(VALUE($A224)&lt;100000000,VALUE($A224),1000000000),IFERROR(IF(VALUE(MID($A224,2,20))&lt;100000000,VALUE(MID($A224,2,20)),1000000000),1000000000))+ROW()/100000,"")</f>
        <v/>
      </c>
    </row>
    <row r="225">
      <c r="F225" s="7">
        <f>IF($A225="","",E225*K225/100)</f>
        <v/>
      </c>
      <c r="J225" s="7" t="n"/>
      <c r="K225" s="7" t="n"/>
      <c r="L225" s="7">
        <f>IF($A225="","",S225*K225)</f>
        <v/>
      </c>
      <c r="M225" s="7">
        <f>IF($A225="","",K225-L225)</f>
        <v/>
      </c>
      <c r="N225" s="7">
        <f>IF($A225="","",M225-F225)</f>
        <v/>
      </c>
      <c r="Q225" s="11" t="n"/>
      <c r="S225">
        <f>IF($A225="","",IF(AND(ISNUMBER($R225),NOT(ISLOGICAL($R225)),N($R225)&gt;1),$R225/100*1,IF($V225=1,Settings!$C$6,Settings!$C$7)*1))</f>
        <v/>
      </c>
      <c r="T225">
        <f>IF($A225="","",IF(COUNTIF($A$2:$A225,$A225)=1,1,0))</f>
        <v/>
      </c>
      <c r="U225">
        <f>IF($T225=1,SUMPRODUCT(--($W$2:$W$1001&lt;$W225))+1,"")</f>
        <v/>
      </c>
      <c r="V225">
        <f>IF($A225="","",IF(AND(ISNUMBER($R225),NOT(ISLOGICAL($R225)),N($R225)&gt;1),IF(ABS($R225/100-Settings!$C$6)&lt;=ABS($R225/100-Settings!$C$7),1,0),IF(OR($R225=TRUE(),$R225="TRUE"),1,0)))</f>
        <v/>
      </c>
      <c r="W225">
        <f>IF($T225=1,IFERROR(IF(VALUE($A225)&lt;100000000,VALUE($A225),1000000000),IFERROR(IF(VALUE(MID($A225,2,20))&lt;100000000,VALUE(MID($A225,2,20)),1000000000),1000000000))+ROW()/100000,"")</f>
        <v/>
      </c>
    </row>
    <row r="226">
      <c r="F226" s="7">
        <f>IF($A226="","",E226*K226/100)</f>
        <v/>
      </c>
      <c r="J226" s="7" t="n"/>
      <c r="K226" s="7" t="n"/>
      <c r="L226" s="7">
        <f>IF($A226="","",S226*K226)</f>
        <v/>
      </c>
      <c r="M226" s="7">
        <f>IF($A226="","",K226-L226)</f>
        <v/>
      </c>
      <c r="N226" s="7">
        <f>IF($A226="","",M226-F226)</f>
        <v/>
      </c>
      <c r="Q226" s="11" t="n"/>
      <c r="S226">
        <f>IF($A226="","",IF(AND(ISNUMBER($R226),NOT(ISLOGICAL($R226)),N($R226)&gt;1),$R226/100*1,IF($V226=1,Settings!$C$6,Settings!$C$7)*1))</f>
        <v/>
      </c>
      <c r="T226">
        <f>IF($A226="","",IF(COUNTIF($A$2:$A226,$A226)=1,1,0))</f>
        <v/>
      </c>
      <c r="U226">
        <f>IF($T226=1,SUMPRODUCT(--($W$2:$W$1001&lt;$W226))+1,"")</f>
        <v/>
      </c>
      <c r="V226">
        <f>IF($A226="","",IF(AND(ISNUMBER($R226),NOT(ISLOGICAL($R226)),N($R226)&gt;1),IF(ABS($R226/100-Settings!$C$6)&lt;=ABS($R226/100-Settings!$C$7),1,0),IF(OR($R226=TRUE(),$R226="TRUE"),1,0)))</f>
        <v/>
      </c>
      <c r="W226">
        <f>IF($T226=1,IFERROR(IF(VALUE($A226)&lt;100000000,VALUE($A226),1000000000),IFERROR(IF(VALUE(MID($A226,2,20))&lt;100000000,VALUE(MID($A226,2,20)),1000000000),1000000000))+ROW()/100000,"")</f>
        <v/>
      </c>
    </row>
    <row r="227">
      <c r="F227" s="7">
        <f>IF($A227="","",E227*K227/100)</f>
        <v/>
      </c>
      <c r="J227" s="7" t="n"/>
      <c r="K227" s="7" t="n"/>
      <c r="L227" s="7">
        <f>IF($A227="","",S227*K227)</f>
        <v/>
      </c>
      <c r="M227" s="7">
        <f>IF($A227="","",K227-L227)</f>
        <v/>
      </c>
      <c r="N227" s="7">
        <f>IF($A227="","",M227-F227)</f>
        <v/>
      </c>
      <c r="Q227" s="11" t="n"/>
      <c r="S227">
        <f>IF($A227="","",IF(AND(ISNUMBER($R227),NOT(ISLOGICAL($R227)),N($R227)&gt;1),$R227/100*1,IF($V227=1,Settings!$C$6,Settings!$C$7)*1))</f>
        <v/>
      </c>
      <c r="T227">
        <f>IF($A227="","",IF(COUNTIF($A$2:$A227,$A227)=1,1,0))</f>
        <v/>
      </c>
      <c r="U227">
        <f>IF($T227=1,SUMPRODUCT(--($W$2:$W$1001&lt;$W227))+1,"")</f>
        <v/>
      </c>
      <c r="V227">
        <f>IF($A227="","",IF(AND(ISNUMBER($R227),NOT(ISLOGICAL($R227)),N($R227)&gt;1),IF(ABS($R227/100-Settings!$C$6)&lt;=ABS($R227/100-Settings!$C$7),1,0),IF(OR($R227=TRUE(),$R227="TRUE"),1,0)))</f>
        <v/>
      </c>
      <c r="W227">
        <f>IF($T227=1,IFERROR(IF(VALUE($A227)&lt;100000000,VALUE($A227),1000000000),IFERROR(IF(VALUE(MID($A227,2,20))&lt;100000000,VALUE(MID($A227,2,20)),1000000000),1000000000))+ROW()/100000,"")</f>
        <v/>
      </c>
    </row>
    <row r="228">
      <c r="F228" s="7">
        <f>IF($A228="","",E228*K228/100)</f>
        <v/>
      </c>
      <c r="J228" s="7" t="n"/>
      <c r="K228" s="7" t="n"/>
      <c r="L228" s="7">
        <f>IF($A228="","",S228*K228)</f>
        <v/>
      </c>
      <c r="M228" s="7">
        <f>IF($A228="","",K228-L228)</f>
        <v/>
      </c>
      <c r="N228" s="7">
        <f>IF($A228="","",M228-F228)</f>
        <v/>
      </c>
      <c r="Q228" s="11" t="n"/>
      <c r="S228">
        <f>IF($A228="","",IF(AND(ISNUMBER($R228),NOT(ISLOGICAL($R228)),N($R228)&gt;1),$R228/100*1,IF($V228=1,Settings!$C$6,Settings!$C$7)*1))</f>
        <v/>
      </c>
      <c r="T228">
        <f>IF($A228="","",IF(COUNTIF($A$2:$A228,$A228)=1,1,0))</f>
        <v/>
      </c>
      <c r="U228">
        <f>IF($T228=1,SUMPRODUCT(--($W$2:$W$1001&lt;$W228))+1,"")</f>
        <v/>
      </c>
      <c r="V228">
        <f>IF($A228="","",IF(AND(ISNUMBER($R228),NOT(ISLOGICAL($R228)),N($R228)&gt;1),IF(ABS($R228/100-Settings!$C$6)&lt;=ABS($R228/100-Settings!$C$7),1,0),IF(OR($R228=TRUE(),$R228="TRUE"),1,0)))</f>
        <v/>
      </c>
      <c r="W228">
        <f>IF($T228=1,IFERROR(IF(VALUE($A228)&lt;100000000,VALUE($A228),1000000000),IFERROR(IF(VALUE(MID($A228,2,20))&lt;100000000,VALUE(MID($A228,2,20)),1000000000),1000000000))+ROW()/100000,"")</f>
        <v/>
      </c>
    </row>
    <row r="229">
      <c r="F229" s="7">
        <f>IF($A229="","",E229*K229/100)</f>
        <v/>
      </c>
      <c r="J229" s="7" t="n"/>
      <c r="K229" s="7" t="n"/>
      <c r="L229" s="7">
        <f>IF($A229="","",S229*K229)</f>
        <v/>
      </c>
      <c r="M229" s="7">
        <f>IF($A229="","",K229-L229)</f>
        <v/>
      </c>
      <c r="N229" s="7">
        <f>IF($A229="","",M229-F229)</f>
        <v/>
      </c>
      <c r="Q229" s="11" t="n"/>
      <c r="S229">
        <f>IF($A229="","",IF(AND(ISNUMBER($R229),NOT(ISLOGICAL($R229)),N($R229)&gt;1),$R229/100*1,IF($V229=1,Settings!$C$6,Settings!$C$7)*1))</f>
        <v/>
      </c>
      <c r="T229">
        <f>IF($A229="","",IF(COUNTIF($A$2:$A229,$A229)=1,1,0))</f>
        <v/>
      </c>
      <c r="U229">
        <f>IF($T229=1,SUMPRODUCT(--($W$2:$W$1001&lt;$W229))+1,"")</f>
        <v/>
      </c>
      <c r="V229">
        <f>IF($A229="","",IF(AND(ISNUMBER($R229),NOT(ISLOGICAL($R229)),N($R229)&gt;1),IF(ABS($R229/100-Settings!$C$6)&lt;=ABS($R229/100-Settings!$C$7),1,0),IF(OR($R229=TRUE(),$R229="TRUE"),1,0)))</f>
        <v/>
      </c>
      <c r="W229">
        <f>IF($T229=1,IFERROR(IF(VALUE($A229)&lt;100000000,VALUE($A229),1000000000),IFERROR(IF(VALUE(MID($A229,2,20))&lt;100000000,VALUE(MID($A229,2,20)),1000000000),1000000000))+ROW()/100000,"")</f>
        <v/>
      </c>
    </row>
    <row r="230">
      <c r="F230" s="7">
        <f>IF($A230="","",E230*K230/100)</f>
        <v/>
      </c>
      <c r="J230" s="7" t="n"/>
      <c r="K230" s="7" t="n"/>
      <c r="L230" s="7">
        <f>IF($A230="","",S230*K230)</f>
        <v/>
      </c>
      <c r="M230" s="7">
        <f>IF($A230="","",K230-L230)</f>
        <v/>
      </c>
      <c r="N230" s="7">
        <f>IF($A230="","",M230-F230)</f>
        <v/>
      </c>
      <c r="Q230" s="11" t="n"/>
      <c r="S230">
        <f>IF($A230="","",IF(AND(ISNUMBER($R230),NOT(ISLOGICAL($R230)),N($R230)&gt;1),$R230/100*1,IF($V230=1,Settings!$C$6,Settings!$C$7)*1))</f>
        <v/>
      </c>
      <c r="T230">
        <f>IF($A230="","",IF(COUNTIF($A$2:$A230,$A230)=1,1,0))</f>
        <v/>
      </c>
      <c r="U230">
        <f>IF($T230=1,SUMPRODUCT(--($W$2:$W$1001&lt;$W230))+1,"")</f>
        <v/>
      </c>
      <c r="V230">
        <f>IF($A230="","",IF(AND(ISNUMBER($R230),NOT(ISLOGICAL($R230)),N($R230)&gt;1),IF(ABS($R230/100-Settings!$C$6)&lt;=ABS($R230/100-Settings!$C$7),1,0),IF(OR($R230=TRUE(),$R230="TRUE"),1,0)))</f>
        <v/>
      </c>
      <c r="W230">
        <f>IF($T230=1,IFERROR(IF(VALUE($A230)&lt;100000000,VALUE($A230),1000000000),IFERROR(IF(VALUE(MID($A230,2,20))&lt;100000000,VALUE(MID($A230,2,20)),1000000000),1000000000))+ROW()/100000,"")</f>
        <v/>
      </c>
    </row>
    <row r="231">
      <c r="F231" s="7">
        <f>IF($A231="","",E231*K231/100)</f>
        <v/>
      </c>
      <c r="J231" s="7" t="n"/>
      <c r="K231" s="7" t="n"/>
      <c r="L231" s="7">
        <f>IF($A231="","",S231*K231)</f>
        <v/>
      </c>
      <c r="M231" s="7">
        <f>IF($A231="","",K231-L231)</f>
        <v/>
      </c>
      <c r="N231" s="7">
        <f>IF($A231="","",M231-F231)</f>
        <v/>
      </c>
      <c r="Q231" s="11" t="n"/>
      <c r="S231">
        <f>IF($A231="","",IF(AND(ISNUMBER($R231),NOT(ISLOGICAL($R231)),N($R231)&gt;1),$R231/100*1,IF($V231=1,Settings!$C$6,Settings!$C$7)*1))</f>
        <v/>
      </c>
      <c r="T231">
        <f>IF($A231="","",IF(COUNTIF($A$2:$A231,$A231)=1,1,0))</f>
        <v/>
      </c>
      <c r="U231">
        <f>IF($T231=1,SUMPRODUCT(--($W$2:$W$1001&lt;$W231))+1,"")</f>
        <v/>
      </c>
      <c r="V231">
        <f>IF($A231="","",IF(AND(ISNUMBER($R231),NOT(ISLOGICAL($R231)),N($R231)&gt;1),IF(ABS($R231/100-Settings!$C$6)&lt;=ABS($R231/100-Settings!$C$7),1,0),IF(OR($R231=TRUE(),$R231="TRUE"),1,0)))</f>
        <v/>
      </c>
      <c r="W231">
        <f>IF($T231=1,IFERROR(IF(VALUE($A231)&lt;100000000,VALUE($A231),1000000000),IFERROR(IF(VALUE(MID($A231,2,20))&lt;100000000,VALUE(MID($A231,2,20)),1000000000),1000000000))+ROW()/100000,"")</f>
        <v/>
      </c>
    </row>
    <row r="232">
      <c r="F232" s="7">
        <f>IF($A232="","",E232*K232/100)</f>
        <v/>
      </c>
      <c r="J232" s="7" t="n"/>
      <c r="K232" s="7" t="n"/>
      <c r="L232" s="7">
        <f>IF($A232="","",S232*K232)</f>
        <v/>
      </c>
      <c r="M232" s="7">
        <f>IF($A232="","",K232-L232)</f>
        <v/>
      </c>
      <c r="N232" s="7">
        <f>IF($A232="","",M232-F232)</f>
        <v/>
      </c>
      <c r="Q232" s="11" t="n"/>
      <c r="S232">
        <f>IF($A232="","",IF(AND(ISNUMBER($R232),NOT(ISLOGICAL($R232)),N($R232)&gt;1),$R232/100*1,IF($V232=1,Settings!$C$6,Settings!$C$7)*1))</f>
        <v/>
      </c>
      <c r="T232">
        <f>IF($A232="","",IF(COUNTIF($A$2:$A232,$A232)=1,1,0))</f>
        <v/>
      </c>
      <c r="U232">
        <f>IF($T232=1,SUMPRODUCT(--($W$2:$W$1001&lt;$W232))+1,"")</f>
        <v/>
      </c>
      <c r="V232">
        <f>IF($A232="","",IF(AND(ISNUMBER($R232),NOT(ISLOGICAL($R232)),N($R232)&gt;1),IF(ABS($R232/100-Settings!$C$6)&lt;=ABS($R232/100-Settings!$C$7),1,0),IF(OR($R232=TRUE(),$R232="TRUE"),1,0)))</f>
        <v/>
      </c>
      <c r="W232">
        <f>IF($T232=1,IFERROR(IF(VALUE($A232)&lt;100000000,VALUE($A232),1000000000),IFERROR(IF(VALUE(MID($A232,2,20))&lt;100000000,VALUE(MID($A232,2,20)),1000000000),1000000000))+ROW()/100000,"")</f>
        <v/>
      </c>
    </row>
    <row r="233">
      <c r="F233" s="7">
        <f>IF($A233="","",E233*K233/100)</f>
        <v/>
      </c>
      <c r="J233" s="7" t="n"/>
      <c r="K233" s="7" t="n"/>
      <c r="L233" s="7">
        <f>IF($A233="","",S233*K233)</f>
        <v/>
      </c>
      <c r="M233" s="7">
        <f>IF($A233="","",K233-L233)</f>
        <v/>
      </c>
      <c r="N233" s="7">
        <f>IF($A233="","",M233-F233)</f>
        <v/>
      </c>
      <c r="Q233" s="11" t="n"/>
      <c r="S233">
        <f>IF($A233="","",IF(AND(ISNUMBER($R233),NOT(ISLOGICAL($R233)),N($R233)&gt;1),$R233/100*1,IF($V233=1,Settings!$C$6,Settings!$C$7)*1))</f>
        <v/>
      </c>
      <c r="T233">
        <f>IF($A233="","",IF(COUNTIF($A$2:$A233,$A233)=1,1,0))</f>
        <v/>
      </c>
      <c r="U233">
        <f>IF($T233=1,SUMPRODUCT(--($W$2:$W$1001&lt;$W233))+1,"")</f>
        <v/>
      </c>
      <c r="V233">
        <f>IF($A233="","",IF(AND(ISNUMBER($R233),NOT(ISLOGICAL($R233)),N($R233)&gt;1),IF(ABS($R233/100-Settings!$C$6)&lt;=ABS($R233/100-Settings!$C$7),1,0),IF(OR($R233=TRUE(),$R233="TRUE"),1,0)))</f>
        <v/>
      </c>
      <c r="W233">
        <f>IF($T233=1,IFERROR(IF(VALUE($A233)&lt;100000000,VALUE($A233),1000000000),IFERROR(IF(VALUE(MID($A233,2,20))&lt;100000000,VALUE(MID($A233,2,20)),1000000000),1000000000))+ROW()/100000,"")</f>
        <v/>
      </c>
    </row>
    <row r="234">
      <c r="F234" s="7">
        <f>IF($A234="","",E234*K234/100)</f>
        <v/>
      </c>
      <c r="J234" s="7" t="n"/>
      <c r="K234" s="7" t="n"/>
      <c r="L234" s="7">
        <f>IF($A234="","",S234*K234)</f>
        <v/>
      </c>
      <c r="M234" s="7">
        <f>IF($A234="","",K234-L234)</f>
        <v/>
      </c>
      <c r="N234" s="7">
        <f>IF($A234="","",M234-F234)</f>
        <v/>
      </c>
      <c r="Q234" s="11" t="n"/>
      <c r="S234">
        <f>IF($A234="","",IF(AND(ISNUMBER($R234),NOT(ISLOGICAL($R234)),N($R234)&gt;1),$R234/100*1,IF($V234=1,Settings!$C$6,Settings!$C$7)*1))</f>
        <v/>
      </c>
      <c r="T234">
        <f>IF($A234="","",IF(COUNTIF($A$2:$A234,$A234)=1,1,0))</f>
        <v/>
      </c>
      <c r="U234">
        <f>IF($T234=1,SUMPRODUCT(--($W$2:$W$1001&lt;$W234))+1,"")</f>
        <v/>
      </c>
      <c r="V234">
        <f>IF($A234="","",IF(AND(ISNUMBER($R234),NOT(ISLOGICAL($R234)),N($R234)&gt;1),IF(ABS($R234/100-Settings!$C$6)&lt;=ABS($R234/100-Settings!$C$7),1,0),IF(OR($R234=TRUE(),$R234="TRUE"),1,0)))</f>
        <v/>
      </c>
      <c r="W234">
        <f>IF($T234=1,IFERROR(IF(VALUE($A234)&lt;100000000,VALUE($A234),1000000000),IFERROR(IF(VALUE(MID($A234,2,20))&lt;100000000,VALUE(MID($A234,2,20)),1000000000),1000000000))+ROW()/100000,"")</f>
        <v/>
      </c>
    </row>
    <row r="235">
      <c r="F235" s="7">
        <f>IF($A235="","",E235*K235/100)</f>
        <v/>
      </c>
      <c r="J235" s="7" t="n"/>
      <c r="K235" s="7" t="n"/>
      <c r="L235" s="7">
        <f>IF($A235="","",S235*K235)</f>
        <v/>
      </c>
      <c r="M235" s="7">
        <f>IF($A235="","",K235-L235)</f>
        <v/>
      </c>
      <c r="N235" s="7">
        <f>IF($A235="","",M235-F235)</f>
        <v/>
      </c>
      <c r="Q235" s="11" t="n"/>
      <c r="S235">
        <f>IF($A235="","",IF(AND(ISNUMBER($R235),NOT(ISLOGICAL($R235)),N($R235)&gt;1),$R235/100*1,IF($V235=1,Settings!$C$6,Settings!$C$7)*1))</f>
        <v/>
      </c>
      <c r="T235">
        <f>IF($A235="","",IF(COUNTIF($A$2:$A235,$A235)=1,1,0))</f>
        <v/>
      </c>
      <c r="U235">
        <f>IF($T235=1,SUMPRODUCT(--($W$2:$W$1001&lt;$W235))+1,"")</f>
        <v/>
      </c>
      <c r="V235">
        <f>IF($A235="","",IF(AND(ISNUMBER($R235),NOT(ISLOGICAL($R235)),N($R235)&gt;1),IF(ABS($R235/100-Settings!$C$6)&lt;=ABS($R235/100-Settings!$C$7),1,0),IF(OR($R235=TRUE(),$R235="TRUE"),1,0)))</f>
        <v/>
      </c>
      <c r="W235">
        <f>IF($T235=1,IFERROR(IF(VALUE($A235)&lt;100000000,VALUE($A235),1000000000),IFERROR(IF(VALUE(MID($A235,2,20))&lt;100000000,VALUE(MID($A235,2,20)),1000000000),1000000000))+ROW()/100000,"")</f>
        <v/>
      </c>
    </row>
    <row r="236">
      <c r="F236" s="7">
        <f>IF($A236="","",E236*K236/100)</f>
        <v/>
      </c>
      <c r="J236" s="7" t="n"/>
      <c r="K236" s="7" t="n"/>
      <c r="L236" s="7">
        <f>IF($A236="","",S236*K236)</f>
        <v/>
      </c>
      <c r="M236" s="7">
        <f>IF($A236="","",K236-L236)</f>
        <v/>
      </c>
      <c r="N236" s="7">
        <f>IF($A236="","",M236-F236)</f>
        <v/>
      </c>
      <c r="Q236" s="11" t="n"/>
      <c r="S236">
        <f>IF($A236="","",IF(AND(ISNUMBER($R236),NOT(ISLOGICAL($R236)),N($R236)&gt;1),$R236/100*1,IF($V236=1,Settings!$C$6,Settings!$C$7)*1))</f>
        <v/>
      </c>
      <c r="T236">
        <f>IF($A236="","",IF(COUNTIF($A$2:$A236,$A236)=1,1,0))</f>
        <v/>
      </c>
      <c r="U236">
        <f>IF($T236=1,SUMPRODUCT(--($W$2:$W$1001&lt;$W236))+1,"")</f>
        <v/>
      </c>
      <c r="V236">
        <f>IF($A236="","",IF(AND(ISNUMBER($R236),NOT(ISLOGICAL($R236)),N($R236)&gt;1),IF(ABS($R236/100-Settings!$C$6)&lt;=ABS($R236/100-Settings!$C$7),1,0),IF(OR($R236=TRUE(),$R236="TRUE"),1,0)))</f>
        <v/>
      </c>
      <c r="W236">
        <f>IF($T236=1,IFERROR(IF(VALUE($A236)&lt;100000000,VALUE($A236),1000000000),IFERROR(IF(VALUE(MID($A236,2,20))&lt;100000000,VALUE(MID($A236,2,20)),1000000000),1000000000))+ROW()/100000,"")</f>
        <v/>
      </c>
    </row>
    <row r="237">
      <c r="F237" s="7">
        <f>IF($A237="","",E237*K237/100)</f>
        <v/>
      </c>
      <c r="J237" s="7" t="n"/>
      <c r="K237" s="7" t="n"/>
      <c r="L237" s="7">
        <f>IF($A237="","",S237*K237)</f>
        <v/>
      </c>
      <c r="M237" s="7">
        <f>IF($A237="","",K237-L237)</f>
        <v/>
      </c>
      <c r="N237" s="7">
        <f>IF($A237="","",M237-F237)</f>
        <v/>
      </c>
      <c r="Q237" s="11" t="n"/>
      <c r="S237">
        <f>IF($A237="","",IF(AND(ISNUMBER($R237),NOT(ISLOGICAL($R237)),N($R237)&gt;1),$R237/100*1,IF($V237=1,Settings!$C$6,Settings!$C$7)*1))</f>
        <v/>
      </c>
      <c r="T237">
        <f>IF($A237="","",IF(COUNTIF($A$2:$A237,$A237)=1,1,0))</f>
        <v/>
      </c>
      <c r="U237">
        <f>IF($T237=1,SUMPRODUCT(--($W$2:$W$1001&lt;$W237))+1,"")</f>
        <v/>
      </c>
      <c r="V237">
        <f>IF($A237="","",IF(AND(ISNUMBER($R237),NOT(ISLOGICAL($R237)),N($R237)&gt;1),IF(ABS($R237/100-Settings!$C$6)&lt;=ABS($R237/100-Settings!$C$7),1,0),IF(OR($R237=TRUE(),$R237="TRUE"),1,0)))</f>
        <v/>
      </c>
      <c r="W237">
        <f>IF($T237=1,IFERROR(IF(VALUE($A237)&lt;100000000,VALUE($A237),1000000000),IFERROR(IF(VALUE(MID($A237,2,20))&lt;100000000,VALUE(MID($A237,2,20)),1000000000),1000000000))+ROW()/100000,"")</f>
        <v/>
      </c>
    </row>
    <row r="238">
      <c r="F238" s="7">
        <f>IF($A238="","",E238*K238/100)</f>
        <v/>
      </c>
      <c r="J238" s="7" t="n"/>
      <c r="K238" s="7" t="n"/>
      <c r="L238" s="7">
        <f>IF($A238="","",S238*K238)</f>
        <v/>
      </c>
      <c r="M238" s="7">
        <f>IF($A238="","",K238-L238)</f>
        <v/>
      </c>
      <c r="N238" s="7">
        <f>IF($A238="","",M238-F238)</f>
        <v/>
      </c>
      <c r="Q238" s="11" t="n"/>
      <c r="S238">
        <f>IF($A238="","",IF(AND(ISNUMBER($R238),NOT(ISLOGICAL($R238)),N($R238)&gt;1),$R238/100*1,IF($V238=1,Settings!$C$6,Settings!$C$7)*1))</f>
        <v/>
      </c>
      <c r="T238">
        <f>IF($A238="","",IF(COUNTIF($A$2:$A238,$A238)=1,1,0))</f>
        <v/>
      </c>
      <c r="U238">
        <f>IF($T238=1,SUMPRODUCT(--($W$2:$W$1001&lt;$W238))+1,"")</f>
        <v/>
      </c>
      <c r="V238">
        <f>IF($A238="","",IF(AND(ISNUMBER($R238),NOT(ISLOGICAL($R238)),N($R238)&gt;1),IF(ABS($R238/100-Settings!$C$6)&lt;=ABS($R238/100-Settings!$C$7),1,0),IF(OR($R238=TRUE(),$R238="TRUE"),1,0)))</f>
        <v/>
      </c>
      <c r="W238">
        <f>IF($T238=1,IFERROR(IF(VALUE($A238)&lt;100000000,VALUE($A238),1000000000),IFERROR(IF(VALUE(MID($A238,2,20))&lt;100000000,VALUE(MID($A238,2,20)),1000000000),1000000000))+ROW()/100000,"")</f>
        <v/>
      </c>
    </row>
    <row r="239">
      <c r="F239" s="7">
        <f>IF($A239="","",E239*K239/100)</f>
        <v/>
      </c>
      <c r="J239" s="7" t="n"/>
      <c r="K239" s="7" t="n"/>
      <c r="L239" s="7">
        <f>IF($A239="","",S239*K239)</f>
        <v/>
      </c>
      <c r="M239" s="7">
        <f>IF($A239="","",K239-L239)</f>
        <v/>
      </c>
      <c r="N239" s="7">
        <f>IF($A239="","",M239-F239)</f>
        <v/>
      </c>
      <c r="Q239" s="11" t="n"/>
      <c r="S239">
        <f>IF($A239="","",IF(AND(ISNUMBER($R239),NOT(ISLOGICAL($R239)),N($R239)&gt;1),$R239/100*1,IF($V239=1,Settings!$C$6,Settings!$C$7)*1))</f>
        <v/>
      </c>
      <c r="T239">
        <f>IF($A239="","",IF(COUNTIF($A$2:$A239,$A239)=1,1,0))</f>
        <v/>
      </c>
      <c r="U239">
        <f>IF($T239=1,SUMPRODUCT(--($W$2:$W$1001&lt;$W239))+1,"")</f>
        <v/>
      </c>
      <c r="V239">
        <f>IF($A239="","",IF(AND(ISNUMBER($R239),NOT(ISLOGICAL($R239)),N($R239)&gt;1),IF(ABS($R239/100-Settings!$C$6)&lt;=ABS($R239/100-Settings!$C$7),1,0),IF(OR($R239=TRUE(),$R239="TRUE"),1,0)))</f>
        <v/>
      </c>
      <c r="W239">
        <f>IF($T239=1,IFERROR(IF(VALUE($A239)&lt;100000000,VALUE($A239),1000000000),IFERROR(IF(VALUE(MID($A239,2,20))&lt;100000000,VALUE(MID($A239,2,20)),1000000000),1000000000))+ROW()/100000,"")</f>
        <v/>
      </c>
    </row>
    <row r="240">
      <c r="F240" s="7">
        <f>IF($A240="","",E240*K240/100)</f>
        <v/>
      </c>
      <c r="J240" s="7" t="n"/>
      <c r="K240" s="7" t="n"/>
      <c r="L240" s="7">
        <f>IF($A240="","",S240*K240)</f>
        <v/>
      </c>
      <c r="M240" s="7">
        <f>IF($A240="","",K240-L240)</f>
        <v/>
      </c>
      <c r="N240" s="7">
        <f>IF($A240="","",M240-F240)</f>
        <v/>
      </c>
      <c r="Q240" s="11" t="n"/>
      <c r="S240">
        <f>IF($A240="","",IF(AND(ISNUMBER($R240),NOT(ISLOGICAL($R240)),N($R240)&gt;1),$R240/100*1,IF($V240=1,Settings!$C$6,Settings!$C$7)*1))</f>
        <v/>
      </c>
      <c r="T240">
        <f>IF($A240="","",IF(COUNTIF($A$2:$A240,$A240)=1,1,0))</f>
        <v/>
      </c>
      <c r="U240">
        <f>IF($T240=1,SUMPRODUCT(--($W$2:$W$1001&lt;$W240))+1,"")</f>
        <v/>
      </c>
      <c r="V240">
        <f>IF($A240="","",IF(AND(ISNUMBER($R240),NOT(ISLOGICAL($R240)),N($R240)&gt;1),IF(ABS($R240/100-Settings!$C$6)&lt;=ABS($R240/100-Settings!$C$7),1,0),IF(OR($R240=TRUE(),$R240="TRUE"),1,0)))</f>
        <v/>
      </c>
      <c r="W240">
        <f>IF($T240=1,IFERROR(IF(VALUE($A240)&lt;100000000,VALUE($A240),1000000000),IFERROR(IF(VALUE(MID($A240,2,20))&lt;100000000,VALUE(MID($A240,2,20)),1000000000),1000000000))+ROW()/100000,"")</f>
        <v/>
      </c>
    </row>
    <row r="241">
      <c r="F241" s="7">
        <f>IF($A241="","",E241*K241/100)</f>
        <v/>
      </c>
      <c r="J241" s="7" t="n"/>
      <c r="K241" s="7" t="n"/>
      <c r="L241" s="7">
        <f>IF($A241="","",S241*K241)</f>
        <v/>
      </c>
      <c r="M241" s="7">
        <f>IF($A241="","",K241-L241)</f>
        <v/>
      </c>
      <c r="N241" s="7">
        <f>IF($A241="","",M241-F241)</f>
        <v/>
      </c>
      <c r="Q241" s="11" t="n"/>
      <c r="S241">
        <f>IF($A241="","",IF(AND(ISNUMBER($R241),NOT(ISLOGICAL($R241)),N($R241)&gt;1),$R241/100*1,IF($V241=1,Settings!$C$6,Settings!$C$7)*1))</f>
        <v/>
      </c>
      <c r="T241">
        <f>IF($A241="","",IF(COUNTIF($A$2:$A241,$A241)=1,1,0))</f>
        <v/>
      </c>
      <c r="U241">
        <f>IF($T241=1,SUMPRODUCT(--($W$2:$W$1001&lt;$W241))+1,"")</f>
        <v/>
      </c>
      <c r="V241">
        <f>IF($A241="","",IF(AND(ISNUMBER($R241),NOT(ISLOGICAL($R241)),N($R241)&gt;1),IF(ABS($R241/100-Settings!$C$6)&lt;=ABS($R241/100-Settings!$C$7),1,0),IF(OR($R241=TRUE(),$R241="TRUE"),1,0)))</f>
        <v/>
      </c>
      <c r="W241">
        <f>IF($T241=1,IFERROR(IF(VALUE($A241)&lt;100000000,VALUE($A241),1000000000),IFERROR(IF(VALUE(MID($A241,2,20))&lt;100000000,VALUE(MID($A241,2,20)),1000000000),1000000000))+ROW()/100000,"")</f>
        <v/>
      </c>
    </row>
    <row r="242">
      <c r="F242" s="7">
        <f>IF($A242="","",E242*K242/100)</f>
        <v/>
      </c>
      <c r="J242" s="7" t="n"/>
      <c r="K242" s="7" t="n"/>
      <c r="L242" s="7">
        <f>IF($A242="","",S242*K242)</f>
        <v/>
      </c>
      <c r="M242" s="7">
        <f>IF($A242="","",K242-L242)</f>
        <v/>
      </c>
      <c r="N242" s="7">
        <f>IF($A242="","",M242-F242)</f>
        <v/>
      </c>
      <c r="Q242" s="11" t="n"/>
      <c r="S242">
        <f>IF($A242="","",IF(AND(ISNUMBER($R242),NOT(ISLOGICAL($R242)),N($R242)&gt;1),$R242/100*1,IF($V242=1,Settings!$C$6,Settings!$C$7)*1))</f>
        <v/>
      </c>
      <c r="T242">
        <f>IF($A242="","",IF(COUNTIF($A$2:$A242,$A242)=1,1,0))</f>
        <v/>
      </c>
      <c r="U242">
        <f>IF($T242=1,SUMPRODUCT(--($W$2:$W$1001&lt;$W242))+1,"")</f>
        <v/>
      </c>
      <c r="V242">
        <f>IF($A242="","",IF(AND(ISNUMBER($R242),NOT(ISLOGICAL($R242)),N($R242)&gt;1),IF(ABS($R242/100-Settings!$C$6)&lt;=ABS($R242/100-Settings!$C$7),1,0),IF(OR($R242=TRUE(),$R242="TRUE"),1,0)))</f>
        <v/>
      </c>
      <c r="W242">
        <f>IF($T242=1,IFERROR(IF(VALUE($A242)&lt;100000000,VALUE($A242),1000000000),IFERROR(IF(VALUE(MID($A242,2,20))&lt;100000000,VALUE(MID($A242,2,20)),1000000000),1000000000))+ROW()/100000,"")</f>
        <v/>
      </c>
    </row>
    <row r="243">
      <c r="F243" s="7">
        <f>IF($A243="","",E243*K243/100)</f>
        <v/>
      </c>
      <c r="J243" s="7" t="n"/>
      <c r="K243" s="7" t="n"/>
      <c r="L243" s="7">
        <f>IF($A243="","",S243*K243)</f>
        <v/>
      </c>
      <c r="M243" s="7">
        <f>IF($A243="","",K243-L243)</f>
        <v/>
      </c>
      <c r="N243" s="7">
        <f>IF($A243="","",M243-F243)</f>
        <v/>
      </c>
      <c r="Q243" s="11" t="n"/>
      <c r="S243">
        <f>IF($A243="","",IF(AND(ISNUMBER($R243),NOT(ISLOGICAL($R243)),N($R243)&gt;1),$R243/100*1,IF($V243=1,Settings!$C$6,Settings!$C$7)*1))</f>
        <v/>
      </c>
      <c r="T243">
        <f>IF($A243="","",IF(COUNTIF($A$2:$A243,$A243)=1,1,0))</f>
        <v/>
      </c>
      <c r="U243">
        <f>IF($T243=1,SUMPRODUCT(--($W$2:$W$1001&lt;$W243))+1,"")</f>
        <v/>
      </c>
      <c r="V243">
        <f>IF($A243="","",IF(AND(ISNUMBER($R243),NOT(ISLOGICAL($R243)),N($R243)&gt;1),IF(ABS($R243/100-Settings!$C$6)&lt;=ABS($R243/100-Settings!$C$7),1,0),IF(OR($R243=TRUE(),$R243="TRUE"),1,0)))</f>
        <v/>
      </c>
      <c r="W243">
        <f>IF($T243=1,IFERROR(IF(VALUE($A243)&lt;100000000,VALUE($A243),1000000000),IFERROR(IF(VALUE(MID($A243,2,20))&lt;100000000,VALUE(MID($A243,2,20)),1000000000),1000000000))+ROW()/100000,"")</f>
        <v/>
      </c>
    </row>
    <row r="244">
      <c r="F244" s="7">
        <f>IF($A244="","",E244*K244/100)</f>
        <v/>
      </c>
      <c r="J244" s="7" t="n"/>
      <c r="K244" s="7" t="n"/>
      <c r="L244" s="7">
        <f>IF($A244="","",S244*K244)</f>
        <v/>
      </c>
      <c r="M244" s="7">
        <f>IF($A244="","",K244-L244)</f>
        <v/>
      </c>
      <c r="N244" s="7">
        <f>IF($A244="","",M244-F244)</f>
        <v/>
      </c>
      <c r="Q244" s="11" t="n"/>
      <c r="S244">
        <f>IF($A244="","",IF(AND(ISNUMBER($R244),NOT(ISLOGICAL($R244)),N($R244)&gt;1),$R244/100*1,IF($V244=1,Settings!$C$6,Settings!$C$7)*1))</f>
        <v/>
      </c>
      <c r="T244">
        <f>IF($A244="","",IF(COUNTIF($A$2:$A244,$A244)=1,1,0))</f>
        <v/>
      </c>
      <c r="U244">
        <f>IF($T244=1,SUMPRODUCT(--($W$2:$W$1001&lt;$W244))+1,"")</f>
        <v/>
      </c>
      <c r="V244">
        <f>IF($A244="","",IF(AND(ISNUMBER($R244),NOT(ISLOGICAL($R244)),N($R244)&gt;1),IF(ABS($R244/100-Settings!$C$6)&lt;=ABS($R244/100-Settings!$C$7),1,0),IF(OR($R244=TRUE(),$R244="TRUE"),1,0)))</f>
        <v/>
      </c>
      <c r="W244">
        <f>IF($T244=1,IFERROR(IF(VALUE($A244)&lt;100000000,VALUE($A244),1000000000),IFERROR(IF(VALUE(MID($A244,2,20))&lt;100000000,VALUE(MID($A244,2,20)),1000000000),1000000000))+ROW()/100000,"")</f>
        <v/>
      </c>
    </row>
    <row r="245">
      <c r="F245" s="7">
        <f>IF($A245="","",E245*K245/100)</f>
        <v/>
      </c>
      <c r="J245" s="7" t="n"/>
      <c r="K245" s="7" t="n"/>
      <c r="L245" s="7">
        <f>IF($A245="","",S245*K245)</f>
        <v/>
      </c>
      <c r="M245" s="7">
        <f>IF($A245="","",K245-L245)</f>
        <v/>
      </c>
      <c r="N245" s="7">
        <f>IF($A245="","",M245-F245)</f>
        <v/>
      </c>
      <c r="Q245" s="11" t="n"/>
      <c r="S245">
        <f>IF($A245="","",IF(AND(ISNUMBER($R245),NOT(ISLOGICAL($R245)),N($R245)&gt;1),$R245/100*1,IF($V245=1,Settings!$C$6,Settings!$C$7)*1))</f>
        <v/>
      </c>
      <c r="T245">
        <f>IF($A245="","",IF(COUNTIF($A$2:$A245,$A245)=1,1,0))</f>
        <v/>
      </c>
      <c r="U245">
        <f>IF($T245=1,SUMPRODUCT(--($W$2:$W$1001&lt;$W245))+1,"")</f>
        <v/>
      </c>
      <c r="V245">
        <f>IF($A245="","",IF(AND(ISNUMBER($R245),NOT(ISLOGICAL($R245)),N($R245)&gt;1),IF(ABS($R245/100-Settings!$C$6)&lt;=ABS($R245/100-Settings!$C$7),1,0),IF(OR($R245=TRUE(),$R245="TRUE"),1,0)))</f>
        <v/>
      </c>
      <c r="W245">
        <f>IF($T245=1,IFERROR(IF(VALUE($A245)&lt;100000000,VALUE($A245),1000000000),IFERROR(IF(VALUE(MID($A245,2,20))&lt;100000000,VALUE(MID($A245,2,20)),1000000000),1000000000))+ROW()/100000,"")</f>
        <v/>
      </c>
    </row>
    <row r="246">
      <c r="F246" s="7">
        <f>IF($A246="","",E246*K246/100)</f>
        <v/>
      </c>
      <c r="J246" s="7" t="n"/>
      <c r="K246" s="7" t="n"/>
      <c r="L246" s="7">
        <f>IF($A246="","",S246*K246)</f>
        <v/>
      </c>
      <c r="M246" s="7">
        <f>IF($A246="","",K246-L246)</f>
        <v/>
      </c>
      <c r="N246" s="7">
        <f>IF($A246="","",M246-F246)</f>
        <v/>
      </c>
      <c r="Q246" s="11" t="n"/>
      <c r="S246">
        <f>IF($A246="","",IF(AND(ISNUMBER($R246),NOT(ISLOGICAL($R246)),N($R246)&gt;1),$R246/100*1,IF($V246=1,Settings!$C$6,Settings!$C$7)*1))</f>
        <v/>
      </c>
      <c r="T246">
        <f>IF($A246="","",IF(COUNTIF($A$2:$A246,$A246)=1,1,0))</f>
        <v/>
      </c>
      <c r="U246">
        <f>IF($T246=1,SUMPRODUCT(--($W$2:$W$1001&lt;$W246))+1,"")</f>
        <v/>
      </c>
      <c r="V246">
        <f>IF($A246="","",IF(AND(ISNUMBER($R246),NOT(ISLOGICAL($R246)),N($R246)&gt;1),IF(ABS($R246/100-Settings!$C$6)&lt;=ABS($R246/100-Settings!$C$7),1,0),IF(OR($R246=TRUE(),$R246="TRUE"),1,0)))</f>
        <v/>
      </c>
      <c r="W246">
        <f>IF($T246=1,IFERROR(IF(VALUE($A246)&lt;100000000,VALUE($A246),1000000000),IFERROR(IF(VALUE(MID($A246,2,20))&lt;100000000,VALUE(MID($A246,2,20)),1000000000),1000000000))+ROW()/100000,"")</f>
        <v/>
      </c>
    </row>
    <row r="247">
      <c r="F247" s="7">
        <f>IF($A247="","",E247*K247/100)</f>
        <v/>
      </c>
      <c r="J247" s="7" t="n"/>
      <c r="K247" s="7" t="n"/>
      <c r="L247" s="7">
        <f>IF($A247="","",S247*K247)</f>
        <v/>
      </c>
      <c r="M247" s="7">
        <f>IF($A247="","",K247-L247)</f>
        <v/>
      </c>
      <c r="N247" s="7">
        <f>IF($A247="","",M247-F247)</f>
        <v/>
      </c>
      <c r="Q247" s="11" t="n"/>
      <c r="S247">
        <f>IF($A247="","",IF(AND(ISNUMBER($R247),NOT(ISLOGICAL($R247)),N($R247)&gt;1),$R247/100*1,IF($V247=1,Settings!$C$6,Settings!$C$7)*1))</f>
        <v/>
      </c>
      <c r="T247">
        <f>IF($A247="","",IF(COUNTIF($A$2:$A247,$A247)=1,1,0))</f>
        <v/>
      </c>
      <c r="U247">
        <f>IF($T247=1,SUMPRODUCT(--($W$2:$W$1001&lt;$W247))+1,"")</f>
        <v/>
      </c>
      <c r="V247">
        <f>IF($A247="","",IF(AND(ISNUMBER($R247),NOT(ISLOGICAL($R247)),N($R247)&gt;1),IF(ABS($R247/100-Settings!$C$6)&lt;=ABS($R247/100-Settings!$C$7),1,0),IF(OR($R247=TRUE(),$R247="TRUE"),1,0)))</f>
        <v/>
      </c>
      <c r="W247">
        <f>IF($T247=1,IFERROR(IF(VALUE($A247)&lt;100000000,VALUE($A247),1000000000),IFERROR(IF(VALUE(MID($A247,2,20))&lt;100000000,VALUE(MID($A247,2,20)),1000000000),1000000000))+ROW()/100000,"")</f>
        <v/>
      </c>
    </row>
    <row r="248">
      <c r="F248" s="7">
        <f>IF($A248="","",E248*K248/100)</f>
        <v/>
      </c>
      <c r="J248" s="7" t="n"/>
      <c r="K248" s="7" t="n"/>
      <c r="L248" s="7">
        <f>IF($A248="","",S248*K248)</f>
        <v/>
      </c>
      <c r="M248" s="7">
        <f>IF($A248="","",K248-L248)</f>
        <v/>
      </c>
      <c r="N248" s="7">
        <f>IF($A248="","",M248-F248)</f>
        <v/>
      </c>
      <c r="Q248" s="11" t="n"/>
      <c r="S248">
        <f>IF($A248="","",IF(AND(ISNUMBER($R248),NOT(ISLOGICAL($R248)),N($R248)&gt;1),$R248/100*1,IF($V248=1,Settings!$C$6,Settings!$C$7)*1))</f>
        <v/>
      </c>
      <c r="T248">
        <f>IF($A248="","",IF(COUNTIF($A$2:$A248,$A248)=1,1,0))</f>
        <v/>
      </c>
      <c r="U248">
        <f>IF($T248=1,SUMPRODUCT(--($W$2:$W$1001&lt;$W248))+1,"")</f>
        <v/>
      </c>
      <c r="V248">
        <f>IF($A248="","",IF(AND(ISNUMBER($R248),NOT(ISLOGICAL($R248)),N($R248)&gt;1),IF(ABS($R248/100-Settings!$C$6)&lt;=ABS($R248/100-Settings!$C$7),1,0),IF(OR($R248=TRUE(),$R248="TRUE"),1,0)))</f>
        <v/>
      </c>
      <c r="W248">
        <f>IF($T248=1,IFERROR(IF(VALUE($A248)&lt;100000000,VALUE($A248),1000000000),IFERROR(IF(VALUE(MID($A248,2,20))&lt;100000000,VALUE(MID($A248,2,20)),1000000000),1000000000))+ROW()/100000,"")</f>
        <v/>
      </c>
    </row>
    <row r="249">
      <c r="F249" s="7">
        <f>IF($A249="","",E249*K249/100)</f>
        <v/>
      </c>
      <c r="J249" s="7" t="n"/>
      <c r="K249" s="7" t="n"/>
      <c r="L249" s="7">
        <f>IF($A249="","",S249*K249)</f>
        <v/>
      </c>
      <c r="M249" s="7">
        <f>IF($A249="","",K249-L249)</f>
        <v/>
      </c>
      <c r="N249" s="7">
        <f>IF($A249="","",M249-F249)</f>
        <v/>
      </c>
      <c r="Q249" s="11" t="n"/>
      <c r="S249">
        <f>IF($A249="","",IF(AND(ISNUMBER($R249),NOT(ISLOGICAL($R249)),N($R249)&gt;1),$R249/100*1,IF($V249=1,Settings!$C$6,Settings!$C$7)*1))</f>
        <v/>
      </c>
      <c r="T249">
        <f>IF($A249="","",IF(COUNTIF($A$2:$A249,$A249)=1,1,0))</f>
        <v/>
      </c>
      <c r="U249">
        <f>IF($T249=1,SUMPRODUCT(--($W$2:$W$1001&lt;$W249))+1,"")</f>
        <v/>
      </c>
      <c r="V249">
        <f>IF($A249="","",IF(AND(ISNUMBER($R249),NOT(ISLOGICAL($R249)),N($R249)&gt;1),IF(ABS($R249/100-Settings!$C$6)&lt;=ABS($R249/100-Settings!$C$7),1,0),IF(OR($R249=TRUE(),$R249="TRUE"),1,0)))</f>
        <v/>
      </c>
      <c r="W249">
        <f>IF($T249=1,IFERROR(IF(VALUE($A249)&lt;100000000,VALUE($A249),1000000000),IFERROR(IF(VALUE(MID($A249,2,20))&lt;100000000,VALUE(MID($A249,2,20)),1000000000),1000000000))+ROW()/100000,"")</f>
        <v/>
      </c>
    </row>
    <row r="250">
      <c r="F250" s="7">
        <f>IF($A250="","",E250*K250/100)</f>
        <v/>
      </c>
      <c r="J250" s="7" t="n"/>
      <c r="K250" s="7" t="n"/>
      <c r="L250" s="7">
        <f>IF($A250="","",S250*K250)</f>
        <v/>
      </c>
      <c r="M250" s="7">
        <f>IF($A250="","",K250-L250)</f>
        <v/>
      </c>
      <c r="N250" s="7">
        <f>IF($A250="","",M250-F250)</f>
        <v/>
      </c>
      <c r="Q250" s="11" t="n"/>
      <c r="S250">
        <f>IF($A250="","",IF(AND(ISNUMBER($R250),NOT(ISLOGICAL($R250)),N($R250)&gt;1),$R250/100*1,IF($V250=1,Settings!$C$6,Settings!$C$7)*1))</f>
        <v/>
      </c>
      <c r="T250">
        <f>IF($A250="","",IF(COUNTIF($A$2:$A250,$A250)=1,1,0))</f>
        <v/>
      </c>
      <c r="U250">
        <f>IF($T250=1,SUMPRODUCT(--($W$2:$W$1001&lt;$W250))+1,"")</f>
        <v/>
      </c>
      <c r="V250">
        <f>IF($A250="","",IF(AND(ISNUMBER($R250),NOT(ISLOGICAL($R250)),N($R250)&gt;1),IF(ABS($R250/100-Settings!$C$6)&lt;=ABS($R250/100-Settings!$C$7),1,0),IF(OR($R250=TRUE(),$R250="TRUE"),1,0)))</f>
        <v/>
      </c>
      <c r="W250">
        <f>IF($T250=1,IFERROR(IF(VALUE($A250)&lt;100000000,VALUE($A250),1000000000),IFERROR(IF(VALUE(MID($A250,2,20))&lt;100000000,VALUE(MID($A250,2,20)),1000000000),1000000000))+ROW()/100000,"")</f>
        <v/>
      </c>
    </row>
    <row r="251">
      <c r="F251" s="7">
        <f>IF($A251="","",E251*K251/100)</f>
        <v/>
      </c>
      <c r="J251" s="7" t="n"/>
      <c r="K251" s="7" t="n"/>
      <c r="L251" s="7">
        <f>IF($A251="","",S251*K251)</f>
        <v/>
      </c>
      <c r="M251" s="7">
        <f>IF($A251="","",K251-L251)</f>
        <v/>
      </c>
      <c r="N251" s="7">
        <f>IF($A251="","",M251-F251)</f>
        <v/>
      </c>
      <c r="Q251" s="11" t="n"/>
      <c r="S251">
        <f>IF($A251="","",IF(AND(ISNUMBER($R251),NOT(ISLOGICAL($R251)),N($R251)&gt;1),$R251/100*1,IF($V251=1,Settings!$C$6,Settings!$C$7)*1))</f>
        <v/>
      </c>
      <c r="T251">
        <f>IF($A251="","",IF(COUNTIF($A$2:$A251,$A251)=1,1,0))</f>
        <v/>
      </c>
      <c r="U251">
        <f>IF($T251=1,SUMPRODUCT(--($W$2:$W$1001&lt;$W251))+1,"")</f>
        <v/>
      </c>
      <c r="V251">
        <f>IF($A251="","",IF(AND(ISNUMBER($R251),NOT(ISLOGICAL($R251)),N($R251)&gt;1),IF(ABS($R251/100-Settings!$C$6)&lt;=ABS($R251/100-Settings!$C$7),1,0),IF(OR($R251=TRUE(),$R251="TRUE"),1,0)))</f>
        <v/>
      </c>
      <c r="W251">
        <f>IF($T251=1,IFERROR(IF(VALUE($A251)&lt;100000000,VALUE($A251),1000000000),IFERROR(IF(VALUE(MID($A251,2,20))&lt;100000000,VALUE(MID($A251,2,20)),1000000000),1000000000))+ROW()/100000,"")</f>
        <v/>
      </c>
    </row>
    <row r="252">
      <c r="F252" s="7">
        <f>IF($A252="","",E252*K252/100)</f>
        <v/>
      </c>
      <c r="J252" s="7" t="n"/>
      <c r="K252" s="7" t="n"/>
      <c r="L252" s="7">
        <f>IF($A252="","",S252*K252)</f>
        <v/>
      </c>
      <c r="M252" s="7">
        <f>IF($A252="","",K252-L252)</f>
        <v/>
      </c>
      <c r="N252" s="7">
        <f>IF($A252="","",M252-F252)</f>
        <v/>
      </c>
      <c r="Q252" s="11" t="n"/>
      <c r="S252">
        <f>IF($A252="","",IF(AND(ISNUMBER($R252),NOT(ISLOGICAL($R252)),N($R252)&gt;1),$R252/100*1,IF($V252=1,Settings!$C$6,Settings!$C$7)*1))</f>
        <v/>
      </c>
      <c r="T252">
        <f>IF($A252="","",IF(COUNTIF($A$2:$A252,$A252)=1,1,0))</f>
        <v/>
      </c>
      <c r="U252">
        <f>IF($T252=1,SUMPRODUCT(--($W$2:$W$1001&lt;$W252))+1,"")</f>
        <v/>
      </c>
      <c r="V252">
        <f>IF($A252="","",IF(AND(ISNUMBER($R252),NOT(ISLOGICAL($R252)),N($R252)&gt;1),IF(ABS($R252/100-Settings!$C$6)&lt;=ABS($R252/100-Settings!$C$7),1,0),IF(OR($R252=TRUE(),$R252="TRUE"),1,0)))</f>
        <v/>
      </c>
      <c r="W252">
        <f>IF($T252=1,IFERROR(IF(VALUE($A252)&lt;100000000,VALUE($A252),1000000000),IFERROR(IF(VALUE(MID($A252,2,20))&lt;100000000,VALUE(MID($A252,2,20)),1000000000),1000000000))+ROW()/100000,"")</f>
        <v/>
      </c>
    </row>
    <row r="253">
      <c r="F253" s="7">
        <f>IF($A253="","",E253*K253/100)</f>
        <v/>
      </c>
      <c r="J253" s="7" t="n"/>
      <c r="K253" s="7" t="n"/>
      <c r="L253" s="7">
        <f>IF($A253="","",S253*K253)</f>
        <v/>
      </c>
      <c r="M253" s="7">
        <f>IF($A253="","",K253-L253)</f>
        <v/>
      </c>
      <c r="N253" s="7">
        <f>IF($A253="","",M253-F253)</f>
        <v/>
      </c>
      <c r="Q253" s="11" t="n"/>
      <c r="S253">
        <f>IF($A253="","",IF(AND(ISNUMBER($R253),NOT(ISLOGICAL($R253)),N($R253)&gt;1),$R253/100*1,IF($V253=1,Settings!$C$6,Settings!$C$7)*1))</f>
        <v/>
      </c>
      <c r="T253">
        <f>IF($A253="","",IF(COUNTIF($A$2:$A253,$A253)=1,1,0))</f>
        <v/>
      </c>
      <c r="U253">
        <f>IF($T253=1,SUMPRODUCT(--($W$2:$W$1001&lt;$W253))+1,"")</f>
        <v/>
      </c>
      <c r="V253">
        <f>IF($A253="","",IF(AND(ISNUMBER($R253),NOT(ISLOGICAL($R253)),N($R253)&gt;1),IF(ABS($R253/100-Settings!$C$6)&lt;=ABS($R253/100-Settings!$C$7),1,0),IF(OR($R253=TRUE(),$R253="TRUE"),1,0)))</f>
        <v/>
      </c>
      <c r="W253">
        <f>IF($T253=1,IFERROR(IF(VALUE($A253)&lt;100000000,VALUE($A253),1000000000),IFERROR(IF(VALUE(MID($A253,2,20))&lt;100000000,VALUE(MID($A253,2,20)),1000000000),1000000000))+ROW()/100000,"")</f>
        <v/>
      </c>
    </row>
    <row r="254">
      <c r="F254" s="7">
        <f>IF($A254="","",E254*K254/100)</f>
        <v/>
      </c>
      <c r="J254" s="7" t="n"/>
      <c r="K254" s="7" t="n"/>
      <c r="L254" s="7">
        <f>IF($A254="","",S254*K254)</f>
        <v/>
      </c>
      <c r="M254" s="7">
        <f>IF($A254="","",K254-L254)</f>
        <v/>
      </c>
      <c r="N254" s="7">
        <f>IF($A254="","",M254-F254)</f>
        <v/>
      </c>
      <c r="Q254" s="11" t="n"/>
      <c r="S254">
        <f>IF($A254="","",IF(AND(ISNUMBER($R254),NOT(ISLOGICAL($R254)),N($R254)&gt;1),$R254/100*1,IF($V254=1,Settings!$C$6,Settings!$C$7)*1))</f>
        <v/>
      </c>
      <c r="T254">
        <f>IF($A254="","",IF(COUNTIF($A$2:$A254,$A254)=1,1,0))</f>
        <v/>
      </c>
      <c r="U254">
        <f>IF($T254=1,SUMPRODUCT(--($W$2:$W$1001&lt;$W254))+1,"")</f>
        <v/>
      </c>
      <c r="V254">
        <f>IF($A254="","",IF(AND(ISNUMBER($R254),NOT(ISLOGICAL($R254)),N($R254)&gt;1),IF(ABS($R254/100-Settings!$C$6)&lt;=ABS($R254/100-Settings!$C$7),1,0),IF(OR($R254=TRUE(),$R254="TRUE"),1,0)))</f>
        <v/>
      </c>
      <c r="W254">
        <f>IF($T254=1,IFERROR(IF(VALUE($A254)&lt;100000000,VALUE($A254),1000000000),IFERROR(IF(VALUE(MID($A254,2,20))&lt;100000000,VALUE(MID($A254,2,20)),1000000000),1000000000))+ROW()/100000,"")</f>
        <v/>
      </c>
    </row>
    <row r="255">
      <c r="F255" s="7">
        <f>IF($A255="","",E255*K255/100)</f>
        <v/>
      </c>
      <c r="J255" s="7" t="n"/>
      <c r="K255" s="7" t="n"/>
      <c r="L255" s="7">
        <f>IF($A255="","",S255*K255)</f>
        <v/>
      </c>
      <c r="M255" s="7">
        <f>IF($A255="","",K255-L255)</f>
        <v/>
      </c>
      <c r="N255" s="7">
        <f>IF($A255="","",M255-F255)</f>
        <v/>
      </c>
      <c r="Q255" s="11" t="n"/>
      <c r="S255">
        <f>IF($A255="","",IF(AND(ISNUMBER($R255),NOT(ISLOGICAL($R255)),N($R255)&gt;1),$R255/100*1,IF($V255=1,Settings!$C$6,Settings!$C$7)*1))</f>
        <v/>
      </c>
      <c r="T255">
        <f>IF($A255="","",IF(COUNTIF($A$2:$A255,$A255)=1,1,0))</f>
        <v/>
      </c>
      <c r="U255">
        <f>IF($T255=1,SUMPRODUCT(--($W$2:$W$1001&lt;$W255))+1,"")</f>
        <v/>
      </c>
      <c r="V255">
        <f>IF($A255="","",IF(AND(ISNUMBER($R255),NOT(ISLOGICAL($R255)),N($R255)&gt;1),IF(ABS($R255/100-Settings!$C$6)&lt;=ABS($R255/100-Settings!$C$7),1,0),IF(OR($R255=TRUE(),$R255="TRUE"),1,0)))</f>
        <v/>
      </c>
      <c r="W255">
        <f>IF($T255=1,IFERROR(IF(VALUE($A255)&lt;100000000,VALUE($A255),1000000000),IFERROR(IF(VALUE(MID($A255,2,20))&lt;100000000,VALUE(MID($A255,2,20)),1000000000),1000000000))+ROW()/100000,"")</f>
        <v/>
      </c>
    </row>
    <row r="256">
      <c r="F256" s="7">
        <f>IF($A256="","",E256*K256/100)</f>
        <v/>
      </c>
      <c r="J256" s="7" t="n"/>
      <c r="K256" s="7" t="n"/>
      <c r="L256" s="7">
        <f>IF($A256="","",S256*K256)</f>
        <v/>
      </c>
      <c r="M256" s="7">
        <f>IF($A256="","",K256-L256)</f>
        <v/>
      </c>
      <c r="N256" s="7">
        <f>IF($A256="","",M256-F256)</f>
        <v/>
      </c>
      <c r="Q256" s="11" t="n"/>
      <c r="S256">
        <f>IF($A256="","",IF(AND(ISNUMBER($R256),NOT(ISLOGICAL($R256)),N($R256)&gt;1),$R256/100*1,IF($V256=1,Settings!$C$6,Settings!$C$7)*1))</f>
        <v/>
      </c>
      <c r="T256">
        <f>IF($A256="","",IF(COUNTIF($A$2:$A256,$A256)=1,1,0))</f>
        <v/>
      </c>
      <c r="U256">
        <f>IF($T256=1,SUMPRODUCT(--($W$2:$W$1001&lt;$W256))+1,"")</f>
        <v/>
      </c>
      <c r="V256">
        <f>IF($A256="","",IF(AND(ISNUMBER($R256),NOT(ISLOGICAL($R256)),N($R256)&gt;1),IF(ABS($R256/100-Settings!$C$6)&lt;=ABS($R256/100-Settings!$C$7),1,0),IF(OR($R256=TRUE(),$R256="TRUE"),1,0)))</f>
        <v/>
      </c>
      <c r="W256">
        <f>IF($T256=1,IFERROR(IF(VALUE($A256)&lt;100000000,VALUE($A256),1000000000),IFERROR(IF(VALUE(MID($A256,2,20))&lt;100000000,VALUE(MID($A256,2,20)),1000000000),1000000000))+ROW()/100000,"")</f>
        <v/>
      </c>
    </row>
    <row r="257">
      <c r="F257" s="7">
        <f>IF($A257="","",E257*K257/100)</f>
        <v/>
      </c>
      <c r="J257" s="7" t="n"/>
      <c r="K257" s="7" t="n"/>
      <c r="L257" s="7">
        <f>IF($A257="","",S257*K257)</f>
        <v/>
      </c>
      <c r="M257" s="7">
        <f>IF($A257="","",K257-L257)</f>
        <v/>
      </c>
      <c r="N257" s="7">
        <f>IF($A257="","",M257-F257)</f>
        <v/>
      </c>
      <c r="Q257" s="11" t="n"/>
      <c r="S257">
        <f>IF($A257="","",IF(AND(ISNUMBER($R257),NOT(ISLOGICAL($R257)),N($R257)&gt;1),$R257/100*1,IF($V257=1,Settings!$C$6,Settings!$C$7)*1))</f>
        <v/>
      </c>
      <c r="T257">
        <f>IF($A257="","",IF(COUNTIF($A$2:$A257,$A257)=1,1,0))</f>
        <v/>
      </c>
      <c r="U257">
        <f>IF($T257=1,SUMPRODUCT(--($W$2:$W$1001&lt;$W257))+1,"")</f>
        <v/>
      </c>
      <c r="V257">
        <f>IF($A257="","",IF(AND(ISNUMBER($R257),NOT(ISLOGICAL($R257)),N($R257)&gt;1),IF(ABS($R257/100-Settings!$C$6)&lt;=ABS($R257/100-Settings!$C$7),1,0),IF(OR($R257=TRUE(),$R257="TRUE"),1,0)))</f>
        <v/>
      </c>
      <c r="W257">
        <f>IF($T257=1,IFERROR(IF(VALUE($A257)&lt;100000000,VALUE($A257),1000000000),IFERROR(IF(VALUE(MID($A257,2,20))&lt;100000000,VALUE(MID($A257,2,20)),1000000000),1000000000))+ROW()/100000,"")</f>
        <v/>
      </c>
    </row>
    <row r="258">
      <c r="F258" s="7">
        <f>IF($A258="","",E258*K258/100)</f>
        <v/>
      </c>
      <c r="J258" s="7" t="n"/>
      <c r="K258" s="7" t="n"/>
      <c r="L258" s="7">
        <f>IF($A258="","",S258*K258)</f>
        <v/>
      </c>
      <c r="M258" s="7">
        <f>IF($A258="","",K258-L258)</f>
        <v/>
      </c>
      <c r="N258" s="7">
        <f>IF($A258="","",M258-F258)</f>
        <v/>
      </c>
      <c r="Q258" s="11" t="n"/>
      <c r="S258">
        <f>IF($A258="","",IF(AND(ISNUMBER($R258),NOT(ISLOGICAL($R258)),N($R258)&gt;1),$R258/100*1,IF($V258=1,Settings!$C$6,Settings!$C$7)*1))</f>
        <v/>
      </c>
      <c r="T258">
        <f>IF($A258="","",IF(COUNTIF($A$2:$A258,$A258)=1,1,0))</f>
        <v/>
      </c>
      <c r="U258">
        <f>IF($T258=1,SUMPRODUCT(--($W$2:$W$1001&lt;$W258))+1,"")</f>
        <v/>
      </c>
      <c r="V258">
        <f>IF($A258="","",IF(AND(ISNUMBER($R258),NOT(ISLOGICAL($R258)),N($R258)&gt;1),IF(ABS($R258/100-Settings!$C$6)&lt;=ABS($R258/100-Settings!$C$7),1,0),IF(OR($R258=TRUE(),$R258="TRUE"),1,0)))</f>
        <v/>
      </c>
      <c r="W258">
        <f>IF($T258=1,IFERROR(IF(VALUE($A258)&lt;100000000,VALUE($A258),1000000000),IFERROR(IF(VALUE(MID($A258,2,20))&lt;100000000,VALUE(MID($A258,2,20)),1000000000),1000000000))+ROW()/100000,"")</f>
        <v/>
      </c>
    </row>
    <row r="259">
      <c r="F259" s="7">
        <f>IF($A259="","",E259*K259/100)</f>
        <v/>
      </c>
      <c r="J259" s="7" t="n"/>
      <c r="K259" s="7" t="n"/>
      <c r="L259" s="7">
        <f>IF($A259="","",S259*K259)</f>
        <v/>
      </c>
      <c r="M259" s="7">
        <f>IF($A259="","",K259-L259)</f>
        <v/>
      </c>
      <c r="N259" s="7">
        <f>IF($A259="","",M259-F259)</f>
        <v/>
      </c>
      <c r="Q259" s="11" t="n"/>
      <c r="S259">
        <f>IF($A259="","",IF(AND(ISNUMBER($R259),NOT(ISLOGICAL($R259)),N($R259)&gt;1),$R259/100*1,IF($V259=1,Settings!$C$6,Settings!$C$7)*1))</f>
        <v/>
      </c>
      <c r="T259">
        <f>IF($A259="","",IF(COUNTIF($A$2:$A259,$A259)=1,1,0))</f>
        <v/>
      </c>
      <c r="U259">
        <f>IF($T259=1,SUMPRODUCT(--($W$2:$W$1001&lt;$W259))+1,"")</f>
        <v/>
      </c>
      <c r="V259">
        <f>IF($A259="","",IF(AND(ISNUMBER($R259),NOT(ISLOGICAL($R259)),N($R259)&gt;1),IF(ABS($R259/100-Settings!$C$6)&lt;=ABS($R259/100-Settings!$C$7),1,0),IF(OR($R259=TRUE(),$R259="TRUE"),1,0)))</f>
        <v/>
      </c>
      <c r="W259">
        <f>IF($T259=1,IFERROR(IF(VALUE($A259)&lt;100000000,VALUE($A259),1000000000),IFERROR(IF(VALUE(MID($A259,2,20))&lt;100000000,VALUE(MID($A259,2,20)),1000000000),1000000000))+ROW()/100000,"")</f>
        <v/>
      </c>
    </row>
    <row r="260">
      <c r="F260" s="7">
        <f>IF($A260="","",E260*K260/100)</f>
        <v/>
      </c>
      <c r="J260" s="7" t="n"/>
      <c r="K260" s="7" t="n"/>
      <c r="L260" s="7">
        <f>IF($A260="","",S260*K260)</f>
        <v/>
      </c>
      <c r="M260" s="7">
        <f>IF($A260="","",K260-L260)</f>
        <v/>
      </c>
      <c r="N260" s="7">
        <f>IF($A260="","",M260-F260)</f>
        <v/>
      </c>
      <c r="Q260" s="11" t="n"/>
      <c r="S260">
        <f>IF($A260="","",IF(AND(ISNUMBER($R260),NOT(ISLOGICAL($R260)),N($R260)&gt;1),$R260/100*1,IF($V260=1,Settings!$C$6,Settings!$C$7)*1))</f>
        <v/>
      </c>
      <c r="T260">
        <f>IF($A260="","",IF(COUNTIF($A$2:$A260,$A260)=1,1,0))</f>
        <v/>
      </c>
      <c r="U260">
        <f>IF($T260=1,SUMPRODUCT(--($W$2:$W$1001&lt;$W260))+1,"")</f>
        <v/>
      </c>
      <c r="V260">
        <f>IF($A260="","",IF(AND(ISNUMBER($R260),NOT(ISLOGICAL($R260)),N($R260)&gt;1),IF(ABS($R260/100-Settings!$C$6)&lt;=ABS($R260/100-Settings!$C$7),1,0),IF(OR($R260=TRUE(),$R260="TRUE"),1,0)))</f>
        <v/>
      </c>
      <c r="W260">
        <f>IF($T260=1,IFERROR(IF(VALUE($A260)&lt;100000000,VALUE($A260),1000000000),IFERROR(IF(VALUE(MID($A260,2,20))&lt;100000000,VALUE(MID($A260,2,20)),1000000000),1000000000))+ROW()/100000,"")</f>
        <v/>
      </c>
    </row>
    <row r="261">
      <c r="F261" s="7">
        <f>IF($A261="","",E261*K261/100)</f>
        <v/>
      </c>
      <c r="J261" s="7" t="n"/>
      <c r="K261" s="7" t="n"/>
      <c r="L261" s="7">
        <f>IF($A261="","",S261*K261)</f>
        <v/>
      </c>
      <c r="M261" s="7">
        <f>IF($A261="","",K261-L261)</f>
        <v/>
      </c>
      <c r="N261" s="7">
        <f>IF($A261="","",M261-F261)</f>
        <v/>
      </c>
      <c r="Q261" s="11" t="n"/>
      <c r="S261">
        <f>IF($A261="","",IF(AND(ISNUMBER($R261),NOT(ISLOGICAL($R261)),N($R261)&gt;1),$R261/100*1,IF($V261=1,Settings!$C$6,Settings!$C$7)*1))</f>
        <v/>
      </c>
      <c r="T261">
        <f>IF($A261="","",IF(COUNTIF($A$2:$A261,$A261)=1,1,0))</f>
        <v/>
      </c>
      <c r="U261">
        <f>IF($T261=1,SUMPRODUCT(--($W$2:$W$1001&lt;$W261))+1,"")</f>
        <v/>
      </c>
      <c r="V261">
        <f>IF($A261="","",IF(AND(ISNUMBER($R261),NOT(ISLOGICAL($R261)),N($R261)&gt;1),IF(ABS($R261/100-Settings!$C$6)&lt;=ABS($R261/100-Settings!$C$7),1,0),IF(OR($R261=TRUE(),$R261="TRUE"),1,0)))</f>
        <v/>
      </c>
      <c r="W261">
        <f>IF($T261=1,IFERROR(IF(VALUE($A261)&lt;100000000,VALUE($A261),1000000000),IFERROR(IF(VALUE(MID($A261,2,20))&lt;100000000,VALUE(MID($A261,2,20)),1000000000),1000000000))+ROW()/100000,"")</f>
        <v/>
      </c>
    </row>
    <row r="262">
      <c r="F262" s="7">
        <f>IF($A262="","",E262*K262/100)</f>
        <v/>
      </c>
      <c r="J262" s="7" t="n"/>
      <c r="K262" s="7" t="n"/>
      <c r="L262" s="7">
        <f>IF($A262="","",S262*K262)</f>
        <v/>
      </c>
      <c r="M262" s="7">
        <f>IF($A262="","",K262-L262)</f>
        <v/>
      </c>
      <c r="N262" s="7">
        <f>IF($A262="","",M262-F262)</f>
        <v/>
      </c>
      <c r="Q262" s="11" t="n"/>
      <c r="S262">
        <f>IF($A262="","",IF(AND(ISNUMBER($R262),NOT(ISLOGICAL($R262)),N($R262)&gt;1),$R262/100*1,IF($V262=1,Settings!$C$6,Settings!$C$7)*1))</f>
        <v/>
      </c>
      <c r="T262">
        <f>IF($A262="","",IF(COUNTIF($A$2:$A262,$A262)=1,1,0))</f>
        <v/>
      </c>
      <c r="U262">
        <f>IF($T262=1,SUMPRODUCT(--($W$2:$W$1001&lt;$W262))+1,"")</f>
        <v/>
      </c>
      <c r="V262">
        <f>IF($A262="","",IF(AND(ISNUMBER($R262),NOT(ISLOGICAL($R262)),N($R262)&gt;1),IF(ABS($R262/100-Settings!$C$6)&lt;=ABS($R262/100-Settings!$C$7),1,0),IF(OR($R262=TRUE(),$R262="TRUE"),1,0)))</f>
        <v/>
      </c>
      <c r="W262">
        <f>IF($T262=1,IFERROR(IF(VALUE($A262)&lt;100000000,VALUE($A262),1000000000),IFERROR(IF(VALUE(MID($A262,2,20))&lt;100000000,VALUE(MID($A262,2,20)),1000000000),1000000000))+ROW()/100000,"")</f>
        <v/>
      </c>
    </row>
    <row r="263">
      <c r="F263" s="7">
        <f>IF($A263="","",E263*K263/100)</f>
        <v/>
      </c>
      <c r="J263" s="7" t="n"/>
      <c r="K263" s="7" t="n"/>
      <c r="L263" s="7">
        <f>IF($A263="","",S263*K263)</f>
        <v/>
      </c>
      <c r="M263" s="7">
        <f>IF($A263="","",K263-L263)</f>
        <v/>
      </c>
      <c r="N263" s="7">
        <f>IF($A263="","",M263-F263)</f>
        <v/>
      </c>
      <c r="Q263" s="11" t="n"/>
      <c r="S263">
        <f>IF($A263="","",IF(AND(ISNUMBER($R263),NOT(ISLOGICAL($R263)),N($R263)&gt;1),$R263/100*1,IF($V263=1,Settings!$C$6,Settings!$C$7)*1))</f>
        <v/>
      </c>
      <c r="T263">
        <f>IF($A263="","",IF(COUNTIF($A$2:$A263,$A263)=1,1,0))</f>
        <v/>
      </c>
      <c r="U263">
        <f>IF($T263=1,SUMPRODUCT(--($W$2:$W$1001&lt;$W263))+1,"")</f>
        <v/>
      </c>
      <c r="V263">
        <f>IF($A263="","",IF(AND(ISNUMBER($R263),NOT(ISLOGICAL($R263)),N($R263)&gt;1),IF(ABS($R263/100-Settings!$C$6)&lt;=ABS($R263/100-Settings!$C$7),1,0),IF(OR($R263=TRUE(),$R263="TRUE"),1,0)))</f>
        <v/>
      </c>
      <c r="W263">
        <f>IF($T263=1,IFERROR(IF(VALUE($A263)&lt;100000000,VALUE($A263),1000000000),IFERROR(IF(VALUE(MID($A263,2,20))&lt;100000000,VALUE(MID($A263,2,20)),1000000000),1000000000))+ROW()/100000,"")</f>
        <v/>
      </c>
    </row>
    <row r="264">
      <c r="F264" s="7">
        <f>IF($A264="","",E264*K264/100)</f>
        <v/>
      </c>
      <c r="J264" s="7" t="n"/>
      <c r="K264" s="7" t="n"/>
      <c r="L264" s="7">
        <f>IF($A264="","",S264*K264)</f>
        <v/>
      </c>
      <c r="M264" s="7">
        <f>IF($A264="","",K264-L264)</f>
        <v/>
      </c>
      <c r="N264" s="7">
        <f>IF($A264="","",M264-F264)</f>
        <v/>
      </c>
      <c r="Q264" s="11" t="n"/>
      <c r="S264">
        <f>IF($A264="","",IF(AND(ISNUMBER($R264),NOT(ISLOGICAL($R264)),N($R264)&gt;1),$R264/100*1,IF($V264=1,Settings!$C$6,Settings!$C$7)*1))</f>
        <v/>
      </c>
      <c r="T264">
        <f>IF($A264="","",IF(COUNTIF($A$2:$A264,$A264)=1,1,0))</f>
        <v/>
      </c>
      <c r="U264">
        <f>IF($T264=1,SUMPRODUCT(--($W$2:$W$1001&lt;$W264))+1,"")</f>
        <v/>
      </c>
      <c r="V264">
        <f>IF($A264="","",IF(AND(ISNUMBER($R264),NOT(ISLOGICAL($R264)),N($R264)&gt;1),IF(ABS($R264/100-Settings!$C$6)&lt;=ABS($R264/100-Settings!$C$7),1,0),IF(OR($R264=TRUE(),$R264="TRUE"),1,0)))</f>
        <v/>
      </c>
      <c r="W264">
        <f>IF($T264=1,IFERROR(IF(VALUE($A264)&lt;100000000,VALUE($A264),1000000000),IFERROR(IF(VALUE(MID($A264,2,20))&lt;100000000,VALUE(MID($A264,2,20)),1000000000),1000000000))+ROW()/100000,"")</f>
        <v/>
      </c>
    </row>
    <row r="265">
      <c r="F265" s="7">
        <f>IF($A265="","",E265*K265/100)</f>
        <v/>
      </c>
      <c r="J265" s="7" t="n"/>
      <c r="K265" s="7" t="n"/>
      <c r="L265" s="7">
        <f>IF($A265="","",S265*K265)</f>
        <v/>
      </c>
      <c r="M265" s="7">
        <f>IF($A265="","",K265-L265)</f>
        <v/>
      </c>
      <c r="N265" s="7">
        <f>IF($A265="","",M265-F265)</f>
        <v/>
      </c>
      <c r="Q265" s="11" t="n"/>
      <c r="S265">
        <f>IF($A265="","",IF(AND(ISNUMBER($R265),NOT(ISLOGICAL($R265)),N($R265)&gt;1),$R265/100*1,IF($V265=1,Settings!$C$6,Settings!$C$7)*1))</f>
        <v/>
      </c>
      <c r="T265">
        <f>IF($A265="","",IF(COUNTIF($A$2:$A265,$A265)=1,1,0))</f>
        <v/>
      </c>
      <c r="U265">
        <f>IF($T265=1,SUMPRODUCT(--($W$2:$W$1001&lt;$W265))+1,"")</f>
        <v/>
      </c>
      <c r="V265">
        <f>IF($A265="","",IF(AND(ISNUMBER($R265),NOT(ISLOGICAL($R265)),N($R265)&gt;1),IF(ABS($R265/100-Settings!$C$6)&lt;=ABS($R265/100-Settings!$C$7),1,0),IF(OR($R265=TRUE(),$R265="TRUE"),1,0)))</f>
        <v/>
      </c>
      <c r="W265">
        <f>IF($T265=1,IFERROR(IF(VALUE($A265)&lt;100000000,VALUE($A265),1000000000),IFERROR(IF(VALUE(MID($A265,2,20))&lt;100000000,VALUE(MID($A265,2,20)),1000000000),1000000000))+ROW()/100000,"")</f>
        <v/>
      </c>
    </row>
    <row r="266">
      <c r="F266" s="7">
        <f>IF($A266="","",E266*K266/100)</f>
        <v/>
      </c>
      <c r="J266" s="7" t="n"/>
      <c r="K266" s="7" t="n"/>
      <c r="L266" s="7">
        <f>IF($A266="","",S266*K266)</f>
        <v/>
      </c>
      <c r="M266" s="7">
        <f>IF($A266="","",K266-L266)</f>
        <v/>
      </c>
      <c r="N266" s="7">
        <f>IF($A266="","",M266-F266)</f>
        <v/>
      </c>
      <c r="Q266" s="11" t="n"/>
      <c r="S266">
        <f>IF($A266="","",IF(AND(ISNUMBER($R266),NOT(ISLOGICAL($R266)),N($R266)&gt;1),$R266/100*1,IF($V266=1,Settings!$C$6,Settings!$C$7)*1))</f>
        <v/>
      </c>
      <c r="T266">
        <f>IF($A266="","",IF(COUNTIF($A$2:$A266,$A266)=1,1,0))</f>
        <v/>
      </c>
      <c r="U266">
        <f>IF($T266=1,SUMPRODUCT(--($W$2:$W$1001&lt;$W266))+1,"")</f>
        <v/>
      </c>
      <c r="V266">
        <f>IF($A266="","",IF(AND(ISNUMBER($R266),NOT(ISLOGICAL($R266)),N($R266)&gt;1),IF(ABS($R266/100-Settings!$C$6)&lt;=ABS($R266/100-Settings!$C$7),1,0),IF(OR($R266=TRUE(),$R266="TRUE"),1,0)))</f>
        <v/>
      </c>
      <c r="W266">
        <f>IF($T266=1,IFERROR(IF(VALUE($A266)&lt;100000000,VALUE($A266),1000000000),IFERROR(IF(VALUE(MID($A266,2,20))&lt;100000000,VALUE(MID($A266,2,20)),1000000000),1000000000))+ROW()/100000,"")</f>
        <v/>
      </c>
    </row>
    <row r="267">
      <c r="F267" s="7">
        <f>IF($A267="","",E267*K267/100)</f>
        <v/>
      </c>
      <c r="J267" s="7" t="n"/>
      <c r="K267" s="7" t="n"/>
      <c r="L267" s="7">
        <f>IF($A267="","",S267*K267)</f>
        <v/>
      </c>
      <c r="M267" s="7">
        <f>IF($A267="","",K267-L267)</f>
        <v/>
      </c>
      <c r="N267" s="7">
        <f>IF($A267="","",M267-F267)</f>
        <v/>
      </c>
      <c r="Q267" s="11" t="n"/>
      <c r="S267">
        <f>IF($A267="","",IF(AND(ISNUMBER($R267),NOT(ISLOGICAL($R267)),N($R267)&gt;1),$R267/100*1,IF($V267=1,Settings!$C$6,Settings!$C$7)*1))</f>
        <v/>
      </c>
      <c r="T267">
        <f>IF($A267="","",IF(COUNTIF($A$2:$A267,$A267)=1,1,0))</f>
        <v/>
      </c>
      <c r="U267">
        <f>IF($T267=1,SUMPRODUCT(--($W$2:$W$1001&lt;$W267))+1,"")</f>
        <v/>
      </c>
      <c r="V267">
        <f>IF($A267="","",IF(AND(ISNUMBER($R267),NOT(ISLOGICAL($R267)),N($R267)&gt;1),IF(ABS($R267/100-Settings!$C$6)&lt;=ABS($R267/100-Settings!$C$7),1,0),IF(OR($R267=TRUE(),$R267="TRUE"),1,0)))</f>
        <v/>
      </c>
      <c r="W267">
        <f>IF($T267=1,IFERROR(IF(VALUE($A267)&lt;100000000,VALUE($A267),1000000000),IFERROR(IF(VALUE(MID($A267,2,20))&lt;100000000,VALUE(MID($A267,2,20)),1000000000),1000000000))+ROW()/100000,"")</f>
        <v/>
      </c>
    </row>
    <row r="268">
      <c r="F268" s="7">
        <f>IF($A268="","",E268*K268/100)</f>
        <v/>
      </c>
      <c r="J268" s="7" t="n"/>
      <c r="K268" s="7" t="n"/>
      <c r="L268" s="7">
        <f>IF($A268="","",S268*K268)</f>
        <v/>
      </c>
      <c r="M268" s="7">
        <f>IF($A268="","",K268-L268)</f>
        <v/>
      </c>
      <c r="N268" s="7">
        <f>IF($A268="","",M268-F268)</f>
        <v/>
      </c>
      <c r="Q268" s="11" t="n"/>
      <c r="S268">
        <f>IF($A268="","",IF(AND(ISNUMBER($R268),NOT(ISLOGICAL($R268)),N($R268)&gt;1),$R268/100*1,IF($V268=1,Settings!$C$6,Settings!$C$7)*1))</f>
        <v/>
      </c>
      <c r="T268">
        <f>IF($A268="","",IF(COUNTIF($A$2:$A268,$A268)=1,1,0))</f>
        <v/>
      </c>
      <c r="U268">
        <f>IF($T268=1,SUMPRODUCT(--($W$2:$W$1001&lt;$W268))+1,"")</f>
        <v/>
      </c>
      <c r="V268">
        <f>IF($A268="","",IF(AND(ISNUMBER($R268),NOT(ISLOGICAL($R268)),N($R268)&gt;1),IF(ABS($R268/100-Settings!$C$6)&lt;=ABS($R268/100-Settings!$C$7),1,0),IF(OR($R268=TRUE(),$R268="TRUE"),1,0)))</f>
        <v/>
      </c>
      <c r="W268">
        <f>IF($T268=1,IFERROR(IF(VALUE($A268)&lt;100000000,VALUE($A268),1000000000),IFERROR(IF(VALUE(MID($A268,2,20))&lt;100000000,VALUE(MID($A268,2,20)),1000000000),1000000000))+ROW()/100000,"")</f>
        <v/>
      </c>
    </row>
    <row r="269">
      <c r="F269" s="7">
        <f>IF($A269="","",E269*K269/100)</f>
        <v/>
      </c>
      <c r="J269" s="7" t="n"/>
      <c r="K269" s="7" t="n"/>
      <c r="L269" s="7">
        <f>IF($A269="","",S269*K269)</f>
        <v/>
      </c>
      <c r="M269" s="7">
        <f>IF($A269="","",K269-L269)</f>
        <v/>
      </c>
      <c r="N269" s="7">
        <f>IF($A269="","",M269-F269)</f>
        <v/>
      </c>
      <c r="Q269" s="11" t="n"/>
      <c r="S269">
        <f>IF($A269="","",IF(AND(ISNUMBER($R269),NOT(ISLOGICAL($R269)),N($R269)&gt;1),$R269/100*1,IF($V269=1,Settings!$C$6,Settings!$C$7)*1))</f>
        <v/>
      </c>
      <c r="T269">
        <f>IF($A269="","",IF(COUNTIF($A$2:$A269,$A269)=1,1,0))</f>
        <v/>
      </c>
      <c r="U269">
        <f>IF($T269=1,SUMPRODUCT(--($W$2:$W$1001&lt;$W269))+1,"")</f>
        <v/>
      </c>
      <c r="V269">
        <f>IF($A269="","",IF(AND(ISNUMBER($R269),NOT(ISLOGICAL($R269)),N($R269)&gt;1),IF(ABS($R269/100-Settings!$C$6)&lt;=ABS($R269/100-Settings!$C$7),1,0),IF(OR($R269=TRUE(),$R269="TRUE"),1,0)))</f>
        <v/>
      </c>
      <c r="W269">
        <f>IF($T269=1,IFERROR(IF(VALUE($A269)&lt;100000000,VALUE($A269),1000000000),IFERROR(IF(VALUE(MID($A269,2,20))&lt;100000000,VALUE(MID($A269,2,20)),1000000000),1000000000))+ROW()/100000,"")</f>
        <v/>
      </c>
    </row>
    <row r="270">
      <c r="F270" s="7">
        <f>IF($A270="","",E270*K270/100)</f>
        <v/>
      </c>
      <c r="J270" s="7" t="n"/>
      <c r="K270" s="7" t="n"/>
      <c r="L270" s="7">
        <f>IF($A270="","",S270*K270)</f>
        <v/>
      </c>
      <c r="M270" s="7">
        <f>IF($A270="","",K270-L270)</f>
        <v/>
      </c>
      <c r="N270" s="7">
        <f>IF($A270="","",M270-F270)</f>
        <v/>
      </c>
      <c r="Q270" s="11" t="n"/>
      <c r="S270">
        <f>IF($A270="","",IF(AND(ISNUMBER($R270),NOT(ISLOGICAL($R270)),N($R270)&gt;1),$R270/100*1,IF($V270=1,Settings!$C$6,Settings!$C$7)*1))</f>
        <v/>
      </c>
      <c r="T270">
        <f>IF($A270="","",IF(COUNTIF($A$2:$A270,$A270)=1,1,0))</f>
        <v/>
      </c>
      <c r="U270">
        <f>IF($T270=1,SUMPRODUCT(--($W$2:$W$1001&lt;$W270))+1,"")</f>
        <v/>
      </c>
      <c r="V270">
        <f>IF($A270="","",IF(AND(ISNUMBER($R270),NOT(ISLOGICAL($R270)),N($R270)&gt;1),IF(ABS($R270/100-Settings!$C$6)&lt;=ABS($R270/100-Settings!$C$7),1,0),IF(OR($R270=TRUE(),$R270="TRUE"),1,0)))</f>
        <v/>
      </c>
      <c r="W270">
        <f>IF($T270=1,IFERROR(IF(VALUE($A270)&lt;100000000,VALUE($A270),1000000000),IFERROR(IF(VALUE(MID($A270,2,20))&lt;100000000,VALUE(MID($A270,2,20)),1000000000),1000000000))+ROW()/100000,"")</f>
        <v/>
      </c>
    </row>
    <row r="271">
      <c r="F271" s="7">
        <f>IF($A271="","",E271*K271/100)</f>
        <v/>
      </c>
      <c r="J271" s="7" t="n"/>
      <c r="K271" s="7" t="n"/>
      <c r="L271" s="7">
        <f>IF($A271="","",S271*K271)</f>
        <v/>
      </c>
      <c r="M271" s="7">
        <f>IF($A271="","",K271-L271)</f>
        <v/>
      </c>
      <c r="N271" s="7">
        <f>IF($A271="","",M271-F271)</f>
        <v/>
      </c>
      <c r="Q271" s="11" t="n"/>
      <c r="S271">
        <f>IF($A271="","",IF(AND(ISNUMBER($R271),NOT(ISLOGICAL($R271)),N($R271)&gt;1),$R271/100*1,IF($V271=1,Settings!$C$6,Settings!$C$7)*1))</f>
        <v/>
      </c>
      <c r="T271">
        <f>IF($A271="","",IF(COUNTIF($A$2:$A271,$A271)=1,1,0))</f>
        <v/>
      </c>
      <c r="U271">
        <f>IF($T271=1,SUMPRODUCT(--($W$2:$W$1001&lt;$W271))+1,"")</f>
        <v/>
      </c>
      <c r="V271">
        <f>IF($A271="","",IF(AND(ISNUMBER($R271),NOT(ISLOGICAL($R271)),N($R271)&gt;1),IF(ABS($R271/100-Settings!$C$6)&lt;=ABS($R271/100-Settings!$C$7),1,0),IF(OR($R271=TRUE(),$R271="TRUE"),1,0)))</f>
        <v/>
      </c>
      <c r="W271">
        <f>IF($T271=1,IFERROR(IF(VALUE($A271)&lt;100000000,VALUE($A271),1000000000),IFERROR(IF(VALUE(MID($A271,2,20))&lt;100000000,VALUE(MID($A271,2,20)),1000000000),1000000000))+ROW()/100000,"")</f>
        <v/>
      </c>
    </row>
    <row r="272">
      <c r="F272" s="7">
        <f>IF($A272="","",E272*K272/100)</f>
        <v/>
      </c>
      <c r="J272" s="7" t="n"/>
      <c r="K272" s="7" t="n"/>
      <c r="L272" s="7">
        <f>IF($A272="","",S272*K272)</f>
        <v/>
      </c>
      <c r="M272" s="7">
        <f>IF($A272="","",K272-L272)</f>
        <v/>
      </c>
      <c r="N272" s="7">
        <f>IF($A272="","",M272-F272)</f>
        <v/>
      </c>
      <c r="Q272" s="11" t="n"/>
      <c r="S272">
        <f>IF($A272="","",IF(AND(ISNUMBER($R272),NOT(ISLOGICAL($R272)),N($R272)&gt;1),$R272/100*1,IF($V272=1,Settings!$C$6,Settings!$C$7)*1))</f>
        <v/>
      </c>
      <c r="T272">
        <f>IF($A272="","",IF(COUNTIF($A$2:$A272,$A272)=1,1,0))</f>
        <v/>
      </c>
      <c r="U272">
        <f>IF($T272=1,SUMPRODUCT(--($W$2:$W$1001&lt;$W272))+1,"")</f>
        <v/>
      </c>
      <c r="V272">
        <f>IF($A272="","",IF(AND(ISNUMBER($R272),NOT(ISLOGICAL($R272)),N($R272)&gt;1),IF(ABS($R272/100-Settings!$C$6)&lt;=ABS($R272/100-Settings!$C$7),1,0),IF(OR($R272=TRUE(),$R272="TRUE"),1,0)))</f>
        <v/>
      </c>
      <c r="W272">
        <f>IF($T272=1,IFERROR(IF(VALUE($A272)&lt;100000000,VALUE($A272),1000000000),IFERROR(IF(VALUE(MID($A272,2,20))&lt;100000000,VALUE(MID($A272,2,20)),1000000000),1000000000))+ROW()/100000,"")</f>
        <v/>
      </c>
    </row>
    <row r="273">
      <c r="F273" s="7">
        <f>IF($A273="","",E273*K273/100)</f>
        <v/>
      </c>
      <c r="J273" s="7" t="n"/>
      <c r="K273" s="7" t="n"/>
      <c r="L273" s="7">
        <f>IF($A273="","",S273*K273)</f>
        <v/>
      </c>
      <c r="M273" s="7">
        <f>IF($A273="","",K273-L273)</f>
        <v/>
      </c>
      <c r="N273" s="7">
        <f>IF($A273="","",M273-F273)</f>
        <v/>
      </c>
      <c r="Q273" s="11" t="n"/>
      <c r="S273">
        <f>IF($A273="","",IF(AND(ISNUMBER($R273),NOT(ISLOGICAL($R273)),N($R273)&gt;1),$R273/100*1,IF($V273=1,Settings!$C$6,Settings!$C$7)*1))</f>
        <v/>
      </c>
      <c r="T273">
        <f>IF($A273="","",IF(COUNTIF($A$2:$A273,$A273)=1,1,0))</f>
        <v/>
      </c>
      <c r="U273">
        <f>IF($T273=1,SUMPRODUCT(--($W$2:$W$1001&lt;$W273))+1,"")</f>
        <v/>
      </c>
      <c r="V273">
        <f>IF($A273="","",IF(AND(ISNUMBER($R273),NOT(ISLOGICAL($R273)),N($R273)&gt;1),IF(ABS($R273/100-Settings!$C$6)&lt;=ABS($R273/100-Settings!$C$7),1,0),IF(OR($R273=TRUE(),$R273="TRUE"),1,0)))</f>
        <v/>
      </c>
      <c r="W273">
        <f>IF($T273=1,IFERROR(IF(VALUE($A273)&lt;100000000,VALUE($A273),1000000000),IFERROR(IF(VALUE(MID($A273,2,20))&lt;100000000,VALUE(MID($A273,2,20)),1000000000),1000000000))+ROW()/100000,"")</f>
        <v/>
      </c>
    </row>
    <row r="274">
      <c r="F274" s="7">
        <f>IF($A274="","",E274*K274/100)</f>
        <v/>
      </c>
      <c r="J274" s="7" t="n"/>
      <c r="K274" s="7" t="n"/>
      <c r="L274" s="7">
        <f>IF($A274="","",S274*K274)</f>
        <v/>
      </c>
      <c r="M274" s="7">
        <f>IF($A274="","",K274-L274)</f>
        <v/>
      </c>
      <c r="N274" s="7">
        <f>IF($A274="","",M274-F274)</f>
        <v/>
      </c>
      <c r="Q274" s="11" t="n"/>
      <c r="S274">
        <f>IF($A274="","",IF(AND(ISNUMBER($R274),NOT(ISLOGICAL($R274)),N($R274)&gt;1),$R274/100*1,IF($V274=1,Settings!$C$6,Settings!$C$7)*1))</f>
        <v/>
      </c>
      <c r="T274">
        <f>IF($A274="","",IF(COUNTIF($A$2:$A274,$A274)=1,1,0))</f>
        <v/>
      </c>
      <c r="U274">
        <f>IF($T274=1,SUMPRODUCT(--($W$2:$W$1001&lt;$W274))+1,"")</f>
        <v/>
      </c>
      <c r="V274">
        <f>IF($A274="","",IF(AND(ISNUMBER($R274),NOT(ISLOGICAL($R274)),N($R274)&gt;1),IF(ABS($R274/100-Settings!$C$6)&lt;=ABS($R274/100-Settings!$C$7),1,0),IF(OR($R274=TRUE(),$R274="TRUE"),1,0)))</f>
        <v/>
      </c>
      <c r="W274">
        <f>IF($T274=1,IFERROR(IF(VALUE($A274)&lt;100000000,VALUE($A274),1000000000),IFERROR(IF(VALUE(MID($A274,2,20))&lt;100000000,VALUE(MID($A274,2,20)),1000000000),1000000000))+ROW()/100000,"")</f>
        <v/>
      </c>
    </row>
    <row r="275">
      <c r="F275" s="7">
        <f>IF($A275="","",E275*K275/100)</f>
        <v/>
      </c>
      <c r="J275" s="7" t="n"/>
      <c r="K275" s="7" t="n"/>
      <c r="L275" s="7">
        <f>IF($A275="","",S275*K275)</f>
        <v/>
      </c>
      <c r="M275" s="7">
        <f>IF($A275="","",K275-L275)</f>
        <v/>
      </c>
      <c r="N275" s="7">
        <f>IF($A275="","",M275-F275)</f>
        <v/>
      </c>
      <c r="Q275" s="11" t="n"/>
      <c r="S275">
        <f>IF($A275="","",IF(AND(ISNUMBER($R275),NOT(ISLOGICAL($R275)),N($R275)&gt;1),$R275/100*1,IF($V275=1,Settings!$C$6,Settings!$C$7)*1))</f>
        <v/>
      </c>
      <c r="T275">
        <f>IF($A275="","",IF(COUNTIF($A$2:$A275,$A275)=1,1,0))</f>
        <v/>
      </c>
      <c r="U275">
        <f>IF($T275=1,SUMPRODUCT(--($W$2:$W$1001&lt;$W275))+1,"")</f>
        <v/>
      </c>
      <c r="V275">
        <f>IF($A275="","",IF(AND(ISNUMBER($R275),NOT(ISLOGICAL($R275)),N($R275)&gt;1),IF(ABS($R275/100-Settings!$C$6)&lt;=ABS($R275/100-Settings!$C$7),1,0),IF(OR($R275=TRUE(),$R275="TRUE"),1,0)))</f>
        <v/>
      </c>
      <c r="W275">
        <f>IF($T275=1,IFERROR(IF(VALUE($A275)&lt;100000000,VALUE($A275),1000000000),IFERROR(IF(VALUE(MID($A275,2,20))&lt;100000000,VALUE(MID($A275,2,20)),1000000000),1000000000))+ROW()/100000,"")</f>
        <v/>
      </c>
    </row>
    <row r="276">
      <c r="F276" s="7">
        <f>IF($A276="","",E276*K276/100)</f>
        <v/>
      </c>
      <c r="J276" s="7" t="n"/>
      <c r="K276" s="7" t="n"/>
      <c r="L276" s="7">
        <f>IF($A276="","",S276*K276)</f>
        <v/>
      </c>
      <c r="M276" s="7">
        <f>IF($A276="","",K276-L276)</f>
        <v/>
      </c>
      <c r="N276" s="7">
        <f>IF($A276="","",M276-F276)</f>
        <v/>
      </c>
      <c r="Q276" s="11" t="n"/>
      <c r="S276">
        <f>IF($A276="","",IF(AND(ISNUMBER($R276),NOT(ISLOGICAL($R276)),N($R276)&gt;1),$R276/100*1,IF($V276=1,Settings!$C$6,Settings!$C$7)*1))</f>
        <v/>
      </c>
      <c r="T276">
        <f>IF($A276="","",IF(COUNTIF($A$2:$A276,$A276)=1,1,0))</f>
        <v/>
      </c>
      <c r="U276">
        <f>IF($T276=1,SUMPRODUCT(--($W$2:$W$1001&lt;$W276))+1,"")</f>
        <v/>
      </c>
      <c r="V276">
        <f>IF($A276="","",IF(AND(ISNUMBER($R276),NOT(ISLOGICAL($R276)),N($R276)&gt;1),IF(ABS($R276/100-Settings!$C$6)&lt;=ABS($R276/100-Settings!$C$7),1,0),IF(OR($R276=TRUE(),$R276="TRUE"),1,0)))</f>
        <v/>
      </c>
      <c r="W276">
        <f>IF($T276=1,IFERROR(IF(VALUE($A276)&lt;100000000,VALUE($A276),1000000000),IFERROR(IF(VALUE(MID($A276,2,20))&lt;100000000,VALUE(MID($A276,2,20)),1000000000),1000000000))+ROW()/100000,"")</f>
        <v/>
      </c>
    </row>
    <row r="277">
      <c r="F277" s="7">
        <f>IF($A277="","",E277*K277/100)</f>
        <v/>
      </c>
      <c r="J277" s="7" t="n"/>
      <c r="K277" s="7" t="n"/>
      <c r="L277" s="7">
        <f>IF($A277="","",S277*K277)</f>
        <v/>
      </c>
      <c r="M277" s="7">
        <f>IF($A277="","",K277-L277)</f>
        <v/>
      </c>
      <c r="N277" s="7">
        <f>IF($A277="","",M277-F277)</f>
        <v/>
      </c>
      <c r="Q277" s="11" t="n"/>
      <c r="S277">
        <f>IF($A277="","",IF(AND(ISNUMBER($R277),NOT(ISLOGICAL($R277)),N($R277)&gt;1),$R277/100*1,IF($V277=1,Settings!$C$6,Settings!$C$7)*1))</f>
        <v/>
      </c>
      <c r="T277">
        <f>IF($A277="","",IF(COUNTIF($A$2:$A277,$A277)=1,1,0))</f>
        <v/>
      </c>
      <c r="U277">
        <f>IF($T277=1,SUMPRODUCT(--($W$2:$W$1001&lt;$W277))+1,"")</f>
        <v/>
      </c>
      <c r="V277">
        <f>IF($A277="","",IF(AND(ISNUMBER($R277),NOT(ISLOGICAL($R277)),N($R277)&gt;1),IF(ABS($R277/100-Settings!$C$6)&lt;=ABS($R277/100-Settings!$C$7),1,0),IF(OR($R277=TRUE(),$R277="TRUE"),1,0)))</f>
        <v/>
      </c>
      <c r="W277">
        <f>IF($T277=1,IFERROR(IF(VALUE($A277)&lt;100000000,VALUE($A277),1000000000),IFERROR(IF(VALUE(MID($A277,2,20))&lt;100000000,VALUE(MID($A277,2,20)),1000000000),1000000000))+ROW()/100000,"")</f>
        <v/>
      </c>
    </row>
    <row r="278">
      <c r="F278" s="7">
        <f>IF($A278="","",E278*K278/100)</f>
        <v/>
      </c>
      <c r="J278" s="7" t="n"/>
      <c r="K278" s="7" t="n"/>
      <c r="L278" s="7">
        <f>IF($A278="","",S278*K278)</f>
        <v/>
      </c>
      <c r="M278" s="7">
        <f>IF($A278="","",K278-L278)</f>
        <v/>
      </c>
      <c r="N278" s="7">
        <f>IF($A278="","",M278-F278)</f>
        <v/>
      </c>
      <c r="Q278" s="11" t="n"/>
      <c r="S278">
        <f>IF($A278="","",IF(AND(ISNUMBER($R278),NOT(ISLOGICAL($R278)),N($R278)&gt;1),$R278/100*1,IF($V278=1,Settings!$C$6,Settings!$C$7)*1))</f>
        <v/>
      </c>
      <c r="T278">
        <f>IF($A278="","",IF(COUNTIF($A$2:$A278,$A278)=1,1,0))</f>
        <v/>
      </c>
      <c r="U278">
        <f>IF($T278=1,SUMPRODUCT(--($W$2:$W$1001&lt;$W278))+1,"")</f>
        <v/>
      </c>
      <c r="V278">
        <f>IF($A278="","",IF(AND(ISNUMBER($R278),NOT(ISLOGICAL($R278)),N($R278)&gt;1),IF(ABS($R278/100-Settings!$C$6)&lt;=ABS($R278/100-Settings!$C$7),1,0),IF(OR($R278=TRUE(),$R278="TRUE"),1,0)))</f>
        <v/>
      </c>
      <c r="W278">
        <f>IF($T278=1,IFERROR(IF(VALUE($A278)&lt;100000000,VALUE($A278),1000000000),IFERROR(IF(VALUE(MID($A278,2,20))&lt;100000000,VALUE(MID($A278,2,20)),1000000000),1000000000))+ROW()/100000,"")</f>
        <v/>
      </c>
    </row>
    <row r="279">
      <c r="F279" s="7">
        <f>IF($A279="","",E279*K279/100)</f>
        <v/>
      </c>
      <c r="J279" s="7" t="n"/>
      <c r="K279" s="7" t="n"/>
      <c r="L279" s="7">
        <f>IF($A279="","",S279*K279)</f>
        <v/>
      </c>
      <c r="M279" s="7">
        <f>IF($A279="","",K279-L279)</f>
        <v/>
      </c>
      <c r="N279" s="7">
        <f>IF($A279="","",M279-F279)</f>
        <v/>
      </c>
      <c r="Q279" s="11" t="n"/>
      <c r="S279">
        <f>IF($A279="","",IF(AND(ISNUMBER($R279),NOT(ISLOGICAL($R279)),N($R279)&gt;1),$R279/100*1,IF($V279=1,Settings!$C$6,Settings!$C$7)*1))</f>
        <v/>
      </c>
      <c r="T279">
        <f>IF($A279="","",IF(COUNTIF($A$2:$A279,$A279)=1,1,0))</f>
        <v/>
      </c>
      <c r="U279">
        <f>IF($T279=1,SUMPRODUCT(--($W$2:$W$1001&lt;$W279))+1,"")</f>
        <v/>
      </c>
      <c r="V279">
        <f>IF($A279="","",IF(AND(ISNUMBER($R279),NOT(ISLOGICAL($R279)),N($R279)&gt;1),IF(ABS($R279/100-Settings!$C$6)&lt;=ABS($R279/100-Settings!$C$7),1,0),IF(OR($R279=TRUE(),$R279="TRUE"),1,0)))</f>
        <v/>
      </c>
      <c r="W279">
        <f>IF($T279=1,IFERROR(IF(VALUE($A279)&lt;100000000,VALUE($A279),1000000000),IFERROR(IF(VALUE(MID($A279,2,20))&lt;100000000,VALUE(MID($A279,2,20)),1000000000),1000000000))+ROW()/100000,"")</f>
        <v/>
      </c>
    </row>
    <row r="280">
      <c r="F280" s="7">
        <f>IF($A280="","",E280*K280/100)</f>
        <v/>
      </c>
      <c r="J280" s="7" t="n"/>
      <c r="K280" s="7" t="n"/>
      <c r="L280" s="7">
        <f>IF($A280="","",S280*K280)</f>
        <v/>
      </c>
      <c r="M280" s="7">
        <f>IF($A280="","",K280-L280)</f>
        <v/>
      </c>
      <c r="N280" s="7">
        <f>IF($A280="","",M280-F280)</f>
        <v/>
      </c>
      <c r="Q280" s="11" t="n"/>
      <c r="S280">
        <f>IF($A280="","",IF(AND(ISNUMBER($R280),NOT(ISLOGICAL($R280)),N($R280)&gt;1),$R280/100*1,IF($V280=1,Settings!$C$6,Settings!$C$7)*1))</f>
        <v/>
      </c>
      <c r="T280">
        <f>IF($A280="","",IF(COUNTIF($A$2:$A280,$A280)=1,1,0))</f>
        <v/>
      </c>
      <c r="U280">
        <f>IF($T280=1,SUMPRODUCT(--($W$2:$W$1001&lt;$W280))+1,"")</f>
        <v/>
      </c>
      <c r="V280">
        <f>IF($A280="","",IF(AND(ISNUMBER($R280),NOT(ISLOGICAL($R280)),N($R280)&gt;1),IF(ABS($R280/100-Settings!$C$6)&lt;=ABS($R280/100-Settings!$C$7),1,0),IF(OR($R280=TRUE(),$R280="TRUE"),1,0)))</f>
        <v/>
      </c>
      <c r="W280">
        <f>IF($T280=1,IFERROR(IF(VALUE($A280)&lt;100000000,VALUE($A280),1000000000),IFERROR(IF(VALUE(MID($A280,2,20))&lt;100000000,VALUE(MID($A280,2,20)),1000000000),1000000000))+ROW()/100000,"")</f>
        <v/>
      </c>
    </row>
    <row r="281">
      <c r="F281" s="7">
        <f>IF($A281="","",E281*K281/100)</f>
        <v/>
      </c>
      <c r="J281" s="7" t="n"/>
      <c r="K281" s="7" t="n"/>
      <c r="L281" s="7">
        <f>IF($A281="","",S281*K281)</f>
        <v/>
      </c>
      <c r="M281" s="7">
        <f>IF($A281="","",K281-L281)</f>
        <v/>
      </c>
      <c r="N281" s="7">
        <f>IF($A281="","",M281-F281)</f>
        <v/>
      </c>
      <c r="Q281" s="11" t="n"/>
      <c r="S281">
        <f>IF($A281="","",IF(AND(ISNUMBER($R281),NOT(ISLOGICAL($R281)),N($R281)&gt;1),$R281/100*1,IF($V281=1,Settings!$C$6,Settings!$C$7)*1))</f>
        <v/>
      </c>
      <c r="T281">
        <f>IF($A281="","",IF(COUNTIF($A$2:$A281,$A281)=1,1,0))</f>
        <v/>
      </c>
      <c r="U281">
        <f>IF($T281=1,SUMPRODUCT(--($W$2:$W$1001&lt;$W281))+1,"")</f>
        <v/>
      </c>
      <c r="V281">
        <f>IF($A281="","",IF(AND(ISNUMBER($R281),NOT(ISLOGICAL($R281)),N($R281)&gt;1),IF(ABS($R281/100-Settings!$C$6)&lt;=ABS($R281/100-Settings!$C$7),1,0),IF(OR($R281=TRUE(),$R281="TRUE"),1,0)))</f>
        <v/>
      </c>
      <c r="W281">
        <f>IF($T281=1,IFERROR(IF(VALUE($A281)&lt;100000000,VALUE($A281),1000000000),IFERROR(IF(VALUE(MID($A281,2,20))&lt;100000000,VALUE(MID($A281,2,20)),1000000000),1000000000))+ROW()/100000,"")</f>
        <v/>
      </c>
    </row>
    <row r="282">
      <c r="F282" s="7">
        <f>IF($A282="","",E282*K282/100)</f>
        <v/>
      </c>
      <c r="J282" s="7" t="n"/>
      <c r="K282" s="7" t="n"/>
      <c r="L282" s="7">
        <f>IF($A282="","",S282*K282)</f>
        <v/>
      </c>
      <c r="M282" s="7">
        <f>IF($A282="","",K282-L282)</f>
        <v/>
      </c>
      <c r="N282" s="7">
        <f>IF($A282="","",M282-F282)</f>
        <v/>
      </c>
      <c r="Q282" s="11" t="n"/>
      <c r="S282">
        <f>IF($A282="","",IF(AND(ISNUMBER($R282),NOT(ISLOGICAL($R282)),N($R282)&gt;1),$R282/100*1,IF($V282=1,Settings!$C$6,Settings!$C$7)*1))</f>
        <v/>
      </c>
      <c r="T282">
        <f>IF($A282="","",IF(COUNTIF($A$2:$A282,$A282)=1,1,0))</f>
        <v/>
      </c>
      <c r="U282">
        <f>IF($T282=1,SUMPRODUCT(--($W$2:$W$1001&lt;$W282))+1,"")</f>
        <v/>
      </c>
      <c r="V282">
        <f>IF($A282="","",IF(AND(ISNUMBER($R282),NOT(ISLOGICAL($R282)),N($R282)&gt;1),IF(ABS($R282/100-Settings!$C$6)&lt;=ABS($R282/100-Settings!$C$7),1,0),IF(OR($R282=TRUE(),$R282="TRUE"),1,0)))</f>
        <v/>
      </c>
      <c r="W282">
        <f>IF($T282=1,IFERROR(IF(VALUE($A282)&lt;100000000,VALUE($A282),1000000000),IFERROR(IF(VALUE(MID($A282,2,20))&lt;100000000,VALUE(MID($A282,2,20)),1000000000),1000000000))+ROW()/100000,"")</f>
        <v/>
      </c>
    </row>
    <row r="283">
      <c r="F283" s="7">
        <f>IF($A283="","",E283*K283/100)</f>
        <v/>
      </c>
      <c r="J283" s="7" t="n"/>
      <c r="K283" s="7" t="n"/>
      <c r="L283" s="7">
        <f>IF($A283="","",S283*K283)</f>
        <v/>
      </c>
      <c r="M283" s="7">
        <f>IF($A283="","",K283-L283)</f>
        <v/>
      </c>
      <c r="N283" s="7">
        <f>IF($A283="","",M283-F283)</f>
        <v/>
      </c>
      <c r="Q283" s="11" t="n"/>
      <c r="S283">
        <f>IF($A283="","",IF(AND(ISNUMBER($R283),NOT(ISLOGICAL($R283)),N($R283)&gt;1),$R283/100*1,IF($V283=1,Settings!$C$6,Settings!$C$7)*1))</f>
        <v/>
      </c>
      <c r="T283">
        <f>IF($A283="","",IF(COUNTIF($A$2:$A283,$A283)=1,1,0))</f>
        <v/>
      </c>
      <c r="U283">
        <f>IF($T283=1,SUMPRODUCT(--($W$2:$W$1001&lt;$W283))+1,"")</f>
        <v/>
      </c>
      <c r="V283">
        <f>IF($A283="","",IF(AND(ISNUMBER($R283),NOT(ISLOGICAL($R283)),N($R283)&gt;1),IF(ABS($R283/100-Settings!$C$6)&lt;=ABS($R283/100-Settings!$C$7),1,0),IF(OR($R283=TRUE(),$R283="TRUE"),1,0)))</f>
        <v/>
      </c>
      <c r="W283">
        <f>IF($T283=1,IFERROR(IF(VALUE($A283)&lt;100000000,VALUE($A283),1000000000),IFERROR(IF(VALUE(MID($A283,2,20))&lt;100000000,VALUE(MID($A283,2,20)),1000000000),1000000000))+ROW()/100000,"")</f>
        <v/>
      </c>
    </row>
    <row r="284">
      <c r="F284" s="7">
        <f>IF($A284="","",E284*K284/100)</f>
        <v/>
      </c>
      <c r="J284" s="7" t="n"/>
      <c r="K284" s="7" t="n"/>
      <c r="L284" s="7">
        <f>IF($A284="","",S284*K284)</f>
        <v/>
      </c>
      <c r="M284" s="7">
        <f>IF($A284="","",K284-L284)</f>
        <v/>
      </c>
      <c r="N284" s="7">
        <f>IF($A284="","",M284-F284)</f>
        <v/>
      </c>
      <c r="Q284" s="11" t="n"/>
      <c r="S284">
        <f>IF($A284="","",IF(AND(ISNUMBER($R284),NOT(ISLOGICAL($R284)),N($R284)&gt;1),$R284/100*1,IF($V284=1,Settings!$C$6,Settings!$C$7)*1))</f>
        <v/>
      </c>
      <c r="T284">
        <f>IF($A284="","",IF(COUNTIF($A$2:$A284,$A284)=1,1,0))</f>
        <v/>
      </c>
      <c r="U284">
        <f>IF($T284=1,SUMPRODUCT(--($W$2:$W$1001&lt;$W284))+1,"")</f>
        <v/>
      </c>
      <c r="V284">
        <f>IF($A284="","",IF(AND(ISNUMBER($R284),NOT(ISLOGICAL($R284)),N($R284)&gt;1),IF(ABS($R284/100-Settings!$C$6)&lt;=ABS($R284/100-Settings!$C$7),1,0),IF(OR($R284=TRUE(),$R284="TRUE"),1,0)))</f>
        <v/>
      </c>
      <c r="W284">
        <f>IF($T284=1,IFERROR(IF(VALUE($A284)&lt;100000000,VALUE($A284),1000000000),IFERROR(IF(VALUE(MID($A284,2,20))&lt;100000000,VALUE(MID($A284,2,20)),1000000000),1000000000))+ROW()/100000,"")</f>
        <v/>
      </c>
    </row>
    <row r="285">
      <c r="F285" s="7">
        <f>IF($A285="","",E285*K285/100)</f>
        <v/>
      </c>
      <c r="J285" s="7" t="n"/>
      <c r="K285" s="7" t="n"/>
      <c r="L285" s="7">
        <f>IF($A285="","",S285*K285)</f>
        <v/>
      </c>
      <c r="M285" s="7">
        <f>IF($A285="","",K285-L285)</f>
        <v/>
      </c>
      <c r="N285" s="7">
        <f>IF($A285="","",M285-F285)</f>
        <v/>
      </c>
      <c r="Q285" s="11" t="n"/>
      <c r="S285">
        <f>IF($A285="","",IF(AND(ISNUMBER($R285),NOT(ISLOGICAL($R285)),N($R285)&gt;1),$R285/100*1,IF($V285=1,Settings!$C$6,Settings!$C$7)*1))</f>
        <v/>
      </c>
      <c r="T285">
        <f>IF($A285="","",IF(COUNTIF($A$2:$A285,$A285)=1,1,0))</f>
        <v/>
      </c>
      <c r="U285">
        <f>IF($T285=1,SUMPRODUCT(--($W$2:$W$1001&lt;$W285))+1,"")</f>
        <v/>
      </c>
      <c r="V285">
        <f>IF($A285="","",IF(AND(ISNUMBER($R285),NOT(ISLOGICAL($R285)),N($R285)&gt;1),IF(ABS($R285/100-Settings!$C$6)&lt;=ABS($R285/100-Settings!$C$7),1,0),IF(OR($R285=TRUE(),$R285="TRUE"),1,0)))</f>
        <v/>
      </c>
      <c r="W285">
        <f>IF($T285=1,IFERROR(IF(VALUE($A285)&lt;100000000,VALUE($A285),1000000000),IFERROR(IF(VALUE(MID($A285,2,20))&lt;100000000,VALUE(MID($A285,2,20)),1000000000),1000000000))+ROW()/100000,"")</f>
        <v/>
      </c>
    </row>
    <row r="286">
      <c r="F286" s="7">
        <f>IF($A286="","",E286*K286/100)</f>
        <v/>
      </c>
      <c r="J286" s="7" t="n"/>
      <c r="K286" s="7" t="n"/>
      <c r="L286" s="7">
        <f>IF($A286="","",S286*K286)</f>
        <v/>
      </c>
      <c r="M286" s="7">
        <f>IF($A286="","",K286-L286)</f>
        <v/>
      </c>
      <c r="N286" s="7">
        <f>IF($A286="","",M286-F286)</f>
        <v/>
      </c>
      <c r="Q286" s="11" t="n"/>
      <c r="S286">
        <f>IF($A286="","",IF(AND(ISNUMBER($R286),NOT(ISLOGICAL($R286)),N($R286)&gt;1),$R286/100*1,IF($V286=1,Settings!$C$6,Settings!$C$7)*1))</f>
        <v/>
      </c>
      <c r="T286">
        <f>IF($A286="","",IF(COUNTIF($A$2:$A286,$A286)=1,1,0))</f>
        <v/>
      </c>
      <c r="U286">
        <f>IF($T286=1,SUMPRODUCT(--($W$2:$W$1001&lt;$W286))+1,"")</f>
        <v/>
      </c>
      <c r="V286">
        <f>IF($A286="","",IF(AND(ISNUMBER($R286),NOT(ISLOGICAL($R286)),N($R286)&gt;1),IF(ABS($R286/100-Settings!$C$6)&lt;=ABS($R286/100-Settings!$C$7),1,0),IF(OR($R286=TRUE(),$R286="TRUE"),1,0)))</f>
        <v/>
      </c>
      <c r="W286">
        <f>IF($T286=1,IFERROR(IF(VALUE($A286)&lt;100000000,VALUE($A286),1000000000),IFERROR(IF(VALUE(MID($A286,2,20))&lt;100000000,VALUE(MID($A286,2,20)),1000000000),1000000000))+ROW()/100000,"")</f>
        <v/>
      </c>
    </row>
    <row r="287">
      <c r="F287" s="7">
        <f>IF($A287="","",E287*K287/100)</f>
        <v/>
      </c>
      <c r="J287" s="7" t="n"/>
      <c r="K287" s="7" t="n"/>
      <c r="L287" s="7">
        <f>IF($A287="","",S287*K287)</f>
        <v/>
      </c>
      <c r="M287" s="7">
        <f>IF($A287="","",K287-L287)</f>
        <v/>
      </c>
      <c r="N287" s="7">
        <f>IF($A287="","",M287-F287)</f>
        <v/>
      </c>
      <c r="Q287" s="11" t="n"/>
      <c r="S287">
        <f>IF($A287="","",IF(AND(ISNUMBER($R287),NOT(ISLOGICAL($R287)),N($R287)&gt;1),$R287/100*1,IF($V287=1,Settings!$C$6,Settings!$C$7)*1))</f>
        <v/>
      </c>
      <c r="T287">
        <f>IF($A287="","",IF(COUNTIF($A$2:$A287,$A287)=1,1,0))</f>
        <v/>
      </c>
      <c r="U287">
        <f>IF($T287=1,SUMPRODUCT(--($W$2:$W$1001&lt;$W287))+1,"")</f>
        <v/>
      </c>
      <c r="V287">
        <f>IF($A287="","",IF(AND(ISNUMBER($R287),NOT(ISLOGICAL($R287)),N($R287)&gt;1),IF(ABS($R287/100-Settings!$C$6)&lt;=ABS($R287/100-Settings!$C$7),1,0),IF(OR($R287=TRUE(),$R287="TRUE"),1,0)))</f>
        <v/>
      </c>
      <c r="W287">
        <f>IF($T287=1,IFERROR(IF(VALUE($A287)&lt;100000000,VALUE($A287),1000000000),IFERROR(IF(VALUE(MID($A287,2,20))&lt;100000000,VALUE(MID($A287,2,20)),1000000000),1000000000))+ROW()/100000,"")</f>
        <v/>
      </c>
    </row>
    <row r="288">
      <c r="F288" s="7">
        <f>IF($A288="","",E288*K288/100)</f>
        <v/>
      </c>
      <c r="J288" s="7" t="n"/>
      <c r="K288" s="7" t="n"/>
      <c r="L288" s="7">
        <f>IF($A288="","",S288*K288)</f>
        <v/>
      </c>
      <c r="M288" s="7">
        <f>IF($A288="","",K288-L288)</f>
        <v/>
      </c>
      <c r="N288" s="7">
        <f>IF($A288="","",M288-F288)</f>
        <v/>
      </c>
      <c r="Q288" s="11" t="n"/>
      <c r="S288">
        <f>IF($A288="","",IF(AND(ISNUMBER($R288),NOT(ISLOGICAL($R288)),N($R288)&gt;1),$R288/100*1,IF($V288=1,Settings!$C$6,Settings!$C$7)*1))</f>
        <v/>
      </c>
      <c r="T288">
        <f>IF($A288="","",IF(COUNTIF($A$2:$A288,$A288)=1,1,0))</f>
        <v/>
      </c>
      <c r="U288">
        <f>IF($T288=1,SUMPRODUCT(--($W$2:$W$1001&lt;$W288))+1,"")</f>
        <v/>
      </c>
      <c r="V288">
        <f>IF($A288="","",IF(AND(ISNUMBER($R288),NOT(ISLOGICAL($R288)),N($R288)&gt;1),IF(ABS($R288/100-Settings!$C$6)&lt;=ABS($R288/100-Settings!$C$7),1,0),IF(OR($R288=TRUE(),$R288="TRUE"),1,0)))</f>
        <v/>
      </c>
      <c r="W288">
        <f>IF($T288=1,IFERROR(IF(VALUE($A288)&lt;100000000,VALUE($A288),1000000000),IFERROR(IF(VALUE(MID($A288,2,20))&lt;100000000,VALUE(MID($A288,2,20)),1000000000),1000000000))+ROW()/100000,"")</f>
        <v/>
      </c>
    </row>
    <row r="289">
      <c r="F289" s="7">
        <f>IF($A289="","",E289*K289/100)</f>
        <v/>
      </c>
      <c r="J289" s="7" t="n"/>
      <c r="K289" s="7" t="n"/>
      <c r="L289" s="7">
        <f>IF($A289="","",S289*K289)</f>
        <v/>
      </c>
      <c r="M289" s="7">
        <f>IF($A289="","",K289-L289)</f>
        <v/>
      </c>
      <c r="N289" s="7">
        <f>IF($A289="","",M289-F289)</f>
        <v/>
      </c>
      <c r="Q289" s="11" t="n"/>
      <c r="S289">
        <f>IF($A289="","",IF(AND(ISNUMBER($R289),NOT(ISLOGICAL($R289)),N($R289)&gt;1),$R289/100*1,IF($V289=1,Settings!$C$6,Settings!$C$7)*1))</f>
        <v/>
      </c>
      <c r="T289">
        <f>IF($A289="","",IF(COUNTIF($A$2:$A289,$A289)=1,1,0))</f>
        <v/>
      </c>
      <c r="U289">
        <f>IF($T289=1,SUMPRODUCT(--($W$2:$W$1001&lt;$W289))+1,"")</f>
        <v/>
      </c>
      <c r="V289">
        <f>IF($A289="","",IF(AND(ISNUMBER($R289),NOT(ISLOGICAL($R289)),N($R289)&gt;1),IF(ABS($R289/100-Settings!$C$6)&lt;=ABS($R289/100-Settings!$C$7),1,0),IF(OR($R289=TRUE(),$R289="TRUE"),1,0)))</f>
        <v/>
      </c>
      <c r="W289">
        <f>IF($T289=1,IFERROR(IF(VALUE($A289)&lt;100000000,VALUE($A289),1000000000),IFERROR(IF(VALUE(MID($A289,2,20))&lt;100000000,VALUE(MID($A289,2,20)),1000000000),1000000000))+ROW()/100000,"")</f>
        <v/>
      </c>
    </row>
    <row r="290">
      <c r="F290" s="7">
        <f>IF($A290="","",E290*K290/100)</f>
        <v/>
      </c>
      <c r="J290" s="7" t="n"/>
      <c r="K290" s="7" t="n"/>
      <c r="L290" s="7">
        <f>IF($A290="","",S290*K290)</f>
        <v/>
      </c>
      <c r="M290" s="7">
        <f>IF($A290="","",K290-L290)</f>
        <v/>
      </c>
      <c r="N290" s="7">
        <f>IF($A290="","",M290-F290)</f>
        <v/>
      </c>
      <c r="Q290" s="11" t="n"/>
      <c r="S290">
        <f>IF($A290="","",IF(AND(ISNUMBER($R290),NOT(ISLOGICAL($R290)),N($R290)&gt;1),$R290/100*1,IF($V290=1,Settings!$C$6,Settings!$C$7)*1))</f>
        <v/>
      </c>
      <c r="T290">
        <f>IF($A290="","",IF(COUNTIF($A$2:$A290,$A290)=1,1,0))</f>
        <v/>
      </c>
      <c r="U290">
        <f>IF($T290=1,SUMPRODUCT(--($W$2:$W$1001&lt;$W290))+1,"")</f>
        <v/>
      </c>
      <c r="V290">
        <f>IF($A290="","",IF(AND(ISNUMBER($R290),NOT(ISLOGICAL($R290)),N($R290)&gt;1),IF(ABS($R290/100-Settings!$C$6)&lt;=ABS($R290/100-Settings!$C$7),1,0),IF(OR($R290=TRUE(),$R290="TRUE"),1,0)))</f>
        <v/>
      </c>
      <c r="W290">
        <f>IF($T290=1,IFERROR(IF(VALUE($A290)&lt;100000000,VALUE($A290),1000000000),IFERROR(IF(VALUE(MID($A290,2,20))&lt;100000000,VALUE(MID($A290,2,20)),1000000000),1000000000))+ROW()/100000,"")</f>
        <v/>
      </c>
    </row>
    <row r="291">
      <c r="F291" s="7">
        <f>IF($A291="","",E291*K291/100)</f>
        <v/>
      </c>
      <c r="J291" s="7" t="n"/>
      <c r="K291" s="7" t="n"/>
      <c r="L291" s="7">
        <f>IF($A291="","",S291*K291)</f>
        <v/>
      </c>
      <c r="M291" s="7">
        <f>IF($A291="","",K291-L291)</f>
        <v/>
      </c>
      <c r="N291" s="7">
        <f>IF($A291="","",M291-F291)</f>
        <v/>
      </c>
      <c r="Q291" s="11" t="n"/>
      <c r="S291">
        <f>IF($A291="","",IF(AND(ISNUMBER($R291),NOT(ISLOGICAL($R291)),N($R291)&gt;1),$R291/100*1,IF($V291=1,Settings!$C$6,Settings!$C$7)*1))</f>
        <v/>
      </c>
      <c r="T291">
        <f>IF($A291="","",IF(COUNTIF($A$2:$A291,$A291)=1,1,0))</f>
        <v/>
      </c>
      <c r="U291">
        <f>IF($T291=1,SUMPRODUCT(--($W$2:$W$1001&lt;$W291))+1,"")</f>
        <v/>
      </c>
      <c r="V291">
        <f>IF($A291="","",IF(AND(ISNUMBER($R291),NOT(ISLOGICAL($R291)),N($R291)&gt;1),IF(ABS($R291/100-Settings!$C$6)&lt;=ABS($R291/100-Settings!$C$7),1,0),IF(OR($R291=TRUE(),$R291="TRUE"),1,0)))</f>
        <v/>
      </c>
      <c r="W291">
        <f>IF($T291=1,IFERROR(IF(VALUE($A291)&lt;100000000,VALUE($A291),1000000000),IFERROR(IF(VALUE(MID($A291,2,20))&lt;100000000,VALUE(MID($A291,2,20)),1000000000),1000000000))+ROW()/100000,"")</f>
        <v/>
      </c>
    </row>
    <row r="292">
      <c r="F292" s="7">
        <f>IF($A292="","",E292*K292/100)</f>
        <v/>
      </c>
      <c r="J292" s="7" t="n"/>
      <c r="K292" s="7" t="n"/>
      <c r="L292" s="7">
        <f>IF($A292="","",S292*K292)</f>
        <v/>
      </c>
      <c r="M292" s="7">
        <f>IF($A292="","",K292-L292)</f>
        <v/>
      </c>
      <c r="N292" s="7">
        <f>IF($A292="","",M292-F292)</f>
        <v/>
      </c>
      <c r="Q292" s="11" t="n"/>
      <c r="S292">
        <f>IF($A292="","",IF(AND(ISNUMBER($R292),NOT(ISLOGICAL($R292)),N($R292)&gt;1),$R292/100*1,IF($V292=1,Settings!$C$6,Settings!$C$7)*1))</f>
        <v/>
      </c>
      <c r="T292">
        <f>IF($A292="","",IF(COUNTIF($A$2:$A292,$A292)=1,1,0))</f>
        <v/>
      </c>
      <c r="U292">
        <f>IF($T292=1,SUMPRODUCT(--($W$2:$W$1001&lt;$W292))+1,"")</f>
        <v/>
      </c>
      <c r="V292">
        <f>IF($A292="","",IF(AND(ISNUMBER($R292),NOT(ISLOGICAL($R292)),N($R292)&gt;1),IF(ABS($R292/100-Settings!$C$6)&lt;=ABS($R292/100-Settings!$C$7),1,0),IF(OR($R292=TRUE(),$R292="TRUE"),1,0)))</f>
        <v/>
      </c>
      <c r="W292">
        <f>IF($T292=1,IFERROR(IF(VALUE($A292)&lt;100000000,VALUE($A292),1000000000),IFERROR(IF(VALUE(MID($A292,2,20))&lt;100000000,VALUE(MID($A292,2,20)),1000000000),1000000000))+ROW()/100000,"")</f>
        <v/>
      </c>
    </row>
    <row r="293">
      <c r="F293" s="7">
        <f>IF($A293="","",E293*K293/100)</f>
        <v/>
      </c>
      <c r="J293" s="7" t="n"/>
      <c r="K293" s="7" t="n"/>
      <c r="L293" s="7">
        <f>IF($A293="","",S293*K293)</f>
        <v/>
      </c>
      <c r="M293" s="7">
        <f>IF($A293="","",K293-L293)</f>
        <v/>
      </c>
      <c r="N293" s="7">
        <f>IF($A293="","",M293-F293)</f>
        <v/>
      </c>
      <c r="Q293" s="11" t="n"/>
      <c r="S293">
        <f>IF($A293="","",IF(AND(ISNUMBER($R293),NOT(ISLOGICAL($R293)),N($R293)&gt;1),$R293/100*1,IF($V293=1,Settings!$C$6,Settings!$C$7)*1))</f>
        <v/>
      </c>
      <c r="T293">
        <f>IF($A293="","",IF(COUNTIF($A$2:$A293,$A293)=1,1,0))</f>
        <v/>
      </c>
      <c r="U293">
        <f>IF($T293=1,SUMPRODUCT(--($W$2:$W$1001&lt;$W293))+1,"")</f>
        <v/>
      </c>
      <c r="V293">
        <f>IF($A293="","",IF(AND(ISNUMBER($R293),NOT(ISLOGICAL($R293)),N($R293)&gt;1),IF(ABS($R293/100-Settings!$C$6)&lt;=ABS($R293/100-Settings!$C$7),1,0),IF(OR($R293=TRUE(),$R293="TRUE"),1,0)))</f>
        <v/>
      </c>
      <c r="W293">
        <f>IF($T293=1,IFERROR(IF(VALUE($A293)&lt;100000000,VALUE($A293),1000000000),IFERROR(IF(VALUE(MID($A293,2,20))&lt;100000000,VALUE(MID($A293,2,20)),1000000000),1000000000))+ROW()/100000,"")</f>
        <v/>
      </c>
    </row>
    <row r="294">
      <c r="F294" s="7">
        <f>IF($A294="","",E294*K294/100)</f>
        <v/>
      </c>
      <c r="J294" s="7" t="n"/>
      <c r="K294" s="7" t="n"/>
      <c r="L294" s="7">
        <f>IF($A294="","",S294*K294)</f>
        <v/>
      </c>
      <c r="M294" s="7">
        <f>IF($A294="","",K294-L294)</f>
        <v/>
      </c>
      <c r="N294" s="7">
        <f>IF($A294="","",M294-F294)</f>
        <v/>
      </c>
      <c r="Q294" s="11" t="n"/>
      <c r="S294">
        <f>IF($A294="","",IF(AND(ISNUMBER($R294),NOT(ISLOGICAL($R294)),N($R294)&gt;1),$R294/100*1,IF($V294=1,Settings!$C$6,Settings!$C$7)*1))</f>
        <v/>
      </c>
      <c r="T294">
        <f>IF($A294="","",IF(COUNTIF($A$2:$A294,$A294)=1,1,0))</f>
        <v/>
      </c>
      <c r="U294">
        <f>IF($T294=1,SUMPRODUCT(--($W$2:$W$1001&lt;$W294))+1,"")</f>
        <v/>
      </c>
      <c r="V294">
        <f>IF($A294="","",IF(AND(ISNUMBER($R294),NOT(ISLOGICAL($R294)),N($R294)&gt;1),IF(ABS($R294/100-Settings!$C$6)&lt;=ABS($R294/100-Settings!$C$7),1,0),IF(OR($R294=TRUE(),$R294="TRUE"),1,0)))</f>
        <v/>
      </c>
      <c r="W294">
        <f>IF($T294=1,IFERROR(IF(VALUE($A294)&lt;100000000,VALUE($A294),1000000000),IFERROR(IF(VALUE(MID($A294,2,20))&lt;100000000,VALUE(MID($A294,2,20)),1000000000),1000000000))+ROW()/100000,"")</f>
        <v/>
      </c>
    </row>
    <row r="295">
      <c r="F295" s="7">
        <f>IF($A295="","",E295*K295/100)</f>
        <v/>
      </c>
      <c r="J295" s="7" t="n"/>
      <c r="K295" s="7" t="n"/>
      <c r="L295" s="7">
        <f>IF($A295="","",S295*K295)</f>
        <v/>
      </c>
      <c r="M295" s="7">
        <f>IF($A295="","",K295-L295)</f>
        <v/>
      </c>
      <c r="N295" s="7">
        <f>IF($A295="","",M295-F295)</f>
        <v/>
      </c>
      <c r="Q295" s="11" t="n"/>
      <c r="S295">
        <f>IF($A295="","",IF(AND(ISNUMBER($R295),NOT(ISLOGICAL($R295)),N($R295)&gt;1),$R295/100*1,IF($V295=1,Settings!$C$6,Settings!$C$7)*1))</f>
        <v/>
      </c>
      <c r="T295">
        <f>IF($A295="","",IF(COUNTIF($A$2:$A295,$A295)=1,1,0))</f>
        <v/>
      </c>
      <c r="U295">
        <f>IF($T295=1,SUMPRODUCT(--($W$2:$W$1001&lt;$W295))+1,"")</f>
        <v/>
      </c>
      <c r="V295">
        <f>IF($A295="","",IF(AND(ISNUMBER($R295),NOT(ISLOGICAL($R295)),N($R295)&gt;1),IF(ABS($R295/100-Settings!$C$6)&lt;=ABS($R295/100-Settings!$C$7),1,0),IF(OR($R295=TRUE(),$R295="TRUE"),1,0)))</f>
        <v/>
      </c>
      <c r="W295">
        <f>IF($T295=1,IFERROR(IF(VALUE($A295)&lt;100000000,VALUE($A295),1000000000),IFERROR(IF(VALUE(MID($A295,2,20))&lt;100000000,VALUE(MID($A295,2,20)),1000000000),1000000000))+ROW()/100000,"")</f>
        <v/>
      </c>
    </row>
    <row r="296">
      <c r="F296" s="7">
        <f>IF($A296="","",E296*K296/100)</f>
        <v/>
      </c>
      <c r="J296" s="7" t="n"/>
      <c r="K296" s="7" t="n"/>
      <c r="L296" s="7">
        <f>IF($A296="","",S296*K296)</f>
        <v/>
      </c>
      <c r="M296" s="7">
        <f>IF($A296="","",K296-L296)</f>
        <v/>
      </c>
      <c r="N296" s="7">
        <f>IF($A296="","",M296-F296)</f>
        <v/>
      </c>
      <c r="Q296" s="11" t="n"/>
      <c r="S296">
        <f>IF($A296="","",IF(AND(ISNUMBER($R296),NOT(ISLOGICAL($R296)),N($R296)&gt;1),$R296/100*1,IF($V296=1,Settings!$C$6,Settings!$C$7)*1))</f>
        <v/>
      </c>
      <c r="T296">
        <f>IF($A296="","",IF(COUNTIF($A$2:$A296,$A296)=1,1,0))</f>
        <v/>
      </c>
      <c r="U296">
        <f>IF($T296=1,SUMPRODUCT(--($W$2:$W$1001&lt;$W296))+1,"")</f>
        <v/>
      </c>
      <c r="V296">
        <f>IF($A296="","",IF(AND(ISNUMBER($R296),NOT(ISLOGICAL($R296)),N($R296)&gt;1),IF(ABS($R296/100-Settings!$C$6)&lt;=ABS($R296/100-Settings!$C$7),1,0),IF(OR($R296=TRUE(),$R296="TRUE"),1,0)))</f>
        <v/>
      </c>
      <c r="W296">
        <f>IF($T296=1,IFERROR(IF(VALUE($A296)&lt;100000000,VALUE($A296),1000000000),IFERROR(IF(VALUE(MID($A296,2,20))&lt;100000000,VALUE(MID($A296,2,20)),1000000000),1000000000))+ROW()/100000,"")</f>
        <v/>
      </c>
    </row>
    <row r="297">
      <c r="F297" s="7">
        <f>IF($A297="","",E297*K297/100)</f>
        <v/>
      </c>
      <c r="J297" s="7" t="n"/>
      <c r="K297" s="7" t="n"/>
      <c r="L297" s="7">
        <f>IF($A297="","",S297*K297)</f>
        <v/>
      </c>
      <c r="M297" s="7">
        <f>IF($A297="","",K297-L297)</f>
        <v/>
      </c>
      <c r="N297" s="7">
        <f>IF($A297="","",M297-F297)</f>
        <v/>
      </c>
      <c r="Q297" s="11" t="n"/>
      <c r="S297">
        <f>IF($A297="","",IF(AND(ISNUMBER($R297),NOT(ISLOGICAL($R297)),N($R297)&gt;1),$R297/100*1,IF($V297=1,Settings!$C$6,Settings!$C$7)*1))</f>
        <v/>
      </c>
      <c r="T297">
        <f>IF($A297="","",IF(COUNTIF($A$2:$A297,$A297)=1,1,0))</f>
        <v/>
      </c>
      <c r="U297">
        <f>IF($T297=1,SUMPRODUCT(--($W$2:$W$1001&lt;$W297))+1,"")</f>
        <v/>
      </c>
      <c r="V297">
        <f>IF($A297="","",IF(AND(ISNUMBER($R297),NOT(ISLOGICAL($R297)),N($R297)&gt;1),IF(ABS($R297/100-Settings!$C$6)&lt;=ABS($R297/100-Settings!$C$7),1,0),IF(OR($R297=TRUE(),$R297="TRUE"),1,0)))</f>
        <v/>
      </c>
      <c r="W297">
        <f>IF($T297=1,IFERROR(IF(VALUE($A297)&lt;100000000,VALUE($A297),1000000000),IFERROR(IF(VALUE(MID($A297,2,20))&lt;100000000,VALUE(MID($A297,2,20)),1000000000),1000000000))+ROW()/100000,"")</f>
        <v/>
      </c>
    </row>
    <row r="298">
      <c r="F298" s="7">
        <f>IF($A298="","",E298*K298/100)</f>
        <v/>
      </c>
      <c r="J298" s="7" t="n"/>
      <c r="K298" s="7" t="n"/>
      <c r="L298" s="7">
        <f>IF($A298="","",S298*K298)</f>
        <v/>
      </c>
      <c r="M298" s="7">
        <f>IF($A298="","",K298-L298)</f>
        <v/>
      </c>
      <c r="N298" s="7">
        <f>IF($A298="","",M298-F298)</f>
        <v/>
      </c>
      <c r="Q298" s="11" t="n"/>
      <c r="S298">
        <f>IF($A298="","",IF(AND(ISNUMBER($R298),NOT(ISLOGICAL($R298)),N($R298)&gt;1),$R298/100*1,IF($V298=1,Settings!$C$6,Settings!$C$7)*1))</f>
        <v/>
      </c>
      <c r="T298">
        <f>IF($A298="","",IF(COUNTIF($A$2:$A298,$A298)=1,1,0))</f>
        <v/>
      </c>
      <c r="U298">
        <f>IF($T298=1,SUMPRODUCT(--($W$2:$W$1001&lt;$W298))+1,"")</f>
        <v/>
      </c>
      <c r="V298">
        <f>IF($A298="","",IF(AND(ISNUMBER($R298),NOT(ISLOGICAL($R298)),N($R298)&gt;1),IF(ABS($R298/100-Settings!$C$6)&lt;=ABS($R298/100-Settings!$C$7),1,0),IF(OR($R298=TRUE(),$R298="TRUE"),1,0)))</f>
        <v/>
      </c>
      <c r="W298">
        <f>IF($T298=1,IFERROR(IF(VALUE($A298)&lt;100000000,VALUE($A298),1000000000),IFERROR(IF(VALUE(MID($A298,2,20))&lt;100000000,VALUE(MID($A298,2,20)),1000000000),1000000000))+ROW()/100000,"")</f>
        <v/>
      </c>
    </row>
    <row r="299">
      <c r="F299" s="7">
        <f>IF($A299="","",E299*K299/100)</f>
        <v/>
      </c>
      <c r="J299" s="7" t="n"/>
      <c r="K299" s="7" t="n"/>
      <c r="L299" s="7">
        <f>IF($A299="","",S299*K299)</f>
        <v/>
      </c>
      <c r="M299" s="7">
        <f>IF($A299="","",K299-L299)</f>
        <v/>
      </c>
      <c r="N299" s="7">
        <f>IF($A299="","",M299-F299)</f>
        <v/>
      </c>
      <c r="Q299" s="11" t="n"/>
      <c r="S299">
        <f>IF($A299="","",IF(AND(ISNUMBER($R299),NOT(ISLOGICAL($R299)),N($R299)&gt;1),$R299/100*1,IF($V299=1,Settings!$C$6,Settings!$C$7)*1))</f>
        <v/>
      </c>
      <c r="T299">
        <f>IF($A299="","",IF(COUNTIF($A$2:$A299,$A299)=1,1,0))</f>
        <v/>
      </c>
      <c r="U299">
        <f>IF($T299=1,SUMPRODUCT(--($W$2:$W$1001&lt;$W299))+1,"")</f>
        <v/>
      </c>
      <c r="V299">
        <f>IF($A299="","",IF(AND(ISNUMBER($R299),NOT(ISLOGICAL($R299)),N($R299)&gt;1),IF(ABS($R299/100-Settings!$C$6)&lt;=ABS($R299/100-Settings!$C$7),1,0),IF(OR($R299=TRUE(),$R299="TRUE"),1,0)))</f>
        <v/>
      </c>
      <c r="W299">
        <f>IF($T299=1,IFERROR(IF(VALUE($A299)&lt;100000000,VALUE($A299),1000000000),IFERROR(IF(VALUE(MID($A299,2,20))&lt;100000000,VALUE(MID($A299,2,20)),1000000000),1000000000))+ROW()/100000,"")</f>
        <v/>
      </c>
    </row>
    <row r="300">
      <c r="F300" s="7">
        <f>IF($A300="","",E300*K300/100)</f>
        <v/>
      </c>
      <c r="J300" s="7" t="n"/>
      <c r="K300" s="7" t="n"/>
      <c r="L300" s="7">
        <f>IF($A300="","",S300*K300)</f>
        <v/>
      </c>
      <c r="M300" s="7">
        <f>IF($A300="","",K300-L300)</f>
        <v/>
      </c>
      <c r="N300" s="7">
        <f>IF($A300="","",M300-F300)</f>
        <v/>
      </c>
      <c r="Q300" s="11" t="n"/>
      <c r="S300">
        <f>IF($A300="","",IF(AND(ISNUMBER($R300),NOT(ISLOGICAL($R300)),N($R300)&gt;1),$R300/100*1,IF($V300=1,Settings!$C$6,Settings!$C$7)*1))</f>
        <v/>
      </c>
      <c r="T300">
        <f>IF($A300="","",IF(COUNTIF($A$2:$A300,$A300)=1,1,0))</f>
        <v/>
      </c>
      <c r="U300">
        <f>IF($T300=1,SUMPRODUCT(--($W$2:$W$1001&lt;$W300))+1,"")</f>
        <v/>
      </c>
      <c r="V300">
        <f>IF($A300="","",IF(AND(ISNUMBER($R300),NOT(ISLOGICAL($R300)),N($R300)&gt;1),IF(ABS($R300/100-Settings!$C$6)&lt;=ABS($R300/100-Settings!$C$7),1,0),IF(OR($R300=TRUE(),$R300="TRUE"),1,0)))</f>
        <v/>
      </c>
      <c r="W300">
        <f>IF($T300=1,IFERROR(IF(VALUE($A300)&lt;100000000,VALUE($A300),1000000000),IFERROR(IF(VALUE(MID($A300,2,20))&lt;100000000,VALUE(MID($A300,2,20)),1000000000),1000000000))+ROW()/100000,"")</f>
        <v/>
      </c>
    </row>
    <row r="301">
      <c r="F301" s="7">
        <f>IF($A301="","",E301*K301/100)</f>
        <v/>
      </c>
      <c r="J301" s="7" t="n"/>
      <c r="K301" s="7" t="n"/>
      <c r="L301" s="7">
        <f>IF($A301="","",S301*K301)</f>
        <v/>
      </c>
      <c r="M301" s="7">
        <f>IF($A301="","",K301-L301)</f>
        <v/>
      </c>
      <c r="N301" s="7">
        <f>IF($A301="","",M301-F301)</f>
        <v/>
      </c>
      <c r="Q301" s="11" t="n"/>
      <c r="S301">
        <f>IF($A301="","",IF(AND(ISNUMBER($R301),NOT(ISLOGICAL($R301)),N($R301)&gt;1),$R301/100*1,IF($V301=1,Settings!$C$6,Settings!$C$7)*1))</f>
        <v/>
      </c>
      <c r="T301">
        <f>IF($A301="","",IF(COUNTIF($A$2:$A301,$A301)=1,1,0))</f>
        <v/>
      </c>
      <c r="U301">
        <f>IF($T301=1,SUMPRODUCT(--($W$2:$W$1001&lt;$W301))+1,"")</f>
        <v/>
      </c>
      <c r="V301">
        <f>IF($A301="","",IF(AND(ISNUMBER($R301),NOT(ISLOGICAL($R301)),N($R301)&gt;1),IF(ABS($R301/100-Settings!$C$6)&lt;=ABS($R301/100-Settings!$C$7),1,0),IF(OR($R301=TRUE(),$R301="TRUE"),1,0)))</f>
        <v/>
      </c>
      <c r="W301">
        <f>IF($T301=1,IFERROR(IF(VALUE($A301)&lt;100000000,VALUE($A301),1000000000),IFERROR(IF(VALUE(MID($A301,2,20))&lt;100000000,VALUE(MID($A301,2,20)),1000000000),1000000000))+ROW()/100000,"")</f>
        <v/>
      </c>
    </row>
    <row r="302">
      <c r="F302" s="7">
        <f>IF($A302="","",E302*K302/100)</f>
        <v/>
      </c>
      <c r="J302" s="7" t="n"/>
      <c r="K302" s="7" t="n"/>
      <c r="L302" s="7">
        <f>IF($A302="","",S302*K302)</f>
        <v/>
      </c>
      <c r="M302" s="7">
        <f>IF($A302="","",K302-L302)</f>
        <v/>
      </c>
      <c r="N302" s="7">
        <f>IF($A302="","",M302-F302)</f>
        <v/>
      </c>
      <c r="Q302" s="11" t="n"/>
      <c r="S302">
        <f>IF($A302="","",IF(AND(ISNUMBER($R302),NOT(ISLOGICAL($R302)),N($R302)&gt;1),$R302/100*1,IF($V302=1,Settings!$C$6,Settings!$C$7)*1))</f>
        <v/>
      </c>
      <c r="T302">
        <f>IF($A302="","",IF(COUNTIF($A$2:$A302,$A302)=1,1,0))</f>
        <v/>
      </c>
      <c r="U302">
        <f>IF($T302=1,SUMPRODUCT(--($W$2:$W$1001&lt;$W302))+1,"")</f>
        <v/>
      </c>
      <c r="V302">
        <f>IF($A302="","",IF(AND(ISNUMBER($R302),NOT(ISLOGICAL($R302)),N($R302)&gt;1),IF(ABS($R302/100-Settings!$C$6)&lt;=ABS($R302/100-Settings!$C$7),1,0),IF(OR($R302=TRUE(),$R302="TRUE"),1,0)))</f>
        <v/>
      </c>
      <c r="W302">
        <f>IF($T302=1,IFERROR(IF(VALUE($A302)&lt;100000000,VALUE($A302),1000000000),IFERROR(IF(VALUE(MID($A302,2,20))&lt;100000000,VALUE(MID($A302,2,20)),1000000000),1000000000))+ROW()/100000,"")</f>
        <v/>
      </c>
    </row>
    <row r="303">
      <c r="F303" s="7">
        <f>IF($A303="","",E303*K303/100)</f>
        <v/>
      </c>
      <c r="J303" s="7" t="n"/>
      <c r="K303" s="7" t="n"/>
      <c r="L303" s="7">
        <f>IF($A303="","",S303*K303)</f>
        <v/>
      </c>
      <c r="M303" s="7">
        <f>IF($A303="","",K303-L303)</f>
        <v/>
      </c>
      <c r="N303" s="7">
        <f>IF($A303="","",M303-F303)</f>
        <v/>
      </c>
      <c r="Q303" s="11" t="n"/>
      <c r="S303">
        <f>IF($A303="","",IF(AND(ISNUMBER($R303),NOT(ISLOGICAL($R303)),N($R303)&gt;1),$R303/100*1,IF($V303=1,Settings!$C$6,Settings!$C$7)*1))</f>
        <v/>
      </c>
      <c r="T303">
        <f>IF($A303="","",IF(COUNTIF($A$2:$A303,$A303)=1,1,0))</f>
        <v/>
      </c>
      <c r="U303">
        <f>IF($T303=1,SUMPRODUCT(--($W$2:$W$1001&lt;$W303))+1,"")</f>
        <v/>
      </c>
      <c r="V303">
        <f>IF($A303="","",IF(AND(ISNUMBER($R303),NOT(ISLOGICAL($R303)),N($R303)&gt;1),IF(ABS($R303/100-Settings!$C$6)&lt;=ABS($R303/100-Settings!$C$7),1,0),IF(OR($R303=TRUE(),$R303="TRUE"),1,0)))</f>
        <v/>
      </c>
      <c r="W303">
        <f>IF($T303=1,IFERROR(IF(VALUE($A303)&lt;100000000,VALUE($A303),1000000000),IFERROR(IF(VALUE(MID($A303,2,20))&lt;100000000,VALUE(MID($A303,2,20)),1000000000),1000000000))+ROW()/100000,"")</f>
        <v/>
      </c>
    </row>
    <row r="304">
      <c r="F304" s="7">
        <f>IF($A304="","",E304*K304/100)</f>
        <v/>
      </c>
      <c r="J304" s="7" t="n"/>
      <c r="K304" s="7" t="n"/>
      <c r="L304" s="7">
        <f>IF($A304="","",S304*K304)</f>
        <v/>
      </c>
      <c r="M304" s="7">
        <f>IF($A304="","",K304-L304)</f>
        <v/>
      </c>
      <c r="N304" s="7">
        <f>IF($A304="","",M304-F304)</f>
        <v/>
      </c>
      <c r="Q304" s="11" t="n"/>
      <c r="S304">
        <f>IF($A304="","",IF(AND(ISNUMBER($R304),NOT(ISLOGICAL($R304)),N($R304)&gt;1),$R304/100*1,IF($V304=1,Settings!$C$6,Settings!$C$7)*1))</f>
        <v/>
      </c>
      <c r="T304">
        <f>IF($A304="","",IF(COUNTIF($A$2:$A304,$A304)=1,1,0))</f>
        <v/>
      </c>
      <c r="U304">
        <f>IF($T304=1,SUMPRODUCT(--($W$2:$W$1001&lt;$W304))+1,"")</f>
        <v/>
      </c>
      <c r="V304">
        <f>IF($A304="","",IF(AND(ISNUMBER($R304),NOT(ISLOGICAL($R304)),N($R304)&gt;1),IF(ABS($R304/100-Settings!$C$6)&lt;=ABS($R304/100-Settings!$C$7),1,0),IF(OR($R304=TRUE(),$R304="TRUE"),1,0)))</f>
        <v/>
      </c>
      <c r="W304">
        <f>IF($T304=1,IFERROR(IF(VALUE($A304)&lt;100000000,VALUE($A304),1000000000),IFERROR(IF(VALUE(MID($A304,2,20))&lt;100000000,VALUE(MID($A304,2,20)),1000000000),1000000000))+ROW()/100000,"")</f>
        <v/>
      </c>
    </row>
    <row r="305">
      <c r="F305" s="7">
        <f>IF($A305="","",E305*K305/100)</f>
        <v/>
      </c>
      <c r="J305" s="7" t="n"/>
      <c r="K305" s="7" t="n"/>
      <c r="L305" s="7">
        <f>IF($A305="","",S305*K305)</f>
        <v/>
      </c>
      <c r="M305" s="7">
        <f>IF($A305="","",K305-L305)</f>
        <v/>
      </c>
      <c r="N305" s="7">
        <f>IF($A305="","",M305-F305)</f>
        <v/>
      </c>
      <c r="Q305" s="11" t="n"/>
      <c r="S305">
        <f>IF($A305="","",IF(AND(ISNUMBER($R305),NOT(ISLOGICAL($R305)),N($R305)&gt;1),$R305/100*1,IF($V305=1,Settings!$C$6,Settings!$C$7)*1))</f>
        <v/>
      </c>
      <c r="T305">
        <f>IF($A305="","",IF(COUNTIF($A$2:$A305,$A305)=1,1,0))</f>
        <v/>
      </c>
      <c r="U305">
        <f>IF($T305=1,SUMPRODUCT(--($W$2:$W$1001&lt;$W305))+1,"")</f>
        <v/>
      </c>
      <c r="V305">
        <f>IF($A305="","",IF(AND(ISNUMBER($R305),NOT(ISLOGICAL($R305)),N($R305)&gt;1),IF(ABS($R305/100-Settings!$C$6)&lt;=ABS($R305/100-Settings!$C$7),1,0),IF(OR($R305=TRUE(),$R305="TRUE"),1,0)))</f>
        <v/>
      </c>
      <c r="W305">
        <f>IF($T305=1,IFERROR(IF(VALUE($A305)&lt;100000000,VALUE($A305),1000000000),IFERROR(IF(VALUE(MID($A305,2,20))&lt;100000000,VALUE(MID($A305,2,20)),1000000000),1000000000))+ROW()/100000,"")</f>
        <v/>
      </c>
    </row>
    <row r="306">
      <c r="F306" s="7">
        <f>IF($A306="","",E306*K306/100)</f>
        <v/>
      </c>
      <c r="J306" s="7" t="n"/>
      <c r="K306" s="7" t="n"/>
      <c r="L306" s="7">
        <f>IF($A306="","",S306*K306)</f>
        <v/>
      </c>
      <c r="M306" s="7">
        <f>IF($A306="","",K306-L306)</f>
        <v/>
      </c>
      <c r="N306" s="7">
        <f>IF($A306="","",M306-F306)</f>
        <v/>
      </c>
      <c r="Q306" s="11" t="n"/>
      <c r="S306">
        <f>IF($A306="","",IF(AND(ISNUMBER($R306),NOT(ISLOGICAL($R306)),N($R306)&gt;1),$R306/100*1,IF($V306=1,Settings!$C$6,Settings!$C$7)*1))</f>
        <v/>
      </c>
      <c r="T306">
        <f>IF($A306="","",IF(COUNTIF($A$2:$A306,$A306)=1,1,0))</f>
        <v/>
      </c>
      <c r="U306">
        <f>IF($T306=1,SUMPRODUCT(--($W$2:$W$1001&lt;$W306))+1,"")</f>
        <v/>
      </c>
      <c r="V306">
        <f>IF($A306="","",IF(AND(ISNUMBER($R306),NOT(ISLOGICAL($R306)),N($R306)&gt;1),IF(ABS($R306/100-Settings!$C$6)&lt;=ABS($R306/100-Settings!$C$7),1,0),IF(OR($R306=TRUE(),$R306="TRUE"),1,0)))</f>
        <v/>
      </c>
      <c r="W306">
        <f>IF($T306=1,IFERROR(IF(VALUE($A306)&lt;100000000,VALUE($A306),1000000000),IFERROR(IF(VALUE(MID($A306,2,20))&lt;100000000,VALUE(MID($A306,2,20)),1000000000),1000000000))+ROW()/100000,"")</f>
        <v/>
      </c>
    </row>
    <row r="307">
      <c r="F307" s="7">
        <f>IF($A307="","",E307*K307/100)</f>
        <v/>
      </c>
      <c r="J307" s="7" t="n"/>
      <c r="K307" s="7" t="n"/>
      <c r="L307" s="7">
        <f>IF($A307="","",S307*K307)</f>
        <v/>
      </c>
      <c r="M307" s="7">
        <f>IF($A307="","",K307-L307)</f>
        <v/>
      </c>
      <c r="N307" s="7">
        <f>IF($A307="","",M307-F307)</f>
        <v/>
      </c>
      <c r="Q307" s="11" t="n"/>
      <c r="S307">
        <f>IF($A307="","",IF(AND(ISNUMBER($R307),NOT(ISLOGICAL($R307)),N($R307)&gt;1),$R307/100*1,IF($V307=1,Settings!$C$6,Settings!$C$7)*1))</f>
        <v/>
      </c>
      <c r="T307">
        <f>IF($A307="","",IF(COUNTIF($A$2:$A307,$A307)=1,1,0))</f>
        <v/>
      </c>
      <c r="U307">
        <f>IF($T307=1,SUMPRODUCT(--($W$2:$W$1001&lt;$W307))+1,"")</f>
        <v/>
      </c>
      <c r="V307">
        <f>IF($A307="","",IF(AND(ISNUMBER($R307),NOT(ISLOGICAL($R307)),N($R307)&gt;1),IF(ABS($R307/100-Settings!$C$6)&lt;=ABS($R307/100-Settings!$C$7),1,0),IF(OR($R307=TRUE(),$R307="TRUE"),1,0)))</f>
        <v/>
      </c>
      <c r="W307">
        <f>IF($T307=1,IFERROR(IF(VALUE($A307)&lt;100000000,VALUE($A307),1000000000),IFERROR(IF(VALUE(MID($A307,2,20))&lt;100000000,VALUE(MID($A307,2,20)),1000000000),1000000000))+ROW()/100000,"")</f>
        <v/>
      </c>
    </row>
    <row r="308">
      <c r="F308" s="7">
        <f>IF($A308="","",E308*K308/100)</f>
        <v/>
      </c>
      <c r="J308" s="7" t="n"/>
      <c r="K308" s="7" t="n"/>
      <c r="L308" s="7">
        <f>IF($A308="","",S308*K308)</f>
        <v/>
      </c>
      <c r="M308" s="7">
        <f>IF($A308="","",K308-L308)</f>
        <v/>
      </c>
      <c r="N308" s="7">
        <f>IF($A308="","",M308-F308)</f>
        <v/>
      </c>
      <c r="Q308" s="11" t="n"/>
      <c r="S308">
        <f>IF($A308="","",IF(AND(ISNUMBER($R308),NOT(ISLOGICAL($R308)),N($R308)&gt;1),$R308/100*1,IF($V308=1,Settings!$C$6,Settings!$C$7)*1))</f>
        <v/>
      </c>
      <c r="T308">
        <f>IF($A308="","",IF(COUNTIF($A$2:$A308,$A308)=1,1,0))</f>
        <v/>
      </c>
      <c r="U308">
        <f>IF($T308=1,SUMPRODUCT(--($W$2:$W$1001&lt;$W308))+1,"")</f>
        <v/>
      </c>
      <c r="V308">
        <f>IF($A308="","",IF(AND(ISNUMBER($R308),NOT(ISLOGICAL($R308)),N($R308)&gt;1),IF(ABS($R308/100-Settings!$C$6)&lt;=ABS($R308/100-Settings!$C$7),1,0),IF(OR($R308=TRUE(),$R308="TRUE"),1,0)))</f>
        <v/>
      </c>
      <c r="W308">
        <f>IF($T308=1,IFERROR(IF(VALUE($A308)&lt;100000000,VALUE($A308),1000000000),IFERROR(IF(VALUE(MID($A308,2,20))&lt;100000000,VALUE(MID($A308,2,20)),1000000000),1000000000))+ROW()/100000,"")</f>
        <v/>
      </c>
    </row>
    <row r="309">
      <c r="F309" s="7">
        <f>IF($A309="","",E309*K309/100)</f>
        <v/>
      </c>
      <c r="J309" s="7" t="n"/>
      <c r="K309" s="7" t="n"/>
      <c r="L309" s="7">
        <f>IF($A309="","",S309*K309)</f>
        <v/>
      </c>
      <c r="M309" s="7">
        <f>IF($A309="","",K309-L309)</f>
        <v/>
      </c>
      <c r="N309" s="7">
        <f>IF($A309="","",M309-F309)</f>
        <v/>
      </c>
      <c r="Q309" s="11" t="n"/>
      <c r="S309">
        <f>IF($A309="","",IF(AND(ISNUMBER($R309),NOT(ISLOGICAL($R309)),N($R309)&gt;1),$R309/100*1,IF($V309=1,Settings!$C$6,Settings!$C$7)*1))</f>
        <v/>
      </c>
      <c r="T309">
        <f>IF($A309="","",IF(COUNTIF($A$2:$A309,$A309)=1,1,0))</f>
        <v/>
      </c>
      <c r="U309">
        <f>IF($T309=1,SUMPRODUCT(--($W$2:$W$1001&lt;$W309))+1,"")</f>
        <v/>
      </c>
      <c r="V309">
        <f>IF($A309="","",IF(AND(ISNUMBER($R309),NOT(ISLOGICAL($R309)),N($R309)&gt;1),IF(ABS($R309/100-Settings!$C$6)&lt;=ABS($R309/100-Settings!$C$7),1,0),IF(OR($R309=TRUE(),$R309="TRUE"),1,0)))</f>
        <v/>
      </c>
      <c r="W309">
        <f>IF($T309=1,IFERROR(IF(VALUE($A309)&lt;100000000,VALUE($A309),1000000000),IFERROR(IF(VALUE(MID($A309,2,20))&lt;100000000,VALUE(MID($A309,2,20)),1000000000),1000000000))+ROW()/100000,"")</f>
        <v/>
      </c>
    </row>
    <row r="310">
      <c r="F310" s="7">
        <f>IF($A310="","",E310*K310/100)</f>
        <v/>
      </c>
      <c r="J310" s="7" t="n"/>
      <c r="K310" s="7" t="n"/>
      <c r="L310" s="7">
        <f>IF($A310="","",S310*K310)</f>
        <v/>
      </c>
      <c r="M310" s="7">
        <f>IF($A310="","",K310-L310)</f>
        <v/>
      </c>
      <c r="N310" s="7">
        <f>IF($A310="","",M310-F310)</f>
        <v/>
      </c>
      <c r="Q310" s="11" t="n"/>
      <c r="S310">
        <f>IF($A310="","",IF(AND(ISNUMBER($R310),NOT(ISLOGICAL($R310)),N($R310)&gt;1),$R310/100*1,IF($V310=1,Settings!$C$6,Settings!$C$7)*1))</f>
        <v/>
      </c>
      <c r="T310">
        <f>IF($A310="","",IF(COUNTIF($A$2:$A310,$A310)=1,1,0))</f>
        <v/>
      </c>
      <c r="U310">
        <f>IF($T310=1,SUMPRODUCT(--($W$2:$W$1001&lt;$W310))+1,"")</f>
        <v/>
      </c>
      <c r="V310">
        <f>IF($A310="","",IF(AND(ISNUMBER($R310),NOT(ISLOGICAL($R310)),N($R310)&gt;1),IF(ABS($R310/100-Settings!$C$6)&lt;=ABS($R310/100-Settings!$C$7),1,0),IF(OR($R310=TRUE(),$R310="TRUE"),1,0)))</f>
        <v/>
      </c>
      <c r="W310">
        <f>IF($T310=1,IFERROR(IF(VALUE($A310)&lt;100000000,VALUE($A310),1000000000),IFERROR(IF(VALUE(MID($A310,2,20))&lt;100000000,VALUE(MID($A310,2,20)),1000000000),1000000000))+ROW()/100000,"")</f>
        <v/>
      </c>
    </row>
    <row r="311">
      <c r="F311" s="7">
        <f>IF($A311="","",E311*K311/100)</f>
        <v/>
      </c>
      <c r="J311" s="7" t="n"/>
      <c r="K311" s="7" t="n"/>
      <c r="L311" s="7">
        <f>IF($A311="","",S311*K311)</f>
        <v/>
      </c>
      <c r="M311" s="7">
        <f>IF($A311="","",K311-L311)</f>
        <v/>
      </c>
      <c r="N311" s="7">
        <f>IF($A311="","",M311-F311)</f>
        <v/>
      </c>
      <c r="Q311" s="11" t="n"/>
      <c r="S311">
        <f>IF($A311="","",IF(AND(ISNUMBER($R311),NOT(ISLOGICAL($R311)),N($R311)&gt;1),$R311/100*1,IF($V311=1,Settings!$C$6,Settings!$C$7)*1))</f>
        <v/>
      </c>
      <c r="T311">
        <f>IF($A311="","",IF(COUNTIF($A$2:$A311,$A311)=1,1,0))</f>
        <v/>
      </c>
      <c r="U311">
        <f>IF($T311=1,SUMPRODUCT(--($W$2:$W$1001&lt;$W311))+1,"")</f>
        <v/>
      </c>
      <c r="V311">
        <f>IF($A311="","",IF(AND(ISNUMBER($R311),NOT(ISLOGICAL($R311)),N($R311)&gt;1),IF(ABS($R311/100-Settings!$C$6)&lt;=ABS($R311/100-Settings!$C$7),1,0),IF(OR($R311=TRUE(),$R311="TRUE"),1,0)))</f>
        <v/>
      </c>
      <c r="W311">
        <f>IF($T311=1,IFERROR(IF(VALUE($A311)&lt;100000000,VALUE($A311),1000000000),IFERROR(IF(VALUE(MID($A311,2,20))&lt;100000000,VALUE(MID($A311,2,20)),1000000000),1000000000))+ROW()/100000,"")</f>
        <v/>
      </c>
    </row>
    <row r="312">
      <c r="F312" s="7">
        <f>IF($A312="","",E312*K312/100)</f>
        <v/>
      </c>
      <c r="J312" s="7" t="n"/>
      <c r="K312" s="7" t="n"/>
      <c r="L312" s="7">
        <f>IF($A312="","",S312*K312)</f>
        <v/>
      </c>
      <c r="M312" s="7">
        <f>IF($A312="","",K312-L312)</f>
        <v/>
      </c>
      <c r="N312" s="7">
        <f>IF($A312="","",M312-F312)</f>
        <v/>
      </c>
      <c r="Q312" s="11" t="n"/>
      <c r="S312">
        <f>IF($A312="","",IF(AND(ISNUMBER($R312),NOT(ISLOGICAL($R312)),N($R312)&gt;1),$R312/100*1,IF($V312=1,Settings!$C$6,Settings!$C$7)*1))</f>
        <v/>
      </c>
      <c r="T312">
        <f>IF($A312="","",IF(COUNTIF($A$2:$A312,$A312)=1,1,0))</f>
        <v/>
      </c>
      <c r="U312">
        <f>IF($T312=1,SUMPRODUCT(--($W$2:$W$1001&lt;$W312))+1,"")</f>
        <v/>
      </c>
      <c r="V312">
        <f>IF($A312="","",IF(AND(ISNUMBER($R312),NOT(ISLOGICAL($R312)),N($R312)&gt;1),IF(ABS($R312/100-Settings!$C$6)&lt;=ABS($R312/100-Settings!$C$7),1,0),IF(OR($R312=TRUE(),$R312="TRUE"),1,0)))</f>
        <v/>
      </c>
      <c r="W312">
        <f>IF($T312=1,IFERROR(IF(VALUE($A312)&lt;100000000,VALUE($A312),1000000000),IFERROR(IF(VALUE(MID($A312,2,20))&lt;100000000,VALUE(MID($A312,2,20)),1000000000),1000000000))+ROW()/100000,"")</f>
        <v/>
      </c>
    </row>
    <row r="313">
      <c r="F313" s="7">
        <f>IF($A313="","",E313*K313/100)</f>
        <v/>
      </c>
      <c r="J313" s="7" t="n"/>
      <c r="K313" s="7" t="n"/>
      <c r="L313" s="7">
        <f>IF($A313="","",S313*K313)</f>
        <v/>
      </c>
      <c r="M313" s="7">
        <f>IF($A313="","",K313-L313)</f>
        <v/>
      </c>
      <c r="N313" s="7">
        <f>IF($A313="","",M313-F313)</f>
        <v/>
      </c>
      <c r="Q313" s="11" t="n"/>
      <c r="S313">
        <f>IF($A313="","",IF(AND(ISNUMBER($R313),NOT(ISLOGICAL($R313)),N($R313)&gt;1),$R313/100*1,IF($V313=1,Settings!$C$6,Settings!$C$7)*1))</f>
        <v/>
      </c>
      <c r="T313">
        <f>IF($A313="","",IF(COUNTIF($A$2:$A313,$A313)=1,1,0))</f>
        <v/>
      </c>
      <c r="U313">
        <f>IF($T313=1,SUMPRODUCT(--($W$2:$W$1001&lt;$W313))+1,"")</f>
        <v/>
      </c>
      <c r="V313">
        <f>IF($A313="","",IF(AND(ISNUMBER($R313),NOT(ISLOGICAL($R313)),N($R313)&gt;1),IF(ABS($R313/100-Settings!$C$6)&lt;=ABS($R313/100-Settings!$C$7),1,0),IF(OR($R313=TRUE(),$R313="TRUE"),1,0)))</f>
        <v/>
      </c>
      <c r="W313">
        <f>IF($T313=1,IFERROR(IF(VALUE($A313)&lt;100000000,VALUE($A313),1000000000),IFERROR(IF(VALUE(MID($A313,2,20))&lt;100000000,VALUE(MID($A313,2,20)),1000000000),1000000000))+ROW()/100000,"")</f>
        <v/>
      </c>
    </row>
    <row r="314">
      <c r="F314" s="7">
        <f>IF($A314="","",E314*K314/100)</f>
        <v/>
      </c>
      <c r="J314" s="7" t="n"/>
      <c r="K314" s="7" t="n"/>
      <c r="L314" s="7">
        <f>IF($A314="","",S314*K314)</f>
        <v/>
      </c>
      <c r="M314" s="7">
        <f>IF($A314="","",K314-L314)</f>
        <v/>
      </c>
      <c r="N314" s="7">
        <f>IF($A314="","",M314-F314)</f>
        <v/>
      </c>
      <c r="Q314" s="11" t="n"/>
      <c r="S314">
        <f>IF($A314="","",IF(AND(ISNUMBER($R314),NOT(ISLOGICAL($R314)),N($R314)&gt;1),$R314/100*1,IF($V314=1,Settings!$C$6,Settings!$C$7)*1))</f>
        <v/>
      </c>
      <c r="T314">
        <f>IF($A314="","",IF(COUNTIF($A$2:$A314,$A314)=1,1,0))</f>
        <v/>
      </c>
      <c r="U314">
        <f>IF($T314=1,SUMPRODUCT(--($W$2:$W$1001&lt;$W314))+1,"")</f>
        <v/>
      </c>
      <c r="V314">
        <f>IF($A314="","",IF(AND(ISNUMBER($R314),NOT(ISLOGICAL($R314)),N($R314)&gt;1),IF(ABS($R314/100-Settings!$C$6)&lt;=ABS($R314/100-Settings!$C$7),1,0),IF(OR($R314=TRUE(),$R314="TRUE"),1,0)))</f>
        <v/>
      </c>
      <c r="W314">
        <f>IF($T314=1,IFERROR(IF(VALUE($A314)&lt;100000000,VALUE($A314),1000000000),IFERROR(IF(VALUE(MID($A314,2,20))&lt;100000000,VALUE(MID($A314,2,20)),1000000000),1000000000))+ROW()/100000,"")</f>
        <v/>
      </c>
    </row>
    <row r="315">
      <c r="F315" s="7">
        <f>IF($A315="","",E315*K315/100)</f>
        <v/>
      </c>
      <c r="J315" s="7" t="n"/>
      <c r="K315" s="7" t="n"/>
      <c r="L315" s="7">
        <f>IF($A315="","",S315*K315)</f>
        <v/>
      </c>
      <c r="M315" s="7">
        <f>IF($A315="","",K315-L315)</f>
        <v/>
      </c>
      <c r="N315" s="7">
        <f>IF($A315="","",M315-F315)</f>
        <v/>
      </c>
      <c r="Q315" s="11" t="n"/>
      <c r="S315">
        <f>IF($A315="","",IF(AND(ISNUMBER($R315),NOT(ISLOGICAL($R315)),N($R315)&gt;1),$R315/100*1,IF($V315=1,Settings!$C$6,Settings!$C$7)*1))</f>
        <v/>
      </c>
      <c r="T315">
        <f>IF($A315="","",IF(COUNTIF($A$2:$A315,$A315)=1,1,0))</f>
        <v/>
      </c>
      <c r="U315">
        <f>IF($T315=1,SUMPRODUCT(--($W$2:$W$1001&lt;$W315))+1,"")</f>
        <v/>
      </c>
      <c r="V315">
        <f>IF($A315="","",IF(AND(ISNUMBER($R315),NOT(ISLOGICAL($R315)),N($R315)&gt;1),IF(ABS($R315/100-Settings!$C$6)&lt;=ABS($R315/100-Settings!$C$7),1,0),IF(OR($R315=TRUE(),$R315="TRUE"),1,0)))</f>
        <v/>
      </c>
      <c r="W315">
        <f>IF($T315=1,IFERROR(IF(VALUE($A315)&lt;100000000,VALUE($A315),1000000000),IFERROR(IF(VALUE(MID($A315,2,20))&lt;100000000,VALUE(MID($A315,2,20)),1000000000),1000000000))+ROW()/100000,"")</f>
        <v/>
      </c>
    </row>
    <row r="316">
      <c r="F316" s="7">
        <f>IF($A316="","",E316*K316/100)</f>
        <v/>
      </c>
      <c r="J316" s="7" t="n"/>
      <c r="K316" s="7" t="n"/>
      <c r="L316" s="7">
        <f>IF($A316="","",S316*K316)</f>
        <v/>
      </c>
      <c r="M316" s="7">
        <f>IF($A316="","",K316-L316)</f>
        <v/>
      </c>
      <c r="N316" s="7">
        <f>IF($A316="","",M316-F316)</f>
        <v/>
      </c>
      <c r="Q316" s="11" t="n"/>
      <c r="S316">
        <f>IF($A316="","",IF(AND(ISNUMBER($R316),NOT(ISLOGICAL($R316)),N($R316)&gt;1),$R316/100*1,IF($V316=1,Settings!$C$6,Settings!$C$7)*1))</f>
        <v/>
      </c>
      <c r="T316">
        <f>IF($A316="","",IF(COUNTIF($A$2:$A316,$A316)=1,1,0))</f>
        <v/>
      </c>
      <c r="U316">
        <f>IF($T316=1,SUMPRODUCT(--($W$2:$W$1001&lt;$W316))+1,"")</f>
        <v/>
      </c>
      <c r="V316">
        <f>IF($A316="","",IF(AND(ISNUMBER($R316),NOT(ISLOGICAL($R316)),N($R316)&gt;1),IF(ABS($R316/100-Settings!$C$6)&lt;=ABS($R316/100-Settings!$C$7),1,0),IF(OR($R316=TRUE(),$R316="TRUE"),1,0)))</f>
        <v/>
      </c>
      <c r="W316">
        <f>IF($T316=1,IFERROR(IF(VALUE($A316)&lt;100000000,VALUE($A316),1000000000),IFERROR(IF(VALUE(MID($A316,2,20))&lt;100000000,VALUE(MID($A316,2,20)),1000000000),1000000000))+ROW()/100000,"")</f>
        <v/>
      </c>
    </row>
    <row r="317">
      <c r="F317" s="7">
        <f>IF($A317="","",E317*K317/100)</f>
        <v/>
      </c>
      <c r="J317" s="7" t="n"/>
      <c r="K317" s="7" t="n"/>
      <c r="L317" s="7">
        <f>IF($A317="","",S317*K317)</f>
        <v/>
      </c>
      <c r="M317" s="7">
        <f>IF($A317="","",K317-L317)</f>
        <v/>
      </c>
      <c r="N317" s="7">
        <f>IF($A317="","",M317-F317)</f>
        <v/>
      </c>
      <c r="Q317" s="11" t="n"/>
      <c r="S317">
        <f>IF($A317="","",IF(AND(ISNUMBER($R317),NOT(ISLOGICAL($R317)),N($R317)&gt;1),$R317/100*1,IF($V317=1,Settings!$C$6,Settings!$C$7)*1))</f>
        <v/>
      </c>
      <c r="T317">
        <f>IF($A317="","",IF(COUNTIF($A$2:$A317,$A317)=1,1,0))</f>
        <v/>
      </c>
      <c r="U317">
        <f>IF($T317=1,SUMPRODUCT(--($W$2:$W$1001&lt;$W317))+1,"")</f>
        <v/>
      </c>
      <c r="V317">
        <f>IF($A317="","",IF(AND(ISNUMBER($R317),NOT(ISLOGICAL($R317)),N($R317)&gt;1),IF(ABS($R317/100-Settings!$C$6)&lt;=ABS($R317/100-Settings!$C$7),1,0),IF(OR($R317=TRUE(),$R317="TRUE"),1,0)))</f>
        <v/>
      </c>
      <c r="W317">
        <f>IF($T317=1,IFERROR(IF(VALUE($A317)&lt;100000000,VALUE($A317),1000000000),IFERROR(IF(VALUE(MID($A317,2,20))&lt;100000000,VALUE(MID($A317,2,20)),1000000000),1000000000))+ROW()/100000,"")</f>
        <v/>
      </c>
    </row>
    <row r="318">
      <c r="F318" s="7">
        <f>IF($A318="","",E318*K318/100)</f>
        <v/>
      </c>
      <c r="J318" s="7" t="n"/>
      <c r="K318" s="7" t="n"/>
      <c r="L318" s="7">
        <f>IF($A318="","",S318*K318)</f>
        <v/>
      </c>
      <c r="M318" s="7">
        <f>IF($A318="","",K318-L318)</f>
        <v/>
      </c>
      <c r="N318" s="7">
        <f>IF($A318="","",M318-F318)</f>
        <v/>
      </c>
      <c r="Q318" s="11" t="n"/>
      <c r="S318">
        <f>IF($A318="","",IF(AND(ISNUMBER($R318),NOT(ISLOGICAL($R318)),N($R318)&gt;1),$R318/100*1,IF($V318=1,Settings!$C$6,Settings!$C$7)*1))</f>
        <v/>
      </c>
      <c r="T318">
        <f>IF($A318="","",IF(COUNTIF($A$2:$A318,$A318)=1,1,0))</f>
        <v/>
      </c>
      <c r="U318">
        <f>IF($T318=1,SUMPRODUCT(--($W$2:$W$1001&lt;$W318))+1,"")</f>
        <v/>
      </c>
      <c r="V318">
        <f>IF($A318="","",IF(AND(ISNUMBER($R318),NOT(ISLOGICAL($R318)),N($R318)&gt;1),IF(ABS($R318/100-Settings!$C$6)&lt;=ABS($R318/100-Settings!$C$7),1,0),IF(OR($R318=TRUE(),$R318="TRUE"),1,0)))</f>
        <v/>
      </c>
      <c r="W318">
        <f>IF($T318=1,IFERROR(IF(VALUE($A318)&lt;100000000,VALUE($A318),1000000000),IFERROR(IF(VALUE(MID($A318,2,20))&lt;100000000,VALUE(MID($A318,2,20)),1000000000),1000000000))+ROW()/100000,"")</f>
        <v/>
      </c>
    </row>
    <row r="319">
      <c r="F319" s="7">
        <f>IF($A319="","",E319*K319/100)</f>
        <v/>
      </c>
      <c r="J319" s="7" t="n"/>
      <c r="K319" s="7" t="n"/>
      <c r="L319" s="7">
        <f>IF($A319="","",S319*K319)</f>
        <v/>
      </c>
      <c r="M319" s="7">
        <f>IF($A319="","",K319-L319)</f>
        <v/>
      </c>
      <c r="N319" s="7">
        <f>IF($A319="","",M319-F319)</f>
        <v/>
      </c>
      <c r="Q319" s="11" t="n"/>
      <c r="S319">
        <f>IF($A319="","",IF(AND(ISNUMBER($R319),NOT(ISLOGICAL($R319)),N($R319)&gt;1),$R319/100*1,IF($V319=1,Settings!$C$6,Settings!$C$7)*1))</f>
        <v/>
      </c>
      <c r="T319">
        <f>IF($A319="","",IF(COUNTIF($A$2:$A319,$A319)=1,1,0))</f>
        <v/>
      </c>
      <c r="U319">
        <f>IF($T319=1,SUMPRODUCT(--($W$2:$W$1001&lt;$W319))+1,"")</f>
        <v/>
      </c>
      <c r="V319">
        <f>IF($A319="","",IF(AND(ISNUMBER($R319),NOT(ISLOGICAL($R319)),N($R319)&gt;1),IF(ABS($R319/100-Settings!$C$6)&lt;=ABS($R319/100-Settings!$C$7),1,0),IF(OR($R319=TRUE(),$R319="TRUE"),1,0)))</f>
        <v/>
      </c>
      <c r="W319">
        <f>IF($T319=1,IFERROR(IF(VALUE($A319)&lt;100000000,VALUE($A319),1000000000),IFERROR(IF(VALUE(MID($A319,2,20))&lt;100000000,VALUE(MID($A319,2,20)),1000000000),1000000000))+ROW()/100000,"")</f>
        <v/>
      </c>
    </row>
    <row r="320">
      <c r="F320" s="7">
        <f>IF($A320="","",E320*K320/100)</f>
        <v/>
      </c>
      <c r="J320" s="7" t="n"/>
      <c r="K320" s="7" t="n"/>
      <c r="L320" s="7">
        <f>IF($A320="","",S320*K320)</f>
        <v/>
      </c>
      <c r="M320" s="7">
        <f>IF($A320="","",K320-L320)</f>
        <v/>
      </c>
      <c r="N320" s="7">
        <f>IF($A320="","",M320-F320)</f>
        <v/>
      </c>
      <c r="Q320" s="11" t="n"/>
      <c r="S320">
        <f>IF($A320="","",IF(AND(ISNUMBER($R320),NOT(ISLOGICAL($R320)),N($R320)&gt;1),$R320/100*1,IF($V320=1,Settings!$C$6,Settings!$C$7)*1))</f>
        <v/>
      </c>
      <c r="T320">
        <f>IF($A320="","",IF(COUNTIF($A$2:$A320,$A320)=1,1,0))</f>
        <v/>
      </c>
      <c r="U320">
        <f>IF($T320=1,SUMPRODUCT(--($W$2:$W$1001&lt;$W320))+1,"")</f>
        <v/>
      </c>
      <c r="V320">
        <f>IF($A320="","",IF(AND(ISNUMBER($R320),NOT(ISLOGICAL($R320)),N($R320)&gt;1),IF(ABS($R320/100-Settings!$C$6)&lt;=ABS($R320/100-Settings!$C$7),1,0),IF(OR($R320=TRUE(),$R320="TRUE"),1,0)))</f>
        <v/>
      </c>
      <c r="W320">
        <f>IF($T320=1,IFERROR(IF(VALUE($A320)&lt;100000000,VALUE($A320),1000000000),IFERROR(IF(VALUE(MID($A320,2,20))&lt;100000000,VALUE(MID($A320,2,20)),1000000000),1000000000))+ROW()/100000,"")</f>
        <v/>
      </c>
    </row>
    <row r="321">
      <c r="F321" s="7">
        <f>IF($A321="","",E321*K321/100)</f>
        <v/>
      </c>
      <c r="J321" s="7" t="n"/>
      <c r="K321" s="7" t="n"/>
      <c r="L321" s="7">
        <f>IF($A321="","",S321*K321)</f>
        <v/>
      </c>
      <c r="M321" s="7">
        <f>IF($A321="","",K321-L321)</f>
        <v/>
      </c>
      <c r="N321" s="7">
        <f>IF($A321="","",M321-F321)</f>
        <v/>
      </c>
      <c r="Q321" s="11" t="n"/>
      <c r="S321">
        <f>IF($A321="","",IF(AND(ISNUMBER($R321),NOT(ISLOGICAL($R321)),N($R321)&gt;1),$R321/100*1,IF($V321=1,Settings!$C$6,Settings!$C$7)*1))</f>
        <v/>
      </c>
      <c r="T321">
        <f>IF($A321="","",IF(COUNTIF($A$2:$A321,$A321)=1,1,0))</f>
        <v/>
      </c>
      <c r="U321">
        <f>IF($T321=1,SUMPRODUCT(--($W$2:$W$1001&lt;$W321))+1,"")</f>
        <v/>
      </c>
      <c r="V321">
        <f>IF($A321="","",IF(AND(ISNUMBER($R321),NOT(ISLOGICAL($R321)),N($R321)&gt;1),IF(ABS($R321/100-Settings!$C$6)&lt;=ABS($R321/100-Settings!$C$7),1,0),IF(OR($R321=TRUE(),$R321="TRUE"),1,0)))</f>
        <v/>
      </c>
      <c r="W321">
        <f>IF($T321=1,IFERROR(IF(VALUE($A321)&lt;100000000,VALUE($A321),1000000000),IFERROR(IF(VALUE(MID($A321,2,20))&lt;100000000,VALUE(MID($A321,2,20)),1000000000),1000000000))+ROW()/100000,"")</f>
        <v/>
      </c>
    </row>
    <row r="322">
      <c r="F322" s="7">
        <f>IF($A322="","",E322*K322/100)</f>
        <v/>
      </c>
      <c r="J322" s="7" t="n"/>
      <c r="K322" s="7" t="n"/>
      <c r="L322" s="7">
        <f>IF($A322="","",S322*K322)</f>
        <v/>
      </c>
      <c r="M322" s="7">
        <f>IF($A322="","",K322-L322)</f>
        <v/>
      </c>
      <c r="N322" s="7">
        <f>IF($A322="","",M322-F322)</f>
        <v/>
      </c>
      <c r="Q322" s="11" t="n"/>
      <c r="S322">
        <f>IF($A322="","",IF(AND(ISNUMBER($R322),NOT(ISLOGICAL($R322)),N($R322)&gt;1),$R322/100*1,IF($V322=1,Settings!$C$6,Settings!$C$7)*1))</f>
        <v/>
      </c>
      <c r="T322">
        <f>IF($A322="","",IF(COUNTIF($A$2:$A322,$A322)=1,1,0))</f>
        <v/>
      </c>
      <c r="U322">
        <f>IF($T322=1,SUMPRODUCT(--($W$2:$W$1001&lt;$W322))+1,"")</f>
        <v/>
      </c>
      <c r="V322">
        <f>IF($A322="","",IF(AND(ISNUMBER($R322),NOT(ISLOGICAL($R322)),N($R322)&gt;1),IF(ABS($R322/100-Settings!$C$6)&lt;=ABS($R322/100-Settings!$C$7),1,0),IF(OR($R322=TRUE(),$R322="TRUE"),1,0)))</f>
        <v/>
      </c>
      <c r="W322">
        <f>IF($T322=1,IFERROR(IF(VALUE($A322)&lt;100000000,VALUE($A322),1000000000),IFERROR(IF(VALUE(MID($A322,2,20))&lt;100000000,VALUE(MID($A322,2,20)),1000000000),1000000000))+ROW()/100000,"")</f>
        <v/>
      </c>
    </row>
    <row r="323">
      <c r="F323" s="7">
        <f>IF($A323="","",E323*K323/100)</f>
        <v/>
      </c>
      <c r="J323" s="7" t="n"/>
      <c r="K323" s="7" t="n"/>
      <c r="L323" s="7">
        <f>IF($A323="","",S323*K323)</f>
        <v/>
      </c>
      <c r="M323" s="7">
        <f>IF($A323="","",K323-L323)</f>
        <v/>
      </c>
      <c r="N323" s="7">
        <f>IF($A323="","",M323-F323)</f>
        <v/>
      </c>
      <c r="Q323" s="11" t="n"/>
      <c r="S323">
        <f>IF($A323="","",IF(AND(ISNUMBER($R323),NOT(ISLOGICAL($R323)),N($R323)&gt;1),$R323/100*1,IF($V323=1,Settings!$C$6,Settings!$C$7)*1))</f>
        <v/>
      </c>
      <c r="T323">
        <f>IF($A323="","",IF(COUNTIF($A$2:$A323,$A323)=1,1,0))</f>
        <v/>
      </c>
      <c r="U323">
        <f>IF($T323=1,SUMPRODUCT(--($W$2:$W$1001&lt;$W323))+1,"")</f>
        <v/>
      </c>
      <c r="V323">
        <f>IF($A323="","",IF(AND(ISNUMBER($R323),NOT(ISLOGICAL($R323)),N($R323)&gt;1),IF(ABS($R323/100-Settings!$C$6)&lt;=ABS($R323/100-Settings!$C$7),1,0),IF(OR($R323=TRUE(),$R323="TRUE"),1,0)))</f>
        <v/>
      </c>
      <c r="W323">
        <f>IF($T323=1,IFERROR(IF(VALUE($A323)&lt;100000000,VALUE($A323),1000000000),IFERROR(IF(VALUE(MID($A323,2,20))&lt;100000000,VALUE(MID($A323,2,20)),1000000000),1000000000))+ROW()/100000,"")</f>
        <v/>
      </c>
    </row>
    <row r="324">
      <c r="F324" s="7">
        <f>IF($A324="","",E324*K324/100)</f>
        <v/>
      </c>
      <c r="J324" s="7" t="n"/>
      <c r="K324" s="7" t="n"/>
      <c r="L324" s="7">
        <f>IF($A324="","",S324*K324)</f>
        <v/>
      </c>
      <c r="M324" s="7">
        <f>IF($A324="","",K324-L324)</f>
        <v/>
      </c>
      <c r="N324" s="7">
        <f>IF($A324="","",M324-F324)</f>
        <v/>
      </c>
      <c r="Q324" s="11" t="n"/>
      <c r="S324">
        <f>IF($A324="","",IF(AND(ISNUMBER($R324),NOT(ISLOGICAL($R324)),N($R324)&gt;1),$R324/100*1,IF($V324=1,Settings!$C$6,Settings!$C$7)*1))</f>
        <v/>
      </c>
      <c r="T324">
        <f>IF($A324="","",IF(COUNTIF($A$2:$A324,$A324)=1,1,0))</f>
        <v/>
      </c>
      <c r="U324">
        <f>IF($T324=1,SUMPRODUCT(--($W$2:$W$1001&lt;$W324))+1,"")</f>
        <v/>
      </c>
      <c r="V324">
        <f>IF($A324="","",IF(AND(ISNUMBER($R324),NOT(ISLOGICAL($R324)),N($R324)&gt;1),IF(ABS($R324/100-Settings!$C$6)&lt;=ABS($R324/100-Settings!$C$7),1,0),IF(OR($R324=TRUE(),$R324="TRUE"),1,0)))</f>
        <v/>
      </c>
      <c r="W324">
        <f>IF($T324=1,IFERROR(IF(VALUE($A324)&lt;100000000,VALUE($A324),1000000000),IFERROR(IF(VALUE(MID($A324,2,20))&lt;100000000,VALUE(MID($A324,2,20)),1000000000),1000000000))+ROW()/100000,"")</f>
        <v/>
      </c>
    </row>
    <row r="325">
      <c r="F325" s="7">
        <f>IF($A325="","",E325*K325/100)</f>
        <v/>
      </c>
      <c r="J325" s="7" t="n"/>
      <c r="K325" s="7" t="n"/>
      <c r="L325" s="7">
        <f>IF($A325="","",S325*K325)</f>
        <v/>
      </c>
      <c r="M325" s="7">
        <f>IF($A325="","",K325-L325)</f>
        <v/>
      </c>
      <c r="N325" s="7">
        <f>IF($A325="","",M325-F325)</f>
        <v/>
      </c>
      <c r="Q325" s="11" t="n"/>
      <c r="S325">
        <f>IF($A325="","",IF(AND(ISNUMBER($R325),NOT(ISLOGICAL($R325)),N($R325)&gt;1),$R325/100*1,IF($V325=1,Settings!$C$6,Settings!$C$7)*1))</f>
        <v/>
      </c>
      <c r="T325">
        <f>IF($A325="","",IF(COUNTIF($A$2:$A325,$A325)=1,1,0))</f>
        <v/>
      </c>
      <c r="U325">
        <f>IF($T325=1,SUMPRODUCT(--($W$2:$W$1001&lt;$W325))+1,"")</f>
        <v/>
      </c>
      <c r="V325">
        <f>IF($A325="","",IF(AND(ISNUMBER($R325),NOT(ISLOGICAL($R325)),N($R325)&gt;1),IF(ABS($R325/100-Settings!$C$6)&lt;=ABS($R325/100-Settings!$C$7),1,0),IF(OR($R325=TRUE(),$R325="TRUE"),1,0)))</f>
        <v/>
      </c>
      <c r="W325">
        <f>IF($T325=1,IFERROR(IF(VALUE($A325)&lt;100000000,VALUE($A325),1000000000),IFERROR(IF(VALUE(MID($A325,2,20))&lt;100000000,VALUE(MID($A325,2,20)),1000000000),1000000000))+ROW()/100000,"")</f>
        <v/>
      </c>
    </row>
    <row r="326">
      <c r="F326" s="7">
        <f>IF($A326="","",E326*K326/100)</f>
        <v/>
      </c>
      <c r="J326" s="7" t="n"/>
      <c r="K326" s="7" t="n"/>
      <c r="L326" s="7">
        <f>IF($A326="","",S326*K326)</f>
        <v/>
      </c>
      <c r="M326" s="7">
        <f>IF($A326="","",K326-L326)</f>
        <v/>
      </c>
      <c r="N326" s="7">
        <f>IF($A326="","",M326-F326)</f>
        <v/>
      </c>
      <c r="Q326" s="11" t="n"/>
      <c r="S326">
        <f>IF($A326="","",IF(AND(ISNUMBER($R326),NOT(ISLOGICAL($R326)),N($R326)&gt;1),$R326/100*1,IF($V326=1,Settings!$C$6,Settings!$C$7)*1))</f>
        <v/>
      </c>
      <c r="T326">
        <f>IF($A326="","",IF(COUNTIF($A$2:$A326,$A326)=1,1,0))</f>
        <v/>
      </c>
      <c r="U326">
        <f>IF($T326=1,SUMPRODUCT(--($W$2:$W$1001&lt;$W326))+1,"")</f>
        <v/>
      </c>
      <c r="V326">
        <f>IF($A326="","",IF(AND(ISNUMBER($R326),NOT(ISLOGICAL($R326)),N($R326)&gt;1),IF(ABS($R326/100-Settings!$C$6)&lt;=ABS($R326/100-Settings!$C$7),1,0),IF(OR($R326=TRUE(),$R326="TRUE"),1,0)))</f>
        <v/>
      </c>
      <c r="W326">
        <f>IF($T326=1,IFERROR(IF(VALUE($A326)&lt;100000000,VALUE($A326),1000000000),IFERROR(IF(VALUE(MID($A326,2,20))&lt;100000000,VALUE(MID($A326,2,20)),1000000000),1000000000))+ROW()/100000,"")</f>
        <v/>
      </c>
    </row>
    <row r="327">
      <c r="F327" s="7">
        <f>IF($A327="","",E327*K327/100)</f>
        <v/>
      </c>
      <c r="J327" s="7" t="n"/>
      <c r="K327" s="7" t="n"/>
      <c r="L327" s="7">
        <f>IF($A327="","",S327*K327)</f>
        <v/>
      </c>
      <c r="M327" s="7">
        <f>IF($A327="","",K327-L327)</f>
        <v/>
      </c>
      <c r="N327" s="7">
        <f>IF($A327="","",M327-F327)</f>
        <v/>
      </c>
      <c r="Q327" s="11" t="n"/>
      <c r="S327">
        <f>IF($A327="","",IF(AND(ISNUMBER($R327),NOT(ISLOGICAL($R327)),N($R327)&gt;1),$R327/100*1,IF($V327=1,Settings!$C$6,Settings!$C$7)*1))</f>
        <v/>
      </c>
      <c r="T327">
        <f>IF($A327="","",IF(COUNTIF($A$2:$A327,$A327)=1,1,0))</f>
        <v/>
      </c>
      <c r="U327">
        <f>IF($T327=1,SUMPRODUCT(--($W$2:$W$1001&lt;$W327))+1,"")</f>
        <v/>
      </c>
      <c r="V327">
        <f>IF($A327="","",IF(AND(ISNUMBER($R327),NOT(ISLOGICAL($R327)),N($R327)&gt;1),IF(ABS($R327/100-Settings!$C$6)&lt;=ABS($R327/100-Settings!$C$7),1,0),IF(OR($R327=TRUE(),$R327="TRUE"),1,0)))</f>
        <v/>
      </c>
      <c r="W327">
        <f>IF($T327=1,IFERROR(IF(VALUE($A327)&lt;100000000,VALUE($A327),1000000000),IFERROR(IF(VALUE(MID($A327,2,20))&lt;100000000,VALUE(MID($A327,2,20)),1000000000),1000000000))+ROW()/100000,"")</f>
        <v/>
      </c>
    </row>
    <row r="328">
      <c r="F328" s="7">
        <f>IF($A328="","",E328*K328/100)</f>
        <v/>
      </c>
      <c r="J328" s="7" t="n"/>
      <c r="K328" s="7" t="n"/>
      <c r="L328" s="7">
        <f>IF($A328="","",S328*K328)</f>
        <v/>
      </c>
      <c r="M328" s="7">
        <f>IF($A328="","",K328-L328)</f>
        <v/>
      </c>
      <c r="N328" s="7">
        <f>IF($A328="","",M328-F328)</f>
        <v/>
      </c>
      <c r="Q328" s="11" t="n"/>
      <c r="S328">
        <f>IF($A328="","",IF(AND(ISNUMBER($R328),NOT(ISLOGICAL($R328)),N($R328)&gt;1),$R328/100*1,IF($V328=1,Settings!$C$6,Settings!$C$7)*1))</f>
        <v/>
      </c>
      <c r="T328">
        <f>IF($A328="","",IF(COUNTIF($A$2:$A328,$A328)=1,1,0))</f>
        <v/>
      </c>
      <c r="U328">
        <f>IF($T328=1,SUMPRODUCT(--($W$2:$W$1001&lt;$W328))+1,"")</f>
        <v/>
      </c>
      <c r="V328">
        <f>IF($A328="","",IF(AND(ISNUMBER($R328),NOT(ISLOGICAL($R328)),N($R328)&gt;1),IF(ABS($R328/100-Settings!$C$6)&lt;=ABS($R328/100-Settings!$C$7),1,0),IF(OR($R328=TRUE(),$R328="TRUE"),1,0)))</f>
        <v/>
      </c>
      <c r="W328">
        <f>IF($T328=1,IFERROR(IF(VALUE($A328)&lt;100000000,VALUE($A328),1000000000),IFERROR(IF(VALUE(MID($A328,2,20))&lt;100000000,VALUE(MID($A328,2,20)),1000000000),1000000000))+ROW()/100000,"")</f>
        <v/>
      </c>
    </row>
    <row r="329">
      <c r="F329" s="7">
        <f>IF($A329="","",E329*K329/100)</f>
        <v/>
      </c>
      <c r="J329" s="7" t="n"/>
      <c r="K329" s="7" t="n"/>
      <c r="L329" s="7">
        <f>IF($A329="","",S329*K329)</f>
        <v/>
      </c>
      <c r="M329" s="7">
        <f>IF($A329="","",K329-L329)</f>
        <v/>
      </c>
      <c r="N329" s="7">
        <f>IF($A329="","",M329-F329)</f>
        <v/>
      </c>
      <c r="Q329" s="11" t="n"/>
      <c r="S329">
        <f>IF($A329="","",IF(AND(ISNUMBER($R329),NOT(ISLOGICAL($R329)),N($R329)&gt;1),$R329/100*1,IF($V329=1,Settings!$C$6,Settings!$C$7)*1))</f>
        <v/>
      </c>
      <c r="T329">
        <f>IF($A329="","",IF(COUNTIF($A$2:$A329,$A329)=1,1,0))</f>
        <v/>
      </c>
      <c r="U329">
        <f>IF($T329=1,SUMPRODUCT(--($W$2:$W$1001&lt;$W329))+1,"")</f>
        <v/>
      </c>
      <c r="V329">
        <f>IF($A329="","",IF(AND(ISNUMBER($R329),NOT(ISLOGICAL($R329)),N($R329)&gt;1),IF(ABS($R329/100-Settings!$C$6)&lt;=ABS($R329/100-Settings!$C$7),1,0),IF(OR($R329=TRUE(),$R329="TRUE"),1,0)))</f>
        <v/>
      </c>
      <c r="W329">
        <f>IF($T329=1,IFERROR(IF(VALUE($A329)&lt;100000000,VALUE($A329),1000000000),IFERROR(IF(VALUE(MID($A329,2,20))&lt;100000000,VALUE(MID($A329,2,20)),1000000000),1000000000))+ROW()/100000,"")</f>
        <v/>
      </c>
    </row>
    <row r="330">
      <c r="F330" s="7">
        <f>IF($A330="","",E330*K330/100)</f>
        <v/>
      </c>
      <c r="J330" s="7" t="n"/>
      <c r="K330" s="7" t="n"/>
      <c r="L330" s="7">
        <f>IF($A330="","",S330*K330)</f>
        <v/>
      </c>
      <c r="M330" s="7">
        <f>IF($A330="","",K330-L330)</f>
        <v/>
      </c>
      <c r="N330" s="7">
        <f>IF($A330="","",M330-F330)</f>
        <v/>
      </c>
      <c r="Q330" s="11" t="n"/>
      <c r="S330">
        <f>IF($A330="","",IF(AND(ISNUMBER($R330),NOT(ISLOGICAL($R330)),N($R330)&gt;1),$R330/100*1,IF($V330=1,Settings!$C$6,Settings!$C$7)*1))</f>
        <v/>
      </c>
      <c r="T330">
        <f>IF($A330="","",IF(COUNTIF($A$2:$A330,$A330)=1,1,0))</f>
        <v/>
      </c>
      <c r="U330">
        <f>IF($T330=1,SUMPRODUCT(--($W$2:$W$1001&lt;$W330))+1,"")</f>
        <v/>
      </c>
      <c r="V330">
        <f>IF($A330="","",IF(AND(ISNUMBER($R330),NOT(ISLOGICAL($R330)),N($R330)&gt;1),IF(ABS($R330/100-Settings!$C$6)&lt;=ABS($R330/100-Settings!$C$7),1,0),IF(OR($R330=TRUE(),$R330="TRUE"),1,0)))</f>
        <v/>
      </c>
      <c r="W330">
        <f>IF($T330=1,IFERROR(IF(VALUE($A330)&lt;100000000,VALUE($A330),1000000000),IFERROR(IF(VALUE(MID($A330,2,20))&lt;100000000,VALUE(MID($A330,2,20)),1000000000),1000000000))+ROW()/100000,"")</f>
        <v/>
      </c>
    </row>
    <row r="331">
      <c r="F331" s="7">
        <f>IF($A331="","",E331*K331/100)</f>
        <v/>
      </c>
      <c r="J331" s="7" t="n"/>
      <c r="K331" s="7" t="n"/>
      <c r="L331" s="7">
        <f>IF($A331="","",S331*K331)</f>
        <v/>
      </c>
      <c r="M331" s="7">
        <f>IF($A331="","",K331-L331)</f>
        <v/>
      </c>
      <c r="N331" s="7">
        <f>IF($A331="","",M331-F331)</f>
        <v/>
      </c>
      <c r="Q331" s="11" t="n"/>
      <c r="S331">
        <f>IF($A331="","",IF(AND(ISNUMBER($R331),NOT(ISLOGICAL($R331)),N($R331)&gt;1),$R331/100*1,IF($V331=1,Settings!$C$6,Settings!$C$7)*1))</f>
        <v/>
      </c>
      <c r="T331">
        <f>IF($A331="","",IF(COUNTIF($A$2:$A331,$A331)=1,1,0))</f>
        <v/>
      </c>
      <c r="U331">
        <f>IF($T331=1,SUMPRODUCT(--($W$2:$W$1001&lt;$W331))+1,"")</f>
        <v/>
      </c>
      <c r="V331">
        <f>IF($A331="","",IF(AND(ISNUMBER($R331),NOT(ISLOGICAL($R331)),N($R331)&gt;1),IF(ABS($R331/100-Settings!$C$6)&lt;=ABS($R331/100-Settings!$C$7),1,0),IF(OR($R331=TRUE(),$R331="TRUE"),1,0)))</f>
        <v/>
      </c>
      <c r="W331">
        <f>IF($T331=1,IFERROR(IF(VALUE($A331)&lt;100000000,VALUE($A331),1000000000),IFERROR(IF(VALUE(MID($A331,2,20))&lt;100000000,VALUE(MID($A331,2,20)),1000000000),1000000000))+ROW()/100000,"")</f>
        <v/>
      </c>
    </row>
    <row r="332">
      <c r="F332" s="7">
        <f>IF($A332="","",E332*K332/100)</f>
        <v/>
      </c>
      <c r="J332" s="7" t="n"/>
      <c r="K332" s="7" t="n"/>
      <c r="L332" s="7">
        <f>IF($A332="","",S332*K332)</f>
        <v/>
      </c>
      <c r="M332" s="7">
        <f>IF($A332="","",K332-L332)</f>
        <v/>
      </c>
      <c r="N332" s="7">
        <f>IF($A332="","",M332-F332)</f>
        <v/>
      </c>
      <c r="Q332" s="11" t="n"/>
      <c r="S332">
        <f>IF($A332="","",IF(AND(ISNUMBER($R332),NOT(ISLOGICAL($R332)),N($R332)&gt;1),$R332/100*1,IF($V332=1,Settings!$C$6,Settings!$C$7)*1))</f>
        <v/>
      </c>
      <c r="T332">
        <f>IF($A332="","",IF(COUNTIF($A$2:$A332,$A332)=1,1,0))</f>
        <v/>
      </c>
      <c r="U332">
        <f>IF($T332=1,SUMPRODUCT(--($W$2:$W$1001&lt;$W332))+1,"")</f>
        <v/>
      </c>
      <c r="V332">
        <f>IF($A332="","",IF(AND(ISNUMBER($R332),NOT(ISLOGICAL($R332)),N($R332)&gt;1),IF(ABS($R332/100-Settings!$C$6)&lt;=ABS($R332/100-Settings!$C$7),1,0),IF(OR($R332=TRUE(),$R332="TRUE"),1,0)))</f>
        <v/>
      </c>
      <c r="W332">
        <f>IF($T332=1,IFERROR(IF(VALUE($A332)&lt;100000000,VALUE($A332),1000000000),IFERROR(IF(VALUE(MID($A332,2,20))&lt;100000000,VALUE(MID($A332,2,20)),1000000000),1000000000))+ROW()/100000,"")</f>
        <v/>
      </c>
    </row>
    <row r="333">
      <c r="F333" s="7">
        <f>IF($A333="","",E333*K333/100)</f>
        <v/>
      </c>
      <c r="J333" s="7" t="n"/>
      <c r="K333" s="7" t="n"/>
      <c r="L333" s="7">
        <f>IF($A333="","",S333*K333)</f>
        <v/>
      </c>
      <c r="M333" s="7">
        <f>IF($A333="","",K333-L333)</f>
        <v/>
      </c>
      <c r="N333" s="7">
        <f>IF($A333="","",M333-F333)</f>
        <v/>
      </c>
      <c r="Q333" s="11" t="n"/>
      <c r="S333">
        <f>IF($A333="","",IF(AND(ISNUMBER($R333),NOT(ISLOGICAL($R333)),N($R333)&gt;1),$R333/100*1,IF($V333=1,Settings!$C$6,Settings!$C$7)*1))</f>
        <v/>
      </c>
      <c r="T333">
        <f>IF($A333="","",IF(COUNTIF($A$2:$A333,$A333)=1,1,0))</f>
        <v/>
      </c>
      <c r="U333">
        <f>IF($T333=1,SUMPRODUCT(--($W$2:$W$1001&lt;$W333))+1,"")</f>
        <v/>
      </c>
      <c r="V333">
        <f>IF($A333="","",IF(AND(ISNUMBER($R333),NOT(ISLOGICAL($R333)),N($R333)&gt;1),IF(ABS($R333/100-Settings!$C$6)&lt;=ABS($R333/100-Settings!$C$7),1,0),IF(OR($R333=TRUE(),$R333="TRUE"),1,0)))</f>
        <v/>
      </c>
      <c r="W333">
        <f>IF($T333=1,IFERROR(IF(VALUE($A333)&lt;100000000,VALUE($A333),1000000000),IFERROR(IF(VALUE(MID($A333,2,20))&lt;100000000,VALUE(MID($A333,2,20)),1000000000),1000000000))+ROW()/100000,"")</f>
        <v/>
      </c>
    </row>
    <row r="334">
      <c r="F334" s="7">
        <f>IF($A334="","",E334*K334/100)</f>
        <v/>
      </c>
      <c r="J334" s="7" t="n"/>
      <c r="K334" s="7" t="n"/>
      <c r="L334" s="7">
        <f>IF($A334="","",S334*K334)</f>
        <v/>
      </c>
      <c r="M334" s="7">
        <f>IF($A334="","",K334-L334)</f>
        <v/>
      </c>
      <c r="N334" s="7">
        <f>IF($A334="","",M334-F334)</f>
        <v/>
      </c>
      <c r="Q334" s="11" t="n"/>
      <c r="S334">
        <f>IF($A334="","",IF(AND(ISNUMBER($R334),NOT(ISLOGICAL($R334)),N($R334)&gt;1),$R334/100*1,IF($V334=1,Settings!$C$6,Settings!$C$7)*1))</f>
        <v/>
      </c>
      <c r="T334">
        <f>IF($A334="","",IF(COUNTIF($A$2:$A334,$A334)=1,1,0))</f>
        <v/>
      </c>
      <c r="U334">
        <f>IF($T334=1,SUMPRODUCT(--($W$2:$W$1001&lt;$W334))+1,"")</f>
        <v/>
      </c>
      <c r="V334">
        <f>IF($A334="","",IF(AND(ISNUMBER($R334),NOT(ISLOGICAL($R334)),N($R334)&gt;1),IF(ABS($R334/100-Settings!$C$6)&lt;=ABS($R334/100-Settings!$C$7),1,0),IF(OR($R334=TRUE(),$R334="TRUE"),1,0)))</f>
        <v/>
      </c>
      <c r="W334">
        <f>IF($T334=1,IFERROR(IF(VALUE($A334)&lt;100000000,VALUE($A334),1000000000),IFERROR(IF(VALUE(MID($A334,2,20))&lt;100000000,VALUE(MID($A334,2,20)),1000000000),1000000000))+ROW()/100000,"")</f>
        <v/>
      </c>
    </row>
    <row r="335">
      <c r="F335" s="7">
        <f>IF($A335="","",E335*K335/100)</f>
        <v/>
      </c>
      <c r="J335" s="7" t="n"/>
      <c r="K335" s="7" t="n"/>
      <c r="L335" s="7">
        <f>IF($A335="","",S335*K335)</f>
        <v/>
      </c>
      <c r="M335" s="7">
        <f>IF($A335="","",K335-L335)</f>
        <v/>
      </c>
      <c r="N335" s="7">
        <f>IF($A335="","",M335-F335)</f>
        <v/>
      </c>
      <c r="Q335" s="11" t="n"/>
      <c r="S335">
        <f>IF($A335="","",IF(AND(ISNUMBER($R335),NOT(ISLOGICAL($R335)),N($R335)&gt;1),$R335/100*1,IF($V335=1,Settings!$C$6,Settings!$C$7)*1))</f>
        <v/>
      </c>
      <c r="T335">
        <f>IF($A335="","",IF(COUNTIF($A$2:$A335,$A335)=1,1,0))</f>
        <v/>
      </c>
      <c r="U335">
        <f>IF($T335=1,SUMPRODUCT(--($W$2:$W$1001&lt;$W335))+1,"")</f>
        <v/>
      </c>
      <c r="V335">
        <f>IF($A335="","",IF(AND(ISNUMBER($R335),NOT(ISLOGICAL($R335)),N($R335)&gt;1),IF(ABS($R335/100-Settings!$C$6)&lt;=ABS($R335/100-Settings!$C$7),1,0),IF(OR($R335=TRUE(),$R335="TRUE"),1,0)))</f>
        <v/>
      </c>
      <c r="W335">
        <f>IF($T335=1,IFERROR(IF(VALUE($A335)&lt;100000000,VALUE($A335),1000000000),IFERROR(IF(VALUE(MID($A335,2,20))&lt;100000000,VALUE(MID($A335,2,20)),1000000000),1000000000))+ROW()/100000,"")</f>
        <v/>
      </c>
    </row>
    <row r="336">
      <c r="F336" s="7">
        <f>IF($A336="","",E336*K336/100)</f>
        <v/>
      </c>
      <c r="J336" s="7" t="n"/>
      <c r="K336" s="7" t="n"/>
      <c r="L336" s="7">
        <f>IF($A336="","",S336*K336)</f>
        <v/>
      </c>
      <c r="M336" s="7">
        <f>IF($A336="","",K336-L336)</f>
        <v/>
      </c>
      <c r="N336" s="7">
        <f>IF($A336="","",M336-F336)</f>
        <v/>
      </c>
      <c r="Q336" s="11" t="n"/>
      <c r="S336">
        <f>IF($A336="","",IF(AND(ISNUMBER($R336),NOT(ISLOGICAL($R336)),N($R336)&gt;1),$R336/100*1,IF($V336=1,Settings!$C$6,Settings!$C$7)*1))</f>
        <v/>
      </c>
      <c r="T336">
        <f>IF($A336="","",IF(COUNTIF($A$2:$A336,$A336)=1,1,0))</f>
        <v/>
      </c>
      <c r="U336">
        <f>IF($T336=1,SUMPRODUCT(--($W$2:$W$1001&lt;$W336))+1,"")</f>
        <v/>
      </c>
      <c r="V336">
        <f>IF($A336="","",IF(AND(ISNUMBER($R336),NOT(ISLOGICAL($R336)),N($R336)&gt;1),IF(ABS($R336/100-Settings!$C$6)&lt;=ABS($R336/100-Settings!$C$7),1,0),IF(OR($R336=TRUE(),$R336="TRUE"),1,0)))</f>
        <v/>
      </c>
      <c r="W336">
        <f>IF($T336=1,IFERROR(IF(VALUE($A336)&lt;100000000,VALUE($A336),1000000000),IFERROR(IF(VALUE(MID($A336,2,20))&lt;100000000,VALUE(MID($A336,2,20)),1000000000),1000000000))+ROW()/100000,"")</f>
        <v/>
      </c>
    </row>
    <row r="337">
      <c r="F337" s="7">
        <f>IF($A337="","",E337*K337/100)</f>
        <v/>
      </c>
      <c r="J337" s="7" t="n"/>
      <c r="K337" s="7" t="n"/>
      <c r="L337" s="7">
        <f>IF($A337="","",S337*K337)</f>
        <v/>
      </c>
      <c r="M337" s="7">
        <f>IF($A337="","",K337-L337)</f>
        <v/>
      </c>
      <c r="N337" s="7">
        <f>IF($A337="","",M337-F337)</f>
        <v/>
      </c>
      <c r="Q337" s="11" t="n"/>
      <c r="S337">
        <f>IF($A337="","",IF(AND(ISNUMBER($R337),NOT(ISLOGICAL($R337)),N($R337)&gt;1),$R337/100*1,IF($V337=1,Settings!$C$6,Settings!$C$7)*1))</f>
        <v/>
      </c>
      <c r="T337">
        <f>IF($A337="","",IF(COUNTIF($A$2:$A337,$A337)=1,1,0))</f>
        <v/>
      </c>
      <c r="U337">
        <f>IF($T337=1,SUMPRODUCT(--($W$2:$W$1001&lt;$W337))+1,"")</f>
        <v/>
      </c>
      <c r="V337">
        <f>IF($A337="","",IF(AND(ISNUMBER($R337),NOT(ISLOGICAL($R337)),N($R337)&gt;1),IF(ABS($R337/100-Settings!$C$6)&lt;=ABS($R337/100-Settings!$C$7),1,0),IF(OR($R337=TRUE(),$R337="TRUE"),1,0)))</f>
        <v/>
      </c>
      <c r="W337">
        <f>IF($T337=1,IFERROR(IF(VALUE($A337)&lt;100000000,VALUE($A337),1000000000),IFERROR(IF(VALUE(MID($A337,2,20))&lt;100000000,VALUE(MID($A337,2,20)),1000000000),1000000000))+ROW()/100000,"")</f>
        <v/>
      </c>
    </row>
    <row r="338">
      <c r="F338" s="7">
        <f>IF($A338="","",E338*K338/100)</f>
        <v/>
      </c>
      <c r="J338" s="7" t="n"/>
      <c r="K338" s="7" t="n"/>
      <c r="L338" s="7">
        <f>IF($A338="","",S338*K338)</f>
        <v/>
      </c>
      <c r="M338" s="7">
        <f>IF($A338="","",K338-L338)</f>
        <v/>
      </c>
      <c r="N338" s="7">
        <f>IF($A338="","",M338-F338)</f>
        <v/>
      </c>
      <c r="Q338" s="11" t="n"/>
      <c r="S338">
        <f>IF($A338="","",IF(AND(ISNUMBER($R338),NOT(ISLOGICAL($R338)),N($R338)&gt;1),$R338/100*1,IF($V338=1,Settings!$C$6,Settings!$C$7)*1))</f>
        <v/>
      </c>
      <c r="T338">
        <f>IF($A338="","",IF(COUNTIF($A$2:$A338,$A338)=1,1,0))</f>
        <v/>
      </c>
      <c r="U338">
        <f>IF($T338=1,SUMPRODUCT(--($W$2:$W$1001&lt;$W338))+1,"")</f>
        <v/>
      </c>
      <c r="V338">
        <f>IF($A338="","",IF(AND(ISNUMBER($R338),NOT(ISLOGICAL($R338)),N($R338)&gt;1),IF(ABS($R338/100-Settings!$C$6)&lt;=ABS($R338/100-Settings!$C$7),1,0),IF(OR($R338=TRUE(),$R338="TRUE"),1,0)))</f>
        <v/>
      </c>
      <c r="W338">
        <f>IF($T338=1,IFERROR(IF(VALUE($A338)&lt;100000000,VALUE($A338),1000000000),IFERROR(IF(VALUE(MID($A338,2,20))&lt;100000000,VALUE(MID($A338,2,20)),1000000000),1000000000))+ROW()/100000,"")</f>
        <v/>
      </c>
    </row>
    <row r="339">
      <c r="F339" s="7">
        <f>IF($A339="","",E339*K339/100)</f>
        <v/>
      </c>
      <c r="J339" s="7" t="n"/>
      <c r="K339" s="7" t="n"/>
      <c r="L339" s="7">
        <f>IF($A339="","",S339*K339)</f>
        <v/>
      </c>
      <c r="M339" s="7">
        <f>IF($A339="","",K339-L339)</f>
        <v/>
      </c>
      <c r="N339" s="7">
        <f>IF($A339="","",M339-F339)</f>
        <v/>
      </c>
      <c r="Q339" s="11" t="n"/>
      <c r="S339">
        <f>IF($A339="","",IF(AND(ISNUMBER($R339),NOT(ISLOGICAL($R339)),N($R339)&gt;1),$R339/100*1,IF($V339=1,Settings!$C$6,Settings!$C$7)*1))</f>
        <v/>
      </c>
      <c r="T339">
        <f>IF($A339="","",IF(COUNTIF($A$2:$A339,$A339)=1,1,0))</f>
        <v/>
      </c>
      <c r="U339">
        <f>IF($T339=1,SUMPRODUCT(--($W$2:$W$1001&lt;$W339))+1,"")</f>
        <v/>
      </c>
      <c r="V339">
        <f>IF($A339="","",IF(AND(ISNUMBER($R339),NOT(ISLOGICAL($R339)),N($R339)&gt;1),IF(ABS($R339/100-Settings!$C$6)&lt;=ABS($R339/100-Settings!$C$7),1,0),IF(OR($R339=TRUE(),$R339="TRUE"),1,0)))</f>
        <v/>
      </c>
      <c r="W339">
        <f>IF($T339=1,IFERROR(IF(VALUE($A339)&lt;100000000,VALUE($A339),1000000000),IFERROR(IF(VALUE(MID($A339,2,20))&lt;100000000,VALUE(MID($A339,2,20)),1000000000),1000000000))+ROW()/100000,"")</f>
        <v/>
      </c>
    </row>
    <row r="340">
      <c r="F340" s="7">
        <f>IF($A340="","",E340*K340/100)</f>
        <v/>
      </c>
      <c r="J340" s="7" t="n"/>
      <c r="K340" s="7" t="n"/>
      <c r="L340" s="7">
        <f>IF($A340="","",S340*K340)</f>
        <v/>
      </c>
      <c r="M340" s="7">
        <f>IF($A340="","",K340-L340)</f>
        <v/>
      </c>
      <c r="N340" s="7">
        <f>IF($A340="","",M340-F340)</f>
        <v/>
      </c>
      <c r="Q340" s="11" t="n"/>
      <c r="S340">
        <f>IF($A340="","",IF(AND(ISNUMBER($R340),NOT(ISLOGICAL($R340)),N($R340)&gt;1),$R340/100*1,IF($V340=1,Settings!$C$6,Settings!$C$7)*1))</f>
        <v/>
      </c>
      <c r="T340">
        <f>IF($A340="","",IF(COUNTIF($A$2:$A340,$A340)=1,1,0))</f>
        <v/>
      </c>
      <c r="U340">
        <f>IF($T340=1,SUMPRODUCT(--($W$2:$W$1001&lt;$W340))+1,"")</f>
        <v/>
      </c>
      <c r="V340">
        <f>IF($A340="","",IF(AND(ISNUMBER($R340),NOT(ISLOGICAL($R340)),N($R340)&gt;1),IF(ABS($R340/100-Settings!$C$6)&lt;=ABS($R340/100-Settings!$C$7),1,0),IF(OR($R340=TRUE(),$R340="TRUE"),1,0)))</f>
        <v/>
      </c>
      <c r="W340">
        <f>IF($T340=1,IFERROR(IF(VALUE($A340)&lt;100000000,VALUE($A340),1000000000),IFERROR(IF(VALUE(MID($A340,2,20))&lt;100000000,VALUE(MID($A340,2,20)),1000000000),1000000000))+ROW()/100000,"")</f>
        <v/>
      </c>
    </row>
    <row r="341">
      <c r="F341" s="7">
        <f>IF($A341="","",E341*K341/100)</f>
        <v/>
      </c>
      <c r="J341" s="7" t="n"/>
      <c r="K341" s="7" t="n"/>
      <c r="L341" s="7">
        <f>IF($A341="","",S341*K341)</f>
        <v/>
      </c>
      <c r="M341" s="7">
        <f>IF($A341="","",K341-L341)</f>
        <v/>
      </c>
      <c r="N341" s="7">
        <f>IF($A341="","",M341-F341)</f>
        <v/>
      </c>
      <c r="Q341" s="11" t="n"/>
      <c r="S341">
        <f>IF($A341="","",IF(AND(ISNUMBER($R341),NOT(ISLOGICAL($R341)),N($R341)&gt;1),$R341/100*1,IF($V341=1,Settings!$C$6,Settings!$C$7)*1))</f>
        <v/>
      </c>
      <c r="T341">
        <f>IF($A341="","",IF(COUNTIF($A$2:$A341,$A341)=1,1,0))</f>
        <v/>
      </c>
      <c r="U341">
        <f>IF($T341=1,SUMPRODUCT(--($W$2:$W$1001&lt;$W341))+1,"")</f>
        <v/>
      </c>
      <c r="V341">
        <f>IF($A341="","",IF(AND(ISNUMBER($R341),NOT(ISLOGICAL($R341)),N($R341)&gt;1),IF(ABS($R341/100-Settings!$C$6)&lt;=ABS($R341/100-Settings!$C$7),1,0),IF(OR($R341=TRUE(),$R341="TRUE"),1,0)))</f>
        <v/>
      </c>
      <c r="W341">
        <f>IF($T341=1,IFERROR(IF(VALUE($A341)&lt;100000000,VALUE($A341),1000000000),IFERROR(IF(VALUE(MID($A341,2,20))&lt;100000000,VALUE(MID($A341,2,20)),1000000000),1000000000))+ROW()/100000,"")</f>
        <v/>
      </c>
    </row>
    <row r="342">
      <c r="F342" s="7">
        <f>IF($A342="","",E342*K342/100)</f>
        <v/>
      </c>
      <c r="J342" s="7" t="n"/>
      <c r="K342" s="7" t="n"/>
      <c r="L342" s="7">
        <f>IF($A342="","",S342*K342)</f>
        <v/>
      </c>
      <c r="M342" s="7">
        <f>IF($A342="","",K342-L342)</f>
        <v/>
      </c>
      <c r="N342" s="7">
        <f>IF($A342="","",M342-F342)</f>
        <v/>
      </c>
      <c r="Q342" s="11" t="n"/>
      <c r="S342">
        <f>IF($A342="","",IF(AND(ISNUMBER($R342),NOT(ISLOGICAL($R342)),N($R342)&gt;1),$R342/100*1,IF($V342=1,Settings!$C$6,Settings!$C$7)*1))</f>
        <v/>
      </c>
      <c r="T342">
        <f>IF($A342="","",IF(COUNTIF($A$2:$A342,$A342)=1,1,0))</f>
        <v/>
      </c>
      <c r="U342">
        <f>IF($T342=1,SUMPRODUCT(--($W$2:$W$1001&lt;$W342))+1,"")</f>
        <v/>
      </c>
      <c r="V342">
        <f>IF($A342="","",IF(AND(ISNUMBER($R342),NOT(ISLOGICAL($R342)),N($R342)&gt;1),IF(ABS($R342/100-Settings!$C$6)&lt;=ABS($R342/100-Settings!$C$7),1,0),IF(OR($R342=TRUE(),$R342="TRUE"),1,0)))</f>
        <v/>
      </c>
      <c r="W342">
        <f>IF($T342=1,IFERROR(IF(VALUE($A342)&lt;100000000,VALUE($A342),1000000000),IFERROR(IF(VALUE(MID($A342,2,20))&lt;100000000,VALUE(MID($A342,2,20)),1000000000),1000000000))+ROW()/100000,"")</f>
        <v/>
      </c>
    </row>
    <row r="343">
      <c r="F343" s="7">
        <f>IF($A343="","",E343*K343/100)</f>
        <v/>
      </c>
      <c r="J343" s="7" t="n"/>
      <c r="K343" s="7" t="n"/>
      <c r="L343" s="7">
        <f>IF($A343="","",S343*K343)</f>
        <v/>
      </c>
      <c r="M343" s="7">
        <f>IF($A343="","",K343-L343)</f>
        <v/>
      </c>
      <c r="N343" s="7">
        <f>IF($A343="","",M343-F343)</f>
        <v/>
      </c>
      <c r="Q343" s="11" t="n"/>
      <c r="S343">
        <f>IF($A343="","",IF(AND(ISNUMBER($R343),NOT(ISLOGICAL($R343)),N($R343)&gt;1),$R343/100*1,IF($V343=1,Settings!$C$6,Settings!$C$7)*1))</f>
        <v/>
      </c>
      <c r="T343">
        <f>IF($A343="","",IF(COUNTIF($A$2:$A343,$A343)=1,1,0))</f>
        <v/>
      </c>
      <c r="U343">
        <f>IF($T343=1,SUMPRODUCT(--($W$2:$W$1001&lt;$W343))+1,"")</f>
        <v/>
      </c>
      <c r="V343">
        <f>IF($A343="","",IF(AND(ISNUMBER($R343),NOT(ISLOGICAL($R343)),N($R343)&gt;1),IF(ABS($R343/100-Settings!$C$6)&lt;=ABS($R343/100-Settings!$C$7),1,0),IF(OR($R343=TRUE(),$R343="TRUE"),1,0)))</f>
        <v/>
      </c>
      <c r="W343">
        <f>IF($T343=1,IFERROR(IF(VALUE($A343)&lt;100000000,VALUE($A343),1000000000),IFERROR(IF(VALUE(MID($A343,2,20))&lt;100000000,VALUE(MID($A343,2,20)),1000000000),1000000000))+ROW()/100000,"")</f>
        <v/>
      </c>
    </row>
    <row r="344">
      <c r="F344" s="7">
        <f>IF($A344="","",E344*K344/100)</f>
        <v/>
      </c>
      <c r="J344" s="7" t="n"/>
      <c r="K344" s="7" t="n"/>
      <c r="L344" s="7">
        <f>IF($A344="","",S344*K344)</f>
        <v/>
      </c>
      <c r="M344" s="7">
        <f>IF($A344="","",K344-L344)</f>
        <v/>
      </c>
      <c r="N344" s="7">
        <f>IF($A344="","",M344-F344)</f>
        <v/>
      </c>
      <c r="Q344" s="11" t="n"/>
      <c r="S344">
        <f>IF($A344="","",IF(AND(ISNUMBER($R344),NOT(ISLOGICAL($R344)),N($R344)&gt;1),$R344/100*1,IF($V344=1,Settings!$C$6,Settings!$C$7)*1))</f>
        <v/>
      </c>
      <c r="T344">
        <f>IF($A344="","",IF(COUNTIF($A$2:$A344,$A344)=1,1,0))</f>
        <v/>
      </c>
      <c r="U344">
        <f>IF($T344=1,SUMPRODUCT(--($W$2:$W$1001&lt;$W344))+1,"")</f>
        <v/>
      </c>
      <c r="V344">
        <f>IF($A344="","",IF(AND(ISNUMBER($R344),NOT(ISLOGICAL($R344)),N($R344)&gt;1),IF(ABS($R344/100-Settings!$C$6)&lt;=ABS($R344/100-Settings!$C$7),1,0),IF(OR($R344=TRUE(),$R344="TRUE"),1,0)))</f>
        <v/>
      </c>
      <c r="W344">
        <f>IF($T344=1,IFERROR(IF(VALUE($A344)&lt;100000000,VALUE($A344),1000000000),IFERROR(IF(VALUE(MID($A344,2,20))&lt;100000000,VALUE(MID($A344,2,20)),1000000000),1000000000))+ROW()/100000,"")</f>
        <v/>
      </c>
    </row>
    <row r="345">
      <c r="F345" s="7">
        <f>IF($A345="","",E345*K345/100)</f>
        <v/>
      </c>
      <c r="J345" s="7" t="n"/>
      <c r="K345" s="7" t="n"/>
      <c r="L345" s="7">
        <f>IF($A345="","",S345*K345)</f>
        <v/>
      </c>
      <c r="M345" s="7">
        <f>IF($A345="","",K345-L345)</f>
        <v/>
      </c>
      <c r="N345" s="7">
        <f>IF($A345="","",M345-F345)</f>
        <v/>
      </c>
      <c r="Q345" s="11" t="n"/>
      <c r="S345">
        <f>IF($A345="","",IF(AND(ISNUMBER($R345),NOT(ISLOGICAL($R345)),N($R345)&gt;1),$R345/100*1,IF($V345=1,Settings!$C$6,Settings!$C$7)*1))</f>
        <v/>
      </c>
      <c r="T345">
        <f>IF($A345="","",IF(COUNTIF($A$2:$A345,$A345)=1,1,0))</f>
        <v/>
      </c>
      <c r="U345">
        <f>IF($T345=1,SUMPRODUCT(--($W$2:$W$1001&lt;$W345))+1,"")</f>
        <v/>
      </c>
      <c r="V345">
        <f>IF($A345="","",IF(AND(ISNUMBER($R345),NOT(ISLOGICAL($R345)),N($R345)&gt;1),IF(ABS($R345/100-Settings!$C$6)&lt;=ABS($R345/100-Settings!$C$7),1,0),IF(OR($R345=TRUE(),$R345="TRUE"),1,0)))</f>
        <v/>
      </c>
      <c r="W345">
        <f>IF($T345=1,IFERROR(IF(VALUE($A345)&lt;100000000,VALUE($A345),1000000000),IFERROR(IF(VALUE(MID($A345,2,20))&lt;100000000,VALUE(MID($A345,2,20)),1000000000),1000000000))+ROW()/100000,"")</f>
        <v/>
      </c>
    </row>
    <row r="346">
      <c r="F346" s="7">
        <f>IF($A346="","",E346*K346/100)</f>
        <v/>
      </c>
      <c r="J346" s="7" t="n"/>
      <c r="K346" s="7" t="n"/>
      <c r="L346" s="7">
        <f>IF($A346="","",S346*K346)</f>
        <v/>
      </c>
      <c r="M346" s="7">
        <f>IF($A346="","",K346-L346)</f>
        <v/>
      </c>
      <c r="N346" s="7">
        <f>IF($A346="","",M346-F346)</f>
        <v/>
      </c>
      <c r="Q346" s="11" t="n"/>
      <c r="S346">
        <f>IF($A346="","",IF(AND(ISNUMBER($R346),NOT(ISLOGICAL($R346)),N($R346)&gt;1),$R346/100*1,IF($V346=1,Settings!$C$6,Settings!$C$7)*1))</f>
        <v/>
      </c>
      <c r="T346">
        <f>IF($A346="","",IF(COUNTIF($A$2:$A346,$A346)=1,1,0))</f>
        <v/>
      </c>
      <c r="U346">
        <f>IF($T346=1,SUMPRODUCT(--($W$2:$W$1001&lt;$W346))+1,"")</f>
        <v/>
      </c>
      <c r="V346">
        <f>IF($A346="","",IF(AND(ISNUMBER($R346),NOT(ISLOGICAL($R346)),N($R346)&gt;1),IF(ABS($R346/100-Settings!$C$6)&lt;=ABS($R346/100-Settings!$C$7),1,0),IF(OR($R346=TRUE(),$R346="TRUE"),1,0)))</f>
        <v/>
      </c>
      <c r="W346">
        <f>IF($T346=1,IFERROR(IF(VALUE($A346)&lt;100000000,VALUE($A346),1000000000),IFERROR(IF(VALUE(MID($A346,2,20))&lt;100000000,VALUE(MID($A346,2,20)),1000000000),1000000000))+ROW()/100000,"")</f>
        <v/>
      </c>
    </row>
    <row r="347">
      <c r="F347" s="7">
        <f>IF($A347="","",E347*K347/100)</f>
        <v/>
      </c>
      <c r="J347" s="7" t="n"/>
      <c r="K347" s="7" t="n"/>
      <c r="L347" s="7">
        <f>IF($A347="","",S347*K347)</f>
        <v/>
      </c>
      <c r="M347" s="7">
        <f>IF($A347="","",K347-L347)</f>
        <v/>
      </c>
      <c r="N347" s="7">
        <f>IF($A347="","",M347-F347)</f>
        <v/>
      </c>
      <c r="Q347" s="11" t="n"/>
      <c r="S347">
        <f>IF($A347="","",IF(AND(ISNUMBER($R347),NOT(ISLOGICAL($R347)),N($R347)&gt;1),$R347/100*1,IF($V347=1,Settings!$C$6,Settings!$C$7)*1))</f>
        <v/>
      </c>
      <c r="T347">
        <f>IF($A347="","",IF(COUNTIF($A$2:$A347,$A347)=1,1,0))</f>
        <v/>
      </c>
      <c r="U347">
        <f>IF($T347=1,SUMPRODUCT(--($W$2:$W$1001&lt;$W347))+1,"")</f>
        <v/>
      </c>
      <c r="V347">
        <f>IF($A347="","",IF(AND(ISNUMBER($R347),NOT(ISLOGICAL($R347)),N($R347)&gt;1),IF(ABS($R347/100-Settings!$C$6)&lt;=ABS($R347/100-Settings!$C$7),1,0),IF(OR($R347=TRUE(),$R347="TRUE"),1,0)))</f>
        <v/>
      </c>
      <c r="W347">
        <f>IF($T347=1,IFERROR(IF(VALUE($A347)&lt;100000000,VALUE($A347),1000000000),IFERROR(IF(VALUE(MID($A347,2,20))&lt;100000000,VALUE(MID($A347,2,20)),1000000000),1000000000))+ROW()/100000,"")</f>
        <v/>
      </c>
    </row>
    <row r="348">
      <c r="F348" s="7">
        <f>IF($A348="","",E348*K348/100)</f>
        <v/>
      </c>
      <c r="J348" s="7" t="n"/>
      <c r="K348" s="7" t="n"/>
      <c r="L348" s="7">
        <f>IF($A348="","",S348*K348)</f>
        <v/>
      </c>
      <c r="M348" s="7">
        <f>IF($A348="","",K348-L348)</f>
        <v/>
      </c>
      <c r="N348" s="7">
        <f>IF($A348="","",M348-F348)</f>
        <v/>
      </c>
      <c r="Q348" s="11" t="n"/>
      <c r="S348">
        <f>IF($A348="","",IF(AND(ISNUMBER($R348),NOT(ISLOGICAL($R348)),N($R348)&gt;1),$R348/100*1,IF($V348=1,Settings!$C$6,Settings!$C$7)*1))</f>
        <v/>
      </c>
      <c r="T348">
        <f>IF($A348="","",IF(COUNTIF($A$2:$A348,$A348)=1,1,0))</f>
        <v/>
      </c>
      <c r="U348">
        <f>IF($T348=1,SUMPRODUCT(--($W$2:$W$1001&lt;$W348))+1,"")</f>
        <v/>
      </c>
      <c r="V348">
        <f>IF($A348="","",IF(AND(ISNUMBER($R348),NOT(ISLOGICAL($R348)),N($R348)&gt;1),IF(ABS($R348/100-Settings!$C$6)&lt;=ABS($R348/100-Settings!$C$7),1,0),IF(OR($R348=TRUE(),$R348="TRUE"),1,0)))</f>
        <v/>
      </c>
      <c r="W348">
        <f>IF($T348=1,IFERROR(IF(VALUE($A348)&lt;100000000,VALUE($A348),1000000000),IFERROR(IF(VALUE(MID($A348,2,20))&lt;100000000,VALUE(MID($A348,2,20)),1000000000),1000000000))+ROW()/100000,"")</f>
        <v/>
      </c>
    </row>
    <row r="349">
      <c r="F349" s="7">
        <f>IF($A349="","",E349*K349/100)</f>
        <v/>
      </c>
      <c r="J349" s="7" t="n"/>
      <c r="K349" s="7" t="n"/>
      <c r="L349" s="7">
        <f>IF($A349="","",S349*K349)</f>
        <v/>
      </c>
      <c r="M349" s="7">
        <f>IF($A349="","",K349-L349)</f>
        <v/>
      </c>
      <c r="N349" s="7">
        <f>IF($A349="","",M349-F349)</f>
        <v/>
      </c>
      <c r="Q349" s="11" t="n"/>
      <c r="S349">
        <f>IF($A349="","",IF(AND(ISNUMBER($R349),NOT(ISLOGICAL($R349)),N($R349)&gt;1),$R349/100*1,IF($V349=1,Settings!$C$6,Settings!$C$7)*1))</f>
        <v/>
      </c>
      <c r="T349">
        <f>IF($A349="","",IF(COUNTIF($A$2:$A349,$A349)=1,1,0))</f>
        <v/>
      </c>
      <c r="U349">
        <f>IF($T349=1,SUMPRODUCT(--($W$2:$W$1001&lt;$W349))+1,"")</f>
        <v/>
      </c>
      <c r="V349">
        <f>IF($A349="","",IF(AND(ISNUMBER($R349),NOT(ISLOGICAL($R349)),N($R349)&gt;1),IF(ABS($R349/100-Settings!$C$6)&lt;=ABS($R349/100-Settings!$C$7),1,0),IF(OR($R349=TRUE(),$R349="TRUE"),1,0)))</f>
        <v/>
      </c>
      <c r="W349">
        <f>IF($T349=1,IFERROR(IF(VALUE($A349)&lt;100000000,VALUE($A349),1000000000),IFERROR(IF(VALUE(MID($A349,2,20))&lt;100000000,VALUE(MID($A349,2,20)),1000000000),1000000000))+ROW()/100000,"")</f>
        <v/>
      </c>
    </row>
    <row r="350">
      <c r="F350" s="7">
        <f>IF($A350="","",E350*K350/100)</f>
        <v/>
      </c>
      <c r="J350" s="7" t="n"/>
      <c r="K350" s="7" t="n"/>
      <c r="L350" s="7">
        <f>IF($A350="","",S350*K350)</f>
        <v/>
      </c>
      <c r="M350" s="7">
        <f>IF($A350="","",K350-L350)</f>
        <v/>
      </c>
      <c r="N350" s="7">
        <f>IF($A350="","",M350-F350)</f>
        <v/>
      </c>
      <c r="Q350" s="11" t="n"/>
      <c r="S350">
        <f>IF($A350="","",IF(AND(ISNUMBER($R350),NOT(ISLOGICAL($R350)),N($R350)&gt;1),$R350/100*1,IF($V350=1,Settings!$C$6,Settings!$C$7)*1))</f>
        <v/>
      </c>
      <c r="T350">
        <f>IF($A350="","",IF(COUNTIF($A$2:$A350,$A350)=1,1,0))</f>
        <v/>
      </c>
      <c r="U350">
        <f>IF($T350=1,SUMPRODUCT(--($W$2:$W$1001&lt;$W350))+1,"")</f>
        <v/>
      </c>
      <c r="V350">
        <f>IF($A350="","",IF(AND(ISNUMBER($R350),NOT(ISLOGICAL($R350)),N($R350)&gt;1),IF(ABS($R350/100-Settings!$C$6)&lt;=ABS($R350/100-Settings!$C$7),1,0),IF(OR($R350=TRUE(),$R350="TRUE"),1,0)))</f>
        <v/>
      </c>
      <c r="W350">
        <f>IF($T350=1,IFERROR(IF(VALUE($A350)&lt;100000000,VALUE($A350),1000000000),IFERROR(IF(VALUE(MID($A350,2,20))&lt;100000000,VALUE(MID($A350,2,20)),1000000000),1000000000))+ROW()/100000,"")</f>
        <v/>
      </c>
    </row>
    <row r="351">
      <c r="F351" s="7">
        <f>IF($A351="","",E351*K351/100)</f>
        <v/>
      </c>
      <c r="J351" s="7" t="n"/>
      <c r="K351" s="7" t="n"/>
      <c r="L351" s="7">
        <f>IF($A351="","",S351*K351)</f>
        <v/>
      </c>
      <c r="M351" s="7">
        <f>IF($A351="","",K351-L351)</f>
        <v/>
      </c>
      <c r="N351" s="7">
        <f>IF($A351="","",M351-F351)</f>
        <v/>
      </c>
      <c r="Q351" s="11" t="n"/>
      <c r="S351">
        <f>IF($A351="","",IF(AND(ISNUMBER($R351),NOT(ISLOGICAL($R351)),N($R351)&gt;1),$R351/100*1,IF($V351=1,Settings!$C$6,Settings!$C$7)*1))</f>
        <v/>
      </c>
      <c r="T351">
        <f>IF($A351="","",IF(COUNTIF($A$2:$A351,$A351)=1,1,0))</f>
        <v/>
      </c>
      <c r="U351">
        <f>IF($T351=1,SUMPRODUCT(--($W$2:$W$1001&lt;$W351))+1,"")</f>
        <v/>
      </c>
      <c r="V351">
        <f>IF($A351="","",IF(AND(ISNUMBER($R351),NOT(ISLOGICAL($R351)),N($R351)&gt;1),IF(ABS($R351/100-Settings!$C$6)&lt;=ABS($R351/100-Settings!$C$7),1,0),IF(OR($R351=TRUE(),$R351="TRUE"),1,0)))</f>
        <v/>
      </c>
      <c r="W351">
        <f>IF($T351=1,IFERROR(IF(VALUE($A351)&lt;100000000,VALUE($A351),1000000000),IFERROR(IF(VALUE(MID($A351,2,20))&lt;100000000,VALUE(MID($A351,2,20)),1000000000),1000000000))+ROW()/100000,"")</f>
        <v/>
      </c>
    </row>
    <row r="352">
      <c r="F352" s="7">
        <f>IF($A352="","",E352*K352/100)</f>
        <v/>
      </c>
      <c r="J352" s="7" t="n"/>
      <c r="K352" s="7" t="n"/>
      <c r="L352" s="7">
        <f>IF($A352="","",S352*K352)</f>
        <v/>
      </c>
      <c r="M352" s="7">
        <f>IF($A352="","",K352-L352)</f>
        <v/>
      </c>
      <c r="N352" s="7">
        <f>IF($A352="","",M352-F352)</f>
        <v/>
      </c>
      <c r="Q352" s="11" t="n"/>
      <c r="S352">
        <f>IF($A352="","",IF(AND(ISNUMBER($R352),NOT(ISLOGICAL($R352)),N($R352)&gt;1),$R352/100*1,IF($V352=1,Settings!$C$6,Settings!$C$7)*1))</f>
        <v/>
      </c>
      <c r="T352">
        <f>IF($A352="","",IF(COUNTIF($A$2:$A352,$A352)=1,1,0))</f>
        <v/>
      </c>
      <c r="U352">
        <f>IF($T352=1,SUMPRODUCT(--($W$2:$W$1001&lt;$W352))+1,"")</f>
        <v/>
      </c>
      <c r="V352">
        <f>IF($A352="","",IF(AND(ISNUMBER($R352),NOT(ISLOGICAL($R352)),N($R352)&gt;1),IF(ABS($R352/100-Settings!$C$6)&lt;=ABS($R352/100-Settings!$C$7),1,0),IF(OR($R352=TRUE(),$R352="TRUE"),1,0)))</f>
        <v/>
      </c>
      <c r="W352">
        <f>IF($T352=1,IFERROR(IF(VALUE($A352)&lt;100000000,VALUE($A352),1000000000),IFERROR(IF(VALUE(MID($A352,2,20))&lt;100000000,VALUE(MID($A352,2,20)),1000000000),1000000000))+ROW()/100000,"")</f>
        <v/>
      </c>
    </row>
    <row r="353">
      <c r="F353" s="7">
        <f>IF($A353="","",E353*K353/100)</f>
        <v/>
      </c>
      <c r="J353" s="7" t="n"/>
      <c r="K353" s="7" t="n"/>
      <c r="L353" s="7">
        <f>IF($A353="","",S353*K353)</f>
        <v/>
      </c>
      <c r="M353" s="7">
        <f>IF($A353="","",K353-L353)</f>
        <v/>
      </c>
      <c r="N353" s="7">
        <f>IF($A353="","",M353-F353)</f>
        <v/>
      </c>
      <c r="Q353" s="11" t="n"/>
      <c r="S353">
        <f>IF($A353="","",IF(AND(ISNUMBER($R353),NOT(ISLOGICAL($R353)),N($R353)&gt;1),$R353/100*1,IF($V353=1,Settings!$C$6,Settings!$C$7)*1))</f>
        <v/>
      </c>
      <c r="T353">
        <f>IF($A353="","",IF(COUNTIF($A$2:$A353,$A353)=1,1,0))</f>
        <v/>
      </c>
      <c r="U353">
        <f>IF($T353=1,SUMPRODUCT(--($W$2:$W$1001&lt;$W353))+1,"")</f>
        <v/>
      </c>
      <c r="V353">
        <f>IF($A353="","",IF(AND(ISNUMBER($R353),NOT(ISLOGICAL($R353)),N($R353)&gt;1),IF(ABS($R353/100-Settings!$C$6)&lt;=ABS($R353/100-Settings!$C$7),1,0),IF(OR($R353=TRUE(),$R353="TRUE"),1,0)))</f>
        <v/>
      </c>
      <c r="W353">
        <f>IF($T353=1,IFERROR(IF(VALUE($A353)&lt;100000000,VALUE($A353),1000000000),IFERROR(IF(VALUE(MID($A353,2,20))&lt;100000000,VALUE(MID($A353,2,20)),1000000000),1000000000))+ROW()/100000,"")</f>
        <v/>
      </c>
    </row>
    <row r="354">
      <c r="F354" s="7">
        <f>IF($A354="","",E354*K354/100)</f>
        <v/>
      </c>
      <c r="J354" s="7" t="n"/>
      <c r="K354" s="7" t="n"/>
      <c r="L354" s="7">
        <f>IF($A354="","",S354*K354)</f>
        <v/>
      </c>
      <c r="M354" s="7">
        <f>IF($A354="","",K354-L354)</f>
        <v/>
      </c>
      <c r="N354" s="7">
        <f>IF($A354="","",M354-F354)</f>
        <v/>
      </c>
      <c r="Q354" s="11" t="n"/>
      <c r="S354">
        <f>IF($A354="","",IF(AND(ISNUMBER($R354),NOT(ISLOGICAL($R354)),N($R354)&gt;1),$R354/100*1,IF($V354=1,Settings!$C$6,Settings!$C$7)*1))</f>
        <v/>
      </c>
      <c r="T354">
        <f>IF($A354="","",IF(COUNTIF($A$2:$A354,$A354)=1,1,0))</f>
        <v/>
      </c>
      <c r="U354">
        <f>IF($T354=1,SUMPRODUCT(--($W$2:$W$1001&lt;$W354))+1,"")</f>
        <v/>
      </c>
      <c r="V354">
        <f>IF($A354="","",IF(AND(ISNUMBER($R354),NOT(ISLOGICAL($R354)),N($R354)&gt;1),IF(ABS($R354/100-Settings!$C$6)&lt;=ABS($R354/100-Settings!$C$7),1,0),IF(OR($R354=TRUE(),$R354="TRUE"),1,0)))</f>
        <v/>
      </c>
      <c r="W354">
        <f>IF($T354=1,IFERROR(IF(VALUE($A354)&lt;100000000,VALUE($A354),1000000000),IFERROR(IF(VALUE(MID($A354,2,20))&lt;100000000,VALUE(MID($A354,2,20)),1000000000),1000000000))+ROW()/100000,"")</f>
        <v/>
      </c>
    </row>
    <row r="355">
      <c r="F355" s="7">
        <f>IF($A355="","",E355*K355/100)</f>
        <v/>
      </c>
      <c r="J355" s="7" t="n"/>
      <c r="K355" s="7" t="n"/>
      <c r="L355" s="7">
        <f>IF($A355="","",S355*K355)</f>
        <v/>
      </c>
      <c r="M355" s="7">
        <f>IF($A355="","",K355-L355)</f>
        <v/>
      </c>
      <c r="N355" s="7">
        <f>IF($A355="","",M355-F355)</f>
        <v/>
      </c>
      <c r="Q355" s="11" t="n"/>
      <c r="S355">
        <f>IF($A355="","",IF(AND(ISNUMBER($R355),NOT(ISLOGICAL($R355)),N($R355)&gt;1),$R355/100*1,IF($V355=1,Settings!$C$6,Settings!$C$7)*1))</f>
        <v/>
      </c>
      <c r="T355">
        <f>IF($A355="","",IF(COUNTIF($A$2:$A355,$A355)=1,1,0))</f>
        <v/>
      </c>
      <c r="U355">
        <f>IF($T355=1,SUMPRODUCT(--($W$2:$W$1001&lt;$W355))+1,"")</f>
        <v/>
      </c>
      <c r="V355">
        <f>IF($A355="","",IF(AND(ISNUMBER($R355),NOT(ISLOGICAL($R355)),N($R355)&gt;1),IF(ABS($R355/100-Settings!$C$6)&lt;=ABS($R355/100-Settings!$C$7),1,0),IF(OR($R355=TRUE(),$R355="TRUE"),1,0)))</f>
        <v/>
      </c>
      <c r="W355">
        <f>IF($T355=1,IFERROR(IF(VALUE($A355)&lt;100000000,VALUE($A355),1000000000),IFERROR(IF(VALUE(MID($A355,2,20))&lt;100000000,VALUE(MID($A355,2,20)),1000000000),1000000000))+ROW()/100000,"")</f>
        <v/>
      </c>
    </row>
    <row r="356">
      <c r="F356" s="7">
        <f>IF($A356="","",E356*K356/100)</f>
        <v/>
      </c>
      <c r="J356" s="7" t="n"/>
      <c r="K356" s="7" t="n"/>
      <c r="L356" s="7">
        <f>IF($A356="","",S356*K356)</f>
        <v/>
      </c>
      <c r="M356" s="7">
        <f>IF($A356="","",K356-L356)</f>
        <v/>
      </c>
      <c r="N356" s="7">
        <f>IF($A356="","",M356-F356)</f>
        <v/>
      </c>
      <c r="Q356" s="11" t="n"/>
      <c r="S356">
        <f>IF($A356="","",IF(AND(ISNUMBER($R356),NOT(ISLOGICAL($R356)),N($R356)&gt;1),$R356/100*1,IF($V356=1,Settings!$C$6,Settings!$C$7)*1))</f>
        <v/>
      </c>
      <c r="T356">
        <f>IF($A356="","",IF(COUNTIF($A$2:$A356,$A356)=1,1,0))</f>
        <v/>
      </c>
      <c r="U356">
        <f>IF($T356=1,SUMPRODUCT(--($W$2:$W$1001&lt;$W356))+1,"")</f>
        <v/>
      </c>
      <c r="V356">
        <f>IF($A356="","",IF(AND(ISNUMBER($R356),NOT(ISLOGICAL($R356)),N($R356)&gt;1),IF(ABS($R356/100-Settings!$C$6)&lt;=ABS($R356/100-Settings!$C$7),1,0),IF(OR($R356=TRUE(),$R356="TRUE"),1,0)))</f>
        <v/>
      </c>
      <c r="W356">
        <f>IF($T356=1,IFERROR(IF(VALUE($A356)&lt;100000000,VALUE($A356),1000000000),IFERROR(IF(VALUE(MID($A356,2,20))&lt;100000000,VALUE(MID($A356,2,20)),1000000000),1000000000))+ROW()/100000,"")</f>
        <v/>
      </c>
    </row>
    <row r="357">
      <c r="F357" s="7">
        <f>IF($A357="","",E357*K357/100)</f>
        <v/>
      </c>
      <c r="J357" s="7" t="n"/>
      <c r="K357" s="7" t="n"/>
      <c r="L357" s="7">
        <f>IF($A357="","",S357*K357)</f>
        <v/>
      </c>
      <c r="M357" s="7">
        <f>IF($A357="","",K357-L357)</f>
        <v/>
      </c>
      <c r="N357" s="7">
        <f>IF($A357="","",M357-F357)</f>
        <v/>
      </c>
      <c r="Q357" s="11" t="n"/>
      <c r="S357">
        <f>IF($A357="","",IF(AND(ISNUMBER($R357),NOT(ISLOGICAL($R357)),N($R357)&gt;1),$R357/100*1,IF($V357=1,Settings!$C$6,Settings!$C$7)*1))</f>
        <v/>
      </c>
      <c r="T357">
        <f>IF($A357="","",IF(COUNTIF($A$2:$A357,$A357)=1,1,0))</f>
        <v/>
      </c>
      <c r="U357">
        <f>IF($T357=1,SUMPRODUCT(--($W$2:$W$1001&lt;$W357))+1,"")</f>
        <v/>
      </c>
      <c r="V357">
        <f>IF($A357="","",IF(AND(ISNUMBER($R357),NOT(ISLOGICAL($R357)),N($R357)&gt;1),IF(ABS($R357/100-Settings!$C$6)&lt;=ABS($R357/100-Settings!$C$7),1,0),IF(OR($R357=TRUE(),$R357="TRUE"),1,0)))</f>
        <v/>
      </c>
      <c r="W357">
        <f>IF($T357=1,IFERROR(IF(VALUE($A357)&lt;100000000,VALUE($A357),1000000000),IFERROR(IF(VALUE(MID($A357,2,20))&lt;100000000,VALUE(MID($A357,2,20)),1000000000),1000000000))+ROW()/100000,"")</f>
        <v/>
      </c>
    </row>
    <row r="358">
      <c r="F358" s="7">
        <f>IF($A358="","",E358*K358/100)</f>
        <v/>
      </c>
      <c r="J358" s="7" t="n"/>
      <c r="K358" s="7" t="n"/>
      <c r="L358" s="7">
        <f>IF($A358="","",S358*K358)</f>
        <v/>
      </c>
      <c r="M358" s="7">
        <f>IF($A358="","",K358-L358)</f>
        <v/>
      </c>
      <c r="N358" s="7">
        <f>IF($A358="","",M358-F358)</f>
        <v/>
      </c>
      <c r="Q358" s="11" t="n"/>
      <c r="S358">
        <f>IF($A358="","",IF(AND(ISNUMBER($R358),NOT(ISLOGICAL($R358)),N($R358)&gt;1),$R358/100*1,IF($V358=1,Settings!$C$6,Settings!$C$7)*1))</f>
        <v/>
      </c>
      <c r="T358">
        <f>IF($A358="","",IF(COUNTIF($A$2:$A358,$A358)=1,1,0))</f>
        <v/>
      </c>
      <c r="U358">
        <f>IF($T358=1,SUMPRODUCT(--($W$2:$W$1001&lt;$W358))+1,"")</f>
        <v/>
      </c>
      <c r="V358">
        <f>IF($A358="","",IF(AND(ISNUMBER($R358),NOT(ISLOGICAL($R358)),N($R358)&gt;1),IF(ABS($R358/100-Settings!$C$6)&lt;=ABS($R358/100-Settings!$C$7),1,0),IF(OR($R358=TRUE(),$R358="TRUE"),1,0)))</f>
        <v/>
      </c>
      <c r="W358">
        <f>IF($T358=1,IFERROR(IF(VALUE($A358)&lt;100000000,VALUE($A358),1000000000),IFERROR(IF(VALUE(MID($A358,2,20))&lt;100000000,VALUE(MID($A358,2,20)),1000000000),1000000000))+ROW()/100000,"")</f>
        <v/>
      </c>
    </row>
    <row r="359">
      <c r="F359" s="7">
        <f>IF($A359="","",E359*K359/100)</f>
        <v/>
      </c>
      <c r="J359" s="7" t="n"/>
      <c r="K359" s="7" t="n"/>
      <c r="L359" s="7">
        <f>IF($A359="","",S359*K359)</f>
        <v/>
      </c>
      <c r="M359" s="7">
        <f>IF($A359="","",K359-L359)</f>
        <v/>
      </c>
      <c r="N359" s="7">
        <f>IF($A359="","",M359-F359)</f>
        <v/>
      </c>
      <c r="Q359" s="11" t="n"/>
      <c r="S359">
        <f>IF($A359="","",IF(AND(ISNUMBER($R359),NOT(ISLOGICAL($R359)),N($R359)&gt;1),$R359/100*1,IF($V359=1,Settings!$C$6,Settings!$C$7)*1))</f>
        <v/>
      </c>
      <c r="T359">
        <f>IF($A359="","",IF(COUNTIF($A$2:$A359,$A359)=1,1,0))</f>
        <v/>
      </c>
      <c r="U359">
        <f>IF($T359=1,SUMPRODUCT(--($W$2:$W$1001&lt;$W359))+1,"")</f>
        <v/>
      </c>
      <c r="V359">
        <f>IF($A359="","",IF(AND(ISNUMBER($R359),NOT(ISLOGICAL($R359)),N($R359)&gt;1),IF(ABS($R359/100-Settings!$C$6)&lt;=ABS($R359/100-Settings!$C$7),1,0),IF(OR($R359=TRUE(),$R359="TRUE"),1,0)))</f>
        <v/>
      </c>
      <c r="W359">
        <f>IF($T359=1,IFERROR(IF(VALUE($A359)&lt;100000000,VALUE($A359),1000000000),IFERROR(IF(VALUE(MID($A359,2,20))&lt;100000000,VALUE(MID($A359,2,20)),1000000000),1000000000))+ROW()/100000,"")</f>
        <v/>
      </c>
    </row>
    <row r="360">
      <c r="F360" s="7">
        <f>IF($A360="","",E360*K360/100)</f>
        <v/>
      </c>
      <c r="J360" s="7" t="n"/>
      <c r="K360" s="7" t="n"/>
      <c r="L360" s="7">
        <f>IF($A360="","",S360*K360)</f>
        <v/>
      </c>
      <c r="M360" s="7">
        <f>IF($A360="","",K360-L360)</f>
        <v/>
      </c>
      <c r="N360" s="7">
        <f>IF($A360="","",M360-F360)</f>
        <v/>
      </c>
      <c r="Q360" s="11" t="n"/>
      <c r="S360">
        <f>IF($A360="","",IF(AND(ISNUMBER($R360),NOT(ISLOGICAL($R360)),N($R360)&gt;1),$R360/100*1,IF($V360=1,Settings!$C$6,Settings!$C$7)*1))</f>
        <v/>
      </c>
      <c r="T360">
        <f>IF($A360="","",IF(COUNTIF($A$2:$A360,$A360)=1,1,0))</f>
        <v/>
      </c>
      <c r="U360">
        <f>IF($T360=1,SUMPRODUCT(--($W$2:$W$1001&lt;$W360))+1,"")</f>
        <v/>
      </c>
      <c r="V360">
        <f>IF($A360="","",IF(AND(ISNUMBER($R360),NOT(ISLOGICAL($R360)),N($R360)&gt;1),IF(ABS($R360/100-Settings!$C$6)&lt;=ABS($R360/100-Settings!$C$7),1,0),IF(OR($R360=TRUE(),$R360="TRUE"),1,0)))</f>
        <v/>
      </c>
      <c r="W360">
        <f>IF($T360=1,IFERROR(IF(VALUE($A360)&lt;100000000,VALUE($A360),1000000000),IFERROR(IF(VALUE(MID($A360,2,20))&lt;100000000,VALUE(MID($A360,2,20)),1000000000),1000000000))+ROW()/100000,"")</f>
        <v/>
      </c>
    </row>
    <row r="361">
      <c r="F361" s="7">
        <f>IF($A361="","",E361*K361/100)</f>
        <v/>
      </c>
      <c r="J361" s="7" t="n"/>
      <c r="K361" s="7" t="n"/>
      <c r="L361" s="7">
        <f>IF($A361="","",S361*K361)</f>
        <v/>
      </c>
      <c r="M361" s="7">
        <f>IF($A361="","",K361-L361)</f>
        <v/>
      </c>
      <c r="N361" s="7">
        <f>IF($A361="","",M361-F361)</f>
        <v/>
      </c>
      <c r="Q361" s="11" t="n"/>
      <c r="S361">
        <f>IF($A361="","",IF(AND(ISNUMBER($R361),NOT(ISLOGICAL($R361)),N($R361)&gt;1),$R361/100*1,IF($V361=1,Settings!$C$6,Settings!$C$7)*1))</f>
        <v/>
      </c>
      <c r="T361">
        <f>IF($A361="","",IF(COUNTIF($A$2:$A361,$A361)=1,1,0))</f>
        <v/>
      </c>
      <c r="U361">
        <f>IF($T361=1,SUMPRODUCT(--($W$2:$W$1001&lt;$W361))+1,"")</f>
        <v/>
      </c>
      <c r="V361">
        <f>IF($A361="","",IF(AND(ISNUMBER($R361),NOT(ISLOGICAL($R361)),N($R361)&gt;1),IF(ABS($R361/100-Settings!$C$6)&lt;=ABS($R361/100-Settings!$C$7),1,0),IF(OR($R361=TRUE(),$R361="TRUE"),1,0)))</f>
        <v/>
      </c>
      <c r="W361">
        <f>IF($T361=1,IFERROR(IF(VALUE($A361)&lt;100000000,VALUE($A361),1000000000),IFERROR(IF(VALUE(MID($A361,2,20))&lt;100000000,VALUE(MID($A361,2,20)),1000000000),1000000000))+ROW()/100000,"")</f>
        <v/>
      </c>
    </row>
    <row r="362">
      <c r="F362" s="7">
        <f>IF($A362="","",E362*K362/100)</f>
        <v/>
      </c>
      <c r="J362" s="7" t="n"/>
      <c r="K362" s="7" t="n"/>
      <c r="L362" s="7">
        <f>IF($A362="","",S362*K362)</f>
        <v/>
      </c>
      <c r="M362" s="7">
        <f>IF($A362="","",K362-L362)</f>
        <v/>
      </c>
      <c r="N362" s="7">
        <f>IF($A362="","",M362-F362)</f>
        <v/>
      </c>
      <c r="Q362" s="11" t="n"/>
      <c r="S362">
        <f>IF($A362="","",IF(AND(ISNUMBER($R362),NOT(ISLOGICAL($R362)),N($R362)&gt;1),$R362/100*1,IF($V362=1,Settings!$C$6,Settings!$C$7)*1))</f>
        <v/>
      </c>
      <c r="T362">
        <f>IF($A362="","",IF(COUNTIF($A$2:$A362,$A362)=1,1,0))</f>
        <v/>
      </c>
      <c r="U362">
        <f>IF($T362=1,SUMPRODUCT(--($W$2:$W$1001&lt;$W362))+1,"")</f>
        <v/>
      </c>
      <c r="V362">
        <f>IF($A362="","",IF(AND(ISNUMBER($R362),NOT(ISLOGICAL($R362)),N($R362)&gt;1),IF(ABS($R362/100-Settings!$C$6)&lt;=ABS($R362/100-Settings!$C$7),1,0),IF(OR($R362=TRUE(),$R362="TRUE"),1,0)))</f>
        <v/>
      </c>
      <c r="W362">
        <f>IF($T362=1,IFERROR(IF(VALUE($A362)&lt;100000000,VALUE($A362),1000000000),IFERROR(IF(VALUE(MID($A362,2,20))&lt;100000000,VALUE(MID($A362,2,20)),1000000000),1000000000))+ROW()/100000,"")</f>
        <v/>
      </c>
    </row>
    <row r="363">
      <c r="F363" s="7">
        <f>IF($A363="","",E363*K363/100)</f>
        <v/>
      </c>
      <c r="J363" s="7" t="n"/>
      <c r="K363" s="7" t="n"/>
      <c r="L363" s="7">
        <f>IF($A363="","",S363*K363)</f>
        <v/>
      </c>
      <c r="M363" s="7">
        <f>IF($A363="","",K363-L363)</f>
        <v/>
      </c>
      <c r="N363" s="7">
        <f>IF($A363="","",M363-F363)</f>
        <v/>
      </c>
      <c r="Q363" s="11" t="n"/>
      <c r="S363">
        <f>IF($A363="","",IF(AND(ISNUMBER($R363),NOT(ISLOGICAL($R363)),N($R363)&gt;1),$R363/100*1,IF($V363=1,Settings!$C$6,Settings!$C$7)*1))</f>
        <v/>
      </c>
      <c r="T363">
        <f>IF($A363="","",IF(COUNTIF($A$2:$A363,$A363)=1,1,0))</f>
        <v/>
      </c>
      <c r="U363">
        <f>IF($T363=1,SUMPRODUCT(--($W$2:$W$1001&lt;$W363))+1,"")</f>
        <v/>
      </c>
      <c r="V363">
        <f>IF($A363="","",IF(AND(ISNUMBER($R363),NOT(ISLOGICAL($R363)),N($R363)&gt;1),IF(ABS($R363/100-Settings!$C$6)&lt;=ABS($R363/100-Settings!$C$7),1,0),IF(OR($R363=TRUE(),$R363="TRUE"),1,0)))</f>
        <v/>
      </c>
      <c r="W363">
        <f>IF($T363=1,IFERROR(IF(VALUE($A363)&lt;100000000,VALUE($A363),1000000000),IFERROR(IF(VALUE(MID($A363,2,20))&lt;100000000,VALUE(MID($A363,2,20)),1000000000),1000000000))+ROW()/100000,"")</f>
        <v/>
      </c>
    </row>
    <row r="364">
      <c r="F364" s="7">
        <f>IF($A364="","",E364*K364/100)</f>
        <v/>
      </c>
      <c r="J364" s="7" t="n"/>
      <c r="K364" s="7" t="n"/>
      <c r="L364" s="7">
        <f>IF($A364="","",S364*K364)</f>
        <v/>
      </c>
      <c r="M364" s="7">
        <f>IF($A364="","",K364-L364)</f>
        <v/>
      </c>
      <c r="N364" s="7">
        <f>IF($A364="","",M364-F364)</f>
        <v/>
      </c>
      <c r="Q364" s="11" t="n"/>
      <c r="S364">
        <f>IF($A364="","",IF(AND(ISNUMBER($R364),NOT(ISLOGICAL($R364)),N($R364)&gt;1),$R364/100*1,IF($V364=1,Settings!$C$6,Settings!$C$7)*1))</f>
        <v/>
      </c>
      <c r="T364">
        <f>IF($A364="","",IF(COUNTIF($A$2:$A364,$A364)=1,1,0))</f>
        <v/>
      </c>
      <c r="U364">
        <f>IF($T364=1,SUMPRODUCT(--($W$2:$W$1001&lt;$W364))+1,"")</f>
        <v/>
      </c>
      <c r="V364">
        <f>IF($A364="","",IF(AND(ISNUMBER($R364),NOT(ISLOGICAL($R364)),N($R364)&gt;1),IF(ABS($R364/100-Settings!$C$6)&lt;=ABS($R364/100-Settings!$C$7),1,0),IF(OR($R364=TRUE(),$R364="TRUE"),1,0)))</f>
        <v/>
      </c>
      <c r="W364">
        <f>IF($T364=1,IFERROR(IF(VALUE($A364)&lt;100000000,VALUE($A364),1000000000),IFERROR(IF(VALUE(MID($A364,2,20))&lt;100000000,VALUE(MID($A364,2,20)),1000000000),1000000000))+ROW()/100000,"")</f>
        <v/>
      </c>
    </row>
    <row r="365">
      <c r="F365" s="7">
        <f>IF($A365="","",E365*K365/100)</f>
        <v/>
      </c>
      <c r="J365" s="7" t="n"/>
      <c r="K365" s="7" t="n"/>
      <c r="L365" s="7">
        <f>IF($A365="","",S365*K365)</f>
        <v/>
      </c>
      <c r="M365" s="7">
        <f>IF($A365="","",K365-L365)</f>
        <v/>
      </c>
      <c r="N365" s="7">
        <f>IF($A365="","",M365-F365)</f>
        <v/>
      </c>
      <c r="Q365" s="11" t="n"/>
      <c r="S365">
        <f>IF($A365="","",IF(AND(ISNUMBER($R365),NOT(ISLOGICAL($R365)),N($R365)&gt;1),$R365/100*1,IF($V365=1,Settings!$C$6,Settings!$C$7)*1))</f>
        <v/>
      </c>
      <c r="T365">
        <f>IF($A365="","",IF(COUNTIF($A$2:$A365,$A365)=1,1,0))</f>
        <v/>
      </c>
      <c r="U365">
        <f>IF($T365=1,SUMPRODUCT(--($W$2:$W$1001&lt;$W365))+1,"")</f>
        <v/>
      </c>
      <c r="V365">
        <f>IF($A365="","",IF(AND(ISNUMBER($R365),NOT(ISLOGICAL($R365)),N($R365)&gt;1),IF(ABS($R365/100-Settings!$C$6)&lt;=ABS($R365/100-Settings!$C$7),1,0),IF(OR($R365=TRUE(),$R365="TRUE"),1,0)))</f>
        <v/>
      </c>
      <c r="W365">
        <f>IF($T365=1,IFERROR(IF(VALUE($A365)&lt;100000000,VALUE($A365),1000000000),IFERROR(IF(VALUE(MID($A365,2,20))&lt;100000000,VALUE(MID($A365,2,20)),1000000000),1000000000))+ROW()/100000,"")</f>
        <v/>
      </c>
    </row>
    <row r="366">
      <c r="F366" s="7">
        <f>IF($A366="","",E366*K366/100)</f>
        <v/>
      </c>
      <c r="J366" s="7" t="n"/>
      <c r="K366" s="7" t="n"/>
      <c r="L366" s="7">
        <f>IF($A366="","",S366*K366)</f>
        <v/>
      </c>
      <c r="M366" s="7">
        <f>IF($A366="","",K366-L366)</f>
        <v/>
      </c>
      <c r="N366" s="7">
        <f>IF($A366="","",M366-F366)</f>
        <v/>
      </c>
      <c r="Q366" s="11" t="n"/>
      <c r="S366">
        <f>IF($A366="","",IF(AND(ISNUMBER($R366),NOT(ISLOGICAL($R366)),N($R366)&gt;1),$R366/100*1,IF($V366=1,Settings!$C$6,Settings!$C$7)*1))</f>
        <v/>
      </c>
      <c r="T366">
        <f>IF($A366="","",IF(COUNTIF($A$2:$A366,$A366)=1,1,0))</f>
        <v/>
      </c>
      <c r="U366">
        <f>IF($T366=1,SUMPRODUCT(--($W$2:$W$1001&lt;$W366))+1,"")</f>
        <v/>
      </c>
      <c r="V366">
        <f>IF($A366="","",IF(AND(ISNUMBER($R366),NOT(ISLOGICAL($R366)),N($R366)&gt;1),IF(ABS($R366/100-Settings!$C$6)&lt;=ABS($R366/100-Settings!$C$7),1,0),IF(OR($R366=TRUE(),$R366="TRUE"),1,0)))</f>
        <v/>
      </c>
      <c r="W366">
        <f>IF($T366=1,IFERROR(IF(VALUE($A366)&lt;100000000,VALUE($A366),1000000000),IFERROR(IF(VALUE(MID($A366,2,20))&lt;100000000,VALUE(MID($A366,2,20)),1000000000),1000000000))+ROW()/100000,"")</f>
        <v/>
      </c>
    </row>
    <row r="367">
      <c r="F367" s="7">
        <f>IF($A367="","",E367*K367/100)</f>
        <v/>
      </c>
      <c r="J367" s="7" t="n"/>
      <c r="K367" s="7" t="n"/>
      <c r="L367" s="7">
        <f>IF($A367="","",S367*K367)</f>
        <v/>
      </c>
      <c r="M367" s="7">
        <f>IF($A367="","",K367-L367)</f>
        <v/>
      </c>
      <c r="N367" s="7">
        <f>IF($A367="","",M367-F367)</f>
        <v/>
      </c>
      <c r="Q367" s="11" t="n"/>
      <c r="S367">
        <f>IF($A367="","",IF(AND(ISNUMBER($R367),NOT(ISLOGICAL($R367)),N($R367)&gt;1),$R367/100*1,IF($V367=1,Settings!$C$6,Settings!$C$7)*1))</f>
        <v/>
      </c>
      <c r="T367">
        <f>IF($A367="","",IF(COUNTIF($A$2:$A367,$A367)=1,1,0))</f>
        <v/>
      </c>
      <c r="U367">
        <f>IF($T367=1,SUMPRODUCT(--($W$2:$W$1001&lt;$W367))+1,"")</f>
        <v/>
      </c>
      <c r="V367">
        <f>IF($A367="","",IF(AND(ISNUMBER($R367),NOT(ISLOGICAL($R367)),N($R367)&gt;1),IF(ABS($R367/100-Settings!$C$6)&lt;=ABS($R367/100-Settings!$C$7),1,0),IF(OR($R367=TRUE(),$R367="TRUE"),1,0)))</f>
        <v/>
      </c>
      <c r="W367">
        <f>IF($T367=1,IFERROR(IF(VALUE($A367)&lt;100000000,VALUE($A367),1000000000),IFERROR(IF(VALUE(MID($A367,2,20))&lt;100000000,VALUE(MID($A367,2,20)),1000000000),1000000000))+ROW()/100000,"")</f>
        <v/>
      </c>
    </row>
    <row r="368">
      <c r="F368" s="7">
        <f>IF($A368="","",E368*K368/100)</f>
        <v/>
      </c>
      <c r="J368" s="7" t="n"/>
      <c r="K368" s="7" t="n"/>
      <c r="L368" s="7">
        <f>IF($A368="","",S368*K368)</f>
        <v/>
      </c>
      <c r="M368" s="7">
        <f>IF($A368="","",K368-L368)</f>
        <v/>
      </c>
      <c r="N368" s="7">
        <f>IF($A368="","",M368-F368)</f>
        <v/>
      </c>
      <c r="Q368" s="11" t="n"/>
      <c r="S368">
        <f>IF($A368="","",IF(AND(ISNUMBER($R368),NOT(ISLOGICAL($R368)),N($R368)&gt;1),$R368/100*1,IF($V368=1,Settings!$C$6,Settings!$C$7)*1))</f>
        <v/>
      </c>
      <c r="T368">
        <f>IF($A368="","",IF(COUNTIF($A$2:$A368,$A368)=1,1,0))</f>
        <v/>
      </c>
      <c r="U368">
        <f>IF($T368=1,SUMPRODUCT(--($W$2:$W$1001&lt;$W368))+1,"")</f>
        <v/>
      </c>
      <c r="V368">
        <f>IF($A368="","",IF(AND(ISNUMBER($R368),NOT(ISLOGICAL($R368)),N($R368)&gt;1),IF(ABS($R368/100-Settings!$C$6)&lt;=ABS($R368/100-Settings!$C$7),1,0),IF(OR($R368=TRUE(),$R368="TRUE"),1,0)))</f>
        <v/>
      </c>
      <c r="W368">
        <f>IF($T368=1,IFERROR(IF(VALUE($A368)&lt;100000000,VALUE($A368),1000000000),IFERROR(IF(VALUE(MID($A368,2,20))&lt;100000000,VALUE(MID($A368,2,20)),1000000000),1000000000))+ROW()/100000,"")</f>
        <v/>
      </c>
    </row>
    <row r="369">
      <c r="F369" s="7">
        <f>IF($A369="","",E369*K369/100)</f>
        <v/>
      </c>
      <c r="J369" s="7" t="n"/>
      <c r="K369" s="7" t="n"/>
      <c r="L369" s="7">
        <f>IF($A369="","",S369*K369)</f>
        <v/>
      </c>
      <c r="M369" s="7">
        <f>IF($A369="","",K369-L369)</f>
        <v/>
      </c>
      <c r="N369" s="7">
        <f>IF($A369="","",M369-F369)</f>
        <v/>
      </c>
      <c r="Q369" s="11" t="n"/>
      <c r="S369">
        <f>IF($A369="","",IF(AND(ISNUMBER($R369),NOT(ISLOGICAL($R369)),N($R369)&gt;1),$R369/100*1,IF($V369=1,Settings!$C$6,Settings!$C$7)*1))</f>
        <v/>
      </c>
      <c r="T369">
        <f>IF($A369="","",IF(COUNTIF($A$2:$A369,$A369)=1,1,0))</f>
        <v/>
      </c>
      <c r="U369">
        <f>IF($T369=1,SUMPRODUCT(--($W$2:$W$1001&lt;$W369))+1,"")</f>
        <v/>
      </c>
      <c r="V369">
        <f>IF($A369="","",IF(AND(ISNUMBER($R369),NOT(ISLOGICAL($R369)),N($R369)&gt;1),IF(ABS($R369/100-Settings!$C$6)&lt;=ABS($R369/100-Settings!$C$7),1,0),IF(OR($R369=TRUE(),$R369="TRUE"),1,0)))</f>
        <v/>
      </c>
      <c r="W369">
        <f>IF($T369=1,IFERROR(IF(VALUE($A369)&lt;100000000,VALUE($A369),1000000000),IFERROR(IF(VALUE(MID($A369,2,20))&lt;100000000,VALUE(MID($A369,2,20)),1000000000),1000000000))+ROW()/100000,"")</f>
        <v/>
      </c>
    </row>
    <row r="370">
      <c r="F370" s="7">
        <f>IF($A370="","",E370*K370/100)</f>
        <v/>
      </c>
      <c r="J370" s="7" t="n"/>
      <c r="K370" s="7" t="n"/>
      <c r="L370" s="7">
        <f>IF($A370="","",S370*K370)</f>
        <v/>
      </c>
      <c r="M370" s="7">
        <f>IF($A370="","",K370-L370)</f>
        <v/>
      </c>
      <c r="N370" s="7">
        <f>IF($A370="","",M370-F370)</f>
        <v/>
      </c>
      <c r="Q370" s="11" t="n"/>
      <c r="S370">
        <f>IF($A370="","",IF(AND(ISNUMBER($R370),NOT(ISLOGICAL($R370)),N($R370)&gt;1),$R370/100*1,IF($V370=1,Settings!$C$6,Settings!$C$7)*1))</f>
        <v/>
      </c>
      <c r="T370">
        <f>IF($A370="","",IF(COUNTIF($A$2:$A370,$A370)=1,1,0))</f>
        <v/>
      </c>
      <c r="U370">
        <f>IF($T370=1,SUMPRODUCT(--($W$2:$W$1001&lt;$W370))+1,"")</f>
        <v/>
      </c>
      <c r="V370">
        <f>IF($A370="","",IF(AND(ISNUMBER($R370),NOT(ISLOGICAL($R370)),N($R370)&gt;1),IF(ABS($R370/100-Settings!$C$6)&lt;=ABS($R370/100-Settings!$C$7),1,0),IF(OR($R370=TRUE(),$R370="TRUE"),1,0)))</f>
        <v/>
      </c>
      <c r="W370">
        <f>IF($T370=1,IFERROR(IF(VALUE($A370)&lt;100000000,VALUE($A370),1000000000),IFERROR(IF(VALUE(MID($A370,2,20))&lt;100000000,VALUE(MID($A370,2,20)),1000000000),1000000000))+ROW()/100000,"")</f>
        <v/>
      </c>
    </row>
    <row r="371">
      <c r="F371" s="7">
        <f>IF($A371="","",E371*K371/100)</f>
        <v/>
      </c>
      <c r="J371" s="7" t="n"/>
      <c r="K371" s="7" t="n"/>
      <c r="L371" s="7">
        <f>IF($A371="","",S371*K371)</f>
        <v/>
      </c>
      <c r="M371" s="7">
        <f>IF($A371="","",K371-L371)</f>
        <v/>
      </c>
      <c r="N371" s="7">
        <f>IF($A371="","",M371-F371)</f>
        <v/>
      </c>
      <c r="Q371" s="11" t="n"/>
      <c r="S371">
        <f>IF($A371="","",IF(AND(ISNUMBER($R371),NOT(ISLOGICAL($R371)),N($R371)&gt;1),$R371/100*1,IF($V371=1,Settings!$C$6,Settings!$C$7)*1))</f>
        <v/>
      </c>
      <c r="T371">
        <f>IF($A371="","",IF(COUNTIF($A$2:$A371,$A371)=1,1,0))</f>
        <v/>
      </c>
      <c r="U371">
        <f>IF($T371=1,SUMPRODUCT(--($W$2:$W$1001&lt;$W371))+1,"")</f>
        <v/>
      </c>
      <c r="V371">
        <f>IF($A371="","",IF(AND(ISNUMBER($R371),NOT(ISLOGICAL($R371)),N($R371)&gt;1),IF(ABS($R371/100-Settings!$C$6)&lt;=ABS($R371/100-Settings!$C$7),1,0),IF(OR($R371=TRUE(),$R371="TRUE"),1,0)))</f>
        <v/>
      </c>
      <c r="W371">
        <f>IF($T371=1,IFERROR(IF(VALUE($A371)&lt;100000000,VALUE($A371),1000000000),IFERROR(IF(VALUE(MID($A371,2,20))&lt;100000000,VALUE(MID($A371,2,20)),1000000000),1000000000))+ROW()/100000,"")</f>
        <v/>
      </c>
    </row>
    <row r="372">
      <c r="F372" s="7">
        <f>IF($A372="","",E372*K372/100)</f>
        <v/>
      </c>
      <c r="J372" s="7" t="n"/>
      <c r="K372" s="7" t="n"/>
      <c r="L372" s="7">
        <f>IF($A372="","",S372*K372)</f>
        <v/>
      </c>
      <c r="M372" s="7">
        <f>IF($A372="","",K372-L372)</f>
        <v/>
      </c>
      <c r="N372" s="7">
        <f>IF($A372="","",M372-F372)</f>
        <v/>
      </c>
      <c r="Q372" s="11" t="n"/>
      <c r="S372">
        <f>IF($A372="","",IF(AND(ISNUMBER($R372),NOT(ISLOGICAL($R372)),N($R372)&gt;1),$R372/100*1,IF($V372=1,Settings!$C$6,Settings!$C$7)*1))</f>
        <v/>
      </c>
      <c r="T372">
        <f>IF($A372="","",IF(COUNTIF($A$2:$A372,$A372)=1,1,0))</f>
        <v/>
      </c>
      <c r="U372">
        <f>IF($T372=1,SUMPRODUCT(--($W$2:$W$1001&lt;$W372))+1,"")</f>
        <v/>
      </c>
      <c r="V372">
        <f>IF($A372="","",IF(AND(ISNUMBER($R372),NOT(ISLOGICAL($R372)),N($R372)&gt;1),IF(ABS($R372/100-Settings!$C$6)&lt;=ABS($R372/100-Settings!$C$7),1,0),IF(OR($R372=TRUE(),$R372="TRUE"),1,0)))</f>
        <v/>
      </c>
      <c r="W372">
        <f>IF($T372=1,IFERROR(IF(VALUE($A372)&lt;100000000,VALUE($A372),1000000000),IFERROR(IF(VALUE(MID($A372,2,20))&lt;100000000,VALUE(MID($A372,2,20)),1000000000),1000000000))+ROW()/100000,"")</f>
        <v/>
      </c>
    </row>
    <row r="373">
      <c r="F373" s="7">
        <f>IF($A373="","",E373*K373/100)</f>
        <v/>
      </c>
      <c r="J373" s="7" t="n"/>
      <c r="K373" s="7" t="n"/>
      <c r="L373" s="7">
        <f>IF($A373="","",S373*K373)</f>
        <v/>
      </c>
      <c r="M373" s="7">
        <f>IF($A373="","",K373-L373)</f>
        <v/>
      </c>
      <c r="N373" s="7">
        <f>IF($A373="","",M373-F373)</f>
        <v/>
      </c>
      <c r="Q373" s="11" t="n"/>
      <c r="S373">
        <f>IF($A373="","",IF(AND(ISNUMBER($R373),NOT(ISLOGICAL($R373)),N($R373)&gt;1),$R373/100*1,IF($V373=1,Settings!$C$6,Settings!$C$7)*1))</f>
        <v/>
      </c>
      <c r="T373">
        <f>IF($A373="","",IF(COUNTIF($A$2:$A373,$A373)=1,1,0))</f>
        <v/>
      </c>
      <c r="U373">
        <f>IF($T373=1,SUMPRODUCT(--($W$2:$W$1001&lt;$W373))+1,"")</f>
        <v/>
      </c>
      <c r="V373">
        <f>IF($A373="","",IF(AND(ISNUMBER($R373),NOT(ISLOGICAL($R373)),N($R373)&gt;1),IF(ABS($R373/100-Settings!$C$6)&lt;=ABS($R373/100-Settings!$C$7),1,0),IF(OR($R373=TRUE(),$R373="TRUE"),1,0)))</f>
        <v/>
      </c>
      <c r="W373">
        <f>IF($T373=1,IFERROR(IF(VALUE($A373)&lt;100000000,VALUE($A373),1000000000),IFERROR(IF(VALUE(MID($A373,2,20))&lt;100000000,VALUE(MID($A373,2,20)),1000000000),1000000000))+ROW()/100000,"")</f>
        <v/>
      </c>
    </row>
    <row r="374">
      <c r="F374" s="7">
        <f>IF($A374="","",E374*K374/100)</f>
        <v/>
      </c>
      <c r="J374" s="7" t="n"/>
      <c r="K374" s="7" t="n"/>
      <c r="L374" s="7">
        <f>IF($A374="","",S374*K374)</f>
        <v/>
      </c>
      <c r="M374" s="7">
        <f>IF($A374="","",K374-L374)</f>
        <v/>
      </c>
      <c r="N374" s="7">
        <f>IF($A374="","",M374-F374)</f>
        <v/>
      </c>
      <c r="Q374" s="11" t="n"/>
      <c r="S374">
        <f>IF($A374="","",IF(AND(ISNUMBER($R374),NOT(ISLOGICAL($R374)),N($R374)&gt;1),$R374/100*1,IF($V374=1,Settings!$C$6,Settings!$C$7)*1))</f>
        <v/>
      </c>
      <c r="T374">
        <f>IF($A374="","",IF(COUNTIF($A$2:$A374,$A374)=1,1,0))</f>
        <v/>
      </c>
      <c r="U374">
        <f>IF($T374=1,SUMPRODUCT(--($W$2:$W$1001&lt;$W374))+1,"")</f>
        <v/>
      </c>
      <c r="V374">
        <f>IF($A374="","",IF(AND(ISNUMBER($R374),NOT(ISLOGICAL($R374)),N($R374)&gt;1),IF(ABS($R374/100-Settings!$C$6)&lt;=ABS($R374/100-Settings!$C$7),1,0),IF(OR($R374=TRUE(),$R374="TRUE"),1,0)))</f>
        <v/>
      </c>
      <c r="W374">
        <f>IF($T374=1,IFERROR(IF(VALUE($A374)&lt;100000000,VALUE($A374),1000000000),IFERROR(IF(VALUE(MID($A374,2,20))&lt;100000000,VALUE(MID($A374,2,20)),1000000000),1000000000))+ROW()/100000,"")</f>
        <v/>
      </c>
    </row>
    <row r="375">
      <c r="F375" s="7">
        <f>IF($A375="","",E375*K375/100)</f>
        <v/>
      </c>
      <c r="J375" s="7" t="n"/>
      <c r="K375" s="7" t="n"/>
      <c r="L375" s="7">
        <f>IF($A375="","",S375*K375)</f>
        <v/>
      </c>
      <c r="M375" s="7">
        <f>IF($A375="","",K375-L375)</f>
        <v/>
      </c>
      <c r="N375" s="7">
        <f>IF($A375="","",M375-F375)</f>
        <v/>
      </c>
      <c r="Q375" s="11" t="n"/>
      <c r="S375">
        <f>IF($A375="","",IF(AND(ISNUMBER($R375),NOT(ISLOGICAL($R375)),N($R375)&gt;1),$R375/100*1,IF($V375=1,Settings!$C$6,Settings!$C$7)*1))</f>
        <v/>
      </c>
      <c r="T375">
        <f>IF($A375="","",IF(COUNTIF($A$2:$A375,$A375)=1,1,0))</f>
        <v/>
      </c>
      <c r="U375">
        <f>IF($T375=1,SUMPRODUCT(--($W$2:$W$1001&lt;$W375))+1,"")</f>
        <v/>
      </c>
      <c r="V375">
        <f>IF($A375="","",IF(AND(ISNUMBER($R375),NOT(ISLOGICAL($R375)),N($R375)&gt;1),IF(ABS($R375/100-Settings!$C$6)&lt;=ABS($R375/100-Settings!$C$7),1,0),IF(OR($R375=TRUE(),$R375="TRUE"),1,0)))</f>
        <v/>
      </c>
      <c r="W375">
        <f>IF($T375=1,IFERROR(IF(VALUE($A375)&lt;100000000,VALUE($A375),1000000000),IFERROR(IF(VALUE(MID($A375,2,20))&lt;100000000,VALUE(MID($A375,2,20)),1000000000),1000000000))+ROW()/100000,"")</f>
        <v/>
      </c>
    </row>
    <row r="376">
      <c r="F376" s="7">
        <f>IF($A376="","",E376*K376/100)</f>
        <v/>
      </c>
      <c r="J376" s="7" t="n"/>
      <c r="K376" s="7" t="n"/>
      <c r="L376" s="7">
        <f>IF($A376="","",S376*K376)</f>
        <v/>
      </c>
      <c r="M376" s="7">
        <f>IF($A376="","",K376-L376)</f>
        <v/>
      </c>
      <c r="N376" s="7">
        <f>IF($A376="","",M376-F376)</f>
        <v/>
      </c>
      <c r="Q376" s="11" t="n"/>
      <c r="S376">
        <f>IF($A376="","",IF(AND(ISNUMBER($R376),NOT(ISLOGICAL($R376)),N($R376)&gt;1),$R376/100*1,IF($V376=1,Settings!$C$6,Settings!$C$7)*1))</f>
        <v/>
      </c>
      <c r="T376">
        <f>IF($A376="","",IF(COUNTIF($A$2:$A376,$A376)=1,1,0))</f>
        <v/>
      </c>
      <c r="U376">
        <f>IF($T376=1,SUMPRODUCT(--($W$2:$W$1001&lt;$W376))+1,"")</f>
        <v/>
      </c>
      <c r="V376">
        <f>IF($A376="","",IF(AND(ISNUMBER($R376),NOT(ISLOGICAL($R376)),N($R376)&gt;1),IF(ABS($R376/100-Settings!$C$6)&lt;=ABS($R376/100-Settings!$C$7),1,0),IF(OR($R376=TRUE(),$R376="TRUE"),1,0)))</f>
        <v/>
      </c>
      <c r="W376">
        <f>IF($T376=1,IFERROR(IF(VALUE($A376)&lt;100000000,VALUE($A376),1000000000),IFERROR(IF(VALUE(MID($A376,2,20))&lt;100000000,VALUE(MID($A376,2,20)),1000000000),1000000000))+ROW()/100000,"")</f>
        <v/>
      </c>
    </row>
    <row r="377">
      <c r="F377" s="7">
        <f>IF($A377="","",E377*K377/100)</f>
        <v/>
      </c>
      <c r="J377" s="7" t="n"/>
      <c r="K377" s="7" t="n"/>
      <c r="L377" s="7">
        <f>IF($A377="","",S377*K377)</f>
        <v/>
      </c>
      <c r="M377" s="7">
        <f>IF($A377="","",K377-L377)</f>
        <v/>
      </c>
      <c r="N377" s="7">
        <f>IF($A377="","",M377-F377)</f>
        <v/>
      </c>
      <c r="Q377" s="11" t="n"/>
      <c r="S377">
        <f>IF($A377="","",IF(AND(ISNUMBER($R377),NOT(ISLOGICAL($R377)),N($R377)&gt;1),$R377/100*1,IF($V377=1,Settings!$C$6,Settings!$C$7)*1))</f>
        <v/>
      </c>
      <c r="T377">
        <f>IF($A377="","",IF(COUNTIF($A$2:$A377,$A377)=1,1,0))</f>
        <v/>
      </c>
      <c r="U377">
        <f>IF($T377=1,SUMPRODUCT(--($W$2:$W$1001&lt;$W377))+1,"")</f>
        <v/>
      </c>
      <c r="V377">
        <f>IF($A377="","",IF(AND(ISNUMBER($R377),NOT(ISLOGICAL($R377)),N($R377)&gt;1),IF(ABS($R377/100-Settings!$C$6)&lt;=ABS($R377/100-Settings!$C$7),1,0),IF(OR($R377=TRUE(),$R377="TRUE"),1,0)))</f>
        <v/>
      </c>
      <c r="W377">
        <f>IF($T377=1,IFERROR(IF(VALUE($A377)&lt;100000000,VALUE($A377),1000000000),IFERROR(IF(VALUE(MID($A377,2,20))&lt;100000000,VALUE(MID($A377,2,20)),1000000000),1000000000))+ROW()/100000,"")</f>
        <v/>
      </c>
    </row>
    <row r="378">
      <c r="F378" s="7">
        <f>IF($A378="","",E378*K378/100)</f>
        <v/>
      </c>
      <c r="J378" s="7" t="n"/>
      <c r="K378" s="7" t="n"/>
      <c r="L378" s="7">
        <f>IF($A378="","",S378*K378)</f>
        <v/>
      </c>
      <c r="M378" s="7">
        <f>IF($A378="","",K378-L378)</f>
        <v/>
      </c>
      <c r="N378" s="7">
        <f>IF($A378="","",M378-F378)</f>
        <v/>
      </c>
      <c r="Q378" s="11" t="n"/>
      <c r="S378">
        <f>IF($A378="","",IF(AND(ISNUMBER($R378),NOT(ISLOGICAL($R378)),N($R378)&gt;1),$R378/100*1,IF($V378=1,Settings!$C$6,Settings!$C$7)*1))</f>
        <v/>
      </c>
      <c r="T378">
        <f>IF($A378="","",IF(COUNTIF($A$2:$A378,$A378)=1,1,0))</f>
        <v/>
      </c>
      <c r="U378">
        <f>IF($T378=1,SUMPRODUCT(--($W$2:$W$1001&lt;$W378))+1,"")</f>
        <v/>
      </c>
      <c r="V378">
        <f>IF($A378="","",IF(AND(ISNUMBER($R378),NOT(ISLOGICAL($R378)),N($R378)&gt;1),IF(ABS($R378/100-Settings!$C$6)&lt;=ABS($R378/100-Settings!$C$7),1,0),IF(OR($R378=TRUE(),$R378="TRUE"),1,0)))</f>
        <v/>
      </c>
      <c r="W378">
        <f>IF($T378=1,IFERROR(IF(VALUE($A378)&lt;100000000,VALUE($A378),1000000000),IFERROR(IF(VALUE(MID($A378,2,20))&lt;100000000,VALUE(MID($A378,2,20)),1000000000),1000000000))+ROW()/100000,"")</f>
        <v/>
      </c>
    </row>
    <row r="379">
      <c r="F379" s="7">
        <f>IF($A379="","",E379*K379/100)</f>
        <v/>
      </c>
      <c r="J379" s="7" t="n"/>
      <c r="K379" s="7" t="n"/>
      <c r="L379" s="7">
        <f>IF($A379="","",S379*K379)</f>
        <v/>
      </c>
      <c r="M379" s="7">
        <f>IF($A379="","",K379-L379)</f>
        <v/>
      </c>
      <c r="N379" s="7">
        <f>IF($A379="","",M379-F379)</f>
        <v/>
      </c>
      <c r="Q379" s="11" t="n"/>
      <c r="S379">
        <f>IF($A379="","",IF(AND(ISNUMBER($R379),NOT(ISLOGICAL($R379)),N($R379)&gt;1),$R379/100*1,IF($V379=1,Settings!$C$6,Settings!$C$7)*1))</f>
        <v/>
      </c>
      <c r="T379">
        <f>IF($A379="","",IF(COUNTIF($A$2:$A379,$A379)=1,1,0))</f>
        <v/>
      </c>
      <c r="U379">
        <f>IF($T379=1,SUMPRODUCT(--($W$2:$W$1001&lt;$W379))+1,"")</f>
        <v/>
      </c>
      <c r="V379">
        <f>IF($A379="","",IF(AND(ISNUMBER($R379),NOT(ISLOGICAL($R379)),N($R379)&gt;1),IF(ABS($R379/100-Settings!$C$6)&lt;=ABS($R379/100-Settings!$C$7),1,0),IF(OR($R379=TRUE(),$R379="TRUE"),1,0)))</f>
        <v/>
      </c>
      <c r="W379">
        <f>IF($T379=1,IFERROR(IF(VALUE($A379)&lt;100000000,VALUE($A379),1000000000),IFERROR(IF(VALUE(MID($A379,2,20))&lt;100000000,VALUE(MID($A379,2,20)),1000000000),1000000000))+ROW()/100000,"")</f>
        <v/>
      </c>
    </row>
    <row r="380">
      <c r="F380" s="7">
        <f>IF($A380="","",E380*K380/100)</f>
        <v/>
      </c>
      <c r="J380" s="7" t="n"/>
      <c r="K380" s="7" t="n"/>
      <c r="L380" s="7">
        <f>IF($A380="","",S380*K380)</f>
        <v/>
      </c>
      <c r="M380" s="7">
        <f>IF($A380="","",K380-L380)</f>
        <v/>
      </c>
      <c r="N380" s="7">
        <f>IF($A380="","",M380-F380)</f>
        <v/>
      </c>
      <c r="Q380" s="11" t="n"/>
      <c r="S380">
        <f>IF($A380="","",IF(AND(ISNUMBER($R380),NOT(ISLOGICAL($R380)),N($R380)&gt;1),$R380/100*1,IF($V380=1,Settings!$C$6,Settings!$C$7)*1))</f>
        <v/>
      </c>
      <c r="T380">
        <f>IF($A380="","",IF(COUNTIF($A$2:$A380,$A380)=1,1,0))</f>
        <v/>
      </c>
      <c r="U380">
        <f>IF($T380=1,SUMPRODUCT(--($W$2:$W$1001&lt;$W380))+1,"")</f>
        <v/>
      </c>
      <c r="V380">
        <f>IF($A380="","",IF(AND(ISNUMBER($R380),NOT(ISLOGICAL($R380)),N($R380)&gt;1),IF(ABS($R380/100-Settings!$C$6)&lt;=ABS($R380/100-Settings!$C$7),1,0),IF(OR($R380=TRUE(),$R380="TRUE"),1,0)))</f>
        <v/>
      </c>
      <c r="W380">
        <f>IF($T380=1,IFERROR(IF(VALUE($A380)&lt;100000000,VALUE($A380),1000000000),IFERROR(IF(VALUE(MID($A380,2,20))&lt;100000000,VALUE(MID($A380,2,20)),1000000000),1000000000))+ROW()/100000,"")</f>
        <v/>
      </c>
    </row>
    <row r="381">
      <c r="F381" s="7">
        <f>IF($A381="","",E381*K381/100)</f>
        <v/>
      </c>
      <c r="J381" s="7" t="n"/>
      <c r="K381" s="7" t="n"/>
      <c r="L381" s="7">
        <f>IF($A381="","",S381*K381)</f>
        <v/>
      </c>
      <c r="M381" s="7">
        <f>IF($A381="","",K381-L381)</f>
        <v/>
      </c>
      <c r="N381" s="7">
        <f>IF($A381="","",M381-F381)</f>
        <v/>
      </c>
      <c r="Q381" s="11" t="n"/>
      <c r="S381">
        <f>IF($A381="","",IF(AND(ISNUMBER($R381),NOT(ISLOGICAL($R381)),N($R381)&gt;1),$R381/100*1,IF($V381=1,Settings!$C$6,Settings!$C$7)*1))</f>
        <v/>
      </c>
      <c r="T381">
        <f>IF($A381="","",IF(COUNTIF($A$2:$A381,$A381)=1,1,0))</f>
        <v/>
      </c>
      <c r="U381">
        <f>IF($T381=1,SUMPRODUCT(--($W$2:$W$1001&lt;$W381))+1,"")</f>
        <v/>
      </c>
      <c r="V381">
        <f>IF($A381="","",IF(AND(ISNUMBER($R381),NOT(ISLOGICAL($R381)),N($R381)&gt;1),IF(ABS($R381/100-Settings!$C$6)&lt;=ABS($R381/100-Settings!$C$7),1,0),IF(OR($R381=TRUE(),$R381="TRUE"),1,0)))</f>
        <v/>
      </c>
      <c r="W381">
        <f>IF($T381=1,IFERROR(IF(VALUE($A381)&lt;100000000,VALUE($A381),1000000000),IFERROR(IF(VALUE(MID($A381,2,20))&lt;100000000,VALUE(MID($A381,2,20)),1000000000),1000000000))+ROW()/100000,"")</f>
        <v/>
      </c>
    </row>
    <row r="382">
      <c r="F382" s="7">
        <f>IF($A382="","",E382*K382/100)</f>
        <v/>
      </c>
      <c r="J382" s="7" t="n"/>
      <c r="K382" s="7" t="n"/>
      <c r="L382" s="7">
        <f>IF($A382="","",S382*K382)</f>
        <v/>
      </c>
      <c r="M382" s="7">
        <f>IF($A382="","",K382-L382)</f>
        <v/>
      </c>
      <c r="N382" s="7">
        <f>IF($A382="","",M382-F382)</f>
        <v/>
      </c>
      <c r="Q382" s="11" t="n"/>
      <c r="S382">
        <f>IF($A382="","",IF(AND(ISNUMBER($R382),NOT(ISLOGICAL($R382)),N($R382)&gt;1),$R382/100*1,IF($V382=1,Settings!$C$6,Settings!$C$7)*1))</f>
        <v/>
      </c>
      <c r="T382">
        <f>IF($A382="","",IF(COUNTIF($A$2:$A382,$A382)=1,1,0))</f>
        <v/>
      </c>
      <c r="U382">
        <f>IF($T382=1,SUMPRODUCT(--($W$2:$W$1001&lt;$W382))+1,"")</f>
        <v/>
      </c>
      <c r="V382">
        <f>IF($A382="","",IF(AND(ISNUMBER($R382),NOT(ISLOGICAL($R382)),N($R382)&gt;1),IF(ABS($R382/100-Settings!$C$6)&lt;=ABS($R382/100-Settings!$C$7),1,0),IF(OR($R382=TRUE(),$R382="TRUE"),1,0)))</f>
        <v/>
      </c>
      <c r="W382">
        <f>IF($T382=1,IFERROR(IF(VALUE($A382)&lt;100000000,VALUE($A382),1000000000),IFERROR(IF(VALUE(MID($A382,2,20))&lt;100000000,VALUE(MID($A382,2,20)),1000000000),1000000000))+ROW()/100000,"")</f>
        <v/>
      </c>
    </row>
    <row r="383">
      <c r="F383" s="7">
        <f>IF($A383="","",E383*K383/100)</f>
        <v/>
      </c>
      <c r="J383" s="7" t="n"/>
      <c r="K383" s="7" t="n"/>
      <c r="L383" s="7">
        <f>IF($A383="","",S383*K383)</f>
        <v/>
      </c>
      <c r="M383" s="7">
        <f>IF($A383="","",K383-L383)</f>
        <v/>
      </c>
      <c r="N383" s="7">
        <f>IF($A383="","",M383-F383)</f>
        <v/>
      </c>
      <c r="Q383" s="11" t="n"/>
      <c r="S383">
        <f>IF($A383="","",IF(AND(ISNUMBER($R383),NOT(ISLOGICAL($R383)),N($R383)&gt;1),$R383/100*1,IF($V383=1,Settings!$C$6,Settings!$C$7)*1))</f>
        <v/>
      </c>
      <c r="T383">
        <f>IF($A383="","",IF(COUNTIF($A$2:$A383,$A383)=1,1,0))</f>
        <v/>
      </c>
      <c r="U383">
        <f>IF($T383=1,SUMPRODUCT(--($W$2:$W$1001&lt;$W383))+1,"")</f>
        <v/>
      </c>
      <c r="V383">
        <f>IF($A383="","",IF(AND(ISNUMBER($R383),NOT(ISLOGICAL($R383)),N($R383)&gt;1),IF(ABS($R383/100-Settings!$C$6)&lt;=ABS($R383/100-Settings!$C$7),1,0),IF(OR($R383=TRUE(),$R383="TRUE"),1,0)))</f>
        <v/>
      </c>
      <c r="W383">
        <f>IF($T383=1,IFERROR(IF(VALUE($A383)&lt;100000000,VALUE($A383),1000000000),IFERROR(IF(VALUE(MID($A383,2,20))&lt;100000000,VALUE(MID($A383,2,20)),1000000000),1000000000))+ROW()/100000,"")</f>
        <v/>
      </c>
    </row>
    <row r="384">
      <c r="F384" s="7">
        <f>IF($A384="","",E384*K384/100)</f>
        <v/>
      </c>
      <c r="J384" s="7" t="n"/>
      <c r="K384" s="7" t="n"/>
      <c r="L384" s="7">
        <f>IF($A384="","",S384*K384)</f>
        <v/>
      </c>
      <c r="M384" s="7">
        <f>IF($A384="","",K384-L384)</f>
        <v/>
      </c>
      <c r="N384" s="7">
        <f>IF($A384="","",M384-F384)</f>
        <v/>
      </c>
      <c r="Q384" s="11" t="n"/>
      <c r="S384">
        <f>IF($A384="","",IF(AND(ISNUMBER($R384),NOT(ISLOGICAL($R384)),N($R384)&gt;1),$R384/100*1,IF($V384=1,Settings!$C$6,Settings!$C$7)*1))</f>
        <v/>
      </c>
      <c r="T384">
        <f>IF($A384="","",IF(COUNTIF($A$2:$A384,$A384)=1,1,0))</f>
        <v/>
      </c>
      <c r="U384">
        <f>IF($T384=1,SUMPRODUCT(--($W$2:$W$1001&lt;$W384))+1,"")</f>
        <v/>
      </c>
      <c r="V384">
        <f>IF($A384="","",IF(AND(ISNUMBER($R384),NOT(ISLOGICAL($R384)),N($R384)&gt;1),IF(ABS($R384/100-Settings!$C$6)&lt;=ABS($R384/100-Settings!$C$7),1,0),IF(OR($R384=TRUE(),$R384="TRUE"),1,0)))</f>
        <v/>
      </c>
      <c r="W384">
        <f>IF($T384=1,IFERROR(IF(VALUE($A384)&lt;100000000,VALUE($A384),1000000000),IFERROR(IF(VALUE(MID($A384,2,20))&lt;100000000,VALUE(MID($A384,2,20)),1000000000),1000000000))+ROW()/100000,"")</f>
        <v/>
      </c>
    </row>
    <row r="385">
      <c r="F385" s="7">
        <f>IF($A385="","",E385*K385/100)</f>
        <v/>
      </c>
      <c r="J385" s="7" t="n"/>
      <c r="K385" s="7" t="n"/>
      <c r="L385" s="7">
        <f>IF($A385="","",S385*K385)</f>
        <v/>
      </c>
      <c r="M385" s="7">
        <f>IF($A385="","",K385-L385)</f>
        <v/>
      </c>
      <c r="N385" s="7">
        <f>IF($A385="","",M385-F385)</f>
        <v/>
      </c>
      <c r="Q385" s="11" t="n"/>
      <c r="S385">
        <f>IF($A385="","",IF(AND(ISNUMBER($R385),NOT(ISLOGICAL($R385)),N($R385)&gt;1),$R385/100*1,IF($V385=1,Settings!$C$6,Settings!$C$7)*1))</f>
        <v/>
      </c>
      <c r="T385">
        <f>IF($A385="","",IF(COUNTIF($A$2:$A385,$A385)=1,1,0))</f>
        <v/>
      </c>
      <c r="U385">
        <f>IF($T385=1,SUMPRODUCT(--($W$2:$W$1001&lt;$W385))+1,"")</f>
        <v/>
      </c>
      <c r="V385">
        <f>IF($A385="","",IF(AND(ISNUMBER($R385),NOT(ISLOGICAL($R385)),N($R385)&gt;1),IF(ABS($R385/100-Settings!$C$6)&lt;=ABS($R385/100-Settings!$C$7),1,0),IF(OR($R385=TRUE(),$R385="TRUE"),1,0)))</f>
        <v/>
      </c>
      <c r="W385">
        <f>IF($T385=1,IFERROR(IF(VALUE($A385)&lt;100000000,VALUE($A385),1000000000),IFERROR(IF(VALUE(MID($A385,2,20))&lt;100000000,VALUE(MID($A385,2,20)),1000000000),1000000000))+ROW()/100000,"")</f>
        <v/>
      </c>
    </row>
    <row r="386">
      <c r="F386" s="7">
        <f>IF($A386="","",E386*K386/100)</f>
        <v/>
      </c>
      <c r="J386" s="7" t="n"/>
      <c r="K386" s="7" t="n"/>
      <c r="L386" s="7">
        <f>IF($A386="","",S386*K386)</f>
        <v/>
      </c>
      <c r="M386" s="7">
        <f>IF($A386="","",K386-L386)</f>
        <v/>
      </c>
      <c r="N386" s="7">
        <f>IF($A386="","",M386-F386)</f>
        <v/>
      </c>
      <c r="Q386" s="11" t="n"/>
      <c r="S386">
        <f>IF($A386="","",IF(AND(ISNUMBER($R386),NOT(ISLOGICAL($R386)),N($R386)&gt;1),$R386/100*1,IF($V386=1,Settings!$C$6,Settings!$C$7)*1))</f>
        <v/>
      </c>
      <c r="T386">
        <f>IF($A386="","",IF(COUNTIF($A$2:$A386,$A386)=1,1,0))</f>
        <v/>
      </c>
      <c r="U386">
        <f>IF($T386=1,SUMPRODUCT(--($W$2:$W$1001&lt;$W386))+1,"")</f>
        <v/>
      </c>
      <c r="V386">
        <f>IF($A386="","",IF(AND(ISNUMBER($R386),NOT(ISLOGICAL($R386)),N($R386)&gt;1),IF(ABS($R386/100-Settings!$C$6)&lt;=ABS($R386/100-Settings!$C$7),1,0),IF(OR($R386=TRUE(),$R386="TRUE"),1,0)))</f>
        <v/>
      </c>
      <c r="W386">
        <f>IF($T386=1,IFERROR(IF(VALUE($A386)&lt;100000000,VALUE($A386),1000000000),IFERROR(IF(VALUE(MID($A386,2,20))&lt;100000000,VALUE(MID($A386,2,20)),1000000000),1000000000))+ROW()/100000,"")</f>
        <v/>
      </c>
    </row>
    <row r="387">
      <c r="F387" s="7">
        <f>IF($A387="","",E387*K387/100)</f>
        <v/>
      </c>
      <c r="J387" s="7" t="n"/>
      <c r="K387" s="7" t="n"/>
      <c r="L387" s="7">
        <f>IF($A387="","",S387*K387)</f>
        <v/>
      </c>
      <c r="M387" s="7">
        <f>IF($A387="","",K387-L387)</f>
        <v/>
      </c>
      <c r="N387" s="7">
        <f>IF($A387="","",M387-F387)</f>
        <v/>
      </c>
      <c r="Q387" s="11" t="n"/>
      <c r="S387">
        <f>IF($A387="","",IF(AND(ISNUMBER($R387),NOT(ISLOGICAL($R387)),N($R387)&gt;1),$R387/100*1,IF($V387=1,Settings!$C$6,Settings!$C$7)*1))</f>
        <v/>
      </c>
      <c r="T387">
        <f>IF($A387="","",IF(COUNTIF($A$2:$A387,$A387)=1,1,0))</f>
        <v/>
      </c>
      <c r="U387">
        <f>IF($T387=1,SUMPRODUCT(--($W$2:$W$1001&lt;$W387))+1,"")</f>
        <v/>
      </c>
      <c r="V387">
        <f>IF($A387="","",IF(AND(ISNUMBER($R387),NOT(ISLOGICAL($R387)),N($R387)&gt;1),IF(ABS($R387/100-Settings!$C$6)&lt;=ABS($R387/100-Settings!$C$7),1,0),IF(OR($R387=TRUE(),$R387="TRUE"),1,0)))</f>
        <v/>
      </c>
      <c r="W387">
        <f>IF($T387=1,IFERROR(IF(VALUE($A387)&lt;100000000,VALUE($A387),1000000000),IFERROR(IF(VALUE(MID($A387,2,20))&lt;100000000,VALUE(MID($A387,2,20)),1000000000),1000000000))+ROW()/100000,"")</f>
        <v/>
      </c>
    </row>
    <row r="388">
      <c r="F388" s="7">
        <f>IF($A388="","",E388*K388/100)</f>
        <v/>
      </c>
      <c r="J388" s="7" t="n"/>
      <c r="K388" s="7" t="n"/>
      <c r="L388" s="7">
        <f>IF($A388="","",S388*K388)</f>
        <v/>
      </c>
      <c r="M388" s="7">
        <f>IF($A388="","",K388-L388)</f>
        <v/>
      </c>
      <c r="N388" s="7">
        <f>IF($A388="","",M388-F388)</f>
        <v/>
      </c>
      <c r="Q388" s="11" t="n"/>
      <c r="S388">
        <f>IF($A388="","",IF(AND(ISNUMBER($R388),NOT(ISLOGICAL($R388)),N($R388)&gt;1),$R388/100*1,IF($V388=1,Settings!$C$6,Settings!$C$7)*1))</f>
        <v/>
      </c>
      <c r="T388">
        <f>IF($A388="","",IF(COUNTIF($A$2:$A388,$A388)=1,1,0))</f>
        <v/>
      </c>
      <c r="U388">
        <f>IF($T388=1,SUMPRODUCT(--($W$2:$W$1001&lt;$W388))+1,"")</f>
        <v/>
      </c>
      <c r="V388">
        <f>IF($A388="","",IF(AND(ISNUMBER($R388),NOT(ISLOGICAL($R388)),N($R388)&gt;1),IF(ABS($R388/100-Settings!$C$6)&lt;=ABS($R388/100-Settings!$C$7),1,0),IF(OR($R388=TRUE(),$R388="TRUE"),1,0)))</f>
        <v/>
      </c>
      <c r="W388">
        <f>IF($T388=1,IFERROR(IF(VALUE($A388)&lt;100000000,VALUE($A388),1000000000),IFERROR(IF(VALUE(MID($A388,2,20))&lt;100000000,VALUE(MID($A388,2,20)),1000000000),1000000000))+ROW()/100000,"")</f>
        <v/>
      </c>
    </row>
    <row r="389">
      <c r="F389" s="7">
        <f>IF($A389="","",E389*K389/100)</f>
        <v/>
      </c>
      <c r="J389" s="7" t="n"/>
      <c r="K389" s="7" t="n"/>
      <c r="L389" s="7">
        <f>IF($A389="","",S389*K389)</f>
        <v/>
      </c>
      <c r="M389" s="7">
        <f>IF($A389="","",K389-L389)</f>
        <v/>
      </c>
      <c r="N389" s="7">
        <f>IF($A389="","",M389-F389)</f>
        <v/>
      </c>
      <c r="Q389" s="11" t="n"/>
      <c r="S389">
        <f>IF($A389="","",IF(AND(ISNUMBER($R389),NOT(ISLOGICAL($R389)),N($R389)&gt;1),$R389/100*1,IF($V389=1,Settings!$C$6,Settings!$C$7)*1))</f>
        <v/>
      </c>
      <c r="T389">
        <f>IF($A389="","",IF(COUNTIF($A$2:$A389,$A389)=1,1,0))</f>
        <v/>
      </c>
      <c r="U389">
        <f>IF($T389=1,SUMPRODUCT(--($W$2:$W$1001&lt;$W389))+1,"")</f>
        <v/>
      </c>
      <c r="V389">
        <f>IF($A389="","",IF(AND(ISNUMBER($R389),NOT(ISLOGICAL($R389)),N($R389)&gt;1),IF(ABS($R389/100-Settings!$C$6)&lt;=ABS($R389/100-Settings!$C$7),1,0),IF(OR($R389=TRUE(),$R389="TRUE"),1,0)))</f>
        <v/>
      </c>
      <c r="W389">
        <f>IF($T389=1,IFERROR(IF(VALUE($A389)&lt;100000000,VALUE($A389),1000000000),IFERROR(IF(VALUE(MID($A389,2,20))&lt;100000000,VALUE(MID($A389,2,20)),1000000000),1000000000))+ROW()/100000,"")</f>
        <v/>
      </c>
    </row>
    <row r="390">
      <c r="F390" s="7">
        <f>IF($A390="","",E390*K390/100)</f>
        <v/>
      </c>
      <c r="J390" s="7" t="n"/>
      <c r="K390" s="7" t="n"/>
      <c r="L390" s="7">
        <f>IF($A390="","",S390*K390)</f>
        <v/>
      </c>
      <c r="M390" s="7">
        <f>IF($A390="","",K390-L390)</f>
        <v/>
      </c>
      <c r="N390" s="7">
        <f>IF($A390="","",M390-F390)</f>
        <v/>
      </c>
      <c r="Q390" s="11" t="n"/>
      <c r="S390">
        <f>IF($A390="","",IF(AND(ISNUMBER($R390),NOT(ISLOGICAL($R390)),N($R390)&gt;1),$R390/100*1,IF($V390=1,Settings!$C$6,Settings!$C$7)*1))</f>
        <v/>
      </c>
      <c r="T390">
        <f>IF($A390="","",IF(COUNTIF($A$2:$A390,$A390)=1,1,0))</f>
        <v/>
      </c>
      <c r="U390">
        <f>IF($T390=1,SUMPRODUCT(--($W$2:$W$1001&lt;$W390))+1,"")</f>
        <v/>
      </c>
      <c r="V390">
        <f>IF($A390="","",IF(AND(ISNUMBER($R390),NOT(ISLOGICAL($R390)),N($R390)&gt;1),IF(ABS($R390/100-Settings!$C$6)&lt;=ABS($R390/100-Settings!$C$7),1,0),IF(OR($R390=TRUE(),$R390="TRUE"),1,0)))</f>
        <v/>
      </c>
      <c r="W390">
        <f>IF($T390=1,IFERROR(IF(VALUE($A390)&lt;100000000,VALUE($A390),1000000000),IFERROR(IF(VALUE(MID($A390,2,20))&lt;100000000,VALUE(MID($A390,2,20)),1000000000),1000000000))+ROW()/100000,"")</f>
        <v/>
      </c>
    </row>
    <row r="391">
      <c r="F391" s="7">
        <f>IF($A391="","",E391*K391/100)</f>
        <v/>
      </c>
      <c r="J391" s="7" t="n"/>
      <c r="K391" s="7" t="n"/>
      <c r="L391" s="7">
        <f>IF($A391="","",S391*K391)</f>
        <v/>
      </c>
      <c r="M391" s="7">
        <f>IF($A391="","",K391-L391)</f>
        <v/>
      </c>
      <c r="N391" s="7">
        <f>IF($A391="","",M391-F391)</f>
        <v/>
      </c>
      <c r="Q391" s="11" t="n"/>
      <c r="S391">
        <f>IF($A391="","",IF(AND(ISNUMBER($R391),NOT(ISLOGICAL($R391)),N($R391)&gt;1),$R391/100*1,IF($V391=1,Settings!$C$6,Settings!$C$7)*1))</f>
        <v/>
      </c>
      <c r="T391">
        <f>IF($A391="","",IF(COUNTIF($A$2:$A391,$A391)=1,1,0))</f>
        <v/>
      </c>
      <c r="U391">
        <f>IF($T391=1,SUMPRODUCT(--($W$2:$W$1001&lt;$W391))+1,"")</f>
        <v/>
      </c>
      <c r="V391">
        <f>IF($A391="","",IF(AND(ISNUMBER($R391),NOT(ISLOGICAL($R391)),N($R391)&gt;1),IF(ABS($R391/100-Settings!$C$6)&lt;=ABS($R391/100-Settings!$C$7),1,0),IF(OR($R391=TRUE(),$R391="TRUE"),1,0)))</f>
        <v/>
      </c>
      <c r="W391">
        <f>IF($T391=1,IFERROR(IF(VALUE($A391)&lt;100000000,VALUE($A391),1000000000),IFERROR(IF(VALUE(MID($A391,2,20))&lt;100000000,VALUE(MID($A391,2,20)),1000000000),1000000000))+ROW()/100000,"")</f>
        <v/>
      </c>
    </row>
    <row r="392">
      <c r="F392" s="7">
        <f>IF($A392="","",E392*K392/100)</f>
        <v/>
      </c>
      <c r="J392" s="7" t="n"/>
      <c r="K392" s="7" t="n"/>
      <c r="L392" s="7">
        <f>IF($A392="","",S392*K392)</f>
        <v/>
      </c>
      <c r="M392" s="7">
        <f>IF($A392="","",K392-L392)</f>
        <v/>
      </c>
      <c r="N392" s="7">
        <f>IF($A392="","",M392-F392)</f>
        <v/>
      </c>
      <c r="Q392" s="11" t="n"/>
      <c r="S392">
        <f>IF($A392="","",IF(AND(ISNUMBER($R392),NOT(ISLOGICAL($R392)),N($R392)&gt;1),$R392/100*1,IF($V392=1,Settings!$C$6,Settings!$C$7)*1))</f>
        <v/>
      </c>
      <c r="T392">
        <f>IF($A392="","",IF(COUNTIF($A$2:$A392,$A392)=1,1,0))</f>
        <v/>
      </c>
      <c r="U392">
        <f>IF($T392=1,SUMPRODUCT(--($W$2:$W$1001&lt;$W392))+1,"")</f>
        <v/>
      </c>
      <c r="V392">
        <f>IF($A392="","",IF(AND(ISNUMBER($R392),NOT(ISLOGICAL($R392)),N($R392)&gt;1),IF(ABS($R392/100-Settings!$C$6)&lt;=ABS($R392/100-Settings!$C$7),1,0),IF(OR($R392=TRUE(),$R392="TRUE"),1,0)))</f>
        <v/>
      </c>
      <c r="W392">
        <f>IF($T392=1,IFERROR(IF(VALUE($A392)&lt;100000000,VALUE($A392),1000000000),IFERROR(IF(VALUE(MID($A392,2,20))&lt;100000000,VALUE(MID($A392,2,20)),1000000000),1000000000))+ROW()/100000,"")</f>
        <v/>
      </c>
    </row>
    <row r="393">
      <c r="F393" s="7">
        <f>IF($A393="","",E393*K393/100)</f>
        <v/>
      </c>
      <c r="J393" s="7" t="n"/>
      <c r="K393" s="7" t="n"/>
      <c r="L393" s="7">
        <f>IF($A393="","",S393*K393)</f>
        <v/>
      </c>
      <c r="M393" s="7">
        <f>IF($A393="","",K393-L393)</f>
        <v/>
      </c>
      <c r="N393" s="7">
        <f>IF($A393="","",M393-F393)</f>
        <v/>
      </c>
      <c r="Q393" s="11" t="n"/>
      <c r="S393">
        <f>IF($A393="","",IF(AND(ISNUMBER($R393),NOT(ISLOGICAL($R393)),N($R393)&gt;1),$R393/100*1,IF($V393=1,Settings!$C$6,Settings!$C$7)*1))</f>
        <v/>
      </c>
      <c r="T393">
        <f>IF($A393="","",IF(COUNTIF($A$2:$A393,$A393)=1,1,0))</f>
        <v/>
      </c>
      <c r="U393">
        <f>IF($T393=1,SUMPRODUCT(--($W$2:$W$1001&lt;$W393))+1,"")</f>
        <v/>
      </c>
      <c r="V393">
        <f>IF($A393="","",IF(AND(ISNUMBER($R393),NOT(ISLOGICAL($R393)),N($R393)&gt;1),IF(ABS($R393/100-Settings!$C$6)&lt;=ABS($R393/100-Settings!$C$7),1,0),IF(OR($R393=TRUE(),$R393="TRUE"),1,0)))</f>
        <v/>
      </c>
      <c r="W393">
        <f>IF($T393=1,IFERROR(IF(VALUE($A393)&lt;100000000,VALUE($A393),1000000000),IFERROR(IF(VALUE(MID($A393,2,20))&lt;100000000,VALUE(MID($A393,2,20)),1000000000),1000000000))+ROW()/100000,"")</f>
        <v/>
      </c>
    </row>
    <row r="394">
      <c r="F394" s="7">
        <f>IF($A394="","",E394*K394/100)</f>
        <v/>
      </c>
      <c r="J394" s="7" t="n"/>
      <c r="K394" s="7" t="n"/>
      <c r="L394" s="7">
        <f>IF($A394="","",S394*K394)</f>
        <v/>
      </c>
      <c r="M394" s="7">
        <f>IF($A394="","",K394-L394)</f>
        <v/>
      </c>
      <c r="N394" s="7">
        <f>IF($A394="","",M394-F394)</f>
        <v/>
      </c>
      <c r="Q394" s="11" t="n"/>
      <c r="S394">
        <f>IF($A394="","",IF(AND(ISNUMBER($R394),NOT(ISLOGICAL($R394)),N($R394)&gt;1),$R394/100*1,IF($V394=1,Settings!$C$6,Settings!$C$7)*1))</f>
        <v/>
      </c>
      <c r="T394">
        <f>IF($A394="","",IF(COUNTIF($A$2:$A394,$A394)=1,1,0))</f>
        <v/>
      </c>
      <c r="U394">
        <f>IF($T394=1,SUMPRODUCT(--($W$2:$W$1001&lt;$W394))+1,"")</f>
        <v/>
      </c>
      <c r="V394">
        <f>IF($A394="","",IF(AND(ISNUMBER($R394),NOT(ISLOGICAL($R394)),N($R394)&gt;1),IF(ABS($R394/100-Settings!$C$6)&lt;=ABS($R394/100-Settings!$C$7),1,0),IF(OR($R394=TRUE(),$R394="TRUE"),1,0)))</f>
        <v/>
      </c>
      <c r="W394">
        <f>IF($T394=1,IFERROR(IF(VALUE($A394)&lt;100000000,VALUE($A394),1000000000),IFERROR(IF(VALUE(MID($A394,2,20))&lt;100000000,VALUE(MID($A394,2,20)),1000000000),1000000000))+ROW()/100000,"")</f>
        <v/>
      </c>
    </row>
    <row r="395">
      <c r="F395" s="7">
        <f>IF($A395="","",E395*K395/100)</f>
        <v/>
      </c>
      <c r="J395" s="7" t="n"/>
      <c r="K395" s="7" t="n"/>
      <c r="L395" s="7">
        <f>IF($A395="","",S395*K395)</f>
        <v/>
      </c>
      <c r="M395" s="7">
        <f>IF($A395="","",K395-L395)</f>
        <v/>
      </c>
      <c r="N395" s="7">
        <f>IF($A395="","",M395-F395)</f>
        <v/>
      </c>
      <c r="Q395" s="11" t="n"/>
      <c r="S395">
        <f>IF($A395="","",IF(AND(ISNUMBER($R395),NOT(ISLOGICAL($R395)),N($R395)&gt;1),$R395/100*1,IF($V395=1,Settings!$C$6,Settings!$C$7)*1))</f>
        <v/>
      </c>
      <c r="T395">
        <f>IF($A395="","",IF(COUNTIF($A$2:$A395,$A395)=1,1,0))</f>
        <v/>
      </c>
      <c r="U395">
        <f>IF($T395=1,SUMPRODUCT(--($W$2:$W$1001&lt;$W395))+1,"")</f>
        <v/>
      </c>
      <c r="V395">
        <f>IF($A395="","",IF(AND(ISNUMBER($R395),NOT(ISLOGICAL($R395)),N($R395)&gt;1),IF(ABS($R395/100-Settings!$C$6)&lt;=ABS($R395/100-Settings!$C$7),1,0),IF(OR($R395=TRUE(),$R395="TRUE"),1,0)))</f>
        <v/>
      </c>
      <c r="W395">
        <f>IF($T395=1,IFERROR(IF(VALUE($A395)&lt;100000000,VALUE($A395),1000000000),IFERROR(IF(VALUE(MID($A395,2,20))&lt;100000000,VALUE(MID($A395,2,20)),1000000000),1000000000))+ROW()/100000,"")</f>
        <v/>
      </c>
    </row>
    <row r="396">
      <c r="F396" s="7">
        <f>IF($A396="","",E396*K396/100)</f>
        <v/>
      </c>
      <c r="J396" s="7" t="n"/>
      <c r="K396" s="7" t="n"/>
      <c r="L396" s="7">
        <f>IF($A396="","",S396*K396)</f>
        <v/>
      </c>
      <c r="M396" s="7">
        <f>IF($A396="","",K396-L396)</f>
        <v/>
      </c>
      <c r="N396" s="7">
        <f>IF($A396="","",M396-F396)</f>
        <v/>
      </c>
      <c r="Q396" s="11" t="n"/>
      <c r="S396">
        <f>IF($A396="","",IF(AND(ISNUMBER($R396),NOT(ISLOGICAL($R396)),N($R396)&gt;1),$R396/100*1,IF($V396=1,Settings!$C$6,Settings!$C$7)*1))</f>
        <v/>
      </c>
      <c r="T396">
        <f>IF($A396="","",IF(COUNTIF($A$2:$A396,$A396)=1,1,0))</f>
        <v/>
      </c>
      <c r="U396">
        <f>IF($T396=1,SUMPRODUCT(--($W$2:$W$1001&lt;$W396))+1,"")</f>
        <v/>
      </c>
      <c r="V396">
        <f>IF($A396="","",IF(AND(ISNUMBER($R396),NOT(ISLOGICAL($R396)),N($R396)&gt;1),IF(ABS($R396/100-Settings!$C$6)&lt;=ABS($R396/100-Settings!$C$7),1,0),IF(OR($R396=TRUE(),$R396="TRUE"),1,0)))</f>
        <v/>
      </c>
      <c r="W396">
        <f>IF($T396=1,IFERROR(IF(VALUE($A396)&lt;100000000,VALUE($A396),1000000000),IFERROR(IF(VALUE(MID($A396,2,20))&lt;100000000,VALUE(MID($A396,2,20)),1000000000),1000000000))+ROW()/100000,"")</f>
        <v/>
      </c>
    </row>
    <row r="397">
      <c r="F397" s="7">
        <f>IF($A397="","",E397*K397/100)</f>
        <v/>
      </c>
      <c r="J397" s="7" t="n"/>
      <c r="K397" s="7" t="n"/>
      <c r="L397" s="7">
        <f>IF($A397="","",S397*K397)</f>
        <v/>
      </c>
      <c r="M397" s="7">
        <f>IF($A397="","",K397-L397)</f>
        <v/>
      </c>
      <c r="N397" s="7">
        <f>IF($A397="","",M397-F397)</f>
        <v/>
      </c>
      <c r="Q397" s="11" t="n"/>
      <c r="S397">
        <f>IF($A397="","",IF(AND(ISNUMBER($R397),NOT(ISLOGICAL($R397)),N($R397)&gt;1),$R397/100*1,IF($V397=1,Settings!$C$6,Settings!$C$7)*1))</f>
        <v/>
      </c>
      <c r="T397">
        <f>IF($A397="","",IF(COUNTIF($A$2:$A397,$A397)=1,1,0))</f>
        <v/>
      </c>
      <c r="U397">
        <f>IF($T397=1,SUMPRODUCT(--($W$2:$W$1001&lt;$W397))+1,"")</f>
        <v/>
      </c>
      <c r="V397">
        <f>IF($A397="","",IF(AND(ISNUMBER($R397),NOT(ISLOGICAL($R397)),N($R397)&gt;1),IF(ABS($R397/100-Settings!$C$6)&lt;=ABS($R397/100-Settings!$C$7),1,0),IF(OR($R397=TRUE(),$R397="TRUE"),1,0)))</f>
        <v/>
      </c>
      <c r="W397">
        <f>IF($T397=1,IFERROR(IF(VALUE($A397)&lt;100000000,VALUE($A397),1000000000),IFERROR(IF(VALUE(MID($A397,2,20))&lt;100000000,VALUE(MID($A397,2,20)),1000000000),1000000000))+ROW()/100000,"")</f>
        <v/>
      </c>
    </row>
    <row r="398">
      <c r="F398" s="7">
        <f>IF($A398="","",E398*K398/100)</f>
        <v/>
      </c>
      <c r="J398" s="7" t="n"/>
      <c r="K398" s="7" t="n"/>
      <c r="L398" s="7">
        <f>IF($A398="","",S398*K398)</f>
        <v/>
      </c>
      <c r="M398" s="7">
        <f>IF($A398="","",K398-L398)</f>
        <v/>
      </c>
      <c r="N398" s="7">
        <f>IF($A398="","",M398-F398)</f>
        <v/>
      </c>
      <c r="Q398" s="11" t="n"/>
      <c r="S398">
        <f>IF($A398="","",IF(AND(ISNUMBER($R398),NOT(ISLOGICAL($R398)),N($R398)&gt;1),$R398/100*1,IF($V398=1,Settings!$C$6,Settings!$C$7)*1))</f>
        <v/>
      </c>
      <c r="T398">
        <f>IF($A398="","",IF(COUNTIF($A$2:$A398,$A398)=1,1,0))</f>
        <v/>
      </c>
      <c r="U398">
        <f>IF($T398=1,SUMPRODUCT(--($W$2:$W$1001&lt;$W398))+1,"")</f>
        <v/>
      </c>
      <c r="V398">
        <f>IF($A398="","",IF(AND(ISNUMBER($R398),NOT(ISLOGICAL($R398)),N($R398)&gt;1),IF(ABS($R398/100-Settings!$C$6)&lt;=ABS($R398/100-Settings!$C$7),1,0),IF(OR($R398=TRUE(),$R398="TRUE"),1,0)))</f>
        <v/>
      </c>
      <c r="W398">
        <f>IF($T398=1,IFERROR(IF(VALUE($A398)&lt;100000000,VALUE($A398),1000000000),IFERROR(IF(VALUE(MID($A398,2,20))&lt;100000000,VALUE(MID($A398,2,20)),1000000000),1000000000))+ROW()/100000,"")</f>
        <v/>
      </c>
    </row>
    <row r="399">
      <c r="F399" s="7">
        <f>IF($A399="","",E399*K399/100)</f>
        <v/>
      </c>
      <c r="J399" s="7" t="n"/>
      <c r="K399" s="7" t="n"/>
      <c r="L399" s="7">
        <f>IF($A399="","",S399*K399)</f>
        <v/>
      </c>
      <c r="M399" s="7">
        <f>IF($A399="","",K399-L399)</f>
        <v/>
      </c>
      <c r="N399" s="7">
        <f>IF($A399="","",M399-F399)</f>
        <v/>
      </c>
      <c r="Q399" s="11" t="n"/>
      <c r="S399">
        <f>IF($A399="","",IF(AND(ISNUMBER($R399),NOT(ISLOGICAL($R399)),N($R399)&gt;1),$R399/100*1,IF($V399=1,Settings!$C$6,Settings!$C$7)*1))</f>
        <v/>
      </c>
      <c r="T399">
        <f>IF($A399="","",IF(COUNTIF($A$2:$A399,$A399)=1,1,0))</f>
        <v/>
      </c>
      <c r="U399">
        <f>IF($T399=1,SUMPRODUCT(--($W$2:$W$1001&lt;$W399))+1,"")</f>
        <v/>
      </c>
      <c r="V399">
        <f>IF($A399="","",IF(AND(ISNUMBER($R399),NOT(ISLOGICAL($R399)),N($R399)&gt;1),IF(ABS($R399/100-Settings!$C$6)&lt;=ABS($R399/100-Settings!$C$7),1,0),IF(OR($R399=TRUE(),$R399="TRUE"),1,0)))</f>
        <v/>
      </c>
      <c r="W399">
        <f>IF($T399=1,IFERROR(IF(VALUE($A399)&lt;100000000,VALUE($A399),1000000000),IFERROR(IF(VALUE(MID($A399,2,20))&lt;100000000,VALUE(MID($A399,2,20)),1000000000),1000000000))+ROW()/100000,"")</f>
        <v/>
      </c>
    </row>
    <row r="400">
      <c r="F400" s="7">
        <f>IF($A400="","",E400*K400/100)</f>
        <v/>
      </c>
      <c r="J400" s="7" t="n"/>
      <c r="K400" s="7" t="n"/>
      <c r="L400" s="7">
        <f>IF($A400="","",S400*K400)</f>
        <v/>
      </c>
      <c r="M400" s="7">
        <f>IF($A400="","",K400-L400)</f>
        <v/>
      </c>
      <c r="N400" s="7">
        <f>IF($A400="","",M400-F400)</f>
        <v/>
      </c>
      <c r="Q400" s="11" t="n"/>
      <c r="S400">
        <f>IF($A400="","",IF(AND(ISNUMBER($R400),NOT(ISLOGICAL($R400)),N($R400)&gt;1),$R400/100*1,IF($V400=1,Settings!$C$6,Settings!$C$7)*1))</f>
        <v/>
      </c>
      <c r="T400">
        <f>IF($A400="","",IF(COUNTIF($A$2:$A400,$A400)=1,1,0))</f>
        <v/>
      </c>
      <c r="U400">
        <f>IF($T400=1,SUMPRODUCT(--($W$2:$W$1001&lt;$W400))+1,"")</f>
        <v/>
      </c>
      <c r="V400">
        <f>IF($A400="","",IF(AND(ISNUMBER($R400),NOT(ISLOGICAL($R400)),N($R400)&gt;1),IF(ABS($R400/100-Settings!$C$6)&lt;=ABS($R400/100-Settings!$C$7),1,0),IF(OR($R400=TRUE(),$R400="TRUE"),1,0)))</f>
        <v/>
      </c>
      <c r="W400">
        <f>IF($T400=1,IFERROR(IF(VALUE($A400)&lt;100000000,VALUE($A400),1000000000),IFERROR(IF(VALUE(MID($A400,2,20))&lt;100000000,VALUE(MID($A400,2,20)),1000000000),1000000000))+ROW()/100000,"")</f>
        <v/>
      </c>
    </row>
    <row r="401">
      <c r="F401" s="7">
        <f>IF($A401="","",E401*K401/100)</f>
        <v/>
      </c>
      <c r="J401" s="7" t="n"/>
      <c r="K401" s="7" t="n"/>
      <c r="L401" s="7">
        <f>IF($A401="","",S401*K401)</f>
        <v/>
      </c>
      <c r="M401" s="7">
        <f>IF($A401="","",K401-L401)</f>
        <v/>
      </c>
      <c r="N401" s="7">
        <f>IF($A401="","",M401-F401)</f>
        <v/>
      </c>
      <c r="Q401" s="11" t="n"/>
      <c r="S401">
        <f>IF($A401="","",IF(AND(ISNUMBER($R401),NOT(ISLOGICAL($R401)),N($R401)&gt;1),$R401/100*1,IF($V401=1,Settings!$C$6,Settings!$C$7)*1))</f>
        <v/>
      </c>
      <c r="T401">
        <f>IF($A401="","",IF(COUNTIF($A$2:$A401,$A401)=1,1,0))</f>
        <v/>
      </c>
      <c r="U401">
        <f>IF($T401=1,SUMPRODUCT(--($W$2:$W$1001&lt;$W401))+1,"")</f>
        <v/>
      </c>
      <c r="V401">
        <f>IF($A401="","",IF(AND(ISNUMBER($R401),NOT(ISLOGICAL($R401)),N($R401)&gt;1),IF(ABS($R401/100-Settings!$C$6)&lt;=ABS($R401/100-Settings!$C$7),1,0),IF(OR($R401=TRUE(),$R401="TRUE"),1,0)))</f>
        <v/>
      </c>
      <c r="W401">
        <f>IF($T401=1,IFERROR(IF(VALUE($A401)&lt;100000000,VALUE($A401),1000000000),IFERROR(IF(VALUE(MID($A401,2,20))&lt;100000000,VALUE(MID($A401,2,20)),1000000000),1000000000))+ROW()/100000,"")</f>
        <v/>
      </c>
    </row>
    <row r="402">
      <c r="F402" s="7">
        <f>IF($A402="","",E402*K402/100)</f>
        <v/>
      </c>
      <c r="J402" s="7" t="n"/>
      <c r="K402" s="7" t="n"/>
      <c r="L402" s="7">
        <f>IF($A402="","",S402*K402)</f>
        <v/>
      </c>
      <c r="M402" s="7">
        <f>IF($A402="","",K402-L402)</f>
        <v/>
      </c>
      <c r="N402" s="7">
        <f>IF($A402="","",M402-F402)</f>
        <v/>
      </c>
      <c r="Q402" s="11" t="n"/>
      <c r="S402">
        <f>IF($A402="","",IF(AND(ISNUMBER($R402),NOT(ISLOGICAL($R402)),N($R402)&gt;1),$R402/100*1,IF($V402=1,Settings!$C$6,Settings!$C$7)*1))</f>
        <v/>
      </c>
      <c r="T402">
        <f>IF($A402="","",IF(COUNTIF($A$2:$A402,$A402)=1,1,0))</f>
        <v/>
      </c>
      <c r="U402">
        <f>IF($T402=1,SUMPRODUCT(--($W$2:$W$1001&lt;$W402))+1,"")</f>
        <v/>
      </c>
      <c r="V402">
        <f>IF($A402="","",IF(AND(ISNUMBER($R402),NOT(ISLOGICAL($R402)),N($R402)&gt;1),IF(ABS($R402/100-Settings!$C$6)&lt;=ABS($R402/100-Settings!$C$7),1,0),IF(OR($R402=TRUE(),$R402="TRUE"),1,0)))</f>
        <v/>
      </c>
      <c r="W402">
        <f>IF($T402=1,IFERROR(IF(VALUE($A402)&lt;100000000,VALUE($A402),1000000000),IFERROR(IF(VALUE(MID($A402,2,20))&lt;100000000,VALUE(MID($A402,2,20)),1000000000),1000000000))+ROW()/100000,"")</f>
        <v/>
      </c>
    </row>
    <row r="403">
      <c r="F403" s="7">
        <f>IF($A403="","",E403*K403/100)</f>
        <v/>
      </c>
      <c r="J403" s="7" t="n"/>
      <c r="K403" s="7" t="n"/>
      <c r="L403" s="7">
        <f>IF($A403="","",S403*K403)</f>
        <v/>
      </c>
      <c r="M403" s="7">
        <f>IF($A403="","",K403-L403)</f>
        <v/>
      </c>
      <c r="N403" s="7">
        <f>IF($A403="","",M403-F403)</f>
        <v/>
      </c>
      <c r="Q403" s="11" t="n"/>
      <c r="S403">
        <f>IF($A403="","",IF(AND(ISNUMBER($R403),NOT(ISLOGICAL($R403)),N($R403)&gt;1),$R403/100*1,IF($V403=1,Settings!$C$6,Settings!$C$7)*1))</f>
        <v/>
      </c>
      <c r="T403">
        <f>IF($A403="","",IF(COUNTIF($A$2:$A403,$A403)=1,1,0))</f>
        <v/>
      </c>
      <c r="U403">
        <f>IF($T403=1,SUMPRODUCT(--($W$2:$W$1001&lt;$W403))+1,"")</f>
        <v/>
      </c>
      <c r="V403">
        <f>IF($A403="","",IF(AND(ISNUMBER($R403),NOT(ISLOGICAL($R403)),N($R403)&gt;1),IF(ABS($R403/100-Settings!$C$6)&lt;=ABS($R403/100-Settings!$C$7),1,0),IF(OR($R403=TRUE(),$R403="TRUE"),1,0)))</f>
        <v/>
      </c>
      <c r="W403">
        <f>IF($T403=1,IFERROR(IF(VALUE($A403)&lt;100000000,VALUE($A403),1000000000),IFERROR(IF(VALUE(MID($A403,2,20))&lt;100000000,VALUE(MID($A403,2,20)),1000000000),1000000000))+ROW()/100000,"")</f>
        <v/>
      </c>
    </row>
    <row r="404">
      <c r="F404" s="7">
        <f>IF($A404="","",E404*K404/100)</f>
        <v/>
      </c>
      <c r="J404" s="7" t="n"/>
      <c r="K404" s="7" t="n"/>
      <c r="L404" s="7">
        <f>IF($A404="","",S404*K404)</f>
        <v/>
      </c>
      <c r="M404" s="7">
        <f>IF($A404="","",K404-L404)</f>
        <v/>
      </c>
      <c r="N404" s="7">
        <f>IF($A404="","",M404-F404)</f>
        <v/>
      </c>
      <c r="Q404" s="11" t="n"/>
      <c r="S404">
        <f>IF($A404="","",IF(AND(ISNUMBER($R404),NOT(ISLOGICAL($R404)),N($R404)&gt;1),$R404/100*1,IF($V404=1,Settings!$C$6,Settings!$C$7)*1))</f>
        <v/>
      </c>
      <c r="T404">
        <f>IF($A404="","",IF(COUNTIF($A$2:$A404,$A404)=1,1,0))</f>
        <v/>
      </c>
      <c r="U404">
        <f>IF($T404=1,SUMPRODUCT(--($W$2:$W$1001&lt;$W404))+1,"")</f>
        <v/>
      </c>
      <c r="V404">
        <f>IF($A404="","",IF(AND(ISNUMBER($R404),NOT(ISLOGICAL($R404)),N($R404)&gt;1),IF(ABS($R404/100-Settings!$C$6)&lt;=ABS($R404/100-Settings!$C$7),1,0),IF(OR($R404=TRUE(),$R404="TRUE"),1,0)))</f>
        <v/>
      </c>
      <c r="W404">
        <f>IF($T404=1,IFERROR(IF(VALUE($A404)&lt;100000000,VALUE($A404),1000000000),IFERROR(IF(VALUE(MID($A404,2,20))&lt;100000000,VALUE(MID($A404,2,20)),1000000000),1000000000))+ROW()/100000,"")</f>
        <v/>
      </c>
    </row>
    <row r="405">
      <c r="F405" s="7">
        <f>IF($A405="","",E405*K405/100)</f>
        <v/>
      </c>
      <c r="J405" s="7" t="n"/>
      <c r="K405" s="7" t="n"/>
      <c r="L405" s="7">
        <f>IF($A405="","",S405*K405)</f>
        <v/>
      </c>
      <c r="M405" s="7">
        <f>IF($A405="","",K405-L405)</f>
        <v/>
      </c>
      <c r="N405" s="7">
        <f>IF($A405="","",M405-F405)</f>
        <v/>
      </c>
      <c r="Q405" s="11" t="n"/>
      <c r="S405">
        <f>IF($A405="","",IF(AND(ISNUMBER($R405),NOT(ISLOGICAL($R405)),N($R405)&gt;1),$R405/100*1,IF($V405=1,Settings!$C$6,Settings!$C$7)*1))</f>
        <v/>
      </c>
      <c r="T405">
        <f>IF($A405="","",IF(COUNTIF($A$2:$A405,$A405)=1,1,0))</f>
        <v/>
      </c>
      <c r="U405">
        <f>IF($T405=1,SUMPRODUCT(--($W$2:$W$1001&lt;$W405))+1,"")</f>
        <v/>
      </c>
      <c r="V405">
        <f>IF($A405="","",IF(AND(ISNUMBER($R405),NOT(ISLOGICAL($R405)),N($R405)&gt;1),IF(ABS($R405/100-Settings!$C$6)&lt;=ABS($R405/100-Settings!$C$7),1,0),IF(OR($R405=TRUE(),$R405="TRUE"),1,0)))</f>
        <v/>
      </c>
      <c r="W405">
        <f>IF($T405=1,IFERROR(IF(VALUE($A405)&lt;100000000,VALUE($A405),1000000000),IFERROR(IF(VALUE(MID($A405,2,20))&lt;100000000,VALUE(MID($A405,2,20)),1000000000),1000000000))+ROW()/100000,"")</f>
        <v/>
      </c>
    </row>
    <row r="406">
      <c r="F406" s="7">
        <f>IF($A406="","",E406*K406/100)</f>
        <v/>
      </c>
      <c r="J406" s="7" t="n"/>
      <c r="K406" s="7" t="n"/>
      <c r="L406" s="7">
        <f>IF($A406="","",S406*K406)</f>
        <v/>
      </c>
      <c r="M406" s="7">
        <f>IF($A406="","",K406-L406)</f>
        <v/>
      </c>
      <c r="N406" s="7">
        <f>IF($A406="","",M406-F406)</f>
        <v/>
      </c>
      <c r="Q406" s="11" t="n"/>
      <c r="S406">
        <f>IF($A406="","",IF(AND(ISNUMBER($R406),NOT(ISLOGICAL($R406)),N($R406)&gt;1),$R406/100*1,IF($V406=1,Settings!$C$6,Settings!$C$7)*1))</f>
        <v/>
      </c>
      <c r="T406">
        <f>IF($A406="","",IF(COUNTIF($A$2:$A406,$A406)=1,1,0))</f>
        <v/>
      </c>
      <c r="U406">
        <f>IF($T406=1,SUMPRODUCT(--($W$2:$W$1001&lt;$W406))+1,"")</f>
        <v/>
      </c>
      <c r="V406">
        <f>IF($A406="","",IF(AND(ISNUMBER($R406),NOT(ISLOGICAL($R406)),N($R406)&gt;1),IF(ABS($R406/100-Settings!$C$6)&lt;=ABS($R406/100-Settings!$C$7),1,0),IF(OR($R406=TRUE(),$R406="TRUE"),1,0)))</f>
        <v/>
      </c>
      <c r="W406">
        <f>IF($T406=1,IFERROR(IF(VALUE($A406)&lt;100000000,VALUE($A406),1000000000),IFERROR(IF(VALUE(MID($A406,2,20))&lt;100000000,VALUE(MID($A406,2,20)),1000000000),1000000000))+ROW()/100000,"")</f>
        <v/>
      </c>
    </row>
    <row r="407">
      <c r="F407" s="7">
        <f>IF($A407="","",E407*K407/100)</f>
        <v/>
      </c>
      <c r="J407" s="7" t="n"/>
      <c r="K407" s="7" t="n"/>
      <c r="L407" s="7">
        <f>IF($A407="","",S407*K407)</f>
        <v/>
      </c>
      <c r="M407" s="7">
        <f>IF($A407="","",K407-L407)</f>
        <v/>
      </c>
      <c r="N407" s="7">
        <f>IF($A407="","",M407-F407)</f>
        <v/>
      </c>
      <c r="Q407" s="11" t="n"/>
      <c r="S407">
        <f>IF($A407="","",IF(AND(ISNUMBER($R407),NOT(ISLOGICAL($R407)),N($R407)&gt;1),$R407/100*1,IF($V407=1,Settings!$C$6,Settings!$C$7)*1))</f>
        <v/>
      </c>
      <c r="T407">
        <f>IF($A407="","",IF(COUNTIF($A$2:$A407,$A407)=1,1,0))</f>
        <v/>
      </c>
      <c r="U407">
        <f>IF($T407=1,SUMPRODUCT(--($W$2:$W$1001&lt;$W407))+1,"")</f>
        <v/>
      </c>
      <c r="V407">
        <f>IF($A407="","",IF(AND(ISNUMBER($R407),NOT(ISLOGICAL($R407)),N($R407)&gt;1),IF(ABS($R407/100-Settings!$C$6)&lt;=ABS($R407/100-Settings!$C$7),1,0),IF(OR($R407=TRUE(),$R407="TRUE"),1,0)))</f>
        <v/>
      </c>
      <c r="W407">
        <f>IF($T407=1,IFERROR(IF(VALUE($A407)&lt;100000000,VALUE($A407),1000000000),IFERROR(IF(VALUE(MID($A407,2,20))&lt;100000000,VALUE(MID($A407,2,20)),1000000000),1000000000))+ROW()/100000,"")</f>
        <v/>
      </c>
    </row>
    <row r="408">
      <c r="F408" s="7">
        <f>IF($A408="","",E408*K408/100)</f>
        <v/>
      </c>
      <c r="J408" s="7" t="n"/>
      <c r="K408" s="7" t="n"/>
      <c r="L408" s="7">
        <f>IF($A408="","",S408*K408)</f>
        <v/>
      </c>
      <c r="M408" s="7">
        <f>IF($A408="","",K408-L408)</f>
        <v/>
      </c>
      <c r="N408" s="7">
        <f>IF($A408="","",M408-F408)</f>
        <v/>
      </c>
      <c r="Q408" s="11" t="n"/>
      <c r="S408">
        <f>IF($A408="","",IF(AND(ISNUMBER($R408),NOT(ISLOGICAL($R408)),N($R408)&gt;1),$R408/100*1,IF($V408=1,Settings!$C$6,Settings!$C$7)*1))</f>
        <v/>
      </c>
      <c r="T408">
        <f>IF($A408="","",IF(COUNTIF($A$2:$A408,$A408)=1,1,0))</f>
        <v/>
      </c>
      <c r="U408">
        <f>IF($T408=1,SUMPRODUCT(--($W$2:$W$1001&lt;$W408))+1,"")</f>
        <v/>
      </c>
      <c r="V408">
        <f>IF($A408="","",IF(AND(ISNUMBER($R408),NOT(ISLOGICAL($R408)),N($R408)&gt;1),IF(ABS($R408/100-Settings!$C$6)&lt;=ABS($R408/100-Settings!$C$7),1,0),IF(OR($R408=TRUE(),$R408="TRUE"),1,0)))</f>
        <v/>
      </c>
      <c r="W408">
        <f>IF($T408=1,IFERROR(IF(VALUE($A408)&lt;100000000,VALUE($A408),1000000000),IFERROR(IF(VALUE(MID($A408,2,20))&lt;100000000,VALUE(MID($A408,2,20)),1000000000),1000000000))+ROW()/100000,"")</f>
        <v/>
      </c>
    </row>
    <row r="409">
      <c r="F409" s="7">
        <f>IF($A409="","",E409*K409/100)</f>
        <v/>
      </c>
      <c r="J409" s="7" t="n"/>
      <c r="K409" s="7" t="n"/>
      <c r="L409" s="7">
        <f>IF($A409="","",S409*K409)</f>
        <v/>
      </c>
      <c r="M409" s="7">
        <f>IF($A409="","",K409-L409)</f>
        <v/>
      </c>
      <c r="N409" s="7">
        <f>IF($A409="","",M409-F409)</f>
        <v/>
      </c>
      <c r="Q409" s="11" t="n"/>
      <c r="S409">
        <f>IF($A409="","",IF(AND(ISNUMBER($R409),NOT(ISLOGICAL($R409)),N($R409)&gt;1),$R409/100*1,IF($V409=1,Settings!$C$6,Settings!$C$7)*1))</f>
        <v/>
      </c>
      <c r="T409">
        <f>IF($A409="","",IF(COUNTIF($A$2:$A409,$A409)=1,1,0))</f>
        <v/>
      </c>
      <c r="U409">
        <f>IF($T409=1,SUMPRODUCT(--($W$2:$W$1001&lt;$W409))+1,"")</f>
        <v/>
      </c>
      <c r="V409">
        <f>IF($A409="","",IF(AND(ISNUMBER($R409),NOT(ISLOGICAL($R409)),N($R409)&gt;1),IF(ABS($R409/100-Settings!$C$6)&lt;=ABS($R409/100-Settings!$C$7),1,0),IF(OR($R409=TRUE(),$R409="TRUE"),1,0)))</f>
        <v/>
      </c>
      <c r="W409">
        <f>IF($T409=1,IFERROR(IF(VALUE($A409)&lt;100000000,VALUE($A409),1000000000),IFERROR(IF(VALUE(MID($A409,2,20))&lt;100000000,VALUE(MID($A409,2,20)),1000000000),1000000000))+ROW()/100000,"")</f>
        <v/>
      </c>
    </row>
    <row r="410">
      <c r="F410" s="7">
        <f>IF($A410="","",E410*K410/100)</f>
        <v/>
      </c>
      <c r="J410" s="7" t="n"/>
      <c r="K410" s="7" t="n"/>
      <c r="L410" s="7">
        <f>IF($A410="","",S410*K410)</f>
        <v/>
      </c>
      <c r="M410" s="7">
        <f>IF($A410="","",K410-L410)</f>
        <v/>
      </c>
      <c r="N410" s="7">
        <f>IF($A410="","",M410-F410)</f>
        <v/>
      </c>
      <c r="Q410" s="11" t="n"/>
      <c r="S410">
        <f>IF($A410="","",IF(AND(ISNUMBER($R410),NOT(ISLOGICAL($R410)),N($R410)&gt;1),$R410/100*1,IF($V410=1,Settings!$C$6,Settings!$C$7)*1))</f>
        <v/>
      </c>
      <c r="T410">
        <f>IF($A410="","",IF(COUNTIF($A$2:$A410,$A410)=1,1,0))</f>
        <v/>
      </c>
      <c r="U410">
        <f>IF($T410=1,SUMPRODUCT(--($W$2:$W$1001&lt;$W410))+1,"")</f>
        <v/>
      </c>
      <c r="V410">
        <f>IF($A410="","",IF(AND(ISNUMBER($R410),NOT(ISLOGICAL($R410)),N($R410)&gt;1),IF(ABS($R410/100-Settings!$C$6)&lt;=ABS($R410/100-Settings!$C$7),1,0),IF(OR($R410=TRUE(),$R410="TRUE"),1,0)))</f>
        <v/>
      </c>
      <c r="W410">
        <f>IF($T410=1,IFERROR(IF(VALUE($A410)&lt;100000000,VALUE($A410),1000000000),IFERROR(IF(VALUE(MID($A410,2,20))&lt;100000000,VALUE(MID($A410,2,20)),1000000000),1000000000))+ROW()/100000,"")</f>
        <v/>
      </c>
    </row>
    <row r="411">
      <c r="F411" s="7">
        <f>IF($A411="","",E411*K411/100)</f>
        <v/>
      </c>
      <c r="J411" s="7" t="n"/>
      <c r="K411" s="7" t="n"/>
      <c r="L411" s="7">
        <f>IF($A411="","",S411*K411)</f>
        <v/>
      </c>
      <c r="M411" s="7">
        <f>IF($A411="","",K411-L411)</f>
        <v/>
      </c>
      <c r="N411" s="7">
        <f>IF($A411="","",M411-F411)</f>
        <v/>
      </c>
      <c r="Q411" s="11" t="n"/>
      <c r="S411">
        <f>IF($A411="","",IF(AND(ISNUMBER($R411),NOT(ISLOGICAL($R411)),N($R411)&gt;1),$R411/100*1,IF($V411=1,Settings!$C$6,Settings!$C$7)*1))</f>
        <v/>
      </c>
      <c r="T411">
        <f>IF($A411="","",IF(COUNTIF($A$2:$A411,$A411)=1,1,0))</f>
        <v/>
      </c>
      <c r="U411">
        <f>IF($T411=1,SUMPRODUCT(--($W$2:$W$1001&lt;$W411))+1,"")</f>
        <v/>
      </c>
      <c r="V411">
        <f>IF($A411="","",IF(AND(ISNUMBER($R411),NOT(ISLOGICAL($R411)),N($R411)&gt;1),IF(ABS($R411/100-Settings!$C$6)&lt;=ABS($R411/100-Settings!$C$7),1,0),IF(OR($R411=TRUE(),$R411="TRUE"),1,0)))</f>
        <v/>
      </c>
      <c r="W411">
        <f>IF($T411=1,IFERROR(IF(VALUE($A411)&lt;100000000,VALUE($A411),1000000000),IFERROR(IF(VALUE(MID($A411,2,20))&lt;100000000,VALUE(MID($A411,2,20)),1000000000),1000000000))+ROW()/100000,"")</f>
        <v/>
      </c>
    </row>
    <row r="412">
      <c r="F412" s="7">
        <f>IF($A412="","",E412*K412/100)</f>
        <v/>
      </c>
      <c r="J412" s="7" t="n"/>
      <c r="K412" s="7" t="n"/>
      <c r="L412" s="7">
        <f>IF($A412="","",S412*K412)</f>
        <v/>
      </c>
      <c r="M412" s="7">
        <f>IF($A412="","",K412-L412)</f>
        <v/>
      </c>
      <c r="N412" s="7">
        <f>IF($A412="","",M412-F412)</f>
        <v/>
      </c>
      <c r="Q412" s="11" t="n"/>
      <c r="S412">
        <f>IF($A412="","",IF(AND(ISNUMBER($R412),NOT(ISLOGICAL($R412)),N($R412)&gt;1),$R412/100*1,IF($V412=1,Settings!$C$6,Settings!$C$7)*1))</f>
        <v/>
      </c>
      <c r="T412">
        <f>IF($A412="","",IF(COUNTIF($A$2:$A412,$A412)=1,1,0))</f>
        <v/>
      </c>
      <c r="U412">
        <f>IF($T412=1,SUMPRODUCT(--($W$2:$W$1001&lt;$W412))+1,"")</f>
        <v/>
      </c>
      <c r="V412">
        <f>IF($A412="","",IF(AND(ISNUMBER($R412),NOT(ISLOGICAL($R412)),N($R412)&gt;1),IF(ABS($R412/100-Settings!$C$6)&lt;=ABS($R412/100-Settings!$C$7),1,0),IF(OR($R412=TRUE(),$R412="TRUE"),1,0)))</f>
        <v/>
      </c>
      <c r="W412">
        <f>IF($T412=1,IFERROR(IF(VALUE($A412)&lt;100000000,VALUE($A412),1000000000),IFERROR(IF(VALUE(MID($A412,2,20))&lt;100000000,VALUE(MID($A412,2,20)),1000000000),1000000000))+ROW()/100000,"")</f>
        <v/>
      </c>
    </row>
    <row r="413">
      <c r="F413" s="7">
        <f>IF($A413="","",E413*K413/100)</f>
        <v/>
      </c>
      <c r="J413" s="7" t="n"/>
      <c r="K413" s="7" t="n"/>
      <c r="L413" s="7">
        <f>IF($A413="","",S413*K413)</f>
        <v/>
      </c>
      <c r="M413" s="7">
        <f>IF($A413="","",K413-L413)</f>
        <v/>
      </c>
      <c r="N413" s="7">
        <f>IF($A413="","",M413-F413)</f>
        <v/>
      </c>
      <c r="Q413" s="11" t="n"/>
      <c r="S413">
        <f>IF($A413="","",IF(AND(ISNUMBER($R413),NOT(ISLOGICAL($R413)),N($R413)&gt;1),$R413/100*1,IF($V413=1,Settings!$C$6,Settings!$C$7)*1))</f>
        <v/>
      </c>
      <c r="T413">
        <f>IF($A413="","",IF(COUNTIF($A$2:$A413,$A413)=1,1,0))</f>
        <v/>
      </c>
      <c r="U413">
        <f>IF($T413=1,SUMPRODUCT(--($W$2:$W$1001&lt;$W413))+1,"")</f>
        <v/>
      </c>
      <c r="V413">
        <f>IF($A413="","",IF(AND(ISNUMBER($R413),NOT(ISLOGICAL($R413)),N($R413)&gt;1),IF(ABS($R413/100-Settings!$C$6)&lt;=ABS($R413/100-Settings!$C$7),1,0),IF(OR($R413=TRUE(),$R413="TRUE"),1,0)))</f>
        <v/>
      </c>
      <c r="W413">
        <f>IF($T413=1,IFERROR(IF(VALUE($A413)&lt;100000000,VALUE($A413),1000000000),IFERROR(IF(VALUE(MID($A413,2,20))&lt;100000000,VALUE(MID($A413,2,20)),1000000000),1000000000))+ROW()/100000,"")</f>
        <v/>
      </c>
    </row>
    <row r="414">
      <c r="F414" s="7">
        <f>IF($A414="","",E414*K414/100)</f>
        <v/>
      </c>
      <c r="J414" s="7" t="n"/>
      <c r="K414" s="7" t="n"/>
      <c r="L414" s="7">
        <f>IF($A414="","",S414*K414)</f>
        <v/>
      </c>
      <c r="M414" s="7">
        <f>IF($A414="","",K414-L414)</f>
        <v/>
      </c>
      <c r="N414" s="7">
        <f>IF($A414="","",M414-F414)</f>
        <v/>
      </c>
      <c r="Q414" s="11" t="n"/>
      <c r="S414">
        <f>IF($A414="","",IF(AND(ISNUMBER($R414),NOT(ISLOGICAL($R414)),N($R414)&gt;1),$R414/100*1,IF($V414=1,Settings!$C$6,Settings!$C$7)*1))</f>
        <v/>
      </c>
      <c r="T414">
        <f>IF($A414="","",IF(COUNTIF($A$2:$A414,$A414)=1,1,0))</f>
        <v/>
      </c>
      <c r="U414">
        <f>IF($T414=1,SUMPRODUCT(--($W$2:$W$1001&lt;$W414))+1,"")</f>
        <v/>
      </c>
      <c r="V414">
        <f>IF($A414="","",IF(AND(ISNUMBER($R414),NOT(ISLOGICAL($R414)),N($R414)&gt;1),IF(ABS($R414/100-Settings!$C$6)&lt;=ABS($R414/100-Settings!$C$7),1,0),IF(OR($R414=TRUE(),$R414="TRUE"),1,0)))</f>
        <v/>
      </c>
      <c r="W414">
        <f>IF($T414=1,IFERROR(IF(VALUE($A414)&lt;100000000,VALUE($A414),1000000000),IFERROR(IF(VALUE(MID($A414,2,20))&lt;100000000,VALUE(MID($A414,2,20)),1000000000),1000000000))+ROW()/100000,"")</f>
        <v/>
      </c>
    </row>
    <row r="415">
      <c r="F415" s="7">
        <f>IF($A415="","",E415*K415/100)</f>
        <v/>
      </c>
      <c r="J415" s="7" t="n"/>
      <c r="K415" s="7" t="n"/>
      <c r="L415" s="7">
        <f>IF($A415="","",S415*K415)</f>
        <v/>
      </c>
      <c r="M415" s="7">
        <f>IF($A415="","",K415-L415)</f>
        <v/>
      </c>
      <c r="N415" s="7">
        <f>IF($A415="","",M415-F415)</f>
        <v/>
      </c>
      <c r="Q415" s="11" t="n"/>
      <c r="S415">
        <f>IF($A415="","",IF(AND(ISNUMBER($R415),NOT(ISLOGICAL($R415)),N($R415)&gt;1),$R415/100*1,IF($V415=1,Settings!$C$6,Settings!$C$7)*1))</f>
        <v/>
      </c>
      <c r="T415">
        <f>IF($A415="","",IF(COUNTIF($A$2:$A415,$A415)=1,1,0))</f>
        <v/>
      </c>
      <c r="U415">
        <f>IF($T415=1,SUMPRODUCT(--($W$2:$W$1001&lt;$W415))+1,"")</f>
        <v/>
      </c>
      <c r="V415">
        <f>IF($A415="","",IF(AND(ISNUMBER($R415),NOT(ISLOGICAL($R415)),N($R415)&gt;1),IF(ABS($R415/100-Settings!$C$6)&lt;=ABS($R415/100-Settings!$C$7),1,0),IF(OR($R415=TRUE(),$R415="TRUE"),1,0)))</f>
        <v/>
      </c>
      <c r="W415">
        <f>IF($T415=1,IFERROR(IF(VALUE($A415)&lt;100000000,VALUE($A415),1000000000),IFERROR(IF(VALUE(MID($A415,2,20))&lt;100000000,VALUE(MID($A415,2,20)),1000000000),1000000000))+ROW()/100000,"")</f>
        <v/>
      </c>
    </row>
    <row r="416">
      <c r="F416" s="7">
        <f>IF($A416="","",E416*K416/100)</f>
        <v/>
      </c>
      <c r="J416" s="7" t="n"/>
      <c r="K416" s="7" t="n"/>
      <c r="L416" s="7">
        <f>IF($A416="","",S416*K416)</f>
        <v/>
      </c>
      <c r="M416" s="7">
        <f>IF($A416="","",K416-L416)</f>
        <v/>
      </c>
      <c r="N416" s="7">
        <f>IF($A416="","",M416-F416)</f>
        <v/>
      </c>
      <c r="Q416" s="11" t="n"/>
      <c r="S416">
        <f>IF($A416="","",IF(AND(ISNUMBER($R416),NOT(ISLOGICAL($R416)),N($R416)&gt;1),$R416/100*1,IF($V416=1,Settings!$C$6,Settings!$C$7)*1))</f>
        <v/>
      </c>
      <c r="T416">
        <f>IF($A416="","",IF(COUNTIF($A$2:$A416,$A416)=1,1,0))</f>
        <v/>
      </c>
      <c r="U416">
        <f>IF($T416=1,SUMPRODUCT(--($W$2:$W$1001&lt;$W416))+1,"")</f>
        <v/>
      </c>
      <c r="V416">
        <f>IF($A416="","",IF(AND(ISNUMBER($R416),NOT(ISLOGICAL($R416)),N($R416)&gt;1),IF(ABS($R416/100-Settings!$C$6)&lt;=ABS($R416/100-Settings!$C$7),1,0),IF(OR($R416=TRUE(),$R416="TRUE"),1,0)))</f>
        <v/>
      </c>
      <c r="W416">
        <f>IF($T416=1,IFERROR(IF(VALUE($A416)&lt;100000000,VALUE($A416),1000000000),IFERROR(IF(VALUE(MID($A416,2,20))&lt;100000000,VALUE(MID($A416,2,20)),1000000000),1000000000))+ROW()/100000,"")</f>
        <v/>
      </c>
    </row>
    <row r="417">
      <c r="F417" s="7">
        <f>IF($A417="","",E417*K417/100)</f>
        <v/>
      </c>
      <c r="J417" s="7" t="n"/>
      <c r="K417" s="7" t="n"/>
      <c r="L417" s="7">
        <f>IF($A417="","",S417*K417)</f>
        <v/>
      </c>
      <c r="M417" s="7">
        <f>IF($A417="","",K417-L417)</f>
        <v/>
      </c>
      <c r="N417" s="7">
        <f>IF($A417="","",M417-F417)</f>
        <v/>
      </c>
      <c r="Q417" s="11" t="n"/>
      <c r="S417">
        <f>IF($A417="","",IF(AND(ISNUMBER($R417),NOT(ISLOGICAL($R417)),N($R417)&gt;1),$R417/100*1,IF($V417=1,Settings!$C$6,Settings!$C$7)*1))</f>
        <v/>
      </c>
      <c r="T417">
        <f>IF($A417="","",IF(COUNTIF($A$2:$A417,$A417)=1,1,0))</f>
        <v/>
      </c>
      <c r="U417">
        <f>IF($T417=1,SUMPRODUCT(--($W$2:$W$1001&lt;$W417))+1,"")</f>
        <v/>
      </c>
      <c r="V417">
        <f>IF($A417="","",IF(AND(ISNUMBER($R417),NOT(ISLOGICAL($R417)),N($R417)&gt;1),IF(ABS($R417/100-Settings!$C$6)&lt;=ABS($R417/100-Settings!$C$7),1,0),IF(OR($R417=TRUE(),$R417="TRUE"),1,0)))</f>
        <v/>
      </c>
      <c r="W417">
        <f>IF($T417=1,IFERROR(IF(VALUE($A417)&lt;100000000,VALUE($A417),1000000000),IFERROR(IF(VALUE(MID($A417,2,20))&lt;100000000,VALUE(MID($A417,2,20)),1000000000),1000000000))+ROW()/100000,"")</f>
        <v/>
      </c>
    </row>
    <row r="418">
      <c r="F418" s="7">
        <f>IF($A418="","",E418*K418/100)</f>
        <v/>
      </c>
      <c r="J418" s="7" t="n"/>
      <c r="K418" s="7" t="n"/>
      <c r="L418" s="7">
        <f>IF($A418="","",S418*K418)</f>
        <v/>
      </c>
      <c r="M418" s="7">
        <f>IF($A418="","",K418-L418)</f>
        <v/>
      </c>
      <c r="N418" s="7">
        <f>IF($A418="","",M418-F418)</f>
        <v/>
      </c>
      <c r="Q418" s="11" t="n"/>
      <c r="S418">
        <f>IF($A418="","",IF(AND(ISNUMBER($R418),NOT(ISLOGICAL($R418)),N($R418)&gt;1),$R418/100*1,IF($V418=1,Settings!$C$6,Settings!$C$7)*1))</f>
        <v/>
      </c>
      <c r="T418">
        <f>IF($A418="","",IF(COUNTIF($A$2:$A418,$A418)=1,1,0))</f>
        <v/>
      </c>
      <c r="U418">
        <f>IF($T418=1,SUMPRODUCT(--($W$2:$W$1001&lt;$W418))+1,"")</f>
        <v/>
      </c>
      <c r="V418">
        <f>IF($A418="","",IF(AND(ISNUMBER($R418),NOT(ISLOGICAL($R418)),N($R418)&gt;1),IF(ABS($R418/100-Settings!$C$6)&lt;=ABS($R418/100-Settings!$C$7),1,0),IF(OR($R418=TRUE(),$R418="TRUE"),1,0)))</f>
        <v/>
      </c>
      <c r="W418">
        <f>IF($T418=1,IFERROR(IF(VALUE($A418)&lt;100000000,VALUE($A418),1000000000),IFERROR(IF(VALUE(MID($A418,2,20))&lt;100000000,VALUE(MID($A418,2,20)),1000000000),1000000000))+ROW()/100000,"")</f>
        <v/>
      </c>
    </row>
    <row r="419">
      <c r="F419" s="7">
        <f>IF($A419="","",E419*K419/100)</f>
        <v/>
      </c>
      <c r="J419" s="7" t="n"/>
      <c r="K419" s="7" t="n"/>
      <c r="L419" s="7">
        <f>IF($A419="","",S419*K419)</f>
        <v/>
      </c>
      <c r="M419" s="7">
        <f>IF($A419="","",K419-L419)</f>
        <v/>
      </c>
      <c r="N419" s="7">
        <f>IF($A419="","",M419-F419)</f>
        <v/>
      </c>
      <c r="Q419" s="11" t="n"/>
      <c r="S419">
        <f>IF($A419="","",IF(AND(ISNUMBER($R419),NOT(ISLOGICAL($R419)),N($R419)&gt;1),$R419/100*1,IF($V419=1,Settings!$C$6,Settings!$C$7)*1))</f>
        <v/>
      </c>
      <c r="T419">
        <f>IF($A419="","",IF(COUNTIF($A$2:$A419,$A419)=1,1,0))</f>
        <v/>
      </c>
      <c r="U419">
        <f>IF($T419=1,SUMPRODUCT(--($W$2:$W$1001&lt;$W419))+1,"")</f>
        <v/>
      </c>
      <c r="V419">
        <f>IF($A419="","",IF(AND(ISNUMBER($R419),NOT(ISLOGICAL($R419)),N($R419)&gt;1),IF(ABS($R419/100-Settings!$C$6)&lt;=ABS($R419/100-Settings!$C$7),1,0),IF(OR($R419=TRUE(),$R419="TRUE"),1,0)))</f>
        <v/>
      </c>
      <c r="W419">
        <f>IF($T419=1,IFERROR(IF(VALUE($A419)&lt;100000000,VALUE($A419),1000000000),IFERROR(IF(VALUE(MID($A419,2,20))&lt;100000000,VALUE(MID($A419,2,20)),1000000000),1000000000))+ROW()/100000,"")</f>
        <v/>
      </c>
    </row>
    <row r="420">
      <c r="F420" s="7">
        <f>IF($A420="","",E420*K420/100)</f>
        <v/>
      </c>
      <c r="J420" s="7" t="n"/>
      <c r="K420" s="7" t="n"/>
      <c r="L420" s="7">
        <f>IF($A420="","",S420*K420)</f>
        <v/>
      </c>
      <c r="M420" s="7">
        <f>IF($A420="","",K420-L420)</f>
        <v/>
      </c>
      <c r="N420" s="7">
        <f>IF($A420="","",M420-F420)</f>
        <v/>
      </c>
      <c r="Q420" s="11" t="n"/>
      <c r="S420">
        <f>IF($A420="","",IF(AND(ISNUMBER($R420),NOT(ISLOGICAL($R420)),N($R420)&gt;1),$R420/100*1,IF($V420=1,Settings!$C$6,Settings!$C$7)*1))</f>
        <v/>
      </c>
      <c r="T420">
        <f>IF($A420="","",IF(COUNTIF($A$2:$A420,$A420)=1,1,0))</f>
        <v/>
      </c>
      <c r="U420">
        <f>IF($T420=1,SUMPRODUCT(--($W$2:$W$1001&lt;$W420))+1,"")</f>
        <v/>
      </c>
      <c r="V420">
        <f>IF($A420="","",IF(AND(ISNUMBER($R420),NOT(ISLOGICAL($R420)),N($R420)&gt;1),IF(ABS($R420/100-Settings!$C$6)&lt;=ABS($R420/100-Settings!$C$7),1,0),IF(OR($R420=TRUE(),$R420="TRUE"),1,0)))</f>
        <v/>
      </c>
      <c r="W420">
        <f>IF($T420=1,IFERROR(IF(VALUE($A420)&lt;100000000,VALUE($A420),1000000000),IFERROR(IF(VALUE(MID($A420,2,20))&lt;100000000,VALUE(MID($A420,2,20)),1000000000),1000000000))+ROW()/100000,"")</f>
        <v/>
      </c>
    </row>
    <row r="421">
      <c r="F421" s="7">
        <f>IF($A421="","",E421*K421/100)</f>
        <v/>
      </c>
      <c r="J421" s="7" t="n"/>
      <c r="K421" s="7" t="n"/>
      <c r="L421" s="7">
        <f>IF($A421="","",S421*K421)</f>
        <v/>
      </c>
      <c r="M421" s="7">
        <f>IF($A421="","",K421-L421)</f>
        <v/>
      </c>
      <c r="N421" s="7">
        <f>IF($A421="","",M421-F421)</f>
        <v/>
      </c>
      <c r="Q421" s="11" t="n"/>
      <c r="S421">
        <f>IF($A421="","",IF(AND(ISNUMBER($R421),NOT(ISLOGICAL($R421)),N($R421)&gt;1),$R421/100*1,IF($V421=1,Settings!$C$6,Settings!$C$7)*1))</f>
        <v/>
      </c>
      <c r="T421">
        <f>IF($A421="","",IF(COUNTIF($A$2:$A421,$A421)=1,1,0))</f>
        <v/>
      </c>
      <c r="U421">
        <f>IF($T421=1,SUMPRODUCT(--($W$2:$W$1001&lt;$W421))+1,"")</f>
        <v/>
      </c>
      <c r="V421">
        <f>IF($A421="","",IF(AND(ISNUMBER($R421),NOT(ISLOGICAL($R421)),N($R421)&gt;1),IF(ABS($R421/100-Settings!$C$6)&lt;=ABS($R421/100-Settings!$C$7),1,0),IF(OR($R421=TRUE(),$R421="TRUE"),1,0)))</f>
        <v/>
      </c>
      <c r="W421">
        <f>IF($T421=1,IFERROR(IF(VALUE($A421)&lt;100000000,VALUE($A421),1000000000),IFERROR(IF(VALUE(MID($A421,2,20))&lt;100000000,VALUE(MID($A421,2,20)),1000000000),1000000000))+ROW()/100000,"")</f>
        <v/>
      </c>
    </row>
    <row r="422">
      <c r="F422" s="7">
        <f>IF($A422="","",E422*K422/100)</f>
        <v/>
      </c>
      <c r="J422" s="7" t="n"/>
      <c r="K422" s="7" t="n"/>
      <c r="L422" s="7">
        <f>IF($A422="","",S422*K422)</f>
        <v/>
      </c>
      <c r="M422" s="7">
        <f>IF($A422="","",K422-L422)</f>
        <v/>
      </c>
      <c r="N422" s="7">
        <f>IF($A422="","",M422-F422)</f>
        <v/>
      </c>
      <c r="Q422" s="11" t="n"/>
      <c r="S422">
        <f>IF($A422="","",IF(AND(ISNUMBER($R422),NOT(ISLOGICAL($R422)),N($R422)&gt;1),$R422/100*1,IF($V422=1,Settings!$C$6,Settings!$C$7)*1))</f>
        <v/>
      </c>
      <c r="T422">
        <f>IF($A422="","",IF(COUNTIF($A$2:$A422,$A422)=1,1,0))</f>
        <v/>
      </c>
      <c r="U422">
        <f>IF($T422=1,SUMPRODUCT(--($W$2:$W$1001&lt;$W422))+1,"")</f>
        <v/>
      </c>
      <c r="V422">
        <f>IF($A422="","",IF(AND(ISNUMBER($R422),NOT(ISLOGICAL($R422)),N($R422)&gt;1),IF(ABS($R422/100-Settings!$C$6)&lt;=ABS($R422/100-Settings!$C$7),1,0),IF(OR($R422=TRUE(),$R422="TRUE"),1,0)))</f>
        <v/>
      </c>
      <c r="W422">
        <f>IF($T422=1,IFERROR(IF(VALUE($A422)&lt;100000000,VALUE($A422),1000000000),IFERROR(IF(VALUE(MID($A422,2,20))&lt;100000000,VALUE(MID($A422,2,20)),1000000000),1000000000))+ROW()/100000,"")</f>
        <v/>
      </c>
    </row>
    <row r="423">
      <c r="F423" s="7">
        <f>IF($A423="","",E423*K423/100)</f>
        <v/>
      </c>
      <c r="J423" s="7" t="n"/>
      <c r="K423" s="7" t="n"/>
      <c r="L423" s="7">
        <f>IF($A423="","",S423*K423)</f>
        <v/>
      </c>
      <c r="M423" s="7">
        <f>IF($A423="","",K423-L423)</f>
        <v/>
      </c>
      <c r="N423" s="7">
        <f>IF($A423="","",M423-F423)</f>
        <v/>
      </c>
      <c r="Q423" s="11" t="n"/>
      <c r="S423">
        <f>IF($A423="","",IF(AND(ISNUMBER($R423),NOT(ISLOGICAL($R423)),N($R423)&gt;1),$R423/100*1,IF($V423=1,Settings!$C$6,Settings!$C$7)*1))</f>
        <v/>
      </c>
      <c r="T423">
        <f>IF($A423="","",IF(COUNTIF($A$2:$A423,$A423)=1,1,0))</f>
        <v/>
      </c>
      <c r="U423">
        <f>IF($T423=1,SUMPRODUCT(--($W$2:$W$1001&lt;$W423))+1,"")</f>
        <v/>
      </c>
      <c r="V423">
        <f>IF($A423="","",IF(AND(ISNUMBER($R423),NOT(ISLOGICAL($R423)),N($R423)&gt;1),IF(ABS($R423/100-Settings!$C$6)&lt;=ABS($R423/100-Settings!$C$7),1,0),IF(OR($R423=TRUE(),$R423="TRUE"),1,0)))</f>
        <v/>
      </c>
      <c r="W423">
        <f>IF($T423=1,IFERROR(IF(VALUE($A423)&lt;100000000,VALUE($A423),1000000000),IFERROR(IF(VALUE(MID($A423,2,20))&lt;100000000,VALUE(MID($A423,2,20)),1000000000),1000000000))+ROW()/100000,"")</f>
        <v/>
      </c>
    </row>
    <row r="424">
      <c r="F424" s="7">
        <f>IF($A424="","",E424*K424/100)</f>
        <v/>
      </c>
      <c r="J424" s="7" t="n"/>
      <c r="K424" s="7" t="n"/>
      <c r="L424" s="7">
        <f>IF($A424="","",S424*K424)</f>
        <v/>
      </c>
      <c r="M424" s="7">
        <f>IF($A424="","",K424-L424)</f>
        <v/>
      </c>
      <c r="N424" s="7">
        <f>IF($A424="","",M424-F424)</f>
        <v/>
      </c>
      <c r="Q424" s="11" t="n"/>
      <c r="S424">
        <f>IF($A424="","",IF(AND(ISNUMBER($R424),NOT(ISLOGICAL($R424)),N($R424)&gt;1),$R424/100*1,IF($V424=1,Settings!$C$6,Settings!$C$7)*1))</f>
        <v/>
      </c>
      <c r="T424">
        <f>IF($A424="","",IF(COUNTIF($A$2:$A424,$A424)=1,1,0))</f>
        <v/>
      </c>
      <c r="U424">
        <f>IF($T424=1,SUMPRODUCT(--($W$2:$W$1001&lt;$W424))+1,"")</f>
        <v/>
      </c>
      <c r="V424">
        <f>IF($A424="","",IF(AND(ISNUMBER($R424),NOT(ISLOGICAL($R424)),N($R424)&gt;1),IF(ABS($R424/100-Settings!$C$6)&lt;=ABS($R424/100-Settings!$C$7),1,0),IF(OR($R424=TRUE(),$R424="TRUE"),1,0)))</f>
        <v/>
      </c>
      <c r="W424">
        <f>IF($T424=1,IFERROR(IF(VALUE($A424)&lt;100000000,VALUE($A424),1000000000),IFERROR(IF(VALUE(MID($A424,2,20))&lt;100000000,VALUE(MID($A424,2,20)),1000000000),1000000000))+ROW()/100000,"")</f>
        <v/>
      </c>
    </row>
    <row r="425">
      <c r="F425" s="7">
        <f>IF($A425="","",E425*K425/100)</f>
        <v/>
      </c>
      <c r="J425" s="7" t="n"/>
      <c r="K425" s="7" t="n"/>
      <c r="L425" s="7">
        <f>IF($A425="","",S425*K425)</f>
        <v/>
      </c>
      <c r="M425" s="7">
        <f>IF($A425="","",K425-L425)</f>
        <v/>
      </c>
      <c r="N425" s="7">
        <f>IF($A425="","",M425-F425)</f>
        <v/>
      </c>
      <c r="Q425" s="11" t="n"/>
      <c r="S425">
        <f>IF($A425="","",IF(AND(ISNUMBER($R425),NOT(ISLOGICAL($R425)),N($R425)&gt;1),$R425/100*1,IF($V425=1,Settings!$C$6,Settings!$C$7)*1))</f>
        <v/>
      </c>
      <c r="T425">
        <f>IF($A425="","",IF(COUNTIF($A$2:$A425,$A425)=1,1,0))</f>
        <v/>
      </c>
      <c r="U425">
        <f>IF($T425=1,SUMPRODUCT(--($W$2:$W$1001&lt;$W425))+1,"")</f>
        <v/>
      </c>
      <c r="V425">
        <f>IF($A425="","",IF(AND(ISNUMBER($R425),NOT(ISLOGICAL($R425)),N($R425)&gt;1),IF(ABS($R425/100-Settings!$C$6)&lt;=ABS($R425/100-Settings!$C$7),1,0),IF(OR($R425=TRUE(),$R425="TRUE"),1,0)))</f>
        <v/>
      </c>
      <c r="W425">
        <f>IF($T425=1,IFERROR(IF(VALUE($A425)&lt;100000000,VALUE($A425),1000000000),IFERROR(IF(VALUE(MID($A425,2,20))&lt;100000000,VALUE(MID($A425,2,20)),1000000000),1000000000))+ROW()/100000,"")</f>
        <v/>
      </c>
    </row>
    <row r="426">
      <c r="F426" s="7">
        <f>IF($A426="","",E426*K426/100)</f>
        <v/>
      </c>
      <c r="J426" s="7" t="n"/>
      <c r="K426" s="7" t="n"/>
      <c r="L426" s="7">
        <f>IF($A426="","",S426*K426)</f>
        <v/>
      </c>
      <c r="M426" s="7">
        <f>IF($A426="","",K426-L426)</f>
        <v/>
      </c>
      <c r="N426" s="7">
        <f>IF($A426="","",M426-F426)</f>
        <v/>
      </c>
      <c r="Q426" s="11" t="n"/>
      <c r="S426">
        <f>IF($A426="","",IF(AND(ISNUMBER($R426),NOT(ISLOGICAL($R426)),N($R426)&gt;1),$R426/100*1,IF($V426=1,Settings!$C$6,Settings!$C$7)*1))</f>
        <v/>
      </c>
      <c r="T426">
        <f>IF($A426="","",IF(COUNTIF($A$2:$A426,$A426)=1,1,0))</f>
        <v/>
      </c>
      <c r="U426">
        <f>IF($T426=1,SUMPRODUCT(--($W$2:$W$1001&lt;$W426))+1,"")</f>
        <v/>
      </c>
      <c r="V426">
        <f>IF($A426="","",IF(AND(ISNUMBER($R426),NOT(ISLOGICAL($R426)),N($R426)&gt;1),IF(ABS($R426/100-Settings!$C$6)&lt;=ABS($R426/100-Settings!$C$7),1,0),IF(OR($R426=TRUE(),$R426="TRUE"),1,0)))</f>
        <v/>
      </c>
      <c r="W426">
        <f>IF($T426=1,IFERROR(IF(VALUE($A426)&lt;100000000,VALUE($A426),1000000000),IFERROR(IF(VALUE(MID($A426,2,20))&lt;100000000,VALUE(MID($A426,2,20)),1000000000),1000000000))+ROW()/100000,"")</f>
        <v/>
      </c>
    </row>
    <row r="427">
      <c r="F427" s="7">
        <f>IF($A427="","",E427*K427/100)</f>
        <v/>
      </c>
      <c r="J427" s="7" t="n"/>
      <c r="K427" s="7" t="n"/>
      <c r="L427" s="7">
        <f>IF($A427="","",S427*K427)</f>
        <v/>
      </c>
      <c r="M427" s="7">
        <f>IF($A427="","",K427-L427)</f>
        <v/>
      </c>
      <c r="N427" s="7">
        <f>IF($A427="","",M427-F427)</f>
        <v/>
      </c>
      <c r="Q427" s="11" t="n"/>
      <c r="S427">
        <f>IF($A427="","",IF(AND(ISNUMBER($R427),NOT(ISLOGICAL($R427)),N($R427)&gt;1),$R427/100*1,IF($V427=1,Settings!$C$6,Settings!$C$7)*1))</f>
        <v/>
      </c>
      <c r="T427">
        <f>IF($A427="","",IF(COUNTIF($A$2:$A427,$A427)=1,1,0))</f>
        <v/>
      </c>
      <c r="U427">
        <f>IF($T427=1,SUMPRODUCT(--($W$2:$W$1001&lt;$W427))+1,"")</f>
        <v/>
      </c>
      <c r="V427">
        <f>IF($A427="","",IF(AND(ISNUMBER($R427),NOT(ISLOGICAL($R427)),N($R427)&gt;1),IF(ABS($R427/100-Settings!$C$6)&lt;=ABS($R427/100-Settings!$C$7),1,0),IF(OR($R427=TRUE(),$R427="TRUE"),1,0)))</f>
        <v/>
      </c>
      <c r="W427">
        <f>IF($T427=1,IFERROR(IF(VALUE($A427)&lt;100000000,VALUE($A427),1000000000),IFERROR(IF(VALUE(MID($A427,2,20))&lt;100000000,VALUE(MID($A427,2,20)),1000000000),1000000000))+ROW()/100000,"")</f>
        <v/>
      </c>
    </row>
    <row r="428">
      <c r="F428" s="7">
        <f>IF($A428="","",E428*K428/100)</f>
        <v/>
      </c>
      <c r="J428" s="7" t="n"/>
      <c r="K428" s="7" t="n"/>
      <c r="L428" s="7">
        <f>IF($A428="","",S428*K428)</f>
        <v/>
      </c>
      <c r="M428" s="7">
        <f>IF($A428="","",K428-L428)</f>
        <v/>
      </c>
      <c r="N428" s="7">
        <f>IF($A428="","",M428-F428)</f>
        <v/>
      </c>
      <c r="Q428" s="11" t="n"/>
      <c r="S428">
        <f>IF($A428="","",IF(AND(ISNUMBER($R428),NOT(ISLOGICAL($R428)),N($R428)&gt;1),$R428/100*1,IF($V428=1,Settings!$C$6,Settings!$C$7)*1))</f>
        <v/>
      </c>
      <c r="T428">
        <f>IF($A428="","",IF(COUNTIF($A$2:$A428,$A428)=1,1,0))</f>
        <v/>
      </c>
      <c r="U428">
        <f>IF($T428=1,SUMPRODUCT(--($W$2:$W$1001&lt;$W428))+1,"")</f>
        <v/>
      </c>
      <c r="V428">
        <f>IF($A428="","",IF(AND(ISNUMBER($R428),NOT(ISLOGICAL($R428)),N($R428)&gt;1),IF(ABS($R428/100-Settings!$C$6)&lt;=ABS($R428/100-Settings!$C$7),1,0),IF(OR($R428=TRUE(),$R428="TRUE"),1,0)))</f>
        <v/>
      </c>
      <c r="W428">
        <f>IF($T428=1,IFERROR(IF(VALUE($A428)&lt;100000000,VALUE($A428),1000000000),IFERROR(IF(VALUE(MID($A428,2,20))&lt;100000000,VALUE(MID($A428,2,20)),1000000000),1000000000))+ROW()/100000,"")</f>
        <v/>
      </c>
    </row>
    <row r="429">
      <c r="F429" s="7">
        <f>IF($A429="","",E429*K429/100)</f>
        <v/>
      </c>
      <c r="J429" s="7" t="n"/>
      <c r="K429" s="7" t="n"/>
      <c r="L429" s="7">
        <f>IF($A429="","",S429*K429)</f>
        <v/>
      </c>
      <c r="M429" s="7">
        <f>IF($A429="","",K429-L429)</f>
        <v/>
      </c>
      <c r="N429" s="7">
        <f>IF($A429="","",M429-F429)</f>
        <v/>
      </c>
      <c r="Q429" s="11" t="n"/>
      <c r="S429">
        <f>IF($A429="","",IF(AND(ISNUMBER($R429),NOT(ISLOGICAL($R429)),N($R429)&gt;1),$R429/100*1,IF($V429=1,Settings!$C$6,Settings!$C$7)*1))</f>
        <v/>
      </c>
      <c r="T429">
        <f>IF($A429="","",IF(COUNTIF($A$2:$A429,$A429)=1,1,0))</f>
        <v/>
      </c>
      <c r="U429">
        <f>IF($T429=1,SUMPRODUCT(--($W$2:$W$1001&lt;$W429))+1,"")</f>
        <v/>
      </c>
      <c r="V429">
        <f>IF($A429="","",IF(AND(ISNUMBER($R429),NOT(ISLOGICAL($R429)),N($R429)&gt;1),IF(ABS($R429/100-Settings!$C$6)&lt;=ABS($R429/100-Settings!$C$7),1,0),IF(OR($R429=TRUE(),$R429="TRUE"),1,0)))</f>
        <v/>
      </c>
      <c r="W429">
        <f>IF($T429=1,IFERROR(IF(VALUE($A429)&lt;100000000,VALUE($A429),1000000000),IFERROR(IF(VALUE(MID($A429,2,20))&lt;100000000,VALUE(MID($A429,2,20)),1000000000),1000000000))+ROW()/100000,"")</f>
        <v/>
      </c>
    </row>
    <row r="430">
      <c r="F430" s="7">
        <f>IF($A430="","",E430*K430/100)</f>
        <v/>
      </c>
      <c r="J430" s="7" t="n"/>
      <c r="K430" s="7" t="n"/>
      <c r="L430" s="7">
        <f>IF($A430="","",S430*K430)</f>
        <v/>
      </c>
      <c r="M430" s="7">
        <f>IF($A430="","",K430-L430)</f>
        <v/>
      </c>
      <c r="N430" s="7">
        <f>IF($A430="","",M430-F430)</f>
        <v/>
      </c>
      <c r="Q430" s="11" t="n"/>
      <c r="S430">
        <f>IF($A430="","",IF(AND(ISNUMBER($R430),NOT(ISLOGICAL($R430)),N($R430)&gt;1),$R430/100*1,IF($V430=1,Settings!$C$6,Settings!$C$7)*1))</f>
        <v/>
      </c>
      <c r="T430">
        <f>IF($A430="","",IF(COUNTIF($A$2:$A430,$A430)=1,1,0))</f>
        <v/>
      </c>
      <c r="U430">
        <f>IF($T430=1,SUMPRODUCT(--($W$2:$W$1001&lt;$W430))+1,"")</f>
        <v/>
      </c>
      <c r="V430">
        <f>IF($A430="","",IF(AND(ISNUMBER($R430),NOT(ISLOGICAL($R430)),N($R430)&gt;1),IF(ABS($R430/100-Settings!$C$6)&lt;=ABS($R430/100-Settings!$C$7),1,0),IF(OR($R430=TRUE(),$R430="TRUE"),1,0)))</f>
        <v/>
      </c>
      <c r="W430">
        <f>IF($T430=1,IFERROR(IF(VALUE($A430)&lt;100000000,VALUE($A430),1000000000),IFERROR(IF(VALUE(MID($A430,2,20))&lt;100000000,VALUE(MID($A430,2,20)),1000000000),1000000000))+ROW()/100000,"")</f>
        <v/>
      </c>
    </row>
    <row r="431">
      <c r="F431" s="7">
        <f>IF($A431="","",E431*K431/100)</f>
        <v/>
      </c>
      <c r="J431" s="7" t="n"/>
      <c r="K431" s="7" t="n"/>
      <c r="L431" s="7">
        <f>IF($A431="","",S431*K431)</f>
        <v/>
      </c>
      <c r="M431" s="7">
        <f>IF($A431="","",K431-L431)</f>
        <v/>
      </c>
      <c r="N431" s="7">
        <f>IF($A431="","",M431-F431)</f>
        <v/>
      </c>
      <c r="Q431" s="11" t="n"/>
      <c r="S431">
        <f>IF($A431="","",IF(AND(ISNUMBER($R431),NOT(ISLOGICAL($R431)),N($R431)&gt;1),$R431/100*1,IF($V431=1,Settings!$C$6,Settings!$C$7)*1))</f>
        <v/>
      </c>
      <c r="T431">
        <f>IF($A431="","",IF(COUNTIF($A$2:$A431,$A431)=1,1,0))</f>
        <v/>
      </c>
      <c r="U431">
        <f>IF($T431=1,SUMPRODUCT(--($W$2:$W$1001&lt;$W431))+1,"")</f>
        <v/>
      </c>
      <c r="V431">
        <f>IF($A431="","",IF(AND(ISNUMBER($R431),NOT(ISLOGICAL($R431)),N($R431)&gt;1),IF(ABS($R431/100-Settings!$C$6)&lt;=ABS($R431/100-Settings!$C$7),1,0),IF(OR($R431=TRUE(),$R431="TRUE"),1,0)))</f>
        <v/>
      </c>
      <c r="W431">
        <f>IF($T431=1,IFERROR(IF(VALUE($A431)&lt;100000000,VALUE($A431),1000000000),IFERROR(IF(VALUE(MID($A431,2,20))&lt;100000000,VALUE(MID($A431,2,20)),1000000000),1000000000))+ROW()/100000,"")</f>
        <v/>
      </c>
    </row>
    <row r="432">
      <c r="F432" s="7">
        <f>IF($A432="","",E432*K432/100)</f>
        <v/>
      </c>
      <c r="J432" s="7" t="n"/>
      <c r="K432" s="7" t="n"/>
      <c r="L432" s="7">
        <f>IF($A432="","",S432*K432)</f>
        <v/>
      </c>
      <c r="M432" s="7">
        <f>IF($A432="","",K432-L432)</f>
        <v/>
      </c>
      <c r="N432" s="7">
        <f>IF($A432="","",M432-F432)</f>
        <v/>
      </c>
      <c r="Q432" s="11" t="n"/>
      <c r="S432">
        <f>IF($A432="","",IF(AND(ISNUMBER($R432),NOT(ISLOGICAL($R432)),N($R432)&gt;1),$R432/100*1,IF($V432=1,Settings!$C$6,Settings!$C$7)*1))</f>
        <v/>
      </c>
      <c r="T432">
        <f>IF($A432="","",IF(COUNTIF($A$2:$A432,$A432)=1,1,0))</f>
        <v/>
      </c>
      <c r="U432">
        <f>IF($T432=1,SUMPRODUCT(--($W$2:$W$1001&lt;$W432))+1,"")</f>
        <v/>
      </c>
      <c r="V432">
        <f>IF($A432="","",IF(AND(ISNUMBER($R432),NOT(ISLOGICAL($R432)),N($R432)&gt;1),IF(ABS($R432/100-Settings!$C$6)&lt;=ABS($R432/100-Settings!$C$7),1,0),IF(OR($R432=TRUE(),$R432="TRUE"),1,0)))</f>
        <v/>
      </c>
      <c r="W432">
        <f>IF($T432=1,IFERROR(IF(VALUE($A432)&lt;100000000,VALUE($A432),1000000000),IFERROR(IF(VALUE(MID($A432,2,20))&lt;100000000,VALUE(MID($A432,2,20)),1000000000),1000000000))+ROW()/100000,"")</f>
        <v/>
      </c>
    </row>
    <row r="433">
      <c r="F433" s="7">
        <f>IF($A433="","",E433*K433/100)</f>
        <v/>
      </c>
      <c r="J433" s="7" t="n"/>
      <c r="K433" s="7" t="n"/>
      <c r="L433" s="7">
        <f>IF($A433="","",S433*K433)</f>
        <v/>
      </c>
      <c r="M433" s="7">
        <f>IF($A433="","",K433-L433)</f>
        <v/>
      </c>
      <c r="N433" s="7">
        <f>IF($A433="","",M433-F433)</f>
        <v/>
      </c>
      <c r="Q433" s="11" t="n"/>
      <c r="S433">
        <f>IF($A433="","",IF(AND(ISNUMBER($R433),NOT(ISLOGICAL($R433)),N($R433)&gt;1),$R433/100*1,IF($V433=1,Settings!$C$6,Settings!$C$7)*1))</f>
        <v/>
      </c>
      <c r="T433">
        <f>IF($A433="","",IF(COUNTIF($A$2:$A433,$A433)=1,1,0))</f>
        <v/>
      </c>
      <c r="U433">
        <f>IF($T433=1,SUMPRODUCT(--($W$2:$W$1001&lt;$W433))+1,"")</f>
        <v/>
      </c>
      <c r="V433">
        <f>IF($A433="","",IF(AND(ISNUMBER($R433),NOT(ISLOGICAL($R433)),N($R433)&gt;1),IF(ABS($R433/100-Settings!$C$6)&lt;=ABS($R433/100-Settings!$C$7),1,0),IF(OR($R433=TRUE(),$R433="TRUE"),1,0)))</f>
        <v/>
      </c>
      <c r="W433">
        <f>IF($T433=1,IFERROR(IF(VALUE($A433)&lt;100000000,VALUE($A433),1000000000),IFERROR(IF(VALUE(MID($A433,2,20))&lt;100000000,VALUE(MID($A433,2,20)),1000000000),1000000000))+ROW()/100000,"")</f>
        <v/>
      </c>
    </row>
    <row r="434">
      <c r="F434" s="7">
        <f>IF($A434="","",E434*K434/100)</f>
        <v/>
      </c>
      <c r="J434" s="7" t="n"/>
      <c r="K434" s="7" t="n"/>
      <c r="L434" s="7">
        <f>IF($A434="","",S434*K434)</f>
        <v/>
      </c>
      <c r="M434" s="7">
        <f>IF($A434="","",K434-L434)</f>
        <v/>
      </c>
      <c r="N434" s="7">
        <f>IF($A434="","",M434-F434)</f>
        <v/>
      </c>
      <c r="Q434" s="11" t="n"/>
      <c r="S434">
        <f>IF($A434="","",IF(AND(ISNUMBER($R434),NOT(ISLOGICAL($R434)),N($R434)&gt;1),$R434/100*1,IF($V434=1,Settings!$C$6,Settings!$C$7)*1))</f>
        <v/>
      </c>
      <c r="T434">
        <f>IF($A434="","",IF(COUNTIF($A$2:$A434,$A434)=1,1,0))</f>
        <v/>
      </c>
      <c r="U434">
        <f>IF($T434=1,SUMPRODUCT(--($W$2:$W$1001&lt;$W434))+1,"")</f>
        <v/>
      </c>
      <c r="V434">
        <f>IF($A434="","",IF(AND(ISNUMBER($R434),NOT(ISLOGICAL($R434)),N($R434)&gt;1),IF(ABS($R434/100-Settings!$C$6)&lt;=ABS($R434/100-Settings!$C$7),1,0),IF(OR($R434=TRUE(),$R434="TRUE"),1,0)))</f>
        <v/>
      </c>
      <c r="W434">
        <f>IF($T434=1,IFERROR(IF(VALUE($A434)&lt;100000000,VALUE($A434),1000000000),IFERROR(IF(VALUE(MID($A434,2,20))&lt;100000000,VALUE(MID($A434,2,20)),1000000000),1000000000))+ROW()/100000,"")</f>
        <v/>
      </c>
    </row>
    <row r="435">
      <c r="F435" s="7">
        <f>IF($A435="","",E435*K435/100)</f>
        <v/>
      </c>
      <c r="J435" s="7" t="n"/>
      <c r="K435" s="7" t="n"/>
      <c r="L435" s="7">
        <f>IF($A435="","",S435*K435)</f>
        <v/>
      </c>
      <c r="M435" s="7">
        <f>IF($A435="","",K435-L435)</f>
        <v/>
      </c>
      <c r="N435" s="7">
        <f>IF($A435="","",M435-F435)</f>
        <v/>
      </c>
      <c r="Q435" s="11" t="n"/>
      <c r="S435">
        <f>IF($A435="","",IF(AND(ISNUMBER($R435),NOT(ISLOGICAL($R435)),N($R435)&gt;1),$R435/100*1,IF($V435=1,Settings!$C$6,Settings!$C$7)*1))</f>
        <v/>
      </c>
      <c r="T435">
        <f>IF($A435="","",IF(COUNTIF($A$2:$A435,$A435)=1,1,0))</f>
        <v/>
      </c>
      <c r="U435">
        <f>IF($T435=1,SUMPRODUCT(--($W$2:$W$1001&lt;$W435))+1,"")</f>
        <v/>
      </c>
      <c r="V435">
        <f>IF($A435="","",IF(AND(ISNUMBER($R435),NOT(ISLOGICAL($R435)),N($R435)&gt;1),IF(ABS($R435/100-Settings!$C$6)&lt;=ABS($R435/100-Settings!$C$7),1,0),IF(OR($R435=TRUE(),$R435="TRUE"),1,0)))</f>
        <v/>
      </c>
      <c r="W435">
        <f>IF($T435=1,IFERROR(IF(VALUE($A435)&lt;100000000,VALUE($A435),1000000000),IFERROR(IF(VALUE(MID($A435,2,20))&lt;100000000,VALUE(MID($A435,2,20)),1000000000),1000000000))+ROW()/100000,"")</f>
        <v/>
      </c>
    </row>
    <row r="436">
      <c r="F436" s="7">
        <f>IF($A436="","",E436*K436/100)</f>
        <v/>
      </c>
      <c r="J436" s="7" t="n"/>
      <c r="K436" s="7" t="n"/>
      <c r="L436" s="7">
        <f>IF($A436="","",S436*K436)</f>
        <v/>
      </c>
      <c r="M436" s="7">
        <f>IF($A436="","",K436-L436)</f>
        <v/>
      </c>
      <c r="N436" s="7">
        <f>IF($A436="","",M436-F436)</f>
        <v/>
      </c>
      <c r="Q436" s="11" t="n"/>
      <c r="S436">
        <f>IF($A436="","",IF(AND(ISNUMBER($R436),NOT(ISLOGICAL($R436)),N($R436)&gt;1),$R436/100*1,IF($V436=1,Settings!$C$6,Settings!$C$7)*1))</f>
        <v/>
      </c>
      <c r="T436">
        <f>IF($A436="","",IF(COUNTIF($A$2:$A436,$A436)=1,1,0))</f>
        <v/>
      </c>
      <c r="U436">
        <f>IF($T436=1,SUMPRODUCT(--($W$2:$W$1001&lt;$W436))+1,"")</f>
        <v/>
      </c>
      <c r="V436">
        <f>IF($A436="","",IF(AND(ISNUMBER($R436),NOT(ISLOGICAL($R436)),N($R436)&gt;1),IF(ABS($R436/100-Settings!$C$6)&lt;=ABS($R436/100-Settings!$C$7),1,0),IF(OR($R436=TRUE(),$R436="TRUE"),1,0)))</f>
        <v/>
      </c>
      <c r="W436">
        <f>IF($T436=1,IFERROR(IF(VALUE($A436)&lt;100000000,VALUE($A436),1000000000),IFERROR(IF(VALUE(MID($A436,2,20))&lt;100000000,VALUE(MID($A436,2,20)),1000000000),1000000000))+ROW()/100000,"")</f>
        <v/>
      </c>
    </row>
    <row r="437">
      <c r="F437" s="7">
        <f>IF($A437="","",E437*K437/100)</f>
        <v/>
      </c>
      <c r="J437" s="7" t="n"/>
      <c r="K437" s="7" t="n"/>
      <c r="L437" s="7">
        <f>IF($A437="","",S437*K437)</f>
        <v/>
      </c>
      <c r="M437" s="7">
        <f>IF($A437="","",K437-L437)</f>
        <v/>
      </c>
      <c r="N437" s="7">
        <f>IF($A437="","",M437-F437)</f>
        <v/>
      </c>
      <c r="Q437" s="11" t="n"/>
      <c r="S437">
        <f>IF($A437="","",IF(AND(ISNUMBER($R437),NOT(ISLOGICAL($R437)),N($R437)&gt;1),$R437/100*1,IF($V437=1,Settings!$C$6,Settings!$C$7)*1))</f>
        <v/>
      </c>
      <c r="T437">
        <f>IF($A437="","",IF(COUNTIF($A$2:$A437,$A437)=1,1,0))</f>
        <v/>
      </c>
      <c r="U437">
        <f>IF($T437=1,SUMPRODUCT(--($W$2:$W$1001&lt;$W437))+1,"")</f>
        <v/>
      </c>
      <c r="V437">
        <f>IF($A437="","",IF(AND(ISNUMBER($R437),NOT(ISLOGICAL($R437)),N($R437)&gt;1),IF(ABS($R437/100-Settings!$C$6)&lt;=ABS($R437/100-Settings!$C$7),1,0),IF(OR($R437=TRUE(),$R437="TRUE"),1,0)))</f>
        <v/>
      </c>
      <c r="W437">
        <f>IF($T437=1,IFERROR(IF(VALUE($A437)&lt;100000000,VALUE($A437),1000000000),IFERROR(IF(VALUE(MID($A437,2,20))&lt;100000000,VALUE(MID($A437,2,20)),1000000000),1000000000))+ROW()/100000,"")</f>
        <v/>
      </c>
    </row>
    <row r="438">
      <c r="F438" s="7">
        <f>IF($A438="","",E438*K438/100)</f>
        <v/>
      </c>
      <c r="J438" s="7" t="n"/>
      <c r="K438" s="7" t="n"/>
      <c r="L438" s="7">
        <f>IF($A438="","",S438*K438)</f>
        <v/>
      </c>
      <c r="M438" s="7">
        <f>IF($A438="","",K438-L438)</f>
        <v/>
      </c>
      <c r="N438" s="7">
        <f>IF($A438="","",M438-F438)</f>
        <v/>
      </c>
      <c r="Q438" s="11" t="n"/>
      <c r="S438">
        <f>IF($A438="","",IF(AND(ISNUMBER($R438),NOT(ISLOGICAL($R438)),N($R438)&gt;1),$R438/100*1,IF($V438=1,Settings!$C$6,Settings!$C$7)*1))</f>
        <v/>
      </c>
      <c r="T438">
        <f>IF($A438="","",IF(COUNTIF($A$2:$A438,$A438)=1,1,0))</f>
        <v/>
      </c>
      <c r="U438">
        <f>IF($T438=1,SUMPRODUCT(--($W$2:$W$1001&lt;$W438))+1,"")</f>
        <v/>
      </c>
      <c r="V438">
        <f>IF($A438="","",IF(AND(ISNUMBER($R438),NOT(ISLOGICAL($R438)),N($R438)&gt;1),IF(ABS($R438/100-Settings!$C$6)&lt;=ABS($R438/100-Settings!$C$7),1,0),IF(OR($R438=TRUE(),$R438="TRUE"),1,0)))</f>
        <v/>
      </c>
      <c r="W438">
        <f>IF($T438=1,IFERROR(IF(VALUE($A438)&lt;100000000,VALUE($A438),1000000000),IFERROR(IF(VALUE(MID($A438,2,20))&lt;100000000,VALUE(MID($A438,2,20)),1000000000),1000000000))+ROW()/100000,"")</f>
        <v/>
      </c>
    </row>
    <row r="439">
      <c r="F439" s="7">
        <f>IF($A439="","",E439*K439/100)</f>
        <v/>
      </c>
      <c r="J439" s="7" t="n"/>
      <c r="K439" s="7" t="n"/>
      <c r="L439" s="7">
        <f>IF($A439="","",S439*K439)</f>
        <v/>
      </c>
      <c r="M439" s="7">
        <f>IF($A439="","",K439-L439)</f>
        <v/>
      </c>
      <c r="N439" s="7">
        <f>IF($A439="","",M439-F439)</f>
        <v/>
      </c>
      <c r="Q439" s="11" t="n"/>
      <c r="S439">
        <f>IF($A439="","",IF(AND(ISNUMBER($R439),NOT(ISLOGICAL($R439)),N($R439)&gt;1),$R439/100*1,IF($V439=1,Settings!$C$6,Settings!$C$7)*1))</f>
        <v/>
      </c>
      <c r="T439">
        <f>IF($A439="","",IF(COUNTIF($A$2:$A439,$A439)=1,1,0))</f>
        <v/>
      </c>
      <c r="U439">
        <f>IF($T439=1,SUMPRODUCT(--($W$2:$W$1001&lt;$W439))+1,"")</f>
        <v/>
      </c>
      <c r="V439">
        <f>IF($A439="","",IF(AND(ISNUMBER($R439),NOT(ISLOGICAL($R439)),N($R439)&gt;1),IF(ABS($R439/100-Settings!$C$6)&lt;=ABS($R439/100-Settings!$C$7),1,0),IF(OR($R439=TRUE(),$R439="TRUE"),1,0)))</f>
        <v/>
      </c>
      <c r="W439">
        <f>IF($T439=1,IFERROR(IF(VALUE($A439)&lt;100000000,VALUE($A439),1000000000),IFERROR(IF(VALUE(MID($A439,2,20))&lt;100000000,VALUE(MID($A439,2,20)),1000000000),1000000000))+ROW()/100000,"")</f>
        <v/>
      </c>
    </row>
    <row r="440">
      <c r="F440" s="7">
        <f>IF($A440="","",E440*K440/100)</f>
        <v/>
      </c>
      <c r="J440" s="7" t="n"/>
      <c r="K440" s="7" t="n"/>
      <c r="L440" s="7">
        <f>IF($A440="","",S440*K440)</f>
        <v/>
      </c>
      <c r="M440" s="7">
        <f>IF($A440="","",K440-L440)</f>
        <v/>
      </c>
      <c r="N440" s="7">
        <f>IF($A440="","",M440-F440)</f>
        <v/>
      </c>
      <c r="Q440" s="11" t="n"/>
      <c r="S440">
        <f>IF($A440="","",IF(AND(ISNUMBER($R440),NOT(ISLOGICAL($R440)),N($R440)&gt;1),$R440/100*1,IF($V440=1,Settings!$C$6,Settings!$C$7)*1))</f>
        <v/>
      </c>
      <c r="T440">
        <f>IF($A440="","",IF(COUNTIF($A$2:$A440,$A440)=1,1,0))</f>
        <v/>
      </c>
      <c r="U440">
        <f>IF($T440=1,SUMPRODUCT(--($W$2:$W$1001&lt;$W440))+1,"")</f>
        <v/>
      </c>
      <c r="V440">
        <f>IF($A440="","",IF(AND(ISNUMBER($R440),NOT(ISLOGICAL($R440)),N($R440)&gt;1),IF(ABS($R440/100-Settings!$C$6)&lt;=ABS($R440/100-Settings!$C$7),1,0),IF(OR($R440=TRUE(),$R440="TRUE"),1,0)))</f>
        <v/>
      </c>
      <c r="W440">
        <f>IF($T440=1,IFERROR(IF(VALUE($A440)&lt;100000000,VALUE($A440),1000000000),IFERROR(IF(VALUE(MID($A440,2,20))&lt;100000000,VALUE(MID($A440,2,20)),1000000000),1000000000))+ROW()/100000,"")</f>
        <v/>
      </c>
    </row>
    <row r="441">
      <c r="F441" s="7">
        <f>IF($A441="","",E441*K441/100)</f>
        <v/>
      </c>
      <c r="J441" s="7" t="n"/>
      <c r="K441" s="7" t="n"/>
      <c r="L441" s="7">
        <f>IF($A441="","",S441*K441)</f>
        <v/>
      </c>
      <c r="M441" s="7">
        <f>IF($A441="","",K441-L441)</f>
        <v/>
      </c>
      <c r="N441" s="7">
        <f>IF($A441="","",M441-F441)</f>
        <v/>
      </c>
      <c r="Q441" s="11" t="n"/>
      <c r="S441">
        <f>IF($A441="","",IF(AND(ISNUMBER($R441),NOT(ISLOGICAL($R441)),N($R441)&gt;1),$R441/100*1,IF($V441=1,Settings!$C$6,Settings!$C$7)*1))</f>
        <v/>
      </c>
      <c r="T441">
        <f>IF($A441="","",IF(COUNTIF($A$2:$A441,$A441)=1,1,0))</f>
        <v/>
      </c>
      <c r="U441">
        <f>IF($T441=1,SUMPRODUCT(--($W$2:$W$1001&lt;$W441))+1,"")</f>
        <v/>
      </c>
      <c r="V441">
        <f>IF($A441="","",IF(AND(ISNUMBER($R441),NOT(ISLOGICAL($R441)),N($R441)&gt;1),IF(ABS($R441/100-Settings!$C$6)&lt;=ABS($R441/100-Settings!$C$7),1,0),IF(OR($R441=TRUE(),$R441="TRUE"),1,0)))</f>
        <v/>
      </c>
      <c r="W441">
        <f>IF($T441=1,IFERROR(IF(VALUE($A441)&lt;100000000,VALUE($A441),1000000000),IFERROR(IF(VALUE(MID($A441,2,20))&lt;100000000,VALUE(MID($A441,2,20)),1000000000),1000000000))+ROW()/100000,"")</f>
        <v/>
      </c>
    </row>
    <row r="442">
      <c r="F442" s="7">
        <f>IF($A442="","",E442*K442/100)</f>
        <v/>
      </c>
      <c r="J442" s="7" t="n"/>
      <c r="K442" s="7" t="n"/>
      <c r="L442" s="7">
        <f>IF($A442="","",S442*K442)</f>
        <v/>
      </c>
      <c r="M442" s="7">
        <f>IF($A442="","",K442-L442)</f>
        <v/>
      </c>
      <c r="N442" s="7">
        <f>IF($A442="","",M442-F442)</f>
        <v/>
      </c>
      <c r="Q442" s="11" t="n"/>
      <c r="S442">
        <f>IF($A442="","",IF(AND(ISNUMBER($R442),NOT(ISLOGICAL($R442)),N($R442)&gt;1),$R442/100*1,IF($V442=1,Settings!$C$6,Settings!$C$7)*1))</f>
        <v/>
      </c>
      <c r="T442">
        <f>IF($A442="","",IF(COUNTIF($A$2:$A442,$A442)=1,1,0))</f>
        <v/>
      </c>
      <c r="U442">
        <f>IF($T442=1,SUMPRODUCT(--($W$2:$W$1001&lt;$W442))+1,"")</f>
        <v/>
      </c>
      <c r="V442">
        <f>IF($A442="","",IF(AND(ISNUMBER($R442),NOT(ISLOGICAL($R442)),N($R442)&gt;1),IF(ABS($R442/100-Settings!$C$6)&lt;=ABS($R442/100-Settings!$C$7),1,0),IF(OR($R442=TRUE(),$R442="TRUE"),1,0)))</f>
        <v/>
      </c>
      <c r="W442">
        <f>IF($T442=1,IFERROR(IF(VALUE($A442)&lt;100000000,VALUE($A442),1000000000),IFERROR(IF(VALUE(MID($A442,2,20))&lt;100000000,VALUE(MID($A442,2,20)),1000000000),1000000000))+ROW()/100000,"")</f>
        <v/>
      </c>
    </row>
    <row r="443">
      <c r="F443" s="7">
        <f>IF($A443="","",E443*K443/100)</f>
        <v/>
      </c>
      <c r="J443" s="7" t="n"/>
      <c r="K443" s="7" t="n"/>
      <c r="L443" s="7">
        <f>IF($A443="","",S443*K443)</f>
        <v/>
      </c>
      <c r="M443" s="7">
        <f>IF($A443="","",K443-L443)</f>
        <v/>
      </c>
      <c r="N443" s="7">
        <f>IF($A443="","",M443-F443)</f>
        <v/>
      </c>
      <c r="Q443" s="11" t="n"/>
      <c r="S443">
        <f>IF($A443="","",IF(AND(ISNUMBER($R443),NOT(ISLOGICAL($R443)),N($R443)&gt;1),$R443/100*1,IF($V443=1,Settings!$C$6,Settings!$C$7)*1))</f>
        <v/>
      </c>
      <c r="T443">
        <f>IF($A443="","",IF(COUNTIF($A$2:$A443,$A443)=1,1,0))</f>
        <v/>
      </c>
      <c r="U443">
        <f>IF($T443=1,SUMPRODUCT(--($W$2:$W$1001&lt;$W443))+1,"")</f>
        <v/>
      </c>
      <c r="V443">
        <f>IF($A443="","",IF(AND(ISNUMBER($R443),NOT(ISLOGICAL($R443)),N($R443)&gt;1),IF(ABS($R443/100-Settings!$C$6)&lt;=ABS($R443/100-Settings!$C$7),1,0),IF(OR($R443=TRUE(),$R443="TRUE"),1,0)))</f>
        <v/>
      </c>
      <c r="W443">
        <f>IF($T443=1,IFERROR(IF(VALUE($A443)&lt;100000000,VALUE($A443),1000000000),IFERROR(IF(VALUE(MID($A443,2,20))&lt;100000000,VALUE(MID($A443,2,20)),1000000000),1000000000))+ROW()/100000,"")</f>
        <v/>
      </c>
    </row>
    <row r="444">
      <c r="F444" s="7">
        <f>IF($A444="","",E444*K444/100)</f>
        <v/>
      </c>
      <c r="J444" s="7" t="n"/>
      <c r="K444" s="7" t="n"/>
      <c r="L444" s="7">
        <f>IF($A444="","",S444*K444)</f>
        <v/>
      </c>
      <c r="M444" s="7">
        <f>IF($A444="","",K444-L444)</f>
        <v/>
      </c>
      <c r="N444" s="7">
        <f>IF($A444="","",M444-F444)</f>
        <v/>
      </c>
      <c r="Q444" s="11" t="n"/>
      <c r="S444">
        <f>IF($A444="","",IF(AND(ISNUMBER($R444),NOT(ISLOGICAL($R444)),N($R444)&gt;1),$R444/100*1,IF($V444=1,Settings!$C$6,Settings!$C$7)*1))</f>
        <v/>
      </c>
      <c r="T444">
        <f>IF($A444="","",IF(COUNTIF($A$2:$A444,$A444)=1,1,0))</f>
        <v/>
      </c>
      <c r="U444">
        <f>IF($T444=1,SUMPRODUCT(--($W$2:$W$1001&lt;$W444))+1,"")</f>
        <v/>
      </c>
      <c r="V444">
        <f>IF($A444="","",IF(AND(ISNUMBER($R444),NOT(ISLOGICAL($R444)),N($R444)&gt;1),IF(ABS($R444/100-Settings!$C$6)&lt;=ABS($R444/100-Settings!$C$7),1,0),IF(OR($R444=TRUE(),$R444="TRUE"),1,0)))</f>
        <v/>
      </c>
      <c r="W444">
        <f>IF($T444=1,IFERROR(IF(VALUE($A444)&lt;100000000,VALUE($A444),1000000000),IFERROR(IF(VALUE(MID($A444,2,20))&lt;100000000,VALUE(MID($A444,2,20)),1000000000),1000000000))+ROW()/100000,"")</f>
        <v/>
      </c>
    </row>
    <row r="445">
      <c r="F445" s="7">
        <f>IF($A445="","",E445*K445/100)</f>
        <v/>
      </c>
      <c r="J445" s="7" t="n"/>
      <c r="K445" s="7" t="n"/>
      <c r="L445" s="7">
        <f>IF($A445="","",S445*K445)</f>
        <v/>
      </c>
      <c r="M445" s="7">
        <f>IF($A445="","",K445-L445)</f>
        <v/>
      </c>
      <c r="N445" s="7">
        <f>IF($A445="","",M445-F445)</f>
        <v/>
      </c>
      <c r="Q445" s="11" t="n"/>
      <c r="S445">
        <f>IF($A445="","",IF(AND(ISNUMBER($R445),NOT(ISLOGICAL($R445)),N($R445)&gt;1),$R445/100*1,IF($V445=1,Settings!$C$6,Settings!$C$7)*1))</f>
        <v/>
      </c>
      <c r="T445">
        <f>IF($A445="","",IF(COUNTIF($A$2:$A445,$A445)=1,1,0))</f>
        <v/>
      </c>
      <c r="U445">
        <f>IF($T445=1,SUMPRODUCT(--($W$2:$W$1001&lt;$W445))+1,"")</f>
        <v/>
      </c>
      <c r="V445">
        <f>IF($A445="","",IF(AND(ISNUMBER($R445),NOT(ISLOGICAL($R445)),N($R445)&gt;1),IF(ABS($R445/100-Settings!$C$6)&lt;=ABS($R445/100-Settings!$C$7),1,0),IF(OR($R445=TRUE(),$R445="TRUE"),1,0)))</f>
        <v/>
      </c>
      <c r="W445">
        <f>IF($T445=1,IFERROR(IF(VALUE($A445)&lt;100000000,VALUE($A445),1000000000),IFERROR(IF(VALUE(MID($A445,2,20))&lt;100000000,VALUE(MID($A445,2,20)),1000000000),1000000000))+ROW()/100000,"")</f>
        <v/>
      </c>
    </row>
    <row r="446">
      <c r="F446" s="7">
        <f>IF($A446="","",E446*K446/100)</f>
        <v/>
      </c>
      <c r="J446" s="7" t="n"/>
      <c r="K446" s="7" t="n"/>
      <c r="L446" s="7">
        <f>IF($A446="","",S446*K446)</f>
        <v/>
      </c>
      <c r="M446" s="7">
        <f>IF($A446="","",K446-L446)</f>
        <v/>
      </c>
      <c r="N446" s="7">
        <f>IF($A446="","",M446-F446)</f>
        <v/>
      </c>
      <c r="Q446" s="11" t="n"/>
      <c r="S446">
        <f>IF($A446="","",IF(AND(ISNUMBER($R446),NOT(ISLOGICAL($R446)),N($R446)&gt;1),$R446/100*1,IF($V446=1,Settings!$C$6,Settings!$C$7)*1))</f>
        <v/>
      </c>
      <c r="T446">
        <f>IF($A446="","",IF(COUNTIF($A$2:$A446,$A446)=1,1,0))</f>
        <v/>
      </c>
      <c r="U446">
        <f>IF($T446=1,SUMPRODUCT(--($W$2:$W$1001&lt;$W446))+1,"")</f>
        <v/>
      </c>
      <c r="V446">
        <f>IF($A446="","",IF(AND(ISNUMBER($R446),NOT(ISLOGICAL($R446)),N($R446)&gt;1),IF(ABS($R446/100-Settings!$C$6)&lt;=ABS($R446/100-Settings!$C$7),1,0),IF(OR($R446=TRUE(),$R446="TRUE"),1,0)))</f>
        <v/>
      </c>
      <c r="W446">
        <f>IF($T446=1,IFERROR(IF(VALUE($A446)&lt;100000000,VALUE($A446),1000000000),IFERROR(IF(VALUE(MID($A446,2,20))&lt;100000000,VALUE(MID($A446,2,20)),1000000000),1000000000))+ROW()/100000,"")</f>
        <v/>
      </c>
    </row>
    <row r="447">
      <c r="F447" s="7">
        <f>IF($A447="","",E447*K447/100)</f>
        <v/>
      </c>
      <c r="J447" s="7" t="n"/>
      <c r="K447" s="7" t="n"/>
      <c r="L447" s="7">
        <f>IF($A447="","",S447*K447)</f>
        <v/>
      </c>
      <c r="M447" s="7">
        <f>IF($A447="","",K447-L447)</f>
        <v/>
      </c>
      <c r="N447" s="7">
        <f>IF($A447="","",M447-F447)</f>
        <v/>
      </c>
      <c r="Q447" s="11" t="n"/>
      <c r="S447">
        <f>IF($A447="","",IF(AND(ISNUMBER($R447),NOT(ISLOGICAL($R447)),N($R447)&gt;1),$R447/100*1,IF($V447=1,Settings!$C$6,Settings!$C$7)*1))</f>
        <v/>
      </c>
      <c r="T447">
        <f>IF($A447="","",IF(COUNTIF($A$2:$A447,$A447)=1,1,0))</f>
        <v/>
      </c>
      <c r="U447">
        <f>IF($T447=1,SUMPRODUCT(--($W$2:$W$1001&lt;$W447))+1,"")</f>
        <v/>
      </c>
      <c r="V447">
        <f>IF($A447="","",IF(AND(ISNUMBER($R447),NOT(ISLOGICAL($R447)),N($R447)&gt;1),IF(ABS($R447/100-Settings!$C$6)&lt;=ABS($R447/100-Settings!$C$7),1,0),IF(OR($R447=TRUE(),$R447="TRUE"),1,0)))</f>
        <v/>
      </c>
      <c r="W447">
        <f>IF($T447=1,IFERROR(IF(VALUE($A447)&lt;100000000,VALUE($A447),1000000000),IFERROR(IF(VALUE(MID($A447,2,20))&lt;100000000,VALUE(MID($A447,2,20)),1000000000),1000000000))+ROW()/100000,"")</f>
        <v/>
      </c>
    </row>
    <row r="448">
      <c r="F448" s="7">
        <f>IF($A448="","",E448*K448/100)</f>
        <v/>
      </c>
      <c r="J448" s="7" t="n"/>
      <c r="K448" s="7" t="n"/>
      <c r="L448" s="7">
        <f>IF($A448="","",S448*K448)</f>
        <v/>
      </c>
      <c r="M448" s="7">
        <f>IF($A448="","",K448-L448)</f>
        <v/>
      </c>
      <c r="N448" s="7">
        <f>IF($A448="","",M448-F448)</f>
        <v/>
      </c>
      <c r="Q448" s="11" t="n"/>
      <c r="S448">
        <f>IF($A448="","",IF(AND(ISNUMBER($R448),NOT(ISLOGICAL($R448)),N($R448)&gt;1),$R448/100*1,IF($V448=1,Settings!$C$6,Settings!$C$7)*1))</f>
        <v/>
      </c>
      <c r="T448">
        <f>IF($A448="","",IF(COUNTIF($A$2:$A448,$A448)=1,1,0))</f>
        <v/>
      </c>
      <c r="U448">
        <f>IF($T448=1,SUMPRODUCT(--($W$2:$W$1001&lt;$W448))+1,"")</f>
        <v/>
      </c>
      <c r="V448">
        <f>IF($A448="","",IF(AND(ISNUMBER($R448),NOT(ISLOGICAL($R448)),N($R448)&gt;1),IF(ABS($R448/100-Settings!$C$6)&lt;=ABS($R448/100-Settings!$C$7),1,0),IF(OR($R448=TRUE(),$R448="TRUE"),1,0)))</f>
        <v/>
      </c>
      <c r="W448">
        <f>IF($T448=1,IFERROR(IF(VALUE($A448)&lt;100000000,VALUE($A448),1000000000),IFERROR(IF(VALUE(MID($A448,2,20))&lt;100000000,VALUE(MID($A448,2,20)),1000000000),1000000000))+ROW()/100000,"")</f>
        <v/>
      </c>
    </row>
    <row r="449">
      <c r="F449" s="7">
        <f>IF($A449="","",E449*K449/100)</f>
        <v/>
      </c>
      <c r="J449" s="7" t="n"/>
      <c r="K449" s="7" t="n"/>
      <c r="L449" s="7">
        <f>IF($A449="","",S449*K449)</f>
        <v/>
      </c>
      <c r="M449" s="7">
        <f>IF($A449="","",K449-L449)</f>
        <v/>
      </c>
      <c r="N449" s="7">
        <f>IF($A449="","",M449-F449)</f>
        <v/>
      </c>
      <c r="Q449" s="11" t="n"/>
      <c r="S449">
        <f>IF($A449="","",IF(AND(ISNUMBER($R449),NOT(ISLOGICAL($R449)),N($R449)&gt;1),$R449/100*1,IF($V449=1,Settings!$C$6,Settings!$C$7)*1))</f>
        <v/>
      </c>
      <c r="T449">
        <f>IF($A449="","",IF(COUNTIF($A$2:$A449,$A449)=1,1,0))</f>
        <v/>
      </c>
      <c r="U449">
        <f>IF($T449=1,SUMPRODUCT(--($W$2:$W$1001&lt;$W449))+1,"")</f>
        <v/>
      </c>
      <c r="V449">
        <f>IF($A449="","",IF(AND(ISNUMBER($R449),NOT(ISLOGICAL($R449)),N($R449)&gt;1),IF(ABS($R449/100-Settings!$C$6)&lt;=ABS($R449/100-Settings!$C$7),1,0),IF(OR($R449=TRUE(),$R449="TRUE"),1,0)))</f>
        <v/>
      </c>
      <c r="W449">
        <f>IF($T449=1,IFERROR(IF(VALUE($A449)&lt;100000000,VALUE($A449),1000000000),IFERROR(IF(VALUE(MID($A449,2,20))&lt;100000000,VALUE(MID($A449,2,20)),1000000000),1000000000))+ROW()/100000,"")</f>
        <v/>
      </c>
    </row>
    <row r="450">
      <c r="F450" s="7">
        <f>IF($A450="","",E450*K450/100)</f>
        <v/>
      </c>
      <c r="J450" s="7" t="n"/>
      <c r="K450" s="7" t="n"/>
      <c r="L450" s="7">
        <f>IF($A450="","",S450*K450)</f>
        <v/>
      </c>
      <c r="M450" s="7">
        <f>IF($A450="","",K450-L450)</f>
        <v/>
      </c>
      <c r="N450" s="7">
        <f>IF($A450="","",M450-F450)</f>
        <v/>
      </c>
      <c r="Q450" s="11" t="n"/>
      <c r="S450">
        <f>IF($A450="","",IF(AND(ISNUMBER($R450),NOT(ISLOGICAL($R450)),N($R450)&gt;1),$R450/100*1,IF($V450=1,Settings!$C$6,Settings!$C$7)*1))</f>
        <v/>
      </c>
      <c r="T450">
        <f>IF($A450="","",IF(COUNTIF($A$2:$A450,$A450)=1,1,0))</f>
        <v/>
      </c>
      <c r="U450">
        <f>IF($T450=1,SUMPRODUCT(--($W$2:$W$1001&lt;$W450))+1,"")</f>
        <v/>
      </c>
      <c r="V450">
        <f>IF($A450="","",IF(AND(ISNUMBER($R450),NOT(ISLOGICAL($R450)),N($R450)&gt;1),IF(ABS($R450/100-Settings!$C$6)&lt;=ABS($R450/100-Settings!$C$7),1,0),IF(OR($R450=TRUE(),$R450="TRUE"),1,0)))</f>
        <v/>
      </c>
      <c r="W450">
        <f>IF($T450=1,IFERROR(IF(VALUE($A450)&lt;100000000,VALUE($A450),1000000000),IFERROR(IF(VALUE(MID($A450,2,20))&lt;100000000,VALUE(MID($A450,2,20)),1000000000),1000000000))+ROW()/100000,"")</f>
        <v/>
      </c>
    </row>
    <row r="451">
      <c r="F451" s="7">
        <f>IF($A451="","",E451*K451/100)</f>
        <v/>
      </c>
      <c r="J451" s="7" t="n"/>
      <c r="K451" s="7" t="n"/>
      <c r="L451" s="7">
        <f>IF($A451="","",S451*K451)</f>
        <v/>
      </c>
      <c r="M451" s="7">
        <f>IF($A451="","",K451-L451)</f>
        <v/>
      </c>
      <c r="N451" s="7">
        <f>IF($A451="","",M451-F451)</f>
        <v/>
      </c>
      <c r="Q451" s="11" t="n"/>
      <c r="S451">
        <f>IF($A451="","",IF(AND(ISNUMBER($R451),NOT(ISLOGICAL($R451)),N($R451)&gt;1),$R451/100*1,IF($V451=1,Settings!$C$6,Settings!$C$7)*1))</f>
        <v/>
      </c>
      <c r="T451">
        <f>IF($A451="","",IF(COUNTIF($A$2:$A451,$A451)=1,1,0))</f>
        <v/>
      </c>
      <c r="U451">
        <f>IF($T451=1,SUMPRODUCT(--($W$2:$W$1001&lt;$W451))+1,"")</f>
        <v/>
      </c>
      <c r="V451">
        <f>IF($A451="","",IF(AND(ISNUMBER($R451),NOT(ISLOGICAL($R451)),N($R451)&gt;1),IF(ABS($R451/100-Settings!$C$6)&lt;=ABS($R451/100-Settings!$C$7),1,0),IF(OR($R451=TRUE(),$R451="TRUE"),1,0)))</f>
        <v/>
      </c>
      <c r="W451">
        <f>IF($T451=1,IFERROR(IF(VALUE($A451)&lt;100000000,VALUE($A451),1000000000),IFERROR(IF(VALUE(MID($A451,2,20))&lt;100000000,VALUE(MID($A451,2,20)),1000000000),1000000000))+ROW()/100000,"")</f>
        <v/>
      </c>
    </row>
    <row r="452">
      <c r="F452" s="7">
        <f>IF($A452="","",E452*K452/100)</f>
        <v/>
      </c>
      <c r="J452" s="7" t="n"/>
      <c r="K452" s="7" t="n"/>
      <c r="L452" s="7">
        <f>IF($A452="","",S452*K452)</f>
        <v/>
      </c>
      <c r="M452" s="7">
        <f>IF($A452="","",K452-L452)</f>
        <v/>
      </c>
      <c r="N452" s="7">
        <f>IF($A452="","",M452-F452)</f>
        <v/>
      </c>
      <c r="Q452" s="11" t="n"/>
      <c r="S452">
        <f>IF($A452="","",IF(AND(ISNUMBER($R452),NOT(ISLOGICAL($R452)),N($R452)&gt;1),$R452/100*1,IF($V452=1,Settings!$C$6,Settings!$C$7)*1))</f>
        <v/>
      </c>
      <c r="T452">
        <f>IF($A452="","",IF(COUNTIF($A$2:$A452,$A452)=1,1,0))</f>
        <v/>
      </c>
      <c r="U452">
        <f>IF($T452=1,SUMPRODUCT(--($W$2:$W$1001&lt;$W452))+1,"")</f>
        <v/>
      </c>
      <c r="V452">
        <f>IF($A452="","",IF(AND(ISNUMBER($R452),NOT(ISLOGICAL($R452)),N($R452)&gt;1),IF(ABS($R452/100-Settings!$C$6)&lt;=ABS($R452/100-Settings!$C$7),1,0),IF(OR($R452=TRUE(),$R452="TRUE"),1,0)))</f>
        <v/>
      </c>
      <c r="W452">
        <f>IF($T452=1,IFERROR(IF(VALUE($A452)&lt;100000000,VALUE($A452),1000000000),IFERROR(IF(VALUE(MID($A452,2,20))&lt;100000000,VALUE(MID($A452,2,20)),1000000000),1000000000))+ROW()/100000,"")</f>
        <v/>
      </c>
    </row>
    <row r="453">
      <c r="F453" s="7">
        <f>IF($A453="","",E453*K453/100)</f>
        <v/>
      </c>
      <c r="J453" s="7" t="n"/>
      <c r="K453" s="7" t="n"/>
      <c r="L453" s="7">
        <f>IF($A453="","",S453*K453)</f>
        <v/>
      </c>
      <c r="M453" s="7">
        <f>IF($A453="","",K453-L453)</f>
        <v/>
      </c>
      <c r="N453" s="7">
        <f>IF($A453="","",M453-F453)</f>
        <v/>
      </c>
      <c r="Q453" s="11" t="n"/>
      <c r="S453">
        <f>IF($A453="","",IF(AND(ISNUMBER($R453),NOT(ISLOGICAL($R453)),N($R453)&gt;1),$R453/100*1,IF($V453=1,Settings!$C$6,Settings!$C$7)*1))</f>
        <v/>
      </c>
      <c r="T453">
        <f>IF($A453="","",IF(COUNTIF($A$2:$A453,$A453)=1,1,0))</f>
        <v/>
      </c>
      <c r="U453">
        <f>IF($T453=1,SUMPRODUCT(--($W$2:$W$1001&lt;$W453))+1,"")</f>
        <v/>
      </c>
      <c r="V453">
        <f>IF($A453="","",IF(AND(ISNUMBER($R453),NOT(ISLOGICAL($R453)),N($R453)&gt;1),IF(ABS($R453/100-Settings!$C$6)&lt;=ABS($R453/100-Settings!$C$7),1,0),IF(OR($R453=TRUE(),$R453="TRUE"),1,0)))</f>
        <v/>
      </c>
      <c r="W453">
        <f>IF($T453=1,IFERROR(IF(VALUE($A453)&lt;100000000,VALUE($A453),1000000000),IFERROR(IF(VALUE(MID($A453,2,20))&lt;100000000,VALUE(MID($A453,2,20)),1000000000),1000000000))+ROW()/100000,"")</f>
        <v/>
      </c>
    </row>
    <row r="454">
      <c r="F454" s="7">
        <f>IF($A454="","",E454*K454/100)</f>
        <v/>
      </c>
      <c r="J454" s="7" t="n"/>
      <c r="K454" s="7" t="n"/>
      <c r="L454" s="7">
        <f>IF($A454="","",S454*K454)</f>
        <v/>
      </c>
      <c r="M454" s="7">
        <f>IF($A454="","",K454-L454)</f>
        <v/>
      </c>
      <c r="N454" s="7">
        <f>IF($A454="","",M454-F454)</f>
        <v/>
      </c>
      <c r="Q454" s="11" t="n"/>
      <c r="S454">
        <f>IF($A454="","",IF(AND(ISNUMBER($R454),NOT(ISLOGICAL($R454)),N($R454)&gt;1),$R454/100*1,IF($V454=1,Settings!$C$6,Settings!$C$7)*1))</f>
        <v/>
      </c>
      <c r="T454">
        <f>IF($A454="","",IF(COUNTIF($A$2:$A454,$A454)=1,1,0))</f>
        <v/>
      </c>
      <c r="U454">
        <f>IF($T454=1,SUMPRODUCT(--($W$2:$W$1001&lt;$W454))+1,"")</f>
        <v/>
      </c>
      <c r="V454">
        <f>IF($A454="","",IF(AND(ISNUMBER($R454),NOT(ISLOGICAL($R454)),N($R454)&gt;1),IF(ABS($R454/100-Settings!$C$6)&lt;=ABS($R454/100-Settings!$C$7),1,0),IF(OR($R454=TRUE(),$R454="TRUE"),1,0)))</f>
        <v/>
      </c>
      <c r="W454">
        <f>IF($T454=1,IFERROR(IF(VALUE($A454)&lt;100000000,VALUE($A454),1000000000),IFERROR(IF(VALUE(MID($A454,2,20))&lt;100000000,VALUE(MID($A454,2,20)),1000000000),1000000000))+ROW()/100000,"")</f>
        <v/>
      </c>
    </row>
    <row r="455">
      <c r="F455" s="7">
        <f>IF($A455="","",E455*K455/100)</f>
        <v/>
      </c>
      <c r="J455" s="7" t="n"/>
      <c r="K455" s="7" t="n"/>
      <c r="L455" s="7">
        <f>IF($A455="","",S455*K455)</f>
        <v/>
      </c>
      <c r="M455" s="7">
        <f>IF($A455="","",K455-L455)</f>
        <v/>
      </c>
      <c r="N455" s="7">
        <f>IF($A455="","",M455-F455)</f>
        <v/>
      </c>
      <c r="Q455" s="11" t="n"/>
      <c r="S455">
        <f>IF($A455="","",IF(AND(ISNUMBER($R455),NOT(ISLOGICAL($R455)),N($R455)&gt;1),$R455/100*1,IF($V455=1,Settings!$C$6,Settings!$C$7)*1))</f>
        <v/>
      </c>
      <c r="T455">
        <f>IF($A455="","",IF(COUNTIF($A$2:$A455,$A455)=1,1,0))</f>
        <v/>
      </c>
      <c r="U455">
        <f>IF($T455=1,SUMPRODUCT(--($W$2:$W$1001&lt;$W455))+1,"")</f>
        <v/>
      </c>
      <c r="V455">
        <f>IF($A455="","",IF(AND(ISNUMBER($R455),NOT(ISLOGICAL($R455)),N($R455)&gt;1),IF(ABS($R455/100-Settings!$C$6)&lt;=ABS($R455/100-Settings!$C$7),1,0),IF(OR($R455=TRUE(),$R455="TRUE"),1,0)))</f>
        <v/>
      </c>
      <c r="W455">
        <f>IF($T455=1,IFERROR(IF(VALUE($A455)&lt;100000000,VALUE($A455),1000000000),IFERROR(IF(VALUE(MID($A455,2,20))&lt;100000000,VALUE(MID($A455,2,20)),1000000000),1000000000))+ROW()/100000,"")</f>
        <v/>
      </c>
    </row>
    <row r="456">
      <c r="F456" s="7">
        <f>IF($A456="","",E456*K456/100)</f>
        <v/>
      </c>
      <c r="J456" s="7" t="n"/>
      <c r="K456" s="7" t="n"/>
      <c r="L456" s="7">
        <f>IF($A456="","",S456*K456)</f>
        <v/>
      </c>
      <c r="M456" s="7">
        <f>IF($A456="","",K456-L456)</f>
        <v/>
      </c>
      <c r="N456" s="7">
        <f>IF($A456="","",M456-F456)</f>
        <v/>
      </c>
      <c r="Q456" s="11" t="n"/>
      <c r="S456">
        <f>IF($A456="","",IF(AND(ISNUMBER($R456),NOT(ISLOGICAL($R456)),N($R456)&gt;1),$R456/100*1,IF($V456=1,Settings!$C$6,Settings!$C$7)*1))</f>
        <v/>
      </c>
      <c r="T456">
        <f>IF($A456="","",IF(COUNTIF($A$2:$A456,$A456)=1,1,0))</f>
        <v/>
      </c>
      <c r="U456">
        <f>IF($T456=1,SUMPRODUCT(--($W$2:$W$1001&lt;$W456))+1,"")</f>
        <v/>
      </c>
      <c r="V456">
        <f>IF($A456="","",IF(AND(ISNUMBER($R456),NOT(ISLOGICAL($R456)),N($R456)&gt;1),IF(ABS($R456/100-Settings!$C$6)&lt;=ABS($R456/100-Settings!$C$7),1,0),IF(OR($R456=TRUE(),$R456="TRUE"),1,0)))</f>
        <v/>
      </c>
      <c r="W456">
        <f>IF($T456=1,IFERROR(IF(VALUE($A456)&lt;100000000,VALUE($A456),1000000000),IFERROR(IF(VALUE(MID($A456,2,20))&lt;100000000,VALUE(MID($A456,2,20)),1000000000),1000000000))+ROW()/100000,"")</f>
        <v/>
      </c>
    </row>
    <row r="457">
      <c r="F457" s="7">
        <f>IF($A457="","",E457*K457/100)</f>
        <v/>
      </c>
      <c r="J457" s="7" t="n"/>
      <c r="K457" s="7" t="n"/>
      <c r="L457" s="7">
        <f>IF($A457="","",S457*K457)</f>
        <v/>
      </c>
      <c r="M457" s="7">
        <f>IF($A457="","",K457-L457)</f>
        <v/>
      </c>
      <c r="N457" s="7">
        <f>IF($A457="","",M457-F457)</f>
        <v/>
      </c>
      <c r="Q457" s="11" t="n"/>
      <c r="S457">
        <f>IF($A457="","",IF(AND(ISNUMBER($R457),NOT(ISLOGICAL($R457)),N($R457)&gt;1),$R457/100*1,IF($V457=1,Settings!$C$6,Settings!$C$7)*1))</f>
        <v/>
      </c>
      <c r="T457">
        <f>IF($A457="","",IF(COUNTIF($A$2:$A457,$A457)=1,1,0))</f>
        <v/>
      </c>
      <c r="U457">
        <f>IF($T457=1,SUMPRODUCT(--($W$2:$W$1001&lt;$W457))+1,"")</f>
        <v/>
      </c>
      <c r="V457">
        <f>IF($A457="","",IF(AND(ISNUMBER($R457),NOT(ISLOGICAL($R457)),N($R457)&gt;1),IF(ABS($R457/100-Settings!$C$6)&lt;=ABS($R457/100-Settings!$C$7),1,0),IF(OR($R457=TRUE(),$R457="TRUE"),1,0)))</f>
        <v/>
      </c>
      <c r="W457">
        <f>IF($T457=1,IFERROR(IF(VALUE($A457)&lt;100000000,VALUE($A457),1000000000),IFERROR(IF(VALUE(MID($A457,2,20))&lt;100000000,VALUE(MID($A457,2,20)),1000000000),1000000000))+ROW()/100000,"")</f>
        <v/>
      </c>
    </row>
    <row r="458">
      <c r="F458" s="7">
        <f>IF($A458="","",E458*K458/100)</f>
        <v/>
      </c>
      <c r="J458" s="7" t="n"/>
      <c r="K458" s="7" t="n"/>
      <c r="L458" s="7">
        <f>IF($A458="","",S458*K458)</f>
        <v/>
      </c>
      <c r="M458" s="7">
        <f>IF($A458="","",K458-L458)</f>
        <v/>
      </c>
      <c r="N458" s="7">
        <f>IF($A458="","",M458-F458)</f>
        <v/>
      </c>
      <c r="Q458" s="11" t="n"/>
      <c r="S458">
        <f>IF($A458="","",IF(AND(ISNUMBER($R458),NOT(ISLOGICAL($R458)),N($R458)&gt;1),$R458/100*1,IF($V458=1,Settings!$C$6,Settings!$C$7)*1))</f>
        <v/>
      </c>
      <c r="T458">
        <f>IF($A458="","",IF(COUNTIF($A$2:$A458,$A458)=1,1,0))</f>
        <v/>
      </c>
      <c r="U458">
        <f>IF($T458=1,SUMPRODUCT(--($W$2:$W$1001&lt;$W458))+1,"")</f>
        <v/>
      </c>
      <c r="V458">
        <f>IF($A458="","",IF(AND(ISNUMBER($R458),NOT(ISLOGICAL($R458)),N($R458)&gt;1),IF(ABS($R458/100-Settings!$C$6)&lt;=ABS($R458/100-Settings!$C$7),1,0),IF(OR($R458=TRUE(),$R458="TRUE"),1,0)))</f>
        <v/>
      </c>
      <c r="W458">
        <f>IF($T458=1,IFERROR(IF(VALUE($A458)&lt;100000000,VALUE($A458),1000000000),IFERROR(IF(VALUE(MID($A458,2,20))&lt;100000000,VALUE(MID($A458,2,20)),1000000000),1000000000))+ROW()/100000,"")</f>
        <v/>
      </c>
    </row>
    <row r="459">
      <c r="F459" s="7">
        <f>IF($A459="","",E459*K459/100)</f>
        <v/>
      </c>
      <c r="J459" s="7" t="n"/>
      <c r="K459" s="7" t="n"/>
      <c r="L459" s="7">
        <f>IF($A459="","",S459*K459)</f>
        <v/>
      </c>
      <c r="M459" s="7">
        <f>IF($A459="","",K459-L459)</f>
        <v/>
      </c>
      <c r="N459" s="7">
        <f>IF($A459="","",M459-F459)</f>
        <v/>
      </c>
      <c r="Q459" s="11" t="n"/>
      <c r="S459">
        <f>IF($A459="","",IF(AND(ISNUMBER($R459),NOT(ISLOGICAL($R459)),N($R459)&gt;1),$R459/100*1,IF($V459=1,Settings!$C$6,Settings!$C$7)*1))</f>
        <v/>
      </c>
      <c r="T459">
        <f>IF($A459="","",IF(COUNTIF($A$2:$A459,$A459)=1,1,0))</f>
        <v/>
      </c>
      <c r="U459">
        <f>IF($T459=1,SUMPRODUCT(--($W$2:$W$1001&lt;$W459))+1,"")</f>
        <v/>
      </c>
      <c r="V459">
        <f>IF($A459="","",IF(AND(ISNUMBER($R459),NOT(ISLOGICAL($R459)),N($R459)&gt;1),IF(ABS($R459/100-Settings!$C$6)&lt;=ABS($R459/100-Settings!$C$7),1,0),IF(OR($R459=TRUE(),$R459="TRUE"),1,0)))</f>
        <v/>
      </c>
      <c r="W459">
        <f>IF($T459=1,IFERROR(IF(VALUE($A459)&lt;100000000,VALUE($A459),1000000000),IFERROR(IF(VALUE(MID($A459,2,20))&lt;100000000,VALUE(MID($A459,2,20)),1000000000),1000000000))+ROW()/100000,"")</f>
        <v/>
      </c>
    </row>
    <row r="460">
      <c r="F460" s="7">
        <f>IF($A460="","",E460*K460/100)</f>
        <v/>
      </c>
      <c r="J460" s="7" t="n"/>
      <c r="K460" s="7" t="n"/>
      <c r="L460" s="7">
        <f>IF($A460="","",S460*K460)</f>
        <v/>
      </c>
      <c r="M460" s="7">
        <f>IF($A460="","",K460-L460)</f>
        <v/>
      </c>
      <c r="N460" s="7">
        <f>IF($A460="","",M460-F460)</f>
        <v/>
      </c>
      <c r="Q460" s="11" t="n"/>
      <c r="S460">
        <f>IF($A460="","",IF(AND(ISNUMBER($R460),NOT(ISLOGICAL($R460)),N($R460)&gt;1),$R460/100*1,IF($V460=1,Settings!$C$6,Settings!$C$7)*1))</f>
        <v/>
      </c>
      <c r="T460">
        <f>IF($A460="","",IF(COUNTIF($A$2:$A460,$A460)=1,1,0))</f>
        <v/>
      </c>
      <c r="U460">
        <f>IF($T460=1,SUMPRODUCT(--($W$2:$W$1001&lt;$W460))+1,"")</f>
        <v/>
      </c>
      <c r="V460">
        <f>IF($A460="","",IF(AND(ISNUMBER($R460),NOT(ISLOGICAL($R460)),N($R460)&gt;1),IF(ABS($R460/100-Settings!$C$6)&lt;=ABS($R460/100-Settings!$C$7),1,0),IF(OR($R460=TRUE(),$R460="TRUE"),1,0)))</f>
        <v/>
      </c>
      <c r="W460">
        <f>IF($T460=1,IFERROR(IF(VALUE($A460)&lt;100000000,VALUE($A460),1000000000),IFERROR(IF(VALUE(MID($A460,2,20))&lt;100000000,VALUE(MID($A460,2,20)),1000000000),1000000000))+ROW()/100000,"")</f>
        <v/>
      </c>
    </row>
    <row r="461">
      <c r="F461" s="7">
        <f>IF($A461="","",E461*K461/100)</f>
        <v/>
      </c>
      <c r="J461" s="7" t="n"/>
      <c r="K461" s="7" t="n"/>
      <c r="L461" s="7">
        <f>IF($A461="","",S461*K461)</f>
        <v/>
      </c>
      <c r="M461" s="7">
        <f>IF($A461="","",K461-L461)</f>
        <v/>
      </c>
      <c r="N461" s="7">
        <f>IF($A461="","",M461-F461)</f>
        <v/>
      </c>
      <c r="Q461" s="11" t="n"/>
      <c r="S461">
        <f>IF($A461="","",IF(AND(ISNUMBER($R461),NOT(ISLOGICAL($R461)),N($R461)&gt;1),$R461/100*1,IF($V461=1,Settings!$C$6,Settings!$C$7)*1))</f>
        <v/>
      </c>
      <c r="T461">
        <f>IF($A461="","",IF(COUNTIF($A$2:$A461,$A461)=1,1,0))</f>
        <v/>
      </c>
      <c r="U461">
        <f>IF($T461=1,SUMPRODUCT(--($W$2:$W$1001&lt;$W461))+1,"")</f>
        <v/>
      </c>
      <c r="V461">
        <f>IF($A461="","",IF(AND(ISNUMBER($R461),NOT(ISLOGICAL($R461)),N($R461)&gt;1),IF(ABS($R461/100-Settings!$C$6)&lt;=ABS($R461/100-Settings!$C$7),1,0),IF(OR($R461=TRUE(),$R461="TRUE"),1,0)))</f>
        <v/>
      </c>
      <c r="W461">
        <f>IF($T461=1,IFERROR(IF(VALUE($A461)&lt;100000000,VALUE($A461),1000000000),IFERROR(IF(VALUE(MID($A461,2,20))&lt;100000000,VALUE(MID($A461,2,20)),1000000000),1000000000))+ROW()/100000,"")</f>
        <v/>
      </c>
    </row>
    <row r="462">
      <c r="F462" s="7">
        <f>IF($A462="","",E462*K462/100)</f>
        <v/>
      </c>
      <c r="J462" s="7" t="n"/>
      <c r="K462" s="7" t="n"/>
      <c r="L462" s="7">
        <f>IF($A462="","",S462*K462)</f>
        <v/>
      </c>
      <c r="M462" s="7">
        <f>IF($A462="","",K462-L462)</f>
        <v/>
      </c>
      <c r="N462" s="7">
        <f>IF($A462="","",M462-F462)</f>
        <v/>
      </c>
      <c r="Q462" s="11" t="n"/>
      <c r="S462">
        <f>IF($A462="","",IF(AND(ISNUMBER($R462),NOT(ISLOGICAL($R462)),N($R462)&gt;1),$R462/100*1,IF($V462=1,Settings!$C$6,Settings!$C$7)*1))</f>
        <v/>
      </c>
      <c r="T462">
        <f>IF($A462="","",IF(COUNTIF($A$2:$A462,$A462)=1,1,0))</f>
        <v/>
      </c>
      <c r="U462">
        <f>IF($T462=1,SUMPRODUCT(--($W$2:$W$1001&lt;$W462))+1,"")</f>
        <v/>
      </c>
      <c r="V462">
        <f>IF($A462="","",IF(AND(ISNUMBER($R462),NOT(ISLOGICAL($R462)),N($R462)&gt;1),IF(ABS($R462/100-Settings!$C$6)&lt;=ABS($R462/100-Settings!$C$7),1,0),IF(OR($R462=TRUE(),$R462="TRUE"),1,0)))</f>
        <v/>
      </c>
      <c r="W462">
        <f>IF($T462=1,IFERROR(IF(VALUE($A462)&lt;100000000,VALUE($A462),1000000000),IFERROR(IF(VALUE(MID($A462,2,20))&lt;100000000,VALUE(MID($A462,2,20)),1000000000),1000000000))+ROW()/100000,"")</f>
        <v/>
      </c>
    </row>
    <row r="463">
      <c r="F463" s="7">
        <f>IF($A463="","",E463*K463/100)</f>
        <v/>
      </c>
      <c r="J463" s="7" t="n"/>
      <c r="K463" s="7" t="n"/>
      <c r="L463" s="7">
        <f>IF($A463="","",S463*K463)</f>
        <v/>
      </c>
      <c r="M463" s="7">
        <f>IF($A463="","",K463-L463)</f>
        <v/>
      </c>
      <c r="N463" s="7">
        <f>IF($A463="","",M463-F463)</f>
        <v/>
      </c>
      <c r="Q463" s="11" t="n"/>
      <c r="S463">
        <f>IF($A463="","",IF(AND(ISNUMBER($R463),NOT(ISLOGICAL($R463)),N($R463)&gt;1),$R463/100*1,IF($V463=1,Settings!$C$6,Settings!$C$7)*1))</f>
        <v/>
      </c>
      <c r="T463">
        <f>IF($A463="","",IF(COUNTIF($A$2:$A463,$A463)=1,1,0))</f>
        <v/>
      </c>
      <c r="U463">
        <f>IF($T463=1,SUMPRODUCT(--($W$2:$W$1001&lt;$W463))+1,"")</f>
        <v/>
      </c>
      <c r="V463">
        <f>IF($A463="","",IF(AND(ISNUMBER($R463),NOT(ISLOGICAL($R463)),N($R463)&gt;1),IF(ABS($R463/100-Settings!$C$6)&lt;=ABS($R463/100-Settings!$C$7),1,0),IF(OR($R463=TRUE(),$R463="TRUE"),1,0)))</f>
        <v/>
      </c>
      <c r="W463">
        <f>IF($T463=1,IFERROR(IF(VALUE($A463)&lt;100000000,VALUE($A463),1000000000),IFERROR(IF(VALUE(MID($A463,2,20))&lt;100000000,VALUE(MID($A463,2,20)),1000000000),1000000000))+ROW()/100000,"")</f>
        <v/>
      </c>
    </row>
    <row r="464">
      <c r="F464" s="7">
        <f>IF($A464="","",E464*K464/100)</f>
        <v/>
      </c>
      <c r="J464" s="7" t="n"/>
      <c r="K464" s="7" t="n"/>
      <c r="L464" s="7">
        <f>IF($A464="","",S464*K464)</f>
        <v/>
      </c>
      <c r="M464" s="7">
        <f>IF($A464="","",K464-L464)</f>
        <v/>
      </c>
      <c r="N464" s="7">
        <f>IF($A464="","",M464-F464)</f>
        <v/>
      </c>
      <c r="Q464" s="11" t="n"/>
      <c r="S464">
        <f>IF($A464="","",IF(AND(ISNUMBER($R464),NOT(ISLOGICAL($R464)),N($R464)&gt;1),$R464/100*1,IF($V464=1,Settings!$C$6,Settings!$C$7)*1))</f>
        <v/>
      </c>
      <c r="T464">
        <f>IF($A464="","",IF(COUNTIF($A$2:$A464,$A464)=1,1,0))</f>
        <v/>
      </c>
      <c r="U464">
        <f>IF($T464=1,SUMPRODUCT(--($W$2:$W$1001&lt;$W464))+1,"")</f>
        <v/>
      </c>
      <c r="V464">
        <f>IF($A464="","",IF(AND(ISNUMBER($R464),NOT(ISLOGICAL($R464)),N($R464)&gt;1),IF(ABS($R464/100-Settings!$C$6)&lt;=ABS($R464/100-Settings!$C$7),1,0),IF(OR($R464=TRUE(),$R464="TRUE"),1,0)))</f>
        <v/>
      </c>
      <c r="W464">
        <f>IF($T464=1,IFERROR(IF(VALUE($A464)&lt;100000000,VALUE($A464),1000000000),IFERROR(IF(VALUE(MID($A464,2,20))&lt;100000000,VALUE(MID($A464,2,20)),1000000000),1000000000))+ROW()/100000,"")</f>
        <v/>
      </c>
    </row>
    <row r="465">
      <c r="F465" s="7">
        <f>IF($A465="","",E465*K465/100)</f>
        <v/>
      </c>
      <c r="J465" s="7" t="n"/>
      <c r="K465" s="7" t="n"/>
      <c r="L465" s="7">
        <f>IF($A465="","",S465*K465)</f>
        <v/>
      </c>
      <c r="M465" s="7">
        <f>IF($A465="","",K465-L465)</f>
        <v/>
      </c>
      <c r="N465" s="7">
        <f>IF($A465="","",M465-F465)</f>
        <v/>
      </c>
      <c r="Q465" s="11" t="n"/>
      <c r="S465">
        <f>IF($A465="","",IF(AND(ISNUMBER($R465),NOT(ISLOGICAL($R465)),N($R465)&gt;1),$R465/100*1,IF($V465=1,Settings!$C$6,Settings!$C$7)*1))</f>
        <v/>
      </c>
      <c r="T465">
        <f>IF($A465="","",IF(COUNTIF($A$2:$A465,$A465)=1,1,0))</f>
        <v/>
      </c>
      <c r="U465">
        <f>IF($T465=1,SUMPRODUCT(--($W$2:$W$1001&lt;$W465))+1,"")</f>
        <v/>
      </c>
      <c r="V465">
        <f>IF($A465="","",IF(AND(ISNUMBER($R465),NOT(ISLOGICAL($R465)),N($R465)&gt;1),IF(ABS($R465/100-Settings!$C$6)&lt;=ABS($R465/100-Settings!$C$7),1,0),IF(OR($R465=TRUE(),$R465="TRUE"),1,0)))</f>
        <v/>
      </c>
      <c r="W465">
        <f>IF($T465=1,IFERROR(IF(VALUE($A465)&lt;100000000,VALUE($A465),1000000000),IFERROR(IF(VALUE(MID($A465,2,20))&lt;100000000,VALUE(MID($A465,2,20)),1000000000),1000000000))+ROW()/100000,"")</f>
        <v/>
      </c>
    </row>
    <row r="466">
      <c r="F466" s="7">
        <f>IF($A466="","",E466*K466/100)</f>
        <v/>
      </c>
      <c r="J466" s="7" t="n"/>
      <c r="K466" s="7" t="n"/>
      <c r="L466" s="7">
        <f>IF($A466="","",S466*K466)</f>
        <v/>
      </c>
      <c r="M466" s="7">
        <f>IF($A466="","",K466-L466)</f>
        <v/>
      </c>
      <c r="N466" s="7">
        <f>IF($A466="","",M466-F466)</f>
        <v/>
      </c>
      <c r="Q466" s="11" t="n"/>
      <c r="S466">
        <f>IF($A466="","",IF(AND(ISNUMBER($R466),NOT(ISLOGICAL($R466)),N($R466)&gt;1),$R466/100*1,IF($V466=1,Settings!$C$6,Settings!$C$7)*1))</f>
        <v/>
      </c>
      <c r="T466">
        <f>IF($A466="","",IF(COUNTIF($A$2:$A466,$A466)=1,1,0))</f>
        <v/>
      </c>
      <c r="U466">
        <f>IF($T466=1,SUMPRODUCT(--($W$2:$W$1001&lt;$W466))+1,"")</f>
        <v/>
      </c>
      <c r="V466">
        <f>IF($A466="","",IF(AND(ISNUMBER($R466),NOT(ISLOGICAL($R466)),N($R466)&gt;1),IF(ABS($R466/100-Settings!$C$6)&lt;=ABS($R466/100-Settings!$C$7),1,0),IF(OR($R466=TRUE(),$R466="TRUE"),1,0)))</f>
        <v/>
      </c>
      <c r="W466">
        <f>IF($T466=1,IFERROR(IF(VALUE($A466)&lt;100000000,VALUE($A466),1000000000),IFERROR(IF(VALUE(MID($A466,2,20))&lt;100000000,VALUE(MID($A466,2,20)),1000000000),1000000000))+ROW()/100000,"")</f>
        <v/>
      </c>
    </row>
    <row r="467">
      <c r="F467" s="7">
        <f>IF($A467="","",E467*K467/100)</f>
        <v/>
      </c>
      <c r="J467" s="7" t="n"/>
      <c r="K467" s="7" t="n"/>
      <c r="L467" s="7">
        <f>IF($A467="","",S467*K467)</f>
        <v/>
      </c>
      <c r="M467" s="7">
        <f>IF($A467="","",K467-L467)</f>
        <v/>
      </c>
      <c r="N467" s="7">
        <f>IF($A467="","",M467-F467)</f>
        <v/>
      </c>
      <c r="Q467" s="11" t="n"/>
      <c r="S467">
        <f>IF($A467="","",IF(AND(ISNUMBER($R467),NOT(ISLOGICAL($R467)),N($R467)&gt;1),$R467/100*1,IF($V467=1,Settings!$C$6,Settings!$C$7)*1))</f>
        <v/>
      </c>
      <c r="T467">
        <f>IF($A467="","",IF(COUNTIF($A$2:$A467,$A467)=1,1,0))</f>
        <v/>
      </c>
      <c r="U467">
        <f>IF($T467=1,SUMPRODUCT(--($W$2:$W$1001&lt;$W467))+1,"")</f>
        <v/>
      </c>
      <c r="V467">
        <f>IF($A467="","",IF(AND(ISNUMBER($R467),NOT(ISLOGICAL($R467)),N($R467)&gt;1),IF(ABS($R467/100-Settings!$C$6)&lt;=ABS($R467/100-Settings!$C$7),1,0),IF(OR($R467=TRUE(),$R467="TRUE"),1,0)))</f>
        <v/>
      </c>
      <c r="W467">
        <f>IF($T467=1,IFERROR(IF(VALUE($A467)&lt;100000000,VALUE($A467),1000000000),IFERROR(IF(VALUE(MID($A467,2,20))&lt;100000000,VALUE(MID($A467,2,20)),1000000000),1000000000))+ROW()/100000,"")</f>
        <v/>
      </c>
    </row>
    <row r="468">
      <c r="F468" s="7">
        <f>IF($A468="","",E468*K468/100)</f>
        <v/>
      </c>
      <c r="J468" s="7" t="n"/>
      <c r="K468" s="7" t="n"/>
      <c r="L468" s="7">
        <f>IF($A468="","",S468*K468)</f>
        <v/>
      </c>
      <c r="M468" s="7">
        <f>IF($A468="","",K468-L468)</f>
        <v/>
      </c>
      <c r="N468" s="7">
        <f>IF($A468="","",M468-F468)</f>
        <v/>
      </c>
      <c r="Q468" s="11" t="n"/>
      <c r="S468">
        <f>IF($A468="","",IF(AND(ISNUMBER($R468),NOT(ISLOGICAL($R468)),N($R468)&gt;1),$R468/100*1,IF($V468=1,Settings!$C$6,Settings!$C$7)*1))</f>
        <v/>
      </c>
      <c r="T468">
        <f>IF($A468="","",IF(COUNTIF($A$2:$A468,$A468)=1,1,0))</f>
        <v/>
      </c>
      <c r="U468">
        <f>IF($T468=1,SUMPRODUCT(--($W$2:$W$1001&lt;$W468))+1,"")</f>
        <v/>
      </c>
      <c r="V468">
        <f>IF($A468="","",IF(AND(ISNUMBER($R468),NOT(ISLOGICAL($R468)),N($R468)&gt;1),IF(ABS($R468/100-Settings!$C$6)&lt;=ABS($R468/100-Settings!$C$7),1,0),IF(OR($R468=TRUE(),$R468="TRUE"),1,0)))</f>
        <v/>
      </c>
      <c r="W468">
        <f>IF($T468=1,IFERROR(IF(VALUE($A468)&lt;100000000,VALUE($A468),1000000000),IFERROR(IF(VALUE(MID($A468,2,20))&lt;100000000,VALUE(MID($A468,2,20)),1000000000),1000000000))+ROW()/100000,"")</f>
        <v/>
      </c>
    </row>
    <row r="469">
      <c r="F469" s="7">
        <f>IF($A469="","",E469*K469/100)</f>
        <v/>
      </c>
      <c r="J469" s="7" t="n"/>
      <c r="K469" s="7" t="n"/>
      <c r="L469" s="7">
        <f>IF($A469="","",S469*K469)</f>
        <v/>
      </c>
      <c r="M469" s="7">
        <f>IF($A469="","",K469-L469)</f>
        <v/>
      </c>
      <c r="N469" s="7">
        <f>IF($A469="","",M469-F469)</f>
        <v/>
      </c>
      <c r="Q469" s="11" t="n"/>
      <c r="S469">
        <f>IF($A469="","",IF(AND(ISNUMBER($R469),NOT(ISLOGICAL($R469)),N($R469)&gt;1),$R469/100*1,IF($V469=1,Settings!$C$6,Settings!$C$7)*1))</f>
        <v/>
      </c>
      <c r="T469">
        <f>IF($A469="","",IF(COUNTIF($A$2:$A469,$A469)=1,1,0))</f>
        <v/>
      </c>
      <c r="U469">
        <f>IF($T469=1,SUMPRODUCT(--($W$2:$W$1001&lt;$W469))+1,"")</f>
        <v/>
      </c>
      <c r="V469">
        <f>IF($A469="","",IF(AND(ISNUMBER($R469),NOT(ISLOGICAL($R469)),N($R469)&gt;1),IF(ABS($R469/100-Settings!$C$6)&lt;=ABS($R469/100-Settings!$C$7),1,0),IF(OR($R469=TRUE(),$R469="TRUE"),1,0)))</f>
        <v/>
      </c>
      <c r="W469">
        <f>IF($T469=1,IFERROR(IF(VALUE($A469)&lt;100000000,VALUE($A469),1000000000),IFERROR(IF(VALUE(MID($A469,2,20))&lt;100000000,VALUE(MID($A469,2,20)),1000000000),1000000000))+ROW()/100000,"")</f>
        <v/>
      </c>
    </row>
    <row r="470">
      <c r="F470" s="7">
        <f>IF($A470="","",E470*K470/100)</f>
        <v/>
      </c>
      <c r="J470" s="7" t="n"/>
      <c r="K470" s="7" t="n"/>
      <c r="L470" s="7">
        <f>IF($A470="","",S470*K470)</f>
        <v/>
      </c>
      <c r="M470" s="7">
        <f>IF($A470="","",K470-L470)</f>
        <v/>
      </c>
      <c r="N470" s="7">
        <f>IF($A470="","",M470-F470)</f>
        <v/>
      </c>
      <c r="Q470" s="11" t="n"/>
      <c r="S470">
        <f>IF($A470="","",IF(AND(ISNUMBER($R470),NOT(ISLOGICAL($R470)),N($R470)&gt;1),$R470/100*1,IF($V470=1,Settings!$C$6,Settings!$C$7)*1))</f>
        <v/>
      </c>
      <c r="T470">
        <f>IF($A470="","",IF(COUNTIF($A$2:$A470,$A470)=1,1,0))</f>
        <v/>
      </c>
      <c r="U470">
        <f>IF($T470=1,SUMPRODUCT(--($W$2:$W$1001&lt;$W470))+1,"")</f>
        <v/>
      </c>
      <c r="V470">
        <f>IF($A470="","",IF(AND(ISNUMBER($R470),NOT(ISLOGICAL($R470)),N($R470)&gt;1),IF(ABS($R470/100-Settings!$C$6)&lt;=ABS($R470/100-Settings!$C$7),1,0),IF(OR($R470=TRUE(),$R470="TRUE"),1,0)))</f>
        <v/>
      </c>
      <c r="W470">
        <f>IF($T470=1,IFERROR(IF(VALUE($A470)&lt;100000000,VALUE($A470),1000000000),IFERROR(IF(VALUE(MID($A470,2,20))&lt;100000000,VALUE(MID($A470,2,20)),1000000000),1000000000))+ROW()/100000,"")</f>
        <v/>
      </c>
    </row>
    <row r="471">
      <c r="F471" s="7">
        <f>IF($A471="","",E471*K471/100)</f>
        <v/>
      </c>
      <c r="J471" s="7" t="n"/>
      <c r="K471" s="7" t="n"/>
      <c r="L471" s="7">
        <f>IF($A471="","",S471*K471)</f>
        <v/>
      </c>
      <c r="M471" s="7">
        <f>IF($A471="","",K471-L471)</f>
        <v/>
      </c>
      <c r="N471" s="7">
        <f>IF($A471="","",M471-F471)</f>
        <v/>
      </c>
      <c r="Q471" s="11" t="n"/>
      <c r="S471">
        <f>IF($A471="","",IF(AND(ISNUMBER($R471),NOT(ISLOGICAL($R471)),N($R471)&gt;1),$R471/100*1,IF($V471=1,Settings!$C$6,Settings!$C$7)*1))</f>
        <v/>
      </c>
      <c r="T471">
        <f>IF($A471="","",IF(COUNTIF($A$2:$A471,$A471)=1,1,0))</f>
        <v/>
      </c>
      <c r="U471">
        <f>IF($T471=1,SUMPRODUCT(--($W$2:$W$1001&lt;$W471))+1,"")</f>
        <v/>
      </c>
      <c r="V471">
        <f>IF($A471="","",IF(AND(ISNUMBER($R471),NOT(ISLOGICAL($R471)),N($R471)&gt;1),IF(ABS($R471/100-Settings!$C$6)&lt;=ABS($R471/100-Settings!$C$7),1,0),IF(OR($R471=TRUE(),$R471="TRUE"),1,0)))</f>
        <v/>
      </c>
      <c r="W471">
        <f>IF($T471=1,IFERROR(IF(VALUE($A471)&lt;100000000,VALUE($A471),1000000000),IFERROR(IF(VALUE(MID($A471,2,20))&lt;100000000,VALUE(MID($A471,2,20)),1000000000),1000000000))+ROW()/100000,"")</f>
        <v/>
      </c>
    </row>
    <row r="472">
      <c r="F472" s="7">
        <f>IF($A472="","",E472*K472/100)</f>
        <v/>
      </c>
      <c r="J472" s="7" t="n"/>
      <c r="K472" s="7" t="n"/>
      <c r="L472" s="7">
        <f>IF($A472="","",S472*K472)</f>
        <v/>
      </c>
      <c r="M472" s="7">
        <f>IF($A472="","",K472-L472)</f>
        <v/>
      </c>
      <c r="N472" s="7">
        <f>IF($A472="","",M472-F472)</f>
        <v/>
      </c>
      <c r="Q472" s="11" t="n"/>
      <c r="S472">
        <f>IF($A472="","",IF(AND(ISNUMBER($R472),NOT(ISLOGICAL($R472)),N($R472)&gt;1),$R472/100*1,IF($V472=1,Settings!$C$6,Settings!$C$7)*1))</f>
        <v/>
      </c>
      <c r="T472">
        <f>IF($A472="","",IF(COUNTIF($A$2:$A472,$A472)=1,1,0))</f>
        <v/>
      </c>
      <c r="U472">
        <f>IF($T472=1,SUMPRODUCT(--($W$2:$W$1001&lt;$W472))+1,"")</f>
        <v/>
      </c>
      <c r="V472">
        <f>IF($A472="","",IF(AND(ISNUMBER($R472),NOT(ISLOGICAL($R472)),N($R472)&gt;1),IF(ABS($R472/100-Settings!$C$6)&lt;=ABS($R472/100-Settings!$C$7),1,0),IF(OR($R472=TRUE(),$R472="TRUE"),1,0)))</f>
        <v/>
      </c>
      <c r="W472">
        <f>IF($T472=1,IFERROR(IF(VALUE($A472)&lt;100000000,VALUE($A472),1000000000),IFERROR(IF(VALUE(MID($A472,2,20))&lt;100000000,VALUE(MID($A472,2,20)),1000000000),1000000000))+ROW()/100000,"")</f>
        <v/>
      </c>
    </row>
    <row r="473">
      <c r="F473" s="7">
        <f>IF($A473="","",E473*K473/100)</f>
        <v/>
      </c>
      <c r="J473" s="7" t="n"/>
      <c r="K473" s="7" t="n"/>
      <c r="L473" s="7">
        <f>IF($A473="","",S473*K473)</f>
        <v/>
      </c>
      <c r="M473" s="7">
        <f>IF($A473="","",K473-L473)</f>
        <v/>
      </c>
      <c r="N473" s="7">
        <f>IF($A473="","",M473-F473)</f>
        <v/>
      </c>
      <c r="Q473" s="11" t="n"/>
      <c r="S473">
        <f>IF($A473="","",IF(AND(ISNUMBER($R473),NOT(ISLOGICAL($R473)),N($R473)&gt;1),$R473/100*1,IF($V473=1,Settings!$C$6,Settings!$C$7)*1))</f>
        <v/>
      </c>
      <c r="T473">
        <f>IF($A473="","",IF(COUNTIF($A$2:$A473,$A473)=1,1,0))</f>
        <v/>
      </c>
      <c r="U473">
        <f>IF($T473=1,SUMPRODUCT(--($W$2:$W$1001&lt;$W473))+1,"")</f>
        <v/>
      </c>
      <c r="V473">
        <f>IF($A473="","",IF(AND(ISNUMBER($R473),NOT(ISLOGICAL($R473)),N($R473)&gt;1),IF(ABS($R473/100-Settings!$C$6)&lt;=ABS($R473/100-Settings!$C$7),1,0),IF(OR($R473=TRUE(),$R473="TRUE"),1,0)))</f>
        <v/>
      </c>
      <c r="W473">
        <f>IF($T473=1,IFERROR(IF(VALUE($A473)&lt;100000000,VALUE($A473),1000000000),IFERROR(IF(VALUE(MID($A473,2,20))&lt;100000000,VALUE(MID($A473,2,20)),1000000000),1000000000))+ROW()/100000,"")</f>
        <v/>
      </c>
    </row>
    <row r="474">
      <c r="F474" s="7">
        <f>IF($A474="","",E474*K474/100)</f>
        <v/>
      </c>
      <c r="J474" s="7" t="n"/>
      <c r="K474" s="7" t="n"/>
      <c r="L474" s="7">
        <f>IF($A474="","",S474*K474)</f>
        <v/>
      </c>
      <c r="M474" s="7">
        <f>IF($A474="","",K474-L474)</f>
        <v/>
      </c>
      <c r="N474" s="7">
        <f>IF($A474="","",M474-F474)</f>
        <v/>
      </c>
      <c r="Q474" s="11" t="n"/>
      <c r="S474">
        <f>IF($A474="","",IF(AND(ISNUMBER($R474),NOT(ISLOGICAL($R474)),N($R474)&gt;1),$R474/100*1,IF($V474=1,Settings!$C$6,Settings!$C$7)*1))</f>
        <v/>
      </c>
      <c r="T474">
        <f>IF($A474="","",IF(COUNTIF($A$2:$A474,$A474)=1,1,0))</f>
        <v/>
      </c>
      <c r="U474">
        <f>IF($T474=1,SUMPRODUCT(--($W$2:$W$1001&lt;$W474))+1,"")</f>
        <v/>
      </c>
      <c r="V474">
        <f>IF($A474="","",IF(AND(ISNUMBER($R474),NOT(ISLOGICAL($R474)),N($R474)&gt;1),IF(ABS($R474/100-Settings!$C$6)&lt;=ABS($R474/100-Settings!$C$7),1,0),IF(OR($R474=TRUE(),$R474="TRUE"),1,0)))</f>
        <v/>
      </c>
      <c r="W474">
        <f>IF($T474=1,IFERROR(IF(VALUE($A474)&lt;100000000,VALUE($A474),1000000000),IFERROR(IF(VALUE(MID($A474,2,20))&lt;100000000,VALUE(MID($A474,2,20)),1000000000),1000000000))+ROW()/100000,"")</f>
        <v/>
      </c>
    </row>
    <row r="475">
      <c r="F475" s="7">
        <f>IF($A475="","",E475*K475/100)</f>
        <v/>
      </c>
      <c r="J475" s="7" t="n"/>
      <c r="K475" s="7" t="n"/>
      <c r="L475" s="7">
        <f>IF($A475="","",S475*K475)</f>
        <v/>
      </c>
      <c r="M475" s="7">
        <f>IF($A475="","",K475-L475)</f>
        <v/>
      </c>
      <c r="N475" s="7">
        <f>IF($A475="","",M475-F475)</f>
        <v/>
      </c>
      <c r="Q475" s="11" t="n"/>
      <c r="S475">
        <f>IF($A475="","",IF(AND(ISNUMBER($R475),NOT(ISLOGICAL($R475)),N($R475)&gt;1),$R475/100*1,IF($V475=1,Settings!$C$6,Settings!$C$7)*1))</f>
        <v/>
      </c>
      <c r="T475">
        <f>IF($A475="","",IF(COUNTIF($A$2:$A475,$A475)=1,1,0))</f>
        <v/>
      </c>
      <c r="U475">
        <f>IF($T475=1,SUMPRODUCT(--($W$2:$W$1001&lt;$W475))+1,"")</f>
        <v/>
      </c>
      <c r="V475">
        <f>IF($A475="","",IF(AND(ISNUMBER($R475),NOT(ISLOGICAL($R475)),N($R475)&gt;1),IF(ABS($R475/100-Settings!$C$6)&lt;=ABS($R475/100-Settings!$C$7),1,0),IF(OR($R475=TRUE(),$R475="TRUE"),1,0)))</f>
        <v/>
      </c>
      <c r="W475">
        <f>IF($T475=1,IFERROR(IF(VALUE($A475)&lt;100000000,VALUE($A475),1000000000),IFERROR(IF(VALUE(MID($A475,2,20))&lt;100000000,VALUE(MID($A475,2,20)),1000000000),1000000000))+ROW()/100000,"")</f>
        <v/>
      </c>
    </row>
    <row r="476">
      <c r="F476" s="7">
        <f>IF($A476="","",E476*K476/100)</f>
        <v/>
      </c>
      <c r="J476" s="7" t="n"/>
      <c r="K476" s="7" t="n"/>
      <c r="L476" s="7">
        <f>IF($A476="","",S476*K476)</f>
        <v/>
      </c>
      <c r="M476" s="7">
        <f>IF($A476="","",K476-L476)</f>
        <v/>
      </c>
      <c r="N476" s="7">
        <f>IF($A476="","",M476-F476)</f>
        <v/>
      </c>
      <c r="Q476" s="11" t="n"/>
      <c r="S476">
        <f>IF($A476="","",IF(AND(ISNUMBER($R476),NOT(ISLOGICAL($R476)),N($R476)&gt;1),$R476/100*1,IF($V476=1,Settings!$C$6,Settings!$C$7)*1))</f>
        <v/>
      </c>
      <c r="T476">
        <f>IF($A476="","",IF(COUNTIF($A$2:$A476,$A476)=1,1,0))</f>
        <v/>
      </c>
      <c r="U476">
        <f>IF($T476=1,SUMPRODUCT(--($W$2:$W$1001&lt;$W476))+1,"")</f>
        <v/>
      </c>
      <c r="V476">
        <f>IF($A476="","",IF(AND(ISNUMBER($R476),NOT(ISLOGICAL($R476)),N($R476)&gt;1),IF(ABS($R476/100-Settings!$C$6)&lt;=ABS($R476/100-Settings!$C$7),1,0),IF(OR($R476=TRUE(),$R476="TRUE"),1,0)))</f>
        <v/>
      </c>
      <c r="W476">
        <f>IF($T476=1,IFERROR(IF(VALUE($A476)&lt;100000000,VALUE($A476),1000000000),IFERROR(IF(VALUE(MID($A476,2,20))&lt;100000000,VALUE(MID($A476,2,20)),1000000000),1000000000))+ROW()/100000,"")</f>
        <v/>
      </c>
    </row>
    <row r="477">
      <c r="F477" s="7">
        <f>IF($A477="","",E477*K477/100)</f>
        <v/>
      </c>
      <c r="J477" s="7" t="n"/>
      <c r="K477" s="7" t="n"/>
      <c r="L477" s="7">
        <f>IF($A477="","",S477*K477)</f>
        <v/>
      </c>
      <c r="M477" s="7">
        <f>IF($A477="","",K477-L477)</f>
        <v/>
      </c>
      <c r="N477" s="7">
        <f>IF($A477="","",M477-F477)</f>
        <v/>
      </c>
      <c r="Q477" s="11" t="n"/>
      <c r="S477">
        <f>IF($A477="","",IF(AND(ISNUMBER($R477),NOT(ISLOGICAL($R477)),N($R477)&gt;1),$R477/100*1,IF($V477=1,Settings!$C$6,Settings!$C$7)*1))</f>
        <v/>
      </c>
      <c r="T477">
        <f>IF($A477="","",IF(COUNTIF($A$2:$A477,$A477)=1,1,0))</f>
        <v/>
      </c>
      <c r="U477">
        <f>IF($T477=1,SUMPRODUCT(--($W$2:$W$1001&lt;$W477))+1,"")</f>
        <v/>
      </c>
      <c r="V477">
        <f>IF($A477="","",IF(AND(ISNUMBER($R477),NOT(ISLOGICAL($R477)),N($R477)&gt;1),IF(ABS($R477/100-Settings!$C$6)&lt;=ABS($R477/100-Settings!$C$7),1,0),IF(OR($R477=TRUE(),$R477="TRUE"),1,0)))</f>
        <v/>
      </c>
      <c r="W477">
        <f>IF($T477=1,IFERROR(IF(VALUE($A477)&lt;100000000,VALUE($A477),1000000000),IFERROR(IF(VALUE(MID($A477,2,20))&lt;100000000,VALUE(MID($A477,2,20)),1000000000),1000000000))+ROW()/100000,"")</f>
        <v/>
      </c>
    </row>
    <row r="478">
      <c r="F478" s="7">
        <f>IF($A478="","",E478*K478/100)</f>
        <v/>
      </c>
      <c r="J478" s="7" t="n"/>
      <c r="K478" s="7" t="n"/>
      <c r="L478" s="7">
        <f>IF($A478="","",S478*K478)</f>
        <v/>
      </c>
      <c r="M478" s="7">
        <f>IF($A478="","",K478-L478)</f>
        <v/>
      </c>
      <c r="N478" s="7">
        <f>IF($A478="","",M478-F478)</f>
        <v/>
      </c>
      <c r="Q478" s="11" t="n"/>
      <c r="S478">
        <f>IF($A478="","",IF(AND(ISNUMBER($R478),NOT(ISLOGICAL($R478)),N($R478)&gt;1),$R478/100*1,IF($V478=1,Settings!$C$6,Settings!$C$7)*1))</f>
        <v/>
      </c>
      <c r="T478">
        <f>IF($A478="","",IF(COUNTIF($A$2:$A478,$A478)=1,1,0))</f>
        <v/>
      </c>
      <c r="U478">
        <f>IF($T478=1,SUMPRODUCT(--($W$2:$W$1001&lt;$W478))+1,"")</f>
        <v/>
      </c>
      <c r="V478">
        <f>IF($A478="","",IF(AND(ISNUMBER($R478),NOT(ISLOGICAL($R478)),N($R478)&gt;1),IF(ABS($R478/100-Settings!$C$6)&lt;=ABS($R478/100-Settings!$C$7),1,0),IF(OR($R478=TRUE(),$R478="TRUE"),1,0)))</f>
        <v/>
      </c>
      <c r="W478">
        <f>IF($T478=1,IFERROR(IF(VALUE($A478)&lt;100000000,VALUE($A478),1000000000),IFERROR(IF(VALUE(MID($A478,2,20))&lt;100000000,VALUE(MID($A478,2,20)),1000000000),1000000000))+ROW()/100000,"")</f>
        <v/>
      </c>
    </row>
    <row r="479">
      <c r="F479" s="7">
        <f>IF($A479="","",E479*K479/100)</f>
        <v/>
      </c>
      <c r="J479" s="7" t="n"/>
      <c r="K479" s="7" t="n"/>
      <c r="L479" s="7">
        <f>IF($A479="","",S479*K479)</f>
        <v/>
      </c>
      <c r="M479" s="7">
        <f>IF($A479="","",K479-L479)</f>
        <v/>
      </c>
      <c r="N479" s="7">
        <f>IF($A479="","",M479-F479)</f>
        <v/>
      </c>
      <c r="Q479" s="11" t="n"/>
      <c r="S479">
        <f>IF($A479="","",IF(AND(ISNUMBER($R479),NOT(ISLOGICAL($R479)),N($R479)&gt;1),$R479/100*1,IF($V479=1,Settings!$C$6,Settings!$C$7)*1))</f>
        <v/>
      </c>
      <c r="T479">
        <f>IF($A479="","",IF(COUNTIF($A$2:$A479,$A479)=1,1,0))</f>
        <v/>
      </c>
      <c r="U479">
        <f>IF($T479=1,SUMPRODUCT(--($W$2:$W$1001&lt;$W479))+1,"")</f>
        <v/>
      </c>
      <c r="V479">
        <f>IF($A479="","",IF(AND(ISNUMBER($R479),NOT(ISLOGICAL($R479)),N($R479)&gt;1),IF(ABS($R479/100-Settings!$C$6)&lt;=ABS($R479/100-Settings!$C$7),1,0),IF(OR($R479=TRUE(),$R479="TRUE"),1,0)))</f>
        <v/>
      </c>
      <c r="W479">
        <f>IF($T479=1,IFERROR(IF(VALUE($A479)&lt;100000000,VALUE($A479),1000000000),IFERROR(IF(VALUE(MID($A479,2,20))&lt;100000000,VALUE(MID($A479,2,20)),1000000000),1000000000))+ROW()/100000,"")</f>
        <v/>
      </c>
    </row>
    <row r="480">
      <c r="F480" s="7">
        <f>IF($A480="","",E480*K480/100)</f>
        <v/>
      </c>
      <c r="J480" s="7" t="n"/>
      <c r="K480" s="7" t="n"/>
      <c r="L480" s="7">
        <f>IF($A480="","",S480*K480)</f>
        <v/>
      </c>
      <c r="M480" s="7">
        <f>IF($A480="","",K480-L480)</f>
        <v/>
      </c>
      <c r="N480" s="7">
        <f>IF($A480="","",M480-F480)</f>
        <v/>
      </c>
      <c r="Q480" s="11" t="n"/>
      <c r="S480">
        <f>IF($A480="","",IF(AND(ISNUMBER($R480),NOT(ISLOGICAL($R480)),N($R480)&gt;1),$R480/100*1,IF($V480=1,Settings!$C$6,Settings!$C$7)*1))</f>
        <v/>
      </c>
      <c r="T480">
        <f>IF($A480="","",IF(COUNTIF($A$2:$A480,$A480)=1,1,0))</f>
        <v/>
      </c>
      <c r="U480">
        <f>IF($T480=1,SUMPRODUCT(--($W$2:$W$1001&lt;$W480))+1,"")</f>
        <v/>
      </c>
      <c r="V480">
        <f>IF($A480="","",IF(AND(ISNUMBER($R480),NOT(ISLOGICAL($R480)),N($R480)&gt;1),IF(ABS($R480/100-Settings!$C$6)&lt;=ABS($R480/100-Settings!$C$7),1,0),IF(OR($R480=TRUE(),$R480="TRUE"),1,0)))</f>
        <v/>
      </c>
      <c r="W480">
        <f>IF($T480=1,IFERROR(IF(VALUE($A480)&lt;100000000,VALUE($A480),1000000000),IFERROR(IF(VALUE(MID($A480,2,20))&lt;100000000,VALUE(MID($A480,2,20)),1000000000),1000000000))+ROW()/100000,"")</f>
        <v/>
      </c>
    </row>
    <row r="481">
      <c r="F481" s="7">
        <f>IF($A481="","",E481*K481/100)</f>
        <v/>
      </c>
      <c r="J481" s="7" t="n"/>
      <c r="K481" s="7" t="n"/>
      <c r="L481" s="7">
        <f>IF($A481="","",S481*K481)</f>
        <v/>
      </c>
      <c r="M481" s="7">
        <f>IF($A481="","",K481-L481)</f>
        <v/>
      </c>
      <c r="N481" s="7">
        <f>IF($A481="","",M481-F481)</f>
        <v/>
      </c>
      <c r="Q481" s="11" t="n"/>
      <c r="S481">
        <f>IF($A481="","",IF(AND(ISNUMBER($R481),NOT(ISLOGICAL($R481)),N($R481)&gt;1),$R481/100*1,IF($V481=1,Settings!$C$6,Settings!$C$7)*1))</f>
        <v/>
      </c>
      <c r="T481">
        <f>IF($A481="","",IF(COUNTIF($A$2:$A481,$A481)=1,1,0))</f>
        <v/>
      </c>
      <c r="U481">
        <f>IF($T481=1,SUMPRODUCT(--($W$2:$W$1001&lt;$W481))+1,"")</f>
        <v/>
      </c>
      <c r="V481">
        <f>IF($A481="","",IF(AND(ISNUMBER($R481),NOT(ISLOGICAL($R481)),N($R481)&gt;1),IF(ABS($R481/100-Settings!$C$6)&lt;=ABS($R481/100-Settings!$C$7),1,0),IF(OR($R481=TRUE(),$R481="TRUE"),1,0)))</f>
        <v/>
      </c>
      <c r="W481">
        <f>IF($T481=1,IFERROR(IF(VALUE($A481)&lt;100000000,VALUE($A481),1000000000),IFERROR(IF(VALUE(MID($A481,2,20))&lt;100000000,VALUE(MID($A481,2,20)),1000000000),1000000000))+ROW()/100000,"")</f>
        <v/>
      </c>
    </row>
    <row r="482">
      <c r="F482" s="7">
        <f>IF($A482="","",E482*K482/100)</f>
        <v/>
      </c>
      <c r="J482" s="7" t="n"/>
      <c r="K482" s="7" t="n"/>
      <c r="L482" s="7">
        <f>IF($A482="","",S482*K482)</f>
        <v/>
      </c>
      <c r="M482" s="7">
        <f>IF($A482="","",K482-L482)</f>
        <v/>
      </c>
      <c r="N482" s="7">
        <f>IF($A482="","",M482-F482)</f>
        <v/>
      </c>
      <c r="Q482" s="11" t="n"/>
      <c r="S482">
        <f>IF($A482="","",IF(AND(ISNUMBER($R482),NOT(ISLOGICAL($R482)),N($R482)&gt;1),$R482/100*1,IF($V482=1,Settings!$C$6,Settings!$C$7)*1))</f>
        <v/>
      </c>
      <c r="T482">
        <f>IF($A482="","",IF(COUNTIF($A$2:$A482,$A482)=1,1,0))</f>
        <v/>
      </c>
      <c r="U482">
        <f>IF($T482=1,SUMPRODUCT(--($W$2:$W$1001&lt;$W482))+1,"")</f>
        <v/>
      </c>
      <c r="V482">
        <f>IF($A482="","",IF(AND(ISNUMBER($R482),NOT(ISLOGICAL($R482)),N($R482)&gt;1),IF(ABS($R482/100-Settings!$C$6)&lt;=ABS($R482/100-Settings!$C$7),1,0),IF(OR($R482=TRUE(),$R482="TRUE"),1,0)))</f>
        <v/>
      </c>
      <c r="W482">
        <f>IF($T482=1,IFERROR(IF(VALUE($A482)&lt;100000000,VALUE($A482),1000000000),IFERROR(IF(VALUE(MID($A482,2,20))&lt;100000000,VALUE(MID($A482,2,20)),1000000000),1000000000))+ROW()/100000,"")</f>
        <v/>
      </c>
    </row>
    <row r="483">
      <c r="F483" s="7">
        <f>IF($A483="","",E483*K483/100)</f>
        <v/>
      </c>
      <c r="J483" s="7" t="n"/>
      <c r="K483" s="7" t="n"/>
      <c r="L483" s="7">
        <f>IF($A483="","",S483*K483)</f>
        <v/>
      </c>
      <c r="M483" s="7">
        <f>IF($A483="","",K483-L483)</f>
        <v/>
      </c>
      <c r="N483" s="7">
        <f>IF($A483="","",M483-F483)</f>
        <v/>
      </c>
      <c r="Q483" s="11" t="n"/>
      <c r="S483">
        <f>IF($A483="","",IF(AND(ISNUMBER($R483),NOT(ISLOGICAL($R483)),N($R483)&gt;1),$R483/100*1,IF($V483=1,Settings!$C$6,Settings!$C$7)*1))</f>
        <v/>
      </c>
      <c r="T483">
        <f>IF($A483="","",IF(COUNTIF($A$2:$A483,$A483)=1,1,0))</f>
        <v/>
      </c>
      <c r="U483">
        <f>IF($T483=1,SUMPRODUCT(--($W$2:$W$1001&lt;$W483))+1,"")</f>
        <v/>
      </c>
      <c r="V483">
        <f>IF($A483="","",IF(AND(ISNUMBER($R483),NOT(ISLOGICAL($R483)),N($R483)&gt;1),IF(ABS($R483/100-Settings!$C$6)&lt;=ABS($R483/100-Settings!$C$7),1,0),IF(OR($R483=TRUE(),$R483="TRUE"),1,0)))</f>
        <v/>
      </c>
      <c r="W483">
        <f>IF($T483=1,IFERROR(IF(VALUE($A483)&lt;100000000,VALUE($A483),1000000000),IFERROR(IF(VALUE(MID($A483,2,20))&lt;100000000,VALUE(MID($A483,2,20)),1000000000),1000000000))+ROW()/100000,"")</f>
        <v/>
      </c>
    </row>
    <row r="484">
      <c r="F484" s="7">
        <f>IF($A484="","",E484*K484/100)</f>
        <v/>
      </c>
      <c r="J484" s="7" t="n"/>
      <c r="K484" s="7" t="n"/>
      <c r="L484" s="7">
        <f>IF($A484="","",S484*K484)</f>
        <v/>
      </c>
      <c r="M484" s="7">
        <f>IF($A484="","",K484-L484)</f>
        <v/>
      </c>
      <c r="N484" s="7">
        <f>IF($A484="","",M484-F484)</f>
        <v/>
      </c>
      <c r="Q484" s="11" t="n"/>
      <c r="S484">
        <f>IF($A484="","",IF(AND(ISNUMBER($R484),NOT(ISLOGICAL($R484)),N($R484)&gt;1),$R484/100*1,IF($V484=1,Settings!$C$6,Settings!$C$7)*1))</f>
        <v/>
      </c>
      <c r="T484">
        <f>IF($A484="","",IF(COUNTIF($A$2:$A484,$A484)=1,1,0))</f>
        <v/>
      </c>
      <c r="U484">
        <f>IF($T484=1,SUMPRODUCT(--($W$2:$W$1001&lt;$W484))+1,"")</f>
        <v/>
      </c>
      <c r="V484">
        <f>IF($A484="","",IF(AND(ISNUMBER($R484),NOT(ISLOGICAL($R484)),N($R484)&gt;1),IF(ABS($R484/100-Settings!$C$6)&lt;=ABS($R484/100-Settings!$C$7),1,0),IF(OR($R484=TRUE(),$R484="TRUE"),1,0)))</f>
        <v/>
      </c>
      <c r="W484">
        <f>IF($T484=1,IFERROR(IF(VALUE($A484)&lt;100000000,VALUE($A484),1000000000),IFERROR(IF(VALUE(MID($A484,2,20))&lt;100000000,VALUE(MID($A484,2,20)),1000000000),1000000000))+ROW()/100000,"")</f>
        <v/>
      </c>
    </row>
    <row r="485">
      <c r="F485" s="7">
        <f>IF($A485="","",E485*K485/100)</f>
        <v/>
      </c>
      <c r="J485" s="7" t="n"/>
      <c r="K485" s="7" t="n"/>
      <c r="L485" s="7">
        <f>IF($A485="","",S485*K485)</f>
        <v/>
      </c>
      <c r="M485" s="7">
        <f>IF($A485="","",K485-L485)</f>
        <v/>
      </c>
      <c r="N485" s="7">
        <f>IF($A485="","",M485-F485)</f>
        <v/>
      </c>
      <c r="Q485" s="11" t="n"/>
      <c r="S485">
        <f>IF($A485="","",IF(AND(ISNUMBER($R485),NOT(ISLOGICAL($R485)),N($R485)&gt;1),$R485/100*1,IF($V485=1,Settings!$C$6,Settings!$C$7)*1))</f>
        <v/>
      </c>
      <c r="T485">
        <f>IF($A485="","",IF(COUNTIF($A$2:$A485,$A485)=1,1,0))</f>
        <v/>
      </c>
      <c r="U485">
        <f>IF($T485=1,SUMPRODUCT(--($W$2:$W$1001&lt;$W485))+1,"")</f>
        <v/>
      </c>
      <c r="V485">
        <f>IF($A485="","",IF(AND(ISNUMBER($R485),NOT(ISLOGICAL($R485)),N($R485)&gt;1),IF(ABS($R485/100-Settings!$C$6)&lt;=ABS($R485/100-Settings!$C$7),1,0),IF(OR($R485=TRUE(),$R485="TRUE"),1,0)))</f>
        <v/>
      </c>
      <c r="W485">
        <f>IF($T485=1,IFERROR(IF(VALUE($A485)&lt;100000000,VALUE($A485),1000000000),IFERROR(IF(VALUE(MID($A485,2,20))&lt;100000000,VALUE(MID($A485,2,20)),1000000000),1000000000))+ROW()/100000,"")</f>
        <v/>
      </c>
    </row>
    <row r="486">
      <c r="F486" s="7">
        <f>IF($A486="","",E486*K486/100)</f>
        <v/>
      </c>
      <c r="J486" s="7" t="n"/>
      <c r="K486" s="7" t="n"/>
      <c r="L486" s="7">
        <f>IF($A486="","",S486*K486)</f>
        <v/>
      </c>
      <c r="M486" s="7">
        <f>IF($A486="","",K486-L486)</f>
        <v/>
      </c>
      <c r="N486" s="7">
        <f>IF($A486="","",M486-F486)</f>
        <v/>
      </c>
      <c r="Q486" s="11" t="n"/>
      <c r="S486">
        <f>IF($A486="","",IF(AND(ISNUMBER($R486),NOT(ISLOGICAL($R486)),N($R486)&gt;1),$R486/100*1,IF($V486=1,Settings!$C$6,Settings!$C$7)*1))</f>
        <v/>
      </c>
      <c r="T486">
        <f>IF($A486="","",IF(COUNTIF($A$2:$A486,$A486)=1,1,0))</f>
        <v/>
      </c>
      <c r="U486">
        <f>IF($T486=1,SUMPRODUCT(--($W$2:$W$1001&lt;$W486))+1,"")</f>
        <v/>
      </c>
      <c r="V486">
        <f>IF($A486="","",IF(AND(ISNUMBER($R486),NOT(ISLOGICAL($R486)),N($R486)&gt;1),IF(ABS($R486/100-Settings!$C$6)&lt;=ABS($R486/100-Settings!$C$7),1,0),IF(OR($R486=TRUE(),$R486="TRUE"),1,0)))</f>
        <v/>
      </c>
      <c r="W486">
        <f>IF($T486=1,IFERROR(IF(VALUE($A486)&lt;100000000,VALUE($A486),1000000000),IFERROR(IF(VALUE(MID($A486,2,20))&lt;100000000,VALUE(MID($A486,2,20)),1000000000),1000000000))+ROW()/100000,"")</f>
        <v/>
      </c>
    </row>
    <row r="487">
      <c r="F487" s="7">
        <f>IF($A487="","",E487*K487/100)</f>
        <v/>
      </c>
      <c r="J487" s="7" t="n"/>
      <c r="K487" s="7" t="n"/>
      <c r="L487" s="7">
        <f>IF($A487="","",S487*K487)</f>
        <v/>
      </c>
      <c r="M487" s="7">
        <f>IF($A487="","",K487-L487)</f>
        <v/>
      </c>
      <c r="N487" s="7">
        <f>IF($A487="","",M487-F487)</f>
        <v/>
      </c>
      <c r="Q487" s="11" t="n"/>
      <c r="S487">
        <f>IF($A487="","",IF(AND(ISNUMBER($R487),NOT(ISLOGICAL($R487)),N($R487)&gt;1),$R487/100*1,IF($V487=1,Settings!$C$6,Settings!$C$7)*1))</f>
        <v/>
      </c>
      <c r="T487">
        <f>IF($A487="","",IF(COUNTIF($A$2:$A487,$A487)=1,1,0))</f>
        <v/>
      </c>
      <c r="U487">
        <f>IF($T487=1,SUMPRODUCT(--($W$2:$W$1001&lt;$W487))+1,"")</f>
        <v/>
      </c>
      <c r="V487">
        <f>IF($A487="","",IF(AND(ISNUMBER($R487),NOT(ISLOGICAL($R487)),N($R487)&gt;1),IF(ABS($R487/100-Settings!$C$6)&lt;=ABS($R487/100-Settings!$C$7),1,0),IF(OR($R487=TRUE(),$R487="TRUE"),1,0)))</f>
        <v/>
      </c>
      <c r="W487">
        <f>IF($T487=1,IFERROR(IF(VALUE($A487)&lt;100000000,VALUE($A487),1000000000),IFERROR(IF(VALUE(MID($A487,2,20))&lt;100000000,VALUE(MID($A487,2,20)),1000000000),1000000000))+ROW()/100000,"")</f>
        <v/>
      </c>
    </row>
    <row r="488">
      <c r="F488" s="7">
        <f>IF($A488="","",E488*K488/100)</f>
        <v/>
      </c>
      <c r="J488" s="7" t="n"/>
      <c r="K488" s="7" t="n"/>
      <c r="L488" s="7">
        <f>IF($A488="","",S488*K488)</f>
        <v/>
      </c>
      <c r="M488" s="7">
        <f>IF($A488="","",K488-L488)</f>
        <v/>
      </c>
      <c r="N488" s="7">
        <f>IF($A488="","",M488-F488)</f>
        <v/>
      </c>
      <c r="Q488" s="11" t="n"/>
      <c r="S488">
        <f>IF($A488="","",IF(AND(ISNUMBER($R488),NOT(ISLOGICAL($R488)),N($R488)&gt;1),$R488/100*1,IF($V488=1,Settings!$C$6,Settings!$C$7)*1))</f>
        <v/>
      </c>
      <c r="T488">
        <f>IF($A488="","",IF(COUNTIF($A$2:$A488,$A488)=1,1,0))</f>
        <v/>
      </c>
      <c r="U488">
        <f>IF($T488=1,SUMPRODUCT(--($W$2:$W$1001&lt;$W488))+1,"")</f>
        <v/>
      </c>
      <c r="V488">
        <f>IF($A488="","",IF(AND(ISNUMBER($R488),NOT(ISLOGICAL($R488)),N($R488)&gt;1),IF(ABS($R488/100-Settings!$C$6)&lt;=ABS($R488/100-Settings!$C$7),1,0),IF(OR($R488=TRUE(),$R488="TRUE"),1,0)))</f>
        <v/>
      </c>
      <c r="W488">
        <f>IF($T488=1,IFERROR(IF(VALUE($A488)&lt;100000000,VALUE($A488),1000000000),IFERROR(IF(VALUE(MID($A488,2,20))&lt;100000000,VALUE(MID($A488,2,20)),1000000000),1000000000))+ROW()/100000,"")</f>
        <v/>
      </c>
    </row>
    <row r="489">
      <c r="F489" s="7">
        <f>IF($A489="","",E489*K489/100)</f>
        <v/>
      </c>
      <c r="J489" s="7" t="n"/>
      <c r="K489" s="7" t="n"/>
      <c r="L489" s="7">
        <f>IF($A489="","",S489*K489)</f>
        <v/>
      </c>
      <c r="M489" s="7">
        <f>IF($A489="","",K489-L489)</f>
        <v/>
      </c>
      <c r="N489" s="7">
        <f>IF($A489="","",M489-F489)</f>
        <v/>
      </c>
      <c r="Q489" s="11" t="n"/>
      <c r="S489">
        <f>IF($A489="","",IF(AND(ISNUMBER($R489),NOT(ISLOGICAL($R489)),N($R489)&gt;1),$R489/100*1,IF($V489=1,Settings!$C$6,Settings!$C$7)*1))</f>
        <v/>
      </c>
      <c r="T489">
        <f>IF($A489="","",IF(COUNTIF($A$2:$A489,$A489)=1,1,0))</f>
        <v/>
      </c>
      <c r="U489">
        <f>IF($T489=1,SUMPRODUCT(--($W$2:$W$1001&lt;$W489))+1,"")</f>
        <v/>
      </c>
      <c r="V489">
        <f>IF($A489="","",IF(AND(ISNUMBER($R489),NOT(ISLOGICAL($R489)),N($R489)&gt;1),IF(ABS($R489/100-Settings!$C$6)&lt;=ABS($R489/100-Settings!$C$7),1,0),IF(OR($R489=TRUE(),$R489="TRUE"),1,0)))</f>
        <v/>
      </c>
      <c r="W489">
        <f>IF($T489=1,IFERROR(IF(VALUE($A489)&lt;100000000,VALUE($A489),1000000000),IFERROR(IF(VALUE(MID($A489,2,20))&lt;100000000,VALUE(MID($A489,2,20)),1000000000),1000000000))+ROW()/100000,"")</f>
        <v/>
      </c>
    </row>
    <row r="490">
      <c r="F490" s="7">
        <f>IF($A490="","",E490*K490/100)</f>
        <v/>
      </c>
      <c r="J490" s="7" t="n"/>
      <c r="K490" s="7" t="n"/>
      <c r="L490" s="7">
        <f>IF($A490="","",S490*K490)</f>
        <v/>
      </c>
      <c r="M490" s="7">
        <f>IF($A490="","",K490-L490)</f>
        <v/>
      </c>
      <c r="N490" s="7">
        <f>IF($A490="","",M490-F490)</f>
        <v/>
      </c>
      <c r="Q490" s="11" t="n"/>
      <c r="S490">
        <f>IF($A490="","",IF(AND(ISNUMBER($R490),NOT(ISLOGICAL($R490)),N($R490)&gt;1),$R490/100*1,IF($V490=1,Settings!$C$6,Settings!$C$7)*1))</f>
        <v/>
      </c>
      <c r="T490">
        <f>IF($A490="","",IF(COUNTIF($A$2:$A490,$A490)=1,1,0))</f>
        <v/>
      </c>
      <c r="U490">
        <f>IF($T490=1,SUMPRODUCT(--($W$2:$W$1001&lt;$W490))+1,"")</f>
        <v/>
      </c>
      <c r="V490">
        <f>IF($A490="","",IF(AND(ISNUMBER($R490),NOT(ISLOGICAL($R490)),N($R490)&gt;1),IF(ABS($R490/100-Settings!$C$6)&lt;=ABS($R490/100-Settings!$C$7),1,0),IF(OR($R490=TRUE(),$R490="TRUE"),1,0)))</f>
        <v/>
      </c>
      <c r="W490">
        <f>IF($T490=1,IFERROR(IF(VALUE($A490)&lt;100000000,VALUE($A490),1000000000),IFERROR(IF(VALUE(MID($A490,2,20))&lt;100000000,VALUE(MID($A490,2,20)),1000000000),1000000000))+ROW()/100000,"")</f>
        <v/>
      </c>
    </row>
    <row r="491">
      <c r="F491" s="7">
        <f>IF($A491="","",E491*K491/100)</f>
        <v/>
      </c>
      <c r="J491" s="7" t="n"/>
      <c r="K491" s="7" t="n"/>
      <c r="L491" s="7">
        <f>IF($A491="","",S491*K491)</f>
        <v/>
      </c>
      <c r="M491" s="7">
        <f>IF($A491="","",K491-L491)</f>
        <v/>
      </c>
      <c r="N491" s="7">
        <f>IF($A491="","",M491-F491)</f>
        <v/>
      </c>
      <c r="Q491" s="11" t="n"/>
      <c r="S491">
        <f>IF($A491="","",IF(AND(ISNUMBER($R491),NOT(ISLOGICAL($R491)),N($R491)&gt;1),$R491/100*1,IF($V491=1,Settings!$C$6,Settings!$C$7)*1))</f>
        <v/>
      </c>
      <c r="T491">
        <f>IF($A491="","",IF(COUNTIF($A$2:$A491,$A491)=1,1,0))</f>
        <v/>
      </c>
      <c r="U491">
        <f>IF($T491=1,SUMPRODUCT(--($W$2:$W$1001&lt;$W491))+1,"")</f>
        <v/>
      </c>
      <c r="V491">
        <f>IF($A491="","",IF(AND(ISNUMBER($R491),NOT(ISLOGICAL($R491)),N($R491)&gt;1),IF(ABS($R491/100-Settings!$C$6)&lt;=ABS($R491/100-Settings!$C$7),1,0),IF(OR($R491=TRUE(),$R491="TRUE"),1,0)))</f>
        <v/>
      </c>
      <c r="W491">
        <f>IF($T491=1,IFERROR(IF(VALUE($A491)&lt;100000000,VALUE($A491),1000000000),IFERROR(IF(VALUE(MID($A491,2,20))&lt;100000000,VALUE(MID($A491,2,20)),1000000000),1000000000))+ROW()/100000,"")</f>
        <v/>
      </c>
    </row>
    <row r="492">
      <c r="F492" s="7">
        <f>IF($A492="","",E492*K492/100)</f>
        <v/>
      </c>
      <c r="J492" s="7" t="n"/>
      <c r="K492" s="7" t="n"/>
      <c r="L492" s="7">
        <f>IF($A492="","",S492*K492)</f>
        <v/>
      </c>
      <c r="M492" s="7">
        <f>IF($A492="","",K492-L492)</f>
        <v/>
      </c>
      <c r="N492" s="7">
        <f>IF($A492="","",M492-F492)</f>
        <v/>
      </c>
      <c r="Q492" s="11" t="n"/>
      <c r="S492">
        <f>IF($A492="","",IF(AND(ISNUMBER($R492),NOT(ISLOGICAL($R492)),N($R492)&gt;1),$R492/100*1,IF($V492=1,Settings!$C$6,Settings!$C$7)*1))</f>
        <v/>
      </c>
      <c r="T492">
        <f>IF($A492="","",IF(COUNTIF($A$2:$A492,$A492)=1,1,0))</f>
        <v/>
      </c>
      <c r="U492">
        <f>IF($T492=1,SUMPRODUCT(--($W$2:$W$1001&lt;$W492))+1,"")</f>
        <v/>
      </c>
      <c r="V492">
        <f>IF($A492="","",IF(AND(ISNUMBER($R492),NOT(ISLOGICAL($R492)),N($R492)&gt;1),IF(ABS($R492/100-Settings!$C$6)&lt;=ABS($R492/100-Settings!$C$7),1,0),IF(OR($R492=TRUE(),$R492="TRUE"),1,0)))</f>
        <v/>
      </c>
      <c r="W492">
        <f>IF($T492=1,IFERROR(IF(VALUE($A492)&lt;100000000,VALUE($A492),1000000000),IFERROR(IF(VALUE(MID($A492,2,20))&lt;100000000,VALUE(MID($A492,2,20)),1000000000),1000000000))+ROW()/100000,"")</f>
        <v/>
      </c>
    </row>
    <row r="493">
      <c r="F493" s="7">
        <f>IF($A493="","",E493*K493/100)</f>
        <v/>
      </c>
      <c r="J493" s="7" t="n"/>
      <c r="K493" s="7" t="n"/>
      <c r="L493" s="7">
        <f>IF($A493="","",S493*K493)</f>
        <v/>
      </c>
      <c r="M493" s="7">
        <f>IF($A493="","",K493-L493)</f>
        <v/>
      </c>
      <c r="N493" s="7">
        <f>IF($A493="","",M493-F493)</f>
        <v/>
      </c>
      <c r="Q493" s="11" t="n"/>
      <c r="S493">
        <f>IF($A493="","",IF(AND(ISNUMBER($R493),NOT(ISLOGICAL($R493)),N($R493)&gt;1),$R493/100*1,IF($V493=1,Settings!$C$6,Settings!$C$7)*1))</f>
        <v/>
      </c>
      <c r="T493">
        <f>IF($A493="","",IF(COUNTIF($A$2:$A493,$A493)=1,1,0))</f>
        <v/>
      </c>
      <c r="U493">
        <f>IF($T493=1,SUMPRODUCT(--($W$2:$W$1001&lt;$W493))+1,"")</f>
        <v/>
      </c>
      <c r="V493">
        <f>IF($A493="","",IF(AND(ISNUMBER($R493),NOT(ISLOGICAL($R493)),N($R493)&gt;1),IF(ABS($R493/100-Settings!$C$6)&lt;=ABS($R493/100-Settings!$C$7),1,0),IF(OR($R493=TRUE(),$R493="TRUE"),1,0)))</f>
        <v/>
      </c>
      <c r="W493">
        <f>IF($T493=1,IFERROR(IF(VALUE($A493)&lt;100000000,VALUE($A493),1000000000),IFERROR(IF(VALUE(MID($A493,2,20))&lt;100000000,VALUE(MID($A493,2,20)),1000000000),1000000000))+ROW()/100000,"")</f>
        <v/>
      </c>
    </row>
    <row r="494">
      <c r="F494" s="7">
        <f>IF($A494="","",E494*K494/100)</f>
        <v/>
      </c>
      <c r="J494" s="7" t="n"/>
      <c r="K494" s="7" t="n"/>
      <c r="L494" s="7">
        <f>IF($A494="","",S494*K494)</f>
        <v/>
      </c>
      <c r="M494" s="7">
        <f>IF($A494="","",K494-L494)</f>
        <v/>
      </c>
      <c r="N494" s="7">
        <f>IF($A494="","",M494-F494)</f>
        <v/>
      </c>
      <c r="Q494" s="11" t="n"/>
      <c r="S494">
        <f>IF($A494="","",IF(AND(ISNUMBER($R494),NOT(ISLOGICAL($R494)),N($R494)&gt;1),$R494/100*1,IF($V494=1,Settings!$C$6,Settings!$C$7)*1))</f>
        <v/>
      </c>
      <c r="T494">
        <f>IF($A494="","",IF(COUNTIF($A$2:$A494,$A494)=1,1,0))</f>
        <v/>
      </c>
      <c r="U494">
        <f>IF($T494=1,SUMPRODUCT(--($W$2:$W$1001&lt;$W494))+1,"")</f>
        <v/>
      </c>
      <c r="V494">
        <f>IF($A494="","",IF(AND(ISNUMBER($R494),NOT(ISLOGICAL($R494)),N($R494)&gt;1),IF(ABS($R494/100-Settings!$C$6)&lt;=ABS($R494/100-Settings!$C$7),1,0),IF(OR($R494=TRUE(),$R494="TRUE"),1,0)))</f>
        <v/>
      </c>
      <c r="W494">
        <f>IF($T494=1,IFERROR(IF(VALUE($A494)&lt;100000000,VALUE($A494),1000000000),IFERROR(IF(VALUE(MID($A494,2,20))&lt;100000000,VALUE(MID($A494,2,20)),1000000000),1000000000))+ROW()/100000,"")</f>
        <v/>
      </c>
    </row>
    <row r="495">
      <c r="F495" s="7">
        <f>IF($A495="","",E495*K495/100)</f>
        <v/>
      </c>
      <c r="J495" s="7" t="n"/>
      <c r="K495" s="7" t="n"/>
      <c r="L495" s="7">
        <f>IF($A495="","",S495*K495)</f>
        <v/>
      </c>
      <c r="M495" s="7">
        <f>IF($A495="","",K495-L495)</f>
        <v/>
      </c>
      <c r="N495" s="7">
        <f>IF($A495="","",M495-F495)</f>
        <v/>
      </c>
      <c r="Q495" s="11" t="n"/>
      <c r="S495">
        <f>IF($A495="","",IF(AND(ISNUMBER($R495),NOT(ISLOGICAL($R495)),N($R495)&gt;1),$R495/100*1,IF($V495=1,Settings!$C$6,Settings!$C$7)*1))</f>
        <v/>
      </c>
      <c r="T495">
        <f>IF($A495="","",IF(COUNTIF($A$2:$A495,$A495)=1,1,0))</f>
        <v/>
      </c>
      <c r="U495">
        <f>IF($T495=1,SUMPRODUCT(--($W$2:$W$1001&lt;$W495))+1,"")</f>
        <v/>
      </c>
      <c r="V495">
        <f>IF($A495="","",IF(AND(ISNUMBER($R495),NOT(ISLOGICAL($R495)),N($R495)&gt;1),IF(ABS($R495/100-Settings!$C$6)&lt;=ABS($R495/100-Settings!$C$7),1,0),IF(OR($R495=TRUE(),$R495="TRUE"),1,0)))</f>
        <v/>
      </c>
      <c r="W495">
        <f>IF($T495=1,IFERROR(IF(VALUE($A495)&lt;100000000,VALUE($A495),1000000000),IFERROR(IF(VALUE(MID($A495,2,20))&lt;100000000,VALUE(MID($A495,2,20)),1000000000),1000000000))+ROW()/100000,"")</f>
        <v/>
      </c>
    </row>
    <row r="496">
      <c r="F496" s="7">
        <f>IF($A496="","",E496*K496/100)</f>
        <v/>
      </c>
      <c r="J496" s="7" t="n"/>
      <c r="K496" s="7" t="n"/>
      <c r="L496" s="7">
        <f>IF($A496="","",S496*K496)</f>
        <v/>
      </c>
      <c r="M496" s="7">
        <f>IF($A496="","",K496-L496)</f>
        <v/>
      </c>
      <c r="N496" s="7">
        <f>IF($A496="","",M496-F496)</f>
        <v/>
      </c>
      <c r="Q496" s="11" t="n"/>
      <c r="S496">
        <f>IF($A496="","",IF(AND(ISNUMBER($R496),NOT(ISLOGICAL($R496)),N($R496)&gt;1),$R496/100*1,IF($V496=1,Settings!$C$6,Settings!$C$7)*1))</f>
        <v/>
      </c>
      <c r="T496">
        <f>IF($A496="","",IF(COUNTIF($A$2:$A496,$A496)=1,1,0))</f>
        <v/>
      </c>
      <c r="U496">
        <f>IF($T496=1,SUMPRODUCT(--($W$2:$W$1001&lt;$W496))+1,"")</f>
        <v/>
      </c>
      <c r="V496">
        <f>IF($A496="","",IF(AND(ISNUMBER($R496),NOT(ISLOGICAL($R496)),N($R496)&gt;1),IF(ABS($R496/100-Settings!$C$6)&lt;=ABS($R496/100-Settings!$C$7),1,0),IF(OR($R496=TRUE(),$R496="TRUE"),1,0)))</f>
        <v/>
      </c>
      <c r="W496">
        <f>IF($T496=1,IFERROR(IF(VALUE($A496)&lt;100000000,VALUE($A496),1000000000),IFERROR(IF(VALUE(MID($A496,2,20))&lt;100000000,VALUE(MID($A496,2,20)),1000000000),1000000000))+ROW()/100000,"")</f>
        <v/>
      </c>
    </row>
    <row r="497">
      <c r="F497" s="7">
        <f>IF($A497="","",E497*K497/100)</f>
        <v/>
      </c>
      <c r="J497" s="7" t="n"/>
      <c r="K497" s="7" t="n"/>
      <c r="L497" s="7">
        <f>IF($A497="","",S497*K497)</f>
        <v/>
      </c>
      <c r="M497" s="7">
        <f>IF($A497="","",K497-L497)</f>
        <v/>
      </c>
      <c r="N497" s="7">
        <f>IF($A497="","",M497-F497)</f>
        <v/>
      </c>
      <c r="Q497" s="11" t="n"/>
      <c r="S497">
        <f>IF($A497="","",IF(AND(ISNUMBER($R497),NOT(ISLOGICAL($R497)),N($R497)&gt;1),$R497/100*1,IF($V497=1,Settings!$C$6,Settings!$C$7)*1))</f>
        <v/>
      </c>
      <c r="T497">
        <f>IF($A497="","",IF(COUNTIF($A$2:$A497,$A497)=1,1,0))</f>
        <v/>
      </c>
      <c r="U497">
        <f>IF($T497=1,SUMPRODUCT(--($W$2:$W$1001&lt;$W497))+1,"")</f>
        <v/>
      </c>
      <c r="V497">
        <f>IF($A497="","",IF(AND(ISNUMBER($R497),NOT(ISLOGICAL($R497)),N($R497)&gt;1),IF(ABS($R497/100-Settings!$C$6)&lt;=ABS($R497/100-Settings!$C$7),1,0),IF(OR($R497=TRUE(),$R497="TRUE"),1,0)))</f>
        <v/>
      </c>
      <c r="W497">
        <f>IF($T497=1,IFERROR(IF(VALUE($A497)&lt;100000000,VALUE($A497),1000000000),IFERROR(IF(VALUE(MID($A497,2,20))&lt;100000000,VALUE(MID($A497,2,20)),1000000000),1000000000))+ROW()/100000,"")</f>
        <v/>
      </c>
    </row>
    <row r="498">
      <c r="F498" s="7">
        <f>IF($A498="","",E498*K498/100)</f>
        <v/>
      </c>
      <c r="J498" s="7" t="n"/>
      <c r="K498" s="7" t="n"/>
      <c r="L498" s="7">
        <f>IF($A498="","",S498*K498)</f>
        <v/>
      </c>
      <c r="M498" s="7">
        <f>IF($A498="","",K498-L498)</f>
        <v/>
      </c>
      <c r="N498" s="7">
        <f>IF($A498="","",M498-F498)</f>
        <v/>
      </c>
      <c r="Q498" s="11" t="n"/>
      <c r="S498">
        <f>IF($A498="","",IF(AND(ISNUMBER($R498),NOT(ISLOGICAL($R498)),N($R498)&gt;1),$R498/100*1,IF($V498=1,Settings!$C$6,Settings!$C$7)*1))</f>
        <v/>
      </c>
      <c r="T498">
        <f>IF($A498="","",IF(COUNTIF($A$2:$A498,$A498)=1,1,0))</f>
        <v/>
      </c>
      <c r="U498">
        <f>IF($T498=1,SUMPRODUCT(--($W$2:$W$1001&lt;$W498))+1,"")</f>
        <v/>
      </c>
      <c r="V498">
        <f>IF($A498="","",IF(AND(ISNUMBER($R498),NOT(ISLOGICAL($R498)),N($R498)&gt;1),IF(ABS($R498/100-Settings!$C$6)&lt;=ABS($R498/100-Settings!$C$7),1,0),IF(OR($R498=TRUE(),$R498="TRUE"),1,0)))</f>
        <v/>
      </c>
      <c r="W498">
        <f>IF($T498=1,IFERROR(IF(VALUE($A498)&lt;100000000,VALUE($A498),1000000000),IFERROR(IF(VALUE(MID($A498,2,20))&lt;100000000,VALUE(MID($A498,2,20)),1000000000),1000000000))+ROW()/100000,"")</f>
        <v/>
      </c>
    </row>
    <row r="499">
      <c r="F499" s="7">
        <f>IF($A499="","",E499*K499/100)</f>
        <v/>
      </c>
      <c r="J499" s="7" t="n"/>
      <c r="K499" s="7" t="n"/>
      <c r="L499" s="7">
        <f>IF($A499="","",S499*K499)</f>
        <v/>
      </c>
      <c r="M499" s="7">
        <f>IF($A499="","",K499-L499)</f>
        <v/>
      </c>
      <c r="N499" s="7">
        <f>IF($A499="","",M499-F499)</f>
        <v/>
      </c>
      <c r="Q499" s="11" t="n"/>
      <c r="S499">
        <f>IF($A499="","",IF(AND(ISNUMBER($R499),NOT(ISLOGICAL($R499)),N($R499)&gt;1),$R499/100*1,IF($V499=1,Settings!$C$6,Settings!$C$7)*1))</f>
        <v/>
      </c>
      <c r="T499">
        <f>IF($A499="","",IF(COUNTIF($A$2:$A499,$A499)=1,1,0))</f>
        <v/>
      </c>
      <c r="U499">
        <f>IF($T499=1,SUMPRODUCT(--($W$2:$W$1001&lt;$W499))+1,"")</f>
        <v/>
      </c>
      <c r="V499">
        <f>IF($A499="","",IF(AND(ISNUMBER($R499),NOT(ISLOGICAL($R499)),N($R499)&gt;1),IF(ABS($R499/100-Settings!$C$6)&lt;=ABS($R499/100-Settings!$C$7),1,0),IF(OR($R499=TRUE(),$R499="TRUE"),1,0)))</f>
        <v/>
      </c>
      <c r="W499">
        <f>IF($T499=1,IFERROR(IF(VALUE($A499)&lt;100000000,VALUE($A499),1000000000),IFERROR(IF(VALUE(MID($A499,2,20))&lt;100000000,VALUE(MID($A499,2,20)),1000000000),1000000000))+ROW()/100000,"")</f>
        <v/>
      </c>
    </row>
    <row r="500">
      <c r="F500" s="7">
        <f>IF($A500="","",E500*K500/100)</f>
        <v/>
      </c>
      <c r="J500" s="7" t="n"/>
      <c r="K500" s="7" t="n"/>
      <c r="L500" s="7">
        <f>IF($A500="","",S500*K500)</f>
        <v/>
      </c>
      <c r="M500" s="7">
        <f>IF($A500="","",K500-L500)</f>
        <v/>
      </c>
      <c r="N500" s="7">
        <f>IF($A500="","",M500-F500)</f>
        <v/>
      </c>
      <c r="Q500" s="11" t="n"/>
      <c r="S500">
        <f>IF($A500="","",IF(AND(ISNUMBER($R500),NOT(ISLOGICAL($R500)),N($R500)&gt;1),$R500/100*1,IF($V500=1,Settings!$C$6,Settings!$C$7)*1))</f>
        <v/>
      </c>
      <c r="T500">
        <f>IF($A500="","",IF(COUNTIF($A$2:$A500,$A500)=1,1,0))</f>
        <v/>
      </c>
      <c r="U500">
        <f>IF($T500=1,SUMPRODUCT(--($W$2:$W$1001&lt;$W500))+1,"")</f>
        <v/>
      </c>
      <c r="V500">
        <f>IF($A500="","",IF(AND(ISNUMBER($R500),NOT(ISLOGICAL($R500)),N($R500)&gt;1),IF(ABS($R500/100-Settings!$C$6)&lt;=ABS($R500/100-Settings!$C$7),1,0),IF(OR($R500=TRUE(),$R500="TRUE"),1,0)))</f>
        <v/>
      </c>
      <c r="W500">
        <f>IF($T500=1,IFERROR(IF(VALUE($A500)&lt;100000000,VALUE($A500),1000000000),IFERROR(IF(VALUE(MID($A500,2,20))&lt;100000000,VALUE(MID($A500,2,20)),1000000000),1000000000))+ROW()/100000,"")</f>
        <v/>
      </c>
    </row>
    <row r="501">
      <c r="F501" s="7">
        <f>IF($A501="","",E501*K501/100)</f>
        <v/>
      </c>
      <c r="J501" s="7" t="n"/>
      <c r="K501" s="7" t="n"/>
      <c r="L501" s="7">
        <f>IF($A501="","",S501*K501)</f>
        <v/>
      </c>
      <c r="M501" s="7">
        <f>IF($A501="","",K501-L501)</f>
        <v/>
      </c>
      <c r="N501" s="7">
        <f>IF($A501="","",M501-F501)</f>
        <v/>
      </c>
      <c r="Q501" s="11" t="n"/>
      <c r="S501">
        <f>IF($A501="","",IF(AND(ISNUMBER($R501),NOT(ISLOGICAL($R501)),N($R501)&gt;1),$R501/100*1,IF($V501=1,Settings!$C$6,Settings!$C$7)*1))</f>
        <v/>
      </c>
      <c r="T501">
        <f>IF($A501="","",IF(COUNTIF($A$2:$A501,$A501)=1,1,0))</f>
        <v/>
      </c>
      <c r="U501">
        <f>IF($T501=1,SUMPRODUCT(--($W$2:$W$1001&lt;$W501))+1,"")</f>
        <v/>
      </c>
      <c r="V501">
        <f>IF($A501="","",IF(AND(ISNUMBER($R501),NOT(ISLOGICAL($R501)),N($R501)&gt;1),IF(ABS($R501/100-Settings!$C$6)&lt;=ABS($R501/100-Settings!$C$7),1,0),IF(OR($R501=TRUE(),$R501="TRUE"),1,0)))</f>
        <v/>
      </c>
      <c r="W501">
        <f>IF($T501=1,IFERROR(IF(VALUE($A501)&lt;100000000,VALUE($A501),1000000000),IFERROR(IF(VALUE(MID($A501,2,20))&lt;100000000,VALUE(MID($A501,2,20)),1000000000),1000000000))+ROW()/100000,"")</f>
        <v/>
      </c>
    </row>
    <row r="502">
      <c r="F502" s="7">
        <f>IF($A502="","",E502*K502/100)</f>
        <v/>
      </c>
      <c r="J502" s="7" t="n"/>
      <c r="K502" s="7" t="n"/>
      <c r="L502" s="7">
        <f>IF($A502="","",S502*K502)</f>
        <v/>
      </c>
      <c r="M502" s="7">
        <f>IF($A502="","",K502-L502)</f>
        <v/>
      </c>
      <c r="N502" s="7">
        <f>IF($A502="","",M502-F502)</f>
        <v/>
      </c>
      <c r="Q502" s="11" t="n"/>
      <c r="S502">
        <f>IF($A502="","",IF(AND(ISNUMBER($R502),NOT(ISLOGICAL($R502)),N($R502)&gt;1),$R502/100*1,IF($V502=1,Settings!$C$6,Settings!$C$7)*1))</f>
        <v/>
      </c>
      <c r="T502">
        <f>IF($A502="","",IF(COUNTIF($A$2:$A502,$A502)=1,1,0))</f>
        <v/>
      </c>
      <c r="U502">
        <f>IF($T502=1,SUMPRODUCT(--($W$2:$W$1001&lt;$W502))+1,"")</f>
        <v/>
      </c>
      <c r="V502">
        <f>IF($A502="","",IF(AND(ISNUMBER($R502),NOT(ISLOGICAL($R502)),N($R502)&gt;1),IF(ABS($R502/100-Settings!$C$6)&lt;=ABS($R502/100-Settings!$C$7),1,0),IF(OR($R502=TRUE(),$R502="TRUE"),1,0)))</f>
        <v/>
      </c>
      <c r="W502">
        <f>IF($T502=1,IFERROR(IF(VALUE($A502)&lt;100000000,VALUE($A502),1000000000),IFERROR(IF(VALUE(MID($A502,2,20))&lt;100000000,VALUE(MID($A502,2,20)),1000000000),1000000000))+ROW()/100000,"")</f>
        <v/>
      </c>
    </row>
    <row r="503">
      <c r="F503" s="7">
        <f>IF($A503="","",E503*K503/100)</f>
        <v/>
      </c>
      <c r="J503" s="7" t="n"/>
      <c r="K503" s="7" t="n"/>
      <c r="L503" s="7">
        <f>IF($A503="","",S503*K503)</f>
        <v/>
      </c>
      <c r="M503" s="7">
        <f>IF($A503="","",K503-L503)</f>
        <v/>
      </c>
      <c r="N503" s="7">
        <f>IF($A503="","",M503-F503)</f>
        <v/>
      </c>
      <c r="Q503" s="11" t="n"/>
      <c r="S503">
        <f>IF($A503="","",IF(AND(ISNUMBER($R503),NOT(ISLOGICAL($R503)),N($R503)&gt;1),$R503/100*1,IF($V503=1,Settings!$C$6,Settings!$C$7)*1))</f>
        <v/>
      </c>
      <c r="T503">
        <f>IF($A503="","",IF(COUNTIF($A$2:$A503,$A503)=1,1,0))</f>
        <v/>
      </c>
      <c r="U503">
        <f>IF($T503=1,SUMPRODUCT(--($W$2:$W$1001&lt;$W503))+1,"")</f>
        <v/>
      </c>
      <c r="V503">
        <f>IF($A503="","",IF(AND(ISNUMBER($R503),NOT(ISLOGICAL($R503)),N($R503)&gt;1),IF(ABS($R503/100-Settings!$C$6)&lt;=ABS($R503/100-Settings!$C$7),1,0),IF(OR($R503=TRUE(),$R503="TRUE"),1,0)))</f>
        <v/>
      </c>
      <c r="W503">
        <f>IF($T503=1,IFERROR(IF(VALUE($A503)&lt;100000000,VALUE($A503),1000000000),IFERROR(IF(VALUE(MID($A503,2,20))&lt;100000000,VALUE(MID($A503,2,20)),1000000000),1000000000))+ROW()/100000,"")</f>
        <v/>
      </c>
    </row>
    <row r="504">
      <c r="F504" s="7">
        <f>IF($A504="","",E504*K504/100)</f>
        <v/>
      </c>
      <c r="J504" s="7" t="n"/>
      <c r="K504" s="7" t="n"/>
      <c r="L504" s="7">
        <f>IF($A504="","",S504*K504)</f>
        <v/>
      </c>
      <c r="M504" s="7">
        <f>IF($A504="","",K504-L504)</f>
        <v/>
      </c>
      <c r="N504" s="7">
        <f>IF($A504="","",M504-F504)</f>
        <v/>
      </c>
      <c r="Q504" s="11" t="n"/>
      <c r="S504">
        <f>IF($A504="","",IF(AND(ISNUMBER($R504),NOT(ISLOGICAL($R504)),N($R504)&gt;1),$R504/100*1,IF($V504=1,Settings!$C$6,Settings!$C$7)*1))</f>
        <v/>
      </c>
      <c r="T504">
        <f>IF($A504="","",IF(COUNTIF($A$2:$A504,$A504)=1,1,0))</f>
        <v/>
      </c>
      <c r="U504">
        <f>IF($T504=1,SUMPRODUCT(--($W$2:$W$1001&lt;$W504))+1,"")</f>
        <v/>
      </c>
      <c r="V504">
        <f>IF($A504="","",IF(AND(ISNUMBER($R504),NOT(ISLOGICAL($R504)),N($R504)&gt;1),IF(ABS($R504/100-Settings!$C$6)&lt;=ABS($R504/100-Settings!$C$7),1,0),IF(OR($R504=TRUE(),$R504="TRUE"),1,0)))</f>
        <v/>
      </c>
      <c r="W504">
        <f>IF($T504=1,IFERROR(IF(VALUE($A504)&lt;100000000,VALUE($A504),1000000000),IFERROR(IF(VALUE(MID($A504,2,20))&lt;100000000,VALUE(MID($A504,2,20)),1000000000),1000000000))+ROW()/100000,"")</f>
        <v/>
      </c>
    </row>
    <row r="505">
      <c r="F505" s="7">
        <f>IF($A505="","",E505*K505/100)</f>
        <v/>
      </c>
      <c r="J505" s="7" t="n"/>
      <c r="K505" s="7" t="n"/>
      <c r="L505" s="7">
        <f>IF($A505="","",S505*K505)</f>
        <v/>
      </c>
      <c r="M505" s="7">
        <f>IF($A505="","",K505-L505)</f>
        <v/>
      </c>
      <c r="N505" s="7">
        <f>IF($A505="","",M505-F505)</f>
        <v/>
      </c>
      <c r="Q505" s="11" t="n"/>
      <c r="S505">
        <f>IF($A505="","",IF(AND(ISNUMBER($R505),NOT(ISLOGICAL($R505)),N($R505)&gt;1),$R505/100*1,IF($V505=1,Settings!$C$6,Settings!$C$7)*1))</f>
        <v/>
      </c>
      <c r="T505">
        <f>IF($A505="","",IF(COUNTIF($A$2:$A505,$A505)=1,1,0))</f>
        <v/>
      </c>
      <c r="U505">
        <f>IF($T505=1,SUMPRODUCT(--($W$2:$W$1001&lt;$W505))+1,"")</f>
        <v/>
      </c>
      <c r="V505">
        <f>IF($A505="","",IF(AND(ISNUMBER($R505),NOT(ISLOGICAL($R505)),N($R505)&gt;1),IF(ABS($R505/100-Settings!$C$6)&lt;=ABS($R505/100-Settings!$C$7),1,0),IF(OR($R505=TRUE(),$R505="TRUE"),1,0)))</f>
        <v/>
      </c>
      <c r="W505">
        <f>IF($T505=1,IFERROR(IF(VALUE($A505)&lt;100000000,VALUE($A505),1000000000),IFERROR(IF(VALUE(MID($A505,2,20))&lt;100000000,VALUE(MID($A505,2,20)),1000000000),1000000000))+ROW()/100000,"")</f>
        <v/>
      </c>
    </row>
    <row r="506">
      <c r="F506" s="7">
        <f>IF($A506="","",E506*K506/100)</f>
        <v/>
      </c>
      <c r="J506" s="7" t="n"/>
      <c r="K506" s="7" t="n"/>
      <c r="L506" s="7">
        <f>IF($A506="","",S506*K506)</f>
        <v/>
      </c>
      <c r="M506" s="7">
        <f>IF($A506="","",K506-L506)</f>
        <v/>
      </c>
      <c r="N506" s="7">
        <f>IF($A506="","",M506-F506)</f>
        <v/>
      </c>
      <c r="Q506" s="11" t="n"/>
      <c r="S506">
        <f>IF($A506="","",IF(AND(ISNUMBER($R506),NOT(ISLOGICAL($R506)),N($R506)&gt;1),$R506/100*1,IF($V506=1,Settings!$C$6,Settings!$C$7)*1))</f>
        <v/>
      </c>
      <c r="T506">
        <f>IF($A506="","",IF(COUNTIF($A$2:$A506,$A506)=1,1,0))</f>
        <v/>
      </c>
      <c r="U506">
        <f>IF($T506=1,SUMPRODUCT(--($W$2:$W$1001&lt;$W506))+1,"")</f>
        <v/>
      </c>
      <c r="V506">
        <f>IF($A506="","",IF(AND(ISNUMBER($R506),NOT(ISLOGICAL($R506)),N($R506)&gt;1),IF(ABS($R506/100-Settings!$C$6)&lt;=ABS($R506/100-Settings!$C$7),1,0),IF(OR($R506=TRUE(),$R506="TRUE"),1,0)))</f>
        <v/>
      </c>
      <c r="W506">
        <f>IF($T506=1,IFERROR(IF(VALUE($A506)&lt;100000000,VALUE($A506),1000000000),IFERROR(IF(VALUE(MID($A506,2,20))&lt;100000000,VALUE(MID($A506,2,20)),1000000000),1000000000))+ROW()/100000,"")</f>
        <v/>
      </c>
    </row>
    <row r="507">
      <c r="F507" s="7">
        <f>IF($A507="","",E507*K507/100)</f>
        <v/>
      </c>
      <c r="J507" s="7" t="n"/>
      <c r="K507" s="7" t="n"/>
      <c r="L507" s="7">
        <f>IF($A507="","",S507*K507)</f>
        <v/>
      </c>
      <c r="M507" s="7">
        <f>IF($A507="","",K507-L507)</f>
        <v/>
      </c>
      <c r="N507" s="7">
        <f>IF($A507="","",M507-F507)</f>
        <v/>
      </c>
      <c r="Q507" s="11" t="n"/>
      <c r="S507">
        <f>IF($A507="","",IF(AND(ISNUMBER($R507),NOT(ISLOGICAL($R507)),N($R507)&gt;1),$R507/100*1,IF($V507=1,Settings!$C$6,Settings!$C$7)*1))</f>
        <v/>
      </c>
      <c r="T507">
        <f>IF($A507="","",IF(COUNTIF($A$2:$A507,$A507)=1,1,0))</f>
        <v/>
      </c>
      <c r="U507">
        <f>IF($T507=1,SUMPRODUCT(--($W$2:$W$1001&lt;$W507))+1,"")</f>
        <v/>
      </c>
      <c r="V507">
        <f>IF($A507="","",IF(AND(ISNUMBER($R507),NOT(ISLOGICAL($R507)),N($R507)&gt;1),IF(ABS($R507/100-Settings!$C$6)&lt;=ABS($R507/100-Settings!$C$7),1,0),IF(OR($R507=TRUE(),$R507="TRUE"),1,0)))</f>
        <v/>
      </c>
      <c r="W507">
        <f>IF($T507=1,IFERROR(IF(VALUE($A507)&lt;100000000,VALUE($A507),1000000000),IFERROR(IF(VALUE(MID($A507,2,20))&lt;100000000,VALUE(MID($A507,2,20)),1000000000),1000000000))+ROW()/100000,"")</f>
        <v/>
      </c>
    </row>
    <row r="508">
      <c r="F508" s="7">
        <f>IF($A508="","",E508*K508/100)</f>
        <v/>
      </c>
      <c r="J508" s="7" t="n"/>
      <c r="K508" s="7" t="n"/>
      <c r="L508" s="7">
        <f>IF($A508="","",S508*K508)</f>
        <v/>
      </c>
      <c r="M508" s="7">
        <f>IF($A508="","",K508-L508)</f>
        <v/>
      </c>
      <c r="N508" s="7">
        <f>IF($A508="","",M508-F508)</f>
        <v/>
      </c>
      <c r="Q508" s="11" t="n"/>
      <c r="S508">
        <f>IF($A508="","",IF(AND(ISNUMBER($R508),NOT(ISLOGICAL($R508)),N($R508)&gt;1),$R508/100*1,IF($V508=1,Settings!$C$6,Settings!$C$7)*1))</f>
        <v/>
      </c>
      <c r="T508">
        <f>IF($A508="","",IF(COUNTIF($A$2:$A508,$A508)=1,1,0))</f>
        <v/>
      </c>
      <c r="U508">
        <f>IF($T508=1,SUMPRODUCT(--($W$2:$W$1001&lt;$W508))+1,"")</f>
        <v/>
      </c>
      <c r="V508">
        <f>IF($A508="","",IF(AND(ISNUMBER($R508),NOT(ISLOGICAL($R508)),N($R508)&gt;1),IF(ABS($R508/100-Settings!$C$6)&lt;=ABS($R508/100-Settings!$C$7),1,0),IF(OR($R508=TRUE(),$R508="TRUE"),1,0)))</f>
        <v/>
      </c>
      <c r="W508">
        <f>IF($T508=1,IFERROR(IF(VALUE($A508)&lt;100000000,VALUE($A508),1000000000),IFERROR(IF(VALUE(MID($A508,2,20))&lt;100000000,VALUE(MID($A508,2,20)),1000000000),1000000000))+ROW()/100000,"")</f>
        <v/>
      </c>
    </row>
    <row r="509">
      <c r="F509" s="7">
        <f>IF($A509="","",E509*K509/100)</f>
        <v/>
      </c>
      <c r="J509" s="7" t="n"/>
      <c r="K509" s="7" t="n"/>
      <c r="L509" s="7">
        <f>IF($A509="","",S509*K509)</f>
        <v/>
      </c>
      <c r="M509" s="7">
        <f>IF($A509="","",K509-L509)</f>
        <v/>
      </c>
      <c r="N509" s="7">
        <f>IF($A509="","",M509-F509)</f>
        <v/>
      </c>
      <c r="Q509" s="11" t="n"/>
      <c r="S509">
        <f>IF($A509="","",IF(AND(ISNUMBER($R509),NOT(ISLOGICAL($R509)),N($R509)&gt;1),$R509/100*1,IF($V509=1,Settings!$C$6,Settings!$C$7)*1))</f>
        <v/>
      </c>
      <c r="T509">
        <f>IF($A509="","",IF(COUNTIF($A$2:$A509,$A509)=1,1,0))</f>
        <v/>
      </c>
      <c r="U509">
        <f>IF($T509=1,SUMPRODUCT(--($W$2:$W$1001&lt;$W509))+1,"")</f>
        <v/>
      </c>
      <c r="V509">
        <f>IF($A509="","",IF(AND(ISNUMBER($R509),NOT(ISLOGICAL($R509)),N($R509)&gt;1),IF(ABS($R509/100-Settings!$C$6)&lt;=ABS($R509/100-Settings!$C$7),1,0),IF(OR($R509=TRUE(),$R509="TRUE"),1,0)))</f>
        <v/>
      </c>
      <c r="W509">
        <f>IF($T509=1,IFERROR(IF(VALUE($A509)&lt;100000000,VALUE($A509),1000000000),IFERROR(IF(VALUE(MID($A509,2,20))&lt;100000000,VALUE(MID($A509,2,20)),1000000000),1000000000))+ROW()/100000,"")</f>
        <v/>
      </c>
    </row>
    <row r="510">
      <c r="F510" s="7">
        <f>IF($A510="","",E510*K510/100)</f>
        <v/>
      </c>
      <c r="J510" s="7" t="n"/>
      <c r="K510" s="7" t="n"/>
      <c r="L510" s="7">
        <f>IF($A510="","",S510*K510)</f>
        <v/>
      </c>
      <c r="M510" s="7">
        <f>IF($A510="","",K510-L510)</f>
        <v/>
      </c>
      <c r="N510" s="7">
        <f>IF($A510="","",M510-F510)</f>
        <v/>
      </c>
      <c r="Q510" s="11" t="n"/>
      <c r="S510">
        <f>IF($A510="","",IF(AND(ISNUMBER($R510),NOT(ISLOGICAL($R510)),N($R510)&gt;1),$R510/100*1,IF($V510=1,Settings!$C$6,Settings!$C$7)*1))</f>
        <v/>
      </c>
      <c r="T510">
        <f>IF($A510="","",IF(COUNTIF($A$2:$A510,$A510)=1,1,0))</f>
        <v/>
      </c>
      <c r="U510">
        <f>IF($T510=1,SUMPRODUCT(--($W$2:$W$1001&lt;$W510))+1,"")</f>
        <v/>
      </c>
      <c r="V510">
        <f>IF($A510="","",IF(AND(ISNUMBER($R510),NOT(ISLOGICAL($R510)),N($R510)&gt;1),IF(ABS($R510/100-Settings!$C$6)&lt;=ABS($R510/100-Settings!$C$7),1,0),IF(OR($R510=TRUE(),$R510="TRUE"),1,0)))</f>
        <v/>
      </c>
      <c r="W510">
        <f>IF($T510=1,IFERROR(IF(VALUE($A510)&lt;100000000,VALUE($A510),1000000000),IFERROR(IF(VALUE(MID($A510,2,20))&lt;100000000,VALUE(MID($A510,2,20)),1000000000),1000000000))+ROW()/100000,"")</f>
        <v/>
      </c>
    </row>
    <row r="511">
      <c r="F511" s="7">
        <f>IF($A511="","",E511*K511/100)</f>
        <v/>
      </c>
      <c r="J511" s="7" t="n"/>
      <c r="K511" s="7" t="n"/>
      <c r="L511" s="7">
        <f>IF($A511="","",S511*K511)</f>
        <v/>
      </c>
      <c r="M511" s="7">
        <f>IF($A511="","",K511-L511)</f>
        <v/>
      </c>
      <c r="N511" s="7">
        <f>IF($A511="","",M511-F511)</f>
        <v/>
      </c>
      <c r="Q511" s="11" t="n"/>
      <c r="S511">
        <f>IF($A511="","",IF(AND(ISNUMBER($R511),NOT(ISLOGICAL($R511)),N($R511)&gt;1),$R511/100*1,IF($V511=1,Settings!$C$6,Settings!$C$7)*1))</f>
        <v/>
      </c>
      <c r="T511">
        <f>IF($A511="","",IF(COUNTIF($A$2:$A511,$A511)=1,1,0))</f>
        <v/>
      </c>
      <c r="U511">
        <f>IF($T511=1,SUMPRODUCT(--($W$2:$W$1001&lt;$W511))+1,"")</f>
        <v/>
      </c>
      <c r="V511">
        <f>IF($A511="","",IF(AND(ISNUMBER($R511),NOT(ISLOGICAL($R511)),N($R511)&gt;1),IF(ABS($R511/100-Settings!$C$6)&lt;=ABS($R511/100-Settings!$C$7),1,0),IF(OR($R511=TRUE(),$R511="TRUE"),1,0)))</f>
        <v/>
      </c>
      <c r="W511">
        <f>IF($T511=1,IFERROR(IF(VALUE($A511)&lt;100000000,VALUE($A511),1000000000),IFERROR(IF(VALUE(MID($A511,2,20))&lt;100000000,VALUE(MID($A511,2,20)),1000000000),1000000000))+ROW()/100000,"")</f>
        <v/>
      </c>
    </row>
    <row r="512">
      <c r="F512" s="7">
        <f>IF($A512="","",E512*K512/100)</f>
        <v/>
      </c>
      <c r="J512" s="7" t="n"/>
      <c r="K512" s="7" t="n"/>
      <c r="L512" s="7">
        <f>IF($A512="","",S512*K512)</f>
        <v/>
      </c>
      <c r="M512" s="7">
        <f>IF($A512="","",K512-L512)</f>
        <v/>
      </c>
      <c r="N512" s="7">
        <f>IF($A512="","",M512-F512)</f>
        <v/>
      </c>
      <c r="Q512" s="11" t="n"/>
      <c r="S512">
        <f>IF($A512="","",IF(AND(ISNUMBER($R512),NOT(ISLOGICAL($R512)),N($R512)&gt;1),$R512/100*1,IF($V512=1,Settings!$C$6,Settings!$C$7)*1))</f>
        <v/>
      </c>
      <c r="T512">
        <f>IF($A512="","",IF(COUNTIF($A$2:$A512,$A512)=1,1,0))</f>
        <v/>
      </c>
      <c r="U512">
        <f>IF($T512=1,SUMPRODUCT(--($W$2:$W$1001&lt;$W512))+1,"")</f>
        <v/>
      </c>
      <c r="V512">
        <f>IF($A512="","",IF(AND(ISNUMBER($R512),NOT(ISLOGICAL($R512)),N($R512)&gt;1),IF(ABS($R512/100-Settings!$C$6)&lt;=ABS($R512/100-Settings!$C$7),1,0),IF(OR($R512=TRUE(),$R512="TRUE"),1,0)))</f>
        <v/>
      </c>
      <c r="W512">
        <f>IF($T512=1,IFERROR(IF(VALUE($A512)&lt;100000000,VALUE($A512),1000000000),IFERROR(IF(VALUE(MID($A512,2,20))&lt;100000000,VALUE(MID($A512,2,20)),1000000000),1000000000))+ROW()/100000,"")</f>
        <v/>
      </c>
    </row>
    <row r="513">
      <c r="F513" s="7">
        <f>IF($A513="","",E513*K513/100)</f>
        <v/>
      </c>
      <c r="J513" s="7" t="n"/>
      <c r="K513" s="7" t="n"/>
      <c r="L513" s="7">
        <f>IF($A513="","",S513*K513)</f>
        <v/>
      </c>
      <c r="M513" s="7">
        <f>IF($A513="","",K513-L513)</f>
        <v/>
      </c>
      <c r="N513" s="7">
        <f>IF($A513="","",M513-F513)</f>
        <v/>
      </c>
      <c r="Q513" s="11" t="n"/>
      <c r="S513">
        <f>IF($A513="","",IF(AND(ISNUMBER($R513),NOT(ISLOGICAL($R513)),N($R513)&gt;1),$R513/100*1,IF($V513=1,Settings!$C$6,Settings!$C$7)*1))</f>
        <v/>
      </c>
      <c r="T513">
        <f>IF($A513="","",IF(COUNTIF($A$2:$A513,$A513)=1,1,0))</f>
        <v/>
      </c>
      <c r="U513">
        <f>IF($T513=1,SUMPRODUCT(--($W$2:$W$1001&lt;$W513))+1,"")</f>
        <v/>
      </c>
      <c r="V513">
        <f>IF($A513="","",IF(AND(ISNUMBER($R513),NOT(ISLOGICAL($R513)),N($R513)&gt;1),IF(ABS($R513/100-Settings!$C$6)&lt;=ABS($R513/100-Settings!$C$7),1,0),IF(OR($R513=TRUE(),$R513="TRUE"),1,0)))</f>
        <v/>
      </c>
      <c r="W513">
        <f>IF($T513=1,IFERROR(IF(VALUE($A513)&lt;100000000,VALUE($A513),1000000000),IFERROR(IF(VALUE(MID($A513,2,20))&lt;100000000,VALUE(MID($A513,2,20)),1000000000),1000000000))+ROW()/100000,"")</f>
        <v/>
      </c>
    </row>
    <row r="514">
      <c r="F514" s="7">
        <f>IF($A514="","",E514*K514/100)</f>
        <v/>
      </c>
      <c r="J514" s="7" t="n"/>
      <c r="K514" s="7" t="n"/>
      <c r="L514" s="7">
        <f>IF($A514="","",S514*K514)</f>
        <v/>
      </c>
      <c r="M514" s="7">
        <f>IF($A514="","",K514-L514)</f>
        <v/>
      </c>
      <c r="N514" s="7">
        <f>IF($A514="","",M514-F514)</f>
        <v/>
      </c>
      <c r="Q514" s="11" t="n"/>
      <c r="S514">
        <f>IF($A514="","",IF(AND(ISNUMBER($R514),NOT(ISLOGICAL($R514)),N($R514)&gt;1),$R514/100*1,IF($V514=1,Settings!$C$6,Settings!$C$7)*1))</f>
        <v/>
      </c>
      <c r="T514">
        <f>IF($A514="","",IF(COUNTIF($A$2:$A514,$A514)=1,1,0))</f>
        <v/>
      </c>
      <c r="U514">
        <f>IF($T514=1,SUMPRODUCT(--($W$2:$W$1001&lt;$W514))+1,"")</f>
        <v/>
      </c>
      <c r="V514">
        <f>IF($A514="","",IF(AND(ISNUMBER($R514),NOT(ISLOGICAL($R514)),N($R514)&gt;1),IF(ABS($R514/100-Settings!$C$6)&lt;=ABS($R514/100-Settings!$C$7),1,0),IF(OR($R514=TRUE(),$R514="TRUE"),1,0)))</f>
        <v/>
      </c>
      <c r="W514">
        <f>IF($T514=1,IFERROR(IF(VALUE($A514)&lt;100000000,VALUE($A514),1000000000),IFERROR(IF(VALUE(MID($A514,2,20))&lt;100000000,VALUE(MID($A514,2,20)),1000000000),1000000000))+ROW()/100000,"")</f>
        <v/>
      </c>
    </row>
    <row r="515">
      <c r="F515" s="7">
        <f>IF($A515="","",E515*K515/100)</f>
        <v/>
      </c>
      <c r="J515" s="7" t="n"/>
      <c r="K515" s="7" t="n"/>
      <c r="L515" s="7">
        <f>IF($A515="","",S515*K515)</f>
        <v/>
      </c>
      <c r="M515" s="7">
        <f>IF($A515="","",K515-L515)</f>
        <v/>
      </c>
      <c r="N515" s="7">
        <f>IF($A515="","",M515-F515)</f>
        <v/>
      </c>
      <c r="Q515" s="11" t="n"/>
      <c r="S515">
        <f>IF($A515="","",IF(AND(ISNUMBER($R515),NOT(ISLOGICAL($R515)),N($R515)&gt;1),$R515/100*1,IF($V515=1,Settings!$C$6,Settings!$C$7)*1))</f>
        <v/>
      </c>
      <c r="T515">
        <f>IF($A515="","",IF(COUNTIF($A$2:$A515,$A515)=1,1,0))</f>
        <v/>
      </c>
      <c r="U515">
        <f>IF($T515=1,SUMPRODUCT(--($W$2:$W$1001&lt;$W515))+1,"")</f>
        <v/>
      </c>
      <c r="V515">
        <f>IF($A515="","",IF(AND(ISNUMBER($R515),NOT(ISLOGICAL($R515)),N($R515)&gt;1),IF(ABS($R515/100-Settings!$C$6)&lt;=ABS($R515/100-Settings!$C$7),1,0),IF(OR($R515=TRUE(),$R515="TRUE"),1,0)))</f>
        <v/>
      </c>
      <c r="W515">
        <f>IF($T515=1,IFERROR(IF(VALUE($A515)&lt;100000000,VALUE($A515),1000000000),IFERROR(IF(VALUE(MID($A515,2,20))&lt;100000000,VALUE(MID($A515,2,20)),1000000000),1000000000))+ROW()/100000,"")</f>
        <v/>
      </c>
    </row>
    <row r="516">
      <c r="F516" s="7">
        <f>IF($A516="","",E516*K516/100)</f>
        <v/>
      </c>
      <c r="J516" s="7" t="n"/>
      <c r="K516" s="7" t="n"/>
      <c r="L516" s="7">
        <f>IF($A516="","",S516*K516)</f>
        <v/>
      </c>
      <c r="M516" s="7">
        <f>IF($A516="","",K516-L516)</f>
        <v/>
      </c>
      <c r="N516" s="7">
        <f>IF($A516="","",M516-F516)</f>
        <v/>
      </c>
      <c r="Q516" s="11" t="n"/>
      <c r="S516">
        <f>IF($A516="","",IF(AND(ISNUMBER($R516),NOT(ISLOGICAL($R516)),N($R516)&gt;1),$R516/100*1,IF($V516=1,Settings!$C$6,Settings!$C$7)*1))</f>
        <v/>
      </c>
      <c r="T516">
        <f>IF($A516="","",IF(COUNTIF($A$2:$A516,$A516)=1,1,0))</f>
        <v/>
      </c>
      <c r="U516">
        <f>IF($T516=1,SUMPRODUCT(--($W$2:$W$1001&lt;$W516))+1,"")</f>
        <v/>
      </c>
      <c r="V516">
        <f>IF($A516="","",IF(AND(ISNUMBER($R516),NOT(ISLOGICAL($R516)),N($R516)&gt;1),IF(ABS($R516/100-Settings!$C$6)&lt;=ABS($R516/100-Settings!$C$7),1,0),IF(OR($R516=TRUE(),$R516="TRUE"),1,0)))</f>
        <v/>
      </c>
      <c r="W516">
        <f>IF($T516=1,IFERROR(IF(VALUE($A516)&lt;100000000,VALUE($A516),1000000000),IFERROR(IF(VALUE(MID($A516,2,20))&lt;100000000,VALUE(MID($A516,2,20)),1000000000),1000000000))+ROW()/100000,"")</f>
        <v/>
      </c>
    </row>
    <row r="517">
      <c r="F517" s="7">
        <f>IF($A517="","",E517*K517/100)</f>
        <v/>
      </c>
      <c r="J517" s="7" t="n"/>
      <c r="K517" s="7" t="n"/>
      <c r="L517" s="7">
        <f>IF($A517="","",S517*K517)</f>
        <v/>
      </c>
      <c r="M517" s="7">
        <f>IF($A517="","",K517-L517)</f>
        <v/>
      </c>
      <c r="N517" s="7">
        <f>IF($A517="","",M517-F517)</f>
        <v/>
      </c>
      <c r="Q517" s="11" t="n"/>
      <c r="S517">
        <f>IF($A517="","",IF(AND(ISNUMBER($R517),NOT(ISLOGICAL($R517)),N($R517)&gt;1),$R517/100*1,IF($V517=1,Settings!$C$6,Settings!$C$7)*1))</f>
        <v/>
      </c>
      <c r="T517">
        <f>IF($A517="","",IF(COUNTIF($A$2:$A517,$A517)=1,1,0))</f>
        <v/>
      </c>
      <c r="U517">
        <f>IF($T517=1,SUMPRODUCT(--($W$2:$W$1001&lt;$W517))+1,"")</f>
        <v/>
      </c>
      <c r="V517">
        <f>IF($A517="","",IF(AND(ISNUMBER($R517),NOT(ISLOGICAL($R517)),N($R517)&gt;1),IF(ABS($R517/100-Settings!$C$6)&lt;=ABS($R517/100-Settings!$C$7),1,0),IF(OR($R517=TRUE(),$R517="TRUE"),1,0)))</f>
        <v/>
      </c>
      <c r="W517">
        <f>IF($T517=1,IFERROR(IF(VALUE($A517)&lt;100000000,VALUE($A517),1000000000),IFERROR(IF(VALUE(MID($A517,2,20))&lt;100000000,VALUE(MID($A517,2,20)),1000000000),1000000000))+ROW()/100000,"")</f>
        <v/>
      </c>
    </row>
    <row r="518">
      <c r="F518" s="7">
        <f>IF($A518="","",E518*K518/100)</f>
        <v/>
      </c>
      <c r="J518" s="7" t="n"/>
      <c r="K518" s="7" t="n"/>
      <c r="L518" s="7">
        <f>IF($A518="","",S518*K518)</f>
        <v/>
      </c>
      <c r="M518" s="7">
        <f>IF($A518="","",K518-L518)</f>
        <v/>
      </c>
      <c r="N518" s="7">
        <f>IF($A518="","",M518-F518)</f>
        <v/>
      </c>
      <c r="Q518" s="11" t="n"/>
      <c r="S518">
        <f>IF($A518="","",IF(AND(ISNUMBER($R518),NOT(ISLOGICAL($R518)),N($R518)&gt;1),$R518/100*1,IF($V518=1,Settings!$C$6,Settings!$C$7)*1))</f>
        <v/>
      </c>
      <c r="T518">
        <f>IF($A518="","",IF(COUNTIF($A$2:$A518,$A518)=1,1,0))</f>
        <v/>
      </c>
      <c r="U518">
        <f>IF($T518=1,SUMPRODUCT(--($W$2:$W$1001&lt;$W518))+1,"")</f>
        <v/>
      </c>
      <c r="V518">
        <f>IF($A518="","",IF(AND(ISNUMBER($R518),NOT(ISLOGICAL($R518)),N($R518)&gt;1),IF(ABS($R518/100-Settings!$C$6)&lt;=ABS($R518/100-Settings!$C$7),1,0),IF(OR($R518=TRUE(),$R518="TRUE"),1,0)))</f>
        <v/>
      </c>
      <c r="W518">
        <f>IF($T518=1,IFERROR(IF(VALUE($A518)&lt;100000000,VALUE($A518),1000000000),IFERROR(IF(VALUE(MID($A518,2,20))&lt;100000000,VALUE(MID($A518,2,20)),1000000000),1000000000))+ROW()/100000,"")</f>
        <v/>
      </c>
    </row>
    <row r="519">
      <c r="F519" s="7">
        <f>IF($A519="","",E519*K519/100)</f>
        <v/>
      </c>
      <c r="J519" s="7" t="n"/>
      <c r="K519" s="7" t="n"/>
      <c r="L519" s="7">
        <f>IF($A519="","",S519*K519)</f>
        <v/>
      </c>
      <c r="M519" s="7">
        <f>IF($A519="","",K519-L519)</f>
        <v/>
      </c>
      <c r="N519" s="7">
        <f>IF($A519="","",M519-F519)</f>
        <v/>
      </c>
      <c r="Q519" s="11" t="n"/>
      <c r="S519">
        <f>IF($A519="","",IF(AND(ISNUMBER($R519),NOT(ISLOGICAL($R519)),N($R519)&gt;1),$R519/100*1,IF($V519=1,Settings!$C$6,Settings!$C$7)*1))</f>
        <v/>
      </c>
      <c r="T519">
        <f>IF($A519="","",IF(COUNTIF($A$2:$A519,$A519)=1,1,0))</f>
        <v/>
      </c>
      <c r="U519">
        <f>IF($T519=1,SUMPRODUCT(--($W$2:$W$1001&lt;$W519))+1,"")</f>
        <v/>
      </c>
      <c r="V519">
        <f>IF($A519="","",IF(AND(ISNUMBER($R519),NOT(ISLOGICAL($R519)),N($R519)&gt;1),IF(ABS($R519/100-Settings!$C$6)&lt;=ABS($R519/100-Settings!$C$7),1,0),IF(OR($R519=TRUE(),$R519="TRUE"),1,0)))</f>
        <v/>
      </c>
      <c r="W519">
        <f>IF($T519=1,IFERROR(IF(VALUE($A519)&lt;100000000,VALUE($A519),1000000000),IFERROR(IF(VALUE(MID($A519,2,20))&lt;100000000,VALUE(MID($A519,2,20)),1000000000),1000000000))+ROW()/100000,"")</f>
        <v/>
      </c>
    </row>
    <row r="520">
      <c r="F520" s="7">
        <f>IF($A520="","",E520*K520/100)</f>
        <v/>
      </c>
      <c r="J520" s="7" t="n"/>
      <c r="K520" s="7" t="n"/>
      <c r="L520" s="7">
        <f>IF($A520="","",S520*K520)</f>
        <v/>
      </c>
      <c r="M520" s="7">
        <f>IF($A520="","",K520-L520)</f>
        <v/>
      </c>
      <c r="N520" s="7">
        <f>IF($A520="","",M520-F520)</f>
        <v/>
      </c>
      <c r="Q520" s="11" t="n"/>
      <c r="S520">
        <f>IF($A520="","",IF(AND(ISNUMBER($R520),NOT(ISLOGICAL($R520)),N($R520)&gt;1),$R520/100*1,IF($V520=1,Settings!$C$6,Settings!$C$7)*1))</f>
        <v/>
      </c>
      <c r="T520">
        <f>IF($A520="","",IF(COUNTIF($A$2:$A520,$A520)=1,1,0))</f>
        <v/>
      </c>
      <c r="U520">
        <f>IF($T520=1,SUMPRODUCT(--($W$2:$W$1001&lt;$W520))+1,"")</f>
        <v/>
      </c>
      <c r="V520">
        <f>IF($A520="","",IF(AND(ISNUMBER($R520),NOT(ISLOGICAL($R520)),N($R520)&gt;1),IF(ABS($R520/100-Settings!$C$6)&lt;=ABS($R520/100-Settings!$C$7),1,0),IF(OR($R520=TRUE(),$R520="TRUE"),1,0)))</f>
        <v/>
      </c>
      <c r="W520">
        <f>IF($T520=1,IFERROR(IF(VALUE($A520)&lt;100000000,VALUE($A520),1000000000),IFERROR(IF(VALUE(MID($A520,2,20))&lt;100000000,VALUE(MID($A520,2,20)),1000000000),1000000000))+ROW()/100000,"")</f>
        <v/>
      </c>
    </row>
    <row r="521">
      <c r="F521" s="7">
        <f>IF($A521="","",E521*K521/100)</f>
        <v/>
      </c>
      <c r="J521" s="7" t="n"/>
      <c r="K521" s="7" t="n"/>
      <c r="L521" s="7">
        <f>IF($A521="","",S521*K521)</f>
        <v/>
      </c>
      <c r="M521" s="7">
        <f>IF($A521="","",K521-L521)</f>
        <v/>
      </c>
      <c r="N521" s="7">
        <f>IF($A521="","",M521-F521)</f>
        <v/>
      </c>
      <c r="Q521" s="11" t="n"/>
      <c r="S521">
        <f>IF($A521="","",IF(AND(ISNUMBER($R521),NOT(ISLOGICAL($R521)),N($R521)&gt;1),$R521/100*1,IF($V521=1,Settings!$C$6,Settings!$C$7)*1))</f>
        <v/>
      </c>
      <c r="T521">
        <f>IF($A521="","",IF(COUNTIF($A$2:$A521,$A521)=1,1,0))</f>
        <v/>
      </c>
      <c r="U521">
        <f>IF($T521=1,SUMPRODUCT(--($W$2:$W$1001&lt;$W521))+1,"")</f>
        <v/>
      </c>
      <c r="V521">
        <f>IF($A521="","",IF(AND(ISNUMBER($R521),NOT(ISLOGICAL($R521)),N($R521)&gt;1),IF(ABS($R521/100-Settings!$C$6)&lt;=ABS($R521/100-Settings!$C$7),1,0),IF(OR($R521=TRUE(),$R521="TRUE"),1,0)))</f>
        <v/>
      </c>
      <c r="W521">
        <f>IF($T521=1,IFERROR(IF(VALUE($A521)&lt;100000000,VALUE($A521),1000000000),IFERROR(IF(VALUE(MID($A521,2,20))&lt;100000000,VALUE(MID($A521,2,20)),1000000000),1000000000))+ROW()/100000,"")</f>
        <v/>
      </c>
    </row>
    <row r="522">
      <c r="F522" s="7">
        <f>IF($A522="","",E522*K522/100)</f>
        <v/>
      </c>
      <c r="J522" s="7" t="n"/>
      <c r="K522" s="7" t="n"/>
      <c r="L522" s="7">
        <f>IF($A522="","",S522*K522)</f>
        <v/>
      </c>
      <c r="M522" s="7">
        <f>IF($A522="","",K522-L522)</f>
        <v/>
      </c>
      <c r="N522" s="7">
        <f>IF($A522="","",M522-F522)</f>
        <v/>
      </c>
      <c r="Q522" s="11" t="n"/>
      <c r="S522">
        <f>IF($A522="","",IF(AND(ISNUMBER($R522),NOT(ISLOGICAL($R522)),N($R522)&gt;1),$R522/100*1,IF($V522=1,Settings!$C$6,Settings!$C$7)*1))</f>
        <v/>
      </c>
      <c r="T522">
        <f>IF($A522="","",IF(COUNTIF($A$2:$A522,$A522)=1,1,0))</f>
        <v/>
      </c>
      <c r="U522">
        <f>IF($T522=1,SUMPRODUCT(--($W$2:$W$1001&lt;$W522))+1,"")</f>
        <v/>
      </c>
      <c r="V522">
        <f>IF($A522="","",IF(AND(ISNUMBER($R522),NOT(ISLOGICAL($R522)),N($R522)&gt;1),IF(ABS($R522/100-Settings!$C$6)&lt;=ABS($R522/100-Settings!$C$7),1,0),IF(OR($R522=TRUE(),$R522="TRUE"),1,0)))</f>
        <v/>
      </c>
      <c r="W522">
        <f>IF($T522=1,IFERROR(IF(VALUE($A522)&lt;100000000,VALUE($A522),1000000000),IFERROR(IF(VALUE(MID($A522,2,20))&lt;100000000,VALUE(MID($A522,2,20)),1000000000),1000000000))+ROW()/100000,"")</f>
        <v/>
      </c>
    </row>
    <row r="523">
      <c r="F523" s="7">
        <f>IF($A523="","",E523*K523/100)</f>
        <v/>
      </c>
      <c r="J523" s="7" t="n"/>
      <c r="K523" s="7" t="n"/>
      <c r="L523" s="7">
        <f>IF($A523="","",S523*K523)</f>
        <v/>
      </c>
      <c r="M523" s="7">
        <f>IF($A523="","",K523-L523)</f>
        <v/>
      </c>
      <c r="N523" s="7">
        <f>IF($A523="","",M523-F523)</f>
        <v/>
      </c>
      <c r="Q523" s="11" t="n"/>
      <c r="S523">
        <f>IF($A523="","",IF(AND(ISNUMBER($R523),NOT(ISLOGICAL($R523)),N($R523)&gt;1),$R523/100*1,IF($V523=1,Settings!$C$6,Settings!$C$7)*1))</f>
        <v/>
      </c>
      <c r="T523">
        <f>IF($A523="","",IF(COUNTIF($A$2:$A523,$A523)=1,1,0))</f>
        <v/>
      </c>
      <c r="U523">
        <f>IF($T523=1,SUMPRODUCT(--($W$2:$W$1001&lt;$W523))+1,"")</f>
        <v/>
      </c>
      <c r="V523">
        <f>IF($A523="","",IF(AND(ISNUMBER($R523),NOT(ISLOGICAL($R523)),N($R523)&gt;1),IF(ABS($R523/100-Settings!$C$6)&lt;=ABS($R523/100-Settings!$C$7),1,0),IF(OR($R523=TRUE(),$R523="TRUE"),1,0)))</f>
        <v/>
      </c>
      <c r="W523">
        <f>IF($T523=1,IFERROR(IF(VALUE($A523)&lt;100000000,VALUE($A523),1000000000),IFERROR(IF(VALUE(MID($A523,2,20))&lt;100000000,VALUE(MID($A523,2,20)),1000000000),1000000000))+ROW()/100000,"")</f>
        <v/>
      </c>
    </row>
    <row r="524">
      <c r="F524" s="7">
        <f>IF($A524="","",E524*K524/100)</f>
        <v/>
      </c>
      <c r="J524" s="7" t="n"/>
      <c r="K524" s="7" t="n"/>
      <c r="L524" s="7">
        <f>IF($A524="","",S524*K524)</f>
        <v/>
      </c>
      <c r="M524" s="7">
        <f>IF($A524="","",K524-L524)</f>
        <v/>
      </c>
      <c r="N524" s="7">
        <f>IF($A524="","",M524-F524)</f>
        <v/>
      </c>
      <c r="Q524" s="11" t="n"/>
      <c r="S524">
        <f>IF($A524="","",IF(AND(ISNUMBER($R524),NOT(ISLOGICAL($R524)),N($R524)&gt;1),$R524/100*1,IF($V524=1,Settings!$C$6,Settings!$C$7)*1))</f>
        <v/>
      </c>
      <c r="T524">
        <f>IF($A524="","",IF(COUNTIF($A$2:$A524,$A524)=1,1,0))</f>
        <v/>
      </c>
      <c r="U524">
        <f>IF($T524=1,SUMPRODUCT(--($W$2:$W$1001&lt;$W524))+1,"")</f>
        <v/>
      </c>
      <c r="V524">
        <f>IF($A524="","",IF(AND(ISNUMBER($R524),NOT(ISLOGICAL($R524)),N($R524)&gt;1),IF(ABS($R524/100-Settings!$C$6)&lt;=ABS($R524/100-Settings!$C$7),1,0),IF(OR($R524=TRUE(),$R524="TRUE"),1,0)))</f>
        <v/>
      </c>
      <c r="W524">
        <f>IF($T524=1,IFERROR(IF(VALUE($A524)&lt;100000000,VALUE($A524),1000000000),IFERROR(IF(VALUE(MID($A524,2,20))&lt;100000000,VALUE(MID($A524,2,20)),1000000000),1000000000))+ROW()/100000,"")</f>
        <v/>
      </c>
    </row>
    <row r="525">
      <c r="F525" s="7">
        <f>IF($A525="","",E525*K525/100)</f>
        <v/>
      </c>
      <c r="J525" s="7" t="n"/>
      <c r="K525" s="7" t="n"/>
      <c r="L525" s="7">
        <f>IF($A525="","",S525*K525)</f>
        <v/>
      </c>
      <c r="M525" s="7">
        <f>IF($A525="","",K525-L525)</f>
        <v/>
      </c>
      <c r="N525" s="7">
        <f>IF($A525="","",M525-F525)</f>
        <v/>
      </c>
      <c r="Q525" s="11" t="n"/>
      <c r="S525">
        <f>IF($A525="","",IF(AND(ISNUMBER($R525),NOT(ISLOGICAL($R525)),N($R525)&gt;1),$R525/100*1,IF($V525=1,Settings!$C$6,Settings!$C$7)*1))</f>
        <v/>
      </c>
      <c r="T525">
        <f>IF($A525="","",IF(COUNTIF($A$2:$A525,$A525)=1,1,0))</f>
        <v/>
      </c>
      <c r="U525">
        <f>IF($T525=1,SUMPRODUCT(--($W$2:$W$1001&lt;$W525))+1,"")</f>
        <v/>
      </c>
      <c r="V525">
        <f>IF($A525="","",IF(AND(ISNUMBER($R525),NOT(ISLOGICAL($R525)),N($R525)&gt;1),IF(ABS($R525/100-Settings!$C$6)&lt;=ABS($R525/100-Settings!$C$7),1,0),IF(OR($R525=TRUE(),$R525="TRUE"),1,0)))</f>
        <v/>
      </c>
      <c r="W525">
        <f>IF($T525=1,IFERROR(IF(VALUE($A525)&lt;100000000,VALUE($A525),1000000000),IFERROR(IF(VALUE(MID($A525,2,20))&lt;100000000,VALUE(MID($A525,2,20)),1000000000),1000000000))+ROW()/100000,"")</f>
        <v/>
      </c>
    </row>
    <row r="526">
      <c r="F526" s="7">
        <f>IF($A526="","",E526*K526/100)</f>
        <v/>
      </c>
      <c r="J526" s="7" t="n"/>
      <c r="K526" s="7" t="n"/>
      <c r="L526" s="7">
        <f>IF($A526="","",S526*K526)</f>
        <v/>
      </c>
      <c r="M526" s="7">
        <f>IF($A526="","",K526-L526)</f>
        <v/>
      </c>
      <c r="N526" s="7">
        <f>IF($A526="","",M526-F526)</f>
        <v/>
      </c>
      <c r="Q526" s="11" t="n"/>
      <c r="S526">
        <f>IF($A526="","",IF(AND(ISNUMBER($R526),NOT(ISLOGICAL($R526)),N($R526)&gt;1),$R526/100*1,IF($V526=1,Settings!$C$6,Settings!$C$7)*1))</f>
        <v/>
      </c>
      <c r="T526">
        <f>IF($A526="","",IF(COUNTIF($A$2:$A526,$A526)=1,1,0))</f>
        <v/>
      </c>
      <c r="U526">
        <f>IF($T526=1,SUMPRODUCT(--($W$2:$W$1001&lt;$W526))+1,"")</f>
        <v/>
      </c>
      <c r="V526">
        <f>IF($A526="","",IF(AND(ISNUMBER($R526),NOT(ISLOGICAL($R526)),N($R526)&gt;1),IF(ABS($R526/100-Settings!$C$6)&lt;=ABS($R526/100-Settings!$C$7),1,0),IF(OR($R526=TRUE(),$R526="TRUE"),1,0)))</f>
        <v/>
      </c>
      <c r="W526">
        <f>IF($T526=1,IFERROR(IF(VALUE($A526)&lt;100000000,VALUE($A526),1000000000),IFERROR(IF(VALUE(MID($A526,2,20))&lt;100000000,VALUE(MID($A526,2,20)),1000000000),1000000000))+ROW()/100000,"")</f>
        <v/>
      </c>
    </row>
    <row r="527">
      <c r="F527" s="7">
        <f>IF($A527="","",E527*K527/100)</f>
        <v/>
      </c>
      <c r="J527" s="7" t="n"/>
      <c r="K527" s="7" t="n"/>
      <c r="L527" s="7">
        <f>IF($A527="","",S527*K527)</f>
        <v/>
      </c>
      <c r="M527" s="7">
        <f>IF($A527="","",K527-L527)</f>
        <v/>
      </c>
      <c r="N527" s="7">
        <f>IF($A527="","",M527-F527)</f>
        <v/>
      </c>
      <c r="Q527" s="11" t="n"/>
      <c r="S527">
        <f>IF($A527="","",IF(AND(ISNUMBER($R527),NOT(ISLOGICAL($R527)),N($R527)&gt;1),$R527/100*1,IF($V527=1,Settings!$C$6,Settings!$C$7)*1))</f>
        <v/>
      </c>
      <c r="T527">
        <f>IF($A527="","",IF(COUNTIF($A$2:$A527,$A527)=1,1,0))</f>
        <v/>
      </c>
      <c r="U527">
        <f>IF($T527=1,SUMPRODUCT(--($W$2:$W$1001&lt;$W527))+1,"")</f>
        <v/>
      </c>
      <c r="V527">
        <f>IF($A527="","",IF(AND(ISNUMBER($R527),NOT(ISLOGICAL($R527)),N($R527)&gt;1),IF(ABS($R527/100-Settings!$C$6)&lt;=ABS($R527/100-Settings!$C$7),1,0),IF(OR($R527=TRUE(),$R527="TRUE"),1,0)))</f>
        <v/>
      </c>
      <c r="W527">
        <f>IF($T527=1,IFERROR(IF(VALUE($A527)&lt;100000000,VALUE($A527),1000000000),IFERROR(IF(VALUE(MID($A527,2,20))&lt;100000000,VALUE(MID($A527,2,20)),1000000000),1000000000))+ROW()/100000,"")</f>
        <v/>
      </c>
    </row>
    <row r="528">
      <c r="F528" s="7">
        <f>IF($A528="","",E528*K528/100)</f>
        <v/>
      </c>
      <c r="J528" s="7" t="n"/>
      <c r="K528" s="7" t="n"/>
      <c r="L528" s="7">
        <f>IF($A528="","",S528*K528)</f>
        <v/>
      </c>
      <c r="M528" s="7">
        <f>IF($A528="","",K528-L528)</f>
        <v/>
      </c>
      <c r="N528" s="7">
        <f>IF($A528="","",M528-F528)</f>
        <v/>
      </c>
      <c r="Q528" s="11" t="n"/>
      <c r="S528">
        <f>IF($A528="","",IF(AND(ISNUMBER($R528),NOT(ISLOGICAL($R528)),N($R528)&gt;1),$R528/100*1,IF($V528=1,Settings!$C$6,Settings!$C$7)*1))</f>
        <v/>
      </c>
      <c r="T528">
        <f>IF($A528="","",IF(COUNTIF($A$2:$A528,$A528)=1,1,0))</f>
        <v/>
      </c>
      <c r="U528">
        <f>IF($T528=1,SUMPRODUCT(--($W$2:$W$1001&lt;$W528))+1,"")</f>
        <v/>
      </c>
      <c r="V528">
        <f>IF($A528="","",IF(AND(ISNUMBER($R528),NOT(ISLOGICAL($R528)),N($R528)&gt;1),IF(ABS($R528/100-Settings!$C$6)&lt;=ABS($R528/100-Settings!$C$7),1,0),IF(OR($R528=TRUE(),$R528="TRUE"),1,0)))</f>
        <v/>
      </c>
      <c r="W528">
        <f>IF($T528=1,IFERROR(IF(VALUE($A528)&lt;100000000,VALUE($A528),1000000000),IFERROR(IF(VALUE(MID($A528,2,20))&lt;100000000,VALUE(MID($A528,2,20)),1000000000),1000000000))+ROW()/100000,"")</f>
        <v/>
      </c>
    </row>
    <row r="529">
      <c r="F529" s="7">
        <f>IF($A529="","",E529*K529/100)</f>
        <v/>
      </c>
      <c r="J529" s="7" t="n"/>
      <c r="K529" s="7" t="n"/>
      <c r="L529" s="7">
        <f>IF($A529="","",S529*K529)</f>
        <v/>
      </c>
      <c r="M529" s="7">
        <f>IF($A529="","",K529-L529)</f>
        <v/>
      </c>
      <c r="N529" s="7">
        <f>IF($A529="","",M529-F529)</f>
        <v/>
      </c>
      <c r="Q529" s="11" t="n"/>
      <c r="S529">
        <f>IF($A529="","",IF(AND(ISNUMBER($R529),NOT(ISLOGICAL($R529)),N($R529)&gt;1),$R529/100*1,IF($V529=1,Settings!$C$6,Settings!$C$7)*1))</f>
        <v/>
      </c>
      <c r="T529">
        <f>IF($A529="","",IF(COUNTIF($A$2:$A529,$A529)=1,1,0))</f>
        <v/>
      </c>
      <c r="U529">
        <f>IF($T529=1,SUMPRODUCT(--($W$2:$W$1001&lt;$W529))+1,"")</f>
        <v/>
      </c>
      <c r="V529">
        <f>IF($A529="","",IF(AND(ISNUMBER($R529),NOT(ISLOGICAL($R529)),N($R529)&gt;1),IF(ABS($R529/100-Settings!$C$6)&lt;=ABS($R529/100-Settings!$C$7),1,0),IF(OR($R529=TRUE(),$R529="TRUE"),1,0)))</f>
        <v/>
      </c>
      <c r="W529">
        <f>IF($T529=1,IFERROR(IF(VALUE($A529)&lt;100000000,VALUE($A529),1000000000),IFERROR(IF(VALUE(MID($A529,2,20))&lt;100000000,VALUE(MID($A529,2,20)),1000000000),1000000000))+ROW()/100000,"")</f>
        <v/>
      </c>
    </row>
    <row r="530">
      <c r="F530" s="7">
        <f>IF($A530="","",E530*K530/100)</f>
        <v/>
      </c>
      <c r="J530" s="7" t="n"/>
      <c r="K530" s="7" t="n"/>
      <c r="L530" s="7">
        <f>IF($A530="","",S530*K530)</f>
        <v/>
      </c>
      <c r="M530" s="7">
        <f>IF($A530="","",K530-L530)</f>
        <v/>
      </c>
      <c r="N530" s="7">
        <f>IF($A530="","",M530-F530)</f>
        <v/>
      </c>
      <c r="Q530" s="11" t="n"/>
      <c r="S530">
        <f>IF($A530="","",IF(AND(ISNUMBER($R530),NOT(ISLOGICAL($R530)),N($R530)&gt;1),$R530/100*1,IF($V530=1,Settings!$C$6,Settings!$C$7)*1))</f>
        <v/>
      </c>
      <c r="T530">
        <f>IF($A530="","",IF(COUNTIF($A$2:$A530,$A530)=1,1,0))</f>
        <v/>
      </c>
      <c r="U530">
        <f>IF($T530=1,SUMPRODUCT(--($W$2:$W$1001&lt;$W530))+1,"")</f>
        <v/>
      </c>
      <c r="V530">
        <f>IF($A530="","",IF(AND(ISNUMBER($R530),NOT(ISLOGICAL($R530)),N($R530)&gt;1),IF(ABS($R530/100-Settings!$C$6)&lt;=ABS($R530/100-Settings!$C$7),1,0),IF(OR($R530=TRUE(),$R530="TRUE"),1,0)))</f>
        <v/>
      </c>
      <c r="W530">
        <f>IF($T530=1,IFERROR(IF(VALUE($A530)&lt;100000000,VALUE($A530),1000000000),IFERROR(IF(VALUE(MID($A530,2,20))&lt;100000000,VALUE(MID($A530,2,20)),1000000000),1000000000))+ROW()/100000,"")</f>
        <v/>
      </c>
    </row>
    <row r="531">
      <c r="F531" s="7">
        <f>IF($A531="","",E531*K531/100)</f>
        <v/>
      </c>
      <c r="J531" s="7" t="n"/>
      <c r="K531" s="7" t="n"/>
      <c r="L531" s="7">
        <f>IF($A531="","",S531*K531)</f>
        <v/>
      </c>
      <c r="M531" s="7">
        <f>IF($A531="","",K531-L531)</f>
        <v/>
      </c>
      <c r="N531" s="7">
        <f>IF($A531="","",M531-F531)</f>
        <v/>
      </c>
      <c r="Q531" s="11" t="n"/>
      <c r="S531">
        <f>IF($A531="","",IF(AND(ISNUMBER($R531),NOT(ISLOGICAL($R531)),N($R531)&gt;1),$R531/100*1,IF($V531=1,Settings!$C$6,Settings!$C$7)*1))</f>
        <v/>
      </c>
      <c r="T531">
        <f>IF($A531="","",IF(COUNTIF($A$2:$A531,$A531)=1,1,0))</f>
        <v/>
      </c>
      <c r="U531">
        <f>IF($T531=1,SUMPRODUCT(--($W$2:$W$1001&lt;$W531))+1,"")</f>
        <v/>
      </c>
      <c r="V531">
        <f>IF($A531="","",IF(AND(ISNUMBER($R531),NOT(ISLOGICAL($R531)),N($R531)&gt;1),IF(ABS($R531/100-Settings!$C$6)&lt;=ABS($R531/100-Settings!$C$7),1,0),IF(OR($R531=TRUE(),$R531="TRUE"),1,0)))</f>
        <v/>
      </c>
      <c r="W531">
        <f>IF($T531=1,IFERROR(IF(VALUE($A531)&lt;100000000,VALUE($A531),1000000000),IFERROR(IF(VALUE(MID($A531,2,20))&lt;100000000,VALUE(MID($A531,2,20)),1000000000),1000000000))+ROW()/100000,"")</f>
        <v/>
      </c>
    </row>
    <row r="532">
      <c r="F532" s="7">
        <f>IF($A532="","",E532*K532/100)</f>
        <v/>
      </c>
      <c r="J532" s="7" t="n"/>
      <c r="K532" s="7" t="n"/>
      <c r="L532" s="7">
        <f>IF($A532="","",S532*K532)</f>
        <v/>
      </c>
      <c r="M532" s="7">
        <f>IF($A532="","",K532-L532)</f>
        <v/>
      </c>
      <c r="N532" s="7">
        <f>IF($A532="","",M532-F532)</f>
        <v/>
      </c>
      <c r="Q532" s="11" t="n"/>
      <c r="S532">
        <f>IF($A532="","",IF(AND(ISNUMBER($R532),NOT(ISLOGICAL($R532)),N($R532)&gt;1),$R532/100*1,IF($V532=1,Settings!$C$6,Settings!$C$7)*1))</f>
        <v/>
      </c>
      <c r="T532">
        <f>IF($A532="","",IF(COUNTIF($A$2:$A532,$A532)=1,1,0))</f>
        <v/>
      </c>
      <c r="U532">
        <f>IF($T532=1,SUMPRODUCT(--($W$2:$W$1001&lt;$W532))+1,"")</f>
        <v/>
      </c>
      <c r="V532">
        <f>IF($A532="","",IF(AND(ISNUMBER($R532),NOT(ISLOGICAL($R532)),N($R532)&gt;1),IF(ABS($R532/100-Settings!$C$6)&lt;=ABS($R532/100-Settings!$C$7),1,0),IF(OR($R532=TRUE(),$R532="TRUE"),1,0)))</f>
        <v/>
      </c>
      <c r="W532">
        <f>IF($T532=1,IFERROR(IF(VALUE($A532)&lt;100000000,VALUE($A532),1000000000),IFERROR(IF(VALUE(MID($A532,2,20))&lt;100000000,VALUE(MID($A532,2,20)),1000000000),1000000000))+ROW()/100000,"")</f>
        <v/>
      </c>
    </row>
    <row r="533">
      <c r="F533" s="7">
        <f>IF($A533="","",E533*K533/100)</f>
        <v/>
      </c>
      <c r="J533" s="7" t="n"/>
      <c r="K533" s="7" t="n"/>
      <c r="L533" s="7">
        <f>IF($A533="","",S533*K533)</f>
        <v/>
      </c>
      <c r="M533" s="7">
        <f>IF($A533="","",K533-L533)</f>
        <v/>
      </c>
      <c r="N533" s="7">
        <f>IF($A533="","",M533-F533)</f>
        <v/>
      </c>
      <c r="Q533" s="11" t="n"/>
      <c r="S533">
        <f>IF($A533="","",IF(AND(ISNUMBER($R533),NOT(ISLOGICAL($R533)),N($R533)&gt;1),$R533/100*1,IF($V533=1,Settings!$C$6,Settings!$C$7)*1))</f>
        <v/>
      </c>
      <c r="T533">
        <f>IF($A533="","",IF(COUNTIF($A$2:$A533,$A533)=1,1,0))</f>
        <v/>
      </c>
      <c r="U533">
        <f>IF($T533=1,SUMPRODUCT(--($W$2:$W$1001&lt;$W533))+1,"")</f>
        <v/>
      </c>
      <c r="V533">
        <f>IF($A533="","",IF(AND(ISNUMBER($R533),NOT(ISLOGICAL($R533)),N($R533)&gt;1),IF(ABS($R533/100-Settings!$C$6)&lt;=ABS($R533/100-Settings!$C$7),1,0),IF(OR($R533=TRUE(),$R533="TRUE"),1,0)))</f>
        <v/>
      </c>
      <c r="W533">
        <f>IF($T533=1,IFERROR(IF(VALUE($A533)&lt;100000000,VALUE($A533),1000000000),IFERROR(IF(VALUE(MID($A533,2,20))&lt;100000000,VALUE(MID($A533,2,20)),1000000000),1000000000))+ROW()/100000,"")</f>
        <v/>
      </c>
    </row>
    <row r="534">
      <c r="F534" s="7">
        <f>IF($A534="","",E534*K534/100)</f>
        <v/>
      </c>
      <c r="J534" s="7" t="n"/>
      <c r="K534" s="7" t="n"/>
      <c r="L534" s="7">
        <f>IF($A534="","",S534*K534)</f>
        <v/>
      </c>
      <c r="M534" s="7">
        <f>IF($A534="","",K534-L534)</f>
        <v/>
      </c>
      <c r="N534" s="7">
        <f>IF($A534="","",M534-F534)</f>
        <v/>
      </c>
      <c r="Q534" s="11" t="n"/>
      <c r="S534">
        <f>IF($A534="","",IF(AND(ISNUMBER($R534),NOT(ISLOGICAL($R534)),N($R534)&gt;1),$R534/100*1,IF($V534=1,Settings!$C$6,Settings!$C$7)*1))</f>
        <v/>
      </c>
      <c r="T534">
        <f>IF($A534="","",IF(COUNTIF($A$2:$A534,$A534)=1,1,0))</f>
        <v/>
      </c>
      <c r="U534">
        <f>IF($T534=1,SUMPRODUCT(--($W$2:$W$1001&lt;$W534))+1,"")</f>
        <v/>
      </c>
      <c r="V534">
        <f>IF($A534="","",IF(AND(ISNUMBER($R534),NOT(ISLOGICAL($R534)),N($R534)&gt;1),IF(ABS($R534/100-Settings!$C$6)&lt;=ABS($R534/100-Settings!$C$7),1,0),IF(OR($R534=TRUE(),$R534="TRUE"),1,0)))</f>
        <v/>
      </c>
      <c r="W534">
        <f>IF($T534=1,IFERROR(IF(VALUE($A534)&lt;100000000,VALUE($A534),1000000000),IFERROR(IF(VALUE(MID($A534,2,20))&lt;100000000,VALUE(MID($A534,2,20)),1000000000),1000000000))+ROW()/100000,"")</f>
        <v/>
      </c>
    </row>
    <row r="535">
      <c r="F535" s="7">
        <f>IF($A535="","",E535*K535/100)</f>
        <v/>
      </c>
      <c r="J535" s="7" t="n"/>
      <c r="K535" s="7" t="n"/>
      <c r="L535" s="7">
        <f>IF($A535="","",S535*K535)</f>
        <v/>
      </c>
      <c r="M535" s="7">
        <f>IF($A535="","",K535-L535)</f>
        <v/>
      </c>
      <c r="N535" s="7">
        <f>IF($A535="","",M535-F535)</f>
        <v/>
      </c>
      <c r="Q535" s="11" t="n"/>
      <c r="S535">
        <f>IF($A535="","",IF(AND(ISNUMBER($R535),NOT(ISLOGICAL($R535)),N($R535)&gt;1),$R535/100*1,IF($V535=1,Settings!$C$6,Settings!$C$7)*1))</f>
        <v/>
      </c>
      <c r="T535">
        <f>IF($A535="","",IF(COUNTIF($A$2:$A535,$A535)=1,1,0))</f>
        <v/>
      </c>
      <c r="U535">
        <f>IF($T535=1,SUMPRODUCT(--($W$2:$W$1001&lt;$W535))+1,"")</f>
        <v/>
      </c>
      <c r="V535">
        <f>IF($A535="","",IF(AND(ISNUMBER($R535),NOT(ISLOGICAL($R535)),N($R535)&gt;1),IF(ABS($R535/100-Settings!$C$6)&lt;=ABS($R535/100-Settings!$C$7),1,0),IF(OR($R535=TRUE(),$R535="TRUE"),1,0)))</f>
        <v/>
      </c>
      <c r="W535">
        <f>IF($T535=1,IFERROR(IF(VALUE($A535)&lt;100000000,VALUE($A535),1000000000),IFERROR(IF(VALUE(MID($A535,2,20))&lt;100000000,VALUE(MID($A535,2,20)),1000000000),1000000000))+ROW()/100000,"")</f>
        <v/>
      </c>
    </row>
    <row r="536">
      <c r="F536" s="7">
        <f>IF($A536="","",E536*K536/100)</f>
        <v/>
      </c>
      <c r="J536" s="7" t="n"/>
      <c r="K536" s="7" t="n"/>
      <c r="L536" s="7">
        <f>IF($A536="","",S536*K536)</f>
        <v/>
      </c>
      <c r="M536" s="7">
        <f>IF($A536="","",K536-L536)</f>
        <v/>
      </c>
      <c r="N536" s="7">
        <f>IF($A536="","",M536-F536)</f>
        <v/>
      </c>
      <c r="Q536" s="11" t="n"/>
      <c r="S536">
        <f>IF($A536="","",IF(AND(ISNUMBER($R536),NOT(ISLOGICAL($R536)),N($R536)&gt;1),$R536/100*1,IF($V536=1,Settings!$C$6,Settings!$C$7)*1))</f>
        <v/>
      </c>
      <c r="T536">
        <f>IF($A536="","",IF(COUNTIF($A$2:$A536,$A536)=1,1,0))</f>
        <v/>
      </c>
      <c r="U536">
        <f>IF($T536=1,SUMPRODUCT(--($W$2:$W$1001&lt;$W536))+1,"")</f>
        <v/>
      </c>
      <c r="V536">
        <f>IF($A536="","",IF(AND(ISNUMBER($R536),NOT(ISLOGICAL($R536)),N($R536)&gt;1),IF(ABS($R536/100-Settings!$C$6)&lt;=ABS($R536/100-Settings!$C$7),1,0),IF(OR($R536=TRUE(),$R536="TRUE"),1,0)))</f>
        <v/>
      </c>
      <c r="W536">
        <f>IF($T536=1,IFERROR(IF(VALUE($A536)&lt;100000000,VALUE($A536),1000000000),IFERROR(IF(VALUE(MID($A536,2,20))&lt;100000000,VALUE(MID($A536,2,20)),1000000000),1000000000))+ROW()/100000,"")</f>
        <v/>
      </c>
    </row>
    <row r="537">
      <c r="F537" s="7">
        <f>IF($A537="","",E537*K537/100)</f>
        <v/>
      </c>
      <c r="J537" s="7" t="n"/>
      <c r="K537" s="7" t="n"/>
      <c r="L537" s="7">
        <f>IF($A537="","",S537*K537)</f>
        <v/>
      </c>
      <c r="M537" s="7">
        <f>IF($A537="","",K537-L537)</f>
        <v/>
      </c>
      <c r="N537" s="7">
        <f>IF($A537="","",M537-F537)</f>
        <v/>
      </c>
      <c r="Q537" s="11" t="n"/>
      <c r="S537">
        <f>IF($A537="","",IF(AND(ISNUMBER($R537),NOT(ISLOGICAL($R537)),N($R537)&gt;1),$R537/100*1,IF($V537=1,Settings!$C$6,Settings!$C$7)*1))</f>
        <v/>
      </c>
      <c r="T537">
        <f>IF($A537="","",IF(COUNTIF($A$2:$A537,$A537)=1,1,0))</f>
        <v/>
      </c>
      <c r="U537">
        <f>IF($T537=1,SUMPRODUCT(--($W$2:$W$1001&lt;$W537))+1,"")</f>
        <v/>
      </c>
      <c r="V537">
        <f>IF($A537="","",IF(AND(ISNUMBER($R537),NOT(ISLOGICAL($R537)),N($R537)&gt;1),IF(ABS($R537/100-Settings!$C$6)&lt;=ABS($R537/100-Settings!$C$7),1,0),IF(OR($R537=TRUE(),$R537="TRUE"),1,0)))</f>
        <v/>
      </c>
      <c r="W537">
        <f>IF($T537=1,IFERROR(IF(VALUE($A537)&lt;100000000,VALUE($A537),1000000000),IFERROR(IF(VALUE(MID($A537,2,20))&lt;100000000,VALUE(MID($A537,2,20)),1000000000),1000000000))+ROW()/100000,"")</f>
        <v/>
      </c>
    </row>
    <row r="538">
      <c r="F538" s="7">
        <f>IF($A538="","",E538*K538/100)</f>
        <v/>
      </c>
      <c r="J538" s="7" t="n"/>
      <c r="K538" s="7" t="n"/>
      <c r="L538" s="7">
        <f>IF($A538="","",S538*K538)</f>
        <v/>
      </c>
      <c r="M538" s="7">
        <f>IF($A538="","",K538-L538)</f>
        <v/>
      </c>
      <c r="N538" s="7">
        <f>IF($A538="","",M538-F538)</f>
        <v/>
      </c>
      <c r="Q538" s="11" t="n"/>
      <c r="S538">
        <f>IF($A538="","",IF(AND(ISNUMBER($R538),NOT(ISLOGICAL($R538)),N($R538)&gt;1),$R538/100*1,IF($V538=1,Settings!$C$6,Settings!$C$7)*1))</f>
        <v/>
      </c>
      <c r="T538">
        <f>IF($A538="","",IF(COUNTIF($A$2:$A538,$A538)=1,1,0))</f>
        <v/>
      </c>
      <c r="U538">
        <f>IF($T538=1,SUMPRODUCT(--($W$2:$W$1001&lt;$W538))+1,"")</f>
        <v/>
      </c>
      <c r="V538">
        <f>IF($A538="","",IF(AND(ISNUMBER($R538),NOT(ISLOGICAL($R538)),N($R538)&gt;1),IF(ABS($R538/100-Settings!$C$6)&lt;=ABS($R538/100-Settings!$C$7),1,0),IF(OR($R538=TRUE(),$R538="TRUE"),1,0)))</f>
        <v/>
      </c>
      <c r="W538">
        <f>IF($T538=1,IFERROR(IF(VALUE($A538)&lt;100000000,VALUE($A538),1000000000),IFERROR(IF(VALUE(MID($A538,2,20))&lt;100000000,VALUE(MID($A538,2,20)),1000000000),1000000000))+ROW()/100000,"")</f>
        <v/>
      </c>
    </row>
    <row r="539">
      <c r="F539" s="7">
        <f>IF($A539="","",E539*K539/100)</f>
        <v/>
      </c>
      <c r="J539" s="7" t="n"/>
      <c r="K539" s="7" t="n"/>
      <c r="L539" s="7">
        <f>IF($A539="","",S539*K539)</f>
        <v/>
      </c>
      <c r="M539" s="7">
        <f>IF($A539="","",K539-L539)</f>
        <v/>
      </c>
      <c r="N539" s="7">
        <f>IF($A539="","",M539-F539)</f>
        <v/>
      </c>
      <c r="Q539" s="11" t="n"/>
      <c r="S539">
        <f>IF($A539="","",IF(AND(ISNUMBER($R539),NOT(ISLOGICAL($R539)),N($R539)&gt;1),$R539/100*1,IF($V539=1,Settings!$C$6,Settings!$C$7)*1))</f>
        <v/>
      </c>
      <c r="T539">
        <f>IF($A539="","",IF(COUNTIF($A$2:$A539,$A539)=1,1,0))</f>
        <v/>
      </c>
      <c r="U539">
        <f>IF($T539=1,SUMPRODUCT(--($W$2:$W$1001&lt;$W539))+1,"")</f>
        <v/>
      </c>
      <c r="V539">
        <f>IF($A539="","",IF(AND(ISNUMBER($R539),NOT(ISLOGICAL($R539)),N($R539)&gt;1),IF(ABS($R539/100-Settings!$C$6)&lt;=ABS($R539/100-Settings!$C$7),1,0),IF(OR($R539=TRUE(),$R539="TRUE"),1,0)))</f>
        <v/>
      </c>
      <c r="W539">
        <f>IF($T539=1,IFERROR(IF(VALUE($A539)&lt;100000000,VALUE($A539),1000000000),IFERROR(IF(VALUE(MID($A539,2,20))&lt;100000000,VALUE(MID($A539,2,20)),1000000000),1000000000))+ROW()/100000,"")</f>
        <v/>
      </c>
    </row>
    <row r="540">
      <c r="F540" s="7">
        <f>IF($A540="","",E540*K540/100)</f>
        <v/>
      </c>
      <c r="J540" s="7" t="n"/>
      <c r="K540" s="7" t="n"/>
      <c r="L540" s="7">
        <f>IF($A540="","",S540*K540)</f>
        <v/>
      </c>
      <c r="M540" s="7">
        <f>IF($A540="","",K540-L540)</f>
        <v/>
      </c>
      <c r="N540" s="7">
        <f>IF($A540="","",M540-F540)</f>
        <v/>
      </c>
      <c r="Q540" s="11" t="n"/>
      <c r="S540">
        <f>IF($A540="","",IF(AND(ISNUMBER($R540),NOT(ISLOGICAL($R540)),N($R540)&gt;1),$R540/100*1,IF($V540=1,Settings!$C$6,Settings!$C$7)*1))</f>
        <v/>
      </c>
      <c r="T540">
        <f>IF($A540="","",IF(COUNTIF($A$2:$A540,$A540)=1,1,0))</f>
        <v/>
      </c>
      <c r="U540">
        <f>IF($T540=1,SUMPRODUCT(--($W$2:$W$1001&lt;$W540))+1,"")</f>
        <v/>
      </c>
      <c r="V540">
        <f>IF($A540="","",IF(AND(ISNUMBER($R540),NOT(ISLOGICAL($R540)),N($R540)&gt;1),IF(ABS($R540/100-Settings!$C$6)&lt;=ABS($R540/100-Settings!$C$7),1,0),IF(OR($R540=TRUE(),$R540="TRUE"),1,0)))</f>
        <v/>
      </c>
      <c r="W540">
        <f>IF($T540=1,IFERROR(IF(VALUE($A540)&lt;100000000,VALUE($A540),1000000000),IFERROR(IF(VALUE(MID($A540,2,20))&lt;100000000,VALUE(MID($A540,2,20)),1000000000),1000000000))+ROW()/100000,"")</f>
        <v/>
      </c>
    </row>
    <row r="541">
      <c r="F541" s="7">
        <f>IF($A541="","",E541*K541/100)</f>
        <v/>
      </c>
      <c r="J541" s="7" t="n"/>
      <c r="K541" s="7" t="n"/>
      <c r="L541" s="7">
        <f>IF($A541="","",S541*K541)</f>
        <v/>
      </c>
      <c r="M541" s="7">
        <f>IF($A541="","",K541-L541)</f>
        <v/>
      </c>
      <c r="N541" s="7">
        <f>IF($A541="","",M541-F541)</f>
        <v/>
      </c>
      <c r="Q541" s="11" t="n"/>
      <c r="S541">
        <f>IF($A541="","",IF(AND(ISNUMBER($R541),NOT(ISLOGICAL($R541)),N($R541)&gt;1),$R541/100*1,IF($V541=1,Settings!$C$6,Settings!$C$7)*1))</f>
        <v/>
      </c>
      <c r="T541">
        <f>IF($A541="","",IF(COUNTIF($A$2:$A541,$A541)=1,1,0))</f>
        <v/>
      </c>
      <c r="U541">
        <f>IF($T541=1,SUMPRODUCT(--($W$2:$W$1001&lt;$W541))+1,"")</f>
        <v/>
      </c>
      <c r="V541">
        <f>IF($A541="","",IF(AND(ISNUMBER($R541),NOT(ISLOGICAL($R541)),N($R541)&gt;1),IF(ABS($R541/100-Settings!$C$6)&lt;=ABS($R541/100-Settings!$C$7),1,0),IF(OR($R541=TRUE(),$R541="TRUE"),1,0)))</f>
        <v/>
      </c>
      <c r="W541">
        <f>IF($T541=1,IFERROR(IF(VALUE($A541)&lt;100000000,VALUE($A541),1000000000),IFERROR(IF(VALUE(MID($A541,2,20))&lt;100000000,VALUE(MID($A541,2,20)),1000000000),1000000000))+ROW()/100000,"")</f>
        <v/>
      </c>
    </row>
    <row r="542">
      <c r="F542" s="7">
        <f>IF($A542="","",E542*K542/100)</f>
        <v/>
      </c>
      <c r="J542" s="7" t="n"/>
      <c r="K542" s="7" t="n"/>
      <c r="L542" s="7">
        <f>IF($A542="","",S542*K542)</f>
        <v/>
      </c>
      <c r="M542" s="7">
        <f>IF($A542="","",K542-L542)</f>
        <v/>
      </c>
      <c r="N542" s="7">
        <f>IF($A542="","",M542-F542)</f>
        <v/>
      </c>
      <c r="Q542" s="11" t="n"/>
      <c r="S542">
        <f>IF($A542="","",IF(AND(ISNUMBER($R542),NOT(ISLOGICAL($R542)),N($R542)&gt;1),$R542/100*1,IF($V542=1,Settings!$C$6,Settings!$C$7)*1))</f>
        <v/>
      </c>
      <c r="T542">
        <f>IF($A542="","",IF(COUNTIF($A$2:$A542,$A542)=1,1,0))</f>
        <v/>
      </c>
      <c r="U542">
        <f>IF($T542=1,SUMPRODUCT(--($W$2:$W$1001&lt;$W542))+1,"")</f>
        <v/>
      </c>
      <c r="V542">
        <f>IF($A542="","",IF(AND(ISNUMBER($R542),NOT(ISLOGICAL($R542)),N($R542)&gt;1),IF(ABS($R542/100-Settings!$C$6)&lt;=ABS($R542/100-Settings!$C$7),1,0),IF(OR($R542=TRUE(),$R542="TRUE"),1,0)))</f>
        <v/>
      </c>
      <c r="W542">
        <f>IF($T542=1,IFERROR(IF(VALUE($A542)&lt;100000000,VALUE($A542),1000000000),IFERROR(IF(VALUE(MID($A542,2,20))&lt;100000000,VALUE(MID($A542,2,20)),1000000000),1000000000))+ROW()/100000,"")</f>
        <v/>
      </c>
    </row>
    <row r="543">
      <c r="F543" s="7">
        <f>IF($A543="","",E543*K543/100)</f>
        <v/>
      </c>
      <c r="J543" s="7" t="n"/>
      <c r="K543" s="7" t="n"/>
      <c r="L543" s="7">
        <f>IF($A543="","",S543*K543)</f>
        <v/>
      </c>
      <c r="M543" s="7">
        <f>IF($A543="","",K543-L543)</f>
        <v/>
      </c>
      <c r="N543" s="7">
        <f>IF($A543="","",M543-F543)</f>
        <v/>
      </c>
      <c r="Q543" s="11" t="n"/>
      <c r="S543">
        <f>IF($A543="","",IF(AND(ISNUMBER($R543),NOT(ISLOGICAL($R543)),N($R543)&gt;1),$R543/100*1,IF($V543=1,Settings!$C$6,Settings!$C$7)*1))</f>
        <v/>
      </c>
      <c r="T543">
        <f>IF($A543="","",IF(COUNTIF($A$2:$A543,$A543)=1,1,0))</f>
        <v/>
      </c>
      <c r="U543">
        <f>IF($T543=1,SUMPRODUCT(--($W$2:$W$1001&lt;$W543))+1,"")</f>
        <v/>
      </c>
      <c r="V543">
        <f>IF($A543="","",IF(AND(ISNUMBER($R543),NOT(ISLOGICAL($R543)),N($R543)&gt;1),IF(ABS($R543/100-Settings!$C$6)&lt;=ABS($R543/100-Settings!$C$7),1,0),IF(OR($R543=TRUE(),$R543="TRUE"),1,0)))</f>
        <v/>
      </c>
      <c r="W543">
        <f>IF($T543=1,IFERROR(IF(VALUE($A543)&lt;100000000,VALUE($A543),1000000000),IFERROR(IF(VALUE(MID($A543,2,20))&lt;100000000,VALUE(MID($A543,2,20)),1000000000),1000000000))+ROW()/100000,"")</f>
        <v/>
      </c>
    </row>
    <row r="544">
      <c r="F544" s="7">
        <f>IF($A544="","",E544*K544/100)</f>
        <v/>
      </c>
      <c r="J544" s="7" t="n"/>
      <c r="K544" s="7" t="n"/>
      <c r="L544" s="7">
        <f>IF($A544="","",S544*K544)</f>
        <v/>
      </c>
      <c r="M544" s="7">
        <f>IF($A544="","",K544-L544)</f>
        <v/>
      </c>
      <c r="N544" s="7">
        <f>IF($A544="","",M544-F544)</f>
        <v/>
      </c>
      <c r="Q544" s="11" t="n"/>
      <c r="S544">
        <f>IF($A544="","",IF(AND(ISNUMBER($R544),NOT(ISLOGICAL($R544)),N($R544)&gt;1),$R544/100*1,IF($V544=1,Settings!$C$6,Settings!$C$7)*1))</f>
        <v/>
      </c>
      <c r="T544">
        <f>IF($A544="","",IF(COUNTIF($A$2:$A544,$A544)=1,1,0))</f>
        <v/>
      </c>
      <c r="U544">
        <f>IF($T544=1,SUMPRODUCT(--($W$2:$W$1001&lt;$W544))+1,"")</f>
        <v/>
      </c>
      <c r="V544">
        <f>IF($A544="","",IF(AND(ISNUMBER($R544),NOT(ISLOGICAL($R544)),N($R544)&gt;1),IF(ABS($R544/100-Settings!$C$6)&lt;=ABS($R544/100-Settings!$C$7),1,0),IF(OR($R544=TRUE(),$R544="TRUE"),1,0)))</f>
        <v/>
      </c>
      <c r="W544">
        <f>IF($T544=1,IFERROR(IF(VALUE($A544)&lt;100000000,VALUE($A544),1000000000),IFERROR(IF(VALUE(MID($A544,2,20))&lt;100000000,VALUE(MID($A544,2,20)),1000000000),1000000000))+ROW()/100000,"")</f>
        <v/>
      </c>
    </row>
    <row r="545">
      <c r="F545" s="7">
        <f>IF($A545="","",E545*K545/100)</f>
        <v/>
      </c>
      <c r="J545" s="7" t="n"/>
      <c r="K545" s="7" t="n"/>
      <c r="L545" s="7">
        <f>IF($A545="","",S545*K545)</f>
        <v/>
      </c>
      <c r="M545" s="7">
        <f>IF($A545="","",K545-L545)</f>
        <v/>
      </c>
      <c r="N545" s="7">
        <f>IF($A545="","",M545-F545)</f>
        <v/>
      </c>
      <c r="Q545" s="11" t="n"/>
      <c r="S545">
        <f>IF($A545="","",IF(AND(ISNUMBER($R545),NOT(ISLOGICAL($R545)),N($R545)&gt;1),$R545/100*1,IF($V545=1,Settings!$C$6,Settings!$C$7)*1))</f>
        <v/>
      </c>
      <c r="T545">
        <f>IF($A545="","",IF(COUNTIF($A$2:$A545,$A545)=1,1,0))</f>
        <v/>
      </c>
      <c r="U545">
        <f>IF($T545=1,SUMPRODUCT(--($W$2:$W$1001&lt;$W545))+1,"")</f>
        <v/>
      </c>
      <c r="V545">
        <f>IF($A545="","",IF(AND(ISNUMBER($R545),NOT(ISLOGICAL($R545)),N($R545)&gt;1),IF(ABS($R545/100-Settings!$C$6)&lt;=ABS($R545/100-Settings!$C$7),1,0),IF(OR($R545=TRUE(),$R545="TRUE"),1,0)))</f>
        <v/>
      </c>
      <c r="W545">
        <f>IF($T545=1,IFERROR(IF(VALUE($A545)&lt;100000000,VALUE($A545),1000000000),IFERROR(IF(VALUE(MID($A545,2,20))&lt;100000000,VALUE(MID($A545,2,20)),1000000000),1000000000))+ROW()/100000,"")</f>
        <v/>
      </c>
    </row>
    <row r="546">
      <c r="F546" s="7">
        <f>IF($A546="","",E546*K546/100)</f>
        <v/>
      </c>
      <c r="J546" s="7" t="n"/>
      <c r="K546" s="7" t="n"/>
      <c r="L546" s="7">
        <f>IF($A546="","",S546*K546)</f>
        <v/>
      </c>
      <c r="M546" s="7">
        <f>IF($A546="","",K546-L546)</f>
        <v/>
      </c>
      <c r="N546" s="7">
        <f>IF($A546="","",M546-F546)</f>
        <v/>
      </c>
      <c r="Q546" s="11" t="n"/>
      <c r="S546">
        <f>IF($A546="","",IF(AND(ISNUMBER($R546),NOT(ISLOGICAL($R546)),N($R546)&gt;1),$R546/100*1,IF($V546=1,Settings!$C$6,Settings!$C$7)*1))</f>
        <v/>
      </c>
      <c r="T546">
        <f>IF($A546="","",IF(COUNTIF($A$2:$A546,$A546)=1,1,0))</f>
        <v/>
      </c>
      <c r="U546">
        <f>IF($T546=1,SUMPRODUCT(--($W$2:$W$1001&lt;$W546))+1,"")</f>
        <v/>
      </c>
      <c r="V546">
        <f>IF($A546="","",IF(AND(ISNUMBER($R546),NOT(ISLOGICAL($R546)),N($R546)&gt;1),IF(ABS($R546/100-Settings!$C$6)&lt;=ABS($R546/100-Settings!$C$7),1,0),IF(OR($R546=TRUE(),$R546="TRUE"),1,0)))</f>
        <v/>
      </c>
      <c r="W546">
        <f>IF($T546=1,IFERROR(IF(VALUE($A546)&lt;100000000,VALUE($A546),1000000000),IFERROR(IF(VALUE(MID($A546,2,20))&lt;100000000,VALUE(MID($A546,2,20)),1000000000),1000000000))+ROW()/100000,"")</f>
        <v/>
      </c>
    </row>
    <row r="547">
      <c r="F547" s="7">
        <f>IF($A547="","",E547*K547/100)</f>
        <v/>
      </c>
      <c r="J547" s="7" t="n"/>
      <c r="K547" s="7" t="n"/>
      <c r="L547" s="7">
        <f>IF($A547="","",S547*K547)</f>
        <v/>
      </c>
      <c r="M547" s="7">
        <f>IF($A547="","",K547-L547)</f>
        <v/>
      </c>
      <c r="N547" s="7">
        <f>IF($A547="","",M547-F547)</f>
        <v/>
      </c>
      <c r="Q547" s="11" t="n"/>
      <c r="S547">
        <f>IF($A547="","",IF(AND(ISNUMBER($R547),NOT(ISLOGICAL($R547)),N($R547)&gt;1),$R547/100*1,IF($V547=1,Settings!$C$6,Settings!$C$7)*1))</f>
        <v/>
      </c>
      <c r="T547">
        <f>IF($A547="","",IF(COUNTIF($A$2:$A547,$A547)=1,1,0))</f>
        <v/>
      </c>
      <c r="U547">
        <f>IF($T547=1,SUMPRODUCT(--($W$2:$W$1001&lt;$W547))+1,"")</f>
        <v/>
      </c>
      <c r="V547">
        <f>IF($A547="","",IF(AND(ISNUMBER($R547),NOT(ISLOGICAL($R547)),N($R547)&gt;1),IF(ABS($R547/100-Settings!$C$6)&lt;=ABS($R547/100-Settings!$C$7),1,0),IF(OR($R547=TRUE(),$R547="TRUE"),1,0)))</f>
        <v/>
      </c>
      <c r="W547">
        <f>IF($T547=1,IFERROR(IF(VALUE($A547)&lt;100000000,VALUE($A547),1000000000),IFERROR(IF(VALUE(MID($A547,2,20))&lt;100000000,VALUE(MID($A547,2,20)),1000000000),1000000000))+ROW()/100000,"")</f>
        <v/>
      </c>
    </row>
    <row r="548">
      <c r="F548" s="7">
        <f>IF($A548="","",E548*K548/100)</f>
        <v/>
      </c>
      <c r="J548" s="7" t="n"/>
      <c r="K548" s="7" t="n"/>
      <c r="L548" s="7">
        <f>IF($A548="","",S548*K548)</f>
        <v/>
      </c>
      <c r="M548" s="7">
        <f>IF($A548="","",K548-L548)</f>
        <v/>
      </c>
      <c r="N548" s="7">
        <f>IF($A548="","",M548-F548)</f>
        <v/>
      </c>
      <c r="Q548" s="11" t="n"/>
      <c r="S548">
        <f>IF($A548="","",IF(AND(ISNUMBER($R548),NOT(ISLOGICAL($R548)),N($R548)&gt;1),$R548/100*1,IF($V548=1,Settings!$C$6,Settings!$C$7)*1))</f>
        <v/>
      </c>
      <c r="T548">
        <f>IF($A548="","",IF(COUNTIF($A$2:$A548,$A548)=1,1,0))</f>
        <v/>
      </c>
      <c r="U548">
        <f>IF($T548=1,SUMPRODUCT(--($W$2:$W$1001&lt;$W548))+1,"")</f>
        <v/>
      </c>
      <c r="V548">
        <f>IF($A548="","",IF(AND(ISNUMBER($R548),NOT(ISLOGICAL($R548)),N($R548)&gt;1),IF(ABS($R548/100-Settings!$C$6)&lt;=ABS($R548/100-Settings!$C$7),1,0),IF(OR($R548=TRUE(),$R548="TRUE"),1,0)))</f>
        <v/>
      </c>
      <c r="W548">
        <f>IF($T548=1,IFERROR(IF(VALUE($A548)&lt;100000000,VALUE($A548),1000000000),IFERROR(IF(VALUE(MID($A548,2,20))&lt;100000000,VALUE(MID($A548,2,20)),1000000000),1000000000))+ROW()/100000,"")</f>
        <v/>
      </c>
    </row>
    <row r="549">
      <c r="F549" s="7">
        <f>IF($A549="","",E549*K549/100)</f>
        <v/>
      </c>
      <c r="J549" s="7" t="n"/>
      <c r="K549" s="7" t="n"/>
      <c r="L549" s="7">
        <f>IF($A549="","",S549*K549)</f>
        <v/>
      </c>
      <c r="M549" s="7">
        <f>IF($A549="","",K549-L549)</f>
        <v/>
      </c>
      <c r="N549" s="7">
        <f>IF($A549="","",M549-F549)</f>
        <v/>
      </c>
      <c r="Q549" s="11" t="n"/>
      <c r="S549">
        <f>IF($A549="","",IF(AND(ISNUMBER($R549),NOT(ISLOGICAL($R549)),N($R549)&gt;1),$R549/100*1,IF($V549=1,Settings!$C$6,Settings!$C$7)*1))</f>
        <v/>
      </c>
      <c r="T549">
        <f>IF($A549="","",IF(COUNTIF($A$2:$A549,$A549)=1,1,0))</f>
        <v/>
      </c>
      <c r="U549">
        <f>IF($T549=1,SUMPRODUCT(--($W$2:$W$1001&lt;$W549))+1,"")</f>
        <v/>
      </c>
      <c r="V549">
        <f>IF($A549="","",IF(AND(ISNUMBER($R549),NOT(ISLOGICAL($R549)),N($R549)&gt;1),IF(ABS($R549/100-Settings!$C$6)&lt;=ABS($R549/100-Settings!$C$7),1,0),IF(OR($R549=TRUE(),$R549="TRUE"),1,0)))</f>
        <v/>
      </c>
      <c r="W549">
        <f>IF($T549=1,IFERROR(IF(VALUE($A549)&lt;100000000,VALUE($A549),1000000000),IFERROR(IF(VALUE(MID($A549,2,20))&lt;100000000,VALUE(MID($A549,2,20)),1000000000),1000000000))+ROW()/100000,"")</f>
        <v/>
      </c>
    </row>
    <row r="550">
      <c r="F550" s="7">
        <f>IF($A550="","",E550*K550/100)</f>
        <v/>
      </c>
      <c r="J550" s="7" t="n"/>
      <c r="K550" s="7" t="n"/>
      <c r="L550" s="7">
        <f>IF($A550="","",S550*K550)</f>
        <v/>
      </c>
      <c r="M550" s="7">
        <f>IF($A550="","",K550-L550)</f>
        <v/>
      </c>
      <c r="N550" s="7">
        <f>IF($A550="","",M550-F550)</f>
        <v/>
      </c>
      <c r="Q550" s="11" t="n"/>
      <c r="S550">
        <f>IF($A550="","",IF(AND(ISNUMBER($R550),NOT(ISLOGICAL($R550)),N($R550)&gt;1),$R550/100*1,IF($V550=1,Settings!$C$6,Settings!$C$7)*1))</f>
        <v/>
      </c>
      <c r="T550">
        <f>IF($A550="","",IF(COUNTIF($A$2:$A550,$A550)=1,1,0))</f>
        <v/>
      </c>
      <c r="U550">
        <f>IF($T550=1,SUMPRODUCT(--($W$2:$W$1001&lt;$W550))+1,"")</f>
        <v/>
      </c>
      <c r="V550">
        <f>IF($A550="","",IF(AND(ISNUMBER($R550),NOT(ISLOGICAL($R550)),N($R550)&gt;1),IF(ABS($R550/100-Settings!$C$6)&lt;=ABS($R550/100-Settings!$C$7),1,0),IF(OR($R550=TRUE(),$R550="TRUE"),1,0)))</f>
        <v/>
      </c>
      <c r="W550">
        <f>IF($T550=1,IFERROR(IF(VALUE($A550)&lt;100000000,VALUE($A550),1000000000),IFERROR(IF(VALUE(MID($A550,2,20))&lt;100000000,VALUE(MID($A550,2,20)),1000000000),1000000000))+ROW()/100000,"")</f>
        <v/>
      </c>
    </row>
    <row r="551">
      <c r="F551" s="7">
        <f>IF($A551="","",E551*K551/100)</f>
        <v/>
      </c>
      <c r="J551" s="7" t="n"/>
      <c r="K551" s="7" t="n"/>
      <c r="L551" s="7">
        <f>IF($A551="","",S551*K551)</f>
        <v/>
      </c>
      <c r="M551" s="7">
        <f>IF($A551="","",K551-L551)</f>
        <v/>
      </c>
      <c r="N551" s="7">
        <f>IF($A551="","",M551-F551)</f>
        <v/>
      </c>
      <c r="Q551" s="11" t="n"/>
      <c r="S551">
        <f>IF($A551="","",IF(AND(ISNUMBER($R551),NOT(ISLOGICAL($R551)),N($R551)&gt;1),$R551/100*1,IF($V551=1,Settings!$C$6,Settings!$C$7)*1))</f>
        <v/>
      </c>
      <c r="T551">
        <f>IF($A551="","",IF(COUNTIF($A$2:$A551,$A551)=1,1,0))</f>
        <v/>
      </c>
      <c r="U551">
        <f>IF($T551=1,SUMPRODUCT(--($W$2:$W$1001&lt;$W551))+1,"")</f>
        <v/>
      </c>
      <c r="V551">
        <f>IF($A551="","",IF(AND(ISNUMBER($R551),NOT(ISLOGICAL($R551)),N($R551)&gt;1),IF(ABS($R551/100-Settings!$C$6)&lt;=ABS($R551/100-Settings!$C$7),1,0),IF(OR($R551=TRUE(),$R551="TRUE"),1,0)))</f>
        <v/>
      </c>
      <c r="W551">
        <f>IF($T551=1,IFERROR(IF(VALUE($A551)&lt;100000000,VALUE($A551),1000000000),IFERROR(IF(VALUE(MID($A551,2,20))&lt;100000000,VALUE(MID($A551,2,20)),1000000000),1000000000))+ROW()/100000,"")</f>
        <v/>
      </c>
    </row>
    <row r="552">
      <c r="F552" s="7">
        <f>IF($A552="","",E552*K552/100)</f>
        <v/>
      </c>
      <c r="J552" s="7" t="n"/>
      <c r="K552" s="7" t="n"/>
      <c r="L552" s="7">
        <f>IF($A552="","",S552*K552)</f>
        <v/>
      </c>
      <c r="M552" s="7">
        <f>IF($A552="","",K552-L552)</f>
        <v/>
      </c>
      <c r="N552" s="7">
        <f>IF($A552="","",M552-F552)</f>
        <v/>
      </c>
      <c r="Q552" s="11" t="n"/>
      <c r="S552">
        <f>IF($A552="","",IF(AND(ISNUMBER($R552),NOT(ISLOGICAL($R552)),N($R552)&gt;1),$R552/100*1,IF($V552=1,Settings!$C$6,Settings!$C$7)*1))</f>
        <v/>
      </c>
      <c r="T552">
        <f>IF($A552="","",IF(COUNTIF($A$2:$A552,$A552)=1,1,0))</f>
        <v/>
      </c>
      <c r="U552">
        <f>IF($T552=1,SUMPRODUCT(--($W$2:$W$1001&lt;$W552))+1,"")</f>
        <v/>
      </c>
      <c r="V552">
        <f>IF($A552="","",IF(AND(ISNUMBER($R552),NOT(ISLOGICAL($R552)),N($R552)&gt;1),IF(ABS($R552/100-Settings!$C$6)&lt;=ABS($R552/100-Settings!$C$7),1,0),IF(OR($R552=TRUE(),$R552="TRUE"),1,0)))</f>
        <v/>
      </c>
      <c r="W552">
        <f>IF($T552=1,IFERROR(IF(VALUE($A552)&lt;100000000,VALUE($A552),1000000000),IFERROR(IF(VALUE(MID($A552,2,20))&lt;100000000,VALUE(MID($A552,2,20)),1000000000),1000000000))+ROW()/100000,"")</f>
        <v/>
      </c>
    </row>
    <row r="553">
      <c r="F553" s="7">
        <f>IF($A553="","",E553*K553/100)</f>
        <v/>
      </c>
      <c r="J553" s="7" t="n"/>
      <c r="K553" s="7" t="n"/>
      <c r="L553" s="7">
        <f>IF($A553="","",S553*K553)</f>
        <v/>
      </c>
      <c r="M553" s="7">
        <f>IF($A553="","",K553-L553)</f>
        <v/>
      </c>
      <c r="N553" s="7">
        <f>IF($A553="","",M553-F553)</f>
        <v/>
      </c>
      <c r="Q553" s="11" t="n"/>
      <c r="S553">
        <f>IF($A553="","",IF(AND(ISNUMBER($R553),NOT(ISLOGICAL($R553)),N($R553)&gt;1),$R553/100*1,IF($V553=1,Settings!$C$6,Settings!$C$7)*1))</f>
        <v/>
      </c>
      <c r="T553">
        <f>IF($A553="","",IF(COUNTIF($A$2:$A553,$A553)=1,1,0))</f>
        <v/>
      </c>
      <c r="U553">
        <f>IF($T553=1,SUMPRODUCT(--($W$2:$W$1001&lt;$W553))+1,"")</f>
        <v/>
      </c>
      <c r="V553">
        <f>IF($A553="","",IF(AND(ISNUMBER($R553),NOT(ISLOGICAL($R553)),N($R553)&gt;1),IF(ABS($R553/100-Settings!$C$6)&lt;=ABS($R553/100-Settings!$C$7),1,0),IF(OR($R553=TRUE(),$R553="TRUE"),1,0)))</f>
        <v/>
      </c>
      <c r="W553">
        <f>IF($T553=1,IFERROR(IF(VALUE($A553)&lt;100000000,VALUE($A553),1000000000),IFERROR(IF(VALUE(MID($A553,2,20))&lt;100000000,VALUE(MID($A553,2,20)),1000000000),1000000000))+ROW()/100000,"")</f>
        <v/>
      </c>
    </row>
    <row r="554">
      <c r="F554" s="7">
        <f>IF($A554="","",E554*K554/100)</f>
        <v/>
      </c>
      <c r="J554" s="7" t="n"/>
      <c r="K554" s="7" t="n"/>
      <c r="L554" s="7">
        <f>IF($A554="","",S554*K554)</f>
        <v/>
      </c>
      <c r="M554" s="7">
        <f>IF($A554="","",K554-L554)</f>
        <v/>
      </c>
      <c r="N554" s="7">
        <f>IF($A554="","",M554-F554)</f>
        <v/>
      </c>
      <c r="Q554" s="11" t="n"/>
      <c r="S554">
        <f>IF($A554="","",IF(AND(ISNUMBER($R554),NOT(ISLOGICAL($R554)),N($R554)&gt;1),$R554/100*1,IF($V554=1,Settings!$C$6,Settings!$C$7)*1))</f>
        <v/>
      </c>
      <c r="T554">
        <f>IF($A554="","",IF(COUNTIF($A$2:$A554,$A554)=1,1,0))</f>
        <v/>
      </c>
      <c r="U554">
        <f>IF($T554=1,SUMPRODUCT(--($W$2:$W$1001&lt;$W554))+1,"")</f>
        <v/>
      </c>
      <c r="V554">
        <f>IF($A554="","",IF(AND(ISNUMBER($R554),NOT(ISLOGICAL($R554)),N($R554)&gt;1),IF(ABS($R554/100-Settings!$C$6)&lt;=ABS($R554/100-Settings!$C$7),1,0),IF(OR($R554=TRUE(),$R554="TRUE"),1,0)))</f>
        <v/>
      </c>
      <c r="W554">
        <f>IF($T554=1,IFERROR(IF(VALUE($A554)&lt;100000000,VALUE($A554),1000000000),IFERROR(IF(VALUE(MID($A554,2,20))&lt;100000000,VALUE(MID($A554,2,20)),1000000000),1000000000))+ROW()/100000,"")</f>
        <v/>
      </c>
    </row>
    <row r="555">
      <c r="F555" s="7">
        <f>IF($A555="","",E555*K555/100)</f>
        <v/>
      </c>
      <c r="J555" s="7" t="n"/>
      <c r="K555" s="7" t="n"/>
      <c r="L555" s="7">
        <f>IF($A555="","",S555*K555)</f>
        <v/>
      </c>
      <c r="M555" s="7">
        <f>IF($A555="","",K555-L555)</f>
        <v/>
      </c>
      <c r="N555" s="7">
        <f>IF($A555="","",M555-F555)</f>
        <v/>
      </c>
      <c r="Q555" s="11" t="n"/>
      <c r="S555">
        <f>IF($A555="","",IF(AND(ISNUMBER($R555),NOT(ISLOGICAL($R555)),N($R555)&gt;1),$R555/100*1,IF($V555=1,Settings!$C$6,Settings!$C$7)*1))</f>
        <v/>
      </c>
      <c r="T555">
        <f>IF($A555="","",IF(COUNTIF($A$2:$A555,$A555)=1,1,0))</f>
        <v/>
      </c>
      <c r="U555">
        <f>IF($T555=1,SUMPRODUCT(--($W$2:$W$1001&lt;$W555))+1,"")</f>
        <v/>
      </c>
      <c r="V555">
        <f>IF($A555="","",IF(AND(ISNUMBER($R555),NOT(ISLOGICAL($R555)),N($R555)&gt;1),IF(ABS($R555/100-Settings!$C$6)&lt;=ABS($R555/100-Settings!$C$7),1,0),IF(OR($R555=TRUE(),$R555="TRUE"),1,0)))</f>
        <v/>
      </c>
      <c r="W555">
        <f>IF($T555=1,IFERROR(IF(VALUE($A555)&lt;100000000,VALUE($A555),1000000000),IFERROR(IF(VALUE(MID($A555,2,20))&lt;100000000,VALUE(MID($A555,2,20)),1000000000),1000000000))+ROW()/100000,"")</f>
        <v/>
      </c>
    </row>
    <row r="556">
      <c r="F556" s="7">
        <f>IF($A556="","",E556*K556/100)</f>
        <v/>
      </c>
      <c r="J556" s="7" t="n"/>
      <c r="K556" s="7" t="n"/>
      <c r="L556" s="7">
        <f>IF($A556="","",S556*K556)</f>
        <v/>
      </c>
      <c r="M556" s="7">
        <f>IF($A556="","",K556-L556)</f>
        <v/>
      </c>
      <c r="N556" s="7">
        <f>IF($A556="","",M556-F556)</f>
        <v/>
      </c>
      <c r="Q556" s="11" t="n"/>
      <c r="S556">
        <f>IF($A556="","",IF(AND(ISNUMBER($R556),NOT(ISLOGICAL($R556)),N($R556)&gt;1),$R556/100*1,IF($V556=1,Settings!$C$6,Settings!$C$7)*1))</f>
        <v/>
      </c>
      <c r="T556">
        <f>IF($A556="","",IF(COUNTIF($A$2:$A556,$A556)=1,1,0))</f>
        <v/>
      </c>
      <c r="U556">
        <f>IF($T556=1,SUMPRODUCT(--($W$2:$W$1001&lt;$W556))+1,"")</f>
        <v/>
      </c>
      <c r="V556">
        <f>IF($A556="","",IF(AND(ISNUMBER($R556),NOT(ISLOGICAL($R556)),N($R556)&gt;1),IF(ABS($R556/100-Settings!$C$6)&lt;=ABS($R556/100-Settings!$C$7),1,0),IF(OR($R556=TRUE(),$R556="TRUE"),1,0)))</f>
        <v/>
      </c>
      <c r="W556">
        <f>IF($T556=1,IFERROR(IF(VALUE($A556)&lt;100000000,VALUE($A556),1000000000),IFERROR(IF(VALUE(MID($A556,2,20))&lt;100000000,VALUE(MID($A556,2,20)),1000000000),1000000000))+ROW()/100000,"")</f>
        <v/>
      </c>
    </row>
    <row r="557">
      <c r="F557" s="7">
        <f>IF($A557="","",E557*K557/100)</f>
        <v/>
      </c>
      <c r="J557" s="7" t="n"/>
      <c r="K557" s="7" t="n"/>
      <c r="L557" s="7">
        <f>IF($A557="","",S557*K557)</f>
        <v/>
      </c>
      <c r="M557" s="7">
        <f>IF($A557="","",K557-L557)</f>
        <v/>
      </c>
      <c r="N557" s="7">
        <f>IF($A557="","",M557-F557)</f>
        <v/>
      </c>
      <c r="Q557" s="11" t="n"/>
      <c r="S557">
        <f>IF($A557="","",IF(AND(ISNUMBER($R557),NOT(ISLOGICAL($R557)),N($R557)&gt;1),$R557/100*1,IF($V557=1,Settings!$C$6,Settings!$C$7)*1))</f>
        <v/>
      </c>
      <c r="T557">
        <f>IF($A557="","",IF(COUNTIF($A$2:$A557,$A557)=1,1,0))</f>
        <v/>
      </c>
      <c r="U557">
        <f>IF($T557=1,SUMPRODUCT(--($W$2:$W$1001&lt;$W557))+1,"")</f>
        <v/>
      </c>
      <c r="V557">
        <f>IF($A557="","",IF(AND(ISNUMBER($R557),NOT(ISLOGICAL($R557)),N($R557)&gt;1),IF(ABS($R557/100-Settings!$C$6)&lt;=ABS($R557/100-Settings!$C$7),1,0),IF(OR($R557=TRUE(),$R557="TRUE"),1,0)))</f>
        <v/>
      </c>
      <c r="W557">
        <f>IF($T557=1,IFERROR(IF(VALUE($A557)&lt;100000000,VALUE($A557),1000000000),IFERROR(IF(VALUE(MID($A557,2,20))&lt;100000000,VALUE(MID($A557,2,20)),1000000000),1000000000))+ROW()/100000,"")</f>
        <v/>
      </c>
    </row>
    <row r="558">
      <c r="F558" s="7">
        <f>IF($A558="","",E558*K558/100)</f>
        <v/>
      </c>
      <c r="J558" s="7" t="n"/>
      <c r="K558" s="7" t="n"/>
      <c r="L558" s="7">
        <f>IF($A558="","",S558*K558)</f>
        <v/>
      </c>
      <c r="M558" s="7">
        <f>IF($A558="","",K558-L558)</f>
        <v/>
      </c>
      <c r="N558" s="7">
        <f>IF($A558="","",M558-F558)</f>
        <v/>
      </c>
      <c r="Q558" s="11" t="n"/>
      <c r="S558">
        <f>IF($A558="","",IF(AND(ISNUMBER($R558),NOT(ISLOGICAL($R558)),N($R558)&gt;1),$R558/100*1,IF($V558=1,Settings!$C$6,Settings!$C$7)*1))</f>
        <v/>
      </c>
      <c r="T558">
        <f>IF($A558="","",IF(COUNTIF($A$2:$A558,$A558)=1,1,0))</f>
        <v/>
      </c>
      <c r="U558">
        <f>IF($T558=1,SUMPRODUCT(--($W$2:$W$1001&lt;$W558))+1,"")</f>
        <v/>
      </c>
      <c r="V558">
        <f>IF($A558="","",IF(AND(ISNUMBER($R558),NOT(ISLOGICAL($R558)),N($R558)&gt;1),IF(ABS($R558/100-Settings!$C$6)&lt;=ABS($R558/100-Settings!$C$7),1,0),IF(OR($R558=TRUE(),$R558="TRUE"),1,0)))</f>
        <v/>
      </c>
      <c r="W558">
        <f>IF($T558=1,IFERROR(IF(VALUE($A558)&lt;100000000,VALUE($A558),1000000000),IFERROR(IF(VALUE(MID($A558,2,20))&lt;100000000,VALUE(MID($A558,2,20)),1000000000),1000000000))+ROW()/100000,"")</f>
        <v/>
      </c>
    </row>
    <row r="559">
      <c r="F559" s="7">
        <f>IF($A559="","",E559*K559/100)</f>
        <v/>
      </c>
      <c r="J559" s="7" t="n"/>
      <c r="K559" s="7" t="n"/>
      <c r="L559" s="7">
        <f>IF($A559="","",S559*K559)</f>
        <v/>
      </c>
      <c r="M559" s="7">
        <f>IF($A559="","",K559-L559)</f>
        <v/>
      </c>
      <c r="N559" s="7">
        <f>IF($A559="","",M559-F559)</f>
        <v/>
      </c>
      <c r="Q559" s="11" t="n"/>
      <c r="S559">
        <f>IF($A559="","",IF(AND(ISNUMBER($R559),NOT(ISLOGICAL($R559)),N($R559)&gt;1),$R559/100*1,IF($V559=1,Settings!$C$6,Settings!$C$7)*1))</f>
        <v/>
      </c>
      <c r="T559">
        <f>IF($A559="","",IF(COUNTIF($A$2:$A559,$A559)=1,1,0))</f>
        <v/>
      </c>
      <c r="U559">
        <f>IF($T559=1,SUMPRODUCT(--($W$2:$W$1001&lt;$W559))+1,"")</f>
        <v/>
      </c>
      <c r="V559">
        <f>IF($A559="","",IF(AND(ISNUMBER($R559),NOT(ISLOGICAL($R559)),N($R559)&gt;1),IF(ABS($R559/100-Settings!$C$6)&lt;=ABS($R559/100-Settings!$C$7),1,0),IF(OR($R559=TRUE(),$R559="TRUE"),1,0)))</f>
        <v/>
      </c>
      <c r="W559">
        <f>IF($T559=1,IFERROR(IF(VALUE($A559)&lt;100000000,VALUE($A559),1000000000),IFERROR(IF(VALUE(MID($A559,2,20))&lt;100000000,VALUE(MID($A559,2,20)),1000000000),1000000000))+ROW()/100000,"")</f>
        <v/>
      </c>
    </row>
    <row r="560">
      <c r="F560" s="7">
        <f>IF($A560="","",E560*K560/100)</f>
        <v/>
      </c>
      <c r="J560" s="7" t="n"/>
      <c r="K560" s="7" t="n"/>
      <c r="L560" s="7">
        <f>IF($A560="","",S560*K560)</f>
        <v/>
      </c>
      <c r="M560" s="7">
        <f>IF($A560="","",K560-L560)</f>
        <v/>
      </c>
      <c r="N560" s="7">
        <f>IF($A560="","",M560-F560)</f>
        <v/>
      </c>
      <c r="Q560" s="11" t="n"/>
      <c r="S560">
        <f>IF($A560="","",IF(AND(ISNUMBER($R560),NOT(ISLOGICAL($R560)),N($R560)&gt;1),$R560/100*1,IF($V560=1,Settings!$C$6,Settings!$C$7)*1))</f>
        <v/>
      </c>
      <c r="T560">
        <f>IF($A560="","",IF(COUNTIF($A$2:$A560,$A560)=1,1,0))</f>
        <v/>
      </c>
      <c r="U560">
        <f>IF($T560=1,SUMPRODUCT(--($W$2:$W$1001&lt;$W560))+1,"")</f>
        <v/>
      </c>
      <c r="V560">
        <f>IF($A560="","",IF(AND(ISNUMBER($R560),NOT(ISLOGICAL($R560)),N($R560)&gt;1),IF(ABS($R560/100-Settings!$C$6)&lt;=ABS($R560/100-Settings!$C$7),1,0),IF(OR($R560=TRUE(),$R560="TRUE"),1,0)))</f>
        <v/>
      </c>
      <c r="W560">
        <f>IF($T560=1,IFERROR(IF(VALUE($A560)&lt;100000000,VALUE($A560),1000000000),IFERROR(IF(VALUE(MID($A560,2,20))&lt;100000000,VALUE(MID($A560,2,20)),1000000000),1000000000))+ROW()/100000,"")</f>
        <v/>
      </c>
    </row>
    <row r="561">
      <c r="F561" s="7">
        <f>IF($A561="","",E561*K561/100)</f>
        <v/>
      </c>
      <c r="J561" s="7" t="n"/>
      <c r="K561" s="7" t="n"/>
      <c r="L561" s="7">
        <f>IF($A561="","",S561*K561)</f>
        <v/>
      </c>
      <c r="M561" s="7">
        <f>IF($A561="","",K561-L561)</f>
        <v/>
      </c>
      <c r="N561" s="7">
        <f>IF($A561="","",M561-F561)</f>
        <v/>
      </c>
      <c r="Q561" s="11" t="n"/>
      <c r="S561">
        <f>IF($A561="","",IF(AND(ISNUMBER($R561),NOT(ISLOGICAL($R561)),N($R561)&gt;1),$R561/100*1,IF($V561=1,Settings!$C$6,Settings!$C$7)*1))</f>
        <v/>
      </c>
      <c r="T561">
        <f>IF($A561="","",IF(COUNTIF($A$2:$A561,$A561)=1,1,0))</f>
        <v/>
      </c>
      <c r="U561">
        <f>IF($T561=1,SUMPRODUCT(--($W$2:$W$1001&lt;$W561))+1,"")</f>
        <v/>
      </c>
      <c r="V561">
        <f>IF($A561="","",IF(AND(ISNUMBER($R561),NOT(ISLOGICAL($R561)),N($R561)&gt;1),IF(ABS($R561/100-Settings!$C$6)&lt;=ABS($R561/100-Settings!$C$7),1,0),IF(OR($R561=TRUE(),$R561="TRUE"),1,0)))</f>
        <v/>
      </c>
      <c r="W561">
        <f>IF($T561=1,IFERROR(IF(VALUE($A561)&lt;100000000,VALUE($A561),1000000000),IFERROR(IF(VALUE(MID($A561,2,20))&lt;100000000,VALUE(MID($A561,2,20)),1000000000),1000000000))+ROW()/100000,"")</f>
        <v/>
      </c>
    </row>
    <row r="562">
      <c r="F562" s="7">
        <f>IF($A562="","",E562*K562/100)</f>
        <v/>
      </c>
      <c r="J562" s="7" t="n"/>
      <c r="K562" s="7" t="n"/>
      <c r="L562" s="7">
        <f>IF($A562="","",S562*K562)</f>
        <v/>
      </c>
      <c r="M562" s="7">
        <f>IF($A562="","",K562-L562)</f>
        <v/>
      </c>
      <c r="N562" s="7">
        <f>IF($A562="","",M562-F562)</f>
        <v/>
      </c>
      <c r="Q562" s="11" t="n"/>
      <c r="S562">
        <f>IF($A562="","",IF(AND(ISNUMBER($R562),NOT(ISLOGICAL($R562)),N($R562)&gt;1),$R562/100*1,IF($V562=1,Settings!$C$6,Settings!$C$7)*1))</f>
        <v/>
      </c>
      <c r="T562">
        <f>IF($A562="","",IF(COUNTIF($A$2:$A562,$A562)=1,1,0))</f>
        <v/>
      </c>
      <c r="U562">
        <f>IF($T562=1,SUMPRODUCT(--($W$2:$W$1001&lt;$W562))+1,"")</f>
        <v/>
      </c>
      <c r="V562">
        <f>IF($A562="","",IF(AND(ISNUMBER($R562),NOT(ISLOGICAL($R562)),N($R562)&gt;1),IF(ABS($R562/100-Settings!$C$6)&lt;=ABS($R562/100-Settings!$C$7),1,0),IF(OR($R562=TRUE(),$R562="TRUE"),1,0)))</f>
        <v/>
      </c>
      <c r="W562">
        <f>IF($T562=1,IFERROR(IF(VALUE($A562)&lt;100000000,VALUE($A562),1000000000),IFERROR(IF(VALUE(MID($A562,2,20))&lt;100000000,VALUE(MID($A562,2,20)),1000000000),1000000000))+ROW()/100000,"")</f>
        <v/>
      </c>
    </row>
    <row r="563">
      <c r="F563" s="7">
        <f>IF($A563="","",E563*K563/100)</f>
        <v/>
      </c>
      <c r="J563" s="7" t="n"/>
      <c r="K563" s="7" t="n"/>
      <c r="L563" s="7">
        <f>IF($A563="","",S563*K563)</f>
        <v/>
      </c>
      <c r="M563" s="7">
        <f>IF($A563="","",K563-L563)</f>
        <v/>
      </c>
      <c r="N563" s="7">
        <f>IF($A563="","",M563-F563)</f>
        <v/>
      </c>
      <c r="Q563" s="11" t="n"/>
      <c r="S563">
        <f>IF($A563="","",IF(AND(ISNUMBER($R563),NOT(ISLOGICAL($R563)),N($R563)&gt;1),$R563/100*1,IF($V563=1,Settings!$C$6,Settings!$C$7)*1))</f>
        <v/>
      </c>
      <c r="T563">
        <f>IF($A563="","",IF(COUNTIF($A$2:$A563,$A563)=1,1,0))</f>
        <v/>
      </c>
      <c r="U563">
        <f>IF($T563=1,SUMPRODUCT(--($W$2:$W$1001&lt;$W563))+1,"")</f>
        <v/>
      </c>
      <c r="V563">
        <f>IF($A563="","",IF(AND(ISNUMBER($R563),NOT(ISLOGICAL($R563)),N($R563)&gt;1),IF(ABS($R563/100-Settings!$C$6)&lt;=ABS($R563/100-Settings!$C$7),1,0),IF(OR($R563=TRUE(),$R563="TRUE"),1,0)))</f>
        <v/>
      </c>
      <c r="W563">
        <f>IF($T563=1,IFERROR(IF(VALUE($A563)&lt;100000000,VALUE($A563),1000000000),IFERROR(IF(VALUE(MID($A563,2,20))&lt;100000000,VALUE(MID($A563,2,20)),1000000000),1000000000))+ROW()/100000,"")</f>
        <v/>
      </c>
    </row>
    <row r="564">
      <c r="F564" s="7">
        <f>IF($A564="","",E564*K564/100)</f>
        <v/>
      </c>
      <c r="J564" s="7" t="n"/>
      <c r="K564" s="7" t="n"/>
      <c r="L564" s="7">
        <f>IF($A564="","",S564*K564)</f>
        <v/>
      </c>
      <c r="M564" s="7">
        <f>IF($A564="","",K564-L564)</f>
        <v/>
      </c>
      <c r="N564" s="7">
        <f>IF($A564="","",M564-F564)</f>
        <v/>
      </c>
      <c r="Q564" s="11" t="n"/>
      <c r="S564">
        <f>IF($A564="","",IF(AND(ISNUMBER($R564),NOT(ISLOGICAL($R564)),N($R564)&gt;1),$R564/100*1,IF($V564=1,Settings!$C$6,Settings!$C$7)*1))</f>
        <v/>
      </c>
      <c r="T564">
        <f>IF($A564="","",IF(COUNTIF($A$2:$A564,$A564)=1,1,0))</f>
        <v/>
      </c>
      <c r="U564">
        <f>IF($T564=1,SUMPRODUCT(--($W$2:$W$1001&lt;$W564))+1,"")</f>
        <v/>
      </c>
      <c r="V564">
        <f>IF($A564="","",IF(AND(ISNUMBER($R564),NOT(ISLOGICAL($R564)),N($R564)&gt;1),IF(ABS($R564/100-Settings!$C$6)&lt;=ABS($R564/100-Settings!$C$7),1,0),IF(OR($R564=TRUE(),$R564="TRUE"),1,0)))</f>
        <v/>
      </c>
      <c r="W564">
        <f>IF($T564=1,IFERROR(IF(VALUE($A564)&lt;100000000,VALUE($A564),1000000000),IFERROR(IF(VALUE(MID($A564,2,20))&lt;100000000,VALUE(MID($A564,2,20)),1000000000),1000000000))+ROW()/100000,"")</f>
        <v/>
      </c>
    </row>
    <row r="565">
      <c r="F565" s="7">
        <f>IF($A565="","",E565*K565/100)</f>
        <v/>
      </c>
      <c r="J565" s="7" t="n"/>
      <c r="K565" s="7" t="n"/>
      <c r="L565" s="7">
        <f>IF($A565="","",S565*K565)</f>
        <v/>
      </c>
      <c r="M565" s="7">
        <f>IF($A565="","",K565-L565)</f>
        <v/>
      </c>
      <c r="N565" s="7">
        <f>IF($A565="","",M565-F565)</f>
        <v/>
      </c>
      <c r="Q565" s="11" t="n"/>
      <c r="S565">
        <f>IF($A565="","",IF(AND(ISNUMBER($R565),NOT(ISLOGICAL($R565)),N($R565)&gt;1),$R565/100*1,IF($V565=1,Settings!$C$6,Settings!$C$7)*1))</f>
        <v/>
      </c>
      <c r="T565">
        <f>IF($A565="","",IF(COUNTIF($A$2:$A565,$A565)=1,1,0))</f>
        <v/>
      </c>
      <c r="U565">
        <f>IF($T565=1,SUMPRODUCT(--($W$2:$W$1001&lt;$W565))+1,"")</f>
        <v/>
      </c>
      <c r="V565">
        <f>IF($A565="","",IF(AND(ISNUMBER($R565),NOT(ISLOGICAL($R565)),N($R565)&gt;1),IF(ABS($R565/100-Settings!$C$6)&lt;=ABS($R565/100-Settings!$C$7),1,0),IF(OR($R565=TRUE(),$R565="TRUE"),1,0)))</f>
        <v/>
      </c>
      <c r="W565">
        <f>IF($T565=1,IFERROR(IF(VALUE($A565)&lt;100000000,VALUE($A565),1000000000),IFERROR(IF(VALUE(MID($A565,2,20))&lt;100000000,VALUE(MID($A565,2,20)),1000000000),1000000000))+ROW()/100000,"")</f>
        <v/>
      </c>
    </row>
    <row r="566">
      <c r="F566" s="7">
        <f>IF($A566="","",E566*K566/100)</f>
        <v/>
      </c>
      <c r="J566" s="7" t="n"/>
      <c r="K566" s="7" t="n"/>
      <c r="L566" s="7">
        <f>IF($A566="","",S566*K566)</f>
        <v/>
      </c>
      <c r="M566" s="7">
        <f>IF($A566="","",K566-L566)</f>
        <v/>
      </c>
      <c r="N566" s="7">
        <f>IF($A566="","",M566-F566)</f>
        <v/>
      </c>
      <c r="Q566" s="11" t="n"/>
      <c r="S566">
        <f>IF($A566="","",IF(AND(ISNUMBER($R566),NOT(ISLOGICAL($R566)),N($R566)&gt;1),$R566/100*1,IF($V566=1,Settings!$C$6,Settings!$C$7)*1))</f>
        <v/>
      </c>
      <c r="T566">
        <f>IF($A566="","",IF(COUNTIF($A$2:$A566,$A566)=1,1,0))</f>
        <v/>
      </c>
      <c r="U566">
        <f>IF($T566=1,SUMPRODUCT(--($W$2:$W$1001&lt;$W566))+1,"")</f>
        <v/>
      </c>
      <c r="V566">
        <f>IF($A566="","",IF(AND(ISNUMBER($R566),NOT(ISLOGICAL($R566)),N($R566)&gt;1),IF(ABS($R566/100-Settings!$C$6)&lt;=ABS($R566/100-Settings!$C$7),1,0),IF(OR($R566=TRUE(),$R566="TRUE"),1,0)))</f>
        <v/>
      </c>
      <c r="W566">
        <f>IF($T566=1,IFERROR(IF(VALUE($A566)&lt;100000000,VALUE($A566),1000000000),IFERROR(IF(VALUE(MID($A566,2,20))&lt;100000000,VALUE(MID($A566,2,20)),1000000000),1000000000))+ROW()/100000,"")</f>
        <v/>
      </c>
    </row>
    <row r="567">
      <c r="F567" s="7">
        <f>IF($A567="","",E567*K567/100)</f>
        <v/>
      </c>
      <c r="J567" s="7" t="n"/>
      <c r="K567" s="7" t="n"/>
      <c r="L567" s="7">
        <f>IF($A567="","",S567*K567)</f>
        <v/>
      </c>
      <c r="M567" s="7">
        <f>IF($A567="","",K567-L567)</f>
        <v/>
      </c>
      <c r="N567" s="7">
        <f>IF($A567="","",M567-F567)</f>
        <v/>
      </c>
      <c r="Q567" s="11" t="n"/>
      <c r="S567">
        <f>IF($A567="","",IF(AND(ISNUMBER($R567),NOT(ISLOGICAL($R567)),N($R567)&gt;1),$R567/100*1,IF($V567=1,Settings!$C$6,Settings!$C$7)*1))</f>
        <v/>
      </c>
      <c r="T567">
        <f>IF($A567="","",IF(COUNTIF($A$2:$A567,$A567)=1,1,0))</f>
        <v/>
      </c>
      <c r="U567">
        <f>IF($T567=1,SUMPRODUCT(--($W$2:$W$1001&lt;$W567))+1,"")</f>
        <v/>
      </c>
      <c r="V567">
        <f>IF($A567="","",IF(AND(ISNUMBER($R567),NOT(ISLOGICAL($R567)),N($R567)&gt;1),IF(ABS($R567/100-Settings!$C$6)&lt;=ABS($R567/100-Settings!$C$7),1,0),IF(OR($R567=TRUE(),$R567="TRUE"),1,0)))</f>
        <v/>
      </c>
      <c r="W567">
        <f>IF($T567=1,IFERROR(IF(VALUE($A567)&lt;100000000,VALUE($A567),1000000000),IFERROR(IF(VALUE(MID($A567,2,20))&lt;100000000,VALUE(MID($A567,2,20)),1000000000),1000000000))+ROW()/100000,"")</f>
        <v/>
      </c>
    </row>
    <row r="568">
      <c r="F568" s="7">
        <f>IF($A568="","",E568*K568/100)</f>
        <v/>
      </c>
      <c r="J568" s="7" t="n"/>
      <c r="K568" s="7" t="n"/>
      <c r="L568" s="7">
        <f>IF($A568="","",S568*K568)</f>
        <v/>
      </c>
      <c r="M568" s="7">
        <f>IF($A568="","",K568-L568)</f>
        <v/>
      </c>
      <c r="N568" s="7">
        <f>IF($A568="","",M568-F568)</f>
        <v/>
      </c>
      <c r="Q568" s="11" t="n"/>
      <c r="S568">
        <f>IF($A568="","",IF(AND(ISNUMBER($R568),NOT(ISLOGICAL($R568)),N($R568)&gt;1),$R568/100*1,IF($V568=1,Settings!$C$6,Settings!$C$7)*1))</f>
        <v/>
      </c>
      <c r="T568">
        <f>IF($A568="","",IF(COUNTIF($A$2:$A568,$A568)=1,1,0))</f>
        <v/>
      </c>
      <c r="U568">
        <f>IF($T568=1,SUMPRODUCT(--($W$2:$W$1001&lt;$W568))+1,"")</f>
        <v/>
      </c>
      <c r="V568">
        <f>IF($A568="","",IF(AND(ISNUMBER($R568),NOT(ISLOGICAL($R568)),N($R568)&gt;1),IF(ABS($R568/100-Settings!$C$6)&lt;=ABS($R568/100-Settings!$C$7),1,0),IF(OR($R568=TRUE(),$R568="TRUE"),1,0)))</f>
        <v/>
      </c>
      <c r="W568">
        <f>IF($T568=1,IFERROR(IF(VALUE($A568)&lt;100000000,VALUE($A568),1000000000),IFERROR(IF(VALUE(MID($A568,2,20))&lt;100000000,VALUE(MID($A568,2,20)),1000000000),1000000000))+ROW()/100000,"")</f>
        <v/>
      </c>
    </row>
    <row r="569">
      <c r="F569" s="7">
        <f>IF($A569="","",E569*K569/100)</f>
        <v/>
      </c>
      <c r="J569" s="7" t="n"/>
      <c r="K569" s="7" t="n"/>
      <c r="L569" s="7">
        <f>IF($A569="","",S569*K569)</f>
        <v/>
      </c>
      <c r="M569" s="7">
        <f>IF($A569="","",K569-L569)</f>
        <v/>
      </c>
      <c r="N569" s="7">
        <f>IF($A569="","",M569-F569)</f>
        <v/>
      </c>
      <c r="Q569" s="11" t="n"/>
      <c r="S569">
        <f>IF($A569="","",IF(AND(ISNUMBER($R569),NOT(ISLOGICAL($R569)),N($R569)&gt;1),$R569/100*1,IF($V569=1,Settings!$C$6,Settings!$C$7)*1))</f>
        <v/>
      </c>
      <c r="T569">
        <f>IF($A569="","",IF(COUNTIF($A$2:$A569,$A569)=1,1,0))</f>
        <v/>
      </c>
      <c r="U569">
        <f>IF($T569=1,SUMPRODUCT(--($W$2:$W$1001&lt;$W569))+1,"")</f>
        <v/>
      </c>
      <c r="V569">
        <f>IF($A569="","",IF(AND(ISNUMBER($R569),NOT(ISLOGICAL($R569)),N($R569)&gt;1),IF(ABS($R569/100-Settings!$C$6)&lt;=ABS($R569/100-Settings!$C$7),1,0),IF(OR($R569=TRUE(),$R569="TRUE"),1,0)))</f>
        <v/>
      </c>
      <c r="W569">
        <f>IF($T569=1,IFERROR(IF(VALUE($A569)&lt;100000000,VALUE($A569),1000000000),IFERROR(IF(VALUE(MID($A569,2,20))&lt;100000000,VALUE(MID($A569,2,20)),1000000000),1000000000))+ROW()/100000,"")</f>
        <v/>
      </c>
    </row>
    <row r="570">
      <c r="F570" s="7">
        <f>IF($A570="","",E570*K570/100)</f>
        <v/>
      </c>
      <c r="J570" s="7" t="n"/>
      <c r="K570" s="7" t="n"/>
      <c r="L570" s="7">
        <f>IF($A570="","",S570*K570)</f>
        <v/>
      </c>
      <c r="M570" s="7">
        <f>IF($A570="","",K570-L570)</f>
        <v/>
      </c>
      <c r="N570" s="7">
        <f>IF($A570="","",M570-F570)</f>
        <v/>
      </c>
      <c r="Q570" s="11" t="n"/>
      <c r="S570">
        <f>IF($A570="","",IF(AND(ISNUMBER($R570),NOT(ISLOGICAL($R570)),N($R570)&gt;1),$R570/100*1,IF($V570=1,Settings!$C$6,Settings!$C$7)*1))</f>
        <v/>
      </c>
      <c r="T570">
        <f>IF($A570="","",IF(COUNTIF($A$2:$A570,$A570)=1,1,0))</f>
        <v/>
      </c>
      <c r="U570">
        <f>IF($T570=1,SUMPRODUCT(--($W$2:$W$1001&lt;$W570))+1,"")</f>
        <v/>
      </c>
      <c r="V570">
        <f>IF($A570="","",IF(AND(ISNUMBER($R570),NOT(ISLOGICAL($R570)),N($R570)&gt;1),IF(ABS($R570/100-Settings!$C$6)&lt;=ABS($R570/100-Settings!$C$7),1,0),IF(OR($R570=TRUE(),$R570="TRUE"),1,0)))</f>
        <v/>
      </c>
      <c r="W570">
        <f>IF($T570=1,IFERROR(IF(VALUE($A570)&lt;100000000,VALUE($A570),1000000000),IFERROR(IF(VALUE(MID($A570,2,20))&lt;100000000,VALUE(MID($A570,2,20)),1000000000),1000000000))+ROW()/100000,"")</f>
        <v/>
      </c>
    </row>
    <row r="571">
      <c r="F571" s="7">
        <f>IF($A571="","",E571*K571/100)</f>
        <v/>
      </c>
      <c r="J571" s="7" t="n"/>
      <c r="K571" s="7" t="n"/>
      <c r="L571" s="7">
        <f>IF($A571="","",S571*K571)</f>
        <v/>
      </c>
      <c r="M571" s="7">
        <f>IF($A571="","",K571-L571)</f>
        <v/>
      </c>
      <c r="N571" s="7">
        <f>IF($A571="","",M571-F571)</f>
        <v/>
      </c>
      <c r="Q571" s="11" t="n"/>
      <c r="S571">
        <f>IF($A571="","",IF(AND(ISNUMBER($R571),NOT(ISLOGICAL($R571)),N($R571)&gt;1),$R571/100*1,IF($V571=1,Settings!$C$6,Settings!$C$7)*1))</f>
        <v/>
      </c>
      <c r="T571">
        <f>IF($A571="","",IF(COUNTIF($A$2:$A571,$A571)=1,1,0))</f>
        <v/>
      </c>
      <c r="U571">
        <f>IF($T571=1,SUMPRODUCT(--($W$2:$W$1001&lt;$W571))+1,"")</f>
        <v/>
      </c>
      <c r="V571">
        <f>IF($A571="","",IF(AND(ISNUMBER($R571),NOT(ISLOGICAL($R571)),N($R571)&gt;1),IF(ABS($R571/100-Settings!$C$6)&lt;=ABS($R571/100-Settings!$C$7),1,0),IF(OR($R571=TRUE(),$R571="TRUE"),1,0)))</f>
        <v/>
      </c>
      <c r="W571">
        <f>IF($T571=1,IFERROR(IF(VALUE($A571)&lt;100000000,VALUE($A571),1000000000),IFERROR(IF(VALUE(MID($A571,2,20))&lt;100000000,VALUE(MID($A571,2,20)),1000000000),1000000000))+ROW()/100000,"")</f>
        <v/>
      </c>
    </row>
    <row r="572">
      <c r="F572" s="7">
        <f>IF($A572="","",E572*K572/100)</f>
        <v/>
      </c>
      <c r="J572" s="7" t="n"/>
      <c r="K572" s="7" t="n"/>
      <c r="L572" s="7">
        <f>IF($A572="","",S572*K572)</f>
        <v/>
      </c>
      <c r="M572" s="7">
        <f>IF($A572="","",K572-L572)</f>
        <v/>
      </c>
      <c r="N572" s="7">
        <f>IF($A572="","",M572-F572)</f>
        <v/>
      </c>
      <c r="Q572" s="11" t="n"/>
      <c r="S572">
        <f>IF($A572="","",IF(AND(ISNUMBER($R572),NOT(ISLOGICAL($R572)),N($R572)&gt;1),$R572/100*1,IF($V572=1,Settings!$C$6,Settings!$C$7)*1))</f>
        <v/>
      </c>
      <c r="T572">
        <f>IF($A572="","",IF(COUNTIF($A$2:$A572,$A572)=1,1,0))</f>
        <v/>
      </c>
      <c r="U572">
        <f>IF($T572=1,SUMPRODUCT(--($W$2:$W$1001&lt;$W572))+1,"")</f>
        <v/>
      </c>
      <c r="V572">
        <f>IF($A572="","",IF(AND(ISNUMBER($R572),NOT(ISLOGICAL($R572)),N($R572)&gt;1),IF(ABS($R572/100-Settings!$C$6)&lt;=ABS($R572/100-Settings!$C$7),1,0),IF(OR($R572=TRUE(),$R572="TRUE"),1,0)))</f>
        <v/>
      </c>
      <c r="W572">
        <f>IF($T572=1,IFERROR(IF(VALUE($A572)&lt;100000000,VALUE($A572),1000000000),IFERROR(IF(VALUE(MID($A572,2,20))&lt;100000000,VALUE(MID($A572,2,20)),1000000000),1000000000))+ROW()/100000,"")</f>
        <v/>
      </c>
    </row>
    <row r="573">
      <c r="F573" s="7">
        <f>IF($A573="","",E573*K573/100)</f>
        <v/>
      </c>
      <c r="J573" s="7" t="n"/>
      <c r="K573" s="7" t="n"/>
      <c r="L573" s="7">
        <f>IF($A573="","",S573*K573)</f>
        <v/>
      </c>
      <c r="M573" s="7">
        <f>IF($A573="","",K573-L573)</f>
        <v/>
      </c>
      <c r="N573" s="7">
        <f>IF($A573="","",M573-F573)</f>
        <v/>
      </c>
      <c r="Q573" s="11" t="n"/>
      <c r="S573">
        <f>IF($A573="","",IF(AND(ISNUMBER($R573),NOT(ISLOGICAL($R573)),N($R573)&gt;1),$R573/100*1,IF($V573=1,Settings!$C$6,Settings!$C$7)*1))</f>
        <v/>
      </c>
      <c r="T573">
        <f>IF($A573="","",IF(COUNTIF($A$2:$A573,$A573)=1,1,0))</f>
        <v/>
      </c>
      <c r="U573">
        <f>IF($T573=1,SUMPRODUCT(--($W$2:$W$1001&lt;$W573))+1,"")</f>
        <v/>
      </c>
      <c r="V573">
        <f>IF($A573="","",IF(AND(ISNUMBER($R573),NOT(ISLOGICAL($R573)),N($R573)&gt;1),IF(ABS($R573/100-Settings!$C$6)&lt;=ABS($R573/100-Settings!$C$7),1,0),IF(OR($R573=TRUE(),$R573="TRUE"),1,0)))</f>
        <v/>
      </c>
      <c r="W573">
        <f>IF($T573=1,IFERROR(IF(VALUE($A573)&lt;100000000,VALUE($A573),1000000000),IFERROR(IF(VALUE(MID($A573,2,20))&lt;100000000,VALUE(MID($A573,2,20)),1000000000),1000000000))+ROW()/100000,"")</f>
        <v/>
      </c>
    </row>
    <row r="574">
      <c r="F574" s="7">
        <f>IF($A574="","",E574*K574/100)</f>
        <v/>
      </c>
      <c r="J574" s="7" t="n"/>
      <c r="K574" s="7" t="n"/>
      <c r="L574" s="7">
        <f>IF($A574="","",S574*K574)</f>
        <v/>
      </c>
      <c r="M574" s="7">
        <f>IF($A574="","",K574-L574)</f>
        <v/>
      </c>
      <c r="N574" s="7">
        <f>IF($A574="","",M574-F574)</f>
        <v/>
      </c>
      <c r="Q574" s="11" t="n"/>
      <c r="S574">
        <f>IF($A574="","",IF(AND(ISNUMBER($R574),NOT(ISLOGICAL($R574)),N($R574)&gt;1),$R574/100*1,IF($V574=1,Settings!$C$6,Settings!$C$7)*1))</f>
        <v/>
      </c>
      <c r="T574">
        <f>IF($A574="","",IF(COUNTIF($A$2:$A574,$A574)=1,1,0))</f>
        <v/>
      </c>
      <c r="U574">
        <f>IF($T574=1,SUMPRODUCT(--($W$2:$W$1001&lt;$W574))+1,"")</f>
        <v/>
      </c>
      <c r="V574">
        <f>IF($A574="","",IF(AND(ISNUMBER($R574),NOT(ISLOGICAL($R574)),N($R574)&gt;1),IF(ABS($R574/100-Settings!$C$6)&lt;=ABS($R574/100-Settings!$C$7),1,0),IF(OR($R574=TRUE(),$R574="TRUE"),1,0)))</f>
        <v/>
      </c>
      <c r="W574">
        <f>IF($T574=1,IFERROR(IF(VALUE($A574)&lt;100000000,VALUE($A574),1000000000),IFERROR(IF(VALUE(MID($A574,2,20))&lt;100000000,VALUE(MID($A574,2,20)),1000000000),1000000000))+ROW()/100000,"")</f>
        <v/>
      </c>
    </row>
    <row r="575">
      <c r="F575" s="7">
        <f>IF($A575="","",E575*K575/100)</f>
        <v/>
      </c>
      <c r="J575" s="7" t="n"/>
      <c r="K575" s="7" t="n"/>
      <c r="L575" s="7">
        <f>IF($A575="","",S575*K575)</f>
        <v/>
      </c>
      <c r="M575" s="7">
        <f>IF($A575="","",K575-L575)</f>
        <v/>
      </c>
      <c r="N575" s="7">
        <f>IF($A575="","",M575-F575)</f>
        <v/>
      </c>
      <c r="Q575" s="11" t="n"/>
      <c r="S575">
        <f>IF($A575="","",IF(AND(ISNUMBER($R575),NOT(ISLOGICAL($R575)),N($R575)&gt;1),$R575/100*1,IF($V575=1,Settings!$C$6,Settings!$C$7)*1))</f>
        <v/>
      </c>
      <c r="T575">
        <f>IF($A575="","",IF(COUNTIF($A$2:$A575,$A575)=1,1,0))</f>
        <v/>
      </c>
      <c r="U575">
        <f>IF($T575=1,SUMPRODUCT(--($W$2:$W$1001&lt;$W575))+1,"")</f>
        <v/>
      </c>
      <c r="V575">
        <f>IF($A575="","",IF(AND(ISNUMBER($R575),NOT(ISLOGICAL($R575)),N($R575)&gt;1),IF(ABS($R575/100-Settings!$C$6)&lt;=ABS($R575/100-Settings!$C$7),1,0),IF(OR($R575=TRUE(),$R575="TRUE"),1,0)))</f>
        <v/>
      </c>
      <c r="W575">
        <f>IF($T575=1,IFERROR(IF(VALUE($A575)&lt;100000000,VALUE($A575),1000000000),IFERROR(IF(VALUE(MID($A575,2,20))&lt;100000000,VALUE(MID($A575,2,20)),1000000000),1000000000))+ROW()/100000,"")</f>
        <v/>
      </c>
    </row>
    <row r="576">
      <c r="F576" s="7">
        <f>IF($A576="","",E576*K576/100)</f>
        <v/>
      </c>
      <c r="J576" s="7" t="n"/>
      <c r="K576" s="7" t="n"/>
      <c r="L576" s="7">
        <f>IF($A576="","",S576*K576)</f>
        <v/>
      </c>
      <c r="M576" s="7">
        <f>IF($A576="","",K576-L576)</f>
        <v/>
      </c>
      <c r="N576" s="7">
        <f>IF($A576="","",M576-F576)</f>
        <v/>
      </c>
      <c r="Q576" s="11" t="n"/>
      <c r="S576">
        <f>IF($A576="","",IF(AND(ISNUMBER($R576),NOT(ISLOGICAL($R576)),N($R576)&gt;1),$R576/100*1,IF($V576=1,Settings!$C$6,Settings!$C$7)*1))</f>
        <v/>
      </c>
      <c r="T576">
        <f>IF($A576="","",IF(COUNTIF($A$2:$A576,$A576)=1,1,0))</f>
        <v/>
      </c>
      <c r="U576">
        <f>IF($T576=1,SUMPRODUCT(--($W$2:$W$1001&lt;$W576))+1,"")</f>
        <v/>
      </c>
      <c r="V576">
        <f>IF($A576="","",IF(AND(ISNUMBER($R576),NOT(ISLOGICAL($R576)),N($R576)&gt;1),IF(ABS($R576/100-Settings!$C$6)&lt;=ABS($R576/100-Settings!$C$7),1,0),IF(OR($R576=TRUE(),$R576="TRUE"),1,0)))</f>
        <v/>
      </c>
      <c r="W576">
        <f>IF($T576=1,IFERROR(IF(VALUE($A576)&lt;100000000,VALUE($A576),1000000000),IFERROR(IF(VALUE(MID($A576,2,20))&lt;100000000,VALUE(MID($A576,2,20)),1000000000),1000000000))+ROW()/100000,"")</f>
        <v/>
      </c>
    </row>
    <row r="577">
      <c r="F577" s="7">
        <f>IF($A577="","",E577*K577/100)</f>
        <v/>
      </c>
      <c r="J577" s="7" t="n"/>
      <c r="K577" s="7" t="n"/>
      <c r="L577" s="7">
        <f>IF($A577="","",S577*K577)</f>
        <v/>
      </c>
      <c r="M577" s="7">
        <f>IF($A577="","",K577-L577)</f>
        <v/>
      </c>
      <c r="N577" s="7">
        <f>IF($A577="","",M577-F577)</f>
        <v/>
      </c>
      <c r="Q577" s="11" t="n"/>
      <c r="S577">
        <f>IF($A577="","",IF(AND(ISNUMBER($R577),NOT(ISLOGICAL($R577)),N($R577)&gt;1),$R577/100*1,IF($V577=1,Settings!$C$6,Settings!$C$7)*1))</f>
        <v/>
      </c>
      <c r="T577">
        <f>IF($A577="","",IF(COUNTIF($A$2:$A577,$A577)=1,1,0))</f>
        <v/>
      </c>
      <c r="U577">
        <f>IF($T577=1,SUMPRODUCT(--($W$2:$W$1001&lt;$W577))+1,"")</f>
        <v/>
      </c>
      <c r="V577">
        <f>IF($A577="","",IF(AND(ISNUMBER($R577),NOT(ISLOGICAL($R577)),N($R577)&gt;1),IF(ABS($R577/100-Settings!$C$6)&lt;=ABS($R577/100-Settings!$C$7),1,0),IF(OR($R577=TRUE(),$R577="TRUE"),1,0)))</f>
        <v/>
      </c>
      <c r="W577">
        <f>IF($T577=1,IFERROR(IF(VALUE($A577)&lt;100000000,VALUE($A577),1000000000),IFERROR(IF(VALUE(MID($A577,2,20))&lt;100000000,VALUE(MID($A577,2,20)),1000000000),1000000000))+ROW()/100000,"")</f>
        <v/>
      </c>
    </row>
    <row r="578">
      <c r="F578" s="7">
        <f>IF($A578="","",E578*K578/100)</f>
        <v/>
      </c>
      <c r="J578" s="7" t="n"/>
      <c r="K578" s="7" t="n"/>
      <c r="L578" s="7">
        <f>IF($A578="","",S578*K578)</f>
        <v/>
      </c>
      <c r="M578" s="7">
        <f>IF($A578="","",K578-L578)</f>
        <v/>
      </c>
      <c r="N578" s="7">
        <f>IF($A578="","",M578-F578)</f>
        <v/>
      </c>
      <c r="Q578" s="11" t="n"/>
      <c r="S578">
        <f>IF($A578="","",IF(AND(ISNUMBER($R578),NOT(ISLOGICAL($R578)),N($R578)&gt;1),$R578/100*1,IF($V578=1,Settings!$C$6,Settings!$C$7)*1))</f>
        <v/>
      </c>
      <c r="T578">
        <f>IF($A578="","",IF(COUNTIF($A$2:$A578,$A578)=1,1,0))</f>
        <v/>
      </c>
      <c r="U578">
        <f>IF($T578=1,SUMPRODUCT(--($W$2:$W$1001&lt;$W578))+1,"")</f>
        <v/>
      </c>
      <c r="V578">
        <f>IF($A578="","",IF(AND(ISNUMBER($R578),NOT(ISLOGICAL($R578)),N($R578)&gt;1),IF(ABS($R578/100-Settings!$C$6)&lt;=ABS($R578/100-Settings!$C$7),1,0),IF(OR($R578=TRUE(),$R578="TRUE"),1,0)))</f>
        <v/>
      </c>
      <c r="W578">
        <f>IF($T578=1,IFERROR(IF(VALUE($A578)&lt;100000000,VALUE($A578),1000000000),IFERROR(IF(VALUE(MID($A578,2,20))&lt;100000000,VALUE(MID($A578,2,20)),1000000000),1000000000))+ROW()/100000,"")</f>
        <v/>
      </c>
    </row>
    <row r="579">
      <c r="F579" s="7">
        <f>IF($A579="","",E579*K579/100)</f>
        <v/>
      </c>
      <c r="J579" s="7" t="n"/>
      <c r="K579" s="7" t="n"/>
      <c r="L579" s="7">
        <f>IF($A579="","",S579*K579)</f>
        <v/>
      </c>
      <c r="M579" s="7">
        <f>IF($A579="","",K579-L579)</f>
        <v/>
      </c>
      <c r="N579" s="7">
        <f>IF($A579="","",M579-F579)</f>
        <v/>
      </c>
      <c r="Q579" s="11" t="n"/>
      <c r="S579">
        <f>IF($A579="","",IF(AND(ISNUMBER($R579),NOT(ISLOGICAL($R579)),N($R579)&gt;1),$R579/100*1,IF($V579=1,Settings!$C$6,Settings!$C$7)*1))</f>
        <v/>
      </c>
      <c r="T579">
        <f>IF($A579="","",IF(COUNTIF($A$2:$A579,$A579)=1,1,0))</f>
        <v/>
      </c>
      <c r="U579">
        <f>IF($T579=1,SUMPRODUCT(--($W$2:$W$1001&lt;$W579))+1,"")</f>
        <v/>
      </c>
      <c r="V579">
        <f>IF($A579="","",IF(AND(ISNUMBER($R579),NOT(ISLOGICAL($R579)),N($R579)&gt;1),IF(ABS($R579/100-Settings!$C$6)&lt;=ABS($R579/100-Settings!$C$7),1,0),IF(OR($R579=TRUE(),$R579="TRUE"),1,0)))</f>
        <v/>
      </c>
      <c r="W579">
        <f>IF($T579=1,IFERROR(IF(VALUE($A579)&lt;100000000,VALUE($A579),1000000000),IFERROR(IF(VALUE(MID($A579,2,20))&lt;100000000,VALUE(MID($A579,2,20)),1000000000),1000000000))+ROW()/100000,"")</f>
        <v/>
      </c>
    </row>
    <row r="580">
      <c r="F580" s="7">
        <f>IF($A580="","",E580*K580/100)</f>
        <v/>
      </c>
      <c r="J580" s="7" t="n"/>
      <c r="K580" s="7" t="n"/>
      <c r="L580" s="7">
        <f>IF($A580="","",S580*K580)</f>
        <v/>
      </c>
      <c r="M580" s="7">
        <f>IF($A580="","",K580-L580)</f>
        <v/>
      </c>
      <c r="N580" s="7">
        <f>IF($A580="","",M580-F580)</f>
        <v/>
      </c>
      <c r="Q580" s="11" t="n"/>
      <c r="S580">
        <f>IF($A580="","",IF(AND(ISNUMBER($R580),NOT(ISLOGICAL($R580)),N($R580)&gt;1),$R580/100*1,IF($V580=1,Settings!$C$6,Settings!$C$7)*1))</f>
        <v/>
      </c>
      <c r="T580">
        <f>IF($A580="","",IF(COUNTIF($A$2:$A580,$A580)=1,1,0))</f>
        <v/>
      </c>
      <c r="U580">
        <f>IF($T580=1,SUMPRODUCT(--($W$2:$W$1001&lt;$W580))+1,"")</f>
        <v/>
      </c>
      <c r="V580">
        <f>IF($A580="","",IF(AND(ISNUMBER($R580),NOT(ISLOGICAL($R580)),N($R580)&gt;1),IF(ABS($R580/100-Settings!$C$6)&lt;=ABS($R580/100-Settings!$C$7),1,0),IF(OR($R580=TRUE(),$R580="TRUE"),1,0)))</f>
        <v/>
      </c>
      <c r="W580">
        <f>IF($T580=1,IFERROR(IF(VALUE($A580)&lt;100000000,VALUE($A580),1000000000),IFERROR(IF(VALUE(MID($A580,2,20))&lt;100000000,VALUE(MID($A580,2,20)),1000000000),1000000000))+ROW()/100000,"")</f>
        <v/>
      </c>
    </row>
    <row r="581">
      <c r="F581" s="7">
        <f>IF($A581="","",E581*K581/100)</f>
        <v/>
      </c>
      <c r="J581" s="7" t="n"/>
      <c r="K581" s="7" t="n"/>
      <c r="L581" s="7">
        <f>IF($A581="","",S581*K581)</f>
        <v/>
      </c>
      <c r="M581" s="7">
        <f>IF($A581="","",K581-L581)</f>
        <v/>
      </c>
      <c r="N581" s="7">
        <f>IF($A581="","",M581-F581)</f>
        <v/>
      </c>
      <c r="Q581" s="11" t="n"/>
      <c r="S581">
        <f>IF($A581="","",IF(AND(ISNUMBER($R581),NOT(ISLOGICAL($R581)),N($R581)&gt;1),$R581/100*1,IF($V581=1,Settings!$C$6,Settings!$C$7)*1))</f>
        <v/>
      </c>
      <c r="T581">
        <f>IF($A581="","",IF(COUNTIF($A$2:$A581,$A581)=1,1,0))</f>
        <v/>
      </c>
      <c r="U581">
        <f>IF($T581=1,SUMPRODUCT(--($W$2:$W$1001&lt;$W581))+1,"")</f>
        <v/>
      </c>
      <c r="V581">
        <f>IF($A581="","",IF(AND(ISNUMBER($R581),NOT(ISLOGICAL($R581)),N($R581)&gt;1),IF(ABS($R581/100-Settings!$C$6)&lt;=ABS($R581/100-Settings!$C$7),1,0),IF(OR($R581=TRUE(),$R581="TRUE"),1,0)))</f>
        <v/>
      </c>
      <c r="W581">
        <f>IF($T581=1,IFERROR(IF(VALUE($A581)&lt;100000000,VALUE($A581),1000000000),IFERROR(IF(VALUE(MID($A581,2,20))&lt;100000000,VALUE(MID($A581,2,20)),1000000000),1000000000))+ROW()/100000,"")</f>
        <v/>
      </c>
    </row>
    <row r="582">
      <c r="F582" s="7">
        <f>IF($A582="","",E582*K582/100)</f>
        <v/>
      </c>
      <c r="J582" s="7" t="n"/>
      <c r="K582" s="7" t="n"/>
      <c r="L582" s="7">
        <f>IF($A582="","",S582*K582)</f>
        <v/>
      </c>
      <c r="M582" s="7">
        <f>IF($A582="","",K582-L582)</f>
        <v/>
      </c>
      <c r="N582" s="7">
        <f>IF($A582="","",M582-F582)</f>
        <v/>
      </c>
      <c r="Q582" s="11" t="n"/>
      <c r="S582">
        <f>IF($A582="","",IF(AND(ISNUMBER($R582),NOT(ISLOGICAL($R582)),N($R582)&gt;1),$R582/100*1,IF($V582=1,Settings!$C$6,Settings!$C$7)*1))</f>
        <v/>
      </c>
      <c r="T582">
        <f>IF($A582="","",IF(COUNTIF($A$2:$A582,$A582)=1,1,0))</f>
        <v/>
      </c>
      <c r="U582">
        <f>IF($T582=1,SUMPRODUCT(--($W$2:$W$1001&lt;$W582))+1,"")</f>
        <v/>
      </c>
      <c r="V582">
        <f>IF($A582="","",IF(AND(ISNUMBER($R582),NOT(ISLOGICAL($R582)),N($R582)&gt;1),IF(ABS($R582/100-Settings!$C$6)&lt;=ABS($R582/100-Settings!$C$7),1,0),IF(OR($R582=TRUE(),$R582="TRUE"),1,0)))</f>
        <v/>
      </c>
      <c r="W582">
        <f>IF($T582=1,IFERROR(IF(VALUE($A582)&lt;100000000,VALUE($A582),1000000000),IFERROR(IF(VALUE(MID($A582,2,20))&lt;100000000,VALUE(MID($A582,2,20)),1000000000),1000000000))+ROW()/100000,"")</f>
        <v/>
      </c>
    </row>
    <row r="583">
      <c r="F583" s="7">
        <f>IF($A583="","",E583*K583/100)</f>
        <v/>
      </c>
      <c r="J583" s="7" t="n"/>
      <c r="K583" s="7" t="n"/>
      <c r="L583" s="7">
        <f>IF($A583="","",S583*K583)</f>
        <v/>
      </c>
      <c r="M583" s="7">
        <f>IF($A583="","",K583-L583)</f>
        <v/>
      </c>
      <c r="N583" s="7">
        <f>IF($A583="","",M583-F583)</f>
        <v/>
      </c>
      <c r="Q583" s="11" t="n"/>
      <c r="S583">
        <f>IF($A583="","",IF(AND(ISNUMBER($R583),NOT(ISLOGICAL($R583)),N($R583)&gt;1),$R583/100*1,IF($V583=1,Settings!$C$6,Settings!$C$7)*1))</f>
        <v/>
      </c>
      <c r="T583">
        <f>IF($A583="","",IF(COUNTIF($A$2:$A583,$A583)=1,1,0))</f>
        <v/>
      </c>
      <c r="U583">
        <f>IF($T583=1,SUMPRODUCT(--($W$2:$W$1001&lt;$W583))+1,"")</f>
        <v/>
      </c>
      <c r="V583">
        <f>IF($A583="","",IF(AND(ISNUMBER($R583),NOT(ISLOGICAL($R583)),N($R583)&gt;1),IF(ABS($R583/100-Settings!$C$6)&lt;=ABS($R583/100-Settings!$C$7),1,0),IF(OR($R583=TRUE(),$R583="TRUE"),1,0)))</f>
        <v/>
      </c>
      <c r="W583">
        <f>IF($T583=1,IFERROR(IF(VALUE($A583)&lt;100000000,VALUE($A583),1000000000),IFERROR(IF(VALUE(MID($A583,2,20))&lt;100000000,VALUE(MID($A583,2,20)),1000000000),1000000000))+ROW()/100000,"")</f>
        <v/>
      </c>
    </row>
    <row r="584">
      <c r="F584" s="7">
        <f>IF($A584="","",E584*K584/100)</f>
        <v/>
      </c>
      <c r="J584" s="7" t="n"/>
      <c r="K584" s="7" t="n"/>
      <c r="L584" s="7">
        <f>IF($A584="","",S584*K584)</f>
        <v/>
      </c>
      <c r="M584" s="7">
        <f>IF($A584="","",K584-L584)</f>
        <v/>
      </c>
      <c r="N584" s="7">
        <f>IF($A584="","",M584-F584)</f>
        <v/>
      </c>
      <c r="Q584" s="11" t="n"/>
      <c r="S584">
        <f>IF($A584="","",IF(AND(ISNUMBER($R584),NOT(ISLOGICAL($R584)),N($R584)&gt;1),$R584/100*1,IF($V584=1,Settings!$C$6,Settings!$C$7)*1))</f>
        <v/>
      </c>
      <c r="T584">
        <f>IF($A584="","",IF(COUNTIF($A$2:$A584,$A584)=1,1,0))</f>
        <v/>
      </c>
      <c r="U584">
        <f>IF($T584=1,SUMPRODUCT(--($W$2:$W$1001&lt;$W584))+1,"")</f>
        <v/>
      </c>
      <c r="V584">
        <f>IF($A584="","",IF(AND(ISNUMBER($R584),NOT(ISLOGICAL($R584)),N($R584)&gt;1),IF(ABS($R584/100-Settings!$C$6)&lt;=ABS($R584/100-Settings!$C$7),1,0),IF(OR($R584=TRUE(),$R584="TRUE"),1,0)))</f>
        <v/>
      </c>
      <c r="W584">
        <f>IF($T584=1,IFERROR(IF(VALUE($A584)&lt;100000000,VALUE($A584),1000000000),IFERROR(IF(VALUE(MID($A584,2,20))&lt;100000000,VALUE(MID($A584,2,20)),1000000000),1000000000))+ROW()/100000,"")</f>
        <v/>
      </c>
    </row>
    <row r="585">
      <c r="F585" s="7">
        <f>IF($A585="","",E585*K585/100)</f>
        <v/>
      </c>
      <c r="J585" s="7" t="n"/>
      <c r="K585" s="7" t="n"/>
      <c r="L585" s="7">
        <f>IF($A585="","",S585*K585)</f>
        <v/>
      </c>
      <c r="M585" s="7">
        <f>IF($A585="","",K585-L585)</f>
        <v/>
      </c>
      <c r="N585" s="7">
        <f>IF($A585="","",M585-F585)</f>
        <v/>
      </c>
      <c r="Q585" s="11" t="n"/>
      <c r="S585">
        <f>IF($A585="","",IF(AND(ISNUMBER($R585),NOT(ISLOGICAL($R585)),N($R585)&gt;1),$R585/100*1,IF($V585=1,Settings!$C$6,Settings!$C$7)*1))</f>
        <v/>
      </c>
      <c r="T585">
        <f>IF($A585="","",IF(COUNTIF($A$2:$A585,$A585)=1,1,0))</f>
        <v/>
      </c>
      <c r="U585">
        <f>IF($T585=1,SUMPRODUCT(--($W$2:$W$1001&lt;$W585))+1,"")</f>
        <v/>
      </c>
      <c r="V585">
        <f>IF($A585="","",IF(AND(ISNUMBER($R585),NOT(ISLOGICAL($R585)),N($R585)&gt;1),IF(ABS($R585/100-Settings!$C$6)&lt;=ABS($R585/100-Settings!$C$7),1,0),IF(OR($R585=TRUE(),$R585="TRUE"),1,0)))</f>
        <v/>
      </c>
      <c r="W585">
        <f>IF($T585=1,IFERROR(IF(VALUE($A585)&lt;100000000,VALUE($A585),1000000000),IFERROR(IF(VALUE(MID($A585,2,20))&lt;100000000,VALUE(MID($A585,2,20)),1000000000),1000000000))+ROW()/100000,"")</f>
        <v/>
      </c>
    </row>
    <row r="586">
      <c r="F586" s="7">
        <f>IF($A586="","",E586*K586/100)</f>
        <v/>
      </c>
      <c r="J586" s="7" t="n"/>
      <c r="K586" s="7" t="n"/>
      <c r="L586" s="7">
        <f>IF($A586="","",S586*K586)</f>
        <v/>
      </c>
      <c r="M586" s="7">
        <f>IF($A586="","",K586-L586)</f>
        <v/>
      </c>
      <c r="N586" s="7">
        <f>IF($A586="","",M586-F586)</f>
        <v/>
      </c>
      <c r="Q586" s="11" t="n"/>
      <c r="S586">
        <f>IF($A586="","",IF(AND(ISNUMBER($R586),NOT(ISLOGICAL($R586)),N($R586)&gt;1),$R586/100*1,IF($V586=1,Settings!$C$6,Settings!$C$7)*1))</f>
        <v/>
      </c>
      <c r="T586">
        <f>IF($A586="","",IF(COUNTIF($A$2:$A586,$A586)=1,1,0))</f>
        <v/>
      </c>
      <c r="U586">
        <f>IF($T586=1,SUMPRODUCT(--($W$2:$W$1001&lt;$W586))+1,"")</f>
        <v/>
      </c>
      <c r="V586">
        <f>IF($A586="","",IF(AND(ISNUMBER($R586),NOT(ISLOGICAL($R586)),N($R586)&gt;1),IF(ABS($R586/100-Settings!$C$6)&lt;=ABS($R586/100-Settings!$C$7),1,0),IF(OR($R586=TRUE(),$R586="TRUE"),1,0)))</f>
        <v/>
      </c>
      <c r="W586">
        <f>IF($T586=1,IFERROR(IF(VALUE($A586)&lt;100000000,VALUE($A586),1000000000),IFERROR(IF(VALUE(MID($A586,2,20))&lt;100000000,VALUE(MID($A586,2,20)),1000000000),1000000000))+ROW()/100000,"")</f>
        <v/>
      </c>
    </row>
    <row r="587">
      <c r="F587" s="7">
        <f>IF($A587="","",E587*K587/100)</f>
        <v/>
      </c>
      <c r="J587" s="7" t="n"/>
      <c r="K587" s="7" t="n"/>
      <c r="L587" s="7">
        <f>IF($A587="","",S587*K587)</f>
        <v/>
      </c>
      <c r="M587" s="7">
        <f>IF($A587="","",K587-L587)</f>
        <v/>
      </c>
      <c r="N587" s="7">
        <f>IF($A587="","",M587-F587)</f>
        <v/>
      </c>
      <c r="Q587" s="11" t="n"/>
      <c r="S587">
        <f>IF($A587="","",IF(AND(ISNUMBER($R587),NOT(ISLOGICAL($R587)),N($R587)&gt;1),$R587/100*1,IF($V587=1,Settings!$C$6,Settings!$C$7)*1))</f>
        <v/>
      </c>
      <c r="T587">
        <f>IF($A587="","",IF(COUNTIF($A$2:$A587,$A587)=1,1,0))</f>
        <v/>
      </c>
      <c r="U587">
        <f>IF($T587=1,SUMPRODUCT(--($W$2:$W$1001&lt;$W587))+1,"")</f>
        <v/>
      </c>
      <c r="V587">
        <f>IF($A587="","",IF(AND(ISNUMBER($R587),NOT(ISLOGICAL($R587)),N($R587)&gt;1),IF(ABS($R587/100-Settings!$C$6)&lt;=ABS($R587/100-Settings!$C$7),1,0),IF(OR($R587=TRUE(),$R587="TRUE"),1,0)))</f>
        <v/>
      </c>
      <c r="W587">
        <f>IF($T587=1,IFERROR(IF(VALUE($A587)&lt;100000000,VALUE($A587),1000000000),IFERROR(IF(VALUE(MID($A587,2,20))&lt;100000000,VALUE(MID($A587,2,20)),1000000000),1000000000))+ROW()/100000,"")</f>
        <v/>
      </c>
    </row>
    <row r="588">
      <c r="F588" s="7">
        <f>IF($A588="","",E588*K588/100)</f>
        <v/>
      </c>
      <c r="J588" s="7" t="n"/>
      <c r="K588" s="7" t="n"/>
      <c r="L588" s="7">
        <f>IF($A588="","",S588*K588)</f>
        <v/>
      </c>
      <c r="M588" s="7">
        <f>IF($A588="","",K588-L588)</f>
        <v/>
      </c>
      <c r="N588" s="7">
        <f>IF($A588="","",M588-F588)</f>
        <v/>
      </c>
      <c r="Q588" s="11" t="n"/>
      <c r="S588">
        <f>IF($A588="","",IF(AND(ISNUMBER($R588),NOT(ISLOGICAL($R588)),N($R588)&gt;1),$R588/100*1,IF($V588=1,Settings!$C$6,Settings!$C$7)*1))</f>
        <v/>
      </c>
      <c r="T588">
        <f>IF($A588="","",IF(COUNTIF($A$2:$A588,$A588)=1,1,0))</f>
        <v/>
      </c>
      <c r="U588">
        <f>IF($T588=1,SUMPRODUCT(--($W$2:$W$1001&lt;$W588))+1,"")</f>
        <v/>
      </c>
      <c r="V588">
        <f>IF($A588="","",IF(AND(ISNUMBER($R588),NOT(ISLOGICAL($R588)),N($R588)&gt;1),IF(ABS($R588/100-Settings!$C$6)&lt;=ABS($R588/100-Settings!$C$7),1,0),IF(OR($R588=TRUE(),$R588="TRUE"),1,0)))</f>
        <v/>
      </c>
      <c r="W588">
        <f>IF($T588=1,IFERROR(IF(VALUE($A588)&lt;100000000,VALUE($A588),1000000000),IFERROR(IF(VALUE(MID($A588,2,20))&lt;100000000,VALUE(MID($A588,2,20)),1000000000),1000000000))+ROW()/100000,"")</f>
        <v/>
      </c>
    </row>
    <row r="589">
      <c r="F589" s="7">
        <f>IF($A589="","",E589*K589/100)</f>
        <v/>
      </c>
      <c r="J589" s="7" t="n"/>
      <c r="K589" s="7" t="n"/>
      <c r="L589" s="7">
        <f>IF($A589="","",S589*K589)</f>
        <v/>
      </c>
      <c r="M589" s="7">
        <f>IF($A589="","",K589-L589)</f>
        <v/>
      </c>
      <c r="N589" s="7">
        <f>IF($A589="","",M589-F589)</f>
        <v/>
      </c>
      <c r="Q589" s="11" t="n"/>
      <c r="S589">
        <f>IF($A589="","",IF(AND(ISNUMBER($R589),NOT(ISLOGICAL($R589)),N($R589)&gt;1),$R589/100*1,IF($V589=1,Settings!$C$6,Settings!$C$7)*1))</f>
        <v/>
      </c>
      <c r="T589">
        <f>IF($A589="","",IF(COUNTIF($A$2:$A589,$A589)=1,1,0))</f>
        <v/>
      </c>
      <c r="U589">
        <f>IF($T589=1,SUMPRODUCT(--($W$2:$W$1001&lt;$W589))+1,"")</f>
        <v/>
      </c>
      <c r="V589">
        <f>IF($A589="","",IF(AND(ISNUMBER($R589),NOT(ISLOGICAL($R589)),N($R589)&gt;1),IF(ABS($R589/100-Settings!$C$6)&lt;=ABS($R589/100-Settings!$C$7),1,0),IF(OR($R589=TRUE(),$R589="TRUE"),1,0)))</f>
        <v/>
      </c>
      <c r="W589">
        <f>IF($T589=1,IFERROR(IF(VALUE($A589)&lt;100000000,VALUE($A589),1000000000),IFERROR(IF(VALUE(MID($A589,2,20))&lt;100000000,VALUE(MID($A589,2,20)),1000000000),1000000000))+ROW()/100000,"")</f>
        <v/>
      </c>
    </row>
    <row r="590">
      <c r="F590" s="7">
        <f>IF($A590="","",E590*K590/100)</f>
        <v/>
      </c>
      <c r="J590" s="7" t="n"/>
      <c r="K590" s="7" t="n"/>
      <c r="L590" s="7">
        <f>IF($A590="","",S590*K590)</f>
        <v/>
      </c>
      <c r="M590" s="7">
        <f>IF($A590="","",K590-L590)</f>
        <v/>
      </c>
      <c r="N590" s="7">
        <f>IF($A590="","",M590-F590)</f>
        <v/>
      </c>
      <c r="Q590" s="11" t="n"/>
      <c r="S590">
        <f>IF($A590="","",IF(AND(ISNUMBER($R590),NOT(ISLOGICAL($R590)),N($R590)&gt;1),$R590/100*1,IF($V590=1,Settings!$C$6,Settings!$C$7)*1))</f>
        <v/>
      </c>
      <c r="T590">
        <f>IF($A590="","",IF(COUNTIF($A$2:$A590,$A590)=1,1,0))</f>
        <v/>
      </c>
      <c r="U590">
        <f>IF($T590=1,SUMPRODUCT(--($W$2:$W$1001&lt;$W590))+1,"")</f>
        <v/>
      </c>
      <c r="V590">
        <f>IF($A590="","",IF(AND(ISNUMBER($R590),NOT(ISLOGICAL($R590)),N($R590)&gt;1),IF(ABS($R590/100-Settings!$C$6)&lt;=ABS($R590/100-Settings!$C$7),1,0),IF(OR($R590=TRUE(),$R590="TRUE"),1,0)))</f>
        <v/>
      </c>
      <c r="W590">
        <f>IF($T590=1,IFERROR(IF(VALUE($A590)&lt;100000000,VALUE($A590),1000000000),IFERROR(IF(VALUE(MID($A590,2,20))&lt;100000000,VALUE(MID($A590,2,20)),1000000000),1000000000))+ROW()/100000,"")</f>
        <v/>
      </c>
    </row>
    <row r="591">
      <c r="F591" s="7">
        <f>IF($A591="","",E591*K591/100)</f>
        <v/>
      </c>
      <c r="J591" s="7" t="n"/>
      <c r="K591" s="7" t="n"/>
      <c r="L591" s="7">
        <f>IF($A591="","",S591*K591)</f>
        <v/>
      </c>
      <c r="M591" s="7">
        <f>IF($A591="","",K591-L591)</f>
        <v/>
      </c>
      <c r="N591" s="7">
        <f>IF($A591="","",M591-F591)</f>
        <v/>
      </c>
      <c r="Q591" s="11" t="n"/>
      <c r="S591">
        <f>IF($A591="","",IF(AND(ISNUMBER($R591),NOT(ISLOGICAL($R591)),N($R591)&gt;1),$R591/100*1,IF($V591=1,Settings!$C$6,Settings!$C$7)*1))</f>
        <v/>
      </c>
      <c r="T591">
        <f>IF($A591="","",IF(COUNTIF($A$2:$A591,$A591)=1,1,0))</f>
        <v/>
      </c>
      <c r="U591">
        <f>IF($T591=1,SUMPRODUCT(--($W$2:$W$1001&lt;$W591))+1,"")</f>
        <v/>
      </c>
      <c r="V591">
        <f>IF($A591="","",IF(AND(ISNUMBER($R591),NOT(ISLOGICAL($R591)),N($R591)&gt;1),IF(ABS($R591/100-Settings!$C$6)&lt;=ABS($R591/100-Settings!$C$7),1,0),IF(OR($R591=TRUE(),$R591="TRUE"),1,0)))</f>
        <v/>
      </c>
      <c r="W591">
        <f>IF($T591=1,IFERROR(IF(VALUE($A591)&lt;100000000,VALUE($A591),1000000000),IFERROR(IF(VALUE(MID($A591,2,20))&lt;100000000,VALUE(MID($A591,2,20)),1000000000),1000000000))+ROW()/100000,"")</f>
        <v/>
      </c>
    </row>
    <row r="592">
      <c r="F592" s="7">
        <f>IF($A592="","",E592*K592/100)</f>
        <v/>
      </c>
      <c r="J592" s="7" t="n"/>
      <c r="K592" s="7" t="n"/>
      <c r="L592" s="7">
        <f>IF($A592="","",S592*K592)</f>
        <v/>
      </c>
      <c r="M592" s="7">
        <f>IF($A592="","",K592-L592)</f>
        <v/>
      </c>
      <c r="N592" s="7">
        <f>IF($A592="","",M592-F592)</f>
        <v/>
      </c>
      <c r="Q592" s="11" t="n"/>
      <c r="S592">
        <f>IF($A592="","",IF(AND(ISNUMBER($R592),NOT(ISLOGICAL($R592)),N($R592)&gt;1),$R592/100*1,IF($V592=1,Settings!$C$6,Settings!$C$7)*1))</f>
        <v/>
      </c>
      <c r="T592">
        <f>IF($A592="","",IF(COUNTIF($A$2:$A592,$A592)=1,1,0))</f>
        <v/>
      </c>
      <c r="U592">
        <f>IF($T592=1,SUMPRODUCT(--($W$2:$W$1001&lt;$W592))+1,"")</f>
        <v/>
      </c>
      <c r="V592">
        <f>IF($A592="","",IF(AND(ISNUMBER($R592),NOT(ISLOGICAL($R592)),N($R592)&gt;1),IF(ABS($R592/100-Settings!$C$6)&lt;=ABS($R592/100-Settings!$C$7),1,0),IF(OR($R592=TRUE(),$R592="TRUE"),1,0)))</f>
        <v/>
      </c>
      <c r="W592">
        <f>IF($T592=1,IFERROR(IF(VALUE($A592)&lt;100000000,VALUE($A592),1000000000),IFERROR(IF(VALUE(MID($A592,2,20))&lt;100000000,VALUE(MID($A592,2,20)),1000000000),1000000000))+ROW()/100000,"")</f>
        <v/>
      </c>
    </row>
    <row r="593">
      <c r="F593" s="7">
        <f>IF($A593="","",E593*K593/100)</f>
        <v/>
      </c>
      <c r="J593" s="7" t="n"/>
      <c r="K593" s="7" t="n"/>
      <c r="L593" s="7">
        <f>IF($A593="","",S593*K593)</f>
        <v/>
      </c>
      <c r="M593" s="7">
        <f>IF($A593="","",K593-L593)</f>
        <v/>
      </c>
      <c r="N593" s="7">
        <f>IF($A593="","",M593-F593)</f>
        <v/>
      </c>
      <c r="Q593" s="11" t="n"/>
      <c r="S593">
        <f>IF($A593="","",IF(AND(ISNUMBER($R593),NOT(ISLOGICAL($R593)),N($R593)&gt;1),$R593/100*1,IF($V593=1,Settings!$C$6,Settings!$C$7)*1))</f>
        <v/>
      </c>
      <c r="T593">
        <f>IF($A593="","",IF(COUNTIF($A$2:$A593,$A593)=1,1,0))</f>
        <v/>
      </c>
      <c r="U593">
        <f>IF($T593=1,SUMPRODUCT(--($W$2:$W$1001&lt;$W593))+1,"")</f>
        <v/>
      </c>
      <c r="V593">
        <f>IF($A593="","",IF(AND(ISNUMBER($R593),NOT(ISLOGICAL($R593)),N($R593)&gt;1),IF(ABS($R593/100-Settings!$C$6)&lt;=ABS($R593/100-Settings!$C$7),1,0),IF(OR($R593=TRUE(),$R593="TRUE"),1,0)))</f>
        <v/>
      </c>
      <c r="W593">
        <f>IF($T593=1,IFERROR(IF(VALUE($A593)&lt;100000000,VALUE($A593),1000000000),IFERROR(IF(VALUE(MID($A593,2,20))&lt;100000000,VALUE(MID($A593,2,20)),1000000000),1000000000))+ROW()/100000,"")</f>
        <v/>
      </c>
    </row>
    <row r="594">
      <c r="F594" s="7">
        <f>IF($A594="","",E594*K594/100)</f>
        <v/>
      </c>
      <c r="J594" s="7" t="n"/>
      <c r="K594" s="7" t="n"/>
      <c r="L594" s="7">
        <f>IF($A594="","",S594*K594)</f>
        <v/>
      </c>
      <c r="M594" s="7">
        <f>IF($A594="","",K594-L594)</f>
        <v/>
      </c>
      <c r="N594" s="7">
        <f>IF($A594="","",M594-F594)</f>
        <v/>
      </c>
      <c r="Q594" s="11" t="n"/>
      <c r="S594">
        <f>IF($A594="","",IF(AND(ISNUMBER($R594),NOT(ISLOGICAL($R594)),N($R594)&gt;1),$R594/100*1,IF($V594=1,Settings!$C$6,Settings!$C$7)*1))</f>
        <v/>
      </c>
      <c r="T594">
        <f>IF($A594="","",IF(COUNTIF($A$2:$A594,$A594)=1,1,0))</f>
        <v/>
      </c>
      <c r="U594">
        <f>IF($T594=1,SUMPRODUCT(--($W$2:$W$1001&lt;$W594))+1,"")</f>
        <v/>
      </c>
      <c r="V594">
        <f>IF($A594="","",IF(AND(ISNUMBER($R594),NOT(ISLOGICAL($R594)),N($R594)&gt;1),IF(ABS($R594/100-Settings!$C$6)&lt;=ABS($R594/100-Settings!$C$7),1,0),IF(OR($R594=TRUE(),$R594="TRUE"),1,0)))</f>
        <v/>
      </c>
      <c r="W594">
        <f>IF($T594=1,IFERROR(IF(VALUE($A594)&lt;100000000,VALUE($A594),1000000000),IFERROR(IF(VALUE(MID($A594,2,20))&lt;100000000,VALUE(MID($A594,2,20)),1000000000),1000000000))+ROW()/100000,"")</f>
        <v/>
      </c>
    </row>
    <row r="595">
      <c r="F595" s="7">
        <f>IF($A595="","",E595*K595/100)</f>
        <v/>
      </c>
      <c r="J595" s="7" t="n"/>
      <c r="K595" s="7" t="n"/>
      <c r="L595" s="7">
        <f>IF($A595="","",S595*K595)</f>
        <v/>
      </c>
      <c r="M595" s="7">
        <f>IF($A595="","",K595-L595)</f>
        <v/>
      </c>
      <c r="N595" s="7">
        <f>IF($A595="","",M595-F595)</f>
        <v/>
      </c>
      <c r="Q595" s="11" t="n"/>
      <c r="S595">
        <f>IF($A595="","",IF(AND(ISNUMBER($R595),NOT(ISLOGICAL($R595)),N($R595)&gt;1),$R595/100*1,IF($V595=1,Settings!$C$6,Settings!$C$7)*1))</f>
        <v/>
      </c>
      <c r="T595">
        <f>IF($A595="","",IF(COUNTIF($A$2:$A595,$A595)=1,1,0))</f>
        <v/>
      </c>
      <c r="U595">
        <f>IF($T595=1,SUMPRODUCT(--($W$2:$W$1001&lt;$W595))+1,"")</f>
        <v/>
      </c>
      <c r="V595">
        <f>IF($A595="","",IF(AND(ISNUMBER($R595),NOT(ISLOGICAL($R595)),N($R595)&gt;1),IF(ABS($R595/100-Settings!$C$6)&lt;=ABS($R595/100-Settings!$C$7),1,0),IF(OR($R595=TRUE(),$R595="TRUE"),1,0)))</f>
        <v/>
      </c>
      <c r="W595">
        <f>IF($T595=1,IFERROR(IF(VALUE($A595)&lt;100000000,VALUE($A595),1000000000),IFERROR(IF(VALUE(MID($A595,2,20))&lt;100000000,VALUE(MID($A595,2,20)),1000000000),1000000000))+ROW()/100000,"")</f>
        <v/>
      </c>
    </row>
    <row r="596">
      <c r="F596" s="7">
        <f>IF($A596="","",E596*K596/100)</f>
        <v/>
      </c>
      <c r="J596" s="7" t="n"/>
      <c r="K596" s="7" t="n"/>
      <c r="L596" s="7">
        <f>IF($A596="","",S596*K596)</f>
        <v/>
      </c>
      <c r="M596" s="7">
        <f>IF($A596="","",K596-L596)</f>
        <v/>
      </c>
      <c r="N596" s="7">
        <f>IF($A596="","",M596-F596)</f>
        <v/>
      </c>
      <c r="Q596" s="11" t="n"/>
      <c r="S596">
        <f>IF($A596="","",IF(AND(ISNUMBER($R596),NOT(ISLOGICAL($R596)),N($R596)&gt;1),$R596/100*1,IF($V596=1,Settings!$C$6,Settings!$C$7)*1))</f>
        <v/>
      </c>
      <c r="T596">
        <f>IF($A596="","",IF(COUNTIF($A$2:$A596,$A596)=1,1,0))</f>
        <v/>
      </c>
      <c r="U596">
        <f>IF($T596=1,SUMPRODUCT(--($W$2:$W$1001&lt;$W596))+1,"")</f>
        <v/>
      </c>
      <c r="V596">
        <f>IF($A596="","",IF(AND(ISNUMBER($R596),NOT(ISLOGICAL($R596)),N($R596)&gt;1),IF(ABS($R596/100-Settings!$C$6)&lt;=ABS($R596/100-Settings!$C$7),1,0),IF(OR($R596=TRUE(),$R596="TRUE"),1,0)))</f>
        <v/>
      </c>
      <c r="W596">
        <f>IF($T596=1,IFERROR(IF(VALUE($A596)&lt;100000000,VALUE($A596),1000000000),IFERROR(IF(VALUE(MID($A596,2,20))&lt;100000000,VALUE(MID($A596,2,20)),1000000000),1000000000))+ROW()/100000,"")</f>
        <v/>
      </c>
    </row>
    <row r="597">
      <c r="F597" s="7">
        <f>IF($A597="","",E597*K597/100)</f>
        <v/>
      </c>
      <c r="J597" s="7" t="n"/>
      <c r="K597" s="7" t="n"/>
      <c r="L597" s="7">
        <f>IF($A597="","",S597*K597)</f>
        <v/>
      </c>
      <c r="M597" s="7">
        <f>IF($A597="","",K597-L597)</f>
        <v/>
      </c>
      <c r="N597" s="7">
        <f>IF($A597="","",M597-F597)</f>
        <v/>
      </c>
      <c r="Q597" s="11" t="n"/>
      <c r="S597">
        <f>IF($A597="","",IF(AND(ISNUMBER($R597),NOT(ISLOGICAL($R597)),N($R597)&gt;1),$R597/100*1,IF($V597=1,Settings!$C$6,Settings!$C$7)*1))</f>
        <v/>
      </c>
      <c r="T597">
        <f>IF($A597="","",IF(COUNTIF($A$2:$A597,$A597)=1,1,0))</f>
        <v/>
      </c>
      <c r="U597">
        <f>IF($T597=1,SUMPRODUCT(--($W$2:$W$1001&lt;$W597))+1,"")</f>
        <v/>
      </c>
      <c r="V597">
        <f>IF($A597="","",IF(AND(ISNUMBER($R597),NOT(ISLOGICAL($R597)),N($R597)&gt;1),IF(ABS($R597/100-Settings!$C$6)&lt;=ABS($R597/100-Settings!$C$7),1,0),IF(OR($R597=TRUE(),$R597="TRUE"),1,0)))</f>
        <v/>
      </c>
      <c r="W597">
        <f>IF($T597=1,IFERROR(IF(VALUE($A597)&lt;100000000,VALUE($A597),1000000000),IFERROR(IF(VALUE(MID($A597,2,20))&lt;100000000,VALUE(MID($A597,2,20)),1000000000),1000000000))+ROW()/100000,"")</f>
        <v/>
      </c>
    </row>
    <row r="598">
      <c r="F598" s="7">
        <f>IF($A598="","",E598*K598/100)</f>
        <v/>
      </c>
      <c r="J598" s="7" t="n"/>
      <c r="K598" s="7" t="n"/>
      <c r="L598" s="7">
        <f>IF($A598="","",S598*K598)</f>
        <v/>
      </c>
      <c r="M598" s="7">
        <f>IF($A598="","",K598-L598)</f>
        <v/>
      </c>
      <c r="N598" s="7">
        <f>IF($A598="","",M598-F598)</f>
        <v/>
      </c>
      <c r="Q598" s="11" t="n"/>
      <c r="S598">
        <f>IF($A598="","",IF(AND(ISNUMBER($R598),NOT(ISLOGICAL($R598)),N($R598)&gt;1),$R598/100*1,IF($V598=1,Settings!$C$6,Settings!$C$7)*1))</f>
        <v/>
      </c>
      <c r="T598">
        <f>IF($A598="","",IF(COUNTIF($A$2:$A598,$A598)=1,1,0))</f>
        <v/>
      </c>
      <c r="U598">
        <f>IF($T598=1,SUMPRODUCT(--($W$2:$W$1001&lt;$W598))+1,"")</f>
        <v/>
      </c>
      <c r="V598">
        <f>IF($A598="","",IF(AND(ISNUMBER($R598),NOT(ISLOGICAL($R598)),N($R598)&gt;1),IF(ABS($R598/100-Settings!$C$6)&lt;=ABS($R598/100-Settings!$C$7),1,0),IF(OR($R598=TRUE(),$R598="TRUE"),1,0)))</f>
        <v/>
      </c>
      <c r="W598">
        <f>IF($T598=1,IFERROR(IF(VALUE($A598)&lt;100000000,VALUE($A598),1000000000),IFERROR(IF(VALUE(MID($A598,2,20))&lt;100000000,VALUE(MID($A598,2,20)),1000000000),1000000000))+ROW()/100000,"")</f>
        <v/>
      </c>
    </row>
    <row r="599">
      <c r="F599" s="7">
        <f>IF($A599="","",E599*K599/100)</f>
        <v/>
      </c>
      <c r="J599" s="7" t="n"/>
      <c r="K599" s="7" t="n"/>
      <c r="L599" s="7">
        <f>IF($A599="","",S599*K599)</f>
        <v/>
      </c>
      <c r="M599" s="7">
        <f>IF($A599="","",K599-L599)</f>
        <v/>
      </c>
      <c r="N599" s="7">
        <f>IF($A599="","",M599-F599)</f>
        <v/>
      </c>
      <c r="Q599" s="11" t="n"/>
      <c r="S599">
        <f>IF($A599="","",IF(AND(ISNUMBER($R599),NOT(ISLOGICAL($R599)),N($R599)&gt;1),$R599/100*1,IF($V599=1,Settings!$C$6,Settings!$C$7)*1))</f>
        <v/>
      </c>
      <c r="T599">
        <f>IF($A599="","",IF(COUNTIF($A$2:$A599,$A599)=1,1,0))</f>
        <v/>
      </c>
      <c r="U599">
        <f>IF($T599=1,SUMPRODUCT(--($W$2:$W$1001&lt;$W599))+1,"")</f>
        <v/>
      </c>
      <c r="V599">
        <f>IF($A599="","",IF(AND(ISNUMBER($R599),NOT(ISLOGICAL($R599)),N($R599)&gt;1),IF(ABS($R599/100-Settings!$C$6)&lt;=ABS($R599/100-Settings!$C$7),1,0),IF(OR($R599=TRUE(),$R599="TRUE"),1,0)))</f>
        <v/>
      </c>
      <c r="W599">
        <f>IF($T599=1,IFERROR(IF(VALUE($A599)&lt;100000000,VALUE($A599),1000000000),IFERROR(IF(VALUE(MID($A599,2,20))&lt;100000000,VALUE(MID($A599,2,20)),1000000000),1000000000))+ROW()/100000,"")</f>
        <v/>
      </c>
    </row>
    <row r="600">
      <c r="F600" s="7">
        <f>IF($A600="","",E600*K600/100)</f>
        <v/>
      </c>
      <c r="J600" s="7" t="n"/>
      <c r="K600" s="7" t="n"/>
      <c r="L600" s="7">
        <f>IF($A600="","",S600*K600)</f>
        <v/>
      </c>
      <c r="M600" s="7">
        <f>IF($A600="","",K600-L600)</f>
        <v/>
      </c>
      <c r="N600" s="7">
        <f>IF($A600="","",M600-F600)</f>
        <v/>
      </c>
      <c r="Q600" s="11" t="n"/>
      <c r="S600">
        <f>IF($A600="","",IF(AND(ISNUMBER($R600),NOT(ISLOGICAL($R600)),N($R600)&gt;1),$R600/100*1,IF($V600=1,Settings!$C$6,Settings!$C$7)*1))</f>
        <v/>
      </c>
      <c r="T600">
        <f>IF($A600="","",IF(COUNTIF($A$2:$A600,$A600)=1,1,0))</f>
        <v/>
      </c>
      <c r="U600">
        <f>IF($T600=1,SUMPRODUCT(--($W$2:$W$1001&lt;$W600))+1,"")</f>
        <v/>
      </c>
      <c r="V600">
        <f>IF($A600="","",IF(AND(ISNUMBER($R600),NOT(ISLOGICAL($R600)),N($R600)&gt;1),IF(ABS($R600/100-Settings!$C$6)&lt;=ABS($R600/100-Settings!$C$7),1,0),IF(OR($R600=TRUE(),$R600="TRUE"),1,0)))</f>
        <v/>
      </c>
      <c r="W600">
        <f>IF($T600=1,IFERROR(IF(VALUE($A600)&lt;100000000,VALUE($A600),1000000000),IFERROR(IF(VALUE(MID($A600,2,20))&lt;100000000,VALUE(MID($A600,2,20)),1000000000),1000000000))+ROW()/100000,"")</f>
        <v/>
      </c>
    </row>
    <row r="601">
      <c r="F601" s="7">
        <f>IF($A601="","",E601*K601/100)</f>
        <v/>
      </c>
      <c r="J601" s="7" t="n"/>
      <c r="K601" s="7" t="n"/>
      <c r="L601" s="7">
        <f>IF($A601="","",S601*K601)</f>
        <v/>
      </c>
      <c r="M601" s="7">
        <f>IF($A601="","",K601-L601)</f>
        <v/>
      </c>
      <c r="N601" s="7">
        <f>IF($A601="","",M601-F601)</f>
        <v/>
      </c>
      <c r="Q601" s="11" t="n"/>
      <c r="S601">
        <f>IF($A601="","",IF(AND(ISNUMBER($R601),NOT(ISLOGICAL($R601)),N($R601)&gt;1),$R601/100*1,IF($V601=1,Settings!$C$6,Settings!$C$7)*1))</f>
        <v/>
      </c>
      <c r="T601">
        <f>IF($A601="","",IF(COUNTIF($A$2:$A601,$A601)=1,1,0))</f>
        <v/>
      </c>
      <c r="U601">
        <f>IF($T601=1,SUMPRODUCT(--($W$2:$W$1001&lt;$W601))+1,"")</f>
        <v/>
      </c>
      <c r="V601">
        <f>IF($A601="","",IF(AND(ISNUMBER($R601),NOT(ISLOGICAL($R601)),N($R601)&gt;1),IF(ABS($R601/100-Settings!$C$6)&lt;=ABS($R601/100-Settings!$C$7),1,0),IF(OR($R601=TRUE(),$R601="TRUE"),1,0)))</f>
        <v/>
      </c>
      <c r="W601">
        <f>IF($T601=1,IFERROR(IF(VALUE($A601)&lt;100000000,VALUE($A601),1000000000),IFERROR(IF(VALUE(MID($A601,2,20))&lt;100000000,VALUE(MID($A601,2,20)),1000000000),1000000000))+ROW()/100000,"")</f>
        <v/>
      </c>
    </row>
    <row r="602">
      <c r="F602" s="7">
        <f>IF($A602="","",E602*K602/100)</f>
        <v/>
      </c>
      <c r="J602" s="7" t="n"/>
      <c r="K602" s="7" t="n"/>
      <c r="L602" s="7">
        <f>IF($A602="","",S602*K602)</f>
        <v/>
      </c>
      <c r="M602" s="7">
        <f>IF($A602="","",K602-L602)</f>
        <v/>
      </c>
      <c r="N602" s="7">
        <f>IF($A602="","",M602-F602)</f>
        <v/>
      </c>
      <c r="Q602" s="11" t="n"/>
      <c r="S602">
        <f>IF($A602="","",IF(AND(ISNUMBER($R602),NOT(ISLOGICAL($R602)),N($R602)&gt;1),$R602/100*1,IF($V602=1,Settings!$C$6,Settings!$C$7)*1))</f>
        <v/>
      </c>
      <c r="T602">
        <f>IF($A602="","",IF(COUNTIF($A$2:$A602,$A602)=1,1,0))</f>
        <v/>
      </c>
      <c r="U602">
        <f>IF($T602=1,SUMPRODUCT(--($W$2:$W$1001&lt;$W602))+1,"")</f>
        <v/>
      </c>
      <c r="V602">
        <f>IF($A602="","",IF(AND(ISNUMBER($R602),NOT(ISLOGICAL($R602)),N($R602)&gt;1),IF(ABS($R602/100-Settings!$C$6)&lt;=ABS($R602/100-Settings!$C$7),1,0),IF(OR($R602=TRUE(),$R602="TRUE"),1,0)))</f>
        <v/>
      </c>
      <c r="W602">
        <f>IF($T602=1,IFERROR(IF(VALUE($A602)&lt;100000000,VALUE($A602),1000000000),IFERROR(IF(VALUE(MID($A602,2,20))&lt;100000000,VALUE(MID($A602,2,20)),1000000000),1000000000))+ROW()/100000,"")</f>
        <v/>
      </c>
    </row>
    <row r="603">
      <c r="F603" s="7">
        <f>IF($A603="","",E603*K603/100)</f>
        <v/>
      </c>
      <c r="J603" s="7" t="n"/>
      <c r="K603" s="7" t="n"/>
      <c r="L603" s="7">
        <f>IF($A603="","",S603*K603)</f>
        <v/>
      </c>
      <c r="M603" s="7">
        <f>IF($A603="","",K603-L603)</f>
        <v/>
      </c>
      <c r="N603" s="7">
        <f>IF($A603="","",M603-F603)</f>
        <v/>
      </c>
      <c r="Q603" s="11" t="n"/>
      <c r="S603">
        <f>IF($A603="","",IF(AND(ISNUMBER($R603),NOT(ISLOGICAL($R603)),N($R603)&gt;1),$R603/100*1,IF($V603=1,Settings!$C$6,Settings!$C$7)*1))</f>
        <v/>
      </c>
      <c r="T603">
        <f>IF($A603="","",IF(COUNTIF($A$2:$A603,$A603)=1,1,0))</f>
        <v/>
      </c>
      <c r="U603">
        <f>IF($T603=1,SUMPRODUCT(--($W$2:$W$1001&lt;$W603))+1,"")</f>
        <v/>
      </c>
      <c r="V603">
        <f>IF($A603="","",IF(AND(ISNUMBER($R603),NOT(ISLOGICAL($R603)),N($R603)&gt;1),IF(ABS($R603/100-Settings!$C$6)&lt;=ABS($R603/100-Settings!$C$7),1,0),IF(OR($R603=TRUE(),$R603="TRUE"),1,0)))</f>
        <v/>
      </c>
      <c r="W603">
        <f>IF($T603=1,IFERROR(IF(VALUE($A603)&lt;100000000,VALUE($A603),1000000000),IFERROR(IF(VALUE(MID($A603,2,20))&lt;100000000,VALUE(MID($A603,2,20)),1000000000),1000000000))+ROW()/100000,"")</f>
        <v/>
      </c>
    </row>
    <row r="604">
      <c r="F604" s="7">
        <f>IF($A604="","",E604*K604/100)</f>
        <v/>
      </c>
      <c r="J604" s="7" t="n"/>
      <c r="K604" s="7" t="n"/>
      <c r="L604" s="7">
        <f>IF($A604="","",S604*K604)</f>
        <v/>
      </c>
      <c r="M604" s="7">
        <f>IF($A604="","",K604-L604)</f>
        <v/>
      </c>
      <c r="N604" s="7">
        <f>IF($A604="","",M604-F604)</f>
        <v/>
      </c>
      <c r="Q604" s="11" t="n"/>
      <c r="S604">
        <f>IF($A604="","",IF(AND(ISNUMBER($R604),NOT(ISLOGICAL($R604)),N($R604)&gt;1),$R604/100*1,IF($V604=1,Settings!$C$6,Settings!$C$7)*1))</f>
        <v/>
      </c>
      <c r="T604">
        <f>IF($A604="","",IF(COUNTIF($A$2:$A604,$A604)=1,1,0))</f>
        <v/>
      </c>
      <c r="U604">
        <f>IF($T604=1,SUMPRODUCT(--($W$2:$W$1001&lt;$W604))+1,"")</f>
        <v/>
      </c>
      <c r="V604">
        <f>IF($A604="","",IF(AND(ISNUMBER($R604),NOT(ISLOGICAL($R604)),N($R604)&gt;1),IF(ABS($R604/100-Settings!$C$6)&lt;=ABS($R604/100-Settings!$C$7),1,0),IF(OR($R604=TRUE(),$R604="TRUE"),1,0)))</f>
        <v/>
      </c>
      <c r="W604">
        <f>IF($T604=1,IFERROR(IF(VALUE($A604)&lt;100000000,VALUE($A604),1000000000),IFERROR(IF(VALUE(MID($A604,2,20))&lt;100000000,VALUE(MID($A604,2,20)),1000000000),1000000000))+ROW()/100000,"")</f>
        <v/>
      </c>
    </row>
    <row r="605">
      <c r="F605" s="7">
        <f>IF($A605="","",E605*K605/100)</f>
        <v/>
      </c>
      <c r="J605" s="7" t="n"/>
      <c r="K605" s="7" t="n"/>
      <c r="L605" s="7">
        <f>IF($A605="","",S605*K605)</f>
        <v/>
      </c>
      <c r="M605" s="7">
        <f>IF($A605="","",K605-L605)</f>
        <v/>
      </c>
      <c r="N605" s="7">
        <f>IF($A605="","",M605-F605)</f>
        <v/>
      </c>
      <c r="Q605" s="11" t="n"/>
      <c r="S605">
        <f>IF($A605="","",IF(AND(ISNUMBER($R605),NOT(ISLOGICAL($R605)),N($R605)&gt;1),$R605/100*1,IF($V605=1,Settings!$C$6,Settings!$C$7)*1))</f>
        <v/>
      </c>
      <c r="T605">
        <f>IF($A605="","",IF(COUNTIF($A$2:$A605,$A605)=1,1,0))</f>
        <v/>
      </c>
      <c r="U605">
        <f>IF($T605=1,SUMPRODUCT(--($W$2:$W$1001&lt;$W605))+1,"")</f>
        <v/>
      </c>
      <c r="V605">
        <f>IF($A605="","",IF(AND(ISNUMBER($R605),NOT(ISLOGICAL($R605)),N($R605)&gt;1),IF(ABS($R605/100-Settings!$C$6)&lt;=ABS($R605/100-Settings!$C$7),1,0),IF(OR($R605=TRUE(),$R605="TRUE"),1,0)))</f>
        <v/>
      </c>
      <c r="W605">
        <f>IF($T605=1,IFERROR(IF(VALUE($A605)&lt;100000000,VALUE($A605),1000000000),IFERROR(IF(VALUE(MID($A605,2,20))&lt;100000000,VALUE(MID($A605,2,20)),1000000000),1000000000))+ROW()/100000,"")</f>
        <v/>
      </c>
    </row>
    <row r="606">
      <c r="F606" s="7">
        <f>IF($A606="","",E606*K606/100)</f>
        <v/>
      </c>
      <c r="J606" s="7" t="n"/>
      <c r="K606" s="7" t="n"/>
      <c r="L606" s="7">
        <f>IF($A606="","",S606*K606)</f>
        <v/>
      </c>
      <c r="M606" s="7">
        <f>IF($A606="","",K606-L606)</f>
        <v/>
      </c>
      <c r="N606" s="7">
        <f>IF($A606="","",M606-F606)</f>
        <v/>
      </c>
      <c r="Q606" s="11" t="n"/>
      <c r="S606">
        <f>IF($A606="","",IF(AND(ISNUMBER($R606),NOT(ISLOGICAL($R606)),N($R606)&gt;1),$R606/100*1,IF($V606=1,Settings!$C$6,Settings!$C$7)*1))</f>
        <v/>
      </c>
      <c r="T606">
        <f>IF($A606="","",IF(COUNTIF($A$2:$A606,$A606)=1,1,0))</f>
        <v/>
      </c>
      <c r="U606">
        <f>IF($T606=1,SUMPRODUCT(--($W$2:$W$1001&lt;$W606))+1,"")</f>
        <v/>
      </c>
      <c r="V606">
        <f>IF($A606="","",IF(AND(ISNUMBER($R606),NOT(ISLOGICAL($R606)),N($R606)&gt;1),IF(ABS($R606/100-Settings!$C$6)&lt;=ABS($R606/100-Settings!$C$7),1,0),IF(OR($R606=TRUE(),$R606="TRUE"),1,0)))</f>
        <v/>
      </c>
      <c r="W606">
        <f>IF($T606=1,IFERROR(IF(VALUE($A606)&lt;100000000,VALUE($A606),1000000000),IFERROR(IF(VALUE(MID($A606,2,20))&lt;100000000,VALUE(MID($A606,2,20)),1000000000),1000000000))+ROW()/100000,"")</f>
        <v/>
      </c>
    </row>
    <row r="607">
      <c r="F607" s="7">
        <f>IF($A607="","",E607*K607/100)</f>
        <v/>
      </c>
      <c r="J607" s="7" t="n"/>
      <c r="K607" s="7" t="n"/>
      <c r="L607" s="7">
        <f>IF($A607="","",S607*K607)</f>
        <v/>
      </c>
      <c r="M607" s="7">
        <f>IF($A607="","",K607-L607)</f>
        <v/>
      </c>
      <c r="N607" s="7">
        <f>IF($A607="","",M607-F607)</f>
        <v/>
      </c>
      <c r="Q607" s="11" t="n"/>
      <c r="S607">
        <f>IF($A607="","",IF(AND(ISNUMBER($R607),NOT(ISLOGICAL($R607)),N($R607)&gt;1),$R607/100*1,IF($V607=1,Settings!$C$6,Settings!$C$7)*1))</f>
        <v/>
      </c>
      <c r="T607">
        <f>IF($A607="","",IF(COUNTIF($A$2:$A607,$A607)=1,1,0))</f>
        <v/>
      </c>
      <c r="U607">
        <f>IF($T607=1,SUMPRODUCT(--($W$2:$W$1001&lt;$W607))+1,"")</f>
        <v/>
      </c>
      <c r="V607">
        <f>IF($A607="","",IF(AND(ISNUMBER($R607),NOT(ISLOGICAL($R607)),N($R607)&gt;1),IF(ABS($R607/100-Settings!$C$6)&lt;=ABS($R607/100-Settings!$C$7),1,0),IF(OR($R607=TRUE(),$R607="TRUE"),1,0)))</f>
        <v/>
      </c>
      <c r="W607">
        <f>IF($T607=1,IFERROR(IF(VALUE($A607)&lt;100000000,VALUE($A607),1000000000),IFERROR(IF(VALUE(MID($A607,2,20))&lt;100000000,VALUE(MID($A607,2,20)),1000000000),1000000000))+ROW()/100000,"")</f>
        <v/>
      </c>
    </row>
    <row r="608">
      <c r="F608" s="7">
        <f>IF($A608="","",E608*K608/100)</f>
        <v/>
      </c>
      <c r="J608" s="7" t="n"/>
      <c r="K608" s="7" t="n"/>
      <c r="L608" s="7">
        <f>IF($A608="","",S608*K608)</f>
        <v/>
      </c>
      <c r="M608" s="7">
        <f>IF($A608="","",K608-L608)</f>
        <v/>
      </c>
      <c r="N608" s="7">
        <f>IF($A608="","",M608-F608)</f>
        <v/>
      </c>
      <c r="Q608" s="11" t="n"/>
      <c r="S608">
        <f>IF($A608="","",IF(AND(ISNUMBER($R608),NOT(ISLOGICAL($R608)),N($R608)&gt;1),$R608/100*1,IF($V608=1,Settings!$C$6,Settings!$C$7)*1))</f>
        <v/>
      </c>
      <c r="T608">
        <f>IF($A608="","",IF(COUNTIF($A$2:$A608,$A608)=1,1,0))</f>
        <v/>
      </c>
      <c r="U608">
        <f>IF($T608=1,SUMPRODUCT(--($W$2:$W$1001&lt;$W608))+1,"")</f>
        <v/>
      </c>
      <c r="V608">
        <f>IF($A608="","",IF(AND(ISNUMBER($R608),NOT(ISLOGICAL($R608)),N($R608)&gt;1),IF(ABS($R608/100-Settings!$C$6)&lt;=ABS($R608/100-Settings!$C$7),1,0),IF(OR($R608=TRUE(),$R608="TRUE"),1,0)))</f>
        <v/>
      </c>
      <c r="W608">
        <f>IF($T608=1,IFERROR(IF(VALUE($A608)&lt;100000000,VALUE($A608),1000000000),IFERROR(IF(VALUE(MID($A608,2,20))&lt;100000000,VALUE(MID($A608,2,20)),1000000000),1000000000))+ROW()/100000,"")</f>
        <v/>
      </c>
    </row>
    <row r="609">
      <c r="F609" s="7">
        <f>IF($A609="","",E609*K609/100)</f>
        <v/>
      </c>
      <c r="J609" s="7" t="n"/>
      <c r="K609" s="7" t="n"/>
      <c r="L609" s="7">
        <f>IF($A609="","",S609*K609)</f>
        <v/>
      </c>
      <c r="M609" s="7">
        <f>IF($A609="","",K609-L609)</f>
        <v/>
      </c>
      <c r="N609" s="7">
        <f>IF($A609="","",M609-F609)</f>
        <v/>
      </c>
      <c r="Q609" s="11" t="n"/>
      <c r="S609">
        <f>IF($A609="","",IF(AND(ISNUMBER($R609),NOT(ISLOGICAL($R609)),N($R609)&gt;1),$R609/100*1,IF($V609=1,Settings!$C$6,Settings!$C$7)*1))</f>
        <v/>
      </c>
      <c r="T609">
        <f>IF($A609="","",IF(COUNTIF($A$2:$A609,$A609)=1,1,0))</f>
        <v/>
      </c>
      <c r="U609">
        <f>IF($T609=1,SUMPRODUCT(--($W$2:$W$1001&lt;$W609))+1,"")</f>
        <v/>
      </c>
      <c r="V609">
        <f>IF($A609="","",IF(AND(ISNUMBER($R609),NOT(ISLOGICAL($R609)),N($R609)&gt;1),IF(ABS($R609/100-Settings!$C$6)&lt;=ABS($R609/100-Settings!$C$7),1,0),IF(OR($R609=TRUE(),$R609="TRUE"),1,0)))</f>
        <v/>
      </c>
      <c r="W609">
        <f>IF($T609=1,IFERROR(IF(VALUE($A609)&lt;100000000,VALUE($A609),1000000000),IFERROR(IF(VALUE(MID($A609,2,20))&lt;100000000,VALUE(MID($A609,2,20)),1000000000),1000000000))+ROW()/100000,"")</f>
        <v/>
      </c>
    </row>
    <row r="610">
      <c r="F610" s="7">
        <f>IF($A610="","",E610*K610/100)</f>
        <v/>
      </c>
      <c r="J610" s="7" t="n"/>
      <c r="K610" s="7" t="n"/>
      <c r="L610" s="7">
        <f>IF($A610="","",S610*K610)</f>
        <v/>
      </c>
      <c r="M610" s="7">
        <f>IF($A610="","",K610-L610)</f>
        <v/>
      </c>
      <c r="N610" s="7">
        <f>IF($A610="","",M610-F610)</f>
        <v/>
      </c>
      <c r="Q610" s="11" t="n"/>
      <c r="S610">
        <f>IF($A610="","",IF(AND(ISNUMBER($R610),NOT(ISLOGICAL($R610)),N($R610)&gt;1),$R610/100*1,IF($V610=1,Settings!$C$6,Settings!$C$7)*1))</f>
        <v/>
      </c>
      <c r="T610">
        <f>IF($A610="","",IF(COUNTIF($A$2:$A610,$A610)=1,1,0))</f>
        <v/>
      </c>
      <c r="U610">
        <f>IF($T610=1,SUMPRODUCT(--($W$2:$W$1001&lt;$W610))+1,"")</f>
        <v/>
      </c>
      <c r="V610">
        <f>IF($A610="","",IF(AND(ISNUMBER($R610),NOT(ISLOGICAL($R610)),N($R610)&gt;1),IF(ABS($R610/100-Settings!$C$6)&lt;=ABS($R610/100-Settings!$C$7),1,0),IF(OR($R610=TRUE(),$R610="TRUE"),1,0)))</f>
        <v/>
      </c>
      <c r="W610">
        <f>IF($T610=1,IFERROR(IF(VALUE($A610)&lt;100000000,VALUE($A610),1000000000),IFERROR(IF(VALUE(MID($A610,2,20))&lt;100000000,VALUE(MID($A610,2,20)),1000000000),1000000000))+ROW()/100000,"")</f>
        <v/>
      </c>
    </row>
    <row r="611">
      <c r="F611" s="7">
        <f>IF($A611="","",E611*K611/100)</f>
        <v/>
      </c>
      <c r="J611" s="7" t="n"/>
      <c r="K611" s="7" t="n"/>
      <c r="L611" s="7">
        <f>IF($A611="","",S611*K611)</f>
        <v/>
      </c>
      <c r="M611" s="7">
        <f>IF($A611="","",K611-L611)</f>
        <v/>
      </c>
      <c r="N611" s="7">
        <f>IF($A611="","",M611-F611)</f>
        <v/>
      </c>
      <c r="Q611" s="11" t="n"/>
      <c r="S611">
        <f>IF($A611="","",IF(AND(ISNUMBER($R611),NOT(ISLOGICAL($R611)),N($R611)&gt;1),$R611/100*1,IF($V611=1,Settings!$C$6,Settings!$C$7)*1))</f>
        <v/>
      </c>
      <c r="T611">
        <f>IF($A611="","",IF(COUNTIF($A$2:$A611,$A611)=1,1,0))</f>
        <v/>
      </c>
      <c r="U611">
        <f>IF($T611=1,SUMPRODUCT(--($W$2:$W$1001&lt;$W611))+1,"")</f>
        <v/>
      </c>
      <c r="V611">
        <f>IF($A611="","",IF(AND(ISNUMBER($R611),NOT(ISLOGICAL($R611)),N($R611)&gt;1),IF(ABS($R611/100-Settings!$C$6)&lt;=ABS($R611/100-Settings!$C$7),1,0),IF(OR($R611=TRUE(),$R611="TRUE"),1,0)))</f>
        <v/>
      </c>
      <c r="W611">
        <f>IF($T611=1,IFERROR(IF(VALUE($A611)&lt;100000000,VALUE($A611),1000000000),IFERROR(IF(VALUE(MID($A611,2,20))&lt;100000000,VALUE(MID($A611,2,20)),1000000000),1000000000))+ROW()/100000,"")</f>
        <v/>
      </c>
    </row>
    <row r="612">
      <c r="F612" s="7">
        <f>IF($A612="","",E612*K612/100)</f>
        <v/>
      </c>
      <c r="J612" s="7" t="n"/>
      <c r="K612" s="7" t="n"/>
      <c r="L612" s="7">
        <f>IF($A612="","",S612*K612)</f>
        <v/>
      </c>
      <c r="M612" s="7">
        <f>IF($A612="","",K612-L612)</f>
        <v/>
      </c>
      <c r="N612" s="7">
        <f>IF($A612="","",M612-F612)</f>
        <v/>
      </c>
      <c r="Q612" s="11" t="n"/>
      <c r="S612">
        <f>IF($A612="","",IF(AND(ISNUMBER($R612),NOT(ISLOGICAL($R612)),N($R612)&gt;1),$R612/100*1,IF($V612=1,Settings!$C$6,Settings!$C$7)*1))</f>
        <v/>
      </c>
      <c r="T612">
        <f>IF($A612="","",IF(COUNTIF($A$2:$A612,$A612)=1,1,0))</f>
        <v/>
      </c>
      <c r="U612">
        <f>IF($T612=1,SUMPRODUCT(--($W$2:$W$1001&lt;$W612))+1,"")</f>
        <v/>
      </c>
      <c r="V612">
        <f>IF($A612="","",IF(AND(ISNUMBER($R612),NOT(ISLOGICAL($R612)),N($R612)&gt;1),IF(ABS($R612/100-Settings!$C$6)&lt;=ABS($R612/100-Settings!$C$7),1,0),IF(OR($R612=TRUE(),$R612="TRUE"),1,0)))</f>
        <v/>
      </c>
      <c r="W612">
        <f>IF($T612=1,IFERROR(IF(VALUE($A612)&lt;100000000,VALUE($A612),1000000000),IFERROR(IF(VALUE(MID($A612,2,20))&lt;100000000,VALUE(MID($A612,2,20)),1000000000),1000000000))+ROW()/100000,"")</f>
        <v/>
      </c>
    </row>
    <row r="613">
      <c r="F613" s="7">
        <f>IF($A613="","",E613*K613/100)</f>
        <v/>
      </c>
      <c r="J613" s="7" t="n"/>
      <c r="K613" s="7" t="n"/>
      <c r="L613" s="7">
        <f>IF($A613="","",S613*K613)</f>
        <v/>
      </c>
      <c r="M613" s="7">
        <f>IF($A613="","",K613-L613)</f>
        <v/>
      </c>
      <c r="N613" s="7">
        <f>IF($A613="","",M613-F613)</f>
        <v/>
      </c>
      <c r="Q613" s="11" t="n"/>
      <c r="S613">
        <f>IF($A613="","",IF(AND(ISNUMBER($R613),NOT(ISLOGICAL($R613)),N($R613)&gt;1),$R613/100*1,IF($V613=1,Settings!$C$6,Settings!$C$7)*1))</f>
        <v/>
      </c>
      <c r="T613">
        <f>IF($A613="","",IF(COUNTIF($A$2:$A613,$A613)=1,1,0))</f>
        <v/>
      </c>
      <c r="U613">
        <f>IF($T613=1,SUMPRODUCT(--($W$2:$W$1001&lt;$W613))+1,"")</f>
        <v/>
      </c>
      <c r="V613">
        <f>IF($A613="","",IF(AND(ISNUMBER($R613),NOT(ISLOGICAL($R613)),N($R613)&gt;1),IF(ABS($R613/100-Settings!$C$6)&lt;=ABS($R613/100-Settings!$C$7),1,0),IF(OR($R613=TRUE(),$R613="TRUE"),1,0)))</f>
        <v/>
      </c>
      <c r="W613">
        <f>IF($T613=1,IFERROR(IF(VALUE($A613)&lt;100000000,VALUE($A613),1000000000),IFERROR(IF(VALUE(MID($A613,2,20))&lt;100000000,VALUE(MID($A613,2,20)),1000000000),1000000000))+ROW()/100000,"")</f>
        <v/>
      </c>
    </row>
    <row r="614">
      <c r="F614" s="7">
        <f>IF($A614="","",E614*K614/100)</f>
        <v/>
      </c>
      <c r="J614" s="7" t="n"/>
      <c r="K614" s="7" t="n"/>
      <c r="L614" s="7">
        <f>IF($A614="","",S614*K614)</f>
        <v/>
      </c>
      <c r="M614" s="7">
        <f>IF($A614="","",K614-L614)</f>
        <v/>
      </c>
      <c r="N614" s="7">
        <f>IF($A614="","",M614-F614)</f>
        <v/>
      </c>
      <c r="Q614" s="11" t="n"/>
      <c r="S614">
        <f>IF($A614="","",IF(AND(ISNUMBER($R614),NOT(ISLOGICAL($R614)),N($R614)&gt;1),$R614/100*1,IF($V614=1,Settings!$C$6,Settings!$C$7)*1))</f>
        <v/>
      </c>
      <c r="T614">
        <f>IF($A614="","",IF(COUNTIF($A$2:$A614,$A614)=1,1,0))</f>
        <v/>
      </c>
      <c r="U614">
        <f>IF($T614=1,SUMPRODUCT(--($W$2:$W$1001&lt;$W614))+1,"")</f>
        <v/>
      </c>
      <c r="V614">
        <f>IF($A614="","",IF(AND(ISNUMBER($R614),NOT(ISLOGICAL($R614)),N($R614)&gt;1),IF(ABS($R614/100-Settings!$C$6)&lt;=ABS($R614/100-Settings!$C$7),1,0),IF(OR($R614=TRUE(),$R614="TRUE"),1,0)))</f>
        <v/>
      </c>
      <c r="W614">
        <f>IF($T614=1,IFERROR(IF(VALUE($A614)&lt;100000000,VALUE($A614),1000000000),IFERROR(IF(VALUE(MID($A614,2,20))&lt;100000000,VALUE(MID($A614,2,20)),1000000000),1000000000))+ROW()/100000,"")</f>
        <v/>
      </c>
    </row>
    <row r="615">
      <c r="F615" s="7">
        <f>IF($A615="","",E615*K615/100)</f>
        <v/>
      </c>
      <c r="J615" s="7" t="n"/>
      <c r="K615" s="7" t="n"/>
      <c r="L615" s="7">
        <f>IF($A615="","",S615*K615)</f>
        <v/>
      </c>
      <c r="M615" s="7">
        <f>IF($A615="","",K615-L615)</f>
        <v/>
      </c>
      <c r="N615" s="7">
        <f>IF($A615="","",M615-F615)</f>
        <v/>
      </c>
      <c r="Q615" s="11" t="n"/>
      <c r="S615">
        <f>IF($A615="","",IF(AND(ISNUMBER($R615),NOT(ISLOGICAL($R615)),N($R615)&gt;1),$R615/100*1,IF($V615=1,Settings!$C$6,Settings!$C$7)*1))</f>
        <v/>
      </c>
      <c r="T615">
        <f>IF($A615="","",IF(COUNTIF($A$2:$A615,$A615)=1,1,0))</f>
        <v/>
      </c>
      <c r="U615">
        <f>IF($T615=1,SUMPRODUCT(--($W$2:$W$1001&lt;$W615))+1,"")</f>
        <v/>
      </c>
      <c r="V615">
        <f>IF($A615="","",IF(AND(ISNUMBER($R615),NOT(ISLOGICAL($R615)),N($R615)&gt;1),IF(ABS($R615/100-Settings!$C$6)&lt;=ABS($R615/100-Settings!$C$7),1,0),IF(OR($R615=TRUE(),$R615="TRUE"),1,0)))</f>
        <v/>
      </c>
      <c r="W615">
        <f>IF($T615=1,IFERROR(IF(VALUE($A615)&lt;100000000,VALUE($A615),1000000000),IFERROR(IF(VALUE(MID($A615,2,20))&lt;100000000,VALUE(MID($A615,2,20)),1000000000),1000000000))+ROW()/100000,"")</f>
        <v/>
      </c>
    </row>
    <row r="616">
      <c r="F616" s="7">
        <f>IF($A616="","",E616*K616/100)</f>
        <v/>
      </c>
      <c r="J616" s="7" t="n"/>
      <c r="K616" s="7" t="n"/>
      <c r="L616" s="7">
        <f>IF($A616="","",S616*K616)</f>
        <v/>
      </c>
      <c r="M616" s="7">
        <f>IF($A616="","",K616-L616)</f>
        <v/>
      </c>
      <c r="N616" s="7">
        <f>IF($A616="","",M616-F616)</f>
        <v/>
      </c>
      <c r="Q616" s="11" t="n"/>
      <c r="S616">
        <f>IF($A616="","",IF(AND(ISNUMBER($R616),NOT(ISLOGICAL($R616)),N($R616)&gt;1),$R616/100*1,IF($V616=1,Settings!$C$6,Settings!$C$7)*1))</f>
        <v/>
      </c>
      <c r="T616">
        <f>IF($A616="","",IF(COUNTIF($A$2:$A616,$A616)=1,1,0))</f>
        <v/>
      </c>
      <c r="U616">
        <f>IF($T616=1,SUMPRODUCT(--($W$2:$W$1001&lt;$W616))+1,"")</f>
        <v/>
      </c>
      <c r="V616">
        <f>IF($A616="","",IF(AND(ISNUMBER($R616),NOT(ISLOGICAL($R616)),N($R616)&gt;1),IF(ABS($R616/100-Settings!$C$6)&lt;=ABS($R616/100-Settings!$C$7),1,0),IF(OR($R616=TRUE(),$R616="TRUE"),1,0)))</f>
        <v/>
      </c>
      <c r="W616">
        <f>IF($T616=1,IFERROR(IF(VALUE($A616)&lt;100000000,VALUE($A616),1000000000),IFERROR(IF(VALUE(MID($A616,2,20))&lt;100000000,VALUE(MID($A616,2,20)),1000000000),1000000000))+ROW()/100000,"")</f>
        <v/>
      </c>
    </row>
    <row r="617">
      <c r="F617" s="7">
        <f>IF($A617="","",E617*K617/100)</f>
        <v/>
      </c>
      <c r="J617" s="7" t="n"/>
      <c r="K617" s="7" t="n"/>
      <c r="L617" s="7">
        <f>IF($A617="","",S617*K617)</f>
        <v/>
      </c>
      <c r="M617" s="7">
        <f>IF($A617="","",K617-L617)</f>
        <v/>
      </c>
      <c r="N617" s="7">
        <f>IF($A617="","",M617-F617)</f>
        <v/>
      </c>
      <c r="Q617" s="11" t="n"/>
      <c r="S617">
        <f>IF($A617="","",IF(AND(ISNUMBER($R617),NOT(ISLOGICAL($R617)),N($R617)&gt;1),$R617/100*1,IF($V617=1,Settings!$C$6,Settings!$C$7)*1))</f>
        <v/>
      </c>
      <c r="T617">
        <f>IF($A617="","",IF(COUNTIF($A$2:$A617,$A617)=1,1,0))</f>
        <v/>
      </c>
      <c r="U617">
        <f>IF($T617=1,SUMPRODUCT(--($W$2:$W$1001&lt;$W617))+1,"")</f>
        <v/>
      </c>
      <c r="V617">
        <f>IF($A617="","",IF(AND(ISNUMBER($R617),NOT(ISLOGICAL($R617)),N($R617)&gt;1),IF(ABS($R617/100-Settings!$C$6)&lt;=ABS($R617/100-Settings!$C$7),1,0),IF(OR($R617=TRUE(),$R617="TRUE"),1,0)))</f>
        <v/>
      </c>
      <c r="W617">
        <f>IF($T617=1,IFERROR(IF(VALUE($A617)&lt;100000000,VALUE($A617),1000000000),IFERROR(IF(VALUE(MID($A617,2,20))&lt;100000000,VALUE(MID($A617,2,20)),1000000000),1000000000))+ROW()/100000,"")</f>
        <v/>
      </c>
    </row>
    <row r="618">
      <c r="F618" s="7">
        <f>IF($A618="","",E618*K618/100)</f>
        <v/>
      </c>
      <c r="J618" s="7" t="n"/>
      <c r="K618" s="7" t="n"/>
      <c r="L618" s="7">
        <f>IF($A618="","",S618*K618)</f>
        <v/>
      </c>
      <c r="M618" s="7">
        <f>IF($A618="","",K618-L618)</f>
        <v/>
      </c>
      <c r="N618" s="7">
        <f>IF($A618="","",M618-F618)</f>
        <v/>
      </c>
      <c r="Q618" s="11" t="n"/>
      <c r="S618">
        <f>IF($A618="","",IF(AND(ISNUMBER($R618),NOT(ISLOGICAL($R618)),N($R618)&gt;1),$R618/100*1,IF($V618=1,Settings!$C$6,Settings!$C$7)*1))</f>
        <v/>
      </c>
      <c r="T618">
        <f>IF($A618="","",IF(COUNTIF($A$2:$A618,$A618)=1,1,0))</f>
        <v/>
      </c>
      <c r="U618">
        <f>IF($T618=1,SUMPRODUCT(--($W$2:$W$1001&lt;$W618))+1,"")</f>
        <v/>
      </c>
      <c r="V618">
        <f>IF($A618="","",IF(AND(ISNUMBER($R618),NOT(ISLOGICAL($R618)),N($R618)&gt;1),IF(ABS($R618/100-Settings!$C$6)&lt;=ABS($R618/100-Settings!$C$7),1,0),IF(OR($R618=TRUE(),$R618="TRUE"),1,0)))</f>
        <v/>
      </c>
      <c r="W618">
        <f>IF($T618=1,IFERROR(IF(VALUE($A618)&lt;100000000,VALUE($A618),1000000000),IFERROR(IF(VALUE(MID($A618,2,20))&lt;100000000,VALUE(MID($A618,2,20)),1000000000),1000000000))+ROW()/100000,"")</f>
        <v/>
      </c>
    </row>
    <row r="619">
      <c r="F619" s="7">
        <f>IF($A619="","",E619*K619/100)</f>
        <v/>
      </c>
      <c r="J619" s="7" t="n"/>
      <c r="K619" s="7" t="n"/>
      <c r="L619" s="7">
        <f>IF($A619="","",S619*K619)</f>
        <v/>
      </c>
      <c r="M619" s="7">
        <f>IF($A619="","",K619-L619)</f>
        <v/>
      </c>
      <c r="N619" s="7">
        <f>IF($A619="","",M619-F619)</f>
        <v/>
      </c>
      <c r="Q619" s="11" t="n"/>
      <c r="S619">
        <f>IF($A619="","",IF(AND(ISNUMBER($R619),NOT(ISLOGICAL($R619)),N($R619)&gt;1),$R619/100*1,IF($V619=1,Settings!$C$6,Settings!$C$7)*1))</f>
        <v/>
      </c>
      <c r="T619">
        <f>IF($A619="","",IF(COUNTIF($A$2:$A619,$A619)=1,1,0))</f>
        <v/>
      </c>
      <c r="U619">
        <f>IF($T619=1,SUMPRODUCT(--($W$2:$W$1001&lt;$W619))+1,"")</f>
        <v/>
      </c>
      <c r="V619">
        <f>IF($A619="","",IF(AND(ISNUMBER($R619),NOT(ISLOGICAL($R619)),N($R619)&gt;1),IF(ABS($R619/100-Settings!$C$6)&lt;=ABS($R619/100-Settings!$C$7),1,0),IF(OR($R619=TRUE(),$R619="TRUE"),1,0)))</f>
        <v/>
      </c>
      <c r="W619">
        <f>IF($T619=1,IFERROR(IF(VALUE($A619)&lt;100000000,VALUE($A619),1000000000),IFERROR(IF(VALUE(MID($A619,2,20))&lt;100000000,VALUE(MID($A619,2,20)),1000000000),1000000000))+ROW()/100000,"")</f>
        <v/>
      </c>
    </row>
    <row r="620">
      <c r="F620" s="7">
        <f>IF($A620="","",E620*K620/100)</f>
        <v/>
      </c>
      <c r="J620" s="7" t="n"/>
      <c r="K620" s="7" t="n"/>
      <c r="L620" s="7">
        <f>IF($A620="","",S620*K620)</f>
        <v/>
      </c>
      <c r="M620" s="7">
        <f>IF($A620="","",K620-L620)</f>
        <v/>
      </c>
      <c r="N620" s="7">
        <f>IF($A620="","",M620-F620)</f>
        <v/>
      </c>
      <c r="Q620" s="11" t="n"/>
      <c r="S620">
        <f>IF($A620="","",IF(AND(ISNUMBER($R620),NOT(ISLOGICAL($R620)),N($R620)&gt;1),$R620/100*1,IF($V620=1,Settings!$C$6,Settings!$C$7)*1))</f>
        <v/>
      </c>
      <c r="T620">
        <f>IF($A620="","",IF(COUNTIF($A$2:$A620,$A620)=1,1,0))</f>
        <v/>
      </c>
      <c r="U620">
        <f>IF($T620=1,SUMPRODUCT(--($W$2:$W$1001&lt;$W620))+1,"")</f>
        <v/>
      </c>
      <c r="V620">
        <f>IF($A620="","",IF(AND(ISNUMBER($R620),NOT(ISLOGICAL($R620)),N($R620)&gt;1),IF(ABS($R620/100-Settings!$C$6)&lt;=ABS($R620/100-Settings!$C$7),1,0),IF(OR($R620=TRUE(),$R620="TRUE"),1,0)))</f>
        <v/>
      </c>
      <c r="W620">
        <f>IF($T620=1,IFERROR(IF(VALUE($A620)&lt;100000000,VALUE($A620),1000000000),IFERROR(IF(VALUE(MID($A620,2,20))&lt;100000000,VALUE(MID($A620,2,20)),1000000000),1000000000))+ROW()/100000,"")</f>
        <v/>
      </c>
    </row>
    <row r="621">
      <c r="F621" s="7">
        <f>IF($A621="","",E621*K621/100)</f>
        <v/>
      </c>
      <c r="J621" s="7" t="n"/>
      <c r="K621" s="7" t="n"/>
      <c r="L621" s="7">
        <f>IF($A621="","",S621*K621)</f>
        <v/>
      </c>
      <c r="M621" s="7">
        <f>IF($A621="","",K621-L621)</f>
        <v/>
      </c>
      <c r="N621" s="7">
        <f>IF($A621="","",M621-F621)</f>
        <v/>
      </c>
      <c r="Q621" s="11" t="n"/>
      <c r="S621">
        <f>IF($A621="","",IF(AND(ISNUMBER($R621),NOT(ISLOGICAL($R621)),N($R621)&gt;1),$R621/100*1,IF($V621=1,Settings!$C$6,Settings!$C$7)*1))</f>
        <v/>
      </c>
      <c r="T621">
        <f>IF($A621="","",IF(COUNTIF($A$2:$A621,$A621)=1,1,0))</f>
        <v/>
      </c>
      <c r="U621">
        <f>IF($T621=1,SUMPRODUCT(--($W$2:$W$1001&lt;$W621))+1,"")</f>
        <v/>
      </c>
      <c r="V621">
        <f>IF($A621="","",IF(AND(ISNUMBER($R621),NOT(ISLOGICAL($R621)),N($R621)&gt;1),IF(ABS($R621/100-Settings!$C$6)&lt;=ABS($R621/100-Settings!$C$7),1,0),IF(OR($R621=TRUE(),$R621="TRUE"),1,0)))</f>
        <v/>
      </c>
      <c r="W621">
        <f>IF($T621=1,IFERROR(IF(VALUE($A621)&lt;100000000,VALUE($A621),1000000000),IFERROR(IF(VALUE(MID($A621,2,20))&lt;100000000,VALUE(MID($A621,2,20)),1000000000),1000000000))+ROW()/100000,"")</f>
        <v/>
      </c>
    </row>
    <row r="622">
      <c r="F622" s="7">
        <f>IF($A622="","",E622*K622/100)</f>
        <v/>
      </c>
      <c r="J622" s="7" t="n"/>
      <c r="K622" s="7" t="n"/>
      <c r="L622" s="7">
        <f>IF($A622="","",S622*K622)</f>
        <v/>
      </c>
      <c r="M622" s="7">
        <f>IF($A622="","",K622-L622)</f>
        <v/>
      </c>
      <c r="N622" s="7">
        <f>IF($A622="","",M622-F622)</f>
        <v/>
      </c>
      <c r="Q622" s="11" t="n"/>
      <c r="S622">
        <f>IF($A622="","",IF(AND(ISNUMBER($R622),NOT(ISLOGICAL($R622)),N($R622)&gt;1),$R622/100*1,IF($V622=1,Settings!$C$6,Settings!$C$7)*1))</f>
        <v/>
      </c>
      <c r="T622">
        <f>IF($A622="","",IF(COUNTIF($A$2:$A622,$A622)=1,1,0))</f>
        <v/>
      </c>
      <c r="U622">
        <f>IF($T622=1,SUMPRODUCT(--($W$2:$W$1001&lt;$W622))+1,"")</f>
        <v/>
      </c>
      <c r="V622">
        <f>IF($A622="","",IF(AND(ISNUMBER($R622),NOT(ISLOGICAL($R622)),N($R622)&gt;1),IF(ABS($R622/100-Settings!$C$6)&lt;=ABS($R622/100-Settings!$C$7),1,0),IF(OR($R622=TRUE(),$R622="TRUE"),1,0)))</f>
        <v/>
      </c>
      <c r="W622">
        <f>IF($T622=1,IFERROR(IF(VALUE($A622)&lt;100000000,VALUE($A622),1000000000),IFERROR(IF(VALUE(MID($A622,2,20))&lt;100000000,VALUE(MID($A622,2,20)),1000000000),1000000000))+ROW()/100000,"")</f>
        <v/>
      </c>
    </row>
    <row r="623">
      <c r="F623" s="7">
        <f>IF($A623="","",E623*K623/100)</f>
        <v/>
      </c>
      <c r="J623" s="7" t="n"/>
      <c r="K623" s="7" t="n"/>
      <c r="L623" s="7">
        <f>IF($A623="","",S623*K623)</f>
        <v/>
      </c>
      <c r="M623" s="7">
        <f>IF($A623="","",K623-L623)</f>
        <v/>
      </c>
      <c r="N623" s="7">
        <f>IF($A623="","",M623-F623)</f>
        <v/>
      </c>
      <c r="Q623" s="11" t="n"/>
      <c r="S623">
        <f>IF($A623="","",IF(AND(ISNUMBER($R623),NOT(ISLOGICAL($R623)),N($R623)&gt;1),$R623/100*1,IF($V623=1,Settings!$C$6,Settings!$C$7)*1))</f>
        <v/>
      </c>
      <c r="T623">
        <f>IF($A623="","",IF(COUNTIF($A$2:$A623,$A623)=1,1,0))</f>
        <v/>
      </c>
      <c r="U623">
        <f>IF($T623=1,SUMPRODUCT(--($W$2:$W$1001&lt;$W623))+1,"")</f>
        <v/>
      </c>
      <c r="V623">
        <f>IF($A623="","",IF(AND(ISNUMBER($R623),NOT(ISLOGICAL($R623)),N($R623)&gt;1),IF(ABS($R623/100-Settings!$C$6)&lt;=ABS($R623/100-Settings!$C$7),1,0),IF(OR($R623=TRUE(),$R623="TRUE"),1,0)))</f>
        <v/>
      </c>
      <c r="W623">
        <f>IF($T623=1,IFERROR(IF(VALUE($A623)&lt;100000000,VALUE($A623),1000000000),IFERROR(IF(VALUE(MID($A623,2,20))&lt;100000000,VALUE(MID($A623,2,20)),1000000000),1000000000))+ROW()/100000,"")</f>
        <v/>
      </c>
    </row>
    <row r="624">
      <c r="F624" s="7">
        <f>IF($A624="","",E624*K624/100)</f>
        <v/>
      </c>
      <c r="J624" s="7" t="n"/>
      <c r="K624" s="7" t="n"/>
      <c r="L624" s="7">
        <f>IF($A624="","",S624*K624)</f>
        <v/>
      </c>
      <c r="M624" s="7">
        <f>IF($A624="","",K624-L624)</f>
        <v/>
      </c>
      <c r="N624" s="7">
        <f>IF($A624="","",M624-F624)</f>
        <v/>
      </c>
      <c r="Q624" s="11" t="n"/>
      <c r="S624">
        <f>IF($A624="","",IF(AND(ISNUMBER($R624),NOT(ISLOGICAL($R624)),N($R624)&gt;1),$R624/100*1,IF($V624=1,Settings!$C$6,Settings!$C$7)*1))</f>
        <v/>
      </c>
      <c r="T624">
        <f>IF($A624="","",IF(COUNTIF($A$2:$A624,$A624)=1,1,0))</f>
        <v/>
      </c>
      <c r="U624">
        <f>IF($T624=1,SUMPRODUCT(--($W$2:$W$1001&lt;$W624))+1,"")</f>
        <v/>
      </c>
      <c r="V624">
        <f>IF($A624="","",IF(AND(ISNUMBER($R624),NOT(ISLOGICAL($R624)),N($R624)&gt;1),IF(ABS($R624/100-Settings!$C$6)&lt;=ABS($R624/100-Settings!$C$7),1,0),IF(OR($R624=TRUE(),$R624="TRUE"),1,0)))</f>
        <v/>
      </c>
      <c r="W624">
        <f>IF($T624=1,IFERROR(IF(VALUE($A624)&lt;100000000,VALUE($A624),1000000000),IFERROR(IF(VALUE(MID($A624,2,20))&lt;100000000,VALUE(MID($A624,2,20)),1000000000),1000000000))+ROW()/100000,"")</f>
        <v/>
      </c>
    </row>
    <row r="625">
      <c r="F625" s="7">
        <f>IF($A625="","",E625*K625/100)</f>
        <v/>
      </c>
      <c r="J625" s="7" t="n"/>
      <c r="K625" s="7" t="n"/>
      <c r="L625" s="7">
        <f>IF($A625="","",S625*K625)</f>
        <v/>
      </c>
      <c r="M625" s="7">
        <f>IF($A625="","",K625-L625)</f>
        <v/>
      </c>
      <c r="N625" s="7">
        <f>IF($A625="","",M625-F625)</f>
        <v/>
      </c>
      <c r="Q625" s="11" t="n"/>
      <c r="S625">
        <f>IF($A625="","",IF(AND(ISNUMBER($R625),NOT(ISLOGICAL($R625)),N($R625)&gt;1),$R625/100*1,IF($V625=1,Settings!$C$6,Settings!$C$7)*1))</f>
        <v/>
      </c>
      <c r="T625">
        <f>IF($A625="","",IF(COUNTIF($A$2:$A625,$A625)=1,1,0))</f>
        <v/>
      </c>
      <c r="U625">
        <f>IF($T625=1,SUMPRODUCT(--($W$2:$W$1001&lt;$W625))+1,"")</f>
        <v/>
      </c>
      <c r="V625">
        <f>IF($A625="","",IF(AND(ISNUMBER($R625),NOT(ISLOGICAL($R625)),N($R625)&gt;1),IF(ABS($R625/100-Settings!$C$6)&lt;=ABS($R625/100-Settings!$C$7),1,0),IF(OR($R625=TRUE(),$R625="TRUE"),1,0)))</f>
        <v/>
      </c>
      <c r="W625">
        <f>IF($T625=1,IFERROR(IF(VALUE($A625)&lt;100000000,VALUE($A625),1000000000),IFERROR(IF(VALUE(MID($A625,2,20))&lt;100000000,VALUE(MID($A625,2,20)),1000000000),1000000000))+ROW()/100000,"")</f>
        <v/>
      </c>
    </row>
    <row r="626">
      <c r="F626" s="7">
        <f>IF($A626="","",E626*K626/100)</f>
        <v/>
      </c>
      <c r="J626" s="7" t="n"/>
      <c r="K626" s="7" t="n"/>
      <c r="L626" s="7">
        <f>IF($A626="","",S626*K626)</f>
        <v/>
      </c>
      <c r="M626" s="7">
        <f>IF($A626="","",K626-L626)</f>
        <v/>
      </c>
      <c r="N626" s="7">
        <f>IF($A626="","",M626-F626)</f>
        <v/>
      </c>
      <c r="Q626" s="11" t="n"/>
      <c r="S626">
        <f>IF($A626="","",IF(AND(ISNUMBER($R626),NOT(ISLOGICAL($R626)),N($R626)&gt;1),$R626/100*1,IF($V626=1,Settings!$C$6,Settings!$C$7)*1))</f>
        <v/>
      </c>
      <c r="T626">
        <f>IF($A626="","",IF(COUNTIF($A$2:$A626,$A626)=1,1,0))</f>
        <v/>
      </c>
      <c r="U626">
        <f>IF($T626=1,SUMPRODUCT(--($W$2:$W$1001&lt;$W626))+1,"")</f>
        <v/>
      </c>
      <c r="V626">
        <f>IF($A626="","",IF(AND(ISNUMBER($R626),NOT(ISLOGICAL($R626)),N($R626)&gt;1),IF(ABS($R626/100-Settings!$C$6)&lt;=ABS($R626/100-Settings!$C$7),1,0),IF(OR($R626=TRUE(),$R626="TRUE"),1,0)))</f>
        <v/>
      </c>
      <c r="W626">
        <f>IF($T626=1,IFERROR(IF(VALUE($A626)&lt;100000000,VALUE($A626),1000000000),IFERROR(IF(VALUE(MID($A626,2,20))&lt;100000000,VALUE(MID($A626,2,20)),1000000000),1000000000))+ROW()/100000,"")</f>
        <v/>
      </c>
    </row>
    <row r="627">
      <c r="F627" s="7">
        <f>IF($A627="","",E627*K627/100)</f>
        <v/>
      </c>
      <c r="J627" s="7" t="n"/>
      <c r="K627" s="7" t="n"/>
      <c r="L627" s="7">
        <f>IF($A627="","",S627*K627)</f>
        <v/>
      </c>
      <c r="M627" s="7">
        <f>IF($A627="","",K627-L627)</f>
        <v/>
      </c>
      <c r="N627" s="7">
        <f>IF($A627="","",M627-F627)</f>
        <v/>
      </c>
      <c r="Q627" s="11" t="n"/>
      <c r="S627">
        <f>IF($A627="","",IF(AND(ISNUMBER($R627),NOT(ISLOGICAL($R627)),N($R627)&gt;1),$R627/100*1,IF($V627=1,Settings!$C$6,Settings!$C$7)*1))</f>
        <v/>
      </c>
      <c r="T627">
        <f>IF($A627="","",IF(COUNTIF($A$2:$A627,$A627)=1,1,0))</f>
        <v/>
      </c>
      <c r="U627">
        <f>IF($T627=1,SUMPRODUCT(--($W$2:$W$1001&lt;$W627))+1,"")</f>
        <v/>
      </c>
      <c r="V627">
        <f>IF($A627="","",IF(AND(ISNUMBER($R627),NOT(ISLOGICAL($R627)),N($R627)&gt;1),IF(ABS($R627/100-Settings!$C$6)&lt;=ABS($R627/100-Settings!$C$7),1,0),IF(OR($R627=TRUE(),$R627="TRUE"),1,0)))</f>
        <v/>
      </c>
      <c r="W627">
        <f>IF($T627=1,IFERROR(IF(VALUE($A627)&lt;100000000,VALUE($A627),1000000000),IFERROR(IF(VALUE(MID($A627,2,20))&lt;100000000,VALUE(MID($A627,2,20)),1000000000),1000000000))+ROW()/100000,"")</f>
        <v/>
      </c>
    </row>
    <row r="628">
      <c r="F628" s="7">
        <f>IF($A628="","",E628*K628/100)</f>
        <v/>
      </c>
      <c r="J628" s="7" t="n"/>
      <c r="K628" s="7" t="n"/>
      <c r="L628" s="7">
        <f>IF($A628="","",S628*K628)</f>
        <v/>
      </c>
      <c r="M628" s="7">
        <f>IF($A628="","",K628-L628)</f>
        <v/>
      </c>
      <c r="N628" s="7">
        <f>IF($A628="","",M628-F628)</f>
        <v/>
      </c>
      <c r="Q628" s="11" t="n"/>
      <c r="S628">
        <f>IF($A628="","",IF(AND(ISNUMBER($R628),NOT(ISLOGICAL($R628)),N($R628)&gt;1),$R628/100*1,IF($V628=1,Settings!$C$6,Settings!$C$7)*1))</f>
        <v/>
      </c>
      <c r="T628">
        <f>IF($A628="","",IF(COUNTIF($A$2:$A628,$A628)=1,1,0))</f>
        <v/>
      </c>
      <c r="U628">
        <f>IF($T628=1,SUMPRODUCT(--($W$2:$W$1001&lt;$W628))+1,"")</f>
        <v/>
      </c>
      <c r="V628">
        <f>IF($A628="","",IF(AND(ISNUMBER($R628),NOT(ISLOGICAL($R628)),N($R628)&gt;1),IF(ABS($R628/100-Settings!$C$6)&lt;=ABS($R628/100-Settings!$C$7),1,0),IF(OR($R628=TRUE(),$R628="TRUE"),1,0)))</f>
        <v/>
      </c>
      <c r="W628">
        <f>IF($T628=1,IFERROR(IF(VALUE($A628)&lt;100000000,VALUE($A628),1000000000),IFERROR(IF(VALUE(MID($A628,2,20))&lt;100000000,VALUE(MID($A628,2,20)),1000000000),1000000000))+ROW()/100000,"")</f>
        <v/>
      </c>
    </row>
    <row r="629">
      <c r="F629" s="7">
        <f>IF($A629="","",E629*K629/100)</f>
        <v/>
      </c>
      <c r="J629" s="7" t="n"/>
      <c r="K629" s="7" t="n"/>
      <c r="L629" s="7">
        <f>IF($A629="","",S629*K629)</f>
        <v/>
      </c>
      <c r="M629" s="7">
        <f>IF($A629="","",K629-L629)</f>
        <v/>
      </c>
      <c r="N629" s="7">
        <f>IF($A629="","",M629-F629)</f>
        <v/>
      </c>
      <c r="Q629" s="11" t="n"/>
      <c r="S629">
        <f>IF($A629="","",IF(AND(ISNUMBER($R629),NOT(ISLOGICAL($R629)),N($R629)&gt;1),$R629/100*1,IF($V629=1,Settings!$C$6,Settings!$C$7)*1))</f>
        <v/>
      </c>
      <c r="T629">
        <f>IF($A629="","",IF(COUNTIF($A$2:$A629,$A629)=1,1,0))</f>
        <v/>
      </c>
      <c r="U629">
        <f>IF($T629=1,SUMPRODUCT(--($W$2:$W$1001&lt;$W629))+1,"")</f>
        <v/>
      </c>
      <c r="V629">
        <f>IF($A629="","",IF(AND(ISNUMBER($R629),NOT(ISLOGICAL($R629)),N($R629)&gt;1),IF(ABS($R629/100-Settings!$C$6)&lt;=ABS($R629/100-Settings!$C$7),1,0),IF(OR($R629=TRUE(),$R629="TRUE"),1,0)))</f>
        <v/>
      </c>
      <c r="W629">
        <f>IF($T629=1,IFERROR(IF(VALUE($A629)&lt;100000000,VALUE($A629),1000000000),IFERROR(IF(VALUE(MID($A629,2,20))&lt;100000000,VALUE(MID($A629,2,20)),1000000000),1000000000))+ROW()/100000,"")</f>
        <v/>
      </c>
    </row>
    <row r="630">
      <c r="F630" s="7">
        <f>IF($A630="","",E630*K630/100)</f>
        <v/>
      </c>
      <c r="J630" s="7" t="n"/>
      <c r="K630" s="7" t="n"/>
      <c r="L630" s="7">
        <f>IF($A630="","",S630*K630)</f>
        <v/>
      </c>
      <c r="M630" s="7">
        <f>IF($A630="","",K630-L630)</f>
        <v/>
      </c>
      <c r="N630" s="7">
        <f>IF($A630="","",M630-F630)</f>
        <v/>
      </c>
      <c r="Q630" s="11" t="n"/>
      <c r="S630">
        <f>IF($A630="","",IF(AND(ISNUMBER($R630),NOT(ISLOGICAL($R630)),N($R630)&gt;1),$R630/100*1,IF($V630=1,Settings!$C$6,Settings!$C$7)*1))</f>
        <v/>
      </c>
      <c r="T630">
        <f>IF($A630="","",IF(COUNTIF($A$2:$A630,$A630)=1,1,0))</f>
        <v/>
      </c>
      <c r="U630">
        <f>IF($T630=1,SUMPRODUCT(--($W$2:$W$1001&lt;$W630))+1,"")</f>
        <v/>
      </c>
      <c r="V630">
        <f>IF($A630="","",IF(AND(ISNUMBER($R630),NOT(ISLOGICAL($R630)),N($R630)&gt;1),IF(ABS($R630/100-Settings!$C$6)&lt;=ABS($R630/100-Settings!$C$7),1,0),IF(OR($R630=TRUE(),$R630="TRUE"),1,0)))</f>
        <v/>
      </c>
      <c r="W630">
        <f>IF($T630=1,IFERROR(IF(VALUE($A630)&lt;100000000,VALUE($A630),1000000000),IFERROR(IF(VALUE(MID($A630,2,20))&lt;100000000,VALUE(MID($A630,2,20)),1000000000),1000000000))+ROW()/100000,"")</f>
        <v/>
      </c>
    </row>
    <row r="631">
      <c r="F631" s="7">
        <f>IF($A631="","",E631*K631/100)</f>
        <v/>
      </c>
      <c r="J631" s="7" t="n"/>
      <c r="K631" s="7" t="n"/>
      <c r="L631" s="7">
        <f>IF($A631="","",S631*K631)</f>
        <v/>
      </c>
      <c r="M631" s="7">
        <f>IF($A631="","",K631-L631)</f>
        <v/>
      </c>
      <c r="N631" s="7">
        <f>IF($A631="","",M631-F631)</f>
        <v/>
      </c>
      <c r="Q631" s="11" t="n"/>
      <c r="S631">
        <f>IF($A631="","",IF(AND(ISNUMBER($R631),NOT(ISLOGICAL($R631)),N($R631)&gt;1),$R631/100*1,IF($V631=1,Settings!$C$6,Settings!$C$7)*1))</f>
        <v/>
      </c>
      <c r="T631">
        <f>IF($A631="","",IF(COUNTIF($A$2:$A631,$A631)=1,1,0))</f>
        <v/>
      </c>
      <c r="U631">
        <f>IF($T631=1,SUMPRODUCT(--($W$2:$W$1001&lt;$W631))+1,"")</f>
        <v/>
      </c>
      <c r="V631">
        <f>IF($A631="","",IF(AND(ISNUMBER($R631),NOT(ISLOGICAL($R631)),N($R631)&gt;1),IF(ABS($R631/100-Settings!$C$6)&lt;=ABS($R631/100-Settings!$C$7),1,0),IF(OR($R631=TRUE(),$R631="TRUE"),1,0)))</f>
        <v/>
      </c>
      <c r="W631">
        <f>IF($T631=1,IFERROR(IF(VALUE($A631)&lt;100000000,VALUE($A631),1000000000),IFERROR(IF(VALUE(MID($A631,2,20))&lt;100000000,VALUE(MID($A631,2,20)),1000000000),1000000000))+ROW()/100000,"")</f>
        <v/>
      </c>
    </row>
    <row r="632">
      <c r="F632" s="7">
        <f>IF($A632="","",E632*K632/100)</f>
        <v/>
      </c>
      <c r="J632" s="7" t="n"/>
      <c r="K632" s="7" t="n"/>
      <c r="L632" s="7">
        <f>IF($A632="","",S632*K632)</f>
        <v/>
      </c>
      <c r="M632" s="7">
        <f>IF($A632="","",K632-L632)</f>
        <v/>
      </c>
      <c r="N632" s="7">
        <f>IF($A632="","",M632-F632)</f>
        <v/>
      </c>
      <c r="Q632" s="11" t="n"/>
      <c r="S632">
        <f>IF($A632="","",IF(AND(ISNUMBER($R632),NOT(ISLOGICAL($R632)),N($R632)&gt;1),$R632/100*1,IF($V632=1,Settings!$C$6,Settings!$C$7)*1))</f>
        <v/>
      </c>
      <c r="T632">
        <f>IF($A632="","",IF(COUNTIF($A$2:$A632,$A632)=1,1,0))</f>
        <v/>
      </c>
      <c r="U632">
        <f>IF($T632=1,SUMPRODUCT(--($W$2:$W$1001&lt;$W632))+1,"")</f>
        <v/>
      </c>
      <c r="V632">
        <f>IF($A632="","",IF(AND(ISNUMBER($R632),NOT(ISLOGICAL($R632)),N($R632)&gt;1),IF(ABS($R632/100-Settings!$C$6)&lt;=ABS($R632/100-Settings!$C$7),1,0),IF(OR($R632=TRUE(),$R632="TRUE"),1,0)))</f>
        <v/>
      </c>
      <c r="W632">
        <f>IF($T632=1,IFERROR(IF(VALUE($A632)&lt;100000000,VALUE($A632),1000000000),IFERROR(IF(VALUE(MID($A632,2,20))&lt;100000000,VALUE(MID($A632,2,20)),1000000000),1000000000))+ROW()/100000,"")</f>
        <v/>
      </c>
    </row>
    <row r="633">
      <c r="F633" s="7">
        <f>IF($A633="","",E633*K633/100)</f>
        <v/>
      </c>
      <c r="J633" s="7" t="n"/>
      <c r="K633" s="7" t="n"/>
      <c r="L633" s="7">
        <f>IF($A633="","",S633*K633)</f>
        <v/>
      </c>
      <c r="M633" s="7">
        <f>IF($A633="","",K633-L633)</f>
        <v/>
      </c>
      <c r="N633" s="7">
        <f>IF($A633="","",M633-F633)</f>
        <v/>
      </c>
      <c r="Q633" s="11" t="n"/>
      <c r="S633">
        <f>IF($A633="","",IF(AND(ISNUMBER($R633),NOT(ISLOGICAL($R633)),N($R633)&gt;1),$R633/100*1,IF($V633=1,Settings!$C$6,Settings!$C$7)*1))</f>
        <v/>
      </c>
      <c r="T633">
        <f>IF($A633="","",IF(COUNTIF($A$2:$A633,$A633)=1,1,0))</f>
        <v/>
      </c>
      <c r="U633">
        <f>IF($T633=1,SUMPRODUCT(--($W$2:$W$1001&lt;$W633))+1,"")</f>
        <v/>
      </c>
      <c r="V633">
        <f>IF($A633="","",IF(AND(ISNUMBER($R633),NOT(ISLOGICAL($R633)),N($R633)&gt;1),IF(ABS($R633/100-Settings!$C$6)&lt;=ABS($R633/100-Settings!$C$7),1,0),IF(OR($R633=TRUE(),$R633="TRUE"),1,0)))</f>
        <v/>
      </c>
      <c r="W633">
        <f>IF($T633=1,IFERROR(IF(VALUE($A633)&lt;100000000,VALUE($A633),1000000000),IFERROR(IF(VALUE(MID($A633,2,20))&lt;100000000,VALUE(MID($A633,2,20)),1000000000),1000000000))+ROW()/100000,"")</f>
        <v/>
      </c>
    </row>
    <row r="634">
      <c r="F634" s="7">
        <f>IF($A634="","",E634*K634/100)</f>
        <v/>
      </c>
      <c r="J634" s="7" t="n"/>
      <c r="K634" s="7" t="n"/>
      <c r="L634" s="7">
        <f>IF($A634="","",S634*K634)</f>
        <v/>
      </c>
      <c r="M634" s="7">
        <f>IF($A634="","",K634-L634)</f>
        <v/>
      </c>
      <c r="N634" s="7">
        <f>IF($A634="","",M634-F634)</f>
        <v/>
      </c>
      <c r="Q634" s="11" t="n"/>
      <c r="S634">
        <f>IF($A634="","",IF(AND(ISNUMBER($R634),NOT(ISLOGICAL($R634)),N($R634)&gt;1),$R634/100*1,IF($V634=1,Settings!$C$6,Settings!$C$7)*1))</f>
        <v/>
      </c>
      <c r="T634">
        <f>IF($A634="","",IF(COUNTIF($A$2:$A634,$A634)=1,1,0))</f>
        <v/>
      </c>
      <c r="U634">
        <f>IF($T634=1,SUMPRODUCT(--($W$2:$W$1001&lt;$W634))+1,"")</f>
        <v/>
      </c>
      <c r="V634">
        <f>IF($A634="","",IF(AND(ISNUMBER($R634),NOT(ISLOGICAL($R634)),N($R634)&gt;1),IF(ABS($R634/100-Settings!$C$6)&lt;=ABS($R634/100-Settings!$C$7),1,0),IF(OR($R634=TRUE(),$R634="TRUE"),1,0)))</f>
        <v/>
      </c>
      <c r="W634">
        <f>IF($T634=1,IFERROR(IF(VALUE($A634)&lt;100000000,VALUE($A634),1000000000),IFERROR(IF(VALUE(MID($A634,2,20))&lt;100000000,VALUE(MID($A634,2,20)),1000000000),1000000000))+ROW()/100000,"")</f>
        <v/>
      </c>
    </row>
    <row r="635">
      <c r="F635" s="7">
        <f>IF($A635="","",E635*K635/100)</f>
        <v/>
      </c>
      <c r="J635" s="7" t="n"/>
      <c r="K635" s="7" t="n"/>
      <c r="L635" s="7">
        <f>IF($A635="","",S635*K635)</f>
        <v/>
      </c>
      <c r="M635" s="7">
        <f>IF($A635="","",K635-L635)</f>
        <v/>
      </c>
      <c r="N635" s="7">
        <f>IF($A635="","",M635-F635)</f>
        <v/>
      </c>
      <c r="Q635" s="11" t="n"/>
      <c r="S635">
        <f>IF($A635="","",IF(AND(ISNUMBER($R635),NOT(ISLOGICAL($R635)),N($R635)&gt;1),$R635/100*1,IF($V635=1,Settings!$C$6,Settings!$C$7)*1))</f>
        <v/>
      </c>
      <c r="T635">
        <f>IF($A635="","",IF(COUNTIF($A$2:$A635,$A635)=1,1,0))</f>
        <v/>
      </c>
      <c r="U635">
        <f>IF($T635=1,SUMPRODUCT(--($W$2:$W$1001&lt;$W635))+1,"")</f>
        <v/>
      </c>
      <c r="V635">
        <f>IF($A635="","",IF(AND(ISNUMBER($R635),NOT(ISLOGICAL($R635)),N($R635)&gt;1),IF(ABS($R635/100-Settings!$C$6)&lt;=ABS($R635/100-Settings!$C$7),1,0),IF(OR($R635=TRUE(),$R635="TRUE"),1,0)))</f>
        <v/>
      </c>
      <c r="W635">
        <f>IF($T635=1,IFERROR(IF(VALUE($A635)&lt;100000000,VALUE($A635),1000000000),IFERROR(IF(VALUE(MID($A635,2,20))&lt;100000000,VALUE(MID($A635,2,20)),1000000000),1000000000))+ROW()/100000,"")</f>
        <v/>
      </c>
    </row>
    <row r="636">
      <c r="F636" s="7">
        <f>IF($A636="","",E636*K636/100)</f>
        <v/>
      </c>
      <c r="J636" s="7" t="n"/>
      <c r="K636" s="7" t="n"/>
      <c r="L636" s="7">
        <f>IF($A636="","",S636*K636)</f>
        <v/>
      </c>
      <c r="M636" s="7">
        <f>IF($A636="","",K636-L636)</f>
        <v/>
      </c>
      <c r="N636" s="7">
        <f>IF($A636="","",M636-F636)</f>
        <v/>
      </c>
      <c r="Q636" s="11" t="n"/>
      <c r="S636">
        <f>IF($A636="","",IF(AND(ISNUMBER($R636),NOT(ISLOGICAL($R636)),N($R636)&gt;1),$R636/100*1,IF($V636=1,Settings!$C$6,Settings!$C$7)*1))</f>
        <v/>
      </c>
      <c r="T636">
        <f>IF($A636="","",IF(COUNTIF($A$2:$A636,$A636)=1,1,0))</f>
        <v/>
      </c>
      <c r="U636">
        <f>IF($T636=1,SUMPRODUCT(--($W$2:$W$1001&lt;$W636))+1,"")</f>
        <v/>
      </c>
      <c r="V636">
        <f>IF($A636="","",IF(AND(ISNUMBER($R636),NOT(ISLOGICAL($R636)),N($R636)&gt;1),IF(ABS($R636/100-Settings!$C$6)&lt;=ABS($R636/100-Settings!$C$7),1,0),IF(OR($R636=TRUE(),$R636="TRUE"),1,0)))</f>
        <v/>
      </c>
      <c r="W636">
        <f>IF($T636=1,IFERROR(IF(VALUE($A636)&lt;100000000,VALUE($A636),1000000000),IFERROR(IF(VALUE(MID($A636,2,20))&lt;100000000,VALUE(MID($A636,2,20)),1000000000),1000000000))+ROW()/100000,"")</f>
        <v/>
      </c>
    </row>
    <row r="637">
      <c r="F637" s="7">
        <f>IF($A637="","",E637*K637/100)</f>
        <v/>
      </c>
      <c r="J637" s="7" t="n"/>
      <c r="K637" s="7" t="n"/>
      <c r="L637" s="7">
        <f>IF($A637="","",S637*K637)</f>
        <v/>
      </c>
      <c r="M637" s="7">
        <f>IF($A637="","",K637-L637)</f>
        <v/>
      </c>
      <c r="N637" s="7">
        <f>IF($A637="","",M637-F637)</f>
        <v/>
      </c>
      <c r="Q637" s="11" t="n"/>
      <c r="S637">
        <f>IF($A637="","",IF(AND(ISNUMBER($R637),NOT(ISLOGICAL($R637)),N($R637)&gt;1),$R637/100*1,IF($V637=1,Settings!$C$6,Settings!$C$7)*1))</f>
        <v/>
      </c>
      <c r="T637">
        <f>IF($A637="","",IF(COUNTIF($A$2:$A637,$A637)=1,1,0))</f>
        <v/>
      </c>
      <c r="U637">
        <f>IF($T637=1,SUMPRODUCT(--($W$2:$W$1001&lt;$W637))+1,"")</f>
        <v/>
      </c>
      <c r="V637">
        <f>IF($A637="","",IF(AND(ISNUMBER($R637),NOT(ISLOGICAL($R637)),N($R637)&gt;1),IF(ABS($R637/100-Settings!$C$6)&lt;=ABS($R637/100-Settings!$C$7),1,0),IF(OR($R637=TRUE(),$R637="TRUE"),1,0)))</f>
        <v/>
      </c>
      <c r="W637">
        <f>IF($T637=1,IFERROR(IF(VALUE($A637)&lt;100000000,VALUE($A637),1000000000),IFERROR(IF(VALUE(MID($A637,2,20))&lt;100000000,VALUE(MID($A637,2,20)),1000000000),1000000000))+ROW()/100000,"")</f>
        <v/>
      </c>
    </row>
    <row r="638">
      <c r="F638" s="7">
        <f>IF($A638="","",E638*K638/100)</f>
        <v/>
      </c>
      <c r="J638" s="7" t="n"/>
      <c r="K638" s="7" t="n"/>
      <c r="L638" s="7">
        <f>IF($A638="","",S638*K638)</f>
        <v/>
      </c>
      <c r="M638" s="7">
        <f>IF($A638="","",K638-L638)</f>
        <v/>
      </c>
      <c r="N638" s="7">
        <f>IF($A638="","",M638-F638)</f>
        <v/>
      </c>
      <c r="Q638" s="11" t="n"/>
      <c r="S638">
        <f>IF($A638="","",IF(AND(ISNUMBER($R638),NOT(ISLOGICAL($R638)),N($R638)&gt;1),$R638/100*1,IF($V638=1,Settings!$C$6,Settings!$C$7)*1))</f>
        <v/>
      </c>
      <c r="T638">
        <f>IF($A638="","",IF(COUNTIF($A$2:$A638,$A638)=1,1,0))</f>
        <v/>
      </c>
      <c r="U638">
        <f>IF($T638=1,SUMPRODUCT(--($W$2:$W$1001&lt;$W638))+1,"")</f>
        <v/>
      </c>
      <c r="V638">
        <f>IF($A638="","",IF(AND(ISNUMBER($R638),NOT(ISLOGICAL($R638)),N($R638)&gt;1),IF(ABS($R638/100-Settings!$C$6)&lt;=ABS($R638/100-Settings!$C$7),1,0),IF(OR($R638=TRUE(),$R638="TRUE"),1,0)))</f>
        <v/>
      </c>
      <c r="W638">
        <f>IF($T638=1,IFERROR(IF(VALUE($A638)&lt;100000000,VALUE($A638),1000000000),IFERROR(IF(VALUE(MID($A638,2,20))&lt;100000000,VALUE(MID($A638,2,20)),1000000000),1000000000))+ROW()/100000,"")</f>
        <v/>
      </c>
    </row>
    <row r="639">
      <c r="F639" s="7">
        <f>IF($A639="","",E639*K639/100)</f>
        <v/>
      </c>
      <c r="J639" s="7" t="n"/>
      <c r="K639" s="7" t="n"/>
      <c r="L639" s="7">
        <f>IF($A639="","",S639*K639)</f>
        <v/>
      </c>
      <c r="M639" s="7">
        <f>IF($A639="","",K639-L639)</f>
        <v/>
      </c>
      <c r="N639" s="7">
        <f>IF($A639="","",M639-F639)</f>
        <v/>
      </c>
      <c r="Q639" s="11" t="n"/>
      <c r="S639">
        <f>IF($A639="","",IF(AND(ISNUMBER($R639),NOT(ISLOGICAL($R639)),N($R639)&gt;1),$R639/100*1,IF($V639=1,Settings!$C$6,Settings!$C$7)*1))</f>
        <v/>
      </c>
      <c r="T639">
        <f>IF($A639="","",IF(COUNTIF($A$2:$A639,$A639)=1,1,0))</f>
        <v/>
      </c>
      <c r="U639">
        <f>IF($T639=1,SUMPRODUCT(--($W$2:$W$1001&lt;$W639))+1,"")</f>
        <v/>
      </c>
      <c r="V639">
        <f>IF($A639="","",IF(AND(ISNUMBER($R639),NOT(ISLOGICAL($R639)),N($R639)&gt;1),IF(ABS($R639/100-Settings!$C$6)&lt;=ABS($R639/100-Settings!$C$7),1,0),IF(OR($R639=TRUE(),$R639="TRUE"),1,0)))</f>
        <v/>
      </c>
      <c r="W639">
        <f>IF($T639=1,IFERROR(IF(VALUE($A639)&lt;100000000,VALUE($A639),1000000000),IFERROR(IF(VALUE(MID($A639,2,20))&lt;100000000,VALUE(MID($A639,2,20)),1000000000),1000000000))+ROW()/100000,"")</f>
        <v/>
      </c>
    </row>
    <row r="640">
      <c r="F640" s="7">
        <f>IF($A640="","",E640*K640/100)</f>
        <v/>
      </c>
      <c r="J640" s="7" t="n"/>
      <c r="K640" s="7" t="n"/>
      <c r="L640" s="7">
        <f>IF($A640="","",S640*K640)</f>
        <v/>
      </c>
      <c r="M640" s="7">
        <f>IF($A640="","",K640-L640)</f>
        <v/>
      </c>
      <c r="N640" s="7">
        <f>IF($A640="","",M640-F640)</f>
        <v/>
      </c>
      <c r="Q640" s="11" t="n"/>
      <c r="S640">
        <f>IF($A640="","",IF(AND(ISNUMBER($R640),NOT(ISLOGICAL($R640)),N($R640)&gt;1),$R640/100*1,IF($V640=1,Settings!$C$6,Settings!$C$7)*1))</f>
        <v/>
      </c>
      <c r="T640">
        <f>IF($A640="","",IF(COUNTIF($A$2:$A640,$A640)=1,1,0))</f>
        <v/>
      </c>
      <c r="U640">
        <f>IF($T640=1,SUMPRODUCT(--($W$2:$W$1001&lt;$W640))+1,"")</f>
        <v/>
      </c>
      <c r="V640">
        <f>IF($A640="","",IF(AND(ISNUMBER($R640),NOT(ISLOGICAL($R640)),N($R640)&gt;1),IF(ABS($R640/100-Settings!$C$6)&lt;=ABS($R640/100-Settings!$C$7),1,0),IF(OR($R640=TRUE(),$R640="TRUE"),1,0)))</f>
        <v/>
      </c>
      <c r="W640">
        <f>IF($T640=1,IFERROR(IF(VALUE($A640)&lt;100000000,VALUE($A640),1000000000),IFERROR(IF(VALUE(MID($A640,2,20))&lt;100000000,VALUE(MID($A640,2,20)),1000000000),1000000000))+ROW()/100000,"")</f>
        <v/>
      </c>
    </row>
    <row r="641">
      <c r="F641" s="7">
        <f>IF($A641="","",E641*K641/100)</f>
        <v/>
      </c>
      <c r="J641" s="7" t="n"/>
      <c r="K641" s="7" t="n"/>
      <c r="L641" s="7">
        <f>IF($A641="","",S641*K641)</f>
        <v/>
      </c>
      <c r="M641" s="7">
        <f>IF($A641="","",K641-L641)</f>
        <v/>
      </c>
      <c r="N641" s="7">
        <f>IF($A641="","",M641-F641)</f>
        <v/>
      </c>
      <c r="Q641" s="11" t="n"/>
      <c r="S641">
        <f>IF($A641="","",IF(AND(ISNUMBER($R641),NOT(ISLOGICAL($R641)),N($R641)&gt;1),$R641/100*1,IF($V641=1,Settings!$C$6,Settings!$C$7)*1))</f>
        <v/>
      </c>
      <c r="T641">
        <f>IF($A641="","",IF(COUNTIF($A$2:$A641,$A641)=1,1,0))</f>
        <v/>
      </c>
      <c r="U641">
        <f>IF($T641=1,SUMPRODUCT(--($W$2:$W$1001&lt;$W641))+1,"")</f>
        <v/>
      </c>
      <c r="V641">
        <f>IF($A641="","",IF(AND(ISNUMBER($R641),NOT(ISLOGICAL($R641)),N($R641)&gt;1),IF(ABS($R641/100-Settings!$C$6)&lt;=ABS($R641/100-Settings!$C$7),1,0),IF(OR($R641=TRUE(),$R641="TRUE"),1,0)))</f>
        <v/>
      </c>
      <c r="W641">
        <f>IF($T641=1,IFERROR(IF(VALUE($A641)&lt;100000000,VALUE($A641),1000000000),IFERROR(IF(VALUE(MID($A641,2,20))&lt;100000000,VALUE(MID($A641,2,20)),1000000000),1000000000))+ROW()/100000,"")</f>
        <v/>
      </c>
    </row>
    <row r="642">
      <c r="F642" s="7">
        <f>IF($A642="","",E642*K642/100)</f>
        <v/>
      </c>
      <c r="J642" s="7" t="n"/>
      <c r="K642" s="7" t="n"/>
      <c r="L642" s="7">
        <f>IF($A642="","",S642*K642)</f>
        <v/>
      </c>
      <c r="M642" s="7">
        <f>IF($A642="","",K642-L642)</f>
        <v/>
      </c>
      <c r="N642" s="7">
        <f>IF($A642="","",M642-F642)</f>
        <v/>
      </c>
      <c r="Q642" s="11" t="n"/>
      <c r="S642">
        <f>IF($A642="","",IF(AND(ISNUMBER($R642),NOT(ISLOGICAL($R642)),N($R642)&gt;1),$R642/100*1,IF($V642=1,Settings!$C$6,Settings!$C$7)*1))</f>
        <v/>
      </c>
      <c r="T642">
        <f>IF($A642="","",IF(COUNTIF($A$2:$A642,$A642)=1,1,0))</f>
        <v/>
      </c>
      <c r="U642">
        <f>IF($T642=1,SUMPRODUCT(--($W$2:$W$1001&lt;$W642))+1,"")</f>
        <v/>
      </c>
      <c r="V642">
        <f>IF($A642="","",IF(AND(ISNUMBER($R642),NOT(ISLOGICAL($R642)),N($R642)&gt;1),IF(ABS($R642/100-Settings!$C$6)&lt;=ABS($R642/100-Settings!$C$7),1,0),IF(OR($R642=TRUE(),$R642="TRUE"),1,0)))</f>
        <v/>
      </c>
      <c r="W642">
        <f>IF($T642=1,IFERROR(IF(VALUE($A642)&lt;100000000,VALUE($A642),1000000000),IFERROR(IF(VALUE(MID($A642,2,20))&lt;100000000,VALUE(MID($A642,2,20)),1000000000),1000000000))+ROW()/100000,"")</f>
        <v/>
      </c>
    </row>
    <row r="643">
      <c r="F643" s="7">
        <f>IF($A643="","",E643*K643/100)</f>
        <v/>
      </c>
      <c r="J643" s="7" t="n"/>
      <c r="K643" s="7" t="n"/>
      <c r="L643" s="7">
        <f>IF($A643="","",S643*K643)</f>
        <v/>
      </c>
      <c r="M643" s="7">
        <f>IF($A643="","",K643-L643)</f>
        <v/>
      </c>
      <c r="N643" s="7">
        <f>IF($A643="","",M643-F643)</f>
        <v/>
      </c>
      <c r="Q643" s="11" t="n"/>
      <c r="S643">
        <f>IF($A643="","",IF(AND(ISNUMBER($R643),NOT(ISLOGICAL($R643)),N($R643)&gt;1),$R643/100*1,IF($V643=1,Settings!$C$6,Settings!$C$7)*1))</f>
        <v/>
      </c>
      <c r="T643">
        <f>IF($A643="","",IF(COUNTIF($A$2:$A643,$A643)=1,1,0))</f>
        <v/>
      </c>
      <c r="U643">
        <f>IF($T643=1,SUMPRODUCT(--($W$2:$W$1001&lt;$W643))+1,"")</f>
        <v/>
      </c>
      <c r="V643">
        <f>IF($A643="","",IF(AND(ISNUMBER($R643),NOT(ISLOGICAL($R643)),N($R643)&gt;1),IF(ABS($R643/100-Settings!$C$6)&lt;=ABS($R643/100-Settings!$C$7),1,0),IF(OR($R643=TRUE(),$R643="TRUE"),1,0)))</f>
        <v/>
      </c>
      <c r="W643">
        <f>IF($T643=1,IFERROR(IF(VALUE($A643)&lt;100000000,VALUE($A643),1000000000),IFERROR(IF(VALUE(MID($A643,2,20))&lt;100000000,VALUE(MID($A643,2,20)),1000000000),1000000000))+ROW()/100000,"")</f>
        <v/>
      </c>
    </row>
    <row r="644">
      <c r="F644" s="7">
        <f>IF($A644="","",E644*K644/100)</f>
        <v/>
      </c>
      <c r="J644" s="7" t="n"/>
      <c r="K644" s="7" t="n"/>
      <c r="L644" s="7">
        <f>IF($A644="","",S644*K644)</f>
        <v/>
      </c>
      <c r="M644" s="7">
        <f>IF($A644="","",K644-L644)</f>
        <v/>
      </c>
      <c r="N644" s="7">
        <f>IF($A644="","",M644-F644)</f>
        <v/>
      </c>
      <c r="Q644" s="11" t="n"/>
      <c r="S644">
        <f>IF($A644="","",IF(AND(ISNUMBER($R644),NOT(ISLOGICAL($R644)),N($R644)&gt;1),$R644/100*1,IF($V644=1,Settings!$C$6,Settings!$C$7)*1))</f>
        <v/>
      </c>
      <c r="T644">
        <f>IF($A644="","",IF(COUNTIF($A$2:$A644,$A644)=1,1,0))</f>
        <v/>
      </c>
      <c r="U644">
        <f>IF($T644=1,SUMPRODUCT(--($W$2:$W$1001&lt;$W644))+1,"")</f>
        <v/>
      </c>
      <c r="V644">
        <f>IF($A644="","",IF(AND(ISNUMBER($R644),NOT(ISLOGICAL($R644)),N($R644)&gt;1),IF(ABS($R644/100-Settings!$C$6)&lt;=ABS($R644/100-Settings!$C$7),1,0),IF(OR($R644=TRUE(),$R644="TRUE"),1,0)))</f>
        <v/>
      </c>
      <c r="W644">
        <f>IF($T644=1,IFERROR(IF(VALUE($A644)&lt;100000000,VALUE($A644),1000000000),IFERROR(IF(VALUE(MID($A644,2,20))&lt;100000000,VALUE(MID($A644,2,20)),1000000000),1000000000))+ROW()/100000,"")</f>
        <v/>
      </c>
    </row>
    <row r="645">
      <c r="F645" s="7">
        <f>IF($A645="","",E645*K645/100)</f>
        <v/>
      </c>
      <c r="J645" s="7" t="n"/>
      <c r="K645" s="7" t="n"/>
      <c r="L645" s="7">
        <f>IF($A645="","",S645*K645)</f>
        <v/>
      </c>
      <c r="M645" s="7">
        <f>IF($A645="","",K645-L645)</f>
        <v/>
      </c>
      <c r="N645" s="7">
        <f>IF($A645="","",M645-F645)</f>
        <v/>
      </c>
      <c r="Q645" s="11" t="n"/>
      <c r="S645">
        <f>IF($A645="","",IF(AND(ISNUMBER($R645),NOT(ISLOGICAL($R645)),N($R645)&gt;1),$R645/100*1,IF($V645=1,Settings!$C$6,Settings!$C$7)*1))</f>
        <v/>
      </c>
      <c r="T645">
        <f>IF($A645="","",IF(COUNTIF($A$2:$A645,$A645)=1,1,0))</f>
        <v/>
      </c>
      <c r="U645">
        <f>IF($T645=1,SUMPRODUCT(--($W$2:$W$1001&lt;$W645))+1,"")</f>
        <v/>
      </c>
      <c r="V645">
        <f>IF($A645="","",IF(AND(ISNUMBER($R645),NOT(ISLOGICAL($R645)),N($R645)&gt;1),IF(ABS($R645/100-Settings!$C$6)&lt;=ABS($R645/100-Settings!$C$7),1,0),IF(OR($R645=TRUE(),$R645="TRUE"),1,0)))</f>
        <v/>
      </c>
      <c r="W645">
        <f>IF($T645=1,IFERROR(IF(VALUE($A645)&lt;100000000,VALUE($A645),1000000000),IFERROR(IF(VALUE(MID($A645,2,20))&lt;100000000,VALUE(MID($A645,2,20)),1000000000),1000000000))+ROW()/100000,"")</f>
        <v/>
      </c>
    </row>
    <row r="646">
      <c r="F646" s="7">
        <f>IF($A646="","",E646*K646/100)</f>
        <v/>
      </c>
      <c r="J646" s="7" t="n"/>
      <c r="K646" s="7" t="n"/>
      <c r="L646" s="7">
        <f>IF($A646="","",S646*K646)</f>
        <v/>
      </c>
      <c r="M646" s="7">
        <f>IF($A646="","",K646-L646)</f>
        <v/>
      </c>
      <c r="N646" s="7">
        <f>IF($A646="","",M646-F646)</f>
        <v/>
      </c>
      <c r="Q646" s="11" t="n"/>
      <c r="S646">
        <f>IF($A646="","",IF(AND(ISNUMBER($R646),NOT(ISLOGICAL($R646)),N($R646)&gt;1),$R646/100*1,IF($V646=1,Settings!$C$6,Settings!$C$7)*1))</f>
        <v/>
      </c>
      <c r="T646">
        <f>IF($A646="","",IF(COUNTIF($A$2:$A646,$A646)=1,1,0))</f>
        <v/>
      </c>
      <c r="U646">
        <f>IF($T646=1,SUMPRODUCT(--($W$2:$W$1001&lt;$W646))+1,"")</f>
        <v/>
      </c>
      <c r="V646">
        <f>IF($A646="","",IF(AND(ISNUMBER($R646),NOT(ISLOGICAL($R646)),N($R646)&gt;1),IF(ABS($R646/100-Settings!$C$6)&lt;=ABS($R646/100-Settings!$C$7),1,0),IF(OR($R646=TRUE(),$R646="TRUE"),1,0)))</f>
        <v/>
      </c>
      <c r="W646">
        <f>IF($T646=1,IFERROR(IF(VALUE($A646)&lt;100000000,VALUE($A646),1000000000),IFERROR(IF(VALUE(MID($A646,2,20))&lt;100000000,VALUE(MID($A646,2,20)),1000000000),1000000000))+ROW()/100000,"")</f>
        <v/>
      </c>
    </row>
    <row r="647">
      <c r="F647" s="7">
        <f>IF($A647="","",E647*K647/100)</f>
        <v/>
      </c>
      <c r="J647" s="7" t="n"/>
      <c r="K647" s="7" t="n"/>
      <c r="L647" s="7">
        <f>IF($A647="","",S647*K647)</f>
        <v/>
      </c>
      <c r="M647" s="7">
        <f>IF($A647="","",K647-L647)</f>
        <v/>
      </c>
      <c r="N647" s="7">
        <f>IF($A647="","",M647-F647)</f>
        <v/>
      </c>
      <c r="Q647" s="11" t="n"/>
      <c r="S647">
        <f>IF($A647="","",IF(AND(ISNUMBER($R647),NOT(ISLOGICAL($R647)),N($R647)&gt;1),$R647/100*1,IF($V647=1,Settings!$C$6,Settings!$C$7)*1))</f>
        <v/>
      </c>
      <c r="T647">
        <f>IF($A647="","",IF(COUNTIF($A$2:$A647,$A647)=1,1,0))</f>
        <v/>
      </c>
      <c r="U647">
        <f>IF($T647=1,SUMPRODUCT(--($W$2:$W$1001&lt;$W647))+1,"")</f>
        <v/>
      </c>
      <c r="V647">
        <f>IF($A647="","",IF(AND(ISNUMBER($R647),NOT(ISLOGICAL($R647)),N($R647)&gt;1),IF(ABS($R647/100-Settings!$C$6)&lt;=ABS($R647/100-Settings!$C$7),1,0),IF(OR($R647=TRUE(),$R647="TRUE"),1,0)))</f>
        <v/>
      </c>
      <c r="W647">
        <f>IF($T647=1,IFERROR(IF(VALUE($A647)&lt;100000000,VALUE($A647),1000000000),IFERROR(IF(VALUE(MID($A647,2,20))&lt;100000000,VALUE(MID($A647,2,20)),1000000000),1000000000))+ROW()/100000,"")</f>
        <v/>
      </c>
    </row>
    <row r="648">
      <c r="F648" s="7">
        <f>IF($A648="","",E648*K648/100)</f>
        <v/>
      </c>
      <c r="J648" s="7" t="n"/>
      <c r="K648" s="7" t="n"/>
      <c r="L648" s="7">
        <f>IF($A648="","",S648*K648)</f>
        <v/>
      </c>
      <c r="M648" s="7">
        <f>IF($A648="","",K648-L648)</f>
        <v/>
      </c>
      <c r="N648" s="7">
        <f>IF($A648="","",M648-F648)</f>
        <v/>
      </c>
      <c r="Q648" s="11" t="n"/>
      <c r="S648">
        <f>IF($A648="","",IF(AND(ISNUMBER($R648),NOT(ISLOGICAL($R648)),N($R648)&gt;1),$R648/100*1,IF($V648=1,Settings!$C$6,Settings!$C$7)*1))</f>
        <v/>
      </c>
      <c r="T648">
        <f>IF($A648="","",IF(COUNTIF($A$2:$A648,$A648)=1,1,0))</f>
        <v/>
      </c>
      <c r="U648">
        <f>IF($T648=1,SUMPRODUCT(--($W$2:$W$1001&lt;$W648))+1,"")</f>
        <v/>
      </c>
      <c r="V648">
        <f>IF($A648="","",IF(AND(ISNUMBER($R648),NOT(ISLOGICAL($R648)),N($R648)&gt;1),IF(ABS($R648/100-Settings!$C$6)&lt;=ABS($R648/100-Settings!$C$7),1,0),IF(OR($R648=TRUE(),$R648="TRUE"),1,0)))</f>
        <v/>
      </c>
      <c r="W648">
        <f>IF($T648=1,IFERROR(IF(VALUE($A648)&lt;100000000,VALUE($A648),1000000000),IFERROR(IF(VALUE(MID($A648,2,20))&lt;100000000,VALUE(MID($A648,2,20)),1000000000),1000000000))+ROW()/100000,"")</f>
        <v/>
      </c>
    </row>
    <row r="649">
      <c r="F649" s="7">
        <f>IF($A649="","",E649*K649/100)</f>
        <v/>
      </c>
      <c r="J649" s="7" t="n"/>
      <c r="K649" s="7" t="n"/>
      <c r="L649" s="7">
        <f>IF($A649="","",S649*K649)</f>
        <v/>
      </c>
      <c r="M649" s="7">
        <f>IF($A649="","",K649-L649)</f>
        <v/>
      </c>
      <c r="N649" s="7">
        <f>IF($A649="","",M649-F649)</f>
        <v/>
      </c>
      <c r="Q649" s="11" t="n"/>
      <c r="S649">
        <f>IF($A649="","",IF(AND(ISNUMBER($R649),NOT(ISLOGICAL($R649)),N($R649)&gt;1),$R649/100*1,IF($V649=1,Settings!$C$6,Settings!$C$7)*1))</f>
        <v/>
      </c>
      <c r="T649">
        <f>IF($A649="","",IF(COUNTIF($A$2:$A649,$A649)=1,1,0))</f>
        <v/>
      </c>
      <c r="U649">
        <f>IF($T649=1,SUMPRODUCT(--($W$2:$W$1001&lt;$W649))+1,"")</f>
        <v/>
      </c>
      <c r="V649">
        <f>IF($A649="","",IF(AND(ISNUMBER($R649),NOT(ISLOGICAL($R649)),N($R649)&gt;1),IF(ABS($R649/100-Settings!$C$6)&lt;=ABS($R649/100-Settings!$C$7),1,0),IF(OR($R649=TRUE(),$R649="TRUE"),1,0)))</f>
        <v/>
      </c>
      <c r="W649">
        <f>IF($T649=1,IFERROR(IF(VALUE($A649)&lt;100000000,VALUE($A649),1000000000),IFERROR(IF(VALUE(MID($A649,2,20))&lt;100000000,VALUE(MID($A649,2,20)),1000000000),1000000000))+ROW()/100000,"")</f>
        <v/>
      </c>
    </row>
    <row r="650">
      <c r="F650" s="7">
        <f>IF($A650="","",E650*K650/100)</f>
        <v/>
      </c>
      <c r="J650" s="7" t="n"/>
      <c r="K650" s="7" t="n"/>
      <c r="L650" s="7">
        <f>IF($A650="","",S650*K650)</f>
        <v/>
      </c>
      <c r="M650" s="7">
        <f>IF($A650="","",K650-L650)</f>
        <v/>
      </c>
      <c r="N650" s="7">
        <f>IF($A650="","",M650-F650)</f>
        <v/>
      </c>
      <c r="Q650" s="11" t="n"/>
      <c r="S650">
        <f>IF($A650="","",IF(AND(ISNUMBER($R650),NOT(ISLOGICAL($R650)),N($R650)&gt;1),$R650/100*1,IF($V650=1,Settings!$C$6,Settings!$C$7)*1))</f>
        <v/>
      </c>
      <c r="T650">
        <f>IF($A650="","",IF(COUNTIF($A$2:$A650,$A650)=1,1,0))</f>
        <v/>
      </c>
      <c r="U650">
        <f>IF($T650=1,SUMPRODUCT(--($W$2:$W$1001&lt;$W650))+1,"")</f>
        <v/>
      </c>
      <c r="V650">
        <f>IF($A650="","",IF(AND(ISNUMBER($R650),NOT(ISLOGICAL($R650)),N($R650)&gt;1),IF(ABS($R650/100-Settings!$C$6)&lt;=ABS($R650/100-Settings!$C$7),1,0),IF(OR($R650=TRUE(),$R650="TRUE"),1,0)))</f>
        <v/>
      </c>
      <c r="W650">
        <f>IF($T650=1,IFERROR(IF(VALUE($A650)&lt;100000000,VALUE($A650),1000000000),IFERROR(IF(VALUE(MID($A650,2,20))&lt;100000000,VALUE(MID($A650,2,20)),1000000000),1000000000))+ROW()/100000,"")</f>
        <v/>
      </c>
    </row>
    <row r="651">
      <c r="F651" s="7">
        <f>IF($A651="","",E651*K651/100)</f>
        <v/>
      </c>
      <c r="J651" s="7" t="n"/>
      <c r="K651" s="7" t="n"/>
      <c r="L651" s="7">
        <f>IF($A651="","",S651*K651)</f>
        <v/>
      </c>
      <c r="M651" s="7">
        <f>IF($A651="","",K651-L651)</f>
        <v/>
      </c>
      <c r="N651" s="7">
        <f>IF($A651="","",M651-F651)</f>
        <v/>
      </c>
      <c r="Q651" s="11" t="n"/>
      <c r="S651">
        <f>IF($A651="","",IF(AND(ISNUMBER($R651),NOT(ISLOGICAL($R651)),N($R651)&gt;1),$R651/100*1,IF($V651=1,Settings!$C$6,Settings!$C$7)*1))</f>
        <v/>
      </c>
      <c r="T651">
        <f>IF($A651="","",IF(COUNTIF($A$2:$A651,$A651)=1,1,0))</f>
        <v/>
      </c>
      <c r="U651">
        <f>IF($T651=1,SUMPRODUCT(--($W$2:$W$1001&lt;$W651))+1,"")</f>
        <v/>
      </c>
      <c r="V651">
        <f>IF($A651="","",IF(AND(ISNUMBER($R651),NOT(ISLOGICAL($R651)),N($R651)&gt;1),IF(ABS($R651/100-Settings!$C$6)&lt;=ABS($R651/100-Settings!$C$7),1,0),IF(OR($R651=TRUE(),$R651="TRUE"),1,0)))</f>
        <v/>
      </c>
      <c r="W651">
        <f>IF($T651=1,IFERROR(IF(VALUE($A651)&lt;100000000,VALUE($A651),1000000000),IFERROR(IF(VALUE(MID($A651,2,20))&lt;100000000,VALUE(MID($A651,2,20)),1000000000),1000000000))+ROW()/100000,"")</f>
        <v/>
      </c>
    </row>
    <row r="652">
      <c r="F652" s="7">
        <f>IF($A652="","",E652*K652/100)</f>
        <v/>
      </c>
      <c r="J652" s="7" t="n"/>
      <c r="K652" s="7" t="n"/>
      <c r="L652" s="7">
        <f>IF($A652="","",S652*K652)</f>
        <v/>
      </c>
      <c r="M652" s="7">
        <f>IF($A652="","",K652-L652)</f>
        <v/>
      </c>
      <c r="N652" s="7">
        <f>IF($A652="","",M652-F652)</f>
        <v/>
      </c>
      <c r="Q652" s="11" t="n"/>
      <c r="S652">
        <f>IF($A652="","",IF(AND(ISNUMBER($R652),NOT(ISLOGICAL($R652)),N($R652)&gt;1),$R652/100*1,IF($V652=1,Settings!$C$6,Settings!$C$7)*1))</f>
        <v/>
      </c>
      <c r="T652">
        <f>IF($A652="","",IF(COUNTIF($A$2:$A652,$A652)=1,1,0))</f>
        <v/>
      </c>
      <c r="U652">
        <f>IF($T652=1,SUMPRODUCT(--($W$2:$W$1001&lt;$W652))+1,"")</f>
        <v/>
      </c>
      <c r="V652">
        <f>IF($A652="","",IF(AND(ISNUMBER($R652),NOT(ISLOGICAL($R652)),N($R652)&gt;1),IF(ABS($R652/100-Settings!$C$6)&lt;=ABS($R652/100-Settings!$C$7),1,0),IF(OR($R652=TRUE(),$R652="TRUE"),1,0)))</f>
        <v/>
      </c>
      <c r="W652">
        <f>IF($T652=1,IFERROR(IF(VALUE($A652)&lt;100000000,VALUE($A652),1000000000),IFERROR(IF(VALUE(MID($A652,2,20))&lt;100000000,VALUE(MID($A652,2,20)),1000000000),1000000000))+ROW()/100000,"")</f>
        <v/>
      </c>
    </row>
    <row r="653">
      <c r="F653" s="7">
        <f>IF($A653="","",E653*K653/100)</f>
        <v/>
      </c>
      <c r="J653" s="7" t="n"/>
      <c r="K653" s="7" t="n"/>
      <c r="L653" s="7">
        <f>IF($A653="","",S653*K653)</f>
        <v/>
      </c>
      <c r="M653" s="7">
        <f>IF($A653="","",K653-L653)</f>
        <v/>
      </c>
      <c r="N653" s="7">
        <f>IF($A653="","",M653-F653)</f>
        <v/>
      </c>
      <c r="Q653" s="11" t="n"/>
      <c r="S653">
        <f>IF($A653="","",IF(AND(ISNUMBER($R653),NOT(ISLOGICAL($R653)),N($R653)&gt;1),$R653/100*1,IF($V653=1,Settings!$C$6,Settings!$C$7)*1))</f>
        <v/>
      </c>
      <c r="T653">
        <f>IF($A653="","",IF(COUNTIF($A$2:$A653,$A653)=1,1,0))</f>
        <v/>
      </c>
      <c r="U653">
        <f>IF($T653=1,SUMPRODUCT(--($W$2:$W$1001&lt;$W653))+1,"")</f>
        <v/>
      </c>
      <c r="V653">
        <f>IF($A653="","",IF(AND(ISNUMBER($R653),NOT(ISLOGICAL($R653)),N($R653)&gt;1),IF(ABS($R653/100-Settings!$C$6)&lt;=ABS($R653/100-Settings!$C$7),1,0),IF(OR($R653=TRUE(),$R653="TRUE"),1,0)))</f>
        <v/>
      </c>
      <c r="W653">
        <f>IF($T653=1,IFERROR(IF(VALUE($A653)&lt;100000000,VALUE($A653),1000000000),IFERROR(IF(VALUE(MID($A653,2,20))&lt;100000000,VALUE(MID($A653,2,20)),1000000000),1000000000))+ROW()/100000,"")</f>
        <v/>
      </c>
    </row>
    <row r="654">
      <c r="F654" s="7">
        <f>IF($A654="","",E654*K654/100)</f>
        <v/>
      </c>
      <c r="J654" s="7" t="n"/>
      <c r="K654" s="7" t="n"/>
      <c r="L654" s="7">
        <f>IF($A654="","",S654*K654)</f>
        <v/>
      </c>
      <c r="M654" s="7">
        <f>IF($A654="","",K654-L654)</f>
        <v/>
      </c>
      <c r="N654" s="7">
        <f>IF($A654="","",M654-F654)</f>
        <v/>
      </c>
      <c r="Q654" s="11" t="n"/>
      <c r="S654">
        <f>IF($A654="","",IF(AND(ISNUMBER($R654),NOT(ISLOGICAL($R654)),N($R654)&gt;1),$R654/100*1,IF($V654=1,Settings!$C$6,Settings!$C$7)*1))</f>
        <v/>
      </c>
      <c r="T654">
        <f>IF($A654="","",IF(COUNTIF($A$2:$A654,$A654)=1,1,0))</f>
        <v/>
      </c>
      <c r="U654">
        <f>IF($T654=1,SUMPRODUCT(--($W$2:$W$1001&lt;$W654))+1,"")</f>
        <v/>
      </c>
      <c r="V654">
        <f>IF($A654="","",IF(AND(ISNUMBER($R654),NOT(ISLOGICAL($R654)),N($R654)&gt;1),IF(ABS($R654/100-Settings!$C$6)&lt;=ABS($R654/100-Settings!$C$7),1,0),IF(OR($R654=TRUE(),$R654="TRUE"),1,0)))</f>
        <v/>
      </c>
      <c r="W654">
        <f>IF($T654=1,IFERROR(IF(VALUE($A654)&lt;100000000,VALUE($A654),1000000000),IFERROR(IF(VALUE(MID($A654,2,20))&lt;100000000,VALUE(MID($A654,2,20)),1000000000),1000000000))+ROW()/100000,"")</f>
        <v/>
      </c>
    </row>
    <row r="655">
      <c r="F655" s="7">
        <f>IF($A655="","",E655*K655/100)</f>
        <v/>
      </c>
      <c r="J655" s="7" t="n"/>
      <c r="K655" s="7" t="n"/>
      <c r="L655" s="7">
        <f>IF($A655="","",S655*K655)</f>
        <v/>
      </c>
      <c r="M655" s="7">
        <f>IF($A655="","",K655-L655)</f>
        <v/>
      </c>
      <c r="N655" s="7">
        <f>IF($A655="","",M655-F655)</f>
        <v/>
      </c>
      <c r="Q655" s="11" t="n"/>
      <c r="S655">
        <f>IF($A655="","",IF(AND(ISNUMBER($R655),NOT(ISLOGICAL($R655)),N($R655)&gt;1),$R655/100*1,IF($V655=1,Settings!$C$6,Settings!$C$7)*1))</f>
        <v/>
      </c>
      <c r="T655">
        <f>IF($A655="","",IF(COUNTIF($A$2:$A655,$A655)=1,1,0))</f>
        <v/>
      </c>
      <c r="U655">
        <f>IF($T655=1,SUMPRODUCT(--($W$2:$W$1001&lt;$W655))+1,"")</f>
        <v/>
      </c>
      <c r="V655">
        <f>IF($A655="","",IF(AND(ISNUMBER($R655),NOT(ISLOGICAL($R655)),N($R655)&gt;1),IF(ABS($R655/100-Settings!$C$6)&lt;=ABS($R655/100-Settings!$C$7),1,0),IF(OR($R655=TRUE(),$R655="TRUE"),1,0)))</f>
        <v/>
      </c>
      <c r="W655">
        <f>IF($T655=1,IFERROR(IF(VALUE($A655)&lt;100000000,VALUE($A655),1000000000),IFERROR(IF(VALUE(MID($A655,2,20))&lt;100000000,VALUE(MID($A655,2,20)),1000000000),1000000000))+ROW()/100000,"")</f>
        <v/>
      </c>
    </row>
    <row r="656">
      <c r="F656" s="7">
        <f>IF($A656="","",E656*K656/100)</f>
        <v/>
      </c>
      <c r="J656" s="7" t="n"/>
      <c r="K656" s="7" t="n"/>
      <c r="L656" s="7">
        <f>IF($A656="","",S656*K656)</f>
        <v/>
      </c>
      <c r="M656" s="7">
        <f>IF($A656="","",K656-L656)</f>
        <v/>
      </c>
      <c r="N656" s="7">
        <f>IF($A656="","",M656-F656)</f>
        <v/>
      </c>
      <c r="Q656" s="11" t="n"/>
      <c r="S656">
        <f>IF($A656="","",IF(AND(ISNUMBER($R656),NOT(ISLOGICAL($R656)),N($R656)&gt;1),$R656/100*1,IF($V656=1,Settings!$C$6,Settings!$C$7)*1))</f>
        <v/>
      </c>
      <c r="T656">
        <f>IF($A656="","",IF(COUNTIF($A$2:$A656,$A656)=1,1,0))</f>
        <v/>
      </c>
      <c r="U656">
        <f>IF($T656=1,SUMPRODUCT(--($W$2:$W$1001&lt;$W656))+1,"")</f>
        <v/>
      </c>
      <c r="V656">
        <f>IF($A656="","",IF(AND(ISNUMBER($R656),NOT(ISLOGICAL($R656)),N($R656)&gt;1),IF(ABS($R656/100-Settings!$C$6)&lt;=ABS($R656/100-Settings!$C$7),1,0),IF(OR($R656=TRUE(),$R656="TRUE"),1,0)))</f>
        <v/>
      </c>
      <c r="W656">
        <f>IF($T656=1,IFERROR(IF(VALUE($A656)&lt;100000000,VALUE($A656),1000000000),IFERROR(IF(VALUE(MID($A656,2,20))&lt;100000000,VALUE(MID($A656,2,20)),1000000000),1000000000))+ROW()/100000,"")</f>
        <v/>
      </c>
    </row>
    <row r="657">
      <c r="F657" s="7">
        <f>IF($A657="","",E657*K657/100)</f>
        <v/>
      </c>
      <c r="J657" s="7" t="n"/>
      <c r="K657" s="7" t="n"/>
      <c r="L657" s="7">
        <f>IF($A657="","",S657*K657)</f>
        <v/>
      </c>
      <c r="M657" s="7">
        <f>IF($A657="","",K657-L657)</f>
        <v/>
      </c>
      <c r="N657" s="7">
        <f>IF($A657="","",M657-F657)</f>
        <v/>
      </c>
      <c r="Q657" s="11" t="n"/>
      <c r="S657">
        <f>IF($A657="","",IF(AND(ISNUMBER($R657),NOT(ISLOGICAL($R657)),N($R657)&gt;1),$R657/100*1,IF($V657=1,Settings!$C$6,Settings!$C$7)*1))</f>
        <v/>
      </c>
      <c r="T657">
        <f>IF($A657="","",IF(COUNTIF($A$2:$A657,$A657)=1,1,0))</f>
        <v/>
      </c>
      <c r="U657">
        <f>IF($T657=1,SUMPRODUCT(--($W$2:$W$1001&lt;$W657))+1,"")</f>
        <v/>
      </c>
      <c r="V657">
        <f>IF($A657="","",IF(AND(ISNUMBER($R657),NOT(ISLOGICAL($R657)),N($R657)&gt;1),IF(ABS($R657/100-Settings!$C$6)&lt;=ABS($R657/100-Settings!$C$7),1,0),IF(OR($R657=TRUE(),$R657="TRUE"),1,0)))</f>
        <v/>
      </c>
      <c r="W657">
        <f>IF($T657=1,IFERROR(IF(VALUE($A657)&lt;100000000,VALUE($A657),1000000000),IFERROR(IF(VALUE(MID($A657,2,20))&lt;100000000,VALUE(MID($A657,2,20)),1000000000),1000000000))+ROW()/100000,"")</f>
        <v/>
      </c>
    </row>
    <row r="658">
      <c r="F658" s="7">
        <f>IF($A658="","",E658*K658/100)</f>
        <v/>
      </c>
      <c r="J658" s="7" t="n"/>
      <c r="K658" s="7" t="n"/>
      <c r="L658" s="7">
        <f>IF($A658="","",S658*K658)</f>
        <v/>
      </c>
      <c r="M658" s="7">
        <f>IF($A658="","",K658-L658)</f>
        <v/>
      </c>
      <c r="N658" s="7">
        <f>IF($A658="","",M658-F658)</f>
        <v/>
      </c>
      <c r="Q658" s="11" t="n"/>
      <c r="S658">
        <f>IF($A658="","",IF(AND(ISNUMBER($R658),NOT(ISLOGICAL($R658)),N($R658)&gt;1),$R658/100*1,IF($V658=1,Settings!$C$6,Settings!$C$7)*1))</f>
        <v/>
      </c>
      <c r="T658">
        <f>IF($A658="","",IF(COUNTIF($A$2:$A658,$A658)=1,1,0))</f>
        <v/>
      </c>
      <c r="U658">
        <f>IF($T658=1,SUMPRODUCT(--($W$2:$W$1001&lt;$W658))+1,"")</f>
        <v/>
      </c>
      <c r="V658">
        <f>IF($A658="","",IF(AND(ISNUMBER($R658),NOT(ISLOGICAL($R658)),N($R658)&gt;1),IF(ABS($R658/100-Settings!$C$6)&lt;=ABS($R658/100-Settings!$C$7),1,0),IF(OR($R658=TRUE(),$R658="TRUE"),1,0)))</f>
        <v/>
      </c>
      <c r="W658">
        <f>IF($T658=1,IFERROR(IF(VALUE($A658)&lt;100000000,VALUE($A658),1000000000),IFERROR(IF(VALUE(MID($A658,2,20))&lt;100000000,VALUE(MID($A658,2,20)),1000000000),1000000000))+ROW()/100000,"")</f>
        <v/>
      </c>
    </row>
    <row r="659">
      <c r="F659" s="7">
        <f>IF($A659="","",E659*K659/100)</f>
        <v/>
      </c>
      <c r="J659" s="7" t="n"/>
      <c r="K659" s="7" t="n"/>
      <c r="L659" s="7">
        <f>IF($A659="","",S659*K659)</f>
        <v/>
      </c>
      <c r="M659" s="7">
        <f>IF($A659="","",K659-L659)</f>
        <v/>
      </c>
      <c r="N659" s="7">
        <f>IF($A659="","",M659-F659)</f>
        <v/>
      </c>
      <c r="Q659" s="11" t="n"/>
      <c r="S659">
        <f>IF($A659="","",IF(AND(ISNUMBER($R659),NOT(ISLOGICAL($R659)),N($R659)&gt;1),$R659/100*1,IF($V659=1,Settings!$C$6,Settings!$C$7)*1))</f>
        <v/>
      </c>
      <c r="T659">
        <f>IF($A659="","",IF(COUNTIF($A$2:$A659,$A659)=1,1,0))</f>
        <v/>
      </c>
      <c r="U659">
        <f>IF($T659=1,SUMPRODUCT(--($W$2:$W$1001&lt;$W659))+1,"")</f>
        <v/>
      </c>
      <c r="V659">
        <f>IF($A659="","",IF(AND(ISNUMBER($R659),NOT(ISLOGICAL($R659)),N($R659)&gt;1),IF(ABS($R659/100-Settings!$C$6)&lt;=ABS($R659/100-Settings!$C$7),1,0),IF(OR($R659=TRUE(),$R659="TRUE"),1,0)))</f>
        <v/>
      </c>
      <c r="W659">
        <f>IF($T659=1,IFERROR(IF(VALUE($A659)&lt;100000000,VALUE($A659),1000000000),IFERROR(IF(VALUE(MID($A659,2,20))&lt;100000000,VALUE(MID($A659,2,20)),1000000000),1000000000))+ROW()/100000,"")</f>
        <v/>
      </c>
    </row>
    <row r="660">
      <c r="F660" s="7">
        <f>IF($A660="","",E660*K660/100)</f>
        <v/>
      </c>
      <c r="J660" s="7" t="n"/>
      <c r="K660" s="7" t="n"/>
      <c r="L660" s="7">
        <f>IF($A660="","",S660*K660)</f>
        <v/>
      </c>
      <c r="M660" s="7">
        <f>IF($A660="","",K660-L660)</f>
        <v/>
      </c>
      <c r="N660" s="7">
        <f>IF($A660="","",M660-F660)</f>
        <v/>
      </c>
      <c r="Q660" s="11" t="n"/>
      <c r="S660">
        <f>IF($A660="","",IF(AND(ISNUMBER($R660),NOT(ISLOGICAL($R660)),N($R660)&gt;1),$R660/100*1,IF($V660=1,Settings!$C$6,Settings!$C$7)*1))</f>
        <v/>
      </c>
      <c r="T660">
        <f>IF($A660="","",IF(COUNTIF($A$2:$A660,$A660)=1,1,0))</f>
        <v/>
      </c>
      <c r="U660">
        <f>IF($T660=1,SUMPRODUCT(--($W$2:$W$1001&lt;$W660))+1,"")</f>
        <v/>
      </c>
      <c r="V660">
        <f>IF($A660="","",IF(AND(ISNUMBER($R660),NOT(ISLOGICAL($R660)),N($R660)&gt;1),IF(ABS($R660/100-Settings!$C$6)&lt;=ABS($R660/100-Settings!$C$7),1,0),IF(OR($R660=TRUE(),$R660="TRUE"),1,0)))</f>
        <v/>
      </c>
      <c r="W660">
        <f>IF($T660=1,IFERROR(IF(VALUE($A660)&lt;100000000,VALUE($A660),1000000000),IFERROR(IF(VALUE(MID($A660,2,20))&lt;100000000,VALUE(MID($A660,2,20)),1000000000),1000000000))+ROW()/100000,"")</f>
        <v/>
      </c>
    </row>
    <row r="661">
      <c r="F661" s="7">
        <f>IF($A661="","",E661*K661/100)</f>
        <v/>
      </c>
      <c r="J661" s="7" t="n"/>
      <c r="K661" s="7" t="n"/>
      <c r="L661" s="7">
        <f>IF($A661="","",S661*K661)</f>
        <v/>
      </c>
      <c r="M661" s="7">
        <f>IF($A661="","",K661-L661)</f>
        <v/>
      </c>
      <c r="N661" s="7">
        <f>IF($A661="","",M661-F661)</f>
        <v/>
      </c>
      <c r="Q661" s="11" t="n"/>
      <c r="S661">
        <f>IF($A661="","",IF(AND(ISNUMBER($R661),NOT(ISLOGICAL($R661)),N($R661)&gt;1),$R661/100*1,IF($V661=1,Settings!$C$6,Settings!$C$7)*1))</f>
        <v/>
      </c>
      <c r="T661">
        <f>IF($A661="","",IF(COUNTIF($A$2:$A661,$A661)=1,1,0))</f>
        <v/>
      </c>
      <c r="U661">
        <f>IF($T661=1,SUMPRODUCT(--($W$2:$W$1001&lt;$W661))+1,"")</f>
        <v/>
      </c>
      <c r="V661">
        <f>IF($A661="","",IF(AND(ISNUMBER($R661),NOT(ISLOGICAL($R661)),N($R661)&gt;1),IF(ABS($R661/100-Settings!$C$6)&lt;=ABS($R661/100-Settings!$C$7),1,0),IF(OR($R661=TRUE(),$R661="TRUE"),1,0)))</f>
        <v/>
      </c>
      <c r="W661">
        <f>IF($T661=1,IFERROR(IF(VALUE($A661)&lt;100000000,VALUE($A661),1000000000),IFERROR(IF(VALUE(MID($A661,2,20))&lt;100000000,VALUE(MID($A661,2,20)),1000000000),1000000000))+ROW()/100000,"")</f>
        <v/>
      </c>
    </row>
    <row r="662">
      <c r="F662" s="7">
        <f>IF($A662="","",E662*K662/100)</f>
        <v/>
      </c>
      <c r="J662" s="7" t="n"/>
      <c r="K662" s="7" t="n"/>
      <c r="L662" s="7">
        <f>IF($A662="","",S662*K662)</f>
        <v/>
      </c>
      <c r="M662" s="7">
        <f>IF($A662="","",K662-L662)</f>
        <v/>
      </c>
      <c r="N662" s="7">
        <f>IF($A662="","",M662-F662)</f>
        <v/>
      </c>
      <c r="Q662" s="11" t="n"/>
      <c r="S662">
        <f>IF($A662="","",IF(AND(ISNUMBER($R662),NOT(ISLOGICAL($R662)),N($R662)&gt;1),$R662/100*1,IF($V662=1,Settings!$C$6,Settings!$C$7)*1))</f>
        <v/>
      </c>
      <c r="T662">
        <f>IF($A662="","",IF(COUNTIF($A$2:$A662,$A662)=1,1,0))</f>
        <v/>
      </c>
      <c r="U662">
        <f>IF($T662=1,SUMPRODUCT(--($W$2:$W$1001&lt;$W662))+1,"")</f>
        <v/>
      </c>
      <c r="V662">
        <f>IF($A662="","",IF(AND(ISNUMBER($R662),NOT(ISLOGICAL($R662)),N($R662)&gt;1),IF(ABS($R662/100-Settings!$C$6)&lt;=ABS($R662/100-Settings!$C$7),1,0),IF(OR($R662=TRUE(),$R662="TRUE"),1,0)))</f>
        <v/>
      </c>
      <c r="W662">
        <f>IF($T662=1,IFERROR(IF(VALUE($A662)&lt;100000000,VALUE($A662),1000000000),IFERROR(IF(VALUE(MID($A662,2,20))&lt;100000000,VALUE(MID($A662,2,20)),1000000000),1000000000))+ROW()/100000,"")</f>
        <v/>
      </c>
    </row>
    <row r="663">
      <c r="F663" s="7">
        <f>IF($A663="","",E663*K663/100)</f>
        <v/>
      </c>
      <c r="J663" s="7" t="n"/>
      <c r="K663" s="7" t="n"/>
      <c r="L663" s="7">
        <f>IF($A663="","",S663*K663)</f>
        <v/>
      </c>
      <c r="M663" s="7">
        <f>IF($A663="","",K663-L663)</f>
        <v/>
      </c>
      <c r="N663" s="7">
        <f>IF($A663="","",M663-F663)</f>
        <v/>
      </c>
      <c r="Q663" s="11" t="n"/>
      <c r="S663">
        <f>IF($A663="","",IF(AND(ISNUMBER($R663),NOT(ISLOGICAL($R663)),N($R663)&gt;1),$R663/100*1,IF($V663=1,Settings!$C$6,Settings!$C$7)*1))</f>
        <v/>
      </c>
      <c r="T663">
        <f>IF($A663="","",IF(COUNTIF($A$2:$A663,$A663)=1,1,0))</f>
        <v/>
      </c>
      <c r="U663">
        <f>IF($T663=1,SUMPRODUCT(--($W$2:$W$1001&lt;$W663))+1,"")</f>
        <v/>
      </c>
      <c r="V663">
        <f>IF($A663="","",IF(AND(ISNUMBER($R663),NOT(ISLOGICAL($R663)),N($R663)&gt;1),IF(ABS($R663/100-Settings!$C$6)&lt;=ABS($R663/100-Settings!$C$7),1,0),IF(OR($R663=TRUE(),$R663="TRUE"),1,0)))</f>
        <v/>
      </c>
      <c r="W663">
        <f>IF($T663=1,IFERROR(IF(VALUE($A663)&lt;100000000,VALUE($A663),1000000000),IFERROR(IF(VALUE(MID($A663,2,20))&lt;100000000,VALUE(MID($A663,2,20)),1000000000),1000000000))+ROW()/100000,"")</f>
        <v/>
      </c>
    </row>
    <row r="664">
      <c r="F664" s="7">
        <f>IF($A664="","",E664*K664/100)</f>
        <v/>
      </c>
      <c r="J664" s="7" t="n"/>
      <c r="K664" s="7" t="n"/>
      <c r="L664" s="7">
        <f>IF($A664="","",S664*K664)</f>
        <v/>
      </c>
      <c r="M664" s="7">
        <f>IF($A664="","",K664-L664)</f>
        <v/>
      </c>
      <c r="N664" s="7">
        <f>IF($A664="","",M664-F664)</f>
        <v/>
      </c>
      <c r="Q664" s="11" t="n"/>
      <c r="S664">
        <f>IF($A664="","",IF(AND(ISNUMBER($R664),NOT(ISLOGICAL($R664)),N($R664)&gt;1),$R664/100*1,IF($V664=1,Settings!$C$6,Settings!$C$7)*1))</f>
        <v/>
      </c>
      <c r="T664">
        <f>IF($A664="","",IF(COUNTIF($A$2:$A664,$A664)=1,1,0))</f>
        <v/>
      </c>
      <c r="U664">
        <f>IF($T664=1,SUMPRODUCT(--($W$2:$W$1001&lt;$W664))+1,"")</f>
        <v/>
      </c>
      <c r="V664">
        <f>IF($A664="","",IF(AND(ISNUMBER($R664),NOT(ISLOGICAL($R664)),N($R664)&gt;1),IF(ABS($R664/100-Settings!$C$6)&lt;=ABS($R664/100-Settings!$C$7),1,0),IF(OR($R664=TRUE(),$R664="TRUE"),1,0)))</f>
        <v/>
      </c>
      <c r="W664">
        <f>IF($T664=1,IFERROR(IF(VALUE($A664)&lt;100000000,VALUE($A664),1000000000),IFERROR(IF(VALUE(MID($A664,2,20))&lt;100000000,VALUE(MID($A664,2,20)),1000000000),1000000000))+ROW()/100000,"")</f>
        <v/>
      </c>
    </row>
    <row r="665">
      <c r="F665" s="7">
        <f>IF($A665="","",E665*K665/100)</f>
        <v/>
      </c>
      <c r="J665" s="7" t="n"/>
      <c r="K665" s="7" t="n"/>
      <c r="L665" s="7">
        <f>IF($A665="","",S665*K665)</f>
        <v/>
      </c>
      <c r="M665" s="7">
        <f>IF($A665="","",K665-L665)</f>
        <v/>
      </c>
      <c r="N665" s="7">
        <f>IF($A665="","",M665-F665)</f>
        <v/>
      </c>
      <c r="Q665" s="11" t="n"/>
      <c r="S665">
        <f>IF($A665="","",IF(AND(ISNUMBER($R665),NOT(ISLOGICAL($R665)),N($R665)&gt;1),$R665/100*1,IF($V665=1,Settings!$C$6,Settings!$C$7)*1))</f>
        <v/>
      </c>
      <c r="T665">
        <f>IF($A665="","",IF(COUNTIF($A$2:$A665,$A665)=1,1,0))</f>
        <v/>
      </c>
      <c r="U665">
        <f>IF($T665=1,SUMPRODUCT(--($W$2:$W$1001&lt;$W665))+1,"")</f>
        <v/>
      </c>
      <c r="V665">
        <f>IF($A665="","",IF(AND(ISNUMBER($R665),NOT(ISLOGICAL($R665)),N($R665)&gt;1),IF(ABS($R665/100-Settings!$C$6)&lt;=ABS($R665/100-Settings!$C$7),1,0),IF(OR($R665=TRUE(),$R665="TRUE"),1,0)))</f>
        <v/>
      </c>
      <c r="W665">
        <f>IF($T665=1,IFERROR(IF(VALUE($A665)&lt;100000000,VALUE($A665),1000000000),IFERROR(IF(VALUE(MID($A665,2,20))&lt;100000000,VALUE(MID($A665,2,20)),1000000000),1000000000))+ROW()/100000,"")</f>
        <v/>
      </c>
    </row>
    <row r="666">
      <c r="F666" s="7">
        <f>IF($A666="","",E666*K666/100)</f>
        <v/>
      </c>
      <c r="J666" s="7" t="n"/>
      <c r="K666" s="7" t="n"/>
      <c r="L666" s="7">
        <f>IF($A666="","",S666*K666)</f>
        <v/>
      </c>
      <c r="M666" s="7">
        <f>IF($A666="","",K666-L666)</f>
        <v/>
      </c>
      <c r="N666" s="7">
        <f>IF($A666="","",M666-F666)</f>
        <v/>
      </c>
      <c r="Q666" s="11" t="n"/>
      <c r="S666">
        <f>IF($A666="","",IF(AND(ISNUMBER($R666),NOT(ISLOGICAL($R666)),N($R666)&gt;1),$R666/100*1,IF($V666=1,Settings!$C$6,Settings!$C$7)*1))</f>
        <v/>
      </c>
      <c r="T666">
        <f>IF($A666="","",IF(COUNTIF($A$2:$A666,$A666)=1,1,0))</f>
        <v/>
      </c>
      <c r="U666">
        <f>IF($T666=1,SUMPRODUCT(--($W$2:$W$1001&lt;$W666))+1,"")</f>
        <v/>
      </c>
      <c r="V666">
        <f>IF($A666="","",IF(AND(ISNUMBER($R666),NOT(ISLOGICAL($R666)),N($R666)&gt;1),IF(ABS($R666/100-Settings!$C$6)&lt;=ABS($R666/100-Settings!$C$7),1,0),IF(OR($R666=TRUE(),$R666="TRUE"),1,0)))</f>
        <v/>
      </c>
      <c r="W666">
        <f>IF($T666=1,IFERROR(IF(VALUE($A666)&lt;100000000,VALUE($A666),1000000000),IFERROR(IF(VALUE(MID($A666,2,20))&lt;100000000,VALUE(MID($A666,2,20)),1000000000),1000000000))+ROW()/100000,"")</f>
        <v/>
      </c>
    </row>
    <row r="667">
      <c r="F667" s="7">
        <f>IF($A667="","",E667*K667/100)</f>
        <v/>
      </c>
      <c r="J667" s="7" t="n"/>
      <c r="K667" s="7" t="n"/>
      <c r="L667" s="7">
        <f>IF($A667="","",S667*K667)</f>
        <v/>
      </c>
      <c r="M667" s="7">
        <f>IF($A667="","",K667-L667)</f>
        <v/>
      </c>
      <c r="N667" s="7">
        <f>IF($A667="","",M667-F667)</f>
        <v/>
      </c>
      <c r="Q667" s="11" t="n"/>
      <c r="S667">
        <f>IF($A667="","",IF(AND(ISNUMBER($R667),NOT(ISLOGICAL($R667)),N($R667)&gt;1),$R667/100*1,IF($V667=1,Settings!$C$6,Settings!$C$7)*1))</f>
        <v/>
      </c>
      <c r="T667">
        <f>IF($A667="","",IF(COUNTIF($A$2:$A667,$A667)=1,1,0))</f>
        <v/>
      </c>
      <c r="U667">
        <f>IF($T667=1,SUMPRODUCT(--($W$2:$W$1001&lt;$W667))+1,"")</f>
        <v/>
      </c>
      <c r="V667">
        <f>IF($A667="","",IF(AND(ISNUMBER($R667),NOT(ISLOGICAL($R667)),N($R667)&gt;1),IF(ABS($R667/100-Settings!$C$6)&lt;=ABS($R667/100-Settings!$C$7),1,0),IF(OR($R667=TRUE(),$R667="TRUE"),1,0)))</f>
        <v/>
      </c>
      <c r="W667">
        <f>IF($T667=1,IFERROR(IF(VALUE($A667)&lt;100000000,VALUE($A667),1000000000),IFERROR(IF(VALUE(MID($A667,2,20))&lt;100000000,VALUE(MID($A667,2,20)),1000000000),1000000000))+ROW()/100000,"")</f>
        <v/>
      </c>
    </row>
    <row r="668">
      <c r="F668" s="7">
        <f>IF($A668="","",E668*K668/100)</f>
        <v/>
      </c>
      <c r="J668" s="7" t="n"/>
      <c r="K668" s="7" t="n"/>
      <c r="L668" s="7">
        <f>IF($A668="","",S668*K668)</f>
        <v/>
      </c>
      <c r="M668" s="7">
        <f>IF($A668="","",K668-L668)</f>
        <v/>
      </c>
      <c r="N668" s="7">
        <f>IF($A668="","",M668-F668)</f>
        <v/>
      </c>
      <c r="Q668" s="11" t="n"/>
      <c r="S668">
        <f>IF($A668="","",IF(AND(ISNUMBER($R668),NOT(ISLOGICAL($R668)),N($R668)&gt;1),$R668/100*1,IF($V668=1,Settings!$C$6,Settings!$C$7)*1))</f>
        <v/>
      </c>
      <c r="T668">
        <f>IF($A668="","",IF(COUNTIF($A$2:$A668,$A668)=1,1,0))</f>
        <v/>
      </c>
      <c r="U668">
        <f>IF($T668=1,SUMPRODUCT(--($W$2:$W$1001&lt;$W668))+1,"")</f>
        <v/>
      </c>
      <c r="V668">
        <f>IF($A668="","",IF(AND(ISNUMBER($R668),NOT(ISLOGICAL($R668)),N($R668)&gt;1),IF(ABS($R668/100-Settings!$C$6)&lt;=ABS($R668/100-Settings!$C$7),1,0),IF(OR($R668=TRUE(),$R668="TRUE"),1,0)))</f>
        <v/>
      </c>
      <c r="W668">
        <f>IF($T668=1,IFERROR(IF(VALUE($A668)&lt;100000000,VALUE($A668),1000000000),IFERROR(IF(VALUE(MID($A668,2,20))&lt;100000000,VALUE(MID($A668,2,20)),1000000000),1000000000))+ROW()/100000,"")</f>
        <v/>
      </c>
    </row>
    <row r="669">
      <c r="F669" s="7">
        <f>IF($A669="","",E669*K669/100)</f>
        <v/>
      </c>
      <c r="J669" s="7" t="n"/>
      <c r="K669" s="7" t="n"/>
      <c r="L669" s="7">
        <f>IF($A669="","",S669*K669)</f>
        <v/>
      </c>
      <c r="M669" s="7">
        <f>IF($A669="","",K669-L669)</f>
        <v/>
      </c>
      <c r="N669" s="7">
        <f>IF($A669="","",M669-F669)</f>
        <v/>
      </c>
      <c r="Q669" s="11" t="n"/>
      <c r="S669">
        <f>IF($A669="","",IF(AND(ISNUMBER($R669),NOT(ISLOGICAL($R669)),N($R669)&gt;1),$R669/100*1,IF($V669=1,Settings!$C$6,Settings!$C$7)*1))</f>
        <v/>
      </c>
      <c r="T669">
        <f>IF($A669="","",IF(COUNTIF($A$2:$A669,$A669)=1,1,0))</f>
        <v/>
      </c>
      <c r="U669">
        <f>IF($T669=1,SUMPRODUCT(--($W$2:$W$1001&lt;$W669))+1,"")</f>
        <v/>
      </c>
      <c r="V669">
        <f>IF($A669="","",IF(AND(ISNUMBER($R669),NOT(ISLOGICAL($R669)),N($R669)&gt;1),IF(ABS($R669/100-Settings!$C$6)&lt;=ABS($R669/100-Settings!$C$7),1,0),IF(OR($R669=TRUE(),$R669="TRUE"),1,0)))</f>
        <v/>
      </c>
      <c r="W669">
        <f>IF($T669=1,IFERROR(IF(VALUE($A669)&lt;100000000,VALUE($A669),1000000000),IFERROR(IF(VALUE(MID($A669,2,20))&lt;100000000,VALUE(MID($A669,2,20)),1000000000),1000000000))+ROW()/100000,"")</f>
        <v/>
      </c>
    </row>
    <row r="670">
      <c r="F670" s="7">
        <f>IF($A670="","",E670*K670/100)</f>
        <v/>
      </c>
      <c r="J670" s="7" t="n"/>
      <c r="K670" s="7" t="n"/>
      <c r="L670" s="7">
        <f>IF($A670="","",S670*K670)</f>
        <v/>
      </c>
      <c r="M670" s="7">
        <f>IF($A670="","",K670-L670)</f>
        <v/>
      </c>
      <c r="N670" s="7">
        <f>IF($A670="","",M670-F670)</f>
        <v/>
      </c>
      <c r="Q670" s="11" t="n"/>
      <c r="S670">
        <f>IF($A670="","",IF(AND(ISNUMBER($R670),NOT(ISLOGICAL($R670)),N($R670)&gt;1),$R670/100*1,IF($V670=1,Settings!$C$6,Settings!$C$7)*1))</f>
        <v/>
      </c>
      <c r="T670">
        <f>IF($A670="","",IF(COUNTIF($A$2:$A670,$A670)=1,1,0))</f>
        <v/>
      </c>
      <c r="U670">
        <f>IF($T670=1,SUMPRODUCT(--($W$2:$W$1001&lt;$W670))+1,"")</f>
        <v/>
      </c>
      <c r="V670">
        <f>IF($A670="","",IF(AND(ISNUMBER($R670),NOT(ISLOGICAL($R670)),N($R670)&gt;1),IF(ABS($R670/100-Settings!$C$6)&lt;=ABS($R670/100-Settings!$C$7),1,0),IF(OR($R670=TRUE(),$R670="TRUE"),1,0)))</f>
        <v/>
      </c>
      <c r="W670">
        <f>IF($T670=1,IFERROR(IF(VALUE($A670)&lt;100000000,VALUE($A670),1000000000),IFERROR(IF(VALUE(MID($A670,2,20))&lt;100000000,VALUE(MID($A670,2,20)),1000000000),1000000000))+ROW()/100000,"")</f>
        <v/>
      </c>
    </row>
    <row r="671">
      <c r="F671" s="7">
        <f>IF($A671="","",E671*K671/100)</f>
        <v/>
      </c>
      <c r="J671" s="7" t="n"/>
      <c r="K671" s="7" t="n"/>
      <c r="L671" s="7">
        <f>IF($A671="","",S671*K671)</f>
        <v/>
      </c>
      <c r="M671" s="7">
        <f>IF($A671="","",K671-L671)</f>
        <v/>
      </c>
      <c r="N671" s="7">
        <f>IF($A671="","",M671-F671)</f>
        <v/>
      </c>
      <c r="Q671" s="11" t="n"/>
      <c r="S671">
        <f>IF($A671="","",IF(AND(ISNUMBER($R671),NOT(ISLOGICAL($R671)),N($R671)&gt;1),$R671/100*1,IF($V671=1,Settings!$C$6,Settings!$C$7)*1))</f>
        <v/>
      </c>
      <c r="T671">
        <f>IF($A671="","",IF(COUNTIF($A$2:$A671,$A671)=1,1,0))</f>
        <v/>
      </c>
      <c r="U671">
        <f>IF($T671=1,SUMPRODUCT(--($W$2:$W$1001&lt;$W671))+1,"")</f>
        <v/>
      </c>
      <c r="V671">
        <f>IF($A671="","",IF(AND(ISNUMBER($R671),NOT(ISLOGICAL($R671)),N($R671)&gt;1),IF(ABS($R671/100-Settings!$C$6)&lt;=ABS($R671/100-Settings!$C$7),1,0),IF(OR($R671=TRUE(),$R671="TRUE"),1,0)))</f>
        <v/>
      </c>
      <c r="W671">
        <f>IF($T671=1,IFERROR(IF(VALUE($A671)&lt;100000000,VALUE($A671),1000000000),IFERROR(IF(VALUE(MID($A671,2,20))&lt;100000000,VALUE(MID($A671,2,20)),1000000000),1000000000))+ROW()/100000,"")</f>
        <v/>
      </c>
    </row>
    <row r="672">
      <c r="F672" s="7">
        <f>IF($A672="","",E672*K672/100)</f>
        <v/>
      </c>
      <c r="J672" s="7" t="n"/>
      <c r="K672" s="7" t="n"/>
      <c r="L672" s="7">
        <f>IF($A672="","",S672*K672)</f>
        <v/>
      </c>
      <c r="M672" s="7">
        <f>IF($A672="","",K672-L672)</f>
        <v/>
      </c>
      <c r="N672" s="7">
        <f>IF($A672="","",M672-F672)</f>
        <v/>
      </c>
      <c r="Q672" s="11" t="n"/>
      <c r="S672">
        <f>IF($A672="","",IF(AND(ISNUMBER($R672),NOT(ISLOGICAL($R672)),N($R672)&gt;1),$R672/100*1,IF($V672=1,Settings!$C$6,Settings!$C$7)*1))</f>
        <v/>
      </c>
      <c r="T672">
        <f>IF($A672="","",IF(COUNTIF($A$2:$A672,$A672)=1,1,0))</f>
        <v/>
      </c>
      <c r="U672">
        <f>IF($T672=1,SUMPRODUCT(--($W$2:$W$1001&lt;$W672))+1,"")</f>
        <v/>
      </c>
      <c r="V672">
        <f>IF($A672="","",IF(AND(ISNUMBER($R672),NOT(ISLOGICAL($R672)),N($R672)&gt;1),IF(ABS($R672/100-Settings!$C$6)&lt;=ABS($R672/100-Settings!$C$7),1,0),IF(OR($R672=TRUE(),$R672="TRUE"),1,0)))</f>
        <v/>
      </c>
      <c r="W672">
        <f>IF($T672=1,IFERROR(IF(VALUE($A672)&lt;100000000,VALUE($A672),1000000000),IFERROR(IF(VALUE(MID($A672,2,20))&lt;100000000,VALUE(MID($A672,2,20)),1000000000),1000000000))+ROW()/100000,"")</f>
        <v/>
      </c>
    </row>
    <row r="673">
      <c r="F673" s="7">
        <f>IF($A673="","",E673*K673/100)</f>
        <v/>
      </c>
      <c r="J673" s="7" t="n"/>
      <c r="K673" s="7" t="n"/>
      <c r="L673" s="7">
        <f>IF($A673="","",S673*K673)</f>
        <v/>
      </c>
      <c r="M673" s="7">
        <f>IF($A673="","",K673-L673)</f>
        <v/>
      </c>
      <c r="N673" s="7">
        <f>IF($A673="","",M673-F673)</f>
        <v/>
      </c>
      <c r="Q673" s="11" t="n"/>
      <c r="S673">
        <f>IF($A673="","",IF(AND(ISNUMBER($R673),NOT(ISLOGICAL($R673)),N($R673)&gt;1),$R673/100*1,IF($V673=1,Settings!$C$6,Settings!$C$7)*1))</f>
        <v/>
      </c>
      <c r="T673">
        <f>IF($A673="","",IF(COUNTIF($A$2:$A673,$A673)=1,1,0))</f>
        <v/>
      </c>
      <c r="U673">
        <f>IF($T673=1,SUMPRODUCT(--($W$2:$W$1001&lt;$W673))+1,"")</f>
        <v/>
      </c>
      <c r="V673">
        <f>IF($A673="","",IF(AND(ISNUMBER($R673),NOT(ISLOGICAL($R673)),N($R673)&gt;1),IF(ABS($R673/100-Settings!$C$6)&lt;=ABS($R673/100-Settings!$C$7),1,0),IF(OR($R673=TRUE(),$R673="TRUE"),1,0)))</f>
        <v/>
      </c>
      <c r="W673">
        <f>IF($T673=1,IFERROR(IF(VALUE($A673)&lt;100000000,VALUE($A673),1000000000),IFERROR(IF(VALUE(MID($A673,2,20))&lt;100000000,VALUE(MID($A673,2,20)),1000000000),1000000000))+ROW()/100000,"")</f>
        <v/>
      </c>
    </row>
    <row r="674">
      <c r="F674" s="7">
        <f>IF($A674="","",E674*K674/100)</f>
        <v/>
      </c>
      <c r="J674" s="7" t="n"/>
      <c r="K674" s="7" t="n"/>
      <c r="L674" s="7">
        <f>IF($A674="","",S674*K674)</f>
        <v/>
      </c>
      <c r="M674" s="7">
        <f>IF($A674="","",K674-L674)</f>
        <v/>
      </c>
      <c r="N674" s="7">
        <f>IF($A674="","",M674-F674)</f>
        <v/>
      </c>
      <c r="Q674" s="11" t="n"/>
      <c r="S674">
        <f>IF($A674="","",IF(AND(ISNUMBER($R674),NOT(ISLOGICAL($R674)),N($R674)&gt;1),$R674/100*1,IF($V674=1,Settings!$C$6,Settings!$C$7)*1))</f>
        <v/>
      </c>
      <c r="T674">
        <f>IF($A674="","",IF(COUNTIF($A$2:$A674,$A674)=1,1,0))</f>
        <v/>
      </c>
      <c r="U674">
        <f>IF($T674=1,SUMPRODUCT(--($W$2:$W$1001&lt;$W674))+1,"")</f>
        <v/>
      </c>
      <c r="V674">
        <f>IF($A674="","",IF(AND(ISNUMBER($R674),NOT(ISLOGICAL($R674)),N($R674)&gt;1),IF(ABS($R674/100-Settings!$C$6)&lt;=ABS($R674/100-Settings!$C$7),1,0),IF(OR($R674=TRUE(),$R674="TRUE"),1,0)))</f>
        <v/>
      </c>
      <c r="W674">
        <f>IF($T674=1,IFERROR(IF(VALUE($A674)&lt;100000000,VALUE($A674),1000000000),IFERROR(IF(VALUE(MID($A674,2,20))&lt;100000000,VALUE(MID($A674,2,20)),1000000000),1000000000))+ROW()/100000,"")</f>
        <v/>
      </c>
    </row>
    <row r="675">
      <c r="F675" s="7">
        <f>IF($A675="","",E675*K675/100)</f>
        <v/>
      </c>
      <c r="J675" s="7" t="n"/>
      <c r="K675" s="7" t="n"/>
      <c r="L675" s="7">
        <f>IF($A675="","",S675*K675)</f>
        <v/>
      </c>
      <c r="M675" s="7">
        <f>IF($A675="","",K675-L675)</f>
        <v/>
      </c>
      <c r="N675" s="7">
        <f>IF($A675="","",M675-F675)</f>
        <v/>
      </c>
      <c r="Q675" s="11" t="n"/>
      <c r="S675">
        <f>IF($A675="","",IF(AND(ISNUMBER($R675),NOT(ISLOGICAL($R675)),N($R675)&gt;1),$R675/100*1,IF($V675=1,Settings!$C$6,Settings!$C$7)*1))</f>
        <v/>
      </c>
      <c r="T675">
        <f>IF($A675="","",IF(COUNTIF($A$2:$A675,$A675)=1,1,0))</f>
        <v/>
      </c>
      <c r="U675">
        <f>IF($T675=1,SUMPRODUCT(--($W$2:$W$1001&lt;$W675))+1,"")</f>
        <v/>
      </c>
      <c r="V675">
        <f>IF($A675="","",IF(AND(ISNUMBER($R675),NOT(ISLOGICAL($R675)),N($R675)&gt;1),IF(ABS($R675/100-Settings!$C$6)&lt;=ABS($R675/100-Settings!$C$7),1,0),IF(OR($R675=TRUE(),$R675="TRUE"),1,0)))</f>
        <v/>
      </c>
      <c r="W675">
        <f>IF($T675=1,IFERROR(IF(VALUE($A675)&lt;100000000,VALUE($A675),1000000000),IFERROR(IF(VALUE(MID($A675,2,20))&lt;100000000,VALUE(MID($A675,2,20)),1000000000),1000000000))+ROW()/100000,"")</f>
        <v/>
      </c>
    </row>
    <row r="676">
      <c r="F676" s="7">
        <f>IF($A676="","",E676*K676/100)</f>
        <v/>
      </c>
      <c r="J676" s="7" t="n"/>
      <c r="K676" s="7" t="n"/>
      <c r="L676" s="7">
        <f>IF($A676="","",S676*K676)</f>
        <v/>
      </c>
      <c r="M676" s="7">
        <f>IF($A676="","",K676-L676)</f>
        <v/>
      </c>
      <c r="N676" s="7">
        <f>IF($A676="","",M676-F676)</f>
        <v/>
      </c>
      <c r="Q676" s="11" t="n"/>
      <c r="S676">
        <f>IF($A676="","",IF(AND(ISNUMBER($R676),NOT(ISLOGICAL($R676)),N($R676)&gt;1),$R676/100*1,IF($V676=1,Settings!$C$6,Settings!$C$7)*1))</f>
        <v/>
      </c>
      <c r="T676">
        <f>IF($A676="","",IF(COUNTIF($A$2:$A676,$A676)=1,1,0))</f>
        <v/>
      </c>
      <c r="U676">
        <f>IF($T676=1,SUMPRODUCT(--($W$2:$W$1001&lt;$W676))+1,"")</f>
        <v/>
      </c>
      <c r="V676">
        <f>IF($A676="","",IF(AND(ISNUMBER($R676),NOT(ISLOGICAL($R676)),N($R676)&gt;1),IF(ABS($R676/100-Settings!$C$6)&lt;=ABS($R676/100-Settings!$C$7),1,0),IF(OR($R676=TRUE(),$R676="TRUE"),1,0)))</f>
        <v/>
      </c>
      <c r="W676">
        <f>IF($T676=1,IFERROR(IF(VALUE($A676)&lt;100000000,VALUE($A676),1000000000),IFERROR(IF(VALUE(MID($A676,2,20))&lt;100000000,VALUE(MID($A676,2,20)),1000000000),1000000000))+ROW()/100000,"")</f>
        <v/>
      </c>
    </row>
    <row r="677">
      <c r="F677" s="7">
        <f>IF($A677="","",E677*K677/100)</f>
        <v/>
      </c>
      <c r="J677" s="7" t="n"/>
      <c r="K677" s="7" t="n"/>
      <c r="L677" s="7">
        <f>IF($A677="","",S677*K677)</f>
        <v/>
      </c>
      <c r="M677" s="7">
        <f>IF($A677="","",K677-L677)</f>
        <v/>
      </c>
      <c r="N677" s="7">
        <f>IF($A677="","",M677-F677)</f>
        <v/>
      </c>
      <c r="Q677" s="11" t="n"/>
      <c r="S677">
        <f>IF($A677="","",IF(AND(ISNUMBER($R677),NOT(ISLOGICAL($R677)),N($R677)&gt;1),$R677/100*1,IF($V677=1,Settings!$C$6,Settings!$C$7)*1))</f>
        <v/>
      </c>
      <c r="T677">
        <f>IF($A677="","",IF(COUNTIF($A$2:$A677,$A677)=1,1,0))</f>
        <v/>
      </c>
      <c r="U677">
        <f>IF($T677=1,SUMPRODUCT(--($W$2:$W$1001&lt;$W677))+1,"")</f>
        <v/>
      </c>
      <c r="V677">
        <f>IF($A677="","",IF(AND(ISNUMBER($R677),NOT(ISLOGICAL($R677)),N($R677)&gt;1),IF(ABS($R677/100-Settings!$C$6)&lt;=ABS($R677/100-Settings!$C$7),1,0),IF(OR($R677=TRUE(),$R677="TRUE"),1,0)))</f>
        <v/>
      </c>
      <c r="W677">
        <f>IF($T677=1,IFERROR(IF(VALUE($A677)&lt;100000000,VALUE($A677),1000000000),IFERROR(IF(VALUE(MID($A677,2,20))&lt;100000000,VALUE(MID($A677,2,20)),1000000000),1000000000))+ROW()/100000,"")</f>
        <v/>
      </c>
    </row>
    <row r="678">
      <c r="F678" s="7">
        <f>IF($A678="","",E678*K678/100)</f>
        <v/>
      </c>
      <c r="J678" s="7" t="n"/>
      <c r="K678" s="7" t="n"/>
      <c r="L678" s="7">
        <f>IF($A678="","",S678*K678)</f>
        <v/>
      </c>
      <c r="M678" s="7">
        <f>IF($A678="","",K678-L678)</f>
        <v/>
      </c>
      <c r="N678" s="7">
        <f>IF($A678="","",M678-F678)</f>
        <v/>
      </c>
      <c r="Q678" s="11" t="n"/>
      <c r="S678">
        <f>IF($A678="","",IF(AND(ISNUMBER($R678),NOT(ISLOGICAL($R678)),N($R678)&gt;1),$R678/100*1,IF($V678=1,Settings!$C$6,Settings!$C$7)*1))</f>
        <v/>
      </c>
      <c r="T678">
        <f>IF($A678="","",IF(COUNTIF($A$2:$A678,$A678)=1,1,0))</f>
        <v/>
      </c>
      <c r="U678">
        <f>IF($T678=1,SUMPRODUCT(--($W$2:$W$1001&lt;$W678))+1,"")</f>
        <v/>
      </c>
      <c r="V678">
        <f>IF($A678="","",IF(AND(ISNUMBER($R678),NOT(ISLOGICAL($R678)),N($R678)&gt;1),IF(ABS($R678/100-Settings!$C$6)&lt;=ABS($R678/100-Settings!$C$7),1,0),IF(OR($R678=TRUE(),$R678="TRUE"),1,0)))</f>
        <v/>
      </c>
      <c r="W678">
        <f>IF($T678=1,IFERROR(IF(VALUE($A678)&lt;100000000,VALUE($A678),1000000000),IFERROR(IF(VALUE(MID($A678,2,20))&lt;100000000,VALUE(MID($A678,2,20)),1000000000),1000000000))+ROW()/100000,"")</f>
        <v/>
      </c>
    </row>
    <row r="679">
      <c r="F679" s="7">
        <f>IF($A679="","",E679*K679/100)</f>
        <v/>
      </c>
      <c r="J679" s="7" t="n"/>
      <c r="K679" s="7" t="n"/>
      <c r="L679" s="7">
        <f>IF($A679="","",S679*K679)</f>
        <v/>
      </c>
      <c r="M679" s="7">
        <f>IF($A679="","",K679-L679)</f>
        <v/>
      </c>
      <c r="N679" s="7">
        <f>IF($A679="","",M679-F679)</f>
        <v/>
      </c>
      <c r="Q679" s="11" t="n"/>
      <c r="S679">
        <f>IF($A679="","",IF(AND(ISNUMBER($R679),NOT(ISLOGICAL($R679)),N($R679)&gt;1),$R679/100*1,IF($V679=1,Settings!$C$6,Settings!$C$7)*1))</f>
        <v/>
      </c>
      <c r="T679">
        <f>IF($A679="","",IF(COUNTIF($A$2:$A679,$A679)=1,1,0))</f>
        <v/>
      </c>
      <c r="U679">
        <f>IF($T679=1,SUMPRODUCT(--($W$2:$W$1001&lt;$W679))+1,"")</f>
        <v/>
      </c>
      <c r="V679">
        <f>IF($A679="","",IF(AND(ISNUMBER($R679),NOT(ISLOGICAL($R679)),N($R679)&gt;1),IF(ABS($R679/100-Settings!$C$6)&lt;=ABS($R679/100-Settings!$C$7),1,0),IF(OR($R679=TRUE(),$R679="TRUE"),1,0)))</f>
        <v/>
      </c>
      <c r="W679">
        <f>IF($T679=1,IFERROR(IF(VALUE($A679)&lt;100000000,VALUE($A679),1000000000),IFERROR(IF(VALUE(MID($A679,2,20))&lt;100000000,VALUE(MID($A679,2,20)),1000000000),1000000000))+ROW()/100000,"")</f>
        <v/>
      </c>
    </row>
    <row r="680">
      <c r="F680" s="7">
        <f>IF($A680="","",E680*K680/100)</f>
        <v/>
      </c>
      <c r="J680" s="7" t="n"/>
      <c r="K680" s="7" t="n"/>
      <c r="L680" s="7">
        <f>IF($A680="","",S680*K680)</f>
        <v/>
      </c>
      <c r="M680" s="7">
        <f>IF($A680="","",K680-L680)</f>
        <v/>
      </c>
      <c r="N680" s="7">
        <f>IF($A680="","",M680-F680)</f>
        <v/>
      </c>
      <c r="Q680" s="11" t="n"/>
      <c r="S680">
        <f>IF($A680="","",IF(AND(ISNUMBER($R680),NOT(ISLOGICAL($R680)),N($R680)&gt;1),$R680/100*1,IF($V680=1,Settings!$C$6,Settings!$C$7)*1))</f>
        <v/>
      </c>
      <c r="T680">
        <f>IF($A680="","",IF(COUNTIF($A$2:$A680,$A680)=1,1,0))</f>
        <v/>
      </c>
      <c r="U680">
        <f>IF($T680=1,SUMPRODUCT(--($W$2:$W$1001&lt;$W680))+1,"")</f>
        <v/>
      </c>
      <c r="V680">
        <f>IF($A680="","",IF(AND(ISNUMBER($R680),NOT(ISLOGICAL($R680)),N($R680)&gt;1),IF(ABS($R680/100-Settings!$C$6)&lt;=ABS($R680/100-Settings!$C$7),1,0),IF(OR($R680=TRUE(),$R680="TRUE"),1,0)))</f>
        <v/>
      </c>
      <c r="W680">
        <f>IF($T680=1,IFERROR(IF(VALUE($A680)&lt;100000000,VALUE($A680),1000000000),IFERROR(IF(VALUE(MID($A680,2,20))&lt;100000000,VALUE(MID($A680,2,20)),1000000000),1000000000))+ROW()/100000,"")</f>
        <v/>
      </c>
    </row>
    <row r="681">
      <c r="F681" s="7">
        <f>IF($A681="","",E681*K681/100)</f>
        <v/>
      </c>
      <c r="J681" s="7" t="n"/>
      <c r="K681" s="7" t="n"/>
      <c r="L681" s="7">
        <f>IF($A681="","",S681*K681)</f>
        <v/>
      </c>
      <c r="M681" s="7">
        <f>IF($A681="","",K681-L681)</f>
        <v/>
      </c>
      <c r="N681" s="7">
        <f>IF($A681="","",M681-F681)</f>
        <v/>
      </c>
      <c r="Q681" s="11" t="n"/>
      <c r="S681">
        <f>IF($A681="","",IF(AND(ISNUMBER($R681),NOT(ISLOGICAL($R681)),N($R681)&gt;1),$R681/100*1,IF($V681=1,Settings!$C$6,Settings!$C$7)*1))</f>
        <v/>
      </c>
      <c r="T681">
        <f>IF($A681="","",IF(COUNTIF($A$2:$A681,$A681)=1,1,0))</f>
        <v/>
      </c>
      <c r="U681">
        <f>IF($T681=1,SUMPRODUCT(--($W$2:$W$1001&lt;$W681))+1,"")</f>
        <v/>
      </c>
      <c r="V681">
        <f>IF($A681="","",IF(AND(ISNUMBER($R681),NOT(ISLOGICAL($R681)),N($R681)&gt;1),IF(ABS($R681/100-Settings!$C$6)&lt;=ABS($R681/100-Settings!$C$7),1,0),IF(OR($R681=TRUE(),$R681="TRUE"),1,0)))</f>
        <v/>
      </c>
      <c r="W681">
        <f>IF($T681=1,IFERROR(IF(VALUE($A681)&lt;100000000,VALUE($A681),1000000000),IFERROR(IF(VALUE(MID($A681,2,20))&lt;100000000,VALUE(MID($A681,2,20)),1000000000),1000000000))+ROW()/100000,"")</f>
        <v/>
      </c>
    </row>
    <row r="682">
      <c r="F682" s="7">
        <f>IF($A682="","",E682*K682/100)</f>
        <v/>
      </c>
      <c r="J682" s="7" t="n"/>
      <c r="K682" s="7" t="n"/>
      <c r="L682" s="7">
        <f>IF($A682="","",S682*K682)</f>
        <v/>
      </c>
      <c r="M682" s="7">
        <f>IF($A682="","",K682-L682)</f>
        <v/>
      </c>
      <c r="N682" s="7">
        <f>IF($A682="","",M682-F682)</f>
        <v/>
      </c>
      <c r="Q682" s="11" t="n"/>
      <c r="S682">
        <f>IF($A682="","",IF(AND(ISNUMBER($R682),NOT(ISLOGICAL($R682)),N($R682)&gt;1),$R682/100*1,IF($V682=1,Settings!$C$6,Settings!$C$7)*1))</f>
        <v/>
      </c>
      <c r="T682">
        <f>IF($A682="","",IF(COUNTIF($A$2:$A682,$A682)=1,1,0))</f>
        <v/>
      </c>
      <c r="U682">
        <f>IF($T682=1,SUMPRODUCT(--($W$2:$W$1001&lt;$W682))+1,"")</f>
        <v/>
      </c>
      <c r="V682">
        <f>IF($A682="","",IF(AND(ISNUMBER($R682),NOT(ISLOGICAL($R682)),N($R682)&gt;1),IF(ABS($R682/100-Settings!$C$6)&lt;=ABS($R682/100-Settings!$C$7),1,0),IF(OR($R682=TRUE(),$R682="TRUE"),1,0)))</f>
        <v/>
      </c>
      <c r="W682">
        <f>IF($T682=1,IFERROR(IF(VALUE($A682)&lt;100000000,VALUE($A682),1000000000),IFERROR(IF(VALUE(MID($A682,2,20))&lt;100000000,VALUE(MID($A682,2,20)),1000000000),1000000000))+ROW()/100000,"")</f>
        <v/>
      </c>
    </row>
    <row r="683">
      <c r="F683" s="7">
        <f>IF($A683="","",E683*K683/100)</f>
        <v/>
      </c>
      <c r="J683" s="7" t="n"/>
      <c r="K683" s="7" t="n"/>
      <c r="L683" s="7">
        <f>IF($A683="","",S683*K683)</f>
        <v/>
      </c>
      <c r="M683" s="7">
        <f>IF($A683="","",K683-L683)</f>
        <v/>
      </c>
      <c r="N683" s="7">
        <f>IF($A683="","",M683-F683)</f>
        <v/>
      </c>
      <c r="Q683" s="11" t="n"/>
      <c r="S683">
        <f>IF($A683="","",IF(AND(ISNUMBER($R683),NOT(ISLOGICAL($R683)),N($R683)&gt;1),$R683/100*1,IF($V683=1,Settings!$C$6,Settings!$C$7)*1))</f>
        <v/>
      </c>
      <c r="T683">
        <f>IF($A683="","",IF(COUNTIF($A$2:$A683,$A683)=1,1,0))</f>
        <v/>
      </c>
      <c r="U683">
        <f>IF($T683=1,SUMPRODUCT(--($W$2:$W$1001&lt;$W683))+1,"")</f>
        <v/>
      </c>
      <c r="V683">
        <f>IF($A683="","",IF(AND(ISNUMBER($R683),NOT(ISLOGICAL($R683)),N($R683)&gt;1),IF(ABS($R683/100-Settings!$C$6)&lt;=ABS($R683/100-Settings!$C$7),1,0),IF(OR($R683=TRUE(),$R683="TRUE"),1,0)))</f>
        <v/>
      </c>
      <c r="W683">
        <f>IF($T683=1,IFERROR(IF(VALUE($A683)&lt;100000000,VALUE($A683),1000000000),IFERROR(IF(VALUE(MID($A683,2,20))&lt;100000000,VALUE(MID($A683,2,20)),1000000000),1000000000))+ROW()/100000,"")</f>
        <v/>
      </c>
    </row>
    <row r="684">
      <c r="F684" s="7">
        <f>IF($A684="","",E684*K684/100)</f>
        <v/>
      </c>
      <c r="J684" s="7" t="n"/>
      <c r="K684" s="7" t="n"/>
      <c r="L684" s="7">
        <f>IF($A684="","",S684*K684)</f>
        <v/>
      </c>
      <c r="M684" s="7">
        <f>IF($A684="","",K684-L684)</f>
        <v/>
      </c>
      <c r="N684" s="7">
        <f>IF($A684="","",M684-F684)</f>
        <v/>
      </c>
      <c r="Q684" s="11" t="n"/>
      <c r="S684">
        <f>IF($A684="","",IF(AND(ISNUMBER($R684),NOT(ISLOGICAL($R684)),N($R684)&gt;1),$R684/100*1,IF($V684=1,Settings!$C$6,Settings!$C$7)*1))</f>
        <v/>
      </c>
      <c r="T684">
        <f>IF($A684="","",IF(COUNTIF($A$2:$A684,$A684)=1,1,0))</f>
        <v/>
      </c>
      <c r="U684">
        <f>IF($T684=1,SUMPRODUCT(--($W$2:$W$1001&lt;$W684))+1,"")</f>
        <v/>
      </c>
      <c r="V684">
        <f>IF($A684="","",IF(AND(ISNUMBER($R684),NOT(ISLOGICAL($R684)),N($R684)&gt;1),IF(ABS($R684/100-Settings!$C$6)&lt;=ABS($R684/100-Settings!$C$7),1,0),IF(OR($R684=TRUE(),$R684="TRUE"),1,0)))</f>
        <v/>
      </c>
      <c r="W684">
        <f>IF($T684=1,IFERROR(IF(VALUE($A684)&lt;100000000,VALUE($A684),1000000000),IFERROR(IF(VALUE(MID($A684,2,20))&lt;100000000,VALUE(MID($A684,2,20)),1000000000),1000000000))+ROW()/100000,"")</f>
        <v/>
      </c>
    </row>
    <row r="685">
      <c r="F685" s="7">
        <f>IF($A685="","",E685*K685/100)</f>
        <v/>
      </c>
      <c r="J685" s="7" t="n"/>
      <c r="K685" s="7" t="n"/>
      <c r="L685" s="7">
        <f>IF($A685="","",S685*K685)</f>
        <v/>
      </c>
      <c r="M685" s="7">
        <f>IF($A685="","",K685-L685)</f>
        <v/>
      </c>
      <c r="N685" s="7">
        <f>IF($A685="","",M685-F685)</f>
        <v/>
      </c>
      <c r="Q685" s="11" t="n"/>
      <c r="S685">
        <f>IF($A685="","",IF(AND(ISNUMBER($R685),NOT(ISLOGICAL($R685)),N($R685)&gt;1),$R685/100*1,IF($V685=1,Settings!$C$6,Settings!$C$7)*1))</f>
        <v/>
      </c>
      <c r="T685">
        <f>IF($A685="","",IF(COUNTIF($A$2:$A685,$A685)=1,1,0))</f>
        <v/>
      </c>
      <c r="U685">
        <f>IF($T685=1,SUMPRODUCT(--($W$2:$W$1001&lt;$W685))+1,"")</f>
        <v/>
      </c>
      <c r="V685">
        <f>IF($A685="","",IF(AND(ISNUMBER($R685),NOT(ISLOGICAL($R685)),N($R685)&gt;1),IF(ABS($R685/100-Settings!$C$6)&lt;=ABS($R685/100-Settings!$C$7),1,0),IF(OR($R685=TRUE(),$R685="TRUE"),1,0)))</f>
        <v/>
      </c>
      <c r="W685">
        <f>IF($T685=1,IFERROR(IF(VALUE($A685)&lt;100000000,VALUE($A685),1000000000),IFERROR(IF(VALUE(MID($A685,2,20))&lt;100000000,VALUE(MID($A685,2,20)),1000000000),1000000000))+ROW()/100000,"")</f>
        <v/>
      </c>
    </row>
    <row r="686">
      <c r="F686" s="7">
        <f>IF($A686="","",E686*K686/100)</f>
        <v/>
      </c>
      <c r="J686" s="7" t="n"/>
      <c r="K686" s="7" t="n"/>
      <c r="L686" s="7">
        <f>IF($A686="","",S686*K686)</f>
        <v/>
      </c>
      <c r="M686" s="7">
        <f>IF($A686="","",K686-L686)</f>
        <v/>
      </c>
      <c r="N686" s="7">
        <f>IF($A686="","",M686-F686)</f>
        <v/>
      </c>
      <c r="Q686" s="11" t="n"/>
      <c r="S686">
        <f>IF($A686="","",IF(AND(ISNUMBER($R686),NOT(ISLOGICAL($R686)),N($R686)&gt;1),$R686/100*1,IF($V686=1,Settings!$C$6,Settings!$C$7)*1))</f>
        <v/>
      </c>
      <c r="T686">
        <f>IF($A686="","",IF(COUNTIF($A$2:$A686,$A686)=1,1,0))</f>
        <v/>
      </c>
      <c r="U686">
        <f>IF($T686=1,SUMPRODUCT(--($W$2:$W$1001&lt;$W686))+1,"")</f>
        <v/>
      </c>
      <c r="V686">
        <f>IF($A686="","",IF(AND(ISNUMBER($R686),NOT(ISLOGICAL($R686)),N($R686)&gt;1),IF(ABS($R686/100-Settings!$C$6)&lt;=ABS($R686/100-Settings!$C$7),1,0),IF(OR($R686=TRUE(),$R686="TRUE"),1,0)))</f>
        <v/>
      </c>
      <c r="W686">
        <f>IF($T686=1,IFERROR(IF(VALUE($A686)&lt;100000000,VALUE($A686),1000000000),IFERROR(IF(VALUE(MID($A686,2,20))&lt;100000000,VALUE(MID($A686,2,20)),1000000000),1000000000))+ROW()/100000,"")</f>
        <v/>
      </c>
    </row>
    <row r="687">
      <c r="F687" s="7">
        <f>IF($A687="","",E687*K687/100)</f>
        <v/>
      </c>
      <c r="J687" s="7" t="n"/>
      <c r="K687" s="7" t="n"/>
      <c r="L687" s="7">
        <f>IF($A687="","",S687*K687)</f>
        <v/>
      </c>
      <c r="M687" s="7">
        <f>IF($A687="","",K687-L687)</f>
        <v/>
      </c>
      <c r="N687" s="7">
        <f>IF($A687="","",M687-F687)</f>
        <v/>
      </c>
      <c r="Q687" s="11" t="n"/>
      <c r="S687">
        <f>IF($A687="","",IF(AND(ISNUMBER($R687),NOT(ISLOGICAL($R687)),N($R687)&gt;1),$R687/100*1,IF($V687=1,Settings!$C$6,Settings!$C$7)*1))</f>
        <v/>
      </c>
      <c r="T687">
        <f>IF($A687="","",IF(COUNTIF($A$2:$A687,$A687)=1,1,0))</f>
        <v/>
      </c>
      <c r="U687">
        <f>IF($T687=1,SUMPRODUCT(--($W$2:$W$1001&lt;$W687))+1,"")</f>
        <v/>
      </c>
      <c r="V687">
        <f>IF($A687="","",IF(AND(ISNUMBER($R687),NOT(ISLOGICAL($R687)),N($R687)&gt;1),IF(ABS($R687/100-Settings!$C$6)&lt;=ABS($R687/100-Settings!$C$7),1,0),IF(OR($R687=TRUE(),$R687="TRUE"),1,0)))</f>
        <v/>
      </c>
      <c r="W687">
        <f>IF($T687=1,IFERROR(IF(VALUE($A687)&lt;100000000,VALUE($A687),1000000000),IFERROR(IF(VALUE(MID($A687,2,20))&lt;100000000,VALUE(MID($A687,2,20)),1000000000),1000000000))+ROW()/100000,"")</f>
        <v/>
      </c>
    </row>
    <row r="688">
      <c r="F688" s="7">
        <f>IF($A688="","",E688*K688/100)</f>
        <v/>
      </c>
      <c r="J688" s="7" t="n"/>
      <c r="K688" s="7" t="n"/>
      <c r="L688" s="7">
        <f>IF($A688="","",S688*K688)</f>
        <v/>
      </c>
      <c r="M688" s="7">
        <f>IF($A688="","",K688-L688)</f>
        <v/>
      </c>
      <c r="N688" s="7">
        <f>IF($A688="","",M688-F688)</f>
        <v/>
      </c>
      <c r="Q688" s="11" t="n"/>
      <c r="S688">
        <f>IF($A688="","",IF(AND(ISNUMBER($R688),NOT(ISLOGICAL($R688)),N($R688)&gt;1),$R688/100*1,IF($V688=1,Settings!$C$6,Settings!$C$7)*1))</f>
        <v/>
      </c>
      <c r="T688">
        <f>IF($A688="","",IF(COUNTIF($A$2:$A688,$A688)=1,1,0))</f>
        <v/>
      </c>
      <c r="U688">
        <f>IF($T688=1,SUMPRODUCT(--($W$2:$W$1001&lt;$W688))+1,"")</f>
        <v/>
      </c>
      <c r="V688">
        <f>IF($A688="","",IF(AND(ISNUMBER($R688),NOT(ISLOGICAL($R688)),N($R688)&gt;1),IF(ABS($R688/100-Settings!$C$6)&lt;=ABS($R688/100-Settings!$C$7),1,0),IF(OR($R688=TRUE(),$R688="TRUE"),1,0)))</f>
        <v/>
      </c>
      <c r="W688">
        <f>IF($T688=1,IFERROR(IF(VALUE($A688)&lt;100000000,VALUE($A688),1000000000),IFERROR(IF(VALUE(MID($A688,2,20))&lt;100000000,VALUE(MID($A688,2,20)),1000000000),1000000000))+ROW()/100000,"")</f>
        <v/>
      </c>
    </row>
    <row r="689">
      <c r="F689" s="7">
        <f>IF($A689="","",E689*K689/100)</f>
        <v/>
      </c>
      <c r="J689" s="7" t="n"/>
      <c r="K689" s="7" t="n"/>
      <c r="L689" s="7">
        <f>IF($A689="","",S689*K689)</f>
        <v/>
      </c>
      <c r="M689" s="7">
        <f>IF($A689="","",K689-L689)</f>
        <v/>
      </c>
      <c r="N689" s="7">
        <f>IF($A689="","",M689-F689)</f>
        <v/>
      </c>
      <c r="Q689" s="11" t="n"/>
      <c r="S689">
        <f>IF($A689="","",IF(AND(ISNUMBER($R689),NOT(ISLOGICAL($R689)),N($R689)&gt;1),$R689/100*1,IF($V689=1,Settings!$C$6,Settings!$C$7)*1))</f>
        <v/>
      </c>
      <c r="T689">
        <f>IF($A689="","",IF(COUNTIF($A$2:$A689,$A689)=1,1,0))</f>
        <v/>
      </c>
      <c r="U689">
        <f>IF($T689=1,SUMPRODUCT(--($W$2:$W$1001&lt;$W689))+1,"")</f>
        <v/>
      </c>
      <c r="V689">
        <f>IF($A689="","",IF(AND(ISNUMBER($R689),NOT(ISLOGICAL($R689)),N($R689)&gt;1),IF(ABS($R689/100-Settings!$C$6)&lt;=ABS($R689/100-Settings!$C$7),1,0),IF(OR($R689=TRUE(),$R689="TRUE"),1,0)))</f>
        <v/>
      </c>
      <c r="W689">
        <f>IF($T689=1,IFERROR(IF(VALUE($A689)&lt;100000000,VALUE($A689),1000000000),IFERROR(IF(VALUE(MID($A689,2,20))&lt;100000000,VALUE(MID($A689,2,20)),1000000000),1000000000))+ROW()/100000,"")</f>
        <v/>
      </c>
    </row>
    <row r="690">
      <c r="F690" s="7">
        <f>IF($A690="","",E690*K690/100)</f>
        <v/>
      </c>
      <c r="J690" s="7" t="n"/>
      <c r="K690" s="7" t="n"/>
      <c r="L690" s="7">
        <f>IF($A690="","",S690*K690)</f>
        <v/>
      </c>
      <c r="M690" s="7">
        <f>IF($A690="","",K690-L690)</f>
        <v/>
      </c>
      <c r="N690" s="7">
        <f>IF($A690="","",M690-F690)</f>
        <v/>
      </c>
      <c r="Q690" s="11" t="n"/>
      <c r="S690">
        <f>IF($A690="","",IF(AND(ISNUMBER($R690),NOT(ISLOGICAL($R690)),N($R690)&gt;1),$R690/100*1,IF($V690=1,Settings!$C$6,Settings!$C$7)*1))</f>
        <v/>
      </c>
      <c r="T690">
        <f>IF($A690="","",IF(COUNTIF($A$2:$A690,$A690)=1,1,0))</f>
        <v/>
      </c>
      <c r="U690">
        <f>IF($T690=1,SUMPRODUCT(--($W$2:$W$1001&lt;$W690))+1,"")</f>
        <v/>
      </c>
      <c r="V690">
        <f>IF($A690="","",IF(AND(ISNUMBER($R690),NOT(ISLOGICAL($R690)),N($R690)&gt;1),IF(ABS($R690/100-Settings!$C$6)&lt;=ABS($R690/100-Settings!$C$7),1,0),IF(OR($R690=TRUE(),$R690="TRUE"),1,0)))</f>
        <v/>
      </c>
      <c r="W690">
        <f>IF($T690=1,IFERROR(IF(VALUE($A690)&lt;100000000,VALUE($A690),1000000000),IFERROR(IF(VALUE(MID($A690,2,20))&lt;100000000,VALUE(MID($A690,2,20)),1000000000),1000000000))+ROW()/100000,"")</f>
        <v/>
      </c>
    </row>
    <row r="691">
      <c r="F691" s="7">
        <f>IF($A691="","",E691*K691/100)</f>
        <v/>
      </c>
      <c r="J691" s="7" t="n"/>
      <c r="K691" s="7" t="n"/>
      <c r="L691" s="7">
        <f>IF($A691="","",S691*K691)</f>
        <v/>
      </c>
      <c r="M691" s="7">
        <f>IF($A691="","",K691-L691)</f>
        <v/>
      </c>
      <c r="N691" s="7">
        <f>IF($A691="","",M691-F691)</f>
        <v/>
      </c>
      <c r="Q691" s="11" t="n"/>
      <c r="S691">
        <f>IF($A691="","",IF(AND(ISNUMBER($R691),NOT(ISLOGICAL($R691)),N($R691)&gt;1),$R691/100*1,IF($V691=1,Settings!$C$6,Settings!$C$7)*1))</f>
        <v/>
      </c>
      <c r="T691">
        <f>IF($A691="","",IF(COUNTIF($A$2:$A691,$A691)=1,1,0))</f>
        <v/>
      </c>
      <c r="U691">
        <f>IF($T691=1,SUMPRODUCT(--($W$2:$W$1001&lt;$W691))+1,"")</f>
        <v/>
      </c>
      <c r="V691">
        <f>IF($A691="","",IF(AND(ISNUMBER($R691),NOT(ISLOGICAL($R691)),N($R691)&gt;1),IF(ABS($R691/100-Settings!$C$6)&lt;=ABS($R691/100-Settings!$C$7),1,0),IF(OR($R691=TRUE(),$R691="TRUE"),1,0)))</f>
        <v/>
      </c>
      <c r="W691">
        <f>IF($T691=1,IFERROR(IF(VALUE($A691)&lt;100000000,VALUE($A691),1000000000),IFERROR(IF(VALUE(MID($A691,2,20))&lt;100000000,VALUE(MID($A691,2,20)),1000000000),1000000000))+ROW()/100000,"")</f>
        <v/>
      </c>
    </row>
    <row r="692">
      <c r="F692" s="7">
        <f>IF($A692="","",E692*K692/100)</f>
        <v/>
      </c>
      <c r="J692" s="7" t="n"/>
      <c r="K692" s="7" t="n"/>
      <c r="L692" s="7">
        <f>IF($A692="","",S692*K692)</f>
        <v/>
      </c>
      <c r="M692" s="7">
        <f>IF($A692="","",K692-L692)</f>
        <v/>
      </c>
      <c r="N692" s="7">
        <f>IF($A692="","",M692-F692)</f>
        <v/>
      </c>
      <c r="Q692" s="11" t="n"/>
      <c r="S692">
        <f>IF($A692="","",IF(AND(ISNUMBER($R692),NOT(ISLOGICAL($R692)),N($R692)&gt;1),$R692/100*1,IF($V692=1,Settings!$C$6,Settings!$C$7)*1))</f>
        <v/>
      </c>
      <c r="T692">
        <f>IF($A692="","",IF(COUNTIF($A$2:$A692,$A692)=1,1,0))</f>
        <v/>
      </c>
      <c r="U692">
        <f>IF($T692=1,SUMPRODUCT(--($W$2:$W$1001&lt;$W692))+1,"")</f>
        <v/>
      </c>
      <c r="V692">
        <f>IF($A692="","",IF(AND(ISNUMBER($R692),NOT(ISLOGICAL($R692)),N($R692)&gt;1),IF(ABS($R692/100-Settings!$C$6)&lt;=ABS($R692/100-Settings!$C$7),1,0),IF(OR($R692=TRUE(),$R692="TRUE"),1,0)))</f>
        <v/>
      </c>
      <c r="W692">
        <f>IF($T692=1,IFERROR(IF(VALUE($A692)&lt;100000000,VALUE($A692),1000000000),IFERROR(IF(VALUE(MID($A692,2,20))&lt;100000000,VALUE(MID($A692,2,20)),1000000000),1000000000))+ROW()/100000,"")</f>
        <v/>
      </c>
    </row>
    <row r="693">
      <c r="F693" s="7">
        <f>IF($A693="","",E693*K693/100)</f>
        <v/>
      </c>
      <c r="J693" s="7" t="n"/>
      <c r="K693" s="7" t="n"/>
      <c r="L693" s="7">
        <f>IF($A693="","",S693*K693)</f>
        <v/>
      </c>
      <c r="M693" s="7">
        <f>IF($A693="","",K693-L693)</f>
        <v/>
      </c>
      <c r="N693" s="7">
        <f>IF($A693="","",M693-F693)</f>
        <v/>
      </c>
      <c r="Q693" s="11" t="n"/>
      <c r="S693">
        <f>IF($A693="","",IF(AND(ISNUMBER($R693),NOT(ISLOGICAL($R693)),N($R693)&gt;1),$R693/100*1,IF($V693=1,Settings!$C$6,Settings!$C$7)*1))</f>
        <v/>
      </c>
      <c r="T693">
        <f>IF($A693="","",IF(COUNTIF($A$2:$A693,$A693)=1,1,0))</f>
        <v/>
      </c>
      <c r="U693">
        <f>IF($T693=1,SUMPRODUCT(--($W$2:$W$1001&lt;$W693))+1,"")</f>
        <v/>
      </c>
      <c r="V693">
        <f>IF($A693="","",IF(AND(ISNUMBER($R693),NOT(ISLOGICAL($R693)),N($R693)&gt;1),IF(ABS($R693/100-Settings!$C$6)&lt;=ABS($R693/100-Settings!$C$7),1,0),IF(OR($R693=TRUE(),$R693="TRUE"),1,0)))</f>
        <v/>
      </c>
      <c r="W693">
        <f>IF($T693=1,IFERROR(IF(VALUE($A693)&lt;100000000,VALUE($A693),1000000000),IFERROR(IF(VALUE(MID($A693,2,20))&lt;100000000,VALUE(MID($A693,2,20)),1000000000),1000000000))+ROW()/100000,"")</f>
        <v/>
      </c>
    </row>
    <row r="694">
      <c r="F694" s="7">
        <f>IF($A694="","",E694*K694/100)</f>
        <v/>
      </c>
      <c r="J694" s="7" t="n"/>
      <c r="K694" s="7" t="n"/>
      <c r="L694" s="7">
        <f>IF($A694="","",S694*K694)</f>
        <v/>
      </c>
      <c r="M694" s="7">
        <f>IF($A694="","",K694-L694)</f>
        <v/>
      </c>
      <c r="N694" s="7">
        <f>IF($A694="","",M694-F694)</f>
        <v/>
      </c>
      <c r="Q694" s="11" t="n"/>
      <c r="S694">
        <f>IF($A694="","",IF(AND(ISNUMBER($R694),NOT(ISLOGICAL($R694)),N($R694)&gt;1),$R694/100*1,IF($V694=1,Settings!$C$6,Settings!$C$7)*1))</f>
        <v/>
      </c>
      <c r="T694">
        <f>IF($A694="","",IF(COUNTIF($A$2:$A694,$A694)=1,1,0))</f>
        <v/>
      </c>
      <c r="U694">
        <f>IF($T694=1,SUMPRODUCT(--($W$2:$W$1001&lt;$W694))+1,"")</f>
        <v/>
      </c>
      <c r="V694">
        <f>IF($A694="","",IF(AND(ISNUMBER($R694),NOT(ISLOGICAL($R694)),N($R694)&gt;1),IF(ABS($R694/100-Settings!$C$6)&lt;=ABS($R694/100-Settings!$C$7),1,0),IF(OR($R694=TRUE(),$R694="TRUE"),1,0)))</f>
        <v/>
      </c>
      <c r="W694">
        <f>IF($T694=1,IFERROR(IF(VALUE($A694)&lt;100000000,VALUE($A694),1000000000),IFERROR(IF(VALUE(MID($A694,2,20))&lt;100000000,VALUE(MID($A694,2,20)),1000000000),1000000000))+ROW()/100000,"")</f>
        <v/>
      </c>
    </row>
    <row r="695">
      <c r="F695" s="7">
        <f>IF($A695="","",E695*K695/100)</f>
        <v/>
      </c>
      <c r="J695" s="7" t="n"/>
      <c r="K695" s="7" t="n"/>
      <c r="L695" s="7">
        <f>IF($A695="","",S695*K695)</f>
        <v/>
      </c>
      <c r="M695" s="7">
        <f>IF($A695="","",K695-L695)</f>
        <v/>
      </c>
      <c r="N695" s="7">
        <f>IF($A695="","",M695-F695)</f>
        <v/>
      </c>
      <c r="Q695" s="11" t="n"/>
      <c r="S695">
        <f>IF($A695="","",IF(AND(ISNUMBER($R695),NOT(ISLOGICAL($R695)),N($R695)&gt;1),$R695/100*1,IF($V695=1,Settings!$C$6,Settings!$C$7)*1))</f>
        <v/>
      </c>
      <c r="T695">
        <f>IF($A695="","",IF(COUNTIF($A$2:$A695,$A695)=1,1,0))</f>
        <v/>
      </c>
      <c r="U695">
        <f>IF($T695=1,SUMPRODUCT(--($W$2:$W$1001&lt;$W695))+1,"")</f>
        <v/>
      </c>
      <c r="V695">
        <f>IF($A695="","",IF(AND(ISNUMBER($R695),NOT(ISLOGICAL($R695)),N($R695)&gt;1),IF(ABS($R695/100-Settings!$C$6)&lt;=ABS($R695/100-Settings!$C$7),1,0),IF(OR($R695=TRUE(),$R695="TRUE"),1,0)))</f>
        <v/>
      </c>
      <c r="W695">
        <f>IF($T695=1,IFERROR(IF(VALUE($A695)&lt;100000000,VALUE($A695),1000000000),IFERROR(IF(VALUE(MID($A695,2,20))&lt;100000000,VALUE(MID($A695,2,20)),1000000000),1000000000))+ROW()/100000,"")</f>
        <v/>
      </c>
    </row>
    <row r="696">
      <c r="F696" s="7">
        <f>IF($A696="","",E696*K696/100)</f>
        <v/>
      </c>
      <c r="J696" s="7" t="n"/>
      <c r="K696" s="7" t="n"/>
      <c r="L696" s="7">
        <f>IF($A696="","",S696*K696)</f>
        <v/>
      </c>
      <c r="M696" s="7">
        <f>IF($A696="","",K696-L696)</f>
        <v/>
      </c>
      <c r="N696" s="7">
        <f>IF($A696="","",M696-F696)</f>
        <v/>
      </c>
      <c r="Q696" s="11" t="n"/>
      <c r="S696">
        <f>IF($A696="","",IF(AND(ISNUMBER($R696),NOT(ISLOGICAL($R696)),N($R696)&gt;1),$R696/100*1,IF($V696=1,Settings!$C$6,Settings!$C$7)*1))</f>
        <v/>
      </c>
      <c r="T696">
        <f>IF($A696="","",IF(COUNTIF($A$2:$A696,$A696)=1,1,0))</f>
        <v/>
      </c>
      <c r="U696">
        <f>IF($T696=1,SUMPRODUCT(--($W$2:$W$1001&lt;$W696))+1,"")</f>
        <v/>
      </c>
      <c r="V696">
        <f>IF($A696="","",IF(AND(ISNUMBER($R696),NOT(ISLOGICAL($R696)),N($R696)&gt;1),IF(ABS($R696/100-Settings!$C$6)&lt;=ABS($R696/100-Settings!$C$7),1,0),IF(OR($R696=TRUE(),$R696="TRUE"),1,0)))</f>
        <v/>
      </c>
      <c r="W696">
        <f>IF($T696=1,IFERROR(IF(VALUE($A696)&lt;100000000,VALUE($A696),1000000000),IFERROR(IF(VALUE(MID($A696,2,20))&lt;100000000,VALUE(MID($A696,2,20)),1000000000),1000000000))+ROW()/100000,"")</f>
        <v/>
      </c>
    </row>
    <row r="697">
      <c r="F697" s="7">
        <f>IF($A697="","",E697*K697/100)</f>
        <v/>
      </c>
      <c r="J697" s="7" t="n"/>
      <c r="K697" s="7" t="n"/>
      <c r="L697" s="7">
        <f>IF($A697="","",S697*K697)</f>
        <v/>
      </c>
      <c r="M697" s="7">
        <f>IF($A697="","",K697-L697)</f>
        <v/>
      </c>
      <c r="N697" s="7">
        <f>IF($A697="","",M697-F697)</f>
        <v/>
      </c>
      <c r="Q697" s="11" t="n"/>
      <c r="S697">
        <f>IF($A697="","",IF(AND(ISNUMBER($R697),NOT(ISLOGICAL($R697)),N($R697)&gt;1),$R697/100*1,IF($V697=1,Settings!$C$6,Settings!$C$7)*1))</f>
        <v/>
      </c>
      <c r="T697">
        <f>IF($A697="","",IF(COUNTIF($A$2:$A697,$A697)=1,1,0))</f>
        <v/>
      </c>
      <c r="U697">
        <f>IF($T697=1,SUMPRODUCT(--($W$2:$W$1001&lt;$W697))+1,"")</f>
        <v/>
      </c>
      <c r="V697">
        <f>IF($A697="","",IF(AND(ISNUMBER($R697),NOT(ISLOGICAL($R697)),N($R697)&gt;1),IF(ABS($R697/100-Settings!$C$6)&lt;=ABS($R697/100-Settings!$C$7),1,0),IF(OR($R697=TRUE(),$R697="TRUE"),1,0)))</f>
        <v/>
      </c>
      <c r="W697">
        <f>IF($T697=1,IFERROR(IF(VALUE($A697)&lt;100000000,VALUE($A697),1000000000),IFERROR(IF(VALUE(MID($A697,2,20))&lt;100000000,VALUE(MID($A697,2,20)),1000000000),1000000000))+ROW()/100000,"")</f>
        <v/>
      </c>
    </row>
    <row r="698">
      <c r="F698" s="7">
        <f>IF($A698="","",E698*K698/100)</f>
        <v/>
      </c>
      <c r="J698" s="7" t="n"/>
      <c r="K698" s="7" t="n"/>
      <c r="L698" s="7">
        <f>IF($A698="","",S698*K698)</f>
        <v/>
      </c>
      <c r="M698" s="7">
        <f>IF($A698="","",K698-L698)</f>
        <v/>
      </c>
      <c r="N698" s="7">
        <f>IF($A698="","",M698-F698)</f>
        <v/>
      </c>
      <c r="Q698" s="11" t="n"/>
      <c r="S698">
        <f>IF($A698="","",IF(AND(ISNUMBER($R698),NOT(ISLOGICAL($R698)),N($R698)&gt;1),$R698/100*1,IF($V698=1,Settings!$C$6,Settings!$C$7)*1))</f>
        <v/>
      </c>
      <c r="T698">
        <f>IF($A698="","",IF(COUNTIF($A$2:$A698,$A698)=1,1,0))</f>
        <v/>
      </c>
      <c r="U698">
        <f>IF($T698=1,SUMPRODUCT(--($W$2:$W$1001&lt;$W698))+1,"")</f>
        <v/>
      </c>
      <c r="V698">
        <f>IF($A698="","",IF(AND(ISNUMBER($R698),NOT(ISLOGICAL($R698)),N($R698)&gt;1),IF(ABS($R698/100-Settings!$C$6)&lt;=ABS($R698/100-Settings!$C$7),1,0),IF(OR($R698=TRUE(),$R698="TRUE"),1,0)))</f>
        <v/>
      </c>
      <c r="W698">
        <f>IF($T698=1,IFERROR(IF(VALUE($A698)&lt;100000000,VALUE($A698),1000000000),IFERROR(IF(VALUE(MID($A698,2,20))&lt;100000000,VALUE(MID($A698,2,20)),1000000000),1000000000))+ROW()/100000,"")</f>
        <v/>
      </c>
    </row>
    <row r="699">
      <c r="F699" s="7">
        <f>IF($A699="","",E699*K699/100)</f>
        <v/>
      </c>
      <c r="J699" s="7" t="n"/>
      <c r="K699" s="7" t="n"/>
      <c r="L699" s="7">
        <f>IF($A699="","",S699*K699)</f>
        <v/>
      </c>
      <c r="M699" s="7">
        <f>IF($A699="","",K699-L699)</f>
        <v/>
      </c>
      <c r="N699" s="7">
        <f>IF($A699="","",M699-F699)</f>
        <v/>
      </c>
      <c r="Q699" s="11" t="n"/>
      <c r="S699">
        <f>IF($A699="","",IF(AND(ISNUMBER($R699),NOT(ISLOGICAL($R699)),N($R699)&gt;1),$R699/100*1,IF($V699=1,Settings!$C$6,Settings!$C$7)*1))</f>
        <v/>
      </c>
      <c r="T699">
        <f>IF($A699="","",IF(COUNTIF($A$2:$A699,$A699)=1,1,0))</f>
        <v/>
      </c>
      <c r="U699">
        <f>IF($T699=1,SUMPRODUCT(--($W$2:$W$1001&lt;$W699))+1,"")</f>
        <v/>
      </c>
      <c r="V699">
        <f>IF($A699="","",IF(AND(ISNUMBER($R699),NOT(ISLOGICAL($R699)),N($R699)&gt;1),IF(ABS($R699/100-Settings!$C$6)&lt;=ABS($R699/100-Settings!$C$7),1,0),IF(OR($R699=TRUE(),$R699="TRUE"),1,0)))</f>
        <v/>
      </c>
      <c r="W699">
        <f>IF($T699=1,IFERROR(IF(VALUE($A699)&lt;100000000,VALUE($A699),1000000000),IFERROR(IF(VALUE(MID($A699,2,20))&lt;100000000,VALUE(MID($A699,2,20)),1000000000),1000000000))+ROW()/100000,"")</f>
        <v/>
      </c>
    </row>
    <row r="700">
      <c r="F700" s="7">
        <f>IF($A700="","",E700*K700/100)</f>
        <v/>
      </c>
      <c r="J700" s="7" t="n"/>
      <c r="K700" s="7" t="n"/>
      <c r="L700" s="7">
        <f>IF($A700="","",S700*K700)</f>
        <v/>
      </c>
      <c r="M700" s="7">
        <f>IF($A700="","",K700-L700)</f>
        <v/>
      </c>
      <c r="N700" s="7">
        <f>IF($A700="","",M700-F700)</f>
        <v/>
      </c>
      <c r="Q700" s="11" t="n"/>
      <c r="S700">
        <f>IF($A700="","",IF(AND(ISNUMBER($R700),NOT(ISLOGICAL($R700)),N($R700)&gt;1),$R700/100*1,IF($V700=1,Settings!$C$6,Settings!$C$7)*1))</f>
        <v/>
      </c>
      <c r="T700">
        <f>IF($A700="","",IF(COUNTIF($A$2:$A700,$A700)=1,1,0))</f>
        <v/>
      </c>
      <c r="U700">
        <f>IF($T700=1,SUMPRODUCT(--($W$2:$W$1001&lt;$W700))+1,"")</f>
        <v/>
      </c>
      <c r="V700">
        <f>IF($A700="","",IF(AND(ISNUMBER($R700),NOT(ISLOGICAL($R700)),N($R700)&gt;1),IF(ABS($R700/100-Settings!$C$6)&lt;=ABS($R700/100-Settings!$C$7),1,0),IF(OR($R700=TRUE(),$R700="TRUE"),1,0)))</f>
        <v/>
      </c>
      <c r="W700">
        <f>IF($T700=1,IFERROR(IF(VALUE($A700)&lt;100000000,VALUE($A700),1000000000),IFERROR(IF(VALUE(MID($A700,2,20))&lt;100000000,VALUE(MID($A700,2,20)),1000000000),1000000000))+ROW()/100000,"")</f>
        <v/>
      </c>
    </row>
    <row r="701">
      <c r="F701" s="7">
        <f>IF($A701="","",E701*K701/100)</f>
        <v/>
      </c>
      <c r="J701" s="7" t="n"/>
      <c r="K701" s="7" t="n"/>
      <c r="L701" s="7">
        <f>IF($A701="","",S701*K701)</f>
        <v/>
      </c>
      <c r="M701" s="7">
        <f>IF($A701="","",K701-L701)</f>
        <v/>
      </c>
      <c r="N701" s="7">
        <f>IF($A701="","",M701-F701)</f>
        <v/>
      </c>
      <c r="Q701" s="11" t="n"/>
      <c r="S701">
        <f>IF($A701="","",IF(AND(ISNUMBER($R701),NOT(ISLOGICAL($R701)),N($R701)&gt;1),$R701/100*1,IF($V701=1,Settings!$C$6,Settings!$C$7)*1))</f>
        <v/>
      </c>
      <c r="T701">
        <f>IF($A701="","",IF(COUNTIF($A$2:$A701,$A701)=1,1,0))</f>
        <v/>
      </c>
      <c r="U701">
        <f>IF($T701=1,SUMPRODUCT(--($W$2:$W$1001&lt;$W701))+1,"")</f>
        <v/>
      </c>
      <c r="V701">
        <f>IF($A701="","",IF(AND(ISNUMBER($R701),NOT(ISLOGICAL($R701)),N($R701)&gt;1),IF(ABS($R701/100-Settings!$C$6)&lt;=ABS($R701/100-Settings!$C$7),1,0),IF(OR($R701=TRUE(),$R701="TRUE"),1,0)))</f>
        <v/>
      </c>
      <c r="W701">
        <f>IF($T701=1,IFERROR(IF(VALUE($A701)&lt;100000000,VALUE($A701),1000000000),IFERROR(IF(VALUE(MID($A701,2,20))&lt;100000000,VALUE(MID($A701,2,20)),1000000000),1000000000))+ROW()/100000,"")</f>
        <v/>
      </c>
    </row>
    <row r="702">
      <c r="F702" s="7">
        <f>IF($A702="","",E702*K702/100)</f>
        <v/>
      </c>
      <c r="J702" s="7" t="n"/>
      <c r="K702" s="7" t="n"/>
      <c r="L702" s="7">
        <f>IF($A702="","",S702*K702)</f>
        <v/>
      </c>
      <c r="M702" s="7">
        <f>IF($A702="","",K702-L702)</f>
        <v/>
      </c>
      <c r="N702" s="7">
        <f>IF($A702="","",M702-F702)</f>
        <v/>
      </c>
      <c r="Q702" s="11" t="n"/>
      <c r="S702">
        <f>IF($A702="","",IF(AND(ISNUMBER($R702),NOT(ISLOGICAL($R702)),N($R702)&gt;1),$R702/100*1,IF($V702=1,Settings!$C$6,Settings!$C$7)*1))</f>
        <v/>
      </c>
      <c r="T702">
        <f>IF($A702="","",IF(COUNTIF($A$2:$A702,$A702)=1,1,0))</f>
        <v/>
      </c>
      <c r="U702">
        <f>IF($T702=1,SUMPRODUCT(--($W$2:$W$1001&lt;$W702))+1,"")</f>
        <v/>
      </c>
      <c r="V702">
        <f>IF($A702="","",IF(AND(ISNUMBER($R702),NOT(ISLOGICAL($R702)),N($R702)&gt;1),IF(ABS($R702/100-Settings!$C$6)&lt;=ABS($R702/100-Settings!$C$7),1,0),IF(OR($R702=TRUE(),$R702="TRUE"),1,0)))</f>
        <v/>
      </c>
      <c r="W702">
        <f>IF($T702=1,IFERROR(IF(VALUE($A702)&lt;100000000,VALUE($A702),1000000000),IFERROR(IF(VALUE(MID($A702,2,20))&lt;100000000,VALUE(MID($A702,2,20)),1000000000),1000000000))+ROW()/100000,"")</f>
        <v/>
      </c>
    </row>
    <row r="703">
      <c r="F703" s="7">
        <f>IF($A703="","",E703*K703/100)</f>
        <v/>
      </c>
      <c r="J703" s="7" t="n"/>
      <c r="K703" s="7" t="n"/>
      <c r="L703" s="7">
        <f>IF($A703="","",S703*K703)</f>
        <v/>
      </c>
      <c r="M703" s="7">
        <f>IF($A703="","",K703-L703)</f>
        <v/>
      </c>
      <c r="N703" s="7">
        <f>IF($A703="","",M703-F703)</f>
        <v/>
      </c>
      <c r="Q703" s="11" t="n"/>
      <c r="S703">
        <f>IF($A703="","",IF(AND(ISNUMBER($R703),NOT(ISLOGICAL($R703)),N($R703)&gt;1),$R703/100*1,IF($V703=1,Settings!$C$6,Settings!$C$7)*1))</f>
        <v/>
      </c>
      <c r="T703">
        <f>IF($A703="","",IF(COUNTIF($A$2:$A703,$A703)=1,1,0))</f>
        <v/>
      </c>
      <c r="U703">
        <f>IF($T703=1,SUMPRODUCT(--($W$2:$W$1001&lt;$W703))+1,"")</f>
        <v/>
      </c>
      <c r="V703">
        <f>IF($A703="","",IF(AND(ISNUMBER($R703),NOT(ISLOGICAL($R703)),N($R703)&gt;1),IF(ABS($R703/100-Settings!$C$6)&lt;=ABS($R703/100-Settings!$C$7),1,0),IF(OR($R703=TRUE(),$R703="TRUE"),1,0)))</f>
        <v/>
      </c>
      <c r="W703">
        <f>IF($T703=1,IFERROR(IF(VALUE($A703)&lt;100000000,VALUE($A703),1000000000),IFERROR(IF(VALUE(MID($A703,2,20))&lt;100000000,VALUE(MID($A703,2,20)),1000000000),1000000000))+ROW()/100000,"")</f>
        <v/>
      </c>
    </row>
    <row r="704">
      <c r="F704" s="7">
        <f>IF($A704="","",E704*K704/100)</f>
        <v/>
      </c>
      <c r="J704" s="7" t="n"/>
      <c r="K704" s="7" t="n"/>
      <c r="L704" s="7">
        <f>IF($A704="","",S704*K704)</f>
        <v/>
      </c>
      <c r="M704" s="7">
        <f>IF($A704="","",K704-L704)</f>
        <v/>
      </c>
      <c r="N704" s="7">
        <f>IF($A704="","",M704-F704)</f>
        <v/>
      </c>
      <c r="Q704" s="11" t="n"/>
      <c r="S704">
        <f>IF($A704="","",IF(AND(ISNUMBER($R704),NOT(ISLOGICAL($R704)),N($R704)&gt;1),$R704/100*1,IF($V704=1,Settings!$C$6,Settings!$C$7)*1))</f>
        <v/>
      </c>
      <c r="T704">
        <f>IF($A704="","",IF(COUNTIF($A$2:$A704,$A704)=1,1,0))</f>
        <v/>
      </c>
      <c r="U704">
        <f>IF($T704=1,SUMPRODUCT(--($W$2:$W$1001&lt;$W704))+1,"")</f>
        <v/>
      </c>
      <c r="V704">
        <f>IF($A704="","",IF(AND(ISNUMBER($R704),NOT(ISLOGICAL($R704)),N($R704)&gt;1),IF(ABS($R704/100-Settings!$C$6)&lt;=ABS($R704/100-Settings!$C$7),1,0),IF(OR($R704=TRUE(),$R704="TRUE"),1,0)))</f>
        <v/>
      </c>
      <c r="W704">
        <f>IF($T704=1,IFERROR(IF(VALUE($A704)&lt;100000000,VALUE($A704),1000000000),IFERROR(IF(VALUE(MID($A704,2,20))&lt;100000000,VALUE(MID($A704,2,20)),1000000000),1000000000))+ROW()/100000,"")</f>
        <v/>
      </c>
    </row>
    <row r="705">
      <c r="F705" s="7">
        <f>IF($A705="","",E705*K705/100)</f>
        <v/>
      </c>
      <c r="J705" s="7" t="n"/>
      <c r="K705" s="7" t="n"/>
      <c r="L705" s="7">
        <f>IF($A705="","",S705*K705)</f>
        <v/>
      </c>
      <c r="M705" s="7">
        <f>IF($A705="","",K705-L705)</f>
        <v/>
      </c>
      <c r="N705" s="7">
        <f>IF($A705="","",M705-F705)</f>
        <v/>
      </c>
      <c r="Q705" s="11" t="n"/>
      <c r="S705">
        <f>IF($A705="","",IF(AND(ISNUMBER($R705),NOT(ISLOGICAL($R705)),N($R705)&gt;1),$R705/100*1,IF($V705=1,Settings!$C$6,Settings!$C$7)*1))</f>
        <v/>
      </c>
      <c r="T705">
        <f>IF($A705="","",IF(COUNTIF($A$2:$A705,$A705)=1,1,0))</f>
        <v/>
      </c>
      <c r="U705">
        <f>IF($T705=1,SUMPRODUCT(--($W$2:$W$1001&lt;$W705))+1,"")</f>
        <v/>
      </c>
      <c r="V705">
        <f>IF($A705="","",IF(AND(ISNUMBER($R705),NOT(ISLOGICAL($R705)),N($R705)&gt;1),IF(ABS($R705/100-Settings!$C$6)&lt;=ABS($R705/100-Settings!$C$7),1,0),IF(OR($R705=TRUE(),$R705="TRUE"),1,0)))</f>
        <v/>
      </c>
      <c r="W705">
        <f>IF($T705=1,IFERROR(IF(VALUE($A705)&lt;100000000,VALUE($A705),1000000000),IFERROR(IF(VALUE(MID($A705,2,20))&lt;100000000,VALUE(MID($A705,2,20)),1000000000),1000000000))+ROW()/100000,"")</f>
        <v/>
      </c>
    </row>
    <row r="706">
      <c r="F706" s="7">
        <f>IF($A706="","",E706*K706/100)</f>
        <v/>
      </c>
      <c r="J706" s="7" t="n"/>
      <c r="K706" s="7" t="n"/>
      <c r="L706" s="7">
        <f>IF($A706="","",S706*K706)</f>
        <v/>
      </c>
      <c r="M706" s="7">
        <f>IF($A706="","",K706-L706)</f>
        <v/>
      </c>
      <c r="N706" s="7">
        <f>IF($A706="","",M706-F706)</f>
        <v/>
      </c>
      <c r="Q706" s="11" t="n"/>
      <c r="S706">
        <f>IF($A706="","",IF(AND(ISNUMBER($R706),NOT(ISLOGICAL($R706)),N($R706)&gt;1),$R706/100*1,IF($V706=1,Settings!$C$6,Settings!$C$7)*1))</f>
        <v/>
      </c>
      <c r="T706">
        <f>IF($A706="","",IF(COUNTIF($A$2:$A706,$A706)=1,1,0))</f>
        <v/>
      </c>
      <c r="U706">
        <f>IF($T706=1,SUMPRODUCT(--($W$2:$W$1001&lt;$W706))+1,"")</f>
        <v/>
      </c>
      <c r="V706">
        <f>IF($A706="","",IF(AND(ISNUMBER($R706),NOT(ISLOGICAL($R706)),N($R706)&gt;1),IF(ABS($R706/100-Settings!$C$6)&lt;=ABS($R706/100-Settings!$C$7),1,0),IF(OR($R706=TRUE(),$R706="TRUE"),1,0)))</f>
        <v/>
      </c>
      <c r="W706">
        <f>IF($T706=1,IFERROR(IF(VALUE($A706)&lt;100000000,VALUE($A706),1000000000),IFERROR(IF(VALUE(MID($A706,2,20))&lt;100000000,VALUE(MID($A706,2,20)),1000000000),1000000000))+ROW()/100000,"")</f>
        <v/>
      </c>
    </row>
    <row r="707">
      <c r="F707" s="7">
        <f>IF($A707="","",E707*K707/100)</f>
        <v/>
      </c>
      <c r="J707" s="7" t="n"/>
      <c r="K707" s="7" t="n"/>
      <c r="L707" s="7">
        <f>IF($A707="","",S707*K707)</f>
        <v/>
      </c>
      <c r="M707" s="7">
        <f>IF($A707="","",K707-L707)</f>
        <v/>
      </c>
      <c r="N707" s="7">
        <f>IF($A707="","",M707-F707)</f>
        <v/>
      </c>
      <c r="Q707" s="11" t="n"/>
      <c r="S707">
        <f>IF($A707="","",IF(AND(ISNUMBER($R707),NOT(ISLOGICAL($R707)),N($R707)&gt;1),$R707/100*1,IF($V707=1,Settings!$C$6,Settings!$C$7)*1))</f>
        <v/>
      </c>
      <c r="T707">
        <f>IF($A707="","",IF(COUNTIF($A$2:$A707,$A707)=1,1,0))</f>
        <v/>
      </c>
      <c r="U707">
        <f>IF($T707=1,SUMPRODUCT(--($W$2:$W$1001&lt;$W707))+1,"")</f>
        <v/>
      </c>
      <c r="V707">
        <f>IF($A707="","",IF(AND(ISNUMBER($R707),NOT(ISLOGICAL($R707)),N($R707)&gt;1),IF(ABS($R707/100-Settings!$C$6)&lt;=ABS($R707/100-Settings!$C$7),1,0),IF(OR($R707=TRUE(),$R707="TRUE"),1,0)))</f>
        <v/>
      </c>
      <c r="W707">
        <f>IF($T707=1,IFERROR(IF(VALUE($A707)&lt;100000000,VALUE($A707),1000000000),IFERROR(IF(VALUE(MID($A707,2,20))&lt;100000000,VALUE(MID($A707,2,20)),1000000000),1000000000))+ROW()/100000,"")</f>
        <v/>
      </c>
    </row>
    <row r="708">
      <c r="F708" s="7">
        <f>IF($A708="","",E708*K708/100)</f>
        <v/>
      </c>
      <c r="J708" s="7" t="n"/>
      <c r="K708" s="7" t="n"/>
      <c r="L708" s="7">
        <f>IF($A708="","",S708*K708)</f>
        <v/>
      </c>
      <c r="M708" s="7">
        <f>IF($A708="","",K708-L708)</f>
        <v/>
      </c>
      <c r="N708" s="7">
        <f>IF($A708="","",M708-F708)</f>
        <v/>
      </c>
      <c r="Q708" s="11" t="n"/>
      <c r="S708">
        <f>IF($A708="","",IF(AND(ISNUMBER($R708),NOT(ISLOGICAL($R708)),N($R708)&gt;1),$R708/100*1,IF($V708=1,Settings!$C$6,Settings!$C$7)*1))</f>
        <v/>
      </c>
      <c r="T708">
        <f>IF($A708="","",IF(COUNTIF($A$2:$A708,$A708)=1,1,0))</f>
        <v/>
      </c>
      <c r="U708">
        <f>IF($T708=1,SUMPRODUCT(--($W$2:$W$1001&lt;$W708))+1,"")</f>
        <v/>
      </c>
      <c r="V708">
        <f>IF($A708="","",IF(AND(ISNUMBER($R708),NOT(ISLOGICAL($R708)),N($R708)&gt;1),IF(ABS($R708/100-Settings!$C$6)&lt;=ABS($R708/100-Settings!$C$7),1,0),IF(OR($R708=TRUE(),$R708="TRUE"),1,0)))</f>
        <v/>
      </c>
      <c r="W708">
        <f>IF($T708=1,IFERROR(IF(VALUE($A708)&lt;100000000,VALUE($A708),1000000000),IFERROR(IF(VALUE(MID($A708,2,20))&lt;100000000,VALUE(MID($A708,2,20)),1000000000),1000000000))+ROW()/100000,"")</f>
        <v/>
      </c>
    </row>
    <row r="709">
      <c r="F709" s="7">
        <f>IF($A709="","",E709*K709/100)</f>
        <v/>
      </c>
      <c r="J709" s="7" t="n"/>
      <c r="K709" s="7" t="n"/>
      <c r="L709" s="7">
        <f>IF($A709="","",S709*K709)</f>
        <v/>
      </c>
      <c r="M709" s="7">
        <f>IF($A709="","",K709-L709)</f>
        <v/>
      </c>
      <c r="N709" s="7">
        <f>IF($A709="","",M709-F709)</f>
        <v/>
      </c>
      <c r="Q709" s="11" t="n"/>
      <c r="S709">
        <f>IF($A709="","",IF(AND(ISNUMBER($R709),NOT(ISLOGICAL($R709)),N($R709)&gt;1),$R709/100*1,IF($V709=1,Settings!$C$6,Settings!$C$7)*1))</f>
        <v/>
      </c>
      <c r="T709">
        <f>IF($A709="","",IF(COUNTIF($A$2:$A709,$A709)=1,1,0))</f>
        <v/>
      </c>
      <c r="U709">
        <f>IF($T709=1,SUMPRODUCT(--($W$2:$W$1001&lt;$W709))+1,"")</f>
        <v/>
      </c>
      <c r="V709">
        <f>IF($A709="","",IF(AND(ISNUMBER($R709),NOT(ISLOGICAL($R709)),N($R709)&gt;1),IF(ABS($R709/100-Settings!$C$6)&lt;=ABS($R709/100-Settings!$C$7),1,0),IF(OR($R709=TRUE(),$R709="TRUE"),1,0)))</f>
        <v/>
      </c>
      <c r="W709">
        <f>IF($T709=1,IFERROR(IF(VALUE($A709)&lt;100000000,VALUE($A709),1000000000),IFERROR(IF(VALUE(MID($A709,2,20))&lt;100000000,VALUE(MID($A709,2,20)),1000000000),1000000000))+ROW()/100000,"")</f>
        <v/>
      </c>
    </row>
    <row r="710">
      <c r="F710" s="7">
        <f>IF($A710="","",E710*K710/100)</f>
        <v/>
      </c>
      <c r="J710" s="7" t="n"/>
      <c r="K710" s="7" t="n"/>
      <c r="L710" s="7">
        <f>IF($A710="","",S710*K710)</f>
        <v/>
      </c>
      <c r="M710" s="7">
        <f>IF($A710="","",K710-L710)</f>
        <v/>
      </c>
      <c r="N710" s="7">
        <f>IF($A710="","",M710-F710)</f>
        <v/>
      </c>
      <c r="Q710" s="11" t="n"/>
      <c r="S710">
        <f>IF($A710="","",IF(AND(ISNUMBER($R710),NOT(ISLOGICAL($R710)),N($R710)&gt;1),$R710/100*1,IF($V710=1,Settings!$C$6,Settings!$C$7)*1))</f>
        <v/>
      </c>
      <c r="T710">
        <f>IF($A710="","",IF(COUNTIF($A$2:$A710,$A710)=1,1,0))</f>
        <v/>
      </c>
      <c r="U710">
        <f>IF($T710=1,SUMPRODUCT(--($W$2:$W$1001&lt;$W710))+1,"")</f>
        <v/>
      </c>
      <c r="V710">
        <f>IF($A710="","",IF(AND(ISNUMBER($R710),NOT(ISLOGICAL($R710)),N($R710)&gt;1),IF(ABS($R710/100-Settings!$C$6)&lt;=ABS($R710/100-Settings!$C$7),1,0),IF(OR($R710=TRUE(),$R710="TRUE"),1,0)))</f>
        <v/>
      </c>
      <c r="W710">
        <f>IF($T710=1,IFERROR(IF(VALUE($A710)&lt;100000000,VALUE($A710),1000000000),IFERROR(IF(VALUE(MID($A710,2,20))&lt;100000000,VALUE(MID($A710,2,20)),1000000000),1000000000))+ROW()/100000,"")</f>
        <v/>
      </c>
    </row>
    <row r="711">
      <c r="F711" s="7">
        <f>IF($A711="","",E711*K711/100)</f>
        <v/>
      </c>
      <c r="J711" s="7" t="n"/>
      <c r="K711" s="7" t="n"/>
      <c r="L711" s="7">
        <f>IF($A711="","",S711*K711)</f>
        <v/>
      </c>
      <c r="M711" s="7">
        <f>IF($A711="","",K711-L711)</f>
        <v/>
      </c>
      <c r="N711" s="7">
        <f>IF($A711="","",M711-F711)</f>
        <v/>
      </c>
      <c r="Q711" s="11" t="n"/>
      <c r="S711">
        <f>IF($A711="","",IF(AND(ISNUMBER($R711),NOT(ISLOGICAL($R711)),N($R711)&gt;1),$R711/100*1,IF($V711=1,Settings!$C$6,Settings!$C$7)*1))</f>
        <v/>
      </c>
      <c r="T711">
        <f>IF($A711="","",IF(COUNTIF($A$2:$A711,$A711)=1,1,0))</f>
        <v/>
      </c>
      <c r="U711">
        <f>IF($T711=1,SUMPRODUCT(--($W$2:$W$1001&lt;$W711))+1,"")</f>
        <v/>
      </c>
      <c r="V711">
        <f>IF($A711="","",IF(AND(ISNUMBER($R711),NOT(ISLOGICAL($R711)),N($R711)&gt;1),IF(ABS($R711/100-Settings!$C$6)&lt;=ABS($R711/100-Settings!$C$7),1,0),IF(OR($R711=TRUE(),$R711="TRUE"),1,0)))</f>
        <v/>
      </c>
      <c r="W711">
        <f>IF($T711=1,IFERROR(IF(VALUE($A711)&lt;100000000,VALUE($A711),1000000000),IFERROR(IF(VALUE(MID($A711,2,20))&lt;100000000,VALUE(MID($A711,2,20)),1000000000),1000000000))+ROW()/100000,"")</f>
        <v/>
      </c>
    </row>
    <row r="712">
      <c r="F712" s="7">
        <f>IF($A712="","",E712*K712/100)</f>
        <v/>
      </c>
      <c r="J712" s="7" t="n"/>
      <c r="K712" s="7" t="n"/>
      <c r="L712" s="7">
        <f>IF($A712="","",S712*K712)</f>
        <v/>
      </c>
      <c r="M712" s="7">
        <f>IF($A712="","",K712-L712)</f>
        <v/>
      </c>
      <c r="N712" s="7">
        <f>IF($A712="","",M712-F712)</f>
        <v/>
      </c>
      <c r="Q712" s="11" t="n"/>
      <c r="S712">
        <f>IF($A712="","",IF(AND(ISNUMBER($R712),NOT(ISLOGICAL($R712)),N($R712)&gt;1),$R712/100*1,IF($V712=1,Settings!$C$6,Settings!$C$7)*1))</f>
        <v/>
      </c>
      <c r="T712">
        <f>IF($A712="","",IF(COUNTIF($A$2:$A712,$A712)=1,1,0))</f>
        <v/>
      </c>
      <c r="U712">
        <f>IF($T712=1,SUMPRODUCT(--($W$2:$W$1001&lt;$W712))+1,"")</f>
        <v/>
      </c>
      <c r="V712">
        <f>IF($A712="","",IF(AND(ISNUMBER($R712),NOT(ISLOGICAL($R712)),N($R712)&gt;1),IF(ABS($R712/100-Settings!$C$6)&lt;=ABS($R712/100-Settings!$C$7),1,0),IF(OR($R712=TRUE(),$R712="TRUE"),1,0)))</f>
        <v/>
      </c>
      <c r="W712">
        <f>IF($T712=1,IFERROR(IF(VALUE($A712)&lt;100000000,VALUE($A712),1000000000),IFERROR(IF(VALUE(MID($A712,2,20))&lt;100000000,VALUE(MID($A712,2,20)),1000000000),1000000000))+ROW()/100000,"")</f>
        <v/>
      </c>
    </row>
    <row r="713">
      <c r="F713" s="7">
        <f>IF($A713="","",E713*K713/100)</f>
        <v/>
      </c>
      <c r="J713" s="7" t="n"/>
      <c r="K713" s="7" t="n"/>
      <c r="L713" s="7">
        <f>IF($A713="","",S713*K713)</f>
        <v/>
      </c>
      <c r="M713" s="7">
        <f>IF($A713="","",K713-L713)</f>
        <v/>
      </c>
      <c r="N713" s="7">
        <f>IF($A713="","",M713-F713)</f>
        <v/>
      </c>
      <c r="Q713" s="11" t="n"/>
      <c r="S713">
        <f>IF($A713="","",IF(AND(ISNUMBER($R713),NOT(ISLOGICAL($R713)),N($R713)&gt;1),$R713/100*1,IF($V713=1,Settings!$C$6,Settings!$C$7)*1))</f>
        <v/>
      </c>
      <c r="T713">
        <f>IF($A713="","",IF(COUNTIF($A$2:$A713,$A713)=1,1,0))</f>
        <v/>
      </c>
      <c r="U713">
        <f>IF($T713=1,SUMPRODUCT(--($W$2:$W$1001&lt;$W713))+1,"")</f>
        <v/>
      </c>
      <c r="V713">
        <f>IF($A713="","",IF(AND(ISNUMBER($R713),NOT(ISLOGICAL($R713)),N($R713)&gt;1),IF(ABS($R713/100-Settings!$C$6)&lt;=ABS($R713/100-Settings!$C$7),1,0),IF(OR($R713=TRUE(),$R713="TRUE"),1,0)))</f>
        <v/>
      </c>
      <c r="W713">
        <f>IF($T713=1,IFERROR(IF(VALUE($A713)&lt;100000000,VALUE($A713),1000000000),IFERROR(IF(VALUE(MID($A713,2,20))&lt;100000000,VALUE(MID($A713,2,20)),1000000000),1000000000))+ROW()/100000,"")</f>
        <v/>
      </c>
    </row>
    <row r="714">
      <c r="F714" s="7">
        <f>IF($A714="","",E714*K714/100)</f>
        <v/>
      </c>
      <c r="J714" s="7" t="n"/>
      <c r="K714" s="7" t="n"/>
      <c r="L714" s="7">
        <f>IF($A714="","",S714*K714)</f>
        <v/>
      </c>
      <c r="M714" s="7">
        <f>IF($A714="","",K714-L714)</f>
        <v/>
      </c>
      <c r="N714" s="7">
        <f>IF($A714="","",M714-F714)</f>
        <v/>
      </c>
      <c r="Q714" s="11" t="n"/>
      <c r="S714">
        <f>IF($A714="","",IF(AND(ISNUMBER($R714),NOT(ISLOGICAL($R714)),N($R714)&gt;1),$R714/100*1,IF($V714=1,Settings!$C$6,Settings!$C$7)*1))</f>
        <v/>
      </c>
      <c r="T714">
        <f>IF($A714="","",IF(COUNTIF($A$2:$A714,$A714)=1,1,0))</f>
        <v/>
      </c>
      <c r="U714">
        <f>IF($T714=1,SUMPRODUCT(--($W$2:$W$1001&lt;$W714))+1,"")</f>
        <v/>
      </c>
      <c r="V714">
        <f>IF($A714="","",IF(AND(ISNUMBER($R714),NOT(ISLOGICAL($R714)),N($R714)&gt;1),IF(ABS($R714/100-Settings!$C$6)&lt;=ABS($R714/100-Settings!$C$7),1,0),IF(OR($R714=TRUE(),$R714="TRUE"),1,0)))</f>
        <v/>
      </c>
      <c r="W714">
        <f>IF($T714=1,IFERROR(IF(VALUE($A714)&lt;100000000,VALUE($A714),1000000000),IFERROR(IF(VALUE(MID($A714,2,20))&lt;100000000,VALUE(MID($A714,2,20)),1000000000),1000000000))+ROW()/100000,"")</f>
        <v/>
      </c>
    </row>
    <row r="715">
      <c r="F715" s="7">
        <f>IF($A715="","",E715*K715/100)</f>
        <v/>
      </c>
      <c r="J715" s="7" t="n"/>
      <c r="K715" s="7" t="n"/>
      <c r="L715" s="7">
        <f>IF($A715="","",S715*K715)</f>
        <v/>
      </c>
      <c r="M715" s="7">
        <f>IF($A715="","",K715-L715)</f>
        <v/>
      </c>
      <c r="N715" s="7">
        <f>IF($A715="","",M715-F715)</f>
        <v/>
      </c>
      <c r="Q715" s="11" t="n"/>
      <c r="S715">
        <f>IF($A715="","",IF(AND(ISNUMBER($R715),NOT(ISLOGICAL($R715)),N($R715)&gt;1),$R715/100*1,IF($V715=1,Settings!$C$6,Settings!$C$7)*1))</f>
        <v/>
      </c>
      <c r="T715">
        <f>IF($A715="","",IF(COUNTIF($A$2:$A715,$A715)=1,1,0))</f>
        <v/>
      </c>
      <c r="U715">
        <f>IF($T715=1,SUMPRODUCT(--($W$2:$W$1001&lt;$W715))+1,"")</f>
        <v/>
      </c>
      <c r="V715">
        <f>IF($A715="","",IF(AND(ISNUMBER($R715),NOT(ISLOGICAL($R715)),N($R715)&gt;1),IF(ABS($R715/100-Settings!$C$6)&lt;=ABS($R715/100-Settings!$C$7),1,0),IF(OR($R715=TRUE(),$R715="TRUE"),1,0)))</f>
        <v/>
      </c>
      <c r="W715">
        <f>IF($T715=1,IFERROR(IF(VALUE($A715)&lt;100000000,VALUE($A715),1000000000),IFERROR(IF(VALUE(MID($A715,2,20))&lt;100000000,VALUE(MID($A715,2,20)),1000000000),1000000000))+ROW()/100000,"")</f>
        <v/>
      </c>
    </row>
    <row r="716">
      <c r="F716" s="7">
        <f>IF($A716="","",E716*K716/100)</f>
        <v/>
      </c>
      <c r="J716" s="7" t="n"/>
      <c r="K716" s="7" t="n"/>
      <c r="L716" s="7">
        <f>IF($A716="","",S716*K716)</f>
        <v/>
      </c>
      <c r="M716" s="7">
        <f>IF($A716="","",K716-L716)</f>
        <v/>
      </c>
      <c r="N716" s="7">
        <f>IF($A716="","",M716-F716)</f>
        <v/>
      </c>
      <c r="Q716" s="11" t="n"/>
      <c r="S716">
        <f>IF($A716="","",IF(AND(ISNUMBER($R716),NOT(ISLOGICAL($R716)),N($R716)&gt;1),$R716/100*1,IF($V716=1,Settings!$C$6,Settings!$C$7)*1))</f>
        <v/>
      </c>
      <c r="T716">
        <f>IF($A716="","",IF(COUNTIF($A$2:$A716,$A716)=1,1,0))</f>
        <v/>
      </c>
      <c r="U716">
        <f>IF($T716=1,SUMPRODUCT(--($W$2:$W$1001&lt;$W716))+1,"")</f>
        <v/>
      </c>
      <c r="V716">
        <f>IF($A716="","",IF(AND(ISNUMBER($R716),NOT(ISLOGICAL($R716)),N($R716)&gt;1),IF(ABS($R716/100-Settings!$C$6)&lt;=ABS($R716/100-Settings!$C$7),1,0),IF(OR($R716=TRUE(),$R716="TRUE"),1,0)))</f>
        <v/>
      </c>
      <c r="W716">
        <f>IF($T716=1,IFERROR(IF(VALUE($A716)&lt;100000000,VALUE($A716),1000000000),IFERROR(IF(VALUE(MID($A716,2,20))&lt;100000000,VALUE(MID($A716,2,20)),1000000000),1000000000))+ROW()/100000,"")</f>
        <v/>
      </c>
    </row>
    <row r="717">
      <c r="F717" s="7">
        <f>IF($A717="","",E717*K717/100)</f>
        <v/>
      </c>
      <c r="J717" s="7" t="n"/>
      <c r="K717" s="7" t="n"/>
      <c r="L717" s="7">
        <f>IF($A717="","",S717*K717)</f>
        <v/>
      </c>
      <c r="M717" s="7">
        <f>IF($A717="","",K717-L717)</f>
        <v/>
      </c>
      <c r="N717" s="7">
        <f>IF($A717="","",M717-F717)</f>
        <v/>
      </c>
      <c r="Q717" s="11" t="n"/>
      <c r="S717">
        <f>IF($A717="","",IF(AND(ISNUMBER($R717),NOT(ISLOGICAL($R717)),N($R717)&gt;1),$R717/100*1,IF($V717=1,Settings!$C$6,Settings!$C$7)*1))</f>
        <v/>
      </c>
      <c r="T717">
        <f>IF($A717="","",IF(COUNTIF($A$2:$A717,$A717)=1,1,0))</f>
        <v/>
      </c>
      <c r="U717">
        <f>IF($T717=1,SUMPRODUCT(--($W$2:$W$1001&lt;$W717))+1,"")</f>
        <v/>
      </c>
      <c r="V717">
        <f>IF($A717="","",IF(AND(ISNUMBER($R717),NOT(ISLOGICAL($R717)),N($R717)&gt;1),IF(ABS($R717/100-Settings!$C$6)&lt;=ABS($R717/100-Settings!$C$7),1,0),IF(OR($R717=TRUE(),$R717="TRUE"),1,0)))</f>
        <v/>
      </c>
      <c r="W717">
        <f>IF($T717=1,IFERROR(IF(VALUE($A717)&lt;100000000,VALUE($A717),1000000000),IFERROR(IF(VALUE(MID($A717,2,20))&lt;100000000,VALUE(MID($A717,2,20)),1000000000),1000000000))+ROW()/100000,"")</f>
        <v/>
      </c>
    </row>
    <row r="718">
      <c r="F718" s="7">
        <f>IF($A718="","",E718*K718/100)</f>
        <v/>
      </c>
      <c r="J718" s="7" t="n"/>
      <c r="K718" s="7" t="n"/>
      <c r="L718" s="7">
        <f>IF($A718="","",S718*K718)</f>
        <v/>
      </c>
      <c r="M718" s="7">
        <f>IF($A718="","",K718-L718)</f>
        <v/>
      </c>
      <c r="N718" s="7">
        <f>IF($A718="","",M718-F718)</f>
        <v/>
      </c>
      <c r="Q718" s="11" t="n"/>
      <c r="S718">
        <f>IF($A718="","",IF(AND(ISNUMBER($R718),NOT(ISLOGICAL($R718)),N($R718)&gt;1),$R718/100*1,IF($V718=1,Settings!$C$6,Settings!$C$7)*1))</f>
        <v/>
      </c>
      <c r="T718">
        <f>IF($A718="","",IF(COUNTIF($A$2:$A718,$A718)=1,1,0))</f>
        <v/>
      </c>
      <c r="U718">
        <f>IF($T718=1,SUMPRODUCT(--($W$2:$W$1001&lt;$W718))+1,"")</f>
        <v/>
      </c>
      <c r="V718">
        <f>IF($A718="","",IF(AND(ISNUMBER($R718),NOT(ISLOGICAL($R718)),N($R718)&gt;1),IF(ABS($R718/100-Settings!$C$6)&lt;=ABS($R718/100-Settings!$C$7),1,0),IF(OR($R718=TRUE(),$R718="TRUE"),1,0)))</f>
        <v/>
      </c>
      <c r="W718">
        <f>IF($T718=1,IFERROR(IF(VALUE($A718)&lt;100000000,VALUE($A718),1000000000),IFERROR(IF(VALUE(MID($A718,2,20))&lt;100000000,VALUE(MID($A718,2,20)),1000000000),1000000000))+ROW()/100000,"")</f>
        <v/>
      </c>
    </row>
    <row r="719">
      <c r="F719" s="7">
        <f>IF($A719="","",E719*K719/100)</f>
        <v/>
      </c>
      <c r="J719" s="7" t="n"/>
      <c r="K719" s="7" t="n"/>
      <c r="L719" s="7">
        <f>IF($A719="","",S719*K719)</f>
        <v/>
      </c>
      <c r="M719" s="7">
        <f>IF($A719="","",K719-L719)</f>
        <v/>
      </c>
      <c r="N719" s="7">
        <f>IF($A719="","",M719-F719)</f>
        <v/>
      </c>
      <c r="Q719" s="11" t="n"/>
      <c r="S719">
        <f>IF($A719="","",IF(AND(ISNUMBER($R719),NOT(ISLOGICAL($R719)),N($R719)&gt;1),$R719/100*1,IF($V719=1,Settings!$C$6,Settings!$C$7)*1))</f>
        <v/>
      </c>
      <c r="T719">
        <f>IF($A719="","",IF(COUNTIF($A$2:$A719,$A719)=1,1,0))</f>
        <v/>
      </c>
      <c r="U719">
        <f>IF($T719=1,SUMPRODUCT(--($W$2:$W$1001&lt;$W719))+1,"")</f>
        <v/>
      </c>
      <c r="V719">
        <f>IF($A719="","",IF(AND(ISNUMBER($R719),NOT(ISLOGICAL($R719)),N($R719)&gt;1),IF(ABS($R719/100-Settings!$C$6)&lt;=ABS($R719/100-Settings!$C$7),1,0),IF(OR($R719=TRUE(),$R719="TRUE"),1,0)))</f>
        <v/>
      </c>
      <c r="W719">
        <f>IF($T719=1,IFERROR(IF(VALUE($A719)&lt;100000000,VALUE($A719),1000000000),IFERROR(IF(VALUE(MID($A719,2,20))&lt;100000000,VALUE(MID($A719,2,20)),1000000000),1000000000))+ROW()/100000,"")</f>
        <v/>
      </c>
    </row>
    <row r="720">
      <c r="F720" s="7">
        <f>IF($A720="","",E720*K720/100)</f>
        <v/>
      </c>
      <c r="J720" s="7" t="n"/>
      <c r="K720" s="7" t="n"/>
      <c r="L720" s="7">
        <f>IF($A720="","",S720*K720)</f>
        <v/>
      </c>
      <c r="M720" s="7">
        <f>IF($A720="","",K720-L720)</f>
        <v/>
      </c>
      <c r="N720" s="7">
        <f>IF($A720="","",M720-F720)</f>
        <v/>
      </c>
      <c r="Q720" s="11" t="n"/>
      <c r="S720">
        <f>IF($A720="","",IF(AND(ISNUMBER($R720),NOT(ISLOGICAL($R720)),N($R720)&gt;1),$R720/100*1,IF($V720=1,Settings!$C$6,Settings!$C$7)*1))</f>
        <v/>
      </c>
      <c r="T720">
        <f>IF($A720="","",IF(COUNTIF($A$2:$A720,$A720)=1,1,0))</f>
        <v/>
      </c>
      <c r="U720">
        <f>IF($T720=1,SUMPRODUCT(--($W$2:$W$1001&lt;$W720))+1,"")</f>
        <v/>
      </c>
      <c r="V720">
        <f>IF($A720="","",IF(AND(ISNUMBER($R720),NOT(ISLOGICAL($R720)),N($R720)&gt;1),IF(ABS($R720/100-Settings!$C$6)&lt;=ABS($R720/100-Settings!$C$7),1,0),IF(OR($R720=TRUE(),$R720="TRUE"),1,0)))</f>
        <v/>
      </c>
      <c r="W720">
        <f>IF($T720=1,IFERROR(IF(VALUE($A720)&lt;100000000,VALUE($A720),1000000000),IFERROR(IF(VALUE(MID($A720,2,20))&lt;100000000,VALUE(MID($A720,2,20)),1000000000),1000000000))+ROW()/100000,"")</f>
        <v/>
      </c>
    </row>
    <row r="721">
      <c r="F721" s="7">
        <f>IF($A721="","",E721*K721/100)</f>
        <v/>
      </c>
      <c r="J721" s="7" t="n"/>
      <c r="K721" s="7" t="n"/>
      <c r="L721" s="7">
        <f>IF($A721="","",S721*K721)</f>
        <v/>
      </c>
      <c r="M721" s="7">
        <f>IF($A721="","",K721-L721)</f>
        <v/>
      </c>
      <c r="N721" s="7">
        <f>IF($A721="","",M721-F721)</f>
        <v/>
      </c>
      <c r="Q721" s="11" t="n"/>
      <c r="S721">
        <f>IF($A721="","",IF(AND(ISNUMBER($R721),NOT(ISLOGICAL($R721)),N($R721)&gt;1),$R721/100*1,IF($V721=1,Settings!$C$6,Settings!$C$7)*1))</f>
        <v/>
      </c>
      <c r="T721">
        <f>IF($A721="","",IF(COUNTIF($A$2:$A721,$A721)=1,1,0))</f>
        <v/>
      </c>
      <c r="U721">
        <f>IF($T721=1,SUMPRODUCT(--($W$2:$W$1001&lt;$W721))+1,"")</f>
        <v/>
      </c>
      <c r="V721">
        <f>IF($A721="","",IF(AND(ISNUMBER($R721),NOT(ISLOGICAL($R721)),N($R721)&gt;1),IF(ABS($R721/100-Settings!$C$6)&lt;=ABS($R721/100-Settings!$C$7),1,0),IF(OR($R721=TRUE(),$R721="TRUE"),1,0)))</f>
        <v/>
      </c>
      <c r="W721">
        <f>IF($T721=1,IFERROR(IF(VALUE($A721)&lt;100000000,VALUE($A721),1000000000),IFERROR(IF(VALUE(MID($A721,2,20))&lt;100000000,VALUE(MID($A721,2,20)),1000000000),1000000000))+ROW()/100000,"")</f>
        <v/>
      </c>
    </row>
    <row r="722">
      <c r="F722" s="7">
        <f>IF($A722="","",E722*K722/100)</f>
        <v/>
      </c>
      <c r="J722" s="7" t="n"/>
      <c r="K722" s="7" t="n"/>
      <c r="L722" s="7">
        <f>IF($A722="","",S722*K722)</f>
        <v/>
      </c>
      <c r="M722" s="7">
        <f>IF($A722="","",K722-L722)</f>
        <v/>
      </c>
      <c r="N722" s="7">
        <f>IF($A722="","",M722-F722)</f>
        <v/>
      </c>
      <c r="Q722" s="11" t="n"/>
      <c r="S722">
        <f>IF($A722="","",IF(AND(ISNUMBER($R722),NOT(ISLOGICAL($R722)),N($R722)&gt;1),$R722/100*1,IF($V722=1,Settings!$C$6,Settings!$C$7)*1))</f>
        <v/>
      </c>
      <c r="T722">
        <f>IF($A722="","",IF(COUNTIF($A$2:$A722,$A722)=1,1,0))</f>
        <v/>
      </c>
      <c r="U722">
        <f>IF($T722=1,SUMPRODUCT(--($W$2:$W$1001&lt;$W722))+1,"")</f>
        <v/>
      </c>
      <c r="V722">
        <f>IF($A722="","",IF(AND(ISNUMBER($R722),NOT(ISLOGICAL($R722)),N($R722)&gt;1),IF(ABS($R722/100-Settings!$C$6)&lt;=ABS($R722/100-Settings!$C$7),1,0),IF(OR($R722=TRUE(),$R722="TRUE"),1,0)))</f>
        <v/>
      </c>
      <c r="W722">
        <f>IF($T722=1,IFERROR(IF(VALUE($A722)&lt;100000000,VALUE($A722),1000000000),IFERROR(IF(VALUE(MID($A722,2,20))&lt;100000000,VALUE(MID($A722,2,20)),1000000000),1000000000))+ROW()/100000,"")</f>
        <v/>
      </c>
    </row>
    <row r="723">
      <c r="F723" s="7">
        <f>IF($A723="","",E723*K723/100)</f>
        <v/>
      </c>
      <c r="J723" s="7" t="n"/>
      <c r="K723" s="7" t="n"/>
      <c r="L723" s="7">
        <f>IF($A723="","",S723*K723)</f>
        <v/>
      </c>
      <c r="M723" s="7">
        <f>IF($A723="","",K723-L723)</f>
        <v/>
      </c>
      <c r="N723" s="7">
        <f>IF($A723="","",M723-F723)</f>
        <v/>
      </c>
      <c r="Q723" s="11" t="n"/>
      <c r="S723">
        <f>IF($A723="","",IF(AND(ISNUMBER($R723),NOT(ISLOGICAL($R723)),N($R723)&gt;1),$R723/100*1,IF($V723=1,Settings!$C$6,Settings!$C$7)*1))</f>
        <v/>
      </c>
      <c r="T723">
        <f>IF($A723="","",IF(COUNTIF($A$2:$A723,$A723)=1,1,0))</f>
        <v/>
      </c>
      <c r="U723">
        <f>IF($T723=1,SUMPRODUCT(--($W$2:$W$1001&lt;$W723))+1,"")</f>
        <v/>
      </c>
      <c r="V723">
        <f>IF($A723="","",IF(AND(ISNUMBER($R723),NOT(ISLOGICAL($R723)),N($R723)&gt;1),IF(ABS($R723/100-Settings!$C$6)&lt;=ABS($R723/100-Settings!$C$7),1,0),IF(OR($R723=TRUE(),$R723="TRUE"),1,0)))</f>
        <v/>
      </c>
      <c r="W723">
        <f>IF($T723=1,IFERROR(IF(VALUE($A723)&lt;100000000,VALUE($A723),1000000000),IFERROR(IF(VALUE(MID($A723,2,20))&lt;100000000,VALUE(MID($A723,2,20)),1000000000),1000000000))+ROW()/100000,"")</f>
        <v/>
      </c>
    </row>
    <row r="724">
      <c r="F724" s="7">
        <f>IF($A724="","",E724*K724/100)</f>
        <v/>
      </c>
      <c r="J724" s="7" t="n"/>
      <c r="K724" s="7" t="n"/>
      <c r="L724" s="7">
        <f>IF($A724="","",S724*K724)</f>
        <v/>
      </c>
      <c r="M724" s="7">
        <f>IF($A724="","",K724-L724)</f>
        <v/>
      </c>
      <c r="N724" s="7">
        <f>IF($A724="","",M724-F724)</f>
        <v/>
      </c>
      <c r="Q724" s="11" t="n"/>
      <c r="S724">
        <f>IF($A724="","",IF(AND(ISNUMBER($R724),NOT(ISLOGICAL($R724)),N($R724)&gt;1),$R724/100*1,IF($V724=1,Settings!$C$6,Settings!$C$7)*1))</f>
        <v/>
      </c>
      <c r="T724">
        <f>IF($A724="","",IF(COUNTIF($A$2:$A724,$A724)=1,1,0))</f>
        <v/>
      </c>
      <c r="U724">
        <f>IF($T724=1,SUMPRODUCT(--($W$2:$W$1001&lt;$W724))+1,"")</f>
        <v/>
      </c>
      <c r="V724">
        <f>IF($A724="","",IF(AND(ISNUMBER($R724),NOT(ISLOGICAL($R724)),N($R724)&gt;1),IF(ABS($R724/100-Settings!$C$6)&lt;=ABS($R724/100-Settings!$C$7),1,0),IF(OR($R724=TRUE(),$R724="TRUE"),1,0)))</f>
        <v/>
      </c>
      <c r="W724">
        <f>IF($T724=1,IFERROR(IF(VALUE($A724)&lt;100000000,VALUE($A724),1000000000),IFERROR(IF(VALUE(MID($A724,2,20))&lt;100000000,VALUE(MID($A724,2,20)),1000000000),1000000000))+ROW()/100000,"")</f>
        <v/>
      </c>
    </row>
    <row r="725">
      <c r="F725" s="7">
        <f>IF($A725="","",E725*K725/100)</f>
        <v/>
      </c>
      <c r="J725" s="7" t="n"/>
      <c r="K725" s="7" t="n"/>
      <c r="L725" s="7">
        <f>IF($A725="","",S725*K725)</f>
        <v/>
      </c>
      <c r="M725" s="7">
        <f>IF($A725="","",K725-L725)</f>
        <v/>
      </c>
      <c r="N725" s="7">
        <f>IF($A725="","",M725-F725)</f>
        <v/>
      </c>
      <c r="Q725" s="11" t="n"/>
      <c r="S725">
        <f>IF($A725="","",IF(AND(ISNUMBER($R725),NOT(ISLOGICAL($R725)),N($R725)&gt;1),$R725/100*1,IF($V725=1,Settings!$C$6,Settings!$C$7)*1))</f>
        <v/>
      </c>
      <c r="T725">
        <f>IF($A725="","",IF(COUNTIF($A$2:$A725,$A725)=1,1,0))</f>
        <v/>
      </c>
      <c r="U725">
        <f>IF($T725=1,SUMPRODUCT(--($W$2:$W$1001&lt;$W725))+1,"")</f>
        <v/>
      </c>
      <c r="V725">
        <f>IF($A725="","",IF(AND(ISNUMBER($R725),NOT(ISLOGICAL($R725)),N($R725)&gt;1),IF(ABS($R725/100-Settings!$C$6)&lt;=ABS($R725/100-Settings!$C$7),1,0),IF(OR($R725=TRUE(),$R725="TRUE"),1,0)))</f>
        <v/>
      </c>
      <c r="W725">
        <f>IF($T725=1,IFERROR(IF(VALUE($A725)&lt;100000000,VALUE($A725),1000000000),IFERROR(IF(VALUE(MID($A725,2,20))&lt;100000000,VALUE(MID($A725,2,20)),1000000000),1000000000))+ROW()/100000,"")</f>
        <v/>
      </c>
    </row>
    <row r="726">
      <c r="F726" s="7">
        <f>IF($A726="","",E726*K726/100)</f>
        <v/>
      </c>
      <c r="J726" s="7" t="n"/>
      <c r="K726" s="7" t="n"/>
      <c r="L726" s="7">
        <f>IF($A726="","",S726*K726)</f>
        <v/>
      </c>
      <c r="M726" s="7">
        <f>IF($A726="","",K726-L726)</f>
        <v/>
      </c>
      <c r="N726" s="7">
        <f>IF($A726="","",M726-F726)</f>
        <v/>
      </c>
      <c r="Q726" s="11" t="n"/>
      <c r="S726">
        <f>IF($A726="","",IF(AND(ISNUMBER($R726),NOT(ISLOGICAL($R726)),N($R726)&gt;1),$R726/100*1,IF($V726=1,Settings!$C$6,Settings!$C$7)*1))</f>
        <v/>
      </c>
      <c r="T726">
        <f>IF($A726="","",IF(COUNTIF($A$2:$A726,$A726)=1,1,0))</f>
        <v/>
      </c>
      <c r="U726">
        <f>IF($T726=1,SUMPRODUCT(--($W$2:$W$1001&lt;$W726))+1,"")</f>
        <v/>
      </c>
      <c r="V726">
        <f>IF($A726="","",IF(AND(ISNUMBER($R726),NOT(ISLOGICAL($R726)),N($R726)&gt;1),IF(ABS($R726/100-Settings!$C$6)&lt;=ABS($R726/100-Settings!$C$7),1,0),IF(OR($R726=TRUE(),$R726="TRUE"),1,0)))</f>
        <v/>
      </c>
      <c r="W726">
        <f>IF($T726=1,IFERROR(IF(VALUE($A726)&lt;100000000,VALUE($A726),1000000000),IFERROR(IF(VALUE(MID($A726,2,20))&lt;100000000,VALUE(MID($A726,2,20)),1000000000),1000000000))+ROW()/100000,"")</f>
        <v/>
      </c>
    </row>
    <row r="727">
      <c r="F727" s="7">
        <f>IF($A727="","",E727*K727/100)</f>
        <v/>
      </c>
      <c r="J727" s="7" t="n"/>
      <c r="K727" s="7" t="n"/>
      <c r="L727" s="7">
        <f>IF($A727="","",S727*K727)</f>
        <v/>
      </c>
      <c r="M727" s="7">
        <f>IF($A727="","",K727-L727)</f>
        <v/>
      </c>
      <c r="N727" s="7">
        <f>IF($A727="","",M727-F727)</f>
        <v/>
      </c>
      <c r="Q727" s="11" t="n"/>
      <c r="S727">
        <f>IF($A727="","",IF(AND(ISNUMBER($R727),NOT(ISLOGICAL($R727)),N($R727)&gt;1),$R727/100*1,IF($V727=1,Settings!$C$6,Settings!$C$7)*1))</f>
        <v/>
      </c>
      <c r="T727">
        <f>IF($A727="","",IF(COUNTIF($A$2:$A727,$A727)=1,1,0))</f>
        <v/>
      </c>
      <c r="U727">
        <f>IF($T727=1,SUMPRODUCT(--($W$2:$W$1001&lt;$W727))+1,"")</f>
        <v/>
      </c>
      <c r="V727">
        <f>IF($A727="","",IF(AND(ISNUMBER($R727),NOT(ISLOGICAL($R727)),N($R727)&gt;1),IF(ABS($R727/100-Settings!$C$6)&lt;=ABS($R727/100-Settings!$C$7),1,0),IF(OR($R727=TRUE(),$R727="TRUE"),1,0)))</f>
        <v/>
      </c>
      <c r="W727">
        <f>IF($T727=1,IFERROR(IF(VALUE($A727)&lt;100000000,VALUE($A727),1000000000),IFERROR(IF(VALUE(MID($A727,2,20))&lt;100000000,VALUE(MID($A727,2,20)),1000000000),1000000000))+ROW()/100000,"")</f>
        <v/>
      </c>
    </row>
    <row r="728">
      <c r="F728" s="7">
        <f>IF($A728="","",E728*K728/100)</f>
        <v/>
      </c>
      <c r="J728" s="7" t="n"/>
      <c r="K728" s="7" t="n"/>
      <c r="L728" s="7">
        <f>IF($A728="","",S728*K728)</f>
        <v/>
      </c>
      <c r="M728" s="7">
        <f>IF($A728="","",K728-L728)</f>
        <v/>
      </c>
      <c r="N728" s="7">
        <f>IF($A728="","",M728-F728)</f>
        <v/>
      </c>
      <c r="Q728" s="11" t="n"/>
      <c r="S728">
        <f>IF($A728="","",IF(AND(ISNUMBER($R728),NOT(ISLOGICAL($R728)),N($R728)&gt;1),$R728/100*1,IF($V728=1,Settings!$C$6,Settings!$C$7)*1))</f>
        <v/>
      </c>
      <c r="T728">
        <f>IF($A728="","",IF(COUNTIF($A$2:$A728,$A728)=1,1,0))</f>
        <v/>
      </c>
      <c r="U728">
        <f>IF($T728=1,SUMPRODUCT(--($W$2:$W$1001&lt;$W728))+1,"")</f>
        <v/>
      </c>
      <c r="V728">
        <f>IF($A728="","",IF(AND(ISNUMBER($R728),NOT(ISLOGICAL($R728)),N($R728)&gt;1),IF(ABS($R728/100-Settings!$C$6)&lt;=ABS($R728/100-Settings!$C$7),1,0),IF(OR($R728=TRUE(),$R728="TRUE"),1,0)))</f>
        <v/>
      </c>
      <c r="W728">
        <f>IF($T728=1,IFERROR(IF(VALUE($A728)&lt;100000000,VALUE($A728),1000000000),IFERROR(IF(VALUE(MID($A728,2,20))&lt;100000000,VALUE(MID($A728,2,20)),1000000000),1000000000))+ROW()/100000,"")</f>
        <v/>
      </c>
    </row>
    <row r="729">
      <c r="F729" s="7">
        <f>IF($A729="","",E729*K729/100)</f>
        <v/>
      </c>
      <c r="J729" s="7" t="n"/>
      <c r="K729" s="7" t="n"/>
      <c r="L729" s="7">
        <f>IF($A729="","",S729*K729)</f>
        <v/>
      </c>
      <c r="M729" s="7">
        <f>IF($A729="","",K729-L729)</f>
        <v/>
      </c>
      <c r="N729" s="7">
        <f>IF($A729="","",M729-F729)</f>
        <v/>
      </c>
      <c r="Q729" s="11" t="n"/>
      <c r="S729">
        <f>IF($A729="","",IF(AND(ISNUMBER($R729),NOT(ISLOGICAL($R729)),N($R729)&gt;1),$R729/100*1,IF($V729=1,Settings!$C$6,Settings!$C$7)*1))</f>
        <v/>
      </c>
      <c r="T729">
        <f>IF($A729="","",IF(COUNTIF($A$2:$A729,$A729)=1,1,0))</f>
        <v/>
      </c>
      <c r="U729">
        <f>IF($T729=1,SUMPRODUCT(--($W$2:$W$1001&lt;$W729))+1,"")</f>
        <v/>
      </c>
      <c r="V729">
        <f>IF($A729="","",IF(AND(ISNUMBER($R729),NOT(ISLOGICAL($R729)),N($R729)&gt;1),IF(ABS($R729/100-Settings!$C$6)&lt;=ABS($R729/100-Settings!$C$7),1,0),IF(OR($R729=TRUE(),$R729="TRUE"),1,0)))</f>
        <v/>
      </c>
      <c r="W729">
        <f>IF($T729=1,IFERROR(IF(VALUE($A729)&lt;100000000,VALUE($A729),1000000000),IFERROR(IF(VALUE(MID($A729,2,20))&lt;100000000,VALUE(MID($A729,2,20)),1000000000),1000000000))+ROW()/100000,"")</f>
        <v/>
      </c>
    </row>
    <row r="730">
      <c r="F730" s="7">
        <f>IF($A730="","",E730*K730/100)</f>
        <v/>
      </c>
      <c r="J730" s="7" t="n"/>
      <c r="K730" s="7" t="n"/>
      <c r="L730" s="7">
        <f>IF($A730="","",S730*K730)</f>
        <v/>
      </c>
      <c r="M730" s="7">
        <f>IF($A730="","",K730-L730)</f>
        <v/>
      </c>
      <c r="N730" s="7">
        <f>IF($A730="","",M730-F730)</f>
        <v/>
      </c>
      <c r="Q730" s="11" t="n"/>
      <c r="S730">
        <f>IF($A730="","",IF(AND(ISNUMBER($R730),NOT(ISLOGICAL($R730)),N($R730)&gt;1),$R730/100*1,IF($V730=1,Settings!$C$6,Settings!$C$7)*1))</f>
        <v/>
      </c>
      <c r="T730">
        <f>IF($A730="","",IF(COUNTIF($A$2:$A730,$A730)=1,1,0))</f>
        <v/>
      </c>
      <c r="U730">
        <f>IF($T730=1,SUMPRODUCT(--($W$2:$W$1001&lt;$W730))+1,"")</f>
        <v/>
      </c>
      <c r="V730">
        <f>IF($A730="","",IF(AND(ISNUMBER($R730),NOT(ISLOGICAL($R730)),N($R730)&gt;1),IF(ABS($R730/100-Settings!$C$6)&lt;=ABS($R730/100-Settings!$C$7),1,0),IF(OR($R730=TRUE(),$R730="TRUE"),1,0)))</f>
        <v/>
      </c>
      <c r="W730">
        <f>IF($T730=1,IFERROR(IF(VALUE($A730)&lt;100000000,VALUE($A730),1000000000),IFERROR(IF(VALUE(MID($A730,2,20))&lt;100000000,VALUE(MID($A730,2,20)),1000000000),1000000000))+ROW()/100000,"")</f>
        <v/>
      </c>
    </row>
    <row r="731">
      <c r="F731" s="7">
        <f>IF($A731="","",E731*K731/100)</f>
        <v/>
      </c>
      <c r="J731" s="7" t="n"/>
      <c r="K731" s="7" t="n"/>
      <c r="L731" s="7">
        <f>IF($A731="","",S731*K731)</f>
        <v/>
      </c>
      <c r="M731" s="7">
        <f>IF($A731="","",K731-L731)</f>
        <v/>
      </c>
      <c r="N731" s="7">
        <f>IF($A731="","",M731-F731)</f>
        <v/>
      </c>
      <c r="Q731" s="11" t="n"/>
      <c r="S731">
        <f>IF($A731="","",IF(AND(ISNUMBER($R731),NOT(ISLOGICAL($R731)),N($R731)&gt;1),$R731/100*1,IF($V731=1,Settings!$C$6,Settings!$C$7)*1))</f>
        <v/>
      </c>
      <c r="T731">
        <f>IF($A731="","",IF(COUNTIF($A$2:$A731,$A731)=1,1,0))</f>
        <v/>
      </c>
      <c r="U731">
        <f>IF($T731=1,SUMPRODUCT(--($W$2:$W$1001&lt;$W731))+1,"")</f>
        <v/>
      </c>
      <c r="V731">
        <f>IF($A731="","",IF(AND(ISNUMBER($R731),NOT(ISLOGICAL($R731)),N($R731)&gt;1),IF(ABS($R731/100-Settings!$C$6)&lt;=ABS($R731/100-Settings!$C$7),1,0),IF(OR($R731=TRUE(),$R731="TRUE"),1,0)))</f>
        <v/>
      </c>
      <c r="W731">
        <f>IF($T731=1,IFERROR(IF(VALUE($A731)&lt;100000000,VALUE($A731),1000000000),IFERROR(IF(VALUE(MID($A731,2,20))&lt;100000000,VALUE(MID($A731,2,20)),1000000000),1000000000))+ROW()/100000,"")</f>
        <v/>
      </c>
    </row>
    <row r="732">
      <c r="F732" s="7">
        <f>IF($A732="","",E732*K732/100)</f>
        <v/>
      </c>
      <c r="J732" s="7" t="n"/>
      <c r="K732" s="7" t="n"/>
      <c r="L732" s="7">
        <f>IF($A732="","",S732*K732)</f>
        <v/>
      </c>
      <c r="M732" s="7">
        <f>IF($A732="","",K732-L732)</f>
        <v/>
      </c>
      <c r="N732" s="7">
        <f>IF($A732="","",M732-F732)</f>
        <v/>
      </c>
      <c r="Q732" s="11" t="n"/>
      <c r="S732">
        <f>IF($A732="","",IF(AND(ISNUMBER($R732),NOT(ISLOGICAL($R732)),N($R732)&gt;1),$R732/100*1,IF($V732=1,Settings!$C$6,Settings!$C$7)*1))</f>
        <v/>
      </c>
      <c r="T732">
        <f>IF($A732="","",IF(COUNTIF($A$2:$A732,$A732)=1,1,0))</f>
        <v/>
      </c>
      <c r="U732">
        <f>IF($T732=1,SUMPRODUCT(--($W$2:$W$1001&lt;$W732))+1,"")</f>
        <v/>
      </c>
      <c r="V732">
        <f>IF($A732="","",IF(AND(ISNUMBER($R732),NOT(ISLOGICAL($R732)),N($R732)&gt;1),IF(ABS($R732/100-Settings!$C$6)&lt;=ABS($R732/100-Settings!$C$7),1,0),IF(OR($R732=TRUE(),$R732="TRUE"),1,0)))</f>
        <v/>
      </c>
      <c r="W732">
        <f>IF($T732=1,IFERROR(IF(VALUE($A732)&lt;100000000,VALUE($A732),1000000000),IFERROR(IF(VALUE(MID($A732,2,20))&lt;100000000,VALUE(MID($A732,2,20)),1000000000),1000000000))+ROW()/100000,"")</f>
        <v/>
      </c>
    </row>
    <row r="733">
      <c r="F733" s="7">
        <f>IF($A733="","",E733*K733/100)</f>
        <v/>
      </c>
      <c r="J733" s="7" t="n"/>
      <c r="K733" s="7" t="n"/>
      <c r="L733" s="7">
        <f>IF($A733="","",S733*K733)</f>
        <v/>
      </c>
      <c r="M733" s="7">
        <f>IF($A733="","",K733-L733)</f>
        <v/>
      </c>
      <c r="N733" s="7">
        <f>IF($A733="","",M733-F733)</f>
        <v/>
      </c>
      <c r="Q733" s="11" t="n"/>
      <c r="S733">
        <f>IF($A733="","",IF(AND(ISNUMBER($R733),NOT(ISLOGICAL($R733)),N($R733)&gt;1),$R733/100*1,IF($V733=1,Settings!$C$6,Settings!$C$7)*1))</f>
        <v/>
      </c>
      <c r="T733">
        <f>IF($A733="","",IF(COUNTIF($A$2:$A733,$A733)=1,1,0))</f>
        <v/>
      </c>
      <c r="U733">
        <f>IF($T733=1,SUMPRODUCT(--($W$2:$W$1001&lt;$W733))+1,"")</f>
        <v/>
      </c>
      <c r="V733">
        <f>IF($A733="","",IF(AND(ISNUMBER($R733),NOT(ISLOGICAL($R733)),N($R733)&gt;1),IF(ABS($R733/100-Settings!$C$6)&lt;=ABS($R733/100-Settings!$C$7),1,0),IF(OR($R733=TRUE(),$R733="TRUE"),1,0)))</f>
        <v/>
      </c>
      <c r="W733">
        <f>IF($T733=1,IFERROR(IF(VALUE($A733)&lt;100000000,VALUE($A733),1000000000),IFERROR(IF(VALUE(MID($A733,2,20))&lt;100000000,VALUE(MID($A733,2,20)),1000000000),1000000000))+ROW()/100000,"")</f>
        <v/>
      </c>
    </row>
    <row r="734">
      <c r="F734" s="7">
        <f>IF($A734="","",E734*K734/100)</f>
        <v/>
      </c>
      <c r="J734" s="7" t="n"/>
      <c r="K734" s="7" t="n"/>
      <c r="L734" s="7">
        <f>IF($A734="","",S734*K734)</f>
        <v/>
      </c>
      <c r="M734" s="7">
        <f>IF($A734="","",K734-L734)</f>
        <v/>
      </c>
      <c r="N734" s="7">
        <f>IF($A734="","",M734-F734)</f>
        <v/>
      </c>
      <c r="Q734" s="11" t="n"/>
      <c r="S734">
        <f>IF($A734="","",IF(AND(ISNUMBER($R734),NOT(ISLOGICAL($R734)),N($R734)&gt;1),$R734/100*1,IF($V734=1,Settings!$C$6,Settings!$C$7)*1))</f>
        <v/>
      </c>
      <c r="T734">
        <f>IF($A734="","",IF(COUNTIF($A$2:$A734,$A734)=1,1,0))</f>
        <v/>
      </c>
      <c r="U734">
        <f>IF($T734=1,SUMPRODUCT(--($W$2:$W$1001&lt;$W734))+1,"")</f>
        <v/>
      </c>
      <c r="V734">
        <f>IF($A734="","",IF(AND(ISNUMBER($R734),NOT(ISLOGICAL($R734)),N($R734)&gt;1),IF(ABS($R734/100-Settings!$C$6)&lt;=ABS($R734/100-Settings!$C$7),1,0),IF(OR($R734=TRUE(),$R734="TRUE"),1,0)))</f>
        <v/>
      </c>
      <c r="W734">
        <f>IF($T734=1,IFERROR(IF(VALUE($A734)&lt;100000000,VALUE($A734),1000000000),IFERROR(IF(VALUE(MID($A734,2,20))&lt;100000000,VALUE(MID($A734,2,20)),1000000000),1000000000))+ROW()/100000,"")</f>
        <v/>
      </c>
    </row>
    <row r="735">
      <c r="F735" s="7">
        <f>IF($A735="","",E735*K735/100)</f>
        <v/>
      </c>
      <c r="J735" s="7" t="n"/>
      <c r="K735" s="7" t="n"/>
      <c r="L735" s="7">
        <f>IF($A735="","",S735*K735)</f>
        <v/>
      </c>
      <c r="M735" s="7">
        <f>IF($A735="","",K735-L735)</f>
        <v/>
      </c>
      <c r="N735" s="7">
        <f>IF($A735="","",M735-F735)</f>
        <v/>
      </c>
      <c r="Q735" s="11" t="n"/>
      <c r="S735">
        <f>IF($A735="","",IF(AND(ISNUMBER($R735),NOT(ISLOGICAL($R735)),N($R735)&gt;1),$R735/100*1,IF($V735=1,Settings!$C$6,Settings!$C$7)*1))</f>
        <v/>
      </c>
      <c r="T735">
        <f>IF($A735="","",IF(COUNTIF($A$2:$A735,$A735)=1,1,0))</f>
        <v/>
      </c>
      <c r="U735">
        <f>IF($T735=1,SUMPRODUCT(--($W$2:$W$1001&lt;$W735))+1,"")</f>
        <v/>
      </c>
      <c r="V735">
        <f>IF($A735="","",IF(AND(ISNUMBER($R735),NOT(ISLOGICAL($R735)),N($R735)&gt;1),IF(ABS($R735/100-Settings!$C$6)&lt;=ABS($R735/100-Settings!$C$7),1,0),IF(OR($R735=TRUE(),$R735="TRUE"),1,0)))</f>
        <v/>
      </c>
      <c r="W735">
        <f>IF($T735=1,IFERROR(IF(VALUE($A735)&lt;100000000,VALUE($A735),1000000000),IFERROR(IF(VALUE(MID($A735,2,20))&lt;100000000,VALUE(MID($A735,2,20)),1000000000),1000000000))+ROW()/100000,"")</f>
        <v/>
      </c>
    </row>
    <row r="736">
      <c r="F736" s="7">
        <f>IF($A736="","",E736*K736/100)</f>
        <v/>
      </c>
      <c r="J736" s="7" t="n"/>
      <c r="K736" s="7" t="n"/>
      <c r="L736" s="7">
        <f>IF($A736="","",S736*K736)</f>
        <v/>
      </c>
      <c r="M736" s="7">
        <f>IF($A736="","",K736-L736)</f>
        <v/>
      </c>
      <c r="N736" s="7">
        <f>IF($A736="","",M736-F736)</f>
        <v/>
      </c>
      <c r="Q736" s="11" t="n"/>
      <c r="S736">
        <f>IF($A736="","",IF(AND(ISNUMBER($R736),NOT(ISLOGICAL($R736)),N($R736)&gt;1),$R736/100*1,IF($V736=1,Settings!$C$6,Settings!$C$7)*1))</f>
        <v/>
      </c>
      <c r="T736">
        <f>IF($A736="","",IF(COUNTIF($A$2:$A736,$A736)=1,1,0))</f>
        <v/>
      </c>
      <c r="U736">
        <f>IF($T736=1,SUMPRODUCT(--($W$2:$W$1001&lt;$W736))+1,"")</f>
        <v/>
      </c>
      <c r="V736">
        <f>IF($A736="","",IF(AND(ISNUMBER($R736),NOT(ISLOGICAL($R736)),N($R736)&gt;1),IF(ABS($R736/100-Settings!$C$6)&lt;=ABS($R736/100-Settings!$C$7),1,0),IF(OR($R736=TRUE(),$R736="TRUE"),1,0)))</f>
        <v/>
      </c>
      <c r="W736">
        <f>IF($T736=1,IFERROR(IF(VALUE($A736)&lt;100000000,VALUE($A736),1000000000),IFERROR(IF(VALUE(MID($A736,2,20))&lt;100000000,VALUE(MID($A736,2,20)),1000000000),1000000000))+ROW()/100000,"")</f>
        <v/>
      </c>
    </row>
    <row r="737">
      <c r="F737" s="7">
        <f>IF($A737="","",E737*K737/100)</f>
        <v/>
      </c>
      <c r="J737" s="7" t="n"/>
      <c r="K737" s="7" t="n"/>
      <c r="L737" s="7">
        <f>IF($A737="","",S737*K737)</f>
        <v/>
      </c>
      <c r="M737" s="7">
        <f>IF($A737="","",K737-L737)</f>
        <v/>
      </c>
      <c r="N737" s="7">
        <f>IF($A737="","",M737-F737)</f>
        <v/>
      </c>
      <c r="Q737" s="11" t="n"/>
      <c r="S737">
        <f>IF($A737="","",IF(AND(ISNUMBER($R737),NOT(ISLOGICAL($R737)),N($R737)&gt;1),$R737/100*1,IF($V737=1,Settings!$C$6,Settings!$C$7)*1))</f>
        <v/>
      </c>
      <c r="T737">
        <f>IF($A737="","",IF(COUNTIF($A$2:$A737,$A737)=1,1,0))</f>
        <v/>
      </c>
      <c r="U737">
        <f>IF($T737=1,SUMPRODUCT(--($W$2:$W$1001&lt;$W737))+1,"")</f>
        <v/>
      </c>
      <c r="V737">
        <f>IF($A737="","",IF(AND(ISNUMBER($R737),NOT(ISLOGICAL($R737)),N($R737)&gt;1),IF(ABS($R737/100-Settings!$C$6)&lt;=ABS($R737/100-Settings!$C$7),1,0),IF(OR($R737=TRUE(),$R737="TRUE"),1,0)))</f>
        <v/>
      </c>
      <c r="W737">
        <f>IF($T737=1,IFERROR(IF(VALUE($A737)&lt;100000000,VALUE($A737),1000000000),IFERROR(IF(VALUE(MID($A737,2,20))&lt;100000000,VALUE(MID($A737,2,20)),1000000000),1000000000))+ROW()/100000,"")</f>
        <v/>
      </c>
    </row>
    <row r="738">
      <c r="F738" s="7">
        <f>IF($A738="","",E738*K738/100)</f>
        <v/>
      </c>
      <c r="J738" s="7" t="n"/>
      <c r="K738" s="7" t="n"/>
      <c r="L738" s="7">
        <f>IF($A738="","",S738*K738)</f>
        <v/>
      </c>
      <c r="M738" s="7">
        <f>IF($A738="","",K738-L738)</f>
        <v/>
      </c>
      <c r="N738" s="7">
        <f>IF($A738="","",M738-F738)</f>
        <v/>
      </c>
      <c r="Q738" s="11" t="n"/>
      <c r="S738">
        <f>IF($A738="","",IF(AND(ISNUMBER($R738),NOT(ISLOGICAL($R738)),N($R738)&gt;1),$R738/100*1,IF($V738=1,Settings!$C$6,Settings!$C$7)*1))</f>
        <v/>
      </c>
      <c r="T738">
        <f>IF($A738="","",IF(COUNTIF($A$2:$A738,$A738)=1,1,0))</f>
        <v/>
      </c>
      <c r="U738">
        <f>IF($T738=1,SUMPRODUCT(--($W$2:$W$1001&lt;$W738))+1,"")</f>
        <v/>
      </c>
      <c r="V738">
        <f>IF($A738="","",IF(AND(ISNUMBER($R738),NOT(ISLOGICAL($R738)),N($R738)&gt;1),IF(ABS($R738/100-Settings!$C$6)&lt;=ABS($R738/100-Settings!$C$7),1,0),IF(OR($R738=TRUE(),$R738="TRUE"),1,0)))</f>
        <v/>
      </c>
      <c r="W738">
        <f>IF($T738=1,IFERROR(IF(VALUE($A738)&lt;100000000,VALUE($A738),1000000000),IFERROR(IF(VALUE(MID($A738,2,20))&lt;100000000,VALUE(MID($A738,2,20)),1000000000),1000000000))+ROW()/100000,"")</f>
        <v/>
      </c>
    </row>
    <row r="739">
      <c r="F739" s="7">
        <f>IF($A739="","",E739*K739/100)</f>
        <v/>
      </c>
      <c r="J739" s="7" t="n"/>
      <c r="K739" s="7" t="n"/>
      <c r="L739" s="7">
        <f>IF($A739="","",S739*K739)</f>
        <v/>
      </c>
      <c r="M739" s="7">
        <f>IF($A739="","",K739-L739)</f>
        <v/>
      </c>
      <c r="N739" s="7">
        <f>IF($A739="","",M739-F739)</f>
        <v/>
      </c>
      <c r="Q739" s="11" t="n"/>
      <c r="S739">
        <f>IF($A739="","",IF(AND(ISNUMBER($R739),NOT(ISLOGICAL($R739)),N($R739)&gt;1),$R739/100*1,IF($V739=1,Settings!$C$6,Settings!$C$7)*1))</f>
        <v/>
      </c>
      <c r="T739">
        <f>IF($A739="","",IF(COUNTIF($A$2:$A739,$A739)=1,1,0))</f>
        <v/>
      </c>
      <c r="U739">
        <f>IF($T739=1,SUMPRODUCT(--($W$2:$W$1001&lt;$W739))+1,"")</f>
        <v/>
      </c>
      <c r="V739">
        <f>IF($A739="","",IF(AND(ISNUMBER($R739),NOT(ISLOGICAL($R739)),N($R739)&gt;1),IF(ABS($R739/100-Settings!$C$6)&lt;=ABS($R739/100-Settings!$C$7),1,0),IF(OR($R739=TRUE(),$R739="TRUE"),1,0)))</f>
        <v/>
      </c>
      <c r="W739">
        <f>IF($T739=1,IFERROR(IF(VALUE($A739)&lt;100000000,VALUE($A739),1000000000),IFERROR(IF(VALUE(MID($A739,2,20))&lt;100000000,VALUE(MID($A739,2,20)),1000000000),1000000000))+ROW()/100000,"")</f>
        <v/>
      </c>
    </row>
    <row r="740">
      <c r="F740" s="7">
        <f>IF($A740="","",E740*K740/100)</f>
        <v/>
      </c>
      <c r="J740" s="7" t="n"/>
      <c r="K740" s="7" t="n"/>
      <c r="L740" s="7">
        <f>IF($A740="","",S740*K740)</f>
        <v/>
      </c>
      <c r="M740" s="7">
        <f>IF($A740="","",K740-L740)</f>
        <v/>
      </c>
      <c r="N740" s="7">
        <f>IF($A740="","",M740-F740)</f>
        <v/>
      </c>
      <c r="Q740" s="11" t="n"/>
      <c r="S740">
        <f>IF($A740="","",IF(AND(ISNUMBER($R740),NOT(ISLOGICAL($R740)),N($R740)&gt;1),$R740/100*1,IF($V740=1,Settings!$C$6,Settings!$C$7)*1))</f>
        <v/>
      </c>
      <c r="T740">
        <f>IF($A740="","",IF(COUNTIF($A$2:$A740,$A740)=1,1,0))</f>
        <v/>
      </c>
      <c r="U740">
        <f>IF($T740=1,SUMPRODUCT(--($W$2:$W$1001&lt;$W740))+1,"")</f>
        <v/>
      </c>
      <c r="V740">
        <f>IF($A740="","",IF(AND(ISNUMBER($R740),NOT(ISLOGICAL($R740)),N($R740)&gt;1),IF(ABS($R740/100-Settings!$C$6)&lt;=ABS($R740/100-Settings!$C$7),1,0),IF(OR($R740=TRUE(),$R740="TRUE"),1,0)))</f>
        <v/>
      </c>
      <c r="W740">
        <f>IF($T740=1,IFERROR(IF(VALUE($A740)&lt;100000000,VALUE($A740),1000000000),IFERROR(IF(VALUE(MID($A740,2,20))&lt;100000000,VALUE(MID($A740,2,20)),1000000000),1000000000))+ROW()/100000,"")</f>
        <v/>
      </c>
    </row>
    <row r="741">
      <c r="F741" s="7">
        <f>IF($A741="","",E741*K741/100)</f>
        <v/>
      </c>
      <c r="J741" s="7" t="n"/>
      <c r="K741" s="7" t="n"/>
      <c r="L741" s="7">
        <f>IF($A741="","",S741*K741)</f>
        <v/>
      </c>
      <c r="M741" s="7">
        <f>IF($A741="","",K741-L741)</f>
        <v/>
      </c>
      <c r="N741" s="7">
        <f>IF($A741="","",M741-F741)</f>
        <v/>
      </c>
      <c r="Q741" s="11" t="n"/>
      <c r="S741">
        <f>IF($A741="","",IF(AND(ISNUMBER($R741),NOT(ISLOGICAL($R741)),N($R741)&gt;1),$R741/100*1,IF($V741=1,Settings!$C$6,Settings!$C$7)*1))</f>
        <v/>
      </c>
      <c r="T741">
        <f>IF($A741="","",IF(COUNTIF($A$2:$A741,$A741)=1,1,0))</f>
        <v/>
      </c>
      <c r="U741">
        <f>IF($T741=1,SUMPRODUCT(--($W$2:$W$1001&lt;$W741))+1,"")</f>
        <v/>
      </c>
      <c r="V741">
        <f>IF($A741="","",IF(AND(ISNUMBER($R741),NOT(ISLOGICAL($R741)),N($R741)&gt;1),IF(ABS($R741/100-Settings!$C$6)&lt;=ABS($R741/100-Settings!$C$7),1,0),IF(OR($R741=TRUE(),$R741="TRUE"),1,0)))</f>
        <v/>
      </c>
      <c r="W741">
        <f>IF($T741=1,IFERROR(IF(VALUE($A741)&lt;100000000,VALUE($A741),1000000000),IFERROR(IF(VALUE(MID($A741,2,20))&lt;100000000,VALUE(MID($A741,2,20)),1000000000),1000000000))+ROW()/100000,"")</f>
        <v/>
      </c>
    </row>
    <row r="742">
      <c r="F742" s="7">
        <f>IF($A742="","",E742*K742/100)</f>
        <v/>
      </c>
      <c r="J742" s="7" t="n"/>
      <c r="K742" s="7" t="n"/>
      <c r="L742" s="7">
        <f>IF($A742="","",S742*K742)</f>
        <v/>
      </c>
      <c r="M742" s="7">
        <f>IF($A742="","",K742-L742)</f>
        <v/>
      </c>
      <c r="N742" s="7">
        <f>IF($A742="","",M742-F742)</f>
        <v/>
      </c>
      <c r="Q742" s="11" t="n"/>
      <c r="S742">
        <f>IF($A742="","",IF(AND(ISNUMBER($R742),NOT(ISLOGICAL($R742)),N($R742)&gt;1),$R742/100*1,IF($V742=1,Settings!$C$6,Settings!$C$7)*1))</f>
        <v/>
      </c>
      <c r="T742">
        <f>IF($A742="","",IF(COUNTIF($A$2:$A742,$A742)=1,1,0))</f>
        <v/>
      </c>
      <c r="U742">
        <f>IF($T742=1,SUMPRODUCT(--($W$2:$W$1001&lt;$W742))+1,"")</f>
        <v/>
      </c>
      <c r="V742">
        <f>IF($A742="","",IF(AND(ISNUMBER($R742),NOT(ISLOGICAL($R742)),N($R742)&gt;1),IF(ABS($R742/100-Settings!$C$6)&lt;=ABS($R742/100-Settings!$C$7),1,0),IF(OR($R742=TRUE(),$R742="TRUE"),1,0)))</f>
        <v/>
      </c>
      <c r="W742">
        <f>IF($T742=1,IFERROR(IF(VALUE($A742)&lt;100000000,VALUE($A742),1000000000),IFERROR(IF(VALUE(MID($A742,2,20))&lt;100000000,VALUE(MID($A742,2,20)),1000000000),1000000000))+ROW()/100000,"")</f>
        <v/>
      </c>
    </row>
    <row r="743">
      <c r="F743" s="7">
        <f>IF($A743="","",E743*K743/100)</f>
        <v/>
      </c>
      <c r="J743" s="7" t="n"/>
      <c r="K743" s="7" t="n"/>
      <c r="L743" s="7">
        <f>IF($A743="","",S743*K743)</f>
        <v/>
      </c>
      <c r="M743" s="7">
        <f>IF($A743="","",K743-L743)</f>
        <v/>
      </c>
      <c r="N743" s="7">
        <f>IF($A743="","",M743-F743)</f>
        <v/>
      </c>
      <c r="Q743" s="11" t="n"/>
      <c r="S743">
        <f>IF($A743="","",IF(AND(ISNUMBER($R743),NOT(ISLOGICAL($R743)),N($R743)&gt;1),$R743/100*1,IF($V743=1,Settings!$C$6,Settings!$C$7)*1))</f>
        <v/>
      </c>
      <c r="T743">
        <f>IF($A743="","",IF(COUNTIF($A$2:$A743,$A743)=1,1,0))</f>
        <v/>
      </c>
      <c r="U743">
        <f>IF($T743=1,SUMPRODUCT(--($W$2:$W$1001&lt;$W743))+1,"")</f>
        <v/>
      </c>
      <c r="V743">
        <f>IF($A743="","",IF(AND(ISNUMBER($R743),NOT(ISLOGICAL($R743)),N($R743)&gt;1),IF(ABS($R743/100-Settings!$C$6)&lt;=ABS($R743/100-Settings!$C$7),1,0),IF(OR($R743=TRUE(),$R743="TRUE"),1,0)))</f>
        <v/>
      </c>
      <c r="W743">
        <f>IF($T743=1,IFERROR(IF(VALUE($A743)&lt;100000000,VALUE($A743),1000000000),IFERROR(IF(VALUE(MID($A743,2,20))&lt;100000000,VALUE(MID($A743,2,20)),1000000000),1000000000))+ROW()/100000,"")</f>
        <v/>
      </c>
    </row>
    <row r="744">
      <c r="F744" s="7">
        <f>IF($A744="","",E744*K744/100)</f>
        <v/>
      </c>
      <c r="J744" s="7" t="n"/>
      <c r="K744" s="7" t="n"/>
      <c r="L744" s="7">
        <f>IF($A744="","",S744*K744)</f>
        <v/>
      </c>
      <c r="M744" s="7">
        <f>IF($A744="","",K744-L744)</f>
        <v/>
      </c>
      <c r="N744" s="7">
        <f>IF($A744="","",M744-F744)</f>
        <v/>
      </c>
      <c r="Q744" s="11" t="n"/>
      <c r="S744">
        <f>IF($A744="","",IF(AND(ISNUMBER($R744),NOT(ISLOGICAL($R744)),N($R744)&gt;1),$R744/100*1,IF($V744=1,Settings!$C$6,Settings!$C$7)*1))</f>
        <v/>
      </c>
      <c r="T744">
        <f>IF($A744="","",IF(COUNTIF($A$2:$A744,$A744)=1,1,0))</f>
        <v/>
      </c>
      <c r="U744">
        <f>IF($T744=1,SUMPRODUCT(--($W$2:$W$1001&lt;$W744))+1,"")</f>
        <v/>
      </c>
      <c r="V744">
        <f>IF($A744="","",IF(AND(ISNUMBER($R744),NOT(ISLOGICAL($R744)),N($R744)&gt;1),IF(ABS($R744/100-Settings!$C$6)&lt;=ABS($R744/100-Settings!$C$7),1,0),IF(OR($R744=TRUE(),$R744="TRUE"),1,0)))</f>
        <v/>
      </c>
      <c r="W744">
        <f>IF($T744=1,IFERROR(IF(VALUE($A744)&lt;100000000,VALUE($A744),1000000000),IFERROR(IF(VALUE(MID($A744,2,20))&lt;100000000,VALUE(MID($A744,2,20)),1000000000),1000000000))+ROW()/100000,"")</f>
        <v/>
      </c>
    </row>
    <row r="745">
      <c r="F745" s="7">
        <f>IF($A745="","",E745*K745/100)</f>
        <v/>
      </c>
      <c r="J745" s="7" t="n"/>
      <c r="K745" s="7" t="n"/>
      <c r="L745" s="7">
        <f>IF($A745="","",S745*K745)</f>
        <v/>
      </c>
      <c r="M745" s="7">
        <f>IF($A745="","",K745-L745)</f>
        <v/>
      </c>
      <c r="N745" s="7">
        <f>IF($A745="","",M745-F745)</f>
        <v/>
      </c>
      <c r="Q745" s="11" t="n"/>
      <c r="S745">
        <f>IF($A745="","",IF(AND(ISNUMBER($R745),NOT(ISLOGICAL($R745)),N($R745)&gt;1),$R745/100*1,IF($V745=1,Settings!$C$6,Settings!$C$7)*1))</f>
        <v/>
      </c>
      <c r="T745">
        <f>IF($A745="","",IF(COUNTIF($A$2:$A745,$A745)=1,1,0))</f>
        <v/>
      </c>
      <c r="U745">
        <f>IF($T745=1,SUMPRODUCT(--($W$2:$W$1001&lt;$W745))+1,"")</f>
        <v/>
      </c>
      <c r="V745">
        <f>IF($A745="","",IF(AND(ISNUMBER($R745),NOT(ISLOGICAL($R745)),N($R745)&gt;1),IF(ABS($R745/100-Settings!$C$6)&lt;=ABS($R745/100-Settings!$C$7),1,0),IF(OR($R745=TRUE(),$R745="TRUE"),1,0)))</f>
        <v/>
      </c>
      <c r="W745">
        <f>IF($T745=1,IFERROR(IF(VALUE($A745)&lt;100000000,VALUE($A745),1000000000),IFERROR(IF(VALUE(MID($A745,2,20))&lt;100000000,VALUE(MID($A745,2,20)),1000000000),1000000000))+ROW()/100000,"")</f>
        <v/>
      </c>
    </row>
    <row r="746">
      <c r="F746" s="7">
        <f>IF($A746="","",E746*K746/100)</f>
        <v/>
      </c>
      <c r="J746" s="7" t="n"/>
      <c r="K746" s="7" t="n"/>
      <c r="L746" s="7">
        <f>IF($A746="","",S746*K746)</f>
        <v/>
      </c>
      <c r="M746" s="7">
        <f>IF($A746="","",K746-L746)</f>
        <v/>
      </c>
      <c r="N746" s="7">
        <f>IF($A746="","",M746-F746)</f>
        <v/>
      </c>
      <c r="Q746" s="11" t="n"/>
      <c r="S746">
        <f>IF($A746="","",IF(AND(ISNUMBER($R746),NOT(ISLOGICAL($R746)),N($R746)&gt;1),$R746/100*1,IF($V746=1,Settings!$C$6,Settings!$C$7)*1))</f>
        <v/>
      </c>
      <c r="T746">
        <f>IF($A746="","",IF(COUNTIF($A$2:$A746,$A746)=1,1,0))</f>
        <v/>
      </c>
      <c r="U746">
        <f>IF($T746=1,SUMPRODUCT(--($W$2:$W$1001&lt;$W746))+1,"")</f>
        <v/>
      </c>
      <c r="V746">
        <f>IF($A746="","",IF(AND(ISNUMBER($R746),NOT(ISLOGICAL($R746)),N($R746)&gt;1),IF(ABS($R746/100-Settings!$C$6)&lt;=ABS($R746/100-Settings!$C$7),1,0),IF(OR($R746=TRUE(),$R746="TRUE"),1,0)))</f>
        <v/>
      </c>
      <c r="W746">
        <f>IF($T746=1,IFERROR(IF(VALUE($A746)&lt;100000000,VALUE($A746),1000000000),IFERROR(IF(VALUE(MID($A746,2,20))&lt;100000000,VALUE(MID($A746,2,20)),1000000000),1000000000))+ROW()/100000,"")</f>
        <v/>
      </c>
    </row>
    <row r="747">
      <c r="F747" s="7">
        <f>IF($A747="","",E747*K747/100)</f>
        <v/>
      </c>
      <c r="J747" s="7" t="n"/>
      <c r="K747" s="7" t="n"/>
      <c r="L747" s="7">
        <f>IF($A747="","",S747*K747)</f>
        <v/>
      </c>
      <c r="M747" s="7">
        <f>IF($A747="","",K747-L747)</f>
        <v/>
      </c>
      <c r="N747" s="7">
        <f>IF($A747="","",M747-F747)</f>
        <v/>
      </c>
      <c r="Q747" s="11" t="n"/>
      <c r="S747">
        <f>IF($A747="","",IF(AND(ISNUMBER($R747),NOT(ISLOGICAL($R747)),N($R747)&gt;1),$R747/100*1,IF($V747=1,Settings!$C$6,Settings!$C$7)*1))</f>
        <v/>
      </c>
      <c r="T747">
        <f>IF($A747="","",IF(COUNTIF($A$2:$A747,$A747)=1,1,0))</f>
        <v/>
      </c>
      <c r="U747">
        <f>IF($T747=1,SUMPRODUCT(--($W$2:$W$1001&lt;$W747))+1,"")</f>
        <v/>
      </c>
      <c r="V747">
        <f>IF($A747="","",IF(AND(ISNUMBER($R747),NOT(ISLOGICAL($R747)),N($R747)&gt;1),IF(ABS($R747/100-Settings!$C$6)&lt;=ABS($R747/100-Settings!$C$7),1,0),IF(OR($R747=TRUE(),$R747="TRUE"),1,0)))</f>
        <v/>
      </c>
      <c r="W747">
        <f>IF($T747=1,IFERROR(IF(VALUE($A747)&lt;100000000,VALUE($A747),1000000000),IFERROR(IF(VALUE(MID($A747,2,20))&lt;100000000,VALUE(MID($A747,2,20)),1000000000),1000000000))+ROW()/100000,"")</f>
        <v/>
      </c>
    </row>
    <row r="748">
      <c r="F748" s="7">
        <f>IF($A748="","",E748*K748/100)</f>
        <v/>
      </c>
      <c r="J748" s="7" t="n"/>
      <c r="K748" s="7" t="n"/>
      <c r="L748" s="7">
        <f>IF($A748="","",S748*K748)</f>
        <v/>
      </c>
      <c r="M748" s="7">
        <f>IF($A748="","",K748-L748)</f>
        <v/>
      </c>
      <c r="N748" s="7">
        <f>IF($A748="","",M748-F748)</f>
        <v/>
      </c>
      <c r="Q748" s="11" t="n"/>
      <c r="S748">
        <f>IF($A748="","",IF(AND(ISNUMBER($R748),NOT(ISLOGICAL($R748)),N($R748)&gt;1),$R748/100*1,IF($V748=1,Settings!$C$6,Settings!$C$7)*1))</f>
        <v/>
      </c>
      <c r="T748">
        <f>IF($A748="","",IF(COUNTIF($A$2:$A748,$A748)=1,1,0))</f>
        <v/>
      </c>
      <c r="U748">
        <f>IF($T748=1,SUMPRODUCT(--($W$2:$W$1001&lt;$W748))+1,"")</f>
        <v/>
      </c>
      <c r="V748">
        <f>IF($A748="","",IF(AND(ISNUMBER($R748),NOT(ISLOGICAL($R748)),N($R748)&gt;1),IF(ABS($R748/100-Settings!$C$6)&lt;=ABS($R748/100-Settings!$C$7),1,0),IF(OR($R748=TRUE(),$R748="TRUE"),1,0)))</f>
        <v/>
      </c>
      <c r="W748">
        <f>IF($T748=1,IFERROR(IF(VALUE($A748)&lt;100000000,VALUE($A748),1000000000),IFERROR(IF(VALUE(MID($A748,2,20))&lt;100000000,VALUE(MID($A748,2,20)),1000000000),1000000000))+ROW()/100000,"")</f>
        <v/>
      </c>
    </row>
    <row r="749">
      <c r="F749" s="7">
        <f>IF($A749="","",E749*K749/100)</f>
        <v/>
      </c>
      <c r="J749" s="7" t="n"/>
      <c r="K749" s="7" t="n"/>
      <c r="L749" s="7">
        <f>IF($A749="","",S749*K749)</f>
        <v/>
      </c>
      <c r="M749" s="7">
        <f>IF($A749="","",K749-L749)</f>
        <v/>
      </c>
      <c r="N749" s="7">
        <f>IF($A749="","",M749-F749)</f>
        <v/>
      </c>
      <c r="Q749" s="11" t="n"/>
      <c r="S749">
        <f>IF($A749="","",IF(AND(ISNUMBER($R749),NOT(ISLOGICAL($R749)),N($R749)&gt;1),$R749/100*1,IF($V749=1,Settings!$C$6,Settings!$C$7)*1))</f>
        <v/>
      </c>
      <c r="T749">
        <f>IF($A749="","",IF(COUNTIF($A$2:$A749,$A749)=1,1,0))</f>
        <v/>
      </c>
      <c r="U749">
        <f>IF($T749=1,SUMPRODUCT(--($W$2:$W$1001&lt;$W749))+1,"")</f>
        <v/>
      </c>
      <c r="V749">
        <f>IF($A749="","",IF(AND(ISNUMBER($R749),NOT(ISLOGICAL($R749)),N($R749)&gt;1),IF(ABS($R749/100-Settings!$C$6)&lt;=ABS($R749/100-Settings!$C$7),1,0),IF(OR($R749=TRUE(),$R749="TRUE"),1,0)))</f>
        <v/>
      </c>
      <c r="W749">
        <f>IF($T749=1,IFERROR(IF(VALUE($A749)&lt;100000000,VALUE($A749),1000000000),IFERROR(IF(VALUE(MID($A749,2,20))&lt;100000000,VALUE(MID($A749,2,20)),1000000000),1000000000))+ROW()/100000,"")</f>
        <v/>
      </c>
    </row>
    <row r="750">
      <c r="F750" s="7">
        <f>IF($A750="","",E750*K750/100)</f>
        <v/>
      </c>
      <c r="J750" s="7" t="n"/>
      <c r="K750" s="7" t="n"/>
      <c r="L750" s="7">
        <f>IF($A750="","",S750*K750)</f>
        <v/>
      </c>
      <c r="M750" s="7">
        <f>IF($A750="","",K750-L750)</f>
        <v/>
      </c>
      <c r="N750" s="7">
        <f>IF($A750="","",M750-F750)</f>
        <v/>
      </c>
      <c r="Q750" s="11" t="n"/>
      <c r="S750">
        <f>IF($A750="","",IF(AND(ISNUMBER($R750),NOT(ISLOGICAL($R750)),N($R750)&gt;1),$R750/100*1,IF($V750=1,Settings!$C$6,Settings!$C$7)*1))</f>
        <v/>
      </c>
      <c r="T750">
        <f>IF($A750="","",IF(COUNTIF($A$2:$A750,$A750)=1,1,0))</f>
        <v/>
      </c>
      <c r="U750">
        <f>IF($T750=1,SUMPRODUCT(--($W$2:$W$1001&lt;$W750))+1,"")</f>
        <v/>
      </c>
      <c r="V750">
        <f>IF($A750="","",IF(AND(ISNUMBER($R750),NOT(ISLOGICAL($R750)),N($R750)&gt;1),IF(ABS($R750/100-Settings!$C$6)&lt;=ABS($R750/100-Settings!$C$7),1,0),IF(OR($R750=TRUE(),$R750="TRUE"),1,0)))</f>
        <v/>
      </c>
      <c r="W750">
        <f>IF($T750=1,IFERROR(IF(VALUE($A750)&lt;100000000,VALUE($A750),1000000000),IFERROR(IF(VALUE(MID($A750,2,20))&lt;100000000,VALUE(MID($A750,2,20)),1000000000),1000000000))+ROW()/100000,"")</f>
        <v/>
      </c>
    </row>
    <row r="751">
      <c r="F751" s="7">
        <f>IF($A751="","",E751*K751/100)</f>
        <v/>
      </c>
      <c r="J751" s="7" t="n"/>
      <c r="K751" s="7" t="n"/>
      <c r="L751" s="7">
        <f>IF($A751="","",S751*K751)</f>
        <v/>
      </c>
      <c r="M751" s="7">
        <f>IF($A751="","",K751-L751)</f>
        <v/>
      </c>
      <c r="N751" s="7">
        <f>IF($A751="","",M751-F751)</f>
        <v/>
      </c>
      <c r="Q751" s="11" t="n"/>
      <c r="S751">
        <f>IF($A751="","",IF(AND(ISNUMBER($R751),NOT(ISLOGICAL($R751)),N($R751)&gt;1),$R751/100*1,IF($V751=1,Settings!$C$6,Settings!$C$7)*1))</f>
        <v/>
      </c>
      <c r="T751">
        <f>IF($A751="","",IF(COUNTIF($A$2:$A751,$A751)=1,1,0))</f>
        <v/>
      </c>
      <c r="U751">
        <f>IF($T751=1,SUMPRODUCT(--($W$2:$W$1001&lt;$W751))+1,"")</f>
        <v/>
      </c>
      <c r="V751">
        <f>IF($A751="","",IF(AND(ISNUMBER($R751),NOT(ISLOGICAL($R751)),N($R751)&gt;1),IF(ABS($R751/100-Settings!$C$6)&lt;=ABS($R751/100-Settings!$C$7),1,0),IF(OR($R751=TRUE(),$R751="TRUE"),1,0)))</f>
        <v/>
      </c>
      <c r="W751">
        <f>IF($T751=1,IFERROR(IF(VALUE($A751)&lt;100000000,VALUE($A751),1000000000),IFERROR(IF(VALUE(MID($A751,2,20))&lt;100000000,VALUE(MID($A751,2,20)),1000000000),1000000000))+ROW()/100000,"")</f>
        <v/>
      </c>
    </row>
    <row r="752">
      <c r="F752" s="7">
        <f>IF($A752="","",E752*K752/100)</f>
        <v/>
      </c>
      <c r="J752" s="7" t="n"/>
      <c r="K752" s="7" t="n"/>
      <c r="L752" s="7">
        <f>IF($A752="","",S752*K752)</f>
        <v/>
      </c>
      <c r="M752" s="7">
        <f>IF($A752="","",K752-L752)</f>
        <v/>
      </c>
      <c r="N752" s="7">
        <f>IF($A752="","",M752-F752)</f>
        <v/>
      </c>
      <c r="Q752" s="11" t="n"/>
      <c r="S752">
        <f>IF($A752="","",IF(AND(ISNUMBER($R752),NOT(ISLOGICAL($R752)),N($R752)&gt;1),$R752/100*1,IF($V752=1,Settings!$C$6,Settings!$C$7)*1))</f>
        <v/>
      </c>
      <c r="T752">
        <f>IF($A752="","",IF(COUNTIF($A$2:$A752,$A752)=1,1,0))</f>
        <v/>
      </c>
      <c r="U752">
        <f>IF($T752=1,SUMPRODUCT(--($W$2:$W$1001&lt;$W752))+1,"")</f>
        <v/>
      </c>
      <c r="V752">
        <f>IF($A752="","",IF(AND(ISNUMBER($R752),NOT(ISLOGICAL($R752)),N($R752)&gt;1),IF(ABS($R752/100-Settings!$C$6)&lt;=ABS($R752/100-Settings!$C$7),1,0),IF(OR($R752=TRUE(),$R752="TRUE"),1,0)))</f>
        <v/>
      </c>
      <c r="W752">
        <f>IF($T752=1,IFERROR(IF(VALUE($A752)&lt;100000000,VALUE($A752),1000000000),IFERROR(IF(VALUE(MID($A752,2,20))&lt;100000000,VALUE(MID($A752,2,20)),1000000000),1000000000))+ROW()/100000,"")</f>
        <v/>
      </c>
    </row>
    <row r="753">
      <c r="F753" s="7">
        <f>IF($A753="","",E753*K753/100)</f>
        <v/>
      </c>
      <c r="J753" s="7" t="n"/>
      <c r="K753" s="7" t="n"/>
      <c r="L753" s="7">
        <f>IF($A753="","",S753*K753)</f>
        <v/>
      </c>
      <c r="M753" s="7">
        <f>IF($A753="","",K753-L753)</f>
        <v/>
      </c>
      <c r="N753" s="7">
        <f>IF($A753="","",M753-F753)</f>
        <v/>
      </c>
      <c r="Q753" s="11" t="n"/>
      <c r="S753">
        <f>IF($A753="","",IF(AND(ISNUMBER($R753),NOT(ISLOGICAL($R753)),N($R753)&gt;1),$R753/100*1,IF($V753=1,Settings!$C$6,Settings!$C$7)*1))</f>
        <v/>
      </c>
      <c r="T753">
        <f>IF($A753="","",IF(COUNTIF($A$2:$A753,$A753)=1,1,0))</f>
        <v/>
      </c>
      <c r="U753">
        <f>IF($T753=1,SUMPRODUCT(--($W$2:$W$1001&lt;$W753))+1,"")</f>
        <v/>
      </c>
      <c r="V753">
        <f>IF($A753="","",IF(AND(ISNUMBER($R753),NOT(ISLOGICAL($R753)),N($R753)&gt;1),IF(ABS($R753/100-Settings!$C$6)&lt;=ABS($R753/100-Settings!$C$7),1,0),IF(OR($R753=TRUE(),$R753="TRUE"),1,0)))</f>
        <v/>
      </c>
      <c r="W753">
        <f>IF($T753=1,IFERROR(IF(VALUE($A753)&lt;100000000,VALUE($A753),1000000000),IFERROR(IF(VALUE(MID($A753,2,20))&lt;100000000,VALUE(MID($A753,2,20)),1000000000),1000000000))+ROW()/100000,"")</f>
        <v/>
      </c>
    </row>
    <row r="754">
      <c r="F754" s="7">
        <f>IF($A754="","",E754*K754/100)</f>
        <v/>
      </c>
      <c r="J754" s="7" t="n"/>
      <c r="K754" s="7" t="n"/>
      <c r="L754" s="7">
        <f>IF($A754="","",S754*K754)</f>
        <v/>
      </c>
      <c r="M754" s="7">
        <f>IF($A754="","",K754-L754)</f>
        <v/>
      </c>
      <c r="N754" s="7">
        <f>IF($A754="","",M754-F754)</f>
        <v/>
      </c>
      <c r="Q754" s="11" t="n"/>
      <c r="S754">
        <f>IF($A754="","",IF(AND(ISNUMBER($R754),NOT(ISLOGICAL($R754)),N($R754)&gt;1),$R754/100*1,IF($V754=1,Settings!$C$6,Settings!$C$7)*1))</f>
        <v/>
      </c>
      <c r="T754">
        <f>IF($A754="","",IF(COUNTIF($A$2:$A754,$A754)=1,1,0))</f>
        <v/>
      </c>
      <c r="U754">
        <f>IF($T754=1,SUMPRODUCT(--($W$2:$W$1001&lt;$W754))+1,"")</f>
        <v/>
      </c>
      <c r="V754">
        <f>IF($A754="","",IF(AND(ISNUMBER($R754),NOT(ISLOGICAL($R754)),N($R754)&gt;1),IF(ABS($R754/100-Settings!$C$6)&lt;=ABS($R754/100-Settings!$C$7),1,0),IF(OR($R754=TRUE(),$R754="TRUE"),1,0)))</f>
        <v/>
      </c>
      <c r="W754">
        <f>IF($T754=1,IFERROR(IF(VALUE($A754)&lt;100000000,VALUE($A754),1000000000),IFERROR(IF(VALUE(MID($A754,2,20))&lt;100000000,VALUE(MID($A754,2,20)),1000000000),1000000000))+ROW()/100000,"")</f>
        <v/>
      </c>
    </row>
    <row r="755">
      <c r="F755" s="7">
        <f>IF($A755="","",E755*K755/100)</f>
        <v/>
      </c>
      <c r="J755" s="7" t="n"/>
      <c r="K755" s="7" t="n"/>
      <c r="L755" s="7">
        <f>IF($A755="","",S755*K755)</f>
        <v/>
      </c>
      <c r="M755" s="7">
        <f>IF($A755="","",K755-L755)</f>
        <v/>
      </c>
      <c r="N755" s="7">
        <f>IF($A755="","",M755-F755)</f>
        <v/>
      </c>
      <c r="Q755" s="11" t="n"/>
      <c r="S755">
        <f>IF($A755="","",IF(AND(ISNUMBER($R755),NOT(ISLOGICAL($R755)),N($R755)&gt;1),$R755/100*1,IF($V755=1,Settings!$C$6,Settings!$C$7)*1))</f>
        <v/>
      </c>
      <c r="T755">
        <f>IF($A755="","",IF(COUNTIF($A$2:$A755,$A755)=1,1,0))</f>
        <v/>
      </c>
      <c r="U755">
        <f>IF($T755=1,SUMPRODUCT(--($W$2:$W$1001&lt;$W755))+1,"")</f>
        <v/>
      </c>
      <c r="V755">
        <f>IF($A755="","",IF(AND(ISNUMBER($R755),NOT(ISLOGICAL($R755)),N($R755)&gt;1),IF(ABS($R755/100-Settings!$C$6)&lt;=ABS($R755/100-Settings!$C$7),1,0),IF(OR($R755=TRUE(),$R755="TRUE"),1,0)))</f>
        <v/>
      </c>
      <c r="W755">
        <f>IF($T755=1,IFERROR(IF(VALUE($A755)&lt;100000000,VALUE($A755),1000000000),IFERROR(IF(VALUE(MID($A755,2,20))&lt;100000000,VALUE(MID($A755,2,20)),1000000000),1000000000))+ROW()/100000,"")</f>
        <v/>
      </c>
    </row>
    <row r="756">
      <c r="F756" s="7">
        <f>IF($A756="","",E756*K756/100)</f>
        <v/>
      </c>
      <c r="J756" s="7" t="n"/>
      <c r="K756" s="7" t="n"/>
      <c r="L756" s="7">
        <f>IF($A756="","",S756*K756)</f>
        <v/>
      </c>
      <c r="M756" s="7">
        <f>IF($A756="","",K756-L756)</f>
        <v/>
      </c>
      <c r="N756" s="7">
        <f>IF($A756="","",M756-F756)</f>
        <v/>
      </c>
      <c r="Q756" s="11" t="n"/>
      <c r="S756">
        <f>IF($A756="","",IF(AND(ISNUMBER($R756),NOT(ISLOGICAL($R756)),N($R756)&gt;1),$R756/100*1,IF($V756=1,Settings!$C$6,Settings!$C$7)*1))</f>
        <v/>
      </c>
      <c r="T756">
        <f>IF($A756="","",IF(COUNTIF($A$2:$A756,$A756)=1,1,0))</f>
        <v/>
      </c>
      <c r="U756">
        <f>IF($T756=1,SUMPRODUCT(--($W$2:$W$1001&lt;$W756))+1,"")</f>
        <v/>
      </c>
      <c r="V756">
        <f>IF($A756="","",IF(AND(ISNUMBER($R756),NOT(ISLOGICAL($R756)),N($R756)&gt;1),IF(ABS($R756/100-Settings!$C$6)&lt;=ABS($R756/100-Settings!$C$7),1,0),IF(OR($R756=TRUE(),$R756="TRUE"),1,0)))</f>
        <v/>
      </c>
      <c r="W756">
        <f>IF($T756=1,IFERROR(IF(VALUE($A756)&lt;100000000,VALUE($A756),1000000000),IFERROR(IF(VALUE(MID($A756,2,20))&lt;100000000,VALUE(MID($A756,2,20)),1000000000),1000000000))+ROW()/100000,"")</f>
        <v/>
      </c>
    </row>
    <row r="757">
      <c r="F757" s="7">
        <f>IF($A757="","",E757*K757/100)</f>
        <v/>
      </c>
      <c r="J757" s="7" t="n"/>
      <c r="K757" s="7" t="n"/>
      <c r="L757" s="7">
        <f>IF($A757="","",S757*K757)</f>
        <v/>
      </c>
      <c r="M757" s="7">
        <f>IF($A757="","",K757-L757)</f>
        <v/>
      </c>
      <c r="N757" s="7">
        <f>IF($A757="","",M757-F757)</f>
        <v/>
      </c>
      <c r="Q757" s="11" t="n"/>
      <c r="S757">
        <f>IF($A757="","",IF(AND(ISNUMBER($R757),NOT(ISLOGICAL($R757)),N($R757)&gt;1),$R757/100*1,IF($V757=1,Settings!$C$6,Settings!$C$7)*1))</f>
        <v/>
      </c>
      <c r="T757">
        <f>IF($A757="","",IF(COUNTIF($A$2:$A757,$A757)=1,1,0))</f>
        <v/>
      </c>
      <c r="U757">
        <f>IF($T757=1,SUMPRODUCT(--($W$2:$W$1001&lt;$W757))+1,"")</f>
        <v/>
      </c>
      <c r="V757">
        <f>IF($A757="","",IF(AND(ISNUMBER($R757),NOT(ISLOGICAL($R757)),N($R757)&gt;1),IF(ABS($R757/100-Settings!$C$6)&lt;=ABS($R757/100-Settings!$C$7),1,0),IF(OR($R757=TRUE(),$R757="TRUE"),1,0)))</f>
        <v/>
      </c>
      <c r="W757">
        <f>IF($T757=1,IFERROR(IF(VALUE($A757)&lt;100000000,VALUE($A757),1000000000),IFERROR(IF(VALUE(MID($A757,2,20))&lt;100000000,VALUE(MID($A757,2,20)),1000000000),1000000000))+ROW()/100000,"")</f>
        <v/>
      </c>
    </row>
    <row r="758">
      <c r="F758" s="7">
        <f>IF($A758="","",E758*K758/100)</f>
        <v/>
      </c>
      <c r="J758" s="7" t="n"/>
      <c r="K758" s="7" t="n"/>
      <c r="L758" s="7">
        <f>IF($A758="","",S758*K758)</f>
        <v/>
      </c>
      <c r="M758" s="7">
        <f>IF($A758="","",K758-L758)</f>
        <v/>
      </c>
      <c r="N758" s="7">
        <f>IF($A758="","",M758-F758)</f>
        <v/>
      </c>
      <c r="Q758" s="11" t="n"/>
      <c r="S758">
        <f>IF($A758="","",IF(AND(ISNUMBER($R758),NOT(ISLOGICAL($R758)),N($R758)&gt;1),$R758/100*1,IF($V758=1,Settings!$C$6,Settings!$C$7)*1))</f>
        <v/>
      </c>
      <c r="T758">
        <f>IF($A758="","",IF(COUNTIF($A$2:$A758,$A758)=1,1,0))</f>
        <v/>
      </c>
      <c r="U758">
        <f>IF($T758=1,SUMPRODUCT(--($W$2:$W$1001&lt;$W758))+1,"")</f>
        <v/>
      </c>
      <c r="V758">
        <f>IF($A758="","",IF(AND(ISNUMBER($R758),NOT(ISLOGICAL($R758)),N($R758)&gt;1),IF(ABS($R758/100-Settings!$C$6)&lt;=ABS($R758/100-Settings!$C$7),1,0),IF(OR($R758=TRUE(),$R758="TRUE"),1,0)))</f>
        <v/>
      </c>
      <c r="W758">
        <f>IF($T758=1,IFERROR(IF(VALUE($A758)&lt;100000000,VALUE($A758),1000000000),IFERROR(IF(VALUE(MID($A758,2,20))&lt;100000000,VALUE(MID($A758,2,20)),1000000000),1000000000))+ROW()/100000,"")</f>
        <v/>
      </c>
    </row>
    <row r="759">
      <c r="F759" s="7">
        <f>IF($A759="","",E759*K759/100)</f>
        <v/>
      </c>
      <c r="J759" s="7" t="n"/>
      <c r="K759" s="7" t="n"/>
      <c r="L759" s="7">
        <f>IF($A759="","",S759*K759)</f>
        <v/>
      </c>
      <c r="M759" s="7">
        <f>IF($A759="","",K759-L759)</f>
        <v/>
      </c>
      <c r="N759" s="7">
        <f>IF($A759="","",M759-F759)</f>
        <v/>
      </c>
      <c r="Q759" s="11" t="n"/>
      <c r="S759">
        <f>IF($A759="","",IF(AND(ISNUMBER($R759),NOT(ISLOGICAL($R759)),N($R759)&gt;1),$R759/100*1,IF($V759=1,Settings!$C$6,Settings!$C$7)*1))</f>
        <v/>
      </c>
      <c r="T759">
        <f>IF($A759="","",IF(COUNTIF($A$2:$A759,$A759)=1,1,0))</f>
        <v/>
      </c>
      <c r="U759">
        <f>IF($T759=1,SUMPRODUCT(--($W$2:$W$1001&lt;$W759))+1,"")</f>
        <v/>
      </c>
      <c r="V759">
        <f>IF($A759="","",IF(AND(ISNUMBER($R759),NOT(ISLOGICAL($R759)),N($R759)&gt;1),IF(ABS($R759/100-Settings!$C$6)&lt;=ABS($R759/100-Settings!$C$7),1,0),IF(OR($R759=TRUE(),$R759="TRUE"),1,0)))</f>
        <v/>
      </c>
      <c r="W759">
        <f>IF($T759=1,IFERROR(IF(VALUE($A759)&lt;100000000,VALUE($A759),1000000000),IFERROR(IF(VALUE(MID($A759,2,20))&lt;100000000,VALUE(MID($A759,2,20)),1000000000),1000000000))+ROW()/100000,"")</f>
        <v/>
      </c>
    </row>
    <row r="760">
      <c r="F760" s="7">
        <f>IF($A760="","",E760*K760/100)</f>
        <v/>
      </c>
      <c r="J760" s="7" t="n"/>
      <c r="K760" s="7" t="n"/>
      <c r="L760" s="7">
        <f>IF($A760="","",S760*K760)</f>
        <v/>
      </c>
      <c r="M760" s="7">
        <f>IF($A760="","",K760-L760)</f>
        <v/>
      </c>
      <c r="N760" s="7">
        <f>IF($A760="","",M760-F760)</f>
        <v/>
      </c>
      <c r="Q760" s="11" t="n"/>
      <c r="S760">
        <f>IF($A760="","",IF(AND(ISNUMBER($R760),NOT(ISLOGICAL($R760)),N($R760)&gt;1),$R760/100*1,IF($V760=1,Settings!$C$6,Settings!$C$7)*1))</f>
        <v/>
      </c>
      <c r="T760">
        <f>IF($A760="","",IF(COUNTIF($A$2:$A760,$A760)=1,1,0))</f>
        <v/>
      </c>
      <c r="U760">
        <f>IF($T760=1,SUMPRODUCT(--($W$2:$W$1001&lt;$W760))+1,"")</f>
        <v/>
      </c>
      <c r="V760">
        <f>IF($A760="","",IF(AND(ISNUMBER($R760),NOT(ISLOGICAL($R760)),N($R760)&gt;1),IF(ABS($R760/100-Settings!$C$6)&lt;=ABS($R760/100-Settings!$C$7),1,0),IF(OR($R760=TRUE(),$R760="TRUE"),1,0)))</f>
        <v/>
      </c>
      <c r="W760">
        <f>IF($T760=1,IFERROR(IF(VALUE($A760)&lt;100000000,VALUE($A760),1000000000),IFERROR(IF(VALUE(MID($A760,2,20))&lt;100000000,VALUE(MID($A760,2,20)),1000000000),1000000000))+ROW()/100000,"")</f>
        <v/>
      </c>
    </row>
    <row r="761">
      <c r="F761" s="7">
        <f>IF($A761="","",E761*K761/100)</f>
        <v/>
      </c>
      <c r="J761" s="7" t="n"/>
      <c r="K761" s="7" t="n"/>
      <c r="L761" s="7">
        <f>IF($A761="","",S761*K761)</f>
        <v/>
      </c>
      <c r="M761" s="7">
        <f>IF($A761="","",K761-L761)</f>
        <v/>
      </c>
      <c r="N761" s="7">
        <f>IF($A761="","",M761-F761)</f>
        <v/>
      </c>
      <c r="Q761" s="11" t="n"/>
      <c r="S761">
        <f>IF($A761="","",IF(AND(ISNUMBER($R761),NOT(ISLOGICAL($R761)),N($R761)&gt;1),$R761/100*1,IF($V761=1,Settings!$C$6,Settings!$C$7)*1))</f>
        <v/>
      </c>
      <c r="T761">
        <f>IF($A761="","",IF(COUNTIF($A$2:$A761,$A761)=1,1,0))</f>
        <v/>
      </c>
      <c r="U761">
        <f>IF($T761=1,SUMPRODUCT(--($W$2:$W$1001&lt;$W761))+1,"")</f>
        <v/>
      </c>
      <c r="V761">
        <f>IF($A761="","",IF(AND(ISNUMBER($R761),NOT(ISLOGICAL($R761)),N($R761)&gt;1),IF(ABS($R761/100-Settings!$C$6)&lt;=ABS($R761/100-Settings!$C$7),1,0),IF(OR($R761=TRUE(),$R761="TRUE"),1,0)))</f>
        <v/>
      </c>
      <c r="W761">
        <f>IF($T761=1,IFERROR(IF(VALUE($A761)&lt;100000000,VALUE($A761),1000000000),IFERROR(IF(VALUE(MID($A761,2,20))&lt;100000000,VALUE(MID($A761,2,20)),1000000000),1000000000))+ROW()/100000,"")</f>
        <v/>
      </c>
    </row>
    <row r="762">
      <c r="F762" s="7">
        <f>IF($A762="","",E762*K762/100)</f>
        <v/>
      </c>
      <c r="J762" s="7" t="n"/>
      <c r="K762" s="7" t="n"/>
      <c r="L762" s="7">
        <f>IF($A762="","",S762*K762)</f>
        <v/>
      </c>
      <c r="M762" s="7">
        <f>IF($A762="","",K762-L762)</f>
        <v/>
      </c>
      <c r="N762" s="7">
        <f>IF($A762="","",M762-F762)</f>
        <v/>
      </c>
      <c r="Q762" s="11" t="n"/>
      <c r="S762">
        <f>IF($A762="","",IF(AND(ISNUMBER($R762),NOT(ISLOGICAL($R762)),N($R762)&gt;1),$R762/100*1,IF($V762=1,Settings!$C$6,Settings!$C$7)*1))</f>
        <v/>
      </c>
      <c r="T762">
        <f>IF($A762="","",IF(COUNTIF($A$2:$A762,$A762)=1,1,0))</f>
        <v/>
      </c>
      <c r="U762">
        <f>IF($T762=1,SUMPRODUCT(--($W$2:$W$1001&lt;$W762))+1,"")</f>
        <v/>
      </c>
      <c r="V762">
        <f>IF($A762="","",IF(AND(ISNUMBER($R762),NOT(ISLOGICAL($R762)),N($R762)&gt;1),IF(ABS($R762/100-Settings!$C$6)&lt;=ABS($R762/100-Settings!$C$7),1,0),IF(OR($R762=TRUE(),$R762="TRUE"),1,0)))</f>
        <v/>
      </c>
      <c r="W762">
        <f>IF($T762=1,IFERROR(IF(VALUE($A762)&lt;100000000,VALUE($A762),1000000000),IFERROR(IF(VALUE(MID($A762,2,20))&lt;100000000,VALUE(MID($A762,2,20)),1000000000),1000000000))+ROW()/100000,"")</f>
        <v/>
      </c>
    </row>
    <row r="763">
      <c r="F763" s="7">
        <f>IF($A763="","",E763*K763/100)</f>
        <v/>
      </c>
      <c r="J763" s="7" t="n"/>
      <c r="K763" s="7" t="n"/>
      <c r="L763" s="7">
        <f>IF($A763="","",S763*K763)</f>
        <v/>
      </c>
      <c r="M763" s="7">
        <f>IF($A763="","",K763-L763)</f>
        <v/>
      </c>
      <c r="N763" s="7">
        <f>IF($A763="","",M763-F763)</f>
        <v/>
      </c>
      <c r="Q763" s="11" t="n"/>
      <c r="S763">
        <f>IF($A763="","",IF(AND(ISNUMBER($R763),NOT(ISLOGICAL($R763)),N($R763)&gt;1),$R763/100*1,IF($V763=1,Settings!$C$6,Settings!$C$7)*1))</f>
        <v/>
      </c>
      <c r="T763">
        <f>IF($A763="","",IF(COUNTIF($A$2:$A763,$A763)=1,1,0))</f>
        <v/>
      </c>
      <c r="U763">
        <f>IF($T763=1,SUMPRODUCT(--($W$2:$W$1001&lt;$W763))+1,"")</f>
        <v/>
      </c>
      <c r="V763">
        <f>IF($A763="","",IF(AND(ISNUMBER($R763),NOT(ISLOGICAL($R763)),N($R763)&gt;1),IF(ABS($R763/100-Settings!$C$6)&lt;=ABS($R763/100-Settings!$C$7),1,0),IF(OR($R763=TRUE(),$R763="TRUE"),1,0)))</f>
        <v/>
      </c>
      <c r="W763">
        <f>IF($T763=1,IFERROR(IF(VALUE($A763)&lt;100000000,VALUE($A763),1000000000),IFERROR(IF(VALUE(MID($A763,2,20))&lt;100000000,VALUE(MID($A763,2,20)),1000000000),1000000000))+ROW()/100000,"")</f>
        <v/>
      </c>
    </row>
    <row r="764">
      <c r="F764" s="7">
        <f>IF($A764="","",E764*K764/100)</f>
        <v/>
      </c>
      <c r="J764" s="7" t="n"/>
      <c r="K764" s="7" t="n"/>
      <c r="L764" s="7">
        <f>IF($A764="","",S764*K764)</f>
        <v/>
      </c>
      <c r="M764" s="7">
        <f>IF($A764="","",K764-L764)</f>
        <v/>
      </c>
      <c r="N764" s="7">
        <f>IF($A764="","",M764-F764)</f>
        <v/>
      </c>
      <c r="Q764" s="11" t="n"/>
      <c r="S764">
        <f>IF($A764="","",IF(AND(ISNUMBER($R764),NOT(ISLOGICAL($R764)),N($R764)&gt;1),$R764/100*1,IF($V764=1,Settings!$C$6,Settings!$C$7)*1))</f>
        <v/>
      </c>
      <c r="T764">
        <f>IF($A764="","",IF(COUNTIF($A$2:$A764,$A764)=1,1,0))</f>
        <v/>
      </c>
      <c r="U764">
        <f>IF($T764=1,SUMPRODUCT(--($W$2:$W$1001&lt;$W764))+1,"")</f>
        <v/>
      </c>
      <c r="V764">
        <f>IF($A764="","",IF(AND(ISNUMBER($R764),NOT(ISLOGICAL($R764)),N($R764)&gt;1),IF(ABS($R764/100-Settings!$C$6)&lt;=ABS($R764/100-Settings!$C$7),1,0),IF(OR($R764=TRUE(),$R764="TRUE"),1,0)))</f>
        <v/>
      </c>
      <c r="W764">
        <f>IF($T764=1,IFERROR(IF(VALUE($A764)&lt;100000000,VALUE($A764),1000000000),IFERROR(IF(VALUE(MID($A764,2,20))&lt;100000000,VALUE(MID($A764,2,20)),1000000000),1000000000))+ROW()/100000,"")</f>
        <v/>
      </c>
    </row>
    <row r="765">
      <c r="F765" s="7">
        <f>IF($A765="","",E765*K765/100)</f>
        <v/>
      </c>
      <c r="J765" s="7" t="n"/>
      <c r="K765" s="7" t="n"/>
      <c r="L765" s="7">
        <f>IF($A765="","",S765*K765)</f>
        <v/>
      </c>
      <c r="M765" s="7">
        <f>IF($A765="","",K765-L765)</f>
        <v/>
      </c>
      <c r="N765" s="7">
        <f>IF($A765="","",M765-F765)</f>
        <v/>
      </c>
      <c r="Q765" s="11" t="n"/>
      <c r="S765">
        <f>IF($A765="","",IF(AND(ISNUMBER($R765),NOT(ISLOGICAL($R765)),N($R765)&gt;1),$R765/100*1,IF($V765=1,Settings!$C$6,Settings!$C$7)*1))</f>
        <v/>
      </c>
      <c r="T765">
        <f>IF($A765="","",IF(COUNTIF($A$2:$A765,$A765)=1,1,0))</f>
        <v/>
      </c>
      <c r="U765">
        <f>IF($T765=1,SUMPRODUCT(--($W$2:$W$1001&lt;$W765))+1,"")</f>
        <v/>
      </c>
      <c r="V765">
        <f>IF($A765="","",IF(AND(ISNUMBER($R765),NOT(ISLOGICAL($R765)),N($R765)&gt;1),IF(ABS($R765/100-Settings!$C$6)&lt;=ABS($R765/100-Settings!$C$7),1,0),IF(OR($R765=TRUE(),$R765="TRUE"),1,0)))</f>
        <v/>
      </c>
      <c r="W765">
        <f>IF($T765=1,IFERROR(IF(VALUE($A765)&lt;100000000,VALUE($A765),1000000000),IFERROR(IF(VALUE(MID($A765,2,20))&lt;100000000,VALUE(MID($A765,2,20)),1000000000),1000000000))+ROW()/100000,"")</f>
        <v/>
      </c>
    </row>
    <row r="766">
      <c r="F766" s="7">
        <f>IF($A766="","",E766*K766/100)</f>
        <v/>
      </c>
      <c r="J766" s="7" t="n"/>
      <c r="K766" s="7" t="n"/>
      <c r="L766" s="7">
        <f>IF($A766="","",S766*K766)</f>
        <v/>
      </c>
      <c r="M766" s="7">
        <f>IF($A766="","",K766-L766)</f>
        <v/>
      </c>
      <c r="N766" s="7">
        <f>IF($A766="","",M766-F766)</f>
        <v/>
      </c>
      <c r="Q766" s="11" t="n"/>
      <c r="S766">
        <f>IF($A766="","",IF(AND(ISNUMBER($R766),NOT(ISLOGICAL($R766)),N($R766)&gt;1),$R766/100*1,IF($V766=1,Settings!$C$6,Settings!$C$7)*1))</f>
        <v/>
      </c>
      <c r="T766">
        <f>IF($A766="","",IF(COUNTIF($A$2:$A766,$A766)=1,1,0))</f>
        <v/>
      </c>
      <c r="U766">
        <f>IF($T766=1,SUMPRODUCT(--($W$2:$W$1001&lt;$W766))+1,"")</f>
        <v/>
      </c>
      <c r="V766">
        <f>IF($A766="","",IF(AND(ISNUMBER($R766),NOT(ISLOGICAL($R766)),N($R766)&gt;1),IF(ABS($R766/100-Settings!$C$6)&lt;=ABS($R766/100-Settings!$C$7),1,0),IF(OR($R766=TRUE(),$R766="TRUE"),1,0)))</f>
        <v/>
      </c>
      <c r="W766">
        <f>IF($T766=1,IFERROR(IF(VALUE($A766)&lt;100000000,VALUE($A766),1000000000),IFERROR(IF(VALUE(MID($A766,2,20))&lt;100000000,VALUE(MID($A766,2,20)),1000000000),1000000000))+ROW()/100000,"")</f>
        <v/>
      </c>
    </row>
    <row r="767">
      <c r="F767" s="7">
        <f>IF($A767="","",E767*K767/100)</f>
        <v/>
      </c>
      <c r="J767" s="7" t="n"/>
      <c r="K767" s="7" t="n"/>
      <c r="L767" s="7">
        <f>IF($A767="","",S767*K767)</f>
        <v/>
      </c>
      <c r="M767" s="7">
        <f>IF($A767="","",K767-L767)</f>
        <v/>
      </c>
      <c r="N767" s="7">
        <f>IF($A767="","",M767-F767)</f>
        <v/>
      </c>
      <c r="Q767" s="11" t="n"/>
      <c r="S767">
        <f>IF($A767="","",IF(AND(ISNUMBER($R767),NOT(ISLOGICAL($R767)),N($R767)&gt;1),$R767/100*1,IF($V767=1,Settings!$C$6,Settings!$C$7)*1))</f>
        <v/>
      </c>
      <c r="T767">
        <f>IF($A767="","",IF(COUNTIF($A$2:$A767,$A767)=1,1,0))</f>
        <v/>
      </c>
      <c r="U767">
        <f>IF($T767=1,SUMPRODUCT(--($W$2:$W$1001&lt;$W767))+1,"")</f>
        <v/>
      </c>
      <c r="V767">
        <f>IF($A767="","",IF(AND(ISNUMBER($R767),NOT(ISLOGICAL($R767)),N($R767)&gt;1),IF(ABS($R767/100-Settings!$C$6)&lt;=ABS($R767/100-Settings!$C$7),1,0),IF(OR($R767=TRUE(),$R767="TRUE"),1,0)))</f>
        <v/>
      </c>
      <c r="W767">
        <f>IF($T767=1,IFERROR(IF(VALUE($A767)&lt;100000000,VALUE($A767),1000000000),IFERROR(IF(VALUE(MID($A767,2,20))&lt;100000000,VALUE(MID($A767,2,20)),1000000000),1000000000))+ROW()/100000,"")</f>
        <v/>
      </c>
    </row>
    <row r="768">
      <c r="F768" s="7">
        <f>IF($A768="","",E768*K768/100)</f>
        <v/>
      </c>
      <c r="J768" s="7" t="n"/>
      <c r="K768" s="7" t="n"/>
      <c r="L768" s="7">
        <f>IF($A768="","",S768*K768)</f>
        <v/>
      </c>
      <c r="M768" s="7">
        <f>IF($A768="","",K768-L768)</f>
        <v/>
      </c>
      <c r="N768" s="7">
        <f>IF($A768="","",M768-F768)</f>
        <v/>
      </c>
      <c r="Q768" s="11" t="n"/>
      <c r="S768">
        <f>IF($A768="","",IF(AND(ISNUMBER($R768),NOT(ISLOGICAL($R768)),N($R768)&gt;1),$R768/100*1,IF($V768=1,Settings!$C$6,Settings!$C$7)*1))</f>
        <v/>
      </c>
      <c r="T768">
        <f>IF($A768="","",IF(COUNTIF($A$2:$A768,$A768)=1,1,0))</f>
        <v/>
      </c>
      <c r="U768">
        <f>IF($T768=1,SUMPRODUCT(--($W$2:$W$1001&lt;$W768))+1,"")</f>
        <v/>
      </c>
      <c r="V768">
        <f>IF($A768="","",IF(AND(ISNUMBER($R768),NOT(ISLOGICAL($R768)),N($R768)&gt;1),IF(ABS($R768/100-Settings!$C$6)&lt;=ABS($R768/100-Settings!$C$7),1,0),IF(OR($R768=TRUE(),$R768="TRUE"),1,0)))</f>
        <v/>
      </c>
      <c r="W768">
        <f>IF($T768=1,IFERROR(IF(VALUE($A768)&lt;100000000,VALUE($A768),1000000000),IFERROR(IF(VALUE(MID($A768,2,20))&lt;100000000,VALUE(MID($A768,2,20)),1000000000),1000000000))+ROW()/100000,"")</f>
        <v/>
      </c>
    </row>
    <row r="769">
      <c r="F769" s="7">
        <f>IF($A769="","",E769*K769/100)</f>
        <v/>
      </c>
      <c r="J769" s="7" t="n"/>
      <c r="K769" s="7" t="n"/>
      <c r="L769" s="7">
        <f>IF($A769="","",S769*K769)</f>
        <v/>
      </c>
      <c r="M769" s="7">
        <f>IF($A769="","",K769-L769)</f>
        <v/>
      </c>
      <c r="N769" s="7">
        <f>IF($A769="","",M769-F769)</f>
        <v/>
      </c>
      <c r="Q769" s="11" t="n"/>
      <c r="S769">
        <f>IF($A769="","",IF(AND(ISNUMBER($R769),NOT(ISLOGICAL($R769)),N($R769)&gt;1),$R769/100*1,IF($V769=1,Settings!$C$6,Settings!$C$7)*1))</f>
        <v/>
      </c>
      <c r="T769">
        <f>IF($A769="","",IF(COUNTIF($A$2:$A769,$A769)=1,1,0))</f>
        <v/>
      </c>
      <c r="U769">
        <f>IF($T769=1,SUMPRODUCT(--($W$2:$W$1001&lt;$W769))+1,"")</f>
        <v/>
      </c>
      <c r="V769">
        <f>IF($A769="","",IF(AND(ISNUMBER($R769),NOT(ISLOGICAL($R769)),N($R769)&gt;1),IF(ABS($R769/100-Settings!$C$6)&lt;=ABS($R769/100-Settings!$C$7),1,0),IF(OR($R769=TRUE(),$R769="TRUE"),1,0)))</f>
        <v/>
      </c>
      <c r="W769">
        <f>IF($T769=1,IFERROR(IF(VALUE($A769)&lt;100000000,VALUE($A769),1000000000),IFERROR(IF(VALUE(MID($A769,2,20))&lt;100000000,VALUE(MID($A769,2,20)),1000000000),1000000000))+ROW()/100000,"")</f>
        <v/>
      </c>
    </row>
    <row r="770">
      <c r="F770" s="7">
        <f>IF($A770="","",E770*K770/100)</f>
        <v/>
      </c>
      <c r="J770" s="7" t="n"/>
      <c r="K770" s="7" t="n"/>
      <c r="L770" s="7">
        <f>IF($A770="","",S770*K770)</f>
        <v/>
      </c>
      <c r="M770" s="7">
        <f>IF($A770="","",K770-L770)</f>
        <v/>
      </c>
      <c r="N770" s="7">
        <f>IF($A770="","",M770-F770)</f>
        <v/>
      </c>
      <c r="Q770" s="11" t="n"/>
      <c r="S770">
        <f>IF($A770="","",IF(AND(ISNUMBER($R770),NOT(ISLOGICAL($R770)),N($R770)&gt;1),$R770/100*1,IF($V770=1,Settings!$C$6,Settings!$C$7)*1))</f>
        <v/>
      </c>
      <c r="T770">
        <f>IF($A770="","",IF(COUNTIF($A$2:$A770,$A770)=1,1,0))</f>
        <v/>
      </c>
      <c r="U770">
        <f>IF($T770=1,SUMPRODUCT(--($W$2:$W$1001&lt;$W770))+1,"")</f>
        <v/>
      </c>
      <c r="V770">
        <f>IF($A770="","",IF(AND(ISNUMBER($R770),NOT(ISLOGICAL($R770)),N($R770)&gt;1),IF(ABS($R770/100-Settings!$C$6)&lt;=ABS($R770/100-Settings!$C$7),1,0),IF(OR($R770=TRUE(),$R770="TRUE"),1,0)))</f>
        <v/>
      </c>
      <c r="W770">
        <f>IF($T770=1,IFERROR(IF(VALUE($A770)&lt;100000000,VALUE($A770),1000000000),IFERROR(IF(VALUE(MID($A770,2,20))&lt;100000000,VALUE(MID($A770,2,20)),1000000000),1000000000))+ROW()/100000,"")</f>
        <v/>
      </c>
    </row>
    <row r="771">
      <c r="F771" s="7">
        <f>IF($A771="","",E771*K771/100)</f>
        <v/>
      </c>
      <c r="J771" s="7" t="n"/>
      <c r="K771" s="7" t="n"/>
      <c r="L771" s="7">
        <f>IF($A771="","",S771*K771)</f>
        <v/>
      </c>
      <c r="M771" s="7">
        <f>IF($A771="","",K771-L771)</f>
        <v/>
      </c>
      <c r="N771" s="7">
        <f>IF($A771="","",M771-F771)</f>
        <v/>
      </c>
      <c r="Q771" s="11" t="n"/>
      <c r="S771">
        <f>IF($A771="","",IF(AND(ISNUMBER($R771),NOT(ISLOGICAL($R771)),N($R771)&gt;1),$R771/100*1,IF($V771=1,Settings!$C$6,Settings!$C$7)*1))</f>
        <v/>
      </c>
      <c r="T771">
        <f>IF($A771="","",IF(COUNTIF($A$2:$A771,$A771)=1,1,0))</f>
        <v/>
      </c>
      <c r="U771">
        <f>IF($T771=1,SUMPRODUCT(--($W$2:$W$1001&lt;$W771))+1,"")</f>
        <v/>
      </c>
      <c r="V771">
        <f>IF($A771="","",IF(AND(ISNUMBER($R771),NOT(ISLOGICAL($R771)),N($R771)&gt;1),IF(ABS($R771/100-Settings!$C$6)&lt;=ABS($R771/100-Settings!$C$7),1,0),IF(OR($R771=TRUE(),$R771="TRUE"),1,0)))</f>
        <v/>
      </c>
      <c r="W771">
        <f>IF($T771=1,IFERROR(IF(VALUE($A771)&lt;100000000,VALUE($A771),1000000000),IFERROR(IF(VALUE(MID($A771,2,20))&lt;100000000,VALUE(MID($A771,2,20)),1000000000),1000000000))+ROW()/100000,"")</f>
        <v/>
      </c>
    </row>
    <row r="772">
      <c r="F772" s="7">
        <f>IF($A772="","",E772*K772/100)</f>
        <v/>
      </c>
      <c r="J772" s="7" t="n"/>
      <c r="K772" s="7" t="n"/>
      <c r="L772" s="7">
        <f>IF($A772="","",S772*K772)</f>
        <v/>
      </c>
      <c r="M772" s="7">
        <f>IF($A772="","",K772-L772)</f>
        <v/>
      </c>
      <c r="N772" s="7">
        <f>IF($A772="","",M772-F772)</f>
        <v/>
      </c>
      <c r="Q772" s="11" t="n"/>
      <c r="S772">
        <f>IF($A772="","",IF(AND(ISNUMBER($R772),NOT(ISLOGICAL($R772)),N($R772)&gt;1),$R772/100*1,IF($V772=1,Settings!$C$6,Settings!$C$7)*1))</f>
        <v/>
      </c>
      <c r="T772">
        <f>IF($A772="","",IF(COUNTIF($A$2:$A772,$A772)=1,1,0))</f>
        <v/>
      </c>
      <c r="U772">
        <f>IF($T772=1,SUMPRODUCT(--($W$2:$W$1001&lt;$W772))+1,"")</f>
        <v/>
      </c>
      <c r="V772">
        <f>IF($A772="","",IF(AND(ISNUMBER($R772),NOT(ISLOGICAL($R772)),N($R772)&gt;1),IF(ABS($R772/100-Settings!$C$6)&lt;=ABS($R772/100-Settings!$C$7),1,0),IF(OR($R772=TRUE(),$R772="TRUE"),1,0)))</f>
        <v/>
      </c>
      <c r="W772">
        <f>IF($T772=1,IFERROR(IF(VALUE($A772)&lt;100000000,VALUE($A772),1000000000),IFERROR(IF(VALUE(MID($A772,2,20))&lt;100000000,VALUE(MID($A772,2,20)),1000000000),1000000000))+ROW()/100000,"")</f>
        <v/>
      </c>
    </row>
    <row r="773">
      <c r="F773" s="7">
        <f>IF($A773="","",E773*K773/100)</f>
        <v/>
      </c>
      <c r="J773" s="7" t="n"/>
      <c r="K773" s="7" t="n"/>
      <c r="L773" s="7">
        <f>IF($A773="","",S773*K773)</f>
        <v/>
      </c>
      <c r="M773" s="7">
        <f>IF($A773="","",K773-L773)</f>
        <v/>
      </c>
      <c r="N773" s="7">
        <f>IF($A773="","",M773-F773)</f>
        <v/>
      </c>
      <c r="Q773" s="11" t="n"/>
      <c r="S773">
        <f>IF($A773="","",IF(AND(ISNUMBER($R773),NOT(ISLOGICAL($R773)),N($R773)&gt;1),$R773/100*1,IF($V773=1,Settings!$C$6,Settings!$C$7)*1))</f>
        <v/>
      </c>
      <c r="T773">
        <f>IF($A773="","",IF(COUNTIF($A$2:$A773,$A773)=1,1,0))</f>
        <v/>
      </c>
      <c r="U773">
        <f>IF($T773=1,SUMPRODUCT(--($W$2:$W$1001&lt;$W773))+1,"")</f>
        <v/>
      </c>
      <c r="V773">
        <f>IF($A773="","",IF(AND(ISNUMBER($R773),NOT(ISLOGICAL($R773)),N($R773)&gt;1),IF(ABS($R773/100-Settings!$C$6)&lt;=ABS($R773/100-Settings!$C$7),1,0),IF(OR($R773=TRUE(),$R773="TRUE"),1,0)))</f>
        <v/>
      </c>
      <c r="W773">
        <f>IF($T773=1,IFERROR(IF(VALUE($A773)&lt;100000000,VALUE($A773),1000000000),IFERROR(IF(VALUE(MID($A773,2,20))&lt;100000000,VALUE(MID($A773,2,20)),1000000000),1000000000))+ROW()/100000,"")</f>
        <v/>
      </c>
    </row>
    <row r="774">
      <c r="F774" s="7">
        <f>IF($A774="","",E774*K774/100)</f>
        <v/>
      </c>
      <c r="J774" s="7" t="n"/>
      <c r="K774" s="7" t="n"/>
      <c r="L774" s="7">
        <f>IF($A774="","",S774*K774)</f>
        <v/>
      </c>
      <c r="M774" s="7">
        <f>IF($A774="","",K774-L774)</f>
        <v/>
      </c>
      <c r="N774" s="7">
        <f>IF($A774="","",M774-F774)</f>
        <v/>
      </c>
      <c r="Q774" s="11" t="n"/>
      <c r="S774">
        <f>IF($A774="","",IF(AND(ISNUMBER($R774),NOT(ISLOGICAL($R774)),N($R774)&gt;1),$R774/100*1,IF($V774=1,Settings!$C$6,Settings!$C$7)*1))</f>
        <v/>
      </c>
      <c r="T774">
        <f>IF($A774="","",IF(COUNTIF($A$2:$A774,$A774)=1,1,0))</f>
        <v/>
      </c>
      <c r="U774">
        <f>IF($T774=1,SUMPRODUCT(--($W$2:$W$1001&lt;$W774))+1,"")</f>
        <v/>
      </c>
      <c r="V774">
        <f>IF($A774="","",IF(AND(ISNUMBER($R774),NOT(ISLOGICAL($R774)),N($R774)&gt;1),IF(ABS($R774/100-Settings!$C$6)&lt;=ABS($R774/100-Settings!$C$7),1,0),IF(OR($R774=TRUE(),$R774="TRUE"),1,0)))</f>
        <v/>
      </c>
      <c r="W774">
        <f>IF($T774=1,IFERROR(IF(VALUE($A774)&lt;100000000,VALUE($A774),1000000000),IFERROR(IF(VALUE(MID($A774,2,20))&lt;100000000,VALUE(MID($A774,2,20)),1000000000),1000000000))+ROW()/100000,"")</f>
        <v/>
      </c>
    </row>
    <row r="775">
      <c r="F775" s="7">
        <f>IF($A775="","",E775*K775/100)</f>
        <v/>
      </c>
      <c r="J775" s="7" t="n"/>
      <c r="K775" s="7" t="n"/>
      <c r="L775" s="7">
        <f>IF($A775="","",S775*K775)</f>
        <v/>
      </c>
      <c r="M775" s="7">
        <f>IF($A775="","",K775-L775)</f>
        <v/>
      </c>
      <c r="N775" s="7">
        <f>IF($A775="","",M775-F775)</f>
        <v/>
      </c>
      <c r="Q775" s="11" t="n"/>
      <c r="S775">
        <f>IF($A775="","",IF(AND(ISNUMBER($R775),NOT(ISLOGICAL($R775)),N($R775)&gt;1),$R775/100*1,IF($V775=1,Settings!$C$6,Settings!$C$7)*1))</f>
        <v/>
      </c>
      <c r="T775">
        <f>IF($A775="","",IF(COUNTIF($A$2:$A775,$A775)=1,1,0))</f>
        <v/>
      </c>
      <c r="U775">
        <f>IF($T775=1,SUMPRODUCT(--($W$2:$W$1001&lt;$W775))+1,"")</f>
        <v/>
      </c>
      <c r="V775">
        <f>IF($A775="","",IF(AND(ISNUMBER($R775),NOT(ISLOGICAL($R775)),N($R775)&gt;1),IF(ABS($R775/100-Settings!$C$6)&lt;=ABS($R775/100-Settings!$C$7),1,0),IF(OR($R775=TRUE(),$R775="TRUE"),1,0)))</f>
        <v/>
      </c>
      <c r="W775">
        <f>IF($T775=1,IFERROR(IF(VALUE($A775)&lt;100000000,VALUE($A775),1000000000),IFERROR(IF(VALUE(MID($A775,2,20))&lt;100000000,VALUE(MID($A775,2,20)),1000000000),1000000000))+ROW()/100000,"")</f>
        <v/>
      </c>
    </row>
    <row r="776">
      <c r="F776" s="7">
        <f>IF($A776="","",E776*K776/100)</f>
        <v/>
      </c>
      <c r="J776" s="7" t="n"/>
      <c r="K776" s="7" t="n"/>
      <c r="L776" s="7">
        <f>IF($A776="","",S776*K776)</f>
        <v/>
      </c>
      <c r="M776" s="7">
        <f>IF($A776="","",K776-L776)</f>
        <v/>
      </c>
      <c r="N776" s="7">
        <f>IF($A776="","",M776-F776)</f>
        <v/>
      </c>
      <c r="Q776" s="11" t="n"/>
      <c r="S776">
        <f>IF($A776="","",IF(AND(ISNUMBER($R776),NOT(ISLOGICAL($R776)),N($R776)&gt;1),$R776/100*1,IF($V776=1,Settings!$C$6,Settings!$C$7)*1))</f>
        <v/>
      </c>
      <c r="T776">
        <f>IF($A776="","",IF(COUNTIF($A$2:$A776,$A776)=1,1,0))</f>
        <v/>
      </c>
      <c r="U776">
        <f>IF($T776=1,SUMPRODUCT(--($W$2:$W$1001&lt;$W776))+1,"")</f>
        <v/>
      </c>
      <c r="V776">
        <f>IF($A776="","",IF(AND(ISNUMBER($R776),NOT(ISLOGICAL($R776)),N($R776)&gt;1),IF(ABS($R776/100-Settings!$C$6)&lt;=ABS($R776/100-Settings!$C$7),1,0),IF(OR($R776=TRUE(),$R776="TRUE"),1,0)))</f>
        <v/>
      </c>
      <c r="W776">
        <f>IF($T776=1,IFERROR(IF(VALUE($A776)&lt;100000000,VALUE($A776),1000000000),IFERROR(IF(VALUE(MID($A776,2,20))&lt;100000000,VALUE(MID($A776,2,20)),1000000000),1000000000))+ROW()/100000,"")</f>
        <v/>
      </c>
    </row>
    <row r="777">
      <c r="F777" s="7">
        <f>IF($A777="","",E777*K777/100)</f>
        <v/>
      </c>
      <c r="J777" s="7" t="n"/>
      <c r="K777" s="7" t="n"/>
      <c r="L777" s="7">
        <f>IF($A777="","",S777*K777)</f>
        <v/>
      </c>
      <c r="M777" s="7">
        <f>IF($A777="","",K777-L777)</f>
        <v/>
      </c>
      <c r="N777" s="7">
        <f>IF($A777="","",M777-F777)</f>
        <v/>
      </c>
      <c r="Q777" s="11" t="n"/>
      <c r="S777">
        <f>IF($A777="","",IF(AND(ISNUMBER($R777),NOT(ISLOGICAL($R777)),N($R777)&gt;1),$R777/100*1,IF($V777=1,Settings!$C$6,Settings!$C$7)*1))</f>
        <v/>
      </c>
      <c r="T777">
        <f>IF($A777="","",IF(COUNTIF($A$2:$A777,$A777)=1,1,0))</f>
        <v/>
      </c>
      <c r="U777">
        <f>IF($T777=1,SUMPRODUCT(--($W$2:$W$1001&lt;$W777))+1,"")</f>
        <v/>
      </c>
      <c r="V777">
        <f>IF($A777="","",IF(AND(ISNUMBER($R777),NOT(ISLOGICAL($R777)),N($R777)&gt;1),IF(ABS($R777/100-Settings!$C$6)&lt;=ABS($R777/100-Settings!$C$7),1,0),IF(OR($R777=TRUE(),$R777="TRUE"),1,0)))</f>
        <v/>
      </c>
      <c r="W777">
        <f>IF($T777=1,IFERROR(IF(VALUE($A777)&lt;100000000,VALUE($A777),1000000000),IFERROR(IF(VALUE(MID($A777,2,20))&lt;100000000,VALUE(MID($A777,2,20)),1000000000),1000000000))+ROW()/100000,"")</f>
        <v/>
      </c>
    </row>
    <row r="778">
      <c r="F778" s="7">
        <f>IF($A778="","",E778*K778/100)</f>
        <v/>
      </c>
      <c r="J778" s="7" t="n"/>
      <c r="K778" s="7" t="n"/>
      <c r="L778" s="7">
        <f>IF($A778="","",S778*K778)</f>
        <v/>
      </c>
      <c r="M778" s="7">
        <f>IF($A778="","",K778-L778)</f>
        <v/>
      </c>
      <c r="N778" s="7">
        <f>IF($A778="","",M778-F778)</f>
        <v/>
      </c>
      <c r="Q778" s="11" t="n"/>
      <c r="S778">
        <f>IF($A778="","",IF(AND(ISNUMBER($R778),NOT(ISLOGICAL($R778)),N($R778)&gt;1),$R778/100*1,IF($V778=1,Settings!$C$6,Settings!$C$7)*1))</f>
        <v/>
      </c>
      <c r="T778">
        <f>IF($A778="","",IF(COUNTIF($A$2:$A778,$A778)=1,1,0))</f>
        <v/>
      </c>
      <c r="U778">
        <f>IF($T778=1,SUMPRODUCT(--($W$2:$W$1001&lt;$W778))+1,"")</f>
        <v/>
      </c>
      <c r="V778">
        <f>IF($A778="","",IF(AND(ISNUMBER($R778),NOT(ISLOGICAL($R778)),N($R778)&gt;1),IF(ABS($R778/100-Settings!$C$6)&lt;=ABS($R778/100-Settings!$C$7),1,0),IF(OR($R778=TRUE(),$R778="TRUE"),1,0)))</f>
        <v/>
      </c>
      <c r="W778">
        <f>IF($T778=1,IFERROR(IF(VALUE($A778)&lt;100000000,VALUE($A778),1000000000),IFERROR(IF(VALUE(MID($A778,2,20))&lt;100000000,VALUE(MID($A778,2,20)),1000000000),1000000000))+ROW()/100000,"")</f>
        <v/>
      </c>
    </row>
    <row r="779">
      <c r="F779" s="7">
        <f>IF($A779="","",E779*K779/100)</f>
        <v/>
      </c>
      <c r="J779" s="7" t="n"/>
      <c r="K779" s="7" t="n"/>
      <c r="L779" s="7">
        <f>IF($A779="","",S779*K779)</f>
        <v/>
      </c>
      <c r="M779" s="7">
        <f>IF($A779="","",K779-L779)</f>
        <v/>
      </c>
      <c r="N779" s="7">
        <f>IF($A779="","",M779-F779)</f>
        <v/>
      </c>
      <c r="Q779" s="11" t="n"/>
      <c r="S779">
        <f>IF($A779="","",IF(AND(ISNUMBER($R779),NOT(ISLOGICAL($R779)),N($R779)&gt;1),$R779/100*1,IF($V779=1,Settings!$C$6,Settings!$C$7)*1))</f>
        <v/>
      </c>
      <c r="T779">
        <f>IF($A779="","",IF(COUNTIF($A$2:$A779,$A779)=1,1,0))</f>
        <v/>
      </c>
      <c r="U779">
        <f>IF($T779=1,SUMPRODUCT(--($W$2:$W$1001&lt;$W779))+1,"")</f>
        <v/>
      </c>
      <c r="V779">
        <f>IF($A779="","",IF(AND(ISNUMBER($R779),NOT(ISLOGICAL($R779)),N($R779)&gt;1),IF(ABS($R779/100-Settings!$C$6)&lt;=ABS($R779/100-Settings!$C$7),1,0),IF(OR($R779=TRUE(),$R779="TRUE"),1,0)))</f>
        <v/>
      </c>
      <c r="W779">
        <f>IF($T779=1,IFERROR(IF(VALUE($A779)&lt;100000000,VALUE($A779),1000000000),IFERROR(IF(VALUE(MID($A779,2,20))&lt;100000000,VALUE(MID($A779,2,20)),1000000000),1000000000))+ROW()/100000,"")</f>
        <v/>
      </c>
    </row>
    <row r="780">
      <c r="F780" s="7">
        <f>IF($A780="","",E780*K780/100)</f>
        <v/>
      </c>
      <c r="J780" s="7" t="n"/>
      <c r="K780" s="7" t="n"/>
      <c r="L780" s="7">
        <f>IF($A780="","",S780*K780)</f>
        <v/>
      </c>
      <c r="M780" s="7">
        <f>IF($A780="","",K780-L780)</f>
        <v/>
      </c>
      <c r="N780" s="7">
        <f>IF($A780="","",M780-F780)</f>
        <v/>
      </c>
      <c r="Q780" s="11" t="n"/>
      <c r="S780">
        <f>IF($A780="","",IF(AND(ISNUMBER($R780),NOT(ISLOGICAL($R780)),N($R780)&gt;1),$R780/100*1,IF($V780=1,Settings!$C$6,Settings!$C$7)*1))</f>
        <v/>
      </c>
      <c r="T780">
        <f>IF($A780="","",IF(COUNTIF($A$2:$A780,$A780)=1,1,0))</f>
        <v/>
      </c>
      <c r="U780">
        <f>IF($T780=1,SUMPRODUCT(--($W$2:$W$1001&lt;$W780))+1,"")</f>
        <v/>
      </c>
      <c r="V780">
        <f>IF($A780="","",IF(AND(ISNUMBER($R780),NOT(ISLOGICAL($R780)),N($R780)&gt;1),IF(ABS($R780/100-Settings!$C$6)&lt;=ABS($R780/100-Settings!$C$7),1,0),IF(OR($R780=TRUE(),$R780="TRUE"),1,0)))</f>
        <v/>
      </c>
      <c r="W780">
        <f>IF($T780=1,IFERROR(IF(VALUE($A780)&lt;100000000,VALUE($A780),1000000000),IFERROR(IF(VALUE(MID($A780,2,20))&lt;100000000,VALUE(MID($A780,2,20)),1000000000),1000000000))+ROW()/100000,"")</f>
        <v/>
      </c>
    </row>
    <row r="781">
      <c r="F781" s="7">
        <f>IF($A781="","",E781*K781/100)</f>
        <v/>
      </c>
      <c r="J781" s="7" t="n"/>
      <c r="K781" s="7" t="n"/>
      <c r="L781" s="7">
        <f>IF($A781="","",S781*K781)</f>
        <v/>
      </c>
      <c r="M781" s="7">
        <f>IF($A781="","",K781-L781)</f>
        <v/>
      </c>
      <c r="N781" s="7">
        <f>IF($A781="","",M781-F781)</f>
        <v/>
      </c>
      <c r="Q781" s="11" t="n"/>
      <c r="S781">
        <f>IF($A781="","",IF(AND(ISNUMBER($R781),NOT(ISLOGICAL($R781)),N($R781)&gt;1),$R781/100*1,IF($V781=1,Settings!$C$6,Settings!$C$7)*1))</f>
        <v/>
      </c>
      <c r="T781">
        <f>IF($A781="","",IF(COUNTIF($A$2:$A781,$A781)=1,1,0))</f>
        <v/>
      </c>
      <c r="U781">
        <f>IF($T781=1,SUMPRODUCT(--($W$2:$W$1001&lt;$W781))+1,"")</f>
        <v/>
      </c>
      <c r="V781">
        <f>IF($A781="","",IF(AND(ISNUMBER($R781),NOT(ISLOGICAL($R781)),N($R781)&gt;1),IF(ABS($R781/100-Settings!$C$6)&lt;=ABS($R781/100-Settings!$C$7),1,0),IF(OR($R781=TRUE(),$R781="TRUE"),1,0)))</f>
        <v/>
      </c>
      <c r="W781">
        <f>IF($T781=1,IFERROR(IF(VALUE($A781)&lt;100000000,VALUE($A781),1000000000),IFERROR(IF(VALUE(MID($A781,2,20))&lt;100000000,VALUE(MID($A781,2,20)),1000000000),1000000000))+ROW()/100000,"")</f>
        <v/>
      </c>
    </row>
    <row r="782">
      <c r="F782" s="7">
        <f>IF($A782="","",E782*K782/100)</f>
        <v/>
      </c>
      <c r="J782" s="7" t="n"/>
      <c r="K782" s="7" t="n"/>
      <c r="L782" s="7">
        <f>IF($A782="","",S782*K782)</f>
        <v/>
      </c>
      <c r="M782" s="7">
        <f>IF($A782="","",K782-L782)</f>
        <v/>
      </c>
      <c r="N782" s="7">
        <f>IF($A782="","",M782-F782)</f>
        <v/>
      </c>
      <c r="Q782" s="11" t="n"/>
      <c r="S782">
        <f>IF($A782="","",IF(AND(ISNUMBER($R782),NOT(ISLOGICAL($R782)),N($R782)&gt;1),$R782/100*1,IF($V782=1,Settings!$C$6,Settings!$C$7)*1))</f>
        <v/>
      </c>
      <c r="T782">
        <f>IF($A782="","",IF(COUNTIF($A$2:$A782,$A782)=1,1,0))</f>
        <v/>
      </c>
      <c r="U782">
        <f>IF($T782=1,SUMPRODUCT(--($W$2:$W$1001&lt;$W782))+1,"")</f>
        <v/>
      </c>
      <c r="V782">
        <f>IF($A782="","",IF(AND(ISNUMBER($R782),NOT(ISLOGICAL($R782)),N($R782)&gt;1),IF(ABS($R782/100-Settings!$C$6)&lt;=ABS($R782/100-Settings!$C$7),1,0),IF(OR($R782=TRUE(),$R782="TRUE"),1,0)))</f>
        <v/>
      </c>
      <c r="W782">
        <f>IF($T782=1,IFERROR(IF(VALUE($A782)&lt;100000000,VALUE($A782),1000000000),IFERROR(IF(VALUE(MID($A782,2,20))&lt;100000000,VALUE(MID($A782,2,20)),1000000000),1000000000))+ROW()/100000,"")</f>
        <v/>
      </c>
    </row>
    <row r="783">
      <c r="F783" s="7">
        <f>IF($A783="","",E783*K783/100)</f>
        <v/>
      </c>
      <c r="J783" s="7" t="n"/>
      <c r="K783" s="7" t="n"/>
      <c r="L783" s="7">
        <f>IF($A783="","",S783*K783)</f>
        <v/>
      </c>
      <c r="M783" s="7">
        <f>IF($A783="","",K783-L783)</f>
        <v/>
      </c>
      <c r="N783" s="7">
        <f>IF($A783="","",M783-F783)</f>
        <v/>
      </c>
      <c r="Q783" s="11" t="n"/>
      <c r="S783">
        <f>IF($A783="","",IF(AND(ISNUMBER($R783),NOT(ISLOGICAL($R783)),N($R783)&gt;1),$R783/100*1,IF($V783=1,Settings!$C$6,Settings!$C$7)*1))</f>
        <v/>
      </c>
      <c r="T783">
        <f>IF($A783="","",IF(COUNTIF($A$2:$A783,$A783)=1,1,0))</f>
        <v/>
      </c>
      <c r="U783">
        <f>IF($T783=1,SUMPRODUCT(--($W$2:$W$1001&lt;$W783))+1,"")</f>
        <v/>
      </c>
      <c r="V783">
        <f>IF($A783="","",IF(AND(ISNUMBER($R783),NOT(ISLOGICAL($R783)),N($R783)&gt;1),IF(ABS($R783/100-Settings!$C$6)&lt;=ABS($R783/100-Settings!$C$7),1,0),IF(OR($R783=TRUE(),$R783="TRUE"),1,0)))</f>
        <v/>
      </c>
      <c r="W783">
        <f>IF($T783=1,IFERROR(IF(VALUE($A783)&lt;100000000,VALUE($A783),1000000000),IFERROR(IF(VALUE(MID($A783,2,20))&lt;100000000,VALUE(MID($A783,2,20)),1000000000),1000000000))+ROW()/100000,"")</f>
        <v/>
      </c>
    </row>
    <row r="784">
      <c r="F784" s="7">
        <f>IF($A784="","",E784*K784/100)</f>
        <v/>
      </c>
      <c r="J784" s="7" t="n"/>
      <c r="K784" s="7" t="n"/>
      <c r="L784" s="7">
        <f>IF($A784="","",S784*K784)</f>
        <v/>
      </c>
      <c r="M784" s="7">
        <f>IF($A784="","",K784-L784)</f>
        <v/>
      </c>
      <c r="N784" s="7">
        <f>IF($A784="","",M784-F784)</f>
        <v/>
      </c>
      <c r="Q784" s="11" t="n"/>
      <c r="S784">
        <f>IF($A784="","",IF(AND(ISNUMBER($R784),NOT(ISLOGICAL($R784)),N($R784)&gt;1),$R784/100*1,IF($V784=1,Settings!$C$6,Settings!$C$7)*1))</f>
        <v/>
      </c>
      <c r="T784">
        <f>IF($A784="","",IF(COUNTIF($A$2:$A784,$A784)=1,1,0))</f>
        <v/>
      </c>
      <c r="U784">
        <f>IF($T784=1,SUMPRODUCT(--($W$2:$W$1001&lt;$W784))+1,"")</f>
        <v/>
      </c>
      <c r="V784">
        <f>IF($A784="","",IF(AND(ISNUMBER($R784),NOT(ISLOGICAL($R784)),N($R784)&gt;1),IF(ABS($R784/100-Settings!$C$6)&lt;=ABS($R784/100-Settings!$C$7),1,0),IF(OR($R784=TRUE(),$R784="TRUE"),1,0)))</f>
        <v/>
      </c>
      <c r="W784">
        <f>IF($T784=1,IFERROR(IF(VALUE($A784)&lt;100000000,VALUE($A784),1000000000),IFERROR(IF(VALUE(MID($A784,2,20))&lt;100000000,VALUE(MID($A784,2,20)),1000000000),1000000000))+ROW()/100000,"")</f>
        <v/>
      </c>
    </row>
    <row r="785">
      <c r="F785" s="7">
        <f>IF($A785="","",E785*K785/100)</f>
        <v/>
      </c>
      <c r="J785" s="7" t="n"/>
      <c r="K785" s="7" t="n"/>
      <c r="L785" s="7">
        <f>IF($A785="","",S785*K785)</f>
        <v/>
      </c>
      <c r="M785" s="7">
        <f>IF($A785="","",K785-L785)</f>
        <v/>
      </c>
      <c r="N785" s="7">
        <f>IF($A785="","",M785-F785)</f>
        <v/>
      </c>
      <c r="Q785" s="11" t="n"/>
      <c r="S785">
        <f>IF($A785="","",IF(AND(ISNUMBER($R785),NOT(ISLOGICAL($R785)),N($R785)&gt;1),$R785/100*1,IF($V785=1,Settings!$C$6,Settings!$C$7)*1))</f>
        <v/>
      </c>
      <c r="T785">
        <f>IF($A785="","",IF(COUNTIF($A$2:$A785,$A785)=1,1,0))</f>
        <v/>
      </c>
      <c r="U785">
        <f>IF($T785=1,SUMPRODUCT(--($W$2:$W$1001&lt;$W785))+1,"")</f>
        <v/>
      </c>
      <c r="V785">
        <f>IF($A785="","",IF(AND(ISNUMBER($R785),NOT(ISLOGICAL($R785)),N($R785)&gt;1),IF(ABS($R785/100-Settings!$C$6)&lt;=ABS($R785/100-Settings!$C$7),1,0),IF(OR($R785=TRUE(),$R785="TRUE"),1,0)))</f>
        <v/>
      </c>
      <c r="W785">
        <f>IF($T785=1,IFERROR(IF(VALUE($A785)&lt;100000000,VALUE($A785),1000000000),IFERROR(IF(VALUE(MID($A785,2,20))&lt;100000000,VALUE(MID($A785,2,20)),1000000000),1000000000))+ROW()/100000,"")</f>
        <v/>
      </c>
    </row>
    <row r="786">
      <c r="F786" s="7">
        <f>IF($A786="","",E786*K786/100)</f>
        <v/>
      </c>
      <c r="J786" s="7" t="n"/>
      <c r="K786" s="7" t="n"/>
      <c r="L786" s="7">
        <f>IF($A786="","",S786*K786)</f>
        <v/>
      </c>
      <c r="M786" s="7">
        <f>IF($A786="","",K786-L786)</f>
        <v/>
      </c>
      <c r="N786" s="7">
        <f>IF($A786="","",M786-F786)</f>
        <v/>
      </c>
      <c r="Q786" s="11" t="n"/>
      <c r="S786">
        <f>IF($A786="","",IF(AND(ISNUMBER($R786),NOT(ISLOGICAL($R786)),N($R786)&gt;1),$R786/100*1,IF($V786=1,Settings!$C$6,Settings!$C$7)*1))</f>
        <v/>
      </c>
      <c r="T786">
        <f>IF($A786="","",IF(COUNTIF($A$2:$A786,$A786)=1,1,0))</f>
        <v/>
      </c>
      <c r="U786">
        <f>IF($T786=1,SUMPRODUCT(--($W$2:$W$1001&lt;$W786))+1,"")</f>
        <v/>
      </c>
      <c r="V786">
        <f>IF($A786="","",IF(AND(ISNUMBER($R786),NOT(ISLOGICAL($R786)),N($R786)&gt;1),IF(ABS($R786/100-Settings!$C$6)&lt;=ABS($R786/100-Settings!$C$7),1,0),IF(OR($R786=TRUE(),$R786="TRUE"),1,0)))</f>
        <v/>
      </c>
      <c r="W786">
        <f>IF($T786=1,IFERROR(IF(VALUE($A786)&lt;100000000,VALUE($A786),1000000000),IFERROR(IF(VALUE(MID($A786,2,20))&lt;100000000,VALUE(MID($A786,2,20)),1000000000),1000000000))+ROW()/100000,"")</f>
        <v/>
      </c>
    </row>
    <row r="787">
      <c r="F787" s="7">
        <f>IF($A787="","",E787*K787/100)</f>
        <v/>
      </c>
      <c r="J787" s="7" t="n"/>
      <c r="K787" s="7" t="n"/>
      <c r="L787" s="7">
        <f>IF($A787="","",S787*K787)</f>
        <v/>
      </c>
      <c r="M787" s="7">
        <f>IF($A787="","",K787-L787)</f>
        <v/>
      </c>
      <c r="N787" s="7">
        <f>IF($A787="","",M787-F787)</f>
        <v/>
      </c>
      <c r="Q787" s="11" t="n"/>
      <c r="S787">
        <f>IF($A787="","",IF(AND(ISNUMBER($R787),NOT(ISLOGICAL($R787)),N($R787)&gt;1),$R787/100*1,IF($V787=1,Settings!$C$6,Settings!$C$7)*1))</f>
        <v/>
      </c>
      <c r="T787">
        <f>IF($A787="","",IF(COUNTIF($A$2:$A787,$A787)=1,1,0))</f>
        <v/>
      </c>
      <c r="U787">
        <f>IF($T787=1,SUMPRODUCT(--($W$2:$W$1001&lt;$W787))+1,"")</f>
        <v/>
      </c>
      <c r="V787">
        <f>IF($A787="","",IF(AND(ISNUMBER($R787),NOT(ISLOGICAL($R787)),N($R787)&gt;1),IF(ABS($R787/100-Settings!$C$6)&lt;=ABS($R787/100-Settings!$C$7),1,0),IF(OR($R787=TRUE(),$R787="TRUE"),1,0)))</f>
        <v/>
      </c>
      <c r="W787">
        <f>IF($T787=1,IFERROR(IF(VALUE($A787)&lt;100000000,VALUE($A787),1000000000),IFERROR(IF(VALUE(MID($A787,2,20))&lt;100000000,VALUE(MID($A787,2,20)),1000000000),1000000000))+ROW()/100000,"")</f>
        <v/>
      </c>
    </row>
    <row r="788">
      <c r="F788" s="7">
        <f>IF($A788="","",E788*K788/100)</f>
        <v/>
      </c>
      <c r="J788" s="7" t="n"/>
      <c r="K788" s="7" t="n"/>
      <c r="L788" s="7">
        <f>IF($A788="","",S788*K788)</f>
        <v/>
      </c>
      <c r="M788" s="7">
        <f>IF($A788="","",K788-L788)</f>
        <v/>
      </c>
      <c r="N788" s="7">
        <f>IF($A788="","",M788-F788)</f>
        <v/>
      </c>
      <c r="Q788" s="11" t="n"/>
      <c r="S788">
        <f>IF($A788="","",IF(AND(ISNUMBER($R788),NOT(ISLOGICAL($R788)),N($R788)&gt;1),$R788/100*1,IF($V788=1,Settings!$C$6,Settings!$C$7)*1))</f>
        <v/>
      </c>
      <c r="T788">
        <f>IF($A788="","",IF(COUNTIF($A$2:$A788,$A788)=1,1,0))</f>
        <v/>
      </c>
      <c r="U788">
        <f>IF($T788=1,SUMPRODUCT(--($W$2:$W$1001&lt;$W788))+1,"")</f>
        <v/>
      </c>
      <c r="V788">
        <f>IF($A788="","",IF(AND(ISNUMBER($R788),NOT(ISLOGICAL($R788)),N($R788)&gt;1),IF(ABS($R788/100-Settings!$C$6)&lt;=ABS($R788/100-Settings!$C$7),1,0),IF(OR($R788=TRUE(),$R788="TRUE"),1,0)))</f>
        <v/>
      </c>
      <c r="W788">
        <f>IF($T788=1,IFERROR(IF(VALUE($A788)&lt;100000000,VALUE($A788),1000000000),IFERROR(IF(VALUE(MID($A788,2,20))&lt;100000000,VALUE(MID($A788,2,20)),1000000000),1000000000))+ROW()/100000,"")</f>
        <v/>
      </c>
    </row>
    <row r="789">
      <c r="F789" s="7">
        <f>IF($A789="","",E789*K789/100)</f>
        <v/>
      </c>
      <c r="J789" s="7" t="n"/>
      <c r="K789" s="7" t="n"/>
      <c r="L789" s="7">
        <f>IF($A789="","",S789*K789)</f>
        <v/>
      </c>
      <c r="M789" s="7">
        <f>IF($A789="","",K789-L789)</f>
        <v/>
      </c>
      <c r="N789" s="7">
        <f>IF($A789="","",M789-F789)</f>
        <v/>
      </c>
      <c r="Q789" s="11" t="n"/>
      <c r="S789">
        <f>IF($A789="","",IF(AND(ISNUMBER($R789),NOT(ISLOGICAL($R789)),N($R789)&gt;1),$R789/100*1,IF($V789=1,Settings!$C$6,Settings!$C$7)*1))</f>
        <v/>
      </c>
      <c r="T789">
        <f>IF($A789="","",IF(COUNTIF($A$2:$A789,$A789)=1,1,0))</f>
        <v/>
      </c>
      <c r="U789">
        <f>IF($T789=1,SUMPRODUCT(--($W$2:$W$1001&lt;$W789))+1,"")</f>
        <v/>
      </c>
      <c r="V789">
        <f>IF($A789="","",IF(AND(ISNUMBER($R789),NOT(ISLOGICAL($R789)),N($R789)&gt;1),IF(ABS($R789/100-Settings!$C$6)&lt;=ABS($R789/100-Settings!$C$7),1,0),IF(OR($R789=TRUE(),$R789="TRUE"),1,0)))</f>
        <v/>
      </c>
      <c r="W789">
        <f>IF($T789=1,IFERROR(IF(VALUE($A789)&lt;100000000,VALUE($A789),1000000000),IFERROR(IF(VALUE(MID($A789,2,20))&lt;100000000,VALUE(MID($A789,2,20)),1000000000),1000000000))+ROW()/100000,"")</f>
        <v/>
      </c>
    </row>
    <row r="790">
      <c r="F790" s="7">
        <f>IF($A790="","",E790*K790/100)</f>
        <v/>
      </c>
      <c r="J790" s="7" t="n"/>
      <c r="K790" s="7" t="n"/>
      <c r="L790" s="7">
        <f>IF($A790="","",S790*K790)</f>
        <v/>
      </c>
      <c r="M790" s="7">
        <f>IF($A790="","",K790-L790)</f>
        <v/>
      </c>
      <c r="N790" s="7">
        <f>IF($A790="","",M790-F790)</f>
        <v/>
      </c>
      <c r="Q790" s="11" t="n"/>
      <c r="S790">
        <f>IF($A790="","",IF(AND(ISNUMBER($R790),NOT(ISLOGICAL($R790)),N($R790)&gt;1),$R790/100*1,IF($V790=1,Settings!$C$6,Settings!$C$7)*1))</f>
        <v/>
      </c>
      <c r="T790">
        <f>IF($A790="","",IF(COUNTIF($A$2:$A790,$A790)=1,1,0))</f>
        <v/>
      </c>
      <c r="U790">
        <f>IF($T790=1,SUMPRODUCT(--($W$2:$W$1001&lt;$W790))+1,"")</f>
        <v/>
      </c>
      <c r="V790">
        <f>IF($A790="","",IF(AND(ISNUMBER($R790),NOT(ISLOGICAL($R790)),N($R790)&gt;1),IF(ABS($R790/100-Settings!$C$6)&lt;=ABS($R790/100-Settings!$C$7),1,0),IF(OR($R790=TRUE(),$R790="TRUE"),1,0)))</f>
        <v/>
      </c>
      <c r="W790">
        <f>IF($T790=1,IFERROR(IF(VALUE($A790)&lt;100000000,VALUE($A790),1000000000),IFERROR(IF(VALUE(MID($A790,2,20))&lt;100000000,VALUE(MID($A790,2,20)),1000000000),1000000000))+ROW()/100000,"")</f>
        <v/>
      </c>
    </row>
    <row r="791">
      <c r="F791" s="7">
        <f>IF($A791="","",E791*K791/100)</f>
        <v/>
      </c>
      <c r="J791" s="7" t="n"/>
      <c r="K791" s="7" t="n"/>
      <c r="L791" s="7">
        <f>IF($A791="","",S791*K791)</f>
        <v/>
      </c>
      <c r="M791" s="7">
        <f>IF($A791="","",K791-L791)</f>
        <v/>
      </c>
      <c r="N791" s="7">
        <f>IF($A791="","",M791-F791)</f>
        <v/>
      </c>
      <c r="Q791" s="11" t="n"/>
      <c r="S791">
        <f>IF($A791="","",IF(AND(ISNUMBER($R791),NOT(ISLOGICAL($R791)),N($R791)&gt;1),$R791/100*1,IF($V791=1,Settings!$C$6,Settings!$C$7)*1))</f>
        <v/>
      </c>
      <c r="T791">
        <f>IF($A791="","",IF(COUNTIF($A$2:$A791,$A791)=1,1,0))</f>
        <v/>
      </c>
      <c r="U791">
        <f>IF($T791=1,SUMPRODUCT(--($W$2:$W$1001&lt;$W791))+1,"")</f>
        <v/>
      </c>
      <c r="V791">
        <f>IF($A791="","",IF(AND(ISNUMBER($R791),NOT(ISLOGICAL($R791)),N($R791)&gt;1),IF(ABS($R791/100-Settings!$C$6)&lt;=ABS($R791/100-Settings!$C$7),1,0),IF(OR($R791=TRUE(),$R791="TRUE"),1,0)))</f>
        <v/>
      </c>
      <c r="W791">
        <f>IF($T791=1,IFERROR(IF(VALUE($A791)&lt;100000000,VALUE($A791),1000000000),IFERROR(IF(VALUE(MID($A791,2,20))&lt;100000000,VALUE(MID($A791,2,20)),1000000000),1000000000))+ROW()/100000,"")</f>
        <v/>
      </c>
    </row>
    <row r="792">
      <c r="F792" s="7">
        <f>IF($A792="","",E792*K792/100)</f>
        <v/>
      </c>
      <c r="J792" s="7" t="n"/>
      <c r="K792" s="7" t="n"/>
      <c r="L792" s="7">
        <f>IF($A792="","",S792*K792)</f>
        <v/>
      </c>
      <c r="M792" s="7">
        <f>IF($A792="","",K792-L792)</f>
        <v/>
      </c>
      <c r="N792" s="7">
        <f>IF($A792="","",M792-F792)</f>
        <v/>
      </c>
      <c r="Q792" s="11" t="n"/>
      <c r="S792">
        <f>IF($A792="","",IF(AND(ISNUMBER($R792),NOT(ISLOGICAL($R792)),N($R792)&gt;1),$R792/100*1,IF($V792=1,Settings!$C$6,Settings!$C$7)*1))</f>
        <v/>
      </c>
      <c r="T792">
        <f>IF($A792="","",IF(COUNTIF($A$2:$A792,$A792)=1,1,0))</f>
        <v/>
      </c>
      <c r="U792">
        <f>IF($T792=1,SUMPRODUCT(--($W$2:$W$1001&lt;$W792))+1,"")</f>
        <v/>
      </c>
      <c r="V792">
        <f>IF($A792="","",IF(AND(ISNUMBER($R792),NOT(ISLOGICAL($R792)),N($R792)&gt;1),IF(ABS($R792/100-Settings!$C$6)&lt;=ABS($R792/100-Settings!$C$7),1,0),IF(OR($R792=TRUE(),$R792="TRUE"),1,0)))</f>
        <v/>
      </c>
      <c r="W792">
        <f>IF($T792=1,IFERROR(IF(VALUE($A792)&lt;100000000,VALUE($A792),1000000000),IFERROR(IF(VALUE(MID($A792,2,20))&lt;100000000,VALUE(MID($A792,2,20)),1000000000),1000000000))+ROW()/100000,"")</f>
        <v/>
      </c>
    </row>
    <row r="793">
      <c r="F793" s="7">
        <f>IF($A793="","",E793*K793/100)</f>
        <v/>
      </c>
      <c r="J793" s="7" t="n"/>
      <c r="K793" s="7" t="n"/>
      <c r="L793" s="7">
        <f>IF($A793="","",S793*K793)</f>
        <v/>
      </c>
      <c r="M793" s="7">
        <f>IF($A793="","",K793-L793)</f>
        <v/>
      </c>
      <c r="N793" s="7">
        <f>IF($A793="","",M793-F793)</f>
        <v/>
      </c>
      <c r="Q793" s="11" t="n"/>
      <c r="S793">
        <f>IF($A793="","",IF(AND(ISNUMBER($R793),NOT(ISLOGICAL($R793)),N($R793)&gt;1),$R793/100*1,IF($V793=1,Settings!$C$6,Settings!$C$7)*1))</f>
        <v/>
      </c>
      <c r="T793">
        <f>IF($A793="","",IF(COUNTIF($A$2:$A793,$A793)=1,1,0))</f>
        <v/>
      </c>
      <c r="U793">
        <f>IF($T793=1,SUMPRODUCT(--($W$2:$W$1001&lt;$W793))+1,"")</f>
        <v/>
      </c>
      <c r="V793">
        <f>IF($A793="","",IF(AND(ISNUMBER($R793),NOT(ISLOGICAL($R793)),N($R793)&gt;1),IF(ABS($R793/100-Settings!$C$6)&lt;=ABS($R793/100-Settings!$C$7),1,0),IF(OR($R793=TRUE(),$R793="TRUE"),1,0)))</f>
        <v/>
      </c>
      <c r="W793">
        <f>IF($T793=1,IFERROR(IF(VALUE($A793)&lt;100000000,VALUE($A793),1000000000),IFERROR(IF(VALUE(MID($A793,2,20))&lt;100000000,VALUE(MID($A793,2,20)),1000000000),1000000000))+ROW()/100000,"")</f>
        <v/>
      </c>
    </row>
    <row r="794">
      <c r="F794" s="7">
        <f>IF($A794="","",E794*K794/100)</f>
        <v/>
      </c>
      <c r="J794" s="7" t="n"/>
      <c r="K794" s="7" t="n"/>
      <c r="L794" s="7">
        <f>IF($A794="","",S794*K794)</f>
        <v/>
      </c>
      <c r="M794" s="7">
        <f>IF($A794="","",K794-L794)</f>
        <v/>
      </c>
      <c r="N794" s="7">
        <f>IF($A794="","",M794-F794)</f>
        <v/>
      </c>
      <c r="Q794" s="11" t="n"/>
      <c r="S794">
        <f>IF($A794="","",IF(AND(ISNUMBER($R794),NOT(ISLOGICAL($R794)),N($R794)&gt;1),$R794/100*1,IF($V794=1,Settings!$C$6,Settings!$C$7)*1))</f>
        <v/>
      </c>
      <c r="T794">
        <f>IF($A794="","",IF(COUNTIF($A$2:$A794,$A794)=1,1,0))</f>
        <v/>
      </c>
      <c r="U794">
        <f>IF($T794=1,SUMPRODUCT(--($W$2:$W$1001&lt;$W794))+1,"")</f>
        <v/>
      </c>
      <c r="V794">
        <f>IF($A794="","",IF(AND(ISNUMBER($R794),NOT(ISLOGICAL($R794)),N($R794)&gt;1),IF(ABS($R794/100-Settings!$C$6)&lt;=ABS($R794/100-Settings!$C$7),1,0),IF(OR($R794=TRUE(),$R794="TRUE"),1,0)))</f>
        <v/>
      </c>
      <c r="W794">
        <f>IF($T794=1,IFERROR(IF(VALUE($A794)&lt;100000000,VALUE($A794),1000000000),IFERROR(IF(VALUE(MID($A794,2,20))&lt;100000000,VALUE(MID($A794,2,20)),1000000000),1000000000))+ROW()/100000,"")</f>
        <v/>
      </c>
    </row>
    <row r="795">
      <c r="F795" s="7">
        <f>IF($A795="","",E795*K795/100)</f>
        <v/>
      </c>
      <c r="J795" s="7" t="n"/>
      <c r="K795" s="7" t="n"/>
      <c r="L795" s="7">
        <f>IF($A795="","",S795*K795)</f>
        <v/>
      </c>
      <c r="M795" s="7">
        <f>IF($A795="","",K795-L795)</f>
        <v/>
      </c>
      <c r="N795" s="7">
        <f>IF($A795="","",M795-F795)</f>
        <v/>
      </c>
      <c r="Q795" s="11" t="n"/>
      <c r="S795">
        <f>IF($A795="","",IF(AND(ISNUMBER($R795),NOT(ISLOGICAL($R795)),N($R795)&gt;1),$R795/100*1,IF($V795=1,Settings!$C$6,Settings!$C$7)*1))</f>
        <v/>
      </c>
      <c r="T795">
        <f>IF($A795="","",IF(COUNTIF($A$2:$A795,$A795)=1,1,0))</f>
        <v/>
      </c>
      <c r="U795">
        <f>IF($T795=1,SUMPRODUCT(--($W$2:$W$1001&lt;$W795))+1,"")</f>
        <v/>
      </c>
      <c r="V795">
        <f>IF($A795="","",IF(AND(ISNUMBER($R795),NOT(ISLOGICAL($R795)),N($R795)&gt;1),IF(ABS($R795/100-Settings!$C$6)&lt;=ABS($R795/100-Settings!$C$7),1,0),IF(OR($R795=TRUE(),$R795="TRUE"),1,0)))</f>
        <v/>
      </c>
      <c r="W795">
        <f>IF($T795=1,IFERROR(IF(VALUE($A795)&lt;100000000,VALUE($A795),1000000000),IFERROR(IF(VALUE(MID($A795,2,20))&lt;100000000,VALUE(MID($A795,2,20)),1000000000),1000000000))+ROW()/100000,"")</f>
        <v/>
      </c>
    </row>
    <row r="796">
      <c r="F796" s="7">
        <f>IF($A796="","",E796*K796/100)</f>
        <v/>
      </c>
      <c r="J796" s="7" t="n"/>
      <c r="K796" s="7" t="n"/>
      <c r="L796" s="7">
        <f>IF($A796="","",S796*K796)</f>
        <v/>
      </c>
      <c r="M796" s="7">
        <f>IF($A796="","",K796-L796)</f>
        <v/>
      </c>
      <c r="N796" s="7">
        <f>IF($A796="","",M796-F796)</f>
        <v/>
      </c>
      <c r="Q796" s="11" t="n"/>
      <c r="S796">
        <f>IF($A796="","",IF(AND(ISNUMBER($R796),NOT(ISLOGICAL($R796)),N($R796)&gt;1),$R796/100*1,IF($V796=1,Settings!$C$6,Settings!$C$7)*1))</f>
        <v/>
      </c>
      <c r="T796">
        <f>IF($A796="","",IF(COUNTIF($A$2:$A796,$A796)=1,1,0))</f>
        <v/>
      </c>
      <c r="U796">
        <f>IF($T796=1,SUMPRODUCT(--($W$2:$W$1001&lt;$W796))+1,"")</f>
        <v/>
      </c>
      <c r="V796">
        <f>IF($A796="","",IF(AND(ISNUMBER($R796),NOT(ISLOGICAL($R796)),N($R796)&gt;1),IF(ABS($R796/100-Settings!$C$6)&lt;=ABS($R796/100-Settings!$C$7),1,0),IF(OR($R796=TRUE(),$R796="TRUE"),1,0)))</f>
        <v/>
      </c>
      <c r="W796">
        <f>IF($T796=1,IFERROR(IF(VALUE($A796)&lt;100000000,VALUE($A796),1000000000),IFERROR(IF(VALUE(MID($A796,2,20))&lt;100000000,VALUE(MID($A796,2,20)),1000000000),1000000000))+ROW()/100000,"")</f>
        <v/>
      </c>
    </row>
    <row r="797">
      <c r="F797" s="7">
        <f>IF($A797="","",E797*K797/100)</f>
        <v/>
      </c>
      <c r="J797" s="7" t="n"/>
      <c r="K797" s="7" t="n"/>
      <c r="L797" s="7">
        <f>IF($A797="","",S797*K797)</f>
        <v/>
      </c>
      <c r="M797" s="7">
        <f>IF($A797="","",K797-L797)</f>
        <v/>
      </c>
      <c r="N797" s="7">
        <f>IF($A797="","",M797-F797)</f>
        <v/>
      </c>
      <c r="Q797" s="11" t="n"/>
      <c r="S797">
        <f>IF($A797="","",IF(AND(ISNUMBER($R797),NOT(ISLOGICAL($R797)),N($R797)&gt;1),$R797/100*1,IF($V797=1,Settings!$C$6,Settings!$C$7)*1))</f>
        <v/>
      </c>
      <c r="T797">
        <f>IF($A797="","",IF(COUNTIF($A$2:$A797,$A797)=1,1,0))</f>
        <v/>
      </c>
      <c r="U797">
        <f>IF($T797=1,SUMPRODUCT(--($W$2:$W$1001&lt;$W797))+1,"")</f>
        <v/>
      </c>
      <c r="V797">
        <f>IF($A797="","",IF(AND(ISNUMBER($R797),NOT(ISLOGICAL($R797)),N($R797)&gt;1),IF(ABS($R797/100-Settings!$C$6)&lt;=ABS($R797/100-Settings!$C$7),1,0),IF(OR($R797=TRUE(),$R797="TRUE"),1,0)))</f>
        <v/>
      </c>
      <c r="W797">
        <f>IF($T797=1,IFERROR(IF(VALUE($A797)&lt;100000000,VALUE($A797),1000000000),IFERROR(IF(VALUE(MID($A797,2,20))&lt;100000000,VALUE(MID($A797,2,20)),1000000000),1000000000))+ROW()/100000,"")</f>
        <v/>
      </c>
    </row>
    <row r="798">
      <c r="F798" s="7">
        <f>IF($A798="","",E798*K798/100)</f>
        <v/>
      </c>
      <c r="J798" s="7" t="n"/>
      <c r="K798" s="7" t="n"/>
      <c r="L798" s="7">
        <f>IF($A798="","",S798*K798)</f>
        <v/>
      </c>
      <c r="M798" s="7">
        <f>IF($A798="","",K798-L798)</f>
        <v/>
      </c>
      <c r="N798" s="7">
        <f>IF($A798="","",M798-F798)</f>
        <v/>
      </c>
      <c r="Q798" s="11" t="n"/>
      <c r="S798">
        <f>IF($A798="","",IF(AND(ISNUMBER($R798),NOT(ISLOGICAL($R798)),N($R798)&gt;1),$R798/100*1,IF($V798=1,Settings!$C$6,Settings!$C$7)*1))</f>
        <v/>
      </c>
      <c r="T798">
        <f>IF($A798="","",IF(COUNTIF($A$2:$A798,$A798)=1,1,0))</f>
        <v/>
      </c>
      <c r="U798">
        <f>IF($T798=1,SUMPRODUCT(--($W$2:$W$1001&lt;$W798))+1,"")</f>
        <v/>
      </c>
      <c r="V798">
        <f>IF($A798="","",IF(AND(ISNUMBER($R798),NOT(ISLOGICAL($R798)),N($R798)&gt;1),IF(ABS($R798/100-Settings!$C$6)&lt;=ABS($R798/100-Settings!$C$7),1,0),IF(OR($R798=TRUE(),$R798="TRUE"),1,0)))</f>
        <v/>
      </c>
      <c r="W798">
        <f>IF($T798=1,IFERROR(IF(VALUE($A798)&lt;100000000,VALUE($A798),1000000000),IFERROR(IF(VALUE(MID($A798,2,20))&lt;100000000,VALUE(MID($A798,2,20)),1000000000),1000000000))+ROW()/100000,"")</f>
        <v/>
      </c>
    </row>
    <row r="799">
      <c r="F799" s="7">
        <f>IF($A799="","",E799*K799/100)</f>
        <v/>
      </c>
      <c r="J799" s="7" t="n"/>
      <c r="K799" s="7" t="n"/>
      <c r="L799" s="7">
        <f>IF($A799="","",S799*K799)</f>
        <v/>
      </c>
      <c r="M799" s="7">
        <f>IF($A799="","",K799-L799)</f>
        <v/>
      </c>
      <c r="N799" s="7">
        <f>IF($A799="","",M799-F799)</f>
        <v/>
      </c>
      <c r="Q799" s="11" t="n"/>
      <c r="S799">
        <f>IF($A799="","",IF(AND(ISNUMBER($R799),NOT(ISLOGICAL($R799)),N($R799)&gt;1),$R799/100*1,IF($V799=1,Settings!$C$6,Settings!$C$7)*1))</f>
        <v/>
      </c>
      <c r="T799">
        <f>IF($A799="","",IF(COUNTIF($A$2:$A799,$A799)=1,1,0))</f>
        <v/>
      </c>
      <c r="U799">
        <f>IF($T799=1,SUMPRODUCT(--($W$2:$W$1001&lt;$W799))+1,"")</f>
        <v/>
      </c>
      <c r="V799">
        <f>IF($A799="","",IF(AND(ISNUMBER($R799),NOT(ISLOGICAL($R799)),N($R799)&gt;1),IF(ABS($R799/100-Settings!$C$6)&lt;=ABS($R799/100-Settings!$C$7),1,0),IF(OR($R799=TRUE(),$R799="TRUE"),1,0)))</f>
        <v/>
      </c>
      <c r="W799">
        <f>IF($T799=1,IFERROR(IF(VALUE($A799)&lt;100000000,VALUE($A799),1000000000),IFERROR(IF(VALUE(MID($A799,2,20))&lt;100000000,VALUE(MID($A799,2,20)),1000000000),1000000000))+ROW()/100000,"")</f>
        <v/>
      </c>
    </row>
    <row r="800">
      <c r="F800" s="7">
        <f>IF($A800="","",E800*K800/100)</f>
        <v/>
      </c>
      <c r="J800" s="7" t="n"/>
      <c r="K800" s="7" t="n"/>
      <c r="L800" s="7">
        <f>IF($A800="","",S800*K800)</f>
        <v/>
      </c>
      <c r="M800" s="7">
        <f>IF($A800="","",K800-L800)</f>
        <v/>
      </c>
      <c r="N800" s="7">
        <f>IF($A800="","",M800-F800)</f>
        <v/>
      </c>
      <c r="Q800" s="11" t="n"/>
      <c r="S800">
        <f>IF($A800="","",IF(AND(ISNUMBER($R800),NOT(ISLOGICAL($R800)),N($R800)&gt;1),$R800/100*1,IF($V800=1,Settings!$C$6,Settings!$C$7)*1))</f>
        <v/>
      </c>
      <c r="T800">
        <f>IF($A800="","",IF(COUNTIF($A$2:$A800,$A800)=1,1,0))</f>
        <v/>
      </c>
      <c r="U800">
        <f>IF($T800=1,SUMPRODUCT(--($W$2:$W$1001&lt;$W800))+1,"")</f>
        <v/>
      </c>
      <c r="V800">
        <f>IF($A800="","",IF(AND(ISNUMBER($R800),NOT(ISLOGICAL($R800)),N($R800)&gt;1),IF(ABS($R800/100-Settings!$C$6)&lt;=ABS($R800/100-Settings!$C$7),1,0),IF(OR($R800=TRUE(),$R800="TRUE"),1,0)))</f>
        <v/>
      </c>
      <c r="W800">
        <f>IF($T800=1,IFERROR(IF(VALUE($A800)&lt;100000000,VALUE($A800),1000000000),IFERROR(IF(VALUE(MID($A800,2,20))&lt;100000000,VALUE(MID($A800,2,20)),1000000000),1000000000))+ROW()/100000,"")</f>
        <v/>
      </c>
    </row>
    <row r="801">
      <c r="F801" s="7">
        <f>IF($A801="","",E801*K801/100)</f>
        <v/>
      </c>
      <c r="J801" s="7" t="n"/>
      <c r="K801" s="7" t="n"/>
      <c r="L801" s="7">
        <f>IF($A801="","",S801*K801)</f>
        <v/>
      </c>
      <c r="M801" s="7">
        <f>IF($A801="","",K801-L801)</f>
        <v/>
      </c>
      <c r="N801" s="7">
        <f>IF($A801="","",M801-F801)</f>
        <v/>
      </c>
      <c r="Q801" s="11" t="n"/>
      <c r="S801">
        <f>IF($A801="","",IF(AND(ISNUMBER($R801),NOT(ISLOGICAL($R801)),N($R801)&gt;1),$R801/100*1,IF($V801=1,Settings!$C$6,Settings!$C$7)*1))</f>
        <v/>
      </c>
      <c r="T801">
        <f>IF($A801="","",IF(COUNTIF($A$2:$A801,$A801)=1,1,0))</f>
        <v/>
      </c>
      <c r="U801">
        <f>IF($T801=1,SUMPRODUCT(--($W$2:$W$1001&lt;$W801))+1,"")</f>
        <v/>
      </c>
      <c r="V801">
        <f>IF($A801="","",IF(AND(ISNUMBER($R801),NOT(ISLOGICAL($R801)),N($R801)&gt;1),IF(ABS($R801/100-Settings!$C$6)&lt;=ABS($R801/100-Settings!$C$7),1,0),IF(OR($R801=TRUE(),$R801="TRUE"),1,0)))</f>
        <v/>
      </c>
      <c r="W801">
        <f>IF($T801=1,IFERROR(IF(VALUE($A801)&lt;100000000,VALUE($A801),1000000000),IFERROR(IF(VALUE(MID($A801,2,20))&lt;100000000,VALUE(MID($A801,2,20)),1000000000),1000000000))+ROW()/100000,"")</f>
        <v/>
      </c>
    </row>
    <row r="802">
      <c r="F802" s="7">
        <f>IF($A802="","",E802*K802/100)</f>
        <v/>
      </c>
      <c r="J802" s="7" t="n"/>
      <c r="K802" s="7" t="n"/>
      <c r="L802" s="7">
        <f>IF($A802="","",S802*K802)</f>
        <v/>
      </c>
      <c r="M802" s="7">
        <f>IF($A802="","",K802-L802)</f>
        <v/>
      </c>
      <c r="N802" s="7">
        <f>IF($A802="","",M802-F802)</f>
        <v/>
      </c>
      <c r="Q802" s="11" t="n"/>
      <c r="S802">
        <f>IF($A802="","",IF(AND(ISNUMBER($R802),NOT(ISLOGICAL($R802)),N($R802)&gt;1),$R802/100*1,IF($V802=1,Settings!$C$6,Settings!$C$7)*1))</f>
        <v/>
      </c>
      <c r="T802">
        <f>IF($A802="","",IF(COUNTIF($A$2:$A802,$A802)=1,1,0))</f>
        <v/>
      </c>
      <c r="U802">
        <f>IF($T802=1,SUMPRODUCT(--($W$2:$W$1001&lt;$W802))+1,"")</f>
        <v/>
      </c>
      <c r="V802">
        <f>IF($A802="","",IF(AND(ISNUMBER($R802),NOT(ISLOGICAL($R802)),N($R802)&gt;1),IF(ABS($R802/100-Settings!$C$6)&lt;=ABS($R802/100-Settings!$C$7),1,0),IF(OR($R802=TRUE(),$R802="TRUE"),1,0)))</f>
        <v/>
      </c>
      <c r="W802">
        <f>IF($T802=1,IFERROR(IF(VALUE($A802)&lt;100000000,VALUE($A802),1000000000),IFERROR(IF(VALUE(MID($A802,2,20))&lt;100000000,VALUE(MID($A802,2,20)),1000000000),1000000000))+ROW()/100000,"")</f>
        <v/>
      </c>
    </row>
    <row r="803">
      <c r="F803" s="7">
        <f>IF($A803="","",E803*K803/100)</f>
        <v/>
      </c>
      <c r="J803" s="7" t="n"/>
      <c r="K803" s="7" t="n"/>
      <c r="L803" s="7">
        <f>IF($A803="","",S803*K803)</f>
        <v/>
      </c>
      <c r="M803" s="7">
        <f>IF($A803="","",K803-L803)</f>
        <v/>
      </c>
      <c r="N803" s="7">
        <f>IF($A803="","",M803-F803)</f>
        <v/>
      </c>
      <c r="Q803" s="11" t="n"/>
      <c r="S803">
        <f>IF($A803="","",IF(AND(ISNUMBER($R803),NOT(ISLOGICAL($R803)),N($R803)&gt;1),$R803/100*1,IF($V803=1,Settings!$C$6,Settings!$C$7)*1))</f>
        <v/>
      </c>
      <c r="T803">
        <f>IF($A803="","",IF(COUNTIF($A$2:$A803,$A803)=1,1,0))</f>
        <v/>
      </c>
      <c r="U803">
        <f>IF($T803=1,SUMPRODUCT(--($W$2:$W$1001&lt;$W803))+1,"")</f>
        <v/>
      </c>
      <c r="V803">
        <f>IF($A803="","",IF(AND(ISNUMBER($R803),NOT(ISLOGICAL($R803)),N($R803)&gt;1),IF(ABS($R803/100-Settings!$C$6)&lt;=ABS($R803/100-Settings!$C$7),1,0),IF(OR($R803=TRUE(),$R803="TRUE"),1,0)))</f>
        <v/>
      </c>
      <c r="W803">
        <f>IF($T803=1,IFERROR(IF(VALUE($A803)&lt;100000000,VALUE($A803),1000000000),IFERROR(IF(VALUE(MID($A803,2,20))&lt;100000000,VALUE(MID($A803,2,20)),1000000000),1000000000))+ROW()/100000,"")</f>
        <v/>
      </c>
    </row>
    <row r="804">
      <c r="F804" s="7">
        <f>IF($A804="","",E804*K804/100)</f>
        <v/>
      </c>
      <c r="J804" s="7" t="n"/>
      <c r="K804" s="7" t="n"/>
      <c r="L804" s="7">
        <f>IF($A804="","",S804*K804)</f>
        <v/>
      </c>
      <c r="M804" s="7">
        <f>IF($A804="","",K804-L804)</f>
        <v/>
      </c>
      <c r="N804" s="7">
        <f>IF($A804="","",M804-F804)</f>
        <v/>
      </c>
      <c r="Q804" s="11" t="n"/>
      <c r="S804">
        <f>IF($A804="","",IF(AND(ISNUMBER($R804),NOT(ISLOGICAL($R804)),N($R804)&gt;1),$R804/100*1,IF($V804=1,Settings!$C$6,Settings!$C$7)*1))</f>
        <v/>
      </c>
      <c r="T804">
        <f>IF($A804="","",IF(COUNTIF($A$2:$A804,$A804)=1,1,0))</f>
        <v/>
      </c>
      <c r="U804">
        <f>IF($T804=1,SUMPRODUCT(--($W$2:$W$1001&lt;$W804))+1,"")</f>
        <v/>
      </c>
      <c r="V804">
        <f>IF($A804="","",IF(AND(ISNUMBER($R804),NOT(ISLOGICAL($R804)),N($R804)&gt;1),IF(ABS($R804/100-Settings!$C$6)&lt;=ABS($R804/100-Settings!$C$7),1,0),IF(OR($R804=TRUE(),$R804="TRUE"),1,0)))</f>
        <v/>
      </c>
      <c r="W804">
        <f>IF($T804=1,IFERROR(IF(VALUE($A804)&lt;100000000,VALUE($A804),1000000000),IFERROR(IF(VALUE(MID($A804,2,20))&lt;100000000,VALUE(MID($A804,2,20)),1000000000),1000000000))+ROW()/100000,"")</f>
        <v/>
      </c>
    </row>
    <row r="805">
      <c r="F805" s="7">
        <f>IF($A805="","",E805*K805/100)</f>
        <v/>
      </c>
      <c r="J805" s="7" t="n"/>
      <c r="K805" s="7" t="n"/>
      <c r="L805" s="7">
        <f>IF($A805="","",S805*K805)</f>
        <v/>
      </c>
      <c r="M805" s="7">
        <f>IF($A805="","",K805-L805)</f>
        <v/>
      </c>
      <c r="N805" s="7">
        <f>IF($A805="","",M805-F805)</f>
        <v/>
      </c>
      <c r="Q805" s="11" t="n"/>
      <c r="S805">
        <f>IF($A805="","",IF(AND(ISNUMBER($R805),NOT(ISLOGICAL($R805)),N($R805)&gt;1),$R805/100*1,IF($V805=1,Settings!$C$6,Settings!$C$7)*1))</f>
        <v/>
      </c>
      <c r="T805">
        <f>IF($A805="","",IF(COUNTIF($A$2:$A805,$A805)=1,1,0))</f>
        <v/>
      </c>
      <c r="U805">
        <f>IF($T805=1,SUMPRODUCT(--($W$2:$W$1001&lt;$W805))+1,"")</f>
        <v/>
      </c>
      <c r="V805">
        <f>IF($A805="","",IF(AND(ISNUMBER($R805),NOT(ISLOGICAL($R805)),N($R805)&gt;1),IF(ABS($R805/100-Settings!$C$6)&lt;=ABS($R805/100-Settings!$C$7),1,0),IF(OR($R805=TRUE(),$R805="TRUE"),1,0)))</f>
        <v/>
      </c>
      <c r="W805">
        <f>IF($T805=1,IFERROR(IF(VALUE($A805)&lt;100000000,VALUE($A805),1000000000),IFERROR(IF(VALUE(MID($A805,2,20))&lt;100000000,VALUE(MID($A805,2,20)),1000000000),1000000000))+ROW()/100000,"")</f>
        <v/>
      </c>
    </row>
    <row r="806">
      <c r="F806" s="7">
        <f>IF($A806="","",E806*K806/100)</f>
        <v/>
      </c>
      <c r="J806" s="7" t="n"/>
      <c r="K806" s="7" t="n"/>
      <c r="L806" s="7">
        <f>IF($A806="","",S806*K806)</f>
        <v/>
      </c>
      <c r="M806" s="7">
        <f>IF($A806="","",K806-L806)</f>
        <v/>
      </c>
      <c r="N806" s="7">
        <f>IF($A806="","",M806-F806)</f>
        <v/>
      </c>
      <c r="Q806" s="11" t="n"/>
      <c r="S806">
        <f>IF($A806="","",IF(AND(ISNUMBER($R806),NOT(ISLOGICAL($R806)),N($R806)&gt;1),$R806/100*1,IF($V806=1,Settings!$C$6,Settings!$C$7)*1))</f>
        <v/>
      </c>
      <c r="T806">
        <f>IF($A806="","",IF(COUNTIF($A$2:$A806,$A806)=1,1,0))</f>
        <v/>
      </c>
      <c r="U806">
        <f>IF($T806=1,SUMPRODUCT(--($W$2:$W$1001&lt;$W806))+1,"")</f>
        <v/>
      </c>
      <c r="V806">
        <f>IF($A806="","",IF(AND(ISNUMBER($R806),NOT(ISLOGICAL($R806)),N($R806)&gt;1),IF(ABS($R806/100-Settings!$C$6)&lt;=ABS($R806/100-Settings!$C$7),1,0),IF(OR($R806=TRUE(),$R806="TRUE"),1,0)))</f>
        <v/>
      </c>
      <c r="W806">
        <f>IF($T806=1,IFERROR(IF(VALUE($A806)&lt;100000000,VALUE($A806),1000000000),IFERROR(IF(VALUE(MID($A806,2,20))&lt;100000000,VALUE(MID($A806,2,20)),1000000000),1000000000))+ROW()/100000,"")</f>
        <v/>
      </c>
    </row>
    <row r="807">
      <c r="F807" s="7">
        <f>IF($A807="","",E807*K807/100)</f>
        <v/>
      </c>
      <c r="J807" s="7" t="n"/>
      <c r="K807" s="7" t="n"/>
      <c r="L807" s="7">
        <f>IF($A807="","",S807*K807)</f>
        <v/>
      </c>
      <c r="M807" s="7">
        <f>IF($A807="","",K807-L807)</f>
        <v/>
      </c>
      <c r="N807" s="7">
        <f>IF($A807="","",M807-F807)</f>
        <v/>
      </c>
      <c r="Q807" s="11" t="n"/>
      <c r="S807">
        <f>IF($A807="","",IF(AND(ISNUMBER($R807),NOT(ISLOGICAL($R807)),N($R807)&gt;1),$R807/100*1,IF($V807=1,Settings!$C$6,Settings!$C$7)*1))</f>
        <v/>
      </c>
      <c r="T807">
        <f>IF($A807="","",IF(COUNTIF($A$2:$A807,$A807)=1,1,0))</f>
        <v/>
      </c>
      <c r="U807">
        <f>IF($T807=1,SUMPRODUCT(--($W$2:$W$1001&lt;$W807))+1,"")</f>
        <v/>
      </c>
      <c r="V807">
        <f>IF($A807="","",IF(AND(ISNUMBER($R807),NOT(ISLOGICAL($R807)),N($R807)&gt;1),IF(ABS($R807/100-Settings!$C$6)&lt;=ABS($R807/100-Settings!$C$7),1,0),IF(OR($R807=TRUE(),$R807="TRUE"),1,0)))</f>
        <v/>
      </c>
      <c r="W807">
        <f>IF($T807=1,IFERROR(IF(VALUE($A807)&lt;100000000,VALUE($A807),1000000000),IFERROR(IF(VALUE(MID($A807,2,20))&lt;100000000,VALUE(MID($A807,2,20)),1000000000),1000000000))+ROW()/100000,"")</f>
        <v/>
      </c>
    </row>
    <row r="808">
      <c r="F808" s="7">
        <f>IF($A808="","",E808*K808/100)</f>
        <v/>
      </c>
      <c r="J808" s="7" t="n"/>
      <c r="K808" s="7" t="n"/>
      <c r="L808" s="7">
        <f>IF($A808="","",S808*K808)</f>
        <v/>
      </c>
      <c r="M808" s="7">
        <f>IF($A808="","",K808-L808)</f>
        <v/>
      </c>
      <c r="N808" s="7">
        <f>IF($A808="","",M808-F808)</f>
        <v/>
      </c>
      <c r="Q808" s="11" t="n"/>
      <c r="S808">
        <f>IF($A808="","",IF(AND(ISNUMBER($R808),NOT(ISLOGICAL($R808)),N($R808)&gt;1),$R808/100*1,IF($V808=1,Settings!$C$6,Settings!$C$7)*1))</f>
        <v/>
      </c>
      <c r="T808">
        <f>IF($A808="","",IF(COUNTIF($A$2:$A808,$A808)=1,1,0))</f>
        <v/>
      </c>
      <c r="U808">
        <f>IF($T808=1,SUMPRODUCT(--($W$2:$W$1001&lt;$W808))+1,"")</f>
        <v/>
      </c>
      <c r="V808">
        <f>IF($A808="","",IF(AND(ISNUMBER($R808),NOT(ISLOGICAL($R808)),N($R808)&gt;1),IF(ABS($R808/100-Settings!$C$6)&lt;=ABS($R808/100-Settings!$C$7),1,0),IF(OR($R808=TRUE(),$R808="TRUE"),1,0)))</f>
        <v/>
      </c>
      <c r="W808">
        <f>IF($T808=1,IFERROR(IF(VALUE($A808)&lt;100000000,VALUE($A808),1000000000),IFERROR(IF(VALUE(MID($A808,2,20))&lt;100000000,VALUE(MID($A808,2,20)),1000000000),1000000000))+ROW()/100000,"")</f>
        <v/>
      </c>
    </row>
    <row r="809">
      <c r="F809" s="7">
        <f>IF($A809="","",E809*K809/100)</f>
        <v/>
      </c>
      <c r="J809" s="7" t="n"/>
      <c r="K809" s="7" t="n"/>
      <c r="L809" s="7">
        <f>IF($A809="","",S809*K809)</f>
        <v/>
      </c>
      <c r="M809" s="7">
        <f>IF($A809="","",K809-L809)</f>
        <v/>
      </c>
      <c r="N809" s="7">
        <f>IF($A809="","",M809-F809)</f>
        <v/>
      </c>
      <c r="Q809" s="11" t="n"/>
      <c r="S809">
        <f>IF($A809="","",IF(AND(ISNUMBER($R809),NOT(ISLOGICAL($R809)),N($R809)&gt;1),$R809/100*1,IF($V809=1,Settings!$C$6,Settings!$C$7)*1))</f>
        <v/>
      </c>
      <c r="T809">
        <f>IF($A809="","",IF(COUNTIF($A$2:$A809,$A809)=1,1,0))</f>
        <v/>
      </c>
      <c r="U809">
        <f>IF($T809=1,SUMPRODUCT(--($W$2:$W$1001&lt;$W809))+1,"")</f>
        <v/>
      </c>
      <c r="V809">
        <f>IF($A809="","",IF(AND(ISNUMBER($R809),NOT(ISLOGICAL($R809)),N($R809)&gt;1),IF(ABS($R809/100-Settings!$C$6)&lt;=ABS($R809/100-Settings!$C$7),1,0),IF(OR($R809=TRUE(),$R809="TRUE"),1,0)))</f>
        <v/>
      </c>
      <c r="W809">
        <f>IF($T809=1,IFERROR(IF(VALUE($A809)&lt;100000000,VALUE($A809),1000000000),IFERROR(IF(VALUE(MID($A809,2,20))&lt;100000000,VALUE(MID($A809,2,20)),1000000000),1000000000))+ROW()/100000,"")</f>
        <v/>
      </c>
    </row>
    <row r="810">
      <c r="F810" s="7">
        <f>IF($A810="","",E810*K810/100)</f>
        <v/>
      </c>
      <c r="J810" s="7" t="n"/>
      <c r="K810" s="7" t="n"/>
      <c r="L810" s="7">
        <f>IF($A810="","",S810*K810)</f>
        <v/>
      </c>
      <c r="M810" s="7">
        <f>IF($A810="","",K810-L810)</f>
        <v/>
      </c>
      <c r="N810" s="7">
        <f>IF($A810="","",M810-F810)</f>
        <v/>
      </c>
      <c r="Q810" s="11" t="n"/>
      <c r="S810">
        <f>IF($A810="","",IF(AND(ISNUMBER($R810),NOT(ISLOGICAL($R810)),N($R810)&gt;1),$R810/100*1,IF($V810=1,Settings!$C$6,Settings!$C$7)*1))</f>
        <v/>
      </c>
      <c r="T810">
        <f>IF($A810="","",IF(COUNTIF($A$2:$A810,$A810)=1,1,0))</f>
        <v/>
      </c>
      <c r="U810">
        <f>IF($T810=1,SUMPRODUCT(--($W$2:$W$1001&lt;$W810))+1,"")</f>
        <v/>
      </c>
      <c r="V810">
        <f>IF($A810="","",IF(AND(ISNUMBER($R810),NOT(ISLOGICAL($R810)),N($R810)&gt;1),IF(ABS($R810/100-Settings!$C$6)&lt;=ABS($R810/100-Settings!$C$7),1,0),IF(OR($R810=TRUE(),$R810="TRUE"),1,0)))</f>
        <v/>
      </c>
      <c r="W810">
        <f>IF($T810=1,IFERROR(IF(VALUE($A810)&lt;100000000,VALUE($A810),1000000000),IFERROR(IF(VALUE(MID($A810,2,20))&lt;100000000,VALUE(MID($A810,2,20)),1000000000),1000000000))+ROW()/100000,"")</f>
        <v/>
      </c>
    </row>
    <row r="811">
      <c r="F811" s="7">
        <f>IF($A811="","",E811*K811/100)</f>
        <v/>
      </c>
      <c r="J811" s="7" t="n"/>
      <c r="K811" s="7" t="n"/>
      <c r="L811" s="7">
        <f>IF($A811="","",S811*K811)</f>
        <v/>
      </c>
      <c r="M811" s="7">
        <f>IF($A811="","",K811-L811)</f>
        <v/>
      </c>
      <c r="N811" s="7">
        <f>IF($A811="","",M811-F811)</f>
        <v/>
      </c>
      <c r="Q811" s="11" t="n"/>
      <c r="S811">
        <f>IF($A811="","",IF(AND(ISNUMBER($R811),NOT(ISLOGICAL($R811)),N($R811)&gt;1),$R811/100*1,IF($V811=1,Settings!$C$6,Settings!$C$7)*1))</f>
        <v/>
      </c>
      <c r="T811">
        <f>IF($A811="","",IF(COUNTIF($A$2:$A811,$A811)=1,1,0))</f>
        <v/>
      </c>
      <c r="U811">
        <f>IF($T811=1,SUMPRODUCT(--($W$2:$W$1001&lt;$W811))+1,"")</f>
        <v/>
      </c>
      <c r="V811">
        <f>IF($A811="","",IF(AND(ISNUMBER($R811),NOT(ISLOGICAL($R811)),N($R811)&gt;1),IF(ABS($R811/100-Settings!$C$6)&lt;=ABS($R811/100-Settings!$C$7),1,0),IF(OR($R811=TRUE(),$R811="TRUE"),1,0)))</f>
        <v/>
      </c>
      <c r="W811">
        <f>IF($T811=1,IFERROR(IF(VALUE($A811)&lt;100000000,VALUE($A811),1000000000),IFERROR(IF(VALUE(MID($A811,2,20))&lt;100000000,VALUE(MID($A811,2,20)),1000000000),1000000000))+ROW()/100000,"")</f>
        <v/>
      </c>
    </row>
    <row r="812">
      <c r="F812" s="7">
        <f>IF($A812="","",E812*K812/100)</f>
        <v/>
      </c>
      <c r="J812" s="7" t="n"/>
      <c r="K812" s="7" t="n"/>
      <c r="L812" s="7">
        <f>IF($A812="","",S812*K812)</f>
        <v/>
      </c>
      <c r="M812" s="7">
        <f>IF($A812="","",K812-L812)</f>
        <v/>
      </c>
      <c r="N812" s="7">
        <f>IF($A812="","",M812-F812)</f>
        <v/>
      </c>
      <c r="Q812" s="11" t="n"/>
      <c r="S812">
        <f>IF($A812="","",IF(AND(ISNUMBER($R812),NOT(ISLOGICAL($R812)),N($R812)&gt;1),$R812/100*1,IF($V812=1,Settings!$C$6,Settings!$C$7)*1))</f>
        <v/>
      </c>
      <c r="T812">
        <f>IF($A812="","",IF(COUNTIF($A$2:$A812,$A812)=1,1,0))</f>
        <v/>
      </c>
      <c r="U812">
        <f>IF($T812=1,SUMPRODUCT(--($W$2:$W$1001&lt;$W812))+1,"")</f>
        <v/>
      </c>
      <c r="V812">
        <f>IF($A812="","",IF(AND(ISNUMBER($R812),NOT(ISLOGICAL($R812)),N($R812)&gt;1),IF(ABS($R812/100-Settings!$C$6)&lt;=ABS($R812/100-Settings!$C$7),1,0),IF(OR($R812=TRUE(),$R812="TRUE"),1,0)))</f>
        <v/>
      </c>
      <c r="W812">
        <f>IF($T812=1,IFERROR(IF(VALUE($A812)&lt;100000000,VALUE($A812),1000000000),IFERROR(IF(VALUE(MID($A812,2,20))&lt;100000000,VALUE(MID($A812,2,20)),1000000000),1000000000))+ROW()/100000,"")</f>
        <v/>
      </c>
    </row>
    <row r="813">
      <c r="F813" s="7">
        <f>IF($A813="","",E813*K813/100)</f>
        <v/>
      </c>
      <c r="J813" s="7" t="n"/>
      <c r="K813" s="7" t="n"/>
      <c r="L813" s="7">
        <f>IF($A813="","",S813*K813)</f>
        <v/>
      </c>
      <c r="M813" s="7">
        <f>IF($A813="","",K813-L813)</f>
        <v/>
      </c>
      <c r="N813" s="7">
        <f>IF($A813="","",M813-F813)</f>
        <v/>
      </c>
      <c r="Q813" s="11" t="n"/>
      <c r="S813">
        <f>IF($A813="","",IF(AND(ISNUMBER($R813),NOT(ISLOGICAL($R813)),N($R813)&gt;1),$R813/100*1,IF($V813=1,Settings!$C$6,Settings!$C$7)*1))</f>
        <v/>
      </c>
      <c r="T813">
        <f>IF($A813="","",IF(COUNTIF($A$2:$A813,$A813)=1,1,0))</f>
        <v/>
      </c>
      <c r="U813">
        <f>IF($T813=1,SUMPRODUCT(--($W$2:$W$1001&lt;$W813))+1,"")</f>
        <v/>
      </c>
      <c r="V813">
        <f>IF($A813="","",IF(AND(ISNUMBER($R813),NOT(ISLOGICAL($R813)),N($R813)&gt;1),IF(ABS($R813/100-Settings!$C$6)&lt;=ABS($R813/100-Settings!$C$7),1,0),IF(OR($R813=TRUE(),$R813="TRUE"),1,0)))</f>
        <v/>
      </c>
      <c r="W813">
        <f>IF($T813=1,IFERROR(IF(VALUE($A813)&lt;100000000,VALUE($A813),1000000000),IFERROR(IF(VALUE(MID($A813,2,20))&lt;100000000,VALUE(MID($A813,2,20)),1000000000),1000000000))+ROW()/100000,"")</f>
        <v/>
      </c>
    </row>
    <row r="814">
      <c r="F814" s="7">
        <f>IF($A814="","",E814*K814/100)</f>
        <v/>
      </c>
      <c r="J814" s="7" t="n"/>
      <c r="K814" s="7" t="n"/>
      <c r="L814" s="7">
        <f>IF($A814="","",S814*K814)</f>
        <v/>
      </c>
      <c r="M814" s="7">
        <f>IF($A814="","",K814-L814)</f>
        <v/>
      </c>
      <c r="N814" s="7">
        <f>IF($A814="","",M814-F814)</f>
        <v/>
      </c>
      <c r="Q814" s="11" t="n"/>
      <c r="S814">
        <f>IF($A814="","",IF(AND(ISNUMBER($R814),NOT(ISLOGICAL($R814)),N($R814)&gt;1),$R814/100*1,IF($V814=1,Settings!$C$6,Settings!$C$7)*1))</f>
        <v/>
      </c>
      <c r="T814">
        <f>IF($A814="","",IF(COUNTIF($A$2:$A814,$A814)=1,1,0))</f>
        <v/>
      </c>
      <c r="U814">
        <f>IF($T814=1,SUMPRODUCT(--($W$2:$W$1001&lt;$W814))+1,"")</f>
        <v/>
      </c>
      <c r="V814">
        <f>IF($A814="","",IF(AND(ISNUMBER($R814),NOT(ISLOGICAL($R814)),N($R814)&gt;1),IF(ABS($R814/100-Settings!$C$6)&lt;=ABS($R814/100-Settings!$C$7),1,0),IF(OR($R814=TRUE(),$R814="TRUE"),1,0)))</f>
        <v/>
      </c>
      <c r="W814">
        <f>IF($T814=1,IFERROR(IF(VALUE($A814)&lt;100000000,VALUE($A814),1000000000),IFERROR(IF(VALUE(MID($A814,2,20))&lt;100000000,VALUE(MID($A814,2,20)),1000000000),1000000000))+ROW()/100000,"")</f>
        <v/>
      </c>
    </row>
    <row r="815">
      <c r="F815" s="7">
        <f>IF($A815="","",E815*K815/100)</f>
        <v/>
      </c>
      <c r="J815" s="7" t="n"/>
      <c r="K815" s="7" t="n"/>
      <c r="L815" s="7">
        <f>IF($A815="","",S815*K815)</f>
        <v/>
      </c>
      <c r="M815" s="7">
        <f>IF($A815="","",K815-L815)</f>
        <v/>
      </c>
      <c r="N815" s="7">
        <f>IF($A815="","",M815-F815)</f>
        <v/>
      </c>
      <c r="Q815" s="11" t="n"/>
      <c r="S815">
        <f>IF($A815="","",IF(AND(ISNUMBER($R815),NOT(ISLOGICAL($R815)),N($R815)&gt;1),$R815/100*1,IF($V815=1,Settings!$C$6,Settings!$C$7)*1))</f>
        <v/>
      </c>
      <c r="T815">
        <f>IF($A815="","",IF(COUNTIF($A$2:$A815,$A815)=1,1,0))</f>
        <v/>
      </c>
      <c r="U815">
        <f>IF($T815=1,SUMPRODUCT(--($W$2:$W$1001&lt;$W815))+1,"")</f>
        <v/>
      </c>
      <c r="V815">
        <f>IF($A815="","",IF(AND(ISNUMBER($R815),NOT(ISLOGICAL($R815)),N($R815)&gt;1),IF(ABS($R815/100-Settings!$C$6)&lt;=ABS($R815/100-Settings!$C$7),1,0),IF(OR($R815=TRUE(),$R815="TRUE"),1,0)))</f>
        <v/>
      </c>
      <c r="W815">
        <f>IF($T815=1,IFERROR(IF(VALUE($A815)&lt;100000000,VALUE($A815),1000000000),IFERROR(IF(VALUE(MID($A815,2,20))&lt;100000000,VALUE(MID($A815,2,20)),1000000000),1000000000))+ROW()/100000,"")</f>
        <v/>
      </c>
    </row>
    <row r="816">
      <c r="F816" s="7">
        <f>IF($A816="","",E816*K816/100)</f>
        <v/>
      </c>
      <c r="J816" s="7" t="n"/>
      <c r="K816" s="7" t="n"/>
      <c r="L816" s="7">
        <f>IF($A816="","",S816*K816)</f>
        <v/>
      </c>
      <c r="M816" s="7">
        <f>IF($A816="","",K816-L816)</f>
        <v/>
      </c>
      <c r="N816" s="7">
        <f>IF($A816="","",M816-F816)</f>
        <v/>
      </c>
      <c r="Q816" s="11" t="n"/>
      <c r="S816">
        <f>IF($A816="","",IF(AND(ISNUMBER($R816),NOT(ISLOGICAL($R816)),N($R816)&gt;1),$R816/100*1,IF($V816=1,Settings!$C$6,Settings!$C$7)*1))</f>
        <v/>
      </c>
      <c r="T816">
        <f>IF($A816="","",IF(COUNTIF($A$2:$A816,$A816)=1,1,0))</f>
        <v/>
      </c>
      <c r="U816">
        <f>IF($T816=1,SUMPRODUCT(--($W$2:$W$1001&lt;$W816))+1,"")</f>
        <v/>
      </c>
      <c r="V816">
        <f>IF($A816="","",IF(AND(ISNUMBER($R816),NOT(ISLOGICAL($R816)),N($R816)&gt;1),IF(ABS($R816/100-Settings!$C$6)&lt;=ABS($R816/100-Settings!$C$7),1,0),IF(OR($R816=TRUE(),$R816="TRUE"),1,0)))</f>
        <v/>
      </c>
      <c r="W816">
        <f>IF($T816=1,IFERROR(IF(VALUE($A816)&lt;100000000,VALUE($A816),1000000000),IFERROR(IF(VALUE(MID($A816,2,20))&lt;100000000,VALUE(MID($A816,2,20)),1000000000),1000000000))+ROW()/100000,"")</f>
        <v/>
      </c>
    </row>
    <row r="817">
      <c r="F817" s="7">
        <f>IF($A817="","",E817*K817/100)</f>
        <v/>
      </c>
      <c r="J817" s="7" t="n"/>
      <c r="K817" s="7" t="n"/>
      <c r="L817" s="7">
        <f>IF($A817="","",S817*K817)</f>
        <v/>
      </c>
      <c r="M817" s="7">
        <f>IF($A817="","",K817-L817)</f>
        <v/>
      </c>
      <c r="N817" s="7">
        <f>IF($A817="","",M817-F817)</f>
        <v/>
      </c>
      <c r="Q817" s="11" t="n"/>
      <c r="S817">
        <f>IF($A817="","",IF(AND(ISNUMBER($R817),NOT(ISLOGICAL($R817)),N($R817)&gt;1),$R817/100*1,IF($V817=1,Settings!$C$6,Settings!$C$7)*1))</f>
        <v/>
      </c>
      <c r="T817">
        <f>IF($A817="","",IF(COUNTIF($A$2:$A817,$A817)=1,1,0))</f>
        <v/>
      </c>
      <c r="U817">
        <f>IF($T817=1,SUMPRODUCT(--($W$2:$W$1001&lt;$W817))+1,"")</f>
        <v/>
      </c>
      <c r="V817">
        <f>IF($A817="","",IF(AND(ISNUMBER($R817),NOT(ISLOGICAL($R817)),N($R817)&gt;1),IF(ABS($R817/100-Settings!$C$6)&lt;=ABS($R817/100-Settings!$C$7),1,0),IF(OR($R817=TRUE(),$R817="TRUE"),1,0)))</f>
        <v/>
      </c>
      <c r="W817">
        <f>IF($T817=1,IFERROR(IF(VALUE($A817)&lt;100000000,VALUE($A817),1000000000),IFERROR(IF(VALUE(MID($A817,2,20))&lt;100000000,VALUE(MID($A817,2,20)),1000000000),1000000000))+ROW()/100000,"")</f>
        <v/>
      </c>
    </row>
    <row r="818">
      <c r="F818" s="7">
        <f>IF($A818="","",E818*K818/100)</f>
        <v/>
      </c>
      <c r="J818" s="7" t="n"/>
      <c r="K818" s="7" t="n"/>
      <c r="L818" s="7">
        <f>IF($A818="","",S818*K818)</f>
        <v/>
      </c>
      <c r="M818" s="7">
        <f>IF($A818="","",K818-L818)</f>
        <v/>
      </c>
      <c r="N818" s="7">
        <f>IF($A818="","",M818-F818)</f>
        <v/>
      </c>
      <c r="Q818" s="11" t="n"/>
      <c r="S818">
        <f>IF($A818="","",IF(AND(ISNUMBER($R818),NOT(ISLOGICAL($R818)),N($R818)&gt;1),$R818/100*1,IF($V818=1,Settings!$C$6,Settings!$C$7)*1))</f>
        <v/>
      </c>
      <c r="T818">
        <f>IF($A818="","",IF(COUNTIF($A$2:$A818,$A818)=1,1,0))</f>
        <v/>
      </c>
      <c r="U818">
        <f>IF($T818=1,SUMPRODUCT(--($W$2:$W$1001&lt;$W818))+1,"")</f>
        <v/>
      </c>
      <c r="V818">
        <f>IF($A818="","",IF(AND(ISNUMBER($R818),NOT(ISLOGICAL($R818)),N($R818)&gt;1),IF(ABS($R818/100-Settings!$C$6)&lt;=ABS($R818/100-Settings!$C$7),1,0),IF(OR($R818=TRUE(),$R818="TRUE"),1,0)))</f>
        <v/>
      </c>
      <c r="W818">
        <f>IF($T818=1,IFERROR(IF(VALUE($A818)&lt;100000000,VALUE($A818),1000000000),IFERROR(IF(VALUE(MID($A818,2,20))&lt;100000000,VALUE(MID($A818,2,20)),1000000000),1000000000))+ROW()/100000,"")</f>
        <v/>
      </c>
    </row>
    <row r="819">
      <c r="F819" s="7">
        <f>IF($A819="","",E819*K819/100)</f>
        <v/>
      </c>
      <c r="J819" s="7" t="n"/>
      <c r="K819" s="7" t="n"/>
      <c r="L819" s="7">
        <f>IF($A819="","",S819*K819)</f>
        <v/>
      </c>
      <c r="M819" s="7">
        <f>IF($A819="","",K819-L819)</f>
        <v/>
      </c>
      <c r="N819" s="7">
        <f>IF($A819="","",M819-F819)</f>
        <v/>
      </c>
      <c r="Q819" s="11" t="n"/>
      <c r="S819">
        <f>IF($A819="","",IF(AND(ISNUMBER($R819),NOT(ISLOGICAL($R819)),N($R819)&gt;1),$R819/100*1,IF($V819=1,Settings!$C$6,Settings!$C$7)*1))</f>
        <v/>
      </c>
      <c r="T819">
        <f>IF($A819="","",IF(COUNTIF($A$2:$A819,$A819)=1,1,0))</f>
        <v/>
      </c>
      <c r="U819">
        <f>IF($T819=1,SUMPRODUCT(--($W$2:$W$1001&lt;$W819))+1,"")</f>
        <v/>
      </c>
      <c r="V819">
        <f>IF($A819="","",IF(AND(ISNUMBER($R819),NOT(ISLOGICAL($R819)),N($R819)&gt;1),IF(ABS($R819/100-Settings!$C$6)&lt;=ABS($R819/100-Settings!$C$7),1,0),IF(OR($R819=TRUE(),$R819="TRUE"),1,0)))</f>
        <v/>
      </c>
      <c r="W819">
        <f>IF($T819=1,IFERROR(IF(VALUE($A819)&lt;100000000,VALUE($A819),1000000000),IFERROR(IF(VALUE(MID($A819,2,20))&lt;100000000,VALUE(MID($A819,2,20)),1000000000),1000000000))+ROW()/100000,"")</f>
        <v/>
      </c>
    </row>
    <row r="820">
      <c r="F820" s="7">
        <f>IF($A820="","",E820*K820/100)</f>
        <v/>
      </c>
      <c r="J820" s="7" t="n"/>
      <c r="K820" s="7" t="n"/>
      <c r="L820" s="7">
        <f>IF($A820="","",S820*K820)</f>
        <v/>
      </c>
      <c r="M820" s="7">
        <f>IF($A820="","",K820-L820)</f>
        <v/>
      </c>
      <c r="N820" s="7">
        <f>IF($A820="","",M820-F820)</f>
        <v/>
      </c>
      <c r="Q820" s="11" t="n"/>
      <c r="S820">
        <f>IF($A820="","",IF(AND(ISNUMBER($R820),NOT(ISLOGICAL($R820)),N($R820)&gt;1),$R820/100*1,IF($V820=1,Settings!$C$6,Settings!$C$7)*1))</f>
        <v/>
      </c>
      <c r="T820">
        <f>IF($A820="","",IF(COUNTIF($A$2:$A820,$A820)=1,1,0))</f>
        <v/>
      </c>
      <c r="U820">
        <f>IF($T820=1,SUMPRODUCT(--($W$2:$W$1001&lt;$W820))+1,"")</f>
        <v/>
      </c>
      <c r="V820">
        <f>IF($A820="","",IF(AND(ISNUMBER($R820),NOT(ISLOGICAL($R820)),N($R820)&gt;1),IF(ABS($R820/100-Settings!$C$6)&lt;=ABS($R820/100-Settings!$C$7),1,0),IF(OR($R820=TRUE(),$R820="TRUE"),1,0)))</f>
        <v/>
      </c>
      <c r="W820">
        <f>IF($T820=1,IFERROR(IF(VALUE($A820)&lt;100000000,VALUE($A820),1000000000),IFERROR(IF(VALUE(MID($A820,2,20))&lt;100000000,VALUE(MID($A820,2,20)),1000000000),1000000000))+ROW()/100000,"")</f>
        <v/>
      </c>
    </row>
    <row r="821">
      <c r="F821" s="7">
        <f>IF($A821="","",E821*K821/100)</f>
        <v/>
      </c>
      <c r="J821" s="7" t="n"/>
      <c r="K821" s="7" t="n"/>
      <c r="L821" s="7">
        <f>IF($A821="","",S821*K821)</f>
        <v/>
      </c>
      <c r="M821" s="7">
        <f>IF($A821="","",K821-L821)</f>
        <v/>
      </c>
      <c r="N821" s="7">
        <f>IF($A821="","",M821-F821)</f>
        <v/>
      </c>
      <c r="Q821" s="11" t="n"/>
      <c r="S821">
        <f>IF($A821="","",IF(AND(ISNUMBER($R821),NOT(ISLOGICAL($R821)),N($R821)&gt;1),$R821/100*1,IF($V821=1,Settings!$C$6,Settings!$C$7)*1))</f>
        <v/>
      </c>
      <c r="T821">
        <f>IF($A821="","",IF(COUNTIF($A$2:$A821,$A821)=1,1,0))</f>
        <v/>
      </c>
      <c r="U821">
        <f>IF($T821=1,SUMPRODUCT(--($W$2:$W$1001&lt;$W821))+1,"")</f>
        <v/>
      </c>
      <c r="V821">
        <f>IF($A821="","",IF(AND(ISNUMBER($R821),NOT(ISLOGICAL($R821)),N($R821)&gt;1),IF(ABS($R821/100-Settings!$C$6)&lt;=ABS($R821/100-Settings!$C$7),1,0),IF(OR($R821=TRUE(),$R821="TRUE"),1,0)))</f>
        <v/>
      </c>
      <c r="W821">
        <f>IF($T821=1,IFERROR(IF(VALUE($A821)&lt;100000000,VALUE($A821),1000000000),IFERROR(IF(VALUE(MID($A821,2,20))&lt;100000000,VALUE(MID($A821,2,20)),1000000000),1000000000))+ROW()/100000,"")</f>
        <v/>
      </c>
    </row>
    <row r="822">
      <c r="F822" s="7">
        <f>IF($A822="","",E822*K822/100)</f>
        <v/>
      </c>
      <c r="J822" s="7" t="n"/>
      <c r="K822" s="7" t="n"/>
      <c r="L822" s="7">
        <f>IF($A822="","",S822*K822)</f>
        <v/>
      </c>
      <c r="M822" s="7">
        <f>IF($A822="","",K822-L822)</f>
        <v/>
      </c>
      <c r="N822" s="7">
        <f>IF($A822="","",M822-F822)</f>
        <v/>
      </c>
      <c r="Q822" s="11" t="n"/>
      <c r="S822">
        <f>IF($A822="","",IF(AND(ISNUMBER($R822),NOT(ISLOGICAL($R822)),N($R822)&gt;1),$R822/100*1,IF($V822=1,Settings!$C$6,Settings!$C$7)*1))</f>
        <v/>
      </c>
      <c r="T822">
        <f>IF($A822="","",IF(COUNTIF($A$2:$A822,$A822)=1,1,0))</f>
        <v/>
      </c>
      <c r="U822">
        <f>IF($T822=1,SUMPRODUCT(--($W$2:$W$1001&lt;$W822))+1,"")</f>
        <v/>
      </c>
      <c r="V822">
        <f>IF($A822="","",IF(AND(ISNUMBER($R822),NOT(ISLOGICAL($R822)),N($R822)&gt;1),IF(ABS($R822/100-Settings!$C$6)&lt;=ABS($R822/100-Settings!$C$7),1,0),IF(OR($R822=TRUE(),$R822="TRUE"),1,0)))</f>
        <v/>
      </c>
      <c r="W822">
        <f>IF($T822=1,IFERROR(IF(VALUE($A822)&lt;100000000,VALUE($A822),1000000000),IFERROR(IF(VALUE(MID($A822,2,20))&lt;100000000,VALUE(MID($A822,2,20)),1000000000),1000000000))+ROW()/100000,"")</f>
        <v/>
      </c>
    </row>
    <row r="823">
      <c r="F823" s="7">
        <f>IF($A823="","",E823*K823/100)</f>
        <v/>
      </c>
      <c r="J823" s="7" t="n"/>
      <c r="K823" s="7" t="n"/>
      <c r="L823" s="7">
        <f>IF($A823="","",S823*K823)</f>
        <v/>
      </c>
      <c r="M823" s="7">
        <f>IF($A823="","",K823-L823)</f>
        <v/>
      </c>
      <c r="N823" s="7">
        <f>IF($A823="","",M823-F823)</f>
        <v/>
      </c>
      <c r="Q823" s="11" t="n"/>
      <c r="S823">
        <f>IF($A823="","",IF(AND(ISNUMBER($R823),NOT(ISLOGICAL($R823)),N($R823)&gt;1),$R823/100*1,IF($V823=1,Settings!$C$6,Settings!$C$7)*1))</f>
        <v/>
      </c>
      <c r="T823">
        <f>IF($A823="","",IF(COUNTIF($A$2:$A823,$A823)=1,1,0))</f>
        <v/>
      </c>
      <c r="U823">
        <f>IF($T823=1,SUMPRODUCT(--($W$2:$W$1001&lt;$W823))+1,"")</f>
        <v/>
      </c>
      <c r="V823">
        <f>IF($A823="","",IF(AND(ISNUMBER($R823),NOT(ISLOGICAL($R823)),N($R823)&gt;1),IF(ABS($R823/100-Settings!$C$6)&lt;=ABS($R823/100-Settings!$C$7),1,0),IF(OR($R823=TRUE(),$R823="TRUE"),1,0)))</f>
        <v/>
      </c>
      <c r="W823">
        <f>IF($T823=1,IFERROR(IF(VALUE($A823)&lt;100000000,VALUE($A823),1000000000),IFERROR(IF(VALUE(MID($A823,2,20))&lt;100000000,VALUE(MID($A823,2,20)),1000000000),1000000000))+ROW()/100000,"")</f>
        <v/>
      </c>
    </row>
    <row r="824">
      <c r="F824" s="7">
        <f>IF($A824="","",E824*K824/100)</f>
        <v/>
      </c>
      <c r="J824" s="7" t="n"/>
      <c r="K824" s="7" t="n"/>
      <c r="L824" s="7">
        <f>IF($A824="","",S824*K824)</f>
        <v/>
      </c>
      <c r="M824" s="7">
        <f>IF($A824="","",K824-L824)</f>
        <v/>
      </c>
      <c r="N824" s="7">
        <f>IF($A824="","",M824-F824)</f>
        <v/>
      </c>
      <c r="Q824" s="11" t="n"/>
      <c r="S824">
        <f>IF($A824="","",IF(AND(ISNUMBER($R824),NOT(ISLOGICAL($R824)),N($R824)&gt;1),$R824/100*1,IF($V824=1,Settings!$C$6,Settings!$C$7)*1))</f>
        <v/>
      </c>
      <c r="T824">
        <f>IF($A824="","",IF(COUNTIF($A$2:$A824,$A824)=1,1,0))</f>
        <v/>
      </c>
      <c r="U824">
        <f>IF($T824=1,SUMPRODUCT(--($W$2:$W$1001&lt;$W824))+1,"")</f>
        <v/>
      </c>
      <c r="V824">
        <f>IF($A824="","",IF(AND(ISNUMBER($R824),NOT(ISLOGICAL($R824)),N($R824)&gt;1),IF(ABS($R824/100-Settings!$C$6)&lt;=ABS($R824/100-Settings!$C$7),1,0),IF(OR($R824=TRUE(),$R824="TRUE"),1,0)))</f>
        <v/>
      </c>
      <c r="W824">
        <f>IF($T824=1,IFERROR(IF(VALUE($A824)&lt;100000000,VALUE($A824),1000000000),IFERROR(IF(VALUE(MID($A824,2,20))&lt;100000000,VALUE(MID($A824,2,20)),1000000000),1000000000))+ROW()/100000,"")</f>
        <v/>
      </c>
    </row>
    <row r="825">
      <c r="F825" s="7">
        <f>IF($A825="","",E825*K825/100)</f>
        <v/>
      </c>
      <c r="J825" s="7" t="n"/>
      <c r="K825" s="7" t="n"/>
      <c r="L825" s="7">
        <f>IF($A825="","",S825*K825)</f>
        <v/>
      </c>
      <c r="M825" s="7">
        <f>IF($A825="","",K825-L825)</f>
        <v/>
      </c>
      <c r="N825" s="7">
        <f>IF($A825="","",M825-F825)</f>
        <v/>
      </c>
      <c r="Q825" s="11" t="n"/>
      <c r="S825">
        <f>IF($A825="","",IF(AND(ISNUMBER($R825),NOT(ISLOGICAL($R825)),N($R825)&gt;1),$R825/100*1,IF($V825=1,Settings!$C$6,Settings!$C$7)*1))</f>
        <v/>
      </c>
      <c r="T825">
        <f>IF($A825="","",IF(COUNTIF($A$2:$A825,$A825)=1,1,0))</f>
        <v/>
      </c>
      <c r="U825">
        <f>IF($T825=1,SUMPRODUCT(--($W$2:$W$1001&lt;$W825))+1,"")</f>
        <v/>
      </c>
      <c r="V825">
        <f>IF($A825="","",IF(AND(ISNUMBER($R825),NOT(ISLOGICAL($R825)),N($R825)&gt;1),IF(ABS($R825/100-Settings!$C$6)&lt;=ABS($R825/100-Settings!$C$7),1,0),IF(OR($R825=TRUE(),$R825="TRUE"),1,0)))</f>
        <v/>
      </c>
      <c r="W825">
        <f>IF($T825=1,IFERROR(IF(VALUE($A825)&lt;100000000,VALUE($A825),1000000000),IFERROR(IF(VALUE(MID($A825,2,20))&lt;100000000,VALUE(MID($A825,2,20)),1000000000),1000000000))+ROW()/100000,"")</f>
        <v/>
      </c>
    </row>
    <row r="826">
      <c r="F826" s="7">
        <f>IF($A826="","",E826*K826/100)</f>
        <v/>
      </c>
      <c r="J826" s="7" t="n"/>
      <c r="K826" s="7" t="n"/>
      <c r="L826" s="7">
        <f>IF($A826="","",S826*K826)</f>
        <v/>
      </c>
      <c r="M826" s="7">
        <f>IF($A826="","",K826-L826)</f>
        <v/>
      </c>
      <c r="N826" s="7">
        <f>IF($A826="","",M826-F826)</f>
        <v/>
      </c>
      <c r="Q826" s="11" t="n"/>
      <c r="S826">
        <f>IF($A826="","",IF(AND(ISNUMBER($R826),NOT(ISLOGICAL($R826)),N($R826)&gt;1),$R826/100*1,IF($V826=1,Settings!$C$6,Settings!$C$7)*1))</f>
        <v/>
      </c>
      <c r="T826">
        <f>IF($A826="","",IF(COUNTIF($A$2:$A826,$A826)=1,1,0))</f>
        <v/>
      </c>
      <c r="U826">
        <f>IF($T826=1,SUMPRODUCT(--($W$2:$W$1001&lt;$W826))+1,"")</f>
        <v/>
      </c>
      <c r="V826">
        <f>IF($A826="","",IF(AND(ISNUMBER($R826),NOT(ISLOGICAL($R826)),N($R826)&gt;1),IF(ABS($R826/100-Settings!$C$6)&lt;=ABS($R826/100-Settings!$C$7),1,0),IF(OR($R826=TRUE(),$R826="TRUE"),1,0)))</f>
        <v/>
      </c>
      <c r="W826">
        <f>IF($T826=1,IFERROR(IF(VALUE($A826)&lt;100000000,VALUE($A826),1000000000),IFERROR(IF(VALUE(MID($A826,2,20))&lt;100000000,VALUE(MID($A826,2,20)),1000000000),1000000000))+ROW()/100000,"")</f>
        <v/>
      </c>
    </row>
    <row r="827">
      <c r="F827" s="7">
        <f>IF($A827="","",E827*K827/100)</f>
        <v/>
      </c>
      <c r="J827" s="7" t="n"/>
      <c r="K827" s="7" t="n"/>
      <c r="L827" s="7">
        <f>IF($A827="","",S827*K827)</f>
        <v/>
      </c>
      <c r="M827" s="7">
        <f>IF($A827="","",K827-L827)</f>
        <v/>
      </c>
      <c r="N827" s="7">
        <f>IF($A827="","",M827-F827)</f>
        <v/>
      </c>
      <c r="Q827" s="11" t="n"/>
      <c r="S827">
        <f>IF($A827="","",IF(AND(ISNUMBER($R827),NOT(ISLOGICAL($R827)),N($R827)&gt;1),$R827/100*1,IF($V827=1,Settings!$C$6,Settings!$C$7)*1))</f>
        <v/>
      </c>
      <c r="T827">
        <f>IF($A827="","",IF(COUNTIF($A$2:$A827,$A827)=1,1,0))</f>
        <v/>
      </c>
      <c r="U827">
        <f>IF($T827=1,SUMPRODUCT(--($W$2:$W$1001&lt;$W827))+1,"")</f>
        <v/>
      </c>
      <c r="V827">
        <f>IF($A827="","",IF(AND(ISNUMBER($R827),NOT(ISLOGICAL($R827)),N($R827)&gt;1),IF(ABS($R827/100-Settings!$C$6)&lt;=ABS($R827/100-Settings!$C$7),1,0),IF(OR($R827=TRUE(),$R827="TRUE"),1,0)))</f>
        <v/>
      </c>
      <c r="W827">
        <f>IF($T827=1,IFERROR(IF(VALUE($A827)&lt;100000000,VALUE($A827),1000000000),IFERROR(IF(VALUE(MID($A827,2,20))&lt;100000000,VALUE(MID($A827,2,20)),1000000000),1000000000))+ROW()/100000,"")</f>
        <v/>
      </c>
    </row>
    <row r="828">
      <c r="F828" s="7">
        <f>IF($A828="","",E828*K828/100)</f>
        <v/>
      </c>
      <c r="J828" s="7" t="n"/>
      <c r="K828" s="7" t="n"/>
      <c r="L828" s="7">
        <f>IF($A828="","",S828*K828)</f>
        <v/>
      </c>
      <c r="M828" s="7">
        <f>IF($A828="","",K828-L828)</f>
        <v/>
      </c>
      <c r="N828" s="7">
        <f>IF($A828="","",M828-F828)</f>
        <v/>
      </c>
      <c r="Q828" s="11" t="n"/>
      <c r="S828">
        <f>IF($A828="","",IF(AND(ISNUMBER($R828),NOT(ISLOGICAL($R828)),N($R828)&gt;1),$R828/100*1,IF($V828=1,Settings!$C$6,Settings!$C$7)*1))</f>
        <v/>
      </c>
      <c r="T828">
        <f>IF($A828="","",IF(COUNTIF($A$2:$A828,$A828)=1,1,0))</f>
        <v/>
      </c>
      <c r="U828">
        <f>IF($T828=1,SUMPRODUCT(--($W$2:$W$1001&lt;$W828))+1,"")</f>
        <v/>
      </c>
      <c r="V828">
        <f>IF($A828="","",IF(AND(ISNUMBER($R828),NOT(ISLOGICAL($R828)),N($R828)&gt;1),IF(ABS($R828/100-Settings!$C$6)&lt;=ABS($R828/100-Settings!$C$7),1,0),IF(OR($R828=TRUE(),$R828="TRUE"),1,0)))</f>
        <v/>
      </c>
      <c r="W828">
        <f>IF($T828=1,IFERROR(IF(VALUE($A828)&lt;100000000,VALUE($A828),1000000000),IFERROR(IF(VALUE(MID($A828,2,20))&lt;100000000,VALUE(MID($A828,2,20)),1000000000),1000000000))+ROW()/100000,"")</f>
        <v/>
      </c>
    </row>
    <row r="829">
      <c r="F829" s="7">
        <f>IF($A829="","",E829*K829/100)</f>
        <v/>
      </c>
      <c r="J829" s="7" t="n"/>
      <c r="K829" s="7" t="n"/>
      <c r="L829" s="7">
        <f>IF($A829="","",S829*K829)</f>
        <v/>
      </c>
      <c r="M829" s="7">
        <f>IF($A829="","",K829-L829)</f>
        <v/>
      </c>
      <c r="N829" s="7">
        <f>IF($A829="","",M829-F829)</f>
        <v/>
      </c>
      <c r="Q829" s="11" t="n"/>
      <c r="S829">
        <f>IF($A829="","",IF(AND(ISNUMBER($R829),NOT(ISLOGICAL($R829)),N($R829)&gt;1),$R829/100*1,IF($V829=1,Settings!$C$6,Settings!$C$7)*1))</f>
        <v/>
      </c>
      <c r="T829">
        <f>IF($A829="","",IF(COUNTIF($A$2:$A829,$A829)=1,1,0))</f>
        <v/>
      </c>
      <c r="U829">
        <f>IF($T829=1,SUMPRODUCT(--($W$2:$W$1001&lt;$W829))+1,"")</f>
        <v/>
      </c>
      <c r="V829">
        <f>IF($A829="","",IF(AND(ISNUMBER($R829),NOT(ISLOGICAL($R829)),N($R829)&gt;1),IF(ABS($R829/100-Settings!$C$6)&lt;=ABS($R829/100-Settings!$C$7),1,0),IF(OR($R829=TRUE(),$R829="TRUE"),1,0)))</f>
        <v/>
      </c>
      <c r="W829">
        <f>IF($T829=1,IFERROR(IF(VALUE($A829)&lt;100000000,VALUE($A829),1000000000),IFERROR(IF(VALUE(MID($A829,2,20))&lt;100000000,VALUE(MID($A829,2,20)),1000000000),1000000000))+ROW()/100000,"")</f>
        <v/>
      </c>
    </row>
    <row r="830">
      <c r="F830" s="7">
        <f>IF($A830="","",E830*K830/100)</f>
        <v/>
      </c>
      <c r="J830" s="7" t="n"/>
      <c r="K830" s="7" t="n"/>
      <c r="L830" s="7">
        <f>IF($A830="","",S830*K830)</f>
        <v/>
      </c>
      <c r="M830" s="7">
        <f>IF($A830="","",K830-L830)</f>
        <v/>
      </c>
      <c r="N830" s="7">
        <f>IF($A830="","",M830-F830)</f>
        <v/>
      </c>
      <c r="Q830" s="11" t="n"/>
      <c r="S830">
        <f>IF($A830="","",IF(AND(ISNUMBER($R830),NOT(ISLOGICAL($R830)),N($R830)&gt;1),$R830/100*1,IF($V830=1,Settings!$C$6,Settings!$C$7)*1))</f>
        <v/>
      </c>
      <c r="T830">
        <f>IF($A830="","",IF(COUNTIF($A$2:$A830,$A830)=1,1,0))</f>
        <v/>
      </c>
      <c r="U830">
        <f>IF($T830=1,SUMPRODUCT(--($W$2:$W$1001&lt;$W830))+1,"")</f>
        <v/>
      </c>
      <c r="V830">
        <f>IF($A830="","",IF(AND(ISNUMBER($R830),NOT(ISLOGICAL($R830)),N($R830)&gt;1),IF(ABS($R830/100-Settings!$C$6)&lt;=ABS($R830/100-Settings!$C$7),1,0),IF(OR($R830=TRUE(),$R830="TRUE"),1,0)))</f>
        <v/>
      </c>
      <c r="W830">
        <f>IF($T830=1,IFERROR(IF(VALUE($A830)&lt;100000000,VALUE($A830),1000000000),IFERROR(IF(VALUE(MID($A830,2,20))&lt;100000000,VALUE(MID($A830,2,20)),1000000000),1000000000))+ROW()/100000,"")</f>
        <v/>
      </c>
    </row>
    <row r="831">
      <c r="F831" s="7">
        <f>IF($A831="","",E831*K831/100)</f>
        <v/>
      </c>
      <c r="J831" s="7" t="n"/>
      <c r="K831" s="7" t="n"/>
      <c r="L831" s="7">
        <f>IF($A831="","",S831*K831)</f>
        <v/>
      </c>
      <c r="M831" s="7">
        <f>IF($A831="","",K831-L831)</f>
        <v/>
      </c>
      <c r="N831" s="7">
        <f>IF($A831="","",M831-F831)</f>
        <v/>
      </c>
      <c r="Q831" s="11" t="n"/>
      <c r="S831">
        <f>IF($A831="","",IF(AND(ISNUMBER($R831),NOT(ISLOGICAL($R831)),N($R831)&gt;1),$R831/100*1,IF($V831=1,Settings!$C$6,Settings!$C$7)*1))</f>
        <v/>
      </c>
      <c r="T831">
        <f>IF($A831="","",IF(COUNTIF($A$2:$A831,$A831)=1,1,0))</f>
        <v/>
      </c>
      <c r="U831">
        <f>IF($T831=1,SUMPRODUCT(--($W$2:$W$1001&lt;$W831))+1,"")</f>
        <v/>
      </c>
      <c r="V831">
        <f>IF($A831="","",IF(AND(ISNUMBER($R831),NOT(ISLOGICAL($R831)),N($R831)&gt;1),IF(ABS($R831/100-Settings!$C$6)&lt;=ABS($R831/100-Settings!$C$7),1,0),IF(OR($R831=TRUE(),$R831="TRUE"),1,0)))</f>
        <v/>
      </c>
      <c r="W831">
        <f>IF($T831=1,IFERROR(IF(VALUE($A831)&lt;100000000,VALUE($A831),1000000000),IFERROR(IF(VALUE(MID($A831,2,20))&lt;100000000,VALUE(MID($A831,2,20)),1000000000),1000000000))+ROW()/100000,"")</f>
        <v/>
      </c>
    </row>
    <row r="832">
      <c r="F832" s="7">
        <f>IF($A832="","",E832*K832/100)</f>
        <v/>
      </c>
      <c r="J832" s="7" t="n"/>
      <c r="K832" s="7" t="n"/>
      <c r="L832" s="7">
        <f>IF($A832="","",S832*K832)</f>
        <v/>
      </c>
      <c r="M832" s="7">
        <f>IF($A832="","",K832-L832)</f>
        <v/>
      </c>
      <c r="N832" s="7">
        <f>IF($A832="","",M832-F832)</f>
        <v/>
      </c>
      <c r="Q832" s="11" t="n"/>
      <c r="S832">
        <f>IF($A832="","",IF(AND(ISNUMBER($R832),NOT(ISLOGICAL($R832)),N($R832)&gt;1),$R832/100*1,IF($V832=1,Settings!$C$6,Settings!$C$7)*1))</f>
        <v/>
      </c>
      <c r="T832">
        <f>IF($A832="","",IF(COUNTIF($A$2:$A832,$A832)=1,1,0))</f>
        <v/>
      </c>
      <c r="U832">
        <f>IF($T832=1,SUMPRODUCT(--($W$2:$W$1001&lt;$W832))+1,"")</f>
        <v/>
      </c>
      <c r="V832">
        <f>IF($A832="","",IF(AND(ISNUMBER($R832),NOT(ISLOGICAL($R832)),N($R832)&gt;1),IF(ABS($R832/100-Settings!$C$6)&lt;=ABS($R832/100-Settings!$C$7),1,0),IF(OR($R832=TRUE(),$R832="TRUE"),1,0)))</f>
        <v/>
      </c>
      <c r="W832">
        <f>IF($T832=1,IFERROR(IF(VALUE($A832)&lt;100000000,VALUE($A832),1000000000),IFERROR(IF(VALUE(MID($A832,2,20))&lt;100000000,VALUE(MID($A832,2,20)),1000000000),1000000000))+ROW()/100000,"")</f>
        <v/>
      </c>
    </row>
    <row r="833">
      <c r="F833" s="7">
        <f>IF($A833="","",E833*K833/100)</f>
        <v/>
      </c>
      <c r="J833" s="7" t="n"/>
      <c r="K833" s="7" t="n"/>
      <c r="L833" s="7">
        <f>IF($A833="","",S833*K833)</f>
        <v/>
      </c>
      <c r="M833" s="7">
        <f>IF($A833="","",K833-L833)</f>
        <v/>
      </c>
      <c r="N833" s="7">
        <f>IF($A833="","",M833-F833)</f>
        <v/>
      </c>
      <c r="Q833" s="11" t="n"/>
      <c r="S833">
        <f>IF($A833="","",IF(AND(ISNUMBER($R833),NOT(ISLOGICAL($R833)),N($R833)&gt;1),$R833/100*1,IF($V833=1,Settings!$C$6,Settings!$C$7)*1))</f>
        <v/>
      </c>
      <c r="T833">
        <f>IF($A833="","",IF(COUNTIF($A$2:$A833,$A833)=1,1,0))</f>
        <v/>
      </c>
      <c r="U833">
        <f>IF($T833=1,SUMPRODUCT(--($W$2:$W$1001&lt;$W833))+1,"")</f>
        <v/>
      </c>
      <c r="V833">
        <f>IF($A833="","",IF(AND(ISNUMBER($R833),NOT(ISLOGICAL($R833)),N($R833)&gt;1),IF(ABS($R833/100-Settings!$C$6)&lt;=ABS($R833/100-Settings!$C$7),1,0),IF(OR($R833=TRUE(),$R833="TRUE"),1,0)))</f>
        <v/>
      </c>
      <c r="W833">
        <f>IF($T833=1,IFERROR(IF(VALUE($A833)&lt;100000000,VALUE($A833),1000000000),IFERROR(IF(VALUE(MID($A833,2,20))&lt;100000000,VALUE(MID($A833,2,20)),1000000000),1000000000))+ROW()/100000,"")</f>
        <v/>
      </c>
    </row>
    <row r="834">
      <c r="F834" s="7">
        <f>IF($A834="","",E834*K834/100)</f>
        <v/>
      </c>
      <c r="J834" s="7" t="n"/>
      <c r="K834" s="7" t="n"/>
      <c r="L834" s="7">
        <f>IF($A834="","",S834*K834)</f>
        <v/>
      </c>
      <c r="M834" s="7">
        <f>IF($A834="","",K834-L834)</f>
        <v/>
      </c>
      <c r="N834" s="7">
        <f>IF($A834="","",M834-F834)</f>
        <v/>
      </c>
      <c r="Q834" s="11" t="n"/>
      <c r="S834">
        <f>IF($A834="","",IF(AND(ISNUMBER($R834),NOT(ISLOGICAL($R834)),N($R834)&gt;1),$R834/100*1,IF($V834=1,Settings!$C$6,Settings!$C$7)*1))</f>
        <v/>
      </c>
      <c r="T834">
        <f>IF($A834="","",IF(COUNTIF($A$2:$A834,$A834)=1,1,0))</f>
        <v/>
      </c>
      <c r="U834">
        <f>IF($T834=1,SUMPRODUCT(--($W$2:$W$1001&lt;$W834))+1,"")</f>
        <v/>
      </c>
      <c r="V834">
        <f>IF($A834="","",IF(AND(ISNUMBER($R834),NOT(ISLOGICAL($R834)),N($R834)&gt;1),IF(ABS($R834/100-Settings!$C$6)&lt;=ABS($R834/100-Settings!$C$7),1,0),IF(OR($R834=TRUE(),$R834="TRUE"),1,0)))</f>
        <v/>
      </c>
      <c r="W834">
        <f>IF($T834=1,IFERROR(IF(VALUE($A834)&lt;100000000,VALUE($A834),1000000000),IFERROR(IF(VALUE(MID($A834,2,20))&lt;100000000,VALUE(MID($A834,2,20)),1000000000),1000000000))+ROW()/100000,"")</f>
        <v/>
      </c>
    </row>
    <row r="835">
      <c r="F835" s="7">
        <f>IF($A835="","",E835*K835/100)</f>
        <v/>
      </c>
      <c r="J835" s="7" t="n"/>
      <c r="K835" s="7" t="n"/>
      <c r="L835" s="7">
        <f>IF($A835="","",S835*K835)</f>
        <v/>
      </c>
      <c r="M835" s="7">
        <f>IF($A835="","",K835-L835)</f>
        <v/>
      </c>
      <c r="N835" s="7">
        <f>IF($A835="","",M835-F835)</f>
        <v/>
      </c>
      <c r="Q835" s="11" t="n"/>
      <c r="S835">
        <f>IF($A835="","",IF(AND(ISNUMBER($R835),NOT(ISLOGICAL($R835)),N($R835)&gt;1),$R835/100*1,IF($V835=1,Settings!$C$6,Settings!$C$7)*1))</f>
        <v/>
      </c>
      <c r="T835">
        <f>IF($A835="","",IF(COUNTIF($A$2:$A835,$A835)=1,1,0))</f>
        <v/>
      </c>
      <c r="U835">
        <f>IF($T835=1,SUMPRODUCT(--($W$2:$W$1001&lt;$W835))+1,"")</f>
        <v/>
      </c>
      <c r="V835">
        <f>IF($A835="","",IF(AND(ISNUMBER($R835),NOT(ISLOGICAL($R835)),N($R835)&gt;1),IF(ABS($R835/100-Settings!$C$6)&lt;=ABS($R835/100-Settings!$C$7),1,0),IF(OR($R835=TRUE(),$R835="TRUE"),1,0)))</f>
        <v/>
      </c>
      <c r="W835">
        <f>IF($T835=1,IFERROR(IF(VALUE($A835)&lt;100000000,VALUE($A835),1000000000),IFERROR(IF(VALUE(MID($A835,2,20))&lt;100000000,VALUE(MID($A835,2,20)),1000000000),1000000000))+ROW()/100000,"")</f>
        <v/>
      </c>
    </row>
    <row r="836">
      <c r="F836" s="7">
        <f>IF($A836="","",E836*K836/100)</f>
        <v/>
      </c>
      <c r="J836" s="7" t="n"/>
      <c r="K836" s="7" t="n"/>
      <c r="L836" s="7">
        <f>IF($A836="","",S836*K836)</f>
        <v/>
      </c>
      <c r="M836" s="7">
        <f>IF($A836="","",K836-L836)</f>
        <v/>
      </c>
      <c r="N836" s="7">
        <f>IF($A836="","",M836-F836)</f>
        <v/>
      </c>
      <c r="Q836" s="11" t="n"/>
      <c r="S836">
        <f>IF($A836="","",IF(AND(ISNUMBER($R836),NOT(ISLOGICAL($R836)),N($R836)&gt;1),$R836/100*1,IF($V836=1,Settings!$C$6,Settings!$C$7)*1))</f>
        <v/>
      </c>
      <c r="T836">
        <f>IF($A836="","",IF(COUNTIF($A$2:$A836,$A836)=1,1,0))</f>
        <v/>
      </c>
      <c r="U836">
        <f>IF($T836=1,SUMPRODUCT(--($W$2:$W$1001&lt;$W836))+1,"")</f>
        <v/>
      </c>
      <c r="V836">
        <f>IF($A836="","",IF(AND(ISNUMBER($R836),NOT(ISLOGICAL($R836)),N($R836)&gt;1),IF(ABS($R836/100-Settings!$C$6)&lt;=ABS($R836/100-Settings!$C$7),1,0),IF(OR($R836=TRUE(),$R836="TRUE"),1,0)))</f>
        <v/>
      </c>
      <c r="W836">
        <f>IF($T836=1,IFERROR(IF(VALUE($A836)&lt;100000000,VALUE($A836),1000000000),IFERROR(IF(VALUE(MID($A836,2,20))&lt;100000000,VALUE(MID($A836,2,20)),1000000000),1000000000))+ROW()/100000,"")</f>
        <v/>
      </c>
    </row>
    <row r="837">
      <c r="F837" s="7">
        <f>IF($A837="","",E837*K837/100)</f>
        <v/>
      </c>
      <c r="J837" s="7" t="n"/>
      <c r="K837" s="7" t="n"/>
      <c r="L837" s="7">
        <f>IF($A837="","",S837*K837)</f>
        <v/>
      </c>
      <c r="M837" s="7">
        <f>IF($A837="","",K837-L837)</f>
        <v/>
      </c>
      <c r="N837" s="7">
        <f>IF($A837="","",M837-F837)</f>
        <v/>
      </c>
      <c r="Q837" s="11" t="n"/>
      <c r="S837">
        <f>IF($A837="","",IF(AND(ISNUMBER($R837),NOT(ISLOGICAL($R837)),N($R837)&gt;1),$R837/100*1,IF($V837=1,Settings!$C$6,Settings!$C$7)*1))</f>
        <v/>
      </c>
      <c r="T837">
        <f>IF($A837="","",IF(COUNTIF($A$2:$A837,$A837)=1,1,0))</f>
        <v/>
      </c>
      <c r="U837">
        <f>IF($T837=1,SUMPRODUCT(--($W$2:$W$1001&lt;$W837))+1,"")</f>
        <v/>
      </c>
      <c r="V837">
        <f>IF($A837="","",IF(AND(ISNUMBER($R837),NOT(ISLOGICAL($R837)),N($R837)&gt;1),IF(ABS($R837/100-Settings!$C$6)&lt;=ABS($R837/100-Settings!$C$7),1,0),IF(OR($R837=TRUE(),$R837="TRUE"),1,0)))</f>
        <v/>
      </c>
      <c r="W837">
        <f>IF($T837=1,IFERROR(IF(VALUE($A837)&lt;100000000,VALUE($A837),1000000000),IFERROR(IF(VALUE(MID($A837,2,20))&lt;100000000,VALUE(MID($A837,2,20)),1000000000),1000000000))+ROW()/100000,"")</f>
        <v/>
      </c>
    </row>
    <row r="838">
      <c r="F838" s="7">
        <f>IF($A838="","",E838*K838/100)</f>
        <v/>
      </c>
      <c r="J838" s="7" t="n"/>
      <c r="K838" s="7" t="n"/>
      <c r="L838" s="7">
        <f>IF($A838="","",S838*K838)</f>
        <v/>
      </c>
      <c r="M838" s="7">
        <f>IF($A838="","",K838-L838)</f>
        <v/>
      </c>
      <c r="N838" s="7">
        <f>IF($A838="","",M838-F838)</f>
        <v/>
      </c>
      <c r="Q838" s="11" t="n"/>
      <c r="S838">
        <f>IF($A838="","",IF(AND(ISNUMBER($R838),NOT(ISLOGICAL($R838)),N($R838)&gt;1),$R838/100*1,IF($V838=1,Settings!$C$6,Settings!$C$7)*1))</f>
        <v/>
      </c>
      <c r="T838">
        <f>IF($A838="","",IF(COUNTIF($A$2:$A838,$A838)=1,1,0))</f>
        <v/>
      </c>
      <c r="U838">
        <f>IF($T838=1,SUMPRODUCT(--($W$2:$W$1001&lt;$W838))+1,"")</f>
        <v/>
      </c>
      <c r="V838">
        <f>IF($A838="","",IF(AND(ISNUMBER($R838),NOT(ISLOGICAL($R838)),N($R838)&gt;1),IF(ABS($R838/100-Settings!$C$6)&lt;=ABS($R838/100-Settings!$C$7),1,0),IF(OR($R838=TRUE(),$R838="TRUE"),1,0)))</f>
        <v/>
      </c>
      <c r="W838">
        <f>IF($T838=1,IFERROR(IF(VALUE($A838)&lt;100000000,VALUE($A838),1000000000),IFERROR(IF(VALUE(MID($A838,2,20))&lt;100000000,VALUE(MID($A838,2,20)),1000000000),1000000000))+ROW()/100000,"")</f>
        <v/>
      </c>
    </row>
    <row r="839">
      <c r="F839" s="7">
        <f>IF($A839="","",E839*K839/100)</f>
        <v/>
      </c>
      <c r="J839" s="7" t="n"/>
      <c r="K839" s="7" t="n"/>
      <c r="L839" s="7">
        <f>IF($A839="","",S839*K839)</f>
        <v/>
      </c>
      <c r="M839" s="7">
        <f>IF($A839="","",K839-L839)</f>
        <v/>
      </c>
      <c r="N839" s="7">
        <f>IF($A839="","",M839-F839)</f>
        <v/>
      </c>
      <c r="Q839" s="11" t="n"/>
      <c r="S839">
        <f>IF($A839="","",IF(AND(ISNUMBER($R839),NOT(ISLOGICAL($R839)),N($R839)&gt;1),$R839/100*1,IF($V839=1,Settings!$C$6,Settings!$C$7)*1))</f>
        <v/>
      </c>
      <c r="T839">
        <f>IF($A839="","",IF(COUNTIF($A$2:$A839,$A839)=1,1,0))</f>
        <v/>
      </c>
      <c r="U839">
        <f>IF($T839=1,SUMPRODUCT(--($W$2:$W$1001&lt;$W839))+1,"")</f>
        <v/>
      </c>
      <c r="V839">
        <f>IF($A839="","",IF(AND(ISNUMBER($R839),NOT(ISLOGICAL($R839)),N($R839)&gt;1),IF(ABS($R839/100-Settings!$C$6)&lt;=ABS($R839/100-Settings!$C$7),1,0),IF(OR($R839=TRUE(),$R839="TRUE"),1,0)))</f>
        <v/>
      </c>
      <c r="W839">
        <f>IF($T839=1,IFERROR(IF(VALUE($A839)&lt;100000000,VALUE($A839),1000000000),IFERROR(IF(VALUE(MID($A839,2,20))&lt;100000000,VALUE(MID($A839,2,20)),1000000000),1000000000))+ROW()/100000,"")</f>
        <v/>
      </c>
    </row>
    <row r="840">
      <c r="F840" s="7">
        <f>IF($A840="","",E840*K840/100)</f>
        <v/>
      </c>
      <c r="J840" s="7" t="n"/>
      <c r="K840" s="7" t="n"/>
      <c r="L840" s="7">
        <f>IF($A840="","",S840*K840)</f>
        <v/>
      </c>
      <c r="M840" s="7">
        <f>IF($A840="","",K840-L840)</f>
        <v/>
      </c>
      <c r="N840" s="7">
        <f>IF($A840="","",M840-F840)</f>
        <v/>
      </c>
      <c r="Q840" s="11" t="n"/>
      <c r="S840">
        <f>IF($A840="","",IF(AND(ISNUMBER($R840),NOT(ISLOGICAL($R840)),N($R840)&gt;1),$R840/100*1,IF($V840=1,Settings!$C$6,Settings!$C$7)*1))</f>
        <v/>
      </c>
      <c r="T840">
        <f>IF($A840="","",IF(COUNTIF($A$2:$A840,$A840)=1,1,0))</f>
        <v/>
      </c>
      <c r="U840">
        <f>IF($T840=1,SUMPRODUCT(--($W$2:$W$1001&lt;$W840))+1,"")</f>
        <v/>
      </c>
      <c r="V840">
        <f>IF($A840="","",IF(AND(ISNUMBER($R840),NOT(ISLOGICAL($R840)),N($R840)&gt;1),IF(ABS($R840/100-Settings!$C$6)&lt;=ABS($R840/100-Settings!$C$7),1,0),IF(OR($R840=TRUE(),$R840="TRUE"),1,0)))</f>
        <v/>
      </c>
      <c r="W840">
        <f>IF($T840=1,IFERROR(IF(VALUE($A840)&lt;100000000,VALUE($A840),1000000000),IFERROR(IF(VALUE(MID($A840,2,20))&lt;100000000,VALUE(MID($A840,2,20)),1000000000),1000000000))+ROW()/100000,"")</f>
        <v/>
      </c>
    </row>
    <row r="841">
      <c r="F841" s="7">
        <f>IF($A841="","",E841*K841/100)</f>
        <v/>
      </c>
      <c r="J841" s="7" t="n"/>
      <c r="K841" s="7" t="n"/>
      <c r="L841" s="7">
        <f>IF($A841="","",S841*K841)</f>
        <v/>
      </c>
      <c r="M841" s="7">
        <f>IF($A841="","",K841-L841)</f>
        <v/>
      </c>
      <c r="N841" s="7">
        <f>IF($A841="","",M841-F841)</f>
        <v/>
      </c>
      <c r="Q841" s="11" t="n"/>
      <c r="S841">
        <f>IF($A841="","",IF(AND(ISNUMBER($R841),NOT(ISLOGICAL($R841)),N($R841)&gt;1),$R841/100*1,IF($V841=1,Settings!$C$6,Settings!$C$7)*1))</f>
        <v/>
      </c>
      <c r="T841">
        <f>IF($A841="","",IF(COUNTIF($A$2:$A841,$A841)=1,1,0))</f>
        <v/>
      </c>
      <c r="U841">
        <f>IF($T841=1,SUMPRODUCT(--($W$2:$W$1001&lt;$W841))+1,"")</f>
        <v/>
      </c>
      <c r="V841">
        <f>IF($A841="","",IF(AND(ISNUMBER($R841),NOT(ISLOGICAL($R841)),N($R841)&gt;1),IF(ABS($R841/100-Settings!$C$6)&lt;=ABS($R841/100-Settings!$C$7),1,0),IF(OR($R841=TRUE(),$R841="TRUE"),1,0)))</f>
        <v/>
      </c>
      <c r="W841">
        <f>IF($T841=1,IFERROR(IF(VALUE($A841)&lt;100000000,VALUE($A841),1000000000),IFERROR(IF(VALUE(MID($A841,2,20))&lt;100000000,VALUE(MID($A841,2,20)),1000000000),1000000000))+ROW()/100000,"")</f>
        <v/>
      </c>
    </row>
    <row r="842">
      <c r="F842" s="7">
        <f>IF($A842="","",E842*K842/100)</f>
        <v/>
      </c>
      <c r="J842" s="7" t="n"/>
      <c r="K842" s="7" t="n"/>
      <c r="L842" s="7">
        <f>IF($A842="","",S842*K842)</f>
        <v/>
      </c>
      <c r="M842" s="7">
        <f>IF($A842="","",K842-L842)</f>
        <v/>
      </c>
      <c r="N842" s="7">
        <f>IF($A842="","",M842-F842)</f>
        <v/>
      </c>
      <c r="Q842" s="11" t="n"/>
      <c r="S842">
        <f>IF($A842="","",IF(AND(ISNUMBER($R842),NOT(ISLOGICAL($R842)),N($R842)&gt;1),$R842/100*1,IF($V842=1,Settings!$C$6,Settings!$C$7)*1))</f>
        <v/>
      </c>
      <c r="T842">
        <f>IF($A842="","",IF(COUNTIF($A$2:$A842,$A842)=1,1,0))</f>
        <v/>
      </c>
      <c r="U842">
        <f>IF($T842=1,SUMPRODUCT(--($W$2:$W$1001&lt;$W842))+1,"")</f>
        <v/>
      </c>
      <c r="V842">
        <f>IF($A842="","",IF(AND(ISNUMBER($R842),NOT(ISLOGICAL($R842)),N($R842)&gt;1),IF(ABS($R842/100-Settings!$C$6)&lt;=ABS($R842/100-Settings!$C$7),1,0),IF(OR($R842=TRUE(),$R842="TRUE"),1,0)))</f>
        <v/>
      </c>
      <c r="W842">
        <f>IF($T842=1,IFERROR(IF(VALUE($A842)&lt;100000000,VALUE($A842),1000000000),IFERROR(IF(VALUE(MID($A842,2,20))&lt;100000000,VALUE(MID($A842,2,20)),1000000000),1000000000))+ROW()/100000,"")</f>
        <v/>
      </c>
    </row>
    <row r="843">
      <c r="F843" s="7">
        <f>IF($A843="","",E843*K843/100)</f>
        <v/>
      </c>
      <c r="J843" s="7" t="n"/>
      <c r="K843" s="7" t="n"/>
      <c r="L843" s="7">
        <f>IF($A843="","",S843*K843)</f>
        <v/>
      </c>
      <c r="M843" s="7">
        <f>IF($A843="","",K843-L843)</f>
        <v/>
      </c>
      <c r="N843" s="7">
        <f>IF($A843="","",M843-F843)</f>
        <v/>
      </c>
      <c r="Q843" s="11" t="n"/>
      <c r="S843">
        <f>IF($A843="","",IF(AND(ISNUMBER($R843),NOT(ISLOGICAL($R843)),N($R843)&gt;1),$R843/100*1,IF($V843=1,Settings!$C$6,Settings!$C$7)*1))</f>
        <v/>
      </c>
      <c r="T843">
        <f>IF($A843="","",IF(COUNTIF($A$2:$A843,$A843)=1,1,0))</f>
        <v/>
      </c>
      <c r="U843">
        <f>IF($T843=1,SUMPRODUCT(--($W$2:$W$1001&lt;$W843))+1,"")</f>
        <v/>
      </c>
      <c r="V843">
        <f>IF($A843="","",IF(AND(ISNUMBER($R843),NOT(ISLOGICAL($R843)),N($R843)&gt;1),IF(ABS($R843/100-Settings!$C$6)&lt;=ABS($R843/100-Settings!$C$7),1,0),IF(OR($R843=TRUE(),$R843="TRUE"),1,0)))</f>
        <v/>
      </c>
      <c r="W843">
        <f>IF($T843=1,IFERROR(IF(VALUE($A843)&lt;100000000,VALUE($A843),1000000000),IFERROR(IF(VALUE(MID($A843,2,20))&lt;100000000,VALUE(MID($A843,2,20)),1000000000),1000000000))+ROW()/100000,"")</f>
        <v/>
      </c>
    </row>
    <row r="844">
      <c r="F844" s="7">
        <f>IF($A844="","",E844*K844/100)</f>
        <v/>
      </c>
      <c r="J844" s="7" t="n"/>
      <c r="K844" s="7" t="n"/>
      <c r="L844" s="7">
        <f>IF($A844="","",S844*K844)</f>
        <v/>
      </c>
      <c r="M844" s="7">
        <f>IF($A844="","",K844-L844)</f>
        <v/>
      </c>
      <c r="N844" s="7">
        <f>IF($A844="","",M844-F844)</f>
        <v/>
      </c>
      <c r="Q844" s="11" t="n"/>
      <c r="S844">
        <f>IF($A844="","",IF(AND(ISNUMBER($R844),NOT(ISLOGICAL($R844)),N($R844)&gt;1),$R844/100*1,IF($V844=1,Settings!$C$6,Settings!$C$7)*1))</f>
        <v/>
      </c>
      <c r="T844">
        <f>IF($A844="","",IF(COUNTIF($A$2:$A844,$A844)=1,1,0))</f>
        <v/>
      </c>
      <c r="U844">
        <f>IF($T844=1,SUMPRODUCT(--($W$2:$W$1001&lt;$W844))+1,"")</f>
        <v/>
      </c>
      <c r="V844">
        <f>IF($A844="","",IF(AND(ISNUMBER($R844),NOT(ISLOGICAL($R844)),N($R844)&gt;1),IF(ABS($R844/100-Settings!$C$6)&lt;=ABS($R844/100-Settings!$C$7),1,0),IF(OR($R844=TRUE(),$R844="TRUE"),1,0)))</f>
        <v/>
      </c>
      <c r="W844">
        <f>IF($T844=1,IFERROR(IF(VALUE($A844)&lt;100000000,VALUE($A844),1000000000),IFERROR(IF(VALUE(MID($A844,2,20))&lt;100000000,VALUE(MID($A844,2,20)),1000000000),1000000000))+ROW()/100000,"")</f>
        <v/>
      </c>
    </row>
    <row r="845">
      <c r="F845" s="7">
        <f>IF($A845="","",E845*K845/100)</f>
        <v/>
      </c>
      <c r="J845" s="7" t="n"/>
      <c r="K845" s="7" t="n"/>
      <c r="L845" s="7">
        <f>IF($A845="","",S845*K845)</f>
        <v/>
      </c>
      <c r="M845" s="7">
        <f>IF($A845="","",K845-L845)</f>
        <v/>
      </c>
      <c r="N845" s="7">
        <f>IF($A845="","",M845-F845)</f>
        <v/>
      </c>
      <c r="Q845" s="11" t="n"/>
      <c r="S845">
        <f>IF($A845="","",IF(AND(ISNUMBER($R845),NOT(ISLOGICAL($R845)),N($R845)&gt;1),$R845/100*1,IF($V845=1,Settings!$C$6,Settings!$C$7)*1))</f>
        <v/>
      </c>
      <c r="T845">
        <f>IF($A845="","",IF(COUNTIF($A$2:$A845,$A845)=1,1,0))</f>
        <v/>
      </c>
      <c r="U845">
        <f>IF($T845=1,SUMPRODUCT(--($W$2:$W$1001&lt;$W845))+1,"")</f>
        <v/>
      </c>
      <c r="V845">
        <f>IF($A845="","",IF(AND(ISNUMBER($R845),NOT(ISLOGICAL($R845)),N($R845)&gt;1),IF(ABS($R845/100-Settings!$C$6)&lt;=ABS($R845/100-Settings!$C$7),1,0),IF(OR($R845=TRUE(),$R845="TRUE"),1,0)))</f>
        <v/>
      </c>
      <c r="W845">
        <f>IF($T845=1,IFERROR(IF(VALUE($A845)&lt;100000000,VALUE($A845),1000000000),IFERROR(IF(VALUE(MID($A845,2,20))&lt;100000000,VALUE(MID($A845,2,20)),1000000000),1000000000))+ROW()/100000,"")</f>
        <v/>
      </c>
    </row>
    <row r="846">
      <c r="F846" s="7">
        <f>IF($A846="","",E846*K846/100)</f>
        <v/>
      </c>
      <c r="J846" s="7" t="n"/>
      <c r="K846" s="7" t="n"/>
      <c r="L846" s="7">
        <f>IF($A846="","",S846*K846)</f>
        <v/>
      </c>
      <c r="M846" s="7">
        <f>IF($A846="","",K846-L846)</f>
        <v/>
      </c>
      <c r="N846" s="7">
        <f>IF($A846="","",M846-F846)</f>
        <v/>
      </c>
      <c r="Q846" s="11" t="n"/>
      <c r="S846">
        <f>IF($A846="","",IF(AND(ISNUMBER($R846),NOT(ISLOGICAL($R846)),N($R846)&gt;1),$R846/100*1,IF($V846=1,Settings!$C$6,Settings!$C$7)*1))</f>
        <v/>
      </c>
      <c r="T846">
        <f>IF($A846="","",IF(COUNTIF($A$2:$A846,$A846)=1,1,0))</f>
        <v/>
      </c>
      <c r="U846">
        <f>IF($T846=1,SUMPRODUCT(--($W$2:$W$1001&lt;$W846))+1,"")</f>
        <v/>
      </c>
      <c r="V846">
        <f>IF($A846="","",IF(AND(ISNUMBER($R846),NOT(ISLOGICAL($R846)),N($R846)&gt;1),IF(ABS($R846/100-Settings!$C$6)&lt;=ABS($R846/100-Settings!$C$7),1,0),IF(OR($R846=TRUE(),$R846="TRUE"),1,0)))</f>
        <v/>
      </c>
      <c r="W846">
        <f>IF($T846=1,IFERROR(IF(VALUE($A846)&lt;100000000,VALUE($A846),1000000000),IFERROR(IF(VALUE(MID($A846,2,20))&lt;100000000,VALUE(MID($A846,2,20)),1000000000),1000000000))+ROW()/100000,"")</f>
        <v/>
      </c>
    </row>
    <row r="847">
      <c r="F847" s="7">
        <f>IF($A847="","",E847*K847/100)</f>
        <v/>
      </c>
      <c r="J847" s="7" t="n"/>
      <c r="K847" s="7" t="n"/>
      <c r="L847" s="7">
        <f>IF($A847="","",S847*K847)</f>
        <v/>
      </c>
      <c r="M847" s="7">
        <f>IF($A847="","",K847-L847)</f>
        <v/>
      </c>
      <c r="N847" s="7">
        <f>IF($A847="","",M847-F847)</f>
        <v/>
      </c>
      <c r="Q847" s="11" t="n"/>
      <c r="S847">
        <f>IF($A847="","",IF(AND(ISNUMBER($R847),NOT(ISLOGICAL($R847)),N($R847)&gt;1),$R847/100*1,IF($V847=1,Settings!$C$6,Settings!$C$7)*1))</f>
        <v/>
      </c>
      <c r="T847">
        <f>IF($A847="","",IF(COUNTIF($A$2:$A847,$A847)=1,1,0))</f>
        <v/>
      </c>
      <c r="U847">
        <f>IF($T847=1,SUMPRODUCT(--($W$2:$W$1001&lt;$W847))+1,"")</f>
        <v/>
      </c>
      <c r="V847">
        <f>IF($A847="","",IF(AND(ISNUMBER($R847),NOT(ISLOGICAL($R847)),N($R847)&gt;1),IF(ABS($R847/100-Settings!$C$6)&lt;=ABS($R847/100-Settings!$C$7),1,0),IF(OR($R847=TRUE(),$R847="TRUE"),1,0)))</f>
        <v/>
      </c>
      <c r="W847">
        <f>IF($T847=1,IFERROR(IF(VALUE($A847)&lt;100000000,VALUE($A847),1000000000),IFERROR(IF(VALUE(MID($A847,2,20))&lt;100000000,VALUE(MID($A847,2,20)),1000000000),1000000000))+ROW()/100000,"")</f>
        <v/>
      </c>
    </row>
    <row r="848">
      <c r="F848" s="7">
        <f>IF($A848="","",E848*K848/100)</f>
        <v/>
      </c>
      <c r="J848" s="7" t="n"/>
      <c r="K848" s="7" t="n"/>
      <c r="L848" s="7">
        <f>IF($A848="","",S848*K848)</f>
        <v/>
      </c>
      <c r="M848" s="7">
        <f>IF($A848="","",K848-L848)</f>
        <v/>
      </c>
      <c r="N848" s="7">
        <f>IF($A848="","",M848-F848)</f>
        <v/>
      </c>
      <c r="Q848" s="11" t="n"/>
      <c r="S848">
        <f>IF($A848="","",IF(AND(ISNUMBER($R848),NOT(ISLOGICAL($R848)),N($R848)&gt;1),$R848/100*1,IF($V848=1,Settings!$C$6,Settings!$C$7)*1))</f>
        <v/>
      </c>
      <c r="T848">
        <f>IF($A848="","",IF(COUNTIF($A$2:$A848,$A848)=1,1,0))</f>
        <v/>
      </c>
      <c r="U848">
        <f>IF($T848=1,SUMPRODUCT(--($W$2:$W$1001&lt;$W848))+1,"")</f>
        <v/>
      </c>
      <c r="V848">
        <f>IF($A848="","",IF(AND(ISNUMBER($R848),NOT(ISLOGICAL($R848)),N($R848)&gt;1),IF(ABS($R848/100-Settings!$C$6)&lt;=ABS($R848/100-Settings!$C$7),1,0),IF(OR($R848=TRUE(),$R848="TRUE"),1,0)))</f>
        <v/>
      </c>
      <c r="W848">
        <f>IF($T848=1,IFERROR(IF(VALUE($A848)&lt;100000000,VALUE($A848),1000000000),IFERROR(IF(VALUE(MID($A848,2,20))&lt;100000000,VALUE(MID($A848,2,20)),1000000000),1000000000))+ROW()/100000,"")</f>
        <v/>
      </c>
    </row>
    <row r="849">
      <c r="F849" s="7">
        <f>IF($A849="","",E849*K849/100)</f>
        <v/>
      </c>
      <c r="J849" s="7" t="n"/>
      <c r="K849" s="7" t="n"/>
      <c r="L849" s="7">
        <f>IF($A849="","",S849*K849)</f>
        <v/>
      </c>
      <c r="M849" s="7">
        <f>IF($A849="","",K849-L849)</f>
        <v/>
      </c>
      <c r="N849" s="7">
        <f>IF($A849="","",M849-F849)</f>
        <v/>
      </c>
      <c r="Q849" s="11" t="n"/>
      <c r="S849">
        <f>IF($A849="","",IF(AND(ISNUMBER($R849),NOT(ISLOGICAL($R849)),N($R849)&gt;1),$R849/100*1,IF($V849=1,Settings!$C$6,Settings!$C$7)*1))</f>
        <v/>
      </c>
      <c r="T849">
        <f>IF($A849="","",IF(COUNTIF($A$2:$A849,$A849)=1,1,0))</f>
        <v/>
      </c>
      <c r="U849">
        <f>IF($T849=1,SUMPRODUCT(--($W$2:$W$1001&lt;$W849))+1,"")</f>
        <v/>
      </c>
      <c r="V849">
        <f>IF($A849="","",IF(AND(ISNUMBER($R849),NOT(ISLOGICAL($R849)),N($R849)&gt;1),IF(ABS($R849/100-Settings!$C$6)&lt;=ABS($R849/100-Settings!$C$7),1,0),IF(OR($R849=TRUE(),$R849="TRUE"),1,0)))</f>
        <v/>
      </c>
      <c r="W849">
        <f>IF($T849=1,IFERROR(IF(VALUE($A849)&lt;100000000,VALUE($A849),1000000000),IFERROR(IF(VALUE(MID($A849,2,20))&lt;100000000,VALUE(MID($A849,2,20)),1000000000),1000000000))+ROW()/100000,"")</f>
        <v/>
      </c>
    </row>
    <row r="850">
      <c r="F850" s="7">
        <f>IF($A850="","",E850*K850/100)</f>
        <v/>
      </c>
      <c r="J850" s="7" t="n"/>
      <c r="K850" s="7" t="n"/>
      <c r="L850" s="7">
        <f>IF($A850="","",S850*K850)</f>
        <v/>
      </c>
      <c r="M850" s="7">
        <f>IF($A850="","",K850-L850)</f>
        <v/>
      </c>
      <c r="N850" s="7">
        <f>IF($A850="","",M850-F850)</f>
        <v/>
      </c>
      <c r="Q850" s="11" t="n"/>
      <c r="S850">
        <f>IF($A850="","",IF(AND(ISNUMBER($R850),NOT(ISLOGICAL($R850)),N($R850)&gt;1),$R850/100*1,IF($V850=1,Settings!$C$6,Settings!$C$7)*1))</f>
        <v/>
      </c>
      <c r="T850">
        <f>IF($A850="","",IF(COUNTIF($A$2:$A850,$A850)=1,1,0))</f>
        <v/>
      </c>
      <c r="U850">
        <f>IF($T850=1,SUMPRODUCT(--($W$2:$W$1001&lt;$W850))+1,"")</f>
        <v/>
      </c>
      <c r="V850">
        <f>IF($A850="","",IF(AND(ISNUMBER($R850),NOT(ISLOGICAL($R850)),N($R850)&gt;1),IF(ABS($R850/100-Settings!$C$6)&lt;=ABS($R850/100-Settings!$C$7),1,0),IF(OR($R850=TRUE(),$R850="TRUE"),1,0)))</f>
        <v/>
      </c>
      <c r="W850">
        <f>IF($T850=1,IFERROR(IF(VALUE($A850)&lt;100000000,VALUE($A850),1000000000),IFERROR(IF(VALUE(MID($A850,2,20))&lt;100000000,VALUE(MID($A850,2,20)),1000000000),1000000000))+ROW()/100000,"")</f>
        <v/>
      </c>
    </row>
    <row r="851">
      <c r="F851" s="7">
        <f>IF($A851="","",E851*K851/100)</f>
        <v/>
      </c>
      <c r="J851" s="7" t="n"/>
      <c r="K851" s="7" t="n"/>
      <c r="L851" s="7">
        <f>IF($A851="","",S851*K851)</f>
        <v/>
      </c>
      <c r="M851" s="7">
        <f>IF($A851="","",K851-L851)</f>
        <v/>
      </c>
      <c r="N851" s="7">
        <f>IF($A851="","",M851-F851)</f>
        <v/>
      </c>
      <c r="Q851" s="11" t="n"/>
      <c r="S851">
        <f>IF($A851="","",IF(AND(ISNUMBER($R851),NOT(ISLOGICAL($R851)),N($R851)&gt;1),$R851/100*1,IF($V851=1,Settings!$C$6,Settings!$C$7)*1))</f>
        <v/>
      </c>
      <c r="T851">
        <f>IF($A851="","",IF(COUNTIF($A$2:$A851,$A851)=1,1,0))</f>
        <v/>
      </c>
      <c r="U851">
        <f>IF($T851=1,SUMPRODUCT(--($W$2:$W$1001&lt;$W851))+1,"")</f>
        <v/>
      </c>
      <c r="V851">
        <f>IF($A851="","",IF(AND(ISNUMBER($R851),NOT(ISLOGICAL($R851)),N($R851)&gt;1),IF(ABS($R851/100-Settings!$C$6)&lt;=ABS($R851/100-Settings!$C$7),1,0),IF(OR($R851=TRUE(),$R851="TRUE"),1,0)))</f>
        <v/>
      </c>
      <c r="W851">
        <f>IF($T851=1,IFERROR(IF(VALUE($A851)&lt;100000000,VALUE($A851),1000000000),IFERROR(IF(VALUE(MID($A851,2,20))&lt;100000000,VALUE(MID($A851,2,20)),1000000000),1000000000))+ROW()/100000,"")</f>
        <v/>
      </c>
    </row>
    <row r="852">
      <c r="F852" s="7">
        <f>IF($A852="","",E852*K852/100)</f>
        <v/>
      </c>
      <c r="J852" s="7" t="n"/>
      <c r="K852" s="7" t="n"/>
      <c r="L852" s="7">
        <f>IF($A852="","",S852*K852)</f>
        <v/>
      </c>
      <c r="M852" s="7">
        <f>IF($A852="","",K852-L852)</f>
        <v/>
      </c>
      <c r="N852" s="7">
        <f>IF($A852="","",M852-F852)</f>
        <v/>
      </c>
      <c r="Q852" s="11" t="n"/>
      <c r="S852">
        <f>IF($A852="","",IF(AND(ISNUMBER($R852),NOT(ISLOGICAL($R852)),N($R852)&gt;1),$R852/100*1,IF($V852=1,Settings!$C$6,Settings!$C$7)*1))</f>
        <v/>
      </c>
      <c r="T852">
        <f>IF($A852="","",IF(COUNTIF($A$2:$A852,$A852)=1,1,0))</f>
        <v/>
      </c>
      <c r="U852">
        <f>IF($T852=1,SUMPRODUCT(--($W$2:$W$1001&lt;$W852))+1,"")</f>
        <v/>
      </c>
      <c r="V852">
        <f>IF($A852="","",IF(AND(ISNUMBER($R852),NOT(ISLOGICAL($R852)),N($R852)&gt;1),IF(ABS($R852/100-Settings!$C$6)&lt;=ABS($R852/100-Settings!$C$7),1,0),IF(OR($R852=TRUE(),$R852="TRUE"),1,0)))</f>
        <v/>
      </c>
      <c r="W852">
        <f>IF($T852=1,IFERROR(IF(VALUE($A852)&lt;100000000,VALUE($A852),1000000000),IFERROR(IF(VALUE(MID($A852,2,20))&lt;100000000,VALUE(MID($A852,2,20)),1000000000),1000000000))+ROW()/100000,"")</f>
        <v/>
      </c>
    </row>
    <row r="853">
      <c r="F853" s="7">
        <f>IF($A853="","",E853*K853/100)</f>
        <v/>
      </c>
      <c r="J853" s="7" t="n"/>
      <c r="K853" s="7" t="n"/>
      <c r="L853" s="7">
        <f>IF($A853="","",S853*K853)</f>
        <v/>
      </c>
      <c r="M853" s="7">
        <f>IF($A853="","",K853-L853)</f>
        <v/>
      </c>
      <c r="N853" s="7">
        <f>IF($A853="","",M853-F853)</f>
        <v/>
      </c>
      <c r="Q853" s="11" t="n"/>
      <c r="S853">
        <f>IF($A853="","",IF(AND(ISNUMBER($R853),NOT(ISLOGICAL($R853)),N($R853)&gt;1),$R853/100*1,IF($V853=1,Settings!$C$6,Settings!$C$7)*1))</f>
        <v/>
      </c>
      <c r="T853">
        <f>IF($A853="","",IF(COUNTIF($A$2:$A853,$A853)=1,1,0))</f>
        <v/>
      </c>
      <c r="U853">
        <f>IF($T853=1,SUMPRODUCT(--($W$2:$W$1001&lt;$W853))+1,"")</f>
        <v/>
      </c>
      <c r="V853">
        <f>IF($A853="","",IF(AND(ISNUMBER($R853),NOT(ISLOGICAL($R853)),N($R853)&gt;1),IF(ABS($R853/100-Settings!$C$6)&lt;=ABS($R853/100-Settings!$C$7),1,0),IF(OR($R853=TRUE(),$R853="TRUE"),1,0)))</f>
        <v/>
      </c>
      <c r="W853">
        <f>IF($T853=1,IFERROR(IF(VALUE($A853)&lt;100000000,VALUE($A853),1000000000),IFERROR(IF(VALUE(MID($A853,2,20))&lt;100000000,VALUE(MID($A853,2,20)),1000000000),1000000000))+ROW()/100000,"")</f>
        <v/>
      </c>
    </row>
    <row r="854">
      <c r="F854" s="7">
        <f>IF($A854="","",E854*K854/100)</f>
        <v/>
      </c>
      <c r="J854" s="7" t="n"/>
      <c r="K854" s="7" t="n"/>
      <c r="L854" s="7">
        <f>IF($A854="","",S854*K854)</f>
        <v/>
      </c>
      <c r="M854" s="7">
        <f>IF($A854="","",K854-L854)</f>
        <v/>
      </c>
      <c r="N854" s="7">
        <f>IF($A854="","",M854-F854)</f>
        <v/>
      </c>
      <c r="Q854" s="11" t="n"/>
      <c r="S854">
        <f>IF($A854="","",IF(AND(ISNUMBER($R854),NOT(ISLOGICAL($R854)),N($R854)&gt;1),$R854/100*1,IF($V854=1,Settings!$C$6,Settings!$C$7)*1))</f>
        <v/>
      </c>
      <c r="T854">
        <f>IF($A854="","",IF(COUNTIF($A$2:$A854,$A854)=1,1,0))</f>
        <v/>
      </c>
      <c r="U854">
        <f>IF($T854=1,SUMPRODUCT(--($W$2:$W$1001&lt;$W854))+1,"")</f>
        <v/>
      </c>
      <c r="V854">
        <f>IF($A854="","",IF(AND(ISNUMBER($R854),NOT(ISLOGICAL($R854)),N($R854)&gt;1),IF(ABS($R854/100-Settings!$C$6)&lt;=ABS($R854/100-Settings!$C$7),1,0),IF(OR($R854=TRUE(),$R854="TRUE"),1,0)))</f>
        <v/>
      </c>
      <c r="W854">
        <f>IF($T854=1,IFERROR(IF(VALUE($A854)&lt;100000000,VALUE($A854),1000000000),IFERROR(IF(VALUE(MID($A854,2,20))&lt;100000000,VALUE(MID($A854,2,20)),1000000000),1000000000))+ROW()/100000,"")</f>
        <v/>
      </c>
    </row>
    <row r="855">
      <c r="F855" s="7">
        <f>IF($A855="","",E855*K855/100)</f>
        <v/>
      </c>
      <c r="J855" s="7" t="n"/>
      <c r="K855" s="7" t="n"/>
      <c r="L855" s="7">
        <f>IF($A855="","",S855*K855)</f>
        <v/>
      </c>
      <c r="M855" s="7">
        <f>IF($A855="","",K855-L855)</f>
        <v/>
      </c>
      <c r="N855" s="7">
        <f>IF($A855="","",M855-F855)</f>
        <v/>
      </c>
      <c r="Q855" s="11" t="n"/>
      <c r="S855">
        <f>IF($A855="","",IF(AND(ISNUMBER($R855),NOT(ISLOGICAL($R855)),N($R855)&gt;1),$R855/100*1,IF($V855=1,Settings!$C$6,Settings!$C$7)*1))</f>
        <v/>
      </c>
      <c r="T855">
        <f>IF($A855="","",IF(COUNTIF($A$2:$A855,$A855)=1,1,0))</f>
        <v/>
      </c>
      <c r="U855">
        <f>IF($T855=1,SUMPRODUCT(--($W$2:$W$1001&lt;$W855))+1,"")</f>
        <v/>
      </c>
      <c r="V855">
        <f>IF($A855="","",IF(AND(ISNUMBER($R855),NOT(ISLOGICAL($R855)),N($R855)&gt;1),IF(ABS($R855/100-Settings!$C$6)&lt;=ABS($R855/100-Settings!$C$7),1,0),IF(OR($R855=TRUE(),$R855="TRUE"),1,0)))</f>
        <v/>
      </c>
      <c r="W855">
        <f>IF($T855=1,IFERROR(IF(VALUE($A855)&lt;100000000,VALUE($A855),1000000000),IFERROR(IF(VALUE(MID($A855,2,20))&lt;100000000,VALUE(MID($A855,2,20)),1000000000),1000000000))+ROW()/100000,"")</f>
        <v/>
      </c>
    </row>
    <row r="856">
      <c r="F856" s="7">
        <f>IF($A856="","",E856*K856/100)</f>
        <v/>
      </c>
      <c r="J856" s="7" t="n"/>
      <c r="K856" s="7" t="n"/>
      <c r="L856" s="7">
        <f>IF($A856="","",S856*K856)</f>
        <v/>
      </c>
      <c r="M856" s="7">
        <f>IF($A856="","",K856-L856)</f>
        <v/>
      </c>
      <c r="N856" s="7">
        <f>IF($A856="","",M856-F856)</f>
        <v/>
      </c>
      <c r="Q856" s="11" t="n"/>
      <c r="S856">
        <f>IF($A856="","",IF(AND(ISNUMBER($R856),NOT(ISLOGICAL($R856)),N($R856)&gt;1),$R856/100*1,IF($V856=1,Settings!$C$6,Settings!$C$7)*1))</f>
        <v/>
      </c>
      <c r="T856">
        <f>IF($A856="","",IF(COUNTIF($A$2:$A856,$A856)=1,1,0))</f>
        <v/>
      </c>
      <c r="U856">
        <f>IF($T856=1,SUMPRODUCT(--($W$2:$W$1001&lt;$W856))+1,"")</f>
        <v/>
      </c>
      <c r="V856">
        <f>IF($A856="","",IF(AND(ISNUMBER($R856),NOT(ISLOGICAL($R856)),N($R856)&gt;1),IF(ABS($R856/100-Settings!$C$6)&lt;=ABS($R856/100-Settings!$C$7),1,0),IF(OR($R856=TRUE(),$R856="TRUE"),1,0)))</f>
        <v/>
      </c>
      <c r="W856">
        <f>IF($T856=1,IFERROR(IF(VALUE($A856)&lt;100000000,VALUE($A856),1000000000),IFERROR(IF(VALUE(MID($A856,2,20))&lt;100000000,VALUE(MID($A856,2,20)),1000000000),1000000000))+ROW()/100000,"")</f>
        <v/>
      </c>
    </row>
    <row r="857">
      <c r="F857" s="7">
        <f>IF($A857="","",E857*K857/100)</f>
        <v/>
      </c>
      <c r="J857" s="7" t="n"/>
      <c r="K857" s="7" t="n"/>
      <c r="L857" s="7">
        <f>IF($A857="","",S857*K857)</f>
        <v/>
      </c>
      <c r="M857" s="7">
        <f>IF($A857="","",K857-L857)</f>
        <v/>
      </c>
      <c r="N857" s="7">
        <f>IF($A857="","",M857-F857)</f>
        <v/>
      </c>
      <c r="Q857" s="11" t="n"/>
      <c r="S857">
        <f>IF($A857="","",IF(AND(ISNUMBER($R857),NOT(ISLOGICAL($R857)),N($R857)&gt;1),$R857/100*1,IF($V857=1,Settings!$C$6,Settings!$C$7)*1))</f>
        <v/>
      </c>
      <c r="T857">
        <f>IF($A857="","",IF(COUNTIF($A$2:$A857,$A857)=1,1,0))</f>
        <v/>
      </c>
      <c r="U857">
        <f>IF($T857=1,SUMPRODUCT(--($W$2:$W$1001&lt;$W857))+1,"")</f>
        <v/>
      </c>
      <c r="V857">
        <f>IF($A857="","",IF(AND(ISNUMBER($R857),NOT(ISLOGICAL($R857)),N($R857)&gt;1),IF(ABS($R857/100-Settings!$C$6)&lt;=ABS($R857/100-Settings!$C$7),1,0),IF(OR($R857=TRUE(),$R857="TRUE"),1,0)))</f>
        <v/>
      </c>
      <c r="W857">
        <f>IF($T857=1,IFERROR(IF(VALUE($A857)&lt;100000000,VALUE($A857),1000000000),IFERROR(IF(VALUE(MID($A857,2,20))&lt;100000000,VALUE(MID($A857,2,20)),1000000000),1000000000))+ROW()/100000,"")</f>
        <v/>
      </c>
    </row>
    <row r="858">
      <c r="F858" s="7">
        <f>IF($A858="","",E858*K858/100)</f>
        <v/>
      </c>
      <c r="J858" s="7" t="n"/>
      <c r="K858" s="7" t="n"/>
      <c r="L858" s="7">
        <f>IF($A858="","",S858*K858)</f>
        <v/>
      </c>
      <c r="M858" s="7">
        <f>IF($A858="","",K858-L858)</f>
        <v/>
      </c>
      <c r="N858" s="7">
        <f>IF($A858="","",M858-F858)</f>
        <v/>
      </c>
      <c r="Q858" s="11" t="n"/>
      <c r="S858">
        <f>IF($A858="","",IF(AND(ISNUMBER($R858),NOT(ISLOGICAL($R858)),N($R858)&gt;1),$R858/100*1,IF($V858=1,Settings!$C$6,Settings!$C$7)*1))</f>
        <v/>
      </c>
      <c r="T858">
        <f>IF($A858="","",IF(COUNTIF($A$2:$A858,$A858)=1,1,0))</f>
        <v/>
      </c>
      <c r="U858">
        <f>IF($T858=1,SUMPRODUCT(--($W$2:$W$1001&lt;$W858))+1,"")</f>
        <v/>
      </c>
      <c r="V858">
        <f>IF($A858="","",IF(AND(ISNUMBER($R858),NOT(ISLOGICAL($R858)),N($R858)&gt;1),IF(ABS($R858/100-Settings!$C$6)&lt;=ABS($R858/100-Settings!$C$7),1,0),IF(OR($R858=TRUE(),$R858="TRUE"),1,0)))</f>
        <v/>
      </c>
      <c r="W858">
        <f>IF($T858=1,IFERROR(IF(VALUE($A858)&lt;100000000,VALUE($A858),1000000000),IFERROR(IF(VALUE(MID($A858,2,20))&lt;100000000,VALUE(MID($A858,2,20)),1000000000),1000000000))+ROW()/100000,"")</f>
        <v/>
      </c>
    </row>
    <row r="859">
      <c r="F859" s="7">
        <f>IF($A859="","",E859*K859/100)</f>
        <v/>
      </c>
      <c r="J859" s="7" t="n"/>
      <c r="K859" s="7" t="n"/>
      <c r="L859" s="7">
        <f>IF($A859="","",S859*K859)</f>
        <v/>
      </c>
      <c r="M859" s="7">
        <f>IF($A859="","",K859-L859)</f>
        <v/>
      </c>
      <c r="N859" s="7">
        <f>IF($A859="","",M859-F859)</f>
        <v/>
      </c>
      <c r="Q859" s="11" t="n"/>
      <c r="S859">
        <f>IF($A859="","",IF(AND(ISNUMBER($R859),NOT(ISLOGICAL($R859)),N($R859)&gt;1),$R859/100*1,IF($V859=1,Settings!$C$6,Settings!$C$7)*1))</f>
        <v/>
      </c>
      <c r="T859">
        <f>IF($A859="","",IF(COUNTIF($A$2:$A859,$A859)=1,1,0))</f>
        <v/>
      </c>
      <c r="U859">
        <f>IF($T859=1,SUMPRODUCT(--($W$2:$W$1001&lt;$W859))+1,"")</f>
        <v/>
      </c>
      <c r="V859">
        <f>IF($A859="","",IF(AND(ISNUMBER($R859),NOT(ISLOGICAL($R859)),N($R859)&gt;1),IF(ABS($R859/100-Settings!$C$6)&lt;=ABS($R859/100-Settings!$C$7),1,0),IF(OR($R859=TRUE(),$R859="TRUE"),1,0)))</f>
        <v/>
      </c>
      <c r="W859">
        <f>IF($T859=1,IFERROR(IF(VALUE($A859)&lt;100000000,VALUE($A859),1000000000),IFERROR(IF(VALUE(MID($A859,2,20))&lt;100000000,VALUE(MID($A859,2,20)),1000000000),1000000000))+ROW()/100000,"")</f>
        <v/>
      </c>
    </row>
    <row r="860">
      <c r="F860" s="7">
        <f>IF($A860="","",E860*K860/100)</f>
        <v/>
      </c>
      <c r="J860" s="7" t="n"/>
      <c r="K860" s="7" t="n"/>
      <c r="L860" s="7">
        <f>IF($A860="","",S860*K860)</f>
        <v/>
      </c>
      <c r="M860" s="7">
        <f>IF($A860="","",K860-L860)</f>
        <v/>
      </c>
      <c r="N860" s="7">
        <f>IF($A860="","",M860-F860)</f>
        <v/>
      </c>
      <c r="Q860" s="11" t="n"/>
      <c r="S860">
        <f>IF($A860="","",IF(AND(ISNUMBER($R860),NOT(ISLOGICAL($R860)),N($R860)&gt;1),$R860/100*1,IF($V860=1,Settings!$C$6,Settings!$C$7)*1))</f>
        <v/>
      </c>
      <c r="T860">
        <f>IF($A860="","",IF(COUNTIF($A$2:$A860,$A860)=1,1,0))</f>
        <v/>
      </c>
      <c r="U860">
        <f>IF($T860=1,SUMPRODUCT(--($W$2:$W$1001&lt;$W860))+1,"")</f>
        <v/>
      </c>
      <c r="V860">
        <f>IF($A860="","",IF(AND(ISNUMBER($R860),NOT(ISLOGICAL($R860)),N($R860)&gt;1),IF(ABS($R860/100-Settings!$C$6)&lt;=ABS($R860/100-Settings!$C$7),1,0),IF(OR($R860=TRUE(),$R860="TRUE"),1,0)))</f>
        <v/>
      </c>
      <c r="W860">
        <f>IF($T860=1,IFERROR(IF(VALUE($A860)&lt;100000000,VALUE($A860),1000000000),IFERROR(IF(VALUE(MID($A860,2,20))&lt;100000000,VALUE(MID($A860,2,20)),1000000000),1000000000))+ROW()/100000,"")</f>
        <v/>
      </c>
    </row>
    <row r="861">
      <c r="F861" s="7">
        <f>IF($A861="","",E861*K861/100)</f>
        <v/>
      </c>
      <c r="J861" s="7" t="n"/>
      <c r="K861" s="7" t="n"/>
      <c r="L861" s="7">
        <f>IF($A861="","",S861*K861)</f>
        <v/>
      </c>
      <c r="M861" s="7">
        <f>IF($A861="","",K861-L861)</f>
        <v/>
      </c>
      <c r="N861" s="7">
        <f>IF($A861="","",M861-F861)</f>
        <v/>
      </c>
      <c r="Q861" s="11" t="n"/>
      <c r="S861">
        <f>IF($A861="","",IF(AND(ISNUMBER($R861),NOT(ISLOGICAL($R861)),N($R861)&gt;1),$R861/100*1,IF($V861=1,Settings!$C$6,Settings!$C$7)*1))</f>
        <v/>
      </c>
      <c r="T861">
        <f>IF($A861="","",IF(COUNTIF($A$2:$A861,$A861)=1,1,0))</f>
        <v/>
      </c>
      <c r="U861">
        <f>IF($T861=1,SUMPRODUCT(--($W$2:$W$1001&lt;$W861))+1,"")</f>
        <v/>
      </c>
      <c r="V861">
        <f>IF($A861="","",IF(AND(ISNUMBER($R861),NOT(ISLOGICAL($R861)),N($R861)&gt;1),IF(ABS($R861/100-Settings!$C$6)&lt;=ABS($R861/100-Settings!$C$7),1,0),IF(OR($R861=TRUE(),$R861="TRUE"),1,0)))</f>
        <v/>
      </c>
      <c r="W861">
        <f>IF($T861=1,IFERROR(IF(VALUE($A861)&lt;100000000,VALUE($A861),1000000000),IFERROR(IF(VALUE(MID($A861,2,20))&lt;100000000,VALUE(MID($A861,2,20)),1000000000),1000000000))+ROW()/100000,"")</f>
        <v/>
      </c>
    </row>
    <row r="862">
      <c r="F862" s="7">
        <f>IF($A862="","",E862*K862/100)</f>
        <v/>
      </c>
      <c r="J862" s="7" t="n"/>
      <c r="K862" s="7" t="n"/>
      <c r="L862" s="7">
        <f>IF($A862="","",S862*K862)</f>
        <v/>
      </c>
      <c r="M862" s="7">
        <f>IF($A862="","",K862-L862)</f>
        <v/>
      </c>
      <c r="N862" s="7">
        <f>IF($A862="","",M862-F862)</f>
        <v/>
      </c>
      <c r="Q862" s="11" t="n"/>
      <c r="S862">
        <f>IF($A862="","",IF(AND(ISNUMBER($R862),NOT(ISLOGICAL($R862)),N($R862)&gt;1),$R862/100*1,IF($V862=1,Settings!$C$6,Settings!$C$7)*1))</f>
        <v/>
      </c>
      <c r="T862">
        <f>IF($A862="","",IF(COUNTIF($A$2:$A862,$A862)=1,1,0))</f>
        <v/>
      </c>
      <c r="U862">
        <f>IF($T862=1,SUMPRODUCT(--($W$2:$W$1001&lt;$W862))+1,"")</f>
        <v/>
      </c>
      <c r="V862">
        <f>IF($A862="","",IF(AND(ISNUMBER($R862),NOT(ISLOGICAL($R862)),N($R862)&gt;1),IF(ABS($R862/100-Settings!$C$6)&lt;=ABS($R862/100-Settings!$C$7),1,0),IF(OR($R862=TRUE(),$R862="TRUE"),1,0)))</f>
        <v/>
      </c>
      <c r="W862">
        <f>IF($T862=1,IFERROR(IF(VALUE($A862)&lt;100000000,VALUE($A862),1000000000),IFERROR(IF(VALUE(MID($A862,2,20))&lt;100000000,VALUE(MID($A862,2,20)),1000000000),1000000000))+ROW()/100000,"")</f>
        <v/>
      </c>
    </row>
    <row r="863">
      <c r="F863" s="7">
        <f>IF($A863="","",E863*K863/100)</f>
        <v/>
      </c>
      <c r="J863" s="7" t="n"/>
      <c r="K863" s="7" t="n"/>
      <c r="L863" s="7">
        <f>IF($A863="","",S863*K863)</f>
        <v/>
      </c>
      <c r="M863" s="7">
        <f>IF($A863="","",K863-L863)</f>
        <v/>
      </c>
      <c r="N863" s="7">
        <f>IF($A863="","",M863-F863)</f>
        <v/>
      </c>
      <c r="Q863" s="11" t="n"/>
      <c r="S863">
        <f>IF($A863="","",IF(AND(ISNUMBER($R863),NOT(ISLOGICAL($R863)),N($R863)&gt;1),$R863/100*1,IF($V863=1,Settings!$C$6,Settings!$C$7)*1))</f>
        <v/>
      </c>
      <c r="T863">
        <f>IF($A863="","",IF(COUNTIF($A$2:$A863,$A863)=1,1,0))</f>
        <v/>
      </c>
      <c r="U863">
        <f>IF($T863=1,SUMPRODUCT(--($W$2:$W$1001&lt;$W863))+1,"")</f>
        <v/>
      </c>
      <c r="V863">
        <f>IF($A863="","",IF(AND(ISNUMBER($R863),NOT(ISLOGICAL($R863)),N($R863)&gt;1),IF(ABS($R863/100-Settings!$C$6)&lt;=ABS($R863/100-Settings!$C$7),1,0),IF(OR($R863=TRUE(),$R863="TRUE"),1,0)))</f>
        <v/>
      </c>
      <c r="W863">
        <f>IF($T863=1,IFERROR(IF(VALUE($A863)&lt;100000000,VALUE($A863),1000000000),IFERROR(IF(VALUE(MID($A863,2,20))&lt;100000000,VALUE(MID($A863,2,20)),1000000000),1000000000))+ROW()/100000,"")</f>
        <v/>
      </c>
    </row>
    <row r="864">
      <c r="F864" s="7">
        <f>IF($A864="","",E864*K864/100)</f>
        <v/>
      </c>
      <c r="J864" s="7" t="n"/>
      <c r="K864" s="7" t="n"/>
      <c r="L864" s="7">
        <f>IF($A864="","",S864*K864)</f>
        <v/>
      </c>
      <c r="M864" s="7">
        <f>IF($A864="","",K864-L864)</f>
        <v/>
      </c>
      <c r="N864" s="7">
        <f>IF($A864="","",M864-F864)</f>
        <v/>
      </c>
      <c r="Q864" s="11" t="n"/>
      <c r="S864">
        <f>IF($A864="","",IF(AND(ISNUMBER($R864),NOT(ISLOGICAL($R864)),N($R864)&gt;1),$R864/100*1,IF($V864=1,Settings!$C$6,Settings!$C$7)*1))</f>
        <v/>
      </c>
      <c r="T864">
        <f>IF($A864="","",IF(COUNTIF($A$2:$A864,$A864)=1,1,0))</f>
        <v/>
      </c>
      <c r="U864">
        <f>IF($T864=1,SUMPRODUCT(--($W$2:$W$1001&lt;$W864))+1,"")</f>
        <v/>
      </c>
      <c r="V864">
        <f>IF($A864="","",IF(AND(ISNUMBER($R864),NOT(ISLOGICAL($R864)),N($R864)&gt;1),IF(ABS($R864/100-Settings!$C$6)&lt;=ABS($R864/100-Settings!$C$7),1,0),IF(OR($R864=TRUE(),$R864="TRUE"),1,0)))</f>
        <v/>
      </c>
      <c r="W864">
        <f>IF($T864=1,IFERROR(IF(VALUE($A864)&lt;100000000,VALUE($A864),1000000000),IFERROR(IF(VALUE(MID($A864,2,20))&lt;100000000,VALUE(MID($A864,2,20)),1000000000),1000000000))+ROW()/100000,"")</f>
        <v/>
      </c>
    </row>
    <row r="865">
      <c r="F865" s="7">
        <f>IF($A865="","",E865*K865/100)</f>
        <v/>
      </c>
      <c r="J865" s="7" t="n"/>
      <c r="K865" s="7" t="n"/>
      <c r="L865" s="7">
        <f>IF($A865="","",S865*K865)</f>
        <v/>
      </c>
      <c r="M865" s="7">
        <f>IF($A865="","",K865-L865)</f>
        <v/>
      </c>
      <c r="N865" s="7">
        <f>IF($A865="","",M865-F865)</f>
        <v/>
      </c>
      <c r="Q865" s="11" t="n"/>
      <c r="S865">
        <f>IF($A865="","",IF(AND(ISNUMBER($R865),NOT(ISLOGICAL($R865)),N($R865)&gt;1),$R865/100*1,IF($V865=1,Settings!$C$6,Settings!$C$7)*1))</f>
        <v/>
      </c>
      <c r="T865">
        <f>IF($A865="","",IF(COUNTIF($A$2:$A865,$A865)=1,1,0))</f>
        <v/>
      </c>
      <c r="U865">
        <f>IF($T865=1,SUMPRODUCT(--($W$2:$W$1001&lt;$W865))+1,"")</f>
        <v/>
      </c>
      <c r="V865">
        <f>IF($A865="","",IF(AND(ISNUMBER($R865),NOT(ISLOGICAL($R865)),N($R865)&gt;1),IF(ABS($R865/100-Settings!$C$6)&lt;=ABS($R865/100-Settings!$C$7),1,0),IF(OR($R865=TRUE(),$R865="TRUE"),1,0)))</f>
        <v/>
      </c>
      <c r="W865">
        <f>IF($T865=1,IFERROR(IF(VALUE($A865)&lt;100000000,VALUE($A865),1000000000),IFERROR(IF(VALUE(MID($A865,2,20))&lt;100000000,VALUE(MID($A865,2,20)),1000000000),1000000000))+ROW()/100000,"")</f>
        <v/>
      </c>
    </row>
    <row r="866">
      <c r="F866" s="7">
        <f>IF($A866="","",E866*K866/100)</f>
        <v/>
      </c>
      <c r="J866" s="7" t="n"/>
      <c r="K866" s="7" t="n"/>
      <c r="L866" s="7">
        <f>IF($A866="","",S866*K866)</f>
        <v/>
      </c>
      <c r="M866" s="7">
        <f>IF($A866="","",K866-L866)</f>
        <v/>
      </c>
      <c r="N866" s="7">
        <f>IF($A866="","",M866-F866)</f>
        <v/>
      </c>
      <c r="Q866" s="11" t="n"/>
      <c r="S866">
        <f>IF($A866="","",IF(AND(ISNUMBER($R866),NOT(ISLOGICAL($R866)),N($R866)&gt;1),$R866/100*1,IF($V866=1,Settings!$C$6,Settings!$C$7)*1))</f>
        <v/>
      </c>
      <c r="T866">
        <f>IF($A866="","",IF(COUNTIF($A$2:$A866,$A866)=1,1,0))</f>
        <v/>
      </c>
      <c r="U866">
        <f>IF($T866=1,SUMPRODUCT(--($W$2:$W$1001&lt;$W866))+1,"")</f>
        <v/>
      </c>
      <c r="V866">
        <f>IF($A866="","",IF(AND(ISNUMBER($R866),NOT(ISLOGICAL($R866)),N($R866)&gt;1),IF(ABS($R866/100-Settings!$C$6)&lt;=ABS($R866/100-Settings!$C$7),1,0),IF(OR($R866=TRUE(),$R866="TRUE"),1,0)))</f>
        <v/>
      </c>
      <c r="W866">
        <f>IF($T866=1,IFERROR(IF(VALUE($A866)&lt;100000000,VALUE($A866),1000000000),IFERROR(IF(VALUE(MID($A866,2,20))&lt;100000000,VALUE(MID($A866,2,20)),1000000000),1000000000))+ROW()/100000,"")</f>
        <v/>
      </c>
    </row>
    <row r="867">
      <c r="F867" s="7">
        <f>IF($A867="","",E867*K867/100)</f>
        <v/>
      </c>
      <c r="J867" s="7" t="n"/>
      <c r="K867" s="7" t="n"/>
      <c r="L867" s="7">
        <f>IF($A867="","",S867*K867)</f>
        <v/>
      </c>
      <c r="M867" s="7">
        <f>IF($A867="","",K867-L867)</f>
        <v/>
      </c>
      <c r="N867" s="7">
        <f>IF($A867="","",M867-F867)</f>
        <v/>
      </c>
      <c r="Q867" s="11" t="n"/>
      <c r="S867">
        <f>IF($A867="","",IF(AND(ISNUMBER($R867),NOT(ISLOGICAL($R867)),N($R867)&gt;1),$R867/100*1,IF($V867=1,Settings!$C$6,Settings!$C$7)*1))</f>
        <v/>
      </c>
      <c r="T867">
        <f>IF($A867="","",IF(COUNTIF($A$2:$A867,$A867)=1,1,0))</f>
        <v/>
      </c>
      <c r="U867">
        <f>IF($T867=1,SUMPRODUCT(--($W$2:$W$1001&lt;$W867))+1,"")</f>
        <v/>
      </c>
      <c r="V867">
        <f>IF($A867="","",IF(AND(ISNUMBER($R867),NOT(ISLOGICAL($R867)),N($R867)&gt;1),IF(ABS($R867/100-Settings!$C$6)&lt;=ABS($R867/100-Settings!$C$7),1,0),IF(OR($R867=TRUE(),$R867="TRUE"),1,0)))</f>
        <v/>
      </c>
      <c r="W867">
        <f>IF($T867=1,IFERROR(IF(VALUE($A867)&lt;100000000,VALUE($A867),1000000000),IFERROR(IF(VALUE(MID($A867,2,20))&lt;100000000,VALUE(MID($A867,2,20)),1000000000),1000000000))+ROW()/100000,"")</f>
        <v/>
      </c>
    </row>
    <row r="868">
      <c r="F868" s="7">
        <f>IF($A868="","",E868*K868/100)</f>
        <v/>
      </c>
      <c r="J868" s="7" t="n"/>
      <c r="K868" s="7" t="n"/>
      <c r="L868" s="7">
        <f>IF($A868="","",S868*K868)</f>
        <v/>
      </c>
      <c r="M868" s="7">
        <f>IF($A868="","",K868-L868)</f>
        <v/>
      </c>
      <c r="N868" s="7">
        <f>IF($A868="","",M868-F868)</f>
        <v/>
      </c>
      <c r="Q868" s="11" t="n"/>
      <c r="S868">
        <f>IF($A868="","",IF(AND(ISNUMBER($R868),NOT(ISLOGICAL($R868)),N($R868)&gt;1),$R868/100*1,IF($V868=1,Settings!$C$6,Settings!$C$7)*1))</f>
        <v/>
      </c>
      <c r="T868">
        <f>IF($A868="","",IF(COUNTIF($A$2:$A868,$A868)=1,1,0))</f>
        <v/>
      </c>
      <c r="U868">
        <f>IF($T868=1,SUMPRODUCT(--($W$2:$W$1001&lt;$W868))+1,"")</f>
        <v/>
      </c>
      <c r="V868">
        <f>IF($A868="","",IF(AND(ISNUMBER($R868),NOT(ISLOGICAL($R868)),N($R868)&gt;1),IF(ABS($R868/100-Settings!$C$6)&lt;=ABS($R868/100-Settings!$C$7),1,0),IF(OR($R868=TRUE(),$R868="TRUE"),1,0)))</f>
        <v/>
      </c>
      <c r="W868">
        <f>IF($T868=1,IFERROR(IF(VALUE($A868)&lt;100000000,VALUE($A868),1000000000),IFERROR(IF(VALUE(MID($A868,2,20))&lt;100000000,VALUE(MID($A868,2,20)),1000000000),1000000000))+ROW()/100000,"")</f>
        <v/>
      </c>
    </row>
    <row r="869">
      <c r="F869" s="7">
        <f>IF($A869="","",E869*K869/100)</f>
        <v/>
      </c>
      <c r="J869" s="7" t="n"/>
      <c r="K869" s="7" t="n"/>
      <c r="L869" s="7">
        <f>IF($A869="","",S869*K869)</f>
        <v/>
      </c>
      <c r="M869" s="7">
        <f>IF($A869="","",K869-L869)</f>
        <v/>
      </c>
      <c r="N869" s="7">
        <f>IF($A869="","",M869-F869)</f>
        <v/>
      </c>
      <c r="Q869" s="11" t="n"/>
      <c r="S869">
        <f>IF($A869="","",IF(AND(ISNUMBER($R869),NOT(ISLOGICAL($R869)),N($R869)&gt;1),$R869/100*1,IF($V869=1,Settings!$C$6,Settings!$C$7)*1))</f>
        <v/>
      </c>
      <c r="T869">
        <f>IF($A869="","",IF(COUNTIF($A$2:$A869,$A869)=1,1,0))</f>
        <v/>
      </c>
      <c r="U869">
        <f>IF($T869=1,SUMPRODUCT(--($W$2:$W$1001&lt;$W869))+1,"")</f>
        <v/>
      </c>
      <c r="V869">
        <f>IF($A869="","",IF(AND(ISNUMBER($R869),NOT(ISLOGICAL($R869)),N($R869)&gt;1),IF(ABS($R869/100-Settings!$C$6)&lt;=ABS($R869/100-Settings!$C$7),1,0),IF(OR($R869=TRUE(),$R869="TRUE"),1,0)))</f>
        <v/>
      </c>
      <c r="W869">
        <f>IF($T869=1,IFERROR(IF(VALUE($A869)&lt;100000000,VALUE($A869),1000000000),IFERROR(IF(VALUE(MID($A869,2,20))&lt;100000000,VALUE(MID($A869,2,20)),1000000000),1000000000))+ROW()/100000,"")</f>
        <v/>
      </c>
    </row>
    <row r="870">
      <c r="F870" s="7">
        <f>IF($A870="","",E870*K870/100)</f>
        <v/>
      </c>
      <c r="J870" s="7" t="n"/>
      <c r="K870" s="7" t="n"/>
      <c r="L870" s="7">
        <f>IF($A870="","",S870*K870)</f>
        <v/>
      </c>
      <c r="M870" s="7">
        <f>IF($A870="","",K870-L870)</f>
        <v/>
      </c>
      <c r="N870" s="7">
        <f>IF($A870="","",M870-F870)</f>
        <v/>
      </c>
      <c r="Q870" s="11" t="n"/>
      <c r="S870">
        <f>IF($A870="","",IF(AND(ISNUMBER($R870),NOT(ISLOGICAL($R870)),N($R870)&gt;1),$R870/100*1,IF($V870=1,Settings!$C$6,Settings!$C$7)*1))</f>
        <v/>
      </c>
      <c r="T870">
        <f>IF($A870="","",IF(COUNTIF($A$2:$A870,$A870)=1,1,0))</f>
        <v/>
      </c>
      <c r="U870">
        <f>IF($T870=1,SUMPRODUCT(--($W$2:$W$1001&lt;$W870))+1,"")</f>
        <v/>
      </c>
      <c r="V870">
        <f>IF($A870="","",IF(AND(ISNUMBER($R870),NOT(ISLOGICAL($R870)),N($R870)&gt;1),IF(ABS($R870/100-Settings!$C$6)&lt;=ABS($R870/100-Settings!$C$7),1,0),IF(OR($R870=TRUE(),$R870="TRUE"),1,0)))</f>
        <v/>
      </c>
      <c r="W870">
        <f>IF($T870=1,IFERROR(IF(VALUE($A870)&lt;100000000,VALUE($A870),1000000000),IFERROR(IF(VALUE(MID($A870,2,20))&lt;100000000,VALUE(MID($A870,2,20)),1000000000),1000000000))+ROW()/100000,"")</f>
        <v/>
      </c>
    </row>
    <row r="871">
      <c r="F871" s="7">
        <f>IF($A871="","",E871*K871/100)</f>
        <v/>
      </c>
      <c r="J871" s="7" t="n"/>
      <c r="K871" s="7" t="n"/>
      <c r="L871" s="7">
        <f>IF($A871="","",S871*K871)</f>
        <v/>
      </c>
      <c r="M871" s="7">
        <f>IF($A871="","",K871-L871)</f>
        <v/>
      </c>
      <c r="N871" s="7">
        <f>IF($A871="","",M871-F871)</f>
        <v/>
      </c>
      <c r="Q871" s="11" t="n"/>
      <c r="S871">
        <f>IF($A871="","",IF(AND(ISNUMBER($R871),NOT(ISLOGICAL($R871)),N($R871)&gt;1),$R871/100*1,IF($V871=1,Settings!$C$6,Settings!$C$7)*1))</f>
        <v/>
      </c>
      <c r="T871">
        <f>IF($A871="","",IF(COUNTIF($A$2:$A871,$A871)=1,1,0))</f>
        <v/>
      </c>
      <c r="U871">
        <f>IF($T871=1,SUMPRODUCT(--($W$2:$W$1001&lt;$W871))+1,"")</f>
        <v/>
      </c>
      <c r="V871">
        <f>IF($A871="","",IF(AND(ISNUMBER($R871),NOT(ISLOGICAL($R871)),N($R871)&gt;1),IF(ABS($R871/100-Settings!$C$6)&lt;=ABS($R871/100-Settings!$C$7),1,0),IF(OR($R871=TRUE(),$R871="TRUE"),1,0)))</f>
        <v/>
      </c>
      <c r="W871">
        <f>IF($T871=1,IFERROR(IF(VALUE($A871)&lt;100000000,VALUE($A871),1000000000),IFERROR(IF(VALUE(MID($A871,2,20))&lt;100000000,VALUE(MID($A871,2,20)),1000000000),1000000000))+ROW()/100000,"")</f>
        <v/>
      </c>
    </row>
    <row r="872">
      <c r="F872" s="7">
        <f>IF($A872="","",E872*K872/100)</f>
        <v/>
      </c>
      <c r="J872" s="7" t="n"/>
      <c r="K872" s="7" t="n"/>
      <c r="L872" s="7">
        <f>IF($A872="","",S872*K872)</f>
        <v/>
      </c>
      <c r="M872" s="7">
        <f>IF($A872="","",K872-L872)</f>
        <v/>
      </c>
      <c r="N872" s="7">
        <f>IF($A872="","",M872-F872)</f>
        <v/>
      </c>
      <c r="Q872" s="11" t="n"/>
      <c r="S872">
        <f>IF($A872="","",IF(AND(ISNUMBER($R872),NOT(ISLOGICAL($R872)),N($R872)&gt;1),$R872/100*1,IF($V872=1,Settings!$C$6,Settings!$C$7)*1))</f>
        <v/>
      </c>
      <c r="T872">
        <f>IF($A872="","",IF(COUNTIF($A$2:$A872,$A872)=1,1,0))</f>
        <v/>
      </c>
      <c r="U872">
        <f>IF($T872=1,SUMPRODUCT(--($W$2:$W$1001&lt;$W872))+1,"")</f>
        <v/>
      </c>
      <c r="V872">
        <f>IF($A872="","",IF(AND(ISNUMBER($R872),NOT(ISLOGICAL($R872)),N($R872)&gt;1),IF(ABS($R872/100-Settings!$C$6)&lt;=ABS($R872/100-Settings!$C$7),1,0),IF(OR($R872=TRUE(),$R872="TRUE"),1,0)))</f>
        <v/>
      </c>
      <c r="W872">
        <f>IF($T872=1,IFERROR(IF(VALUE($A872)&lt;100000000,VALUE($A872),1000000000),IFERROR(IF(VALUE(MID($A872,2,20))&lt;100000000,VALUE(MID($A872,2,20)),1000000000),1000000000))+ROW()/100000,"")</f>
        <v/>
      </c>
    </row>
    <row r="873">
      <c r="F873" s="7">
        <f>IF($A873="","",E873*K873/100)</f>
        <v/>
      </c>
      <c r="J873" s="7" t="n"/>
      <c r="K873" s="7" t="n"/>
      <c r="L873" s="7">
        <f>IF($A873="","",S873*K873)</f>
        <v/>
      </c>
      <c r="M873" s="7">
        <f>IF($A873="","",K873-L873)</f>
        <v/>
      </c>
      <c r="N873" s="7">
        <f>IF($A873="","",M873-F873)</f>
        <v/>
      </c>
      <c r="Q873" s="11" t="n"/>
      <c r="S873">
        <f>IF($A873="","",IF(AND(ISNUMBER($R873),NOT(ISLOGICAL($R873)),N($R873)&gt;1),$R873/100*1,IF($V873=1,Settings!$C$6,Settings!$C$7)*1))</f>
        <v/>
      </c>
      <c r="T873">
        <f>IF($A873="","",IF(COUNTIF($A$2:$A873,$A873)=1,1,0))</f>
        <v/>
      </c>
      <c r="U873">
        <f>IF($T873=1,SUMPRODUCT(--($W$2:$W$1001&lt;$W873))+1,"")</f>
        <v/>
      </c>
      <c r="V873">
        <f>IF($A873="","",IF(AND(ISNUMBER($R873),NOT(ISLOGICAL($R873)),N($R873)&gt;1),IF(ABS($R873/100-Settings!$C$6)&lt;=ABS($R873/100-Settings!$C$7),1,0),IF(OR($R873=TRUE(),$R873="TRUE"),1,0)))</f>
        <v/>
      </c>
      <c r="W873">
        <f>IF($T873=1,IFERROR(IF(VALUE($A873)&lt;100000000,VALUE($A873),1000000000),IFERROR(IF(VALUE(MID($A873,2,20))&lt;100000000,VALUE(MID($A873,2,20)),1000000000),1000000000))+ROW()/100000,"")</f>
        <v/>
      </c>
    </row>
    <row r="874">
      <c r="F874" s="7">
        <f>IF($A874="","",E874*K874/100)</f>
        <v/>
      </c>
      <c r="J874" s="7" t="n"/>
      <c r="K874" s="7" t="n"/>
      <c r="L874" s="7">
        <f>IF($A874="","",S874*K874)</f>
        <v/>
      </c>
      <c r="M874" s="7">
        <f>IF($A874="","",K874-L874)</f>
        <v/>
      </c>
      <c r="N874" s="7">
        <f>IF($A874="","",M874-F874)</f>
        <v/>
      </c>
      <c r="Q874" s="11" t="n"/>
      <c r="S874">
        <f>IF($A874="","",IF(AND(ISNUMBER($R874),NOT(ISLOGICAL($R874)),N($R874)&gt;1),$R874/100*1,IF($V874=1,Settings!$C$6,Settings!$C$7)*1))</f>
        <v/>
      </c>
      <c r="T874">
        <f>IF($A874="","",IF(COUNTIF($A$2:$A874,$A874)=1,1,0))</f>
        <v/>
      </c>
      <c r="U874">
        <f>IF($T874=1,SUMPRODUCT(--($W$2:$W$1001&lt;$W874))+1,"")</f>
        <v/>
      </c>
      <c r="V874">
        <f>IF($A874="","",IF(AND(ISNUMBER($R874),NOT(ISLOGICAL($R874)),N($R874)&gt;1),IF(ABS($R874/100-Settings!$C$6)&lt;=ABS($R874/100-Settings!$C$7),1,0),IF(OR($R874=TRUE(),$R874="TRUE"),1,0)))</f>
        <v/>
      </c>
      <c r="W874">
        <f>IF($T874=1,IFERROR(IF(VALUE($A874)&lt;100000000,VALUE($A874),1000000000),IFERROR(IF(VALUE(MID($A874,2,20))&lt;100000000,VALUE(MID($A874,2,20)),1000000000),1000000000))+ROW()/100000,"")</f>
        <v/>
      </c>
    </row>
    <row r="875">
      <c r="F875" s="7">
        <f>IF($A875="","",E875*K875/100)</f>
        <v/>
      </c>
      <c r="J875" s="7" t="n"/>
      <c r="K875" s="7" t="n"/>
      <c r="L875" s="7">
        <f>IF($A875="","",S875*K875)</f>
        <v/>
      </c>
      <c r="M875" s="7">
        <f>IF($A875="","",K875-L875)</f>
        <v/>
      </c>
      <c r="N875" s="7">
        <f>IF($A875="","",M875-F875)</f>
        <v/>
      </c>
      <c r="Q875" s="11" t="n"/>
      <c r="S875">
        <f>IF($A875="","",IF(AND(ISNUMBER($R875),NOT(ISLOGICAL($R875)),N($R875)&gt;1),$R875/100*1,IF($V875=1,Settings!$C$6,Settings!$C$7)*1))</f>
        <v/>
      </c>
      <c r="T875">
        <f>IF($A875="","",IF(COUNTIF($A$2:$A875,$A875)=1,1,0))</f>
        <v/>
      </c>
      <c r="U875">
        <f>IF($T875=1,SUMPRODUCT(--($W$2:$W$1001&lt;$W875))+1,"")</f>
        <v/>
      </c>
      <c r="V875">
        <f>IF($A875="","",IF(AND(ISNUMBER($R875),NOT(ISLOGICAL($R875)),N($R875)&gt;1),IF(ABS($R875/100-Settings!$C$6)&lt;=ABS($R875/100-Settings!$C$7),1,0),IF(OR($R875=TRUE(),$R875="TRUE"),1,0)))</f>
        <v/>
      </c>
      <c r="W875">
        <f>IF($T875=1,IFERROR(IF(VALUE($A875)&lt;100000000,VALUE($A875),1000000000),IFERROR(IF(VALUE(MID($A875,2,20))&lt;100000000,VALUE(MID($A875,2,20)),1000000000),1000000000))+ROW()/100000,"")</f>
        <v/>
      </c>
    </row>
    <row r="876">
      <c r="F876" s="7">
        <f>IF($A876="","",E876*K876/100)</f>
        <v/>
      </c>
      <c r="J876" s="7" t="n"/>
      <c r="K876" s="7" t="n"/>
      <c r="L876" s="7">
        <f>IF($A876="","",S876*K876)</f>
        <v/>
      </c>
      <c r="M876" s="7">
        <f>IF($A876="","",K876-L876)</f>
        <v/>
      </c>
      <c r="N876" s="7">
        <f>IF($A876="","",M876-F876)</f>
        <v/>
      </c>
      <c r="Q876" s="11" t="n"/>
      <c r="S876">
        <f>IF($A876="","",IF(AND(ISNUMBER($R876),NOT(ISLOGICAL($R876)),N($R876)&gt;1),$R876/100*1,IF($V876=1,Settings!$C$6,Settings!$C$7)*1))</f>
        <v/>
      </c>
      <c r="T876">
        <f>IF($A876="","",IF(COUNTIF($A$2:$A876,$A876)=1,1,0))</f>
        <v/>
      </c>
      <c r="U876">
        <f>IF($T876=1,SUMPRODUCT(--($W$2:$W$1001&lt;$W876))+1,"")</f>
        <v/>
      </c>
      <c r="V876">
        <f>IF($A876="","",IF(AND(ISNUMBER($R876),NOT(ISLOGICAL($R876)),N($R876)&gt;1),IF(ABS($R876/100-Settings!$C$6)&lt;=ABS($R876/100-Settings!$C$7),1,0),IF(OR($R876=TRUE(),$R876="TRUE"),1,0)))</f>
        <v/>
      </c>
      <c r="W876">
        <f>IF($T876=1,IFERROR(IF(VALUE($A876)&lt;100000000,VALUE($A876),1000000000),IFERROR(IF(VALUE(MID($A876,2,20))&lt;100000000,VALUE(MID($A876,2,20)),1000000000),1000000000))+ROW()/100000,"")</f>
        <v/>
      </c>
    </row>
    <row r="877">
      <c r="F877" s="7">
        <f>IF($A877="","",E877*K877/100)</f>
        <v/>
      </c>
      <c r="J877" s="7" t="n"/>
      <c r="K877" s="7" t="n"/>
      <c r="L877" s="7">
        <f>IF($A877="","",S877*K877)</f>
        <v/>
      </c>
      <c r="M877" s="7">
        <f>IF($A877="","",K877-L877)</f>
        <v/>
      </c>
      <c r="N877" s="7">
        <f>IF($A877="","",M877-F877)</f>
        <v/>
      </c>
      <c r="Q877" s="11" t="n"/>
      <c r="S877">
        <f>IF($A877="","",IF(AND(ISNUMBER($R877),NOT(ISLOGICAL($R877)),N($R877)&gt;1),$R877/100*1,IF($V877=1,Settings!$C$6,Settings!$C$7)*1))</f>
        <v/>
      </c>
      <c r="T877">
        <f>IF($A877="","",IF(COUNTIF($A$2:$A877,$A877)=1,1,0))</f>
        <v/>
      </c>
      <c r="U877">
        <f>IF($T877=1,SUMPRODUCT(--($W$2:$W$1001&lt;$W877))+1,"")</f>
        <v/>
      </c>
      <c r="V877">
        <f>IF($A877="","",IF(AND(ISNUMBER($R877),NOT(ISLOGICAL($R877)),N($R877)&gt;1),IF(ABS($R877/100-Settings!$C$6)&lt;=ABS($R877/100-Settings!$C$7),1,0),IF(OR($R877=TRUE(),$R877="TRUE"),1,0)))</f>
        <v/>
      </c>
      <c r="W877">
        <f>IF($T877=1,IFERROR(IF(VALUE($A877)&lt;100000000,VALUE($A877),1000000000),IFERROR(IF(VALUE(MID($A877,2,20))&lt;100000000,VALUE(MID($A877,2,20)),1000000000),1000000000))+ROW()/100000,"")</f>
        <v/>
      </c>
    </row>
    <row r="878">
      <c r="F878" s="7">
        <f>IF($A878="","",E878*K878/100)</f>
        <v/>
      </c>
      <c r="J878" s="7" t="n"/>
      <c r="K878" s="7" t="n"/>
      <c r="L878" s="7">
        <f>IF($A878="","",S878*K878)</f>
        <v/>
      </c>
      <c r="M878" s="7">
        <f>IF($A878="","",K878-L878)</f>
        <v/>
      </c>
      <c r="N878" s="7">
        <f>IF($A878="","",M878-F878)</f>
        <v/>
      </c>
      <c r="Q878" s="11" t="n"/>
      <c r="S878">
        <f>IF($A878="","",IF(AND(ISNUMBER($R878),NOT(ISLOGICAL($R878)),N($R878)&gt;1),$R878/100*1,IF($V878=1,Settings!$C$6,Settings!$C$7)*1))</f>
        <v/>
      </c>
      <c r="T878">
        <f>IF($A878="","",IF(COUNTIF($A$2:$A878,$A878)=1,1,0))</f>
        <v/>
      </c>
      <c r="U878">
        <f>IF($T878=1,SUMPRODUCT(--($W$2:$W$1001&lt;$W878))+1,"")</f>
        <v/>
      </c>
      <c r="V878">
        <f>IF($A878="","",IF(AND(ISNUMBER($R878),NOT(ISLOGICAL($R878)),N($R878)&gt;1),IF(ABS($R878/100-Settings!$C$6)&lt;=ABS($R878/100-Settings!$C$7),1,0),IF(OR($R878=TRUE(),$R878="TRUE"),1,0)))</f>
        <v/>
      </c>
      <c r="W878">
        <f>IF($T878=1,IFERROR(IF(VALUE($A878)&lt;100000000,VALUE($A878),1000000000),IFERROR(IF(VALUE(MID($A878,2,20))&lt;100000000,VALUE(MID($A878,2,20)),1000000000),1000000000))+ROW()/100000,"")</f>
        <v/>
      </c>
    </row>
    <row r="879">
      <c r="F879" s="7">
        <f>IF($A879="","",E879*K879/100)</f>
        <v/>
      </c>
      <c r="J879" s="7" t="n"/>
      <c r="K879" s="7" t="n"/>
      <c r="L879" s="7">
        <f>IF($A879="","",S879*K879)</f>
        <v/>
      </c>
      <c r="M879" s="7">
        <f>IF($A879="","",K879-L879)</f>
        <v/>
      </c>
      <c r="N879" s="7">
        <f>IF($A879="","",M879-F879)</f>
        <v/>
      </c>
      <c r="Q879" s="11" t="n"/>
      <c r="S879">
        <f>IF($A879="","",IF(AND(ISNUMBER($R879),NOT(ISLOGICAL($R879)),N($R879)&gt;1),$R879/100*1,IF($V879=1,Settings!$C$6,Settings!$C$7)*1))</f>
        <v/>
      </c>
      <c r="T879">
        <f>IF($A879="","",IF(COUNTIF($A$2:$A879,$A879)=1,1,0))</f>
        <v/>
      </c>
      <c r="U879">
        <f>IF($T879=1,SUMPRODUCT(--($W$2:$W$1001&lt;$W879))+1,"")</f>
        <v/>
      </c>
      <c r="V879">
        <f>IF($A879="","",IF(AND(ISNUMBER($R879),NOT(ISLOGICAL($R879)),N($R879)&gt;1),IF(ABS($R879/100-Settings!$C$6)&lt;=ABS($R879/100-Settings!$C$7),1,0),IF(OR($R879=TRUE(),$R879="TRUE"),1,0)))</f>
        <v/>
      </c>
      <c r="W879">
        <f>IF($T879=1,IFERROR(IF(VALUE($A879)&lt;100000000,VALUE($A879),1000000000),IFERROR(IF(VALUE(MID($A879,2,20))&lt;100000000,VALUE(MID($A879,2,20)),1000000000),1000000000))+ROW()/100000,"")</f>
        <v/>
      </c>
    </row>
    <row r="880">
      <c r="F880" s="7">
        <f>IF($A880="","",E880*K880/100)</f>
        <v/>
      </c>
      <c r="J880" s="7" t="n"/>
      <c r="K880" s="7" t="n"/>
      <c r="L880" s="7">
        <f>IF($A880="","",S880*K880)</f>
        <v/>
      </c>
      <c r="M880" s="7">
        <f>IF($A880="","",K880-L880)</f>
        <v/>
      </c>
      <c r="N880" s="7">
        <f>IF($A880="","",M880-F880)</f>
        <v/>
      </c>
      <c r="Q880" s="11" t="n"/>
      <c r="S880">
        <f>IF($A880="","",IF(AND(ISNUMBER($R880),NOT(ISLOGICAL($R880)),N($R880)&gt;1),$R880/100*1,IF($V880=1,Settings!$C$6,Settings!$C$7)*1))</f>
        <v/>
      </c>
      <c r="T880">
        <f>IF($A880="","",IF(COUNTIF($A$2:$A880,$A880)=1,1,0))</f>
        <v/>
      </c>
      <c r="U880">
        <f>IF($T880=1,SUMPRODUCT(--($W$2:$W$1001&lt;$W880))+1,"")</f>
        <v/>
      </c>
      <c r="V880">
        <f>IF($A880="","",IF(AND(ISNUMBER($R880),NOT(ISLOGICAL($R880)),N($R880)&gt;1),IF(ABS($R880/100-Settings!$C$6)&lt;=ABS($R880/100-Settings!$C$7),1,0),IF(OR($R880=TRUE(),$R880="TRUE"),1,0)))</f>
        <v/>
      </c>
      <c r="W880">
        <f>IF($T880=1,IFERROR(IF(VALUE($A880)&lt;100000000,VALUE($A880),1000000000),IFERROR(IF(VALUE(MID($A880,2,20))&lt;100000000,VALUE(MID($A880,2,20)),1000000000),1000000000))+ROW()/100000,"")</f>
        <v/>
      </c>
    </row>
    <row r="881">
      <c r="F881" s="7">
        <f>IF($A881="","",E881*K881/100)</f>
        <v/>
      </c>
      <c r="J881" s="7" t="n"/>
      <c r="K881" s="7" t="n"/>
      <c r="L881" s="7">
        <f>IF($A881="","",S881*K881)</f>
        <v/>
      </c>
      <c r="M881" s="7">
        <f>IF($A881="","",K881-L881)</f>
        <v/>
      </c>
      <c r="N881" s="7">
        <f>IF($A881="","",M881-F881)</f>
        <v/>
      </c>
      <c r="Q881" s="11" t="n"/>
      <c r="S881">
        <f>IF($A881="","",IF(AND(ISNUMBER($R881),NOT(ISLOGICAL($R881)),N($R881)&gt;1),$R881/100*1,IF($V881=1,Settings!$C$6,Settings!$C$7)*1))</f>
        <v/>
      </c>
      <c r="T881">
        <f>IF($A881="","",IF(COUNTIF($A$2:$A881,$A881)=1,1,0))</f>
        <v/>
      </c>
      <c r="U881">
        <f>IF($T881=1,SUMPRODUCT(--($W$2:$W$1001&lt;$W881))+1,"")</f>
        <v/>
      </c>
      <c r="V881">
        <f>IF($A881="","",IF(AND(ISNUMBER($R881),NOT(ISLOGICAL($R881)),N($R881)&gt;1),IF(ABS($R881/100-Settings!$C$6)&lt;=ABS($R881/100-Settings!$C$7),1,0),IF(OR($R881=TRUE(),$R881="TRUE"),1,0)))</f>
        <v/>
      </c>
      <c r="W881">
        <f>IF($T881=1,IFERROR(IF(VALUE($A881)&lt;100000000,VALUE($A881),1000000000),IFERROR(IF(VALUE(MID($A881,2,20))&lt;100000000,VALUE(MID($A881,2,20)),1000000000),1000000000))+ROW()/100000,"")</f>
        <v/>
      </c>
    </row>
    <row r="882">
      <c r="F882" s="7">
        <f>IF($A882="","",E882*K882/100)</f>
        <v/>
      </c>
      <c r="J882" s="7" t="n"/>
      <c r="K882" s="7" t="n"/>
      <c r="L882" s="7">
        <f>IF($A882="","",S882*K882)</f>
        <v/>
      </c>
      <c r="M882" s="7">
        <f>IF($A882="","",K882-L882)</f>
        <v/>
      </c>
      <c r="N882" s="7">
        <f>IF($A882="","",M882-F882)</f>
        <v/>
      </c>
      <c r="Q882" s="11" t="n"/>
      <c r="S882">
        <f>IF($A882="","",IF(AND(ISNUMBER($R882),NOT(ISLOGICAL($R882)),N($R882)&gt;1),$R882/100*1,IF($V882=1,Settings!$C$6,Settings!$C$7)*1))</f>
        <v/>
      </c>
      <c r="T882">
        <f>IF($A882="","",IF(COUNTIF($A$2:$A882,$A882)=1,1,0))</f>
        <v/>
      </c>
      <c r="U882">
        <f>IF($T882=1,SUMPRODUCT(--($W$2:$W$1001&lt;$W882))+1,"")</f>
        <v/>
      </c>
      <c r="V882">
        <f>IF($A882="","",IF(AND(ISNUMBER($R882),NOT(ISLOGICAL($R882)),N($R882)&gt;1),IF(ABS($R882/100-Settings!$C$6)&lt;=ABS($R882/100-Settings!$C$7),1,0),IF(OR($R882=TRUE(),$R882="TRUE"),1,0)))</f>
        <v/>
      </c>
      <c r="W882">
        <f>IF($T882=1,IFERROR(IF(VALUE($A882)&lt;100000000,VALUE($A882),1000000000),IFERROR(IF(VALUE(MID($A882,2,20))&lt;100000000,VALUE(MID($A882,2,20)),1000000000),1000000000))+ROW()/100000,"")</f>
        <v/>
      </c>
    </row>
    <row r="883">
      <c r="F883" s="7">
        <f>IF($A883="","",E883*K883/100)</f>
        <v/>
      </c>
      <c r="J883" s="7" t="n"/>
      <c r="K883" s="7" t="n"/>
      <c r="L883" s="7">
        <f>IF($A883="","",S883*K883)</f>
        <v/>
      </c>
      <c r="M883" s="7">
        <f>IF($A883="","",K883-L883)</f>
        <v/>
      </c>
      <c r="N883" s="7">
        <f>IF($A883="","",M883-F883)</f>
        <v/>
      </c>
      <c r="Q883" s="11" t="n"/>
      <c r="S883">
        <f>IF($A883="","",IF(AND(ISNUMBER($R883),NOT(ISLOGICAL($R883)),N($R883)&gt;1),$R883/100*1,IF($V883=1,Settings!$C$6,Settings!$C$7)*1))</f>
        <v/>
      </c>
      <c r="T883">
        <f>IF($A883="","",IF(COUNTIF($A$2:$A883,$A883)=1,1,0))</f>
        <v/>
      </c>
      <c r="U883">
        <f>IF($T883=1,SUMPRODUCT(--($W$2:$W$1001&lt;$W883))+1,"")</f>
        <v/>
      </c>
      <c r="V883">
        <f>IF($A883="","",IF(AND(ISNUMBER($R883),NOT(ISLOGICAL($R883)),N($R883)&gt;1),IF(ABS($R883/100-Settings!$C$6)&lt;=ABS($R883/100-Settings!$C$7),1,0),IF(OR($R883=TRUE(),$R883="TRUE"),1,0)))</f>
        <v/>
      </c>
      <c r="W883">
        <f>IF($T883=1,IFERROR(IF(VALUE($A883)&lt;100000000,VALUE($A883),1000000000),IFERROR(IF(VALUE(MID($A883,2,20))&lt;100000000,VALUE(MID($A883,2,20)),1000000000),1000000000))+ROW()/100000,"")</f>
        <v/>
      </c>
    </row>
    <row r="884">
      <c r="F884" s="7">
        <f>IF($A884="","",E884*K884/100)</f>
        <v/>
      </c>
      <c r="J884" s="7" t="n"/>
      <c r="K884" s="7" t="n"/>
      <c r="L884" s="7">
        <f>IF($A884="","",S884*K884)</f>
        <v/>
      </c>
      <c r="M884" s="7">
        <f>IF($A884="","",K884-L884)</f>
        <v/>
      </c>
      <c r="N884" s="7">
        <f>IF($A884="","",M884-F884)</f>
        <v/>
      </c>
      <c r="Q884" s="11" t="n"/>
      <c r="S884">
        <f>IF($A884="","",IF(AND(ISNUMBER($R884),NOT(ISLOGICAL($R884)),N($R884)&gt;1),$R884/100*1,IF($V884=1,Settings!$C$6,Settings!$C$7)*1))</f>
        <v/>
      </c>
      <c r="T884">
        <f>IF($A884="","",IF(COUNTIF($A$2:$A884,$A884)=1,1,0))</f>
        <v/>
      </c>
      <c r="U884">
        <f>IF($T884=1,SUMPRODUCT(--($W$2:$W$1001&lt;$W884))+1,"")</f>
        <v/>
      </c>
      <c r="V884">
        <f>IF($A884="","",IF(AND(ISNUMBER($R884),NOT(ISLOGICAL($R884)),N($R884)&gt;1),IF(ABS($R884/100-Settings!$C$6)&lt;=ABS($R884/100-Settings!$C$7),1,0),IF(OR($R884=TRUE(),$R884="TRUE"),1,0)))</f>
        <v/>
      </c>
      <c r="W884">
        <f>IF($T884=1,IFERROR(IF(VALUE($A884)&lt;100000000,VALUE($A884),1000000000),IFERROR(IF(VALUE(MID($A884,2,20))&lt;100000000,VALUE(MID($A884,2,20)),1000000000),1000000000))+ROW()/100000,"")</f>
        <v/>
      </c>
    </row>
    <row r="885">
      <c r="F885" s="7">
        <f>IF($A885="","",E885*K885/100)</f>
        <v/>
      </c>
      <c r="J885" s="7" t="n"/>
      <c r="K885" s="7" t="n"/>
      <c r="L885" s="7">
        <f>IF($A885="","",S885*K885)</f>
        <v/>
      </c>
      <c r="M885" s="7">
        <f>IF($A885="","",K885-L885)</f>
        <v/>
      </c>
      <c r="N885" s="7">
        <f>IF($A885="","",M885-F885)</f>
        <v/>
      </c>
      <c r="Q885" s="11" t="n"/>
      <c r="S885">
        <f>IF($A885="","",IF(AND(ISNUMBER($R885),NOT(ISLOGICAL($R885)),N($R885)&gt;1),$R885/100*1,IF($V885=1,Settings!$C$6,Settings!$C$7)*1))</f>
        <v/>
      </c>
      <c r="T885">
        <f>IF($A885="","",IF(COUNTIF($A$2:$A885,$A885)=1,1,0))</f>
        <v/>
      </c>
      <c r="U885">
        <f>IF($T885=1,SUMPRODUCT(--($W$2:$W$1001&lt;$W885))+1,"")</f>
        <v/>
      </c>
      <c r="V885">
        <f>IF($A885="","",IF(AND(ISNUMBER($R885),NOT(ISLOGICAL($R885)),N($R885)&gt;1),IF(ABS($R885/100-Settings!$C$6)&lt;=ABS($R885/100-Settings!$C$7),1,0),IF(OR($R885=TRUE(),$R885="TRUE"),1,0)))</f>
        <v/>
      </c>
      <c r="W885">
        <f>IF($T885=1,IFERROR(IF(VALUE($A885)&lt;100000000,VALUE($A885),1000000000),IFERROR(IF(VALUE(MID($A885,2,20))&lt;100000000,VALUE(MID($A885,2,20)),1000000000),1000000000))+ROW()/100000,"")</f>
        <v/>
      </c>
    </row>
    <row r="886">
      <c r="F886" s="7">
        <f>IF($A886="","",E886*K886/100)</f>
        <v/>
      </c>
      <c r="J886" s="7" t="n"/>
      <c r="K886" s="7" t="n"/>
      <c r="L886" s="7">
        <f>IF($A886="","",S886*K886)</f>
        <v/>
      </c>
      <c r="M886" s="7">
        <f>IF($A886="","",K886-L886)</f>
        <v/>
      </c>
      <c r="N886" s="7">
        <f>IF($A886="","",M886-F886)</f>
        <v/>
      </c>
      <c r="Q886" s="11" t="n"/>
      <c r="S886">
        <f>IF($A886="","",IF(AND(ISNUMBER($R886),NOT(ISLOGICAL($R886)),N($R886)&gt;1),$R886/100*1,IF($V886=1,Settings!$C$6,Settings!$C$7)*1))</f>
        <v/>
      </c>
      <c r="T886">
        <f>IF($A886="","",IF(COUNTIF($A$2:$A886,$A886)=1,1,0))</f>
        <v/>
      </c>
      <c r="U886">
        <f>IF($T886=1,SUMPRODUCT(--($W$2:$W$1001&lt;$W886))+1,"")</f>
        <v/>
      </c>
      <c r="V886">
        <f>IF($A886="","",IF(AND(ISNUMBER($R886),NOT(ISLOGICAL($R886)),N($R886)&gt;1),IF(ABS($R886/100-Settings!$C$6)&lt;=ABS($R886/100-Settings!$C$7),1,0),IF(OR($R886=TRUE(),$R886="TRUE"),1,0)))</f>
        <v/>
      </c>
      <c r="W886">
        <f>IF($T886=1,IFERROR(IF(VALUE($A886)&lt;100000000,VALUE($A886),1000000000),IFERROR(IF(VALUE(MID($A886,2,20))&lt;100000000,VALUE(MID($A886,2,20)),1000000000),1000000000))+ROW()/100000,"")</f>
        <v/>
      </c>
    </row>
    <row r="887">
      <c r="F887" s="7">
        <f>IF($A887="","",E887*K887/100)</f>
        <v/>
      </c>
      <c r="J887" s="7" t="n"/>
      <c r="K887" s="7" t="n"/>
      <c r="L887" s="7">
        <f>IF($A887="","",S887*K887)</f>
        <v/>
      </c>
      <c r="M887" s="7">
        <f>IF($A887="","",K887-L887)</f>
        <v/>
      </c>
      <c r="N887" s="7">
        <f>IF($A887="","",M887-F887)</f>
        <v/>
      </c>
      <c r="Q887" s="11" t="n"/>
      <c r="S887">
        <f>IF($A887="","",IF(AND(ISNUMBER($R887),NOT(ISLOGICAL($R887)),N($R887)&gt;1),$R887/100*1,IF($V887=1,Settings!$C$6,Settings!$C$7)*1))</f>
        <v/>
      </c>
      <c r="T887">
        <f>IF($A887="","",IF(COUNTIF($A$2:$A887,$A887)=1,1,0))</f>
        <v/>
      </c>
      <c r="U887">
        <f>IF($T887=1,SUMPRODUCT(--($W$2:$W$1001&lt;$W887))+1,"")</f>
        <v/>
      </c>
      <c r="V887">
        <f>IF($A887="","",IF(AND(ISNUMBER($R887),NOT(ISLOGICAL($R887)),N($R887)&gt;1),IF(ABS($R887/100-Settings!$C$6)&lt;=ABS($R887/100-Settings!$C$7),1,0),IF(OR($R887=TRUE(),$R887="TRUE"),1,0)))</f>
        <v/>
      </c>
      <c r="W887">
        <f>IF($T887=1,IFERROR(IF(VALUE($A887)&lt;100000000,VALUE($A887),1000000000),IFERROR(IF(VALUE(MID($A887,2,20))&lt;100000000,VALUE(MID($A887,2,20)),1000000000),1000000000))+ROW()/100000,"")</f>
        <v/>
      </c>
    </row>
    <row r="888">
      <c r="F888" s="7">
        <f>IF($A888="","",E888*K888/100)</f>
        <v/>
      </c>
      <c r="J888" s="7" t="n"/>
      <c r="K888" s="7" t="n"/>
      <c r="L888" s="7">
        <f>IF($A888="","",S888*K888)</f>
        <v/>
      </c>
      <c r="M888" s="7">
        <f>IF($A888="","",K888-L888)</f>
        <v/>
      </c>
      <c r="N888" s="7">
        <f>IF($A888="","",M888-F888)</f>
        <v/>
      </c>
      <c r="Q888" s="11" t="n"/>
      <c r="S888">
        <f>IF($A888="","",IF(AND(ISNUMBER($R888),NOT(ISLOGICAL($R888)),N($R888)&gt;1),$R888/100*1,IF($V888=1,Settings!$C$6,Settings!$C$7)*1))</f>
        <v/>
      </c>
      <c r="T888">
        <f>IF($A888="","",IF(COUNTIF($A$2:$A888,$A888)=1,1,0))</f>
        <v/>
      </c>
      <c r="U888">
        <f>IF($T888=1,SUMPRODUCT(--($W$2:$W$1001&lt;$W888))+1,"")</f>
        <v/>
      </c>
      <c r="V888">
        <f>IF($A888="","",IF(AND(ISNUMBER($R888),NOT(ISLOGICAL($R888)),N($R888)&gt;1),IF(ABS($R888/100-Settings!$C$6)&lt;=ABS($R888/100-Settings!$C$7),1,0),IF(OR($R888=TRUE(),$R888="TRUE"),1,0)))</f>
        <v/>
      </c>
      <c r="W888">
        <f>IF($T888=1,IFERROR(IF(VALUE($A888)&lt;100000000,VALUE($A888),1000000000),IFERROR(IF(VALUE(MID($A888,2,20))&lt;100000000,VALUE(MID($A888,2,20)),1000000000),1000000000))+ROW()/100000,"")</f>
        <v/>
      </c>
    </row>
    <row r="889">
      <c r="F889" s="7">
        <f>IF($A889="","",E889*K889/100)</f>
        <v/>
      </c>
      <c r="J889" s="7" t="n"/>
      <c r="K889" s="7" t="n"/>
      <c r="L889" s="7">
        <f>IF($A889="","",S889*K889)</f>
        <v/>
      </c>
      <c r="M889" s="7">
        <f>IF($A889="","",K889-L889)</f>
        <v/>
      </c>
      <c r="N889" s="7">
        <f>IF($A889="","",M889-F889)</f>
        <v/>
      </c>
      <c r="Q889" s="11" t="n"/>
      <c r="S889">
        <f>IF($A889="","",IF(AND(ISNUMBER($R889),NOT(ISLOGICAL($R889)),N($R889)&gt;1),$R889/100*1,IF($V889=1,Settings!$C$6,Settings!$C$7)*1))</f>
        <v/>
      </c>
      <c r="T889">
        <f>IF($A889="","",IF(COUNTIF($A$2:$A889,$A889)=1,1,0))</f>
        <v/>
      </c>
      <c r="U889">
        <f>IF($T889=1,SUMPRODUCT(--($W$2:$W$1001&lt;$W889))+1,"")</f>
        <v/>
      </c>
      <c r="V889">
        <f>IF($A889="","",IF(AND(ISNUMBER($R889),NOT(ISLOGICAL($R889)),N($R889)&gt;1),IF(ABS($R889/100-Settings!$C$6)&lt;=ABS($R889/100-Settings!$C$7),1,0),IF(OR($R889=TRUE(),$R889="TRUE"),1,0)))</f>
        <v/>
      </c>
      <c r="W889">
        <f>IF($T889=1,IFERROR(IF(VALUE($A889)&lt;100000000,VALUE($A889),1000000000),IFERROR(IF(VALUE(MID($A889,2,20))&lt;100000000,VALUE(MID($A889,2,20)),1000000000),1000000000))+ROW()/100000,"")</f>
        <v/>
      </c>
    </row>
    <row r="890">
      <c r="F890" s="7">
        <f>IF($A890="","",E890*K890/100)</f>
        <v/>
      </c>
      <c r="J890" s="7" t="n"/>
      <c r="K890" s="7" t="n"/>
      <c r="L890" s="7">
        <f>IF($A890="","",S890*K890)</f>
        <v/>
      </c>
      <c r="M890" s="7">
        <f>IF($A890="","",K890-L890)</f>
        <v/>
      </c>
      <c r="N890" s="7">
        <f>IF($A890="","",M890-F890)</f>
        <v/>
      </c>
      <c r="Q890" s="11" t="n"/>
      <c r="S890">
        <f>IF($A890="","",IF(AND(ISNUMBER($R890),NOT(ISLOGICAL($R890)),N($R890)&gt;1),$R890/100*1,IF($V890=1,Settings!$C$6,Settings!$C$7)*1))</f>
        <v/>
      </c>
      <c r="T890">
        <f>IF($A890="","",IF(COUNTIF($A$2:$A890,$A890)=1,1,0))</f>
        <v/>
      </c>
      <c r="U890">
        <f>IF($T890=1,SUMPRODUCT(--($W$2:$W$1001&lt;$W890))+1,"")</f>
        <v/>
      </c>
      <c r="V890">
        <f>IF($A890="","",IF(AND(ISNUMBER($R890),NOT(ISLOGICAL($R890)),N($R890)&gt;1),IF(ABS($R890/100-Settings!$C$6)&lt;=ABS($R890/100-Settings!$C$7),1,0),IF(OR($R890=TRUE(),$R890="TRUE"),1,0)))</f>
        <v/>
      </c>
      <c r="W890">
        <f>IF($T890=1,IFERROR(IF(VALUE($A890)&lt;100000000,VALUE($A890),1000000000),IFERROR(IF(VALUE(MID($A890,2,20))&lt;100000000,VALUE(MID($A890,2,20)),1000000000),1000000000))+ROW()/100000,"")</f>
        <v/>
      </c>
    </row>
    <row r="891">
      <c r="F891" s="7">
        <f>IF($A891="","",E891*K891/100)</f>
        <v/>
      </c>
      <c r="J891" s="7" t="n"/>
      <c r="K891" s="7" t="n"/>
      <c r="L891" s="7">
        <f>IF($A891="","",S891*K891)</f>
        <v/>
      </c>
      <c r="M891" s="7">
        <f>IF($A891="","",K891-L891)</f>
        <v/>
      </c>
      <c r="N891" s="7">
        <f>IF($A891="","",M891-F891)</f>
        <v/>
      </c>
      <c r="Q891" s="11" t="n"/>
      <c r="S891">
        <f>IF($A891="","",IF(AND(ISNUMBER($R891),NOT(ISLOGICAL($R891)),N($R891)&gt;1),$R891/100*1,IF($V891=1,Settings!$C$6,Settings!$C$7)*1))</f>
        <v/>
      </c>
      <c r="T891">
        <f>IF($A891="","",IF(COUNTIF($A$2:$A891,$A891)=1,1,0))</f>
        <v/>
      </c>
      <c r="U891">
        <f>IF($T891=1,SUMPRODUCT(--($W$2:$W$1001&lt;$W891))+1,"")</f>
        <v/>
      </c>
      <c r="V891">
        <f>IF($A891="","",IF(AND(ISNUMBER($R891),NOT(ISLOGICAL($R891)),N($R891)&gt;1),IF(ABS($R891/100-Settings!$C$6)&lt;=ABS($R891/100-Settings!$C$7),1,0),IF(OR($R891=TRUE(),$R891="TRUE"),1,0)))</f>
        <v/>
      </c>
      <c r="W891">
        <f>IF($T891=1,IFERROR(IF(VALUE($A891)&lt;100000000,VALUE($A891),1000000000),IFERROR(IF(VALUE(MID($A891,2,20))&lt;100000000,VALUE(MID($A891,2,20)),1000000000),1000000000))+ROW()/100000,"")</f>
        <v/>
      </c>
    </row>
    <row r="892">
      <c r="F892" s="7">
        <f>IF($A892="","",E892*K892/100)</f>
        <v/>
      </c>
      <c r="J892" s="7" t="n"/>
      <c r="K892" s="7" t="n"/>
      <c r="L892" s="7">
        <f>IF($A892="","",S892*K892)</f>
        <v/>
      </c>
      <c r="M892" s="7">
        <f>IF($A892="","",K892-L892)</f>
        <v/>
      </c>
      <c r="N892" s="7">
        <f>IF($A892="","",M892-F892)</f>
        <v/>
      </c>
      <c r="Q892" s="11" t="n"/>
      <c r="S892">
        <f>IF($A892="","",IF(AND(ISNUMBER($R892),NOT(ISLOGICAL($R892)),N($R892)&gt;1),$R892/100*1,IF($V892=1,Settings!$C$6,Settings!$C$7)*1))</f>
        <v/>
      </c>
      <c r="T892">
        <f>IF($A892="","",IF(COUNTIF($A$2:$A892,$A892)=1,1,0))</f>
        <v/>
      </c>
      <c r="U892">
        <f>IF($T892=1,SUMPRODUCT(--($W$2:$W$1001&lt;$W892))+1,"")</f>
        <v/>
      </c>
      <c r="V892">
        <f>IF($A892="","",IF(AND(ISNUMBER($R892),NOT(ISLOGICAL($R892)),N($R892)&gt;1),IF(ABS($R892/100-Settings!$C$6)&lt;=ABS($R892/100-Settings!$C$7),1,0),IF(OR($R892=TRUE(),$R892="TRUE"),1,0)))</f>
        <v/>
      </c>
      <c r="W892">
        <f>IF($T892=1,IFERROR(IF(VALUE($A892)&lt;100000000,VALUE($A892),1000000000),IFERROR(IF(VALUE(MID($A892,2,20))&lt;100000000,VALUE(MID($A892,2,20)),1000000000),1000000000))+ROW()/100000,"")</f>
        <v/>
      </c>
    </row>
    <row r="893">
      <c r="F893" s="7">
        <f>IF($A893="","",E893*K893/100)</f>
        <v/>
      </c>
      <c r="J893" s="7" t="n"/>
      <c r="K893" s="7" t="n"/>
      <c r="L893" s="7">
        <f>IF($A893="","",S893*K893)</f>
        <v/>
      </c>
      <c r="M893" s="7">
        <f>IF($A893="","",K893-L893)</f>
        <v/>
      </c>
      <c r="N893" s="7">
        <f>IF($A893="","",M893-F893)</f>
        <v/>
      </c>
      <c r="Q893" s="11" t="n"/>
      <c r="S893">
        <f>IF($A893="","",IF(AND(ISNUMBER($R893),NOT(ISLOGICAL($R893)),N($R893)&gt;1),$R893/100*1,IF($V893=1,Settings!$C$6,Settings!$C$7)*1))</f>
        <v/>
      </c>
      <c r="T893">
        <f>IF($A893="","",IF(COUNTIF($A$2:$A893,$A893)=1,1,0))</f>
        <v/>
      </c>
      <c r="U893">
        <f>IF($T893=1,SUMPRODUCT(--($W$2:$W$1001&lt;$W893))+1,"")</f>
        <v/>
      </c>
      <c r="V893">
        <f>IF($A893="","",IF(AND(ISNUMBER($R893),NOT(ISLOGICAL($R893)),N($R893)&gt;1),IF(ABS($R893/100-Settings!$C$6)&lt;=ABS($R893/100-Settings!$C$7),1,0),IF(OR($R893=TRUE(),$R893="TRUE"),1,0)))</f>
        <v/>
      </c>
      <c r="W893">
        <f>IF($T893=1,IFERROR(IF(VALUE($A893)&lt;100000000,VALUE($A893),1000000000),IFERROR(IF(VALUE(MID($A893,2,20))&lt;100000000,VALUE(MID($A893,2,20)),1000000000),1000000000))+ROW()/100000,"")</f>
        <v/>
      </c>
    </row>
    <row r="894">
      <c r="F894" s="7">
        <f>IF($A894="","",E894*K894/100)</f>
        <v/>
      </c>
      <c r="J894" s="7" t="n"/>
      <c r="K894" s="7" t="n"/>
      <c r="L894" s="7">
        <f>IF($A894="","",S894*K894)</f>
        <v/>
      </c>
      <c r="M894" s="7">
        <f>IF($A894="","",K894-L894)</f>
        <v/>
      </c>
      <c r="N894" s="7">
        <f>IF($A894="","",M894-F894)</f>
        <v/>
      </c>
      <c r="Q894" s="11" t="n"/>
      <c r="S894">
        <f>IF($A894="","",IF(AND(ISNUMBER($R894),NOT(ISLOGICAL($R894)),N($R894)&gt;1),$R894/100*1,IF($V894=1,Settings!$C$6,Settings!$C$7)*1))</f>
        <v/>
      </c>
      <c r="T894">
        <f>IF($A894="","",IF(COUNTIF($A$2:$A894,$A894)=1,1,0))</f>
        <v/>
      </c>
      <c r="U894">
        <f>IF($T894=1,SUMPRODUCT(--($W$2:$W$1001&lt;$W894))+1,"")</f>
        <v/>
      </c>
      <c r="V894">
        <f>IF($A894="","",IF(AND(ISNUMBER($R894),NOT(ISLOGICAL($R894)),N($R894)&gt;1),IF(ABS($R894/100-Settings!$C$6)&lt;=ABS($R894/100-Settings!$C$7),1,0),IF(OR($R894=TRUE(),$R894="TRUE"),1,0)))</f>
        <v/>
      </c>
      <c r="W894">
        <f>IF($T894=1,IFERROR(IF(VALUE($A894)&lt;100000000,VALUE($A894),1000000000),IFERROR(IF(VALUE(MID($A894,2,20))&lt;100000000,VALUE(MID($A894,2,20)),1000000000),1000000000))+ROW()/100000,"")</f>
        <v/>
      </c>
    </row>
    <row r="895">
      <c r="F895" s="7">
        <f>IF($A895="","",E895*K895/100)</f>
        <v/>
      </c>
      <c r="J895" s="7" t="n"/>
      <c r="K895" s="7" t="n"/>
      <c r="L895" s="7">
        <f>IF($A895="","",S895*K895)</f>
        <v/>
      </c>
      <c r="M895" s="7">
        <f>IF($A895="","",K895-L895)</f>
        <v/>
      </c>
      <c r="N895" s="7">
        <f>IF($A895="","",M895-F895)</f>
        <v/>
      </c>
      <c r="Q895" s="11" t="n"/>
      <c r="S895">
        <f>IF($A895="","",IF(AND(ISNUMBER($R895),NOT(ISLOGICAL($R895)),N($R895)&gt;1),$R895/100*1,IF($V895=1,Settings!$C$6,Settings!$C$7)*1))</f>
        <v/>
      </c>
      <c r="T895">
        <f>IF($A895="","",IF(COUNTIF($A$2:$A895,$A895)=1,1,0))</f>
        <v/>
      </c>
      <c r="U895">
        <f>IF($T895=1,SUMPRODUCT(--($W$2:$W$1001&lt;$W895))+1,"")</f>
        <v/>
      </c>
      <c r="V895">
        <f>IF($A895="","",IF(AND(ISNUMBER($R895),NOT(ISLOGICAL($R895)),N($R895)&gt;1),IF(ABS($R895/100-Settings!$C$6)&lt;=ABS($R895/100-Settings!$C$7),1,0),IF(OR($R895=TRUE(),$R895="TRUE"),1,0)))</f>
        <v/>
      </c>
      <c r="W895">
        <f>IF($T895=1,IFERROR(IF(VALUE($A895)&lt;100000000,VALUE($A895),1000000000),IFERROR(IF(VALUE(MID($A895,2,20))&lt;100000000,VALUE(MID($A895,2,20)),1000000000),1000000000))+ROW()/100000,"")</f>
        <v/>
      </c>
    </row>
    <row r="896">
      <c r="F896" s="7">
        <f>IF($A896="","",E896*K896/100)</f>
        <v/>
      </c>
      <c r="J896" s="7" t="n"/>
      <c r="K896" s="7" t="n"/>
      <c r="L896" s="7">
        <f>IF($A896="","",S896*K896)</f>
        <v/>
      </c>
      <c r="M896" s="7">
        <f>IF($A896="","",K896-L896)</f>
        <v/>
      </c>
      <c r="N896" s="7">
        <f>IF($A896="","",M896-F896)</f>
        <v/>
      </c>
      <c r="Q896" s="11" t="n"/>
      <c r="S896">
        <f>IF($A896="","",IF(AND(ISNUMBER($R896),NOT(ISLOGICAL($R896)),N($R896)&gt;1),$R896/100*1,IF($V896=1,Settings!$C$6,Settings!$C$7)*1))</f>
        <v/>
      </c>
      <c r="T896">
        <f>IF($A896="","",IF(COUNTIF($A$2:$A896,$A896)=1,1,0))</f>
        <v/>
      </c>
      <c r="U896">
        <f>IF($T896=1,SUMPRODUCT(--($W$2:$W$1001&lt;$W896))+1,"")</f>
        <v/>
      </c>
      <c r="V896">
        <f>IF($A896="","",IF(AND(ISNUMBER($R896),NOT(ISLOGICAL($R896)),N($R896)&gt;1),IF(ABS($R896/100-Settings!$C$6)&lt;=ABS($R896/100-Settings!$C$7),1,0),IF(OR($R896=TRUE(),$R896="TRUE"),1,0)))</f>
        <v/>
      </c>
      <c r="W896">
        <f>IF($T896=1,IFERROR(IF(VALUE($A896)&lt;100000000,VALUE($A896),1000000000),IFERROR(IF(VALUE(MID($A896,2,20))&lt;100000000,VALUE(MID($A896,2,20)),1000000000),1000000000))+ROW()/100000,"")</f>
        <v/>
      </c>
    </row>
    <row r="897">
      <c r="F897" s="7">
        <f>IF($A897="","",E897*K897/100)</f>
        <v/>
      </c>
      <c r="J897" s="7" t="n"/>
      <c r="K897" s="7" t="n"/>
      <c r="L897" s="7">
        <f>IF($A897="","",S897*K897)</f>
        <v/>
      </c>
      <c r="M897" s="7">
        <f>IF($A897="","",K897-L897)</f>
        <v/>
      </c>
      <c r="N897" s="7">
        <f>IF($A897="","",M897-F897)</f>
        <v/>
      </c>
      <c r="Q897" s="11" t="n"/>
      <c r="S897">
        <f>IF($A897="","",IF(AND(ISNUMBER($R897),NOT(ISLOGICAL($R897)),N($R897)&gt;1),$R897/100*1,IF($V897=1,Settings!$C$6,Settings!$C$7)*1))</f>
        <v/>
      </c>
      <c r="T897">
        <f>IF($A897="","",IF(COUNTIF($A$2:$A897,$A897)=1,1,0))</f>
        <v/>
      </c>
      <c r="U897">
        <f>IF($T897=1,SUMPRODUCT(--($W$2:$W$1001&lt;$W897))+1,"")</f>
        <v/>
      </c>
      <c r="V897">
        <f>IF($A897="","",IF(AND(ISNUMBER($R897),NOT(ISLOGICAL($R897)),N($R897)&gt;1),IF(ABS($R897/100-Settings!$C$6)&lt;=ABS($R897/100-Settings!$C$7),1,0),IF(OR($R897=TRUE(),$R897="TRUE"),1,0)))</f>
        <v/>
      </c>
      <c r="W897">
        <f>IF($T897=1,IFERROR(IF(VALUE($A897)&lt;100000000,VALUE($A897),1000000000),IFERROR(IF(VALUE(MID($A897,2,20))&lt;100000000,VALUE(MID($A897,2,20)),1000000000),1000000000))+ROW()/100000,"")</f>
        <v/>
      </c>
    </row>
    <row r="898">
      <c r="F898" s="7">
        <f>IF($A898="","",E898*K898/100)</f>
        <v/>
      </c>
      <c r="J898" s="7" t="n"/>
      <c r="K898" s="7" t="n"/>
      <c r="L898" s="7">
        <f>IF($A898="","",S898*K898)</f>
        <v/>
      </c>
      <c r="M898" s="7">
        <f>IF($A898="","",K898-L898)</f>
        <v/>
      </c>
      <c r="N898" s="7">
        <f>IF($A898="","",M898-F898)</f>
        <v/>
      </c>
      <c r="Q898" s="11" t="n"/>
      <c r="S898">
        <f>IF($A898="","",IF(AND(ISNUMBER($R898),NOT(ISLOGICAL($R898)),N($R898)&gt;1),$R898/100*1,IF($V898=1,Settings!$C$6,Settings!$C$7)*1))</f>
        <v/>
      </c>
      <c r="T898">
        <f>IF($A898="","",IF(COUNTIF($A$2:$A898,$A898)=1,1,0))</f>
        <v/>
      </c>
      <c r="U898">
        <f>IF($T898=1,SUMPRODUCT(--($W$2:$W$1001&lt;$W898))+1,"")</f>
        <v/>
      </c>
      <c r="V898">
        <f>IF($A898="","",IF(AND(ISNUMBER($R898),NOT(ISLOGICAL($R898)),N($R898)&gt;1),IF(ABS($R898/100-Settings!$C$6)&lt;=ABS($R898/100-Settings!$C$7),1,0),IF(OR($R898=TRUE(),$R898="TRUE"),1,0)))</f>
        <v/>
      </c>
      <c r="W898">
        <f>IF($T898=1,IFERROR(IF(VALUE($A898)&lt;100000000,VALUE($A898),1000000000),IFERROR(IF(VALUE(MID($A898,2,20))&lt;100000000,VALUE(MID($A898,2,20)),1000000000),1000000000))+ROW()/100000,"")</f>
        <v/>
      </c>
    </row>
    <row r="899">
      <c r="F899" s="7">
        <f>IF($A899="","",E899*K899/100)</f>
        <v/>
      </c>
      <c r="J899" s="7" t="n"/>
      <c r="K899" s="7" t="n"/>
      <c r="L899" s="7">
        <f>IF($A899="","",S899*K899)</f>
        <v/>
      </c>
      <c r="M899" s="7">
        <f>IF($A899="","",K899-L899)</f>
        <v/>
      </c>
      <c r="N899" s="7">
        <f>IF($A899="","",M899-F899)</f>
        <v/>
      </c>
      <c r="Q899" s="11" t="n"/>
      <c r="S899">
        <f>IF($A899="","",IF(AND(ISNUMBER($R899),NOT(ISLOGICAL($R899)),N($R899)&gt;1),$R899/100*1,IF($V899=1,Settings!$C$6,Settings!$C$7)*1))</f>
        <v/>
      </c>
      <c r="T899">
        <f>IF($A899="","",IF(COUNTIF($A$2:$A899,$A899)=1,1,0))</f>
        <v/>
      </c>
      <c r="U899">
        <f>IF($T899=1,SUMPRODUCT(--($W$2:$W$1001&lt;$W899))+1,"")</f>
        <v/>
      </c>
      <c r="V899">
        <f>IF($A899="","",IF(AND(ISNUMBER($R899),NOT(ISLOGICAL($R899)),N($R899)&gt;1),IF(ABS($R899/100-Settings!$C$6)&lt;=ABS($R899/100-Settings!$C$7),1,0),IF(OR($R899=TRUE(),$R899="TRUE"),1,0)))</f>
        <v/>
      </c>
      <c r="W899">
        <f>IF($T899=1,IFERROR(IF(VALUE($A899)&lt;100000000,VALUE($A899),1000000000),IFERROR(IF(VALUE(MID($A899,2,20))&lt;100000000,VALUE(MID($A899,2,20)),1000000000),1000000000))+ROW()/100000,"")</f>
        <v/>
      </c>
    </row>
    <row r="900">
      <c r="F900" s="7">
        <f>IF($A900="","",E900*K900/100)</f>
        <v/>
      </c>
      <c r="J900" s="7" t="n"/>
      <c r="K900" s="7" t="n"/>
      <c r="L900" s="7">
        <f>IF($A900="","",S900*K900)</f>
        <v/>
      </c>
      <c r="M900" s="7">
        <f>IF($A900="","",K900-L900)</f>
        <v/>
      </c>
      <c r="N900" s="7">
        <f>IF($A900="","",M900-F900)</f>
        <v/>
      </c>
      <c r="Q900" s="11" t="n"/>
      <c r="S900">
        <f>IF($A900="","",IF(AND(ISNUMBER($R900),NOT(ISLOGICAL($R900)),N($R900)&gt;1),$R900/100*1,IF($V900=1,Settings!$C$6,Settings!$C$7)*1))</f>
        <v/>
      </c>
      <c r="T900">
        <f>IF($A900="","",IF(COUNTIF($A$2:$A900,$A900)=1,1,0))</f>
        <v/>
      </c>
      <c r="U900">
        <f>IF($T900=1,SUMPRODUCT(--($W$2:$W$1001&lt;$W900))+1,"")</f>
        <v/>
      </c>
      <c r="V900">
        <f>IF($A900="","",IF(AND(ISNUMBER($R900),NOT(ISLOGICAL($R900)),N($R900)&gt;1),IF(ABS($R900/100-Settings!$C$6)&lt;=ABS($R900/100-Settings!$C$7),1,0),IF(OR($R900=TRUE(),$R900="TRUE"),1,0)))</f>
        <v/>
      </c>
      <c r="W900">
        <f>IF($T900=1,IFERROR(IF(VALUE($A900)&lt;100000000,VALUE($A900),1000000000),IFERROR(IF(VALUE(MID($A900,2,20))&lt;100000000,VALUE(MID($A900,2,20)),1000000000),1000000000))+ROW()/100000,"")</f>
        <v/>
      </c>
    </row>
    <row r="901">
      <c r="F901" s="7">
        <f>IF($A901="","",E901*K901/100)</f>
        <v/>
      </c>
      <c r="J901" s="7" t="n"/>
      <c r="K901" s="7" t="n"/>
      <c r="L901" s="7">
        <f>IF($A901="","",S901*K901)</f>
        <v/>
      </c>
      <c r="M901" s="7">
        <f>IF($A901="","",K901-L901)</f>
        <v/>
      </c>
      <c r="N901" s="7">
        <f>IF($A901="","",M901-F901)</f>
        <v/>
      </c>
      <c r="Q901" s="11" t="n"/>
      <c r="S901">
        <f>IF($A901="","",IF(AND(ISNUMBER($R901),NOT(ISLOGICAL($R901)),N($R901)&gt;1),$R901/100*1,IF($V901=1,Settings!$C$6,Settings!$C$7)*1))</f>
        <v/>
      </c>
      <c r="T901">
        <f>IF($A901="","",IF(COUNTIF($A$2:$A901,$A901)=1,1,0))</f>
        <v/>
      </c>
      <c r="U901">
        <f>IF($T901=1,SUMPRODUCT(--($W$2:$W$1001&lt;$W901))+1,"")</f>
        <v/>
      </c>
      <c r="V901">
        <f>IF($A901="","",IF(AND(ISNUMBER($R901),NOT(ISLOGICAL($R901)),N($R901)&gt;1),IF(ABS($R901/100-Settings!$C$6)&lt;=ABS($R901/100-Settings!$C$7),1,0),IF(OR($R901=TRUE(),$R901="TRUE"),1,0)))</f>
        <v/>
      </c>
      <c r="W901">
        <f>IF($T901=1,IFERROR(IF(VALUE($A901)&lt;100000000,VALUE($A901),1000000000),IFERROR(IF(VALUE(MID($A901,2,20))&lt;100000000,VALUE(MID($A901,2,20)),1000000000),1000000000))+ROW()/100000,"")</f>
        <v/>
      </c>
    </row>
    <row r="902">
      <c r="F902" s="7">
        <f>IF($A902="","",E902*K902/100)</f>
        <v/>
      </c>
      <c r="J902" s="7" t="n"/>
      <c r="K902" s="7" t="n"/>
      <c r="L902" s="7">
        <f>IF($A902="","",S902*K902)</f>
        <v/>
      </c>
      <c r="M902" s="7">
        <f>IF($A902="","",K902-L902)</f>
        <v/>
      </c>
      <c r="N902" s="7">
        <f>IF($A902="","",M902-F902)</f>
        <v/>
      </c>
      <c r="Q902" s="11" t="n"/>
      <c r="S902">
        <f>IF($A902="","",IF(AND(ISNUMBER($R902),NOT(ISLOGICAL($R902)),N($R902)&gt;1),$R902/100*1,IF($V902=1,Settings!$C$6,Settings!$C$7)*1))</f>
        <v/>
      </c>
      <c r="T902">
        <f>IF($A902="","",IF(COUNTIF($A$2:$A902,$A902)=1,1,0))</f>
        <v/>
      </c>
      <c r="U902">
        <f>IF($T902=1,SUMPRODUCT(--($W$2:$W$1001&lt;$W902))+1,"")</f>
        <v/>
      </c>
      <c r="V902">
        <f>IF($A902="","",IF(AND(ISNUMBER($R902),NOT(ISLOGICAL($R902)),N($R902)&gt;1),IF(ABS($R902/100-Settings!$C$6)&lt;=ABS($R902/100-Settings!$C$7),1,0),IF(OR($R902=TRUE(),$R902="TRUE"),1,0)))</f>
        <v/>
      </c>
      <c r="W902">
        <f>IF($T902=1,IFERROR(IF(VALUE($A902)&lt;100000000,VALUE($A902),1000000000),IFERROR(IF(VALUE(MID($A902,2,20))&lt;100000000,VALUE(MID($A902,2,20)),1000000000),1000000000))+ROW()/100000,"")</f>
        <v/>
      </c>
    </row>
    <row r="903">
      <c r="F903" s="7">
        <f>IF($A903="","",E903*K903/100)</f>
        <v/>
      </c>
      <c r="J903" s="7" t="n"/>
      <c r="K903" s="7" t="n"/>
      <c r="L903" s="7">
        <f>IF($A903="","",S903*K903)</f>
        <v/>
      </c>
      <c r="M903" s="7">
        <f>IF($A903="","",K903-L903)</f>
        <v/>
      </c>
      <c r="N903" s="7">
        <f>IF($A903="","",M903-F903)</f>
        <v/>
      </c>
      <c r="Q903" s="11" t="n"/>
      <c r="S903">
        <f>IF($A903="","",IF(AND(ISNUMBER($R903),NOT(ISLOGICAL($R903)),N($R903)&gt;1),$R903/100*1,IF($V903=1,Settings!$C$6,Settings!$C$7)*1))</f>
        <v/>
      </c>
      <c r="T903">
        <f>IF($A903="","",IF(COUNTIF($A$2:$A903,$A903)=1,1,0))</f>
        <v/>
      </c>
      <c r="U903">
        <f>IF($T903=1,SUMPRODUCT(--($W$2:$W$1001&lt;$W903))+1,"")</f>
        <v/>
      </c>
      <c r="V903">
        <f>IF($A903="","",IF(AND(ISNUMBER($R903),NOT(ISLOGICAL($R903)),N($R903)&gt;1),IF(ABS($R903/100-Settings!$C$6)&lt;=ABS($R903/100-Settings!$C$7),1,0),IF(OR($R903=TRUE(),$R903="TRUE"),1,0)))</f>
        <v/>
      </c>
      <c r="W903">
        <f>IF($T903=1,IFERROR(IF(VALUE($A903)&lt;100000000,VALUE($A903),1000000000),IFERROR(IF(VALUE(MID($A903,2,20))&lt;100000000,VALUE(MID($A903,2,20)),1000000000),1000000000))+ROW()/100000,"")</f>
        <v/>
      </c>
    </row>
    <row r="904">
      <c r="F904" s="7">
        <f>IF($A904="","",E904*K904/100)</f>
        <v/>
      </c>
      <c r="J904" s="7" t="n"/>
      <c r="K904" s="7" t="n"/>
      <c r="L904" s="7">
        <f>IF($A904="","",S904*K904)</f>
        <v/>
      </c>
      <c r="M904" s="7">
        <f>IF($A904="","",K904-L904)</f>
        <v/>
      </c>
      <c r="N904" s="7">
        <f>IF($A904="","",M904-F904)</f>
        <v/>
      </c>
      <c r="Q904" s="11" t="n"/>
      <c r="S904">
        <f>IF($A904="","",IF(AND(ISNUMBER($R904),NOT(ISLOGICAL($R904)),N($R904)&gt;1),$R904/100*1,IF($V904=1,Settings!$C$6,Settings!$C$7)*1))</f>
        <v/>
      </c>
      <c r="T904">
        <f>IF($A904="","",IF(COUNTIF($A$2:$A904,$A904)=1,1,0))</f>
        <v/>
      </c>
      <c r="U904">
        <f>IF($T904=1,SUMPRODUCT(--($W$2:$W$1001&lt;$W904))+1,"")</f>
        <v/>
      </c>
      <c r="V904">
        <f>IF($A904="","",IF(AND(ISNUMBER($R904),NOT(ISLOGICAL($R904)),N($R904)&gt;1),IF(ABS($R904/100-Settings!$C$6)&lt;=ABS($R904/100-Settings!$C$7),1,0),IF(OR($R904=TRUE(),$R904="TRUE"),1,0)))</f>
        <v/>
      </c>
      <c r="W904">
        <f>IF($T904=1,IFERROR(IF(VALUE($A904)&lt;100000000,VALUE($A904),1000000000),IFERROR(IF(VALUE(MID($A904,2,20))&lt;100000000,VALUE(MID($A904,2,20)),1000000000),1000000000))+ROW()/100000,"")</f>
        <v/>
      </c>
    </row>
    <row r="905">
      <c r="F905" s="7">
        <f>IF($A905="","",E905*K905/100)</f>
        <v/>
      </c>
      <c r="J905" s="7" t="n"/>
      <c r="K905" s="7" t="n"/>
      <c r="L905" s="7">
        <f>IF($A905="","",S905*K905)</f>
        <v/>
      </c>
      <c r="M905" s="7">
        <f>IF($A905="","",K905-L905)</f>
        <v/>
      </c>
      <c r="N905" s="7">
        <f>IF($A905="","",M905-F905)</f>
        <v/>
      </c>
      <c r="Q905" s="11" t="n"/>
      <c r="S905">
        <f>IF($A905="","",IF(AND(ISNUMBER($R905),NOT(ISLOGICAL($R905)),N($R905)&gt;1),$R905/100*1,IF($V905=1,Settings!$C$6,Settings!$C$7)*1))</f>
        <v/>
      </c>
      <c r="T905">
        <f>IF($A905="","",IF(COUNTIF($A$2:$A905,$A905)=1,1,0))</f>
        <v/>
      </c>
      <c r="U905">
        <f>IF($T905=1,SUMPRODUCT(--($W$2:$W$1001&lt;$W905))+1,"")</f>
        <v/>
      </c>
      <c r="V905">
        <f>IF($A905="","",IF(AND(ISNUMBER($R905),NOT(ISLOGICAL($R905)),N($R905)&gt;1),IF(ABS($R905/100-Settings!$C$6)&lt;=ABS($R905/100-Settings!$C$7),1,0),IF(OR($R905=TRUE(),$R905="TRUE"),1,0)))</f>
        <v/>
      </c>
      <c r="W905">
        <f>IF($T905=1,IFERROR(IF(VALUE($A905)&lt;100000000,VALUE($A905),1000000000),IFERROR(IF(VALUE(MID($A905,2,20))&lt;100000000,VALUE(MID($A905,2,20)),1000000000),1000000000))+ROW()/100000,"")</f>
        <v/>
      </c>
    </row>
    <row r="906">
      <c r="F906" s="7">
        <f>IF($A906="","",E906*K906/100)</f>
        <v/>
      </c>
      <c r="J906" s="7" t="n"/>
      <c r="K906" s="7" t="n"/>
      <c r="L906" s="7">
        <f>IF($A906="","",S906*K906)</f>
        <v/>
      </c>
      <c r="M906" s="7">
        <f>IF($A906="","",K906-L906)</f>
        <v/>
      </c>
      <c r="N906" s="7">
        <f>IF($A906="","",M906-F906)</f>
        <v/>
      </c>
      <c r="Q906" s="11" t="n"/>
      <c r="S906">
        <f>IF($A906="","",IF(AND(ISNUMBER($R906),NOT(ISLOGICAL($R906)),N($R906)&gt;1),$R906/100*1,IF($V906=1,Settings!$C$6,Settings!$C$7)*1))</f>
        <v/>
      </c>
      <c r="T906">
        <f>IF($A906="","",IF(COUNTIF($A$2:$A906,$A906)=1,1,0))</f>
        <v/>
      </c>
      <c r="U906">
        <f>IF($T906=1,SUMPRODUCT(--($W$2:$W$1001&lt;$W906))+1,"")</f>
        <v/>
      </c>
      <c r="V906">
        <f>IF($A906="","",IF(AND(ISNUMBER($R906),NOT(ISLOGICAL($R906)),N($R906)&gt;1),IF(ABS($R906/100-Settings!$C$6)&lt;=ABS($R906/100-Settings!$C$7),1,0),IF(OR($R906=TRUE(),$R906="TRUE"),1,0)))</f>
        <v/>
      </c>
      <c r="W906">
        <f>IF($T906=1,IFERROR(IF(VALUE($A906)&lt;100000000,VALUE($A906),1000000000),IFERROR(IF(VALUE(MID($A906,2,20))&lt;100000000,VALUE(MID($A906,2,20)),1000000000),1000000000))+ROW()/100000,"")</f>
        <v/>
      </c>
    </row>
    <row r="907">
      <c r="F907" s="7">
        <f>IF($A907="","",E907*K907/100)</f>
        <v/>
      </c>
      <c r="J907" s="7" t="n"/>
      <c r="K907" s="7" t="n"/>
      <c r="L907" s="7">
        <f>IF($A907="","",S907*K907)</f>
        <v/>
      </c>
      <c r="M907" s="7">
        <f>IF($A907="","",K907-L907)</f>
        <v/>
      </c>
      <c r="N907" s="7">
        <f>IF($A907="","",M907-F907)</f>
        <v/>
      </c>
      <c r="Q907" s="11" t="n"/>
      <c r="S907">
        <f>IF($A907="","",IF(AND(ISNUMBER($R907),NOT(ISLOGICAL($R907)),N($R907)&gt;1),$R907/100*1,IF($V907=1,Settings!$C$6,Settings!$C$7)*1))</f>
        <v/>
      </c>
      <c r="T907">
        <f>IF($A907="","",IF(COUNTIF($A$2:$A907,$A907)=1,1,0))</f>
        <v/>
      </c>
      <c r="U907">
        <f>IF($T907=1,SUMPRODUCT(--($W$2:$W$1001&lt;$W907))+1,"")</f>
        <v/>
      </c>
      <c r="V907">
        <f>IF($A907="","",IF(AND(ISNUMBER($R907),NOT(ISLOGICAL($R907)),N($R907)&gt;1),IF(ABS($R907/100-Settings!$C$6)&lt;=ABS($R907/100-Settings!$C$7),1,0),IF(OR($R907=TRUE(),$R907="TRUE"),1,0)))</f>
        <v/>
      </c>
      <c r="W907">
        <f>IF($T907=1,IFERROR(IF(VALUE($A907)&lt;100000000,VALUE($A907),1000000000),IFERROR(IF(VALUE(MID($A907,2,20))&lt;100000000,VALUE(MID($A907,2,20)),1000000000),1000000000))+ROW()/100000,"")</f>
        <v/>
      </c>
    </row>
    <row r="908">
      <c r="F908" s="7">
        <f>IF($A908="","",E908*K908/100)</f>
        <v/>
      </c>
      <c r="J908" s="7" t="n"/>
      <c r="K908" s="7" t="n"/>
      <c r="L908" s="7">
        <f>IF($A908="","",S908*K908)</f>
        <v/>
      </c>
      <c r="M908" s="7">
        <f>IF($A908="","",K908-L908)</f>
        <v/>
      </c>
      <c r="N908" s="7">
        <f>IF($A908="","",M908-F908)</f>
        <v/>
      </c>
      <c r="Q908" s="11" t="n"/>
      <c r="S908">
        <f>IF($A908="","",IF(AND(ISNUMBER($R908),NOT(ISLOGICAL($R908)),N($R908)&gt;1),$R908/100*1,IF($V908=1,Settings!$C$6,Settings!$C$7)*1))</f>
        <v/>
      </c>
      <c r="T908">
        <f>IF($A908="","",IF(COUNTIF($A$2:$A908,$A908)=1,1,0))</f>
        <v/>
      </c>
      <c r="U908">
        <f>IF($T908=1,SUMPRODUCT(--($W$2:$W$1001&lt;$W908))+1,"")</f>
        <v/>
      </c>
      <c r="V908">
        <f>IF($A908="","",IF(AND(ISNUMBER($R908),NOT(ISLOGICAL($R908)),N($R908)&gt;1),IF(ABS($R908/100-Settings!$C$6)&lt;=ABS($R908/100-Settings!$C$7),1,0),IF(OR($R908=TRUE(),$R908="TRUE"),1,0)))</f>
        <v/>
      </c>
      <c r="W908">
        <f>IF($T908=1,IFERROR(IF(VALUE($A908)&lt;100000000,VALUE($A908),1000000000),IFERROR(IF(VALUE(MID($A908,2,20))&lt;100000000,VALUE(MID($A908,2,20)),1000000000),1000000000))+ROW()/100000,"")</f>
        <v/>
      </c>
    </row>
    <row r="909">
      <c r="F909" s="7">
        <f>IF($A909="","",E909*K909/100)</f>
        <v/>
      </c>
      <c r="J909" s="7" t="n"/>
      <c r="K909" s="7" t="n"/>
      <c r="L909" s="7">
        <f>IF($A909="","",S909*K909)</f>
        <v/>
      </c>
      <c r="M909" s="7">
        <f>IF($A909="","",K909-L909)</f>
        <v/>
      </c>
      <c r="N909" s="7">
        <f>IF($A909="","",M909-F909)</f>
        <v/>
      </c>
      <c r="Q909" s="11" t="n"/>
      <c r="S909">
        <f>IF($A909="","",IF(AND(ISNUMBER($R909),NOT(ISLOGICAL($R909)),N($R909)&gt;1),$R909/100*1,IF($V909=1,Settings!$C$6,Settings!$C$7)*1))</f>
        <v/>
      </c>
      <c r="T909">
        <f>IF($A909="","",IF(COUNTIF($A$2:$A909,$A909)=1,1,0))</f>
        <v/>
      </c>
      <c r="U909">
        <f>IF($T909=1,SUMPRODUCT(--($W$2:$W$1001&lt;$W909))+1,"")</f>
        <v/>
      </c>
      <c r="V909">
        <f>IF($A909="","",IF(AND(ISNUMBER($R909),NOT(ISLOGICAL($R909)),N($R909)&gt;1),IF(ABS($R909/100-Settings!$C$6)&lt;=ABS($R909/100-Settings!$C$7),1,0),IF(OR($R909=TRUE(),$R909="TRUE"),1,0)))</f>
        <v/>
      </c>
      <c r="W909">
        <f>IF($T909=1,IFERROR(IF(VALUE($A909)&lt;100000000,VALUE($A909),1000000000),IFERROR(IF(VALUE(MID($A909,2,20))&lt;100000000,VALUE(MID($A909,2,20)),1000000000),1000000000))+ROW()/100000,"")</f>
        <v/>
      </c>
    </row>
    <row r="910">
      <c r="F910" s="7">
        <f>IF($A910="","",E910*K910/100)</f>
        <v/>
      </c>
      <c r="J910" s="7" t="n"/>
      <c r="K910" s="7" t="n"/>
      <c r="L910" s="7">
        <f>IF($A910="","",S910*K910)</f>
        <v/>
      </c>
      <c r="M910" s="7">
        <f>IF($A910="","",K910-L910)</f>
        <v/>
      </c>
      <c r="N910" s="7">
        <f>IF($A910="","",M910-F910)</f>
        <v/>
      </c>
      <c r="Q910" s="11" t="n"/>
      <c r="S910">
        <f>IF($A910="","",IF(AND(ISNUMBER($R910),NOT(ISLOGICAL($R910)),N($R910)&gt;1),$R910/100*1,IF($V910=1,Settings!$C$6,Settings!$C$7)*1))</f>
        <v/>
      </c>
      <c r="T910">
        <f>IF($A910="","",IF(COUNTIF($A$2:$A910,$A910)=1,1,0))</f>
        <v/>
      </c>
      <c r="U910">
        <f>IF($T910=1,SUMPRODUCT(--($W$2:$W$1001&lt;$W910))+1,"")</f>
        <v/>
      </c>
      <c r="V910">
        <f>IF($A910="","",IF(AND(ISNUMBER($R910),NOT(ISLOGICAL($R910)),N($R910)&gt;1),IF(ABS($R910/100-Settings!$C$6)&lt;=ABS($R910/100-Settings!$C$7),1,0),IF(OR($R910=TRUE(),$R910="TRUE"),1,0)))</f>
        <v/>
      </c>
      <c r="W910">
        <f>IF($T910=1,IFERROR(IF(VALUE($A910)&lt;100000000,VALUE($A910),1000000000),IFERROR(IF(VALUE(MID($A910,2,20))&lt;100000000,VALUE(MID($A910,2,20)),1000000000),1000000000))+ROW()/100000,"")</f>
        <v/>
      </c>
    </row>
    <row r="911">
      <c r="F911" s="7">
        <f>IF($A911="","",E911*K911/100)</f>
        <v/>
      </c>
      <c r="J911" s="7" t="n"/>
      <c r="K911" s="7" t="n"/>
      <c r="L911" s="7">
        <f>IF($A911="","",S911*K911)</f>
        <v/>
      </c>
      <c r="M911" s="7">
        <f>IF($A911="","",K911-L911)</f>
        <v/>
      </c>
      <c r="N911" s="7">
        <f>IF($A911="","",M911-F911)</f>
        <v/>
      </c>
      <c r="Q911" s="11" t="n"/>
      <c r="S911">
        <f>IF($A911="","",IF(AND(ISNUMBER($R911),NOT(ISLOGICAL($R911)),N($R911)&gt;1),$R911/100*1,IF($V911=1,Settings!$C$6,Settings!$C$7)*1))</f>
        <v/>
      </c>
      <c r="T911">
        <f>IF($A911="","",IF(COUNTIF($A$2:$A911,$A911)=1,1,0))</f>
        <v/>
      </c>
      <c r="U911">
        <f>IF($T911=1,SUMPRODUCT(--($W$2:$W$1001&lt;$W911))+1,"")</f>
        <v/>
      </c>
      <c r="V911">
        <f>IF($A911="","",IF(AND(ISNUMBER($R911),NOT(ISLOGICAL($R911)),N($R911)&gt;1),IF(ABS($R911/100-Settings!$C$6)&lt;=ABS($R911/100-Settings!$C$7),1,0),IF(OR($R911=TRUE(),$R911="TRUE"),1,0)))</f>
        <v/>
      </c>
      <c r="W911">
        <f>IF($T911=1,IFERROR(IF(VALUE($A911)&lt;100000000,VALUE($A911),1000000000),IFERROR(IF(VALUE(MID($A911,2,20))&lt;100000000,VALUE(MID($A911,2,20)),1000000000),1000000000))+ROW()/100000,"")</f>
        <v/>
      </c>
    </row>
    <row r="912">
      <c r="F912" s="7">
        <f>IF($A912="","",E912*K912/100)</f>
        <v/>
      </c>
      <c r="J912" s="7" t="n"/>
      <c r="K912" s="7" t="n"/>
      <c r="L912" s="7">
        <f>IF($A912="","",S912*K912)</f>
        <v/>
      </c>
      <c r="M912" s="7">
        <f>IF($A912="","",K912-L912)</f>
        <v/>
      </c>
      <c r="N912" s="7">
        <f>IF($A912="","",M912-F912)</f>
        <v/>
      </c>
      <c r="Q912" s="11" t="n"/>
      <c r="S912">
        <f>IF($A912="","",IF(AND(ISNUMBER($R912),NOT(ISLOGICAL($R912)),N($R912)&gt;1),$R912/100*1,IF($V912=1,Settings!$C$6,Settings!$C$7)*1))</f>
        <v/>
      </c>
      <c r="T912">
        <f>IF($A912="","",IF(COUNTIF($A$2:$A912,$A912)=1,1,0))</f>
        <v/>
      </c>
      <c r="U912">
        <f>IF($T912=1,SUMPRODUCT(--($W$2:$W$1001&lt;$W912))+1,"")</f>
        <v/>
      </c>
      <c r="V912">
        <f>IF($A912="","",IF(AND(ISNUMBER($R912),NOT(ISLOGICAL($R912)),N($R912)&gt;1),IF(ABS($R912/100-Settings!$C$6)&lt;=ABS($R912/100-Settings!$C$7),1,0),IF(OR($R912=TRUE(),$R912="TRUE"),1,0)))</f>
        <v/>
      </c>
      <c r="W912">
        <f>IF($T912=1,IFERROR(IF(VALUE($A912)&lt;100000000,VALUE($A912),1000000000),IFERROR(IF(VALUE(MID($A912,2,20))&lt;100000000,VALUE(MID($A912,2,20)),1000000000),1000000000))+ROW()/100000,"")</f>
        <v/>
      </c>
    </row>
    <row r="913">
      <c r="F913" s="7">
        <f>IF($A913="","",E913*K913/100)</f>
        <v/>
      </c>
      <c r="J913" s="7" t="n"/>
      <c r="K913" s="7" t="n"/>
      <c r="L913" s="7">
        <f>IF($A913="","",S913*K913)</f>
        <v/>
      </c>
      <c r="M913" s="7">
        <f>IF($A913="","",K913-L913)</f>
        <v/>
      </c>
      <c r="N913" s="7">
        <f>IF($A913="","",M913-F913)</f>
        <v/>
      </c>
      <c r="Q913" s="11" t="n"/>
      <c r="S913">
        <f>IF($A913="","",IF(AND(ISNUMBER($R913),NOT(ISLOGICAL($R913)),N($R913)&gt;1),$R913/100*1,IF($V913=1,Settings!$C$6,Settings!$C$7)*1))</f>
        <v/>
      </c>
      <c r="T913">
        <f>IF($A913="","",IF(COUNTIF($A$2:$A913,$A913)=1,1,0))</f>
        <v/>
      </c>
      <c r="U913">
        <f>IF($T913=1,SUMPRODUCT(--($W$2:$W$1001&lt;$W913))+1,"")</f>
        <v/>
      </c>
      <c r="V913">
        <f>IF($A913="","",IF(AND(ISNUMBER($R913),NOT(ISLOGICAL($R913)),N($R913)&gt;1),IF(ABS($R913/100-Settings!$C$6)&lt;=ABS($R913/100-Settings!$C$7),1,0),IF(OR($R913=TRUE(),$R913="TRUE"),1,0)))</f>
        <v/>
      </c>
      <c r="W913">
        <f>IF($T913=1,IFERROR(IF(VALUE($A913)&lt;100000000,VALUE($A913),1000000000),IFERROR(IF(VALUE(MID($A913,2,20))&lt;100000000,VALUE(MID($A913,2,20)),1000000000),1000000000))+ROW()/100000,"")</f>
        <v/>
      </c>
    </row>
    <row r="914">
      <c r="F914" s="7">
        <f>IF($A914="","",E914*K914/100)</f>
        <v/>
      </c>
      <c r="J914" s="7" t="n"/>
      <c r="K914" s="7" t="n"/>
      <c r="L914" s="7">
        <f>IF($A914="","",S914*K914)</f>
        <v/>
      </c>
      <c r="M914" s="7">
        <f>IF($A914="","",K914-L914)</f>
        <v/>
      </c>
      <c r="N914" s="7">
        <f>IF($A914="","",M914-F914)</f>
        <v/>
      </c>
      <c r="Q914" s="11" t="n"/>
      <c r="S914">
        <f>IF($A914="","",IF(AND(ISNUMBER($R914),NOT(ISLOGICAL($R914)),N($R914)&gt;1),$R914/100*1,IF($V914=1,Settings!$C$6,Settings!$C$7)*1))</f>
        <v/>
      </c>
      <c r="T914">
        <f>IF($A914="","",IF(COUNTIF($A$2:$A914,$A914)=1,1,0))</f>
        <v/>
      </c>
      <c r="U914">
        <f>IF($T914=1,SUMPRODUCT(--($W$2:$W$1001&lt;$W914))+1,"")</f>
        <v/>
      </c>
      <c r="V914">
        <f>IF($A914="","",IF(AND(ISNUMBER($R914),NOT(ISLOGICAL($R914)),N($R914)&gt;1),IF(ABS($R914/100-Settings!$C$6)&lt;=ABS($R914/100-Settings!$C$7),1,0),IF(OR($R914=TRUE(),$R914="TRUE"),1,0)))</f>
        <v/>
      </c>
      <c r="W914">
        <f>IF($T914=1,IFERROR(IF(VALUE($A914)&lt;100000000,VALUE($A914),1000000000),IFERROR(IF(VALUE(MID($A914,2,20))&lt;100000000,VALUE(MID($A914,2,20)),1000000000),1000000000))+ROW()/100000,"")</f>
        <v/>
      </c>
    </row>
    <row r="915">
      <c r="F915" s="7">
        <f>IF($A915="","",E915*K915/100)</f>
        <v/>
      </c>
      <c r="J915" s="7" t="n"/>
      <c r="K915" s="7" t="n"/>
      <c r="L915" s="7">
        <f>IF($A915="","",S915*K915)</f>
        <v/>
      </c>
      <c r="M915" s="7">
        <f>IF($A915="","",K915-L915)</f>
        <v/>
      </c>
      <c r="N915" s="7">
        <f>IF($A915="","",M915-F915)</f>
        <v/>
      </c>
      <c r="Q915" s="11" t="n"/>
      <c r="S915">
        <f>IF($A915="","",IF(AND(ISNUMBER($R915),NOT(ISLOGICAL($R915)),N($R915)&gt;1),$R915/100*1,IF($V915=1,Settings!$C$6,Settings!$C$7)*1))</f>
        <v/>
      </c>
      <c r="T915">
        <f>IF($A915="","",IF(COUNTIF($A$2:$A915,$A915)=1,1,0))</f>
        <v/>
      </c>
      <c r="U915">
        <f>IF($T915=1,SUMPRODUCT(--($W$2:$W$1001&lt;$W915))+1,"")</f>
        <v/>
      </c>
      <c r="V915">
        <f>IF($A915="","",IF(AND(ISNUMBER($R915),NOT(ISLOGICAL($R915)),N($R915)&gt;1),IF(ABS($R915/100-Settings!$C$6)&lt;=ABS($R915/100-Settings!$C$7),1,0),IF(OR($R915=TRUE(),$R915="TRUE"),1,0)))</f>
        <v/>
      </c>
      <c r="W915">
        <f>IF($T915=1,IFERROR(IF(VALUE($A915)&lt;100000000,VALUE($A915),1000000000),IFERROR(IF(VALUE(MID($A915,2,20))&lt;100000000,VALUE(MID($A915,2,20)),1000000000),1000000000))+ROW()/100000,"")</f>
        <v/>
      </c>
    </row>
    <row r="916">
      <c r="F916" s="7">
        <f>IF($A916="","",E916*K916/100)</f>
        <v/>
      </c>
      <c r="J916" s="7" t="n"/>
      <c r="K916" s="7" t="n"/>
      <c r="L916" s="7">
        <f>IF($A916="","",S916*K916)</f>
        <v/>
      </c>
      <c r="M916" s="7">
        <f>IF($A916="","",K916-L916)</f>
        <v/>
      </c>
      <c r="N916" s="7">
        <f>IF($A916="","",M916-F916)</f>
        <v/>
      </c>
      <c r="Q916" s="11" t="n"/>
      <c r="S916">
        <f>IF($A916="","",IF(AND(ISNUMBER($R916),NOT(ISLOGICAL($R916)),N($R916)&gt;1),$R916/100*1,IF($V916=1,Settings!$C$6,Settings!$C$7)*1))</f>
        <v/>
      </c>
      <c r="T916">
        <f>IF($A916="","",IF(COUNTIF($A$2:$A916,$A916)=1,1,0))</f>
        <v/>
      </c>
      <c r="U916">
        <f>IF($T916=1,SUMPRODUCT(--($W$2:$W$1001&lt;$W916))+1,"")</f>
        <v/>
      </c>
      <c r="V916">
        <f>IF($A916="","",IF(AND(ISNUMBER($R916),NOT(ISLOGICAL($R916)),N($R916)&gt;1),IF(ABS($R916/100-Settings!$C$6)&lt;=ABS($R916/100-Settings!$C$7),1,0),IF(OR($R916=TRUE(),$R916="TRUE"),1,0)))</f>
        <v/>
      </c>
      <c r="W916">
        <f>IF($T916=1,IFERROR(IF(VALUE($A916)&lt;100000000,VALUE($A916),1000000000),IFERROR(IF(VALUE(MID($A916,2,20))&lt;100000000,VALUE(MID($A916,2,20)),1000000000),1000000000))+ROW()/100000,"")</f>
        <v/>
      </c>
    </row>
    <row r="917">
      <c r="F917" s="7">
        <f>IF($A917="","",E917*K917/100)</f>
        <v/>
      </c>
      <c r="J917" s="7" t="n"/>
      <c r="K917" s="7" t="n"/>
      <c r="L917" s="7">
        <f>IF($A917="","",S917*K917)</f>
        <v/>
      </c>
      <c r="M917" s="7">
        <f>IF($A917="","",K917-L917)</f>
        <v/>
      </c>
      <c r="N917" s="7">
        <f>IF($A917="","",M917-F917)</f>
        <v/>
      </c>
      <c r="Q917" s="11" t="n"/>
      <c r="S917">
        <f>IF($A917="","",IF(AND(ISNUMBER($R917),NOT(ISLOGICAL($R917)),N($R917)&gt;1),$R917/100*1,IF($V917=1,Settings!$C$6,Settings!$C$7)*1))</f>
        <v/>
      </c>
      <c r="T917">
        <f>IF($A917="","",IF(COUNTIF($A$2:$A917,$A917)=1,1,0))</f>
        <v/>
      </c>
      <c r="U917">
        <f>IF($T917=1,SUMPRODUCT(--($W$2:$W$1001&lt;$W917))+1,"")</f>
        <v/>
      </c>
      <c r="V917">
        <f>IF($A917="","",IF(AND(ISNUMBER($R917),NOT(ISLOGICAL($R917)),N($R917)&gt;1),IF(ABS($R917/100-Settings!$C$6)&lt;=ABS($R917/100-Settings!$C$7),1,0),IF(OR($R917=TRUE(),$R917="TRUE"),1,0)))</f>
        <v/>
      </c>
      <c r="W917">
        <f>IF($T917=1,IFERROR(IF(VALUE($A917)&lt;100000000,VALUE($A917),1000000000),IFERROR(IF(VALUE(MID($A917,2,20))&lt;100000000,VALUE(MID($A917,2,20)),1000000000),1000000000))+ROW()/100000,"")</f>
        <v/>
      </c>
    </row>
    <row r="918">
      <c r="F918" s="7">
        <f>IF($A918="","",E918*K918/100)</f>
        <v/>
      </c>
      <c r="J918" s="7" t="n"/>
      <c r="K918" s="7" t="n"/>
      <c r="L918" s="7">
        <f>IF($A918="","",S918*K918)</f>
        <v/>
      </c>
      <c r="M918" s="7">
        <f>IF($A918="","",K918-L918)</f>
        <v/>
      </c>
      <c r="N918" s="7">
        <f>IF($A918="","",M918-F918)</f>
        <v/>
      </c>
      <c r="Q918" s="11" t="n"/>
      <c r="S918">
        <f>IF($A918="","",IF(AND(ISNUMBER($R918),NOT(ISLOGICAL($R918)),N($R918)&gt;1),$R918/100*1,IF($V918=1,Settings!$C$6,Settings!$C$7)*1))</f>
        <v/>
      </c>
      <c r="T918">
        <f>IF($A918="","",IF(COUNTIF($A$2:$A918,$A918)=1,1,0))</f>
        <v/>
      </c>
      <c r="U918">
        <f>IF($T918=1,SUMPRODUCT(--($W$2:$W$1001&lt;$W918))+1,"")</f>
        <v/>
      </c>
      <c r="V918">
        <f>IF($A918="","",IF(AND(ISNUMBER($R918),NOT(ISLOGICAL($R918)),N($R918)&gt;1),IF(ABS($R918/100-Settings!$C$6)&lt;=ABS($R918/100-Settings!$C$7),1,0),IF(OR($R918=TRUE(),$R918="TRUE"),1,0)))</f>
        <v/>
      </c>
      <c r="W918">
        <f>IF($T918=1,IFERROR(IF(VALUE($A918)&lt;100000000,VALUE($A918),1000000000),IFERROR(IF(VALUE(MID($A918,2,20))&lt;100000000,VALUE(MID($A918,2,20)),1000000000),1000000000))+ROW()/100000,"")</f>
        <v/>
      </c>
    </row>
    <row r="919">
      <c r="F919" s="7">
        <f>IF($A919="","",E919*K919/100)</f>
        <v/>
      </c>
      <c r="J919" s="7" t="n"/>
      <c r="K919" s="7" t="n"/>
      <c r="L919" s="7">
        <f>IF($A919="","",S919*K919)</f>
        <v/>
      </c>
      <c r="M919" s="7">
        <f>IF($A919="","",K919-L919)</f>
        <v/>
      </c>
      <c r="N919" s="7">
        <f>IF($A919="","",M919-F919)</f>
        <v/>
      </c>
      <c r="Q919" s="11" t="n"/>
      <c r="S919">
        <f>IF($A919="","",IF(AND(ISNUMBER($R919),NOT(ISLOGICAL($R919)),N($R919)&gt;1),$R919/100*1,IF($V919=1,Settings!$C$6,Settings!$C$7)*1))</f>
        <v/>
      </c>
      <c r="T919">
        <f>IF($A919="","",IF(COUNTIF($A$2:$A919,$A919)=1,1,0))</f>
        <v/>
      </c>
      <c r="U919">
        <f>IF($T919=1,SUMPRODUCT(--($W$2:$W$1001&lt;$W919))+1,"")</f>
        <v/>
      </c>
      <c r="V919">
        <f>IF($A919="","",IF(AND(ISNUMBER($R919),NOT(ISLOGICAL($R919)),N($R919)&gt;1),IF(ABS($R919/100-Settings!$C$6)&lt;=ABS($R919/100-Settings!$C$7),1,0),IF(OR($R919=TRUE(),$R919="TRUE"),1,0)))</f>
        <v/>
      </c>
      <c r="W919">
        <f>IF($T919=1,IFERROR(IF(VALUE($A919)&lt;100000000,VALUE($A919),1000000000),IFERROR(IF(VALUE(MID($A919,2,20))&lt;100000000,VALUE(MID($A919,2,20)),1000000000),1000000000))+ROW()/100000,"")</f>
        <v/>
      </c>
    </row>
    <row r="920">
      <c r="F920" s="7">
        <f>IF($A920="","",E920*K920/100)</f>
        <v/>
      </c>
      <c r="J920" s="7" t="n"/>
      <c r="K920" s="7" t="n"/>
      <c r="L920" s="7">
        <f>IF($A920="","",S920*K920)</f>
        <v/>
      </c>
      <c r="M920" s="7">
        <f>IF($A920="","",K920-L920)</f>
        <v/>
      </c>
      <c r="N920" s="7">
        <f>IF($A920="","",M920-F920)</f>
        <v/>
      </c>
      <c r="Q920" s="11" t="n"/>
      <c r="S920">
        <f>IF($A920="","",IF(AND(ISNUMBER($R920),NOT(ISLOGICAL($R920)),N($R920)&gt;1),$R920/100*1,IF($V920=1,Settings!$C$6,Settings!$C$7)*1))</f>
        <v/>
      </c>
      <c r="T920">
        <f>IF($A920="","",IF(COUNTIF($A$2:$A920,$A920)=1,1,0))</f>
        <v/>
      </c>
      <c r="U920">
        <f>IF($T920=1,SUMPRODUCT(--($W$2:$W$1001&lt;$W920))+1,"")</f>
        <v/>
      </c>
      <c r="V920">
        <f>IF($A920="","",IF(AND(ISNUMBER($R920),NOT(ISLOGICAL($R920)),N($R920)&gt;1),IF(ABS($R920/100-Settings!$C$6)&lt;=ABS($R920/100-Settings!$C$7),1,0),IF(OR($R920=TRUE(),$R920="TRUE"),1,0)))</f>
        <v/>
      </c>
      <c r="W920">
        <f>IF($T920=1,IFERROR(IF(VALUE($A920)&lt;100000000,VALUE($A920),1000000000),IFERROR(IF(VALUE(MID($A920,2,20))&lt;100000000,VALUE(MID($A920,2,20)),1000000000),1000000000))+ROW()/100000,"")</f>
        <v/>
      </c>
    </row>
    <row r="921">
      <c r="F921" s="7">
        <f>IF($A921="","",E921*K921/100)</f>
        <v/>
      </c>
      <c r="J921" s="7" t="n"/>
      <c r="K921" s="7" t="n"/>
      <c r="L921" s="7">
        <f>IF($A921="","",S921*K921)</f>
        <v/>
      </c>
      <c r="M921" s="7">
        <f>IF($A921="","",K921-L921)</f>
        <v/>
      </c>
      <c r="N921" s="7">
        <f>IF($A921="","",M921-F921)</f>
        <v/>
      </c>
      <c r="Q921" s="11" t="n"/>
      <c r="S921">
        <f>IF($A921="","",IF(AND(ISNUMBER($R921),NOT(ISLOGICAL($R921)),N($R921)&gt;1),$R921/100*1,IF($V921=1,Settings!$C$6,Settings!$C$7)*1))</f>
        <v/>
      </c>
      <c r="T921">
        <f>IF($A921="","",IF(COUNTIF($A$2:$A921,$A921)=1,1,0))</f>
        <v/>
      </c>
      <c r="U921">
        <f>IF($T921=1,SUMPRODUCT(--($W$2:$W$1001&lt;$W921))+1,"")</f>
        <v/>
      </c>
      <c r="V921">
        <f>IF($A921="","",IF(AND(ISNUMBER($R921),NOT(ISLOGICAL($R921)),N($R921)&gt;1),IF(ABS($R921/100-Settings!$C$6)&lt;=ABS($R921/100-Settings!$C$7),1,0),IF(OR($R921=TRUE(),$R921="TRUE"),1,0)))</f>
        <v/>
      </c>
      <c r="W921">
        <f>IF($T921=1,IFERROR(IF(VALUE($A921)&lt;100000000,VALUE($A921),1000000000),IFERROR(IF(VALUE(MID($A921,2,20))&lt;100000000,VALUE(MID($A921,2,20)),1000000000),1000000000))+ROW()/100000,"")</f>
        <v/>
      </c>
    </row>
    <row r="922">
      <c r="F922" s="7">
        <f>IF($A922="","",E922*K922/100)</f>
        <v/>
      </c>
      <c r="J922" s="7" t="n"/>
      <c r="K922" s="7" t="n"/>
      <c r="L922" s="7">
        <f>IF($A922="","",S922*K922)</f>
        <v/>
      </c>
      <c r="M922" s="7">
        <f>IF($A922="","",K922-L922)</f>
        <v/>
      </c>
      <c r="N922" s="7">
        <f>IF($A922="","",M922-F922)</f>
        <v/>
      </c>
      <c r="Q922" s="11" t="n"/>
      <c r="S922">
        <f>IF($A922="","",IF(AND(ISNUMBER($R922),NOT(ISLOGICAL($R922)),N($R922)&gt;1),$R922/100*1,IF($V922=1,Settings!$C$6,Settings!$C$7)*1))</f>
        <v/>
      </c>
      <c r="T922">
        <f>IF($A922="","",IF(COUNTIF($A$2:$A922,$A922)=1,1,0))</f>
        <v/>
      </c>
      <c r="U922">
        <f>IF($T922=1,SUMPRODUCT(--($W$2:$W$1001&lt;$W922))+1,"")</f>
        <v/>
      </c>
      <c r="V922">
        <f>IF($A922="","",IF(AND(ISNUMBER($R922),NOT(ISLOGICAL($R922)),N($R922)&gt;1),IF(ABS($R922/100-Settings!$C$6)&lt;=ABS($R922/100-Settings!$C$7),1,0),IF(OR($R922=TRUE(),$R922="TRUE"),1,0)))</f>
        <v/>
      </c>
      <c r="W922">
        <f>IF($T922=1,IFERROR(IF(VALUE($A922)&lt;100000000,VALUE($A922),1000000000),IFERROR(IF(VALUE(MID($A922,2,20))&lt;100000000,VALUE(MID($A922,2,20)),1000000000),1000000000))+ROW()/100000,"")</f>
        <v/>
      </c>
    </row>
    <row r="923">
      <c r="F923" s="7">
        <f>IF($A923="","",E923*K923/100)</f>
        <v/>
      </c>
      <c r="J923" s="7" t="n"/>
      <c r="K923" s="7" t="n"/>
      <c r="L923" s="7">
        <f>IF($A923="","",S923*K923)</f>
        <v/>
      </c>
      <c r="M923" s="7">
        <f>IF($A923="","",K923-L923)</f>
        <v/>
      </c>
      <c r="N923" s="7">
        <f>IF($A923="","",M923-F923)</f>
        <v/>
      </c>
      <c r="Q923" s="11" t="n"/>
      <c r="S923">
        <f>IF($A923="","",IF(AND(ISNUMBER($R923),NOT(ISLOGICAL($R923)),N($R923)&gt;1),$R923/100*1,IF($V923=1,Settings!$C$6,Settings!$C$7)*1))</f>
        <v/>
      </c>
      <c r="T923">
        <f>IF($A923="","",IF(COUNTIF($A$2:$A923,$A923)=1,1,0))</f>
        <v/>
      </c>
      <c r="U923">
        <f>IF($T923=1,SUMPRODUCT(--($W$2:$W$1001&lt;$W923))+1,"")</f>
        <v/>
      </c>
      <c r="V923">
        <f>IF($A923="","",IF(AND(ISNUMBER($R923),NOT(ISLOGICAL($R923)),N($R923)&gt;1),IF(ABS($R923/100-Settings!$C$6)&lt;=ABS($R923/100-Settings!$C$7),1,0),IF(OR($R923=TRUE(),$R923="TRUE"),1,0)))</f>
        <v/>
      </c>
      <c r="W923">
        <f>IF($T923=1,IFERROR(IF(VALUE($A923)&lt;100000000,VALUE($A923),1000000000),IFERROR(IF(VALUE(MID($A923,2,20))&lt;100000000,VALUE(MID($A923,2,20)),1000000000),1000000000))+ROW()/100000,"")</f>
        <v/>
      </c>
    </row>
    <row r="924">
      <c r="F924" s="7">
        <f>IF($A924="","",E924*K924/100)</f>
        <v/>
      </c>
      <c r="J924" s="7" t="n"/>
      <c r="K924" s="7" t="n"/>
      <c r="L924" s="7">
        <f>IF($A924="","",S924*K924)</f>
        <v/>
      </c>
      <c r="M924" s="7">
        <f>IF($A924="","",K924-L924)</f>
        <v/>
      </c>
      <c r="N924" s="7">
        <f>IF($A924="","",M924-F924)</f>
        <v/>
      </c>
      <c r="Q924" s="11" t="n"/>
      <c r="S924">
        <f>IF($A924="","",IF(AND(ISNUMBER($R924),NOT(ISLOGICAL($R924)),N($R924)&gt;1),$R924/100*1,IF($V924=1,Settings!$C$6,Settings!$C$7)*1))</f>
        <v/>
      </c>
      <c r="T924">
        <f>IF($A924="","",IF(COUNTIF($A$2:$A924,$A924)=1,1,0))</f>
        <v/>
      </c>
      <c r="U924">
        <f>IF($T924=1,SUMPRODUCT(--($W$2:$W$1001&lt;$W924))+1,"")</f>
        <v/>
      </c>
      <c r="V924">
        <f>IF($A924="","",IF(AND(ISNUMBER($R924),NOT(ISLOGICAL($R924)),N($R924)&gt;1),IF(ABS($R924/100-Settings!$C$6)&lt;=ABS($R924/100-Settings!$C$7),1,0),IF(OR($R924=TRUE(),$R924="TRUE"),1,0)))</f>
        <v/>
      </c>
      <c r="W924">
        <f>IF($T924=1,IFERROR(IF(VALUE($A924)&lt;100000000,VALUE($A924),1000000000),IFERROR(IF(VALUE(MID($A924,2,20))&lt;100000000,VALUE(MID($A924,2,20)),1000000000),1000000000))+ROW()/100000,"")</f>
        <v/>
      </c>
    </row>
    <row r="925">
      <c r="F925" s="7">
        <f>IF($A925="","",E925*K925/100)</f>
        <v/>
      </c>
      <c r="J925" s="7" t="n"/>
      <c r="K925" s="7" t="n"/>
      <c r="L925" s="7">
        <f>IF($A925="","",S925*K925)</f>
        <v/>
      </c>
      <c r="M925" s="7">
        <f>IF($A925="","",K925-L925)</f>
        <v/>
      </c>
      <c r="N925" s="7">
        <f>IF($A925="","",M925-F925)</f>
        <v/>
      </c>
      <c r="Q925" s="11" t="n"/>
      <c r="S925">
        <f>IF($A925="","",IF(AND(ISNUMBER($R925),NOT(ISLOGICAL($R925)),N($R925)&gt;1),$R925/100*1,IF($V925=1,Settings!$C$6,Settings!$C$7)*1))</f>
        <v/>
      </c>
      <c r="T925">
        <f>IF($A925="","",IF(COUNTIF($A$2:$A925,$A925)=1,1,0))</f>
        <v/>
      </c>
      <c r="U925">
        <f>IF($T925=1,SUMPRODUCT(--($W$2:$W$1001&lt;$W925))+1,"")</f>
        <v/>
      </c>
      <c r="V925">
        <f>IF($A925="","",IF(AND(ISNUMBER($R925),NOT(ISLOGICAL($R925)),N($R925)&gt;1),IF(ABS($R925/100-Settings!$C$6)&lt;=ABS($R925/100-Settings!$C$7),1,0),IF(OR($R925=TRUE(),$R925="TRUE"),1,0)))</f>
        <v/>
      </c>
      <c r="W925">
        <f>IF($T925=1,IFERROR(IF(VALUE($A925)&lt;100000000,VALUE($A925),1000000000),IFERROR(IF(VALUE(MID($A925,2,20))&lt;100000000,VALUE(MID($A925,2,20)),1000000000),1000000000))+ROW()/100000,"")</f>
        <v/>
      </c>
    </row>
    <row r="926">
      <c r="F926" s="7">
        <f>IF($A926="","",E926*K926/100)</f>
        <v/>
      </c>
      <c r="J926" s="7" t="n"/>
      <c r="K926" s="7" t="n"/>
      <c r="L926" s="7">
        <f>IF($A926="","",S926*K926)</f>
        <v/>
      </c>
      <c r="M926" s="7">
        <f>IF($A926="","",K926-L926)</f>
        <v/>
      </c>
      <c r="N926" s="7">
        <f>IF($A926="","",M926-F926)</f>
        <v/>
      </c>
      <c r="Q926" s="11" t="n"/>
      <c r="S926">
        <f>IF($A926="","",IF(AND(ISNUMBER($R926),NOT(ISLOGICAL($R926)),N($R926)&gt;1),$R926/100*1,IF($V926=1,Settings!$C$6,Settings!$C$7)*1))</f>
        <v/>
      </c>
      <c r="T926">
        <f>IF($A926="","",IF(COUNTIF($A$2:$A926,$A926)=1,1,0))</f>
        <v/>
      </c>
      <c r="U926">
        <f>IF($T926=1,SUMPRODUCT(--($W$2:$W$1001&lt;$W926))+1,"")</f>
        <v/>
      </c>
      <c r="V926">
        <f>IF($A926="","",IF(AND(ISNUMBER($R926),NOT(ISLOGICAL($R926)),N($R926)&gt;1),IF(ABS($R926/100-Settings!$C$6)&lt;=ABS($R926/100-Settings!$C$7),1,0),IF(OR($R926=TRUE(),$R926="TRUE"),1,0)))</f>
        <v/>
      </c>
      <c r="W926">
        <f>IF($T926=1,IFERROR(IF(VALUE($A926)&lt;100000000,VALUE($A926),1000000000),IFERROR(IF(VALUE(MID($A926,2,20))&lt;100000000,VALUE(MID($A926,2,20)),1000000000),1000000000))+ROW()/100000,"")</f>
        <v/>
      </c>
    </row>
    <row r="927">
      <c r="F927" s="7">
        <f>IF($A927="","",E927*K927/100)</f>
        <v/>
      </c>
      <c r="J927" s="7" t="n"/>
      <c r="K927" s="7" t="n"/>
      <c r="L927" s="7">
        <f>IF($A927="","",S927*K927)</f>
        <v/>
      </c>
      <c r="M927" s="7">
        <f>IF($A927="","",K927-L927)</f>
        <v/>
      </c>
      <c r="N927" s="7">
        <f>IF($A927="","",M927-F927)</f>
        <v/>
      </c>
      <c r="Q927" s="11" t="n"/>
      <c r="S927">
        <f>IF($A927="","",IF(AND(ISNUMBER($R927),NOT(ISLOGICAL($R927)),N($R927)&gt;1),$R927/100*1,IF($V927=1,Settings!$C$6,Settings!$C$7)*1))</f>
        <v/>
      </c>
      <c r="T927">
        <f>IF($A927="","",IF(COUNTIF($A$2:$A927,$A927)=1,1,0))</f>
        <v/>
      </c>
      <c r="U927">
        <f>IF($T927=1,SUMPRODUCT(--($W$2:$W$1001&lt;$W927))+1,"")</f>
        <v/>
      </c>
      <c r="V927">
        <f>IF($A927="","",IF(AND(ISNUMBER($R927),NOT(ISLOGICAL($R927)),N($R927)&gt;1),IF(ABS($R927/100-Settings!$C$6)&lt;=ABS($R927/100-Settings!$C$7),1,0),IF(OR($R927=TRUE(),$R927="TRUE"),1,0)))</f>
        <v/>
      </c>
      <c r="W927">
        <f>IF($T927=1,IFERROR(IF(VALUE($A927)&lt;100000000,VALUE($A927),1000000000),IFERROR(IF(VALUE(MID($A927,2,20))&lt;100000000,VALUE(MID($A927,2,20)),1000000000),1000000000))+ROW()/100000,"")</f>
        <v/>
      </c>
    </row>
    <row r="928">
      <c r="F928" s="7">
        <f>IF($A928="","",E928*K928/100)</f>
        <v/>
      </c>
      <c r="J928" s="7" t="n"/>
      <c r="K928" s="7" t="n"/>
      <c r="L928" s="7">
        <f>IF($A928="","",S928*K928)</f>
        <v/>
      </c>
      <c r="M928" s="7">
        <f>IF($A928="","",K928-L928)</f>
        <v/>
      </c>
      <c r="N928" s="7">
        <f>IF($A928="","",M928-F928)</f>
        <v/>
      </c>
      <c r="Q928" s="11" t="n"/>
      <c r="S928">
        <f>IF($A928="","",IF(AND(ISNUMBER($R928),NOT(ISLOGICAL($R928)),N($R928)&gt;1),$R928/100*1,IF($V928=1,Settings!$C$6,Settings!$C$7)*1))</f>
        <v/>
      </c>
      <c r="T928">
        <f>IF($A928="","",IF(COUNTIF($A$2:$A928,$A928)=1,1,0))</f>
        <v/>
      </c>
      <c r="U928">
        <f>IF($T928=1,SUMPRODUCT(--($W$2:$W$1001&lt;$W928))+1,"")</f>
        <v/>
      </c>
      <c r="V928">
        <f>IF($A928="","",IF(AND(ISNUMBER($R928),NOT(ISLOGICAL($R928)),N($R928)&gt;1),IF(ABS($R928/100-Settings!$C$6)&lt;=ABS($R928/100-Settings!$C$7),1,0),IF(OR($R928=TRUE(),$R928="TRUE"),1,0)))</f>
        <v/>
      </c>
      <c r="W928">
        <f>IF($T928=1,IFERROR(IF(VALUE($A928)&lt;100000000,VALUE($A928),1000000000),IFERROR(IF(VALUE(MID($A928,2,20))&lt;100000000,VALUE(MID($A928,2,20)),1000000000),1000000000))+ROW()/100000,"")</f>
        <v/>
      </c>
    </row>
    <row r="929">
      <c r="F929" s="7">
        <f>IF($A929="","",E929*K929/100)</f>
        <v/>
      </c>
      <c r="J929" s="7" t="n"/>
      <c r="K929" s="7" t="n"/>
      <c r="L929" s="7">
        <f>IF($A929="","",S929*K929)</f>
        <v/>
      </c>
      <c r="M929" s="7">
        <f>IF($A929="","",K929-L929)</f>
        <v/>
      </c>
      <c r="N929" s="7">
        <f>IF($A929="","",M929-F929)</f>
        <v/>
      </c>
      <c r="Q929" s="11" t="n"/>
      <c r="S929">
        <f>IF($A929="","",IF(AND(ISNUMBER($R929),NOT(ISLOGICAL($R929)),N($R929)&gt;1),$R929/100*1,IF($V929=1,Settings!$C$6,Settings!$C$7)*1))</f>
        <v/>
      </c>
      <c r="T929">
        <f>IF($A929="","",IF(COUNTIF($A$2:$A929,$A929)=1,1,0))</f>
        <v/>
      </c>
      <c r="U929">
        <f>IF($T929=1,SUMPRODUCT(--($W$2:$W$1001&lt;$W929))+1,"")</f>
        <v/>
      </c>
      <c r="V929">
        <f>IF($A929="","",IF(AND(ISNUMBER($R929),NOT(ISLOGICAL($R929)),N($R929)&gt;1),IF(ABS($R929/100-Settings!$C$6)&lt;=ABS($R929/100-Settings!$C$7),1,0),IF(OR($R929=TRUE(),$R929="TRUE"),1,0)))</f>
        <v/>
      </c>
      <c r="W929">
        <f>IF($T929=1,IFERROR(IF(VALUE($A929)&lt;100000000,VALUE($A929),1000000000),IFERROR(IF(VALUE(MID($A929,2,20))&lt;100000000,VALUE(MID($A929,2,20)),1000000000),1000000000))+ROW()/100000,"")</f>
        <v/>
      </c>
    </row>
    <row r="930">
      <c r="F930" s="7">
        <f>IF($A930="","",E930*K930/100)</f>
        <v/>
      </c>
      <c r="J930" s="7" t="n"/>
      <c r="K930" s="7" t="n"/>
      <c r="L930" s="7">
        <f>IF($A930="","",S930*K930)</f>
        <v/>
      </c>
      <c r="M930" s="7">
        <f>IF($A930="","",K930-L930)</f>
        <v/>
      </c>
      <c r="N930" s="7">
        <f>IF($A930="","",M930-F930)</f>
        <v/>
      </c>
      <c r="Q930" s="11" t="n"/>
      <c r="S930">
        <f>IF($A930="","",IF(AND(ISNUMBER($R930),NOT(ISLOGICAL($R930)),N($R930)&gt;1),$R930/100*1,IF($V930=1,Settings!$C$6,Settings!$C$7)*1))</f>
        <v/>
      </c>
      <c r="T930">
        <f>IF($A930="","",IF(COUNTIF($A$2:$A930,$A930)=1,1,0))</f>
        <v/>
      </c>
      <c r="U930">
        <f>IF($T930=1,SUMPRODUCT(--($W$2:$W$1001&lt;$W930))+1,"")</f>
        <v/>
      </c>
      <c r="V930">
        <f>IF($A930="","",IF(AND(ISNUMBER($R930),NOT(ISLOGICAL($R930)),N($R930)&gt;1),IF(ABS($R930/100-Settings!$C$6)&lt;=ABS($R930/100-Settings!$C$7),1,0),IF(OR($R930=TRUE(),$R930="TRUE"),1,0)))</f>
        <v/>
      </c>
      <c r="W930">
        <f>IF($T930=1,IFERROR(IF(VALUE($A930)&lt;100000000,VALUE($A930),1000000000),IFERROR(IF(VALUE(MID($A930,2,20))&lt;100000000,VALUE(MID($A930,2,20)),1000000000),1000000000))+ROW()/100000,"")</f>
        <v/>
      </c>
    </row>
    <row r="931">
      <c r="F931" s="7">
        <f>IF($A931="","",E931*K931/100)</f>
        <v/>
      </c>
      <c r="J931" s="7" t="n"/>
      <c r="K931" s="7" t="n"/>
      <c r="L931" s="7">
        <f>IF($A931="","",S931*K931)</f>
        <v/>
      </c>
      <c r="M931" s="7">
        <f>IF($A931="","",K931-L931)</f>
        <v/>
      </c>
      <c r="N931" s="7">
        <f>IF($A931="","",M931-F931)</f>
        <v/>
      </c>
      <c r="Q931" s="11" t="n"/>
      <c r="S931">
        <f>IF($A931="","",IF(AND(ISNUMBER($R931),NOT(ISLOGICAL($R931)),N($R931)&gt;1),$R931/100*1,IF($V931=1,Settings!$C$6,Settings!$C$7)*1))</f>
        <v/>
      </c>
      <c r="T931">
        <f>IF($A931="","",IF(COUNTIF($A$2:$A931,$A931)=1,1,0))</f>
        <v/>
      </c>
      <c r="U931">
        <f>IF($T931=1,SUMPRODUCT(--($W$2:$W$1001&lt;$W931))+1,"")</f>
        <v/>
      </c>
      <c r="V931">
        <f>IF($A931="","",IF(AND(ISNUMBER($R931),NOT(ISLOGICAL($R931)),N($R931)&gt;1),IF(ABS($R931/100-Settings!$C$6)&lt;=ABS($R931/100-Settings!$C$7),1,0),IF(OR($R931=TRUE(),$R931="TRUE"),1,0)))</f>
        <v/>
      </c>
      <c r="W931">
        <f>IF($T931=1,IFERROR(IF(VALUE($A931)&lt;100000000,VALUE($A931),1000000000),IFERROR(IF(VALUE(MID($A931,2,20))&lt;100000000,VALUE(MID($A931,2,20)),1000000000),1000000000))+ROW()/100000,"")</f>
        <v/>
      </c>
    </row>
    <row r="932">
      <c r="F932" s="7">
        <f>IF($A932="","",E932*K932/100)</f>
        <v/>
      </c>
      <c r="J932" s="7" t="n"/>
      <c r="K932" s="7" t="n"/>
      <c r="L932" s="7">
        <f>IF($A932="","",S932*K932)</f>
        <v/>
      </c>
      <c r="M932" s="7">
        <f>IF($A932="","",K932-L932)</f>
        <v/>
      </c>
      <c r="N932" s="7">
        <f>IF($A932="","",M932-F932)</f>
        <v/>
      </c>
      <c r="Q932" s="11" t="n"/>
      <c r="S932">
        <f>IF($A932="","",IF(AND(ISNUMBER($R932),NOT(ISLOGICAL($R932)),N($R932)&gt;1),$R932/100*1,IF($V932=1,Settings!$C$6,Settings!$C$7)*1))</f>
        <v/>
      </c>
      <c r="T932">
        <f>IF($A932="","",IF(COUNTIF($A$2:$A932,$A932)=1,1,0))</f>
        <v/>
      </c>
      <c r="U932">
        <f>IF($T932=1,SUMPRODUCT(--($W$2:$W$1001&lt;$W932))+1,"")</f>
        <v/>
      </c>
      <c r="V932">
        <f>IF($A932="","",IF(AND(ISNUMBER($R932),NOT(ISLOGICAL($R932)),N($R932)&gt;1),IF(ABS($R932/100-Settings!$C$6)&lt;=ABS($R932/100-Settings!$C$7),1,0),IF(OR($R932=TRUE(),$R932="TRUE"),1,0)))</f>
        <v/>
      </c>
      <c r="W932">
        <f>IF($T932=1,IFERROR(IF(VALUE($A932)&lt;100000000,VALUE($A932),1000000000),IFERROR(IF(VALUE(MID($A932,2,20))&lt;100000000,VALUE(MID($A932,2,20)),1000000000),1000000000))+ROW()/100000,"")</f>
        <v/>
      </c>
    </row>
    <row r="933">
      <c r="F933" s="7">
        <f>IF($A933="","",E933*K933/100)</f>
        <v/>
      </c>
      <c r="J933" s="7" t="n"/>
      <c r="K933" s="7" t="n"/>
      <c r="L933" s="7">
        <f>IF($A933="","",S933*K933)</f>
        <v/>
      </c>
      <c r="M933" s="7">
        <f>IF($A933="","",K933-L933)</f>
        <v/>
      </c>
      <c r="N933" s="7">
        <f>IF($A933="","",M933-F933)</f>
        <v/>
      </c>
      <c r="Q933" s="11" t="n"/>
      <c r="S933">
        <f>IF($A933="","",IF(AND(ISNUMBER($R933),NOT(ISLOGICAL($R933)),N($R933)&gt;1),$R933/100*1,IF($V933=1,Settings!$C$6,Settings!$C$7)*1))</f>
        <v/>
      </c>
      <c r="T933">
        <f>IF($A933="","",IF(COUNTIF($A$2:$A933,$A933)=1,1,0))</f>
        <v/>
      </c>
      <c r="U933">
        <f>IF($T933=1,SUMPRODUCT(--($W$2:$W$1001&lt;$W933))+1,"")</f>
        <v/>
      </c>
      <c r="V933">
        <f>IF($A933="","",IF(AND(ISNUMBER($R933),NOT(ISLOGICAL($R933)),N($R933)&gt;1),IF(ABS($R933/100-Settings!$C$6)&lt;=ABS($R933/100-Settings!$C$7),1,0),IF(OR($R933=TRUE(),$R933="TRUE"),1,0)))</f>
        <v/>
      </c>
      <c r="W933">
        <f>IF($T933=1,IFERROR(IF(VALUE($A933)&lt;100000000,VALUE($A933),1000000000),IFERROR(IF(VALUE(MID($A933,2,20))&lt;100000000,VALUE(MID($A933,2,20)),1000000000),1000000000))+ROW()/100000,"")</f>
        <v/>
      </c>
    </row>
    <row r="934">
      <c r="F934" s="7">
        <f>IF($A934="","",E934*K934/100)</f>
        <v/>
      </c>
      <c r="J934" s="7" t="n"/>
      <c r="K934" s="7" t="n"/>
      <c r="L934" s="7">
        <f>IF($A934="","",S934*K934)</f>
        <v/>
      </c>
      <c r="M934" s="7">
        <f>IF($A934="","",K934-L934)</f>
        <v/>
      </c>
      <c r="N934" s="7">
        <f>IF($A934="","",M934-F934)</f>
        <v/>
      </c>
      <c r="Q934" s="11" t="n"/>
      <c r="S934">
        <f>IF($A934="","",IF(AND(ISNUMBER($R934),NOT(ISLOGICAL($R934)),N($R934)&gt;1),$R934/100*1,IF($V934=1,Settings!$C$6,Settings!$C$7)*1))</f>
        <v/>
      </c>
      <c r="T934">
        <f>IF($A934="","",IF(COUNTIF($A$2:$A934,$A934)=1,1,0))</f>
        <v/>
      </c>
      <c r="U934">
        <f>IF($T934=1,SUMPRODUCT(--($W$2:$W$1001&lt;$W934))+1,"")</f>
        <v/>
      </c>
      <c r="V934">
        <f>IF($A934="","",IF(AND(ISNUMBER($R934),NOT(ISLOGICAL($R934)),N($R934)&gt;1),IF(ABS($R934/100-Settings!$C$6)&lt;=ABS($R934/100-Settings!$C$7),1,0),IF(OR($R934=TRUE(),$R934="TRUE"),1,0)))</f>
        <v/>
      </c>
      <c r="W934">
        <f>IF($T934=1,IFERROR(IF(VALUE($A934)&lt;100000000,VALUE($A934),1000000000),IFERROR(IF(VALUE(MID($A934,2,20))&lt;100000000,VALUE(MID($A934,2,20)),1000000000),1000000000))+ROW()/100000,"")</f>
        <v/>
      </c>
    </row>
    <row r="935">
      <c r="F935" s="7">
        <f>IF($A935="","",E935*K935/100)</f>
        <v/>
      </c>
      <c r="J935" s="7" t="n"/>
      <c r="K935" s="7" t="n"/>
      <c r="L935" s="7">
        <f>IF($A935="","",S935*K935)</f>
        <v/>
      </c>
      <c r="M935" s="7">
        <f>IF($A935="","",K935-L935)</f>
        <v/>
      </c>
      <c r="N935" s="7">
        <f>IF($A935="","",M935-F935)</f>
        <v/>
      </c>
      <c r="Q935" s="11" t="n"/>
      <c r="S935">
        <f>IF($A935="","",IF(AND(ISNUMBER($R935),NOT(ISLOGICAL($R935)),N($R935)&gt;1),$R935/100*1,IF($V935=1,Settings!$C$6,Settings!$C$7)*1))</f>
        <v/>
      </c>
      <c r="T935">
        <f>IF($A935="","",IF(COUNTIF($A$2:$A935,$A935)=1,1,0))</f>
        <v/>
      </c>
      <c r="U935">
        <f>IF($T935=1,SUMPRODUCT(--($W$2:$W$1001&lt;$W935))+1,"")</f>
        <v/>
      </c>
      <c r="V935">
        <f>IF($A935="","",IF(AND(ISNUMBER($R935),NOT(ISLOGICAL($R935)),N($R935)&gt;1),IF(ABS($R935/100-Settings!$C$6)&lt;=ABS($R935/100-Settings!$C$7),1,0),IF(OR($R935=TRUE(),$R935="TRUE"),1,0)))</f>
        <v/>
      </c>
      <c r="W935">
        <f>IF($T935=1,IFERROR(IF(VALUE($A935)&lt;100000000,VALUE($A935),1000000000),IFERROR(IF(VALUE(MID($A935,2,20))&lt;100000000,VALUE(MID($A935,2,20)),1000000000),1000000000))+ROW()/100000,"")</f>
        <v/>
      </c>
    </row>
    <row r="936">
      <c r="F936" s="7">
        <f>IF($A936="","",E936*K936/100)</f>
        <v/>
      </c>
      <c r="J936" s="7" t="n"/>
      <c r="K936" s="7" t="n"/>
      <c r="L936" s="7">
        <f>IF($A936="","",S936*K936)</f>
        <v/>
      </c>
      <c r="M936" s="7">
        <f>IF($A936="","",K936-L936)</f>
        <v/>
      </c>
      <c r="N936" s="7">
        <f>IF($A936="","",M936-F936)</f>
        <v/>
      </c>
      <c r="Q936" s="11" t="n"/>
      <c r="S936">
        <f>IF($A936="","",IF(AND(ISNUMBER($R936),NOT(ISLOGICAL($R936)),N($R936)&gt;1),$R936/100*1,IF($V936=1,Settings!$C$6,Settings!$C$7)*1))</f>
        <v/>
      </c>
      <c r="T936">
        <f>IF($A936="","",IF(COUNTIF($A$2:$A936,$A936)=1,1,0))</f>
        <v/>
      </c>
      <c r="U936">
        <f>IF($T936=1,SUMPRODUCT(--($W$2:$W$1001&lt;$W936))+1,"")</f>
        <v/>
      </c>
      <c r="V936">
        <f>IF($A936="","",IF(AND(ISNUMBER($R936),NOT(ISLOGICAL($R936)),N($R936)&gt;1),IF(ABS($R936/100-Settings!$C$6)&lt;=ABS($R936/100-Settings!$C$7),1,0),IF(OR($R936=TRUE(),$R936="TRUE"),1,0)))</f>
        <v/>
      </c>
      <c r="W936">
        <f>IF($T936=1,IFERROR(IF(VALUE($A936)&lt;100000000,VALUE($A936),1000000000),IFERROR(IF(VALUE(MID($A936,2,20))&lt;100000000,VALUE(MID($A936,2,20)),1000000000),1000000000))+ROW()/100000,"")</f>
        <v/>
      </c>
    </row>
    <row r="937">
      <c r="F937" s="7">
        <f>IF($A937="","",E937*K937/100)</f>
        <v/>
      </c>
      <c r="J937" s="7" t="n"/>
      <c r="K937" s="7" t="n"/>
      <c r="L937" s="7">
        <f>IF($A937="","",S937*K937)</f>
        <v/>
      </c>
      <c r="M937" s="7">
        <f>IF($A937="","",K937-L937)</f>
        <v/>
      </c>
      <c r="N937" s="7">
        <f>IF($A937="","",M937-F937)</f>
        <v/>
      </c>
      <c r="Q937" s="11" t="n"/>
      <c r="S937">
        <f>IF($A937="","",IF(AND(ISNUMBER($R937),NOT(ISLOGICAL($R937)),N($R937)&gt;1),$R937/100*1,IF($V937=1,Settings!$C$6,Settings!$C$7)*1))</f>
        <v/>
      </c>
      <c r="T937">
        <f>IF($A937="","",IF(COUNTIF($A$2:$A937,$A937)=1,1,0))</f>
        <v/>
      </c>
      <c r="U937">
        <f>IF($T937=1,SUMPRODUCT(--($W$2:$W$1001&lt;$W937))+1,"")</f>
        <v/>
      </c>
      <c r="V937">
        <f>IF($A937="","",IF(AND(ISNUMBER($R937),NOT(ISLOGICAL($R937)),N($R937)&gt;1),IF(ABS($R937/100-Settings!$C$6)&lt;=ABS($R937/100-Settings!$C$7),1,0),IF(OR($R937=TRUE(),$R937="TRUE"),1,0)))</f>
        <v/>
      </c>
      <c r="W937">
        <f>IF($T937=1,IFERROR(IF(VALUE($A937)&lt;100000000,VALUE($A937),1000000000),IFERROR(IF(VALUE(MID($A937,2,20))&lt;100000000,VALUE(MID($A937,2,20)),1000000000),1000000000))+ROW()/100000,"")</f>
        <v/>
      </c>
    </row>
    <row r="938">
      <c r="F938" s="7">
        <f>IF($A938="","",E938*K938/100)</f>
        <v/>
      </c>
      <c r="J938" s="7" t="n"/>
      <c r="K938" s="7" t="n"/>
      <c r="L938" s="7">
        <f>IF($A938="","",S938*K938)</f>
        <v/>
      </c>
      <c r="M938" s="7">
        <f>IF($A938="","",K938-L938)</f>
        <v/>
      </c>
      <c r="N938" s="7">
        <f>IF($A938="","",M938-F938)</f>
        <v/>
      </c>
      <c r="Q938" s="11" t="n"/>
      <c r="S938">
        <f>IF($A938="","",IF(AND(ISNUMBER($R938),NOT(ISLOGICAL($R938)),N($R938)&gt;1),$R938/100*1,IF($V938=1,Settings!$C$6,Settings!$C$7)*1))</f>
        <v/>
      </c>
      <c r="T938">
        <f>IF($A938="","",IF(COUNTIF($A$2:$A938,$A938)=1,1,0))</f>
        <v/>
      </c>
      <c r="U938">
        <f>IF($T938=1,SUMPRODUCT(--($W$2:$W$1001&lt;$W938))+1,"")</f>
        <v/>
      </c>
      <c r="V938">
        <f>IF($A938="","",IF(AND(ISNUMBER($R938),NOT(ISLOGICAL($R938)),N($R938)&gt;1),IF(ABS($R938/100-Settings!$C$6)&lt;=ABS($R938/100-Settings!$C$7),1,0),IF(OR($R938=TRUE(),$R938="TRUE"),1,0)))</f>
        <v/>
      </c>
      <c r="W938">
        <f>IF($T938=1,IFERROR(IF(VALUE($A938)&lt;100000000,VALUE($A938),1000000000),IFERROR(IF(VALUE(MID($A938,2,20))&lt;100000000,VALUE(MID($A938,2,20)),1000000000),1000000000))+ROW()/100000,"")</f>
        <v/>
      </c>
    </row>
    <row r="939">
      <c r="F939" s="7">
        <f>IF($A939="","",E939*K939/100)</f>
        <v/>
      </c>
      <c r="J939" s="7" t="n"/>
      <c r="K939" s="7" t="n"/>
      <c r="L939" s="7">
        <f>IF($A939="","",S939*K939)</f>
        <v/>
      </c>
      <c r="M939" s="7">
        <f>IF($A939="","",K939-L939)</f>
        <v/>
      </c>
      <c r="N939" s="7">
        <f>IF($A939="","",M939-F939)</f>
        <v/>
      </c>
      <c r="Q939" s="11" t="n"/>
      <c r="S939">
        <f>IF($A939="","",IF(AND(ISNUMBER($R939),NOT(ISLOGICAL($R939)),N($R939)&gt;1),$R939/100*1,IF($V939=1,Settings!$C$6,Settings!$C$7)*1))</f>
        <v/>
      </c>
      <c r="T939">
        <f>IF($A939="","",IF(COUNTIF($A$2:$A939,$A939)=1,1,0))</f>
        <v/>
      </c>
      <c r="U939">
        <f>IF($T939=1,SUMPRODUCT(--($W$2:$W$1001&lt;$W939))+1,"")</f>
        <v/>
      </c>
      <c r="V939">
        <f>IF($A939="","",IF(AND(ISNUMBER($R939),NOT(ISLOGICAL($R939)),N($R939)&gt;1),IF(ABS($R939/100-Settings!$C$6)&lt;=ABS($R939/100-Settings!$C$7),1,0),IF(OR($R939=TRUE(),$R939="TRUE"),1,0)))</f>
        <v/>
      </c>
      <c r="W939">
        <f>IF($T939=1,IFERROR(IF(VALUE($A939)&lt;100000000,VALUE($A939),1000000000),IFERROR(IF(VALUE(MID($A939,2,20))&lt;100000000,VALUE(MID($A939,2,20)),1000000000),1000000000))+ROW()/100000,"")</f>
        <v/>
      </c>
    </row>
    <row r="940">
      <c r="F940" s="7">
        <f>IF($A940="","",E940*K940/100)</f>
        <v/>
      </c>
      <c r="J940" s="7" t="n"/>
      <c r="K940" s="7" t="n"/>
      <c r="L940" s="7">
        <f>IF($A940="","",S940*K940)</f>
        <v/>
      </c>
      <c r="M940" s="7">
        <f>IF($A940="","",K940-L940)</f>
        <v/>
      </c>
      <c r="N940" s="7">
        <f>IF($A940="","",M940-F940)</f>
        <v/>
      </c>
      <c r="Q940" s="11" t="n"/>
      <c r="S940">
        <f>IF($A940="","",IF(AND(ISNUMBER($R940),NOT(ISLOGICAL($R940)),N($R940)&gt;1),$R940/100*1,IF($V940=1,Settings!$C$6,Settings!$C$7)*1))</f>
        <v/>
      </c>
      <c r="T940">
        <f>IF($A940="","",IF(COUNTIF($A$2:$A940,$A940)=1,1,0))</f>
        <v/>
      </c>
      <c r="U940">
        <f>IF($T940=1,SUMPRODUCT(--($W$2:$W$1001&lt;$W940))+1,"")</f>
        <v/>
      </c>
      <c r="V940">
        <f>IF($A940="","",IF(AND(ISNUMBER($R940),NOT(ISLOGICAL($R940)),N($R940)&gt;1),IF(ABS($R940/100-Settings!$C$6)&lt;=ABS($R940/100-Settings!$C$7),1,0),IF(OR($R940=TRUE(),$R940="TRUE"),1,0)))</f>
        <v/>
      </c>
      <c r="W940">
        <f>IF($T940=1,IFERROR(IF(VALUE($A940)&lt;100000000,VALUE($A940),1000000000),IFERROR(IF(VALUE(MID($A940,2,20))&lt;100000000,VALUE(MID($A940,2,20)),1000000000),1000000000))+ROW()/100000,"")</f>
        <v/>
      </c>
    </row>
    <row r="941">
      <c r="F941" s="7">
        <f>IF($A941="","",E941*K941/100)</f>
        <v/>
      </c>
      <c r="J941" s="7" t="n"/>
      <c r="K941" s="7" t="n"/>
      <c r="L941" s="7">
        <f>IF($A941="","",S941*K941)</f>
        <v/>
      </c>
      <c r="M941" s="7">
        <f>IF($A941="","",K941-L941)</f>
        <v/>
      </c>
      <c r="N941" s="7">
        <f>IF($A941="","",M941-F941)</f>
        <v/>
      </c>
      <c r="Q941" s="11" t="n"/>
      <c r="S941">
        <f>IF($A941="","",IF(AND(ISNUMBER($R941),NOT(ISLOGICAL($R941)),N($R941)&gt;1),$R941/100*1,IF($V941=1,Settings!$C$6,Settings!$C$7)*1))</f>
        <v/>
      </c>
      <c r="T941">
        <f>IF($A941="","",IF(COUNTIF($A$2:$A941,$A941)=1,1,0))</f>
        <v/>
      </c>
      <c r="U941">
        <f>IF($T941=1,SUMPRODUCT(--($W$2:$W$1001&lt;$W941))+1,"")</f>
        <v/>
      </c>
      <c r="V941">
        <f>IF($A941="","",IF(AND(ISNUMBER($R941),NOT(ISLOGICAL($R941)),N($R941)&gt;1),IF(ABS($R941/100-Settings!$C$6)&lt;=ABS($R941/100-Settings!$C$7),1,0),IF(OR($R941=TRUE(),$R941="TRUE"),1,0)))</f>
        <v/>
      </c>
      <c r="W941">
        <f>IF($T941=1,IFERROR(IF(VALUE($A941)&lt;100000000,VALUE($A941),1000000000),IFERROR(IF(VALUE(MID($A941,2,20))&lt;100000000,VALUE(MID($A941,2,20)),1000000000),1000000000))+ROW()/100000,"")</f>
        <v/>
      </c>
    </row>
    <row r="942">
      <c r="F942" s="7">
        <f>IF($A942="","",E942*K942/100)</f>
        <v/>
      </c>
      <c r="J942" s="7" t="n"/>
      <c r="K942" s="7" t="n"/>
      <c r="L942" s="7">
        <f>IF($A942="","",S942*K942)</f>
        <v/>
      </c>
      <c r="M942" s="7">
        <f>IF($A942="","",K942-L942)</f>
        <v/>
      </c>
      <c r="N942" s="7">
        <f>IF($A942="","",M942-F942)</f>
        <v/>
      </c>
      <c r="Q942" s="11" t="n"/>
      <c r="S942">
        <f>IF($A942="","",IF(AND(ISNUMBER($R942),NOT(ISLOGICAL($R942)),N($R942)&gt;1),$R942/100*1,IF($V942=1,Settings!$C$6,Settings!$C$7)*1))</f>
        <v/>
      </c>
      <c r="T942">
        <f>IF($A942="","",IF(COUNTIF($A$2:$A942,$A942)=1,1,0))</f>
        <v/>
      </c>
      <c r="U942">
        <f>IF($T942=1,SUMPRODUCT(--($W$2:$W$1001&lt;$W942))+1,"")</f>
        <v/>
      </c>
      <c r="V942">
        <f>IF($A942="","",IF(AND(ISNUMBER($R942),NOT(ISLOGICAL($R942)),N($R942)&gt;1),IF(ABS($R942/100-Settings!$C$6)&lt;=ABS($R942/100-Settings!$C$7),1,0),IF(OR($R942=TRUE(),$R942="TRUE"),1,0)))</f>
        <v/>
      </c>
      <c r="W942">
        <f>IF($T942=1,IFERROR(IF(VALUE($A942)&lt;100000000,VALUE($A942),1000000000),IFERROR(IF(VALUE(MID($A942,2,20))&lt;100000000,VALUE(MID($A942,2,20)),1000000000),1000000000))+ROW()/100000,"")</f>
        <v/>
      </c>
    </row>
    <row r="943">
      <c r="F943" s="7">
        <f>IF($A943="","",E943*K943/100)</f>
        <v/>
      </c>
      <c r="J943" s="7" t="n"/>
      <c r="K943" s="7" t="n"/>
      <c r="L943" s="7">
        <f>IF($A943="","",S943*K943)</f>
        <v/>
      </c>
      <c r="M943" s="7">
        <f>IF($A943="","",K943-L943)</f>
        <v/>
      </c>
      <c r="N943" s="7">
        <f>IF($A943="","",M943-F943)</f>
        <v/>
      </c>
      <c r="Q943" s="11" t="n"/>
      <c r="S943">
        <f>IF($A943="","",IF(AND(ISNUMBER($R943),NOT(ISLOGICAL($R943)),N($R943)&gt;1),$R943/100*1,IF($V943=1,Settings!$C$6,Settings!$C$7)*1))</f>
        <v/>
      </c>
      <c r="T943">
        <f>IF($A943="","",IF(COUNTIF($A$2:$A943,$A943)=1,1,0))</f>
        <v/>
      </c>
      <c r="U943">
        <f>IF($T943=1,SUMPRODUCT(--($W$2:$W$1001&lt;$W943))+1,"")</f>
        <v/>
      </c>
      <c r="V943">
        <f>IF($A943="","",IF(AND(ISNUMBER($R943),NOT(ISLOGICAL($R943)),N($R943)&gt;1),IF(ABS($R943/100-Settings!$C$6)&lt;=ABS($R943/100-Settings!$C$7),1,0),IF(OR($R943=TRUE(),$R943="TRUE"),1,0)))</f>
        <v/>
      </c>
      <c r="W943">
        <f>IF($T943=1,IFERROR(IF(VALUE($A943)&lt;100000000,VALUE($A943),1000000000),IFERROR(IF(VALUE(MID($A943,2,20))&lt;100000000,VALUE(MID($A943,2,20)),1000000000),1000000000))+ROW()/100000,"")</f>
        <v/>
      </c>
    </row>
    <row r="944">
      <c r="F944" s="7">
        <f>IF($A944="","",E944*K944/100)</f>
        <v/>
      </c>
      <c r="J944" s="7" t="n"/>
      <c r="K944" s="7" t="n"/>
      <c r="L944" s="7">
        <f>IF($A944="","",S944*K944)</f>
        <v/>
      </c>
      <c r="M944" s="7">
        <f>IF($A944="","",K944-L944)</f>
        <v/>
      </c>
      <c r="N944" s="7">
        <f>IF($A944="","",M944-F944)</f>
        <v/>
      </c>
      <c r="Q944" s="11" t="n"/>
      <c r="S944">
        <f>IF($A944="","",IF(AND(ISNUMBER($R944),NOT(ISLOGICAL($R944)),N($R944)&gt;1),$R944/100*1,IF($V944=1,Settings!$C$6,Settings!$C$7)*1))</f>
        <v/>
      </c>
      <c r="T944">
        <f>IF($A944="","",IF(COUNTIF($A$2:$A944,$A944)=1,1,0))</f>
        <v/>
      </c>
      <c r="U944">
        <f>IF($T944=1,SUMPRODUCT(--($W$2:$W$1001&lt;$W944))+1,"")</f>
        <v/>
      </c>
      <c r="V944">
        <f>IF($A944="","",IF(AND(ISNUMBER($R944),NOT(ISLOGICAL($R944)),N($R944)&gt;1),IF(ABS($R944/100-Settings!$C$6)&lt;=ABS($R944/100-Settings!$C$7),1,0),IF(OR($R944=TRUE(),$R944="TRUE"),1,0)))</f>
        <v/>
      </c>
      <c r="W944">
        <f>IF($T944=1,IFERROR(IF(VALUE($A944)&lt;100000000,VALUE($A944),1000000000),IFERROR(IF(VALUE(MID($A944,2,20))&lt;100000000,VALUE(MID($A944,2,20)),1000000000),1000000000))+ROW()/100000,"")</f>
        <v/>
      </c>
    </row>
    <row r="945">
      <c r="F945" s="7">
        <f>IF($A945="","",E945*K945/100)</f>
        <v/>
      </c>
      <c r="J945" s="7" t="n"/>
      <c r="K945" s="7" t="n"/>
      <c r="L945" s="7">
        <f>IF($A945="","",S945*K945)</f>
        <v/>
      </c>
      <c r="M945" s="7">
        <f>IF($A945="","",K945-L945)</f>
        <v/>
      </c>
      <c r="N945" s="7">
        <f>IF($A945="","",M945-F945)</f>
        <v/>
      </c>
      <c r="Q945" s="11" t="n"/>
      <c r="S945">
        <f>IF($A945="","",IF(AND(ISNUMBER($R945),NOT(ISLOGICAL($R945)),N($R945)&gt;1),$R945/100*1,IF($V945=1,Settings!$C$6,Settings!$C$7)*1))</f>
        <v/>
      </c>
      <c r="T945">
        <f>IF($A945="","",IF(COUNTIF($A$2:$A945,$A945)=1,1,0))</f>
        <v/>
      </c>
      <c r="U945">
        <f>IF($T945=1,SUMPRODUCT(--($W$2:$W$1001&lt;$W945))+1,"")</f>
        <v/>
      </c>
      <c r="V945">
        <f>IF($A945="","",IF(AND(ISNUMBER($R945),NOT(ISLOGICAL($R945)),N($R945)&gt;1),IF(ABS($R945/100-Settings!$C$6)&lt;=ABS($R945/100-Settings!$C$7),1,0),IF(OR($R945=TRUE(),$R945="TRUE"),1,0)))</f>
        <v/>
      </c>
      <c r="W945">
        <f>IF($T945=1,IFERROR(IF(VALUE($A945)&lt;100000000,VALUE($A945),1000000000),IFERROR(IF(VALUE(MID($A945,2,20))&lt;100000000,VALUE(MID($A945,2,20)),1000000000),1000000000))+ROW()/100000,"")</f>
        <v/>
      </c>
    </row>
    <row r="946">
      <c r="F946" s="7">
        <f>IF($A946="","",E946*K946/100)</f>
        <v/>
      </c>
      <c r="J946" s="7" t="n"/>
      <c r="K946" s="7" t="n"/>
      <c r="L946" s="7">
        <f>IF($A946="","",S946*K946)</f>
        <v/>
      </c>
      <c r="M946" s="7">
        <f>IF($A946="","",K946-L946)</f>
        <v/>
      </c>
      <c r="N946" s="7">
        <f>IF($A946="","",M946-F946)</f>
        <v/>
      </c>
      <c r="Q946" s="11" t="n"/>
      <c r="S946">
        <f>IF($A946="","",IF(AND(ISNUMBER($R946),NOT(ISLOGICAL($R946)),N($R946)&gt;1),$R946/100*1,IF($V946=1,Settings!$C$6,Settings!$C$7)*1))</f>
        <v/>
      </c>
      <c r="T946">
        <f>IF($A946="","",IF(COUNTIF($A$2:$A946,$A946)=1,1,0))</f>
        <v/>
      </c>
      <c r="U946">
        <f>IF($T946=1,SUMPRODUCT(--($W$2:$W$1001&lt;$W946))+1,"")</f>
        <v/>
      </c>
      <c r="V946">
        <f>IF($A946="","",IF(AND(ISNUMBER($R946),NOT(ISLOGICAL($R946)),N($R946)&gt;1),IF(ABS($R946/100-Settings!$C$6)&lt;=ABS($R946/100-Settings!$C$7),1,0),IF(OR($R946=TRUE(),$R946="TRUE"),1,0)))</f>
        <v/>
      </c>
      <c r="W946">
        <f>IF($T946=1,IFERROR(IF(VALUE($A946)&lt;100000000,VALUE($A946),1000000000),IFERROR(IF(VALUE(MID($A946,2,20))&lt;100000000,VALUE(MID($A946,2,20)),1000000000),1000000000))+ROW()/100000,"")</f>
        <v/>
      </c>
    </row>
    <row r="947">
      <c r="F947" s="7">
        <f>IF($A947="","",E947*K947/100)</f>
        <v/>
      </c>
      <c r="J947" s="7" t="n"/>
      <c r="K947" s="7" t="n"/>
      <c r="L947" s="7">
        <f>IF($A947="","",S947*K947)</f>
        <v/>
      </c>
      <c r="M947" s="7">
        <f>IF($A947="","",K947-L947)</f>
        <v/>
      </c>
      <c r="N947" s="7">
        <f>IF($A947="","",M947-F947)</f>
        <v/>
      </c>
      <c r="Q947" s="11" t="n"/>
      <c r="S947">
        <f>IF($A947="","",IF(AND(ISNUMBER($R947),NOT(ISLOGICAL($R947)),N($R947)&gt;1),$R947/100*1,IF($V947=1,Settings!$C$6,Settings!$C$7)*1))</f>
        <v/>
      </c>
      <c r="T947">
        <f>IF($A947="","",IF(COUNTIF($A$2:$A947,$A947)=1,1,0))</f>
        <v/>
      </c>
      <c r="U947">
        <f>IF($T947=1,SUMPRODUCT(--($W$2:$W$1001&lt;$W947))+1,"")</f>
        <v/>
      </c>
      <c r="V947">
        <f>IF($A947="","",IF(AND(ISNUMBER($R947),NOT(ISLOGICAL($R947)),N($R947)&gt;1),IF(ABS($R947/100-Settings!$C$6)&lt;=ABS($R947/100-Settings!$C$7),1,0),IF(OR($R947=TRUE(),$R947="TRUE"),1,0)))</f>
        <v/>
      </c>
      <c r="W947">
        <f>IF($T947=1,IFERROR(IF(VALUE($A947)&lt;100000000,VALUE($A947),1000000000),IFERROR(IF(VALUE(MID($A947,2,20))&lt;100000000,VALUE(MID($A947,2,20)),1000000000),1000000000))+ROW()/100000,"")</f>
        <v/>
      </c>
    </row>
    <row r="948">
      <c r="F948" s="7">
        <f>IF($A948="","",E948*K948/100)</f>
        <v/>
      </c>
      <c r="J948" s="7" t="n"/>
      <c r="K948" s="7" t="n"/>
      <c r="L948" s="7">
        <f>IF($A948="","",S948*K948)</f>
        <v/>
      </c>
      <c r="M948" s="7">
        <f>IF($A948="","",K948-L948)</f>
        <v/>
      </c>
      <c r="N948" s="7">
        <f>IF($A948="","",M948-F948)</f>
        <v/>
      </c>
      <c r="Q948" s="11" t="n"/>
      <c r="S948">
        <f>IF($A948="","",IF(AND(ISNUMBER($R948),NOT(ISLOGICAL($R948)),N($R948)&gt;1),$R948/100*1,IF($V948=1,Settings!$C$6,Settings!$C$7)*1))</f>
        <v/>
      </c>
      <c r="T948">
        <f>IF($A948="","",IF(COUNTIF($A$2:$A948,$A948)=1,1,0))</f>
        <v/>
      </c>
      <c r="U948">
        <f>IF($T948=1,SUMPRODUCT(--($W$2:$W$1001&lt;$W948))+1,"")</f>
        <v/>
      </c>
      <c r="V948">
        <f>IF($A948="","",IF(AND(ISNUMBER($R948),NOT(ISLOGICAL($R948)),N($R948)&gt;1),IF(ABS($R948/100-Settings!$C$6)&lt;=ABS($R948/100-Settings!$C$7),1,0),IF(OR($R948=TRUE(),$R948="TRUE"),1,0)))</f>
        <v/>
      </c>
      <c r="W948">
        <f>IF($T948=1,IFERROR(IF(VALUE($A948)&lt;100000000,VALUE($A948),1000000000),IFERROR(IF(VALUE(MID($A948,2,20))&lt;100000000,VALUE(MID($A948,2,20)),1000000000),1000000000))+ROW()/100000,"")</f>
        <v/>
      </c>
    </row>
    <row r="949">
      <c r="F949" s="7">
        <f>IF($A949="","",E949*K949/100)</f>
        <v/>
      </c>
      <c r="J949" s="7" t="n"/>
      <c r="K949" s="7" t="n"/>
      <c r="L949" s="7">
        <f>IF($A949="","",S949*K949)</f>
        <v/>
      </c>
      <c r="M949" s="7">
        <f>IF($A949="","",K949-L949)</f>
        <v/>
      </c>
      <c r="N949" s="7">
        <f>IF($A949="","",M949-F949)</f>
        <v/>
      </c>
      <c r="Q949" s="11" t="n"/>
      <c r="S949">
        <f>IF($A949="","",IF(AND(ISNUMBER($R949),NOT(ISLOGICAL($R949)),N($R949)&gt;1),$R949/100*1,IF($V949=1,Settings!$C$6,Settings!$C$7)*1))</f>
        <v/>
      </c>
      <c r="T949">
        <f>IF($A949="","",IF(COUNTIF($A$2:$A949,$A949)=1,1,0))</f>
        <v/>
      </c>
      <c r="U949">
        <f>IF($T949=1,SUMPRODUCT(--($W$2:$W$1001&lt;$W949))+1,"")</f>
        <v/>
      </c>
      <c r="V949">
        <f>IF($A949="","",IF(AND(ISNUMBER($R949),NOT(ISLOGICAL($R949)),N($R949)&gt;1),IF(ABS($R949/100-Settings!$C$6)&lt;=ABS($R949/100-Settings!$C$7),1,0),IF(OR($R949=TRUE(),$R949="TRUE"),1,0)))</f>
        <v/>
      </c>
      <c r="W949">
        <f>IF($T949=1,IFERROR(IF(VALUE($A949)&lt;100000000,VALUE($A949),1000000000),IFERROR(IF(VALUE(MID($A949,2,20))&lt;100000000,VALUE(MID($A949,2,20)),1000000000),1000000000))+ROW()/100000,"")</f>
        <v/>
      </c>
    </row>
    <row r="950">
      <c r="F950" s="7">
        <f>IF($A950="","",E950*K950/100)</f>
        <v/>
      </c>
      <c r="J950" s="7" t="n"/>
      <c r="K950" s="7" t="n"/>
      <c r="L950" s="7">
        <f>IF($A950="","",S950*K950)</f>
        <v/>
      </c>
      <c r="M950" s="7">
        <f>IF($A950="","",K950-L950)</f>
        <v/>
      </c>
      <c r="N950" s="7">
        <f>IF($A950="","",M950-F950)</f>
        <v/>
      </c>
      <c r="Q950" s="11" t="n"/>
      <c r="S950">
        <f>IF($A950="","",IF(AND(ISNUMBER($R950),NOT(ISLOGICAL($R950)),N($R950)&gt;1),$R950/100*1,IF($V950=1,Settings!$C$6,Settings!$C$7)*1))</f>
        <v/>
      </c>
      <c r="T950">
        <f>IF($A950="","",IF(COUNTIF($A$2:$A950,$A950)=1,1,0))</f>
        <v/>
      </c>
      <c r="U950">
        <f>IF($T950=1,SUMPRODUCT(--($W$2:$W$1001&lt;$W950))+1,"")</f>
        <v/>
      </c>
      <c r="V950">
        <f>IF($A950="","",IF(AND(ISNUMBER($R950),NOT(ISLOGICAL($R950)),N($R950)&gt;1),IF(ABS($R950/100-Settings!$C$6)&lt;=ABS($R950/100-Settings!$C$7),1,0),IF(OR($R950=TRUE(),$R950="TRUE"),1,0)))</f>
        <v/>
      </c>
      <c r="W950">
        <f>IF($T950=1,IFERROR(IF(VALUE($A950)&lt;100000000,VALUE($A950),1000000000),IFERROR(IF(VALUE(MID($A950,2,20))&lt;100000000,VALUE(MID($A950,2,20)),1000000000),1000000000))+ROW()/100000,"")</f>
        <v/>
      </c>
    </row>
    <row r="951">
      <c r="F951" s="7">
        <f>IF($A951="","",E951*K951/100)</f>
        <v/>
      </c>
      <c r="J951" s="7" t="n"/>
      <c r="K951" s="7" t="n"/>
      <c r="L951" s="7">
        <f>IF($A951="","",S951*K951)</f>
        <v/>
      </c>
      <c r="M951" s="7">
        <f>IF($A951="","",K951-L951)</f>
        <v/>
      </c>
      <c r="N951" s="7">
        <f>IF($A951="","",M951-F951)</f>
        <v/>
      </c>
      <c r="Q951" s="11" t="n"/>
      <c r="S951">
        <f>IF($A951="","",IF(AND(ISNUMBER($R951),NOT(ISLOGICAL($R951)),N($R951)&gt;1),$R951/100*1,IF($V951=1,Settings!$C$6,Settings!$C$7)*1))</f>
        <v/>
      </c>
      <c r="T951">
        <f>IF($A951="","",IF(COUNTIF($A$2:$A951,$A951)=1,1,0))</f>
        <v/>
      </c>
      <c r="U951">
        <f>IF($T951=1,SUMPRODUCT(--($W$2:$W$1001&lt;$W951))+1,"")</f>
        <v/>
      </c>
      <c r="V951">
        <f>IF($A951="","",IF(AND(ISNUMBER($R951),NOT(ISLOGICAL($R951)),N($R951)&gt;1),IF(ABS($R951/100-Settings!$C$6)&lt;=ABS($R951/100-Settings!$C$7),1,0),IF(OR($R951=TRUE(),$R951="TRUE"),1,0)))</f>
        <v/>
      </c>
      <c r="W951">
        <f>IF($T951=1,IFERROR(IF(VALUE($A951)&lt;100000000,VALUE($A951),1000000000),IFERROR(IF(VALUE(MID($A951,2,20))&lt;100000000,VALUE(MID($A951,2,20)),1000000000),1000000000))+ROW()/100000,"")</f>
        <v/>
      </c>
    </row>
    <row r="952">
      <c r="F952" s="7">
        <f>IF($A952="","",E952*K952/100)</f>
        <v/>
      </c>
      <c r="J952" s="7" t="n"/>
      <c r="K952" s="7" t="n"/>
      <c r="L952" s="7">
        <f>IF($A952="","",S952*K952)</f>
        <v/>
      </c>
      <c r="M952" s="7">
        <f>IF($A952="","",K952-L952)</f>
        <v/>
      </c>
      <c r="N952" s="7">
        <f>IF($A952="","",M952-F952)</f>
        <v/>
      </c>
      <c r="Q952" s="11" t="n"/>
      <c r="S952">
        <f>IF($A952="","",IF(AND(ISNUMBER($R952),NOT(ISLOGICAL($R952)),N($R952)&gt;1),$R952/100*1,IF($V952=1,Settings!$C$6,Settings!$C$7)*1))</f>
        <v/>
      </c>
      <c r="T952">
        <f>IF($A952="","",IF(COUNTIF($A$2:$A952,$A952)=1,1,0))</f>
        <v/>
      </c>
      <c r="U952">
        <f>IF($T952=1,SUMPRODUCT(--($W$2:$W$1001&lt;$W952))+1,"")</f>
        <v/>
      </c>
      <c r="V952">
        <f>IF($A952="","",IF(AND(ISNUMBER($R952),NOT(ISLOGICAL($R952)),N($R952)&gt;1),IF(ABS($R952/100-Settings!$C$6)&lt;=ABS($R952/100-Settings!$C$7),1,0),IF(OR($R952=TRUE(),$R952="TRUE"),1,0)))</f>
        <v/>
      </c>
      <c r="W952">
        <f>IF($T952=1,IFERROR(IF(VALUE($A952)&lt;100000000,VALUE($A952),1000000000),IFERROR(IF(VALUE(MID($A952,2,20))&lt;100000000,VALUE(MID($A952,2,20)),1000000000),1000000000))+ROW()/100000,"")</f>
        <v/>
      </c>
    </row>
    <row r="953">
      <c r="F953" s="7">
        <f>IF($A953="","",E953*K953/100)</f>
        <v/>
      </c>
      <c r="J953" s="7" t="n"/>
      <c r="K953" s="7" t="n"/>
      <c r="L953" s="7">
        <f>IF($A953="","",S953*K953)</f>
        <v/>
      </c>
      <c r="M953" s="7">
        <f>IF($A953="","",K953-L953)</f>
        <v/>
      </c>
      <c r="N953" s="7">
        <f>IF($A953="","",M953-F953)</f>
        <v/>
      </c>
      <c r="Q953" s="11" t="n"/>
      <c r="S953">
        <f>IF($A953="","",IF(AND(ISNUMBER($R953),NOT(ISLOGICAL($R953)),N($R953)&gt;1),$R953/100*1,IF($V953=1,Settings!$C$6,Settings!$C$7)*1))</f>
        <v/>
      </c>
      <c r="T953">
        <f>IF($A953="","",IF(COUNTIF($A$2:$A953,$A953)=1,1,0))</f>
        <v/>
      </c>
      <c r="U953">
        <f>IF($T953=1,SUMPRODUCT(--($W$2:$W$1001&lt;$W953))+1,"")</f>
        <v/>
      </c>
      <c r="V953">
        <f>IF($A953="","",IF(AND(ISNUMBER($R953),NOT(ISLOGICAL($R953)),N($R953)&gt;1),IF(ABS($R953/100-Settings!$C$6)&lt;=ABS($R953/100-Settings!$C$7),1,0),IF(OR($R953=TRUE(),$R953="TRUE"),1,0)))</f>
        <v/>
      </c>
      <c r="W953">
        <f>IF($T953=1,IFERROR(IF(VALUE($A953)&lt;100000000,VALUE($A953),1000000000),IFERROR(IF(VALUE(MID($A953,2,20))&lt;100000000,VALUE(MID($A953,2,20)),1000000000),1000000000))+ROW()/100000,"")</f>
        <v/>
      </c>
    </row>
    <row r="954">
      <c r="F954" s="7">
        <f>IF($A954="","",E954*K954/100)</f>
        <v/>
      </c>
      <c r="J954" s="7" t="n"/>
      <c r="K954" s="7" t="n"/>
      <c r="L954" s="7">
        <f>IF($A954="","",S954*K954)</f>
        <v/>
      </c>
      <c r="M954" s="7">
        <f>IF($A954="","",K954-L954)</f>
        <v/>
      </c>
      <c r="N954" s="7">
        <f>IF($A954="","",M954-F954)</f>
        <v/>
      </c>
      <c r="Q954" s="11" t="n"/>
      <c r="S954">
        <f>IF($A954="","",IF(AND(ISNUMBER($R954),NOT(ISLOGICAL($R954)),N($R954)&gt;1),$R954/100*1,IF($V954=1,Settings!$C$6,Settings!$C$7)*1))</f>
        <v/>
      </c>
      <c r="T954">
        <f>IF($A954="","",IF(COUNTIF($A$2:$A954,$A954)=1,1,0))</f>
        <v/>
      </c>
      <c r="U954">
        <f>IF($T954=1,SUMPRODUCT(--($W$2:$W$1001&lt;$W954))+1,"")</f>
        <v/>
      </c>
      <c r="V954">
        <f>IF($A954="","",IF(AND(ISNUMBER($R954),NOT(ISLOGICAL($R954)),N($R954)&gt;1),IF(ABS($R954/100-Settings!$C$6)&lt;=ABS($R954/100-Settings!$C$7),1,0),IF(OR($R954=TRUE(),$R954="TRUE"),1,0)))</f>
        <v/>
      </c>
      <c r="W954">
        <f>IF($T954=1,IFERROR(IF(VALUE($A954)&lt;100000000,VALUE($A954),1000000000),IFERROR(IF(VALUE(MID($A954,2,20))&lt;100000000,VALUE(MID($A954,2,20)),1000000000),1000000000))+ROW()/100000,"")</f>
        <v/>
      </c>
    </row>
    <row r="955">
      <c r="F955" s="7">
        <f>IF($A955="","",E955*K955/100)</f>
        <v/>
      </c>
      <c r="J955" s="7" t="n"/>
      <c r="K955" s="7" t="n"/>
      <c r="L955" s="7">
        <f>IF($A955="","",S955*K955)</f>
        <v/>
      </c>
      <c r="M955" s="7">
        <f>IF($A955="","",K955-L955)</f>
        <v/>
      </c>
      <c r="N955" s="7">
        <f>IF($A955="","",M955-F955)</f>
        <v/>
      </c>
      <c r="Q955" s="11" t="n"/>
      <c r="S955">
        <f>IF($A955="","",IF(AND(ISNUMBER($R955),NOT(ISLOGICAL($R955)),N($R955)&gt;1),$R955/100*1,IF($V955=1,Settings!$C$6,Settings!$C$7)*1))</f>
        <v/>
      </c>
      <c r="T955">
        <f>IF($A955="","",IF(COUNTIF($A$2:$A955,$A955)=1,1,0))</f>
        <v/>
      </c>
      <c r="U955">
        <f>IF($T955=1,SUMPRODUCT(--($W$2:$W$1001&lt;$W955))+1,"")</f>
        <v/>
      </c>
      <c r="V955">
        <f>IF($A955="","",IF(AND(ISNUMBER($R955),NOT(ISLOGICAL($R955)),N($R955)&gt;1),IF(ABS($R955/100-Settings!$C$6)&lt;=ABS($R955/100-Settings!$C$7),1,0),IF(OR($R955=TRUE(),$R955="TRUE"),1,0)))</f>
        <v/>
      </c>
      <c r="W955">
        <f>IF($T955=1,IFERROR(IF(VALUE($A955)&lt;100000000,VALUE($A955),1000000000),IFERROR(IF(VALUE(MID($A955,2,20))&lt;100000000,VALUE(MID($A955,2,20)),1000000000),1000000000))+ROW()/100000,"")</f>
        <v/>
      </c>
    </row>
    <row r="956">
      <c r="F956" s="7">
        <f>IF($A956="","",E956*K956/100)</f>
        <v/>
      </c>
      <c r="J956" s="7" t="n"/>
      <c r="K956" s="7" t="n"/>
      <c r="L956" s="7">
        <f>IF($A956="","",S956*K956)</f>
        <v/>
      </c>
      <c r="M956" s="7">
        <f>IF($A956="","",K956-L956)</f>
        <v/>
      </c>
      <c r="N956" s="7">
        <f>IF($A956="","",M956-F956)</f>
        <v/>
      </c>
      <c r="Q956" s="11" t="n"/>
      <c r="S956">
        <f>IF($A956="","",IF(AND(ISNUMBER($R956),NOT(ISLOGICAL($R956)),N($R956)&gt;1),$R956/100*1,IF($V956=1,Settings!$C$6,Settings!$C$7)*1))</f>
        <v/>
      </c>
      <c r="T956">
        <f>IF($A956="","",IF(COUNTIF($A$2:$A956,$A956)=1,1,0))</f>
        <v/>
      </c>
      <c r="U956">
        <f>IF($T956=1,SUMPRODUCT(--($W$2:$W$1001&lt;$W956))+1,"")</f>
        <v/>
      </c>
      <c r="V956">
        <f>IF($A956="","",IF(AND(ISNUMBER($R956),NOT(ISLOGICAL($R956)),N($R956)&gt;1),IF(ABS($R956/100-Settings!$C$6)&lt;=ABS($R956/100-Settings!$C$7),1,0),IF(OR($R956=TRUE(),$R956="TRUE"),1,0)))</f>
        <v/>
      </c>
      <c r="W956">
        <f>IF($T956=1,IFERROR(IF(VALUE($A956)&lt;100000000,VALUE($A956),1000000000),IFERROR(IF(VALUE(MID($A956,2,20))&lt;100000000,VALUE(MID($A956,2,20)),1000000000),1000000000))+ROW()/100000,"")</f>
        <v/>
      </c>
    </row>
    <row r="957">
      <c r="F957" s="7">
        <f>IF($A957="","",E957*K957/100)</f>
        <v/>
      </c>
      <c r="J957" s="7" t="n"/>
      <c r="K957" s="7" t="n"/>
      <c r="L957" s="7">
        <f>IF($A957="","",S957*K957)</f>
        <v/>
      </c>
      <c r="M957" s="7">
        <f>IF($A957="","",K957-L957)</f>
        <v/>
      </c>
      <c r="N957" s="7">
        <f>IF($A957="","",M957-F957)</f>
        <v/>
      </c>
      <c r="Q957" s="11" t="n"/>
      <c r="S957">
        <f>IF($A957="","",IF(AND(ISNUMBER($R957),NOT(ISLOGICAL($R957)),N($R957)&gt;1),$R957/100*1,IF($V957=1,Settings!$C$6,Settings!$C$7)*1))</f>
        <v/>
      </c>
      <c r="T957">
        <f>IF($A957="","",IF(COUNTIF($A$2:$A957,$A957)=1,1,0))</f>
        <v/>
      </c>
      <c r="U957">
        <f>IF($T957=1,SUMPRODUCT(--($W$2:$W$1001&lt;$W957))+1,"")</f>
        <v/>
      </c>
      <c r="V957">
        <f>IF($A957="","",IF(AND(ISNUMBER($R957),NOT(ISLOGICAL($R957)),N($R957)&gt;1),IF(ABS($R957/100-Settings!$C$6)&lt;=ABS($R957/100-Settings!$C$7),1,0),IF(OR($R957=TRUE(),$R957="TRUE"),1,0)))</f>
        <v/>
      </c>
      <c r="W957">
        <f>IF($T957=1,IFERROR(IF(VALUE($A957)&lt;100000000,VALUE($A957),1000000000),IFERROR(IF(VALUE(MID($A957,2,20))&lt;100000000,VALUE(MID($A957,2,20)),1000000000),1000000000))+ROW()/100000,"")</f>
        <v/>
      </c>
    </row>
    <row r="958">
      <c r="F958" s="7">
        <f>IF($A958="","",E958*K958/100)</f>
        <v/>
      </c>
      <c r="J958" s="7" t="n"/>
      <c r="K958" s="7" t="n"/>
      <c r="L958" s="7">
        <f>IF($A958="","",S958*K958)</f>
        <v/>
      </c>
      <c r="M958" s="7">
        <f>IF($A958="","",K958-L958)</f>
        <v/>
      </c>
      <c r="N958" s="7">
        <f>IF($A958="","",M958-F958)</f>
        <v/>
      </c>
      <c r="Q958" s="11" t="n"/>
      <c r="S958">
        <f>IF($A958="","",IF(AND(ISNUMBER($R958),NOT(ISLOGICAL($R958)),N($R958)&gt;1),$R958/100*1,IF($V958=1,Settings!$C$6,Settings!$C$7)*1))</f>
        <v/>
      </c>
      <c r="T958">
        <f>IF($A958="","",IF(COUNTIF($A$2:$A958,$A958)=1,1,0))</f>
        <v/>
      </c>
      <c r="U958">
        <f>IF($T958=1,SUMPRODUCT(--($W$2:$W$1001&lt;$W958))+1,"")</f>
        <v/>
      </c>
      <c r="V958">
        <f>IF($A958="","",IF(AND(ISNUMBER($R958),NOT(ISLOGICAL($R958)),N($R958)&gt;1),IF(ABS($R958/100-Settings!$C$6)&lt;=ABS($R958/100-Settings!$C$7),1,0),IF(OR($R958=TRUE(),$R958="TRUE"),1,0)))</f>
        <v/>
      </c>
      <c r="W958">
        <f>IF($T958=1,IFERROR(IF(VALUE($A958)&lt;100000000,VALUE($A958),1000000000),IFERROR(IF(VALUE(MID($A958,2,20))&lt;100000000,VALUE(MID($A958,2,20)),1000000000),1000000000))+ROW()/100000,"")</f>
        <v/>
      </c>
    </row>
    <row r="959">
      <c r="F959" s="7">
        <f>IF($A959="","",E959*K959/100)</f>
        <v/>
      </c>
      <c r="J959" s="7" t="n"/>
      <c r="K959" s="7" t="n"/>
      <c r="L959" s="7">
        <f>IF($A959="","",S959*K959)</f>
        <v/>
      </c>
      <c r="M959" s="7">
        <f>IF($A959="","",K959-L959)</f>
        <v/>
      </c>
      <c r="N959" s="7">
        <f>IF($A959="","",M959-F959)</f>
        <v/>
      </c>
      <c r="Q959" s="11" t="n"/>
      <c r="S959">
        <f>IF($A959="","",IF(AND(ISNUMBER($R959),NOT(ISLOGICAL($R959)),N($R959)&gt;1),$R959/100*1,IF($V959=1,Settings!$C$6,Settings!$C$7)*1))</f>
        <v/>
      </c>
      <c r="T959">
        <f>IF($A959="","",IF(COUNTIF($A$2:$A959,$A959)=1,1,0))</f>
        <v/>
      </c>
      <c r="U959">
        <f>IF($T959=1,SUMPRODUCT(--($W$2:$W$1001&lt;$W959))+1,"")</f>
        <v/>
      </c>
      <c r="V959">
        <f>IF($A959="","",IF(AND(ISNUMBER($R959),NOT(ISLOGICAL($R959)),N($R959)&gt;1),IF(ABS($R959/100-Settings!$C$6)&lt;=ABS($R959/100-Settings!$C$7),1,0),IF(OR($R959=TRUE(),$R959="TRUE"),1,0)))</f>
        <v/>
      </c>
      <c r="W959">
        <f>IF($T959=1,IFERROR(IF(VALUE($A959)&lt;100000000,VALUE($A959),1000000000),IFERROR(IF(VALUE(MID($A959,2,20))&lt;100000000,VALUE(MID($A959,2,20)),1000000000),1000000000))+ROW()/100000,"")</f>
        <v/>
      </c>
    </row>
    <row r="960">
      <c r="F960" s="7">
        <f>IF($A960="","",E960*K960/100)</f>
        <v/>
      </c>
      <c r="J960" s="7" t="n"/>
      <c r="K960" s="7" t="n"/>
      <c r="L960" s="7">
        <f>IF($A960="","",S960*K960)</f>
        <v/>
      </c>
      <c r="M960" s="7">
        <f>IF($A960="","",K960-L960)</f>
        <v/>
      </c>
      <c r="N960" s="7">
        <f>IF($A960="","",M960-F960)</f>
        <v/>
      </c>
      <c r="Q960" s="11" t="n"/>
      <c r="S960">
        <f>IF($A960="","",IF(AND(ISNUMBER($R960),NOT(ISLOGICAL($R960)),N($R960)&gt;1),$R960/100*1,IF($V960=1,Settings!$C$6,Settings!$C$7)*1))</f>
        <v/>
      </c>
      <c r="T960">
        <f>IF($A960="","",IF(COUNTIF($A$2:$A960,$A960)=1,1,0))</f>
        <v/>
      </c>
      <c r="U960">
        <f>IF($T960=1,SUMPRODUCT(--($W$2:$W$1001&lt;$W960))+1,"")</f>
        <v/>
      </c>
      <c r="V960">
        <f>IF($A960="","",IF(AND(ISNUMBER($R960),NOT(ISLOGICAL($R960)),N($R960)&gt;1),IF(ABS($R960/100-Settings!$C$6)&lt;=ABS($R960/100-Settings!$C$7),1,0),IF(OR($R960=TRUE(),$R960="TRUE"),1,0)))</f>
        <v/>
      </c>
      <c r="W960">
        <f>IF($T960=1,IFERROR(IF(VALUE($A960)&lt;100000000,VALUE($A960),1000000000),IFERROR(IF(VALUE(MID($A960,2,20))&lt;100000000,VALUE(MID($A960,2,20)),1000000000),1000000000))+ROW()/100000,"")</f>
        <v/>
      </c>
    </row>
    <row r="961">
      <c r="F961" s="7">
        <f>IF($A961="","",E961*K961/100)</f>
        <v/>
      </c>
      <c r="J961" s="7" t="n"/>
      <c r="K961" s="7" t="n"/>
      <c r="L961" s="7">
        <f>IF($A961="","",S961*K961)</f>
        <v/>
      </c>
      <c r="M961" s="7">
        <f>IF($A961="","",K961-L961)</f>
        <v/>
      </c>
      <c r="N961" s="7">
        <f>IF($A961="","",M961-F961)</f>
        <v/>
      </c>
      <c r="Q961" s="11" t="n"/>
      <c r="S961">
        <f>IF($A961="","",IF(AND(ISNUMBER($R961),NOT(ISLOGICAL($R961)),N($R961)&gt;1),$R961/100*1,IF($V961=1,Settings!$C$6,Settings!$C$7)*1))</f>
        <v/>
      </c>
      <c r="T961">
        <f>IF($A961="","",IF(COUNTIF($A$2:$A961,$A961)=1,1,0))</f>
        <v/>
      </c>
      <c r="U961">
        <f>IF($T961=1,SUMPRODUCT(--($W$2:$W$1001&lt;$W961))+1,"")</f>
        <v/>
      </c>
      <c r="V961">
        <f>IF($A961="","",IF(AND(ISNUMBER($R961),NOT(ISLOGICAL($R961)),N($R961)&gt;1),IF(ABS($R961/100-Settings!$C$6)&lt;=ABS($R961/100-Settings!$C$7),1,0),IF(OR($R961=TRUE(),$R961="TRUE"),1,0)))</f>
        <v/>
      </c>
      <c r="W961">
        <f>IF($T961=1,IFERROR(IF(VALUE($A961)&lt;100000000,VALUE($A961),1000000000),IFERROR(IF(VALUE(MID($A961,2,20))&lt;100000000,VALUE(MID($A961,2,20)),1000000000),1000000000))+ROW()/100000,"")</f>
        <v/>
      </c>
    </row>
    <row r="962">
      <c r="F962" s="7">
        <f>IF($A962="","",E962*K962/100)</f>
        <v/>
      </c>
      <c r="J962" s="7" t="n"/>
      <c r="K962" s="7" t="n"/>
      <c r="L962" s="7">
        <f>IF($A962="","",S962*K962)</f>
        <v/>
      </c>
      <c r="M962" s="7">
        <f>IF($A962="","",K962-L962)</f>
        <v/>
      </c>
      <c r="N962" s="7">
        <f>IF($A962="","",M962-F962)</f>
        <v/>
      </c>
      <c r="Q962" s="11" t="n"/>
      <c r="S962">
        <f>IF($A962="","",IF(AND(ISNUMBER($R962),NOT(ISLOGICAL($R962)),N($R962)&gt;1),$R962/100*1,IF($V962=1,Settings!$C$6,Settings!$C$7)*1))</f>
        <v/>
      </c>
      <c r="T962">
        <f>IF($A962="","",IF(COUNTIF($A$2:$A962,$A962)=1,1,0))</f>
        <v/>
      </c>
      <c r="U962">
        <f>IF($T962=1,SUMPRODUCT(--($W$2:$W$1001&lt;$W962))+1,"")</f>
        <v/>
      </c>
      <c r="V962">
        <f>IF($A962="","",IF(AND(ISNUMBER($R962),NOT(ISLOGICAL($R962)),N($R962)&gt;1),IF(ABS($R962/100-Settings!$C$6)&lt;=ABS($R962/100-Settings!$C$7),1,0),IF(OR($R962=TRUE(),$R962="TRUE"),1,0)))</f>
        <v/>
      </c>
      <c r="W962">
        <f>IF($T962=1,IFERROR(IF(VALUE($A962)&lt;100000000,VALUE($A962),1000000000),IFERROR(IF(VALUE(MID($A962,2,20))&lt;100000000,VALUE(MID($A962,2,20)),1000000000),1000000000))+ROW()/100000,"")</f>
        <v/>
      </c>
    </row>
    <row r="963">
      <c r="F963" s="7">
        <f>IF($A963="","",E963*K963/100)</f>
        <v/>
      </c>
      <c r="J963" s="7" t="n"/>
      <c r="K963" s="7" t="n"/>
      <c r="L963" s="7">
        <f>IF($A963="","",S963*K963)</f>
        <v/>
      </c>
      <c r="M963" s="7">
        <f>IF($A963="","",K963-L963)</f>
        <v/>
      </c>
      <c r="N963" s="7">
        <f>IF($A963="","",M963-F963)</f>
        <v/>
      </c>
      <c r="Q963" s="11" t="n"/>
      <c r="S963">
        <f>IF($A963="","",IF(AND(ISNUMBER($R963),NOT(ISLOGICAL($R963)),N($R963)&gt;1),$R963/100*1,IF($V963=1,Settings!$C$6,Settings!$C$7)*1))</f>
        <v/>
      </c>
      <c r="T963">
        <f>IF($A963="","",IF(COUNTIF($A$2:$A963,$A963)=1,1,0))</f>
        <v/>
      </c>
      <c r="U963">
        <f>IF($T963=1,SUMPRODUCT(--($W$2:$W$1001&lt;$W963))+1,"")</f>
        <v/>
      </c>
      <c r="V963">
        <f>IF($A963="","",IF(AND(ISNUMBER($R963),NOT(ISLOGICAL($R963)),N($R963)&gt;1),IF(ABS($R963/100-Settings!$C$6)&lt;=ABS($R963/100-Settings!$C$7),1,0),IF(OR($R963=TRUE(),$R963="TRUE"),1,0)))</f>
        <v/>
      </c>
      <c r="W963">
        <f>IF($T963=1,IFERROR(IF(VALUE($A963)&lt;100000000,VALUE($A963),1000000000),IFERROR(IF(VALUE(MID($A963,2,20))&lt;100000000,VALUE(MID($A963,2,20)),1000000000),1000000000))+ROW()/100000,"")</f>
        <v/>
      </c>
    </row>
    <row r="964">
      <c r="F964" s="7">
        <f>IF($A964="","",E964*K964/100)</f>
        <v/>
      </c>
      <c r="J964" s="7" t="n"/>
      <c r="K964" s="7" t="n"/>
      <c r="L964" s="7">
        <f>IF($A964="","",S964*K964)</f>
        <v/>
      </c>
      <c r="M964" s="7">
        <f>IF($A964="","",K964-L964)</f>
        <v/>
      </c>
      <c r="N964" s="7">
        <f>IF($A964="","",M964-F964)</f>
        <v/>
      </c>
      <c r="Q964" s="11" t="n"/>
      <c r="S964">
        <f>IF($A964="","",IF(AND(ISNUMBER($R964),NOT(ISLOGICAL($R964)),N($R964)&gt;1),$R964/100*1,IF($V964=1,Settings!$C$6,Settings!$C$7)*1))</f>
        <v/>
      </c>
      <c r="T964">
        <f>IF($A964="","",IF(COUNTIF($A$2:$A964,$A964)=1,1,0))</f>
        <v/>
      </c>
      <c r="U964">
        <f>IF($T964=1,SUMPRODUCT(--($W$2:$W$1001&lt;$W964))+1,"")</f>
        <v/>
      </c>
      <c r="V964">
        <f>IF($A964="","",IF(AND(ISNUMBER($R964),NOT(ISLOGICAL($R964)),N($R964)&gt;1),IF(ABS($R964/100-Settings!$C$6)&lt;=ABS($R964/100-Settings!$C$7),1,0),IF(OR($R964=TRUE(),$R964="TRUE"),1,0)))</f>
        <v/>
      </c>
      <c r="W964">
        <f>IF($T964=1,IFERROR(IF(VALUE($A964)&lt;100000000,VALUE($A964),1000000000),IFERROR(IF(VALUE(MID($A964,2,20))&lt;100000000,VALUE(MID($A964,2,20)),1000000000),1000000000))+ROW()/100000,"")</f>
        <v/>
      </c>
    </row>
    <row r="965">
      <c r="F965" s="7">
        <f>IF($A965="","",E965*K965/100)</f>
        <v/>
      </c>
      <c r="J965" s="7" t="n"/>
      <c r="K965" s="7" t="n"/>
      <c r="L965" s="7">
        <f>IF($A965="","",S965*K965)</f>
        <v/>
      </c>
      <c r="M965" s="7">
        <f>IF($A965="","",K965-L965)</f>
        <v/>
      </c>
      <c r="N965" s="7">
        <f>IF($A965="","",M965-F965)</f>
        <v/>
      </c>
      <c r="Q965" s="11" t="n"/>
      <c r="S965">
        <f>IF($A965="","",IF(AND(ISNUMBER($R965),NOT(ISLOGICAL($R965)),N($R965)&gt;1),$R965/100*1,IF($V965=1,Settings!$C$6,Settings!$C$7)*1))</f>
        <v/>
      </c>
      <c r="T965">
        <f>IF($A965="","",IF(COUNTIF($A$2:$A965,$A965)=1,1,0))</f>
        <v/>
      </c>
      <c r="U965">
        <f>IF($T965=1,SUMPRODUCT(--($W$2:$W$1001&lt;$W965))+1,"")</f>
        <v/>
      </c>
      <c r="V965">
        <f>IF($A965="","",IF(AND(ISNUMBER($R965),NOT(ISLOGICAL($R965)),N($R965)&gt;1),IF(ABS($R965/100-Settings!$C$6)&lt;=ABS($R965/100-Settings!$C$7),1,0),IF(OR($R965=TRUE(),$R965="TRUE"),1,0)))</f>
        <v/>
      </c>
      <c r="W965">
        <f>IF($T965=1,IFERROR(IF(VALUE($A965)&lt;100000000,VALUE($A965),1000000000),IFERROR(IF(VALUE(MID($A965,2,20))&lt;100000000,VALUE(MID($A965,2,20)),1000000000),1000000000))+ROW()/100000,"")</f>
        <v/>
      </c>
    </row>
    <row r="966">
      <c r="F966" s="7">
        <f>IF($A966="","",E966*K966/100)</f>
        <v/>
      </c>
      <c r="J966" s="7" t="n"/>
      <c r="K966" s="7" t="n"/>
      <c r="L966" s="7">
        <f>IF($A966="","",S966*K966)</f>
        <v/>
      </c>
      <c r="M966" s="7">
        <f>IF($A966="","",K966-L966)</f>
        <v/>
      </c>
      <c r="N966" s="7">
        <f>IF($A966="","",M966-F966)</f>
        <v/>
      </c>
      <c r="Q966" s="11" t="n"/>
      <c r="S966">
        <f>IF($A966="","",IF(AND(ISNUMBER($R966),NOT(ISLOGICAL($R966)),N($R966)&gt;1),$R966/100*1,IF($V966=1,Settings!$C$6,Settings!$C$7)*1))</f>
        <v/>
      </c>
      <c r="T966">
        <f>IF($A966="","",IF(COUNTIF($A$2:$A966,$A966)=1,1,0))</f>
        <v/>
      </c>
      <c r="U966">
        <f>IF($T966=1,SUMPRODUCT(--($W$2:$W$1001&lt;$W966))+1,"")</f>
        <v/>
      </c>
      <c r="V966">
        <f>IF($A966="","",IF(AND(ISNUMBER($R966),NOT(ISLOGICAL($R966)),N($R966)&gt;1),IF(ABS($R966/100-Settings!$C$6)&lt;=ABS($R966/100-Settings!$C$7),1,0),IF(OR($R966=TRUE(),$R966="TRUE"),1,0)))</f>
        <v/>
      </c>
      <c r="W966">
        <f>IF($T966=1,IFERROR(IF(VALUE($A966)&lt;100000000,VALUE($A966),1000000000),IFERROR(IF(VALUE(MID($A966,2,20))&lt;100000000,VALUE(MID($A966,2,20)),1000000000),1000000000))+ROW()/100000,"")</f>
        <v/>
      </c>
    </row>
    <row r="967">
      <c r="F967" s="7">
        <f>IF($A967="","",E967*K967/100)</f>
        <v/>
      </c>
      <c r="J967" s="7" t="n"/>
      <c r="K967" s="7" t="n"/>
      <c r="L967" s="7">
        <f>IF($A967="","",S967*K967)</f>
        <v/>
      </c>
      <c r="M967" s="7">
        <f>IF($A967="","",K967-L967)</f>
        <v/>
      </c>
      <c r="N967" s="7">
        <f>IF($A967="","",M967-F967)</f>
        <v/>
      </c>
      <c r="Q967" s="11" t="n"/>
      <c r="S967">
        <f>IF($A967="","",IF(AND(ISNUMBER($R967),NOT(ISLOGICAL($R967)),N($R967)&gt;1),$R967/100*1,IF($V967=1,Settings!$C$6,Settings!$C$7)*1))</f>
        <v/>
      </c>
      <c r="T967">
        <f>IF($A967="","",IF(COUNTIF($A$2:$A967,$A967)=1,1,0))</f>
        <v/>
      </c>
      <c r="U967">
        <f>IF($T967=1,SUMPRODUCT(--($W$2:$W$1001&lt;$W967))+1,"")</f>
        <v/>
      </c>
      <c r="V967">
        <f>IF($A967="","",IF(AND(ISNUMBER($R967),NOT(ISLOGICAL($R967)),N($R967)&gt;1),IF(ABS($R967/100-Settings!$C$6)&lt;=ABS($R967/100-Settings!$C$7),1,0),IF(OR($R967=TRUE(),$R967="TRUE"),1,0)))</f>
        <v/>
      </c>
      <c r="W967">
        <f>IF($T967=1,IFERROR(IF(VALUE($A967)&lt;100000000,VALUE($A967),1000000000),IFERROR(IF(VALUE(MID($A967,2,20))&lt;100000000,VALUE(MID($A967,2,20)),1000000000),1000000000))+ROW()/100000,"")</f>
        <v/>
      </c>
    </row>
    <row r="968">
      <c r="F968" s="7">
        <f>IF($A968="","",E968*K968/100)</f>
        <v/>
      </c>
      <c r="J968" s="7" t="n"/>
      <c r="K968" s="7" t="n"/>
      <c r="L968" s="7">
        <f>IF($A968="","",S968*K968)</f>
        <v/>
      </c>
      <c r="M968" s="7">
        <f>IF($A968="","",K968-L968)</f>
        <v/>
      </c>
      <c r="N968" s="7">
        <f>IF($A968="","",M968-F968)</f>
        <v/>
      </c>
      <c r="Q968" s="11" t="n"/>
      <c r="S968">
        <f>IF($A968="","",IF(AND(ISNUMBER($R968),NOT(ISLOGICAL($R968)),N($R968)&gt;1),$R968/100*1,IF($V968=1,Settings!$C$6,Settings!$C$7)*1))</f>
        <v/>
      </c>
      <c r="T968">
        <f>IF($A968="","",IF(COUNTIF($A$2:$A968,$A968)=1,1,0))</f>
        <v/>
      </c>
      <c r="U968">
        <f>IF($T968=1,SUMPRODUCT(--($W$2:$W$1001&lt;$W968))+1,"")</f>
        <v/>
      </c>
      <c r="V968">
        <f>IF($A968="","",IF(AND(ISNUMBER($R968),NOT(ISLOGICAL($R968)),N($R968)&gt;1),IF(ABS($R968/100-Settings!$C$6)&lt;=ABS($R968/100-Settings!$C$7),1,0),IF(OR($R968=TRUE(),$R968="TRUE"),1,0)))</f>
        <v/>
      </c>
      <c r="W968">
        <f>IF($T968=1,IFERROR(IF(VALUE($A968)&lt;100000000,VALUE($A968),1000000000),IFERROR(IF(VALUE(MID($A968,2,20))&lt;100000000,VALUE(MID($A968,2,20)),1000000000),1000000000))+ROW()/100000,"")</f>
        <v/>
      </c>
    </row>
    <row r="969">
      <c r="F969" s="7">
        <f>IF($A969="","",E969*K969/100)</f>
        <v/>
      </c>
      <c r="J969" s="7" t="n"/>
      <c r="K969" s="7" t="n"/>
      <c r="L969" s="7">
        <f>IF($A969="","",S969*K969)</f>
        <v/>
      </c>
      <c r="M969" s="7">
        <f>IF($A969="","",K969-L969)</f>
        <v/>
      </c>
      <c r="N969" s="7">
        <f>IF($A969="","",M969-F969)</f>
        <v/>
      </c>
      <c r="Q969" s="11" t="n"/>
      <c r="S969">
        <f>IF($A969="","",IF(AND(ISNUMBER($R969),NOT(ISLOGICAL($R969)),N($R969)&gt;1),$R969/100*1,IF($V969=1,Settings!$C$6,Settings!$C$7)*1))</f>
        <v/>
      </c>
      <c r="T969">
        <f>IF($A969="","",IF(COUNTIF($A$2:$A969,$A969)=1,1,0))</f>
        <v/>
      </c>
      <c r="U969">
        <f>IF($T969=1,SUMPRODUCT(--($W$2:$W$1001&lt;$W969))+1,"")</f>
        <v/>
      </c>
      <c r="V969">
        <f>IF($A969="","",IF(AND(ISNUMBER($R969),NOT(ISLOGICAL($R969)),N($R969)&gt;1),IF(ABS($R969/100-Settings!$C$6)&lt;=ABS($R969/100-Settings!$C$7),1,0),IF(OR($R969=TRUE(),$R969="TRUE"),1,0)))</f>
        <v/>
      </c>
      <c r="W969">
        <f>IF($T969=1,IFERROR(IF(VALUE($A969)&lt;100000000,VALUE($A969),1000000000),IFERROR(IF(VALUE(MID($A969,2,20))&lt;100000000,VALUE(MID($A969,2,20)),1000000000),1000000000))+ROW()/100000,"")</f>
        <v/>
      </c>
    </row>
    <row r="970">
      <c r="F970" s="7">
        <f>IF($A970="","",E970*K970/100)</f>
        <v/>
      </c>
      <c r="J970" s="7" t="n"/>
      <c r="K970" s="7" t="n"/>
      <c r="L970" s="7">
        <f>IF($A970="","",S970*K970)</f>
        <v/>
      </c>
      <c r="M970" s="7">
        <f>IF($A970="","",K970-L970)</f>
        <v/>
      </c>
      <c r="N970" s="7">
        <f>IF($A970="","",M970-F970)</f>
        <v/>
      </c>
      <c r="Q970" s="11" t="n"/>
      <c r="S970">
        <f>IF($A970="","",IF(AND(ISNUMBER($R970),NOT(ISLOGICAL($R970)),N($R970)&gt;1),$R970/100*1,IF($V970=1,Settings!$C$6,Settings!$C$7)*1))</f>
        <v/>
      </c>
      <c r="T970">
        <f>IF($A970="","",IF(COUNTIF($A$2:$A970,$A970)=1,1,0))</f>
        <v/>
      </c>
      <c r="U970">
        <f>IF($T970=1,SUMPRODUCT(--($W$2:$W$1001&lt;$W970))+1,"")</f>
        <v/>
      </c>
      <c r="V970">
        <f>IF($A970="","",IF(AND(ISNUMBER($R970),NOT(ISLOGICAL($R970)),N($R970)&gt;1),IF(ABS($R970/100-Settings!$C$6)&lt;=ABS($R970/100-Settings!$C$7),1,0),IF(OR($R970=TRUE(),$R970="TRUE"),1,0)))</f>
        <v/>
      </c>
      <c r="W970">
        <f>IF($T970=1,IFERROR(IF(VALUE($A970)&lt;100000000,VALUE($A970),1000000000),IFERROR(IF(VALUE(MID($A970,2,20))&lt;100000000,VALUE(MID($A970,2,20)),1000000000),1000000000))+ROW()/100000,"")</f>
        <v/>
      </c>
    </row>
    <row r="971">
      <c r="F971" s="7">
        <f>IF($A971="","",E971*K971/100)</f>
        <v/>
      </c>
      <c r="J971" s="7" t="n"/>
      <c r="K971" s="7" t="n"/>
      <c r="L971" s="7">
        <f>IF($A971="","",S971*K971)</f>
        <v/>
      </c>
      <c r="M971" s="7">
        <f>IF($A971="","",K971-L971)</f>
        <v/>
      </c>
      <c r="N971" s="7">
        <f>IF($A971="","",M971-F971)</f>
        <v/>
      </c>
      <c r="Q971" s="11" t="n"/>
      <c r="S971">
        <f>IF($A971="","",IF(AND(ISNUMBER($R971),NOT(ISLOGICAL($R971)),N($R971)&gt;1),$R971/100*1,IF($V971=1,Settings!$C$6,Settings!$C$7)*1))</f>
        <v/>
      </c>
      <c r="T971">
        <f>IF($A971="","",IF(COUNTIF($A$2:$A971,$A971)=1,1,0))</f>
        <v/>
      </c>
      <c r="U971">
        <f>IF($T971=1,SUMPRODUCT(--($W$2:$W$1001&lt;$W971))+1,"")</f>
        <v/>
      </c>
      <c r="V971">
        <f>IF($A971="","",IF(AND(ISNUMBER($R971),NOT(ISLOGICAL($R971)),N($R971)&gt;1),IF(ABS($R971/100-Settings!$C$6)&lt;=ABS($R971/100-Settings!$C$7),1,0),IF(OR($R971=TRUE(),$R971="TRUE"),1,0)))</f>
        <v/>
      </c>
      <c r="W971">
        <f>IF($T971=1,IFERROR(IF(VALUE($A971)&lt;100000000,VALUE($A971),1000000000),IFERROR(IF(VALUE(MID($A971,2,20))&lt;100000000,VALUE(MID($A971,2,20)),1000000000),1000000000))+ROW()/100000,"")</f>
        <v/>
      </c>
    </row>
    <row r="972">
      <c r="F972" s="7">
        <f>IF($A972="","",E972*K972/100)</f>
        <v/>
      </c>
      <c r="J972" s="7" t="n"/>
      <c r="K972" s="7" t="n"/>
      <c r="L972" s="7">
        <f>IF($A972="","",S972*K972)</f>
        <v/>
      </c>
      <c r="M972" s="7">
        <f>IF($A972="","",K972-L972)</f>
        <v/>
      </c>
      <c r="N972" s="7">
        <f>IF($A972="","",M972-F972)</f>
        <v/>
      </c>
      <c r="Q972" s="11" t="n"/>
      <c r="S972">
        <f>IF($A972="","",IF(AND(ISNUMBER($R972),NOT(ISLOGICAL($R972)),N($R972)&gt;1),$R972/100*1,IF($V972=1,Settings!$C$6,Settings!$C$7)*1))</f>
        <v/>
      </c>
      <c r="T972">
        <f>IF($A972="","",IF(COUNTIF($A$2:$A972,$A972)=1,1,0))</f>
        <v/>
      </c>
      <c r="U972">
        <f>IF($T972=1,SUMPRODUCT(--($W$2:$W$1001&lt;$W972))+1,"")</f>
        <v/>
      </c>
      <c r="V972">
        <f>IF($A972="","",IF(AND(ISNUMBER($R972),NOT(ISLOGICAL($R972)),N($R972)&gt;1),IF(ABS($R972/100-Settings!$C$6)&lt;=ABS($R972/100-Settings!$C$7),1,0),IF(OR($R972=TRUE(),$R972="TRUE"),1,0)))</f>
        <v/>
      </c>
      <c r="W972">
        <f>IF($T972=1,IFERROR(IF(VALUE($A972)&lt;100000000,VALUE($A972),1000000000),IFERROR(IF(VALUE(MID($A972,2,20))&lt;100000000,VALUE(MID($A972,2,20)),1000000000),1000000000))+ROW()/100000,"")</f>
        <v/>
      </c>
    </row>
    <row r="973">
      <c r="F973" s="7">
        <f>IF($A973="","",E973*K973/100)</f>
        <v/>
      </c>
      <c r="J973" s="7" t="n"/>
      <c r="K973" s="7" t="n"/>
      <c r="L973" s="7">
        <f>IF($A973="","",S973*K973)</f>
        <v/>
      </c>
      <c r="M973" s="7">
        <f>IF($A973="","",K973-L973)</f>
        <v/>
      </c>
      <c r="N973" s="7">
        <f>IF($A973="","",M973-F973)</f>
        <v/>
      </c>
      <c r="Q973" s="11" t="n"/>
      <c r="S973">
        <f>IF($A973="","",IF(AND(ISNUMBER($R973),NOT(ISLOGICAL($R973)),N($R973)&gt;1),$R973/100*1,IF($V973=1,Settings!$C$6,Settings!$C$7)*1))</f>
        <v/>
      </c>
      <c r="T973">
        <f>IF($A973="","",IF(COUNTIF($A$2:$A973,$A973)=1,1,0))</f>
        <v/>
      </c>
      <c r="U973">
        <f>IF($T973=1,SUMPRODUCT(--($W$2:$W$1001&lt;$W973))+1,"")</f>
        <v/>
      </c>
      <c r="V973">
        <f>IF($A973="","",IF(AND(ISNUMBER($R973),NOT(ISLOGICAL($R973)),N($R973)&gt;1),IF(ABS($R973/100-Settings!$C$6)&lt;=ABS($R973/100-Settings!$C$7),1,0),IF(OR($R973=TRUE(),$R973="TRUE"),1,0)))</f>
        <v/>
      </c>
      <c r="W973">
        <f>IF($T973=1,IFERROR(IF(VALUE($A973)&lt;100000000,VALUE($A973),1000000000),IFERROR(IF(VALUE(MID($A973,2,20))&lt;100000000,VALUE(MID($A973,2,20)),1000000000),1000000000))+ROW()/100000,"")</f>
        <v/>
      </c>
    </row>
    <row r="974">
      <c r="F974" s="7">
        <f>IF($A974="","",E974*K974/100)</f>
        <v/>
      </c>
      <c r="J974" s="7" t="n"/>
      <c r="K974" s="7" t="n"/>
      <c r="L974" s="7">
        <f>IF($A974="","",S974*K974)</f>
        <v/>
      </c>
      <c r="M974" s="7">
        <f>IF($A974="","",K974-L974)</f>
        <v/>
      </c>
      <c r="N974" s="7">
        <f>IF($A974="","",M974-F974)</f>
        <v/>
      </c>
      <c r="Q974" s="11" t="n"/>
      <c r="S974">
        <f>IF($A974="","",IF(AND(ISNUMBER($R974),NOT(ISLOGICAL($R974)),N($R974)&gt;1),$R974/100*1,IF($V974=1,Settings!$C$6,Settings!$C$7)*1))</f>
        <v/>
      </c>
      <c r="T974">
        <f>IF($A974="","",IF(COUNTIF($A$2:$A974,$A974)=1,1,0))</f>
        <v/>
      </c>
      <c r="U974">
        <f>IF($T974=1,SUMPRODUCT(--($W$2:$W$1001&lt;$W974))+1,"")</f>
        <v/>
      </c>
      <c r="V974">
        <f>IF($A974="","",IF(AND(ISNUMBER($R974),NOT(ISLOGICAL($R974)),N($R974)&gt;1),IF(ABS($R974/100-Settings!$C$6)&lt;=ABS($R974/100-Settings!$C$7),1,0),IF(OR($R974=TRUE(),$R974="TRUE"),1,0)))</f>
        <v/>
      </c>
      <c r="W974">
        <f>IF($T974=1,IFERROR(IF(VALUE($A974)&lt;100000000,VALUE($A974),1000000000),IFERROR(IF(VALUE(MID($A974,2,20))&lt;100000000,VALUE(MID($A974,2,20)),1000000000),1000000000))+ROW()/100000,"")</f>
        <v/>
      </c>
    </row>
    <row r="975">
      <c r="F975" s="7">
        <f>IF($A975="","",E975*K975/100)</f>
        <v/>
      </c>
      <c r="J975" s="7" t="n"/>
      <c r="K975" s="7" t="n"/>
      <c r="L975" s="7">
        <f>IF($A975="","",S975*K975)</f>
        <v/>
      </c>
      <c r="M975" s="7">
        <f>IF($A975="","",K975-L975)</f>
        <v/>
      </c>
      <c r="N975" s="7">
        <f>IF($A975="","",M975-F975)</f>
        <v/>
      </c>
      <c r="Q975" s="11" t="n"/>
      <c r="S975">
        <f>IF($A975="","",IF(AND(ISNUMBER($R975),NOT(ISLOGICAL($R975)),N($R975)&gt;1),$R975/100*1,IF($V975=1,Settings!$C$6,Settings!$C$7)*1))</f>
        <v/>
      </c>
      <c r="T975">
        <f>IF($A975="","",IF(COUNTIF($A$2:$A975,$A975)=1,1,0))</f>
        <v/>
      </c>
      <c r="U975">
        <f>IF($T975=1,SUMPRODUCT(--($W$2:$W$1001&lt;$W975))+1,"")</f>
        <v/>
      </c>
      <c r="V975">
        <f>IF($A975="","",IF(AND(ISNUMBER($R975),NOT(ISLOGICAL($R975)),N($R975)&gt;1),IF(ABS($R975/100-Settings!$C$6)&lt;=ABS($R975/100-Settings!$C$7),1,0),IF(OR($R975=TRUE(),$R975="TRUE"),1,0)))</f>
        <v/>
      </c>
      <c r="W975">
        <f>IF($T975=1,IFERROR(IF(VALUE($A975)&lt;100000000,VALUE($A975),1000000000),IFERROR(IF(VALUE(MID($A975,2,20))&lt;100000000,VALUE(MID($A975,2,20)),1000000000),1000000000))+ROW()/100000,"")</f>
        <v/>
      </c>
    </row>
    <row r="976">
      <c r="F976" s="7">
        <f>IF($A976="","",E976*K976/100)</f>
        <v/>
      </c>
      <c r="J976" s="7" t="n"/>
      <c r="K976" s="7" t="n"/>
      <c r="L976" s="7">
        <f>IF($A976="","",S976*K976)</f>
        <v/>
      </c>
      <c r="M976" s="7">
        <f>IF($A976="","",K976-L976)</f>
        <v/>
      </c>
      <c r="N976" s="7">
        <f>IF($A976="","",M976-F976)</f>
        <v/>
      </c>
      <c r="Q976" s="11" t="n"/>
      <c r="S976">
        <f>IF($A976="","",IF(AND(ISNUMBER($R976),NOT(ISLOGICAL($R976)),N($R976)&gt;1),$R976/100*1,IF($V976=1,Settings!$C$6,Settings!$C$7)*1))</f>
        <v/>
      </c>
      <c r="T976">
        <f>IF($A976="","",IF(COUNTIF($A$2:$A976,$A976)=1,1,0))</f>
        <v/>
      </c>
      <c r="U976">
        <f>IF($T976=1,SUMPRODUCT(--($W$2:$W$1001&lt;$W976))+1,"")</f>
        <v/>
      </c>
      <c r="V976">
        <f>IF($A976="","",IF(AND(ISNUMBER($R976),NOT(ISLOGICAL($R976)),N($R976)&gt;1),IF(ABS($R976/100-Settings!$C$6)&lt;=ABS($R976/100-Settings!$C$7),1,0),IF(OR($R976=TRUE(),$R976="TRUE"),1,0)))</f>
        <v/>
      </c>
      <c r="W976">
        <f>IF($T976=1,IFERROR(IF(VALUE($A976)&lt;100000000,VALUE($A976),1000000000),IFERROR(IF(VALUE(MID($A976,2,20))&lt;100000000,VALUE(MID($A976,2,20)),1000000000),1000000000))+ROW()/100000,"")</f>
        <v/>
      </c>
    </row>
    <row r="977">
      <c r="F977" s="7">
        <f>IF($A977="","",E977*K977/100)</f>
        <v/>
      </c>
      <c r="J977" s="7" t="n"/>
      <c r="K977" s="7" t="n"/>
      <c r="L977" s="7">
        <f>IF($A977="","",S977*K977)</f>
        <v/>
      </c>
      <c r="M977" s="7">
        <f>IF($A977="","",K977-L977)</f>
        <v/>
      </c>
      <c r="N977" s="7">
        <f>IF($A977="","",M977-F977)</f>
        <v/>
      </c>
      <c r="Q977" s="11" t="n"/>
      <c r="S977">
        <f>IF($A977="","",IF(AND(ISNUMBER($R977),NOT(ISLOGICAL($R977)),N($R977)&gt;1),$R977/100*1,IF($V977=1,Settings!$C$6,Settings!$C$7)*1))</f>
        <v/>
      </c>
      <c r="T977">
        <f>IF($A977="","",IF(COUNTIF($A$2:$A977,$A977)=1,1,0))</f>
        <v/>
      </c>
      <c r="U977">
        <f>IF($T977=1,SUMPRODUCT(--($W$2:$W$1001&lt;$W977))+1,"")</f>
        <v/>
      </c>
      <c r="V977">
        <f>IF($A977="","",IF(AND(ISNUMBER($R977),NOT(ISLOGICAL($R977)),N($R977)&gt;1),IF(ABS($R977/100-Settings!$C$6)&lt;=ABS($R977/100-Settings!$C$7),1,0),IF(OR($R977=TRUE(),$R977="TRUE"),1,0)))</f>
        <v/>
      </c>
      <c r="W977">
        <f>IF($T977=1,IFERROR(IF(VALUE($A977)&lt;100000000,VALUE($A977),1000000000),IFERROR(IF(VALUE(MID($A977,2,20))&lt;100000000,VALUE(MID($A977,2,20)),1000000000),1000000000))+ROW()/100000,"")</f>
        <v/>
      </c>
    </row>
    <row r="978">
      <c r="F978" s="7">
        <f>IF($A978="","",E978*K978/100)</f>
        <v/>
      </c>
      <c r="J978" s="7" t="n"/>
      <c r="K978" s="7" t="n"/>
      <c r="L978" s="7">
        <f>IF($A978="","",S978*K978)</f>
        <v/>
      </c>
      <c r="M978" s="7">
        <f>IF($A978="","",K978-L978)</f>
        <v/>
      </c>
      <c r="N978" s="7">
        <f>IF($A978="","",M978-F978)</f>
        <v/>
      </c>
      <c r="Q978" s="11" t="n"/>
      <c r="S978">
        <f>IF($A978="","",IF(AND(ISNUMBER($R978),NOT(ISLOGICAL($R978)),N($R978)&gt;1),$R978/100*1,IF($V978=1,Settings!$C$6,Settings!$C$7)*1))</f>
        <v/>
      </c>
      <c r="T978">
        <f>IF($A978="","",IF(COUNTIF($A$2:$A978,$A978)=1,1,0))</f>
        <v/>
      </c>
      <c r="U978">
        <f>IF($T978=1,SUMPRODUCT(--($W$2:$W$1001&lt;$W978))+1,"")</f>
        <v/>
      </c>
      <c r="V978">
        <f>IF($A978="","",IF(AND(ISNUMBER($R978),NOT(ISLOGICAL($R978)),N($R978)&gt;1),IF(ABS($R978/100-Settings!$C$6)&lt;=ABS($R978/100-Settings!$C$7),1,0),IF(OR($R978=TRUE(),$R978="TRUE"),1,0)))</f>
        <v/>
      </c>
      <c r="W978">
        <f>IF($T978=1,IFERROR(IF(VALUE($A978)&lt;100000000,VALUE($A978),1000000000),IFERROR(IF(VALUE(MID($A978,2,20))&lt;100000000,VALUE(MID($A978,2,20)),1000000000),1000000000))+ROW()/100000,"")</f>
        <v/>
      </c>
    </row>
    <row r="979">
      <c r="F979" s="7">
        <f>IF($A979="","",E979*K979/100)</f>
        <v/>
      </c>
      <c r="J979" s="7" t="n"/>
      <c r="K979" s="7" t="n"/>
      <c r="L979" s="7">
        <f>IF($A979="","",S979*K979)</f>
        <v/>
      </c>
      <c r="M979" s="7">
        <f>IF($A979="","",K979-L979)</f>
        <v/>
      </c>
      <c r="N979" s="7">
        <f>IF($A979="","",M979-F979)</f>
        <v/>
      </c>
      <c r="Q979" s="11" t="n"/>
      <c r="S979">
        <f>IF($A979="","",IF(AND(ISNUMBER($R979),NOT(ISLOGICAL($R979)),N($R979)&gt;1),$R979/100*1,IF($V979=1,Settings!$C$6,Settings!$C$7)*1))</f>
        <v/>
      </c>
      <c r="T979">
        <f>IF($A979="","",IF(COUNTIF($A$2:$A979,$A979)=1,1,0))</f>
        <v/>
      </c>
      <c r="U979">
        <f>IF($T979=1,SUMPRODUCT(--($W$2:$W$1001&lt;$W979))+1,"")</f>
        <v/>
      </c>
      <c r="V979">
        <f>IF($A979="","",IF(AND(ISNUMBER($R979),NOT(ISLOGICAL($R979)),N($R979)&gt;1),IF(ABS($R979/100-Settings!$C$6)&lt;=ABS($R979/100-Settings!$C$7),1,0),IF(OR($R979=TRUE(),$R979="TRUE"),1,0)))</f>
        <v/>
      </c>
      <c r="W979">
        <f>IF($T979=1,IFERROR(IF(VALUE($A979)&lt;100000000,VALUE($A979),1000000000),IFERROR(IF(VALUE(MID($A979,2,20))&lt;100000000,VALUE(MID($A979,2,20)),1000000000),1000000000))+ROW()/100000,"")</f>
        <v/>
      </c>
    </row>
    <row r="980">
      <c r="F980" s="7">
        <f>IF($A980="","",E980*K980/100)</f>
        <v/>
      </c>
      <c r="J980" s="7" t="n"/>
      <c r="K980" s="7" t="n"/>
      <c r="L980" s="7">
        <f>IF($A980="","",S980*K980)</f>
        <v/>
      </c>
      <c r="M980" s="7">
        <f>IF($A980="","",K980-L980)</f>
        <v/>
      </c>
      <c r="N980" s="7">
        <f>IF($A980="","",M980-F980)</f>
        <v/>
      </c>
      <c r="Q980" s="11" t="n"/>
      <c r="S980">
        <f>IF($A980="","",IF(AND(ISNUMBER($R980),NOT(ISLOGICAL($R980)),N($R980)&gt;1),$R980/100*1,IF($V980=1,Settings!$C$6,Settings!$C$7)*1))</f>
        <v/>
      </c>
      <c r="T980">
        <f>IF($A980="","",IF(COUNTIF($A$2:$A980,$A980)=1,1,0))</f>
        <v/>
      </c>
      <c r="U980">
        <f>IF($T980=1,SUMPRODUCT(--($W$2:$W$1001&lt;$W980))+1,"")</f>
        <v/>
      </c>
      <c r="V980">
        <f>IF($A980="","",IF(AND(ISNUMBER($R980),NOT(ISLOGICAL($R980)),N($R980)&gt;1),IF(ABS($R980/100-Settings!$C$6)&lt;=ABS($R980/100-Settings!$C$7),1,0),IF(OR($R980=TRUE(),$R980="TRUE"),1,0)))</f>
        <v/>
      </c>
      <c r="W980">
        <f>IF($T980=1,IFERROR(IF(VALUE($A980)&lt;100000000,VALUE($A980),1000000000),IFERROR(IF(VALUE(MID($A980,2,20))&lt;100000000,VALUE(MID($A980,2,20)),1000000000),1000000000))+ROW()/100000,"")</f>
        <v/>
      </c>
    </row>
    <row r="981">
      <c r="F981" s="7">
        <f>IF($A981="","",E981*K981/100)</f>
        <v/>
      </c>
      <c r="J981" s="7" t="n"/>
      <c r="K981" s="7" t="n"/>
      <c r="L981" s="7">
        <f>IF($A981="","",S981*K981)</f>
        <v/>
      </c>
      <c r="M981" s="7">
        <f>IF($A981="","",K981-L981)</f>
        <v/>
      </c>
      <c r="N981" s="7">
        <f>IF($A981="","",M981-F981)</f>
        <v/>
      </c>
      <c r="Q981" s="11" t="n"/>
      <c r="S981">
        <f>IF($A981="","",IF(AND(ISNUMBER($R981),NOT(ISLOGICAL($R981)),N($R981)&gt;1),$R981/100*1,IF($V981=1,Settings!$C$6,Settings!$C$7)*1))</f>
        <v/>
      </c>
      <c r="T981">
        <f>IF($A981="","",IF(COUNTIF($A$2:$A981,$A981)=1,1,0))</f>
        <v/>
      </c>
      <c r="U981">
        <f>IF($T981=1,SUMPRODUCT(--($W$2:$W$1001&lt;$W981))+1,"")</f>
        <v/>
      </c>
      <c r="V981">
        <f>IF($A981="","",IF(AND(ISNUMBER($R981),NOT(ISLOGICAL($R981)),N($R981)&gt;1),IF(ABS($R981/100-Settings!$C$6)&lt;=ABS($R981/100-Settings!$C$7),1,0),IF(OR($R981=TRUE(),$R981="TRUE"),1,0)))</f>
        <v/>
      </c>
      <c r="W981">
        <f>IF($T981=1,IFERROR(IF(VALUE($A981)&lt;100000000,VALUE($A981),1000000000),IFERROR(IF(VALUE(MID($A981,2,20))&lt;100000000,VALUE(MID($A981,2,20)),1000000000),1000000000))+ROW()/100000,"")</f>
        <v/>
      </c>
    </row>
    <row r="982">
      <c r="F982" s="7">
        <f>IF($A982="","",E982*K982/100)</f>
        <v/>
      </c>
      <c r="J982" s="7" t="n"/>
      <c r="K982" s="7" t="n"/>
      <c r="L982" s="7">
        <f>IF($A982="","",S982*K982)</f>
        <v/>
      </c>
      <c r="M982" s="7">
        <f>IF($A982="","",K982-L982)</f>
        <v/>
      </c>
      <c r="N982" s="7">
        <f>IF($A982="","",M982-F982)</f>
        <v/>
      </c>
      <c r="Q982" s="11" t="n"/>
      <c r="S982">
        <f>IF($A982="","",IF(AND(ISNUMBER($R982),NOT(ISLOGICAL($R982)),N($R982)&gt;1),$R982/100*1,IF($V982=1,Settings!$C$6,Settings!$C$7)*1))</f>
        <v/>
      </c>
      <c r="T982">
        <f>IF($A982="","",IF(COUNTIF($A$2:$A982,$A982)=1,1,0))</f>
        <v/>
      </c>
      <c r="U982">
        <f>IF($T982=1,SUMPRODUCT(--($W$2:$W$1001&lt;$W982))+1,"")</f>
        <v/>
      </c>
      <c r="V982">
        <f>IF($A982="","",IF(AND(ISNUMBER($R982),NOT(ISLOGICAL($R982)),N($R982)&gt;1),IF(ABS($R982/100-Settings!$C$6)&lt;=ABS($R982/100-Settings!$C$7),1,0),IF(OR($R982=TRUE(),$R982="TRUE"),1,0)))</f>
        <v/>
      </c>
      <c r="W982">
        <f>IF($T982=1,IFERROR(IF(VALUE($A982)&lt;100000000,VALUE($A982),1000000000),IFERROR(IF(VALUE(MID($A982,2,20))&lt;100000000,VALUE(MID($A982,2,20)),1000000000),1000000000))+ROW()/100000,"")</f>
        <v/>
      </c>
    </row>
    <row r="983">
      <c r="F983" s="7">
        <f>IF($A983="","",E983*K983/100)</f>
        <v/>
      </c>
      <c r="J983" s="7" t="n"/>
      <c r="K983" s="7" t="n"/>
      <c r="L983" s="7">
        <f>IF($A983="","",S983*K983)</f>
        <v/>
      </c>
      <c r="M983" s="7">
        <f>IF($A983="","",K983-L983)</f>
        <v/>
      </c>
      <c r="N983" s="7">
        <f>IF($A983="","",M983-F983)</f>
        <v/>
      </c>
      <c r="Q983" s="11" t="n"/>
      <c r="S983">
        <f>IF($A983="","",IF(AND(ISNUMBER($R983),NOT(ISLOGICAL($R983)),N($R983)&gt;1),$R983/100*1,IF($V983=1,Settings!$C$6,Settings!$C$7)*1))</f>
        <v/>
      </c>
      <c r="T983">
        <f>IF($A983="","",IF(COUNTIF($A$2:$A983,$A983)=1,1,0))</f>
        <v/>
      </c>
      <c r="U983">
        <f>IF($T983=1,SUMPRODUCT(--($W$2:$W$1001&lt;$W983))+1,"")</f>
        <v/>
      </c>
      <c r="V983">
        <f>IF($A983="","",IF(AND(ISNUMBER($R983),NOT(ISLOGICAL($R983)),N($R983)&gt;1),IF(ABS($R983/100-Settings!$C$6)&lt;=ABS($R983/100-Settings!$C$7),1,0),IF(OR($R983=TRUE(),$R983="TRUE"),1,0)))</f>
        <v/>
      </c>
      <c r="W983">
        <f>IF($T983=1,IFERROR(IF(VALUE($A983)&lt;100000000,VALUE($A983),1000000000),IFERROR(IF(VALUE(MID($A983,2,20))&lt;100000000,VALUE(MID($A983,2,20)),1000000000),1000000000))+ROW()/100000,"")</f>
        <v/>
      </c>
    </row>
    <row r="984">
      <c r="F984" s="7">
        <f>IF($A984="","",E984*K984/100)</f>
        <v/>
      </c>
      <c r="J984" s="7" t="n"/>
      <c r="K984" s="7" t="n"/>
      <c r="L984" s="7">
        <f>IF($A984="","",S984*K984)</f>
        <v/>
      </c>
      <c r="M984" s="7">
        <f>IF($A984="","",K984-L984)</f>
        <v/>
      </c>
      <c r="N984" s="7">
        <f>IF($A984="","",M984-F984)</f>
        <v/>
      </c>
      <c r="Q984" s="11" t="n"/>
      <c r="S984">
        <f>IF($A984="","",IF(AND(ISNUMBER($R984),NOT(ISLOGICAL($R984)),N($R984)&gt;1),$R984/100*1,IF($V984=1,Settings!$C$6,Settings!$C$7)*1))</f>
        <v/>
      </c>
      <c r="T984">
        <f>IF($A984="","",IF(COUNTIF($A$2:$A984,$A984)=1,1,0))</f>
        <v/>
      </c>
      <c r="U984">
        <f>IF($T984=1,SUMPRODUCT(--($W$2:$W$1001&lt;$W984))+1,"")</f>
        <v/>
      </c>
      <c r="V984">
        <f>IF($A984="","",IF(AND(ISNUMBER($R984),NOT(ISLOGICAL($R984)),N($R984)&gt;1),IF(ABS($R984/100-Settings!$C$6)&lt;=ABS($R984/100-Settings!$C$7),1,0),IF(OR($R984=TRUE(),$R984="TRUE"),1,0)))</f>
        <v/>
      </c>
      <c r="W984">
        <f>IF($T984=1,IFERROR(IF(VALUE($A984)&lt;100000000,VALUE($A984),1000000000),IFERROR(IF(VALUE(MID($A984,2,20))&lt;100000000,VALUE(MID($A984,2,20)),1000000000),1000000000))+ROW()/100000,"")</f>
        <v/>
      </c>
    </row>
    <row r="985">
      <c r="F985" s="7">
        <f>IF($A985="","",E985*K985/100)</f>
        <v/>
      </c>
      <c r="J985" s="7" t="n"/>
      <c r="K985" s="7" t="n"/>
      <c r="L985" s="7">
        <f>IF($A985="","",S985*K985)</f>
        <v/>
      </c>
      <c r="M985" s="7">
        <f>IF($A985="","",K985-L985)</f>
        <v/>
      </c>
      <c r="N985" s="7">
        <f>IF($A985="","",M985-F985)</f>
        <v/>
      </c>
      <c r="Q985" s="11" t="n"/>
      <c r="S985">
        <f>IF($A985="","",IF(AND(ISNUMBER($R985),NOT(ISLOGICAL($R985)),N($R985)&gt;1),$R985/100*1,IF($V985=1,Settings!$C$6,Settings!$C$7)*1))</f>
        <v/>
      </c>
      <c r="T985">
        <f>IF($A985="","",IF(COUNTIF($A$2:$A985,$A985)=1,1,0))</f>
        <v/>
      </c>
      <c r="U985">
        <f>IF($T985=1,SUMPRODUCT(--($W$2:$W$1001&lt;$W985))+1,"")</f>
        <v/>
      </c>
      <c r="V985">
        <f>IF($A985="","",IF(AND(ISNUMBER($R985),NOT(ISLOGICAL($R985)),N($R985)&gt;1),IF(ABS($R985/100-Settings!$C$6)&lt;=ABS($R985/100-Settings!$C$7),1,0),IF(OR($R985=TRUE(),$R985="TRUE"),1,0)))</f>
        <v/>
      </c>
      <c r="W985">
        <f>IF($T985=1,IFERROR(IF(VALUE($A985)&lt;100000000,VALUE($A985),1000000000),IFERROR(IF(VALUE(MID($A985,2,20))&lt;100000000,VALUE(MID($A985,2,20)),1000000000),1000000000))+ROW()/100000,"")</f>
        <v/>
      </c>
    </row>
    <row r="986">
      <c r="F986" s="7">
        <f>IF($A986="","",E986*K986/100)</f>
        <v/>
      </c>
      <c r="J986" s="7" t="n"/>
      <c r="K986" s="7" t="n"/>
      <c r="L986" s="7">
        <f>IF($A986="","",S986*K986)</f>
        <v/>
      </c>
      <c r="M986" s="7">
        <f>IF($A986="","",K986-L986)</f>
        <v/>
      </c>
      <c r="N986" s="7">
        <f>IF($A986="","",M986-F986)</f>
        <v/>
      </c>
      <c r="Q986" s="11" t="n"/>
      <c r="S986">
        <f>IF($A986="","",IF(AND(ISNUMBER($R986),NOT(ISLOGICAL($R986)),N($R986)&gt;1),$R986/100*1,IF($V986=1,Settings!$C$6,Settings!$C$7)*1))</f>
        <v/>
      </c>
      <c r="T986">
        <f>IF($A986="","",IF(COUNTIF($A$2:$A986,$A986)=1,1,0))</f>
        <v/>
      </c>
      <c r="U986">
        <f>IF($T986=1,SUMPRODUCT(--($W$2:$W$1001&lt;$W986))+1,"")</f>
        <v/>
      </c>
      <c r="V986">
        <f>IF($A986="","",IF(AND(ISNUMBER($R986),NOT(ISLOGICAL($R986)),N($R986)&gt;1),IF(ABS($R986/100-Settings!$C$6)&lt;=ABS($R986/100-Settings!$C$7),1,0),IF(OR($R986=TRUE(),$R986="TRUE"),1,0)))</f>
        <v/>
      </c>
      <c r="W986">
        <f>IF($T986=1,IFERROR(IF(VALUE($A986)&lt;100000000,VALUE($A986),1000000000),IFERROR(IF(VALUE(MID($A986,2,20))&lt;100000000,VALUE(MID($A986,2,20)),1000000000),1000000000))+ROW()/100000,"")</f>
        <v/>
      </c>
    </row>
    <row r="987">
      <c r="F987" s="7">
        <f>IF($A987="","",E987*K987/100)</f>
        <v/>
      </c>
      <c r="J987" s="7" t="n"/>
      <c r="K987" s="7" t="n"/>
      <c r="L987" s="7">
        <f>IF($A987="","",S987*K987)</f>
        <v/>
      </c>
      <c r="M987" s="7">
        <f>IF($A987="","",K987-L987)</f>
        <v/>
      </c>
      <c r="N987" s="7">
        <f>IF($A987="","",M987-F987)</f>
        <v/>
      </c>
      <c r="Q987" s="11" t="n"/>
      <c r="S987">
        <f>IF($A987="","",IF(AND(ISNUMBER($R987),NOT(ISLOGICAL($R987)),N($R987)&gt;1),$R987/100*1,IF($V987=1,Settings!$C$6,Settings!$C$7)*1))</f>
        <v/>
      </c>
      <c r="T987">
        <f>IF($A987="","",IF(COUNTIF($A$2:$A987,$A987)=1,1,0))</f>
        <v/>
      </c>
      <c r="U987">
        <f>IF($T987=1,SUMPRODUCT(--($W$2:$W$1001&lt;$W987))+1,"")</f>
        <v/>
      </c>
      <c r="V987">
        <f>IF($A987="","",IF(AND(ISNUMBER($R987),NOT(ISLOGICAL($R987)),N($R987)&gt;1),IF(ABS($R987/100-Settings!$C$6)&lt;=ABS($R987/100-Settings!$C$7),1,0),IF(OR($R987=TRUE(),$R987="TRUE"),1,0)))</f>
        <v/>
      </c>
      <c r="W987">
        <f>IF($T987=1,IFERROR(IF(VALUE($A987)&lt;100000000,VALUE($A987),1000000000),IFERROR(IF(VALUE(MID($A987,2,20))&lt;100000000,VALUE(MID($A987,2,20)),1000000000),1000000000))+ROW()/100000,"")</f>
        <v/>
      </c>
    </row>
    <row r="988">
      <c r="F988" s="7">
        <f>IF($A988="","",E988*K988/100)</f>
        <v/>
      </c>
      <c r="J988" s="7" t="n"/>
      <c r="K988" s="7" t="n"/>
      <c r="L988" s="7">
        <f>IF($A988="","",S988*K988)</f>
        <v/>
      </c>
      <c r="M988" s="7">
        <f>IF($A988="","",K988-L988)</f>
        <v/>
      </c>
      <c r="N988" s="7">
        <f>IF($A988="","",M988-F988)</f>
        <v/>
      </c>
      <c r="Q988" s="11" t="n"/>
      <c r="S988">
        <f>IF($A988="","",IF(AND(ISNUMBER($R988),NOT(ISLOGICAL($R988)),N($R988)&gt;1),$R988/100*1,IF($V988=1,Settings!$C$6,Settings!$C$7)*1))</f>
        <v/>
      </c>
      <c r="T988">
        <f>IF($A988="","",IF(COUNTIF($A$2:$A988,$A988)=1,1,0))</f>
        <v/>
      </c>
      <c r="U988">
        <f>IF($T988=1,SUMPRODUCT(--($W$2:$W$1001&lt;$W988))+1,"")</f>
        <v/>
      </c>
      <c r="V988">
        <f>IF($A988="","",IF(AND(ISNUMBER($R988),NOT(ISLOGICAL($R988)),N($R988)&gt;1),IF(ABS($R988/100-Settings!$C$6)&lt;=ABS($R988/100-Settings!$C$7),1,0),IF(OR($R988=TRUE(),$R988="TRUE"),1,0)))</f>
        <v/>
      </c>
      <c r="W988">
        <f>IF($T988=1,IFERROR(IF(VALUE($A988)&lt;100000000,VALUE($A988),1000000000),IFERROR(IF(VALUE(MID($A988,2,20))&lt;100000000,VALUE(MID($A988,2,20)),1000000000),1000000000))+ROW()/100000,"")</f>
        <v/>
      </c>
    </row>
    <row r="989">
      <c r="F989" s="7">
        <f>IF($A989="","",E989*K989/100)</f>
        <v/>
      </c>
      <c r="J989" s="7" t="n"/>
      <c r="K989" s="7" t="n"/>
      <c r="L989" s="7">
        <f>IF($A989="","",S989*K989)</f>
        <v/>
      </c>
      <c r="M989" s="7">
        <f>IF($A989="","",K989-L989)</f>
        <v/>
      </c>
      <c r="N989" s="7">
        <f>IF($A989="","",M989-F989)</f>
        <v/>
      </c>
      <c r="Q989" s="11" t="n"/>
      <c r="S989">
        <f>IF($A989="","",IF(AND(ISNUMBER($R989),NOT(ISLOGICAL($R989)),N($R989)&gt;1),$R989/100*1,IF($V989=1,Settings!$C$6,Settings!$C$7)*1))</f>
        <v/>
      </c>
      <c r="T989">
        <f>IF($A989="","",IF(COUNTIF($A$2:$A989,$A989)=1,1,0))</f>
        <v/>
      </c>
      <c r="U989">
        <f>IF($T989=1,SUMPRODUCT(--($W$2:$W$1001&lt;$W989))+1,"")</f>
        <v/>
      </c>
      <c r="V989">
        <f>IF($A989="","",IF(AND(ISNUMBER($R989),NOT(ISLOGICAL($R989)),N($R989)&gt;1),IF(ABS($R989/100-Settings!$C$6)&lt;=ABS($R989/100-Settings!$C$7),1,0),IF(OR($R989=TRUE(),$R989="TRUE"),1,0)))</f>
        <v/>
      </c>
      <c r="W989">
        <f>IF($T989=1,IFERROR(IF(VALUE($A989)&lt;100000000,VALUE($A989),1000000000),IFERROR(IF(VALUE(MID($A989,2,20))&lt;100000000,VALUE(MID($A989,2,20)),1000000000),1000000000))+ROW()/100000,"")</f>
        <v/>
      </c>
    </row>
    <row r="990">
      <c r="F990" s="7">
        <f>IF($A990="","",E990*K990/100)</f>
        <v/>
      </c>
      <c r="J990" s="7" t="n"/>
      <c r="K990" s="7" t="n"/>
      <c r="L990" s="7">
        <f>IF($A990="","",S990*K990)</f>
        <v/>
      </c>
      <c r="M990" s="7">
        <f>IF($A990="","",K990-L990)</f>
        <v/>
      </c>
      <c r="N990" s="7">
        <f>IF($A990="","",M990-F990)</f>
        <v/>
      </c>
      <c r="Q990" s="11" t="n"/>
      <c r="S990">
        <f>IF($A990="","",IF(AND(ISNUMBER($R990),NOT(ISLOGICAL($R990)),N($R990)&gt;1),$R990/100*1,IF($V990=1,Settings!$C$6,Settings!$C$7)*1))</f>
        <v/>
      </c>
      <c r="T990">
        <f>IF($A990="","",IF(COUNTIF($A$2:$A990,$A990)=1,1,0))</f>
        <v/>
      </c>
      <c r="U990">
        <f>IF($T990=1,SUMPRODUCT(--($W$2:$W$1001&lt;$W990))+1,"")</f>
        <v/>
      </c>
      <c r="V990">
        <f>IF($A990="","",IF(AND(ISNUMBER($R990),NOT(ISLOGICAL($R990)),N($R990)&gt;1),IF(ABS($R990/100-Settings!$C$6)&lt;=ABS($R990/100-Settings!$C$7),1,0),IF(OR($R990=TRUE(),$R990="TRUE"),1,0)))</f>
        <v/>
      </c>
      <c r="W990">
        <f>IF($T990=1,IFERROR(IF(VALUE($A990)&lt;100000000,VALUE($A990),1000000000),IFERROR(IF(VALUE(MID($A990,2,20))&lt;100000000,VALUE(MID($A990,2,20)),1000000000),1000000000))+ROW()/100000,"")</f>
        <v/>
      </c>
    </row>
    <row r="991">
      <c r="F991" s="7">
        <f>IF($A991="","",E991*K991/100)</f>
        <v/>
      </c>
      <c r="J991" s="7" t="n"/>
      <c r="K991" s="7" t="n"/>
      <c r="L991" s="7">
        <f>IF($A991="","",S991*K991)</f>
        <v/>
      </c>
      <c r="M991" s="7">
        <f>IF($A991="","",K991-L991)</f>
        <v/>
      </c>
      <c r="N991" s="7">
        <f>IF($A991="","",M991-F991)</f>
        <v/>
      </c>
      <c r="Q991" s="11" t="n"/>
      <c r="S991">
        <f>IF($A991="","",IF(AND(ISNUMBER($R991),NOT(ISLOGICAL($R991)),N($R991)&gt;1),$R991/100*1,IF($V991=1,Settings!$C$6,Settings!$C$7)*1))</f>
        <v/>
      </c>
      <c r="T991">
        <f>IF($A991="","",IF(COUNTIF($A$2:$A991,$A991)=1,1,0))</f>
        <v/>
      </c>
      <c r="U991">
        <f>IF($T991=1,SUMPRODUCT(--($W$2:$W$1001&lt;$W991))+1,"")</f>
        <v/>
      </c>
      <c r="V991">
        <f>IF($A991="","",IF(AND(ISNUMBER($R991),NOT(ISLOGICAL($R991)),N($R991)&gt;1),IF(ABS($R991/100-Settings!$C$6)&lt;=ABS($R991/100-Settings!$C$7),1,0),IF(OR($R991=TRUE(),$R991="TRUE"),1,0)))</f>
        <v/>
      </c>
      <c r="W991">
        <f>IF($T991=1,IFERROR(IF(VALUE($A991)&lt;100000000,VALUE($A991),1000000000),IFERROR(IF(VALUE(MID($A991,2,20))&lt;100000000,VALUE(MID($A991,2,20)),1000000000),1000000000))+ROW()/100000,"")</f>
        <v/>
      </c>
    </row>
    <row r="992">
      <c r="F992" s="7">
        <f>IF($A992="","",E992*K992/100)</f>
        <v/>
      </c>
      <c r="J992" s="7" t="n"/>
      <c r="K992" s="7" t="n"/>
      <c r="L992" s="7">
        <f>IF($A992="","",S992*K992)</f>
        <v/>
      </c>
      <c r="M992" s="7">
        <f>IF($A992="","",K992-L992)</f>
        <v/>
      </c>
      <c r="N992" s="7">
        <f>IF($A992="","",M992-F992)</f>
        <v/>
      </c>
      <c r="Q992" s="11" t="n"/>
      <c r="S992">
        <f>IF($A992="","",IF(AND(ISNUMBER($R992),NOT(ISLOGICAL($R992)),N($R992)&gt;1),$R992/100*1,IF($V992=1,Settings!$C$6,Settings!$C$7)*1))</f>
        <v/>
      </c>
      <c r="T992">
        <f>IF($A992="","",IF(COUNTIF($A$2:$A992,$A992)=1,1,0))</f>
        <v/>
      </c>
      <c r="U992">
        <f>IF($T992=1,SUMPRODUCT(--($W$2:$W$1001&lt;$W992))+1,"")</f>
        <v/>
      </c>
      <c r="V992">
        <f>IF($A992="","",IF(AND(ISNUMBER($R992),NOT(ISLOGICAL($R992)),N($R992)&gt;1),IF(ABS($R992/100-Settings!$C$6)&lt;=ABS($R992/100-Settings!$C$7),1,0),IF(OR($R992=TRUE(),$R992="TRUE"),1,0)))</f>
        <v/>
      </c>
      <c r="W992">
        <f>IF($T992=1,IFERROR(IF(VALUE($A992)&lt;100000000,VALUE($A992),1000000000),IFERROR(IF(VALUE(MID($A992,2,20))&lt;100000000,VALUE(MID($A992,2,20)),1000000000),1000000000))+ROW()/100000,"")</f>
        <v/>
      </c>
    </row>
    <row r="993">
      <c r="F993" s="7">
        <f>IF($A993="","",E993*K993/100)</f>
        <v/>
      </c>
      <c r="J993" s="7" t="n"/>
      <c r="K993" s="7" t="n"/>
      <c r="L993" s="7">
        <f>IF($A993="","",S993*K993)</f>
        <v/>
      </c>
      <c r="M993" s="7">
        <f>IF($A993="","",K993-L993)</f>
        <v/>
      </c>
      <c r="N993" s="7">
        <f>IF($A993="","",M993-F993)</f>
        <v/>
      </c>
      <c r="Q993" s="11" t="n"/>
      <c r="S993">
        <f>IF($A993="","",IF(AND(ISNUMBER($R993),NOT(ISLOGICAL($R993)),N($R993)&gt;1),$R993/100*1,IF($V993=1,Settings!$C$6,Settings!$C$7)*1))</f>
        <v/>
      </c>
      <c r="T993">
        <f>IF($A993="","",IF(COUNTIF($A$2:$A993,$A993)=1,1,0))</f>
        <v/>
      </c>
      <c r="U993">
        <f>IF($T993=1,SUMPRODUCT(--($W$2:$W$1001&lt;$W993))+1,"")</f>
        <v/>
      </c>
      <c r="V993">
        <f>IF($A993="","",IF(AND(ISNUMBER($R993),NOT(ISLOGICAL($R993)),N($R993)&gt;1),IF(ABS($R993/100-Settings!$C$6)&lt;=ABS($R993/100-Settings!$C$7),1,0),IF(OR($R993=TRUE(),$R993="TRUE"),1,0)))</f>
        <v/>
      </c>
      <c r="W993">
        <f>IF($T993=1,IFERROR(IF(VALUE($A993)&lt;100000000,VALUE($A993),1000000000),IFERROR(IF(VALUE(MID($A993,2,20))&lt;100000000,VALUE(MID($A993,2,20)),1000000000),1000000000))+ROW()/100000,"")</f>
        <v/>
      </c>
    </row>
    <row r="994">
      <c r="F994" s="7">
        <f>IF($A994="","",E994*K994/100)</f>
        <v/>
      </c>
      <c r="J994" s="7" t="n"/>
      <c r="K994" s="7" t="n"/>
      <c r="L994" s="7">
        <f>IF($A994="","",S994*K994)</f>
        <v/>
      </c>
      <c r="M994" s="7">
        <f>IF($A994="","",K994-L994)</f>
        <v/>
      </c>
      <c r="N994" s="7">
        <f>IF($A994="","",M994-F994)</f>
        <v/>
      </c>
      <c r="Q994" s="11" t="n"/>
      <c r="S994">
        <f>IF($A994="","",IF(AND(ISNUMBER($R994),NOT(ISLOGICAL($R994)),N($R994)&gt;1),$R994/100*1,IF($V994=1,Settings!$C$6,Settings!$C$7)*1))</f>
        <v/>
      </c>
      <c r="T994">
        <f>IF($A994="","",IF(COUNTIF($A$2:$A994,$A994)=1,1,0))</f>
        <v/>
      </c>
      <c r="U994">
        <f>IF($T994=1,SUMPRODUCT(--($W$2:$W$1001&lt;$W994))+1,"")</f>
        <v/>
      </c>
      <c r="V994">
        <f>IF($A994="","",IF(AND(ISNUMBER($R994),NOT(ISLOGICAL($R994)),N($R994)&gt;1),IF(ABS($R994/100-Settings!$C$6)&lt;=ABS($R994/100-Settings!$C$7),1,0),IF(OR($R994=TRUE(),$R994="TRUE"),1,0)))</f>
        <v/>
      </c>
      <c r="W994">
        <f>IF($T994=1,IFERROR(IF(VALUE($A994)&lt;100000000,VALUE($A994),1000000000),IFERROR(IF(VALUE(MID($A994,2,20))&lt;100000000,VALUE(MID($A994,2,20)),1000000000),1000000000))+ROW()/100000,"")</f>
        <v/>
      </c>
    </row>
    <row r="995">
      <c r="F995" s="7">
        <f>IF($A995="","",E995*K995/100)</f>
        <v/>
      </c>
      <c r="J995" s="7" t="n"/>
      <c r="K995" s="7" t="n"/>
      <c r="L995" s="7">
        <f>IF($A995="","",S995*K995)</f>
        <v/>
      </c>
      <c r="M995" s="7">
        <f>IF($A995="","",K995-L995)</f>
        <v/>
      </c>
      <c r="N995" s="7">
        <f>IF($A995="","",M995-F995)</f>
        <v/>
      </c>
      <c r="Q995" s="11" t="n"/>
      <c r="S995">
        <f>IF($A995="","",IF(AND(ISNUMBER($R995),NOT(ISLOGICAL($R995)),N($R995)&gt;1),$R995/100*1,IF($V995=1,Settings!$C$6,Settings!$C$7)*1))</f>
        <v/>
      </c>
      <c r="T995">
        <f>IF($A995="","",IF(COUNTIF($A$2:$A995,$A995)=1,1,0))</f>
        <v/>
      </c>
      <c r="U995">
        <f>IF($T995=1,SUMPRODUCT(--($W$2:$W$1001&lt;$W995))+1,"")</f>
        <v/>
      </c>
      <c r="V995">
        <f>IF($A995="","",IF(AND(ISNUMBER($R995),NOT(ISLOGICAL($R995)),N($R995)&gt;1),IF(ABS($R995/100-Settings!$C$6)&lt;=ABS($R995/100-Settings!$C$7),1,0),IF(OR($R995=TRUE(),$R995="TRUE"),1,0)))</f>
        <v/>
      </c>
      <c r="W995">
        <f>IF($T995=1,IFERROR(IF(VALUE($A995)&lt;100000000,VALUE($A995),1000000000),IFERROR(IF(VALUE(MID($A995,2,20))&lt;100000000,VALUE(MID($A995,2,20)),1000000000),1000000000))+ROW()/100000,"")</f>
        <v/>
      </c>
    </row>
    <row r="996">
      <c r="F996" s="7">
        <f>IF($A996="","",E996*K996/100)</f>
        <v/>
      </c>
      <c r="J996" s="7" t="n"/>
      <c r="K996" s="7" t="n"/>
      <c r="L996" s="7">
        <f>IF($A996="","",S996*K996)</f>
        <v/>
      </c>
      <c r="M996" s="7">
        <f>IF($A996="","",K996-L996)</f>
        <v/>
      </c>
      <c r="N996" s="7">
        <f>IF($A996="","",M996-F996)</f>
        <v/>
      </c>
      <c r="Q996" s="11" t="n"/>
      <c r="S996">
        <f>IF($A996="","",IF(AND(ISNUMBER($R996),NOT(ISLOGICAL($R996)),N($R996)&gt;1),$R996/100*1,IF($V996=1,Settings!$C$6,Settings!$C$7)*1))</f>
        <v/>
      </c>
      <c r="T996">
        <f>IF($A996="","",IF(COUNTIF($A$2:$A996,$A996)=1,1,0))</f>
        <v/>
      </c>
      <c r="U996">
        <f>IF($T996=1,SUMPRODUCT(--($W$2:$W$1001&lt;$W996))+1,"")</f>
        <v/>
      </c>
      <c r="V996">
        <f>IF($A996="","",IF(AND(ISNUMBER($R996),NOT(ISLOGICAL($R996)),N($R996)&gt;1),IF(ABS($R996/100-Settings!$C$6)&lt;=ABS($R996/100-Settings!$C$7),1,0),IF(OR($R996=TRUE(),$R996="TRUE"),1,0)))</f>
        <v/>
      </c>
      <c r="W996">
        <f>IF($T996=1,IFERROR(IF(VALUE($A996)&lt;100000000,VALUE($A996),1000000000),IFERROR(IF(VALUE(MID($A996,2,20))&lt;100000000,VALUE(MID($A996,2,20)),1000000000),1000000000))+ROW()/100000,"")</f>
        <v/>
      </c>
    </row>
    <row r="997">
      <c r="F997" s="7">
        <f>IF($A997="","",E997*K997/100)</f>
        <v/>
      </c>
      <c r="J997" s="7" t="n"/>
      <c r="K997" s="7" t="n"/>
      <c r="L997" s="7">
        <f>IF($A997="","",S997*K997)</f>
        <v/>
      </c>
      <c r="M997" s="7">
        <f>IF($A997="","",K997-L997)</f>
        <v/>
      </c>
      <c r="N997" s="7">
        <f>IF($A997="","",M997-F997)</f>
        <v/>
      </c>
      <c r="Q997" s="11" t="n"/>
      <c r="S997">
        <f>IF($A997="","",IF(AND(ISNUMBER($R997),NOT(ISLOGICAL($R997)),N($R997)&gt;1),$R997/100*1,IF($V997=1,Settings!$C$6,Settings!$C$7)*1))</f>
        <v/>
      </c>
      <c r="T997">
        <f>IF($A997="","",IF(COUNTIF($A$2:$A997,$A997)=1,1,0))</f>
        <v/>
      </c>
      <c r="U997">
        <f>IF($T997=1,SUMPRODUCT(--($W$2:$W$1001&lt;$W997))+1,"")</f>
        <v/>
      </c>
      <c r="V997">
        <f>IF($A997="","",IF(AND(ISNUMBER($R997),NOT(ISLOGICAL($R997)),N($R997)&gt;1),IF(ABS($R997/100-Settings!$C$6)&lt;=ABS($R997/100-Settings!$C$7),1,0),IF(OR($R997=TRUE(),$R997="TRUE"),1,0)))</f>
        <v/>
      </c>
      <c r="W997">
        <f>IF($T997=1,IFERROR(IF(VALUE($A997)&lt;100000000,VALUE($A997),1000000000),IFERROR(IF(VALUE(MID($A997,2,20))&lt;100000000,VALUE(MID($A997,2,20)),1000000000),1000000000))+ROW()/100000,"")</f>
        <v/>
      </c>
    </row>
    <row r="998">
      <c r="F998" s="7">
        <f>IF($A998="","",E998*K998/100)</f>
        <v/>
      </c>
      <c r="J998" s="7" t="n"/>
      <c r="K998" s="7" t="n"/>
      <c r="L998" s="7">
        <f>IF($A998="","",S998*K998)</f>
        <v/>
      </c>
      <c r="M998" s="7">
        <f>IF($A998="","",K998-L998)</f>
        <v/>
      </c>
      <c r="N998" s="7">
        <f>IF($A998="","",M998-F998)</f>
        <v/>
      </c>
      <c r="Q998" s="11" t="n"/>
      <c r="S998">
        <f>IF($A998="","",IF(AND(ISNUMBER($R998),NOT(ISLOGICAL($R998)),N($R998)&gt;1),$R998/100*1,IF($V998=1,Settings!$C$6,Settings!$C$7)*1))</f>
        <v/>
      </c>
      <c r="T998">
        <f>IF($A998="","",IF(COUNTIF($A$2:$A998,$A998)=1,1,0))</f>
        <v/>
      </c>
      <c r="U998">
        <f>IF($T998=1,SUMPRODUCT(--($W$2:$W$1001&lt;$W998))+1,"")</f>
        <v/>
      </c>
      <c r="V998">
        <f>IF($A998="","",IF(AND(ISNUMBER($R998),NOT(ISLOGICAL($R998)),N($R998)&gt;1),IF(ABS($R998/100-Settings!$C$6)&lt;=ABS($R998/100-Settings!$C$7),1,0),IF(OR($R998=TRUE(),$R998="TRUE"),1,0)))</f>
        <v/>
      </c>
      <c r="W998">
        <f>IF($T998=1,IFERROR(IF(VALUE($A998)&lt;100000000,VALUE($A998),1000000000),IFERROR(IF(VALUE(MID($A998,2,20))&lt;100000000,VALUE(MID($A998,2,20)),1000000000),1000000000))+ROW()/100000,"")</f>
        <v/>
      </c>
    </row>
    <row r="999">
      <c r="F999" s="7">
        <f>IF($A999="","",E999*K999/100)</f>
        <v/>
      </c>
      <c r="J999" s="7" t="n"/>
      <c r="K999" s="7" t="n"/>
      <c r="L999" s="7">
        <f>IF($A999="","",S999*K999)</f>
        <v/>
      </c>
      <c r="M999" s="7">
        <f>IF($A999="","",K999-L999)</f>
        <v/>
      </c>
      <c r="N999" s="7">
        <f>IF($A999="","",M999-F999)</f>
        <v/>
      </c>
      <c r="Q999" s="11" t="n"/>
      <c r="S999">
        <f>IF($A999="","",IF(AND(ISNUMBER($R999),NOT(ISLOGICAL($R999)),N($R999)&gt;1),$R999/100*1,IF($V999=1,Settings!$C$6,Settings!$C$7)*1))</f>
        <v/>
      </c>
      <c r="T999">
        <f>IF($A999="","",IF(COUNTIF($A$2:$A999,$A999)=1,1,0))</f>
        <v/>
      </c>
      <c r="U999">
        <f>IF($T999=1,SUMPRODUCT(--($W$2:$W$1001&lt;$W999))+1,"")</f>
        <v/>
      </c>
      <c r="V999">
        <f>IF($A999="","",IF(AND(ISNUMBER($R999),NOT(ISLOGICAL($R999)),N($R999)&gt;1),IF(ABS($R999/100-Settings!$C$6)&lt;=ABS($R999/100-Settings!$C$7),1,0),IF(OR($R999=TRUE(),$R999="TRUE"),1,0)))</f>
        <v/>
      </c>
      <c r="W999">
        <f>IF($T999=1,IFERROR(IF(VALUE($A999)&lt;100000000,VALUE($A999),1000000000),IFERROR(IF(VALUE(MID($A999,2,20))&lt;100000000,VALUE(MID($A999,2,20)),1000000000),1000000000))+ROW()/100000,"")</f>
        <v/>
      </c>
    </row>
    <row r="1000">
      <c r="F1000" s="7">
        <f>IF($A1000="","",E1000*K1000/100)</f>
        <v/>
      </c>
      <c r="J1000" s="7" t="n"/>
      <c r="K1000" s="7" t="n"/>
      <c r="L1000" s="7">
        <f>IF($A1000="","",S1000*K1000)</f>
        <v/>
      </c>
      <c r="M1000" s="7">
        <f>IF($A1000="","",K1000-L1000)</f>
        <v/>
      </c>
      <c r="N1000" s="7">
        <f>IF($A1000="","",M1000-F1000)</f>
        <v/>
      </c>
      <c r="Q1000" s="11" t="n"/>
      <c r="S1000">
        <f>IF($A1000="","",IF(AND(ISNUMBER($R1000),NOT(ISLOGICAL($R1000)),N($R1000)&gt;1),$R1000/100*1,IF($V1000=1,Settings!$C$6,Settings!$C$7)*1))</f>
        <v/>
      </c>
      <c r="T1000">
        <f>IF($A1000="","",IF(COUNTIF($A$2:$A1000,$A1000)=1,1,0))</f>
        <v/>
      </c>
      <c r="U1000">
        <f>IF($T1000=1,SUMPRODUCT(--($W$2:$W$1001&lt;$W1000))+1,"")</f>
        <v/>
      </c>
      <c r="V1000">
        <f>IF($A1000="","",IF(AND(ISNUMBER($R1000),NOT(ISLOGICAL($R1000)),N($R1000)&gt;1),IF(ABS($R1000/100-Settings!$C$6)&lt;=ABS($R1000/100-Settings!$C$7),1,0),IF(OR($R1000=TRUE(),$R1000="TRUE"),1,0)))</f>
        <v/>
      </c>
      <c r="W1000">
        <f>IF($T1000=1,IFERROR(IF(VALUE($A1000)&lt;100000000,VALUE($A1000),1000000000),IFERROR(IF(VALUE(MID($A1000,2,20))&lt;100000000,VALUE(MID($A1000,2,20)),1000000000),1000000000))+ROW()/100000,"")</f>
        <v/>
      </c>
    </row>
    <row r="1001">
      <c r="F1001" s="7">
        <f>IF($A1001="","",E1001*K1001/100)</f>
        <v/>
      </c>
      <c r="J1001" s="7" t="n"/>
      <c r="K1001" s="7" t="n"/>
      <c r="L1001" s="7">
        <f>IF($A1001="","",S1001*K1001)</f>
        <v/>
      </c>
      <c r="M1001" s="7">
        <f>IF($A1001="","",K1001-L1001)</f>
        <v/>
      </c>
      <c r="N1001" s="7">
        <f>IF($A1001="","",M1001-F1001)</f>
        <v/>
      </c>
      <c r="Q1001" s="11" t="n"/>
      <c r="S1001">
        <f>IF($A1001="","",IF(AND(ISNUMBER($R1001),NOT(ISLOGICAL($R1001)),N($R1001)&gt;1),$R1001/100*1,IF($V1001=1,Settings!$C$6,Settings!$C$7)*1))</f>
        <v/>
      </c>
      <c r="T1001">
        <f>IF($A1001="","",IF(COUNTIF($A$2:$A1001,$A1001)=1,1,0))</f>
        <v/>
      </c>
      <c r="U1001">
        <f>IF($T1001=1,SUMPRODUCT(--($W$2:$W$1001&lt;$W1001))+1,"")</f>
        <v/>
      </c>
      <c r="V1001">
        <f>IF($A1001="","",IF(AND(ISNUMBER($R1001),NOT(ISLOGICAL($R1001)),N($R1001)&gt;1),IF(ABS($R1001/100-Settings!$C$6)&lt;=ABS($R1001/100-Settings!$C$7),1,0),IF(OR($R1001=TRUE(),$R1001="TRUE"),1,0)))</f>
        <v/>
      </c>
      <c r="W1001">
        <f>IF($T1001=1,IFERROR(IF(VALUE($A1001)&lt;100000000,VALUE($A1001),1000000000),IFERROR(IF(VALUE(MID($A1001,2,20))&lt;100000000,VALUE(MID($A1001,2,20)),1000000000),1000000000))+ROW()/100000,"")</f>
        <v/>
      </c>
    </row>
  </sheetData>
  <autoFilter ref="A1:W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  <col width="26" customWidth="1" min="5" max="5"/>
    <col width="13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</cols>
  <sheetData>
    <row r="1" ht="32" customHeight="1">
      <c r="A1" s="8" t="inlineStr">
        <is>
          <t>Invoice</t>
        </is>
      </c>
      <c r="B1" s="9" t="inlineStr">
        <is>
          <t>Pos Reference</t>
        </is>
      </c>
      <c r="C1" s="8" t="inlineStr">
        <is>
          <t>approval Refrence</t>
        </is>
      </c>
      <c r="D1" s="9" t="inlineStr">
        <is>
          <t>Insurance Company</t>
        </is>
      </c>
      <c r="E1" s="9" t="inlineStr">
        <is>
          <t>Name</t>
        </is>
      </c>
      <c r="F1" s="9" t="inlineStr">
        <is>
          <t>Card Number</t>
        </is>
      </c>
      <c r="G1" s="9" t="inlineStr">
        <is>
          <t>Co Payment %</t>
        </is>
      </c>
      <c r="H1" s="9" t="inlineStr">
        <is>
          <t>Co val</t>
        </is>
      </c>
      <c r="I1" s="9" t="inlineStr">
        <is>
          <t>Create Date</t>
        </is>
      </c>
      <c r="J1" s="9" t="inlineStr">
        <is>
          <t>IMP%</t>
        </is>
      </c>
      <c r="K1" s="9" t="inlineStr">
        <is>
          <t>IMP</t>
        </is>
      </c>
      <c r="L1" s="9" t="inlineStr">
        <is>
          <t>IMP VAL</t>
        </is>
      </c>
      <c r="M1" s="9" t="inlineStr">
        <is>
          <t>LOCAL%</t>
        </is>
      </c>
      <c r="N1" s="9" t="inlineStr">
        <is>
          <t>LOCAL</t>
        </is>
      </c>
      <c r="O1" s="9" t="inlineStr">
        <is>
          <t>LOCAL VAL</t>
        </is>
      </c>
      <c r="P1" s="9" t="inlineStr">
        <is>
          <t>TOTAL VAL</t>
        </is>
      </c>
      <c r="Q1" s="9" t="inlineStr">
        <is>
          <t>SUBTOTAL</t>
        </is>
      </c>
      <c r="R1" s="9" t="inlineStr">
        <is>
          <t>Grand Total</t>
        </is>
      </c>
      <c r="S1" s="9" t="inlineStr">
        <is>
          <t>NET</t>
        </is>
      </c>
      <c r="T1" s="10" t="inlineStr">
        <is>
          <t>Src Row (helper)</t>
        </is>
      </c>
    </row>
    <row r="2">
      <c r="A2" s="12" t="n"/>
      <c r="B2">
        <f>IF($T2="","",INDEX('Per Line'!$A$2:$A$1001,$T2)&amp;"")</f>
        <v/>
      </c>
      <c r="C2" s="12" t="n"/>
      <c r="D2">
        <f>IF($T2="","",INDEX('Per Line'!$B$2:$B$1001,$T2)&amp;"")</f>
        <v/>
      </c>
      <c r="E2">
        <f>IF($T2="","",INDEX('Per Line'!$C$2:$C$1001,$T2)&amp;"")</f>
        <v/>
      </c>
      <c r="F2">
        <f>IF($T2="","",INDEX('Per Line'!$D$2:$D$1001,$T2)&amp;"")</f>
        <v/>
      </c>
      <c r="G2">
        <f>IF($T2="","",INDEX('Per Line'!$E$2:$E$1001,$T2))</f>
        <v/>
      </c>
      <c r="H2" s="7">
        <f>IF($T2="","",G2*R2/100)</f>
        <v/>
      </c>
      <c r="I2" s="11">
        <f>IF($T2="","",INDEX('Per Line'!$Q$2:$Q$1001,$T2))</f>
        <v/>
      </c>
      <c r="J2">
        <f>IF($T2="","",Settings!$C$7)</f>
        <v/>
      </c>
      <c r="K2" s="7">
        <f>IF($T2="","",SUMIFS('Per Line'!$K$2:$K$1001,'Per Line'!$A$2:$A$1001,$B2,'Per Line'!$V$2:$V$1001,0))</f>
        <v/>
      </c>
      <c r="L2" s="7">
        <f>IF($T2="","",K2*J2)</f>
        <v/>
      </c>
      <c r="M2">
        <f>IF($T2="","",Settings!$C$6)</f>
        <v/>
      </c>
      <c r="N2" s="7">
        <f>IF($T2="","",SUMIFS('Per Line'!$K$2:$K$1001,'Per Line'!$A$2:$A$1001,$B2,'Per Line'!$V$2:$V$1001,1))</f>
        <v/>
      </c>
      <c r="O2" s="7">
        <f>IF($T2="","",N2*M2)</f>
        <v/>
      </c>
      <c r="P2" s="7">
        <f>IF($T2="","",O2+L2)</f>
        <v/>
      </c>
      <c r="Q2" s="7">
        <f>IF($T2="","",R2-P2)</f>
        <v/>
      </c>
      <c r="R2" s="7">
        <f>IF($T2="","",K2+N2)</f>
        <v/>
      </c>
      <c r="S2" s="7">
        <f>IF($T2="","",R2-P2-H2)</f>
        <v/>
      </c>
      <c r="T2" s="13">
        <f>IF(ROWS($T$2:$T2)&lt;=MAX('Per Line'!$U$2:$U$1001),MATCH(ROWS($T$2:$T2),'Per Line'!$U$2:$U$1001,0),"")</f>
        <v/>
      </c>
    </row>
    <row r="3">
      <c r="A3" s="12" t="n"/>
      <c r="B3">
        <f>IF($T3="","",INDEX('Per Line'!$A$2:$A$1001,$T3)&amp;"")</f>
        <v/>
      </c>
      <c r="C3" s="12" t="n"/>
      <c r="D3">
        <f>IF($T3="","",INDEX('Per Line'!$B$2:$B$1001,$T3)&amp;"")</f>
        <v/>
      </c>
      <c r="E3">
        <f>IF($T3="","",INDEX('Per Line'!$C$2:$C$1001,$T3)&amp;"")</f>
        <v/>
      </c>
      <c r="F3">
        <f>IF($T3="","",INDEX('Per Line'!$D$2:$D$1001,$T3)&amp;"")</f>
        <v/>
      </c>
      <c r="G3">
        <f>IF($T3="","",INDEX('Per Line'!$E$2:$E$1001,$T3))</f>
        <v/>
      </c>
      <c r="H3" s="7">
        <f>IF($T3="","",G3*R3/100)</f>
        <v/>
      </c>
      <c r="I3" s="11">
        <f>IF($T3="","",INDEX('Per Line'!$Q$2:$Q$1001,$T3))</f>
        <v/>
      </c>
      <c r="J3">
        <f>IF($T3="","",Settings!$C$7)</f>
        <v/>
      </c>
      <c r="K3" s="7">
        <f>IF($T3="","",SUMIFS('Per Line'!$K$2:$K$1001,'Per Line'!$A$2:$A$1001,$B3,'Per Line'!$V$2:$V$1001,0))</f>
        <v/>
      </c>
      <c r="L3" s="7">
        <f>IF($T3="","",K3*J3)</f>
        <v/>
      </c>
      <c r="M3">
        <f>IF($T3="","",Settings!$C$6)</f>
        <v/>
      </c>
      <c r="N3" s="7">
        <f>IF($T3="","",SUMIFS('Per Line'!$K$2:$K$1001,'Per Line'!$A$2:$A$1001,$B3,'Per Line'!$V$2:$V$1001,1))</f>
        <v/>
      </c>
      <c r="O3" s="7">
        <f>IF($T3="","",N3*M3)</f>
        <v/>
      </c>
      <c r="P3" s="7">
        <f>IF($T3="","",O3+L3)</f>
        <v/>
      </c>
      <c r="Q3" s="7">
        <f>IF($T3="","",R3-P3)</f>
        <v/>
      </c>
      <c r="R3" s="7">
        <f>IF($T3="","",K3+N3)</f>
        <v/>
      </c>
      <c r="S3" s="7">
        <f>IF($T3="","",R3-P3-H3)</f>
        <v/>
      </c>
      <c r="T3" s="13">
        <f>IF(ROWS($T$2:$T3)&lt;=MAX('Per Line'!$U$2:$U$1001),MATCH(ROWS($T$2:$T3),'Per Line'!$U$2:$U$1001,0),"")</f>
        <v/>
      </c>
    </row>
    <row r="4">
      <c r="A4" s="12" t="n"/>
      <c r="B4">
        <f>IF($T4="","",INDEX('Per Line'!$A$2:$A$1001,$T4)&amp;"")</f>
        <v/>
      </c>
      <c r="C4" s="12" t="n"/>
      <c r="D4">
        <f>IF($T4="","",INDEX('Per Line'!$B$2:$B$1001,$T4)&amp;"")</f>
        <v/>
      </c>
      <c r="E4">
        <f>IF($T4="","",INDEX('Per Line'!$C$2:$C$1001,$T4)&amp;"")</f>
        <v/>
      </c>
      <c r="F4">
        <f>IF($T4="","",INDEX('Per Line'!$D$2:$D$1001,$T4)&amp;"")</f>
        <v/>
      </c>
      <c r="G4">
        <f>IF($T4="","",INDEX('Per Line'!$E$2:$E$1001,$T4))</f>
        <v/>
      </c>
      <c r="H4" s="7">
        <f>IF($T4="","",G4*R4/100)</f>
        <v/>
      </c>
      <c r="I4" s="11">
        <f>IF($T4="","",INDEX('Per Line'!$Q$2:$Q$1001,$T4))</f>
        <v/>
      </c>
      <c r="J4">
        <f>IF($T4="","",Settings!$C$7)</f>
        <v/>
      </c>
      <c r="K4" s="7">
        <f>IF($T4="","",SUMIFS('Per Line'!$K$2:$K$1001,'Per Line'!$A$2:$A$1001,$B4,'Per Line'!$V$2:$V$1001,0))</f>
        <v/>
      </c>
      <c r="L4" s="7">
        <f>IF($T4="","",K4*J4)</f>
        <v/>
      </c>
      <c r="M4">
        <f>IF($T4="","",Settings!$C$6)</f>
        <v/>
      </c>
      <c r="N4" s="7">
        <f>IF($T4="","",SUMIFS('Per Line'!$K$2:$K$1001,'Per Line'!$A$2:$A$1001,$B4,'Per Line'!$V$2:$V$1001,1))</f>
        <v/>
      </c>
      <c r="O4" s="7">
        <f>IF($T4="","",N4*M4)</f>
        <v/>
      </c>
      <c r="P4" s="7">
        <f>IF($T4="","",O4+L4)</f>
        <v/>
      </c>
      <c r="Q4" s="7">
        <f>IF($T4="","",R4-P4)</f>
        <v/>
      </c>
      <c r="R4" s="7">
        <f>IF($T4="","",K4+N4)</f>
        <v/>
      </c>
      <c r="S4" s="7">
        <f>IF($T4="","",R4-P4-H4)</f>
        <v/>
      </c>
      <c r="T4" s="13">
        <f>IF(ROWS($T$2:$T4)&lt;=MAX('Per Line'!$U$2:$U$1001),MATCH(ROWS($T$2:$T4),'Per Line'!$U$2:$U$1001,0),"")</f>
        <v/>
      </c>
    </row>
    <row r="5">
      <c r="A5" s="12" t="n"/>
      <c r="B5">
        <f>IF($T5="","",INDEX('Per Line'!$A$2:$A$1001,$T5)&amp;"")</f>
        <v/>
      </c>
      <c r="C5" s="12" t="n"/>
      <c r="D5">
        <f>IF($T5="","",INDEX('Per Line'!$B$2:$B$1001,$T5)&amp;"")</f>
        <v/>
      </c>
      <c r="E5">
        <f>IF($T5="","",INDEX('Per Line'!$C$2:$C$1001,$T5)&amp;"")</f>
        <v/>
      </c>
      <c r="F5">
        <f>IF($T5="","",INDEX('Per Line'!$D$2:$D$1001,$T5)&amp;"")</f>
        <v/>
      </c>
      <c r="G5">
        <f>IF($T5="","",INDEX('Per Line'!$E$2:$E$1001,$T5))</f>
        <v/>
      </c>
      <c r="H5" s="7">
        <f>IF($T5="","",G5*R5/100)</f>
        <v/>
      </c>
      <c r="I5" s="11">
        <f>IF($T5="","",INDEX('Per Line'!$Q$2:$Q$1001,$T5))</f>
        <v/>
      </c>
      <c r="J5">
        <f>IF($T5="","",Settings!$C$7)</f>
        <v/>
      </c>
      <c r="K5" s="7">
        <f>IF($T5="","",SUMIFS('Per Line'!$K$2:$K$1001,'Per Line'!$A$2:$A$1001,$B5,'Per Line'!$V$2:$V$1001,0))</f>
        <v/>
      </c>
      <c r="L5" s="7">
        <f>IF($T5="","",K5*J5)</f>
        <v/>
      </c>
      <c r="M5">
        <f>IF($T5="","",Settings!$C$6)</f>
        <v/>
      </c>
      <c r="N5" s="7">
        <f>IF($T5="","",SUMIFS('Per Line'!$K$2:$K$1001,'Per Line'!$A$2:$A$1001,$B5,'Per Line'!$V$2:$V$1001,1))</f>
        <v/>
      </c>
      <c r="O5" s="7">
        <f>IF($T5="","",N5*M5)</f>
        <v/>
      </c>
      <c r="P5" s="7">
        <f>IF($T5="","",O5+L5)</f>
        <v/>
      </c>
      <c r="Q5" s="7">
        <f>IF($T5="","",R5-P5)</f>
        <v/>
      </c>
      <c r="R5" s="7">
        <f>IF($T5="","",K5+N5)</f>
        <v/>
      </c>
      <c r="S5" s="7">
        <f>IF($T5="","",R5-P5-H5)</f>
        <v/>
      </c>
      <c r="T5" s="13">
        <f>IF(ROWS($T$2:$T5)&lt;=MAX('Per Line'!$U$2:$U$1001),MATCH(ROWS($T$2:$T5),'Per Line'!$U$2:$U$1001,0),"")</f>
        <v/>
      </c>
    </row>
    <row r="6">
      <c r="A6" s="12" t="n"/>
      <c r="B6">
        <f>IF($T6="","",INDEX('Per Line'!$A$2:$A$1001,$T6)&amp;"")</f>
        <v/>
      </c>
      <c r="C6" s="12" t="n"/>
      <c r="D6">
        <f>IF($T6="","",INDEX('Per Line'!$B$2:$B$1001,$T6)&amp;"")</f>
        <v/>
      </c>
      <c r="E6">
        <f>IF($T6="","",INDEX('Per Line'!$C$2:$C$1001,$T6)&amp;"")</f>
        <v/>
      </c>
      <c r="F6">
        <f>IF($T6="","",INDEX('Per Line'!$D$2:$D$1001,$T6)&amp;"")</f>
        <v/>
      </c>
      <c r="G6">
        <f>IF($T6="","",INDEX('Per Line'!$E$2:$E$1001,$T6))</f>
        <v/>
      </c>
      <c r="H6" s="7">
        <f>IF($T6="","",G6*R6/100)</f>
        <v/>
      </c>
      <c r="I6" s="11">
        <f>IF($T6="","",INDEX('Per Line'!$Q$2:$Q$1001,$T6))</f>
        <v/>
      </c>
      <c r="J6">
        <f>IF($T6="","",Settings!$C$7)</f>
        <v/>
      </c>
      <c r="K6" s="7">
        <f>IF($T6="","",SUMIFS('Per Line'!$K$2:$K$1001,'Per Line'!$A$2:$A$1001,$B6,'Per Line'!$V$2:$V$1001,0))</f>
        <v/>
      </c>
      <c r="L6" s="7">
        <f>IF($T6="","",K6*J6)</f>
        <v/>
      </c>
      <c r="M6">
        <f>IF($T6="","",Settings!$C$6)</f>
        <v/>
      </c>
      <c r="N6" s="7">
        <f>IF($T6="","",SUMIFS('Per Line'!$K$2:$K$1001,'Per Line'!$A$2:$A$1001,$B6,'Per Line'!$V$2:$V$1001,1))</f>
        <v/>
      </c>
      <c r="O6" s="7">
        <f>IF($T6="","",N6*M6)</f>
        <v/>
      </c>
      <c r="P6" s="7">
        <f>IF($T6="","",O6+L6)</f>
        <v/>
      </c>
      <c r="Q6" s="7">
        <f>IF($T6="","",R6-P6)</f>
        <v/>
      </c>
      <c r="R6" s="7">
        <f>IF($T6="","",K6+N6)</f>
        <v/>
      </c>
      <c r="S6" s="7">
        <f>IF($T6="","",R6-P6-H6)</f>
        <v/>
      </c>
      <c r="T6" s="13">
        <f>IF(ROWS($T$2:$T6)&lt;=MAX('Per Line'!$U$2:$U$1001),MATCH(ROWS($T$2:$T6),'Per Line'!$U$2:$U$1001,0),"")</f>
        <v/>
      </c>
    </row>
    <row r="7">
      <c r="A7" s="12" t="n"/>
      <c r="B7">
        <f>IF($T7="","",INDEX('Per Line'!$A$2:$A$1001,$T7)&amp;"")</f>
        <v/>
      </c>
      <c r="C7" s="12" t="n"/>
      <c r="D7">
        <f>IF($T7="","",INDEX('Per Line'!$B$2:$B$1001,$T7)&amp;"")</f>
        <v/>
      </c>
      <c r="E7">
        <f>IF($T7="","",INDEX('Per Line'!$C$2:$C$1001,$T7)&amp;"")</f>
        <v/>
      </c>
      <c r="F7">
        <f>IF($T7="","",INDEX('Per Line'!$D$2:$D$1001,$T7)&amp;"")</f>
        <v/>
      </c>
      <c r="G7">
        <f>IF($T7="","",INDEX('Per Line'!$E$2:$E$1001,$T7))</f>
        <v/>
      </c>
      <c r="H7" s="7">
        <f>IF($T7="","",G7*R7/100)</f>
        <v/>
      </c>
      <c r="I7" s="11">
        <f>IF($T7="","",INDEX('Per Line'!$Q$2:$Q$1001,$T7))</f>
        <v/>
      </c>
      <c r="J7">
        <f>IF($T7="","",Settings!$C$7)</f>
        <v/>
      </c>
      <c r="K7" s="7">
        <f>IF($T7="","",SUMIFS('Per Line'!$K$2:$K$1001,'Per Line'!$A$2:$A$1001,$B7,'Per Line'!$V$2:$V$1001,0))</f>
        <v/>
      </c>
      <c r="L7" s="7">
        <f>IF($T7="","",K7*J7)</f>
        <v/>
      </c>
      <c r="M7">
        <f>IF($T7="","",Settings!$C$6)</f>
        <v/>
      </c>
      <c r="N7" s="7">
        <f>IF($T7="","",SUMIFS('Per Line'!$K$2:$K$1001,'Per Line'!$A$2:$A$1001,$B7,'Per Line'!$V$2:$V$1001,1))</f>
        <v/>
      </c>
      <c r="O7" s="7">
        <f>IF($T7="","",N7*M7)</f>
        <v/>
      </c>
      <c r="P7" s="7">
        <f>IF($T7="","",O7+L7)</f>
        <v/>
      </c>
      <c r="Q7" s="7">
        <f>IF($T7="","",R7-P7)</f>
        <v/>
      </c>
      <c r="R7" s="7">
        <f>IF($T7="","",K7+N7)</f>
        <v/>
      </c>
      <c r="S7" s="7">
        <f>IF($T7="","",R7-P7-H7)</f>
        <v/>
      </c>
      <c r="T7" s="13">
        <f>IF(ROWS($T$2:$T7)&lt;=MAX('Per Line'!$U$2:$U$1001),MATCH(ROWS($T$2:$T7),'Per Line'!$U$2:$U$1001,0),"")</f>
        <v/>
      </c>
    </row>
    <row r="8">
      <c r="A8" s="12" t="n"/>
      <c r="B8">
        <f>IF($T8="","",INDEX('Per Line'!$A$2:$A$1001,$T8)&amp;"")</f>
        <v/>
      </c>
      <c r="C8" s="12" t="n"/>
      <c r="D8">
        <f>IF($T8="","",INDEX('Per Line'!$B$2:$B$1001,$T8)&amp;"")</f>
        <v/>
      </c>
      <c r="E8">
        <f>IF($T8="","",INDEX('Per Line'!$C$2:$C$1001,$T8)&amp;"")</f>
        <v/>
      </c>
      <c r="F8">
        <f>IF($T8="","",INDEX('Per Line'!$D$2:$D$1001,$T8)&amp;"")</f>
        <v/>
      </c>
      <c r="G8">
        <f>IF($T8="","",INDEX('Per Line'!$E$2:$E$1001,$T8))</f>
        <v/>
      </c>
      <c r="H8" s="7">
        <f>IF($T8="","",G8*R8/100)</f>
        <v/>
      </c>
      <c r="I8" s="11">
        <f>IF($T8="","",INDEX('Per Line'!$Q$2:$Q$1001,$T8))</f>
        <v/>
      </c>
      <c r="J8">
        <f>IF($T8="","",Settings!$C$7)</f>
        <v/>
      </c>
      <c r="K8" s="7">
        <f>IF($T8="","",SUMIFS('Per Line'!$K$2:$K$1001,'Per Line'!$A$2:$A$1001,$B8,'Per Line'!$V$2:$V$1001,0))</f>
        <v/>
      </c>
      <c r="L8" s="7">
        <f>IF($T8="","",K8*J8)</f>
        <v/>
      </c>
      <c r="M8">
        <f>IF($T8="","",Settings!$C$6)</f>
        <v/>
      </c>
      <c r="N8" s="7">
        <f>IF($T8="","",SUMIFS('Per Line'!$K$2:$K$1001,'Per Line'!$A$2:$A$1001,$B8,'Per Line'!$V$2:$V$1001,1))</f>
        <v/>
      </c>
      <c r="O8" s="7">
        <f>IF($T8="","",N8*M8)</f>
        <v/>
      </c>
      <c r="P8" s="7">
        <f>IF($T8="","",O8+L8)</f>
        <v/>
      </c>
      <c r="Q8" s="7">
        <f>IF($T8="","",R8-P8)</f>
        <v/>
      </c>
      <c r="R8" s="7">
        <f>IF($T8="","",K8+N8)</f>
        <v/>
      </c>
      <c r="S8" s="7">
        <f>IF($T8="","",R8-P8-H8)</f>
        <v/>
      </c>
      <c r="T8" s="13">
        <f>IF(ROWS($T$2:$T8)&lt;=MAX('Per Line'!$U$2:$U$1001),MATCH(ROWS($T$2:$T8),'Per Line'!$U$2:$U$1001,0),"")</f>
        <v/>
      </c>
    </row>
    <row r="9">
      <c r="A9" s="12" t="n"/>
      <c r="B9">
        <f>IF($T9="","",INDEX('Per Line'!$A$2:$A$1001,$T9)&amp;"")</f>
        <v/>
      </c>
      <c r="C9" s="12" t="n"/>
      <c r="D9">
        <f>IF($T9="","",INDEX('Per Line'!$B$2:$B$1001,$T9)&amp;"")</f>
        <v/>
      </c>
      <c r="E9">
        <f>IF($T9="","",INDEX('Per Line'!$C$2:$C$1001,$T9)&amp;"")</f>
        <v/>
      </c>
      <c r="F9">
        <f>IF($T9="","",INDEX('Per Line'!$D$2:$D$1001,$T9)&amp;"")</f>
        <v/>
      </c>
      <c r="G9">
        <f>IF($T9="","",INDEX('Per Line'!$E$2:$E$1001,$T9))</f>
        <v/>
      </c>
      <c r="H9" s="7">
        <f>IF($T9="","",G9*R9/100)</f>
        <v/>
      </c>
      <c r="I9" s="11">
        <f>IF($T9="","",INDEX('Per Line'!$Q$2:$Q$1001,$T9))</f>
        <v/>
      </c>
      <c r="J9">
        <f>IF($T9="","",Settings!$C$7)</f>
        <v/>
      </c>
      <c r="K9" s="7">
        <f>IF($T9="","",SUMIFS('Per Line'!$K$2:$K$1001,'Per Line'!$A$2:$A$1001,$B9,'Per Line'!$V$2:$V$1001,0))</f>
        <v/>
      </c>
      <c r="L9" s="7">
        <f>IF($T9="","",K9*J9)</f>
        <v/>
      </c>
      <c r="M9">
        <f>IF($T9="","",Settings!$C$6)</f>
        <v/>
      </c>
      <c r="N9" s="7">
        <f>IF($T9="","",SUMIFS('Per Line'!$K$2:$K$1001,'Per Line'!$A$2:$A$1001,$B9,'Per Line'!$V$2:$V$1001,1))</f>
        <v/>
      </c>
      <c r="O9" s="7">
        <f>IF($T9="","",N9*M9)</f>
        <v/>
      </c>
      <c r="P9" s="7">
        <f>IF($T9="","",O9+L9)</f>
        <v/>
      </c>
      <c r="Q9" s="7">
        <f>IF($T9="","",R9-P9)</f>
        <v/>
      </c>
      <c r="R9" s="7">
        <f>IF($T9="","",K9+N9)</f>
        <v/>
      </c>
      <c r="S9" s="7">
        <f>IF($T9="","",R9-P9-H9)</f>
        <v/>
      </c>
      <c r="T9" s="13">
        <f>IF(ROWS($T$2:$T9)&lt;=MAX('Per Line'!$U$2:$U$1001),MATCH(ROWS($T$2:$T9),'Per Line'!$U$2:$U$1001,0),"")</f>
        <v/>
      </c>
    </row>
    <row r="10">
      <c r="A10" s="12" t="n"/>
      <c r="B10">
        <f>IF($T10="","",INDEX('Per Line'!$A$2:$A$1001,$T10)&amp;"")</f>
        <v/>
      </c>
      <c r="C10" s="12" t="n"/>
      <c r="D10">
        <f>IF($T10="","",INDEX('Per Line'!$B$2:$B$1001,$T10)&amp;"")</f>
        <v/>
      </c>
      <c r="E10">
        <f>IF($T10="","",INDEX('Per Line'!$C$2:$C$1001,$T10)&amp;"")</f>
        <v/>
      </c>
      <c r="F10">
        <f>IF($T10="","",INDEX('Per Line'!$D$2:$D$1001,$T10)&amp;"")</f>
        <v/>
      </c>
      <c r="G10">
        <f>IF($T10="","",INDEX('Per Line'!$E$2:$E$1001,$T10))</f>
        <v/>
      </c>
      <c r="H10" s="7">
        <f>IF($T10="","",G10*R10/100)</f>
        <v/>
      </c>
      <c r="I10" s="11">
        <f>IF($T10="","",INDEX('Per Line'!$Q$2:$Q$1001,$T10))</f>
        <v/>
      </c>
      <c r="J10">
        <f>IF($T10="","",Settings!$C$7)</f>
        <v/>
      </c>
      <c r="K10" s="7">
        <f>IF($T10="","",SUMIFS('Per Line'!$K$2:$K$1001,'Per Line'!$A$2:$A$1001,$B10,'Per Line'!$V$2:$V$1001,0))</f>
        <v/>
      </c>
      <c r="L10" s="7">
        <f>IF($T10="","",K10*J10)</f>
        <v/>
      </c>
      <c r="M10">
        <f>IF($T10="","",Settings!$C$6)</f>
        <v/>
      </c>
      <c r="N10" s="7">
        <f>IF($T10="","",SUMIFS('Per Line'!$K$2:$K$1001,'Per Line'!$A$2:$A$1001,$B10,'Per Line'!$V$2:$V$1001,1))</f>
        <v/>
      </c>
      <c r="O10" s="7">
        <f>IF($T10="","",N10*M10)</f>
        <v/>
      </c>
      <c r="P10" s="7">
        <f>IF($T10="","",O10+L10)</f>
        <v/>
      </c>
      <c r="Q10" s="7">
        <f>IF($T10="","",R10-P10)</f>
        <v/>
      </c>
      <c r="R10" s="7">
        <f>IF($T10="","",K10+N10)</f>
        <v/>
      </c>
      <c r="S10" s="7">
        <f>IF($T10="","",R10-P10-H10)</f>
        <v/>
      </c>
      <c r="T10" s="13">
        <f>IF(ROWS($T$2:$T10)&lt;=MAX('Per Line'!$U$2:$U$1001),MATCH(ROWS($T$2:$T10),'Per Line'!$U$2:$U$1001,0),"")</f>
        <v/>
      </c>
    </row>
    <row r="11">
      <c r="A11" s="12" t="n"/>
      <c r="B11">
        <f>IF($T11="","",INDEX('Per Line'!$A$2:$A$1001,$T11)&amp;"")</f>
        <v/>
      </c>
      <c r="C11" s="12" t="n"/>
      <c r="D11">
        <f>IF($T11="","",INDEX('Per Line'!$B$2:$B$1001,$T11)&amp;"")</f>
        <v/>
      </c>
      <c r="E11">
        <f>IF($T11="","",INDEX('Per Line'!$C$2:$C$1001,$T11)&amp;"")</f>
        <v/>
      </c>
      <c r="F11">
        <f>IF($T11="","",INDEX('Per Line'!$D$2:$D$1001,$T11)&amp;"")</f>
        <v/>
      </c>
      <c r="G11">
        <f>IF($T11="","",INDEX('Per Line'!$E$2:$E$1001,$T11))</f>
        <v/>
      </c>
      <c r="H11" s="7">
        <f>IF($T11="","",G11*R11/100)</f>
        <v/>
      </c>
      <c r="I11" s="11">
        <f>IF($T11="","",INDEX('Per Line'!$Q$2:$Q$1001,$T11))</f>
        <v/>
      </c>
      <c r="J11">
        <f>IF($T11="","",Settings!$C$7)</f>
        <v/>
      </c>
      <c r="K11" s="7">
        <f>IF($T11="","",SUMIFS('Per Line'!$K$2:$K$1001,'Per Line'!$A$2:$A$1001,$B11,'Per Line'!$V$2:$V$1001,0))</f>
        <v/>
      </c>
      <c r="L11" s="7">
        <f>IF($T11="","",K11*J11)</f>
        <v/>
      </c>
      <c r="M11">
        <f>IF($T11="","",Settings!$C$6)</f>
        <v/>
      </c>
      <c r="N11" s="7">
        <f>IF($T11="","",SUMIFS('Per Line'!$K$2:$K$1001,'Per Line'!$A$2:$A$1001,$B11,'Per Line'!$V$2:$V$1001,1))</f>
        <v/>
      </c>
      <c r="O11" s="7">
        <f>IF($T11="","",N11*M11)</f>
        <v/>
      </c>
      <c r="P11" s="7">
        <f>IF($T11="","",O11+L11)</f>
        <v/>
      </c>
      <c r="Q11" s="7">
        <f>IF($T11="","",R11-P11)</f>
        <v/>
      </c>
      <c r="R11" s="7">
        <f>IF($T11="","",K11+N11)</f>
        <v/>
      </c>
      <c r="S11" s="7">
        <f>IF($T11="","",R11-P11-H11)</f>
        <v/>
      </c>
      <c r="T11" s="13">
        <f>IF(ROWS($T$2:$T11)&lt;=MAX('Per Line'!$U$2:$U$1001),MATCH(ROWS($T$2:$T11),'Per Line'!$U$2:$U$1001,0),"")</f>
        <v/>
      </c>
    </row>
    <row r="12">
      <c r="A12" s="12" t="n"/>
      <c r="B12">
        <f>IF($T12="","",INDEX('Per Line'!$A$2:$A$1001,$T12)&amp;"")</f>
        <v/>
      </c>
      <c r="C12" s="12" t="n"/>
      <c r="D12">
        <f>IF($T12="","",INDEX('Per Line'!$B$2:$B$1001,$T12)&amp;"")</f>
        <v/>
      </c>
      <c r="E12">
        <f>IF($T12="","",INDEX('Per Line'!$C$2:$C$1001,$T12)&amp;"")</f>
        <v/>
      </c>
      <c r="F12">
        <f>IF($T12="","",INDEX('Per Line'!$D$2:$D$1001,$T12)&amp;"")</f>
        <v/>
      </c>
      <c r="G12">
        <f>IF($T12="","",INDEX('Per Line'!$E$2:$E$1001,$T12))</f>
        <v/>
      </c>
      <c r="H12" s="7">
        <f>IF($T12="","",G12*R12/100)</f>
        <v/>
      </c>
      <c r="I12" s="11">
        <f>IF($T12="","",INDEX('Per Line'!$Q$2:$Q$1001,$T12))</f>
        <v/>
      </c>
      <c r="J12">
        <f>IF($T12="","",Settings!$C$7)</f>
        <v/>
      </c>
      <c r="K12" s="7">
        <f>IF($T12="","",SUMIFS('Per Line'!$K$2:$K$1001,'Per Line'!$A$2:$A$1001,$B12,'Per Line'!$V$2:$V$1001,0))</f>
        <v/>
      </c>
      <c r="L12" s="7">
        <f>IF($T12="","",K12*J12)</f>
        <v/>
      </c>
      <c r="M12">
        <f>IF($T12="","",Settings!$C$6)</f>
        <v/>
      </c>
      <c r="N12" s="7">
        <f>IF($T12="","",SUMIFS('Per Line'!$K$2:$K$1001,'Per Line'!$A$2:$A$1001,$B12,'Per Line'!$V$2:$V$1001,1))</f>
        <v/>
      </c>
      <c r="O12" s="7">
        <f>IF($T12="","",N12*M12)</f>
        <v/>
      </c>
      <c r="P12" s="7">
        <f>IF($T12="","",O12+L12)</f>
        <v/>
      </c>
      <c r="Q12" s="7">
        <f>IF($T12="","",R12-P12)</f>
        <v/>
      </c>
      <c r="R12" s="7">
        <f>IF($T12="","",K12+N12)</f>
        <v/>
      </c>
      <c r="S12" s="7">
        <f>IF($T12="","",R12-P12-H12)</f>
        <v/>
      </c>
      <c r="T12" s="13">
        <f>IF(ROWS($T$2:$T12)&lt;=MAX('Per Line'!$U$2:$U$1001),MATCH(ROWS($T$2:$T12),'Per Line'!$U$2:$U$1001,0),"")</f>
        <v/>
      </c>
    </row>
    <row r="13">
      <c r="A13" s="12" t="n"/>
      <c r="B13">
        <f>IF($T13="","",INDEX('Per Line'!$A$2:$A$1001,$T13)&amp;"")</f>
        <v/>
      </c>
      <c r="C13" s="12" t="n"/>
      <c r="D13">
        <f>IF($T13="","",INDEX('Per Line'!$B$2:$B$1001,$T13)&amp;"")</f>
        <v/>
      </c>
      <c r="E13">
        <f>IF($T13="","",INDEX('Per Line'!$C$2:$C$1001,$T13)&amp;"")</f>
        <v/>
      </c>
      <c r="F13">
        <f>IF($T13="","",INDEX('Per Line'!$D$2:$D$1001,$T13)&amp;"")</f>
        <v/>
      </c>
      <c r="G13">
        <f>IF($T13="","",INDEX('Per Line'!$E$2:$E$1001,$T13))</f>
        <v/>
      </c>
      <c r="H13" s="7">
        <f>IF($T13="","",G13*R13/100)</f>
        <v/>
      </c>
      <c r="I13" s="11">
        <f>IF($T13="","",INDEX('Per Line'!$Q$2:$Q$1001,$T13))</f>
        <v/>
      </c>
      <c r="J13">
        <f>IF($T13="","",Settings!$C$7)</f>
        <v/>
      </c>
      <c r="K13" s="7">
        <f>IF($T13="","",SUMIFS('Per Line'!$K$2:$K$1001,'Per Line'!$A$2:$A$1001,$B13,'Per Line'!$V$2:$V$1001,0))</f>
        <v/>
      </c>
      <c r="L13" s="7">
        <f>IF($T13="","",K13*J13)</f>
        <v/>
      </c>
      <c r="M13">
        <f>IF($T13="","",Settings!$C$6)</f>
        <v/>
      </c>
      <c r="N13" s="7">
        <f>IF($T13="","",SUMIFS('Per Line'!$K$2:$K$1001,'Per Line'!$A$2:$A$1001,$B13,'Per Line'!$V$2:$V$1001,1))</f>
        <v/>
      </c>
      <c r="O13" s="7">
        <f>IF($T13="","",N13*M13)</f>
        <v/>
      </c>
      <c r="P13" s="7">
        <f>IF($T13="","",O13+L13)</f>
        <v/>
      </c>
      <c r="Q13" s="7">
        <f>IF($T13="","",R13-P13)</f>
        <v/>
      </c>
      <c r="R13" s="7">
        <f>IF($T13="","",K13+N13)</f>
        <v/>
      </c>
      <c r="S13" s="7">
        <f>IF($T13="","",R13-P13-H13)</f>
        <v/>
      </c>
      <c r="T13" s="13">
        <f>IF(ROWS($T$2:$T13)&lt;=MAX('Per Line'!$U$2:$U$1001),MATCH(ROWS($T$2:$T13),'Per Line'!$U$2:$U$1001,0),"")</f>
        <v/>
      </c>
    </row>
    <row r="14">
      <c r="A14" s="12" t="n"/>
      <c r="B14">
        <f>IF($T14="","",INDEX('Per Line'!$A$2:$A$1001,$T14)&amp;"")</f>
        <v/>
      </c>
      <c r="C14" s="12" t="n"/>
      <c r="D14">
        <f>IF($T14="","",INDEX('Per Line'!$B$2:$B$1001,$T14)&amp;"")</f>
        <v/>
      </c>
      <c r="E14">
        <f>IF($T14="","",INDEX('Per Line'!$C$2:$C$1001,$T14)&amp;"")</f>
        <v/>
      </c>
      <c r="F14">
        <f>IF($T14="","",INDEX('Per Line'!$D$2:$D$1001,$T14)&amp;"")</f>
        <v/>
      </c>
      <c r="G14">
        <f>IF($T14="","",INDEX('Per Line'!$E$2:$E$1001,$T14))</f>
        <v/>
      </c>
      <c r="H14" s="7">
        <f>IF($T14="","",G14*R14/100)</f>
        <v/>
      </c>
      <c r="I14" s="11">
        <f>IF($T14="","",INDEX('Per Line'!$Q$2:$Q$1001,$T14))</f>
        <v/>
      </c>
      <c r="J14">
        <f>IF($T14="","",Settings!$C$7)</f>
        <v/>
      </c>
      <c r="K14" s="7">
        <f>IF($T14="","",SUMIFS('Per Line'!$K$2:$K$1001,'Per Line'!$A$2:$A$1001,$B14,'Per Line'!$V$2:$V$1001,0))</f>
        <v/>
      </c>
      <c r="L14" s="7">
        <f>IF($T14="","",K14*J14)</f>
        <v/>
      </c>
      <c r="M14">
        <f>IF($T14="","",Settings!$C$6)</f>
        <v/>
      </c>
      <c r="N14" s="7">
        <f>IF($T14="","",SUMIFS('Per Line'!$K$2:$K$1001,'Per Line'!$A$2:$A$1001,$B14,'Per Line'!$V$2:$V$1001,1))</f>
        <v/>
      </c>
      <c r="O14" s="7">
        <f>IF($T14="","",N14*M14)</f>
        <v/>
      </c>
      <c r="P14" s="7">
        <f>IF($T14="","",O14+L14)</f>
        <v/>
      </c>
      <c r="Q14" s="7">
        <f>IF($T14="","",R14-P14)</f>
        <v/>
      </c>
      <c r="R14" s="7">
        <f>IF($T14="","",K14+N14)</f>
        <v/>
      </c>
      <c r="S14" s="7">
        <f>IF($T14="","",R14-P14-H14)</f>
        <v/>
      </c>
      <c r="T14" s="13">
        <f>IF(ROWS($T$2:$T14)&lt;=MAX('Per Line'!$U$2:$U$1001),MATCH(ROWS($T$2:$T14),'Per Line'!$U$2:$U$1001,0),"")</f>
        <v/>
      </c>
    </row>
    <row r="15">
      <c r="A15" s="12" t="n"/>
      <c r="B15">
        <f>IF($T15="","",INDEX('Per Line'!$A$2:$A$1001,$T15)&amp;"")</f>
        <v/>
      </c>
      <c r="C15" s="12" t="n"/>
      <c r="D15">
        <f>IF($T15="","",INDEX('Per Line'!$B$2:$B$1001,$T15)&amp;"")</f>
        <v/>
      </c>
      <c r="E15">
        <f>IF($T15="","",INDEX('Per Line'!$C$2:$C$1001,$T15)&amp;"")</f>
        <v/>
      </c>
      <c r="F15">
        <f>IF($T15="","",INDEX('Per Line'!$D$2:$D$1001,$T15)&amp;"")</f>
        <v/>
      </c>
      <c r="G15">
        <f>IF($T15="","",INDEX('Per Line'!$E$2:$E$1001,$T15))</f>
        <v/>
      </c>
      <c r="H15" s="7">
        <f>IF($T15="","",G15*R15/100)</f>
        <v/>
      </c>
      <c r="I15" s="11">
        <f>IF($T15="","",INDEX('Per Line'!$Q$2:$Q$1001,$T15))</f>
        <v/>
      </c>
      <c r="J15">
        <f>IF($T15="","",Settings!$C$7)</f>
        <v/>
      </c>
      <c r="K15" s="7">
        <f>IF($T15="","",SUMIFS('Per Line'!$K$2:$K$1001,'Per Line'!$A$2:$A$1001,$B15,'Per Line'!$V$2:$V$1001,0))</f>
        <v/>
      </c>
      <c r="L15" s="7">
        <f>IF($T15="","",K15*J15)</f>
        <v/>
      </c>
      <c r="M15">
        <f>IF($T15="","",Settings!$C$6)</f>
        <v/>
      </c>
      <c r="N15" s="7">
        <f>IF($T15="","",SUMIFS('Per Line'!$K$2:$K$1001,'Per Line'!$A$2:$A$1001,$B15,'Per Line'!$V$2:$V$1001,1))</f>
        <v/>
      </c>
      <c r="O15" s="7">
        <f>IF($T15="","",N15*M15)</f>
        <v/>
      </c>
      <c r="P15" s="7">
        <f>IF($T15="","",O15+L15)</f>
        <v/>
      </c>
      <c r="Q15" s="7">
        <f>IF($T15="","",R15-P15)</f>
        <v/>
      </c>
      <c r="R15" s="7">
        <f>IF($T15="","",K15+N15)</f>
        <v/>
      </c>
      <c r="S15" s="7">
        <f>IF($T15="","",R15-P15-H15)</f>
        <v/>
      </c>
      <c r="T15" s="13">
        <f>IF(ROWS($T$2:$T15)&lt;=MAX('Per Line'!$U$2:$U$1001),MATCH(ROWS($T$2:$T15),'Per Line'!$U$2:$U$1001,0),"")</f>
        <v/>
      </c>
    </row>
    <row r="16">
      <c r="A16" s="12" t="n"/>
      <c r="B16">
        <f>IF($T16="","",INDEX('Per Line'!$A$2:$A$1001,$T16)&amp;"")</f>
        <v/>
      </c>
      <c r="C16" s="12" t="n"/>
      <c r="D16">
        <f>IF($T16="","",INDEX('Per Line'!$B$2:$B$1001,$T16)&amp;"")</f>
        <v/>
      </c>
      <c r="E16">
        <f>IF($T16="","",INDEX('Per Line'!$C$2:$C$1001,$T16)&amp;"")</f>
        <v/>
      </c>
      <c r="F16">
        <f>IF($T16="","",INDEX('Per Line'!$D$2:$D$1001,$T16)&amp;"")</f>
        <v/>
      </c>
      <c r="G16">
        <f>IF($T16="","",INDEX('Per Line'!$E$2:$E$1001,$T16))</f>
        <v/>
      </c>
      <c r="H16" s="7">
        <f>IF($T16="","",G16*R16/100)</f>
        <v/>
      </c>
      <c r="I16" s="11">
        <f>IF($T16="","",INDEX('Per Line'!$Q$2:$Q$1001,$T16))</f>
        <v/>
      </c>
      <c r="J16">
        <f>IF($T16="","",Settings!$C$7)</f>
        <v/>
      </c>
      <c r="K16" s="7">
        <f>IF($T16="","",SUMIFS('Per Line'!$K$2:$K$1001,'Per Line'!$A$2:$A$1001,$B16,'Per Line'!$V$2:$V$1001,0))</f>
        <v/>
      </c>
      <c r="L16" s="7">
        <f>IF($T16="","",K16*J16)</f>
        <v/>
      </c>
      <c r="M16">
        <f>IF($T16="","",Settings!$C$6)</f>
        <v/>
      </c>
      <c r="N16" s="7">
        <f>IF($T16="","",SUMIFS('Per Line'!$K$2:$K$1001,'Per Line'!$A$2:$A$1001,$B16,'Per Line'!$V$2:$V$1001,1))</f>
        <v/>
      </c>
      <c r="O16" s="7">
        <f>IF($T16="","",N16*M16)</f>
        <v/>
      </c>
      <c r="P16" s="7">
        <f>IF($T16="","",O16+L16)</f>
        <v/>
      </c>
      <c r="Q16" s="7">
        <f>IF($T16="","",R16-P16)</f>
        <v/>
      </c>
      <c r="R16" s="7">
        <f>IF($T16="","",K16+N16)</f>
        <v/>
      </c>
      <c r="S16" s="7">
        <f>IF($T16="","",R16-P16-H16)</f>
        <v/>
      </c>
      <c r="T16" s="13">
        <f>IF(ROWS($T$2:$T16)&lt;=MAX('Per Line'!$U$2:$U$1001),MATCH(ROWS($T$2:$T16),'Per Line'!$U$2:$U$1001,0),"")</f>
        <v/>
      </c>
    </row>
    <row r="17">
      <c r="A17" s="12" t="n"/>
      <c r="B17">
        <f>IF($T17="","",INDEX('Per Line'!$A$2:$A$1001,$T17)&amp;"")</f>
        <v/>
      </c>
      <c r="C17" s="12" t="n"/>
      <c r="D17">
        <f>IF($T17="","",INDEX('Per Line'!$B$2:$B$1001,$T17)&amp;"")</f>
        <v/>
      </c>
      <c r="E17">
        <f>IF($T17="","",INDEX('Per Line'!$C$2:$C$1001,$T17)&amp;"")</f>
        <v/>
      </c>
      <c r="F17">
        <f>IF($T17="","",INDEX('Per Line'!$D$2:$D$1001,$T17)&amp;"")</f>
        <v/>
      </c>
      <c r="G17">
        <f>IF($T17="","",INDEX('Per Line'!$E$2:$E$1001,$T17))</f>
        <v/>
      </c>
      <c r="H17" s="7">
        <f>IF($T17="","",G17*R17/100)</f>
        <v/>
      </c>
      <c r="I17" s="11">
        <f>IF($T17="","",INDEX('Per Line'!$Q$2:$Q$1001,$T17))</f>
        <v/>
      </c>
      <c r="J17">
        <f>IF($T17="","",Settings!$C$7)</f>
        <v/>
      </c>
      <c r="K17" s="7">
        <f>IF($T17="","",SUMIFS('Per Line'!$K$2:$K$1001,'Per Line'!$A$2:$A$1001,$B17,'Per Line'!$V$2:$V$1001,0))</f>
        <v/>
      </c>
      <c r="L17" s="7">
        <f>IF($T17="","",K17*J17)</f>
        <v/>
      </c>
      <c r="M17">
        <f>IF($T17="","",Settings!$C$6)</f>
        <v/>
      </c>
      <c r="N17" s="7">
        <f>IF($T17="","",SUMIFS('Per Line'!$K$2:$K$1001,'Per Line'!$A$2:$A$1001,$B17,'Per Line'!$V$2:$V$1001,1))</f>
        <v/>
      </c>
      <c r="O17" s="7">
        <f>IF($T17="","",N17*M17)</f>
        <v/>
      </c>
      <c r="P17" s="7">
        <f>IF($T17="","",O17+L17)</f>
        <v/>
      </c>
      <c r="Q17" s="7">
        <f>IF($T17="","",R17-P17)</f>
        <v/>
      </c>
      <c r="R17" s="7">
        <f>IF($T17="","",K17+N17)</f>
        <v/>
      </c>
      <c r="S17" s="7">
        <f>IF($T17="","",R17-P17-H17)</f>
        <v/>
      </c>
      <c r="T17" s="13">
        <f>IF(ROWS($T$2:$T17)&lt;=MAX('Per Line'!$U$2:$U$1001),MATCH(ROWS($T$2:$T17),'Per Line'!$U$2:$U$1001,0),"")</f>
        <v/>
      </c>
    </row>
    <row r="18">
      <c r="A18" s="12" t="n"/>
      <c r="B18">
        <f>IF($T18="","",INDEX('Per Line'!$A$2:$A$1001,$T18)&amp;"")</f>
        <v/>
      </c>
      <c r="C18" s="12" t="n"/>
      <c r="D18">
        <f>IF($T18="","",INDEX('Per Line'!$B$2:$B$1001,$T18)&amp;"")</f>
        <v/>
      </c>
      <c r="E18">
        <f>IF($T18="","",INDEX('Per Line'!$C$2:$C$1001,$T18)&amp;"")</f>
        <v/>
      </c>
      <c r="F18">
        <f>IF($T18="","",INDEX('Per Line'!$D$2:$D$1001,$T18)&amp;"")</f>
        <v/>
      </c>
      <c r="G18">
        <f>IF($T18="","",INDEX('Per Line'!$E$2:$E$1001,$T18))</f>
        <v/>
      </c>
      <c r="H18" s="7">
        <f>IF($T18="","",G18*R18/100)</f>
        <v/>
      </c>
      <c r="I18" s="11">
        <f>IF($T18="","",INDEX('Per Line'!$Q$2:$Q$1001,$T18))</f>
        <v/>
      </c>
      <c r="J18">
        <f>IF($T18="","",Settings!$C$7)</f>
        <v/>
      </c>
      <c r="K18" s="7">
        <f>IF($T18="","",SUMIFS('Per Line'!$K$2:$K$1001,'Per Line'!$A$2:$A$1001,$B18,'Per Line'!$V$2:$V$1001,0))</f>
        <v/>
      </c>
      <c r="L18" s="7">
        <f>IF($T18="","",K18*J18)</f>
        <v/>
      </c>
      <c r="M18">
        <f>IF($T18="","",Settings!$C$6)</f>
        <v/>
      </c>
      <c r="N18" s="7">
        <f>IF($T18="","",SUMIFS('Per Line'!$K$2:$K$1001,'Per Line'!$A$2:$A$1001,$B18,'Per Line'!$V$2:$V$1001,1))</f>
        <v/>
      </c>
      <c r="O18" s="7">
        <f>IF($T18="","",N18*M18)</f>
        <v/>
      </c>
      <c r="P18" s="7">
        <f>IF($T18="","",O18+L18)</f>
        <v/>
      </c>
      <c r="Q18" s="7">
        <f>IF($T18="","",R18-P18)</f>
        <v/>
      </c>
      <c r="R18" s="7">
        <f>IF($T18="","",K18+N18)</f>
        <v/>
      </c>
      <c r="S18" s="7">
        <f>IF($T18="","",R18-P18-H18)</f>
        <v/>
      </c>
      <c r="T18" s="13">
        <f>IF(ROWS($T$2:$T18)&lt;=MAX('Per Line'!$U$2:$U$1001),MATCH(ROWS($T$2:$T18),'Per Line'!$U$2:$U$1001,0),"")</f>
        <v/>
      </c>
    </row>
    <row r="19">
      <c r="A19" s="12" t="n"/>
      <c r="B19">
        <f>IF($T19="","",INDEX('Per Line'!$A$2:$A$1001,$T19)&amp;"")</f>
        <v/>
      </c>
      <c r="C19" s="12" t="n"/>
      <c r="D19">
        <f>IF($T19="","",INDEX('Per Line'!$B$2:$B$1001,$T19)&amp;"")</f>
        <v/>
      </c>
      <c r="E19">
        <f>IF($T19="","",INDEX('Per Line'!$C$2:$C$1001,$T19)&amp;"")</f>
        <v/>
      </c>
      <c r="F19">
        <f>IF($T19="","",INDEX('Per Line'!$D$2:$D$1001,$T19)&amp;"")</f>
        <v/>
      </c>
      <c r="G19">
        <f>IF($T19="","",INDEX('Per Line'!$E$2:$E$1001,$T19))</f>
        <v/>
      </c>
      <c r="H19" s="7">
        <f>IF($T19="","",G19*R19/100)</f>
        <v/>
      </c>
      <c r="I19" s="11">
        <f>IF($T19="","",INDEX('Per Line'!$Q$2:$Q$1001,$T19))</f>
        <v/>
      </c>
      <c r="J19">
        <f>IF($T19="","",Settings!$C$7)</f>
        <v/>
      </c>
      <c r="K19" s="7">
        <f>IF($T19="","",SUMIFS('Per Line'!$K$2:$K$1001,'Per Line'!$A$2:$A$1001,$B19,'Per Line'!$V$2:$V$1001,0))</f>
        <v/>
      </c>
      <c r="L19" s="7">
        <f>IF($T19="","",K19*J19)</f>
        <v/>
      </c>
      <c r="M19">
        <f>IF($T19="","",Settings!$C$6)</f>
        <v/>
      </c>
      <c r="N19" s="7">
        <f>IF($T19="","",SUMIFS('Per Line'!$K$2:$K$1001,'Per Line'!$A$2:$A$1001,$B19,'Per Line'!$V$2:$V$1001,1))</f>
        <v/>
      </c>
      <c r="O19" s="7">
        <f>IF($T19="","",N19*M19)</f>
        <v/>
      </c>
      <c r="P19" s="7">
        <f>IF($T19="","",O19+L19)</f>
        <v/>
      </c>
      <c r="Q19" s="7">
        <f>IF($T19="","",R19-P19)</f>
        <v/>
      </c>
      <c r="R19" s="7">
        <f>IF($T19="","",K19+N19)</f>
        <v/>
      </c>
      <c r="S19" s="7">
        <f>IF($T19="","",R19-P19-H19)</f>
        <v/>
      </c>
      <c r="T19" s="13">
        <f>IF(ROWS($T$2:$T19)&lt;=MAX('Per Line'!$U$2:$U$1001),MATCH(ROWS($T$2:$T19),'Per Line'!$U$2:$U$1001,0),"")</f>
        <v/>
      </c>
    </row>
    <row r="20">
      <c r="A20" s="12" t="n"/>
      <c r="B20">
        <f>IF($T20="","",INDEX('Per Line'!$A$2:$A$1001,$T20)&amp;"")</f>
        <v/>
      </c>
      <c r="C20" s="12" t="n"/>
      <c r="D20">
        <f>IF($T20="","",INDEX('Per Line'!$B$2:$B$1001,$T20)&amp;"")</f>
        <v/>
      </c>
      <c r="E20">
        <f>IF($T20="","",INDEX('Per Line'!$C$2:$C$1001,$T20)&amp;"")</f>
        <v/>
      </c>
      <c r="F20">
        <f>IF($T20="","",INDEX('Per Line'!$D$2:$D$1001,$T20)&amp;"")</f>
        <v/>
      </c>
      <c r="G20">
        <f>IF($T20="","",INDEX('Per Line'!$E$2:$E$1001,$T20))</f>
        <v/>
      </c>
      <c r="H20" s="7">
        <f>IF($T20="","",G20*R20/100)</f>
        <v/>
      </c>
      <c r="I20" s="11">
        <f>IF($T20="","",INDEX('Per Line'!$Q$2:$Q$1001,$T20))</f>
        <v/>
      </c>
      <c r="J20">
        <f>IF($T20="","",Settings!$C$7)</f>
        <v/>
      </c>
      <c r="K20" s="7">
        <f>IF($T20="","",SUMIFS('Per Line'!$K$2:$K$1001,'Per Line'!$A$2:$A$1001,$B20,'Per Line'!$V$2:$V$1001,0))</f>
        <v/>
      </c>
      <c r="L20" s="7">
        <f>IF($T20="","",K20*J20)</f>
        <v/>
      </c>
      <c r="M20">
        <f>IF($T20="","",Settings!$C$6)</f>
        <v/>
      </c>
      <c r="N20" s="7">
        <f>IF($T20="","",SUMIFS('Per Line'!$K$2:$K$1001,'Per Line'!$A$2:$A$1001,$B20,'Per Line'!$V$2:$V$1001,1))</f>
        <v/>
      </c>
      <c r="O20" s="7">
        <f>IF($T20="","",N20*M20)</f>
        <v/>
      </c>
      <c r="P20" s="7">
        <f>IF($T20="","",O20+L20)</f>
        <v/>
      </c>
      <c r="Q20" s="7">
        <f>IF($T20="","",R20-P20)</f>
        <v/>
      </c>
      <c r="R20" s="7">
        <f>IF($T20="","",K20+N20)</f>
        <v/>
      </c>
      <c r="S20" s="7">
        <f>IF($T20="","",R20-P20-H20)</f>
        <v/>
      </c>
      <c r="T20" s="13">
        <f>IF(ROWS($T$2:$T20)&lt;=MAX('Per Line'!$U$2:$U$1001),MATCH(ROWS($T$2:$T20),'Per Line'!$U$2:$U$1001,0),"")</f>
        <v/>
      </c>
    </row>
    <row r="21">
      <c r="A21" s="12" t="n"/>
      <c r="B21">
        <f>IF($T21="","",INDEX('Per Line'!$A$2:$A$1001,$T21)&amp;"")</f>
        <v/>
      </c>
      <c r="C21" s="12" t="n"/>
      <c r="D21">
        <f>IF($T21="","",INDEX('Per Line'!$B$2:$B$1001,$T21)&amp;"")</f>
        <v/>
      </c>
      <c r="E21">
        <f>IF($T21="","",INDEX('Per Line'!$C$2:$C$1001,$T21)&amp;"")</f>
        <v/>
      </c>
      <c r="F21">
        <f>IF($T21="","",INDEX('Per Line'!$D$2:$D$1001,$T21)&amp;"")</f>
        <v/>
      </c>
      <c r="G21">
        <f>IF($T21="","",INDEX('Per Line'!$E$2:$E$1001,$T21))</f>
        <v/>
      </c>
      <c r="H21" s="7">
        <f>IF($T21="","",G21*R21/100)</f>
        <v/>
      </c>
      <c r="I21" s="11">
        <f>IF($T21="","",INDEX('Per Line'!$Q$2:$Q$1001,$T21))</f>
        <v/>
      </c>
      <c r="J21">
        <f>IF($T21="","",Settings!$C$7)</f>
        <v/>
      </c>
      <c r="K21" s="7">
        <f>IF($T21="","",SUMIFS('Per Line'!$K$2:$K$1001,'Per Line'!$A$2:$A$1001,$B21,'Per Line'!$V$2:$V$1001,0))</f>
        <v/>
      </c>
      <c r="L21" s="7">
        <f>IF($T21="","",K21*J21)</f>
        <v/>
      </c>
      <c r="M21">
        <f>IF($T21="","",Settings!$C$6)</f>
        <v/>
      </c>
      <c r="N21" s="7">
        <f>IF($T21="","",SUMIFS('Per Line'!$K$2:$K$1001,'Per Line'!$A$2:$A$1001,$B21,'Per Line'!$V$2:$V$1001,1))</f>
        <v/>
      </c>
      <c r="O21" s="7">
        <f>IF($T21="","",N21*M21)</f>
        <v/>
      </c>
      <c r="P21" s="7">
        <f>IF($T21="","",O21+L21)</f>
        <v/>
      </c>
      <c r="Q21" s="7">
        <f>IF($T21="","",R21-P21)</f>
        <v/>
      </c>
      <c r="R21" s="7">
        <f>IF($T21="","",K21+N21)</f>
        <v/>
      </c>
      <c r="S21" s="7">
        <f>IF($T21="","",R21-P21-H21)</f>
        <v/>
      </c>
      <c r="T21" s="13">
        <f>IF(ROWS($T$2:$T21)&lt;=MAX('Per Line'!$U$2:$U$1001),MATCH(ROWS($T$2:$T21),'Per Line'!$U$2:$U$1001,0),"")</f>
        <v/>
      </c>
    </row>
    <row r="22">
      <c r="A22" s="12" t="n"/>
      <c r="B22">
        <f>IF($T22="","",INDEX('Per Line'!$A$2:$A$1001,$T22)&amp;"")</f>
        <v/>
      </c>
      <c r="C22" s="12" t="n"/>
      <c r="D22">
        <f>IF($T22="","",INDEX('Per Line'!$B$2:$B$1001,$T22)&amp;"")</f>
        <v/>
      </c>
      <c r="E22">
        <f>IF($T22="","",INDEX('Per Line'!$C$2:$C$1001,$T22)&amp;"")</f>
        <v/>
      </c>
      <c r="F22">
        <f>IF($T22="","",INDEX('Per Line'!$D$2:$D$1001,$T22)&amp;"")</f>
        <v/>
      </c>
      <c r="G22">
        <f>IF($T22="","",INDEX('Per Line'!$E$2:$E$1001,$T22))</f>
        <v/>
      </c>
      <c r="H22" s="7">
        <f>IF($T22="","",G22*R22/100)</f>
        <v/>
      </c>
      <c r="I22" s="11">
        <f>IF($T22="","",INDEX('Per Line'!$Q$2:$Q$1001,$T22))</f>
        <v/>
      </c>
      <c r="J22">
        <f>IF($T22="","",Settings!$C$7)</f>
        <v/>
      </c>
      <c r="K22" s="7">
        <f>IF($T22="","",SUMIFS('Per Line'!$K$2:$K$1001,'Per Line'!$A$2:$A$1001,$B22,'Per Line'!$V$2:$V$1001,0))</f>
        <v/>
      </c>
      <c r="L22" s="7">
        <f>IF($T22="","",K22*J22)</f>
        <v/>
      </c>
      <c r="M22">
        <f>IF($T22="","",Settings!$C$6)</f>
        <v/>
      </c>
      <c r="N22" s="7">
        <f>IF($T22="","",SUMIFS('Per Line'!$K$2:$K$1001,'Per Line'!$A$2:$A$1001,$B22,'Per Line'!$V$2:$V$1001,1))</f>
        <v/>
      </c>
      <c r="O22" s="7">
        <f>IF($T22="","",N22*M22)</f>
        <v/>
      </c>
      <c r="P22" s="7">
        <f>IF($T22="","",O22+L22)</f>
        <v/>
      </c>
      <c r="Q22" s="7">
        <f>IF($T22="","",R22-P22)</f>
        <v/>
      </c>
      <c r="R22" s="7">
        <f>IF($T22="","",K22+N22)</f>
        <v/>
      </c>
      <c r="S22" s="7">
        <f>IF($T22="","",R22-P22-H22)</f>
        <v/>
      </c>
      <c r="T22" s="13">
        <f>IF(ROWS($T$2:$T22)&lt;=MAX('Per Line'!$U$2:$U$1001),MATCH(ROWS($T$2:$T22),'Per Line'!$U$2:$U$1001,0),"")</f>
        <v/>
      </c>
    </row>
    <row r="23">
      <c r="A23" s="12" t="n"/>
      <c r="B23">
        <f>IF($T23="","",INDEX('Per Line'!$A$2:$A$1001,$T23)&amp;"")</f>
        <v/>
      </c>
      <c r="C23" s="12" t="n"/>
      <c r="D23">
        <f>IF($T23="","",INDEX('Per Line'!$B$2:$B$1001,$T23)&amp;"")</f>
        <v/>
      </c>
      <c r="E23">
        <f>IF($T23="","",INDEX('Per Line'!$C$2:$C$1001,$T23)&amp;"")</f>
        <v/>
      </c>
      <c r="F23">
        <f>IF($T23="","",INDEX('Per Line'!$D$2:$D$1001,$T23)&amp;"")</f>
        <v/>
      </c>
      <c r="G23">
        <f>IF($T23="","",INDEX('Per Line'!$E$2:$E$1001,$T23))</f>
        <v/>
      </c>
      <c r="H23" s="7">
        <f>IF($T23="","",G23*R23/100)</f>
        <v/>
      </c>
      <c r="I23" s="11">
        <f>IF($T23="","",INDEX('Per Line'!$Q$2:$Q$1001,$T23))</f>
        <v/>
      </c>
      <c r="J23">
        <f>IF($T23="","",Settings!$C$7)</f>
        <v/>
      </c>
      <c r="K23" s="7">
        <f>IF($T23="","",SUMIFS('Per Line'!$K$2:$K$1001,'Per Line'!$A$2:$A$1001,$B23,'Per Line'!$V$2:$V$1001,0))</f>
        <v/>
      </c>
      <c r="L23" s="7">
        <f>IF($T23="","",K23*J23)</f>
        <v/>
      </c>
      <c r="M23">
        <f>IF($T23="","",Settings!$C$6)</f>
        <v/>
      </c>
      <c r="N23" s="7">
        <f>IF($T23="","",SUMIFS('Per Line'!$K$2:$K$1001,'Per Line'!$A$2:$A$1001,$B23,'Per Line'!$V$2:$V$1001,1))</f>
        <v/>
      </c>
      <c r="O23" s="7">
        <f>IF($T23="","",N23*M23)</f>
        <v/>
      </c>
      <c r="P23" s="7">
        <f>IF($T23="","",O23+L23)</f>
        <v/>
      </c>
      <c r="Q23" s="7">
        <f>IF($T23="","",R23-P23)</f>
        <v/>
      </c>
      <c r="R23" s="7">
        <f>IF($T23="","",K23+N23)</f>
        <v/>
      </c>
      <c r="S23" s="7">
        <f>IF($T23="","",R23-P23-H23)</f>
        <v/>
      </c>
      <c r="T23" s="13">
        <f>IF(ROWS($T$2:$T23)&lt;=MAX('Per Line'!$U$2:$U$1001),MATCH(ROWS($T$2:$T23),'Per Line'!$U$2:$U$1001,0),"")</f>
        <v/>
      </c>
    </row>
    <row r="24">
      <c r="A24" s="12" t="n"/>
      <c r="B24">
        <f>IF($T24="","",INDEX('Per Line'!$A$2:$A$1001,$T24)&amp;"")</f>
        <v/>
      </c>
      <c r="C24" s="12" t="n"/>
      <c r="D24">
        <f>IF($T24="","",INDEX('Per Line'!$B$2:$B$1001,$T24)&amp;"")</f>
        <v/>
      </c>
      <c r="E24">
        <f>IF($T24="","",INDEX('Per Line'!$C$2:$C$1001,$T24)&amp;"")</f>
        <v/>
      </c>
      <c r="F24">
        <f>IF($T24="","",INDEX('Per Line'!$D$2:$D$1001,$T24)&amp;"")</f>
        <v/>
      </c>
      <c r="G24">
        <f>IF($T24="","",INDEX('Per Line'!$E$2:$E$1001,$T24))</f>
        <v/>
      </c>
      <c r="H24" s="7">
        <f>IF($T24="","",G24*R24/100)</f>
        <v/>
      </c>
      <c r="I24" s="11">
        <f>IF($T24="","",INDEX('Per Line'!$Q$2:$Q$1001,$T24))</f>
        <v/>
      </c>
      <c r="J24">
        <f>IF($T24="","",Settings!$C$7)</f>
        <v/>
      </c>
      <c r="K24" s="7">
        <f>IF($T24="","",SUMIFS('Per Line'!$K$2:$K$1001,'Per Line'!$A$2:$A$1001,$B24,'Per Line'!$V$2:$V$1001,0))</f>
        <v/>
      </c>
      <c r="L24" s="7">
        <f>IF($T24="","",K24*J24)</f>
        <v/>
      </c>
      <c r="M24">
        <f>IF($T24="","",Settings!$C$6)</f>
        <v/>
      </c>
      <c r="N24" s="7">
        <f>IF($T24="","",SUMIFS('Per Line'!$K$2:$K$1001,'Per Line'!$A$2:$A$1001,$B24,'Per Line'!$V$2:$V$1001,1))</f>
        <v/>
      </c>
      <c r="O24" s="7">
        <f>IF($T24="","",N24*M24)</f>
        <v/>
      </c>
      <c r="P24" s="7">
        <f>IF($T24="","",O24+L24)</f>
        <v/>
      </c>
      <c r="Q24" s="7">
        <f>IF($T24="","",R24-P24)</f>
        <v/>
      </c>
      <c r="R24" s="7">
        <f>IF($T24="","",K24+N24)</f>
        <v/>
      </c>
      <c r="S24" s="7">
        <f>IF($T24="","",R24-P24-H24)</f>
        <v/>
      </c>
      <c r="T24" s="13">
        <f>IF(ROWS($T$2:$T24)&lt;=MAX('Per Line'!$U$2:$U$1001),MATCH(ROWS($T$2:$T24),'Per Line'!$U$2:$U$1001,0),"")</f>
        <v/>
      </c>
    </row>
    <row r="25">
      <c r="A25" s="12" t="n"/>
      <c r="B25">
        <f>IF($T25="","",INDEX('Per Line'!$A$2:$A$1001,$T25)&amp;"")</f>
        <v/>
      </c>
      <c r="C25" s="12" t="n"/>
      <c r="D25">
        <f>IF($T25="","",INDEX('Per Line'!$B$2:$B$1001,$T25)&amp;"")</f>
        <v/>
      </c>
      <c r="E25">
        <f>IF($T25="","",INDEX('Per Line'!$C$2:$C$1001,$T25)&amp;"")</f>
        <v/>
      </c>
      <c r="F25">
        <f>IF($T25="","",INDEX('Per Line'!$D$2:$D$1001,$T25)&amp;"")</f>
        <v/>
      </c>
      <c r="G25">
        <f>IF($T25="","",INDEX('Per Line'!$E$2:$E$1001,$T25))</f>
        <v/>
      </c>
      <c r="H25" s="7">
        <f>IF($T25="","",G25*R25/100)</f>
        <v/>
      </c>
      <c r="I25" s="11">
        <f>IF($T25="","",INDEX('Per Line'!$Q$2:$Q$1001,$T25))</f>
        <v/>
      </c>
      <c r="J25">
        <f>IF($T25="","",Settings!$C$7)</f>
        <v/>
      </c>
      <c r="K25" s="7">
        <f>IF($T25="","",SUMIFS('Per Line'!$K$2:$K$1001,'Per Line'!$A$2:$A$1001,$B25,'Per Line'!$V$2:$V$1001,0))</f>
        <v/>
      </c>
      <c r="L25" s="7">
        <f>IF($T25="","",K25*J25)</f>
        <v/>
      </c>
      <c r="M25">
        <f>IF($T25="","",Settings!$C$6)</f>
        <v/>
      </c>
      <c r="N25" s="7">
        <f>IF($T25="","",SUMIFS('Per Line'!$K$2:$K$1001,'Per Line'!$A$2:$A$1001,$B25,'Per Line'!$V$2:$V$1001,1))</f>
        <v/>
      </c>
      <c r="O25" s="7">
        <f>IF($T25="","",N25*M25)</f>
        <v/>
      </c>
      <c r="P25" s="7">
        <f>IF($T25="","",O25+L25)</f>
        <v/>
      </c>
      <c r="Q25" s="7">
        <f>IF($T25="","",R25-P25)</f>
        <v/>
      </c>
      <c r="R25" s="7">
        <f>IF($T25="","",K25+N25)</f>
        <v/>
      </c>
      <c r="S25" s="7">
        <f>IF($T25="","",R25-P25-H25)</f>
        <v/>
      </c>
      <c r="T25" s="13">
        <f>IF(ROWS($T$2:$T25)&lt;=MAX('Per Line'!$U$2:$U$1001),MATCH(ROWS($T$2:$T25),'Per Line'!$U$2:$U$1001,0),"")</f>
        <v/>
      </c>
    </row>
    <row r="26">
      <c r="A26" s="12" t="n"/>
      <c r="B26">
        <f>IF($T26="","",INDEX('Per Line'!$A$2:$A$1001,$T26)&amp;"")</f>
        <v/>
      </c>
      <c r="C26" s="12" t="n"/>
      <c r="D26">
        <f>IF($T26="","",INDEX('Per Line'!$B$2:$B$1001,$T26)&amp;"")</f>
        <v/>
      </c>
      <c r="E26">
        <f>IF($T26="","",INDEX('Per Line'!$C$2:$C$1001,$T26)&amp;"")</f>
        <v/>
      </c>
      <c r="F26">
        <f>IF($T26="","",INDEX('Per Line'!$D$2:$D$1001,$T26)&amp;"")</f>
        <v/>
      </c>
      <c r="G26">
        <f>IF($T26="","",INDEX('Per Line'!$E$2:$E$1001,$T26))</f>
        <v/>
      </c>
      <c r="H26" s="7">
        <f>IF($T26="","",G26*R26/100)</f>
        <v/>
      </c>
      <c r="I26" s="11">
        <f>IF($T26="","",INDEX('Per Line'!$Q$2:$Q$1001,$T26))</f>
        <v/>
      </c>
      <c r="J26">
        <f>IF($T26="","",Settings!$C$7)</f>
        <v/>
      </c>
      <c r="K26" s="7">
        <f>IF($T26="","",SUMIFS('Per Line'!$K$2:$K$1001,'Per Line'!$A$2:$A$1001,$B26,'Per Line'!$V$2:$V$1001,0))</f>
        <v/>
      </c>
      <c r="L26" s="7">
        <f>IF($T26="","",K26*J26)</f>
        <v/>
      </c>
      <c r="M26">
        <f>IF($T26="","",Settings!$C$6)</f>
        <v/>
      </c>
      <c r="N26" s="7">
        <f>IF($T26="","",SUMIFS('Per Line'!$K$2:$K$1001,'Per Line'!$A$2:$A$1001,$B26,'Per Line'!$V$2:$V$1001,1))</f>
        <v/>
      </c>
      <c r="O26" s="7">
        <f>IF($T26="","",N26*M26)</f>
        <v/>
      </c>
      <c r="P26" s="7">
        <f>IF($T26="","",O26+L26)</f>
        <v/>
      </c>
      <c r="Q26" s="7">
        <f>IF($T26="","",R26-P26)</f>
        <v/>
      </c>
      <c r="R26" s="7">
        <f>IF($T26="","",K26+N26)</f>
        <v/>
      </c>
      <c r="S26" s="7">
        <f>IF($T26="","",R26-P26-H26)</f>
        <v/>
      </c>
      <c r="T26" s="13">
        <f>IF(ROWS($T$2:$T26)&lt;=MAX('Per Line'!$U$2:$U$1001),MATCH(ROWS($T$2:$T26),'Per Line'!$U$2:$U$1001,0),"")</f>
        <v/>
      </c>
    </row>
    <row r="27">
      <c r="A27" s="12" t="n"/>
      <c r="B27">
        <f>IF($T27="","",INDEX('Per Line'!$A$2:$A$1001,$T27)&amp;"")</f>
        <v/>
      </c>
      <c r="C27" s="12" t="n"/>
      <c r="D27">
        <f>IF($T27="","",INDEX('Per Line'!$B$2:$B$1001,$T27)&amp;"")</f>
        <v/>
      </c>
      <c r="E27">
        <f>IF($T27="","",INDEX('Per Line'!$C$2:$C$1001,$T27)&amp;"")</f>
        <v/>
      </c>
      <c r="F27">
        <f>IF($T27="","",INDEX('Per Line'!$D$2:$D$1001,$T27)&amp;"")</f>
        <v/>
      </c>
      <c r="G27">
        <f>IF($T27="","",INDEX('Per Line'!$E$2:$E$1001,$T27))</f>
        <v/>
      </c>
      <c r="H27" s="7">
        <f>IF($T27="","",G27*R27/100)</f>
        <v/>
      </c>
      <c r="I27" s="11">
        <f>IF($T27="","",INDEX('Per Line'!$Q$2:$Q$1001,$T27))</f>
        <v/>
      </c>
      <c r="J27">
        <f>IF($T27="","",Settings!$C$7)</f>
        <v/>
      </c>
      <c r="K27" s="7">
        <f>IF($T27="","",SUMIFS('Per Line'!$K$2:$K$1001,'Per Line'!$A$2:$A$1001,$B27,'Per Line'!$V$2:$V$1001,0))</f>
        <v/>
      </c>
      <c r="L27" s="7">
        <f>IF($T27="","",K27*J27)</f>
        <v/>
      </c>
      <c r="M27">
        <f>IF($T27="","",Settings!$C$6)</f>
        <v/>
      </c>
      <c r="N27" s="7">
        <f>IF($T27="","",SUMIFS('Per Line'!$K$2:$K$1001,'Per Line'!$A$2:$A$1001,$B27,'Per Line'!$V$2:$V$1001,1))</f>
        <v/>
      </c>
      <c r="O27" s="7">
        <f>IF($T27="","",N27*M27)</f>
        <v/>
      </c>
      <c r="P27" s="7">
        <f>IF($T27="","",O27+L27)</f>
        <v/>
      </c>
      <c r="Q27" s="7">
        <f>IF($T27="","",R27-P27)</f>
        <v/>
      </c>
      <c r="R27" s="7">
        <f>IF($T27="","",K27+N27)</f>
        <v/>
      </c>
      <c r="S27" s="7">
        <f>IF($T27="","",R27-P27-H27)</f>
        <v/>
      </c>
      <c r="T27" s="13">
        <f>IF(ROWS($T$2:$T27)&lt;=MAX('Per Line'!$U$2:$U$1001),MATCH(ROWS($T$2:$T27),'Per Line'!$U$2:$U$1001,0),"")</f>
        <v/>
      </c>
    </row>
    <row r="28">
      <c r="A28" s="12" t="n"/>
      <c r="B28">
        <f>IF($T28="","",INDEX('Per Line'!$A$2:$A$1001,$T28)&amp;"")</f>
        <v/>
      </c>
      <c r="C28" s="12" t="n"/>
      <c r="D28">
        <f>IF($T28="","",INDEX('Per Line'!$B$2:$B$1001,$T28)&amp;"")</f>
        <v/>
      </c>
      <c r="E28">
        <f>IF($T28="","",INDEX('Per Line'!$C$2:$C$1001,$T28)&amp;"")</f>
        <v/>
      </c>
      <c r="F28">
        <f>IF($T28="","",INDEX('Per Line'!$D$2:$D$1001,$T28)&amp;"")</f>
        <v/>
      </c>
      <c r="G28">
        <f>IF($T28="","",INDEX('Per Line'!$E$2:$E$1001,$T28))</f>
        <v/>
      </c>
      <c r="H28" s="7">
        <f>IF($T28="","",G28*R28/100)</f>
        <v/>
      </c>
      <c r="I28" s="11">
        <f>IF($T28="","",INDEX('Per Line'!$Q$2:$Q$1001,$T28))</f>
        <v/>
      </c>
      <c r="J28">
        <f>IF($T28="","",Settings!$C$7)</f>
        <v/>
      </c>
      <c r="K28" s="7">
        <f>IF($T28="","",SUMIFS('Per Line'!$K$2:$K$1001,'Per Line'!$A$2:$A$1001,$B28,'Per Line'!$V$2:$V$1001,0))</f>
        <v/>
      </c>
      <c r="L28" s="7">
        <f>IF($T28="","",K28*J28)</f>
        <v/>
      </c>
      <c r="M28">
        <f>IF($T28="","",Settings!$C$6)</f>
        <v/>
      </c>
      <c r="N28" s="7">
        <f>IF($T28="","",SUMIFS('Per Line'!$K$2:$K$1001,'Per Line'!$A$2:$A$1001,$B28,'Per Line'!$V$2:$V$1001,1))</f>
        <v/>
      </c>
      <c r="O28" s="7">
        <f>IF($T28="","",N28*M28)</f>
        <v/>
      </c>
      <c r="P28" s="7">
        <f>IF($T28="","",O28+L28)</f>
        <v/>
      </c>
      <c r="Q28" s="7">
        <f>IF($T28="","",R28-P28)</f>
        <v/>
      </c>
      <c r="R28" s="7">
        <f>IF($T28="","",K28+N28)</f>
        <v/>
      </c>
      <c r="S28" s="7">
        <f>IF($T28="","",R28-P28-H28)</f>
        <v/>
      </c>
      <c r="T28" s="13">
        <f>IF(ROWS($T$2:$T28)&lt;=MAX('Per Line'!$U$2:$U$1001),MATCH(ROWS($T$2:$T28),'Per Line'!$U$2:$U$1001,0),"")</f>
        <v/>
      </c>
    </row>
    <row r="29">
      <c r="A29" s="12" t="n"/>
      <c r="B29">
        <f>IF($T29="","",INDEX('Per Line'!$A$2:$A$1001,$T29)&amp;"")</f>
        <v/>
      </c>
      <c r="C29" s="12" t="n"/>
      <c r="D29">
        <f>IF($T29="","",INDEX('Per Line'!$B$2:$B$1001,$T29)&amp;"")</f>
        <v/>
      </c>
      <c r="E29">
        <f>IF($T29="","",INDEX('Per Line'!$C$2:$C$1001,$T29)&amp;"")</f>
        <v/>
      </c>
      <c r="F29">
        <f>IF($T29="","",INDEX('Per Line'!$D$2:$D$1001,$T29)&amp;"")</f>
        <v/>
      </c>
      <c r="G29">
        <f>IF($T29="","",INDEX('Per Line'!$E$2:$E$1001,$T29))</f>
        <v/>
      </c>
      <c r="H29" s="7">
        <f>IF($T29="","",G29*R29/100)</f>
        <v/>
      </c>
      <c r="I29" s="11">
        <f>IF($T29="","",INDEX('Per Line'!$Q$2:$Q$1001,$T29))</f>
        <v/>
      </c>
      <c r="J29">
        <f>IF($T29="","",Settings!$C$7)</f>
        <v/>
      </c>
      <c r="K29" s="7">
        <f>IF($T29="","",SUMIFS('Per Line'!$K$2:$K$1001,'Per Line'!$A$2:$A$1001,$B29,'Per Line'!$V$2:$V$1001,0))</f>
        <v/>
      </c>
      <c r="L29" s="7">
        <f>IF($T29="","",K29*J29)</f>
        <v/>
      </c>
      <c r="M29">
        <f>IF($T29="","",Settings!$C$6)</f>
        <v/>
      </c>
      <c r="N29" s="7">
        <f>IF($T29="","",SUMIFS('Per Line'!$K$2:$K$1001,'Per Line'!$A$2:$A$1001,$B29,'Per Line'!$V$2:$V$1001,1))</f>
        <v/>
      </c>
      <c r="O29" s="7">
        <f>IF($T29="","",N29*M29)</f>
        <v/>
      </c>
      <c r="P29" s="7">
        <f>IF($T29="","",O29+L29)</f>
        <v/>
      </c>
      <c r="Q29" s="7">
        <f>IF($T29="","",R29-P29)</f>
        <v/>
      </c>
      <c r="R29" s="7">
        <f>IF($T29="","",K29+N29)</f>
        <v/>
      </c>
      <c r="S29" s="7">
        <f>IF($T29="","",R29-P29-H29)</f>
        <v/>
      </c>
      <c r="T29" s="13">
        <f>IF(ROWS($T$2:$T29)&lt;=MAX('Per Line'!$U$2:$U$1001),MATCH(ROWS($T$2:$T29),'Per Line'!$U$2:$U$1001,0),"")</f>
        <v/>
      </c>
    </row>
    <row r="30">
      <c r="A30" s="12" t="n"/>
      <c r="B30">
        <f>IF($T30="","",INDEX('Per Line'!$A$2:$A$1001,$T30)&amp;"")</f>
        <v/>
      </c>
      <c r="C30" s="12" t="n"/>
      <c r="D30">
        <f>IF($T30="","",INDEX('Per Line'!$B$2:$B$1001,$T30)&amp;"")</f>
        <v/>
      </c>
      <c r="E30">
        <f>IF($T30="","",INDEX('Per Line'!$C$2:$C$1001,$T30)&amp;"")</f>
        <v/>
      </c>
      <c r="F30">
        <f>IF($T30="","",INDEX('Per Line'!$D$2:$D$1001,$T30)&amp;"")</f>
        <v/>
      </c>
      <c r="G30">
        <f>IF($T30="","",INDEX('Per Line'!$E$2:$E$1001,$T30))</f>
        <v/>
      </c>
      <c r="H30" s="7">
        <f>IF($T30="","",G30*R30/100)</f>
        <v/>
      </c>
      <c r="I30" s="11">
        <f>IF($T30="","",INDEX('Per Line'!$Q$2:$Q$1001,$T30))</f>
        <v/>
      </c>
      <c r="J30">
        <f>IF($T30="","",Settings!$C$7)</f>
        <v/>
      </c>
      <c r="K30" s="7">
        <f>IF($T30="","",SUMIFS('Per Line'!$K$2:$K$1001,'Per Line'!$A$2:$A$1001,$B30,'Per Line'!$V$2:$V$1001,0))</f>
        <v/>
      </c>
      <c r="L30" s="7">
        <f>IF($T30="","",K30*J30)</f>
        <v/>
      </c>
      <c r="M30">
        <f>IF($T30="","",Settings!$C$6)</f>
        <v/>
      </c>
      <c r="N30" s="7">
        <f>IF($T30="","",SUMIFS('Per Line'!$K$2:$K$1001,'Per Line'!$A$2:$A$1001,$B30,'Per Line'!$V$2:$V$1001,1))</f>
        <v/>
      </c>
      <c r="O30" s="7">
        <f>IF($T30="","",N30*M30)</f>
        <v/>
      </c>
      <c r="P30" s="7">
        <f>IF($T30="","",O30+L30)</f>
        <v/>
      </c>
      <c r="Q30" s="7">
        <f>IF($T30="","",R30-P30)</f>
        <v/>
      </c>
      <c r="R30" s="7">
        <f>IF($T30="","",K30+N30)</f>
        <v/>
      </c>
      <c r="S30" s="7">
        <f>IF($T30="","",R30-P30-H30)</f>
        <v/>
      </c>
      <c r="T30" s="13">
        <f>IF(ROWS($T$2:$T30)&lt;=MAX('Per Line'!$U$2:$U$1001),MATCH(ROWS($T$2:$T30),'Per Line'!$U$2:$U$1001,0),"")</f>
        <v/>
      </c>
    </row>
    <row r="31">
      <c r="A31" s="12" t="n"/>
      <c r="B31">
        <f>IF($T31="","",INDEX('Per Line'!$A$2:$A$1001,$T31)&amp;"")</f>
        <v/>
      </c>
      <c r="C31" s="12" t="n"/>
      <c r="D31">
        <f>IF($T31="","",INDEX('Per Line'!$B$2:$B$1001,$T31)&amp;"")</f>
        <v/>
      </c>
      <c r="E31">
        <f>IF($T31="","",INDEX('Per Line'!$C$2:$C$1001,$T31)&amp;"")</f>
        <v/>
      </c>
      <c r="F31">
        <f>IF($T31="","",INDEX('Per Line'!$D$2:$D$1001,$T31)&amp;"")</f>
        <v/>
      </c>
      <c r="G31">
        <f>IF($T31="","",INDEX('Per Line'!$E$2:$E$1001,$T31))</f>
        <v/>
      </c>
      <c r="H31" s="7">
        <f>IF($T31="","",G31*R31/100)</f>
        <v/>
      </c>
      <c r="I31" s="11">
        <f>IF($T31="","",INDEX('Per Line'!$Q$2:$Q$1001,$T31))</f>
        <v/>
      </c>
      <c r="J31">
        <f>IF($T31="","",Settings!$C$7)</f>
        <v/>
      </c>
      <c r="K31" s="7">
        <f>IF($T31="","",SUMIFS('Per Line'!$K$2:$K$1001,'Per Line'!$A$2:$A$1001,$B31,'Per Line'!$V$2:$V$1001,0))</f>
        <v/>
      </c>
      <c r="L31" s="7">
        <f>IF($T31="","",K31*J31)</f>
        <v/>
      </c>
      <c r="M31">
        <f>IF($T31="","",Settings!$C$6)</f>
        <v/>
      </c>
      <c r="N31" s="7">
        <f>IF($T31="","",SUMIFS('Per Line'!$K$2:$K$1001,'Per Line'!$A$2:$A$1001,$B31,'Per Line'!$V$2:$V$1001,1))</f>
        <v/>
      </c>
      <c r="O31" s="7">
        <f>IF($T31="","",N31*M31)</f>
        <v/>
      </c>
      <c r="P31" s="7">
        <f>IF($T31="","",O31+L31)</f>
        <v/>
      </c>
      <c r="Q31" s="7">
        <f>IF($T31="","",R31-P31)</f>
        <v/>
      </c>
      <c r="R31" s="7">
        <f>IF($T31="","",K31+N31)</f>
        <v/>
      </c>
      <c r="S31" s="7">
        <f>IF($T31="","",R31-P31-H31)</f>
        <v/>
      </c>
      <c r="T31" s="13">
        <f>IF(ROWS($T$2:$T31)&lt;=MAX('Per Line'!$U$2:$U$1001),MATCH(ROWS($T$2:$T31),'Per Line'!$U$2:$U$1001,0),"")</f>
        <v/>
      </c>
    </row>
    <row r="32">
      <c r="A32" s="12" t="n"/>
      <c r="B32">
        <f>IF($T32="","",INDEX('Per Line'!$A$2:$A$1001,$T32)&amp;"")</f>
        <v/>
      </c>
      <c r="C32" s="12" t="n"/>
      <c r="D32">
        <f>IF($T32="","",INDEX('Per Line'!$B$2:$B$1001,$T32)&amp;"")</f>
        <v/>
      </c>
      <c r="E32">
        <f>IF($T32="","",INDEX('Per Line'!$C$2:$C$1001,$T32)&amp;"")</f>
        <v/>
      </c>
      <c r="F32">
        <f>IF($T32="","",INDEX('Per Line'!$D$2:$D$1001,$T32)&amp;"")</f>
        <v/>
      </c>
      <c r="G32">
        <f>IF($T32="","",INDEX('Per Line'!$E$2:$E$1001,$T32))</f>
        <v/>
      </c>
      <c r="H32" s="7">
        <f>IF($T32="","",G32*R32/100)</f>
        <v/>
      </c>
      <c r="I32" s="11">
        <f>IF($T32="","",INDEX('Per Line'!$Q$2:$Q$1001,$T32))</f>
        <v/>
      </c>
      <c r="J32">
        <f>IF($T32="","",Settings!$C$7)</f>
        <v/>
      </c>
      <c r="K32" s="7">
        <f>IF($T32="","",SUMIFS('Per Line'!$K$2:$K$1001,'Per Line'!$A$2:$A$1001,$B32,'Per Line'!$V$2:$V$1001,0))</f>
        <v/>
      </c>
      <c r="L32" s="7">
        <f>IF($T32="","",K32*J32)</f>
        <v/>
      </c>
      <c r="M32">
        <f>IF($T32="","",Settings!$C$6)</f>
        <v/>
      </c>
      <c r="N32" s="7">
        <f>IF($T32="","",SUMIFS('Per Line'!$K$2:$K$1001,'Per Line'!$A$2:$A$1001,$B32,'Per Line'!$V$2:$V$1001,1))</f>
        <v/>
      </c>
      <c r="O32" s="7">
        <f>IF($T32="","",N32*M32)</f>
        <v/>
      </c>
      <c r="P32" s="7">
        <f>IF($T32="","",O32+L32)</f>
        <v/>
      </c>
      <c r="Q32" s="7">
        <f>IF($T32="","",R32-P32)</f>
        <v/>
      </c>
      <c r="R32" s="7">
        <f>IF($T32="","",K32+N32)</f>
        <v/>
      </c>
      <c r="S32" s="7">
        <f>IF($T32="","",R32-P32-H32)</f>
        <v/>
      </c>
      <c r="T32" s="13">
        <f>IF(ROWS($T$2:$T32)&lt;=MAX('Per Line'!$U$2:$U$1001),MATCH(ROWS($T$2:$T32),'Per Line'!$U$2:$U$1001,0),"")</f>
        <v/>
      </c>
    </row>
    <row r="33">
      <c r="A33" s="12" t="n"/>
      <c r="B33">
        <f>IF($T33="","",INDEX('Per Line'!$A$2:$A$1001,$T33)&amp;"")</f>
        <v/>
      </c>
      <c r="C33" s="12" t="n"/>
      <c r="D33">
        <f>IF($T33="","",INDEX('Per Line'!$B$2:$B$1001,$T33)&amp;"")</f>
        <v/>
      </c>
      <c r="E33">
        <f>IF($T33="","",INDEX('Per Line'!$C$2:$C$1001,$T33)&amp;"")</f>
        <v/>
      </c>
      <c r="F33">
        <f>IF($T33="","",INDEX('Per Line'!$D$2:$D$1001,$T33)&amp;"")</f>
        <v/>
      </c>
      <c r="G33">
        <f>IF($T33="","",INDEX('Per Line'!$E$2:$E$1001,$T33))</f>
        <v/>
      </c>
      <c r="H33" s="7">
        <f>IF($T33="","",G33*R33/100)</f>
        <v/>
      </c>
      <c r="I33" s="11">
        <f>IF($T33="","",INDEX('Per Line'!$Q$2:$Q$1001,$T33))</f>
        <v/>
      </c>
      <c r="J33">
        <f>IF($T33="","",Settings!$C$7)</f>
        <v/>
      </c>
      <c r="K33" s="7">
        <f>IF($T33="","",SUMIFS('Per Line'!$K$2:$K$1001,'Per Line'!$A$2:$A$1001,$B33,'Per Line'!$V$2:$V$1001,0))</f>
        <v/>
      </c>
      <c r="L33" s="7">
        <f>IF($T33="","",K33*J33)</f>
        <v/>
      </c>
      <c r="M33">
        <f>IF($T33="","",Settings!$C$6)</f>
        <v/>
      </c>
      <c r="N33" s="7">
        <f>IF($T33="","",SUMIFS('Per Line'!$K$2:$K$1001,'Per Line'!$A$2:$A$1001,$B33,'Per Line'!$V$2:$V$1001,1))</f>
        <v/>
      </c>
      <c r="O33" s="7">
        <f>IF($T33="","",N33*M33)</f>
        <v/>
      </c>
      <c r="P33" s="7">
        <f>IF($T33="","",O33+L33)</f>
        <v/>
      </c>
      <c r="Q33" s="7">
        <f>IF($T33="","",R33-P33)</f>
        <v/>
      </c>
      <c r="R33" s="7">
        <f>IF($T33="","",K33+N33)</f>
        <v/>
      </c>
      <c r="S33" s="7">
        <f>IF($T33="","",R33-P33-H33)</f>
        <v/>
      </c>
      <c r="T33" s="13">
        <f>IF(ROWS($T$2:$T33)&lt;=MAX('Per Line'!$U$2:$U$1001),MATCH(ROWS($T$2:$T33),'Per Line'!$U$2:$U$1001,0),"")</f>
        <v/>
      </c>
    </row>
    <row r="34">
      <c r="A34" s="12" t="n"/>
      <c r="B34">
        <f>IF($T34="","",INDEX('Per Line'!$A$2:$A$1001,$T34)&amp;"")</f>
        <v/>
      </c>
      <c r="C34" s="12" t="n"/>
      <c r="D34">
        <f>IF($T34="","",INDEX('Per Line'!$B$2:$B$1001,$T34)&amp;"")</f>
        <v/>
      </c>
      <c r="E34">
        <f>IF($T34="","",INDEX('Per Line'!$C$2:$C$1001,$T34)&amp;"")</f>
        <v/>
      </c>
      <c r="F34">
        <f>IF($T34="","",INDEX('Per Line'!$D$2:$D$1001,$T34)&amp;"")</f>
        <v/>
      </c>
      <c r="G34">
        <f>IF($T34="","",INDEX('Per Line'!$E$2:$E$1001,$T34))</f>
        <v/>
      </c>
      <c r="H34" s="7">
        <f>IF($T34="","",G34*R34/100)</f>
        <v/>
      </c>
      <c r="I34" s="11">
        <f>IF($T34="","",INDEX('Per Line'!$Q$2:$Q$1001,$T34))</f>
        <v/>
      </c>
      <c r="J34">
        <f>IF($T34="","",Settings!$C$7)</f>
        <v/>
      </c>
      <c r="K34" s="7">
        <f>IF($T34="","",SUMIFS('Per Line'!$K$2:$K$1001,'Per Line'!$A$2:$A$1001,$B34,'Per Line'!$V$2:$V$1001,0))</f>
        <v/>
      </c>
      <c r="L34" s="7">
        <f>IF($T34="","",K34*J34)</f>
        <v/>
      </c>
      <c r="M34">
        <f>IF($T34="","",Settings!$C$6)</f>
        <v/>
      </c>
      <c r="N34" s="7">
        <f>IF($T34="","",SUMIFS('Per Line'!$K$2:$K$1001,'Per Line'!$A$2:$A$1001,$B34,'Per Line'!$V$2:$V$1001,1))</f>
        <v/>
      </c>
      <c r="O34" s="7">
        <f>IF($T34="","",N34*M34)</f>
        <v/>
      </c>
      <c r="P34" s="7">
        <f>IF($T34="","",O34+L34)</f>
        <v/>
      </c>
      <c r="Q34" s="7">
        <f>IF($T34="","",R34-P34)</f>
        <v/>
      </c>
      <c r="R34" s="7">
        <f>IF($T34="","",K34+N34)</f>
        <v/>
      </c>
      <c r="S34" s="7">
        <f>IF($T34="","",R34-P34-H34)</f>
        <v/>
      </c>
      <c r="T34" s="13">
        <f>IF(ROWS($T$2:$T34)&lt;=MAX('Per Line'!$U$2:$U$1001),MATCH(ROWS($T$2:$T34),'Per Line'!$U$2:$U$1001,0),"")</f>
        <v/>
      </c>
    </row>
    <row r="35">
      <c r="A35" s="12" t="n"/>
      <c r="B35">
        <f>IF($T35="","",INDEX('Per Line'!$A$2:$A$1001,$T35)&amp;"")</f>
        <v/>
      </c>
      <c r="C35" s="12" t="n"/>
      <c r="D35">
        <f>IF($T35="","",INDEX('Per Line'!$B$2:$B$1001,$T35)&amp;"")</f>
        <v/>
      </c>
      <c r="E35">
        <f>IF($T35="","",INDEX('Per Line'!$C$2:$C$1001,$T35)&amp;"")</f>
        <v/>
      </c>
      <c r="F35">
        <f>IF($T35="","",INDEX('Per Line'!$D$2:$D$1001,$T35)&amp;"")</f>
        <v/>
      </c>
      <c r="G35">
        <f>IF($T35="","",INDEX('Per Line'!$E$2:$E$1001,$T35))</f>
        <v/>
      </c>
      <c r="H35" s="7">
        <f>IF($T35="","",G35*R35/100)</f>
        <v/>
      </c>
      <c r="I35" s="11">
        <f>IF($T35="","",INDEX('Per Line'!$Q$2:$Q$1001,$T35))</f>
        <v/>
      </c>
      <c r="J35">
        <f>IF($T35="","",Settings!$C$7)</f>
        <v/>
      </c>
      <c r="K35" s="7">
        <f>IF($T35="","",SUMIFS('Per Line'!$K$2:$K$1001,'Per Line'!$A$2:$A$1001,$B35,'Per Line'!$V$2:$V$1001,0))</f>
        <v/>
      </c>
      <c r="L35" s="7">
        <f>IF($T35="","",K35*J35)</f>
        <v/>
      </c>
      <c r="M35">
        <f>IF($T35="","",Settings!$C$6)</f>
        <v/>
      </c>
      <c r="N35" s="7">
        <f>IF($T35="","",SUMIFS('Per Line'!$K$2:$K$1001,'Per Line'!$A$2:$A$1001,$B35,'Per Line'!$V$2:$V$1001,1))</f>
        <v/>
      </c>
      <c r="O35" s="7">
        <f>IF($T35="","",N35*M35)</f>
        <v/>
      </c>
      <c r="P35" s="7">
        <f>IF($T35="","",O35+L35)</f>
        <v/>
      </c>
      <c r="Q35" s="7">
        <f>IF($T35="","",R35-P35)</f>
        <v/>
      </c>
      <c r="R35" s="7">
        <f>IF($T35="","",K35+N35)</f>
        <v/>
      </c>
      <c r="S35" s="7">
        <f>IF($T35="","",R35-P35-H35)</f>
        <v/>
      </c>
      <c r="T35" s="13">
        <f>IF(ROWS($T$2:$T35)&lt;=MAX('Per Line'!$U$2:$U$1001),MATCH(ROWS($T$2:$T35),'Per Line'!$U$2:$U$1001,0),"")</f>
        <v/>
      </c>
    </row>
    <row r="36">
      <c r="A36" s="12" t="n"/>
      <c r="B36">
        <f>IF($T36="","",INDEX('Per Line'!$A$2:$A$1001,$T36)&amp;"")</f>
        <v/>
      </c>
      <c r="C36" s="12" t="n"/>
      <c r="D36">
        <f>IF($T36="","",INDEX('Per Line'!$B$2:$B$1001,$T36)&amp;"")</f>
        <v/>
      </c>
      <c r="E36">
        <f>IF($T36="","",INDEX('Per Line'!$C$2:$C$1001,$T36)&amp;"")</f>
        <v/>
      </c>
      <c r="F36">
        <f>IF($T36="","",INDEX('Per Line'!$D$2:$D$1001,$T36)&amp;"")</f>
        <v/>
      </c>
      <c r="G36">
        <f>IF($T36="","",INDEX('Per Line'!$E$2:$E$1001,$T36))</f>
        <v/>
      </c>
      <c r="H36" s="7">
        <f>IF($T36="","",G36*R36/100)</f>
        <v/>
      </c>
      <c r="I36" s="11">
        <f>IF($T36="","",INDEX('Per Line'!$Q$2:$Q$1001,$T36))</f>
        <v/>
      </c>
      <c r="J36">
        <f>IF($T36="","",Settings!$C$7)</f>
        <v/>
      </c>
      <c r="K36" s="7">
        <f>IF($T36="","",SUMIFS('Per Line'!$K$2:$K$1001,'Per Line'!$A$2:$A$1001,$B36,'Per Line'!$V$2:$V$1001,0))</f>
        <v/>
      </c>
      <c r="L36" s="7">
        <f>IF($T36="","",K36*J36)</f>
        <v/>
      </c>
      <c r="M36">
        <f>IF($T36="","",Settings!$C$6)</f>
        <v/>
      </c>
      <c r="N36" s="7">
        <f>IF($T36="","",SUMIFS('Per Line'!$K$2:$K$1001,'Per Line'!$A$2:$A$1001,$B36,'Per Line'!$V$2:$V$1001,1))</f>
        <v/>
      </c>
      <c r="O36" s="7">
        <f>IF($T36="","",N36*M36)</f>
        <v/>
      </c>
      <c r="P36" s="7">
        <f>IF($T36="","",O36+L36)</f>
        <v/>
      </c>
      <c r="Q36" s="7">
        <f>IF($T36="","",R36-P36)</f>
        <v/>
      </c>
      <c r="R36" s="7">
        <f>IF($T36="","",K36+N36)</f>
        <v/>
      </c>
      <c r="S36" s="7">
        <f>IF($T36="","",R36-P36-H36)</f>
        <v/>
      </c>
      <c r="T36" s="13">
        <f>IF(ROWS($T$2:$T36)&lt;=MAX('Per Line'!$U$2:$U$1001),MATCH(ROWS($T$2:$T36),'Per Line'!$U$2:$U$1001,0),"")</f>
        <v/>
      </c>
    </row>
    <row r="37">
      <c r="A37" s="12" t="n"/>
      <c r="B37">
        <f>IF($T37="","",INDEX('Per Line'!$A$2:$A$1001,$T37)&amp;"")</f>
        <v/>
      </c>
      <c r="C37" s="12" t="n"/>
      <c r="D37">
        <f>IF($T37="","",INDEX('Per Line'!$B$2:$B$1001,$T37)&amp;"")</f>
        <v/>
      </c>
      <c r="E37">
        <f>IF($T37="","",INDEX('Per Line'!$C$2:$C$1001,$T37)&amp;"")</f>
        <v/>
      </c>
      <c r="F37">
        <f>IF($T37="","",INDEX('Per Line'!$D$2:$D$1001,$T37)&amp;"")</f>
        <v/>
      </c>
      <c r="G37">
        <f>IF($T37="","",INDEX('Per Line'!$E$2:$E$1001,$T37))</f>
        <v/>
      </c>
      <c r="H37" s="7">
        <f>IF($T37="","",G37*R37/100)</f>
        <v/>
      </c>
      <c r="I37" s="11">
        <f>IF($T37="","",INDEX('Per Line'!$Q$2:$Q$1001,$T37))</f>
        <v/>
      </c>
      <c r="J37">
        <f>IF($T37="","",Settings!$C$7)</f>
        <v/>
      </c>
      <c r="K37" s="7">
        <f>IF($T37="","",SUMIFS('Per Line'!$K$2:$K$1001,'Per Line'!$A$2:$A$1001,$B37,'Per Line'!$V$2:$V$1001,0))</f>
        <v/>
      </c>
      <c r="L37" s="7">
        <f>IF($T37="","",K37*J37)</f>
        <v/>
      </c>
      <c r="M37">
        <f>IF($T37="","",Settings!$C$6)</f>
        <v/>
      </c>
      <c r="N37" s="7">
        <f>IF($T37="","",SUMIFS('Per Line'!$K$2:$K$1001,'Per Line'!$A$2:$A$1001,$B37,'Per Line'!$V$2:$V$1001,1))</f>
        <v/>
      </c>
      <c r="O37" s="7">
        <f>IF($T37="","",N37*M37)</f>
        <v/>
      </c>
      <c r="P37" s="7">
        <f>IF($T37="","",O37+L37)</f>
        <v/>
      </c>
      <c r="Q37" s="7">
        <f>IF($T37="","",R37-P37)</f>
        <v/>
      </c>
      <c r="R37" s="7">
        <f>IF($T37="","",K37+N37)</f>
        <v/>
      </c>
      <c r="S37" s="7">
        <f>IF($T37="","",R37-P37-H37)</f>
        <v/>
      </c>
      <c r="T37" s="13">
        <f>IF(ROWS($T$2:$T37)&lt;=MAX('Per Line'!$U$2:$U$1001),MATCH(ROWS($T$2:$T37),'Per Line'!$U$2:$U$1001,0),"")</f>
        <v/>
      </c>
    </row>
    <row r="38">
      <c r="A38" s="12" t="n"/>
      <c r="B38">
        <f>IF($T38="","",INDEX('Per Line'!$A$2:$A$1001,$T38)&amp;"")</f>
        <v/>
      </c>
      <c r="C38" s="12" t="n"/>
      <c r="D38">
        <f>IF($T38="","",INDEX('Per Line'!$B$2:$B$1001,$T38)&amp;"")</f>
        <v/>
      </c>
      <c r="E38">
        <f>IF($T38="","",INDEX('Per Line'!$C$2:$C$1001,$T38)&amp;"")</f>
        <v/>
      </c>
      <c r="F38">
        <f>IF($T38="","",INDEX('Per Line'!$D$2:$D$1001,$T38)&amp;"")</f>
        <v/>
      </c>
      <c r="G38">
        <f>IF($T38="","",INDEX('Per Line'!$E$2:$E$1001,$T38))</f>
        <v/>
      </c>
      <c r="H38" s="7">
        <f>IF($T38="","",G38*R38/100)</f>
        <v/>
      </c>
      <c r="I38" s="11">
        <f>IF($T38="","",INDEX('Per Line'!$Q$2:$Q$1001,$T38))</f>
        <v/>
      </c>
      <c r="J38">
        <f>IF($T38="","",Settings!$C$7)</f>
        <v/>
      </c>
      <c r="K38" s="7">
        <f>IF($T38="","",SUMIFS('Per Line'!$K$2:$K$1001,'Per Line'!$A$2:$A$1001,$B38,'Per Line'!$V$2:$V$1001,0))</f>
        <v/>
      </c>
      <c r="L38" s="7">
        <f>IF($T38="","",K38*J38)</f>
        <v/>
      </c>
      <c r="M38">
        <f>IF($T38="","",Settings!$C$6)</f>
        <v/>
      </c>
      <c r="N38" s="7">
        <f>IF($T38="","",SUMIFS('Per Line'!$K$2:$K$1001,'Per Line'!$A$2:$A$1001,$B38,'Per Line'!$V$2:$V$1001,1))</f>
        <v/>
      </c>
      <c r="O38" s="7">
        <f>IF($T38="","",N38*M38)</f>
        <v/>
      </c>
      <c r="P38" s="7">
        <f>IF($T38="","",O38+L38)</f>
        <v/>
      </c>
      <c r="Q38" s="7">
        <f>IF($T38="","",R38-P38)</f>
        <v/>
      </c>
      <c r="R38" s="7">
        <f>IF($T38="","",K38+N38)</f>
        <v/>
      </c>
      <c r="S38" s="7">
        <f>IF($T38="","",R38-P38-H38)</f>
        <v/>
      </c>
      <c r="T38" s="13">
        <f>IF(ROWS($T$2:$T38)&lt;=MAX('Per Line'!$U$2:$U$1001),MATCH(ROWS($T$2:$T38),'Per Line'!$U$2:$U$1001,0),"")</f>
        <v/>
      </c>
    </row>
    <row r="39">
      <c r="A39" s="12" t="n"/>
      <c r="B39">
        <f>IF($T39="","",INDEX('Per Line'!$A$2:$A$1001,$T39)&amp;"")</f>
        <v/>
      </c>
      <c r="C39" s="12" t="n"/>
      <c r="D39">
        <f>IF($T39="","",INDEX('Per Line'!$B$2:$B$1001,$T39)&amp;"")</f>
        <v/>
      </c>
      <c r="E39">
        <f>IF($T39="","",INDEX('Per Line'!$C$2:$C$1001,$T39)&amp;"")</f>
        <v/>
      </c>
      <c r="F39">
        <f>IF($T39="","",INDEX('Per Line'!$D$2:$D$1001,$T39)&amp;"")</f>
        <v/>
      </c>
      <c r="G39">
        <f>IF($T39="","",INDEX('Per Line'!$E$2:$E$1001,$T39))</f>
        <v/>
      </c>
      <c r="H39" s="7">
        <f>IF($T39="","",G39*R39/100)</f>
        <v/>
      </c>
      <c r="I39" s="11">
        <f>IF($T39="","",INDEX('Per Line'!$Q$2:$Q$1001,$T39))</f>
        <v/>
      </c>
      <c r="J39">
        <f>IF($T39="","",Settings!$C$7)</f>
        <v/>
      </c>
      <c r="K39" s="7">
        <f>IF($T39="","",SUMIFS('Per Line'!$K$2:$K$1001,'Per Line'!$A$2:$A$1001,$B39,'Per Line'!$V$2:$V$1001,0))</f>
        <v/>
      </c>
      <c r="L39" s="7">
        <f>IF($T39="","",K39*J39)</f>
        <v/>
      </c>
      <c r="M39">
        <f>IF($T39="","",Settings!$C$6)</f>
        <v/>
      </c>
      <c r="N39" s="7">
        <f>IF($T39="","",SUMIFS('Per Line'!$K$2:$K$1001,'Per Line'!$A$2:$A$1001,$B39,'Per Line'!$V$2:$V$1001,1))</f>
        <v/>
      </c>
      <c r="O39" s="7">
        <f>IF($T39="","",N39*M39)</f>
        <v/>
      </c>
      <c r="P39" s="7">
        <f>IF($T39="","",O39+L39)</f>
        <v/>
      </c>
      <c r="Q39" s="7">
        <f>IF($T39="","",R39-P39)</f>
        <v/>
      </c>
      <c r="R39" s="7">
        <f>IF($T39="","",K39+N39)</f>
        <v/>
      </c>
      <c r="S39" s="7">
        <f>IF($T39="","",R39-P39-H39)</f>
        <v/>
      </c>
      <c r="T39" s="13">
        <f>IF(ROWS($T$2:$T39)&lt;=MAX('Per Line'!$U$2:$U$1001),MATCH(ROWS($T$2:$T39),'Per Line'!$U$2:$U$1001,0),"")</f>
        <v/>
      </c>
    </row>
    <row r="40">
      <c r="A40" s="12" t="n"/>
      <c r="B40">
        <f>IF($T40="","",INDEX('Per Line'!$A$2:$A$1001,$T40)&amp;"")</f>
        <v/>
      </c>
      <c r="C40" s="12" t="n"/>
      <c r="D40">
        <f>IF($T40="","",INDEX('Per Line'!$B$2:$B$1001,$T40)&amp;"")</f>
        <v/>
      </c>
      <c r="E40">
        <f>IF($T40="","",INDEX('Per Line'!$C$2:$C$1001,$T40)&amp;"")</f>
        <v/>
      </c>
      <c r="F40">
        <f>IF($T40="","",INDEX('Per Line'!$D$2:$D$1001,$T40)&amp;"")</f>
        <v/>
      </c>
      <c r="G40">
        <f>IF($T40="","",INDEX('Per Line'!$E$2:$E$1001,$T40))</f>
        <v/>
      </c>
      <c r="H40" s="7">
        <f>IF($T40="","",G40*R40/100)</f>
        <v/>
      </c>
      <c r="I40" s="11">
        <f>IF($T40="","",INDEX('Per Line'!$Q$2:$Q$1001,$T40))</f>
        <v/>
      </c>
      <c r="J40">
        <f>IF($T40="","",Settings!$C$7)</f>
        <v/>
      </c>
      <c r="K40" s="7">
        <f>IF($T40="","",SUMIFS('Per Line'!$K$2:$K$1001,'Per Line'!$A$2:$A$1001,$B40,'Per Line'!$V$2:$V$1001,0))</f>
        <v/>
      </c>
      <c r="L40" s="7">
        <f>IF($T40="","",K40*J40)</f>
        <v/>
      </c>
      <c r="M40">
        <f>IF($T40="","",Settings!$C$6)</f>
        <v/>
      </c>
      <c r="N40" s="7">
        <f>IF($T40="","",SUMIFS('Per Line'!$K$2:$K$1001,'Per Line'!$A$2:$A$1001,$B40,'Per Line'!$V$2:$V$1001,1))</f>
        <v/>
      </c>
      <c r="O40" s="7">
        <f>IF($T40="","",N40*M40)</f>
        <v/>
      </c>
      <c r="P40" s="7">
        <f>IF($T40="","",O40+L40)</f>
        <v/>
      </c>
      <c r="Q40" s="7">
        <f>IF($T40="","",R40-P40)</f>
        <v/>
      </c>
      <c r="R40" s="7">
        <f>IF($T40="","",K40+N40)</f>
        <v/>
      </c>
      <c r="S40" s="7">
        <f>IF($T40="","",R40-P40-H40)</f>
        <v/>
      </c>
      <c r="T40" s="13">
        <f>IF(ROWS($T$2:$T40)&lt;=MAX('Per Line'!$U$2:$U$1001),MATCH(ROWS($T$2:$T40),'Per Line'!$U$2:$U$1001,0),"")</f>
        <v/>
      </c>
    </row>
    <row r="41">
      <c r="A41" s="12" t="n"/>
      <c r="B41">
        <f>IF($T41="","",INDEX('Per Line'!$A$2:$A$1001,$T41)&amp;"")</f>
        <v/>
      </c>
      <c r="C41" s="12" t="n"/>
      <c r="D41">
        <f>IF($T41="","",INDEX('Per Line'!$B$2:$B$1001,$T41)&amp;"")</f>
        <v/>
      </c>
      <c r="E41">
        <f>IF($T41="","",INDEX('Per Line'!$C$2:$C$1001,$T41)&amp;"")</f>
        <v/>
      </c>
      <c r="F41">
        <f>IF($T41="","",INDEX('Per Line'!$D$2:$D$1001,$T41)&amp;"")</f>
        <v/>
      </c>
      <c r="G41">
        <f>IF($T41="","",INDEX('Per Line'!$E$2:$E$1001,$T41))</f>
        <v/>
      </c>
      <c r="H41" s="7">
        <f>IF($T41="","",G41*R41/100)</f>
        <v/>
      </c>
      <c r="I41" s="11">
        <f>IF($T41="","",INDEX('Per Line'!$Q$2:$Q$1001,$T41))</f>
        <v/>
      </c>
      <c r="J41">
        <f>IF($T41="","",Settings!$C$7)</f>
        <v/>
      </c>
      <c r="K41" s="7">
        <f>IF($T41="","",SUMIFS('Per Line'!$K$2:$K$1001,'Per Line'!$A$2:$A$1001,$B41,'Per Line'!$V$2:$V$1001,0))</f>
        <v/>
      </c>
      <c r="L41" s="7">
        <f>IF($T41="","",K41*J41)</f>
        <v/>
      </c>
      <c r="M41">
        <f>IF($T41="","",Settings!$C$6)</f>
        <v/>
      </c>
      <c r="N41" s="7">
        <f>IF($T41="","",SUMIFS('Per Line'!$K$2:$K$1001,'Per Line'!$A$2:$A$1001,$B41,'Per Line'!$V$2:$V$1001,1))</f>
        <v/>
      </c>
      <c r="O41" s="7">
        <f>IF($T41="","",N41*M41)</f>
        <v/>
      </c>
      <c r="P41" s="7">
        <f>IF($T41="","",O41+L41)</f>
        <v/>
      </c>
      <c r="Q41" s="7">
        <f>IF($T41="","",R41-P41)</f>
        <v/>
      </c>
      <c r="R41" s="7">
        <f>IF($T41="","",K41+N41)</f>
        <v/>
      </c>
      <c r="S41" s="7">
        <f>IF($T41="","",R41-P41-H41)</f>
        <v/>
      </c>
      <c r="T41" s="13">
        <f>IF(ROWS($T$2:$T41)&lt;=MAX('Per Line'!$U$2:$U$1001),MATCH(ROWS($T$2:$T41),'Per Line'!$U$2:$U$1001,0),"")</f>
        <v/>
      </c>
    </row>
    <row r="42">
      <c r="A42" s="12" t="n"/>
      <c r="B42">
        <f>IF($T42="","",INDEX('Per Line'!$A$2:$A$1001,$T42)&amp;"")</f>
        <v/>
      </c>
      <c r="C42" s="12" t="n"/>
      <c r="D42">
        <f>IF($T42="","",INDEX('Per Line'!$B$2:$B$1001,$T42)&amp;"")</f>
        <v/>
      </c>
      <c r="E42">
        <f>IF($T42="","",INDEX('Per Line'!$C$2:$C$1001,$T42)&amp;"")</f>
        <v/>
      </c>
      <c r="F42">
        <f>IF($T42="","",INDEX('Per Line'!$D$2:$D$1001,$T42)&amp;"")</f>
        <v/>
      </c>
      <c r="G42">
        <f>IF($T42="","",INDEX('Per Line'!$E$2:$E$1001,$T42))</f>
        <v/>
      </c>
      <c r="H42" s="7">
        <f>IF($T42="","",G42*R42/100)</f>
        <v/>
      </c>
      <c r="I42" s="11">
        <f>IF($T42="","",INDEX('Per Line'!$Q$2:$Q$1001,$T42))</f>
        <v/>
      </c>
      <c r="J42">
        <f>IF($T42="","",Settings!$C$7)</f>
        <v/>
      </c>
      <c r="K42" s="7">
        <f>IF($T42="","",SUMIFS('Per Line'!$K$2:$K$1001,'Per Line'!$A$2:$A$1001,$B42,'Per Line'!$V$2:$V$1001,0))</f>
        <v/>
      </c>
      <c r="L42" s="7">
        <f>IF($T42="","",K42*J42)</f>
        <v/>
      </c>
      <c r="M42">
        <f>IF($T42="","",Settings!$C$6)</f>
        <v/>
      </c>
      <c r="N42" s="7">
        <f>IF($T42="","",SUMIFS('Per Line'!$K$2:$K$1001,'Per Line'!$A$2:$A$1001,$B42,'Per Line'!$V$2:$V$1001,1))</f>
        <v/>
      </c>
      <c r="O42" s="7">
        <f>IF($T42="","",N42*M42)</f>
        <v/>
      </c>
      <c r="P42" s="7">
        <f>IF($T42="","",O42+L42)</f>
        <v/>
      </c>
      <c r="Q42" s="7">
        <f>IF($T42="","",R42-P42)</f>
        <v/>
      </c>
      <c r="R42" s="7">
        <f>IF($T42="","",K42+N42)</f>
        <v/>
      </c>
      <c r="S42" s="7">
        <f>IF($T42="","",R42-P42-H42)</f>
        <v/>
      </c>
      <c r="T42" s="13">
        <f>IF(ROWS($T$2:$T42)&lt;=MAX('Per Line'!$U$2:$U$1001),MATCH(ROWS($T$2:$T42),'Per Line'!$U$2:$U$1001,0),"")</f>
        <v/>
      </c>
    </row>
    <row r="43">
      <c r="A43" s="12" t="n"/>
      <c r="B43">
        <f>IF($T43="","",INDEX('Per Line'!$A$2:$A$1001,$T43)&amp;"")</f>
        <v/>
      </c>
      <c r="C43" s="12" t="n"/>
      <c r="D43">
        <f>IF($T43="","",INDEX('Per Line'!$B$2:$B$1001,$T43)&amp;"")</f>
        <v/>
      </c>
      <c r="E43">
        <f>IF($T43="","",INDEX('Per Line'!$C$2:$C$1001,$T43)&amp;"")</f>
        <v/>
      </c>
      <c r="F43">
        <f>IF($T43="","",INDEX('Per Line'!$D$2:$D$1001,$T43)&amp;"")</f>
        <v/>
      </c>
      <c r="G43">
        <f>IF($T43="","",INDEX('Per Line'!$E$2:$E$1001,$T43))</f>
        <v/>
      </c>
      <c r="H43" s="7">
        <f>IF($T43="","",G43*R43/100)</f>
        <v/>
      </c>
      <c r="I43" s="11">
        <f>IF($T43="","",INDEX('Per Line'!$Q$2:$Q$1001,$T43))</f>
        <v/>
      </c>
      <c r="J43">
        <f>IF($T43="","",Settings!$C$7)</f>
        <v/>
      </c>
      <c r="K43" s="7">
        <f>IF($T43="","",SUMIFS('Per Line'!$K$2:$K$1001,'Per Line'!$A$2:$A$1001,$B43,'Per Line'!$V$2:$V$1001,0))</f>
        <v/>
      </c>
      <c r="L43" s="7">
        <f>IF($T43="","",K43*J43)</f>
        <v/>
      </c>
      <c r="M43">
        <f>IF($T43="","",Settings!$C$6)</f>
        <v/>
      </c>
      <c r="N43" s="7">
        <f>IF($T43="","",SUMIFS('Per Line'!$K$2:$K$1001,'Per Line'!$A$2:$A$1001,$B43,'Per Line'!$V$2:$V$1001,1))</f>
        <v/>
      </c>
      <c r="O43" s="7">
        <f>IF($T43="","",N43*M43)</f>
        <v/>
      </c>
      <c r="P43" s="7">
        <f>IF($T43="","",O43+L43)</f>
        <v/>
      </c>
      <c r="Q43" s="7">
        <f>IF($T43="","",R43-P43)</f>
        <v/>
      </c>
      <c r="R43" s="7">
        <f>IF($T43="","",K43+N43)</f>
        <v/>
      </c>
      <c r="S43" s="7">
        <f>IF($T43="","",R43-P43-H43)</f>
        <v/>
      </c>
      <c r="T43" s="13">
        <f>IF(ROWS($T$2:$T43)&lt;=MAX('Per Line'!$U$2:$U$1001),MATCH(ROWS($T$2:$T43),'Per Line'!$U$2:$U$1001,0),"")</f>
        <v/>
      </c>
    </row>
    <row r="44">
      <c r="A44" s="12" t="n"/>
      <c r="B44">
        <f>IF($T44="","",INDEX('Per Line'!$A$2:$A$1001,$T44)&amp;"")</f>
        <v/>
      </c>
      <c r="C44" s="12" t="n"/>
      <c r="D44">
        <f>IF($T44="","",INDEX('Per Line'!$B$2:$B$1001,$T44)&amp;"")</f>
        <v/>
      </c>
      <c r="E44">
        <f>IF($T44="","",INDEX('Per Line'!$C$2:$C$1001,$T44)&amp;"")</f>
        <v/>
      </c>
      <c r="F44">
        <f>IF($T44="","",INDEX('Per Line'!$D$2:$D$1001,$T44)&amp;"")</f>
        <v/>
      </c>
      <c r="G44">
        <f>IF($T44="","",INDEX('Per Line'!$E$2:$E$1001,$T44))</f>
        <v/>
      </c>
      <c r="H44" s="7">
        <f>IF($T44="","",G44*R44/100)</f>
        <v/>
      </c>
      <c r="I44" s="11">
        <f>IF($T44="","",INDEX('Per Line'!$Q$2:$Q$1001,$T44))</f>
        <v/>
      </c>
      <c r="J44">
        <f>IF($T44="","",Settings!$C$7)</f>
        <v/>
      </c>
      <c r="K44" s="7">
        <f>IF($T44="","",SUMIFS('Per Line'!$K$2:$K$1001,'Per Line'!$A$2:$A$1001,$B44,'Per Line'!$V$2:$V$1001,0))</f>
        <v/>
      </c>
      <c r="L44" s="7">
        <f>IF($T44="","",K44*J44)</f>
        <v/>
      </c>
      <c r="M44">
        <f>IF($T44="","",Settings!$C$6)</f>
        <v/>
      </c>
      <c r="N44" s="7">
        <f>IF($T44="","",SUMIFS('Per Line'!$K$2:$K$1001,'Per Line'!$A$2:$A$1001,$B44,'Per Line'!$V$2:$V$1001,1))</f>
        <v/>
      </c>
      <c r="O44" s="7">
        <f>IF($T44="","",N44*M44)</f>
        <v/>
      </c>
      <c r="P44" s="7">
        <f>IF($T44="","",O44+L44)</f>
        <v/>
      </c>
      <c r="Q44" s="7">
        <f>IF($T44="","",R44-P44)</f>
        <v/>
      </c>
      <c r="R44" s="7">
        <f>IF($T44="","",K44+N44)</f>
        <v/>
      </c>
      <c r="S44" s="7">
        <f>IF($T44="","",R44-P44-H44)</f>
        <v/>
      </c>
      <c r="T44" s="13">
        <f>IF(ROWS($T$2:$T44)&lt;=MAX('Per Line'!$U$2:$U$1001),MATCH(ROWS($T$2:$T44),'Per Line'!$U$2:$U$1001,0),"")</f>
        <v/>
      </c>
    </row>
    <row r="45">
      <c r="A45" s="12" t="n"/>
      <c r="B45">
        <f>IF($T45="","",INDEX('Per Line'!$A$2:$A$1001,$T45)&amp;"")</f>
        <v/>
      </c>
      <c r="C45" s="12" t="n"/>
      <c r="D45">
        <f>IF($T45="","",INDEX('Per Line'!$B$2:$B$1001,$T45)&amp;"")</f>
        <v/>
      </c>
      <c r="E45">
        <f>IF($T45="","",INDEX('Per Line'!$C$2:$C$1001,$T45)&amp;"")</f>
        <v/>
      </c>
      <c r="F45">
        <f>IF($T45="","",INDEX('Per Line'!$D$2:$D$1001,$T45)&amp;"")</f>
        <v/>
      </c>
      <c r="G45">
        <f>IF($T45="","",INDEX('Per Line'!$E$2:$E$1001,$T45))</f>
        <v/>
      </c>
      <c r="H45" s="7">
        <f>IF($T45="","",G45*R45/100)</f>
        <v/>
      </c>
      <c r="I45" s="11">
        <f>IF($T45="","",INDEX('Per Line'!$Q$2:$Q$1001,$T45))</f>
        <v/>
      </c>
      <c r="J45">
        <f>IF($T45="","",Settings!$C$7)</f>
        <v/>
      </c>
      <c r="K45" s="7">
        <f>IF($T45="","",SUMIFS('Per Line'!$K$2:$K$1001,'Per Line'!$A$2:$A$1001,$B45,'Per Line'!$V$2:$V$1001,0))</f>
        <v/>
      </c>
      <c r="L45" s="7">
        <f>IF($T45="","",K45*J45)</f>
        <v/>
      </c>
      <c r="M45">
        <f>IF($T45="","",Settings!$C$6)</f>
        <v/>
      </c>
      <c r="N45" s="7">
        <f>IF($T45="","",SUMIFS('Per Line'!$K$2:$K$1001,'Per Line'!$A$2:$A$1001,$B45,'Per Line'!$V$2:$V$1001,1))</f>
        <v/>
      </c>
      <c r="O45" s="7">
        <f>IF($T45="","",N45*M45)</f>
        <v/>
      </c>
      <c r="P45" s="7">
        <f>IF($T45="","",O45+L45)</f>
        <v/>
      </c>
      <c r="Q45" s="7">
        <f>IF($T45="","",R45-P45)</f>
        <v/>
      </c>
      <c r="R45" s="7">
        <f>IF($T45="","",K45+N45)</f>
        <v/>
      </c>
      <c r="S45" s="7">
        <f>IF($T45="","",R45-P45-H45)</f>
        <v/>
      </c>
      <c r="T45" s="13">
        <f>IF(ROWS($T$2:$T45)&lt;=MAX('Per Line'!$U$2:$U$1001),MATCH(ROWS($T$2:$T45),'Per Line'!$U$2:$U$1001,0),"")</f>
        <v/>
      </c>
    </row>
    <row r="46">
      <c r="A46" s="12" t="n"/>
      <c r="B46">
        <f>IF($T46="","",INDEX('Per Line'!$A$2:$A$1001,$T46)&amp;"")</f>
        <v/>
      </c>
      <c r="C46" s="12" t="n"/>
      <c r="D46">
        <f>IF($T46="","",INDEX('Per Line'!$B$2:$B$1001,$T46)&amp;"")</f>
        <v/>
      </c>
      <c r="E46">
        <f>IF($T46="","",INDEX('Per Line'!$C$2:$C$1001,$T46)&amp;"")</f>
        <v/>
      </c>
      <c r="F46">
        <f>IF($T46="","",INDEX('Per Line'!$D$2:$D$1001,$T46)&amp;"")</f>
        <v/>
      </c>
      <c r="G46">
        <f>IF($T46="","",INDEX('Per Line'!$E$2:$E$1001,$T46))</f>
        <v/>
      </c>
      <c r="H46" s="7">
        <f>IF($T46="","",G46*R46/100)</f>
        <v/>
      </c>
      <c r="I46" s="11">
        <f>IF($T46="","",INDEX('Per Line'!$Q$2:$Q$1001,$T46))</f>
        <v/>
      </c>
      <c r="J46">
        <f>IF($T46="","",Settings!$C$7)</f>
        <v/>
      </c>
      <c r="K46" s="7">
        <f>IF($T46="","",SUMIFS('Per Line'!$K$2:$K$1001,'Per Line'!$A$2:$A$1001,$B46,'Per Line'!$V$2:$V$1001,0))</f>
        <v/>
      </c>
      <c r="L46" s="7">
        <f>IF($T46="","",K46*J46)</f>
        <v/>
      </c>
      <c r="M46">
        <f>IF($T46="","",Settings!$C$6)</f>
        <v/>
      </c>
      <c r="N46" s="7">
        <f>IF($T46="","",SUMIFS('Per Line'!$K$2:$K$1001,'Per Line'!$A$2:$A$1001,$B46,'Per Line'!$V$2:$V$1001,1))</f>
        <v/>
      </c>
      <c r="O46" s="7">
        <f>IF($T46="","",N46*M46)</f>
        <v/>
      </c>
      <c r="P46" s="7">
        <f>IF($T46="","",O46+L46)</f>
        <v/>
      </c>
      <c r="Q46" s="7">
        <f>IF($T46="","",R46-P46)</f>
        <v/>
      </c>
      <c r="R46" s="7">
        <f>IF($T46="","",K46+N46)</f>
        <v/>
      </c>
      <c r="S46" s="7">
        <f>IF($T46="","",R46-P46-H46)</f>
        <v/>
      </c>
      <c r="T46" s="13">
        <f>IF(ROWS($T$2:$T46)&lt;=MAX('Per Line'!$U$2:$U$1001),MATCH(ROWS($T$2:$T46),'Per Line'!$U$2:$U$1001,0),"")</f>
        <v/>
      </c>
    </row>
    <row r="47">
      <c r="A47" s="12" t="n"/>
      <c r="B47">
        <f>IF($T47="","",INDEX('Per Line'!$A$2:$A$1001,$T47)&amp;"")</f>
        <v/>
      </c>
      <c r="C47" s="12" t="n"/>
      <c r="D47">
        <f>IF($T47="","",INDEX('Per Line'!$B$2:$B$1001,$T47)&amp;"")</f>
        <v/>
      </c>
      <c r="E47">
        <f>IF($T47="","",INDEX('Per Line'!$C$2:$C$1001,$T47)&amp;"")</f>
        <v/>
      </c>
      <c r="F47">
        <f>IF($T47="","",INDEX('Per Line'!$D$2:$D$1001,$T47)&amp;"")</f>
        <v/>
      </c>
      <c r="G47">
        <f>IF($T47="","",INDEX('Per Line'!$E$2:$E$1001,$T47))</f>
        <v/>
      </c>
      <c r="H47" s="7">
        <f>IF($T47="","",G47*R47/100)</f>
        <v/>
      </c>
      <c r="I47" s="11">
        <f>IF($T47="","",INDEX('Per Line'!$Q$2:$Q$1001,$T47))</f>
        <v/>
      </c>
      <c r="J47">
        <f>IF($T47="","",Settings!$C$7)</f>
        <v/>
      </c>
      <c r="K47" s="7">
        <f>IF($T47="","",SUMIFS('Per Line'!$K$2:$K$1001,'Per Line'!$A$2:$A$1001,$B47,'Per Line'!$V$2:$V$1001,0))</f>
        <v/>
      </c>
      <c r="L47" s="7">
        <f>IF($T47="","",K47*J47)</f>
        <v/>
      </c>
      <c r="M47">
        <f>IF($T47="","",Settings!$C$6)</f>
        <v/>
      </c>
      <c r="N47" s="7">
        <f>IF($T47="","",SUMIFS('Per Line'!$K$2:$K$1001,'Per Line'!$A$2:$A$1001,$B47,'Per Line'!$V$2:$V$1001,1))</f>
        <v/>
      </c>
      <c r="O47" s="7">
        <f>IF($T47="","",N47*M47)</f>
        <v/>
      </c>
      <c r="P47" s="7">
        <f>IF($T47="","",O47+L47)</f>
        <v/>
      </c>
      <c r="Q47" s="7">
        <f>IF($T47="","",R47-P47)</f>
        <v/>
      </c>
      <c r="R47" s="7">
        <f>IF($T47="","",K47+N47)</f>
        <v/>
      </c>
      <c r="S47" s="7">
        <f>IF($T47="","",R47-P47-H47)</f>
        <v/>
      </c>
      <c r="T47" s="13">
        <f>IF(ROWS($T$2:$T47)&lt;=MAX('Per Line'!$U$2:$U$1001),MATCH(ROWS($T$2:$T47),'Per Line'!$U$2:$U$1001,0),"")</f>
        <v/>
      </c>
    </row>
    <row r="48">
      <c r="A48" s="12" t="n"/>
      <c r="B48">
        <f>IF($T48="","",INDEX('Per Line'!$A$2:$A$1001,$T48)&amp;"")</f>
        <v/>
      </c>
      <c r="C48" s="12" t="n"/>
      <c r="D48">
        <f>IF($T48="","",INDEX('Per Line'!$B$2:$B$1001,$T48)&amp;"")</f>
        <v/>
      </c>
      <c r="E48">
        <f>IF($T48="","",INDEX('Per Line'!$C$2:$C$1001,$T48)&amp;"")</f>
        <v/>
      </c>
      <c r="F48">
        <f>IF($T48="","",INDEX('Per Line'!$D$2:$D$1001,$T48)&amp;"")</f>
        <v/>
      </c>
      <c r="G48">
        <f>IF($T48="","",INDEX('Per Line'!$E$2:$E$1001,$T48))</f>
        <v/>
      </c>
      <c r="H48" s="7">
        <f>IF($T48="","",G48*R48/100)</f>
        <v/>
      </c>
      <c r="I48" s="11">
        <f>IF($T48="","",INDEX('Per Line'!$Q$2:$Q$1001,$T48))</f>
        <v/>
      </c>
      <c r="J48">
        <f>IF($T48="","",Settings!$C$7)</f>
        <v/>
      </c>
      <c r="K48" s="7">
        <f>IF($T48="","",SUMIFS('Per Line'!$K$2:$K$1001,'Per Line'!$A$2:$A$1001,$B48,'Per Line'!$V$2:$V$1001,0))</f>
        <v/>
      </c>
      <c r="L48" s="7">
        <f>IF($T48="","",K48*J48)</f>
        <v/>
      </c>
      <c r="M48">
        <f>IF($T48="","",Settings!$C$6)</f>
        <v/>
      </c>
      <c r="N48" s="7">
        <f>IF($T48="","",SUMIFS('Per Line'!$K$2:$K$1001,'Per Line'!$A$2:$A$1001,$B48,'Per Line'!$V$2:$V$1001,1))</f>
        <v/>
      </c>
      <c r="O48" s="7">
        <f>IF($T48="","",N48*M48)</f>
        <v/>
      </c>
      <c r="P48" s="7">
        <f>IF($T48="","",O48+L48)</f>
        <v/>
      </c>
      <c r="Q48" s="7">
        <f>IF($T48="","",R48-P48)</f>
        <v/>
      </c>
      <c r="R48" s="7">
        <f>IF($T48="","",K48+N48)</f>
        <v/>
      </c>
      <c r="S48" s="7">
        <f>IF($T48="","",R48-P48-H48)</f>
        <v/>
      </c>
      <c r="T48" s="13">
        <f>IF(ROWS($T$2:$T48)&lt;=MAX('Per Line'!$U$2:$U$1001),MATCH(ROWS($T$2:$T48),'Per Line'!$U$2:$U$1001,0),"")</f>
        <v/>
      </c>
    </row>
    <row r="49">
      <c r="A49" s="12" t="n"/>
      <c r="B49">
        <f>IF($T49="","",INDEX('Per Line'!$A$2:$A$1001,$T49)&amp;"")</f>
        <v/>
      </c>
      <c r="C49" s="12" t="n"/>
      <c r="D49">
        <f>IF($T49="","",INDEX('Per Line'!$B$2:$B$1001,$T49)&amp;"")</f>
        <v/>
      </c>
      <c r="E49">
        <f>IF($T49="","",INDEX('Per Line'!$C$2:$C$1001,$T49)&amp;"")</f>
        <v/>
      </c>
      <c r="F49">
        <f>IF($T49="","",INDEX('Per Line'!$D$2:$D$1001,$T49)&amp;"")</f>
        <v/>
      </c>
      <c r="G49">
        <f>IF($T49="","",INDEX('Per Line'!$E$2:$E$1001,$T49))</f>
        <v/>
      </c>
      <c r="H49" s="7">
        <f>IF($T49="","",G49*R49/100)</f>
        <v/>
      </c>
      <c r="I49" s="11">
        <f>IF($T49="","",INDEX('Per Line'!$Q$2:$Q$1001,$T49))</f>
        <v/>
      </c>
      <c r="J49">
        <f>IF($T49="","",Settings!$C$7)</f>
        <v/>
      </c>
      <c r="K49" s="7">
        <f>IF($T49="","",SUMIFS('Per Line'!$K$2:$K$1001,'Per Line'!$A$2:$A$1001,$B49,'Per Line'!$V$2:$V$1001,0))</f>
        <v/>
      </c>
      <c r="L49" s="7">
        <f>IF($T49="","",K49*J49)</f>
        <v/>
      </c>
      <c r="M49">
        <f>IF($T49="","",Settings!$C$6)</f>
        <v/>
      </c>
      <c r="N49" s="7">
        <f>IF($T49="","",SUMIFS('Per Line'!$K$2:$K$1001,'Per Line'!$A$2:$A$1001,$B49,'Per Line'!$V$2:$V$1001,1))</f>
        <v/>
      </c>
      <c r="O49" s="7">
        <f>IF($T49="","",N49*M49)</f>
        <v/>
      </c>
      <c r="P49" s="7">
        <f>IF($T49="","",O49+L49)</f>
        <v/>
      </c>
      <c r="Q49" s="7">
        <f>IF($T49="","",R49-P49)</f>
        <v/>
      </c>
      <c r="R49" s="7">
        <f>IF($T49="","",K49+N49)</f>
        <v/>
      </c>
      <c r="S49" s="7">
        <f>IF($T49="","",R49-P49-H49)</f>
        <v/>
      </c>
      <c r="T49" s="13">
        <f>IF(ROWS($T$2:$T49)&lt;=MAX('Per Line'!$U$2:$U$1001),MATCH(ROWS($T$2:$T49),'Per Line'!$U$2:$U$1001,0),"")</f>
        <v/>
      </c>
    </row>
    <row r="50">
      <c r="A50" s="12" t="n"/>
      <c r="B50">
        <f>IF($T50="","",INDEX('Per Line'!$A$2:$A$1001,$T50)&amp;"")</f>
        <v/>
      </c>
      <c r="C50" s="12" t="n"/>
      <c r="D50">
        <f>IF($T50="","",INDEX('Per Line'!$B$2:$B$1001,$T50)&amp;"")</f>
        <v/>
      </c>
      <c r="E50">
        <f>IF($T50="","",INDEX('Per Line'!$C$2:$C$1001,$T50)&amp;"")</f>
        <v/>
      </c>
      <c r="F50">
        <f>IF($T50="","",INDEX('Per Line'!$D$2:$D$1001,$T50)&amp;"")</f>
        <v/>
      </c>
      <c r="G50">
        <f>IF($T50="","",INDEX('Per Line'!$E$2:$E$1001,$T50))</f>
        <v/>
      </c>
      <c r="H50" s="7">
        <f>IF($T50="","",G50*R50/100)</f>
        <v/>
      </c>
      <c r="I50" s="11">
        <f>IF($T50="","",INDEX('Per Line'!$Q$2:$Q$1001,$T50))</f>
        <v/>
      </c>
      <c r="J50">
        <f>IF($T50="","",Settings!$C$7)</f>
        <v/>
      </c>
      <c r="K50" s="7">
        <f>IF($T50="","",SUMIFS('Per Line'!$K$2:$K$1001,'Per Line'!$A$2:$A$1001,$B50,'Per Line'!$V$2:$V$1001,0))</f>
        <v/>
      </c>
      <c r="L50" s="7">
        <f>IF($T50="","",K50*J50)</f>
        <v/>
      </c>
      <c r="M50">
        <f>IF($T50="","",Settings!$C$6)</f>
        <v/>
      </c>
      <c r="N50" s="7">
        <f>IF($T50="","",SUMIFS('Per Line'!$K$2:$K$1001,'Per Line'!$A$2:$A$1001,$B50,'Per Line'!$V$2:$V$1001,1))</f>
        <v/>
      </c>
      <c r="O50" s="7">
        <f>IF($T50="","",N50*M50)</f>
        <v/>
      </c>
      <c r="P50" s="7">
        <f>IF($T50="","",O50+L50)</f>
        <v/>
      </c>
      <c r="Q50" s="7">
        <f>IF($T50="","",R50-P50)</f>
        <v/>
      </c>
      <c r="R50" s="7">
        <f>IF($T50="","",K50+N50)</f>
        <v/>
      </c>
      <c r="S50" s="7">
        <f>IF($T50="","",R50-P50-H50)</f>
        <v/>
      </c>
      <c r="T50" s="13">
        <f>IF(ROWS($T$2:$T50)&lt;=MAX('Per Line'!$U$2:$U$1001),MATCH(ROWS($T$2:$T50),'Per Line'!$U$2:$U$1001,0),"")</f>
        <v/>
      </c>
    </row>
    <row r="51">
      <c r="A51" s="12" t="n"/>
      <c r="B51">
        <f>IF($T51="","",INDEX('Per Line'!$A$2:$A$1001,$T51)&amp;"")</f>
        <v/>
      </c>
      <c r="C51" s="12" t="n"/>
      <c r="D51">
        <f>IF($T51="","",INDEX('Per Line'!$B$2:$B$1001,$T51)&amp;"")</f>
        <v/>
      </c>
      <c r="E51">
        <f>IF($T51="","",INDEX('Per Line'!$C$2:$C$1001,$T51)&amp;"")</f>
        <v/>
      </c>
      <c r="F51">
        <f>IF($T51="","",INDEX('Per Line'!$D$2:$D$1001,$T51)&amp;"")</f>
        <v/>
      </c>
      <c r="G51">
        <f>IF($T51="","",INDEX('Per Line'!$E$2:$E$1001,$T51))</f>
        <v/>
      </c>
      <c r="H51" s="7">
        <f>IF($T51="","",G51*R51/100)</f>
        <v/>
      </c>
      <c r="I51" s="11">
        <f>IF($T51="","",INDEX('Per Line'!$Q$2:$Q$1001,$T51))</f>
        <v/>
      </c>
      <c r="J51">
        <f>IF($T51="","",Settings!$C$7)</f>
        <v/>
      </c>
      <c r="K51" s="7">
        <f>IF($T51="","",SUMIFS('Per Line'!$K$2:$K$1001,'Per Line'!$A$2:$A$1001,$B51,'Per Line'!$V$2:$V$1001,0))</f>
        <v/>
      </c>
      <c r="L51" s="7">
        <f>IF($T51="","",K51*J51)</f>
        <v/>
      </c>
      <c r="M51">
        <f>IF($T51="","",Settings!$C$6)</f>
        <v/>
      </c>
      <c r="N51" s="7">
        <f>IF($T51="","",SUMIFS('Per Line'!$K$2:$K$1001,'Per Line'!$A$2:$A$1001,$B51,'Per Line'!$V$2:$V$1001,1))</f>
        <v/>
      </c>
      <c r="O51" s="7">
        <f>IF($T51="","",N51*M51)</f>
        <v/>
      </c>
      <c r="P51" s="7">
        <f>IF($T51="","",O51+L51)</f>
        <v/>
      </c>
      <c r="Q51" s="7">
        <f>IF($T51="","",R51-P51)</f>
        <v/>
      </c>
      <c r="R51" s="7">
        <f>IF($T51="","",K51+N51)</f>
        <v/>
      </c>
      <c r="S51" s="7">
        <f>IF($T51="","",R51-P51-H51)</f>
        <v/>
      </c>
      <c r="T51" s="13">
        <f>IF(ROWS($T$2:$T51)&lt;=MAX('Per Line'!$U$2:$U$1001),MATCH(ROWS($T$2:$T51),'Per Line'!$U$2:$U$1001,0),"")</f>
        <v/>
      </c>
    </row>
    <row r="52">
      <c r="A52" s="12" t="n"/>
      <c r="B52">
        <f>IF($T52="","",INDEX('Per Line'!$A$2:$A$1001,$T52)&amp;"")</f>
        <v/>
      </c>
      <c r="C52" s="12" t="n"/>
      <c r="D52">
        <f>IF($T52="","",INDEX('Per Line'!$B$2:$B$1001,$T52)&amp;"")</f>
        <v/>
      </c>
      <c r="E52">
        <f>IF($T52="","",INDEX('Per Line'!$C$2:$C$1001,$T52)&amp;"")</f>
        <v/>
      </c>
      <c r="F52">
        <f>IF($T52="","",INDEX('Per Line'!$D$2:$D$1001,$T52)&amp;"")</f>
        <v/>
      </c>
      <c r="G52">
        <f>IF($T52="","",INDEX('Per Line'!$E$2:$E$1001,$T52))</f>
        <v/>
      </c>
      <c r="H52" s="7">
        <f>IF($T52="","",G52*R52/100)</f>
        <v/>
      </c>
      <c r="I52" s="11">
        <f>IF($T52="","",INDEX('Per Line'!$Q$2:$Q$1001,$T52))</f>
        <v/>
      </c>
      <c r="J52">
        <f>IF($T52="","",Settings!$C$7)</f>
        <v/>
      </c>
      <c r="K52" s="7">
        <f>IF($T52="","",SUMIFS('Per Line'!$K$2:$K$1001,'Per Line'!$A$2:$A$1001,$B52,'Per Line'!$V$2:$V$1001,0))</f>
        <v/>
      </c>
      <c r="L52" s="7">
        <f>IF($T52="","",K52*J52)</f>
        <v/>
      </c>
      <c r="M52">
        <f>IF($T52="","",Settings!$C$6)</f>
        <v/>
      </c>
      <c r="N52" s="7">
        <f>IF($T52="","",SUMIFS('Per Line'!$K$2:$K$1001,'Per Line'!$A$2:$A$1001,$B52,'Per Line'!$V$2:$V$1001,1))</f>
        <v/>
      </c>
      <c r="O52" s="7">
        <f>IF($T52="","",N52*M52)</f>
        <v/>
      </c>
      <c r="P52" s="7">
        <f>IF($T52="","",O52+L52)</f>
        <v/>
      </c>
      <c r="Q52" s="7">
        <f>IF($T52="","",R52-P52)</f>
        <v/>
      </c>
      <c r="R52" s="7">
        <f>IF($T52="","",K52+N52)</f>
        <v/>
      </c>
      <c r="S52" s="7">
        <f>IF($T52="","",R52-P52-H52)</f>
        <v/>
      </c>
      <c r="T52" s="13">
        <f>IF(ROWS($T$2:$T52)&lt;=MAX('Per Line'!$U$2:$U$1001),MATCH(ROWS($T$2:$T52),'Per Line'!$U$2:$U$1001,0),"")</f>
        <v/>
      </c>
    </row>
    <row r="53">
      <c r="A53" s="12" t="n"/>
      <c r="B53">
        <f>IF($T53="","",INDEX('Per Line'!$A$2:$A$1001,$T53)&amp;"")</f>
        <v/>
      </c>
      <c r="C53" s="12" t="n"/>
      <c r="D53">
        <f>IF($T53="","",INDEX('Per Line'!$B$2:$B$1001,$T53)&amp;"")</f>
        <v/>
      </c>
      <c r="E53">
        <f>IF($T53="","",INDEX('Per Line'!$C$2:$C$1001,$T53)&amp;"")</f>
        <v/>
      </c>
      <c r="F53">
        <f>IF($T53="","",INDEX('Per Line'!$D$2:$D$1001,$T53)&amp;"")</f>
        <v/>
      </c>
      <c r="G53">
        <f>IF($T53="","",INDEX('Per Line'!$E$2:$E$1001,$T53))</f>
        <v/>
      </c>
      <c r="H53" s="7">
        <f>IF($T53="","",G53*R53/100)</f>
        <v/>
      </c>
      <c r="I53" s="11">
        <f>IF($T53="","",INDEX('Per Line'!$Q$2:$Q$1001,$T53))</f>
        <v/>
      </c>
      <c r="J53">
        <f>IF($T53="","",Settings!$C$7)</f>
        <v/>
      </c>
      <c r="K53" s="7">
        <f>IF($T53="","",SUMIFS('Per Line'!$K$2:$K$1001,'Per Line'!$A$2:$A$1001,$B53,'Per Line'!$V$2:$V$1001,0))</f>
        <v/>
      </c>
      <c r="L53" s="7">
        <f>IF($T53="","",K53*J53)</f>
        <v/>
      </c>
      <c r="M53">
        <f>IF($T53="","",Settings!$C$6)</f>
        <v/>
      </c>
      <c r="N53" s="7">
        <f>IF($T53="","",SUMIFS('Per Line'!$K$2:$K$1001,'Per Line'!$A$2:$A$1001,$B53,'Per Line'!$V$2:$V$1001,1))</f>
        <v/>
      </c>
      <c r="O53" s="7">
        <f>IF($T53="","",N53*M53)</f>
        <v/>
      </c>
      <c r="P53" s="7">
        <f>IF($T53="","",O53+L53)</f>
        <v/>
      </c>
      <c r="Q53" s="7">
        <f>IF($T53="","",R53-P53)</f>
        <v/>
      </c>
      <c r="R53" s="7">
        <f>IF($T53="","",K53+N53)</f>
        <v/>
      </c>
      <c r="S53" s="7">
        <f>IF($T53="","",R53-P53-H53)</f>
        <v/>
      </c>
      <c r="T53" s="13">
        <f>IF(ROWS($T$2:$T53)&lt;=MAX('Per Line'!$U$2:$U$1001),MATCH(ROWS($T$2:$T53),'Per Line'!$U$2:$U$1001,0),"")</f>
        <v/>
      </c>
    </row>
    <row r="54">
      <c r="A54" s="12" t="n"/>
      <c r="B54">
        <f>IF($T54="","",INDEX('Per Line'!$A$2:$A$1001,$T54)&amp;"")</f>
        <v/>
      </c>
      <c r="C54" s="12" t="n"/>
      <c r="D54">
        <f>IF($T54="","",INDEX('Per Line'!$B$2:$B$1001,$T54)&amp;"")</f>
        <v/>
      </c>
      <c r="E54">
        <f>IF($T54="","",INDEX('Per Line'!$C$2:$C$1001,$T54)&amp;"")</f>
        <v/>
      </c>
      <c r="F54">
        <f>IF($T54="","",INDEX('Per Line'!$D$2:$D$1001,$T54)&amp;"")</f>
        <v/>
      </c>
      <c r="G54">
        <f>IF($T54="","",INDEX('Per Line'!$E$2:$E$1001,$T54))</f>
        <v/>
      </c>
      <c r="H54" s="7">
        <f>IF($T54="","",G54*R54/100)</f>
        <v/>
      </c>
      <c r="I54" s="11">
        <f>IF($T54="","",INDEX('Per Line'!$Q$2:$Q$1001,$T54))</f>
        <v/>
      </c>
      <c r="J54">
        <f>IF($T54="","",Settings!$C$7)</f>
        <v/>
      </c>
      <c r="K54" s="7">
        <f>IF($T54="","",SUMIFS('Per Line'!$K$2:$K$1001,'Per Line'!$A$2:$A$1001,$B54,'Per Line'!$V$2:$V$1001,0))</f>
        <v/>
      </c>
      <c r="L54" s="7">
        <f>IF($T54="","",K54*J54)</f>
        <v/>
      </c>
      <c r="M54">
        <f>IF($T54="","",Settings!$C$6)</f>
        <v/>
      </c>
      <c r="N54" s="7">
        <f>IF($T54="","",SUMIFS('Per Line'!$K$2:$K$1001,'Per Line'!$A$2:$A$1001,$B54,'Per Line'!$V$2:$V$1001,1))</f>
        <v/>
      </c>
      <c r="O54" s="7">
        <f>IF($T54="","",N54*M54)</f>
        <v/>
      </c>
      <c r="P54" s="7">
        <f>IF($T54="","",O54+L54)</f>
        <v/>
      </c>
      <c r="Q54" s="7">
        <f>IF($T54="","",R54-P54)</f>
        <v/>
      </c>
      <c r="R54" s="7">
        <f>IF($T54="","",K54+N54)</f>
        <v/>
      </c>
      <c r="S54" s="7">
        <f>IF($T54="","",R54-P54-H54)</f>
        <v/>
      </c>
      <c r="T54" s="13">
        <f>IF(ROWS($T$2:$T54)&lt;=MAX('Per Line'!$U$2:$U$1001),MATCH(ROWS($T$2:$T54),'Per Line'!$U$2:$U$1001,0),"")</f>
        <v/>
      </c>
    </row>
    <row r="55">
      <c r="A55" s="12" t="n"/>
      <c r="B55">
        <f>IF($T55="","",INDEX('Per Line'!$A$2:$A$1001,$T55)&amp;"")</f>
        <v/>
      </c>
      <c r="C55" s="12" t="n"/>
      <c r="D55">
        <f>IF($T55="","",INDEX('Per Line'!$B$2:$B$1001,$T55)&amp;"")</f>
        <v/>
      </c>
      <c r="E55">
        <f>IF($T55="","",INDEX('Per Line'!$C$2:$C$1001,$T55)&amp;"")</f>
        <v/>
      </c>
      <c r="F55">
        <f>IF($T55="","",INDEX('Per Line'!$D$2:$D$1001,$T55)&amp;"")</f>
        <v/>
      </c>
      <c r="G55">
        <f>IF($T55="","",INDEX('Per Line'!$E$2:$E$1001,$T55))</f>
        <v/>
      </c>
      <c r="H55" s="7">
        <f>IF($T55="","",G55*R55/100)</f>
        <v/>
      </c>
      <c r="I55" s="11">
        <f>IF($T55="","",INDEX('Per Line'!$Q$2:$Q$1001,$T55))</f>
        <v/>
      </c>
      <c r="J55">
        <f>IF($T55="","",Settings!$C$7)</f>
        <v/>
      </c>
      <c r="K55" s="7">
        <f>IF($T55="","",SUMIFS('Per Line'!$K$2:$K$1001,'Per Line'!$A$2:$A$1001,$B55,'Per Line'!$V$2:$V$1001,0))</f>
        <v/>
      </c>
      <c r="L55" s="7">
        <f>IF($T55="","",K55*J55)</f>
        <v/>
      </c>
      <c r="M55">
        <f>IF($T55="","",Settings!$C$6)</f>
        <v/>
      </c>
      <c r="N55" s="7">
        <f>IF($T55="","",SUMIFS('Per Line'!$K$2:$K$1001,'Per Line'!$A$2:$A$1001,$B55,'Per Line'!$V$2:$V$1001,1))</f>
        <v/>
      </c>
      <c r="O55" s="7">
        <f>IF($T55="","",N55*M55)</f>
        <v/>
      </c>
      <c r="P55" s="7">
        <f>IF($T55="","",O55+L55)</f>
        <v/>
      </c>
      <c r="Q55" s="7">
        <f>IF($T55="","",R55-P55)</f>
        <v/>
      </c>
      <c r="R55" s="7">
        <f>IF($T55="","",K55+N55)</f>
        <v/>
      </c>
      <c r="S55" s="7">
        <f>IF($T55="","",R55-P55-H55)</f>
        <v/>
      </c>
      <c r="T55" s="13">
        <f>IF(ROWS($T$2:$T55)&lt;=MAX('Per Line'!$U$2:$U$1001),MATCH(ROWS($T$2:$T55),'Per Line'!$U$2:$U$1001,0),"")</f>
        <v/>
      </c>
    </row>
    <row r="56">
      <c r="A56" s="12" t="n"/>
      <c r="B56">
        <f>IF($T56="","",INDEX('Per Line'!$A$2:$A$1001,$T56)&amp;"")</f>
        <v/>
      </c>
      <c r="C56" s="12" t="n"/>
      <c r="D56">
        <f>IF($T56="","",INDEX('Per Line'!$B$2:$B$1001,$T56)&amp;"")</f>
        <v/>
      </c>
      <c r="E56">
        <f>IF($T56="","",INDEX('Per Line'!$C$2:$C$1001,$T56)&amp;"")</f>
        <v/>
      </c>
      <c r="F56">
        <f>IF($T56="","",INDEX('Per Line'!$D$2:$D$1001,$T56)&amp;"")</f>
        <v/>
      </c>
      <c r="G56">
        <f>IF($T56="","",INDEX('Per Line'!$E$2:$E$1001,$T56))</f>
        <v/>
      </c>
      <c r="H56" s="7">
        <f>IF($T56="","",G56*R56/100)</f>
        <v/>
      </c>
      <c r="I56" s="11">
        <f>IF($T56="","",INDEX('Per Line'!$Q$2:$Q$1001,$T56))</f>
        <v/>
      </c>
      <c r="J56">
        <f>IF($T56="","",Settings!$C$7)</f>
        <v/>
      </c>
      <c r="K56" s="7">
        <f>IF($T56="","",SUMIFS('Per Line'!$K$2:$K$1001,'Per Line'!$A$2:$A$1001,$B56,'Per Line'!$V$2:$V$1001,0))</f>
        <v/>
      </c>
      <c r="L56" s="7">
        <f>IF($T56="","",K56*J56)</f>
        <v/>
      </c>
      <c r="M56">
        <f>IF($T56="","",Settings!$C$6)</f>
        <v/>
      </c>
      <c r="N56" s="7">
        <f>IF($T56="","",SUMIFS('Per Line'!$K$2:$K$1001,'Per Line'!$A$2:$A$1001,$B56,'Per Line'!$V$2:$V$1001,1))</f>
        <v/>
      </c>
      <c r="O56" s="7">
        <f>IF($T56="","",N56*M56)</f>
        <v/>
      </c>
      <c r="P56" s="7">
        <f>IF($T56="","",O56+L56)</f>
        <v/>
      </c>
      <c r="Q56" s="7">
        <f>IF($T56="","",R56-P56)</f>
        <v/>
      </c>
      <c r="R56" s="7">
        <f>IF($T56="","",K56+N56)</f>
        <v/>
      </c>
      <c r="S56" s="7">
        <f>IF($T56="","",R56-P56-H56)</f>
        <v/>
      </c>
      <c r="T56" s="13">
        <f>IF(ROWS($T$2:$T56)&lt;=MAX('Per Line'!$U$2:$U$1001),MATCH(ROWS($T$2:$T56),'Per Line'!$U$2:$U$1001,0),"")</f>
        <v/>
      </c>
    </row>
    <row r="57">
      <c r="A57" s="12" t="n"/>
      <c r="B57">
        <f>IF($T57="","",INDEX('Per Line'!$A$2:$A$1001,$T57)&amp;"")</f>
        <v/>
      </c>
      <c r="C57" s="12" t="n"/>
      <c r="D57">
        <f>IF($T57="","",INDEX('Per Line'!$B$2:$B$1001,$T57)&amp;"")</f>
        <v/>
      </c>
      <c r="E57">
        <f>IF($T57="","",INDEX('Per Line'!$C$2:$C$1001,$T57)&amp;"")</f>
        <v/>
      </c>
      <c r="F57">
        <f>IF($T57="","",INDEX('Per Line'!$D$2:$D$1001,$T57)&amp;"")</f>
        <v/>
      </c>
      <c r="G57">
        <f>IF($T57="","",INDEX('Per Line'!$E$2:$E$1001,$T57))</f>
        <v/>
      </c>
      <c r="H57" s="7">
        <f>IF($T57="","",G57*R57/100)</f>
        <v/>
      </c>
      <c r="I57" s="11">
        <f>IF($T57="","",INDEX('Per Line'!$Q$2:$Q$1001,$T57))</f>
        <v/>
      </c>
      <c r="J57">
        <f>IF($T57="","",Settings!$C$7)</f>
        <v/>
      </c>
      <c r="K57" s="7">
        <f>IF($T57="","",SUMIFS('Per Line'!$K$2:$K$1001,'Per Line'!$A$2:$A$1001,$B57,'Per Line'!$V$2:$V$1001,0))</f>
        <v/>
      </c>
      <c r="L57" s="7">
        <f>IF($T57="","",K57*J57)</f>
        <v/>
      </c>
      <c r="M57">
        <f>IF($T57="","",Settings!$C$6)</f>
        <v/>
      </c>
      <c r="N57" s="7">
        <f>IF($T57="","",SUMIFS('Per Line'!$K$2:$K$1001,'Per Line'!$A$2:$A$1001,$B57,'Per Line'!$V$2:$V$1001,1))</f>
        <v/>
      </c>
      <c r="O57" s="7">
        <f>IF($T57="","",N57*M57)</f>
        <v/>
      </c>
      <c r="P57" s="7">
        <f>IF($T57="","",O57+L57)</f>
        <v/>
      </c>
      <c r="Q57" s="7">
        <f>IF($T57="","",R57-P57)</f>
        <v/>
      </c>
      <c r="R57" s="7">
        <f>IF($T57="","",K57+N57)</f>
        <v/>
      </c>
      <c r="S57" s="7">
        <f>IF($T57="","",R57-P57-H57)</f>
        <v/>
      </c>
      <c r="T57" s="13">
        <f>IF(ROWS($T$2:$T57)&lt;=MAX('Per Line'!$U$2:$U$1001),MATCH(ROWS($T$2:$T57),'Per Line'!$U$2:$U$1001,0),"")</f>
        <v/>
      </c>
    </row>
    <row r="58">
      <c r="A58" s="12" t="n"/>
      <c r="B58">
        <f>IF($T58="","",INDEX('Per Line'!$A$2:$A$1001,$T58)&amp;"")</f>
        <v/>
      </c>
      <c r="C58" s="12" t="n"/>
      <c r="D58">
        <f>IF($T58="","",INDEX('Per Line'!$B$2:$B$1001,$T58)&amp;"")</f>
        <v/>
      </c>
      <c r="E58">
        <f>IF($T58="","",INDEX('Per Line'!$C$2:$C$1001,$T58)&amp;"")</f>
        <v/>
      </c>
      <c r="F58">
        <f>IF($T58="","",INDEX('Per Line'!$D$2:$D$1001,$T58)&amp;"")</f>
        <v/>
      </c>
      <c r="G58">
        <f>IF($T58="","",INDEX('Per Line'!$E$2:$E$1001,$T58))</f>
        <v/>
      </c>
      <c r="H58" s="7">
        <f>IF($T58="","",G58*R58/100)</f>
        <v/>
      </c>
      <c r="I58" s="11">
        <f>IF($T58="","",INDEX('Per Line'!$Q$2:$Q$1001,$T58))</f>
        <v/>
      </c>
      <c r="J58">
        <f>IF($T58="","",Settings!$C$7)</f>
        <v/>
      </c>
      <c r="K58" s="7">
        <f>IF($T58="","",SUMIFS('Per Line'!$K$2:$K$1001,'Per Line'!$A$2:$A$1001,$B58,'Per Line'!$V$2:$V$1001,0))</f>
        <v/>
      </c>
      <c r="L58" s="7">
        <f>IF($T58="","",K58*J58)</f>
        <v/>
      </c>
      <c r="M58">
        <f>IF($T58="","",Settings!$C$6)</f>
        <v/>
      </c>
      <c r="N58" s="7">
        <f>IF($T58="","",SUMIFS('Per Line'!$K$2:$K$1001,'Per Line'!$A$2:$A$1001,$B58,'Per Line'!$V$2:$V$1001,1))</f>
        <v/>
      </c>
      <c r="O58" s="7">
        <f>IF($T58="","",N58*M58)</f>
        <v/>
      </c>
      <c r="P58" s="7">
        <f>IF($T58="","",O58+L58)</f>
        <v/>
      </c>
      <c r="Q58" s="7">
        <f>IF($T58="","",R58-P58)</f>
        <v/>
      </c>
      <c r="R58" s="7">
        <f>IF($T58="","",K58+N58)</f>
        <v/>
      </c>
      <c r="S58" s="7">
        <f>IF($T58="","",R58-P58-H58)</f>
        <v/>
      </c>
      <c r="T58" s="13">
        <f>IF(ROWS($T$2:$T58)&lt;=MAX('Per Line'!$U$2:$U$1001),MATCH(ROWS($T$2:$T58),'Per Line'!$U$2:$U$1001,0),"")</f>
        <v/>
      </c>
    </row>
    <row r="59">
      <c r="A59" s="12" t="n"/>
      <c r="B59">
        <f>IF($T59="","",INDEX('Per Line'!$A$2:$A$1001,$T59)&amp;"")</f>
        <v/>
      </c>
      <c r="C59" s="12" t="n"/>
      <c r="D59">
        <f>IF($T59="","",INDEX('Per Line'!$B$2:$B$1001,$T59)&amp;"")</f>
        <v/>
      </c>
      <c r="E59">
        <f>IF($T59="","",INDEX('Per Line'!$C$2:$C$1001,$T59)&amp;"")</f>
        <v/>
      </c>
      <c r="F59">
        <f>IF($T59="","",INDEX('Per Line'!$D$2:$D$1001,$T59)&amp;"")</f>
        <v/>
      </c>
      <c r="G59">
        <f>IF($T59="","",INDEX('Per Line'!$E$2:$E$1001,$T59))</f>
        <v/>
      </c>
      <c r="H59" s="7">
        <f>IF($T59="","",G59*R59/100)</f>
        <v/>
      </c>
      <c r="I59" s="11">
        <f>IF($T59="","",INDEX('Per Line'!$Q$2:$Q$1001,$T59))</f>
        <v/>
      </c>
      <c r="J59">
        <f>IF($T59="","",Settings!$C$7)</f>
        <v/>
      </c>
      <c r="K59" s="7">
        <f>IF($T59="","",SUMIFS('Per Line'!$K$2:$K$1001,'Per Line'!$A$2:$A$1001,$B59,'Per Line'!$V$2:$V$1001,0))</f>
        <v/>
      </c>
      <c r="L59" s="7">
        <f>IF($T59="","",K59*J59)</f>
        <v/>
      </c>
      <c r="M59">
        <f>IF($T59="","",Settings!$C$6)</f>
        <v/>
      </c>
      <c r="N59" s="7">
        <f>IF($T59="","",SUMIFS('Per Line'!$K$2:$K$1001,'Per Line'!$A$2:$A$1001,$B59,'Per Line'!$V$2:$V$1001,1))</f>
        <v/>
      </c>
      <c r="O59" s="7">
        <f>IF($T59="","",N59*M59)</f>
        <v/>
      </c>
      <c r="P59" s="7">
        <f>IF($T59="","",O59+L59)</f>
        <v/>
      </c>
      <c r="Q59" s="7">
        <f>IF($T59="","",R59-P59)</f>
        <v/>
      </c>
      <c r="R59" s="7">
        <f>IF($T59="","",K59+N59)</f>
        <v/>
      </c>
      <c r="S59" s="7">
        <f>IF($T59="","",R59-P59-H59)</f>
        <v/>
      </c>
      <c r="T59" s="13">
        <f>IF(ROWS($T$2:$T59)&lt;=MAX('Per Line'!$U$2:$U$1001),MATCH(ROWS($T$2:$T59),'Per Line'!$U$2:$U$1001,0),"")</f>
        <v/>
      </c>
    </row>
    <row r="60">
      <c r="A60" s="12" t="n"/>
      <c r="B60">
        <f>IF($T60="","",INDEX('Per Line'!$A$2:$A$1001,$T60)&amp;"")</f>
        <v/>
      </c>
      <c r="C60" s="12" t="n"/>
      <c r="D60">
        <f>IF($T60="","",INDEX('Per Line'!$B$2:$B$1001,$T60)&amp;"")</f>
        <v/>
      </c>
      <c r="E60">
        <f>IF($T60="","",INDEX('Per Line'!$C$2:$C$1001,$T60)&amp;"")</f>
        <v/>
      </c>
      <c r="F60">
        <f>IF($T60="","",INDEX('Per Line'!$D$2:$D$1001,$T60)&amp;"")</f>
        <v/>
      </c>
      <c r="G60">
        <f>IF($T60="","",INDEX('Per Line'!$E$2:$E$1001,$T60))</f>
        <v/>
      </c>
      <c r="H60" s="7">
        <f>IF($T60="","",G60*R60/100)</f>
        <v/>
      </c>
      <c r="I60" s="11">
        <f>IF($T60="","",INDEX('Per Line'!$Q$2:$Q$1001,$T60))</f>
        <v/>
      </c>
      <c r="J60">
        <f>IF($T60="","",Settings!$C$7)</f>
        <v/>
      </c>
      <c r="K60" s="7">
        <f>IF($T60="","",SUMIFS('Per Line'!$K$2:$K$1001,'Per Line'!$A$2:$A$1001,$B60,'Per Line'!$V$2:$V$1001,0))</f>
        <v/>
      </c>
      <c r="L60" s="7">
        <f>IF($T60="","",K60*J60)</f>
        <v/>
      </c>
      <c r="M60">
        <f>IF($T60="","",Settings!$C$6)</f>
        <v/>
      </c>
      <c r="N60" s="7">
        <f>IF($T60="","",SUMIFS('Per Line'!$K$2:$K$1001,'Per Line'!$A$2:$A$1001,$B60,'Per Line'!$V$2:$V$1001,1))</f>
        <v/>
      </c>
      <c r="O60" s="7">
        <f>IF($T60="","",N60*M60)</f>
        <v/>
      </c>
      <c r="P60" s="7">
        <f>IF($T60="","",O60+L60)</f>
        <v/>
      </c>
      <c r="Q60" s="7">
        <f>IF($T60="","",R60-P60)</f>
        <v/>
      </c>
      <c r="R60" s="7">
        <f>IF($T60="","",K60+N60)</f>
        <v/>
      </c>
      <c r="S60" s="7">
        <f>IF($T60="","",R60-P60-H60)</f>
        <v/>
      </c>
      <c r="T60" s="13">
        <f>IF(ROWS($T$2:$T60)&lt;=MAX('Per Line'!$U$2:$U$1001),MATCH(ROWS($T$2:$T60),'Per Line'!$U$2:$U$1001,0),"")</f>
        <v/>
      </c>
    </row>
    <row r="61">
      <c r="A61" s="12" t="n"/>
      <c r="B61">
        <f>IF($T61="","",INDEX('Per Line'!$A$2:$A$1001,$T61)&amp;"")</f>
        <v/>
      </c>
      <c r="C61" s="12" t="n"/>
      <c r="D61">
        <f>IF($T61="","",INDEX('Per Line'!$B$2:$B$1001,$T61)&amp;"")</f>
        <v/>
      </c>
      <c r="E61">
        <f>IF($T61="","",INDEX('Per Line'!$C$2:$C$1001,$T61)&amp;"")</f>
        <v/>
      </c>
      <c r="F61">
        <f>IF($T61="","",INDEX('Per Line'!$D$2:$D$1001,$T61)&amp;"")</f>
        <v/>
      </c>
      <c r="G61">
        <f>IF($T61="","",INDEX('Per Line'!$E$2:$E$1001,$T61))</f>
        <v/>
      </c>
      <c r="H61" s="7">
        <f>IF($T61="","",G61*R61/100)</f>
        <v/>
      </c>
      <c r="I61" s="11">
        <f>IF($T61="","",INDEX('Per Line'!$Q$2:$Q$1001,$T61))</f>
        <v/>
      </c>
      <c r="J61">
        <f>IF($T61="","",Settings!$C$7)</f>
        <v/>
      </c>
      <c r="K61" s="7">
        <f>IF($T61="","",SUMIFS('Per Line'!$K$2:$K$1001,'Per Line'!$A$2:$A$1001,$B61,'Per Line'!$V$2:$V$1001,0))</f>
        <v/>
      </c>
      <c r="L61" s="7">
        <f>IF($T61="","",K61*J61)</f>
        <v/>
      </c>
      <c r="M61">
        <f>IF($T61="","",Settings!$C$6)</f>
        <v/>
      </c>
      <c r="N61" s="7">
        <f>IF($T61="","",SUMIFS('Per Line'!$K$2:$K$1001,'Per Line'!$A$2:$A$1001,$B61,'Per Line'!$V$2:$V$1001,1))</f>
        <v/>
      </c>
      <c r="O61" s="7">
        <f>IF($T61="","",N61*M61)</f>
        <v/>
      </c>
      <c r="P61" s="7">
        <f>IF($T61="","",O61+L61)</f>
        <v/>
      </c>
      <c r="Q61" s="7">
        <f>IF($T61="","",R61-P61)</f>
        <v/>
      </c>
      <c r="R61" s="7">
        <f>IF($T61="","",K61+N61)</f>
        <v/>
      </c>
      <c r="S61" s="7">
        <f>IF($T61="","",R61-P61-H61)</f>
        <v/>
      </c>
      <c r="T61" s="13">
        <f>IF(ROWS($T$2:$T61)&lt;=MAX('Per Line'!$U$2:$U$1001),MATCH(ROWS($T$2:$T61),'Per Line'!$U$2:$U$1001,0),"")</f>
        <v/>
      </c>
    </row>
    <row r="62">
      <c r="A62" s="12" t="n"/>
      <c r="B62">
        <f>IF($T62="","",INDEX('Per Line'!$A$2:$A$1001,$T62)&amp;"")</f>
        <v/>
      </c>
      <c r="C62" s="12" t="n"/>
      <c r="D62">
        <f>IF($T62="","",INDEX('Per Line'!$B$2:$B$1001,$T62)&amp;"")</f>
        <v/>
      </c>
      <c r="E62">
        <f>IF($T62="","",INDEX('Per Line'!$C$2:$C$1001,$T62)&amp;"")</f>
        <v/>
      </c>
      <c r="F62">
        <f>IF($T62="","",INDEX('Per Line'!$D$2:$D$1001,$T62)&amp;"")</f>
        <v/>
      </c>
      <c r="G62">
        <f>IF($T62="","",INDEX('Per Line'!$E$2:$E$1001,$T62))</f>
        <v/>
      </c>
      <c r="H62" s="7">
        <f>IF($T62="","",G62*R62/100)</f>
        <v/>
      </c>
      <c r="I62" s="11">
        <f>IF($T62="","",INDEX('Per Line'!$Q$2:$Q$1001,$T62))</f>
        <v/>
      </c>
      <c r="J62">
        <f>IF($T62="","",Settings!$C$7)</f>
        <v/>
      </c>
      <c r="K62" s="7">
        <f>IF($T62="","",SUMIFS('Per Line'!$K$2:$K$1001,'Per Line'!$A$2:$A$1001,$B62,'Per Line'!$V$2:$V$1001,0))</f>
        <v/>
      </c>
      <c r="L62" s="7">
        <f>IF($T62="","",K62*J62)</f>
        <v/>
      </c>
      <c r="M62">
        <f>IF($T62="","",Settings!$C$6)</f>
        <v/>
      </c>
      <c r="N62" s="7">
        <f>IF($T62="","",SUMIFS('Per Line'!$K$2:$K$1001,'Per Line'!$A$2:$A$1001,$B62,'Per Line'!$V$2:$V$1001,1))</f>
        <v/>
      </c>
      <c r="O62" s="7">
        <f>IF($T62="","",N62*M62)</f>
        <v/>
      </c>
      <c r="P62" s="7">
        <f>IF($T62="","",O62+L62)</f>
        <v/>
      </c>
      <c r="Q62" s="7">
        <f>IF($T62="","",R62-P62)</f>
        <v/>
      </c>
      <c r="R62" s="7">
        <f>IF($T62="","",K62+N62)</f>
        <v/>
      </c>
      <c r="S62" s="7">
        <f>IF($T62="","",R62-P62-H62)</f>
        <v/>
      </c>
      <c r="T62" s="13">
        <f>IF(ROWS($T$2:$T62)&lt;=MAX('Per Line'!$U$2:$U$1001),MATCH(ROWS($T$2:$T62),'Per Line'!$U$2:$U$1001,0),"")</f>
        <v/>
      </c>
    </row>
    <row r="63">
      <c r="A63" s="12" t="n"/>
      <c r="B63">
        <f>IF($T63="","",INDEX('Per Line'!$A$2:$A$1001,$T63)&amp;"")</f>
        <v/>
      </c>
      <c r="C63" s="12" t="n"/>
      <c r="D63">
        <f>IF($T63="","",INDEX('Per Line'!$B$2:$B$1001,$T63)&amp;"")</f>
        <v/>
      </c>
      <c r="E63">
        <f>IF($T63="","",INDEX('Per Line'!$C$2:$C$1001,$T63)&amp;"")</f>
        <v/>
      </c>
      <c r="F63">
        <f>IF($T63="","",INDEX('Per Line'!$D$2:$D$1001,$T63)&amp;"")</f>
        <v/>
      </c>
      <c r="G63">
        <f>IF($T63="","",INDEX('Per Line'!$E$2:$E$1001,$T63))</f>
        <v/>
      </c>
      <c r="H63" s="7">
        <f>IF($T63="","",G63*R63/100)</f>
        <v/>
      </c>
      <c r="I63" s="11">
        <f>IF($T63="","",INDEX('Per Line'!$Q$2:$Q$1001,$T63))</f>
        <v/>
      </c>
      <c r="J63">
        <f>IF($T63="","",Settings!$C$7)</f>
        <v/>
      </c>
      <c r="K63" s="7">
        <f>IF($T63="","",SUMIFS('Per Line'!$K$2:$K$1001,'Per Line'!$A$2:$A$1001,$B63,'Per Line'!$V$2:$V$1001,0))</f>
        <v/>
      </c>
      <c r="L63" s="7">
        <f>IF($T63="","",K63*J63)</f>
        <v/>
      </c>
      <c r="M63">
        <f>IF($T63="","",Settings!$C$6)</f>
        <v/>
      </c>
      <c r="N63" s="7">
        <f>IF($T63="","",SUMIFS('Per Line'!$K$2:$K$1001,'Per Line'!$A$2:$A$1001,$B63,'Per Line'!$V$2:$V$1001,1))</f>
        <v/>
      </c>
      <c r="O63" s="7">
        <f>IF($T63="","",N63*M63)</f>
        <v/>
      </c>
      <c r="P63" s="7">
        <f>IF($T63="","",O63+L63)</f>
        <v/>
      </c>
      <c r="Q63" s="7">
        <f>IF($T63="","",R63-P63)</f>
        <v/>
      </c>
      <c r="R63" s="7">
        <f>IF($T63="","",K63+N63)</f>
        <v/>
      </c>
      <c r="S63" s="7">
        <f>IF($T63="","",R63-P63-H63)</f>
        <v/>
      </c>
      <c r="T63" s="13">
        <f>IF(ROWS($T$2:$T63)&lt;=MAX('Per Line'!$U$2:$U$1001),MATCH(ROWS($T$2:$T63),'Per Line'!$U$2:$U$1001,0),"")</f>
        <v/>
      </c>
    </row>
    <row r="64">
      <c r="A64" s="12" t="n"/>
      <c r="B64">
        <f>IF($T64="","",INDEX('Per Line'!$A$2:$A$1001,$T64)&amp;"")</f>
        <v/>
      </c>
      <c r="C64" s="12" t="n"/>
      <c r="D64">
        <f>IF($T64="","",INDEX('Per Line'!$B$2:$B$1001,$T64)&amp;"")</f>
        <v/>
      </c>
      <c r="E64">
        <f>IF($T64="","",INDEX('Per Line'!$C$2:$C$1001,$T64)&amp;"")</f>
        <v/>
      </c>
      <c r="F64">
        <f>IF($T64="","",INDEX('Per Line'!$D$2:$D$1001,$T64)&amp;"")</f>
        <v/>
      </c>
      <c r="G64">
        <f>IF($T64="","",INDEX('Per Line'!$E$2:$E$1001,$T64))</f>
        <v/>
      </c>
      <c r="H64" s="7">
        <f>IF($T64="","",G64*R64/100)</f>
        <v/>
      </c>
      <c r="I64" s="11">
        <f>IF($T64="","",INDEX('Per Line'!$Q$2:$Q$1001,$T64))</f>
        <v/>
      </c>
      <c r="J64">
        <f>IF($T64="","",Settings!$C$7)</f>
        <v/>
      </c>
      <c r="K64" s="7">
        <f>IF($T64="","",SUMIFS('Per Line'!$K$2:$K$1001,'Per Line'!$A$2:$A$1001,$B64,'Per Line'!$V$2:$V$1001,0))</f>
        <v/>
      </c>
      <c r="L64" s="7">
        <f>IF($T64="","",K64*J64)</f>
        <v/>
      </c>
      <c r="M64">
        <f>IF($T64="","",Settings!$C$6)</f>
        <v/>
      </c>
      <c r="N64" s="7">
        <f>IF($T64="","",SUMIFS('Per Line'!$K$2:$K$1001,'Per Line'!$A$2:$A$1001,$B64,'Per Line'!$V$2:$V$1001,1))</f>
        <v/>
      </c>
      <c r="O64" s="7">
        <f>IF($T64="","",N64*M64)</f>
        <v/>
      </c>
      <c r="P64" s="7">
        <f>IF($T64="","",O64+L64)</f>
        <v/>
      </c>
      <c r="Q64" s="7">
        <f>IF($T64="","",R64-P64)</f>
        <v/>
      </c>
      <c r="R64" s="7">
        <f>IF($T64="","",K64+N64)</f>
        <v/>
      </c>
      <c r="S64" s="7">
        <f>IF($T64="","",R64-P64-H64)</f>
        <v/>
      </c>
      <c r="T64" s="13">
        <f>IF(ROWS($T$2:$T64)&lt;=MAX('Per Line'!$U$2:$U$1001),MATCH(ROWS($T$2:$T64),'Per Line'!$U$2:$U$1001,0),"")</f>
        <v/>
      </c>
    </row>
    <row r="65">
      <c r="A65" s="12" t="n"/>
      <c r="B65">
        <f>IF($T65="","",INDEX('Per Line'!$A$2:$A$1001,$T65)&amp;"")</f>
        <v/>
      </c>
      <c r="C65" s="12" t="n"/>
      <c r="D65">
        <f>IF($T65="","",INDEX('Per Line'!$B$2:$B$1001,$T65)&amp;"")</f>
        <v/>
      </c>
      <c r="E65">
        <f>IF($T65="","",INDEX('Per Line'!$C$2:$C$1001,$T65)&amp;"")</f>
        <v/>
      </c>
      <c r="F65">
        <f>IF($T65="","",INDEX('Per Line'!$D$2:$D$1001,$T65)&amp;"")</f>
        <v/>
      </c>
      <c r="G65">
        <f>IF($T65="","",INDEX('Per Line'!$E$2:$E$1001,$T65))</f>
        <v/>
      </c>
      <c r="H65" s="7">
        <f>IF($T65="","",G65*R65/100)</f>
        <v/>
      </c>
      <c r="I65" s="11">
        <f>IF($T65="","",INDEX('Per Line'!$Q$2:$Q$1001,$T65))</f>
        <v/>
      </c>
      <c r="J65">
        <f>IF($T65="","",Settings!$C$7)</f>
        <v/>
      </c>
      <c r="K65" s="7">
        <f>IF($T65="","",SUMIFS('Per Line'!$K$2:$K$1001,'Per Line'!$A$2:$A$1001,$B65,'Per Line'!$V$2:$V$1001,0))</f>
        <v/>
      </c>
      <c r="L65" s="7">
        <f>IF($T65="","",K65*J65)</f>
        <v/>
      </c>
      <c r="M65">
        <f>IF($T65="","",Settings!$C$6)</f>
        <v/>
      </c>
      <c r="N65" s="7">
        <f>IF($T65="","",SUMIFS('Per Line'!$K$2:$K$1001,'Per Line'!$A$2:$A$1001,$B65,'Per Line'!$V$2:$V$1001,1))</f>
        <v/>
      </c>
      <c r="O65" s="7">
        <f>IF($T65="","",N65*M65)</f>
        <v/>
      </c>
      <c r="P65" s="7">
        <f>IF($T65="","",O65+L65)</f>
        <v/>
      </c>
      <c r="Q65" s="7">
        <f>IF($T65="","",R65-P65)</f>
        <v/>
      </c>
      <c r="R65" s="7">
        <f>IF($T65="","",K65+N65)</f>
        <v/>
      </c>
      <c r="S65" s="7">
        <f>IF($T65="","",R65-P65-H65)</f>
        <v/>
      </c>
      <c r="T65" s="13">
        <f>IF(ROWS($T$2:$T65)&lt;=MAX('Per Line'!$U$2:$U$1001),MATCH(ROWS($T$2:$T65),'Per Line'!$U$2:$U$1001,0),"")</f>
        <v/>
      </c>
    </row>
    <row r="66">
      <c r="A66" s="12" t="n"/>
      <c r="B66">
        <f>IF($T66="","",INDEX('Per Line'!$A$2:$A$1001,$T66)&amp;"")</f>
        <v/>
      </c>
      <c r="C66" s="12" t="n"/>
      <c r="D66">
        <f>IF($T66="","",INDEX('Per Line'!$B$2:$B$1001,$T66)&amp;"")</f>
        <v/>
      </c>
      <c r="E66">
        <f>IF($T66="","",INDEX('Per Line'!$C$2:$C$1001,$T66)&amp;"")</f>
        <v/>
      </c>
      <c r="F66">
        <f>IF($T66="","",INDEX('Per Line'!$D$2:$D$1001,$T66)&amp;"")</f>
        <v/>
      </c>
      <c r="G66">
        <f>IF($T66="","",INDEX('Per Line'!$E$2:$E$1001,$T66))</f>
        <v/>
      </c>
      <c r="H66" s="7">
        <f>IF($T66="","",G66*R66/100)</f>
        <v/>
      </c>
      <c r="I66" s="11">
        <f>IF($T66="","",INDEX('Per Line'!$Q$2:$Q$1001,$T66))</f>
        <v/>
      </c>
      <c r="J66">
        <f>IF($T66="","",Settings!$C$7)</f>
        <v/>
      </c>
      <c r="K66" s="7">
        <f>IF($T66="","",SUMIFS('Per Line'!$K$2:$K$1001,'Per Line'!$A$2:$A$1001,$B66,'Per Line'!$V$2:$V$1001,0))</f>
        <v/>
      </c>
      <c r="L66" s="7">
        <f>IF($T66="","",K66*J66)</f>
        <v/>
      </c>
      <c r="M66">
        <f>IF($T66="","",Settings!$C$6)</f>
        <v/>
      </c>
      <c r="N66" s="7">
        <f>IF($T66="","",SUMIFS('Per Line'!$K$2:$K$1001,'Per Line'!$A$2:$A$1001,$B66,'Per Line'!$V$2:$V$1001,1))</f>
        <v/>
      </c>
      <c r="O66" s="7">
        <f>IF($T66="","",N66*M66)</f>
        <v/>
      </c>
      <c r="P66" s="7">
        <f>IF($T66="","",O66+L66)</f>
        <v/>
      </c>
      <c r="Q66" s="7">
        <f>IF($T66="","",R66-P66)</f>
        <v/>
      </c>
      <c r="R66" s="7">
        <f>IF($T66="","",K66+N66)</f>
        <v/>
      </c>
      <c r="S66" s="7">
        <f>IF($T66="","",R66-P66-H66)</f>
        <v/>
      </c>
      <c r="T66" s="13">
        <f>IF(ROWS($T$2:$T66)&lt;=MAX('Per Line'!$U$2:$U$1001),MATCH(ROWS($T$2:$T66),'Per Line'!$U$2:$U$1001,0),"")</f>
        <v/>
      </c>
    </row>
    <row r="67">
      <c r="A67" s="12" t="n"/>
      <c r="B67">
        <f>IF($T67="","",INDEX('Per Line'!$A$2:$A$1001,$T67)&amp;"")</f>
        <v/>
      </c>
      <c r="C67" s="12" t="n"/>
      <c r="D67">
        <f>IF($T67="","",INDEX('Per Line'!$B$2:$B$1001,$T67)&amp;"")</f>
        <v/>
      </c>
      <c r="E67">
        <f>IF($T67="","",INDEX('Per Line'!$C$2:$C$1001,$T67)&amp;"")</f>
        <v/>
      </c>
      <c r="F67">
        <f>IF($T67="","",INDEX('Per Line'!$D$2:$D$1001,$T67)&amp;"")</f>
        <v/>
      </c>
      <c r="G67">
        <f>IF($T67="","",INDEX('Per Line'!$E$2:$E$1001,$T67))</f>
        <v/>
      </c>
      <c r="H67" s="7">
        <f>IF($T67="","",G67*R67/100)</f>
        <v/>
      </c>
      <c r="I67" s="11">
        <f>IF($T67="","",INDEX('Per Line'!$Q$2:$Q$1001,$T67))</f>
        <v/>
      </c>
      <c r="J67">
        <f>IF($T67="","",Settings!$C$7)</f>
        <v/>
      </c>
      <c r="K67" s="7">
        <f>IF($T67="","",SUMIFS('Per Line'!$K$2:$K$1001,'Per Line'!$A$2:$A$1001,$B67,'Per Line'!$V$2:$V$1001,0))</f>
        <v/>
      </c>
      <c r="L67" s="7">
        <f>IF($T67="","",K67*J67)</f>
        <v/>
      </c>
      <c r="M67">
        <f>IF($T67="","",Settings!$C$6)</f>
        <v/>
      </c>
      <c r="N67" s="7">
        <f>IF($T67="","",SUMIFS('Per Line'!$K$2:$K$1001,'Per Line'!$A$2:$A$1001,$B67,'Per Line'!$V$2:$V$1001,1))</f>
        <v/>
      </c>
      <c r="O67" s="7">
        <f>IF($T67="","",N67*M67)</f>
        <v/>
      </c>
      <c r="P67" s="7">
        <f>IF($T67="","",O67+L67)</f>
        <v/>
      </c>
      <c r="Q67" s="7">
        <f>IF($T67="","",R67-P67)</f>
        <v/>
      </c>
      <c r="R67" s="7">
        <f>IF($T67="","",K67+N67)</f>
        <v/>
      </c>
      <c r="S67" s="7">
        <f>IF($T67="","",R67-P67-H67)</f>
        <v/>
      </c>
      <c r="T67" s="13">
        <f>IF(ROWS($T$2:$T67)&lt;=MAX('Per Line'!$U$2:$U$1001),MATCH(ROWS($T$2:$T67),'Per Line'!$U$2:$U$1001,0),"")</f>
        <v/>
      </c>
    </row>
    <row r="68">
      <c r="A68" s="12" t="n"/>
      <c r="B68">
        <f>IF($T68="","",INDEX('Per Line'!$A$2:$A$1001,$T68)&amp;"")</f>
        <v/>
      </c>
      <c r="C68" s="12" t="n"/>
      <c r="D68">
        <f>IF($T68="","",INDEX('Per Line'!$B$2:$B$1001,$T68)&amp;"")</f>
        <v/>
      </c>
      <c r="E68">
        <f>IF($T68="","",INDEX('Per Line'!$C$2:$C$1001,$T68)&amp;"")</f>
        <v/>
      </c>
      <c r="F68">
        <f>IF($T68="","",INDEX('Per Line'!$D$2:$D$1001,$T68)&amp;"")</f>
        <v/>
      </c>
      <c r="G68">
        <f>IF($T68="","",INDEX('Per Line'!$E$2:$E$1001,$T68))</f>
        <v/>
      </c>
      <c r="H68" s="7">
        <f>IF($T68="","",G68*R68/100)</f>
        <v/>
      </c>
      <c r="I68" s="11">
        <f>IF($T68="","",INDEX('Per Line'!$Q$2:$Q$1001,$T68))</f>
        <v/>
      </c>
      <c r="J68">
        <f>IF($T68="","",Settings!$C$7)</f>
        <v/>
      </c>
      <c r="K68" s="7">
        <f>IF($T68="","",SUMIFS('Per Line'!$K$2:$K$1001,'Per Line'!$A$2:$A$1001,$B68,'Per Line'!$V$2:$V$1001,0))</f>
        <v/>
      </c>
      <c r="L68" s="7">
        <f>IF($T68="","",K68*J68)</f>
        <v/>
      </c>
      <c r="M68">
        <f>IF($T68="","",Settings!$C$6)</f>
        <v/>
      </c>
      <c r="N68" s="7">
        <f>IF($T68="","",SUMIFS('Per Line'!$K$2:$K$1001,'Per Line'!$A$2:$A$1001,$B68,'Per Line'!$V$2:$V$1001,1))</f>
        <v/>
      </c>
      <c r="O68" s="7">
        <f>IF($T68="","",N68*M68)</f>
        <v/>
      </c>
      <c r="P68" s="7">
        <f>IF($T68="","",O68+L68)</f>
        <v/>
      </c>
      <c r="Q68" s="7">
        <f>IF($T68="","",R68-P68)</f>
        <v/>
      </c>
      <c r="R68" s="7">
        <f>IF($T68="","",K68+N68)</f>
        <v/>
      </c>
      <c r="S68" s="7">
        <f>IF($T68="","",R68-P68-H68)</f>
        <v/>
      </c>
      <c r="T68" s="13">
        <f>IF(ROWS($T$2:$T68)&lt;=MAX('Per Line'!$U$2:$U$1001),MATCH(ROWS($T$2:$T68),'Per Line'!$U$2:$U$1001,0),"")</f>
        <v/>
      </c>
    </row>
    <row r="69">
      <c r="A69" s="12" t="n"/>
      <c r="B69">
        <f>IF($T69="","",INDEX('Per Line'!$A$2:$A$1001,$T69)&amp;"")</f>
        <v/>
      </c>
      <c r="C69" s="12" t="n"/>
      <c r="D69">
        <f>IF($T69="","",INDEX('Per Line'!$B$2:$B$1001,$T69)&amp;"")</f>
        <v/>
      </c>
      <c r="E69">
        <f>IF($T69="","",INDEX('Per Line'!$C$2:$C$1001,$T69)&amp;"")</f>
        <v/>
      </c>
      <c r="F69">
        <f>IF($T69="","",INDEX('Per Line'!$D$2:$D$1001,$T69)&amp;"")</f>
        <v/>
      </c>
      <c r="G69">
        <f>IF($T69="","",INDEX('Per Line'!$E$2:$E$1001,$T69))</f>
        <v/>
      </c>
      <c r="H69" s="7">
        <f>IF($T69="","",G69*R69/100)</f>
        <v/>
      </c>
      <c r="I69" s="11">
        <f>IF($T69="","",INDEX('Per Line'!$Q$2:$Q$1001,$T69))</f>
        <v/>
      </c>
      <c r="J69">
        <f>IF($T69="","",Settings!$C$7)</f>
        <v/>
      </c>
      <c r="K69" s="7">
        <f>IF($T69="","",SUMIFS('Per Line'!$K$2:$K$1001,'Per Line'!$A$2:$A$1001,$B69,'Per Line'!$V$2:$V$1001,0))</f>
        <v/>
      </c>
      <c r="L69" s="7">
        <f>IF($T69="","",K69*J69)</f>
        <v/>
      </c>
      <c r="M69">
        <f>IF($T69="","",Settings!$C$6)</f>
        <v/>
      </c>
      <c r="N69" s="7">
        <f>IF($T69="","",SUMIFS('Per Line'!$K$2:$K$1001,'Per Line'!$A$2:$A$1001,$B69,'Per Line'!$V$2:$V$1001,1))</f>
        <v/>
      </c>
      <c r="O69" s="7">
        <f>IF($T69="","",N69*M69)</f>
        <v/>
      </c>
      <c r="P69" s="7">
        <f>IF($T69="","",O69+L69)</f>
        <v/>
      </c>
      <c r="Q69" s="7">
        <f>IF($T69="","",R69-P69)</f>
        <v/>
      </c>
      <c r="R69" s="7">
        <f>IF($T69="","",K69+N69)</f>
        <v/>
      </c>
      <c r="S69" s="7">
        <f>IF($T69="","",R69-P69-H69)</f>
        <v/>
      </c>
      <c r="T69" s="13">
        <f>IF(ROWS($T$2:$T69)&lt;=MAX('Per Line'!$U$2:$U$1001),MATCH(ROWS($T$2:$T69),'Per Line'!$U$2:$U$1001,0),"")</f>
        <v/>
      </c>
    </row>
    <row r="70">
      <c r="A70" s="12" t="n"/>
      <c r="B70">
        <f>IF($T70="","",INDEX('Per Line'!$A$2:$A$1001,$T70)&amp;"")</f>
        <v/>
      </c>
      <c r="C70" s="12" t="n"/>
      <c r="D70">
        <f>IF($T70="","",INDEX('Per Line'!$B$2:$B$1001,$T70)&amp;"")</f>
        <v/>
      </c>
      <c r="E70">
        <f>IF($T70="","",INDEX('Per Line'!$C$2:$C$1001,$T70)&amp;"")</f>
        <v/>
      </c>
      <c r="F70">
        <f>IF($T70="","",INDEX('Per Line'!$D$2:$D$1001,$T70)&amp;"")</f>
        <v/>
      </c>
      <c r="G70">
        <f>IF($T70="","",INDEX('Per Line'!$E$2:$E$1001,$T70))</f>
        <v/>
      </c>
      <c r="H70" s="7">
        <f>IF($T70="","",G70*R70/100)</f>
        <v/>
      </c>
      <c r="I70" s="11">
        <f>IF($T70="","",INDEX('Per Line'!$Q$2:$Q$1001,$T70))</f>
        <v/>
      </c>
      <c r="J70">
        <f>IF($T70="","",Settings!$C$7)</f>
        <v/>
      </c>
      <c r="K70" s="7">
        <f>IF($T70="","",SUMIFS('Per Line'!$K$2:$K$1001,'Per Line'!$A$2:$A$1001,$B70,'Per Line'!$V$2:$V$1001,0))</f>
        <v/>
      </c>
      <c r="L70" s="7">
        <f>IF($T70="","",K70*J70)</f>
        <v/>
      </c>
      <c r="M70">
        <f>IF($T70="","",Settings!$C$6)</f>
        <v/>
      </c>
      <c r="N70" s="7">
        <f>IF($T70="","",SUMIFS('Per Line'!$K$2:$K$1001,'Per Line'!$A$2:$A$1001,$B70,'Per Line'!$V$2:$V$1001,1))</f>
        <v/>
      </c>
      <c r="O70" s="7">
        <f>IF($T70="","",N70*M70)</f>
        <v/>
      </c>
      <c r="P70" s="7">
        <f>IF($T70="","",O70+L70)</f>
        <v/>
      </c>
      <c r="Q70" s="7">
        <f>IF($T70="","",R70-P70)</f>
        <v/>
      </c>
      <c r="R70" s="7">
        <f>IF($T70="","",K70+N70)</f>
        <v/>
      </c>
      <c r="S70" s="7">
        <f>IF($T70="","",R70-P70-H70)</f>
        <v/>
      </c>
      <c r="T70" s="13">
        <f>IF(ROWS($T$2:$T70)&lt;=MAX('Per Line'!$U$2:$U$1001),MATCH(ROWS($T$2:$T70),'Per Line'!$U$2:$U$1001,0),"")</f>
        <v/>
      </c>
    </row>
    <row r="71">
      <c r="A71" s="12" t="n"/>
      <c r="B71">
        <f>IF($T71="","",INDEX('Per Line'!$A$2:$A$1001,$T71)&amp;"")</f>
        <v/>
      </c>
      <c r="C71" s="12" t="n"/>
      <c r="D71">
        <f>IF($T71="","",INDEX('Per Line'!$B$2:$B$1001,$T71)&amp;"")</f>
        <v/>
      </c>
      <c r="E71">
        <f>IF($T71="","",INDEX('Per Line'!$C$2:$C$1001,$T71)&amp;"")</f>
        <v/>
      </c>
      <c r="F71">
        <f>IF($T71="","",INDEX('Per Line'!$D$2:$D$1001,$T71)&amp;"")</f>
        <v/>
      </c>
      <c r="G71">
        <f>IF($T71="","",INDEX('Per Line'!$E$2:$E$1001,$T71))</f>
        <v/>
      </c>
      <c r="H71" s="7">
        <f>IF($T71="","",G71*R71/100)</f>
        <v/>
      </c>
      <c r="I71" s="11">
        <f>IF($T71="","",INDEX('Per Line'!$Q$2:$Q$1001,$T71))</f>
        <v/>
      </c>
      <c r="J71">
        <f>IF($T71="","",Settings!$C$7)</f>
        <v/>
      </c>
      <c r="K71" s="7">
        <f>IF($T71="","",SUMIFS('Per Line'!$K$2:$K$1001,'Per Line'!$A$2:$A$1001,$B71,'Per Line'!$V$2:$V$1001,0))</f>
        <v/>
      </c>
      <c r="L71" s="7">
        <f>IF($T71="","",K71*J71)</f>
        <v/>
      </c>
      <c r="M71">
        <f>IF($T71="","",Settings!$C$6)</f>
        <v/>
      </c>
      <c r="N71" s="7">
        <f>IF($T71="","",SUMIFS('Per Line'!$K$2:$K$1001,'Per Line'!$A$2:$A$1001,$B71,'Per Line'!$V$2:$V$1001,1))</f>
        <v/>
      </c>
      <c r="O71" s="7">
        <f>IF($T71="","",N71*M71)</f>
        <v/>
      </c>
      <c r="P71" s="7">
        <f>IF($T71="","",O71+L71)</f>
        <v/>
      </c>
      <c r="Q71" s="7">
        <f>IF($T71="","",R71-P71)</f>
        <v/>
      </c>
      <c r="R71" s="7">
        <f>IF($T71="","",K71+N71)</f>
        <v/>
      </c>
      <c r="S71" s="7">
        <f>IF($T71="","",R71-P71-H71)</f>
        <v/>
      </c>
      <c r="T71" s="13">
        <f>IF(ROWS($T$2:$T71)&lt;=MAX('Per Line'!$U$2:$U$1001),MATCH(ROWS($T$2:$T71),'Per Line'!$U$2:$U$1001,0),"")</f>
        <v/>
      </c>
    </row>
    <row r="72">
      <c r="A72" s="12" t="n"/>
      <c r="B72">
        <f>IF($T72="","",INDEX('Per Line'!$A$2:$A$1001,$T72)&amp;"")</f>
        <v/>
      </c>
      <c r="C72" s="12" t="n"/>
      <c r="D72">
        <f>IF($T72="","",INDEX('Per Line'!$B$2:$B$1001,$T72)&amp;"")</f>
        <v/>
      </c>
      <c r="E72">
        <f>IF($T72="","",INDEX('Per Line'!$C$2:$C$1001,$T72)&amp;"")</f>
        <v/>
      </c>
      <c r="F72">
        <f>IF($T72="","",INDEX('Per Line'!$D$2:$D$1001,$T72)&amp;"")</f>
        <v/>
      </c>
      <c r="G72">
        <f>IF($T72="","",INDEX('Per Line'!$E$2:$E$1001,$T72))</f>
        <v/>
      </c>
      <c r="H72" s="7">
        <f>IF($T72="","",G72*R72/100)</f>
        <v/>
      </c>
      <c r="I72" s="11">
        <f>IF($T72="","",INDEX('Per Line'!$Q$2:$Q$1001,$T72))</f>
        <v/>
      </c>
      <c r="J72">
        <f>IF($T72="","",Settings!$C$7)</f>
        <v/>
      </c>
      <c r="K72" s="7">
        <f>IF($T72="","",SUMIFS('Per Line'!$K$2:$K$1001,'Per Line'!$A$2:$A$1001,$B72,'Per Line'!$V$2:$V$1001,0))</f>
        <v/>
      </c>
      <c r="L72" s="7">
        <f>IF($T72="","",K72*J72)</f>
        <v/>
      </c>
      <c r="M72">
        <f>IF($T72="","",Settings!$C$6)</f>
        <v/>
      </c>
      <c r="N72" s="7">
        <f>IF($T72="","",SUMIFS('Per Line'!$K$2:$K$1001,'Per Line'!$A$2:$A$1001,$B72,'Per Line'!$V$2:$V$1001,1))</f>
        <v/>
      </c>
      <c r="O72" s="7">
        <f>IF($T72="","",N72*M72)</f>
        <v/>
      </c>
      <c r="P72" s="7">
        <f>IF($T72="","",O72+L72)</f>
        <v/>
      </c>
      <c r="Q72" s="7">
        <f>IF($T72="","",R72-P72)</f>
        <v/>
      </c>
      <c r="R72" s="7">
        <f>IF($T72="","",K72+N72)</f>
        <v/>
      </c>
      <c r="S72" s="7">
        <f>IF($T72="","",R72-P72-H72)</f>
        <v/>
      </c>
      <c r="T72" s="13">
        <f>IF(ROWS($T$2:$T72)&lt;=MAX('Per Line'!$U$2:$U$1001),MATCH(ROWS($T$2:$T72),'Per Line'!$U$2:$U$1001,0),"")</f>
        <v/>
      </c>
    </row>
    <row r="73">
      <c r="A73" s="12" t="n"/>
      <c r="B73">
        <f>IF($T73="","",INDEX('Per Line'!$A$2:$A$1001,$T73)&amp;"")</f>
        <v/>
      </c>
      <c r="C73" s="12" t="n"/>
      <c r="D73">
        <f>IF($T73="","",INDEX('Per Line'!$B$2:$B$1001,$T73)&amp;"")</f>
        <v/>
      </c>
      <c r="E73">
        <f>IF($T73="","",INDEX('Per Line'!$C$2:$C$1001,$T73)&amp;"")</f>
        <v/>
      </c>
      <c r="F73">
        <f>IF($T73="","",INDEX('Per Line'!$D$2:$D$1001,$T73)&amp;"")</f>
        <v/>
      </c>
      <c r="G73">
        <f>IF($T73="","",INDEX('Per Line'!$E$2:$E$1001,$T73))</f>
        <v/>
      </c>
      <c r="H73" s="7">
        <f>IF($T73="","",G73*R73/100)</f>
        <v/>
      </c>
      <c r="I73" s="11">
        <f>IF($T73="","",INDEX('Per Line'!$Q$2:$Q$1001,$T73))</f>
        <v/>
      </c>
      <c r="J73">
        <f>IF($T73="","",Settings!$C$7)</f>
        <v/>
      </c>
      <c r="K73" s="7">
        <f>IF($T73="","",SUMIFS('Per Line'!$K$2:$K$1001,'Per Line'!$A$2:$A$1001,$B73,'Per Line'!$V$2:$V$1001,0))</f>
        <v/>
      </c>
      <c r="L73" s="7">
        <f>IF($T73="","",K73*J73)</f>
        <v/>
      </c>
      <c r="M73">
        <f>IF($T73="","",Settings!$C$6)</f>
        <v/>
      </c>
      <c r="N73" s="7">
        <f>IF($T73="","",SUMIFS('Per Line'!$K$2:$K$1001,'Per Line'!$A$2:$A$1001,$B73,'Per Line'!$V$2:$V$1001,1))</f>
        <v/>
      </c>
      <c r="O73" s="7">
        <f>IF($T73="","",N73*M73)</f>
        <v/>
      </c>
      <c r="P73" s="7">
        <f>IF($T73="","",O73+L73)</f>
        <v/>
      </c>
      <c r="Q73" s="7">
        <f>IF($T73="","",R73-P73)</f>
        <v/>
      </c>
      <c r="R73" s="7">
        <f>IF($T73="","",K73+N73)</f>
        <v/>
      </c>
      <c r="S73" s="7">
        <f>IF($T73="","",R73-P73-H73)</f>
        <v/>
      </c>
      <c r="T73" s="13">
        <f>IF(ROWS($T$2:$T73)&lt;=MAX('Per Line'!$U$2:$U$1001),MATCH(ROWS($T$2:$T73),'Per Line'!$U$2:$U$1001,0),"")</f>
        <v/>
      </c>
    </row>
    <row r="74">
      <c r="A74" s="12" t="n"/>
      <c r="B74">
        <f>IF($T74="","",INDEX('Per Line'!$A$2:$A$1001,$T74)&amp;"")</f>
        <v/>
      </c>
      <c r="C74" s="12" t="n"/>
      <c r="D74">
        <f>IF($T74="","",INDEX('Per Line'!$B$2:$B$1001,$T74)&amp;"")</f>
        <v/>
      </c>
      <c r="E74">
        <f>IF($T74="","",INDEX('Per Line'!$C$2:$C$1001,$T74)&amp;"")</f>
        <v/>
      </c>
      <c r="F74">
        <f>IF($T74="","",INDEX('Per Line'!$D$2:$D$1001,$T74)&amp;"")</f>
        <v/>
      </c>
      <c r="G74">
        <f>IF($T74="","",INDEX('Per Line'!$E$2:$E$1001,$T74))</f>
        <v/>
      </c>
      <c r="H74" s="7">
        <f>IF($T74="","",G74*R74/100)</f>
        <v/>
      </c>
      <c r="I74" s="11">
        <f>IF($T74="","",INDEX('Per Line'!$Q$2:$Q$1001,$T74))</f>
        <v/>
      </c>
      <c r="J74">
        <f>IF($T74="","",Settings!$C$7)</f>
        <v/>
      </c>
      <c r="K74" s="7">
        <f>IF($T74="","",SUMIFS('Per Line'!$K$2:$K$1001,'Per Line'!$A$2:$A$1001,$B74,'Per Line'!$V$2:$V$1001,0))</f>
        <v/>
      </c>
      <c r="L74" s="7">
        <f>IF($T74="","",K74*J74)</f>
        <v/>
      </c>
      <c r="M74">
        <f>IF($T74="","",Settings!$C$6)</f>
        <v/>
      </c>
      <c r="N74" s="7">
        <f>IF($T74="","",SUMIFS('Per Line'!$K$2:$K$1001,'Per Line'!$A$2:$A$1001,$B74,'Per Line'!$V$2:$V$1001,1))</f>
        <v/>
      </c>
      <c r="O74" s="7">
        <f>IF($T74="","",N74*M74)</f>
        <v/>
      </c>
      <c r="P74" s="7">
        <f>IF($T74="","",O74+L74)</f>
        <v/>
      </c>
      <c r="Q74" s="7">
        <f>IF($T74="","",R74-P74)</f>
        <v/>
      </c>
      <c r="R74" s="7">
        <f>IF($T74="","",K74+N74)</f>
        <v/>
      </c>
      <c r="S74" s="7">
        <f>IF($T74="","",R74-P74-H74)</f>
        <v/>
      </c>
      <c r="T74" s="13">
        <f>IF(ROWS($T$2:$T74)&lt;=MAX('Per Line'!$U$2:$U$1001),MATCH(ROWS($T$2:$T74),'Per Line'!$U$2:$U$1001,0),"")</f>
        <v/>
      </c>
    </row>
    <row r="75">
      <c r="A75" s="12" t="n"/>
      <c r="B75">
        <f>IF($T75="","",INDEX('Per Line'!$A$2:$A$1001,$T75)&amp;"")</f>
        <v/>
      </c>
      <c r="C75" s="12" t="n"/>
      <c r="D75">
        <f>IF($T75="","",INDEX('Per Line'!$B$2:$B$1001,$T75)&amp;"")</f>
        <v/>
      </c>
      <c r="E75">
        <f>IF($T75="","",INDEX('Per Line'!$C$2:$C$1001,$T75)&amp;"")</f>
        <v/>
      </c>
      <c r="F75">
        <f>IF($T75="","",INDEX('Per Line'!$D$2:$D$1001,$T75)&amp;"")</f>
        <v/>
      </c>
      <c r="G75">
        <f>IF($T75="","",INDEX('Per Line'!$E$2:$E$1001,$T75))</f>
        <v/>
      </c>
      <c r="H75" s="7">
        <f>IF($T75="","",G75*R75/100)</f>
        <v/>
      </c>
      <c r="I75" s="11">
        <f>IF($T75="","",INDEX('Per Line'!$Q$2:$Q$1001,$T75))</f>
        <v/>
      </c>
      <c r="J75">
        <f>IF($T75="","",Settings!$C$7)</f>
        <v/>
      </c>
      <c r="K75" s="7">
        <f>IF($T75="","",SUMIFS('Per Line'!$K$2:$K$1001,'Per Line'!$A$2:$A$1001,$B75,'Per Line'!$V$2:$V$1001,0))</f>
        <v/>
      </c>
      <c r="L75" s="7">
        <f>IF($T75="","",K75*J75)</f>
        <v/>
      </c>
      <c r="M75">
        <f>IF($T75="","",Settings!$C$6)</f>
        <v/>
      </c>
      <c r="N75" s="7">
        <f>IF($T75="","",SUMIFS('Per Line'!$K$2:$K$1001,'Per Line'!$A$2:$A$1001,$B75,'Per Line'!$V$2:$V$1001,1))</f>
        <v/>
      </c>
      <c r="O75" s="7">
        <f>IF($T75="","",N75*M75)</f>
        <v/>
      </c>
      <c r="P75" s="7">
        <f>IF($T75="","",O75+L75)</f>
        <v/>
      </c>
      <c r="Q75" s="7">
        <f>IF($T75="","",R75-P75)</f>
        <v/>
      </c>
      <c r="R75" s="7">
        <f>IF($T75="","",K75+N75)</f>
        <v/>
      </c>
      <c r="S75" s="7">
        <f>IF($T75="","",R75-P75-H75)</f>
        <v/>
      </c>
      <c r="T75" s="13">
        <f>IF(ROWS($T$2:$T75)&lt;=MAX('Per Line'!$U$2:$U$1001),MATCH(ROWS($T$2:$T75),'Per Line'!$U$2:$U$1001,0),"")</f>
        <v/>
      </c>
    </row>
    <row r="76">
      <c r="A76" s="12" t="n"/>
      <c r="B76">
        <f>IF($T76="","",INDEX('Per Line'!$A$2:$A$1001,$T76)&amp;"")</f>
        <v/>
      </c>
      <c r="C76" s="12" t="n"/>
      <c r="D76">
        <f>IF($T76="","",INDEX('Per Line'!$B$2:$B$1001,$T76)&amp;"")</f>
        <v/>
      </c>
      <c r="E76">
        <f>IF($T76="","",INDEX('Per Line'!$C$2:$C$1001,$T76)&amp;"")</f>
        <v/>
      </c>
      <c r="F76">
        <f>IF($T76="","",INDEX('Per Line'!$D$2:$D$1001,$T76)&amp;"")</f>
        <v/>
      </c>
      <c r="G76">
        <f>IF($T76="","",INDEX('Per Line'!$E$2:$E$1001,$T76))</f>
        <v/>
      </c>
      <c r="H76" s="7">
        <f>IF($T76="","",G76*R76/100)</f>
        <v/>
      </c>
      <c r="I76" s="11">
        <f>IF($T76="","",INDEX('Per Line'!$Q$2:$Q$1001,$T76))</f>
        <v/>
      </c>
      <c r="J76">
        <f>IF($T76="","",Settings!$C$7)</f>
        <v/>
      </c>
      <c r="K76" s="7">
        <f>IF($T76="","",SUMIFS('Per Line'!$K$2:$K$1001,'Per Line'!$A$2:$A$1001,$B76,'Per Line'!$V$2:$V$1001,0))</f>
        <v/>
      </c>
      <c r="L76" s="7">
        <f>IF($T76="","",K76*J76)</f>
        <v/>
      </c>
      <c r="M76">
        <f>IF($T76="","",Settings!$C$6)</f>
        <v/>
      </c>
      <c r="N76" s="7">
        <f>IF($T76="","",SUMIFS('Per Line'!$K$2:$K$1001,'Per Line'!$A$2:$A$1001,$B76,'Per Line'!$V$2:$V$1001,1))</f>
        <v/>
      </c>
      <c r="O76" s="7">
        <f>IF($T76="","",N76*M76)</f>
        <v/>
      </c>
      <c r="P76" s="7">
        <f>IF($T76="","",O76+L76)</f>
        <v/>
      </c>
      <c r="Q76" s="7">
        <f>IF($T76="","",R76-P76)</f>
        <v/>
      </c>
      <c r="R76" s="7">
        <f>IF($T76="","",K76+N76)</f>
        <v/>
      </c>
      <c r="S76" s="7">
        <f>IF($T76="","",R76-P76-H76)</f>
        <v/>
      </c>
      <c r="T76" s="13">
        <f>IF(ROWS($T$2:$T76)&lt;=MAX('Per Line'!$U$2:$U$1001),MATCH(ROWS($T$2:$T76),'Per Line'!$U$2:$U$1001,0),"")</f>
        <v/>
      </c>
    </row>
    <row r="77">
      <c r="A77" s="12" t="n"/>
      <c r="B77">
        <f>IF($T77="","",INDEX('Per Line'!$A$2:$A$1001,$T77)&amp;"")</f>
        <v/>
      </c>
      <c r="C77" s="12" t="n"/>
      <c r="D77">
        <f>IF($T77="","",INDEX('Per Line'!$B$2:$B$1001,$T77)&amp;"")</f>
        <v/>
      </c>
      <c r="E77">
        <f>IF($T77="","",INDEX('Per Line'!$C$2:$C$1001,$T77)&amp;"")</f>
        <v/>
      </c>
      <c r="F77">
        <f>IF($T77="","",INDEX('Per Line'!$D$2:$D$1001,$T77)&amp;"")</f>
        <v/>
      </c>
      <c r="G77">
        <f>IF($T77="","",INDEX('Per Line'!$E$2:$E$1001,$T77))</f>
        <v/>
      </c>
      <c r="H77" s="7">
        <f>IF($T77="","",G77*R77/100)</f>
        <v/>
      </c>
      <c r="I77" s="11">
        <f>IF($T77="","",INDEX('Per Line'!$Q$2:$Q$1001,$T77))</f>
        <v/>
      </c>
      <c r="J77">
        <f>IF($T77="","",Settings!$C$7)</f>
        <v/>
      </c>
      <c r="K77" s="7">
        <f>IF($T77="","",SUMIFS('Per Line'!$K$2:$K$1001,'Per Line'!$A$2:$A$1001,$B77,'Per Line'!$V$2:$V$1001,0))</f>
        <v/>
      </c>
      <c r="L77" s="7">
        <f>IF($T77="","",K77*J77)</f>
        <v/>
      </c>
      <c r="M77">
        <f>IF($T77="","",Settings!$C$6)</f>
        <v/>
      </c>
      <c r="N77" s="7">
        <f>IF($T77="","",SUMIFS('Per Line'!$K$2:$K$1001,'Per Line'!$A$2:$A$1001,$B77,'Per Line'!$V$2:$V$1001,1))</f>
        <v/>
      </c>
      <c r="O77" s="7">
        <f>IF($T77="","",N77*M77)</f>
        <v/>
      </c>
      <c r="P77" s="7">
        <f>IF($T77="","",O77+L77)</f>
        <v/>
      </c>
      <c r="Q77" s="7">
        <f>IF($T77="","",R77-P77)</f>
        <v/>
      </c>
      <c r="R77" s="7">
        <f>IF($T77="","",K77+N77)</f>
        <v/>
      </c>
      <c r="S77" s="7">
        <f>IF($T77="","",R77-P77-H77)</f>
        <v/>
      </c>
      <c r="T77" s="13">
        <f>IF(ROWS($T$2:$T77)&lt;=MAX('Per Line'!$U$2:$U$1001),MATCH(ROWS($T$2:$T77),'Per Line'!$U$2:$U$1001,0),"")</f>
        <v/>
      </c>
    </row>
    <row r="78">
      <c r="A78" s="12" t="n"/>
      <c r="B78">
        <f>IF($T78="","",INDEX('Per Line'!$A$2:$A$1001,$T78)&amp;"")</f>
        <v/>
      </c>
      <c r="C78" s="12" t="n"/>
      <c r="D78">
        <f>IF($T78="","",INDEX('Per Line'!$B$2:$B$1001,$T78)&amp;"")</f>
        <v/>
      </c>
      <c r="E78">
        <f>IF($T78="","",INDEX('Per Line'!$C$2:$C$1001,$T78)&amp;"")</f>
        <v/>
      </c>
      <c r="F78">
        <f>IF($T78="","",INDEX('Per Line'!$D$2:$D$1001,$T78)&amp;"")</f>
        <v/>
      </c>
      <c r="G78">
        <f>IF($T78="","",INDEX('Per Line'!$E$2:$E$1001,$T78))</f>
        <v/>
      </c>
      <c r="H78" s="7">
        <f>IF($T78="","",G78*R78/100)</f>
        <v/>
      </c>
      <c r="I78" s="11">
        <f>IF($T78="","",INDEX('Per Line'!$Q$2:$Q$1001,$T78))</f>
        <v/>
      </c>
      <c r="J78">
        <f>IF($T78="","",Settings!$C$7)</f>
        <v/>
      </c>
      <c r="K78" s="7">
        <f>IF($T78="","",SUMIFS('Per Line'!$K$2:$K$1001,'Per Line'!$A$2:$A$1001,$B78,'Per Line'!$V$2:$V$1001,0))</f>
        <v/>
      </c>
      <c r="L78" s="7">
        <f>IF($T78="","",K78*J78)</f>
        <v/>
      </c>
      <c r="M78">
        <f>IF($T78="","",Settings!$C$6)</f>
        <v/>
      </c>
      <c r="N78" s="7">
        <f>IF($T78="","",SUMIFS('Per Line'!$K$2:$K$1001,'Per Line'!$A$2:$A$1001,$B78,'Per Line'!$V$2:$V$1001,1))</f>
        <v/>
      </c>
      <c r="O78" s="7">
        <f>IF($T78="","",N78*M78)</f>
        <v/>
      </c>
      <c r="P78" s="7">
        <f>IF($T78="","",O78+L78)</f>
        <v/>
      </c>
      <c r="Q78" s="7">
        <f>IF($T78="","",R78-P78)</f>
        <v/>
      </c>
      <c r="R78" s="7">
        <f>IF($T78="","",K78+N78)</f>
        <v/>
      </c>
      <c r="S78" s="7">
        <f>IF($T78="","",R78-P78-H78)</f>
        <v/>
      </c>
      <c r="T78" s="13">
        <f>IF(ROWS($T$2:$T78)&lt;=MAX('Per Line'!$U$2:$U$1001),MATCH(ROWS($T$2:$T78),'Per Line'!$U$2:$U$1001,0),"")</f>
        <v/>
      </c>
    </row>
    <row r="79">
      <c r="A79" s="12" t="n"/>
      <c r="B79">
        <f>IF($T79="","",INDEX('Per Line'!$A$2:$A$1001,$T79)&amp;"")</f>
        <v/>
      </c>
      <c r="C79" s="12" t="n"/>
      <c r="D79">
        <f>IF($T79="","",INDEX('Per Line'!$B$2:$B$1001,$T79)&amp;"")</f>
        <v/>
      </c>
      <c r="E79">
        <f>IF($T79="","",INDEX('Per Line'!$C$2:$C$1001,$T79)&amp;"")</f>
        <v/>
      </c>
      <c r="F79">
        <f>IF($T79="","",INDEX('Per Line'!$D$2:$D$1001,$T79)&amp;"")</f>
        <v/>
      </c>
      <c r="G79">
        <f>IF($T79="","",INDEX('Per Line'!$E$2:$E$1001,$T79))</f>
        <v/>
      </c>
      <c r="H79" s="7">
        <f>IF($T79="","",G79*R79/100)</f>
        <v/>
      </c>
      <c r="I79" s="11">
        <f>IF($T79="","",INDEX('Per Line'!$Q$2:$Q$1001,$T79))</f>
        <v/>
      </c>
      <c r="J79">
        <f>IF($T79="","",Settings!$C$7)</f>
        <v/>
      </c>
      <c r="K79" s="7">
        <f>IF($T79="","",SUMIFS('Per Line'!$K$2:$K$1001,'Per Line'!$A$2:$A$1001,$B79,'Per Line'!$V$2:$V$1001,0))</f>
        <v/>
      </c>
      <c r="L79" s="7">
        <f>IF($T79="","",K79*J79)</f>
        <v/>
      </c>
      <c r="M79">
        <f>IF($T79="","",Settings!$C$6)</f>
        <v/>
      </c>
      <c r="N79" s="7">
        <f>IF($T79="","",SUMIFS('Per Line'!$K$2:$K$1001,'Per Line'!$A$2:$A$1001,$B79,'Per Line'!$V$2:$V$1001,1))</f>
        <v/>
      </c>
      <c r="O79" s="7">
        <f>IF($T79="","",N79*M79)</f>
        <v/>
      </c>
      <c r="P79" s="7">
        <f>IF($T79="","",O79+L79)</f>
        <v/>
      </c>
      <c r="Q79" s="7">
        <f>IF($T79="","",R79-P79)</f>
        <v/>
      </c>
      <c r="R79" s="7">
        <f>IF($T79="","",K79+N79)</f>
        <v/>
      </c>
      <c r="S79" s="7">
        <f>IF($T79="","",R79-P79-H79)</f>
        <v/>
      </c>
      <c r="T79" s="13">
        <f>IF(ROWS($T$2:$T79)&lt;=MAX('Per Line'!$U$2:$U$1001),MATCH(ROWS($T$2:$T79),'Per Line'!$U$2:$U$1001,0),"")</f>
        <v/>
      </c>
    </row>
    <row r="80">
      <c r="A80" s="12" t="n"/>
      <c r="B80">
        <f>IF($T80="","",INDEX('Per Line'!$A$2:$A$1001,$T80)&amp;"")</f>
        <v/>
      </c>
      <c r="C80" s="12" t="n"/>
      <c r="D80">
        <f>IF($T80="","",INDEX('Per Line'!$B$2:$B$1001,$T80)&amp;"")</f>
        <v/>
      </c>
      <c r="E80">
        <f>IF($T80="","",INDEX('Per Line'!$C$2:$C$1001,$T80)&amp;"")</f>
        <v/>
      </c>
      <c r="F80">
        <f>IF($T80="","",INDEX('Per Line'!$D$2:$D$1001,$T80)&amp;"")</f>
        <v/>
      </c>
      <c r="G80">
        <f>IF($T80="","",INDEX('Per Line'!$E$2:$E$1001,$T80))</f>
        <v/>
      </c>
      <c r="H80" s="7">
        <f>IF($T80="","",G80*R80/100)</f>
        <v/>
      </c>
      <c r="I80" s="11">
        <f>IF($T80="","",INDEX('Per Line'!$Q$2:$Q$1001,$T80))</f>
        <v/>
      </c>
      <c r="J80">
        <f>IF($T80="","",Settings!$C$7)</f>
        <v/>
      </c>
      <c r="K80" s="7">
        <f>IF($T80="","",SUMIFS('Per Line'!$K$2:$K$1001,'Per Line'!$A$2:$A$1001,$B80,'Per Line'!$V$2:$V$1001,0))</f>
        <v/>
      </c>
      <c r="L80" s="7">
        <f>IF($T80="","",K80*J80)</f>
        <v/>
      </c>
      <c r="M80">
        <f>IF($T80="","",Settings!$C$6)</f>
        <v/>
      </c>
      <c r="N80" s="7">
        <f>IF($T80="","",SUMIFS('Per Line'!$K$2:$K$1001,'Per Line'!$A$2:$A$1001,$B80,'Per Line'!$V$2:$V$1001,1))</f>
        <v/>
      </c>
      <c r="O80" s="7">
        <f>IF($T80="","",N80*M80)</f>
        <v/>
      </c>
      <c r="P80" s="7">
        <f>IF($T80="","",O80+L80)</f>
        <v/>
      </c>
      <c r="Q80" s="7">
        <f>IF($T80="","",R80-P80)</f>
        <v/>
      </c>
      <c r="R80" s="7">
        <f>IF($T80="","",K80+N80)</f>
        <v/>
      </c>
      <c r="S80" s="7">
        <f>IF($T80="","",R80-P80-H80)</f>
        <v/>
      </c>
      <c r="T80" s="13">
        <f>IF(ROWS($T$2:$T80)&lt;=MAX('Per Line'!$U$2:$U$1001),MATCH(ROWS($T$2:$T80),'Per Line'!$U$2:$U$1001,0),"")</f>
        <v/>
      </c>
    </row>
    <row r="81">
      <c r="A81" s="12" t="n"/>
      <c r="B81">
        <f>IF($T81="","",INDEX('Per Line'!$A$2:$A$1001,$T81)&amp;"")</f>
        <v/>
      </c>
      <c r="C81" s="12" t="n"/>
      <c r="D81">
        <f>IF($T81="","",INDEX('Per Line'!$B$2:$B$1001,$T81)&amp;"")</f>
        <v/>
      </c>
      <c r="E81">
        <f>IF($T81="","",INDEX('Per Line'!$C$2:$C$1001,$T81)&amp;"")</f>
        <v/>
      </c>
      <c r="F81">
        <f>IF($T81="","",INDEX('Per Line'!$D$2:$D$1001,$T81)&amp;"")</f>
        <v/>
      </c>
      <c r="G81">
        <f>IF($T81="","",INDEX('Per Line'!$E$2:$E$1001,$T81))</f>
        <v/>
      </c>
      <c r="H81" s="7">
        <f>IF($T81="","",G81*R81/100)</f>
        <v/>
      </c>
      <c r="I81" s="11">
        <f>IF($T81="","",INDEX('Per Line'!$Q$2:$Q$1001,$T81))</f>
        <v/>
      </c>
      <c r="J81">
        <f>IF($T81="","",Settings!$C$7)</f>
        <v/>
      </c>
      <c r="K81" s="7">
        <f>IF($T81="","",SUMIFS('Per Line'!$K$2:$K$1001,'Per Line'!$A$2:$A$1001,$B81,'Per Line'!$V$2:$V$1001,0))</f>
        <v/>
      </c>
      <c r="L81" s="7">
        <f>IF($T81="","",K81*J81)</f>
        <v/>
      </c>
      <c r="M81">
        <f>IF($T81="","",Settings!$C$6)</f>
        <v/>
      </c>
      <c r="N81" s="7">
        <f>IF($T81="","",SUMIFS('Per Line'!$K$2:$K$1001,'Per Line'!$A$2:$A$1001,$B81,'Per Line'!$V$2:$V$1001,1))</f>
        <v/>
      </c>
      <c r="O81" s="7">
        <f>IF($T81="","",N81*M81)</f>
        <v/>
      </c>
      <c r="P81" s="7">
        <f>IF($T81="","",O81+L81)</f>
        <v/>
      </c>
      <c r="Q81" s="7">
        <f>IF($T81="","",R81-P81)</f>
        <v/>
      </c>
      <c r="R81" s="7">
        <f>IF($T81="","",K81+N81)</f>
        <v/>
      </c>
      <c r="S81" s="7">
        <f>IF($T81="","",R81-P81-H81)</f>
        <v/>
      </c>
      <c r="T81" s="13">
        <f>IF(ROWS($T$2:$T81)&lt;=MAX('Per Line'!$U$2:$U$1001),MATCH(ROWS($T$2:$T81),'Per Line'!$U$2:$U$1001,0),"")</f>
        <v/>
      </c>
    </row>
    <row r="82">
      <c r="A82" s="12" t="n"/>
      <c r="B82">
        <f>IF($T82="","",INDEX('Per Line'!$A$2:$A$1001,$T82)&amp;"")</f>
        <v/>
      </c>
      <c r="C82" s="12" t="n"/>
      <c r="D82">
        <f>IF($T82="","",INDEX('Per Line'!$B$2:$B$1001,$T82)&amp;"")</f>
        <v/>
      </c>
      <c r="E82">
        <f>IF($T82="","",INDEX('Per Line'!$C$2:$C$1001,$T82)&amp;"")</f>
        <v/>
      </c>
      <c r="F82">
        <f>IF($T82="","",INDEX('Per Line'!$D$2:$D$1001,$T82)&amp;"")</f>
        <v/>
      </c>
      <c r="G82">
        <f>IF($T82="","",INDEX('Per Line'!$E$2:$E$1001,$T82))</f>
        <v/>
      </c>
      <c r="H82" s="7">
        <f>IF($T82="","",G82*R82/100)</f>
        <v/>
      </c>
      <c r="I82" s="11">
        <f>IF($T82="","",INDEX('Per Line'!$Q$2:$Q$1001,$T82))</f>
        <v/>
      </c>
      <c r="J82">
        <f>IF($T82="","",Settings!$C$7)</f>
        <v/>
      </c>
      <c r="K82" s="7">
        <f>IF($T82="","",SUMIFS('Per Line'!$K$2:$K$1001,'Per Line'!$A$2:$A$1001,$B82,'Per Line'!$V$2:$V$1001,0))</f>
        <v/>
      </c>
      <c r="L82" s="7">
        <f>IF($T82="","",K82*J82)</f>
        <v/>
      </c>
      <c r="M82">
        <f>IF($T82="","",Settings!$C$6)</f>
        <v/>
      </c>
      <c r="N82" s="7">
        <f>IF($T82="","",SUMIFS('Per Line'!$K$2:$K$1001,'Per Line'!$A$2:$A$1001,$B82,'Per Line'!$V$2:$V$1001,1))</f>
        <v/>
      </c>
      <c r="O82" s="7">
        <f>IF($T82="","",N82*M82)</f>
        <v/>
      </c>
      <c r="P82" s="7">
        <f>IF($T82="","",O82+L82)</f>
        <v/>
      </c>
      <c r="Q82" s="7">
        <f>IF($T82="","",R82-P82)</f>
        <v/>
      </c>
      <c r="R82" s="7">
        <f>IF($T82="","",K82+N82)</f>
        <v/>
      </c>
      <c r="S82" s="7">
        <f>IF($T82="","",R82-P82-H82)</f>
        <v/>
      </c>
      <c r="T82" s="13">
        <f>IF(ROWS($T$2:$T82)&lt;=MAX('Per Line'!$U$2:$U$1001),MATCH(ROWS($T$2:$T82),'Per Line'!$U$2:$U$1001,0),"")</f>
        <v/>
      </c>
    </row>
    <row r="83">
      <c r="A83" s="12" t="n"/>
      <c r="B83">
        <f>IF($T83="","",INDEX('Per Line'!$A$2:$A$1001,$T83)&amp;"")</f>
        <v/>
      </c>
      <c r="C83" s="12" t="n"/>
      <c r="D83">
        <f>IF($T83="","",INDEX('Per Line'!$B$2:$B$1001,$T83)&amp;"")</f>
        <v/>
      </c>
      <c r="E83">
        <f>IF($T83="","",INDEX('Per Line'!$C$2:$C$1001,$T83)&amp;"")</f>
        <v/>
      </c>
      <c r="F83">
        <f>IF($T83="","",INDEX('Per Line'!$D$2:$D$1001,$T83)&amp;"")</f>
        <v/>
      </c>
      <c r="G83">
        <f>IF($T83="","",INDEX('Per Line'!$E$2:$E$1001,$T83))</f>
        <v/>
      </c>
      <c r="H83" s="7">
        <f>IF($T83="","",G83*R83/100)</f>
        <v/>
      </c>
      <c r="I83" s="11">
        <f>IF($T83="","",INDEX('Per Line'!$Q$2:$Q$1001,$T83))</f>
        <v/>
      </c>
      <c r="J83">
        <f>IF($T83="","",Settings!$C$7)</f>
        <v/>
      </c>
      <c r="K83" s="7">
        <f>IF($T83="","",SUMIFS('Per Line'!$K$2:$K$1001,'Per Line'!$A$2:$A$1001,$B83,'Per Line'!$V$2:$V$1001,0))</f>
        <v/>
      </c>
      <c r="L83" s="7">
        <f>IF($T83="","",K83*J83)</f>
        <v/>
      </c>
      <c r="M83">
        <f>IF($T83="","",Settings!$C$6)</f>
        <v/>
      </c>
      <c r="N83" s="7">
        <f>IF($T83="","",SUMIFS('Per Line'!$K$2:$K$1001,'Per Line'!$A$2:$A$1001,$B83,'Per Line'!$V$2:$V$1001,1))</f>
        <v/>
      </c>
      <c r="O83" s="7">
        <f>IF($T83="","",N83*M83)</f>
        <v/>
      </c>
      <c r="P83" s="7">
        <f>IF($T83="","",O83+L83)</f>
        <v/>
      </c>
      <c r="Q83" s="7">
        <f>IF($T83="","",R83-P83)</f>
        <v/>
      </c>
      <c r="R83" s="7">
        <f>IF($T83="","",K83+N83)</f>
        <v/>
      </c>
      <c r="S83" s="7">
        <f>IF($T83="","",R83-P83-H83)</f>
        <v/>
      </c>
      <c r="T83" s="13">
        <f>IF(ROWS($T$2:$T83)&lt;=MAX('Per Line'!$U$2:$U$1001),MATCH(ROWS($T$2:$T83),'Per Line'!$U$2:$U$1001,0),"")</f>
        <v/>
      </c>
    </row>
    <row r="84">
      <c r="A84" s="12" t="n"/>
      <c r="B84">
        <f>IF($T84="","",INDEX('Per Line'!$A$2:$A$1001,$T84)&amp;"")</f>
        <v/>
      </c>
      <c r="C84" s="12" t="n"/>
      <c r="D84">
        <f>IF($T84="","",INDEX('Per Line'!$B$2:$B$1001,$T84)&amp;"")</f>
        <v/>
      </c>
      <c r="E84">
        <f>IF($T84="","",INDEX('Per Line'!$C$2:$C$1001,$T84)&amp;"")</f>
        <v/>
      </c>
      <c r="F84">
        <f>IF($T84="","",INDEX('Per Line'!$D$2:$D$1001,$T84)&amp;"")</f>
        <v/>
      </c>
      <c r="G84">
        <f>IF($T84="","",INDEX('Per Line'!$E$2:$E$1001,$T84))</f>
        <v/>
      </c>
      <c r="H84" s="7">
        <f>IF($T84="","",G84*R84/100)</f>
        <v/>
      </c>
      <c r="I84" s="11">
        <f>IF($T84="","",INDEX('Per Line'!$Q$2:$Q$1001,$T84))</f>
        <v/>
      </c>
      <c r="J84">
        <f>IF($T84="","",Settings!$C$7)</f>
        <v/>
      </c>
      <c r="K84" s="7">
        <f>IF($T84="","",SUMIFS('Per Line'!$K$2:$K$1001,'Per Line'!$A$2:$A$1001,$B84,'Per Line'!$V$2:$V$1001,0))</f>
        <v/>
      </c>
      <c r="L84" s="7">
        <f>IF($T84="","",K84*J84)</f>
        <v/>
      </c>
      <c r="M84">
        <f>IF($T84="","",Settings!$C$6)</f>
        <v/>
      </c>
      <c r="N84" s="7">
        <f>IF($T84="","",SUMIFS('Per Line'!$K$2:$K$1001,'Per Line'!$A$2:$A$1001,$B84,'Per Line'!$V$2:$V$1001,1))</f>
        <v/>
      </c>
      <c r="O84" s="7">
        <f>IF($T84="","",N84*M84)</f>
        <v/>
      </c>
      <c r="P84" s="7">
        <f>IF($T84="","",O84+L84)</f>
        <v/>
      </c>
      <c r="Q84" s="7">
        <f>IF($T84="","",R84-P84)</f>
        <v/>
      </c>
      <c r="R84" s="7">
        <f>IF($T84="","",K84+N84)</f>
        <v/>
      </c>
      <c r="S84" s="7">
        <f>IF($T84="","",R84-P84-H84)</f>
        <v/>
      </c>
      <c r="T84" s="13">
        <f>IF(ROWS($T$2:$T84)&lt;=MAX('Per Line'!$U$2:$U$1001),MATCH(ROWS($T$2:$T84),'Per Line'!$U$2:$U$1001,0),"")</f>
        <v/>
      </c>
    </row>
    <row r="85">
      <c r="A85" s="12" t="n"/>
      <c r="B85">
        <f>IF($T85="","",INDEX('Per Line'!$A$2:$A$1001,$T85)&amp;"")</f>
        <v/>
      </c>
      <c r="C85" s="12" t="n"/>
      <c r="D85">
        <f>IF($T85="","",INDEX('Per Line'!$B$2:$B$1001,$T85)&amp;"")</f>
        <v/>
      </c>
      <c r="E85">
        <f>IF($T85="","",INDEX('Per Line'!$C$2:$C$1001,$T85)&amp;"")</f>
        <v/>
      </c>
      <c r="F85">
        <f>IF($T85="","",INDEX('Per Line'!$D$2:$D$1001,$T85)&amp;"")</f>
        <v/>
      </c>
      <c r="G85">
        <f>IF($T85="","",INDEX('Per Line'!$E$2:$E$1001,$T85))</f>
        <v/>
      </c>
      <c r="H85" s="7">
        <f>IF($T85="","",G85*R85/100)</f>
        <v/>
      </c>
      <c r="I85" s="11">
        <f>IF($T85="","",INDEX('Per Line'!$Q$2:$Q$1001,$T85))</f>
        <v/>
      </c>
      <c r="J85">
        <f>IF($T85="","",Settings!$C$7)</f>
        <v/>
      </c>
      <c r="K85" s="7">
        <f>IF($T85="","",SUMIFS('Per Line'!$K$2:$K$1001,'Per Line'!$A$2:$A$1001,$B85,'Per Line'!$V$2:$V$1001,0))</f>
        <v/>
      </c>
      <c r="L85" s="7">
        <f>IF($T85="","",K85*J85)</f>
        <v/>
      </c>
      <c r="M85">
        <f>IF($T85="","",Settings!$C$6)</f>
        <v/>
      </c>
      <c r="N85" s="7">
        <f>IF($T85="","",SUMIFS('Per Line'!$K$2:$K$1001,'Per Line'!$A$2:$A$1001,$B85,'Per Line'!$V$2:$V$1001,1))</f>
        <v/>
      </c>
      <c r="O85" s="7">
        <f>IF($T85="","",N85*M85)</f>
        <v/>
      </c>
      <c r="P85" s="7">
        <f>IF($T85="","",O85+L85)</f>
        <v/>
      </c>
      <c r="Q85" s="7">
        <f>IF($T85="","",R85-P85)</f>
        <v/>
      </c>
      <c r="R85" s="7">
        <f>IF($T85="","",K85+N85)</f>
        <v/>
      </c>
      <c r="S85" s="7">
        <f>IF($T85="","",R85-P85-H85)</f>
        <v/>
      </c>
      <c r="T85" s="13">
        <f>IF(ROWS($T$2:$T85)&lt;=MAX('Per Line'!$U$2:$U$1001),MATCH(ROWS($T$2:$T85),'Per Line'!$U$2:$U$1001,0),"")</f>
        <v/>
      </c>
    </row>
    <row r="86">
      <c r="A86" s="12" t="n"/>
      <c r="B86">
        <f>IF($T86="","",INDEX('Per Line'!$A$2:$A$1001,$T86)&amp;"")</f>
        <v/>
      </c>
      <c r="C86" s="12" t="n"/>
      <c r="D86">
        <f>IF($T86="","",INDEX('Per Line'!$B$2:$B$1001,$T86)&amp;"")</f>
        <v/>
      </c>
      <c r="E86">
        <f>IF($T86="","",INDEX('Per Line'!$C$2:$C$1001,$T86)&amp;"")</f>
        <v/>
      </c>
      <c r="F86">
        <f>IF($T86="","",INDEX('Per Line'!$D$2:$D$1001,$T86)&amp;"")</f>
        <v/>
      </c>
      <c r="G86">
        <f>IF($T86="","",INDEX('Per Line'!$E$2:$E$1001,$T86))</f>
        <v/>
      </c>
      <c r="H86" s="7">
        <f>IF($T86="","",G86*R86/100)</f>
        <v/>
      </c>
      <c r="I86" s="11">
        <f>IF($T86="","",INDEX('Per Line'!$Q$2:$Q$1001,$T86))</f>
        <v/>
      </c>
      <c r="J86">
        <f>IF($T86="","",Settings!$C$7)</f>
        <v/>
      </c>
      <c r="K86" s="7">
        <f>IF($T86="","",SUMIFS('Per Line'!$K$2:$K$1001,'Per Line'!$A$2:$A$1001,$B86,'Per Line'!$V$2:$V$1001,0))</f>
        <v/>
      </c>
      <c r="L86" s="7">
        <f>IF($T86="","",K86*J86)</f>
        <v/>
      </c>
      <c r="M86">
        <f>IF($T86="","",Settings!$C$6)</f>
        <v/>
      </c>
      <c r="N86" s="7">
        <f>IF($T86="","",SUMIFS('Per Line'!$K$2:$K$1001,'Per Line'!$A$2:$A$1001,$B86,'Per Line'!$V$2:$V$1001,1))</f>
        <v/>
      </c>
      <c r="O86" s="7">
        <f>IF($T86="","",N86*M86)</f>
        <v/>
      </c>
      <c r="P86" s="7">
        <f>IF($T86="","",O86+L86)</f>
        <v/>
      </c>
      <c r="Q86" s="7">
        <f>IF($T86="","",R86-P86)</f>
        <v/>
      </c>
      <c r="R86" s="7">
        <f>IF($T86="","",K86+N86)</f>
        <v/>
      </c>
      <c r="S86" s="7">
        <f>IF($T86="","",R86-P86-H86)</f>
        <v/>
      </c>
      <c r="T86" s="13">
        <f>IF(ROWS($T$2:$T86)&lt;=MAX('Per Line'!$U$2:$U$1001),MATCH(ROWS($T$2:$T86),'Per Line'!$U$2:$U$1001,0),"")</f>
        <v/>
      </c>
    </row>
    <row r="87">
      <c r="A87" s="12" t="n"/>
      <c r="B87">
        <f>IF($T87="","",INDEX('Per Line'!$A$2:$A$1001,$T87)&amp;"")</f>
        <v/>
      </c>
      <c r="C87" s="12" t="n"/>
      <c r="D87">
        <f>IF($T87="","",INDEX('Per Line'!$B$2:$B$1001,$T87)&amp;"")</f>
        <v/>
      </c>
      <c r="E87">
        <f>IF($T87="","",INDEX('Per Line'!$C$2:$C$1001,$T87)&amp;"")</f>
        <v/>
      </c>
      <c r="F87">
        <f>IF($T87="","",INDEX('Per Line'!$D$2:$D$1001,$T87)&amp;"")</f>
        <v/>
      </c>
      <c r="G87">
        <f>IF($T87="","",INDEX('Per Line'!$E$2:$E$1001,$T87))</f>
        <v/>
      </c>
      <c r="H87" s="7">
        <f>IF($T87="","",G87*R87/100)</f>
        <v/>
      </c>
      <c r="I87" s="11">
        <f>IF($T87="","",INDEX('Per Line'!$Q$2:$Q$1001,$T87))</f>
        <v/>
      </c>
      <c r="J87">
        <f>IF($T87="","",Settings!$C$7)</f>
        <v/>
      </c>
      <c r="K87" s="7">
        <f>IF($T87="","",SUMIFS('Per Line'!$K$2:$K$1001,'Per Line'!$A$2:$A$1001,$B87,'Per Line'!$V$2:$V$1001,0))</f>
        <v/>
      </c>
      <c r="L87" s="7">
        <f>IF($T87="","",K87*J87)</f>
        <v/>
      </c>
      <c r="M87">
        <f>IF($T87="","",Settings!$C$6)</f>
        <v/>
      </c>
      <c r="N87" s="7">
        <f>IF($T87="","",SUMIFS('Per Line'!$K$2:$K$1001,'Per Line'!$A$2:$A$1001,$B87,'Per Line'!$V$2:$V$1001,1))</f>
        <v/>
      </c>
      <c r="O87" s="7">
        <f>IF($T87="","",N87*M87)</f>
        <v/>
      </c>
      <c r="P87" s="7">
        <f>IF($T87="","",O87+L87)</f>
        <v/>
      </c>
      <c r="Q87" s="7">
        <f>IF($T87="","",R87-P87)</f>
        <v/>
      </c>
      <c r="R87" s="7">
        <f>IF($T87="","",K87+N87)</f>
        <v/>
      </c>
      <c r="S87" s="7">
        <f>IF($T87="","",R87-P87-H87)</f>
        <v/>
      </c>
      <c r="T87" s="13">
        <f>IF(ROWS($T$2:$T87)&lt;=MAX('Per Line'!$U$2:$U$1001),MATCH(ROWS($T$2:$T87),'Per Line'!$U$2:$U$1001,0),"")</f>
        <v/>
      </c>
    </row>
    <row r="88">
      <c r="A88" s="12" t="n"/>
      <c r="B88">
        <f>IF($T88="","",INDEX('Per Line'!$A$2:$A$1001,$T88)&amp;"")</f>
        <v/>
      </c>
      <c r="C88" s="12" t="n"/>
      <c r="D88">
        <f>IF($T88="","",INDEX('Per Line'!$B$2:$B$1001,$T88)&amp;"")</f>
        <v/>
      </c>
      <c r="E88">
        <f>IF($T88="","",INDEX('Per Line'!$C$2:$C$1001,$T88)&amp;"")</f>
        <v/>
      </c>
      <c r="F88">
        <f>IF($T88="","",INDEX('Per Line'!$D$2:$D$1001,$T88)&amp;"")</f>
        <v/>
      </c>
      <c r="G88">
        <f>IF($T88="","",INDEX('Per Line'!$E$2:$E$1001,$T88))</f>
        <v/>
      </c>
      <c r="H88" s="7">
        <f>IF($T88="","",G88*R88/100)</f>
        <v/>
      </c>
      <c r="I88" s="11">
        <f>IF($T88="","",INDEX('Per Line'!$Q$2:$Q$1001,$T88))</f>
        <v/>
      </c>
      <c r="J88">
        <f>IF($T88="","",Settings!$C$7)</f>
        <v/>
      </c>
      <c r="K88" s="7">
        <f>IF($T88="","",SUMIFS('Per Line'!$K$2:$K$1001,'Per Line'!$A$2:$A$1001,$B88,'Per Line'!$V$2:$V$1001,0))</f>
        <v/>
      </c>
      <c r="L88" s="7">
        <f>IF($T88="","",K88*J88)</f>
        <v/>
      </c>
      <c r="M88">
        <f>IF($T88="","",Settings!$C$6)</f>
        <v/>
      </c>
      <c r="N88" s="7">
        <f>IF($T88="","",SUMIFS('Per Line'!$K$2:$K$1001,'Per Line'!$A$2:$A$1001,$B88,'Per Line'!$V$2:$V$1001,1))</f>
        <v/>
      </c>
      <c r="O88" s="7">
        <f>IF($T88="","",N88*M88)</f>
        <v/>
      </c>
      <c r="P88" s="7">
        <f>IF($T88="","",O88+L88)</f>
        <v/>
      </c>
      <c r="Q88" s="7">
        <f>IF($T88="","",R88-P88)</f>
        <v/>
      </c>
      <c r="R88" s="7">
        <f>IF($T88="","",K88+N88)</f>
        <v/>
      </c>
      <c r="S88" s="7">
        <f>IF($T88="","",R88-P88-H88)</f>
        <v/>
      </c>
      <c r="T88" s="13">
        <f>IF(ROWS($T$2:$T88)&lt;=MAX('Per Line'!$U$2:$U$1001),MATCH(ROWS($T$2:$T88),'Per Line'!$U$2:$U$1001,0),"")</f>
        <v/>
      </c>
    </row>
    <row r="89">
      <c r="A89" s="12" t="n"/>
      <c r="B89">
        <f>IF($T89="","",INDEX('Per Line'!$A$2:$A$1001,$T89)&amp;"")</f>
        <v/>
      </c>
      <c r="C89" s="12" t="n"/>
      <c r="D89">
        <f>IF($T89="","",INDEX('Per Line'!$B$2:$B$1001,$T89)&amp;"")</f>
        <v/>
      </c>
      <c r="E89">
        <f>IF($T89="","",INDEX('Per Line'!$C$2:$C$1001,$T89)&amp;"")</f>
        <v/>
      </c>
      <c r="F89">
        <f>IF($T89="","",INDEX('Per Line'!$D$2:$D$1001,$T89)&amp;"")</f>
        <v/>
      </c>
      <c r="G89">
        <f>IF($T89="","",INDEX('Per Line'!$E$2:$E$1001,$T89))</f>
        <v/>
      </c>
      <c r="H89" s="7">
        <f>IF($T89="","",G89*R89/100)</f>
        <v/>
      </c>
      <c r="I89" s="11">
        <f>IF($T89="","",INDEX('Per Line'!$Q$2:$Q$1001,$T89))</f>
        <v/>
      </c>
      <c r="J89">
        <f>IF($T89="","",Settings!$C$7)</f>
        <v/>
      </c>
      <c r="K89" s="7">
        <f>IF($T89="","",SUMIFS('Per Line'!$K$2:$K$1001,'Per Line'!$A$2:$A$1001,$B89,'Per Line'!$V$2:$V$1001,0))</f>
        <v/>
      </c>
      <c r="L89" s="7">
        <f>IF($T89="","",K89*J89)</f>
        <v/>
      </c>
      <c r="M89">
        <f>IF($T89="","",Settings!$C$6)</f>
        <v/>
      </c>
      <c r="N89" s="7">
        <f>IF($T89="","",SUMIFS('Per Line'!$K$2:$K$1001,'Per Line'!$A$2:$A$1001,$B89,'Per Line'!$V$2:$V$1001,1))</f>
        <v/>
      </c>
      <c r="O89" s="7">
        <f>IF($T89="","",N89*M89)</f>
        <v/>
      </c>
      <c r="P89" s="7">
        <f>IF($T89="","",O89+L89)</f>
        <v/>
      </c>
      <c r="Q89" s="7">
        <f>IF($T89="","",R89-P89)</f>
        <v/>
      </c>
      <c r="R89" s="7">
        <f>IF($T89="","",K89+N89)</f>
        <v/>
      </c>
      <c r="S89" s="7">
        <f>IF($T89="","",R89-P89-H89)</f>
        <v/>
      </c>
      <c r="T89" s="13">
        <f>IF(ROWS($T$2:$T89)&lt;=MAX('Per Line'!$U$2:$U$1001),MATCH(ROWS($T$2:$T89),'Per Line'!$U$2:$U$1001,0),"")</f>
        <v/>
      </c>
    </row>
    <row r="90">
      <c r="A90" s="12" t="n"/>
      <c r="B90">
        <f>IF($T90="","",INDEX('Per Line'!$A$2:$A$1001,$T90)&amp;"")</f>
        <v/>
      </c>
      <c r="C90" s="12" t="n"/>
      <c r="D90">
        <f>IF($T90="","",INDEX('Per Line'!$B$2:$B$1001,$T90)&amp;"")</f>
        <v/>
      </c>
      <c r="E90">
        <f>IF($T90="","",INDEX('Per Line'!$C$2:$C$1001,$T90)&amp;"")</f>
        <v/>
      </c>
      <c r="F90">
        <f>IF($T90="","",INDEX('Per Line'!$D$2:$D$1001,$T90)&amp;"")</f>
        <v/>
      </c>
      <c r="G90">
        <f>IF($T90="","",INDEX('Per Line'!$E$2:$E$1001,$T90))</f>
        <v/>
      </c>
      <c r="H90" s="7">
        <f>IF($T90="","",G90*R90/100)</f>
        <v/>
      </c>
      <c r="I90" s="11">
        <f>IF($T90="","",INDEX('Per Line'!$Q$2:$Q$1001,$T90))</f>
        <v/>
      </c>
      <c r="J90">
        <f>IF($T90="","",Settings!$C$7)</f>
        <v/>
      </c>
      <c r="K90" s="7">
        <f>IF($T90="","",SUMIFS('Per Line'!$K$2:$K$1001,'Per Line'!$A$2:$A$1001,$B90,'Per Line'!$V$2:$V$1001,0))</f>
        <v/>
      </c>
      <c r="L90" s="7">
        <f>IF($T90="","",K90*J90)</f>
        <v/>
      </c>
      <c r="M90">
        <f>IF($T90="","",Settings!$C$6)</f>
        <v/>
      </c>
      <c r="N90" s="7">
        <f>IF($T90="","",SUMIFS('Per Line'!$K$2:$K$1001,'Per Line'!$A$2:$A$1001,$B90,'Per Line'!$V$2:$V$1001,1))</f>
        <v/>
      </c>
      <c r="O90" s="7">
        <f>IF($T90="","",N90*M90)</f>
        <v/>
      </c>
      <c r="P90" s="7">
        <f>IF($T90="","",O90+L90)</f>
        <v/>
      </c>
      <c r="Q90" s="7">
        <f>IF($T90="","",R90-P90)</f>
        <v/>
      </c>
      <c r="R90" s="7">
        <f>IF($T90="","",K90+N90)</f>
        <v/>
      </c>
      <c r="S90" s="7">
        <f>IF($T90="","",R90-P90-H90)</f>
        <v/>
      </c>
      <c r="T90" s="13">
        <f>IF(ROWS($T$2:$T90)&lt;=MAX('Per Line'!$U$2:$U$1001),MATCH(ROWS($T$2:$T90),'Per Line'!$U$2:$U$1001,0),"")</f>
        <v/>
      </c>
    </row>
    <row r="91">
      <c r="A91" s="12" t="n"/>
      <c r="B91">
        <f>IF($T91="","",INDEX('Per Line'!$A$2:$A$1001,$T91)&amp;"")</f>
        <v/>
      </c>
      <c r="C91" s="12" t="n"/>
      <c r="D91">
        <f>IF($T91="","",INDEX('Per Line'!$B$2:$B$1001,$T91)&amp;"")</f>
        <v/>
      </c>
      <c r="E91">
        <f>IF($T91="","",INDEX('Per Line'!$C$2:$C$1001,$T91)&amp;"")</f>
        <v/>
      </c>
      <c r="F91">
        <f>IF($T91="","",INDEX('Per Line'!$D$2:$D$1001,$T91)&amp;"")</f>
        <v/>
      </c>
      <c r="G91">
        <f>IF($T91="","",INDEX('Per Line'!$E$2:$E$1001,$T91))</f>
        <v/>
      </c>
      <c r="H91" s="7">
        <f>IF($T91="","",G91*R91/100)</f>
        <v/>
      </c>
      <c r="I91" s="11">
        <f>IF($T91="","",INDEX('Per Line'!$Q$2:$Q$1001,$T91))</f>
        <v/>
      </c>
      <c r="J91">
        <f>IF($T91="","",Settings!$C$7)</f>
        <v/>
      </c>
      <c r="K91" s="7">
        <f>IF($T91="","",SUMIFS('Per Line'!$K$2:$K$1001,'Per Line'!$A$2:$A$1001,$B91,'Per Line'!$V$2:$V$1001,0))</f>
        <v/>
      </c>
      <c r="L91" s="7">
        <f>IF($T91="","",K91*J91)</f>
        <v/>
      </c>
      <c r="M91">
        <f>IF($T91="","",Settings!$C$6)</f>
        <v/>
      </c>
      <c r="N91" s="7">
        <f>IF($T91="","",SUMIFS('Per Line'!$K$2:$K$1001,'Per Line'!$A$2:$A$1001,$B91,'Per Line'!$V$2:$V$1001,1))</f>
        <v/>
      </c>
      <c r="O91" s="7">
        <f>IF($T91="","",N91*M91)</f>
        <v/>
      </c>
      <c r="P91" s="7">
        <f>IF($T91="","",O91+L91)</f>
        <v/>
      </c>
      <c r="Q91" s="7">
        <f>IF($T91="","",R91-P91)</f>
        <v/>
      </c>
      <c r="R91" s="7">
        <f>IF($T91="","",K91+N91)</f>
        <v/>
      </c>
      <c r="S91" s="7">
        <f>IF($T91="","",R91-P91-H91)</f>
        <v/>
      </c>
      <c r="T91" s="13">
        <f>IF(ROWS($T$2:$T91)&lt;=MAX('Per Line'!$U$2:$U$1001),MATCH(ROWS($T$2:$T91),'Per Line'!$U$2:$U$1001,0),"")</f>
        <v/>
      </c>
    </row>
    <row r="92">
      <c r="A92" s="12" t="n"/>
      <c r="B92">
        <f>IF($T92="","",INDEX('Per Line'!$A$2:$A$1001,$T92)&amp;"")</f>
        <v/>
      </c>
      <c r="C92" s="12" t="n"/>
      <c r="D92">
        <f>IF($T92="","",INDEX('Per Line'!$B$2:$B$1001,$T92)&amp;"")</f>
        <v/>
      </c>
      <c r="E92">
        <f>IF($T92="","",INDEX('Per Line'!$C$2:$C$1001,$T92)&amp;"")</f>
        <v/>
      </c>
      <c r="F92">
        <f>IF($T92="","",INDEX('Per Line'!$D$2:$D$1001,$T92)&amp;"")</f>
        <v/>
      </c>
      <c r="G92">
        <f>IF($T92="","",INDEX('Per Line'!$E$2:$E$1001,$T92))</f>
        <v/>
      </c>
      <c r="H92" s="7">
        <f>IF($T92="","",G92*R92/100)</f>
        <v/>
      </c>
      <c r="I92" s="11">
        <f>IF($T92="","",INDEX('Per Line'!$Q$2:$Q$1001,$T92))</f>
        <v/>
      </c>
      <c r="J92">
        <f>IF($T92="","",Settings!$C$7)</f>
        <v/>
      </c>
      <c r="K92" s="7">
        <f>IF($T92="","",SUMIFS('Per Line'!$K$2:$K$1001,'Per Line'!$A$2:$A$1001,$B92,'Per Line'!$V$2:$V$1001,0))</f>
        <v/>
      </c>
      <c r="L92" s="7">
        <f>IF($T92="","",K92*J92)</f>
        <v/>
      </c>
      <c r="M92">
        <f>IF($T92="","",Settings!$C$6)</f>
        <v/>
      </c>
      <c r="N92" s="7">
        <f>IF($T92="","",SUMIFS('Per Line'!$K$2:$K$1001,'Per Line'!$A$2:$A$1001,$B92,'Per Line'!$V$2:$V$1001,1))</f>
        <v/>
      </c>
      <c r="O92" s="7">
        <f>IF($T92="","",N92*M92)</f>
        <v/>
      </c>
      <c r="P92" s="7">
        <f>IF($T92="","",O92+L92)</f>
        <v/>
      </c>
      <c r="Q92" s="7">
        <f>IF($T92="","",R92-P92)</f>
        <v/>
      </c>
      <c r="R92" s="7">
        <f>IF($T92="","",K92+N92)</f>
        <v/>
      </c>
      <c r="S92" s="7">
        <f>IF($T92="","",R92-P92-H92)</f>
        <v/>
      </c>
      <c r="T92" s="13">
        <f>IF(ROWS($T$2:$T92)&lt;=MAX('Per Line'!$U$2:$U$1001),MATCH(ROWS($T$2:$T92),'Per Line'!$U$2:$U$1001,0),"")</f>
        <v/>
      </c>
    </row>
    <row r="93">
      <c r="A93" s="12" t="n"/>
      <c r="B93">
        <f>IF($T93="","",INDEX('Per Line'!$A$2:$A$1001,$T93)&amp;"")</f>
        <v/>
      </c>
      <c r="C93" s="12" t="n"/>
      <c r="D93">
        <f>IF($T93="","",INDEX('Per Line'!$B$2:$B$1001,$T93)&amp;"")</f>
        <v/>
      </c>
      <c r="E93">
        <f>IF($T93="","",INDEX('Per Line'!$C$2:$C$1001,$T93)&amp;"")</f>
        <v/>
      </c>
      <c r="F93">
        <f>IF($T93="","",INDEX('Per Line'!$D$2:$D$1001,$T93)&amp;"")</f>
        <v/>
      </c>
      <c r="G93">
        <f>IF($T93="","",INDEX('Per Line'!$E$2:$E$1001,$T93))</f>
        <v/>
      </c>
      <c r="H93" s="7">
        <f>IF($T93="","",G93*R93/100)</f>
        <v/>
      </c>
      <c r="I93" s="11">
        <f>IF($T93="","",INDEX('Per Line'!$Q$2:$Q$1001,$T93))</f>
        <v/>
      </c>
      <c r="J93">
        <f>IF($T93="","",Settings!$C$7)</f>
        <v/>
      </c>
      <c r="K93" s="7">
        <f>IF($T93="","",SUMIFS('Per Line'!$K$2:$K$1001,'Per Line'!$A$2:$A$1001,$B93,'Per Line'!$V$2:$V$1001,0))</f>
        <v/>
      </c>
      <c r="L93" s="7">
        <f>IF($T93="","",K93*J93)</f>
        <v/>
      </c>
      <c r="M93">
        <f>IF($T93="","",Settings!$C$6)</f>
        <v/>
      </c>
      <c r="N93" s="7">
        <f>IF($T93="","",SUMIFS('Per Line'!$K$2:$K$1001,'Per Line'!$A$2:$A$1001,$B93,'Per Line'!$V$2:$V$1001,1))</f>
        <v/>
      </c>
      <c r="O93" s="7">
        <f>IF($T93="","",N93*M93)</f>
        <v/>
      </c>
      <c r="P93" s="7">
        <f>IF($T93="","",O93+L93)</f>
        <v/>
      </c>
      <c r="Q93" s="7">
        <f>IF($T93="","",R93-P93)</f>
        <v/>
      </c>
      <c r="R93" s="7">
        <f>IF($T93="","",K93+N93)</f>
        <v/>
      </c>
      <c r="S93" s="7">
        <f>IF($T93="","",R93-P93-H93)</f>
        <v/>
      </c>
      <c r="T93" s="13">
        <f>IF(ROWS($T$2:$T93)&lt;=MAX('Per Line'!$U$2:$U$1001),MATCH(ROWS($T$2:$T93),'Per Line'!$U$2:$U$1001,0),"")</f>
        <v/>
      </c>
    </row>
    <row r="94">
      <c r="A94" s="12" t="n"/>
      <c r="B94">
        <f>IF($T94="","",INDEX('Per Line'!$A$2:$A$1001,$T94)&amp;"")</f>
        <v/>
      </c>
      <c r="C94" s="12" t="n"/>
      <c r="D94">
        <f>IF($T94="","",INDEX('Per Line'!$B$2:$B$1001,$T94)&amp;"")</f>
        <v/>
      </c>
      <c r="E94">
        <f>IF($T94="","",INDEX('Per Line'!$C$2:$C$1001,$T94)&amp;"")</f>
        <v/>
      </c>
      <c r="F94">
        <f>IF($T94="","",INDEX('Per Line'!$D$2:$D$1001,$T94)&amp;"")</f>
        <v/>
      </c>
      <c r="G94">
        <f>IF($T94="","",INDEX('Per Line'!$E$2:$E$1001,$T94))</f>
        <v/>
      </c>
      <c r="H94" s="7">
        <f>IF($T94="","",G94*R94/100)</f>
        <v/>
      </c>
      <c r="I94" s="11">
        <f>IF($T94="","",INDEX('Per Line'!$Q$2:$Q$1001,$T94))</f>
        <v/>
      </c>
      <c r="J94">
        <f>IF($T94="","",Settings!$C$7)</f>
        <v/>
      </c>
      <c r="K94" s="7">
        <f>IF($T94="","",SUMIFS('Per Line'!$K$2:$K$1001,'Per Line'!$A$2:$A$1001,$B94,'Per Line'!$V$2:$V$1001,0))</f>
        <v/>
      </c>
      <c r="L94" s="7">
        <f>IF($T94="","",K94*J94)</f>
        <v/>
      </c>
      <c r="M94">
        <f>IF($T94="","",Settings!$C$6)</f>
        <v/>
      </c>
      <c r="N94" s="7">
        <f>IF($T94="","",SUMIFS('Per Line'!$K$2:$K$1001,'Per Line'!$A$2:$A$1001,$B94,'Per Line'!$V$2:$V$1001,1))</f>
        <v/>
      </c>
      <c r="O94" s="7">
        <f>IF($T94="","",N94*M94)</f>
        <v/>
      </c>
      <c r="P94" s="7">
        <f>IF($T94="","",O94+L94)</f>
        <v/>
      </c>
      <c r="Q94" s="7">
        <f>IF($T94="","",R94-P94)</f>
        <v/>
      </c>
      <c r="R94" s="7">
        <f>IF($T94="","",K94+N94)</f>
        <v/>
      </c>
      <c r="S94" s="7">
        <f>IF($T94="","",R94-P94-H94)</f>
        <v/>
      </c>
      <c r="T94" s="13">
        <f>IF(ROWS($T$2:$T94)&lt;=MAX('Per Line'!$U$2:$U$1001),MATCH(ROWS($T$2:$T94),'Per Line'!$U$2:$U$1001,0),"")</f>
        <v/>
      </c>
    </row>
    <row r="95">
      <c r="A95" s="12" t="n"/>
      <c r="B95">
        <f>IF($T95="","",INDEX('Per Line'!$A$2:$A$1001,$T95)&amp;"")</f>
        <v/>
      </c>
      <c r="C95" s="12" t="n"/>
      <c r="D95">
        <f>IF($T95="","",INDEX('Per Line'!$B$2:$B$1001,$T95)&amp;"")</f>
        <v/>
      </c>
      <c r="E95">
        <f>IF($T95="","",INDEX('Per Line'!$C$2:$C$1001,$T95)&amp;"")</f>
        <v/>
      </c>
      <c r="F95">
        <f>IF($T95="","",INDEX('Per Line'!$D$2:$D$1001,$T95)&amp;"")</f>
        <v/>
      </c>
      <c r="G95">
        <f>IF($T95="","",INDEX('Per Line'!$E$2:$E$1001,$T95))</f>
        <v/>
      </c>
      <c r="H95" s="7">
        <f>IF($T95="","",G95*R95/100)</f>
        <v/>
      </c>
      <c r="I95" s="11">
        <f>IF($T95="","",INDEX('Per Line'!$Q$2:$Q$1001,$T95))</f>
        <v/>
      </c>
      <c r="J95">
        <f>IF($T95="","",Settings!$C$7)</f>
        <v/>
      </c>
      <c r="K95" s="7">
        <f>IF($T95="","",SUMIFS('Per Line'!$K$2:$K$1001,'Per Line'!$A$2:$A$1001,$B95,'Per Line'!$V$2:$V$1001,0))</f>
        <v/>
      </c>
      <c r="L95" s="7">
        <f>IF($T95="","",K95*J95)</f>
        <v/>
      </c>
      <c r="M95">
        <f>IF($T95="","",Settings!$C$6)</f>
        <v/>
      </c>
      <c r="N95" s="7">
        <f>IF($T95="","",SUMIFS('Per Line'!$K$2:$K$1001,'Per Line'!$A$2:$A$1001,$B95,'Per Line'!$V$2:$V$1001,1))</f>
        <v/>
      </c>
      <c r="O95" s="7">
        <f>IF($T95="","",N95*M95)</f>
        <v/>
      </c>
      <c r="P95" s="7">
        <f>IF($T95="","",O95+L95)</f>
        <v/>
      </c>
      <c r="Q95" s="7">
        <f>IF($T95="","",R95-P95)</f>
        <v/>
      </c>
      <c r="R95" s="7">
        <f>IF($T95="","",K95+N95)</f>
        <v/>
      </c>
      <c r="S95" s="7">
        <f>IF($T95="","",R95-P95-H95)</f>
        <v/>
      </c>
      <c r="T95" s="13">
        <f>IF(ROWS($T$2:$T95)&lt;=MAX('Per Line'!$U$2:$U$1001),MATCH(ROWS($T$2:$T95),'Per Line'!$U$2:$U$1001,0),"")</f>
        <v/>
      </c>
    </row>
    <row r="96">
      <c r="A96" s="12" t="n"/>
      <c r="B96">
        <f>IF($T96="","",INDEX('Per Line'!$A$2:$A$1001,$T96)&amp;"")</f>
        <v/>
      </c>
      <c r="C96" s="12" t="n"/>
      <c r="D96">
        <f>IF($T96="","",INDEX('Per Line'!$B$2:$B$1001,$T96)&amp;"")</f>
        <v/>
      </c>
      <c r="E96">
        <f>IF($T96="","",INDEX('Per Line'!$C$2:$C$1001,$T96)&amp;"")</f>
        <v/>
      </c>
      <c r="F96">
        <f>IF($T96="","",INDEX('Per Line'!$D$2:$D$1001,$T96)&amp;"")</f>
        <v/>
      </c>
      <c r="G96">
        <f>IF($T96="","",INDEX('Per Line'!$E$2:$E$1001,$T96))</f>
        <v/>
      </c>
      <c r="H96" s="7">
        <f>IF($T96="","",G96*R96/100)</f>
        <v/>
      </c>
      <c r="I96" s="11">
        <f>IF($T96="","",INDEX('Per Line'!$Q$2:$Q$1001,$T96))</f>
        <v/>
      </c>
      <c r="J96">
        <f>IF($T96="","",Settings!$C$7)</f>
        <v/>
      </c>
      <c r="K96" s="7">
        <f>IF($T96="","",SUMIFS('Per Line'!$K$2:$K$1001,'Per Line'!$A$2:$A$1001,$B96,'Per Line'!$V$2:$V$1001,0))</f>
        <v/>
      </c>
      <c r="L96" s="7">
        <f>IF($T96="","",K96*J96)</f>
        <v/>
      </c>
      <c r="M96">
        <f>IF($T96="","",Settings!$C$6)</f>
        <v/>
      </c>
      <c r="N96" s="7">
        <f>IF($T96="","",SUMIFS('Per Line'!$K$2:$K$1001,'Per Line'!$A$2:$A$1001,$B96,'Per Line'!$V$2:$V$1001,1))</f>
        <v/>
      </c>
      <c r="O96" s="7">
        <f>IF($T96="","",N96*M96)</f>
        <v/>
      </c>
      <c r="P96" s="7">
        <f>IF($T96="","",O96+L96)</f>
        <v/>
      </c>
      <c r="Q96" s="7">
        <f>IF($T96="","",R96-P96)</f>
        <v/>
      </c>
      <c r="R96" s="7">
        <f>IF($T96="","",K96+N96)</f>
        <v/>
      </c>
      <c r="S96" s="7">
        <f>IF($T96="","",R96-P96-H96)</f>
        <v/>
      </c>
      <c r="T96" s="13">
        <f>IF(ROWS($T$2:$T96)&lt;=MAX('Per Line'!$U$2:$U$1001),MATCH(ROWS($T$2:$T96),'Per Line'!$U$2:$U$1001,0),"")</f>
        <v/>
      </c>
    </row>
    <row r="97">
      <c r="A97" s="12" t="n"/>
      <c r="B97">
        <f>IF($T97="","",INDEX('Per Line'!$A$2:$A$1001,$T97)&amp;"")</f>
        <v/>
      </c>
      <c r="C97" s="12" t="n"/>
      <c r="D97">
        <f>IF($T97="","",INDEX('Per Line'!$B$2:$B$1001,$T97)&amp;"")</f>
        <v/>
      </c>
      <c r="E97">
        <f>IF($T97="","",INDEX('Per Line'!$C$2:$C$1001,$T97)&amp;"")</f>
        <v/>
      </c>
      <c r="F97">
        <f>IF($T97="","",INDEX('Per Line'!$D$2:$D$1001,$T97)&amp;"")</f>
        <v/>
      </c>
      <c r="G97">
        <f>IF($T97="","",INDEX('Per Line'!$E$2:$E$1001,$T97))</f>
        <v/>
      </c>
      <c r="H97" s="7">
        <f>IF($T97="","",G97*R97/100)</f>
        <v/>
      </c>
      <c r="I97" s="11">
        <f>IF($T97="","",INDEX('Per Line'!$Q$2:$Q$1001,$T97))</f>
        <v/>
      </c>
      <c r="J97">
        <f>IF($T97="","",Settings!$C$7)</f>
        <v/>
      </c>
      <c r="K97" s="7">
        <f>IF($T97="","",SUMIFS('Per Line'!$K$2:$K$1001,'Per Line'!$A$2:$A$1001,$B97,'Per Line'!$V$2:$V$1001,0))</f>
        <v/>
      </c>
      <c r="L97" s="7">
        <f>IF($T97="","",K97*J97)</f>
        <v/>
      </c>
      <c r="M97">
        <f>IF($T97="","",Settings!$C$6)</f>
        <v/>
      </c>
      <c r="N97" s="7">
        <f>IF($T97="","",SUMIFS('Per Line'!$K$2:$K$1001,'Per Line'!$A$2:$A$1001,$B97,'Per Line'!$V$2:$V$1001,1))</f>
        <v/>
      </c>
      <c r="O97" s="7">
        <f>IF($T97="","",N97*M97)</f>
        <v/>
      </c>
      <c r="P97" s="7">
        <f>IF($T97="","",O97+L97)</f>
        <v/>
      </c>
      <c r="Q97" s="7">
        <f>IF($T97="","",R97-P97)</f>
        <v/>
      </c>
      <c r="R97" s="7">
        <f>IF($T97="","",K97+N97)</f>
        <v/>
      </c>
      <c r="S97" s="7">
        <f>IF($T97="","",R97-P97-H97)</f>
        <v/>
      </c>
      <c r="T97" s="13">
        <f>IF(ROWS($T$2:$T97)&lt;=MAX('Per Line'!$U$2:$U$1001),MATCH(ROWS($T$2:$T97),'Per Line'!$U$2:$U$1001,0),"")</f>
        <v/>
      </c>
    </row>
    <row r="98">
      <c r="A98" s="12" t="n"/>
      <c r="B98">
        <f>IF($T98="","",INDEX('Per Line'!$A$2:$A$1001,$T98)&amp;"")</f>
        <v/>
      </c>
      <c r="C98" s="12" t="n"/>
      <c r="D98">
        <f>IF($T98="","",INDEX('Per Line'!$B$2:$B$1001,$T98)&amp;"")</f>
        <v/>
      </c>
      <c r="E98">
        <f>IF($T98="","",INDEX('Per Line'!$C$2:$C$1001,$T98)&amp;"")</f>
        <v/>
      </c>
      <c r="F98">
        <f>IF($T98="","",INDEX('Per Line'!$D$2:$D$1001,$T98)&amp;"")</f>
        <v/>
      </c>
      <c r="G98">
        <f>IF($T98="","",INDEX('Per Line'!$E$2:$E$1001,$T98))</f>
        <v/>
      </c>
      <c r="H98" s="7">
        <f>IF($T98="","",G98*R98/100)</f>
        <v/>
      </c>
      <c r="I98" s="11">
        <f>IF($T98="","",INDEX('Per Line'!$Q$2:$Q$1001,$T98))</f>
        <v/>
      </c>
      <c r="J98">
        <f>IF($T98="","",Settings!$C$7)</f>
        <v/>
      </c>
      <c r="K98" s="7">
        <f>IF($T98="","",SUMIFS('Per Line'!$K$2:$K$1001,'Per Line'!$A$2:$A$1001,$B98,'Per Line'!$V$2:$V$1001,0))</f>
        <v/>
      </c>
      <c r="L98" s="7">
        <f>IF($T98="","",K98*J98)</f>
        <v/>
      </c>
      <c r="M98">
        <f>IF($T98="","",Settings!$C$6)</f>
        <v/>
      </c>
      <c r="N98" s="7">
        <f>IF($T98="","",SUMIFS('Per Line'!$K$2:$K$1001,'Per Line'!$A$2:$A$1001,$B98,'Per Line'!$V$2:$V$1001,1))</f>
        <v/>
      </c>
      <c r="O98" s="7">
        <f>IF($T98="","",N98*M98)</f>
        <v/>
      </c>
      <c r="P98" s="7">
        <f>IF($T98="","",O98+L98)</f>
        <v/>
      </c>
      <c r="Q98" s="7">
        <f>IF($T98="","",R98-P98)</f>
        <v/>
      </c>
      <c r="R98" s="7">
        <f>IF($T98="","",K98+N98)</f>
        <v/>
      </c>
      <c r="S98" s="7">
        <f>IF($T98="","",R98-P98-H98)</f>
        <v/>
      </c>
      <c r="T98" s="13">
        <f>IF(ROWS($T$2:$T98)&lt;=MAX('Per Line'!$U$2:$U$1001),MATCH(ROWS($T$2:$T98),'Per Line'!$U$2:$U$1001,0),"")</f>
        <v/>
      </c>
    </row>
    <row r="99">
      <c r="A99" s="12" t="n"/>
      <c r="B99">
        <f>IF($T99="","",INDEX('Per Line'!$A$2:$A$1001,$T99)&amp;"")</f>
        <v/>
      </c>
      <c r="C99" s="12" t="n"/>
      <c r="D99">
        <f>IF($T99="","",INDEX('Per Line'!$B$2:$B$1001,$T99)&amp;"")</f>
        <v/>
      </c>
      <c r="E99">
        <f>IF($T99="","",INDEX('Per Line'!$C$2:$C$1001,$T99)&amp;"")</f>
        <v/>
      </c>
      <c r="F99">
        <f>IF($T99="","",INDEX('Per Line'!$D$2:$D$1001,$T99)&amp;"")</f>
        <v/>
      </c>
      <c r="G99">
        <f>IF($T99="","",INDEX('Per Line'!$E$2:$E$1001,$T99))</f>
        <v/>
      </c>
      <c r="H99" s="7">
        <f>IF($T99="","",G99*R99/100)</f>
        <v/>
      </c>
      <c r="I99" s="11">
        <f>IF($T99="","",INDEX('Per Line'!$Q$2:$Q$1001,$T99))</f>
        <v/>
      </c>
      <c r="J99">
        <f>IF($T99="","",Settings!$C$7)</f>
        <v/>
      </c>
      <c r="K99" s="7">
        <f>IF($T99="","",SUMIFS('Per Line'!$K$2:$K$1001,'Per Line'!$A$2:$A$1001,$B99,'Per Line'!$V$2:$V$1001,0))</f>
        <v/>
      </c>
      <c r="L99" s="7">
        <f>IF($T99="","",K99*J99)</f>
        <v/>
      </c>
      <c r="M99">
        <f>IF($T99="","",Settings!$C$6)</f>
        <v/>
      </c>
      <c r="N99" s="7">
        <f>IF($T99="","",SUMIFS('Per Line'!$K$2:$K$1001,'Per Line'!$A$2:$A$1001,$B99,'Per Line'!$V$2:$V$1001,1))</f>
        <v/>
      </c>
      <c r="O99" s="7">
        <f>IF($T99="","",N99*M99)</f>
        <v/>
      </c>
      <c r="P99" s="7">
        <f>IF($T99="","",O99+L99)</f>
        <v/>
      </c>
      <c r="Q99" s="7">
        <f>IF($T99="","",R99-P99)</f>
        <v/>
      </c>
      <c r="R99" s="7">
        <f>IF($T99="","",K99+N99)</f>
        <v/>
      </c>
      <c r="S99" s="7">
        <f>IF($T99="","",R99-P99-H99)</f>
        <v/>
      </c>
      <c r="T99" s="13">
        <f>IF(ROWS($T$2:$T99)&lt;=MAX('Per Line'!$U$2:$U$1001),MATCH(ROWS($T$2:$T99),'Per Line'!$U$2:$U$1001,0),"")</f>
        <v/>
      </c>
    </row>
    <row r="100">
      <c r="A100" s="12" t="n"/>
      <c r="B100">
        <f>IF($T100="","",INDEX('Per Line'!$A$2:$A$1001,$T100)&amp;"")</f>
        <v/>
      </c>
      <c r="C100" s="12" t="n"/>
      <c r="D100">
        <f>IF($T100="","",INDEX('Per Line'!$B$2:$B$1001,$T100)&amp;"")</f>
        <v/>
      </c>
      <c r="E100">
        <f>IF($T100="","",INDEX('Per Line'!$C$2:$C$1001,$T100)&amp;"")</f>
        <v/>
      </c>
      <c r="F100">
        <f>IF($T100="","",INDEX('Per Line'!$D$2:$D$1001,$T100)&amp;"")</f>
        <v/>
      </c>
      <c r="G100">
        <f>IF($T100="","",INDEX('Per Line'!$E$2:$E$1001,$T100))</f>
        <v/>
      </c>
      <c r="H100" s="7">
        <f>IF($T100="","",G100*R100/100)</f>
        <v/>
      </c>
      <c r="I100" s="11">
        <f>IF($T100="","",INDEX('Per Line'!$Q$2:$Q$1001,$T100))</f>
        <v/>
      </c>
      <c r="J100">
        <f>IF($T100="","",Settings!$C$7)</f>
        <v/>
      </c>
      <c r="K100" s="7">
        <f>IF($T100="","",SUMIFS('Per Line'!$K$2:$K$1001,'Per Line'!$A$2:$A$1001,$B100,'Per Line'!$V$2:$V$1001,0))</f>
        <v/>
      </c>
      <c r="L100" s="7">
        <f>IF($T100="","",K100*J100)</f>
        <v/>
      </c>
      <c r="M100">
        <f>IF($T100="","",Settings!$C$6)</f>
        <v/>
      </c>
      <c r="N100" s="7">
        <f>IF($T100="","",SUMIFS('Per Line'!$K$2:$K$1001,'Per Line'!$A$2:$A$1001,$B100,'Per Line'!$V$2:$V$1001,1))</f>
        <v/>
      </c>
      <c r="O100" s="7">
        <f>IF($T100="","",N100*M100)</f>
        <v/>
      </c>
      <c r="P100" s="7">
        <f>IF($T100="","",O100+L100)</f>
        <v/>
      </c>
      <c r="Q100" s="7">
        <f>IF($T100="","",R100-P100)</f>
        <v/>
      </c>
      <c r="R100" s="7">
        <f>IF($T100="","",K100+N100)</f>
        <v/>
      </c>
      <c r="S100" s="7">
        <f>IF($T100="","",R100-P100-H100)</f>
        <v/>
      </c>
      <c r="T100" s="13">
        <f>IF(ROWS($T$2:$T100)&lt;=MAX('Per Line'!$U$2:$U$1001),MATCH(ROWS($T$2:$T100),'Per Line'!$U$2:$U$1001,0),"")</f>
        <v/>
      </c>
    </row>
    <row r="101">
      <c r="A101" s="12" t="n"/>
      <c r="B101">
        <f>IF($T101="","",INDEX('Per Line'!$A$2:$A$1001,$T101)&amp;"")</f>
        <v/>
      </c>
      <c r="C101" s="12" t="n"/>
      <c r="D101">
        <f>IF($T101="","",INDEX('Per Line'!$B$2:$B$1001,$T101)&amp;"")</f>
        <v/>
      </c>
      <c r="E101">
        <f>IF($T101="","",INDEX('Per Line'!$C$2:$C$1001,$T101)&amp;"")</f>
        <v/>
      </c>
      <c r="F101">
        <f>IF($T101="","",INDEX('Per Line'!$D$2:$D$1001,$T101)&amp;"")</f>
        <v/>
      </c>
      <c r="G101">
        <f>IF($T101="","",INDEX('Per Line'!$E$2:$E$1001,$T101))</f>
        <v/>
      </c>
      <c r="H101" s="7">
        <f>IF($T101="","",G101*R101/100)</f>
        <v/>
      </c>
      <c r="I101" s="11">
        <f>IF($T101="","",INDEX('Per Line'!$Q$2:$Q$1001,$T101))</f>
        <v/>
      </c>
      <c r="J101">
        <f>IF($T101="","",Settings!$C$7)</f>
        <v/>
      </c>
      <c r="K101" s="7">
        <f>IF($T101="","",SUMIFS('Per Line'!$K$2:$K$1001,'Per Line'!$A$2:$A$1001,$B101,'Per Line'!$V$2:$V$1001,0))</f>
        <v/>
      </c>
      <c r="L101" s="7">
        <f>IF($T101="","",K101*J101)</f>
        <v/>
      </c>
      <c r="M101">
        <f>IF($T101="","",Settings!$C$6)</f>
        <v/>
      </c>
      <c r="N101" s="7">
        <f>IF($T101="","",SUMIFS('Per Line'!$K$2:$K$1001,'Per Line'!$A$2:$A$1001,$B101,'Per Line'!$V$2:$V$1001,1))</f>
        <v/>
      </c>
      <c r="O101" s="7">
        <f>IF($T101="","",N101*M101)</f>
        <v/>
      </c>
      <c r="P101" s="7">
        <f>IF($T101="","",O101+L101)</f>
        <v/>
      </c>
      <c r="Q101" s="7">
        <f>IF($T101="","",R101-P101)</f>
        <v/>
      </c>
      <c r="R101" s="7">
        <f>IF($T101="","",K101+N101)</f>
        <v/>
      </c>
      <c r="S101" s="7">
        <f>IF($T101="","",R101-P101-H101)</f>
        <v/>
      </c>
      <c r="T101" s="13">
        <f>IF(ROWS($T$2:$T101)&lt;=MAX('Per Line'!$U$2:$U$1001),MATCH(ROWS($T$2:$T101),'Per Line'!$U$2:$U$1001,0),"")</f>
        <v/>
      </c>
    </row>
    <row r="102">
      <c r="A102" s="12" t="n"/>
      <c r="B102">
        <f>IF($T102="","",INDEX('Per Line'!$A$2:$A$1001,$T102)&amp;"")</f>
        <v/>
      </c>
      <c r="C102" s="12" t="n"/>
      <c r="D102">
        <f>IF($T102="","",INDEX('Per Line'!$B$2:$B$1001,$T102)&amp;"")</f>
        <v/>
      </c>
      <c r="E102">
        <f>IF($T102="","",INDEX('Per Line'!$C$2:$C$1001,$T102)&amp;"")</f>
        <v/>
      </c>
      <c r="F102">
        <f>IF($T102="","",INDEX('Per Line'!$D$2:$D$1001,$T102)&amp;"")</f>
        <v/>
      </c>
      <c r="G102">
        <f>IF($T102="","",INDEX('Per Line'!$E$2:$E$1001,$T102))</f>
        <v/>
      </c>
      <c r="H102" s="7">
        <f>IF($T102="","",G102*R102/100)</f>
        <v/>
      </c>
      <c r="I102" s="11">
        <f>IF($T102="","",INDEX('Per Line'!$Q$2:$Q$1001,$T102))</f>
        <v/>
      </c>
      <c r="J102">
        <f>IF($T102="","",Settings!$C$7)</f>
        <v/>
      </c>
      <c r="K102" s="7">
        <f>IF($T102="","",SUMIFS('Per Line'!$K$2:$K$1001,'Per Line'!$A$2:$A$1001,$B102,'Per Line'!$V$2:$V$1001,0))</f>
        <v/>
      </c>
      <c r="L102" s="7">
        <f>IF($T102="","",K102*J102)</f>
        <v/>
      </c>
      <c r="M102">
        <f>IF($T102="","",Settings!$C$6)</f>
        <v/>
      </c>
      <c r="N102" s="7">
        <f>IF($T102="","",SUMIFS('Per Line'!$K$2:$K$1001,'Per Line'!$A$2:$A$1001,$B102,'Per Line'!$V$2:$V$1001,1))</f>
        <v/>
      </c>
      <c r="O102" s="7">
        <f>IF($T102="","",N102*M102)</f>
        <v/>
      </c>
      <c r="P102" s="7">
        <f>IF($T102="","",O102+L102)</f>
        <v/>
      </c>
      <c r="Q102" s="7">
        <f>IF($T102="","",R102-P102)</f>
        <v/>
      </c>
      <c r="R102" s="7">
        <f>IF($T102="","",K102+N102)</f>
        <v/>
      </c>
      <c r="S102" s="7">
        <f>IF($T102="","",R102-P102-H102)</f>
        <v/>
      </c>
      <c r="T102" s="13">
        <f>IF(ROWS($T$2:$T102)&lt;=MAX('Per Line'!$U$2:$U$1001),MATCH(ROWS($T$2:$T102),'Per Line'!$U$2:$U$1001,0),"")</f>
        <v/>
      </c>
    </row>
    <row r="103">
      <c r="A103" s="12" t="n"/>
      <c r="B103">
        <f>IF($T103="","",INDEX('Per Line'!$A$2:$A$1001,$T103)&amp;"")</f>
        <v/>
      </c>
      <c r="C103" s="12" t="n"/>
      <c r="D103">
        <f>IF($T103="","",INDEX('Per Line'!$B$2:$B$1001,$T103)&amp;"")</f>
        <v/>
      </c>
      <c r="E103">
        <f>IF($T103="","",INDEX('Per Line'!$C$2:$C$1001,$T103)&amp;"")</f>
        <v/>
      </c>
      <c r="F103">
        <f>IF($T103="","",INDEX('Per Line'!$D$2:$D$1001,$T103)&amp;"")</f>
        <v/>
      </c>
      <c r="G103">
        <f>IF($T103="","",INDEX('Per Line'!$E$2:$E$1001,$T103))</f>
        <v/>
      </c>
      <c r="H103" s="7">
        <f>IF($T103="","",G103*R103/100)</f>
        <v/>
      </c>
      <c r="I103" s="11">
        <f>IF($T103="","",INDEX('Per Line'!$Q$2:$Q$1001,$T103))</f>
        <v/>
      </c>
      <c r="J103">
        <f>IF($T103="","",Settings!$C$7)</f>
        <v/>
      </c>
      <c r="K103" s="7">
        <f>IF($T103="","",SUMIFS('Per Line'!$K$2:$K$1001,'Per Line'!$A$2:$A$1001,$B103,'Per Line'!$V$2:$V$1001,0))</f>
        <v/>
      </c>
      <c r="L103" s="7">
        <f>IF($T103="","",K103*J103)</f>
        <v/>
      </c>
      <c r="M103">
        <f>IF($T103="","",Settings!$C$6)</f>
        <v/>
      </c>
      <c r="N103" s="7">
        <f>IF($T103="","",SUMIFS('Per Line'!$K$2:$K$1001,'Per Line'!$A$2:$A$1001,$B103,'Per Line'!$V$2:$V$1001,1))</f>
        <v/>
      </c>
      <c r="O103" s="7">
        <f>IF($T103="","",N103*M103)</f>
        <v/>
      </c>
      <c r="P103" s="7">
        <f>IF($T103="","",O103+L103)</f>
        <v/>
      </c>
      <c r="Q103" s="7">
        <f>IF($T103="","",R103-P103)</f>
        <v/>
      </c>
      <c r="R103" s="7">
        <f>IF($T103="","",K103+N103)</f>
        <v/>
      </c>
      <c r="S103" s="7">
        <f>IF($T103="","",R103-P103-H103)</f>
        <v/>
      </c>
      <c r="T103" s="13">
        <f>IF(ROWS($T$2:$T103)&lt;=MAX('Per Line'!$U$2:$U$1001),MATCH(ROWS($T$2:$T103),'Per Line'!$U$2:$U$1001,0),"")</f>
        <v/>
      </c>
    </row>
    <row r="104">
      <c r="A104" s="12" t="n"/>
      <c r="B104">
        <f>IF($T104="","",INDEX('Per Line'!$A$2:$A$1001,$T104)&amp;"")</f>
        <v/>
      </c>
      <c r="C104" s="12" t="n"/>
      <c r="D104">
        <f>IF($T104="","",INDEX('Per Line'!$B$2:$B$1001,$T104)&amp;"")</f>
        <v/>
      </c>
      <c r="E104">
        <f>IF($T104="","",INDEX('Per Line'!$C$2:$C$1001,$T104)&amp;"")</f>
        <v/>
      </c>
      <c r="F104">
        <f>IF($T104="","",INDEX('Per Line'!$D$2:$D$1001,$T104)&amp;"")</f>
        <v/>
      </c>
      <c r="G104">
        <f>IF($T104="","",INDEX('Per Line'!$E$2:$E$1001,$T104))</f>
        <v/>
      </c>
      <c r="H104" s="7">
        <f>IF($T104="","",G104*R104/100)</f>
        <v/>
      </c>
      <c r="I104" s="11">
        <f>IF($T104="","",INDEX('Per Line'!$Q$2:$Q$1001,$T104))</f>
        <v/>
      </c>
      <c r="J104">
        <f>IF($T104="","",Settings!$C$7)</f>
        <v/>
      </c>
      <c r="K104" s="7">
        <f>IF($T104="","",SUMIFS('Per Line'!$K$2:$K$1001,'Per Line'!$A$2:$A$1001,$B104,'Per Line'!$V$2:$V$1001,0))</f>
        <v/>
      </c>
      <c r="L104" s="7">
        <f>IF($T104="","",K104*J104)</f>
        <v/>
      </c>
      <c r="M104">
        <f>IF($T104="","",Settings!$C$6)</f>
        <v/>
      </c>
      <c r="N104" s="7">
        <f>IF($T104="","",SUMIFS('Per Line'!$K$2:$K$1001,'Per Line'!$A$2:$A$1001,$B104,'Per Line'!$V$2:$V$1001,1))</f>
        <v/>
      </c>
      <c r="O104" s="7">
        <f>IF($T104="","",N104*M104)</f>
        <v/>
      </c>
      <c r="P104" s="7">
        <f>IF($T104="","",O104+L104)</f>
        <v/>
      </c>
      <c r="Q104" s="7">
        <f>IF($T104="","",R104-P104)</f>
        <v/>
      </c>
      <c r="R104" s="7">
        <f>IF($T104="","",K104+N104)</f>
        <v/>
      </c>
      <c r="S104" s="7">
        <f>IF($T104="","",R104-P104-H104)</f>
        <v/>
      </c>
      <c r="T104" s="13">
        <f>IF(ROWS($T$2:$T104)&lt;=MAX('Per Line'!$U$2:$U$1001),MATCH(ROWS($T$2:$T104),'Per Line'!$U$2:$U$1001,0),"")</f>
        <v/>
      </c>
    </row>
    <row r="105">
      <c r="A105" s="12" t="n"/>
      <c r="B105">
        <f>IF($T105="","",INDEX('Per Line'!$A$2:$A$1001,$T105)&amp;"")</f>
        <v/>
      </c>
      <c r="C105" s="12" t="n"/>
      <c r="D105">
        <f>IF($T105="","",INDEX('Per Line'!$B$2:$B$1001,$T105)&amp;"")</f>
        <v/>
      </c>
      <c r="E105">
        <f>IF($T105="","",INDEX('Per Line'!$C$2:$C$1001,$T105)&amp;"")</f>
        <v/>
      </c>
      <c r="F105">
        <f>IF($T105="","",INDEX('Per Line'!$D$2:$D$1001,$T105)&amp;"")</f>
        <v/>
      </c>
      <c r="G105">
        <f>IF($T105="","",INDEX('Per Line'!$E$2:$E$1001,$T105))</f>
        <v/>
      </c>
      <c r="H105" s="7">
        <f>IF($T105="","",G105*R105/100)</f>
        <v/>
      </c>
      <c r="I105" s="11">
        <f>IF($T105="","",INDEX('Per Line'!$Q$2:$Q$1001,$T105))</f>
        <v/>
      </c>
      <c r="J105">
        <f>IF($T105="","",Settings!$C$7)</f>
        <v/>
      </c>
      <c r="K105" s="7">
        <f>IF($T105="","",SUMIFS('Per Line'!$K$2:$K$1001,'Per Line'!$A$2:$A$1001,$B105,'Per Line'!$V$2:$V$1001,0))</f>
        <v/>
      </c>
      <c r="L105" s="7">
        <f>IF($T105="","",K105*J105)</f>
        <v/>
      </c>
      <c r="M105">
        <f>IF($T105="","",Settings!$C$6)</f>
        <v/>
      </c>
      <c r="N105" s="7">
        <f>IF($T105="","",SUMIFS('Per Line'!$K$2:$K$1001,'Per Line'!$A$2:$A$1001,$B105,'Per Line'!$V$2:$V$1001,1))</f>
        <v/>
      </c>
      <c r="O105" s="7">
        <f>IF($T105="","",N105*M105)</f>
        <v/>
      </c>
      <c r="P105" s="7">
        <f>IF($T105="","",O105+L105)</f>
        <v/>
      </c>
      <c r="Q105" s="7">
        <f>IF($T105="","",R105-P105)</f>
        <v/>
      </c>
      <c r="R105" s="7">
        <f>IF($T105="","",K105+N105)</f>
        <v/>
      </c>
      <c r="S105" s="7">
        <f>IF($T105="","",R105-P105-H105)</f>
        <v/>
      </c>
      <c r="T105" s="13">
        <f>IF(ROWS($T$2:$T105)&lt;=MAX('Per Line'!$U$2:$U$1001),MATCH(ROWS($T$2:$T105),'Per Line'!$U$2:$U$1001,0),"")</f>
        <v/>
      </c>
    </row>
    <row r="106">
      <c r="A106" s="12" t="n"/>
      <c r="B106">
        <f>IF($T106="","",INDEX('Per Line'!$A$2:$A$1001,$T106)&amp;"")</f>
        <v/>
      </c>
      <c r="C106" s="12" t="n"/>
      <c r="D106">
        <f>IF($T106="","",INDEX('Per Line'!$B$2:$B$1001,$T106)&amp;"")</f>
        <v/>
      </c>
      <c r="E106">
        <f>IF($T106="","",INDEX('Per Line'!$C$2:$C$1001,$T106)&amp;"")</f>
        <v/>
      </c>
      <c r="F106">
        <f>IF($T106="","",INDEX('Per Line'!$D$2:$D$1001,$T106)&amp;"")</f>
        <v/>
      </c>
      <c r="G106">
        <f>IF($T106="","",INDEX('Per Line'!$E$2:$E$1001,$T106))</f>
        <v/>
      </c>
      <c r="H106" s="7">
        <f>IF($T106="","",G106*R106/100)</f>
        <v/>
      </c>
      <c r="I106" s="11">
        <f>IF($T106="","",INDEX('Per Line'!$Q$2:$Q$1001,$T106))</f>
        <v/>
      </c>
      <c r="J106">
        <f>IF($T106="","",Settings!$C$7)</f>
        <v/>
      </c>
      <c r="K106" s="7">
        <f>IF($T106="","",SUMIFS('Per Line'!$K$2:$K$1001,'Per Line'!$A$2:$A$1001,$B106,'Per Line'!$V$2:$V$1001,0))</f>
        <v/>
      </c>
      <c r="L106" s="7">
        <f>IF($T106="","",K106*J106)</f>
        <v/>
      </c>
      <c r="M106">
        <f>IF($T106="","",Settings!$C$6)</f>
        <v/>
      </c>
      <c r="N106" s="7">
        <f>IF($T106="","",SUMIFS('Per Line'!$K$2:$K$1001,'Per Line'!$A$2:$A$1001,$B106,'Per Line'!$V$2:$V$1001,1))</f>
        <v/>
      </c>
      <c r="O106" s="7">
        <f>IF($T106="","",N106*M106)</f>
        <v/>
      </c>
      <c r="P106" s="7">
        <f>IF($T106="","",O106+L106)</f>
        <v/>
      </c>
      <c r="Q106" s="7">
        <f>IF($T106="","",R106-P106)</f>
        <v/>
      </c>
      <c r="R106" s="7">
        <f>IF($T106="","",K106+N106)</f>
        <v/>
      </c>
      <c r="S106" s="7">
        <f>IF($T106="","",R106-P106-H106)</f>
        <v/>
      </c>
      <c r="T106" s="13">
        <f>IF(ROWS($T$2:$T106)&lt;=MAX('Per Line'!$U$2:$U$1001),MATCH(ROWS($T$2:$T106),'Per Line'!$U$2:$U$1001,0),"")</f>
        <v/>
      </c>
    </row>
    <row r="107">
      <c r="A107" s="12" t="n"/>
      <c r="B107">
        <f>IF($T107="","",INDEX('Per Line'!$A$2:$A$1001,$T107)&amp;"")</f>
        <v/>
      </c>
      <c r="C107" s="12" t="n"/>
      <c r="D107">
        <f>IF($T107="","",INDEX('Per Line'!$B$2:$B$1001,$T107)&amp;"")</f>
        <v/>
      </c>
      <c r="E107">
        <f>IF($T107="","",INDEX('Per Line'!$C$2:$C$1001,$T107)&amp;"")</f>
        <v/>
      </c>
      <c r="F107">
        <f>IF($T107="","",INDEX('Per Line'!$D$2:$D$1001,$T107)&amp;"")</f>
        <v/>
      </c>
      <c r="G107">
        <f>IF($T107="","",INDEX('Per Line'!$E$2:$E$1001,$T107))</f>
        <v/>
      </c>
      <c r="H107" s="7">
        <f>IF($T107="","",G107*R107/100)</f>
        <v/>
      </c>
      <c r="I107" s="11">
        <f>IF($T107="","",INDEX('Per Line'!$Q$2:$Q$1001,$T107))</f>
        <v/>
      </c>
      <c r="J107">
        <f>IF($T107="","",Settings!$C$7)</f>
        <v/>
      </c>
      <c r="K107" s="7">
        <f>IF($T107="","",SUMIFS('Per Line'!$K$2:$K$1001,'Per Line'!$A$2:$A$1001,$B107,'Per Line'!$V$2:$V$1001,0))</f>
        <v/>
      </c>
      <c r="L107" s="7">
        <f>IF($T107="","",K107*J107)</f>
        <v/>
      </c>
      <c r="M107">
        <f>IF($T107="","",Settings!$C$6)</f>
        <v/>
      </c>
      <c r="N107" s="7">
        <f>IF($T107="","",SUMIFS('Per Line'!$K$2:$K$1001,'Per Line'!$A$2:$A$1001,$B107,'Per Line'!$V$2:$V$1001,1))</f>
        <v/>
      </c>
      <c r="O107" s="7">
        <f>IF($T107="","",N107*M107)</f>
        <v/>
      </c>
      <c r="P107" s="7">
        <f>IF($T107="","",O107+L107)</f>
        <v/>
      </c>
      <c r="Q107" s="7">
        <f>IF($T107="","",R107-P107)</f>
        <v/>
      </c>
      <c r="R107" s="7">
        <f>IF($T107="","",K107+N107)</f>
        <v/>
      </c>
      <c r="S107" s="7">
        <f>IF($T107="","",R107-P107-H107)</f>
        <v/>
      </c>
      <c r="T107" s="13">
        <f>IF(ROWS($T$2:$T107)&lt;=MAX('Per Line'!$U$2:$U$1001),MATCH(ROWS($T$2:$T107),'Per Line'!$U$2:$U$1001,0),"")</f>
        <v/>
      </c>
    </row>
    <row r="108">
      <c r="A108" s="12" t="n"/>
      <c r="B108">
        <f>IF($T108="","",INDEX('Per Line'!$A$2:$A$1001,$T108)&amp;"")</f>
        <v/>
      </c>
      <c r="C108" s="12" t="n"/>
      <c r="D108">
        <f>IF($T108="","",INDEX('Per Line'!$B$2:$B$1001,$T108)&amp;"")</f>
        <v/>
      </c>
      <c r="E108">
        <f>IF($T108="","",INDEX('Per Line'!$C$2:$C$1001,$T108)&amp;"")</f>
        <v/>
      </c>
      <c r="F108">
        <f>IF($T108="","",INDEX('Per Line'!$D$2:$D$1001,$T108)&amp;"")</f>
        <v/>
      </c>
      <c r="G108">
        <f>IF($T108="","",INDEX('Per Line'!$E$2:$E$1001,$T108))</f>
        <v/>
      </c>
      <c r="H108" s="7">
        <f>IF($T108="","",G108*R108/100)</f>
        <v/>
      </c>
      <c r="I108" s="11">
        <f>IF($T108="","",INDEX('Per Line'!$Q$2:$Q$1001,$T108))</f>
        <v/>
      </c>
      <c r="J108">
        <f>IF($T108="","",Settings!$C$7)</f>
        <v/>
      </c>
      <c r="K108" s="7">
        <f>IF($T108="","",SUMIFS('Per Line'!$K$2:$K$1001,'Per Line'!$A$2:$A$1001,$B108,'Per Line'!$V$2:$V$1001,0))</f>
        <v/>
      </c>
      <c r="L108" s="7">
        <f>IF($T108="","",K108*J108)</f>
        <v/>
      </c>
      <c r="M108">
        <f>IF($T108="","",Settings!$C$6)</f>
        <v/>
      </c>
      <c r="N108" s="7">
        <f>IF($T108="","",SUMIFS('Per Line'!$K$2:$K$1001,'Per Line'!$A$2:$A$1001,$B108,'Per Line'!$V$2:$V$1001,1))</f>
        <v/>
      </c>
      <c r="O108" s="7">
        <f>IF($T108="","",N108*M108)</f>
        <v/>
      </c>
      <c r="P108" s="7">
        <f>IF($T108="","",O108+L108)</f>
        <v/>
      </c>
      <c r="Q108" s="7">
        <f>IF($T108="","",R108-P108)</f>
        <v/>
      </c>
      <c r="R108" s="7">
        <f>IF($T108="","",K108+N108)</f>
        <v/>
      </c>
      <c r="S108" s="7">
        <f>IF($T108="","",R108-P108-H108)</f>
        <v/>
      </c>
      <c r="T108" s="13">
        <f>IF(ROWS($T$2:$T108)&lt;=MAX('Per Line'!$U$2:$U$1001),MATCH(ROWS($T$2:$T108),'Per Line'!$U$2:$U$1001,0),"")</f>
        <v/>
      </c>
    </row>
    <row r="109">
      <c r="A109" s="12" t="n"/>
      <c r="B109">
        <f>IF($T109="","",INDEX('Per Line'!$A$2:$A$1001,$T109)&amp;"")</f>
        <v/>
      </c>
      <c r="C109" s="12" t="n"/>
      <c r="D109">
        <f>IF($T109="","",INDEX('Per Line'!$B$2:$B$1001,$T109)&amp;"")</f>
        <v/>
      </c>
      <c r="E109">
        <f>IF($T109="","",INDEX('Per Line'!$C$2:$C$1001,$T109)&amp;"")</f>
        <v/>
      </c>
      <c r="F109">
        <f>IF($T109="","",INDEX('Per Line'!$D$2:$D$1001,$T109)&amp;"")</f>
        <v/>
      </c>
      <c r="G109">
        <f>IF($T109="","",INDEX('Per Line'!$E$2:$E$1001,$T109))</f>
        <v/>
      </c>
      <c r="H109" s="7">
        <f>IF($T109="","",G109*R109/100)</f>
        <v/>
      </c>
      <c r="I109" s="11">
        <f>IF($T109="","",INDEX('Per Line'!$Q$2:$Q$1001,$T109))</f>
        <v/>
      </c>
      <c r="J109">
        <f>IF($T109="","",Settings!$C$7)</f>
        <v/>
      </c>
      <c r="K109" s="7">
        <f>IF($T109="","",SUMIFS('Per Line'!$K$2:$K$1001,'Per Line'!$A$2:$A$1001,$B109,'Per Line'!$V$2:$V$1001,0))</f>
        <v/>
      </c>
      <c r="L109" s="7">
        <f>IF($T109="","",K109*J109)</f>
        <v/>
      </c>
      <c r="M109">
        <f>IF($T109="","",Settings!$C$6)</f>
        <v/>
      </c>
      <c r="N109" s="7">
        <f>IF($T109="","",SUMIFS('Per Line'!$K$2:$K$1001,'Per Line'!$A$2:$A$1001,$B109,'Per Line'!$V$2:$V$1001,1))</f>
        <v/>
      </c>
      <c r="O109" s="7">
        <f>IF($T109="","",N109*M109)</f>
        <v/>
      </c>
      <c r="P109" s="7">
        <f>IF($T109="","",O109+L109)</f>
        <v/>
      </c>
      <c r="Q109" s="7">
        <f>IF($T109="","",R109-P109)</f>
        <v/>
      </c>
      <c r="R109" s="7">
        <f>IF($T109="","",K109+N109)</f>
        <v/>
      </c>
      <c r="S109" s="7">
        <f>IF($T109="","",R109-P109-H109)</f>
        <v/>
      </c>
      <c r="T109" s="13">
        <f>IF(ROWS($T$2:$T109)&lt;=MAX('Per Line'!$U$2:$U$1001),MATCH(ROWS($T$2:$T109),'Per Line'!$U$2:$U$1001,0),"")</f>
        <v/>
      </c>
    </row>
    <row r="110">
      <c r="A110" s="12" t="n"/>
      <c r="B110">
        <f>IF($T110="","",INDEX('Per Line'!$A$2:$A$1001,$T110)&amp;"")</f>
        <v/>
      </c>
      <c r="C110" s="12" t="n"/>
      <c r="D110">
        <f>IF($T110="","",INDEX('Per Line'!$B$2:$B$1001,$T110)&amp;"")</f>
        <v/>
      </c>
      <c r="E110">
        <f>IF($T110="","",INDEX('Per Line'!$C$2:$C$1001,$T110)&amp;"")</f>
        <v/>
      </c>
      <c r="F110">
        <f>IF($T110="","",INDEX('Per Line'!$D$2:$D$1001,$T110)&amp;"")</f>
        <v/>
      </c>
      <c r="G110">
        <f>IF($T110="","",INDEX('Per Line'!$E$2:$E$1001,$T110))</f>
        <v/>
      </c>
      <c r="H110" s="7">
        <f>IF($T110="","",G110*R110/100)</f>
        <v/>
      </c>
      <c r="I110" s="11">
        <f>IF($T110="","",INDEX('Per Line'!$Q$2:$Q$1001,$T110))</f>
        <v/>
      </c>
      <c r="J110">
        <f>IF($T110="","",Settings!$C$7)</f>
        <v/>
      </c>
      <c r="K110" s="7">
        <f>IF($T110="","",SUMIFS('Per Line'!$K$2:$K$1001,'Per Line'!$A$2:$A$1001,$B110,'Per Line'!$V$2:$V$1001,0))</f>
        <v/>
      </c>
      <c r="L110" s="7">
        <f>IF($T110="","",K110*J110)</f>
        <v/>
      </c>
      <c r="M110">
        <f>IF($T110="","",Settings!$C$6)</f>
        <v/>
      </c>
      <c r="N110" s="7">
        <f>IF($T110="","",SUMIFS('Per Line'!$K$2:$K$1001,'Per Line'!$A$2:$A$1001,$B110,'Per Line'!$V$2:$V$1001,1))</f>
        <v/>
      </c>
      <c r="O110" s="7">
        <f>IF($T110="","",N110*M110)</f>
        <v/>
      </c>
      <c r="P110" s="7">
        <f>IF($T110="","",O110+L110)</f>
        <v/>
      </c>
      <c r="Q110" s="7">
        <f>IF($T110="","",R110-P110)</f>
        <v/>
      </c>
      <c r="R110" s="7">
        <f>IF($T110="","",K110+N110)</f>
        <v/>
      </c>
      <c r="S110" s="7">
        <f>IF($T110="","",R110-P110-H110)</f>
        <v/>
      </c>
      <c r="T110" s="13">
        <f>IF(ROWS($T$2:$T110)&lt;=MAX('Per Line'!$U$2:$U$1001),MATCH(ROWS($T$2:$T110),'Per Line'!$U$2:$U$1001,0),"")</f>
        <v/>
      </c>
    </row>
    <row r="111">
      <c r="A111" s="12" t="n"/>
      <c r="B111">
        <f>IF($T111="","",INDEX('Per Line'!$A$2:$A$1001,$T111)&amp;"")</f>
        <v/>
      </c>
      <c r="C111" s="12" t="n"/>
      <c r="D111">
        <f>IF($T111="","",INDEX('Per Line'!$B$2:$B$1001,$T111)&amp;"")</f>
        <v/>
      </c>
      <c r="E111">
        <f>IF($T111="","",INDEX('Per Line'!$C$2:$C$1001,$T111)&amp;"")</f>
        <v/>
      </c>
      <c r="F111">
        <f>IF($T111="","",INDEX('Per Line'!$D$2:$D$1001,$T111)&amp;"")</f>
        <v/>
      </c>
      <c r="G111">
        <f>IF($T111="","",INDEX('Per Line'!$E$2:$E$1001,$T111))</f>
        <v/>
      </c>
      <c r="H111" s="7">
        <f>IF($T111="","",G111*R111/100)</f>
        <v/>
      </c>
      <c r="I111" s="11">
        <f>IF($T111="","",INDEX('Per Line'!$Q$2:$Q$1001,$T111))</f>
        <v/>
      </c>
      <c r="J111">
        <f>IF($T111="","",Settings!$C$7)</f>
        <v/>
      </c>
      <c r="K111" s="7">
        <f>IF($T111="","",SUMIFS('Per Line'!$K$2:$K$1001,'Per Line'!$A$2:$A$1001,$B111,'Per Line'!$V$2:$V$1001,0))</f>
        <v/>
      </c>
      <c r="L111" s="7">
        <f>IF($T111="","",K111*J111)</f>
        <v/>
      </c>
      <c r="M111">
        <f>IF($T111="","",Settings!$C$6)</f>
        <v/>
      </c>
      <c r="N111" s="7">
        <f>IF($T111="","",SUMIFS('Per Line'!$K$2:$K$1001,'Per Line'!$A$2:$A$1001,$B111,'Per Line'!$V$2:$V$1001,1))</f>
        <v/>
      </c>
      <c r="O111" s="7">
        <f>IF($T111="","",N111*M111)</f>
        <v/>
      </c>
      <c r="P111" s="7">
        <f>IF($T111="","",O111+L111)</f>
        <v/>
      </c>
      <c r="Q111" s="7">
        <f>IF($T111="","",R111-P111)</f>
        <v/>
      </c>
      <c r="R111" s="7">
        <f>IF($T111="","",K111+N111)</f>
        <v/>
      </c>
      <c r="S111" s="7">
        <f>IF($T111="","",R111-P111-H111)</f>
        <v/>
      </c>
      <c r="T111" s="13">
        <f>IF(ROWS($T$2:$T111)&lt;=MAX('Per Line'!$U$2:$U$1001),MATCH(ROWS($T$2:$T111),'Per Line'!$U$2:$U$1001,0),"")</f>
        <v/>
      </c>
    </row>
    <row r="112">
      <c r="A112" s="12" t="n"/>
      <c r="B112">
        <f>IF($T112="","",INDEX('Per Line'!$A$2:$A$1001,$T112)&amp;"")</f>
        <v/>
      </c>
      <c r="C112" s="12" t="n"/>
      <c r="D112">
        <f>IF($T112="","",INDEX('Per Line'!$B$2:$B$1001,$T112)&amp;"")</f>
        <v/>
      </c>
      <c r="E112">
        <f>IF($T112="","",INDEX('Per Line'!$C$2:$C$1001,$T112)&amp;"")</f>
        <v/>
      </c>
      <c r="F112">
        <f>IF($T112="","",INDEX('Per Line'!$D$2:$D$1001,$T112)&amp;"")</f>
        <v/>
      </c>
      <c r="G112">
        <f>IF($T112="","",INDEX('Per Line'!$E$2:$E$1001,$T112))</f>
        <v/>
      </c>
      <c r="H112" s="7">
        <f>IF($T112="","",G112*R112/100)</f>
        <v/>
      </c>
      <c r="I112" s="11">
        <f>IF($T112="","",INDEX('Per Line'!$Q$2:$Q$1001,$T112))</f>
        <v/>
      </c>
      <c r="J112">
        <f>IF($T112="","",Settings!$C$7)</f>
        <v/>
      </c>
      <c r="K112" s="7">
        <f>IF($T112="","",SUMIFS('Per Line'!$K$2:$K$1001,'Per Line'!$A$2:$A$1001,$B112,'Per Line'!$V$2:$V$1001,0))</f>
        <v/>
      </c>
      <c r="L112" s="7">
        <f>IF($T112="","",K112*J112)</f>
        <v/>
      </c>
      <c r="M112">
        <f>IF($T112="","",Settings!$C$6)</f>
        <v/>
      </c>
      <c r="N112" s="7">
        <f>IF($T112="","",SUMIFS('Per Line'!$K$2:$K$1001,'Per Line'!$A$2:$A$1001,$B112,'Per Line'!$V$2:$V$1001,1))</f>
        <v/>
      </c>
      <c r="O112" s="7">
        <f>IF($T112="","",N112*M112)</f>
        <v/>
      </c>
      <c r="P112" s="7">
        <f>IF($T112="","",O112+L112)</f>
        <v/>
      </c>
      <c r="Q112" s="7">
        <f>IF($T112="","",R112-P112)</f>
        <v/>
      </c>
      <c r="R112" s="7">
        <f>IF($T112="","",K112+N112)</f>
        <v/>
      </c>
      <c r="S112" s="7">
        <f>IF($T112="","",R112-P112-H112)</f>
        <v/>
      </c>
      <c r="T112" s="13">
        <f>IF(ROWS($T$2:$T112)&lt;=MAX('Per Line'!$U$2:$U$1001),MATCH(ROWS($T$2:$T112),'Per Line'!$U$2:$U$1001,0),"")</f>
        <v/>
      </c>
    </row>
    <row r="113">
      <c r="A113" s="12" t="n"/>
      <c r="B113">
        <f>IF($T113="","",INDEX('Per Line'!$A$2:$A$1001,$T113)&amp;"")</f>
        <v/>
      </c>
      <c r="C113" s="12" t="n"/>
      <c r="D113">
        <f>IF($T113="","",INDEX('Per Line'!$B$2:$B$1001,$T113)&amp;"")</f>
        <v/>
      </c>
      <c r="E113">
        <f>IF($T113="","",INDEX('Per Line'!$C$2:$C$1001,$T113)&amp;"")</f>
        <v/>
      </c>
      <c r="F113">
        <f>IF($T113="","",INDEX('Per Line'!$D$2:$D$1001,$T113)&amp;"")</f>
        <v/>
      </c>
      <c r="G113">
        <f>IF($T113="","",INDEX('Per Line'!$E$2:$E$1001,$T113))</f>
        <v/>
      </c>
      <c r="H113" s="7">
        <f>IF($T113="","",G113*R113/100)</f>
        <v/>
      </c>
      <c r="I113" s="11">
        <f>IF($T113="","",INDEX('Per Line'!$Q$2:$Q$1001,$T113))</f>
        <v/>
      </c>
      <c r="J113">
        <f>IF($T113="","",Settings!$C$7)</f>
        <v/>
      </c>
      <c r="K113" s="7">
        <f>IF($T113="","",SUMIFS('Per Line'!$K$2:$K$1001,'Per Line'!$A$2:$A$1001,$B113,'Per Line'!$V$2:$V$1001,0))</f>
        <v/>
      </c>
      <c r="L113" s="7">
        <f>IF($T113="","",K113*J113)</f>
        <v/>
      </c>
      <c r="M113">
        <f>IF($T113="","",Settings!$C$6)</f>
        <v/>
      </c>
      <c r="N113" s="7">
        <f>IF($T113="","",SUMIFS('Per Line'!$K$2:$K$1001,'Per Line'!$A$2:$A$1001,$B113,'Per Line'!$V$2:$V$1001,1))</f>
        <v/>
      </c>
      <c r="O113" s="7">
        <f>IF($T113="","",N113*M113)</f>
        <v/>
      </c>
      <c r="P113" s="7">
        <f>IF($T113="","",O113+L113)</f>
        <v/>
      </c>
      <c r="Q113" s="7">
        <f>IF($T113="","",R113-P113)</f>
        <v/>
      </c>
      <c r="R113" s="7">
        <f>IF($T113="","",K113+N113)</f>
        <v/>
      </c>
      <c r="S113" s="7">
        <f>IF($T113="","",R113-P113-H113)</f>
        <v/>
      </c>
      <c r="T113" s="13">
        <f>IF(ROWS($T$2:$T113)&lt;=MAX('Per Line'!$U$2:$U$1001),MATCH(ROWS($T$2:$T113),'Per Line'!$U$2:$U$1001,0),"")</f>
        <v/>
      </c>
    </row>
    <row r="114">
      <c r="A114" s="12" t="n"/>
      <c r="B114">
        <f>IF($T114="","",INDEX('Per Line'!$A$2:$A$1001,$T114)&amp;"")</f>
        <v/>
      </c>
      <c r="C114" s="12" t="n"/>
      <c r="D114">
        <f>IF($T114="","",INDEX('Per Line'!$B$2:$B$1001,$T114)&amp;"")</f>
        <v/>
      </c>
      <c r="E114">
        <f>IF($T114="","",INDEX('Per Line'!$C$2:$C$1001,$T114)&amp;"")</f>
        <v/>
      </c>
      <c r="F114">
        <f>IF($T114="","",INDEX('Per Line'!$D$2:$D$1001,$T114)&amp;"")</f>
        <v/>
      </c>
      <c r="G114">
        <f>IF($T114="","",INDEX('Per Line'!$E$2:$E$1001,$T114))</f>
        <v/>
      </c>
      <c r="H114" s="7">
        <f>IF($T114="","",G114*R114/100)</f>
        <v/>
      </c>
      <c r="I114" s="11">
        <f>IF($T114="","",INDEX('Per Line'!$Q$2:$Q$1001,$T114))</f>
        <v/>
      </c>
      <c r="J114">
        <f>IF($T114="","",Settings!$C$7)</f>
        <v/>
      </c>
      <c r="K114" s="7">
        <f>IF($T114="","",SUMIFS('Per Line'!$K$2:$K$1001,'Per Line'!$A$2:$A$1001,$B114,'Per Line'!$V$2:$V$1001,0))</f>
        <v/>
      </c>
      <c r="L114" s="7">
        <f>IF($T114="","",K114*J114)</f>
        <v/>
      </c>
      <c r="M114">
        <f>IF($T114="","",Settings!$C$6)</f>
        <v/>
      </c>
      <c r="N114" s="7">
        <f>IF($T114="","",SUMIFS('Per Line'!$K$2:$K$1001,'Per Line'!$A$2:$A$1001,$B114,'Per Line'!$V$2:$V$1001,1))</f>
        <v/>
      </c>
      <c r="O114" s="7">
        <f>IF($T114="","",N114*M114)</f>
        <v/>
      </c>
      <c r="P114" s="7">
        <f>IF($T114="","",O114+L114)</f>
        <v/>
      </c>
      <c r="Q114" s="7">
        <f>IF($T114="","",R114-P114)</f>
        <v/>
      </c>
      <c r="R114" s="7">
        <f>IF($T114="","",K114+N114)</f>
        <v/>
      </c>
      <c r="S114" s="7">
        <f>IF($T114="","",R114-P114-H114)</f>
        <v/>
      </c>
      <c r="T114" s="13">
        <f>IF(ROWS($T$2:$T114)&lt;=MAX('Per Line'!$U$2:$U$1001),MATCH(ROWS($T$2:$T114),'Per Line'!$U$2:$U$1001,0),"")</f>
        <v/>
      </c>
    </row>
    <row r="115">
      <c r="A115" s="12" t="n"/>
      <c r="B115">
        <f>IF($T115="","",INDEX('Per Line'!$A$2:$A$1001,$T115)&amp;"")</f>
        <v/>
      </c>
      <c r="C115" s="12" t="n"/>
      <c r="D115">
        <f>IF($T115="","",INDEX('Per Line'!$B$2:$B$1001,$T115)&amp;"")</f>
        <v/>
      </c>
      <c r="E115">
        <f>IF($T115="","",INDEX('Per Line'!$C$2:$C$1001,$T115)&amp;"")</f>
        <v/>
      </c>
      <c r="F115">
        <f>IF($T115="","",INDEX('Per Line'!$D$2:$D$1001,$T115)&amp;"")</f>
        <v/>
      </c>
      <c r="G115">
        <f>IF($T115="","",INDEX('Per Line'!$E$2:$E$1001,$T115))</f>
        <v/>
      </c>
      <c r="H115" s="7">
        <f>IF($T115="","",G115*R115/100)</f>
        <v/>
      </c>
      <c r="I115" s="11">
        <f>IF($T115="","",INDEX('Per Line'!$Q$2:$Q$1001,$T115))</f>
        <v/>
      </c>
      <c r="J115">
        <f>IF($T115="","",Settings!$C$7)</f>
        <v/>
      </c>
      <c r="K115" s="7">
        <f>IF($T115="","",SUMIFS('Per Line'!$K$2:$K$1001,'Per Line'!$A$2:$A$1001,$B115,'Per Line'!$V$2:$V$1001,0))</f>
        <v/>
      </c>
      <c r="L115" s="7">
        <f>IF($T115="","",K115*J115)</f>
        <v/>
      </c>
      <c r="M115">
        <f>IF($T115="","",Settings!$C$6)</f>
        <v/>
      </c>
      <c r="N115" s="7">
        <f>IF($T115="","",SUMIFS('Per Line'!$K$2:$K$1001,'Per Line'!$A$2:$A$1001,$B115,'Per Line'!$V$2:$V$1001,1))</f>
        <v/>
      </c>
      <c r="O115" s="7">
        <f>IF($T115="","",N115*M115)</f>
        <v/>
      </c>
      <c r="P115" s="7">
        <f>IF($T115="","",O115+L115)</f>
        <v/>
      </c>
      <c r="Q115" s="7">
        <f>IF($T115="","",R115-P115)</f>
        <v/>
      </c>
      <c r="R115" s="7">
        <f>IF($T115="","",K115+N115)</f>
        <v/>
      </c>
      <c r="S115" s="7">
        <f>IF($T115="","",R115-P115-H115)</f>
        <v/>
      </c>
      <c r="T115" s="13">
        <f>IF(ROWS($T$2:$T115)&lt;=MAX('Per Line'!$U$2:$U$1001),MATCH(ROWS($T$2:$T115),'Per Line'!$U$2:$U$1001,0),"")</f>
        <v/>
      </c>
    </row>
    <row r="116">
      <c r="A116" s="12" t="n"/>
      <c r="B116">
        <f>IF($T116="","",INDEX('Per Line'!$A$2:$A$1001,$T116)&amp;"")</f>
        <v/>
      </c>
      <c r="C116" s="12" t="n"/>
      <c r="D116">
        <f>IF($T116="","",INDEX('Per Line'!$B$2:$B$1001,$T116)&amp;"")</f>
        <v/>
      </c>
      <c r="E116">
        <f>IF($T116="","",INDEX('Per Line'!$C$2:$C$1001,$T116)&amp;"")</f>
        <v/>
      </c>
      <c r="F116">
        <f>IF($T116="","",INDEX('Per Line'!$D$2:$D$1001,$T116)&amp;"")</f>
        <v/>
      </c>
      <c r="G116">
        <f>IF($T116="","",INDEX('Per Line'!$E$2:$E$1001,$T116))</f>
        <v/>
      </c>
      <c r="H116" s="7">
        <f>IF($T116="","",G116*R116/100)</f>
        <v/>
      </c>
      <c r="I116" s="11">
        <f>IF($T116="","",INDEX('Per Line'!$Q$2:$Q$1001,$T116))</f>
        <v/>
      </c>
      <c r="J116">
        <f>IF($T116="","",Settings!$C$7)</f>
        <v/>
      </c>
      <c r="K116" s="7">
        <f>IF($T116="","",SUMIFS('Per Line'!$K$2:$K$1001,'Per Line'!$A$2:$A$1001,$B116,'Per Line'!$V$2:$V$1001,0))</f>
        <v/>
      </c>
      <c r="L116" s="7">
        <f>IF($T116="","",K116*J116)</f>
        <v/>
      </c>
      <c r="M116">
        <f>IF($T116="","",Settings!$C$6)</f>
        <v/>
      </c>
      <c r="N116" s="7">
        <f>IF($T116="","",SUMIFS('Per Line'!$K$2:$K$1001,'Per Line'!$A$2:$A$1001,$B116,'Per Line'!$V$2:$V$1001,1))</f>
        <v/>
      </c>
      <c r="O116" s="7">
        <f>IF($T116="","",N116*M116)</f>
        <v/>
      </c>
      <c r="P116" s="7">
        <f>IF($T116="","",O116+L116)</f>
        <v/>
      </c>
      <c r="Q116" s="7">
        <f>IF($T116="","",R116-P116)</f>
        <v/>
      </c>
      <c r="R116" s="7">
        <f>IF($T116="","",K116+N116)</f>
        <v/>
      </c>
      <c r="S116" s="7">
        <f>IF($T116="","",R116-P116-H116)</f>
        <v/>
      </c>
      <c r="T116" s="13">
        <f>IF(ROWS($T$2:$T116)&lt;=MAX('Per Line'!$U$2:$U$1001),MATCH(ROWS($T$2:$T116),'Per Line'!$U$2:$U$1001,0),"")</f>
        <v/>
      </c>
    </row>
    <row r="117">
      <c r="A117" s="12" t="n"/>
      <c r="B117">
        <f>IF($T117="","",INDEX('Per Line'!$A$2:$A$1001,$T117)&amp;"")</f>
        <v/>
      </c>
      <c r="C117" s="12" t="n"/>
      <c r="D117">
        <f>IF($T117="","",INDEX('Per Line'!$B$2:$B$1001,$T117)&amp;"")</f>
        <v/>
      </c>
      <c r="E117">
        <f>IF($T117="","",INDEX('Per Line'!$C$2:$C$1001,$T117)&amp;"")</f>
        <v/>
      </c>
      <c r="F117">
        <f>IF($T117="","",INDEX('Per Line'!$D$2:$D$1001,$T117)&amp;"")</f>
        <v/>
      </c>
      <c r="G117">
        <f>IF($T117="","",INDEX('Per Line'!$E$2:$E$1001,$T117))</f>
        <v/>
      </c>
      <c r="H117" s="7">
        <f>IF($T117="","",G117*R117/100)</f>
        <v/>
      </c>
      <c r="I117" s="11">
        <f>IF($T117="","",INDEX('Per Line'!$Q$2:$Q$1001,$T117))</f>
        <v/>
      </c>
      <c r="J117">
        <f>IF($T117="","",Settings!$C$7)</f>
        <v/>
      </c>
      <c r="K117" s="7">
        <f>IF($T117="","",SUMIFS('Per Line'!$K$2:$K$1001,'Per Line'!$A$2:$A$1001,$B117,'Per Line'!$V$2:$V$1001,0))</f>
        <v/>
      </c>
      <c r="L117" s="7">
        <f>IF($T117="","",K117*J117)</f>
        <v/>
      </c>
      <c r="M117">
        <f>IF($T117="","",Settings!$C$6)</f>
        <v/>
      </c>
      <c r="N117" s="7">
        <f>IF($T117="","",SUMIFS('Per Line'!$K$2:$K$1001,'Per Line'!$A$2:$A$1001,$B117,'Per Line'!$V$2:$V$1001,1))</f>
        <v/>
      </c>
      <c r="O117" s="7">
        <f>IF($T117="","",N117*M117)</f>
        <v/>
      </c>
      <c r="P117" s="7">
        <f>IF($T117="","",O117+L117)</f>
        <v/>
      </c>
      <c r="Q117" s="7">
        <f>IF($T117="","",R117-P117)</f>
        <v/>
      </c>
      <c r="R117" s="7">
        <f>IF($T117="","",K117+N117)</f>
        <v/>
      </c>
      <c r="S117" s="7">
        <f>IF($T117="","",R117-P117-H117)</f>
        <v/>
      </c>
      <c r="T117" s="13">
        <f>IF(ROWS($T$2:$T117)&lt;=MAX('Per Line'!$U$2:$U$1001),MATCH(ROWS($T$2:$T117),'Per Line'!$U$2:$U$1001,0),"")</f>
        <v/>
      </c>
    </row>
    <row r="118">
      <c r="A118" s="12" t="n"/>
      <c r="B118">
        <f>IF($T118="","",INDEX('Per Line'!$A$2:$A$1001,$T118)&amp;"")</f>
        <v/>
      </c>
      <c r="C118" s="12" t="n"/>
      <c r="D118">
        <f>IF($T118="","",INDEX('Per Line'!$B$2:$B$1001,$T118)&amp;"")</f>
        <v/>
      </c>
      <c r="E118">
        <f>IF($T118="","",INDEX('Per Line'!$C$2:$C$1001,$T118)&amp;"")</f>
        <v/>
      </c>
      <c r="F118">
        <f>IF($T118="","",INDEX('Per Line'!$D$2:$D$1001,$T118)&amp;"")</f>
        <v/>
      </c>
      <c r="G118">
        <f>IF($T118="","",INDEX('Per Line'!$E$2:$E$1001,$T118))</f>
        <v/>
      </c>
      <c r="H118" s="7">
        <f>IF($T118="","",G118*R118/100)</f>
        <v/>
      </c>
      <c r="I118" s="11">
        <f>IF($T118="","",INDEX('Per Line'!$Q$2:$Q$1001,$T118))</f>
        <v/>
      </c>
      <c r="J118">
        <f>IF($T118="","",Settings!$C$7)</f>
        <v/>
      </c>
      <c r="K118" s="7">
        <f>IF($T118="","",SUMIFS('Per Line'!$K$2:$K$1001,'Per Line'!$A$2:$A$1001,$B118,'Per Line'!$V$2:$V$1001,0))</f>
        <v/>
      </c>
      <c r="L118" s="7">
        <f>IF($T118="","",K118*J118)</f>
        <v/>
      </c>
      <c r="M118">
        <f>IF($T118="","",Settings!$C$6)</f>
        <v/>
      </c>
      <c r="N118" s="7">
        <f>IF($T118="","",SUMIFS('Per Line'!$K$2:$K$1001,'Per Line'!$A$2:$A$1001,$B118,'Per Line'!$V$2:$V$1001,1))</f>
        <v/>
      </c>
      <c r="O118" s="7">
        <f>IF($T118="","",N118*M118)</f>
        <v/>
      </c>
      <c r="P118" s="7">
        <f>IF($T118="","",O118+L118)</f>
        <v/>
      </c>
      <c r="Q118" s="7">
        <f>IF($T118="","",R118-P118)</f>
        <v/>
      </c>
      <c r="R118" s="7">
        <f>IF($T118="","",K118+N118)</f>
        <v/>
      </c>
      <c r="S118" s="7">
        <f>IF($T118="","",R118-P118-H118)</f>
        <v/>
      </c>
      <c r="T118" s="13">
        <f>IF(ROWS($T$2:$T118)&lt;=MAX('Per Line'!$U$2:$U$1001),MATCH(ROWS($T$2:$T118),'Per Line'!$U$2:$U$1001,0),"")</f>
        <v/>
      </c>
    </row>
    <row r="119">
      <c r="A119" s="12" t="n"/>
      <c r="B119">
        <f>IF($T119="","",INDEX('Per Line'!$A$2:$A$1001,$T119)&amp;"")</f>
        <v/>
      </c>
      <c r="C119" s="12" t="n"/>
      <c r="D119">
        <f>IF($T119="","",INDEX('Per Line'!$B$2:$B$1001,$T119)&amp;"")</f>
        <v/>
      </c>
      <c r="E119">
        <f>IF($T119="","",INDEX('Per Line'!$C$2:$C$1001,$T119)&amp;"")</f>
        <v/>
      </c>
      <c r="F119">
        <f>IF($T119="","",INDEX('Per Line'!$D$2:$D$1001,$T119)&amp;"")</f>
        <v/>
      </c>
      <c r="G119">
        <f>IF($T119="","",INDEX('Per Line'!$E$2:$E$1001,$T119))</f>
        <v/>
      </c>
      <c r="H119" s="7">
        <f>IF($T119="","",G119*R119/100)</f>
        <v/>
      </c>
      <c r="I119" s="11">
        <f>IF($T119="","",INDEX('Per Line'!$Q$2:$Q$1001,$T119))</f>
        <v/>
      </c>
      <c r="J119">
        <f>IF($T119="","",Settings!$C$7)</f>
        <v/>
      </c>
      <c r="K119" s="7">
        <f>IF($T119="","",SUMIFS('Per Line'!$K$2:$K$1001,'Per Line'!$A$2:$A$1001,$B119,'Per Line'!$V$2:$V$1001,0))</f>
        <v/>
      </c>
      <c r="L119" s="7">
        <f>IF($T119="","",K119*J119)</f>
        <v/>
      </c>
      <c r="M119">
        <f>IF($T119="","",Settings!$C$6)</f>
        <v/>
      </c>
      <c r="N119" s="7">
        <f>IF($T119="","",SUMIFS('Per Line'!$K$2:$K$1001,'Per Line'!$A$2:$A$1001,$B119,'Per Line'!$V$2:$V$1001,1))</f>
        <v/>
      </c>
      <c r="O119" s="7">
        <f>IF($T119="","",N119*M119)</f>
        <v/>
      </c>
      <c r="P119" s="7">
        <f>IF($T119="","",O119+L119)</f>
        <v/>
      </c>
      <c r="Q119" s="7">
        <f>IF($T119="","",R119-P119)</f>
        <v/>
      </c>
      <c r="R119" s="7">
        <f>IF($T119="","",K119+N119)</f>
        <v/>
      </c>
      <c r="S119" s="7">
        <f>IF($T119="","",R119-P119-H119)</f>
        <v/>
      </c>
      <c r="T119" s="13">
        <f>IF(ROWS($T$2:$T119)&lt;=MAX('Per Line'!$U$2:$U$1001),MATCH(ROWS($T$2:$T119),'Per Line'!$U$2:$U$1001,0),"")</f>
        <v/>
      </c>
    </row>
    <row r="120">
      <c r="A120" s="12" t="n"/>
      <c r="B120">
        <f>IF($T120="","",INDEX('Per Line'!$A$2:$A$1001,$T120)&amp;"")</f>
        <v/>
      </c>
      <c r="C120" s="12" t="n"/>
      <c r="D120">
        <f>IF($T120="","",INDEX('Per Line'!$B$2:$B$1001,$T120)&amp;"")</f>
        <v/>
      </c>
      <c r="E120">
        <f>IF($T120="","",INDEX('Per Line'!$C$2:$C$1001,$T120)&amp;"")</f>
        <v/>
      </c>
      <c r="F120">
        <f>IF($T120="","",INDEX('Per Line'!$D$2:$D$1001,$T120)&amp;"")</f>
        <v/>
      </c>
      <c r="G120">
        <f>IF($T120="","",INDEX('Per Line'!$E$2:$E$1001,$T120))</f>
        <v/>
      </c>
      <c r="H120" s="7">
        <f>IF($T120="","",G120*R120/100)</f>
        <v/>
      </c>
      <c r="I120" s="11">
        <f>IF($T120="","",INDEX('Per Line'!$Q$2:$Q$1001,$T120))</f>
        <v/>
      </c>
      <c r="J120">
        <f>IF($T120="","",Settings!$C$7)</f>
        <v/>
      </c>
      <c r="K120" s="7">
        <f>IF($T120="","",SUMIFS('Per Line'!$K$2:$K$1001,'Per Line'!$A$2:$A$1001,$B120,'Per Line'!$V$2:$V$1001,0))</f>
        <v/>
      </c>
      <c r="L120" s="7">
        <f>IF($T120="","",K120*J120)</f>
        <v/>
      </c>
      <c r="M120">
        <f>IF($T120="","",Settings!$C$6)</f>
        <v/>
      </c>
      <c r="N120" s="7">
        <f>IF($T120="","",SUMIFS('Per Line'!$K$2:$K$1001,'Per Line'!$A$2:$A$1001,$B120,'Per Line'!$V$2:$V$1001,1))</f>
        <v/>
      </c>
      <c r="O120" s="7">
        <f>IF($T120="","",N120*M120)</f>
        <v/>
      </c>
      <c r="P120" s="7">
        <f>IF($T120="","",O120+L120)</f>
        <v/>
      </c>
      <c r="Q120" s="7">
        <f>IF($T120="","",R120-P120)</f>
        <v/>
      </c>
      <c r="R120" s="7">
        <f>IF($T120="","",K120+N120)</f>
        <v/>
      </c>
      <c r="S120" s="7">
        <f>IF($T120="","",R120-P120-H120)</f>
        <v/>
      </c>
      <c r="T120" s="13">
        <f>IF(ROWS($T$2:$T120)&lt;=MAX('Per Line'!$U$2:$U$1001),MATCH(ROWS($T$2:$T120),'Per Line'!$U$2:$U$1001,0),"")</f>
        <v/>
      </c>
    </row>
    <row r="121">
      <c r="A121" s="12" t="n"/>
      <c r="B121">
        <f>IF($T121="","",INDEX('Per Line'!$A$2:$A$1001,$T121)&amp;"")</f>
        <v/>
      </c>
      <c r="C121" s="12" t="n"/>
      <c r="D121">
        <f>IF($T121="","",INDEX('Per Line'!$B$2:$B$1001,$T121)&amp;"")</f>
        <v/>
      </c>
      <c r="E121">
        <f>IF($T121="","",INDEX('Per Line'!$C$2:$C$1001,$T121)&amp;"")</f>
        <v/>
      </c>
      <c r="F121">
        <f>IF($T121="","",INDEX('Per Line'!$D$2:$D$1001,$T121)&amp;"")</f>
        <v/>
      </c>
      <c r="G121">
        <f>IF($T121="","",INDEX('Per Line'!$E$2:$E$1001,$T121))</f>
        <v/>
      </c>
      <c r="H121" s="7">
        <f>IF($T121="","",G121*R121/100)</f>
        <v/>
      </c>
      <c r="I121" s="11">
        <f>IF($T121="","",INDEX('Per Line'!$Q$2:$Q$1001,$T121))</f>
        <v/>
      </c>
      <c r="J121">
        <f>IF($T121="","",Settings!$C$7)</f>
        <v/>
      </c>
      <c r="K121" s="7">
        <f>IF($T121="","",SUMIFS('Per Line'!$K$2:$K$1001,'Per Line'!$A$2:$A$1001,$B121,'Per Line'!$V$2:$V$1001,0))</f>
        <v/>
      </c>
      <c r="L121" s="7">
        <f>IF($T121="","",K121*J121)</f>
        <v/>
      </c>
      <c r="M121">
        <f>IF($T121="","",Settings!$C$6)</f>
        <v/>
      </c>
      <c r="N121" s="7">
        <f>IF($T121="","",SUMIFS('Per Line'!$K$2:$K$1001,'Per Line'!$A$2:$A$1001,$B121,'Per Line'!$V$2:$V$1001,1))</f>
        <v/>
      </c>
      <c r="O121" s="7">
        <f>IF($T121="","",N121*M121)</f>
        <v/>
      </c>
      <c r="P121" s="7">
        <f>IF($T121="","",O121+L121)</f>
        <v/>
      </c>
      <c r="Q121" s="7">
        <f>IF($T121="","",R121-P121)</f>
        <v/>
      </c>
      <c r="R121" s="7">
        <f>IF($T121="","",K121+N121)</f>
        <v/>
      </c>
      <c r="S121" s="7">
        <f>IF($T121="","",R121-P121-H121)</f>
        <v/>
      </c>
      <c r="T121" s="13">
        <f>IF(ROWS($T$2:$T121)&lt;=MAX('Per Line'!$U$2:$U$1001),MATCH(ROWS($T$2:$T121),'Per Line'!$U$2:$U$1001,0),"")</f>
        <v/>
      </c>
    </row>
    <row r="122">
      <c r="A122" s="12" t="n"/>
      <c r="B122">
        <f>IF($T122="","",INDEX('Per Line'!$A$2:$A$1001,$T122)&amp;"")</f>
        <v/>
      </c>
      <c r="C122" s="12" t="n"/>
      <c r="D122">
        <f>IF($T122="","",INDEX('Per Line'!$B$2:$B$1001,$T122)&amp;"")</f>
        <v/>
      </c>
      <c r="E122">
        <f>IF($T122="","",INDEX('Per Line'!$C$2:$C$1001,$T122)&amp;"")</f>
        <v/>
      </c>
      <c r="F122">
        <f>IF($T122="","",INDEX('Per Line'!$D$2:$D$1001,$T122)&amp;"")</f>
        <v/>
      </c>
      <c r="G122">
        <f>IF($T122="","",INDEX('Per Line'!$E$2:$E$1001,$T122))</f>
        <v/>
      </c>
      <c r="H122" s="7">
        <f>IF($T122="","",G122*R122/100)</f>
        <v/>
      </c>
      <c r="I122" s="11">
        <f>IF($T122="","",INDEX('Per Line'!$Q$2:$Q$1001,$T122))</f>
        <v/>
      </c>
      <c r="J122">
        <f>IF($T122="","",Settings!$C$7)</f>
        <v/>
      </c>
      <c r="K122" s="7">
        <f>IF($T122="","",SUMIFS('Per Line'!$K$2:$K$1001,'Per Line'!$A$2:$A$1001,$B122,'Per Line'!$V$2:$V$1001,0))</f>
        <v/>
      </c>
      <c r="L122" s="7">
        <f>IF($T122="","",K122*J122)</f>
        <v/>
      </c>
      <c r="M122">
        <f>IF($T122="","",Settings!$C$6)</f>
        <v/>
      </c>
      <c r="N122" s="7">
        <f>IF($T122="","",SUMIFS('Per Line'!$K$2:$K$1001,'Per Line'!$A$2:$A$1001,$B122,'Per Line'!$V$2:$V$1001,1))</f>
        <v/>
      </c>
      <c r="O122" s="7">
        <f>IF($T122="","",N122*M122)</f>
        <v/>
      </c>
      <c r="P122" s="7">
        <f>IF($T122="","",O122+L122)</f>
        <v/>
      </c>
      <c r="Q122" s="7">
        <f>IF($T122="","",R122-P122)</f>
        <v/>
      </c>
      <c r="R122" s="7">
        <f>IF($T122="","",K122+N122)</f>
        <v/>
      </c>
      <c r="S122" s="7">
        <f>IF($T122="","",R122-P122-H122)</f>
        <v/>
      </c>
      <c r="T122" s="13">
        <f>IF(ROWS($T$2:$T122)&lt;=MAX('Per Line'!$U$2:$U$1001),MATCH(ROWS($T$2:$T122),'Per Line'!$U$2:$U$1001,0),"")</f>
        <v/>
      </c>
    </row>
    <row r="123">
      <c r="A123" s="12" t="n"/>
      <c r="B123">
        <f>IF($T123="","",INDEX('Per Line'!$A$2:$A$1001,$T123)&amp;"")</f>
        <v/>
      </c>
      <c r="C123" s="12" t="n"/>
      <c r="D123">
        <f>IF($T123="","",INDEX('Per Line'!$B$2:$B$1001,$T123)&amp;"")</f>
        <v/>
      </c>
      <c r="E123">
        <f>IF($T123="","",INDEX('Per Line'!$C$2:$C$1001,$T123)&amp;"")</f>
        <v/>
      </c>
      <c r="F123">
        <f>IF($T123="","",INDEX('Per Line'!$D$2:$D$1001,$T123)&amp;"")</f>
        <v/>
      </c>
      <c r="G123">
        <f>IF($T123="","",INDEX('Per Line'!$E$2:$E$1001,$T123))</f>
        <v/>
      </c>
      <c r="H123" s="7">
        <f>IF($T123="","",G123*R123/100)</f>
        <v/>
      </c>
      <c r="I123" s="11">
        <f>IF($T123="","",INDEX('Per Line'!$Q$2:$Q$1001,$T123))</f>
        <v/>
      </c>
      <c r="J123">
        <f>IF($T123="","",Settings!$C$7)</f>
        <v/>
      </c>
      <c r="K123" s="7">
        <f>IF($T123="","",SUMIFS('Per Line'!$K$2:$K$1001,'Per Line'!$A$2:$A$1001,$B123,'Per Line'!$V$2:$V$1001,0))</f>
        <v/>
      </c>
      <c r="L123" s="7">
        <f>IF($T123="","",K123*J123)</f>
        <v/>
      </c>
      <c r="M123">
        <f>IF($T123="","",Settings!$C$6)</f>
        <v/>
      </c>
      <c r="N123" s="7">
        <f>IF($T123="","",SUMIFS('Per Line'!$K$2:$K$1001,'Per Line'!$A$2:$A$1001,$B123,'Per Line'!$V$2:$V$1001,1))</f>
        <v/>
      </c>
      <c r="O123" s="7">
        <f>IF($T123="","",N123*M123)</f>
        <v/>
      </c>
      <c r="P123" s="7">
        <f>IF($T123="","",O123+L123)</f>
        <v/>
      </c>
      <c r="Q123" s="7">
        <f>IF($T123="","",R123-P123)</f>
        <v/>
      </c>
      <c r="R123" s="7">
        <f>IF($T123="","",K123+N123)</f>
        <v/>
      </c>
      <c r="S123" s="7">
        <f>IF($T123="","",R123-P123-H123)</f>
        <v/>
      </c>
      <c r="T123" s="13">
        <f>IF(ROWS($T$2:$T123)&lt;=MAX('Per Line'!$U$2:$U$1001),MATCH(ROWS($T$2:$T123),'Per Line'!$U$2:$U$1001,0),"")</f>
        <v/>
      </c>
    </row>
    <row r="124">
      <c r="A124" s="12" t="n"/>
      <c r="B124">
        <f>IF($T124="","",INDEX('Per Line'!$A$2:$A$1001,$T124)&amp;"")</f>
        <v/>
      </c>
      <c r="C124" s="12" t="n"/>
      <c r="D124">
        <f>IF($T124="","",INDEX('Per Line'!$B$2:$B$1001,$T124)&amp;"")</f>
        <v/>
      </c>
      <c r="E124">
        <f>IF($T124="","",INDEX('Per Line'!$C$2:$C$1001,$T124)&amp;"")</f>
        <v/>
      </c>
      <c r="F124">
        <f>IF($T124="","",INDEX('Per Line'!$D$2:$D$1001,$T124)&amp;"")</f>
        <v/>
      </c>
      <c r="G124">
        <f>IF($T124="","",INDEX('Per Line'!$E$2:$E$1001,$T124))</f>
        <v/>
      </c>
      <c r="H124" s="7">
        <f>IF($T124="","",G124*R124/100)</f>
        <v/>
      </c>
      <c r="I124" s="11">
        <f>IF($T124="","",INDEX('Per Line'!$Q$2:$Q$1001,$T124))</f>
        <v/>
      </c>
      <c r="J124">
        <f>IF($T124="","",Settings!$C$7)</f>
        <v/>
      </c>
      <c r="K124" s="7">
        <f>IF($T124="","",SUMIFS('Per Line'!$K$2:$K$1001,'Per Line'!$A$2:$A$1001,$B124,'Per Line'!$V$2:$V$1001,0))</f>
        <v/>
      </c>
      <c r="L124" s="7">
        <f>IF($T124="","",K124*J124)</f>
        <v/>
      </c>
      <c r="M124">
        <f>IF($T124="","",Settings!$C$6)</f>
        <v/>
      </c>
      <c r="N124" s="7">
        <f>IF($T124="","",SUMIFS('Per Line'!$K$2:$K$1001,'Per Line'!$A$2:$A$1001,$B124,'Per Line'!$V$2:$V$1001,1))</f>
        <v/>
      </c>
      <c r="O124" s="7">
        <f>IF($T124="","",N124*M124)</f>
        <v/>
      </c>
      <c r="P124" s="7">
        <f>IF($T124="","",O124+L124)</f>
        <v/>
      </c>
      <c r="Q124" s="7">
        <f>IF($T124="","",R124-P124)</f>
        <v/>
      </c>
      <c r="R124" s="7">
        <f>IF($T124="","",K124+N124)</f>
        <v/>
      </c>
      <c r="S124" s="7">
        <f>IF($T124="","",R124-P124-H124)</f>
        <v/>
      </c>
      <c r="T124" s="13">
        <f>IF(ROWS($T$2:$T124)&lt;=MAX('Per Line'!$U$2:$U$1001),MATCH(ROWS($T$2:$T124),'Per Line'!$U$2:$U$1001,0),"")</f>
        <v/>
      </c>
    </row>
    <row r="125">
      <c r="A125" s="12" t="n"/>
      <c r="B125">
        <f>IF($T125="","",INDEX('Per Line'!$A$2:$A$1001,$T125)&amp;"")</f>
        <v/>
      </c>
      <c r="C125" s="12" t="n"/>
      <c r="D125">
        <f>IF($T125="","",INDEX('Per Line'!$B$2:$B$1001,$T125)&amp;"")</f>
        <v/>
      </c>
      <c r="E125">
        <f>IF($T125="","",INDEX('Per Line'!$C$2:$C$1001,$T125)&amp;"")</f>
        <v/>
      </c>
      <c r="F125">
        <f>IF($T125="","",INDEX('Per Line'!$D$2:$D$1001,$T125)&amp;"")</f>
        <v/>
      </c>
      <c r="G125">
        <f>IF($T125="","",INDEX('Per Line'!$E$2:$E$1001,$T125))</f>
        <v/>
      </c>
      <c r="H125" s="7">
        <f>IF($T125="","",G125*R125/100)</f>
        <v/>
      </c>
      <c r="I125" s="11">
        <f>IF($T125="","",INDEX('Per Line'!$Q$2:$Q$1001,$T125))</f>
        <v/>
      </c>
      <c r="J125">
        <f>IF($T125="","",Settings!$C$7)</f>
        <v/>
      </c>
      <c r="K125" s="7">
        <f>IF($T125="","",SUMIFS('Per Line'!$K$2:$K$1001,'Per Line'!$A$2:$A$1001,$B125,'Per Line'!$V$2:$V$1001,0))</f>
        <v/>
      </c>
      <c r="L125" s="7">
        <f>IF($T125="","",K125*J125)</f>
        <v/>
      </c>
      <c r="M125">
        <f>IF($T125="","",Settings!$C$6)</f>
        <v/>
      </c>
      <c r="N125" s="7">
        <f>IF($T125="","",SUMIFS('Per Line'!$K$2:$K$1001,'Per Line'!$A$2:$A$1001,$B125,'Per Line'!$V$2:$V$1001,1))</f>
        <v/>
      </c>
      <c r="O125" s="7">
        <f>IF($T125="","",N125*M125)</f>
        <v/>
      </c>
      <c r="P125" s="7">
        <f>IF($T125="","",O125+L125)</f>
        <v/>
      </c>
      <c r="Q125" s="7">
        <f>IF($T125="","",R125-P125)</f>
        <v/>
      </c>
      <c r="R125" s="7">
        <f>IF($T125="","",K125+N125)</f>
        <v/>
      </c>
      <c r="S125" s="7">
        <f>IF($T125="","",R125-P125-H125)</f>
        <v/>
      </c>
      <c r="T125" s="13">
        <f>IF(ROWS($T$2:$T125)&lt;=MAX('Per Line'!$U$2:$U$1001),MATCH(ROWS($T$2:$T125),'Per Line'!$U$2:$U$1001,0),"")</f>
        <v/>
      </c>
    </row>
    <row r="126">
      <c r="A126" s="12" t="n"/>
      <c r="B126">
        <f>IF($T126="","",INDEX('Per Line'!$A$2:$A$1001,$T126)&amp;"")</f>
        <v/>
      </c>
      <c r="C126" s="12" t="n"/>
      <c r="D126">
        <f>IF($T126="","",INDEX('Per Line'!$B$2:$B$1001,$T126)&amp;"")</f>
        <v/>
      </c>
      <c r="E126">
        <f>IF($T126="","",INDEX('Per Line'!$C$2:$C$1001,$T126)&amp;"")</f>
        <v/>
      </c>
      <c r="F126">
        <f>IF($T126="","",INDEX('Per Line'!$D$2:$D$1001,$T126)&amp;"")</f>
        <v/>
      </c>
      <c r="G126">
        <f>IF($T126="","",INDEX('Per Line'!$E$2:$E$1001,$T126))</f>
        <v/>
      </c>
      <c r="H126" s="7">
        <f>IF($T126="","",G126*R126/100)</f>
        <v/>
      </c>
      <c r="I126" s="11">
        <f>IF($T126="","",INDEX('Per Line'!$Q$2:$Q$1001,$T126))</f>
        <v/>
      </c>
      <c r="J126">
        <f>IF($T126="","",Settings!$C$7)</f>
        <v/>
      </c>
      <c r="K126" s="7">
        <f>IF($T126="","",SUMIFS('Per Line'!$K$2:$K$1001,'Per Line'!$A$2:$A$1001,$B126,'Per Line'!$V$2:$V$1001,0))</f>
        <v/>
      </c>
      <c r="L126" s="7">
        <f>IF($T126="","",K126*J126)</f>
        <v/>
      </c>
      <c r="M126">
        <f>IF($T126="","",Settings!$C$6)</f>
        <v/>
      </c>
      <c r="N126" s="7">
        <f>IF($T126="","",SUMIFS('Per Line'!$K$2:$K$1001,'Per Line'!$A$2:$A$1001,$B126,'Per Line'!$V$2:$V$1001,1))</f>
        <v/>
      </c>
      <c r="O126" s="7">
        <f>IF($T126="","",N126*M126)</f>
        <v/>
      </c>
      <c r="P126" s="7">
        <f>IF($T126="","",O126+L126)</f>
        <v/>
      </c>
      <c r="Q126" s="7">
        <f>IF($T126="","",R126-P126)</f>
        <v/>
      </c>
      <c r="R126" s="7">
        <f>IF($T126="","",K126+N126)</f>
        <v/>
      </c>
      <c r="S126" s="7">
        <f>IF($T126="","",R126-P126-H126)</f>
        <v/>
      </c>
      <c r="T126" s="13">
        <f>IF(ROWS($T$2:$T126)&lt;=MAX('Per Line'!$U$2:$U$1001),MATCH(ROWS($T$2:$T126),'Per Line'!$U$2:$U$1001,0),"")</f>
        <v/>
      </c>
    </row>
    <row r="127">
      <c r="A127" s="12" t="n"/>
      <c r="B127">
        <f>IF($T127="","",INDEX('Per Line'!$A$2:$A$1001,$T127)&amp;"")</f>
        <v/>
      </c>
      <c r="C127" s="12" t="n"/>
      <c r="D127">
        <f>IF($T127="","",INDEX('Per Line'!$B$2:$B$1001,$T127)&amp;"")</f>
        <v/>
      </c>
      <c r="E127">
        <f>IF($T127="","",INDEX('Per Line'!$C$2:$C$1001,$T127)&amp;"")</f>
        <v/>
      </c>
      <c r="F127">
        <f>IF($T127="","",INDEX('Per Line'!$D$2:$D$1001,$T127)&amp;"")</f>
        <v/>
      </c>
      <c r="G127">
        <f>IF($T127="","",INDEX('Per Line'!$E$2:$E$1001,$T127))</f>
        <v/>
      </c>
      <c r="H127" s="7">
        <f>IF($T127="","",G127*R127/100)</f>
        <v/>
      </c>
      <c r="I127" s="11">
        <f>IF($T127="","",INDEX('Per Line'!$Q$2:$Q$1001,$T127))</f>
        <v/>
      </c>
      <c r="J127">
        <f>IF($T127="","",Settings!$C$7)</f>
        <v/>
      </c>
      <c r="K127" s="7">
        <f>IF($T127="","",SUMIFS('Per Line'!$K$2:$K$1001,'Per Line'!$A$2:$A$1001,$B127,'Per Line'!$V$2:$V$1001,0))</f>
        <v/>
      </c>
      <c r="L127" s="7">
        <f>IF($T127="","",K127*J127)</f>
        <v/>
      </c>
      <c r="M127">
        <f>IF($T127="","",Settings!$C$6)</f>
        <v/>
      </c>
      <c r="N127" s="7">
        <f>IF($T127="","",SUMIFS('Per Line'!$K$2:$K$1001,'Per Line'!$A$2:$A$1001,$B127,'Per Line'!$V$2:$V$1001,1))</f>
        <v/>
      </c>
      <c r="O127" s="7">
        <f>IF($T127="","",N127*M127)</f>
        <v/>
      </c>
      <c r="P127" s="7">
        <f>IF($T127="","",O127+L127)</f>
        <v/>
      </c>
      <c r="Q127" s="7">
        <f>IF($T127="","",R127-P127)</f>
        <v/>
      </c>
      <c r="R127" s="7">
        <f>IF($T127="","",K127+N127)</f>
        <v/>
      </c>
      <c r="S127" s="7">
        <f>IF($T127="","",R127-P127-H127)</f>
        <v/>
      </c>
      <c r="T127" s="13">
        <f>IF(ROWS($T$2:$T127)&lt;=MAX('Per Line'!$U$2:$U$1001),MATCH(ROWS($T$2:$T127),'Per Line'!$U$2:$U$1001,0),"")</f>
        <v/>
      </c>
    </row>
    <row r="128">
      <c r="A128" s="12" t="n"/>
      <c r="B128">
        <f>IF($T128="","",INDEX('Per Line'!$A$2:$A$1001,$T128)&amp;"")</f>
        <v/>
      </c>
      <c r="C128" s="12" t="n"/>
      <c r="D128">
        <f>IF($T128="","",INDEX('Per Line'!$B$2:$B$1001,$T128)&amp;"")</f>
        <v/>
      </c>
      <c r="E128">
        <f>IF($T128="","",INDEX('Per Line'!$C$2:$C$1001,$T128)&amp;"")</f>
        <v/>
      </c>
      <c r="F128">
        <f>IF($T128="","",INDEX('Per Line'!$D$2:$D$1001,$T128)&amp;"")</f>
        <v/>
      </c>
      <c r="G128">
        <f>IF($T128="","",INDEX('Per Line'!$E$2:$E$1001,$T128))</f>
        <v/>
      </c>
      <c r="H128" s="7">
        <f>IF($T128="","",G128*R128/100)</f>
        <v/>
      </c>
      <c r="I128" s="11">
        <f>IF($T128="","",INDEX('Per Line'!$Q$2:$Q$1001,$T128))</f>
        <v/>
      </c>
      <c r="J128">
        <f>IF($T128="","",Settings!$C$7)</f>
        <v/>
      </c>
      <c r="K128" s="7">
        <f>IF($T128="","",SUMIFS('Per Line'!$K$2:$K$1001,'Per Line'!$A$2:$A$1001,$B128,'Per Line'!$V$2:$V$1001,0))</f>
        <v/>
      </c>
      <c r="L128" s="7">
        <f>IF($T128="","",K128*J128)</f>
        <v/>
      </c>
      <c r="M128">
        <f>IF($T128="","",Settings!$C$6)</f>
        <v/>
      </c>
      <c r="N128" s="7">
        <f>IF($T128="","",SUMIFS('Per Line'!$K$2:$K$1001,'Per Line'!$A$2:$A$1001,$B128,'Per Line'!$V$2:$V$1001,1))</f>
        <v/>
      </c>
      <c r="O128" s="7">
        <f>IF($T128="","",N128*M128)</f>
        <v/>
      </c>
      <c r="P128" s="7">
        <f>IF($T128="","",O128+L128)</f>
        <v/>
      </c>
      <c r="Q128" s="7">
        <f>IF($T128="","",R128-P128)</f>
        <v/>
      </c>
      <c r="R128" s="7">
        <f>IF($T128="","",K128+N128)</f>
        <v/>
      </c>
      <c r="S128" s="7">
        <f>IF($T128="","",R128-P128-H128)</f>
        <v/>
      </c>
      <c r="T128" s="13">
        <f>IF(ROWS($T$2:$T128)&lt;=MAX('Per Line'!$U$2:$U$1001),MATCH(ROWS($T$2:$T128),'Per Line'!$U$2:$U$1001,0),"")</f>
        <v/>
      </c>
    </row>
    <row r="129">
      <c r="A129" s="12" t="n"/>
      <c r="B129">
        <f>IF($T129="","",INDEX('Per Line'!$A$2:$A$1001,$T129)&amp;"")</f>
        <v/>
      </c>
      <c r="C129" s="12" t="n"/>
      <c r="D129">
        <f>IF($T129="","",INDEX('Per Line'!$B$2:$B$1001,$T129)&amp;"")</f>
        <v/>
      </c>
      <c r="E129">
        <f>IF($T129="","",INDEX('Per Line'!$C$2:$C$1001,$T129)&amp;"")</f>
        <v/>
      </c>
      <c r="F129">
        <f>IF($T129="","",INDEX('Per Line'!$D$2:$D$1001,$T129)&amp;"")</f>
        <v/>
      </c>
      <c r="G129">
        <f>IF($T129="","",INDEX('Per Line'!$E$2:$E$1001,$T129))</f>
        <v/>
      </c>
      <c r="H129" s="7">
        <f>IF($T129="","",G129*R129/100)</f>
        <v/>
      </c>
      <c r="I129" s="11">
        <f>IF($T129="","",INDEX('Per Line'!$Q$2:$Q$1001,$T129))</f>
        <v/>
      </c>
      <c r="J129">
        <f>IF($T129="","",Settings!$C$7)</f>
        <v/>
      </c>
      <c r="K129" s="7">
        <f>IF($T129="","",SUMIFS('Per Line'!$K$2:$K$1001,'Per Line'!$A$2:$A$1001,$B129,'Per Line'!$V$2:$V$1001,0))</f>
        <v/>
      </c>
      <c r="L129" s="7">
        <f>IF($T129="","",K129*J129)</f>
        <v/>
      </c>
      <c r="M129">
        <f>IF($T129="","",Settings!$C$6)</f>
        <v/>
      </c>
      <c r="N129" s="7">
        <f>IF($T129="","",SUMIFS('Per Line'!$K$2:$K$1001,'Per Line'!$A$2:$A$1001,$B129,'Per Line'!$V$2:$V$1001,1))</f>
        <v/>
      </c>
      <c r="O129" s="7">
        <f>IF($T129="","",N129*M129)</f>
        <v/>
      </c>
      <c r="P129" s="7">
        <f>IF($T129="","",O129+L129)</f>
        <v/>
      </c>
      <c r="Q129" s="7">
        <f>IF($T129="","",R129-P129)</f>
        <v/>
      </c>
      <c r="R129" s="7">
        <f>IF($T129="","",K129+N129)</f>
        <v/>
      </c>
      <c r="S129" s="7">
        <f>IF($T129="","",R129-P129-H129)</f>
        <v/>
      </c>
      <c r="T129" s="13">
        <f>IF(ROWS($T$2:$T129)&lt;=MAX('Per Line'!$U$2:$U$1001),MATCH(ROWS($T$2:$T129),'Per Line'!$U$2:$U$1001,0),"")</f>
        <v/>
      </c>
    </row>
    <row r="130">
      <c r="A130" s="12" t="n"/>
      <c r="B130">
        <f>IF($T130="","",INDEX('Per Line'!$A$2:$A$1001,$T130)&amp;"")</f>
        <v/>
      </c>
      <c r="C130" s="12" t="n"/>
      <c r="D130">
        <f>IF($T130="","",INDEX('Per Line'!$B$2:$B$1001,$T130)&amp;"")</f>
        <v/>
      </c>
      <c r="E130">
        <f>IF($T130="","",INDEX('Per Line'!$C$2:$C$1001,$T130)&amp;"")</f>
        <v/>
      </c>
      <c r="F130">
        <f>IF($T130="","",INDEX('Per Line'!$D$2:$D$1001,$T130)&amp;"")</f>
        <v/>
      </c>
      <c r="G130">
        <f>IF($T130="","",INDEX('Per Line'!$E$2:$E$1001,$T130))</f>
        <v/>
      </c>
      <c r="H130" s="7">
        <f>IF($T130="","",G130*R130/100)</f>
        <v/>
      </c>
      <c r="I130" s="11">
        <f>IF($T130="","",INDEX('Per Line'!$Q$2:$Q$1001,$T130))</f>
        <v/>
      </c>
      <c r="J130">
        <f>IF($T130="","",Settings!$C$7)</f>
        <v/>
      </c>
      <c r="K130" s="7">
        <f>IF($T130="","",SUMIFS('Per Line'!$K$2:$K$1001,'Per Line'!$A$2:$A$1001,$B130,'Per Line'!$V$2:$V$1001,0))</f>
        <v/>
      </c>
      <c r="L130" s="7">
        <f>IF($T130="","",K130*J130)</f>
        <v/>
      </c>
      <c r="M130">
        <f>IF($T130="","",Settings!$C$6)</f>
        <v/>
      </c>
      <c r="N130" s="7">
        <f>IF($T130="","",SUMIFS('Per Line'!$K$2:$K$1001,'Per Line'!$A$2:$A$1001,$B130,'Per Line'!$V$2:$V$1001,1))</f>
        <v/>
      </c>
      <c r="O130" s="7">
        <f>IF($T130="","",N130*M130)</f>
        <v/>
      </c>
      <c r="P130" s="7">
        <f>IF($T130="","",O130+L130)</f>
        <v/>
      </c>
      <c r="Q130" s="7">
        <f>IF($T130="","",R130-P130)</f>
        <v/>
      </c>
      <c r="R130" s="7">
        <f>IF($T130="","",K130+N130)</f>
        <v/>
      </c>
      <c r="S130" s="7">
        <f>IF($T130="","",R130-P130-H130)</f>
        <v/>
      </c>
      <c r="T130" s="13">
        <f>IF(ROWS($T$2:$T130)&lt;=MAX('Per Line'!$U$2:$U$1001),MATCH(ROWS($T$2:$T130),'Per Line'!$U$2:$U$1001,0),"")</f>
        <v/>
      </c>
    </row>
    <row r="131">
      <c r="A131" s="12" t="n"/>
      <c r="B131">
        <f>IF($T131="","",INDEX('Per Line'!$A$2:$A$1001,$T131)&amp;"")</f>
        <v/>
      </c>
      <c r="C131" s="12" t="n"/>
      <c r="D131">
        <f>IF($T131="","",INDEX('Per Line'!$B$2:$B$1001,$T131)&amp;"")</f>
        <v/>
      </c>
      <c r="E131">
        <f>IF($T131="","",INDEX('Per Line'!$C$2:$C$1001,$T131)&amp;"")</f>
        <v/>
      </c>
      <c r="F131">
        <f>IF($T131="","",INDEX('Per Line'!$D$2:$D$1001,$T131)&amp;"")</f>
        <v/>
      </c>
      <c r="G131">
        <f>IF($T131="","",INDEX('Per Line'!$E$2:$E$1001,$T131))</f>
        <v/>
      </c>
      <c r="H131" s="7">
        <f>IF($T131="","",G131*R131/100)</f>
        <v/>
      </c>
      <c r="I131" s="11">
        <f>IF($T131="","",INDEX('Per Line'!$Q$2:$Q$1001,$T131))</f>
        <v/>
      </c>
      <c r="J131">
        <f>IF($T131="","",Settings!$C$7)</f>
        <v/>
      </c>
      <c r="K131" s="7">
        <f>IF($T131="","",SUMIFS('Per Line'!$K$2:$K$1001,'Per Line'!$A$2:$A$1001,$B131,'Per Line'!$V$2:$V$1001,0))</f>
        <v/>
      </c>
      <c r="L131" s="7">
        <f>IF($T131="","",K131*J131)</f>
        <v/>
      </c>
      <c r="M131">
        <f>IF($T131="","",Settings!$C$6)</f>
        <v/>
      </c>
      <c r="N131" s="7">
        <f>IF($T131="","",SUMIFS('Per Line'!$K$2:$K$1001,'Per Line'!$A$2:$A$1001,$B131,'Per Line'!$V$2:$V$1001,1))</f>
        <v/>
      </c>
      <c r="O131" s="7">
        <f>IF($T131="","",N131*M131)</f>
        <v/>
      </c>
      <c r="P131" s="7">
        <f>IF($T131="","",O131+L131)</f>
        <v/>
      </c>
      <c r="Q131" s="7">
        <f>IF($T131="","",R131-P131)</f>
        <v/>
      </c>
      <c r="R131" s="7">
        <f>IF($T131="","",K131+N131)</f>
        <v/>
      </c>
      <c r="S131" s="7">
        <f>IF($T131="","",R131-P131-H131)</f>
        <v/>
      </c>
      <c r="T131" s="13">
        <f>IF(ROWS($T$2:$T131)&lt;=MAX('Per Line'!$U$2:$U$1001),MATCH(ROWS($T$2:$T131),'Per Line'!$U$2:$U$1001,0),"")</f>
        <v/>
      </c>
    </row>
    <row r="132">
      <c r="A132" s="12" t="n"/>
      <c r="B132">
        <f>IF($T132="","",INDEX('Per Line'!$A$2:$A$1001,$T132)&amp;"")</f>
        <v/>
      </c>
      <c r="C132" s="12" t="n"/>
      <c r="D132">
        <f>IF($T132="","",INDEX('Per Line'!$B$2:$B$1001,$T132)&amp;"")</f>
        <v/>
      </c>
      <c r="E132">
        <f>IF($T132="","",INDEX('Per Line'!$C$2:$C$1001,$T132)&amp;"")</f>
        <v/>
      </c>
      <c r="F132">
        <f>IF($T132="","",INDEX('Per Line'!$D$2:$D$1001,$T132)&amp;"")</f>
        <v/>
      </c>
      <c r="G132">
        <f>IF($T132="","",INDEX('Per Line'!$E$2:$E$1001,$T132))</f>
        <v/>
      </c>
      <c r="H132" s="7">
        <f>IF($T132="","",G132*R132/100)</f>
        <v/>
      </c>
      <c r="I132" s="11">
        <f>IF($T132="","",INDEX('Per Line'!$Q$2:$Q$1001,$T132))</f>
        <v/>
      </c>
      <c r="J132">
        <f>IF($T132="","",Settings!$C$7)</f>
        <v/>
      </c>
      <c r="K132" s="7">
        <f>IF($T132="","",SUMIFS('Per Line'!$K$2:$K$1001,'Per Line'!$A$2:$A$1001,$B132,'Per Line'!$V$2:$V$1001,0))</f>
        <v/>
      </c>
      <c r="L132" s="7">
        <f>IF($T132="","",K132*J132)</f>
        <v/>
      </c>
      <c r="M132">
        <f>IF($T132="","",Settings!$C$6)</f>
        <v/>
      </c>
      <c r="N132" s="7">
        <f>IF($T132="","",SUMIFS('Per Line'!$K$2:$K$1001,'Per Line'!$A$2:$A$1001,$B132,'Per Line'!$V$2:$V$1001,1))</f>
        <v/>
      </c>
      <c r="O132" s="7">
        <f>IF($T132="","",N132*M132)</f>
        <v/>
      </c>
      <c r="P132" s="7">
        <f>IF($T132="","",O132+L132)</f>
        <v/>
      </c>
      <c r="Q132" s="7">
        <f>IF($T132="","",R132-P132)</f>
        <v/>
      </c>
      <c r="R132" s="7">
        <f>IF($T132="","",K132+N132)</f>
        <v/>
      </c>
      <c r="S132" s="7">
        <f>IF($T132="","",R132-P132-H132)</f>
        <v/>
      </c>
      <c r="T132" s="13">
        <f>IF(ROWS($T$2:$T132)&lt;=MAX('Per Line'!$U$2:$U$1001),MATCH(ROWS($T$2:$T132),'Per Line'!$U$2:$U$1001,0),"")</f>
        <v/>
      </c>
    </row>
    <row r="133">
      <c r="A133" s="12" t="n"/>
      <c r="B133">
        <f>IF($T133="","",INDEX('Per Line'!$A$2:$A$1001,$T133)&amp;"")</f>
        <v/>
      </c>
      <c r="C133" s="12" t="n"/>
      <c r="D133">
        <f>IF($T133="","",INDEX('Per Line'!$B$2:$B$1001,$T133)&amp;"")</f>
        <v/>
      </c>
      <c r="E133">
        <f>IF($T133="","",INDEX('Per Line'!$C$2:$C$1001,$T133)&amp;"")</f>
        <v/>
      </c>
      <c r="F133">
        <f>IF($T133="","",INDEX('Per Line'!$D$2:$D$1001,$T133)&amp;"")</f>
        <v/>
      </c>
      <c r="G133">
        <f>IF($T133="","",INDEX('Per Line'!$E$2:$E$1001,$T133))</f>
        <v/>
      </c>
      <c r="H133" s="7">
        <f>IF($T133="","",G133*R133/100)</f>
        <v/>
      </c>
      <c r="I133" s="11">
        <f>IF($T133="","",INDEX('Per Line'!$Q$2:$Q$1001,$T133))</f>
        <v/>
      </c>
      <c r="J133">
        <f>IF($T133="","",Settings!$C$7)</f>
        <v/>
      </c>
      <c r="K133" s="7">
        <f>IF($T133="","",SUMIFS('Per Line'!$K$2:$K$1001,'Per Line'!$A$2:$A$1001,$B133,'Per Line'!$V$2:$V$1001,0))</f>
        <v/>
      </c>
      <c r="L133" s="7">
        <f>IF($T133="","",K133*J133)</f>
        <v/>
      </c>
      <c r="M133">
        <f>IF($T133="","",Settings!$C$6)</f>
        <v/>
      </c>
      <c r="N133" s="7">
        <f>IF($T133="","",SUMIFS('Per Line'!$K$2:$K$1001,'Per Line'!$A$2:$A$1001,$B133,'Per Line'!$V$2:$V$1001,1))</f>
        <v/>
      </c>
      <c r="O133" s="7">
        <f>IF($T133="","",N133*M133)</f>
        <v/>
      </c>
      <c r="P133" s="7">
        <f>IF($T133="","",O133+L133)</f>
        <v/>
      </c>
      <c r="Q133" s="7">
        <f>IF($T133="","",R133-P133)</f>
        <v/>
      </c>
      <c r="R133" s="7">
        <f>IF($T133="","",K133+N133)</f>
        <v/>
      </c>
      <c r="S133" s="7">
        <f>IF($T133="","",R133-P133-H133)</f>
        <v/>
      </c>
      <c r="T133" s="13">
        <f>IF(ROWS($T$2:$T133)&lt;=MAX('Per Line'!$U$2:$U$1001),MATCH(ROWS($T$2:$T133),'Per Line'!$U$2:$U$1001,0),"")</f>
        <v/>
      </c>
    </row>
    <row r="134">
      <c r="A134" s="12" t="n"/>
      <c r="B134">
        <f>IF($T134="","",INDEX('Per Line'!$A$2:$A$1001,$T134)&amp;"")</f>
        <v/>
      </c>
      <c r="C134" s="12" t="n"/>
      <c r="D134">
        <f>IF($T134="","",INDEX('Per Line'!$B$2:$B$1001,$T134)&amp;"")</f>
        <v/>
      </c>
      <c r="E134">
        <f>IF($T134="","",INDEX('Per Line'!$C$2:$C$1001,$T134)&amp;"")</f>
        <v/>
      </c>
      <c r="F134">
        <f>IF($T134="","",INDEX('Per Line'!$D$2:$D$1001,$T134)&amp;"")</f>
        <v/>
      </c>
      <c r="G134">
        <f>IF($T134="","",INDEX('Per Line'!$E$2:$E$1001,$T134))</f>
        <v/>
      </c>
      <c r="H134" s="7">
        <f>IF($T134="","",G134*R134/100)</f>
        <v/>
      </c>
      <c r="I134" s="11">
        <f>IF($T134="","",INDEX('Per Line'!$Q$2:$Q$1001,$T134))</f>
        <v/>
      </c>
      <c r="J134">
        <f>IF($T134="","",Settings!$C$7)</f>
        <v/>
      </c>
      <c r="K134" s="7">
        <f>IF($T134="","",SUMIFS('Per Line'!$K$2:$K$1001,'Per Line'!$A$2:$A$1001,$B134,'Per Line'!$V$2:$V$1001,0))</f>
        <v/>
      </c>
      <c r="L134" s="7">
        <f>IF($T134="","",K134*J134)</f>
        <v/>
      </c>
      <c r="M134">
        <f>IF($T134="","",Settings!$C$6)</f>
        <v/>
      </c>
      <c r="N134" s="7">
        <f>IF($T134="","",SUMIFS('Per Line'!$K$2:$K$1001,'Per Line'!$A$2:$A$1001,$B134,'Per Line'!$V$2:$V$1001,1))</f>
        <v/>
      </c>
      <c r="O134" s="7">
        <f>IF($T134="","",N134*M134)</f>
        <v/>
      </c>
      <c r="P134" s="7">
        <f>IF($T134="","",O134+L134)</f>
        <v/>
      </c>
      <c r="Q134" s="7">
        <f>IF($T134="","",R134-P134)</f>
        <v/>
      </c>
      <c r="R134" s="7">
        <f>IF($T134="","",K134+N134)</f>
        <v/>
      </c>
      <c r="S134" s="7">
        <f>IF($T134="","",R134-P134-H134)</f>
        <v/>
      </c>
      <c r="T134" s="13">
        <f>IF(ROWS($T$2:$T134)&lt;=MAX('Per Line'!$U$2:$U$1001),MATCH(ROWS($T$2:$T134),'Per Line'!$U$2:$U$1001,0),"")</f>
        <v/>
      </c>
    </row>
    <row r="135">
      <c r="A135" s="12" t="n"/>
      <c r="B135">
        <f>IF($T135="","",INDEX('Per Line'!$A$2:$A$1001,$T135)&amp;"")</f>
        <v/>
      </c>
      <c r="C135" s="12" t="n"/>
      <c r="D135">
        <f>IF($T135="","",INDEX('Per Line'!$B$2:$B$1001,$T135)&amp;"")</f>
        <v/>
      </c>
      <c r="E135">
        <f>IF($T135="","",INDEX('Per Line'!$C$2:$C$1001,$T135)&amp;"")</f>
        <v/>
      </c>
      <c r="F135">
        <f>IF($T135="","",INDEX('Per Line'!$D$2:$D$1001,$T135)&amp;"")</f>
        <v/>
      </c>
      <c r="G135">
        <f>IF($T135="","",INDEX('Per Line'!$E$2:$E$1001,$T135))</f>
        <v/>
      </c>
      <c r="H135" s="7">
        <f>IF($T135="","",G135*R135/100)</f>
        <v/>
      </c>
      <c r="I135" s="11">
        <f>IF($T135="","",INDEX('Per Line'!$Q$2:$Q$1001,$T135))</f>
        <v/>
      </c>
      <c r="J135">
        <f>IF($T135="","",Settings!$C$7)</f>
        <v/>
      </c>
      <c r="K135" s="7">
        <f>IF($T135="","",SUMIFS('Per Line'!$K$2:$K$1001,'Per Line'!$A$2:$A$1001,$B135,'Per Line'!$V$2:$V$1001,0))</f>
        <v/>
      </c>
      <c r="L135" s="7">
        <f>IF($T135="","",K135*J135)</f>
        <v/>
      </c>
      <c r="M135">
        <f>IF($T135="","",Settings!$C$6)</f>
        <v/>
      </c>
      <c r="N135" s="7">
        <f>IF($T135="","",SUMIFS('Per Line'!$K$2:$K$1001,'Per Line'!$A$2:$A$1001,$B135,'Per Line'!$V$2:$V$1001,1))</f>
        <v/>
      </c>
      <c r="O135" s="7">
        <f>IF($T135="","",N135*M135)</f>
        <v/>
      </c>
      <c r="P135" s="7">
        <f>IF($T135="","",O135+L135)</f>
        <v/>
      </c>
      <c r="Q135" s="7">
        <f>IF($T135="","",R135-P135)</f>
        <v/>
      </c>
      <c r="R135" s="7">
        <f>IF($T135="","",K135+N135)</f>
        <v/>
      </c>
      <c r="S135" s="7">
        <f>IF($T135="","",R135-P135-H135)</f>
        <v/>
      </c>
      <c r="T135" s="13">
        <f>IF(ROWS($T$2:$T135)&lt;=MAX('Per Line'!$U$2:$U$1001),MATCH(ROWS($T$2:$T135),'Per Line'!$U$2:$U$1001,0),"")</f>
        <v/>
      </c>
    </row>
    <row r="136">
      <c r="A136" s="12" t="n"/>
      <c r="B136">
        <f>IF($T136="","",INDEX('Per Line'!$A$2:$A$1001,$T136)&amp;"")</f>
        <v/>
      </c>
      <c r="C136" s="12" t="n"/>
      <c r="D136">
        <f>IF($T136="","",INDEX('Per Line'!$B$2:$B$1001,$T136)&amp;"")</f>
        <v/>
      </c>
      <c r="E136">
        <f>IF($T136="","",INDEX('Per Line'!$C$2:$C$1001,$T136)&amp;"")</f>
        <v/>
      </c>
      <c r="F136">
        <f>IF($T136="","",INDEX('Per Line'!$D$2:$D$1001,$T136)&amp;"")</f>
        <v/>
      </c>
      <c r="G136">
        <f>IF($T136="","",INDEX('Per Line'!$E$2:$E$1001,$T136))</f>
        <v/>
      </c>
      <c r="H136" s="7">
        <f>IF($T136="","",G136*R136/100)</f>
        <v/>
      </c>
      <c r="I136" s="11">
        <f>IF($T136="","",INDEX('Per Line'!$Q$2:$Q$1001,$T136))</f>
        <v/>
      </c>
      <c r="J136">
        <f>IF($T136="","",Settings!$C$7)</f>
        <v/>
      </c>
      <c r="K136" s="7">
        <f>IF($T136="","",SUMIFS('Per Line'!$K$2:$K$1001,'Per Line'!$A$2:$A$1001,$B136,'Per Line'!$V$2:$V$1001,0))</f>
        <v/>
      </c>
      <c r="L136" s="7">
        <f>IF($T136="","",K136*J136)</f>
        <v/>
      </c>
      <c r="M136">
        <f>IF($T136="","",Settings!$C$6)</f>
        <v/>
      </c>
      <c r="N136" s="7">
        <f>IF($T136="","",SUMIFS('Per Line'!$K$2:$K$1001,'Per Line'!$A$2:$A$1001,$B136,'Per Line'!$V$2:$V$1001,1))</f>
        <v/>
      </c>
      <c r="O136" s="7">
        <f>IF($T136="","",N136*M136)</f>
        <v/>
      </c>
      <c r="P136" s="7">
        <f>IF($T136="","",O136+L136)</f>
        <v/>
      </c>
      <c r="Q136" s="7">
        <f>IF($T136="","",R136-P136)</f>
        <v/>
      </c>
      <c r="R136" s="7">
        <f>IF($T136="","",K136+N136)</f>
        <v/>
      </c>
      <c r="S136" s="7">
        <f>IF($T136="","",R136-P136-H136)</f>
        <v/>
      </c>
      <c r="T136" s="13">
        <f>IF(ROWS($T$2:$T136)&lt;=MAX('Per Line'!$U$2:$U$1001),MATCH(ROWS($T$2:$T136),'Per Line'!$U$2:$U$1001,0),"")</f>
        <v/>
      </c>
    </row>
    <row r="137">
      <c r="A137" s="12" t="n"/>
      <c r="B137">
        <f>IF($T137="","",INDEX('Per Line'!$A$2:$A$1001,$T137)&amp;"")</f>
        <v/>
      </c>
      <c r="C137" s="12" t="n"/>
      <c r="D137">
        <f>IF($T137="","",INDEX('Per Line'!$B$2:$B$1001,$T137)&amp;"")</f>
        <v/>
      </c>
      <c r="E137">
        <f>IF($T137="","",INDEX('Per Line'!$C$2:$C$1001,$T137)&amp;"")</f>
        <v/>
      </c>
      <c r="F137">
        <f>IF($T137="","",INDEX('Per Line'!$D$2:$D$1001,$T137)&amp;"")</f>
        <v/>
      </c>
      <c r="G137">
        <f>IF($T137="","",INDEX('Per Line'!$E$2:$E$1001,$T137))</f>
        <v/>
      </c>
      <c r="H137" s="7">
        <f>IF($T137="","",G137*R137/100)</f>
        <v/>
      </c>
      <c r="I137" s="11">
        <f>IF($T137="","",INDEX('Per Line'!$Q$2:$Q$1001,$T137))</f>
        <v/>
      </c>
      <c r="J137">
        <f>IF($T137="","",Settings!$C$7)</f>
        <v/>
      </c>
      <c r="K137" s="7">
        <f>IF($T137="","",SUMIFS('Per Line'!$K$2:$K$1001,'Per Line'!$A$2:$A$1001,$B137,'Per Line'!$V$2:$V$1001,0))</f>
        <v/>
      </c>
      <c r="L137" s="7">
        <f>IF($T137="","",K137*J137)</f>
        <v/>
      </c>
      <c r="M137">
        <f>IF($T137="","",Settings!$C$6)</f>
        <v/>
      </c>
      <c r="N137" s="7">
        <f>IF($T137="","",SUMIFS('Per Line'!$K$2:$K$1001,'Per Line'!$A$2:$A$1001,$B137,'Per Line'!$V$2:$V$1001,1))</f>
        <v/>
      </c>
      <c r="O137" s="7">
        <f>IF($T137="","",N137*M137)</f>
        <v/>
      </c>
      <c r="P137" s="7">
        <f>IF($T137="","",O137+L137)</f>
        <v/>
      </c>
      <c r="Q137" s="7">
        <f>IF($T137="","",R137-P137)</f>
        <v/>
      </c>
      <c r="R137" s="7">
        <f>IF($T137="","",K137+N137)</f>
        <v/>
      </c>
      <c r="S137" s="7">
        <f>IF($T137="","",R137-P137-H137)</f>
        <v/>
      </c>
      <c r="T137" s="13">
        <f>IF(ROWS($T$2:$T137)&lt;=MAX('Per Line'!$U$2:$U$1001),MATCH(ROWS($T$2:$T137),'Per Line'!$U$2:$U$1001,0),"")</f>
        <v/>
      </c>
    </row>
    <row r="138">
      <c r="A138" s="12" t="n"/>
      <c r="B138">
        <f>IF($T138="","",INDEX('Per Line'!$A$2:$A$1001,$T138)&amp;"")</f>
        <v/>
      </c>
      <c r="C138" s="12" t="n"/>
      <c r="D138">
        <f>IF($T138="","",INDEX('Per Line'!$B$2:$B$1001,$T138)&amp;"")</f>
        <v/>
      </c>
      <c r="E138">
        <f>IF($T138="","",INDEX('Per Line'!$C$2:$C$1001,$T138)&amp;"")</f>
        <v/>
      </c>
      <c r="F138">
        <f>IF($T138="","",INDEX('Per Line'!$D$2:$D$1001,$T138)&amp;"")</f>
        <v/>
      </c>
      <c r="G138">
        <f>IF($T138="","",INDEX('Per Line'!$E$2:$E$1001,$T138))</f>
        <v/>
      </c>
      <c r="H138" s="7">
        <f>IF($T138="","",G138*R138/100)</f>
        <v/>
      </c>
      <c r="I138" s="11">
        <f>IF($T138="","",INDEX('Per Line'!$Q$2:$Q$1001,$T138))</f>
        <v/>
      </c>
      <c r="J138">
        <f>IF($T138="","",Settings!$C$7)</f>
        <v/>
      </c>
      <c r="K138" s="7">
        <f>IF($T138="","",SUMIFS('Per Line'!$K$2:$K$1001,'Per Line'!$A$2:$A$1001,$B138,'Per Line'!$V$2:$V$1001,0))</f>
        <v/>
      </c>
      <c r="L138" s="7">
        <f>IF($T138="","",K138*J138)</f>
        <v/>
      </c>
      <c r="M138">
        <f>IF($T138="","",Settings!$C$6)</f>
        <v/>
      </c>
      <c r="N138" s="7">
        <f>IF($T138="","",SUMIFS('Per Line'!$K$2:$K$1001,'Per Line'!$A$2:$A$1001,$B138,'Per Line'!$V$2:$V$1001,1))</f>
        <v/>
      </c>
      <c r="O138" s="7">
        <f>IF($T138="","",N138*M138)</f>
        <v/>
      </c>
      <c r="P138" s="7">
        <f>IF($T138="","",O138+L138)</f>
        <v/>
      </c>
      <c r="Q138" s="7">
        <f>IF($T138="","",R138-P138)</f>
        <v/>
      </c>
      <c r="R138" s="7">
        <f>IF($T138="","",K138+N138)</f>
        <v/>
      </c>
      <c r="S138" s="7">
        <f>IF($T138="","",R138-P138-H138)</f>
        <v/>
      </c>
      <c r="T138" s="13">
        <f>IF(ROWS($T$2:$T138)&lt;=MAX('Per Line'!$U$2:$U$1001),MATCH(ROWS($T$2:$T138),'Per Line'!$U$2:$U$1001,0),"")</f>
        <v/>
      </c>
    </row>
    <row r="139">
      <c r="A139" s="12" t="n"/>
      <c r="B139">
        <f>IF($T139="","",INDEX('Per Line'!$A$2:$A$1001,$T139)&amp;"")</f>
        <v/>
      </c>
      <c r="C139" s="12" t="n"/>
      <c r="D139">
        <f>IF($T139="","",INDEX('Per Line'!$B$2:$B$1001,$T139)&amp;"")</f>
        <v/>
      </c>
      <c r="E139">
        <f>IF($T139="","",INDEX('Per Line'!$C$2:$C$1001,$T139)&amp;"")</f>
        <v/>
      </c>
      <c r="F139">
        <f>IF($T139="","",INDEX('Per Line'!$D$2:$D$1001,$T139)&amp;"")</f>
        <v/>
      </c>
      <c r="G139">
        <f>IF($T139="","",INDEX('Per Line'!$E$2:$E$1001,$T139))</f>
        <v/>
      </c>
      <c r="H139" s="7">
        <f>IF($T139="","",G139*R139/100)</f>
        <v/>
      </c>
      <c r="I139" s="11">
        <f>IF($T139="","",INDEX('Per Line'!$Q$2:$Q$1001,$T139))</f>
        <v/>
      </c>
      <c r="J139">
        <f>IF($T139="","",Settings!$C$7)</f>
        <v/>
      </c>
      <c r="K139" s="7">
        <f>IF($T139="","",SUMIFS('Per Line'!$K$2:$K$1001,'Per Line'!$A$2:$A$1001,$B139,'Per Line'!$V$2:$V$1001,0))</f>
        <v/>
      </c>
      <c r="L139" s="7">
        <f>IF($T139="","",K139*J139)</f>
        <v/>
      </c>
      <c r="M139">
        <f>IF($T139="","",Settings!$C$6)</f>
        <v/>
      </c>
      <c r="N139" s="7">
        <f>IF($T139="","",SUMIFS('Per Line'!$K$2:$K$1001,'Per Line'!$A$2:$A$1001,$B139,'Per Line'!$V$2:$V$1001,1))</f>
        <v/>
      </c>
      <c r="O139" s="7">
        <f>IF($T139="","",N139*M139)</f>
        <v/>
      </c>
      <c r="P139" s="7">
        <f>IF($T139="","",O139+L139)</f>
        <v/>
      </c>
      <c r="Q139" s="7">
        <f>IF($T139="","",R139-P139)</f>
        <v/>
      </c>
      <c r="R139" s="7">
        <f>IF($T139="","",K139+N139)</f>
        <v/>
      </c>
      <c r="S139" s="7">
        <f>IF($T139="","",R139-P139-H139)</f>
        <v/>
      </c>
      <c r="T139" s="13">
        <f>IF(ROWS($T$2:$T139)&lt;=MAX('Per Line'!$U$2:$U$1001),MATCH(ROWS($T$2:$T139),'Per Line'!$U$2:$U$1001,0),"")</f>
        <v/>
      </c>
    </row>
    <row r="140">
      <c r="A140" s="12" t="n"/>
      <c r="B140">
        <f>IF($T140="","",INDEX('Per Line'!$A$2:$A$1001,$T140)&amp;"")</f>
        <v/>
      </c>
      <c r="C140" s="12" t="n"/>
      <c r="D140">
        <f>IF($T140="","",INDEX('Per Line'!$B$2:$B$1001,$T140)&amp;"")</f>
        <v/>
      </c>
      <c r="E140">
        <f>IF($T140="","",INDEX('Per Line'!$C$2:$C$1001,$T140)&amp;"")</f>
        <v/>
      </c>
      <c r="F140">
        <f>IF($T140="","",INDEX('Per Line'!$D$2:$D$1001,$T140)&amp;"")</f>
        <v/>
      </c>
      <c r="G140">
        <f>IF($T140="","",INDEX('Per Line'!$E$2:$E$1001,$T140))</f>
        <v/>
      </c>
      <c r="H140" s="7">
        <f>IF($T140="","",G140*R140/100)</f>
        <v/>
      </c>
      <c r="I140" s="11">
        <f>IF($T140="","",INDEX('Per Line'!$Q$2:$Q$1001,$T140))</f>
        <v/>
      </c>
      <c r="J140">
        <f>IF($T140="","",Settings!$C$7)</f>
        <v/>
      </c>
      <c r="K140" s="7">
        <f>IF($T140="","",SUMIFS('Per Line'!$K$2:$K$1001,'Per Line'!$A$2:$A$1001,$B140,'Per Line'!$V$2:$V$1001,0))</f>
        <v/>
      </c>
      <c r="L140" s="7">
        <f>IF($T140="","",K140*J140)</f>
        <v/>
      </c>
      <c r="M140">
        <f>IF($T140="","",Settings!$C$6)</f>
        <v/>
      </c>
      <c r="N140" s="7">
        <f>IF($T140="","",SUMIFS('Per Line'!$K$2:$K$1001,'Per Line'!$A$2:$A$1001,$B140,'Per Line'!$V$2:$V$1001,1))</f>
        <v/>
      </c>
      <c r="O140" s="7">
        <f>IF($T140="","",N140*M140)</f>
        <v/>
      </c>
      <c r="P140" s="7">
        <f>IF($T140="","",O140+L140)</f>
        <v/>
      </c>
      <c r="Q140" s="7">
        <f>IF($T140="","",R140-P140)</f>
        <v/>
      </c>
      <c r="R140" s="7">
        <f>IF($T140="","",K140+N140)</f>
        <v/>
      </c>
      <c r="S140" s="7">
        <f>IF($T140="","",R140-P140-H140)</f>
        <v/>
      </c>
      <c r="T140" s="13">
        <f>IF(ROWS($T$2:$T140)&lt;=MAX('Per Line'!$U$2:$U$1001),MATCH(ROWS($T$2:$T140),'Per Line'!$U$2:$U$1001,0),"")</f>
        <v/>
      </c>
    </row>
    <row r="141">
      <c r="A141" s="12" t="n"/>
      <c r="B141">
        <f>IF($T141="","",INDEX('Per Line'!$A$2:$A$1001,$T141)&amp;"")</f>
        <v/>
      </c>
      <c r="C141" s="12" t="n"/>
      <c r="D141">
        <f>IF($T141="","",INDEX('Per Line'!$B$2:$B$1001,$T141)&amp;"")</f>
        <v/>
      </c>
      <c r="E141">
        <f>IF($T141="","",INDEX('Per Line'!$C$2:$C$1001,$T141)&amp;"")</f>
        <v/>
      </c>
      <c r="F141">
        <f>IF($T141="","",INDEX('Per Line'!$D$2:$D$1001,$T141)&amp;"")</f>
        <v/>
      </c>
      <c r="G141">
        <f>IF($T141="","",INDEX('Per Line'!$E$2:$E$1001,$T141))</f>
        <v/>
      </c>
      <c r="H141" s="7">
        <f>IF($T141="","",G141*R141/100)</f>
        <v/>
      </c>
      <c r="I141" s="11">
        <f>IF($T141="","",INDEX('Per Line'!$Q$2:$Q$1001,$T141))</f>
        <v/>
      </c>
      <c r="J141">
        <f>IF($T141="","",Settings!$C$7)</f>
        <v/>
      </c>
      <c r="K141" s="7">
        <f>IF($T141="","",SUMIFS('Per Line'!$K$2:$K$1001,'Per Line'!$A$2:$A$1001,$B141,'Per Line'!$V$2:$V$1001,0))</f>
        <v/>
      </c>
      <c r="L141" s="7">
        <f>IF($T141="","",K141*J141)</f>
        <v/>
      </c>
      <c r="M141">
        <f>IF($T141="","",Settings!$C$6)</f>
        <v/>
      </c>
      <c r="N141" s="7">
        <f>IF($T141="","",SUMIFS('Per Line'!$K$2:$K$1001,'Per Line'!$A$2:$A$1001,$B141,'Per Line'!$V$2:$V$1001,1))</f>
        <v/>
      </c>
      <c r="O141" s="7">
        <f>IF($T141="","",N141*M141)</f>
        <v/>
      </c>
      <c r="P141" s="7">
        <f>IF($T141="","",O141+L141)</f>
        <v/>
      </c>
      <c r="Q141" s="7">
        <f>IF($T141="","",R141-P141)</f>
        <v/>
      </c>
      <c r="R141" s="7">
        <f>IF($T141="","",K141+N141)</f>
        <v/>
      </c>
      <c r="S141" s="7">
        <f>IF($T141="","",R141-P141-H141)</f>
        <v/>
      </c>
      <c r="T141" s="13">
        <f>IF(ROWS($T$2:$T141)&lt;=MAX('Per Line'!$U$2:$U$1001),MATCH(ROWS($T$2:$T141),'Per Line'!$U$2:$U$1001,0),"")</f>
        <v/>
      </c>
    </row>
    <row r="142">
      <c r="A142" s="12" t="n"/>
      <c r="B142">
        <f>IF($T142="","",INDEX('Per Line'!$A$2:$A$1001,$T142)&amp;"")</f>
        <v/>
      </c>
      <c r="C142" s="12" t="n"/>
      <c r="D142">
        <f>IF($T142="","",INDEX('Per Line'!$B$2:$B$1001,$T142)&amp;"")</f>
        <v/>
      </c>
      <c r="E142">
        <f>IF($T142="","",INDEX('Per Line'!$C$2:$C$1001,$T142)&amp;"")</f>
        <v/>
      </c>
      <c r="F142">
        <f>IF($T142="","",INDEX('Per Line'!$D$2:$D$1001,$T142)&amp;"")</f>
        <v/>
      </c>
      <c r="G142">
        <f>IF($T142="","",INDEX('Per Line'!$E$2:$E$1001,$T142))</f>
        <v/>
      </c>
      <c r="H142" s="7">
        <f>IF($T142="","",G142*R142/100)</f>
        <v/>
      </c>
      <c r="I142" s="11">
        <f>IF($T142="","",INDEX('Per Line'!$Q$2:$Q$1001,$T142))</f>
        <v/>
      </c>
      <c r="J142">
        <f>IF($T142="","",Settings!$C$7)</f>
        <v/>
      </c>
      <c r="K142" s="7">
        <f>IF($T142="","",SUMIFS('Per Line'!$K$2:$K$1001,'Per Line'!$A$2:$A$1001,$B142,'Per Line'!$V$2:$V$1001,0))</f>
        <v/>
      </c>
      <c r="L142" s="7">
        <f>IF($T142="","",K142*J142)</f>
        <v/>
      </c>
      <c r="M142">
        <f>IF($T142="","",Settings!$C$6)</f>
        <v/>
      </c>
      <c r="N142" s="7">
        <f>IF($T142="","",SUMIFS('Per Line'!$K$2:$K$1001,'Per Line'!$A$2:$A$1001,$B142,'Per Line'!$V$2:$V$1001,1))</f>
        <v/>
      </c>
      <c r="O142" s="7">
        <f>IF($T142="","",N142*M142)</f>
        <v/>
      </c>
      <c r="P142" s="7">
        <f>IF($T142="","",O142+L142)</f>
        <v/>
      </c>
      <c r="Q142" s="7">
        <f>IF($T142="","",R142-P142)</f>
        <v/>
      </c>
      <c r="R142" s="7">
        <f>IF($T142="","",K142+N142)</f>
        <v/>
      </c>
      <c r="S142" s="7">
        <f>IF($T142="","",R142-P142-H142)</f>
        <v/>
      </c>
      <c r="T142" s="13">
        <f>IF(ROWS($T$2:$T142)&lt;=MAX('Per Line'!$U$2:$U$1001),MATCH(ROWS($T$2:$T142),'Per Line'!$U$2:$U$1001,0),"")</f>
        <v/>
      </c>
    </row>
    <row r="143">
      <c r="A143" s="12" t="n"/>
      <c r="B143">
        <f>IF($T143="","",INDEX('Per Line'!$A$2:$A$1001,$T143)&amp;"")</f>
        <v/>
      </c>
      <c r="C143" s="12" t="n"/>
      <c r="D143">
        <f>IF($T143="","",INDEX('Per Line'!$B$2:$B$1001,$T143)&amp;"")</f>
        <v/>
      </c>
      <c r="E143">
        <f>IF($T143="","",INDEX('Per Line'!$C$2:$C$1001,$T143)&amp;"")</f>
        <v/>
      </c>
      <c r="F143">
        <f>IF($T143="","",INDEX('Per Line'!$D$2:$D$1001,$T143)&amp;"")</f>
        <v/>
      </c>
      <c r="G143">
        <f>IF($T143="","",INDEX('Per Line'!$E$2:$E$1001,$T143))</f>
        <v/>
      </c>
      <c r="H143" s="7">
        <f>IF($T143="","",G143*R143/100)</f>
        <v/>
      </c>
      <c r="I143" s="11">
        <f>IF($T143="","",INDEX('Per Line'!$Q$2:$Q$1001,$T143))</f>
        <v/>
      </c>
      <c r="J143">
        <f>IF($T143="","",Settings!$C$7)</f>
        <v/>
      </c>
      <c r="K143" s="7">
        <f>IF($T143="","",SUMIFS('Per Line'!$K$2:$K$1001,'Per Line'!$A$2:$A$1001,$B143,'Per Line'!$V$2:$V$1001,0))</f>
        <v/>
      </c>
      <c r="L143" s="7">
        <f>IF($T143="","",K143*J143)</f>
        <v/>
      </c>
      <c r="M143">
        <f>IF($T143="","",Settings!$C$6)</f>
        <v/>
      </c>
      <c r="N143" s="7">
        <f>IF($T143="","",SUMIFS('Per Line'!$K$2:$K$1001,'Per Line'!$A$2:$A$1001,$B143,'Per Line'!$V$2:$V$1001,1))</f>
        <v/>
      </c>
      <c r="O143" s="7">
        <f>IF($T143="","",N143*M143)</f>
        <v/>
      </c>
      <c r="P143" s="7">
        <f>IF($T143="","",O143+L143)</f>
        <v/>
      </c>
      <c r="Q143" s="7">
        <f>IF($T143="","",R143-P143)</f>
        <v/>
      </c>
      <c r="R143" s="7">
        <f>IF($T143="","",K143+N143)</f>
        <v/>
      </c>
      <c r="S143" s="7">
        <f>IF($T143="","",R143-P143-H143)</f>
        <v/>
      </c>
      <c r="T143" s="13">
        <f>IF(ROWS($T$2:$T143)&lt;=MAX('Per Line'!$U$2:$U$1001),MATCH(ROWS($T$2:$T143),'Per Line'!$U$2:$U$1001,0),"")</f>
        <v/>
      </c>
    </row>
    <row r="144">
      <c r="A144" s="12" t="n"/>
      <c r="B144">
        <f>IF($T144="","",INDEX('Per Line'!$A$2:$A$1001,$T144)&amp;"")</f>
        <v/>
      </c>
      <c r="C144" s="12" t="n"/>
      <c r="D144">
        <f>IF($T144="","",INDEX('Per Line'!$B$2:$B$1001,$T144)&amp;"")</f>
        <v/>
      </c>
      <c r="E144">
        <f>IF($T144="","",INDEX('Per Line'!$C$2:$C$1001,$T144)&amp;"")</f>
        <v/>
      </c>
      <c r="F144">
        <f>IF($T144="","",INDEX('Per Line'!$D$2:$D$1001,$T144)&amp;"")</f>
        <v/>
      </c>
      <c r="G144">
        <f>IF($T144="","",INDEX('Per Line'!$E$2:$E$1001,$T144))</f>
        <v/>
      </c>
      <c r="H144" s="7">
        <f>IF($T144="","",G144*R144/100)</f>
        <v/>
      </c>
      <c r="I144" s="11">
        <f>IF($T144="","",INDEX('Per Line'!$Q$2:$Q$1001,$T144))</f>
        <v/>
      </c>
      <c r="J144">
        <f>IF($T144="","",Settings!$C$7)</f>
        <v/>
      </c>
      <c r="K144" s="7">
        <f>IF($T144="","",SUMIFS('Per Line'!$K$2:$K$1001,'Per Line'!$A$2:$A$1001,$B144,'Per Line'!$V$2:$V$1001,0))</f>
        <v/>
      </c>
      <c r="L144" s="7">
        <f>IF($T144="","",K144*J144)</f>
        <v/>
      </c>
      <c r="M144">
        <f>IF($T144="","",Settings!$C$6)</f>
        <v/>
      </c>
      <c r="N144" s="7">
        <f>IF($T144="","",SUMIFS('Per Line'!$K$2:$K$1001,'Per Line'!$A$2:$A$1001,$B144,'Per Line'!$V$2:$V$1001,1))</f>
        <v/>
      </c>
      <c r="O144" s="7">
        <f>IF($T144="","",N144*M144)</f>
        <v/>
      </c>
      <c r="P144" s="7">
        <f>IF($T144="","",O144+L144)</f>
        <v/>
      </c>
      <c r="Q144" s="7">
        <f>IF($T144="","",R144-P144)</f>
        <v/>
      </c>
      <c r="R144" s="7">
        <f>IF($T144="","",K144+N144)</f>
        <v/>
      </c>
      <c r="S144" s="7">
        <f>IF($T144="","",R144-P144-H144)</f>
        <v/>
      </c>
      <c r="T144" s="13">
        <f>IF(ROWS($T$2:$T144)&lt;=MAX('Per Line'!$U$2:$U$1001),MATCH(ROWS($T$2:$T144),'Per Line'!$U$2:$U$1001,0),"")</f>
        <v/>
      </c>
    </row>
    <row r="145">
      <c r="A145" s="12" t="n"/>
      <c r="B145">
        <f>IF($T145="","",INDEX('Per Line'!$A$2:$A$1001,$T145)&amp;"")</f>
        <v/>
      </c>
      <c r="C145" s="12" t="n"/>
      <c r="D145">
        <f>IF($T145="","",INDEX('Per Line'!$B$2:$B$1001,$T145)&amp;"")</f>
        <v/>
      </c>
      <c r="E145">
        <f>IF($T145="","",INDEX('Per Line'!$C$2:$C$1001,$T145)&amp;"")</f>
        <v/>
      </c>
      <c r="F145">
        <f>IF($T145="","",INDEX('Per Line'!$D$2:$D$1001,$T145)&amp;"")</f>
        <v/>
      </c>
      <c r="G145">
        <f>IF($T145="","",INDEX('Per Line'!$E$2:$E$1001,$T145))</f>
        <v/>
      </c>
      <c r="H145" s="7">
        <f>IF($T145="","",G145*R145/100)</f>
        <v/>
      </c>
      <c r="I145" s="11">
        <f>IF($T145="","",INDEX('Per Line'!$Q$2:$Q$1001,$T145))</f>
        <v/>
      </c>
      <c r="J145">
        <f>IF($T145="","",Settings!$C$7)</f>
        <v/>
      </c>
      <c r="K145" s="7">
        <f>IF($T145="","",SUMIFS('Per Line'!$K$2:$K$1001,'Per Line'!$A$2:$A$1001,$B145,'Per Line'!$V$2:$V$1001,0))</f>
        <v/>
      </c>
      <c r="L145" s="7">
        <f>IF($T145="","",K145*J145)</f>
        <v/>
      </c>
      <c r="M145">
        <f>IF($T145="","",Settings!$C$6)</f>
        <v/>
      </c>
      <c r="N145" s="7">
        <f>IF($T145="","",SUMIFS('Per Line'!$K$2:$K$1001,'Per Line'!$A$2:$A$1001,$B145,'Per Line'!$V$2:$V$1001,1))</f>
        <v/>
      </c>
      <c r="O145" s="7">
        <f>IF($T145="","",N145*M145)</f>
        <v/>
      </c>
      <c r="P145" s="7">
        <f>IF($T145="","",O145+L145)</f>
        <v/>
      </c>
      <c r="Q145" s="7">
        <f>IF($T145="","",R145-P145)</f>
        <v/>
      </c>
      <c r="R145" s="7">
        <f>IF($T145="","",K145+N145)</f>
        <v/>
      </c>
      <c r="S145" s="7">
        <f>IF($T145="","",R145-P145-H145)</f>
        <v/>
      </c>
      <c r="T145" s="13">
        <f>IF(ROWS($T$2:$T145)&lt;=MAX('Per Line'!$U$2:$U$1001),MATCH(ROWS($T$2:$T145),'Per Line'!$U$2:$U$1001,0),"")</f>
        <v/>
      </c>
    </row>
    <row r="146">
      <c r="A146" s="12" t="n"/>
      <c r="B146">
        <f>IF($T146="","",INDEX('Per Line'!$A$2:$A$1001,$T146)&amp;"")</f>
        <v/>
      </c>
      <c r="C146" s="12" t="n"/>
      <c r="D146">
        <f>IF($T146="","",INDEX('Per Line'!$B$2:$B$1001,$T146)&amp;"")</f>
        <v/>
      </c>
      <c r="E146">
        <f>IF($T146="","",INDEX('Per Line'!$C$2:$C$1001,$T146)&amp;"")</f>
        <v/>
      </c>
      <c r="F146">
        <f>IF($T146="","",INDEX('Per Line'!$D$2:$D$1001,$T146)&amp;"")</f>
        <v/>
      </c>
      <c r="G146">
        <f>IF($T146="","",INDEX('Per Line'!$E$2:$E$1001,$T146))</f>
        <v/>
      </c>
      <c r="H146" s="7">
        <f>IF($T146="","",G146*R146/100)</f>
        <v/>
      </c>
      <c r="I146" s="11">
        <f>IF($T146="","",INDEX('Per Line'!$Q$2:$Q$1001,$T146))</f>
        <v/>
      </c>
      <c r="J146">
        <f>IF($T146="","",Settings!$C$7)</f>
        <v/>
      </c>
      <c r="K146" s="7">
        <f>IF($T146="","",SUMIFS('Per Line'!$K$2:$K$1001,'Per Line'!$A$2:$A$1001,$B146,'Per Line'!$V$2:$V$1001,0))</f>
        <v/>
      </c>
      <c r="L146" s="7">
        <f>IF($T146="","",K146*J146)</f>
        <v/>
      </c>
      <c r="M146">
        <f>IF($T146="","",Settings!$C$6)</f>
        <v/>
      </c>
      <c r="N146" s="7">
        <f>IF($T146="","",SUMIFS('Per Line'!$K$2:$K$1001,'Per Line'!$A$2:$A$1001,$B146,'Per Line'!$V$2:$V$1001,1))</f>
        <v/>
      </c>
      <c r="O146" s="7">
        <f>IF($T146="","",N146*M146)</f>
        <v/>
      </c>
      <c r="P146" s="7">
        <f>IF($T146="","",O146+L146)</f>
        <v/>
      </c>
      <c r="Q146" s="7">
        <f>IF($T146="","",R146-P146)</f>
        <v/>
      </c>
      <c r="R146" s="7">
        <f>IF($T146="","",K146+N146)</f>
        <v/>
      </c>
      <c r="S146" s="7">
        <f>IF($T146="","",R146-P146-H146)</f>
        <v/>
      </c>
      <c r="T146" s="13">
        <f>IF(ROWS($T$2:$T146)&lt;=MAX('Per Line'!$U$2:$U$1001),MATCH(ROWS($T$2:$T146),'Per Line'!$U$2:$U$1001,0),"")</f>
        <v/>
      </c>
    </row>
    <row r="147">
      <c r="A147" s="12" t="n"/>
      <c r="B147">
        <f>IF($T147="","",INDEX('Per Line'!$A$2:$A$1001,$T147)&amp;"")</f>
        <v/>
      </c>
      <c r="C147" s="12" t="n"/>
      <c r="D147">
        <f>IF($T147="","",INDEX('Per Line'!$B$2:$B$1001,$T147)&amp;"")</f>
        <v/>
      </c>
      <c r="E147">
        <f>IF($T147="","",INDEX('Per Line'!$C$2:$C$1001,$T147)&amp;"")</f>
        <v/>
      </c>
      <c r="F147">
        <f>IF($T147="","",INDEX('Per Line'!$D$2:$D$1001,$T147)&amp;"")</f>
        <v/>
      </c>
      <c r="G147">
        <f>IF($T147="","",INDEX('Per Line'!$E$2:$E$1001,$T147))</f>
        <v/>
      </c>
      <c r="H147" s="7">
        <f>IF($T147="","",G147*R147/100)</f>
        <v/>
      </c>
      <c r="I147" s="11">
        <f>IF($T147="","",INDEX('Per Line'!$Q$2:$Q$1001,$T147))</f>
        <v/>
      </c>
      <c r="J147">
        <f>IF($T147="","",Settings!$C$7)</f>
        <v/>
      </c>
      <c r="K147" s="7">
        <f>IF($T147="","",SUMIFS('Per Line'!$K$2:$K$1001,'Per Line'!$A$2:$A$1001,$B147,'Per Line'!$V$2:$V$1001,0))</f>
        <v/>
      </c>
      <c r="L147" s="7">
        <f>IF($T147="","",K147*J147)</f>
        <v/>
      </c>
      <c r="M147">
        <f>IF($T147="","",Settings!$C$6)</f>
        <v/>
      </c>
      <c r="N147" s="7">
        <f>IF($T147="","",SUMIFS('Per Line'!$K$2:$K$1001,'Per Line'!$A$2:$A$1001,$B147,'Per Line'!$V$2:$V$1001,1))</f>
        <v/>
      </c>
      <c r="O147" s="7">
        <f>IF($T147="","",N147*M147)</f>
        <v/>
      </c>
      <c r="P147" s="7">
        <f>IF($T147="","",O147+L147)</f>
        <v/>
      </c>
      <c r="Q147" s="7">
        <f>IF($T147="","",R147-P147)</f>
        <v/>
      </c>
      <c r="R147" s="7">
        <f>IF($T147="","",K147+N147)</f>
        <v/>
      </c>
      <c r="S147" s="7">
        <f>IF($T147="","",R147-P147-H147)</f>
        <v/>
      </c>
      <c r="T147" s="13">
        <f>IF(ROWS($T$2:$T147)&lt;=MAX('Per Line'!$U$2:$U$1001),MATCH(ROWS($T$2:$T147),'Per Line'!$U$2:$U$1001,0),"")</f>
        <v/>
      </c>
    </row>
    <row r="148">
      <c r="A148" s="12" t="n"/>
      <c r="B148">
        <f>IF($T148="","",INDEX('Per Line'!$A$2:$A$1001,$T148)&amp;"")</f>
        <v/>
      </c>
      <c r="C148" s="12" t="n"/>
      <c r="D148">
        <f>IF($T148="","",INDEX('Per Line'!$B$2:$B$1001,$T148)&amp;"")</f>
        <v/>
      </c>
      <c r="E148">
        <f>IF($T148="","",INDEX('Per Line'!$C$2:$C$1001,$T148)&amp;"")</f>
        <v/>
      </c>
      <c r="F148">
        <f>IF($T148="","",INDEX('Per Line'!$D$2:$D$1001,$T148)&amp;"")</f>
        <v/>
      </c>
      <c r="G148">
        <f>IF($T148="","",INDEX('Per Line'!$E$2:$E$1001,$T148))</f>
        <v/>
      </c>
      <c r="H148" s="7">
        <f>IF($T148="","",G148*R148/100)</f>
        <v/>
      </c>
      <c r="I148" s="11">
        <f>IF($T148="","",INDEX('Per Line'!$Q$2:$Q$1001,$T148))</f>
        <v/>
      </c>
      <c r="J148">
        <f>IF($T148="","",Settings!$C$7)</f>
        <v/>
      </c>
      <c r="K148" s="7">
        <f>IF($T148="","",SUMIFS('Per Line'!$K$2:$K$1001,'Per Line'!$A$2:$A$1001,$B148,'Per Line'!$V$2:$V$1001,0))</f>
        <v/>
      </c>
      <c r="L148" s="7">
        <f>IF($T148="","",K148*J148)</f>
        <v/>
      </c>
      <c r="M148">
        <f>IF($T148="","",Settings!$C$6)</f>
        <v/>
      </c>
      <c r="N148" s="7">
        <f>IF($T148="","",SUMIFS('Per Line'!$K$2:$K$1001,'Per Line'!$A$2:$A$1001,$B148,'Per Line'!$V$2:$V$1001,1))</f>
        <v/>
      </c>
      <c r="O148" s="7">
        <f>IF($T148="","",N148*M148)</f>
        <v/>
      </c>
      <c r="P148" s="7">
        <f>IF($T148="","",O148+L148)</f>
        <v/>
      </c>
      <c r="Q148" s="7">
        <f>IF($T148="","",R148-P148)</f>
        <v/>
      </c>
      <c r="R148" s="7">
        <f>IF($T148="","",K148+N148)</f>
        <v/>
      </c>
      <c r="S148" s="7">
        <f>IF($T148="","",R148-P148-H148)</f>
        <v/>
      </c>
      <c r="T148" s="13">
        <f>IF(ROWS($T$2:$T148)&lt;=MAX('Per Line'!$U$2:$U$1001),MATCH(ROWS($T$2:$T148),'Per Line'!$U$2:$U$1001,0),"")</f>
        <v/>
      </c>
    </row>
    <row r="149">
      <c r="A149" s="12" t="n"/>
      <c r="B149">
        <f>IF($T149="","",INDEX('Per Line'!$A$2:$A$1001,$T149)&amp;"")</f>
        <v/>
      </c>
      <c r="C149" s="12" t="n"/>
      <c r="D149">
        <f>IF($T149="","",INDEX('Per Line'!$B$2:$B$1001,$T149)&amp;"")</f>
        <v/>
      </c>
      <c r="E149">
        <f>IF($T149="","",INDEX('Per Line'!$C$2:$C$1001,$T149)&amp;"")</f>
        <v/>
      </c>
      <c r="F149">
        <f>IF($T149="","",INDEX('Per Line'!$D$2:$D$1001,$T149)&amp;"")</f>
        <v/>
      </c>
      <c r="G149">
        <f>IF($T149="","",INDEX('Per Line'!$E$2:$E$1001,$T149))</f>
        <v/>
      </c>
      <c r="H149" s="7">
        <f>IF($T149="","",G149*R149/100)</f>
        <v/>
      </c>
      <c r="I149" s="11">
        <f>IF($T149="","",INDEX('Per Line'!$Q$2:$Q$1001,$T149))</f>
        <v/>
      </c>
      <c r="J149">
        <f>IF($T149="","",Settings!$C$7)</f>
        <v/>
      </c>
      <c r="K149" s="7">
        <f>IF($T149="","",SUMIFS('Per Line'!$K$2:$K$1001,'Per Line'!$A$2:$A$1001,$B149,'Per Line'!$V$2:$V$1001,0))</f>
        <v/>
      </c>
      <c r="L149" s="7">
        <f>IF($T149="","",K149*J149)</f>
        <v/>
      </c>
      <c r="M149">
        <f>IF($T149="","",Settings!$C$6)</f>
        <v/>
      </c>
      <c r="N149" s="7">
        <f>IF($T149="","",SUMIFS('Per Line'!$K$2:$K$1001,'Per Line'!$A$2:$A$1001,$B149,'Per Line'!$V$2:$V$1001,1))</f>
        <v/>
      </c>
      <c r="O149" s="7">
        <f>IF($T149="","",N149*M149)</f>
        <v/>
      </c>
      <c r="P149" s="7">
        <f>IF($T149="","",O149+L149)</f>
        <v/>
      </c>
      <c r="Q149" s="7">
        <f>IF($T149="","",R149-P149)</f>
        <v/>
      </c>
      <c r="R149" s="7">
        <f>IF($T149="","",K149+N149)</f>
        <v/>
      </c>
      <c r="S149" s="7">
        <f>IF($T149="","",R149-P149-H149)</f>
        <v/>
      </c>
      <c r="T149" s="13">
        <f>IF(ROWS($T$2:$T149)&lt;=MAX('Per Line'!$U$2:$U$1001),MATCH(ROWS($T$2:$T149),'Per Line'!$U$2:$U$1001,0),"")</f>
        <v/>
      </c>
    </row>
    <row r="150">
      <c r="A150" s="12" t="n"/>
      <c r="B150">
        <f>IF($T150="","",INDEX('Per Line'!$A$2:$A$1001,$T150)&amp;"")</f>
        <v/>
      </c>
      <c r="C150" s="12" t="n"/>
      <c r="D150">
        <f>IF($T150="","",INDEX('Per Line'!$B$2:$B$1001,$T150)&amp;"")</f>
        <v/>
      </c>
      <c r="E150">
        <f>IF($T150="","",INDEX('Per Line'!$C$2:$C$1001,$T150)&amp;"")</f>
        <v/>
      </c>
      <c r="F150">
        <f>IF($T150="","",INDEX('Per Line'!$D$2:$D$1001,$T150)&amp;"")</f>
        <v/>
      </c>
      <c r="G150">
        <f>IF($T150="","",INDEX('Per Line'!$E$2:$E$1001,$T150))</f>
        <v/>
      </c>
      <c r="H150" s="7">
        <f>IF($T150="","",G150*R150/100)</f>
        <v/>
      </c>
      <c r="I150" s="11">
        <f>IF($T150="","",INDEX('Per Line'!$Q$2:$Q$1001,$T150))</f>
        <v/>
      </c>
      <c r="J150">
        <f>IF($T150="","",Settings!$C$7)</f>
        <v/>
      </c>
      <c r="K150" s="7">
        <f>IF($T150="","",SUMIFS('Per Line'!$K$2:$K$1001,'Per Line'!$A$2:$A$1001,$B150,'Per Line'!$V$2:$V$1001,0))</f>
        <v/>
      </c>
      <c r="L150" s="7">
        <f>IF($T150="","",K150*J150)</f>
        <v/>
      </c>
      <c r="M150">
        <f>IF($T150="","",Settings!$C$6)</f>
        <v/>
      </c>
      <c r="N150" s="7">
        <f>IF($T150="","",SUMIFS('Per Line'!$K$2:$K$1001,'Per Line'!$A$2:$A$1001,$B150,'Per Line'!$V$2:$V$1001,1))</f>
        <v/>
      </c>
      <c r="O150" s="7">
        <f>IF($T150="","",N150*M150)</f>
        <v/>
      </c>
      <c r="P150" s="7">
        <f>IF($T150="","",O150+L150)</f>
        <v/>
      </c>
      <c r="Q150" s="7">
        <f>IF($T150="","",R150-P150)</f>
        <v/>
      </c>
      <c r="R150" s="7">
        <f>IF($T150="","",K150+N150)</f>
        <v/>
      </c>
      <c r="S150" s="7">
        <f>IF($T150="","",R150-P150-H150)</f>
        <v/>
      </c>
      <c r="T150" s="13">
        <f>IF(ROWS($T$2:$T150)&lt;=MAX('Per Line'!$U$2:$U$1001),MATCH(ROWS($T$2:$T150),'Per Line'!$U$2:$U$1001,0),"")</f>
        <v/>
      </c>
    </row>
    <row r="151">
      <c r="A151" s="12" t="n"/>
      <c r="B151">
        <f>IF($T151="","",INDEX('Per Line'!$A$2:$A$1001,$T151)&amp;"")</f>
        <v/>
      </c>
      <c r="C151" s="12" t="n"/>
      <c r="D151">
        <f>IF($T151="","",INDEX('Per Line'!$B$2:$B$1001,$T151)&amp;"")</f>
        <v/>
      </c>
      <c r="E151">
        <f>IF($T151="","",INDEX('Per Line'!$C$2:$C$1001,$T151)&amp;"")</f>
        <v/>
      </c>
      <c r="F151">
        <f>IF($T151="","",INDEX('Per Line'!$D$2:$D$1001,$T151)&amp;"")</f>
        <v/>
      </c>
      <c r="G151">
        <f>IF($T151="","",INDEX('Per Line'!$E$2:$E$1001,$T151))</f>
        <v/>
      </c>
      <c r="H151" s="7">
        <f>IF($T151="","",G151*R151/100)</f>
        <v/>
      </c>
      <c r="I151" s="11">
        <f>IF($T151="","",INDEX('Per Line'!$Q$2:$Q$1001,$T151))</f>
        <v/>
      </c>
      <c r="J151">
        <f>IF($T151="","",Settings!$C$7)</f>
        <v/>
      </c>
      <c r="K151" s="7">
        <f>IF($T151="","",SUMIFS('Per Line'!$K$2:$K$1001,'Per Line'!$A$2:$A$1001,$B151,'Per Line'!$V$2:$V$1001,0))</f>
        <v/>
      </c>
      <c r="L151" s="7">
        <f>IF($T151="","",K151*J151)</f>
        <v/>
      </c>
      <c r="M151">
        <f>IF($T151="","",Settings!$C$6)</f>
        <v/>
      </c>
      <c r="N151" s="7">
        <f>IF($T151="","",SUMIFS('Per Line'!$K$2:$K$1001,'Per Line'!$A$2:$A$1001,$B151,'Per Line'!$V$2:$V$1001,1))</f>
        <v/>
      </c>
      <c r="O151" s="7">
        <f>IF($T151="","",N151*M151)</f>
        <v/>
      </c>
      <c r="P151" s="7">
        <f>IF($T151="","",O151+L151)</f>
        <v/>
      </c>
      <c r="Q151" s="7">
        <f>IF($T151="","",R151-P151)</f>
        <v/>
      </c>
      <c r="R151" s="7">
        <f>IF($T151="","",K151+N151)</f>
        <v/>
      </c>
      <c r="S151" s="7">
        <f>IF($T151="","",R151-P151-H151)</f>
        <v/>
      </c>
      <c r="T151" s="13">
        <f>IF(ROWS($T$2:$T151)&lt;=MAX('Per Line'!$U$2:$U$1001),MATCH(ROWS($T$2:$T151),'Per Line'!$U$2:$U$1001,0),"")</f>
        <v/>
      </c>
    </row>
    <row r="152">
      <c r="A152" s="12" t="n"/>
      <c r="B152">
        <f>IF($T152="","",INDEX('Per Line'!$A$2:$A$1001,$T152)&amp;"")</f>
        <v/>
      </c>
      <c r="C152" s="12" t="n"/>
      <c r="D152">
        <f>IF($T152="","",INDEX('Per Line'!$B$2:$B$1001,$T152)&amp;"")</f>
        <v/>
      </c>
      <c r="E152">
        <f>IF($T152="","",INDEX('Per Line'!$C$2:$C$1001,$T152)&amp;"")</f>
        <v/>
      </c>
      <c r="F152">
        <f>IF($T152="","",INDEX('Per Line'!$D$2:$D$1001,$T152)&amp;"")</f>
        <v/>
      </c>
      <c r="G152">
        <f>IF($T152="","",INDEX('Per Line'!$E$2:$E$1001,$T152))</f>
        <v/>
      </c>
      <c r="H152" s="7">
        <f>IF($T152="","",G152*R152/100)</f>
        <v/>
      </c>
      <c r="I152" s="11">
        <f>IF($T152="","",INDEX('Per Line'!$Q$2:$Q$1001,$T152))</f>
        <v/>
      </c>
      <c r="J152">
        <f>IF($T152="","",Settings!$C$7)</f>
        <v/>
      </c>
      <c r="K152" s="7">
        <f>IF($T152="","",SUMIFS('Per Line'!$K$2:$K$1001,'Per Line'!$A$2:$A$1001,$B152,'Per Line'!$V$2:$V$1001,0))</f>
        <v/>
      </c>
      <c r="L152" s="7">
        <f>IF($T152="","",K152*J152)</f>
        <v/>
      </c>
      <c r="M152">
        <f>IF($T152="","",Settings!$C$6)</f>
        <v/>
      </c>
      <c r="N152" s="7">
        <f>IF($T152="","",SUMIFS('Per Line'!$K$2:$K$1001,'Per Line'!$A$2:$A$1001,$B152,'Per Line'!$V$2:$V$1001,1))</f>
        <v/>
      </c>
      <c r="O152" s="7">
        <f>IF($T152="","",N152*M152)</f>
        <v/>
      </c>
      <c r="P152" s="7">
        <f>IF($T152="","",O152+L152)</f>
        <v/>
      </c>
      <c r="Q152" s="7">
        <f>IF($T152="","",R152-P152)</f>
        <v/>
      </c>
      <c r="R152" s="7">
        <f>IF($T152="","",K152+N152)</f>
        <v/>
      </c>
      <c r="S152" s="7">
        <f>IF($T152="","",R152-P152-H152)</f>
        <v/>
      </c>
      <c r="T152" s="13">
        <f>IF(ROWS($T$2:$T152)&lt;=MAX('Per Line'!$U$2:$U$1001),MATCH(ROWS($T$2:$T152),'Per Line'!$U$2:$U$1001,0),"")</f>
        <v/>
      </c>
    </row>
    <row r="153">
      <c r="A153" s="12" t="n"/>
      <c r="B153">
        <f>IF($T153="","",INDEX('Per Line'!$A$2:$A$1001,$T153)&amp;"")</f>
        <v/>
      </c>
      <c r="C153" s="12" t="n"/>
      <c r="D153">
        <f>IF($T153="","",INDEX('Per Line'!$B$2:$B$1001,$T153)&amp;"")</f>
        <v/>
      </c>
      <c r="E153">
        <f>IF($T153="","",INDEX('Per Line'!$C$2:$C$1001,$T153)&amp;"")</f>
        <v/>
      </c>
      <c r="F153">
        <f>IF($T153="","",INDEX('Per Line'!$D$2:$D$1001,$T153)&amp;"")</f>
        <v/>
      </c>
      <c r="G153">
        <f>IF($T153="","",INDEX('Per Line'!$E$2:$E$1001,$T153))</f>
        <v/>
      </c>
      <c r="H153" s="7">
        <f>IF($T153="","",G153*R153/100)</f>
        <v/>
      </c>
      <c r="I153" s="11">
        <f>IF($T153="","",INDEX('Per Line'!$Q$2:$Q$1001,$T153))</f>
        <v/>
      </c>
      <c r="J153">
        <f>IF($T153="","",Settings!$C$7)</f>
        <v/>
      </c>
      <c r="K153" s="7">
        <f>IF($T153="","",SUMIFS('Per Line'!$K$2:$K$1001,'Per Line'!$A$2:$A$1001,$B153,'Per Line'!$V$2:$V$1001,0))</f>
        <v/>
      </c>
      <c r="L153" s="7">
        <f>IF($T153="","",K153*J153)</f>
        <v/>
      </c>
      <c r="M153">
        <f>IF($T153="","",Settings!$C$6)</f>
        <v/>
      </c>
      <c r="N153" s="7">
        <f>IF($T153="","",SUMIFS('Per Line'!$K$2:$K$1001,'Per Line'!$A$2:$A$1001,$B153,'Per Line'!$V$2:$V$1001,1))</f>
        <v/>
      </c>
      <c r="O153" s="7">
        <f>IF($T153="","",N153*M153)</f>
        <v/>
      </c>
      <c r="P153" s="7">
        <f>IF($T153="","",O153+L153)</f>
        <v/>
      </c>
      <c r="Q153" s="7">
        <f>IF($T153="","",R153-P153)</f>
        <v/>
      </c>
      <c r="R153" s="7">
        <f>IF($T153="","",K153+N153)</f>
        <v/>
      </c>
      <c r="S153" s="7">
        <f>IF($T153="","",R153-P153-H153)</f>
        <v/>
      </c>
      <c r="T153" s="13">
        <f>IF(ROWS($T$2:$T153)&lt;=MAX('Per Line'!$U$2:$U$1001),MATCH(ROWS($T$2:$T153),'Per Line'!$U$2:$U$1001,0),"")</f>
        <v/>
      </c>
    </row>
    <row r="154">
      <c r="A154" s="12" t="n"/>
      <c r="B154">
        <f>IF($T154="","",INDEX('Per Line'!$A$2:$A$1001,$T154)&amp;"")</f>
        <v/>
      </c>
      <c r="C154" s="12" t="n"/>
      <c r="D154">
        <f>IF($T154="","",INDEX('Per Line'!$B$2:$B$1001,$T154)&amp;"")</f>
        <v/>
      </c>
      <c r="E154">
        <f>IF($T154="","",INDEX('Per Line'!$C$2:$C$1001,$T154)&amp;"")</f>
        <v/>
      </c>
      <c r="F154">
        <f>IF($T154="","",INDEX('Per Line'!$D$2:$D$1001,$T154)&amp;"")</f>
        <v/>
      </c>
      <c r="G154">
        <f>IF($T154="","",INDEX('Per Line'!$E$2:$E$1001,$T154))</f>
        <v/>
      </c>
      <c r="H154" s="7">
        <f>IF($T154="","",G154*R154/100)</f>
        <v/>
      </c>
      <c r="I154" s="11">
        <f>IF($T154="","",INDEX('Per Line'!$Q$2:$Q$1001,$T154))</f>
        <v/>
      </c>
      <c r="J154">
        <f>IF($T154="","",Settings!$C$7)</f>
        <v/>
      </c>
      <c r="K154" s="7">
        <f>IF($T154="","",SUMIFS('Per Line'!$K$2:$K$1001,'Per Line'!$A$2:$A$1001,$B154,'Per Line'!$V$2:$V$1001,0))</f>
        <v/>
      </c>
      <c r="L154" s="7">
        <f>IF($T154="","",K154*J154)</f>
        <v/>
      </c>
      <c r="M154">
        <f>IF($T154="","",Settings!$C$6)</f>
        <v/>
      </c>
      <c r="N154" s="7">
        <f>IF($T154="","",SUMIFS('Per Line'!$K$2:$K$1001,'Per Line'!$A$2:$A$1001,$B154,'Per Line'!$V$2:$V$1001,1))</f>
        <v/>
      </c>
      <c r="O154" s="7">
        <f>IF($T154="","",N154*M154)</f>
        <v/>
      </c>
      <c r="P154" s="7">
        <f>IF($T154="","",O154+L154)</f>
        <v/>
      </c>
      <c r="Q154" s="7">
        <f>IF($T154="","",R154-P154)</f>
        <v/>
      </c>
      <c r="R154" s="7">
        <f>IF($T154="","",K154+N154)</f>
        <v/>
      </c>
      <c r="S154" s="7">
        <f>IF($T154="","",R154-P154-H154)</f>
        <v/>
      </c>
      <c r="T154" s="13">
        <f>IF(ROWS($T$2:$T154)&lt;=MAX('Per Line'!$U$2:$U$1001),MATCH(ROWS($T$2:$T154),'Per Line'!$U$2:$U$1001,0),"")</f>
        <v/>
      </c>
    </row>
    <row r="155">
      <c r="A155" s="12" t="n"/>
      <c r="B155">
        <f>IF($T155="","",INDEX('Per Line'!$A$2:$A$1001,$T155)&amp;"")</f>
        <v/>
      </c>
      <c r="C155" s="12" t="n"/>
      <c r="D155">
        <f>IF($T155="","",INDEX('Per Line'!$B$2:$B$1001,$T155)&amp;"")</f>
        <v/>
      </c>
      <c r="E155">
        <f>IF($T155="","",INDEX('Per Line'!$C$2:$C$1001,$T155)&amp;"")</f>
        <v/>
      </c>
      <c r="F155">
        <f>IF($T155="","",INDEX('Per Line'!$D$2:$D$1001,$T155)&amp;"")</f>
        <v/>
      </c>
      <c r="G155">
        <f>IF($T155="","",INDEX('Per Line'!$E$2:$E$1001,$T155))</f>
        <v/>
      </c>
      <c r="H155" s="7">
        <f>IF($T155="","",G155*R155/100)</f>
        <v/>
      </c>
      <c r="I155" s="11">
        <f>IF($T155="","",INDEX('Per Line'!$Q$2:$Q$1001,$T155))</f>
        <v/>
      </c>
      <c r="J155">
        <f>IF($T155="","",Settings!$C$7)</f>
        <v/>
      </c>
      <c r="K155" s="7">
        <f>IF($T155="","",SUMIFS('Per Line'!$K$2:$K$1001,'Per Line'!$A$2:$A$1001,$B155,'Per Line'!$V$2:$V$1001,0))</f>
        <v/>
      </c>
      <c r="L155" s="7">
        <f>IF($T155="","",K155*J155)</f>
        <v/>
      </c>
      <c r="M155">
        <f>IF($T155="","",Settings!$C$6)</f>
        <v/>
      </c>
      <c r="N155" s="7">
        <f>IF($T155="","",SUMIFS('Per Line'!$K$2:$K$1001,'Per Line'!$A$2:$A$1001,$B155,'Per Line'!$V$2:$V$1001,1))</f>
        <v/>
      </c>
      <c r="O155" s="7">
        <f>IF($T155="","",N155*M155)</f>
        <v/>
      </c>
      <c r="P155" s="7">
        <f>IF($T155="","",O155+L155)</f>
        <v/>
      </c>
      <c r="Q155" s="7">
        <f>IF($T155="","",R155-P155)</f>
        <v/>
      </c>
      <c r="R155" s="7">
        <f>IF($T155="","",K155+N155)</f>
        <v/>
      </c>
      <c r="S155" s="7">
        <f>IF($T155="","",R155-P155-H155)</f>
        <v/>
      </c>
      <c r="T155" s="13">
        <f>IF(ROWS($T$2:$T155)&lt;=MAX('Per Line'!$U$2:$U$1001),MATCH(ROWS($T$2:$T155),'Per Line'!$U$2:$U$1001,0),"")</f>
        <v/>
      </c>
    </row>
    <row r="156">
      <c r="A156" s="12" t="n"/>
      <c r="B156">
        <f>IF($T156="","",INDEX('Per Line'!$A$2:$A$1001,$T156)&amp;"")</f>
        <v/>
      </c>
      <c r="C156" s="12" t="n"/>
      <c r="D156">
        <f>IF($T156="","",INDEX('Per Line'!$B$2:$B$1001,$T156)&amp;"")</f>
        <v/>
      </c>
      <c r="E156">
        <f>IF($T156="","",INDEX('Per Line'!$C$2:$C$1001,$T156)&amp;"")</f>
        <v/>
      </c>
      <c r="F156">
        <f>IF($T156="","",INDEX('Per Line'!$D$2:$D$1001,$T156)&amp;"")</f>
        <v/>
      </c>
      <c r="G156">
        <f>IF($T156="","",INDEX('Per Line'!$E$2:$E$1001,$T156))</f>
        <v/>
      </c>
      <c r="H156" s="7">
        <f>IF($T156="","",G156*R156/100)</f>
        <v/>
      </c>
      <c r="I156" s="11">
        <f>IF($T156="","",INDEX('Per Line'!$Q$2:$Q$1001,$T156))</f>
        <v/>
      </c>
      <c r="J156">
        <f>IF($T156="","",Settings!$C$7)</f>
        <v/>
      </c>
      <c r="K156" s="7">
        <f>IF($T156="","",SUMIFS('Per Line'!$K$2:$K$1001,'Per Line'!$A$2:$A$1001,$B156,'Per Line'!$V$2:$V$1001,0))</f>
        <v/>
      </c>
      <c r="L156" s="7">
        <f>IF($T156="","",K156*J156)</f>
        <v/>
      </c>
      <c r="M156">
        <f>IF($T156="","",Settings!$C$6)</f>
        <v/>
      </c>
      <c r="N156" s="7">
        <f>IF($T156="","",SUMIFS('Per Line'!$K$2:$K$1001,'Per Line'!$A$2:$A$1001,$B156,'Per Line'!$V$2:$V$1001,1))</f>
        <v/>
      </c>
      <c r="O156" s="7">
        <f>IF($T156="","",N156*M156)</f>
        <v/>
      </c>
      <c r="P156" s="7">
        <f>IF($T156="","",O156+L156)</f>
        <v/>
      </c>
      <c r="Q156" s="7">
        <f>IF($T156="","",R156-P156)</f>
        <v/>
      </c>
      <c r="R156" s="7">
        <f>IF($T156="","",K156+N156)</f>
        <v/>
      </c>
      <c r="S156" s="7">
        <f>IF($T156="","",R156-P156-H156)</f>
        <v/>
      </c>
      <c r="T156" s="13">
        <f>IF(ROWS($T$2:$T156)&lt;=MAX('Per Line'!$U$2:$U$1001),MATCH(ROWS($T$2:$T156),'Per Line'!$U$2:$U$1001,0),"")</f>
        <v/>
      </c>
    </row>
    <row r="157">
      <c r="A157" s="12" t="n"/>
      <c r="B157">
        <f>IF($T157="","",INDEX('Per Line'!$A$2:$A$1001,$T157)&amp;"")</f>
        <v/>
      </c>
      <c r="C157" s="12" t="n"/>
      <c r="D157">
        <f>IF($T157="","",INDEX('Per Line'!$B$2:$B$1001,$T157)&amp;"")</f>
        <v/>
      </c>
      <c r="E157">
        <f>IF($T157="","",INDEX('Per Line'!$C$2:$C$1001,$T157)&amp;"")</f>
        <v/>
      </c>
      <c r="F157">
        <f>IF($T157="","",INDEX('Per Line'!$D$2:$D$1001,$T157)&amp;"")</f>
        <v/>
      </c>
      <c r="G157">
        <f>IF($T157="","",INDEX('Per Line'!$E$2:$E$1001,$T157))</f>
        <v/>
      </c>
      <c r="H157" s="7">
        <f>IF($T157="","",G157*R157/100)</f>
        <v/>
      </c>
      <c r="I157" s="11">
        <f>IF($T157="","",INDEX('Per Line'!$Q$2:$Q$1001,$T157))</f>
        <v/>
      </c>
      <c r="J157">
        <f>IF($T157="","",Settings!$C$7)</f>
        <v/>
      </c>
      <c r="K157" s="7">
        <f>IF($T157="","",SUMIFS('Per Line'!$K$2:$K$1001,'Per Line'!$A$2:$A$1001,$B157,'Per Line'!$V$2:$V$1001,0))</f>
        <v/>
      </c>
      <c r="L157" s="7">
        <f>IF($T157="","",K157*J157)</f>
        <v/>
      </c>
      <c r="M157">
        <f>IF($T157="","",Settings!$C$6)</f>
        <v/>
      </c>
      <c r="N157" s="7">
        <f>IF($T157="","",SUMIFS('Per Line'!$K$2:$K$1001,'Per Line'!$A$2:$A$1001,$B157,'Per Line'!$V$2:$V$1001,1))</f>
        <v/>
      </c>
      <c r="O157" s="7">
        <f>IF($T157="","",N157*M157)</f>
        <v/>
      </c>
      <c r="P157" s="7">
        <f>IF($T157="","",O157+L157)</f>
        <v/>
      </c>
      <c r="Q157" s="7">
        <f>IF($T157="","",R157-P157)</f>
        <v/>
      </c>
      <c r="R157" s="7">
        <f>IF($T157="","",K157+N157)</f>
        <v/>
      </c>
      <c r="S157" s="7">
        <f>IF($T157="","",R157-P157-H157)</f>
        <v/>
      </c>
      <c r="T157" s="13">
        <f>IF(ROWS($T$2:$T157)&lt;=MAX('Per Line'!$U$2:$U$1001),MATCH(ROWS($T$2:$T157),'Per Line'!$U$2:$U$1001,0),"")</f>
        <v/>
      </c>
    </row>
    <row r="158">
      <c r="A158" s="12" t="n"/>
      <c r="B158">
        <f>IF($T158="","",INDEX('Per Line'!$A$2:$A$1001,$T158)&amp;"")</f>
        <v/>
      </c>
      <c r="C158" s="12" t="n"/>
      <c r="D158">
        <f>IF($T158="","",INDEX('Per Line'!$B$2:$B$1001,$T158)&amp;"")</f>
        <v/>
      </c>
      <c r="E158">
        <f>IF($T158="","",INDEX('Per Line'!$C$2:$C$1001,$T158)&amp;"")</f>
        <v/>
      </c>
      <c r="F158">
        <f>IF($T158="","",INDEX('Per Line'!$D$2:$D$1001,$T158)&amp;"")</f>
        <v/>
      </c>
      <c r="G158">
        <f>IF($T158="","",INDEX('Per Line'!$E$2:$E$1001,$T158))</f>
        <v/>
      </c>
      <c r="H158" s="7">
        <f>IF($T158="","",G158*R158/100)</f>
        <v/>
      </c>
      <c r="I158" s="11">
        <f>IF($T158="","",INDEX('Per Line'!$Q$2:$Q$1001,$T158))</f>
        <v/>
      </c>
      <c r="J158">
        <f>IF($T158="","",Settings!$C$7)</f>
        <v/>
      </c>
      <c r="K158" s="7">
        <f>IF($T158="","",SUMIFS('Per Line'!$K$2:$K$1001,'Per Line'!$A$2:$A$1001,$B158,'Per Line'!$V$2:$V$1001,0))</f>
        <v/>
      </c>
      <c r="L158" s="7">
        <f>IF($T158="","",K158*J158)</f>
        <v/>
      </c>
      <c r="M158">
        <f>IF($T158="","",Settings!$C$6)</f>
        <v/>
      </c>
      <c r="N158" s="7">
        <f>IF($T158="","",SUMIFS('Per Line'!$K$2:$K$1001,'Per Line'!$A$2:$A$1001,$B158,'Per Line'!$V$2:$V$1001,1))</f>
        <v/>
      </c>
      <c r="O158" s="7">
        <f>IF($T158="","",N158*M158)</f>
        <v/>
      </c>
      <c r="P158" s="7">
        <f>IF($T158="","",O158+L158)</f>
        <v/>
      </c>
      <c r="Q158" s="7">
        <f>IF($T158="","",R158-P158)</f>
        <v/>
      </c>
      <c r="R158" s="7">
        <f>IF($T158="","",K158+N158)</f>
        <v/>
      </c>
      <c r="S158" s="7">
        <f>IF($T158="","",R158-P158-H158)</f>
        <v/>
      </c>
      <c r="T158" s="13">
        <f>IF(ROWS($T$2:$T158)&lt;=MAX('Per Line'!$U$2:$U$1001),MATCH(ROWS($T$2:$T158),'Per Line'!$U$2:$U$1001,0),"")</f>
        <v/>
      </c>
    </row>
    <row r="159">
      <c r="A159" s="12" t="n"/>
      <c r="B159">
        <f>IF($T159="","",INDEX('Per Line'!$A$2:$A$1001,$T159)&amp;"")</f>
        <v/>
      </c>
      <c r="C159" s="12" t="n"/>
      <c r="D159">
        <f>IF($T159="","",INDEX('Per Line'!$B$2:$B$1001,$T159)&amp;"")</f>
        <v/>
      </c>
      <c r="E159">
        <f>IF($T159="","",INDEX('Per Line'!$C$2:$C$1001,$T159)&amp;"")</f>
        <v/>
      </c>
      <c r="F159">
        <f>IF($T159="","",INDEX('Per Line'!$D$2:$D$1001,$T159)&amp;"")</f>
        <v/>
      </c>
      <c r="G159">
        <f>IF($T159="","",INDEX('Per Line'!$E$2:$E$1001,$T159))</f>
        <v/>
      </c>
      <c r="H159" s="7">
        <f>IF($T159="","",G159*R159/100)</f>
        <v/>
      </c>
      <c r="I159" s="11">
        <f>IF($T159="","",INDEX('Per Line'!$Q$2:$Q$1001,$T159))</f>
        <v/>
      </c>
      <c r="J159">
        <f>IF($T159="","",Settings!$C$7)</f>
        <v/>
      </c>
      <c r="K159" s="7">
        <f>IF($T159="","",SUMIFS('Per Line'!$K$2:$K$1001,'Per Line'!$A$2:$A$1001,$B159,'Per Line'!$V$2:$V$1001,0))</f>
        <v/>
      </c>
      <c r="L159" s="7">
        <f>IF($T159="","",K159*J159)</f>
        <v/>
      </c>
      <c r="M159">
        <f>IF($T159="","",Settings!$C$6)</f>
        <v/>
      </c>
      <c r="N159" s="7">
        <f>IF($T159="","",SUMIFS('Per Line'!$K$2:$K$1001,'Per Line'!$A$2:$A$1001,$B159,'Per Line'!$V$2:$V$1001,1))</f>
        <v/>
      </c>
      <c r="O159" s="7">
        <f>IF($T159="","",N159*M159)</f>
        <v/>
      </c>
      <c r="P159" s="7">
        <f>IF($T159="","",O159+L159)</f>
        <v/>
      </c>
      <c r="Q159" s="7">
        <f>IF($T159="","",R159-P159)</f>
        <v/>
      </c>
      <c r="R159" s="7">
        <f>IF($T159="","",K159+N159)</f>
        <v/>
      </c>
      <c r="S159" s="7">
        <f>IF($T159="","",R159-P159-H159)</f>
        <v/>
      </c>
      <c r="T159" s="13">
        <f>IF(ROWS($T$2:$T159)&lt;=MAX('Per Line'!$U$2:$U$1001),MATCH(ROWS($T$2:$T159),'Per Line'!$U$2:$U$1001,0),"")</f>
        <v/>
      </c>
    </row>
    <row r="160">
      <c r="A160" s="12" t="n"/>
      <c r="B160">
        <f>IF($T160="","",INDEX('Per Line'!$A$2:$A$1001,$T160)&amp;"")</f>
        <v/>
      </c>
      <c r="C160" s="12" t="n"/>
      <c r="D160">
        <f>IF($T160="","",INDEX('Per Line'!$B$2:$B$1001,$T160)&amp;"")</f>
        <v/>
      </c>
      <c r="E160">
        <f>IF($T160="","",INDEX('Per Line'!$C$2:$C$1001,$T160)&amp;"")</f>
        <v/>
      </c>
      <c r="F160">
        <f>IF($T160="","",INDEX('Per Line'!$D$2:$D$1001,$T160)&amp;"")</f>
        <v/>
      </c>
      <c r="G160">
        <f>IF($T160="","",INDEX('Per Line'!$E$2:$E$1001,$T160))</f>
        <v/>
      </c>
      <c r="H160" s="7">
        <f>IF($T160="","",G160*R160/100)</f>
        <v/>
      </c>
      <c r="I160" s="11">
        <f>IF($T160="","",INDEX('Per Line'!$Q$2:$Q$1001,$T160))</f>
        <v/>
      </c>
      <c r="J160">
        <f>IF($T160="","",Settings!$C$7)</f>
        <v/>
      </c>
      <c r="K160" s="7">
        <f>IF($T160="","",SUMIFS('Per Line'!$K$2:$K$1001,'Per Line'!$A$2:$A$1001,$B160,'Per Line'!$V$2:$V$1001,0))</f>
        <v/>
      </c>
      <c r="L160" s="7">
        <f>IF($T160="","",K160*J160)</f>
        <v/>
      </c>
      <c r="M160">
        <f>IF($T160="","",Settings!$C$6)</f>
        <v/>
      </c>
      <c r="N160" s="7">
        <f>IF($T160="","",SUMIFS('Per Line'!$K$2:$K$1001,'Per Line'!$A$2:$A$1001,$B160,'Per Line'!$V$2:$V$1001,1))</f>
        <v/>
      </c>
      <c r="O160" s="7">
        <f>IF($T160="","",N160*M160)</f>
        <v/>
      </c>
      <c r="P160" s="7">
        <f>IF($T160="","",O160+L160)</f>
        <v/>
      </c>
      <c r="Q160" s="7">
        <f>IF($T160="","",R160-P160)</f>
        <v/>
      </c>
      <c r="R160" s="7">
        <f>IF($T160="","",K160+N160)</f>
        <v/>
      </c>
      <c r="S160" s="7">
        <f>IF($T160="","",R160-P160-H160)</f>
        <v/>
      </c>
      <c r="T160" s="13">
        <f>IF(ROWS($T$2:$T160)&lt;=MAX('Per Line'!$U$2:$U$1001),MATCH(ROWS($T$2:$T160),'Per Line'!$U$2:$U$1001,0),"")</f>
        <v/>
      </c>
    </row>
    <row r="161">
      <c r="A161" s="12" t="n"/>
      <c r="B161">
        <f>IF($T161="","",INDEX('Per Line'!$A$2:$A$1001,$T161)&amp;"")</f>
        <v/>
      </c>
      <c r="C161" s="12" t="n"/>
      <c r="D161">
        <f>IF($T161="","",INDEX('Per Line'!$B$2:$B$1001,$T161)&amp;"")</f>
        <v/>
      </c>
      <c r="E161">
        <f>IF($T161="","",INDEX('Per Line'!$C$2:$C$1001,$T161)&amp;"")</f>
        <v/>
      </c>
      <c r="F161">
        <f>IF($T161="","",INDEX('Per Line'!$D$2:$D$1001,$T161)&amp;"")</f>
        <v/>
      </c>
      <c r="G161">
        <f>IF($T161="","",INDEX('Per Line'!$E$2:$E$1001,$T161))</f>
        <v/>
      </c>
      <c r="H161" s="7">
        <f>IF($T161="","",G161*R161/100)</f>
        <v/>
      </c>
      <c r="I161" s="11">
        <f>IF($T161="","",INDEX('Per Line'!$Q$2:$Q$1001,$T161))</f>
        <v/>
      </c>
      <c r="J161">
        <f>IF($T161="","",Settings!$C$7)</f>
        <v/>
      </c>
      <c r="K161" s="7">
        <f>IF($T161="","",SUMIFS('Per Line'!$K$2:$K$1001,'Per Line'!$A$2:$A$1001,$B161,'Per Line'!$V$2:$V$1001,0))</f>
        <v/>
      </c>
      <c r="L161" s="7">
        <f>IF($T161="","",K161*J161)</f>
        <v/>
      </c>
      <c r="M161">
        <f>IF($T161="","",Settings!$C$6)</f>
        <v/>
      </c>
      <c r="N161" s="7">
        <f>IF($T161="","",SUMIFS('Per Line'!$K$2:$K$1001,'Per Line'!$A$2:$A$1001,$B161,'Per Line'!$V$2:$V$1001,1))</f>
        <v/>
      </c>
      <c r="O161" s="7">
        <f>IF($T161="","",N161*M161)</f>
        <v/>
      </c>
      <c r="P161" s="7">
        <f>IF($T161="","",O161+L161)</f>
        <v/>
      </c>
      <c r="Q161" s="7">
        <f>IF($T161="","",R161-P161)</f>
        <v/>
      </c>
      <c r="R161" s="7">
        <f>IF($T161="","",K161+N161)</f>
        <v/>
      </c>
      <c r="S161" s="7">
        <f>IF($T161="","",R161-P161-H161)</f>
        <v/>
      </c>
      <c r="T161" s="13">
        <f>IF(ROWS($T$2:$T161)&lt;=MAX('Per Line'!$U$2:$U$1001),MATCH(ROWS($T$2:$T161),'Per Line'!$U$2:$U$1001,0),"")</f>
        <v/>
      </c>
    </row>
    <row r="162">
      <c r="A162" s="12" t="n"/>
      <c r="B162">
        <f>IF($T162="","",INDEX('Per Line'!$A$2:$A$1001,$T162)&amp;"")</f>
        <v/>
      </c>
      <c r="C162" s="12" t="n"/>
      <c r="D162">
        <f>IF($T162="","",INDEX('Per Line'!$B$2:$B$1001,$T162)&amp;"")</f>
        <v/>
      </c>
      <c r="E162">
        <f>IF($T162="","",INDEX('Per Line'!$C$2:$C$1001,$T162)&amp;"")</f>
        <v/>
      </c>
      <c r="F162">
        <f>IF($T162="","",INDEX('Per Line'!$D$2:$D$1001,$T162)&amp;"")</f>
        <v/>
      </c>
      <c r="G162">
        <f>IF($T162="","",INDEX('Per Line'!$E$2:$E$1001,$T162))</f>
        <v/>
      </c>
      <c r="H162" s="7">
        <f>IF($T162="","",G162*R162/100)</f>
        <v/>
      </c>
      <c r="I162" s="11">
        <f>IF($T162="","",INDEX('Per Line'!$Q$2:$Q$1001,$T162))</f>
        <v/>
      </c>
      <c r="J162">
        <f>IF($T162="","",Settings!$C$7)</f>
        <v/>
      </c>
      <c r="K162" s="7">
        <f>IF($T162="","",SUMIFS('Per Line'!$K$2:$K$1001,'Per Line'!$A$2:$A$1001,$B162,'Per Line'!$V$2:$V$1001,0))</f>
        <v/>
      </c>
      <c r="L162" s="7">
        <f>IF($T162="","",K162*J162)</f>
        <v/>
      </c>
      <c r="M162">
        <f>IF($T162="","",Settings!$C$6)</f>
        <v/>
      </c>
      <c r="N162" s="7">
        <f>IF($T162="","",SUMIFS('Per Line'!$K$2:$K$1001,'Per Line'!$A$2:$A$1001,$B162,'Per Line'!$V$2:$V$1001,1))</f>
        <v/>
      </c>
      <c r="O162" s="7">
        <f>IF($T162="","",N162*M162)</f>
        <v/>
      </c>
      <c r="P162" s="7">
        <f>IF($T162="","",O162+L162)</f>
        <v/>
      </c>
      <c r="Q162" s="7">
        <f>IF($T162="","",R162-P162)</f>
        <v/>
      </c>
      <c r="R162" s="7">
        <f>IF($T162="","",K162+N162)</f>
        <v/>
      </c>
      <c r="S162" s="7">
        <f>IF($T162="","",R162-P162-H162)</f>
        <v/>
      </c>
      <c r="T162" s="13">
        <f>IF(ROWS($T$2:$T162)&lt;=MAX('Per Line'!$U$2:$U$1001),MATCH(ROWS($T$2:$T162),'Per Line'!$U$2:$U$1001,0),"")</f>
        <v/>
      </c>
    </row>
    <row r="163">
      <c r="A163" s="12" t="n"/>
      <c r="B163">
        <f>IF($T163="","",INDEX('Per Line'!$A$2:$A$1001,$T163)&amp;"")</f>
        <v/>
      </c>
      <c r="C163" s="12" t="n"/>
      <c r="D163">
        <f>IF($T163="","",INDEX('Per Line'!$B$2:$B$1001,$T163)&amp;"")</f>
        <v/>
      </c>
      <c r="E163">
        <f>IF($T163="","",INDEX('Per Line'!$C$2:$C$1001,$T163)&amp;"")</f>
        <v/>
      </c>
      <c r="F163">
        <f>IF($T163="","",INDEX('Per Line'!$D$2:$D$1001,$T163)&amp;"")</f>
        <v/>
      </c>
      <c r="G163">
        <f>IF($T163="","",INDEX('Per Line'!$E$2:$E$1001,$T163))</f>
        <v/>
      </c>
      <c r="H163" s="7">
        <f>IF($T163="","",G163*R163/100)</f>
        <v/>
      </c>
      <c r="I163" s="11">
        <f>IF($T163="","",INDEX('Per Line'!$Q$2:$Q$1001,$T163))</f>
        <v/>
      </c>
      <c r="J163">
        <f>IF($T163="","",Settings!$C$7)</f>
        <v/>
      </c>
      <c r="K163" s="7">
        <f>IF($T163="","",SUMIFS('Per Line'!$K$2:$K$1001,'Per Line'!$A$2:$A$1001,$B163,'Per Line'!$V$2:$V$1001,0))</f>
        <v/>
      </c>
      <c r="L163" s="7">
        <f>IF($T163="","",K163*J163)</f>
        <v/>
      </c>
      <c r="M163">
        <f>IF($T163="","",Settings!$C$6)</f>
        <v/>
      </c>
      <c r="N163" s="7">
        <f>IF($T163="","",SUMIFS('Per Line'!$K$2:$K$1001,'Per Line'!$A$2:$A$1001,$B163,'Per Line'!$V$2:$V$1001,1))</f>
        <v/>
      </c>
      <c r="O163" s="7">
        <f>IF($T163="","",N163*M163)</f>
        <v/>
      </c>
      <c r="P163" s="7">
        <f>IF($T163="","",O163+L163)</f>
        <v/>
      </c>
      <c r="Q163" s="7">
        <f>IF($T163="","",R163-P163)</f>
        <v/>
      </c>
      <c r="R163" s="7">
        <f>IF($T163="","",K163+N163)</f>
        <v/>
      </c>
      <c r="S163" s="7">
        <f>IF($T163="","",R163-P163-H163)</f>
        <v/>
      </c>
      <c r="T163" s="13">
        <f>IF(ROWS($T$2:$T163)&lt;=MAX('Per Line'!$U$2:$U$1001),MATCH(ROWS($T$2:$T163),'Per Line'!$U$2:$U$1001,0),"")</f>
        <v/>
      </c>
    </row>
    <row r="164">
      <c r="A164" s="12" t="n"/>
      <c r="B164">
        <f>IF($T164="","",INDEX('Per Line'!$A$2:$A$1001,$T164)&amp;"")</f>
        <v/>
      </c>
      <c r="C164" s="12" t="n"/>
      <c r="D164">
        <f>IF($T164="","",INDEX('Per Line'!$B$2:$B$1001,$T164)&amp;"")</f>
        <v/>
      </c>
      <c r="E164">
        <f>IF($T164="","",INDEX('Per Line'!$C$2:$C$1001,$T164)&amp;"")</f>
        <v/>
      </c>
      <c r="F164">
        <f>IF($T164="","",INDEX('Per Line'!$D$2:$D$1001,$T164)&amp;"")</f>
        <v/>
      </c>
      <c r="G164">
        <f>IF($T164="","",INDEX('Per Line'!$E$2:$E$1001,$T164))</f>
        <v/>
      </c>
      <c r="H164" s="7">
        <f>IF($T164="","",G164*R164/100)</f>
        <v/>
      </c>
      <c r="I164" s="11">
        <f>IF($T164="","",INDEX('Per Line'!$Q$2:$Q$1001,$T164))</f>
        <v/>
      </c>
      <c r="J164">
        <f>IF($T164="","",Settings!$C$7)</f>
        <v/>
      </c>
      <c r="K164" s="7">
        <f>IF($T164="","",SUMIFS('Per Line'!$K$2:$K$1001,'Per Line'!$A$2:$A$1001,$B164,'Per Line'!$V$2:$V$1001,0))</f>
        <v/>
      </c>
      <c r="L164" s="7">
        <f>IF($T164="","",K164*J164)</f>
        <v/>
      </c>
      <c r="M164">
        <f>IF($T164="","",Settings!$C$6)</f>
        <v/>
      </c>
      <c r="N164" s="7">
        <f>IF($T164="","",SUMIFS('Per Line'!$K$2:$K$1001,'Per Line'!$A$2:$A$1001,$B164,'Per Line'!$V$2:$V$1001,1))</f>
        <v/>
      </c>
      <c r="O164" s="7">
        <f>IF($T164="","",N164*M164)</f>
        <v/>
      </c>
      <c r="P164" s="7">
        <f>IF($T164="","",O164+L164)</f>
        <v/>
      </c>
      <c r="Q164" s="7">
        <f>IF($T164="","",R164-P164)</f>
        <v/>
      </c>
      <c r="R164" s="7">
        <f>IF($T164="","",K164+N164)</f>
        <v/>
      </c>
      <c r="S164" s="7">
        <f>IF($T164="","",R164-P164-H164)</f>
        <v/>
      </c>
      <c r="T164" s="13">
        <f>IF(ROWS($T$2:$T164)&lt;=MAX('Per Line'!$U$2:$U$1001),MATCH(ROWS($T$2:$T164),'Per Line'!$U$2:$U$1001,0),"")</f>
        <v/>
      </c>
    </row>
    <row r="165">
      <c r="A165" s="12" t="n"/>
      <c r="B165">
        <f>IF($T165="","",INDEX('Per Line'!$A$2:$A$1001,$T165)&amp;"")</f>
        <v/>
      </c>
      <c r="C165" s="12" t="n"/>
      <c r="D165">
        <f>IF($T165="","",INDEX('Per Line'!$B$2:$B$1001,$T165)&amp;"")</f>
        <v/>
      </c>
      <c r="E165">
        <f>IF($T165="","",INDEX('Per Line'!$C$2:$C$1001,$T165)&amp;"")</f>
        <v/>
      </c>
      <c r="F165">
        <f>IF($T165="","",INDEX('Per Line'!$D$2:$D$1001,$T165)&amp;"")</f>
        <v/>
      </c>
      <c r="G165">
        <f>IF($T165="","",INDEX('Per Line'!$E$2:$E$1001,$T165))</f>
        <v/>
      </c>
      <c r="H165" s="7">
        <f>IF($T165="","",G165*R165/100)</f>
        <v/>
      </c>
      <c r="I165" s="11">
        <f>IF($T165="","",INDEX('Per Line'!$Q$2:$Q$1001,$T165))</f>
        <v/>
      </c>
      <c r="J165">
        <f>IF($T165="","",Settings!$C$7)</f>
        <v/>
      </c>
      <c r="K165" s="7">
        <f>IF($T165="","",SUMIFS('Per Line'!$K$2:$K$1001,'Per Line'!$A$2:$A$1001,$B165,'Per Line'!$V$2:$V$1001,0))</f>
        <v/>
      </c>
      <c r="L165" s="7">
        <f>IF($T165="","",K165*J165)</f>
        <v/>
      </c>
      <c r="M165">
        <f>IF($T165="","",Settings!$C$6)</f>
        <v/>
      </c>
      <c r="N165" s="7">
        <f>IF($T165="","",SUMIFS('Per Line'!$K$2:$K$1001,'Per Line'!$A$2:$A$1001,$B165,'Per Line'!$V$2:$V$1001,1))</f>
        <v/>
      </c>
      <c r="O165" s="7">
        <f>IF($T165="","",N165*M165)</f>
        <v/>
      </c>
      <c r="P165" s="7">
        <f>IF($T165="","",O165+L165)</f>
        <v/>
      </c>
      <c r="Q165" s="7">
        <f>IF($T165="","",R165-P165)</f>
        <v/>
      </c>
      <c r="R165" s="7">
        <f>IF($T165="","",K165+N165)</f>
        <v/>
      </c>
      <c r="S165" s="7">
        <f>IF($T165="","",R165-P165-H165)</f>
        <v/>
      </c>
      <c r="T165" s="13">
        <f>IF(ROWS($T$2:$T165)&lt;=MAX('Per Line'!$U$2:$U$1001),MATCH(ROWS($T$2:$T165),'Per Line'!$U$2:$U$1001,0),"")</f>
        <v/>
      </c>
    </row>
    <row r="166">
      <c r="A166" s="12" t="n"/>
      <c r="B166">
        <f>IF($T166="","",INDEX('Per Line'!$A$2:$A$1001,$T166)&amp;"")</f>
        <v/>
      </c>
      <c r="C166" s="12" t="n"/>
      <c r="D166">
        <f>IF($T166="","",INDEX('Per Line'!$B$2:$B$1001,$T166)&amp;"")</f>
        <v/>
      </c>
      <c r="E166">
        <f>IF($T166="","",INDEX('Per Line'!$C$2:$C$1001,$T166)&amp;"")</f>
        <v/>
      </c>
      <c r="F166">
        <f>IF($T166="","",INDEX('Per Line'!$D$2:$D$1001,$T166)&amp;"")</f>
        <v/>
      </c>
      <c r="G166">
        <f>IF($T166="","",INDEX('Per Line'!$E$2:$E$1001,$T166))</f>
        <v/>
      </c>
      <c r="H166" s="7">
        <f>IF($T166="","",G166*R166/100)</f>
        <v/>
      </c>
      <c r="I166" s="11">
        <f>IF($T166="","",INDEX('Per Line'!$Q$2:$Q$1001,$T166))</f>
        <v/>
      </c>
      <c r="J166">
        <f>IF($T166="","",Settings!$C$7)</f>
        <v/>
      </c>
      <c r="K166" s="7">
        <f>IF($T166="","",SUMIFS('Per Line'!$K$2:$K$1001,'Per Line'!$A$2:$A$1001,$B166,'Per Line'!$V$2:$V$1001,0))</f>
        <v/>
      </c>
      <c r="L166" s="7">
        <f>IF($T166="","",K166*J166)</f>
        <v/>
      </c>
      <c r="M166">
        <f>IF($T166="","",Settings!$C$6)</f>
        <v/>
      </c>
      <c r="N166" s="7">
        <f>IF($T166="","",SUMIFS('Per Line'!$K$2:$K$1001,'Per Line'!$A$2:$A$1001,$B166,'Per Line'!$V$2:$V$1001,1))</f>
        <v/>
      </c>
      <c r="O166" s="7">
        <f>IF($T166="","",N166*M166)</f>
        <v/>
      </c>
      <c r="P166" s="7">
        <f>IF($T166="","",O166+L166)</f>
        <v/>
      </c>
      <c r="Q166" s="7">
        <f>IF($T166="","",R166-P166)</f>
        <v/>
      </c>
      <c r="R166" s="7">
        <f>IF($T166="","",K166+N166)</f>
        <v/>
      </c>
      <c r="S166" s="7">
        <f>IF($T166="","",R166-P166-H166)</f>
        <v/>
      </c>
      <c r="T166" s="13">
        <f>IF(ROWS($T$2:$T166)&lt;=MAX('Per Line'!$U$2:$U$1001),MATCH(ROWS($T$2:$T166),'Per Line'!$U$2:$U$1001,0),"")</f>
        <v/>
      </c>
    </row>
    <row r="167">
      <c r="A167" s="12" t="n"/>
      <c r="B167">
        <f>IF($T167="","",INDEX('Per Line'!$A$2:$A$1001,$T167)&amp;"")</f>
        <v/>
      </c>
      <c r="C167" s="12" t="n"/>
      <c r="D167">
        <f>IF($T167="","",INDEX('Per Line'!$B$2:$B$1001,$T167)&amp;"")</f>
        <v/>
      </c>
      <c r="E167">
        <f>IF($T167="","",INDEX('Per Line'!$C$2:$C$1001,$T167)&amp;"")</f>
        <v/>
      </c>
      <c r="F167">
        <f>IF($T167="","",INDEX('Per Line'!$D$2:$D$1001,$T167)&amp;"")</f>
        <v/>
      </c>
      <c r="G167">
        <f>IF($T167="","",INDEX('Per Line'!$E$2:$E$1001,$T167))</f>
        <v/>
      </c>
      <c r="H167" s="7">
        <f>IF($T167="","",G167*R167/100)</f>
        <v/>
      </c>
      <c r="I167" s="11">
        <f>IF($T167="","",INDEX('Per Line'!$Q$2:$Q$1001,$T167))</f>
        <v/>
      </c>
      <c r="J167">
        <f>IF($T167="","",Settings!$C$7)</f>
        <v/>
      </c>
      <c r="K167" s="7">
        <f>IF($T167="","",SUMIFS('Per Line'!$K$2:$K$1001,'Per Line'!$A$2:$A$1001,$B167,'Per Line'!$V$2:$V$1001,0))</f>
        <v/>
      </c>
      <c r="L167" s="7">
        <f>IF($T167="","",K167*J167)</f>
        <v/>
      </c>
      <c r="M167">
        <f>IF($T167="","",Settings!$C$6)</f>
        <v/>
      </c>
      <c r="N167" s="7">
        <f>IF($T167="","",SUMIFS('Per Line'!$K$2:$K$1001,'Per Line'!$A$2:$A$1001,$B167,'Per Line'!$V$2:$V$1001,1))</f>
        <v/>
      </c>
      <c r="O167" s="7">
        <f>IF($T167="","",N167*M167)</f>
        <v/>
      </c>
      <c r="P167" s="7">
        <f>IF($T167="","",O167+L167)</f>
        <v/>
      </c>
      <c r="Q167" s="7">
        <f>IF($T167="","",R167-P167)</f>
        <v/>
      </c>
      <c r="R167" s="7">
        <f>IF($T167="","",K167+N167)</f>
        <v/>
      </c>
      <c r="S167" s="7">
        <f>IF($T167="","",R167-P167-H167)</f>
        <v/>
      </c>
      <c r="T167" s="13">
        <f>IF(ROWS($T$2:$T167)&lt;=MAX('Per Line'!$U$2:$U$1001),MATCH(ROWS($T$2:$T167),'Per Line'!$U$2:$U$1001,0),"")</f>
        <v/>
      </c>
    </row>
    <row r="168">
      <c r="A168" s="12" t="n"/>
      <c r="B168">
        <f>IF($T168="","",INDEX('Per Line'!$A$2:$A$1001,$T168)&amp;"")</f>
        <v/>
      </c>
      <c r="C168" s="12" t="n"/>
      <c r="D168">
        <f>IF($T168="","",INDEX('Per Line'!$B$2:$B$1001,$T168)&amp;"")</f>
        <v/>
      </c>
      <c r="E168">
        <f>IF($T168="","",INDEX('Per Line'!$C$2:$C$1001,$T168)&amp;"")</f>
        <v/>
      </c>
      <c r="F168">
        <f>IF($T168="","",INDEX('Per Line'!$D$2:$D$1001,$T168)&amp;"")</f>
        <v/>
      </c>
      <c r="G168">
        <f>IF($T168="","",INDEX('Per Line'!$E$2:$E$1001,$T168))</f>
        <v/>
      </c>
      <c r="H168" s="7">
        <f>IF($T168="","",G168*R168/100)</f>
        <v/>
      </c>
      <c r="I168" s="11">
        <f>IF($T168="","",INDEX('Per Line'!$Q$2:$Q$1001,$T168))</f>
        <v/>
      </c>
      <c r="J168">
        <f>IF($T168="","",Settings!$C$7)</f>
        <v/>
      </c>
      <c r="K168" s="7">
        <f>IF($T168="","",SUMIFS('Per Line'!$K$2:$K$1001,'Per Line'!$A$2:$A$1001,$B168,'Per Line'!$V$2:$V$1001,0))</f>
        <v/>
      </c>
      <c r="L168" s="7">
        <f>IF($T168="","",K168*J168)</f>
        <v/>
      </c>
      <c r="M168">
        <f>IF($T168="","",Settings!$C$6)</f>
        <v/>
      </c>
      <c r="N168" s="7">
        <f>IF($T168="","",SUMIFS('Per Line'!$K$2:$K$1001,'Per Line'!$A$2:$A$1001,$B168,'Per Line'!$V$2:$V$1001,1))</f>
        <v/>
      </c>
      <c r="O168" s="7">
        <f>IF($T168="","",N168*M168)</f>
        <v/>
      </c>
      <c r="P168" s="7">
        <f>IF($T168="","",O168+L168)</f>
        <v/>
      </c>
      <c r="Q168" s="7">
        <f>IF($T168="","",R168-P168)</f>
        <v/>
      </c>
      <c r="R168" s="7">
        <f>IF($T168="","",K168+N168)</f>
        <v/>
      </c>
      <c r="S168" s="7">
        <f>IF($T168="","",R168-P168-H168)</f>
        <v/>
      </c>
      <c r="T168" s="13">
        <f>IF(ROWS($T$2:$T168)&lt;=MAX('Per Line'!$U$2:$U$1001),MATCH(ROWS($T$2:$T168),'Per Line'!$U$2:$U$1001,0),"")</f>
        <v/>
      </c>
    </row>
    <row r="169">
      <c r="A169" s="12" t="n"/>
      <c r="B169">
        <f>IF($T169="","",INDEX('Per Line'!$A$2:$A$1001,$T169)&amp;"")</f>
        <v/>
      </c>
      <c r="C169" s="12" t="n"/>
      <c r="D169">
        <f>IF($T169="","",INDEX('Per Line'!$B$2:$B$1001,$T169)&amp;"")</f>
        <v/>
      </c>
      <c r="E169">
        <f>IF($T169="","",INDEX('Per Line'!$C$2:$C$1001,$T169)&amp;"")</f>
        <v/>
      </c>
      <c r="F169">
        <f>IF($T169="","",INDEX('Per Line'!$D$2:$D$1001,$T169)&amp;"")</f>
        <v/>
      </c>
      <c r="G169">
        <f>IF($T169="","",INDEX('Per Line'!$E$2:$E$1001,$T169))</f>
        <v/>
      </c>
      <c r="H169" s="7">
        <f>IF($T169="","",G169*R169/100)</f>
        <v/>
      </c>
      <c r="I169" s="11">
        <f>IF($T169="","",INDEX('Per Line'!$Q$2:$Q$1001,$T169))</f>
        <v/>
      </c>
      <c r="J169">
        <f>IF($T169="","",Settings!$C$7)</f>
        <v/>
      </c>
      <c r="K169" s="7">
        <f>IF($T169="","",SUMIFS('Per Line'!$K$2:$K$1001,'Per Line'!$A$2:$A$1001,$B169,'Per Line'!$V$2:$V$1001,0))</f>
        <v/>
      </c>
      <c r="L169" s="7">
        <f>IF($T169="","",K169*J169)</f>
        <v/>
      </c>
      <c r="M169">
        <f>IF($T169="","",Settings!$C$6)</f>
        <v/>
      </c>
      <c r="N169" s="7">
        <f>IF($T169="","",SUMIFS('Per Line'!$K$2:$K$1001,'Per Line'!$A$2:$A$1001,$B169,'Per Line'!$V$2:$V$1001,1))</f>
        <v/>
      </c>
      <c r="O169" s="7">
        <f>IF($T169="","",N169*M169)</f>
        <v/>
      </c>
      <c r="P169" s="7">
        <f>IF($T169="","",O169+L169)</f>
        <v/>
      </c>
      <c r="Q169" s="7">
        <f>IF($T169="","",R169-P169)</f>
        <v/>
      </c>
      <c r="R169" s="7">
        <f>IF($T169="","",K169+N169)</f>
        <v/>
      </c>
      <c r="S169" s="7">
        <f>IF($T169="","",R169-P169-H169)</f>
        <v/>
      </c>
      <c r="T169" s="13">
        <f>IF(ROWS($T$2:$T169)&lt;=MAX('Per Line'!$U$2:$U$1001),MATCH(ROWS($T$2:$T169),'Per Line'!$U$2:$U$1001,0),"")</f>
        <v/>
      </c>
    </row>
    <row r="170">
      <c r="A170" s="12" t="n"/>
      <c r="B170">
        <f>IF($T170="","",INDEX('Per Line'!$A$2:$A$1001,$T170)&amp;"")</f>
        <v/>
      </c>
      <c r="C170" s="12" t="n"/>
      <c r="D170">
        <f>IF($T170="","",INDEX('Per Line'!$B$2:$B$1001,$T170)&amp;"")</f>
        <v/>
      </c>
      <c r="E170">
        <f>IF($T170="","",INDEX('Per Line'!$C$2:$C$1001,$T170)&amp;"")</f>
        <v/>
      </c>
      <c r="F170">
        <f>IF($T170="","",INDEX('Per Line'!$D$2:$D$1001,$T170)&amp;"")</f>
        <v/>
      </c>
      <c r="G170">
        <f>IF($T170="","",INDEX('Per Line'!$E$2:$E$1001,$T170))</f>
        <v/>
      </c>
      <c r="H170" s="7">
        <f>IF($T170="","",G170*R170/100)</f>
        <v/>
      </c>
      <c r="I170" s="11">
        <f>IF($T170="","",INDEX('Per Line'!$Q$2:$Q$1001,$T170))</f>
        <v/>
      </c>
      <c r="J170">
        <f>IF($T170="","",Settings!$C$7)</f>
        <v/>
      </c>
      <c r="K170" s="7">
        <f>IF($T170="","",SUMIFS('Per Line'!$K$2:$K$1001,'Per Line'!$A$2:$A$1001,$B170,'Per Line'!$V$2:$V$1001,0))</f>
        <v/>
      </c>
      <c r="L170" s="7">
        <f>IF($T170="","",K170*J170)</f>
        <v/>
      </c>
      <c r="M170">
        <f>IF($T170="","",Settings!$C$6)</f>
        <v/>
      </c>
      <c r="N170" s="7">
        <f>IF($T170="","",SUMIFS('Per Line'!$K$2:$K$1001,'Per Line'!$A$2:$A$1001,$B170,'Per Line'!$V$2:$V$1001,1))</f>
        <v/>
      </c>
      <c r="O170" s="7">
        <f>IF($T170="","",N170*M170)</f>
        <v/>
      </c>
      <c r="P170" s="7">
        <f>IF($T170="","",O170+L170)</f>
        <v/>
      </c>
      <c r="Q170" s="7">
        <f>IF($T170="","",R170-P170)</f>
        <v/>
      </c>
      <c r="R170" s="7">
        <f>IF($T170="","",K170+N170)</f>
        <v/>
      </c>
      <c r="S170" s="7">
        <f>IF($T170="","",R170-P170-H170)</f>
        <v/>
      </c>
      <c r="T170" s="13">
        <f>IF(ROWS($T$2:$T170)&lt;=MAX('Per Line'!$U$2:$U$1001),MATCH(ROWS($T$2:$T170),'Per Line'!$U$2:$U$1001,0),"")</f>
        <v/>
      </c>
    </row>
    <row r="171">
      <c r="A171" s="12" t="n"/>
      <c r="B171">
        <f>IF($T171="","",INDEX('Per Line'!$A$2:$A$1001,$T171)&amp;"")</f>
        <v/>
      </c>
      <c r="C171" s="12" t="n"/>
      <c r="D171">
        <f>IF($T171="","",INDEX('Per Line'!$B$2:$B$1001,$T171)&amp;"")</f>
        <v/>
      </c>
      <c r="E171">
        <f>IF($T171="","",INDEX('Per Line'!$C$2:$C$1001,$T171)&amp;"")</f>
        <v/>
      </c>
      <c r="F171">
        <f>IF($T171="","",INDEX('Per Line'!$D$2:$D$1001,$T171)&amp;"")</f>
        <v/>
      </c>
      <c r="G171">
        <f>IF($T171="","",INDEX('Per Line'!$E$2:$E$1001,$T171))</f>
        <v/>
      </c>
      <c r="H171" s="7">
        <f>IF($T171="","",G171*R171/100)</f>
        <v/>
      </c>
      <c r="I171" s="11">
        <f>IF($T171="","",INDEX('Per Line'!$Q$2:$Q$1001,$T171))</f>
        <v/>
      </c>
      <c r="J171">
        <f>IF($T171="","",Settings!$C$7)</f>
        <v/>
      </c>
      <c r="K171" s="7">
        <f>IF($T171="","",SUMIFS('Per Line'!$K$2:$K$1001,'Per Line'!$A$2:$A$1001,$B171,'Per Line'!$V$2:$V$1001,0))</f>
        <v/>
      </c>
      <c r="L171" s="7">
        <f>IF($T171="","",K171*J171)</f>
        <v/>
      </c>
      <c r="M171">
        <f>IF($T171="","",Settings!$C$6)</f>
        <v/>
      </c>
      <c r="N171" s="7">
        <f>IF($T171="","",SUMIFS('Per Line'!$K$2:$K$1001,'Per Line'!$A$2:$A$1001,$B171,'Per Line'!$V$2:$V$1001,1))</f>
        <v/>
      </c>
      <c r="O171" s="7">
        <f>IF($T171="","",N171*M171)</f>
        <v/>
      </c>
      <c r="P171" s="7">
        <f>IF($T171="","",O171+L171)</f>
        <v/>
      </c>
      <c r="Q171" s="7">
        <f>IF($T171="","",R171-P171)</f>
        <v/>
      </c>
      <c r="R171" s="7">
        <f>IF($T171="","",K171+N171)</f>
        <v/>
      </c>
      <c r="S171" s="7">
        <f>IF($T171="","",R171-P171-H171)</f>
        <v/>
      </c>
      <c r="T171" s="13">
        <f>IF(ROWS($T$2:$T171)&lt;=MAX('Per Line'!$U$2:$U$1001),MATCH(ROWS($T$2:$T171),'Per Line'!$U$2:$U$1001,0),"")</f>
        <v/>
      </c>
    </row>
    <row r="172">
      <c r="A172" s="12" t="n"/>
      <c r="B172">
        <f>IF($T172="","",INDEX('Per Line'!$A$2:$A$1001,$T172)&amp;"")</f>
        <v/>
      </c>
      <c r="C172" s="12" t="n"/>
      <c r="D172">
        <f>IF($T172="","",INDEX('Per Line'!$B$2:$B$1001,$T172)&amp;"")</f>
        <v/>
      </c>
      <c r="E172">
        <f>IF($T172="","",INDEX('Per Line'!$C$2:$C$1001,$T172)&amp;"")</f>
        <v/>
      </c>
      <c r="F172">
        <f>IF($T172="","",INDEX('Per Line'!$D$2:$D$1001,$T172)&amp;"")</f>
        <v/>
      </c>
      <c r="G172">
        <f>IF($T172="","",INDEX('Per Line'!$E$2:$E$1001,$T172))</f>
        <v/>
      </c>
      <c r="H172" s="7">
        <f>IF($T172="","",G172*R172/100)</f>
        <v/>
      </c>
      <c r="I172" s="11">
        <f>IF($T172="","",INDEX('Per Line'!$Q$2:$Q$1001,$T172))</f>
        <v/>
      </c>
      <c r="J172">
        <f>IF($T172="","",Settings!$C$7)</f>
        <v/>
      </c>
      <c r="K172" s="7">
        <f>IF($T172="","",SUMIFS('Per Line'!$K$2:$K$1001,'Per Line'!$A$2:$A$1001,$B172,'Per Line'!$V$2:$V$1001,0))</f>
        <v/>
      </c>
      <c r="L172" s="7">
        <f>IF($T172="","",K172*J172)</f>
        <v/>
      </c>
      <c r="M172">
        <f>IF($T172="","",Settings!$C$6)</f>
        <v/>
      </c>
      <c r="N172" s="7">
        <f>IF($T172="","",SUMIFS('Per Line'!$K$2:$K$1001,'Per Line'!$A$2:$A$1001,$B172,'Per Line'!$V$2:$V$1001,1))</f>
        <v/>
      </c>
      <c r="O172" s="7">
        <f>IF($T172="","",N172*M172)</f>
        <v/>
      </c>
      <c r="P172" s="7">
        <f>IF($T172="","",O172+L172)</f>
        <v/>
      </c>
      <c r="Q172" s="7">
        <f>IF($T172="","",R172-P172)</f>
        <v/>
      </c>
      <c r="R172" s="7">
        <f>IF($T172="","",K172+N172)</f>
        <v/>
      </c>
      <c r="S172" s="7">
        <f>IF($T172="","",R172-P172-H172)</f>
        <v/>
      </c>
      <c r="T172" s="13">
        <f>IF(ROWS($T$2:$T172)&lt;=MAX('Per Line'!$U$2:$U$1001),MATCH(ROWS($T$2:$T172),'Per Line'!$U$2:$U$1001,0),"")</f>
        <v/>
      </c>
    </row>
    <row r="173">
      <c r="A173" s="12" t="n"/>
      <c r="B173">
        <f>IF($T173="","",INDEX('Per Line'!$A$2:$A$1001,$T173)&amp;"")</f>
        <v/>
      </c>
      <c r="C173" s="12" t="n"/>
      <c r="D173">
        <f>IF($T173="","",INDEX('Per Line'!$B$2:$B$1001,$T173)&amp;"")</f>
        <v/>
      </c>
      <c r="E173">
        <f>IF($T173="","",INDEX('Per Line'!$C$2:$C$1001,$T173)&amp;"")</f>
        <v/>
      </c>
      <c r="F173">
        <f>IF($T173="","",INDEX('Per Line'!$D$2:$D$1001,$T173)&amp;"")</f>
        <v/>
      </c>
      <c r="G173">
        <f>IF($T173="","",INDEX('Per Line'!$E$2:$E$1001,$T173))</f>
        <v/>
      </c>
      <c r="H173" s="7">
        <f>IF($T173="","",G173*R173/100)</f>
        <v/>
      </c>
      <c r="I173" s="11">
        <f>IF($T173="","",INDEX('Per Line'!$Q$2:$Q$1001,$T173))</f>
        <v/>
      </c>
      <c r="J173">
        <f>IF($T173="","",Settings!$C$7)</f>
        <v/>
      </c>
      <c r="K173" s="7">
        <f>IF($T173="","",SUMIFS('Per Line'!$K$2:$K$1001,'Per Line'!$A$2:$A$1001,$B173,'Per Line'!$V$2:$V$1001,0))</f>
        <v/>
      </c>
      <c r="L173" s="7">
        <f>IF($T173="","",K173*J173)</f>
        <v/>
      </c>
      <c r="M173">
        <f>IF($T173="","",Settings!$C$6)</f>
        <v/>
      </c>
      <c r="N173" s="7">
        <f>IF($T173="","",SUMIFS('Per Line'!$K$2:$K$1001,'Per Line'!$A$2:$A$1001,$B173,'Per Line'!$V$2:$V$1001,1))</f>
        <v/>
      </c>
      <c r="O173" s="7">
        <f>IF($T173="","",N173*M173)</f>
        <v/>
      </c>
      <c r="P173" s="7">
        <f>IF($T173="","",O173+L173)</f>
        <v/>
      </c>
      <c r="Q173" s="7">
        <f>IF($T173="","",R173-P173)</f>
        <v/>
      </c>
      <c r="R173" s="7">
        <f>IF($T173="","",K173+N173)</f>
        <v/>
      </c>
      <c r="S173" s="7">
        <f>IF($T173="","",R173-P173-H173)</f>
        <v/>
      </c>
      <c r="T173" s="13">
        <f>IF(ROWS($T$2:$T173)&lt;=MAX('Per Line'!$U$2:$U$1001),MATCH(ROWS($T$2:$T173),'Per Line'!$U$2:$U$1001,0),"")</f>
        <v/>
      </c>
    </row>
    <row r="174">
      <c r="A174" s="12" t="n"/>
      <c r="B174">
        <f>IF($T174="","",INDEX('Per Line'!$A$2:$A$1001,$T174)&amp;"")</f>
        <v/>
      </c>
      <c r="C174" s="12" t="n"/>
      <c r="D174">
        <f>IF($T174="","",INDEX('Per Line'!$B$2:$B$1001,$T174)&amp;"")</f>
        <v/>
      </c>
      <c r="E174">
        <f>IF($T174="","",INDEX('Per Line'!$C$2:$C$1001,$T174)&amp;"")</f>
        <v/>
      </c>
      <c r="F174">
        <f>IF($T174="","",INDEX('Per Line'!$D$2:$D$1001,$T174)&amp;"")</f>
        <v/>
      </c>
      <c r="G174">
        <f>IF($T174="","",INDEX('Per Line'!$E$2:$E$1001,$T174))</f>
        <v/>
      </c>
      <c r="H174" s="7">
        <f>IF($T174="","",G174*R174/100)</f>
        <v/>
      </c>
      <c r="I174" s="11">
        <f>IF($T174="","",INDEX('Per Line'!$Q$2:$Q$1001,$T174))</f>
        <v/>
      </c>
      <c r="J174">
        <f>IF($T174="","",Settings!$C$7)</f>
        <v/>
      </c>
      <c r="K174" s="7">
        <f>IF($T174="","",SUMIFS('Per Line'!$K$2:$K$1001,'Per Line'!$A$2:$A$1001,$B174,'Per Line'!$V$2:$V$1001,0))</f>
        <v/>
      </c>
      <c r="L174" s="7">
        <f>IF($T174="","",K174*J174)</f>
        <v/>
      </c>
      <c r="M174">
        <f>IF($T174="","",Settings!$C$6)</f>
        <v/>
      </c>
      <c r="N174" s="7">
        <f>IF($T174="","",SUMIFS('Per Line'!$K$2:$K$1001,'Per Line'!$A$2:$A$1001,$B174,'Per Line'!$V$2:$V$1001,1))</f>
        <v/>
      </c>
      <c r="O174" s="7">
        <f>IF($T174="","",N174*M174)</f>
        <v/>
      </c>
      <c r="P174" s="7">
        <f>IF($T174="","",O174+L174)</f>
        <v/>
      </c>
      <c r="Q174" s="7">
        <f>IF($T174="","",R174-P174)</f>
        <v/>
      </c>
      <c r="R174" s="7">
        <f>IF($T174="","",K174+N174)</f>
        <v/>
      </c>
      <c r="S174" s="7">
        <f>IF($T174="","",R174-P174-H174)</f>
        <v/>
      </c>
      <c r="T174" s="13">
        <f>IF(ROWS($T$2:$T174)&lt;=MAX('Per Line'!$U$2:$U$1001),MATCH(ROWS($T$2:$T174),'Per Line'!$U$2:$U$1001,0),"")</f>
        <v/>
      </c>
    </row>
    <row r="175">
      <c r="A175" s="12" t="n"/>
      <c r="B175">
        <f>IF($T175="","",INDEX('Per Line'!$A$2:$A$1001,$T175)&amp;"")</f>
        <v/>
      </c>
      <c r="C175" s="12" t="n"/>
      <c r="D175">
        <f>IF($T175="","",INDEX('Per Line'!$B$2:$B$1001,$T175)&amp;"")</f>
        <v/>
      </c>
      <c r="E175">
        <f>IF($T175="","",INDEX('Per Line'!$C$2:$C$1001,$T175)&amp;"")</f>
        <v/>
      </c>
      <c r="F175">
        <f>IF($T175="","",INDEX('Per Line'!$D$2:$D$1001,$T175)&amp;"")</f>
        <v/>
      </c>
      <c r="G175">
        <f>IF($T175="","",INDEX('Per Line'!$E$2:$E$1001,$T175))</f>
        <v/>
      </c>
      <c r="H175" s="7">
        <f>IF($T175="","",G175*R175/100)</f>
        <v/>
      </c>
      <c r="I175" s="11">
        <f>IF($T175="","",INDEX('Per Line'!$Q$2:$Q$1001,$T175))</f>
        <v/>
      </c>
      <c r="J175">
        <f>IF($T175="","",Settings!$C$7)</f>
        <v/>
      </c>
      <c r="K175" s="7">
        <f>IF($T175="","",SUMIFS('Per Line'!$K$2:$K$1001,'Per Line'!$A$2:$A$1001,$B175,'Per Line'!$V$2:$V$1001,0))</f>
        <v/>
      </c>
      <c r="L175" s="7">
        <f>IF($T175="","",K175*J175)</f>
        <v/>
      </c>
      <c r="M175">
        <f>IF($T175="","",Settings!$C$6)</f>
        <v/>
      </c>
      <c r="N175" s="7">
        <f>IF($T175="","",SUMIFS('Per Line'!$K$2:$K$1001,'Per Line'!$A$2:$A$1001,$B175,'Per Line'!$V$2:$V$1001,1))</f>
        <v/>
      </c>
      <c r="O175" s="7">
        <f>IF($T175="","",N175*M175)</f>
        <v/>
      </c>
      <c r="P175" s="7">
        <f>IF($T175="","",O175+L175)</f>
        <v/>
      </c>
      <c r="Q175" s="7">
        <f>IF($T175="","",R175-P175)</f>
        <v/>
      </c>
      <c r="R175" s="7">
        <f>IF($T175="","",K175+N175)</f>
        <v/>
      </c>
      <c r="S175" s="7">
        <f>IF($T175="","",R175-P175-H175)</f>
        <v/>
      </c>
      <c r="T175" s="13">
        <f>IF(ROWS($T$2:$T175)&lt;=MAX('Per Line'!$U$2:$U$1001),MATCH(ROWS($T$2:$T175),'Per Line'!$U$2:$U$1001,0),"")</f>
        <v/>
      </c>
    </row>
    <row r="176">
      <c r="A176" s="12" t="n"/>
      <c r="B176">
        <f>IF($T176="","",INDEX('Per Line'!$A$2:$A$1001,$T176)&amp;"")</f>
        <v/>
      </c>
      <c r="C176" s="12" t="n"/>
      <c r="D176">
        <f>IF($T176="","",INDEX('Per Line'!$B$2:$B$1001,$T176)&amp;"")</f>
        <v/>
      </c>
      <c r="E176">
        <f>IF($T176="","",INDEX('Per Line'!$C$2:$C$1001,$T176)&amp;"")</f>
        <v/>
      </c>
      <c r="F176">
        <f>IF($T176="","",INDEX('Per Line'!$D$2:$D$1001,$T176)&amp;"")</f>
        <v/>
      </c>
      <c r="G176">
        <f>IF($T176="","",INDEX('Per Line'!$E$2:$E$1001,$T176))</f>
        <v/>
      </c>
      <c r="H176" s="7">
        <f>IF($T176="","",G176*R176/100)</f>
        <v/>
      </c>
      <c r="I176" s="11">
        <f>IF($T176="","",INDEX('Per Line'!$Q$2:$Q$1001,$T176))</f>
        <v/>
      </c>
      <c r="J176">
        <f>IF($T176="","",Settings!$C$7)</f>
        <v/>
      </c>
      <c r="K176" s="7">
        <f>IF($T176="","",SUMIFS('Per Line'!$K$2:$K$1001,'Per Line'!$A$2:$A$1001,$B176,'Per Line'!$V$2:$V$1001,0))</f>
        <v/>
      </c>
      <c r="L176" s="7">
        <f>IF($T176="","",K176*J176)</f>
        <v/>
      </c>
      <c r="M176">
        <f>IF($T176="","",Settings!$C$6)</f>
        <v/>
      </c>
      <c r="N176" s="7">
        <f>IF($T176="","",SUMIFS('Per Line'!$K$2:$K$1001,'Per Line'!$A$2:$A$1001,$B176,'Per Line'!$V$2:$V$1001,1))</f>
        <v/>
      </c>
      <c r="O176" s="7">
        <f>IF($T176="","",N176*M176)</f>
        <v/>
      </c>
      <c r="P176" s="7">
        <f>IF($T176="","",O176+L176)</f>
        <v/>
      </c>
      <c r="Q176" s="7">
        <f>IF($T176="","",R176-P176)</f>
        <v/>
      </c>
      <c r="R176" s="7">
        <f>IF($T176="","",K176+N176)</f>
        <v/>
      </c>
      <c r="S176" s="7">
        <f>IF($T176="","",R176-P176-H176)</f>
        <v/>
      </c>
      <c r="T176" s="13">
        <f>IF(ROWS($T$2:$T176)&lt;=MAX('Per Line'!$U$2:$U$1001),MATCH(ROWS($T$2:$T176),'Per Line'!$U$2:$U$1001,0),"")</f>
        <v/>
      </c>
    </row>
    <row r="177">
      <c r="A177" s="12" t="n"/>
      <c r="B177">
        <f>IF($T177="","",INDEX('Per Line'!$A$2:$A$1001,$T177)&amp;"")</f>
        <v/>
      </c>
      <c r="C177" s="12" t="n"/>
      <c r="D177">
        <f>IF($T177="","",INDEX('Per Line'!$B$2:$B$1001,$T177)&amp;"")</f>
        <v/>
      </c>
      <c r="E177">
        <f>IF($T177="","",INDEX('Per Line'!$C$2:$C$1001,$T177)&amp;"")</f>
        <v/>
      </c>
      <c r="F177">
        <f>IF($T177="","",INDEX('Per Line'!$D$2:$D$1001,$T177)&amp;"")</f>
        <v/>
      </c>
      <c r="G177">
        <f>IF($T177="","",INDEX('Per Line'!$E$2:$E$1001,$T177))</f>
        <v/>
      </c>
      <c r="H177" s="7">
        <f>IF($T177="","",G177*R177/100)</f>
        <v/>
      </c>
      <c r="I177" s="11">
        <f>IF($T177="","",INDEX('Per Line'!$Q$2:$Q$1001,$T177))</f>
        <v/>
      </c>
      <c r="J177">
        <f>IF($T177="","",Settings!$C$7)</f>
        <v/>
      </c>
      <c r="K177" s="7">
        <f>IF($T177="","",SUMIFS('Per Line'!$K$2:$K$1001,'Per Line'!$A$2:$A$1001,$B177,'Per Line'!$V$2:$V$1001,0))</f>
        <v/>
      </c>
      <c r="L177" s="7">
        <f>IF($T177="","",K177*J177)</f>
        <v/>
      </c>
      <c r="M177">
        <f>IF($T177="","",Settings!$C$6)</f>
        <v/>
      </c>
      <c r="N177" s="7">
        <f>IF($T177="","",SUMIFS('Per Line'!$K$2:$K$1001,'Per Line'!$A$2:$A$1001,$B177,'Per Line'!$V$2:$V$1001,1))</f>
        <v/>
      </c>
      <c r="O177" s="7">
        <f>IF($T177="","",N177*M177)</f>
        <v/>
      </c>
      <c r="P177" s="7">
        <f>IF($T177="","",O177+L177)</f>
        <v/>
      </c>
      <c r="Q177" s="7">
        <f>IF($T177="","",R177-P177)</f>
        <v/>
      </c>
      <c r="R177" s="7">
        <f>IF($T177="","",K177+N177)</f>
        <v/>
      </c>
      <c r="S177" s="7">
        <f>IF($T177="","",R177-P177-H177)</f>
        <v/>
      </c>
      <c r="T177" s="13">
        <f>IF(ROWS($T$2:$T177)&lt;=MAX('Per Line'!$U$2:$U$1001),MATCH(ROWS($T$2:$T177),'Per Line'!$U$2:$U$1001,0),"")</f>
        <v/>
      </c>
    </row>
    <row r="178">
      <c r="A178" s="12" t="n"/>
      <c r="B178">
        <f>IF($T178="","",INDEX('Per Line'!$A$2:$A$1001,$T178)&amp;"")</f>
        <v/>
      </c>
      <c r="C178" s="12" t="n"/>
      <c r="D178">
        <f>IF($T178="","",INDEX('Per Line'!$B$2:$B$1001,$T178)&amp;"")</f>
        <v/>
      </c>
      <c r="E178">
        <f>IF($T178="","",INDEX('Per Line'!$C$2:$C$1001,$T178)&amp;"")</f>
        <v/>
      </c>
      <c r="F178">
        <f>IF($T178="","",INDEX('Per Line'!$D$2:$D$1001,$T178)&amp;"")</f>
        <v/>
      </c>
      <c r="G178">
        <f>IF($T178="","",INDEX('Per Line'!$E$2:$E$1001,$T178))</f>
        <v/>
      </c>
      <c r="H178" s="7">
        <f>IF($T178="","",G178*R178/100)</f>
        <v/>
      </c>
      <c r="I178" s="11">
        <f>IF($T178="","",INDEX('Per Line'!$Q$2:$Q$1001,$T178))</f>
        <v/>
      </c>
      <c r="J178">
        <f>IF($T178="","",Settings!$C$7)</f>
        <v/>
      </c>
      <c r="K178" s="7">
        <f>IF($T178="","",SUMIFS('Per Line'!$K$2:$K$1001,'Per Line'!$A$2:$A$1001,$B178,'Per Line'!$V$2:$V$1001,0))</f>
        <v/>
      </c>
      <c r="L178" s="7">
        <f>IF($T178="","",K178*J178)</f>
        <v/>
      </c>
      <c r="M178">
        <f>IF($T178="","",Settings!$C$6)</f>
        <v/>
      </c>
      <c r="N178" s="7">
        <f>IF($T178="","",SUMIFS('Per Line'!$K$2:$K$1001,'Per Line'!$A$2:$A$1001,$B178,'Per Line'!$V$2:$V$1001,1))</f>
        <v/>
      </c>
      <c r="O178" s="7">
        <f>IF($T178="","",N178*M178)</f>
        <v/>
      </c>
      <c r="P178" s="7">
        <f>IF($T178="","",O178+L178)</f>
        <v/>
      </c>
      <c r="Q178" s="7">
        <f>IF($T178="","",R178-P178)</f>
        <v/>
      </c>
      <c r="R178" s="7">
        <f>IF($T178="","",K178+N178)</f>
        <v/>
      </c>
      <c r="S178" s="7">
        <f>IF($T178="","",R178-P178-H178)</f>
        <v/>
      </c>
      <c r="T178" s="13">
        <f>IF(ROWS($T$2:$T178)&lt;=MAX('Per Line'!$U$2:$U$1001),MATCH(ROWS($T$2:$T178),'Per Line'!$U$2:$U$1001,0),"")</f>
        <v/>
      </c>
    </row>
    <row r="179">
      <c r="A179" s="12" t="n"/>
      <c r="B179">
        <f>IF($T179="","",INDEX('Per Line'!$A$2:$A$1001,$T179)&amp;"")</f>
        <v/>
      </c>
      <c r="C179" s="12" t="n"/>
      <c r="D179">
        <f>IF($T179="","",INDEX('Per Line'!$B$2:$B$1001,$T179)&amp;"")</f>
        <v/>
      </c>
      <c r="E179">
        <f>IF($T179="","",INDEX('Per Line'!$C$2:$C$1001,$T179)&amp;"")</f>
        <v/>
      </c>
      <c r="F179">
        <f>IF($T179="","",INDEX('Per Line'!$D$2:$D$1001,$T179)&amp;"")</f>
        <v/>
      </c>
      <c r="G179">
        <f>IF($T179="","",INDEX('Per Line'!$E$2:$E$1001,$T179))</f>
        <v/>
      </c>
      <c r="H179" s="7">
        <f>IF($T179="","",G179*R179/100)</f>
        <v/>
      </c>
      <c r="I179" s="11">
        <f>IF($T179="","",INDEX('Per Line'!$Q$2:$Q$1001,$T179))</f>
        <v/>
      </c>
      <c r="J179">
        <f>IF($T179="","",Settings!$C$7)</f>
        <v/>
      </c>
      <c r="K179" s="7">
        <f>IF($T179="","",SUMIFS('Per Line'!$K$2:$K$1001,'Per Line'!$A$2:$A$1001,$B179,'Per Line'!$V$2:$V$1001,0))</f>
        <v/>
      </c>
      <c r="L179" s="7">
        <f>IF($T179="","",K179*J179)</f>
        <v/>
      </c>
      <c r="M179">
        <f>IF($T179="","",Settings!$C$6)</f>
        <v/>
      </c>
      <c r="N179" s="7">
        <f>IF($T179="","",SUMIFS('Per Line'!$K$2:$K$1001,'Per Line'!$A$2:$A$1001,$B179,'Per Line'!$V$2:$V$1001,1))</f>
        <v/>
      </c>
      <c r="O179" s="7">
        <f>IF($T179="","",N179*M179)</f>
        <v/>
      </c>
      <c r="P179" s="7">
        <f>IF($T179="","",O179+L179)</f>
        <v/>
      </c>
      <c r="Q179" s="7">
        <f>IF($T179="","",R179-P179)</f>
        <v/>
      </c>
      <c r="R179" s="7">
        <f>IF($T179="","",K179+N179)</f>
        <v/>
      </c>
      <c r="S179" s="7">
        <f>IF($T179="","",R179-P179-H179)</f>
        <v/>
      </c>
      <c r="T179" s="13">
        <f>IF(ROWS($T$2:$T179)&lt;=MAX('Per Line'!$U$2:$U$1001),MATCH(ROWS($T$2:$T179),'Per Line'!$U$2:$U$1001,0),"")</f>
        <v/>
      </c>
    </row>
    <row r="180">
      <c r="A180" s="12" t="n"/>
      <c r="B180">
        <f>IF($T180="","",INDEX('Per Line'!$A$2:$A$1001,$T180)&amp;"")</f>
        <v/>
      </c>
      <c r="C180" s="12" t="n"/>
      <c r="D180">
        <f>IF($T180="","",INDEX('Per Line'!$B$2:$B$1001,$T180)&amp;"")</f>
        <v/>
      </c>
      <c r="E180">
        <f>IF($T180="","",INDEX('Per Line'!$C$2:$C$1001,$T180)&amp;"")</f>
        <v/>
      </c>
      <c r="F180">
        <f>IF($T180="","",INDEX('Per Line'!$D$2:$D$1001,$T180)&amp;"")</f>
        <v/>
      </c>
      <c r="G180">
        <f>IF($T180="","",INDEX('Per Line'!$E$2:$E$1001,$T180))</f>
        <v/>
      </c>
      <c r="H180" s="7">
        <f>IF($T180="","",G180*R180/100)</f>
        <v/>
      </c>
      <c r="I180" s="11">
        <f>IF($T180="","",INDEX('Per Line'!$Q$2:$Q$1001,$T180))</f>
        <v/>
      </c>
      <c r="J180">
        <f>IF($T180="","",Settings!$C$7)</f>
        <v/>
      </c>
      <c r="K180" s="7">
        <f>IF($T180="","",SUMIFS('Per Line'!$K$2:$K$1001,'Per Line'!$A$2:$A$1001,$B180,'Per Line'!$V$2:$V$1001,0))</f>
        <v/>
      </c>
      <c r="L180" s="7">
        <f>IF($T180="","",K180*J180)</f>
        <v/>
      </c>
      <c r="M180">
        <f>IF($T180="","",Settings!$C$6)</f>
        <v/>
      </c>
      <c r="N180" s="7">
        <f>IF($T180="","",SUMIFS('Per Line'!$K$2:$K$1001,'Per Line'!$A$2:$A$1001,$B180,'Per Line'!$V$2:$V$1001,1))</f>
        <v/>
      </c>
      <c r="O180" s="7">
        <f>IF($T180="","",N180*M180)</f>
        <v/>
      </c>
      <c r="P180" s="7">
        <f>IF($T180="","",O180+L180)</f>
        <v/>
      </c>
      <c r="Q180" s="7">
        <f>IF($T180="","",R180-P180)</f>
        <v/>
      </c>
      <c r="R180" s="7">
        <f>IF($T180="","",K180+N180)</f>
        <v/>
      </c>
      <c r="S180" s="7">
        <f>IF($T180="","",R180-P180-H180)</f>
        <v/>
      </c>
      <c r="T180" s="13">
        <f>IF(ROWS($T$2:$T180)&lt;=MAX('Per Line'!$U$2:$U$1001),MATCH(ROWS($T$2:$T180),'Per Line'!$U$2:$U$1001,0),"")</f>
        <v/>
      </c>
    </row>
    <row r="181">
      <c r="A181" s="12" t="n"/>
      <c r="B181">
        <f>IF($T181="","",INDEX('Per Line'!$A$2:$A$1001,$T181)&amp;"")</f>
        <v/>
      </c>
      <c r="C181" s="12" t="n"/>
      <c r="D181">
        <f>IF($T181="","",INDEX('Per Line'!$B$2:$B$1001,$T181)&amp;"")</f>
        <v/>
      </c>
      <c r="E181">
        <f>IF($T181="","",INDEX('Per Line'!$C$2:$C$1001,$T181)&amp;"")</f>
        <v/>
      </c>
      <c r="F181">
        <f>IF($T181="","",INDEX('Per Line'!$D$2:$D$1001,$T181)&amp;"")</f>
        <v/>
      </c>
      <c r="G181">
        <f>IF($T181="","",INDEX('Per Line'!$E$2:$E$1001,$T181))</f>
        <v/>
      </c>
      <c r="H181" s="7">
        <f>IF($T181="","",G181*R181/100)</f>
        <v/>
      </c>
      <c r="I181" s="11">
        <f>IF($T181="","",INDEX('Per Line'!$Q$2:$Q$1001,$T181))</f>
        <v/>
      </c>
      <c r="J181">
        <f>IF($T181="","",Settings!$C$7)</f>
        <v/>
      </c>
      <c r="K181" s="7">
        <f>IF($T181="","",SUMIFS('Per Line'!$K$2:$K$1001,'Per Line'!$A$2:$A$1001,$B181,'Per Line'!$V$2:$V$1001,0))</f>
        <v/>
      </c>
      <c r="L181" s="7">
        <f>IF($T181="","",K181*J181)</f>
        <v/>
      </c>
      <c r="M181">
        <f>IF($T181="","",Settings!$C$6)</f>
        <v/>
      </c>
      <c r="N181" s="7">
        <f>IF($T181="","",SUMIFS('Per Line'!$K$2:$K$1001,'Per Line'!$A$2:$A$1001,$B181,'Per Line'!$V$2:$V$1001,1))</f>
        <v/>
      </c>
      <c r="O181" s="7">
        <f>IF($T181="","",N181*M181)</f>
        <v/>
      </c>
      <c r="P181" s="7">
        <f>IF($T181="","",O181+L181)</f>
        <v/>
      </c>
      <c r="Q181" s="7">
        <f>IF($T181="","",R181-P181)</f>
        <v/>
      </c>
      <c r="R181" s="7">
        <f>IF($T181="","",K181+N181)</f>
        <v/>
      </c>
      <c r="S181" s="7">
        <f>IF($T181="","",R181-P181-H181)</f>
        <v/>
      </c>
      <c r="T181" s="13">
        <f>IF(ROWS($T$2:$T181)&lt;=MAX('Per Line'!$U$2:$U$1001),MATCH(ROWS($T$2:$T181),'Per Line'!$U$2:$U$1001,0),"")</f>
        <v/>
      </c>
    </row>
    <row r="182">
      <c r="A182" s="12" t="n"/>
      <c r="B182">
        <f>IF($T182="","",INDEX('Per Line'!$A$2:$A$1001,$T182)&amp;"")</f>
        <v/>
      </c>
      <c r="C182" s="12" t="n"/>
      <c r="D182">
        <f>IF($T182="","",INDEX('Per Line'!$B$2:$B$1001,$T182)&amp;"")</f>
        <v/>
      </c>
      <c r="E182">
        <f>IF($T182="","",INDEX('Per Line'!$C$2:$C$1001,$T182)&amp;"")</f>
        <v/>
      </c>
      <c r="F182">
        <f>IF($T182="","",INDEX('Per Line'!$D$2:$D$1001,$T182)&amp;"")</f>
        <v/>
      </c>
      <c r="G182">
        <f>IF($T182="","",INDEX('Per Line'!$E$2:$E$1001,$T182))</f>
        <v/>
      </c>
      <c r="H182" s="7">
        <f>IF($T182="","",G182*R182/100)</f>
        <v/>
      </c>
      <c r="I182" s="11">
        <f>IF($T182="","",INDEX('Per Line'!$Q$2:$Q$1001,$T182))</f>
        <v/>
      </c>
      <c r="J182">
        <f>IF($T182="","",Settings!$C$7)</f>
        <v/>
      </c>
      <c r="K182" s="7">
        <f>IF($T182="","",SUMIFS('Per Line'!$K$2:$K$1001,'Per Line'!$A$2:$A$1001,$B182,'Per Line'!$V$2:$V$1001,0))</f>
        <v/>
      </c>
      <c r="L182" s="7">
        <f>IF($T182="","",K182*J182)</f>
        <v/>
      </c>
      <c r="M182">
        <f>IF($T182="","",Settings!$C$6)</f>
        <v/>
      </c>
      <c r="N182" s="7">
        <f>IF($T182="","",SUMIFS('Per Line'!$K$2:$K$1001,'Per Line'!$A$2:$A$1001,$B182,'Per Line'!$V$2:$V$1001,1))</f>
        <v/>
      </c>
      <c r="O182" s="7">
        <f>IF($T182="","",N182*M182)</f>
        <v/>
      </c>
      <c r="P182" s="7">
        <f>IF($T182="","",O182+L182)</f>
        <v/>
      </c>
      <c r="Q182" s="7">
        <f>IF($T182="","",R182-P182)</f>
        <v/>
      </c>
      <c r="R182" s="7">
        <f>IF($T182="","",K182+N182)</f>
        <v/>
      </c>
      <c r="S182" s="7">
        <f>IF($T182="","",R182-P182-H182)</f>
        <v/>
      </c>
      <c r="T182" s="13">
        <f>IF(ROWS($T$2:$T182)&lt;=MAX('Per Line'!$U$2:$U$1001),MATCH(ROWS($T$2:$T182),'Per Line'!$U$2:$U$1001,0),"")</f>
        <v/>
      </c>
    </row>
    <row r="183">
      <c r="A183" s="12" t="n"/>
      <c r="B183">
        <f>IF($T183="","",INDEX('Per Line'!$A$2:$A$1001,$T183)&amp;"")</f>
        <v/>
      </c>
      <c r="C183" s="12" t="n"/>
      <c r="D183">
        <f>IF($T183="","",INDEX('Per Line'!$B$2:$B$1001,$T183)&amp;"")</f>
        <v/>
      </c>
      <c r="E183">
        <f>IF($T183="","",INDEX('Per Line'!$C$2:$C$1001,$T183)&amp;"")</f>
        <v/>
      </c>
      <c r="F183">
        <f>IF($T183="","",INDEX('Per Line'!$D$2:$D$1001,$T183)&amp;"")</f>
        <v/>
      </c>
      <c r="G183">
        <f>IF($T183="","",INDEX('Per Line'!$E$2:$E$1001,$T183))</f>
        <v/>
      </c>
      <c r="H183" s="7">
        <f>IF($T183="","",G183*R183/100)</f>
        <v/>
      </c>
      <c r="I183" s="11">
        <f>IF($T183="","",INDEX('Per Line'!$Q$2:$Q$1001,$T183))</f>
        <v/>
      </c>
      <c r="J183">
        <f>IF($T183="","",Settings!$C$7)</f>
        <v/>
      </c>
      <c r="K183" s="7">
        <f>IF($T183="","",SUMIFS('Per Line'!$K$2:$K$1001,'Per Line'!$A$2:$A$1001,$B183,'Per Line'!$V$2:$V$1001,0))</f>
        <v/>
      </c>
      <c r="L183" s="7">
        <f>IF($T183="","",K183*J183)</f>
        <v/>
      </c>
      <c r="M183">
        <f>IF($T183="","",Settings!$C$6)</f>
        <v/>
      </c>
      <c r="N183" s="7">
        <f>IF($T183="","",SUMIFS('Per Line'!$K$2:$K$1001,'Per Line'!$A$2:$A$1001,$B183,'Per Line'!$V$2:$V$1001,1))</f>
        <v/>
      </c>
      <c r="O183" s="7">
        <f>IF($T183="","",N183*M183)</f>
        <v/>
      </c>
      <c r="P183" s="7">
        <f>IF($T183="","",O183+L183)</f>
        <v/>
      </c>
      <c r="Q183" s="7">
        <f>IF($T183="","",R183-P183)</f>
        <v/>
      </c>
      <c r="R183" s="7">
        <f>IF($T183="","",K183+N183)</f>
        <v/>
      </c>
      <c r="S183" s="7">
        <f>IF($T183="","",R183-P183-H183)</f>
        <v/>
      </c>
      <c r="T183" s="13">
        <f>IF(ROWS($T$2:$T183)&lt;=MAX('Per Line'!$U$2:$U$1001),MATCH(ROWS($T$2:$T183),'Per Line'!$U$2:$U$1001,0),"")</f>
        <v/>
      </c>
    </row>
    <row r="184">
      <c r="A184" s="12" t="n"/>
      <c r="B184">
        <f>IF($T184="","",INDEX('Per Line'!$A$2:$A$1001,$T184)&amp;"")</f>
        <v/>
      </c>
      <c r="C184" s="12" t="n"/>
      <c r="D184">
        <f>IF($T184="","",INDEX('Per Line'!$B$2:$B$1001,$T184)&amp;"")</f>
        <v/>
      </c>
      <c r="E184">
        <f>IF($T184="","",INDEX('Per Line'!$C$2:$C$1001,$T184)&amp;"")</f>
        <v/>
      </c>
      <c r="F184">
        <f>IF($T184="","",INDEX('Per Line'!$D$2:$D$1001,$T184)&amp;"")</f>
        <v/>
      </c>
      <c r="G184">
        <f>IF($T184="","",INDEX('Per Line'!$E$2:$E$1001,$T184))</f>
        <v/>
      </c>
      <c r="H184" s="7">
        <f>IF($T184="","",G184*R184/100)</f>
        <v/>
      </c>
      <c r="I184" s="11">
        <f>IF($T184="","",INDEX('Per Line'!$Q$2:$Q$1001,$T184))</f>
        <v/>
      </c>
      <c r="J184">
        <f>IF($T184="","",Settings!$C$7)</f>
        <v/>
      </c>
      <c r="K184" s="7">
        <f>IF($T184="","",SUMIFS('Per Line'!$K$2:$K$1001,'Per Line'!$A$2:$A$1001,$B184,'Per Line'!$V$2:$V$1001,0))</f>
        <v/>
      </c>
      <c r="L184" s="7">
        <f>IF($T184="","",K184*J184)</f>
        <v/>
      </c>
      <c r="M184">
        <f>IF($T184="","",Settings!$C$6)</f>
        <v/>
      </c>
      <c r="N184" s="7">
        <f>IF($T184="","",SUMIFS('Per Line'!$K$2:$K$1001,'Per Line'!$A$2:$A$1001,$B184,'Per Line'!$V$2:$V$1001,1))</f>
        <v/>
      </c>
      <c r="O184" s="7">
        <f>IF($T184="","",N184*M184)</f>
        <v/>
      </c>
      <c r="P184" s="7">
        <f>IF($T184="","",O184+L184)</f>
        <v/>
      </c>
      <c r="Q184" s="7">
        <f>IF($T184="","",R184-P184)</f>
        <v/>
      </c>
      <c r="R184" s="7">
        <f>IF($T184="","",K184+N184)</f>
        <v/>
      </c>
      <c r="S184" s="7">
        <f>IF($T184="","",R184-P184-H184)</f>
        <v/>
      </c>
      <c r="T184" s="13">
        <f>IF(ROWS($T$2:$T184)&lt;=MAX('Per Line'!$U$2:$U$1001),MATCH(ROWS($T$2:$T184),'Per Line'!$U$2:$U$1001,0),"")</f>
        <v/>
      </c>
    </row>
    <row r="185">
      <c r="A185" s="12" t="n"/>
      <c r="B185">
        <f>IF($T185="","",INDEX('Per Line'!$A$2:$A$1001,$T185)&amp;"")</f>
        <v/>
      </c>
      <c r="C185" s="12" t="n"/>
      <c r="D185">
        <f>IF($T185="","",INDEX('Per Line'!$B$2:$B$1001,$T185)&amp;"")</f>
        <v/>
      </c>
      <c r="E185">
        <f>IF($T185="","",INDEX('Per Line'!$C$2:$C$1001,$T185)&amp;"")</f>
        <v/>
      </c>
      <c r="F185">
        <f>IF($T185="","",INDEX('Per Line'!$D$2:$D$1001,$T185)&amp;"")</f>
        <v/>
      </c>
      <c r="G185">
        <f>IF($T185="","",INDEX('Per Line'!$E$2:$E$1001,$T185))</f>
        <v/>
      </c>
      <c r="H185" s="7">
        <f>IF($T185="","",G185*R185/100)</f>
        <v/>
      </c>
      <c r="I185" s="11">
        <f>IF($T185="","",INDEX('Per Line'!$Q$2:$Q$1001,$T185))</f>
        <v/>
      </c>
      <c r="J185">
        <f>IF($T185="","",Settings!$C$7)</f>
        <v/>
      </c>
      <c r="K185" s="7">
        <f>IF($T185="","",SUMIFS('Per Line'!$K$2:$K$1001,'Per Line'!$A$2:$A$1001,$B185,'Per Line'!$V$2:$V$1001,0))</f>
        <v/>
      </c>
      <c r="L185" s="7">
        <f>IF($T185="","",K185*J185)</f>
        <v/>
      </c>
      <c r="M185">
        <f>IF($T185="","",Settings!$C$6)</f>
        <v/>
      </c>
      <c r="N185" s="7">
        <f>IF($T185="","",SUMIFS('Per Line'!$K$2:$K$1001,'Per Line'!$A$2:$A$1001,$B185,'Per Line'!$V$2:$V$1001,1))</f>
        <v/>
      </c>
      <c r="O185" s="7">
        <f>IF($T185="","",N185*M185)</f>
        <v/>
      </c>
      <c r="P185" s="7">
        <f>IF($T185="","",O185+L185)</f>
        <v/>
      </c>
      <c r="Q185" s="7">
        <f>IF($T185="","",R185-P185)</f>
        <v/>
      </c>
      <c r="R185" s="7">
        <f>IF($T185="","",K185+N185)</f>
        <v/>
      </c>
      <c r="S185" s="7">
        <f>IF($T185="","",R185-P185-H185)</f>
        <v/>
      </c>
      <c r="T185" s="13">
        <f>IF(ROWS($T$2:$T185)&lt;=MAX('Per Line'!$U$2:$U$1001),MATCH(ROWS($T$2:$T185),'Per Line'!$U$2:$U$1001,0),"")</f>
        <v/>
      </c>
    </row>
    <row r="186">
      <c r="A186" s="12" t="n"/>
      <c r="B186">
        <f>IF($T186="","",INDEX('Per Line'!$A$2:$A$1001,$T186)&amp;"")</f>
        <v/>
      </c>
      <c r="C186" s="12" t="n"/>
      <c r="D186">
        <f>IF($T186="","",INDEX('Per Line'!$B$2:$B$1001,$T186)&amp;"")</f>
        <v/>
      </c>
      <c r="E186">
        <f>IF($T186="","",INDEX('Per Line'!$C$2:$C$1001,$T186)&amp;"")</f>
        <v/>
      </c>
      <c r="F186">
        <f>IF($T186="","",INDEX('Per Line'!$D$2:$D$1001,$T186)&amp;"")</f>
        <v/>
      </c>
      <c r="G186">
        <f>IF($T186="","",INDEX('Per Line'!$E$2:$E$1001,$T186))</f>
        <v/>
      </c>
      <c r="H186" s="7">
        <f>IF($T186="","",G186*R186/100)</f>
        <v/>
      </c>
      <c r="I186" s="11">
        <f>IF($T186="","",INDEX('Per Line'!$Q$2:$Q$1001,$T186))</f>
        <v/>
      </c>
      <c r="J186">
        <f>IF($T186="","",Settings!$C$7)</f>
        <v/>
      </c>
      <c r="K186" s="7">
        <f>IF($T186="","",SUMIFS('Per Line'!$K$2:$K$1001,'Per Line'!$A$2:$A$1001,$B186,'Per Line'!$V$2:$V$1001,0))</f>
        <v/>
      </c>
      <c r="L186" s="7">
        <f>IF($T186="","",K186*J186)</f>
        <v/>
      </c>
      <c r="M186">
        <f>IF($T186="","",Settings!$C$6)</f>
        <v/>
      </c>
      <c r="N186" s="7">
        <f>IF($T186="","",SUMIFS('Per Line'!$K$2:$K$1001,'Per Line'!$A$2:$A$1001,$B186,'Per Line'!$V$2:$V$1001,1))</f>
        <v/>
      </c>
      <c r="O186" s="7">
        <f>IF($T186="","",N186*M186)</f>
        <v/>
      </c>
      <c r="P186" s="7">
        <f>IF($T186="","",O186+L186)</f>
        <v/>
      </c>
      <c r="Q186" s="7">
        <f>IF($T186="","",R186-P186)</f>
        <v/>
      </c>
      <c r="R186" s="7">
        <f>IF($T186="","",K186+N186)</f>
        <v/>
      </c>
      <c r="S186" s="7">
        <f>IF($T186="","",R186-P186-H186)</f>
        <v/>
      </c>
      <c r="T186" s="13">
        <f>IF(ROWS($T$2:$T186)&lt;=MAX('Per Line'!$U$2:$U$1001),MATCH(ROWS($T$2:$T186),'Per Line'!$U$2:$U$1001,0),"")</f>
        <v/>
      </c>
    </row>
    <row r="187">
      <c r="A187" s="12" t="n"/>
      <c r="B187">
        <f>IF($T187="","",INDEX('Per Line'!$A$2:$A$1001,$T187)&amp;"")</f>
        <v/>
      </c>
      <c r="C187" s="12" t="n"/>
      <c r="D187">
        <f>IF($T187="","",INDEX('Per Line'!$B$2:$B$1001,$T187)&amp;"")</f>
        <v/>
      </c>
      <c r="E187">
        <f>IF($T187="","",INDEX('Per Line'!$C$2:$C$1001,$T187)&amp;"")</f>
        <v/>
      </c>
      <c r="F187">
        <f>IF($T187="","",INDEX('Per Line'!$D$2:$D$1001,$T187)&amp;"")</f>
        <v/>
      </c>
      <c r="G187">
        <f>IF($T187="","",INDEX('Per Line'!$E$2:$E$1001,$T187))</f>
        <v/>
      </c>
      <c r="H187" s="7">
        <f>IF($T187="","",G187*R187/100)</f>
        <v/>
      </c>
      <c r="I187" s="11">
        <f>IF($T187="","",INDEX('Per Line'!$Q$2:$Q$1001,$T187))</f>
        <v/>
      </c>
      <c r="J187">
        <f>IF($T187="","",Settings!$C$7)</f>
        <v/>
      </c>
      <c r="K187" s="7">
        <f>IF($T187="","",SUMIFS('Per Line'!$K$2:$K$1001,'Per Line'!$A$2:$A$1001,$B187,'Per Line'!$V$2:$V$1001,0))</f>
        <v/>
      </c>
      <c r="L187" s="7">
        <f>IF($T187="","",K187*J187)</f>
        <v/>
      </c>
      <c r="M187">
        <f>IF($T187="","",Settings!$C$6)</f>
        <v/>
      </c>
      <c r="N187" s="7">
        <f>IF($T187="","",SUMIFS('Per Line'!$K$2:$K$1001,'Per Line'!$A$2:$A$1001,$B187,'Per Line'!$V$2:$V$1001,1))</f>
        <v/>
      </c>
      <c r="O187" s="7">
        <f>IF($T187="","",N187*M187)</f>
        <v/>
      </c>
      <c r="P187" s="7">
        <f>IF($T187="","",O187+L187)</f>
        <v/>
      </c>
      <c r="Q187" s="7">
        <f>IF($T187="","",R187-P187)</f>
        <v/>
      </c>
      <c r="R187" s="7">
        <f>IF($T187="","",K187+N187)</f>
        <v/>
      </c>
      <c r="S187" s="7">
        <f>IF($T187="","",R187-P187-H187)</f>
        <v/>
      </c>
      <c r="T187" s="13">
        <f>IF(ROWS($T$2:$T187)&lt;=MAX('Per Line'!$U$2:$U$1001),MATCH(ROWS($T$2:$T187),'Per Line'!$U$2:$U$1001,0),"")</f>
        <v/>
      </c>
    </row>
    <row r="188">
      <c r="A188" s="12" t="n"/>
      <c r="B188">
        <f>IF($T188="","",INDEX('Per Line'!$A$2:$A$1001,$T188)&amp;"")</f>
        <v/>
      </c>
      <c r="C188" s="12" t="n"/>
      <c r="D188">
        <f>IF($T188="","",INDEX('Per Line'!$B$2:$B$1001,$T188)&amp;"")</f>
        <v/>
      </c>
      <c r="E188">
        <f>IF($T188="","",INDEX('Per Line'!$C$2:$C$1001,$T188)&amp;"")</f>
        <v/>
      </c>
      <c r="F188">
        <f>IF($T188="","",INDEX('Per Line'!$D$2:$D$1001,$T188)&amp;"")</f>
        <v/>
      </c>
      <c r="G188">
        <f>IF($T188="","",INDEX('Per Line'!$E$2:$E$1001,$T188))</f>
        <v/>
      </c>
      <c r="H188" s="7">
        <f>IF($T188="","",G188*R188/100)</f>
        <v/>
      </c>
      <c r="I188" s="11">
        <f>IF($T188="","",INDEX('Per Line'!$Q$2:$Q$1001,$T188))</f>
        <v/>
      </c>
      <c r="J188">
        <f>IF($T188="","",Settings!$C$7)</f>
        <v/>
      </c>
      <c r="K188" s="7">
        <f>IF($T188="","",SUMIFS('Per Line'!$K$2:$K$1001,'Per Line'!$A$2:$A$1001,$B188,'Per Line'!$V$2:$V$1001,0))</f>
        <v/>
      </c>
      <c r="L188" s="7">
        <f>IF($T188="","",K188*J188)</f>
        <v/>
      </c>
      <c r="M188">
        <f>IF($T188="","",Settings!$C$6)</f>
        <v/>
      </c>
      <c r="N188" s="7">
        <f>IF($T188="","",SUMIFS('Per Line'!$K$2:$K$1001,'Per Line'!$A$2:$A$1001,$B188,'Per Line'!$V$2:$V$1001,1))</f>
        <v/>
      </c>
      <c r="O188" s="7">
        <f>IF($T188="","",N188*M188)</f>
        <v/>
      </c>
      <c r="P188" s="7">
        <f>IF($T188="","",O188+L188)</f>
        <v/>
      </c>
      <c r="Q188" s="7">
        <f>IF($T188="","",R188-P188)</f>
        <v/>
      </c>
      <c r="R188" s="7">
        <f>IF($T188="","",K188+N188)</f>
        <v/>
      </c>
      <c r="S188" s="7">
        <f>IF($T188="","",R188-P188-H188)</f>
        <v/>
      </c>
      <c r="T188" s="13">
        <f>IF(ROWS($T$2:$T188)&lt;=MAX('Per Line'!$U$2:$U$1001),MATCH(ROWS($T$2:$T188),'Per Line'!$U$2:$U$1001,0),"")</f>
        <v/>
      </c>
    </row>
    <row r="189">
      <c r="A189" s="12" t="n"/>
      <c r="B189">
        <f>IF($T189="","",INDEX('Per Line'!$A$2:$A$1001,$T189)&amp;"")</f>
        <v/>
      </c>
      <c r="C189" s="12" t="n"/>
      <c r="D189">
        <f>IF($T189="","",INDEX('Per Line'!$B$2:$B$1001,$T189)&amp;"")</f>
        <v/>
      </c>
      <c r="E189">
        <f>IF($T189="","",INDEX('Per Line'!$C$2:$C$1001,$T189)&amp;"")</f>
        <v/>
      </c>
      <c r="F189">
        <f>IF($T189="","",INDEX('Per Line'!$D$2:$D$1001,$T189)&amp;"")</f>
        <v/>
      </c>
      <c r="G189">
        <f>IF($T189="","",INDEX('Per Line'!$E$2:$E$1001,$T189))</f>
        <v/>
      </c>
      <c r="H189" s="7">
        <f>IF($T189="","",G189*R189/100)</f>
        <v/>
      </c>
      <c r="I189" s="11">
        <f>IF($T189="","",INDEX('Per Line'!$Q$2:$Q$1001,$T189))</f>
        <v/>
      </c>
      <c r="J189">
        <f>IF($T189="","",Settings!$C$7)</f>
        <v/>
      </c>
      <c r="K189" s="7">
        <f>IF($T189="","",SUMIFS('Per Line'!$K$2:$K$1001,'Per Line'!$A$2:$A$1001,$B189,'Per Line'!$V$2:$V$1001,0))</f>
        <v/>
      </c>
      <c r="L189" s="7">
        <f>IF($T189="","",K189*J189)</f>
        <v/>
      </c>
      <c r="M189">
        <f>IF($T189="","",Settings!$C$6)</f>
        <v/>
      </c>
      <c r="N189" s="7">
        <f>IF($T189="","",SUMIFS('Per Line'!$K$2:$K$1001,'Per Line'!$A$2:$A$1001,$B189,'Per Line'!$V$2:$V$1001,1))</f>
        <v/>
      </c>
      <c r="O189" s="7">
        <f>IF($T189="","",N189*M189)</f>
        <v/>
      </c>
      <c r="P189" s="7">
        <f>IF($T189="","",O189+L189)</f>
        <v/>
      </c>
      <c r="Q189" s="7">
        <f>IF($T189="","",R189-P189)</f>
        <v/>
      </c>
      <c r="R189" s="7">
        <f>IF($T189="","",K189+N189)</f>
        <v/>
      </c>
      <c r="S189" s="7">
        <f>IF($T189="","",R189-P189-H189)</f>
        <v/>
      </c>
      <c r="T189" s="13">
        <f>IF(ROWS($T$2:$T189)&lt;=MAX('Per Line'!$U$2:$U$1001),MATCH(ROWS($T$2:$T189),'Per Line'!$U$2:$U$1001,0),"")</f>
        <v/>
      </c>
    </row>
    <row r="190">
      <c r="A190" s="12" t="n"/>
      <c r="B190">
        <f>IF($T190="","",INDEX('Per Line'!$A$2:$A$1001,$T190)&amp;"")</f>
        <v/>
      </c>
      <c r="C190" s="12" t="n"/>
      <c r="D190">
        <f>IF($T190="","",INDEX('Per Line'!$B$2:$B$1001,$T190)&amp;"")</f>
        <v/>
      </c>
      <c r="E190">
        <f>IF($T190="","",INDEX('Per Line'!$C$2:$C$1001,$T190)&amp;"")</f>
        <v/>
      </c>
      <c r="F190">
        <f>IF($T190="","",INDEX('Per Line'!$D$2:$D$1001,$T190)&amp;"")</f>
        <v/>
      </c>
      <c r="G190">
        <f>IF($T190="","",INDEX('Per Line'!$E$2:$E$1001,$T190))</f>
        <v/>
      </c>
      <c r="H190" s="7">
        <f>IF($T190="","",G190*R190/100)</f>
        <v/>
      </c>
      <c r="I190" s="11">
        <f>IF($T190="","",INDEX('Per Line'!$Q$2:$Q$1001,$T190))</f>
        <v/>
      </c>
      <c r="J190">
        <f>IF($T190="","",Settings!$C$7)</f>
        <v/>
      </c>
      <c r="K190" s="7">
        <f>IF($T190="","",SUMIFS('Per Line'!$K$2:$K$1001,'Per Line'!$A$2:$A$1001,$B190,'Per Line'!$V$2:$V$1001,0))</f>
        <v/>
      </c>
      <c r="L190" s="7">
        <f>IF($T190="","",K190*J190)</f>
        <v/>
      </c>
      <c r="M190">
        <f>IF($T190="","",Settings!$C$6)</f>
        <v/>
      </c>
      <c r="N190" s="7">
        <f>IF($T190="","",SUMIFS('Per Line'!$K$2:$K$1001,'Per Line'!$A$2:$A$1001,$B190,'Per Line'!$V$2:$V$1001,1))</f>
        <v/>
      </c>
      <c r="O190" s="7">
        <f>IF($T190="","",N190*M190)</f>
        <v/>
      </c>
      <c r="P190" s="7">
        <f>IF($T190="","",O190+L190)</f>
        <v/>
      </c>
      <c r="Q190" s="7">
        <f>IF($T190="","",R190-P190)</f>
        <v/>
      </c>
      <c r="R190" s="7">
        <f>IF($T190="","",K190+N190)</f>
        <v/>
      </c>
      <c r="S190" s="7">
        <f>IF($T190="","",R190-P190-H190)</f>
        <v/>
      </c>
      <c r="T190" s="13">
        <f>IF(ROWS($T$2:$T190)&lt;=MAX('Per Line'!$U$2:$U$1001),MATCH(ROWS($T$2:$T190),'Per Line'!$U$2:$U$1001,0),"")</f>
        <v/>
      </c>
    </row>
    <row r="191">
      <c r="A191" s="12" t="n"/>
      <c r="B191">
        <f>IF($T191="","",INDEX('Per Line'!$A$2:$A$1001,$T191)&amp;"")</f>
        <v/>
      </c>
      <c r="C191" s="12" t="n"/>
      <c r="D191">
        <f>IF($T191="","",INDEX('Per Line'!$B$2:$B$1001,$T191)&amp;"")</f>
        <v/>
      </c>
      <c r="E191">
        <f>IF($T191="","",INDEX('Per Line'!$C$2:$C$1001,$T191)&amp;"")</f>
        <v/>
      </c>
      <c r="F191">
        <f>IF($T191="","",INDEX('Per Line'!$D$2:$D$1001,$T191)&amp;"")</f>
        <v/>
      </c>
      <c r="G191">
        <f>IF($T191="","",INDEX('Per Line'!$E$2:$E$1001,$T191))</f>
        <v/>
      </c>
      <c r="H191" s="7">
        <f>IF($T191="","",G191*R191/100)</f>
        <v/>
      </c>
      <c r="I191" s="11">
        <f>IF($T191="","",INDEX('Per Line'!$Q$2:$Q$1001,$T191))</f>
        <v/>
      </c>
      <c r="J191">
        <f>IF($T191="","",Settings!$C$7)</f>
        <v/>
      </c>
      <c r="K191" s="7">
        <f>IF($T191="","",SUMIFS('Per Line'!$K$2:$K$1001,'Per Line'!$A$2:$A$1001,$B191,'Per Line'!$V$2:$V$1001,0))</f>
        <v/>
      </c>
      <c r="L191" s="7">
        <f>IF($T191="","",K191*J191)</f>
        <v/>
      </c>
      <c r="M191">
        <f>IF($T191="","",Settings!$C$6)</f>
        <v/>
      </c>
      <c r="N191" s="7">
        <f>IF($T191="","",SUMIFS('Per Line'!$K$2:$K$1001,'Per Line'!$A$2:$A$1001,$B191,'Per Line'!$V$2:$V$1001,1))</f>
        <v/>
      </c>
      <c r="O191" s="7">
        <f>IF($T191="","",N191*M191)</f>
        <v/>
      </c>
      <c r="P191" s="7">
        <f>IF($T191="","",O191+L191)</f>
        <v/>
      </c>
      <c r="Q191" s="7">
        <f>IF($T191="","",R191-P191)</f>
        <v/>
      </c>
      <c r="R191" s="7">
        <f>IF($T191="","",K191+N191)</f>
        <v/>
      </c>
      <c r="S191" s="7">
        <f>IF($T191="","",R191-P191-H191)</f>
        <v/>
      </c>
      <c r="T191" s="13">
        <f>IF(ROWS($T$2:$T191)&lt;=MAX('Per Line'!$U$2:$U$1001),MATCH(ROWS($T$2:$T191),'Per Line'!$U$2:$U$1001,0),"")</f>
        <v/>
      </c>
    </row>
    <row r="192">
      <c r="A192" s="12" t="n"/>
      <c r="B192">
        <f>IF($T192="","",INDEX('Per Line'!$A$2:$A$1001,$T192)&amp;"")</f>
        <v/>
      </c>
      <c r="C192" s="12" t="n"/>
      <c r="D192">
        <f>IF($T192="","",INDEX('Per Line'!$B$2:$B$1001,$T192)&amp;"")</f>
        <v/>
      </c>
      <c r="E192">
        <f>IF($T192="","",INDEX('Per Line'!$C$2:$C$1001,$T192)&amp;"")</f>
        <v/>
      </c>
      <c r="F192">
        <f>IF($T192="","",INDEX('Per Line'!$D$2:$D$1001,$T192)&amp;"")</f>
        <v/>
      </c>
      <c r="G192">
        <f>IF($T192="","",INDEX('Per Line'!$E$2:$E$1001,$T192))</f>
        <v/>
      </c>
      <c r="H192" s="7">
        <f>IF($T192="","",G192*R192/100)</f>
        <v/>
      </c>
      <c r="I192" s="11">
        <f>IF($T192="","",INDEX('Per Line'!$Q$2:$Q$1001,$T192))</f>
        <v/>
      </c>
      <c r="J192">
        <f>IF($T192="","",Settings!$C$7)</f>
        <v/>
      </c>
      <c r="K192" s="7">
        <f>IF($T192="","",SUMIFS('Per Line'!$K$2:$K$1001,'Per Line'!$A$2:$A$1001,$B192,'Per Line'!$V$2:$V$1001,0))</f>
        <v/>
      </c>
      <c r="L192" s="7">
        <f>IF($T192="","",K192*J192)</f>
        <v/>
      </c>
      <c r="M192">
        <f>IF($T192="","",Settings!$C$6)</f>
        <v/>
      </c>
      <c r="N192" s="7">
        <f>IF($T192="","",SUMIFS('Per Line'!$K$2:$K$1001,'Per Line'!$A$2:$A$1001,$B192,'Per Line'!$V$2:$V$1001,1))</f>
        <v/>
      </c>
      <c r="O192" s="7">
        <f>IF($T192="","",N192*M192)</f>
        <v/>
      </c>
      <c r="P192" s="7">
        <f>IF($T192="","",O192+L192)</f>
        <v/>
      </c>
      <c r="Q192" s="7">
        <f>IF($T192="","",R192-P192)</f>
        <v/>
      </c>
      <c r="R192" s="7">
        <f>IF($T192="","",K192+N192)</f>
        <v/>
      </c>
      <c r="S192" s="7">
        <f>IF($T192="","",R192-P192-H192)</f>
        <v/>
      </c>
      <c r="T192" s="13">
        <f>IF(ROWS($T$2:$T192)&lt;=MAX('Per Line'!$U$2:$U$1001),MATCH(ROWS($T$2:$T192),'Per Line'!$U$2:$U$1001,0),"")</f>
        <v/>
      </c>
    </row>
    <row r="193">
      <c r="A193" s="12" t="n"/>
      <c r="B193">
        <f>IF($T193="","",INDEX('Per Line'!$A$2:$A$1001,$T193)&amp;"")</f>
        <v/>
      </c>
      <c r="C193" s="12" t="n"/>
      <c r="D193">
        <f>IF($T193="","",INDEX('Per Line'!$B$2:$B$1001,$T193)&amp;"")</f>
        <v/>
      </c>
      <c r="E193">
        <f>IF($T193="","",INDEX('Per Line'!$C$2:$C$1001,$T193)&amp;"")</f>
        <v/>
      </c>
      <c r="F193">
        <f>IF($T193="","",INDEX('Per Line'!$D$2:$D$1001,$T193)&amp;"")</f>
        <v/>
      </c>
      <c r="G193">
        <f>IF($T193="","",INDEX('Per Line'!$E$2:$E$1001,$T193))</f>
        <v/>
      </c>
      <c r="H193" s="7">
        <f>IF($T193="","",G193*R193/100)</f>
        <v/>
      </c>
      <c r="I193" s="11">
        <f>IF($T193="","",INDEX('Per Line'!$Q$2:$Q$1001,$T193))</f>
        <v/>
      </c>
      <c r="J193">
        <f>IF($T193="","",Settings!$C$7)</f>
        <v/>
      </c>
      <c r="K193" s="7">
        <f>IF($T193="","",SUMIFS('Per Line'!$K$2:$K$1001,'Per Line'!$A$2:$A$1001,$B193,'Per Line'!$V$2:$V$1001,0))</f>
        <v/>
      </c>
      <c r="L193" s="7">
        <f>IF($T193="","",K193*J193)</f>
        <v/>
      </c>
      <c r="M193">
        <f>IF($T193="","",Settings!$C$6)</f>
        <v/>
      </c>
      <c r="N193" s="7">
        <f>IF($T193="","",SUMIFS('Per Line'!$K$2:$K$1001,'Per Line'!$A$2:$A$1001,$B193,'Per Line'!$V$2:$V$1001,1))</f>
        <v/>
      </c>
      <c r="O193" s="7">
        <f>IF($T193="","",N193*M193)</f>
        <v/>
      </c>
      <c r="P193" s="7">
        <f>IF($T193="","",O193+L193)</f>
        <v/>
      </c>
      <c r="Q193" s="7">
        <f>IF($T193="","",R193-P193)</f>
        <v/>
      </c>
      <c r="R193" s="7">
        <f>IF($T193="","",K193+N193)</f>
        <v/>
      </c>
      <c r="S193" s="7">
        <f>IF($T193="","",R193-P193-H193)</f>
        <v/>
      </c>
      <c r="T193" s="13">
        <f>IF(ROWS($T$2:$T193)&lt;=MAX('Per Line'!$U$2:$U$1001),MATCH(ROWS($T$2:$T193),'Per Line'!$U$2:$U$1001,0),"")</f>
        <v/>
      </c>
    </row>
    <row r="194">
      <c r="A194" s="12" t="n"/>
      <c r="B194">
        <f>IF($T194="","",INDEX('Per Line'!$A$2:$A$1001,$T194)&amp;"")</f>
        <v/>
      </c>
      <c r="C194" s="12" t="n"/>
      <c r="D194">
        <f>IF($T194="","",INDEX('Per Line'!$B$2:$B$1001,$T194)&amp;"")</f>
        <v/>
      </c>
      <c r="E194">
        <f>IF($T194="","",INDEX('Per Line'!$C$2:$C$1001,$T194)&amp;"")</f>
        <v/>
      </c>
      <c r="F194">
        <f>IF($T194="","",INDEX('Per Line'!$D$2:$D$1001,$T194)&amp;"")</f>
        <v/>
      </c>
      <c r="G194">
        <f>IF($T194="","",INDEX('Per Line'!$E$2:$E$1001,$T194))</f>
        <v/>
      </c>
      <c r="H194" s="7">
        <f>IF($T194="","",G194*R194/100)</f>
        <v/>
      </c>
      <c r="I194" s="11">
        <f>IF($T194="","",INDEX('Per Line'!$Q$2:$Q$1001,$T194))</f>
        <v/>
      </c>
      <c r="J194">
        <f>IF($T194="","",Settings!$C$7)</f>
        <v/>
      </c>
      <c r="K194" s="7">
        <f>IF($T194="","",SUMIFS('Per Line'!$K$2:$K$1001,'Per Line'!$A$2:$A$1001,$B194,'Per Line'!$V$2:$V$1001,0))</f>
        <v/>
      </c>
      <c r="L194" s="7">
        <f>IF($T194="","",K194*J194)</f>
        <v/>
      </c>
      <c r="M194">
        <f>IF($T194="","",Settings!$C$6)</f>
        <v/>
      </c>
      <c r="N194" s="7">
        <f>IF($T194="","",SUMIFS('Per Line'!$K$2:$K$1001,'Per Line'!$A$2:$A$1001,$B194,'Per Line'!$V$2:$V$1001,1))</f>
        <v/>
      </c>
      <c r="O194" s="7">
        <f>IF($T194="","",N194*M194)</f>
        <v/>
      </c>
      <c r="P194" s="7">
        <f>IF($T194="","",O194+L194)</f>
        <v/>
      </c>
      <c r="Q194" s="7">
        <f>IF($T194="","",R194-P194)</f>
        <v/>
      </c>
      <c r="R194" s="7">
        <f>IF($T194="","",K194+N194)</f>
        <v/>
      </c>
      <c r="S194" s="7">
        <f>IF($T194="","",R194-P194-H194)</f>
        <v/>
      </c>
      <c r="T194" s="13">
        <f>IF(ROWS($T$2:$T194)&lt;=MAX('Per Line'!$U$2:$U$1001),MATCH(ROWS($T$2:$T194),'Per Line'!$U$2:$U$1001,0),"")</f>
        <v/>
      </c>
    </row>
    <row r="195">
      <c r="A195" s="12" t="n"/>
      <c r="B195">
        <f>IF($T195="","",INDEX('Per Line'!$A$2:$A$1001,$T195)&amp;"")</f>
        <v/>
      </c>
      <c r="C195" s="12" t="n"/>
      <c r="D195">
        <f>IF($T195="","",INDEX('Per Line'!$B$2:$B$1001,$T195)&amp;"")</f>
        <v/>
      </c>
      <c r="E195">
        <f>IF($T195="","",INDEX('Per Line'!$C$2:$C$1001,$T195)&amp;"")</f>
        <v/>
      </c>
      <c r="F195">
        <f>IF($T195="","",INDEX('Per Line'!$D$2:$D$1001,$T195)&amp;"")</f>
        <v/>
      </c>
      <c r="G195">
        <f>IF($T195="","",INDEX('Per Line'!$E$2:$E$1001,$T195))</f>
        <v/>
      </c>
      <c r="H195" s="7">
        <f>IF($T195="","",G195*R195/100)</f>
        <v/>
      </c>
      <c r="I195" s="11">
        <f>IF($T195="","",INDEX('Per Line'!$Q$2:$Q$1001,$T195))</f>
        <v/>
      </c>
      <c r="J195">
        <f>IF($T195="","",Settings!$C$7)</f>
        <v/>
      </c>
      <c r="K195" s="7">
        <f>IF($T195="","",SUMIFS('Per Line'!$K$2:$K$1001,'Per Line'!$A$2:$A$1001,$B195,'Per Line'!$V$2:$V$1001,0))</f>
        <v/>
      </c>
      <c r="L195" s="7">
        <f>IF($T195="","",K195*J195)</f>
        <v/>
      </c>
      <c r="M195">
        <f>IF($T195="","",Settings!$C$6)</f>
        <v/>
      </c>
      <c r="N195" s="7">
        <f>IF($T195="","",SUMIFS('Per Line'!$K$2:$K$1001,'Per Line'!$A$2:$A$1001,$B195,'Per Line'!$V$2:$V$1001,1))</f>
        <v/>
      </c>
      <c r="O195" s="7">
        <f>IF($T195="","",N195*M195)</f>
        <v/>
      </c>
      <c r="P195" s="7">
        <f>IF($T195="","",O195+L195)</f>
        <v/>
      </c>
      <c r="Q195" s="7">
        <f>IF($T195="","",R195-P195)</f>
        <v/>
      </c>
      <c r="R195" s="7">
        <f>IF($T195="","",K195+N195)</f>
        <v/>
      </c>
      <c r="S195" s="7">
        <f>IF($T195="","",R195-P195-H195)</f>
        <v/>
      </c>
      <c r="T195" s="13">
        <f>IF(ROWS($T$2:$T195)&lt;=MAX('Per Line'!$U$2:$U$1001),MATCH(ROWS($T$2:$T195),'Per Line'!$U$2:$U$1001,0),"")</f>
        <v/>
      </c>
    </row>
    <row r="196">
      <c r="A196" s="12" t="n"/>
      <c r="B196">
        <f>IF($T196="","",INDEX('Per Line'!$A$2:$A$1001,$T196)&amp;"")</f>
        <v/>
      </c>
      <c r="C196" s="12" t="n"/>
      <c r="D196">
        <f>IF($T196="","",INDEX('Per Line'!$B$2:$B$1001,$T196)&amp;"")</f>
        <v/>
      </c>
      <c r="E196">
        <f>IF($T196="","",INDEX('Per Line'!$C$2:$C$1001,$T196)&amp;"")</f>
        <v/>
      </c>
      <c r="F196">
        <f>IF($T196="","",INDEX('Per Line'!$D$2:$D$1001,$T196)&amp;"")</f>
        <v/>
      </c>
      <c r="G196">
        <f>IF($T196="","",INDEX('Per Line'!$E$2:$E$1001,$T196))</f>
        <v/>
      </c>
      <c r="H196" s="7">
        <f>IF($T196="","",G196*R196/100)</f>
        <v/>
      </c>
      <c r="I196" s="11">
        <f>IF($T196="","",INDEX('Per Line'!$Q$2:$Q$1001,$T196))</f>
        <v/>
      </c>
      <c r="J196">
        <f>IF($T196="","",Settings!$C$7)</f>
        <v/>
      </c>
      <c r="K196" s="7">
        <f>IF($T196="","",SUMIFS('Per Line'!$K$2:$K$1001,'Per Line'!$A$2:$A$1001,$B196,'Per Line'!$V$2:$V$1001,0))</f>
        <v/>
      </c>
      <c r="L196" s="7">
        <f>IF($T196="","",K196*J196)</f>
        <v/>
      </c>
      <c r="M196">
        <f>IF($T196="","",Settings!$C$6)</f>
        <v/>
      </c>
      <c r="N196" s="7">
        <f>IF($T196="","",SUMIFS('Per Line'!$K$2:$K$1001,'Per Line'!$A$2:$A$1001,$B196,'Per Line'!$V$2:$V$1001,1))</f>
        <v/>
      </c>
      <c r="O196" s="7">
        <f>IF($T196="","",N196*M196)</f>
        <v/>
      </c>
      <c r="P196" s="7">
        <f>IF($T196="","",O196+L196)</f>
        <v/>
      </c>
      <c r="Q196" s="7">
        <f>IF($T196="","",R196-P196)</f>
        <v/>
      </c>
      <c r="R196" s="7">
        <f>IF($T196="","",K196+N196)</f>
        <v/>
      </c>
      <c r="S196" s="7">
        <f>IF($T196="","",R196-P196-H196)</f>
        <v/>
      </c>
      <c r="T196" s="13">
        <f>IF(ROWS($T$2:$T196)&lt;=MAX('Per Line'!$U$2:$U$1001),MATCH(ROWS($T$2:$T196),'Per Line'!$U$2:$U$1001,0),"")</f>
        <v/>
      </c>
    </row>
    <row r="197">
      <c r="A197" s="12" t="n"/>
      <c r="B197">
        <f>IF($T197="","",INDEX('Per Line'!$A$2:$A$1001,$T197)&amp;"")</f>
        <v/>
      </c>
      <c r="C197" s="12" t="n"/>
      <c r="D197">
        <f>IF($T197="","",INDEX('Per Line'!$B$2:$B$1001,$T197)&amp;"")</f>
        <v/>
      </c>
      <c r="E197">
        <f>IF($T197="","",INDEX('Per Line'!$C$2:$C$1001,$T197)&amp;"")</f>
        <v/>
      </c>
      <c r="F197">
        <f>IF($T197="","",INDEX('Per Line'!$D$2:$D$1001,$T197)&amp;"")</f>
        <v/>
      </c>
      <c r="G197">
        <f>IF($T197="","",INDEX('Per Line'!$E$2:$E$1001,$T197))</f>
        <v/>
      </c>
      <c r="H197" s="7">
        <f>IF($T197="","",G197*R197/100)</f>
        <v/>
      </c>
      <c r="I197" s="11">
        <f>IF($T197="","",INDEX('Per Line'!$Q$2:$Q$1001,$T197))</f>
        <v/>
      </c>
      <c r="J197">
        <f>IF($T197="","",Settings!$C$7)</f>
        <v/>
      </c>
      <c r="K197" s="7">
        <f>IF($T197="","",SUMIFS('Per Line'!$K$2:$K$1001,'Per Line'!$A$2:$A$1001,$B197,'Per Line'!$V$2:$V$1001,0))</f>
        <v/>
      </c>
      <c r="L197" s="7">
        <f>IF($T197="","",K197*J197)</f>
        <v/>
      </c>
      <c r="M197">
        <f>IF($T197="","",Settings!$C$6)</f>
        <v/>
      </c>
      <c r="N197" s="7">
        <f>IF($T197="","",SUMIFS('Per Line'!$K$2:$K$1001,'Per Line'!$A$2:$A$1001,$B197,'Per Line'!$V$2:$V$1001,1))</f>
        <v/>
      </c>
      <c r="O197" s="7">
        <f>IF($T197="","",N197*M197)</f>
        <v/>
      </c>
      <c r="P197" s="7">
        <f>IF($T197="","",O197+L197)</f>
        <v/>
      </c>
      <c r="Q197" s="7">
        <f>IF($T197="","",R197-P197)</f>
        <v/>
      </c>
      <c r="R197" s="7">
        <f>IF($T197="","",K197+N197)</f>
        <v/>
      </c>
      <c r="S197" s="7">
        <f>IF($T197="","",R197-P197-H197)</f>
        <v/>
      </c>
      <c r="T197" s="13">
        <f>IF(ROWS($T$2:$T197)&lt;=MAX('Per Line'!$U$2:$U$1001),MATCH(ROWS($T$2:$T197),'Per Line'!$U$2:$U$1001,0),"")</f>
        <v/>
      </c>
    </row>
    <row r="198">
      <c r="A198" s="12" t="n"/>
      <c r="B198">
        <f>IF($T198="","",INDEX('Per Line'!$A$2:$A$1001,$T198)&amp;"")</f>
        <v/>
      </c>
      <c r="C198" s="12" t="n"/>
      <c r="D198">
        <f>IF($T198="","",INDEX('Per Line'!$B$2:$B$1001,$T198)&amp;"")</f>
        <v/>
      </c>
      <c r="E198">
        <f>IF($T198="","",INDEX('Per Line'!$C$2:$C$1001,$T198)&amp;"")</f>
        <v/>
      </c>
      <c r="F198">
        <f>IF($T198="","",INDEX('Per Line'!$D$2:$D$1001,$T198)&amp;"")</f>
        <v/>
      </c>
      <c r="G198">
        <f>IF($T198="","",INDEX('Per Line'!$E$2:$E$1001,$T198))</f>
        <v/>
      </c>
      <c r="H198" s="7">
        <f>IF($T198="","",G198*R198/100)</f>
        <v/>
      </c>
      <c r="I198" s="11">
        <f>IF($T198="","",INDEX('Per Line'!$Q$2:$Q$1001,$T198))</f>
        <v/>
      </c>
      <c r="J198">
        <f>IF($T198="","",Settings!$C$7)</f>
        <v/>
      </c>
      <c r="K198" s="7">
        <f>IF($T198="","",SUMIFS('Per Line'!$K$2:$K$1001,'Per Line'!$A$2:$A$1001,$B198,'Per Line'!$V$2:$V$1001,0))</f>
        <v/>
      </c>
      <c r="L198" s="7">
        <f>IF($T198="","",K198*J198)</f>
        <v/>
      </c>
      <c r="M198">
        <f>IF($T198="","",Settings!$C$6)</f>
        <v/>
      </c>
      <c r="N198" s="7">
        <f>IF($T198="","",SUMIFS('Per Line'!$K$2:$K$1001,'Per Line'!$A$2:$A$1001,$B198,'Per Line'!$V$2:$V$1001,1))</f>
        <v/>
      </c>
      <c r="O198" s="7">
        <f>IF($T198="","",N198*M198)</f>
        <v/>
      </c>
      <c r="P198" s="7">
        <f>IF($T198="","",O198+L198)</f>
        <v/>
      </c>
      <c r="Q198" s="7">
        <f>IF($T198="","",R198-P198)</f>
        <v/>
      </c>
      <c r="R198" s="7">
        <f>IF($T198="","",K198+N198)</f>
        <v/>
      </c>
      <c r="S198" s="7">
        <f>IF($T198="","",R198-P198-H198)</f>
        <v/>
      </c>
      <c r="T198" s="13">
        <f>IF(ROWS($T$2:$T198)&lt;=MAX('Per Line'!$U$2:$U$1001),MATCH(ROWS($T$2:$T198),'Per Line'!$U$2:$U$1001,0),"")</f>
        <v/>
      </c>
    </row>
    <row r="199">
      <c r="A199" s="12" t="n"/>
      <c r="B199">
        <f>IF($T199="","",INDEX('Per Line'!$A$2:$A$1001,$T199)&amp;"")</f>
        <v/>
      </c>
      <c r="C199" s="12" t="n"/>
      <c r="D199">
        <f>IF($T199="","",INDEX('Per Line'!$B$2:$B$1001,$T199)&amp;"")</f>
        <v/>
      </c>
      <c r="E199">
        <f>IF($T199="","",INDEX('Per Line'!$C$2:$C$1001,$T199)&amp;"")</f>
        <v/>
      </c>
      <c r="F199">
        <f>IF($T199="","",INDEX('Per Line'!$D$2:$D$1001,$T199)&amp;"")</f>
        <v/>
      </c>
      <c r="G199">
        <f>IF($T199="","",INDEX('Per Line'!$E$2:$E$1001,$T199))</f>
        <v/>
      </c>
      <c r="H199" s="7">
        <f>IF($T199="","",G199*R199/100)</f>
        <v/>
      </c>
      <c r="I199" s="11">
        <f>IF($T199="","",INDEX('Per Line'!$Q$2:$Q$1001,$T199))</f>
        <v/>
      </c>
      <c r="J199">
        <f>IF($T199="","",Settings!$C$7)</f>
        <v/>
      </c>
      <c r="K199" s="7">
        <f>IF($T199="","",SUMIFS('Per Line'!$K$2:$K$1001,'Per Line'!$A$2:$A$1001,$B199,'Per Line'!$V$2:$V$1001,0))</f>
        <v/>
      </c>
      <c r="L199" s="7">
        <f>IF($T199="","",K199*J199)</f>
        <v/>
      </c>
      <c r="M199">
        <f>IF($T199="","",Settings!$C$6)</f>
        <v/>
      </c>
      <c r="N199" s="7">
        <f>IF($T199="","",SUMIFS('Per Line'!$K$2:$K$1001,'Per Line'!$A$2:$A$1001,$B199,'Per Line'!$V$2:$V$1001,1))</f>
        <v/>
      </c>
      <c r="O199" s="7">
        <f>IF($T199="","",N199*M199)</f>
        <v/>
      </c>
      <c r="P199" s="7">
        <f>IF($T199="","",O199+L199)</f>
        <v/>
      </c>
      <c r="Q199" s="7">
        <f>IF($T199="","",R199-P199)</f>
        <v/>
      </c>
      <c r="R199" s="7">
        <f>IF($T199="","",K199+N199)</f>
        <v/>
      </c>
      <c r="S199" s="7">
        <f>IF($T199="","",R199-P199-H199)</f>
        <v/>
      </c>
      <c r="T199" s="13">
        <f>IF(ROWS($T$2:$T199)&lt;=MAX('Per Line'!$U$2:$U$1001),MATCH(ROWS($T$2:$T199),'Per Line'!$U$2:$U$1001,0),"")</f>
        <v/>
      </c>
    </row>
    <row r="200">
      <c r="A200" s="12" t="n"/>
      <c r="B200">
        <f>IF($T200="","",INDEX('Per Line'!$A$2:$A$1001,$T200)&amp;"")</f>
        <v/>
      </c>
      <c r="C200" s="12" t="n"/>
      <c r="D200">
        <f>IF($T200="","",INDEX('Per Line'!$B$2:$B$1001,$T200)&amp;"")</f>
        <v/>
      </c>
      <c r="E200">
        <f>IF($T200="","",INDEX('Per Line'!$C$2:$C$1001,$T200)&amp;"")</f>
        <v/>
      </c>
      <c r="F200">
        <f>IF($T200="","",INDEX('Per Line'!$D$2:$D$1001,$T200)&amp;"")</f>
        <v/>
      </c>
      <c r="G200">
        <f>IF($T200="","",INDEX('Per Line'!$E$2:$E$1001,$T200))</f>
        <v/>
      </c>
      <c r="H200" s="7">
        <f>IF($T200="","",G200*R200/100)</f>
        <v/>
      </c>
      <c r="I200" s="11">
        <f>IF($T200="","",INDEX('Per Line'!$Q$2:$Q$1001,$T200))</f>
        <v/>
      </c>
      <c r="J200">
        <f>IF($T200="","",Settings!$C$7)</f>
        <v/>
      </c>
      <c r="K200" s="7">
        <f>IF($T200="","",SUMIFS('Per Line'!$K$2:$K$1001,'Per Line'!$A$2:$A$1001,$B200,'Per Line'!$V$2:$V$1001,0))</f>
        <v/>
      </c>
      <c r="L200" s="7">
        <f>IF($T200="","",K200*J200)</f>
        <v/>
      </c>
      <c r="M200">
        <f>IF($T200="","",Settings!$C$6)</f>
        <v/>
      </c>
      <c r="N200" s="7">
        <f>IF($T200="","",SUMIFS('Per Line'!$K$2:$K$1001,'Per Line'!$A$2:$A$1001,$B200,'Per Line'!$V$2:$V$1001,1))</f>
        <v/>
      </c>
      <c r="O200" s="7">
        <f>IF($T200="","",N200*M200)</f>
        <v/>
      </c>
      <c r="P200" s="7">
        <f>IF($T200="","",O200+L200)</f>
        <v/>
      </c>
      <c r="Q200" s="7">
        <f>IF($T200="","",R200-P200)</f>
        <v/>
      </c>
      <c r="R200" s="7">
        <f>IF($T200="","",K200+N200)</f>
        <v/>
      </c>
      <c r="S200" s="7">
        <f>IF($T200="","",R200-P200-H200)</f>
        <v/>
      </c>
      <c r="T200" s="13">
        <f>IF(ROWS($T$2:$T200)&lt;=MAX('Per Line'!$U$2:$U$1001),MATCH(ROWS($T$2:$T200),'Per Line'!$U$2:$U$1001,0),"")</f>
        <v/>
      </c>
    </row>
    <row r="201">
      <c r="A201" s="12" t="n"/>
      <c r="B201">
        <f>IF($T201="","",INDEX('Per Line'!$A$2:$A$1001,$T201)&amp;"")</f>
        <v/>
      </c>
      <c r="C201" s="12" t="n"/>
      <c r="D201">
        <f>IF($T201="","",INDEX('Per Line'!$B$2:$B$1001,$T201)&amp;"")</f>
        <v/>
      </c>
      <c r="E201">
        <f>IF($T201="","",INDEX('Per Line'!$C$2:$C$1001,$T201)&amp;"")</f>
        <v/>
      </c>
      <c r="F201">
        <f>IF($T201="","",INDEX('Per Line'!$D$2:$D$1001,$T201)&amp;"")</f>
        <v/>
      </c>
      <c r="G201">
        <f>IF($T201="","",INDEX('Per Line'!$E$2:$E$1001,$T201))</f>
        <v/>
      </c>
      <c r="H201" s="7">
        <f>IF($T201="","",G201*R201/100)</f>
        <v/>
      </c>
      <c r="I201" s="11">
        <f>IF($T201="","",INDEX('Per Line'!$Q$2:$Q$1001,$T201))</f>
        <v/>
      </c>
      <c r="J201">
        <f>IF($T201="","",Settings!$C$7)</f>
        <v/>
      </c>
      <c r="K201" s="7">
        <f>IF($T201="","",SUMIFS('Per Line'!$K$2:$K$1001,'Per Line'!$A$2:$A$1001,$B201,'Per Line'!$V$2:$V$1001,0))</f>
        <v/>
      </c>
      <c r="L201" s="7">
        <f>IF($T201="","",K201*J201)</f>
        <v/>
      </c>
      <c r="M201">
        <f>IF($T201="","",Settings!$C$6)</f>
        <v/>
      </c>
      <c r="N201" s="7">
        <f>IF($T201="","",SUMIFS('Per Line'!$K$2:$K$1001,'Per Line'!$A$2:$A$1001,$B201,'Per Line'!$V$2:$V$1001,1))</f>
        <v/>
      </c>
      <c r="O201" s="7">
        <f>IF($T201="","",N201*M201)</f>
        <v/>
      </c>
      <c r="P201" s="7">
        <f>IF($T201="","",O201+L201)</f>
        <v/>
      </c>
      <c r="Q201" s="7">
        <f>IF($T201="","",R201-P201)</f>
        <v/>
      </c>
      <c r="R201" s="7">
        <f>IF($T201="","",K201+N201)</f>
        <v/>
      </c>
      <c r="S201" s="7">
        <f>IF($T201="","",R201-P201-H201)</f>
        <v/>
      </c>
      <c r="T201" s="13">
        <f>IF(ROWS($T$2:$T201)&lt;=MAX('Per Line'!$U$2:$U$1001),MATCH(ROWS($T$2:$T201),'Per Line'!$U$2:$U$1001,0),"")</f>
        <v/>
      </c>
    </row>
    <row r="202">
      <c r="A202" s="12" t="n"/>
      <c r="B202">
        <f>IF($T202="","",INDEX('Per Line'!$A$2:$A$1001,$T202)&amp;"")</f>
        <v/>
      </c>
      <c r="C202" s="12" t="n"/>
      <c r="D202">
        <f>IF($T202="","",INDEX('Per Line'!$B$2:$B$1001,$T202)&amp;"")</f>
        <v/>
      </c>
      <c r="E202">
        <f>IF($T202="","",INDEX('Per Line'!$C$2:$C$1001,$T202)&amp;"")</f>
        <v/>
      </c>
      <c r="F202">
        <f>IF($T202="","",INDEX('Per Line'!$D$2:$D$1001,$T202)&amp;"")</f>
        <v/>
      </c>
      <c r="G202">
        <f>IF($T202="","",INDEX('Per Line'!$E$2:$E$1001,$T202))</f>
        <v/>
      </c>
      <c r="H202" s="7">
        <f>IF($T202="","",G202*R202/100)</f>
        <v/>
      </c>
      <c r="I202" s="11">
        <f>IF($T202="","",INDEX('Per Line'!$Q$2:$Q$1001,$T202))</f>
        <v/>
      </c>
      <c r="J202">
        <f>IF($T202="","",Settings!$C$7)</f>
        <v/>
      </c>
      <c r="K202" s="7">
        <f>IF($T202="","",SUMIFS('Per Line'!$K$2:$K$1001,'Per Line'!$A$2:$A$1001,$B202,'Per Line'!$V$2:$V$1001,0))</f>
        <v/>
      </c>
      <c r="L202" s="7">
        <f>IF($T202="","",K202*J202)</f>
        <v/>
      </c>
      <c r="M202">
        <f>IF($T202="","",Settings!$C$6)</f>
        <v/>
      </c>
      <c r="N202" s="7">
        <f>IF($T202="","",SUMIFS('Per Line'!$K$2:$K$1001,'Per Line'!$A$2:$A$1001,$B202,'Per Line'!$V$2:$V$1001,1))</f>
        <v/>
      </c>
      <c r="O202" s="7">
        <f>IF($T202="","",N202*M202)</f>
        <v/>
      </c>
      <c r="P202" s="7">
        <f>IF($T202="","",O202+L202)</f>
        <v/>
      </c>
      <c r="Q202" s="7">
        <f>IF($T202="","",R202-P202)</f>
        <v/>
      </c>
      <c r="R202" s="7">
        <f>IF($T202="","",K202+N202)</f>
        <v/>
      </c>
      <c r="S202" s="7">
        <f>IF($T202="","",R202-P202-H202)</f>
        <v/>
      </c>
      <c r="T202" s="13">
        <f>IF(ROWS($T$2:$T202)&lt;=MAX('Per Line'!$U$2:$U$1001),MATCH(ROWS($T$2:$T202),'Per Line'!$U$2:$U$1001,0),"")</f>
        <v/>
      </c>
    </row>
    <row r="203">
      <c r="A203" s="12" t="n"/>
      <c r="B203">
        <f>IF($T203="","",INDEX('Per Line'!$A$2:$A$1001,$T203)&amp;"")</f>
        <v/>
      </c>
      <c r="C203" s="12" t="n"/>
      <c r="D203">
        <f>IF($T203="","",INDEX('Per Line'!$B$2:$B$1001,$T203)&amp;"")</f>
        <v/>
      </c>
      <c r="E203">
        <f>IF($T203="","",INDEX('Per Line'!$C$2:$C$1001,$T203)&amp;"")</f>
        <v/>
      </c>
      <c r="F203">
        <f>IF($T203="","",INDEX('Per Line'!$D$2:$D$1001,$T203)&amp;"")</f>
        <v/>
      </c>
      <c r="G203">
        <f>IF($T203="","",INDEX('Per Line'!$E$2:$E$1001,$T203))</f>
        <v/>
      </c>
      <c r="H203" s="7">
        <f>IF($T203="","",G203*R203/100)</f>
        <v/>
      </c>
      <c r="I203" s="11">
        <f>IF($T203="","",INDEX('Per Line'!$Q$2:$Q$1001,$T203))</f>
        <v/>
      </c>
      <c r="J203">
        <f>IF($T203="","",Settings!$C$7)</f>
        <v/>
      </c>
      <c r="K203" s="7">
        <f>IF($T203="","",SUMIFS('Per Line'!$K$2:$K$1001,'Per Line'!$A$2:$A$1001,$B203,'Per Line'!$V$2:$V$1001,0))</f>
        <v/>
      </c>
      <c r="L203" s="7">
        <f>IF($T203="","",K203*J203)</f>
        <v/>
      </c>
      <c r="M203">
        <f>IF($T203="","",Settings!$C$6)</f>
        <v/>
      </c>
      <c r="N203" s="7">
        <f>IF($T203="","",SUMIFS('Per Line'!$K$2:$K$1001,'Per Line'!$A$2:$A$1001,$B203,'Per Line'!$V$2:$V$1001,1))</f>
        <v/>
      </c>
      <c r="O203" s="7">
        <f>IF($T203="","",N203*M203)</f>
        <v/>
      </c>
      <c r="P203" s="7">
        <f>IF($T203="","",O203+L203)</f>
        <v/>
      </c>
      <c r="Q203" s="7">
        <f>IF($T203="","",R203-P203)</f>
        <v/>
      </c>
      <c r="R203" s="7">
        <f>IF($T203="","",K203+N203)</f>
        <v/>
      </c>
      <c r="S203" s="7">
        <f>IF($T203="","",R203-P203-H203)</f>
        <v/>
      </c>
      <c r="T203" s="13">
        <f>IF(ROWS($T$2:$T203)&lt;=MAX('Per Line'!$U$2:$U$1001),MATCH(ROWS($T$2:$T203),'Per Line'!$U$2:$U$1001,0),"")</f>
        <v/>
      </c>
    </row>
    <row r="204">
      <c r="A204" s="12" t="n"/>
      <c r="B204">
        <f>IF($T204="","",INDEX('Per Line'!$A$2:$A$1001,$T204)&amp;"")</f>
        <v/>
      </c>
      <c r="C204" s="12" t="n"/>
      <c r="D204">
        <f>IF($T204="","",INDEX('Per Line'!$B$2:$B$1001,$T204)&amp;"")</f>
        <v/>
      </c>
      <c r="E204">
        <f>IF($T204="","",INDEX('Per Line'!$C$2:$C$1001,$T204)&amp;"")</f>
        <v/>
      </c>
      <c r="F204">
        <f>IF($T204="","",INDEX('Per Line'!$D$2:$D$1001,$T204)&amp;"")</f>
        <v/>
      </c>
      <c r="G204">
        <f>IF($T204="","",INDEX('Per Line'!$E$2:$E$1001,$T204))</f>
        <v/>
      </c>
      <c r="H204" s="7">
        <f>IF($T204="","",G204*R204/100)</f>
        <v/>
      </c>
      <c r="I204" s="11">
        <f>IF($T204="","",INDEX('Per Line'!$Q$2:$Q$1001,$T204))</f>
        <v/>
      </c>
      <c r="J204">
        <f>IF($T204="","",Settings!$C$7)</f>
        <v/>
      </c>
      <c r="K204" s="7">
        <f>IF($T204="","",SUMIFS('Per Line'!$K$2:$K$1001,'Per Line'!$A$2:$A$1001,$B204,'Per Line'!$V$2:$V$1001,0))</f>
        <v/>
      </c>
      <c r="L204" s="7">
        <f>IF($T204="","",K204*J204)</f>
        <v/>
      </c>
      <c r="M204">
        <f>IF($T204="","",Settings!$C$6)</f>
        <v/>
      </c>
      <c r="N204" s="7">
        <f>IF($T204="","",SUMIFS('Per Line'!$K$2:$K$1001,'Per Line'!$A$2:$A$1001,$B204,'Per Line'!$V$2:$V$1001,1))</f>
        <v/>
      </c>
      <c r="O204" s="7">
        <f>IF($T204="","",N204*M204)</f>
        <v/>
      </c>
      <c r="P204" s="7">
        <f>IF($T204="","",O204+L204)</f>
        <v/>
      </c>
      <c r="Q204" s="7">
        <f>IF($T204="","",R204-P204)</f>
        <v/>
      </c>
      <c r="R204" s="7">
        <f>IF($T204="","",K204+N204)</f>
        <v/>
      </c>
      <c r="S204" s="7">
        <f>IF($T204="","",R204-P204-H204)</f>
        <v/>
      </c>
      <c r="T204" s="13">
        <f>IF(ROWS($T$2:$T204)&lt;=MAX('Per Line'!$U$2:$U$1001),MATCH(ROWS($T$2:$T204),'Per Line'!$U$2:$U$1001,0),"")</f>
        <v/>
      </c>
    </row>
    <row r="205">
      <c r="A205" s="12" t="n"/>
      <c r="B205">
        <f>IF($T205="","",INDEX('Per Line'!$A$2:$A$1001,$T205)&amp;"")</f>
        <v/>
      </c>
      <c r="C205" s="12" t="n"/>
      <c r="D205">
        <f>IF($T205="","",INDEX('Per Line'!$B$2:$B$1001,$T205)&amp;"")</f>
        <v/>
      </c>
      <c r="E205">
        <f>IF($T205="","",INDEX('Per Line'!$C$2:$C$1001,$T205)&amp;"")</f>
        <v/>
      </c>
      <c r="F205">
        <f>IF($T205="","",INDEX('Per Line'!$D$2:$D$1001,$T205)&amp;"")</f>
        <v/>
      </c>
      <c r="G205">
        <f>IF($T205="","",INDEX('Per Line'!$E$2:$E$1001,$T205))</f>
        <v/>
      </c>
      <c r="H205" s="7">
        <f>IF($T205="","",G205*R205/100)</f>
        <v/>
      </c>
      <c r="I205" s="11">
        <f>IF($T205="","",INDEX('Per Line'!$Q$2:$Q$1001,$T205))</f>
        <v/>
      </c>
      <c r="J205">
        <f>IF($T205="","",Settings!$C$7)</f>
        <v/>
      </c>
      <c r="K205" s="7">
        <f>IF($T205="","",SUMIFS('Per Line'!$K$2:$K$1001,'Per Line'!$A$2:$A$1001,$B205,'Per Line'!$V$2:$V$1001,0))</f>
        <v/>
      </c>
      <c r="L205" s="7">
        <f>IF($T205="","",K205*J205)</f>
        <v/>
      </c>
      <c r="M205">
        <f>IF($T205="","",Settings!$C$6)</f>
        <v/>
      </c>
      <c r="N205" s="7">
        <f>IF($T205="","",SUMIFS('Per Line'!$K$2:$K$1001,'Per Line'!$A$2:$A$1001,$B205,'Per Line'!$V$2:$V$1001,1))</f>
        <v/>
      </c>
      <c r="O205" s="7">
        <f>IF($T205="","",N205*M205)</f>
        <v/>
      </c>
      <c r="P205" s="7">
        <f>IF($T205="","",O205+L205)</f>
        <v/>
      </c>
      <c r="Q205" s="7">
        <f>IF($T205="","",R205-P205)</f>
        <v/>
      </c>
      <c r="R205" s="7">
        <f>IF($T205="","",K205+N205)</f>
        <v/>
      </c>
      <c r="S205" s="7">
        <f>IF($T205="","",R205-P205-H205)</f>
        <v/>
      </c>
      <c r="T205" s="13">
        <f>IF(ROWS($T$2:$T205)&lt;=MAX('Per Line'!$U$2:$U$1001),MATCH(ROWS($T$2:$T205),'Per Line'!$U$2:$U$1001,0),"")</f>
        <v/>
      </c>
    </row>
    <row r="206">
      <c r="A206" s="12" t="n"/>
      <c r="B206">
        <f>IF($T206="","",INDEX('Per Line'!$A$2:$A$1001,$T206)&amp;"")</f>
        <v/>
      </c>
      <c r="C206" s="12" t="n"/>
      <c r="D206">
        <f>IF($T206="","",INDEX('Per Line'!$B$2:$B$1001,$T206)&amp;"")</f>
        <v/>
      </c>
      <c r="E206">
        <f>IF($T206="","",INDEX('Per Line'!$C$2:$C$1001,$T206)&amp;"")</f>
        <v/>
      </c>
      <c r="F206">
        <f>IF($T206="","",INDEX('Per Line'!$D$2:$D$1001,$T206)&amp;"")</f>
        <v/>
      </c>
      <c r="G206">
        <f>IF($T206="","",INDEX('Per Line'!$E$2:$E$1001,$T206))</f>
        <v/>
      </c>
      <c r="H206" s="7">
        <f>IF($T206="","",G206*R206/100)</f>
        <v/>
      </c>
      <c r="I206" s="11">
        <f>IF($T206="","",INDEX('Per Line'!$Q$2:$Q$1001,$T206))</f>
        <v/>
      </c>
      <c r="J206">
        <f>IF($T206="","",Settings!$C$7)</f>
        <v/>
      </c>
      <c r="K206" s="7">
        <f>IF($T206="","",SUMIFS('Per Line'!$K$2:$K$1001,'Per Line'!$A$2:$A$1001,$B206,'Per Line'!$V$2:$V$1001,0))</f>
        <v/>
      </c>
      <c r="L206" s="7">
        <f>IF($T206="","",K206*J206)</f>
        <v/>
      </c>
      <c r="M206">
        <f>IF($T206="","",Settings!$C$6)</f>
        <v/>
      </c>
      <c r="N206" s="7">
        <f>IF($T206="","",SUMIFS('Per Line'!$K$2:$K$1001,'Per Line'!$A$2:$A$1001,$B206,'Per Line'!$V$2:$V$1001,1))</f>
        <v/>
      </c>
      <c r="O206" s="7">
        <f>IF($T206="","",N206*M206)</f>
        <v/>
      </c>
      <c r="P206" s="7">
        <f>IF($T206="","",O206+L206)</f>
        <v/>
      </c>
      <c r="Q206" s="7">
        <f>IF($T206="","",R206-P206)</f>
        <v/>
      </c>
      <c r="R206" s="7">
        <f>IF($T206="","",K206+N206)</f>
        <v/>
      </c>
      <c r="S206" s="7">
        <f>IF($T206="","",R206-P206-H206)</f>
        <v/>
      </c>
      <c r="T206" s="13">
        <f>IF(ROWS($T$2:$T206)&lt;=MAX('Per Line'!$U$2:$U$1001),MATCH(ROWS($T$2:$T206),'Per Line'!$U$2:$U$1001,0),"")</f>
        <v/>
      </c>
    </row>
    <row r="207">
      <c r="A207" s="12" t="n"/>
      <c r="B207">
        <f>IF($T207="","",INDEX('Per Line'!$A$2:$A$1001,$T207)&amp;"")</f>
        <v/>
      </c>
      <c r="C207" s="12" t="n"/>
      <c r="D207">
        <f>IF($T207="","",INDEX('Per Line'!$B$2:$B$1001,$T207)&amp;"")</f>
        <v/>
      </c>
      <c r="E207">
        <f>IF($T207="","",INDEX('Per Line'!$C$2:$C$1001,$T207)&amp;"")</f>
        <v/>
      </c>
      <c r="F207">
        <f>IF($T207="","",INDEX('Per Line'!$D$2:$D$1001,$T207)&amp;"")</f>
        <v/>
      </c>
      <c r="G207">
        <f>IF($T207="","",INDEX('Per Line'!$E$2:$E$1001,$T207))</f>
        <v/>
      </c>
      <c r="H207" s="7">
        <f>IF($T207="","",G207*R207/100)</f>
        <v/>
      </c>
      <c r="I207" s="11">
        <f>IF($T207="","",INDEX('Per Line'!$Q$2:$Q$1001,$T207))</f>
        <v/>
      </c>
      <c r="J207">
        <f>IF($T207="","",Settings!$C$7)</f>
        <v/>
      </c>
      <c r="K207" s="7">
        <f>IF($T207="","",SUMIFS('Per Line'!$K$2:$K$1001,'Per Line'!$A$2:$A$1001,$B207,'Per Line'!$V$2:$V$1001,0))</f>
        <v/>
      </c>
      <c r="L207" s="7">
        <f>IF($T207="","",K207*J207)</f>
        <v/>
      </c>
      <c r="M207">
        <f>IF($T207="","",Settings!$C$6)</f>
        <v/>
      </c>
      <c r="N207" s="7">
        <f>IF($T207="","",SUMIFS('Per Line'!$K$2:$K$1001,'Per Line'!$A$2:$A$1001,$B207,'Per Line'!$V$2:$V$1001,1))</f>
        <v/>
      </c>
      <c r="O207" s="7">
        <f>IF($T207="","",N207*M207)</f>
        <v/>
      </c>
      <c r="P207" s="7">
        <f>IF($T207="","",O207+L207)</f>
        <v/>
      </c>
      <c r="Q207" s="7">
        <f>IF($T207="","",R207-P207)</f>
        <v/>
      </c>
      <c r="R207" s="7">
        <f>IF($T207="","",K207+N207)</f>
        <v/>
      </c>
      <c r="S207" s="7">
        <f>IF($T207="","",R207-P207-H207)</f>
        <v/>
      </c>
      <c r="T207" s="13">
        <f>IF(ROWS($T$2:$T207)&lt;=MAX('Per Line'!$U$2:$U$1001),MATCH(ROWS($T$2:$T207),'Per Line'!$U$2:$U$1001,0),"")</f>
        <v/>
      </c>
    </row>
    <row r="208">
      <c r="A208" s="12" t="n"/>
      <c r="B208">
        <f>IF($T208="","",INDEX('Per Line'!$A$2:$A$1001,$T208)&amp;"")</f>
        <v/>
      </c>
      <c r="C208" s="12" t="n"/>
      <c r="D208">
        <f>IF($T208="","",INDEX('Per Line'!$B$2:$B$1001,$T208)&amp;"")</f>
        <v/>
      </c>
      <c r="E208">
        <f>IF($T208="","",INDEX('Per Line'!$C$2:$C$1001,$T208)&amp;"")</f>
        <v/>
      </c>
      <c r="F208">
        <f>IF($T208="","",INDEX('Per Line'!$D$2:$D$1001,$T208)&amp;"")</f>
        <v/>
      </c>
      <c r="G208">
        <f>IF($T208="","",INDEX('Per Line'!$E$2:$E$1001,$T208))</f>
        <v/>
      </c>
      <c r="H208" s="7">
        <f>IF($T208="","",G208*R208/100)</f>
        <v/>
      </c>
      <c r="I208" s="11">
        <f>IF($T208="","",INDEX('Per Line'!$Q$2:$Q$1001,$T208))</f>
        <v/>
      </c>
      <c r="J208">
        <f>IF($T208="","",Settings!$C$7)</f>
        <v/>
      </c>
      <c r="K208" s="7">
        <f>IF($T208="","",SUMIFS('Per Line'!$K$2:$K$1001,'Per Line'!$A$2:$A$1001,$B208,'Per Line'!$V$2:$V$1001,0))</f>
        <v/>
      </c>
      <c r="L208" s="7">
        <f>IF($T208="","",K208*J208)</f>
        <v/>
      </c>
      <c r="M208">
        <f>IF($T208="","",Settings!$C$6)</f>
        <v/>
      </c>
      <c r="N208" s="7">
        <f>IF($T208="","",SUMIFS('Per Line'!$K$2:$K$1001,'Per Line'!$A$2:$A$1001,$B208,'Per Line'!$V$2:$V$1001,1))</f>
        <v/>
      </c>
      <c r="O208" s="7">
        <f>IF($T208="","",N208*M208)</f>
        <v/>
      </c>
      <c r="P208" s="7">
        <f>IF($T208="","",O208+L208)</f>
        <v/>
      </c>
      <c r="Q208" s="7">
        <f>IF($T208="","",R208-P208)</f>
        <v/>
      </c>
      <c r="R208" s="7">
        <f>IF($T208="","",K208+N208)</f>
        <v/>
      </c>
      <c r="S208" s="7">
        <f>IF($T208="","",R208-P208-H208)</f>
        <v/>
      </c>
      <c r="T208" s="13">
        <f>IF(ROWS($T$2:$T208)&lt;=MAX('Per Line'!$U$2:$U$1001),MATCH(ROWS($T$2:$T208),'Per Line'!$U$2:$U$1001,0),"")</f>
        <v/>
      </c>
    </row>
    <row r="209">
      <c r="A209" s="12" t="n"/>
      <c r="B209">
        <f>IF($T209="","",INDEX('Per Line'!$A$2:$A$1001,$T209)&amp;"")</f>
        <v/>
      </c>
      <c r="C209" s="12" t="n"/>
      <c r="D209">
        <f>IF($T209="","",INDEX('Per Line'!$B$2:$B$1001,$T209)&amp;"")</f>
        <v/>
      </c>
      <c r="E209">
        <f>IF($T209="","",INDEX('Per Line'!$C$2:$C$1001,$T209)&amp;"")</f>
        <v/>
      </c>
      <c r="F209">
        <f>IF($T209="","",INDEX('Per Line'!$D$2:$D$1001,$T209)&amp;"")</f>
        <v/>
      </c>
      <c r="G209">
        <f>IF($T209="","",INDEX('Per Line'!$E$2:$E$1001,$T209))</f>
        <v/>
      </c>
      <c r="H209" s="7">
        <f>IF($T209="","",G209*R209/100)</f>
        <v/>
      </c>
      <c r="I209" s="11">
        <f>IF($T209="","",INDEX('Per Line'!$Q$2:$Q$1001,$T209))</f>
        <v/>
      </c>
      <c r="J209">
        <f>IF($T209="","",Settings!$C$7)</f>
        <v/>
      </c>
      <c r="K209" s="7">
        <f>IF($T209="","",SUMIFS('Per Line'!$K$2:$K$1001,'Per Line'!$A$2:$A$1001,$B209,'Per Line'!$V$2:$V$1001,0))</f>
        <v/>
      </c>
      <c r="L209" s="7">
        <f>IF($T209="","",K209*J209)</f>
        <v/>
      </c>
      <c r="M209">
        <f>IF($T209="","",Settings!$C$6)</f>
        <v/>
      </c>
      <c r="N209" s="7">
        <f>IF($T209="","",SUMIFS('Per Line'!$K$2:$K$1001,'Per Line'!$A$2:$A$1001,$B209,'Per Line'!$V$2:$V$1001,1))</f>
        <v/>
      </c>
      <c r="O209" s="7">
        <f>IF($T209="","",N209*M209)</f>
        <v/>
      </c>
      <c r="P209" s="7">
        <f>IF($T209="","",O209+L209)</f>
        <v/>
      </c>
      <c r="Q209" s="7">
        <f>IF($T209="","",R209-P209)</f>
        <v/>
      </c>
      <c r="R209" s="7">
        <f>IF($T209="","",K209+N209)</f>
        <v/>
      </c>
      <c r="S209" s="7">
        <f>IF($T209="","",R209-P209-H209)</f>
        <v/>
      </c>
      <c r="T209" s="13">
        <f>IF(ROWS($T$2:$T209)&lt;=MAX('Per Line'!$U$2:$U$1001),MATCH(ROWS($T$2:$T209),'Per Line'!$U$2:$U$1001,0),"")</f>
        <v/>
      </c>
    </row>
    <row r="210">
      <c r="A210" s="12" t="n"/>
      <c r="B210">
        <f>IF($T210="","",INDEX('Per Line'!$A$2:$A$1001,$T210)&amp;"")</f>
        <v/>
      </c>
      <c r="C210" s="12" t="n"/>
      <c r="D210">
        <f>IF($T210="","",INDEX('Per Line'!$B$2:$B$1001,$T210)&amp;"")</f>
        <v/>
      </c>
      <c r="E210">
        <f>IF($T210="","",INDEX('Per Line'!$C$2:$C$1001,$T210)&amp;"")</f>
        <v/>
      </c>
      <c r="F210">
        <f>IF($T210="","",INDEX('Per Line'!$D$2:$D$1001,$T210)&amp;"")</f>
        <v/>
      </c>
      <c r="G210">
        <f>IF($T210="","",INDEX('Per Line'!$E$2:$E$1001,$T210))</f>
        <v/>
      </c>
      <c r="H210" s="7">
        <f>IF($T210="","",G210*R210/100)</f>
        <v/>
      </c>
      <c r="I210" s="11">
        <f>IF($T210="","",INDEX('Per Line'!$Q$2:$Q$1001,$T210))</f>
        <v/>
      </c>
      <c r="J210">
        <f>IF($T210="","",Settings!$C$7)</f>
        <v/>
      </c>
      <c r="K210" s="7">
        <f>IF($T210="","",SUMIFS('Per Line'!$K$2:$K$1001,'Per Line'!$A$2:$A$1001,$B210,'Per Line'!$V$2:$V$1001,0))</f>
        <v/>
      </c>
      <c r="L210" s="7">
        <f>IF($T210="","",K210*J210)</f>
        <v/>
      </c>
      <c r="M210">
        <f>IF($T210="","",Settings!$C$6)</f>
        <v/>
      </c>
      <c r="N210" s="7">
        <f>IF($T210="","",SUMIFS('Per Line'!$K$2:$K$1001,'Per Line'!$A$2:$A$1001,$B210,'Per Line'!$V$2:$V$1001,1))</f>
        <v/>
      </c>
      <c r="O210" s="7">
        <f>IF($T210="","",N210*M210)</f>
        <v/>
      </c>
      <c r="P210" s="7">
        <f>IF($T210="","",O210+L210)</f>
        <v/>
      </c>
      <c r="Q210" s="7">
        <f>IF($T210="","",R210-P210)</f>
        <v/>
      </c>
      <c r="R210" s="7">
        <f>IF($T210="","",K210+N210)</f>
        <v/>
      </c>
      <c r="S210" s="7">
        <f>IF($T210="","",R210-P210-H210)</f>
        <v/>
      </c>
      <c r="T210" s="13">
        <f>IF(ROWS($T$2:$T210)&lt;=MAX('Per Line'!$U$2:$U$1001),MATCH(ROWS($T$2:$T210),'Per Line'!$U$2:$U$1001,0),"")</f>
        <v/>
      </c>
    </row>
    <row r="211">
      <c r="A211" s="12" t="n"/>
      <c r="B211">
        <f>IF($T211="","",INDEX('Per Line'!$A$2:$A$1001,$T211)&amp;"")</f>
        <v/>
      </c>
      <c r="C211" s="12" t="n"/>
      <c r="D211">
        <f>IF($T211="","",INDEX('Per Line'!$B$2:$B$1001,$T211)&amp;"")</f>
        <v/>
      </c>
      <c r="E211">
        <f>IF($T211="","",INDEX('Per Line'!$C$2:$C$1001,$T211)&amp;"")</f>
        <v/>
      </c>
      <c r="F211">
        <f>IF($T211="","",INDEX('Per Line'!$D$2:$D$1001,$T211)&amp;"")</f>
        <v/>
      </c>
      <c r="G211">
        <f>IF($T211="","",INDEX('Per Line'!$E$2:$E$1001,$T211))</f>
        <v/>
      </c>
      <c r="H211" s="7">
        <f>IF($T211="","",G211*R211/100)</f>
        <v/>
      </c>
      <c r="I211" s="11">
        <f>IF($T211="","",INDEX('Per Line'!$Q$2:$Q$1001,$T211))</f>
        <v/>
      </c>
      <c r="J211">
        <f>IF($T211="","",Settings!$C$7)</f>
        <v/>
      </c>
      <c r="K211" s="7">
        <f>IF($T211="","",SUMIFS('Per Line'!$K$2:$K$1001,'Per Line'!$A$2:$A$1001,$B211,'Per Line'!$V$2:$V$1001,0))</f>
        <v/>
      </c>
      <c r="L211" s="7">
        <f>IF($T211="","",K211*J211)</f>
        <v/>
      </c>
      <c r="M211">
        <f>IF($T211="","",Settings!$C$6)</f>
        <v/>
      </c>
      <c r="N211" s="7">
        <f>IF($T211="","",SUMIFS('Per Line'!$K$2:$K$1001,'Per Line'!$A$2:$A$1001,$B211,'Per Line'!$V$2:$V$1001,1))</f>
        <v/>
      </c>
      <c r="O211" s="7">
        <f>IF($T211="","",N211*M211)</f>
        <v/>
      </c>
      <c r="P211" s="7">
        <f>IF($T211="","",O211+L211)</f>
        <v/>
      </c>
      <c r="Q211" s="7">
        <f>IF($T211="","",R211-P211)</f>
        <v/>
      </c>
      <c r="R211" s="7">
        <f>IF($T211="","",K211+N211)</f>
        <v/>
      </c>
      <c r="S211" s="7">
        <f>IF($T211="","",R211-P211-H211)</f>
        <v/>
      </c>
      <c r="T211" s="13">
        <f>IF(ROWS($T$2:$T211)&lt;=MAX('Per Line'!$U$2:$U$1001),MATCH(ROWS($T$2:$T211),'Per Line'!$U$2:$U$1001,0),"")</f>
        <v/>
      </c>
    </row>
    <row r="212">
      <c r="A212" s="12" t="n"/>
      <c r="B212">
        <f>IF($T212="","",INDEX('Per Line'!$A$2:$A$1001,$T212)&amp;"")</f>
        <v/>
      </c>
      <c r="C212" s="12" t="n"/>
      <c r="D212">
        <f>IF($T212="","",INDEX('Per Line'!$B$2:$B$1001,$T212)&amp;"")</f>
        <v/>
      </c>
      <c r="E212">
        <f>IF($T212="","",INDEX('Per Line'!$C$2:$C$1001,$T212)&amp;"")</f>
        <v/>
      </c>
      <c r="F212">
        <f>IF($T212="","",INDEX('Per Line'!$D$2:$D$1001,$T212)&amp;"")</f>
        <v/>
      </c>
      <c r="G212">
        <f>IF($T212="","",INDEX('Per Line'!$E$2:$E$1001,$T212))</f>
        <v/>
      </c>
      <c r="H212" s="7">
        <f>IF($T212="","",G212*R212/100)</f>
        <v/>
      </c>
      <c r="I212" s="11">
        <f>IF($T212="","",INDEX('Per Line'!$Q$2:$Q$1001,$T212))</f>
        <v/>
      </c>
      <c r="J212">
        <f>IF($T212="","",Settings!$C$7)</f>
        <v/>
      </c>
      <c r="K212" s="7">
        <f>IF($T212="","",SUMIFS('Per Line'!$K$2:$K$1001,'Per Line'!$A$2:$A$1001,$B212,'Per Line'!$V$2:$V$1001,0))</f>
        <v/>
      </c>
      <c r="L212" s="7">
        <f>IF($T212="","",K212*J212)</f>
        <v/>
      </c>
      <c r="M212">
        <f>IF($T212="","",Settings!$C$6)</f>
        <v/>
      </c>
      <c r="N212" s="7">
        <f>IF($T212="","",SUMIFS('Per Line'!$K$2:$K$1001,'Per Line'!$A$2:$A$1001,$B212,'Per Line'!$V$2:$V$1001,1))</f>
        <v/>
      </c>
      <c r="O212" s="7">
        <f>IF($T212="","",N212*M212)</f>
        <v/>
      </c>
      <c r="P212" s="7">
        <f>IF($T212="","",O212+L212)</f>
        <v/>
      </c>
      <c r="Q212" s="7">
        <f>IF($T212="","",R212-P212)</f>
        <v/>
      </c>
      <c r="R212" s="7">
        <f>IF($T212="","",K212+N212)</f>
        <v/>
      </c>
      <c r="S212" s="7">
        <f>IF($T212="","",R212-P212-H212)</f>
        <v/>
      </c>
      <c r="T212" s="13">
        <f>IF(ROWS($T$2:$T212)&lt;=MAX('Per Line'!$U$2:$U$1001),MATCH(ROWS($T$2:$T212),'Per Line'!$U$2:$U$1001,0),"")</f>
        <v/>
      </c>
    </row>
    <row r="213">
      <c r="A213" s="12" t="n"/>
      <c r="B213">
        <f>IF($T213="","",INDEX('Per Line'!$A$2:$A$1001,$T213)&amp;"")</f>
        <v/>
      </c>
      <c r="C213" s="12" t="n"/>
      <c r="D213">
        <f>IF($T213="","",INDEX('Per Line'!$B$2:$B$1001,$T213)&amp;"")</f>
        <v/>
      </c>
      <c r="E213">
        <f>IF($T213="","",INDEX('Per Line'!$C$2:$C$1001,$T213)&amp;"")</f>
        <v/>
      </c>
      <c r="F213">
        <f>IF($T213="","",INDEX('Per Line'!$D$2:$D$1001,$T213)&amp;"")</f>
        <v/>
      </c>
      <c r="G213">
        <f>IF($T213="","",INDEX('Per Line'!$E$2:$E$1001,$T213))</f>
        <v/>
      </c>
      <c r="H213" s="7">
        <f>IF($T213="","",G213*R213/100)</f>
        <v/>
      </c>
      <c r="I213" s="11">
        <f>IF($T213="","",INDEX('Per Line'!$Q$2:$Q$1001,$T213))</f>
        <v/>
      </c>
      <c r="J213">
        <f>IF($T213="","",Settings!$C$7)</f>
        <v/>
      </c>
      <c r="K213" s="7">
        <f>IF($T213="","",SUMIFS('Per Line'!$K$2:$K$1001,'Per Line'!$A$2:$A$1001,$B213,'Per Line'!$V$2:$V$1001,0))</f>
        <v/>
      </c>
      <c r="L213" s="7">
        <f>IF($T213="","",K213*J213)</f>
        <v/>
      </c>
      <c r="M213">
        <f>IF($T213="","",Settings!$C$6)</f>
        <v/>
      </c>
      <c r="N213" s="7">
        <f>IF($T213="","",SUMIFS('Per Line'!$K$2:$K$1001,'Per Line'!$A$2:$A$1001,$B213,'Per Line'!$V$2:$V$1001,1))</f>
        <v/>
      </c>
      <c r="O213" s="7">
        <f>IF($T213="","",N213*M213)</f>
        <v/>
      </c>
      <c r="P213" s="7">
        <f>IF($T213="","",O213+L213)</f>
        <v/>
      </c>
      <c r="Q213" s="7">
        <f>IF($T213="","",R213-P213)</f>
        <v/>
      </c>
      <c r="R213" s="7">
        <f>IF($T213="","",K213+N213)</f>
        <v/>
      </c>
      <c r="S213" s="7">
        <f>IF($T213="","",R213-P213-H213)</f>
        <v/>
      </c>
      <c r="T213" s="13">
        <f>IF(ROWS($T$2:$T213)&lt;=MAX('Per Line'!$U$2:$U$1001),MATCH(ROWS($T$2:$T213),'Per Line'!$U$2:$U$1001,0),"")</f>
        <v/>
      </c>
    </row>
    <row r="214">
      <c r="A214" s="12" t="n"/>
      <c r="B214">
        <f>IF($T214="","",INDEX('Per Line'!$A$2:$A$1001,$T214)&amp;"")</f>
        <v/>
      </c>
      <c r="C214" s="12" t="n"/>
      <c r="D214">
        <f>IF($T214="","",INDEX('Per Line'!$B$2:$B$1001,$T214)&amp;"")</f>
        <v/>
      </c>
      <c r="E214">
        <f>IF($T214="","",INDEX('Per Line'!$C$2:$C$1001,$T214)&amp;"")</f>
        <v/>
      </c>
      <c r="F214">
        <f>IF($T214="","",INDEX('Per Line'!$D$2:$D$1001,$T214)&amp;"")</f>
        <v/>
      </c>
      <c r="G214">
        <f>IF($T214="","",INDEX('Per Line'!$E$2:$E$1001,$T214))</f>
        <v/>
      </c>
      <c r="H214" s="7">
        <f>IF($T214="","",G214*R214/100)</f>
        <v/>
      </c>
      <c r="I214" s="11">
        <f>IF($T214="","",INDEX('Per Line'!$Q$2:$Q$1001,$T214))</f>
        <v/>
      </c>
      <c r="J214">
        <f>IF($T214="","",Settings!$C$7)</f>
        <v/>
      </c>
      <c r="K214" s="7">
        <f>IF($T214="","",SUMIFS('Per Line'!$K$2:$K$1001,'Per Line'!$A$2:$A$1001,$B214,'Per Line'!$V$2:$V$1001,0))</f>
        <v/>
      </c>
      <c r="L214" s="7">
        <f>IF($T214="","",K214*J214)</f>
        <v/>
      </c>
      <c r="M214">
        <f>IF($T214="","",Settings!$C$6)</f>
        <v/>
      </c>
      <c r="N214" s="7">
        <f>IF($T214="","",SUMIFS('Per Line'!$K$2:$K$1001,'Per Line'!$A$2:$A$1001,$B214,'Per Line'!$V$2:$V$1001,1))</f>
        <v/>
      </c>
      <c r="O214" s="7">
        <f>IF($T214="","",N214*M214)</f>
        <v/>
      </c>
      <c r="P214" s="7">
        <f>IF($T214="","",O214+L214)</f>
        <v/>
      </c>
      <c r="Q214" s="7">
        <f>IF($T214="","",R214-P214)</f>
        <v/>
      </c>
      <c r="R214" s="7">
        <f>IF($T214="","",K214+N214)</f>
        <v/>
      </c>
      <c r="S214" s="7">
        <f>IF($T214="","",R214-P214-H214)</f>
        <v/>
      </c>
      <c r="T214" s="13">
        <f>IF(ROWS($T$2:$T214)&lt;=MAX('Per Line'!$U$2:$U$1001),MATCH(ROWS($T$2:$T214),'Per Line'!$U$2:$U$1001,0),"")</f>
        <v/>
      </c>
    </row>
    <row r="215">
      <c r="A215" s="12" t="n"/>
      <c r="B215">
        <f>IF($T215="","",INDEX('Per Line'!$A$2:$A$1001,$T215)&amp;"")</f>
        <v/>
      </c>
      <c r="C215" s="12" t="n"/>
      <c r="D215">
        <f>IF($T215="","",INDEX('Per Line'!$B$2:$B$1001,$T215)&amp;"")</f>
        <v/>
      </c>
      <c r="E215">
        <f>IF($T215="","",INDEX('Per Line'!$C$2:$C$1001,$T215)&amp;"")</f>
        <v/>
      </c>
      <c r="F215">
        <f>IF($T215="","",INDEX('Per Line'!$D$2:$D$1001,$T215)&amp;"")</f>
        <v/>
      </c>
      <c r="G215">
        <f>IF($T215="","",INDEX('Per Line'!$E$2:$E$1001,$T215))</f>
        <v/>
      </c>
      <c r="H215" s="7">
        <f>IF($T215="","",G215*R215/100)</f>
        <v/>
      </c>
      <c r="I215" s="11">
        <f>IF($T215="","",INDEX('Per Line'!$Q$2:$Q$1001,$T215))</f>
        <v/>
      </c>
      <c r="J215">
        <f>IF($T215="","",Settings!$C$7)</f>
        <v/>
      </c>
      <c r="K215" s="7">
        <f>IF($T215="","",SUMIFS('Per Line'!$K$2:$K$1001,'Per Line'!$A$2:$A$1001,$B215,'Per Line'!$V$2:$V$1001,0))</f>
        <v/>
      </c>
      <c r="L215" s="7">
        <f>IF($T215="","",K215*J215)</f>
        <v/>
      </c>
      <c r="M215">
        <f>IF($T215="","",Settings!$C$6)</f>
        <v/>
      </c>
      <c r="N215" s="7">
        <f>IF($T215="","",SUMIFS('Per Line'!$K$2:$K$1001,'Per Line'!$A$2:$A$1001,$B215,'Per Line'!$V$2:$V$1001,1))</f>
        <v/>
      </c>
      <c r="O215" s="7">
        <f>IF($T215="","",N215*M215)</f>
        <v/>
      </c>
      <c r="P215" s="7">
        <f>IF($T215="","",O215+L215)</f>
        <v/>
      </c>
      <c r="Q215" s="7">
        <f>IF($T215="","",R215-P215)</f>
        <v/>
      </c>
      <c r="R215" s="7">
        <f>IF($T215="","",K215+N215)</f>
        <v/>
      </c>
      <c r="S215" s="7">
        <f>IF($T215="","",R215-P215-H215)</f>
        <v/>
      </c>
      <c r="T215" s="13">
        <f>IF(ROWS($T$2:$T215)&lt;=MAX('Per Line'!$U$2:$U$1001),MATCH(ROWS($T$2:$T215),'Per Line'!$U$2:$U$1001,0),"")</f>
        <v/>
      </c>
    </row>
    <row r="216">
      <c r="A216" s="12" t="n"/>
      <c r="B216">
        <f>IF($T216="","",INDEX('Per Line'!$A$2:$A$1001,$T216)&amp;"")</f>
        <v/>
      </c>
      <c r="C216" s="12" t="n"/>
      <c r="D216">
        <f>IF($T216="","",INDEX('Per Line'!$B$2:$B$1001,$T216)&amp;"")</f>
        <v/>
      </c>
      <c r="E216">
        <f>IF($T216="","",INDEX('Per Line'!$C$2:$C$1001,$T216)&amp;"")</f>
        <v/>
      </c>
      <c r="F216">
        <f>IF($T216="","",INDEX('Per Line'!$D$2:$D$1001,$T216)&amp;"")</f>
        <v/>
      </c>
      <c r="G216">
        <f>IF($T216="","",INDEX('Per Line'!$E$2:$E$1001,$T216))</f>
        <v/>
      </c>
      <c r="H216" s="7">
        <f>IF($T216="","",G216*R216/100)</f>
        <v/>
      </c>
      <c r="I216" s="11">
        <f>IF($T216="","",INDEX('Per Line'!$Q$2:$Q$1001,$T216))</f>
        <v/>
      </c>
      <c r="J216">
        <f>IF($T216="","",Settings!$C$7)</f>
        <v/>
      </c>
      <c r="K216" s="7">
        <f>IF($T216="","",SUMIFS('Per Line'!$K$2:$K$1001,'Per Line'!$A$2:$A$1001,$B216,'Per Line'!$V$2:$V$1001,0))</f>
        <v/>
      </c>
      <c r="L216" s="7">
        <f>IF($T216="","",K216*J216)</f>
        <v/>
      </c>
      <c r="M216">
        <f>IF($T216="","",Settings!$C$6)</f>
        <v/>
      </c>
      <c r="N216" s="7">
        <f>IF($T216="","",SUMIFS('Per Line'!$K$2:$K$1001,'Per Line'!$A$2:$A$1001,$B216,'Per Line'!$V$2:$V$1001,1))</f>
        <v/>
      </c>
      <c r="O216" s="7">
        <f>IF($T216="","",N216*M216)</f>
        <v/>
      </c>
      <c r="P216" s="7">
        <f>IF($T216="","",O216+L216)</f>
        <v/>
      </c>
      <c r="Q216" s="7">
        <f>IF($T216="","",R216-P216)</f>
        <v/>
      </c>
      <c r="R216" s="7">
        <f>IF($T216="","",K216+N216)</f>
        <v/>
      </c>
      <c r="S216" s="7">
        <f>IF($T216="","",R216-P216-H216)</f>
        <v/>
      </c>
      <c r="T216" s="13">
        <f>IF(ROWS($T$2:$T216)&lt;=MAX('Per Line'!$U$2:$U$1001),MATCH(ROWS($T$2:$T216),'Per Line'!$U$2:$U$1001,0),"")</f>
        <v/>
      </c>
    </row>
    <row r="217">
      <c r="A217" s="12" t="n"/>
      <c r="B217">
        <f>IF($T217="","",INDEX('Per Line'!$A$2:$A$1001,$T217)&amp;"")</f>
        <v/>
      </c>
      <c r="C217" s="12" t="n"/>
      <c r="D217">
        <f>IF($T217="","",INDEX('Per Line'!$B$2:$B$1001,$T217)&amp;"")</f>
        <v/>
      </c>
      <c r="E217">
        <f>IF($T217="","",INDEX('Per Line'!$C$2:$C$1001,$T217)&amp;"")</f>
        <v/>
      </c>
      <c r="F217">
        <f>IF($T217="","",INDEX('Per Line'!$D$2:$D$1001,$T217)&amp;"")</f>
        <v/>
      </c>
      <c r="G217">
        <f>IF($T217="","",INDEX('Per Line'!$E$2:$E$1001,$T217))</f>
        <v/>
      </c>
      <c r="H217" s="7">
        <f>IF($T217="","",G217*R217/100)</f>
        <v/>
      </c>
      <c r="I217" s="11">
        <f>IF($T217="","",INDEX('Per Line'!$Q$2:$Q$1001,$T217))</f>
        <v/>
      </c>
      <c r="J217">
        <f>IF($T217="","",Settings!$C$7)</f>
        <v/>
      </c>
      <c r="K217" s="7">
        <f>IF($T217="","",SUMIFS('Per Line'!$K$2:$K$1001,'Per Line'!$A$2:$A$1001,$B217,'Per Line'!$V$2:$V$1001,0))</f>
        <v/>
      </c>
      <c r="L217" s="7">
        <f>IF($T217="","",K217*J217)</f>
        <v/>
      </c>
      <c r="M217">
        <f>IF($T217="","",Settings!$C$6)</f>
        <v/>
      </c>
      <c r="N217" s="7">
        <f>IF($T217="","",SUMIFS('Per Line'!$K$2:$K$1001,'Per Line'!$A$2:$A$1001,$B217,'Per Line'!$V$2:$V$1001,1))</f>
        <v/>
      </c>
      <c r="O217" s="7">
        <f>IF($T217="","",N217*M217)</f>
        <v/>
      </c>
      <c r="P217" s="7">
        <f>IF($T217="","",O217+L217)</f>
        <v/>
      </c>
      <c r="Q217" s="7">
        <f>IF($T217="","",R217-P217)</f>
        <v/>
      </c>
      <c r="R217" s="7">
        <f>IF($T217="","",K217+N217)</f>
        <v/>
      </c>
      <c r="S217" s="7">
        <f>IF($T217="","",R217-P217-H217)</f>
        <v/>
      </c>
      <c r="T217" s="13">
        <f>IF(ROWS($T$2:$T217)&lt;=MAX('Per Line'!$U$2:$U$1001),MATCH(ROWS($T$2:$T217),'Per Line'!$U$2:$U$1001,0),"")</f>
        <v/>
      </c>
    </row>
    <row r="218">
      <c r="A218" s="12" t="n"/>
      <c r="B218">
        <f>IF($T218="","",INDEX('Per Line'!$A$2:$A$1001,$T218)&amp;"")</f>
        <v/>
      </c>
      <c r="C218" s="12" t="n"/>
      <c r="D218">
        <f>IF($T218="","",INDEX('Per Line'!$B$2:$B$1001,$T218)&amp;"")</f>
        <v/>
      </c>
      <c r="E218">
        <f>IF($T218="","",INDEX('Per Line'!$C$2:$C$1001,$T218)&amp;"")</f>
        <v/>
      </c>
      <c r="F218">
        <f>IF($T218="","",INDEX('Per Line'!$D$2:$D$1001,$T218)&amp;"")</f>
        <v/>
      </c>
      <c r="G218">
        <f>IF($T218="","",INDEX('Per Line'!$E$2:$E$1001,$T218))</f>
        <v/>
      </c>
      <c r="H218" s="7">
        <f>IF($T218="","",G218*R218/100)</f>
        <v/>
      </c>
      <c r="I218" s="11">
        <f>IF($T218="","",INDEX('Per Line'!$Q$2:$Q$1001,$T218))</f>
        <v/>
      </c>
      <c r="J218">
        <f>IF($T218="","",Settings!$C$7)</f>
        <v/>
      </c>
      <c r="K218" s="7">
        <f>IF($T218="","",SUMIFS('Per Line'!$K$2:$K$1001,'Per Line'!$A$2:$A$1001,$B218,'Per Line'!$V$2:$V$1001,0))</f>
        <v/>
      </c>
      <c r="L218" s="7">
        <f>IF($T218="","",K218*J218)</f>
        <v/>
      </c>
      <c r="M218">
        <f>IF($T218="","",Settings!$C$6)</f>
        <v/>
      </c>
      <c r="N218" s="7">
        <f>IF($T218="","",SUMIFS('Per Line'!$K$2:$K$1001,'Per Line'!$A$2:$A$1001,$B218,'Per Line'!$V$2:$V$1001,1))</f>
        <v/>
      </c>
      <c r="O218" s="7">
        <f>IF($T218="","",N218*M218)</f>
        <v/>
      </c>
      <c r="P218" s="7">
        <f>IF($T218="","",O218+L218)</f>
        <v/>
      </c>
      <c r="Q218" s="7">
        <f>IF($T218="","",R218-P218)</f>
        <v/>
      </c>
      <c r="R218" s="7">
        <f>IF($T218="","",K218+N218)</f>
        <v/>
      </c>
      <c r="S218" s="7">
        <f>IF($T218="","",R218-P218-H218)</f>
        <v/>
      </c>
      <c r="T218" s="13">
        <f>IF(ROWS($T$2:$T218)&lt;=MAX('Per Line'!$U$2:$U$1001),MATCH(ROWS($T$2:$T218),'Per Line'!$U$2:$U$1001,0),"")</f>
        <v/>
      </c>
    </row>
    <row r="219">
      <c r="A219" s="12" t="n"/>
      <c r="B219">
        <f>IF($T219="","",INDEX('Per Line'!$A$2:$A$1001,$T219)&amp;"")</f>
        <v/>
      </c>
      <c r="C219" s="12" t="n"/>
      <c r="D219">
        <f>IF($T219="","",INDEX('Per Line'!$B$2:$B$1001,$T219)&amp;"")</f>
        <v/>
      </c>
      <c r="E219">
        <f>IF($T219="","",INDEX('Per Line'!$C$2:$C$1001,$T219)&amp;"")</f>
        <v/>
      </c>
      <c r="F219">
        <f>IF($T219="","",INDEX('Per Line'!$D$2:$D$1001,$T219)&amp;"")</f>
        <v/>
      </c>
      <c r="G219">
        <f>IF($T219="","",INDEX('Per Line'!$E$2:$E$1001,$T219))</f>
        <v/>
      </c>
      <c r="H219" s="7">
        <f>IF($T219="","",G219*R219/100)</f>
        <v/>
      </c>
      <c r="I219" s="11">
        <f>IF($T219="","",INDEX('Per Line'!$Q$2:$Q$1001,$T219))</f>
        <v/>
      </c>
      <c r="J219">
        <f>IF($T219="","",Settings!$C$7)</f>
        <v/>
      </c>
      <c r="K219" s="7">
        <f>IF($T219="","",SUMIFS('Per Line'!$K$2:$K$1001,'Per Line'!$A$2:$A$1001,$B219,'Per Line'!$V$2:$V$1001,0))</f>
        <v/>
      </c>
      <c r="L219" s="7">
        <f>IF($T219="","",K219*J219)</f>
        <v/>
      </c>
      <c r="M219">
        <f>IF($T219="","",Settings!$C$6)</f>
        <v/>
      </c>
      <c r="N219" s="7">
        <f>IF($T219="","",SUMIFS('Per Line'!$K$2:$K$1001,'Per Line'!$A$2:$A$1001,$B219,'Per Line'!$V$2:$V$1001,1))</f>
        <v/>
      </c>
      <c r="O219" s="7">
        <f>IF($T219="","",N219*M219)</f>
        <v/>
      </c>
      <c r="P219" s="7">
        <f>IF($T219="","",O219+L219)</f>
        <v/>
      </c>
      <c r="Q219" s="7">
        <f>IF($T219="","",R219-P219)</f>
        <v/>
      </c>
      <c r="R219" s="7">
        <f>IF($T219="","",K219+N219)</f>
        <v/>
      </c>
      <c r="S219" s="7">
        <f>IF($T219="","",R219-P219-H219)</f>
        <v/>
      </c>
      <c r="T219" s="13">
        <f>IF(ROWS($T$2:$T219)&lt;=MAX('Per Line'!$U$2:$U$1001),MATCH(ROWS($T$2:$T219),'Per Line'!$U$2:$U$1001,0),"")</f>
        <v/>
      </c>
    </row>
    <row r="220">
      <c r="A220" s="12" t="n"/>
      <c r="B220">
        <f>IF($T220="","",INDEX('Per Line'!$A$2:$A$1001,$T220)&amp;"")</f>
        <v/>
      </c>
      <c r="C220" s="12" t="n"/>
      <c r="D220">
        <f>IF($T220="","",INDEX('Per Line'!$B$2:$B$1001,$T220)&amp;"")</f>
        <v/>
      </c>
      <c r="E220">
        <f>IF($T220="","",INDEX('Per Line'!$C$2:$C$1001,$T220)&amp;"")</f>
        <v/>
      </c>
      <c r="F220">
        <f>IF($T220="","",INDEX('Per Line'!$D$2:$D$1001,$T220)&amp;"")</f>
        <v/>
      </c>
      <c r="G220">
        <f>IF($T220="","",INDEX('Per Line'!$E$2:$E$1001,$T220))</f>
        <v/>
      </c>
      <c r="H220" s="7">
        <f>IF($T220="","",G220*R220/100)</f>
        <v/>
      </c>
      <c r="I220" s="11">
        <f>IF($T220="","",INDEX('Per Line'!$Q$2:$Q$1001,$T220))</f>
        <v/>
      </c>
      <c r="J220">
        <f>IF($T220="","",Settings!$C$7)</f>
        <v/>
      </c>
      <c r="K220" s="7">
        <f>IF($T220="","",SUMIFS('Per Line'!$K$2:$K$1001,'Per Line'!$A$2:$A$1001,$B220,'Per Line'!$V$2:$V$1001,0))</f>
        <v/>
      </c>
      <c r="L220" s="7">
        <f>IF($T220="","",K220*J220)</f>
        <v/>
      </c>
      <c r="M220">
        <f>IF($T220="","",Settings!$C$6)</f>
        <v/>
      </c>
      <c r="N220" s="7">
        <f>IF($T220="","",SUMIFS('Per Line'!$K$2:$K$1001,'Per Line'!$A$2:$A$1001,$B220,'Per Line'!$V$2:$V$1001,1))</f>
        <v/>
      </c>
      <c r="O220" s="7">
        <f>IF($T220="","",N220*M220)</f>
        <v/>
      </c>
      <c r="P220" s="7">
        <f>IF($T220="","",O220+L220)</f>
        <v/>
      </c>
      <c r="Q220" s="7">
        <f>IF($T220="","",R220-P220)</f>
        <v/>
      </c>
      <c r="R220" s="7">
        <f>IF($T220="","",K220+N220)</f>
        <v/>
      </c>
      <c r="S220" s="7">
        <f>IF($T220="","",R220-P220-H220)</f>
        <v/>
      </c>
      <c r="T220" s="13">
        <f>IF(ROWS($T$2:$T220)&lt;=MAX('Per Line'!$U$2:$U$1001),MATCH(ROWS($T$2:$T220),'Per Line'!$U$2:$U$1001,0),"")</f>
        <v/>
      </c>
    </row>
    <row r="221">
      <c r="A221" s="12" t="n"/>
      <c r="B221">
        <f>IF($T221="","",INDEX('Per Line'!$A$2:$A$1001,$T221)&amp;"")</f>
        <v/>
      </c>
      <c r="C221" s="12" t="n"/>
      <c r="D221">
        <f>IF($T221="","",INDEX('Per Line'!$B$2:$B$1001,$T221)&amp;"")</f>
        <v/>
      </c>
      <c r="E221">
        <f>IF($T221="","",INDEX('Per Line'!$C$2:$C$1001,$T221)&amp;"")</f>
        <v/>
      </c>
      <c r="F221">
        <f>IF($T221="","",INDEX('Per Line'!$D$2:$D$1001,$T221)&amp;"")</f>
        <v/>
      </c>
      <c r="G221">
        <f>IF($T221="","",INDEX('Per Line'!$E$2:$E$1001,$T221))</f>
        <v/>
      </c>
      <c r="H221" s="7">
        <f>IF($T221="","",G221*R221/100)</f>
        <v/>
      </c>
      <c r="I221" s="11">
        <f>IF($T221="","",INDEX('Per Line'!$Q$2:$Q$1001,$T221))</f>
        <v/>
      </c>
      <c r="J221">
        <f>IF($T221="","",Settings!$C$7)</f>
        <v/>
      </c>
      <c r="K221" s="7">
        <f>IF($T221="","",SUMIFS('Per Line'!$K$2:$K$1001,'Per Line'!$A$2:$A$1001,$B221,'Per Line'!$V$2:$V$1001,0))</f>
        <v/>
      </c>
      <c r="L221" s="7">
        <f>IF($T221="","",K221*J221)</f>
        <v/>
      </c>
      <c r="M221">
        <f>IF($T221="","",Settings!$C$6)</f>
        <v/>
      </c>
      <c r="N221" s="7">
        <f>IF($T221="","",SUMIFS('Per Line'!$K$2:$K$1001,'Per Line'!$A$2:$A$1001,$B221,'Per Line'!$V$2:$V$1001,1))</f>
        <v/>
      </c>
      <c r="O221" s="7">
        <f>IF($T221="","",N221*M221)</f>
        <v/>
      </c>
      <c r="P221" s="7">
        <f>IF($T221="","",O221+L221)</f>
        <v/>
      </c>
      <c r="Q221" s="7">
        <f>IF($T221="","",R221-P221)</f>
        <v/>
      </c>
      <c r="R221" s="7">
        <f>IF($T221="","",K221+N221)</f>
        <v/>
      </c>
      <c r="S221" s="7">
        <f>IF($T221="","",R221-P221-H221)</f>
        <v/>
      </c>
      <c r="T221" s="13">
        <f>IF(ROWS($T$2:$T221)&lt;=MAX('Per Line'!$U$2:$U$1001),MATCH(ROWS($T$2:$T221),'Per Line'!$U$2:$U$1001,0),"")</f>
        <v/>
      </c>
    </row>
    <row r="222">
      <c r="A222" s="12" t="n"/>
      <c r="B222">
        <f>IF($T222="","",INDEX('Per Line'!$A$2:$A$1001,$T222)&amp;"")</f>
        <v/>
      </c>
      <c r="C222" s="12" t="n"/>
      <c r="D222">
        <f>IF($T222="","",INDEX('Per Line'!$B$2:$B$1001,$T222)&amp;"")</f>
        <v/>
      </c>
      <c r="E222">
        <f>IF($T222="","",INDEX('Per Line'!$C$2:$C$1001,$T222)&amp;"")</f>
        <v/>
      </c>
      <c r="F222">
        <f>IF($T222="","",INDEX('Per Line'!$D$2:$D$1001,$T222)&amp;"")</f>
        <v/>
      </c>
      <c r="G222">
        <f>IF($T222="","",INDEX('Per Line'!$E$2:$E$1001,$T222))</f>
        <v/>
      </c>
      <c r="H222" s="7">
        <f>IF($T222="","",G222*R222/100)</f>
        <v/>
      </c>
      <c r="I222" s="11">
        <f>IF($T222="","",INDEX('Per Line'!$Q$2:$Q$1001,$T222))</f>
        <v/>
      </c>
      <c r="J222">
        <f>IF($T222="","",Settings!$C$7)</f>
        <v/>
      </c>
      <c r="K222" s="7">
        <f>IF($T222="","",SUMIFS('Per Line'!$K$2:$K$1001,'Per Line'!$A$2:$A$1001,$B222,'Per Line'!$V$2:$V$1001,0))</f>
        <v/>
      </c>
      <c r="L222" s="7">
        <f>IF($T222="","",K222*J222)</f>
        <v/>
      </c>
      <c r="M222">
        <f>IF($T222="","",Settings!$C$6)</f>
        <v/>
      </c>
      <c r="N222" s="7">
        <f>IF($T222="","",SUMIFS('Per Line'!$K$2:$K$1001,'Per Line'!$A$2:$A$1001,$B222,'Per Line'!$V$2:$V$1001,1))</f>
        <v/>
      </c>
      <c r="O222" s="7">
        <f>IF($T222="","",N222*M222)</f>
        <v/>
      </c>
      <c r="P222" s="7">
        <f>IF($T222="","",O222+L222)</f>
        <v/>
      </c>
      <c r="Q222" s="7">
        <f>IF($T222="","",R222-P222)</f>
        <v/>
      </c>
      <c r="R222" s="7">
        <f>IF($T222="","",K222+N222)</f>
        <v/>
      </c>
      <c r="S222" s="7">
        <f>IF($T222="","",R222-P222-H222)</f>
        <v/>
      </c>
      <c r="T222" s="13">
        <f>IF(ROWS($T$2:$T222)&lt;=MAX('Per Line'!$U$2:$U$1001),MATCH(ROWS($T$2:$T222),'Per Line'!$U$2:$U$1001,0),"")</f>
        <v/>
      </c>
    </row>
    <row r="223">
      <c r="A223" s="12" t="n"/>
      <c r="B223">
        <f>IF($T223="","",INDEX('Per Line'!$A$2:$A$1001,$T223)&amp;"")</f>
        <v/>
      </c>
      <c r="C223" s="12" t="n"/>
      <c r="D223">
        <f>IF($T223="","",INDEX('Per Line'!$B$2:$B$1001,$T223)&amp;"")</f>
        <v/>
      </c>
      <c r="E223">
        <f>IF($T223="","",INDEX('Per Line'!$C$2:$C$1001,$T223)&amp;"")</f>
        <v/>
      </c>
      <c r="F223">
        <f>IF($T223="","",INDEX('Per Line'!$D$2:$D$1001,$T223)&amp;"")</f>
        <v/>
      </c>
      <c r="G223">
        <f>IF($T223="","",INDEX('Per Line'!$E$2:$E$1001,$T223))</f>
        <v/>
      </c>
      <c r="H223" s="7">
        <f>IF($T223="","",G223*R223/100)</f>
        <v/>
      </c>
      <c r="I223" s="11">
        <f>IF($T223="","",INDEX('Per Line'!$Q$2:$Q$1001,$T223))</f>
        <v/>
      </c>
      <c r="J223">
        <f>IF($T223="","",Settings!$C$7)</f>
        <v/>
      </c>
      <c r="K223" s="7">
        <f>IF($T223="","",SUMIFS('Per Line'!$K$2:$K$1001,'Per Line'!$A$2:$A$1001,$B223,'Per Line'!$V$2:$V$1001,0))</f>
        <v/>
      </c>
      <c r="L223" s="7">
        <f>IF($T223="","",K223*J223)</f>
        <v/>
      </c>
      <c r="M223">
        <f>IF($T223="","",Settings!$C$6)</f>
        <v/>
      </c>
      <c r="N223" s="7">
        <f>IF($T223="","",SUMIFS('Per Line'!$K$2:$K$1001,'Per Line'!$A$2:$A$1001,$B223,'Per Line'!$V$2:$V$1001,1))</f>
        <v/>
      </c>
      <c r="O223" s="7">
        <f>IF($T223="","",N223*M223)</f>
        <v/>
      </c>
      <c r="P223" s="7">
        <f>IF($T223="","",O223+L223)</f>
        <v/>
      </c>
      <c r="Q223" s="7">
        <f>IF($T223="","",R223-P223)</f>
        <v/>
      </c>
      <c r="R223" s="7">
        <f>IF($T223="","",K223+N223)</f>
        <v/>
      </c>
      <c r="S223" s="7">
        <f>IF($T223="","",R223-P223-H223)</f>
        <v/>
      </c>
      <c r="T223" s="13">
        <f>IF(ROWS($T$2:$T223)&lt;=MAX('Per Line'!$U$2:$U$1001),MATCH(ROWS($T$2:$T223),'Per Line'!$U$2:$U$1001,0),"")</f>
        <v/>
      </c>
    </row>
    <row r="224">
      <c r="A224" s="12" t="n"/>
      <c r="B224">
        <f>IF($T224="","",INDEX('Per Line'!$A$2:$A$1001,$T224)&amp;"")</f>
        <v/>
      </c>
      <c r="C224" s="12" t="n"/>
      <c r="D224">
        <f>IF($T224="","",INDEX('Per Line'!$B$2:$B$1001,$T224)&amp;"")</f>
        <v/>
      </c>
      <c r="E224">
        <f>IF($T224="","",INDEX('Per Line'!$C$2:$C$1001,$T224)&amp;"")</f>
        <v/>
      </c>
      <c r="F224">
        <f>IF($T224="","",INDEX('Per Line'!$D$2:$D$1001,$T224)&amp;"")</f>
        <v/>
      </c>
      <c r="G224">
        <f>IF($T224="","",INDEX('Per Line'!$E$2:$E$1001,$T224))</f>
        <v/>
      </c>
      <c r="H224" s="7">
        <f>IF($T224="","",G224*R224/100)</f>
        <v/>
      </c>
      <c r="I224" s="11">
        <f>IF($T224="","",INDEX('Per Line'!$Q$2:$Q$1001,$T224))</f>
        <v/>
      </c>
      <c r="J224">
        <f>IF($T224="","",Settings!$C$7)</f>
        <v/>
      </c>
      <c r="K224" s="7">
        <f>IF($T224="","",SUMIFS('Per Line'!$K$2:$K$1001,'Per Line'!$A$2:$A$1001,$B224,'Per Line'!$V$2:$V$1001,0))</f>
        <v/>
      </c>
      <c r="L224" s="7">
        <f>IF($T224="","",K224*J224)</f>
        <v/>
      </c>
      <c r="M224">
        <f>IF($T224="","",Settings!$C$6)</f>
        <v/>
      </c>
      <c r="N224" s="7">
        <f>IF($T224="","",SUMIFS('Per Line'!$K$2:$K$1001,'Per Line'!$A$2:$A$1001,$B224,'Per Line'!$V$2:$V$1001,1))</f>
        <v/>
      </c>
      <c r="O224" s="7">
        <f>IF($T224="","",N224*M224)</f>
        <v/>
      </c>
      <c r="P224" s="7">
        <f>IF($T224="","",O224+L224)</f>
        <v/>
      </c>
      <c r="Q224" s="7">
        <f>IF($T224="","",R224-P224)</f>
        <v/>
      </c>
      <c r="R224" s="7">
        <f>IF($T224="","",K224+N224)</f>
        <v/>
      </c>
      <c r="S224" s="7">
        <f>IF($T224="","",R224-P224-H224)</f>
        <v/>
      </c>
      <c r="T224" s="13">
        <f>IF(ROWS($T$2:$T224)&lt;=MAX('Per Line'!$U$2:$U$1001),MATCH(ROWS($T$2:$T224),'Per Line'!$U$2:$U$1001,0),"")</f>
        <v/>
      </c>
    </row>
    <row r="225">
      <c r="A225" s="12" t="n"/>
      <c r="B225">
        <f>IF($T225="","",INDEX('Per Line'!$A$2:$A$1001,$T225)&amp;"")</f>
        <v/>
      </c>
      <c r="C225" s="12" t="n"/>
      <c r="D225">
        <f>IF($T225="","",INDEX('Per Line'!$B$2:$B$1001,$T225)&amp;"")</f>
        <v/>
      </c>
      <c r="E225">
        <f>IF($T225="","",INDEX('Per Line'!$C$2:$C$1001,$T225)&amp;"")</f>
        <v/>
      </c>
      <c r="F225">
        <f>IF($T225="","",INDEX('Per Line'!$D$2:$D$1001,$T225)&amp;"")</f>
        <v/>
      </c>
      <c r="G225">
        <f>IF($T225="","",INDEX('Per Line'!$E$2:$E$1001,$T225))</f>
        <v/>
      </c>
      <c r="H225" s="7">
        <f>IF($T225="","",G225*R225/100)</f>
        <v/>
      </c>
      <c r="I225" s="11">
        <f>IF($T225="","",INDEX('Per Line'!$Q$2:$Q$1001,$T225))</f>
        <v/>
      </c>
      <c r="J225">
        <f>IF($T225="","",Settings!$C$7)</f>
        <v/>
      </c>
      <c r="K225" s="7">
        <f>IF($T225="","",SUMIFS('Per Line'!$K$2:$K$1001,'Per Line'!$A$2:$A$1001,$B225,'Per Line'!$V$2:$V$1001,0))</f>
        <v/>
      </c>
      <c r="L225" s="7">
        <f>IF($T225="","",K225*J225)</f>
        <v/>
      </c>
      <c r="M225">
        <f>IF($T225="","",Settings!$C$6)</f>
        <v/>
      </c>
      <c r="N225" s="7">
        <f>IF($T225="","",SUMIFS('Per Line'!$K$2:$K$1001,'Per Line'!$A$2:$A$1001,$B225,'Per Line'!$V$2:$V$1001,1))</f>
        <v/>
      </c>
      <c r="O225" s="7">
        <f>IF($T225="","",N225*M225)</f>
        <v/>
      </c>
      <c r="P225" s="7">
        <f>IF($T225="","",O225+L225)</f>
        <v/>
      </c>
      <c r="Q225" s="7">
        <f>IF($T225="","",R225-P225)</f>
        <v/>
      </c>
      <c r="R225" s="7">
        <f>IF($T225="","",K225+N225)</f>
        <v/>
      </c>
      <c r="S225" s="7">
        <f>IF($T225="","",R225-P225-H225)</f>
        <v/>
      </c>
      <c r="T225" s="13">
        <f>IF(ROWS($T$2:$T225)&lt;=MAX('Per Line'!$U$2:$U$1001),MATCH(ROWS($T$2:$T225),'Per Line'!$U$2:$U$1001,0),"")</f>
        <v/>
      </c>
    </row>
    <row r="226">
      <c r="A226" s="12" t="n"/>
      <c r="B226">
        <f>IF($T226="","",INDEX('Per Line'!$A$2:$A$1001,$T226)&amp;"")</f>
        <v/>
      </c>
      <c r="C226" s="12" t="n"/>
      <c r="D226">
        <f>IF($T226="","",INDEX('Per Line'!$B$2:$B$1001,$T226)&amp;"")</f>
        <v/>
      </c>
      <c r="E226">
        <f>IF($T226="","",INDEX('Per Line'!$C$2:$C$1001,$T226)&amp;"")</f>
        <v/>
      </c>
      <c r="F226">
        <f>IF($T226="","",INDEX('Per Line'!$D$2:$D$1001,$T226)&amp;"")</f>
        <v/>
      </c>
      <c r="G226">
        <f>IF($T226="","",INDEX('Per Line'!$E$2:$E$1001,$T226))</f>
        <v/>
      </c>
      <c r="H226" s="7">
        <f>IF($T226="","",G226*R226/100)</f>
        <v/>
      </c>
      <c r="I226" s="11">
        <f>IF($T226="","",INDEX('Per Line'!$Q$2:$Q$1001,$T226))</f>
        <v/>
      </c>
      <c r="J226">
        <f>IF($T226="","",Settings!$C$7)</f>
        <v/>
      </c>
      <c r="K226" s="7">
        <f>IF($T226="","",SUMIFS('Per Line'!$K$2:$K$1001,'Per Line'!$A$2:$A$1001,$B226,'Per Line'!$V$2:$V$1001,0))</f>
        <v/>
      </c>
      <c r="L226" s="7">
        <f>IF($T226="","",K226*J226)</f>
        <v/>
      </c>
      <c r="M226">
        <f>IF($T226="","",Settings!$C$6)</f>
        <v/>
      </c>
      <c r="N226" s="7">
        <f>IF($T226="","",SUMIFS('Per Line'!$K$2:$K$1001,'Per Line'!$A$2:$A$1001,$B226,'Per Line'!$V$2:$V$1001,1))</f>
        <v/>
      </c>
      <c r="O226" s="7">
        <f>IF($T226="","",N226*M226)</f>
        <v/>
      </c>
      <c r="P226" s="7">
        <f>IF($T226="","",O226+L226)</f>
        <v/>
      </c>
      <c r="Q226" s="7">
        <f>IF($T226="","",R226-P226)</f>
        <v/>
      </c>
      <c r="R226" s="7">
        <f>IF($T226="","",K226+N226)</f>
        <v/>
      </c>
      <c r="S226" s="7">
        <f>IF($T226="","",R226-P226-H226)</f>
        <v/>
      </c>
      <c r="T226" s="13">
        <f>IF(ROWS($T$2:$T226)&lt;=MAX('Per Line'!$U$2:$U$1001),MATCH(ROWS($T$2:$T226),'Per Line'!$U$2:$U$1001,0),"")</f>
        <v/>
      </c>
    </row>
    <row r="227">
      <c r="A227" s="12" t="n"/>
      <c r="B227">
        <f>IF($T227="","",INDEX('Per Line'!$A$2:$A$1001,$T227)&amp;"")</f>
        <v/>
      </c>
      <c r="C227" s="12" t="n"/>
      <c r="D227">
        <f>IF($T227="","",INDEX('Per Line'!$B$2:$B$1001,$T227)&amp;"")</f>
        <v/>
      </c>
      <c r="E227">
        <f>IF($T227="","",INDEX('Per Line'!$C$2:$C$1001,$T227)&amp;"")</f>
        <v/>
      </c>
      <c r="F227">
        <f>IF($T227="","",INDEX('Per Line'!$D$2:$D$1001,$T227)&amp;"")</f>
        <v/>
      </c>
      <c r="G227">
        <f>IF($T227="","",INDEX('Per Line'!$E$2:$E$1001,$T227))</f>
        <v/>
      </c>
      <c r="H227" s="7">
        <f>IF($T227="","",G227*R227/100)</f>
        <v/>
      </c>
      <c r="I227" s="11">
        <f>IF($T227="","",INDEX('Per Line'!$Q$2:$Q$1001,$T227))</f>
        <v/>
      </c>
      <c r="J227">
        <f>IF($T227="","",Settings!$C$7)</f>
        <v/>
      </c>
      <c r="K227" s="7">
        <f>IF($T227="","",SUMIFS('Per Line'!$K$2:$K$1001,'Per Line'!$A$2:$A$1001,$B227,'Per Line'!$V$2:$V$1001,0))</f>
        <v/>
      </c>
      <c r="L227" s="7">
        <f>IF($T227="","",K227*J227)</f>
        <v/>
      </c>
      <c r="M227">
        <f>IF($T227="","",Settings!$C$6)</f>
        <v/>
      </c>
      <c r="N227" s="7">
        <f>IF($T227="","",SUMIFS('Per Line'!$K$2:$K$1001,'Per Line'!$A$2:$A$1001,$B227,'Per Line'!$V$2:$V$1001,1))</f>
        <v/>
      </c>
      <c r="O227" s="7">
        <f>IF($T227="","",N227*M227)</f>
        <v/>
      </c>
      <c r="P227" s="7">
        <f>IF($T227="","",O227+L227)</f>
        <v/>
      </c>
      <c r="Q227" s="7">
        <f>IF($T227="","",R227-P227)</f>
        <v/>
      </c>
      <c r="R227" s="7">
        <f>IF($T227="","",K227+N227)</f>
        <v/>
      </c>
      <c r="S227" s="7">
        <f>IF($T227="","",R227-P227-H227)</f>
        <v/>
      </c>
      <c r="T227" s="13">
        <f>IF(ROWS($T$2:$T227)&lt;=MAX('Per Line'!$U$2:$U$1001),MATCH(ROWS($T$2:$T227),'Per Line'!$U$2:$U$1001,0),"")</f>
        <v/>
      </c>
    </row>
    <row r="228">
      <c r="A228" s="12" t="n"/>
      <c r="B228">
        <f>IF($T228="","",INDEX('Per Line'!$A$2:$A$1001,$T228)&amp;"")</f>
        <v/>
      </c>
      <c r="C228" s="12" t="n"/>
      <c r="D228">
        <f>IF($T228="","",INDEX('Per Line'!$B$2:$B$1001,$T228)&amp;"")</f>
        <v/>
      </c>
      <c r="E228">
        <f>IF($T228="","",INDEX('Per Line'!$C$2:$C$1001,$T228)&amp;"")</f>
        <v/>
      </c>
      <c r="F228">
        <f>IF($T228="","",INDEX('Per Line'!$D$2:$D$1001,$T228)&amp;"")</f>
        <v/>
      </c>
      <c r="G228">
        <f>IF($T228="","",INDEX('Per Line'!$E$2:$E$1001,$T228))</f>
        <v/>
      </c>
      <c r="H228" s="7">
        <f>IF($T228="","",G228*R228/100)</f>
        <v/>
      </c>
      <c r="I228" s="11">
        <f>IF($T228="","",INDEX('Per Line'!$Q$2:$Q$1001,$T228))</f>
        <v/>
      </c>
      <c r="J228">
        <f>IF($T228="","",Settings!$C$7)</f>
        <v/>
      </c>
      <c r="K228" s="7">
        <f>IF($T228="","",SUMIFS('Per Line'!$K$2:$K$1001,'Per Line'!$A$2:$A$1001,$B228,'Per Line'!$V$2:$V$1001,0))</f>
        <v/>
      </c>
      <c r="L228" s="7">
        <f>IF($T228="","",K228*J228)</f>
        <v/>
      </c>
      <c r="M228">
        <f>IF($T228="","",Settings!$C$6)</f>
        <v/>
      </c>
      <c r="N228" s="7">
        <f>IF($T228="","",SUMIFS('Per Line'!$K$2:$K$1001,'Per Line'!$A$2:$A$1001,$B228,'Per Line'!$V$2:$V$1001,1))</f>
        <v/>
      </c>
      <c r="O228" s="7">
        <f>IF($T228="","",N228*M228)</f>
        <v/>
      </c>
      <c r="P228" s="7">
        <f>IF($T228="","",O228+L228)</f>
        <v/>
      </c>
      <c r="Q228" s="7">
        <f>IF($T228="","",R228-P228)</f>
        <v/>
      </c>
      <c r="R228" s="7">
        <f>IF($T228="","",K228+N228)</f>
        <v/>
      </c>
      <c r="S228" s="7">
        <f>IF($T228="","",R228-P228-H228)</f>
        <v/>
      </c>
      <c r="T228" s="13">
        <f>IF(ROWS($T$2:$T228)&lt;=MAX('Per Line'!$U$2:$U$1001),MATCH(ROWS($T$2:$T228),'Per Line'!$U$2:$U$1001,0),"")</f>
        <v/>
      </c>
    </row>
    <row r="229">
      <c r="A229" s="12" t="n"/>
      <c r="B229">
        <f>IF($T229="","",INDEX('Per Line'!$A$2:$A$1001,$T229)&amp;"")</f>
        <v/>
      </c>
      <c r="C229" s="12" t="n"/>
      <c r="D229">
        <f>IF($T229="","",INDEX('Per Line'!$B$2:$B$1001,$T229)&amp;"")</f>
        <v/>
      </c>
      <c r="E229">
        <f>IF($T229="","",INDEX('Per Line'!$C$2:$C$1001,$T229)&amp;"")</f>
        <v/>
      </c>
      <c r="F229">
        <f>IF($T229="","",INDEX('Per Line'!$D$2:$D$1001,$T229)&amp;"")</f>
        <v/>
      </c>
      <c r="G229">
        <f>IF($T229="","",INDEX('Per Line'!$E$2:$E$1001,$T229))</f>
        <v/>
      </c>
      <c r="H229" s="7">
        <f>IF($T229="","",G229*R229/100)</f>
        <v/>
      </c>
      <c r="I229" s="11">
        <f>IF($T229="","",INDEX('Per Line'!$Q$2:$Q$1001,$T229))</f>
        <v/>
      </c>
      <c r="J229">
        <f>IF($T229="","",Settings!$C$7)</f>
        <v/>
      </c>
      <c r="K229" s="7">
        <f>IF($T229="","",SUMIFS('Per Line'!$K$2:$K$1001,'Per Line'!$A$2:$A$1001,$B229,'Per Line'!$V$2:$V$1001,0))</f>
        <v/>
      </c>
      <c r="L229" s="7">
        <f>IF($T229="","",K229*J229)</f>
        <v/>
      </c>
      <c r="M229">
        <f>IF($T229="","",Settings!$C$6)</f>
        <v/>
      </c>
      <c r="N229" s="7">
        <f>IF($T229="","",SUMIFS('Per Line'!$K$2:$K$1001,'Per Line'!$A$2:$A$1001,$B229,'Per Line'!$V$2:$V$1001,1))</f>
        <v/>
      </c>
      <c r="O229" s="7">
        <f>IF($T229="","",N229*M229)</f>
        <v/>
      </c>
      <c r="P229" s="7">
        <f>IF($T229="","",O229+L229)</f>
        <v/>
      </c>
      <c r="Q229" s="7">
        <f>IF($T229="","",R229-P229)</f>
        <v/>
      </c>
      <c r="R229" s="7">
        <f>IF($T229="","",K229+N229)</f>
        <v/>
      </c>
      <c r="S229" s="7">
        <f>IF($T229="","",R229-P229-H229)</f>
        <v/>
      </c>
      <c r="T229" s="13">
        <f>IF(ROWS($T$2:$T229)&lt;=MAX('Per Line'!$U$2:$U$1001),MATCH(ROWS($T$2:$T229),'Per Line'!$U$2:$U$1001,0),"")</f>
        <v/>
      </c>
    </row>
    <row r="230">
      <c r="A230" s="12" t="n"/>
      <c r="B230">
        <f>IF($T230="","",INDEX('Per Line'!$A$2:$A$1001,$T230)&amp;"")</f>
        <v/>
      </c>
      <c r="C230" s="12" t="n"/>
      <c r="D230">
        <f>IF($T230="","",INDEX('Per Line'!$B$2:$B$1001,$T230)&amp;"")</f>
        <v/>
      </c>
      <c r="E230">
        <f>IF($T230="","",INDEX('Per Line'!$C$2:$C$1001,$T230)&amp;"")</f>
        <v/>
      </c>
      <c r="F230">
        <f>IF($T230="","",INDEX('Per Line'!$D$2:$D$1001,$T230)&amp;"")</f>
        <v/>
      </c>
      <c r="G230">
        <f>IF($T230="","",INDEX('Per Line'!$E$2:$E$1001,$T230))</f>
        <v/>
      </c>
      <c r="H230" s="7">
        <f>IF($T230="","",G230*R230/100)</f>
        <v/>
      </c>
      <c r="I230" s="11">
        <f>IF($T230="","",INDEX('Per Line'!$Q$2:$Q$1001,$T230))</f>
        <v/>
      </c>
      <c r="J230">
        <f>IF($T230="","",Settings!$C$7)</f>
        <v/>
      </c>
      <c r="K230" s="7">
        <f>IF($T230="","",SUMIFS('Per Line'!$K$2:$K$1001,'Per Line'!$A$2:$A$1001,$B230,'Per Line'!$V$2:$V$1001,0))</f>
        <v/>
      </c>
      <c r="L230" s="7">
        <f>IF($T230="","",K230*J230)</f>
        <v/>
      </c>
      <c r="M230">
        <f>IF($T230="","",Settings!$C$6)</f>
        <v/>
      </c>
      <c r="N230" s="7">
        <f>IF($T230="","",SUMIFS('Per Line'!$K$2:$K$1001,'Per Line'!$A$2:$A$1001,$B230,'Per Line'!$V$2:$V$1001,1))</f>
        <v/>
      </c>
      <c r="O230" s="7">
        <f>IF($T230="","",N230*M230)</f>
        <v/>
      </c>
      <c r="P230" s="7">
        <f>IF($T230="","",O230+L230)</f>
        <v/>
      </c>
      <c r="Q230" s="7">
        <f>IF($T230="","",R230-P230)</f>
        <v/>
      </c>
      <c r="R230" s="7">
        <f>IF($T230="","",K230+N230)</f>
        <v/>
      </c>
      <c r="S230" s="7">
        <f>IF($T230="","",R230-P230-H230)</f>
        <v/>
      </c>
      <c r="T230" s="13">
        <f>IF(ROWS($T$2:$T230)&lt;=MAX('Per Line'!$U$2:$U$1001),MATCH(ROWS($T$2:$T230),'Per Line'!$U$2:$U$1001,0),"")</f>
        <v/>
      </c>
    </row>
    <row r="231">
      <c r="A231" s="12" t="n"/>
      <c r="B231">
        <f>IF($T231="","",INDEX('Per Line'!$A$2:$A$1001,$T231)&amp;"")</f>
        <v/>
      </c>
      <c r="C231" s="12" t="n"/>
      <c r="D231">
        <f>IF($T231="","",INDEX('Per Line'!$B$2:$B$1001,$T231)&amp;"")</f>
        <v/>
      </c>
      <c r="E231">
        <f>IF($T231="","",INDEX('Per Line'!$C$2:$C$1001,$T231)&amp;"")</f>
        <v/>
      </c>
      <c r="F231">
        <f>IF($T231="","",INDEX('Per Line'!$D$2:$D$1001,$T231)&amp;"")</f>
        <v/>
      </c>
      <c r="G231">
        <f>IF($T231="","",INDEX('Per Line'!$E$2:$E$1001,$T231))</f>
        <v/>
      </c>
      <c r="H231" s="7">
        <f>IF($T231="","",G231*R231/100)</f>
        <v/>
      </c>
      <c r="I231" s="11">
        <f>IF($T231="","",INDEX('Per Line'!$Q$2:$Q$1001,$T231))</f>
        <v/>
      </c>
      <c r="J231">
        <f>IF($T231="","",Settings!$C$7)</f>
        <v/>
      </c>
      <c r="K231" s="7">
        <f>IF($T231="","",SUMIFS('Per Line'!$K$2:$K$1001,'Per Line'!$A$2:$A$1001,$B231,'Per Line'!$V$2:$V$1001,0))</f>
        <v/>
      </c>
      <c r="L231" s="7">
        <f>IF($T231="","",K231*J231)</f>
        <v/>
      </c>
      <c r="M231">
        <f>IF($T231="","",Settings!$C$6)</f>
        <v/>
      </c>
      <c r="N231" s="7">
        <f>IF($T231="","",SUMIFS('Per Line'!$K$2:$K$1001,'Per Line'!$A$2:$A$1001,$B231,'Per Line'!$V$2:$V$1001,1))</f>
        <v/>
      </c>
      <c r="O231" s="7">
        <f>IF($T231="","",N231*M231)</f>
        <v/>
      </c>
      <c r="P231" s="7">
        <f>IF($T231="","",O231+L231)</f>
        <v/>
      </c>
      <c r="Q231" s="7">
        <f>IF($T231="","",R231-P231)</f>
        <v/>
      </c>
      <c r="R231" s="7">
        <f>IF($T231="","",K231+N231)</f>
        <v/>
      </c>
      <c r="S231" s="7">
        <f>IF($T231="","",R231-P231-H231)</f>
        <v/>
      </c>
      <c r="T231" s="13">
        <f>IF(ROWS($T$2:$T231)&lt;=MAX('Per Line'!$U$2:$U$1001),MATCH(ROWS($T$2:$T231),'Per Line'!$U$2:$U$1001,0),"")</f>
        <v/>
      </c>
    </row>
    <row r="232">
      <c r="A232" s="12" t="n"/>
      <c r="B232">
        <f>IF($T232="","",INDEX('Per Line'!$A$2:$A$1001,$T232)&amp;"")</f>
        <v/>
      </c>
      <c r="C232" s="12" t="n"/>
      <c r="D232">
        <f>IF($T232="","",INDEX('Per Line'!$B$2:$B$1001,$T232)&amp;"")</f>
        <v/>
      </c>
      <c r="E232">
        <f>IF($T232="","",INDEX('Per Line'!$C$2:$C$1001,$T232)&amp;"")</f>
        <v/>
      </c>
      <c r="F232">
        <f>IF($T232="","",INDEX('Per Line'!$D$2:$D$1001,$T232)&amp;"")</f>
        <v/>
      </c>
      <c r="G232">
        <f>IF($T232="","",INDEX('Per Line'!$E$2:$E$1001,$T232))</f>
        <v/>
      </c>
      <c r="H232" s="7">
        <f>IF($T232="","",G232*R232/100)</f>
        <v/>
      </c>
      <c r="I232" s="11">
        <f>IF($T232="","",INDEX('Per Line'!$Q$2:$Q$1001,$T232))</f>
        <v/>
      </c>
      <c r="J232">
        <f>IF($T232="","",Settings!$C$7)</f>
        <v/>
      </c>
      <c r="K232" s="7">
        <f>IF($T232="","",SUMIFS('Per Line'!$K$2:$K$1001,'Per Line'!$A$2:$A$1001,$B232,'Per Line'!$V$2:$V$1001,0))</f>
        <v/>
      </c>
      <c r="L232" s="7">
        <f>IF($T232="","",K232*J232)</f>
        <v/>
      </c>
      <c r="M232">
        <f>IF($T232="","",Settings!$C$6)</f>
        <v/>
      </c>
      <c r="N232" s="7">
        <f>IF($T232="","",SUMIFS('Per Line'!$K$2:$K$1001,'Per Line'!$A$2:$A$1001,$B232,'Per Line'!$V$2:$V$1001,1))</f>
        <v/>
      </c>
      <c r="O232" s="7">
        <f>IF($T232="","",N232*M232)</f>
        <v/>
      </c>
      <c r="P232" s="7">
        <f>IF($T232="","",O232+L232)</f>
        <v/>
      </c>
      <c r="Q232" s="7">
        <f>IF($T232="","",R232-P232)</f>
        <v/>
      </c>
      <c r="R232" s="7">
        <f>IF($T232="","",K232+N232)</f>
        <v/>
      </c>
      <c r="S232" s="7">
        <f>IF($T232="","",R232-P232-H232)</f>
        <v/>
      </c>
      <c r="T232" s="13">
        <f>IF(ROWS($T$2:$T232)&lt;=MAX('Per Line'!$U$2:$U$1001),MATCH(ROWS($T$2:$T232),'Per Line'!$U$2:$U$1001,0),"")</f>
        <v/>
      </c>
    </row>
    <row r="233">
      <c r="A233" s="12" t="n"/>
      <c r="B233">
        <f>IF($T233="","",INDEX('Per Line'!$A$2:$A$1001,$T233)&amp;"")</f>
        <v/>
      </c>
      <c r="C233" s="12" t="n"/>
      <c r="D233">
        <f>IF($T233="","",INDEX('Per Line'!$B$2:$B$1001,$T233)&amp;"")</f>
        <v/>
      </c>
      <c r="E233">
        <f>IF($T233="","",INDEX('Per Line'!$C$2:$C$1001,$T233)&amp;"")</f>
        <v/>
      </c>
      <c r="F233">
        <f>IF($T233="","",INDEX('Per Line'!$D$2:$D$1001,$T233)&amp;"")</f>
        <v/>
      </c>
      <c r="G233">
        <f>IF($T233="","",INDEX('Per Line'!$E$2:$E$1001,$T233))</f>
        <v/>
      </c>
      <c r="H233" s="7">
        <f>IF($T233="","",G233*R233/100)</f>
        <v/>
      </c>
      <c r="I233" s="11">
        <f>IF($T233="","",INDEX('Per Line'!$Q$2:$Q$1001,$T233))</f>
        <v/>
      </c>
      <c r="J233">
        <f>IF($T233="","",Settings!$C$7)</f>
        <v/>
      </c>
      <c r="K233" s="7">
        <f>IF($T233="","",SUMIFS('Per Line'!$K$2:$K$1001,'Per Line'!$A$2:$A$1001,$B233,'Per Line'!$V$2:$V$1001,0))</f>
        <v/>
      </c>
      <c r="L233" s="7">
        <f>IF($T233="","",K233*J233)</f>
        <v/>
      </c>
      <c r="M233">
        <f>IF($T233="","",Settings!$C$6)</f>
        <v/>
      </c>
      <c r="N233" s="7">
        <f>IF($T233="","",SUMIFS('Per Line'!$K$2:$K$1001,'Per Line'!$A$2:$A$1001,$B233,'Per Line'!$V$2:$V$1001,1))</f>
        <v/>
      </c>
      <c r="O233" s="7">
        <f>IF($T233="","",N233*M233)</f>
        <v/>
      </c>
      <c r="P233" s="7">
        <f>IF($T233="","",O233+L233)</f>
        <v/>
      </c>
      <c r="Q233" s="7">
        <f>IF($T233="","",R233-P233)</f>
        <v/>
      </c>
      <c r="R233" s="7">
        <f>IF($T233="","",K233+N233)</f>
        <v/>
      </c>
      <c r="S233" s="7">
        <f>IF($T233="","",R233-P233-H233)</f>
        <v/>
      </c>
      <c r="T233" s="13">
        <f>IF(ROWS($T$2:$T233)&lt;=MAX('Per Line'!$U$2:$U$1001),MATCH(ROWS($T$2:$T233),'Per Line'!$U$2:$U$1001,0),"")</f>
        <v/>
      </c>
    </row>
    <row r="234">
      <c r="A234" s="12" t="n"/>
      <c r="B234">
        <f>IF($T234="","",INDEX('Per Line'!$A$2:$A$1001,$T234)&amp;"")</f>
        <v/>
      </c>
      <c r="C234" s="12" t="n"/>
      <c r="D234">
        <f>IF($T234="","",INDEX('Per Line'!$B$2:$B$1001,$T234)&amp;"")</f>
        <v/>
      </c>
      <c r="E234">
        <f>IF($T234="","",INDEX('Per Line'!$C$2:$C$1001,$T234)&amp;"")</f>
        <v/>
      </c>
      <c r="F234">
        <f>IF($T234="","",INDEX('Per Line'!$D$2:$D$1001,$T234)&amp;"")</f>
        <v/>
      </c>
      <c r="G234">
        <f>IF($T234="","",INDEX('Per Line'!$E$2:$E$1001,$T234))</f>
        <v/>
      </c>
      <c r="H234" s="7">
        <f>IF($T234="","",G234*R234/100)</f>
        <v/>
      </c>
      <c r="I234" s="11">
        <f>IF($T234="","",INDEX('Per Line'!$Q$2:$Q$1001,$T234))</f>
        <v/>
      </c>
      <c r="J234">
        <f>IF($T234="","",Settings!$C$7)</f>
        <v/>
      </c>
      <c r="K234" s="7">
        <f>IF($T234="","",SUMIFS('Per Line'!$K$2:$K$1001,'Per Line'!$A$2:$A$1001,$B234,'Per Line'!$V$2:$V$1001,0))</f>
        <v/>
      </c>
      <c r="L234" s="7">
        <f>IF($T234="","",K234*J234)</f>
        <v/>
      </c>
      <c r="M234">
        <f>IF($T234="","",Settings!$C$6)</f>
        <v/>
      </c>
      <c r="N234" s="7">
        <f>IF($T234="","",SUMIFS('Per Line'!$K$2:$K$1001,'Per Line'!$A$2:$A$1001,$B234,'Per Line'!$V$2:$V$1001,1))</f>
        <v/>
      </c>
      <c r="O234" s="7">
        <f>IF($T234="","",N234*M234)</f>
        <v/>
      </c>
      <c r="P234" s="7">
        <f>IF($T234="","",O234+L234)</f>
        <v/>
      </c>
      <c r="Q234" s="7">
        <f>IF($T234="","",R234-P234)</f>
        <v/>
      </c>
      <c r="R234" s="7">
        <f>IF($T234="","",K234+N234)</f>
        <v/>
      </c>
      <c r="S234" s="7">
        <f>IF($T234="","",R234-P234-H234)</f>
        <v/>
      </c>
      <c r="T234" s="13">
        <f>IF(ROWS($T$2:$T234)&lt;=MAX('Per Line'!$U$2:$U$1001),MATCH(ROWS($T$2:$T234),'Per Line'!$U$2:$U$1001,0),"")</f>
        <v/>
      </c>
    </row>
    <row r="235">
      <c r="A235" s="12" t="n"/>
      <c r="B235">
        <f>IF($T235="","",INDEX('Per Line'!$A$2:$A$1001,$T235)&amp;"")</f>
        <v/>
      </c>
      <c r="C235" s="12" t="n"/>
      <c r="D235">
        <f>IF($T235="","",INDEX('Per Line'!$B$2:$B$1001,$T235)&amp;"")</f>
        <v/>
      </c>
      <c r="E235">
        <f>IF($T235="","",INDEX('Per Line'!$C$2:$C$1001,$T235)&amp;"")</f>
        <v/>
      </c>
      <c r="F235">
        <f>IF($T235="","",INDEX('Per Line'!$D$2:$D$1001,$T235)&amp;"")</f>
        <v/>
      </c>
      <c r="G235">
        <f>IF($T235="","",INDEX('Per Line'!$E$2:$E$1001,$T235))</f>
        <v/>
      </c>
      <c r="H235" s="7">
        <f>IF($T235="","",G235*R235/100)</f>
        <v/>
      </c>
      <c r="I235" s="11">
        <f>IF($T235="","",INDEX('Per Line'!$Q$2:$Q$1001,$T235))</f>
        <v/>
      </c>
      <c r="J235">
        <f>IF($T235="","",Settings!$C$7)</f>
        <v/>
      </c>
      <c r="K235" s="7">
        <f>IF($T235="","",SUMIFS('Per Line'!$K$2:$K$1001,'Per Line'!$A$2:$A$1001,$B235,'Per Line'!$V$2:$V$1001,0))</f>
        <v/>
      </c>
      <c r="L235" s="7">
        <f>IF($T235="","",K235*J235)</f>
        <v/>
      </c>
      <c r="M235">
        <f>IF($T235="","",Settings!$C$6)</f>
        <v/>
      </c>
      <c r="N235" s="7">
        <f>IF($T235="","",SUMIFS('Per Line'!$K$2:$K$1001,'Per Line'!$A$2:$A$1001,$B235,'Per Line'!$V$2:$V$1001,1))</f>
        <v/>
      </c>
      <c r="O235" s="7">
        <f>IF($T235="","",N235*M235)</f>
        <v/>
      </c>
      <c r="P235" s="7">
        <f>IF($T235="","",O235+L235)</f>
        <v/>
      </c>
      <c r="Q235" s="7">
        <f>IF($T235="","",R235-P235)</f>
        <v/>
      </c>
      <c r="R235" s="7">
        <f>IF($T235="","",K235+N235)</f>
        <v/>
      </c>
      <c r="S235" s="7">
        <f>IF($T235="","",R235-P235-H235)</f>
        <v/>
      </c>
      <c r="T235" s="13">
        <f>IF(ROWS($T$2:$T235)&lt;=MAX('Per Line'!$U$2:$U$1001),MATCH(ROWS($T$2:$T235),'Per Line'!$U$2:$U$1001,0),"")</f>
        <v/>
      </c>
    </row>
    <row r="236">
      <c r="A236" s="12" t="n"/>
      <c r="B236">
        <f>IF($T236="","",INDEX('Per Line'!$A$2:$A$1001,$T236)&amp;"")</f>
        <v/>
      </c>
      <c r="C236" s="12" t="n"/>
      <c r="D236">
        <f>IF($T236="","",INDEX('Per Line'!$B$2:$B$1001,$T236)&amp;"")</f>
        <v/>
      </c>
      <c r="E236">
        <f>IF($T236="","",INDEX('Per Line'!$C$2:$C$1001,$T236)&amp;"")</f>
        <v/>
      </c>
      <c r="F236">
        <f>IF($T236="","",INDEX('Per Line'!$D$2:$D$1001,$T236)&amp;"")</f>
        <v/>
      </c>
      <c r="G236">
        <f>IF($T236="","",INDEX('Per Line'!$E$2:$E$1001,$T236))</f>
        <v/>
      </c>
      <c r="H236" s="7">
        <f>IF($T236="","",G236*R236/100)</f>
        <v/>
      </c>
      <c r="I236" s="11">
        <f>IF($T236="","",INDEX('Per Line'!$Q$2:$Q$1001,$T236))</f>
        <v/>
      </c>
      <c r="J236">
        <f>IF($T236="","",Settings!$C$7)</f>
        <v/>
      </c>
      <c r="K236" s="7">
        <f>IF($T236="","",SUMIFS('Per Line'!$K$2:$K$1001,'Per Line'!$A$2:$A$1001,$B236,'Per Line'!$V$2:$V$1001,0))</f>
        <v/>
      </c>
      <c r="L236" s="7">
        <f>IF($T236="","",K236*J236)</f>
        <v/>
      </c>
      <c r="M236">
        <f>IF($T236="","",Settings!$C$6)</f>
        <v/>
      </c>
      <c r="N236" s="7">
        <f>IF($T236="","",SUMIFS('Per Line'!$K$2:$K$1001,'Per Line'!$A$2:$A$1001,$B236,'Per Line'!$V$2:$V$1001,1))</f>
        <v/>
      </c>
      <c r="O236" s="7">
        <f>IF($T236="","",N236*M236)</f>
        <v/>
      </c>
      <c r="P236" s="7">
        <f>IF($T236="","",O236+L236)</f>
        <v/>
      </c>
      <c r="Q236" s="7">
        <f>IF($T236="","",R236-P236)</f>
        <v/>
      </c>
      <c r="R236" s="7">
        <f>IF($T236="","",K236+N236)</f>
        <v/>
      </c>
      <c r="S236" s="7">
        <f>IF($T236="","",R236-P236-H236)</f>
        <v/>
      </c>
      <c r="T236" s="13">
        <f>IF(ROWS($T$2:$T236)&lt;=MAX('Per Line'!$U$2:$U$1001),MATCH(ROWS($T$2:$T236),'Per Line'!$U$2:$U$1001,0),"")</f>
        <v/>
      </c>
    </row>
    <row r="237">
      <c r="A237" s="12" t="n"/>
      <c r="B237">
        <f>IF($T237="","",INDEX('Per Line'!$A$2:$A$1001,$T237)&amp;"")</f>
        <v/>
      </c>
      <c r="C237" s="12" t="n"/>
      <c r="D237">
        <f>IF($T237="","",INDEX('Per Line'!$B$2:$B$1001,$T237)&amp;"")</f>
        <v/>
      </c>
      <c r="E237">
        <f>IF($T237="","",INDEX('Per Line'!$C$2:$C$1001,$T237)&amp;"")</f>
        <v/>
      </c>
      <c r="F237">
        <f>IF($T237="","",INDEX('Per Line'!$D$2:$D$1001,$T237)&amp;"")</f>
        <v/>
      </c>
      <c r="G237">
        <f>IF($T237="","",INDEX('Per Line'!$E$2:$E$1001,$T237))</f>
        <v/>
      </c>
      <c r="H237" s="7">
        <f>IF($T237="","",G237*R237/100)</f>
        <v/>
      </c>
      <c r="I237" s="11">
        <f>IF($T237="","",INDEX('Per Line'!$Q$2:$Q$1001,$T237))</f>
        <v/>
      </c>
      <c r="J237">
        <f>IF($T237="","",Settings!$C$7)</f>
        <v/>
      </c>
      <c r="K237" s="7">
        <f>IF($T237="","",SUMIFS('Per Line'!$K$2:$K$1001,'Per Line'!$A$2:$A$1001,$B237,'Per Line'!$V$2:$V$1001,0))</f>
        <v/>
      </c>
      <c r="L237" s="7">
        <f>IF($T237="","",K237*J237)</f>
        <v/>
      </c>
      <c r="M237">
        <f>IF($T237="","",Settings!$C$6)</f>
        <v/>
      </c>
      <c r="N237" s="7">
        <f>IF($T237="","",SUMIFS('Per Line'!$K$2:$K$1001,'Per Line'!$A$2:$A$1001,$B237,'Per Line'!$V$2:$V$1001,1))</f>
        <v/>
      </c>
      <c r="O237" s="7">
        <f>IF($T237="","",N237*M237)</f>
        <v/>
      </c>
      <c r="P237" s="7">
        <f>IF($T237="","",O237+L237)</f>
        <v/>
      </c>
      <c r="Q237" s="7">
        <f>IF($T237="","",R237-P237)</f>
        <v/>
      </c>
      <c r="R237" s="7">
        <f>IF($T237="","",K237+N237)</f>
        <v/>
      </c>
      <c r="S237" s="7">
        <f>IF($T237="","",R237-P237-H237)</f>
        <v/>
      </c>
      <c r="T237" s="13">
        <f>IF(ROWS($T$2:$T237)&lt;=MAX('Per Line'!$U$2:$U$1001),MATCH(ROWS($T$2:$T237),'Per Line'!$U$2:$U$1001,0),"")</f>
        <v/>
      </c>
    </row>
    <row r="238">
      <c r="A238" s="12" t="n"/>
      <c r="B238">
        <f>IF($T238="","",INDEX('Per Line'!$A$2:$A$1001,$T238)&amp;"")</f>
        <v/>
      </c>
      <c r="C238" s="12" t="n"/>
      <c r="D238">
        <f>IF($T238="","",INDEX('Per Line'!$B$2:$B$1001,$T238)&amp;"")</f>
        <v/>
      </c>
      <c r="E238">
        <f>IF($T238="","",INDEX('Per Line'!$C$2:$C$1001,$T238)&amp;"")</f>
        <v/>
      </c>
      <c r="F238">
        <f>IF($T238="","",INDEX('Per Line'!$D$2:$D$1001,$T238)&amp;"")</f>
        <v/>
      </c>
      <c r="G238">
        <f>IF($T238="","",INDEX('Per Line'!$E$2:$E$1001,$T238))</f>
        <v/>
      </c>
      <c r="H238" s="7">
        <f>IF($T238="","",G238*R238/100)</f>
        <v/>
      </c>
      <c r="I238" s="11">
        <f>IF($T238="","",INDEX('Per Line'!$Q$2:$Q$1001,$T238))</f>
        <v/>
      </c>
      <c r="J238">
        <f>IF($T238="","",Settings!$C$7)</f>
        <v/>
      </c>
      <c r="K238" s="7">
        <f>IF($T238="","",SUMIFS('Per Line'!$K$2:$K$1001,'Per Line'!$A$2:$A$1001,$B238,'Per Line'!$V$2:$V$1001,0))</f>
        <v/>
      </c>
      <c r="L238" s="7">
        <f>IF($T238="","",K238*J238)</f>
        <v/>
      </c>
      <c r="M238">
        <f>IF($T238="","",Settings!$C$6)</f>
        <v/>
      </c>
      <c r="N238" s="7">
        <f>IF($T238="","",SUMIFS('Per Line'!$K$2:$K$1001,'Per Line'!$A$2:$A$1001,$B238,'Per Line'!$V$2:$V$1001,1))</f>
        <v/>
      </c>
      <c r="O238" s="7">
        <f>IF($T238="","",N238*M238)</f>
        <v/>
      </c>
      <c r="P238" s="7">
        <f>IF($T238="","",O238+L238)</f>
        <v/>
      </c>
      <c r="Q238" s="7">
        <f>IF($T238="","",R238-P238)</f>
        <v/>
      </c>
      <c r="R238" s="7">
        <f>IF($T238="","",K238+N238)</f>
        <v/>
      </c>
      <c r="S238" s="7">
        <f>IF($T238="","",R238-P238-H238)</f>
        <v/>
      </c>
      <c r="T238" s="13">
        <f>IF(ROWS($T$2:$T238)&lt;=MAX('Per Line'!$U$2:$U$1001),MATCH(ROWS($T$2:$T238),'Per Line'!$U$2:$U$1001,0),"")</f>
        <v/>
      </c>
    </row>
    <row r="239">
      <c r="A239" s="12" t="n"/>
      <c r="B239">
        <f>IF($T239="","",INDEX('Per Line'!$A$2:$A$1001,$T239)&amp;"")</f>
        <v/>
      </c>
      <c r="C239" s="12" t="n"/>
      <c r="D239">
        <f>IF($T239="","",INDEX('Per Line'!$B$2:$B$1001,$T239)&amp;"")</f>
        <v/>
      </c>
      <c r="E239">
        <f>IF($T239="","",INDEX('Per Line'!$C$2:$C$1001,$T239)&amp;"")</f>
        <v/>
      </c>
      <c r="F239">
        <f>IF($T239="","",INDEX('Per Line'!$D$2:$D$1001,$T239)&amp;"")</f>
        <v/>
      </c>
      <c r="G239">
        <f>IF($T239="","",INDEX('Per Line'!$E$2:$E$1001,$T239))</f>
        <v/>
      </c>
      <c r="H239" s="7">
        <f>IF($T239="","",G239*R239/100)</f>
        <v/>
      </c>
      <c r="I239" s="11">
        <f>IF($T239="","",INDEX('Per Line'!$Q$2:$Q$1001,$T239))</f>
        <v/>
      </c>
      <c r="J239">
        <f>IF($T239="","",Settings!$C$7)</f>
        <v/>
      </c>
      <c r="K239" s="7">
        <f>IF($T239="","",SUMIFS('Per Line'!$K$2:$K$1001,'Per Line'!$A$2:$A$1001,$B239,'Per Line'!$V$2:$V$1001,0))</f>
        <v/>
      </c>
      <c r="L239" s="7">
        <f>IF($T239="","",K239*J239)</f>
        <v/>
      </c>
      <c r="M239">
        <f>IF($T239="","",Settings!$C$6)</f>
        <v/>
      </c>
      <c r="N239" s="7">
        <f>IF($T239="","",SUMIFS('Per Line'!$K$2:$K$1001,'Per Line'!$A$2:$A$1001,$B239,'Per Line'!$V$2:$V$1001,1))</f>
        <v/>
      </c>
      <c r="O239" s="7">
        <f>IF($T239="","",N239*M239)</f>
        <v/>
      </c>
      <c r="P239" s="7">
        <f>IF($T239="","",O239+L239)</f>
        <v/>
      </c>
      <c r="Q239" s="7">
        <f>IF($T239="","",R239-P239)</f>
        <v/>
      </c>
      <c r="R239" s="7">
        <f>IF($T239="","",K239+N239)</f>
        <v/>
      </c>
      <c r="S239" s="7">
        <f>IF($T239="","",R239-P239-H239)</f>
        <v/>
      </c>
      <c r="T239" s="13">
        <f>IF(ROWS($T$2:$T239)&lt;=MAX('Per Line'!$U$2:$U$1001),MATCH(ROWS($T$2:$T239),'Per Line'!$U$2:$U$1001,0),"")</f>
        <v/>
      </c>
    </row>
    <row r="240">
      <c r="A240" s="12" t="n"/>
      <c r="B240">
        <f>IF($T240="","",INDEX('Per Line'!$A$2:$A$1001,$T240)&amp;"")</f>
        <v/>
      </c>
      <c r="C240" s="12" t="n"/>
      <c r="D240">
        <f>IF($T240="","",INDEX('Per Line'!$B$2:$B$1001,$T240)&amp;"")</f>
        <v/>
      </c>
      <c r="E240">
        <f>IF($T240="","",INDEX('Per Line'!$C$2:$C$1001,$T240)&amp;"")</f>
        <v/>
      </c>
      <c r="F240">
        <f>IF($T240="","",INDEX('Per Line'!$D$2:$D$1001,$T240)&amp;"")</f>
        <v/>
      </c>
      <c r="G240">
        <f>IF($T240="","",INDEX('Per Line'!$E$2:$E$1001,$T240))</f>
        <v/>
      </c>
      <c r="H240" s="7">
        <f>IF($T240="","",G240*R240/100)</f>
        <v/>
      </c>
      <c r="I240" s="11">
        <f>IF($T240="","",INDEX('Per Line'!$Q$2:$Q$1001,$T240))</f>
        <v/>
      </c>
      <c r="J240">
        <f>IF($T240="","",Settings!$C$7)</f>
        <v/>
      </c>
      <c r="K240" s="7">
        <f>IF($T240="","",SUMIFS('Per Line'!$K$2:$K$1001,'Per Line'!$A$2:$A$1001,$B240,'Per Line'!$V$2:$V$1001,0))</f>
        <v/>
      </c>
      <c r="L240" s="7">
        <f>IF($T240="","",K240*J240)</f>
        <v/>
      </c>
      <c r="M240">
        <f>IF($T240="","",Settings!$C$6)</f>
        <v/>
      </c>
      <c r="N240" s="7">
        <f>IF($T240="","",SUMIFS('Per Line'!$K$2:$K$1001,'Per Line'!$A$2:$A$1001,$B240,'Per Line'!$V$2:$V$1001,1))</f>
        <v/>
      </c>
      <c r="O240" s="7">
        <f>IF($T240="","",N240*M240)</f>
        <v/>
      </c>
      <c r="P240" s="7">
        <f>IF($T240="","",O240+L240)</f>
        <v/>
      </c>
      <c r="Q240" s="7">
        <f>IF($T240="","",R240-P240)</f>
        <v/>
      </c>
      <c r="R240" s="7">
        <f>IF($T240="","",K240+N240)</f>
        <v/>
      </c>
      <c r="S240" s="7">
        <f>IF($T240="","",R240-P240-H240)</f>
        <v/>
      </c>
      <c r="T240" s="13">
        <f>IF(ROWS($T$2:$T240)&lt;=MAX('Per Line'!$U$2:$U$1001),MATCH(ROWS($T$2:$T240),'Per Line'!$U$2:$U$1001,0),"")</f>
        <v/>
      </c>
    </row>
    <row r="241">
      <c r="A241" s="12" t="n"/>
      <c r="B241">
        <f>IF($T241="","",INDEX('Per Line'!$A$2:$A$1001,$T241)&amp;"")</f>
        <v/>
      </c>
      <c r="C241" s="12" t="n"/>
      <c r="D241">
        <f>IF($T241="","",INDEX('Per Line'!$B$2:$B$1001,$T241)&amp;"")</f>
        <v/>
      </c>
      <c r="E241">
        <f>IF($T241="","",INDEX('Per Line'!$C$2:$C$1001,$T241)&amp;"")</f>
        <v/>
      </c>
      <c r="F241">
        <f>IF($T241="","",INDEX('Per Line'!$D$2:$D$1001,$T241)&amp;"")</f>
        <v/>
      </c>
      <c r="G241">
        <f>IF($T241="","",INDEX('Per Line'!$E$2:$E$1001,$T241))</f>
        <v/>
      </c>
      <c r="H241" s="7">
        <f>IF($T241="","",G241*R241/100)</f>
        <v/>
      </c>
      <c r="I241" s="11">
        <f>IF($T241="","",INDEX('Per Line'!$Q$2:$Q$1001,$T241))</f>
        <v/>
      </c>
      <c r="J241">
        <f>IF($T241="","",Settings!$C$7)</f>
        <v/>
      </c>
      <c r="K241" s="7">
        <f>IF($T241="","",SUMIFS('Per Line'!$K$2:$K$1001,'Per Line'!$A$2:$A$1001,$B241,'Per Line'!$V$2:$V$1001,0))</f>
        <v/>
      </c>
      <c r="L241" s="7">
        <f>IF($T241="","",K241*J241)</f>
        <v/>
      </c>
      <c r="M241">
        <f>IF($T241="","",Settings!$C$6)</f>
        <v/>
      </c>
      <c r="N241" s="7">
        <f>IF($T241="","",SUMIFS('Per Line'!$K$2:$K$1001,'Per Line'!$A$2:$A$1001,$B241,'Per Line'!$V$2:$V$1001,1))</f>
        <v/>
      </c>
      <c r="O241" s="7">
        <f>IF($T241="","",N241*M241)</f>
        <v/>
      </c>
      <c r="P241" s="7">
        <f>IF($T241="","",O241+L241)</f>
        <v/>
      </c>
      <c r="Q241" s="7">
        <f>IF($T241="","",R241-P241)</f>
        <v/>
      </c>
      <c r="R241" s="7">
        <f>IF($T241="","",K241+N241)</f>
        <v/>
      </c>
      <c r="S241" s="7">
        <f>IF($T241="","",R241-P241-H241)</f>
        <v/>
      </c>
      <c r="T241" s="13">
        <f>IF(ROWS($T$2:$T241)&lt;=MAX('Per Line'!$U$2:$U$1001),MATCH(ROWS($T$2:$T241),'Per Line'!$U$2:$U$1001,0),"")</f>
        <v/>
      </c>
    </row>
    <row r="242">
      <c r="A242" s="12" t="n"/>
      <c r="B242">
        <f>IF($T242="","",INDEX('Per Line'!$A$2:$A$1001,$T242)&amp;"")</f>
        <v/>
      </c>
      <c r="C242" s="12" t="n"/>
      <c r="D242">
        <f>IF($T242="","",INDEX('Per Line'!$B$2:$B$1001,$T242)&amp;"")</f>
        <v/>
      </c>
      <c r="E242">
        <f>IF($T242="","",INDEX('Per Line'!$C$2:$C$1001,$T242)&amp;"")</f>
        <v/>
      </c>
      <c r="F242">
        <f>IF($T242="","",INDEX('Per Line'!$D$2:$D$1001,$T242)&amp;"")</f>
        <v/>
      </c>
      <c r="G242">
        <f>IF($T242="","",INDEX('Per Line'!$E$2:$E$1001,$T242))</f>
        <v/>
      </c>
      <c r="H242" s="7">
        <f>IF($T242="","",G242*R242/100)</f>
        <v/>
      </c>
      <c r="I242" s="11">
        <f>IF($T242="","",INDEX('Per Line'!$Q$2:$Q$1001,$T242))</f>
        <v/>
      </c>
      <c r="J242">
        <f>IF($T242="","",Settings!$C$7)</f>
        <v/>
      </c>
      <c r="K242" s="7">
        <f>IF($T242="","",SUMIFS('Per Line'!$K$2:$K$1001,'Per Line'!$A$2:$A$1001,$B242,'Per Line'!$V$2:$V$1001,0))</f>
        <v/>
      </c>
      <c r="L242" s="7">
        <f>IF($T242="","",K242*J242)</f>
        <v/>
      </c>
      <c r="M242">
        <f>IF($T242="","",Settings!$C$6)</f>
        <v/>
      </c>
      <c r="N242" s="7">
        <f>IF($T242="","",SUMIFS('Per Line'!$K$2:$K$1001,'Per Line'!$A$2:$A$1001,$B242,'Per Line'!$V$2:$V$1001,1))</f>
        <v/>
      </c>
      <c r="O242" s="7">
        <f>IF($T242="","",N242*M242)</f>
        <v/>
      </c>
      <c r="P242" s="7">
        <f>IF($T242="","",O242+L242)</f>
        <v/>
      </c>
      <c r="Q242" s="7">
        <f>IF($T242="","",R242-P242)</f>
        <v/>
      </c>
      <c r="R242" s="7">
        <f>IF($T242="","",K242+N242)</f>
        <v/>
      </c>
      <c r="S242" s="7">
        <f>IF($T242="","",R242-P242-H242)</f>
        <v/>
      </c>
      <c r="T242" s="13">
        <f>IF(ROWS($T$2:$T242)&lt;=MAX('Per Line'!$U$2:$U$1001),MATCH(ROWS($T$2:$T242),'Per Line'!$U$2:$U$1001,0),"")</f>
        <v/>
      </c>
    </row>
    <row r="243">
      <c r="A243" s="12" t="n"/>
      <c r="B243">
        <f>IF($T243="","",INDEX('Per Line'!$A$2:$A$1001,$T243)&amp;"")</f>
        <v/>
      </c>
      <c r="C243" s="12" t="n"/>
      <c r="D243">
        <f>IF($T243="","",INDEX('Per Line'!$B$2:$B$1001,$T243)&amp;"")</f>
        <v/>
      </c>
      <c r="E243">
        <f>IF($T243="","",INDEX('Per Line'!$C$2:$C$1001,$T243)&amp;"")</f>
        <v/>
      </c>
      <c r="F243">
        <f>IF($T243="","",INDEX('Per Line'!$D$2:$D$1001,$T243)&amp;"")</f>
        <v/>
      </c>
      <c r="G243">
        <f>IF($T243="","",INDEX('Per Line'!$E$2:$E$1001,$T243))</f>
        <v/>
      </c>
      <c r="H243" s="7">
        <f>IF($T243="","",G243*R243/100)</f>
        <v/>
      </c>
      <c r="I243" s="11">
        <f>IF($T243="","",INDEX('Per Line'!$Q$2:$Q$1001,$T243))</f>
        <v/>
      </c>
      <c r="J243">
        <f>IF($T243="","",Settings!$C$7)</f>
        <v/>
      </c>
      <c r="K243" s="7">
        <f>IF($T243="","",SUMIFS('Per Line'!$K$2:$K$1001,'Per Line'!$A$2:$A$1001,$B243,'Per Line'!$V$2:$V$1001,0))</f>
        <v/>
      </c>
      <c r="L243" s="7">
        <f>IF($T243="","",K243*J243)</f>
        <v/>
      </c>
      <c r="M243">
        <f>IF($T243="","",Settings!$C$6)</f>
        <v/>
      </c>
      <c r="N243" s="7">
        <f>IF($T243="","",SUMIFS('Per Line'!$K$2:$K$1001,'Per Line'!$A$2:$A$1001,$B243,'Per Line'!$V$2:$V$1001,1))</f>
        <v/>
      </c>
      <c r="O243" s="7">
        <f>IF($T243="","",N243*M243)</f>
        <v/>
      </c>
      <c r="P243" s="7">
        <f>IF($T243="","",O243+L243)</f>
        <v/>
      </c>
      <c r="Q243" s="7">
        <f>IF($T243="","",R243-P243)</f>
        <v/>
      </c>
      <c r="R243" s="7">
        <f>IF($T243="","",K243+N243)</f>
        <v/>
      </c>
      <c r="S243" s="7">
        <f>IF($T243="","",R243-P243-H243)</f>
        <v/>
      </c>
      <c r="T243" s="13">
        <f>IF(ROWS($T$2:$T243)&lt;=MAX('Per Line'!$U$2:$U$1001),MATCH(ROWS($T$2:$T243),'Per Line'!$U$2:$U$1001,0),"")</f>
        <v/>
      </c>
    </row>
    <row r="244">
      <c r="A244" s="12" t="n"/>
      <c r="B244">
        <f>IF($T244="","",INDEX('Per Line'!$A$2:$A$1001,$T244)&amp;"")</f>
        <v/>
      </c>
      <c r="C244" s="12" t="n"/>
      <c r="D244">
        <f>IF($T244="","",INDEX('Per Line'!$B$2:$B$1001,$T244)&amp;"")</f>
        <v/>
      </c>
      <c r="E244">
        <f>IF($T244="","",INDEX('Per Line'!$C$2:$C$1001,$T244)&amp;"")</f>
        <v/>
      </c>
      <c r="F244">
        <f>IF($T244="","",INDEX('Per Line'!$D$2:$D$1001,$T244)&amp;"")</f>
        <v/>
      </c>
      <c r="G244">
        <f>IF($T244="","",INDEX('Per Line'!$E$2:$E$1001,$T244))</f>
        <v/>
      </c>
      <c r="H244" s="7">
        <f>IF($T244="","",G244*R244/100)</f>
        <v/>
      </c>
      <c r="I244" s="11">
        <f>IF($T244="","",INDEX('Per Line'!$Q$2:$Q$1001,$T244))</f>
        <v/>
      </c>
      <c r="J244">
        <f>IF($T244="","",Settings!$C$7)</f>
        <v/>
      </c>
      <c r="K244" s="7">
        <f>IF($T244="","",SUMIFS('Per Line'!$K$2:$K$1001,'Per Line'!$A$2:$A$1001,$B244,'Per Line'!$V$2:$V$1001,0))</f>
        <v/>
      </c>
      <c r="L244" s="7">
        <f>IF($T244="","",K244*J244)</f>
        <v/>
      </c>
      <c r="M244">
        <f>IF($T244="","",Settings!$C$6)</f>
        <v/>
      </c>
      <c r="N244" s="7">
        <f>IF($T244="","",SUMIFS('Per Line'!$K$2:$K$1001,'Per Line'!$A$2:$A$1001,$B244,'Per Line'!$V$2:$V$1001,1))</f>
        <v/>
      </c>
      <c r="O244" s="7">
        <f>IF($T244="","",N244*M244)</f>
        <v/>
      </c>
      <c r="P244" s="7">
        <f>IF($T244="","",O244+L244)</f>
        <v/>
      </c>
      <c r="Q244" s="7">
        <f>IF($T244="","",R244-P244)</f>
        <v/>
      </c>
      <c r="R244" s="7">
        <f>IF($T244="","",K244+N244)</f>
        <v/>
      </c>
      <c r="S244" s="7">
        <f>IF($T244="","",R244-P244-H244)</f>
        <v/>
      </c>
      <c r="T244" s="13">
        <f>IF(ROWS($T$2:$T244)&lt;=MAX('Per Line'!$U$2:$U$1001),MATCH(ROWS($T$2:$T244),'Per Line'!$U$2:$U$1001,0),"")</f>
        <v/>
      </c>
    </row>
    <row r="245">
      <c r="A245" s="12" t="n"/>
      <c r="B245">
        <f>IF($T245="","",INDEX('Per Line'!$A$2:$A$1001,$T245)&amp;"")</f>
        <v/>
      </c>
      <c r="C245" s="12" t="n"/>
      <c r="D245">
        <f>IF($T245="","",INDEX('Per Line'!$B$2:$B$1001,$T245)&amp;"")</f>
        <v/>
      </c>
      <c r="E245">
        <f>IF($T245="","",INDEX('Per Line'!$C$2:$C$1001,$T245)&amp;"")</f>
        <v/>
      </c>
      <c r="F245">
        <f>IF($T245="","",INDEX('Per Line'!$D$2:$D$1001,$T245)&amp;"")</f>
        <v/>
      </c>
      <c r="G245">
        <f>IF($T245="","",INDEX('Per Line'!$E$2:$E$1001,$T245))</f>
        <v/>
      </c>
      <c r="H245" s="7">
        <f>IF($T245="","",G245*R245/100)</f>
        <v/>
      </c>
      <c r="I245" s="11">
        <f>IF($T245="","",INDEX('Per Line'!$Q$2:$Q$1001,$T245))</f>
        <v/>
      </c>
      <c r="J245">
        <f>IF($T245="","",Settings!$C$7)</f>
        <v/>
      </c>
      <c r="K245" s="7">
        <f>IF($T245="","",SUMIFS('Per Line'!$K$2:$K$1001,'Per Line'!$A$2:$A$1001,$B245,'Per Line'!$V$2:$V$1001,0))</f>
        <v/>
      </c>
      <c r="L245" s="7">
        <f>IF($T245="","",K245*J245)</f>
        <v/>
      </c>
      <c r="M245">
        <f>IF($T245="","",Settings!$C$6)</f>
        <v/>
      </c>
      <c r="N245" s="7">
        <f>IF($T245="","",SUMIFS('Per Line'!$K$2:$K$1001,'Per Line'!$A$2:$A$1001,$B245,'Per Line'!$V$2:$V$1001,1))</f>
        <v/>
      </c>
      <c r="O245" s="7">
        <f>IF($T245="","",N245*M245)</f>
        <v/>
      </c>
      <c r="P245" s="7">
        <f>IF($T245="","",O245+L245)</f>
        <v/>
      </c>
      <c r="Q245" s="7">
        <f>IF($T245="","",R245-P245)</f>
        <v/>
      </c>
      <c r="R245" s="7">
        <f>IF($T245="","",K245+N245)</f>
        <v/>
      </c>
      <c r="S245" s="7">
        <f>IF($T245="","",R245-P245-H245)</f>
        <v/>
      </c>
      <c r="T245" s="13">
        <f>IF(ROWS($T$2:$T245)&lt;=MAX('Per Line'!$U$2:$U$1001),MATCH(ROWS($T$2:$T245),'Per Line'!$U$2:$U$1001,0),"")</f>
        <v/>
      </c>
    </row>
    <row r="246">
      <c r="A246" s="12" t="n"/>
      <c r="B246">
        <f>IF($T246="","",INDEX('Per Line'!$A$2:$A$1001,$T246)&amp;"")</f>
        <v/>
      </c>
      <c r="C246" s="12" t="n"/>
      <c r="D246">
        <f>IF($T246="","",INDEX('Per Line'!$B$2:$B$1001,$T246)&amp;"")</f>
        <v/>
      </c>
      <c r="E246">
        <f>IF($T246="","",INDEX('Per Line'!$C$2:$C$1001,$T246)&amp;"")</f>
        <v/>
      </c>
      <c r="F246">
        <f>IF($T246="","",INDEX('Per Line'!$D$2:$D$1001,$T246)&amp;"")</f>
        <v/>
      </c>
      <c r="G246">
        <f>IF($T246="","",INDEX('Per Line'!$E$2:$E$1001,$T246))</f>
        <v/>
      </c>
      <c r="H246" s="7">
        <f>IF($T246="","",G246*R246/100)</f>
        <v/>
      </c>
      <c r="I246" s="11">
        <f>IF($T246="","",INDEX('Per Line'!$Q$2:$Q$1001,$T246))</f>
        <v/>
      </c>
      <c r="J246">
        <f>IF($T246="","",Settings!$C$7)</f>
        <v/>
      </c>
      <c r="K246" s="7">
        <f>IF($T246="","",SUMIFS('Per Line'!$K$2:$K$1001,'Per Line'!$A$2:$A$1001,$B246,'Per Line'!$V$2:$V$1001,0))</f>
        <v/>
      </c>
      <c r="L246" s="7">
        <f>IF($T246="","",K246*J246)</f>
        <v/>
      </c>
      <c r="M246">
        <f>IF($T246="","",Settings!$C$6)</f>
        <v/>
      </c>
      <c r="N246" s="7">
        <f>IF($T246="","",SUMIFS('Per Line'!$K$2:$K$1001,'Per Line'!$A$2:$A$1001,$B246,'Per Line'!$V$2:$V$1001,1))</f>
        <v/>
      </c>
      <c r="O246" s="7">
        <f>IF($T246="","",N246*M246)</f>
        <v/>
      </c>
      <c r="P246" s="7">
        <f>IF($T246="","",O246+L246)</f>
        <v/>
      </c>
      <c r="Q246" s="7">
        <f>IF($T246="","",R246-P246)</f>
        <v/>
      </c>
      <c r="R246" s="7">
        <f>IF($T246="","",K246+N246)</f>
        <v/>
      </c>
      <c r="S246" s="7">
        <f>IF($T246="","",R246-P246-H246)</f>
        <v/>
      </c>
      <c r="T246" s="13">
        <f>IF(ROWS($T$2:$T246)&lt;=MAX('Per Line'!$U$2:$U$1001),MATCH(ROWS($T$2:$T246),'Per Line'!$U$2:$U$1001,0),"")</f>
        <v/>
      </c>
    </row>
    <row r="247">
      <c r="A247" s="12" t="n"/>
      <c r="B247">
        <f>IF($T247="","",INDEX('Per Line'!$A$2:$A$1001,$T247)&amp;"")</f>
        <v/>
      </c>
      <c r="C247" s="12" t="n"/>
      <c r="D247">
        <f>IF($T247="","",INDEX('Per Line'!$B$2:$B$1001,$T247)&amp;"")</f>
        <v/>
      </c>
      <c r="E247">
        <f>IF($T247="","",INDEX('Per Line'!$C$2:$C$1001,$T247)&amp;"")</f>
        <v/>
      </c>
      <c r="F247">
        <f>IF($T247="","",INDEX('Per Line'!$D$2:$D$1001,$T247)&amp;"")</f>
        <v/>
      </c>
      <c r="G247">
        <f>IF($T247="","",INDEX('Per Line'!$E$2:$E$1001,$T247))</f>
        <v/>
      </c>
      <c r="H247" s="7">
        <f>IF($T247="","",G247*R247/100)</f>
        <v/>
      </c>
      <c r="I247" s="11">
        <f>IF($T247="","",INDEX('Per Line'!$Q$2:$Q$1001,$T247))</f>
        <v/>
      </c>
      <c r="J247">
        <f>IF($T247="","",Settings!$C$7)</f>
        <v/>
      </c>
      <c r="K247" s="7">
        <f>IF($T247="","",SUMIFS('Per Line'!$K$2:$K$1001,'Per Line'!$A$2:$A$1001,$B247,'Per Line'!$V$2:$V$1001,0))</f>
        <v/>
      </c>
      <c r="L247" s="7">
        <f>IF($T247="","",K247*J247)</f>
        <v/>
      </c>
      <c r="M247">
        <f>IF($T247="","",Settings!$C$6)</f>
        <v/>
      </c>
      <c r="N247" s="7">
        <f>IF($T247="","",SUMIFS('Per Line'!$K$2:$K$1001,'Per Line'!$A$2:$A$1001,$B247,'Per Line'!$V$2:$V$1001,1))</f>
        <v/>
      </c>
      <c r="O247" s="7">
        <f>IF($T247="","",N247*M247)</f>
        <v/>
      </c>
      <c r="P247" s="7">
        <f>IF($T247="","",O247+L247)</f>
        <v/>
      </c>
      <c r="Q247" s="7">
        <f>IF($T247="","",R247-P247)</f>
        <v/>
      </c>
      <c r="R247" s="7">
        <f>IF($T247="","",K247+N247)</f>
        <v/>
      </c>
      <c r="S247" s="7">
        <f>IF($T247="","",R247-P247-H247)</f>
        <v/>
      </c>
      <c r="T247" s="13">
        <f>IF(ROWS($T$2:$T247)&lt;=MAX('Per Line'!$U$2:$U$1001),MATCH(ROWS($T$2:$T247),'Per Line'!$U$2:$U$1001,0),"")</f>
        <v/>
      </c>
    </row>
    <row r="248">
      <c r="A248" s="12" t="n"/>
      <c r="B248">
        <f>IF($T248="","",INDEX('Per Line'!$A$2:$A$1001,$T248)&amp;"")</f>
        <v/>
      </c>
      <c r="C248" s="12" t="n"/>
      <c r="D248">
        <f>IF($T248="","",INDEX('Per Line'!$B$2:$B$1001,$T248)&amp;"")</f>
        <v/>
      </c>
      <c r="E248">
        <f>IF($T248="","",INDEX('Per Line'!$C$2:$C$1001,$T248)&amp;"")</f>
        <v/>
      </c>
      <c r="F248">
        <f>IF($T248="","",INDEX('Per Line'!$D$2:$D$1001,$T248)&amp;"")</f>
        <v/>
      </c>
      <c r="G248">
        <f>IF($T248="","",INDEX('Per Line'!$E$2:$E$1001,$T248))</f>
        <v/>
      </c>
      <c r="H248" s="7">
        <f>IF($T248="","",G248*R248/100)</f>
        <v/>
      </c>
      <c r="I248" s="11">
        <f>IF($T248="","",INDEX('Per Line'!$Q$2:$Q$1001,$T248))</f>
        <v/>
      </c>
      <c r="J248">
        <f>IF($T248="","",Settings!$C$7)</f>
        <v/>
      </c>
      <c r="K248" s="7">
        <f>IF($T248="","",SUMIFS('Per Line'!$K$2:$K$1001,'Per Line'!$A$2:$A$1001,$B248,'Per Line'!$V$2:$V$1001,0))</f>
        <v/>
      </c>
      <c r="L248" s="7">
        <f>IF($T248="","",K248*J248)</f>
        <v/>
      </c>
      <c r="M248">
        <f>IF($T248="","",Settings!$C$6)</f>
        <v/>
      </c>
      <c r="N248" s="7">
        <f>IF($T248="","",SUMIFS('Per Line'!$K$2:$K$1001,'Per Line'!$A$2:$A$1001,$B248,'Per Line'!$V$2:$V$1001,1))</f>
        <v/>
      </c>
      <c r="O248" s="7">
        <f>IF($T248="","",N248*M248)</f>
        <v/>
      </c>
      <c r="P248" s="7">
        <f>IF($T248="","",O248+L248)</f>
        <v/>
      </c>
      <c r="Q248" s="7">
        <f>IF($T248="","",R248-P248)</f>
        <v/>
      </c>
      <c r="R248" s="7">
        <f>IF($T248="","",K248+N248)</f>
        <v/>
      </c>
      <c r="S248" s="7">
        <f>IF($T248="","",R248-P248-H248)</f>
        <v/>
      </c>
      <c r="T248" s="13">
        <f>IF(ROWS($T$2:$T248)&lt;=MAX('Per Line'!$U$2:$U$1001),MATCH(ROWS($T$2:$T248),'Per Line'!$U$2:$U$1001,0),"")</f>
        <v/>
      </c>
    </row>
    <row r="249">
      <c r="A249" s="12" t="n"/>
      <c r="B249">
        <f>IF($T249="","",INDEX('Per Line'!$A$2:$A$1001,$T249)&amp;"")</f>
        <v/>
      </c>
      <c r="C249" s="12" t="n"/>
      <c r="D249">
        <f>IF($T249="","",INDEX('Per Line'!$B$2:$B$1001,$T249)&amp;"")</f>
        <v/>
      </c>
      <c r="E249">
        <f>IF($T249="","",INDEX('Per Line'!$C$2:$C$1001,$T249)&amp;"")</f>
        <v/>
      </c>
      <c r="F249">
        <f>IF($T249="","",INDEX('Per Line'!$D$2:$D$1001,$T249)&amp;"")</f>
        <v/>
      </c>
      <c r="G249">
        <f>IF($T249="","",INDEX('Per Line'!$E$2:$E$1001,$T249))</f>
        <v/>
      </c>
      <c r="H249" s="7">
        <f>IF($T249="","",G249*R249/100)</f>
        <v/>
      </c>
      <c r="I249" s="11">
        <f>IF($T249="","",INDEX('Per Line'!$Q$2:$Q$1001,$T249))</f>
        <v/>
      </c>
      <c r="J249">
        <f>IF($T249="","",Settings!$C$7)</f>
        <v/>
      </c>
      <c r="K249" s="7">
        <f>IF($T249="","",SUMIFS('Per Line'!$K$2:$K$1001,'Per Line'!$A$2:$A$1001,$B249,'Per Line'!$V$2:$V$1001,0))</f>
        <v/>
      </c>
      <c r="L249" s="7">
        <f>IF($T249="","",K249*J249)</f>
        <v/>
      </c>
      <c r="M249">
        <f>IF($T249="","",Settings!$C$6)</f>
        <v/>
      </c>
      <c r="N249" s="7">
        <f>IF($T249="","",SUMIFS('Per Line'!$K$2:$K$1001,'Per Line'!$A$2:$A$1001,$B249,'Per Line'!$V$2:$V$1001,1))</f>
        <v/>
      </c>
      <c r="O249" s="7">
        <f>IF($T249="","",N249*M249)</f>
        <v/>
      </c>
      <c r="P249" s="7">
        <f>IF($T249="","",O249+L249)</f>
        <v/>
      </c>
      <c r="Q249" s="7">
        <f>IF($T249="","",R249-P249)</f>
        <v/>
      </c>
      <c r="R249" s="7">
        <f>IF($T249="","",K249+N249)</f>
        <v/>
      </c>
      <c r="S249" s="7">
        <f>IF($T249="","",R249-P249-H249)</f>
        <v/>
      </c>
      <c r="T249" s="13">
        <f>IF(ROWS($T$2:$T249)&lt;=MAX('Per Line'!$U$2:$U$1001),MATCH(ROWS($T$2:$T249),'Per Line'!$U$2:$U$1001,0),"")</f>
        <v/>
      </c>
    </row>
    <row r="250">
      <c r="A250" s="12" t="n"/>
      <c r="B250">
        <f>IF($T250="","",INDEX('Per Line'!$A$2:$A$1001,$T250)&amp;"")</f>
        <v/>
      </c>
      <c r="C250" s="12" t="n"/>
      <c r="D250">
        <f>IF($T250="","",INDEX('Per Line'!$B$2:$B$1001,$T250)&amp;"")</f>
        <v/>
      </c>
      <c r="E250">
        <f>IF($T250="","",INDEX('Per Line'!$C$2:$C$1001,$T250)&amp;"")</f>
        <v/>
      </c>
      <c r="F250">
        <f>IF($T250="","",INDEX('Per Line'!$D$2:$D$1001,$T250)&amp;"")</f>
        <v/>
      </c>
      <c r="G250">
        <f>IF($T250="","",INDEX('Per Line'!$E$2:$E$1001,$T250))</f>
        <v/>
      </c>
      <c r="H250" s="7">
        <f>IF($T250="","",G250*R250/100)</f>
        <v/>
      </c>
      <c r="I250" s="11">
        <f>IF($T250="","",INDEX('Per Line'!$Q$2:$Q$1001,$T250))</f>
        <v/>
      </c>
      <c r="J250">
        <f>IF($T250="","",Settings!$C$7)</f>
        <v/>
      </c>
      <c r="K250" s="7">
        <f>IF($T250="","",SUMIFS('Per Line'!$K$2:$K$1001,'Per Line'!$A$2:$A$1001,$B250,'Per Line'!$V$2:$V$1001,0))</f>
        <v/>
      </c>
      <c r="L250" s="7">
        <f>IF($T250="","",K250*J250)</f>
        <v/>
      </c>
      <c r="M250">
        <f>IF($T250="","",Settings!$C$6)</f>
        <v/>
      </c>
      <c r="N250" s="7">
        <f>IF($T250="","",SUMIFS('Per Line'!$K$2:$K$1001,'Per Line'!$A$2:$A$1001,$B250,'Per Line'!$V$2:$V$1001,1))</f>
        <v/>
      </c>
      <c r="O250" s="7">
        <f>IF($T250="","",N250*M250)</f>
        <v/>
      </c>
      <c r="P250" s="7">
        <f>IF($T250="","",O250+L250)</f>
        <v/>
      </c>
      <c r="Q250" s="7">
        <f>IF($T250="","",R250-P250)</f>
        <v/>
      </c>
      <c r="R250" s="7">
        <f>IF($T250="","",K250+N250)</f>
        <v/>
      </c>
      <c r="S250" s="7">
        <f>IF($T250="","",R250-P250-H250)</f>
        <v/>
      </c>
      <c r="T250" s="13">
        <f>IF(ROWS($T$2:$T250)&lt;=MAX('Per Line'!$U$2:$U$1001),MATCH(ROWS($T$2:$T250),'Per Line'!$U$2:$U$1001,0),"")</f>
        <v/>
      </c>
    </row>
    <row r="251">
      <c r="A251" s="12" t="n"/>
      <c r="B251">
        <f>IF($T251="","",INDEX('Per Line'!$A$2:$A$1001,$T251)&amp;"")</f>
        <v/>
      </c>
      <c r="C251" s="12" t="n"/>
      <c r="D251">
        <f>IF($T251="","",INDEX('Per Line'!$B$2:$B$1001,$T251)&amp;"")</f>
        <v/>
      </c>
      <c r="E251">
        <f>IF($T251="","",INDEX('Per Line'!$C$2:$C$1001,$T251)&amp;"")</f>
        <v/>
      </c>
      <c r="F251">
        <f>IF($T251="","",INDEX('Per Line'!$D$2:$D$1001,$T251)&amp;"")</f>
        <v/>
      </c>
      <c r="G251">
        <f>IF($T251="","",INDEX('Per Line'!$E$2:$E$1001,$T251))</f>
        <v/>
      </c>
      <c r="H251" s="7">
        <f>IF($T251="","",G251*R251/100)</f>
        <v/>
      </c>
      <c r="I251" s="11">
        <f>IF($T251="","",INDEX('Per Line'!$Q$2:$Q$1001,$T251))</f>
        <v/>
      </c>
      <c r="J251">
        <f>IF($T251="","",Settings!$C$7)</f>
        <v/>
      </c>
      <c r="K251" s="7">
        <f>IF($T251="","",SUMIFS('Per Line'!$K$2:$K$1001,'Per Line'!$A$2:$A$1001,$B251,'Per Line'!$V$2:$V$1001,0))</f>
        <v/>
      </c>
      <c r="L251" s="7">
        <f>IF($T251="","",K251*J251)</f>
        <v/>
      </c>
      <c r="M251">
        <f>IF($T251="","",Settings!$C$6)</f>
        <v/>
      </c>
      <c r="N251" s="7">
        <f>IF($T251="","",SUMIFS('Per Line'!$K$2:$K$1001,'Per Line'!$A$2:$A$1001,$B251,'Per Line'!$V$2:$V$1001,1))</f>
        <v/>
      </c>
      <c r="O251" s="7">
        <f>IF($T251="","",N251*M251)</f>
        <v/>
      </c>
      <c r="P251" s="7">
        <f>IF($T251="","",O251+L251)</f>
        <v/>
      </c>
      <c r="Q251" s="7">
        <f>IF($T251="","",R251-P251)</f>
        <v/>
      </c>
      <c r="R251" s="7">
        <f>IF($T251="","",K251+N251)</f>
        <v/>
      </c>
      <c r="S251" s="7">
        <f>IF($T251="","",R251-P251-H251)</f>
        <v/>
      </c>
      <c r="T251" s="13">
        <f>IF(ROWS($T$2:$T251)&lt;=MAX('Per Line'!$U$2:$U$1001),MATCH(ROWS($T$2:$T251),'Per Line'!$U$2:$U$1001,0),"")</f>
        <v/>
      </c>
    </row>
    <row r="252">
      <c r="A252" s="12" t="n"/>
      <c r="B252">
        <f>IF($T252="","",INDEX('Per Line'!$A$2:$A$1001,$T252)&amp;"")</f>
        <v/>
      </c>
      <c r="C252" s="12" t="n"/>
      <c r="D252">
        <f>IF($T252="","",INDEX('Per Line'!$B$2:$B$1001,$T252)&amp;"")</f>
        <v/>
      </c>
      <c r="E252">
        <f>IF($T252="","",INDEX('Per Line'!$C$2:$C$1001,$T252)&amp;"")</f>
        <v/>
      </c>
      <c r="F252">
        <f>IF($T252="","",INDEX('Per Line'!$D$2:$D$1001,$T252)&amp;"")</f>
        <v/>
      </c>
      <c r="G252">
        <f>IF($T252="","",INDEX('Per Line'!$E$2:$E$1001,$T252))</f>
        <v/>
      </c>
      <c r="H252" s="7">
        <f>IF($T252="","",G252*R252/100)</f>
        <v/>
      </c>
      <c r="I252" s="11">
        <f>IF($T252="","",INDEX('Per Line'!$Q$2:$Q$1001,$T252))</f>
        <v/>
      </c>
      <c r="J252">
        <f>IF($T252="","",Settings!$C$7)</f>
        <v/>
      </c>
      <c r="K252" s="7">
        <f>IF($T252="","",SUMIFS('Per Line'!$K$2:$K$1001,'Per Line'!$A$2:$A$1001,$B252,'Per Line'!$V$2:$V$1001,0))</f>
        <v/>
      </c>
      <c r="L252" s="7">
        <f>IF($T252="","",K252*J252)</f>
        <v/>
      </c>
      <c r="M252">
        <f>IF($T252="","",Settings!$C$6)</f>
        <v/>
      </c>
      <c r="N252" s="7">
        <f>IF($T252="","",SUMIFS('Per Line'!$K$2:$K$1001,'Per Line'!$A$2:$A$1001,$B252,'Per Line'!$V$2:$V$1001,1))</f>
        <v/>
      </c>
      <c r="O252" s="7">
        <f>IF($T252="","",N252*M252)</f>
        <v/>
      </c>
      <c r="P252" s="7">
        <f>IF($T252="","",O252+L252)</f>
        <v/>
      </c>
      <c r="Q252" s="7">
        <f>IF($T252="","",R252-P252)</f>
        <v/>
      </c>
      <c r="R252" s="7">
        <f>IF($T252="","",K252+N252)</f>
        <v/>
      </c>
      <c r="S252" s="7">
        <f>IF($T252="","",R252-P252-H252)</f>
        <v/>
      </c>
      <c r="T252" s="13">
        <f>IF(ROWS($T$2:$T252)&lt;=MAX('Per Line'!$U$2:$U$1001),MATCH(ROWS($T$2:$T252),'Per Line'!$U$2:$U$1001,0),"")</f>
        <v/>
      </c>
    </row>
    <row r="253">
      <c r="A253" s="12" t="n"/>
      <c r="B253">
        <f>IF($T253="","",INDEX('Per Line'!$A$2:$A$1001,$T253)&amp;"")</f>
        <v/>
      </c>
      <c r="C253" s="12" t="n"/>
      <c r="D253">
        <f>IF($T253="","",INDEX('Per Line'!$B$2:$B$1001,$T253)&amp;"")</f>
        <v/>
      </c>
      <c r="E253">
        <f>IF($T253="","",INDEX('Per Line'!$C$2:$C$1001,$T253)&amp;"")</f>
        <v/>
      </c>
      <c r="F253">
        <f>IF($T253="","",INDEX('Per Line'!$D$2:$D$1001,$T253)&amp;"")</f>
        <v/>
      </c>
      <c r="G253">
        <f>IF($T253="","",INDEX('Per Line'!$E$2:$E$1001,$T253))</f>
        <v/>
      </c>
      <c r="H253" s="7">
        <f>IF($T253="","",G253*R253/100)</f>
        <v/>
      </c>
      <c r="I253" s="11">
        <f>IF($T253="","",INDEX('Per Line'!$Q$2:$Q$1001,$T253))</f>
        <v/>
      </c>
      <c r="J253">
        <f>IF($T253="","",Settings!$C$7)</f>
        <v/>
      </c>
      <c r="K253" s="7">
        <f>IF($T253="","",SUMIFS('Per Line'!$K$2:$K$1001,'Per Line'!$A$2:$A$1001,$B253,'Per Line'!$V$2:$V$1001,0))</f>
        <v/>
      </c>
      <c r="L253" s="7">
        <f>IF($T253="","",K253*J253)</f>
        <v/>
      </c>
      <c r="M253">
        <f>IF($T253="","",Settings!$C$6)</f>
        <v/>
      </c>
      <c r="N253" s="7">
        <f>IF($T253="","",SUMIFS('Per Line'!$K$2:$K$1001,'Per Line'!$A$2:$A$1001,$B253,'Per Line'!$V$2:$V$1001,1))</f>
        <v/>
      </c>
      <c r="O253" s="7">
        <f>IF($T253="","",N253*M253)</f>
        <v/>
      </c>
      <c r="P253" s="7">
        <f>IF($T253="","",O253+L253)</f>
        <v/>
      </c>
      <c r="Q253" s="7">
        <f>IF($T253="","",R253-P253)</f>
        <v/>
      </c>
      <c r="R253" s="7">
        <f>IF($T253="","",K253+N253)</f>
        <v/>
      </c>
      <c r="S253" s="7">
        <f>IF($T253="","",R253-P253-H253)</f>
        <v/>
      </c>
      <c r="T253" s="13">
        <f>IF(ROWS($T$2:$T253)&lt;=MAX('Per Line'!$U$2:$U$1001),MATCH(ROWS($T$2:$T253),'Per Line'!$U$2:$U$1001,0),"")</f>
        <v/>
      </c>
    </row>
    <row r="254">
      <c r="A254" s="12" t="n"/>
      <c r="B254">
        <f>IF($T254="","",INDEX('Per Line'!$A$2:$A$1001,$T254)&amp;"")</f>
        <v/>
      </c>
      <c r="C254" s="12" t="n"/>
      <c r="D254">
        <f>IF($T254="","",INDEX('Per Line'!$B$2:$B$1001,$T254)&amp;"")</f>
        <v/>
      </c>
      <c r="E254">
        <f>IF($T254="","",INDEX('Per Line'!$C$2:$C$1001,$T254)&amp;"")</f>
        <v/>
      </c>
      <c r="F254">
        <f>IF($T254="","",INDEX('Per Line'!$D$2:$D$1001,$T254)&amp;"")</f>
        <v/>
      </c>
      <c r="G254">
        <f>IF($T254="","",INDEX('Per Line'!$E$2:$E$1001,$T254))</f>
        <v/>
      </c>
      <c r="H254" s="7">
        <f>IF($T254="","",G254*R254/100)</f>
        <v/>
      </c>
      <c r="I254" s="11">
        <f>IF($T254="","",INDEX('Per Line'!$Q$2:$Q$1001,$T254))</f>
        <v/>
      </c>
      <c r="J254">
        <f>IF($T254="","",Settings!$C$7)</f>
        <v/>
      </c>
      <c r="K254" s="7">
        <f>IF($T254="","",SUMIFS('Per Line'!$K$2:$K$1001,'Per Line'!$A$2:$A$1001,$B254,'Per Line'!$V$2:$V$1001,0))</f>
        <v/>
      </c>
      <c r="L254" s="7">
        <f>IF($T254="","",K254*J254)</f>
        <v/>
      </c>
      <c r="M254">
        <f>IF($T254="","",Settings!$C$6)</f>
        <v/>
      </c>
      <c r="N254" s="7">
        <f>IF($T254="","",SUMIFS('Per Line'!$K$2:$K$1001,'Per Line'!$A$2:$A$1001,$B254,'Per Line'!$V$2:$V$1001,1))</f>
        <v/>
      </c>
      <c r="O254" s="7">
        <f>IF($T254="","",N254*M254)</f>
        <v/>
      </c>
      <c r="P254" s="7">
        <f>IF($T254="","",O254+L254)</f>
        <v/>
      </c>
      <c r="Q254" s="7">
        <f>IF($T254="","",R254-P254)</f>
        <v/>
      </c>
      <c r="R254" s="7">
        <f>IF($T254="","",K254+N254)</f>
        <v/>
      </c>
      <c r="S254" s="7">
        <f>IF($T254="","",R254-P254-H254)</f>
        <v/>
      </c>
      <c r="T254" s="13">
        <f>IF(ROWS($T$2:$T254)&lt;=MAX('Per Line'!$U$2:$U$1001),MATCH(ROWS($T$2:$T254),'Per Line'!$U$2:$U$1001,0),"")</f>
        <v/>
      </c>
    </row>
    <row r="255">
      <c r="A255" s="12" t="n"/>
      <c r="B255">
        <f>IF($T255="","",INDEX('Per Line'!$A$2:$A$1001,$T255)&amp;"")</f>
        <v/>
      </c>
      <c r="C255" s="12" t="n"/>
      <c r="D255">
        <f>IF($T255="","",INDEX('Per Line'!$B$2:$B$1001,$T255)&amp;"")</f>
        <v/>
      </c>
      <c r="E255">
        <f>IF($T255="","",INDEX('Per Line'!$C$2:$C$1001,$T255)&amp;"")</f>
        <v/>
      </c>
      <c r="F255">
        <f>IF($T255="","",INDEX('Per Line'!$D$2:$D$1001,$T255)&amp;"")</f>
        <v/>
      </c>
      <c r="G255">
        <f>IF($T255="","",INDEX('Per Line'!$E$2:$E$1001,$T255))</f>
        <v/>
      </c>
      <c r="H255" s="7">
        <f>IF($T255="","",G255*R255/100)</f>
        <v/>
      </c>
      <c r="I255" s="11">
        <f>IF($T255="","",INDEX('Per Line'!$Q$2:$Q$1001,$T255))</f>
        <v/>
      </c>
      <c r="J255">
        <f>IF($T255="","",Settings!$C$7)</f>
        <v/>
      </c>
      <c r="K255" s="7">
        <f>IF($T255="","",SUMIFS('Per Line'!$K$2:$K$1001,'Per Line'!$A$2:$A$1001,$B255,'Per Line'!$V$2:$V$1001,0))</f>
        <v/>
      </c>
      <c r="L255" s="7">
        <f>IF($T255="","",K255*J255)</f>
        <v/>
      </c>
      <c r="M255">
        <f>IF($T255="","",Settings!$C$6)</f>
        <v/>
      </c>
      <c r="N255" s="7">
        <f>IF($T255="","",SUMIFS('Per Line'!$K$2:$K$1001,'Per Line'!$A$2:$A$1001,$B255,'Per Line'!$V$2:$V$1001,1))</f>
        <v/>
      </c>
      <c r="O255" s="7">
        <f>IF($T255="","",N255*M255)</f>
        <v/>
      </c>
      <c r="P255" s="7">
        <f>IF($T255="","",O255+L255)</f>
        <v/>
      </c>
      <c r="Q255" s="7">
        <f>IF($T255="","",R255-P255)</f>
        <v/>
      </c>
      <c r="R255" s="7">
        <f>IF($T255="","",K255+N255)</f>
        <v/>
      </c>
      <c r="S255" s="7">
        <f>IF($T255="","",R255-P255-H255)</f>
        <v/>
      </c>
      <c r="T255" s="13">
        <f>IF(ROWS($T$2:$T255)&lt;=MAX('Per Line'!$U$2:$U$1001),MATCH(ROWS($T$2:$T255),'Per Line'!$U$2:$U$1001,0),"")</f>
        <v/>
      </c>
    </row>
    <row r="256">
      <c r="A256" s="12" t="n"/>
      <c r="B256">
        <f>IF($T256="","",INDEX('Per Line'!$A$2:$A$1001,$T256)&amp;"")</f>
        <v/>
      </c>
      <c r="C256" s="12" t="n"/>
      <c r="D256">
        <f>IF($T256="","",INDEX('Per Line'!$B$2:$B$1001,$T256)&amp;"")</f>
        <v/>
      </c>
      <c r="E256">
        <f>IF($T256="","",INDEX('Per Line'!$C$2:$C$1001,$T256)&amp;"")</f>
        <v/>
      </c>
      <c r="F256">
        <f>IF($T256="","",INDEX('Per Line'!$D$2:$D$1001,$T256)&amp;"")</f>
        <v/>
      </c>
      <c r="G256">
        <f>IF($T256="","",INDEX('Per Line'!$E$2:$E$1001,$T256))</f>
        <v/>
      </c>
      <c r="H256" s="7">
        <f>IF($T256="","",G256*R256/100)</f>
        <v/>
      </c>
      <c r="I256" s="11">
        <f>IF($T256="","",INDEX('Per Line'!$Q$2:$Q$1001,$T256))</f>
        <v/>
      </c>
      <c r="J256">
        <f>IF($T256="","",Settings!$C$7)</f>
        <v/>
      </c>
      <c r="K256" s="7">
        <f>IF($T256="","",SUMIFS('Per Line'!$K$2:$K$1001,'Per Line'!$A$2:$A$1001,$B256,'Per Line'!$V$2:$V$1001,0))</f>
        <v/>
      </c>
      <c r="L256" s="7">
        <f>IF($T256="","",K256*J256)</f>
        <v/>
      </c>
      <c r="M256">
        <f>IF($T256="","",Settings!$C$6)</f>
        <v/>
      </c>
      <c r="N256" s="7">
        <f>IF($T256="","",SUMIFS('Per Line'!$K$2:$K$1001,'Per Line'!$A$2:$A$1001,$B256,'Per Line'!$V$2:$V$1001,1))</f>
        <v/>
      </c>
      <c r="O256" s="7">
        <f>IF($T256="","",N256*M256)</f>
        <v/>
      </c>
      <c r="P256" s="7">
        <f>IF($T256="","",O256+L256)</f>
        <v/>
      </c>
      <c r="Q256" s="7">
        <f>IF($T256="","",R256-P256)</f>
        <v/>
      </c>
      <c r="R256" s="7">
        <f>IF($T256="","",K256+N256)</f>
        <v/>
      </c>
      <c r="S256" s="7">
        <f>IF($T256="","",R256-P256-H256)</f>
        <v/>
      </c>
      <c r="T256" s="13">
        <f>IF(ROWS($T$2:$T256)&lt;=MAX('Per Line'!$U$2:$U$1001),MATCH(ROWS($T$2:$T256),'Per Line'!$U$2:$U$1001,0),"")</f>
        <v/>
      </c>
    </row>
    <row r="257">
      <c r="A257" s="12" t="n"/>
      <c r="B257">
        <f>IF($T257="","",INDEX('Per Line'!$A$2:$A$1001,$T257)&amp;"")</f>
        <v/>
      </c>
      <c r="C257" s="12" t="n"/>
      <c r="D257">
        <f>IF($T257="","",INDEX('Per Line'!$B$2:$B$1001,$T257)&amp;"")</f>
        <v/>
      </c>
      <c r="E257">
        <f>IF($T257="","",INDEX('Per Line'!$C$2:$C$1001,$T257)&amp;"")</f>
        <v/>
      </c>
      <c r="F257">
        <f>IF($T257="","",INDEX('Per Line'!$D$2:$D$1001,$T257)&amp;"")</f>
        <v/>
      </c>
      <c r="G257">
        <f>IF($T257="","",INDEX('Per Line'!$E$2:$E$1001,$T257))</f>
        <v/>
      </c>
      <c r="H257" s="7">
        <f>IF($T257="","",G257*R257/100)</f>
        <v/>
      </c>
      <c r="I257" s="11">
        <f>IF($T257="","",INDEX('Per Line'!$Q$2:$Q$1001,$T257))</f>
        <v/>
      </c>
      <c r="J257">
        <f>IF($T257="","",Settings!$C$7)</f>
        <v/>
      </c>
      <c r="K257" s="7">
        <f>IF($T257="","",SUMIFS('Per Line'!$K$2:$K$1001,'Per Line'!$A$2:$A$1001,$B257,'Per Line'!$V$2:$V$1001,0))</f>
        <v/>
      </c>
      <c r="L257" s="7">
        <f>IF($T257="","",K257*J257)</f>
        <v/>
      </c>
      <c r="M257">
        <f>IF($T257="","",Settings!$C$6)</f>
        <v/>
      </c>
      <c r="N257" s="7">
        <f>IF($T257="","",SUMIFS('Per Line'!$K$2:$K$1001,'Per Line'!$A$2:$A$1001,$B257,'Per Line'!$V$2:$V$1001,1))</f>
        <v/>
      </c>
      <c r="O257" s="7">
        <f>IF($T257="","",N257*M257)</f>
        <v/>
      </c>
      <c r="P257" s="7">
        <f>IF($T257="","",O257+L257)</f>
        <v/>
      </c>
      <c r="Q257" s="7">
        <f>IF($T257="","",R257-P257)</f>
        <v/>
      </c>
      <c r="R257" s="7">
        <f>IF($T257="","",K257+N257)</f>
        <v/>
      </c>
      <c r="S257" s="7">
        <f>IF($T257="","",R257-P257-H257)</f>
        <v/>
      </c>
      <c r="T257" s="13">
        <f>IF(ROWS($T$2:$T257)&lt;=MAX('Per Line'!$U$2:$U$1001),MATCH(ROWS($T$2:$T257),'Per Line'!$U$2:$U$1001,0),"")</f>
        <v/>
      </c>
    </row>
    <row r="258">
      <c r="A258" s="12" t="n"/>
      <c r="B258">
        <f>IF($T258="","",INDEX('Per Line'!$A$2:$A$1001,$T258)&amp;"")</f>
        <v/>
      </c>
      <c r="C258" s="12" t="n"/>
      <c r="D258">
        <f>IF($T258="","",INDEX('Per Line'!$B$2:$B$1001,$T258)&amp;"")</f>
        <v/>
      </c>
      <c r="E258">
        <f>IF($T258="","",INDEX('Per Line'!$C$2:$C$1001,$T258)&amp;"")</f>
        <v/>
      </c>
      <c r="F258">
        <f>IF($T258="","",INDEX('Per Line'!$D$2:$D$1001,$T258)&amp;"")</f>
        <v/>
      </c>
      <c r="G258">
        <f>IF($T258="","",INDEX('Per Line'!$E$2:$E$1001,$T258))</f>
        <v/>
      </c>
      <c r="H258" s="7">
        <f>IF($T258="","",G258*R258/100)</f>
        <v/>
      </c>
      <c r="I258" s="11">
        <f>IF($T258="","",INDEX('Per Line'!$Q$2:$Q$1001,$T258))</f>
        <v/>
      </c>
      <c r="J258">
        <f>IF($T258="","",Settings!$C$7)</f>
        <v/>
      </c>
      <c r="K258" s="7">
        <f>IF($T258="","",SUMIFS('Per Line'!$K$2:$K$1001,'Per Line'!$A$2:$A$1001,$B258,'Per Line'!$V$2:$V$1001,0))</f>
        <v/>
      </c>
      <c r="L258" s="7">
        <f>IF($T258="","",K258*J258)</f>
        <v/>
      </c>
      <c r="M258">
        <f>IF($T258="","",Settings!$C$6)</f>
        <v/>
      </c>
      <c r="N258" s="7">
        <f>IF($T258="","",SUMIFS('Per Line'!$K$2:$K$1001,'Per Line'!$A$2:$A$1001,$B258,'Per Line'!$V$2:$V$1001,1))</f>
        <v/>
      </c>
      <c r="O258" s="7">
        <f>IF($T258="","",N258*M258)</f>
        <v/>
      </c>
      <c r="P258" s="7">
        <f>IF($T258="","",O258+L258)</f>
        <v/>
      </c>
      <c r="Q258" s="7">
        <f>IF($T258="","",R258-P258)</f>
        <v/>
      </c>
      <c r="R258" s="7">
        <f>IF($T258="","",K258+N258)</f>
        <v/>
      </c>
      <c r="S258" s="7">
        <f>IF($T258="","",R258-P258-H258)</f>
        <v/>
      </c>
      <c r="T258" s="13">
        <f>IF(ROWS($T$2:$T258)&lt;=MAX('Per Line'!$U$2:$U$1001),MATCH(ROWS($T$2:$T258),'Per Line'!$U$2:$U$1001,0),"")</f>
        <v/>
      </c>
    </row>
    <row r="259">
      <c r="A259" s="12" t="n"/>
      <c r="B259">
        <f>IF($T259="","",INDEX('Per Line'!$A$2:$A$1001,$T259)&amp;"")</f>
        <v/>
      </c>
      <c r="C259" s="12" t="n"/>
      <c r="D259">
        <f>IF($T259="","",INDEX('Per Line'!$B$2:$B$1001,$T259)&amp;"")</f>
        <v/>
      </c>
      <c r="E259">
        <f>IF($T259="","",INDEX('Per Line'!$C$2:$C$1001,$T259)&amp;"")</f>
        <v/>
      </c>
      <c r="F259">
        <f>IF($T259="","",INDEX('Per Line'!$D$2:$D$1001,$T259)&amp;"")</f>
        <v/>
      </c>
      <c r="G259">
        <f>IF($T259="","",INDEX('Per Line'!$E$2:$E$1001,$T259))</f>
        <v/>
      </c>
      <c r="H259" s="7">
        <f>IF($T259="","",G259*R259/100)</f>
        <v/>
      </c>
      <c r="I259" s="11">
        <f>IF($T259="","",INDEX('Per Line'!$Q$2:$Q$1001,$T259))</f>
        <v/>
      </c>
      <c r="J259">
        <f>IF($T259="","",Settings!$C$7)</f>
        <v/>
      </c>
      <c r="K259" s="7">
        <f>IF($T259="","",SUMIFS('Per Line'!$K$2:$K$1001,'Per Line'!$A$2:$A$1001,$B259,'Per Line'!$V$2:$V$1001,0))</f>
        <v/>
      </c>
      <c r="L259" s="7">
        <f>IF($T259="","",K259*J259)</f>
        <v/>
      </c>
      <c r="M259">
        <f>IF($T259="","",Settings!$C$6)</f>
        <v/>
      </c>
      <c r="N259" s="7">
        <f>IF($T259="","",SUMIFS('Per Line'!$K$2:$K$1001,'Per Line'!$A$2:$A$1001,$B259,'Per Line'!$V$2:$V$1001,1))</f>
        <v/>
      </c>
      <c r="O259" s="7">
        <f>IF($T259="","",N259*M259)</f>
        <v/>
      </c>
      <c r="P259" s="7">
        <f>IF($T259="","",O259+L259)</f>
        <v/>
      </c>
      <c r="Q259" s="7">
        <f>IF($T259="","",R259-P259)</f>
        <v/>
      </c>
      <c r="R259" s="7">
        <f>IF($T259="","",K259+N259)</f>
        <v/>
      </c>
      <c r="S259" s="7">
        <f>IF($T259="","",R259-P259-H259)</f>
        <v/>
      </c>
      <c r="T259" s="13">
        <f>IF(ROWS($T$2:$T259)&lt;=MAX('Per Line'!$U$2:$U$1001),MATCH(ROWS($T$2:$T259),'Per Line'!$U$2:$U$1001,0),"")</f>
        <v/>
      </c>
    </row>
    <row r="260">
      <c r="A260" s="12" t="n"/>
      <c r="B260">
        <f>IF($T260="","",INDEX('Per Line'!$A$2:$A$1001,$T260)&amp;"")</f>
        <v/>
      </c>
      <c r="C260" s="12" t="n"/>
      <c r="D260">
        <f>IF($T260="","",INDEX('Per Line'!$B$2:$B$1001,$T260)&amp;"")</f>
        <v/>
      </c>
      <c r="E260">
        <f>IF($T260="","",INDEX('Per Line'!$C$2:$C$1001,$T260)&amp;"")</f>
        <v/>
      </c>
      <c r="F260">
        <f>IF($T260="","",INDEX('Per Line'!$D$2:$D$1001,$T260)&amp;"")</f>
        <v/>
      </c>
      <c r="G260">
        <f>IF($T260="","",INDEX('Per Line'!$E$2:$E$1001,$T260))</f>
        <v/>
      </c>
      <c r="H260" s="7">
        <f>IF($T260="","",G260*R260/100)</f>
        <v/>
      </c>
      <c r="I260" s="11">
        <f>IF($T260="","",INDEX('Per Line'!$Q$2:$Q$1001,$T260))</f>
        <v/>
      </c>
      <c r="J260">
        <f>IF($T260="","",Settings!$C$7)</f>
        <v/>
      </c>
      <c r="K260" s="7">
        <f>IF($T260="","",SUMIFS('Per Line'!$K$2:$K$1001,'Per Line'!$A$2:$A$1001,$B260,'Per Line'!$V$2:$V$1001,0))</f>
        <v/>
      </c>
      <c r="L260" s="7">
        <f>IF($T260="","",K260*J260)</f>
        <v/>
      </c>
      <c r="M260">
        <f>IF($T260="","",Settings!$C$6)</f>
        <v/>
      </c>
      <c r="N260" s="7">
        <f>IF($T260="","",SUMIFS('Per Line'!$K$2:$K$1001,'Per Line'!$A$2:$A$1001,$B260,'Per Line'!$V$2:$V$1001,1))</f>
        <v/>
      </c>
      <c r="O260" s="7">
        <f>IF($T260="","",N260*M260)</f>
        <v/>
      </c>
      <c r="P260" s="7">
        <f>IF($T260="","",O260+L260)</f>
        <v/>
      </c>
      <c r="Q260" s="7">
        <f>IF($T260="","",R260-P260)</f>
        <v/>
      </c>
      <c r="R260" s="7">
        <f>IF($T260="","",K260+N260)</f>
        <v/>
      </c>
      <c r="S260" s="7">
        <f>IF($T260="","",R260-P260-H260)</f>
        <v/>
      </c>
      <c r="T260" s="13">
        <f>IF(ROWS($T$2:$T260)&lt;=MAX('Per Line'!$U$2:$U$1001),MATCH(ROWS($T$2:$T260),'Per Line'!$U$2:$U$1001,0),"")</f>
        <v/>
      </c>
    </row>
    <row r="261">
      <c r="A261" s="12" t="n"/>
      <c r="B261">
        <f>IF($T261="","",INDEX('Per Line'!$A$2:$A$1001,$T261)&amp;"")</f>
        <v/>
      </c>
      <c r="C261" s="12" t="n"/>
      <c r="D261">
        <f>IF($T261="","",INDEX('Per Line'!$B$2:$B$1001,$T261)&amp;"")</f>
        <v/>
      </c>
      <c r="E261">
        <f>IF($T261="","",INDEX('Per Line'!$C$2:$C$1001,$T261)&amp;"")</f>
        <v/>
      </c>
      <c r="F261">
        <f>IF($T261="","",INDEX('Per Line'!$D$2:$D$1001,$T261)&amp;"")</f>
        <v/>
      </c>
      <c r="G261">
        <f>IF($T261="","",INDEX('Per Line'!$E$2:$E$1001,$T261))</f>
        <v/>
      </c>
      <c r="H261" s="7">
        <f>IF($T261="","",G261*R261/100)</f>
        <v/>
      </c>
      <c r="I261" s="11">
        <f>IF($T261="","",INDEX('Per Line'!$Q$2:$Q$1001,$T261))</f>
        <v/>
      </c>
      <c r="J261">
        <f>IF($T261="","",Settings!$C$7)</f>
        <v/>
      </c>
      <c r="K261" s="7">
        <f>IF($T261="","",SUMIFS('Per Line'!$K$2:$K$1001,'Per Line'!$A$2:$A$1001,$B261,'Per Line'!$V$2:$V$1001,0))</f>
        <v/>
      </c>
      <c r="L261" s="7">
        <f>IF($T261="","",K261*J261)</f>
        <v/>
      </c>
      <c r="M261">
        <f>IF($T261="","",Settings!$C$6)</f>
        <v/>
      </c>
      <c r="N261" s="7">
        <f>IF($T261="","",SUMIFS('Per Line'!$K$2:$K$1001,'Per Line'!$A$2:$A$1001,$B261,'Per Line'!$V$2:$V$1001,1))</f>
        <v/>
      </c>
      <c r="O261" s="7">
        <f>IF($T261="","",N261*M261)</f>
        <v/>
      </c>
      <c r="P261" s="7">
        <f>IF($T261="","",O261+L261)</f>
        <v/>
      </c>
      <c r="Q261" s="7">
        <f>IF($T261="","",R261-P261)</f>
        <v/>
      </c>
      <c r="R261" s="7">
        <f>IF($T261="","",K261+N261)</f>
        <v/>
      </c>
      <c r="S261" s="7">
        <f>IF($T261="","",R261-P261-H261)</f>
        <v/>
      </c>
      <c r="T261" s="13">
        <f>IF(ROWS($T$2:$T261)&lt;=MAX('Per Line'!$U$2:$U$1001),MATCH(ROWS($T$2:$T261),'Per Line'!$U$2:$U$1001,0),"")</f>
        <v/>
      </c>
    </row>
    <row r="262">
      <c r="A262" s="12" t="n"/>
      <c r="B262">
        <f>IF($T262="","",INDEX('Per Line'!$A$2:$A$1001,$T262)&amp;"")</f>
        <v/>
      </c>
      <c r="C262" s="12" t="n"/>
      <c r="D262">
        <f>IF($T262="","",INDEX('Per Line'!$B$2:$B$1001,$T262)&amp;"")</f>
        <v/>
      </c>
      <c r="E262">
        <f>IF($T262="","",INDEX('Per Line'!$C$2:$C$1001,$T262)&amp;"")</f>
        <v/>
      </c>
      <c r="F262">
        <f>IF($T262="","",INDEX('Per Line'!$D$2:$D$1001,$T262)&amp;"")</f>
        <v/>
      </c>
      <c r="G262">
        <f>IF($T262="","",INDEX('Per Line'!$E$2:$E$1001,$T262))</f>
        <v/>
      </c>
      <c r="H262" s="7">
        <f>IF($T262="","",G262*R262/100)</f>
        <v/>
      </c>
      <c r="I262" s="11">
        <f>IF($T262="","",INDEX('Per Line'!$Q$2:$Q$1001,$T262))</f>
        <v/>
      </c>
      <c r="J262">
        <f>IF($T262="","",Settings!$C$7)</f>
        <v/>
      </c>
      <c r="K262" s="7">
        <f>IF($T262="","",SUMIFS('Per Line'!$K$2:$K$1001,'Per Line'!$A$2:$A$1001,$B262,'Per Line'!$V$2:$V$1001,0))</f>
        <v/>
      </c>
      <c r="L262" s="7">
        <f>IF($T262="","",K262*J262)</f>
        <v/>
      </c>
      <c r="M262">
        <f>IF($T262="","",Settings!$C$6)</f>
        <v/>
      </c>
      <c r="N262" s="7">
        <f>IF($T262="","",SUMIFS('Per Line'!$K$2:$K$1001,'Per Line'!$A$2:$A$1001,$B262,'Per Line'!$V$2:$V$1001,1))</f>
        <v/>
      </c>
      <c r="O262" s="7">
        <f>IF($T262="","",N262*M262)</f>
        <v/>
      </c>
      <c r="P262" s="7">
        <f>IF($T262="","",O262+L262)</f>
        <v/>
      </c>
      <c r="Q262" s="7">
        <f>IF($T262="","",R262-P262)</f>
        <v/>
      </c>
      <c r="R262" s="7">
        <f>IF($T262="","",K262+N262)</f>
        <v/>
      </c>
      <c r="S262" s="7">
        <f>IF($T262="","",R262-P262-H262)</f>
        <v/>
      </c>
      <c r="T262" s="13">
        <f>IF(ROWS($T$2:$T262)&lt;=MAX('Per Line'!$U$2:$U$1001),MATCH(ROWS($T$2:$T262),'Per Line'!$U$2:$U$1001,0),"")</f>
        <v/>
      </c>
    </row>
    <row r="263">
      <c r="A263" s="12" t="n"/>
      <c r="B263">
        <f>IF($T263="","",INDEX('Per Line'!$A$2:$A$1001,$T263)&amp;"")</f>
        <v/>
      </c>
      <c r="C263" s="12" t="n"/>
      <c r="D263">
        <f>IF($T263="","",INDEX('Per Line'!$B$2:$B$1001,$T263)&amp;"")</f>
        <v/>
      </c>
      <c r="E263">
        <f>IF($T263="","",INDEX('Per Line'!$C$2:$C$1001,$T263)&amp;"")</f>
        <v/>
      </c>
      <c r="F263">
        <f>IF($T263="","",INDEX('Per Line'!$D$2:$D$1001,$T263)&amp;"")</f>
        <v/>
      </c>
      <c r="G263">
        <f>IF($T263="","",INDEX('Per Line'!$E$2:$E$1001,$T263))</f>
        <v/>
      </c>
      <c r="H263" s="7">
        <f>IF($T263="","",G263*R263/100)</f>
        <v/>
      </c>
      <c r="I263" s="11">
        <f>IF($T263="","",INDEX('Per Line'!$Q$2:$Q$1001,$T263))</f>
        <v/>
      </c>
      <c r="J263">
        <f>IF($T263="","",Settings!$C$7)</f>
        <v/>
      </c>
      <c r="K263" s="7">
        <f>IF($T263="","",SUMIFS('Per Line'!$K$2:$K$1001,'Per Line'!$A$2:$A$1001,$B263,'Per Line'!$V$2:$V$1001,0))</f>
        <v/>
      </c>
      <c r="L263" s="7">
        <f>IF($T263="","",K263*J263)</f>
        <v/>
      </c>
      <c r="M263">
        <f>IF($T263="","",Settings!$C$6)</f>
        <v/>
      </c>
      <c r="N263" s="7">
        <f>IF($T263="","",SUMIFS('Per Line'!$K$2:$K$1001,'Per Line'!$A$2:$A$1001,$B263,'Per Line'!$V$2:$V$1001,1))</f>
        <v/>
      </c>
      <c r="O263" s="7">
        <f>IF($T263="","",N263*M263)</f>
        <v/>
      </c>
      <c r="P263" s="7">
        <f>IF($T263="","",O263+L263)</f>
        <v/>
      </c>
      <c r="Q263" s="7">
        <f>IF($T263="","",R263-P263)</f>
        <v/>
      </c>
      <c r="R263" s="7">
        <f>IF($T263="","",K263+N263)</f>
        <v/>
      </c>
      <c r="S263" s="7">
        <f>IF($T263="","",R263-P263-H263)</f>
        <v/>
      </c>
      <c r="T263" s="13">
        <f>IF(ROWS($T$2:$T263)&lt;=MAX('Per Line'!$U$2:$U$1001),MATCH(ROWS($T$2:$T263),'Per Line'!$U$2:$U$1001,0),"")</f>
        <v/>
      </c>
    </row>
    <row r="264">
      <c r="A264" s="12" t="n"/>
      <c r="B264">
        <f>IF($T264="","",INDEX('Per Line'!$A$2:$A$1001,$T264)&amp;"")</f>
        <v/>
      </c>
      <c r="C264" s="12" t="n"/>
      <c r="D264">
        <f>IF($T264="","",INDEX('Per Line'!$B$2:$B$1001,$T264)&amp;"")</f>
        <v/>
      </c>
      <c r="E264">
        <f>IF($T264="","",INDEX('Per Line'!$C$2:$C$1001,$T264)&amp;"")</f>
        <v/>
      </c>
      <c r="F264">
        <f>IF($T264="","",INDEX('Per Line'!$D$2:$D$1001,$T264)&amp;"")</f>
        <v/>
      </c>
      <c r="G264">
        <f>IF($T264="","",INDEX('Per Line'!$E$2:$E$1001,$T264))</f>
        <v/>
      </c>
      <c r="H264" s="7">
        <f>IF($T264="","",G264*R264/100)</f>
        <v/>
      </c>
      <c r="I264" s="11">
        <f>IF($T264="","",INDEX('Per Line'!$Q$2:$Q$1001,$T264))</f>
        <v/>
      </c>
      <c r="J264">
        <f>IF($T264="","",Settings!$C$7)</f>
        <v/>
      </c>
      <c r="K264" s="7">
        <f>IF($T264="","",SUMIFS('Per Line'!$K$2:$K$1001,'Per Line'!$A$2:$A$1001,$B264,'Per Line'!$V$2:$V$1001,0))</f>
        <v/>
      </c>
      <c r="L264" s="7">
        <f>IF($T264="","",K264*J264)</f>
        <v/>
      </c>
      <c r="M264">
        <f>IF($T264="","",Settings!$C$6)</f>
        <v/>
      </c>
      <c r="N264" s="7">
        <f>IF($T264="","",SUMIFS('Per Line'!$K$2:$K$1001,'Per Line'!$A$2:$A$1001,$B264,'Per Line'!$V$2:$V$1001,1))</f>
        <v/>
      </c>
      <c r="O264" s="7">
        <f>IF($T264="","",N264*M264)</f>
        <v/>
      </c>
      <c r="P264" s="7">
        <f>IF($T264="","",O264+L264)</f>
        <v/>
      </c>
      <c r="Q264" s="7">
        <f>IF($T264="","",R264-P264)</f>
        <v/>
      </c>
      <c r="R264" s="7">
        <f>IF($T264="","",K264+N264)</f>
        <v/>
      </c>
      <c r="S264" s="7">
        <f>IF($T264="","",R264-P264-H264)</f>
        <v/>
      </c>
      <c r="T264" s="13">
        <f>IF(ROWS($T$2:$T264)&lt;=MAX('Per Line'!$U$2:$U$1001),MATCH(ROWS($T$2:$T264),'Per Line'!$U$2:$U$1001,0),"")</f>
        <v/>
      </c>
    </row>
    <row r="265">
      <c r="A265" s="12" t="n"/>
      <c r="B265">
        <f>IF($T265="","",INDEX('Per Line'!$A$2:$A$1001,$T265)&amp;"")</f>
        <v/>
      </c>
      <c r="C265" s="12" t="n"/>
      <c r="D265">
        <f>IF($T265="","",INDEX('Per Line'!$B$2:$B$1001,$T265)&amp;"")</f>
        <v/>
      </c>
      <c r="E265">
        <f>IF($T265="","",INDEX('Per Line'!$C$2:$C$1001,$T265)&amp;"")</f>
        <v/>
      </c>
      <c r="F265">
        <f>IF($T265="","",INDEX('Per Line'!$D$2:$D$1001,$T265)&amp;"")</f>
        <v/>
      </c>
      <c r="G265">
        <f>IF($T265="","",INDEX('Per Line'!$E$2:$E$1001,$T265))</f>
        <v/>
      </c>
      <c r="H265" s="7">
        <f>IF($T265="","",G265*R265/100)</f>
        <v/>
      </c>
      <c r="I265" s="11">
        <f>IF($T265="","",INDEX('Per Line'!$Q$2:$Q$1001,$T265))</f>
        <v/>
      </c>
      <c r="J265">
        <f>IF($T265="","",Settings!$C$7)</f>
        <v/>
      </c>
      <c r="K265" s="7">
        <f>IF($T265="","",SUMIFS('Per Line'!$K$2:$K$1001,'Per Line'!$A$2:$A$1001,$B265,'Per Line'!$V$2:$V$1001,0))</f>
        <v/>
      </c>
      <c r="L265" s="7">
        <f>IF($T265="","",K265*J265)</f>
        <v/>
      </c>
      <c r="M265">
        <f>IF($T265="","",Settings!$C$6)</f>
        <v/>
      </c>
      <c r="N265" s="7">
        <f>IF($T265="","",SUMIFS('Per Line'!$K$2:$K$1001,'Per Line'!$A$2:$A$1001,$B265,'Per Line'!$V$2:$V$1001,1))</f>
        <v/>
      </c>
      <c r="O265" s="7">
        <f>IF($T265="","",N265*M265)</f>
        <v/>
      </c>
      <c r="P265" s="7">
        <f>IF($T265="","",O265+L265)</f>
        <v/>
      </c>
      <c r="Q265" s="7">
        <f>IF($T265="","",R265-P265)</f>
        <v/>
      </c>
      <c r="R265" s="7">
        <f>IF($T265="","",K265+N265)</f>
        <v/>
      </c>
      <c r="S265" s="7">
        <f>IF($T265="","",R265-P265-H265)</f>
        <v/>
      </c>
      <c r="T265" s="13">
        <f>IF(ROWS($T$2:$T265)&lt;=MAX('Per Line'!$U$2:$U$1001),MATCH(ROWS($T$2:$T265),'Per Line'!$U$2:$U$1001,0),"")</f>
        <v/>
      </c>
    </row>
    <row r="266">
      <c r="A266" s="12" t="n"/>
      <c r="B266">
        <f>IF($T266="","",INDEX('Per Line'!$A$2:$A$1001,$T266)&amp;"")</f>
        <v/>
      </c>
      <c r="C266" s="12" t="n"/>
      <c r="D266">
        <f>IF($T266="","",INDEX('Per Line'!$B$2:$B$1001,$T266)&amp;"")</f>
        <v/>
      </c>
      <c r="E266">
        <f>IF($T266="","",INDEX('Per Line'!$C$2:$C$1001,$T266)&amp;"")</f>
        <v/>
      </c>
      <c r="F266">
        <f>IF($T266="","",INDEX('Per Line'!$D$2:$D$1001,$T266)&amp;"")</f>
        <v/>
      </c>
      <c r="G266">
        <f>IF($T266="","",INDEX('Per Line'!$E$2:$E$1001,$T266))</f>
        <v/>
      </c>
      <c r="H266" s="7">
        <f>IF($T266="","",G266*R266/100)</f>
        <v/>
      </c>
      <c r="I266" s="11">
        <f>IF($T266="","",INDEX('Per Line'!$Q$2:$Q$1001,$T266))</f>
        <v/>
      </c>
      <c r="J266">
        <f>IF($T266="","",Settings!$C$7)</f>
        <v/>
      </c>
      <c r="K266" s="7">
        <f>IF($T266="","",SUMIFS('Per Line'!$K$2:$K$1001,'Per Line'!$A$2:$A$1001,$B266,'Per Line'!$V$2:$V$1001,0))</f>
        <v/>
      </c>
      <c r="L266" s="7">
        <f>IF($T266="","",K266*J266)</f>
        <v/>
      </c>
      <c r="M266">
        <f>IF($T266="","",Settings!$C$6)</f>
        <v/>
      </c>
      <c r="N266" s="7">
        <f>IF($T266="","",SUMIFS('Per Line'!$K$2:$K$1001,'Per Line'!$A$2:$A$1001,$B266,'Per Line'!$V$2:$V$1001,1))</f>
        <v/>
      </c>
      <c r="O266" s="7">
        <f>IF($T266="","",N266*M266)</f>
        <v/>
      </c>
      <c r="P266" s="7">
        <f>IF($T266="","",O266+L266)</f>
        <v/>
      </c>
      <c r="Q266" s="7">
        <f>IF($T266="","",R266-P266)</f>
        <v/>
      </c>
      <c r="R266" s="7">
        <f>IF($T266="","",K266+N266)</f>
        <v/>
      </c>
      <c r="S266" s="7">
        <f>IF($T266="","",R266-P266-H266)</f>
        <v/>
      </c>
      <c r="T266" s="13">
        <f>IF(ROWS($T$2:$T266)&lt;=MAX('Per Line'!$U$2:$U$1001),MATCH(ROWS($T$2:$T266),'Per Line'!$U$2:$U$1001,0),"")</f>
        <v/>
      </c>
    </row>
    <row r="267">
      <c r="A267" s="12" t="n"/>
      <c r="B267">
        <f>IF($T267="","",INDEX('Per Line'!$A$2:$A$1001,$T267)&amp;"")</f>
        <v/>
      </c>
      <c r="C267" s="12" t="n"/>
      <c r="D267">
        <f>IF($T267="","",INDEX('Per Line'!$B$2:$B$1001,$T267)&amp;"")</f>
        <v/>
      </c>
      <c r="E267">
        <f>IF($T267="","",INDEX('Per Line'!$C$2:$C$1001,$T267)&amp;"")</f>
        <v/>
      </c>
      <c r="F267">
        <f>IF($T267="","",INDEX('Per Line'!$D$2:$D$1001,$T267)&amp;"")</f>
        <v/>
      </c>
      <c r="G267">
        <f>IF($T267="","",INDEX('Per Line'!$E$2:$E$1001,$T267))</f>
        <v/>
      </c>
      <c r="H267" s="7">
        <f>IF($T267="","",G267*R267/100)</f>
        <v/>
      </c>
      <c r="I267" s="11">
        <f>IF($T267="","",INDEX('Per Line'!$Q$2:$Q$1001,$T267))</f>
        <v/>
      </c>
      <c r="J267">
        <f>IF($T267="","",Settings!$C$7)</f>
        <v/>
      </c>
      <c r="K267" s="7">
        <f>IF($T267="","",SUMIFS('Per Line'!$K$2:$K$1001,'Per Line'!$A$2:$A$1001,$B267,'Per Line'!$V$2:$V$1001,0))</f>
        <v/>
      </c>
      <c r="L267" s="7">
        <f>IF($T267="","",K267*J267)</f>
        <v/>
      </c>
      <c r="M267">
        <f>IF($T267="","",Settings!$C$6)</f>
        <v/>
      </c>
      <c r="N267" s="7">
        <f>IF($T267="","",SUMIFS('Per Line'!$K$2:$K$1001,'Per Line'!$A$2:$A$1001,$B267,'Per Line'!$V$2:$V$1001,1))</f>
        <v/>
      </c>
      <c r="O267" s="7">
        <f>IF($T267="","",N267*M267)</f>
        <v/>
      </c>
      <c r="P267" s="7">
        <f>IF($T267="","",O267+L267)</f>
        <v/>
      </c>
      <c r="Q267" s="7">
        <f>IF($T267="","",R267-P267)</f>
        <v/>
      </c>
      <c r="R267" s="7">
        <f>IF($T267="","",K267+N267)</f>
        <v/>
      </c>
      <c r="S267" s="7">
        <f>IF($T267="","",R267-P267-H267)</f>
        <v/>
      </c>
      <c r="T267" s="13">
        <f>IF(ROWS($T$2:$T267)&lt;=MAX('Per Line'!$U$2:$U$1001),MATCH(ROWS($T$2:$T267),'Per Line'!$U$2:$U$1001,0),"")</f>
        <v/>
      </c>
    </row>
    <row r="268">
      <c r="A268" s="12" t="n"/>
      <c r="B268">
        <f>IF($T268="","",INDEX('Per Line'!$A$2:$A$1001,$T268)&amp;"")</f>
        <v/>
      </c>
      <c r="C268" s="12" t="n"/>
      <c r="D268">
        <f>IF($T268="","",INDEX('Per Line'!$B$2:$B$1001,$T268)&amp;"")</f>
        <v/>
      </c>
      <c r="E268">
        <f>IF($T268="","",INDEX('Per Line'!$C$2:$C$1001,$T268)&amp;"")</f>
        <v/>
      </c>
      <c r="F268">
        <f>IF($T268="","",INDEX('Per Line'!$D$2:$D$1001,$T268)&amp;"")</f>
        <v/>
      </c>
      <c r="G268">
        <f>IF($T268="","",INDEX('Per Line'!$E$2:$E$1001,$T268))</f>
        <v/>
      </c>
      <c r="H268" s="7">
        <f>IF($T268="","",G268*R268/100)</f>
        <v/>
      </c>
      <c r="I268" s="11">
        <f>IF($T268="","",INDEX('Per Line'!$Q$2:$Q$1001,$T268))</f>
        <v/>
      </c>
      <c r="J268">
        <f>IF($T268="","",Settings!$C$7)</f>
        <v/>
      </c>
      <c r="K268" s="7">
        <f>IF($T268="","",SUMIFS('Per Line'!$K$2:$K$1001,'Per Line'!$A$2:$A$1001,$B268,'Per Line'!$V$2:$V$1001,0))</f>
        <v/>
      </c>
      <c r="L268" s="7">
        <f>IF($T268="","",K268*J268)</f>
        <v/>
      </c>
      <c r="M268">
        <f>IF($T268="","",Settings!$C$6)</f>
        <v/>
      </c>
      <c r="N268" s="7">
        <f>IF($T268="","",SUMIFS('Per Line'!$K$2:$K$1001,'Per Line'!$A$2:$A$1001,$B268,'Per Line'!$V$2:$V$1001,1))</f>
        <v/>
      </c>
      <c r="O268" s="7">
        <f>IF($T268="","",N268*M268)</f>
        <v/>
      </c>
      <c r="P268" s="7">
        <f>IF($T268="","",O268+L268)</f>
        <v/>
      </c>
      <c r="Q268" s="7">
        <f>IF($T268="","",R268-P268)</f>
        <v/>
      </c>
      <c r="R268" s="7">
        <f>IF($T268="","",K268+N268)</f>
        <v/>
      </c>
      <c r="S268" s="7">
        <f>IF($T268="","",R268-P268-H268)</f>
        <v/>
      </c>
      <c r="T268" s="13">
        <f>IF(ROWS($T$2:$T268)&lt;=MAX('Per Line'!$U$2:$U$1001),MATCH(ROWS($T$2:$T268),'Per Line'!$U$2:$U$1001,0),"")</f>
        <v/>
      </c>
    </row>
    <row r="269">
      <c r="A269" s="12" t="n"/>
      <c r="B269">
        <f>IF($T269="","",INDEX('Per Line'!$A$2:$A$1001,$T269)&amp;"")</f>
        <v/>
      </c>
      <c r="C269" s="12" t="n"/>
      <c r="D269">
        <f>IF($T269="","",INDEX('Per Line'!$B$2:$B$1001,$T269)&amp;"")</f>
        <v/>
      </c>
      <c r="E269">
        <f>IF($T269="","",INDEX('Per Line'!$C$2:$C$1001,$T269)&amp;"")</f>
        <v/>
      </c>
      <c r="F269">
        <f>IF($T269="","",INDEX('Per Line'!$D$2:$D$1001,$T269)&amp;"")</f>
        <v/>
      </c>
      <c r="G269">
        <f>IF($T269="","",INDEX('Per Line'!$E$2:$E$1001,$T269))</f>
        <v/>
      </c>
      <c r="H269" s="7">
        <f>IF($T269="","",G269*R269/100)</f>
        <v/>
      </c>
      <c r="I269" s="11">
        <f>IF($T269="","",INDEX('Per Line'!$Q$2:$Q$1001,$T269))</f>
        <v/>
      </c>
      <c r="J269">
        <f>IF($T269="","",Settings!$C$7)</f>
        <v/>
      </c>
      <c r="K269" s="7">
        <f>IF($T269="","",SUMIFS('Per Line'!$K$2:$K$1001,'Per Line'!$A$2:$A$1001,$B269,'Per Line'!$V$2:$V$1001,0))</f>
        <v/>
      </c>
      <c r="L269" s="7">
        <f>IF($T269="","",K269*J269)</f>
        <v/>
      </c>
      <c r="M269">
        <f>IF($T269="","",Settings!$C$6)</f>
        <v/>
      </c>
      <c r="N269" s="7">
        <f>IF($T269="","",SUMIFS('Per Line'!$K$2:$K$1001,'Per Line'!$A$2:$A$1001,$B269,'Per Line'!$V$2:$V$1001,1))</f>
        <v/>
      </c>
      <c r="O269" s="7">
        <f>IF($T269="","",N269*M269)</f>
        <v/>
      </c>
      <c r="P269" s="7">
        <f>IF($T269="","",O269+L269)</f>
        <v/>
      </c>
      <c r="Q269" s="7">
        <f>IF($T269="","",R269-P269)</f>
        <v/>
      </c>
      <c r="R269" s="7">
        <f>IF($T269="","",K269+N269)</f>
        <v/>
      </c>
      <c r="S269" s="7">
        <f>IF($T269="","",R269-P269-H269)</f>
        <v/>
      </c>
      <c r="T269" s="13">
        <f>IF(ROWS($T$2:$T269)&lt;=MAX('Per Line'!$U$2:$U$1001),MATCH(ROWS($T$2:$T269),'Per Line'!$U$2:$U$1001,0),"")</f>
        <v/>
      </c>
    </row>
    <row r="270">
      <c r="A270" s="12" t="n"/>
      <c r="B270">
        <f>IF($T270="","",INDEX('Per Line'!$A$2:$A$1001,$T270)&amp;"")</f>
        <v/>
      </c>
      <c r="C270" s="12" t="n"/>
      <c r="D270">
        <f>IF($T270="","",INDEX('Per Line'!$B$2:$B$1001,$T270)&amp;"")</f>
        <v/>
      </c>
      <c r="E270">
        <f>IF($T270="","",INDEX('Per Line'!$C$2:$C$1001,$T270)&amp;"")</f>
        <v/>
      </c>
      <c r="F270">
        <f>IF($T270="","",INDEX('Per Line'!$D$2:$D$1001,$T270)&amp;"")</f>
        <v/>
      </c>
      <c r="G270">
        <f>IF($T270="","",INDEX('Per Line'!$E$2:$E$1001,$T270))</f>
        <v/>
      </c>
      <c r="H270" s="7">
        <f>IF($T270="","",G270*R270/100)</f>
        <v/>
      </c>
      <c r="I270" s="11">
        <f>IF($T270="","",INDEX('Per Line'!$Q$2:$Q$1001,$T270))</f>
        <v/>
      </c>
      <c r="J270">
        <f>IF($T270="","",Settings!$C$7)</f>
        <v/>
      </c>
      <c r="K270" s="7">
        <f>IF($T270="","",SUMIFS('Per Line'!$K$2:$K$1001,'Per Line'!$A$2:$A$1001,$B270,'Per Line'!$V$2:$V$1001,0))</f>
        <v/>
      </c>
      <c r="L270" s="7">
        <f>IF($T270="","",K270*J270)</f>
        <v/>
      </c>
      <c r="M270">
        <f>IF($T270="","",Settings!$C$6)</f>
        <v/>
      </c>
      <c r="N270" s="7">
        <f>IF($T270="","",SUMIFS('Per Line'!$K$2:$K$1001,'Per Line'!$A$2:$A$1001,$B270,'Per Line'!$V$2:$V$1001,1))</f>
        <v/>
      </c>
      <c r="O270" s="7">
        <f>IF($T270="","",N270*M270)</f>
        <v/>
      </c>
      <c r="P270" s="7">
        <f>IF($T270="","",O270+L270)</f>
        <v/>
      </c>
      <c r="Q270" s="7">
        <f>IF($T270="","",R270-P270)</f>
        <v/>
      </c>
      <c r="R270" s="7">
        <f>IF($T270="","",K270+N270)</f>
        <v/>
      </c>
      <c r="S270" s="7">
        <f>IF($T270="","",R270-P270-H270)</f>
        <v/>
      </c>
      <c r="T270" s="13">
        <f>IF(ROWS($T$2:$T270)&lt;=MAX('Per Line'!$U$2:$U$1001),MATCH(ROWS($T$2:$T270),'Per Line'!$U$2:$U$1001,0),"")</f>
        <v/>
      </c>
    </row>
    <row r="271">
      <c r="A271" s="12" t="n"/>
      <c r="B271">
        <f>IF($T271="","",INDEX('Per Line'!$A$2:$A$1001,$T271)&amp;"")</f>
        <v/>
      </c>
      <c r="C271" s="12" t="n"/>
      <c r="D271">
        <f>IF($T271="","",INDEX('Per Line'!$B$2:$B$1001,$T271)&amp;"")</f>
        <v/>
      </c>
      <c r="E271">
        <f>IF($T271="","",INDEX('Per Line'!$C$2:$C$1001,$T271)&amp;"")</f>
        <v/>
      </c>
      <c r="F271">
        <f>IF($T271="","",INDEX('Per Line'!$D$2:$D$1001,$T271)&amp;"")</f>
        <v/>
      </c>
      <c r="G271">
        <f>IF($T271="","",INDEX('Per Line'!$E$2:$E$1001,$T271))</f>
        <v/>
      </c>
      <c r="H271" s="7">
        <f>IF($T271="","",G271*R271/100)</f>
        <v/>
      </c>
      <c r="I271" s="11">
        <f>IF($T271="","",INDEX('Per Line'!$Q$2:$Q$1001,$T271))</f>
        <v/>
      </c>
      <c r="J271">
        <f>IF($T271="","",Settings!$C$7)</f>
        <v/>
      </c>
      <c r="K271" s="7">
        <f>IF($T271="","",SUMIFS('Per Line'!$K$2:$K$1001,'Per Line'!$A$2:$A$1001,$B271,'Per Line'!$V$2:$V$1001,0))</f>
        <v/>
      </c>
      <c r="L271" s="7">
        <f>IF($T271="","",K271*J271)</f>
        <v/>
      </c>
      <c r="M271">
        <f>IF($T271="","",Settings!$C$6)</f>
        <v/>
      </c>
      <c r="N271" s="7">
        <f>IF($T271="","",SUMIFS('Per Line'!$K$2:$K$1001,'Per Line'!$A$2:$A$1001,$B271,'Per Line'!$V$2:$V$1001,1))</f>
        <v/>
      </c>
      <c r="O271" s="7">
        <f>IF($T271="","",N271*M271)</f>
        <v/>
      </c>
      <c r="P271" s="7">
        <f>IF($T271="","",O271+L271)</f>
        <v/>
      </c>
      <c r="Q271" s="7">
        <f>IF($T271="","",R271-P271)</f>
        <v/>
      </c>
      <c r="R271" s="7">
        <f>IF($T271="","",K271+N271)</f>
        <v/>
      </c>
      <c r="S271" s="7">
        <f>IF($T271="","",R271-P271-H271)</f>
        <v/>
      </c>
      <c r="T271" s="13">
        <f>IF(ROWS($T$2:$T271)&lt;=MAX('Per Line'!$U$2:$U$1001),MATCH(ROWS($T$2:$T271),'Per Line'!$U$2:$U$1001,0),"")</f>
        <v/>
      </c>
    </row>
    <row r="272">
      <c r="A272" s="12" t="n"/>
      <c r="B272">
        <f>IF($T272="","",INDEX('Per Line'!$A$2:$A$1001,$T272)&amp;"")</f>
        <v/>
      </c>
      <c r="C272" s="12" t="n"/>
      <c r="D272">
        <f>IF($T272="","",INDEX('Per Line'!$B$2:$B$1001,$T272)&amp;"")</f>
        <v/>
      </c>
      <c r="E272">
        <f>IF($T272="","",INDEX('Per Line'!$C$2:$C$1001,$T272)&amp;"")</f>
        <v/>
      </c>
      <c r="F272">
        <f>IF($T272="","",INDEX('Per Line'!$D$2:$D$1001,$T272)&amp;"")</f>
        <v/>
      </c>
      <c r="G272">
        <f>IF($T272="","",INDEX('Per Line'!$E$2:$E$1001,$T272))</f>
        <v/>
      </c>
      <c r="H272" s="7">
        <f>IF($T272="","",G272*R272/100)</f>
        <v/>
      </c>
      <c r="I272" s="11">
        <f>IF($T272="","",INDEX('Per Line'!$Q$2:$Q$1001,$T272))</f>
        <v/>
      </c>
      <c r="J272">
        <f>IF($T272="","",Settings!$C$7)</f>
        <v/>
      </c>
      <c r="K272" s="7">
        <f>IF($T272="","",SUMIFS('Per Line'!$K$2:$K$1001,'Per Line'!$A$2:$A$1001,$B272,'Per Line'!$V$2:$V$1001,0))</f>
        <v/>
      </c>
      <c r="L272" s="7">
        <f>IF($T272="","",K272*J272)</f>
        <v/>
      </c>
      <c r="M272">
        <f>IF($T272="","",Settings!$C$6)</f>
        <v/>
      </c>
      <c r="N272" s="7">
        <f>IF($T272="","",SUMIFS('Per Line'!$K$2:$K$1001,'Per Line'!$A$2:$A$1001,$B272,'Per Line'!$V$2:$V$1001,1))</f>
        <v/>
      </c>
      <c r="O272" s="7">
        <f>IF($T272="","",N272*M272)</f>
        <v/>
      </c>
      <c r="P272" s="7">
        <f>IF($T272="","",O272+L272)</f>
        <v/>
      </c>
      <c r="Q272" s="7">
        <f>IF($T272="","",R272-P272)</f>
        <v/>
      </c>
      <c r="R272" s="7">
        <f>IF($T272="","",K272+N272)</f>
        <v/>
      </c>
      <c r="S272" s="7">
        <f>IF($T272="","",R272-P272-H272)</f>
        <v/>
      </c>
      <c r="T272" s="13">
        <f>IF(ROWS($T$2:$T272)&lt;=MAX('Per Line'!$U$2:$U$1001),MATCH(ROWS($T$2:$T272),'Per Line'!$U$2:$U$1001,0),"")</f>
        <v/>
      </c>
    </row>
    <row r="273">
      <c r="A273" s="12" t="n"/>
      <c r="B273">
        <f>IF($T273="","",INDEX('Per Line'!$A$2:$A$1001,$T273)&amp;"")</f>
        <v/>
      </c>
      <c r="C273" s="12" t="n"/>
      <c r="D273">
        <f>IF($T273="","",INDEX('Per Line'!$B$2:$B$1001,$T273)&amp;"")</f>
        <v/>
      </c>
      <c r="E273">
        <f>IF($T273="","",INDEX('Per Line'!$C$2:$C$1001,$T273)&amp;"")</f>
        <v/>
      </c>
      <c r="F273">
        <f>IF($T273="","",INDEX('Per Line'!$D$2:$D$1001,$T273)&amp;"")</f>
        <v/>
      </c>
      <c r="G273">
        <f>IF($T273="","",INDEX('Per Line'!$E$2:$E$1001,$T273))</f>
        <v/>
      </c>
      <c r="H273" s="7">
        <f>IF($T273="","",G273*R273/100)</f>
        <v/>
      </c>
      <c r="I273" s="11">
        <f>IF($T273="","",INDEX('Per Line'!$Q$2:$Q$1001,$T273))</f>
        <v/>
      </c>
      <c r="J273">
        <f>IF($T273="","",Settings!$C$7)</f>
        <v/>
      </c>
      <c r="K273" s="7">
        <f>IF($T273="","",SUMIFS('Per Line'!$K$2:$K$1001,'Per Line'!$A$2:$A$1001,$B273,'Per Line'!$V$2:$V$1001,0))</f>
        <v/>
      </c>
      <c r="L273" s="7">
        <f>IF($T273="","",K273*J273)</f>
        <v/>
      </c>
      <c r="M273">
        <f>IF($T273="","",Settings!$C$6)</f>
        <v/>
      </c>
      <c r="N273" s="7">
        <f>IF($T273="","",SUMIFS('Per Line'!$K$2:$K$1001,'Per Line'!$A$2:$A$1001,$B273,'Per Line'!$V$2:$V$1001,1))</f>
        <v/>
      </c>
      <c r="O273" s="7">
        <f>IF($T273="","",N273*M273)</f>
        <v/>
      </c>
      <c r="P273" s="7">
        <f>IF($T273="","",O273+L273)</f>
        <v/>
      </c>
      <c r="Q273" s="7">
        <f>IF($T273="","",R273-P273)</f>
        <v/>
      </c>
      <c r="R273" s="7">
        <f>IF($T273="","",K273+N273)</f>
        <v/>
      </c>
      <c r="S273" s="7">
        <f>IF($T273="","",R273-P273-H273)</f>
        <v/>
      </c>
      <c r="T273" s="13">
        <f>IF(ROWS($T$2:$T273)&lt;=MAX('Per Line'!$U$2:$U$1001),MATCH(ROWS($T$2:$T273),'Per Line'!$U$2:$U$1001,0),"")</f>
        <v/>
      </c>
    </row>
    <row r="274">
      <c r="A274" s="12" t="n"/>
      <c r="B274">
        <f>IF($T274="","",INDEX('Per Line'!$A$2:$A$1001,$T274)&amp;"")</f>
        <v/>
      </c>
      <c r="C274" s="12" t="n"/>
      <c r="D274">
        <f>IF($T274="","",INDEX('Per Line'!$B$2:$B$1001,$T274)&amp;"")</f>
        <v/>
      </c>
      <c r="E274">
        <f>IF($T274="","",INDEX('Per Line'!$C$2:$C$1001,$T274)&amp;"")</f>
        <v/>
      </c>
      <c r="F274">
        <f>IF($T274="","",INDEX('Per Line'!$D$2:$D$1001,$T274)&amp;"")</f>
        <v/>
      </c>
      <c r="G274">
        <f>IF($T274="","",INDEX('Per Line'!$E$2:$E$1001,$T274))</f>
        <v/>
      </c>
      <c r="H274" s="7">
        <f>IF($T274="","",G274*R274/100)</f>
        <v/>
      </c>
      <c r="I274" s="11">
        <f>IF($T274="","",INDEX('Per Line'!$Q$2:$Q$1001,$T274))</f>
        <v/>
      </c>
      <c r="J274">
        <f>IF($T274="","",Settings!$C$7)</f>
        <v/>
      </c>
      <c r="K274" s="7">
        <f>IF($T274="","",SUMIFS('Per Line'!$K$2:$K$1001,'Per Line'!$A$2:$A$1001,$B274,'Per Line'!$V$2:$V$1001,0))</f>
        <v/>
      </c>
      <c r="L274" s="7">
        <f>IF($T274="","",K274*J274)</f>
        <v/>
      </c>
      <c r="M274">
        <f>IF($T274="","",Settings!$C$6)</f>
        <v/>
      </c>
      <c r="N274" s="7">
        <f>IF($T274="","",SUMIFS('Per Line'!$K$2:$K$1001,'Per Line'!$A$2:$A$1001,$B274,'Per Line'!$V$2:$V$1001,1))</f>
        <v/>
      </c>
      <c r="O274" s="7">
        <f>IF($T274="","",N274*M274)</f>
        <v/>
      </c>
      <c r="P274" s="7">
        <f>IF($T274="","",O274+L274)</f>
        <v/>
      </c>
      <c r="Q274" s="7">
        <f>IF($T274="","",R274-P274)</f>
        <v/>
      </c>
      <c r="R274" s="7">
        <f>IF($T274="","",K274+N274)</f>
        <v/>
      </c>
      <c r="S274" s="7">
        <f>IF($T274="","",R274-P274-H274)</f>
        <v/>
      </c>
      <c r="T274" s="13">
        <f>IF(ROWS($T$2:$T274)&lt;=MAX('Per Line'!$U$2:$U$1001),MATCH(ROWS($T$2:$T274),'Per Line'!$U$2:$U$1001,0),"")</f>
        <v/>
      </c>
    </row>
    <row r="275">
      <c r="A275" s="12" t="n"/>
      <c r="B275">
        <f>IF($T275="","",INDEX('Per Line'!$A$2:$A$1001,$T275)&amp;"")</f>
        <v/>
      </c>
      <c r="C275" s="12" t="n"/>
      <c r="D275">
        <f>IF($T275="","",INDEX('Per Line'!$B$2:$B$1001,$T275)&amp;"")</f>
        <v/>
      </c>
      <c r="E275">
        <f>IF($T275="","",INDEX('Per Line'!$C$2:$C$1001,$T275)&amp;"")</f>
        <v/>
      </c>
      <c r="F275">
        <f>IF($T275="","",INDEX('Per Line'!$D$2:$D$1001,$T275)&amp;"")</f>
        <v/>
      </c>
      <c r="G275">
        <f>IF($T275="","",INDEX('Per Line'!$E$2:$E$1001,$T275))</f>
        <v/>
      </c>
      <c r="H275" s="7">
        <f>IF($T275="","",G275*R275/100)</f>
        <v/>
      </c>
      <c r="I275" s="11">
        <f>IF($T275="","",INDEX('Per Line'!$Q$2:$Q$1001,$T275))</f>
        <v/>
      </c>
      <c r="J275">
        <f>IF($T275="","",Settings!$C$7)</f>
        <v/>
      </c>
      <c r="K275" s="7">
        <f>IF($T275="","",SUMIFS('Per Line'!$K$2:$K$1001,'Per Line'!$A$2:$A$1001,$B275,'Per Line'!$V$2:$V$1001,0))</f>
        <v/>
      </c>
      <c r="L275" s="7">
        <f>IF($T275="","",K275*J275)</f>
        <v/>
      </c>
      <c r="M275">
        <f>IF($T275="","",Settings!$C$6)</f>
        <v/>
      </c>
      <c r="N275" s="7">
        <f>IF($T275="","",SUMIFS('Per Line'!$K$2:$K$1001,'Per Line'!$A$2:$A$1001,$B275,'Per Line'!$V$2:$V$1001,1))</f>
        <v/>
      </c>
      <c r="O275" s="7">
        <f>IF($T275="","",N275*M275)</f>
        <v/>
      </c>
      <c r="P275" s="7">
        <f>IF($T275="","",O275+L275)</f>
        <v/>
      </c>
      <c r="Q275" s="7">
        <f>IF($T275="","",R275-P275)</f>
        <v/>
      </c>
      <c r="R275" s="7">
        <f>IF($T275="","",K275+N275)</f>
        <v/>
      </c>
      <c r="S275" s="7">
        <f>IF($T275="","",R275-P275-H275)</f>
        <v/>
      </c>
      <c r="T275" s="13">
        <f>IF(ROWS($T$2:$T275)&lt;=MAX('Per Line'!$U$2:$U$1001),MATCH(ROWS($T$2:$T275),'Per Line'!$U$2:$U$1001,0),"")</f>
        <v/>
      </c>
    </row>
    <row r="276">
      <c r="A276" s="12" t="n"/>
      <c r="B276">
        <f>IF($T276="","",INDEX('Per Line'!$A$2:$A$1001,$T276)&amp;"")</f>
        <v/>
      </c>
      <c r="C276" s="12" t="n"/>
      <c r="D276">
        <f>IF($T276="","",INDEX('Per Line'!$B$2:$B$1001,$T276)&amp;"")</f>
        <v/>
      </c>
      <c r="E276">
        <f>IF($T276="","",INDEX('Per Line'!$C$2:$C$1001,$T276)&amp;"")</f>
        <v/>
      </c>
      <c r="F276">
        <f>IF($T276="","",INDEX('Per Line'!$D$2:$D$1001,$T276)&amp;"")</f>
        <v/>
      </c>
      <c r="G276">
        <f>IF($T276="","",INDEX('Per Line'!$E$2:$E$1001,$T276))</f>
        <v/>
      </c>
      <c r="H276" s="7">
        <f>IF($T276="","",G276*R276/100)</f>
        <v/>
      </c>
      <c r="I276" s="11">
        <f>IF($T276="","",INDEX('Per Line'!$Q$2:$Q$1001,$T276))</f>
        <v/>
      </c>
      <c r="J276">
        <f>IF($T276="","",Settings!$C$7)</f>
        <v/>
      </c>
      <c r="K276" s="7">
        <f>IF($T276="","",SUMIFS('Per Line'!$K$2:$K$1001,'Per Line'!$A$2:$A$1001,$B276,'Per Line'!$V$2:$V$1001,0))</f>
        <v/>
      </c>
      <c r="L276" s="7">
        <f>IF($T276="","",K276*J276)</f>
        <v/>
      </c>
      <c r="M276">
        <f>IF($T276="","",Settings!$C$6)</f>
        <v/>
      </c>
      <c r="N276" s="7">
        <f>IF($T276="","",SUMIFS('Per Line'!$K$2:$K$1001,'Per Line'!$A$2:$A$1001,$B276,'Per Line'!$V$2:$V$1001,1))</f>
        <v/>
      </c>
      <c r="O276" s="7">
        <f>IF($T276="","",N276*M276)</f>
        <v/>
      </c>
      <c r="P276" s="7">
        <f>IF($T276="","",O276+L276)</f>
        <v/>
      </c>
      <c r="Q276" s="7">
        <f>IF($T276="","",R276-P276)</f>
        <v/>
      </c>
      <c r="R276" s="7">
        <f>IF($T276="","",K276+N276)</f>
        <v/>
      </c>
      <c r="S276" s="7">
        <f>IF($T276="","",R276-P276-H276)</f>
        <v/>
      </c>
      <c r="T276" s="13">
        <f>IF(ROWS($T$2:$T276)&lt;=MAX('Per Line'!$U$2:$U$1001),MATCH(ROWS($T$2:$T276),'Per Line'!$U$2:$U$1001,0),"")</f>
        <v/>
      </c>
    </row>
    <row r="277">
      <c r="A277" s="12" t="n"/>
      <c r="B277">
        <f>IF($T277="","",INDEX('Per Line'!$A$2:$A$1001,$T277)&amp;"")</f>
        <v/>
      </c>
      <c r="C277" s="12" t="n"/>
      <c r="D277">
        <f>IF($T277="","",INDEX('Per Line'!$B$2:$B$1001,$T277)&amp;"")</f>
        <v/>
      </c>
      <c r="E277">
        <f>IF($T277="","",INDEX('Per Line'!$C$2:$C$1001,$T277)&amp;"")</f>
        <v/>
      </c>
      <c r="F277">
        <f>IF($T277="","",INDEX('Per Line'!$D$2:$D$1001,$T277)&amp;"")</f>
        <v/>
      </c>
      <c r="G277">
        <f>IF($T277="","",INDEX('Per Line'!$E$2:$E$1001,$T277))</f>
        <v/>
      </c>
      <c r="H277" s="7">
        <f>IF($T277="","",G277*R277/100)</f>
        <v/>
      </c>
      <c r="I277" s="11">
        <f>IF($T277="","",INDEX('Per Line'!$Q$2:$Q$1001,$T277))</f>
        <v/>
      </c>
      <c r="J277">
        <f>IF($T277="","",Settings!$C$7)</f>
        <v/>
      </c>
      <c r="K277" s="7">
        <f>IF($T277="","",SUMIFS('Per Line'!$K$2:$K$1001,'Per Line'!$A$2:$A$1001,$B277,'Per Line'!$V$2:$V$1001,0))</f>
        <v/>
      </c>
      <c r="L277" s="7">
        <f>IF($T277="","",K277*J277)</f>
        <v/>
      </c>
      <c r="M277">
        <f>IF($T277="","",Settings!$C$6)</f>
        <v/>
      </c>
      <c r="N277" s="7">
        <f>IF($T277="","",SUMIFS('Per Line'!$K$2:$K$1001,'Per Line'!$A$2:$A$1001,$B277,'Per Line'!$V$2:$V$1001,1))</f>
        <v/>
      </c>
      <c r="O277" s="7">
        <f>IF($T277="","",N277*M277)</f>
        <v/>
      </c>
      <c r="P277" s="7">
        <f>IF($T277="","",O277+L277)</f>
        <v/>
      </c>
      <c r="Q277" s="7">
        <f>IF($T277="","",R277-P277)</f>
        <v/>
      </c>
      <c r="R277" s="7">
        <f>IF($T277="","",K277+N277)</f>
        <v/>
      </c>
      <c r="S277" s="7">
        <f>IF($T277="","",R277-P277-H277)</f>
        <v/>
      </c>
      <c r="T277" s="13">
        <f>IF(ROWS($T$2:$T277)&lt;=MAX('Per Line'!$U$2:$U$1001),MATCH(ROWS($T$2:$T277),'Per Line'!$U$2:$U$1001,0),"")</f>
        <v/>
      </c>
    </row>
    <row r="278">
      <c r="A278" s="12" t="n"/>
      <c r="B278">
        <f>IF($T278="","",INDEX('Per Line'!$A$2:$A$1001,$T278)&amp;"")</f>
        <v/>
      </c>
      <c r="C278" s="12" t="n"/>
      <c r="D278">
        <f>IF($T278="","",INDEX('Per Line'!$B$2:$B$1001,$T278)&amp;"")</f>
        <v/>
      </c>
      <c r="E278">
        <f>IF($T278="","",INDEX('Per Line'!$C$2:$C$1001,$T278)&amp;"")</f>
        <v/>
      </c>
      <c r="F278">
        <f>IF($T278="","",INDEX('Per Line'!$D$2:$D$1001,$T278)&amp;"")</f>
        <v/>
      </c>
      <c r="G278">
        <f>IF($T278="","",INDEX('Per Line'!$E$2:$E$1001,$T278))</f>
        <v/>
      </c>
      <c r="H278" s="7">
        <f>IF($T278="","",G278*R278/100)</f>
        <v/>
      </c>
      <c r="I278" s="11">
        <f>IF($T278="","",INDEX('Per Line'!$Q$2:$Q$1001,$T278))</f>
        <v/>
      </c>
      <c r="J278">
        <f>IF($T278="","",Settings!$C$7)</f>
        <v/>
      </c>
      <c r="K278" s="7">
        <f>IF($T278="","",SUMIFS('Per Line'!$K$2:$K$1001,'Per Line'!$A$2:$A$1001,$B278,'Per Line'!$V$2:$V$1001,0))</f>
        <v/>
      </c>
      <c r="L278" s="7">
        <f>IF($T278="","",K278*J278)</f>
        <v/>
      </c>
      <c r="M278">
        <f>IF($T278="","",Settings!$C$6)</f>
        <v/>
      </c>
      <c r="N278" s="7">
        <f>IF($T278="","",SUMIFS('Per Line'!$K$2:$K$1001,'Per Line'!$A$2:$A$1001,$B278,'Per Line'!$V$2:$V$1001,1))</f>
        <v/>
      </c>
      <c r="O278" s="7">
        <f>IF($T278="","",N278*M278)</f>
        <v/>
      </c>
      <c r="P278" s="7">
        <f>IF($T278="","",O278+L278)</f>
        <v/>
      </c>
      <c r="Q278" s="7">
        <f>IF($T278="","",R278-P278)</f>
        <v/>
      </c>
      <c r="R278" s="7">
        <f>IF($T278="","",K278+N278)</f>
        <v/>
      </c>
      <c r="S278" s="7">
        <f>IF($T278="","",R278-P278-H278)</f>
        <v/>
      </c>
      <c r="T278" s="13">
        <f>IF(ROWS($T$2:$T278)&lt;=MAX('Per Line'!$U$2:$U$1001),MATCH(ROWS($T$2:$T278),'Per Line'!$U$2:$U$1001,0),"")</f>
        <v/>
      </c>
    </row>
    <row r="279">
      <c r="A279" s="12" t="n"/>
      <c r="B279">
        <f>IF($T279="","",INDEX('Per Line'!$A$2:$A$1001,$T279)&amp;"")</f>
        <v/>
      </c>
      <c r="C279" s="12" t="n"/>
      <c r="D279">
        <f>IF($T279="","",INDEX('Per Line'!$B$2:$B$1001,$T279)&amp;"")</f>
        <v/>
      </c>
      <c r="E279">
        <f>IF($T279="","",INDEX('Per Line'!$C$2:$C$1001,$T279)&amp;"")</f>
        <v/>
      </c>
      <c r="F279">
        <f>IF($T279="","",INDEX('Per Line'!$D$2:$D$1001,$T279)&amp;"")</f>
        <v/>
      </c>
      <c r="G279">
        <f>IF($T279="","",INDEX('Per Line'!$E$2:$E$1001,$T279))</f>
        <v/>
      </c>
      <c r="H279" s="7">
        <f>IF($T279="","",G279*R279/100)</f>
        <v/>
      </c>
      <c r="I279" s="11">
        <f>IF($T279="","",INDEX('Per Line'!$Q$2:$Q$1001,$T279))</f>
        <v/>
      </c>
      <c r="J279">
        <f>IF($T279="","",Settings!$C$7)</f>
        <v/>
      </c>
      <c r="K279" s="7">
        <f>IF($T279="","",SUMIFS('Per Line'!$K$2:$K$1001,'Per Line'!$A$2:$A$1001,$B279,'Per Line'!$V$2:$V$1001,0))</f>
        <v/>
      </c>
      <c r="L279" s="7">
        <f>IF($T279="","",K279*J279)</f>
        <v/>
      </c>
      <c r="M279">
        <f>IF($T279="","",Settings!$C$6)</f>
        <v/>
      </c>
      <c r="N279" s="7">
        <f>IF($T279="","",SUMIFS('Per Line'!$K$2:$K$1001,'Per Line'!$A$2:$A$1001,$B279,'Per Line'!$V$2:$V$1001,1))</f>
        <v/>
      </c>
      <c r="O279" s="7">
        <f>IF($T279="","",N279*M279)</f>
        <v/>
      </c>
      <c r="P279" s="7">
        <f>IF($T279="","",O279+L279)</f>
        <v/>
      </c>
      <c r="Q279" s="7">
        <f>IF($T279="","",R279-P279)</f>
        <v/>
      </c>
      <c r="R279" s="7">
        <f>IF($T279="","",K279+N279)</f>
        <v/>
      </c>
      <c r="S279" s="7">
        <f>IF($T279="","",R279-P279-H279)</f>
        <v/>
      </c>
      <c r="T279" s="13">
        <f>IF(ROWS($T$2:$T279)&lt;=MAX('Per Line'!$U$2:$U$1001),MATCH(ROWS($T$2:$T279),'Per Line'!$U$2:$U$1001,0),"")</f>
        <v/>
      </c>
    </row>
    <row r="280">
      <c r="A280" s="12" t="n"/>
      <c r="B280">
        <f>IF($T280="","",INDEX('Per Line'!$A$2:$A$1001,$T280)&amp;"")</f>
        <v/>
      </c>
      <c r="C280" s="12" t="n"/>
      <c r="D280">
        <f>IF($T280="","",INDEX('Per Line'!$B$2:$B$1001,$T280)&amp;"")</f>
        <v/>
      </c>
      <c r="E280">
        <f>IF($T280="","",INDEX('Per Line'!$C$2:$C$1001,$T280)&amp;"")</f>
        <v/>
      </c>
      <c r="F280">
        <f>IF($T280="","",INDEX('Per Line'!$D$2:$D$1001,$T280)&amp;"")</f>
        <v/>
      </c>
      <c r="G280">
        <f>IF($T280="","",INDEX('Per Line'!$E$2:$E$1001,$T280))</f>
        <v/>
      </c>
      <c r="H280" s="7">
        <f>IF($T280="","",G280*R280/100)</f>
        <v/>
      </c>
      <c r="I280" s="11">
        <f>IF($T280="","",INDEX('Per Line'!$Q$2:$Q$1001,$T280))</f>
        <v/>
      </c>
      <c r="J280">
        <f>IF($T280="","",Settings!$C$7)</f>
        <v/>
      </c>
      <c r="K280" s="7">
        <f>IF($T280="","",SUMIFS('Per Line'!$K$2:$K$1001,'Per Line'!$A$2:$A$1001,$B280,'Per Line'!$V$2:$V$1001,0))</f>
        <v/>
      </c>
      <c r="L280" s="7">
        <f>IF($T280="","",K280*J280)</f>
        <v/>
      </c>
      <c r="M280">
        <f>IF($T280="","",Settings!$C$6)</f>
        <v/>
      </c>
      <c r="N280" s="7">
        <f>IF($T280="","",SUMIFS('Per Line'!$K$2:$K$1001,'Per Line'!$A$2:$A$1001,$B280,'Per Line'!$V$2:$V$1001,1))</f>
        <v/>
      </c>
      <c r="O280" s="7">
        <f>IF($T280="","",N280*M280)</f>
        <v/>
      </c>
      <c r="P280" s="7">
        <f>IF($T280="","",O280+L280)</f>
        <v/>
      </c>
      <c r="Q280" s="7">
        <f>IF($T280="","",R280-P280)</f>
        <v/>
      </c>
      <c r="R280" s="7">
        <f>IF($T280="","",K280+N280)</f>
        <v/>
      </c>
      <c r="S280" s="7">
        <f>IF($T280="","",R280-P280-H280)</f>
        <v/>
      </c>
      <c r="T280" s="13">
        <f>IF(ROWS($T$2:$T280)&lt;=MAX('Per Line'!$U$2:$U$1001),MATCH(ROWS($T$2:$T280),'Per Line'!$U$2:$U$1001,0),"")</f>
        <v/>
      </c>
    </row>
    <row r="281">
      <c r="A281" s="12" t="n"/>
      <c r="B281">
        <f>IF($T281="","",INDEX('Per Line'!$A$2:$A$1001,$T281)&amp;"")</f>
        <v/>
      </c>
      <c r="C281" s="12" t="n"/>
      <c r="D281">
        <f>IF($T281="","",INDEX('Per Line'!$B$2:$B$1001,$T281)&amp;"")</f>
        <v/>
      </c>
      <c r="E281">
        <f>IF($T281="","",INDEX('Per Line'!$C$2:$C$1001,$T281)&amp;"")</f>
        <v/>
      </c>
      <c r="F281">
        <f>IF($T281="","",INDEX('Per Line'!$D$2:$D$1001,$T281)&amp;"")</f>
        <v/>
      </c>
      <c r="G281">
        <f>IF($T281="","",INDEX('Per Line'!$E$2:$E$1001,$T281))</f>
        <v/>
      </c>
      <c r="H281" s="7">
        <f>IF($T281="","",G281*R281/100)</f>
        <v/>
      </c>
      <c r="I281" s="11">
        <f>IF($T281="","",INDEX('Per Line'!$Q$2:$Q$1001,$T281))</f>
        <v/>
      </c>
      <c r="J281">
        <f>IF($T281="","",Settings!$C$7)</f>
        <v/>
      </c>
      <c r="K281" s="7">
        <f>IF($T281="","",SUMIFS('Per Line'!$K$2:$K$1001,'Per Line'!$A$2:$A$1001,$B281,'Per Line'!$V$2:$V$1001,0))</f>
        <v/>
      </c>
      <c r="L281" s="7">
        <f>IF($T281="","",K281*J281)</f>
        <v/>
      </c>
      <c r="M281">
        <f>IF($T281="","",Settings!$C$6)</f>
        <v/>
      </c>
      <c r="N281" s="7">
        <f>IF($T281="","",SUMIFS('Per Line'!$K$2:$K$1001,'Per Line'!$A$2:$A$1001,$B281,'Per Line'!$V$2:$V$1001,1))</f>
        <v/>
      </c>
      <c r="O281" s="7">
        <f>IF($T281="","",N281*M281)</f>
        <v/>
      </c>
      <c r="P281" s="7">
        <f>IF($T281="","",O281+L281)</f>
        <v/>
      </c>
      <c r="Q281" s="7">
        <f>IF($T281="","",R281-P281)</f>
        <v/>
      </c>
      <c r="R281" s="7">
        <f>IF($T281="","",K281+N281)</f>
        <v/>
      </c>
      <c r="S281" s="7">
        <f>IF($T281="","",R281-P281-H281)</f>
        <v/>
      </c>
      <c r="T281" s="13">
        <f>IF(ROWS($T$2:$T281)&lt;=MAX('Per Line'!$U$2:$U$1001),MATCH(ROWS($T$2:$T281),'Per Line'!$U$2:$U$1001,0),"")</f>
        <v/>
      </c>
    </row>
    <row r="282">
      <c r="A282" s="12" t="n"/>
      <c r="B282">
        <f>IF($T282="","",INDEX('Per Line'!$A$2:$A$1001,$T282)&amp;"")</f>
        <v/>
      </c>
      <c r="C282" s="12" t="n"/>
      <c r="D282">
        <f>IF($T282="","",INDEX('Per Line'!$B$2:$B$1001,$T282)&amp;"")</f>
        <v/>
      </c>
      <c r="E282">
        <f>IF($T282="","",INDEX('Per Line'!$C$2:$C$1001,$T282)&amp;"")</f>
        <v/>
      </c>
      <c r="F282">
        <f>IF($T282="","",INDEX('Per Line'!$D$2:$D$1001,$T282)&amp;"")</f>
        <v/>
      </c>
      <c r="G282">
        <f>IF($T282="","",INDEX('Per Line'!$E$2:$E$1001,$T282))</f>
        <v/>
      </c>
      <c r="H282" s="7">
        <f>IF($T282="","",G282*R282/100)</f>
        <v/>
      </c>
      <c r="I282" s="11">
        <f>IF($T282="","",INDEX('Per Line'!$Q$2:$Q$1001,$T282))</f>
        <v/>
      </c>
      <c r="J282">
        <f>IF($T282="","",Settings!$C$7)</f>
        <v/>
      </c>
      <c r="K282" s="7">
        <f>IF($T282="","",SUMIFS('Per Line'!$K$2:$K$1001,'Per Line'!$A$2:$A$1001,$B282,'Per Line'!$V$2:$V$1001,0))</f>
        <v/>
      </c>
      <c r="L282" s="7">
        <f>IF($T282="","",K282*J282)</f>
        <v/>
      </c>
      <c r="M282">
        <f>IF($T282="","",Settings!$C$6)</f>
        <v/>
      </c>
      <c r="N282" s="7">
        <f>IF($T282="","",SUMIFS('Per Line'!$K$2:$K$1001,'Per Line'!$A$2:$A$1001,$B282,'Per Line'!$V$2:$V$1001,1))</f>
        <v/>
      </c>
      <c r="O282" s="7">
        <f>IF($T282="","",N282*M282)</f>
        <v/>
      </c>
      <c r="P282" s="7">
        <f>IF($T282="","",O282+L282)</f>
        <v/>
      </c>
      <c r="Q282" s="7">
        <f>IF($T282="","",R282-P282)</f>
        <v/>
      </c>
      <c r="R282" s="7">
        <f>IF($T282="","",K282+N282)</f>
        <v/>
      </c>
      <c r="S282" s="7">
        <f>IF($T282="","",R282-P282-H282)</f>
        <v/>
      </c>
      <c r="T282" s="13">
        <f>IF(ROWS($T$2:$T282)&lt;=MAX('Per Line'!$U$2:$U$1001),MATCH(ROWS($T$2:$T282),'Per Line'!$U$2:$U$1001,0),"")</f>
        <v/>
      </c>
    </row>
    <row r="283">
      <c r="A283" s="12" t="n"/>
      <c r="B283">
        <f>IF($T283="","",INDEX('Per Line'!$A$2:$A$1001,$T283)&amp;"")</f>
        <v/>
      </c>
      <c r="C283" s="12" t="n"/>
      <c r="D283">
        <f>IF($T283="","",INDEX('Per Line'!$B$2:$B$1001,$T283)&amp;"")</f>
        <v/>
      </c>
      <c r="E283">
        <f>IF($T283="","",INDEX('Per Line'!$C$2:$C$1001,$T283)&amp;"")</f>
        <v/>
      </c>
      <c r="F283">
        <f>IF($T283="","",INDEX('Per Line'!$D$2:$D$1001,$T283)&amp;"")</f>
        <v/>
      </c>
      <c r="G283">
        <f>IF($T283="","",INDEX('Per Line'!$E$2:$E$1001,$T283))</f>
        <v/>
      </c>
      <c r="H283" s="7">
        <f>IF($T283="","",G283*R283/100)</f>
        <v/>
      </c>
      <c r="I283" s="11">
        <f>IF($T283="","",INDEX('Per Line'!$Q$2:$Q$1001,$T283))</f>
        <v/>
      </c>
      <c r="J283">
        <f>IF($T283="","",Settings!$C$7)</f>
        <v/>
      </c>
      <c r="K283" s="7">
        <f>IF($T283="","",SUMIFS('Per Line'!$K$2:$K$1001,'Per Line'!$A$2:$A$1001,$B283,'Per Line'!$V$2:$V$1001,0))</f>
        <v/>
      </c>
      <c r="L283" s="7">
        <f>IF($T283="","",K283*J283)</f>
        <v/>
      </c>
      <c r="M283">
        <f>IF($T283="","",Settings!$C$6)</f>
        <v/>
      </c>
      <c r="N283" s="7">
        <f>IF($T283="","",SUMIFS('Per Line'!$K$2:$K$1001,'Per Line'!$A$2:$A$1001,$B283,'Per Line'!$V$2:$V$1001,1))</f>
        <v/>
      </c>
      <c r="O283" s="7">
        <f>IF($T283="","",N283*M283)</f>
        <v/>
      </c>
      <c r="P283" s="7">
        <f>IF($T283="","",O283+L283)</f>
        <v/>
      </c>
      <c r="Q283" s="7">
        <f>IF($T283="","",R283-P283)</f>
        <v/>
      </c>
      <c r="R283" s="7">
        <f>IF($T283="","",K283+N283)</f>
        <v/>
      </c>
      <c r="S283" s="7">
        <f>IF($T283="","",R283-P283-H283)</f>
        <v/>
      </c>
      <c r="T283" s="13">
        <f>IF(ROWS($T$2:$T283)&lt;=MAX('Per Line'!$U$2:$U$1001),MATCH(ROWS($T$2:$T283),'Per Line'!$U$2:$U$1001,0),"")</f>
        <v/>
      </c>
    </row>
    <row r="284">
      <c r="A284" s="12" t="n"/>
      <c r="B284">
        <f>IF($T284="","",INDEX('Per Line'!$A$2:$A$1001,$T284)&amp;"")</f>
        <v/>
      </c>
      <c r="C284" s="12" t="n"/>
      <c r="D284">
        <f>IF($T284="","",INDEX('Per Line'!$B$2:$B$1001,$T284)&amp;"")</f>
        <v/>
      </c>
      <c r="E284">
        <f>IF($T284="","",INDEX('Per Line'!$C$2:$C$1001,$T284)&amp;"")</f>
        <v/>
      </c>
      <c r="F284">
        <f>IF($T284="","",INDEX('Per Line'!$D$2:$D$1001,$T284)&amp;"")</f>
        <v/>
      </c>
      <c r="G284">
        <f>IF($T284="","",INDEX('Per Line'!$E$2:$E$1001,$T284))</f>
        <v/>
      </c>
      <c r="H284" s="7">
        <f>IF($T284="","",G284*R284/100)</f>
        <v/>
      </c>
      <c r="I284" s="11">
        <f>IF($T284="","",INDEX('Per Line'!$Q$2:$Q$1001,$T284))</f>
        <v/>
      </c>
      <c r="J284">
        <f>IF($T284="","",Settings!$C$7)</f>
        <v/>
      </c>
      <c r="K284" s="7">
        <f>IF($T284="","",SUMIFS('Per Line'!$K$2:$K$1001,'Per Line'!$A$2:$A$1001,$B284,'Per Line'!$V$2:$V$1001,0))</f>
        <v/>
      </c>
      <c r="L284" s="7">
        <f>IF($T284="","",K284*J284)</f>
        <v/>
      </c>
      <c r="M284">
        <f>IF($T284="","",Settings!$C$6)</f>
        <v/>
      </c>
      <c r="N284" s="7">
        <f>IF($T284="","",SUMIFS('Per Line'!$K$2:$K$1001,'Per Line'!$A$2:$A$1001,$B284,'Per Line'!$V$2:$V$1001,1))</f>
        <v/>
      </c>
      <c r="O284" s="7">
        <f>IF($T284="","",N284*M284)</f>
        <v/>
      </c>
      <c r="P284" s="7">
        <f>IF($T284="","",O284+L284)</f>
        <v/>
      </c>
      <c r="Q284" s="7">
        <f>IF($T284="","",R284-P284)</f>
        <v/>
      </c>
      <c r="R284" s="7">
        <f>IF($T284="","",K284+N284)</f>
        <v/>
      </c>
      <c r="S284" s="7">
        <f>IF($T284="","",R284-P284-H284)</f>
        <v/>
      </c>
      <c r="T284" s="13">
        <f>IF(ROWS($T$2:$T284)&lt;=MAX('Per Line'!$U$2:$U$1001),MATCH(ROWS($T$2:$T284),'Per Line'!$U$2:$U$1001,0),"")</f>
        <v/>
      </c>
    </row>
    <row r="285">
      <c r="A285" s="12" t="n"/>
      <c r="B285">
        <f>IF($T285="","",INDEX('Per Line'!$A$2:$A$1001,$T285)&amp;"")</f>
        <v/>
      </c>
      <c r="C285" s="12" t="n"/>
      <c r="D285">
        <f>IF($T285="","",INDEX('Per Line'!$B$2:$B$1001,$T285)&amp;"")</f>
        <v/>
      </c>
      <c r="E285">
        <f>IF($T285="","",INDEX('Per Line'!$C$2:$C$1001,$T285)&amp;"")</f>
        <v/>
      </c>
      <c r="F285">
        <f>IF($T285="","",INDEX('Per Line'!$D$2:$D$1001,$T285)&amp;"")</f>
        <v/>
      </c>
      <c r="G285">
        <f>IF($T285="","",INDEX('Per Line'!$E$2:$E$1001,$T285))</f>
        <v/>
      </c>
      <c r="H285" s="7">
        <f>IF($T285="","",G285*R285/100)</f>
        <v/>
      </c>
      <c r="I285" s="11">
        <f>IF($T285="","",INDEX('Per Line'!$Q$2:$Q$1001,$T285))</f>
        <v/>
      </c>
      <c r="J285">
        <f>IF($T285="","",Settings!$C$7)</f>
        <v/>
      </c>
      <c r="K285" s="7">
        <f>IF($T285="","",SUMIFS('Per Line'!$K$2:$K$1001,'Per Line'!$A$2:$A$1001,$B285,'Per Line'!$V$2:$V$1001,0))</f>
        <v/>
      </c>
      <c r="L285" s="7">
        <f>IF($T285="","",K285*J285)</f>
        <v/>
      </c>
      <c r="M285">
        <f>IF($T285="","",Settings!$C$6)</f>
        <v/>
      </c>
      <c r="N285" s="7">
        <f>IF($T285="","",SUMIFS('Per Line'!$K$2:$K$1001,'Per Line'!$A$2:$A$1001,$B285,'Per Line'!$V$2:$V$1001,1))</f>
        <v/>
      </c>
      <c r="O285" s="7">
        <f>IF($T285="","",N285*M285)</f>
        <v/>
      </c>
      <c r="P285" s="7">
        <f>IF($T285="","",O285+L285)</f>
        <v/>
      </c>
      <c r="Q285" s="7">
        <f>IF($T285="","",R285-P285)</f>
        <v/>
      </c>
      <c r="R285" s="7">
        <f>IF($T285="","",K285+N285)</f>
        <v/>
      </c>
      <c r="S285" s="7">
        <f>IF($T285="","",R285-P285-H285)</f>
        <v/>
      </c>
      <c r="T285" s="13">
        <f>IF(ROWS($T$2:$T285)&lt;=MAX('Per Line'!$U$2:$U$1001),MATCH(ROWS($T$2:$T285),'Per Line'!$U$2:$U$1001,0),"")</f>
        <v/>
      </c>
    </row>
    <row r="286">
      <c r="A286" s="12" t="n"/>
      <c r="B286">
        <f>IF($T286="","",INDEX('Per Line'!$A$2:$A$1001,$T286)&amp;"")</f>
        <v/>
      </c>
      <c r="C286" s="12" t="n"/>
      <c r="D286">
        <f>IF($T286="","",INDEX('Per Line'!$B$2:$B$1001,$T286)&amp;"")</f>
        <v/>
      </c>
      <c r="E286">
        <f>IF($T286="","",INDEX('Per Line'!$C$2:$C$1001,$T286)&amp;"")</f>
        <v/>
      </c>
      <c r="F286">
        <f>IF($T286="","",INDEX('Per Line'!$D$2:$D$1001,$T286)&amp;"")</f>
        <v/>
      </c>
      <c r="G286">
        <f>IF($T286="","",INDEX('Per Line'!$E$2:$E$1001,$T286))</f>
        <v/>
      </c>
      <c r="H286" s="7">
        <f>IF($T286="","",G286*R286/100)</f>
        <v/>
      </c>
      <c r="I286" s="11">
        <f>IF($T286="","",INDEX('Per Line'!$Q$2:$Q$1001,$T286))</f>
        <v/>
      </c>
      <c r="J286">
        <f>IF($T286="","",Settings!$C$7)</f>
        <v/>
      </c>
      <c r="K286" s="7">
        <f>IF($T286="","",SUMIFS('Per Line'!$K$2:$K$1001,'Per Line'!$A$2:$A$1001,$B286,'Per Line'!$V$2:$V$1001,0))</f>
        <v/>
      </c>
      <c r="L286" s="7">
        <f>IF($T286="","",K286*J286)</f>
        <v/>
      </c>
      <c r="M286">
        <f>IF($T286="","",Settings!$C$6)</f>
        <v/>
      </c>
      <c r="N286" s="7">
        <f>IF($T286="","",SUMIFS('Per Line'!$K$2:$K$1001,'Per Line'!$A$2:$A$1001,$B286,'Per Line'!$V$2:$V$1001,1))</f>
        <v/>
      </c>
      <c r="O286" s="7">
        <f>IF($T286="","",N286*M286)</f>
        <v/>
      </c>
      <c r="P286" s="7">
        <f>IF($T286="","",O286+L286)</f>
        <v/>
      </c>
      <c r="Q286" s="7">
        <f>IF($T286="","",R286-P286)</f>
        <v/>
      </c>
      <c r="R286" s="7">
        <f>IF($T286="","",K286+N286)</f>
        <v/>
      </c>
      <c r="S286" s="7">
        <f>IF($T286="","",R286-P286-H286)</f>
        <v/>
      </c>
      <c r="T286" s="13">
        <f>IF(ROWS($T$2:$T286)&lt;=MAX('Per Line'!$U$2:$U$1001),MATCH(ROWS($T$2:$T286),'Per Line'!$U$2:$U$1001,0),"")</f>
        <v/>
      </c>
    </row>
    <row r="287">
      <c r="A287" s="12" t="n"/>
      <c r="B287">
        <f>IF($T287="","",INDEX('Per Line'!$A$2:$A$1001,$T287)&amp;"")</f>
        <v/>
      </c>
      <c r="C287" s="12" t="n"/>
      <c r="D287">
        <f>IF($T287="","",INDEX('Per Line'!$B$2:$B$1001,$T287)&amp;"")</f>
        <v/>
      </c>
      <c r="E287">
        <f>IF($T287="","",INDEX('Per Line'!$C$2:$C$1001,$T287)&amp;"")</f>
        <v/>
      </c>
      <c r="F287">
        <f>IF($T287="","",INDEX('Per Line'!$D$2:$D$1001,$T287)&amp;"")</f>
        <v/>
      </c>
      <c r="G287">
        <f>IF($T287="","",INDEX('Per Line'!$E$2:$E$1001,$T287))</f>
        <v/>
      </c>
      <c r="H287" s="7">
        <f>IF($T287="","",G287*R287/100)</f>
        <v/>
      </c>
      <c r="I287" s="11">
        <f>IF($T287="","",INDEX('Per Line'!$Q$2:$Q$1001,$T287))</f>
        <v/>
      </c>
      <c r="J287">
        <f>IF($T287="","",Settings!$C$7)</f>
        <v/>
      </c>
      <c r="K287" s="7">
        <f>IF($T287="","",SUMIFS('Per Line'!$K$2:$K$1001,'Per Line'!$A$2:$A$1001,$B287,'Per Line'!$V$2:$V$1001,0))</f>
        <v/>
      </c>
      <c r="L287" s="7">
        <f>IF($T287="","",K287*J287)</f>
        <v/>
      </c>
      <c r="M287">
        <f>IF($T287="","",Settings!$C$6)</f>
        <v/>
      </c>
      <c r="N287" s="7">
        <f>IF($T287="","",SUMIFS('Per Line'!$K$2:$K$1001,'Per Line'!$A$2:$A$1001,$B287,'Per Line'!$V$2:$V$1001,1))</f>
        <v/>
      </c>
      <c r="O287" s="7">
        <f>IF($T287="","",N287*M287)</f>
        <v/>
      </c>
      <c r="P287" s="7">
        <f>IF($T287="","",O287+L287)</f>
        <v/>
      </c>
      <c r="Q287" s="7">
        <f>IF($T287="","",R287-P287)</f>
        <v/>
      </c>
      <c r="R287" s="7">
        <f>IF($T287="","",K287+N287)</f>
        <v/>
      </c>
      <c r="S287" s="7">
        <f>IF($T287="","",R287-P287-H287)</f>
        <v/>
      </c>
      <c r="T287" s="13">
        <f>IF(ROWS($T$2:$T287)&lt;=MAX('Per Line'!$U$2:$U$1001),MATCH(ROWS($T$2:$T287),'Per Line'!$U$2:$U$1001,0),"")</f>
        <v/>
      </c>
    </row>
    <row r="288">
      <c r="A288" s="12" t="n"/>
      <c r="B288">
        <f>IF($T288="","",INDEX('Per Line'!$A$2:$A$1001,$T288)&amp;"")</f>
        <v/>
      </c>
      <c r="C288" s="12" t="n"/>
      <c r="D288">
        <f>IF($T288="","",INDEX('Per Line'!$B$2:$B$1001,$T288)&amp;"")</f>
        <v/>
      </c>
      <c r="E288">
        <f>IF($T288="","",INDEX('Per Line'!$C$2:$C$1001,$T288)&amp;"")</f>
        <v/>
      </c>
      <c r="F288">
        <f>IF($T288="","",INDEX('Per Line'!$D$2:$D$1001,$T288)&amp;"")</f>
        <v/>
      </c>
      <c r="G288">
        <f>IF($T288="","",INDEX('Per Line'!$E$2:$E$1001,$T288))</f>
        <v/>
      </c>
      <c r="H288" s="7">
        <f>IF($T288="","",G288*R288/100)</f>
        <v/>
      </c>
      <c r="I288" s="11">
        <f>IF($T288="","",INDEX('Per Line'!$Q$2:$Q$1001,$T288))</f>
        <v/>
      </c>
      <c r="J288">
        <f>IF($T288="","",Settings!$C$7)</f>
        <v/>
      </c>
      <c r="K288" s="7">
        <f>IF($T288="","",SUMIFS('Per Line'!$K$2:$K$1001,'Per Line'!$A$2:$A$1001,$B288,'Per Line'!$V$2:$V$1001,0))</f>
        <v/>
      </c>
      <c r="L288" s="7">
        <f>IF($T288="","",K288*J288)</f>
        <v/>
      </c>
      <c r="M288">
        <f>IF($T288="","",Settings!$C$6)</f>
        <v/>
      </c>
      <c r="N288" s="7">
        <f>IF($T288="","",SUMIFS('Per Line'!$K$2:$K$1001,'Per Line'!$A$2:$A$1001,$B288,'Per Line'!$V$2:$V$1001,1))</f>
        <v/>
      </c>
      <c r="O288" s="7">
        <f>IF($T288="","",N288*M288)</f>
        <v/>
      </c>
      <c r="P288" s="7">
        <f>IF($T288="","",O288+L288)</f>
        <v/>
      </c>
      <c r="Q288" s="7">
        <f>IF($T288="","",R288-P288)</f>
        <v/>
      </c>
      <c r="R288" s="7">
        <f>IF($T288="","",K288+N288)</f>
        <v/>
      </c>
      <c r="S288" s="7">
        <f>IF($T288="","",R288-P288-H288)</f>
        <v/>
      </c>
      <c r="T288" s="13">
        <f>IF(ROWS($T$2:$T288)&lt;=MAX('Per Line'!$U$2:$U$1001),MATCH(ROWS($T$2:$T288),'Per Line'!$U$2:$U$1001,0),"")</f>
        <v/>
      </c>
    </row>
    <row r="289">
      <c r="A289" s="12" t="n"/>
      <c r="B289">
        <f>IF($T289="","",INDEX('Per Line'!$A$2:$A$1001,$T289)&amp;"")</f>
        <v/>
      </c>
      <c r="C289" s="12" t="n"/>
      <c r="D289">
        <f>IF($T289="","",INDEX('Per Line'!$B$2:$B$1001,$T289)&amp;"")</f>
        <v/>
      </c>
      <c r="E289">
        <f>IF($T289="","",INDEX('Per Line'!$C$2:$C$1001,$T289)&amp;"")</f>
        <v/>
      </c>
      <c r="F289">
        <f>IF($T289="","",INDEX('Per Line'!$D$2:$D$1001,$T289)&amp;"")</f>
        <v/>
      </c>
      <c r="G289">
        <f>IF($T289="","",INDEX('Per Line'!$E$2:$E$1001,$T289))</f>
        <v/>
      </c>
      <c r="H289" s="7">
        <f>IF($T289="","",G289*R289/100)</f>
        <v/>
      </c>
      <c r="I289" s="11">
        <f>IF($T289="","",INDEX('Per Line'!$Q$2:$Q$1001,$T289))</f>
        <v/>
      </c>
      <c r="J289">
        <f>IF($T289="","",Settings!$C$7)</f>
        <v/>
      </c>
      <c r="K289" s="7">
        <f>IF($T289="","",SUMIFS('Per Line'!$K$2:$K$1001,'Per Line'!$A$2:$A$1001,$B289,'Per Line'!$V$2:$V$1001,0))</f>
        <v/>
      </c>
      <c r="L289" s="7">
        <f>IF($T289="","",K289*J289)</f>
        <v/>
      </c>
      <c r="M289">
        <f>IF($T289="","",Settings!$C$6)</f>
        <v/>
      </c>
      <c r="N289" s="7">
        <f>IF($T289="","",SUMIFS('Per Line'!$K$2:$K$1001,'Per Line'!$A$2:$A$1001,$B289,'Per Line'!$V$2:$V$1001,1))</f>
        <v/>
      </c>
      <c r="O289" s="7">
        <f>IF($T289="","",N289*M289)</f>
        <v/>
      </c>
      <c r="P289" s="7">
        <f>IF($T289="","",O289+L289)</f>
        <v/>
      </c>
      <c r="Q289" s="7">
        <f>IF($T289="","",R289-P289)</f>
        <v/>
      </c>
      <c r="R289" s="7">
        <f>IF($T289="","",K289+N289)</f>
        <v/>
      </c>
      <c r="S289" s="7">
        <f>IF($T289="","",R289-P289-H289)</f>
        <v/>
      </c>
      <c r="T289" s="13">
        <f>IF(ROWS($T$2:$T289)&lt;=MAX('Per Line'!$U$2:$U$1001),MATCH(ROWS($T$2:$T289),'Per Line'!$U$2:$U$1001,0),"")</f>
        <v/>
      </c>
    </row>
    <row r="290">
      <c r="A290" s="12" t="n"/>
      <c r="B290">
        <f>IF($T290="","",INDEX('Per Line'!$A$2:$A$1001,$T290)&amp;"")</f>
        <v/>
      </c>
      <c r="C290" s="12" t="n"/>
      <c r="D290">
        <f>IF($T290="","",INDEX('Per Line'!$B$2:$B$1001,$T290)&amp;"")</f>
        <v/>
      </c>
      <c r="E290">
        <f>IF($T290="","",INDEX('Per Line'!$C$2:$C$1001,$T290)&amp;"")</f>
        <v/>
      </c>
      <c r="F290">
        <f>IF($T290="","",INDEX('Per Line'!$D$2:$D$1001,$T290)&amp;"")</f>
        <v/>
      </c>
      <c r="G290">
        <f>IF($T290="","",INDEX('Per Line'!$E$2:$E$1001,$T290))</f>
        <v/>
      </c>
      <c r="H290" s="7">
        <f>IF($T290="","",G290*R290/100)</f>
        <v/>
      </c>
      <c r="I290" s="11">
        <f>IF($T290="","",INDEX('Per Line'!$Q$2:$Q$1001,$T290))</f>
        <v/>
      </c>
      <c r="J290">
        <f>IF($T290="","",Settings!$C$7)</f>
        <v/>
      </c>
      <c r="K290" s="7">
        <f>IF($T290="","",SUMIFS('Per Line'!$K$2:$K$1001,'Per Line'!$A$2:$A$1001,$B290,'Per Line'!$V$2:$V$1001,0))</f>
        <v/>
      </c>
      <c r="L290" s="7">
        <f>IF($T290="","",K290*J290)</f>
        <v/>
      </c>
      <c r="M290">
        <f>IF($T290="","",Settings!$C$6)</f>
        <v/>
      </c>
      <c r="N290" s="7">
        <f>IF($T290="","",SUMIFS('Per Line'!$K$2:$K$1001,'Per Line'!$A$2:$A$1001,$B290,'Per Line'!$V$2:$V$1001,1))</f>
        <v/>
      </c>
      <c r="O290" s="7">
        <f>IF($T290="","",N290*M290)</f>
        <v/>
      </c>
      <c r="P290" s="7">
        <f>IF($T290="","",O290+L290)</f>
        <v/>
      </c>
      <c r="Q290" s="7">
        <f>IF($T290="","",R290-P290)</f>
        <v/>
      </c>
      <c r="R290" s="7">
        <f>IF($T290="","",K290+N290)</f>
        <v/>
      </c>
      <c r="S290" s="7">
        <f>IF($T290="","",R290-P290-H290)</f>
        <v/>
      </c>
      <c r="T290" s="13">
        <f>IF(ROWS($T$2:$T290)&lt;=MAX('Per Line'!$U$2:$U$1001),MATCH(ROWS($T$2:$T290),'Per Line'!$U$2:$U$1001,0),"")</f>
        <v/>
      </c>
    </row>
    <row r="291">
      <c r="A291" s="12" t="n"/>
      <c r="B291">
        <f>IF($T291="","",INDEX('Per Line'!$A$2:$A$1001,$T291)&amp;"")</f>
        <v/>
      </c>
      <c r="C291" s="12" t="n"/>
      <c r="D291">
        <f>IF($T291="","",INDEX('Per Line'!$B$2:$B$1001,$T291)&amp;"")</f>
        <v/>
      </c>
      <c r="E291">
        <f>IF($T291="","",INDEX('Per Line'!$C$2:$C$1001,$T291)&amp;"")</f>
        <v/>
      </c>
      <c r="F291">
        <f>IF($T291="","",INDEX('Per Line'!$D$2:$D$1001,$T291)&amp;"")</f>
        <v/>
      </c>
      <c r="G291">
        <f>IF($T291="","",INDEX('Per Line'!$E$2:$E$1001,$T291))</f>
        <v/>
      </c>
      <c r="H291" s="7">
        <f>IF($T291="","",G291*R291/100)</f>
        <v/>
      </c>
      <c r="I291" s="11">
        <f>IF($T291="","",INDEX('Per Line'!$Q$2:$Q$1001,$T291))</f>
        <v/>
      </c>
      <c r="J291">
        <f>IF($T291="","",Settings!$C$7)</f>
        <v/>
      </c>
      <c r="K291" s="7">
        <f>IF($T291="","",SUMIFS('Per Line'!$K$2:$K$1001,'Per Line'!$A$2:$A$1001,$B291,'Per Line'!$V$2:$V$1001,0))</f>
        <v/>
      </c>
      <c r="L291" s="7">
        <f>IF($T291="","",K291*J291)</f>
        <v/>
      </c>
      <c r="M291">
        <f>IF($T291="","",Settings!$C$6)</f>
        <v/>
      </c>
      <c r="N291" s="7">
        <f>IF($T291="","",SUMIFS('Per Line'!$K$2:$K$1001,'Per Line'!$A$2:$A$1001,$B291,'Per Line'!$V$2:$V$1001,1))</f>
        <v/>
      </c>
      <c r="O291" s="7">
        <f>IF($T291="","",N291*M291)</f>
        <v/>
      </c>
      <c r="P291" s="7">
        <f>IF($T291="","",O291+L291)</f>
        <v/>
      </c>
      <c r="Q291" s="7">
        <f>IF($T291="","",R291-P291)</f>
        <v/>
      </c>
      <c r="R291" s="7">
        <f>IF($T291="","",K291+N291)</f>
        <v/>
      </c>
      <c r="S291" s="7">
        <f>IF($T291="","",R291-P291-H291)</f>
        <v/>
      </c>
      <c r="T291" s="13">
        <f>IF(ROWS($T$2:$T291)&lt;=MAX('Per Line'!$U$2:$U$1001),MATCH(ROWS($T$2:$T291),'Per Line'!$U$2:$U$1001,0),"")</f>
        <v/>
      </c>
    </row>
    <row r="292">
      <c r="A292" s="12" t="n"/>
      <c r="B292">
        <f>IF($T292="","",INDEX('Per Line'!$A$2:$A$1001,$T292)&amp;"")</f>
        <v/>
      </c>
      <c r="C292" s="12" t="n"/>
      <c r="D292">
        <f>IF($T292="","",INDEX('Per Line'!$B$2:$B$1001,$T292)&amp;"")</f>
        <v/>
      </c>
      <c r="E292">
        <f>IF($T292="","",INDEX('Per Line'!$C$2:$C$1001,$T292)&amp;"")</f>
        <v/>
      </c>
      <c r="F292">
        <f>IF($T292="","",INDEX('Per Line'!$D$2:$D$1001,$T292)&amp;"")</f>
        <v/>
      </c>
      <c r="G292">
        <f>IF($T292="","",INDEX('Per Line'!$E$2:$E$1001,$T292))</f>
        <v/>
      </c>
      <c r="H292" s="7">
        <f>IF($T292="","",G292*R292/100)</f>
        <v/>
      </c>
      <c r="I292" s="11">
        <f>IF($T292="","",INDEX('Per Line'!$Q$2:$Q$1001,$T292))</f>
        <v/>
      </c>
      <c r="J292">
        <f>IF($T292="","",Settings!$C$7)</f>
        <v/>
      </c>
      <c r="K292" s="7">
        <f>IF($T292="","",SUMIFS('Per Line'!$K$2:$K$1001,'Per Line'!$A$2:$A$1001,$B292,'Per Line'!$V$2:$V$1001,0))</f>
        <v/>
      </c>
      <c r="L292" s="7">
        <f>IF($T292="","",K292*J292)</f>
        <v/>
      </c>
      <c r="M292">
        <f>IF($T292="","",Settings!$C$6)</f>
        <v/>
      </c>
      <c r="N292" s="7">
        <f>IF($T292="","",SUMIFS('Per Line'!$K$2:$K$1001,'Per Line'!$A$2:$A$1001,$B292,'Per Line'!$V$2:$V$1001,1))</f>
        <v/>
      </c>
      <c r="O292" s="7">
        <f>IF($T292="","",N292*M292)</f>
        <v/>
      </c>
      <c r="P292" s="7">
        <f>IF($T292="","",O292+L292)</f>
        <v/>
      </c>
      <c r="Q292" s="7">
        <f>IF($T292="","",R292-P292)</f>
        <v/>
      </c>
      <c r="R292" s="7">
        <f>IF($T292="","",K292+N292)</f>
        <v/>
      </c>
      <c r="S292" s="7">
        <f>IF($T292="","",R292-P292-H292)</f>
        <v/>
      </c>
      <c r="T292" s="13">
        <f>IF(ROWS($T$2:$T292)&lt;=MAX('Per Line'!$U$2:$U$1001),MATCH(ROWS($T$2:$T292),'Per Line'!$U$2:$U$1001,0),"")</f>
        <v/>
      </c>
    </row>
    <row r="293">
      <c r="A293" s="12" t="n"/>
      <c r="B293">
        <f>IF($T293="","",INDEX('Per Line'!$A$2:$A$1001,$T293)&amp;"")</f>
        <v/>
      </c>
      <c r="C293" s="12" t="n"/>
      <c r="D293">
        <f>IF($T293="","",INDEX('Per Line'!$B$2:$B$1001,$T293)&amp;"")</f>
        <v/>
      </c>
      <c r="E293">
        <f>IF($T293="","",INDEX('Per Line'!$C$2:$C$1001,$T293)&amp;"")</f>
        <v/>
      </c>
      <c r="F293">
        <f>IF($T293="","",INDEX('Per Line'!$D$2:$D$1001,$T293)&amp;"")</f>
        <v/>
      </c>
      <c r="G293">
        <f>IF($T293="","",INDEX('Per Line'!$E$2:$E$1001,$T293))</f>
        <v/>
      </c>
      <c r="H293" s="7">
        <f>IF($T293="","",G293*R293/100)</f>
        <v/>
      </c>
      <c r="I293" s="11">
        <f>IF($T293="","",INDEX('Per Line'!$Q$2:$Q$1001,$T293))</f>
        <v/>
      </c>
      <c r="J293">
        <f>IF($T293="","",Settings!$C$7)</f>
        <v/>
      </c>
      <c r="K293" s="7">
        <f>IF($T293="","",SUMIFS('Per Line'!$K$2:$K$1001,'Per Line'!$A$2:$A$1001,$B293,'Per Line'!$V$2:$V$1001,0))</f>
        <v/>
      </c>
      <c r="L293" s="7">
        <f>IF($T293="","",K293*J293)</f>
        <v/>
      </c>
      <c r="M293">
        <f>IF($T293="","",Settings!$C$6)</f>
        <v/>
      </c>
      <c r="N293" s="7">
        <f>IF($T293="","",SUMIFS('Per Line'!$K$2:$K$1001,'Per Line'!$A$2:$A$1001,$B293,'Per Line'!$V$2:$V$1001,1))</f>
        <v/>
      </c>
      <c r="O293" s="7">
        <f>IF($T293="","",N293*M293)</f>
        <v/>
      </c>
      <c r="P293" s="7">
        <f>IF($T293="","",O293+L293)</f>
        <v/>
      </c>
      <c r="Q293" s="7">
        <f>IF($T293="","",R293-P293)</f>
        <v/>
      </c>
      <c r="R293" s="7">
        <f>IF($T293="","",K293+N293)</f>
        <v/>
      </c>
      <c r="S293" s="7">
        <f>IF($T293="","",R293-P293-H293)</f>
        <v/>
      </c>
      <c r="T293" s="13">
        <f>IF(ROWS($T$2:$T293)&lt;=MAX('Per Line'!$U$2:$U$1001),MATCH(ROWS($T$2:$T293),'Per Line'!$U$2:$U$1001,0),"")</f>
        <v/>
      </c>
    </row>
    <row r="294">
      <c r="A294" s="12" t="n"/>
      <c r="B294">
        <f>IF($T294="","",INDEX('Per Line'!$A$2:$A$1001,$T294)&amp;"")</f>
        <v/>
      </c>
      <c r="C294" s="12" t="n"/>
      <c r="D294">
        <f>IF($T294="","",INDEX('Per Line'!$B$2:$B$1001,$T294)&amp;"")</f>
        <v/>
      </c>
      <c r="E294">
        <f>IF($T294="","",INDEX('Per Line'!$C$2:$C$1001,$T294)&amp;"")</f>
        <v/>
      </c>
      <c r="F294">
        <f>IF($T294="","",INDEX('Per Line'!$D$2:$D$1001,$T294)&amp;"")</f>
        <v/>
      </c>
      <c r="G294">
        <f>IF($T294="","",INDEX('Per Line'!$E$2:$E$1001,$T294))</f>
        <v/>
      </c>
      <c r="H294" s="7">
        <f>IF($T294="","",G294*R294/100)</f>
        <v/>
      </c>
      <c r="I294" s="11">
        <f>IF($T294="","",INDEX('Per Line'!$Q$2:$Q$1001,$T294))</f>
        <v/>
      </c>
      <c r="J294">
        <f>IF($T294="","",Settings!$C$7)</f>
        <v/>
      </c>
      <c r="K294" s="7">
        <f>IF($T294="","",SUMIFS('Per Line'!$K$2:$K$1001,'Per Line'!$A$2:$A$1001,$B294,'Per Line'!$V$2:$V$1001,0))</f>
        <v/>
      </c>
      <c r="L294" s="7">
        <f>IF($T294="","",K294*J294)</f>
        <v/>
      </c>
      <c r="M294">
        <f>IF($T294="","",Settings!$C$6)</f>
        <v/>
      </c>
      <c r="N294" s="7">
        <f>IF($T294="","",SUMIFS('Per Line'!$K$2:$K$1001,'Per Line'!$A$2:$A$1001,$B294,'Per Line'!$V$2:$V$1001,1))</f>
        <v/>
      </c>
      <c r="O294" s="7">
        <f>IF($T294="","",N294*M294)</f>
        <v/>
      </c>
      <c r="P294" s="7">
        <f>IF($T294="","",O294+L294)</f>
        <v/>
      </c>
      <c r="Q294" s="7">
        <f>IF($T294="","",R294-P294)</f>
        <v/>
      </c>
      <c r="R294" s="7">
        <f>IF($T294="","",K294+N294)</f>
        <v/>
      </c>
      <c r="S294" s="7">
        <f>IF($T294="","",R294-P294-H294)</f>
        <v/>
      </c>
      <c r="T294" s="13">
        <f>IF(ROWS($T$2:$T294)&lt;=MAX('Per Line'!$U$2:$U$1001),MATCH(ROWS($T$2:$T294),'Per Line'!$U$2:$U$1001,0),"")</f>
        <v/>
      </c>
    </row>
    <row r="295">
      <c r="A295" s="12" t="n"/>
      <c r="B295">
        <f>IF($T295="","",INDEX('Per Line'!$A$2:$A$1001,$T295)&amp;"")</f>
        <v/>
      </c>
      <c r="C295" s="12" t="n"/>
      <c r="D295">
        <f>IF($T295="","",INDEX('Per Line'!$B$2:$B$1001,$T295)&amp;"")</f>
        <v/>
      </c>
      <c r="E295">
        <f>IF($T295="","",INDEX('Per Line'!$C$2:$C$1001,$T295)&amp;"")</f>
        <v/>
      </c>
      <c r="F295">
        <f>IF($T295="","",INDEX('Per Line'!$D$2:$D$1001,$T295)&amp;"")</f>
        <v/>
      </c>
      <c r="G295">
        <f>IF($T295="","",INDEX('Per Line'!$E$2:$E$1001,$T295))</f>
        <v/>
      </c>
      <c r="H295" s="7">
        <f>IF($T295="","",G295*R295/100)</f>
        <v/>
      </c>
      <c r="I295" s="11">
        <f>IF($T295="","",INDEX('Per Line'!$Q$2:$Q$1001,$T295))</f>
        <v/>
      </c>
      <c r="J295">
        <f>IF($T295="","",Settings!$C$7)</f>
        <v/>
      </c>
      <c r="K295" s="7">
        <f>IF($T295="","",SUMIFS('Per Line'!$K$2:$K$1001,'Per Line'!$A$2:$A$1001,$B295,'Per Line'!$V$2:$V$1001,0))</f>
        <v/>
      </c>
      <c r="L295" s="7">
        <f>IF($T295="","",K295*J295)</f>
        <v/>
      </c>
      <c r="M295">
        <f>IF($T295="","",Settings!$C$6)</f>
        <v/>
      </c>
      <c r="N295" s="7">
        <f>IF($T295="","",SUMIFS('Per Line'!$K$2:$K$1001,'Per Line'!$A$2:$A$1001,$B295,'Per Line'!$V$2:$V$1001,1))</f>
        <v/>
      </c>
      <c r="O295" s="7">
        <f>IF($T295="","",N295*M295)</f>
        <v/>
      </c>
      <c r="P295" s="7">
        <f>IF($T295="","",O295+L295)</f>
        <v/>
      </c>
      <c r="Q295" s="7">
        <f>IF($T295="","",R295-P295)</f>
        <v/>
      </c>
      <c r="R295" s="7">
        <f>IF($T295="","",K295+N295)</f>
        <v/>
      </c>
      <c r="S295" s="7">
        <f>IF($T295="","",R295-P295-H295)</f>
        <v/>
      </c>
      <c r="T295" s="13">
        <f>IF(ROWS($T$2:$T295)&lt;=MAX('Per Line'!$U$2:$U$1001),MATCH(ROWS($T$2:$T295),'Per Line'!$U$2:$U$1001,0),"")</f>
        <v/>
      </c>
    </row>
    <row r="296">
      <c r="A296" s="12" t="n"/>
      <c r="B296">
        <f>IF($T296="","",INDEX('Per Line'!$A$2:$A$1001,$T296)&amp;"")</f>
        <v/>
      </c>
      <c r="C296" s="12" t="n"/>
      <c r="D296">
        <f>IF($T296="","",INDEX('Per Line'!$B$2:$B$1001,$T296)&amp;"")</f>
        <v/>
      </c>
      <c r="E296">
        <f>IF($T296="","",INDEX('Per Line'!$C$2:$C$1001,$T296)&amp;"")</f>
        <v/>
      </c>
      <c r="F296">
        <f>IF($T296="","",INDEX('Per Line'!$D$2:$D$1001,$T296)&amp;"")</f>
        <v/>
      </c>
      <c r="G296">
        <f>IF($T296="","",INDEX('Per Line'!$E$2:$E$1001,$T296))</f>
        <v/>
      </c>
      <c r="H296" s="7">
        <f>IF($T296="","",G296*R296/100)</f>
        <v/>
      </c>
      <c r="I296" s="11">
        <f>IF($T296="","",INDEX('Per Line'!$Q$2:$Q$1001,$T296))</f>
        <v/>
      </c>
      <c r="J296">
        <f>IF($T296="","",Settings!$C$7)</f>
        <v/>
      </c>
      <c r="K296" s="7">
        <f>IF($T296="","",SUMIFS('Per Line'!$K$2:$K$1001,'Per Line'!$A$2:$A$1001,$B296,'Per Line'!$V$2:$V$1001,0))</f>
        <v/>
      </c>
      <c r="L296" s="7">
        <f>IF($T296="","",K296*J296)</f>
        <v/>
      </c>
      <c r="M296">
        <f>IF($T296="","",Settings!$C$6)</f>
        <v/>
      </c>
      <c r="N296" s="7">
        <f>IF($T296="","",SUMIFS('Per Line'!$K$2:$K$1001,'Per Line'!$A$2:$A$1001,$B296,'Per Line'!$V$2:$V$1001,1))</f>
        <v/>
      </c>
      <c r="O296" s="7">
        <f>IF($T296="","",N296*M296)</f>
        <v/>
      </c>
      <c r="P296" s="7">
        <f>IF($T296="","",O296+L296)</f>
        <v/>
      </c>
      <c r="Q296" s="7">
        <f>IF($T296="","",R296-P296)</f>
        <v/>
      </c>
      <c r="R296" s="7">
        <f>IF($T296="","",K296+N296)</f>
        <v/>
      </c>
      <c r="S296" s="7">
        <f>IF($T296="","",R296-P296-H296)</f>
        <v/>
      </c>
      <c r="T296" s="13">
        <f>IF(ROWS($T$2:$T296)&lt;=MAX('Per Line'!$U$2:$U$1001),MATCH(ROWS($T$2:$T296),'Per Line'!$U$2:$U$1001,0),"")</f>
        <v/>
      </c>
    </row>
    <row r="297">
      <c r="A297" s="12" t="n"/>
      <c r="B297">
        <f>IF($T297="","",INDEX('Per Line'!$A$2:$A$1001,$T297)&amp;"")</f>
        <v/>
      </c>
      <c r="C297" s="12" t="n"/>
      <c r="D297">
        <f>IF($T297="","",INDEX('Per Line'!$B$2:$B$1001,$T297)&amp;"")</f>
        <v/>
      </c>
      <c r="E297">
        <f>IF($T297="","",INDEX('Per Line'!$C$2:$C$1001,$T297)&amp;"")</f>
        <v/>
      </c>
      <c r="F297">
        <f>IF($T297="","",INDEX('Per Line'!$D$2:$D$1001,$T297)&amp;"")</f>
        <v/>
      </c>
      <c r="G297">
        <f>IF($T297="","",INDEX('Per Line'!$E$2:$E$1001,$T297))</f>
        <v/>
      </c>
      <c r="H297" s="7">
        <f>IF($T297="","",G297*R297/100)</f>
        <v/>
      </c>
      <c r="I297" s="11">
        <f>IF($T297="","",INDEX('Per Line'!$Q$2:$Q$1001,$T297))</f>
        <v/>
      </c>
      <c r="J297">
        <f>IF($T297="","",Settings!$C$7)</f>
        <v/>
      </c>
      <c r="K297" s="7">
        <f>IF($T297="","",SUMIFS('Per Line'!$K$2:$K$1001,'Per Line'!$A$2:$A$1001,$B297,'Per Line'!$V$2:$V$1001,0))</f>
        <v/>
      </c>
      <c r="L297" s="7">
        <f>IF($T297="","",K297*J297)</f>
        <v/>
      </c>
      <c r="M297">
        <f>IF($T297="","",Settings!$C$6)</f>
        <v/>
      </c>
      <c r="N297" s="7">
        <f>IF($T297="","",SUMIFS('Per Line'!$K$2:$K$1001,'Per Line'!$A$2:$A$1001,$B297,'Per Line'!$V$2:$V$1001,1))</f>
        <v/>
      </c>
      <c r="O297" s="7">
        <f>IF($T297="","",N297*M297)</f>
        <v/>
      </c>
      <c r="P297" s="7">
        <f>IF($T297="","",O297+L297)</f>
        <v/>
      </c>
      <c r="Q297" s="7">
        <f>IF($T297="","",R297-P297)</f>
        <v/>
      </c>
      <c r="R297" s="7">
        <f>IF($T297="","",K297+N297)</f>
        <v/>
      </c>
      <c r="S297" s="7">
        <f>IF($T297="","",R297-P297-H297)</f>
        <v/>
      </c>
      <c r="T297" s="13">
        <f>IF(ROWS($T$2:$T297)&lt;=MAX('Per Line'!$U$2:$U$1001),MATCH(ROWS($T$2:$T297),'Per Line'!$U$2:$U$1001,0),"")</f>
        <v/>
      </c>
    </row>
    <row r="298">
      <c r="A298" s="12" t="n"/>
      <c r="B298">
        <f>IF($T298="","",INDEX('Per Line'!$A$2:$A$1001,$T298)&amp;"")</f>
        <v/>
      </c>
      <c r="C298" s="12" t="n"/>
      <c r="D298">
        <f>IF($T298="","",INDEX('Per Line'!$B$2:$B$1001,$T298)&amp;"")</f>
        <v/>
      </c>
      <c r="E298">
        <f>IF($T298="","",INDEX('Per Line'!$C$2:$C$1001,$T298)&amp;"")</f>
        <v/>
      </c>
      <c r="F298">
        <f>IF($T298="","",INDEX('Per Line'!$D$2:$D$1001,$T298)&amp;"")</f>
        <v/>
      </c>
      <c r="G298">
        <f>IF($T298="","",INDEX('Per Line'!$E$2:$E$1001,$T298))</f>
        <v/>
      </c>
      <c r="H298" s="7">
        <f>IF($T298="","",G298*R298/100)</f>
        <v/>
      </c>
      <c r="I298" s="11">
        <f>IF($T298="","",INDEX('Per Line'!$Q$2:$Q$1001,$T298))</f>
        <v/>
      </c>
      <c r="J298">
        <f>IF($T298="","",Settings!$C$7)</f>
        <v/>
      </c>
      <c r="K298" s="7">
        <f>IF($T298="","",SUMIFS('Per Line'!$K$2:$K$1001,'Per Line'!$A$2:$A$1001,$B298,'Per Line'!$V$2:$V$1001,0))</f>
        <v/>
      </c>
      <c r="L298" s="7">
        <f>IF($T298="","",K298*J298)</f>
        <v/>
      </c>
      <c r="M298">
        <f>IF($T298="","",Settings!$C$6)</f>
        <v/>
      </c>
      <c r="N298" s="7">
        <f>IF($T298="","",SUMIFS('Per Line'!$K$2:$K$1001,'Per Line'!$A$2:$A$1001,$B298,'Per Line'!$V$2:$V$1001,1))</f>
        <v/>
      </c>
      <c r="O298" s="7">
        <f>IF($T298="","",N298*M298)</f>
        <v/>
      </c>
      <c r="P298" s="7">
        <f>IF($T298="","",O298+L298)</f>
        <v/>
      </c>
      <c r="Q298" s="7">
        <f>IF($T298="","",R298-P298)</f>
        <v/>
      </c>
      <c r="R298" s="7">
        <f>IF($T298="","",K298+N298)</f>
        <v/>
      </c>
      <c r="S298" s="7">
        <f>IF($T298="","",R298-P298-H298)</f>
        <v/>
      </c>
      <c r="T298" s="13">
        <f>IF(ROWS($T$2:$T298)&lt;=MAX('Per Line'!$U$2:$U$1001),MATCH(ROWS($T$2:$T298),'Per Line'!$U$2:$U$1001,0),"")</f>
        <v/>
      </c>
    </row>
    <row r="299">
      <c r="A299" s="12" t="n"/>
      <c r="B299">
        <f>IF($T299="","",INDEX('Per Line'!$A$2:$A$1001,$T299)&amp;"")</f>
        <v/>
      </c>
      <c r="C299" s="12" t="n"/>
      <c r="D299">
        <f>IF($T299="","",INDEX('Per Line'!$B$2:$B$1001,$T299)&amp;"")</f>
        <v/>
      </c>
      <c r="E299">
        <f>IF($T299="","",INDEX('Per Line'!$C$2:$C$1001,$T299)&amp;"")</f>
        <v/>
      </c>
      <c r="F299">
        <f>IF($T299="","",INDEX('Per Line'!$D$2:$D$1001,$T299)&amp;"")</f>
        <v/>
      </c>
      <c r="G299">
        <f>IF($T299="","",INDEX('Per Line'!$E$2:$E$1001,$T299))</f>
        <v/>
      </c>
      <c r="H299" s="7">
        <f>IF($T299="","",G299*R299/100)</f>
        <v/>
      </c>
      <c r="I299" s="11">
        <f>IF($T299="","",INDEX('Per Line'!$Q$2:$Q$1001,$T299))</f>
        <v/>
      </c>
      <c r="J299">
        <f>IF($T299="","",Settings!$C$7)</f>
        <v/>
      </c>
      <c r="K299" s="7">
        <f>IF($T299="","",SUMIFS('Per Line'!$K$2:$K$1001,'Per Line'!$A$2:$A$1001,$B299,'Per Line'!$V$2:$V$1001,0))</f>
        <v/>
      </c>
      <c r="L299" s="7">
        <f>IF($T299="","",K299*J299)</f>
        <v/>
      </c>
      <c r="M299">
        <f>IF($T299="","",Settings!$C$6)</f>
        <v/>
      </c>
      <c r="N299" s="7">
        <f>IF($T299="","",SUMIFS('Per Line'!$K$2:$K$1001,'Per Line'!$A$2:$A$1001,$B299,'Per Line'!$V$2:$V$1001,1))</f>
        <v/>
      </c>
      <c r="O299" s="7">
        <f>IF($T299="","",N299*M299)</f>
        <v/>
      </c>
      <c r="P299" s="7">
        <f>IF($T299="","",O299+L299)</f>
        <v/>
      </c>
      <c r="Q299" s="7">
        <f>IF($T299="","",R299-P299)</f>
        <v/>
      </c>
      <c r="R299" s="7">
        <f>IF($T299="","",K299+N299)</f>
        <v/>
      </c>
      <c r="S299" s="7">
        <f>IF($T299="","",R299-P299-H299)</f>
        <v/>
      </c>
      <c r="T299" s="13">
        <f>IF(ROWS($T$2:$T299)&lt;=MAX('Per Line'!$U$2:$U$1001),MATCH(ROWS($T$2:$T299),'Per Line'!$U$2:$U$1001,0),"")</f>
        <v/>
      </c>
    </row>
    <row r="300">
      <c r="A300" s="12" t="n"/>
      <c r="B300">
        <f>IF($T300="","",INDEX('Per Line'!$A$2:$A$1001,$T300)&amp;"")</f>
        <v/>
      </c>
      <c r="C300" s="12" t="n"/>
      <c r="D300">
        <f>IF($T300="","",INDEX('Per Line'!$B$2:$B$1001,$T300)&amp;"")</f>
        <v/>
      </c>
      <c r="E300">
        <f>IF($T300="","",INDEX('Per Line'!$C$2:$C$1001,$T300)&amp;"")</f>
        <v/>
      </c>
      <c r="F300">
        <f>IF($T300="","",INDEX('Per Line'!$D$2:$D$1001,$T300)&amp;"")</f>
        <v/>
      </c>
      <c r="G300">
        <f>IF($T300="","",INDEX('Per Line'!$E$2:$E$1001,$T300))</f>
        <v/>
      </c>
      <c r="H300" s="7">
        <f>IF($T300="","",G300*R300/100)</f>
        <v/>
      </c>
      <c r="I300" s="11">
        <f>IF($T300="","",INDEX('Per Line'!$Q$2:$Q$1001,$T300))</f>
        <v/>
      </c>
      <c r="J300">
        <f>IF($T300="","",Settings!$C$7)</f>
        <v/>
      </c>
      <c r="K300" s="7">
        <f>IF($T300="","",SUMIFS('Per Line'!$K$2:$K$1001,'Per Line'!$A$2:$A$1001,$B300,'Per Line'!$V$2:$V$1001,0))</f>
        <v/>
      </c>
      <c r="L300" s="7">
        <f>IF($T300="","",K300*J300)</f>
        <v/>
      </c>
      <c r="M300">
        <f>IF($T300="","",Settings!$C$6)</f>
        <v/>
      </c>
      <c r="N300" s="7">
        <f>IF($T300="","",SUMIFS('Per Line'!$K$2:$K$1001,'Per Line'!$A$2:$A$1001,$B300,'Per Line'!$V$2:$V$1001,1))</f>
        <v/>
      </c>
      <c r="O300" s="7">
        <f>IF($T300="","",N300*M300)</f>
        <v/>
      </c>
      <c r="P300" s="7">
        <f>IF($T300="","",O300+L300)</f>
        <v/>
      </c>
      <c r="Q300" s="7">
        <f>IF($T300="","",R300-P300)</f>
        <v/>
      </c>
      <c r="R300" s="7">
        <f>IF($T300="","",K300+N300)</f>
        <v/>
      </c>
      <c r="S300" s="7">
        <f>IF($T300="","",R300-P300-H300)</f>
        <v/>
      </c>
      <c r="T300" s="13">
        <f>IF(ROWS($T$2:$T300)&lt;=MAX('Per Line'!$U$2:$U$1001),MATCH(ROWS($T$2:$T300),'Per Line'!$U$2:$U$1001,0),"")</f>
        <v/>
      </c>
    </row>
    <row r="301">
      <c r="A301" s="12" t="n"/>
      <c r="B301">
        <f>IF($T301="","",INDEX('Per Line'!$A$2:$A$1001,$T301)&amp;"")</f>
        <v/>
      </c>
      <c r="C301" s="12" t="n"/>
      <c r="D301">
        <f>IF($T301="","",INDEX('Per Line'!$B$2:$B$1001,$T301)&amp;"")</f>
        <v/>
      </c>
      <c r="E301">
        <f>IF($T301="","",INDEX('Per Line'!$C$2:$C$1001,$T301)&amp;"")</f>
        <v/>
      </c>
      <c r="F301">
        <f>IF($T301="","",INDEX('Per Line'!$D$2:$D$1001,$T301)&amp;"")</f>
        <v/>
      </c>
      <c r="G301">
        <f>IF($T301="","",INDEX('Per Line'!$E$2:$E$1001,$T301))</f>
        <v/>
      </c>
      <c r="H301" s="7">
        <f>IF($T301="","",G301*R301/100)</f>
        <v/>
      </c>
      <c r="I301" s="11">
        <f>IF($T301="","",INDEX('Per Line'!$Q$2:$Q$1001,$T301))</f>
        <v/>
      </c>
      <c r="J301">
        <f>IF($T301="","",Settings!$C$7)</f>
        <v/>
      </c>
      <c r="K301" s="7">
        <f>IF($T301="","",SUMIFS('Per Line'!$K$2:$K$1001,'Per Line'!$A$2:$A$1001,$B301,'Per Line'!$V$2:$V$1001,0))</f>
        <v/>
      </c>
      <c r="L301" s="7">
        <f>IF($T301="","",K301*J301)</f>
        <v/>
      </c>
      <c r="M301">
        <f>IF($T301="","",Settings!$C$6)</f>
        <v/>
      </c>
      <c r="N301" s="7">
        <f>IF($T301="","",SUMIFS('Per Line'!$K$2:$K$1001,'Per Line'!$A$2:$A$1001,$B301,'Per Line'!$V$2:$V$1001,1))</f>
        <v/>
      </c>
      <c r="O301" s="7">
        <f>IF($T301="","",N301*M301)</f>
        <v/>
      </c>
      <c r="P301" s="7">
        <f>IF($T301="","",O301+L301)</f>
        <v/>
      </c>
      <c r="Q301" s="7">
        <f>IF($T301="","",R301-P301)</f>
        <v/>
      </c>
      <c r="R301" s="7">
        <f>IF($T301="","",K301+N301)</f>
        <v/>
      </c>
      <c r="S301" s="7">
        <f>IF($T301="","",R301-P301-H301)</f>
        <v/>
      </c>
      <c r="T301" s="13">
        <f>IF(ROWS($T$2:$T301)&lt;=MAX('Per Line'!$U$2:$U$1001),MATCH(ROWS($T$2:$T301),'Per Line'!$U$2:$U$1001,0),"")</f>
        <v/>
      </c>
    </row>
  </sheetData>
  <autoFilter ref="A1:T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2026-10-20T12:05:32Z</dcterms:created>
  <dcterms:modified xmlns:dcterms="http://purl.org/dc/terms/" xmlns:xsi="http://www.w3.org/2001/XMLSchema-instance" xsi:type="dcterms:W3CDTF">2026-10-20T12:05:32Z</dcterms:modified>
</cp:coreProperties>
</file>