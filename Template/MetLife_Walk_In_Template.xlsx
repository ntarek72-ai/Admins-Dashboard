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Per Invoice Above" sheetId="6" state="visible" r:id="rId6"/>
    <sheet xmlns:r="http://schemas.openxmlformats.org/officeDocument/2006/relationships" name="Per Invoice Below" sheetId="7" state="visible" r:id="rId7"/>
  </sheets>
  <definedNames>
    <definedName name="_xlnm._FilterDatabase" localSheetId="3" hidden="1">'Per Line'!$A$1:$AA$401</definedName>
    <definedName name="_xlnm._FilterDatabase" localSheetId="4" hidden="1">'Per Invoice'!$A$1:$N$151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#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1" fillId="3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3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METLIFE - WALK IN TEMPLATE</t>
        </is>
      </c>
    </row>
    <row r="3">
      <c r="B3" s="2" t="inlineStr">
        <is>
          <t>Colours: blue header = pasted or typed by you, green header = formula (do not paste over it), grey header = helper, yellow = editable setting.</t>
        </is>
      </c>
    </row>
    <row r="4">
      <c r="B4" s="2" t="inlineStr"/>
    </row>
    <row r="5">
      <c r="B5" s="2" t="inlineStr">
        <is>
          <t>1. In 'Per Line', paste the lines of the sheet from row 2 into the blue columns: A-R, V-W, Y-Z.</t>
        </is>
      </c>
    </row>
    <row r="6">
      <c r="B6" s="2" t="inlineStr">
        <is>
          <t xml:space="preserve">   Do NOT paste over the green formula columns: S-U, X (they calculate Discount, Co val, Subtotal and Net from the Total Approved, Rebates % and Copay % you pasted).</t>
        </is>
      </c>
    </row>
    <row r="7">
      <c r="B7" s="2" t="inlineStr">
        <is>
          <t xml:space="preserve">   Paste the columns in the same order as the source sheet. Rebates % and Copay % come from the sheet, so there are no rates to set. If a Rebates % is typed as a fraction below 1 (for example 0.12), the template reads it as a percent (12).</t>
        </is>
      </c>
    </row>
    <row r="8">
      <c r="B8" s="2" t="inlineStr">
        <is>
          <t>2. 'Per Invoice' fills itself: one row per So, in the order the orders first appear in 'Per Line'. Type Invoice in the blue columns.</t>
        </is>
      </c>
    </row>
    <row r="9">
      <c r="B9" s="2" t="inlineStr">
        <is>
          <t>3. Segments (Above / Below) are decided by the Lot number. The Lot to segment table is in 'Settings' (yellow cells): add any new Lot there.</t>
        </is>
      </c>
    </row>
    <row r="10">
      <c r="B10" s="2" t="inlineStr">
        <is>
          <t xml:space="preserve">   The tabs 'Per Invoice Above' and 'Per Invoice Below' fill themselves from 'Per Invoice', and 'Summary' shows the count and totals per segment.</t>
        </is>
      </c>
    </row>
    <row r="11">
      <c r="B11" s="2" t="inlineStr">
        <is>
          <t>4. Open 'Settings': STATUS must say OK. If it says CHECK, a total in 'Per Line' differs from 'Per Invoice', there are more orders than the template has room for, or a Lot is missing from the segment table.</t>
        </is>
      </c>
    </row>
    <row r="12">
      <c r="B12" s="2" t="inlineStr"/>
    </row>
    <row r="13">
      <c r="B13" s="2" t="inlineStr">
        <is>
          <t>To start a new month: clear the blue cells in 'Per Line' (row 2 down) and the blue cells in 'Per Invoice', then paste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6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24" customWidth="1" min="3" max="3"/>
    <col width="70" customWidth="1" min="4" max="4"/>
  </cols>
  <sheetData>
    <row r="1">
      <c r="B1" s="1" t="inlineStr">
        <is>
          <t>METLIFE - WALK IN - SETTINGS</t>
        </is>
      </c>
    </row>
    <row r="3">
      <c r="B3" t="inlineStr">
        <is>
          <t>Insurance company</t>
        </is>
      </c>
      <c r="C3" t="inlineStr">
        <is>
          <t>Metlife</t>
        </is>
      </c>
      <c r="D3" t="inlineStr">
        <is>
          <t>Rebates % and Copay % are typed on every line of the export, so there are no rates to set here.</t>
        </is>
      </c>
    </row>
    <row r="4">
      <c r="B4" t="inlineStr">
        <is>
          <t>Type</t>
        </is>
      </c>
      <c r="C4" t="inlineStr">
        <is>
          <t>Walk In</t>
        </is>
      </c>
    </row>
    <row r="5">
      <c r="B5" t="inlineStr">
        <is>
          <t>Month (as in the source sheet)</t>
        </is>
      </c>
      <c r="C5" t="inlineStr">
        <is>
          <t>August 2026</t>
        </is>
      </c>
    </row>
    <row r="9">
      <c r="B9" s="3" t="inlineStr">
        <is>
          <t>Reconciliation (Per Line vs Per Invoice)</t>
        </is>
      </c>
    </row>
    <row r="10">
      <c r="B10" t="inlineStr">
        <is>
          <t>Lines loaded</t>
        </is>
      </c>
      <c r="C10" s="4">
        <f>COUNTA('Per Line'!$A$2:$A$401)</f>
        <v/>
      </c>
    </row>
    <row r="11">
      <c r="B11" t="inlineStr">
        <is>
          <t>Invoices (unique So)</t>
        </is>
      </c>
      <c r="C11" s="4">
        <f>MAX('Per Line'!$AA$2:$AA$401)</f>
        <v/>
      </c>
    </row>
    <row r="12">
      <c r="B12" t="inlineStr">
        <is>
          <t>Invoices shown in Per Invoice</t>
        </is>
      </c>
      <c r="C12" s="4">
        <f>COUNTIF('Per Invoice'!$B$2:$B$151,"?*")+COUNT('Per Invoice'!$B$2:$B$151)</f>
        <v/>
      </c>
    </row>
    <row r="13">
      <c r="B13" t="inlineStr">
        <is>
          <t>Total Approved - Per Line</t>
        </is>
      </c>
      <c r="C13" s="5">
        <f>SUM('Per Line'!$R$2:$R$401)</f>
        <v/>
      </c>
    </row>
    <row r="14">
      <c r="B14" t="inlineStr">
        <is>
          <t>Total Approved - Per Invoice</t>
        </is>
      </c>
      <c r="C14" s="5">
        <f>SUM('Per Invoice'!$F$2:$F$151)</f>
        <v/>
      </c>
    </row>
    <row r="15">
      <c r="B15" t="inlineStr">
        <is>
          <t>Discount - Per Line</t>
        </is>
      </c>
      <c r="C15" s="5">
        <f>SUM('Per Line'!$S$2:$S$401)</f>
        <v/>
      </c>
    </row>
    <row r="16">
      <c r="B16" t="inlineStr">
        <is>
          <t>Discount - Per Invoice</t>
        </is>
      </c>
      <c r="C16" s="5">
        <f>SUM('Per Invoice'!$G$2:$G$151)</f>
        <v/>
      </c>
    </row>
    <row r="17">
      <c r="B17" t="inlineStr">
        <is>
          <t>Co val - Per Line</t>
        </is>
      </c>
      <c r="C17" s="5">
        <f>SUM('Per Line'!$T$2:$T$401)</f>
        <v/>
      </c>
    </row>
    <row r="18">
      <c r="B18" t="inlineStr">
        <is>
          <t>Co val - Per Invoice</t>
        </is>
      </c>
      <c r="C18" s="5">
        <f>SUM('Per Invoice'!$H$2:$H$151)</f>
        <v/>
      </c>
    </row>
    <row r="19">
      <c r="B19" t="inlineStr">
        <is>
          <t>Net - Per Line</t>
        </is>
      </c>
      <c r="C19" s="5">
        <f>SUM('Per Line'!$X$2:$X$401)</f>
        <v/>
      </c>
    </row>
    <row r="20">
      <c r="B20" t="inlineStr">
        <is>
          <t>Net - Per Invoice</t>
        </is>
      </c>
      <c r="C20" s="5">
        <f>SUM('Per Invoice'!$J$2:$J$151)</f>
        <v/>
      </c>
    </row>
    <row r="21">
      <c r="B21" t="inlineStr">
        <is>
          <t>Orders that do not fit in Per Invoice (must be 0)</t>
        </is>
      </c>
      <c r="C21">
        <f>MAX(0,C11-150)</f>
        <v/>
      </c>
    </row>
    <row r="22">
      <c r="B22" t="inlineStr">
        <is>
          <t>Orders whose Lot is not in the segment table below (must be 0)</t>
        </is>
      </c>
      <c r="C22">
        <f>COUNTIF('Per Invoice'!$K$2:$K$151,"Unassigned")</f>
        <v/>
      </c>
    </row>
    <row r="23">
      <c r="B23" s="3" t="inlineStr">
        <is>
          <t>STATUS</t>
        </is>
      </c>
      <c r="C23" s="3">
        <f>IF(C10=0,"No data loaded",IF(AND(C21=0,C12=C11,ABS(C13-C14)&lt;0.01,ABS(C15-C16)&lt;0.01,ABS(C17-C18)&lt;0.01,ABS(C19-C20)&lt;0.01,C22=0),"OK","CHECK"))</f>
        <v/>
      </c>
      <c r="D23" t="inlineStr">
        <is>
          <t>Per Line has room for 400 lines and Per Invoice for 150 invoices.</t>
        </is>
      </c>
    </row>
    <row r="25">
      <c r="B25" s="3" t="inlineStr">
        <is>
          <t>Segment table: which Lot belongs to which segment</t>
        </is>
      </c>
    </row>
    <row r="26">
      <c r="B26" s="3" t="inlineStr">
        <is>
          <t>Lot number</t>
        </is>
      </c>
      <c r="C26" s="3" t="inlineStr">
        <is>
          <t>Segment</t>
        </is>
      </c>
      <c r="D26" t="inlineStr">
        <is>
          <t>Add a new Lot here when it appears in Per Line. Segment must be spelled exactly: Above / Below</t>
        </is>
      </c>
    </row>
    <row r="27">
      <c r="B27" s="6" t="n">
        <v>26158332</v>
      </c>
      <c r="C27" s="6" t="inlineStr">
        <is>
          <t>Above</t>
        </is>
      </c>
    </row>
    <row r="28">
      <c r="B28" s="6" t="n">
        <v>26151589</v>
      </c>
      <c r="C28" s="6" t="inlineStr">
        <is>
          <t>Above</t>
        </is>
      </c>
    </row>
    <row r="29">
      <c r="B29" s="6" t="n">
        <v>26158331</v>
      </c>
      <c r="C29" s="6" t="inlineStr">
        <is>
          <t>Above</t>
        </is>
      </c>
    </row>
    <row r="30">
      <c r="B30" s="6" t="n">
        <v>26158333</v>
      </c>
      <c r="C30" s="6" t="inlineStr">
        <is>
          <t>Below</t>
        </is>
      </c>
    </row>
    <row r="31">
      <c r="B31" s="6" t="n"/>
      <c r="C31" s="6" t="n"/>
    </row>
    <row r="32">
      <c r="B32" s="6" t="n"/>
      <c r="C32" s="6" t="n"/>
    </row>
    <row r="33">
      <c r="B33" s="6" t="n"/>
      <c r="C33" s="6" t="n"/>
    </row>
    <row r="34">
      <c r="B34" s="6" t="n"/>
      <c r="C34" s="6" t="n"/>
    </row>
    <row r="35">
      <c r="B35" s="6" t="n"/>
      <c r="C35" s="6" t="n"/>
    </row>
    <row r="36">
      <c r="B36" s="6" t="n"/>
      <c r="C3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7" t="inlineStr">
        <is>
          <t>Segment</t>
        </is>
      </c>
      <c r="B1" s="7" t="inlineStr">
        <is>
          <t>Count of So</t>
        </is>
      </c>
      <c r="C1" s="7" t="inlineStr">
        <is>
          <t>Sum of Total Approved</t>
        </is>
      </c>
      <c r="D1" s="7" t="inlineStr">
        <is>
          <t>Sum of dis</t>
        </is>
      </c>
      <c r="E1" s="7" t="inlineStr">
        <is>
          <t>Sum of Paid Amount</t>
        </is>
      </c>
      <c r="F1" s="7" t="inlineStr">
        <is>
          <t>Sum of Subtotal</t>
        </is>
      </c>
      <c r="G1" s="7" t="inlineStr">
        <is>
          <t>Sum of Net Amt</t>
        </is>
      </c>
    </row>
    <row r="2">
      <c r="A2" t="inlineStr">
        <is>
          <t>Above</t>
        </is>
      </c>
      <c r="B2">
        <f>COUNTIF('Per Invoice'!$K$2:$K$151,A2)</f>
        <v/>
      </c>
      <c r="C2" s="5">
        <f>SUMIFS('Per Invoice'!$F$2:$F$151,'Per Invoice'!$K$2:$K$151,$A2)</f>
        <v/>
      </c>
      <c r="D2" s="5">
        <f>SUMIFS('Per Invoice'!$G$2:$G$151,'Per Invoice'!$K$2:$K$151,$A2)</f>
        <v/>
      </c>
      <c r="E2" s="5">
        <f>SUMIFS('Per Invoice'!$H$2:$H$151,'Per Invoice'!$K$2:$K$151,$A2)</f>
        <v/>
      </c>
      <c r="F2" s="5">
        <f>SUMIFS('Per Invoice'!$I$2:$I$151,'Per Invoice'!$K$2:$K$151,$A2)</f>
        <v/>
      </c>
      <c r="G2" s="5">
        <f>SUMIFS('Per Invoice'!$J$2:$J$151,'Per Invoice'!$K$2:$K$151,$A2)</f>
        <v/>
      </c>
    </row>
    <row r="3">
      <c r="A3" t="inlineStr">
        <is>
          <t>Below</t>
        </is>
      </c>
      <c r="B3">
        <f>COUNTIF('Per Invoice'!$K$2:$K$151,A3)</f>
        <v/>
      </c>
      <c r="C3" s="5">
        <f>SUMIFS('Per Invoice'!$F$2:$F$151,'Per Invoice'!$K$2:$K$151,$A3)</f>
        <v/>
      </c>
      <c r="D3" s="5">
        <f>SUMIFS('Per Invoice'!$G$2:$G$151,'Per Invoice'!$K$2:$K$151,$A3)</f>
        <v/>
      </c>
      <c r="E3" s="5">
        <f>SUMIFS('Per Invoice'!$H$2:$H$151,'Per Invoice'!$K$2:$K$151,$A3)</f>
        <v/>
      </c>
      <c r="F3" s="5">
        <f>SUMIFS('Per Invoice'!$I$2:$I$151,'Per Invoice'!$K$2:$K$151,$A3)</f>
        <v/>
      </c>
      <c r="G3" s="5">
        <f>SUMIFS('Per Invoice'!$J$2:$J$151,'Per Invoice'!$K$2:$K$151,$A3)</f>
        <v/>
      </c>
    </row>
    <row r="4">
      <c r="A4" t="inlineStr">
        <is>
          <t>Other / Unassigned</t>
        </is>
      </c>
      <c r="B4">
        <f>B5-SUM(B2:B3)</f>
        <v/>
      </c>
      <c r="C4" s="5">
        <f>C5-SUM(C2:C3)</f>
        <v/>
      </c>
      <c r="D4" s="5">
        <f>D5-SUM(D2:D3)</f>
        <v/>
      </c>
      <c r="E4" s="5">
        <f>E5-SUM(E2:E3)</f>
        <v/>
      </c>
      <c r="F4" s="5">
        <f>F5-SUM(F2:F3)</f>
        <v/>
      </c>
      <c r="G4" s="5">
        <f>G5-SUM(G2:G3)</f>
        <v/>
      </c>
    </row>
    <row r="5">
      <c r="A5" s="3" t="inlineStr">
        <is>
          <t>Grand Total</t>
        </is>
      </c>
      <c r="B5" s="3">
        <f>COUNTIF('Per Invoice'!$B$2:$B$151,"?*")</f>
        <v/>
      </c>
      <c r="C5" s="8">
        <f>SUM('Per Invoice'!$F$2:$F$151)</f>
        <v/>
      </c>
      <c r="D5" s="8">
        <f>SUM('Per Invoice'!$G$2:$G$151)</f>
        <v/>
      </c>
      <c r="E5" s="8">
        <f>SUM('Per Invoice'!$H$2:$H$151)</f>
        <v/>
      </c>
      <c r="F5" s="8">
        <f>SUM('Per Invoice'!$I$2:$I$151)</f>
        <v/>
      </c>
      <c r="G5" s="8">
        <f>SUM('Per Invoice'!$J$2:$J$151)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AA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  <col width="14" customWidth="1" min="8" max="8"/>
    <col width="30" customWidth="1" min="9" max="9"/>
    <col width="14" customWidth="1" min="10" max="10"/>
    <col width="14" customWidth="1" min="11" max="11"/>
    <col width="14" customWidth="1" min="12" max="12"/>
    <col width="14" customWidth="1" min="13" max="13"/>
    <col width="40" customWidth="1" min="14" max="14"/>
    <col width="14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20" customWidth="1" min="25" max="25"/>
    <col width="14" customWidth="1" min="26" max="26"/>
    <col width="14" customWidth="1" min="27" max="27"/>
  </cols>
  <sheetData>
    <row r="1" ht="32" customHeight="1">
      <c r="A1" s="9" t="inlineStr">
        <is>
          <t>So</t>
        </is>
      </c>
      <c r="B1" s="9" t="inlineStr">
        <is>
          <t>Lot</t>
        </is>
      </c>
      <c r="C1" s="9" t="inlineStr">
        <is>
          <t>SSNBR</t>
        </is>
      </c>
      <c r="D1" s="9" t="inlineStr">
        <is>
          <t>Dependent code</t>
        </is>
      </c>
      <c r="E1" s="9" t="inlineStr">
        <is>
          <t>Individual Number</t>
        </is>
      </c>
      <c r="F1" s="9" t="inlineStr">
        <is>
          <t>Provider code</t>
        </is>
      </c>
      <c r="G1" s="9" t="inlineStr">
        <is>
          <t>Provider Name</t>
        </is>
      </c>
      <c r="H1" s="9" t="inlineStr">
        <is>
          <t>real Provider Code</t>
        </is>
      </c>
      <c r="I1" s="9" t="inlineStr">
        <is>
          <t>real Provider Name</t>
        </is>
      </c>
      <c r="J1" s="9" t="inlineStr">
        <is>
          <t>DIAG 1(ICD9)</t>
        </is>
      </c>
      <c r="K1" s="9" t="inlineStr">
        <is>
          <t>HZB</t>
        </is>
      </c>
      <c r="L1" s="9" t="inlineStr">
        <is>
          <t>Item code</t>
        </is>
      </c>
      <c r="M1" s="9" t="inlineStr">
        <is>
          <t>Globemed Item Code</t>
        </is>
      </c>
      <c r="N1" s="9" t="inlineStr">
        <is>
          <t>Item description</t>
        </is>
      </c>
      <c r="O1" s="9" t="inlineStr">
        <is>
          <t>Unit Type Dispensed</t>
        </is>
      </c>
      <c r="P1" s="9" t="inlineStr">
        <is>
          <t>Svc Date</t>
        </is>
      </c>
      <c r="Q1" s="9" t="inlineStr">
        <is>
          <t>Qty Approved</t>
        </is>
      </c>
      <c r="R1" s="9" t="inlineStr">
        <is>
          <t>Total Approved</t>
        </is>
      </c>
      <c r="S1" s="7" t="inlineStr">
        <is>
          <t>dis</t>
        </is>
      </c>
      <c r="T1" s="7" t="inlineStr">
        <is>
          <t>Paid Amount</t>
        </is>
      </c>
      <c r="U1" s="7" t="inlineStr">
        <is>
          <t>Subtotal</t>
        </is>
      </c>
      <c r="V1" s="9" t="inlineStr">
        <is>
          <t>Co%</t>
        </is>
      </c>
      <c r="W1" s="9" t="inlineStr">
        <is>
          <t>Rebates</t>
        </is>
      </c>
      <c r="X1" s="7" t="inlineStr">
        <is>
          <t>Net Amt</t>
        </is>
      </c>
      <c r="Y1" s="9" t="inlineStr">
        <is>
          <t>Group No.</t>
        </is>
      </c>
      <c r="Z1" s="9" t="inlineStr">
        <is>
          <t>Certificate No.</t>
        </is>
      </c>
      <c r="AA1" s="10" t="inlineStr">
        <is>
          <t>Order Seq (helper)</t>
        </is>
      </c>
    </row>
    <row r="2">
      <c r="S2" s="5">
        <f>IF(A2="","",R2*IF(AND(ISNUMBER(W2),W2&gt;0,W2&lt;1),W2*100,W2)/100)</f>
        <v/>
      </c>
      <c r="T2" s="5">
        <f>IF(A2="","",V2*U2/100)</f>
        <v/>
      </c>
      <c r="U2" s="5">
        <f>IF(A2="","",R2-S2)</f>
        <v/>
      </c>
      <c r="X2" s="5">
        <f>IF(A2="","",U2-T2)</f>
        <v/>
      </c>
      <c r="AA2">
        <f>IF(A2="","",N(AA1)+IF(MATCH(A2,$A$2:$A$401,0)=ROW()-1,1,0))</f>
        <v/>
      </c>
    </row>
    <row r="3">
      <c r="S3" s="5">
        <f>IF(A3="","",R3*IF(AND(ISNUMBER(W3),W3&gt;0,W3&lt;1),W3*100,W3)/100)</f>
        <v/>
      </c>
      <c r="T3" s="5">
        <f>IF(A3="","",V3*U3/100)</f>
        <v/>
      </c>
      <c r="U3" s="5">
        <f>IF(A3="","",R3-S3)</f>
        <v/>
      </c>
      <c r="X3" s="5">
        <f>IF(A3="","",U3-T3)</f>
        <v/>
      </c>
      <c r="AA3">
        <f>IF(A3="","",N(AA2)+IF(MATCH(A3,$A$2:$A$401,0)=ROW()-1,1,0))</f>
        <v/>
      </c>
    </row>
    <row r="4">
      <c r="S4" s="5">
        <f>IF(A4="","",R4*IF(AND(ISNUMBER(W4),W4&gt;0,W4&lt;1),W4*100,W4)/100)</f>
        <v/>
      </c>
      <c r="T4" s="5">
        <f>IF(A4="","",V4*U4/100)</f>
        <v/>
      </c>
      <c r="U4" s="5">
        <f>IF(A4="","",R4-S4)</f>
        <v/>
      </c>
      <c r="X4" s="5">
        <f>IF(A4="","",U4-T4)</f>
        <v/>
      </c>
      <c r="AA4">
        <f>IF(A4="","",N(AA3)+IF(MATCH(A4,$A$2:$A$401,0)=ROW()-1,1,0))</f>
        <v/>
      </c>
    </row>
    <row r="5">
      <c r="S5" s="5">
        <f>IF(A5="","",R5*IF(AND(ISNUMBER(W5),W5&gt;0,W5&lt;1),W5*100,W5)/100)</f>
        <v/>
      </c>
      <c r="T5" s="5">
        <f>IF(A5="","",V5*U5/100)</f>
        <v/>
      </c>
      <c r="U5" s="5">
        <f>IF(A5="","",R5-S5)</f>
        <v/>
      </c>
      <c r="X5" s="5">
        <f>IF(A5="","",U5-T5)</f>
        <v/>
      </c>
      <c r="AA5">
        <f>IF(A5="","",N(AA4)+IF(MATCH(A5,$A$2:$A$401,0)=ROW()-1,1,0))</f>
        <v/>
      </c>
    </row>
    <row r="6">
      <c r="S6" s="5">
        <f>IF(A6="","",R6*IF(AND(ISNUMBER(W6),W6&gt;0,W6&lt;1),W6*100,W6)/100)</f>
        <v/>
      </c>
      <c r="T6" s="5">
        <f>IF(A6="","",V6*U6/100)</f>
        <v/>
      </c>
      <c r="U6" s="5">
        <f>IF(A6="","",R6-S6)</f>
        <v/>
      </c>
      <c r="X6" s="5">
        <f>IF(A6="","",U6-T6)</f>
        <v/>
      </c>
      <c r="AA6">
        <f>IF(A6="","",N(AA5)+IF(MATCH(A6,$A$2:$A$401,0)=ROW()-1,1,0))</f>
        <v/>
      </c>
    </row>
    <row r="7">
      <c r="S7" s="5">
        <f>IF(A7="","",R7*IF(AND(ISNUMBER(W7),W7&gt;0,W7&lt;1),W7*100,W7)/100)</f>
        <v/>
      </c>
      <c r="T7" s="5">
        <f>IF(A7="","",V7*U7/100)</f>
        <v/>
      </c>
      <c r="U7" s="5">
        <f>IF(A7="","",R7-S7)</f>
        <v/>
      </c>
      <c r="X7" s="5">
        <f>IF(A7="","",U7-T7)</f>
        <v/>
      </c>
      <c r="AA7">
        <f>IF(A7="","",N(AA6)+IF(MATCH(A7,$A$2:$A$401,0)=ROW()-1,1,0))</f>
        <v/>
      </c>
    </row>
    <row r="8">
      <c r="S8" s="5">
        <f>IF(A8="","",R8*IF(AND(ISNUMBER(W8),W8&gt;0,W8&lt;1),W8*100,W8)/100)</f>
        <v/>
      </c>
      <c r="T8" s="5">
        <f>IF(A8="","",V8*U8/100)</f>
        <v/>
      </c>
      <c r="U8" s="5">
        <f>IF(A8="","",R8-S8)</f>
        <v/>
      </c>
      <c r="X8" s="5">
        <f>IF(A8="","",U8-T8)</f>
        <v/>
      </c>
      <c r="AA8">
        <f>IF(A8="","",N(AA7)+IF(MATCH(A8,$A$2:$A$401,0)=ROW()-1,1,0))</f>
        <v/>
      </c>
    </row>
    <row r="9">
      <c r="S9" s="5">
        <f>IF(A9="","",R9*IF(AND(ISNUMBER(W9),W9&gt;0,W9&lt;1),W9*100,W9)/100)</f>
        <v/>
      </c>
      <c r="T9" s="5">
        <f>IF(A9="","",V9*U9/100)</f>
        <v/>
      </c>
      <c r="U9" s="5">
        <f>IF(A9="","",R9-S9)</f>
        <v/>
      </c>
      <c r="X9" s="5">
        <f>IF(A9="","",U9-T9)</f>
        <v/>
      </c>
      <c r="AA9">
        <f>IF(A9="","",N(AA8)+IF(MATCH(A9,$A$2:$A$401,0)=ROW()-1,1,0))</f>
        <v/>
      </c>
    </row>
    <row r="10">
      <c r="S10" s="5">
        <f>IF(A10="","",R10*IF(AND(ISNUMBER(W10),W10&gt;0,W10&lt;1),W10*100,W10)/100)</f>
        <v/>
      </c>
      <c r="T10" s="5">
        <f>IF(A10="","",V10*U10/100)</f>
        <v/>
      </c>
      <c r="U10" s="5">
        <f>IF(A10="","",R10-S10)</f>
        <v/>
      </c>
      <c r="X10" s="5">
        <f>IF(A10="","",U10-T10)</f>
        <v/>
      </c>
      <c r="AA10">
        <f>IF(A10="","",N(AA9)+IF(MATCH(A10,$A$2:$A$401,0)=ROW()-1,1,0))</f>
        <v/>
      </c>
    </row>
    <row r="11">
      <c r="S11" s="5">
        <f>IF(A11="","",R11*IF(AND(ISNUMBER(W11),W11&gt;0,W11&lt;1),W11*100,W11)/100)</f>
        <v/>
      </c>
      <c r="T11" s="5">
        <f>IF(A11="","",V11*U11/100)</f>
        <v/>
      </c>
      <c r="U11" s="5">
        <f>IF(A11="","",R11-S11)</f>
        <v/>
      </c>
      <c r="X11" s="5">
        <f>IF(A11="","",U11-T11)</f>
        <v/>
      </c>
      <c r="AA11">
        <f>IF(A11="","",N(AA10)+IF(MATCH(A11,$A$2:$A$401,0)=ROW()-1,1,0))</f>
        <v/>
      </c>
    </row>
    <row r="12">
      <c r="S12" s="5">
        <f>IF(A12="","",R12*IF(AND(ISNUMBER(W12),W12&gt;0,W12&lt;1),W12*100,W12)/100)</f>
        <v/>
      </c>
      <c r="T12" s="5">
        <f>IF(A12="","",V12*U12/100)</f>
        <v/>
      </c>
      <c r="U12" s="5">
        <f>IF(A12="","",R12-S12)</f>
        <v/>
      </c>
      <c r="X12" s="5">
        <f>IF(A12="","",U12-T12)</f>
        <v/>
      </c>
      <c r="AA12">
        <f>IF(A12="","",N(AA11)+IF(MATCH(A12,$A$2:$A$401,0)=ROW()-1,1,0))</f>
        <v/>
      </c>
    </row>
    <row r="13">
      <c r="S13" s="5">
        <f>IF(A13="","",R13*IF(AND(ISNUMBER(W13),W13&gt;0,W13&lt;1),W13*100,W13)/100)</f>
        <v/>
      </c>
      <c r="T13" s="5">
        <f>IF(A13="","",V13*U13/100)</f>
        <v/>
      </c>
      <c r="U13" s="5">
        <f>IF(A13="","",R13-S13)</f>
        <v/>
      </c>
      <c r="X13" s="5">
        <f>IF(A13="","",U13-T13)</f>
        <v/>
      </c>
      <c r="AA13">
        <f>IF(A13="","",N(AA12)+IF(MATCH(A13,$A$2:$A$401,0)=ROW()-1,1,0))</f>
        <v/>
      </c>
    </row>
    <row r="14">
      <c r="S14" s="5">
        <f>IF(A14="","",R14*IF(AND(ISNUMBER(W14),W14&gt;0,W14&lt;1),W14*100,W14)/100)</f>
        <v/>
      </c>
      <c r="T14" s="5">
        <f>IF(A14="","",V14*U14/100)</f>
        <v/>
      </c>
      <c r="U14" s="5">
        <f>IF(A14="","",R14-S14)</f>
        <v/>
      </c>
      <c r="X14" s="5">
        <f>IF(A14="","",U14-T14)</f>
        <v/>
      </c>
      <c r="AA14">
        <f>IF(A14="","",N(AA13)+IF(MATCH(A14,$A$2:$A$401,0)=ROW()-1,1,0))</f>
        <v/>
      </c>
    </row>
    <row r="15">
      <c r="S15" s="5">
        <f>IF(A15="","",R15*IF(AND(ISNUMBER(W15),W15&gt;0,W15&lt;1),W15*100,W15)/100)</f>
        <v/>
      </c>
      <c r="T15" s="5">
        <f>IF(A15="","",V15*U15/100)</f>
        <v/>
      </c>
      <c r="U15" s="5">
        <f>IF(A15="","",R15-S15)</f>
        <v/>
      </c>
      <c r="X15" s="5">
        <f>IF(A15="","",U15-T15)</f>
        <v/>
      </c>
      <c r="AA15">
        <f>IF(A15="","",N(AA14)+IF(MATCH(A15,$A$2:$A$401,0)=ROW()-1,1,0))</f>
        <v/>
      </c>
    </row>
    <row r="16">
      <c r="S16" s="5">
        <f>IF(A16="","",R16*IF(AND(ISNUMBER(W16),W16&gt;0,W16&lt;1),W16*100,W16)/100)</f>
        <v/>
      </c>
      <c r="T16" s="5">
        <f>IF(A16="","",V16*U16/100)</f>
        <v/>
      </c>
      <c r="U16" s="5">
        <f>IF(A16="","",R16-S16)</f>
        <v/>
      </c>
      <c r="X16" s="5">
        <f>IF(A16="","",U16-T16)</f>
        <v/>
      </c>
      <c r="AA16">
        <f>IF(A16="","",N(AA15)+IF(MATCH(A16,$A$2:$A$401,0)=ROW()-1,1,0))</f>
        <v/>
      </c>
    </row>
    <row r="17">
      <c r="S17" s="5">
        <f>IF(A17="","",R17*IF(AND(ISNUMBER(W17),W17&gt;0,W17&lt;1),W17*100,W17)/100)</f>
        <v/>
      </c>
      <c r="T17" s="5">
        <f>IF(A17="","",V17*U17/100)</f>
        <v/>
      </c>
      <c r="U17" s="5">
        <f>IF(A17="","",R17-S17)</f>
        <v/>
      </c>
      <c r="X17" s="5">
        <f>IF(A17="","",U17-T17)</f>
        <v/>
      </c>
      <c r="AA17">
        <f>IF(A17="","",N(AA16)+IF(MATCH(A17,$A$2:$A$401,0)=ROW()-1,1,0))</f>
        <v/>
      </c>
    </row>
    <row r="18">
      <c r="S18" s="5">
        <f>IF(A18="","",R18*IF(AND(ISNUMBER(W18),W18&gt;0,W18&lt;1),W18*100,W18)/100)</f>
        <v/>
      </c>
      <c r="T18" s="5">
        <f>IF(A18="","",V18*U18/100)</f>
        <v/>
      </c>
      <c r="U18" s="5">
        <f>IF(A18="","",R18-S18)</f>
        <v/>
      </c>
      <c r="X18" s="5">
        <f>IF(A18="","",U18-T18)</f>
        <v/>
      </c>
      <c r="AA18">
        <f>IF(A18="","",N(AA17)+IF(MATCH(A18,$A$2:$A$401,0)=ROW()-1,1,0))</f>
        <v/>
      </c>
    </row>
    <row r="19">
      <c r="S19" s="5">
        <f>IF(A19="","",R19*IF(AND(ISNUMBER(W19),W19&gt;0,W19&lt;1),W19*100,W19)/100)</f>
        <v/>
      </c>
      <c r="T19" s="5">
        <f>IF(A19="","",V19*U19/100)</f>
        <v/>
      </c>
      <c r="U19" s="5">
        <f>IF(A19="","",R19-S19)</f>
        <v/>
      </c>
      <c r="X19" s="5">
        <f>IF(A19="","",U19-T19)</f>
        <v/>
      </c>
      <c r="AA19">
        <f>IF(A19="","",N(AA18)+IF(MATCH(A19,$A$2:$A$401,0)=ROW()-1,1,0))</f>
        <v/>
      </c>
    </row>
    <row r="20">
      <c r="S20" s="5">
        <f>IF(A20="","",R20*IF(AND(ISNUMBER(W20),W20&gt;0,W20&lt;1),W20*100,W20)/100)</f>
        <v/>
      </c>
      <c r="T20" s="5">
        <f>IF(A20="","",V20*U20/100)</f>
        <v/>
      </c>
      <c r="U20" s="5">
        <f>IF(A20="","",R20-S20)</f>
        <v/>
      </c>
      <c r="X20" s="5">
        <f>IF(A20="","",U20-T20)</f>
        <v/>
      </c>
      <c r="AA20">
        <f>IF(A20="","",N(AA19)+IF(MATCH(A20,$A$2:$A$401,0)=ROW()-1,1,0))</f>
        <v/>
      </c>
    </row>
    <row r="21">
      <c r="S21" s="5">
        <f>IF(A21="","",R21*IF(AND(ISNUMBER(W21),W21&gt;0,W21&lt;1),W21*100,W21)/100)</f>
        <v/>
      </c>
      <c r="T21" s="5">
        <f>IF(A21="","",V21*U21/100)</f>
        <v/>
      </c>
      <c r="U21" s="5">
        <f>IF(A21="","",R21-S21)</f>
        <v/>
      </c>
      <c r="X21" s="5">
        <f>IF(A21="","",U21-T21)</f>
        <v/>
      </c>
      <c r="AA21">
        <f>IF(A21="","",N(AA20)+IF(MATCH(A21,$A$2:$A$401,0)=ROW()-1,1,0))</f>
        <v/>
      </c>
    </row>
    <row r="22">
      <c r="S22" s="5">
        <f>IF(A22="","",R22*IF(AND(ISNUMBER(W22),W22&gt;0,W22&lt;1),W22*100,W22)/100)</f>
        <v/>
      </c>
      <c r="T22" s="5">
        <f>IF(A22="","",V22*U22/100)</f>
        <v/>
      </c>
      <c r="U22" s="5">
        <f>IF(A22="","",R22-S22)</f>
        <v/>
      </c>
      <c r="X22" s="5">
        <f>IF(A22="","",U22-T22)</f>
        <v/>
      </c>
      <c r="AA22">
        <f>IF(A22="","",N(AA21)+IF(MATCH(A22,$A$2:$A$401,0)=ROW()-1,1,0))</f>
        <v/>
      </c>
    </row>
    <row r="23">
      <c r="S23" s="5">
        <f>IF(A23="","",R23*IF(AND(ISNUMBER(W23),W23&gt;0,W23&lt;1),W23*100,W23)/100)</f>
        <v/>
      </c>
      <c r="T23" s="5">
        <f>IF(A23="","",V23*U23/100)</f>
        <v/>
      </c>
      <c r="U23" s="5">
        <f>IF(A23="","",R23-S23)</f>
        <v/>
      </c>
      <c r="X23" s="5">
        <f>IF(A23="","",U23-T23)</f>
        <v/>
      </c>
      <c r="AA23">
        <f>IF(A23="","",N(AA22)+IF(MATCH(A23,$A$2:$A$401,0)=ROW()-1,1,0))</f>
        <v/>
      </c>
    </row>
    <row r="24">
      <c r="S24" s="5">
        <f>IF(A24="","",R24*IF(AND(ISNUMBER(W24),W24&gt;0,W24&lt;1),W24*100,W24)/100)</f>
        <v/>
      </c>
      <c r="T24" s="5">
        <f>IF(A24="","",V24*U24/100)</f>
        <v/>
      </c>
      <c r="U24" s="5">
        <f>IF(A24="","",R24-S24)</f>
        <v/>
      </c>
      <c r="X24" s="5">
        <f>IF(A24="","",U24-T24)</f>
        <v/>
      </c>
      <c r="AA24">
        <f>IF(A24="","",N(AA23)+IF(MATCH(A24,$A$2:$A$401,0)=ROW()-1,1,0))</f>
        <v/>
      </c>
    </row>
    <row r="25">
      <c r="S25" s="5">
        <f>IF(A25="","",R25*IF(AND(ISNUMBER(W25),W25&gt;0,W25&lt;1),W25*100,W25)/100)</f>
        <v/>
      </c>
      <c r="T25" s="5">
        <f>IF(A25="","",V25*U25/100)</f>
        <v/>
      </c>
      <c r="U25" s="5">
        <f>IF(A25="","",R25-S25)</f>
        <v/>
      </c>
      <c r="X25" s="5">
        <f>IF(A25="","",U25-T25)</f>
        <v/>
      </c>
      <c r="AA25">
        <f>IF(A25="","",N(AA24)+IF(MATCH(A25,$A$2:$A$401,0)=ROW()-1,1,0))</f>
        <v/>
      </c>
    </row>
    <row r="26">
      <c r="S26" s="5">
        <f>IF(A26="","",R26*IF(AND(ISNUMBER(W26),W26&gt;0,W26&lt;1),W26*100,W26)/100)</f>
        <v/>
      </c>
      <c r="T26" s="5">
        <f>IF(A26="","",V26*U26/100)</f>
        <v/>
      </c>
      <c r="U26" s="5">
        <f>IF(A26="","",R26-S26)</f>
        <v/>
      </c>
      <c r="X26" s="5">
        <f>IF(A26="","",U26-T26)</f>
        <v/>
      </c>
      <c r="AA26">
        <f>IF(A26="","",N(AA25)+IF(MATCH(A26,$A$2:$A$401,0)=ROW()-1,1,0))</f>
        <v/>
      </c>
    </row>
    <row r="27">
      <c r="S27" s="5">
        <f>IF(A27="","",R27*IF(AND(ISNUMBER(W27),W27&gt;0,W27&lt;1),W27*100,W27)/100)</f>
        <v/>
      </c>
      <c r="T27" s="5">
        <f>IF(A27="","",V27*U27/100)</f>
        <v/>
      </c>
      <c r="U27" s="5">
        <f>IF(A27="","",R27-S27)</f>
        <v/>
      </c>
      <c r="X27" s="5">
        <f>IF(A27="","",U27-T27)</f>
        <v/>
      </c>
      <c r="AA27">
        <f>IF(A27="","",N(AA26)+IF(MATCH(A27,$A$2:$A$401,0)=ROW()-1,1,0))</f>
        <v/>
      </c>
    </row>
    <row r="28">
      <c r="S28" s="5">
        <f>IF(A28="","",R28*IF(AND(ISNUMBER(W28),W28&gt;0,W28&lt;1),W28*100,W28)/100)</f>
        <v/>
      </c>
      <c r="T28" s="5">
        <f>IF(A28="","",V28*U28/100)</f>
        <v/>
      </c>
      <c r="U28" s="5">
        <f>IF(A28="","",R28-S28)</f>
        <v/>
      </c>
      <c r="X28" s="5">
        <f>IF(A28="","",U28-T28)</f>
        <v/>
      </c>
      <c r="AA28">
        <f>IF(A28="","",N(AA27)+IF(MATCH(A28,$A$2:$A$401,0)=ROW()-1,1,0))</f>
        <v/>
      </c>
    </row>
    <row r="29">
      <c r="S29" s="5">
        <f>IF(A29="","",R29*IF(AND(ISNUMBER(W29),W29&gt;0,W29&lt;1),W29*100,W29)/100)</f>
        <v/>
      </c>
      <c r="T29" s="5">
        <f>IF(A29="","",V29*U29/100)</f>
        <v/>
      </c>
      <c r="U29" s="5">
        <f>IF(A29="","",R29-S29)</f>
        <v/>
      </c>
      <c r="X29" s="5">
        <f>IF(A29="","",U29-T29)</f>
        <v/>
      </c>
      <c r="AA29">
        <f>IF(A29="","",N(AA28)+IF(MATCH(A29,$A$2:$A$401,0)=ROW()-1,1,0))</f>
        <v/>
      </c>
    </row>
    <row r="30">
      <c r="S30" s="5">
        <f>IF(A30="","",R30*IF(AND(ISNUMBER(W30),W30&gt;0,W30&lt;1),W30*100,W30)/100)</f>
        <v/>
      </c>
      <c r="T30" s="5">
        <f>IF(A30="","",V30*U30/100)</f>
        <v/>
      </c>
      <c r="U30" s="5">
        <f>IF(A30="","",R30-S30)</f>
        <v/>
      </c>
      <c r="X30" s="5">
        <f>IF(A30="","",U30-T30)</f>
        <v/>
      </c>
      <c r="AA30">
        <f>IF(A30="","",N(AA29)+IF(MATCH(A30,$A$2:$A$401,0)=ROW()-1,1,0))</f>
        <v/>
      </c>
    </row>
    <row r="31">
      <c r="S31" s="5">
        <f>IF(A31="","",R31*IF(AND(ISNUMBER(W31),W31&gt;0,W31&lt;1),W31*100,W31)/100)</f>
        <v/>
      </c>
      <c r="T31" s="5">
        <f>IF(A31="","",V31*U31/100)</f>
        <v/>
      </c>
      <c r="U31" s="5">
        <f>IF(A31="","",R31-S31)</f>
        <v/>
      </c>
      <c r="X31" s="5">
        <f>IF(A31="","",U31-T31)</f>
        <v/>
      </c>
      <c r="AA31">
        <f>IF(A31="","",N(AA30)+IF(MATCH(A31,$A$2:$A$401,0)=ROW()-1,1,0))</f>
        <v/>
      </c>
    </row>
    <row r="32">
      <c r="S32" s="5">
        <f>IF(A32="","",R32*IF(AND(ISNUMBER(W32),W32&gt;0,W32&lt;1),W32*100,W32)/100)</f>
        <v/>
      </c>
      <c r="T32" s="5">
        <f>IF(A32="","",V32*U32/100)</f>
        <v/>
      </c>
      <c r="U32" s="5">
        <f>IF(A32="","",R32-S32)</f>
        <v/>
      </c>
      <c r="X32" s="5">
        <f>IF(A32="","",U32-T32)</f>
        <v/>
      </c>
      <c r="AA32">
        <f>IF(A32="","",N(AA31)+IF(MATCH(A32,$A$2:$A$401,0)=ROW()-1,1,0))</f>
        <v/>
      </c>
    </row>
    <row r="33">
      <c r="S33" s="5">
        <f>IF(A33="","",R33*IF(AND(ISNUMBER(W33),W33&gt;0,W33&lt;1),W33*100,W33)/100)</f>
        <v/>
      </c>
      <c r="T33" s="5">
        <f>IF(A33="","",V33*U33/100)</f>
        <v/>
      </c>
      <c r="U33" s="5">
        <f>IF(A33="","",R33-S33)</f>
        <v/>
      </c>
      <c r="X33" s="5">
        <f>IF(A33="","",U33-T33)</f>
        <v/>
      </c>
      <c r="AA33">
        <f>IF(A33="","",N(AA32)+IF(MATCH(A33,$A$2:$A$401,0)=ROW()-1,1,0))</f>
        <v/>
      </c>
    </row>
    <row r="34">
      <c r="S34" s="5">
        <f>IF(A34="","",R34*IF(AND(ISNUMBER(W34),W34&gt;0,W34&lt;1),W34*100,W34)/100)</f>
        <v/>
      </c>
      <c r="T34" s="5">
        <f>IF(A34="","",V34*U34/100)</f>
        <v/>
      </c>
      <c r="U34" s="5">
        <f>IF(A34="","",R34-S34)</f>
        <v/>
      </c>
      <c r="X34" s="5">
        <f>IF(A34="","",U34-T34)</f>
        <v/>
      </c>
      <c r="AA34">
        <f>IF(A34="","",N(AA33)+IF(MATCH(A34,$A$2:$A$401,0)=ROW()-1,1,0))</f>
        <v/>
      </c>
    </row>
    <row r="35">
      <c r="S35" s="5">
        <f>IF(A35="","",R35*IF(AND(ISNUMBER(W35),W35&gt;0,W35&lt;1),W35*100,W35)/100)</f>
        <v/>
      </c>
      <c r="T35" s="5">
        <f>IF(A35="","",V35*U35/100)</f>
        <v/>
      </c>
      <c r="U35" s="5">
        <f>IF(A35="","",R35-S35)</f>
        <v/>
      </c>
      <c r="X35" s="5">
        <f>IF(A35="","",U35-T35)</f>
        <v/>
      </c>
      <c r="AA35">
        <f>IF(A35="","",N(AA34)+IF(MATCH(A35,$A$2:$A$401,0)=ROW()-1,1,0))</f>
        <v/>
      </c>
    </row>
    <row r="36">
      <c r="S36" s="5">
        <f>IF(A36="","",R36*IF(AND(ISNUMBER(W36),W36&gt;0,W36&lt;1),W36*100,W36)/100)</f>
        <v/>
      </c>
      <c r="T36" s="5">
        <f>IF(A36="","",V36*U36/100)</f>
        <v/>
      </c>
      <c r="U36" s="5">
        <f>IF(A36="","",R36-S36)</f>
        <v/>
      </c>
      <c r="X36" s="5">
        <f>IF(A36="","",U36-T36)</f>
        <v/>
      </c>
      <c r="AA36">
        <f>IF(A36="","",N(AA35)+IF(MATCH(A36,$A$2:$A$401,0)=ROW()-1,1,0))</f>
        <v/>
      </c>
    </row>
    <row r="37">
      <c r="S37" s="5">
        <f>IF(A37="","",R37*IF(AND(ISNUMBER(W37),W37&gt;0,W37&lt;1),W37*100,W37)/100)</f>
        <v/>
      </c>
      <c r="T37" s="5">
        <f>IF(A37="","",V37*U37/100)</f>
        <v/>
      </c>
      <c r="U37" s="5">
        <f>IF(A37="","",R37-S37)</f>
        <v/>
      </c>
      <c r="X37" s="5">
        <f>IF(A37="","",U37-T37)</f>
        <v/>
      </c>
      <c r="AA37">
        <f>IF(A37="","",N(AA36)+IF(MATCH(A37,$A$2:$A$401,0)=ROW()-1,1,0))</f>
        <v/>
      </c>
    </row>
    <row r="38">
      <c r="S38" s="5">
        <f>IF(A38="","",R38*IF(AND(ISNUMBER(W38),W38&gt;0,W38&lt;1),W38*100,W38)/100)</f>
        <v/>
      </c>
      <c r="T38" s="5">
        <f>IF(A38="","",V38*U38/100)</f>
        <v/>
      </c>
      <c r="U38" s="5">
        <f>IF(A38="","",R38-S38)</f>
        <v/>
      </c>
      <c r="X38" s="5">
        <f>IF(A38="","",U38-T38)</f>
        <v/>
      </c>
      <c r="AA38">
        <f>IF(A38="","",N(AA37)+IF(MATCH(A38,$A$2:$A$401,0)=ROW()-1,1,0))</f>
        <v/>
      </c>
    </row>
    <row r="39">
      <c r="S39" s="5">
        <f>IF(A39="","",R39*IF(AND(ISNUMBER(W39),W39&gt;0,W39&lt;1),W39*100,W39)/100)</f>
        <v/>
      </c>
      <c r="T39" s="5">
        <f>IF(A39="","",V39*U39/100)</f>
        <v/>
      </c>
      <c r="U39" s="5">
        <f>IF(A39="","",R39-S39)</f>
        <v/>
      </c>
      <c r="X39" s="5">
        <f>IF(A39="","",U39-T39)</f>
        <v/>
      </c>
      <c r="AA39">
        <f>IF(A39="","",N(AA38)+IF(MATCH(A39,$A$2:$A$401,0)=ROW()-1,1,0))</f>
        <v/>
      </c>
    </row>
    <row r="40">
      <c r="S40" s="5">
        <f>IF(A40="","",R40*IF(AND(ISNUMBER(W40),W40&gt;0,W40&lt;1),W40*100,W40)/100)</f>
        <v/>
      </c>
      <c r="T40" s="5">
        <f>IF(A40="","",V40*U40/100)</f>
        <v/>
      </c>
      <c r="U40" s="5">
        <f>IF(A40="","",R40-S40)</f>
        <v/>
      </c>
      <c r="X40" s="5">
        <f>IF(A40="","",U40-T40)</f>
        <v/>
      </c>
      <c r="AA40">
        <f>IF(A40="","",N(AA39)+IF(MATCH(A40,$A$2:$A$401,0)=ROW()-1,1,0))</f>
        <v/>
      </c>
    </row>
    <row r="41">
      <c r="S41" s="5">
        <f>IF(A41="","",R41*IF(AND(ISNUMBER(W41),W41&gt;0,W41&lt;1),W41*100,W41)/100)</f>
        <v/>
      </c>
      <c r="T41" s="5">
        <f>IF(A41="","",V41*U41/100)</f>
        <v/>
      </c>
      <c r="U41" s="5">
        <f>IF(A41="","",R41-S41)</f>
        <v/>
      </c>
      <c r="X41" s="5">
        <f>IF(A41="","",U41-T41)</f>
        <v/>
      </c>
      <c r="AA41">
        <f>IF(A41="","",N(AA40)+IF(MATCH(A41,$A$2:$A$401,0)=ROW()-1,1,0))</f>
        <v/>
      </c>
    </row>
    <row r="42">
      <c r="S42" s="5">
        <f>IF(A42="","",R42*IF(AND(ISNUMBER(W42),W42&gt;0,W42&lt;1),W42*100,W42)/100)</f>
        <v/>
      </c>
      <c r="T42" s="5">
        <f>IF(A42="","",V42*U42/100)</f>
        <v/>
      </c>
      <c r="U42" s="5">
        <f>IF(A42="","",R42-S42)</f>
        <v/>
      </c>
      <c r="X42" s="5">
        <f>IF(A42="","",U42-T42)</f>
        <v/>
      </c>
      <c r="AA42">
        <f>IF(A42="","",N(AA41)+IF(MATCH(A42,$A$2:$A$401,0)=ROW()-1,1,0))</f>
        <v/>
      </c>
    </row>
    <row r="43">
      <c r="S43" s="5">
        <f>IF(A43="","",R43*IF(AND(ISNUMBER(W43),W43&gt;0,W43&lt;1),W43*100,W43)/100)</f>
        <v/>
      </c>
      <c r="T43" s="5">
        <f>IF(A43="","",V43*U43/100)</f>
        <v/>
      </c>
      <c r="U43" s="5">
        <f>IF(A43="","",R43-S43)</f>
        <v/>
      </c>
      <c r="X43" s="5">
        <f>IF(A43="","",U43-T43)</f>
        <v/>
      </c>
      <c r="AA43">
        <f>IF(A43="","",N(AA42)+IF(MATCH(A43,$A$2:$A$401,0)=ROW()-1,1,0))</f>
        <v/>
      </c>
    </row>
    <row r="44">
      <c r="S44" s="5">
        <f>IF(A44="","",R44*IF(AND(ISNUMBER(W44),W44&gt;0,W44&lt;1),W44*100,W44)/100)</f>
        <v/>
      </c>
      <c r="T44" s="5">
        <f>IF(A44="","",V44*U44/100)</f>
        <v/>
      </c>
      <c r="U44" s="5">
        <f>IF(A44="","",R44-S44)</f>
        <v/>
      </c>
      <c r="X44" s="5">
        <f>IF(A44="","",U44-T44)</f>
        <v/>
      </c>
      <c r="AA44">
        <f>IF(A44="","",N(AA43)+IF(MATCH(A44,$A$2:$A$401,0)=ROW()-1,1,0))</f>
        <v/>
      </c>
    </row>
    <row r="45">
      <c r="S45" s="5">
        <f>IF(A45="","",R45*IF(AND(ISNUMBER(W45),W45&gt;0,W45&lt;1),W45*100,W45)/100)</f>
        <v/>
      </c>
      <c r="T45" s="5">
        <f>IF(A45="","",V45*U45/100)</f>
        <v/>
      </c>
      <c r="U45" s="5">
        <f>IF(A45="","",R45-S45)</f>
        <v/>
      </c>
      <c r="X45" s="5">
        <f>IF(A45="","",U45-T45)</f>
        <v/>
      </c>
      <c r="AA45">
        <f>IF(A45="","",N(AA44)+IF(MATCH(A45,$A$2:$A$401,0)=ROW()-1,1,0))</f>
        <v/>
      </c>
    </row>
    <row r="46">
      <c r="S46" s="5">
        <f>IF(A46="","",R46*IF(AND(ISNUMBER(W46),W46&gt;0,W46&lt;1),W46*100,W46)/100)</f>
        <v/>
      </c>
      <c r="T46" s="5">
        <f>IF(A46="","",V46*U46/100)</f>
        <v/>
      </c>
      <c r="U46" s="5">
        <f>IF(A46="","",R46-S46)</f>
        <v/>
      </c>
      <c r="X46" s="5">
        <f>IF(A46="","",U46-T46)</f>
        <v/>
      </c>
      <c r="AA46">
        <f>IF(A46="","",N(AA45)+IF(MATCH(A46,$A$2:$A$401,0)=ROW()-1,1,0))</f>
        <v/>
      </c>
    </row>
    <row r="47">
      <c r="S47" s="5">
        <f>IF(A47="","",R47*IF(AND(ISNUMBER(W47),W47&gt;0,W47&lt;1),W47*100,W47)/100)</f>
        <v/>
      </c>
      <c r="T47" s="5">
        <f>IF(A47="","",V47*U47/100)</f>
        <v/>
      </c>
      <c r="U47" s="5">
        <f>IF(A47="","",R47-S47)</f>
        <v/>
      </c>
      <c r="X47" s="5">
        <f>IF(A47="","",U47-T47)</f>
        <v/>
      </c>
      <c r="AA47">
        <f>IF(A47="","",N(AA46)+IF(MATCH(A47,$A$2:$A$401,0)=ROW()-1,1,0))</f>
        <v/>
      </c>
    </row>
    <row r="48">
      <c r="S48" s="5">
        <f>IF(A48="","",R48*IF(AND(ISNUMBER(W48),W48&gt;0,W48&lt;1),W48*100,W48)/100)</f>
        <v/>
      </c>
      <c r="T48" s="5">
        <f>IF(A48="","",V48*U48/100)</f>
        <v/>
      </c>
      <c r="U48" s="5">
        <f>IF(A48="","",R48-S48)</f>
        <v/>
      </c>
      <c r="X48" s="5">
        <f>IF(A48="","",U48-T48)</f>
        <v/>
      </c>
      <c r="AA48">
        <f>IF(A48="","",N(AA47)+IF(MATCH(A48,$A$2:$A$401,0)=ROW()-1,1,0))</f>
        <v/>
      </c>
    </row>
    <row r="49">
      <c r="S49" s="5">
        <f>IF(A49="","",R49*IF(AND(ISNUMBER(W49),W49&gt;0,W49&lt;1),W49*100,W49)/100)</f>
        <v/>
      </c>
      <c r="T49" s="5">
        <f>IF(A49="","",V49*U49/100)</f>
        <v/>
      </c>
      <c r="U49" s="5">
        <f>IF(A49="","",R49-S49)</f>
        <v/>
      </c>
      <c r="X49" s="5">
        <f>IF(A49="","",U49-T49)</f>
        <v/>
      </c>
      <c r="AA49">
        <f>IF(A49="","",N(AA48)+IF(MATCH(A49,$A$2:$A$401,0)=ROW()-1,1,0))</f>
        <v/>
      </c>
    </row>
    <row r="50">
      <c r="S50" s="5">
        <f>IF(A50="","",R50*IF(AND(ISNUMBER(W50),W50&gt;0,W50&lt;1),W50*100,W50)/100)</f>
        <v/>
      </c>
      <c r="T50" s="5">
        <f>IF(A50="","",V50*U50/100)</f>
        <v/>
      </c>
      <c r="U50" s="5">
        <f>IF(A50="","",R50-S50)</f>
        <v/>
      </c>
      <c r="X50" s="5">
        <f>IF(A50="","",U50-T50)</f>
        <v/>
      </c>
      <c r="AA50">
        <f>IF(A50="","",N(AA49)+IF(MATCH(A50,$A$2:$A$401,0)=ROW()-1,1,0))</f>
        <v/>
      </c>
    </row>
    <row r="51">
      <c r="S51" s="5">
        <f>IF(A51="","",R51*IF(AND(ISNUMBER(W51),W51&gt;0,W51&lt;1),W51*100,W51)/100)</f>
        <v/>
      </c>
      <c r="T51" s="5">
        <f>IF(A51="","",V51*U51/100)</f>
        <v/>
      </c>
      <c r="U51" s="5">
        <f>IF(A51="","",R51-S51)</f>
        <v/>
      </c>
      <c r="X51" s="5">
        <f>IF(A51="","",U51-T51)</f>
        <v/>
      </c>
      <c r="AA51">
        <f>IF(A51="","",N(AA50)+IF(MATCH(A51,$A$2:$A$401,0)=ROW()-1,1,0))</f>
        <v/>
      </c>
    </row>
    <row r="52">
      <c r="S52" s="5">
        <f>IF(A52="","",R52*IF(AND(ISNUMBER(W52),W52&gt;0,W52&lt;1),W52*100,W52)/100)</f>
        <v/>
      </c>
      <c r="T52" s="5">
        <f>IF(A52="","",V52*U52/100)</f>
        <v/>
      </c>
      <c r="U52" s="5">
        <f>IF(A52="","",R52-S52)</f>
        <v/>
      </c>
      <c r="X52" s="5">
        <f>IF(A52="","",U52-T52)</f>
        <v/>
      </c>
      <c r="AA52">
        <f>IF(A52="","",N(AA51)+IF(MATCH(A52,$A$2:$A$401,0)=ROW()-1,1,0))</f>
        <v/>
      </c>
    </row>
    <row r="53">
      <c r="S53" s="5">
        <f>IF(A53="","",R53*IF(AND(ISNUMBER(W53),W53&gt;0,W53&lt;1),W53*100,W53)/100)</f>
        <v/>
      </c>
      <c r="T53" s="5">
        <f>IF(A53="","",V53*U53/100)</f>
        <v/>
      </c>
      <c r="U53" s="5">
        <f>IF(A53="","",R53-S53)</f>
        <v/>
      </c>
      <c r="X53" s="5">
        <f>IF(A53="","",U53-T53)</f>
        <v/>
      </c>
      <c r="AA53">
        <f>IF(A53="","",N(AA52)+IF(MATCH(A53,$A$2:$A$401,0)=ROW()-1,1,0))</f>
        <v/>
      </c>
    </row>
    <row r="54">
      <c r="S54" s="5">
        <f>IF(A54="","",R54*IF(AND(ISNUMBER(W54),W54&gt;0,W54&lt;1),W54*100,W54)/100)</f>
        <v/>
      </c>
      <c r="T54" s="5">
        <f>IF(A54="","",V54*U54/100)</f>
        <v/>
      </c>
      <c r="U54" s="5">
        <f>IF(A54="","",R54-S54)</f>
        <v/>
      </c>
      <c r="X54" s="5">
        <f>IF(A54="","",U54-T54)</f>
        <v/>
      </c>
      <c r="AA54">
        <f>IF(A54="","",N(AA53)+IF(MATCH(A54,$A$2:$A$401,0)=ROW()-1,1,0))</f>
        <v/>
      </c>
    </row>
    <row r="55">
      <c r="S55" s="5">
        <f>IF(A55="","",R55*IF(AND(ISNUMBER(W55),W55&gt;0,W55&lt;1),W55*100,W55)/100)</f>
        <v/>
      </c>
      <c r="T55" s="5">
        <f>IF(A55="","",V55*U55/100)</f>
        <v/>
      </c>
      <c r="U55" s="5">
        <f>IF(A55="","",R55-S55)</f>
        <v/>
      </c>
      <c r="X55" s="5">
        <f>IF(A55="","",U55-T55)</f>
        <v/>
      </c>
      <c r="AA55">
        <f>IF(A55="","",N(AA54)+IF(MATCH(A55,$A$2:$A$401,0)=ROW()-1,1,0))</f>
        <v/>
      </c>
    </row>
    <row r="56">
      <c r="S56" s="5">
        <f>IF(A56="","",R56*IF(AND(ISNUMBER(W56),W56&gt;0,W56&lt;1),W56*100,W56)/100)</f>
        <v/>
      </c>
      <c r="T56" s="5">
        <f>IF(A56="","",V56*U56/100)</f>
        <v/>
      </c>
      <c r="U56" s="5">
        <f>IF(A56="","",R56-S56)</f>
        <v/>
      </c>
      <c r="X56" s="5">
        <f>IF(A56="","",U56-T56)</f>
        <v/>
      </c>
      <c r="AA56">
        <f>IF(A56="","",N(AA55)+IF(MATCH(A56,$A$2:$A$401,0)=ROW()-1,1,0))</f>
        <v/>
      </c>
    </row>
    <row r="57">
      <c r="S57" s="5">
        <f>IF(A57="","",R57*IF(AND(ISNUMBER(W57),W57&gt;0,W57&lt;1),W57*100,W57)/100)</f>
        <v/>
      </c>
      <c r="T57" s="5">
        <f>IF(A57="","",V57*U57/100)</f>
        <v/>
      </c>
      <c r="U57" s="5">
        <f>IF(A57="","",R57-S57)</f>
        <v/>
      </c>
      <c r="X57" s="5">
        <f>IF(A57="","",U57-T57)</f>
        <v/>
      </c>
      <c r="AA57">
        <f>IF(A57="","",N(AA56)+IF(MATCH(A57,$A$2:$A$401,0)=ROW()-1,1,0))</f>
        <v/>
      </c>
    </row>
    <row r="58">
      <c r="S58" s="5">
        <f>IF(A58="","",R58*IF(AND(ISNUMBER(W58),W58&gt;0,W58&lt;1),W58*100,W58)/100)</f>
        <v/>
      </c>
      <c r="T58" s="5">
        <f>IF(A58="","",V58*U58/100)</f>
        <v/>
      </c>
      <c r="U58" s="5">
        <f>IF(A58="","",R58-S58)</f>
        <v/>
      </c>
      <c r="X58" s="5">
        <f>IF(A58="","",U58-T58)</f>
        <v/>
      </c>
      <c r="AA58">
        <f>IF(A58="","",N(AA57)+IF(MATCH(A58,$A$2:$A$401,0)=ROW()-1,1,0))</f>
        <v/>
      </c>
    </row>
    <row r="59">
      <c r="S59" s="5">
        <f>IF(A59="","",R59*IF(AND(ISNUMBER(W59),W59&gt;0,W59&lt;1),W59*100,W59)/100)</f>
        <v/>
      </c>
      <c r="T59" s="5">
        <f>IF(A59="","",V59*U59/100)</f>
        <v/>
      </c>
      <c r="U59" s="5">
        <f>IF(A59="","",R59-S59)</f>
        <v/>
      </c>
      <c r="X59" s="5">
        <f>IF(A59="","",U59-T59)</f>
        <v/>
      </c>
      <c r="AA59">
        <f>IF(A59="","",N(AA58)+IF(MATCH(A59,$A$2:$A$401,0)=ROW()-1,1,0))</f>
        <v/>
      </c>
    </row>
    <row r="60">
      <c r="S60" s="5">
        <f>IF(A60="","",R60*IF(AND(ISNUMBER(W60),W60&gt;0,W60&lt;1),W60*100,W60)/100)</f>
        <v/>
      </c>
      <c r="T60" s="5">
        <f>IF(A60="","",V60*U60/100)</f>
        <v/>
      </c>
      <c r="U60" s="5">
        <f>IF(A60="","",R60-S60)</f>
        <v/>
      </c>
      <c r="X60" s="5">
        <f>IF(A60="","",U60-T60)</f>
        <v/>
      </c>
      <c r="AA60">
        <f>IF(A60="","",N(AA59)+IF(MATCH(A60,$A$2:$A$401,0)=ROW()-1,1,0))</f>
        <v/>
      </c>
    </row>
    <row r="61">
      <c r="S61" s="5">
        <f>IF(A61="","",R61*IF(AND(ISNUMBER(W61),W61&gt;0,W61&lt;1),W61*100,W61)/100)</f>
        <v/>
      </c>
      <c r="T61" s="5">
        <f>IF(A61="","",V61*U61/100)</f>
        <v/>
      </c>
      <c r="U61" s="5">
        <f>IF(A61="","",R61-S61)</f>
        <v/>
      </c>
      <c r="X61" s="5">
        <f>IF(A61="","",U61-T61)</f>
        <v/>
      </c>
      <c r="AA61">
        <f>IF(A61="","",N(AA60)+IF(MATCH(A61,$A$2:$A$401,0)=ROW()-1,1,0))</f>
        <v/>
      </c>
    </row>
    <row r="62">
      <c r="S62" s="5">
        <f>IF(A62="","",R62*IF(AND(ISNUMBER(W62),W62&gt;0,W62&lt;1),W62*100,W62)/100)</f>
        <v/>
      </c>
      <c r="T62" s="5">
        <f>IF(A62="","",V62*U62/100)</f>
        <v/>
      </c>
      <c r="U62" s="5">
        <f>IF(A62="","",R62-S62)</f>
        <v/>
      </c>
      <c r="X62" s="5">
        <f>IF(A62="","",U62-T62)</f>
        <v/>
      </c>
      <c r="AA62">
        <f>IF(A62="","",N(AA61)+IF(MATCH(A62,$A$2:$A$401,0)=ROW()-1,1,0))</f>
        <v/>
      </c>
    </row>
    <row r="63">
      <c r="S63" s="5">
        <f>IF(A63="","",R63*IF(AND(ISNUMBER(W63),W63&gt;0,W63&lt;1),W63*100,W63)/100)</f>
        <v/>
      </c>
      <c r="T63" s="5">
        <f>IF(A63="","",V63*U63/100)</f>
        <v/>
      </c>
      <c r="U63" s="5">
        <f>IF(A63="","",R63-S63)</f>
        <v/>
      </c>
      <c r="X63" s="5">
        <f>IF(A63="","",U63-T63)</f>
        <v/>
      </c>
      <c r="AA63">
        <f>IF(A63="","",N(AA62)+IF(MATCH(A63,$A$2:$A$401,0)=ROW()-1,1,0))</f>
        <v/>
      </c>
    </row>
    <row r="64">
      <c r="S64" s="5">
        <f>IF(A64="","",R64*IF(AND(ISNUMBER(W64),W64&gt;0,W64&lt;1),W64*100,W64)/100)</f>
        <v/>
      </c>
      <c r="T64" s="5">
        <f>IF(A64="","",V64*U64/100)</f>
        <v/>
      </c>
      <c r="U64" s="5">
        <f>IF(A64="","",R64-S64)</f>
        <v/>
      </c>
      <c r="X64" s="5">
        <f>IF(A64="","",U64-T64)</f>
        <v/>
      </c>
      <c r="AA64">
        <f>IF(A64="","",N(AA63)+IF(MATCH(A64,$A$2:$A$401,0)=ROW()-1,1,0))</f>
        <v/>
      </c>
    </row>
    <row r="65">
      <c r="S65" s="5">
        <f>IF(A65="","",R65*IF(AND(ISNUMBER(W65),W65&gt;0,W65&lt;1),W65*100,W65)/100)</f>
        <v/>
      </c>
      <c r="T65" s="5">
        <f>IF(A65="","",V65*U65/100)</f>
        <v/>
      </c>
      <c r="U65" s="5">
        <f>IF(A65="","",R65-S65)</f>
        <v/>
      </c>
      <c r="X65" s="5">
        <f>IF(A65="","",U65-T65)</f>
        <v/>
      </c>
      <c r="AA65">
        <f>IF(A65="","",N(AA64)+IF(MATCH(A65,$A$2:$A$401,0)=ROW()-1,1,0))</f>
        <v/>
      </c>
    </row>
    <row r="66">
      <c r="S66" s="5">
        <f>IF(A66="","",R66*IF(AND(ISNUMBER(W66),W66&gt;0,W66&lt;1),W66*100,W66)/100)</f>
        <v/>
      </c>
      <c r="T66" s="5">
        <f>IF(A66="","",V66*U66/100)</f>
        <v/>
      </c>
      <c r="U66" s="5">
        <f>IF(A66="","",R66-S66)</f>
        <v/>
      </c>
      <c r="X66" s="5">
        <f>IF(A66="","",U66-T66)</f>
        <v/>
      </c>
      <c r="AA66">
        <f>IF(A66="","",N(AA65)+IF(MATCH(A66,$A$2:$A$401,0)=ROW()-1,1,0))</f>
        <v/>
      </c>
    </row>
    <row r="67">
      <c r="S67" s="5">
        <f>IF(A67="","",R67*IF(AND(ISNUMBER(W67),W67&gt;0,W67&lt;1),W67*100,W67)/100)</f>
        <v/>
      </c>
      <c r="T67" s="5">
        <f>IF(A67="","",V67*U67/100)</f>
        <v/>
      </c>
      <c r="U67" s="5">
        <f>IF(A67="","",R67-S67)</f>
        <v/>
      </c>
      <c r="X67" s="5">
        <f>IF(A67="","",U67-T67)</f>
        <v/>
      </c>
      <c r="AA67">
        <f>IF(A67="","",N(AA66)+IF(MATCH(A67,$A$2:$A$401,0)=ROW()-1,1,0))</f>
        <v/>
      </c>
    </row>
    <row r="68">
      <c r="S68" s="5">
        <f>IF(A68="","",R68*IF(AND(ISNUMBER(W68),W68&gt;0,W68&lt;1),W68*100,W68)/100)</f>
        <v/>
      </c>
      <c r="T68" s="5">
        <f>IF(A68="","",V68*U68/100)</f>
        <v/>
      </c>
      <c r="U68" s="5">
        <f>IF(A68="","",R68-S68)</f>
        <v/>
      </c>
      <c r="X68" s="5">
        <f>IF(A68="","",U68-T68)</f>
        <v/>
      </c>
      <c r="AA68">
        <f>IF(A68="","",N(AA67)+IF(MATCH(A68,$A$2:$A$401,0)=ROW()-1,1,0))</f>
        <v/>
      </c>
    </row>
    <row r="69">
      <c r="S69" s="5">
        <f>IF(A69="","",R69*IF(AND(ISNUMBER(W69),W69&gt;0,W69&lt;1),W69*100,W69)/100)</f>
        <v/>
      </c>
      <c r="T69" s="5">
        <f>IF(A69="","",V69*U69/100)</f>
        <v/>
      </c>
      <c r="U69" s="5">
        <f>IF(A69="","",R69-S69)</f>
        <v/>
      </c>
      <c r="X69" s="5">
        <f>IF(A69="","",U69-T69)</f>
        <v/>
      </c>
      <c r="AA69">
        <f>IF(A69="","",N(AA68)+IF(MATCH(A69,$A$2:$A$401,0)=ROW()-1,1,0))</f>
        <v/>
      </c>
    </row>
    <row r="70">
      <c r="S70" s="5">
        <f>IF(A70="","",R70*IF(AND(ISNUMBER(W70),W70&gt;0,W70&lt;1),W70*100,W70)/100)</f>
        <v/>
      </c>
      <c r="T70" s="5">
        <f>IF(A70="","",V70*U70/100)</f>
        <v/>
      </c>
      <c r="U70" s="5">
        <f>IF(A70="","",R70-S70)</f>
        <v/>
      </c>
      <c r="X70" s="5">
        <f>IF(A70="","",U70-T70)</f>
        <v/>
      </c>
      <c r="AA70">
        <f>IF(A70="","",N(AA69)+IF(MATCH(A70,$A$2:$A$401,0)=ROW()-1,1,0))</f>
        <v/>
      </c>
    </row>
    <row r="71">
      <c r="S71" s="5">
        <f>IF(A71="","",R71*IF(AND(ISNUMBER(W71),W71&gt;0,W71&lt;1),W71*100,W71)/100)</f>
        <v/>
      </c>
      <c r="T71" s="5">
        <f>IF(A71="","",V71*U71/100)</f>
        <v/>
      </c>
      <c r="U71" s="5">
        <f>IF(A71="","",R71-S71)</f>
        <v/>
      </c>
      <c r="X71" s="5">
        <f>IF(A71="","",U71-T71)</f>
        <v/>
      </c>
      <c r="AA71">
        <f>IF(A71="","",N(AA70)+IF(MATCH(A71,$A$2:$A$401,0)=ROW()-1,1,0))</f>
        <v/>
      </c>
    </row>
    <row r="72">
      <c r="S72" s="5">
        <f>IF(A72="","",R72*IF(AND(ISNUMBER(W72),W72&gt;0,W72&lt;1),W72*100,W72)/100)</f>
        <v/>
      </c>
      <c r="T72" s="5">
        <f>IF(A72="","",V72*U72/100)</f>
        <v/>
      </c>
      <c r="U72" s="5">
        <f>IF(A72="","",R72-S72)</f>
        <v/>
      </c>
      <c r="X72" s="5">
        <f>IF(A72="","",U72-T72)</f>
        <v/>
      </c>
      <c r="AA72">
        <f>IF(A72="","",N(AA71)+IF(MATCH(A72,$A$2:$A$401,0)=ROW()-1,1,0))</f>
        <v/>
      </c>
    </row>
    <row r="73">
      <c r="S73" s="5">
        <f>IF(A73="","",R73*IF(AND(ISNUMBER(W73),W73&gt;0,W73&lt;1),W73*100,W73)/100)</f>
        <v/>
      </c>
      <c r="T73" s="5">
        <f>IF(A73="","",V73*U73/100)</f>
        <v/>
      </c>
      <c r="U73" s="5">
        <f>IF(A73="","",R73-S73)</f>
        <v/>
      </c>
      <c r="X73" s="5">
        <f>IF(A73="","",U73-T73)</f>
        <v/>
      </c>
      <c r="AA73">
        <f>IF(A73="","",N(AA72)+IF(MATCH(A73,$A$2:$A$401,0)=ROW()-1,1,0))</f>
        <v/>
      </c>
    </row>
    <row r="74">
      <c r="S74" s="5">
        <f>IF(A74="","",R74*IF(AND(ISNUMBER(W74),W74&gt;0,W74&lt;1),W74*100,W74)/100)</f>
        <v/>
      </c>
      <c r="T74" s="5">
        <f>IF(A74="","",V74*U74/100)</f>
        <v/>
      </c>
      <c r="U74" s="5">
        <f>IF(A74="","",R74-S74)</f>
        <v/>
      </c>
      <c r="X74" s="5">
        <f>IF(A74="","",U74-T74)</f>
        <v/>
      </c>
      <c r="AA74">
        <f>IF(A74="","",N(AA73)+IF(MATCH(A74,$A$2:$A$401,0)=ROW()-1,1,0))</f>
        <v/>
      </c>
    </row>
    <row r="75">
      <c r="S75" s="5">
        <f>IF(A75="","",R75*IF(AND(ISNUMBER(W75),W75&gt;0,W75&lt;1),W75*100,W75)/100)</f>
        <v/>
      </c>
      <c r="T75" s="5">
        <f>IF(A75="","",V75*U75/100)</f>
        <v/>
      </c>
      <c r="U75" s="5">
        <f>IF(A75="","",R75-S75)</f>
        <v/>
      </c>
      <c r="X75" s="5">
        <f>IF(A75="","",U75-T75)</f>
        <v/>
      </c>
      <c r="AA75">
        <f>IF(A75="","",N(AA74)+IF(MATCH(A75,$A$2:$A$401,0)=ROW()-1,1,0))</f>
        <v/>
      </c>
    </row>
    <row r="76">
      <c r="S76" s="5">
        <f>IF(A76="","",R76*IF(AND(ISNUMBER(W76),W76&gt;0,W76&lt;1),W76*100,W76)/100)</f>
        <v/>
      </c>
      <c r="T76" s="5">
        <f>IF(A76="","",V76*U76/100)</f>
        <v/>
      </c>
      <c r="U76" s="5">
        <f>IF(A76="","",R76-S76)</f>
        <v/>
      </c>
      <c r="X76" s="5">
        <f>IF(A76="","",U76-T76)</f>
        <v/>
      </c>
      <c r="AA76">
        <f>IF(A76="","",N(AA75)+IF(MATCH(A76,$A$2:$A$401,0)=ROW()-1,1,0))</f>
        <v/>
      </c>
    </row>
    <row r="77">
      <c r="S77" s="5">
        <f>IF(A77="","",R77*IF(AND(ISNUMBER(W77),W77&gt;0,W77&lt;1),W77*100,W77)/100)</f>
        <v/>
      </c>
      <c r="T77" s="5">
        <f>IF(A77="","",V77*U77/100)</f>
        <v/>
      </c>
      <c r="U77" s="5">
        <f>IF(A77="","",R77-S77)</f>
        <v/>
      </c>
      <c r="X77" s="5">
        <f>IF(A77="","",U77-T77)</f>
        <v/>
      </c>
      <c r="AA77">
        <f>IF(A77="","",N(AA76)+IF(MATCH(A77,$A$2:$A$401,0)=ROW()-1,1,0))</f>
        <v/>
      </c>
    </row>
    <row r="78">
      <c r="S78" s="5">
        <f>IF(A78="","",R78*IF(AND(ISNUMBER(W78),W78&gt;0,W78&lt;1),W78*100,W78)/100)</f>
        <v/>
      </c>
      <c r="T78" s="5">
        <f>IF(A78="","",V78*U78/100)</f>
        <v/>
      </c>
      <c r="U78" s="5">
        <f>IF(A78="","",R78-S78)</f>
        <v/>
      </c>
      <c r="X78" s="5">
        <f>IF(A78="","",U78-T78)</f>
        <v/>
      </c>
      <c r="AA78">
        <f>IF(A78="","",N(AA77)+IF(MATCH(A78,$A$2:$A$401,0)=ROW()-1,1,0))</f>
        <v/>
      </c>
    </row>
    <row r="79">
      <c r="S79" s="5">
        <f>IF(A79="","",R79*IF(AND(ISNUMBER(W79),W79&gt;0,W79&lt;1),W79*100,W79)/100)</f>
        <v/>
      </c>
      <c r="T79" s="5">
        <f>IF(A79="","",V79*U79/100)</f>
        <v/>
      </c>
      <c r="U79" s="5">
        <f>IF(A79="","",R79-S79)</f>
        <v/>
      </c>
      <c r="X79" s="5">
        <f>IF(A79="","",U79-T79)</f>
        <v/>
      </c>
      <c r="AA79">
        <f>IF(A79="","",N(AA78)+IF(MATCH(A79,$A$2:$A$401,0)=ROW()-1,1,0))</f>
        <v/>
      </c>
    </row>
    <row r="80">
      <c r="S80" s="5">
        <f>IF(A80="","",R80*IF(AND(ISNUMBER(W80),W80&gt;0,W80&lt;1),W80*100,W80)/100)</f>
        <v/>
      </c>
      <c r="T80" s="5">
        <f>IF(A80="","",V80*U80/100)</f>
        <v/>
      </c>
      <c r="U80" s="5">
        <f>IF(A80="","",R80-S80)</f>
        <v/>
      </c>
      <c r="X80" s="5">
        <f>IF(A80="","",U80-T80)</f>
        <v/>
      </c>
      <c r="AA80">
        <f>IF(A80="","",N(AA79)+IF(MATCH(A80,$A$2:$A$401,0)=ROW()-1,1,0))</f>
        <v/>
      </c>
    </row>
    <row r="81">
      <c r="S81" s="5">
        <f>IF(A81="","",R81*IF(AND(ISNUMBER(W81),W81&gt;0,W81&lt;1),W81*100,W81)/100)</f>
        <v/>
      </c>
      <c r="T81" s="5">
        <f>IF(A81="","",V81*U81/100)</f>
        <v/>
      </c>
      <c r="U81" s="5">
        <f>IF(A81="","",R81-S81)</f>
        <v/>
      </c>
      <c r="X81" s="5">
        <f>IF(A81="","",U81-T81)</f>
        <v/>
      </c>
      <c r="AA81">
        <f>IF(A81="","",N(AA80)+IF(MATCH(A81,$A$2:$A$401,0)=ROW()-1,1,0))</f>
        <v/>
      </c>
    </row>
    <row r="82">
      <c r="S82" s="5">
        <f>IF(A82="","",R82*IF(AND(ISNUMBER(W82),W82&gt;0,W82&lt;1),W82*100,W82)/100)</f>
        <v/>
      </c>
      <c r="T82" s="5">
        <f>IF(A82="","",V82*U82/100)</f>
        <v/>
      </c>
      <c r="U82" s="5">
        <f>IF(A82="","",R82-S82)</f>
        <v/>
      </c>
      <c r="X82" s="5">
        <f>IF(A82="","",U82-T82)</f>
        <v/>
      </c>
      <c r="AA82">
        <f>IF(A82="","",N(AA81)+IF(MATCH(A82,$A$2:$A$401,0)=ROW()-1,1,0))</f>
        <v/>
      </c>
    </row>
    <row r="83">
      <c r="S83" s="5">
        <f>IF(A83="","",R83*IF(AND(ISNUMBER(W83),W83&gt;0,W83&lt;1),W83*100,W83)/100)</f>
        <v/>
      </c>
      <c r="T83" s="5">
        <f>IF(A83="","",V83*U83/100)</f>
        <v/>
      </c>
      <c r="U83" s="5">
        <f>IF(A83="","",R83-S83)</f>
        <v/>
      </c>
      <c r="X83" s="5">
        <f>IF(A83="","",U83-T83)</f>
        <v/>
      </c>
      <c r="AA83">
        <f>IF(A83="","",N(AA82)+IF(MATCH(A83,$A$2:$A$401,0)=ROW()-1,1,0))</f>
        <v/>
      </c>
    </row>
    <row r="84">
      <c r="S84" s="5">
        <f>IF(A84="","",R84*IF(AND(ISNUMBER(W84),W84&gt;0,W84&lt;1),W84*100,W84)/100)</f>
        <v/>
      </c>
      <c r="T84" s="5">
        <f>IF(A84="","",V84*U84/100)</f>
        <v/>
      </c>
      <c r="U84" s="5">
        <f>IF(A84="","",R84-S84)</f>
        <v/>
      </c>
      <c r="X84" s="5">
        <f>IF(A84="","",U84-T84)</f>
        <v/>
      </c>
      <c r="AA84">
        <f>IF(A84="","",N(AA83)+IF(MATCH(A84,$A$2:$A$401,0)=ROW()-1,1,0))</f>
        <v/>
      </c>
    </row>
    <row r="85">
      <c r="S85" s="5">
        <f>IF(A85="","",R85*IF(AND(ISNUMBER(W85),W85&gt;0,W85&lt;1),W85*100,W85)/100)</f>
        <v/>
      </c>
      <c r="T85" s="5">
        <f>IF(A85="","",V85*U85/100)</f>
        <v/>
      </c>
      <c r="U85" s="5">
        <f>IF(A85="","",R85-S85)</f>
        <v/>
      </c>
      <c r="X85" s="5">
        <f>IF(A85="","",U85-T85)</f>
        <v/>
      </c>
      <c r="AA85">
        <f>IF(A85="","",N(AA84)+IF(MATCH(A85,$A$2:$A$401,0)=ROW()-1,1,0))</f>
        <v/>
      </c>
    </row>
    <row r="86">
      <c r="S86" s="5">
        <f>IF(A86="","",R86*IF(AND(ISNUMBER(W86),W86&gt;0,W86&lt;1),W86*100,W86)/100)</f>
        <v/>
      </c>
      <c r="T86" s="5">
        <f>IF(A86="","",V86*U86/100)</f>
        <v/>
      </c>
      <c r="U86" s="5">
        <f>IF(A86="","",R86-S86)</f>
        <v/>
      </c>
      <c r="X86" s="5">
        <f>IF(A86="","",U86-T86)</f>
        <v/>
      </c>
      <c r="AA86">
        <f>IF(A86="","",N(AA85)+IF(MATCH(A86,$A$2:$A$401,0)=ROW()-1,1,0))</f>
        <v/>
      </c>
    </row>
    <row r="87">
      <c r="S87" s="5">
        <f>IF(A87="","",R87*IF(AND(ISNUMBER(W87),W87&gt;0,W87&lt;1),W87*100,W87)/100)</f>
        <v/>
      </c>
      <c r="T87" s="5">
        <f>IF(A87="","",V87*U87/100)</f>
        <v/>
      </c>
      <c r="U87" s="5">
        <f>IF(A87="","",R87-S87)</f>
        <v/>
      </c>
      <c r="X87" s="5">
        <f>IF(A87="","",U87-T87)</f>
        <v/>
      </c>
      <c r="AA87">
        <f>IF(A87="","",N(AA86)+IF(MATCH(A87,$A$2:$A$401,0)=ROW()-1,1,0))</f>
        <v/>
      </c>
    </row>
    <row r="88">
      <c r="S88" s="5">
        <f>IF(A88="","",R88*IF(AND(ISNUMBER(W88),W88&gt;0,W88&lt;1),W88*100,W88)/100)</f>
        <v/>
      </c>
      <c r="T88" s="5">
        <f>IF(A88="","",V88*U88/100)</f>
        <v/>
      </c>
      <c r="U88" s="5">
        <f>IF(A88="","",R88-S88)</f>
        <v/>
      </c>
      <c r="X88" s="5">
        <f>IF(A88="","",U88-T88)</f>
        <v/>
      </c>
      <c r="AA88">
        <f>IF(A88="","",N(AA87)+IF(MATCH(A88,$A$2:$A$401,0)=ROW()-1,1,0))</f>
        <v/>
      </c>
    </row>
    <row r="89">
      <c r="S89" s="5">
        <f>IF(A89="","",R89*IF(AND(ISNUMBER(W89),W89&gt;0,W89&lt;1),W89*100,W89)/100)</f>
        <v/>
      </c>
      <c r="T89" s="5">
        <f>IF(A89="","",V89*U89/100)</f>
        <v/>
      </c>
      <c r="U89" s="5">
        <f>IF(A89="","",R89-S89)</f>
        <v/>
      </c>
      <c r="X89" s="5">
        <f>IF(A89="","",U89-T89)</f>
        <v/>
      </c>
      <c r="AA89">
        <f>IF(A89="","",N(AA88)+IF(MATCH(A89,$A$2:$A$401,0)=ROW()-1,1,0))</f>
        <v/>
      </c>
    </row>
    <row r="90">
      <c r="S90" s="5">
        <f>IF(A90="","",R90*IF(AND(ISNUMBER(W90),W90&gt;0,W90&lt;1),W90*100,W90)/100)</f>
        <v/>
      </c>
      <c r="T90" s="5">
        <f>IF(A90="","",V90*U90/100)</f>
        <v/>
      </c>
      <c r="U90" s="5">
        <f>IF(A90="","",R90-S90)</f>
        <v/>
      </c>
      <c r="X90" s="5">
        <f>IF(A90="","",U90-T90)</f>
        <v/>
      </c>
      <c r="AA90">
        <f>IF(A90="","",N(AA89)+IF(MATCH(A90,$A$2:$A$401,0)=ROW()-1,1,0))</f>
        <v/>
      </c>
    </row>
    <row r="91">
      <c r="S91" s="5">
        <f>IF(A91="","",R91*IF(AND(ISNUMBER(W91),W91&gt;0,W91&lt;1),W91*100,W91)/100)</f>
        <v/>
      </c>
      <c r="T91" s="5">
        <f>IF(A91="","",V91*U91/100)</f>
        <v/>
      </c>
      <c r="U91" s="5">
        <f>IF(A91="","",R91-S91)</f>
        <v/>
      </c>
      <c r="X91" s="5">
        <f>IF(A91="","",U91-T91)</f>
        <v/>
      </c>
      <c r="AA91">
        <f>IF(A91="","",N(AA90)+IF(MATCH(A91,$A$2:$A$401,0)=ROW()-1,1,0))</f>
        <v/>
      </c>
    </row>
    <row r="92">
      <c r="S92" s="5">
        <f>IF(A92="","",R92*IF(AND(ISNUMBER(W92),W92&gt;0,W92&lt;1),W92*100,W92)/100)</f>
        <v/>
      </c>
      <c r="T92" s="5">
        <f>IF(A92="","",V92*U92/100)</f>
        <v/>
      </c>
      <c r="U92" s="5">
        <f>IF(A92="","",R92-S92)</f>
        <v/>
      </c>
      <c r="X92" s="5">
        <f>IF(A92="","",U92-T92)</f>
        <v/>
      </c>
      <c r="AA92">
        <f>IF(A92="","",N(AA91)+IF(MATCH(A92,$A$2:$A$401,0)=ROW()-1,1,0))</f>
        <v/>
      </c>
    </row>
    <row r="93">
      <c r="S93" s="5">
        <f>IF(A93="","",R93*IF(AND(ISNUMBER(W93),W93&gt;0,W93&lt;1),W93*100,W93)/100)</f>
        <v/>
      </c>
      <c r="T93" s="5">
        <f>IF(A93="","",V93*U93/100)</f>
        <v/>
      </c>
      <c r="U93" s="5">
        <f>IF(A93="","",R93-S93)</f>
        <v/>
      </c>
      <c r="X93" s="5">
        <f>IF(A93="","",U93-T93)</f>
        <v/>
      </c>
      <c r="AA93">
        <f>IF(A93="","",N(AA92)+IF(MATCH(A93,$A$2:$A$401,0)=ROW()-1,1,0))</f>
        <v/>
      </c>
    </row>
    <row r="94">
      <c r="S94" s="5">
        <f>IF(A94="","",R94*IF(AND(ISNUMBER(W94),W94&gt;0,W94&lt;1),W94*100,W94)/100)</f>
        <v/>
      </c>
      <c r="T94" s="5">
        <f>IF(A94="","",V94*U94/100)</f>
        <v/>
      </c>
      <c r="U94" s="5">
        <f>IF(A94="","",R94-S94)</f>
        <v/>
      </c>
      <c r="X94" s="5">
        <f>IF(A94="","",U94-T94)</f>
        <v/>
      </c>
      <c r="AA94">
        <f>IF(A94="","",N(AA93)+IF(MATCH(A94,$A$2:$A$401,0)=ROW()-1,1,0))</f>
        <v/>
      </c>
    </row>
    <row r="95">
      <c r="S95" s="5">
        <f>IF(A95="","",R95*IF(AND(ISNUMBER(W95),W95&gt;0,W95&lt;1),W95*100,W95)/100)</f>
        <v/>
      </c>
      <c r="T95" s="5">
        <f>IF(A95="","",V95*U95/100)</f>
        <v/>
      </c>
      <c r="U95" s="5">
        <f>IF(A95="","",R95-S95)</f>
        <v/>
      </c>
      <c r="X95" s="5">
        <f>IF(A95="","",U95-T95)</f>
        <v/>
      </c>
      <c r="AA95">
        <f>IF(A95="","",N(AA94)+IF(MATCH(A95,$A$2:$A$401,0)=ROW()-1,1,0))</f>
        <v/>
      </c>
    </row>
    <row r="96">
      <c r="S96" s="5">
        <f>IF(A96="","",R96*IF(AND(ISNUMBER(W96),W96&gt;0,W96&lt;1),W96*100,W96)/100)</f>
        <v/>
      </c>
      <c r="T96" s="5">
        <f>IF(A96="","",V96*U96/100)</f>
        <v/>
      </c>
      <c r="U96" s="5">
        <f>IF(A96="","",R96-S96)</f>
        <v/>
      </c>
      <c r="X96" s="5">
        <f>IF(A96="","",U96-T96)</f>
        <v/>
      </c>
      <c r="AA96">
        <f>IF(A96="","",N(AA95)+IF(MATCH(A96,$A$2:$A$401,0)=ROW()-1,1,0))</f>
        <v/>
      </c>
    </row>
    <row r="97">
      <c r="S97" s="5">
        <f>IF(A97="","",R97*IF(AND(ISNUMBER(W97),W97&gt;0,W97&lt;1),W97*100,W97)/100)</f>
        <v/>
      </c>
      <c r="T97" s="5">
        <f>IF(A97="","",V97*U97/100)</f>
        <v/>
      </c>
      <c r="U97" s="5">
        <f>IF(A97="","",R97-S97)</f>
        <v/>
      </c>
      <c r="X97" s="5">
        <f>IF(A97="","",U97-T97)</f>
        <v/>
      </c>
      <c r="AA97">
        <f>IF(A97="","",N(AA96)+IF(MATCH(A97,$A$2:$A$401,0)=ROW()-1,1,0))</f>
        <v/>
      </c>
    </row>
    <row r="98">
      <c r="S98" s="5">
        <f>IF(A98="","",R98*IF(AND(ISNUMBER(W98),W98&gt;0,W98&lt;1),W98*100,W98)/100)</f>
        <v/>
      </c>
      <c r="T98" s="5">
        <f>IF(A98="","",V98*U98/100)</f>
        <v/>
      </c>
      <c r="U98" s="5">
        <f>IF(A98="","",R98-S98)</f>
        <v/>
      </c>
      <c r="X98" s="5">
        <f>IF(A98="","",U98-T98)</f>
        <v/>
      </c>
      <c r="AA98">
        <f>IF(A98="","",N(AA97)+IF(MATCH(A98,$A$2:$A$401,0)=ROW()-1,1,0))</f>
        <v/>
      </c>
    </row>
    <row r="99">
      <c r="S99" s="5">
        <f>IF(A99="","",R99*IF(AND(ISNUMBER(W99),W99&gt;0,W99&lt;1),W99*100,W99)/100)</f>
        <v/>
      </c>
      <c r="T99" s="5">
        <f>IF(A99="","",V99*U99/100)</f>
        <v/>
      </c>
      <c r="U99" s="5">
        <f>IF(A99="","",R99-S99)</f>
        <v/>
      </c>
      <c r="X99" s="5">
        <f>IF(A99="","",U99-T99)</f>
        <v/>
      </c>
      <c r="AA99">
        <f>IF(A99="","",N(AA98)+IF(MATCH(A99,$A$2:$A$401,0)=ROW()-1,1,0))</f>
        <v/>
      </c>
    </row>
    <row r="100">
      <c r="S100" s="5">
        <f>IF(A100="","",R100*IF(AND(ISNUMBER(W100),W100&gt;0,W100&lt;1),W100*100,W100)/100)</f>
        <v/>
      </c>
      <c r="T100" s="5">
        <f>IF(A100="","",V100*U100/100)</f>
        <v/>
      </c>
      <c r="U100" s="5">
        <f>IF(A100="","",R100-S100)</f>
        <v/>
      </c>
      <c r="X100" s="5">
        <f>IF(A100="","",U100-T100)</f>
        <v/>
      </c>
      <c r="AA100">
        <f>IF(A100="","",N(AA99)+IF(MATCH(A100,$A$2:$A$401,0)=ROW()-1,1,0))</f>
        <v/>
      </c>
    </row>
    <row r="101">
      <c r="S101" s="5">
        <f>IF(A101="","",R101*IF(AND(ISNUMBER(W101),W101&gt;0,W101&lt;1),W101*100,W101)/100)</f>
        <v/>
      </c>
      <c r="T101" s="5">
        <f>IF(A101="","",V101*U101/100)</f>
        <v/>
      </c>
      <c r="U101" s="5">
        <f>IF(A101="","",R101-S101)</f>
        <v/>
      </c>
      <c r="X101" s="5">
        <f>IF(A101="","",U101-T101)</f>
        <v/>
      </c>
      <c r="AA101">
        <f>IF(A101="","",N(AA100)+IF(MATCH(A101,$A$2:$A$401,0)=ROW()-1,1,0))</f>
        <v/>
      </c>
    </row>
    <row r="102">
      <c r="S102" s="5">
        <f>IF(A102="","",R102*IF(AND(ISNUMBER(W102),W102&gt;0,W102&lt;1),W102*100,W102)/100)</f>
        <v/>
      </c>
      <c r="T102" s="5">
        <f>IF(A102="","",V102*U102/100)</f>
        <v/>
      </c>
      <c r="U102" s="5">
        <f>IF(A102="","",R102-S102)</f>
        <v/>
      </c>
      <c r="X102" s="5">
        <f>IF(A102="","",U102-T102)</f>
        <v/>
      </c>
      <c r="AA102">
        <f>IF(A102="","",N(AA101)+IF(MATCH(A102,$A$2:$A$401,0)=ROW()-1,1,0))</f>
        <v/>
      </c>
    </row>
    <row r="103">
      <c r="S103" s="5">
        <f>IF(A103="","",R103*IF(AND(ISNUMBER(W103),W103&gt;0,W103&lt;1),W103*100,W103)/100)</f>
        <v/>
      </c>
      <c r="T103" s="5">
        <f>IF(A103="","",V103*U103/100)</f>
        <v/>
      </c>
      <c r="U103" s="5">
        <f>IF(A103="","",R103-S103)</f>
        <v/>
      </c>
      <c r="X103" s="5">
        <f>IF(A103="","",U103-T103)</f>
        <v/>
      </c>
      <c r="AA103">
        <f>IF(A103="","",N(AA102)+IF(MATCH(A103,$A$2:$A$401,0)=ROW()-1,1,0))</f>
        <v/>
      </c>
    </row>
    <row r="104">
      <c r="S104" s="5">
        <f>IF(A104="","",R104*IF(AND(ISNUMBER(W104),W104&gt;0,W104&lt;1),W104*100,W104)/100)</f>
        <v/>
      </c>
      <c r="T104" s="5">
        <f>IF(A104="","",V104*U104/100)</f>
        <v/>
      </c>
      <c r="U104" s="5">
        <f>IF(A104="","",R104-S104)</f>
        <v/>
      </c>
      <c r="X104" s="5">
        <f>IF(A104="","",U104-T104)</f>
        <v/>
      </c>
      <c r="AA104">
        <f>IF(A104="","",N(AA103)+IF(MATCH(A104,$A$2:$A$401,0)=ROW()-1,1,0))</f>
        <v/>
      </c>
    </row>
    <row r="105">
      <c r="S105" s="5">
        <f>IF(A105="","",R105*IF(AND(ISNUMBER(W105),W105&gt;0,W105&lt;1),W105*100,W105)/100)</f>
        <v/>
      </c>
      <c r="T105" s="5">
        <f>IF(A105="","",V105*U105/100)</f>
        <v/>
      </c>
      <c r="U105" s="5">
        <f>IF(A105="","",R105-S105)</f>
        <v/>
      </c>
      <c r="X105" s="5">
        <f>IF(A105="","",U105-T105)</f>
        <v/>
      </c>
      <c r="AA105">
        <f>IF(A105="","",N(AA104)+IF(MATCH(A105,$A$2:$A$401,0)=ROW()-1,1,0))</f>
        <v/>
      </c>
    </row>
    <row r="106">
      <c r="S106" s="5">
        <f>IF(A106="","",R106*IF(AND(ISNUMBER(W106),W106&gt;0,W106&lt;1),W106*100,W106)/100)</f>
        <v/>
      </c>
      <c r="T106" s="5">
        <f>IF(A106="","",V106*U106/100)</f>
        <v/>
      </c>
      <c r="U106" s="5">
        <f>IF(A106="","",R106-S106)</f>
        <v/>
      </c>
      <c r="X106" s="5">
        <f>IF(A106="","",U106-T106)</f>
        <v/>
      </c>
      <c r="AA106">
        <f>IF(A106="","",N(AA105)+IF(MATCH(A106,$A$2:$A$401,0)=ROW()-1,1,0))</f>
        <v/>
      </c>
    </row>
    <row r="107">
      <c r="S107" s="5">
        <f>IF(A107="","",R107*IF(AND(ISNUMBER(W107),W107&gt;0,W107&lt;1),W107*100,W107)/100)</f>
        <v/>
      </c>
      <c r="T107" s="5">
        <f>IF(A107="","",V107*U107/100)</f>
        <v/>
      </c>
      <c r="U107" s="5">
        <f>IF(A107="","",R107-S107)</f>
        <v/>
      </c>
      <c r="X107" s="5">
        <f>IF(A107="","",U107-T107)</f>
        <v/>
      </c>
      <c r="AA107">
        <f>IF(A107="","",N(AA106)+IF(MATCH(A107,$A$2:$A$401,0)=ROW()-1,1,0))</f>
        <v/>
      </c>
    </row>
    <row r="108">
      <c r="S108" s="5">
        <f>IF(A108="","",R108*IF(AND(ISNUMBER(W108),W108&gt;0,W108&lt;1),W108*100,W108)/100)</f>
        <v/>
      </c>
      <c r="T108" s="5">
        <f>IF(A108="","",V108*U108/100)</f>
        <v/>
      </c>
      <c r="U108" s="5">
        <f>IF(A108="","",R108-S108)</f>
        <v/>
      </c>
      <c r="X108" s="5">
        <f>IF(A108="","",U108-T108)</f>
        <v/>
      </c>
      <c r="AA108">
        <f>IF(A108="","",N(AA107)+IF(MATCH(A108,$A$2:$A$401,0)=ROW()-1,1,0))</f>
        <v/>
      </c>
    </row>
    <row r="109">
      <c r="S109" s="5">
        <f>IF(A109="","",R109*IF(AND(ISNUMBER(W109),W109&gt;0,W109&lt;1),W109*100,W109)/100)</f>
        <v/>
      </c>
      <c r="T109" s="5">
        <f>IF(A109="","",V109*U109/100)</f>
        <v/>
      </c>
      <c r="U109" s="5">
        <f>IF(A109="","",R109-S109)</f>
        <v/>
      </c>
      <c r="X109" s="5">
        <f>IF(A109="","",U109-T109)</f>
        <v/>
      </c>
      <c r="AA109">
        <f>IF(A109="","",N(AA108)+IF(MATCH(A109,$A$2:$A$401,0)=ROW()-1,1,0))</f>
        <v/>
      </c>
    </row>
    <row r="110">
      <c r="S110" s="5">
        <f>IF(A110="","",R110*IF(AND(ISNUMBER(W110),W110&gt;0,W110&lt;1),W110*100,W110)/100)</f>
        <v/>
      </c>
      <c r="T110" s="5">
        <f>IF(A110="","",V110*U110/100)</f>
        <v/>
      </c>
      <c r="U110" s="5">
        <f>IF(A110="","",R110-S110)</f>
        <v/>
      </c>
      <c r="X110" s="5">
        <f>IF(A110="","",U110-T110)</f>
        <v/>
      </c>
      <c r="AA110">
        <f>IF(A110="","",N(AA109)+IF(MATCH(A110,$A$2:$A$401,0)=ROW()-1,1,0))</f>
        <v/>
      </c>
    </row>
    <row r="111">
      <c r="S111" s="5">
        <f>IF(A111="","",R111*IF(AND(ISNUMBER(W111),W111&gt;0,W111&lt;1),W111*100,W111)/100)</f>
        <v/>
      </c>
      <c r="T111" s="5">
        <f>IF(A111="","",V111*U111/100)</f>
        <v/>
      </c>
      <c r="U111" s="5">
        <f>IF(A111="","",R111-S111)</f>
        <v/>
      </c>
      <c r="X111" s="5">
        <f>IF(A111="","",U111-T111)</f>
        <v/>
      </c>
      <c r="AA111">
        <f>IF(A111="","",N(AA110)+IF(MATCH(A111,$A$2:$A$401,0)=ROW()-1,1,0))</f>
        <v/>
      </c>
    </row>
    <row r="112">
      <c r="S112" s="5">
        <f>IF(A112="","",R112*IF(AND(ISNUMBER(W112),W112&gt;0,W112&lt;1),W112*100,W112)/100)</f>
        <v/>
      </c>
      <c r="T112" s="5">
        <f>IF(A112="","",V112*U112/100)</f>
        <v/>
      </c>
      <c r="U112" s="5">
        <f>IF(A112="","",R112-S112)</f>
        <v/>
      </c>
      <c r="X112" s="5">
        <f>IF(A112="","",U112-T112)</f>
        <v/>
      </c>
      <c r="AA112">
        <f>IF(A112="","",N(AA111)+IF(MATCH(A112,$A$2:$A$401,0)=ROW()-1,1,0))</f>
        <v/>
      </c>
    </row>
    <row r="113">
      <c r="S113" s="5">
        <f>IF(A113="","",R113*IF(AND(ISNUMBER(W113),W113&gt;0,W113&lt;1),W113*100,W113)/100)</f>
        <v/>
      </c>
      <c r="T113" s="5">
        <f>IF(A113="","",V113*U113/100)</f>
        <v/>
      </c>
      <c r="U113" s="5">
        <f>IF(A113="","",R113-S113)</f>
        <v/>
      </c>
      <c r="X113" s="5">
        <f>IF(A113="","",U113-T113)</f>
        <v/>
      </c>
      <c r="AA113">
        <f>IF(A113="","",N(AA112)+IF(MATCH(A113,$A$2:$A$401,0)=ROW()-1,1,0))</f>
        <v/>
      </c>
    </row>
    <row r="114">
      <c r="S114" s="5">
        <f>IF(A114="","",R114*IF(AND(ISNUMBER(W114),W114&gt;0,W114&lt;1),W114*100,W114)/100)</f>
        <v/>
      </c>
      <c r="T114" s="5">
        <f>IF(A114="","",V114*U114/100)</f>
        <v/>
      </c>
      <c r="U114" s="5">
        <f>IF(A114="","",R114-S114)</f>
        <v/>
      </c>
      <c r="X114" s="5">
        <f>IF(A114="","",U114-T114)</f>
        <v/>
      </c>
      <c r="AA114">
        <f>IF(A114="","",N(AA113)+IF(MATCH(A114,$A$2:$A$401,0)=ROW()-1,1,0))</f>
        <v/>
      </c>
    </row>
    <row r="115">
      <c r="S115" s="5">
        <f>IF(A115="","",R115*IF(AND(ISNUMBER(W115),W115&gt;0,W115&lt;1),W115*100,W115)/100)</f>
        <v/>
      </c>
      <c r="T115" s="5">
        <f>IF(A115="","",V115*U115/100)</f>
        <v/>
      </c>
      <c r="U115" s="5">
        <f>IF(A115="","",R115-S115)</f>
        <v/>
      </c>
      <c r="X115" s="5">
        <f>IF(A115="","",U115-T115)</f>
        <v/>
      </c>
      <c r="AA115">
        <f>IF(A115="","",N(AA114)+IF(MATCH(A115,$A$2:$A$401,0)=ROW()-1,1,0))</f>
        <v/>
      </c>
    </row>
    <row r="116">
      <c r="S116" s="5">
        <f>IF(A116="","",R116*IF(AND(ISNUMBER(W116),W116&gt;0,W116&lt;1),W116*100,W116)/100)</f>
        <v/>
      </c>
      <c r="T116" s="5">
        <f>IF(A116="","",V116*U116/100)</f>
        <v/>
      </c>
      <c r="U116" s="5">
        <f>IF(A116="","",R116-S116)</f>
        <v/>
      </c>
      <c r="X116" s="5">
        <f>IF(A116="","",U116-T116)</f>
        <v/>
      </c>
      <c r="AA116">
        <f>IF(A116="","",N(AA115)+IF(MATCH(A116,$A$2:$A$401,0)=ROW()-1,1,0))</f>
        <v/>
      </c>
    </row>
    <row r="117">
      <c r="S117" s="5">
        <f>IF(A117="","",R117*IF(AND(ISNUMBER(W117),W117&gt;0,W117&lt;1),W117*100,W117)/100)</f>
        <v/>
      </c>
      <c r="T117" s="5">
        <f>IF(A117="","",V117*U117/100)</f>
        <v/>
      </c>
      <c r="U117" s="5">
        <f>IF(A117="","",R117-S117)</f>
        <v/>
      </c>
      <c r="X117" s="5">
        <f>IF(A117="","",U117-T117)</f>
        <v/>
      </c>
      <c r="AA117">
        <f>IF(A117="","",N(AA116)+IF(MATCH(A117,$A$2:$A$401,0)=ROW()-1,1,0))</f>
        <v/>
      </c>
    </row>
    <row r="118">
      <c r="S118" s="5">
        <f>IF(A118="","",R118*IF(AND(ISNUMBER(W118),W118&gt;0,W118&lt;1),W118*100,W118)/100)</f>
        <v/>
      </c>
      <c r="T118" s="5">
        <f>IF(A118="","",V118*U118/100)</f>
        <v/>
      </c>
      <c r="U118" s="5">
        <f>IF(A118="","",R118-S118)</f>
        <v/>
      </c>
      <c r="X118" s="5">
        <f>IF(A118="","",U118-T118)</f>
        <v/>
      </c>
      <c r="AA118">
        <f>IF(A118="","",N(AA117)+IF(MATCH(A118,$A$2:$A$401,0)=ROW()-1,1,0))</f>
        <v/>
      </c>
    </row>
    <row r="119">
      <c r="S119" s="5">
        <f>IF(A119="","",R119*IF(AND(ISNUMBER(W119),W119&gt;0,W119&lt;1),W119*100,W119)/100)</f>
        <v/>
      </c>
      <c r="T119" s="5">
        <f>IF(A119="","",V119*U119/100)</f>
        <v/>
      </c>
      <c r="U119" s="5">
        <f>IF(A119="","",R119-S119)</f>
        <v/>
      </c>
      <c r="X119" s="5">
        <f>IF(A119="","",U119-T119)</f>
        <v/>
      </c>
      <c r="AA119">
        <f>IF(A119="","",N(AA118)+IF(MATCH(A119,$A$2:$A$401,0)=ROW()-1,1,0))</f>
        <v/>
      </c>
    </row>
    <row r="120">
      <c r="S120" s="5">
        <f>IF(A120="","",R120*IF(AND(ISNUMBER(W120),W120&gt;0,W120&lt;1),W120*100,W120)/100)</f>
        <v/>
      </c>
      <c r="T120" s="5">
        <f>IF(A120="","",V120*U120/100)</f>
        <v/>
      </c>
      <c r="U120" s="5">
        <f>IF(A120="","",R120-S120)</f>
        <v/>
      </c>
      <c r="X120" s="5">
        <f>IF(A120="","",U120-T120)</f>
        <v/>
      </c>
      <c r="AA120">
        <f>IF(A120="","",N(AA119)+IF(MATCH(A120,$A$2:$A$401,0)=ROW()-1,1,0))</f>
        <v/>
      </c>
    </row>
    <row r="121">
      <c r="S121" s="5">
        <f>IF(A121="","",R121*IF(AND(ISNUMBER(W121),W121&gt;0,W121&lt;1),W121*100,W121)/100)</f>
        <v/>
      </c>
      <c r="T121" s="5">
        <f>IF(A121="","",V121*U121/100)</f>
        <v/>
      </c>
      <c r="U121" s="5">
        <f>IF(A121="","",R121-S121)</f>
        <v/>
      </c>
      <c r="X121" s="5">
        <f>IF(A121="","",U121-T121)</f>
        <v/>
      </c>
      <c r="AA121">
        <f>IF(A121="","",N(AA120)+IF(MATCH(A121,$A$2:$A$401,0)=ROW()-1,1,0))</f>
        <v/>
      </c>
    </row>
    <row r="122">
      <c r="S122" s="5">
        <f>IF(A122="","",R122*IF(AND(ISNUMBER(W122),W122&gt;0,W122&lt;1),W122*100,W122)/100)</f>
        <v/>
      </c>
      <c r="T122" s="5">
        <f>IF(A122="","",V122*U122/100)</f>
        <v/>
      </c>
      <c r="U122" s="5">
        <f>IF(A122="","",R122-S122)</f>
        <v/>
      </c>
      <c r="X122" s="5">
        <f>IF(A122="","",U122-T122)</f>
        <v/>
      </c>
      <c r="AA122">
        <f>IF(A122="","",N(AA121)+IF(MATCH(A122,$A$2:$A$401,0)=ROW()-1,1,0))</f>
        <v/>
      </c>
    </row>
    <row r="123">
      <c r="S123" s="5">
        <f>IF(A123="","",R123*IF(AND(ISNUMBER(W123),W123&gt;0,W123&lt;1),W123*100,W123)/100)</f>
        <v/>
      </c>
      <c r="T123" s="5">
        <f>IF(A123="","",V123*U123/100)</f>
        <v/>
      </c>
      <c r="U123" s="5">
        <f>IF(A123="","",R123-S123)</f>
        <v/>
      </c>
      <c r="X123" s="5">
        <f>IF(A123="","",U123-T123)</f>
        <v/>
      </c>
      <c r="AA123">
        <f>IF(A123="","",N(AA122)+IF(MATCH(A123,$A$2:$A$401,0)=ROW()-1,1,0))</f>
        <v/>
      </c>
    </row>
    <row r="124">
      <c r="S124" s="5">
        <f>IF(A124="","",R124*IF(AND(ISNUMBER(W124),W124&gt;0,W124&lt;1),W124*100,W124)/100)</f>
        <v/>
      </c>
      <c r="T124" s="5">
        <f>IF(A124="","",V124*U124/100)</f>
        <v/>
      </c>
      <c r="U124" s="5">
        <f>IF(A124="","",R124-S124)</f>
        <v/>
      </c>
      <c r="X124" s="5">
        <f>IF(A124="","",U124-T124)</f>
        <v/>
      </c>
      <c r="AA124">
        <f>IF(A124="","",N(AA123)+IF(MATCH(A124,$A$2:$A$401,0)=ROW()-1,1,0))</f>
        <v/>
      </c>
    </row>
    <row r="125">
      <c r="S125" s="5">
        <f>IF(A125="","",R125*IF(AND(ISNUMBER(W125),W125&gt;0,W125&lt;1),W125*100,W125)/100)</f>
        <v/>
      </c>
      <c r="T125" s="5">
        <f>IF(A125="","",V125*U125/100)</f>
        <v/>
      </c>
      <c r="U125" s="5">
        <f>IF(A125="","",R125-S125)</f>
        <v/>
      </c>
      <c r="X125" s="5">
        <f>IF(A125="","",U125-T125)</f>
        <v/>
      </c>
      <c r="AA125">
        <f>IF(A125="","",N(AA124)+IF(MATCH(A125,$A$2:$A$401,0)=ROW()-1,1,0))</f>
        <v/>
      </c>
    </row>
    <row r="126">
      <c r="S126" s="5">
        <f>IF(A126="","",R126*IF(AND(ISNUMBER(W126),W126&gt;0,W126&lt;1),W126*100,W126)/100)</f>
        <v/>
      </c>
      <c r="T126" s="5">
        <f>IF(A126="","",V126*U126/100)</f>
        <v/>
      </c>
      <c r="U126" s="5">
        <f>IF(A126="","",R126-S126)</f>
        <v/>
      </c>
      <c r="X126" s="5">
        <f>IF(A126="","",U126-T126)</f>
        <v/>
      </c>
      <c r="AA126">
        <f>IF(A126="","",N(AA125)+IF(MATCH(A126,$A$2:$A$401,0)=ROW()-1,1,0))</f>
        <v/>
      </c>
    </row>
    <row r="127">
      <c r="S127" s="5">
        <f>IF(A127="","",R127*IF(AND(ISNUMBER(W127),W127&gt;0,W127&lt;1),W127*100,W127)/100)</f>
        <v/>
      </c>
      <c r="T127" s="5">
        <f>IF(A127="","",V127*U127/100)</f>
        <v/>
      </c>
      <c r="U127" s="5">
        <f>IF(A127="","",R127-S127)</f>
        <v/>
      </c>
      <c r="X127" s="5">
        <f>IF(A127="","",U127-T127)</f>
        <v/>
      </c>
      <c r="AA127">
        <f>IF(A127="","",N(AA126)+IF(MATCH(A127,$A$2:$A$401,0)=ROW()-1,1,0))</f>
        <v/>
      </c>
    </row>
    <row r="128">
      <c r="S128" s="5">
        <f>IF(A128="","",R128*IF(AND(ISNUMBER(W128),W128&gt;0,W128&lt;1),W128*100,W128)/100)</f>
        <v/>
      </c>
      <c r="T128" s="5">
        <f>IF(A128="","",V128*U128/100)</f>
        <v/>
      </c>
      <c r="U128" s="5">
        <f>IF(A128="","",R128-S128)</f>
        <v/>
      </c>
      <c r="X128" s="5">
        <f>IF(A128="","",U128-T128)</f>
        <v/>
      </c>
      <c r="AA128">
        <f>IF(A128="","",N(AA127)+IF(MATCH(A128,$A$2:$A$401,0)=ROW()-1,1,0))</f>
        <v/>
      </c>
    </row>
    <row r="129">
      <c r="S129" s="5">
        <f>IF(A129="","",R129*IF(AND(ISNUMBER(W129),W129&gt;0,W129&lt;1),W129*100,W129)/100)</f>
        <v/>
      </c>
      <c r="T129" s="5">
        <f>IF(A129="","",V129*U129/100)</f>
        <v/>
      </c>
      <c r="U129" s="5">
        <f>IF(A129="","",R129-S129)</f>
        <v/>
      </c>
      <c r="X129" s="5">
        <f>IF(A129="","",U129-T129)</f>
        <v/>
      </c>
      <c r="AA129">
        <f>IF(A129="","",N(AA128)+IF(MATCH(A129,$A$2:$A$401,0)=ROW()-1,1,0))</f>
        <v/>
      </c>
    </row>
    <row r="130">
      <c r="S130" s="5">
        <f>IF(A130="","",R130*IF(AND(ISNUMBER(W130),W130&gt;0,W130&lt;1),W130*100,W130)/100)</f>
        <v/>
      </c>
      <c r="T130" s="5">
        <f>IF(A130="","",V130*U130/100)</f>
        <v/>
      </c>
      <c r="U130" s="5">
        <f>IF(A130="","",R130-S130)</f>
        <v/>
      </c>
      <c r="X130" s="5">
        <f>IF(A130="","",U130-T130)</f>
        <v/>
      </c>
      <c r="AA130">
        <f>IF(A130="","",N(AA129)+IF(MATCH(A130,$A$2:$A$401,0)=ROW()-1,1,0))</f>
        <v/>
      </c>
    </row>
    <row r="131">
      <c r="S131" s="5">
        <f>IF(A131="","",R131*IF(AND(ISNUMBER(W131),W131&gt;0,W131&lt;1),W131*100,W131)/100)</f>
        <v/>
      </c>
      <c r="T131" s="5">
        <f>IF(A131="","",V131*U131/100)</f>
        <v/>
      </c>
      <c r="U131" s="5">
        <f>IF(A131="","",R131-S131)</f>
        <v/>
      </c>
      <c r="X131" s="5">
        <f>IF(A131="","",U131-T131)</f>
        <v/>
      </c>
      <c r="AA131">
        <f>IF(A131="","",N(AA130)+IF(MATCH(A131,$A$2:$A$401,0)=ROW()-1,1,0))</f>
        <v/>
      </c>
    </row>
    <row r="132">
      <c r="S132" s="5">
        <f>IF(A132="","",R132*IF(AND(ISNUMBER(W132),W132&gt;0,W132&lt;1),W132*100,W132)/100)</f>
        <v/>
      </c>
      <c r="T132" s="5">
        <f>IF(A132="","",V132*U132/100)</f>
        <v/>
      </c>
      <c r="U132" s="5">
        <f>IF(A132="","",R132-S132)</f>
        <v/>
      </c>
      <c r="X132" s="5">
        <f>IF(A132="","",U132-T132)</f>
        <v/>
      </c>
      <c r="AA132">
        <f>IF(A132="","",N(AA131)+IF(MATCH(A132,$A$2:$A$401,0)=ROW()-1,1,0))</f>
        <v/>
      </c>
    </row>
    <row r="133">
      <c r="S133" s="5">
        <f>IF(A133="","",R133*IF(AND(ISNUMBER(W133),W133&gt;0,W133&lt;1),W133*100,W133)/100)</f>
        <v/>
      </c>
      <c r="T133" s="5">
        <f>IF(A133="","",V133*U133/100)</f>
        <v/>
      </c>
      <c r="U133" s="5">
        <f>IF(A133="","",R133-S133)</f>
        <v/>
      </c>
      <c r="X133" s="5">
        <f>IF(A133="","",U133-T133)</f>
        <v/>
      </c>
      <c r="AA133">
        <f>IF(A133="","",N(AA132)+IF(MATCH(A133,$A$2:$A$401,0)=ROW()-1,1,0))</f>
        <v/>
      </c>
    </row>
    <row r="134">
      <c r="S134" s="5">
        <f>IF(A134="","",R134*IF(AND(ISNUMBER(W134),W134&gt;0,W134&lt;1),W134*100,W134)/100)</f>
        <v/>
      </c>
      <c r="T134" s="5">
        <f>IF(A134="","",V134*U134/100)</f>
        <v/>
      </c>
      <c r="U134" s="5">
        <f>IF(A134="","",R134-S134)</f>
        <v/>
      </c>
      <c r="X134" s="5">
        <f>IF(A134="","",U134-T134)</f>
        <v/>
      </c>
      <c r="AA134">
        <f>IF(A134="","",N(AA133)+IF(MATCH(A134,$A$2:$A$401,0)=ROW()-1,1,0))</f>
        <v/>
      </c>
    </row>
    <row r="135">
      <c r="S135" s="5">
        <f>IF(A135="","",R135*IF(AND(ISNUMBER(W135),W135&gt;0,W135&lt;1),W135*100,W135)/100)</f>
        <v/>
      </c>
      <c r="T135" s="5">
        <f>IF(A135="","",V135*U135/100)</f>
        <v/>
      </c>
      <c r="U135" s="5">
        <f>IF(A135="","",R135-S135)</f>
        <v/>
      </c>
      <c r="X135" s="5">
        <f>IF(A135="","",U135-T135)</f>
        <v/>
      </c>
      <c r="AA135">
        <f>IF(A135="","",N(AA134)+IF(MATCH(A135,$A$2:$A$401,0)=ROW()-1,1,0))</f>
        <v/>
      </c>
    </row>
    <row r="136">
      <c r="S136" s="5">
        <f>IF(A136="","",R136*IF(AND(ISNUMBER(W136),W136&gt;0,W136&lt;1),W136*100,W136)/100)</f>
        <v/>
      </c>
      <c r="T136" s="5">
        <f>IF(A136="","",V136*U136/100)</f>
        <v/>
      </c>
      <c r="U136" s="5">
        <f>IF(A136="","",R136-S136)</f>
        <v/>
      </c>
      <c r="X136" s="5">
        <f>IF(A136="","",U136-T136)</f>
        <v/>
      </c>
      <c r="AA136">
        <f>IF(A136="","",N(AA135)+IF(MATCH(A136,$A$2:$A$401,0)=ROW()-1,1,0))</f>
        <v/>
      </c>
    </row>
    <row r="137">
      <c r="S137" s="5">
        <f>IF(A137="","",R137*IF(AND(ISNUMBER(W137),W137&gt;0,W137&lt;1),W137*100,W137)/100)</f>
        <v/>
      </c>
      <c r="T137" s="5">
        <f>IF(A137="","",V137*U137/100)</f>
        <v/>
      </c>
      <c r="U137" s="5">
        <f>IF(A137="","",R137-S137)</f>
        <v/>
      </c>
      <c r="X137" s="5">
        <f>IF(A137="","",U137-T137)</f>
        <v/>
      </c>
      <c r="AA137">
        <f>IF(A137="","",N(AA136)+IF(MATCH(A137,$A$2:$A$401,0)=ROW()-1,1,0))</f>
        <v/>
      </c>
    </row>
    <row r="138">
      <c r="S138" s="5">
        <f>IF(A138="","",R138*IF(AND(ISNUMBER(W138),W138&gt;0,W138&lt;1),W138*100,W138)/100)</f>
        <v/>
      </c>
      <c r="T138" s="5">
        <f>IF(A138="","",V138*U138/100)</f>
        <v/>
      </c>
      <c r="U138" s="5">
        <f>IF(A138="","",R138-S138)</f>
        <v/>
      </c>
      <c r="X138" s="5">
        <f>IF(A138="","",U138-T138)</f>
        <v/>
      </c>
      <c r="AA138">
        <f>IF(A138="","",N(AA137)+IF(MATCH(A138,$A$2:$A$401,0)=ROW()-1,1,0))</f>
        <v/>
      </c>
    </row>
    <row r="139">
      <c r="S139" s="5">
        <f>IF(A139="","",R139*IF(AND(ISNUMBER(W139),W139&gt;0,W139&lt;1),W139*100,W139)/100)</f>
        <v/>
      </c>
      <c r="T139" s="5">
        <f>IF(A139="","",V139*U139/100)</f>
        <v/>
      </c>
      <c r="U139" s="5">
        <f>IF(A139="","",R139-S139)</f>
        <v/>
      </c>
      <c r="X139" s="5">
        <f>IF(A139="","",U139-T139)</f>
        <v/>
      </c>
      <c r="AA139">
        <f>IF(A139="","",N(AA138)+IF(MATCH(A139,$A$2:$A$401,0)=ROW()-1,1,0))</f>
        <v/>
      </c>
    </row>
    <row r="140">
      <c r="S140" s="5">
        <f>IF(A140="","",R140*IF(AND(ISNUMBER(W140),W140&gt;0,W140&lt;1),W140*100,W140)/100)</f>
        <v/>
      </c>
      <c r="T140" s="5">
        <f>IF(A140="","",V140*U140/100)</f>
        <v/>
      </c>
      <c r="U140" s="5">
        <f>IF(A140="","",R140-S140)</f>
        <v/>
      </c>
      <c r="X140" s="5">
        <f>IF(A140="","",U140-T140)</f>
        <v/>
      </c>
      <c r="AA140">
        <f>IF(A140="","",N(AA139)+IF(MATCH(A140,$A$2:$A$401,0)=ROW()-1,1,0))</f>
        <v/>
      </c>
    </row>
    <row r="141">
      <c r="S141" s="5">
        <f>IF(A141="","",R141*IF(AND(ISNUMBER(W141),W141&gt;0,W141&lt;1),W141*100,W141)/100)</f>
        <v/>
      </c>
      <c r="T141" s="5">
        <f>IF(A141="","",V141*U141/100)</f>
        <v/>
      </c>
      <c r="U141" s="5">
        <f>IF(A141="","",R141-S141)</f>
        <v/>
      </c>
      <c r="X141" s="5">
        <f>IF(A141="","",U141-T141)</f>
        <v/>
      </c>
      <c r="AA141">
        <f>IF(A141="","",N(AA140)+IF(MATCH(A141,$A$2:$A$401,0)=ROW()-1,1,0))</f>
        <v/>
      </c>
    </row>
    <row r="142">
      <c r="S142" s="5">
        <f>IF(A142="","",R142*IF(AND(ISNUMBER(W142),W142&gt;0,W142&lt;1),W142*100,W142)/100)</f>
        <v/>
      </c>
      <c r="T142" s="5">
        <f>IF(A142="","",V142*U142/100)</f>
        <v/>
      </c>
      <c r="U142" s="5">
        <f>IF(A142="","",R142-S142)</f>
        <v/>
      </c>
      <c r="X142" s="5">
        <f>IF(A142="","",U142-T142)</f>
        <v/>
      </c>
      <c r="AA142">
        <f>IF(A142="","",N(AA141)+IF(MATCH(A142,$A$2:$A$401,0)=ROW()-1,1,0))</f>
        <v/>
      </c>
    </row>
    <row r="143">
      <c r="S143" s="5">
        <f>IF(A143="","",R143*IF(AND(ISNUMBER(W143),W143&gt;0,W143&lt;1),W143*100,W143)/100)</f>
        <v/>
      </c>
      <c r="T143" s="5">
        <f>IF(A143="","",V143*U143/100)</f>
        <v/>
      </c>
      <c r="U143" s="5">
        <f>IF(A143="","",R143-S143)</f>
        <v/>
      </c>
      <c r="X143" s="5">
        <f>IF(A143="","",U143-T143)</f>
        <v/>
      </c>
      <c r="AA143">
        <f>IF(A143="","",N(AA142)+IF(MATCH(A143,$A$2:$A$401,0)=ROW()-1,1,0))</f>
        <v/>
      </c>
    </row>
    <row r="144">
      <c r="S144" s="5">
        <f>IF(A144="","",R144*IF(AND(ISNUMBER(W144),W144&gt;0,W144&lt;1),W144*100,W144)/100)</f>
        <v/>
      </c>
      <c r="T144" s="5">
        <f>IF(A144="","",V144*U144/100)</f>
        <v/>
      </c>
      <c r="U144" s="5">
        <f>IF(A144="","",R144-S144)</f>
        <v/>
      </c>
      <c r="X144" s="5">
        <f>IF(A144="","",U144-T144)</f>
        <v/>
      </c>
      <c r="AA144">
        <f>IF(A144="","",N(AA143)+IF(MATCH(A144,$A$2:$A$401,0)=ROW()-1,1,0))</f>
        <v/>
      </c>
    </row>
    <row r="145">
      <c r="S145" s="5">
        <f>IF(A145="","",R145*IF(AND(ISNUMBER(W145),W145&gt;0,W145&lt;1),W145*100,W145)/100)</f>
        <v/>
      </c>
      <c r="T145" s="5">
        <f>IF(A145="","",V145*U145/100)</f>
        <v/>
      </c>
      <c r="U145" s="5">
        <f>IF(A145="","",R145-S145)</f>
        <v/>
      </c>
      <c r="X145" s="5">
        <f>IF(A145="","",U145-T145)</f>
        <v/>
      </c>
      <c r="AA145">
        <f>IF(A145="","",N(AA144)+IF(MATCH(A145,$A$2:$A$401,0)=ROW()-1,1,0))</f>
        <v/>
      </c>
    </row>
    <row r="146">
      <c r="S146" s="5">
        <f>IF(A146="","",R146*IF(AND(ISNUMBER(W146),W146&gt;0,W146&lt;1),W146*100,W146)/100)</f>
        <v/>
      </c>
      <c r="T146" s="5">
        <f>IF(A146="","",V146*U146/100)</f>
        <v/>
      </c>
      <c r="U146" s="5">
        <f>IF(A146="","",R146-S146)</f>
        <v/>
      </c>
      <c r="X146" s="5">
        <f>IF(A146="","",U146-T146)</f>
        <v/>
      </c>
      <c r="AA146">
        <f>IF(A146="","",N(AA145)+IF(MATCH(A146,$A$2:$A$401,0)=ROW()-1,1,0))</f>
        <v/>
      </c>
    </row>
    <row r="147">
      <c r="S147" s="5">
        <f>IF(A147="","",R147*IF(AND(ISNUMBER(W147),W147&gt;0,W147&lt;1),W147*100,W147)/100)</f>
        <v/>
      </c>
      <c r="T147" s="5">
        <f>IF(A147="","",V147*U147/100)</f>
        <v/>
      </c>
      <c r="U147" s="5">
        <f>IF(A147="","",R147-S147)</f>
        <v/>
      </c>
      <c r="X147" s="5">
        <f>IF(A147="","",U147-T147)</f>
        <v/>
      </c>
      <c r="AA147">
        <f>IF(A147="","",N(AA146)+IF(MATCH(A147,$A$2:$A$401,0)=ROW()-1,1,0))</f>
        <v/>
      </c>
    </row>
    <row r="148">
      <c r="S148" s="5">
        <f>IF(A148="","",R148*IF(AND(ISNUMBER(W148),W148&gt;0,W148&lt;1),W148*100,W148)/100)</f>
        <v/>
      </c>
      <c r="T148" s="5">
        <f>IF(A148="","",V148*U148/100)</f>
        <v/>
      </c>
      <c r="U148" s="5">
        <f>IF(A148="","",R148-S148)</f>
        <v/>
      </c>
      <c r="X148" s="5">
        <f>IF(A148="","",U148-T148)</f>
        <v/>
      </c>
      <c r="AA148">
        <f>IF(A148="","",N(AA147)+IF(MATCH(A148,$A$2:$A$401,0)=ROW()-1,1,0))</f>
        <v/>
      </c>
    </row>
    <row r="149">
      <c r="S149" s="5">
        <f>IF(A149="","",R149*IF(AND(ISNUMBER(W149),W149&gt;0,W149&lt;1),W149*100,W149)/100)</f>
        <v/>
      </c>
      <c r="T149" s="5">
        <f>IF(A149="","",V149*U149/100)</f>
        <v/>
      </c>
      <c r="U149" s="5">
        <f>IF(A149="","",R149-S149)</f>
        <v/>
      </c>
      <c r="X149" s="5">
        <f>IF(A149="","",U149-T149)</f>
        <v/>
      </c>
      <c r="AA149">
        <f>IF(A149="","",N(AA148)+IF(MATCH(A149,$A$2:$A$401,0)=ROW()-1,1,0))</f>
        <v/>
      </c>
    </row>
    <row r="150">
      <c r="S150" s="5">
        <f>IF(A150="","",R150*IF(AND(ISNUMBER(W150),W150&gt;0,W150&lt;1),W150*100,W150)/100)</f>
        <v/>
      </c>
      <c r="T150" s="5">
        <f>IF(A150="","",V150*U150/100)</f>
        <v/>
      </c>
      <c r="U150" s="5">
        <f>IF(A150="","",R150-S150)</f>
        <v/>
      </c>
      <c r="X150" s="5">
        <f>IF(A150="","",U150-T150)</f>
        <v/>
      </c>
      <c r="AA150">
        <f>IF(A150="","",N(AA149)+IF(MATCH(A150,$A$2:$A$401,0)=ROW()-1,1,0))</f>
        <v/>
      </c>
    </row>
    <row r="151">
      <c r="S151" s="5">
        <f>IF(A151="","",R151*IF(AND(ISNUMBER(W151),W151&gt;0,W151&lt;1),W151*100,W151)/100)</f>
        <v/>
      </c>
      <c r="T151" s="5">
        <f>IF(A151="","",V151*U151/100)</f>
        <v/>
      </c>
      <c r="U151" s="5">
        <f>IF(A151="","",R151-S151)</f>
        <v/>
      </c>
      <c r="X151" s="5">
        <f>IF(A151="","",U151-T151)</f>
        <v/>
      </c>
      <c r="AA151">
        <f>IF(A151="","",N(AA150)+IF(MATCH(A151,$A$2:$A$401,0)=ROW()-1,1,0))</f>
        <v/>
      </c>
    </row>
    <row r="152">
      <c r="S152" s="5">
        <f>IF(A152="","",R152*IF(AND(ISNUMBER(W152),W152&gt;0,W152&lt;1),W152*100,W152)/100)</f>
        <v/>
      </c>
      <c r="T152" s="5">
        <f>IF(A152="","",V152*U152/100)</f>
        <v/>
      </c>
      <c r="U152" s="5">
        <f>IF(A152="","",R152-S152)</f>
        <v/>
      </c>
      <c r="X152" s="5">
        <f>IF(A152="","",U152-T152)</f>
        <v/>
      </c>
      <c r="AA152">
        <f>IF(A152="","",N(AA151)+IF(MATCH(A152,$A$2:$A$401,0)=ROW()-1,1,0))</f>
        <v/>
      </c>
    </row>
    <row r="153">
      <c r="S153" s="5">
        <f>IF(A153="","",R153*IF(AND(ISNUMBER(W153),W153&gt;0,W153&lt;1),W153*100,W153)/100)</f>
        <v/>
      </c>
      <c r="T153" s="5">
        <f>IF(A153="","",V153*U153/100)</f>
        <v/>
      </c>
      <c r="U153" s="5">
        <f>IF(A153="","",R153-S153)</f>
        <v/>
      </c>
      <c r="X153" s="5">
        <f>IF(A153="","",U153-T153)</f>
        <v/>
      </c>
      <c r="AA153">
        <f>IF(A153="","",N(AA152)+IF(MATCH(A153,$A$2:$A$401,0)=ROW()-1,1,0))</f>
        <v/>
      </c>
    </row>
    <row r="154">
      <c r="S154" s="5">
        <f>IF(A154="","",R154*IF(AND(ISNUMBER(W154),W154&gt;0,W154&lt;1),W154*100,W154)/100)</f>
        <v/>
      </c>
      <c r="T154" s="5">
        <f>IF(A154="","",V154*U154/100)</f>
        <v/>
      </c>
      <c r="U154" s="5">
        <f>IF(A154="","",R154-S154)</f>
        <v/>
      </c>
      <c r="X154" s="5">
        <f>IF(A154="","",U154-T154)</f>
        <v/>
      </c>
      <c r="AA154">
        <f>IF(A154="","",N(AA153)+IF(MATCH(A154,$A$2:$A$401,0)=ROW()-1,1,0))</f>
        <v/>
      </c>
    </row>
    <row r="155">
      <c r="S155" s="5">
        <f>IF(A155="","",R155*IF(AND(ISNUMBER(W155),W155&gt;0,W155&lt;1),W155*100,W155)/100)</f>
        <v/>
      </c>
      <c r="T155" s="5">
        <f>IF(A155="","",V155*U155/100)</f>
        <v/>
      </c>
      <c r="U155" s="5">
        <f>IF(A155="","",R155-S155)</f>
        <v/>
      </c>
      <c r="X155" s="5">
        <f>IF(A155="","",U155-T155)</f>
        <v/>
      </c>
      <c r="AA155">
        <f>IF(A155="","",N(AA154)+IF(MATCH(A155,$A$2:$A$401,0)=ROW()-1,1,0))</f>
        <v/>
      </c>
    </row>
    <row r="156">
      <c r="S156" s="5">
        <f>IF(A156="","",R156*IF(AND(ISNUMBER(W156),W156&gt;0,W156&lt;1),W156*100,W156)/100)</f>
        <v/>
      </c>
      <c r="T156" s="5">
        <f>IF(A156="","",V156*U156/100)</f>
        <v/>
      </c>
      <c r="U156" s="5">
        <f>IF(A156="","",R156-S156)</f>
        <v/>
      </c>
      <c r="X156" s="5">
        <f>IF(A156="","",U156-T156)</f>
        <v/>
      </c>
      <c r="AA156">
        <f>IF(A156="","",N(AA155)+IF(MATCH(A156,$A$2:$A$401,0)=ROW()-1,1,0))</f>
        <v/>
      </c>
    </row>
    <row r="157">
      <c r="S157" s="5">
        <f>IF(A157="","",R157*IF(AND(ISNUMBER(W157),W157&gt;0,W157&lt;1),W157*100,W157)/100)</f>
        <v/>
      </c>
      <c r="T157" s="5">
        <f>IF(A157="","",V157*U157/100)</f>
        <v/>
      </c>
      <c r="U157" s="5">
        <f>IF(A157="","",R157-S157)</f>
        <v/>
      </c>
      <c r="X157" s="5">
        <f>IF(A157="","",U157-T157)</f>
        <v/>
      </c>
      <c r="AA157">
        <f>IF(A157="","",N(AA156)+IF(MATCH(A157,$A$2:$A$401,0)=ROW()-1,1,0))</f>
        <v/>
      </c>
    </row>
    <row r="158">
      <c r="S158" s="5">
        <f>IF(A158="","",R158*IF(AND(ISNUMBER(W158),W158&gt;0,W158&lt;1),W158*100,W158)/100)</f>
        <v/>
      </c>
      <c r="T158" s="5">
        <f>IF(A158="","",V158*U158/100)</f>
        <v/>
      </c>
      <c r="U158" s="5">
        <f>IF(A158="","",R158-S158)</f>
        <v/>
      </c>
      <c r="X158" s="5">
        <f>IF(A158="","",U158-T158)</f>
        <v/>
      </c>
      <c r="AA158">
        <f>IF(A158="","",N(AA157)+IF(MATCH(A158,$A$2:$A$401,0)=ROW()-1,1,0))</f>
        <v/>
      </c>
    </row>
    <row r="159">
      <c r="S159" s="5">
        <f>IF(A159="","",R159*IF(AND(ISNUMBER(W159),W159&gt;0,W159&lt;1),W159*100,W159)/100)</f>
        <v/>
      </c>
      <c r="T159" s="5">
        <f>IF(A159="","",V159*U159/100)</f>
        <v/>
      </c>
      <c r="U159" s="5">
        <f>IF(A159="","",R159-S159)</f>
        <v/>
      </c>
      <c r="X159" s="5">
        <f>IF(A159="","",U159-T159)</f>
        <v/>
      </c>
      <c r="AA159">
        <f>IF(A159="","",N(AA158)+IF(MATCH(A159,$A$2:$A$401,0)=ROW()-1,1,0))</f>
        <v/>
      </c>
    </row>
    <row r="160">
      <c r="S160" s="5">
        <f>IF(A160="","",R160*IF(AND(ISNUMBER(W160),W160&gt;0,W160&lt;1),W160*100,W160)/100)</f>
        <v/>
      </c>
      <c r="T160" s="5">
        <f>IF(A160="","",V160*U160/100)</f>
        <v/>
      </c>
      <c r="U160" s="5">
        <f>IF(A160="","",R160-S160)</f>
        <v/>
      </c>
      <c r="X160" s="5">
        <f>IF(A160="","",U160-T160)</f>
        <v/>
      </c>
      <c r="AA160">
        <f>IF(A160="","",N(AA159)+IF(MATCH(A160,$A$2:$A$401,0)=ROW()-1,1,0))</f>
        <v/>
      </c>
    </row>
    <row r="161">
      <c r="S161" s="5">
        <f>IF(A161="","",R161*IF(AND(ISNUMBER(W161),W161&gt;0,W161&lt;1),W161*100,W161)/100)</f>
        <v/>
      </c>
      <c r="T161" s="5">
        <f>IF(A161="","",V161*U161/100)</f>
        <v/>
      </c>
      <c r="U161" s="5">
        <f>IF(A161="","",R161-S161)</f>
        <v/>
      </c>
      <c r="X161" s="5">
        <f>IF(A161="","",U161-T161)</f>
        <v/>
      </c>
      <c r="AA161">
        <f>IF(A161="","",N(AA160)+IF(MATCH(A161,$A$2:$A$401,0)=ROW()-1,1,0))</f>
        <v/>
      </c>
    </row>
    <row r="162">
      <c r="S162" s="5">
        <f>IF(A162="","",R162*IF(AND(ISNUMBER(W162),W162&gt;0,W162&lt;1),W162*100,W162)/100)</f>
        <v/>
      </c>
      <c r="T162" s="5">
        <f>IF(A162="","",V162*U162/100)</f>
        <v/>
      </c>
      <c r="U162" s="5">
        <f>IF(A162="","",R162-S162)</f>
        <v/>
      </c>
      <c r="X162" s="5">
        <f>IF(A162="","",U162-T162)</f>
        <v/>
      </c>
      <c r="AA162">
        <f>IF(A162="","",N(AA161)+IF(MATCH(A162,$A$2:$A$401,0)=ROW()-1,1,0))</f>
        <v/>
      </c>
    </row>
    <row r="163">
      <c r="S163" s="5">
        <f>IF(A163="","",R163*IF(AND(ISNUMBER(W163),W163&gt;0,W163&lt;1),W163*100,W163)/100)</f>
        <v/>
      </c>
      <c r="T163" s="5">
        <f>IF(A163="","",V163*U163/100)</f>
        <v/>
      </c>
      <c r="U163" s="5">
        <f>IF(A163="","",R163-S163)</f>
        <v/>
      </c>
      <c r="X163" s="5">
        <f>IF(A163="","",U163-T163)</f>
        <v/>
      </c>
      <c r="AA163">
        <f>IF(A163="","",N(AA162)+IF(MATCH(A163,$A$2:$A$401,0)=ROW()-1,1,0))</f>
        <v/>
      </c>
    </row>
    <row r="164">
      <c r="S164" s="5">
        <f>IF(A164="","",R164*IF(AND(ISNUMBER(W164),W164&gt;0,W164&lt;1),W164*100,W164)/100)</f>
        <v/>
      </c>
      <c r="T164" s="5">
        <f>IF(A164="","",V164*U164/100)</f>
        <v/>
      </c>
      <c r="U164" s="5">
        <f>IF(A164="","",R164-S164)</f>
        <v/>
      </c>
      <c r="X164" s="5">
        <f>IF(A164="","",U164-T164)</f>
        <v/>
      </c>
      <c r="AA164">
        <f>IF(A164="","",N(AA163)+IF(MATCH(A164,$A$2:$A$401,0)=ROW()-1,1,0))</f>
        <v/>
      </c>
    </row>
    <row r="165">
      <c r="S165" s="5">
        <f>IF(A165="","",R165*IF(AND(ISNUMBER(W165),W165&gt;0,W165&lt;1),W165*100,W165)/100)</f>
        <v/>
      </c>
      <c r="T165" s="5">
        <f>IF(A165="","",V165*U165/100)</f>
        <v/>
      </c>
      <c r="U165" s="5">
        <f>IF(A165="","",R165-S165)</f>
        <v/>
      </c>
      <c r="X165" s="5">
        <f>IF(A165="","",U165-T165)</f>
        <v/>
      </c>
      <c r="AA165">
        <f>IF(A165="","",N(AA164)+IF(MATCH(A165,$A$2:$A$401,0)=ROW()-1,1,0))</f>
        <v/>
      </c>
    </row>
    <row r="166">
      <c r="S166" s="5">
        <f>IF(A166="","",R166*IF(AND(ISNUMBER(W166),W166&gt;0,W166&lt;1),W166*100,W166)/100)</f>
        <v/>
      </c>
      <c r="T166" s="5">
        <f>IF(A166="","",V166*U166/100)</f>
        <v/>
      </c>
      <c r="U166" s="5">
        <f>IF(A166="","",R166-S166)</f>
        <v/>
      </c>
      <c r="X166" s="5">
        <f>IF(A166="","",U166-T166)</f>
        <v/>
      </c>
      <c r="AA166">
        <f>IF(A166="","",N(AA165)+IF(MATCH(A166,$A$2:$A$401,0)=ROW()-1,1,0))</f>
        <v/>
      </c>
    </row>
    <row r="167">
      <c r="S167" s="5">
        <f>IF(A167="","",R167*IF(AND(ISNUMBER(W167),W167&gt;0,W167&lt;1),W167*100,W167)/100)</f>
        <v/>
      </c>
      <c r="T167" s="5">
        <f>IF(A167="","",V167*U167/100)</f>
        <v/>
      </c>
      <c r="U167" s="5">
        <f>IF(A167="","",R167-S167)</f>
        <v/>
      </c>
      <c r="X167" s="5">
        <f>IF(A167="","",U167-T167)</f>
        <v/>
      </c>
      <c r="AA167">
        <f>IF(A167="","",N(AA166)+IF(MATCH(A167,$A$2:$A$401,0)=ROW()-1,1,0))</f>
        <v/>
      </c>
    </row>
    <row r="168">
      <c r="S168" s="5">
        <f>IF(A168="","",R168*IF(AND(ISNUMBER(W168),W168&gt;0,W168&lt;1),W168*100,W168)/100)</f>
        <v/>
      </c>
      <c r="T168" s="5">
        <f>IF(A168="","",V168*U168/100)</f>
        <v/>
      </c>
      <c r="U168" s="5">
        <f>IF(A168="","",R168-S168)</f>
        <v/>
      </c>
      <c r="X168" s="5">
        <f>IF(A168="","",U168-T168)</f>
        <v/>
      </c>
      <c r="AA168">
        <f>IF(A168="","",N(AA167)+IF(MATCH(A168,$A$2:$A$401,0)=ROW()-1,1,0))</f>
        <v/>
      </c>
    </row>
    <row r="169">
      <c r="S169" s="5">
        <f>IF(A169="","",R169*IF(AND(ISNUMBER(W169),W169&gt;0,W169&lt;1),W169*100,W169)/100)</f>
        <v/>
      </c>
      <c r="T169" s="5">
        <f>IF(A169="","",V169*U169/100)</f>
        <v/>
      </c>
      <c r="U169" s="5">
        <f>IF(A169="","",R169-S169)</f>
        <v/>
      </c>
      <c r="X169" s="5">
        <f>IF(A169="","",U169-T169)</f>
        <v/>
      </c>
      <c r="AA169">
        <f>IF(A169="","",N(AA168)+IF(MATCH(A169,$A$2:$A$401,0)=ROW()-1,1,0))</f>
        <v/>
      </c>
    </row>
    <row r="170">
      <c r="S170" s="5">
        <f>IF(A170="","",R170*IF(AND(ISNUMBER(W170),W170&gt;0,W170&lt;1),W170*100,W170)/100)</f>
        <v/>
      </c>
      <c r="T170" s="5">
        <f>IF(A170="","",V170*U170/100)</f>
        <v/>
      </c>
      <c r="U170" s="5">
        <f>IF(A170="","",R170-S170)</f>
        <v/>
      </c>
      <c r="X170" s="5">
        <f>IF(A170="","",U170-T170)</f>
        <v/>
      </c>
      <c r="AA170">
        <f>IF(A170="","",N(AA169)+IF(MATCH(A170,$A$2:$A$401,0)=ROW()-1,1,0))</f>
        <v/>
      </c>
    </row>
    <row r="171">
      <c r="S171" s="5">
        <f>IF(A171="","",R171*IF(AND(ISNUMBER(W171),W171&gt;0,W171&lt;1),W171*100,W171)/100)</f>
        <v/>
      </c>
      <c r="T171" s="5">
        <f>IF(A171="","",V171*U171/100)</f>
        <v/>
      </c>
      <c r="U171" s="5">
        <f>IF(A171="","",R171-S171)</f>
        <v/>
      </c>
      <c r="X171" s="5">
        <f>IF(A171="","",U171-T171)</f>
        <v/>
      </c>
      <c r="AA171">
        <f>IF(A171="","",N(AA170)+IF(MATCH(A171,$A$2:$A$401,0)=ROW()-1,1,0))</f>
        <v/>
      </c>
    </row>
    <row r="172">
      <c r="S172" s="5">
        <f>IF(A172="","",R172*IF(AND(ISNUMBER(W172),W172&gt;0,W172&lt;1),W172*100,W172)/100)</f>
        <v/>
      </c>
      <c r="T172" s="5">
        <f>IF(A172="","",V172*U172/100)</f>
        <v/>
      </c>
      <c r="U172" s="5">
        <f>IF(A172="","",R172-S172)</f>
        <v/>
      </c>
      <c r="X172" s="5">
        <f>IF(A172="","",U172-T172)</f>
        <v/>
      </c>
      <c r="AA172">
        <f>IF(A172="","",N(AA171)+IF(MATCH(A172,$A$2:$A$401,0)=ROW()-1,1,0))</f>
        <v/>
      </c>
    </row>
    <row r="173">
      <c r="S173" s="5">
        <f>IF(A173="","",R173*IF(AND(ISNUMBER(W173),W173&gt;0,W173&lt;1),W173*100,W173)/100)</f>
        <v/>
      </c>
      <c r="T173" s="5">
        <f>IF(A173="","",V173*U173/100)</f>
        <v/>
      </c>
      <c r="U173" s="5">
        <f>IF(A173="","",R173-S173)</f>
        <v/>
      </c>
      <c r="X173" s="5">
        <f>IF(A173="","",U173-T173)</f>
        <v/>
      </c>
      <c r="AA173">
        <f>IF(A173="","",N(AA172)+IF(MATCH(A173,$A$2:$A$401,0)=ROW()-1,1,0))</f>
        <v/>
      </c>
    </row>
    <row r="174">
      <c r="S174" s="5">
        <f>IF(A174="","",R174*IF(AND(ISNUMBER(W174),W174&gt;0,W174&lt;1),W174*100,W174)/100)</f>
        <v/>
      </c>
      <c r="T174" s="5">
        <f>IF(A174="","",V174*U174/100)</f>
        <v/>
      </c>
      <c r="U174" s="5">
        <f>IF(A174="","",R174-S174)</f>
        <v/>
      </c>
      <c r="X174" s="5">
        <f>IF(A174="","",U174-T174)</f>
        <v/>
      </c>
      <c r="AA174">
        <f>IF(A174="","",N(AA173)+IF(MATCH(A174,$A$2:$A$401,0)=ROW()-1,1,0))</f>
        <v/>
      </c>
    </row>
    <row r="175">
      <c r="S175" s="5">
        <f>IF(A175="","",R175*IF(AND(ISNUMBER(W175),W175&gt;0,W175&lt;1),W175*100,W175)/100)</f>
        <v/>
      </c>
      <c r="T175" s="5">
        <f>IF(A175="","",V175*U175/100)</f>
        <v/>
      </c>
      <c r="U175" s="5">
        <f>IF(A175="","",R175-S175)</f>
        <v/>
      </c>
      <c r="X175" s="5">
        <f>IF(A175="","",U175-T175)</f>
        <v/>
      </c>
      <c r="AA175">
        <f>IF(A175="","",N(AA174)+IF(MATCH(A175,$A$2:$A$401,0)=ROW()-1,1,0))</f>
        <v/>
      </c>
    </row>
    <row r="176">
      <c r="S176" s="5">
        <f>IF(A176="","",R176*IF(AND(ISNUMBER(W176),W176&gt;0,W176&lt;1),W176*100,W176)/100)</f>
        <v/>
      </c>
      <c r="T176" s="5">
        <f>IF(A176="","",V176*U176/100)</f>
        <v/>
      </c>
      <c r="U176" s="5">
        <f>IF(A176="","",R176-S176)</f>
        <v/>
      </c>
      <c r="X176" s="5">
        <f>IF(A176="","",U176-T176)</f>
        <v/>
      </c>
      <c r="AA176">
        <f>IF(A176="","",N(AA175)+IF(MATCH(A176,$A$2:$A$401,0)=ROW()-1,1,0))</f>
        <v/>
      </c>
    </row>
    <row r="177">
      <c r="S177" s="5">
        <f>IF(A177="","",R177*IF(AND(ISNUMBER(W177),W177&gt;0,W177&lt;1),W177*100,W177)/100)</f>
        <v/>
      </c>
      <c r="T177" s="5">
        <f>IF(A177="","",V177*U177/100)</f>
        <v/>
      </c>
      <c r="U177" s="5">
        <f>IF(A177="","",R177-S177)</f>
        <v/>
      </c>
      <c r="X177" s="5">
        <f>IF(A177="","",U177-T177)</f>
        <v/>
      </c>
      <c r="AA177">
        <f>IF(A177="","",N(AA176)+IF(MATCH(A177,$A$2:$A$401,0)=ROW()-1,1,0))</f>
        <v/>
      </c>
    </row>
    <row r="178">
      <c r="S178" s="5">
        <f>IF(A178="","",R178*IF(AND(ISNUMBER(W178),W178&gt;0,W178&lt;1),W178*100,W178)/100)</f>
        <v/>
      </c>
      <c r="T178" s="5">
        <f>IF(A178="","",V178*U178/100)</f>
        <v/>
      </c>
      <c r="U178" s="5">
        <f>IF(A178="","",R178-S178)</f>
        <v/>
      </c>
      <c r="X178" s="5">
        <f>IF(A178="","",U178-T178)</f>
        <v/>
      </c>
      <c r="AA178">
        <f>IF(A178="","",N(AA177)+IF(MATCH(A178,$A$2:$A$401,0)=ROW()-1,1,0))</f>
        <v/>
      </c>
    </row>
    <row r="179">
      <c r="S179" s="5">
        <f>IF(A179="","",R179*IF(AND(ISNUMBER(W179),W179&gt;0,W179&lt;1),W179*100,W179)/100)</f>
        <v/>
      </c>
      <c r="T179" s="5">
        <f>IF(A179="","",V179*U179/100)</f>
        <v/>
      </c>
      <c r="U179" s="5">
        <f>IF(A179="","",R179-S179)</f>
        <v/>
      </c>
      <c r="X179" s="5">
        <f>IF(A179="","",U179-T179)</f>
        <v/>
      </c>
      <c r="AA179">
        <f>IF(A179="","",N(AA178)+IF(MATCH(A179,$A$2:$A$401,0)=ROW()-1,1,0))</f>
        <v/>
      </c>
    </row>
    <row r="180">
      <c r="S180" s="5">
        <f>IF(A180="","",R180*IF(AND(ISNUMBER(W180),W180&gt;0,W180&lt;1),W180*100,W180)/100)</f>
        <v/>
      </c>
      <c r="T180" s="5">
        <f>IF(A180="","",V180*U180/100)</f>
        <v/>
      </c>
      <c r="U180" s="5">
        <f>IF(A180="","",R180-S180)</f>
        <v/>
      </c>
      <c r="X180" s="5">
        <f>IF(A180="","",U180-T180)</f>
        <v/>
      </c>
      <c r="AA180">
        <f>IF(A180="","",N(AA179)+IF(MATCH(A180,$A$2:$A$401,0)=ROW()-1,1,0))</f>
        <v/>
      </c>
    </row>
    <row r="181">
      <c r="S181" s="5">
        <f>IF(A181="","",R181*IF(AND(ISNUMBER(W181),W181&gt;0,W181&lt;1),W181*100,W181)/100)</f>
        <v/>
      </c>
      <c r="T181" s="5">
        <f>IF(A181="","",V181*U181/100)</f>
        <v/>
      </c>
      <c r="U181" s="5">
        <f>IF(A181="","",R181-S181)</f>
        <v/>
      </c>
      <c r="X181" s="5">
        <f>IF(A181="","",U181-T181)</f>
        <v/>
      </c>
      <c r="AA181">
        <f>IF(A181="","",N(AA180)+IF(MATCH(A181,$A$2:$A$401,0)=ROW()-1,1,0))</f>
        <v/>
      </c>
    </row>
    <row r="182">
      <c r="S182" s="5">
        <f>IF(A182="","",R182*IF(AND(ISNUMBER(W182),W182&gt;0,W182&lt;1),W182*100,W182)/100)</f>
        <v/>
      </c>
      <c r="T182" s="5">
        <f>IF(A182="","",V182*U182/100)</f>
        <v/>
      </c>
      <c r="U182" s="5">
        <f>IF(A182="","",R182-S182)</f>
        <v/>
      </c>
      <c r="X182" s="5">
        <f>IF(A182="","",U182-T182)</f>
        <v/>
      </c>
      <c r="AA182">
        <f>IF(A182="","",N(AA181)+IF(MATCH(A182,$A$2:$A$401,0)=ROW()-1,1,0))</f>
        <v/>
      </c>
    </row>
    <row r="183">
      <c r="S183" s="5">
        <f>IF(A183="","",R183*IF(AND(ISNUMBER(W183),W183&gt;0,W183&lt;1),W183*100,W183)/100)</f>
        <v/>
      </c>
      <c r="T183" s="5">
        <f>IF(A183="","",V183*U183/100)</f>
        <v/>
      </c>
      <c r="U183" s="5">
        <f>IF(A183="","",R183-S183)</f>
        <v/>
      </c>
      <c r="X183" s="5">
        <f>IF(A183="","",U183-T183)</f>
        <v/>
      </c>
      <c r="AA183">
        <f>IF(A183="","",N(AA182)+IF(MATCH(A183,$A$2:$A$401,0)=ROW()-1,1,0))</f>
        <v/>
      </c>
    </row>
    <row r="184">
      <c r="S184" s="5">
        <f>IF(A184="","",R184*IF(AND(ISNUMBER(W184),W184&gt;0,W184&lt;1),W184*100,W184)/100)</f>
        <v/>
      </c>
      <c r="T184" s="5">
        <f>IF(A184="","",V184*U184/100)</f>
        <v/>
      </c>
      <c r="U184" s="5">
        <f>IF(A184="","",R184-S184)</f>
        <v/>
      </c>
      <c r="X184" s="5">
        <f>IF(A184="","",U184-T184)</f>
        <v/>
      </c>
      <c r="AA184">
        <f>IF(A184="","",N(AA183)+IF(MATCH(A184,$A$2:$A$401,0)=ROW()-1,1,0))</f>
        <v/>
      </c>
    </row>
    <row r="185">
      <c r="S185" s="5">
        <f>IF(A185="","",R185*IF(AND(ISNUMBER(W185),W185&gt;0,W185&lt;1),W185*100,W185)/100)</f>
        <v/>
      </c>
      <c r="T185" s="5">
        <f>IF(A185="","",V185*U185/100)</f>
        <v/>
      </c>
      <c r="U185" s="5">
        <f>IF(A185="","",R185-S185)</f>
        <v/>
      </c>
      <c r="X185" s="5">
        <f>IF(A185="","",U185-T185)</f>
        <v/>
      </c>
      <c r="AA185">
        <f>IF(A185="","",N(AA184)+IF(MATCH(A185,$A$2:$A$401,0)=ROW()-1,1,0))</f>
        <v/>
      </c>
    </row>
    <row r="186">
      <c r="S186" s="5">
        <f>IF(A186="","",R186*IF(AND(ISNUMBER(W186),W186&gt;0,W186&lt;1),W186*100,W186)/100)</f>
        <v/>
      </c>
      <c r="T186" s="5">
        <f>IF(A186="","",V186*U186/100)</f>
        <v/>
      </c>
      <c r="U186" s="5">
        <f>IF(A186="","",R186-S186)</f>
        <v/>
      </c>
      <c r="X186" s="5">
        <f>IF(A186="","",U186-T186)</f>
        <v/>
      </c>
      <c r="AA186">
        <f>IF(A186="","",N(AA185)+IF(MATCH(A186,$A$2:$A$401,0)=ROW()-1,1,0))</f>
        <v/>
      </c>
    </row>
    <row r="187">
      <c r="S187" s="5">
        <f>IF(A187="","",R187*IF(AND(ISNUMBER(W187),W187&gt;0,W187&lt;1),W187*100,W187)/100)</f>
        <v/>
      </c>
      <c r="T187" s="5">
        <f>IF(A187="","",V187*U187/100)</f>
        <v/>
      </c>
      <c r="U187" s="5">
        <f>IF(A187="","",R187-S187)</f>
        <v/>
      </c>
      <c r="X187" s="5">
        <f>IF(A187="","",U187-T187)</f>
        <v/>
      </c>
      <c r="AA187">
        <f>IF(A187="","",N(AA186)+IF(MATCH(A187,$A$2:$A$401,0)=ROW()-1,1,0))</f>
        <v/>
      </c>
    </row>
    <row r="188">
      <c r="S188" s="5">
        <f>IF(A188="","",R188*IF(AND(ISNUMBER(W188),W188&gt;0,W188&lt;1),W188*100,W188)/100)</f>
        <v/>
      </c>
      <c r="T188" s="5">
        <f>IF(A188="","",V188*U188/100)</f>
        <v/>
      </c>
      <c r="U188" s="5">
        <f>IF(A188="","",R188-S188)</f>
        <v/>
      </c>
      <c r="X188" s="5">
        <f>IF(A188="","",U188-T188)</f>
        <v/>
      </c>
      <c r="AA188">
        <f>IF(A188="","",N(AA187)+IF(MATCH(A188,$A$2:$A$401,0)=ROW()-1,1,0))</f>
        <v/>
      </c>
    </row>
    <row r="189">
      <c r="S189" s="5">
        <f>IF(A189="","",R189*IF(AND(ISNUMBER(W189),W189&gt;0,W189&lt;1),W189*100,W189)/100)</f>
        <v/>
      </c>
      <c r="T189" s="5">
        <f>IF(A189="","",V189*U189/100)</f>
        <v/>
      </c>
      <c r="U189" s="5">
        <f>IF(A189="","",R189-S189)</f>
        <v/>
      </c>
      <c r="X189" s="5">
        <f>IF(A189="","",U189-T189)</f>
        <v/>
      </c>
      <c r="AA189">
        <f>IF(A189="","",N(AA188)+IF(MATCH(A189,$A$2:$A$401,0)=ROW()-1,1,0))</f>
        <v/>
      </c>
    </row>
    <row r="190">
      <c r="S190" s="5">
        <f>IF(A190="","",R190*IF(AND(ISNUMBER(W190),W190&gt;0,W190&lt;1),W190*100,W190)/100)</f>
        <v/>
      </c>
      <c r="T190" s="5">
        <f>IF(A190="","",V190*U190/100)</f>
        <v/>
      </c>
      <c r="U190" s="5">
        <f>IF(A190="","",R190-S190)</f>
        <v/>
      </c>
      <c r="X190" s="5">
        <f>IF(A190="","",U190-T190)</f>
        <v/>
      </c>
      <c r="AA190">
        <f>IF(A190="","",N(AA189)+IF(MATCH(A190,$A$2:$A$401,0)=ROW()-1,1,0))</f>
        <v/>
      </c>
    </row>
    <row r="191">
      <c r="S191" s="5">
        <f>IF(A191="","",R191*IF(AND(ISNUMBER(W191),W191&gt;0,W191&lt;1),W191*100,W191)/100)</f>
        <v/>
      </c>
      <c r="T191" s="5">
        <f>IF(A191="","",V191*U191/100)</f>
        <v/>
      </c>
      <c r="U191" s="5">
        <f>IF(A191="","",R191-S191)</f>
        <v/>
      </c>
      <c r="X191" s="5">
        <f>IF(A191="","",U191-T191)</f>
        <v/>
      </c>
      <c r="AA191">
        <f>IF(A191="","",N(AA190)+IF(MATCH(A191,$A$2:$A$401,0)=ROW()-1,1,0))</f>
        <v/>
      </c>
    </row>
    <row r="192">
      <c r="S192" s="5">
        <f>IF(A192="","",R192*IF(AND(ISNUMBER(W192),W192&gt;0,W192&lt;1),W192*100,W192)/100)</f>
        <v/>
      </c>
      <c r="T192" s="5">
        <f>IF(A192="","",V192*U192/100)</f>
        <v/>
      </c>
      <c r="U192" s="5">
        <f>IF(A192="","",R192-S192)</f>
        <v/>
      </c>
      <c r="X192" s="5">
        <f>IF(A192="","",U192-T192)</f>
        <v/>
      </c>
      <c r="AA192">
        <f>IF(A192="","",N(AA191)+IF(MATCH(A192,$A$2:$A$401,0)=ROW()-1,1,0))</f>
        <v/>
      </c>
    </row>
    <row r="193">
      <c r="S193" s="5">
        <f>IF(A193="","",R193*IF(AND(ISNUMBER(W193),W193&gt;0,W193&lt;1),W193*100,W193)/100)</f>
        <v/>
      </c>
      <c r="T193" s="5">
        <f>IF(A193="","",V193*U193/100)</f>
        <v/>
      </c>
      <c r="U193" s="5">
        <f>IF(A193="","",R193-S193)</f>
        <v/>
      </c>
      <c r="X193" s="5">
        <f>IF(A193="","",U193-T193)</f>
        <v/>
      </c>
      <c r="AA193">
        <f>IF(A193="","",N(AA192)+IF(MATCH(A193,$A$2:$A$401,0)=ROW()-1,1,0))</f>
        <v/>
      </c>
    </row>
    <row r="194">
      <c r="S194" s="5">
        <f>IF(A194="","",R194*IF(AND(ISNUMBER(W194),W194&gt;0,W194&lt;1),W194*100,W194)/100)</f>
        <v/>
      </c>
      <c r="T194" s="5">
        <f>IF(A194="","",V194*U194/100)</f>
        <v/>
      </c>
      <c r="U194" s="5">
        <f>IF(A194="","",R194-S194)</f>
        <v/>
      </c>
      <c r="X194" s="5">
        <f>IF(A194="","",U194-T194)</f>
        <v/>
      </c>
      <c r="AA194">
        <f>IF(A194="","",N(AA193)+IF(MATCH(A194,$A$2:$A$401,0)=ROW()-1,1,0))</f>
        <v/>
      </c>
    </row>
    <row r="195">
      <c r="S195" s="5">
        <f>IF(A195="","",R195*IF(AND(ISNUMBER(W195),W195&gt;0,W195&lt;1),W195*100,W195)/100)</f>
        <v/>
      </c>
      <c r="T195" s="5">
        <f>IF(A195="","",V195*U195/100)</f>
        <v/>
      </c>
      <c r="U195" s="5">
        <f>IF(A195="","",R195-S195)</f>
        <v/>
      </c>
      <c r="X195" s="5">
        <f>IF(A195="","",U195-T195)</f>
        <v/>
      </c>
      <c r="AA195">
        <f>IF(A195="","",N(AA194)+IF(MATCH(A195,$A$2:$A$401,0)=ROW()-1,1,0))</f>
        <v/>
      </c>
    </row>
    <row r="196">
      <c r="S196" s="5">
        <f>IF(A196="","",R196*IF(AND(ISNUMBER(W196),W196&gt;0,W196&lt;1),W196*100,W196)/100)</f>
        <v/>
      </c>
      <c r="T196" s="5">
        <f>IF(A196="","",V196*U196/100)</f>
        <v/>
      </c>
      <c r="U196" s="5">
        <f>IF(A196="","",R196-S196)</f>
        <v/>
      </c>
      <c r="X196" s="5">
        <f>IF(A196="","",U196-T196)</f>
        <v/>
      </c>
      <c r="AA196">
        <f>IF(A196="","",N(AA195)+IF(MATCH(A196,$A$2:$A$401,0)=ROW()-1,1,0))</f>
        <v/>
      </c>
    </row>
    <row r="197">
      <c r="S197" s="5">
        <f>IF(A197="","",R197*IF(AND(ISNUMBER(W197),W197&gt;0,W197&lt;1),W197*100,W197)/100)</f>
        <v/>
      </c>
      <c r="T197" s="5">
        <f>IF(A197="","",V197*U197/100)</f>
        <v/>
      </c>
      <c r="U197" s="5">
        <f>IF(A197="","",R197-S197)</f>
        <v/>
      </c>
      <c r="X197" s="5">
        <f>IF(A197="","",U197-T197)</f>
        <v/>
      </c>
      <c r="AA197">
        <f>IF(A197="","",N(AA196)+IF(MATCH(A197,$A$2:$A$401,0)=ROW()-1,1,0))</f>
        <v/>
      </c>
    </row>
    <row r="198">
      <c r="S198" s="5">
        <f>IF(A198="","",R198*IF(AND(ISNUMBER(W198),W198&gt;0,W198&lt;1),W198*100,W198)/100)</f>
        <v/>
      </c>
      <c r="T198" s="5">
        <f>IF(A198="","",V198*U198/100)</f>
        <v/>
      </c>
      <c r="U198" s="5">
        <f>IF(A198="","",R198-S198)</f>
        <v/>
      </c>
      <c r="X198" s="5">
        <f>IF(A198="","",U198-T198)</f>
        <v/>
      </c>
      <c r="AA198">
        <f>IF(A198="","",N(AA197)+IF(MATCH(A198,$A$2:$A$401,0)=ROW()-1,1,0))</f>
        <v/>
      </c>
    </row>
    <row r="199">
      <c r="S199" s="5">
        <f>IF(A199="","",R199*IF(AND(ISNUMBER(W199),W199&gt;0,W199&lt;1),W199*100,W199)/100)</f>
        <v/>
      </c>
      <c r="T199" s="5">
        <f>IF(A199="","",V199*U199/100)</f>
        <v/>
      </c>
      <c r="U199" s="5">
        <f>IF(A199="","",R199-S199)</f>
        <v/>
      </c>
      <c r="X199" s="5">
        <f>IF(A199="","",U199-T199)</f>
        <v/>
      </c>
      <c r="AA199">
        <f>IF(A199="","",N(AA198)+IF(MATCH(A199,$A$2:$A$401,0)=ROW()-1,1,0))</f>
        <v/>
      </c>
    </row>
    <row r="200">
      <c r="S200" s="5">
        <f>IF(A200="","",R200*IF(AND(ISNUMBER(W200),W200&gt;0,W200&lt;1),W200*100,W200)/100)</f>
        <v/>
      </c>
      <c r="T200" s="5">
        <f>IF(A200="","",V200*U200/100)</f>
        <v/>
      </c>
      <c r="U200" s="5">
        <f>IF(A200="","",R200-S200)</f>
        <v/>
      </c>
      <c r="X200" s="5">
        <f>IF(A200="","",U200-T200)</f>
        <v/>
      </c>
      <c r="AA200">
        <f>IF(A200="","",N(AA199)+IF(MATCH(A200,$A$2:$A$401,0)=ROW()-1,1,0))</f>
        <v/>
      </c>
    </row>
    <row r="201">
      <c r="S201" s="5">
        <f>IF(A201="","",R201*IF(AND(ISNUMBER(W201),W201&gt;0,W201&lt;1),W201*100,W201)/100)</f>
        <v/>
      </c>
      <c r="T201" s="5">
        <f>IF(A201="","",V201*U201/100)</f>
        <v/>
      </c>
      <c r="U201" s="5">
        <f>IF(A201="","",R201-S201)</f>
        <v/>
      </c>
      <c r="X201" s="5">
        <f>IF(A201="","",U201-T201)</f>
        <v/>
      </c>
      <c r="AA201">
        <f>IF(A201="","",N(AA200)+IF(MATCH(A201,$A$2:$A$401,0)=ROW()-1,1,0))</f>
        <v/>
      </c>
    </row>
    <row r="202">
      <c r="S202" s="5">
        <f>IF(A202="","",R202*IF(AND(ISNUMBER(W202),W202&gt;0,W202&lt;1),W202*100,W202)/100)</f>
        <v/>
      </c>
      <c r="T202" s="5">
        <f>IF(A202="","",V202*U202/100)</f>
        <v/>
      </c>
      <c r="U202" s="5">
        <f>IF(A202="","",R202-S202)</f>
        <v/>
      </c>
      <c r="X202" s="5">
        <f>IF(A202="","",U202-T202)</f>
        <v/>
      </c>
      <c r="AA202">
        <f>IF(A202="","",N(AA201)+IF(MATCH(A202,$A$2:$A$401,0)=ROW()-1,1,0))</f>
        <v/>
      </c>
    </row>
    <row r="203">
      <c r="S203" s="5">
        <f>IF(A203="","",R203*IF(AND(ISNUMBER(W203),W203&gt;0,W203&lt;1),W203*100,W203)/100)</f>
        <v/>
      </c>
      <c r="T203" s="5">
        <f>IF(A203="","",V203*U203/100)</f>
        <v/>
      </c>
      <c r="U203" s="5">
        <f>IF(A203="","",R203-S203)</f>
        <v/>
      </c>
      <c r="X203" s="5">
        <f>IF(A203="","",U203-T203)</f>
        <v/>
      </c>
      <c r="AA203">
        <f>IF(A203="","",N(AA202)+IF(MATCH(A203,$A$2:$A$401,0)=ROW()-1,1,0))</f>
        <v/>
      </c>
    </row>
    <row r="204">
      <c r="S204" s="5">
        <f>IF(A204="","",R204*IF(AND(ISNUMBER(W204),W204&gt;0,W204&lt;1),W204*100,W204)/100)</f>
        <v/>
      </c>
      <c r="T204" s="5">
        <f>IF(A204="","",V204*U204/100)</f>
        <v/>
      </c>
      <c r="U204" s="5">
        <f>IF(A204="","",R204-S204)</f>
        <v/>
      </c>
      <c r="X204" s="5">
        <f>IF(A204="","",U204-T204)</f>
        <v/>
      </c>
      <c r="AA204">
        <f>IF(A204="","",N(AA203)+IF(MATCH(A204,$A$2:$A$401,0)=ROW()-1,1,0))</f>
        <v/>
      </c>
    </row>
    <row r="205">
      <c r="S205" s="5">
        <f>IF(A205="","",R205*IF(AND(ISNUMBER(W205),W205&gt;0,W205&lt;1),W205*100,W205)/100)</f>
        <v/>
      </c>
      <c r="T205" s="5">
        <f>IF(A205="","",V205*U205/100)</f>
        <v/>
      </c>
      <c r="U205" s="5">
        <f>IF(A205="","",R205-S205)</f>
        <v/>
      </c>
      <c r="X205" s="5">
        <f>IF(A205="","",U205-T205)</f>
        <v/>
      </c>
      <c r="AA205">
        <f>IF(A205="","",N(AA204)+IF(MATCH(A205,$A$2:$A$401,0)=ROW()-1,1,0))</f>
        <v/>
      </c>
    </row>
    <row r="206">
      <c r="S206" s="5">
        <f>IF(A206="","",R206*IF(AND(ISNUMBER(W206),W206&gt;0,W206&lt;1),W206*100,W206)/100)</f>
        <v/>
      </c>
      <c r="T206" s="5">
        <f>IF(A206="","",V206*U206/100)</f>
        <v/>
      </c>
      <c r="U206" s="5">
        <f>IF(A206="","",R206-S206)</f>
        <v/>
      </c>
      <c r="X206" s="5">
        <f>IF(A206="","",U206-T206)</f>
        <v/>
      </c>
      <c r="AA206">
        <f>IF(A206="","",N(AA205)+IF(MATCH(A206,$A$2:$A$401,0)=ROW()-1,1,0))</f>
        <v/>
      </c>
    </row>
    <row r="207">
      <c r="S207" s="5">
        <f>IF(A207="","",R207*IF(AND(ISNUMBER(W207),W207&gt;0,W207&lt;1),W207*100,W207)/100)</f>
        <v/>
      </c>
      <c r="T207" s="5">
        <f>IF(A207="","",V207*U207/100)</f>
        <v/>
      </c>
      <c r="U207" s="5">
        <f>IF(A207="","",R207-S207)</f>
        <v/>
      </c>
      <c r="X207" s="5">
        <f>IF(A207="","",U207-T207)</f>
        <v/>
      </c>
      <c r="AA207">
        <f>IF(A207="","",N(AA206)+IF(MATCH(A207,$A$2:$A$401,0)=ROW()-1,1,0))</f>
        <v/>
      </c>
    </row>
    <row r="208">
      <c r="S208" s="5">
        <f>IF(A208="","",R208*IF(AND(ISNUMBER(W208),W208&gt;0,W208&lt;1),W208*100,W208)/100)</f>
        <v/>
      </c>
      <c r="T208" s="5">
        <f>IF(A208="","",V208*U208/100)</f>
        <v/>
      </c>
      <c r="U208" s="5">
        <f>IF(A208="","",R208-S208)</f>
        <v/>
      </c>
      <c r="X208" s="5">
        <f>IF(A208="","",U208-T208)</f>
        <v/>
      </c>
      <c r="AA208">
        <f>IF(A208="","",N(AA207)+IF(MATCH(A208,$A$2:$A$401,0)=ROW()-1,1,0))</f>
        <v/>
      </c>
    </row>
    <row r="209">
      <c r="S209" s="5">
        <f>IF(A209="","",R209*IF(AND(ISNUMBER(W209),W209&gt;0,W209&lt;1),W209*100,W209)/100)</f>
        <v/>
      </c>
      <c r="T209" s="5">
        <f>IF(A209="","",V209*U209/100)</f>
        <v/>
      </c>
      <c r="U209" s="5">
        <f>IF(A209="","",R209-S209)</f>
        <v/>
      </c>
      <c r="X209" s="5">
        <f>IF(A209="","",U209-T209)</f>
        <v/>
      </c>
      <c r="AA209">
        <f>IF(A209="","",N(AA208)+IF(MATCH(A209,$A$2:$A$401,0)=ROW()-1,1,0))</f>
        <v/>
      </c>
    </row>
    <row r="210">
      <c r="S210" s="5">
        <f>IF(A210="","",R210*IF(AND(ISNUMBER(W210),W210&gt;0,W210&lt;1),W210*100,W210)/100)</f>
        <v/>
      </c>
      <c r="T210" s="5">
        <f>IF(A210="","",V210*U210/100)</f>
        <v/>
      </c>
      <c r="U210" s="5">
        <f>IF(A210="","",R210-S210)</f>
        <v/>
      </c>
      <c r="X210" s="5">
        <f>IF(A210="","",U210-T210)</f>
        <v/>
      </c>
      <c r="AA210">
        <f>IF(A210="","",N(AA209)+IF(MATCH(A210,$A$2:$A$401,0)=ROW()-1,1,0))</f>
        <v/>
      </c>
    </row>
    <row r="211">
      <c r="S211" s="5">
        <f>IF(A211="","",R211*IF(AND(ISNUMBER(W211),W211&gt;0,W211&lt;1),W211*100,W211)/100)</f>
        <v/>
      </c>
      <c r="T211" s="5">
        <f>IF(A211="","",V211*U211/100)</f>
        <v/>
      </c>
      <c r="U211" s="5">
        <f>IF(A211="","",R211-S211)</f>
        <v/>
      </c>
      <c r="X211" s="5">
        <f>IF(A211="","",U211-T211)</f>
        <v/>
      </c>
      <c r="AA211">
        <f>IF(A211="","",N(AA210)+IF(MATCH(A211,$A$2:$A$401,0)=ROW()-1,1,0))</f>
        <v/>
      </c>
    </row>
    <row r="212">
      <c r="S212" s="5">
        <f>IF(A212="","",R212*IF(AND(ISNUMBER(W212),W212&gt;0,W212&lt;1),W212*100,W212)/100)</f>
        <v/>
      </c>
      <c r="T212" s="5">
        <f>IF(A212="","",V212*U212/100)</f>
        <v/>
      </c>
      <c r="U212" s="5">
        <f>IF(A212="","",R212-S212)</f>
        <v/>
      </c>
      <c r="X212" s="5">
        <f>IF(A212="","",U212-T212)</f>
        <v/>
      </c>
      <c r="AA212">
        <f>IF(A212="","",N(AA211)+IF(MATCH(A212,$A$2:$A$401,0)=ROW()-1,1,0))</f>
        <v/>
      </c>
    </row>
    <row r="213">
      <c r="S213" s="5">
        <f>IF(A213="","",R213*IF(AND(ISNUMBER(W213),W213&gt;0,W213&lt;1),W213*100,W213)/100)</f>
        <v/>
      </c>
      <c r="T213" s="5">
        <f>IF(A213="","",V213*U213/100)</f>
        <v/>
      </c>
      <c r="U213" s="5">
        <f>IF(A213="","",R213-S213)</f>
        <v/>
      </c>
      <c r="X213" s="5">
        <f>IF(A213="","",U213-T213)</f>
        <v/>
      </c>
      <c r="AA213">
        <f>IF(A213="","",N(AA212)+IF(MATCH(A213,$A$2:$A$401,0)=ROW()-1,1,0))</f>
        <v/>
      </c>
    </row>
    <row r="214">
      <c r="S214" s="5">
        <f>IF(A214="","",R214*IF(AND(ISNUMBER(W214),W214&gt;0,W214&lt;1),W214*100,W214)/100)</f>
        <v/>
      </c>
      <c r="T214" s="5">
        <f>IF(A214="","",V214*U214/100)</f>
        <v/>
      </c>
      <c r="U214" s="5">
        <f>IF(A214="","",R214-S214)</f>
        <v/>
      </c>
      <c r="X214" s="5">
        <f>IF(A214="","",U214-T214)</f>
        <v/>
      </c>
      <c r="AA214">
        <f>IF(A214="","",N(AA213)+IF(MATCH(A214,$A$2:$A$401,0)=ROW()-1,1,0))</f>
        <v/>
      </c>
    </row>
    <row r="215">
      <c r="S215" s="5">
        <f>IF(A215="","",R215*IF(AND(ISNUMBER(W215),W215&gt;0,W215&lt;1),W215*100,W215)/100)</f>
        <v/>
      </c>
      <c r="T215" s="5">
        <f>IF(A215="","",V215*U215/100)</f>
        <v/>
      </c>
      <c r="U215" s="5">
        <f>IF(A215="","",R215-S215)</f>
        <v/>
      </c>
      <c r="X215" s="5">
        <f>IF(A215="","",U215-T215)</f>
        <v/>
      </c>
      <c r="AA215">
        <f>IF(A215="","",N(AA214)+IF(MATCH(A215,$A$2:$A$401,0)=ROW()-1,1,0))</f>
        <v/>
      </c>
    </row>
    <row r="216">
      <c r="S216" s="5">
        <f>IF(A216="","",R216*IF(AND(ISNUMBER(W216),W216&gt;0,W216&lt;1),W216*100,W216)/100)</f>
        <v/>
      </c>
      <c r="T216" s="5">
        <f>IF(A216="","",V216*U216/100)</f>
        <v/>
      </c>
      <c r="U216" s="5">
        <f>IF(A216="","",R216-S216)</f>
        <v/>
      </c>
      <c r="X216" s="5">
        <f>IF(A216="","",U216-T216)</f>
        <v/>
      </c>
      <c r="AA216">
        <f>IF(A216="","",N(AA215)+IF(MATCH(A216,$A$2:$A$401,0)=ROW()-1,1,0))</f>
        <v/>
      </c>
    </row>
    <row r="217">
      <c r="S217" s="5">
        <f>IF(A217="","",R217*IF(AND(ISNUMBER(W217),W217&gt;0,W217&lt;1),W217*100,W217)/100)</f>
        <v/>
      </c>
      <c r="T217" s="5">
        <f>IF(A217="","",V217*U217/100)</f>
        <v/>
      </c>
      <c r="U217" s="5">
        <f>IF(A217="","",R217-S217)</f>
        <v/>
      </c>
      <c r="X217" s="5">
        <f>IF(A217="","",U217-T217)</f>
        <v/>
      </c>
      <c r="AA217">
        <f>IF(A217="","",N(AA216)+IF(MATCH(A217,$A$2:$A$401,0)=ROW()-1,1,0))</f>
        <v/>
      </c>
    </row>
    <row r="218">
      <c r="S218" s="5">
        <f>IF(A218="","",R218*IF(AND(ISNUMBER(W218),W218&gt;0,W218&lt;1),W218*100,W218)/100)</f>
        <v/>
      </c>
      <c r="T218" s="5">
        <f>IF(A218="","",V218*U218/100)</f>
        <v/>
      </c>
      <c r="U218" s="5">
        <f>IF(A218="","",R218-S218)</f>
        <v/>
      </c>
      <c r="X218" s="5">
        <f>IF(A218="","",U218-T218)</f>
        <v/>
      </c>
      <c r="AA218">
        <f>IF(A218="","",N(AA217)+IF(MATCH(A218,$A$2:$A$401,0)=ROW()-1,1,0))</f>
        <v/>
      </c>
    </row>
    <row r="219">
      <c r="S219" s="5">
        <f>IF(A219="","",R219*IF(AND(ISNUMBER(W219),W219&gt;0,W219&lt;1),W219*100,W219)/100)</f>
        <v/>
      </c>
      <c r="T219" s="5">
        <f>IF(A219="","",V219*U219/100)</f>
        <v/>
      </c>
      <c r="U219" s="5">
        <f>IF(A219="","",R219-S219)</f>
        <v/>
      </c>
      <c r="X219" s="5">
        <f>IF(A219="","",U219-T219)</f>
        <v/>
      </c>
      <c r="AA219">
        <f>IF(A219="","",N(AA218)+IF(MATCH(A219,$A$2:$A$401,0)=ROW()-1,1,0))</f>
        <v/>
      </c>
    </row>
    <row r="220">
      <c r="S220" s="5">
        <f>IF(A220="","",R220*IF(AND(ISNUMBER(W220),W220&gt;0,W220&lt;1),W220*100,W220)/100)</f>
        <v/>
      </c>
      <c r="T220" s="5">
        <f>IF(A220="","",V220*U220/100)</f>
        <v/>
      </c>
      <c r="U220" s="5">
        <f>IF(A220="","",R220-S220)</f>
        <v/>
      </c>
      <c r="X220" s="5">
        <f>IF(A220="","",U220-T220)</f>
        <v/>
      </c>
      <c r="AA220">
        <f>IF(A220="","",N(AA219)+IF(MATCH(A220,$A$2:$A$401,0)=ROW()-1,1,0))</f>
        <v/>
      </c>
    </row>
    <row r="221">
      <c r="S221" s="5">
        <f>IF(A221="","",R221*IF(AND(ISNUMBER(W221),W221&gt;0,W221&lt;1),W221*100,W221)/100)</f>
        <v/>
      </c>
      <c r="T221" s="5">
        <f>IF(A221="","",V221*U221/100)</f>
        <v/>
      </c>
      <c r="U221" s="5">
        <f>IF(A221="","",R221-S221)</f>
        <v/>
      </c>
      <c r="X221" s="5">
        <f>IF(A221="","",U221-T221)</f>
        <v/>
      </c>
      <c r="AA221">
        <f>IF(A221="","",N(AA220)+IF(MATCH(A221,$A$2:$A$401,0)=ROW()-1,1,0))</f>
        <v/>
      </c>
    </row>
    <row r="222">
      <c r="S222" s="5">
        <f>IF(A222="","",R222*IF(AND(ISNUMBER(W222),W222&gt;0,W222&lt;1),W222*100,W222)/100)</f>
        <v/>
      </c>
      <c r="T222" s="5">
        <f>IF(A222="","",V222*U222/100)</f>
        <v/>
      </c>
      <c r="U222" s="5">
        <f>IF(A222="","",R222-S222)</f>
        <v/>
      </c>
      <c r="X222" s="5">
        <f>IF(A222="","",U222-T222)</f>
        <v/>
      </c>
      <c r="AA222">
        <f>IF(A222="","",N(AA221)+IF(MATCH(A222,$A$2:$A$401,0)=ROW()-1,1,0))</f>
        <v/>
      </c>
    </row>
    <row r="223">
      <c r="S223" s="5">
        <f>IF(A223="","",R223*IF(AND(ISNUMBER(W223),W223&gt;0,W223&lt;1),W223*100,W223)/100)</f>
        <v/>
      </c>
      <c r="T223" s="5">
        <f>IF(A223="","",V223*U223/100)</f>
        <v/>
      </c>
      <c r="U223" s="5">
        <f>IF(A223="","",R223-S223)</f>
        <v/>
      </c>
      <c r="X223" s="5">
        <f>IF(A223="","",U223-T223)</f>
        <v/>
      </c>
      <c r="AA223">
        <f>IF(A223="","",N(AA222)+IF(MATCH(A223,$A$2:$A$401,0)=ROW()-1,1,0))</f>
        <v/>
      </c>
    </row>
    <row r="224">
      <c r="S224" s="5">
        <f>IF(A224="","",R224*IF(AND(ISNUMBER(W224),W224&gt;0,W224&lt;1),W224*100,W224)/100)</f>
        <v/>
      </c>
      <c r="T224" s="5">
        <f>IF(A224="","",V224*U224/100)</f>
        <v/>
      </c>
      <c r="U224" s="5">
        <f>IF(A224="","",R224-S224)</f>
        <v/>
      </c>
      <c r="X224" s="5">
        <f>IF(A224="","",U224-T224)</f>
        <v/>
      </c>
      <c r="AA224">
        <f>IF(A224="","",N(AA223)+IF(MATCH(A224,$A$2:$A$401,0)=ROW()-1,1,0))</f>
        <v/>
      </c>
    </row>
    <row r="225">
      <c r="S225" s="5">
        <f>IF(A225="","",R225*IF(AND(ISNUMBER(W225),W225&gt;0,W225&lt;1),W225*100,W225)/100)</f>
        <v/>
      </c>
      <c r="T225" s="5">
        <f>IF(A225="","",V225*U225/100)</f>
        <v/>
      </c>
      <c r="U225" s="5">
        <f>IF(A225="","",R225-S225)</f>
        <v/>
      </c>
      <c r="X225" s="5">
        <f>IF(A225="","",U225-T225)</f>
        <v/>
      </c>
      <c r="AA225">
        <f>IF(A225="","",N(AA224)+IF(MATCH(A225,$A$2:$A$401,0)=ROW()-1,1,0))</f>
        <v/>
      </c>
    </row>
    <row r="226">
      <c r="S226" s="5">
        <f>IF(A226="","",R226*IF(AND(ISNUMBER(W226),W226&gt;0,W226&lt;1),W226*100,W226)/100)</f>
        <v/>
      </c>
      <c r="T226" s="5">
        <f>IF(A226="","",V226*U226/100)</f>
        <v/>
      </c>
      <c r="U226" s="5">
        <f>IF(A226="","",R226-S226)</f>
        <v/>
      </c>
      <c r="X226" s="5">
        <f>IF(A226="","",U226-T226)</f>
        <v/>
      </c>
      <c r="AA226">
        <f>IF(A226="","",N(AA225)+IF(MATCH(A226,$A$2:$A$401,0)=ROW()-1,1,0))</f>
        <v/>
      </c>
    </row>
    <row r="227">
      <c r="S227" s="5">
        <f>IF(A227="","",R227*IF(AND(ISNUMBER(W227),W227&gt;0,W227&lt;1),W227*100,W227)/100)</f>
        <v/>
      </c>
      <c r="T227" s="5">
        <f>IF(A227="","",V227*U227/100)</f>
        <v/>
      </c>
      <c r="U227" s="5">
        <f>IF(A227="","",R227-S227)</f>
        <v/>
      </c>
      <c r="X227" s="5">
        <f>IF(A227="","",U227-T227)</f>
        <v/>
      </c>
      <c r="AA227">
        <f>IF(A227="","",N(AA226)+IF(MATCH(A227,$A$2:$A$401,0)=ROW()-1,1,0))</f>
        <v/>
      </c>
    </row>
    <row r="228">
      <c r="S228" s="5">
        <f>IF(A228="","",R228*IF(AND(ISNUMBER(W228),W228&gt;0,W228&lt;1),W228*100,W228)/100)</f>
        <v/>
      </c>
      <c r="T228" s="5">
        <f>IF(A228="","",V228*U228/100)</f>
        <v/>
      </c>
      <c r="U228" s="5">
        <f>IF(A228="","",R228-S228)</f>
        <v/>
      </c>
      <c r="X228" s="5">
        <f>IF(A228="","",U228-T228)</f>
        <v/>
      </c>
      <c r="AA228">
        <f>IF(A228="","",N(AA227)+IF(MATCH(A228,$A$2:$A$401,0)=ROW()-1,1,0))</f>
        <v/>
      </c>
    </row>
    <row r="229">
      <c r="S229" s="5">
        <f>IF(A229="","",R229*IF(AND(ISNUMBER(W229),W229&gt;0,W229&lt;1),W229*100,W229)/100)</f>
        <v/>
      </c>
      <c r="T229" s="5">
        <f>IF(A229="","",V229*U229/100)</f>
        <v/>
      </c>
      <c r="U229" s="5">
        <f>IF(A229="","",R229-S229)</f>
        <v/>
      </c>
      <c r="X229" s="5">
        <f>IF(A229="","",U229-T229)</f>
        <v/>
      </c>
      <c r="AA229">
        <f>IF(A229="","",N(AA228)+IF(MATCH(A229,$A$2:$A$401,0)=ROW()-1,1,0))</f>
        <v/>
      </c>
    </row>
    <row r="230">
      <c r="S230" s="5">
        <f>IF(A230="","",R230*IF(AND(ISNUMBER(W230),W230&gt;0,W230&lt;1),W230*100,W230)/100)</f>
        <v/>
      </c>
      <c r="T230" s="5">
        <f>IF(A230="","",V230*U230/100)</f>
        <v/>
      </c>
      <c r="U230" s="5">
        <f>IF(A230="","",R230-S230)</f>
        <v/>
      </c>
      <c r="X230" s="5">
        <f>IF(A230="","",U230-T230)</f>
        <v/>
      </c>
      <c r="AA230">
        <f>IF(A230="","",N(AA229)+IF(MATCH(A230,$A$2:$A$401,0)=ROW()-1,1,0))</f>
        <v/>
      </c>
    </row>
    <row r="231">
      <c r="S231" s="5">
        <f>IF(A231="","",R231*IF(AND(ISNUMBER(W231),W231&gt;0,W231&lt;1),W231*100,W231)/100)</f>
        <v/>
      </c>
      <c r="T231" s="5">
        <f>IF(A231="","",V231*U231/100)</f>
        <v/>
      </c>
      <c r="U231" s="5">
        <f>IF(A231="","",R231-S231)</f>
        <v/>
      </c>
      <c r="X231" s="5">
        <f>IF(A231="","",U231-T231)</f>
        <v/>
      </c>
      <c r="AA231">
        <f>IF(A231="","",N(AA230)+IF(MATCH(A231,$A$2:$A$401,0)=ROW()-1,1,0))</f>
        <v/>
      </c>
    </row>
    <row r="232">
      <c r="S232" s="5">
        <f>IF(A232="","",R232*IF(AND(ISNUMBER(W232),W232&gt;0,W232&lt;1),W232*100,W232)/100)</f>
        <v/>
      </c>
      <c r="T232" s="5">
        <f>IF(A232="","",V232*U232/100)</f>
        <v/>
      </c>
      <c r="U232" s="5">
        <f>IF(A232="","",R232-S232)</f>
        <v/>
      </c>
      <c r="X232" s="5">
        <f>IF(A232="","",U232-T232)</f>
        <v/>
      </c>
      <c r="AA232">
        <f>IF(A232="","",N(AA231)+IF(MATCH(A232,$A$2:$A$401,0)=ROW()-1,1,0))</f>
        <v/>
      </c>
    </row>
    <row r="233">
      <c r="S233" s="5">
        <f>IF(A233="","",R233*IF(AND(ISNUMBER(W233),W233&gt;0,W233&lt;1),W233*100,W233)/100)</f>
        <v/>
      </c>
      <c r="T233" s="5">
        <f>IF(A233="","",V233*U233/100)</f>
        <v/>
      </c>
      <c r="U233" s="5">
        <f>IF(A233="","",R233-S233)</f>
        <v/>
      </c>
      <c r="X233" s="5">
        <f>IF(A233="","",U233-T233)</f>
        <v/>
      </c>
      <c r="AA233">
        <f>IF(A233="","",N(AA232)+IF(MATCH(A233,$A$2:$A$401,0)=ROW()-1,1,0))</f>
        <v/>
      </c>
    </row>
    <row r="234">
      <c r="S234" s="5">
        <f>IF(A234="","",R234*IF(AND(ISNUMBER(W234),W234&gt;0,W234&lt;1),W234*100,W234)/100)</f>
        <v/>
      </c>
      <c r="T234" s="5">
        <f>IF(A234="","",V234*U234/100)</f>
        <v/>
      </c>
      <c r="U234" s="5">
        <f>IF(A234="","",R234-S234)</f>
        <v/>
      </c>
      <c r="X234" s="5">
        <f>IF(A234="","",U234-T234)</f>
        <v/>
      </c>
      <c r="AA234">
        <f>IF(A234="","",N(AA233)+IF(MATCH(A234,$A$2:$A$401,0)=ROW()-1,1,0))</f>
        <v/>
      </c>
    </row>
    <row r="235">
      <c r="S235" s="5">
        <f>IF(A235="","",R235*IF(AND(ISNUMBER(W235),W235&gt;0,W235&lt;1),W235*100,W235)/100)</f>
        <v/>
      </c>
      <c r="T235" s="5">
        <f>IF(A235="","",V235*U235/100)</f>
        <v/>
      </c>
      <c r="U235" s="5">
        <f>IF(A235="","",R235-S235)</f>
        <v/>
      </c>
      <c r="X235" s="5">
        <f>IF(A235="","",U235-T235)</f>
        <v/>
      </c>
      <c r="AA235">
        <f>IF(A235="","",N(AA234)+IF(MATCH(A235,$A$2:$A$401,0)=ROW()-1,1,0))</f>
        <v/>
      </c>
    </row>
    <row r="236">
      <c r="S236" s="5">
        <f>IF(A236="","",R236*IF(AND(ISNUMBER(W236),W236&gt;0,W236&lt;1),W236*100,W236)/100)</f>
        <v/>
      </c>
      <c r="T236" s="5">
        <f>IF(A236="","",V236*U236/100)</f>
        <v/>
      </c>
      <c r="U236" s="5">
        <f>IF(A236="","",R236-S236)</f>
        <v/>
      </c>
      <c r="X236" s="5">
        <f>IF(A236="","",U236-T236)</f>
        <v/>
      </c>
      <c r="AA236">
        <f>IF(A236="","",N(AA235)+IF(MATCH(A236,$A$2:$A$401,0)=ROW()-1,1,0))</f>
        <v/>
      </c>
    </row>
    <row r="237">
      <c r="S237" s="5">
        <f>IF(A237="","",R237*IF(AND(ISNUMBER(W237),W237&gt;0,W237&lt;1),W237*100,W237)/100)</f>
        <v/>
      </c>
      <c r="T237" s="5">
        <f>IF(A237="","",V237*U237/100)</f>
        <v/>
      </c>
      <c r="U237" s="5">
        <f>IF(A237="","",R237-S237)</f>
        <v/>
      </c>
      <c r="X237" s="5">
        <f>IF(A237="","",U237-T237)</f>
        <v/>
      </c>
      <c r="AA237">
        <f>IF(A237="","",N(AA236)+IF(MATCH(A237,$A$2:$A$401,0)=ROW()-1,1,0))</f>
        <v/>
      </c>
    </row>
    <row r="238">
      <c r="S238" s="5">
        <f>IF(A238="","",R238*IF(AND(ISNUMBER(W238),W238&gt;0,W238&lt;1),W238*100,W238)/100)</f>
        <v/>
      </c>
      <c r="T238" s="5">
        <f>IF(A238="","",V238*U238/100)</f>
        <v/>
      </c>
      <c r="U238" s="5">
        <f>IF(A238="","",R238-S238)</f>
        <v/>
      </c>
      <c r="X238" s="5">
        <f>IF(A238="","",U238-T238)</f>
        <v/>
      </c>
      <c r="AA238">
        <f>IF(A238="","",N(AA237)+IF(MATCH(A238,$A$2:$A$401,0)=ROW()-1,1,0))</f>
        <v/>
      </c>
    </row>
    <row r="239">
      <c r="S239" s="5">
        <f>IF(A239="","",R239*IF(AND(ISNUMBER(W239),W239&gt;0,W239&lt;1),W239*100,W239)/100)</f>
        <v/>
      </c>
      <c r="T239" s="5">
        <f>IF(A239="","",V239*U239/100)</f>
        <v/>
      </c>
      <c r="U239" s="5">
        <f>IF(A239="","",R239-S239)</f>
        <v/>
      </c>
      <c r="X239" s="5">
        <f>IF(A239="","",U239-T239)</f>
        <v/>
      </c>
      <c r="AA239">
        <f>IF(A239="","",N(AA238)+IF(MATCH(A239,$A$2:$A$401,0)=ROW()-1,1,0))</f>
        <v/>
      </c>
    </row>
    <row r="240">
      <c r="S240" s="5">
        <f>IF(A240="","",R240*IF(AND(ISNUMBER(W240),W240&gt;0,W240&lt;1),W240*100,W240)/100)</f>
        <v/>
      </c>
      <c r="T240" s="5">
        <f>IF(A240="","",V240*U240/100)</f>
        <v/>
      </c>
      <c r="U240" s="5">
        <f>IF(A240="","",R240-S240)</f>
        <v/>
      </c>
      <c r="X240" s="5">
        <f>IF(A240="","",U240-T240)</f>
        <v/>
      </c>
      <c r="AA240">
        <f>IF(A240="","",N(AA239)+IF(MATCH(A240,$A$2:$A$401,0)=ROW()-1,1,0))</f>
        <v/>
      </c>
    </row>
    <row r="241">
      <c r="S241" s="5">
        <f>IF(A241="","",R241*IF(AND(ISNUMBER(W241),W241&gt;0,W241&lt;1),W241*100,W241)/100)</f>
        <v/>
      </c>
      <c r="T241" s="5">
        <f>IF(A241="","",V241*U241/100)</f>
        <v/>
      </c>
      <c r="U241" s="5">
        <f>IF(A241="","",R241-S241)</f>
        <v/>
      </c>
      <c r="X241" s="5">
        <f>IF(A241="","",U241-T241)</f>
        <v/>
      </c>
      <c r="AA241">
        <f>IF(A241="","",N(AA240)+IF(MATCH(A241,$A$2:$A$401,0)=ROW()-1,1,0))</f>
        <v/>
      </c>
    </row>
    <row r="242">
      <c r="S242" s="5">
        <f>IF(A242="","",R242*IF(AND(ISNUMBER(W242),W242&gt;0,W242&lt;1),W242*100,W242)/100)</f>
        <v/>
      </c>
      <c r="T242" s="5">
        <f>IF(A242="","",V242*U242/100)</f>
        <v/>
      </c>
      <c r="U242" s="5">
        <f>IF(A242="","",R242-S242)</f>
        <v/>
      </c>
      <c r="X242" s="5">
        <f>IF(A242="","",U242-T242)</f>
        <v/>
      </c>
      <c r="AA242">
        <f>IF(A242="","",N(AA241)+IF(MATCH(A242,$A$2:$A$401,0)=ROW()-1,1,0))</f>
        <v/>
      </c>
    </row>
    <row r="243">
      <c r="S243" s="5">
        <f>IF(A243="","",R243*IF(AND(ISNUMBER(W243),W243&gt;0,W243&lt;1),W243*100,W243)/100)</f>
        <v/>
      </c>
      <c r="T243" s="5">
        <f>IF(A243="","",V243*U243/100)</f>
        <v/>
      </c>
      <c r="U243" s="5">
        <f>IF(A243="","",R243-S243)</f>
        <v/>
      </c>
      <c r="X243" s="5">
        <f>IF(A243="","",U243-T243)</f>
        <v/>
      </c>
      <c r="AA243">
        <f>IF(A243="","",N(AA242)+IF(MATCH(A243,$A$2:$A$401,0)=ROW()-1,1,0))</f>
        <v/>
      </c>
    </row>
    <row r="244">
      <c r="S244" s="5">
        <f>IF(A244="","",R244*IF(AND(ISNUMBER(W244),W244&gt;0,W244&lt;1),W244*100,W244)/100)</f>
        <v/>
      </c>
      <c r="T244" s="5">
        <f>IF(A244="","",V244*U244/100)</f>
        <v/>
      </c>
      <c r="U244" s="5">
        <f>IF(A244="","",R244-S244)</f>
        <v/>
      </c>
      <c r="X244" s="5">
        <f>IF(A244="","",U244-T244)</f>
        <v/>
      </c>
      <c r="AA244">
        <f>IF(A244="","",N(AA243)+IF(MATCH(A244,$A$2:$A$401,0)=ROW()-1,1,0))</f>
        <v/>
      </c>
    </row>
    <row r="245">
      <c r="S245" s="5">
        <f>IF(A245="","",R245*IF(AND(ISNUMBER(W245),W245&gt;0,W245&lt;1),W245*100,W245)/100)</f>
        <v/>
      </c>
      <c r="T245" s="5">
        <f>IF(A245="","",V245*U245/100)</f>
        <v/>
      </c>
      <c r="U245" s="5">
        <f>IF(A245="","",R245-S245)</f>
        <v/>
      </c>
      <c r="X245" s="5">
        <f>IF(A245="","",U245-T245)</f>
        <v/>
      </c>
      <c r="AA245">
        <f>IF(A245="","",N(AA244)+IF(MATCH(A245,$A$2:$A$401,0)=ROW()-1,1,0))</f>
        <v/>
      </c>
    </row>
    <row r="246">
      <c r="S246" s="5">
        <f>IF(A246="","",R246*IF(AND(ISNUMBER(W246),W246&gt;0,W246&lt;1),W246*100,W246)/100)</f>
        <v/>
      </c>
      <c r="T246" s="5">
        <f>IF(A246="","",V246*U246/100)</f>
        <v/>
      </c>
      <c r="U246" s="5">
        <f>IF(A246="","",R246-S246)</f>
        <v/>
      </c>
      <c r="X246" s="5">
        <f>IF(A246="","",U246-T246)</f>
        <v/>
      </c>
      <c r="AA246">
        <f>IF(A246="","",N(AA245)+IF(MATCH(A246,$A$2:$A$401,0)=ROW()-1,1,0))</f>
        <v/>
      </c>
    </row>
    <row r="247">
      <c r="S247" s="5">
        <f>IF(A247="","",R247*IF(AND(ISNUMBER(W247),W247&gt;0,W247&lt;1),W247*100,W247)/100)</f>
        <v/>
      </c>
      <c r="T247" s="5">
        <f>IF(A247="","",V247*U247/100)</f>
        <v/>
      </c>
      <c r="U247" s="5">
        <f>IF(A247="","",R247-S247)</f>
        <v/>
      </c>
      <c r="X247" s="5">
        <f>IF(A247="","",U247-T247)</f>
        <v/>
      </c>
      <c r="AA247">
        <f>IF(A247="","",N(AA246)+IF(MATCH(A247,$A$2:$A$401,0)=ROW()-1,1,0))</f>
        <v/>
      </c>
    </row>
    <row r="248">
      <c r="S248" s="5">
        <f>IF(A248="","",R248*IF(AND(ISNUMBER(W248),W248&gt;0,W248&lt;1),W248*100,W248)/100)</f>
        <v/>
      </c>
      <c r="T248" s="5">
        <f>IF(A248="","",V248*U248/100)</f>
        <v/>
      </c>
      <c r="U248" s="5">
        <f>IF(A248="","",R248-S248)</f>
        <v/>
      </c>
      <c r="X248" s="5">
        <f>IF(A248="","",U248-T248)</f>
        <v/>
      </c>
      <c r="AA248">
        <f>IF(A248="","",N(AA247)+IF(MATCH(A248,$A$2:$A$401,0)=ROW()-1,1,0))</f>
        <v/>
      </c>
    </row>
    <row r="249">
      <c r="S249" s="5">
        <f>IF(A249="","",R249*IF(AND(ISNUMBER(W249),W249&gt;0,W249&lt;1),W249*100,W249)/100)</f>
        <v/>
      </c>
      <c r="T249" s="5">
        <f>IF(A249="","",V249*U249/100)</f>
        <v/>
      </c>
      <c r="U249" s="5">
        <f>IF(A249="","",R249-S249)</f>
        <v/>
      </c>
      <c r="X249" s="5">
        <f>IF(A249="","",U249-T249)</f>
        <v/>
      </c>
      <c r="AA249">
        <f>IF(A249="","",N(AA248)+IF(MATCH(A249,$A$2:$A$401,0)=ROW()-1,1,0))</f>
        <v/>
      </c>
    </row>
    <row r="250">
      <c r="S250" s="5">
        <f>IF(A250="","",R250*IF(AND(ISNUMBER(W250),W250&gt;0,W250&lt;1),W250*100,W250)/100)</f>
        <v/>
      </c>
      <c r="T250" s="5">
        <f>IF(A250="","",V250*U250/100)</f>
        <v/>
      </c>
      <c r="U250" s="5">
        <f>IF(A250="","",R250-S250)</f>
        <v/>
      </c>
      <c r="X250" s="5">
        <f>IF(A250="","",U250-T250)</f>
        <v/>
      </c>
      <c r="AA250">
        <f>IF(A250="","",N(AA249)+IF(MATCH(A250,$A$2:$A$401,0)=ROW()-1,1,0))</f>
        <v/>
      </c>
    </row>
    <row r="251">
      <c r="S251" s="5">
        <f>IF(A251="","",R251*IF(AND(ISNUMBER(W251),W251&gt;0,W251&lt;1),W251*100,W251)/100)</f>
        <v/>
      </c>
      <c r="T251" s="5">
        <f>IF(A251="","",V251*U251/100)</f>
        <v/>
      </c>
      <c r="U251" s="5">
        <f>IF(A251="","",R251-S251)</f>
        <v/>
      </c>
      <c r="X251" s="5">
        <f>IF(A251="","",U251-T251)</f>
        <v/>
      </c>
      <c r="AA251">
        <f>IF(A251="","",N(AA250)+IF(MATCH(A251,$A$2:$A$401,0)=ROW()-1,1,0))</f>
        <v/>
      </c>
    </row>
    <row r="252">
      <c r="S252" s="5">
        <f>IF(A252="","",R252*IF(AND(ISNUMBER(W252),W252&gt;0,W252&lt;1),W252*100,W252)/100)</f>
        <v/>
      </c>
      <c r="T252" s="5">
        <f>IF(A252="","",V252*U252/100)</f>
        <v/>
      </c>
      <c r="U252" s="5">
        <f>IF(A252="","",R252-S252)</f>
        <v/>
      </c>
      <c r="X252" s="5">
        <f>IF(A252="","",U252-T252)</f>
        <v/>
      </c>
      <c r="AA252">
        <f>IF(A252="","",N(AA251)+IF(MATCH(A252,$A$2:$A$401,0)=ROW()-1,1,0))</f>
        <v/>
      </c>
    </row>
    <row r="253">
      <c r="S253" s="5">
        <f>IF(A253="","",R253*IF(AND(ISNUMBER(W253),W253&gt;0,W253&lt;1),W253*100,W253)/100)</f>
        <v/>
      </c>
      <c r="T253" s="5">
        <f>IF(A253="","",V253*U253/100)</f>
        <v/>
      </c>
      <c r="U253" s="5">
        <f>IF(A253="","",R253-S253)</f>
        <v/>
      </c>
      <c r="X253" s="5">
        <f>IF(A253="","",U253-T253)</f>
        <v/>
      </c>
      <c r="AA253">
        <f>IF(A253="","",N(AA252)+IF(MATCH(A253,$A$2:$A$401,0)=ROW()-1,1,0))</f>
        <v/>
      </c>
    </row>
    <row r="254">
      <c r="S254" s="5">
        <f>IF(A254="","",R254*IF(AND(ISNUMBER(W254),W254&gt;0,W254&lt;1),W254*100,W254)/100)</f>
        <v/>
      </c>
      <c r="T254" s="5">
        <f>IF(A254="","",V254*U254/100)</f>
        <v/>
      </c>
      <c r="U254" s="5">
        <f>IF(A254="","",R254-S254)</f>
        <v/>
      </c>
      <c r="X254" s="5">
        <f>IF(A254="","",U254-T254)</f>
        <v/>
      </c>
      <c r="AA254">
        <f>IF(A254="","",N(AA253)+IF(MATCH(A254,$A$2:$A$401,0)=ROW()-1,1,0))</f>
        <v/>
      </c>
    </row>
    <row r="255">
      <c r="S255" s="5">
        <f>IF(A255="","",R255*IF(AND(ISNUMBER(W255),W255&gt;0,W255&lt;1),W255*100,W255)/100)</f>
        <v/>
      </c>
      <c r="T255" s="5">
        <f>IF(A255="","",V255*U255/100)</f>
        <v/>
      </c>
      <c r="U255" s="5">
        <f>IF(A255="","",R255-S255)</f>
        <v/>
      </c>
      <c r="X255" s="5">
        <f>IF(A255="","",U255-T255)</f>
        <v/>
      </c>
      <c r="AA255">
        <f>IF(A255="","",N(AA254)+IF(MATCH(A255,$A$2:$A$401,0)=ROW()-1,1,0))</f>
        <v/>
      </c>
    </row>
    <row r="256">
      <c r="S256" s="5">
        <f>IF(A256="","",R256*IF(AND(ISNUMBER(W256),W256&gt;0,W256&lt;1),W256*100,W256)/100)</f>
        <v/>
      </c>
      <c r="T256" s="5">
        <f>IF(A256="","",V256*U256/100)</f>
        <v/>
      </c>
      <c r="U256" s="5">
        <f>IF(A256="","",R256-S256)</f>
        <v/>
      </c>
      <c r="X256" s="5">
        <f>IF(A256="","",U256-T256)</f>
        <v/>
      </c>
      <c r="AA256">
        <f>IF(A256="","",N(AA255)+IF(MATCH(A256,$A$2:$A$401,0)=ROW()-1,1,0))</f>
        <v/>
      </c>
    </row>
    <row r="257">
      <c r="S257" s="5">
        <f>IF(A257="","",R257*IF(AND(ISNUMBER(W257),W257&gt;0,W257&lt;1),W257*100,W257)/100)</f>
        <v/>
      </c>
      <c r="T257" s="5">
        <f>IF(A257="","",V257*U257/100)</f>
        <v/>
      </c>
      <c r="U257" s="5">
        <f>IF(A257="","",R257-S257)</f>
        <v/>
      </c>
      <c r="X257" s="5">
        <f>IF(A257="","",U257-T257)</f>
        <v/>
      </c>
      <c r="AA257">
        <f>IF(A257="","",N(AA256)+IF(MATCH(A257,$A$2:$A$401,0)=ROW()-1,1,0))</f>
        <v/>
      </c>
    </row>
    <row r="258">
      <c r="S258" s="5">
        <f>IF(A258="","",R258*IF(AND(ISNUMBER(W258),W258&gt;0,W258&lt;1),W258*100,W258)/100)</f>
        <v/>
      </c>
      <c r="T258" s="5">
        <f>IF(A258="","",V258*U258/100)</f>
        <v/>
      </c>
      <c r="U258" s="5">
        <f>IF(A258="","",R258-S258)</f>
        <v/>
      </c>
      <c r="X258" s="5">
        <f>IF(A258="","",U258-T258)</f>
        <v/>
      </c>
      <c r="AA258">
        <f>IF(A258="","",N(AA257)+IF(MATCH(A258,$A$2:$A$401,0)=ROW()-1,1,0))</f>
        <v/>
      </c>
    </row>
    <row r="259">
      <c r="S259" s="5">
        <f>IF(A259="","",R259*IF(AND(ISNUMBER(W259),W259&gt;0,W259&lt;1),W259*100,W259)/100)</f>
        <v/>
      </c>
      <c r="T259" s="5">
        <f>IF(A259="","",V259*U259/100)</f>
        <v/>
      </c>
      <c r="U259" s="5">
        <f>IF(A259="","",R259-S259)</f>
        <v/>
      </c>
      <c r="X259" s="5">
        <f>IF(A259="","",U259-T259)</f>
        <v/>
      </c>
      <c r="AA259">
        <f>IF(A259="","",N(AA258)+IF(MATCH(A259,$A$2:$A$401,0)=ROW()-1,1,0))</f>
        <v/>
      </c>
    </row>
    <row r="260">
      <c r="S260" s="5">
        <f>IF(A260="","",R260*IF(AND(ISNUMBER(W260),W260&gt;0,W260&lt;1),W260*100,W260)/100)</f>
        <v/>
      </c>
      <c r="T260" s="5">
        <f>IF(A260="","",V260*U260/100)</f>
        <v/>
      </c>
      <c r="U260" s="5">
        <f>IF(A260="","",R260-S260)</f>
        <v/>
      </c>
      <c r="X260" s="5">
        <f>IF(A260="","",U260-T260)</f>
        <v/>
      </c>
      <c r="AA260">
        <f>IF(A260="","",N(AA259)+IF(MATCH(A260,$A$2:$A$401,0)=ROW()-1,1,0))</f>
        <v/>
      </c>
    </row>
    <row r="261">
      <c r="S261" s="5">
        <f>IF(A261="","",R261*IF(AND(ISNUMBER(W261),W261&gt;0,W261&lt;1),W261*100,W261)/100)</f>
        <v/>
      </c>
      <c r="T261" s="5">
        <f>IF(A261="","",V261*U261/100)</f>
        <v/>
      </c>
      <c r="U261" s="5">
        <f>IF(A261="","",R261-S261)</f>
        <v/>
      </c>
      <c r="X261" s="5">
        <f>IF(A261="","",U261-T261)</f>
        <v/>
      </c>
      <c r="AA261">
        <f>IF(A261="","",N(AA260)+IF(MATCH(A261,$A$2:$A$401,0)=ROW()-1,1,0))</f>
        <v/>
      </c>
    </row>
    <row r="262">
      <c r="S262" s="5">
        <f>IF(A262="","",R262*IF(AND(ISNUMBER(W262),W262&gt;0,W262&lt;1),W262*100,W262)/100)</f>
        <v/>
      </c>
      <c r="T262" s="5">
        <f>IF(A262="","",V262*U262/100)</f>
        <v/>
      </c>
      <c r="U262" s="5">
        <f>IF(A262="","",R262-S262)</f>
        <v/>
      </c>
      <c r="X262" s="5">
        <f>IF(A262="","",U262-T262)</f>
        <v/>
      </c>
      <c r="AA262">
        <f>IF(A262="","",N(AA261)+IF(MATCH(A262,$A$2:$A$401,0)=ROW()-1,1,0))</f>
        <v/>
      </c>
    </row>
    <row r="263">
      <c r="S263" s="5">
        <f>IF(A263="","",R263*IF(AND(ISNUMBER(W263),W263&gt;0,W263&lt;1),W263*100,W263)/100)</f>
        <v/>
      </c>
      <c r="T263" s="5">
        <f>IF(A263="","",V263*U263/100)</f>
        <v/>
      </c>
      <c r="U263" s="5">
        <f>IF(A263="","",R263-S263)</f>
        <v/>
      </c>
      <c r="X263" s="5">
        <f>IF(A263="","",U263-T263)</f>
        <v/>
      </c>
      <c r="AA263">
        <f>IF(A263="","",N(AA262)+IF(MATCH(A263,$A$2:$A$401,0)=ROW()-1,1,0))</f>
        <v/>
      </c>
    </row>
    <row r="264">
      <c r="S264" s="5">
        <f>IF(A264="","",R264*IF(AND(ISNUMBER(W264),W264&gt;0,W264&lt;1),W264*100,W264)/100)</f>
        <v/>
      </c>
      <c r="T264" s="5">
        <f>IF(A264="","",V264*U264/100)</f>
        <v/>
      </c>
      <c r="U264" s="5">
        <f>IF(A264="","",R264-S264)</f>
        <v/>
      </c>
      <c r="X264" s="5">
        <f>IF(A264="","",U264-T264)</f>
        <v/>
      </c>
      <c r="AA264">
        <f>IF(A264="","",N(AA263)+IF(MATCH(A264,$A$2:$A$401,0)=ROW()-1,1,0))</f>
        <v/>
      </c>
    </row>
    <row r="265">
      <c r="S265" s="5">
        <f>IF(A265="","",R265*IF(AND(ISNUMBER(W265),W265&gt;0,W265&lt;1),W265*100,W265)/100)</f>
        <v/>
      </c>
      <c r="T265" s="5">
        <f>IF(A265="","",V265*U265/100)</f>
        <v/>
      </c>
      <c r="U265" s="5">
        <f>IF(A265="","",R265-S265)</f>
        <v/>
      </c>
      <c r="X265" s="5">
        <f>IF(A265="","",U265-T265)</f>
        <v/>
      </c>
      <c r="AA265">
        <f>IF(A265="","",N(AA264)+IF(MATCH(A265,$A$2:$A$401,0)=ROW()-1,1,0))</f>
        <v/>
      </c>
    </row>
    <row r="266">
      <c r="S266" s="5">
        <f>IF(A266="","",R266*IF(AND(ISNUMBER(W266),W266&gt;0,W266&lt;1),W266*100,W266)/100)</f>
        <v/>
      </c>
      <c r="T266" s="5">
        <f>IF(A266="","",V266*U266/100)</f>
        <v/>
      </c>
      <c r="U266" s="5">
        <f>IF(A266="","",R266-S266)</f>
        <v/>
      </c>
      <c r="X266" s="5">
        <f>IF(A266="","",U266-T266)</f>
        <v/>
      </c>
      <c r="AA266">
        <f>IF(A266="","",N(AA265)+IF(MATCH(A266,$A$2:$A$401,0)=ROW()-1,1,0))</f>
        <v/>
      </c>
    </row>
    <row r="267">
      <c r="S267" s="5">
        <f>IF(A267="","",R267*IF(AND(ISNUMBER(W267),W267&gt;0,W267&lt;1),W267*100,W267)/100)</f>
        <v/>
      </c>
      <c r="T267" s="5">
        <f>IF(A267="","",V267*U267/100)</f>
        <v/>
      </c>
      <c r="U267" s="5">
        <f>IF(A267="","",R267-S267)</f>
        <v/>
      </c>
      <c r="X267" s="5">
        <f>IF(A267="","",U267-T267)</f>
        <v/>
      </c>
      <c r="AA267">
        <f>IF(A267="","",N(AA266)+IF(MATCH(A267,$A$2:$A$401,0)=ROW()-1,1,0))</f>
        <v/>
      </c>
    </row>
    <row r="268">
      <c r="S268" s="5">
        <f>IF(A268="","",R268*IF(AND(ISNUMBER(W268),W268&gt;0,W268&lt;1),W268*100,W268)/100)</f>
        <v/>
      </c>
      <c r="T268" s="5">
        <f>IF(A268="","",V268*U268/100)</f>
        <v/>
      </c>
      <c r="U268" s="5">
        <f>IF(A268="","",R268-S268)</f>
        <v/>
      </c>
      <c r="X268" s="5">
        <f>IF(A268="","",U268-T268)</f>
        <v/>
      </c>
      <c r="AA268">
        <f>IF(A268="","",N(AA267)+IF(MATCH(A268,$A$2:$A$401,0)=ROW()-1,1,0))</f>
        <v/>
      </c>
    </row>
    <row r="269">
      <c r="S269" s="5">
        <f>IF(A269="","",R269*IF(AND(ISNUMBER(W269),W269&gt;0,W269&lt;1),W269*100,W269)/100)</f>
        <v/>
      </c>
      <c r="T269" s="5">
        <f>IF(A269="","",V269*U269/100)</f>
        <v/>
      </c>
      <c r="U269" s="5">
        <f>IF(A269="","",R269-S269)</f>
        <v/>
      </c>
      <c r="X269" s="5">
        <f>IF(A269="","",U269-T269)</f>
        <v/>
      </c>
      <c r="AA269">
        <f>IF(A269="","",N(AA268)+IF(MATCH(A269,$A$2:$A$401,0)=ROW()-1,1,0))</f>
        <v/>
      </c>
    </row>
    <row r="270">
      <c r="S270" s="5">
        <f>IF(A270="","",R270*IF(AND(ISNUMBER(W270),W270&gt;0,W270&lt;1),W270*100,W270)/100)</f>
        <v/>
      </c>
      <c r="T270" s="5">
        <f>IF(A270="","",V270*U270/100)</f>
        <v/>
      </c>
      <c r="U270" s="5">
        <f>IF(A270="","",R270-S270)</f>
        <v/>
      </c>
      <c r="X270" s="5">
        <f>IF(A270="","",U270-T270)</f>
        <v/>
      </c>
      <c r="AA270">
        <f>IF(A270="","",N(AA269)+IF(MATCH(A270,$A$2:$A$401,0)=ROW()-1,1,0))</f>
        <v/>
      </c>
    </row>
    <row r="271">
      <c r="S271" s="5">
        <f>IF(A271="","",R271*IF(AND(ISNUMBER(W271),W271&gt;0,W271&lt;1),W271*100,W271)/100)</f>
        <v/>
      </c>
      <c r="T271" s="5">
        <f>IF(A271="","",V271*U271/100)</f>
        <v/>
      </c>
      <c r="U271" s="5">
        <f>IF(A271="","",R271-S271)</f>
        <v/>
      </c>
      <c r="X271" s="5">
        <f>IF(A271="","",U271-T271)</f>
        <v/>
      </c>
      <c r="AA271">
        <f>IF(A271="","",N(AA270)+IF(MATCH(A271,$A$2:$A$401,0)=ROW()-1,1,0))</f>
        <v/>
      </c>
    </row>
    <row r="272">
      <c r="S272" s="5">
        <f>IF(A272="","",R272*IF(AND(ISNUMBER(W272),W272&gt;0,W272&lt;1),W272*100,W272)/100)</f>
        <v/>
      </c>
      <c r="T272" s="5">
        <f>IF(A272="","",V272*U272/100)</f>
        <v/>
      </c>
      <c r="U272" s="5">
        <f>IF(A272="","",R272-S272)</f>
        <v/>
      </c>
      <c r="X272" s="5">
        <f>IF(A272="","",U272-T272)</f>
        <v/>
      </c>
      <c r="AA272">
        <f>IF(A272="","",N(AA271)+IF(MATCH(A272,$A$2:$A$401,0)=ROW()-1,1,0))</f>
        <v/>
      </c>
    </row>
    <row r="273">
      <c r="S273" s="5">
        <f>IF(A273="","",R273*IF(AND(ISNUMBER(W273),W273&gt;0,W273&lt;1),W273*100,W273)/100)</f>
        <v/>
      </c>
      <c r="T273" s="5">
        <f>IF(A273="","",V273*U273/100)</f>
        <v/>
      </c>
      <c r="U273" s="5">
        <f>IF(A273="","",R273-S273)</f>
        <v/>
      </c>
      <c r="X273" s="5">
        <f>IF(A273="","",U273-T273)</f>
        <v/>
      </c>
      <c r="AA273">
        <f>IF(A273="","",N(AA272)+IF(MATCH(A273,$A$2:$A$401,0)=ROW()-1,1,0))</f>
        <v/>
      </c>
    </row>
    <row r="274">
      <c r="S274" s="5">
        <f>IF(A274="","",R274*IF(AND(ISNUMBER(W274),W274&gt;0,W274&lt;1),W274*100,W274)/100)</f>
        <v/>
      </c>
      <c r="T274" s="5">
        <f>IF(A274="","",V274*U274/100)</f>
        <v/>
      </c>
      <c r="U274" s="5">
        <f>IF(A274="","",R274-S274)</f>
        <v/>
      </c>
      <c r="X274" s="5">
        <f>IF(A274="","",U274-T274)</f>
        <v/>
      </c>
      <c r="AA274">
        <f>IF(A274="","",N(AA273)+IF(MATCH(A274,$A$2:$A$401,0)=ROW()-1,1,0))</f>
        <v/>
      </c>
    </row>
    <row r="275">
      <c r="S275" s="5">
        <f>IF(A275="","",R275*IF(AND(ISNUMBER(W275),W275&gt;0,W275&lt;1),W275*100,W275)/100)</f>
        <v/>
      </c>
      <c r="T275" s="5">
        <f>IF(A275="","",V275*U275/100)</f>
        <v/>
      </c>
      <c r="U275" s="5">
        <f>IF(A275="","",R275-S275)</f>
        <v/>
      </c>
      <c r="X275" s="5">
        <f>IF(A275="","",U275-T275)</f>
        <v/>
      </c>
      <c r="AA275">
        <f>IF(A275="","",N(AA274)+IF(MATCH(A275,$A$2:$A$401,0)=ROW()-1,1,0))</f>
        <v/>
      </c>
    </row>
    <row r="276">
      <c r="S276" s="5">
        <f>IF(A276="","",R276*IF(AND(ISNUMBER(W276),W276&gt;0,W276&lt;1),W276*100,W276)/100)</f>
        <v/>
      </c>
      <c r="T276" s="5">
        <f>IF(A276="","",V276*U276/100)</f>
        <v/>
      </c>
      <c r="U276" s="5">
        <f>IF(A276="","",R276-S276)</f>
        <v/>
      </c>
      <c r="X276" s="5">
        <f>IF(A276="","",U276-T276)</f>
        <v/>
      </c>
      <c r="AA276">
        <f>IF(A276="","",N(AA275)+IF(MATCH(A276,$A$2:$A$401,0)=ROW()-1,1,0))</f>
        <v/>
      </c>
    </row>
    <row r="277">
      <c r="S277" s="5">
        <f>IF(A277="","",R277*IF(AND(ISNUMBER(W277),W277&gt;0,W277&lt;1),W277*100,W277)/100)</f>
        <v/>
      </c>
      <c r="T277" s="5">
        <f>IF(A277="","",V277*U277/100)</f>
        <v/>
      </c>
      <c r="U277" s="5">
        <f>IF(A277="","",R277-S277)</f>
        <v/>
      </c>
      <c r="X277" s="5">
        <f>IF(A277="","",U277-T277)</f>
        <v/>
      </c>
      <c r="AA277">
        <f>IF(A277="","",N(AA276)+IF(MATCH(A277,$A$2:$A$401,0)=ROW()-1,1,0))</f>
        <v/>
      </c>
    </row>
    <row r="278">
      <c r="S278" s="5">
        <f>IF(A278="","",R278*IF(AND(ISNUMBER(W278),W278&gt;0,W278&lt;1),W278*100,W278)/100)</f>
        <v/>
      </c>
      <c r="T278" s="5">
        <f>IF(A278="","",V278*U278/100)</f>
        <v/>
      </c>
      <c r="U278" s="5">
        <f>IF(A278="","",R278-S278)</f>
        <v/>
      </c>
      <c r="X278" s="5">
        <f>IF(A278="","",U278-T278)</f>
        <v/>
      </c>
      <c r="AA278">
        <f>IF(A278="","",N(AA277)+IF(MATCH(A278,$A$2:$A$401,0)=ROW()-1,1,0))</f>
        <v/>
      </c>
    </row>
    <row r="279">
      <c r="S279" s="5">
        <f>IF(A279="","",R279*IF(AND(ISNUMBER(W279),W279&gt;0,W279&lt;1),W279*100,W279)/100)</f>
        <v/>
      </c>
      <c r="T279" s="5">
        <f>IF(A279="","",V279*U279/100)</f>
        <v/>
      </c>
      <c r="U279" s="5">
        <f>IF(A279="","",R279-S279)</f>
        <v/>
      </c>
      <c r="X279" s="5">
        <f>IF(A279="","",U279-T279)</f>
        <v/>
      </c>
      <c r="AA279">
        <f>IF(A279="","",N(AA278)+IF(MATCH(A279,$A$2:$A$401,0)=ROW()-1,1,0))</f>
        <v/>
      </c>
    </row>
    <row r="280">
      <c r="S280" s="5">
        <f>IF(A280="","",R280*IF(AND(ISNUMBER(W280),W280&gt;0,W280&lt;1),W280*100,W280)/100)</f>
        <v/>
      </c>
      <c r="T280" s="5">
        <f>IF(A280="","",V280*U280/100)</f>
        <v/>
      </c>
      <c r="U280" s="5">
        <f>IF(A280="","",R280-S280)</f>
        <v/>
      </c>
      <c r="X280" s="5">
        <f>IF(A280="","",U280-T280)</f>
        <v/>
      </c>
      <c r="AA280">
        <f>IF(A280="","",N(AA279)+IF(MATCH(A280,$A$2:$A$401,0)=ROW()-1,1,0))</f>
        <v/>
      </c>
    </row>
    <row r="281">
      <c r="S281" s="5">
        <f>IF(A281="","",R281*IF(AND(ISNUMBER(W281),W281&gt;0,W281&lt;1),W281*100,W281)/100)</f>
        <v/>
      </c>
      <c r="T281" s="5">
        <f>IF(A281="","",V281*U281/100)</f>
        <v/>
      </c>
      <c r="U281" s="5">
        <f>IF(A281="","",R281-S281)</f>
        <v/>
      </c>
      <c r="X281" s="5">
        <f>IF(A281="","",U281-T281)</f>
        <v/>
      </c>
      <c r="AA281">
        <f>IF(A281="","",N(AA280)+IF(MATCH(A281,$A$2:$A$401,0)=ROW()-1,1,0))</f>
        <v/>
      </c>
    </row>
    <row r="282">
      <c r="S282" s="5">
        <f>IF(A282="","",R282*IF(AND(ISNUMBER(W282),W282&gt;0,W282&lt;1),W282*100,W282)/100)</f>
        <v/>
      </c>
      <c r="T282" s="5">
        <f>IF(A282="","",V282*U282/100)</f>
        <v/>
      </c>
      <c r="U282" s="5">
        <f>IF(A282="","",R282-S282)</f>
        <v/>
      </c>
      <c r="X282" s="5">
        <f>IF(A282="","",U282-T282)</f>
        <v/>
      </c>
      <c r="AA282">
        <f>IF(A282="","",N(AA281)+IF(MATCH(A282,$A$2:$A$401,0)=ROW()-1,1,0))</f>
        <v/>
      </c>
    </row>
    <row r="283">
      <c r="S283" s="5">
        <f>IF(A283="","",R283*IF(AND(ISNUMBER(W283),W283&gt;0,W283&lt;1),W283*100,W283)/100)</f>
        <v/>
      </c>
      <c r="T283" s="5">
        <f>IF(A283="","",V283*U283/100)</f>
        <v/>
      </c>
      <c r="U283" s="5">
        <f>IF(A283="","",R283-S283)</f>
        <v/>
      </c>
      <c r="X283" s="5">
        <f>IF(A283="","",U283-T283)</f>
        <v/>
      </c>
      <c r="AA283">
        <f>IF(A283="","",N(AA282)+IF(MATCH(A283,$A$2:$A$401,0)=ROW()-1,1,0))</f>
        <v/>
      </c>
    </row>
    <row r="284">
      <c r="S284" s="5">
        <f>IF(A284="","",R284*IF(AND(ISNUMBER(W284),W284&gt;0,W284&lt;1),W284*100,W284)/100)</f>
        <v/>
      </c>
      <c r="T284" s="5">
        <f>IF(A284="","",V284*U284/100)</f>
        <v/>
      </c>
      <c r="U284" s="5">
        <f>IF(A284="","",R284-S284)</f>
        <v/>
      </c>
      <c r="X284" s="5">
        <f>IF(A284="","",U284-T284)</f>
        <v/>
      </c>
      <c r="AA284">
        <f>IF(A284="","",N(AA283)+IF(MATCH(A284,$A$2:$A$401,0)=ROW()-1,1,0))</f>
        <v/>
      </c>
    </row>
    <row r="285">
      <c r="S285" s="5">
        <f>IF(A285="","",R285*IF(AND(ISNUMBER(W285),W285&gt;0,W285&lt;1),W285*100,W285)/100)</f>
        <v/>
      </c>
      <c r="T285" s="5">
        <f>IF(A285="","",V285*U285/100)</f>
        <v/>
      </c>
      <c r="U285" s="5">
        <f>IF(A285="","",R285-S285)</f>
        <v/>
      </c>
      <c r="X285" s="5">
        <f>IF(A285="","",U285-T285)</f>
        <v/>
      </c>
      <c r="AA285">
        <f>IF(A285="","",N(AA284)+IF(MATCH(A285,$A$2:$A$401,0)=ROW()-1,1,0))</f>
        <v/>
      </c>
    </row>
    <row r="286">
      <c r="S286" s="5">
        <f>IF(A286="","",R286*IF(AND(ISNUMBER(W286),W286&gt;0,W286&lt;1),W286*100,W286)/100)</f>
        <v/>
      </c>
      <c r="T286" s="5">
        <f>IF(A286="","",V286*U286/100)</f>
        <v/>
      </c>
      <c r="U286" s="5">
        <f>IF(A286="","",R286-S286)</f>
        <v/>
      </c>
      <c r="X286" s="5">
        <f>IF(A286="","",U286-T286)</f>
        <v/>
      </c>
      <c r="AA286">
        <f>IF(A286="","",N(AA285)+IF(MATCH(A286,$A$2:$A$401,0)=ROW()-1,1,0))</f>
        <v/>
      </c>
    </row>
    <row r="287">
      <c r="S287" s="5">
        <f>IF(A287="","",R287*IF(AND(ISNUMBER(W287),W287&gt;0,W287&lt;1),W287*100,W287)/100)</f>
        <v/>
      </c>
      <c r="T287" s="5">
        <f>IF(A287="","",V287*U287/100)</f>
        <v/>
      </c>
      <c r="U287" s="5">
        <f>IF(A287="","",R287-S287)</f>
        <v/>
      </c>
      <c r="X287" s="5">
        <f>IF(A287="","",U287-T287)</f>
        <v/>
      </c>
      <c r="AA287">
        <f>IF(A287="","",N(AA286)+IF(MATCH(A287,$A$2:$A$401,0)=ROW()-1,1,0))</f>
        <v/>
      </c>
    </row>
    <row r="288">
      <c r="S288" s="5">
        <f>IF(A288="","",R288*IF(AND(ISNUMBER(W288),W288&gt;0,W288&lt;1),W288*100,W288)/100)</f>
        <v/>
      </c>
      <c r="T288" s="5">
        <f>IF(A288="","",V288*U288/100)</f>
        <v/>
      </c>
      <c r="U288" s="5">
        <f>IF(A288="","",R288-S288)</f>
        <v/>
      </c>
      <c r="X288" s="5">
        <f>IF(A288="","",U288-T288)</f>
        <v/>
      </c>
      <c r="AA288">
        <f>IF(A288="","",N(AA287)+IF(MATCH(A288,$A$2:$A$401,0)=ROW()-1,1,0))</f>
        <v/>
      </c>
    </row>
    <row r="289">
      <c r="S289" s="5">
        <f>IF(A289="","",R289*IF(AND(ISNUMBER(W289),W289&gt;0,W289&lt;1),W289*100,W289)/100)</f>
        <v/>
      </c>
      <c r="T289" s="5">
        <f>IF(A289="","",V289*U289/100)</f>
        <v/>
      </c>
      <c r="U289" s="5">
        <f>IF(A289="","",R289-S289)</f>
        <v/>
      </c>
      <c r="X289" s="5">
        <f>IF(A289="","",U289-T289)</f>
        <v/>
      </c>
      <c r="AA289">
        <f>IF(A289="","",N(AA288)+IF(MATCH(A289,$A$2:$A$401,0)=ROW()-1,1,0))</f>
        <v/>
      </c>
    </row>
    <row r="290">
      <c r="S290" s="5">
        <f>IF(A290="","",R290*IF(AND(ISNUMBER(W290),W290&gt;0,W290&lt;1),W290*100,W290)/100)</f>
        <v/>
      </c>
      <c r="T290" s="5">
        <f>IF(A290="","",V290*U290/100)</f>
        <v/>
      </c>
      <c r="U290" s="5">
        <f>IF(A290="","",R290-S290)</f>
        <v/>
      </c>
      <c r="X290" s="5">
        <f>IF(A290="","",U290-T290)</f>
        <v/>
      </c>
      <c r="AA290">
        <f>IF(A290="","",N(AA289)+IF(MATCH(A290,$A$2:$A$401,0)=ROW()-1,1,0))</f>
        <v/>
      </c>
    </row>
    <row r="291">
      <c r="S291" s="5">
        <f>IF(A291="","",R291*IF(AND(ISNUMBER(W291),W291&gt;0,W291&lt;1),W291*100,W291)/100)</f>
        <v/>
      </c>
      <c r="T291" s="5">
        <f>IF(A291="","",V291*U291/100)</f>
        <v/>
      </c>
      <c r="U291" s="5">
        <f>IF(A291="","",R291-S291)</f>
        <v/>
      </c>
      <c r="X291" s="5">
        <f>IF(A291="","",U291-T291)</f>
        <v/>
      </c>
      <c r="AA291">
        <f>IF(A291="","",N(AA290)+IF(MATCH(A291,$A$2:$A$401,0)=ROW()-1,1,0))</f>
        <v/>
      </c>
    </row>
    <row r="292">
      <c r="S292" s="5">
        <f>IF(A292="","",R292*IF(AND(ISNUMBER(W292),W292&gt;0,W292&lt;1),W292*100,W292)/100)</f>
        <v/>
      </c>
      <c r="T292" s="5">
        <f>IF(A292="","",V292*U292/100)</f>
        <v/>
      </c>
      <c r="U292" s="5">
        <f>IF(A292="","",R292-S292)</f>
        <v/>
      </c>
      <c r="X292" s="5">
        <f>IF(A292="","",U292-T292)</f>
        <v/>
      </c>
      <c r="AA292">
        <f>IF(A292="","",N(AA291)+IF(MATCH(A292,$A$2:$A$401,0)=ROW()-1,1,0))</f>
        <v/>
      </c>
    </row>
    <row r="293">
      <c r="S293" s="5">
        <f>IF(A293="","",R293*IF(AND(ISNUMBER(W293),W293&gt;0,W293&lt;1),W293*100,W293)/100)</f>
        <v/>
      </c>
      <c r="T293" s="5">
        <f>IF(A293="","",V293*U293/100)</f>
        <v/>
      </c>
      <c r="U293" s="5">
        <f>IF(A293="","",R293-S293)</f>
        <v/>
      </c>
      <c r="X293" s="5">
        <f>IF(A293="","",U293-T293)</f>
        <v/>
      </c>
      <c r="AA293">
        <f>IF(A293="","",N(AA292)+IF(MATCH(A293,$A$2:$A$401,0)=ROW()-1,1,0))</f>
        <v/>
      </c>
    </row>
    <row r="294">
      <c r="S294" s="5">
        <f>IF(A294="","",R294*IF(AND(ISNUMBER(W294),W294&gt;0,W294&lt;1),W294*100,W294)/100)</f>
        <v/>
      </c>
      <c r="T294" s="5">
        <f>IF(A294="","",V294*U294/100)</f>
        <v/>
      </c>
      <c r="U294" s="5">
        <f>IF(A294="","",R294-S294)</f>
        <v/>
      </c>
      <c r="X294" s="5">
        <f>IF(A294="","",U294-T294)</f>
        <v/>
      </c>
      <c r="AA294">
        <f>IF(A294="","",N(AA293)+IF(MATCH(A294,$A$2:$A$401,0)=ROW()-1,1,0))</f>
        <v/>
      </c>
    </row>
    <row r="295">
      <c r="S295" s="5">
        <f>IF(A295="","",R295*IF(AND(ISNUMBER(W295),W295&gt;0,W295&lt;1),W295*100,W295)/100)</f>
        <v/>
      </c>
      <c r="T295" s="5">
        <f>IF(A295="","",V295*U295/100)</f>
        <v/>
      </c>
      <c r="U295" s="5">
        <f>IF(A295="","",R295-S295)</f>
        <v/>
      </c>
      <c r="X295" s="5">
        <f>IF(A295="","",U295-T295)</f>
        <v/>
      </c>
      <c r="AA295">
        <f>IF(A295="","",N(AA294)+IF(MATCH(A295,$A$2:$A$401,0)=ROW()-1,1,0))</f>
        <v/>
      </c>
    </row>
    <row r="296">
      <c r="S296" s="5">
        <f>IF(A296="","",R296*IF(AND(ISNUMBER(W296),W296&gt;0,W296&lt;1),W296*100,W296)/100)</f>
        <v/>
      </c>
      <c r="T296" s="5">
        <f>IF(A296="","",V296*U296/100)</f>
        <v/>
      </c>
      <c r="U296" s="5">
        <f>IF(A296="","",R296-S296)</f>
        <v/>
      </c>
      <c r="X296" s="5">
        <f>IF(A296="","",U296-T296)</f>
        <v/>
      </c>
      <c r="AA296">
        <f>IF(A296="","",N(AA295)+IF(MATCH(A296,$A$2:$A$401,0)=ROW()-1,1,0))</f>
        <v/>
      </c>
    </row>
    <row r="297">
      <c r="S297" s="5">
        <f>IF(A297="","",R297*IF(AND(ISNUMBER(W297),W297&gt;0,W297&lt;1),W297*100,W297)/100)</f>
        <v/>
      </c>
      <c r="T297" s="5">
        <f>IF(A297="","",V297*U297/100)</f>
        <v/>
      </c>
      <c r="U297" s="5">
        <f>IF(A297="","",R297-S297)</f>
        <v/>
      </c>
      <c r="X297" s="5">
        <f>IF(A297="","",U297-T297)</f>
        <v/>
      </c>
      <c r="AA297">
        <f>IF(A297="","",N(AA296)+IF(MATCH(A297,$A$2:$A$401,0)=ROW()-1,1,0))</f>
        <v/>
      </c>
    </row>
    <row r="298">
      <c r="S298" s="5">
        <f>IF(A298="","",R298*IF(AND(ISNUMBER(W298),W298&gt;0,W298&lt;1),W298*100,W298)/100)</f>
        <v/>
      </c>
      <c r="T298" s="5">
        <f>IF(A298="","",V298*U298/100)</f>
        <v/>
      </c>
      <c r="U298" s="5">
        <f>IF(A298="","",R298-S298)</f>
        <v/>
      </c>
      <c r="X298" s="5">
        <f>IF(A298="","",U298-T298)</f>
        <v/>
      </c>
      <c r="AA298">
        <f>IF(A298="","",N(AA297)+IF(MATCH(A298,$A$2:$A$401,0)=ROW()-1,1,0))</f>
        <v/>
      </c>
    </row>
    <row r="299">
      <c r="S299" s="5">
        <f>IF(A299="","",R299*IF(AND(ISNUMBER(W299),W299&gt;0,W299&lt;1),W299*100,W299)/100)</f>
        <v/>
      </c>
      <c r="T299" s="5">
        <f>IF(A299="","",V299*U299/100)</f>
        <v/>
      </c>
      <c r="U299" s="5">
        <f>IF(A299="","",R299-S299)</f>
        <v/>
      </c>
      <c r="X299" s="5">
        <f>IF(A299="","",U299-T299)</f>
        <v/>
      </c>
      <c r="AA299">
        <f>IF(A299="","",N(AA298)+IF(MATCH(A299,$A$2:$A$401,0)=ROW()-1,1,0))</f>
        <v/>
      </c>
    </row>
    <row r="300">
      <c r="S300" s="5">
        <f>IF(A300="","",R300*IF(AND(ISNUMBER(W300),W300&gt;0,W300&lt;1),W300*100,W300)/100)</f>
        <v/>
      </c>
      <c r="T300" s="5">
        <f>IF(A300="","",V300*U300/100)</f>
        <v/>
      </c>
      <c r="U300" s="5">
        <f>IF(A300="","",R300-S300)</f>
        <v/>
      </c>
      <c r="X300" s="5">
        <f>IF(A300="","",U300-T300)</f>
        <v/>
      </c>
      <c r="AA300">
        <f>IF(A300="","",N(AA299)+IF(MATCH(A300,$A$2:$A$401,0)=ROW()-1,1,0))</f>
        <v/>
      </c>
    </row>
    <row r="301">
      <c r="S301" s="5">
        <f>IF(A301="","",R301*IF(AND(ISNUMBER(W301),W301&gt;0,W301&lt;1),W301*100,W301)/100)</f>
        <v/>
      </c>
      <c r="T301" s="5">
        <f>IF(A301="","",V301*U301/100)</f>
        <v/>
      </c>
      <c r="U301" s="5">
        <f>IF(A301="","",R301-S301)</f>
        <v/>
      </c>
      <c r="X301" s="5">
        <f>IF(A301="","",U301-T301)</f>
        <v/>
      </c>
      <c r="AA301">
        <f>IF(A301="","",N(AA300)+IF(MATCH(A301,$A$2:$A$401,0)=ROW()-1,1,0))</f>
        <v/>
      </c>
    </row>
    <row r="302">
      <c r="S302" s="5">
        <f>IF(A302="","",R302*IF(AND(ISNUMBER(W302),W302&gt;0,W302&lt;1),W302*100,W302)/100)</f>
        <v/>
      </c>
      <c r="T302" s="5">
        <f>IF(A302="","",V302*U302/100)</f>
        <v/>
      </c>
      <c r="U302" s="5">
        <f>IF(A302="","",R302-S302)</f>
        <v/>
      </c>
      <c r="X302" s="5">
        <f>IF(A302="","",U302-T302)</f>
        <v/>
      </c>
      <c r="AA302">
        <f>IF(A302="","",N(AA301)+IF(MATCH(A302,$A$2:$A$401,0)=ROW()-1,1,0))</f>
        <v/>
      </c>
    </row>
    <row r="303">
      <c r="S303" s="5">
        <f>IF(A303="","",R303*IF(AND(ISNUMBER(W303),W303&gt;0,W303&lt;1),W303*100,W303)/100)</f>
        <v/>
      </c>
      <c r="T303" s="5">
        <f>IF(A303="","",V303*U303/100)</f>
        <v/>
      </c>
      <c r="U303" s="5">
        <f>IF(A303="","",R303-S303)</f>
        <v/>
      </c>
      <c r="X303" s="5">
        <f>IF(A303="","",U303-T303)</f>
        <v/>
      </c>
      <c r="AA303">
        <f>IF(A303="","",N(AA302)+IF(MATCH(A303,$A$2:$A$401,0)=ROW()-1,1,0))</f>
        <v/>
      </c>
    </row>
    <row r="304">
      <c r="S304" s="5">
        <f>IF(A304="","",R304*IF(AND(ISNUMBER(W304),W304&gt;0,W304&lt;1),W304*100,W304)/100)</f>
        <v/>
      </c>
      <c r="T304" s="5">
        <f>IF(A304="","",V304*U304/100)</f>
        <v/>
      </c>
      <c r="U304" s="5">
        <f>IF(A304="","",R304-S304)</f>
        <v/>
      </c>
      <c r="X304" s="5">
        <f>IF(A304="","",U304-T304)</f>
        <v/>
      </c>
      <c r="AA304">
        <f>IF(A304="","",N(AA303)+IF(MATCH(A304,$A$2:$A$401,0)=ROW()-1,1,0))</f>
        <v/>
      </c>
    </row>
    <row r="305">
      <c r="S305" s="5">
        <f>IF(A305="","",R305*IF(AND(ISNUMBER(W305),W305&gt;0,W305&lt;1),W305*100,W305)/100)</f>
        <v/>
      </c>
      <c r="T305" s="5">
        <f>IF(A305="","",V305*U305/100)</f>
        <v/>
      </c>
      <c r="U305" s="5">
        <f>IF(A305="","",R305-S305)</f>
        <v/>
      </c>
      <c r="X305" s="5">
        <f>IF(A305="","",U305-T305)</f>
        <v/>
      </c>
      <c r="AA305">
        <f>IF(A305="","",N(AA304)+IF(MATCH(A305,$A$2:$A$401,0)=ROW()-1,1,0))</f>
        <v/>
      </c>
    </row>
    <row r="306">
      <c r="S306" s="5">
        <f>IF(A306="","",R306*IF(AND(ISNUMBER(W306),W306&gt;0,W306&lt;1),W306*100,W306)/100)</f>
        <v/>
      </c>
      <c r="T306" s="5">
        <f>IF(A306="","",V306*U306/100)</f>
        <v/>
      </c>
      <c r="U306" s="5">
        <f>IF(A306="","",R306-S306)</f>
        <v/>
      </c>
      <c r="X306" s="5">
        <f>IF(A306="","",U306-T306)</f>
        <v/>
      </c>
      <c r="AA306">
        <f>IF(A306="","",N(AA305)+IF(MATCH(A306,$A$2:$A$401,0)=ROW()-1,1,0))</f>
        <v/>
      </c>
    </row>
    <row r="307">
      <c r="S307" s="5">
        <f>IF(A307="","",R307*IF(AND(ISNUMBER(W307),W307&gt;0,W307&lt;1),W307*100,W307)/100)</f>
        <v/>
      </c>
      <c r="T307" s="5">
        <f>IF(A307="","",V307*U307/100)</f>
        <v/>
      </c>
      <c r="U307" s="5">
        <f>IF(A307="","",R307-S307)</f>
        <v/>
      </c>
      <c r="X307" s="5">
        <f>IF(A307="","",U307-T307)</f>
        <v/>
      </c>
      <c r="AA307">
        <f>IF(A307="","",N(AA306)+IF(MATCH(A307,$A$2:$A$401,0)=ROW()-1,1,0))</f>
        <v/>
      </c>
    </row>
    <row r="308">
      <c r="S308" s="5">
        <f>IF(A308="","",R308*IF(AND(ISNUMBER(W308),W308&gt;0,W308&lt;1),W308*100,W308)/100)</f>
        <v/>
      </c>
      <c r="T308" s="5">
        <f>IF(A308="","",V308*U308/100)</f>
        <v/>
      </c>
      <c r="U308" s="5">
        <f>IF(A308="","",R308-S308)</f>
        <v/>
      </c>
      <c r="X308" s="5">
        <f>IF(A308="","",U308-T308)</f>
        <v/>
      </c>
      <c r="AA308">
        <f>IF(A308="","",N(AA307)+IF(MATCH(A308,$A$2:$A$401,0)=ROW()-1,1,0))</f>
        <v/>
      </c>
    </row>
    <row r="309">
      <c r="S309" s="5">
        <f>IF(A309="","",R309*IF(AND(ISNUMBER(W309),W309&gt;0,W309&lt;1),W309*100,W309)/100)</f>
        <v/>
      </c>
      <c r="T309" s="5">
        <f>IF(A309="","",V309*U309/100)</f>
        <v/>
      </c>
      <c r="U309" s="5">
        <f>IF(A309="","",R309-S309)</f>
        <v/>
      </c>
      <c r="X309" s="5">
        <f>IF(A309="","",U309-T309)</f>
        <v/>
      </c>
      <c r="AA309">
        <f>IF(A309="","",N(AA308)+IF(MATCH(A309,$A$2:$A$401,0)=ROW()-1,1,0))</f>
        <v/>
      </c>
    </row>
    <row r="310">
      <c r="S310" s="5">
        <f>IF(A310="","",R310*IF(AND(ISNUMBER(W310),W310&gt;0,W310&lt;1),W310*100,W310)/100)</f>
        <v/>
      </c>
      <c r="T310" s="5">
        <f>IF(A310="","",V310*U310/100)</f>
        <v/>
      </c>
      <c r="U310" s="5">
        <f>IF(A310="","",R310-S310)</f>
        <v/>
      </c>
      <c r="X310" s="5">
        <f>IF(A310="","",U310-T310)</f>
        <v/>
      </c>
      <c r="AA310">
        <f>IF(A310="","",N(AA309)+IF(MATCH(A310,$A$2:$A$401,0)=ROW()-1,1,0))</f>
        <v/>
      </c>
    </row>
    <row r="311">
      <c r="S311" s="5">
        <f>IF(A311="","",R311*IF(AND(ISNUMBER(W311),W311&gt;0,W311&lt;1),W311*100,W311)/100)</f>
        <v/>
      </c>
      <c r="T311" s="5">
        <f>IF(A311="","",V311*U311/100)</f>
        <v/>
      </c>
      <c r="U311" s="5">
        <f>IF(A311="","",R311-S311)</f>
        <v/>
      </c>
      <c r="X311" s="5">
        <f>IF(A311="","",U311-T311)</f>
        <v/>
      </c>
      <c r="AA311">
        <f>IF(A311="","",N(AA310)+IF(MATCH(A311,$A$2:$A$401,0)=ROW()-1,1,0))</f>
        <v/>
      </c>
    </row>
    <row r="312">
      <c r="S312" s="5">
        <f>IF(A312="","",R312*IF(AND(ISNUMBER(W312),W312&gt;0,W312&lt;1),W312*100,W312)/100)</f>
        <v/>
      </c>
      <c r="T312" s="5">
        <f>IF(A312="","",V312*U312/100)</f>
        <v/>
      </c>
      <c r="U312" s="5">
        <f>IF(A312="","",R312-S312)</f>
        <v/>
      </c>
      <c r="X312" s="5">
        <f>IF(A312="","",U312-T312)</f>
        <v/>
      </c>
      <c r="AA312">
        <f>IF(A312="","",N(AA311)+IF(MATCH(A312,$A$2:$A$401,0)=ROW()-1,1,0))</f>
        <v/>
      </c>
    </row>
    <row r="313">
      <c r="S313" s="5">
        <f>IF(A313="","",R313*IF(AND(ISNUMBER(W313),W313&gt;0,W313&lt;1),W313*100,W313)/100)</f>
        <v/>
      </c>
      <c r="T313" s="5">
        <f>IF(A313="","",V313*U313/100)</f>
        <v/>
      </c>
      <c r="U313" s="5">
        <f>IF(A313="","",R313-S313)</f>
        <v/>
      </c>
      <c r="X313" s="5">
        <f>IF(A313="","",U313-T313)</f>
        <v/>
      </c>
      <c r="AA313">
        <f>IF(A313="","",N(AA312)+IF(MATCH(A313,$A$2:$A$401,0)=ROW()-1,1,0))</f>
        <v/>
      </c>
    </row>
    <row r="314">
      <c r="S314" s="5">
        <f>IF(A314="","",R314*IF(AND(ISNUMBER(W314),W314&gt;0,W314&lt;1),W314*100,W314)/100)</f>
        <v/>
      </c>
      <c r="T314" s="5">
        <f>IF(A314="","",V314*U314/100)</f>
        <v/>
      </c>
      <c r="U314" s="5">
        <f>IF(A314="","",R314-S314)</f>
        <v/>
      </c>
      <c r="X314" s="5">
        <f>IF(A314="","",U314-T314)</f>
        <v/>
      </c>
      <c r="AA314">
        <f>IF(A314="","",N(AA313)+IF(MATCH(A314,$A$2:$A$401,0)=ROW()-1,1,0))</f>
        <v/>
      </c>
    </row>
    <row r="315">
      <c r="S315" s="5">
        <f>IF(A315="","",R315*IF(AND(ISNUMBER(W315),W315&gt;0,W315&lt;1),W315*100,W315)/100)</f>
        <v/>
      </c>
      <c r="T315" s="5">
        <f>IF(A315="","",V315*U315/100)</f>
        <v/>
      </c>
      <c r="U315" s="5">
        <f>IF(A315="","",R315-S315)</f>
        <v/>
      </c>
      <c r="X315" s="5">
        <f>IF(A315="","",U315-T315)</f>
        <v/>
      </c>
      <c r="AA315">
        <f>IF(A315="","",N(AA314)+IF(MATCH(A315,$A$2:$A$401,0)=ROW()-1,1,0))</f>
        <v/>
      </c>
    </row>
    <row r="316">
      <c r="S316" s="5">
        <f>IF(A316="","",R316*IF(AND(ISNUMBER(W316),W316&gt;0,W316&lt;1),W316*100,W316)/100)</f>
        <v/>
      </c>
      <c r="T316" s="5">
        <f>IF(A316="","",V316*U316/100)</f>
        <v/>
      </c>
      <c r="U316" s="5">
        <f>IF(A316="","",R316-S316)</f>
        <v/>
      </c>
      <c r="X316" s="5">
        <f>IF(A316="","",U316-T316)</f>
        <v/>
      </c>
      <c r="AA316">
        <f>IF(A316="","",N(AA315)+IF(MATCH(A316,$A$2:$A$401,0)=ROW()-1,1,0))</f>
        <v/>
      </c>
    </row>
    <row r="317">
      <c r="S317" s="5">
        <f>IF(A317="","",R317*IF(AND(ISNUMBER(W317),W317&gt;0,W317&lt;1),W317*100,W317)/100)</f>
        <v/>
      </c>
      <c r="T317" s="5">
        <f>IF(A317="","",V317*U317/100)</f>
        <v/>
      </c>
      <c r="U317" s="5">
        <f>IF(A317="","",R317-S317)</f>
        <v/>
      </c>
      <c r="X317" s="5">
        <f>IF(A317="","",U317-T317)</f>
        <v/>
      </c>
      <c r="AA317">
        <f>IF(A317="","",N(AA316)+IF(MATCH(A317,$A$2:$A$401,0)=ROW()-1,1,0))</f>
        <v/>
      </c>
    </row>
    <row r="318">
      <c r="S318" s="5">
        <f>IF(A318="","",R318*IF(AND(ISNUMBER(W318),W318&gt;0,W318&lt;1),W318*100,W318)/100)</f>
        <v/>
      </c>
      <c r="T318" s="5">
        <f>IF(A318="","",V318*U318/100)</f>
        <v/>
      </c>
      <c r="U318" s="5">
        <f>IF(A318="","",R318-S318)</f>
        <v/>
      </c>
      <c r="X318" s="5">
        <f>IF(A318="","",U318-T318)</f>
        <v/>
      </c>
      <c r="AA318">
        <f>IF(A318="","",N(AA317)+IF(MATCH(A318,$A$2:$A$401,0)=ROW()-1,1,0))</f>
        <v/>
      </c>
    </row>
    <row r="319">
      <c r="S319" s="5">
        <f>IF(A319="","",R319*IF(AND(ISNUMBER(W319),W319&gt;0,W319&lt;1),W319*100,W319)/100)</f>
        <v/>
      </c>
      <c r="T319" s="5">
        <f>IF(A319="","",V319*U319/100)</f>
        <v/>
      </c>
      <c r="U319" s="5">
        <f>IF(A319="","",R319-S319)</f>
        <v/>
      </c>
      <c r="X319" s="5">
        <f>IF(A319="","",U319-T319)</f>
        <v/>
      </c>
      <c r="AA319">
        <f>IF(A319="","",N(AA318)+IF(MATCH(A319,$A$2:$A$401,0)=ROW()-1,1,0))</f>
        <v/>
      </c>
    </row>
    <row r="320">
      <c r="S320" s="5">
        <f>IF(A320="","",R320*IF(AND(ISNUMBER(W320),W320&gt;0,W320&lt;1),W320*100,W320)/100)</f>
        <v/>
      </c>
      <c r="T320" s="5">
        <f>IF(A320="","",V320*U320/100)</f>
        <v/>
      </c>
      <c r="U320" s="5">
        <f>IF(A320="","",R320-S320)</f>
        <v/>
      </c>
      <c r="X320" s="5">
        <f>IF(A320="","",U320-T320)</f>
        <v/>
      </c>
      <c r="AA320">
        <f>IF(A320="","",N(AA319)+IF(MATCH(A320,$A$2:$A$401,0)=ROW()-1,1,0))</f>
        <v/>
      </c>
    </row>
    <row r="321">
      <c r="S321" s="5">
        <f>IF(A321="","",R321*IF(AND(ISNUMBER(W321),W321&gt;0,W321&lt;1),W321*100,W321)/100)</f>
        <v/>
      </c>
      <c r="T321" s="5">
        <f>IF(A321="","",V321*U321/100)</f>
        <v/>
      </c>
      <c r="U321" s="5">
        <f>IF(A321="","",R321-S321)</f>
        <v/>
      </c>
      <c r="X321" s="5">
        <f>IF(A321="","",U321-T321)</f>
        <v/>
      </c>
      <c r="AA321">
        <f>IF(A321="","",N(AA320)+IF(MATCH(A321,$A$2:$A$401,0)=ROW()-1,1,0))</f>
        <v/>
      </c>
    </row>
    <row r="322">
      <c r="S322" s="5">
        <f>IF(A322="","",R322*IF(AND(ISNUMBER(W322),W322&gt;0,W322&lt;1),W322*100,W322)/100)</f>
        <v/>
      </c>
      <c r="T322" s="5">
        <f>IF(A322="","",V322*U322/100)</f>
        <v/>
      </c>
      <c r="U322" s="5">
        <f>IF(A322="","",R322-S322)</f>
        <v/>
      </c>
      <c r="X322" s="5">
        <f>IF(A322="","",U322-T322)</f>
        <v/>
      </c>
      <c r="AA322">
        <f>IF(A322="","",N(AA321)+IF(MATCH(A322,$A$2:$A$401,0)=ROW()-1,1,0))</f>
        <v/>
      </c>
    </row>
    <row r="323">
      <c r="S323" s="5">
        <f>IF(A323="","",R323*IF(AND(ISNUMBER(W323),W323&gt;0,W323&lt;1),W323*100,W323)/100)</f>
        <v/>
      </c>
      <c r="T323" s="5">
        <f>IF(A323="","",V323*U323/100)</f>
        <v/>
      </c>
      <c r="U323" s="5">
        <f>IF(A323="","",R323-S323)</f>
        <v/>
      </c>
      <c r="X323" s="5">
        <f>IF(A323="","",U323-T323)</f>
        <v/>
      </c>
      <c r="AA323">
        <f>IF(A323="","",N(AA322)+IF(MATCH(A323,$A$2:$A$401,0)=ROW()-1,1,0))</f>
        <v/>
      </c>
    </row>
    <row r="324">
      <c r="S324" s="5">
        <f>IF(A324="","",R324*IF(AND(ISNUMBER(W324),W324&gt;0,W324&lt;1),W324*100,W324)/100)</f>
        <v/>
      </c>
      <c r="T324" s="5">
        <f>IF(A324="","",V324*U324/100)</f>
        <v/>
      </c>
      <c r="U324" s="5">
        <f>IF(A324="","",R324-S324)</f>
        <v/>
      </c>
      <c r="X324" s="5">
        <f>IF(A324="","",U324-T324)</f>
        <v/>
      </c>
      <c r="AA324">
        <f>IF(A324="","",N(AA323)+IF(MATCH(A324,$A$2:$A$401,0)=ROW()-1,1,0))</f>
        <v/>
      </c>
    </row>
    <row r="325">
      <c r="S325" s="5">
        <f>IF(A325="","",R325*IF(AND(ISNUMBER(W325),W325&gt;0,W325&lt;1),W325*100,W325)/100)</f>
        <v/>
      </c>
      <c r="T325" s="5">
        <f>IF(A325="","",V325*U325/100)</f>
        <v/>
      </c>
      <c r="U325" s="5">
        <f>IF(A325="","",R325-S325)</f>
        <v/>
      </c>
      <c r="X325" s="5">
        <f>IF(A325="","",U325-T325)</f>
        <v/>
      </c>
      <c r="AA325">
        <f>IF(A325="","",N(AA324)+IF(MATCH(A325,$A$2:$A$401,0)=ROW()-1,1,0))</f>
        <v/>
      </c>
    </row>
    <row r="326">
      <c r="S326" s="5">
        <f>IF(A326="","",R326*IF(AND(ISNUMBER(W326),W326&gt;0,W326&lt;1),W326*100,W326)/100)</f>
        <v/>
      </c>
      <c r="T326" s="5">
        <f>IF(A326="","",V326*U326/100)</f>
        <v/>
      </c>
      <c r="U326" s="5">
        <f>IF(A326="","",R326-S326)</f>
        <v/>
      </c>
      <c r="X326" s="5">
        <f>IF(A326="","",U326-T326)</f>
        <v/>
      </c>
      <c r="AA326">
        <f>IF(A326="","",N(AA325)+IF(MATCH(A326,$A$2:$A$401,0)=ROW()-1,1,0))</f>
        <v/>
      </c>
    </row>
    <row r="327">
      <c r="S327" s="5">
        <f>IF(A327="","",R327*IF(AND(ISNUMBER(W327),W327&gt;0,W327&lt;1),W327*100,W327)/100)</f>
        <v/>
      </c>
      <c r="T327" s="5">
        <f>IF(A327="","",V327*U327/100)</f>
        <v/>
      </c>
      <c r="U327" s="5">
        <f>IF(A327="","",R327-S327)</f>
        <v/>
      </c>
      <c r="X327" s="5">
        <f>IF(A327="","",U327-T327)</f>
        <v/>
      </c>
      <c r="AA327">
        <f>IF(A327="","",N(AA326)+IF(MATCH(A327,$A$2:$A$401,0)=ROW()-1,1,0))</f>
        <v/>
      </c>
    </row>
    <row r="328">
      <c r="S328" s="5">
        <f>IF(A328="","",R328*IF(AND(ISNUMBER(W328),W328&gt;0,W328&lt;1),W328*100,W328)/100)</f>
        <v/>
      </c>
      <c r="T328" s="5">
        <f>IF(A328="","",V328*U328/100)</f>
        <v/>
      </c>
      <c r="U328" s="5">
        <f>IF(A328="","",R328-S328)</f>
        <v/>
      </c>
      <c r="X328" s="5">
        <f>IF(A328="","",U328-T328)</f>
        <v/>
      </c>
      <c r="AA328">
        <f>IF(A328="","",N(AA327)+IF(MATCH(A328,$A$2:$A$401,0)=ROW()-1,1,0))</f>
        <v/>
      </c>
    </row>
    <row r="329">
      <c r="S329" s="5">
        <f>IF(A329="","",R329*IF(AND(ISNUMBER(W329),W329&gt;0,W329&lt;1),W329*100,W329)/100)</f>
        <v/>
      </c>
      <c r="T329" s="5">
        <f>IF(A329="","",V329*U329/100)</f>
        <v/>
      </c>
      <c r="U329" s="5">
        <f>IF(A329="","",R329-S329)</f>
        <v/>
      </c>
      <c r="X329" s="5">
        <f>IF(A329="","",U329-T329)</f>
        <v/>
      </c>
      <c r="AA329">
        <f>IF(A329="","",N(AA328)+IF(MATCH(A329,$A$2:$A$401,0)=ROW()-1,1,0))</f>
        <v/>
      </c>
    </row>
    <row r="330">
      <c r="S330" s="5">
        <f>IF(A330="","",R330*IF(AND(ISNUMBER(W330),W330&gt;0,W330&lt;1),W330*100,W330)/100)</f>
        <v/>
      </c>
      <c r="T330" s="5">
        <f>IF(A330="","",V330*U330/100)</f>
        <v/>
      </c>
      <c r="U330" s="5">
        <f>IF(A330="","",R330-S330)</f>
        <v/>
      </c>
      <c r="X330" s="5">
        <f>IF(A330="","",U330-T330)</f>
        <v/>
      </c>
      <c r="AA330">
        <f>IF(A330="","",N(AA329)+IF(MATCH(A330,$A$2:$A$401,0)=ROW()-1,1,0))</f>
        <v/>
      </c>
    </row>
    <row r="331">
      <c r="S331" s="5">
        <f>IF(A331="","",R331*IF(AND(ISNUMBER(W331),W331&gt;0,W331&lt;1),W331*100,W331)/100)</f>
        <v/>
      </c>
      <c r="T331" s="5">
        <f>IF(A331="","",V331*U331/100)</f>
        <v/>
      </c>
      <c r="U331" s="5">
        <f>IF(A331="","",R331-S331)</f>
        <v/>
      </c>
      <c r="X331" s="5">
        <f>IF(A331="","",U331-T331)</f>
        <v/>
      </c>
      <c r="AA331">
        <f>IF(A331="","",N(AA330)+IF(MATCH(A331,$A$2:$A$401,0)=ROW()-1,1,0))</f>
        <v/>
      </c>
    </row>
    <row r="332">
      <c r="S332" s="5">
        <f>IF(A332="","",R332*IF(AND(ISNUMBER(W332),W332&gt;0,W332&lt;1),W332*100,W332)/100)</f>
        <v/>
      </c>
      <c r="T332" s="5">
        <f>IF(A332="","",V332*U332/100)</f>
        <v/>
      </c>
      <c r="U332" s="5">
        <f>IF(A332="","",R332-S332)</f>
        <v/>
      </c>
      <c r="X332" s="5">
        <f>IF(A332="","",U332-T332)</f>
        <v/>
      </c>
      <c r="AA332">
        <f>IF(A332="","",N(AA331)+IF(MATCH(A332,$A$2:$A$401,0)=ROW()-1,1,0))</f>
        <v/>
      </c>
    </row>
    <row r="333">
      <c r="S333" s="5">
        <f>IF(A333="","",R333*IF(AND(ISNUMBER(W333),W333&gt;0,W333&lt;1),W333*100,W333)/100)</f>
        <v/>
      </c>
      <c r="T333" s="5">
        <f>IF(A333="","",V333*U333/100)</f>
        <v/>
      </c>
      <c r="U333" s="5">
        <f>IF(A333="","",R333-S333)</f>
        <v/>
      </c>
      <c r="X333" s="5">
        <f>IF(A333="","",U333-T333)</f>
        <v/>
      </c>
      <c r="AA333">
        <f>IF(A333="","",N(AA332)+IF(MATCH(A333,$A$2:$A$401,0)=ROW()-1,1,0))</f>
        <v/>
      </c>
    </row>
    <row r="334">
      <c r="S334" s="5">
        <f>IF(A334="","",R334*IF(AND(ISNUMBER(W334),W334&gt;0,W334&lt;1),W334*100,W334)/100)</f>
        <v/>
      </c>
      <c r="T334" s="5">
        <f>IF(A334="","",V334*U334/100)</f>
        <v/>
      </c>
      <c r="U334" s="5">
        <f>IF(A334="","",R334-S334)</f>
        <v/>
      </c>
      <c r="X334" s="5">
        <f>IF(A334="","",U334-T334)</f>
        <v/>
      </c>
      <c r="AA334">
        <f>IF(A334="","",N(AA333)+IF(MATCH(A334,$A$2:$A$401,0)=ROW()-1,1,0))</f>
        <v/>
      </c>
    </row>
    <row r="335">
      <c r="S335" s="5">
        <f>IF(A335="","",R335*IF(AND(ISNUMBER(W335),W335&gt;0,W335&lt;1),W335*100,W335)/100)</f>
        <v/>
      </c>
      <c r="T335" s="5">
        <f>IF(A335="","",V335*U335/100)</f>
        <v/>
      </c>
      <c r="U335" s="5">
        <f>IF(A335="","",R335-S335)</f>
        <v/>
      </c>
      <c r="X335" s="5">
        <f>IF(A335="","",U335-T335)</f>
        <v/>
      </c>
      <c r="AA335">
        <f>IF(A335="","",N(AA334)+IF(MATCH(A335,$A$2:$A$401,0)=ROW()-1,1,0))</f>
        <v/>
      </c>
    </row>
    <row r="336">
      <c r="S336" s="5">
        <f>IF(A336="","",R336*IF(AND(ISNUMBER(W336),W336&gt;0,W336&lt;1),W336*100,W336)/100)</f>
        <v/>
      </c>
      <c r="T336" s="5">
        <f>IF(A336="","",V336*U336/100)</f>
        <v/>
      </c>
      <c r="U336" s="5">
        <f>IF(A336="","",R336-S336)</f>
        <v/>
      </c>
      <c r="X336" s="5">
        <f>IF(A336="","",U336-T336)</f>
        <v/>
      </c>
      <c r="AA336">
        <f>IF(A336="","",N(AA335)+IF(MATCH(A336,$A$2:$A$401,0)=ROW()-1,1,0))</f>
        <v/>
      </c>
    </row>
    <row r="337">
      <c r="S337" s="5">
        <f>IF(A337="","",R337*IF(AND(ISNUMBER(W337),W337&gt;0,W337&lt;1),W337*100,W337)/100)</f>
        <v/>
      </c>
      <c r="T337" s="5">
        <f>IF(A337="","",V337*U337/100)</f>
        <v/>
      </c>
      <c r="U337" s="5">
        <f>IF(A337="","",R337-S337)</f>
        <v/>
      </c>
      <c r="X337" s="5">
        <f>IF(A337="","",U337-T337)</f>
        <v/>
      </c>
      <c r="AA337">
        <f>IF(A337="","",N(AA336)+IF(MATCH(A337,$A$2:$A$401,0)=ROW()-1,1,0))</f>
        <v/>
      </c>
    </row>
    <row r="338">
      <c r="S338" s="5">
        <f>IF(A338="","",R338*IF(AND(ISNUMBER(W338),W338&gt;0,W338&lt;1),W338*100,W338)/100)</f>
        <v/>
      </c>
      <c r="T338" s="5">
        <f>IF(A338="","",V338*U338/100)</f>
        <v/>
      </c>
      <c r="U338" s="5">
        <f>IF(A338="","",R338-S338)</f>
        <v/>
      </c>
      <c r="X338" s="5">
        <f>IF(A338="","",U338-T338)</f>
        <v/>
      </c>
      <c r="AA338">
        <f>IF(A338="","",N(AA337)+IF(MATCH(A338,$A$2:$A$401,0)=ROW()-1,1,0))</f>
        <v/>
      </c>
    </row>
    <row r="339">
      <c r="S339" s="5">
        <f>IF(A339="","",R339*IF(AND(ISNUMBER(W339),W339&gt;0,W339&lt;1),W339*100,W339)/100)</f>
        <v/>
      </c>
      <c r="T339" s="5">
        <f>IF(A339="","",V339*U339/100)</f>
        <v/>
      </c>
      <c r="U339" s="5">
        <f>IF(A339="","",R339-S339)</f>
        <v/>
      </c>
      <c r="X339" s="5">
        <f>IF(A339="","",U339-T339)</f>
        <v/>
      </c>
      <c r="AA339">
        <f>IF(A339="","",N(AA338)+IF(MATCH(A339,$A$2:$A$401,0)=ROW()-1,1,0))</f>
        <v/>
      </c>
    </row>
    <row r="340">
      <c r="S340" s="5">
        <f>IF(A340="","",R340*IF(AND(ISNUMBER(W340),W340&gt;0,W340&lt;1),W340*100,W340)/100)</f>
        <v/>
      </c>
      <c r="T340" s="5">
        <f>IF(A340="","",V340*U340/100)</f>
        <v/>
      </c>
      <c r="U340" s="5">
        <f>IF(A340="","",R340-S340)</f>
        <v/>
      </c>
      <c r="X340" s="5">
        <f>IF(A340="","",U340-T340)</f>
        <v/>
      </c>
      <c r="AA340">
        <f>IF(A340="","",N(AA339)+IF(MATCH(A340,$A$2:$A$401,0)=ROW()-1,1,0))</f>
        <v/>
      </c>
    </row>
    <row r="341">
      <c r="S341" s="5">
        <f>IF(A341="","",R341*IF(AND(ISNUMBER(W341),W341&gt;0,W341&lt;1),W341*100,W341)/100)</f>
        <v/>
      </c>
      <c r="T341" s="5">
        <f>IF(A341="","",V341*U341/100)</f>
        <v/>
      </c>
      <c r="U341" s="5">
        <f>IF(A341="","",R341-S341)</f>
        <v/>
      </c>
      <c r="X341" s="5">
        <f>IF(A341="","",U341-T341)</f>
        <v/>
      </c>
      <c r="AA341">
        <f>IF(A341="","",N(AA340)+IF(MATCH(A341,$A$2:$A$401,0)=ROW()-1,1,0))</f>
        <v/>
      </c>
    </row>
    <row r="342">
      <c r="S342" s="5">
        <f>IF(A342="","",R342*IF(AND(ISNUMBER(W342),W342&gt;0,W342&lt;1),W342*100,W342)/100)</f>
        <v/>
      </c>
      <c r="T342" s="5">
        <f>IF(A342="","",V342*U342/100)</f>
        <v/>
      </c>
      <c r="U342" s="5">
        <f>IF(A342="","",R342-S342)</f>
        <v/>
      </c>
      <c r="X342" s="5">
        <f>IF(A342="","",U342-T342)</f>
        <v/>
      </c>
      <c r="AA342">
        <f>IF(A342="","",N(AA341)+IF(MATCH(A342,$A$2:$A$401,0)=ROW()-1,1,0))</f>
        <v/>
      </c>
    </row>
    <row r="343">
      <c r="S343" s="5">
        <f>IF(A343="","",R343*IF(AND(ISNUMBER(W343),W343&gt;0,W343&lt;1),W343*100,W343)/100)</f>
        <v/>
      </c>
      <c r="T343" s="5">
        <f>IF(A343="","",V343*U343/100)</f>
        <v/>
      </c>
      <c r="U343" s="5">
        <f>IF(A343="","",R343-S343)</f>
        <v/>
      </c>
      <c r="X343" s="5">
        <f>IF(A343="","",U343-T343)</f>
        <v/>
      </c>
      <c r="AA343">
        <f>IF(A343="","",N(AA342)+IF(MATCH(A343,$A$2:$A$401,0)=ROW()-1,1,0))</f>
        <v/>
      </c>
    </row>
    <row r="344">
      <c r="S344" s="5">
        <f>IF(A344="","",R344*IF(AND(ISNUMBER(W344),W344&gt;0,W344&lt;1),W344*100,W344)/100)</f>
        <v/>
      </c>
      <c r="T344" s="5">
        <f>IF(A344="","",V344*U344/100)</f>
        <v/>
      </c>
      <c r="U344" s="5">
        <f>IF(A344="","",R344-S344)</f>
        <v/>
      </c>
      <c r="X344" s="5">
        <f>IF(A344="","",U344-T344)</f>
        <v/>
      </c>
      <c r="AA344">
        <f>IF(A344="","",N(AA343)+IF(MATCH(A344,$A$2:$A$401,0)=ROW()-1,1,0))</f>
        <v/>
      </c>
    </row>
    <row r="345">
      <c r="S345" s="5">
        <f>IF(A345="","",R345*IF(AND(ISNUMBER(W345),W345&gt;0,W345&lt;1),W345*100,W345)/100)</f>
        <v/>
      </c>
      <c r="T345" s="5">
        <f>IF(A345="","",V345*U345/100)</f>
        <v/>
      </c>
      <c r="U345" s="5">
        <f>IF(A345="","",R345-S345)</f>
        <v/>
      </c>
      <c r="X345" s="5">
        <f>IF(A345="","",U345-T345)</f>
        <v/>
      </c>
      <c r="AA345">
        <f>IF(A345="","",N(AA344)+IF(MATCH(A345,$A$2:$A$401,0)=ROW()-1,1,0))</f>
        <v/>
      </c>
    </row>
    <row r="346">
      <c r="S346" s="5">
        <f>IF(A346="","",R346*IF(AND(ISNUMBER(W346),W346&gt;0,W346&lt;1),W346*100,W346)/100)</f>
        <v/>
      </c>
      <c r="T346" s="5">
        <f>IF(A346="","",V346*U346/100)</f>
        <v/>
      </c>
      <c r="U346" s="5">
        <f>IF(A346="","",R346-S346)</f>
        <v/>
      </c>
      <c r="X346" s="5">
        <f>IF(A346="","",U346-T346)</f>
        <v/>
      </c>
      <c r="AA346">
        <f>IF(A346="","",N(AA345)+IF(MATCH(A346,$A$2:$A$401,0)=ROW()-1,1,0))</f>
        <v/>
      </c>
    </row>
    <row r="347">
      <c r="S347" s="5">
        <f>IF(A347="","",R347*IF(AND(ISNUMBER(W347),W347&gt;0,W347&lt;1),W347*100,W347)/100)</f>
        <v/>
      </c>
      <c r="T347" s="5">
        <f>IF(A347="","",V347*U347/100)</f>
        <v/>
      </c>
      <c r="U347" s="5">
        <f>IF(A347="","",R347-S347)</f>
        <v/>
      </c>
      <c r="X347" s="5">
        <f>IF(A347="","",U347-T347)</f>
        <v/>
      </c>
      <c r="AA347">
        <f>IF(A347="","",N(AA346)+IF(MATCH(A347,$A$2:$A$401,0)=ROW()-1,1,0))</f>
        <v/>
      </c>
    </row>
    <row r="348">
      <c r="S348" s="5">
        <f>IF(A348="","",R348*IF(AND(ISNUMBER(W348),W348&gt;0,W348&lt;1),W348*100,W348)/100)</f>
        <v/>
      </c>
      <c r="T348" s="5">
        <f>IF(A348="","",V348*U348/100)</f>
        <v/>
      </c>
      <c r="U348" s="5">
        <f>IF(A348="","",R348-S348)</f>
        <v/>
      </c>
      <c r="X348" s="5">
        <f>IF(A348="","",U348-T348)</f>
        <v/>
      </c>
      <c r="AA348">
        <f>IF(A348="","",N(AA347)+IF(MATCH(A348,$A$2:$A$401,0)=ROW()-1,1,0))</f>
        <v/>
      </c>
    </row>
    <row r="349">
      <c r="S349" s="5">
        <f>IF(A349="","",R349*IF(AND(ISNUMBER(W349),W349&gt;0,W349&lt;1),W349*100,W349)/100)</f>
        <v/>
      </c>
      <c r="T349" s="5">
        <f>IF(A349="","",V349*U349/100)</f>
        <v/>
      </c>
      <c r="U349" s="5">
        <f>IF(A349="","",R349-S349)</f>
        <v/>
      </c>
      <c r="X349" s="5">
        <f>IF(A349="","",U349-T349)</f>
        <v/>
      </c>
      <c r="AA349">
        <f>IF(A349="","",N(AA348)+IF(MATCH(A349,$A$2:$A$401,0)=ROW()-1,1,0))</f>
        <v/>
      </c>
    </row>
    <row r="350">
      <c r="S350" s="5">
        <f>IF(A350="","",R350*IF(AND(ISNUMBER(W350),W350&gt;0,W350&lt;1),W350*100,W350)/100)</f>
        <v/>
      </c>
      <c r="T350" s="5">
        <f>IF(A350="","",V350*U350/100)</f>
        <v/>
      </c>
      <c r="U350" s="5">
        <f>IF(A350="","",R350-S350)</f>
        <v/>
      </c>
      <c r="X350" s="5">
        <f>IF(A350="","",U350-T350)</f>
        <v/>
      </c>
      <c r="AA350">
        <f>IF(A350="","",N(AA349)+IF(MATCH(A350,$A$2:$A$401,0)=ROW()-1,1,0))</f>
        <v/>
      </c>
    </row>
    <row r="351">
      <c r="S351" s="5">
        <f>IF(A351="","",R351*IF(AND(ISNUMBER(W351),W351&gt;0,W351&lt;1),W351*100,W351)/100)</f>
        <v/>
      </c>
      <c r="T351" s="5">
        <f>IF(A351="","",V351*U351/100)</f>
        <v/>
      </c>
      <c r="U351" s="5">
        <f>IF(A351="","",R351-S351)</f>
        <v/>
      </c>
      <c r="X351" s="5">
        <f>IF(A351="","",U351-T351)</f>
        <v/>
      </c>
      <c r="AA351">
        <f>IF(A351="","",N(AA350)+IF(MATCH(A351,$A$2:$A$401,0)=ROW()-1,1,0))</f>
        <v/>
      </c>
    </row>
    <row r="352">
      <c r="S352" s="5">
        <f>IF(A352="","",R352*IF(AND(ISNUMBER(W352),W352&gt;0,W352&lt;1),W352*100,W352)/100)</f>
        <v/>
      </c>
      <c r="T352" s="5">
        <f>IF(A352="","",V352*U352/100)</f>
        <v/>
      </c>
      <c r="U352" s="5">
        <f>IF(A352="","",R352-S352)</f>
        <v/>
      </c>
      <c r="X352" s="5">
        <f>IF(A352="","",U352-T352)</f>
        <v/>
      </c>
      <c r="AA352">
        <f>IF(A352="","",N(AA351)+IF(MATCH(A352,$A$2:$A$401,0)=ROW()-1,1,0))</f>
        <v/>
      </c>
    </row>
    <row r="353">
      <c r="S353" s="5">
        <f>IF(A353="","",R353*IF(AND(ISNUMBER(W353),W353&gt;0,W353&lt;1),W353*100,W353)/100)</f>
        <v/>
      </c>
      <c r="T353" s="5">
        <f>IF(A353="","",V353*U353/100)</f>
        <v/>
      </c>
      <c r="U353" s="5">
        <f>IF(A353="","",R353-S353)</f>
        <v/>
      </c>
      <c r="X353" s="5">
        <f>IF(A353="","",U353-T353)</f>
        <v/>
      </c>
      <c r="AA353">
        <f>IF(A353="","",N(AA352)+IF(MATCH(A353,$A$2:$A$401,0)=ROW()-1,1,0))</f>
        <v/>
      </c>
    </row>
    <row r="354">
      <c r="S354" s="5">
        <f>IF(A354="","",R354*IF(AND(ISNUMBER(W354),W354&gt;0,W354&lt;1),W354*100,W354)/100)</f>
        <v/>
      </c>
      <c r="T354" s="5">
        <f>IF(A354="","",V354*U354/100)</f>
        <v/>
      </c>
      <c r="U354" s="5">
        <f>IF(A354="","",R354-S354)</f>
        <v/>
      </c>
      <c r="X354" s="5">
        <f>IF(A354="","",U354-T354)</f>
        <v/>
      </c>
      <c r="AA354">
        <f>IF(A354="","",N(AA353)+IF(MATCH(A354,$A$2:$A$401,0)=ROW()-1,1,0))</f>
        <v/>
      </c>
    </row>
    <row r="355">
      <c r="S355" s="5">
        <f>IF(A355="","",R355*IF(AND(ISNUMBER(W355),W355&gt;0,W355&lt;1),W355*100,W355)/100)</f>
        <v/>
      </c>
      <c r="T355" s="5">
        <f>IF(A355="","",V355*U355/100)</f>
        <v/>
      </c>
      <c r="U355" s="5">
        <f>IF(A355="","",R355-S355)</f>
        <v/>
      </c>
      <c r="X355" s="5">
        <f>IF(A355="","",U355-T355)</f>
        <v/>
      </c>
      <c r="AA355">
        <f>IF(A355="","",N(AA354)+IF(MATCH(A355,$A$2:$A$401,0)=ROW()-1,1,0))</f>
        <v/>
      </c>
    </row>
    <row r="356">
      <c r="S356" s="5">
        <f>IF(A356="","",R356*IF(AND(ISNUMBER(W356),W356&gt;0,W356&lt;1),W356*100,W356)/100)</f>
        <v/>
      </c>
      <c r="T356" s="5">
        <f>IF(A356="","",V356*U356/100)</f>
        <v/>
      </c>
      <c r="U356" s="5">
        <f>IF(A356="","",R356-S356)</f>
        <v/>
      </c>
      <c r="X356" s="5">
        <f>IF(A356="","",U356-T356)</f>
        <v/>
      </c>
      <c r="AA356">
        <f>IF(A356="","",N(AA355)+IF(MATCH(A356,$A$2:$A$401,0)=ROW()-1,1,0))</f>
        <v/>
      </c>
    </row>
    <row r="357">
      <c r="S357" s="5">
        <f>IF(A357="","",R357*IF(AND(ISNUMBER(W357),W357&gt;0,W357&lt;1),W357*100,W357)/100)</f>
        <v/>
      </c>
      <c r="T357" s="5">
        <f>IF(A357="","",V357*U357/100)</f>
        <v/>
      </c>
      <c r="U357" s="5">
        <f>IF(A357="","",R357-S357)</f>
        <v/>
      </c>
      <c r="X357" s="5">
        <f>IF(A357="","",U357-T357)</f>
        <v/>
      </c>
      <c r="AA357">
        <f>IF(A357="","",N(AA356)+IF(MATCH(A357,$A$2:$A$401,0)=ROW()-1,1,0))</f>
        <v/>
      </c>
    </row>
    <row r="358">
      <c r="S358" s="5">
        <f>IF(A358="","",R358*IF(AND(ISNUMBER(W358),W358&gt;0,W358&lt;1),W358*100,W358)/100)</f>
        <v/>
      </c>
      <c r="T358" s="5">
        <f>IF(A358="","",V358*U358/100)</f>
        <v/>
      </c>
      <c r="U358" s="5">
        <f>IF(A358="","",R358-S358)</f>
        <v/>
      </c>
      <c r="X358" s="5">
        <f>IF(A358="","",U358-T358)</f>
        <v/>
      </c>
      <c r="AA358">
        <f>IF(A358="","",N(AA357)+IF(MATCH(A358,$A$2:$A$401,0)=ROW()-1,1,0))</f>
        <v/>
      </c>
    </row>
    <row r="359">
      <c r="S359" s="5">
        <f>IF(A359="","",R359*IF(AND(ISNUMBER(W359),W359&gt;0,W359&lt;1),W359*100,W359)/100)</f>
        <v/>
      </c>
      <c r="T359" s="5">
        <f>IF(A359="","",V359*U359/100)</f>
        <v/>
      </c>
      <c r="U359" s="5">
        <f>IF(A359="","",R359-S359)</f>
        <v/>
      </c>
      <c r="X359" s="5">
        <f>IF(A359="","",U359-T359)</f>
        <v/>
      </c>
      <c r="AA359">
        <f>IF(A359="","",N(AA358)+IF(MATCH(A359,$A$2:$A$401,0)=ROW()-1,1,0))</f>
        <v/>
      </c>
    </row>
    <row r="360">
      <c r="S360" s="5">
        <f>IF(A360="","",R360*IF(AND(ISNUMBER(W360),W360&gt;0,W360&lt;1),W360*100,W360)/100)</f>
        <v/>
      </c>
      <c r="T360" s="5">
        <f>IF(A360="","",V360*U360/100)</f>
        <v/>
      </c>
      <c r="U360" s="5">
        <f>IF(A360="","",R360-S360)</f>
        <v/>
      </c>
      <c r="X360" s="5">
        <f>IF(A360="","",U360-T360)</f>
        <v/>
      </c>
      <c r="AA360">
        <f>IF(A360="","",N(AA359)+IF(MATCH(A360,$A$2:$A$401,0)=ROW()-1,1,0))</f>
        <v/>
      </c>
    </row>
    <row r="361">
      <c r="S361" s="5">
        <f>IF(A361="","",R361*IF(AND(ISNUMBER(W361),W361&gt;0,W361&lt;1),W361*100,W361)/100)</f>
        <v/>
      </c>
      <c r="T361" s="5">
        <f>IF(A361="","",V361*U361/100)</f>
        <v/>
      </c>
      <c r="U361" s="5">
        <f>IF(A361="","",R361-S361)</f>
        <v/>
      </c>
      <c r="X361" s="5">
        <f>IF(A361="","",U361-T361)</f>
        <v/>
      </c>
      <c r="AA361">
        <f>IF(A361="","",N(AA360)+IF(MATCH(A361,$A$2:$A$401,0)=ROW()-1,1,0))</f>
        <v/>
      </c>
    </row>
    <row r="362">
      <c r="S362" s="5">
        <f>IF(A362="","",R362*IF(AND(ISNUMBER(W362),W362&gt;0,W362&lt;1),W362*100,W362)/100)</f>
        <v/>
      </c>
      <c r="T362" s="5">
        <f>IF(A362="","",V362*U362/100)</f>
        <v/>
      </c>
      <c r="U362" s="5">
        <f>IF(A362="","",R362-S362)</f>
        <v/>
      </c>
      <c r="X362" s="5">
        <f>IF(A362="","",U362-T362)</f>
        <v/>
      </c>
      <c r="AA362">
        <f>IF(A362="","",N(AA361)+IF(MATCH(A362,$A$2:$A$401,0)=ROW()-1,1,0))</f>
        <v/>
      </c>
    </row>
    <row r="363">
      <c r="S363" s="5">
        <f>IF(A363="","",R363*IF(AND(ISNUMBER(W363),W363&gt;0,W363&lt;1),W363*100,W363)/100)</f>
        <v/>
      </c>
      <c r="T363" s="5">
        <f>IF(A363="","",V363*U363/100)</f>
        <v/>
      </c>
      <c r="U363" s="5">
        <f>IF(A363="","",R363-S363)</f>
        <v/>
      </c>
      <c r="X363" s="5">
        <f>IF(A363="","",U363-T363)</f>
        <v/>
      </c>
      <c r="AA363">
        <f>IF(A363="","",N(AA362)+IF(MATCH(A363,$A$2:$A$401,0)=ROW()-1,1,0))</f>
        <v/>
      </c>
    </row>
    <row r="364">
      <c r="S364" s="5">
        <f>IF(A364="","",R364*IF(AND(ISNUMBER(W364),W364&gt;0,W364&lt;1),W364*100,W364)/100)</f>
        <v/>
      </c>
      <c r="T364" s="5">
        <f>IF(A364="","",V364*U364/100)</f>
        <v/>
      </c>
      <c r="U364" s="5">
        <f>IF(A364="","",R364-S364)</f>
        <v/>
      </c>
      <c r="X364" s="5">
        <f>IF(A364="","",U364-T364)</f>
        <v/>
      </c>
      <c r="AA364">
        <f>IF(A364="","",N(AA363)+IF(MATCH(A364,$A$2:$A$401,0)=ROW()-1,1,0))</f>
        <v/>
      </c>
    </row>
    <row r="365">
      <c r="S365" s="5">
        <f>IF(A365="","",R365*IF(AND(ISNUMBER(W365),W365&gt;0,W365&lt;1),W365*100,W365)/100)</f>
        <v/>
      </c>
      <c r="T365" s="5">
        <f>IF(A365="","",V365*U365/100)</f>
        <v/>
      </c>
      <c r="U365" s="5">
        <f>IF(A365="","",R365-S365)</f>
        <v/>
      </c>
      <c r="X365" s="5">
        <f>IF(A365="","",U365-T365)</f>
        <v/>
      </c>
      <c r="AA365">
        <f>IF(A365="","",N(AA364)+IF(MATCH(A365,$A$2:$A$401,0)=ROW()-1,1,0))</f>
        <v/>
      </c>
    </row>
    <row r="366">
      <c r="S366" s="5">
        <f>IF(A366="","",R366*IF(AND(ISNUMBER(W366),W366&gt;0,W366&lt;1),W366*100,W366)/100)</f>
        <v/>
      </c>
      <c r="T366" s="5">
        <f>IF(A366="","",V366*U366/100)</f>
        <v/>
      </c>
      <c r="U366" s="5">
        <f>IF(A366="","",R366-S366)</f>
        <v/>
      </c>
      <c r="X366" s="5">
        <f>IF(A366="","",U366-T366)</f>
        <v/>
      </c>
      <c r="AA366">
        <f>IF(A366="","",N(AA365)+IF(MATCH(A366,$A$2:$A$401,0)=ROW()-1,1,0))</f>
        <v/>
      </c>
    </row>
    <row r="367">
      <c r="S367" s="5">
        <f>IF(A367="","",R367*IF(AND(ISNUMBER(W367),W367&gt;0,W367&lt;1),W367*100,W367)/100)</f>
        <v/>
      </c>
      <c r="T367" s="5">
        <f>IF(A367="","",V367*U367/100)</f>
        <v/>
      </c>
      <c r="U367" s="5">
        <f>IF(A367="","",R367-S367)</f>
        <v/>
      </c>
      <c r="X367" s="5">
        <f>IF(A367="","",U367-T367)</f>
        <v/>
      </c>
      <c r="AA367">
        <f>IF(A367="","",N(AA366)+IF(MATCH(A367,$A$2:$A$401,0)=ROW()-1,1,0))</f>
        <v/>
      </c>
    </row>
    <row r="368">
      <c r="S368" s="5">
        <f>IF(A368="","",R368*IF(AND(ISNUMBER(W368),W368&gt;0,W368&lt;1),W368*100,W368)/100)</f>
        <v/>
      </c>
      <c r="T368" s="5">
        <f>IF(A368="","",V368*U368/100)</f>
        <v/>
      </c>
      <c r="U368" s="5">
        <f>IF(A368="","",R368-S368)</f>
        <v/>
      </c>
      <c r="X368" s="5">
        <f>IF(A368="","",U368-T368)</f>
        <v/>
      </c>
      <c r="AA368">
        <f>IF(A368="","",N(AA367)+IF(MATCH(A368,$A$2:$A$401,0)=ROW()-1,1,0))</f>
        <v/>
      </c>
    </row>
    <row r="369">
      <c r="S369" s="5">
        <f>IF(A369="","",R369*IF(AND(ISNUMBER(W369),W369&gt;0,W369&lt;1),W369*100,W369)/100)</f>
        <v/>
      </c>
      <c r="T369" s="5">
        <f>IF(A369="","",V369*U369/100)</f>
        <v/>
      </c>
      <c r="U369" s="5">
        <f>IF(A369="","",R369-S369)</f>
        <v/>
      </c>
      <c r="X369" s="5">
        <f>IF(A369="","",U369-T369)</f>
        <v/>
      </c>
      <c r="AA369">
        <f>IF(A369="","",N(AA368)+IF(MATCH(A369,$A$2:$A$401,0)=ROW()-1,1,0))</f>
        <v/>
      </c>
    </row>
    <row r="370">
      <c r="S370" s="5">
        <f>IF(A370="","",R370*IF(AND(ISNUMBER(W370),W370&gt;0,W370&lt;1),W370*100,W370)/100)</f>
        <v/>
      </c>
      <c r="T370" s="5">
        <f>IF(A370="","",V370*U370/100)</f>
        <v/>
      </c>
      <c r="U370" s="5">
        <f>IF(A370="","",R370-S370)</f>
        <v/>
      </c>
      <c r="X370" s="5">
        <f>IF(A370="","",U370-T370)</f>
        <v/>
      </c>
      <c r="AA370">
        <f>IF(A370="","",N(AA369)+IF(MATCH(A370,$A$2:$A$401,0)=ROW()-1,1,0))</f>
        <v/>
      </c>
    </row>
    <row r="371">
      <c r="S371" s="5">
        <f>IF(A371="","",R371*IF(AND(ISNUMBER(W371),W371&gt;0,W371&lt;1),W371*100,W371)/100)</f>
        <v/>
      </c>
      <c r="T371" s="5">
        <f>IF(A371="","",V371*U371/100)</f>
        <v/>
      </c>
      <c r="U371" s="5">
        <f>IF(A371="","",R371-S371)</f>
        <v/>
      </c>
      <c r="X371" s="5">
        <f>IF(A371="","",U371-T371)</f>
        <v/>
      </c>
      <c r="AA371">
        <f>IF(A371="","",N(AA370)+IF(MATCH(A371,$A$2:$A$401,0)=ROW()-1,1,0))</f>
        <v/>
      </c>
    </row>
    <row r="372">
      <c r="S372" s="5">
        <f>IF(A372="","",R372*IF(AND(ISNUMBER(W372),W372&gt;0,W372&lt;1),W372*100,W372)/100)</f>
        <v/>
      </c>
      <c r="T372" s="5">
        <f>IF(A372="","",V372*U372/100)</f>
        <v/>
      </c>
      <c r="U372" s="5">
        <f>IF(A372="","",R372-S372)</f>
        <v/>
      </c>
      <c r="X372" s="5">
        <f>IF(A372="","",U372-T372)</f>
        <v/>
      </c>
      <c r="AA372">
        <f>IF(A372="","",N(AA371)+IF(MATCH(A372,$A$2:$A$401,0)=ROW()-1,1,0))</f>
        <v/>
      </c>
    </row>
    <row r="373">
      <c r="S373" s="5">
        <f>IF(A373="","",R373*IF(AND(ISNUMBER(W373),W373&gt;0,W373&lt;1),W373*100,W373)/100)</f>
        <v/>
      </c>
      <c r="T373" s="5">
        <f>IF(A373="","",V373*U373/100)</f>
        <v/>
      </c>
      <c r="U373" s="5">
        <f>IF(A373="","",R373-S373)</f>
        <v/>
      </c>
      <c r="X373" s="5">
        <f>IF(A373="","",U373-T373)</f>
        <v/>
      </c>
      <c r="AA373">
        <f>IF(A373="","",N(AA372)+IF(MATCH(A373,$A$2:$A$401,0)=ROW()-1,1,0))</f>
        <v/>
      </c>
    </row>
    <row r="374">
      <c r="S374" s="5">
        <f>IF(A374="","",R374*IF(AND(ISNUMBER(W374),W374&gt;0,W374&lt;1),W374*100,W374)/100)</f>
        <v/>
      </c>
      <c r="T374" s="5">
        <f>IF(A374="","",V374*U374/100)</f>
        <v/>
      </c>
      <c r="U374" s="5">
        <f>IF(A374="","",R374-S374)</f>
        <v/>
      </c>
      <c r="X374" s="5">
        <f>IF(A374="","",U374-T374)</f>
        <v/>
      </c>
      <c r="AA374">
        <f>IF(A374="","",N(AA373)+IF(MATCH(A374,$A$2:$A$401,0)=ROW()-1,1,0))</f>
        <v/>
      </c>
    </row>
    <row r="375">
      <c r="S375" s="5">
        <f>IF(A375="","",R375*IF(AND(ISNUMBER(W375),W375&gt;0,W375&lt;1),W375*100,W375)/100)</f>
        <v/>
      </c>
      <c r="T375" s="5">
        <f>IF(A375="","",V375*U375/100)</f>
        <v/>
      </c>
      <c r="U375" s="5">
        <f>IF(A375="","",R375-S375)</f>
        <v/>
      </c>
      <c r="X375" s="5">
        <f>IF(A375="","",U375-T375)</f>
        <v/>
      </c>
      <c r="AA375">
        <f>IF(A375="","",N(AA374)+IF(MATCH(A375,$A$2:$A$401,0)=ROW()-1,1,0))</f>
        <v/>
      </c>
    </row>
    <row r="376">
      <c r="S376" s="5">
        <f>IF(A376="","",R376*IF(AND(ISNUMBER(W376),W376&gt;0,W376&lt;1),W376*100,W376)/100)</f>
        <v/>
      </c>
      <c r="T376" s="5">
        <f>IF(A376="","",V376*U376/100)</f>
        <v/>
      </c>
      <c r="U376" s="5">
        <f>IF(A376="","",R376-S376)</f>
        <v/>
      </c>
      <c r="X376" s="5">
        <f>IF(A376="","",U376-T376)</f>
        <v/>
      </c>
      <c r="AA376">
        <f>IF(A376="","",N(AA375)+IF(MATCH(A376,$A$2:$A$401,0)=ROW()-1,1,0))</f>
        <v/>
      </c>
    </row>
    <row r="377">
      <c r="S377" s="5">
        <f>IF(A377="","",R377*IF(AND(ISNUMBER(W377),W377&gt;0,W377&lt;1),W377*100,W377)/100)</f>
        <v/>
      </c>
      <c r="T377" s="5">
        <f>IF(A377="","",V377*U377/100)</f>
        <v/>
      </c>
      <c r="U377" s="5">
        <f>IF(A377="","",R377-S377)</f>
        <v/>
      </c>
      <c r="X377" s="5">
        <f>IF(A377="","",U377-T377)</f>
        <v/>
      </c>
      <c r="AA377">
        <f>IF(A377="","",N(AA376)+IF(MATCH(A377,$A$2:$A$401,0)=ROW()-1,1,0))</f>
        <v/>
      </c>
    </row>
    <row r="378">
      <c r="S378" s="5">
        <f>IF(A378="","",R378*IF(AND(ISNUMBER(W378),W378&gt;0,W378&lt;1),W378*100,W378)/100)</f>
        <v/>
      </c>
      <c r="T378" s="5">
        <f>IF(A378="","",V378*U378/100)</f>
        <v/>
      </c>
      <c r="U378" s="5">
        <f>IF(A378="","",R378-S378)</f>
        <v/>
      </c>
      <c r="X378" s="5">
        <f>IF(A378="","",U378-T378)</f>
        <v/>
      </c>
      <c r="AA378">
        <f>IF(A378="","",N(AA377)+IF(MATCH(A378,$A$2:$A$401,0)=ROW()-1,1,0))</f>
        <v/>
      </c>
    </row>
    <row r="379">
      <c r="S379" s="5">
        <f>IF(A379="","",R379*IF(AND(ISNUMBER(W379),W379&gt;0,W379&lt;1),W379*100,W379)/100)</f>
        <v/>
      </c>
      <c r="T379" s="5">
        <f>IF(A379="","",V379*U379/100)</f>
        <v/>
      </c>
      <c r="U379" s="5">
        <f>IF(A379="","",R379-S379)</f>
        <v/>
      </c>
      <c r="X379" s="5">
        <f>IF(A379="","",U379-T379)</f>
        <v/>
      </c>
      <c r="AA379">
        <f>IF(A379="","",N(AA378)+IF(MATCH(A379,$A$2:$A$401,0)=ROW()-1,1,0))</f>
        <v/>
      </c>
    </row>
    <row r="380">
      <c r="S380" s="5">
        <f>IF(A380="","",R380*IF(AND(ISNUMBER(W380),W380&gt;0,W380&lt;1),W380*100,W380)/100)</f>
        <v/>
      </c>
      <c r="T380" s="5">
        <f>IF(A380="","",V380*U380/100)</f>
        <v/>
      </c>
      <c r="U380" s="5">
        <f>IF(A380="","",R380-S380)</f>
        <v/>
      </c>
      <c r="X380" s="5">
        <f>IF(A380="","",U380-T380)</f>
        <v/>
      </c>
      <c r="AA380">
        <f>IF(A380="","",N(AA379)+IF(MATCH(A380,$A$2:$A$401,0)=ROW()-1,1,0))</f>
        <v/>
      </c>
    </row>
    <row r="381">
      <c r="S381" s="5">
        <f>IF(A381="","",R381*IF(AND(ISNUMBER(W381),W381&gt;0,W381&lt;1),W381*100,W381)/100)</f>
        <v/>
      </c>
      <c r="T381" s="5">
        <f>IF(A381="","",V381*U381/100)</f>
        <v/>
      </c>
      <c r="U381" s="5">
        <f>IF(A381="","",R381-S381)</f>
        <v/>
      </c>
      <c r="X381" s="5">
        <f>IF(A381="","",U381-T381)</f>
        <v/>
      </c>
      <c r="AA381">
        <f>IF(A381="","",N(AA380)+IF(MATCH(A381,$A$2:$A$401,0)=ROW()-1,1,0))</f>
        <v/>
      </c>
    </row>
    <row r="382">
      <c r="S382" s="5">
        <f>IF(A382="","",R382*IF(AND(ISNUMBER(W382),W382&gt;0,W382&lt;1),W382*100,W382)/100)</f>
        <v/>
      </c>
      <c r="T382" s="5">
        <f>IF(A382="","",V382*U382/100)</f>
        <v/>
      </c>
      <c r="U382" s="5">
        <f>IF(A382="","",R382-S382)</f>
        <v/>
      </c>
      <c r="X382" s="5">
        <f>IF(A382="","",U382-T382)</f>
        <v/>
      </c>
      <c r="AA382">
        <f>IF(A382="","",N(AA381)+IF(MATCH(A382,$A$2:$A$401,0)=ROW()-1,1,0))</f>
        <v/>
      </c>
    </row>
    <row r="383">
      <c r="S383" s="5">
        <f>IF(A383="","",R383*IF(AND(ISNUMBER(W383),W383&gt;0,W383&lt;1),W383*100,W383)/100)</f>
        <v/>
      </c>
      <c r="T383" s="5">
        <f>IF(A383="","",V383*U383/100)</f>
        <v/>
      </c>
      <c r="U383" s="5">
        <f>IF(A383="","",R383-S383)</f>
        <v/>
      </c>
      <c r="X383" s="5">
        <f>IF(A383="","",U383-T383)</f>
        <v/>
      </c>
      <c r="AA383">
        <f>IF(A383="","",N(AA382)+IF(MATCH(A383,$A$2:$A$401,0)=ROW()-1,1,0))</f>
        <v/>
      </c>
    </row>
    <row r="384">
      <c r="S384" s="5">
        <f>IF(A384="","",R384*IF(AND(ISNUMBER(W384),W384&gt;0,W384&lt;1),W384*100,W384)/100)</f>
        <v/>
      </c>
      <c r="T384" s="5">
        <f>IF(A384="","",V384*U384/100)</f>
        <v/>
      </c>
      <c r="U384" s="5">
        <f>IF(A384="","",R384-S384)</f>
        <v/>
      </c>
      <c r="X384" s="5">
        <f>IF(A384="","",U384-T384)</f>
        <v/>
      </c>
      <c r="AA384">
        <f>IF(A384="","",N(AA383)+IF(MATCH(A384,$A$2:$A$401,0)=ROW()-1,1,0))</f>
        <v/>
      </c>
    </row>
    <row r="385">
      <c r="S385" s="5">
        <f>IF(A385="","",R385*IF(AND(ISNUMBER(W385),W385&gt;0,W385&lt;1),W385*100,W385)/100)</f>
        <v/>
      </c>
      <c r="T385" s="5">
        <f>IF(A385="","",V385*U385/100)</f>
        <v/>
      </c>
      <c r="U385" s="5">
        <f>IF(A385="","",R385-S385)</f>
        <v/>
      </c>
      <c r="X385" s="5">
        <f>IF(A385="","",U385-T385)</f>
        <v/>
      </c>
      <c r="AA385">
        <f>IF(A385="","",N(AA384)+IF(MATCH(A385,$A$2:$A$401,0)=ROW()-1,1,0))</f>
        <v/>
      </c>
    </row>
    <row r="386">
      <c r="S386" s="5">
        <f>IF(A386="","",R386*IF(AND(ISNUMBER(W386),W386&gt;0,W386&lt;1),W386*100,W386)/100)</f>
        <v/>
      </c>
      <c r="T386" s="5">
        <f>IF(A386="","",V386*U386/100)</f>
        <v/>
      </c>
      <c r="U386" s="5">
        <f>IF(A386="","",R386-S386)</f>
        <v/>
      </c>
      <c r="X386" s="5">
        <f>IF(A386="","",U386-T386)</f>
        <v/>
      </c>
      <c r="AA386">
        <f>IF(A386="","",N(AA385)+IF(MATCH(A386,$A$2:$A$401,0)=ROW()-1,1,0))</f>
        <v/>
      </c>
    </row>
    <row r="387">
      <c r="S387" s="5">
        <f>IF(A387="","",R387*IF(AND(ISNUMBER(W387),W387&gt;0,W387&lt;1),W387*100,W387)/100)</f>
        <v/>
      </c>
      <c r="T387" s="5">
        <f>IF(A387="","",V387*U387/100)</f>
        <v/>
      </c>
      <c r="U387" s="5">
        <f>IF(A387="","",R387-S387)</f>
        <v/>
      </c>
      <c r="X387" s="5">
        <f>IF(A387="","",U387-T387)</f>
        <v/>
      </c>
      <c r="AA387">
        <f>IF(A387="","",N(AA386)+IF(MATCH(A387,$A$2:$A$401,0)=ROW()-1,1,0))</f>
        <v/>
      </c>
    </row>
    <row r="388">
      <c r="S388" s="5">
        <f>IF(A388="","",R388*IF(AND(ISNUMBER(W388),W388&gt;0,W388&lt;1),W388*100,W388)/100)</f>
        <v/>
      </c>
      <c r="T388" s="5">
        <f>IF(A388="","",V388*U388/100)</f>
        <v/>
      </c>
      <c r="U388" s="5">
        <f>IF(A388="","",R388-S388)</f>
        <v/>
      </c>
      <c r="X388" s="5">
        <f>IF(A388="","",U388-T388)</f>
        <v/>
      </c>
      <c r="AA388">
        <f>IF(A388="","",N(AA387)+IF(MATCH(A388,$A$2:$A$401,0)=ROW()-1,1,0))</f>
        <v/>
      </c>
    </row>
    <row r="389">
      <c r="S389" s="5">
        <f>IF(A389="","",R389*IF(AND(ISNUMBER(W389),W389&gt;0,W389&lt;1),W389*100,W389)/100)</f>
        <v/>
      </c>
      <c r="T389" s="5">
        <f>IF(A389="","",V389*U389/100)</f>
        <v/>
      </c>
      <c r="U389" s="5">
        <f>IF(A389="","",R389-S389)</f>
        <v/>
      </c>
      <c r="X389" s="5">
        <f>IF(A389="","",U389-T389)</f>
        <v/>
      </c>
      <c r="AA389">
        <f>IF(A389="","",N(AA388)+IF(MATCH(A389,$A$2:$A$401,0)=ROW()-1,1,0))</f>
        <v/>
      </c>
    </row>
    <row r="390">
      <c r="S390" s="5">
        <f>IF(A390="","",R390*IF(AND(ISNUMBER(W390),W390&gt;0,W390&lt;1),W390*100,W390)/100)</f>
        <v/>
      </c>
      <c r="T390" s="5">
        <f>IF(A390="","",V390*U390/100)</f>
        <v/>
      </c>
      <c r="U390" s="5">
        <f>IF(A390="","",R390-S390)</f>
        <v/>
      </c>
      <c r="X390" s="5">
        <f>IF(A390="","",U390-T390)</f>
        <v/>
      </c>
      <c r="AA390">
        <f>IF(A390="","",N(AA389)+IF(MATCH(A390,$A$2:$A$401,0)=ROW()-1,1,0))</f>
        <v/>
      </c>
    </row>
    <row r="391">
      <c r="S391" s="5">
        <f>IF(A391="","",R391*IF(AND(ISNUMBER(W391),W391&gt;0,W391&lt;1),W391*100,W391)/100)</f>
        <v/>
      </c>
      <c r="T391" s="5">
        <f>IF(A391="","",V391*U391/100)</f>
        <v/>
      </c>
      <c r="U391" s="5">
        <f>IF(A391="","",R391-S391)</f>
        <v/>
      </c>
      <c r="X391" s="5">
        <f>IF(A391="","",U391-T391)</f>
        <v/>
      </c>
      <c r="AA391">
        <f>IF(A391="","",N(AA390)+IF(MATCH(A391,$A$2:$A$401,0)=ROW()-1,1,0))</f>
        <v/>
      </c>
    </row>
    <row r="392">
      <c r="S392" s="5">
        <f>IF(A392="","",R392*IF(AND(ISNUMBER(W392),W392&gt;0,W392&lt;1),W392*100,W392)/100)</f>
        <v/>
      </c>
      <c r="T392" s="5">
        <f>IF(A392="","",V392*U392/100)</f>
        <v/>
      </c>
      <c r="U392" s="5">
        <f>IF(A392="","",R392-S392)</f>
        <v/>
      </c>
      <c r="X392" s="5">
        <f>IF(A392="","",U392-T392)</f>
        <v/>
      </c>
      <c r="AA392">
        <f>IF(A392="","",N(AA391)+IF(MATCH(A392,$A$2:$A$401,0)=ROW()-1,1,0))</f>
        <v/>
      </c>
    </row>
    <row r="393">
      <c r="S393" s="5">
        <f>IF(A393="","",R393*IF(AND(ISNUMBER(W393),W393&gt;0,W393&lt;1),W393*100,W393)/100)</f>
        <v/>
      </c>
      <c r="T393" s="5">
        <f>IF(A393="","",V393*U393/100)</f>
        <v/>
      </c>
      <c r="U393" s="5">
        <f>IF(A393="","",R393-S393)</f>
        <v/>
      </c>
      <c r="X393" s="5">
        <f>IF(A393="","",U393-T393)</f>
        <v/>
      </c>
      <c r="AA393">
        <f>IF(A393="","",N(AA392)+IF(MATCH(A393,$A$2:$A$401,0)=ROW()-1,1,0))</f>
        <v/>
      </c>
    </row>
    <row r="394">
      <c r="S394" s="5">
        <f>IF(A394="","",R394*IF(AND(ISNUMBER(W394),W394&gt;0,W394&lt;1),W394*100,W394)/100)</f>
        <v/>
      </c>
      <c r="T394" s="5">
        <f>IF(A394="","",V394*U394/100)</f>
        <v/>
      </c>
      <c r="U394" s="5">
        <f>IF(A394="","",R394-S394)</f>
        <v/>
      </c>
      <c r="X394" s="5">
        <f>IF(A394="","",U394-T394)</f>
        <v/>
      </c>
      <c r="AA394">
        <f>IF(A394="","",N(AA393)+IF(MATCH(A394,$A$2:$A$401,0)=ROW()-1,1,0))</f>
        <v/>
      </c>
    </row>
    <row r="395">
      <c r="S395" s="5">
        <f>IF(A395="","",R395*IF(AND(ISNUMBER(W395),W395&gt;0,W395&lt;1),W395*100,W395)/100)</f>
        <v/>
      </c>
      <c r="T395" s="5">
        <f>IF(A395="","",V395*U395/100)</f>
        <v/>
      </c>
      <c r="U395" s="5">
        <f>IF(A395="","",R395-S395)</f>
        <v/>
      </c>
      <c r="X395" s="5">
        <f>IF(A395="","",U395-T395)</f>
        <v/>
      </c>
      <c r="AA395">
        <f>IF(A395="","",N(AA394)+IF(MATCH(A395,$A$2:$A$401,0)=ROW()-1,1,0))</f>
        <v/>
      </c>
    </row>
    <row r="396">
      <c r="S396" s="5">
        <f>IF(A396="","",R396*IF(AND(ISNUMBER(W396),W396&gt;0,W396&lt;1),W396*100,W396)/100)</f>
        <v/>
      </c>
      <c r="T396" s="5">
        <f>IF(A396="","",V396*U396/100)</f>
        <v/>
      </c>
      <c r="U396" s="5">
        <f>IF(A396="","",R396-S396)</f>
        <v/>
      </c>
      <c r="X396" s="5">
        <f>IF(A396="","",U396-T396)</f>
        <v/>
      </c>
      <c r="AA396">
        <f>IF(A396="","",N(AA395)+IF(MATCH(A396,$A$2:$A$401,0)=ROW()-1,1,0))</f>
        <v/>
      </c>
    </row>
    <row r="397">
      <c r="S397" s="5">
        <f>IF(A397="","",R397*IF(AND(ISNUMBER(W397),W397&gt;0,W397&lt;1),W397*100,W397)/100)</f>
        <v/>
      </c>
      <c r="T397" s="5">
        <f>IF(A397="","",V397*U397/100)</f>
        <v/>
      </c>
      <c r="U397" s="5">
        <f>IF(A397="","",R397-S397)</f>
        <v/>
      </c>
      <c r="X397" s="5">
        <f>IF(A397="","",U397-T397)</f>
        <v/>
      </c>
      <c r="AA397">
        <f>IF(A397="","",N(AA396)+IF(MATCH(A397,$A$2:$A$401,0)=ROW()-1,1,0))</f>
        <v/>
      </c>
    </row>
    <row r="398">
      <c r="S398" s="5">
        <f>IF(A398="","",R398*IF(AND(ISNUMBER(W398),W398&gt;0,W398&lt;1),W398*100,W398)/100)</f>
        <v/>
      </c>
      <c r="T398" s="5">
        <f>IF(A398="","",V398*U398/100)</f>
        <v/>
      </c>
      <c r="U398" s="5">
        <f>IF(A398="","",R398-S398)</f>
        <v/>
      </c>
      <c r="X398" s="5">
        <f>IF(A398="","",U398-T398)</f>
        <v/>
      </c>
      <c r="AA398">
        <f>IF(A398="","",N(AA397)+IF(MATCH(A398,$A$2:$A$401,0)=ROW()-1,1,0))</f>
        <v/>
      </c>
    </row>
    <row r="399">
      <c r="S399" s="5">
        <f>IF(A399="","",R399*IF(AND(ISNUMBER(W399),W399&gt;0,W399&lt;1),W399*100,W399)/100)</f>
        <v/>
      </c>
      <c r="T399" s="5">
        <f>IF(A399="","",V399*U399/100)</f>
        <v/>
      </c>
      <c r="U399" s="5">
        <f>IF(A399="","",R399-S399)</f>
        <v/>
      </c>
      <c r="X399" s="5">
        <f>IF(A399="","",U399-T399)</f>
        <v/>
      </c>
      <c r="AA399">
        <f>IF(A399="","",N(AA398)+IF(MATCH(A399,$A$2:$A$401,0)=ROW()-1,1,0))</f>
        <v/>
      </c>
    </row>
    <row r="400">
      <c r="S400" s="5">
        <f>IF(A400="","",R400*IF(AND(ISNUMBER(W400),W400&gt;0,W400&lt;1),W400*100,W400)/100)</f>
        <v/>
      </c>
      <c r="T400" s="5">
        <f>IF(A400="","",V400*U400/100)</f>
        <v/>
      </c>
      <c r="U400" s="5">
        <f>IF(A400="","",R400-S400)</f>
        <v/>
      </c>
      <c r="X400" s="5">
        <f>IF(A400="","",U400-T400)</f>
        <v/>
      </c>
      <c r="AA400">
        <f>IF(A400="","",N(AA399)+IF(MATCH(A400,$A$2:$A$401,0)=ROW()-1,1,0))</f>
        <v/>
      </c>
    </row>
    <row r="401">
      <c r="S401" s="5">
        <f>IF(A401="","",R401*IF(AND(ISNUMBER(W401),W401&gt;0,W401&lt;1),W401*100,W401)/100)</f>
        <v/>
      </c>
      <c r="T401" s="5">
        <f>IF(A401="","",V401*U401/100)</f>
        <v/>
      </c>
      <c r="U401" s="5">
        <f>IF(A401="","",R401-S401)</f>
        <v/>
      </c>
      <c r="X401" s="5">
        <f>IF(A401="","",U401-T401)</f>
        <v/>
      </c>
      <c r="AA401">
        <f>IF(A401="","",N(AA400)+IF(MATCH(A401,$A$2:$A$401,0)=ROW()-1,1,0))</f>
        <v/>
      </c>
    </row>
  </sheetData>
  <autoFilter ref="A1:AA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3" customWidth="1" min="12" max="12"/>
    <col width="14" customWidth="1" min="13" max="13"/>
    <col width="14" customWidth="1" min="14" max="14"/>
  </cols>
  <sheetData>
    <row r="1" ht="32" customHeight="1">
      <c r="A1" s="9" t="inlineStr">
        <is>
          <t>Invoice</t>
        </is>
      </c>
      <c r="B1" s="7" t="inlineStr">
        <is>
          <t>So</t>
        </is>
      </c>
      <c r="C1" s="7" t="inlineStr">
        <is>
          <t>Lot</t>
        </is>
      </c>
      <c r="D1" s="7" t="inlineStr">
        <is>
          <t>SSNBR</t>
        </is>
      </c>
      <c r="E1" s="7" t="inlineStr">
        <is>
          <t>Svc Date</t>
        </is>
      </c>
      <c r="F1" s="7" t="inlineStr">
        <is>
          <t>Sum of Total Approved</t>
        </is>
      </c>
      <c r="G1" s="7" t="inlineStr">
        <is>
          <t>Sum of dis</t>
        </is>
      </c>
      <c r="H1" s="7" t="inlineStr">
        <is>
          <t>Sum of Paid Amount</t>
        </is>
      </c>
      <c r="I1" s="7" t="inlineStr">
        <is>
          <t>Sum of Subtotal</t>
        </is>
      </c>
      <c r="J1" s="7" t="inlineStr">
        <is>
          <t>Sum of Net Amt</t>
        </is>
      </c>
      <c r="K1" s="7" t="inlineStr">
        <is>
          <t>Seg</t>
        </is>
      </c>
      <c r="L1" s="10" t="inlineStr">
        <is>
          <t>Src Row (helper)</t>
        </is>
      </c>
      <c r="M1" s="10" t="inlineStr">
        <is>
          <t>Above Seq (helper)</t>
        </is>
      </c>
      <c r="N1" s="10" t="inlineStr">
        <is>
          <t>Below Seq (helper)</t>
        </is>
      </c>
    </row>
    <row r="2">
      <c r="B2">
        <f>IF($L2="","",INDEX('Per Line'!$A$2:$A$401,$L2))</f>
        <v/>
      </c>
      <c r="C2">
        <f>IF($L2="","",INDEX('Per Line'!$B$2:$B$401,$L2))</f>
        <v/>
      </c>
      <c r="D2">
        <f>IF($L2="","",INDEX('Per Line'!$C$2:$C$401,$L2))</f>
        <v/>
      </c>
      <c r="E2">
        <f>IF($L2="","",INDEX('Per Line'!$P$2:$P$401,$L2))</f>
        <v/>
      </c>
      <c r="F2" s="5">
        <f>IF($L2="","",SUMIFS('Per Line'!$R$2:$R$401,'Per Line'!$A$2:$A$401,$B2))</f>
        <v/>
      </c>
      <c r="G2" s="5">
        <f>IF($L2="","",SUMIFS('Per Line'!$S$2:$S$401,'Per Line'!$A$2:$A$401,$B2))</f>
        <v/>
      </c>
      <c r="H2" s="5">
        <f>IF($L2="","",SUMIFS('Per Line'!$T$2:$T$401,'Per Line'!$A$2:$A$401,$B2))</f>
        <v/>
      </c>
      <c r="I2" s="5">
        <f>IF($L2="","",F2-G2)</f>
        <v/>
      </c>
      <c r="J2" s="5">
        <f>IF($L2="","",I2-H2)</f>
        <v/>
      </c>
      <c r="K2">
        <f>IF($L2="","",IFERROR(INDEX(Settings!$C$27:$C$36,MATCH(C2,Settings!$B$27:$B$36,0)),"Unassigned"))</f>
        <v/>
      </c>
      <c r="L2">
        <f>IF(ROWS($L$2:$L2)&lt;=MAX('Per Line'!$AA$2:$AA$401),MATCH(ROWS($L$2:$L2),'Per Line'!$AA$2:$AA$401,0),"")</f>
        <v/>
      </c>
      <c r="M2">
        <f>IF(K2="Above",COUNTIF($K$2:K2,"Above"),"")</f>
        <v/>
      </c>
      <c r="N2">
        <f>IF(K2="Below",COUNTIF($K$2:K2,"Below"),"")</f>
        <v/>
      </c>
    </row>
    <row r="3">
      <c r="B3">
        <f>IF($L3="","",INDEX('Per Line'!$A$2:$A$401,$L3))</f>
        <v/>
      </c>
      <c r="C3">
        <f>IF($L3="","",INDEX('Per Line'!$B$2:$B$401,$L3))</f>
        <v/>
      </c>
      <c r="D3">
        <f>IF($L3="","",INDEX('Per Line'!$C$2:$C$401,$L3))</f>
        <v/>
      </c>
      <c r="E3">
        <f>IF($L3="","",INDEX('Per Line'!$P$2:$P$401,$L3))</f>
        <v/>
      </c>
      <c r="F3" s="5">
        <f>IF($L3="","",SUMIFS('Per Line'!$R$2:$R$401,'Per Line'!$A$2:$A$401,$B3))</f>
        <v/>
      </c>
      <c r="G3" s="5">
        <f>IF($L3="","",SUMIFS('Per Line'!$S$2:$S$401,'Per Line'!$A$2:$A$401,$B3))</f>
        <v/>
      </c>
      <c r="H3" s="5">
        <f>IF($L3="","",SUMIFS('Per Line'!$T$2:$T$401,'Per Line'!$A$2:$A$401,$B3))</f>
        <v/>
      </c>
      <c r="I3" s="5">
        <f>IF($L3="","",F3-G3)</f>
        <v/>
      </c>
      <c r="J3" s="5">
        <f>IF($L3="","",I3-H3)</f>
        <v/>
      </c>
      <c r="K3">
        <f>IF($L3="","",IFERROR(INDEX(Settings!$C$27:$C$36,MATCH(C3,Settings!$B$27:$B$36,0)),"Unassigned"))</f>
        <v/>
      </c>
      <c r="L3">
        <f>IF(ROWS($L$2:$L3)&lt;=MAX('Per Line'!$AA$2:$AA$401),MATCH(ROWS($L$2:$L3),'Per Line'!$AA$2:$AA$401,0),"")</f>
        <v/>
      </c>
      <c r="M3">
        <f>IF(K3="Above",COUNTIF($K$2:K3,"Above"),"")</f>
        <v/>
      </c>
      <c r="N3">
        <f>IF(K3="Below",COUNTIF($K$2:K3,"Below"),"")</f>
        <v/>
      </c>
    </row>
    <row r="4">
      <c r="B4">
        <f>IF($L4="","",INDEX('Per Line'!$A$2:$A$401,$L4))</f>
        <v/>
      </c>
      <c r="C4">
        <f>IF($L4="","",INDEX('Per Line'!$B$2:$B$401,$L4))</f>
        <v/>
      </c>
      <c r="D4">
        <f>IF($L4="","",INDEX('Per Line'!$C$2:$C$401,$L4))</f>
        <v/>
      </c>
      <c r="E4">
        <f>IF($L4="","",INDEX('Per Line'!$P$2:$P$401,$L4))</f>
        <v/>
      </c>
      <c r="F4" s="5">
        <f>IF($L4="","",SUMIFS('Per Line'!$R$2:$R$401,'Per Line'!$A$2:$A$401,$B4))</f>
        <v/>
      </c>
      <c r="G4" s="5">
        <f>IF($L4="","",SUMIFS('Per Line'!$S$2:$S$401,'Per Line'!$A$2:$A$401,$B4))</f>
        <v/>
      </c>
      <c r="H4" s="5">
        <f>IF($L4="","",SUMIFS('Per Line'!$T$2:$T$401,'Per Line'!$A$2:$A$401,$B4))</f>
        <v/>
      </c>
      <c r="I4" s="5">
        <f>IF($L4="","",F4-G4)</f>
        <v/>
      </c>
      <c r="J4" s="5">
        <f>IF($L4="","",I4-H4)</f>
        <v/>
      </c>
      <c r="K4">
        <f>IF($L4="","",IFERROR(INDEX(Settings!$C$27:$C$36,MATCH(C4,Settings!$B$27:$B$36,0)),"Unassigned"))</f>
        <v/>
      </c>
      <c r="L4">
        <f>IF(ROWS($L$2:$L4)&lt;=MAX('Per Line'!$AA$2:$AA$401),MATCH(ROWS($L$2:$L4),'Per Line'!$AA$2:$AA$401,0),"")</f>
        <v/>
      </c>
      <c r="M4">
        <f>IF(K4="Above",COUNTIF($K$2:K4,"Above"),"")</f>
        <v/>
      </c>
      <c r="N4">
        <f>IF(K4="Below",COUNTIF($K$2:K4,"Below"),"")</f>
        <v/>
      </c>
    </row>
    <row r="5">
      <c r="B5">
        <f>IF($L5="","",INDEX('Per Line'!$A$2:$A$401,$L5))</f>
        <v/>
      </c>
      <c r="C5">
        <f>IF($L5="","",INDEX('Per Line'!$B$2:$B$401,$L5))</f>
        <v/>
      </c>
      <c r="D5">
        <f>IF($L5="","",INDEX('Per Line'!$C$2:$C$401,$L5))</f>
        <v/>
      </c>
      <c r="E5">
        <f>IF($L5="","",INDEX('Per Line'!$P$2:$P$401,$L5))</f>
        <v/>
      </c>
      <c r="F5" s="5">
        <f>IF($L5="","",SUMIFS('Per Line'!$R$2:$R$401,'Per Line'!$A$2:$A$401,$B5))</f>
        <v/>
      </c>
      <c r="G5" s="5">
        <f>IF($L5="","",SUMIFS('Per Line'!$S$2:$S$401,'Per Line'!$A$2:$A$401,$B5))</f>
        <v/>
      </c>
      <c r="H5" s="5">
        <f>IF($L5="","",SUMIFS('Per Line'!$T$2:$T$401,'Per Line'!$A$2:$A$401,$B5))</f>
        <v/>
      </c>
      <c r="I5" s="5">
        <f>IF($L5="","",F5-G5)</f>
        <v/>
      </c>
      <c r="J5" s="5">
        <f>IF($L5="","",I5-H5)</f>
        <v/>
      </c>
      <c r="K5">
        <f>IF($L5="","",IFERROR(INDEX(Settings!$C$27:$C$36,MATCH(C5,Settings!$B$27:$B$36,0)),"Unassigned"))</f>
        <v/>
      </c>
      <c r="L5">
        <f>IF(ROWS($L$2:$L5)&lt;=MAX('Per Line'!$AA$2:$AA$401),MATCH(ROWS($L$2:$L5),'Per Line'!$AA$2:$AA$401,0),"")</f>
        <v/>
      </c>
      <c r="M5">
        <f>IF(K5="Above",COUNTIF($K$2:K5,"Above"),"")</f>
        <v/>
      </c>
      <c r="N5">
        <f>IF(K5="Below",COUNTIF($K$2:K5,"Below"),"")</f>
        <v/>
      </c>
    </row>
    <row r="6">
      <c r="B6">
        <f>IF($L6="","",INDEX('Per Line'!$A$2:$A$401,$L6))</f>
        <v/>
      </c>
      <c r="C6">
        <f>IF($L6="","",INDEX('Per Line'!$B$2:$B$401,$L6))</f>
        <v/>
      </c>
      <c r="D6">
        <f>IF($L6="","",INDEX('Per Line'!$C$2:$C$401,$L6))</f>
        <v/>
      </c>
      <c r="E6">
        <f>IF($L6="","",INDEX('Per Line'!$P$2:$P$401,$L6))</f>
        <v/>
      </c>
      <c r="F6" s="5">
        <f>IF($L6="","",SUMIFS('Per Line'!$R$2:$R$401,'Per Line'!$A$2:$A$401,$B6))</f>
        <v/>
      </c>
      <c r="G6" s="5">
        <f>IF($L6="","",SUMIFS('Per Line'!$S$2:$S$401,'Per Line'!$A$2:$A$401,$B6))</f>
        <v/>
      </c>
      <c r="H6" s="5">
        <f>IF($L6="","",SUMIFS('Per Line'!$T$2:$T$401,'Per Line'!$A$2:$A$401,$B6))</f>
        <v/>
      </c>
      <c r="I6" s="5">
        <f>IF($L6="","",F6-G6)</f>
        <v/>
      </c>
      <c r="J6" s="5">
        <f>IF($L6="","",I6-H6)</f>
        <v/>
      </c>
      <c r="K6">
        <f>IF($L6="","",IFERROR(INDEX(Settings!$C$27:$C$36,MATCH(C6,Settings!$B$27:$B$36,0)),"Unassigned"))</f>
        <v/>
      </c>
      <c r="L6">
        <f>IF(ROWS($L$2:$L6)&lt;=MAX('Per Line'!$AA$2:$AA$401),MATCH(ROWS($L$2:$L6),'Per Line'!$AA$2:$AA$401,0),"")</f>
        <v/>
      </c>
      <c r="M6">
        <f>IF(K6="Above",COUNTIF($K$2:K6,"Above"),"")</f>
        <v/>
      </c>
      <c r="N6">
        <f>IF(K6="Below",COUNTIF($K$2:K6,"Below"),"")</f>
        <v/>
      </c>
    </row>
    <row r="7">
      <c r="B7">
        <f>IF($L7="","",INDEX('Per Line'!$A$2:$A$401,$L7))</f>
        <v/>
      </c>
      <c r="C7">
        <f>IF($L7="","",INDEX('Per Line'!$B$2:$B$401,$L7))</f>
        <v/>
      </c>
      <c r="D7">
        <f>IF($L7="","",INDEX('Per Line'!$C$2:$C$401,$L7))</f>
        <v/>
      </c>
      <c r="E7">
        <f>IF($L7="","",INDEX('Per Line'!$P$2:$P$401,$L7))</f>
        <v/>
      </c>
      <c r="F7" s="5">
        <f>IF($L7="","",SUMIFS('Per Line'!$R$2:$R$401,'Per Line'!$A$2:$A$401,$B7))</f>
        <v/>
      </c>
      <c r="G7" s="5">
        <f>IF($L7="","",SUMIFS('Per Line'!$S$2:$S$401,'Per Line'!$A$2:$A$401,$B7))</f>
        <v/>
      </c>
      <c r="H7" s="5">
        <f>IF($L7="","",SUMIFS('Per Line'!$T$2:$T$401,'Per Line'!$A$2:$A$401,$B7))</f>
        <v/>
      </c>
      <c r="I7" s="5">
        <f>IF($L7="","",F7-G7)</f>
        <v/>
      </c>
      <c r="J7" s="5">
        <f>IF($L7="","",I7-H7)</f>
        <v/>
      </c>
      <c r="K7">
        <f>IF($L7="","",IFERROR(INDEX(Settings!$C$27:$C$36,MATCH(C7,Settings!$B$27:$B$36,0)),"Unassigned"))</f>
        <v/>
      </c>
      <c r="L7">
        <f>IF(ROWS($L$2:$L7)&lt;=MAX('Per Line'!$AA$2:$AA$401),MATCH(ROWS($L$2:$L7),'Per Line'!$AA$2:$AA$401,0),"")</f>
        <v/>
      </c>
      <c r="M7">
        <f>IF(K7="Above",COUNTIF($K$2:K7,"Above"),"")</f>
        <v/>
      </c>
      <c r="N7">
        <f>IF(K7="Below",COUNTIF($K$2:K7,"Below"),"")</f>
        <v/>
      </c>
    </row>
    <row r="8">
      <c r="B8">
        <f>IF($L8="","",INDEX('Per Line'!$A$2:$A$401,$L8))</f>
        <v/>
      </c>
      <c r="C8">
        <f>IF($L8="","",INDEX('Per Line'!$B$2:$B$401,$L8))</f>
        <v/>
      </c>
      <c r="D8">
        <f>IF($L8="","",INDEX('Per Line'!$C$2:$C$401,$L8))</f>
        <v/>
      </c>
      <c r="E8">
        <f>IF($L8="","",INDEX('Per Line'!$P$2:$P$401,$L8))</f>
        <v/>
      </c>
      <c r="F8" s="5">
        <f>IF($L8="","",SUMIFS('Per Line'!$R$2:$R$401,'Per Line'!$A$2:$A$401,$B8))</f>
        <v/>
      </c>
      <c r="G8" s="5">
        <f>IF($L8="","",SUMIFS('Per Line'!$S$2:$S$401,'Per Line'!$A$2:$A$401,$B8))</f>
        <v/>
      </c>
      <c r="H8" s="5">
        <f>IF($L8="","",SUMIFS('Per Line'!$T$2:$T$401,'Per Line'!$A$2:$A$401,$B8))</f>
        <v/>
      </c>
      <c r="I8" s="5">
        <f>IF($L8="","",F8-G8)</f>
        <v/>
      </c>
      <c r="J8" s="5">
        <f>IF($L8="","",I8-H8)</f>
        <v/>
      </c>
      <c r="K8">
        <f>IF($L8="","",IFERROR(INDEX(Settings!$C$27:$C$36,MATCH(C8,Settings!$B$27:$B$36,0)),"Unassigned"))</f>
        <v/>
      </c>
      <c r="L8">
        <f>IF(ROWS($L$2:$L8)&lt;=MAX('Per Line'!$AA$2:$AA$401),MATCH(ROWS($L$2:$L8),'Per Line'!$AA$2:$AA$401,0),"")</f>
        <v/>
      </c>
      <c r="M8">
        <f>IF(K8="Above",COUNTIF($K$2:K8,"Above"),"")</f>
        <v/>
      </c>
      <c r="N8">
        <f>IF(K8="Below",COUNTIF($K$2:K8,"Below"),"")</f>
        <v/>
      </c>
    </row>
    <row r="9">
      <c r="B9">
        <f>IF($L9="","",INDEX('Per Line'!$A$2:$A$401,$L9))</f>
        <v/>
      </c>
      <c r="C9">
        <f>IF($L9="","",INDEX('Per Line'!$B$2:$B$401,$L9))</f>
        <v/>
      </c>
      <c r="D9">
        <f>IF($L9="","",INDEX('Per Line'!$C$2:$C$401,$L9))</f>
        <v/>
      </c>
      <c r="E9">
        <f>IF($L9="","",INDEX('Per Line'!$P$2:$P$401,$L9))</f>
        <v/>
      </c>
      <c r="F9" s="5">
        <f>IF($L9="","",SUMIFS('Per Line'!$R$2:$R$401,'Per Line'!$A$2:$A$401,$B9))</f>
        <v/>
      </c>
      <c r="G9" s="5">
        <f>IF($L9="","",SUMIFS('Per Line'!$S$2:$S$401,'Per Line'!$A$2:$A$401,$B9))</f>
        <v/>
      </c>
      <c r="H9" s="5">
        <f>IF($L9="","",SUMIFS('Per Line'!$T$2:$T$401,'Per Line'!$A$2:$A$401,$B9))</f>
        <v/>
      </c>
      <c r="I9" s="5">
        <f>IF($L9="","",F9-G9)</f>
        <v/>
      </c>
      <c r="J9" s="5">
        <f>IF($L9="","",I9-H9)</f>
        <v/>
      </c>
      <c r="K9">
        <f>IF($L9="","",IFERROR(INDEX(Settings!$C$27:$C$36,MATCH(C9,Settings!$B$27:$B$36,0)),"Unassigned"))</f>
        <v/>
      </c>
      <c r="L9">
        <f>IF(ROWS($L$2:$L9)&lt;=MAX('Per Line'!$AA$2:$AA$401),MATCH(ROWS($L$2:$L9),'Per Line'!$AA$2:$AA$401,0),"")</f>
        <v/>
      </c>
      <c r="M9">
        <f>IF(K9="Above",COUNTIF($K$2:K9,"Above"),"")</f>
        <v/>
      </c>
      <c r="N9">
        <f>IF(K9="Below",COUNTIF($K$2:K9,"Below"),"")</f>
        <v/>
      </c>
    </row>
    <row r="10">
      <c r="B10">
        <f>IF($L10="","",INDEX('Per Line'!$A$2:$A$401,$L10))</f>
        <v/>
      </c>
      <c r="C10">
        <f>IF($L10="","",INDEX('Per Line'!$B$2:$B$401,$L10))</f>
        <v/>
      </c>
      <c r="D10">
        <f>IF($L10="","",INDEX('Per Line'!$C$2:$C$401,$L10))</f>
        <v/>
      </c>
      <c r="E10">
        <f>IF($L10="","",INDEX('Per Line'!$P$2:$P$401,$L10))</f>
        <v/>
      </c>
      <c r="F10" s="5">
        <f>IF($L10="","",SUMIFS('Per Line'!$R$2:$R$401,'Per Line'!$A$2:$A$401,$B10))</f>
        <v/>
      </c>
      <c r="G10" s="5">
        <f>IF($L10="","",SUMIFS('Per Line'!$S$2:$S$401,'Per Line'!$A$2:$A$401,$B10))</f>
        <v/>
      </c>
      <c r="H10" s="5">
        <f>IF($L10="","",SUMIFS('Per Line'!$T$2:$T$401,'Per Line'!$A$2:$A$401,$B10))</f>
        <v/>
      </c>
      <c r="I10" s="5">
        <f>IF($L10="","",F10-G10)</f>
        <v/>
      </c>
      <c r="J10" s="5">
        <f>IF($L10="","",I10-H10)</f>
        <v/>
      </c>
      <c r="K10">
        <f>IF($L10="","",IFERROR(INDEX(Settings!$C$27:$C$36,MATCH(C10,Settings!$B$27:$B$36,0)),"Unassigned"))</f>
        <v/>
      </c>
      <c r="L10">
        <f>IF(ROWS($L$2:$L10)&lt;=MAX('Per Line'!$AA$2:$AA$401),MATCH(ROWS($L$2:$L10),'Per Line'!$AA$2:$AA$401,0),"")</f>
        <v/>
      </c>
      <c r="M10">
        <f>IF(K10="Above",COUNTIF($K$2:K10,"Above"),"")</f>
        <v/>
      </c>
      <c r="N10">
        <f>IF(K10="Below",COUNTIF($K$2:K10,"Below"),"")</f>
        <v/>
      </c>
    </row>
    <row r="11">
      <c r="B11">
        <f>IF($L11="","",INDEX('Per Line'!$A$2:$A$401,$L11))</f>
        <v/>
      </c>
      <c r="C11">
        <f>IF($L11="","",INDEX('Per Line'!$B$2:$B$401,$L11))</f>
        <v/>
      </c>
      <c r="D11">
        <f>IF($L11="","",INDEX('Per Line'!$C$2:$C$401,$L11))</f>
        <v/>
      </c>
      <c r="E11">
        <f>IF($L11="","",INDEX('Per Line'!$P$2:$P$401,$L11))</f>
        <v/>
      </c>
      <c r="F11" s="5">
        <f>IF($L11="","",SUMIFS('Per Line'!$R$2:$R$401,'Per Line'!$A$2:$A$401,$B11))</f>
        <v/>
      </c>
      <c r="G11" s="5">
        <f>IF($L11="","",SUMIFS('Per Line'!$S$2:$S$401,'Per Line'!$A$2:$A$401,$B11))</f>
        <v/>
      </c>
      <c r="H11" s="5">
        <f>IF($L11="","",SUMIFS('Per Line'!$T$2:$T$401,'Per Line'!$A$2:$A$401,$B11))</f>
        <v/>
      </c>
      <c r="I11" s="5">
        <f>IF($L11="","",F11-G11)</f>
        <v/>
      </c>
      <c r="J11" s="5">
        <f>IF($L11="","",I11-H11)</f>
        <v/>
      </c>
      <c r="K11">
        <f>IF($L11="","",IFERROR(INDEX(Settings!$C$27:$C$36,MATCH(C11,Settings!$B$27:$B$36,0)),"Unassigned"))</f>
        <v/>
      </c>
      <c r="L11">
        <f>IF(ROWS($L$2:$L11)&lt;=MAX('Per Line'!$AA$2:$AA$401),MATCH(ROWS($L$2:$L11),'Per Line'!$AA$2:$AA$401,0),"")</f>
        <v/>
      </c>
      <c r="M11">
        <f>IF(K11="Above",COUNTIF($K$2:K11,"Above"),"")</f>
        <v/>
      </c>
      <c r="N11">
        <f>IF(K11="Below",COUNTIF($K$2:K11,"Below"),"")</f>
        <v/>
      </c>
    </row>
    <row r="12">
      <c r="B12">
        <f>IF($L12="","",INDEX('Per Line'!$A$2:$A$401,$L12))</f>
        <v/>
      </c>
      <c r="C12">
        <f>IF($L12="","",INDEX('Per Line'!$B$2:$B$401,$L12))</f>
        <v/>
      </c>
      <c r="D12">
        <f>IF($L12="","",INDEX('Per Line'!$C$2:$C$401,$L12))</f>
        <v/>
      </c>
      <c r="E12">
        <f>IF($L12="","",INDEX('Per Line'!$P$2:$P$401,$L12))</f>
        <v/>
      </c>
      <c r="F12" s="5">
        <f>IF($L12="","",SUMIFS('Per Line'!$R$2:$R$401,'Per Line'!$A$2:$A$401,$B12))</f>
        <v/>
      </c>
      <c r="G12" s="5">
        <f>IF($L12="","",SUMIFS('Per Line'!$S$2:$S$401,'Per Line'!$A$2:$A$401,$B12))</f>
        <v/>
      </c>
      <c r="H12" s="5">
        <f>IF($L12="","",SUMIFS('Per Line'!$T$2:$T$401,'Per Line'!$A$2:$A$401,$B12))</f>
        <v/>
      </c>
      <c r="I12" s="5">
        <f>IF($L12="","",F12-G12)</f>
        <v/>
      </c>
      <c r="J12" s="5">
        <f>IF($L12="","",I12-H12)</f>
        <v/>
      </c>
      <c r="K12">
        <f>IF($L12="","",IFERROR(INDEX(Settings!$C$27:$C$36,MATCH(C12,Settings!$B$27:$B$36,0)),"Unassigned"))</f>
        <v/>
      </c>
      <c r="L12">
        <f>IF(ROWS($L$2:$L12)&lt;=MAX('Per Line'!$AA$2:$AA$401),MATCH(ROWS($L$2:$L12),'Per Line'!$AA$2:$AA$401,0),"")</f>
        <v/>
      </c>
      <c r="M12">
        <f>IF(K12="Above",COUNTIF($K$2:K12,"Above"),"")</f>
        <v/>
      </c>
      <c r="N12">
        <f>IF(K12="Below",COUNTIF($K$2:K12,"Below"),"")</f>
        <v/>
      </c>
    </row>
    <row r="13">
      <c r="B13">
        <f>IF($L13="","",INDEX('Per Line'!$A$2:$A$401,$L13))</f>
        <v/>
      </c>
      <c r="C13">
        <f>IF($L13="","",INDEX('Per Line'!$B$2:$B$401,$L13))</f>
        <v/>
      </c>
      <c r="D13">
        <f>IF($L13="","",INDEX('Per Line'!$C$2:$C$401,$L13))</f>
        <v/>
      </c>
      <c r="E13">
        <f>IF($L13="","",INDEX('Per Line'!$P$2:$P$401,$L13))</f>
        <v/>
      </c>
      <c r="F13" s="5">
        <f>IF($L13="","",SUMIFS('Per Line'!$R$2:$R$401,'Per Line'!$A$2:$A$401,$B13))</f>
        <v/>
      </c>
      <c r="G13" s="5">
        <f>IF($L13="","",SUMIFS('Per Line'!$S$2:$S$401,'Per Line'!$A$2:$A$401,$B13))</f>
        <v/>
      </c>
      <c r="H13" s="5">
        <f>IF($L13="","",SUMIFS('Per Line'!$T$2:$T$401,'Per Line'!$A$2:$A$401,$B13))</f>
        <v/>
      </c>
      <c r="I13" s="5">
        <f>IF($L13="","",F13-G13)</f>
        <v/>
      </c>
      <c r="J13" s="5">
        <f>IF($L13="","",I13-H13)</f>
        <v/>
      </c>
      <c r="K13">
        <f>IF($L13="","",IFERROR(INDEX(Settings!$C$27:$C$36,MATCH(C13,Settings!$B$27:$B$36,0)),"Unassigned"))</f>
        <v/>
      </c>
      <c r="L13">
        <f>IF(ROWS($L$2:$L13)&lt;=MAX('Per Line'!$AA$2:$AA$401),MATCH(ROWS($L$2:$L13),'Per Line'!$AA$2:$AA$401,0),"")</f>
        <v/>
      </c>
      <c r="M13">
        <f>IF(K13="Above",COUNTIF($K$2:K13,"Above"),"")</f>
        <v/>
      </c>
      <c r="N13">
        <f>IF(K13="Below",COUNTIF($K$2:K13,"Below"),"")</f>
        <v/>
      </c>
    </row>
    <row r="14">
      <c r="B14">
        <f>IF($L14="","",INDEX('Per Line'!$A$2:$A$401,$L14))</f>
        <v/>
      </c>
      <c r="C14">
        <f>IF($L14="","",INDEX('Per Line'!$B$2:$B$401,$L14))</f>
        <v/>
      </c>
      <c r="D14">
        <f>IF($L14="","",INDEX('Per Line'!$C$2:$C$401,$L14))</f>
        <v/>
      </c>
      <c r="E14">
        <f>IF($L14="","",INDEX('Per Line'!$P$2:$P$401,$L14))</f>
        <v/>
      </c>
      <c r="F14" s="5">
        <f>IF($L14="","",SUMIFS('Per Line'!$R$2:$R$401,'Per Line'!$A$2:$A$401,$B14))</f>
        <v/>
      </c>
      <c r="G14" s="5">
        <f>IF($L14="","",SUMIFS('Per Line'!$S$2:$S$401,'Per Line'!$A$2:$A$401,$B14))</f>
        <v/>
      </c>
      <c r="H14" s="5">
        <f>IF($L14="","",SUMIFS('Per Line'!$T$2:$T$401,'Per Line'!$A$2:$A$401,$B14))</f>
        <v/>
      </c>
      <c r="I14" s="5">
        <f>IF($L14="","",F14-G14)</f>
        <v/>
      </c>
      <c r="J14" s="5">
        <f>IF($L14="","",I14-H14)</f>
        <v/>
      </c>
      <c r="K14">
        <f>IF($L14="","",IFERROR(INDEX(Settings!$C$27:$C$36,MATCH(C14,Settings!$B$27:$B$36,0)),"Unassigned"))</f>
        <v/>
      </c>
      <c r="L14">
        <f>IF(ROWS($L$2:$L14)&lt;=MAX('Per Line'!$AA$2:$AA$401),MATCH(ROWS($L$2:$L14),'Per Line'!$AA$2:$AA$401,0),"")</f>
        <v/>
      </c>
      <c r="M14">
        <f>IF(K14="Above",COUNTIF($K$2:K14,"Above"),"")</f>
        <v/>
      </c>
      <c r="N14">
        <f>IF(K14="Below",COUNTIF($K$2:K14,"Below"),"")</f>
        <v/>
      </c>
    </row>
    <row r="15">
      <c r="B15">
        <f>IF($L15="","",INDEX('Per Line'!$A$2:$A$401,$L15))</f>
        <v/>
      </c>
      <c r="C15">
        <f>IF($L15="","",INDEX('Per Line'!$B$2:$B$401,$L15))</f>
        <v/>
      </c>
      <c r="D15">
        <f>IF($L15="","",INDEX('Per Line'!$C$2:$C$401,$L15))</f>
        <v/>
      </c>
      <c r="E15">
        <f>IF($L15="","",INDEX('Per Line'!$P$2:$P$401,$L15))</f>
        <v/>
      </c>
      <c r="F15" s="5">
        <f>IF($L15="","",SUMIFS('Per Line'!$R$2:$R$401,'Per Line'!$A$2:$A$401,$B15))</f>
        <v/>
      </c>
      <c r="G15" s="5">
        <f>IF($L15="","",SUMIFS('Per Line'!$S$2:$S$401,'Per Line'!$A$2:$A$401,$B15))</f>
        <v/>
      </c>
      <c r="H15" s="5">
        <f>IF($L15="","",SUMIFS('Per Line'!$T$2:$T$401,'Per Line'!$A$2:$A$401,$B15))</f>
        <v/>
      </c>
      <c r="I15" s="5">
        <f>IF($L15="","",F15-G15)</f>
        <v/>
      </c>
      <c r="J15" s="5">
        <f>IF($L15="","",I15-H15)</f>
        <v/>
      </c>
      <c r="K15">
        <f>IF($L15="","",IFERROR(INDEX(Settings!$C$27:$C$36,MATCH(C15,Settings!$B$27:$B$36,0)),"Unassigned"))</f>
        <v/>
      </c>
      <c r="L15">
        <f>IF(ROWS($L$2:$L15)&lt;=MAX('Per Line'!$AA$2:$AA$401),MATCH(ROWS($L$2:$L15),'Per Line'!$AA$2:$AA$401,0),"")</f>
        <v/>
      </c>
      <c r="M15">
        <f>IF(K15="Above",COUNTIF($K$2:K15,"Above"),"")</f>
        <v/>
      </c>
      <c r="N15">
        <f>IF(K15="Below",COUNTIF($K$2:K15,"Below"),"")</f>
        <v/>
      </c>
    </row>
    <row r="16">
      <c r="B16">
        <f>IF($L16="","",INDEX('Per Line'!$A$2:$A$401,$L16))</f>
        <v/>
      </c>
      <c r="C16">
        <f>IF($L16="","",INDEX('Per Line'!$B$2:$B$401,$L16))</f>
        <v/>
      </c>
      <c r="D16">
        <f>IF($L16="","",INDEX('Per Line'!$C$2:$C$401,$L16))</f>
        <v/>
      </c>
      <c r="E16">
        <f>IF($L16="","",INDEX('Per Line'!$P$2:$P$401,$L16))</f>
        <v/>
      </c>
      <c r="F16" s="5">
        <f>IF($L16="","",SUMIFS('Per Line'!$R$2:$R$401,'Per Line'!$A$2:$A$401,$B16))</f>
        <v/>
      </c>
      <c r="G16" s="5">
        <f>IF($L16="","",SUMIFS('Per Line'!$S$2:$S$401,'Per Line'!$A$2:$A$401,$B16))</f>
        <v/>
      </c>
      <c r="H16" s="5">
        <f>IF($L16="","",SUMIFS('Per Line'!$T$2:$T$401,'Per Line'!$A$2:$A$401,$B16))</f>
        <v/>
      </c>
      <c r="I16" s="5">
        <f>IF($L16="","",F16-G16)</f>
        <v/>
      </c>
      <c r="J16" s="5">
        <f>IF($L16="","",I16-H16)</f>
        <v/>
      </c>
      <c r="K16">
        <f>IF($L16="","",IFERROR(INDEX(Settings!$C$27:$C$36,MATCH(C16,Settings!$B$27:$B$36,0)),"Unassigned"))</f>
        <v/>
      </c>
      <c r="L16">
        <f>IF(ROWS($L$2:$L16)&lt;=MAX('Per Line'!$AA$2:$AA$401),MATCH(ROWS($L$2:$L16),'Per Line'!$AA$2:$AA$401,0),"")</f>
        <v/>
      </c>
      <c r="M16">
        <f>IF(K16="Above",COUNTIF($K$2:K16,"Above"),"")</f>
        <v/>
      </c>
      <c r="N16">
        <f>IF(K16="Below",COUNTIF($K$2:K16,"Below"),"")</f>
        <v/>
      </c>
    </row>
    <row r="17">
      <c r="B17">
        <f>IF($L17="","",INDEX('Per Line'!$A$2:$A$401,$L17))</f>
        <v/>
      </c>
      <c r="C17">
        <f>IF($L17="","",INDEX('Per Line'!$B$2:$B$401,$L17))</f>
        <v/>
      </c>
      <c r="D17">
        <f>IF($L17="","",INDEX('Per Line'!$C$2:$C$401,$L17))</f>
        <v/>
      </c>
      <c r="E17">
        <f>IF($L17="","",INDEX('Per Line'!$P$2:$P$401,$L17))</f>
        <v/>
      </c>
      <c r="F17" s="5">
        <f>IF($L17="","",SUMIFS('Per Line'!$R$2:$R$401,'Per Line'!$A$2:$A$401,$B17))</f>
        <v/>
      </c>
      <c r="G17" s="5">
        <f>IF($L17="","",SUMIFS('Per Line'!$S$2:$S$401,'Per Line'!$A$2:$A$401,$B17))</f>
        <v/>
      </c>
      <c r="H17" s="5">
        <f>IF($L17="","",SUMIFS('Per Line'!$T$2:$T$401,'Per Line'!$A$2:$A$401,$B17))</f>
        <v/>
      </c>
      <c r="I17" s="5">
        <f>IF($L17="","",F17-G17)</f>
        <v/>
      </c>
      <c r="J17" s="5">
        <f>IF($L17="","",I17-H17)</f>
        <v/>
      </c>
      <c r="K17">
        <f>IF($L17="","",IFERROR(INDEX(Settings!$C$27:$C$36,MATCH(C17,Settings!$B$27:$B$36,0)),"Unassigned"))</f>
        <v/>
      </c>
      <c r="L17">
        <f>IF(ROWS($L$2:$L17)&lt;=MAX('Per Line'!$AA$2:$AA$401),MATCH(ROWS($L$2:$L17),'Per Line'!$AA$2:$AA$401,0),"")</f>
        <v/>
      </c>
      <c r="M17">
        <f>IF(K17="Above",COUNTIF($K$2:K17,"Above"),"")</f>
        <v/>
      </c>
      <c r="N17">
        <f>IF(K17="Below",COUNTIF($K$2:K17,"Below"),"")</f>
        <v/>
      </c>
    </row>
    <row r="18">
      <c r="B18">
        <f>IF($L18="","",INDEX('Per Line'!$A$2:$A$401,$L18))</f>
        <v/>
      </c>
      <c r="C18">
        <f>IF($L18="","",INDEX('Per Line'!$B$2:$B$401,$L18))</f>
        <v/>
      </c>
      <c r="D18">
        <f>IF($L18="","",INDEX('Per Line'!$C$2:$C$401,$L18))</f>
        <v/>
      </c>
      <c r="E18">
        <f>IF($L18="","",INDEX('Per Line'!$P$2:$P$401,$L18))</f>
        <v/>
      </c>
      <c r="F18" s="5">
        <f>IF($L18="","",SUMIFS('Per Line'!$R$2:$R$401,'Per Line'!$A$2:$A$401,$B18))</f>
        <v/>
      </c>
      <c r="G18" s="5">
        <f>IF($L18="","",SUMIFS('Per Line'!$S$2:$S$401,'Per Line'!$A$2:$A$401,$B18))</f>
        <v/>
      </c>
      <c r="H18" s="5">
        <f>IF($L18="","",SUMIFS('Per Line'!$T$2:$T$401,'Per Line'!$A$2:$A$401,$B18))</f>
        <v/>
      </c>
      <c r="I18" s="5">
        <f>IF($L18="","",F18-G18)</f>
        <v/>
      </c>
      <c r="J18" s="5">
        <f>IF($L18="","",I18-H18)</f>
        <v/>
      </c>
      <c r="K18">
        <f>IF($L18="","",IFERROR(INDEX(Settings!$C$27:$C$36,MATCH(C18,Settings!$B$27:$B$36,0)),"Unassigned"))</f>
        <v/>
      </c>
      <c r="L18">
        <f>IF(ROWS($L$2:$L18)&lt;=MAX('Per Line'!$AA$2:$AA$401),MATCH(ROWS($L$2:$L18),'Per Line'!$AA$2:$AA$401,0),"")</f>
        <v/>
      </c>
      <c r="M18">
        <f>IF(K18="Above",COUNTIF($K$2:K18,"Above"),"")</f>
        <v/>
      </c>
      <c r="N18">
        <f>IF(K18="Below",COUNTIF($K$2:K18,"Below"),"")</f>
        <v/>
      </c>
    </row>
    <row r="19">
      <c r="B19">
        <f>IF($L19="","",INDEX('Per Line'!$A$2:$A$401,$L19))</f>
        <v/>
      </c>
      <c r="C19">
        <f>IF($L19="","",INDEX('Per Line'!$B$2:$B$401,$L19))</f>
        <v/>
      </c>
      <c r="D19">
        <f>IF($L19="","",INDEX('Per Line'!$C$2:$C$401,$L19))</f>
        <v/>
      </c>
      <c r="E19">
        <f>IF($L19="","",INDEX('Per Line'!$P$2:$P$401,$L19))</f>
        <v/>
      </c>
      <c r="F19" s="5">
        <f>IF($L19="","",SUMIFS('Per Line'!$R$2:$R$401,'Per Line'!$A$2:$A$401,$B19))</f>
        <v/>
      </c>
      <c r="G19" s="5">
        <f>IF($L19="","",SUMIFS('Per Line'!$S$2:$S$401,'Per Line'!$A$2:$A$401,$B19))</f>
        <v/>
      </c>
      <c r="H19" s="5">
        <f>IF($L19="","",SUMIFS('Per Line'!$T$2:$T$401,'Per Line'!$A$2:$A$401,$B19))</f>
        <v/>
      </c>
      <c r="I19" s="5">
        <f>IF($L19="","",F19-G19)</f>
        <v/>
      </c>
      <c r="J19" s="5">
        <f>IF($L19="","",I19-H19)</f>
        <v/>
      </c>
      <c r="K19">
        <f>IF($L19="","",IFERROR(INDEX(Settings!$C$27:$C$36,MATCH(C19,Settings!$B$27:$B$36,0)),"Unassigned"))</f>
        <v/>
      </c>
      <c r="L19">
        <f>IF(ROWS($L$2:$L19)&lt;=MAX('Per Line'!$AA$2:$AA$401),MATCH(ROWS($L$2:$L19),'Per Line'!$AA$2:$AA$401,0),"")</f>
        <v/>
      </c>
      <c r="M19">
        <f>IF(K19="Above",COUNTIF($K$2:K19,"Above"),"")</f>
        <v/>
      </c>
      <c r="N19">
        <f>IF(K19="Below",COUNTIF($K$2:K19,"Below"),"")</f>
        <v/>
      </c>
    </row>
    <row r="20">
      <c r="B20">
        <f>IF($L20="","",INDEX('Per Line'!$A$2:$A$401,$L20))</f>
        <v/>
      </c>
      <c r="C20">
        <f>IF($L20="","",INDEX('Per Line'!$B$2:$B$401,$L20))</f>
        <v/>
      </c>
      <c r="D20">
        <f>IF($L20="","",INDEX('Per Line'!$C$2:$C$401,$L20))</f>
        <v/>
      </c>
      <c r="E20">
        <f>IF($L20="","",INDEX('Per Line'!$P$2:$P$401,$L20))</f>
        <v/>
      </c>
      <c r="F20" s="5">
        <f>IF($L20="","",SUMIFS('Per Line'!$R$2:$R$401,'Per Line'!$A$2:$A$401,$B20))</f>
        <v/>
      </c>
      <c r="G20" s="5">
        <f>IF($L20="","",SUMIFS('Per Line'!$S$2:$S$401,'Per Line'!$A$2:$A$401,$B20))</f>
        <v/>
      </c>
      <c r="H20" s="5">
        <f>IF($L20="","",SUMIFS('Per Line'!$T$2:$T$401,'Per Line'!$A$2:$A$401,$B20))</f>
        <v/>
      </c>
      <c r="I20" s="5">
        <f>IF($L20="","",F20-G20)</f>
        <v/>
      </c>
      <c r="J20" s="5">
        <f>IF($L20="","",I20-H20)</f>
        <v/>
      </c>
      <c r="K20">
        <f>IF($L20="","",IFERROR(INDEX(Settings!$C$27:$C$36,MATCH(C20,Settings!$B$27:$B$36,0)),"Unassigned"))</f>
        <v/>
      </c>
      <c r="L20">
        <f>IF(ROWS($L$2:$L20)&lt;=MAX('Per Line'!$AA$2:$AA$401),MATCH(ROWS($L$2:$L20),'Per Line'!$AA$2:$AA$401,0),"")</f>
        <v/>
      </c>
      <c r="M20">
        <f>IF(K20="Above",COUNTIF($K$2:K20,"Above"),"")</f>
        <v/>
      </c>
      <c r="N20">
        <f>IF(K20="Below",COUNTIF($K$2:K20,"Below"),"")</f>
        <v/>
      </c>
    </row>
    <row r="21">
      <c r="B21">
        <f>IF($L21="","",INDEX('Per Line'!$A$2:$A$401,$L21))</f>
        <v/>
      </c>
      <c r="C21">
        <f>IF($L21="","",INDEX('Per Line'!$B$2:$B$401,$L21))</f>
        <v/>
      </c>
      <c r="D21">
        <f>IF($L21="","",INDEX('Per Line'!$C$2:$C$401,$L21))</f>
        <v/>
      </c>
      <c r="E21">
        <f>IF($L21="","",INDEX('Per Line'!$P$2:$P$401,$L21))</f>
        <v/>
      </c>
      <c r="F21" s="5">
        <f>IF($L21="","",SUMIFS('Per Line'!$R$2:$R$401,'Per Line'!$A$2:$A$401,$B21))</f>
        <v/>
      </c>
      <c r="G21" s="5">
        <f>IF($L21="","",SUMIFS('Per Line'!$S$2:$S$401,'Per Line'!$A$2:$A$401,$B21))</f>
        <v/>
      </c>
      <c r="H21" s="5">
        <f>IF($L21="","",SUMIFS('Per Line'!$T$2:$T$401,'Per Line'!$A$2:$A$401,$B21))</f>
        <v/>
      </c>
      <c r="I21" s="5">
        <f>IF($L21="","",F21-G21)</f>
        <v/>
      </c>
      <c r="J21" s="5">
        <f>IF($L21="","",I21-H21)</f>
        <v/>
      </c>
      <c r="K21">
        <f>IF($L21="","",IFERROR(INDEX(Settings!$C$27:$C$36,MATCH(C21,Settings!$B$27:$B$36,0)),"Unassigned"))</f>
        <v/>
      </c>
      <c r="L21">
        <f>IF(ROWS($L$2:$L21)&lt;=MAX('Per Line'!$AA$2:$AA$401),MATCH(ROWS($L$2:$L21),'Per Line'!$AA$2:$AA$401,0),"")</f>
        <v/>
      </c>
      <c r="M21">
        <f>IF(K21="Above",COUNTIF($K$2:K21,"Above"),"")</f>
        <v/>
      </c>
      <c r="N21">
        <f>IF(K21="Below",COUNTIF($K$2:K21,"Below"),"")</f>
        <v/>
      </c>
    </row>
    <row r="22">
      <c r="B22">
        <f>IF($L22="","",INDEX('Per Line'!$A$2:$A$401,$L22))</f>
        <v/>
      </c>
      <c r="C22">
        <f>IF($L22="","",INDEX('Per Line'!$B$2:$B$401,$L22))</f>
        <v/>
      </c>
      <c r="D22">
        <f>IF($L22="","",INDEX('Per Line'!$C$2:$C$401,$L22))</f>
        <v/>
      </c>
      <c r="E22">
        <f>IF($L22="","",INDEX('Per Line'!$P$2:$P$401,$L22))</f>
        <v/>
      </c>
      <c r="F22" s="5">
        <f>IF($L22="","",SUMIFS('Per Line'!$R$2:$R$401,'Per Line'!$A$2:$A$401,$B22))</f>
        <v/>
      </c>
      <c r="G22" s="5">
        <f>IF($L22="","",SUMIFS('Per Line'!$S$2:$S$401,'Per Line'!$A$2:$A$401,$B22))</f>
        <v/>
      </c>
      <c r="H22" s="5">
        <f>IF($L22="","",SUMIFS('Per Line'!$T$2:$T$401,'Per Line'!$A$2:$A$401,$B22))</f>
        <v/>
      </c>
      <c r="I22" s="5">
        <f>IF($L22="","",F22-G22)</f>
        <v/>
      </c>
      <c r="J22" s="5">
        <f>IF($L22="","",I22-H22)</f>
        <v/>
      </c>
      <c r="K22">
        <f>IF($L22="","",IFERROR(INDEX(Settings!$C$27:$C$36,MATCH(C22,Settings!$B$27:$B$36,0)),"Unassigned"))</f>
        <v/>
      </c>
      <c r="L22">
        <f>IF(ROWS($L$2:$L22)&lt;=MAX('Per Line'!$AA$2:$AA$401),MATCH(ROWS($L$2:$L22),'Per Line'!$AA$2:$AA$401,0),"")</f>
        <v/>
      </c>
      <c r="M22">
        <f>IF(K22="Above",COUNTIF($K$2:K22,"Above"),"")</f>
        <v/>
      </c>
      <c r="N22">
        <f>IF(K22="Below",COUNTIF($K$2:K22,"Below"),"")</f>
        <v/>
      </c>
    </row>
    <row r="23">
      <c r="B23">
        <f>IF($L23="","",INDEX('Per Line'!$A$2:$A$401,$L23))</f>
        <v/>
      </c>
      <c r="C23">
        <f>IF($L23="","",INDEX('Per Line'!$B$2:$B$401,$L23))</f>
        <v/>
      </c>
      <c r="D23">
        <f>IF($L23="","",INDEX('Per Line'!$C$2:$C$401,$L23))</f>
        <v/>
      </c>
      <c r="E23">
        <f>IF($L23="","",INDEX('Per Line'!$P$2:$P$401,$L23))</f>
        <v/>
      </c>
      <c r="F23" s="5">
        <f>IF($L23="","",SUMIFS('Per Line'!$R$2:$R$401,'Per Line'!$A$2:$A$401,$B23))</f>
        <v/>
      </c>
      <c r="G23" s="5">
        <f>IF($L23="","",SUMIFS('Per Line'!$S$2:$S$401,'Per Line'!$A$2:$A$401,$B23))</f>
        <v/>
      </c>
      <c r="H23" s="5">
        <f>IF($L23="","",SUMIFS('Per Line'!$T$2:$T$401,'Per Line'!$A$2:$A$401,$B23))</f>
        <v/>
      </c>
      <c r="I23" s="5">
        <f>IF($L23="","",F23-G23)</f>
        <v/>
      </c>
      <c r="J23" s="5">
        <f>IF($L23="","",I23-H23)</f>
        <v/>
      </c>
      <c r="K23">
        <f>IF($L23="","",IFERROR(INDEX(Settings!$C$27:$C$36,MATCH(C23,Settings!$B$27:$B$36,0)),"Unassigned"))</f>
        <v/>
      </c>
      <c r="L23">
        <f>IF(ROWS($L$2:$L23)&lt;=MAX('Per Line'!$AA$2:$AA$401),MATCH(ROWS($L$2:$L23),'Per Line'!$AA$2:$AA$401,0),"")</f>
        <v/>
      </c>
      <c r="M23">
        <f>IF(K23="Above",COUNTIF($K$2:K23,"Above"),"")</f>
        <v/>
      </c>
      <c r="N23">
        <f>IF(K23="Below",COUNTIF($K$2:K23,"Below"),"")</f>
        <v/>
      </c>
    </row>
    <row r="24">
      <c r="B24">
        <f>IF($L24="","",INDEX('Per Line'!$A$2:$A$401,$L24))</f>
        <v/>
      </c>
      <c r="C24">
        <f>IF($L24="","",INDEX('Per Line'!$B$2:$B$401,$L24))</f>
        <v/>
      </c>
      <c r="D24">
        <f>IF($L24="","",INDEX('Per Line'!$C$2:$C$401,$L24))</f>
        <v/>
      </c>
      <c r="E24">
        <f>IF($L24="","",INDEX('Per Line'!$P$2:$P$401,$L24))</f>
        <v/>
      </c>
      <c r="F24" s="5">
        <f>IF($L24="","",SUMIFS('Per Line'!$R$2:$R$401,'Per Line'!$A$2:$A$401,$B24))</f>
        <v/>
      </c>
      <c r="G24" s="5">
        <f>IF($L24="","",SUMIFS('Per Line'!$S$2:$S$401,'Per Line'!$A$2:$A$401,$B24))</f>
        <v/>
      </c>
      <c r="H24" s="5">
        <f>IF($L24="","",SUMIFS('Per Line'!$T$2:$T$401,'Per Line'!$A$2:$A$401,$B24))</f>
        <v/>
      </c>
      <c r="I24" s="5">
        <f>IF($L24="","",F24-G24)</f>
        <v/>
      </c>
      <c r="J24" s="5">
        <f>IF($L24="","",I24-H24)</f>
        <v/>
      </c>
      <c r="K24">
        <f>IF($L24="","",IFERROR(INDEX(Settings!$C$27:$C$36,MATCH(C24,Settings!$B$27:$B$36,0)),"Unassigned"))</f>
        <v/>
      </c>
      <c r="L24">
        <f>IF(ROWS($L$2:$L24)&lt;=MAX('Per Line'!$AA$2:$AA$401),MATCH(ROWS($L$2:$L24),'Per Line'!$AA$2:$AA$401,0),"")</f>
        <v/>
      </c>
      <c r="M24">
        <f>IF(K24="Above",COUNTIF($K$2:K24,"Above"),"")</f>
        <v/>
      </c>
      <c r="N24">
        <f>IF(K24="Below",COUNTIF($K$2:K24,"Below"),"")</f>
        <v/>
      </c>
    </row>
    <row r="25">
      <c r="B25">
        <f>IF($L25="","",INDEX('Per Line'!$A$2:$A$401,$L25))</f>
        <v/>
      </c>
      <c r="C25">
        <f>IF($L25="","",INDEX('Per Line'!$B$2:$B$401,$L25))</f>
        <v/>
      </c>
      <c r="D25">
        <f>IF($L25="","",INDEX('Per Line'!$C$2:$C$401,$L25))</f>
        <v/>
      </c>
      <c r="E25">
        <f>IF($L25="","",INDEX('Per Line'!$P$2:$P$401,$L25))</f>
        <v/>
      </c>
      <c r="F25" s="5">
        <f>IF($L25="","",SUMIFS('Per Line'!$R$2:$R$401,'Per Line'!$A$2:$A$401,$B25))</f>
        <v/>
      </c>
      <c r="G25" s="5">
        <f>IF($L25="","",SUMIFS('Per Line'!$S$2:$S$401,'Per Line'!$A$2:$A$401,$B25))</f>
        <v/>
      </c>
      <c r="H25" s="5">
        <f>IF($L25="","",SUMIFS('Per Line'!$T$2:$T$401,'Per Line'!$A$2:$A$401,$B25))</f>
        <v/>
      </c>
      <c r="I25" s="5">
        <f>IF($L25="","",F25-G25)</f>
        <v/>
      </c>
      <c r="J25" s="5">
        <f>IF($L25="","",I25-H25)</f>
        <v/>
      </c>
      <c r="K25">
        <f>IF($L25="","",IFERROR(INDEX(Settings!$C$27:$C$36,MATCH(C25,Settings!$B$27:$B$36,0)),"Unassigned"))</f>
        <v/>
      </c>
      <c r="L25">
        <f>IF(ROWS($L$2:$L25)&lt;=MAX('Per Line'!$AA$2:$AA$401),MATCH(ROWS($L$2:$L25),'Per Line'!$AA$2:$AA$401,0),"")</f>
        <v/>
      </c>
      <c r="M25">
        <f>IF(K25="Above",COUNTIF($K$2:K25,"Above"),"")</f>
        <v/>
      </c>
      <c r="N25">
        <f>IF(K25="Below",COUNTIF($K$2:K25,"Below"),"")</f>
        <v/>
      </c>
    </row>
    <row r="26">
      <c r="B26">
        <f>IF($L26="","",INDEX('Per Line'!$A$2:$A$401,$L26))</f>
        <v/>
      </c>
      <c r="C26">
        <f>IF($L26="","",INDEX('Per Line'!$B$2:$B$401,$L26))</f>
        <v/>
      </c>
      <c r="D26">
        <f>IF($L26="","",INDEX('Per Line'!$C$2:$C$401,$L26))</f>
        <v/>
      </c>
      <c r="E26">
        <f>IF($L26="","",INDEX('Per Line'!$P$2:$P$401,$L26))</f>
        <v/>
      </c>
      <c r="F26" s="5">
        <f>IF($L26="","",SUMIFS('Per Line'!$R$2:$R$401,'Per Line'!$A$2:$A$401,$B26))</f>
        <v/>
      </c>
      <c r="G26" s="5">
        <f>IF($L26="","",SUMIFS('Per Line'!$S$2:$S$401,'Per Line'!$A$2:$A$401,$B26))</f>
        <v/>
      </c>
      <c r="H26" s="5">
        <f>IF($L26="","",SUMIFS('Per Line'!$T$2:$T$401,'Per Line'!$A$2:$A$401,$B26))</f>
        <v/>
      </c>
      <c r="I26" s="5">
        <f>IF($L26="","",F26-G26)</f>
        <v/>
      </c>
      <c r="J26" s="5">
        <f>IF($L26="","",I26-H26)</f>
        <v/>
      </c>
      <c r="K26">
        <f>IF($L26="","",IFERROR(INDEX(Settings!$C$27:$C$36,MATCH(C26,Settings!$B$27:$B$36,0)),"Unassigned"))</f>
        <v/>
      </c>
      <c r="L26">
        <f>IF(ROWS($L$2:$L26)&lt;=MAX('Per Line'!$AA$2:$AA$401),MATCH(ROWS($L$2:$L26),'Per Line'!$AA$2:$AA$401,0),"")</f>
        <v/>
      </c>
      <c r="M26">
        <f>IF(K26="Above",COUNTIF($K$2:K26,"Above"),"")</f>
        <v/>
      </c>
      <c r="N26">
        <f>IF(K26="Below",COUNTIF($K$2:K26,"Below"),"")</f>
        <v/>
      </c>
    </row>
    <row r="27">
      <c r="B27">
        <f>IF($L27="","",INDEX('Per Line'!$A$2:$A$401,$L27))</f>
        <v/>
      </c>
      <c r="C27">
        <f>IF($L27="","",INDEX('Per Line'!$B$2:$B$401,$L27))</f>
        <v/>
      </c>
      <c r="D27">
        <f>IF($L27="","",INDEX('Per Line'!$C$2:$C$401,$L27))</f>
        <v/>
      </c>
      <c r="E27">
        <f>IF($L27="","",INDEX('Per Line'!$P$2:$P$401,$L27))</f>
        <v/>
      </c>
      <c r="F27" s="5">
        <f>IF($L27="","",SUMIFS('Per Line'!$R$2:$R$401,'Per Line'!$A$2:$A$401,$B27))</f>
        <v/>
      </c>
      <c r="G27" s="5">
        <f>IF($L27="","",SUMIFS('Per Line'!$S$2:$S$401,'Per Line'!$A$2:$A$401,$B27))</f>
        <v/>
      </c>
      <c r="H27" s="5">
        <f>IF($L27="","",SUMIFS('Per Line'!$T$2:$T$401,'Per Line'!$A$2:$A$401,$B27))</f>
        <v/>
      </c>
      <c r="I27" s="5">
        <f>IF($L27="","",F27-G27)</f>
        <v/>
      </c>
      <c r="J27" s="5">
        <f>IF($L27="","",I27-H27)</f>
        <v/>
      </c>
      <c r="K27">
        <f>IF($L27="","",IFERROR(INDEX(Settings!$C$27:$C$36,MATCH(C27,Settings!$B$27:$B$36,0)),"Unassigned"))</f>
        <v/>
      </c>
      <c r="L27">
        <f>IF(ROWS($L$2:$L27)&lt;=MAX('Per Line'!$AA$2:$AA$401),MATCH(ROWS($L$2:$L27),'Per Line'!$AA$2:$AA$401,0),"")</f>
        <v/>
      </c>
      <c r="M27">
        <f>IF(K27="Above",COUNTIF($K$2:K27,"Above"),"")</f>
        <v/>
      </c>
      <c r="N27">
        <f>IF(K27="Below",COUNTIF($K$2:K27,"Below"),"")</f>
        <v/>
      </c>
    </row>
    <row r="28">
      <c r="B28">
        <f>IF($L28="","",INDEX('Per Line'!$A$2:$A$401,$L28))</f>
        <v/>
      </c>
      <c r="C28">
        <f>IF($L28="","",INDEX('Per Line'!$B$2:$B$401,$L28))</f>
        <v/>
      </c>
      <c r="D28">
        <f>IF($L28="","",INDEX('Per Line'!$C$2:$C$401,$L28))</f>
        <v/>
      </c>
      <c r="E28">
        <f>IF($L28="","",INDEX('Per Line'!$P$2:$P$401,$L28))</f>
        <v/>
      </c>
      <c r="F28" s="5">
        <f>IF($L28="","",SUMIFS('Per Line'!$R$2:$R$401,'Per Line'!$A$2:$A$401,$B28))</f>
        <v/>
      </c>
      <c r="G28" s="5">
        <f>IF($L28="","",SUMIFS('Per Line'!$S$2:$S$401,'Per Line'!$A$2:$A$401,$B28))</f>
        <v/>
      </c>
      <c r="H28" s="5">
        <f>IF($L28="","",SUMIFS('Per Line'!$T$2:$T$401,'Per Line'!$A$2:$A$401,$B28))</f>
        <v/>
      </c>
      <c r="I28" s="5">
        <f>IF($L28="","",F28-G28)</f>
        <v/>
      </c>
      <c r="J28" s="5">
        <f>IF($L28="","",I28-H28)</f>
        <v/>
      </c>
      <c r="K28">
        <f>IF($L28="","",IFERROR(INDEX(Settings!$C$27:$C$36,MATCH(C28,Settings!$B$27:$B$36,0)),"Unassigned"))</f>
        <v/>
      </c>
      <c r="L28">
        <f>IF(ROWS($L$2:$L28)&lt;=MAX('Per Line'!$AA$2:$AA$401),MATCH(ROWS($L$2:$L28),'Per Line'!$AA$2:$AA$401,0),"")</f>
        <v/>
      </c>
      <c r="M28">
        <f>IF(K28="Above",COUNTIF($K$2:K28,"Above"),"")</f>
        <v/>
      </c>
      <c r="N28">
        <f>IF(K28="Below",COUNTIF($K$2:K28,"Below"),"")</f>
        <v/>
      </c>
    </row>
    <row r="29">
      <c r="B29">
        <f>IF($L29="","",INDEX('Per Line'!$A$2:$A$401,$L29))</f>
        <v/>
      </c>
      <c r="C29">
        <f>IF($L29="","",INDEX('Per Line'!$B$2:$B$401,$L29))</f>
        <v/>
      </c>
      <c r="D29">
        <f>IF($L29="","",INDEX('Per Line'!$C$2:$C$401,$L29))</f>
        <v/>
      </c>
      <c r="E29">
        <f>IF($L29="","",INDEX('Per Line'!$P$2:$P$401,$L29))</f>
        <v/>
      </c>
      <c r="F29" s="5">
        <f>IF($L29="","",SUMIFS('Per Line'!$R$2:$R$401,'Per Line'!$A$2:$A$401,$B29))</f>
        <v/>
      </c>
      <c r="G29" s="5">
        <f>IF($L29="","",SUMIFS('Per Line'!$S$2:$S$401,'Per Line'!$A$2:$A$401,$B29))</f>
        <v/>
      </c>
      <c r="H29" s="5">
        <f>IF($L29="","",SUMIFS('Per Line'!$T$2:$T$401,'Per Line'!$A$2:$A$401,$B29))</f>
        <v/>
      </c>
      <c r="I29" s="5">
        <f>IF($L29="","",F29-G29)</f>
        <v/>
      </c>
      <c r="J29" s="5">
        <f>IF($L29="","",I29-H29)</f>
        <v/>
      </c>
      <c r="K29">
        <f>IF($L29="","",IFERROR(INDEX(Settings!$C$27:$C$36,MATCH(C29,Settings!$B$27:$B$36,0)),"Unassigned"))</f>
        <v/>
      </c>
      <c r="L29">
        <f>IF(ROWS($L$2:$L29)&lt;=MAX('Per Line'!$AA$2:$AA$401),MATCH(ROWS($L$2:$L29),'Per Line'!$AA$2:$AA$401,0),"")</f>
        <v/>
      </c>
      <c r="M29">
        <f>IF(K29="Above",COUNTIF($K$2:K29,"Above"),"")</f>
        <v/>
      </c>
      <c r="N29">
        <f>IF(K29="Below",COUNTIF($K$2:K29,"Below"),"")</f>
        <v/>
      </c>
    </row>
    <row r="30">
      <c r="B30">
        <f>IF($L30="","",INDEX('Per Line'!$A$2:$A$401,$L30))</f>
        <v/>
      </c>
      <c r="C30">
        <f>IF($L30="","",INDEX('Per Line'!$B$2:$B$401,$L30))</f>
        <v/>
      </c>
      <c r="D30">
        <f>IF($L30="","",INDEX('Per Line'!$C$2:$C$401,$L30))</f>
        <v/>
      </c>
      <c r="E30">
        <f>IF($L30="","",INDEX('Per Line'!$P$2:$P$401,$L30))</f>
        <v/>
      </c>
      <c r="F30" s="5">
        <f>IF($L30="","",SUMIFS('Per Line'!$R$2:$R$401,'Per Line'!$A$2:$A$401,$B30))</f>
        <v/>
      </c>
      <c r="G30" s="5">
        <f>IF($L30="","",SUMIFS('Per Line'!$S$2:$S$401,'Per Line'!$A$2:$A$401,$B30))</f>
        <v/>
      </c>
      <c r="H30" s="5">
        <f>IF($L30="","",SUMIFS('Per Line'!$T$2:$T$401,'Per Line'!$A$2:$A$401,$B30))</f>
        <v/>
      </c>
      <c r="I30" s="5">
        <f>IF($L30="","",F30-G30)</f>
        <v/>
      </c>
      <c r="J30" s="5">
        <f>IF($L30="","",I30-H30)</f>
        <v/>
      </c>
      <c r="K30">
        <f>IF($L30="","",IFERROR(INDEX(Settings!$C$27:$C$36,MATCH(C30,Settings!$B$27:$B$36,0)),"Unassigned"))</f>
        <v/>
      </c>
      <c r="L30">
        <f>IF(ROWS($L$2:$L30)&lt;=MAX('Per Line'!$AA$2:$AA$401),MATCH(ROWS($L$2:$L30),'Per Line'!$AA$2:$AA$401,0),"")</f>
        <v/>
      </c>
      <c r="M30">
        <f>IF(K30="Above",COUNTIF($K$2:K30,"Above"),"")</f>
        <v/>
      </c>
      <c r="N30">
        <f>IF(K30="Below",COUNTIF($K$2:K30,"Below"),"")</f>
        <v/>
      </c>
    </row>
    <row r="31">
      <c r="B31">
        <f>IF($L31="","",INDEX('Per Line'!$A$2:$A$401,$L31))</f>
        <v/>
      </c>
      <c r="C31">
        <f>IF($L31="","",INDEX('Per Line'!$B$2:$B$401,$L31))</f>
        <v/>
      </c>
      <c r="D31">
        <f>IF($L31="","",INDEX('Per Line'!$C$2:$C$401,$L31))</f>
        <v/>
      </c>
      <c r="E31">
        <f>IF($L31="","",INDEX('Per Line'!$P$2:$P$401,$L31))</f>
        <v/>
      </c>
      <c r="F31" s="5">
        <f>IF($L31="","",SUMIFS('Per Line'!$R$2:$R$401,'Per Line'!$A$2:$A$401,$B31))</f>
        <v/>
      </c>
      <c r="G31" s="5">
        <f>IF($L31="","",SUMIFS('Per Line'!$S$2:$S$401,'Per Line'!$A$2:$A$401,$B31))</f>
        <v/>
      </c>
      <c r="H31" s="5">
        <f>IF($L31="","",SUMIFS('Per Line'!$T$2:$T$401,'Per Line'!$A$2:$A$401,$B31))</f>
        <v/>
      </c>
      <c r="I31" s="5">
        <f>IF($L31="","",F31-G31)</f>
        <v/>
      </c>
      <c r="J31" s="5">
        <f>IF($L31="","",I31-H31)</f>
        <v/>
      </c>
      <c r="K31">
        <f>IF($L31="","",IFERROR(INDEX(Settings!$C$27:$C$36,MATCH(C31,Settings!$B$27:$B$36,0)),"Unassigned"))</f>
        <v/>
      </c>
      <c r="L31">
        <f>IF(ROWS($L$2:$L31)&lt;=MAX('Per Line'!$AA$2:$AA$401),MATCH(ROWS($L$2:$L31),'Per Line'!$AA$2:$AA$401,0),"")</f>
        <v/>
      </c>
      <c r="M31">
        <f>IF(K31="Above",COUNTIF($K$2:K31,"Above"),"")</f>
        <v/>
      </c>
      <c r="N31">
        <f>IF(K31="Below",COUNTIF($K$2:K31,"Below"),"")</f>
        <v/>
      </c>
    </row>
    <row r="32">
      <c r="B32">
        <f>IF($L32="","",INDEX('Per Line'!$A$2:$A$401,$L32))</f>
        <v/>
      </c>
      <c r="C32">
        <f>IF($L32="","",INDEX('Per Line'!$B$2:$B$401,$L32))</f>
        <v/>
      </c>
      <c r="D32">
        <f>IF($L32="","",INDEX('Per Line'!$C$2:$C$401,$L32))</f>
        <v/>
      </c>
      <c r="E32">
        <f>IF($L32="","",INDEX('Per Line'!$P$2:$P$401,$L32))</f>
        <v/>
      </c>
      <c r="F32" s="5">
        <f>IF($L32="","",SUMIFS('Per Line'!$R$2:$R$401,'Per Line'!$A$2:$A$401,$B32))</f>
        <v/>
      </c>
      <c r="G32" s="5">
        <f>IF($L32="","",SUMIFS('Per Line'!$S$2:$S$401,'Per Line'!$A$2:$A$401,$B32))</f>
        <v/>
      </c>
      <c r="H32" s="5">
        <f>IF($L32="","",SUMIFS('Per Line'!$T$2:$T$401,'Per Line'!$A$2:$A$401,$B32))</f>
        <v/>
      </c>
      <c r="I32" s="5">
        <f>IF($L32="","",F32-G32)</f>
        <v/>
      </c>
      <c r="J32" s="5">
        <f>IF($L32="","",I32-H32)</f>
        <v/>
      </c>
      <c r="K32">
        <f>IF($L32="","",IFERROR(INDEX(Settings!$C$27:$C$36,MATCH(C32,Settings!$B$27:$B$36,0)),"Unassigned"))</f>
        <v/>
      </c>
      <c r="L32">
        <f>IF(ROWS($L$2:$L32)&lt;=MAX('Per Line'!$AA$2:$AA$401),MATCH(ROWS($L$2:$L32),'Per Line'!$AA$2:$AA$401,0),"")</f>
        <v/>
      </c>
      <c r="M32">
        <f>IF(K32="Above",COUNTIF($K$2:K32,"Above"),"")</f>
        <v/>
      </c>
      <c r="N32">
        <f>IF(K32="Below",COUNTIF($K$2:K32,"Below"),"")</f>
        <v/>
      </c>
    </row>
    <row r="33">
      <c r="B33">
        <f>IF($L33="","",INDEX('Per Line'!$A$2:$A$401,$L33))</f>
        <v/>
      </c>
      <c r="C33">
        <f>IF($L33="","",INDEX('Per Line'!$B$2:$B$401,$L33))</f>
        <v/>
      </c>
      <c r="D33">
        <f>IF($L33="","",INDEX('Per Line'!$C$2:$C$401,$L33))</f>
        <v/>
      </c>
      <c r="E33">
        <f>IF($L33="","",INDEX('Per Line'!$P$2:$P$401,$L33))</f>
        <v/>
      </c>
      <c r="F33" s="5">
        <f>IF($L33="","",SUMIFS('Per Line'!$R$2:$R$401,'Per Line'!$A$2:$A$401,$B33))</f>
        <v/>
      </c>
      <c r="G33" s="5">
        <f>IF($L33="","",SUMIFS('Per Line'!$S$2:$S$401,'Per Line'!$A$2:$A$401,$B33))</f>
        <v/>
      </c>
      <c r="H33" s="5">
        <f>IF($L33="","",SUMIFS('Per Line'!$T$2:$T$401,'Per Line'!$A$2:$A$401,$B33))</f>
        <v/>
      </c>
      <c r="I33" s="5">
        <f>IF($L33="","",F33-G33)</f>
        <v/>
      </c>
      <c r="J33" s="5">
        <f>IF($L33="","",I33-H33)</f>
        <v/>
      </c>
      <c r="K33">
        <f>IF($L33="","",IFERROR(INDEX(Settings!$C$27:$C$36,MATCH(C33,Settings!$B$27:$B$36,0)),"Unassigned"))</f>
        <v/>
      </c>
      <c r="L33">
        <f>IF(ROWS($L$2:$L33)&lt;=MAX('Per Line'!$AA$2:$AA$401),MATCH(ROWS($L$2:$L33),'Per Line'!$AA$2:$AA$401,0),"")</f>
        <v/>
      </c>
      <c r="M33">
        <f>IF(K33="Above",COUNTIF($K$2:K33,"Above"),"")</f>
        <v/>
      </c>
      <c r="N33">
        <f>IF(K33="Below",COUNTIF($K$2:K33,"Below"),"")</f>
        <v/>
      </c>
    </row>
    <row r="34">
      <c r="B34">
        <f>IF($L34="","",INDEX('Per Line'!$A$2:$A$401,$L34))</f>
        <v/>
      </c>
      <c r="C34">
        <f>IF($L34="","",INDEX('Per Line'!$B$2:$B$401,$L34))</f>
        <v/>
      </c>
      <c r="D34">
        <f>IF($L34="","",INDEX('Per Line'!$C$2:$C$401,$L34))</f>
        <v/>
      </c>
      <c r="E34">
        <f>IF($L34="","",INDEX('Per Line'!$P$2:$P$401,$L34))</f>
        <v/>
      </c>
      <c r="F34" s="5">
        <f>IF($L34="","",SUMIFS('Per Line'!$R$2:$R$401,'Per Line'!$A$2:$A$401,$B34))</f>
        <v/>
      </c>
      <c r="G34" s="5">
        <f>IF($L34="","",SUMIFS('Per Line'!$S$2:$S$401,'Per Line'!$A$2:$A$401,$B34))</f>
        <v/>
      </c>
      <c r="H34" s="5">
        <f>IF($L34="","",SUMIFS('Per Line'!$T$2:$T$401,'Per Line'!$A$2:$A$401,$B34))</f>
        <v/>
      </c>
      <c r="I34" s="5">
        <f>IF($L34="","",F34-G34)</f>
        <v/>
      </c>
      <c r="J34" s="5">
        <f>IF($L34="","",I34-H34)</f>
        <v/>
      </c>
      <c r="K34">
        <f>IF($L34="","",IFERROR(INDEX(Settings!$C$27:$C$36,MATCH(C34,Settings!$B$27:$B$36,0)),"Unassigned"))</f>
        <v/>
      </c>
      <c r="L34">
        <f>IF(ROWS($L$2:$L34)&lt;=MAX('Per Line'!$AA$2:$AA$401),MATCH(ROWS($L$2:$L34),'Per Line'!$AA$2:$AA$401,0),"")</f>
        <v/>
      </c>
      <c r="M34">
        <f>IF(K34="Above",COUNTIF($K$2:K34,"Above"),"")</f>
        <v/>
      </c>
      <c r="N34">
        <f>IF(K34="Below",COUNTIF($K$2:K34,"Below"),"")</f>
        <v/>
      </c>
    </row>
    <row r="35">
      <c r="B35">
        <f>IF($L35="","",INDEX('Per Line'!$A$2:$A$401,$L35))</f>
        <v/>
      </c>
      <c r="C35">
        <f>IF($L35="","",INDEX('Per Line'!$B$2:$B$401,$L35))</f>
        <v/>
      </c>
      <c r="D35">
        <f>IF($L35="","",INDEX('Per Line'!$C$2:$C$401,$L35))</f>
        <v/>
      </c>
      <c r="E35">
        <f>IF($L35="","",INDEX('Per Line'!$P$2:$P$401,$L35))</f>
        <v/>
      </c>
      <c r="F35" s="5">
        <f>IF($L35="","",SUMIFS('Per Line'!$R$2:$R$401,'Per Line'!$A$2:$A$401,$B35))</f>
        <v/>
      </c>
      <c r="G35" s="5">
        <f>IF($L35="","",SUMIFS('Per Line'!$S$2:$S$401,'Per Line'!$A$2:$A$401,$B35))</f>
        <v/>
      </c>
      <c r="H35" s="5">
        <f>IF($L35="","",SUMIFS('Per Line'!$T$2:$T$401,'Per Line'!$A$2:$A$401,$B35))</f>
        <v/>
      </c>
      <c r="I35" s="5">
        <f>IF($L35="","",F35-G35)</f>
        <v/>
      </c>
      <c r="J35" s="5">
        <f>IF($L35="","",I35-H35)</f>
        <v/>
      </c>
      <c r="K35">
        <f>IF($L35="","",IFERROR(INDEX(Settings!$C$27:$C$36,MATCH(C35,Settings!$B$27:$B$36,0)),"Unassigned"))</f>
        <v/>
      </c>
      <c r="L35">
        <f>IF(ROWS($L$2:$L35)&lt;=MAX('Per Line'!$AA$2:$AA$401),MATCH(ROWS($L$2:$L35),'Per Line'!$AA$2:$AA$401,0),"")</f>
        <v/>
      </c>
      <c r="M35">
        <f>IF(K35="Above",COUNTIF($K$2:K35,"Above"),"")</f>
        <v/>
      </c>
      <c r="N35">
        <f>IF(K35="Below",COUNTIF($K$2:K35,"Below"),"")</f>
        <v/>
      </c>
    </row>
    <row r="36">
      <c r="B36">
        <f>IF($L36="","",INDEX('Per Line'!$A$2:$A$401,$L36))</f>
        <v/>
      </c>
      <c r="C36">
        <f>IF($L36="","",INDEX('Per Line'!$B$2:$B$401,$L36))</f>
        <v/>
      </c>
      <c r="D36">
        <f>IF($L36="","",INDEX('Per Line'!$C$2:$C$401,$L36))</f>
        <v/>
      </c>
      <c r="E36">
        <f>IF($L36="","",INDEX('Per Line'!$P$2:$P$401,$L36))</f>
        <v/>
      </c>
      <c r="F36" s="5">
        <f>IF($L36="","",SUMIFS('Per Line'!$R$2:$R$401,'Per Line'!$A$2:$A$401,$B36))</f>
        <v/>
      </c>
      <c r="G36" s="5">
        <f>IF($L36="","",SUMIFS('Per Line'!$S$2:$S$401,'Per Line'!$A$2:$A$401,$B36))</f>
        <v/>
      </c>
      <c r="H36" s="5">
        <f>IF($L36="","",SUMIFS('Per Line'!$T$2:$T$401,'Per Line'!$A$2:$A$401,$B36))</f>
        <v/>
      </c>
      <c r="I36" s="5">
        <f>IF($L36="","",F36-G36)</f>
        <v/>
      </c>
      <c r="J36" s="5">
        <f>IF($L36="","",I36-H36)</f>
        <v/>
      </c>
      <c r="K36">
        <f>IF($L36="","",IFERROR(INDEX(Settings!$C$27:$C$36,MATCH(C36,Settings!$B$27:$B$36,0)),"Unassigned"))</f>
        <v/>
      </c>
      <c r="L36">
        <f>IF(ROWS($L$2:$L36)&lt;=MAX('Per Line'!$AA$2:$AA$401),MATCH(ROWS($L$2:$L36),'Per Line'!$AA$2:$AA$401,0),"")</f>
        <v/>
      </c>
      <c r="M36">
        <f>IF(K36="Above",COUNTIF($K$2:K36,"Above"),"")</f>
        <v/>
      </c>
      <c r="N36">
        <f>IF(K36="Below",COUNTIF($K$2:K36,"Below"),"")</f>
        <v/>
      </c>
    </row>
    <row r="37">
      <c r="B37">
        <f>IF($L37="","",INDEX('Per Line'!$A$2:$A$401,$L37))</f>
        <v/>
      </c>
      <c r="C37">
        <f>IF($L37="","",INDEX('Per Line'!$B$2:$B$401,$L37))</f>
        <v/>
      </c>
      <c r="D37">
        <f>IF($L37="","",INDEX('Per Line'!$C$2:$C$401,$L37))</f>
        <v/>
      </c>
      <c r="E37">
        <f>IF($L37="","",INDEX('Per Line'!$P$2:$P$401,$L37))</f>
        <v/>
      </c>
      <c r="F37" s="5">
        <f>IF($L37="","",SUMIFS('Per Line'!$R$2:$R$401,'Per Line'!$A$2:$A$401,$B37))</f>
        <v/>
      </c>
      <c r="G37" s="5">
        <f>IF($L37="","",SUMIFS('Per Line'!$S$2:$S$401,'Per Line'!$A$2:$A$401,$B37))</f>
        <v/>
      </c>
      <c r="H37" s="5">
        <f>IF($L37="","",SUMIFS('Per Line'!$T$2:$T$401,'Per Line'!$A$2:$A$401,$B37))</f>
        <v/>
      </c>
      <c r="I37" s="5">
        <f>IF($L37="","",F37-G37)</f>
        <v/>
      </c>
      <c r="J37" s="5">
        <f>IF($L37="","",I37-H37)</f>
        <v/>
      </c>
      <c r="K37">
        <f>IF($L37="","",IFERROR(INDEX(Settings!$C$27:$C$36,MATCH(C37,Settings!$B$27:$B$36,0)),"Unassigned"))</f>
        <v/>
      </c>
      <c r="L37">
        <f>IF(ROWS($L$2:$L37)&lt;=MAX('Per Line'!$AA$2:$AA$401),MATCH(ROWS($L$2:$L37),'Per Line'!$AA$2:$AA$401,0),"")</f>
        <v/>
      </c>
      <c r="M37">
        <f>IF(K37="Above",COUNTIF($K$2:K37,"Above"),"")</f>
        <v/>
      </c>
      <c r="N37">
        <f>IF(K37="Below",COUNTIF($K$2:K37,"Below"),"")</f>
        <v/>
      </c>
    </row>
    <row r="38">
      <c r="B38">
        <f>IF($L38="","",INDEX('Per Line'!$A$2:$A$401,$L38))</f>
        <v/>
      </c>
      <c r="C38">
        <f>IF($L38="","",INDEX('Per Line'!$B$2:$B$401,$L38))</f>
        <v/>
      </c>
      <c r="D38">
        <f>IF($L38="","",INDEX('Per Line'!$C$2:$C$401,$L38))</f>
        <v/>
      </c>
      <c r="E38">
        <f>IF($L38="","",INDEX('Per Line'!$P$2:$P$401,$L38))</f>
        <v/>
      </c>
      <c r="F38" s="5">
        <f>IF($L38="","",SUMIFS('Per Line'!$R$2:$R$401,'Per Line'!$A$2:$A$401,$B38))</f>
        <v/>
      </c>
      <c r="G38" s="5">
        <f>IF($L38="","",SUMIFS('Per Line'!$S$2:$S$401,'Per Line'!$A$2:$A$401,$B38))</f>
        <v/>
      </c>
      <c r="H38" s="5">
        <f>IF($L38="","",SUMIFS('Per Line'!$T$2:$T$401,'Per Line'!$A$2:$A$401,$B38))</f>
        <v/>
      </c>
      <c r="I38" s="5">
        <f>IF($L38="","",F38-G38)</f>
        <v/>
      </c>
      <c r="J38" s="5">
        <f>IF($L38="","",I38-H38)</f>
        <v/>
      </c>
      <c r="K38">
        <f>IF($L38="","",IFERROR(INDEX(Settings!$C$27:$C$36,MATCH(C38,Settings!$B$27:$B$36,0)),"Unassigned"))</f>
        <v/>
      </c>
      <c r="L38">
        <f>IF(ROWS($L$2:$L38)&lt;=MAX('Per Line'!$AA$2:$AA$401),MATCH(ROWS($L$2:$L38),'Per Line'!$AA$2:$AA$401,0),"")</f>
        <v/>
      </c>
      <c r="M38">
        <f>IF(K38="Above",COUNTIF($K$2:K38,"Above"),"")</f>
        <v/>
      </c>
      <c r="N38">
        <f>IF(K38="Below",COUNTIF($K$2:K38,"Below"),"")</f>
        <v/>
      </c>
    </row>
    <row r="39">
      <c r="B39">
        <f>IF($L39="","",INDEX('Per Line'!$A$2:$A$401,$L39))</f>
        <v/>
      </c>
      <c r="C39">
        <f>IF($L39="","",INDEX('Per Line'!$B$2:$B$401,$L39))</f>
        <v/>
      </c>
      <c r="D39">
        <f>IF($L39="","",INDEX('Per Line'!$C$2:$C$401,$L39))</f>
        <v/>
      </c>
      <c r="E39">
        <f>IF($L39="","",INDEX('Per Line'!$P$2:$P$401,$L39))</f>
        <v/>
      </c>
      <c r="F39" s="5">
        <f>IF($L39="","",SUMIFS('Per Line'!$R$2:$R$401,'Per Line'!$A$2:$A$401,$B39))</f>
        <v/>
      </c>
      <c r="G39" s="5">
        <f>IF($L39="","",SUMIFS('Per Line'!$S$2:$S$401,'Per Line'!$A$2:$A$401,$B39))</f>
        <v/>
      </c>
      <c r="H39" s="5">
        <f>IF($L39="","",SUMIFS('Per Line'!$T$2:$T$401,'Per Line'!$A$2:$A$401,$B39))</f>
        <v/>
      </c>
      <c r="I39" s="5">
        <f>IF($L39="","",F39-G39)</f>
        <v/>
      </c>
      <c r="J39" s="5">
        <f>IF($L39="","",I39-H39)</f>
        <v/>
      </c>
      <c r="K39">
        <f>IF($L39="","",IFERROR(INDEX(Settings!$C$27:$C$36,MATCH(C39,Settings!$B$27:$B$36,0)),"Unassigned"))</f>
        <v/>
      </c>
      <c r="L39">
        <f>IF(ROWS($L$2:$L39)&lt;=MAX('Per Line'!$AA$2:$AA$401),MATCH(ROWS($L$2:$L39),'Per Line'!$AA$2:$AA$401,0),"")</f>
        <v/>
      </c>
      <c r="M39">
        <f>IF(K39="Above",COUNTIF($K$2:K39,"Above"),"")</f>
        <v/>
      </c>
      <c r="N39">
        <f>IF(K39="Below",COUNTIF($K$2:K39,"Below"),"")</f>
        <v/>
      </c>
    </row>
    <row r="40">
      <c r="B40">
        <f>IF($L40="","",INDEX('Per Line'!$A$2:$A$401,$L40))</f>
        <v/>
      </c>
      <c r="C40">
        <f>IF($L40="","",INDEX('Per Line'!$B$2:$B$401,$L40))</f>
        <v/>
      </c>
      <c r="D40">
        <f>IF($L40="","",INDEX('Per Line'!$C$2:$C$401,$L40))</f>
        <v/>
      </c>
      <c r="E40">
        <f>IF($L40="","",INDEX('Per Line'!$P$2:$P$401,$L40))</f>
        <v/>
      </c>
      <c r="F40" s="5">
        <f>IF($L40="","",SUMIFS('Per Line'!$R$2:$R$401,'Per Line'!$A$2:$A$401,$B40))</f>
        <v/>
      </c>
      <c r="G40" s="5">
        <f>IF($L40="","",SUMIFS('Per Line'!$S$2:$S$401,'Per Line'!$A$2:$A$401,$B40))</f>
        <v/>
      </c>
      <c r="H40" s="5">
        <f>IF($L40="","",SUMIFS('Per Line'!$T$2:$T$401,'Per Line'!$A$2:$A$401,$B40))</f>
        <v/>
      </c>
      <c r="I40" s="5">
        <f>IF($L40="","",F40-G40)</f>
        <v/>
      </c>
      <c r="J40" s="5">
        <f>IF($L40="","",I40-H40)</f>
        <v/>
      </c>
      <c r="K40">
        <f>IF($L40="","",IFERROR(INDEX(Settings!$C$27:$C$36,MATCH(C40,Settings!$B$27:$B$36,0)),"Unassigned"))</f>
        <v/>
      </c>
      <c r="L40">
        <f>IF(ROWS($L$2:$L40)&lt;=MAX('Per Line'!$AA$2:$AA$401),MATCH(ROWS($L$2:$L40),'Per Line'!$AA$2:$AA$401,0),"")</f>
        <v/>
      </c>
      <c r="M40">
        <f>IF(K40="Above",COUNTIF($K$2:K40,"Above"),"")</f>
        <v/>
      </c>
      <c r="N40">
        <f>IF(K40="Below",COUNTIF($K$2:K40,"Below"),"")</f>
        <v/>
      </c>
    </row>
    <row r="41">
      <c r="B41">
        <f>IF($L41="","",INDEX('Per Line'!$A$2:$A$401,$L41))</f>
        <v/>
      </c>
      <c r="C41">
        <f>IF($L41="","",INDEX('Per Line'!$B$2:$B$401,$L41))</f>
        <v/>
      </c>
      <c r="D41">
        <f>IF($L41="","",INDEX('Per Line'!$C$2:$C$401,$L41))</f>
        <v/>
      </c>
      <c r="E41">
        <f>IF($L41="","",INDEX('Per Line'!$P$2:$P$401,$L41))</f>
        <v/>
      </c>
      <c r="F41" s="5">
        <f>IF($L41="","",SUMIFS('Per Line'!$R$2:$R$401,'Per Line'!$A$2:$A$401,$B41))</f>
        <v/>
      </c>
      <c r="G41" s="5">
        <f>IF($L41="","",SUMIFS('Per Line'!$S$2:$S$401,'Per Line'!$A$2:$A$401,$B41))</f>
        <v/>
      </c>
      <c r="H41" s="5">
        <f>IF($L41="","",SUMIFS('Per Line'!$T$2:$T$401,'Per Line'!$A$2:$A$401,$B41))</f>
        <v/>
      </c>
      <c r="I41" s="5">
        <f>IF($L41="","",F41-G41)</f>
        <v/>
      </c>
      <c r="J41" s="5">
        <f>IF($L41="","",I41-H41)</f>
        <v/>
      </c>
      <c r="K41">
        <f>IF($L41="","",IFERROR(INDEX(Settings!$C$27:$C$36,MATCH(C41,Settings!$B$27:$B$36,0)),"Unassigned"))</f>
        <v/>
      </c>
      <c r="L41">
        <f>IF(ROWS($L$2:$L41)&lt;=MAX('Per Line'!$AA$2:$AA$401),MATCH(ROWS($L$2:$L41),'Per Line'!$AA$2:$AA$401,0),"")</f>
        <v/>
      </c>
      <c r="M41">
        <f>IF(K41="Above",COUNTIF($K$2:K41,"Above"),"")</f>
        <v/>
      </c>
      <c r="N41">
        <f>IF(K41="Below",COUNTIF($K$2:K41,"Below"),"")</f>
        <v/>
      </c>
    </row>
    <row r="42">
      <c r="B42">
        <f>IF($L42="","",INDEX('Per Line'!$A$2:$A$401,$L42))</f>
        <v/>
      </c>
      <c r="C42">
        <f>IF($L42="","",INDEX('Per Line'!$B$2:$B$401,$L42))</f>
        <v/>
      </c>
      <c r="D42">
        <f>IF($L42="","",INDEX('Per Line'!$C$2:$C$401,$L42))</f>
        <v/>
      </c>
      <c r="E42">
        <f>IF($L42="","",INDEX('Per Line'!$P$2:$P$401,$L42))</f>
        <v/>
      </c>
      <c r="F42" s="5">
        <f>IF($L42="","",SUMIFS('Per Line'!$R$2:$R$401,'Per Line'!$A$2:$A$401,$B42))</f>
        <v/>
      </c>
      <c r="G42" s="5">
        <f>IF($L42="","",SUMIFS('Per Line'!$S$2:$S$401,'Per Line'!$A$2:$A$401,$B42))</f>
        <v/>
      </c>
      <c r="H42" s="5">
        <f>IF($L42="","",SUMIFS('Per Line'!$T$2:$T$401,'Per Line'!$A$2:$A$401,$B42))</f>
        <v/>
      </c>
      <c r="I42" s="5">
        <f>IF($L42="","",F42-G42)</f>
        <v/>
      </c>
      <c r="J42" s="5">
        <f>IF($L42="","",I42-H42)</f>
        <v/>
      </c>
      <c r="K42">
        <f>IF($L42="","",IFERROR(INDEX(Settings!$C$27:$C$36,MATCH(C42,Settings!$B$27:$B$36,0)),"Unassigned"))</f>
        <v/>
      </c>
      <c r="L42">
        <f>IF(ROWS($L$2:$L42)&lt;=MAX('Per Line'!$AA$2:$AA$401),MATCH(ROWS($L$2:$L42),'Per Line'!$AA$2:$AA$401,0),"")</f>
        <v/>
      </c>
      <c r="M42">
        <f>IF(K42="Above",COUNTIF($K$2:K42,"Above"),"")</f>
        <v/>
      </c>
      <c r="N42">
        <f>IF(K42="Below",COUNTIF($K$2:K42,"Below"),"")</f>
        <v/>
      </c>
    </row>
    <row r="43">
      <c r="B43">
        <f>IF($L43="","",INDEX('Per Line'!$A$2:$A$401,$L43))</f>
        <v/>
      </c>
      <c r="C43">
        <f>IF($L43="","",INDEX('Per Line'!$B$2:$B$401,$L43))</f>
        <v/>
      </c>
      <c r="D43">
        <f>IF($L43="","",INDEX('Per Line'!$C$2:$C$401,$L43))</f>
        <v/>
      </c>
      <c r="E43">
        <f>IF($L43="","",INDEX('Per Line'!$P$2:$P$401,$L43))</f>
        <v/>
      </c>
      <c r="F43" s="5">
        <f>IF($L43="","",SUMIFS('Per Line'!$R$2:$R$401,'Per Line'!$A$2:$A$401,$B43))</f>
        <v/>
      </c>
      <c r="G43" s="5">
        <f>IF($L43="","",SUMIFS('Per Line'!$S$2:$S$401,'Per Line'!$A$2:$A$401,$B43))</f>
        <v/>
      </c>
      <c r="H43" s="5">
        <f>IF($L43="","",SUMIFS('Per Line'!$T$2:$T$401,'Per Line'!$A$2:$A$401,$B43))</f>
        <v/>
      </c>
      <c r="I43" s="5">
        <f>IF($L43="","",F43-G43)</f>
        <v/>
      </c>
      <c r="J43" s="5">
        <f>IF($L43="","",I43-H43)</f>
        <v/>
      </c>
      <c r="K43">
        <f>IF($L43="","",IFERROR(INDEX(Settings!$C$27:$C$36,MATCH(C43,Settings!$B$27:$B$36,0)),"Unassigned"))</f>
        <v/>
      </c>
      <c r="L43">
        <f>IF(ROWS($L$2:$L43)&lt;=MAX('Per Line'!$AA$2:$AA$401),MATCH(ROWS($L$2:$L43),'Per Line'!$AA$2:$AA$401,0),"")</f>
        <v/>
      </c>
      <c r="M43">
        <f>IF(K43="Above",COUNTIF($K$2:K43,"Above"),"")</f>
        <v/>
      </c>
      <c r="N43">
        <f>IF(K43="Below",COUNTIF($K$2:K43,"Below"),"")</f>
        <v/>
      </c>
    </row>
    <row r="44">
      <c r="B44">
        <f>IF($L44="","",INDEX('Per Line'!$A$2:$A$401,$L44))</f>
        <v/>
      </c>
      <c r="C44">
        <f>IF($L44="","",INDEX('Per Line'!$B$2:$B$401,$L44))</f>
        <v/>
      </c>
      <c r="D44">
        <f>IF($L44="","",INDEX('Per Line'!$C$2:$C$401,$L44))</f>
        <v/>
      </c>
      <c r="E44">
        <f>IF($L44="","",INDEX('Per Line'!$P$2:$P$401,$L44))</f>
        <v/>
      </c>
      <c r="F44" s="5">
        <f>IF($L44="","",SUMIFS('Per Line'!$R$2:$R$401,'Per Line'!$A$2:$A$401,$B44))</f>
        <v/>
      </c>
      <c r="G44" s="5">
        <f>IF($L44="","",SUMIFS('Per Line'!$S$2:$S$401,'Per Line'!$A$2:$A$401,$B44))</f>
        <v/>
      </c>
      <c r="H44" s="5">
        <f>IF($L44="","",SUMIFS('Per Line'!$T$2:$T$401,'Per Line'!$A$2:$A$401,$B44))</f>
        <v/>
      </c>
      <c r="I44" s="5">
        <f>IF($L44="","",F44-G44)</f>
        <v/>
      </c>
      <c r="J44" s="5">
        <f>IF($L44="","",I44-H44)</f>
        <v/>
      </c>
      <c r="K44">
        <f>IF($L44="","",IFERROR(INDEX(Settings!$C$27:$C$36,MATCH(C44,Settings!$B$27:$B$36,0)),"Unassigned"))</f>
        <v/>
      </c>
      <c r="L44">
        <f>IF(ROWS($L$2:$L44)&lt;=MAX('Per Line'!$AA$2:$AA$401),MATCH(ROWS($L$2:$L44),'Per Line'!$AA$2:$AA$401,0),"")</f>
        <v/>
      </c>
      <c r="M44">
        <f>IF(K44="Above",COUNTIF($K$2:K44,"Above"),"")</f>
        <v/>
      </c>
      <c r="N44">
        <f>IF(K44="Below",COUNTIF($K$2:K44,"Below"),"")</f>
        <v/>
      </c>
    </row>
    <row r="45">
      <c r="B45">
        <f>IF($L45="","",INDEX('Per Line'!$A$2:$A$401,$L45))</f>
        <v/>
      </c>
      <c r="C45">
        <f>IF($L45="","",INDEX('Per Line'!$B$2:$B$401,$L45))</f>
        <v/>
      </c>
      <c r="D45">
        <f>IF($L45="","",INDEX('Per Line'!$C$2:$C$401,$L45))</f>
        <v/>
      </c>
      <c r="E45">
        <f>IF($L45="","",INDEX('Per Line'!$P$2:$P$401,$L45))</f>
        <v/>
      </c>
      <c r="F45" s="5">
        <f>IF($L45="","",SUMIFS('Per Line'!$R$2:$R$401,'Per Line'!$A$2:$A$401,$B45))</f>
        <v/>
      </c>
      <c r="G45" s="5">
        <f>IF($L45="","",SUMIFS('Per Line'!$S$2:$S$401,'Per Line'!$A$2:$A$401,$B45))</f>
        <v/>
      </c>
      <c r="H45" s="5">
        <f>IF($L45="","",SUMIFS('Per Line'!$T$2:$T$401,'Per Line'!$A$2:$A$401,$B45))</f>
        <v/>
      </c>
      <c r="I45" s="5">
        <f>IF($L45="","",F45-G45)</f>
        <v/>
      </c>
      <c r="J45" s="5">
        <f>IF($L45="","",I45-H45)</f>
        <v/>
      </c>
      <c r="K45">
        <f>IF($L45="","",IFERROR(INDEX(Settings!$C$27:$C$36,MATCH(C45,Settings!$B$27:$B$36,0)),"Unassigned"))</f>
        <v/>
      </c>
      <c r="L45">
        <f>IF(ROWS($L$2:$L45)&lt;=MAX('Per Line'!$AA$2:$AA$401),MATCH(ROWS($L$2:$L45),'Per Line'!$AA$2:$AA$401,0),"")</f>
        <v/>
      </c>
      <c r="M45">
        <f>IF(K45="Above",COUNTIF($K$2:K45,"Above"),"")</f>
        <v/>
      </c>
      <c r="N45">
        <f>IF(K45="Below",COUNTIF($K$2:K45,"Below"),"")</f>
        <v/>
      </c>
    </row>
    <row r="46">
      <c r="B46">
        <f>IF($L46="","",INDEX('Per Line'!$A$2:$A$401,$L46))</f>
        <v/>
      </c>
      <c r="C46">
        <f>IF($L46="","",INDEX('Per Line'!$B$2:$B$401,$L46))</f>
        <v/>
      </c>
      <c r="D46">
        <f>IF($L46="","",INDEX('Per Line'!$C$2:$C$401,$L46))</f>
        <v/>
      </c>
      <c r="E46">
        <f>IF($L46="","",INDEX('Per Line'!$P$2:$P$401,$L46))</f>
        <v/>
      </c>
      <c r="F46" s="5">
        <f>IF($L46="","",SUMIFS('Per Line'!$R$2:$R$401,'Per Line'!$A$2:$A$401,$B46))</f>
        <v/>
      </c>
      <c r="G46" s="5">
        <f>IF($L46="","",SUMIFS('Per Line'!$S$2:$S$401,'Per Line'!$A$2:$A$401,$B46))</f>
        <v/>
      </c>
      <c r="H46" s="5">
        <f>IF($L46="","",SUMIFS('Per Line'!$T$2:$T$401,'Per Line'!$A$2:$A$401,$B46))</f>
        <v/>
      </c>
      <c r="I46" s="5">
        <f>IF($L46="","",F46-G46)</f>
        <v/>
      </c>
      <c r="J46" s="5">
        <f>IF($L46="","",I46-H46)</f>
        <v/>
      </c>
      <c r="K46">
        <f>IF($L46="","",IFERROR(INDEX(Settings!$C$27:$C$36,MATCH(C46,Settings!$B$27:$B$36,0)),"Unassigned"))</f>
        <v/>
      </c>
      <c r="L46">
        <f>IF(ROWS($L$2:$L46)&lt;=MAX('Per Line'!$AA$2:$AA$401),MATCH(ROWS($L$2:$L46),'Per Line'!$AA$2:$AA$401,0),"")</f>
        <v/>
      </c>
      <c r="M46">
        <f>IF(K46="Above",COUNTIF($K$2:K46,"Above"),"")</f>
        <v/>
      </c>
      <c r="N46">
        <f>IF(K46="Below",COUNTIF($K$2:K46,"Below"),"")</f>
        <v/>
      </c>
    </row>
    <row r="47">
      <c r="B47">
        <f>IF($L47="","",INDEX('Per Line'!$A$2:$A$401,$L47))</f>
        <v/>
      </c>
      <c r="C47">
        <f>IF($L47="","",INDEX('Per Line'!$B$2:$B$401,$L47))</f>
        <v/>
      </c>
      <c r="D47">
        <f>IF($L47="","",INDEX('Per Line'!$C$2:$C$401,$L47))</f>
        <v/>
      </c>
      <c r="E47">
        <f>IF($L47="","",INDEX('Per Line'!$P$2:$P$401,$L47))</f>
        <v/>
      </c>
      <c r="F47" s="5">
        <f>IF($L47="","",SUMIFS('Per Line'!$R$2:$R$401,'Per Line'!$A$2:$A$401,$B47))</f>
        <v/>
      </c>
      <c r="G47" s="5">
        <f>IF($L47="","",SUMIFS('Per Line'!$S$2:$S$401,'Per Line'!$A$2:$A$401,$B47))</f>
        <v/>
      </c>
      <c r="H47" s="5">
        <f>IF($L47="","",SUMIFS('Per Line'!$T$2:$T$401,'Per Line'!$A$2:$A$401,$B47))</f>
        <v/>
      </c>
      <c r="I47" s="5">
        <f>IF($L47="","",F47-G47)</f>
        <v/>
      </c>
      <c r="J47" s="5">
        <f>IF($L47="","",I47-H47)</f>
        <v/>
      </c>
      <c r="K47">
        <f>IF($L47="","",IFERROR(INDEX(Settings!$C$27:$C$36,MATCH(C47,Settings!$B$27:$B$36,0)),"Unassigned"))</f>
        <v/>
      </c>
      <c r="L47">
        <f>IF(ROWS($L$2:$L47)&lt;=MAX('Per Line'!$AA$2:$AA$401),MATCH(ROWS($L$2:$L47),'Per Line'!$AA$2:$AA$401,0),"")</f>
        <v/>
      </c>
      <c r="M47">
        <f>IF(K47="Above",COUNTIF($K$2:K47,"Above"),"")</f>
        <v/>
      </c>
      <c r="N47">
        <f>IF(K47="Below",COUNTIF($K$2:K47,"Below"),"")</f>
        <v/>
      </c>
    </row>
    <row r="48">
      <c r="B48">
        <f>IF($L48="","",INDEX('Per Line'!$A$2:$A$401,$L48))</f>
        <v/>
      </c>
      <c r="C48">
        <f>IF($L48="","",INDEX('Per Line'!$B$2:$B$401,$L48))</f>
        <v/>
      </c>
      <c r="D48">
        <f>IF($L48="","",INDEX('Per Line'!$C$2:$C$401,$L48))</f>
        <v/>
      </c>
      <c r="E48">
        <f>IF($L48="","",INDEX('Per Line'!$P$2:$P$401,$L48))</f>
        <v/>
      </c>
      <c r="F48" s="5">
        <f>IF($L48="","",SUMIFS('Per Line'!$R$2:$R$401,'Per Line'!$A$2:$A$401,$B48))</f>
        <v/>
      </c>
      <c r="G48" s="5">
        <f>IF($L48="","",SUMIFS('Per Line'!$S$2:$S$401,'Per Line'!$A$2:$A$401,$B48))</f>
        <v/>
      </c>
      <c r="H48" s="5">
        <f>IF($L48="","",SUMIFS('Per Line'!$T$2:$T$401,'Per Line'!$A$2:$A$401,$B48))</f>
        <v/>
      </c>
      <c r="I48" s="5">
        <f>IF($L48="","",F48-G48)</f>
        <v/>
      </c>
      <c r="J48" s="5">
        <f>IF($L48="","",I48-H48)</f>
        <v/>
      </c>
      <c r="K48">
        <f>IF($L48="","",IFERROR(INDEX(Settings!$C$27:$C$36,MATCH(C48,Settings!$B$27:$B$36,0)),"Unassigned"))</f>
        <v/>
      </c>
      <c r="L48">
        <f>IF(ROWS($L$2:$L48)&lt;=MAX('Per Line'!$AA$2:$AA$401),MATCH(ROWS($L$2:$L48),'Per Line'!$AA$2:$AA$401,0),"")</f>
        <v/>
      </c>
      <c r="M48">
        <f>IF(K48="Above",COUNTIF($K$2:K48,"Above"),"")</f>
        <v/>
      </c>
      <c r="N48">
        <f>IF(K48="Below",COUNTIF($K$2:K48,"Below"),"")</f>
        <v/>
      </c>
    </row>
    <row r="49">
      <c r="B49">
        <f>IF($L49="","",INDEX('Per Line'!$A$2:$A$401,$L49))</f>
        <v/>
      </c>
      <c r="C49">
        <f>IF($L49="","",INDEX('Per Line'!$B$2:$B$401,$L49))</f>
        <v/>
      </c>
      <c r="D49">
        <f>IF($L49="","",INDEX('Per Line'!$C$2:$C$401,$L49))</f>
        <v/>
      </c>
      <c r="E49">
        <f>IF($L49="","",INDEX('Per Line'!$P$2:$P$401,$L49))</f>
        <v/>
      </c>
      <c r="F49" s="5">
        <f>IF($L49="","",SUMIFS('Per Line'!$R$2:$R$401,'Per Line'!$A$2:$A$401,$B49))</f>
        <v/>
      </c>
      <c r="G49" s="5">
        <f>IF($L49="","",SUMIFS('Per Line'!$S$2:$S$401,'Per Line'!$A$2:$A$401,$B49))</f>
        <v/>
      </c>
      <c r="H49" s="5">
        <f>IF($L49="","",SUMIFS('Per Line'!$T$2:$T$401,'Per Line'!$A$2:$A$401,$B49))</f>
        <v/>
      </c>
      <c r="I49" s="5">
        <f>IF($L49="","",F49-G49)</f>
        <v/>
      </c>
      <c r="J49" s="5">
        <f>IF($L49="","",I49-H49)</f>
        <v/>
      </c>
      <c r="K49">
        <f>IF($L49="","",IFERROR(INDEX(Settings!$C$27:$C$36,MATCH(C49,Settings!$B$27:$B$36,0)),"Unassigned"))</f>
        <v/>
      </c>
      <c r="L49">
        <f>IF(ROWS($L$2:$L49)&lt;=MAX('Per Line'!$AA$2:$AA$401),MATCH(ROWS($L$2:$L49),'Per Line'!$AA$2:$AA$401,0),"")</f>
        <v/>
      </c>
      <c r="M49">
        <f>IF(K49="Above",COUNTIF($K$2:K49,"Above"),"")</f>
        <v/>
      </c>
      <c r="N49">
        <f>IF(K49="Below",COUNTIF($K$2:K49,"Below"),"")</f>
        <v/>
      </c>
    </row>
    <row r="50">
      <c r="B50">
        <f>IF($L50="","",INDEX('Per Line'!$A$2:$A$401,$L50))</f>
        <v/>
      </c>
      <c r="C50">
        <f>IF($L50="","",INDEX('Per Line'!$B$2:$B$401,$L50))</f>
        <v/>
      </c>
      <c r="D50">
        <f>IF($L50="","",INDEX('Per Line'!$C$2:$C$401,$L50))</f>
        <v/>
      </c>
      <c r="E50">
        <f>IF($L50="","",INDEX('Per Line'!$P$2:$P$401,$L50))</f>
        <v/>
      </c>
      <c r="F50" s="5">
        <f>IF($L50="","",SUMIFS('Per Line'!$R$2:$R$401,'Per Line'!$A$2:$A$401,$B50))</f>
        <v/>
      </c>
      <c r="G50" s="5">
        <f>IF($L50="","",SUMIFS('Per Line'!$S$2:$S$401,'Per Line'!$A$2:$A$401,$B50))</f>
        <v/>
      </c>
      <c r="H50" s="5">
        <f>IF($L50="","",SUMIFS('Per Line'!$T$2:$T$401,'Per Line'!$A$2:$A$401,$B50))</f>
        <v/>
      </c>
      <c r="I50" s="5">
        <f>IF($L50="","",F50-G50)</f>
        <v/>
      </c>
      <c r="J50" s="5">
        <f>IF($L50="","",I50-H50)</f>
        <v/>
      </c>
      <c r="K50">
        <f>IF($L50="","",IFERROR(INDEX(Settings!$C$27:$C$36,MATCH(C50,Settings!$B$27:$B$36,0)),"Unassigned"))</f>
        <v/>
      </c>
      <c r="L50">
        <f>IF(ROWS($L$2:$L50)&lt;=MAX('Per Line'!$AA$2:$AA$401),MATCH(ROWS($L$2:$L50),'Per Line'!$AA$2:$AA$401,0),"")</f>
        <v/>
      </c>
      <c r="M50">
        <f>IF(K50="Above",COUNTIF($K$2:K50,"Above"),"")</f>
        <v/>
      </c>
      <c r="N50">
        <f>IF(K50="Below",COUNTIF($K$2:K50,"Below"),"")</f>
        <v/>
      </c>
    </row>
    <row r="51">
      <c r="B51">
        <f>IF($L51="","",INDEX('Per Line'!$A$2:$A$401,$L51))</f>
        <v/>
      </c>
      <c r="C51">
        <f>IF($L51="","",INDEX('Per Line'!$B$2:$B$401,$L51))</f>
        <v/>
      </c>
      <c r="D51">
        <f>IF($L51="","",INDEX('Per Line'!$C$2:$C$401,$L51))</f>
        <v/>
      </c>
      <c r="E51">
        <f>IF($L51="","",INDEX('Per Line'!$P$2:$P$401,$L51))</f>
        <v/>
      </c>
      <c r="F51" s="5">
        <f>IF($L51="","",SUMIFS('Per Line'!$R$2:$R$401,'Per Line'!$A$2:$A$401,$B51))</f>
        <v/>
      </c>
      <c r="G51" s="5">
        <f>IF($L51="","",SUMIFS('Per Line'!$S$2:$S$401,'Per Line'!$A$2:$A$401,$B51))</f>
        <v/>
      </c>
      <c r="H51" s="5">
        <f>IF($L51="","",SUMIFS('Per Line'!$T$2:$T$401,'Per Line'!$A$2:$A$401,$B51))</f>
        <v/>
      </c>
      <c r="I51" s="5">
        <f>IF($L51="","",F51-G51)</f>
        <v/>
      </c>
      <c r="J51" s="5">
        <f>IF($L51="","",I51-H51)</f>
        <v/>
      </c>
      <c r="K51">
        <f>IF($L51="","",IFERROR(INDEX(Settings!$C$27:$C$36,MATCH(C51,Settings!$B$27:$B$36,0)),"Unassigned"))</f>
        <v/>
      </c>
      <c r="L51">
        <f>IF(ROWS($L$2:$L51)&lt;=MAX('Per Line'!$AA$2:$AA$401),MATCH(ROWS($L$2:$L51),'Per Line'!$AA$2:$AA$401,0),"")</f>
        <v/>
      </c>
      <c r="M51">
        <f>IF(K51="Above",COUNTIF($K$2:K51,"Above"),"")</f>
        <v/>
      </c>
      <c r="N51">
        <f>IF(K51="Below",COUNTIF($K$2:K51,"Below"),"")</f>
        <v/>
      </c>
    </row>
    <row r="52">
      <c r="B52">
        <f>IF($L52="","",INDEX('Per Line'!$A$2:$A$401,$L52))</f>
        <v/>
      </c>
      <c r="C52">
        <f>IF($L52="","",INDEX('Per Line'!$B$2:$B$401,$L52))</f>
        <v/>
      </c>
      <c r="D52">
        <f>IF($L52="","",INDEX('Per Line'!$C$2:$C$401,$L52))</f>
        <v/>
      </c>
      <c r="E52">
        <f>IF($L52="","",INDEX('Per Line'!$P$2:$P$401,$L52))</f>
        <v/>
      </c>
      <c r="F52" s="5">
        <f>IF($L52="","",SUMIFS('Per Line'!$R$2:$R$401,'Per Line'!$A$2:$A$401,$B52))</f>
        <v/>
      </c>
      <c r="G52" s="5">
        <f>IF($L52="","",SUMIFS('Per Line'!$S$2:$S$401,'Per Line'!$A$2:$A$401,$B52))</f>
        <v/>
      </c>
      <c r="H52" s="5">
        <f>IF($L52="","",SUMIFS('Per Line'!$T$2:$T$401,'Per Line'!$A$2:$A$401,$B52))</f>
        <v/>
      </c>
      <c r="I52" s="5">
        <f>IF($L52="","",F52-G52)</f>
        <v/>
      </c>
      <c r="J52" s="5">
        <f>IF($L52="","",I52-H52)</f>
        <v/>
      </c>
      <c r="K52">
        <f>IF($L52="","",IFERROR(INDEX(Settings!$C$27:$C$36,MATCH(C52,Settings!$B$27:$B$36,0)),"Unassigned"))</f>
        <v/>
      </c>
      <c r="L52">
        <f>IF(ROWS($L$2:$L52)&lt;=MAX('Per Line'!$AA$2:$AA$401),MATCH(ROWS($L$2:$L52),'Per Line'!$AA$2:$AA$401,0),"")</f>
        <v/>
      </c>
      <c r="M52">
        <f>IF(K52="Above",COUNTIF($K$2:K52,"Above"),"")</f>
        <v/>
      </c>
      <c r="N52">
        <f>IF(K52="Below",COUNTIF($K$2:K52,"Below"),"")</f>
        <v/>
      </c>
    </row>
    <row r="53">
      <c r="B53">
        <f>IF($L53="","",INDEX('Per Line'!$A$2:$A$401,$L53))</f>
        <v/>
      </c>
      <c r="C53">
        <f>IF($L53="","",INDEX('Per Line'!$B$2:$B$401,$L53))</f>
        <v/>
      </c>
      <c r="D53">
        <f>IF($L53="","",INDEX('Per Line'!$C$2:$C$401,$L53))</f>
        <v/>
      </c>
      <c r="E53">
        <f>IF($L53="","",INDEX('Per Line'!$P$2:$P$401,$L53))</f>
        <v/>
      </c>
      <c r="F53" s="5">
        <f>IF($L53="","",SUMIFS('Per Line'!$R$2:$R$401,'Per Line'!$A$2:$A$401,$B53))</f>
        <v/>
      </c>
      <c r="G53" s="5">
        <f>IF($L53="","",SUMIFS('Per Line'!$S$2:$S$401,'Per Line'!$A$2:$A$401,$B53))</f>
        <v/>
      </c>
      <c r="H53" s="5">
        <f>IF($L53="","",SUMIFS('Per Line'!$T$2:$T$401,'Per Line'!$A$2:$A$401,$B53))</f>
        <v/>
      </c>
      <c r="I53" s="5">
        <f>IF($L53="","",F53-G53)</f>
        <v/>
      </c>
      <c r="J53" s="5">
        <f>IF($L53="","",I53-H53)</f>
        <v/>
      </c>
      <c r="K53">
        <f>IF($L53="","",IFERROR(INDEX(Settings!$C$27:$C$36,MATCH(C53,Settings!$B$27:$B$36,0)),"Unassigned"))</f>
        <v/>
      </c>
      <c r="L53">
        <f>IF(ROWS($L$2:$L53)&lt;=MAX('Per Line'!$AA$2:$AA$401),MATCH(ROWS($L$2:$L53),'Per Line'!$AA$2:$AA$401,0),"")</f>
        <v/>
      </c>
      <c r="M53">
        <f>IF(K53="Above",COUNTIF($K$2:K53,"Above"),"")</f>
        <v/>
      </c>
      <c r="N53">
        <f>IF(K53="Below",COUNTIF($K$2:K53,"Below"),"")</f>
        <v/>
      </c>
    </row>
    <row r="54">
      <c r="B54">
        <f>IF($L54="","",INDEX('Per Line'!$A$2:$A$401,$L54))</f>
        <v/>
      </c>
      <c r="C54">
        <f>IF($L54="","",INDEX('Per Line'!$B$2:$B$401,$L54))</f>
        <v/>
      </c>
      <c r="D54">
        <f>IF($L54="","",INDEX('Per Line'!$C$2:$C$401,$L54))</f>
        <v/>
      </c>
      <c r="E54">
        <f>IF($L54="","",INDEX('Per Line'!$P$2:$P$401,$L54))</f>
        <v/>
      </c>
      <c r="F54" s="5">
        <f>IF($L54="","",SUMIFS('Per Line'!$R$2:$R$401,'Per Line'!$A$2:$A$401,$B54))</f>
        <v/>
      </c>
      <c r="G54" s="5">
        <f>IF($L54="","",SUMIFS('Per Line'!$S$2:$S$401,'Per Line'!$A$2:$A$401,$B54))</f>
        <v/>
      </c>
      <c r="H54" s="5">
        <f>IF($L54="","",SUMIFS('Per Line'!$T$2:$T$401,'Per Line'!$A$2:$A$401,$B54))</f>
        <v/>
      </c>
      <c r="I54" s="5">
        <f>IF($L54="","",F54-G54)</f>
        <v/>
      </c>
      <c r="J54" s="5">
        <f>IF($L54="","",I54-H54)</f>
        <v/>
      </c>
      <c r="K54">
        <f>IF($L54="","",IFERROR(INDEX(Settings!$C$27:$C$36,MATCH(C54,Settings!$B$27:$B$36,0)),"Unassigned"))</f>
        <v/>
      </c>
      <c r="L54">
        <f>IF(ROWS($L$2:$L54)&lt;=MAX('Per Line'!$AA$2:$AA$401),MATCH(ROWS($L$2:$L54),'Per Line'!$AA$2:$AA$401,0),"")</f>
        <v/>
      </c>
      <c r="M54">
        <f>IF(K54="Above",COUNTIF($K$2:K54,"Above"),"")</f>
        <v/>
      </c>
      <c r="N54">
        <f>IF(K54="Below",COUNTIF($K$2:K54,"Below"),"")</f>
        <v/>
      </c>
    </row>
    <row r="55">
      <c r="B55">
        <f>IF($L55="","",INDEX('Per Line'!$A$2:$A$401,$L55))</f>
        <v/>
      </c>
      <c r="C55">
        <f>IF($L55="","",INDEX('Per Line'!$B$2:$B$401,$L55))</f>
        <v/>
      </c>
      <c r="D55">
        <f>IF($L55="","",INDEX('Per Line'!$C$2:$C$401,$L55))</f>
        <v/>
      </c>
      <c r="E55">
        <f>IF($L55="","",INDEX('Per Line'!$P$2:$P$401,$L55))</f>
        <v/>
      </c>
      <c r="F55" s="5">
        <f>IF($L55="","",SUMIFS('Per Line'!$R$2:$R$401,'Per Line'!$A$2:$A$401,$B55))</f>
        <v/>
      </c>
      <c r="G55" s="5">
        <f>IF($L55="","",SUMIFS('Per Line'!$S$2:$S$401,'Per Line'!$A$2:$A$401,$B55))</f>
        <v/>
      </c>
      <c r="H55" s="5">
        <f>IF($L55="","",SUMIFS('Per Line'!$T$2:$T$401,'Per Line'!$A$2:$A$401,$B55))</f>
        <v/>
      </c>
      <c r="I55" s="5">
        <f>IF($L55="","",F55-G55)</f>
        <v/>
      </c>
      <c r="J55" s="5">
        <f>IF($L55="","",I55-H55)</f>
        <v/>
      </c>
      <c r="K55">
        <f>IF($L55="","",IFERROR(INDEX(Settings!$C$27:$C$36,MATCH(C55,Settings!$B$27:$B$36,0)),"Unassigned"))</f>
        <v/>
      </c>
      <c r="L55">
        <f>IF(ROWS($L$2:$L55)&lt;=MAX('Per Line'!$AA$2:$AA$401),MATCH(ROWS($L$2:$L55),'Per Line'!$AA$2:$AA$401,0),"")</f>
        <v/>
      </c>
      <c r="M55">
        <f>IF(K55="Above",COUNTIF($K$2:K55,"Above"),"")</f>
        <v/>
      </c>
      <c r="N55">
        <f>IF(K55="Below",COUNTIF($K$2:K55,"Below"),"")</f>
        <v/>
      </c>
    </row>
    <row r="56">
      <c r="B56">
        <f>IF($L56="","",INDEX('Per Line'!$A$2:$A$401,$L56))</f>
        <v/>
      </c>
      <c r="C56">
        <f>IF($L56="","",INDEX('Per Line'!$B$2:$B$401,$L56))</f>
        <v/>
      </c>
      <c r="D56">
        <f>IF($L56="","",INDEX('Per Line'!$C$2:$C$401,$L56))</f>
        <v/>
      </c>
      <c r="E56">
        <f>IF($L56="","",INDEX('Per Line'!$P$2:$P$401,$L56))</f>
        <v/>
      </c>
      <c r="F56" s="5">
        <f>IF($L56="","",SUMIFS('Per Line'!$R$2:$R$401,'Per Line'!$A$2:$A$401,$B56))</f>
        <v/>
      </c>
      <c r="G56" s="5">
        <f>IF($L56="","",SUMIFS('Per Line'!$S$2:$S$401,'Per Line'!$A$2:$A$401,$B56))</f>
        <v/>
      </c>
      <c r="H56" s="5">
        <f>IF($L56="","",SUMIFS('Per Line'!$T$2:$T$401,'Per Line'!$A$2:$A$401,$B56))</f>
        <v/>
      </c>
      <c r="I56" s="5">
        <f>IF($L56="","",F56-G56)</f>
        <v/>
      </c>
      <c r="J56" s="5">
        <f>IF($L56="","",I56-H56)</f>
        <v/>
      </c>
      <c r="K56">
        <f>IF($L56="","",IFERROR(INDEX(Settings!$C$27:$C$36,MATCH(C56,Settings!$B$27:$B$36,0)),"Unassigned"))</f>
        <v/>
      </c>
      <c r="L56">
        <f>IF(ROWS($L$2:$L56)&lt;=MAX('Per Line'!$AA$2:$AA$401),MATCH(ROWS($L$2:$L56),'Per Line'!$AA$2:$AA$401,0),"")</f>
        <v/>
      </c>
      <c r="M56">
        <f>IF(K56="Above",COUNTIF($K$2:K56,"Above"),"")</f>
        <v/>
      </c>
      <c r="N56">
        <f>IF(K56="Below",COUNTIF($K$2:K56,"Below"),"")</f>
        <v/>
      </c>
    </row>
    <row r="57">
      <c r="B57">
        <f>IF($L57="","",INDEX('Per Line'!$A$2:$A$401,$L57))</f>
        <v/>
      </c>
      <c r="C57">
        <f>IF($L57="","",INDEX('Per Line'!$B$2:$B$401,$L57))</f>
        <v/>
      </c>
      <c r="D57">
        <f>IF($L57="","",INDEX('Per Line'!$C$2:$C$401,$L57))</f>
        <v/>
      </c>
      <c r="E57">
        <f>IF($L57="","",INDEX('Per Line'!$P$2:$P$401,$L57))</f>
        <v/>
      </c>
      <c r="F57" s="5">
        <f>IF($L57="","",SUMIFS('Per Line'!$R$2:$R$401,'Per Line'!$A$2:$A$401,$B57))</f>
        <v/>
      </c>
      <c r="G57" s="5">
        <f>IF($L57="","",SUMIFS('Per Line'!$S$2:$S$401,'Per Line'!$A$2:$A$401,$B57))</f>
        <v/>
      </c>
      <c r="H57" s="5">
        <f>IF($L57="","",SUMIFS('Per Line'!$T$2:$T$401,'Per Line'!$A$2:$A$401,$B57))</f>
        <v/>
      </c>
      <c r="I57" s="5">
        <f>IF($L57="","",F57-G57)</f>
        <v/>
      </c>
      <c r="J57" s="5">
        <f>IF($L57="","",I57-H57)</f>
        <v/>
      </c>
      <c r="K57">
        <f>IF($L57="","",IFERROR(INDEX(Settings!$C$27:$C$36,MATCH(C57,Settings!$B$27:$B$36,0)),"Unassigned"))</f>
        <v/>
      </c>
      <c r="L57">
        <f>IF(ROWS($L$2:$L57)&lt;=MAX('Per Line'!$AA$2:$AA$401),MATCH(ROWS($L$2:$L57),'Per Line'!$AA$2:$AA$401,0),"")</f>
        <v/>
      </c>
      <c r="M57">
        <f>IF(K57="Above",COUNTIF($K$2:K57,"Above"),"")</f>
        <v/>
      </c>
      <c r="N57">
        <f>IF(K57="Below",COUNTIF($K$2:K57,"Below"),"")</f>
        <v/>
      </c>
    </row>
    <row r="58">
      <c r="B58">
        <f>IF($L58="","",INDEX('Per Line'!$A$2:$A$401,$L58))</f>
        <v/>
      </c>
      <c r="C58">
        <f>IF($L58="","",INDEX('Per Line'!$B$2:$B$401,$L58))</f>
        <v/>
      </c>
      <c r="D58">
        <f>IF($L58="","",INDEX('Per Line'!$C$2:$C$401,$L58))</f>
        <v/>
      </c>
      <c r="E58">
        <f>IF($L58="","",INDEX('Per Line'!$P$2:$P$401,$L58))</f>
        <v/>
      </c>
      <c r="F58" s="5">
        <f>IF($L58="","",SUMIFS('Per Line'!$R$2:$R$401,'Per Line'!$A$2:$A$401,$B58))</f>
        <v/>
      </c>
      <c r="G58" s="5">
        <f>IF($L58="","",SUMIFS('Per Line'!$S$2:$S$401,'Per Line'!$A$2:$A$401,$B58))</f>
        <v/>
      </c>
      <c r="H58" s="5">
        <f>IF($L58="","",SUMIFS('Per Line'!$T$2:$T$401,'Per Line'!$A$2:$A$401,$B58))</f>
        <v/>
      </c>
      <c r="I58" s="5">
        <f>IF($L58="","",F58-G58)</f>
        <v/>
      </c>
      <c r="J58" s="5">
        <f>IF($L58="","",I58-H58)</f>
        <v/>
      </c>
      <c r="K58">
        <f>IF($L58="","",IFERROR(INDEX(Settings!$C$27:$C$36,MATCH(C58,Settings!$B$27:$B$36,0)),"Unassigned"))</f>
        <v/>
      </c>
      <c r="L58">
        <f>IF(ROWS($L$2:$L58)&lt;=MAX('Per Line'!$AA$2:$AA$401),MATCH(ROWS($L$2:$L58),'Per Line'!$AA$2:$AA$401,0),"")</f>
        <v/>
      </c>
      <c r="M58">
        <f>IF(K58="Above",COUNTIF($K$2:K58,"Above"),"")</f>
        <v/>
      </c>
      <c r="N58">
        <f>IF(K58="Below",COUNTIF($K$2:K58,"Below"),"")</f>
        <v/>
      </c>
    </row>
    <row r="59">
      <c r="B59">
        <f>IF($L59="","",INDEX('Per Line'!$A$2:$A$401,$L59))</f>
        <v/>
      </c>
      <c r="C59">
        <f>IF($L59="","",INDEX('Per Line'!$B$2:$B$401,$L59))</f>
        <v/>
      </c>
      <c r="D59">
        <f>IF($L59="","",INDEX('Per Line'!$C$2:$C$401,$L59))</f>
        <v/>
      </c>
      <c r="E59">
        <f>IF($L59="","",INDEX('Per Line'!$P$2:$P$401,$L59))</f>
        <v/>
      </c>
      <c r="F59" s="5">
        <f>IF($L59="","",SUMIFS('Per Line'!$R$2:$R$401,'Per Line'!$A$2:$A$401,$B59))</f>
        <v/>
      </c>
      <c r="G59" s="5">
        <f>IF($L59="","",SUMIFS('Per Line'!$S$2:$S$401,'Per Line'!$A$2:$A$401,$B59))</f>
        <v/>
      </c>
      <c r="H59" s="5">
        <f>IF($L59="","",SUMIFS('Per Line'!$T$2:$T$401,'Per Line'!$A$2:$A$401,$B59))</f>
        <v/>
      </c>
      <c r="I59" s="5">
        <f>IF($L59="","",F59-G59)</f>
        <v/>
      </c>
      <c r="J59" s="5">
        <f>IF($L59="","",I59-H59)</f>
        <v/>
      </c>
      <c r="K59">
        <f>IF($L59="","",IFERROR(INDEX(Settings!$C$27:$C$36,MATCH(C59,Settings!$B$27:$B$36,0)),"Unassigned"))</f>
        <v/>
      </c>
      <c r="L59">
        <f>IF(ROWS($L$2:$L59)&lt;=MAX('Per Line'!$AA$2:$AA$401),MATCH(ROWS($L$2:$L59),'Per Line'!$AA$2:$AA$401,0),"")</f>
        <v/>
      </c>
      <c r="M59">
        <f>IF(K59="Above",COUNTIF($K$2:K59,"Above"),"")</f>
        <v/>
      </c>
      <c r="N59">
        <f>IF(K59="Below",COUNTIF($K$2:K59,"Below"),"")</f>
        <v/>
      </c>
    </row>
    <row r="60">
      <c r="B60">
        <f>IF($L60="","",INDEX('Per Line'!$A$2:$A$401,$L60))</f>
        <v/>
      </c>
      <c r="C60">
        <f>IF($L60="","",INDEX('Per Line'!$B$2:$B$401,$L60))</f>
        <v/>
      </c>
      <c r="D60">
        <f>IF($L60="","",INDEX('Per Line'!$C$2:$C$401,$L60))</f>
        <v/>
      </c>
      <c r="E60">
        <f>IF($L60="","",INDEX('Per Line'!$P$2:$P$401,$L60))</f>
        <v/>
      </c>
      <c r="F60" s="5">
        <f>IF($L60="","",SUMIFS('Per Line'!$R$2:$R$401,'Per Line'!$A$2:$A$401,$B60))</f>
        <v/>
      </c>
      <c r="G60" s="5">
        <f>IF($L60="","",SUMIFS('Per Line'!$S$2:$S$401,'Per Line'!$A$2:$A$401,$B60))</f>
        <v/>
      </c>
      <c r="H60" s="5">
        <f>IF($L60="","",SUMIFS('Per Line'!$T$2:$T$401,'Per Line'!$A$2:$A$401,$B60))</f>
        <v/>
      </c>
      <c r="I60" s="5">
        <f>IF($L60="","",F60-G60)</f>
        <v/>
      </c>
      <c r="J60" s="5">
        <f>IF($L60="","",I60-H60)</f>
        <v/>
      </c>
      <c r="K60">
        <f>IF($L60="","",IFERROR(INDEX(Settings!$C$27:$C$36,MATCH(C60,Settings!$B$27:$B$36,0)),"Unassigned"))</f>
        <v/>
      </c>
      <c r="L60">
        <f>IF(ROWS($L$2:$L60)&lt;=MAX('Per Line'!$AA$2:$AA$401),MATCH(ROWS($L$2:$L60),'Per Line'!$AA$2:$AA$401,0),"")</f>
        <v/>
      </c>
      <c r="M60">
        <f>IF(K60="Above",COUNTIF($K$2:K60,"Above"),"")</f>
        <v/>
      </c>
      <c r="N60">
        <f>IF(K60="Below",COUNTIF($K$2:K60,"Below"),"")</f>
        <v/>
      </c>
    </row>
    <row r="61">
      <c r="B61">
        <f>IF($L61="","",INDEX('Per Line'!$A$2:$A$401,$L61))</f>
        <v/>
      </c>
      <c r="C61">
        <f>IF($L61="","",INDEX('Per Line'!$B$2:$B$401,$L61))</f>
        <v/>
      </c>
      <c r="D61">
        <f>IF($L61="","",INDEX('Per Line'!$C$2:$C$401,$L61))</f>
        <v/>
      </c>
      <c r="E61">
        <f>IF($L61="","",INDEX('Per Line'!$P$2:$P$401,$L61))</f>
        <v/>
      </c>
      <c r="F61" s="5">
        <f>IF($L61="","",SUMIFS('Per Line'!$R$2:$R$401,'Per Line'!$A$2:$A$401,$B61))</f>
        <v/>
      </c>
      <c r="G61" s="5">
        <f>IF($L61="","",SUMIFS('Per Line'!$S$2:$S$401,'Per Line'!$A$2:$A$401,$B61))</f>
        <v/>
      </c>
      <c r="H61" s="5">
        <f>IF($L61="","",SUMIFS('Per Line'!$T$2:$T$401,'Per Line'!$A$2:$A$401,$B61))</f>
        <v/>
      </c>
      <c r="I61" s="5">
        <f>IF($L61="","",F61-G61)</f>
        <v/>
      </c>
      <c r="J61" s="5">
        <f>IF($L61="","",I61-H61)</f>
        <v/>
      </c>
      <c r="K61">
        <f>IF($L61="","",IFERROR(INDEX(Settings!$C$27:$C$36,MATCH(C61,Settings!$B$27:$B$36,0)),"Unassigned"))</f>
        <v/>
      </c>
      <c r="L61">
        <f>IF(ROWS($L$2:$L61)&lt;=MAX('Per Line'!$AA$2:$AA$401),MATCH(ROWS($L$2:$L61),'Per Line'!$AA$2:$AA$401,0),"")</f>
        <v/>
      </c>
      <c r="M61">
        <f>IF(K61="Above",COUNTIF($K$2:K61,"Above"),"")</f>
        <v/>
      </c>
      <c r="N61">
        <f>IF(K61="Below",COUNTIF($K$2:K61,"Below"),"")</f>
        <v/>
      </c>
    </row>
    <row r="62">
      <c r="B62">
        <f>IF($L62="","",INDEX('Per Line'!$A$2:$A$401,$L62))</f>
        <v/>
      </c>
      <c r="C62">
        <f>IF($L62="","",INDEX('Per Line'!$B$2:$B$401,$L62))</f>
        <v/>
      </c>
      <c r="D62">
        <f>IF($L62="","",INDEX('Per Line'!$C$2:$C$401,$L62))</f>
        <v/>
      </c>
      <c r="E62">
        <f>IF($L62="","",INDEX('Per Line'!$P$2:$P$401,$L62))</f>
        <v/>
      </c>
      <c r="F62" s="5">
        <f>IF($L62="","",SUMIFS('Per Line'!$R$2:$R$401,'Per Line'!$A$2:$A$401,$B62))</f>
        <v/>
      </c>
      <c r="G62" s="5">
        <f>IF($L62="","",SUMIFS('Per Line'!$S$2:$S$401,'Per Line'!$A$2:$A$401,$B62))</f>
        <v/>
      </c>
      <c r="H62" s="5">
        <f>IF($L62="","",SUMIFS('Per Line'!$T$2:$T$401,'Per Line'!$A$2:$A$401,$B62))</f>
        <v/>
      </c>
      <c r="I62" s="5">
        <f>IF($L62="","",F62-G62)</f>
        <v/>
      </c>
      <c r="J62" s="5">
        <f>IF($L62="","",I62-H62)</f>
        <v/>
      </c>
      <c r="K62">
        <f>IF($L62="","",IFERROR(INDEX(Settings!$C$27:$C$36,MATCH(C62,Settings!$B$27:$B$36,0)),"Unassigned"))</f>
        <v/>
      </c>
      <c r="L62">
        <f>IF(ROWS($L$2:$L62)&lt;=MAX('Per Line'!$AA$2:$AA$401),MATCH(ROWS($L$2:$L62),'Per Line'!$AA$2:$AA$401,0),"")</f>
        <v/>
      </c>
      <c r="M62">
        <f>IF(K62="Above",COUNTIF($K$2:K62,"Above"),"")</f>
        <v/>
      </c>
      <c r="N62">
        <f>IF(K62="Below",COUNTIF($K$2:K62,"Below"),"")</f>
        <v/>
      </c>
    </row>
    <row r="63">
      <c r="B63">
        <f>IF($L63="","",INDEX('Per Line'!$A$2:$A$401,$L63))</f>
        <v/>
      </c>
      <c r="C63">
        <f>IF($L63="","",INDEX('Per Line'!$B$2:$B$401,$L63))</f>
        <v/>
      </c>
      <c r="D63">
        <f>IF($L63="","",INDEX('Per Line'!$C$2:$C$401,$L63))</f>
        <v/>
      </c>
      <c r="E63">
        <f>IF($L63="","",INDEX('Per Line'!$P$2:$P$401,$L63))</f>
        <v/>
      </c>
      <c r="F63" s="5">
        <f>IF($L63="","",SUMIFS('Per Line'!$R$2:$R$401,'Per Line'!$A$2:$A$401,$B63))</f>
        <v/>
      </c>
      <c r="G63" s="5">
        <f>IF($L63="","",SUMIFS('Per Line'!$S$2:$S$401,'Per Line'!$A$2:$A$401,$B63))</f>
        <v/>
      </c>
      <c r="H63" s="5">
        <f>IF($L63="","",SUMIFS('Per Line'!$T$2:$T$401,'Per Line'!$A$2:$A$401,$B63))</f>
        <v/>
      </c>
      <c r="I63" s="5">
        <f>IF($L63="","",F63-G63)</f>
        <v/>
      </c>
      <c r="J63" s="5">
        <f>IF($L63="","",I63-H63)</f>
        <v/>
      </c>
      <c r="K63">
        <f>IF($L63="","",IFERROR(INDEX(Settings!$C$27:$C$36,MATCH(C63,Settings!$B$27:$B$36,0)),"Unassigned"))</f>
        <v/>
      </c>
      <c r="L63">
        <f>IF(ROWS($L$2:$L63)&lt;=MAX('Per Line'!$AA$2:$AA$401),MATCH(ROWS($L$2:$L63),'Per Line'!$AA$2:$AA$401,0),"")</f>
        <v/>
      </c>
      <c r="M63">
        <f>IF(K63="Above",COUNTIF($K$2:K63,"Above"),"")</f>
        <v/>
      </c>
      <c r="N63">
        <f>IF(K63="Below",COUNTIF($K$2:K63,"Below"),"")</f>
        <v/>
      </c>
    </row>
    <row r="64">
      <c r="B64">
        <f>IF($L64="","",INDEX('Per Line'!$A$2:$A$401,$L64))</f>
        <v/>
      </c>
      <c r="C64">
        <f>IF($L64="","",INDEX('Per Line'!$B$2:$B$401,$L64))</f>
        <v/>
      </c>
      <c r="D64">
        <f>IF($L64="","",INDEX('Per Line'!$C$2:$C$401,$L64))</f>
        <v/>
      </c>
      <c r="E64">
        <f>IF($L64="","",INDEX('Per Line'!$P$2:$P$401,$L64))</f>
        <v/>
      </c>
      <c r="F64" s="5">
        <f>IF($L64="","",SUMIFS('Per Line'!$R$2:$R$401,'Per Line'!$A$2:$A$401,$B64))</f>
        <v/>
      </c>
      <c r="G64" s="5">
        <f>IF($L64="","",SUMIFS('Per Line'!$S$2:$S$401,'Per Line'!$A$2:$A$401,$B64))</f>
        <v/>
      </c>
      <c r="H64" s="5">
        <f>IF($L64="","",SUMIFS('Per Line'!$T$2:$T$401,'Per Line'!$A$2:$A$401,$B64))</f>
        <v/>
      </c>
      <c r="I64" s="5">
        <f>IF($L64="","",F64-G64)</f>
        <v/>
      </c>
      <c r="J64" s="5">
        <f>IF($L64="","",I64-H64)</f>
        <v/>
      </c>
      <c r="K64">
        <f>IF($L64="","",IFERROR(INDEX(Settings!$C$27:$C$36,MATCH(C64,Settings!$B$27:$B$36,0)),"Unassigned"))</f>
        <v/>
      </c>
      <c r="L64">
        <f>IF(ROWS($L$2:$L64)&lt;=MAX('Per Line'!$AA$2:$AA$401),MATCH(ROWS($L$2:$L64),'Per Line'!$AA$2:$AA$401,0),"")</f>
        <v/>
      </c>
      <c r="M64">
        <f>IF(K64="Above",COUNTIF($K$2:K64,"Above"),"")</f>
        <v/>
      </c>
      <c r="N64">
        <f>IF(K64="Below",COUNTIF($K$2:K64,"Below"),"")</f>
        <v/>
      </c>
    </row>
    <row r="65">
      <c r="B65">
        <f>IF($L65="","",INDEX('Per Line'!$A$2:$A$401,$L65))</f>
        <v/>
      </c>
      <c r="C65">
        <f>IF($L65="","",INDEX('Per Line'!$B$2:$B$401,$L65))</f>
        <v/>
      </c>
      <c r="D65">
        <f>IF($L65="","",INDEX('Per Line'!$C$2:$C$401,$L65))</f>
        <v/>
      </c>
      <c r="E65">
        <f>IF($L65="","",INDEX('Per Line'!$P$2:$P$401,$L65))</f>
        <v/>
      </c>
      <c r="F65" s="5">
        <f>IF($L65="","",SUMIFS('Per Line'!$R$2:$R$401,'Per Line'!$A$2:$A$401,$B65))</f>
        <v/>
      </c>
      <c r="G65" s="5">
        <f>IF($L65="","",SUMIFS('Per Line'!$S$2:$S$401,'Per Line'!$A$2:$A$401,$B65))</f>
        <v/>
      </c>
      <c r="H65" s="5">
        <f>IF($L65="","",SUMIFS('Per Line'!$T$2:$T$401,'Per Line'!$A$2:$A$401,$B65))</f>
        <v/>
      </c>
      <c r="I65" s="5">
        <f>IF($L65="","",F65-G65)</f>
        <v/>
      </c>
      <c r="J65" s="5">
        <f>IF($L65="","",I65-H65)</f>
        <v/>
      </c>
      <c r="K65">
        <f>IF($L65="","",IFERROR(INDEX(Settings!$C$27:$C$36,MATCH(C65,Settings!$B$27:$B$36,0)),"Unassigned"))</f>
        <v/>
      </c>
      <c r="L65">
        <f>IF(ROWS($L$2:$L65)&lt;=MAX('Per Line'!$AA$2:$AA$401),MATCH(ROWS($L$2:$L65),'Per Line'!$AA$2:$AA$401,0),"")</f>
        <v/>
      </c>
      <c r="M65">
        <f>IF(K65="Above",COUNTIF($K$2:K65,"Above"),"")</f>
        <v/>
      </c>
      <c r="N65">
        <f>IF(K65="Below",COUNTIF($K$2:K65,"Below"),"")</f>
        <v/>
      </c>
    </row>
    <row r="66">
      <c r="B66">
        <f>IF($L66="","",INDEX('Per Line'!$A$2:$A$401,$L66))</f>
        <v/>
      </c>
      <c r="C66">
        <f>IF($L66="","",INDEX('Per Line'!$B$2:$B$401,$L66))</f>
        <v/>
      </c>
      <c r="D66">
        <f>IF($L66="","",INDEX('Per Line'!$C$2:$C$401,$L66))</f>
        <v/>
      </c>
      <c r="E66">
        <f>IF($L66="","",INDEX('Per Line'!$P$2:$P$401,$L66))</f>
        <v/>
      </c>
      <c r="F66" s="5">
        <f>IF($L66="","",SUMIFS('Per Line'!$R$2:$R$401,'Per Line'!$A$2:$A$401,$B66))</f>
        <v/>
      </c>
      <c r="G66" s="5">
        <f>IF($L66="","",SUMIFS('Per Line'!$S$2:$S$401,'Per Line'!$A$2:$A$401,$B66))</f>
        <v/>
      </c>
      <c r="H66" s="5">
        <f>IF($L66="","",SUMIFS('Per Line'!$T$2:$T$401,'Per Line'!$A$2:$A$401,$B66))</f>
        <v/>
      </c>
      <c r="I66" s="5">
        <f>IF($L66="","",F66-G66)</f>
        <v/>
      </c>
      <c r="J66" s="5">
        <f>IF($L66="","",I66-H66)</f>
        <v/>
      </c>
      <c r="K66">
        <f>IF($L66="","",IFERROR(INDEX(Settings!$C$27:$C$36,MATCH(C66,Settings!$B$27:$B$36,0)),"Unassigned"))</f>
        <v/>
      </c>
      <c r="L66">
        <f>IF(ROWS($L$2:$L66)&lt;=MAX('Per Line'!$AA$2:$AA$401),MATCH(ROWS($L$2:$L66),'Per Line'!$AA$2:$AA$401,0),"")</f>
        <v/>
      </c>
      <c r="M66">
        <f>IF(K66="Above",COUNTIF($K$2:K66,"Above"),"")</f>
        <v/>
      </c>
      <c r="N66">
        <f>IF(K66="Below",COUNTIF($K$2:K66,"Below"),"")</f>
        <v/>
      </c>
    </row>
    <row r="67">
      <c r="B67">
        <f>IF($L67="","",INDEX('Per Line'!$A$2:$A$401,$L67))</f>
        <v/>
      </c>
      <c r="C67">
        <f>IF($L67="","",INDEX('Per Line'!$B$2:$B$401,$L67))</f>
        <v/>
      </c>
      <c r="D67">
        <f>IF($L67="","",INDEX('Per Line'!$C$2:$C$401,$L67))</f>
        <v/>
      </c>
      <c r="E67">
        <f>IF($L67="","",INDEX('Per Line'!$P$2:$P$401,$L67))</f>
        <v/>
      </c>
      <c r="F67" s="5">
        <f>IF($L67="","",SUMIFS('Per Line'!$R$2:$R$401,'Per Line'!$A$2:$A$401,$B67))</f>
        <v/>
      </c>
      <c r="G67" s="5">
        <f>IF($L67="","",SUMIFS('Per Line'!$S$2:$S$401,'Per Line'!$A$2:$A$401,$B67))</f>
        <v/>
      </c>
      <c r="H67" s="5">
        <f>IF($L67="","",SUMIFS('Per Line'!$T$2:$T$401,'Per Line'!$A$2:$A$401,$B67))</f>
        <v/>
      </c>
      <c r="I67" s="5">
        <f>IF($L67="","",F67-G67)</f>
        <v/>
      </c>
      <c r="J67" s="5">
        <f>IF($L67="","",I67-H67)</f>
        <v/>
      </c>
      <c r="K67">
        <f>IF($L67="","",IFERROR(INDEX(Settings!$C$27:$C$36,MATCH(C67,Settings!$B$27:$B$36,0)),"Unassigned"))</f>
        <v/>
      </c>
      <c r="L67">
        <f>IF(ROWS($L$2:$L67)&lt;=MAX('Per Line'!$AA$2:$AA$401),MATCH(ROWS($L$2:$L67),'Per Line'!$AA$2:$AA$401,0),"")</f>
        <v/>
      </c>
      <c r="M67">
        <f>IF(K67="Above",COUNTIF($K$2:K67,"Above"),"")</f>
        <v/>
      </c>
      <c r="N67">
        <f>IF(K67="Below",COUNTIF($K$2:K67,"Below"),"")</f>
        <v/>
      </c>
    </row>
    <row r="68">
      <c r="B68">
        <f>IF($L68="","",INDEX('Per Line'!$A$2:$A$401,$L68))</f>
        <v/>
      </c>
      <c r="C68">
        <f>IF($L68="","",INDEX('Per Line'!$B$2:$B$401,$L68))</f>
        <v/>
      </c>
      <c r="D68">
        <f>IF($L68="","",INDEX('Per Line'!$C$2:$C$401,$L68))</f>
        <v/>
      </c>
      <c r="E68">
        <f>IF($L68="","",INDEX('Per Line'!$P$2:$P$401,$L68))</f>
        <v/>
      </c>
      <c r="F68" s="5">
        <f>IF($L68="","",SUMIFS('Per Line'!$R$2:$R$401,'Per Line'!$A$2:$A$401,$B68))</f>
        <v/>
      </c>
      <c r="G68" s="5">
        <f>IF($L68="","",SUMIFS('Per Line'!$S$2:$S$401,'Per Line'!$A$2:$A$401,$B68))</f>
        <v/>
      </c>
      <c r="H68" s="5">
        <f>IF($L68="","",SUMIFS('Per Line'!$T$2:$T$401,'Per Line'!$A$2:$A$401,$B68))</f>
        <v/>
      </c>
      <c r="I68" s="5">
        <f>IF($L68="","",F68-G68)</f>
        <v/>
      </c>
      <c r="J68" s="5">
        <f>IF($L68="","",I68-H68)</f>
        <v/>
      </c>
      <c r="K68">
        <f>IF($L68="","",IFERROR(INDEX(Settings!$C$27:$C$36,MATCH(C68,Settings!$B$27:$B$36,0)),"Unassigned"))</f>
        <v/>
      </c>
      <c r="L68">
        <f>IF(ROWS($L$2:$L68)&lt;=MAX('Per Line'!$AA$2:$AA$401),MATCH(ROWS($L$2:$L68),'Per Line'!$AA$2:$AA$401,0),"")</f>
        <v/>
      </c>
      <c r="M68">
        <f>IF(K68="Above",COUNTIF($K$2:K68,"Above"),"")</f>
        <v/>
      </c>
      <c r="N68">
        <f>IF(K68="Below",COUNTIF($K$2:K68,"Below"),"")</f>
        <v/>
      </c>
    </row>
    <row r="69">
      <c r="B69">
        <f>IF($L69="","",INDEX('Per Line'!$A$2:$A$401,$L69))</f>
        <v/>
      </c>
      <c r="C69">
        <f>IF($L69="","",INDEX('Per Line'!$B$2:$B$401,$L69))</f>
        <v/>
      </c>
      <c r="D69">
        <f>IF($L69="","",INDEX('Per Line'!$C$2:$C$401,$L69))</f>
        <v/>
      </c>
      <c r="E69">
        <f>IF($L69="","",INDEX('Per Line'!$P$2:$P$401,$L69))</f>
        <v/>
      </c>
      <c r="F69" s="5">
        <f>IF($L69="","",SUMIFS('Per Line'!$R$2:$R$401,'Per Line'!$A$2:$A$401,$B69))</f>
        <v/>
      </c>
      <c r="G69" s="5">
        <f>IF($L69="","",SUMIFS('Per Line'!$S$2:$S$401,'Per Line'!$A$2:$A$401,$B69))</f>
        <v/>
      </c>
      <c r="H69" s="5">
        <f>IF($L69="","",SUMIFS('Per Line'!$T$2:$T$401,'Per Line'!$A$2:$A$401,$B69))</f>
        <v/>
      </c>
      <c r="I69" s="5">
        <f>IF($L69="","",F69-G69)</f>
        <v/>
      </c>
      <c r="J69" s="5">
        <f>IF($L69="","",I69-H69)</f>
        <v/>
      </c>
      <c r="K69">
        <f>IF($L69="","",IFERROR(INDEX(Settings!$C$27:$C$36,MATCH(C69,Settings!$B$27:$B$36,0)),"Unassigned"))</f>
        <v/>
      </c>
      <c r="L69">
        <f>IF(ROWS($L$2:$L69)&lt;=MAX('Per Line'!$AA$2:$AA$401),MATCH(ROWS($L$2:$L69),'Per Line'!$AA$2:$AA$401,0),"")</f>
        <v/>
      </c>
      <c r="M69">
        <f>IF(K69="Above",COUNTIF($K$2:K69,"Above"),"")</f>
        <v/>
      </c>
      <c r="N69">
        <f>IF(K69="Below",COUNTIF($K$2:K69,"Below"),"")</f>
        <v/>
      </c>
    </row>
    <row r="70">
      <c r="B70">
        <f>IF($L70="","",INDEX('Per Line'!$A$2:$A$401,$L70))</f>
        <v/>
      </c>
      <c r="C70">
        <f>IF($L70="","",INDEX('Per Line'!$B$2:$B$401,$L70))</f>
        <v/>
      </c>
      <c r="D70">
        <f>IF($L70="","",INDEX('Per Line'!$C$2:$C$401,$L70))</f>
        <v/>
      </c>
      <c r="E70">
        <f>IF($L70="","",INDEX('Per Line'!$P$2:$P$401,$L70))</f>
        <v/>
      </c>
      <c r="F70" s="5">
        <f>IF($L70="","",SUMIFS('Per Line'!$R$2:$R$401,'Per Line'!$A$2:$A$401,$B70))</f>
        <v/>
      </c>
      <c r="G70" s="5">
        <f>IF($L70="","",SUMIFS('Per Line'!$S$2:$S$401,'Per Line'!$A$2:$A$401,$B70))</f>
        <v/>
      </c>
      <c r="H70" s="5">
        <f>IF($L70="","",SUMIFS('Per Line'!$T$2:$T$401,'Per Line'!$A$2:$A$401,$B70))</f>
        <v/>
      </c>
      <c r="I70" s="5">
        <f>IF($L70="","",F70-G70)</f>
        <v/>
      </c>
      <c r="J70" s="5">
        <f>IF($L70="","",I70-H70)</f>
        <v/>
      </c>
      <c r="K70">
        <f>IF($L70="","",IFERROR(INDEX(Settings!$C$27:$C$36,MATCH(C70,Settings!$B$27:$B$36,0)),"Unassigned"))</f>
        <v/>
      </c>
      <c r="L70">
        <f>IF(ROWS($L$2:$L70)&lt;=MAX('Per Line'!$AA$2:$AA$401),MATCH(ROWS($L$2:$L70),'Per Line'!$AA$2:$AA$401,0),"")</f>
        <v/>
      </c>
      <c r="M70">
        <f>IF(K70="Above",COUNTIF($K$2:K70,"Above"),"")</f>
        <v/>
      </c>
      <c r="N70">
        <f>IF(K70="Below",COUNTIF($K$2:K70,"Below"),"")</f>
        <v/>
      </c>
    </row>
    <row r="71">
      <c r="B71">
        <f>IF($L71="","",INDEX('Per Line'!$A$2:$A$401,$L71))</f>
        <v/>
      </c>
      <c r="C71">
        <f>IF($L71="","",INDEX('Per Line'!$B$2:$B$401,$L71))</f>
        <v/>
      </c>
      <c r="D71">
        <f>IF($L71="","",INDEX('Per Line'!$C$2:$C$401,$L71))</f>
        <v/>
      </c>
      <c r="E71">
        <f>IF($L71="","",INDEX('Per Line'!$P$2:$P$401,$L71))</f>
        <v/>
      </c>
      <c r="F71" s="5">
        <f>IF($L71="","",SUMIFS('Per Line'!$R$2:$R$401,'Per Line'!$A$2:$A$401,$B71))</f>
        <v/>
      </c>
      <c r="G71" s="5">
        <f>IF($L71="","",SUMIFS('Per Line'!$S$2:$S$401,'Per Line'!$A$2:$A$401,$B71))</f>
        <v/>
      </c>
      <c r="H71" s="5">
        <f>IF($L71="","",SUMIFS('Per Line'!$T$2:$T$401,'Per Line'!$A$2:$A$401,$B71))</f>
        <v/>
      </c>
      <c r="I71" s="5">
        <f>IF($L71="","",F71-G71)</f>
        <v/>
      </c>
      <c r="J71" s="5">
        <f>IF($L71="","",I71-H71)</f>
        <v/>
      </c>
      <c r="K71">
        <f>IF($L71="","",IFERROR(INDEX(Settings!$C$27:$C$36,MATCH(C71,Settings!$B$27:$B$36,0)),"Unassigned"))</f>
        <v/>
      </c>
      <c r="L71">
        <f>IF(ROWS($L$2:$L71)&lt;=MAX('Per Line'!$AA$2:$AA$401),MATCH(ROWS($L$2:$L71),'Per Line'!$AA$2:$AA$401,0),"")</f>
        <v/>
      </c>
      <c r="M71">
        <f>IF(K71="Above",COUNTIF($K$2:K71,"Above"),"")</f>
        <v/>
      </c>
      <c r="N71">
        <f>IF(K71="Below",COUNTIF($K$2:K71,"Below"),"")</f>
        <v/>
      </c>
    </row>
    <row r="72">
      <c r="B72">
        <f>IF($L72="","",INDEX('Per Line'!$A$2:$A$401,$L72))</f>
        <v/>
      </c>
      <c r="C72">
        <f>IF($L72="","",INDEX('Per Line'!$B$2:$B$401,$L72))</f>
        <v/>
      </c>
      <c r="D72">
        <f>IF($L72="","",INDEX('Per Line'!$C$2:$C$401,$L72))</f>
        <v/>
      </c>
      <c r="E72">
        <f>IF($L72="","",INDEX('Per Line'!$P$2:$P$401,$L72))</f>
        <v/>
      </c>
      <c r="F72" s="5">
        <f>IF($L72="","",SUMIFS('Per Line'!$R$2:$R$401,'Per Line'!$A$2:$A$401,$B72))</f>
        <v/>
      </c>
      <c r="G72" s="5">
        <f>IF($L72="","",SUMIFS('Per Line'!$S$2:$S$401,'Per Line'!$A$2:$A$401,$B72))</f>
        <v/>
      </c>
      <c r="H72" s="5">
        <f>IF($L72="","",SUMIFS('Per Line'!$T$2:$T$401,'Per Line'!$A$2:$A$401,$B72))</f>
        <v/>
      </c>
      <c r="I72" s="5">
        <f>IF($L72="","",F72-G72)</f>
        <v/>
      </c>
      <c r="J72" s="5">
        <f>IF($L72="","",I72-H72)</f>
        <v/>
      </c>
      <c r="K72">
        <f>IF($L72="","",IFERROR(INDEX(Settings!$C$27:$C$36,MATCH(C72,Settings!$B$27:$B$36,0)),"Unassigned"))</f>
        <v/>
      </c>
      <c r="L72">
        <f>IF(ROWS($L$2:$L72)&lt;=MAX('Per Line'!$AA$2:$AA$401),MATCH(ROWS($L$2:$L72),'Per Line'!$AA$2:$AA$401,0),"")</f>
        <v/>
      </c>
      <c r="M72">
        <f>IF(K72="Above",COUNTIF($K$2:K72,"Above"),"")</f>
        <v/>
      </c>
      <c r="N72">
        <f>IF(K72="Below",COUNTIF($K$2:K72,"Below"),"")</f>
        <v/>
      </c>
    </row>
    <row r="73">
      <c r="B73">
        <f>IF($L73="","",INDEX('Per Line'!$A$2:$A$401,$L73))</f>
        <v/>
      </c>
      <c r="C73">
        <f>IF($L73="","",INDEX('Per Line'!$B$2:$B$401,$L73))</f>
        <v/>
      </c>
      <c r="D73">
        <f>IF($L73="","",INDEX('Per Line'!$C$2:$C$401,$L73))</f>
        <v/>
      </c>
      <c r="E73">
        <f>IF($L73="","",INDEX('Per Line'!$P$2:$P$401,$L73))</f>
        <v/>
      </c>
      <c r="F73" s="5">
        <f>IF($L73="","",SUMIFS('Per Line'!$R$2:$R$401,'Per Line'!$A$2:$A$401,$B73))</f>
        <v/>
      </c>
      <c r="G73" s="5">
        <f>IF($L73="","",SUMIFS('Per Line'!$S$2:$S$401,'Per Line'!$A$2:$A$401,$B73))</f>
        <v/>
      </c>
      <c r="H73" s="5">
        <f>IF($L73="","",SUMIFS('Per Line'!$T$2:$T$401,'Per Line'!$A$2:$A$401,$B73))</f>
        <v/>
      </c>
      <c r="I73" s="5">
        <f>IF($L73="","",F73-G73)</f>
        <v/>
      </c>
      <c r="J73" s="5">
        <f>IF($L73="","",I73-H73)</f>
        <v/>
      </c>
      <c r="K73">
        <f>IF($L73="","",IFERROR(INDEX(Settings!$C$27:$C$36,MATCH(C73,Settings!$B$27:$B$36,0)),"Unassigned"))</f>
        <v/>
      </c>
      <c r="L73">
        <f>IF(ROWS($L$2:$L73)&lt;=MAX('Per Line'!$AA$2:$AA$401),MATCH(ROWS($L$2:$L73),'Per Line'!$AA$2:$AA$401,0),"")</f>
        <v/>
      </c>
      <c r="M73">
        <f>IF(K73="Above",COUNTIF($K$2:K73,"Above"),"")</f>
        <v/>
      </c>
      <c r="N73">
        <f>IF(K73="Below",COUNTIF($K$2:K73,"Below"),"")</f>
        <v/>
      </c>
    </row>
    <row r="74">
      <c r="B74">
        <f>IF($L74="","",INDEX('Per Line'!$A$2:$A$401,$L74))</f>
        <v/>
      </c>
      <c r="C74">
        <f>IF($L74="","",INDEX('Per Line'!$B$2:$B$401,$L74))</f>
        <v/>
      </c>
      <c r="D74">
        <f>IF($L74="","",INDEX('Per Line'!$C$2:$C$401,$L74))</f>
        <v/>
      </c>
      <c r="E74">
        <f>IF($L74="","",INDEX('Per Line'!$P$2:$P$401,$L74))</f>
        <v/>
      </c>
      <c r="F74" s="5">
        <f>IF($L74="","",SUMIFS('Per Line'!$R$2:$R$401,'Per Line'!$A$2:$A$401,$B74))</f>
        <v/>
      </c>
      <c r="G74" s="5">
        <f>IF($L74="","",SUMIFS('Per Line'!$S$2:$S$401,'Per Line'!$A$2:$A$401,$B74))</f>
        <v/>
      </c>
      <c r="H74" s="5">
        <f>IF($L74="","",SUMIFS('Per Line'!$T$2:$T$401,'Per Line'!$A$2:$A$401,$B74))</f>
        <v/>
      </c>
      <c r="I74" s="5">
        <f>IF($L74="","",F74-G74)</f>
        <v/>
      </c>
      <c r="J74" s="5">
        <f>IF($L74="","",I74-H74)</f>
        <v/>
      </c>
      <c r="K74">
        <f>IF($L74="","",IFERROR(INDEX(Settings!$C$27:$C$36,MATCH(C74,Settings!$B$27:$B$36,0)),"Unassigned"))</f>
        <v/>
      </c>
      <c r="L74">
        <f>IF(ROWS($L$2:$L74)&lt;=MAX('Per Line'!$AA$2:$AA$401),MATCH(ROWS($L$2:$L74),'Per Line'!$AA$2:$AA$401,0),"")</f>
        <v/>
      </c>
      <c r="M74">
        <f>IF(K74="Above",COUNTIF($K$2:K74,"Above"),"")</f>
        <v/>
      </c>
      <c r="N74">
        <f>IF(K74="Below",COUNTIF($K$2:K74,"Below"),"")</f>
        <v/>
      </c>
    </row>
    <row r="75">
      <c r="B75">
        <f>IF($L75="","",INDEX('Per Line'!$A$2:$A$401,$L75))</f>
        <v/>
      </c>
      <c r="C75">
        <f>IF($L75="","",INDEX('Per Line'!$B$2:$B$401,$L75))</f>
        <v/>
      </c>
      <c r="D75">
        <f>IF($L75="","",INDEX('Per Line'!$C$2:$C$401,$L75))</f>
        <v/>
      </c>
      <c r="E75">
        <f>IF($L75="","",INDEX('Per Line'!$P$2:$P$401,$L75))</f>
        <v/>
      </c>
      <c r="F75" s="5">
        <f>IF($L75="","",SUMIFS('Per Line'!$R$2:$R$401,'Per Line'!$A$2:$A$401,$B75))</f>
        <v/>
      </c>
      <c r="G75" s="5">
        <f>IF($L75="","",SUMIFS('Per Line'!$S$2:$S$401,'Per Line'!$A$2:$A$401,$B75))</f>
        <v/>
      </c>
      <c r="H75" s="5">
        <f>IF($L75="","",SUMIFS('Per Line'!$T$2:$T$401,'Per Line'!$A$2:$A$401,$B75))</f>
        <v/>
      </c>
      <c r="I75" s="5">
        <f>IF($L75="","",F75-G75)</f>
        <v/>
      </c>
      <c r="J75" s="5">
        <f>IF($L75="","",I75-H75)</f>
        <v/>
      </c>
      <c r="K75">
        <f>IF($L75="","",IFERROR(INDEX(Settings!$C$27:$C$36,MATCH(C75,Settings!$B$27:$B$36,0)),"Unassigned"))</f>
        <v/>
      </c>
      <c r="L75">
        <f>IF(ROWS($L$2:$L75)&lt;=MAX('Per Line'!$AA$2:$AA$401),MATCH(ROWS($L$2:$L75),'Per Line'!$AA$2:$AA$401,0),"")</f>
        <v/>
      </c>
      <c r="M75">
        <f>IF(K75="Above",COUNTIF($K$2:K75,"Above"),"")</f>
        <v/>
      </c>
      <c r="N75">
        <f>IF(K75="Below",COUNTIF($K$2:K75,"Below"),"")</f>
        <v/>
      </c>
    </row>
    <row r="76">
      <c r="B76">
        <f>IF($L76="","",INDEX('Per Line'!$A$2:$A$401,$L76))</f>
        <v/>
      </c>
      <c r="C76">
        <f>IF($L76="","",INDEX('Per Line'!$B$2:$B$401,$L76))</f>
        <v/>
      </c>
      <c r="D76">
        <f>IF($L76="","",INDEX('Per Line'!$C$2:$C$401,$L76))</f>
        <v/>
      </c>
      <c r="E76">
        <f>IF($L76="","",INDEX('Per Line'!$P$2:$P$401,$L76))</f>
        <v/>
      </c>
      <c r="F76" s="5">
        <f>IF($L76="","",SUMIFS('Per Line'!$R$2:$R$401,'Per Line'!$A$2:$A$401,$B76))</f>
        <v/>
      </c>
      <c r="G76" s="5">
        <f>IF($L76="","",SUMIFS('Per Line'!$S$2:$S$401,'Per Line'!$A$2:$A$401,$B76))</f>
        <v/>
      </c>
      <c r="H76" s="5">
        <f>IF($L76="","",SUMIFS('Per Line'!$T$2:$T$401,'Per Line'!$A$2:$A$401,$B76))</f>
        <v/>
      </c>
      <c r="I76" s="5">
        <f>IF($L76="","",F76-G76)</f>
        <v/>
      </c>
      <c r="J76" s="5">
        <f>IF($L76="","",I76-H76)</f>
        <v/>
      </c>
      <c r="K76">
        <f>IF($L76="","",IFERROR(INDEX(Settings!$C$27:$C$36,MATCH(C76,Settings!$B$27:$B$36,0)),"Unassigned"))</f>
        <v/>
      </c>
      <c r="L76">
        <f>IF(ROWS($L$2:$L76)&lt;=MAX('Per Line'!$AA$2:$AA$401),MATCH(ROWS($L$2:$L76),'Per Line'!$AA$2:$AA$401,0),"")</f>
        <v/>
      </c>
      <c r="M76">
        <f>IF(K76="Above",COUNTIF($K$2:K76,"Above"),"")</f>
        <v/>
      </c>
      <c r="N76">
        <f>IF(K76="Below",COUNTIF($K$2:K76,"Below"),"")</f>
        <v/>
      </c>
    </row>
    <row r="77">
      <c r="B77">
        <f>IF($L77="","",INDEX('Per Line'!$A$2:$A$401,$L77))</f>
        <v/>
      </c>
      <c r="C77">
        <f>IF($L77="","",INDEX('Per Line'!$B$2:$B$401,$L77))</f>
        <v/>
      </c>
      <c r="D77">
        <f>IF($L77="","",INDEX('Per Line'!$C$2:$C$401,$L77))</f>
        <v/>
      </c>
      <c r="E77">
        <f>IF($L77="","",INDEX('Per Line'!$P$2:$P$401,$L77))</f>
        <v/>
      </c>
      <c r="F77" s="5">
        <f>IF($L77="","",SUMIFS('Per Line'!$R$2:$R$401,'Per Line'!$A$2:$A$401,$B77))</f>
        <v/>
      </c>
      <c r="G77" s="5">
        <f>IF($L77="","",SUMIFS('Per Line'!$S$2:$S$401,'Per Line'!$A$2:$A$401,$B77))</f>
        <v/>
      </c>
      <c r="H77" s="5">
        <f>IF($L77="","",SUMIFS('Per Line'!$T$2:$T$401,'Per Line'!$A$2:$A$401,$B77))</f>
        <v/>
      </c>
      <c r="I77" s="5">
        <f>IF($L77="","",F77-G77)</f>
        <v/>
      </c>
      <c r="J77" s="5">
        <f>IF($L77="","",I77-H77)</f>
        <v/>
      </c>
      <c r="K77">
        <f>IF($L77="","",IFERROR(INDEX(Settings!$C$27:$C$36,MATCH(C77,Settings!$B$27:$B$36,0)),"Unassigned"))</f>
        <v/>
      </c>
      <c r="L77">
        <f>IF(ROWS($L$2:$L77)&lt;=MAX('Per Line'!$AA$2:$AA$401),MATCH(ROWS($L$2:$L77),'Per Line'!$AA$2:$AA$401,0),"")</f>
        <v/>
      </c>
      <c r="M77">
        <f>IF(K77="Above",COUNTIF($K$2:K77,"Above"),"")</f>
        <v/>
      </c>
      <c r="N77">
        <f>IF(K77="Below",COUNTIF($K$2:K77,"Below"),"")</f>
        <v/>
      </c>
    </row>
    <row r="78">
      <c r="B78">
        <f>IF($L78="","",INDEX('Per Line'!$A$2:$A$401,$L78))</f>
        <v/>
      </c>
      <c r="C78">
        <f>IF($L78="","",INDEX('Per Line'!$B$2:$B$401,$L78))</f>
        <v/>
      </c>
      <c r="D78">
        <f>IF($L78="","",INDEX('Per Line'!$C$2:$C$401,$L78))</f>
        <v/>
      </c>
      <c r="E78">
        <f>IF($L78="","",INDEX('Per Line'!$P$2:$P$401,$L78))</f>
        <v/>
      </c>
      <c r="F78" s="5">
        <f>IF($L78="","",SUMIFS('Per Line'!$R$2:$R$401,'Per Line'!$A$2:$A$401,$B78))</f>
        <v/>
      </c>
      <c r="G78" s="5">
        <f>IF($L78="","",SUMIFS('Per Line'!$S$2:$S$401,'Per Line'!$A$2:$A$401,$B78))</f>
        <v/>
      </c>
      <c r="H78" s="5">
        <f>IF($L78="","",SUMIFS('Per Line'!$T$2:$T$401,'Per Line'!$A$2:$A$401,$B78))</f>
        <v/>
      </c>
      <c r="I78" s="5">
        <f>IF($L78="","",F78-G78)</f>
        <v/>
      </c>
      <c r="J78" s="5">
        <f>IF($L78="","",I78-H78)</f>
        <v/>
      </c>
      <c r="K78">
        <f>IF($L78="","",IFERROR(INDEX(Settings!$C$27:$C$36,MATCH(C78,Settings!$B$27:$B$36,0)),"Unassigned"))</f>
        <v/>
      </c>
      <c r="L78">
        <f>IF(ROWS($L$2:$L78)&lt;=MAX('Per Line'!$AA$2:$AA$401),MATCH(ROWS($L$2:$L78),'Per Line'!$AA$2:$AA$401,0),"")</f>
        <v/>
      </c>
      <c r="M78">
        <f>IF(K78="Above",COUNTIF($K$2:K78,"Above"),"")</f>
        <v/>
      </c>
      <c r="N78">
        <f>IF(K78="Below",COUNTIF($K$2:K78,"Below"),"")</f>
        <v/>
      </c>
    </row>
    <row r="79">
      <c r="B79">
        <f>IF($L79="","",INDEX('Per Line'!$A$2:$A$401,$L79))</f>
        <v/>
      </c>
      <c r="C79">
        <f>IF($L79="","",INDEX('Per Line'!$B$2:$B$401,$L79))</f>
        <v/>
      </c>
      <c r="D79">
        <f>IF($L79="","",INDEX('Per Line'!$C$2:$C$401,$L79))</f>
        <v/>
      </c>
      <c r="E79">
        <f>IF($L79="","",INDEX('Per Line'!$P$2:$P$401,$L79))</f>
        <v/>
      </c>
      <c r="F79" s="5">
        <f>IF($L79="","",SUMIFS('Per Line'!$R$2:$R$401,'Per Line'!$A$2:$A$401,$B79))</f>
        <v/>
      </c>
      <c r="G79" s="5">
        <f>IF($L79="","",SUMIFS('Per Line'!$S$2:$S$401,'Per Line'!$A$2:$A$401,$B79))</f>
        <v/>
      </c>
      <c r="H79" s="5">
        <f>IF($L79="","",SUMIFS('Per Line'!$T$2:$T$401,'Per Line'!$A$2:$A$401,$B79))</f>
        <v/>
      </c>
      <c r="I79" s="5">
        <f>IF($L79="","",F79-G79)</f>
        <v/>
      </c>
      <c r="J79" s="5">
        <f>IF($L79="","",I79-H79)</f>
        <v/>
      </c>
      <c r="K79">
        <f>IF($L79="","",IFERROR(INDEX(Settings!$C$27:$C$36,MATCH(C79,Settings!$B$27:$B$36,0)),"Unassigned"))</f>
        <v/>
      </c>
      <c r="L79">
        <f>IF(ROWS($L$2:$L79)&lt;=MAX('Per Line'!$AA$2:$AA$401),MATCH(ROWS($L$2:$L79),'Per Line'!$AA$2:$AA$401,0),"")</f>
        <v/>
      </c>
      <c r="M79">
        <f>IF(K79="Above",COUNTIF($K$2:K79,"Above"),"")</f>
        <v/>
      </c>
      <c r="N79">
        <f>IF(K79="Below",COUNTIF($K$2:K79,"Below"),"")</f>
        <v/>
      </c>
    </row>
    <row r="80">
      <c r="B80">
        <f>IF($L80="","",INDEX('Per Line'!$A$2:$A$401,$L80))</f>
        <v/>
      </c>
      <c r="C80">
        <f>IF($L80="","",INDEX('Per Line'!$B$2:$B$401,$L80))</f>
        <v/>
      </c>
      <c r="D80">
        <f>IF($L80="","",INDEX('Per Line'!$C$2:$C$401,$L80))</f>
        <v/>
      </c>
      <c r="E80">
        <f>IF($L80="","",INDEX('Per Line'!$P$2:$P$401,$L80))</f>
        <v/>
      </c>
      <c r="F80" s="5">
        <f>IF($L80="","",SUMIFS('Per Line'!$R$2:$R$401,'Per Line'!$A$2:$A$401,$B80))</f>
        <v/>
      </c>
      <c r="G80" s="5">
        <f>IF($L80="","",SUMIFS('Per Line'!$S$2:$S$401,'Per Line'!$A$2:$A$401,$B80))</f>
        <v/>
      </c>
      <c r="H80" s="5">
        <f>IF($L80="","",SUMIFS('Per Line'!$T$2:$T$401,'Per Line'!$A$2:$A$401,$B80))</f>
        <v/>
      </c>
      <c r="I80" s="5">
        <f>IF($L80="","",F80-G80)</f>
        <v/>
      </c>
      <c r="J80" s="5">
        <f>IF($L80="","",I80-H80)</f>
        <v/>
      </c>
      <c r="K80">
        <f>IF($L80="","",IFERROR(INDEX(Settings!$C$27:$C$36,MATCH(C80,Settings!$B$27:$B$36,0)),"Unassigned"))</f>
        <v/>
      </c>
      <c r="L80">
        <f>IF(ROWS($L$2:$L80)&lt;=MAX('Per Line'!$AA$2:$AA$401),MATCH(ROWS($L$2:$L80),'Per Line'!$AA$2:$AA$401,0),"")</f>
        <v/>
      </c>
      <c r="M80">
        <f>IF(K80="Above",COUNTIF($K$2:K80,"Above"),"")</f>
        <v/>
      </c>
      <c r="N80">
        <f>IF(K80="Below",COUNTIF($K$2:K80,"Below"),"")</f>
        <v/>
      </c>
    </row>
    <row r="81">
      <c r="B81">
        <f>IF($L81="","",INDEX('Per Line'!$A$2:$A$401,$L81))</f>
        <v/>
      </c>
      <c r="C81">
        <f>IF($L81="","",INDEX('Per Line'!$B$2:$B$401,$L81))</f>
        <v/>
      </c>
      <c r="D81">
        <f>IF($L81="","",INDEX('Per Line'!$C$2:$C$401,$L81))</f>
        <v/>
      </c>
      <c r="E81">
        <f>IF($L81="","",INDEX('Per Line'!$P$2:$P$401,$L81))</f>
        <v/>
      </c>
      <c r="F81" s="5">
        <f>IF($L81="","",SUMIFS('Per Line'!$R$2:$R$401,'Per Line'!$A$2:$A$401,$B81))</f>
        <v/>
      </c>
      <c r="G81" s="5">
        <f>IF($L81="","",SUMIFS('Per Line'!$S$2:$S$401,'Per Line'!$A$2:$A$401,$B81))</f>
        <v/>
      </c>
      <c r="H81" s="5">
        <f>IF($L81="","",SUMIFS('Per Line'!$T$2:$T$401,'Per Line'!$A$2:$A$401,$B81))</f>
        <v/>
      </c>
      <c r="I81" s="5">
        <f>IF($L81="","",F81-G81)</f>
        <v/>
      </c>
      <c r="J81" s="5">
        <f>IF($L81="","",I81-H81)</f>
        <v/>
      </c>
      <c r="K81">
        <f>IF($L81="","",IFERROR(INDEX(Settings!$C$27:$C$36,MATCH(C81,Settings!$B$27:$B$36,0)),"Unassigned"))</f>
        <v/>
      </c>
      <c r="L81">
        <f>IF(ROWS($L$2:$L81)&lt;=MAX('Per Line'!$AA$2:$AA$401),MATCH(ROWS($L$2:$L81),'Per Line'!$AA$2:$AA$401,0),"")</f>
        <v/>
      </c>
      <c r="M81">
        <f>IF(K81="Above",COUNTIF($K$2:K81,"Above"),"")</f>
        <v/>
      </c>
      <c r="N81">
        <f>IF(K81="Below",COUNTIF($K$2:K81,"Below"),"")</f>
        <v/>
      </c>
    </row>
    <row r="82">
      <c r="B82">
        <f>IF($L82="","",INDEX('Per Line'!$A$2:$A$401,$L82))</f>
        <v/>
      </c>
      <c r="C82">
        <f>IF($L82="","",INDEX('Per Line'!$B$2:$B$401,$L82))</f>
        <v/>
      </c>
      <c r="D82">
        <f>IF($L82="","",INDEX('Per Line'!$C$2:$C$401,$L82))</f>
        <v/>
      </c>
      <c r="E82">
        <f>IF($L82="","",INDEX('Per Line'!$P$2:$P$401,$L82))</f>
        <v/>
      </c>
      <c r="F82" s="5">
        <f>IF($L82="","",SUMIFS('Per Line'!$R$2:$R$401,'Per Line'!$A$2:$A$401,$B82))</f>
        <v/>
      </c>
      <c r="G82" s="5">
        <f>IF($L82="","",SUMIFS('Per Line'!$S$2:$S$401,'Per Line'!$A$2:$A$401,$B82))</f>
        <v/>
      </c>
      <c r="H82" s="5">
        <f>IF($L82="","",SUMIFS('Per Line'!$T$2:$T$401,'Per Line'!$A$2:$A$401,$B82))</f>
        <v/>
      </c>
      <c r="I82" s="5">
        <f>IF($L82="","",F82-G82)</f>
        <v/>
      </c>
      <c r="J82" s="5">
        <f>IF($L82="","",I82-H82)</f>
        <v/>
      </c>
      <c r="K82">
        <f>IF($L82="","",IFERROR(INDEX(Settings!$C$27:$C$36,MATCH(C82,Settings!$B$27:$B$36,0)),"Unassigned"))</f>
        <v/>
      </c>
      <c r="L82">
        <f>IF(ROWS($L$2:$L82)&lt;=MAX('Per Line'!$AA$2:$AA$401),MATCH(ROWS($L$2:$L82),'Per Line'!$AA$2:$AA$401,0),"")</f>
        <v/>
      </c>
      <c r="M82">
        <f>IF(K82="Above",COUNTIF($K$2:K82,"Above"),"")</f>
        <v/>
      </c>
      <c r="N82">
        <f>IF(K82="Below",COUNTIF($K$2:K82,"Below"),"")</f>
        <v/>
      </c>
    </row>
    <row r="83">
      <c r="B83">
        <f>IF($L83="","",INDEX('Per Line'!$A$2:$A$401,$L83))</f>
        <v/>
      </c>
      <c r="C83">
        <f>IF($L83="","",INDEX('Per Line'!$B$2:$B$401,$L83))</f>
        <v/>
      </c>
      <c r="D83">
        <f>IF($L83="","",INDEX('Per Line'!$C$2:$C$401,$L83))</f>
        <v/>
      </c>
      <c r="E83">
        <f>IF($L83="","",INDEX('Per Line'!$P$2:$P$401,$L83))</f>
        <v/>
      </c>
      <c r="F83" s="5">
        <f>IF($L83="","",SUMIFS('Per Line'!$R$2:$R$401,'Per Line'!$A$2:$A$401,$B83))</f>
        <v/>
      </c>
      <c r="G83" s="5">
        <f>IF($L83="","",SUMIFS('Per Line'!$S$2:$S$401,'Per Line'!$A$2:$A$401,$B83))</f>
        <v/>
      </c>
      <c r="H83" s="5">
        <f>IF($L83="","",SUMIFS('Per Line'!$T$2:$T$401,'Per Line'!$A$2:$A$401,$B83))</f>
        <v/>
      </c>
      <c r="I83" s="5">
        <f>IF($L83="","",F83-G83)</f>
        <v/>
      </c>
      <c r="J83" s="5">
        <f>IF($L83="","",I83-H83)</f>
        <v/>
      </c>
      <c r="K83">
        <f>IF($L83="","",IFERROR(INDEX(Settings!$C$27:$C$36,MATCH(C83,Settings!$B$27:$B$36,0)),"Unassigned"))</f>
        <v/>
      </c>
      <c r="L83">
        <f>IF(ROWS($L$2:$L83)&lt;=MAX('Per Line'!$AA$2:$AA$401),MATCH(ROWS($L$2:$L83),'Per Line'!$AA$2:$AA$401,0),"")</f>
        <v/>
      </c>
      <c r="M83">
        <f>IF(K83="Above",COUNTIF($K$2:K83,"Above"),"")</f>
        <v/>
      </c>
      <c r="N83">
        <f>IF(K83="Below",COUNTIF($K$2:K83,"Below"),"")</f>
        <v/>
      </c>
    </row>
    <row r="84">
      <c r="B84">
        <f>IF($L84="","",INDEX('Per Line'!$A$2:$A$401,$L84))</f>
        <v/>
      </c>
      <c r="C84">
        <f>IF($L84="","",INDEX('Per Line'!$B$2:$B$401,$L84))</f>
        <v/>
      </c>
      <c r="D84">
        <f>IF($L84="","",INDEX('Per Line'!$C$2:$C$401,$L84))</f>
        <v/>
      </c>
      <c r="E84">
        <f>IF($L84="","",INDEX('Per Line'!$P$2:$P$401,$L84))</f>
        <v/>
      </c>
      <c r="F84" s="5">
        <f>IF($L84="","",SUMIFS('Per Line'!$R$2:$R$401,'Per Line'!$A$2:$A$401,$B84))</f>
        <v/>
      </c>
      <c r="G84" s="5">
        <f>IF($L84="","",SUMIFS('Per Line'!$S$2:$S$401,'Per Line'!$A$2:$A$401,$B84))</f>
        <v/>
      </c>
      <c r="H84" s="5">
        <f>IF($L84="","",SUMIFS('Per Line'!$T$2:$T$401,'Per Line'!$A$2:$A$401,$B84))</f>
        <v/>
      </c>
      <c r="I84" s="5">
        <f>IF($L84="","",F84-G84)</f>
        <v/>
      </c>
      <c r="J84" s="5">
        <f>IF($L84="","",I84-H84)</f>
        <v/>
      </c>
      <c r="K84">
        <f>IF($L84="","",IFERROR(INDEX(Settings!$C$27:$C$36,MATCH(C84,Settings!$B$27:$B$36,0)),"Unassigned"))</f>
        <v/>
      </c>
      <c r="L84">
        <f>IF(ROWS($L$2:$L84)&lt;=MAX('Per Line'!$AA$2:$AA$401),MATCH(ROWS($L$2:$L84),'Per Line'!$AA$2:$AA$401,0),"")</f>
        <v/>
      </c>
      <c r="M84">
        <f>IF(K84="Above",COUNTIF($K$2:K84,"Above"),"")</f>
        <v/>
      </c>
      <c r="N84">
        <f>IF(K84="Below",COUNTIF($K$2:K84,"Below"),"")</f>
        <v/>
      </c>
    </row>
    <row r="85">
      <c r="B85">
        <f>IF($L85="","",INDEX('Per Line'!$A$2:$A$401,$L85))</f>
        <v/>
      </c>
      <c r="C85">
        <f>IF($L85="","",INDEX('Per Line'!$B$2:$B$401,$L85))</f>
        <v/>
      </c>
      <c r="D85">
        <f>IF($L85="","",INDEX('Per Line'!$C$2:$C$401,$L85))</f>
        <v/>
      </c>
      <c r="E85">
        <f>IF($L85="","",INDEX('Per Line'!$P$2:$P$401,$L85))</f>
        <v/>
      </c>
      <c r="F85" s="5">
        <f>IF($L85="","",SUMIFS('Per Line'!$R$2:$R$401,'Per Line'!$A$2:$A$401,$B85))</f>
        <v/>
      </c>
      <c r="G85" s="5">
        <f>IF($L85="","",SUMIFS('Per Line'!$S$2:$S$401,'Per Line'!$A$2:$A$401,$B85))</f>
        <v/>
      </c>
      <c r="H85" s="5">
        <f>IF($L85="","",SUMIFS('Per Line'!$T$2:$T$401,'Per Line'!$A$2:$A$401,$B85))</f>
        <v/>
      </c>
      <c r="I85" s="5">
        <f>IF($L85="","",F85-G85)</f>
        <v/>
      </c>
      <c r="J85" s="5">
        <f>IF($L85="","",I85-H85)</f>
        <v/>
      </c>
      <c r="K85">
        <f>IF($L85="","",IFERROR(INDEX(Settings!$C$27:$C$36,MATCH(C85,Settings!$B$27:$B$36,0)),"Unassigned"))</f>
        <v/>
      </c>
      <c r="L85">
        <f>IF(ROWS($L$2:$L85)&lt;=MAX('Per Line'!$AA$2:$AA$401),MATCH(ROWS($L$2:$L85),'Per Line'!$AA$2:$AA$401,0),"")</f>
        <v/>
      </c>
      <c r="M85">
        <f>IF(K85="Above",COUNTIF($K$2:K85,"Above"),"")</f>
        <v/>
      </c>
      <c r="N85">
        <f>IF(K85="Below",COUNTIF($K$2:K85,"Below"),"")</f>
        <v/>
      </c>
    </row>
    <row r="86">
      <c r="B86">
        <f>IF($L86="","",INDEX('Per Line'!$A$2:$A$401,$L86))</f>
        <v/>
      </c>
      <c r="C86">
        <f>IF($L86="","",INDEX('Per Line'!$B$2:$B$401,$L86))</f>
        <v/>
      </c>
      <c r="D86">
        <f>IF($L86="","",INDEX('Per Line'!$C$2:$C$401,$L86))</f>
        <v/>
      </c>
      <c r="E86">
        <f>IF($L86="","",INDEX('Per Line'!$P$2:$P$401,$L86))</f>
        <v/>
      </c>
      <c r="F86" s="5">
        <f>IF($L86="","",SUMIFS('Per Line'!$R$2:$R$401,'Per Line'!$A$2:$A$401,$B86))</f>
        <v/>
      </c>
      <c r="G86" s="5">
        <f>IF($L86="","",SUMIFS('Per Line'!$S$2:$S$401,'Per Line'!$A$2:$A$401,$B86))</f>
        <v/>
      </c>
      <c r="H86" s="5">
        <f>IF($L86="","",SUMIFS('Per Line'!$T$2:$T$401,'Per Line'!$A$2:$A$401,$B86))</f>
        <v/>
      </c>
      <c r="I86" s="5">
        <f>IF($L86="","",F86-G86)</f>
        <v/>
      </c>
      <c r="J86" s="5">
        <f>IF($L86="","",I86-H86)</f>
        <v/>
      </c>
      <c r="K86">
        <f>IF($L86="","",IFERROR(INDEX(Settings!$C$27:$C$36,MATCH(C86,Settings!$B$27:$B$36,0)),"Unassigned"))</f>
        <v/>
      </c>
      <c r="L86">
        <f>IF(ROWS($L$2:$L86)&lt;=MAX('Per Line'!$AA$2:$AA$401),MATCH(ROWS($L$2:$L86),'Per Line'!$AA$2:$AA$401,0),"")</f>
        <v/>
      </c>
      <c r="M86">
        <f>IF(K86="Above",COUNTIF($K$2:K86,"Above"),"")</f>
        <v/>
      </c>
      <c r="N86">
        <f>IF(K86="Below",COUNTIF($K$2:K86,"Below"),"")</f>
        <v/>
      </c>
    </row>
    <row r="87">
      <c r="B87">
        <f>IF($L87="","",INDEX('Per Line'!$A$2:$A$401,$L87))</f>
        <v/>
      </c>
      <c r="C87">
        <f>IF($L87="","",INDEX('Per Line'!$B$2:$B$401,$L87))</f>
        <v/>
      </c>
      <c r="D87">
        <f>IF($L87="","",INDEX('Per Line'!$C$2:$C$401,$L87))</f>
        <v/>
      </c>
      <c r="E87">
        <f>IF($L87="","",INDEX('Per Line'!$P$2:$P$401,$L87))</f>
        <v/>
      </c>
      <c r="F87" s="5">
        <f>IF($L87="","",SUMIFS('Per Line'!$R$2:$R$401,'Per Line'!$A$2:$A$401,$B87))</f>
        <v/>
      </c>
      <c r="G87" s="5">
        <f>IF($L87="","",SUMIFS('Per Line'!$S$2:$S$401,'Per Line'!$A$2:$A$401,$B87))</f>
        <v/>
      </c>
      <c r="H87" s="5">
        <f>IF($L87="","",SUMIFS('Per Line'!$T$2:$T$401,'Per Line'!$A$2:$A$401,$B87))</f>
        <v/>
      </c>
      <c r="I87" s="5">
        <f>IF($L87="","",F87-G87)</f>
        <v/>
      </c>
      <c r="J87" s="5">
        <f>IF($L87="","",I87-H87)</f>
        <v/>
      </c>
      <c r="K87">
        <f>IF($L87="","",IFERROR(INDEX(Settings!$C$27:$C$36,MATCH(C87,Settings!$B$27:$B$36,0)),"Unassigned"))</f>
        <v/>
      </c>
      <c r="L87">
        <f>IF(ROWS($L$2:$L87)&lt;=MAX('Per Line'!$AA$2:$AA$401),MATCH(ROWS($L$2:$L87),'Per Line'!$AA$2:$AA$401,0),"")</f>
        <v/>
      </c>
      <c r="M87">
        <f>IF(K87="Above",COUNTIF($K$2:K87,"Above"),"")</f>
        <v/>
      </c>
      <c r="N87">
        <f>IF(K87="Below",COUNTIF($K$2:K87,"Below"),"")</f>
        <v/>
      </c>
    </row>
    <row r="88">
      <c r="B88">
        <f>IF($L88="","",INDEX('Per Line'!$A$2:$A$401,$L88))</f>
        <v/>
      </c>
      <c r="C88">
        <f>IF($L88="","",INDEX('Per Line'!$B$2:$B$401,$L88))</f>
        <v/>
      </c>
      <c r="D88">
        <f>IF($L88="","",INDEX('Per Line'!$C$2:$C$401,$L88))</f>
        <v/>
      </c>
      <c r="E88">
        <f>IF($L88="","",INDEX('Per Line'!$P$2:$P$401,$L88))</f>
        <v/>
      </c>
      <c r="F88" s="5">
        <f>IF($L88="","",SUMIFS('Per Line'!$R$2:$R$401,'Per Line'!$A$2:$A$401,$B88))</f>
        <v/>
      </c>
      <c r="G88" s="5">
        <f>IF($L88="","",SUMIFS('Per Line'!$S$2:$S$401,'Per Line'!$A$2:$A$401,$B88))</f>
        <v/>
      </c>
      <c r="H88" s="5">
        <f>IF($L88="","",SUMIFS('Per Line'!$T$2:$T$401,'Per Line'!$A$2:$A$401,$B88))</f>
        <v/>
      </c>
      <c r="I88" s="5">
        <f>IF($L88="","",F88-G88)</f>
        <v/>
      </c>
      <c r="J88" s="5">
        <f>IF($L88="","",I88-H88)</f>
        <v/>
      </c>
      <c r="K88">
        <f>IF($L88="","",IFERROR(INDEX(Settings!$C$27:$C$36,MATCH(C88,Settings!$B$27:$B$36,0)),"Unassigned"))</f>
        <v/>
      </c>
      <c r="L88">
        <f>IF(ROWS($L$2:$L88)&lt;=MAX('Per Line'!$AA$2:$AA$401),MATCH(ROWS($L$2:$L88),'Per Line'!$AA$2:$AA$401,0),"")</f>
        <v/>
      </c>
      <c r="M88">
        <f>IF(K88="Above",COUNTIF($K$2:K88,"Above"),"")</f>
        <v/>
      </c>
      <c r="N88">
        <f>IF(K88="Below",COUNTIF($K$2:K88,"Below"),"")</f>
        <v/>
      </c>
    </row>
    <row r="89">
      <c r="B89">
        <f>IF($L89="","",INDEX('Per Line'!$A$2:$A$401,$L89))</f>
        <v/>
      </c>
      <c r="C89">
        <f>IF($L89="","",INDEX('Per Line'!$B$2:$B$401,$L89))</f>
        <v/>
      </c>
      <c r="D89">
        <f>IF($L89="","",INDEX('Per Line'!$C$2:$C$401,$L89))</f>
        <v/>
      </c>
      <c r="E89">
        <f>IF($L89="","",INDEX('Per Line'!$P$2:$P$401,$L89))</f>
        <v/>
      </c>
      <c r="F89" s="5">
        <f>IF($L89="","",SUMIFS('Per Line'!$R$2:$R$401,'Per Line'!$A$2:$A$401,$B89))</f>
        <v/>
      </c>
      <c r="G89" s="5">
        <f>IF($L89="","",SUMIFS('Per Line'!$S$2:$S$401,'Per Line'!$A$2:$A$401,$B89))</f>
        <v/>
      </c>
      <c r="H89" s="5">
        <f>IF($L89="","",SUMIFS('Per Line'!$T$2:$T$401,'Per Line'!$A$2:$A$401,$B89))</f>
        <v/>
      </c>
      <c r="I89" s="5">
        <f>IF($L89="","",F89-G89)</f>
        <v/>
      </c>
      <c r="J89" s="5">
        <f>IF($L89="","",I89-H89)</f>
        <v/>
      </c>
      <c r="K89">
        <f>IF($L89="","",IFERROR(INDEX(Settings!$C$27:$C$36,MATCH(C89,Settings!$B$27:$B$36,0)),"Unassigned"))</f>
        <v/>
      </c>
      <c r="L89">
        <f>IF(ROWS($L$2:$L89)&lt;=MAX('Per Line'!$AA$2:$AA$401),MATCH(ROWS($L$2:$L89),'Per Line'!$AA$2:$AA$401,0),"")</f>
        <v/>
      </c>
      <c r="M89">
        <f>IF(K89="Above",COUNTIF($K$2:K89,"Above"),"")</f>
        <v/>
      </c>
      <c r="N89">
        <f>IF(K89="Below",COUNTIF($K$2:K89,"Below"),"")</f>
        <v/>
      </c>
    </row>
    <row r="90">
      <c r="B90">
        <f>IF($L90="","",INDEX('Per Line'!$A$2:$A$401,$L90))</f>
        <v/>
      </c>
      <c r="C90">
        <f>IF($L90="","",INDEX('Per Line'!$B$2:$B$401,$L90))</f>
        <v/>
      </c>
      <c r="D90">
        <f>IF($L90="","",INDEX('Per Line'!$C$2:$C$401,$L90))</f>
        <v/>
      </c>
      <c r="E90">
        <f>IF($L90="","",INDEX('Per Line'!$P$2:$P$401,$L90))</f>
        <v/>
      </c>
      <c r="F90" s="5">
        <f>IF($L90="","",SUMIFS('Per Line'!$R$2:$R$401,'Per Line'!$A$2:$A$401,$B90))</f>
        <v/>
      </c>
      <c r="G90" s="5">
        <f>IF($L90="","",SUMIFS('Per Line'!$S$2:$S$401,'Per Line'!$A$2:$A$401,$B90))</f>
        <v/>
      </c>
      <c r="H90" s="5">
        <f>IF($L90="","",SUMIFS('Per Line'!$T$2:$T$401,'Per Line'!$A$2:$A$401,$B90))</f>
        <v/>
      </c>
      <c r="I90" s="5">
        <f>IF($L90="","",F90-G90)</f>
        <v/>
      </c>
      <c r="J90" s="5">
        <f>IF($L90="","",I90-H90)</f>
        <v/>
      </c>
      <c r="K90">
        <f>IF($L90="","",IFERROR(INDEX(Settings!$C$27:$C$36,MATCH(C90,Settings!$B$27:$B$36,0)),"Unassigned"))</f>
        <v/>
      </c>
      <c r="L90">
        <f>IF(ROWS($L$2:$L90)&lt;=MAX('Per Line'!$AA$2:$AA$401),MATCH(ROWS($L$2:$L90),'Per Line'!$AA$2:$AA$401,0),"")</f>
        <v/>
      </c>
      <c r="M90">
        <f>IF(K90="Above",COUNTIF($K$2:K90,"Above"),"")</f>
        <v/>
      </c>
      <c r="N90">
        <f>IF(K90="Below",COUNTIF($K$2:K90,"Below"),"")</f>
        <v/>
      </c>
    </row>
    <row r="91">
      <c r="B91">
        <f>IF($L91="","",INDEX('Per Line'!$A$2:$A$401,$L91))</f>
        <v/>
      </c>
      <c r="C91">
        <f>IF($L91="","",INDEX('Per Line'!$B$2:$B$401,$L91))</f>
        <v/>
      </c>
      <c r="D91">
        <f>IF($L91="","",INDEX('Per Line'!$C$2:$C$401,$L91))</f>
        <v/>
      </c>
      <c r="E91">
        <f>IF($L91="","",INDEX('Per Line'!$P$2:$P$401,$L91))</f>
        <v/>
      </c>
      <c r="F91" s="5">
        <f>IF($L91="","",SUMIFS('Per Line'!$R$2:$R$401,'Per Line'!$A$2:$A$401,$B91))</f>
        <v/>
      </c>
      <c r="G91" s="5">
        <f>IF($L91="","",SUMIFS('Per Line'!$S$2:$S$401,'Per Line'!$A$2:$A$401,$B91))</f>
        <v/>
      </c>
      <c r="H91" s="5">
        <f>IF($L91="","",SUMIFS('Per Line'!$T$2:$T$401,'Per Line'!$A$2:$A$401,$B91))</f>
        <v/>
      </c>
      <c r="I91" s="5">
        <f>IF($L91="","",F91-G91)</f>
        <v/>
      </c>
      <c r="J91" s="5">
        <f>IF($L91="","",I91-H91)</f>
        <v/>
      </c>
      <c r="K91">
        <f>IF($L91="","",IFERROR(INDEX(Settings!$C$27:$C$36,MATCH(C91,Settings!$B$27:$B$36,0)),"Unassigned"))</f>
        <v/>
      </c>
      <c r="L91">
        <f>IF(ROWS($L$2:$L91)&lt;=MAX('Per Line'!$AA$2:$AA$401),MATCH(ROWS($L$2:$L91),'Per Line'!$AA$2:$AA$401,0),"")</f>
        <v/>
      </c>
      <c r="M91">
        <f>IF(K91="Above",COUNTIF($K$2:K91,"Above"),"")</f>
        <v/>
      </c>
      <c r="N91">
        <f>IF(K91="Below",COUNTIF($K$2:K91,"Below"),"")</f>
        <v/>
      </c>
    </row>
    <row r="92">
      <c r="B92">
        <f>IF($L92="","",INDEX('Per Line'!$A$2:$A$401,$L92))</f>
        <v/>
      </c>
      <c r="C92">
        <f>IF($L92="","",INDEX('Per Line'!$B$2:$B$401,$L92))</f>
        <v/>
      </c>
      <c r="D92">
        <f>IF($L92="","",INDEX('Per Line'!$C$2:$C$401,$L92))</f>
        <v/>
      </c>
      <c r="E92">
        <f>IF($L92="","",INDEX('Per Line'!$P$2:$P$401,$L92))</f>
        <v/>
      </c>
      <c r="F92" s="5">
        <f>IF($L92="","",SUMIFS('Per Line'!$R$2:$R$401,'Per Line'!$A$2:$A$401,$B92))</f>
        <v/>
      </c>
      <c r="G92" s="5">
        <f>IF($L92="","",SUMIFS('Per Line'!$S$2:$S$401,'Per Line'!$A$2:$A$401,$B92))</f>
        <v/>
      </c>
      <c r="H92" s="5">
        <f>IF($L92="","",SUMIFS('Per Line'!$T$2:$T$401,'Per Line'!$A$2:$A$401,$B92))</f>
        <v/>
      </c>
      <c r="I92" s="5">
        <f>IF($L92="","",F92-G92)</f>
        <v/>
      </c>
      <c r="J92" s="5">
        <f>IF($L92="","",I92-H92)</f>
        <v/>
      </c>
      <c r="K92">
        <f>IF($L92="","",IFERROR(INDEX(Settings!$C$27:$C$36,MATCH(C92,Settings!$B$27:$B$36,0)),"Unassigned"))</f>
        <v/>
      </c>
      <c r="L92">
        <f>IF(ROWS($L$2:$L92)&lt;=MAX('Per Line'!$AA$2:$AA$401),MATCH(ROWS($L$2:$L92),'Per Line'!$AA$2:$AA$401,0),"")</f>
        <v/>
      </c>
      <c r="M92">
        <f>IF(K92="Above",COUNTIF($K$2:K92,"Above"),"")</f>
        <v/>
      </c>
      <c r="N92">
        <f>IF(K92="Below",COUNTIF($K$2:K92,"Below"),"")</f>
        <v/>
      </c>
    </row>
    <row r="93">
      <c r="B93">
        <f>IF($L93="","",INDEX('Per Line'!$A$2:$A$401,$L93))</f>
        <v/>
      </c>
      <c r="C93">
        <f>IF($L93="","",INDEX('Per Line'!$B$2:$B$401,$L93))</f>
        <v/>
      </c>
      <c r="D93">
        <f>IF($L93="","",INDEX('Per Line'!$C$2:$C$401,$L93))</f>
        <v/>
      </c>
      <c r="E93">
        <f>IF($L93="","",INDEX('Per Line'!$P$2:$P$401,$L93))</f>
        <v/>
      </c>
      <c r="F93" s="5">
        <f>IF($L93="","",SUMIFS('Per Line'!$R$2:$R$401,'Per Line'!$A$2:$A$401,$B93))</f>
        <v/>
      </c>
      <c r="G93" s="5">
        <f>IF($L93="","",SUMIFS('Per Line'!$S$2:$S$401,'Per Line'!$A$2:$A$401,$B93))</f>
        <v/>
      </c>
      <c r="H93" s="5">
        <f>IF($L93="","",SUMIFS('Per Line'!$T$2:$T$401,'Per Line'!$A$2:$A$401,$B93))</f>
        <v/>
      </c>
      <c r="I93" s="5">
        <f>IF($L93="","",F93-G93)</f>
        <v/>
      </c>
      <c r="J93" s="5">
        <f>IF($L93="","",I93-H93)</f>
        <v/>
      </c>
      <c r="K93">
        <f>IF($L93="","",IFERROR(INDEX(Settings!$C$27:$C$36,MATCH(C93,Settings!$B$27:$B$36,0)),"Unassigned"))</f>
        <v/>
      </c>
      <c r="L93">
        <f>IF(ROWS($L$2:$L93)&lt;=MAX('Per Line'!$AA$2:$AA$401),MATCH(ROWS($L$2:$L93),'Per Line'!$AA$2:$AA$401,0),"")</f>
        <v/>
      </c>
      <c r="M93">
        <f>IF(K93="Above",COUNTIF($K$2:K93,"Above"),"")</f>
        <v/>
      </c>
      <c r="N93">
        <f>IF(K93="Below",COUNTIF($K$2:K93,"Below"),"")</f>
        <v/>
      </c>
    </row>
    <row r="94">
      <c r="B94">
        <f>IF($L94="","",INDEX('Per Line'!$A$2:$A$401,$L94))</f>
        <v/>
      </c>
      <c r="C94">
        <f>IF($L94="","",INDEX('Per Line'!$B$2:$B$401,$L94))</f>
        <v/>
      </c>
      <c r="D94">
        <f>IF($L94="","",INDEX('Per Line'!$C$2:$C$401,$L94))</f>
        <v/>
      </c>
      <c r="E94">
        <f>IF($L94="","",INDEX('Per Line'!$P$2:$P$401,$L94))</f>
        <v/>
      </c>
      <c r="F94" s="5">
        <f>IF($L94="","",SUMIFS('Per Line'!$R$2:$R$401,'Per Line'!$A$2:$A$401,$B94))</f>
        <v/>
      </c>
      <c r="G94" s="5">
        <f>IF($L94="","",SUMIFS('Per Line'!$S$2:$S$401,'Per Line'!$A$2:$A$401,$B94))</f>
        <v/>
      </c>
      <c r="H94" s="5">
        <f>IF($L94="","",SUMIFS('Per Line'!$T$2:$T$401,'Per Line'!$A$2:$A$401,$B94))</f>
        <v/>
      </c>
      <c r="I94" s="5">
        <f>IF($L94="","",F94-G94)</f>
        <v/>
      </c>
      <c r="J94" s="5">
        <f>IF($L94="","",I94-H94)</f>
        <v/>
      </c>
      <c r="K94">
        <f>IF($L94="","",IFERROR(INDEX(Settings!$C$27:$C$36,MATCH(C94,Settings!$B$27:$B$36,0)),"Unassigned"))</f>
        <v/>
      </c>
      <c r="L94">
        <f>IF(ROWS($L$2:$L94)&lt;=MAX('Per Line'!$AA$2:$AA$401),MATCH(ROWS($L$2:$L94),'Per Line'!$AA$2:$AA$401,0),"")</f>
        <v/>
      </c>
      <c r="M94">
        <f>IF(K94="Above",COUNTIF($K$2:K94,"Above"),"")</f>
        <v/>
      </c>
      <c r="N94">
        <f>IF(K94="Below",COUNTIF($K$2:K94,"Below"),"")</f>
        <v/>
      </c>
    </row>
    <row r="95">
      <c r="B95">
        <f>IF($L95="","",INDEX('Per Line'!$A$2:$A$401,$L95))</f>
        <v/>
      </c>
      <c r="C95">
        <f>IF($L95="","",INDEX('Per Line'!$B$2:$B$401,$L95))</f>
        <v/>
      </c>
      <c r="D95">
        <f>IF($L95="","",INDEX('Per Line'!$C$2:$C$401,$L95))</f>
        <v/>
      </c>
      <c r="E95">
        <f>IF($L95="","",INDEX('Per Line'!$P$2:$P$401,$L95))</f>
        <v/>
      </c>
      <c r="F95" s="5">
        <f>IF($L95="","",SUMIFS('Per Line'!$R$2:$R$401,'Per Line'!$A$2:$A$401,$B95))</f>
        <v/>
      </c>
      <c r="G95" s="5">
        <f>IF($L95="","",SUMIFS('Per Line'!$S$2:$S$401,'Per Line'!$A$2:$A$401,$B95))</f>
        <v/>
      </c>
      <c r="H95" s="5">
        <f>IF($L95="","",SUMIFS('Per Line'!$T$2:$T$401,'Per Line'!$A$2:$A$401,$B95))</f>
        <v/>
      </c>
      <c r="I95" s="5">
        <f>IF($L95="","",F95-G95)</f>
        <v/>
      </c>
      <c r="J95" s="5">
        <f>IF($L95="","",I95-H95)</f>
        <v/>
      </c>
      <c r="K95">
        <f>IF($L95="","",IFERROR(INDEX(Settings!$C$27:$C$36,MATCH(C95,Settings!$B$27:$B$36,0)),"Unassigned"))</f>
        <v/>
      </c>
      <c r="L95">
        <f>IF(ROWS($L$2:$L95)&lt;=MAX('Per Line'!$AA$2:$AA$401),MATCH(ROWS($L$2:$L95),'Per Line'!$AA$2:$AA$401,0),"")</f>
        <v/>
      </c>
      <c r="M95">
        <f>IF(K95="Above",COUNTIF($K$2:K95,"Above"),"")</f>
        <v/>
      </c>
      <c r="N95">
        <f>IF(K95="Below",COUNTIF($K$2:K95,"Below"),"")</f>
        <v/>
      </c>
    </row>
    <row r="96">
      <c r="B96">
        <f>IF($L96="","",INDEX('Per Line'!$A$2:$A$401,$L96))</f>
        <v/>
      </c>
      <c r="C96">
        <f>IF($L96="","",INDEX('Per Line'!$B$2:$B$401,$L96))</f>
        <v/>
      </c>
      <c r="D96">
        <f>IF($L96="","",INDEX('Per Line'!$C$2:$C$401,$L96))</f>
        <v/>
      </c>
      <c r="E96">
        <f>IF($L96="","",INDEX('Per Line'!$P$2:$P$401,$L96))</f>
        <v/>
      </c>
      <c r="F96" s="5">
        <f>IF($L96="","",SUMIFS('Per Line'!$R$2:$R$401,'Per Line'!$A$2:$A$401,$B96))</f>
        <v/>
      </c>
      <c r="G96" s="5">
        <f>IF($L96="","",SUMIFS('Per Line'!$S$2:$S$401,'Per Line'!$A$2:$A$401,$B96))</f>
        <v/>
      </c>
      <c r="H96" s="5">
        <f>IF($L96="","",SUMIFS('Per Line'!$T$2:$T$401,'Per Line'!$A$2:$A$401,$B96))</f>
        <v/>
      </c>
      <c r="I96" s="5">
        <f>IF($L96="","",F96-G96)</f>
        <v/>
      </c>
      <c r="J96" s="5">
        <f>IF($L96="","",I96-H96)</f>
        <v/>
      </c>
      <c r="K96">
        <f>IF($L96="","",IFERROR(INDEX(Settings!$C$27:$C$36,MATCH(C96,Settings!$B$27:$B$36,0)),"Unassigned"))</f>
        <v/>
      </c>
      <c r="L96">
        <f>IF(ROWS($L$2:$L96)&lt;=MAX('Per Line'!$AA$2:$AA$401),MATCH(ROWS($L$2:$L96),'Per Line'!$AA$2:$AA$401,0),"")</f>
        <v/>
      </c>
      <c r="M96">
        <f>IF(K96="Above",COUNTIF($K$2:K96,"Above"),"")</f>
        <v/>
      </c>
      <c r="N96">
        <f>IF(K96="Below",COUNTIF($K$2:K96,"Below"),"")</f>
        <v/>
      </c>
    </row>
    <row r="97">
      <c r="B97">
        <f>IF($L97="","",INDEX('Per Line'!$A$2:$A$401,$L97))</f>
        <v/>
      </c>
      <c r="C97">
        <f>IF($L97="","",INDEX('Per Line'!$B$2:$B$401,$L97))</f>
        <v/>
      </c>
      <c r="D97">
        <f>IF($L97="","",INDEX('Per Line'!$C$2:$C$401,$L97))</f>
        <v/>
      </c>
      <c r="E97">
        <f>IF($L97="","",INDEX('Per Line'!$P$2:$P$401,$L97))</f>
        <v/>
      </c>
      <c r="F97" s="5">
        <f>IF($L97="","",SUMIFS('Per Line'!$R$2:$R$401,'Per Line'!$A$2:$A$401,$B97))</f>
        <v/>
      </c>
      <c r="G97" s="5">
        <f>IF($L97="","",SUMIFS('Per Line'!$S$2:$S$401,'Per Line'!$A$2:$A$401,$B97))</f>
        <v/>
      </c>
      <c r="H97" s="5">
        <f>IF($L97="","",SUMIFS('Per Line'!$T$2:$T$401,'Per Line'!$A$2:$A$401,$B97))</f>
        <v/>
      </c>
      <c r="I97" s="5">
        <f>IF($L97="","",F97-G97)</f>
        <v/>
      </c>
      <c r="J97" s="5">
        <f>IF($L97="","",I97-H97)</f>
        <v/>
      </c>
      <c r="K97">
        <f>IF($L97="","",IFERROR(INDEX(Settings!$C$27:$C$36,MATCH(C97,Settings!$B$27:$B$36,0)),"Unassigned"))</f>
        <v/>
      </c>
      <c r="L97">
        <f>IF(ROWS($L$2:$L97)&lt;=MAX('Per Line'!$AA$2:$AA$401),MATCH(ROWS($L$2:$L97),'Per Line'!$AA$2:$AA$401,0),"")</f>
        <v/>
      </c>
      <c r="M97">
        <f>IF(K97="Above",COUNTIF($K$2:K97,"Above"),"")</f>
        <v/>
      </c>
      <c r="N97">
        <f>IF(K97="Below",COUNTIF($K$2:K97,"Below"),"")</f>
        <v/>
      </c>
    </row>
    <row r="98">
      <c r="B98">
        <f>IF($L98="","",INDEX('Per Line'!$A$2:$A$401,$L98))</f>
        <v/>
      </c>
      <c r="C98">
        <f>IF($L98="","",INDEX('Per Line'!$B$2:$B$401,$L98))</f>
        <v/>
      </c>
      <c r="D98">
        <f>IF($L98="","",INDEX('Per Line'!$C$2:$C$401,$L98))</f>
        <v/>
      </c>
      <c r="E98">
        <f>IF($L98="","",INDEX('Per Line'!$P$2:$P$401,$L98))</f>
        <v/>
      </c>
      <c r="F98" s="5">
        <f>IF($L98="","",SUMIFS('Per Line'!$R$2:$R$401,'Per Line'!$A$2:$A$401,$B98))</f>
        <v/>
      </c>
      <c r="G98" s="5">
        <f>IF($L98="","",SUMIFS('Per Line'!$S$2:$S$401,'Per Line'!$A$2:$A$401,$B98))</f>
        <v/>
      </c>
      <c r="H98" s="5">
        <f>IF($L98="","",SUMIFS('Per Line'!$T$2:$T$401,'Per Line'!$A$2:$A$401,$B98))</f>
        <v/>
      </c>
      <c r="I98" s="5">
        <f>IF($L98="","",F98-G98)</f>
        <v/>
      </c>
      <c r="J98" s="5">
        <f>IF($L98="","",I98-H98)</f>
        <v/>
      </c>
      <c r="K98">
        <f>IF($L98="","",IFERROR(INDEX(Settings!$C$27:$C$36,MATCH(C98,Settings!$B$27:$B$36,0)),"Unassigned"))</f>
        <v/>
      </c>
      <c r="L98">
        <f>IF(ROWS($L$2:$L98)&lt;=MAX('Per Line'!$AA$2:$AA$401),MATCH(ROWS($L$2:$L98),'Per Line'!$AA$2:$AA$401,0),"")</f>
        <v/>
      </c>
      <c r="M98">
        <f>IF(K98="Above",COUNTIF($K$2:K98,"Above"),"")</f>
        <v/>
      </c>
      <c r="N98">
        <f>IF(K98="Below",COUNTIF($K$2:K98,"Below"),"")</f>
        <v/>
      </c>
    </row>
    <row r="99">
      <c r="B99">
        <f>IF($L99="","",INDEX('Per Line'!$A$2:$A$401,$L99))</f>
        <v/>
      </c>
      <c r="C99">
        <f>IF($L99="","",INDEX('Per Line'!$B$2:$B$401,$L99))</f>
        <v/>
      </c>
      <c r="D99">
        <f>IF($L99="","",INDEX('Per Line'!$C$2:$C$401,$L99))</f>
        <v/>
      </c>
      <c r="E99">
        <f>IF($L99="","",INDEX('Per Line'!$P$2:$P$401,$L99))</f>
        <v/>
      </c>
      <c r="F99" s="5">
        <f>IF($L99="","",SUMIFS('Per Line'!$R$2:$R$401,'Per Line'!$A$2:$A$401,$B99))</f>
        <v/>
      </c>
      <c r="G99" s="5">
        <f>IF($L99="","",SUMIFS('Per Line'!$S$2:$S$401,'Per Line'!$A$2:$A$401,$B99))</f>
        <v/>
      </c>
      <c r="H99" s="5">
        <f>IF($L99="","",SUMIFS('Per Line'!$T$2:$T$401,'Per Line'!$A$2:$A$401,$B99))</f>
        <v/>
      </c>
      <c r="I99" s="5">
        <f>IF($L99="","",F99-G99)</f>
        <v/>
      </c>
      <c r="J99" s="5">
        <f>IF($L99="","",I99-H99)</f>
        <v/>
      </c>
      <c r="K99">
        <f>IF($L99="","",IFERROR(INDEX(Settings!$C$27:$C$36,MATCH(C99,Settings!$B$27:$B$36,0)),"Unassigned"))</f>
        <v/>
      </c>
      <c r="L99">
        <f>IF(ROWS($L$2:$L99)&lt;=MAX('Per Line'!$AA$2:$AA$401),MATCH(ROWS($L$2:$L99),'Per Line'!$AA$2:$AA$401,0),"")</f>
        <v/>
      </c>
      <c r="M99">
        <f>IF(K99="Above",COUNTIF($K$2:K99,"Above"),"")</f>
        <v/>
      </c>
      <c r="N99">
        <f>IF(K99="Below",COUNTIF($K$2:K99,"Below"),"")</f>
        <v/>
      </c>
    </row>
    <row r="100">
      <c r="B100">
        <f>IF($L100="","",INDEX('Per Line'!$A$2:$A$401,$L100))</f>
        <v/>
      </c>
      <c r="C100">
        <f>IF($L100="","",INDEX('Per Line'!$B$2:$B$401,$L100))</f>
        <v/>
      </c>
      <c r="D100">
        <f>IF($L100="","",INDEX('Per Line'!$C$2:$C$401,$L100))</f>
        <v/>
      </c>
      <c r="E100">
        <f>IF($L100="","",INDEX('Per Line'!$P$2:$P$401,$L100))</f>
        <v/>
      </c>
      <c r="F100" s="5">
        <f>IF($L100="","",SUMIFS('Per Line'!$R$2:$R$401,'Per Line'!$A$2:$A$401,$B100))</f>
        <v/>
      </c>
      <c r="G100" s="5">
        <f>IF($L100="","",SUMIFS('Per Line'!$S$2:$S$401,'Per Line'!$A$2:$A$401,$B100))</f>
        <v/>
      </c>
      <c r="H100" s="5">
        <f>IF($L100="","",SUMIFS('Per Line'!$T$2:$T$401,'Per Line'!$A$2:$A$401,$B100))</f>
        <v/>
      </c>
      <c r="I100" s="5">
        <f>IF($L100="","",F100-G100)</f>
        <v/>
      </c>
      <c r="J100" s="5">
        <f>IF($L100="","",I100-H100)</f>
        <v/>
      </c>
      <c r="K100">
        <f>IF($L100="","",IFERROR(INDEX(Settings!$C$27:$C$36,MATCH(C100,Settings!$B$27:$B$36,0)),"Unassigned"))</f>
        <v/>
      </c>
      <c r="L100">
        <f>IF(ROWS($L$2:$L100)&lt;=MAX('Per Line'!$AA$2:$AA$401),MATCH(ROWS($L$2:$L100),'Per Line'!$AA$2:$AA$401,0),"")</f>
        <v/>
      </c>
      <c r="M100">
        <f>IF(K100="Above",COUNTIF($K$2:K100,"Above"),"")</f>
        <v/>
      </c>
      <c r="N100">
        <f>IF(K100="Below",COUNTIF($K$2:K100,"Below"),"")</f>
        <v/>
      </c>
    </row>
    <row r="101">
      <c r="B101">
        <f>IF($L101="","",INDEX('Per Line'!$A$2:$A$401,$L101))</f>
        <v/>
      </c>
      <c r="C101">
        <f>IF($L101="","",INDEX('Per Line'!$B$2:$B$401,$L101))</f>
        <v/>
      </c>
      <c r="D101">
        <f>IF($L101="","",INDEX('Per Line'!$C$2:$C$401,$L101))</f>
        <v/>
      </c>
      <c r="E101">
        <f>IF($L101="","",INDEX('Per Line'!$P$2:$P$401,$L101))</f>
        <v/>
      </c>
      <c r="F101" s="5">
        <f>IF($L101="","",SUMIFS('Per Line'!$R$2:$R$401,'Per Line'!$A$2:$A$401,$B101))</f>
        <v/>
      </c>
      <c r="G101" s="5">
        <f>IF($L101="","",SUMIFS('Per Line'!$S$2:$S$401,'Per Line'!$A$2:$A$401,$B101))</f>
        <v/>
      </c>
      <c r="H101" s="5">
        <f>IF($L101="","",SUMIFS('Per Line'!$T$2:$T$401,'Per Line'!$A$2:$A$401,$B101))</f>
        <v/>
      </c>
      <c r="I101" s="5">
        <f>IF($L101="","",F101-G101)</f>
        <v/>
      </c>
      <c r="J101" s="5">
        <f>IF($L101="","",I101-H101)</f>
        <v/>
      </c>
      <c r="K101">
        <f>IF($L101="","",IFERROR(INDEX(Settings!$C$27:$C$36,MATCH(C101,Settings!$B$27:$B$36,0)),"Unassigned"))</f>
        <v/>
      </c>
      <c r="L101">
        <f>IF(ROWS($L$2:$L101)&lt;=MAX('Per Line'!$AA$2:$AA$401),MATCH(ROWS($L$2:$L101),'Per Line'!$AA$2:$AA$401,0),"")</f>
        <v/>
      </c>
      <c r="M101">
        <f>IF(K101="Above",COUNTIF($K$2:K101,"Above"),"")</f>
        <v/>
      </c>
      <c r="N101">
        <f>IF(K101="Below",COUNTIF($K$2:K101,"Below"),"")</f>
        <v/>
      </c>
    </row>
    <row r="102">
      <c r="B102">
        <f>IF($L102="","",INDEX('Per Line'!$A$2:$A$401,$L102))</f>
        <v/>
      </c>
      <c r="C102">
        <f>IF($L102="","",INDEX('Per Line'!$B$2:$B$401,$L102))</f>
        <v/>
      </c>
      <c r="D102">
        <f>IF($L102="","",INDEX('Per Line'!$C$2:$C$401,$L102))</f>
        <v/>
      </c>
      <c r="E102">
        <f>IF($L102="","",INDEX('Per Line'!$P$2:$P$401,$L102))</f>
        <v/>
      </c>
      <c r="F102" s="5">
        <f>IF($L102="","",SUMIFS('Per Line'!$R$2:$R$401,'Per Line'!$A$2:$A$401,$B102))</f>
        <v/>
      </c>
      <c r="G102" s="5">
        <f>IF($L102="","",SUMIFS('Per Line'!$S$2:$S$401,'Per Line'!$A$2:$A$401,$B102))</f>
        <v/>
      </c>
      <c r="H102" s="5">
        <f>IF($L102="","",SUMIFS('Per Line'!$T$2:$T$401,'Per Line'!$A$2:$A$401,$B102))</f>
        <v/>
      </c>
      <c r="I102" s="5">
        <f>IF($L102="","",F102-G102)</f>
        <v/>
      </c>
      <c r="J102" s="5">
        <f>IF($L102="","",I102-H102)</f>
        <v/>
      </c>
      <c r="K102">
        <f>IF($L102="","",IFERROR(INDEX(Settings!$C$27:$C$36,MATCH(C102,Settings!$B$27:$B$36,0)),"Unassigned"))</f>
        <v/>
      </c>
      <c r="L102">
        <f>IF(ROWS($L$2:$L102)&lt;=MAX('Per Line'!$AA$2:$AA$401),MATCH(ROWS($L$2:$L102),'Per Line'!$AA$2:$AA$401,0),"")</f>
        <v/>
      </c>
      <c r="M102">
        <f>IF(K102="Above",COUNTIF($K$2:K102,"Above"),"")</f>
        <v/>
      </c>
      <c r="N102">
        <f>IF(K102="Below",COUNTIF($K$2:K102,"Below"),"")</f>
        <v/>
      </c>
    </row>
    <row r="103">
      <c r="B103">
        <f>IF($L103="","",INDEX('Per Line'!$A$2:$A$401,$L103))</f>
        <v/>
      </c>
      <c r="C103">
        <f>IF($L103="","",INDEX('Per Line'!$B$2:$B$401,$L103))</f>
        <v/>
      </c>
      <c r="D103">
        <f>IF($L103="","",INDEX('Per Line'!$C$2:$C$401,$L103))</f>
        <v/>
      </c>
      <c r="E103">
        <f>IF($L103="","",INDEX('Per Line'!$P$2:$P$401,$L103))</f>
        <v/>
      </c>
      <c r="F103" s="5">
        <f>IF($L103="","",SUMIFS('Per Line'!$R$2:$R$401,'Per Line'!$A$2:$A$401,$B103))</f>
        <v/>
      </c>
      <c r="G103" s="5">
        <f>IF($L103="","",SUMIFS('Per Line'!$S$2:$S$401,'Per Line'!$A$2:$A$401,$B103))</f>
        <v/>
      </c>
      <c r="H103" s="5">
        <f>IF($L103="","",SUMIFS('Per Line'!$T$2:$T$401,'Per Line'!$A$2:$A$401,$B103))</f>
        <v/>
      </c>
      <c r="I103" s="5">
        <f>IF($L103="","",F103-G103)</f>
        <v/>
      </c>
      <c r="J103" s="5">
        <f>IF($L103="","",I103-H103)</f>
        <v/>
      </c>
      <c r="K103">
        <f>IF($L103="","",IFERROR(INDEX(Settings!$C$27:$C$36,MATCH(C103,Settings!$B$27:$B$36,0)),"Unassigned"))</f>
        <v/>
      </c>
      <c r="L103">
        <f>IF(ROWS($L$2:$L103)&lt;=MAX('Per Line'!$AA$2:$AA$401),MATCH(ROWS($L$2:$L103),'Per Line'!$AA$2:$AA$401,0),"")</f>
        <v/>
      </c>
      <c r="M103">
        <f>IF(K103="Above",COUNTIF($K$2:K103,"Above"),"")</f>
        <v/>
      </c>
      <c r="N103">
        <f>IF(K103="Below",COUNTIF($K$2:K103,"Below"),"")</f>
        <v/>
      </c>
    </row>
    <row r="104">
      <c r="B104">
        <f>IF($L104="","",INDEX('Per Line'!$A$2:$A$401,$L104))</f>
        <v/>
      </c>
      <c r="C104">
        <f>IF($L104="","",INDEX('Per Line'!$B$2:$B$401,$L104))</f>
        <v/>
      </c>
      <c r="D104">
        <f>IF($L104="","",INDEX('Per Line'!$C$2:$C$401,$L104))</f>
        <v/>
      </c>
      <c r="E104">
        <f>IF($L104="","",INDEX('Per Line'!$P$2:$P$401,$L104))</f>
        <v/>
      </c>
      <c r="F104" s="5">
        <f>IF($L104="","",SUMIFS('Per Line'!$R$2:$R$401,'Per Line'!$A$2:$A$401,$B104))</f>
        <v/>
      </c>
      <c r="G104" s="5">
        <f>IF($L104="","",SUMIFS('Per Line'!$S$2:$S$401,'Per Line'!$A$2:$A$401,$B104))</f>
        <v/>
      </c>
      <c r="H104" s="5">
        <f>IF($L104="","",SUMIFS('Per Line'!$T$2:$T$401,'Per Line'!$A$2:$A$401,$B104))</f>
        <v/>
      </c>
      <c r="I104" s="5">
        <f>IF($L104="","",F104-G104)</f>
        <v/>
      </c>
      <c r="J104" s="5">
        <f>IF($L104="","",I104-H104)</f>
        <v/>
      </c>
      <c r="K104">
        <f>IF($L104="","",IFERROR(INDEX(Settings!$C$27:$C$36,MATCH(C104,Settings!$B$27:$B$36,0)),"Unassigned"))</f>
        <v/>
      </c>
      <c r="L104">
        <f>IF(ROWS($L$2:$L104)&lt;=MAX('Per Line'!$AA$2:$AA$401),MATCH(ROWS($L$2:$L104),'Per Line'!$AA$2:$AA$401,0),"")</f>
        <v/>
      </c>
      <c r="M104">
        <f>IF(K104="Above",COUNTIF($K$2:K104,"Above"),"")</f>
        <v/>
      </c>
      <c r="N104">
        <f>IF(K104="Below",COUNTIF($K$2:K104,"Below"),"")</f>
        <v/>
      </c>
    </row>
    <row r="105">
      <c r="B105">
        <f>IF($L105="","",INDEX('Per Line'!$A$2:$A$401,$L105))</f>
        <v/>
      </c>
      <c r="C105">
        <f>IF($L105="","",INDEX('Per Line'!$B$2:$B$401,$L105))</f>
        <v/>
      </c>
      <c r="D105">
        <f>IF($L105="","",INDEX('Per Line'!$C$2:$C$401,$L105))</f>
        <v/>
      </c>
      <c r="E105">
        <f>IF($L105="","",INDEX('Per Line'!$P$2:$P$401,$L105))</f>
        <v/>
      </c>
      <c r="F105" s="5">
        <f>IF($L105="","",SUMIFS('Per Line'!$R$2:$R$401,'Per Line'!$A$2:$A$401,$B105))</f>
        <v/>
      </c>
      <c r="G105" s="5">
        <f>IF($L105="","",SUMIFS('Per Line'!$S$2:$S$401,'Per Line'!$A$2:$A$401,$B105))</f>
        <v/>
      </c>
      <c r="H105" s="5">
        <f>IF($L105="","",SUMIFS('Per Line'!$T$2:$T$401,'Per Line'!$A$2:$A$401,$B105))</f>
        <v/>
      </c>
      <c r="I105" s="5">
        <f>IF($L105="","",F105-G105)</f>
        <v/>
      </c>
      <c r="J105" s="5">
        <f>IF($L105="","",I105-H105)</f>
        <v/>
      </c>
      <c r="K105">
        <f>IF($L105="","",IFERROR(INDEX(Settings!$C$27:$C$36,MATCH(C105,Settings!$B$27:$B$36,0)),"Unassigned"))</f>
        <v/>
      </c>
      <c r="L105">
        <f>IF(ROWS($L$2:$L105)&lt;=MAX('Per Line'!$AA$2:$AA$401),MATCH(ROWS($L$2:$L105),'Per Line'!$AA$2:$AA$401,0),"")</f>
        <v/>
      </c>
      <c r="M105">
        <f>IF(K105="Above",COUNTIF($K$2:K105,"Above"),"")</f>
        <v/>
      </c>
      <c r="N105">
        <f>IF(K105="Below",COUNTIF($K$2:K105,"Below"),"")</f>
        <v/>
      </c>
    </row>
    <row r="106">
      <c r="B106">
        <f>IF($L106="","",INDEX('Per Line'!$A$2:$A$401,$L106))</f>
        <v/>
      </c>
      <c r="C106">
        <f>IF($L106="","",INDEX('Per Line'!$B$2:$B$401,$L106))</f>
        <v/>
      </c>
      <c r="D106">
        <f>IF($L106="","",INDEX('Per Line'!$C$2:$C$401,$L106))</f>
        <v/>
      </c>
      <c r="E106">
        <f>IF($L106="","",INDEX('Per Line'!$P$2:$P$401,$L106))</f>
        <v/>
      </c>
      <c r="F106" s="5">
        <f>IF($L106="","",SUMIFS('Per Line'!$R$2:$R$401,'Per Line'!$A$2:$A$401,$B106))</f>
        <v/>
      </c>
      <c r="G106" s="5">
        <f>IF($L106="","",SUMIFS('Per Line'!$S$2:$S$401,'Per Line'!$A$2:$A$401,$B106))</f>
        <v/>
      </c>
      <c r="H106" s="5">
        <f>IF($L106="","",SUMIFS('Per Line'!$T$2:$T$401,'Per Line'!$A$2:$A$401,$B106))</f>
        <v/>
      </c>
      <c r="I106" s="5">
        <f>IF($L106="","",F106-G106)</f>
        <v/>
      </c>
      <c r="J106" s="5">
        <f>IF($L106="","",I106-H106)</f>
        <v/>
      </c>
      <c r="K106">
        <f>IF($L106="","",IFERROR(INDEX(Settings!$C$27:$C$36,MATCH(C106,Settings!$B$27:$B$36,0)),"Unassigned"))</f>
        <v/>
      </c>
      <c r="L106">
        <f>IF(ROWS($L$2:$L106)&lt;=MAX('Per Line'!$AA$2:$AA$401),MATCH(ROWS($L$2:$L106),'Per Line'!$AA$2:$AA$401,0),"")</f>
        <v/>
      </c>
      <c r="M106">
        <f>IF(K106="Above",COUNTIF($K$2:K106,"Above"),"")</f>
        <v/>
      </c>
      <c r="N106">
        <f>IF(K106="Below",COUNTIF($K$2:K106,"Below"),"")</f>
        <v/>
      </c>
    </row>
    <row r="107">
      <c r="B107">
        <f>IF($L107="","",INDEX('Per Line'!$A$2:$A$401,$L107))</f>
        <v/>
      </c>
      <c r="C107">
        <f>IF($L107="","",INDEX('Per Line'!$B$2:$B$401,$L107))</f>
        <v/>
      </c>
      <c r="D107">
        <f>IF($L107="","",INDEX('Per Line'!$C$2:$C$401,$L107))</f>
        <v/>
      </c>
      <c r="E107">
        <f>IF($L107="","",INDEX('Per Line'!$P$2:$P$401,$L107))</f>
        <v/>
      </c>
      <c r="F107" s="5">
        <f>IF($L107="","",SUMIFS('Per Line'!$R$2:$R$401,'Per Line'!$A$2:$A$401,$B107))</f>
        <v/>
      </c>
      <c r="G107" s="5">
        <f>IF($L107="","",SUMIFS('Per Line'!$S$2:$S$401,'Per Line'!$A$2:$A$401,$B107))</f>
        <v/>
      </c>
      <c r="H107" s="5">
        <f>IF($L107="","",SUMIFS('Per Line'!$T$2:$T$401,'Per Line'!$A$2:$A$401,$B107))</f>
        <v/>
      </c>
      <c r="I107" s="5">
        <f>IF($L107="","",F107-G107)</f>
        <v/>
      </c>
      <c r="J107" s="5">
        <f>IF($L107="","",I107-H107)</f>
        <v/>
      </c>
      <c r="K107">
        <f>IF($L107="","",IFERROR(INDEX(Settings!$C$27:$C$36,MATCH(C107,Settings!$B$27:$B$36,0)),"Unassigned"))</f>
        <v/>
      </c>
      <c r="L107">
        <f>IF(ROWS($L$2:$L107)&lt;=MAX('Per Line'!$AA$2:$AA$401),MATCH(ROWS($L$2:$L107),'Per Line'!$AA$2:$AA$401,0),"")</f>
        <v/>
      </c>
      <c r="M107">
        <f>IF(K107="Above",COUNTIF($K$2:K107,"Above"),"")</f>
        <v/>
      </c>
      <c r="N107">
        <f>IF(K107="Below",COUNTIF($K$2:K107,"Below"),"")</f>
        <v/>
      </c>
    </row>
    <row r="108">
      <c r="B108">
        <f>IF($L108="","",INDEX('Per Line'!$A$2:$A$401,$L108))</f>
        <v/>
      </c>
      <c r="C108">
        <f>IF($L108="","",INDEX('Per Line'!$B$2:$B$401,$L108))</f>
        <v/>
      </c>
      <c r="D108">
        <f>IF($L108="","",INDEX('Per Line'!$C$2:$C$401,$L108))</f>
        <v/>
      </c>
      <c r="E108">
        <f>IF($L108="","",INDEX('Per Line'!$P$2:$P$401,$L108))</f>
        <v/>
      </c>
      <c r="F108" s="5">
        <f>IF($L108="","",SUMIFS('Per Line'!$R$2:$R$401,'Per Line'!$A$2:$A$401,$B108))</f>
        <v/>
      </c>
      <c r="G108" s="5">
        <f>IF($L108="","",SUMIFS('Per Line'!$S$2:$S$401,'Per Line'!$A$2:$A$401,$B108))</f>
        <v/>
      </c>
      <c r="H108" s="5">
        <f>IF($L108="","",SUMIFS('Per Line'!$T$2:$T$401,'Per Line'!$A$2:$A$401,$B108))</f>
        <v/>
      </c>
      <c r="I108" s="5">
        <f>IF($L108="","",F108-G108)</f>
        <v/>
      </c>
      <c r="J108" s="5">
        <f>IF($L108="","",I108-H108)</f>
        <v/>
      </c>
      <c r="K108">
        <f>IF($L108="","",IFERROR(INDEX(Settings!$C$27:$C$36,MATCH(C108,Settings!$B$27:$B$36,0)),"Unassigned"))</f>
        <v/>
      </c>
      <c r="L108">
        <f>IF(ROWS($L$2:$L108)&lt;=MAX('Per Line'!$AA$2:$AA$401),MATCH(ROWS($L$2:$L108),'Per Line'!$AA$2:$AA$401,0),"")</f>
        <v/>
      </c>
      <c r="M108">
        <f>IF(K108="Above",COUNTIF($K$2:K108,"Above"),"")</f>
        <v/>
      </c>
      <c r="N108">
        <f>IF(K108="Below",COUNTIF($K$2:K108,"Below"),"")</f>
        <v/>
      </c>
    </row>
    <row r="109">
      <c r="B109">
        <f>IF($L109="","",INDEX('Per Line'!$A$2:$A$401,$L109))</f>
        <v/>
      </c>
      <c r="C109">
        <f>IF($L109="","",INDEX('Per Line'!$B$2:$B$401,$L109))</f>
        <v/>
      </c>
      <c r="D109">
        <f>IF($L109="","",INDEX('Per Line'!$C$2:$C$401,$L109))</f>
        <v/>
      </c>
      <c r="E109">
        <f>IF($L109="","",INDEX('Per Line'!$P$2:$P$401,$L109))</f>
        <v/>
      </c>
      <c r="F109" s="5">
        <f>IF($L109="","",SUMIFS('Per Line'!$R$2:$R$401,'Per Line'!$A$2:$A$401,$B109))</f>
        <v/>
      </c>
      <c r="G109" s="5">
        <f>IF($L109="","",SUMIFS('Per Line'!$S$2:$S$401,'Per Line'!$A$2:$A$401,$B109))</f>
        <v/>
      </c>
      <c r="H109" s="5">
        <f>IF($L109="","",SUMIFS('Per Line'!$T$2:$T$401,'Per Line'!$A$2:$A$401,$B109))</f>
        <v/>
      </c>
      <c r="I109" s="5">
        <f>IF($L109="","",F109-G109)</f>
        <v/>
      </c>
      <c r="J109" s="5">
        <f>IF($L109="","",I109-H109)</f>
        <v/>
      </c>
      <c r="K109">
        <f>IF($L109="","",IFERROR(INDEX(Settings!$C$27:$C$36,MATCH(C109,Settings!$B$27:$B$36,0)),"Unassigned"))</f>
        <v/>
      </c>
      <c r="L109">
        <f>IF(ROWS($L$2:$L109)&lt;=MAX('Per Line'!$AA$2:$AA$401),MATCH(ROWS($L$2:$L109),'Per Line'!$AA$2:$AA$401,0),"")</f>
        <v/>
      </c>
      <c r="M109">
        <f>IF(K109="Above",COUNTIF($K$2:K109,"Above"),"")</f>
        <v/>
      </c>
      <c r="N109">
        <f>IF(K109="Below",COUNTIF($K$2:K109,"Below"),"")</f>
        <v/>
      </c>
    </row>
    <row r="110">
      <c r="B110">
        <f>IF($L110="","",INDEX('Per Line'!$A$2:$A$401,$L110))</f>
        <v/>
      </c>
      <c r="C110">
        <f>IF($L110="","",INDEX('Per Line'!$B$2:$B$401,$L110))</f>
        <v/>
      </c>
      <c r="D110">
        <f>IF($L110="","",INDEX('Per Line'!$C$2:$C$401,$L110))</f>
        <v/>
      </c>
      <c r="E110">
        <f>IF($L110="","",INDEX('Per Line'!$P$2:$P$401,$L110))</f>
        <v/>
      </c>
      <c r="F110" s="5">
        <f>IF($L110="","",SUMIFS('Per Line'!$R$2:$R$401,'Per Line'!$A$2:$A$401,$B110))</f>
        <v/>
      </c>
      <c r="G110" s="5">
        <f>IF($L110="","",SUMIFS('Per Line'!$S$2:$S$401,'Per Line'!$A$2:$A$401,$B110))</f>
        <v/>
      </c>
      <c r="H110" s="5">
        <f>IF($L110="","",SUMIFS('Per Line'!$T$2:$T$401,'Per Line'!$A$2:$A$401,$B110))</f>
        <v/>
      </c>
      <c r="I110" s="5">
        <f>IF($L110="","",F110-G110)</f>
        <v/>
      </c>
      <c r="J110" s="5">
        <f>IF($L110="","",I110-H110)</f>
        <v/>
      </c>
      <c r="K110">
        <f>IF($L110="","",IFERROR(INDEX(Settings!$C$27:$C$36,MATCH(C110,Settings!$B$27:$B$36,0)),"Unassigned"))</f>
        <v/>
      </c>
      <c r="L110">
        <f>IF(ROWS($L$2:$L110)&lt;=MAX('Per Line'!$AA$2:$AA$401),MATCH(ROWS($L$2:$L110),'Per Line'!$AA$2:$AA$401,0),"")</f>
        <v/>
      </c>
      <c r="M110">
        <f>IF(K110="Above",COUNTIF($K$2:K110,"Above"),"")</f>
        <v/>
      </c>
      <c r="N110">
        <f>IF(K110="Below",COUNTIF($K$2:K110,"Below"),"")</f>
        <v/>
      </c>
    </row>
    <row r="111">
      <c r="B111">
        <f>IF($L111="","",INDEX('Per Line'!$A$2:$A$401,$L111))</f>
        <v/>
      </c>
      <c r="C111">
        <f>IF($L111="","",INDEX('Per Line'!$B$2:$B$401,$L111))</f>
        <v/>
      </c>
      <c r="D111">
        <f>IF($L111="","",INDEX('Per Line'!$C$2:$C$401,$L111))</f>
        <v/>
      </c>
      <c r="E111">
        <f>IF($L111="","",INDEX('Per Line'!$P$2:$P$401,$L111))</f>
        <v/>
      </c>
      <c r="F111" s="5">
        <f>IF($L111="","",SUMIFS('Per Line'!$R$2:$R$401,'Per Line'!$A$2:$A$401,$B111))</f>
        <v/>
      </c>
      <c r="G111" s="5">
        <f>IF($L111="","",SUMIFS('Per Line'!$S$2:$S$401,'Per Line'!$A$2:$A$401,$B111))</f>
        <v/>
      </c>
      <c r="H111" s="5">
        <f>IF($L111="","",SUMIFS('Per Line'!$T$2:$T$401,'Per Line'!$A$2:$A$401,$B111))</f>
        <v/>
      </c>
      <c r="I111" s="5">
        <f>IF($L111="","",F111-G111)</f>
        <v/>
      </c>
      <c r="J111" s="5">
        <f>IF($L111="","",I111-H111)</f>
        <v/>
      </c>
      <c r="K111">
        <f>IF($L111="","",IFERROR(INDEX(Settings!$C$27:$C$36,MATCH(C111,Settings!$B$27:$B$36,0)),"Unassigned"))</f>
        <v/>
      </c>
      <c r="L111">
        <f>IF(ROWS($L$2:$L111)&lt;=MAX('Per Line'!$AA$2:$AA$401),MATCH(ROWS($L$2:$L111),'Per Line'!$AA$2:$AA$401,0),"")</f>
        <v/>
      </c>
      <c r="M111">
        <f>IF(K111="Above",COUNTIF($K$2:K111,"Above"),"")</f>
        <v/>
      </c>
      <c r="N111">
        <f>IF(K111="Below",COUNTIF($K$2:K111,"Below"),"")</f>
        <v/>
      </c>
    </row>
    <row r="112">
      <c r="B112">
        <f>IF($L112="","",INDEX('Per Line'!$A$2:$A$401,$L112))</f>
        <v/>
      </c>
      <c r="C112">
        <f>IF($L112="","",INDEX('Per Line'!$B$2:$B$401,$L112))</f>
        <v/>
      </c>
      <c r="D112">
        <f>IF($L112="","",INDEX('Per Line'!$C$2:$C$401,$L112))</f>
        <v/>
      </c>
      <c r="E112">
        <f>IF($L112="","",INDEX('Per Line'!$P$2:$P$401,$L112))</f>
        <v/>
      </c>
      <c r="F112" s="5">
        <f>IF($L112="","",SUMIFS('Per Line'!$R$2:$R$401,'Per Line'!$A$2:$A$401,$B112))</f>
        <v/>
      </c>
      <c r="G112" s="5">
        <f>IF($L112="","",SUMIFS('Per Line'!$S$2:$S$401,'Per Line'!$A$2:$A$401,$B112))</f>
        <v/>
      </c>
      <c r="H112" s="5">
        <f>IF($L112="","",SUMIFS('Per Line'!$T$2:$T$401,'Per Line'!$A$2:$A$401,$B112))</f>
        <v/>
      </c>
      <c r="I112" s="5">
        <f>IF($L112="","",F112-G112)</f>
        <v/>
      </c>
      <c r="J112" s="5">
        <f>IF($L112="","",I112-H112)</f>
        <v/>
      </c>
      <c r="K112">
        <f>IF($L112="","",IFERROR(INDEX(Settings!$C$27:$C$36,MATCH(C112,Settings!$B$27:$B$36,0)),"Unassigned"))</f>
        <v/>
      </c>
      <c r="L112">
        <f>IF(ROWS($L$2:$L112)&lt;=MAX('Per Line'!$AA$2:$AA$401),MATCH(ROWS($L$2:$L112),'Per Line'!$AA$2:$AA$401,0),"")</f>
        <v/>
      </c>
      <c r="M112">
        <f>IF(K112="Above",COUNTIF($K$2:K112,"Above"),"")</f>
        <v/>
      </c>
      <c r="N112">
        <f>IF(K112="Below",COUNTIF($K$2:K112,"Below"),"")</f>
        <v/>
      </c>
    </row>
    <row r="113">
      <c r="B113">
        <f>IF($L113="","",INDEX('Per Line'!$A$2:$A$401,$L113))</f>
        <v/>
      </c>
      <c r="C113">
        <f>IF($L113="","",INDEX('Per Line'!$B$2:$B$401,$L113))</f>
        <v/>
      </c>
      <c r="D113">
        <f>IF($L113="","",INDEX('Per Line'!$C$2:$C$401,$L113))</f>
        <v/>
      </c>
      <c r="E113">
        <f>IF($L113="","",INDEX('Per Line'!$P$2:$P$401,$L113))</f>
        <v/>
      </c>
      <c r="F113" s="5">
        <f>IF($L113="","",SUMIFS('Per Line'!$R$2:$R$401,'Per Line'!$A$2:$A$401,$B113))</f>
        <v/>
      </c>
      <c r="G113" s="5">
        <f>IF($L113="","",SUMIFS('Per Line'!$S$2:$S$401,'Per Line'!$A$2:$A$401,$B113))</f>
        <v/>
      </c>
      <c r="H113" s="5">
        <f>IF($L113="","",SUMIFS('Per Line'!$T$2:$T$401,'Per Line'!$A$2:$A$401,$B113))</f>
        <v/>
      </c>
      <c r="I113" s="5">
        <f>IF($L113="","",F113-G113)</f>
        <v/>
      </c>
      <c r="J113" s="5">
        <f>IF($L113="","",I113-H113)</f>
        <v/>
      </c>
      <c r="K113">
        <f>IF($L113="","",IFERROR(INDEX(Settings!$C$27:$C$36,MATCH(C113,Settings!$B$27:$B$36,0)),"Unassigned"))</f>
        <v/>
      </c>
      <c r="L113">
        <f>IF(ROWS($L$2:$L113)&lt;=MAX('Per Line'!$AA$2:$AA$401),MATCH(ROWS($L$2:$L113),'Per Line'!$AA$2:$AA$401,0),"")</f>
        <v/>
      </c>
      <c r="M113">
        <f>IF(K113="Above",COUNTIF($K$2:K113,"Above"),"")</f>
        <v/>
      </c>
      <c r="N113">
        <f>IF(K113="Below",COUNTIF($K$2:K113,"Below"),"")</f>
        <v/>
      </c>
    </row>
    <row r="114">
      <c r="B114">
        <f>IF($L114="","",INDEX('Per Line'!$A$2:$A$401,$L114))</f>
        <v/>
      </c>
      <c r="C114">
        <f>IF($L114="","",INDEX('Per Line'!$B$2:$B$401,$L114))</f>
        <v/>
      </c>
      <c r="D114">
        <f>IF($L114="","",INDEX('Per Line'!$C$2:$C$401,$L114))</f>
        <v/>
      </c>
      <c r="E114">
        <f>IF($L114="","",INDEX('Per Line'!$P$2:$P$401,$L114))</f>
        <v/>
      </c>
      <c r="F114" s="5">
        <f>IF($L114="","",SUMIFS('Per Line'!$R$2:$R$401,'Per Line'!$A$2:$A$401,$B114))</f>
        <v/>
      </c>
      <c r="G114" s="5">
        <f>IF($L114="","",SUMIFS('Per Line'!$S$2:$S$401,'Per Line'!$A$2:$A$401,$B114))</f>
        <v/>
      </c>
      <c r="H114" s="5">
        <f>IF($L114="","",SUMIFS('Per Line'!$T$2:$T$401,'Per Line'!$A$2:$A$401,$B114))</f>
        <v/>
      </c>
      <c r="I114" s="5">
        <f>IF($L114="","",F114-G114)</f>
        <v/>
      </c>
      <c r="J114" s="5">
        <f>IF($L114="","",I114-H114)</f>
        <v/>
      </c>
      <c r="K114">
        <f>IF($L114="","",IFERROR(INDEX(Settings!$C$27:$C$36,MATCH(C114,Settings!$B$27:$B$36,0)),"Unassigned"))</f>
        <v/>
      </c>
      <c r="L114">
        <f>IF(ROWS($L$2:$L114)&lt;=MAX('Per Line'!$AA$2:$AA$401),MATCH(ROWS($L$2:$L114),'Per Line'!$AA$2:$AA$401,0),"")</f>
        <v/>
      </c>
      <c r="M114">
        <f>IF(K114="Above",COUNTIF($K$2:K114,"Above"),"")</f>
        <v/>
      </c>
      <c r="N114">
        <f>IF(K114="Below",COUNTIF($K$2:K114,"Below"),"")</f>
        <v/>
      </c>
    </row>
    <row r="115">
      <c r="B115">
        <f>IF($L115="","",INDEX('Per Line'!$A$2:$A$401,$L115))</f>
        <v/>
      </c>
      <c r="C115">
        <f>IF($L115="","",INDEX('Per Line'!$B$2:$B$401,$L115))</f>
        <v/>
      </c>
      <c r="D115">
        <f>IF($L115="","",INDEX('Per Line'!$C$2:$C$401,$L115))</f>
        <v/>
      </c>
      <c r="E115">
        <f>IF($L115="","",INDEX('Per Line'!$P$2:$P$401,$L115))</f>
        <v/>
      </c>
      <c r="F115" s="5">
        <f>IF($L115="","",SUMIFS('Per Line'!$R$2:$R$401,'Per Line'!$A$2:$A$401,$B115))</f>
        <v/>
      </c>
      <c r="G115" s="5">
        <f>IF($L115="","",SUMIFS('Per Line'!$S$2:$S$401,'Per Line'!$A$2:$A$401,$B115))</f>
        <v/>
      </c>
      <c r="H115" s="5">
        <f>IF($L115="","",SUMIFS('Per Line'!$T$2:$T$401,'Per Line'!$A$2:$A$401,$B115))</f>
        <v/>
      </c>
      <c r="I115" s="5">
        <f>IF($L115="","",F115-G115)</f>
        <v/>
      </c>
      <c r="J115" s="5">
        <f>IF($L115="","",I115-H115)</f>
        <v/>
      </c>
      <c r="K115">
        <f>IF($L115="","",IFERROR(INDEX(Settings!$C$27:$C$36,MATCH(C115,Settings!$B$27:$B$36,0)),"Unassigned"))</f>
        <v/>
      </c>
      <c r="L115">
        <f>IF(ROWS($L$2:$L115)&lt;=MAX('Per Line'!$AA$2:$AA$401),MATCH(ROWS($L$2:$L115),'Per Line'!$AA$2:$AA$401,0),"")</f>
        <v/>
      </c>
      <c r="M115">
        <f>IF(K115="Above",COUNTIF($K$2:K115,"Above"),"")</f>
        <v/>
      </c>
      <c r="N115">
        <f>IF(K115="Below",COUNTIF($K$2:K115,"Below"),"")</f>
        <v/>
      </c>
    </row>
    <row r="116">
      <c r="B116">
        <f>IF($L116="","",INDEX('Per Line'!$A$2:$A$401,$L116))</f>
        <v/>
      </c>
      <c r="C116">
        <f>IF($L116="","",INDEX('Per Line'!$B$2:$B$401,$L116))</f>
        <v/>
      </c>
      <c r="D116">
        <f>IF($L116="","",INDEX('Per Line'!$C$2:$C$401,$L116))</f>
        <v/>
      </c>
      <c r="E116">
        <f>IF($L116="","",INDEX('Per Line'!$P$2:$P$401,$L116))</f>
        <v/>
      </c>
      <c r="F116" s="5">
        <f>IF($L116="","",SUMIFS('Per Line'!$R$2:$R$401,'Per Line'!$A$2:$A$401,$B116))</f>
        <v/>
      </c>
      <c r="G116" s="5">
        <f>IF($L116="","",SUMIFS('Per Line'!$S$2:$S$401,'Per Line'!$A$2:$A$401,$B116))</f>
        <v/>
      </c>
      <c r="H116" s="5">
        <f>IF($L116="","",SUMIFS('Per Line'!$T$2:$T$401,'Per Line'!$A$2:$A$401,$B116))</f>
        <v/>
      </c>
      <c r="I116" s="5">
        <f>IF($L116="","",F116-G116)</f>
        <v/>
      </c>
      <c r="J116" s="5">
        <f>IF($L116="","",I116-H116)</f>
        <v/>
      </c>
      <c r="K116">
        <f>IF($L116="","",IFERROR(INDEX(Settings!$C$27:$C$36,MATCH(C116,Settings!$B$27:$B$36,0)),"Unassigned"))</f>
        <v/>
      </c>
      <c r="L116">
        <f>IF(ROWS($L$2:$L116)&lt;=MAX('Per Line'!$AA$2:$AA$401),MATCH(ROWS($L$2:$L116),'Per Line'!$AA$2:$AA$401,0),"")</f>
        <v/>
      </c>
      <c r="M116">
        <f>IF(K116="Above",COUNTIF($K$2:K116,"Above"),"")</f>
        <v/>
      </c>
      <c r="N116">
        <f>IF(K116="Below",COUNTIF($K$2:K116,"Below"),"")</f>
        <v/>
      </c>
    </row>
    <row r="117">
      <c r="B117">
        <f>IF($L117="","",INDEX('Per Line'!$A$2:$A$401,$L117))</f>
        <v/>
      </c>
      <c r="C117">
        <f>IF($L117="","",INDEX('Per Line'!$B$2:$B$401,$L117))</f>
        <v/>
      </c>
      <c r="D117">
        <f>IF($L117="","",INDEX('Per Line'!$C$2:$C$401,$L117))</f>
        <v/>
      </c>
      <c r="E117">
        <f>IF($L117="","",INDEX('Per Line'!$P$2:$P$401,$L117))</f>
        <v/>
      </c>
      <c r="F117" s="5">
        <f>IF($L117="","",SUMIFS('Per Line'!$R$2:$R$401,'Per Line'!$A$2:$A$401,$B117))</f>
        <v/>
      </c>
      <c r="G117" s="5">
        <f>IF($L117="","",SUMIFS('Per Line'!$S$2:$S$401,'Per Line'!$A$2:$A$401,$B117))</f>
        <v/>
      </c>
      <c r="H117" s="5">
        <f>IF($L117="","",SUMIFS('Per Line'!$T$2:$T$401,'Per Line'!$A$2:$A$401,$B117))</f>
        <v/>
      </c>
      <c r="I117" s="5">
        <f>IF($L117="","",F117-G117)</f>
        <v/>
      </c>
      <c r="J117" s="5">
        <f>IF($L117="","",I117-H117)</f>
        <v/>
      </c>
      <c r="K117">
        <f>IF($L117="","",IFERROR(INDEX(Settings!$C$27:$C$36,MATCH(C117,Settings!$B$27:$B$36,0)),"Unassigned"))</f>
        <v/>
      </c>
      <c r="L117">
        <f>IF(ROWS($L$2:$L117)&lt;=MAX('Per Line'!$AA$2:$AA$401),MATCH(ROWS($L$2:$L117),'Per Line'!$AA$2:$AA$401,0),"")</f>
        <v/>
      </c>
      <c r="M117">
        <f>IF(K117="Above",COUNTIF($K$2:K117,"Above"),"")</f>
        <v/>
      </c>
      <c r="N117">
        <f>IF(K117="Below",COUNTIF($K$2:K117,"Below"),"")</f>
        <v/>
      </c>
    </row>
    <row r="118">
      <c r="B118">
        <f>IF($L118="","",INDEX('Per Line'!$A$2:$A$401,$L118))</f>
        <v/>
      </c>
      <c r="C118">
        <f>IF($L118="","",INDEX('Per Line'!$B$2:$B$401,$L118))</f>
        <v/>
      </c>
      <c r="D118">
        <f>IF($L118="","",INDEX('Per Line'!$C$2:$C$401,$L118))</f>
        <v/>
      </c>
      <c r="E118">
        <f>IF($L118="","",INDEX('Per Line'!$P$2:$P$401,$L118))</f>
        <v/>
      </c>
      <c r="F118" s="5">
        <f>IF($L118="","",SUMIFS('Per Line'!$R$2:$R$401,'Per Line'!$A$2:$A$401,$B118))</f>
        <v/>
      </c>
      <c r="G118" s="5">
        <f>IF($L118="","",SUMIFS('Per Line'!$S$2:$S$401,'Per Line'!$A$2:$A$401,$B118))</f>
        <v/>
      </c>
      <c r="H118" s="5">
        <f>IF($L118="","",SUMIFS('Per Line'!$T$2:$T$401,'Per Line'!$A$2:$A$401,$B118))</f>
        <v/>
      </c>
      <c r="I118" s="5">
        <f>IF($L118="","",F118-G118)</f>
        <v/>
      </c>
      <c r="J118" s="5">
        <f>IF($L118="","",I118-H118)</f>
        <v/>
      </c>
      <c r="K118">
        <f>IF($L118="","",IFERROR(INDEX(Settings!$C$27:$C$36,MATCH(C118,Settings!$B$27:$B$36,0)),"Unassigned"))</f>
        <v/>
      </c>
      <c r="L118">
        <f>IF(ROWS($L$2:$L118)&lt;=MAX('Per Line'!$AA$2:$AA$401),MATCH(ROWS($L$2:$L118),'Per Line'!$AA$2:$AA$401,0),"")</f>
        <v/>
      </c>
      <c r="M118">
        <f>IF(K118="Above",COUNTIF($K$2:K118,"Above"),"")</f>
        <v/>
      </c>
      <c r="N118">
        <f>IF(K118="Below",COUNTIF($K$2:K118,"Below"),"")</f>
        <v/>
      </c>
    </row>
    <row r="119">
      <c r="B119">
        <f>IF($L119="","",INDEX('Per Line'!$A$2:$A$401,$L119))</f>
        <v/>
      </c>
      <c r="C119">
        <f>IF($L119="","",INDEX('Per Line'!$B$2:$B$401,$L119))</f>
        <v/>
      </c>
      <c r="D119">
        <f>IF($L119="","",INDEX('Per Line'!$C$2:$C$401,$L119))</f>
        <v/>
      </c>
      <c r="E119">
        <f>IF($L119="","",INDEX('Per Line'!$P$2:$P$401,$L119))</f>
        <v/>
      </c>
      <c r="F119" s="5">
        <f>IF($L119="","",SUMIFS('Per Line'!$R$2:$R$401,'Per Line'!$A$2:$A$401,$B119))</f>
        <v/>
      </c>
      <c r="G119" s="5">
        <f>IF($L119="","",SUMIFS('Per Line'!$S$2:$S$401,'Per Line'!$A$2:$A$401,$B119))</f>
        <v/>
      </c>
      <c r="H119" s="5">
        <f>IF($L119="","",SUMIFS('Per Line'!$T$2:$T$401,'Per Line'!$A$2:$A$401,$B119))</f>
        <v/>
      </c>
      <c r="I119" s="5">
        <f>IF($L119="","",F119-G119)</f>
        <v/>
      </c>
      <c r="J119" s="5">
        <f>IF($L119="","",I119-H119)</f>
        <v/>
      </c>
      <c r="K119">
        <f>IF($L119="","",IFERROR(INDEX(Settings!$C$27:$C$36,MATCH(C119,Settings!$B$27:$B$36,0)),"Unassigned"))</f>
        <v/>
      </c>
      <c r="L119">
        <f>IF(ROWS($L$2:$L119)&lt;=MAX('Per Line'!$AA$2:$AA$401),MATCH(ROWS($L$2:$L119),'Per Line'!$AA$2:$AA$401,0),"")</f>
        <v/>
      </c>
      <c r="M119">
        <f>IF(K119="Above",COUNTIF($K$2:K119,"Above"),"")</f>
        <v/>
      </c>
      <c r="N119">
        <f>IF(K119="Below",COUNTIF($K$2:K119,"Below"),"")</f>
        <v/>
      </c>
    </row>
    <row r="120">
      <c r="B120">
        <f>IF($L120="","",INDEX('Per Line'!$A$2:$A$401,$L120))</f>
        <v/>
      </c>
      <c r="C120">
        <f>IF($L120="","",INDEX('Per Line'!$B$2:$B$401,$L120))</f>
        <v/>
      </c>
      <c r="D120">
        <f>IF($L120="","",INDEX('Per Line'!$C$2:$C$401,$L120))</f>
        <v/>
      </c>
      <c r="E120">
        <f>IF($L120="","",INDEX('Per Line'!$P$2:$P$401,$L120))</f>
        <v/>
      </c>
      <c r="F120" s="5">
        <f>IF($L120="","",SUMIFS('Per Line'!$R$2:$R$401,'Per Line'!$A$2:$A$401,$B120))</f>
        <v/>
      </c>
      <c r="G120" s="5">
        <f>IF($L120="","",SUMIFS('Per Line'!$S$2:$S$401,'Per Line'!$A$2:$A$401,$B120))</f>
        <v/>
      </c>
      <c r="H120" s="5">
        <f>IF($L120="","",SUMIFS('Per Line'!$T$2:$T$401,'Per Line'!$A$2:$A$401,$B120))</f>
        <v/>
      </c>
      <c r="I120" s="5">
        <f>IF($L120="","",F120-G120)</f>
        <v/>
      </c>
      <c r="J120" s="5">
        <f>IF($L120="","",I120-H120)</f>
        <v/>
      </c>
      <c r="K120">
        <f>IF($L120="","",IFERROR(INDEX(Settings!$C$27:$C$36,MATCH(C120,Settings!$B$27:$B$36,0)),"Unassigned"))</f>
        <v/>
      </c>
      <c r="L120">
        <f>IF(ROWS($L$2:$L120)&lt;=MAX('Per Line'!$AA$2:$AA$401),MATCH(ROWS($L$2:$L120),'Per Line'!$AA$2:$AA$401,0),"")</f>
        <v/>
      </c>
      <c r="M120">
        <f>IF(K120="Above",COUNTIF($K$2:K120,"Above"),"")</f>
        <v/>
      </c>
      <c r="N120">
        <f>IF(K120="Below",COUNTIF($K$2:K120,"Below"),"")</f>
        <v/>
      </c>
    </row>
    <row r="121">
      <c r="B121">
        <f>IF($L121="","",INDEX('Per Line'!$A$2:$A$401,$L121))</f>
        <v/>
      </c>
      <c r="C121">
        <f>IF($L121="","",INDEX('Per Line'!$B$2:$B$401,$L121))</f>
        <v/>
      </c>
      <c r="D121">
        <f>IF($L121="","",INDEX('Per Line'!$C$2:$C$401,$L121))</f>
        <v/>
      </c>
      <c r="E121">
        <f>IF($L121="","",INDEX('Per Line'!$P$2:$P$401,$L121))</f>
        <v/>
      </c>
      <c r="F121" s="5">
        <f>IF($L121="","",SUMIFS('Per Line'!$R$2:$R$401,'Per Line'!$A$2:$A$401,$B121))</f>
        <v/>
      </c>
      <c r="G121" s="5">
        <f>IF($L121="","",SUMIFS('Per Line'!$S$2:$S$401,'Per Line'!$A$2:$A$401,$B121))</f>
        <v/>
      </c>
      <c r="H121" s="5">
        <f>IF($L121="","",SUMIFS('Per Line'!$T$2:$T$401,'Per Line'!$A$2:$A$401,$B121))</f>
        <v/>
      </c>
      <c r="I121" s="5">
        <f>IF($L121="","",F121-G121)</f>
        <v/>
      </c>
      <c r="J121" s="5">
        <f>IF($L121="","",I121-H121)</f>
        <v/>
      </c>
      <c r="K121">
        <f>IF($L121="","",IFERROR(INDEX(Settings!$C$27:$C$36,MATCH(C121,Settings!$B$27:$B$36,0)),"Unassigned"))</f>
        <v/>
      </c>
      <c r="L121">
        <f>IF(ROWS($L$2:$L121)&lt;=MAX('Per Line'!$AA$2:$AA$401),MATCH(ROWS($L$2:$L121),'Per Line'!$AA$2:$AA$401,0),"")</f>
        <v/>
      </c>
      <c r="M121">
        <f>IF(K121="Above",COUNTIF($K$2:K121,"Above"),"")</f>
        <v/>
      </c>
      <c r="N121">
        <f>IF(K121="Below",COUNTIF($K$2:K121,"Below"),"")</f>
        <v/>
      </c>
    </row>
    <row r="122">
      <c r="B122">
        <f>IF($L122="","",INDEX('Per Line'!$A$2:$A$401,$L122))</f>
        <v/>
      </c>
      <c r="C122">
        <f>IF($L122="","",INDEX('Per Line'!$B$2:$B$401,$L122))</f>
        <v/>
      </c>
      <c r="D122">
        <f>IF($L122="","",INDEX('Per Line'!$C$2:$C$401,$L122))</f>
        <v/>
      </c>
      <c r="E122">
        <f>IF($L122="","",INDEX('Per Line'!$P$2:$P$401,$L122))</f>
        <v/>
      </c>
      <c r="F122" s="5">
        <f>IF($L122="","",SUMIFS('Per Line'!$R$2:$R$401,'Per Line'!$A$2:$A$401,$B122))</f>
        <v/>
      </c>
      <c r="G122" s="5">
        <f>IF($L122="","",SUMIFS('Per Line'!$S$2:$S$401,'Per Line'!$A$2:$A$401,$B122))</f>
        <v/>
      </c>
      <c r="H122" s="5">
        <f>IF($L122="","",SUMIFS('Per Line'!$T$2:$T$401,'Per Line'!$A$2:$A$401,$B122))</f>
        <v/>
      </c>
      <c r="I122" s="5">
        <f>IF($L122="","",F122-G122)</f>
        <v/>
      </c>
      <c r="J122" s="5">
        <f>IF($L122="","",I122-H122)</f>
        <v/>
      </c>
      <c r="K122">
        <f>IF($L122="","",IFERROR(INDEX(Settings!$C$27:$C$36,MATCH(C122,Settings!$B$27:$B$36,0)),"Unassigned"))</f>
        <v/>
      </c>
      <c r="L122">
        <f>IF(ROWS($L$2:$L122)&lt;=MAX('Per Line'!$AA$2:$AA$401),MATCH(ROWS($L$2:$L122),'Per Line'!$AA$2:$AA$401,0),"")</f>
        <v/>
      </c>
      <c r="M122">
        <f>IF(K122="Above",COUNTIF($K$2:K122,"Above"),"")</f>
        <v/>
      </c>
      <c r="N122">
        <f>IF(K122="Below",COUNTIF($K$2:K122,"Below"),"")</f>
        <v/>
      </c>
    </row>
    <row r="123">
      <c r="B123">
        <f>IF($L123="","",INDEX('Per Line'!$A$2:$A$401,$L123))</f>
        <v/>
      </c>
      <c r="C123">
        <f>IF($L123="","",INDEX('Per Line'!$B$2:$B$401,$L123))</f>
        <v/>
      </c>
      <c r="D123">
        <f>IF($L123="","",INDEX('Per Line'!$C$2:$C$401,$L123))</f>
        <v/>
      </c>
      <c r="E123">
        <f>IF($L123="","",INDEX('Per Line'!$P$2:$P$401,$L123))</f>
        <v/>
      </c>
      <c r="F123" s="5">
        <f>IF($L123="","",SUMIFS('Per Line'!$R$2:$R$401,'Per Line'!$A$2:$A$401,$B123))</f>
        <v/>
      </c>
      <c r="G123" s="5">
        <f>IF($L123="","",SUMIFS('Per Line'!$S$2:$S$401,'Per Line'!$A$2:$A$401,$B123))</f>
        <v/>
      </c>
      <c r="H123" s="5">
        <f>IF($L123="","",SUMIFS('Per Line'!$T$2:$T$401,'Per Line'!$A$2:$A$401,$B123))</f>
        <v/>
      </c>
      <c r="I123" s="5">
        <f>IF($L123="","",F123-G123)</f>
        <v/>
      </c>
      <c r="J123" s="5">
        <f>IF($L123="","",I123-H123)</f>
        <v/>
      </c>
      <c r="K123">
        <f>IF($L123="","",IFERROR(INDEX(Settings!$C$27:$C$36,MATCH(C123,Settings!$B$27:$B$36,0)),"Unassigned"))</f>
        <v/>
      </c>
      <c r="L123">
        <f>IF(ROWS($L$2:$L123)&lt;=MAX('Per Line'!$AA$2:$AA$401),MATCH(ROWS($L$2:$L123),'Per Line'!$AA$2:$AA$401,0),"")</f>
        <v/>
      </c>
      <c r="M123">
        <f>IF(K123="Above",COUNTIF($K$2:K123,"Above"),"")</f>
        <v/>
      </c>
      <c r="N123">
        <f>IF(K123="Below",COUNTIF($K$2:K123,"Below"),"")</f>
        <v/>
      </c>
    </row>
    <row r="124">
      <c r="B124">
        <f>IF($L124="","",INDEX('Per Line'!$A$2:$A$401,$L124))</f>
        <v/>
      </c>
      <c r="C124">
        <f>IF($L124="","",INDEX('Per Line'!$B$2:$B$401,$L124))</f>
        <v/>
      </c>
      <c r="D124">
        <f>IF($L124="","",INDEX('Per Line'!$C$2:$C$401,$L124))</f>
        <v/>
      </c>
      <c r="E124">
        <f>IF($L124="","",INDEX('Per Line'!$P$2:$P$401,$L124))</f>
        <v/>
      </c>
      <c r="F124" s="5">
        <f>IF($L124="","",SUMIFS('Per Line'!$R$2:$R$401,'Per Line'!$A$2:$A$401,$B124))</f>
        <v/>
      </c>
      <c r="G124" s="5">
        <f>IF($L124="","",SUMIFS('Per Line'!$S$2:$S$401,'Per Line'!$A$2:$A$401,$B124))</f>
        <v/>
      </c>
      <c r="H124" s="5">
        <f>IF($L124="","",SUMIFS('Per Line'!$T$2:$T$401,'Per Line'!$A$2:$A$401,$B124))</f>
        <v/>
      </c>
      <c r="I124" s="5">
        <f>IF($L124="","",F124-G124)</f>
        <v/>
      </c>
      <c r="J124" s="5">
        <f>IF($L124="","",I124-H124)</f>
        <v/>
      </c>
      <c r="K124">
        <f>IF($L124="","",IFERROR(INDEX(Settings!$C$27:$C$36,MATCH(C124,Settings!$B$27:$B$36,0)),"Unassigned"))</f>
        <v/>
      </c>
      <c r="L124">
        <f>IF(ROWS($L$2:$L124)&lt;=MAX('Per Line'!$AA$2:$AA$401),MATCH(ROWS($L$2:$L124),'Per Line'!$AA$2:$AA$401,0),"")</f>
        <v/>
      </c>
      <c r="M124">
        <f>IF(K124="Above",COUNTIF($K$2:K124,"Above"),"")</f>
        <v/>
      </c>
      <c r="N124">
        <f>IF(K124="Below",COUNTIF($K$2:K124,"Below"),"")</f>
        <v/>
      </c>
    </row>
    <row r="125">
      <c r="B125">
        <f>IF($L125="","",INDEX('Per Line'!$A$2:$A$401,$L125))</f>
        <v/>
      </c>
      <c r="C125">
        <f>IF($L125="","",INDEX('Per Line'!$B$2:$B$401,$L125))</f>
        <v/>
      </c>
      <c r="D125">
        <f>IF($L125="","",INDEX('Per Line'!$C$2:$C$401,$L125))</f>
        <v/>
      </c>
      <c r="E125">
        <f>IF($L125="","",INDEX('Per Line'!$P$2:$P$401,$L125))</f>
        <v/>
      </c>
      <c r="F125" s="5">
        <f>IF($L125="","",SUMIFS('Per Line'!$R$2:$R$401,'Per Line'!$A$2:$A$401,$B125))</f>
        <v/>
      </c>
      <c r="G125" s="5">
        <f>IF($L125="","",SUMIFS('Per Line'!$S$2:$S$401,'Per Line'!$A$2:$A$401,$B125))</f>
        <v/>
      </c>
      <c r="H125" s="5">
        <f>IF($L125="","",SUMIFS('Per Line'!$T$2:$T$401,'Per Line'!$A$2:$A$401,$B125))</f>
        <v/>
      </c>
      <c r="I125" s="5">
        <f>IF($L125="","",F125-G125)</f>
        <v/>
      </c>
      <c r="J125" s="5">
        <f>IF($L125="","",I125-H125)</f>
        <v/>
      </c>
      <c r="K125">
        <f>IF($L125="","",IFERROR(INDEX(Settings!$C$27:$C$36,MATCH(C125,Settings!$B$27:$B$36,0)),"Unassigned"))</f>
        <v/>
      </c>
      <c r="L125">
        <f>IF(ROWS($L$2:$L125)&lt;=MAX('Per Line'!$AA$2:$AA$401),MATCH(ROWS($L$2:$L125),'Per Line'!$AA$2:$AA$401,0),"")</f>
        <v/>
      </c>
      <c r="M125">
        <f>IF(K125="Above",COUNTIF($K$2:K125,"Above"),"")</f>
        <v/>
      </c>
      <c r="N125">
        <f>IF(K125="Below",COUNTIF($K$2:K125,"Below"),"")</f>
        <v/>
      </c>
    </row>
    <row r="126">
      <c r="B126">
        <f>IF($L126="","",INDEX('Per Line'!$A$2:$A$401,$L126))</f>
        <v/>
      </c>
      <c r="C126">
        <f>IF($L126="","",INDEX('Per Line'!$B$2:$B$401,$L126))</f>
        <v/>
      </c>
      <c r="D126">
        <f>IF($L126="","",INDEX('Per Line'!$C$2:$C$401,$L126))</f>
        <v/>
      </c>
      <c r="E126">
        <f>IF($L126="","",INDEX('Per Line'!$P$2:$P$401,$L126))</f>
        <v/>
      </c>
      <c r="F126" s="5">
        <f>IF($L126="","",SUMIFS('Per Line'!$R$2:$R$401,'Per Line'!$A$2:$A$401,$B126))</f>
        <v/>
      </c>
      <c r="G126" s="5">
        <f>IF($L126="","",SUMIFS('Per Line'!$S$2:$S$401,'Per Line'!$A$2:$A$401,$B126))</f>
        <v/>
      </c>
      <c r="H126" s="5">
        <f>IF($L126="","",SUMIFS('Per Line'!$T$2:$T$401,'Per Line'!$A$2:$A$401,$B126))</f>
        <v/>
      </c>
      <c r="I126" s="5">
        <f>IF($L126="","",F126-G126)</f>
        <v/>
      </c>
      <c r="J126" s="5">
        <f>IF($L126="","",I126-H126)</f>
        <v/>
      </c>
      <c r="K126">
        <f>IF($L126="","",IFERROR(INDEX(Settings!$C$27:$C$36,MATCH(C126,Settings!$B$27:$B$36,0)),"Unassigned"))</f>
        <v/>
      </c>
      <c r="L126">
        <f>IF(ROWS($L$2:$L126)&lt;=MAX('Per Line'!$AA$2:$AA$401),MATCH(ROWS($L$2:$L126),'Per Line'!$AA$2:$AA$401,0),"")</f>
        <v/>
      </c>
      <c r="M126">
        <f>IF(K126="Above",COUNTIF($K$2:K126,"Above"),"")</f>
        <v/>
      </c>
      <c r="N126">
        <f>IF(K126="Below",COUNTIF($K$2:K126,"Below"),"")</f>
        <v/>
      </c>
    </row>
    <row r="127">
      <c r="B127">
        <f>IF($L127="","",INDEX('Per Line'!$A$2:$A$401,$L127))</f>
        <v/>
      </c>
      <c r="C127">
        <f>IF($L127="","",INDEX('Per Line'!$B$2:$B$401,$L127))</f>
        <v/>
      </c>
      <c r="D127">
        <f>IF($L127="","",INDEX('Per Line'!$C$2:$C$401,$L127))</f>
        <v/>
      </c>
      <c r="E127">
        <f>IF($L127="","",INDEX('Per Line'!$P$2:$P$401,$L127))</f>
        <v/>
      </c>
      <c r="F127" s="5">
        <f>IF($L127="","",SUMIFS('Per Line'!$R$2:$R$401,'Per Line'!$A$2:$A$401,$B127))</f>
        <v/>
      </c>
      <c r="G127" s="5">
        <f>IF($L127="","",SUMIFS('Per Line'!$S$2:$S$401,'Per Line'!$A$2:$A$401,$B127))</f>
        <v/>
      </c>
      <c r="H127" s="5">
        <f>IF($L127="","",SUMIFS('Per Line'!$T$2:$T$401,'Per Line'!$A$2:$A$401,$B127))</f>
        <v/>
      </c>
      <c r="I127" s="5">
        <f>IF($L127="","",F127-G127)</f>
        <v/>
      </c>
      <c r="J127" s="5">
        <f>IF($L127="","",I127-H127)</f>
        <v/>
      </c>
      <c r="K127">
        <f>IF($L127="","",IFERROR(INDEX(Settings!$C$27:$C$36,MATCH(C127,Settings!$B$27:$B$36,0)),"Unassigned"))</f>
        <v/>
      </c>
      <c r="L127">
        <f>IF(ROWS($L$2:$L127)&lt;=MAX('Per Line'!$AA$2:$AA$401),MATCH(ROWS($L$2:$L127),'Per Line'!$AA$2:$AA$401,0),"")</f>
        <v/>
      </c>
      <c r="M127">
        <f>IF(K127="Above",COUNTIF($K$2:K127,"Above"),"")</f>
        <v/>
      </c>
      <c r="N127">
        <f>IF(K127="Below",COUNTIF($K$2:K127,"Below"),"")</f>
        <v/>
      </c>
    </row>
    <row r="128">
      <c r="B128">
        <f>IF($L128="","",INDEX('Per Line'!$A$2:$A$401,$L128))</f>
        <v/>
      </c>
      <c r="C128">
        <f>IF($L128="","",INDEX('Per Line'!$B$2:$B$401,$L128))</f>
        <v/>
      </c>
      <c r="D128">
        <f>IF($L128="","",INDEX('Per Line'!$C$2:$C$401,$L128))</f>
        <v/>
      </c>
      <c r="E128">
        <f>IF($L128="","",INDEX('Per Line'!$P$2:$P$401,$L128))</f>
        <v/>
      </c>
      <c r="F128" s="5">
        <f>IF($L128="","",SUMIFS('Per Line'!$R$2:$R$401,'Per Line'!$A$2:$A$401,$B128))</f>
        <v/>
      </c>
      <c r="G128" s="5">
        <f>IF($L128="","",SUMIFS('Per Line'!$S$2:$S$401,'Per Line'!$A$2:$A$401,$B128))</f>
        <v/>
      </c>
      <c r="H128" s="5">
        <f>IF($L128="","",SUMIFS('Per Line'!$T$2:$T$401,'Per Line'!$A$2:$A$401,$B128))</f>
        <v/>
      </c>
      <c r="I128" s="5">
        <f>IF($L128="","",F128-G128)</f>
        <v/>
      </c>
      <c r="J128" s="5">
        <f>IF($L128="","",I128-H128)</f>
        <v/>
      </c>
      <c r="K128">
        <f>IF($L128="","",IFERROR(INDEX(Settings!$C$27:$C$36,MATCH(C128,Settings!$B$27:$B$36,0)),"Unassigned"))</f>
        <v/>
      </c>
      <c r="L128">
        <f>IF(ROWS($L$2:$L128)&lt;=MAX('Per Line'!$AA$2:$AA$401),MATCH(ROWS($L$2:$L128),'Per Line'!$AA$2:$AA$401,0),"")</f>
        <v/>
      </c>
      <c r="M128">
        <f>IF(K128="Above",COUNTIF($K$2:K128,"Above"),"")</f>
        <v/>
      </c>
      <c r="N128">
        <f>IF(K128="Below",COUNTIF($K$2:K128,"Below"),"")</f>
        <v/>
      </c>
    </row>
    <row r="129">
      <c r="B129">
        <f>IF($L129="","",INDEX('Per Line'!$A$2:$A$401,$L129))</f>
        <v/>
      </c>
      <c r="C129">
        <f>IF($L129="","",INDEX('Per Line'!$B$2:$B$401,$L129))</f>
        <v/>
      </c>
      <c r="D129">
        <f>IF($L129="","",INDEX('Per Line'!$C$2:$C$401,$L129))</f>
        <v/>
      </c>
      <c r="E129">
        <f>IF($L129="","",INDEX('Per Line'!$P$2:$P$401,$L129))</f>
        <v/>
      </c>
      <c r="F129" s="5">
        <f>IF($L129="","",SUMIFS('Per Line'!$R$2:$R$401,'Per Line'!$A$2:$A$401,$B129))</f>
        <v/>
      </c>
      <c r="G129" s="5">
        <f>IF($L129="","",SUMIFS('Per Line'!$S$2:$S$401,'Per Line'!$A$2:$A$401,$B129))</f>
        <v/>
      </c>
      <c r="H129" s="5">
        <f>IF($L129="","",SUMIFS('Per Line'!$T$2:$T$401,'Per Line'!$A$2:$A$401,$B129))</f>
        <v/>
      </c>
      <c r="I129" s="5">
        <f>IF($L129="","",F129-G129)</f>
        <v/>
      </c>
      <c r="J129" s="5">
        <f>IF($L129="","",I129-H129)</f>
        <v/>
      </c>
      <c r="K129">
        <f>IF($L129="","",IFERROR(INDEX(Settings!$C$27:$C$36,MATCH(C129,Settings!$B$27:$B$36,0)),"Unassigned"))</f>
        <v/>
      </c>
      <c r="L129">
        <f>IF(ROWS($L$2:$L129)&lt;=MAX('Per Line'!$AA$2:$AA$401),MATCH(ROWS($L$2:$L129),'Per Line'!$AA$2:$AA$401,0),"")</f>
        <v/>
      </c>
      <c r="M129">
        <f>IF(K129="Above",COUNTIF($K$2:K129,"Above"),"")</f>
        <v/>
      </c>
      <c r="N129">
        <f>IF(K129="Below",COUNTIF($K$2:K129,"Below"),"")</f>
        <v/>
      </c>
    </row>
    <row r="130">
      <c r="B130">
        <f>IF($L130="","",INDEX('Per Line'!$A$2:$A$401,$L130))</f>
        <v/>
      </c>
      <c r="C130">
        <f>IF($L130="","",INDEX('Per Line'!$B$2:$B$401,$L130))</f>
        <v/>
      </c>
      <c r="D130">
        <f>IF($L130="","",INDEX('Per Line'!$C$2:$C$401,$L130))</f>
        <v/>
      </c>
      <c r="E130">
        <f>IF($L130="","",INDEX('Per Line'!$P$2:$P$401,$L130))</f>
        <v/>
      </c>
      <c r="F130" s="5">
        <f>IF($L130="","",SUMIFS('Per Line'!$R$2:$R$401,'Per Line'!$A$2:$A$401,$B130))</f>
        <v/>
      </c>
      <c r="G130" s="5">
        <f>IF($L130="","",SUMIFS('Per Line'!$S$2:$S$401,'Per Line'!$A$2:$A$401,$B130))</f>
        <v/>
      </c>
      <c r="H130" s="5">
        <f>IF($L130="","",SUMIFS('Per Line'!$T$2:$T$401,'Per Line'!$A$2:$A$401,$B130))</f>
        <v/>
      </c>
      <c r="I130" s="5">
        <f>IF($L130="","",F130-G130)</f>
        <v/>
      </c>
      <c r="J130" s="5">
        <f>IF($L130="","",I130-H130)</f>
        <v/>
      </c>
      <c r="K130">
        <f>IF($L130="","",IFERROR(INDEX(Settings!$C$27:$C$36,MATCH(C130,Settings!$B$27:$B$36,0)),"Unassigned"))</f>
        <v/>
      </c>
      <c r="L130">
        <f>IF(ROWS($L$2:$L130)&lt;=MAX('Per Line'!$AA$2:$AA$401),MATCH(ROWS($L$2:$L130),'Per Line'!$AA$2:$AA$401,0),"")</f>
        <v/>
      </c>
      <c r="M130">
        <f>IF(K130="Above",COUNTIF($K$2:K130,"Above"),"")</f>
        <v/>
      </c>
      <c r="N130">
        <f>IF(K130="Below",COUNTIF($K$2:K130,"Below"),"")</f>
        <v/>
      </c>
    </row>
    <row r="131">
      <c r="B131">
        <f>IF($L131="","",INDEX('Per Line'!$A$2:$A$401,$L131))</f>
        <v/>
      </c>
      <c r="C131">
        <f>IF($L131="","",INDEX('Per Line'!$B$2:$B$401,$L131))</f>
        <v/>
      </c>
      <c r="D131">
        <f>IF($L131="","",INDEX('Per Line'!$C$2:$C$401,$L131))</f>
        <v/>
      </c>
      <c r="E131">
        <f>IF($L131="","",INDEX('Per Line'!$P$2:$P$401,$L131))</f>
        <v/>
      </c>
      <c r="F131" s="5">
        <f>IF($L131="","",SUMIFS('Per Line'!$R$2:$R$401,'Per Line'!$A$2:$A$401,$B131))</f>
        <v/>
      </c>
      <c r="G131" s="5">
        <f>IF($L131="","",SUMIFS('Per Line'!$S$2:$S$401,'Per Line'!$A$2:$A$401,$B131))</f>
        <v/>
      </c>
      <c r="H131" s="5">
        <f>IF($L131="","",SUMIFS('Per Line'!$T$2:$T$401,'Per Line'!$A$2:$A$401,$B131))</f>
        <v/>
      </c>
      <c r="I131" s="5">
        <f>IF($L131="","",F131-G131)</f>
        <v/>
      </c>
      <c r="J131" s="5">
        <f>IF($L131="","",I131-H131)</f>
        <v/>
      </c>
      <c r="K131">
        <f>IF($L131="","",IFERROR(INDEX(Settings!$C$27:$C$36,MATCH(C131,Settings!$B$27:$B$36,0)),"Unassigned"))</f>
        <v/>
      </c>
      <c r="L131">
        <f>IF(ROWS($L$2:$L131)&lt;=MAX('Per Line'!$AA$2:$AA$401),MATCH(ROWS($L$2:$L131),'Per Line'!$AA$2:$AA$401,0),"")</f>
        <v/>
      </c>
      <c r="M131">
        <f>IF(K131="Above",COUNTIF($K$2:K131,"Above"),"")</f>
        <v/>
      </c>
      <c r="N131">
        <f>IF(K131="Below",COUNTIF($K$2:K131,"Below"),"")</f>
        <v/>
      </c>
    </row>
    <row r="132">
      <c r="B132">
        <f>IF($L132="","",INDEX('Per Line'!$A$2:$A$401,$L132))</f>
        <v/>
      </c>
      <c r="C132">
        <f>IF($L132="","",INDEX('Per Line'!$B$2:$B$401,$L132))</f>
        <v/>
      </c>
      <c r="D132">
        <f>IF($L132="","",INDEX('Per Line'!$C$2:$C$401,$L132))</f>
        <v/>
      </c>
      <c r="E132">
        <f>IF($L132="","",INDEX('Per Line'!$P$2:$P$401,$L132))</f>
        <v/>
      </c>
      <c r="F132" s="5">
        <f>IF($L132="","",SUMIFS('Per Line'!$R$2:$R$401,'Per Line'!$A$2:$A$401,$B132))</f>
        <v/>
      </c>
      <c r="G132" s="5">
        <f>IF($L132="","",SUMIFS('Per Line'!$S$2:$S$401,'Per Line'!$A$2:$A$401,$B132))</f>
        <v/>
      </c>
      <c r="H132" s="5">
        <f>IF($L132="","",SUMIFS('Per Line'!$T$2:$T$401,'Per Line'!$A$2:$A$401,$B132))</f>
        <v/>
      </c>
      <c r="I132" s="5">
        <f>IF($L132="","",F132-G132)</f>
        <v/>
      </c>
      <c r="J132" s="5">
        <f>IF($L132="","",I132-H132)</f>
        <v/>
      </c>
      <c r="K132">
        <f>IF($L132="","",IFERROR(INDEX(Settings!$C$27:$C$36,MATCH(C132,Settings!$B$27:$B$36,0)),"Unassigned"))</f>
        <v/>
      </c>
      <c r="L132">
        <f>IF(ROWS($L$2:$L132)&lt;=MAX('Per Line'!$AA$2:$AA$401),MATCH(ROWS($L$2:$L132),'Per Line'!$AA$2:$AA$401,0),"")</f>
        <v/>
      </c>
      <c r="M132">
        <f>IF(K132="Above",COUNTIF($K$2:K132,"Above"),"")</f>
        <v/>
      </c>
      <c r="N132">
        <f>IF(K132="Below",COUNTIF($K$2:K132,"Below"),"")</f>
        <v/>
      </c>
    </row>
    <row r="133">
      <c r="B133">
        <f>IF($L133="","",INDEX('Per Line'!$A$2:$A$401,$L133))</f>
        <v/>
      </c>
      <c r="C133">
        <f>IF($L133="","",INDEX('Per Line'!$B$2:$B$401,$L133))</f>
        <v/>
      </c>
      <c r="D133">
        <f>IF($L133="","",INDEX('Per Line'!$C$2:$C$401,$L133))</f>
        <v/>
      </c>
      <c r="E133">
        <f>IF($L133="","",INDEX('Per Line'!$P$2:$P$401,$L133))</f>
        <v/>
      </c>
      <c r="F133" s="5">
        <f>IF($L133="","",SUMIFS('Per Line'!$R$2:$R$401,'Per Line'!$A$2:$A$401,$B133))</f>
        <v/>
      </c>
      <c r="G133" s="5">
        <f>IF($L133="","",SUMIFS('Per Line'!$S$2:$S$401,'Per Line'!$A$2:$A$401,$B133))</f>
        <v/>
      </c>
      <c r="H133" s="5">
        <f>IF($L133="","",SUMIFS('Per Line'!$T$2:$T$401,'Per Line'!$A$2:$A$401,$B133))</f>
        <v/>
      </c>
      <c r="I133" s="5">
        <f>IF($L133="","",F133-G133)</f>
        <v/>
      </c>
      <c r="J133" s="5">
        <f>IF($L133="","",I133-H133)</f>
        <v/>
      </c>
      <c r="K133">
        <f>IF($L133="","",IFERROR(INDEX(Settings!$C$27:$C$36,MATCH(C133,Settings!$B$27:$B$36,0)),"Unassigned"))</f>
        <v/>
      </c>
      <c r="L133">
        <f>IF(ROWS($L$2:$L133)&lt;=MAX('Per Line'!$AA$2:$AA$401),MATCH(ROWS($L$2:$L133),'Per Line'!$AA$2:$AA$401,0),"")</f>
        <v/>
      </c>
      <c r="M133">
        <f>IF(K133="Above",COUNTIF($K$2:K133,"Above"),"")</f>
        <v/>
      </c>
      <c r="N133">
        <f>IF(K133="Below",COUNTIF($K$2:K133,"Below"),"")</f>
        <v/>
      </c>
    </row>
    <row r="134">
      <c r="B134">
        <f>IF($L134="","",INDEX('Per Line'!$A$2:$A$401,$L134))</f>
        <v/>
      </c>
      <c r="C134">
        <f>IF($L134="","",INDEX('Per Line'!$B$2:$B$401,$L134))</f>
        <v/>
      </c>
      <c r="D134">
        <f>IF($L134="","",INDEX('Per Line'!$C$2:$C$401,$L134))</f>
        <v/>
      </c>
      <c r="E134">
        <f>IF($L134="","",INDEX('Per Line'!$P$2:$P$401,$L134))</f>
        <v/>
      </c>
      <c r="F134" s="5">
        <f>IF($L134="","",SUMIFS('Per Line'!$R$2:$R$401,'Per Line'!$A$2:$A$401,$B134))</f>
        <v/>
      </c>
      <c r="G134" s="5">
        <f>IF($L134="","",SUMIFS('Per Line'!$S$2:$S$401,'Per Line'!$A$2:$A$401,$B134))</f>
        <v/>
      </c>
      <c r="H134" s="5">
        <f>IF($L134="","",SUMIFS('Per Line'!$T$2:$T$401,'Per Line'!$A$2:$A$401,$B134))</f>
        <v/>
      </c>
      <c r="I134" s="5">
        <f>IF($L134="","",F134-G134)</f>
        <v/>
      </c>
      <c r="J134" s="5">
        <f>IF($L134="","",I134-H134)</f>
        <v/>
      </c>
      <c r="K134">
        <f>IF($L134="","",IFERROR(INDEX(Settings!$C$27:$C$36,MATCH(C134,Settings!$B$27:$B$36,0)),"Unassigned"))</f>
        <v/>
      </c>
      <c r="L134">
        <f>IF(ROWS($L$2:$L134)&lt;=MAX('Per Line'!$AA$2:$AA$401),MATCH(ROWS($L$2:$L134),'Per Line'!$AA$2:$AA$401,0),"")</f>
        <v/>
      </c>
      <c r="M134">
        <f>IF(K134="Above",COUNTIF($K$2:K134,"Above"),"")</f>
        <v/>
      </c>
      <c r="N134">
        <f>IF(K134="Below",COUNTIF($K$2:K134,"Below"),"")</f>
        <v/>
      </c>
    </row>
    <row r="135">
      <c r="B135">
        <f>IF($L135="","",INDEX('Per Line'!$A$2:$A$401,$L135))</f>
        <v/>
      </c>
      <c r="C135">
        <f>IF($L135="","",INDEX('Per Line'!$B$2:$B$401,$L135))</f>
        <v/>
      </c>
      <c r="D135">
        <f>IF($L135="","",INDEX('Per Line'!$C$2:$C$401,$L135))</f>
        <v/>
      </c>
      <c r="E135">
        <f>IF($L135="","",INDEX('Per Line'!$P$2:$P$401,$L135))</f>
        <v/>
      </c>
      <c r="F135" s="5">
        <f>IF($L135="","",SUMIFS('Per Line'!$R$2:$R$401,'Per Line'!$A$2:$A$401,$B135))</f>
        <v/>
      </c>
      <c r="G135" s="5">
        <f>IF($L135="","",SUMIFS('Per Line'!$S$2:$S$401,'Per Line'!$A$2:$A$401,$B135))</f>
        <v/>
      </c>
      <c r="H135" s="5">
        <f>IF($L135="","",SUMIFS('Per Line'!$T$2:$T$401,'Per Line'!$A$2:$A$401,$B135))</f>
        <v/>
      </c>
      <c r="I135" s="5">
        <f>IF($L135="","",F135-G135)</f>
        <v/>
      </c>
      <c r="J135" s="5">
        <f>IF($L135="","",I135-H135)</f>
        <v/>
      </c>
      <c r="K135">
        <f>IF($L135="","",IFERROR(INDEX(Settings!$C$27:$C$36,MATCH(C135,Settings!$B$27:$B$36,0)),"Unassigned"))</f>
        <v/>
      </c>
      <c r="L135">
        <f>IF(ROWS($L$2:$L135)&lt;=MAX('Per Line'!$AA$2:$AA$401),MATCH(ROWS($L$2:$L135),'Per Line'!$AA$2:$AA$401,0),"")</f>
        <v/>
      </c>
      <c r="M135">
        <f>IF(K135="Above",COUNTIF($K$2:K135,"Above"),"")</f>
        <v/>
      </c>
      <c r="N135">
        <f>IF(K135="Below",COUNTIF($K$2:K135,"Below"),"")</f>
        <v/>
      </c>
    </row>
    <row r="136">
      <c r="B136">
        <f>IF($L136="","",INDEX('Per Line'!$A$2:$A$401,$L136))</f>
        <v/>
      </c>
      <c r="C136">
        <f>IF($L136="","",INDEX('Per Line'!$B$2:$B$401,$L136))</f>
        <v/>
      </c>
      <c r="D136">
        <f>IF($L136="","",INDEX('Per Line'!$C$2:$C$401,$L136))</f>
        <v/>
      </c>
      <c r="E136">
        <f>IF($L136="","",INDEX('Per Line'!$P$2:$P$401,$L136))</f>
        <v/>
      </c>
      <c r="F136" s="5">
        <f>IF($L136="","",SUMIFS('Per Line'!$R$2:$R$401,'Per Line'!$A$2:$A$401,$B136))</f>
        <v/>
      </c>
      <c r="G136" s="5">
        <f>IF($L136="","",SUMIFS('Per Line'!$S$2:$S$401,'Per Line'!$A$2:$A$401,$B136))</f>
        <v/>
      </c>
      <c r="H136" s="5">
        <f>IF($L136="","",SUMIFS('Per Line'!$T$2:$T$401,'Per Line'!$A$2:$A$401,$B136))</f>
        <v/>
      </c>
      <c r="I136" s="5">
        <f>IF($L136="","",F136-G136)</f>
        <v/>
      </c>
      <c r="J136" s="5">
        <f>IF($L136="","",I136-H136)</f>
        <v/>
      </c>
      <c r="K136">
        <f>IF($L136="","",IFERROR(INDEX(Settings!$C$27:$C$36,MATCH(C136,Settings!$B$27:$B$36,0)),"Unassigned"))</f>
        <v/>
      </c>
      <c r="L136">
        <f>IF(ROWS($L$2:$L136)&lt;=MAX('Per Line'!$AA$2:$AA$401),MATCH(ROWS($L$2:$L136),'Per Line'!$AA$2:$AA$401,0),"")</f>
        <v/>
      </c>
      <c r="M136">
        <f>IF(K136="Above",COUNTIF($K$2:K136,"Above"),"")</f>
        <v/>
      </c>
      <c r="N136">
        <f>IF(K136="Below",COUNTIF($K$2:K136,"Below"),"")</f>
        <v/>
      </c>
    </row>
    <row r="137">
      <c r="B137">
        <f>IF($L137="","",INDEX('Per Line'!$A$2:$A$401,$L137))</f>
        <v/>
      </c>
      <c r="C137">
        <f>IF($L137="","",INDEX('Per Line'!$B$2:$B$401,$L137))</f>
        <v/>
      </c>
      <c r="D137">
        <f>IF($L137="","",INDEX('Per Line'!$C$2:$C$401,$L137))</f>
        <v/>
      </c>
      <c r="E137">
        <f>IF($L137="","",INDEX('Per Line'!$P$2:$P$401,$L137))</f>
        <v/>
      </c>
      <c r="F137" s="5">
        <f>IF($L137="","",SUMIFS('Per Line'!$R$2:$R$401,'Per Line'!$A$2:$A$401,$B137))</f>
        <v/>
      </c>
      <c r="G137" s="5">
        <f>IF($L137="","",SUMIFS('Per Line'!$S$2:$S$401,'Per Line'!$A$2:$A$401,$B137))</f>
        <v/>
      </c>
      <c r="H137" s="5">
        <f>IF($L137="","",SUMIFS('Per Line'!$T$2:$T$401,'Per Line'!$A$2:$A$401,$B137))</f>
        <v/>
      </c>
      <c r="I137" s="5">
        <f>IF($L137="","",F137-G137)</f>
        <v/>
      </c>
      <c r="J137" s="5">
        <f>IF($L137="","",I137-H137)</f>
        <v/>
      </c>
      <c r="K137">
        <f>IF($L137="","",IFERROR(INDEX(Settings!$C$27:$C$36,MATCH(C137,Settings!$B$27:$B$36,0)),"Unassigned"))</f>
        <v/>
      </c>
      <c r="L137">
        <f>IF(ROWS($L$2:$L137)&lt;=MAX('Per Line'!$AA$2:$AA$401),MATCH(ROWS($L$2:$L137),'Per Line'!$AA$2:$AA$401,0),"")</f>
        <v/>
      </c>
      <c r="M137">
        <f>IF(K137="Above",COUNTIF($K$2:K137,"Above"),"")</f>
        <v/>
      </c>
      <c r="N137">
        <f>IF(K137="Below",COUNTIF($K$2:K137,"Below"),"")</f>
        <v/>
      </c>
    </row>
    <row r="138">
      <c r="B138">
        <f>IF($L138="","",INDEX('Per Line'!$A$2:$A$401,$L138))</f>
        <v/>
      </c>
      <c r="C138">
        <f>IF($L138="","",INDEX('Per Line'!$B$2:$B$401,$L138))</f>
        <v/>
      </c>
      <c r="D138">
        <f>IF($L138="","",INDEX('Per Line'!$C$2:$C$401,$L138))</f>
        <v/>
      </c>
      <c r="E138">
        <f>IF($L138="","",INDEX('Per Line'!$P$2:$P$401,$L138))</f>
        <v/>
      </c>
      <c r="F138" s="5">
        <f>IF($L138="","",SUMIFS('Per Line'!$R$2:$R$401,'Per Line'!$A$2:$A$401,$B138))</f>
        <v/>
      </c>
      <c r="G138" s="5">
        <f>IF($L138="","",SUMIFS('Per Line'!$S$2:$S$401,'Per Line'!$A$2:$A$401,$B138))</f>
        <v/>
      </c>
      <c r="H138" s="5">
        <f>IF($L138="","",SUMIFS('Per Line'!$T$2:$T$401,'Per Line'!$A$2:$A$401,$B138))</f>
        <v/>
      </c>
      <c r="I138" s="5">
        <f>IF($L138="","",F138-G138)</f>
        <v/>
      </c>
      <c r="J138" s="5">
        <f>IF($L138="","",I138-H138)</f>
        <v/>
      </c>
      <c r="K138">
        <f>IF($L138="","",IFERROR(INDEX(Settings!$C$27:$C$36,MATCH(C138,Settings!$B$27:$B$36,0)),"Unassigned"))</f>
        <v/>
      </c>
      <c r="L138">
        <f>IF(ROWS($L$2:$L138)&lt;=MAX('Per Line'!$AA$2:$AA$401),MATCH(ROWS($L$2:$L138),'Per Line'!$AA$2:$AA$401,0),"")</f>
        <v/>
      </c>
      <c r="M138">
        <f>IF(K138="Above",COUNTIF($K$2:K138,"Above"),"")</f>
        <v/>
      </c>
      <c r="N138">
        <f>IF(K138="Below",COUNTIF($K$2:K138,"Below"),"")</f>
        <v/>
      </c>
    </row>
    <row r="139">
      <c r="B139">
        <f>IF($L139="","",INDEX('Per Line'!$A$2:$A$401,$L139))</f>
        <v/>
      </c>
      <c r="C139">
        <f>IF($L139="","",INDEX('Per Line'!$B$2:$B$401,$L139))</f>
        <v/>
      </c>
      <c r="D139">
        <f>IF($L139="","",INDEX('Per Line'!$C$2:$C$401,$L139))</f>
        <v/>
      </c>
      <c r="E139">
        <f>IF($L139="","",INDEX('Per Line'!$P$2:$P$401,$L139))</f>
        <v/>
      </c>
      <c r="F139" s="5">
        <f>IF($L139="","",SUMIFS('Per Line'!$R$2:$R$401,'Per Line'!$A$2:$A$401,$B139))</f>
        <v/>
      </c>
      <c r="G139" s="5">
        <f>IF($L139="","",SUMIFS('Per Line'!$S$2:$S$401,'Per Line'!$A$2:$A$401,$B139))</f>
        <v/>
      </c>
      <c r="H139" s="5">
        <f>IF($L139="","",SUMIFS('Per Line'!$T$2:$T$401,'Per Line'!$A$2:$A$401,$B139))</f>
        <v/>
      </c>
      <c r="I139" s="5">
        <f>IF($L139="","",F139-G139)</f>
        <v/>
      </c>
      <c r="J139" s="5">
        <f>IF($L139="","",I139-H139)</f>
        <v/>
      </c>
      <c r="K139">
        <f>IF($L139="","",IFERROR(INDEX(Settings!$C$27:$C$36,MATCH(C139,Settings!$B$27:$B$36,0)),"Unassigned"))</f>
        <v/>
      </c>
      <c r="L139">
        <f>IF(ROWS($L$2:$L139)&lt;=MAX('Per Line'!$AA$2:$AA$401),MATCH(ROWS($L$2:$L139),'Per Line'!$AA$2:$AA$401,0),"")</f>
        <v/>
      </c>
      <c r="M139">
        <f>IF(K139="Above",COUNTIF($K$2:K139,"Above"),"")</f>
        <v/>
      </c>
      <c r="N139">
        <f>IF(K139="Below",COUNTIF($K$2:K139,"Below"),"")</f>
        <v/>
      </c>
    </row>
    <row r="140">
      <c r="B140">
        <f>IF($L140="","",INDEX('Per Line'!$A$2:$A$401,$L140))</f>
        <v/>
      </c>
      <c r="C140">
        <f>IF($L140="","",INDEX('Per Line'!$B$2:$B$401,$L140))</f>
        <v/>
      </c>
      <c r="D140">
        <f>IF($L140="","",INDEX('Per Line'!$C$2:$C$401,$L140))</f>
        <v/>
      </c>
      <c r="E140">
        <f>IF($L140="","",INDEX('Per Line'!$P$2:$P$401,$L140))</f>
        <v/>
      </c>
      <c r="F140" s="5">
        <f>IF($L140="","",SUMIFS('Per Line'!$R$2:$R$401,'Per Line'!$A$2:$A$401,$B140))</f>
        <v/>
      </c>
      <c r="G140" s="5">
        <f>IF($L140="","",SUMIFS('Per Line'!$S$2:$S$401,'Per Line'!$A$2:$A$401,$B140))</f>
        <v/>
      </c>
      <c r="H140" s="5">
        <f>IF($L140="","",SUMIFS('Per Line'!$T$2:$T$401,'Per Line'!$A$2:$A$401,$B140))</f>
        <v/>
      </c>
      <c r="I140" s="5">
        <f>IF($L140="","",F140-G140)</f>
        <v/>
      </c>
      <c r="J140" s="5">
        <f>IF($L140="","",I140-H140)</f>
        <v/>
      </c>
      <c r="K140">
        <f>IF($L140="","",IFERROR(INDEX(Settings!$C$27:$C$36,MATCH(C140,Settings!$B$27:$B$36,0)),"Unassigned"))</f>
        <v/>
      </c>
      <c r="L140">
        <f>IF(ROWS($L$2:$L140)&lt;=MAX('Per Line'!$AA$2:$AA$401),MATCH(ROWS($L$2:$L140),'Per Line'!$AA$2:$AA$401,0),"")</f>
        <v/>
      </c>
      <c r="M140">
        <f>IF(K140="Above",COUNTIF($K$2:K140,"Above"),"")</f>
        <v/>
      </c>
      <c r="N140">
        <f>IF(K140="Below",COUNTIF($K$2:K140,"Below"),"")</f>
        <v/>
      </c>
    </row>
    <row r="141">
      <c r="B141">
        <f>IF($L141="","",INDEX('Per Line'!$A$2:$A$401,$L141))</f>
        <v/>
      </c>
      <c r="C141">
        <f>IF($L141="","",INDEX('Per Line'!$B$2:$B$401,$L141))</f>
        <v/>
      </c>
      <c r="D141">
        <f>IF($L141="","",INDEX('Per Line'!$C$2:$C$401,$L141))</f>
        <v/>
      </c>
      <c r="E141">
        <f>IF($L141="","",INDEX('Per Line'!$P$2:$P$401,$L141))</f>
        <v/>
      </c>
      <c r="F141" s="5">
        <f>IF($L141="","",SUMIFS('Per Line'!$R$2:$R$401,'Per Line'!$A$2:$A$401,$B141))</f>
        <v/>
      </c>
      <c r="G141" s="5">
        <f>IF($L141="","",SUMIFS('Per Line'!$S$2:$S$401,'Per Line'!$A$2:$A$401,$B141))</f>
        <v/>
      </c>
      <c r="H141" s="5">
        <f>IF($L141="","",SUMIFS('Per Line'!$T$2:$T$401,'Per Line'!$A$2:$A$401,$B141))</f>
        <v/>
      </c>
      <c r="I141" s="5">
        <f>IF($L141="","",F141-G141)</f>
        <v/>
      </c>
      <c r="J141" s="5">
        <f>IF($L141="","",I141-H141)</f>
        <v/>
      </c>
      <c r="K141">
        <f>IF($L141="","",IFERROR(INDEX(Settings!$C$27:$C$36,MATCH(C141,Settings!$B$27:$B$36,0)),"Unassigned"))</f>
        <v/>
      </c>
      <c r="L141">
        <f>IF(ROWS($L$2:$L141)&lt;=MAX('Per Line'!$AA$2:$AA$401),MATCH(ROWS($L$2:$L141),'Per Line'!$AA$2:$AA$401,0),"")</f>
        <v/>
      </c>
      <c r="M141">
        <f>IF(K141="Above",COUNTIF($K$2:K141,"Above"),"")</f>
        <v/>
      </c>
      <c r="N141">
        <f>IF(K141="Below",COUNTIF($K$2:K141,"Below"),"")</f>
        <v/>
      </c>
    </row>
    <row r="142">
      <c r="B142">
        <f>IF($L142="","",INDEX('Per Line'!$A$2:$A$401,$L142))</f>
        <v/>
      </c>
      <c r="C142">
        <f>IF($L142="","",INDEX('Per Line'!$B$2:$B$401,$L142))</f>
        <v/>
      </c>
      <c r="D142">
        <f>IF($L142="","",INDEX('Per Line'!$C$2:$C$401,$L142))</f>
        <v/>
      </c>
      <c r="E142">
        <f>IF($L142="","",INDEX('Per Line'!$P$2:$P$401,$L142))</f>
        <v/>
      </c>
      <c r="F142" s="5">
        <f>IF($L142="","",SUMIFS('Per Line'!$R$2:$R$401,'Per Line'!$A$2:$A$401,$B142))</f>
        <v/>
      </c>
      <c r="G142" s="5">
        <f>IF($L142="","",SUMIFS('Per Line'!$S$2:$S$401,'Per Line'!$A$2:$A$401,$B142))</f>
        <v/>
      </c>
      <c r="H142" s="5">
        <f>IF($L142="","",SUMIFS('Per Line'!$T$2:$T$401,'Per Line'!$A$2:$A$401,$B142))</f>
        <v/>
      </c>
      <c r="I142" s="5">
        <f>IF($L142="","",F142-G142)</f>
        <v/>
      </c>
      <c r="J142" s="5">
        <f>IF($L142="","",I142-H142)</f>
        <v/>
      </c>
      <c r="K142">
        <f>IF($L142="","",IFERROR(INDEX(Settings!$C$27:$C$36,MATCH(C142,Settings!$B$27:$B$36,0)),"Unassigned"))</f>
        <v/>
      </c>
      <c r="L142">
        <f>IF(ROWS($L$2:$L142)&lt;=MAX('Per Line'!$AA$2:$AA$401),MATCH(ROWS($L$2:$L142),'Per Line'!$AA$2:$AA$401,0),"")</f>
        <v/>
      </c>
      <c r="M142">
        <f>IF(K142="Above",COUNTIF($K$2:K142,"Above"),"")</f>
        <v/>
      </c>
      <c r="N142">
        <f>IF(K142="Below",COUNTIF($K$2:K142,"Below"),"")</f>
        <v/>
      </c>
    </row>
    <row r="143">
      <c r="B143">
        <f>IF($L143="","",INDEX('Per Line'!$A$2:$A$401,$L143))</f>
        <v/>
      </c>
      <c r="C143">
        <f>IF($L143="","",INDEX('Per Line'!$B$2:$B$401,$L143))</f>
        <v/>
      </c>
      <c r="D143">
        <f>IF($L143="","",INDEX('Per Line'!$C$2:$C$401,$L143))</f>
        <v/>
      </c>
      <c r="E143">
        <f>IF($L143="","",INDEX('Per Line'!$P$2:$P$401,$L143))</f>
        <v/>
      </c>
      <c r="F143" s="5">
        <f>IF($L143="","",SUMIFS('Per Line'!$R$2:$R$401,'Per Line'!$A$2:$A$401,$B143))</f>
        <v/>
      </c>
      <c r="G143" s="5">
        <f>IF($L143="","",SUMIFS('Per Line'!$S$2:$S$401,'Per Line'!$A$2:$A$401,$B143))</f>
        <v/>
      </c>
      <c r="H143" s="5">
        <f>IF($L143="","",SUMIFS('Per Line'!$T$2:$T$401,'Per Line'!$A$2:$A$401,$B143))</f>
        <v/>
      </c>
      <c r="I143" s="5">
        <f>IF($L143="","",F143-G143)</f>
        <v/>
      </c>
      <c r="J143" s="5">
        <f>IF($L143="","",I143-H143)</f>
        <v/>
      </c>
      <c r="K143">
        <f>IF($L143="","",IFERROR(INDEX(Settings!$C$27:$C$36,MATCH(C143,Settings!$B$27:$B$36,0)),"Unassigned"))</f>
        <v/>
      </c>
      <c r="L143">
        <f>IF(ROWS($L$2:$L143)&lt;=MAX('Per Line'!$AA$2:$AA$401),MATCH(ROWS($L$2:$L143),'Per Line'!$AA$2:$AA$401,0),"")</f>
        <v/>
      </c>
      <c r="M143">
        <f>IF(K143="Above",COUNTIF($K$2:K143,"Above"),"")</f>
        <v/>
      </c>
      <c r="N143">
        <f>IF(K143="Below",COUNTIF($K$2:K143,"Below"),"")</f>
        <v/>
      </c>
    </row>
    <row r="144">
      <c r="B144">
        <f>IF($L144="","",INDEX('Per Line'!$A$2:$A$401,$L144))</f>
        <v/>
      </c>
      <c r="C144">
        <f>IF($L144="","",INDEX('Per Line'!$B$2:$B$401,$L144))</f>
        <v/>
      </c>
      <c r="D144">
        <f>IF($L144="","",INDEX('Per Line'!$C$2:$C$401,$L144))</f>
        <v/>
      </c>
      <c r="E144">
        <f>IF($L144="","",INDEX('Per Line'!$P$2:$P$401,$L144))</f>
        <v/>
      </c>
      <c r="F144" s="5">
        <f>IF($L144="","",SUMIFS('Per Line'!$R$2:$R$401,'Per Line'!$A$2:$A$401,$B144))</f>
        <v/>
      </c>
      <c r="G144" s="5">
        <f>IF($L144="","",SUMIFS('Per Line'!$S$2:$S$401,'Per Line'!$A$2:$A$401,$B144))</f>
        <v/>
      </c>
      <c r="H144" s="5">
        <f>IF($L144="","",SUMIFS('Per Line'!$T$2:$T$401,'Per Line'!$A$2:$A$401,$B144))</f>
        <v/>
      </c>
      <c r="I144" s="5">
        <f>IF($L144="","",F144-G144)</f>
        <v/>
      </c>
      <c r="J144" s="5">
        <f>IF($L144="","",I144-H144)</f>
        <v/>
      </c>
      <c r="K144">
        <f>IF($L144="","",IFERROR(INDEX(Settings!$C$27:$C$36,MATCH(C144,Settings!$B$27:$B$36,0)),"Unassigned"))</f>
        <v/>
      </c>
      <c r="L144">
        <f>IF(ROWS($L$2:$L144)&lt;=MAX('Per Line'!$AA$2:$AA$401),MATCH(ROWS($L$2:$L144),'Per Line'!$AA$2:$AA$401,0),"")</f>
        <v/>
      </c>
      <c r="M144">
        <f>IF(K144="Above",COUNTIF($K$2:K144,"Above"),"")</f>
        <v/>
      </c>
      <c r="N144">
        <f>IF(K144="Below",COUNTIF($K$2:K144,"Below"),"")</f>
        <v/>
      </c>
    </row>
    <row r="145">
      <c r="B145">
        <f>IF($L145="","",INDEX('Per Line'!$A$2:$A$401,$L145))</f>
        <v/>
      </c>
      <c r="C145">
        <f>IF($L145="","",INDEX('Per Line'!$B$2:$B$401,$L145))</f>
        <v/>
      </c>
      <c r="D145">
        <f>IF($L145="","",INDEX('Per Line'!$C$2:$C$401,$L145))</f>
        <v/>
      </c>
      <c r="E145">
        <f>IF($L145="","",INDEX('Per Line'!$P$2:$P$401,$L145))</f>
        <v/>
      </c>
      <c r="F145" s="5">
        <f>IF($L145="","",SUMIFS('Per Line'!$R$2:$R$401,'Per Line'!$A$2:$A$401,$B145))</f>
        <v/>
      </c>
      <c r="G145" s="5">
        <f>IF($L145="","",SUMIFS('Per Line'!$S$2:$S$401,'Per Line'!$A$2:$A$401,$B145))</f>
        <v/>
      </c>
      <c r="H145" s="5">
        <f>IF($L145="","",SUMIFS('Per Line'!$T$2:$T$401,'Per Line'!$A$2:$A$401,$B145))</f>
        <v/>
      </c>
      <c r="I145" s="5">
        <f>IF($L145="","",F145-G145)</f>
        <v/>
      </c>
      <c r="J145" s="5">
        <f>IF($L145="","",I145-H145)</f>
        <v/>
      </c>
      <c r="K145">
        <f>IF($L145="","",IFERROR(INDEX(Settings!$C$27:$C$36,MATCH(C145,Settings!$B$27:$B$36,0)),"Unassigned"))</f>
        <v/>
      </c>
      <c r="L145">
        <f>IF(ROWS($L$2:$L145)&lt;=MAX('Per Line'!$AA$2:$AA$401),MATCH(ROWS($L$2:$L145),'Per Line'!$AA$2:$AA$401,0),"")</f>
        <v/>
      </c>
      <c r="M145">
        <f>IF(K145="Above",COUNTIF($K$2:K145,"Above"),"")</f>
        <v/>
      </c>
      <c r="N145">
        <f>IF(K145="Below",COUNTIF($K$2:K145,"Below"),"")</f>
        <v/>
      </c>
    </row>
    <row r="146">
      <c r="B146">
        <f>IF($L146="","",INDEX('Per Line'!$A$2:$A$401,$L146))</f>
        <v/>
      </c>
      <c r="C146">
        <f>IF($L146="","",INDEX('Per Line'!$B$2:$B$401,$L146))</f>
        <v/>
      </c>
      <c r="D146">
        <f>IF($L146="","",INDEX('Per Line'!$C$2:$C$401,$L146))</f>
        <v/>
      </c>
      <c r="E146">
        <f>IF($L146="","",INDEX('Per Line'!$P$2:$P$401,$L146))</f>
        <v/>
      </c>
      <c r="F146" s="5">
        <f>IF($L146="","",SUMIFS('Per Line'!$R$2:$R$401,'Per Line'!$A$2:$A$401,$B146))</f>
        <v/>
      </c>
      <c r="G146" s="5">
        <f>IF($L146="","",SUMIFS('Per Line'!$S$2:$S$401,'Per Line'!$A$2:$A$401,$B146))</f>
        <v/>
      </c>
      <c r="H146" s="5">
        <f>IF($L146="","",SUMIFS('Per Line'!$T$2:$T$401,'Per Line'!$A$2:$A$401,$B146))</f>
        <v/>
      </c>
      <c r="I146" s="5">
        <f>IF($L146="","",F146-G146)</f>
        <v/>
      </c>
      <c r="J146" s="5">
        <f>IF($L146="","",I146-H146)</f>
        <v/>
      </c>
      <c r="K146">
        <f>IF($L146="","",IFERROR(INDEX(Settings!$C$27:$C$36,MATCH(C146,Settings!$B$27:$B$36,0)),"Unassigned"))</f>
        <v/>
      </c>
      <c r="L146">
        <f>IF(ROWS($L$2:$L146)&lt;=MAX('Per Line'!$AA$2:$AA$401),MATCH(ROWS($L$2:$L146),'Per Line'!$AA$2:$AA$401,0),"")</f>
        <v/>
      </c>
      <c r="M146">
        <f>IF(K146="Above",COUNTIF($K$2:K146,"Above"),"")</f>
        <v/>
      </c>
      <c r="N146">
        <f>IF(K146="Below",COUNTIF($K$2:K146,"Below"),"")</f>
        <v/>
      </c>
    </row>
    <row r="147">
      <c r="B147">
        <f>IF($L147="","",INDEX('Per Line'!$A$2:$A$401,$L147))</f>
        <v/>
      </c>
      <c r="C147">
        <f>IF($L147="","",INDEX('Per Line'!$B$2:$B$401,$L147))</f>
        <v/>
      </c>
      <c r="D147">
        <f>IF($L147="","",INDEX('Per Line'!$C$2:$C$401,$L147))</f>
        <v/>
      </c>
      <c r="E147">
        <f>IF($L147="","",INDEX('Per Line'!$P$2:$P$401,$L147))</f>
        <v/>
      </c>
      <c r="F147" s="5">
        <f>IF($L147="","",SUMIFS('Per Line'!$R$2:$R$401,'Per Line'!$A$2:$A$401,$B147))</f>
        <v/>
      </c>
      <c r="G147" s="5">
        <f>IF($L147="","",SUMIFS('Per Line'!$S$2:$S$401,'Per Line'!$A$2:$A$401,$B147))</f>
        <v/>
      </c>
      <c r="H147" s="5">
        <f>IF($L147="","",SUMIFS('Per Line'!$T$2:$T$401,'Per Line'!$A$2:$A$401,$B147))</f>
        <v/>
      </c>
      <c r="I147" s="5">
        <f>IF($L147="","",F147-G147)</f>
        <v/>
      </c>
      <c r="J147" s="5">
        <f>IF($L147="","",I147-H147)</f>
        <v/>
      </c>
      <c r="K147">
        <f>IF($L147="","",IFERROR(INDEX(Settings!$C$27:$C$36,MATCH(C147,Settings!$B$27:$B$36,0)),"Unassigned"))</f>
        <v/>
      </c>
      <c r="L147">
        <f>IF(ROWS($L$2:$L147)&lt;=MAX('Per Line'!$AA$2:$AA$401),MATCH(ROWS($L$2:$L147),'Per Line'!$AA$2:$AA$401,0),"")</f>
        <v/>
      </c>
      <c r="M147">
        <f>IF(K147="Above",COUNTIF($K$2:K147,"Above"),"")</f>
        <v/>
      </c>
      <c r="N147">
        <f>IF(K147="Below",COUNTIF($K$2:K147,"Below"),"")</f>
        <v/>
      </c>
    </row>
    <row r="148">
      <c r="B148">
        <f>IF($L148="","",INDEX('Per Line'!$A$2:$A$401,$L148))</f>
        <v/>
      </c>
      <c r="C148">
        <f>IF($L148="","",INDEX('Per Line'!$B$2:$B$401,$L148))</f>
        <v/>
      </c>
      <c r="D148">
        <f>IF($L148="","",INDEX('Per Line'!$C$2:$C$401,$L148))</f>
        <v/>
      </c>
      <c r="E148">
        <f>IF($L148="","",INDEX('Per Line'!$P$2:$P$401,$L148))</f>
        <v/>
      </c>
      <c r="F148" s="5">
        <f>IF($L148="","",SUMIFS('Per Line'!$R$2:$R$401,'Per Line'!$A$2:$A$401,$B148))</f>
        <v/>
      </c>
      <c r="G148" s="5">
        <f>IF($L148="","",SUMIFS('Per Line'!$S$2:$S$401,'Per Line'!$A$2:$A$401,$B148))</f>
        <v/>
      </c>
      <c r="H148" s="5">
        <f>IF($L148="","",SUMIFS('Per Line'!$T$2:$T$401,'Per Line'!$A$2:$A$401,$B148))</f>
        <v/>
      </c>
      <c r="I148" s="5">
        <f>IF($L148="","",F148-G148)</f>
        <v/>
      </c>
      <c r="J148" s="5">
        <f>IF($L148="","",I148-H148)</f>
        <v/>
      </c>
      <c r="K148">
        <f>IF($L148="","",IFERROR(INDEX(Settings!$C$27:$C$36,MATCH(C148,Settings!$B$27:$B$36,0)),"Unassigned"))</f>
        <v/>
      </c>
      <c r="L148">
        <f>IF(ROWS($L$2:$L148)&lt;=MAX('Per Line'!$AA$2:$AA$401),MATCH(ROWS($L$2:$L148),'Per Line'!$AA$2:$AA$401,0),"")</f>
        <v/>
      </c>
      <c r="M148">
        <f>IF(K148="Above",COUNTIF($K$2:K148,"Above"),"")</f>
        <v/>
      </c>
      <c r="N148">
        <f>IF(K148="Below",COUNTIF($K$2:K148,"Below"),"")</f>
        <v/>
      </c>
    </row>
    <row r="149">
      <c r="B149">
        <f>IF($L149="","",INDEX('Per Line'!$A$2:$A$401,$L149))</f>
        <v/>
      </c>
      <c r="C149">
        <f>IF($L149="","",INDEX('Per Line'!$B$2:$B$401,$L149))</f>
        <v/>
      </c>
      <c r="D149">
        <f>IF($L149="","",INDEX('Per Line'!$C$2:$C$401,$L149))</f>
        <v/>
      </c>
      <c r="E149">
        <f>IF($L149="","",INDEX('Per Line'!$P$2:$P$401,$L149))</f>
        <v/>
      </c>
      <c r="F149" s="5">
        <f>IF($L149="","",SUMIFS('Per Line'!$R$2:$R$401,'Per Line'!$A$2:$A$401,$B149))</f>
        <v/>
      </c>
      <c r="G149" s="5">
        <f>IF($L149="","",SUMIFS('Per Line'!$S$2:$S$401,'Per Line'!$A$2:$A$401,$B149))</f>
        <v/>
      </c>
      <c r="H149" s="5">
        <f>IF($L149="","",SUMIFS('Per Line'!$T$2:$T$401,'Per Line'!$A$2:$A$401,$B149))</f>
        <v/>
      </c>
      <c r="I149" s="5">
        <f>IF($L149="","",F149-G149)</f>
        <v/>
      </c>
      <c r="J149" s="5">
        <f>IF($L149="","",I149-H149)</f>
        <v/>
      </c>
      <c r="K149">
        <f>IF($L149="","",IFERROR(INDEX(Settings!$C$27:$C$36,MATCH(C149,Settings!$B$27:$B$36,0)),"Unassigned"))</f>
        <v/>
      </c>
      <c r="L149">
        <f>IF(ROWS($L$2:$L149)&lt;=MAX('Per Line'!$AA$2:$AA$401),MATCH(ROWS($L$2:$L149),'Per Line'!$AA$2:$AA$401,0),"")</f>
        <v/>
      </c>
      <c r="M149">
        <f>IF(K149="Above",COUNTIF($K$2:K149,"Above"),"")</f>
        <v/>
      </c>
      <c r="N149">
        <f>IF(K149="Below",COUNTIF($K$2:K149,"Below"),"")</f>
        <v/>
      </c>
    </row>
    <row r="150">
      <c r="B150">
        <f>IF($L150="","",INDEX('Per Line'!$A$2:$A$401,$L150))</f>
        <v/>
      </c>
      <c r="C150">
        <f>IF($L150="","",INDEX('Per Line'!$B$2:$B$401,$L150))</f>
        <v/>
      </c>
      <c r="D150">
        <f>IF($L150="","",INDEX('Per Line'!$C$2:$C$401,$L150))</f>
        <v/>
      </c>
      <c r="E150">
        <f>IF($L150="","",INDEX('Per Line'!$P$2:$P$401,$L150))</f>
        <v/>
      </c>
      <c r="F150" s="5">
        <f>IF($L150="","",SUMIFS('Per Line'!$R$2:$R$401,'Per Line'!$A$2:$A$401,$B150))</f>
        <v/>
      </c>
      <c r="G150" s="5">
        <f>IF($L150="","",SUMIFS('Per Line'!$S$2:$S$401,'Per Line'!$A$2:$A$401,$B150))</f>
        <v/>
      </c>
      <c r="H150" s="5">
        <f>IF($L150="","",SUMIFS('Per Line'!$T$2:$T$401,'Per Line'!$A$2:$A$401,$B150))</f>
        <v/>
      </c>
      <c r="I150" s="5">
        <f>IF($L150="","",F150-G150)</f>
        <v/>
      </c>
      <c r="J150" s="5">
        <f>IF($L150="","",I150-H150)</f>
        <v/>
      </c>
      <c r="K150">
        <f>IF($L150="","",IFERROR(INDEX(Settings!$C$27:$C$36,MATCH(C150,Settings!$B$27:$B$36,0)),"Unassigned"))</f>
        <v/>
      </c>
      <c r="L150">
        <f>IF(ROWS($L$2:$L150)&lt;=MAX('Per Line'!$AA$2:$AA$401),MATCH(ROWS($L$2:$L150),'Per Line'!$AA$2:$AA$401,0),"")</f>
        <v/>
      </c>
      <c r="M150">
        <f>IF(K150="Above",COUNTIF($K$2:K150,"Above"),"")</f>
        <v/>
      </c>
      <c r="N150">
        <f>IF(K150="Below",COUNTIF($K$2:K150,"Below"),"")</f>
        <v/>
      </c>
    </row>
    <row r="151">
      <c r="B151">
        <f>IF($L151="","",INDEX('Per Line'!$A$2:$A$401,$L151))</f>
        <v/>
      </c>
      <c r="C151">
        <f>IF($L151="","",INDEX('Per Line'!$B$2:$B$401,$L151))</f>
        <v/>
      </c>
      <c r="D151">
        <f>IF($L151="","",INDEX('Per Line'!$C$2:$C$401,$L151))</f>
        <v/>
      </c>
      <c r="E151">
        <f>IF($L151="","",INDEX('Per Line'!$P$2:$P$401,$L151))</f>
        <v/>
      </c>
      <c r="F151" s="5">
        <f>IF($L151="","",SUMIFS('Per Line'!$R$2:$R$401,'Per Line'!$A$2:$A$401,$B151))</f>
        <v/>
      </c>
      <c r="G151" s="5">
        <f>IF($L151="","",SUMIFS('Per Line'!$S$2:$S$401,'Per Line'!$A$2:$A$401,$B151))</f>
        <v/>
      </c>
      <c r="H151" s="5">
        <f>IF($L151="","",SUMIFS('Per Line'!$T$2:$T$401,'Per Line'!$A$2:$A$401,$B151))</f>
        <v/>
      </c>
      <c r="I151" s="5">
        <f>IF($L151="","",F151-G151)</f>
        <v/>
      </c>
      <c r="J151" s="5">
        <f>IF($L151="","",I151-H151)</f>
        <v/>
      </c>
      <c r="K151">
        <f>IF($L151="","",IFERROR(INDEX(Settings!$C$27:$C$36,MATCH(C151,Settings!$B$27:$B$36,0)),"Unassigned"))</f>
        <v/>
      </c>
      <c r="L151">
        <f>IF(ROWS($L$2:$L151)&lt;=MAX('Per Line'!$AA$2:$AA$401),MATCH(ROWS($L$2:$L151),'Per Line'!$AA$2:$AA$401,0),"")</f>
        <v/>
      </c>
      <c r="M151">
        <f>IF(K151="Above",COUNTIF($K$2:K151,"Above"),"")</f>
        <v/>
      </c>
      <c r="N151">
        <f>IF(K151="Below",COUNTIF($K$2:K151,"Below"),"")</f>
        <v/>
      </c>
    </row>
  </sheetData>
  <autoFilter ref="A1:N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D18E"/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6" customWidth="1" min="12" max="12"/>
  </cols>
  <sheetData>
    <row r="1" ht="32" customHeight="1">
      <c r="A1" s="7" t="inlineStr">
        <is>
          <t>Invoice</t>
        </is>
      </c>
      <c r="B1" s="7" t="inlineStr">
        <is>
          <t>So</t>
        </is>
      </c>
      <c r="C1" s="7" t="inlineStr">
        <is>
          <t>Lot</t>
        </is>
      </c>
      <c r="D1" s="7" t="inlineStr">
        <is>
          <t>SSNBR</t>
        </is>
      </c>
      <c r="E1" s="7" t="inlineStr">
        <is>
          <t>Svc Date</t>
        </is>
      </c>
      <c r="F1" s="7" t="inlineStr">
        <is>
          <t>Sum of Total Approved</t>
        </is>
      </c>
      <c r="G1" s="7" t="inlineStr">
        <is>
          <t>Sum of dis</t>
        </is>
      </c>
      <c r="H1" s="7" t="inlineStr">
        <is>
          <t>Sum of Paid Amount</t>
        </is>
      </c>
      <c r="I1" s="7" t="inlineStr">
        <is>
          <t>Sum of Subtotal</t>
        </is>
      </c>
      <c r="J1" s="7" t="inlineStr">
        <is>
          <t>Sum of Net Amt</t>
        </is>
      </c>
      <c r="K1" s="7" t="inlineStr">
        <is>
          <t>Seg</t>
        </is>
      </c>
      <c r="L1" s="10" t="inlineStr">
        <is>
          <t>Per Invoice Row (helper)</t>
        </is>
      </c>
    </row>
    <row r="2">
      <c r="A2">
        <f>IF($L2="","",IF(INDEX('Per Invoice'!$A$2:$A$151,$L2)="","",INDEX('Per Invoice'!$A$2:$A$151,$L2)))</f>
        <v/>
      </c>
      <c r="B2">
        <f>IF($L2="","",IF(INDEX('Per Invoice'!$B$2:$B$151,$L2)="","",INDEX('Per Invoice'!$B$2:$B$151,$L2)))</f>
        <v/>
      </c>
      <c r="C2">
        <f>IF($L2="","",IF(INDEX('Per Invoice'!$C$2:$C$151,$L2)="","",INDEX('Per Invoice'!$C$2:$C$151,$L2)))</f>
        <v/>
      </c>
      <c r="D2">
        <f>IF($L2="","",IF(INDEX('Per Invoice'!$D$2:$D$151,$L2)="","",INDEX('Per Invoice'!$D$2:$D$151,$L2)))</f>
        <v/>
      </c>
      <c r="E2">
        <f>IF($L2="","",IF(INDEX('Per Invoice'!$E$2:$E$151,$L2)="","",INDEX('Per Invoice'!$E$2:$E$151,$L2)))</f>
        <v/>
      </c>
      <c r="F2" s="5">
        <f>IF($L2="","",IF(INDEX('Per Invoice'!$F$2:$F$151,$L2)="","",INDEX('Per Invoice'!$F$2:$F$151,$L2)))</f>
        <v/>
      </c>
      <c r="G2" s="5">
        <f>IF($L2="","",IF(INDEX('Per Invoice'!$G$2:$G$151,$L2)="","",INDEX('Per Invoice'!$G$2:$G$151,$L2)))</f>
        <v/>
      </c>
      <c r="H2" s="5">
        <f>IF($L2="","",IF(INDEX('Per Invoice'!$H$2:$H$151,$L2)="","",INDEX('Per Invoice'!$H$2:$H$151,$L2)))</f>
        <v/>
      </c>
      <c r="I2" s="5">
        <f>IF($L2="","",IF(INDEX('Per Invoice'!$I$2:$I$151,$L2)="","",INDEX('Per Invoice'!$I$2:$I$151,$L2)))</f>
        <v/>
      </c>
      <c r="J2" s="5">
        <f>IF($L2="","",IF(INDEX('Per Invoice'!$J$2:$J$151,$L2)="","",INDEX('Per Invoice'!$J$2:$J$151,$L2)))</f>
        <v/>
      </c>
      <c r="K2">
        <f>IF($L2="","",IF(INDEX('Per Invoice'!$K$2:$K$151,$L2)="","",INDEX('Per Invoice'!$K$2:$K$151,$L2)))</f>
        <v/>
      </c>
      <c r="L2">
        <f>IF(ROWS($L$2:$L2)&lt;=COUNT('Per Invoice'!$M$2:$M$151),MATCH(ROWS($L$2:$L2),'Per Invoice'!$M$2:$M$151,0),"")</f>
        <v/>
      </c>
    </row>
    <row r="3">
      <c r="A3">
        <f>IF($L3="","",IF(INDEX('Per Invoice'!$A$2:$A$151,$L3)="","",INDEX('Per Invoice'!$A$2:$A$151,$L3)))</f>
        <v/>
      </c>
      <c r="B3">
        <f>IF($L3="","",IF(INDEX('Per Invoice'!$B$2:$B$151,$L3)="","",INDEX('Per Invoice'!$B$2:$B$151,$L3)))</f>
        <v/>
      </c>
      <c r="C3">
        <f>IF($L3="","",IF(INDEX('Per Invoice'!$C$2:$C$151,$L3)="","",INDEX('Per Invoice'!$C$2:$C$151,$L3)))</f>
        <v/>
      </c>
      <c r="D3">
        <f>IF($L3="","",IF(INDEX('Per Invoice'!$D$2:$D$151,$L3)="","",INDEX('Per Invoice'!$D$2:$D$151,$L3)))</f>
        <v/>
      </c>
      <c r="E3">
        <f>IF($L3="","",IF(INDEX('Per Invoice'!$E$2:$E$151,$L3)="","",INDEX('Per Invoice'!$E$2:$E$151,$L3)))</f>
        <v/>
      </c>
      <c r="F3" s="5">
        <f>IF($L3="","",IF(INDEX('Per Invoice'!$F$2:$F$151,$L3)="","",INDEX('Per Invoice'!$F$2:$F$151,$L3)))</f>
        <v/>
      </c>
      <c r="G3" s="5">
        <f>IF($L3="","",IF(INDEX('Per Invoice'!$G$2:$G$151,$L3)="","",INDEX('Per Invoice'!$G$2:$G$151,$L3)))</f>
        <v/>
      </c>
      <c r="H3" s="5">
        <f>IF($L3="","",IF(INDEX('Per Invoice'!$H$2:$H$151,$L3)="","",INDEX('Per Invoice'!$H$2:$H$151,$L3)))</f>
        <v/>
      </c>
      <c r="I3" s="5">
        <f>IF($L3="","",IF(INDEX('Per Invoice'!$I$2:$I$151,$L3)="","",INDEX('Per Invoice'!$I$2:$I$151,$L3)))</f>
        <v/>
      </c>
      <c r="J3" s="5">
        <f>IF($L3="","",IF(INDEX('Per Invoice'!$J$2:$J$151,$L3)="","",INDEX('Per Invoice'!$J$2:$J$151,$L3)))</f>
        <v/>
      </c>
      <c r="K3">
        <f>IF($L3="","",IF(INDEX('Per Invoice'!$K$2:$K$151,$L3)="","",INDEX('Per Invoice'!$K$2:$K$151,$L3)))</f>
        <v/>
      </c>
      <c r="L3">
        <f>IF(ROWS($L$2:$L3)&lt;=COUNT('Per Invoice'!$M$2:$M$151),MATCH(ROWS($L$2:$L3),'Per Invoice'!$M$2:$M$151,0),"")</f>
        <v/>
      </c>
    </row>
    <row r="4">
      <c r="A4">
        <f>IF($L4="","",IF(INDEX('Per Invoice'!$A$2:$A$151,$L4)="","",INDEX('Per Invoice'!$A$2:$A$151,$L4)))</f>
        <v/>
      </c>
      <c r="B4">
        <f>IF($L4="","",IF(INDEX('Per Invoice'!$B$2:$B$151,$L4)="","",INDEX('Per Invoice'!$B$2:$B$151,$L4)))</f>
        <v/>
      </c>
      <c r="C4">
        <f>IF($L4="","",IF(INDEX('Per Invoice'!$C$2:$C$151,$L4)="","",INDEX('Per Invoice'!$C$2:$C$151,$L4)))</f>
        <v/>
      </c>
      <c r="D4">
        <f>IF($L4="","",IF(INDEX('Per Invoice'!$D$2:$D$151,$L4)="","",INDEX('Per Invoice'!$D$2:$D$151,$L4)))</f>
        <v/>
      </c>
      <c r="E4">
        <f>IF($L4="","",IF(INDEX('Per Invoice'!$E$2:$E$151,$L4)="","",INDEX('Per Invoice'!$E$2:$E$151,$L4)))</f>
        <v/>
      </c>
      <c r="F4" s="5">
        <f>IF($L4="","",IF(INDEX('Per Invoice'!$F$2:$F$151,$L4)="","",INDEX('Per Invoice'!$F$2:$F$151,$L4)))</f>
        <v/>
      </c>
      <c r="G4" s="5">
        <f>IF($L4="","",IF(INDEX('Per Invoice'!$G$2:$G$151,$L4)="","",INDEX('Per Invoice'!$G$2:$G$151,$L4)))</f>
        <v/>
      </c>
      <c r="H4" s="5">
        <f>IF($L4="","",IF(INDEX('Per Invoice'!$H$2:$H$151,$L4)="","",INDEX('Per Invoice'!$H$2:$H$151,$L4)))</f>
        <v/>
      </c>
      <c r="I4" s="5">
        <f>IF($L4="","",IF(INDEX('Per Invoice'!$I$2:$I$151,$L4)="","",INDEX('Per Invoice'!$I$2:$I$151,$L4)))</f>
        <v/>
      </c>
      <c r="J4" s="5">
        <f>IF($L4="","",IF(INDEX('Per Invoice'!$J$2:$J$151,$L4)="","",INDEX('Per Invoice'!$J$2:$J$151,$L4)))</f>
        <v/>
      </c>
      <c r="K4">
        <f>IF($L4="","",IF(INDEX('Per Invoice'!$K$2:$K$151,$L4)="","",INDEX('Per Invoice'!$K$2:$K$151,$L4)))</f>
        <v/>
      </c>
      <c r="L4">
        <f>IF(ROWS($L$2:$L4)&lt;=COUNT('Per Invoice'!$M$2:$M$151),MATCH(ROWS($L$2:$L4),'Per Invoice'!$M$2:$M$151,0),"")</f>
        <v/>
      </c>
    </row>
    <row r="5">
      <c r="A5">
        <f>IF($L5="","",IF(INDEX('Per Invoice'!$A$2:$A$151,$L5)="","",INDEX('Per Invoice'!$A$2:$A$151,$L5)))</f>
        <v/>
      </c>
      <c r="B5">
        <f>IF($L5="","",IF(INDEX('Per Invoice'!$B$2:$B$151,$L5)="","",INDEX('Per Invoice'!$B$2:$B$151,$L5)))</f>
        <v/>
      </c>
      <c r="C5">
        <f>IF($L5="","",IF(INDEX('Per Invoice'!$C$2:$C$151,$L5)="","",INDEX('Per Invoice'!$C$2:$C$151,$L5)))</f>
        <v/>
      </c>
      <c r="D5">
        <f>IF($L5="","",IF(INDEX('Per Invoice'!$D$2:$D$151,$L5)="","",INDEX('Per Invoice'!$D$2:$D$151,$L5)))</f>
        <v/>
      </c>
      <c r="E5">
        <f>IF($L5="","",IF(INDEX('Per Invoice'!$E$2:$E$151,$L5)="","",INDEX('Per Invoice'!$E$2:$E$151,$L5)))</f>
        <v/>
      </c>
      <c r="F5" s="5">
        <f>IF($L5="","",IF(INDEX('Per Invoice'!$F$2:$F$151,$L5)="","",INDEX('Per Invoice'!$F$2:$F$151,$L5)))</f>
        <v/>
      </c>
      <c r="G5" s="5">
        <f>IF($L5="","",IF(INDEX('Per Invoice'!$G$2:$G$151,$L5)="","",INDEX('Per Invoice'!$G$2:$G$151,$L5)))</f>
        <v/>
      </c>
      <c r="H5" s="5">
        <f>IF($L5="","",IF(INDEX('Per Invoice'!$H$2:$H$151,$L5)="","",INDEX('Per Invoice'!$H$2:$H$151,$L5)))</f>
        <v/>
      </c>
      <c r="I5" s="5">
        <f>IF($L5="","",IF(INDEX('Per Invoice'!$I$2:$I$151,$L5)="","",INDEX('Per Invoice'!$I$2:$I$151,$L5)))</f>
        <v/>
      </c>
      <c r="J5" s="5">
        <f>IF($L5="","",IF(INDEX('Per Invoice'!$J$2:$J$151,$L5)="","",INDEX('Per Invoice'!$J$2:$J$151,$L5)))</f>
        <v/>
      </c>
      <c r="K5">
        <f>IF($L5="","",IF(INDEX('Per Invoice'!$K$2:$K$151,$L5)="","",INDEX('Per Invoice'!$K$2:$K$151,$L5)))</f>
        <v/>
      </c>
      <c r="L5">
        <f>IF(ROWS($L$2:$L5)&lt;=COUNT('Per Invoice'!$M$2:$M$151),MATCH(ROWS($L$2:$L5),'Per Invoice'!$M$2:$M$151,0),"")</f>
        <v/>
      </c>
    </row>
    <row r="6">
      <c r="A6">
        <f>IF($L6="","",IF(INDEX('Per Invoice'!$A$2:$A$151,$L6)="","",INDEX('Per Invoice'!$A$2:$A$151,$L6)))</f>
        <v/>
      </c>
      <c r="B6">
        <f>IF($L6="","",IF(INDEX('Per Invoice'!$B$2:$B$151,$L6)="","",INDEX('Per Invoice'!$B$2:$B$151,$L6)))</f>
        <v/>
      </c>
      <c r="C6">
        <f>IF($L6="","",IF(INDEX('Per Invoice'!$C$2:$C$151,$L6)="","",INDEX('Per Invoice'!$C$2:$C$151,$L6)))</f>
        <v/>
      </c>
      <c r="D6">
        <f>IF($L6="","",IF(INDEX('Per Invoice'!$D$2:$D$151,$L6)="","",INDEX('Per Invoice'!$D$2:$D$151,$L6)))</f>
        <v/>
      </c>
      <c r="E6">
        <f>IF($L6="","",IF(INDEX('Per Invoice'!$E$2:$E$151,$L6)="","",INDEX('Per Invoice'!$E$2:$E$151,$L6)))</f>
        <v/>
      </c>
      <c r="F6" s="5">
        <f>IF($L6="","",IF(INDEX('Per Invoice'!$F$2:$F$151,$L6)="","",INDEX('Per Invoice'!$F$2:$F$151,$L6)))</f>
        <v/>
      </c>
      <c r="G6" s="5">
        <f>IF($L6="","",IF(INDEX('Per Invoice'!$G$2:$G$151,$L6)="","",INDEX('Per Invoice'!$G$2:$G$151,$L6)))</f>
        <v/>
      </c>
      <c r="H6" s="5">
        <f>IF($L6="","",IF(INDEX('Per Invoice'!$H$2:$H$151,$L6)="","",INDEX('Per Invoice'!$H$2:$H$151,$L6)))</f>
        <v/>
      </c>
      <c r="I6" s="5">
        <f>IF($L6="","",IF(INDEX('Per Invoice'!$I$2:$I$151,$L6)="","",INDEX('Per Invoice'!$I$2:$I$151,$L6)))</f>
        <v/>
      </c>
      <c r="J6" s="5">
        <f>IF($L6="","",IF(INDEX('Per Invoice'!$J$2:$J$151,$L6)="","",INDEX('Per Invoice'!$J$2:$J$151,$L6)))</f>
        <v/>
      </c>
      <c r="K6">
        <f>IF($L6="","",IF(INDEX('Per Invoice'!$K$2:$K$151,$L6)="","",INDEX('Per Invoice'!$K$2:$K$151,$L6)))</f>
        <v/>
      </c>
      <c r="L6">
        <f>IF(ROWS($L$2:$L6)&lt;=COUNT('Per Invoice'!$M$2:$M$151),MATCH(ROWS($L$2:$L6),'Per Invoice'!$M$2:$M$151,0),"")</f>
        <v/>
      </c>
    </row>
    <row r="7">
      <c r="A7">
        <f>IF($L7="","",IF(INDEX('Per Invoice'!$A$2:$A$151,$L7)="","",INDEX('Per Invoice'!$A$2:$A$151,$L7)))</f>
        <v/>
      </c>
      <c r="B7">
        <f>IF($L7="","",IF(INDEX('Per Invoice'!$B$2:$B$151,$L7)="","",INDEX('Per Invoice'!$B$2:$B$151,$L7)))</f>
        <v/>
      </c>
      <c r="C7">
        <f>IF($L7="","",IF(INDEX('Per Invoice'!$C$2:$C$151,$L7)="","",INDEX('Per Invoice'!$C$2:$C$151,$L7)))</f>
        <v/>
      </c>
      <c r="D7">
        <f>IF($L7="","",IF(INDEX('Per Invoice'!$D$2:$D$151,$L7)="","",INDEX('Per Invoice'!$D$2:$D$151,$L7)))</f>
        <v/>
      </c>
      <c r="E7">
        <f>IF($L7="","",IF(INDEX('Per Invoice'!$E$2:$E$151,$L7)="","",INDEX('Per Invoice'!$E$2:$E$151,$L7)))</f>
        <v/>
      </c>
      <c r="F7" s="5">
        <f>IF($L7="","",IF(INDEX('Per Invoice'!$F$2:$F$151,$L7)="","",INDEX('Per Invoice'!$F$2:$F$151,$L7)))</f>
        <v/>
      </c>
      <c r="G7" s="5">
        <f>IF($L7="","",IF(INDEX('Per Invoice'!$G$2:$G$151,$L7)="","",INDEX('Per Invoice'!$G$2:$G$151,$L7)))</f>
        <v/>
      </c>
      <c r="H7" s="5">
        <f>IF($L7="","",IF(INDEX('Per Invoice'!$H$2:$H$151,$L7)="","",INDEX('Per Invoice'!$H$2:$H$151,$L7)))</f>
        <v/>
      </c>
      <c r="I7" s="5">
        <f>IF($L7="","",IF(INDEX('Per Invoice'!$I$2:$I$151,$L7)="","",INDEX('Per Invoice'!$I$2:$I$151,$L7)))</f>
        <v/>
      </c>
      <c r="J7" s="5">
        <f>IF($L7="","",IF(INDEX('Per Invoice'!$J$2:$J$151,$L7)="","",INDEX('Per Invoice'!$J$2:$J$151,$L7)))</f>
        <v/>
      </c>
      <c r="K7">
        <f>IF($L7="","",IF(INDEX('Per Invoice'!$K$2:$K$151,$L7)="","",INDEX('Per Invoice'!$K$2:$K$151,$L7)))</f>
        <v/>
      </c>
      <c r="L7">
        <f>IF(ROWS($L$2:$L7)&lt;=COUNT('Per Invoice'!$M$2:$M$151),MATCH(ROWS($L$2:$L7),'Per Invoice'!$M$2:$M$151,0),"")</f>
        <v/>
      </c>
    </row>
    <row r="8">
      <c r="A8">
        <f>IF($L8="","",IF(INDEX('Per Invoice'!$A$2:$A$151,$L8)="","",INDEX('Per Invoice'!$A$2:$A$151,$L8)))</f>
        <v/>
      </c>
      <c r="B8">
        <f>IF($L8="","",IF(INDEX('Per Invoice'!$B$2:$B$151,$L8)="","",INDEX('Per Invoice'!$B$2:$B$151,$L8)))</f>
        <v/>
      </c>
      <c r="C8">
        <f>IF($L8="","",IF(INDEX('Per Invoice'!$C$2:$C$151,$L8)="","",INDEX('Per Invoice'!$C$2:$C$151,$L8)))</f>
        <v/>
      </c>
      <c r="D8">
        <f>IF($L8="","",IF(INDEX('Per Invoice'!$D$2:$D$151,$L8)="","",INDEX('Per Invoice'!$D$2:$D$151,$L8)))</f>
        <v/>
      </c>
      <c r="E8">
        <f>IF($L8="","",IF(INDEX('Per Invoice'!$E$2:$E$151,$L8)="","",INDEX('Per Invoice'!$E$2:$E$151,$L8)))</f>
        <v/>
      </c>
      <c r="F8" s="5">
        <f>IF($L8="","",IF(INDEX('Per Invoice'!$F$2:$F$151,$L8)="","",INDEX('Per Invoice'!$F$2:$F$151,$L8)))</f>
        <v/>
      </c>
      <c r="G8" s="5">
        <f>IF($L8="","",IF(INDEX('Per Invoice'!$G$2:$G$151,$L8)="","",INDEX('Per Invoice'!$G$2:$G$151,$L8)))</f>
        <v/>
      </c>
      <c r="H8" s="5">
        <f>IF($L8="","",IF(INDEX('Per Invoice'!$H$2:$H$151,$L8)="","",INDEX('Per Invoice'!$H$2:$H$151,$L8)))</f>
        <v/>
      </c>
      <c r="I8" s="5">
        <f>IF($L8="","",IF(INDEX('Per Invoice'!$I$2:$I$151,$L8)="","",INDEX('Per Invoice'!$I$2:$I$151,$L8)))</f>
        <v/>
      </c>
      <c r="J8" s="5">
        <f>IF($L8="","",IF(INDEX('Per Invoice'!$J$2:$J$151,$L8)="","",INDEX('Per Invoice'!$J$2:$J$151,$L8)))</f>
        <v/>
      </c>
      <c r="K8">
        <f>IF($L8="","",IF(INDEX('Per Invoice'!$K$2:$K$151,$L8)="","",INDEX('Per Invoice'!$K$2:$K$151,$L8)))</f>
        <v/>
      </c>
      <c r="L8">
        <f>IF(ROWS($L$2:$L8)&lt;=COUNT('Per Invoice'!$M$2:$M$151),MATCH(ROWS($L$2:$L8),'Per Invoice'!$M$2:$M$151,0),"")</f>
        <v/>
      </c>
    </row>
    <row r="9">
      <c r="A9">
        <f>IF($L9="","",IF(INDEX('Per Invoice'!$A$2:$A$151,$L9)="","",INDEX('Per Invoice'!$A$2:$A$151,$L9)))</f>
        <v/>
      </c>
      <c r="B9">
        <f>IF($L9="","",IF(INDEX('Per Invoice'!$B$2:$B$151,$L9)="","",INDEX('Per Invoice'!$B$2:$B$151,$L9)))</f>
        <v/>
      </c>
      <c r="C9">
        <f>IF($L9="","",IF(INDEX('Per Invoice'!$C$2:$C$151,$L9)="","",INDEX('Per Invoice'!$C$2:$C$151,$L9)))</f>
        <v/>
      </c>
      <c r="D9">
        <f>IF($L9="","",IF(INDEX('Per Invoice'!$D$2:$D$151,$L9)="","",INDEX('Per Invoice'!$D$2:$D$151,$L9)))</f>
        <v/>
      </c>
      <c r="E9">
        <f>IF($L9="","",IF(INDEX('Per Invoice'!$E$2:$E$151,$L9)="","",INDEX('Per Invoice'!$E$2:$E$151,$L9)))</f>
        <v/>
      </c>
      <c r="F9" s="5">
        <f>IF($L9="","",IF(INDEX('Per Invoice'!$F$2:$F$151,$L9)="","",INDEX('Per Invoice'!$F$2:$F$151,$L9)))</f>
        <v/>
      </c>
      <c r="G9" s="5">
        <f>IF($L9="","",IF(INDEX('Per Invoice'!$G$2:$G$151,$L9)="","",INDEX('Per Invoice'!$G$2:$G$151,$L9)))</f>
        <v/>
      </c>
      <c r="H9" s="5">
        <f>IF($L9="","",IF(INDEX('Per Invoice'!$H$2:$H$151,$L9)="","",INDEX('Per Invoice'!$H$2:$H$151,$L9)))</f>
        <v/>
      </c>
      <c r="I9" s="5">
        <f>IF($L9="","",IF(INDEX('Per Invoice'!$I$2:$I$151,$L9)="","",INDEX('Per Invoice'!$I$2:$I$151,$L9)))</f>
        <v/>
      </c>
      <c r="J9" s="5">
        <f>IF($L9="","",IF(INDEX('Per Invoice'!$J$2:$J$151,$L9)="","",INDEX('Per Invoice'!$J$2:$J$151,$L9)))</f>
        <v/>
      </c>
      <c r="K9">
        <f>IF($L9="","",IF(INDEX('Per Invoice'!$K$2:$K$151,$L9)="","",INDEX('Per Invoice'!$K$2:$K$151,$L9)))</f>
        <v/>
      </c>
      <c r="L9">
        <f>IF(ROWS($L$2:$L9)&lt;=COUNT('Per Invoice'!$M$2:$M$151),MATCH(ROWS($L$2:$L9),'Per Invoice'!$M$2:$M$151,0),"")</f>
        <v/>
      </c>
    </row>
    <row r="10">
      <c r="A10">
        <f>IF($L10="","",IF(INDEX('Per Invoice'!$A$2:$A$151,$L10)="","",INDEX('Per Invoice'!$A$2:$A$151,$L10)))</f>
        <v/>
      </c>
      <c r="B10">
        <f>IF($L10="","",IF(INDEX('Per Invoice'!$B$2:$B$151,$L10)="","",INDEX('Per Invoice'!$B$2:$B$151,$L10)))</f>
        <v/>
      </c>
      <c r="C10">
        <f>IF($L10="","",IF(INDEX('Per Invoice'!$C$2:$C$151,$L10)="","",INDEX('Per Invoice'!$C$2:$C$151,$L10)))</f>
        <v/>
      </c>
      <c r="D10">
        <f>IF($L10="","",IF(INDEX('Per Invoice'!$D$2:$D$151,$L10)="","",INDEX('Per Invoice'!$D$2:$D$151,$L10)))</f>
        <v/>
      </c>
      <c r="E10">
        <f>IF($L10="","",IF(INDEX('Per Invoice'!$E$2:$E$151,$L10)="","",INDEX('Per Invoice'!$E$2:$E$151,$L10)))</f>
        <v/>
      </c>
      <c r="F10" s="5">
        <f>IF($L10="","",IF(INDEX('Per Invoice'!$F$2:$F$151,$L10)="","",INDEX('Per Invoice'!$F$2:$F$151,$L10)))</f>
        <v/>
      </c>
      <c r="G10" s="5">
        <f>IF($L10="","",IF(INDEX('Per Invoice'!$G$2:$G$151,$L10)="","",INDEX('Per Invoice'!$G$2:$G$151,$L10)))</f>
        <v/>
      </c>
      <c r="H10" s="5">
        <f>IF($L10="","",IF(INDEX('Per Invoice'!$H$2:$H$151,$L10)="","",INDEX('Per Invoice'!$H$2:$H$151,$L10)))</f>
        <v/>
      </c>
      <c r="I10" s="5">
        <f>IF($L10="","",IF(INDEX('Per Invoice'!$I$2:$I$151,$L10)="","",INDEX('Per Invoice'!$I$2:$I$151,$L10)))</f>
        <v/>
      </c>
      <c r="J10" s="5">
        <f>IF($L10="","",IF(INDEX('Per Invoice'!$J$2:$J$151,$L10)="","",INDEX('Per Invoice'!$J$2:$J$151,$L10)))</f>
        <v/>
      </c>
      <c r="K10">
        <f>IF($L10="","",IF(INDEX('Per Invoice'!$K$2:$K$151,$L10)="","",INDEX('Per Invoice'!$K$2:$K$151,$L10)))</f>
        <v/>
      </c>
      <c r="L10">
        <f>IF(ROWS($L$2:$L10)&lt;=COUNT('Per Invoice'!$M$2:$M$151),MATCH(ROWS($L$2:$L10),'Per Invoice'!$M$2:$M$151,0),"")</f>
        <v/>
      </c>
    </row>
    <row r="11">
      <c r="A11">
        <f>IF($L11="","",IF(INDEX('Per Invoice'!$A$2:$A$151,$L11)="","",INDEX('Per Invoice'!$A$2:$A$151,$L11)))</f>
        <v/>
      </c>
      <c r="B11">
        <f>IF($L11="","",IF(INDEX('Per Invoice'!$B$2:$B$151,$L11)="","",INDEX('Per Invoice'!$B$2:$B$151,$L11)))</f>
        <v/>
      </c>
      <c r="C11">
        <f>IF($L11="","",IF(INDEX('Per Invoice'!$C$2:$C$151,$L11)="","",INDEX('Per Invoice'!$C$2:$C$151,$L11)))</f>
        <v/>
      </c>
      <c r="D11">
        <f>IF($L11="","",IF(INDEX('Per Invoice'!$D$2:$D$151,$L11)="","",INDEX('Per Invoice'!$D$2:$D$151,$L11)))</f>
        <v/>
      </c>
      <c r="E11">
        <f>IF($L11="","",IF(INDEX('Per Invoice'!$E$2:$E$151,$L11)="","",INDEX('Per Invoice'!$E$2:$E$151,$L11)))</f>
        <v/>
      </c>
      <c r="F11" s="5">
        <f>IF($L11="","",IF(INDEX('Per Invoice'!$F$2:$F$151,$L11)="","",INDEX('Per Invoice'!$F$2:$F$151,$L11)))</f>
        <v/>
      </c>
      <c r="G11" s="5">
        <f>IF($L11="","",IF(INDEX('Per Invoice'!$G$2:$G$151,$L11)="","",INDEX('Per Invoice'!$G$2:$G$151,$L11)))</f>
        <v/>
      </c>
      <c r="H11" s="5">
        <f>IF($L11="","",IF(INDEX('Per Invoice'!$H$2:$H$151,$L11)="","",INDEX('Per Invoice'!$H$2:$H$151,$L11)))</f>
        <v/>
      </c>
      <c r="I11" s="5">
        <f>IF($L11="","",IF(INDEX('Per Invoice'!$I$2:$I$151,$L11)="","",INDEX('Per Invoice'!$I$2:$I$151,$L11)))</f>
        <v/>
      </c>
      <c r="J11" s="5">
        <f>IF($L11="","",IF(INDEX('Per Invoice'!$J$2:$J$151,$L11)="","",INDEX('Per Invoice'!$J$2:$J$151,$L11)))</f>
        <v/>
      </c>
      <c r="K11">
        <f>IF($L11="","",IF(INDEX('Per Invoice'!$K$2:$K$151,$L11)="","",INDEX('Per Invoice'!$K$2:$K$151,$L11)))</f>
        <v/>
      </c>
      <c r="L11">
        <f>IF(ROWS($L$2:$L11)&lt;=COUNT('Per Invoice'!$M$2:$M$151),MATCH(ROWS($L$2:$L11),'Per Invoice'!$M$2:$M$151,0),"")</f>
        <v/>
      </c>
    </row>
    <row r="12">
      <c r="A12">
        <f>IF($L12="","",IF(INDEX('Per Invoice'!$A$2:$A$151,$L12)="","",INDEX('Per Invoice'!$A$2:$A$151,$L12)))</f>
        <v/>
      </c>
      <c r="B12">
        <f>IF($L12="","",IF(INDEX('Per Invoice'!$B$2:$B$151,$L12)="","",INDEX('Per Invoice'!$B$2:$B$151,$L12)))</f>
        <v/>
      </c>
      <c r="C12">
        <f>IF($L12="","",IF(INDEX('Per Invoice'!$C$2:$C$151,$L12)="","",INDEX('Per Invoice'!$C$2:$C$151,$L12)))</f>
        <v/>
      </c>
      <c r="D12">
        <f>IF($L12="","",IF(INDEX('Per Invoice'!$D$2:$D$151,$L12)="","",INDEX('Per Invoice'!$D$2:$D$151,$L12)))</f>
        <v/>
      </c>
      <c r="E12">
        <f>IF($L12="","",IF(INDEX('Per Invoice'!$E$2:$E$151,$L12)="","",INDEX('Per Invoice'!$E$2:$E$151,$L12)))</f>
        <v/>
      </c>
      <c r="F12" s="5">
        <f>IF($L12="","",IF(INDEX('Per Invoice'!$F$2:$F$151,$L12)="","",INDEX('Per Invoice'!$F$2:$F$151,$L12)))</f>
        <v/>
      </c>
      <c r="G12" s="5">
        <f>IF($L12="","",IF(INDEX('Per Invoice'!$G$2:$G$151,$L12)="","",INDEX('Per Invoice'!$G$2:$G$151,$L12)))</f>
        <v/>
      </c>
      <c r="H12" s="5">
        <f>IF($L12="","",IF(INDEX('Per Invoice'!$H$2:$H$151,$L12)="","",INDEX('Per Invoice'!$H$2:$H$151,$L12)))</f>
        <v/>
      </c>
      <c r="I12" s="5">
        <f>IF($L12="","",IF(INDEX('Per Invoice'!$I$2:$I$151,$L12)="","",INDEX('Per Invoice'!$I$2:$I$151,$L12)))</f>
        <v/>
      </c>
      <c r="J12" s="5">
        <f>IF($L12="","",IF(INDEX('Per Invoice'!$J$2:$J$151,$L12)="","",INDEX('Per Invoice'!$J$2:$J$151,$L12)))</f>
        <v/>
      </c>
      <c r="K12">
        <f>IF($L12="","",IF(INDEX('Per Invoice'!$K$2:$K$151,$L12)="","",INDEX('Per Invoice'!$K$2:$K$151,$L12)))</f>
        <v/>
      </c>
      <c r="L12">
        <f>IF(ROWS($L$2:$L12)&lt;=COUNT('Per Invoice'!$M$2:$M$151),MATCH(ROWS($L$2:$L12),'Per Invoice'!$M$2:$M$151,0),"")</f>
        <v/>
      </c>
    </row>
    <row r="13">
      <c r="A13">
        <f>IF($L13="","",IF(INDEX('Per Invoice'!$A$2:$A$151,$L13)="","",INDEX('Per Invoice'!$A$2:$A$151,$L13)))</f>
        <v/>
      </c>
      <c r="B13">
        <f>IF($L13="","",IF(INDEX('Per Invoice'!$B$2:$B$151,$L13)="","",INDEX('Per Invoice'!$B$2:$B$151,$L13)))</f>
        <v/>
      </c>
      <c r="C13">
        <f>IF($L13="","",IF(INDEX('Per Invoice'!$C$2:$C$151,$L13)="","",INDEX('Per Invoice'!$C$2:$C$151,$L13)))</f>
        <v/>
      </c>
      <c r="D13">
        <f>IF($L13="","",IF(INDEX('Per Invoice'!$D$2:$D$151,$L13)="","",INDEX('Per Invoice'!$D$2:$D$151,$L13)))</f>
        <v/>
      </c>
      <c r="E13">
        <f>IF($L13="","",IF(INDEX('Per Invoice'!$E$2:$E$151,$L13)="","",INDEX('Per Invoice'!$E$2:$E$151,$L13)))</f>
        <v/>
      </c>
      <c r="F13" s="5">
        <f>IF($L13="","",IF(INDEX('Per Invoice'!$F$2:$F$151,$L13)="","",INDEX('Per Invoice'!$F$2:$F$151,$L13)))</f>
        <v/>
      </c>
      <c r="G13" s="5">
        <f>IF($L13="","",IF(INDEX('Per Invoice'!$G$2:$G$151,$L13)="","",INDEX('Per Invoice'!$G$2:$G$151,$L13)))</f>
        <v/>
      </c>
      <c r="H13" s="5">
        <f>IF($L13="","",IF(INDEX('Per Invoice'!$H$2:$H$151,$L13)="","",INDEX('Per Invoice'!$H$2:$H$151,$L13)))</f>
        <v/>
      </c>
      <c r="I13" s="5">
        <f>IF($L13="","",IF(INDEX('Per Invoice'!$I$2:$I$151,$L13)="","",INDEX('Per Invoice'!$I$2:$I$151,$L13)))</f>
        <v/>
      </c>
      <c r="J13" s="5">
        <f>IF($L13="","",IF(INDEX('Per Invoice'!$J$2:$J$151,$L13)="","",INDEX('Per Invoice'!$J$2:$J$151,$L13)))</f>
        <v/>
      </c>
      <c r="K13">
        <f>IF($L13="","",IF(INDEX('Per Invoice'!$K$2:$K$151,$L13)="","",INDEX('Per Invoice'!$K$2:$K$151,$L13)))</f>
        <v/>
      </c>
      <c r="L13">
        <f>IF(ROWS($L$2:$L13)&lt;=COUNT('Per Invoice'!$M$2:$M$151),MATCH(ROWS($L$2:$L13),'Per Invoice'!$M$2:$M$151,0),"")</f>
        <v/>
      </c>
    </row>
    <row r="14">
      <c r="A14">
        <f>IF($L14="","",IF(INDEX('Per Invoice'!$A$2:$A$151,$L14)="","",INDEX('Per Invoice'!$A$2:$A$151,$L14)))</f>
        <v/>
      </c>
      <c r="B14">
        <f>IF($L14="","",IF(INDEX('Per Invoice'!$B$2:$B$151,$L14)="","",INDEX('Per Invoice'!$B$2:$B$151,$L14)))</f>
        <v/>
      </c>
      <c r="C14">
        <f>IF($L14="","",IF(INDEX('Per Invoice'!$C$2:$C$151,$L14)="","",INDEX('Per Invoice'!$C$2:$C$151,$L14)))</f>
        <v/>
      </c>
      <c r="D14">
        <f>IF($L14="","",IF(INDEX('Per Invoice'!$D$2:$D$151,$L14)="","",INDEX('Per Invoice'!$D$2:$D$151,$L14)))</f>
        <v/>
      </c>
      <c r="E14">
        <f>IF($L14="","",IF(INDEX('Per Invoice'!$E$2:$E$151,$L14)="","",INDEX('Per Invoice'!$E$2:$E$151,$L14)))</f>
        <v/>
      </c>
      <c r="F14" s="5">
        <f>IF($L14="","",IF(INDEX('Per Invoice'!$F$2:$F$151,$L14)="","",INDEX('Per Invoice'!$F$2:$F$151,$L14)))</f>
        <v/>
      </c>
      <c r="G14" s="5">
        <f>IF($L14="","",IF(INDEX('Per Invoice'!$G$2:$G$151,$L14)="","",INDEX('Per Invoice'!$G$2:$G$151,$L14)))</f>
        <v/>
      </c>
      <c r="H14" s="5">
        <f>IF($L14="","",IF(INDEX('Per Invoice'!$H$2:$H$151,$L14)="","",INDEX('Per Invoice'!$H$2:$H$151,$L14)))</f>
        <v/>
      </c>
      <c r="I14" s="5">
        <f>IF($L14="","",IF(INDEX('Per Invoice'!$I$2:$I$151,$L14)="","",INDEX('Per Invoice'!$I$2:$I$151,$L14)))</f>
        <v/>
      </c>
      <c r="J14" s="5">
        <f>IF($L14="","",IF(INDEX('Per Invoice'!$J$2:$J$151,$L14)="","",INDEX('Per Invoice'!$J$2:$J$151,$L14)))</f>
        <v/>
      </c>
      <c r="K14">
        <f>IF($L14="","",IF(INDEX('Per Invoice'!$K$2:$K$151,$L14)="","",INDEX('Per Invoice'!$K$2:$K$151,$L14)))</f>
        <v/>
      </c>
      <c r="L14">
        <f>IF(ROWS($L$2:$L14)&lt;=COUNT('Per Invoice'!$M$2:$M$151),MATCH(ROWS($L$2:$L14),'Per Invoice'!$M$2:$M$151,0),"")</f>
        <v/>
      </c>
    </row>
    <row r="15">
      <c r="A15">
        <f>IF($L15="","",IF(INDEX('Per Invoice'!$A$2:$A$151,$L15)="","",INDEX('Per Invoice'!$A$2:$A$151,$L15)))</f>
        <v/>
      </c>
      <c r="B15">
        <f>IF($L15="","",IF(INDEX('Per Invoice'!$B$2:$B$151,$L15)="","",INDEX('Per Invoice'!$B$2:$B$151,$L15)))</f>
        <v/>
      </c>
      <c r="C15">
        <f>IF($L15="","",IF(INDEX('Per Invoice'!$C$2:$C$151,$L15)="","",INDEX('Per Invoice'!$C$2:$C$151,$L15)))</f>
        <v/>
      </c>
      <c r="D15">
        <f>IF($L15="","",IF(INDEX('Per Invoice'!$D$2:$D$151,$L15)="","",INDEX('Per Invoice'!$D$2:$D$151,$L15)))</f>
        <v/>
      </c>
      <c r="E15">
        <f>IF($L15="","",IF(INDEX('Per Invoice'!$E$2:$E$151,$L15)="","",INDEX('Per Invoice'!$E$2:$E$151,$L15)))</f>
        <v/>
      </c>
      <c r="F15" s="5">
        <f>IF($L15="","",IF(INDEX('Per Invoice'!$F$2:$F$151,$L15)="","",INDEX('Per Invoice'!$F$2:$F$151,$L15)))</f>
        <v/>
      </c>
      <c r="G15" s="5">
        <f>IF($L15="","",IF(INDEX('Per Invoice'!$G$2:$G$151,$L15)="","",INDEX('Per Invoice'!$G$2:$G$151,$L15)))</f>
        <v/>
      </c>
      <c r="H15" s="5">
        <f>IF($L15="","",IF(INDEX('Per Invoice'!$H$2:$H$151,$L15)="","",INDEX('Per Invoice'!$H$2:$H$151,$L15)))</f>
        <v/>
      </c>
      <c r="I15" s="5">
        <f>IF($L15="","",IF(INDEX('Per Invoice'!$I$2:$I$151,$L15)="","",INDEX('Per Invoice'!$I$2:$I$151,$L15)))</f>
        <v/>
      </c>
      <c r="J15" s="5">
        <f>IF($L15="","",IF(INDEX('Per Invoice'!$J$2:$J$151,$L15)="","",INDEX('Per Invoice'!$J$2:$J$151,$L15)))</f>
        <v/>
      </c>
      <c r="K15">
        <f>IF($L15="","",IF(INDEX('Per Invoice'!$K$2:$K$151,$L15)="","",INDEX('Per Invoice'!$K$2:$K$151,$L15)))</f>
        <v/>
      </c>
      <c r="L15">
        <f>IF(ROWS($L$2:$L15)&lt;=COUNT('Per Invoice'!$M$2:$M$151),MATCH(ROWS($L$2:$L15),'Per Invoice'!$M$2:$M$151,0),"")</f>
        <v/>
      </c>
    </row>
    <row r="16">
      <c r="A16">
        <f>IF($L16="","",IF(INDEX('Per Invoice'!$A$2:$A$151,$L16)="","",INDEX('Per Invoice'!$A$2:$A$151,$L16)))</f>
        <v/>
      </c>
      <c r="B16">
        <f>IF($L16="","",IF(INDEX('Per Invoice'!$B$2:$B$151,$L16)="","",INDEX('Per Invoice'!$B$2:$B$151,$L16)))</f>
        <v/>
      </c>
      <c r="C16">
        <f>IF($L16="","",IF(INDEX('Per Invoice'!$C$2:$C$151,$L16)="","",INDEX('Per Invoice'!$C$2:$C$151,$L16)))</f>
        <v/>
      </c>
      <c r="D16">
        <f>IF($L16="","",IF(INDEX('Per Invoice'!$D$2:$D$151,$L16)="","",INDEX('Per Invoice'!$D$2:$D$151,$L16)))</f>
        <v/>
      </c>
      <c r="E16">
        <f>IF($L16="","",IF(INDEX('Per Invoice'!$E$2:$E$151,$L16)="","",INDEX('Per Invoice'!$E$2:$E$151,$L16)))</f>
        <v/>
      </c>
      <c r="F16" s="5">
        <f>IF($L16="","",IF(INDEX('Per Invoice'!$F$2:$F$151,$L16)="","",INDEX('Per Invoice'!$F$2:$F$151,$L16)))</f>
        <v/>
      </c>
      <c r="G16" s="5">
        <f>IF($L16="","",IF(INDEX('Per Invoice'!$G$2:$G$151,$L16)="","",INDEX('Per Invoice'!$G$2:$G$151,$L16)))</f>
        <v/>
      </c>
      <c r="H16" s="5">
        <f>IF($L16="","",IF(INDEX('Per Invoice'!$H$2:$H$151,$L16)="","",INDEX('Per Invoice'!$H$2:$H$151,$L16)))</f>
        <v/>
      </c>
      <c r="I16" s="5">
        <f>IF($L16="","",IF(INDEX('Per Invoice'!$I$2:$I$151,$L16)="","",INDEX('Per Invoice'!$I$2:$I$151,$L16)))</f>
        <v/>
      </c>
      <c r="J16" s="5">
        <f>IF($L16="","",IF(INDEX('Per Invoice'!$J$2:$J$151,$L16)="","",INDEX('Per Invoice'!$J$2:$J$151,$L16)))</f>
        <v/>
      </c>
      <c r="K16">
        <f>IF($L16="","",IF(INDEX('Per Invoice'!$K$2:$K$151,$L16)="","",INDEX('Per Invoice'!$K$2:$K$151,$L16)))</f>
        <v/>
      </c>
      <c r="L16">
        <f>IF(ROWS($L$2:$L16)&lt;=COUNT('Per Invoice'!$M$2:$M$151),MATCH(ROWS($L$2:$L16),'Per Invoice'!$M$2:$M$151,0),"")</f>
        <v/>
      </c>
    </row>
    <row r="17">
      <c r="A17">
        <f>IF($L17="","",IF(INDEX('Per Invoice'!$A$2:$A$151,$L17)="","",INDEX('Per Invoice'!$A$2:$A$151,$L17)))</f>
        <v/>
      </c>
      <c r="B17">
        <f>IF($L17="","",IF(INDEX('Per Invoice'!$B$2:$B$151,$L17)="","",INDEX('Per Invoice'!$B$2:$B$151,$L17)))</f>
        <v/>
      </c>
      <c r="C17">
        <f>IF($L17="","",IF(INDEX('Per Invoice'!$C$2:$C$151,$L17)="","",INDEX('Per Invoice'!$C$2:$C$151,$L17)))</f>
        <v/>
      </c>
      <c r="D17">
        <f>IF($L17="","",IF(INDEX('Per Invoice'!$D$2:$D$151,$L17)="","",INDEX('Per Invoice'!$D$2:$D$151,$L17)))</f>
        <v/>
      </c>
      <c r="E17">
        <f>IF($L17="","",IF(INDEX('Per Invoice'!$E$2:$E$151,$L17)="","",INDEX('Per Invoice'!$E$2:$E$151,$L17)))</f>
        <v/>
      </c>
      <c r="F17" s="5">
        <f>IF($L17="","",IF(INDEX('Per Invoice'!$F$2:$F$151,$L17)="","",INDEX('Per Invoice'!$F$2:$F$151,$L17)))</f>
        <v/>
      </c>
      <c r="G17" s="5">
        <f>IF($L17="","",IF(INDEX('Per Invoice'!$G$2:$G$151,$L17)="","",INDEX('Per Invoice'!$G$2:$G$151,$L17)))</f>
        <v/>
      </c>
      <c r="H17" s="5">
        <f>IF($L17="","",IF(INDEX('Per Invoice'!$H$2:$H$151,$L17)="","",INDEX('Per Invoice'!$H$2:$H$151,$L17)))</f>
        <v/>
      </c>
      <c r="I17" s="5">
        <f>IF($L17="","",IF(INDEX('Per Invoice'!$I$2:$I$151,$L17)="","",INDEX('Per Invoice'!$I$2:$I$151,$L17)))</f>
        <v/>
      </c>
      <c r="J17" s="5">
        <f>IF($L17="","",IF(INDEX('Per Invoice'!$J$2:$J$151,$L17)="","",INDEX('Per Invoice'!$J$2:$J$151,$L17)))</f>
        <v/>
      </c>
      <c r="K17">
        <f>IF($L17="","",IF(INDEX('Per Invoice'!$K$2:$K$151,$L17)="","",INDEX('Per Invoice'!$K$2:$K$151,$L17)))</f>
        <v/>
      </c>
      <c r="L17">
        <f>IF(ROWS($L$2:$L17)&lt;=COUNT('Per Invoice'!$M$2:$M$151),MATCH(ROWS($L$2:$L17),'Per Invoice'!$M$2:$M$151,0),"")</f>
        <v/>
      </c>
    </row>
    <row r="18">
      <c r="A18">
        <f>IF($L18="","",IF(INDEX('Per Invoice'!$A$2:$A$151,$L18)="","",INDEX('Per Invoice'!$A$2:$A$151,$L18)))</f>
        <v/>
      </c>
      <c r="B18">
        <f>IF($L18="","",IF(INDEX('Per Invoice'!$B$2:$B$151,$L18)="","",INDEX('Per Invoice'!$B$2:$B$151,$L18)))</f>
        <v/>
      </c>
      <c r="C18">
        <f>IF($L18="","",IF(INDEX('Per Invoice'!$C$2:$C$151,$L18)="","",INDEX('Per Invoice'!$C$2:$C$151,$L18)))</f>
        <v/>
      </c>
      <c r="D18">
        <f>IF($L18="","",IF(INDEX('Per Invoice'!$D$2:$D$151,$L18)="","",INDEX('Per Invoice'!$D$2:$D$151,$L18)))</f>
        <v/>
      </c>
      <c r="E18">
        <f>IF($L18="","",IF(INDEX('Per Invoice'!$E$2:$E$151,$L18)="","",INDEX('Per Invoice'!$E$2:$E$151,$L18)))</f>
        <v/>
      </c>
      <c r="F18" s="5">
        <f>IF($L18="","",IF(INDEX('Per Invoice'!$F$2:$F$151,$L18)="","",INDEX('Per Invoice'!$F$2:$F$151,$L18)))</f>
        <v/>
      </c>
      <c r="G18" s="5">
        <f>IF($L18="","",IF(INDEX('Per Invoice'!$G$2:$G$151,$L18)="","",INDEX('Per Invoice'!$G$2:$G$151,$L18)))</f>
        <v/>
      </c>
      <c r="H18" s="5">
        <f>IF($L18="","",IF(INDEX('Per Invoice'!$H$2:$H$151,$L18)="","",INDEX('Per Invoice'!$H$2:$H$151,$L18)))</f>
        <v/>
      </c>
      <c r="I18" s="5">
        <f>IF($L18="","",IF(INDEX('Per Invoice'!$I$2:$I$151,$L18)="","",INDEX('Per Invoice'!$I$2:$I$151,$L18)))</f>
        <v/>
      </c>
      <c r="J18" s="5">
        <f>IF($L18="","",IF(INDEX('Per Invoice'!$J$2:$J$151,$L18)="","",INDEX('Per Invoice'!$J$2:$J$151,$L18)))</f>
        <v/>
      </c>
      <c r="K18">
        <f>IF($L18="","",IF(INDEX('Per Invoice'!$K$2:$K$151,$L18)="","",INDEX('Per Invoice'!$K$2:$K$151,$L18)))</f>
        <v/>
      </c>
      <c r="L18">
        <f>IF(ROWS($L$2:$L18)&lt;=COUNT('Per Invoice'!$M$2:$M$151),MATCH(ROWS($L$2:$L18),'Per Invoice'!$M$2:$M$151,0),"")</f>
        <v/>
      </c>
    </row>
    <row r="19">
      <c r="A19">
        <f>IF($L19="","",IF(INDEX('Per Invoice'!$A$2:$A$151,$L19)="","",INDEX('Per Invoice'!$A$2:$A$151,$L19)))</f>
        <v/>
      </c>
      <c r="B19">
        <f>IF($L19="","",IF(INDEX('Per Invoice'!$B$2:$B$151,$L19)="","",INDEX('Per Invoice'!$B$2:$B$151,$L19)))</f>
        <v/>
      </c>
      <c r="C19">
        <f>IF($L19="","",IF(INDEX('Per Invoice'!$C$2:$C$151,$L19)="","",INDEX('Per Invoice'!$C$2:$C$151,$L19)))</f>
        <v/>
      </c>
      <c r="D19">
        <f>IF($L19="","",IF(INDEX('Per Invoice'!$D$2:$D$151,$L19)="","",INDEX('Per Invoice'!$D$2:$D$151,$L19)))</f>
        <v/>
      </c>
      <c r="E19">
        <f>IF($L19="","",IF(INDEX('Per Invoice'!$E$2:$E$151,$L19)="","",INDEX('Per Invoice'!$E$2:$E$151,$L19)))</f>
        <v/>
      </c>
      <c r="F19" s="5">
        <f>IF($L19="","",IF(INDEX('Per Invoice'!$F$2:$F$151,$L19)="","",INDEX('Per Invoice'!$F$2:$F$151,$L19)))</f>
        <v/>
      </c>
      <c r="G19" s="5">
        <f>IF($L19="","",IF(INDEX('Per Invoice'!$G$2:$G$151,$L19)="","",INDEX('Per Invoice'!$G$2:$G$151,$L19)))</f>
        <v/>
      </c>
      <c r="H19" s="5">
        <f>IF($L19="","",IF(INDEX('Per Invoice'!$H$2:$H$151,$L19)="","",INDEX('Per Invoice'!$H$2:$H$151,$L19)))</f>
        <v/>
      </c>
      <c r="I19" s="5">
        <f>IF($L19="","",IF(INDEX('Per Invoice'!$I$2:$I$151,$L19)="","",INDEX('Per Invoice'!$I$2:$I$151,$L19)))</f>
        <v/>
      </c>
      <c r="J19" s="5">
        <f>IF($L19="","",IF(INDEX('Per Invoice'!$J$2:$J$151,$L19)="","",INDEX('Per Invoice'!$J$2:$J$151,$L19)))</f>
        <v/>
      </c>
      <c r="K19">
        <f>IF($L19="","",IF(INDEX('Per Invoice'!$K$2:$K$151,$L19)="","",INDEX('Per Invoice'!$K$2:$K$151,$L19)))</f>
        <v/>
      </c>
      <c r="L19">
        <f>IF(ROWS($L$2:$L19)&lt;=COUNT('Per Invoice'!$M$2:$M$151),MATCH(ROWS($L$2:$L19),'Per Invoice'!$M$2:$M$151,0),"")</f>
        <v/>
      </c>
    </row>
    <row r="20">
      <c r="A20">
        <f>IF($L20="","",IF(INDEX('Per Invoice'!$A$2:$A$151,$L20)="","",INDEX('Per Invoice'!$A$2:$A$151,$L20)))</f>
        <v/>
      </c>
      <c r="B20">
        <f>IF($L20="","",IF(INDEX('Per Invoice'!$B$2:$B$151,$L20)="","",INDEX('Per Invoice'!$B$2:$B$151,$L20)))</f>
        <v/>
      </c>
      <c r="C20">
        <f>IF($L20="","",IF(INDEX('Per Invoice'!$C$2:$C$151,$L20)="","",INDEX('Per Invoice'!$C$2:$C$151,$L20)))</f>
        <v/>
      </c>
      <c r="D20">
        <f>IF($L20="","",IF(INDEX('Per Invoice'!$D$2:$D$151,$L20)="","",INDEX('Per Invoice'!$D$2:$D$151,$L20)))</f>
        <v/>
      </c>
      <c r="E20">
        <f>IF($L20="","",IF(INDEX('Per Invoice'!$E$2:$E$151,$L20)="","",INDEX('Per Invoice'!$E$2:$E$151,$L20)))</f>
        <v/>
      </c>
      <c r="F20" s="5">
        <f>IF($L20="","",IF(INDEX('Per Invoice'!$F$2:$F$151,$L20)="","",INDEX('Per Invoice'!$F$2:$F$151,$L20)))</f>
        <v/>
      </c>
      <c r="G20" s="5">
        <f>IF($L20="","",IF(INDEX('Per Invoice'!$G$2:$G$151,$L20)="","",INDEX('Per Invoice'!$G$2:$G$151,$L20)))</f>
        <v/>
      </c>
      <c r="H20" s="5">
        <f>IF($L20="","",IF(INDEX('Per Invoice'!$H$2:$H$151,$L20)="","",INDEX('Per Invoice'!$H$2:$H$151,$L20)))</f>
        <v/>
      </c>
      <c r="I20" s="5">
        <f>IF($L20="","",IF(INDEX('Per Invoice'!$I$2:$I$151,$L20)="","",INDEX('Per Invoice'!$I$2:$I$151,$L20)))</f>
        <v/>
      </c>
      <c r="J20" s="5">
        <f>IF($L20="","",IF(INDEX('Per Invoice'!$J$2:$J$151,$L20)="","",INDEX('Per Invoice'!$J$2:$J$151,$L20)))</f>
        <v/>
      </c>
      <c r="K20">
        <f>IF($L20="","",IF(INDEX('Per Invoice'!$K$2:$K$151,$L20)="","",INDEX('Per Invoice'!$K$2:$K$151,$L20)))</f>
        <v/>
      </c>
      <c r="L20">
        <f>IF(ROWS($L$2:$L20)&lt;=COUNT('Per Invoice'!$M$2:$M$151),MATCH(ROWS($L$2:$L20),'Per Invoice'!$M$2:$M$151,0),"")</f>
        <v/>
      </c>
    </row>
    <row r="21">
      <c r="A21">
        <f>IF($L21="","",IF(INDEX('Per Invoice'!$A$2:$A$151,$L21)="","",INDEX('Per Invoice'!$A$2:$A$151,$L21)))</f>
        <v/>
      </c>
      <c r="B21">
        <f>IF($L21="","",IF(INDEX('Per Invoice'!$B$2:$B$151,$L21)="","",INDEX('Per Invoice'!$B$2:$B$151,$L21)))</f>
        <v/>
      </c>
      <c r="C21">
        <f>IF($L21="","",IF(INDEX('Per Invoice'!$C$2:$C$151,$L21)="","",INDEX('Per Invoice'!$C$2:$C$151,$L21)))</f>
        <v/>
      </c>
      <c r="D21">
        <f>IF($L21="","",IF(INDEX('Per Invoice'!$D$2:$D$151,$L21)="","",INDEX('Per Invoice'!$D$2:$D$151,$L21)))</f>
        <v/>
      </c>
      <c r="E21">
        <f>IF($L21="","",IF(INDEX('Per Invoice'!$E$2:$E$151,$L21)="","",INDEX('Per Invoice'!$E$2:$E$151,$L21)))</f>
        <v/>
      </c>
      <c r="F21" s="5">
        <f>IF($L21="","",IF(INDEX('Per Invoice'!$F$2:$F$151,$L21)="","",INDEX('Per Invoice'!$F$2:$F$151,$L21)))</f>
        <v/>
      </c>
      <c r="G21" s="5">
        <f>IF($L21="","",IF(INDEX('Per Invoice'!$G$2:$G$151,$L21)="","",INDEX('Per Invoice'!$G$2:$G$151,$L21)))</f>
        <v/>
      </c>
      <c r="H21" s="5">
        <f>IF($L21="","",IF(INDEX('Per Invoice'!$H$2:$H$151,$L21)="","",INDEX('Per Invoice'!$H$2:$H$151,$L21)))</f>
        <v/>
      </c>
      <c r="I21" s="5">
        <f>IF($L21="","",IF(INDEX('Per Invoice'!$I$2:$I$151,$L21)="","",INDEX('Per Invoice'!$I$2:$I$151,$L21)))</f>
        <v/>
      </c>
      <c r="J21" s="5">
        <f>IF($L21="","",IF(INDEX('Per Invoice'!$J$2:$J$151,$L21)="","",INDEX('Per Invoice'!$J$2:$J$151,$L21)))</f>
        <v/>
      </c>
      <c r="K21">
        <f>IF($L21="","",IF(INDEX('Per Invoice'!$K$2:$K$151,$L21)="","",INDEX('Per Invoice'!$K$2:$K$151,$L21)))</f>
        <v/>
      </c>
      <c r="L21">
        <f>IF(ROWS($L$2:$L21)&lt;=COUNT('Per Invoice'!$M$2:$M$151),MATCH(ROWS($L$2:$L21),'Per Invoice'!$M$2:$M$151,0),"")</f>
        <v/>
      </c>
    </row>
    <row r="22">
      <c r="A22">
        <f>IF($L22="","",IF(INDEX('Per Invoice'!$A$2:$A$151,$L22)="","",INDEX('Per Invoice'!$A$2:$A$151,$L22)))</f>
        <v/>
      </c>
      <c r="B22">
        <f>IF($L22="","",IF(INDEX('Per Invoice'!$B$2:$B$151,$L22)="","",INDEX('Per Invoice'!$B$2:$B$151,$L22)))</f>
        <v/>
      </c>
      <c r="C22">
        <f>IF($L22="","",IF(INDEX('Per Invoice'!$C$2:$C$151,$L22)="","",INDEX('Per Invoice'!$C$2:$C$151,$L22)))</f>
        <v/>
      </c>
      <c r="D22">
        <f>IF($L22="","",IF(INDEX('Per Invoice'!$D$2:$D$151,$L22)="","",INDEX('Per Invoice'!$D$2:$D$151,$L22)))</f>
        <v/>
      </c>
      <c r="E22">
        <f>IF($L22="","",IF(INDEX('Per Invoice'!$E$2:$E$151,$L22)="","",INDEX('Per Invoice'!$E$2:$E$151,$L22)))</f>
        <v/>
      </c>
      <c r="F22" s="5">
        <f>IF($L22="","",IF(INDEX('Per Invoice'!$F$2:$F$151,$L22)="","",INDEX('Per Invoice'!$F$2:$F$151,$L22)))</f>
        <v/>
      </c>
      <c r="G22" s="5">
        <f>IF($L22="","",IF(INDEX('Per Invoice'!$G$2:$G$151,$L22)="","",INDEX('Per Invoice'!$G$2:$G$151,$L22)))</f>
        <v/>
      </c>
      <c r="H22" s="5">
        <f>IF($L22="","",IF(INDEX('Per Invoice'!$H$2:$H$151,$L22)="","",INDEX('Per Invoice'!$H$2:$H$151,$L22)))</f>
        <v/>
      </c>
      <c r="I22" s="5">
        <f>IF($L22="","",IF(INDEX('Per Invoice'!$I$2:$I$151,$L22)="","",INDEX('Per Invoice'!$I$2:$I$151,$L22)))</f>
        <v/>
      </c>
      <c r="J22" s="5">
        <f>IF($L22="","",IF(INDEX('Per Invoice'!$J$2:$J$151,$L22)="","",INDEX('Per Invoice'!$J$2:$J$151,$L22)))</f>
        <v/>
      </c>
      <c r="K22">
        <f>IF($L22="","",IF(INDEX('Per Invoice'!$K$2:$K$151,$L22)="","",INDEX('Per Invoice'!$K$2:$K$151,$L22)))</f>
        <v/>
      </c>
      <c r="L22">
        <f>IF(ROWS($L$2:$L22)&lt;=COUNT('Per Invoice'!$M$2:$M$151),MATCH(ROWS($L$2:$L22),'Per Invoice'!$M$2:$M$151,0),"")</f>
        <v/>
      </c>
    </row>
    <row r="23">
      <c r="A23">
        <f>IF($L23="","",IF(INDEX('Per Invoice'!$A$2:$A$151,$L23)="","",INDEX('Per Invoice'!$A$2:$A$151,$L23)))</f>
        <v/>
      </c>
      <c r="B23">
        <f>IF($L23="","",IF(INDEX('Per Invoice'!$B$2:$B$151,$L23)="","",INDEX('Per Invoice'!$B$2:$B$151,$L23)))</f>
        <v/>
      </c>
      <c r="C23">
        <f>IF($L23="","",IF(INDEX('Per Invoice'!$C$2:$C$151,$L23)="","",INDEX('Per Invoice'!$C$2:$C$151,$L23)))</f>
        <v/>
      </c>
      <c r="D23">
        <f>IF($L23="","",IF(INDEX('Per Invoice'!$D$2:$D$151,$L23)="","",INDEX('Per Invoice'!$D$2:$D$151,$L23)))</f>
        <v/>
      </c>
      <c r="E23">
        <f>IF($L23="","",IF(INDEX('Per Invoice'!$E$2:$E$151,$L23)="","",INDEX('Per Invoice'!$E$2:$E$151,$L23)))</f>
        <v/>
      </c>
      <c r="F23" s="5">
        <f>IF($L23="","",IF(INDEX('Per Invoice'!$F$2:$F$151,$L23)="","",INDEX('Per Invoice'!$F$2:$F$151,$L23)))</f>
        <v/>
      </c>
      <c r="G23" s="5">
        <f>IF($L23="","",IF(INDEX('Per Invoice'!$G$2:$G$151,$L23)="","",INDEX('Per Invoice'!$G$2:$G$151,$L23)))</f>
        <v/>
      </c>
      <c r="H23" s="5">
        <f>IF($L23="","",IF(INDEX('Per Invoice'!$H$2:$H$151,$L23)="","",INDEX('Per Invoice'!$H$2:$H$151,$L23)))</f>
        <v/>
      </c>
      <c r="I23" s="5">
        <f>IF($L23="","",IF(INDEX('Per Invoice'!$I$2:$I$151,$L23)="","",INDEX('Per Invoice'!$I$2:$I$151,$L23)))</f>
        <v/>
      </c>
      <c r="J23" s="5">
        <f>IF($L23="","",IF(INDEX('Per Invoice'!$J$2:$J$151,$L23)="","",INDEX('Per Invoice'!$J$2:$J$151,$L23)))</f>
        <v/>
      </c>
      <c r="K23">
        <f>IF($L23="","",IF(INDEX('Per Invoice'!$K$2:$K$151,$L23)="","",INDEX('Per Invoice'!$K$2:$K$151,$L23)))</f>
        <v/>
      </c>
      <c r="L23">
        <f>IF(ROWS($L$2:$L23)&lt;=COUNT('Per Invoice'!$M$2:$M$151),MATCH(ROWS($L$2:$L23),'Per Invoice'!$M$2:$M$151,0),"")</f>
        <v/>
      </c>
    </row>
    <row r="24">
      <c r="A24">
        <f>IF($L24="","",IF(INDEX('Per Invoice'!$A$2:$A$151,$L24)="","",INDEX('Per Invoice'!$A$2:$A$151,$L24)))</f>
        <v/>
      </c>
      <c r="B24">
        <f>IF($L24="","",IF(INDEX('Per Invoice'!$B$2:$B$151,$L24)="","",INDEX('Per Invoice'!$B$2:$B$151,$L24)))</f>
        <v/>
      </c>
      <c r="C24">
        <f>IF($L24="","",IF(INDEX('Per Invoice'!$C$2:$C$151,$L24)="","",INDEX('Per Invoice'!$C$2:$C$151,$L24)))</f>
        <v/>
      </c>
      <c r="D24">
        <f>IF($L24="","",IF(INDEX('Per Invoice'!$D$2:$D$151,$L24)="","",INDEX('Per Invoice'!$D$2:$D$151,$L24)))</f>
        <v/>
      </c>
      <c r="E24">
        <f>IF($L24="","",IF(INDEX('Per Invoice'!$E$2:$E$151,$L24)="","",INDEX('Per Invoice'!$E$2:$E$151,$L24)))</f>
        <v/>
      </c>
      <c r="F24" s="5">
        <f>IF($L24="","",IF(INDEX('Per Invoice'!$F$2:$F$151,$L24)="","",INDEX('Per Invoice'!$F$2:$F$151,$L24)))</f>
        <v/>
      </c>
      <c r="G24" s="5">
        <f>IF($L24="","",IF(INDEX('Per Invoice'!$G$2:$G$151,$L24)="","",INDEX('Per Invoice'!$G$2:$G$151,$L24)))</f>
        <v/>
      </c>
      <c r="H24" s="5">
        <f>IF($L24="","",IF(INDEX('Per Invoice'!$H$2:$H$151,$L24)="","",INDEX('Per Invoice'!$H$2:$H$151,$L24)))</f>
        <v/>
      </c>
      <c r="I24" s="5">
        <f>IF($L24="","",IF(INDEX('Per Invoice'!$I$2:$I$151,$L24)="","",INDEX('Per Invoice'!$I$2:$I$151,$L24)))</f>
        <v/>
      </c>
      <c r="J24" s="5">
        <f>IF($L24="","",IF(INDEX('Per Invoice'!$J$2:$J$151,$L24)="","",INDEX('Per Invoice'!$J$2:$J$151,$L24)))</f>
        <v/>
      </c>
      <c r="K24">
        <f>IF($L24="","",IF(INDEX('Per Invoice'!$K$2:$K$151,$L24)="","",INDEX('Per Invoice'!$K$2:$K$151,$L24)))</f>
        <v/>
      </c>
      <c r="L24">
        <f>IF(ROWS($L$2:$L24)&lt;=COUNT('Per Invoice'!$M$2:$M$151),MATCH(ROWS($L$2:$L24),'Per Invoice'!$M$2:$M$151,0),"")</f>
        <v/>
      </c>
    </row>
    <row r="25">
      <c r="A25">
        <f>IF($L25="","",IF(INDEX('Per Invoice'!$A$2:$A$151,$L25)="","",INDEX('Per Invoice'!$A$2:$A$151,$L25)))</f>
        <v/>
      </c>
      <c r="B25">
        <f>IF($L25="","",IF(INDEX('Per Invoice'!$B$2:$B$151,$L25)="","",INDEX('Per Invoice'!$B$2:$B$151,$L25)))</f>
        <v/>
      </c>
      <c r="C25">
        <f>IF($L25="","",IF(INDEX('Per Invoice'!$C$2:$C$151,$L25)="","",INDEX('Per Invoice'!$C$2:$C$151,$L25)))</f>
        <v/>
      </c>
      <c r="D25">
        <f>IF($L25="","",IF(INDEX('Per Invoice'!$D$2:$D$151,$L25)="","",INDEX('Per Invoice'!$D$2:$D$151,$L25)))</f>
        <v/>
      </c>
      <c r="E25">
        <f>IF($L25="","",IF(INDEX('Per Invoice'!$E$2:$E$151,$L25)="","",INDEX('Per Invoice'!$E$2:$E$151,$L25)))</f>
        <v/>
      </c>
      <c r="F25" s="5">
        <f>IF($L25="","",IF(INDEX('Per Invoice'!$F$2:$F$151,$L25)="","",INDEX('Per Invoice'!$F$2:$F$151,$L25)))</f>
        <v/>
      </c>
      <c r="G25" s="5">
        <f>IF($L25="","",IF(INDEX('Per Invoice'!$G$2:$G$151,$L25)="","",INDEX('Per Invoice'!$G$2:$G$151,$L25)))</f>
        <v/>
      </c>
      <c r="H25" s="5">
        <f>IF($L25="","",IF(INDEX('Per Invoice'!$H$2:$H$151,$L25)="","",INDEX('Per Invoice'!$H$2:$H$151,$L25)))</f>
        <v/>
      </c>
      <c r="I25" s="5">
        <f>IF($L25="","",IF(INDEX('Per Invoice'!$I$2:$I$151,$L25)="","",INDEX('Per Invoice'!$I$2:$I$151,$L25)))</f>
        <v/>
      </c>
      <c r="J25" s="5">
        <f>IF($L25="","",IF(INDEX('Per Invoice'!$J$2:$J$151,$L25)="","",INDEX('Per Invoice'!$J$2:$J$151,$L25)))</f>
        <v/>
      </c>
      <c r="K25">
        <f>IF($L25="","",IF(INDEX('Per Invoice'!$K$2:$K$151,$L25)="","",INDEX('Per Invoice'!$K$2:$K$151,$L25)))</f>
        <v/>
      </c>
      <c r="L25">
        <f>IF(ROWS($L$2:$L25)&lt;=COUNT('Per Invoice'!$M$2:$M$151),MATCH(ROWS($L$2:$L25),'Per Invoice'!$M$2:$M$151,0),"")</f>
        <v/>
      </c>
    </row>
    <row r="26">
      <c r="A26">
        <f>IF($L26="","",IF(INDEX('Per Invoice'!$A$2:$A$151,$L26)="","",INDEX('Per Invoice'!$A$2:$A$151,$L26)))</f>
        <v/>
      </c>
      <c r="B26">
        <f>IF($L26="","",IF(INDEX('Per Invoice'!$B$2:$B$151,$L26)="","",INDEX('Per Invoice'!$B$2:$B$151,$L26)))</f>
        <v/>
      </c>
      <c r="C26">
        <f>IF($L26="","",IF(INDEX('Per Invoice'!$C$2:$C$151,$L26)="","",INDEX('Per Invoice'!$C$2:$C$151,$L26)))</f>
        <v/>
      </c>
      <c r="D26">
        <f>IF($L26="","",IF(INDEX('Per Invoice'!$D$2:$D$151,$L26)="","",INDEX('Per Invoice'!$D$2:$D$151,$L26)))</f>
        <v/>
      </c>
      <c r="E26">
        <f>IF($L26="","",IF(INDEX('Per Invoice'!$E$2:$E$151,$L26)="","",INDEX('Per Invoice'!$E$2:$E$151,$L26)))</f>
        <v/>
      </c>
      <c r="F26" s="5">
        <f>IF($L26="","",IF(INDEX('Per Invoice'!$F$2:$F$151,$L26)="","",INDEX('Per Invoice'!$F$2:$F$151,$L26)))</f>
        <v/>
      </c>
      <c r="G26" s="5">
        <f>IF($L26="","",IF(INDEX('Per Invoice'!$G$2:$G$151,$L26)="","",INDEX('Per Invoice'!$G$2:$G$151,$L26)))</f>
        <v/>
      </c>
      <c r="H26" s="5">
        <f>IF($L26="","",IF(INDEX('Per Invoice'!$H$2:$H$151,$L26)="","",INDEX('Per Invoice'!$H$2:$H$151,$L26)))</f>
        <v/>
      </c>
      <c r="I26" s="5">
        <f>IF($L26="","",IF(INDEX('Per Invoice'!$I$2:$I$151,$L26)="","",INDEX('Per Invoice'!$I$2:$I$151,$L26)))</f>
        <v/>
      </c>
      <c r="J26" s="5">
        <f>IF($L26="","",IF(INDEX('Per Invoice'!$J$2:$J$151,$L26)="","",INDEX('Per Invoice'!$J$2:$J$151,$L26)))</f>
        <v/>
      </c>
      <c r="K26">
        <f>IF($L26="","",IF(INDEX('Per Invoice'!$K$2:$K$151,$L26)="","",INDEX('Per Invoice'!$K$2:$K$151,$L26)))</f>
        <v/>
      </c>
      <c r="L26">
        <f>IF(ROWS($L$2:$L26)&lt;=COUNT('Per Invoice'!$M$2:$M$151),MATCH(ROWS($L$2:$L26),'Per Invoice'!$M$2:$M$151,0),"")</f>
        <v/>
      </c>
    </row>
    <row r="27">
      <c r="A27">
        <f>IF($L27="","",IF(INDEX('Per Invoice'!$A$2:$A$151,$L27)="","",INDEX('Per Invoice'!$A$2:$A$151,$L27)))</f>
        <v/>
      </c>
      <c r="B27">
        <f>IF($L27="","",IF(INDEX('Per Invoice'!$B$2:$B$151,$L27)="","",INDEX('Per Invoice'!$B$2:$B$151,$L27)))</f>
        <v/>
      </c>
      <c r="C27">
        <f>IF($L27="","",IF(INDEX('Per Invoice'!$C$2:$C$151,$L27)="","",INDEX('Per Invoice'!$C$2:$C$151,$L27)))</f>
        <v/>
      </c>
      <c r="D27">
        <f>IF($L27="","",IF(INDEX('Per Invoice'!$D$2:$D$151,$L27)="","",INDEX('Per Invoice'!$D$2:$D$151,$L27)))</f>
        <v/>
      </c>
      <c r="E27">
        <f>IF($L27="","",IF(INDEX('Per Invoice'!$E$2:$E$151,$L27)="","",INDEX('Per Invoice'!$E$2:$E$151,$L27)))</f>
        <v/>
      </c>
      <c r="F27" s="5">
        <f>IF($L27="","",IF(INDEX('Per Invoice'!$F$2:$F$151,$L27)="","",INDEX('Per Invoice'!$F$2:$F$151,$L27)))</f>
        <v/>
      </c>
      <c r="G27" s="5">
        <f>IF($L27="","",IF(INDEX('Per Invoice'!$G$2:$G$151,$L27)="","",INDEX('Per Invoice'!$G$2:$G$151,$L27)))</f>
        <v/>
      </c>
      <c r="H27" s="5">
        <f>IF($L27="","",IF(INDEX('Per Invoice'!$H$2:$H$151,$L27)="","",INDEX('Per Invoice'!$H$2:$H$151,$L27)))</f>
        <v/>
      </c>
      <c r="I27" s="5">
        <f>IF($L27="","",IF(INDEX('Per Invoice'!$I$2:$I$151,$L27)="","",INDEX('Per Invoice'!$I$2:$I$151,$L27)))</f>
        <v/>
      </c>
      <c r="J27" s="5">
        <f>IF($L27="","",IF(INDEX('Per Invoice'!$J$2:$J$151,$L27)="","",INDEX('Per Invoice'!$J$2:$J$151,$L27)))</f>
        <v/>
      </c>
      <c r="K27">
        <f>IF($L27="","",IF(INDEX('Per Invoice'!$K$2:$K$151,$L27)="","",INDEX('Per Invoice'!$K$2:$K$151,$L27)))</f>
        <v/>
      </c>
      <c r="L27">
        <f>IF(ROWS($L$2:$L27)&lt;=COUNT('Per Invoice'!$M$2:$M$151),MATCH(ROWS($L$2:$L27),'Per Invoice'!$M$2:$M$151,0),"")</f>
        <v/>
      </c>
    </row>
    <row r="28">
      <c r="A28">
        <f>IF($L28="","",IF(INDEX('Per Invoice'!$A$2:$A$151,$L28)="","",INDEX('Per Invoice'!$A$2:$A$151,$L28)))</f>
        <v/>
      </c>
      <c r="B28">
        <f>IF($L28="","",IF(INDEX('Per Invoice'!$B$2:$B$151,$L28)="","",INDEX('Per Invoice'!$B$2:$B$151,$L28)))</f>
        <v/>
      </c>
      <c r="C28">
        <f>IF($L28="","",IF(INDEX('Per Invoice'!$C$2:$C$151,$L28)="","",INDEX('Per Invoice'!$C$2:$C$151,$L28)))</f>
        <v/>
      </c>
      <c r="D28">
        <f>IF($L28="","",IF(INDEX('Per Invoice'!$D$2:$D$151,$L28)="","",INDEX('Per Invoice'!$D$2:$D$151,$L28)))</f>
        <v/>
      </c>
      <c r="E28">
        <f>IF($L28="","",IF(INDEX('Per Invoice'!$E$2:$E$151,$L28)="","",INDEX('Per Invoice'!$E$2:$E$151,$L28)))</f>
        <v/>
      </c>
      <c r="F28" s="5">
        <f>IF($L28="","",IF(INDEX('Per Invoice'!$F$2:$F$151,$L28)="","",INDEX('Per Invoice'!$F$2:$F$151,$L28)))</f>
        <v/>
      </c>
      <c r="G28" s="5">
        <f>IF($L28="","",IF(INDEX('Per Invoice'!$G$2:$G$151,$L28)="","",INDEX('Per Invoice'!$G$2:$G$151,$L28)))</f>
        <v/>
      </c>
      <c r="H28" s="5">
        <f>IF($L28="","",IF(INDEX('Per Invoice'!$H$2:$H$151,$L28)="","",INDEX('Per Invoice'!$H$2:$H$151,$L28)))</f>
        <v/>
      </c>
      <c r="I28" s="5">
        <f>IF($L28="","",IF(INDEX('Per Invoice'!$I$2:$I$151,$L28)="","",INDEX('Per Invoice'!$I$2:$I$151,$L28)))</f>
        <v/>
      </c>
      <c r="J28" s="5">
        <f>IF($L28="","",IF(INDEX('Per Invoice'!$J$2:$J$151,$L28)="","",INDEX('Per Invoice'!$J$2:$J$151,$L28)))</f>
        <v/>
      </c>
      <c r="K28">
        <f>IF($L28="","",IF(INDEX('Per Invoice'!$K$2:$K$151,$L28)="","",INDEX('Per Invoice'!$K$2:$K$151,$L28)))</f>
        <v/>
      </c>
      <c r="L28">
        <f>IF(ROWS($L$2:$L28)&lt;=COUNT('Per Invoice'!$M$2:$M$151),MATCH(ROWS($L$2:$L28),'Per Invoice'!$M$2:$M$151,0),"")</f>
        <v/>
      </c>
    </row>
    <row r="29">
      <c r="A29">
        <f>IF($L29="","",IF(INDEX('Per Invoice'!$A$2:$A$151,$L29)="","",INDEX('Per Invoice'!$A$2:$A$151,$L29)))</f>
        <v/>
      </c>
      <c r="B29">
        <f>IF($L29="","",IF(INDEX('Per Invoice'!$B$2:$B$151,$L29)="","",INDEX('Per Invoice'!$B$2:$B$151,$L29)))</f>
        <v/>
      </c>
      <c r="C29">
        <f>IF($L29="","",IF(INDEX('Per Invoice'!$C$2:$C$151,$L29)="","",INDEX('Per Invoice'!$C$2:$C$151,$L29)))</f>
        <v/>
      </c>
      <c r="D29">
        <f>IF($L29="","",IF(INDEX('Per Invoice'!$D$2:$D$151,$L29)="","",INDEX('Per Invoice'!$D$2:$D$151,$L29)))</f>
        <v/>
      </c>
      <c r="E29">
        <f>IF($L29="","",IF(INDEX('Per Invoice'!$E$2:$E$151,$L29)="","",INDEX('Per Invoice'!$E$2:$E$151,$L29)))</f>
        <v/>
      </c>
      <c r="F29" s="5">
        <f>IF($L29="","",IF(INDEX('Per Invoice'!$F$2:$F$151,$L29)="","",INDEX('Per Invoice'!$F$2:$F$151,$L29)))</f>
        <v/>
      </c>
      <c r="G29" s="5">
        <f>IF($L29="","",IF(INDEX('Per Invoice'!$G$2:$G$151,$L29)="","",INDEX('Per Invoice'!$G$2:$G$151,$L29)))</f>
        <v/>
      </c>
      <c r="H29" s="5">
        <f>IF($L29="","",IF(INDEX('Per Invoice'!$H$2:$H$151,$L29)="","",INDEX('Per Invoice'!$H$2:$H$151,$L29)))</f>
        <v/>
      </c>
      <c r="I29" s="5">
        <f>IF($L29="","",IF(INDEX('Per Invoice'!$I$2:$I$151,$L29)="","",INDEX('Per Invoice'!$I$2:$I$151,$L29)))</f>
        <v/>
      </c>
      <c r="J29" s="5">
        <f>IF($L29="","",IF(INDEX('Per Invoice'!$J$2:$J$151,$L29)="","",INDEX('Per Invoice'!$J$2:$J$151,$L29)))</f>
        <v/>
      </c>
      <c r="K29">
        <f>IF($L29="","",IF(INDEX('Per Invoice'!$K$2:$K$151,$L29)="","",INDEX('Per Invoice'!$K$2:$K$151,$L29)))</f>
        <v/>
      </c>
      <c r="L29">
        <f>IF(ROWS($L$2:$L29)&lt;=COUNT('Per Invoice'!$M$2:$M$151),MATCH(ROWS($L$2:$L29),'Per Invoice'!$M$2:$M$151,0),"")</f>
        <v/>
      </c>
    </row>
    <row r="30">
      <c r="A30">
        <f>IF($L30="","",IF(INDEX('Per Invoice'!$A$2:$A$151,$L30)="","",INDEX('Per Invoice'!$A$2:$A$151,$L30)))</f>
        <v/>
      </c>
      <c r="B30">
        <f>IF($L30="","",IF(INDEX('Per Invoice'!$B$2:$B$151,$L30)="","",INDEX('Per Invoice'!$B$2:$B$151,$L30)))</f>
        <v/>
      </c>
      <c r="C30">
        <f>IF($L30="","",IF(INDEX('Per Invoice'!$C$2:$C$151,$L30)="","",INDEX('Per Invoice'!$C$2:$C$151,$L30)))</f>
        <v/>
      </c>
      <c r="D30">
        <f>IF($L30="","",IF(INDEX('Per Invoice'!$D$2:$D$151,$L30)="","",INDEX('Per Invoice'!$D$2:$D$151,$L30)))</f>
        <v/>
      </c>
      <c r="E30">
        <f>IF($L30="","",IF(INDEX('Per Invoice'!$E$2:$E$151,$L30)="","",INDEX('Per Invoice'!$E$2:$E$151,$L30)))</f>
        <v/>
      </c>
      <c r="F30" s="5">
        <f>IF($L30="","",IF(INDEX('Per Invoice'!$F$2:$F$151,$L30)="","",INDEX('Per Invoice'!$F$2:$F$151,$L30)))</f>
        <v/>
      </c>
      <c r="G30" s="5">
        <f>IF($L30="","",IF(INDEX('Per Invoice'!$G$2:$G$151,$L30)="","",INDEX('Per Invoice'!$G$2:$G$151,$L30)))</f>
        <v/>
      </c>
      <c r="H30" s="5">
        <f>IF($L30="","",IF(INDEX('Per Invoice'!$H$2:$H$151,$L30)="","",INDEX('Per Invoice'!$H$2:$H$151,$L30)))</f>
        <v/>
      </c>
      <c r="I30" s="5">
        <f>IF($L30="","",IF(INDEX('Per Invoice'!$I$2:$I$151,$L30)="","",INDEX('Per Invoice'!$I$2:$I$151,$L30)))</f>
        <v/>
      </c>
      <c r="J30" s="5">
        <f>IF($L30="","",IF(INDEX('Per Invoice'!$J$2:$J$151,$L30)="","",INDEX('Per Invoice'!$J$2:$J$151,$L30)))</f>
        <v/>
      </c>
      <c r="K30">
        <f>IF($L30="","",IF(INDEX('Per Invoice'!$K$2:$K$151,$L30)="","",INDEX('Per Invoice'!$K$2:$K$151,$L30)))</f>
        <v/>
      </c>
      <c r="L30">
        <f>IF(ROWS($L$2:$L30)&lt;=COUNT('Per Invoice'!$M$2:$M$151),MATCH(ROWS($L$2:$L30),'Per Invoice'!$M$2:$M$151,0),"")</f>
        <v/>
      </c>
    </row>
    <row r="31">
      <c r="A31">
        <f>IF($L31="","",IF(INDEX('Per Invoice'!$A$2:$A$151,$L31)="","",INDEX('Per Invoice'!$A$2:$A$151,$L31)))</f>
        <v/>
      </c>
      <c r="B31">
        <f>IF($L31="","",IF(INDEX('Per Invoice'!$B$2:$B$151,$L31)="","",INDEX('Per Invoice'!$B$2:$B$151,$L31)))</f>
        <v/>
      </c>
      <c r="C31">
        <f>IF($L31="","",IF(INDEX('Per Invoice'!$C$2:$C$151,$L31)="","",INDEX('Per Invoice'!$C$2:$C$151,$L31)))</f>
        <v/>
      </c>
      <c r="D31">
        <f>IF($L31="","",IF(INDEX('Per Invoice'!$D$2:$D$151,$L31)="","",INDEX('Per Invoice'!$D$2:$D$151,$L31)))</f>
        <v/>
      </c>
      <c r="E31">
        <f>IF($L31="","",IF(INDEX('Per Invoice'!$E$2:$E$151,$L31)="","",INDEX('Per Invoice'!$E$2:$E$151,$L31)))</f>
        <v/>
      </c>
      <c r="F31" s="5">
        <f>IF($L31="","",IF(INDEX('Per Invoice'!$F$2:$F$151,$L31)="","",INDEX('Per Invoice'!$F$2:$F$151,$L31)))</f>
        <v/>
      </c>
      <c r="G31" s="5">
        <f>IF($L31="","",IF(INDEX('Per Invoice'!$G$2:$G$151,$L31)="","",INDEX('Per Invoice'!$G$2:$G$151,$L31)))</f>
        <v/>
      </c>
      <c r="H31" s="5">
        <f>IF($L31="","",IF(INDEX('Per Invoice'!$H$2:$H$151,$L31)="","",INDEX('Per Invoice'!$H$2:$H$151,$L31)))</f>
        <v/>
      </c>
      <c r="I31" s="5">
        <f>IF($L31="","",IF(INDEX('Per Invoice'!$I$2:$I$151,$L31)="","",INDEX('Per Invoice'!$I$2:$I$151,$L31)))</f>
        <v/>
      </c>
      <c r="J31" s="5">
        <f>IF($L31="","",IF(INDEX('Per Invoice'!$J$2:$J$151,$L31)="","",INDEX('Per Invoice'!$J$2:$J$151,$L31)))</f>
        <v/>
      </c>
      <c r="K31">
        <f>IF($L31="","",IF(INDEX('Per Invoice'!$K$2:$K$151,$L31)="","",INDEX('Per Invoice'!$K$2:$K$151,$L31)))</f>
        <v/>
      </c>
      <c r="L31">
        <f>IF(ROWS($L$2:$L31)&lt;=COUNT('Per Invoice'!$M$2:$M$151),MATCH(ROWS($L$2:$L31),'Per Invoice'!$M$2:$M$151,0),"")</f>
        <v/>
      </c>
    </row>
    <row r="32">
      <c r="A32">
        <f>IF($L32="","",IF(INDEX('Per Invoice'!$A$2:$A$151,$L32)="","",INDEX('Per Invoice'!$A$2:$A$151,$L32)))</f>
        <v/>
      </c>
      <c r="B32">
        <f>IF($L32="","",IF(INDEX('Per Invoice'!$B$2:$B$151,$L32)="","",INDEX('Per Invoice'!$B$2:$B$151,$L32)))</f>
        <v/>
      </c>
      <c r="C32">
        <f>IF($L32="","",IF(INDEX('Per Invoice'!$C$2:$C$151,$L32)="","",INDEX('Per Invoice'!$C$2:$C$151,$L32)))</f>
        <v/>
      </c>
      <c r="D32">
        <f>IF($L32="","",IF(INDEX('Per Invoice'!$D$2:$D$151,$L32)="","",INDEX('Per Invoice'!$D$2:$D$151,$L32)))</f>
        <v/>
      </c>
      <c r="E32">
        <f>IF($L32="","",IF(INDEX('Per Invoice'!$E$2:$E$151,$L32)="","",INDEX('Per Invoice'!$E$2:$E$151,$L32)))</f>
        <v/>
      </c>
      <c r="F32" s="5">
        <f>IF($L32="","",IF(INDEX('Per Invoice'!$F$2:$F$151,$L32)="","",INDEX('Per Invoice'!$F$2:$F$151,$L32)))</f>
        <v/>
      </c>
      <c r="G32" s="5">
        <f>IF($L32="","",IF(INDEX('Per Invoice'!$G$2:$G$151,$L32)="","",INDEX('Per Invoice'!$G$2:$G$151,$L32)))</f>
        <v/>
      </c>
      <c r="H32" s="5">
        <f>IF($L32="","",IF(INDEX('Per Invoice'!$H$2:$H$151,$L32)="","",INDEX('Per Invoice'!$H$2:$H$151,$L32)))</f>
        <v/>
      </c>
      <c r="I32" s="5">
        <f>IF($L32="","",IF(INDEX('Per Invoice'!$I$2:$I$151,$L32)="","",INDEX('Per Invoice'!$I$2:$I$151,$L32)))</f>
        <v/>
      </c>
      <c r="J32" s="5">
        <f>IF($L32="","",IF(INDEX('Per Invoice'!$J$2:$J$151,$L32)="","",INDEX('Per Invoice'!$J$2:$J$151,$L32)))</f>
        <v/>
      </c>
      <c r="K32">
        <f>IF($L32="","",IF(INDEX('Per Invoice'!$K$2:$K$151,$L32)="","",INDEX('Per Invoice'!$K$2:$K$151,$L32)))</f>
        <v/>
      </c>
      <c r="L32">
        <f>IF(ROWS($L$2:$L32)&lt;=COUNT('Per Invoice'!$M$2:$M$151),MATCH(ROWS($L$2:$L32),'Per Invoice'!$M$2:$M$151,0),"")</f>
        <v/>
      </c>
    </row>
    <row r="33">
      <c r="A33">
        <f>IF($L33="","",IF(INDEX('Per Invoice'!$A$2:$A$151,$L33)="","",INDEX('Per Invoice'!$A$2:$A$151,$L33)))</f>
        <v/>
      </c>
      <c r="B33">
        <f>IF($L33="","",IF(INDEX('Per Invoice'!$B$2:$B$151,$L33)="","",INDEX('Per Invoice'!$B$2:$B$151,$L33)))</f>
        <v/>
      </c>
      <c r="C33">
        <f>IF($L33="","",IF(INDEX('Per Invoice'!$C$2:$C$151,$L33)="","",INDEX('Per Invoice'!$C$2:$C$151,$L33)))</f>
        <v/>
      </c>
      <c r="D33">
        <f>IF($L33="","",IF(INDEX('Per Invoice'!$D$2:$D$151,$L33)="","",INDEX('Per Invoice'!$D$2:$D$151,$L33)))</f>
        <v/>
      </c>
      <c r="E33">
        <f>IF($L33="","",IF(INDEX('Per Invoice'!$E$2:$E$151,$L33)="","",INDEX('Per Invoice'!$E$2:$E$151,$L33)))</f>
        <v/>
      </c>
      <c r="F33" s="5">
        <f>IF($L33="","",IF(INDEX('Per Invoice'!$F$2:$F$151,$L33)="","",INDEX('Per Invoice'!$F$2:$F$151,$L33)))</f>
        <v/>
      </c>
      <c r="G33" s="5">
        <f>IF($L33="","",IF(INDEX('Per Invoice'!$G$2:$G$151,$L33)="","",INDEX('Per Invoice'!$G$2:$G$151,$L33)))</f>
        <v/>
      </c>
      <c r="H33" s="5">
        <f>IF($L33="","",IF(INDEX('Per Invoice'!$H$2:$H$151,$L33)="","",INDEX('Per Invoice'!$H$2:$H$151,$L33)))</f>
        <v/>
      </c>
      <c r="I33" s="5">
        <f>IF($L33="","",IF(INDEX('Per Invoice'!$I$2:$I$151,$L33)="","",INDEX('Per Invoice'!$I$2:$I$151,$L33)))</f>
        <v/>
      </c>
      <c r="J33" s="5">
        <f>IF($L33="","",IF(INDEX('Per Invoice'!$J$2:$J$151,$L33)="","",INDEX('Per Invoice'!$J$2:$J$151,$L33)))</f>
        <v/>
      </c>
      <c r="K33">
        <f>IF($L33="","",IF(INDEX('Per Invoice'!$K$2:$K$151,$L33)="","",INDEX('Per Invoice'!$K$2:$K$151,$L33)))</f>
        <v/>
      </c>
      <c r="L33">
        <f>IF(ROWS($L$2:$L33)&lt;=COUNT('Per Invoice'!$M$2:$M$151),MATCH(ROWS($L$2:$L33),'Per Invoice'!$M$2:$M$151,0),"")</f>
        <v/>
      </c>
    </row>
    <row r="34">
      <c r="A34">
        <f>IF($L34="","",IF(INDEX('Per Invoice'!$A$2:$A$151,$L34)="","",INDEX('Per Invoice'!$A$2:$A$151,$L34)))</f>
        <v/>
      </c>
      <c r="B34">
        <f>IF($L34="","",IF(INDEX('Per Invoice'!$B$2:$B$151,$L34)="","",INDEX('Per Invoice'!$B$2:$B$151,$L34)))</f>
        <v/>
      </c>
      <c r="C34">
        <f>IF($L34="","",IF(INDEX('Per Invoice'!$C$2:$C$151,$L34)="","",INDEX('Per Invoice'!$C$2:$C$151,$L34)))</f>
        <v/>
      </c>
      <c r="D34">
        <f>IF($L34="","",IF(INDEX('Per Invoice'!$D$2:$D$151,$L34)="","",INDEX('Per Invoice'!$D$2:$D$151,$L34)))</f>
        <v/>
      </c>
      <c r="E34">
        <f>IF($L34="","",IF(INDEX('Per Invoice'!$E$2:$E$151,$L34)="","",INDEX('Per Invoice'!$E$2:$E$151,$L34)))</f>
        <v/>
      </c>
      <c r="F34" s="5">
        <f>IF($L34="","",IF(INDEX('Per Invoice'!$F$2:$F$151,$L34)="","",INDEX('Per Invoice'!$F$2:$F$151,$L34)))</f>
        <v/>
      </c>
      <c r="G34" s="5">
        <f>IF($L34="","",IF(INDEX('Per Invoice'!$G$2:$G$151,$L34)="","",INDEX('Per Invoice'!$G$2:$G$151,$L34)))</f>
        <v/>
      </c>
      <c r="H34" s="5">
        <f>IF($L34="","",IF(INDEX('Per Invoice'!$H$2:$H$151,$L34)="","",INDEX('Per Invoice'!$H$2:$H$151,$L34)))</f>
        <v/>
      </c>
      <c r="I34" s="5">
        <f>IF($L34="","",IF(INDEX('Per Invoice'!$I$2:$I$151,$L34)="","",INDEX('Per Invoice'!$I$2:$I$151,$L34)))</f>
        <v/>
      </c>
      <c r="J34" s="5">
        <f>IF($L34="","",IF(INDEX('Per Invoice'!$J$2:$J$151,$L34)="","",INDEX('Per Invoice'!$J$2:$J$151,$L34)))</f>
        <v/>
      </c>
      <c r="K34">
        <f>IF($L34="","",IF(INDEX('Per Invoice'!$K$2:$K$151,$L34)="","",INDEX('Per Invoice'!$K$2:$K$151,$L34)))</f>
        <v/>
      </c>
      <c r="L34">
        <f>IF(ROWS($L$2:$L34)&lt;=COUNT('Per Invoice'!$M$2:$M$151),MATCH(ROWS($L$2:$L34),'Per Invoice'!$M$2:$M$151,0),"")</f>
        <v/>
      </c>
    </row>
    <row r="35">
      <c r="A35">
        <f>IF($L35="","",IF(INDEX('Per Invoice'!$A$2:$A$151,$L35)="","",INDEX('Per Invoice'!$A$2:$A$151,$L35)))</f>
        <v/>
      </c>
      <c r="B35">
        <f>IF($L35="","",IF(INDEX('Per Invoice'!$B$2:$B$151,$L35)="","",INDEX('Per Invoice'!$B$2:$B$151,$L35)))</f>
        <v/>
      </c>
      <c r="C35">
        <f>IF($L35="","",IF(INDEX('Per Invoice'!$C$2:$C$151,$L35)="","",INDEX('Per Invoice'!$C$2:$C$151,$L35)))</f>
        <v/>
      </c>
      <c r="D35">
        <f>IF($L35="","",IF(INDEX('Per Invoice'!$D$2:$D$151,$L35)="","",INDEX('Per Invoice'!$D$2:$D$151,$L35)))</f>
        <v/>
      </c>
      <c r="E35">
        <f>IF($L35="","",IF(INDEX('Per Invoice'!$E$2:$E$151,$L35)="","",INDEX('Per Invoice'!$E$2:$E$151,$L35)))</f>
        <v/>
      </c>
      <c r="F35" s="5">
        <f>IF($L35="","",IF(INDEX('Per Invoice'!$F$2:$F$151,$L35)="","",INDEX('Per Invoice'!$F$2:$F$151,$L35)))</f>
        <v/>
      </c>
      <c r="G35" s="5">
        <f>IF($L35="","",IF(INDEX('Per Invoice'!$G$2:$G$151,$L35)="","",INDEX('Per Invoice'!$G$2:$G$151,$L35)))</f>
        <v/>
      </c>
      <c r="H35" s="5">
        <f>IF($L35="","",IF(INDEX('Per Invoice'!$H$2:$H$151,$L35)="","",INDEX('Per Invoice'!$H$2:$H$151,$L35)))</f>
        <v/>
      </c>
      <c r="I35" s="5">
        <f>IF($L35="","",IF(INDEX('Per Invoice'!$I$2:$I$151,$L35)="","",INDEX('Per Invoice'!$I$2:$I$151,$L35)))</f>
        <v/>
      </c>
      <c r="J35" s="5">
        <f>IF($L35="","",IF(INDEX('Per Invoice'!$J$2:$J$151,$L35)="","",INDEX('Per Invoice'!$J$2:$J$151,$L35)))</f>
        <v/>
      </c>
      <c r="K35">
        <f>IF($L35="","",IF(INDEX('Per Invoice'!$K$2:$K$151,$L35)="","",INDEX('Per Invoice'!$K$2:$K$151,$L35)))</f>
        <v/>
      </c>
      <c r="L35">
        <f>IF(ROWS($L$2:$L35)&lt;=COUNT('Per Invoice'!$M$2:$M$151),MATCH(ROWS($L$2:$L35),'Per Invoice'!$M$2:$M$151,0),"")</f>
        <v/>
      </c>
    </row>
    <row r="36">
      <c r="A36">
        <f>IF($L36="","",IF(INDEX('Per Invoice'!$A$2:$A$151,$L36)="","",INDEX('Per Invoice'!$A$2:$A$151,$L36)))</f>
        <v/>
      </c>
      <c r="B36">
        <f>IF($L36="","",IF(INDEX('Per Invoice'!$B$2:$B$151,$L36)="","",INDEX('Per Invoice'!$B$2:$B$151,$L36)))</f>
        <v/>
      </c>
      <c r="C36">
        <f>IF($L36="","",IF(INDEX('Per Invoice'!$C$2:$C$151,$L36)="","",INDEX('Per Invoice'!$C$2:$C$151,$L36)))</f>
        <v/>
      </c>
      <c r="D36">
        <f>IF($L36="","",IF(INDEX('Per Invoice'!$D$2:$D$151,$L36)="","",INDEX('Per Invoice'!$D$2:$D$151,$L36)))</f>
        <v/>
      </c>
      <c r="E36">
        <f>IF($L36="","",IF(INDEX('Per Invoice'!$E$2:$E$151,$L36)="","",INDEX('Per Invoice'!$E$2:$E$151,$L36)))</f>
        <v/>
      </c>
      <c r="F36" s="5">
        <f>IF($L36="","",IF(INDEX('Per Invoice'!$F$2:$F$151,$L36)="","",INDEX('Per Invoice'!$F$2:$F$151,$L36)))</f>
        <v/>
      </c>
      <c r="G36" s="5">
        <f>IF($L36="","",IF(INDEX('Per Invoice'!$G$2:$G$151,$L36)="","",INDEX('Per Invoice'!$G$2:$G$151,$L36)))</f>
        <v/>
      </c>
      <c r="H36" s="5">
        <f>IF($L36="","",IF(INDEX('Per Invoice'!$H$2:$H$151,$L36)="","",INDEX('Per Invoice'!$H$2:$H$151,$L36)))</f>
        <v/>
      </c>
      <c r="I36" s="5">
        <f>IF($L36="","",IF(INDEX('Per Invoice'!$I$2:$I$151,$L36)="","",INDEX('Per Invoice'!$I$2:$I$151,$L36)))</f>
        <v/>
      </c>
      <c r="J36" s="5">
        <f>IF($L36="","",IF(INDEX('Per Invoice'!$J$2:$J$151,$L36)="","",INDEX('Per Invoice'!$J$2:$J$151,$L36)))</f>
        <v/>
      </c>
      <c r="K36">
        <f>IF($L36="","",IF(INDEX('Per Invoice'!$K$2:$K$151,$L36)="","",INDEX('Per Invoice'!$K$2:$K$151,$L36)))</f>
        <v/>
      </c>
      <c r="L36">
        <f>IF(ROWS($L$2:$L36)&lt;=COUNT('Per Invoice'!$M$2:$M$151),MATCH(ROWS($L$2:$L36),'Per Invoice'!$M$2:$M$151,0),"")</f>
        <v/>
      </c>
    </row>
    <row r="37">
      <c r="A37">
        <f>IF($L37="","",IF(INDEX('Per Invoice'!$A$2:$A$151,$L37)="","",INDEX('Per Invoice'!$A$2:$A$151,$L37)))</f>
        <v/>
      </c>
      <c r="B37">
        <f>IF($L37="","",IF(INDEX('Per Invoice'!$B$2:$B$151,$L37)="","",INDEX('Per Invoice'!$B$2:$B$151,$L37)))</f>
        <v/>
      </c>
      <c r="C37">
        <f>IF($L37="","",IF(INDEX('Per Invoice'!$C$2:$C$151,$L37)="","",INDEX('Per Invoice'!$C$2:$C$151,$L37)))</f>
        <v/>
      </c>
      <c r="D37">
        <f>IF($L37="","",IF(INDEX('Per Invoice'!$D$2:$D$151,$L37)="","",INDEX('Per Invoice'!$D$2:$D$151,$L37)))</f>
        <v/>
      </c>
      <c r="E37">
        <f>IF($L37="","",IF(INDEX('Per Invoice'!$E$2:$E$151,$L37)="","",INDEX('Per Invoice'!$E$2:$E$151,$L37)))</f>
        <v/>
      </c>
      <c r="F37" s="5">
        <f>IF($L37="","",IF(INDEX('Per Invoice'!$F$2:$F$151,$L37)="","",INDEX('Per Invoice'!$F$2:$F$151,$L37)))</f>
        <v/>
      </c>
      <c r="G37" s="5">
        <f>IF($L37="","",IF(INDEX('Per Invoice'!$G$2:$G$151,$L37)="","",INDEX('Per Invoice'!$G$2:$G$151,$L37)))</f>
        <v/>
      </c>
      <c r="H37" s="5">
        <f>IF($L37="","",IF(INDEX('Per Invoice'!$H$2:$H$151,$L37)="","",INDEX('Per Invoice'!$H$2:$H$151,$L37)))</f>
        <v/>
      </c>
      <c r="I37" s="5">
        <f>IF($L37="","",IF(INDEX('Per Invoice'!$I$2:$I$151,$L37)="","",INDEX('Per Invoice'!$I$2:$I$151,$L37)))</f>
        <v/>
      </c>
      <c r="J37" s="5">
        <f>IF($L37="","",IF(INDEX('Per Invoice'!$J$2:$J$151,$L37)="","",INDEX('Per Invoice'!$J$2:$J$151,$L37)))</f>
        <v/>
      </c>
      <c r="K37">
        <f>IF($L37="","",IF(INDEX('Per Invoice'!$K$2:$K$151,$L37)="","",INDEX('Per Invoice'!$K$2:$K$151,$L37)))</f>
        <v/>
      </c>
      <c r="L37">
        <f>IF(ROWS($L$2:$L37)&lt;=COUNT('Per Invoice'!$M$2:$M$151),MATCH(ROWS($L$2:$L37),'Per Invoice'!$M$2:$M$151,0),"")</f>
        <v/>
      </c>
    </row>
    <row r="38">
      <c r="A38">
        <f>IF($L38="","",IF(INDEX('Per Invoice'!$A$2:$A$151,$L38)="","",INDEX('Per Invoice'!$A$2:$A$151,$L38)))</f>
        <v/>
      </c>
      <c r="B38">
        <f>IF($L38="","",IF(INDEX('Per Invoice'!$B$2:$B$151,$L38)="","",INDEX('Per Invoice'!$B$2:$B$151,$L38)))</f>
        <v/>
      </c>
      <c r="C38">
        <f>IF($L38="","",IF(INDEX('Per Invoice'!$C$2:$C$151,$L38)="","",INDEX('Per Invoice'!$C$2:$C$151,$L38)))</f>
        <v/>
      </c>
      <c r="D38">
        <f>IF($L38="","",IF(INDEX('Per Invoice'!$D$2:$D$151,$L38)="","",INDEX('Per Invoice'!$D$2:$D$151,$L38)))</f>
        <v/>
      </c>
      <c r="E38">
        <f>IF($L38="","",IF(INDEX('Per Invoice'!$E$2:$E$151,$L38)="","",INDEX('Per Invoice'!$E$2:$E$151,$L38)))</f>
        <v/>
      </c>
      <c r="F38" s="5">
        <f>IF($L38="","",IF(INDEX('Per Invoice'!$F$2:$F$151,$L38)="","",INDEX('Per Invoice'!$F$2:$F$151,$L38)))</f>
        <v/>
      </c>
      <c r="G38" s="5">
        <f>IF($L38="","",IF(INDEX('Per Invoice'!$G$2:$G$151,$L38)="","",INDEX('Per Invoice'!$G$2:$G$151,$L38)))</f>
        <v/>
      </c>
      <c r="H38" s="5">
        <f>IF($L38="","",IF(INDEX('Per Invoice'!$H$2:$H$151,$L38)="","",INDEX('Per Invoice'!$H$2:$H$151,$L38)))</f>
        <v/>
      </c>
      <c r="I38" s="5">
        <f>IF($L38="","",IF(INDEX('Per Invoice'!$I$2:$I$151,$L38)="","",INDEX('Per Invoice'!$I$2:$I$151,$L38)))</f>
        <v/>
      </c>
      <c r="J38" s="5">
        <f>IF($L38="","",IF(INDEX('Per Invoice'!$J$2:$J$151,$L38)="","",INDEX('Per Invoice'!$J$2:$J$151,$L38)))</f>
        <v/>
      </c>
      <c r="K38">
        <f>IF($L38="","",IF(INDEX('Per Invoice'!$K$2:$K$151,$L38)="","",INDEX('Per Invoice'!$K$2:$K$151,$L38)))</f>
        <v/>
      </c>
      <c r="L38">
        <f>IF(ROWS($L$2:$L38)&lt;=COUNT('Per Invoice'!$M$2:$M$151),MATCH(ROWS($L$2:$L38),'Per Invoice'!$M$2:$M$151,0),"")</f>
        <v/>
      </c>
    </row>
    <row r="39">
      <c r="A39">
        <f>IF($L39="","",IF(INDEX('Per Invoice'!$A$2:$A$151,$L39)="","",INDEX('Per Invoice'!$A$2:$A$151,$L39)))</f>
        <v/>
      </c>
      <c r="B39">
        <f>IF($L39="","",IF(INDEX('Per Invoice'!$B$2:$B$151,$L39)="","",INDEX('Per Invoice'!$B$2:$B$151,$L39)))</f>
        <v/>
      </c>
      <c r="C39">
        <f>IF($L39="","",IF(INDEX('Per Invoice'!$C$2:$C$151,$L39)="","",INDEX('Per Invoice'!$C$2:$C$151,$L39)))</f>
        <v/>
      </c>
      <c r="D39">
        <f>IF($L39="","",IF(INDEX('Per Invoice'!$D$2:$D$151,$L39)="","",INDEX('Per Invoice'!$D$2:$D$151,$L39)))</f>
        <v/>
      </c>
      <c r="E39">
        <f>IF($L39="","",IF(INDEX('Per Invoice'!$E$2:$E$151,$L39)="","",INDEX('Per Invoice'!$E$2:$E$151,$L39)))</f>
        <v/>
      </c>
      <c r="F39" s="5">
        <f>IF($L39="","",IF(INDEX('Per Invoice'!$F$2:$F$151,$L39)="","",INDEX('Per Invoice'!$F$2:$F$151,$L39)))</f>
        <v/>
      </c>
      <c r="G39" s="5">
        <f>IF($L39="","",IF(INDEX('Per Invoice'!$G$2:$G$151,$L39)="","",INDEX('Per Invoice'!$G$2:$G$151,$L39)))</f>
        <v/>
      </c>
      <c r="H39" s="5">
        <f>IF($L39="","",IF(INDEX('Per Invoice'!$H$2:$H$151,$L39)="","",INDEX('Per Invoice'!$H$2:$H$151,$L39)))</f>
        <v/>
      </c>
      <c r="I39" s="5">
        <f>IF($L39="","",IF(INDEX('Per Invoice'!$I$2:$I$151,$L39)="","",INDEX('Per Invoice'!$I$2:$I$151,$L39)))</f>
        <v/>
      </c>
      <c r="J39" s="5">
        <f>IF($L39="","",IF(INDEX('Per Invoice'!$J$2:$J$151,$L39)="","",INDEX('Per Invoice'!$J$2:$J$151,$L39)))</f>
        <v/>
      </c>
      <c r="K39">
        <f>IF($L39="","",IF(INDEX('Per Invoice'!$K$2:$K$151,$L39)="","",INDEX('Per Invoice'!$K$2:$K$151,$L39)))</f>
        <v/>
      </c>
      <c r="L39">
        <f>IF(ROWS($L$2:$L39)&lt;=COUNT('Per Invoice'!$M$2:$M$151),MATCH(ROWS($L$2:$L39),'Per Invoice'!$M$2:$M$151,0),"")</f>
        <v/>
      </c>
    </row>
    <row r="40">
      <c r="A40">
        <f>IF($L40="","",IF(INDEX('Per Invoice'!$A$2:$A$151,$L40)="","",INDEX('Per Invoice'!$A$2:$A$151,$L40)))</f>
        <v/>
      </c>
      <c r="B40">
        <f>IF($L40="","",IF(INDEX('Per Invoice'!$B$2:$B$151,$L40)="","",INDEX('Per Invoice'!$B$2:$B$151,$L40)))</f>
        <v/>
      </c>
      <c r="C40">
        <f>IF($L40="","",IF(INDEX('Per Invoice'!$C$2:$C$151,$L40)="","",INDEX('Per Invoice'!$C$2:$C$151,$L40)))</f>
        <v/>
      </c>
      <c r="D40">
        <f>IF($L40="","",IF(INDEX('Per Invoice'!$D$2:$D$151,$L40)="","",INDEX('Per Invoice'!$D$2:$D$151,$L40)))</f>
        <v/>
      </c>
      <c r="E40">
        <f>IF($L40="","",IF(INDEX('Per Invoice'!$E$2:$E$151,$L40)="","",INDEX('Per Invoice'!$E$2:$E$151,$L40)))</f>
        <v/>
      </c>
      <c r="F40" s="5">
        <f>IF($L40="","",IF(INDEX('Per Invoice'!$F$2:$F$151,$L40)="","",INDEX('Per Invoice'!$F$2:$F$151,$L40)))</f>
        <v/>
      </c>
      <c r="G40" s="5">
        <f>IF($L40="","",IF(INDEX('Per Invoice'!$G$2:$G$151,$L40)="","",INDEX('Per Invoice'!$G$2:$G$151,$L40)))</f>
        <v/>
      </c>
      <c r="H40" s="5">
        <f>IF($L40="","",IF(INDEX('Per Invoice'!$H$2:$H$151,$L40)="","",INDEX('Per Invoice'!$H$2:$H$151,$L40)))</f>
        <v/>
      </c>
      <c r="I40" s="5">
        <f>IF($L40="","",IF(INDEX('Per Invoice'!$I$2:$I$151,$L40)="","",INDEX('Per Invoice'!$I$2:$I$151,$L40)))</f>
        <v/>
      </c>
      <c r="J40" s="5">
        <f>IF($L40="","",IF(INDEX('Per Invoice'!$J$2:$J$151,$L40)="","",INDEX('Per Invoice'!$J$2:$J$151,$L40)))</f>
        <v/>
      </c>
      <c r="K40">
        <f>IF($L40="","",IF(INDEX('Per Invoice'!$K$2:$K$151,$L40)="","",INDEX('Per Invoice'!$K$2:$K$151,$L40)))</f>
        <v/>
      </c>
      <c r="L40">
        <f>IF(ROWS($L$2:$L40)&lt;=COUNT('Per Invoice'!$M$2:$M$151),MATCH(ROWS($L$2:$L40),'Per Invoice'!$M$2:$M$151,0),"")</f>
        <v/>
      </c>
    </row>
    <row r="41">
      <c r="A41">
        <f>IF($L41="","",IF(INDEX('Per Invoice'!$A$2:$A$151,$L41)="","",INDEX('Per Invoice'!$A$2:$A$151,$L41)))</f>
        <v/>
      </c>
      <c r="B41">
        <f>IF($L41="","",IF(INDEX('Per Invoice'!$B$2:$B$151,$L41)="","",INDEX('Per Invoice'!$B$2:$B$151,$L41)))</f>
        <v/>
      </c>
      <c r="C41">
        <f>IF($L41="","",IF(INDEX('Per Invoice'!$C$2:$C$151,$L41)="","",INDEX('Per Invoice'!$C$2:$C$151,$L41)))</f>
        <v/>
      </c>
      <c r="D41">
        <f>IF($L41="","",IF(INDEX('Per Invoice'!$D$2:$D$151,$L41)="","",INDEX('Per Invoice'!$D$2:$D$151,$L41)))</f>
        <v/>
      </c>
      <c r="E41">
        <f>IF($L41="","",IF(INDEX('Per Invoice'!$E$2:$E$151,$L41)="","",INDEX('Per Invoice'!$E$2:$E$151,$L41)))</f>
        <v/>
      </c>
      <c r="F41" s="5">
        <f>IF($L41="","",IF(INDEX('Per Invoice'!$F$2:$F$151,$L41)="","",INDEX('Per Invoice'!$F$2:$F$151,$L41)))</f>
        <v/>
      </c>
      <c r="G41" s="5">
        <f>IF($L41="","",IF(INDEX('Per Invoice'!$G$2:$G$151,$L41)="","",INDEX('Per Invoice'!$G$2:$G$151,$L41)))</f>
        <v/>
      </c>
      <c r="H41" s="5">
        <f>IF($L41="","",IF(INDEX('Per Invoice'!$H$2:$H$151,$L41)="","",INDEX('Per Invoice'!$H$2:$H$151,$L41)))</f>
        <v/>
      </c>
      <c r="I41" s="5">
        <f>IF($L41="","",IF(INDEX('Per Invoice'!$I$2:$I$151,$L41)="","",INDEX('Per Invoice'!$I$2:$I$151,$L41)))</f>
        <v/>
      </c>
      <c r="J41" s="5">
        <f>IF($L41="","",IF(INDEX('Per Invoice'!$J$2:$J$151,$L41)="","",INDEX('Per Invoice'!$J$2:$J$151,$L41)))</f>
        <v/>
      </c>
      <c r="K41">
        <f>IF($L41="","",IF(INDEX('Per Invoice'!$K$2:$K$151,$L41)="","",INDEX('Per Invoice'!$K$2:$K$151,$L41)))</f>
        <v/>
      </c>
      <c r="L41">
        <f>IF(ROWS($L$2:$L41)&lt;=COUNT('Per Invoice'!$M$2:$M$151),MATCH(ROWS($L$2:$L41),'Per Invoice'!$M$2:$M$151,0),"")</f>
        <v/>
      </c>
    </row>
    <row r="42">
      <c r="A42">
        <f>IF($L42="","",IF(INDEX('Per Invoice'!$A$2:$A$151,$L42)="","",INDEX('Per Invoice'!$A$2:$A$151,$L42)))</f>
        <v/>
      </c>
      <c r="B42">
        <f>IF($L42="","",IF(INDEX('Per Invoice'!$B$2:$B$151,$L42)="","",INDEX('Per Invoice'!$B$2:$B$151,$L42)))</f>
        <v/>
      </c>
      <c r="C42">
        <f>IF($L42="","",IF(INDEX('Per Invoice'!$C$2:$C$151,$L42)="","",INDEX('Per Invoice'!$C$2:$C$151,$L42)))</f>
        <v/>
      </c>
      <c r="D42">
        <f>IF($L42="","",IF(INDEX('Per Invoice'!$D$2:$D$151,$L42)="","",INDEX('Per Invoice'!$D$2:$D$151,$L42)))</f>
        <v/>
      </c>
      <c r="E42">
        <f>IF($L42="","",IF(INDEX('Per Invoice'!$E$2:$E$151,$L42)="","",INDEX('Per Invoice'!$E$2:$E$151,$L42)))</f>
        <v/>
      </c>
      <c r="F42" s="5">
        <f>IF($L42="","",IF(INDEX('Per Invoice'!$F$2:$F$151,$L42)="","",INDEX('Per Invoice'!$F$2:$F$151,$L42)))</f>
        <v/>
      </c>
      <c r="G42" s="5">
        <f>IF($L42="","",IF(INDEX('Per Invoice'!$G$2:$G$151,$L42)="","",INDEX('Per Invoice'!$G$2:$G$151,$L42)))</f>
        <v/>
      </c>
      <c r="H42" s="5">
        <f>IF($L42="","",IF(INDEX('Per Invoice'!$H$2:$H$151,$L42)="","",INDEX('Per Invoice'!$H$2:$H$151,$L42)))</f>
        <v/>
      </c>
      <c r="I42" s="5">
        <f>IF($L42="","",IF(INDEX('Per Invoice'!$I$2:$I$151,$L42)="","",INDEX('Per Invoice'!$I$2:$I$151,$L42)))</f>
        <v/>
      </c>
      <c r="J42" s="5">
        <f>IF($L42="","",IF(INDEX('Per Invoice'!$J$2:$J$151,$L42)="","",INDEX('Per Invoice'!$J$2:$J$151,$L42)))</f>
        <v/>
      </c>
      <c r="K42">
        <f>IF($L42="","",IF(INDEX('Per Invoice'!$K$2:$K$151,$L42)="","",INDEX('Per Invoice'!$K$2:$K$151,$L42)))</f>
        <v/>
      </c>
      <c r="L42">
        <f>IF(ROWS($L$2:$L42)&lt;=COUNT('Per Invoice'!$M$2:$M$151),MATCH(ROWS($L$2:$L42),'Per Invoice'!$M$2:$M$151,0),"")</f>
        <v/>
      </c>
    </row>
    <row r="43">
      <c r="A43">
        <f>IF($L43="","",IF(INDEX('Per Invoice'!$A$2:$A$151,$L43)="","",INDEX('Per Invoice'!$A$2:$A$151,$L43)))</f>
        <v/>
      </c>
      <c r="B43">
        <f>IF($L43="","",IF(INDEX('Per Invoice'!$B$2:$B$151,$L43)="","",INDEX('Per Invoice'!$B$2:$B$151,$L43)))</f>
        <v/>
      </c>
      <c r="C43">
        <f>IF($L43="","",IF(INDEX('Per Invoice'!$C$2:$C$151,$L43)="","",INDEX('Per Invoice'!$C$2:$C$151,$L43)))</f>
        <v/>
      </c>
      <c r="D43">
        <f>IF($L43="","",IF(INDEX('Per Invoice'!$D$2:$D$151,$L43)="","",INDEX('Per Invoice'!$D$2:$D$151,$L43)))</f>
        <v/>
      </c>
      <c r="E43">
        <f>IF($L43="","",IF(INDEX('Per Invoice'!$E$2:$E$151,$L43)="","",INDEX('Per Invoice'!$E$2:$E$151,$L43)))</f>
        <v/>
      </c>
      <c r="F43" s="5">
        <f>IF($L43="","",IF(INDEX('Per Invoice'!$F$2:$F$151,$L43)="","",INDEX('Per Invoice'!$F$2:$F$151,$L43)))</f>
        <v/>
      </c>
      <c r="G43" s="5">
        <f>IF($L43="","",IF(INDEX('Per Invoice'!$G$2:$G$151,$L43)="","",INDEX('Per Invoice'!$G$2:$G$151,$L43)))</f>
        <v/>
      </c>
      <c r="H43" s="5">
        <f>IF($L43="","",IF(INDEX('Per Invoice'!$H$2:$H$151,$L43)="","",INDEX('Per Invoice'!$H$2:$H$151,$L43)))</f>
        <v/>
      </c>
      <c r="I43" s="5">
        <f>IF($L43="","",IF(INDEX('Per Invoice'!$I$2:$I$151,$L43)="","",INDEX('Per Invoice'!$I$2:$I$151,$L43)))</f>
        <v/>
      </c>
      <c r="J43" s="5">
        <f>IF($L43="","",IF(INDEX('Per Invoice'!$J$2:$J$151,$L43)="","",INDEX('Per Invoice'!$J$2:$J$151,$L43)))</f>
        <v/>
      </c>
      <c r="K43">
        <f>IF($L43="","",IF(INDEX('Per Invoice'!$K$2:$K$151,$L43)="","",INDEX('Per Invoice'!$K$2:$K$151,$L43)))</f>
        <v/>
      </c>
      <c r="L43">
        <f>IF(ROWS($L$2:$L43)&lt;=COUNT('Per Invoice'!$M$2:$M$151),MATCH(ROWS($L$2:$L43),'Per Invoice'!$M$2:$M$151,0),"")</f>
        <v/>
      </c>
    </row>
    <row r="44">
      <c r="A44">
        <f>IF($L44="","",IF(INDEX('Per Invoice'!$A$2:$A$151,$L44)="","",INDEX('Per Invoice'!$A$2:$A$151,$L44)))</f>
        <v/>
      </c>
      <c r="B44">
        <f>IF($L44="","",IF(INDEX('Per Invoice'!$B$2:$B$151,$L44)="","",INDEX('Per Invoice'!$B$2:$B$151,$L44)))</f>
        <v/>
      </c>
      <c r="C44">
        <f>IF($L44="","",IF(INDEX('Per Invoice'!$C$2:$C$151,$L44)="","",INDEX('Per Invoice'!$C$2:$C$151,$L44)))</f>
        <v/>
      </c>
      <c r="D44">
        <f>IF($L44="","",IF(INDEX('Per Invoice'!$D$2:$D$151,$L44)="","",INDEX('Per Invoice'!$D$2:$D$151,$L44)))</f>
        <v/>
      </c>
      <c r="E44">
        <f>IF($L44="","",IF(INDEX('Per Invoice'!$E$2:$E$151,$L44)="","",INDEX('Per Invoice'!$E$2:$E$151,$L44)))</f>
        <v/>
      </c>
      <c r="F44" s="5">
        <f>IF($L44="","",IF(INDEX('Per Invoice'!$F$2:$F$151,$L44)="","",INDEX('Per Invoice'!$F$2:$F$151,$L44)))</f>
        <v/>
      </c>
      <c r="G44" s="5">
        <f>IF($L44="","",IF(INDEX('Per Invoice'!$G$2:$G$151,$L44)="","",INDEX('Per Invoice'!$G$2:$G$151,$L44)))</f>
        <v/>
      </c>
      <c r="H44" s="5">
        <f>IF($L44="","",IF(INDEX('Per Invoice'!$H$2:$H$151,$L44)="","",INDEX('Per Invoice'!$H$2:$H$151,$L44)))</f>
        <v/>
      </c>
      <c r="I44" s="5">
        <f>IF($L44="","",IF(INDEX('Per Invoice'!$I$2:$I$151,$L44)="","",INDEX('Per Invoice'!$I$2:$I$151,$L44)))</f>
        <v/>
      </c>
      <c r="J44" s="5">
        <f>IF($L44="","",IF(INDEX('Per Invoice'!$J$2:$J$151,$L44)="","",INDEX('Per Invoice'!$J$2:$J$151,$L44)))</f>
        <v/>
      </c>
      <c r="K44">
        <f>IF($L44="","",IF(INDEX('Per Invoice'!$K$2:$K$151,$L44)="","",INDEX('Per Invoice'!$K$2:$K$151,$L44)))</f>
        <v/>
      </c>
      <c r="L44">
        <f>IF(ROWS($L$2:$L44)&lt;=COUNT('Per Invoice'!$M$2:$M$151),MATCH(ROWS($L$2:$L44),'Per Invoice'!$M$2:$M$151,0),"")</f>
        <v/>
      </c>
    </row>
    <row r="45">
      <c r="A45">
        <f>IF($L45="","",IF(INDEX('Per Invoice'!$A$2:$A$151,$L45)="","",INDEX('Per Invoice'!$A$2:$A$151,$L45)))</f>
        <v/>
      </c>
      <c r="B45">
        <f>IF($L45="","",IF(INDEX('Per Invoice'!$B$2:$B$151,$L45)="","",INDEX('Per Invoice'!$B$2:$B$151,$L45)))</f>
        <v/>
      </c>
      <c r="C45">
        <f>IF($L45="","",IF(INDEX('Per Invoice'!$C$2:$C$151,$L45)="","",INDEX('Per Invoice'!$C$2:$C$151,$L45)))</f>
        <v/>
      </c>
      <c r="D45">
        <f>IF($L45="","",IF(INDEX('Per Invoice'!$D$2:$D$151,$L45)="","",INDEX('Per Invoice'!$D$2:$D$151,$L45)))</f>
        <v/>
      </c>
      <c r="E45">
        <f>IF($L45="","",IF(INDEX('Per Invoice'!$E$2:$E$151,$L45)="","",INDEX('Per Invoice'!$E$2:$E$151,$L45)))</f>
        <v/>
      </c>
      <c r="F45" s="5">
        <f>IF($L45="","",IF(INDEX('Per Invoice'!$F$2:$F$151,$L45)="","",INDEX('Per Invoice'!$F$2:$F$151,$L45)))</f>
        <v/>
      </c>
      <c r="G45" s="5">
        <f>IF($L45="","",IF(INDEX('Per Invoice'!$G$2:$G$151,$L45)="","",INDEX('Per Invoice'!$G$2:$G$151,$L45)))</f>
        <v/>
      </c>
      <c r="H45" s="5">
        <f>IF($L45="","",IF(INDEX('Per Invoice'!$H$2:$H$151,$L45)="","",INDEX('Per Invoice'!$H$2:$H$151,$L45)))</f>
        <v/>
      </c>
      <c r="I45" s="5">
        <f>IF($L45="","",IF(INDEX('Per Invoice'!$I$2:$I$151,$L45)="","",INDEX('Per Invoice'!$I$2:$I$151,$L45)))</f>
        <v/>
      </c>
      <c r="J45" s="5">
        <f>IF($L45="","",IF(INDEX('Per Invoice'!$J$2:$J$151,$L45)="","",INDEX('Per Invoice'!$J$2:$J$151,$L45)))</f>
        <v/>
      </c>
      <c r="K45">
        <f>IF($L45="","",IF(INDEX('Per Invoice'!$K$2:$K$151,$L45)="","",INDEX('Per Invoice'!$K$2:$K$151,$L45)))</f>
        <v/>
      </c>
      <c r="L45">
        <f>IF(ROWS($L$2:$L45)&lt;=COUNT('Per Invoice'!$M$2:$M$151),MATCH(ROWS($L$2:$L45),'Per Invoice'!$M$2:$M$151,0),"")</f>
        <v/>
      </c>
    </row>
    <row r="46">
      <c r="A46">
        <f>IF($L46="","",IF(INDEX('Per Invoice'!$A$2:$A$151,$L46)="","",INDEX('Per Invoice'!$A$2:$A$151,$L46)))</f>
        <v/>
      </c>
      <c r="B46">
        <f>IF($L46="","",IF(INDEX('Per Invoice'!$B$2:$B$151,$L46)="","",INDEX('Per Invoice'!$B$2:$B$151,$L46)))</f>
        <v/>
      </c>
      <c r="C46">
        <f>IF($L46="","",IF(INDEX('Per Invoice'!$C$2:$C$151,$L46)="","",INDEX('Per Invoice'!$C$2:$C$151,$L46)))</f>
        <v/>
      </c>
      <c r="D46">
        <f>IF($L46="","",IF(INDEX('Per Invoice'!$D$2:$D$151,$L46)="","",INDEX('Per Invoice'!$D$2:$D$151,$L46)))</f>
        <v/>
      </c>
      <c r="E46">
        <f>IF($L46="","",IF(INDEX('Per Invoice'!$E$2:$E$151,$L46)="","",INDEX('Per Invoice'!$E$2:$E$151,$L46)))</f>
        <v/>
      </c>
      <c r="F46" s="5">
        <f>IF($L46="","",IF(INDEX('Per Invoice'!$F$2:$F$151,$L46)="","",INDEX('Per Invoice'!$F$2:$F$151,$L46)))</f>
        <v/>
      </c>
      <c r="G46" s="5">
        <f>IF($L46="","",IF(INDEX('Per Invoice'!$G$2:$G$151,$L46)="","",INDEX('Per Invoice'!$G$2:$G$151,$L46)))</f>
        <v/>
      </c>
      <c r="H46" s="5">
        <f>IF($L46="","",IF(INDEX('Per Invoice'!$H$2:$H$151,$L46)="","",INDEX('Per Invoice'!$H$2:$H$151,$L46)))</f>
        <v/>
      </c>
      <c r="I46" s="5">
        <f>IF($L46="","",IF(INDEX('Per Invoice'!$I$2:$I$151,$L46)="","",INDEX('Per Invoice'!$I$2:$I$151,$L46)))</f>
        <v/>
      </c>
      <c r="J46" s="5">
        <f>IF($L46="","",IF(INDEX('Per Invoice'!$J$2:$J$151,$L46)="","",INDEX('Per Invoice'!$J$2:$J$151,$L46)))</f>
        <v/>
      </c>
      <c r="K46">
        <f>IF($L46="","",IF(INDEX('Per Invoice'!$K$2:$K$151,$L46)="","",INDEX('Per Invoice'!$K$2:$K$151,$L46)))</f>
        <v/>
      </c>
      <c r="L46">
        <f>IF(ROWS($L$2:$L46)&lt;=COUNT('Per Invoice'!$M$2:$M$151),MATCH(ROWS($L$2:$L46),'Per Invoice'!$M$2:$M$151,0),"")</f>
        <v/>
      </c>
    </row>
    <row r="47">
      <c r="A47">
        <f>IF($L47="","",IF(INDEX('Per Invoice'!$A$2:$A$151,$L47)="","",INDEX('Per Invoice'!$A$2:$A$151,$L47)))</f>
        <v/>
      </c>
      <c r="B47">
        <f>IF($L47="","",IF(INDEX('Per Invoice'!$B$2:$B$151,$L47)="","",INDEX('Per Invoice'!$B$2:$B$151,$L47)))</f>
        <v/>
      </c>
      <c r="C47">
        <f>IF($L47="","",IF(INDEX('Per Invoice'!$C$2:$C$151,$L47)="","",INDEX('Per Invoice'!$C$2:$C$151,$L47)))</f>
        <v/>
      </c>
      <c r="D47">
        <f>IF($L47="","",IF(INDEX('Per Invoice'!$D$2:$D$151,$L47)="","",INDEX('Per Invoice'!$D$2:$D$151,$L47)))</f>
        <v/>
      </c>
      <c r="E47">
        <f>IF($L47="","",IF(INDEX('Per Invoice'!$E$2:$E$151,$L47)="","",INDEX('Per Invoice'!$E$2:$E$151,$L47)))</f>
        <v/>
      </c>
      <c r="F47" s="5">
        <f>IF($L47="","",IF(INDEX('Per Invoice'!$F$2:$F$151,$L47)="","",INDEX('Per Invoice'!$F$2:$F$151,$L47)))</f>
        <v/>
      </c>
      <c r="G47" s="5">
        <f>IF($L47="","",IF(INDEX('Per Invoice'!$G$2:$G$151,$L47)="","",INDEX('Per Invoice'!$G$2:$G$151,$L47)))</f>
        <v/>
      </c>
      <c r="H47" s="5">
        <f>IF($L47="","",IF(INDEX('Per Invoice'!$H$2:$H$151,$L47)="","",INDEX('Per Invoice'!$H$2:$H$151,$L47)))</f>
        <v/>
      </c>
      <c r="I47" s="5">
        <f>IF($L47="","",IF(INDEX('Per Invoice'!$I$2:$I$151,$L47)="","",INDEX('Per Invoice'!$I$2:$I$151,$L47)))</f>
        <v/>
      </c>
      <c r="J47" s="5">
        <f>IF($L47="","",IF(INDEX('Per Invoice'!$J$2:$J$151,$L47)="","",INDEX('Per Invoice'!$J$2:$J$151,$L47)))</f>
        <v/>
      </c>
      <c r="K47">
        <f>IF($L47="","",IF(INDEX('Per Invoice'!$K$2:$K$151,$L47)="","",INDEX('Per Invoice'!$K$2:$K$151,$L47)))</f>
        <v/>
      </c>
      <c r="L47">
        <f>IF(ROWS($L$2:$L47)&lt;=COUNT('Per Invoice'!$M$2:$M$151),MATCH(ROWS($L$2:$L47),'Per Invoice'!$M$2:$M$151,0),"")</f>
        <v/>
      </c>
    </row>
    <row r="48">
      <c r="A48">
        <f>IF($L48="","",IF(INDEX('Per Invoice'!$A$2:$A$151,$L48)="","",INDEX('Per Invoice'!$A$2:$A$151,$L48)))</f>
        <v/>
      </c>
      <c r="B48">
        <f>IF($L48="","",IF(INDEX('Per Invoice'!$B$2:$B$151,$L48)="","",INDEX('Per Invoice'!$B$2:$B$151,$L48)))</f>
        <v/>
      </c>
      <c r="C48">
        <f>IF($L48="","",IF(INDEX('Per Invoice'!$C$2:$C$151,$L48)="","",INDEX('Per Invoice'!$C$2:$C$151,$L48)))</f>
        <v/>
      </c>
      <c r="D48">
        <f>IF($L48="","",IF(INDEX('Per Invoice'!$D$2:$D$151,$L48)="","",INDEX('Per Invoice'!$D$2:$D$151,$L48)))</f>
        <v/>
      </c>
      <c r="E48">
        <f>IF($L48="","",IF(INDEX('Per Invoice'!$E$2:$E$151,$L48)="","",INDEX('Per Invoice'!$E$2:$E$151,$L48)))</f>
        <v/>
      </c>
      <c r="F48" s="5">
        <f>IF($L48="","",IF(INDEX('Per Invoice'!$F$2:$F$151,$L48)="","",INDEX('Per Invoice'!$F$2:$F$151,$L48)))</f>
        <v/>
      </c>
      <c r="G48" s="5">
        <f>IF($L48="","",IF(INDEX('Per Invoice'!$G$2:$G$151,$L48)="","",INDEX('Per Invoice'!$G$2:$G$151,$L48)))</f>
        <v/>
      </c>
      <c r="H48" s="5">
        <f>IF($L48="","",IF(INDEX('Per Invoice'!$H$2:$H$151,$L48)="","",INDEX('Per Invoice'!$H$2:$H$151,$L48)))</f>
        <v/>
      </c>
      <c r="I48" s="5">
        <f>IF($L48="","",IF(INDEX('Per Invoice'!$I$2:$I$151,$L48)="","",INDEX('Per Invoice'!$I$2:$I$151,$L48)))</f>
        <v/>
      </c>
      <c r="J48" s="5">
        <f>IF($L48="","",IF(INDEX('Per Invoice'!$J$2:$J$151,$L48)="","",INDEX('Per Invoice'!$J$2:$J$151,$L48)))</f>
        <v/>
      </c>
      <c r="K48">
        <f>IF($L48="","",IF(INDEX('Per Invoice'!$K$2:$K$151,$L48)="","",INDEX('Per Invoice'!$K$2:$K$151,$L48)))</f>
        <v/>
      </c>
      <c r="L48">
        <f>IF(ROWS($L$2:$L48)&lt;=COUNT('Per Invoice'!$M$2:$M$151),MATCH(ROWS($L$2:$L48),'Per Invoice'!$M$2:$M$151,0),"")</f>
        <v/>
      </c>
    </row>
    <row r="49">
      <c r="A49">
        <f>IF($L49="","",IF(INDEX('Per Invoice'!$A$2:$A$151,$L49)="","",INDEX('Per Invoice'!$A$2:$A$151,$L49)))</f>
        <v/>
      </c>
      <c r="B49">
        <f>IF($L49="","",IF(INDEX('Per Invoice'!$B$2:$B$151,$L49)="","",INDEX('Per Invoice'!$B$2:$B$151,$L49)))</f>
        <v/>
      </c>
      <c r="C49">
        <f>IF($L49="","",IF(INDEX('Per Invoice'!$C$2:$C$151,$L49)="","",INDEX('Per Invoice'!$C$2:$C$151,$L49)))</f>
        <v/>
      </c>
      <c r="D49">
        <f>IF($L49="","",IF(INDEX('Per Invoice'!$D$2:$D$151,$L49)="","",INDEX('Per Invoice'!$D$2:$D$151,$L49)))</f>
        <v/>
      </c>
      <c r="E49">
        <f>IF($L49="","",IF(INDEX('Per Invoice'!$E$2:$E$151,$L49)="","",INDEX('Per Invoice'!$E$2:$E$151,$L49)))</f>
        <v/>
      </c>
      <c r="F49" s="5">
        <f>IF($L49="","",IF(INDEX('Per Invoice'!$F$2:$F$151,$L49)="","",INDEX('Per Invoice'!$F$2:$F$151,$L49)))</f>
        <v/>
      </c>
      <c r="G49" s="5">
        <f>IF($L49="","",IF(INDEX('Per Invoice'!$G$2:$G$151,$L49)="","",INDEX('Per Invoice'!$G$2:$G$151,$L49)))</f>
        <v/>
      </c>
      <c r="H49" s="5">
        <f>IF($L49="","",IF(INDEX('Per Invoice'!$H$2:$H$151,$L49)="","",INDEX('Per Invoice'!$H$2:$H$151,$L49)))</f>
        <v/>
      </c>
      <c r="I49" s="5">
        <f>IF($L49="","",IF(INDEX('Per Invoice'!$I$2:$I$151,$L49)="","",INDEX('Per Invoice'!$I$2:$I$151,$L49)))</f>
        <v/>
      </c>
      <c r="J49" s="5">
        <f>IF($L49="","",IF(INDEX('Per Invoice'!$J$2:$J$151,$L49)="","",INDEX('Per Invoice'!$J$2:$J$151,$L49)))</f>
        <v/>
      </c>
      <c r="K49">
        <f>IF($L49="","",IF(INDEX('Per Invoice'!$K$2:$K$151,$L49)="","",INDEX('Per Invoice'!$K$2:$K$151,$L49)))</f>
        <v/>
      </c>
      <c r="L49">
        <f>IF(ROWS($L$2:$L49)&lt;=COUNT('Per Invoice'!$M$2:$M$151),MATCH(ROWS($L$2:$L49),'Per Invoice'!$M$2:$M$151,0),"")</f>
        <v/>
      </c>
    </row>
    <row r="50">
      <c r="A50">
        <f>IF($L50="","",IF(INDEX('Per Invoice'!$A$2:$A$151,$L50)="","",INDEX('Per Invoice'!$A$2:$A$151,$L50)))</f>
        <v/>
      </c>
      <c r="B50">
        <f>IF($L50="","",IF(INDEX('Per Invoice'!$B$2:$B$151,$L50)="","",INDEX('Per Invoice'!$B$2:$B$151,$L50)))</f>
        <v/>
      </c>
      <c r="C50">
        <f>IF($L50="","",IF(INDEX('Per Invoice'!$C$2:$C$151,$L50)="","",INDEX('Per Invoice'!$C$2:$C$151,$L50)))</f>
        <v/>
      </c>
      <c r="D50">
        <f>IF($L50="","",IF(INDEX('Per Invoice'!$D$2:$D$151,$L50)="","",INDEX('Per Invoice'!$D$2:$D$151,$L50)))</f>
        <v/>
      </c>
      <c r="E50">
        <f>IF($L50="","",IF(INDEX('Per Invoice'!$E$2:$E$151,$L50)="","",INDEX('Per Invoice'!$E$2:$E$151,$L50)))</f>
        <v/>
      </c>
      <c r="F50" s="5">
        <f>IF($L50="","",IF(INDEX('Per Invoice'!$F$2:$F$151,$L50)="","",INDEX('Per Invoice'!$F$2:$F$151,$L50)))</f>
        <v/>
      </c>
      <c r="G50" s="5">
        <f>IF($L50="","",IF(INDEX('Per Invoice'!$G$2:$G$151,$L50)="","",INDEX('Per Invoice'!$G$2:$G$151,$L50)))</f>
        <v/>
      </c>
      <c r="H50" s="5">
        <f>IF($L50="","",IF(INDEX('Per Invoice'!$H$2:$H$151,$L50)="","",INDEX('Per Invoice'!$H$2:$H$151,$L50)))</f>
        <v/>
      </c>
      <c r="I50" s="5">
        <f>IF($L50="","",IF(INDEX('Per Invoice'!$I$2:$I$151,$L50)="","",INDEX('Per Invoice'!$I$2:$I$151,$L50)))</f>
        <v/>
      </c>
      <c r="J50" s="5">
        <f>IF($L50="","",IF(INDEX('Per Invoice'!$J$2:$J$151,$L50)="","",INDEX('Per Invoice'!$J$2:$J$151,$L50)))</f>
        <v/>
      </c>
      <c r="K50">
        <f>IF($L50="","",IF(INDEX('Per Invoice'!$K$2:$K$151,$L50)="","",INDEX('Per Invoice'!$K$2:$K$151,$L50)))</f>
        <v/>
      </c>
      <c r="L50">
        <f>IF(ROWS($L$2:$L50)&lt;=COUNT('Per Invoice'!$M$2:$M$151),MATCH(ROWS($L$2:$L50),'Per Invoice'!$M$2:$M$151,0),"")</f>
        <v/>
      </c>
    </row>
    <row r="51">
      <c r="A51">
        <f>IF($L51="","",IF(INDEX('Per Invoice'!$A$2:$A$151,$L51)="","",INDEX('Per Invoice'!$A$2:$A$151,$L51)))</f>
        <v/>
      </c>
      <c r="B51">
        <f>IF($L51="","",IF(INDEX('Per Invoice'!$B$2:$B$151,$L51)="","",INDEX('Per Invoice'!$B$2:$B$151,$L51)))</f>
        <v/>
      </c>
      <c r="C51">
        <f>IF($L51="","",IF(INDEX('Per Invoice'!$C$2:$C$151,$L51)="","",INDEX('Per Invoice'!$C$2:$C$151,$L51)))</f>
        <v/>
      </c>
      <c r="D51">
        <f>IF($L51="","",IF(INDEX('Per Invoice'!$D$2:$D$151,$L51)="","",INDEX('Per Invoice'!$D$2:$D$151,$L51)))</f>
        <v/>
      </c>
      <c r="E51">
        <f>IF($L51="","",IF(INDEX('Per Invoice'!$E$2:$E$151,$L51)="","",INDEX('Per Invoice'!$E$2:$E$151,$L51)))</f>
        <v/>
      </c>
      <c r="F51" s="5">
        <f>IF($L51="","",IF(INDEX('Per Invoice'!$F$2:$F$151,$L51)="","",INDEX('Per Invoice'!$F$2:$F$151,$L51)))</f>
        <v/>
      </c>
      <c r="G51" s="5">
        <f>IF($L51="","",IF(INDEX('Per Invoice'!$G$2:$G$151,$L51)="","",INDEX('Per Invoice'!$G$2:$G$151,$L51)))</f>
        <v/>
      </c>
      <c r="H51" s="5">
        <f>IF($L51="","",IF(INDEX('Per Invoice'!$H$2:$H$151,$L51)="","",INDEX('Per Invoice'!$H$2:$H$151,$L51)))</f>
        <v/>
      </c>
      <c r="I51" s="5">
        <f>IF($L51="","",IF(INDEX('Per Invoice'!$I$2:$I$151,$L51)="","",INDEX('Per Invoice'!$I$2:$I$151,$L51)))</f>
        <v/>
      </c>
      <c r="J51" s="5">
        <f>IF($L51="","",IF(INDEX('Per Invoice'!$J$2:$J$151,$L51)="","",INDEX('Per Invoice'!$J$2:$J$151,$L51)))</f>
        <v/>
      </c>
      <c r="K51">
        <f>IF($L51="","",IF(INDEX('Per Invoice'!$K$2:$K$151,$L51)="","",INDEX('Per Invoice'!$K$2:$K$151,$L51)))</f>
        <v/>
      </c>
      <c r="L51">
        <f>IF(ROWS($L$2:$L51)&lt;=COUNT('Per Invoice'!$M$2:$M$151),MATCH(ROWS($L$2:$L51),'Per Invoice'!$M$2:$M$151,0),"")</f>
        <v/>
      </c>
    </row>
    <row r="52">
      <c r="A52">
        <f>IF($L52="","",IF(INDEX('Per Invoice'!$A$2:$A$151,$L52)="","",INDEX('Per Invoice'!$A$2:$A$151,$L52)))</f>
        <v/>
      </c>
      <c r="B52">
        <f>IF($L52="","",IF(INDEX('Per Invoice'!$B$2:$B$151,$L52)="","",INDEX('Per Invoice'!$B$2:$B$151,$L52)))</f>
        <v/>
      </c>
      <c r="C52">
        <f>IF($L52="","",IF(INDEX('Per Invoice'!$C$2:$C$151,$L52)="","",INDEX('Per Invoice'!$C$2:$C$151,$L52)))</f>
        <v/>
      </c>
      <c r="D52">
        <f>IF($L52="","",IF(INDEX('Per Invoice'!$D$2:$D$151,$L52)="","",INDEX('Per Invoice'!$D$2:$D$151,$L52)))</f>
        <v/>
      </c>
      <c r="E52">
        <f>IF($L52="","",IF(INDEX('Per Invoice'!$E$2:$E$151,$L52)="","",INDEX('Per Invoice'!$E$2:$E$151,$L52)))</f>
        <v/>
      </c>
      <c r="F52" s="5">
        <f>IF($L52="","",IF(INDEX('Per Invoice'!$F$2:$F$151,$L52)="","",INDEX('Per Invoice'!$F$2:$F$151,$L52)))</f>
        <v/>
      </c>
      <c r="G52" s="5">
        <f>IF($L52="","",IF(INDEX('Per Invoice'!$G$2:$G$151,$L52)="","",INDEX('Per Invoice'!$G$2:$G$151,$L52)))</f>
        <v/>
      </c>
      <c r="H52" s="5">
        <f>IF($L52="","",IF(INDEX('Per Invoice'!$H$2:$H$151,$L52)="","",INDEX('Per Invoice'!$H$2:$H$151,$L52)))</f>
        <v/>
      </c>
      <c r="I52" s="5">
        <f>IF($L52="","",IF(INDEX('Per Invoice'!$I$2:$I$151,$L52)="","",INDEX('Per Invoice'!$I$2:$I$151,$L52)))</f>
        <v/>
      </c>
      <c r="J52" s="5">
        <f>IF($L52="","",IF(INDEX('Per Invoice'!$J$2:$J$151,$L52)="","",INDEX('Per Invoice'!$J$2:$J$151,$L52)))</f>
        <v/>
      </c>
      <c r="K52">
        <f>IF($L52="","",IF(INDEX('Per Invoice'!$K$2:$K$151,$L52)="","",INDEX('Per Invoice'!$K$2:$K$151,$L52)))</f>
        <v/>
      </c>
      <c r="L52">
        <f>IF(ROWS($L$2:$L52)&lt;=COUNT('Per Invoice'!$M$2:$M$151),MATCH(ROWS($L$2:$L52),'Per Invoice'!$M$2:$M$151,0),"")</f>
        <v/>
      </c>
    </row>
    <row r="53">
      <c r="A53">
        <f>IF($L53="","",IF(INDEX('Per Invoice'!$A$2:$A$151,$L53)="","",INDEX('Per Invoice'!$A$2:$A$151,$L53)))</f>
        <v/>
      </c>
      <c r="B53">
        <f>IF($L53="","",IF(INDEX('Per Invoice'!$B$2:$B$151,$L53)="","",INDEX('Per Invoice'!$B$2:$B$151,$L53)))</f>
        <v/>
      </c>
      <c r="C53">
        <f>IF($L53="","",IF(INDEX('Per Invoice'!$C$2:$C$151,$L53)="","",INDEX('Per Invoice'!$C$2:$C$151,$L53)))</f>
        <v/>
      </c>
      <c r="D53">
        <f>IF($L53="","",IF(INDEX('Per Invoice'!$D$2:$D$151,$L53)="","",INDEX('Per Invoice'!$D$2:$D$151,$L53)))</f>
        <v/>
      </c>
      <c r="E53">
        <f>IF($L53="","",IF(INDEX('Per Invoice'!$E$2:$E$151,$L53)="","",INDEX('Per Invoice'!$E$2:$E$151,$L53)))</f>
        <v/>
      </c>
      <c r="F53" s="5">
        <f>IF($L53="","",IF(INDEX('Per Invoice'!$F$2:$F$151,$L53)="","",INDEX('Per Invoice'!$F$2:$F$151,$L53)))</f>
        <v/>
      </c>
      <c r="G53" s="5">
        <f>IF($L53="","",IF(INDEX('Per Invoice'!$G$2:$G$151,$L53)="","",INDEX('Per Invoice'!$G$2:$G$151,$L53)))</f>
        <v/>
      </c>
      <c r="H53" s="5">
        <f>IF($L53="","",IF(INDEX('Per Invoice'!$H$2:$H$151,$L53)="","",INDEX('Per Invoice'!$H$2:$H$151,$L53)))</f>
        <v/>
      </c>
      <c r="I53" s="5">
        <f>IF($L53="","",IF(INDEX('Per Invoice'!$I$2:$I$151,$L53)="","",INDEX('Per Invoice'!$I$2:$I$151,$L53)))</f>
        <v/>
      </c>
      <c r="J53" s="5">
        <f>IF($L53="","",IF(INDEX('Per Invoice'!$J$2:$J$151,$L53)="","",INDEX('Per Invoice'!$J$2:$J$151,$L53)))</f>
        <v/>
      </c>
      <c r="K53">
        <f>IF($L53="","",IF(INDEX('Per Invoice'!$K$2:$K$151,$L53)="","",INDEX('Per Invoice'!$K$2:$K$151,$L53)))</f>
        <v/>
      </c>
      <c r="L53">
        <f>IF(ROWS($L$2:$L53)&lt;=COUNT('Per Invoice'!$M$2:$M$151),MATCH(ROWS($L$2:$L53),'Per Invoice'!$M$2:$M$151,0),"")</f>
        <v/>
      </c>
    </row>
    <row r="54">
      <c r="A54">
        <f>IF($L54="","",IF(INDEX('Per Invoice'!$A$2:$A$151,$L54)="","",INDEX('Per Invoice'!$A$2:$A$151,$L54)))</f>
        <v/>
      </c>
      <c r="B54">
        <f>IF($L54="","",IF(INDEX('Per Invoice'!$B$2:$B$151,$L54)="","",INDEX('Per Invoice'!$B$2:$B$151,$L54)))</f>
        <v/>
      </c>
      <c r="C54">
        <f>IF($L54="","",IF(INDEX('Per Invoice'!$C$2:$C$151,$L54)="","",INDEX('Per Invoice'!$C$2:$C$151,$L54)))</f>
        <v/>
      </c>
      <c r="D54">
        <f>IF($L54="","",IF(INDEX('Per Invoice'!$D$2:$D$151,$L54)="","",INDEX('Per Invoice'!$D$2:$D$151,$L54)))</f>
        <v/>
      </c>
      <c r="E54">
        <f>IF($L54="","",IF(INDEX('Per Invoice'!$E$2:$E$151,$L54)="","",INDEX('Per Invoice'!$E$2:$E$151,$L54)))</f>
        <v/>
      </c>
      <c r="F54" s="5">
        <f>IF($L54="","",IF(INDEX('Per Invoice'!$F$2:$F$151,$L54)="","",INDEX('Per Invoice'!$F$2:$F$151,$L54)))</f>
        <v/>
      </c>
      <c r="G54" s="5">
        <f>IF($L54="","",IF(INDEX('Per Invoice'!$G$2:$G$151,$L54)="","",INDEX('Per Invoice'!$G$2:$G$151,$L54)))</f>
        <v/>
      </c>
      <c r="H54" s="5">
        <f>IF($L54="","",IF(INDEX('Per Invoice'!$H$2:$H$151,$L54)="","",INDEX('Per Invoice'!$H$2:$H$151,$L54)))</f>
        <v/>
      </c>
      <c r="I54" s="5">
        <f>IF($L54="","",IF(INDEX('Per Invoice'!$I$2:$I$151,$L54)="","",INDEX('Per Invoice'!$I$2:$I$151,$L54)))</f>
        <v/>
      </c>
      <c r="J54" s="5">
        <f>IF($L54="","",IF(INDEX('Per Invoice'!$J$2:$J$151,$L54)="","",INDEX('Per Invoice'!$J$2:$J$151,$L54)))</f>
        <v/>
      </c>
      <c r="K54">
        <f>IF($L54="","",IF(INDEX('Per Invoice'!$K$2:$K$151,$L54)="","",INDEX('Per Invoice'!$K$2:$K$151,$L54)))</f>
        <v/>
      </c>
      <c r="L54">
        <f>IF(ROWS($L$2:$L54)&lt;=COUNT('Per Invoice'!$M$2:$M$151),MATCH(ROWS($L$2:$L54),'Per Invoice'!$M$2:$M$151,0),"")</f>
        <v/>
      </c>
    </row>
    <row r="55">
      <c r="A55">
        <f>IF($L55="","",IF(INDEX('Per Invoice'!$A$2:$A$151,$L55)="","",INDEX('Per Invoice'!$A$2:$A$151,$L55)))</f>
        <v/>
      </c>
      <c r="B55">
        <f>IF($L55="","",IF(INDEX('Per Invoice'!$B$2:$B$151,$L55)="","",INDEX('Per Invoice'!$B$2:$B$151,$L55)))</f>
        <v/>
      </c>
      <c r="C55">
        <f>IF($L55="","",IF(INDEX('Per Invoice'!$C$2:$C$151,$L55)="","",INDEX('Per Invoice'!$C$2:$C$151,$L55)))</f>
        <v/>
      </c>
      <c r="D55">
        <f>IF($L55="","",IF(INDEX('Per Invoice'!$D$2:$D$151,$L55)="","",INDEX('Per Invoice'!$D$2:$D$151,$L55)))</f>
        <v/>
      </c>
      <c r="E55">
        <f>IF($L55="","",IF(INDEX('Per Invoice'!$E$2:$E$151,$L55)="","",INDEX('Per Invoice'!$E$2:$E$151,$L55)))</f>
        <v/>
      </c>
      <c r="F55" s="5">
        <f>IF($L55="","",IF(INDEX('Per Invoice'!$F$2:$F$151,$L55)="","",INDEX('Per Invoice'!$F$2:$F$151,$L55)))</f>
        <v/>
      </c>
      <c r="G55" s="5">
        <f>IF($L55="","",IF(INDEX('Per Invoice'!$G$2:$G$151,$L55)="","",INDEX('Per Invoice'!$G$2:$G$151,$L55)))</f>
        <v/>
      </c>
      <c r="H55" s="5">
        <f>IF($L55="","",IF(INDEX('Per Invoice'!$H$2:$H$151,$L55)="","",INDEX('Per Invoice'!$H$2:$H$151,$L55)))</f>
        <v/>
      </c>
      <c r="I55" s="5">
        <f>IF($L55="","",IF(INDEX('Per Invoice'!$I$2:$I$151,$L55)="","",INDEX('Per Invoice'!$I$2:$I$151,$L55)))</f>
        <v/>
      </c>
      <c r="J55" s="5">
        <f>IF($L55="","",IF(INDEX('Per Invoice'!$J$2:$J$151,$L55)="","",INDEX('Per Invoice'!$J$2:$J$151,$L55)))</f>
        <v/>
      </c>
      <c r="K55">
        <f>IF($L55="","",IF(INDEX('Per Invoice'!$K$2:$K$151,$L55)="","",INDEX('Per Invoice'!$K$2:$K$151,$L55)))</f>
        <v/>
      </c>
      <c r="L55">
        <f>IF(ROWS($L$2:$L55)&lt;=COUNT('Per Invoice'!$M$2:$M$151),MATCH(ROWS($L$2:$L55),'Per Invoice'!$M$2:$M$151,0),"")</f>
        <v/>
      </c>
    </row>
    <row r="56">
      <c r="A56">
        <f>IF($L56="","",IF(INDEX('Per Invoice'!$A$2:$A$151,$L56)="","",INDEX('Per Invoice'!$A$2:$A$151,$L56)))</f>
        <v/>
      </c>
      <c r="B56">
        <f>IF($L56="","",IF(INDEX('Per Invoice'!$B$2:$B$151,$L56)="","",INDEX('Per Invoice'!$B$2:$B$151,$L56)))</f>
        <v/>
      </c>
      <c r="C56">
        <f>IF($L56="","",IF(INDEX('Per Invoice'!$C$2:$C$151,$L56)="","",INDEX('Per Invoice'!$C$2:$C$151,$L56)))</f>
        <v/>
      </c>
      <c r="D56">
        <f>IF($L56="","",IF(INDEX('Per Invoice'!$D$2:$D$151,$L56)="","",INDEX('Per Invoice'!$D$2:$D$151,$L56)))</f>
        <v/>
      </c>
      <c r="E56">
        <f>IF($L56="","",IF(INDEX('Per Invoice'!$E$2:$E$151,$L56)="","",INDEX('Per Invoice'!$E$2:$E$151,$L56)))</f>
        <v/>
      </c>
      <c r="F56" s="5">
        <f>IF($L56="","",IF(INDEX('Per Invoice'!$F$2:$F$151,$L56)="","",INDEX('Per Invoice'!$F$2:$F$151,$L56)))</f>
        <v/>
      </c>
      <c r="G56" s="5">
        <f>IF($L56="","",IF(INDEX('Per Invoice'!$G$2:$G$151,$L56)="","",INDEX('Per Invoice'!$G$2:$G$151,$L56)))</f>
        <v/>
      </c>
      <c r="H56" s="5">
        <f>IF($L56="","",IF(INDEX('Per Invoice'!$H$2:$H$151,$L56)="","",INDEX('Per Invoice'!$H$2:$H$151,$L56)))</f>
        <v/>
      </c>
      <c r="I56" s="5">
        <f>IF($L56="","",IF(INDEX('Per Invoice'!$I$2:$I$151,$L56)="","",INDEX('Per Invoice'!$I$2:$I$151,$L56)))</f>
        <v/>
      </c>
      <c r="J56" s="5">
        <f>IF($L56="","",IF(INDEX('Per Invoice'!$J$2:$J$151,$L56)="","",INDEX('Per Invoice'!$J$2:$J$151,$L56)))</f>
        <v/>
      </c>
      <c r="K56">
        <f>IF($L56="","",IF(INDEX('Per Invoice'!$K$2:$K$151,$L56)="","",INDEX('Per Invoice'!$K$2:$K$151,$L56)))</f>
        <v/>
      </c>
      <c r="L56">
        <f>IF(ROWS($L$2:$L56)&lt;=COUNT('Per Invoice'!$M$2:$M$151),MATCH(ROWS($L$2:$L56),'Per Invoice'!$M$2:$M$151,0),"")</f>
        <v/>
      </c>
    </row>
    <row r="57">
      <c r="A57">
        <f>IF($L57="","",IF(INDEX('Per Invoice'!$A$2:$A$151,$L57)="","",INDEX('Per Invoice'!$A$2:$A$151,$L57)))</f>
        <v/>
      </c>
      <c r="B57">
        <f>IF($L57="","",IF(INDEX('Per Invoice'!$B$2:$B$151,$L57)="","",INDEX('Per Invoice'!$B$2:$B$151,$L57)))</f>
        <v/>
      </c>
      <c r="C57">
        <f>IF($L57="","",IF(INDEX('Per Invoice'!$C$2:$C$151,$L57)="","",INDEX('Per Invoice'!$C$2:$C$151,$L57)))</f>
        <v/>
      </c>
      <c r="D57">
        <f>IF($L57="","",IF(INDEX('Per Invoice'!$D$2:$D$151,$L57)="","",INDEX('Per Invoice'!$D$2:$D$151,$L57)))</f>
        <v/>
      </c>
      <c r="E57">
        <f>IF($L57="","",IF(INDEX('Per Invoice'!$E$2:$E$151,$L57)="","",INDEX('Per Invoice'!$E$2:$E$151,$L57)))</f>
        <v/>
      </c>
      <c r="F57" s="5">
        <f>IF($L57="","",IF(INDEX('Per Invoice'!$F$2:$F$151,$L57)="","",INDEX('Per Invoice'!$F$2:$F$151,$L57)))</f>
        <v/>
      </c>
      <c r="G57" s="5">
        <f>IF($L57="","",IF(INDEX('Per Invoice'!$G$2:$G$151,$L57)="","",INDEX('Per Invoice'!$G$2:$G$151,$L57)))</f>
        <v/>
      </c>
      <c r="H57" s="5">
        <f>IF($L57="","",IF(INDEX('Per Invoice'!$H$2:$H$151,$L57)="","",INDEX('Per Invoice'!$H$2:$H$151,$L57)))</f>
        <v/>
      </c>
      <c r="I57" s="5">
        <f>IF($L57="","",IF(INDEX('Per Invoice'!$I$2:$I$151,$L57)="","",INDEX('Per Invoice'!$I$2:$I$151,$L57)))</f>
        <v/>
      </c>
      <c r="J57" s="5">
        <f>IF($L57="","",IF(INDEX('Per Invoice'!$J$2:$J$151,$L57)="","",INDEX('Per Invoice'!$J$2:$J$151,$L57)))</f>
        <v/>
      </c>
      <c r="K57">
        <f>IF($L57="","",IF(INDEX('Per Invoice'!$K$2:$K$151,$L57)="","",INDEX('Per Invoice'!$K$2:$K$151,$L57)))</f>
        <v/>
      </c>
      <c r="L57">
        <f>IF(ROWS($L$2:$L57)&lt;=COUNT('Per Invoice'!$M$2:$M$151),MATCH(ROWS($L$2:$L57),'Per Invoice'!$M$2:$M$151,0),"")</f>
        <v/>
      </c>
    </row>
    <row r="58">
      <c r="A58">
        <f>IF($L58="","",IF(INDEX('Per Invoice'!$A$2:$A$151,$L58)="","",INDEX('Per Invoice'!$A$2:$A$151,$L58)))</f>
        <v/>
      </c>
      <c r="B58">
        <f>IF($L58="","",IF(INDEX('Per Invoice'!$B$2:$B$151,$L58)="","",INDEX('Per Invoice'!$B$2:$B$151,$L58)))</f>
        <v/>
      </c>
      <c r="C58">
        <f>IF($L58="","",IF(INDEX('Per Invoice'!$C$2:$C$151,$L58)="","",INDEX('Per Invoice'!$C$2:$C$151,$L58)))</f>
        <v/>
      </c>
      <c r="D58">
        <f>IF($L58="","",IF(INDEX('Per Invoice'!$D$2:$D$151,$L58)="","",INDEX('Per Invoice'!$D$2:$D$151,$L58)))</f>
        <v/>
      </c>
      <c r="E58">
        <f>IF($L58="","",IF(INDEX('Per Invoice'!$E$2:$E$151,$L58)="","",INDEX('Per Invoice'!$E$2:$E$151,$L58)))</f>
        <v/>
      </c>
      <c r="F58" s="5">
        <f>IF($L58="","",IF(INDEX('Per Invoice'!$F$2:$F$151,$L58)="","",INDEX('Per Invoice'!$F$2:$F$151,$L58)))</f>
        <v/>
      </c>
      <c r="G58" s="5">
        <f>IF($L58="","",IF(INDEX('Per Invoice'!$G$2:$G$151,$L58)="","",INDEX('Per Invoice'!$G$2:$G$151,$L58)))</f>
        <v/>
      </c>
      <c r="H58" s="5">
        <f>IF($L58="","",IF(INDEX('Per Invoice'!$H$2:$H$151,$L58)="","",INDEX('Per Invoice'!$H$2:$H$151,$L58)))</f>
        <v/>
      </c>
      <c r="I58" s="5">
        <f>IF($L58="","",IF(INDEX('Per Invoice'!$I$2:$I$151,$L58)="","",INDEX('Per Invoice'!$I$2:$I$151,$L58)))</f>
        <v/>
      </c>
      <c r="J58" s="5">
        <f>IF($L58="","",IF(INDEX('Per Invoice'!$J$2:$J$151,$L58)="","",INDEX('Per Invoice'!$J$2:$J$151,$L58)))</f>
        <v/>
      </c>
      <c r="K58">
        <f>IF($L58="","",IF(INDEX('Per Invoice'!$K$2:$K$151,$L58)="","",INDEX('Per Invoice'!$K$2:$K$151,$L58)))</f>
        <v/>
      </c>
      <c r="L58">
        <f>IF(ROWS($L$2:$L58)&lt;=COUNT('Per Invoice'!$M$2:$M$151),MATCH(ROWS($L$2:$L58),'Per Invoice'!$M$2:$M$151,0),"")</f>
        <v/>
      </c>
    </row>
    <row r="59">
      <c r="A59">
        <f>IF($L59="","",IF(INDEX('Per Invoice'!$A$2:$A$151,$L59)="","",INDEX('Per Invoice'!$A$2:$A$151,$L59)))</f>
        <v/>
      </c>
      <c r="B59">
        <f>IF($L59="","",IF(INDEX('Per Invoice'!$B$2:$B$151,$L59)="","",INDEX('Per Invoice'!$B$2:$B$151,$L59)))</f>
        <v/>
      </c>
      <c r="C59">
        <f>IF($L59="","",IF(INDEX('Per Invoice'!$C$2:$C$151,$L59)="","",INDEX('Per Invoice'!$C$2:$C$151,$L59)))</f>
        <v/>
      </c>
      <c r="D59">
        <f>IF($L59="","",IF(INDEX('Per Invoice'!$D$2:$D$151,$L59)="","",INDEX('Per Invoice'!$D$2:$D$151,$L59)))</f>
        <v/>
      </c>
      <c r="E59">
        <f>IF($L59="","",IF(INDEX('Per Invoice'!$E$2:$E$151,$L59)="","",INDEX('Per Invoice'!$E$2:$E$151,$L59)))</f>
        <v/>
      </c>
      <c r="F59" s="5">
        <f>IF($L59="","",IF(INDEX('Per Invoice'!$F$2:$F$151,$L59)="","",INDEX('Per Invoice'!$F$2:$F$151,$L59)))</f>
        <v/>
      </c>
      <c r="G59" s="5">
        <f>IF($L59="","",IF(INDEX('Per Invoice'!$G$2:$G$151,$L59)="","",INDEX('Per Invoice'!$G$2:$G$151,$L59)))</f>
        <v/>
      </c>
      <c r="H59" s="5">
        <f>IF($L59="","",IF(INDEX('Per Invoice'!$H$2:$H$151,$L59)="","",INDEX('Per Invoice'!$H$2:$H$151,$L59)))</f>
        <v/>
      </c>
      <c r="I59" s="5">
        <f>IF($L59="","",IF(INDEX('Per Invoice'!$I$2:$I$151,$L59)="","",INDEX('Per Invoice'!$I$2:$I$151,$L59)))</f>
        <v/>
      </c>
      <c r="J59" s="5">
        <f>IF($L59="","",IF(INDEX('Per Invoice'!$J$2:$J$151,$L59)="","",INDEX('Per Invoice'!$J$2:$J$151,$L59)))</f>
        <v/>
      </c>
      <c r="K59">
        <f>IF($L59="","",IF(INDEX('Per Invoice'!$K$2:$K$151,$L59)="","",INDEX('Per Invoice'!$K$2:$K$151,$L59)))</f>
        <v/>
      </c>
      <c r="L59">
        <f>IF(ROWS($L$2:$L59)&lt;=COUNT('Per Invoice'!$M$2:$M$151),MATCH(ROWS($L$2:$L59),'Per Invoice'!$M$2:$M$151,0),"")</f>
        <v/>
      </c>
    </row>
    <row r="60">
      <c r="A60">
        <f>IF($L60="","",IF(INDEX('Per Invoice'!$A$2:$A$151,$L60)="","",INDEX('Per Invoice'!$A$2:$A$151,$L60)))</f>
        <v/>
      </c>
      <c r="B60">
        <f>IF($L60="","",IF(INDEX('Per Invoice'!$B$2:$B$151,$L60)="","",INDEX('Per Invoice'!$B$2:$B$151,$L60)))</f>
        <v/>
      </c>
      <c r="C60">
        <f>IF($L60="","",IF(INDEX('Per Invoice'!$C$2:$C$151,$L60)="","",INDEX('Per Invoice'!$C$2:$C$151,$L60)))</f>
        <v/>
      </c>
      <c r="D60">
        <f>IF($L60="","",IF(INDEX('Per Invoice'!$D$2:$D$151,$L60)="","",INDEX('Per Invoice'!$D$2:$D$151,$L60)))</f>
        <v/>
      </c>
      <c r="E60">
        <f>IF($L60="","",IF(INDEX('Per Invoice'!$E$2:$E$151,$L60)="","",INDEX('Per Invoice'!$E$2:$E$151,$L60)))</f>
        <v/>
      </c>
      <c r="F60" s="5">
        <f>IF($L60="","",IF(INDEX('Per Invoice'!$F$2:$F$151,$L60)="","",INDEX('Per Invoice'!$F$2:$F$151,$L60)))</f>
        <v/>
      </c>
      <c r="G60" s="5">
        <f>IF($L60="","",IF(INDEX('Per Invoice'!$G$2:$G$151,$L60)="","",INDEX('Per Invoice'!$G$2:$G$151,$L60)))</f>
        <v/>
      </c>
      <c r="H60" s="5">
        <f>IF($L60="","",IF(INDEX('Per Invoice'!$H$2:$H$151,$L60)="","",INDEX('Per Invoice'!$H$2:$H$151,$L60)))</f>
        <v/>
      </c>
      <c r="I60" s="5">
        <f>IF($L60="","",IF(INDEX('Per Invoice'!$I$2:$I$151,$L60)="","",INDEX('Per Invoice'!$I$2:$I$151,$L60)))</f>
        <v/>
      </c>
      <c r="J60" s="5">
        <f>IF($L60="","",IF(INDEX('Per Invoice'!$J$2:$J$151,$L60)="","",INDEX('Per Invoice'!$J$2:$J$151,$L60)))</f>
        <v/>
      </c>
      <c r="K60">
        <f>IF($L60="","",IF(INDEX('Per Invoice'!$K$2:$K$151,$L60)="","",INDEX('Per Invoice'!$K$2:$K$151,$L60)))</f>
        <v/>
      </c>
      <c r="L60">
        <f>IF(ROWS($L$2:$L60)&lt;=COUNT('Per Invoice'!$M$2:$M$151),MATCH(ROWS($L$2:$L60),'Per Invoice'!$M$2:$M$151,0),"")</f>
        <v/>
      </c>
    </row>
    <row r="61">
      <c r="A61">
        <f>IF($L61="","",IF(INDEX('Per Invoice'!$A$2:$A$151,$L61)="","",INDEX('Per Invoice'!$A$2:$A$151,$L61)))</f>
        <v/>
      </c>
      <c r="B61">
        <f>IF($L61="","",IF(INDEX('Per Invoice'!$B$2:$B$151,$L61)="","",INDEX('Per Invoice'!$B$2:$B$151,$L61)))</f>
        <v/>
      </c>
      <c r="C61">
        <f>IF($L61="","",IF(INDEX('Per Invoice'!$C$2:$C$151,$L61)="","",INDEX('Per Invoice'!$C$2:$C$151,$L61)))</f>
        <v/>
      </c>
      <c r="D61">
        <f>IF($L61="","",IF(INDEX('Per Invoice'!$D$2:$D$151,$L61)="","",INDEX('Per Invoice'!$D$2:$D$151,$L61)))</f>
        <v/>
      </c>
      <c r="E61">
        <f>IF($L61="","",IF(INDEX('Per Invoice'!$E$2:$E$151,$L61)="","",INDEX('Per Invoice'!$E$2:$E$151,$L61)))</f>
        <v/>
      </c>
      <c r="F61" s="5">
        <f>IF($L61="","",IF(INDEX('Per Invoice'!$F$2:$F$151,$L61)="","",INDEX('Per Invoice'!$F$2:$F$151,$L61)))</f>
        <v/>
      </c>
      <c r="G61" s="5">
        <f>IF($L61="","",IF(INDEX('Per Invoice'!$G$2:$G$151,$L61)="","",INDEX('Per Invoice'!$G$2:$G$151,$L61)))</f>
        <v/>
      </c>
      <c r="H61" s="5">
        <f>IF($L61="","",IF(INDEX('Per Invoice'!$H$2:$H$151,$L61)="","",INDEX('Per Invoice'!$H$2:$H$151,$L61)))</f>
        <v/>
      </c>
      <c r="I61" s="5">
        <f>IF($L61="","",IF(INDEX('Per Invoice'!$I$2:$I$151,$L61)="","",INDEX('Per Invoice'!$I$2:$I$151,$L61)))</f>
        <v/>
      </c>
      <c r="J61" s="5">
        <f>IF($L61="","",IF(INDEX('Per Invoice'!$J$2:$J$151,$L61)="","",INDEX('Per Invoice'!$J$2:$J$151,$L61)))</f>
        <v/>
      </c>
      <c r="K61">
        <f>IF($L61="","",IF(INDEX('Per Invoice'!$K$2:$K$151,$L61)="","",INDEX('Per Invoice'!$K$2:$K$151,$L61)))</f>
        <v/>
      </c>
      <c r="L61">
        <f>IF(ROWS($L$2:$L61)&lt;=COUNT('Per Invoice'!$M$2:$M$151),MATCH(ROWS($L$2:$L61),'Per Invoice'!$M$2:$M$151,0),"")</f>
        <v/>
      </c>
    </row>
    <row r="62">
      <c r="A62">
        <f>IF($L62="","",IF(INDEX('Per Invoice'!$A$2:$A$151,$L62)="","",INDEX('Per Invoice'!$A$2:$A$151,$L62)))</f>
        <v/>
      </c>
      <c r="B62">
        <f>IF($L62="","",IF(INDEX('Per Invoice'!$B$2:$B$151,$L62)="","",INDEX('Per Invoice'!$B$2:$B$151,$L62)))</f>
        <v/>
      </c>
      <c r="C62">
        <f>IF($L62="","",IF(INDEX('Per Invoice'!$C$2:$C$151,$L62)="","",INDEX('Per Invoice'!$C$2:$C$151,$L62)))</f>
        <v/>
      </c>
      <c r="D62">
        <f>IF($L62="","",IF(INDEX('Per Invoice'!$D$2:$D$151,$L62)="","",INDEX('Per Invoice'!$D$2:$D$151,$L62)))</f>
        <v/>
      </c>
      <c r="E62">
        <f>IF($L62="","",IF(INDEX('Per Invoice'!$E$2:$E$151,$L62)="","",INDEX('Per Invoice'!$E$2:$E$151,$L62)))</f>
        <v/>
      </c>
      <c r="F62" s="5">
        <f>IF($L62="","",IF(INDEX('Per Invoice'!$F$2:$F$151,$L62)="","",INDEX('Per Invoice'!$F$2:$F$151,$L62)))</f>
        <v/>
      </c>
      <c r="G62" s="5">
        <f>IF($L62="","",IF(INDEX('Per Invoice'!$G$2:$G$151,$L62)="","",INDEX('Per Invoice'!$G$2:$G$151,$L62)))</f>
        <v/>
      </c>
      <c r="H62" s="5">
        <f>IF($L62="","",IF(INDEX('Per Invoice'!$H$2:$H$151,$L62)="","",INDEX('Per Invoice'!$H$2:$H$151,$L62)))</f>
        <v/>
      </c>
      <c r="I62" s="5">
        <f>IF($L62="","",IF(INDEX('Per Invoice'!$I$2:$I$151,$L62)="","",INDEX('Per Invoice'!$I$2:$I$151,$L62)))</f>
        <v/>
      </c>
      <c r="J62" s="5">
        <f>IF($L62="","",IF(INDEX('Per Invoice'!$J$2:$J$151,$L62)="","",INDEX('Per Invoice'!$J$2:$J$151,$L62)))</f>
        <v/>
      </c>
      <c r="K62">
        <f>IF($L62="","",IF(INDEX('Per Invoice'!$K$2:$K$151,$L62)="","",INDEX('Per Invoice'!$K$2:$K$151,$L62)))</f>
        <v/>
      </c>
      <c r="L62">
        <f>IF(ROWS($L$2:$L62)&lt;=COUNT('Per Invoice'!$M$2:$M$151),MATCH(ROWS($L$2:$L62),'Per Invoice'!$M$2:$M$151,0),"")</f>
        <v/>
      </c>
    </row>
    <row r="63">
      <c r="A63">
        <f>IF($L63="","",IF(INDEX('Per Invoice'!$A$2:$A$151,$L63)="","",INDEX('Per Invoice'!$A$2:$A$151,$L63)))</f>
        <v/>
      </c>
      <c r="B63">
        <f>IF($L63="","",IF(INDEX('Per Invoice'!$B$2:$B$151,$L63)="","",INDEX('Per Invoice'!$B$2:$B$151,$L63)))</f>
        <v/>
      </c>
      <c r="C63">
        <f>IF($L63="","",IF(INDEX('Per Invoice'!$C$2:$C$151,$L63)="","",INDEX('Per Invoice'!$C$2:$C$151,$L63)))</f>
        <v/>
      </c>
      <c r="D63">
        <f>IF($L63="","",IF(INDEX('Per Invoice'!$D$2:$D$151,$L63)="","",INDEX('Per Invoice'!$D$2:$D$151,$L63)))</f>
        <v/>
      </c>
      <c r="E63">
        <f>IF($L63="","",IF(INDEX('Per Invoice'!$E$2:$E$151,$L63)="","",INDEX('Per Invoice'!$E$2:$E$151,$L63)))</f>
        <v/>
      </c>
      <c r="F63" s="5">
        <f>IF($L63="","",IF(INDEX('Per Invoice'!$F$2:$F$151,$L63)="","",INDEX('Per Invoice'!$F$2:$F$151,$L63)))</f>
        <v/>
      </c>
      <c r="G63" s="5">
        <f>IF($L63="","",IF(INDEX('Per Invoice'!$G$2:$G$151,$L63)="","",INDEX('Per Invoice'!$G$2:$G$151,$L63)))</f>
        <v/>
      </c>
      <c r="H63" s="5">
        <f>IF($L63="","",IF(INDEX('Per Invoice'!$H$2:$H$151,$L63)="","",INDEX('Per Invoice'!$H$2:$H$151,$L63)))</f>
        <v/>
      </c>
      <c r="I63" s="5">
        <f>IF($L63="","",IF(INDEX('Per Invoice'!$I$2:$I$151,$L63)="","",INDEX('Per Invoice'!$I$2:$I$151,$L63)))</f>
        <v/>
      </c>
      <c r="J63" s="5">
        <f>IF($L63="","",IF(INDEX('Per Invoice'!$J$2:$J$151,$L63)="","",INDEX('Per Invoice'!$J$2:$J$151,$L63)))</f>
        <v/>
      </c>
      <c r="K63">
        <f>IF($L63="","",IF(INDEX('Per Invoice'!$K$2:$K$151,$L63)="","",INDEX('Per Invoice'!$K$2:$K$151,$L63)))</f>
        <v/>
      </c>
      <c r="L63">
        <f>IF(ROWS($L$2:$L63)&lt;=COUNT('Per Invoice'!$M$2:$M$151),MATCH(ROWS($L$2:$L63),'Per Invoice'!$M$2:$M$151,0),"")</f>
        <v/>
      </c>
    </row>
    <row r="64">
      <c r="A64">
        <f>IF($L64="","",IF(INDEX('Per Invoice'!$A$2:$A$151,$L64)="","",INDEX('Per Invoice'!$A$2:$A$151,$L64)))</f>
        <v/>
      </c>
      <c r="B64">
        <f>IF($L64="","",IF(INDEX('Per Invoice'!$B$2:$B$151,$L64)="","",INDEX('Per Invoice'!$B$2:$B$151,$L64)))</f>
        <v/>
      </c>
      <c r="C64">
        <f>IF($L64="","",IF(INDEX('Per Invoice'!$C$2:$C$151,$L64)="","",INDEX('Per Invoice'!$C$2:$C$151,$L64)))</f>
        <v/>
      </c>
      <c r="D64">
        <f>IF($L64="","",IF(INDEX('Per Invoice'!$D$2:$D$151,$L64)="","",INDEX('Per Invoice'!$D$2:$D$151,$L64)))</f>
        <v/>
      </c>
      <c r="E64">
        <f>IF($L64="","",IF(INDEX('Per Invoice'!$E$2:$E$151,$L64)="","",INDEX('Per Invoice'!$E$2:$E$151,$L64)))</f>
        <v/>
      </c>
      <c r="F64" s="5">
        <f>IF($L64="","",IF(INDEX('Per Invoice'!$F$2:$F$151,$L64)="","",INDEX('Per Invoice'!$F$2:$F$151,$L64)))</f>
        <v/>
      </c>
      <c r="G64" s="5">
        <f>IF($L64="","",IF(INDEX('Per Invoice'!$G$2:$G$151,$L64)="","",INDEX('Per Invoice'!$G$2:$G$151,$L64)))</f>
        <v/>
      </c>
      <c r="H64" s="5">
        <f>IF($L64="","",IF(INDEX('Per Invoice'!$H$2:$H$151,$L64)="","",INDEX('Per Invoice'!$H$2:$H$151,$L64)))</f>
        <v/>
      </c>
      <c r="I64" s="5">
        <f>IF($L64="","",IF(INDEX('Per Invoice'!$I$2:$I$151,$L64)="","",INDEX('Per Invoice'!$I$2:$I$151,$L64)))</f>
        <v/>
      </c>
      <c r="J64" s="5">
        <f>IF($L64="","",IF(INDEX('Per Invoice'!$J$2:$J$151,$L64)="","",INDEX('Per Invoice'!$J$2:$J$151,$L64)))</f>
        <v/>
      </c>
      <c r="K64">
        <f>IF($L64="","",IF(INDEX('Per Invoice'!$K$2:$K$151,$L64)="","",INDEX('Per Invoice'!$K$2:$K$151,$L64)))</f>
        <v/>
      </c>
      <c r="L64">
        <f>IF(ROWS($L$2:$L64)&lt;=COUNT('Per Invoice'!$M$2:$M$151),MATCH(ROWS($L$2:$L64),'Per Invoice'!$M$2:$M$151,0),"")</f>
        <v/>
      </c>
    </row>
    <row r="65">
      <c r="A65">
        <f>IF($L65="","",IF(INDEX('Per Invoice'!$A$2:$A$151,$L65)="","",INDEX('Per Invoice'!$A$2:$A$151,$L65)))</f>
        <v/>
      </c>
      <c r="B65">
        <f>IF($L65="","",IF(INDEX('Per Invoice'!$B$2:$B$151,$L65)="","",INDEX('Per Invoice'!$B$2:$B$151,$L65)))</f>
        <v/>
      </c>
      <c r="C65">
        <f>IF($L65="","",IF(INDEX('Per Invoice'!$C$2:$C$151,$L65)="","",INDEX('Per Invoice'!$C$2:$C$151,$L65)))</f>
        <v/>
      </c>
      <c r="D65">
        <f>IF($L65="","",IF(INDEX('Per Invoice'!$D$2:$D$151,$L65)="","",INDEX('Per Invoice'!$D$2:$D$151,$L65)))</f>
        <v/>
      </c>
      <c r="E65">
        <f>IF($L65="","",IF(INDEX('Per Invoice'!$E$2:$E$151,$L65)="","",INDEX('Per Invoice'!$E$2:$E$151,$L65)))</f>
        <v/>
      </c>
      <c r="F65" s="5">
        <f>IF($L65="","",IF(INDEX('Per Invoice'!$F$2:$F$151,$L65)="","",INDEX('Per Invoice'!$F$2:$F$151,$L65)))</f>
        <v/>
      </c>
      <c r="G65" s="5">
        <f>IF($L65="","",IF(INDEX('Per Invoice'!$G$2:$G$151,$L65)="","",INDEX('Per Invoice'!$G$2:$G$151,$L65)))</f>
        <v/>
      </c>
      <c r="H65" s="5">
        <f>IF($L65="","",IF(INDEX('Per Invoice'!$H$2:$H$151,$L65)="","",INDEX('Per Invoice'!$H$2:$H$151,$L65)))</f>
        <v/>
      </c>
      <c r="I65" s="5">
        <f>IF($L65="","",IF(INDEX('Per Invoice'!$I$2:$I$151,$L65)="","",INDEX('Per Invoice'!$I$2:$I$151,$L65)))</f>
        <v/>
      </c>
      <c r="J65" s="5">
        <f>IF($L65="","",IF(INDEX('Per Invoice'!$J$2:$J$151,$L65)="","",INDEX('Per Invoice'!$J$2:$J$151,$L65)))</f>
        <v/>
      </c>
      <c r="K65">
        <f>IF($L65="","",IF(INDEX('Per Invoice'!$K$2:$K$151,$L65)="","",INDEX('Per Invoice'!$K$2:$K$151,$L65)))</f>
        <v/>
      </c>
      <c r="L65">
        <f>IF(ROWS($L$2:$L65)&lt;=COUNT('Per Invoice'!$M$2:$M$151),MATCH(ROWS($L$2:$L65),'Per Invoice'!$M$2:$M$151,0),"")</f>
        <v/>
      </c>
    </row>
    <row r="66">
      <c r="A66">
        <f>IF($L66="","",IF(INDEX('Per Invoice'!$A$2:$A$151,$L66)="","",INDEX('Per Invoice'!$A$2:$A$151,$L66)))</f>
        <v/>
      </c>
      <c r="B66">
        <f>IF($L66="","",IF(INDEX('Per Invoice'!$B$2:$B$151,$L66)="","",INDEX('Per Invoice'!$B$2:$B$151,$L66)))</f>
        <v/>
      </c>
      <c r="C66">
        <f>IF($L66="","",IF(INDEX('Per Invoice'!$C$2:$C$151,$L66)="","",INDEX('Per Invoice'!$C$2:$C$151,$L66)))</f>
        <v/>
      </c>
      <c r="D66">
        <f>IF($L66="","",IF(INDEX('Per Invoice'!$D$2:$D$151,$L66)="","",INDEX('Per Invoice'!$D$2:$D$151,$L66)))</f>
        <v/>
      </c>
      <c r="E66">
        <f>IF($L66="","",IF(INDEX('Per Invoice'!$E$2:$E$151,$L66)="","",INDEX('Per Invoice'!$E$2:$E$151,$L66)))</f>
        <v/>
      </c>
      <c r="F66" s="5">
        <f>IF($L66="","",IF(INDEX('Per Invoice'!$F$2:$F$151,$L66)="","",INDEX('Per Invoice'!$F$2:$F$151,$L66)))</f>
        <v/>
      </c>
      <c r="G66" s="5">
        <f>IF($L66="","",IF(INDEX('Per Invoice'!$G$2:$G$151,$L66)="","",INDEX('Per Invoice'!$G$2:$G$151,$L66)))</f>
        <v/>
      </c>
      <c r="H66" s="5">
        <f>IF($L66="","",IF(INDEX('Per Invoice'!$H$2:$H$151,$L66)="","",INDEX('Per Invoice'!$H$2:$H$151,$L66)))</f>
        <v/>
      </c>
      <c r="I66" s="5">
        <f>IF($L66="","",IF(INDEX('Per Invoice'!$I$2:$I$151,$L66)="","",INDEX('Per Invoice'!$I$2:$I$151,$L66)))</f>
        <v/>
      </c>
      <c r="J66" s="5">
        <f>IF($L66="","",IF(INDEX('Per Invoice'!$J$2:$J$151,$L66)="","",INDEX('Per Invoice'!$J$2:$J$151,$L66)))</f>
        <v/>
      </c>
      <c r="K66">
        <f>IF($L66="","",IF(INDEX('Per Invoice'!$K$2:$K$151,$L66)="","",INDEX('Per Invoice'!$K$2:$K$151,$L66)))</f>
        <v/>
      </c>
      <c r="L66">
        <f>IF(ROWS($L$2:$L66)&lt;=COUNT('Per Invoice'!$M$2:$M$151),MATCH(ROWS($L$2:$L66),'Per Invoice'!$M$2:$M$151,0),"")</f>
        <v/>
      </c>
    </row>
    <row r="67">
      <c r="A67">
        <f>IF($L67="","",IF(INDEX('Per Invoice'!$A$2:$A$151,$L67)="","",INDEX('Per Invoice'!$A$2:$A$151,$L67)))</f>
        <v/>
      </c>
      <c r="B67">
        <f>IF($L67="","",IF(INDEX('Per Invoice'!$B$2:$B$151,$L67)="","",INDEX('Per Invoice'!$B$2:$B$151,$L67)))</f>
        <v/>
      </c>
      <c r="C67">
        <f>IF($L67="","",IF(INDEX('Per Invoice'!$C$2:$C$151,$L67)="","",INDEX('Per Invoice'!$C$2:$C$151,$L67)))</f>
        <v/>
      </c>
      <c r="D67">
        <f>IF($L67="","",IF(INDEX('Per Invoice'!$D$2:$D$151,$L67)="","",INDEX('Per Invoice'!$D$2:$D$151,$L67)))</f>
        <v/>
      </c>
      <c r="E67">
        <f>IF($L67="","",IF(INDEX('Per Invoice'!$E$2:$E$151,$L67)="","",INDEX('Per Invoice'!$E$2:$E$151,$L67)))</f>
        <v/>
      </c>
      <c r="F67" s="5">
        <f>IF($L67="","",IF(INDEX('Per Invoice'!$F$2:$F$151,$L67)="","",INDEX('Per Invoice'!$F$2:$F$151,$L67)))</f>
        <v/>
      </c>
      <c r="G67" s="5">
        <f>IF($L67="","",IF(INDEX('Per Invoice'!$G$2:$G$151,$L67)="","",INDEX('Per Invoice'!$G$2:$G$151,$L67)))</f>
        <v/>
      </c>
      <c r="H67" s="5">
        <f>IF($L67="","",IF(INDEX('Per Invoice'!$H$2:$H$151,$L67)="","",INDEX('Per Invoice'!$H$2:$H$151,$L67)))</f>
        <v/>
      </c>
      <c r="I67" s="5">
        <f>IF($L67="","",IF(INDEX('Per Invoice'!$I$2:$I$151,$L67)="","",INDEX('Per Invoice'!$I$2:$I$151,$L67)))</f>
        <v/>
      </c>
      <c r="J67" s="5">
        <f>IF($L67="","",IF(INDEX('Per Invoice'!$J$2:$J$151,$L67)="","",INDEX('Per Invoice'!$J$2:$J$151,$L67)))</f>
        <v/>
      </c>
      <c r="K67">
        <f>IF($L67="","",IF(INDEX('Per Invoice'!$K$2:$K$151,$L67)="","",INDEX('Per Invoice'!$K$2:$K$151,$L67)))</f>
        <v/>
      </c>
      <c r="L67">
        <f>IF(ROWS($L$2:$L67)&lt;=COUNT('Per Invoice'!$M$2:$M$151),MATCH(ROWS($L$2:$L67),'Per Invoice'!$M$2:$M$151,0),"")</f>
        <v/>
      </c>
    </row>
    <row r="68">
      <c r="A68">
        <f>IF($L68="","",IF(INDEX('Per Invoice'!$A$2:$A$151,$L68)="","",INDEX('Per Invoice'!$A$2:$A$151,$L68)))</f>
        <v/>
      </c>
      <c r="B68">
        <f>IF($L68="","",IF(INDEX('Per Invoice'!$B$2:$B$151,$L68)="","",INDEX('Per Invoice'!$B$2:$B$151,$L68)))</f>
        <v/>
      </c>
      <c r="C68">
        <f>IF($L68="","",IF(INDEX('Per Invoice'!$C$2:$C$151,$L68)="","",INDEX('Per Invoice'!$C$2:$C$151,$L68)))</f>
        <v/>
      </c>
      <c r="D68">
        <f>IF($L68="","",IF(INDEX('Per Invoice'!$D$2:$D$151,$L68)="","",INDEX('Per Invoice'!$D$2:$D$151,$L68)))</f>
        <v/>
      </c>
      <c r="E68">
        <f>IF($L68="","",IF(INDEX('Per Invoice'!$E$2:$E$151,$L68)="","",INDEX('Per Invoice'!$E$2:$E$151,$L68)))</f>
        <v/>
      </c>
      <c r="F68" s="5">
        <f>IF($L68="","",IF(INDEX('Per Invoice'!$F$2:$F$151,$L68)="","",INDEX('Per Invoice'!$F$2:$F$151,$L68)))</f>
        <v/>
      </c>
      <c r="G68" s="5">
        <f>IF($L68="","",IF(INDEX('Per Invoice'!$G$2:$G$151,$L68)="","",INDEX('Per Invoice'!$G$2:$G$151,$L68)))</f>
        <v/>
      </c>
      <c r="H68" s="5">
        <f>IF($L68="","",IF(INDEX('Per Invoice'!$H$2:$H$151,$L68)="","",INDEX('Per Invoice'!$H$2:$H$151,$L68)))</f>
        <v/>
      </c>
      <c r="I68" s="5">
        <f>IF($L68="","",IF(INDEX('Per Invoice'!$I$2:$I$151,$L68)="","",INDEX('Per Invoice'!$I$2:$I$151,$L68)))</f>
        <v/>
      </c>
      <c r="J68" s="5">
        <f>IF($L68="","",IF(INDEX('Per Invoice'!$J$2:$J$151,$L68)="","",INDEX('Per Invoice'!$J$2:$J$151,$L68)))</f>
        <v/>
      </c>
      <c r="K68">
        <f>IF($L68="","",IF(INDEX('Per Invoice'!$K$2:$K$151,$L68)="","",INDEX('Per Invoice'!$K$2:$K$151,$L68)))</f>
        <v/>
      </c>
      <c r="L68">
        <f>IF(ROWS($L$2:$L68)&lt;=COUNT('Per Invoice'!$M$2:$M$151),MATCH(ROWS($L$2:$L68),'Per Invoice'!$M$2:$M$151,0),"")</f>
        <v/>
      </c>
    </row>
    <row r="69">
      <c r="A69">
        <f>IF($L69="","",IF(INDEX('Per Invoice'!$A$2:$A$151,$L69)="","",INDEX('Per Invoice'!$A$2:$A$151,$L69)))</f>
        <v/>
      </c>
      <c r="B69">
        <f>IF($L69="","",IF(INDEX('Per Invoice'!$B$2:$B$151,$L69)="","",INDEX('Per Invoice'!$B$2:$B$151,$L69)))</f>
        <v/>
      </c>
      <c r="C69">
        <f>IF($L69="","",IF(INDEX('Per Invoice'!$C$2:$C$151,$L69)="","",INDEX('Per Invoice'!$C$2:$C$151,$L69)))</f>
        <v/>
      </c>
      <c r="D69">
        <f>IF($L69="","",IF(INDEX('Per Invoice'!$D$2:$D$151,$L69)="","",INDEX('Per Invoice'!$D$2:$D$151,$L69)))</f>
        <v/>
      </c>
      <c r="E69">
        <f>IF($L69="","",IF(INDEX('Per Invoice'!$E$2:$E$151,$L69)="","",INDEX('Per Invoice'!$E$2:$E$151,$L69)))</f>
        <v/>
      </c>
      <c r="F69" s="5">
        <f>IF($L69="","",IF(INDEX('Per Invoice'!$F$2:$F$151,$L69)="","",INDEX('Per Invoice'!$F$2:$F$151,$L69)))</f>
        <v/>
      </c>
      <c r="G69" s="5">
        <f>IF($L69="","",IF(INDEX('Per Invoice'!$G$2:$G$151,$L69)="","",INDEX('Per Invoice'!$G$2:$G$151,$L69)))</f>
        <v/>
      </c>
      <c r="H69" s="5">
        <f>IF($L69="","",IF(INDEX('Per Invoice'!$H$2:$H$151,$L69)="","",INDEX('Per Invoice'!$H$2:$H$151,$L69)))</f>
        <v/>
      </c>
      <c r="I69" s="5">
        <f>IF($L69="","",IF(INDEX('Per Invoice'!$I$2:$I$151,$L69)="","",INDEX('Per Invoice'!$I$2:$I$151,$L69)))</f>
        <v/>
      </c>
      <c r="J69" s="5">
        <f>IF($L69="","",IF(INDEX('Per Invoice'!$J$2:$J$151,$L69)="","",INDEX('Per Invoice'!$J$2:$J$151,$L69)))</f>
        <v/>
      </c>
      <c r="K69">
        <f>IF($L69="","",IF(INDEX('Per Invoice'!$K$2:$K$151,$L69)="","",INDEX('Per Invoice'!$K$2:$K$151,$L69)))</f>
        <v/>
      </c>
      <c r="L69">
        <f>IF(ROWS($L$2:$L69)&lt;=COUNT('Per Invoice'!$M$2:$M$151),MATCH(ROWS($L$2:$L69),'Per Invoice'!$M$2:$M$151,0),"")</f>
        <v/>
      </c>
    </row>
    <row r="70">
      <c r="A70">
        <f>IF($L70="","",IF(INDEX('Per Invoice'!$A$2:$A$151,$L70)="","",INDEX('Per Invoice'!$A$2:$A$151,$L70)))</f>
        <v/>
      </c>
      <c r="B70">
        <f>IF($L70="","",IF(INDEX('Per Invoice'!$B$2:$B$151,$L70)="","",INDEX('Per Invoice'!$B$2:$B$151,$L70)))</f>
        <v/>
      </c>
      <c r="C70">
        <f>IF($L70="","",IF(INDEX('Per Invoice'!$C$2:$C$151,$L70)="","",INDEX('Per Invoice'!$C$2:$C$151,$L70)))</f>
        <v/>
      </c>
      <c r="D70">
        <f>IF($L70="","",IF(INDEX('Per Invoice'!$D$2:$D$151,$L70)="","",INDEX('Per Invoice'!$D$2:$D$151,$L70)))</f>
        <v/>
      </c>
      <c r="E70">
        <f>IF($L70="","",IF(INDEX('Per Invoice'!$E$2:$E$151,$L70)="","",INDEX('Per Invoice'!$E$2:$E$151,$L70)))</f>
        <v/>
      </c>
      <c r="F70" s="5">
        <f>IF($L70="","",IF(INDEX('Per Invoice'!$F$2:$F$151,$L70)="","",INDEX('Per Invoice'!$F$2:$F$151,$L70)))</f>
        <v/>
      </c>
      <c r="G70" s="5">
        <f>IF($L70="","",IF(INDEX('Per Invoice'!$G$2:$G$151,$L70)="","",INDEX('Per Invoice'!$G$2:$G$151,$L70)))</f>
        <v/>
      </c>
      <c r="H70" s="5">
        <f>IF($L70="","",IF(INDEX('Per Invoice'!$H$2:$H$151,$L70)="","",INDEX('Per Invoice'!$H$2:$H$151,$L70)))</f>
        <v/>
      </c>
      <c r="I70" s="5">
        <f>IF($L70="","",IF(INDEX('Per Invoice'!$I$2:$I$151,$L70)="","",INDEX('Per Invoice'!$I$2:$I$151,$L70)))</f>
        <v/>
      </c>
      <c r="J70" s="5">
        <f>IF($L70="","",IF(INDEX('Per Invoice'!$J$2:$J$151,$L70)="","",INDEX('Per Invoice'!$J$2:$J$151,$L70)))</f>
        <v/>
      </c>
      <c r="K70">
        <f>IF($L70="","",IF(INDEX('Per Invoice'!$K$2:$K$151,$L70)="","",INDEX('Per Invoice'!$K$2:$K$151,$L70)))</f>
        <v/>
      </c>
      <c r="L70">
        <f>IF(ROWS($L$2:$L70)&lt;=COUNT('Per Invoice'!$M$2:$M$151),MATCH(ROWS($L$2:$L70),'Per Invoice'!$M$2:$M$151,0),"")</f>
        <v/>
      </c>
    </row>
    <row r="71">
      <c r="A71">
        <f>IF($L71="","",IF(INDEX('Per Invoice'!$A$2:$A$151,$L71)="","",INDEX('Per Invoice'!$A$2:$A$151,$L71)))</f>
        <v/>
      </c>
      <c r="B71">
        <f>IF($L71="","",IF(INDEX('Per Invoice'!$B$2:$B$151,$L71)="","",INDEX('Per Invoice'!$B$2:$B$151,$L71)))</f>
        <v/>
      </c>
      <c r="C71">
        <f>IF($L71="","",IF(INDEX('Per Invoice'!$C$2:$C$151,$L71)="","",INDEX('Per Invoice'!$C$2:$C$151,$L71)))</f>
        <v/>
      </c>
      <c r="D71">
        <f>IF($L71="","",IF(INDEX('Per Invoice'!$D$2:$D$151,$L71)="","",INDEX('Per Invoice'!$D$2:$D$151,$L71)))</f>
        <v/>
      </c>
      <c r="E71">
        <f>IF($L71="","",IF(INDEX('Per Invoice'!$E$2:$E$151,$L71)="","",INDEX('Per Invoice'!$E$2:$E$151,$L71)))</f>
        <v/>
      </c>
      <c r="F71" s="5">
        <f>IF($L71="","",IF(INDEX('Per Invoice'!$F$2:$F$151,$L71)="","",INDEX('Per Invoice'!$F$2:$F$151,$L71)))</f>
        <v/>
      </c>
      <c r="G71" s="5">
        <f>IF($L71="","",IF(INDEX('Per Invoice'!$G$2:$G$151,$L71)="","",INDEX('Per Invoice'!$G$2:$G$151,$L71)))</f>
        <v/>
      </c>
      <c r="H71" s="5">
        <f>IF($L71="","",IF(INDEX('Per Invoice'!$H$2:$H$151,$L71)="","",INDEX('Per Invoice'!$H$2:$H$151,$L71)))</f>
        <v/>
      </c>
      <c r="I71" s="5">
        <f>IF($L71="","",IF(INDEX('Per Invoice'!$I$2:$I$151,$L71)="","",INDEX('Per Invoice'!$I$2:$I$151,$L71)))</f>
        <v/>
      </c>
      <c r="J71" s="5">
        <f>IF($L71="","",IF(INDEX('Per Invoice'!$J$2:$J$151,$L71)="","",INDEX('Per Invoice'!$J$2:$J$151,$L71)))</f>
        <v/>
      </c>
      <c r="K71">
        <f>IF($L71="","",IF(INDEX('Per Invoice'!$K$2:$K$151,$L71)="","",INDEX('Per Invoice'!$K$2:$K$151,$L71)))</f>
        <v/>
      </c>
      <c r="L71">
        <f>IF(ROWS($L$2:$L71)&lt;=COUNT('Per Invoice'!$M$2:$M$151),MATCH(ROWS($L$2:$L71),'Per Invoice'!$M$2:$M$151,0),"")</f>
        <v/>
      </c>
    </row>
    <row r="72">
      <c r="A72">
        <f>IF($L72="","",IF(INDEX('Per Invoice'!$A$2:$A$151,$L72)="","",INDEX('Per Invoice'!$A$2:$A$151,$L72)))</f>
        <v/>
      </c>
      <c r="B72">
        <f>IF($L72="","",IF(INDEX('Per Invoice'!$B$2:$B$151,$L72)="","",INDEX('Per Invoice'!$B$2:$B$151,$L72)))</f>
        <v/>
      </c>
      <c r="C72">
        <f>IF($L72="","",IF(INDEX('Per Invoice'!$C$2:$C$151,$L72)="","",INDEX('Per Invoice'!$C$2:$C$151,$L72)))</f>
        <v/>
      </c>
      <c r="D72">
        <f>IF($L72="","",IF(INDEX('Per Invoice'!$D$2:$D$151,$L72)="","",INDEX('Per Invoice'!$D$2:$D$151,$L72)))</f>
        <v/>
      </c>
      <c r="E72">
        <f>IF($L72="","",IF(INDEX('Per Invoice'!$E$2:$E$151,$L72)="","",INDEX('Per Invoice'!$E$2:$E$151,$L72)))</f>
        <v/>
      </c>
      <c r="F72" s="5">
        <f>IF($L72="","",IF(INDEX('Per Invoice'!$F$2:$F$151,$L72)="","",INDEX('Per Invoice'!$F$2:$F$151,$L72)))</f>
        <v/>
      </c>
      <c r="G72" s="5">
        <f>IF($L72="","",IF(INDEX('Per Invoice'!$G$2:$G$151,$L72)="","",INDEX('Per Invoice'!$G$2:$G$151,$L72)))</f>
        <v/>
      </c>
      <c r="H72" s="5">
        <f>IF($L72="","",IF(INDEX('Per Invoice'!$H$2:$H$151,$L72)="","",INDEX('Per Invoice'!$H$2:$H$151,$L72)))</f>
        <v/>
      </c>
      <c r="I72" s="5">
        <f>IF($L72="","",IF(INDEX('Per Invoice'!$I$2:$I$151,$L72)="","",INDEX('Per Invoice'!$I$2:$I$151,$L72)))</f>
        <v/>
      </c>
      <c r="J72" s="5">
        <f>IF($L72="","",IF(INDEX('Per Invoice'!$J$2:$J$151,$L72)="","",INDEX('Per Invoice'!$J$2:$J$151,$L72)))</f>
        <v/>
      </c>
      <c r="K72">
        <f>IF($L72="","",IF(INDEX('Per Invoice'!$K$2:$K$151,$L72)="","",INDEX('Per Invoice'!$K$2:$K$151,$L72)))</f>
        <v/>
      </c>
      <c r="L72">
        <f>IF(ROWS($L$2:$L72)&lt;=COUNT('Per Invoice'!$M$2:$M$151),MATCH(ROWS($L$2:$L72),'Per Invoice'!$M$2:$M$151,0),"")</f>
        <v/>
      </c>
    </row>
    <row r="73">
      <c r="A73">
        <f>IF($L73="","",IF(INDEX('Per Invoice'!$A$2:$A$151,$L73)="","",INDEX('Per Invoice'!$A$2:$A$151,$L73)))</f>
        <v/>
      </c>
      <c r="B73">
        <f>IF($L73="","",IF(INDEX('Per Invoice'!$B$2:$B$151,$L73)="","",INDEX('Per Invoice'!$B$2:$B$151,$L73)))</f>
        <v/>
      </c>
      <c r="C73">
        <f>IF($L73="","",IF(INDEX('Per Invoice'!$C$2:$C$151,$L73)="","",INDEX('Per Invoice'!$C$2:$C$151,$L73)))</f>
        <v/>
      </c>
      <c r="D73">
        <f>IF($L73="","",IF(INDEX('Per Invoice'!$D$2:$D$151,$L73)="","",INDEX('Per Invoice'!$D$2:$D$151,$L73)))</f>
        <v/>
      </c>
      <c r="E73">
        <f>IF($L73="","",IF(INDEX('Per Invoice'!$E$2:$E$151,$L73)="","",INDEX('Per Invoice'!$E$2:$E$151,$L73)))</f>
        <v/>
      </c>
      <c r="F73" s="5">
        <f>IF($L73="","",IF(INDEX('Per Invoice'!$F$2:$F$151,$L73)="","",INDEX('Per Invoice'!$F$2:$F$151,$L73)))</f>
        <v/>
      </c>
      <c r="G73" s="5">
        <f>IF($L73="","",IF(INDEX('Per Invoice'!$G$2:$G$151,$L73)="","",INDEX('Per Invoice'!$G$2:$G$151,$L73)))</f>
        <v/>
      </c>
      <c r="H73" s="5">
        <f>IF($L73="","",IF(INDEX('Per Invoice'!$H$2:$H$151,$L73)="","",INDEX('Per Invoice'!$H$2:$H$151,$L73)))</f>
        <v/>
      </c>
      <c r="I73" s="5">
        <f>IF($L73="","",IF(INDEX('Per Invoice'!$I$2:$I$151,$L73)="","",INDEX('Per Invoice'!$I$2:$I$151,$L73)))</f>
        <v/>
      </c>
      <c r="J73" s="5">
        <f>IF($L73="","",IF(INDEX('Per Invoice'!$J$2:$J$151,$L73)="","",INDEX('Per Invoice'!$J$2:$J$151,$L73)))</f>
        <v/>
      </c>
      <c r="K73">
        <f>IF($L73="","",IF(INDEX('Per Invoice'!$K$2:$K$151,$L73)="","",INDEX('Per Invoice'!$K$2:$K$151,$L73)))</f>
        <v/>
      </c>
      <c r="L73">
        <f>IF(ROWS($L$2:$L73)&lt;=COUNT('Per Invoice'!$M$2:$M$151),MATCH(ROWS($L$2:$L73),'Per Invoice'!$M$2:$M$151,0),"")</f>
        <v/>
      </c>
    </row>
    <row r="74">
      <c r="A74">
        <f>IF($L74="","",IF(INDEX('Per Invoice'!$A$2:$A$151,$L74)="","",INDEX('Per Invoice'!$A$2:$A$151,$L74)))</f>
        <v/>
      </c>
      <c r="B74">
        <f>IF($L74="","",IF(INDEX('Per Invoice'!$B$2:$B$151,$L74)="","",INDEX('Per Invoice'!$B$2:$B$151,$L74)))</f>
        <v/>
      </c>
      <c r="C74">
        <f>IF($L74="","",IF(INDEX('Per Invoice'!$C$2:$C$151,$L74)="","",INDEX('Per Invoice'!$C$2:$C$151,$L74)))</f>
        <v/>
      </c>
      <c r="D74">
        <f>IF($L74="","",IF(INDEX('Per Invoice'!$D$2:$D$151,$L74)="","",INDEX('Per Invoice'!$D$2:$D$151,$L74)))</f>
        <v/>
      </c>
      <c r="E74">
        <f>IF($L74="","",IF(INDEX('Per Invoice'!$E$2:$E$151,$L74)="","",INDEX('Per Invoice'!$E$2:$E$151,$L74)))</f>
        <v/>
      </c>
      <c r="F74" s="5">
        <f>IF($L74="","",IF(INDEX('Per Invoice'!$F$2:$F$151,$L74)="","",INDEX('Per Invoice'!$F$2:$F$151,$L74)))</f>
        <v/>
      </c>
      <c r="G74" s="5">
        <f>IF($L74="","",IF(INDEX('Per Invoice'!$G$2:$G$151,$L74)="","",INDEX('Per Invoice'!$G$2:$G$151,$L74)))</f>
        <v/>
      </c>
      <c r="H74" s="5">
        <f>IF($L74="","",IF(INDEX('Per Invoice'!$H$2:$H$151,$L74)="","",INDEX('Per Invoice'!$H$2:$H$151,$L74)))</f>
        <v/>
      </c>
      <c r="I74" s="5">
        <f>IF($L74="","",IF(INDEX('Per Invoice'!$I$2:$I$151,$L74)="","",INDEX('Per Invoice'!$I$2:$I$151,$L74)))</f>
        <v/>
      </c>
      <c r="J74" s="5">
        <f>IF($L74="","",IF(INDEX('Per Invoice'!$J$2:$J$151,$L74)="","",INDEX('Per Invoice'!$J$2:$J$151,$L74)))</f>
        <v/>
      </c>
      <c r="K74">
        <f>IF($L74="","",IF(INDEX('Per Invoice'!$K$2:$K$151,$L74)="","",INDEX('Per Invoice'!$K$2:$K$151,$L74)))</f>
        <v/>
      </c>
      <c r="L74">
        <f>IF(ROWS($L$2:$L74)&lt;=COUNT('Per Invoice'!$M$2:$M$151),MATCH(ROWS($L$2:$L74),'Per Invoice'!$M$2:$M$151,0),"")</f>
        <v/>
      </c>
    </row>
    <row r="75">
      <c r="A75">
        <f>IF($L75="","",IF(INDEX('Per Invoice'!$A$2:$A$151,$L75)="","",INDEX('Per Invoice'!$A$2:$A$151,$L75)))</f>
        <v/>
      </c>
      <c r="B75">
        <f>IF($L75="","",IF(INDEX('Per Invoice'!$B$2:$B$151,$L75)="","",INDEX('Per Invoice'!$B$2:$B$151,$L75)))</f>
        <v/>
      </c>
      <c r="C75">
        <f>IF($L75="","",IF(INDEX('Per Invoice'!$C$2:$C$151,$L75)="","",INDEX('Per Invoice'!$C$2:$C$151,$L75)))</f>
        <v/>
      </c>
      <c r="D75">
        <f>IF($L75="","",IF(INDEX('Per Invoice'!$D$2:$D$151,$L75)="","",INDEX('Per Invoice'!$D$2:$D$151,$L75)))</f>
        <v/>
      </c>
      <c r="E75">
        <f>IF($L75="","",IF(INDEX('Per Invoice'!$E$2:$E$151,$L75)="","",INDEX('Per Invoice'!$E$2:$E$151,$L75)))</f>
        <v/>
      </c>
      <c r="F75" s="5">
        <f>IF($L75="","",IF(INDEX('Per Invoice'!$F$2:$F$151,$L75)="","",INDEX('Per Invoice'!$F$2:$F$151,$L75)))</f>
        <v/>
      </c>
      <c r="G75" s="5">
        <f>IF($L75="","",IF(INDEX('Per Invoice'!$G$2:$G$151,$L75)="","",INDEX('Per Invoice'!$G$2:$G$151,$L75)))</f>
        <v/>
      </c>
      <c r="H75" s="5">
        <f>IF($L75="","",IF(INDEX('Per Invoice'!$H$2:$H$151,$L75)="","",INDEX('Per Invoice'!$H$2:$H$151,$L75)))</f>
        <v/>
      </c>
      <c r="I75" s="5">
        <f>IF($L75="","",IF(INDEX('Per Invoice'!$I$2:$I$151,$L75)="","",INDEX('Per Invoice'!$I$2:$I$151,$L75)))</f>
        <v/>
      </c>
      <c r="J75" s="5">
        <f>IF($L75="","",IF(INDEX('Per Invoice'!$J$2:$J$151,$L75)="","",INDEX('Per Invoice'!$J$2:$J$151,$L75)))</f>
        <v/>
      </c>
      <c r="K75">
        <f>IF($L75="","",IF(INDEX('Per Invoice'!$K$2:$K$151,$L75)="","",INDEX('Per Invoice'!$K$2:$K$151,$L75)))</f>
        <v/>
      </c>
      <c r="L75">
        <f>IF(ROWS($L$2:$L75)&lt;=COUNT('Per Invoice'!$M$2:$M$151),MATCH(ROWS($L$2:$L75),'Per Invoice'!$M$2:$M$151,0),"")</f>
        <v/>
      </c>
    </row>
    <row r="76">
      <c r="A76">
        <f>IF($L76="","",IF(INDEX('Per Invoice'!$A$2:$A$151,$L76)="","",INDEX('Per Invoice'!$A$2:$A$151,$L76)))</f>
        <v/>
      </c>
      <c r="B76">
        <f>IF($L76="","",IF(INDEX('Per Invoice'!$B$2:$B$151,$L76)="","",INDEX('Per Invoice'!$B$2:$B$151,$L76)))</f>
        <v/>
      </c>
      <c r="C76">
        <f>IF($L76="","",IF(INDEX('Per Invoice'!$C$2:$C$151,$L76)="","",INDEX('Per Invoice'!$C$2:$C$151,$L76)))</f>
        <v/>
      </c>
      <c r="D76">
        <f>IF($L76="","",IF(INDEX('Per Invoice'!$D$2:$D$151,$L76)="","",INDEX('Per Invoice'!$D$2:$D$151,$L76)))</f>
        <v/>
      </c>
      <c r="E76">
        <f>IF($L76="","",IF(INDEX('Per Invoice'!$E$2:$E$151,$L76)="","",INDEX('Per Invoice'!$E$2:$E$151,$L76)))</f>
        <v/>
      </c>
      <c r="F76" s="5">
        <f>IF($L76="","",IF(INDEX('Per Invoice'!$F$2:$F$151,$L76)="","",INDEX('Per Invoice'!$F$2:$F$151,$L76)))</f>
        <v/>
      </c>
      <c r="G76" s="5">
        <f>IF($L76="","",IF(INDEX('Per Invoice'!$G$2:$G$151,$L76)="","",INDEX('Per Invoice'!$G$2:$G$151,$L76)))</f>
        <v/>
      </c>
      <c r="H76" s="5">
        <f>IF($L76="","",IF(INDEX('Per Invoice'!$H$2:$H$151,$L76)="","",INDEX('Per Invoice'!$H$2:$H$151,$L76)))</f>
        <v/>
      </c>
      <c r="I76" s="5">
        <f>IF($L76="","",IF(INDEX('Per Invoice'!$I$2:$I$151,$L76)="","",INDEX('Per Invoice'!$I$2:$I$151,$L76)))</f>
        <v/>
      </c>
      <c r="J76" s="5">
        <f>IF($L76="","",IF(INDEX('Per Invoice'!$J$2:$J$151,$L76)="","",INDEX('Per Invoice'!$J$2:$J$151,$L76)))</f>
        <v/>
      </c>
      <c r="K76">
        <f>IF($L76="","",IF(INDEX('Per Invoice'!$K$2:$K$151,$L76)="","",INDEX('Per Invoice'!$K$2:$K$151,$L76)))</f>
        <v/>
      </c>
      <c r="L76">
        <f>IF(ROWS($L$2:$L76)&lt;=COUNT('Per Invoice'!$M$2:$M$151),MATCH(ROWS($L$2:$L76),'Per Invoice'!$M$2:$M$151,0),"")</f>
        <v/>
      </c>
    </row>
    <row r="77">
      <c r="A77">
        <f>IF($L77="","",IF(INDEX('Per Invoice'!$A$2:$A$151,$L77)="","",INDEX('Per Invoice'!$A$2:$A$151,$L77)))</f>
        <v/>
      </c>
      <c r="B77">
        <f>IF($L77="","",IF(INDEX('Per Invoice'!$B$2:$B$151,$L77)="","",INDEX('Per Invoice'!$B$2:$B$151,$L77)))</f>
        <v/>
      </c>
      <c r="C77">
        <f>IF($L77="","",IF(INDEX('Per Invoice'!$C$2:$C$151,$L77)="","",INDEX('Per Invoice'!$C$2:$C$151,$L77)))</f>
        <v/>
      </c>
      <c r="D77">
        <f>IF($L77="","",IF(INDEX('Per Invoice'!$D$2:$D$151,$L77)="","",INDEX('Per Invoice'!$D$2:$D$151,$L77)))</f>
        <v/>
      </c>
      <c r="E77">
        <f>IF($L77="","",IF(INDEX('Per Invoice'!$E$2:$E$151,$L77)="","",INDEX('Per Invoice'!$E$2:$E$151,$L77)))</f>
        <v/>
      </c>
      <c r="F77" s="5">
        <f>IF($L77="","",IF(INDEX('Per Invoice'!$F$2:$F$151,$L77)="","",INDEX('Per Invoice'!$F$2:$F$151,$L77)))</f>
        <v/>
      </c>
      <c r="G77" s="5">
        <f>IF($L77="","",IF(INDEX('Per Invoice'!$G$2:$G$151,$L77)="","",INDEX('Per Invoice'!$G$2:$G$151,$L77)))</f>
        <v/>
      </c>
      <c r="H77" s="5">
        <f>IF($L77="","",IF(INDEX('Per Invoice'!$H$2:$H$151,$L77)="","",INDEX('Per Invoice'!$H$2:$H$151,$L77)))</f>
        <v/>
      </c>
      <c r="I77" s="5">
        <f>IF($L77="","",IF(INDEX('Per Invoice'!$I$2:$I$151,$L77)="","",INDEX('Per Invoice'!$I$2:$I$151,$L77)))</f>
        <v/>
      </c>
      <c r="J77" s="5">
        <f>IF($L77="","",IF(INDEX('Per Invoice'!$J$2:$J$151,$L77)="","",INDEX('Per Invoice'!$J$2:$J$151,$L77)))</f>
        <v/>
      </c>
      <c r="K77">
        <f>IF($L77="","",IF(INDEX('Per Invoice'!$K$2:$K$151,$L77)="","",INDEX('Per Invoice'!$K$2:$K$151,$L77)))</f>
        <v/>
      </c>
      <c r="L77">
        <f>IF(ROWS($L$2:$L77)&lt;=COUNT('Per Invoice'!$M$2:$M$151),MATCH(ROWS($L$2:$L77),'Per Invoice'!$M$2:$M$151,0),"")</f>
        <v/>
      </c>
    </row>
    <row r="78">
      <c r="A78">
        <f>IF($L78="","",IF(INDEX('Per Invoice'!$A$2:$A$151,$L78)="","",INDEX('Per Invoice'!$A$2:$A$151,$L78)))</f>
        <v/>
      </c>
      <c r="B78">
        <f>IF($L78="","",IF(INDEX('Per Invoice'!$B$2:$B$151,$L78)="","",INDEX('Per Invoice'!$B$2:$B$151,$L78)))</f>
        <v/>
      </c>
      <c r="C78">
        <f>IF($L78="","",IF(INDEX('Per Invoice'!$C$2:$C$151,$L78)="","",INDEX('Per Invoice'!$C$2:$C$151,$L78)))</f>
        <v/>
      </c>
      <c r="D78">
        <f>IF($L78="","",IF(INDEX('Per Invoice'!$D$2:$D$151,$L78)="","",INDEX('Per Invoice'!$D$2:$D$151,$L78)))</f>
        <v/>
      </c>
      <c r="E78">
        <f>IF($L78="","",IF(INDEX('Per Invoice'!$E$2:$E$151,$L78)="","",INDEX('Per Invoice'!$E$2:$E$151,$L78)))</f>
        <v/>
      </c>
      <c r="F78" s="5">
        <f>IF($L78="","",IF(INDEX('Per Invoice'!$F$2:$F$151,$L78)="","",INDEX('Per Invoice'!$F$2:$F$151,$L78)))</f>
        <v/>
      </c>
      <c r="G78" s="5">
        <f>IF($L78="","",IF(INDEX('Per Invoice'!$G$2:$G$151,$L78)="","",INDEX('Per Invoice'!$G$2:$G$151,$L78)))</f>
        <v/>
      </c>
      <c r="H78" s="5">
        <f>IF($L78="","",IF(INDEX('Per Invoice'!$H$2:$H$151,$L78)="","",INDEX('Per Invoice'!$H$2:$H$151,$L78)))</f>
        <v/>
      </c>
      <c r="I78" s="5">
        <f>IF($L78="","",IF(INDEX('Per Invoice'!$I$2:$I$151,$L78)="","",INDEX('Per Invoice'!$I$2:$I$151,$L78)))</f>
        <v/>
      </c>
      <c r="J78" s="5">
        <f>IF($L78="","",IF(INDEX('Per Invoice'!$J$2:$J$151,$L78)="","",INDEX('Per Invoice'!$J$2:$J$151,$L78)))</f>
        <v/>
      </c>
      <c r="K78">
        <f>IF($L78="","",IF(INDEX('Per Invoice'!$K$2:$K$151,$L78)="","",INDEX('Per Invoice'!$K$2:$K$151,$L78)))</f>
        <v/>
      </c>
      <c r="L78">
        <f>IF(ROWS($L$2:$L78)&lt;=COUNT('Per Invoice'!$M$2:$M$151),MATCH(ROWS($L$2:$L78),'Per Invoice'!$M$2:$M$151,0),"")</f>
        <v/>
      </c>
    </row>
    <row r="79">
      <c r="A79">
        <f>IF($L79="","",IF(INDEX('Per Invoice'!$A$2:$A$151,$L79)="","",INDEX('Per Invoice'!$A$2:$A$151,$L79)))</f>
        <v/>
      </c>
      <c r="B79">
        <f>IF($L79="","",IF(INDEX('Per Invoice'!$B$2:$B$151,$L79)="","",INDEX('Per Invoice'!$B$2:$B$151,$L79)))</f>
        <v/>
      </c>
      <c r="C79">
        <f>IF($L79="","",IF(INDEX('Per Invoice'!$C$2:$C$151,$L79)="","",INDEX('Per Invoice'!$C$2:$C$151,$L79)))</f>
        <v/>
      </c>
      <c r="D79">
        <f>IF($L79="","",IF(INDEX('Per Invoice'!$D$2:$D$151,$L79)="","",INDEX('Per Invoice'!$D$2:$D$151,$L79)))</f>
        <v/>
      </c>
      <c r="E79">
        <f>IF($L79="","",IF(INDEX('Per Invoice'!$E$2:$E$151,$L79)="","",INDEX('Per Invoice'!$E$2:$E$151,$L79)))</f>
        <v/>
      </c>
      <c r="F79" s="5">
        <f>IF($L79="","",IF(INDEX('Per Invoice'!$F$2:$F$151,$L79)="","",INDEX('Per Invoice'!$F$2:$F$151,$L79)))</f>
        <v/>
      </c>
      <c r="G79" s="5">
        <f>IF($L79="","",IF(INDEX('Per Invoice'!$G$2:$G$151,$L79)="","",INDEX('Per Invoice'!$G$2:$G$151,$L79)))</f>
        <v/>
      </c>
      <c r="H79" s="5">
        <f>IF($L79="","",IF(INDEX('Per Invoice'!$H$2:$H$151,$L79)="","",INDEX('Per Invoice'!$H$2:$H$151,$L79)))</f>
        <v/>
      </c>
      <c r="I79" s="5">
        <f>IF($L79="","",IF(INDEX('Per Invoice'!$I$2:$I$151,$L79)="","",INDEX('Per Invoice'!$I$2:$I$151,$L79)))</f>
        <v/>
      </c>
      <c r="J79" s="5">
        <f>IF($L79="","",IF(INDEX('Per Invoice'!$J$2:$J$151,$L79)="","",INDEX('Per Invoice'!$J$2:$J$151,$L79)))</f>
        <v/>
      </c>
      <c r="K79">
        <f>IF($L79="","",IF(INDEX('Per Invoice'!$K$2:$K$151,$L79)="","",INDEX('Per Invoice'!$K$2:$K$151,$L79)))</f>
        <v/>
      </c>
      <c r="L79">
        <f>IF(ROWS($L$2:$L79)&lt;=COUNT('Per Invoice'!$M$2:$M$151),MATCH(ROWS($L$2:$L79),'Per Invoice'!$M$2:$M$151,0),"")</f>
        <v/>
      </c>
    </row>
    <row r="80">
      <c r="A80">
        <f>IF($L80="","",IF(INDEX('Per Invoice'!$A$2:$A$151,$L80)="","",INDEX('Per Invoice'!$A$2:$A$151,$L80)))</f>
        <v/>
      </c>
      <c r="B80">
        <f>IF($L80="","",IF(INDEX('Per Invoice'!$B$2:$B$151,$L80)="","",INDEX('Per Invoice'!$B$2:$B$151,$L80)))</f>
        <v/>
      </c>
      <c r="C80">
        <f>IF($L80="","",IF(INDEX('Per Invoice'!$C$2:$C$151,$L80)="","",INDEX('Per Invoice'!$C$2:$C$151,$L80)))</f>
        <v/>
      </c>
      <c r="D80">
        <f>IF($L80="","",IF(INDEX('Per Invoice'!$D$2:$D$151,$L80)="","",INDEX('Per Invoice'!$D$2:$D$151,$L80)))</f>
        <v/>
      </c>
      <c r="E80">
        <f>IF($L80="","",IF(INDEX('Per Invoice'!$E$2:$E$151,$L80)="","",INDEX('Per Invoice'!$E$2:$E$151,$L80)))</f>
        <v/>
      </c>
      <c r="F80" s="5">
        <f>IF($L80="","",IF(INDEX('Per Invoice'!$F$2:$F$151,$L80)="","",INDEX('Per Invoice'!$F$2:$F$151,$L80)))</f>
        <v/>
      </c>
      <c r="G80" s="5">
        <f>IF($L80="","",IF(INDEX('Per Invoice'!$G$2:$G$151,$L80)="","",INDEX('Per Invoice'!$G$2:$G$151,$L80)))</f>
        <v/>
      </c>
      <c r="H80" s="5">
        <f>IF($L80="","",IF(INDEX('Per Invoice'!$H$2:$H$151,$L80)="","",INDEX('Per Invoice'!$H$2:$H$151,$L80)))</f>
        <v/>
      </c>
      <c r="I80" s="5">
        <f>IF($L80="","",IF(INDEX('Per Invoice'!$I$2:$I$151,$L80)="","",INDEX('Per Invoice'!$I$2:$I$151,$L80)))</f>
        <v/>
      </c>
      <c r="J80" s="5">
        <f>IF($L80="","",IF(INDEX('Per Invoice'!$J$2:$J$151,$L80)="","",INDEX('Per Invoice'!$J$2:$J$151,$L80)))</f>
        <v/>
      </c>
      <c r="K80">
        <f>IF($L80="","",IF(INDEX('Per Invoice'!$K$2:$K$151,$L80)="","",INDEX('Per Invoice'!$K$2:$K$151,$L80)))</f>
        <v/>
      </c>
      <c r="L80">
        <f>IF(ROWS($L$2:$L80)&lt;=COUNT('Per Invoice'!$M$2:$M$151),MATCH(ROWS($L$2:$L80),'Per Invoice'!$M$2:$M$151,0),"")</f>
        <v/>
      </c>
    </row>
    <row r="81">
      <c r="A81">
        <f>IF($L81="","",IF(INDEX('Per Invoice'!$A$2:$A$151,$L81)="","",INDEX('Per Invoice'!$A$2:$A$151,$L81)))</f>
        <v/>
      </c>
      <c r="B81">
        <f>IF($L81="","",IF(INDEX('Per Invoice'!$B$2:$B$151,$L81)="","",INDEX('Per Invoice'!$B$2:$B$151,$L81)))</f>
        <v/>
      </c>
      <c r="C81">
        <f>IF($L81="","",IF(INDEX('Per Invoice'!$C$2:$C$151,$L81)="","",INDEX('Per Invoice'!$C$2:$C$151,$L81)))</f>
        <v/>
      </c>
      <c r="D81">
        <f>IF($L81="","",IF(INDEX('Per Invoice'!$D$2:$D$151,$L81)="","",INDEX('Per Invoice'!$D$2:$D$151,$L81)))</f>
        <v/>
      </c>
      <c r="E81">
        <f>IF($L81="","",IF(INDEX('Per Invoice'!$E$2:$E$151,$L81)="","",INDEX('Per Invoice'!$E$2:$E$151,$L81)))</f>
        <v/>
      </c>
      <c r="F81" s="5">
        <f>IF($L81="","",IF(INDEX('Per Invoice'!$F$2:$F$151,$L81)="","",INDEX('Per Invoice'!$F$2:$F$151,$L81)))</f>
        <v/>
      </c>
      <c r="G81" s="5">
        <f>IF($L81="","",IF(INDEX('Per Invoice'!$G$2:$G$151,$L81)="","",INDEX('Per Invoice'!$G$2:$G$151,$L81)))</f>
        <v/>
      </c>
      <c r="H81" s="5">
        <f>IF($L81="","",IF(INDEX('Per Invoice'!$H$2:$H$151,$L81)="","",INDEX('Per Invoice'!$H$2:$H$151,$L81)))</f>
        <v/>
      </c>
      <c r="I81" s="5">
        <f>IF($L81="","",IF(INDEX('Per Invoice'!$I$2:$I$151,$L81)="","",INDEX('Per Invoice'!$I$2:$I$151,$L81)))</f>
        <v/>
      </c>
      <c r="J81" s="5">
        <f>IF($L81="","",IF(INDEX('Per Invoice'!$J$2:$J$151,$L81)="","",INDEX('Per Invoice'!$J$2:$J$151,$L81)))</f>
        <v/>
      </c>
      <c r="K81">
        <f>IF($L81="","",IF(INDEX('Per Invoice'!$K$2:$K$151,$L81)="","",INDEX('Per Invoice'!$K$2:$K$151,$L81)))</f>
        <v/>
      </c>
      <c r="L81">
        <f>IF(ROWS($L$2:$L81)&lt;=COUNT('Per Invoice'!$M$2:$M$151),MATCH(ROWS($L$2:$L81),'Per Invoice'!$M$2:$M$151,0),"")</f>
        <v/>
      </c>
    </row>
    <row r="82">
      <c r="A82">
        <f>IF($L82="","",IF(INDEX('Per Invoice'!$A$2:$A$151,$L82)="","",INDEX('Per Invoice'!$A$2:$A$151,$L82)))</f>
        <v/>
      </c>
      <c r="B82">
        <f>IF($L82="","",IF(INDEX('Per Invoice'!$B$2:$B$151,$L82)="","",INDEX('Per Invoice'!$B$2:$B$151,$L82)))</f>
        <v/>
      </c>
      <c r="C82">
        <f>IF($L82="","",IF(INDEX('Per Invoice'!$C$2:$C$151,$L82)="","",INDEX('Per Invoice'!$C$2:$C$151,$L82)))</f>
        <v/>
      </c>
      <c r="D82">
        <f>IF($L82="","",IF(INDEX('Per Invoice'!$D$2:$D$151,$L82)="","",INDEX('Per Invoice'!$D$2:$D$151,$L82)))</f>
        <v/>
      </c>
      <c r="E82">
        <f>IF($L82="","",IF(INDEX('Per Invoice'!$E$2:$E$151,$L82)="","",INDEX('Per Invoice'!$E$2:$E$151,$L82)))</f>
        <v/>
      </c>
      <c r="F82" s="5">
        <f>IF($L82="","",IF(INDEX('Per Invoice'!$F$2:$F$151,$L82)="","",INDEX('Per Invoice'!$F$2:$F$151,$L82)))</f>
        <v/>
      </c>
      <c r="G82" s="5">
        <f>IF($L82="","",IF(INDEX('Per Invoice'!$G$2:$G$151,$L82)="","",INDEX('Per Invoice'!$G$2:$G$151,$L82)))</f>
        <v/>
      </c>
      <c r="H82" s="5">
        <f>IF($L82="","",IF(INDEX('Per Invoice'!$H$2:$H$151,$L82)="","",INDEX('Per Invoice'!$H$2:$H$151,$L82)))</f>
        <v/>
      </c>
      <c r="I82" s="5">
        <f>IF($L82="","",IF(INDEX('Per Invoice'!$I$2:$I$151,$L82)="","",INDEX('Per Invoice'!$I$2:$I$151,$L82)))</f>
        <v/>
      </c>
      <c r="J82" s="5">
        <f>IF($L82="","",IF(INDEX('Per Invoice'!$J$2:$J$151,$L82)="","",INDEX('Per Invoice'!$J$2:$J$151,$L82)))</f>
        <v/>
      </c>
      <c r="K82">
        <f>IF($L82="","",IF(INDEX('Per Invoice'!$K$2:$K$151,$L82)="","",INDEX('Per Invoice'!$K$2:$K$151,$L82)))</f>
        <v/>
      </c>
      <c r="L82">
        <f>IF(ROWS($L$2:$L82)&lt;=COUNT('Per Invoice'!$M$2:$M$151),MATCH(ROWS($L$2:$L82),'Per Invoice'!$M$2:$M$151,0),"")</f>
        <v/>
      </c>
    </row>
    <row r="83">
      <c r="A83">
        <f>IF($L83="","",IF(INDEX('Per Invoice'!$A$2:$A$151,$L83)="","",INDEX('Per Invoice'!$A$2:$A$151,$L83)))</f>
        <v/>
      </c>
      <c r="B83">
        <f>IF($L83="","",IF(INDEX('Per Invoice'!$B$2:$B$151,$L83)="","",INDEX('Per Invoice'!$B$2:$B$151,$L83)))</f>
        <v/>
      </c>
      <c r="C83">
        <f>IF($L83="","",IF(INDEX('Per Invoice'!$C$2:$C$151,$L83)="","",INDEX('Per Invoice'!$C$2:$C$151,$L83)))</f>
        <v/>
      </c>
      <c r="D83">
        <f>IF($L83="","",IF(INDEX('Per Invoice'!$D$2:$D$151,$L83)="","",INDEX('Per Invoice'!$D$2:$D$151,$L83)))</f>
        <v/>
      </c>
      <c r="E83">
        <f>IF($L83="","",IF(INDEX('Per Invoice'!$E$2:$E$151,$L83)="","",INDEX('Per Invoice'!$E$2:$E$151,$L83)))</f>
        <v/>
      </c>
      <c r="F83" s="5">
        <f>IF($L83="","",IF(INDEX('Per Invoice'!$F$2:$F$151,$L83)="","",INDEX('Per Invoice'!$F$2:$F$151,$L83)))</f>
        <v/>
      </c>
      <c r="G83" s="5">
        <f>IF($L83="","",IF(INDEX('Per Invoice'!$G$2:$G$151,$L83)="","",INDEX('Per Invoice'!$G$2:$G$151,$L83)))</f>
        <v/>
      </c>
      <c r="H83" s="5">
        <f>IF($L83="","",IF(INDEX('Per Invoice'!$H$2:$H$151,$L83)="","",INDEX('Per Invoice'!$H$2:$H$151,$L83)))</f>
        <v/>
      </c>
      <c r="I83" s="5">
        <f>IF($L83="","",IF(INDEX('Per Invoice'!$I$2:$I$151,$L83)="","",INDEX('Per Invoice'!$I$2:$I$151,$L83)))</f>
        <v/>
      </c>
      <c r="J83" s="5">
        <f>IF($L83="","",IF(INDEX('Per Invoice'!$J$2:$J$151,$L83)="","",INDEX('Per Invoice'!$J$2:$J$151,$L83)))</f>
        <v/>
      </c>
      <c r="K83">
        <f>IF($L83="","",IF(INDEX('Per Invoice'!$K$2:$K$151,$L83)="","",INDEX('Per Invoice'!$K$2:$K$151,$L83)))</f>
        <v/>
      </c>
      <c r="L83">
        <f>IF(ROWS($L$2:$L83)&lt;=COUNT('Per Invoice'!$M$2:$M$151),MATCH(ROWS($L$2:$L83),'Per Invoice'!$M$2:$M$151,0),"")</f>
        <v/>
      </c>
    </row>
    <row r="84">
      <c r="A84">
        <f>IF($L84="","",IF(INDEX('Per Invoice'!$A$2:$A$151,$L84)="","",INDEX('Per Invoice'!$A$2:$A$151,$L84)))</f>
        <v/>
      </c>
      <c r="B84">
        <f>IF($L84="","",IF(INDEX('Per Invoice'!$B$2:$B$151,$L84)="","",INDEX('Per Invoice'!$B$2:$B$151,$L84)))</f>
        <v/>
      </c>
      <c r="C84">
        <f>IF($L84="","",IF(INDEX('Per Invoice'!$C$2:$C$151,$L84)="","",INDEX('Per Invoice'!$C$2:$C$151,$L84)))</f>
        <v/>
      </c>
      <c r="D84">
        <f>IF($L84="","",IF(INDEX('Per Invoice'!$D$2:$D$151,$L84)="","",INDEX('Per Invoice'!$D$2:$D$151,$L84)))</f>
        <v/>
      </c>
      <c r="E84">
        <f>IF($L84="","",IF(INDEX('Per Invoice'!$E$2:$E$151,$L84)="","",INDEX('Per Invoice'!$E$2:$E$151,$L84)))</f>
        <v/>
      </c>
      <c r="F84" s="5">
        <f>IF($L84="","",IF(INDEX('Per Invoice'!$F$2:$F$151,$L84)="","",INDEX('Per Invoice'!$F$2:$F$151,$L84)))</f>
        <v/>
      </c>
      <c r="G84" s="5">
        <f>IF($L84="","",IF(INDEX('Per Invoice'!$G$2:$G$151,$L84)="","",INDEX('Per Invoice'!$G$2:$G$151,$L84)))</f>
        <v/>
      </c>
      <c r="H84" s="5">
        <f>IF($L84="","",IF(INDEX('Per Invoice'!$H$2:$H$151,$L84)="","",INDEX('Per Invoice'!$H$2:$H$151,$L84)))</f>
        <v/>
      </c>
      <c r="I84" s="5">
        <f>IF($L84="","",IF(INDEX('Per Invoice'!$I$2:$I$151,$L84)="","",INDEX('Per Invoice'!$I$2:$I$151,$L84)))</f>
        <v/>
      </c>
      <c r="J84" s="5">
        <f>IF($L84="","",IF(INDEX('Per Invoice'!$J$2:$J$151,$L84)="","",INDEX('Per Invoice'!$J$2:$J$151,$L84)))</f>
        <v/>
      </c>
      <c r="K84">
        <f>IF($L84="","",IF(INDEX('Per Invoice'!$K$2:$K$151,$L84)="","",INDEX('Per Invoice'!$K$2:$K$151,$L84)))</f>
        <v/>
      </c>
      <c r="L84">
        <f>IF(ROWS($L$2:$L84)&lt;=COUNT('Per Invoice'!$M$2:$M$151),MATCH(ROWS($L$2:$L84),'Per Invoice'!$M$2:$M$151,0),"")</f>
        <v/>
      </c>
    </row>
    <row r="85">
      <c r="A85">
        <f>IF($L85="","",IF(INDEX('Per Invoice'!$A$2:$A$151,$L85)="","",INDEX('Per Invoice'!$A$2:$A$151,$L85)))</f>
        <v/>
      </c>
      <c r="B85">
        <f>IF($L85="","",IF(INDEX('Per Invoice'!$B$2:$B$151,$L85)="","",INDEX('Per Invoice'!$B$2:$B$151,$L85)))</f>
        <v/>
      </c>
      <c r="C85">
        <f>IF($L85="","",IF(INDEX('Per Invoice'!$C$2:$C$151,$L85)="","",INDEX('Per Invoice'!$C$2:$C$151,$L85)))</f>
        <v/>
      </c>
      <c r="D85">
        <f>IF($L85="","",IF(INDEX('Per Invoice'!$D$2:$D$151,$L85)="","",INDEX('Per Invoice'!$D$2:$D$151,$L85)))</f>
        <v/>
      </c>
      <c r="E85">
        <f>IF($L85="","",IF(INDEX('Per Invoice'!$E$2:$E$151,$L85)="","",INDEX('Per Invoice'!$E$2:$E$151,$L85)))</f>
        <v/>
      </c>
      <c r="F85" s="5">
        <f>IF($L85="","",IF(INDEX('Per Invoice'!$F$2:$F$151,$L85)="","",INDEX('Per Invoice'!$F$2:$F$151,$L85)))</f>
        <v/>
      </c>
      <c r="G85" s="5">
        <f>IF($L85="","",IF(INDEX('Per Invoice'!$G$2:$G$151,$L85)="","",INDEX('Per Invoice'!$G$2:$G$151,$L85)))</f>
        <v/>
      </c>
      <c r="H85" s="5">
        <f>IF($L85="","",IF(INDEX('Per Invoice'!$H$2:$H$151,$L85)="","",INDEX('Per Invoice'!$H$2:$H$151,$L85)))</f>
        <v/>
      </c>
      <c r="I85" s="5">
        <f>IF($L85="","",IF(INDEX('Per Invoice'!$I$2:$I$151,$L85)="","",INDEX('Per Invoice'!$I$2:$I$151,$L85)))</f>
        <v/>
      </c>
      <c r="J85" s="5">
        <f>IF($L85="","",IF(INDEX('Per Invoice'!$J$2:$J$151,$L85)="","",INDEX('Per Invoice'!$J$2:$J$151,$L85)))</f>
        <v/>
      </c>
      <c r="K85">
        <f>IF($L85="","",IF(INDEX('Per Invoice'!$K$2:$K$151,$L85)="","",INDEX('Per Invoice'!$K$2:$K$151,$L85)))</f>
        <v/>
      </c>
      <c r="L85">
        <f>IF(ROWS($L$2:$L85)&lt;=COUNT('Per Invoice'!$M$2:$M$151),MATCH(ROWS($L$2:$L85),'Per Invoice'!$M$2:$M$151,0),"")</f>
        <v/>
      </c>
    </row>
    <row r="86">
      <c r="A86">
        <f>IF($L86="","",IF(INDEX('Per Invoice'!$A$2:$A$151,$L86)="","",INDEX('Per Invoice'!$A$2:$A$151,$L86)))</f>
        <v/>
      </c>
      <c r="B86">
        <f>IF($L86="","",IF(INDEX('Per Invoice'!$B$2:$B$151,$L86)="","",INDEX('Per Invoice'!$B$2:$B$151,$L86)))</f>
        <v/>
      </c>
      <c r="C86">
        <f>IF($L86="","",IF(INDEX('Per Invoice'!$C$2:$C$151,$L86)="","",INDEX('Per Invoice'!$C$2:$C$151,$L86)))</f>
        <v/>
      </c>
      <c r="D86">
        <f>IF($L86="","",IF(INDEX('Per Invoice'!$D$2:$D$151,$L86)="","",INDEX('Per Invoice'!$D$2:$D$151,$L86)))</f>
        <v/>
      </c>
      <c r="E86">
        <f>IF($L86="","",IF(INDEX('Per Invoice'!$E$2:$E$151,$L86)="","",INDEX('Per Invoice'!$E$2:$E$151,$L86)))</f>
        <v/>
      </c>
      <c r="F86" s="5">
        <f>IF($L86="","",IF(INDEX('Per Invoice'!$F$2:$F$151,$L86)="","",INDEX('Per Invoice'!$F$2:$F$151,$L86)))</f>
        <v/>
      </c>
      <c r="G86" s="5">
        <f>IF($L86="","",IF(INDEX('Per Invoice'!$G$2:$G$151,$L86)="","",INDEX('Per Invoice'!$G$2:$G$151,$L86)))</f>
        <v/>
      </c>
      <c r="H86" s="5">
        <f>IF($L86="","",IF(INDEX('Per Invoice'!$H$2:$H$151,$L86)="","",INDEX('Per Invoice'!$H$2:$H$151,$L86)))</f>
        <v/>
      </c>
      <c r="I86" s="5">
        <f>IF($L86="","",IF(INDEX('Per Invoice'!$I$2:$I$151,$L86)="","",INDEX('Per Invoice'!$I$2:$I$151,$L86)))</f>
        <v/>
      </c>
      <c r="J86" s="5">
        <f>IF($L86="","",IF(INDEX('Per Invoice'!$J$2:$J$151,$L86)="","",INDEX('Per Invoice'!$J$2:$J$151,$L86)))</f>
        <v/>
      </c>
      <c r="K86">
        <f>IF($L86="","",IF(INDEX('Per Invoice'!$K$2:$K$151,$L86)="","",INDEX('Per Invoice'!$K$2:$K$151,$L86)))</f>
        <v/>
      </c>
      <c r="L86">
        <f>IF(ROWS($L$2:$L86)&lt;=COUNT('Per Invoice'!$M$2:$M$151),MATCH(ROWS($L$2:$L86),'Per Invoice'!$M$2:$M$151,0),"")</f>
        <v/>
      </c>
    </row>
    <row r="87">
      <c r="A87">
        <f>IF($L87="","",IF(INDEX('Per Invoice'!$A$2:$A$151,$L87)="","",INDEX('Per Invoice'!$A$2:$A$151,$L87)))</f>
        <v/>
      </c>
      <c r="B87">
        <f>IF($L87="","",IF(INDEX('Per Invoice'!$B$2:$B$151,$L87)="","",INDEX('Per Invoice'!$B$2:$B$151,$L87)))</f>
        <v/>
      </c>
      <c r="C87">
        <f>IF($L87="","",IF(INDEX('Per Invoice'!$C$2:$C$151,$L87)="","",INDEX('Per Invoice'!$C$2:$C$151,$L87)))</f>
        <v/>
      </c>
      <c r="D87">
        <f>IF($L87="","",IF(INDEX('Per Invoice'!$D$2:$D$151,$L87)="","",INDEX('Per Invoice'!$D$2:$D$151,$L87)))</f>
        <v/>
      </c>
      <c r="E87">
        <f>IF($L87="","",IF(INDEX('Per Invoice'!$E$2:$E$151,$L87)="","",INDEX('Per Invoice'!$E$2:$E$151,$L87)))</f>
        <v/>
      </c>
      <c r="F87" s="5">
        <f>IF($L87="","",IF(INDEX('Per Invoice'!$F$2:$F$151,$L87)="","",INDEX('Per Invoice'!$F$2:$F$151,$L87)))</f>
        <v/>
      </c>
      <c r="G87" s="5">
        <f>IF($L87="","",IF(INDEX('Per Invoice'!$G$2:$G$151,$L87)="","",INDEX('Per Invoice'!$G$2:$G$151,$L87)))</f>
        <v/>
      </c>
      <c r="H87" s="5">
        <f>IF($L87="","",IF(INDEX('Per Invoice'!$H$2:$H$151,$L87)="","",INDEX('Per Invoice'!$H$2:$H$151,$L87)))</f>
        <v/>
      </c>
      <c r="I87" s="5">
        <f>IF($L87="","",IF(INDEX('Per Invoice'!$I$2:$I$151,$L87)="","",INDEX('Per Invoice'!$I$2:$I$151,$L87)))</f>
        <v/>
      </c>
      <c r="J87" s="5">
        <f>IF($L87="","",IF(INDEX('Per Invoice'!$J$2:$J$151,$L87)="","",INDEX('Per Invoice'!$J$2:$J$151,$L87)))</f>
        <v/>
      </c>
      <c r="K87">
        <f>IF($L87="","",IF(INDEX('Per Invoice'!$K$2:$K$151,$L87)="","",INDEX('Per Invoice'!$K$2:$K$151,$L87)))</f>
        <v/>
      </c>
      <c r="L87">
        <f>IF(ROWS($L$2:$L87)&lt;=COUNT('Per Invoice'!$M$2:$M$151),MATCH(ROWS($L$2:$L87),'Per Invoice'!$M$2:$M$151,0),"")</f>
        <v/>
      </c>
    </row>
    <row r="88">
      <c r="A88">
        <f>IF($L88="","",IF(INDEX('Per Invoice'!$A$2:$A$151,$L88)="","",INDEX('Per Invoice'!$A$2:$A$151,$L88)))</f>
        <v/>
      </c>
      <c r="B88">
        <f>IF($L88="","",IF(INDEX('Per Invoice'!$B$2:$B$151,$L88)="","",INDEX('Per Invoice'!$B$2:$B$151,$L88)))</f>
        <v/>
      </c>
      <c r="C88">
        <f>IF($L88="","",IF(INDEX('Per Invoice'!$C$2:$C$151,$L88)="","",INDEX('Per Invoice'!$C$2:$C$151,$L88)))</f>
        <v/>
      </c>
      <c r="D88">
        <f>IF($L88="","",IF(INDEX('Per Invoice'!$D$2:$D$151,$L88)="","",INDEX('Per Invoice'!$D$2:$D$151,$L88)))</f>
        <v/>
      </c>
      <c r="E88">
        <f>IF($L88="","",IF(INDEX('Per Invoice'!$E$2:$E$151,$L88)="","",INDEX('Per Invoice'!$E$2:$E$151,$L88)))</f>
        <v/>
      </c>
      <c r="F88" s="5">
        <f>IF($L88="","",IF(INDEX('Per Invoice'!$F$2:$F$151,$L88)="","",INDEX('Per Invoice'!$F$2:$F$151,$L88)))</f>
        <v/>
      </c>
      <c r="G88" s="5">
        <f>IF($L88="","",IF(INDEX('Per Invoice'!$G$2:$G$151,$L88)="","",INDEX('Per Invoice'!$G$2:$G$151,$L88)))</f>
        <v/>
      </c>
      <c r="H88" s="5">
        <f>IF($L88="","",IF(INDEX('Per Invoice'!$H$2:$H$151,$L88)="","",INDEX('Per Invoice'!$H$2:$H$151,$L88)))</f>
        <v/>
      </c>
      <c r="I88" s="5">
        <f>IF($L88="","",IF(INDEX('Per Invoice'!$I$2:$I$151,$L88)="","",INDEX('Per Invoice'!$I$2:$I$151,$L88)))</f>
        <v/>
      </c>
      <c r="J88" s="5">
        <f>IF($L88="","",IF(INDEX('Per Invoice'!$J$2:$J$151,$L88)="","",INDEX('Per Invoice'!$J$2:$J$151,$L88)))</f>
        <v/>
      </c>
      <c r="K88">
        <f>IF($L88="","",IF(INDEX('Per Invoice'!$K$2:$K$151,$L88)="","",INDEX('Per Invoice'!$K$2:$K$151,$L88)))</f>
        <v/>
      </c>
      <c r="L88">
        <f>IF(ROWS($L$2:$L88)&lt;=COUNT('Per Invoice'!$M$2:$M$151),MATCH(ROWS($L$2:$L88),'Per Invoice'!$M$2:$M$151,0),"")</f>
        <v/>
      </c>
    </row>
    <row r="89">
      <c r="A89">
        <f>IF($L89="","",IF(INDEX('Per Invoice'!$A$2:$A$151,$L89)="","",INDEX('Per Invoice'!$A$2:$A$151,$L89)))</f>
        <v/>
      </c>
      <c r="B89">
        <f>IF($L89="","",IF(INDEX('Per Invoice'!$B$2:$B$151,$L89)="","",INDEX('Per Invoice'!$B$2:$B$151,$L89)))</f>
        <v/>
      </c>
      <c r="C89">
        <f>IF($L89="","",IF(INDEX('Per Invoice'!$C$2:$C$151,$L89)="","",INDEX('Per Invoice'!$C$2:$C$151,$L89)))</f>
        <v/>
      </c>
      <c r="D89">
        <f>IF($L89="","",IF(INDEX('Per Invoice'!$D$2:$D$151,$L89)="","",INDEX('Per Invoice'!$D$2:$D$151,$L89)))</f>
        <v/>
      </c>
      <c r="E89">
        <f>IF($L89="","",IF(INDEX('Per Invoice'!$E$2:$E$151,$L89)="","",INDEX('Per Invoice'!$E$2:$E$151,$L89)))</f>
        <v/>
      </c>
      <c r="F89" s="5">
        <f>IF($L89="","",IF(INDEX('Per Invoice'!$F$2:$F$151,$L89)="","",INDEX('Per Invoice'!$F$2:$F$151,$L89)))</f>
        <v/>
      </c>
      <c r="G89" s="5">
        <f>IF($L89="","",IF(INDEX('Per Invoice'!$G$2:$G$151,$L89)="","",INDEX('Per Invoice'!$G$2:$G$151,$L89)))</f>
        <v/>
      </c>
      <c r="H89" s="5">
        <f>IF($L89="","",IF(INDEX('Per Invoice'!$H$2:$H$151,$L89)="","",INDEX('Per Invoice'!$H$2:$H$151,$L89)))</f>
        <v/>
      </c>
      <c r="I89" s="5">
        <f>IF($L89="","",IF(INDEX('Per Invoice'!$I$2:$I$151,$L89)="","",INDEX('Per Invoice'!$I$2:$I$151,$L89)))</f>
        <v/>
      </c>
      <c r="J89" s="5">
        <f>IF($L89="","",IF(INDEX('Per Invoice'!$J$2:$J$151,$L89)="","",INDEX('Per Invoice'!$J$2:$J$151,$L89)))</f>
        <v/>
      </c>
      <c r="K89">
        <f>IF($L89="","",IF(INDEX('Per Invoice'!$K$2:$K$151,$L89)="","",INDEX('Per Invoice'!$K$2:$K$151,$L89)))</f>
        <v/>
      </c>
      <c r="L89">
        <f>IF(ROWS($L$2:$L89)&lt;=COUNT('Per Invoice'!$M$2:$M$151),MATCH(ROWS($L$2:$L89),'Per Invoice'!$M$2:$M$151,0),"")</f>
        <v/>
      </c>
    </row>
    <row r="90">
      <c r="A90">
        <f>IF($L90="","",IF(INDEX('Per Invoice'!$A$2:$A$151,$L90)="","",INDEX('Per Invoice'!$A$2:$A$151,$L90)))</f>
        <v/>
      </c>
      <c r="B90">
        <f>IF($L90="","",IF(INDEX('Per Invoice'!$B$2:$B$151,$L90)="","",INDEX('Per Invoice'!$B$2:$B$151,$L90)))</f>
        <v/>
      </c>
      <c r="C90">
        <f>IF($L90="","",IF(INDEX('Per Invoice'!$C$2:$C$151,$L90)="","",INDEX('Per Invoice'!$C$2:$C$151,$L90)))</f>
        <v/>
      </c>
      <c r="D90">
        <f>IF($L90="","",IF(INDEX('Per Invoice'!$D$2:$D$151,$L90)="","",INDEX('Per Invoice'!$D$2:$D$151,$L90)))</f>
        <v/>
      </c>
      <c r="E90">
        <f>IF($L90="","",IF(INDEX('Per Invoice'!$E$2:$E$151,$L90)="","",INDEX('Per Invoice'!$E$2:$E$151,$L90)))</f>
        <v/>
      </c>
      <c r="F90" s="5">
        <f>IF($L90="","",IF(INDEX('Per Invoice'!$F$2:$F$151,$L90)="","",INDEX('Per Invoice'!$F$2:$F$151,$L90)))</f>
        <v/>
      </c>
      <c r="G90" s="5">
        <f>IF($L90="","",IF(INDEX('Per Invoice'!$G$2:$G$151,$L90)="","",INDEX('Per Invoice'!$G$2:$G$151,$L90)))</f>
        <v/>
      </c>
      <c r="H90" s="5">
        <f>IF($L90="","",IF(INDEX('Per Invoice'!$H$2:$H$151,$L90)="","",INDEX('Per Invoice'!$H$2:$H$151,$L90)))</f>
        <v/>
      </c>
      <c r="I90" s="5">
        <f>IF($L90="","",IF(INDEX('Per Invoice'!$I$2:$I$151,$L90)="","",INDEX('Per Invoice'!$I$2:$I$151,$L90)))</f>
        <v/>
      </c>
      <c r="J90" s="5">
        <f>IF($L90="","",IF(INDEX('Per Invoice'!$J$2:$J$151,$L90)="","",INDEX('Per Invoice'!$J$2:$J$151,$L90)))</f>
        <v/>
      </c>
      <c r="K90">
        <f>IF($L90="","",IF(INDEX('Per Invoice'!$K$2:$K$151,$L90)="","",INDEX('Per Invoice'!$K$2:$K$151,$L90)))</f>
        <v/>
      </c>
      <c r="L90">
        <f>IF(ROWS($L$2:$L90)&lt;=COUNT('Per Invoice'!$M$2:$M$151),MATCH(ROWS($L$2:$L90),'Per Invoice'!$M$2:$M$151,0),"")</f>
        <v/>
      </c>
    </row>
    <row r="91">
      <c r="A91">
        <f>IF($L91="","",IF(INDEX('Per Invoice'!$A$2:$A$151,$L91)="","",INDEX('Per Invoice'!$A$2:$A$151,$L91)))</f>
        <v/>
      </c>
      <c r="B91">
        <f>IF($L91="","",IF(INDEX('Per Invoice'!$B$2:$B$151,$L91)="","",INDEX('Per Invoice'!$B$2:$B$151,$L91)))</f>
        <v/>
      </c>
      <c r="C91">
        <f>IF($L91="","",IF(INDEX('Per Invoice'!$C$2:$C$151,$L91)="","",INDEX('Per Invoice'!$C$2:$C$151,$L91)))</f>
        <v/>
      </c>
      <c r="D91">
        <f>IF($L91="","",IF(INDEX('Per Invoice'!$D$2:$D$151,$L91)="","",INDEX('Per Invoice'!$D$2:$D$151,$L91)))</f>
        <v/>
      </c>
      <c r="E91">
        <f>IF($L91="","",IF(INDEX('Per Invoice'!$E$2:$E$151,$L91)="","",INDEX('Per Invoice'!$E$2:$E$151,$L91)))</f>
        <v/>
      </c>
      <c r="F91" s="5">
        <f>IF($L91="","",IF(INDEX('Per Invoice'!$F$2:$F$151,$L91)="","",INDEX('Per Invoice'!$F$2:$F$151,$L91)))</f>
        <v/>
      </c>
      <c r="G91" s="5">
        <f>IF($L91="","",IF(INDEX('Per Invoice'!$G$2:$G$151,$L91)="","",INDEX('Per Invoice'!$G$2:$G$151,$L91)))</f>
        <v/>
      </c>
      <c r="H91" s="5">
        <f>IF($L91="","",IF(INDEX('Per Invoice'!$H$2:$H$151,$L91)="","",INDEX('Per Invoice'!$H$2:$H$151,$L91)))</f>
        <v/>
      </c>
      <c r="I91" s="5">
        <f>IF($L91="","",IF(INDEX('Per Invoice'!$I$2:$I$151,$L91)="","",INDEX('Per Invoice'!$I$2:$I$151,$L91)))</f>
        <v/>
      </c>
      <c r="J91" s="5">
        <f>IF($L91="","",IF(INDEX('Per Invoice'!$J$2:$J$151,$L91)="","",INDEX('Per Invoice'!$J$2:$J$151,$L91)))</f>
        <v/>
      </c>
      <c r="K91">
        <f>IF($L91="","",IF(INDEX('Per Invoice'!$K$2:$K$151,$L91)="","",INDEX('Per Invoice'!$K$2:$K$151,$L91)))</f>
        <v/>
      </c>
      <c r="L91">
        <f>IF(ROWS($L$2:$L91)&lt;=COUNT('Per Invoice'!$M$2:$M$151),MATCH(ROWS($L$2:$L91),'Per Invoice'!$M$2:$M$151,0),"")</f>
        <v/>
      </c>
    </row>
    <row r="92">
      <c r="A92">
        <f>IF($L92="","",IF(INDEX('Per Invoice'!$A$2:$A$151,$L92)="","",INDEX('Per Invoice'!$A$2:$A$151,$L92)))</f>
        <v/>
      </c>
      <c r="B92">
        <f>IF($L92="","",IF(INDEX('Per Invoice'!$B$2:$B$151,$L92)="","",INDEX('Per Invoice'!$B$2:$B$151,$L92)))</f>
        <v/>
      </c>
      <c r="C92">
        <f>IF($L92="","",IF(INDEX('Per Invoice'!$C$2:$C$151,$L92)="","",INDEX('Per Invoice'!$C$2:$C$151,$L92)))</f>
        <v/>
      </c>
      <c r="D92">
        <f>IF($L92="","",IF(INDEX('Per Invoice'!$D$2:$D$151,$L92)="","",INDEX('Per Invoice'!$D$2:$D$151,$L92)))</f>
        <v/>
      </c>
      <c r="E92">
        <f>IF($L92="","",IF(INDEX('Per Invoice'!$E$2:$E$151,$L92)="","",INDEX('Per Invoice'!$E$2:$E$151,$L92)))</f>
        <v/>
      </c>
      <c r="F92" s="5">
        <f>IF($L92="","",IF(INDEX('Per Invoice'!$F$2:$F$151,$L92)="","",INDEX('Per Invoice'!$F$2:$F$151,$L92)))</f>
        <v/>
      </c>
      <c r="G92" s="5">
        <f>IF($L92="","",IF(INDEX('Per Invoice'!$G$2:$G$151,$L92)="","",INDEX('Per Invoice'!$G$2:$G$151,$L92)))</f>
        <v/>
      </c>
      <c r="H92" s="5">
        <f>IF($L92="","",IF(INDEX('Per Invoice'!$H$2:$H$151,$L92)="","",INDEX('Per Invoice'!$H$2:$H$151,$L92)))</f>
        <v/>
      </c>
      <c r="I92" s="5">
        <f>IF($L92="","",IF(INDEX('Per Invoice'!$I$2:$I$151,$L92)="","",INDEX('Per Invoice'!$I$2:$I$151,$L92)))</f>
        <v/>
      </c>
      <c r="J92" s="5">
        <f>IF($L92="","",IF(INDEX('Per Invoice'!$J$2:$J$151,$L92)="","",INDEX('Per Invoice'!$J$2:$J$151,$L92)))</f>
        <v/>
      </c>
      <c r="K92">
        <f>IF($L92="","",IF(INDEX('Per Invoice'!$K$2:$K$151,$L92)="","",INDEX('Per Invoice'!$K$2:$K$151,$L92)))</f>
        <v/>
      </c>
      <c r="L92">
        <f>IF(ROWS($L$2:$L92)&lt;=COUNT('Per Invoice'!$M$2:$M$151),MATCH(ROWS($L$2:$L92),'Per Invoice'!$M$2:$M$151,0),"")</f>
        <v/>
      </c>
    </row>
    <row r="93">
      <c r="A93">
        <f>IF($L93="","",IF(INDEX('Per Invoice'!$A$2:$A$151,$L93)="","",INDEX('Per Invoice'!$A$2:$A$151,$L93)))</f>
        <v/>
      </c>
      <c r="B93">
        <f>IF($L93="","",IF(INDEX('Per Invoice'!$B$2:$B$151,$L93)="","",INDEX('Per Invoice'!$B$2:$B$151,$L93)))</f>
        <v/>
      </c>
      <c r="C93">
        <f>IF($L93="","",IF(INDEX('Per Invoice'!$C$2:$C$151,$L93)="","",INDEX('Per Invoice'!$C$2:$C$151,$L93)))</f>
        <v/>
      </c>
      <c r="D93">
        <f>IF($L93="","",IF(INDEX('Per Invoice'!$D$2:$D$151,$L93)="","",INDEX('Per Invoice'!$D$2:$D$151,$L93)))</f>
        <v/>
      </c>
      <c r="E93">
        <f>IF($L93="","",IF(INDEX('Per Invoice'!$E$2:$E$151,$L93)="","",INDEX('Per Invoice'!$E$2:$E$151,$L93)))</f>
        <v/>
      </c>
      <c r="F93" s="5">
        <f>IF($L93="","",IF(INDEX('Per Invoice'!$F$2:$F$151,$L93)="","",INDEX('Per Invoice'!$F$2:$F$151,$L93)))</f>
        <v/>
      </c>
      <c r="G93" s="5">
        <f>IF($L93="","",IF(INDEX('Per Invoice'!$G$2:$G$151,$L93)="","",INDEX('Per Invoice'!$G$2:$G$151,$L93)))</f>
        <v/>
      </c>
      <c r="H93" s="5">
        <f>IF($L93="","",IF(INDEX('Per Invoice'!$H$2:$H$151,$L93)="","",INDEX('Per Invoice'!$H$2:$H$151,$L93)))</f>
        <v/>
      </c>
      <c r="I93" s="5">
        <f>IF($L93="","",IF(INDEX('Per Invoice'!$I$2:$I$151,$L93)="","",INDEX('Per Invoice'!$I$2:$I$151,$L93)))</f>
        <v/>
      </c>
      <c r="J93" s="5">
        <f>IF($L93="","",IF(INDEX('Per Invoice'!$J$2:$J$151,$L93)="","",INDEX('Per Invoice'!$J$2:$J$151,$L93)))</f>
        <v/>
      </c>
      <c r="K93">
        <f>IF($L93="","",IF(INDEX('Per Invoice'!$K$2:$K$151,$L93)="","",INDEX('Per Invoice'!$K$2:$K$151,$L93)))</f>
        <v/>
      </c>
      <c r="L93">
        <f>IF(ROWS($L$2:$L93)&lt;=COUNT('Per Invoice'!$M$2:$M$151),MATCH(ROWS($L$2:$L93),'Per Invoice'!$M$2:$M$151,0),"")</f>
        <v/>
      </c>
    </row>
    <row r="94">
      <c r="A94">
        <f>IF($L94="","",IF(INDEX('Per Invoice'!$A$2:$A$151,$L94)="","",INDEX('Per Invoice'!$A$2:$A$151,$L94)))</f>
        <v/>
      </c>
      <c r="B94">
        <f>IF($L94="","",IF(INDEX('Per Invoice'!$B$2:$B$151,$L94)="","",INDEX('Per Invoice'!$B$2:$B$151,$L94)))</f>
        <v/>
      </c>
      <c r="C94">
        <f>IF($L94="","",IF(INDEX('Per Invoice'!$C$2:$C$151,$L94)="","",INDEX('Per Invoice'!$C$2:$C$151,$L94)))</f>
        <v/>
      </c>
      <c r="D94">
        <f>IF($L94="","",IF(INDEX('Per Invoice'!$D$2:$D$151,$L94)="","",INDEX('Per Invoice'!$D$2:$D$151,$L94)))</f>
        <v/>
      </c>
      <c r="E94">
        <f>IF($L94="","",IF(INDEX('Per Invoice'!$E$2:$E$151,$L94)="","",INDEX('Per Invoice'!$E$2:$E$151,$L94)))</f>
        <v/>
      </c>
      <c r="F94" s="5">
        <f>IF($L94="","",IF(INDEX('Per Invoice'!$F$2:$F$151,$L94)="","",INDEX('Per Invoice'!$F$2:$F$151,$L94)))</f>
        <v/>
      </c>
      <c r="G94" s="5">
        <f>IF($L94="","",IF(INDEX('Per Invoice'!$G$2:$G$151,$L94)="","",INDEX('Per Invoice'!$G$2:$G$151,$L94)))</f>
        <v/>
      </c>
      <c r="H94" s="5">
        <f>IF($L94="","",IF(INDEX('Per Invoice'!$H$2:$H$151,$L94)="","",INDEX('Per Invoice'!$H$2:$H$151,$L94)))</f>
        <v/>
      </c>
      <c r="I94" s="5">
        <f>IF($L94="","",IF(INDEX('Per Invoice'!$I$2:$I$151,$L94)="","",INDEX('Per Invoice'!$I$2:$I$151,$L94)))</f>
        <v/>
      </c>
      <c r="J94" s="5">
        <f>IF($L94="","",IF(INDEX('Per Invoice'!$J$2:$J$151,$L94)="","",INDEX('Per Invoice'!$J$2:$J$151,$L94)))</f>
        <v/>
      </c>
      <c r="K94">
        <f>IF($L94="","",IF(INDEX('Per Invoice'!$K$2:$K$151,$L94)="","",INDEX('Per Invoice'!$K$2:$K$151,$L94)))</f>
        <v/>
      </c>
      <c r="L94">
        <f>IF(ROWS($L$2:$L94)&lt;=COUNT('Per Invoice'!$M$2:$M$151),MATCH(ROWS($L$2:$L94),'Per Invoice'!$M$2:$M$151,0),"")</f>
        <v/>
      </c>
    </row>
    <row r="95">
      <c r="A95">
        <f>IF($L95="","",IF(INDEX('Per Invoice'!$A$2:$A$151,$L95)="","",INDEX('Per Invoice'!$A$2:$A$151,$L95)))</f>
        <v/>
      </c>
      <c r="B95">
        <f>IF($L95="","",IF(INDEX('Per Invoice'!$B$2:$B$151,$L95)="","",INDEX('Per Invoice'!$B$2:$B$151,$L95)))</f>
        <v/>
      </c>
      <c r="C95">
        <f>IF($L95="","",IF(INDEX('Per Invoice'!$C$2:$C$151,$L95)="","",INDEX('Per Invoice'!$C$2:$C$151,$L95)))</f>
        <v/>
      </c>
      <c r="D95">
        <f>IF($L95="","",IF(INDEX('Per Invoice'!$D$2:$D$151,$L95)="","",INDEX('Per Invoice'!$D$2:$D$151,$L95)))</f>
        <v/>
      </c>
      <c r="E95">
        <f>IF($L95="","",IF(INDEX('Per Invoice'!$E$2:$E$151,$L95)="","",INDEX('Per Invoice'!$E$2:$E$151,$L95)))</f>
        <v/>
      </c>
      <c r="F95" s="5">
        <f>IF($L95="","",IF(INDEX('Per Invoice'!$F$2:$F$151,$L95)="","",INDEX('Per Invoice'!$F$2:$F$151,$L95)))</f>
        <v/>
      </c>
      <c r="G95" s="5">
        <f>IF($L95="","",IF(INDEX('Per Invoice'!$G$2:$G$151,$L95)="","",INDEX('Per Invoice'!$G$2:$G$151,$L95)))</f>
        <v/>
      </c>
      <c r="H95" s="5">
        <f>IF($L95="","",IF(INDEX('Per Invoice'!$H$2:$H$151,$L95)="","",INDEX('Per Invoice'!$H$2:$H$151,$L95)))</f>
        <v/>
      </c>
      <c r="I95" s="5">
        <f>IF($L95="","",IF(INDEX('Per Invoice'!$I$2:$I$151,$L95)="","",INDEX('Per Invoice'!$I$2:$I$151,$L95)))</f>
        <v/>
      </c>
      <c r="J95" s="5">
        <f>IF($L95="","",IF(INDEX('Per Invoice'!$J$2:$J$151,$L95)="","",INDEX('Per Invoice'!$J$2:$J$151,$L95)))</f>
        <v/>
      </c>
      <c r="K95">
        <f>IF($L95="","",IF(INDEX('Per Invoice'!$K$2:$K$151,$L95)="","",INDEX('Per Invoice'!$K$2:$K$151,$L95)))</f>
        <v/>
      </c>
      <c r="L95">
        <f>IF(ROWS($L$2:$L95)&lt;=COUNT('Per Invoice'!$M$2:$M$151),MATCH(ROWS($L$2:$L95),'Per Invoice'!$M$2:$M$151,0),"")</f>
        <v/>
      </c>
    </row>
    <row r="96">
      <c r="A96">
        <f>IF($L96="","",IF(INDEX('Per Invoice'!$A$2:$A$151,$L96)="","",INDEX('Per Invoice'!$A$2:$A$151,$L96)))</f>
        <v/>
      </c>
      <c r="B96">
        <f>IF($L96="","",IF(INDEX('Per Invoice'!$B$2:$B$151,$L96)="","",INDEX('Per Invoice'!$B$2:$B$151,$L96)))</f>
        <v/>
      </c>
      <c r="C96">
        <f>IF($L96="","",IF(INDEX('Per Invoice'!$C$2:$C$151,$L96)="","",INDEX('Per Invoice'!$C$2:$C$151,$L96)))</f>
        <v/>
      </c>
      <c r="D96">
        <f>IF($L96="","",IF(INDEX('Per Invoice'!$D$2:$D$151,$L96)="","",INDEX('Per Invoice'!$D$2:$D$151,$L96)))</f>
        <v/>
      </c>
      <c r="E96">
        <f>IF($L96="","",IF(INDEX('Per Invoice'!$E$2:$E$151,$L96)="","",INDEX('Per Invoice'!$E$2:$E$151,$L96)))</f>
        <v/>
      </c>
      <c r="F96" s="5">
        <f>IF($L96="","",IF(INDEX('Per Invoice'!$F$2:$F$151,$L96)="","",INDEX('Per Invoice'!$F$2:$F$151,$L96)))</f>
        <v/>
      </c>
      <c r="G96" s="5">
        <f>IF($L96="","",IF(INDEX('Per Invoice'!$G$2:$G$151,$L96)="","",INDEX('Per Invoice'!$G$2:$G$151,$L96)))</f>
        <v/>
      </c>
      <c r="H96" s="5">
        <f>IF($L96="","",IF(INDEX('Per Invoice'!$H$2:$H$151,$L96)="","",INDEX('Per Invoice'!$H$2:$H$151,$L96)))</f>
        <v/>
      </c>
      <c r="I96" s="5">
        <f>IF($L96="","",IF(INDEX('Per Invoice'!$I$2:$I$151,$L96)="","",INDEX('Per Invoice'!$I$2:$I$151,$L96)))</f>
        <v/>
      </c>
      <c r="J96" s="5">
        <f>IF($L96="","",IF(INDEX('Per Invoice'!$J$2:$J$151,$L96)="","",INDEX('Per Invoice'!$J$2:$J$151,$L96)))</f>
        <v/>
      </c>
      <c r="K96">
        <f>IF($L96="","",IF(INDEX('Per Invoice'!$K$2:$K$151,$L96)="","",INDEX('Per Invoice'!$K$2:$K$151,$L96)))</f>
        <v/>
      </c>
      <c r="L96">
        <f>IF(ROWS($L$2:$L96)&lt;=COUNT('Per Invoice'!$M$2:$M$151),MATCH(ROWS($L$2:$L96),'Per Invoice'!$M$2:$M$151,0),"")</f>
        <v/>
      </c>
    </row>
    <row r="97">
      <c r="A97">
        <f>IF($L97="","",IF(INDEX('Per Invoice'!$A$2:$A$151,$L97)="","",INDEX('Per Invoice'!$A$2:$A$151,$L97)))</f>
        <v/>
      </c>
      <c r="B97">
        <f>IF($L97="","",IF(INDEX('Per Invoice'!$B$2:$B$151,$L97)="","",INDEX('Per Invoice'!$B$2:$B$151,$L97)))</f>
        <v/>
      </c>
      <c r="C97">
        <f>IF($L97="","",IF(INDEX('Per Invoice'!$C$2:$C$151,$L97)="","",INDEX('Per Invoice'!$C$2:$C$151,$L97)))</f>
        <v/>
      </c>
      <c r="D97">
        <f>IF($L97="","",IF(INDEX('Per Invoice'!$D$2:$D$151,$L97)="","",INDEX('Per Invoice'!$D$2:$D$151,$L97)))</f>
        <v/>
      </c>
      <c r="E97">
        <f>IF($L97="","",IF(INDEX('Per Invoice'!$E$2:$E$151,$L97)="","",INDEX('Per Invoice'!$E$2:$E$151,$L97)))</f>
        <v/>
      </c>
      <c r="F97" s="5">
        <f>IF($L97="","",IF(INDEX('Per Invoice'!$F$2:$F$151,$L97)="","",INDEX('Per Invoice'!$F$2:$F$151,$L97)))</f>
        <v/>
      </c>
      <c r="G97" s="5">
        <f>IF($L97="","",IF(INDEX('Per Invoice'!$G$2:$G$151,$L97)="","",INDEX('Per Invoice'!$G$2:$G$151,$L97)))</f>
        <v/>
      </c>
      <c r="H97" s="5">
        <f>IF($L97="","",IF(INDEX('Per Invoice'!$H$2:$H$151,$L97)="","",INDEX('Per Invoice'!$H$2:$H$151,$L97)))</f>
        <v/>
      </c>
      <c r="I97" s="5">
        <f>IF($L97="","",IF(INDEX('Per Invoice'!$I$2:$I$151,$L97)="","",INDEX('Per Invoice'!$I$2:$I$151,$L97)))</f>
        <v/>
      </c>
      <c r="J97" s="5">
        <f>IF($L97="","",IF(INDEX('Per Invoice'!$J$2:$J$151,$L97)="","",INDEX('Per Invoice'!$J$2:$J$151,$L97)))</f>
        <v/>
      </c>
      <c r="K97">
        <f>IF($L97="","",IF(INDEX('Per Invoice'!$K$2:$K$151,$L97)="","",INDEX('Per Invoice'!$K$2:$K$151,$L97)))</f>
        <v/>
      </c>
      <c r="L97">
        <f>IF(ROWS($L$2:$L97)&lt;=COUNT('Per Invoice'!$M$2:$M$151),MATCH(ROWS($L$2:$L97),'Per Invoice'!$M$2:$M$151,0),"")</f>
        <v/>
      </c>
    </row>
    <row r="98">
      <c r="A98">
        <f>IF($L98="","",IF(INDEX('Per Invoice'!$A$2:$A$151,$L98)="","",INDEX('Per Invoice'!$A$2:$A$151,$L98)))</f>
        <v/>
      </c>
      <c r="B98">
        <f>IF($L98="","",IF(INDEX('Per Invoice'!$B$2:$B$151,$L98)="","",INDEX('Per Invoice'!$B$2:$B$151,$L98)))</f>
        <v/>
      </c>
      <c r="C98">
        <f>IF($L98="","",IF(INDEX('Per Invoice'!$C$2:$C$151,$L98)="","",INDEX('Per Invoice'!$C$2:$C$151,$L98)))</f>
        <v/>
      </c>
      <c r="D98">
        <f>IF($L98="","",IF(INDEX('Per Invoice'!$D$2:$D$151,$L98)="","",INDEX('Per Invoice'!$D$2:$D$151,$L98)))</f>
        <v/>
      </c>
      <c r="E98">
        <f>IF($L98="","",IF(INDEX('Per Invoice'!$E$2:$E$151,$L98)="","",INDEX('Per Invoice'!$E$2:$E$151,$L98)))</f>
        <v/>
      </c>
      <c r="F98" s="5">
        <f>IF($L98="","",IF(INDEX('Per Invoice'!$F$2:$F$151,$L98)="","",INDEX('Per Invoice'!$F$2:$F$151,$L98)))</f>
        <v/>
      </c>
      <c r="G98" s="5">
        <f>IF($L98="","",IF(INDEX('Per Invoice'!$G$2:$G$151,$L98)="","",INDEX('Per Invoice'!$G$2:$G$151,$L98)))</f>
        <v/>
      </c>
      <c r="H98" s="5">
        <f>IF($L98="","",IF(INDEX('Per Invoice'!$H$2:$H$151,$L98)="","",INDEX('Per Invoice'!$H$2:$H$151,$L98)))</f>
        <v/>
      </c>
      <c r="I98" s="5">
        <f>IF($L98="","",IF(INDEX('Per Invoice'!$I$2:$I$151,$L98)="","",INDEX('Per Invoice'!$I$2:$I$151,$L98)))</f>
        <v/>
      </c>
      <c r="J98" s="5">
        <f>IF($L98="","",IF(INDEX('Per Invoice'!$J$2:$J$151,$L98)="","",INDEX('Per Invoice'!$J$2:$J$151,$L98)))</f>
        <v/>
      </c>
      <c r="K98">
        <f>IF($L98="","",IF(INDEX('Per Invoice'!$K$2:$K$151,$L98)="","",INDEX('Per Invoice'!$K$2:$K$151,$L98)))</f>
        <v/>
      </c>
      <c r="L98">
        <f>IF(ROWS($L$2:$L98)&lt;=COUNT('Per Invoice'!$M$2:$M$151),MATCH(ROWS($L$2:$L98),'Per Invoice'!$M$2:$M$151,0),"")</f>
        <v/>
      </c>
    </row>
    <row r="99">
      <c r="A99">
        <f>IF($L99="","",IF(INDEX('Per Invoice'!$A$2:$A$151,$L99)="","",INDEX('Per Invoice'!$A$2:$A$151,$L99)))</f>
        <v/>
      </c>
      <c r="B99">
        <f>IF($L99="","",IF(INDEX('Per Invoice'!$B$2:$B$151,$L99)="","",INDEX('Per Invoice'!$B$2:$B$151,$L99)))</f>
        <v/>
      </c>
      <c r="C99">
        <f>IF($L99="","",IF(INDEX('Per Invoice'!$C$2:$C$151,$L99)="","",INDEX('Per Invoice'!$C$2:$C$151,$L99)))</f>
        <v/>
      </c>
      <c r="D99">
        <f>IF($L99="","",IF(INDEX('Per Invoice'!$D$2:$D$151,$L99)="","",INDEX('Per Invoice'!$D$2:$D$151,$L99)))</f>
        <v/>
      </c>
      <c r="E99">
        <f>IF($L99="","",IF(INDEX('Per Invoice'!$E$2:$E$151,$L99)="","",INDEX('Per Invoice'!$E$2:$E$151,$L99)))</f>
        <v/>
      </c>
      <c r="F99" s="5">
        <f>IF($L99="","",IF(INDEX('Per Invoice'!$F$2:$F$151,$L99)="","",INDEX('Per Invoice'!$F$2:$F$151,$L99)))</f>
        <v/>
      </c>
      <c r="G99" s="5">
        <f>IF($L99="","",IF(INDEX('Per Invoice'!$G$2:$G$151,$L99)="","",INDEX('Per Invoice'!$G$2:$G$151,$L99)))</f>
        <v/>
      </c>
      <c r="H99" s="5">
        <f>IF($L99="","",IF(INDEX('Per Invoice'!$H$2:$H$151,$L99)="","",INDEX('Per Invoice'!$H$2:$H$151,$L99)))</f>
        <v/>
      </c>
      <c r="I99" s="5">
        <f>IF($L99="","",IF(INDEX('Per Invoice'!$I$2:$I$151,$L99)="","",INDEX('Per Invoice'!$I$2:$I$151,$L99)))</f>
        <v/>
      </c>
      <c r="J99" s="5">
        <f>IF($L99="","",IF(INDEX('Per Invoice'!$J$2:$J$151,$L99)="","",INDEX('Per Invoice'!$J$2:$J$151,$L99)))</f>
        <v/>
      </c>
      <c r="K99">
        <f>IF($L99="","",IF(INDEX('Per Invoice'!$K$2:$K$151,$L99)="","",INDEX('Per Invoice'!$K$2:$K$151,$L99)))</f>
        <v/>
      </c>
      <c r="L99">
        <f>IF(ROWS($L$2:$L99)&lt;=COUNT('Per Invoice'!$M$2:$M$151),MATCH(ROWS($L$2:$L99),'Per Invoice'!$M$2:$M$151,0),"")</f>
        <v/>
      </c>
    </row>
    <row r="100">
      <c r="A100">
        <f>IF($L100="","",IF(INDEX('Per Invoice'!$A$2:$A$151,$L100)="","",INDEX('Per Invoice'!$A$2:$A$151,$L100)))</f>
        <v/>
      </c>
      <c r="B100">
        <f>IF($L100="","",IF(INDEX('Per Invoice'!$B$2:$B$151,$L100)="","",INDEX('Per Invoice'!$B$2:$B$151,$L100)))</f>
        <v/>
      </c>
      <c r="C100">
        <f>IF($L100="","",IF(INDEX('Per Invoice'!$C$2:$C$151,$L100)="","",INDEX('Per Invoice'!$C$2:$C$151,$L100)))</f>
        <v/>
      </c>
      <c r="D100">
        <f>IF($L100="","",IF(INDEX('Per Invoice'!$D$2:$D$151,$L100)="","",INDEX('Per Invoice'!$D$2:$D$151,$L100)))</f>
        <v/>
      </c>
      <c r="E100">
        <f>IF($L100="","",IF(INDEX('Per Invoice'!$E$2:$E$151,$L100)="","",INDEX('Per Invoice'!$E$2:$E$151,$L100)))</f>
        <v/>
      </c>
      <c r="F100" s="5">
        <f>IF($L100="","",IF(INDEX('Per Invoice'!$F$2:$F$151,$L100)="","",INDEX('Per Invoice'!$F$2:$F$151,$L100)))</f>
        <v/>
      </c>
      <c r="G100" s="5">
        <f>IF($L100="","",IF(INDEX('Per Invoice'!$G$2:$G$151,$L100)="","",INDEX('Per Invoice'!$G$2:$G$151,$L100)))</f>
        <v/>
      </c>
      <c r="H100" s="5">
        <f>IF($L100="","",IF(INDEX('Per Invoice'!$H$2:$H$151,$L100)="","",INDEX('Per Invoice'!$H$2:$H$151,$L100)))</f>
        <v/>
      </c>
      <c r="I100" s="5">
        <f>IF($L100="","",IF(INDEX('Per Invoice'!$I$2:$I$151,$L100)="","",INDEX('Per Invoice'!$I$2:$I$151,$L100)))</f>
        <v/>
      </c>
      <c r="J100" s="5">
        <f>IF($L100="","",IF(INDEX('Per Invoice'!$J$2:$J$151,$L100)="","",INDEX('Per Invoice'!$J$2:$J$151,$L100)))</f>
        <v/>
      </c>
      <c r="K100">
        <f>IF($L100="","",IF(INDEX('Per Invoice'!$K$2:$K$151,$L100)="","",INDEX('Per Invoice'!$K$2:$K$151,$L100)))</f>
        <v/>
      </c>
      <c r="L100">
        <f>IF(ROWS($L$2:$L100)&lt;=COUNT('Per Invoice'!$M$2:$M$151),MATCH(ROWS($L$2:$L100),'Per Invoice'!$M$2:$M$151,0),"")</f>
        <v/>
      </c>
    </row>
    <row r="101">
      <c r="A101">
        <f>IF($L101="","",IF(INDEX('Per Invoice'!$A$2:$A$151,$L101)="","",INDEX('Per Invoice'!$A$2:$A$151,$L101)))</f>
        <v/>
      </c>
      <c r="B101">
        <f>IF($L101="","",IF(INDEX('Per Invoice'!$B$2:$B$151,$L101)="","",INDEX('Per Invoice'!$B$2:$B$151,$L101)))</f>
        <v/>
      </c>
      <c r="C101">
        <f>IF($L101="","",IF(INDEX('Per Invoice'!$C$2:$C$151,$L101)="","",INDEX('Per Invoice'!$C$2:$C$151,$L101)))</f>
        <v/>
      </c>
      <c r="D101">
        <f>IF($L101="","",IF(INDEX('Per Invoice'!$D$2:$D$151,$L101)="","",INDEX('Per Invoice'!$D$2:$D$151,$L101)))</f>
        <v/>
      </c>
      <c r="E101">
        <f>IF($L101="","",IF(INDEX('Per Invoice'!$E$2:$E$151,$L101)="","",INDEX('Per Invoice'!$E$2:$E$151,$L101)))</f>
        <v/>
      </c>
      <c r="F101" s="5">
        <f>IF($L101="","",IF(INDEX('Per Invoice'!$F$2:$F$151,$L101)="","",INDEX('Per Invoice'!$F$2:$F$151,$L101)))</f>
        <v/>
      </c>
      <c r="G101" s="5">
        <f>IF($L101="","",IF(INDEX('Per Invoice'!$G$2:$G$151,$L101)="","",INDEX('Per Invoice'!$G$2:$G$151,$L101)))</f>
        <v/>
      </c>
      <c r="H101" s="5">
        <f>IF($L101="","",IF(INDEX('Per Invoice'!$H$2:$H$151,$L101)="","",INDEX('Per Invoice'!$H$2:$H$151,$L101)))</f>
        <v/>
      </c>
      <c r="I101" s="5">
        <f>IF($L101="","",IF(INDEX('Per Invoice'!$I$2:$I$151,$L101)="","",INDEX('Per Invoice'!$I$2:$I$151,$L101)))</f>
        <v/>
      </c>
      <c r="J101" s="5">
        <f>IF($L101="","",IF(INDEX('Per Invoice'!$J$2:$J$151,$L101)="","",INDEX('Per Invoice'!$J$2:$J$151,$L101)))</f>
        <v/>
      </c>
      <c r="K101">
        <f>IF($L101="","",IF(INDEX('Per Invoice'!$K$2:$K$151,$L101)="","",INDEX('Per Invoice'!$K$2:$K$151,$L101)))</f>
        <v/>
      </c>
      <c r="L101">
        <f>IF(ROWS($L$2:$L101)&lt;=COUNT('Per Invoice'!$M$2:$M$151),MATCH(ROWS($L$2:$L101),'Per Invoice'!$M$2:$M$151,0),"")</f>
        <v/>
      </c>
    </row>
    <row r="102">
      <c r="A102">
        <f>IF($L102="","",IF(INDEX('Per Invoice'!$A$2:$A$151,$L102)="","",INDEX('Per Invoice'!$A$2:$A$151,$L102)))</f>
        <v/>
      </c>
      <c r="B102">
        <f>IF($L102="","",IF(INDEX('Per Invoice'!$B$2:$B$151,$L102)="","",INDEX('Per Invoice'!$B$2:$B$151,$L102)))</f>
        <v/>
      </c>
      <c r="C102">
        <f>IF($L102="","",IF(INDEX('Per Invoice'!$C$2:$C$151,$L102)="","",INDEX('Per Invoice'!$C$2:$C$151,$L102)))</f>
        <v/>
      </c>
      <c r="D102">
        <f>IF($L102="","",IF(INDEX('Per Invoice'!$D$2:$D$151,$L102)="","",INDEX('Per Invoice'!$D$2:$D$151,$L102)))</f>
        <v/>
      </c>
      <c r="E102">
        <f>IF($L102="","",IF(INDEX('Per Invoice'!$E$2:$E$151,$L102)="","",INDEX('Per Invoice'!$E$2:$E$151,$L102)))</f>
        <v/>
      </c>
      <c r="F102" s="5">
        <f>IF($L102="","",IF(INDEX('Per Invoice'!$F$2:$F$151,$L102)="","",INDEX('Per Invoice'!$F$2:$F$151,$L102)))</f>
        <v/>
      </c>
      <c r="G102" s="5">
        <f>IF($L102="","",IF(INDEX('Per Invoice'!$G$2:$G$151,$L102)="","",INDEX('Per Invoice'!$G$2:$G$151,$L102)))</f>
        <v/>
      </c>
      <c r="H102" s="5">
        <f>IF($L102="","",IF(INDEX('Per Invoice'!$H$2:$H$151,$L102)="","",INDEX('Per Invoice'!$H$2:$H$151,$L102)))</f>
        <v/>
      </c>
      <c r="I102" s="5">
        <f>IF($L102="","",IF(INDEX('Per Invoice'!$I$2:$I$151,$L102)="","",INDEX('Per Invoice'!$I$2:$I$151,$L102)))</f>
        <v/>
      </c>
      <c r="J102" s="5">
        <f>IF($L102="","",IF(INDEX('Per Invoice'!$J$2:$J$151,$L102)="","",INDEX('Per Invoice'!$J$2:$J$151,$L102)))</f>
        <v/>
      </c>
      <c r="K102">
        <f>IF($L102="","",IF(INDEX('Per Invoice'!$K$2:$K$151,$L102)="","",INDEX('Per Invoice'!$K$2:$K$151,$L102)))</f>
        <v/>
      </c>
      <c r="L102">
        <f>IF(ROWS($L$2:$L102)&lt;=COUNT('Per Invoice'!$M$2:$M$151),MATCH(ROWS($L$2:$L102),'Per Invoice'!$M$2:$M$151,0),"")</f>
        <v/>
      </c>
    </row>
    <row r="103">
      <c r="A103">
        <f>IF($L103="","",IF(INDEX('Per Invoice'!$A$2:$A$151,$L103)="","",INDEX('Per Invoice'!$A$2:$A$151,$L103)))</f>
        <v/>
      </c>
      <c r="B103">
        <f>IF($L103="","",IF(INDEX('Per Invoice'!$B$2:$B$151,$L103)="","",INDEX('Per Invoice'!$B$2:$B$151,$L103)))</f>
        <v/>
      </c>
      <c r="C103">
        <f>IF($L103="","",IF(INDEX('Per Invoice'!$C$2:$C$151,$L103)="","",INDEX('Per Invoice'!$C$2:$C$151,$L103)))</f>
        <v/>
      </c>
      <c r="D103">
        <f>IF($L103="","",IF(INDEX('Per Invoice'!$D$2:$D$151,$L103)="","",INDEX('Per Invoice'!$D$2:$D$151,$L103)))</f>
        <v/>
      </c>
      <c r="E103">
        <f>IF($L103="","",IF(INDEX('Per Invoice'!$E$2:$E$151,$L103)="","",INDEX('Per Invoice'!$E$2:$E$151,$L103)))</f>
        <v/>
      </c>
      <c r="F103" s="5">
        <f>IF($L103="","",IF(INDEX('Per Invoice'!$F$2:$F$151,$L103)="","",INDEX('Per Invoice'!$F$2:$F$151,$L103)))</f>
        <v/>
      </c>
      <c r="G103" s="5">
        <f>IF($L103="","",IF(INDEX('Per Invoice'!$G$2:$G$151,$L103)="","",INDEX('Per Invoice'!$G$2:$G$151,$L103)))</f>
        <v/>
      </c>
      <c r="H103" s="5">
        <f>IF($L103="","",IF(INDEX('Per Invoice'!$H$2:$H$151,$L103)="","",INDEX('Per Invoice'!$H$2:$H$151,$L103)))</f>
        <v/>
      </c>
      <c r="I103" s="5">
        <f>IF($L103="","",IF(INDEX('Per Invoice'!$I$2:$I$151,$L103)="","",INDEX('Per Invoice'!$I$2:$I$151,$L103)))</f>
        <v/>
      </c>
      <c r="J103" s="5">
        <f>IF($L103="","",IF(INDEX('Per Invoice'!$J$2:$J$151,$L103)="","",INDEX('Per Invoice'!$J$2:$J$151,$L103)))</f>
        <v/>
      </c>
      <c r="K103">
        <f>IF($L103="","",IF(INDEX('Per Invoice'!$K$2:$K$151,$L103)="","",INDEX('Per Invoice'!$K$2:$K$151,$L103)))</f>
        <v/>
      </c>
      <c r="L103">
        <f>IF(ROWS($L$2:$L103)&lt;=COUNT('Per Invoice'!$M$2:$M$151),MATCH(ROWS($L$2:$L103),'Per Invoice'!$M$2:$M$151,0),"")</f>
        <v/>
      </c>
    </row>
    <row r="104">
      <c r="A104">
        <f>IF($L104="","",IF(INDEX('Per Invoice'!$A$2:$A$151,$L104)="","",INDEX('Per Invoice'!$A$2:$A$151,$L104)))</f>
        <v/>
      </c>
      <c r="B104">
        <f>IF($L104="","",IF(INDEX('Per Invoice'!$B$2:$B$151,$L104)="","",INDEX('Per Invoice'!$B$2:$B$151,$L104)))</f>
        <v/>
      </c>
      <c r="C104">
        <f>IF($L104="","",IF(INDEX('Per Invoice'!$C$2:$C$151,$L104)="","",INDEX('Per Invoice'!$C$2:$C$151,$L104)))</f>
        <v/>
      </c>
      <c r="D104">
        <f>IF($L104="","",IF(INDEX('Per Invoice'!$D$2:$D$151,$L104)="","",INDEX('Per Invoice'!$D$2:$D$151,$L104)))</f>
        <v/>
      </c>
      <c r="E104">
        <f>IF($L104="","",IF(INDEX('Per Invoice'!$E$2:$E$151,$L104)="","",INDEX('Per Invoice'!$E$2:$E$151,$L104)))</f>
        <v/>
      </c>
      <c r="F104" s="5">
        <f>IF($L104="","",IF(INDEX('Per Invoice'!$F$2:$F$151,$L104)="","",INDEX('Per Invoice'!$F$2:$F$151,$L104)))</f>
        <v/>
      </c>
      <c r="G104" s="5">
        <f>IF($L104="","",IF(INDEX('Per Invoice'!$G$2:$G$151,$L104)="","",INDEX('Per Invoice'!$G$2:$G$151,$L104)))</f>
        <v/>
      </c>
      <c r="H104" s="5">
        <f>IF($L104="","",IF(INDEX('Per Invoice'!$H$2:$H$151,$L104)="","",INDEX('Per Invoice'!$H$2:$H$151,$L104)))</f>
        <v/>
      </c>
      <c r="I104" s="5">
        <f>IF($L104="","",IF(INDEX('Per Invoice'!$I$2:$I$151,$L104)="","",INDEX('Per Invoice'!$I$2:$I$151,$L104)))</f>
        <v/>
      </c>
      <c r="J104" s="5">
        <f>IF($L104="","",IF(INDEX('Per Invoice'!$J$2:$J$151,$L104)="","",INDEX('Per Invoice'!$J$2:$J$151,$L104)))</f>
        <v/>
      </c>
      <c r="K104">
        <f>IF($L104="","",IF(INDEX('Per Invoice'!$K$2:$K$151,$L104)="","",INDEX('Per Invoice'!$K$2:$K$151,$L104)))</f>
        <v/>
      </c>
      <c r="L104">
        <f>IF(ROWS($L$2:$L104)&lt;=COUNT('Per Invoice'!$M$2:$M$151),MATCH(ROWS($L$2:$L104),'Per Invoice'!$M$2:$M$151,0),"")</f>
        <v/>
      </c>
    </row>
    <row r="105">
      <c r="A105">
        <f>IF($L105="","",IF(INDEX('Per Invoice'!$A$2:$A$151,$L105)="","",INDEX('Per Invoice'!$A$2:$A$151,$L105)))</f>
        <v/>
      </c>
      <c r="B105">
        <f>IF($L105="","",IF(INDEX('Per Invoice'!$B$2:$B$151,$L105)="","",INDEX('Per Invoice'!$B$2:$B$151,$L105)))</f>
        <v/>
      </c>
      <c r="C105">
        <f>IF($L105="","",IF(INDEX('Per Invoice'!$C$2:$C$151,$L105)="","",INDEX('Per Invoice'!$C$2:$C$151,$L105)))</f>
        <v/>
      </c>
      <c r="D105">
        <f>IF($L105="","",IF(INDEX('Per Invoice'!$D$2:$D$151,$L105)="","",INDEX('Per Invoice'!$D$2:$D$151,$L105)))</f>
        <v/>
      </c>
      <c r="E105">
        <f>IF($L105="","",IF(INDEX('Per Invoice'!$E$2:$E$151,$L105)="","",INDEX('Per Invoice'!$E$2:$E$151,$L105)))</f>
        <v/>
      </c>
      <c r="F105" s="5">
        <f>IF($L105="","",IF(INDEX('Per Invoice'!$F$2:$F$151,$L105)="","",INDEX('Per Invoice'!$F$2:$F$151,$L105)))</f>
        <v/>
      </c>
      <c r="G105" s="5">
        <f>IF($L105="","",IF(INDEX('Per Invoice'!$G$2:$G$151,$L105)="","",INDEX('Per Invoice'!$G$2:$G$151,$L105)))</f>
        <v/>
      </c>
      <c r="H105" s="5">
        <f>IF($L105="","",IF(INDEX('Per Invoice'!$H$2:$H$151,$L105)="","",INDEX('Per Invoice'!$H$2:$H$151,$L105)))</f>
        <v/>
      </c>
      <c r="I105" s="5">
        <f>IF($L105="","",IF(INDEX('Per Invoice'!$I$2:$I$151,$L105)="","",INDEX('Per Invoice'!$I$2:$I$151,$L105)))</f>
        <v/>
      </c>
      <c r="J105" s="5">
        <f>IF($L105="","",IF(INDEX('Per Invoice'!$J$2:$J$151,$L105)="","",INDEX('Per Invoice'!$J$2:$J$151,$L105)))</f>
        <v/>
      </c>
      <c r="K105">
        <f>IF($L105="","",IF(INDEX('Per Invoice'!$K$2:$K$151,$L105)="","",INDEX('Per Invoice'!$K$2:$K$151,$L105)))</f>
        <v/>
      </c>
      <c r="L105">
        <f>IF(ROWS($L$2:$L105)&lt;=COUNT('Per Invoice'!$M$2:$M$151),MATCH(ROWS($L$2:$L105),'Per Invoice'!$M$2:$M$151,0),"")</f>
        <v/>
      </c>
    </row>
    <row r="106">
      <c r="A106">
        <f>IF($L106="","",IF(INDEX('Per Invoice'!$A$2:$A$151,$L106)="","",INDEX('Per Invoice'!$A$2:$A$151,$L106)))</f>
        <v/>
      </c>
      <c r="B106">
        <f>IF($L106="","",IF(INDEX('Per Invoice'!$B$2:$B$151,$L106)="","",INDEX('Per Invoice'!$B$2:$B$151,$L106)))</f>
        <v/>
      </c>
      <c r="C106">
        <f>IF($L106="","",IF(INDEX('Per Invoice'!$C$2:$C$151,$L106)="","",INDEX('Per Invoice'!$C$2:$C$151,$L106)))</f>
        <v/>
      </c>
      <c r="D106">
        <f>IF($L106="","",IF(INDEX('Per Invoice'!$D$2:$D$151,$L106)="","",INDEX('Per Invoice'!$D$2:$D$151,$L106)))</f>
        <v/>
      </c>
      <c r="E106">
        <f>IF($L106="","",IF(INDEX('Per Invoice'!$E$2:$E$151,$L106)="","",INDEX('Per Invoice'!$E$2:$E$151,$L106)))</f>
        <v/>
      </c>
      <c r="F106" s="5">
        <f>IF($L106="","",IF(INDEX('Per Invoice'!$F$2:$F$151,$L106)="","",INDEX('Per Invoice'!$F$2:$F$151,$L106)))</f>
        <v/>
      </c>
      <c r="G106" s="5">
        <f>IF($L106="","",IF(INDEX('Per Invoice'!$G$2:$G$151,$L106)="","",INDEX('Per Invoice'!$G$2:$G$151,$L106)))</f>
        <v/>
      </c>
      <c r="H106" s="5">
        <f>IF($L106="","",IF(INDEX('Per Invoice'!$H$2:$H$151,$L106)="","",INDEX('Per Invoice'!$H$2:$H$151,$L106)))</f>
        <v/>
      </c>
      <c r="I106" s="5">
        <f>IF($L106="","",IF(INDEX('Per Invoice'!$I$2:$I$151,$L106)="","",INDEX('Per Invoice'!$I$2:$I$151,$L106)))</f>
        <v/>
      </c>
      <c r="J106" s="5">
        <f>IF($L106="","",IF(INDEX('Per Invoice'!$J$2:$J$151,$L106)="","",INDEX('Per Invoice'!$J$2:$J$151,$L106)))</f>
        <v/>
      </c>
      <c r="K106">
        <f>IF($L106="","",IF(INDEX('Per Invoice'!$K$2:$K$151,$L106)="","",INDEX('Per Invoice'!$K$2:$K$151,$L106)))</f>
        <v/>
      </c>
      <c r="L106">
        <f>IF(ROWS($L$2:$L106)&lt;=COUNT('Per Invoice'!$M$2:$M$151),MATCH(ROWS($L$2:$L106),'Per Invoice'!$M$2:$M$151,0),"")</f>
        <v/>
      </c>
    </row>
    <row r="107">
      <c r="A107">
        <f>IF($L107="","",IF(INDEX('Per Invoice'!$A$2:$A$151,$L107)="","",INDEX('Per Invoice'!$A$2:$A$151,$L107)))</f>
        <v/>
      </c>
      <c r="B107">
        <f>IF($L107="","",IF(INDEX('Per Invoice'!$B$2:$B$151,$L107)="","",INDEX('Per Invoice'!$B$2:$B$151,$L107)))</f>
        <v/>
      </c>
      <c r="C107">
        <f>IF($L107="","",IF(INDEX('Per Invoice'!$C$2:$C$151,$L107)="","",INDEX('Per Invoice'!$C$2:$C$151,$L107)))</f>
        <v/>
      </c>
      <c r="D107">
        <f>IF($L107="","",IF(INDEX('Per Invoice'!$D$2:$D$151,$L107)="","",INDEX('Per Invoice'!$D$2:$D$151,$L107)))</f>
        <v/>
      </c>
      <c r="E107">
        <f>IF($L107="","",IF(INDEX('Per Invoice'!$E$2:$E$151,$L107)="","",INDEX('Per Invoice'!$E$2:$E$151,$L107)))</f>
        <v/>
      </c>
      <c r="F107" s="5">
        <f>IF($L107="","",IF(INDEX('Per Invoice'!$F$2:$F$151,$L107)="","",INDEX('Per Invoice'!$F$2:$F$151,$L107)))</f>
        <v/>
      </c>
      <c r="G107" s="5">
        <f>IF($L107="","",IF(INDEX('Per Invoice'!$G$2:$G$151,$L107)="","",INDEX('Per Invoice'!$G$2:$G$151,$L107)))</f>
        <v/>
      </c>
      <c r="H107" s="5">
        <f>IF($L107="","",IF(INDEX('Per Invoice'!$H$2:$H$151,$L107)="","",INDEX('Per Invoice'!$H$2:$H$151,$L107)))</f>
        <v/>
      </c>
      <c r="I107" s="5">
        <f>IF($L107="","",IF(INDEX('Per Invoice'!$I$2:$I$151,$L107)="","",INDEX('Per Invoice'!$I$2:$I$151,$L107)))</f>
        <v/>
      </c>
      <c r="J107" s="5">
        <f>IF($L107="","",IF(INDEX('Per Invoice'!$J$2:$J$151,$L107)="","",INDEX('Per Invoice'!$J$2:$J$151,$L107)))</f>
        <v/>
      </c>
      <c r="K107">
        <f>IF($L107="","",IF(INDEX('Per Invoice'!$K$2:$K$151,$L107)="","",INDEX('Per Invoice'!$K$2:$K$151,$L107)))</f>
        <v/>
      </c>
      <c r="L107">
        <f>IF(ROWS($L$2:$L107)&lt;=COUNT('Per Invoice'!$M$2:$M$151),MATCH(ROWS($L$2:$L107),'Per Invoice'!$M$2:$M$151,0),"")</f>
        <v/>
      </c>
    </row>
    <row r="108">
      <c r="A108">
        <f>IF($L108="","",IF(INDEX('Per Invoice'!$A$2:$A$151,$L108)="","",INDEX('Per Invoice'!$A$2:$A$151,$L108)))</f>
        <v/>
      </c>
      <c r="B108">
        <f>IF($L108="","",IF(INDEX('Per Invoice'!$B$2:$B$151,$L108)="","",INDEX('Per Invoice'!$B$2:$B$151,$L108)))</f>
        <v/>
      </c>
      <c r="C108">
        <f>IF($L108="","",IF(INDEX('Per Invoice'!$C$2:$C$151,$L108)="","",INDEX('Per Invoice'!$C$2:$C$151,$L108)))</f>
        <v/>
      </c>
      <c r="D108">
        <f>IF($L108="","",IF(INDEX('Per Invoice'!$D$2:$D$151,$L108)="","",INDEX('Per Invoice'!$D$2:$D$151,$L108)))</f>
        <v/>
      </c>
      <c r="E108">
        <f>IF($L108="","",IF(INDEX('Per Invoice'!$E$2:$E$151,$L108)="","",INDEX('Per Invoice'!$E$2:$E$151,$L108)))</f>
        <v/>
      </c>
      <c r="F108" s="5">
        <f>IF($L108="","",IF(INDEX('Per Invoice'!$F$2:$F$151,$L108)="","",INDEX('Per Invoice'!$F$2:$F$151,$L108)))</f>
        <v/>
      </c>
      <c r="G108" s="5">
        <f>IF($L108="","",IF(INDEX('Per Invoice'!$G$2:$G$151,$L108)="","",INDEX('Per Invoice'!$G$2:$G$151,$L108)))</f>
        <v/>
      </c>
      <c r="H108" s="5">
        <f>IF($L108="","",IF(INDEX('Per Invoice'!$H$2:$H$151,$L108)="","",INDEX('Per Invoice'!$H$2:$H$151,$L108)))</f>
        <v/>
      </c>
      <c r="I108" s="5">
        <f>IF($L108="","",IF(INDEX('Per Invoice'!$I$2:$I$151,$L108)="","",INDEX('Per Invoice'!$I$2:$I$151,$L108)))</f>
        <v/>
      </c>
      <c r="J108" s="5">
        <f>IF($L108="","",IF(INDEX('Per Invoice'!$J$2:$J$151,$L108)="","",INDEX('Per Invoice'!$J$2:$J$151,$L108)))</f>
        <v/>
      </c>
      <c r="K108">
        <f>IF($L108="","",IF(INDEX('Per Invoice'!$K$2:$K$151,$L108)="","",INDEX('Per Invoice'!$K$2:$K$151,$L108)))</f>
        <v/>
      </c>
      <c r="L108">
        <f>IF(ROWS($L$2:$L108)&lt;=COUNT('Per Invoice'!$M$2:$M$151),MATCH(ROWS($L$2:$L108),'Per Invoice'!$M$2:$M$151,0),"")</f>
        <v/>
      </c>
    </row>
    <row r="109">
      <c r="A109">
        <f>IF($L109="","",IF(INDEX('Per Invoice'!$A$2:$A$151,$L109)="","",INDEX('Per Invoice'!$A$2:$A$151,$L109)))</f>
        <v/>
      </c>
      <c r="B109">
        <f>IF($L109="","",IF(INDEX('Per Invoice'!$B$2:$B$151,$L109)="","",INDEX('Per Invoice'!$B$2:$B$151,$L109)))</f>
        <v/>
      </c>
      <c r="C109">
        <f>IF($L109="","",IF(INDEX('Per Invoice'!$C$2:$C$151,$L109)="","",INDEX('Per Invoice'!$C$2:$C$151,$L109)))</f>
        <v/>
      </c>
      <c r="D109">
        <f>IF($L109="","",IF(INDEX('Per Invoice'!$D$2:$D$151,$L109)="","",INDEX('Per Invoice'!$D$2:$D$151,$L109)))</f>
        <v/>
      </c>
      <c r="E109">
        <f>IF($L109="","",IF(INDEX('Per Invoice'!$E$2:$E$151,$L109)="","",INDEX('Per Invoice'!$E$2:$E$151,$L109)))</f>
        <v/>
      </c>
      <c r="F109" s="5">
        <f>IF($L109="","",IF(INDEX('Per Invoice'!$F$2:$F$151,$L109)="","",INDEX('Per Invoice'!$F$2:$F$151,$L109)))</f>
        <v/>
      </c>
      <c r="G109" s="5">
        <f>IF($L109="","",IF(INDEX('Per Invoice'!$G$2:$G$151,$L109)="","",INDEX('Per Invoice'!$G$2:$G$151,$L109)))</f>
        <v/>
      </c>
      <c r="H109" s="5">
        <f>IF($L109="","",IF(INDEX('Per Invoice'!$H$2:$H$151,$L109)="","",INDEX('Per Invoice'!$H$2:$H$151,$L109)))</f>
        <v/>
      </c>
      <c r="I109" s="5">
        <f>IF($L109="","",IF(INDEX('Per Invoice'!$I$2:$I$151,$L109)="","",INDEX('Per Invoice'!$I$2:$I$151,$L109)))</f>
        <v/>
      </c>
      <c r="J109" s="5">
        <f>IF($L109="","",IF(INDEX('Per Invoice'!$J$2:$J$151,$L109)="","",INDEX('Per Invoice'!$J$2:$J$151,$L109)))</f>
        <v/>
      </c>
      <c r="K109">
        <f>IF($L109="","",IF(INDEX('Per Invoice'!$K$2:$K$151,$L109)="","",INDEX('Per Invoice'!$K$2:$K$151,$L109)))</f>
        <v/>
      </c>
      <c r="L109">
        <f>IF(ROWS($L$2:$L109)&lt;=COUNT('Per Invoice'!$M$2:$M$151),MATCH(ROWS($L$2:$L109),'Per Invoice'!$M$2:$M$151,0),"")</f>
        <v/>
      </c>
    </row>
    <row r="110">
      <c r="A110">
        <f>IF($L110="","",IF(INDEX('Per Invoice'!$A$2:$A$151,$L110)="","",INDEX('Per Invoice'!$A$2:$A$151,$L110)))</f>
        <v/>
      </c>
      <c r="B110">
        <f>IF($L110="","",IF(INDEX('Per Invoice'!$B$2:$B$151,$L110)="","",INDEX('Per Invoice'!$B$2:$B$151,$L110)))</f>
        <v/>
      </c>
      <c r="C110">
        <f>IF($L110="","",IF(INDEX('Per Invoice'!$C$2:$C$151,$L110)="","",INDEX('Per Invoice'!$C$2:$C$151,$L110)))</f>
        <v/>
      </c>
      <c r="D110">
        <f>IF($L110="","",IF(INDEX('Per Invoice'!$D$2:$D$151,$L110)="","",INDEX('Per Invoice'!$D$2:$D$151,$L110)))</f>
        <v/>
      </c>
      <c r="E110">
        <f>IF($L110="","",IF(INDEX('Per Invoice'!$E$2:$E$151,$L110)="","",INDEX('Per Invoice'!$E$2:$E$151,$L110)))</f>
        <v/>
      </c>
      <c r="F110" s="5">
        <f>IF($L110="","",IF(INDEX('Per Invoice'!$F$2:$F$151,$L110)="","",INDEX('Per Invoice'!$F$2:$F$151,$L110)))</f>
        <v/>
      </c>
      <c r="G110" s="5">
        <f>IF($L110="","",IF(INDEX('Per Invoice'!$G$2:$G$151,$L110)="","",INDEX('Per Invoice'!$G$2:$G$151,$L110)))</f>
        <v/>
      </c>
      <c r="H110" s="5">
        <f>IF($L110="","",IF(INDEX('Per Invoice'!$H$2:$H$151,$L110)="","",INDEX('Per Invoice'!$H$2:$H$151,$L110)))</f>
        <v/>
      </c>
      <c r="I110" s="5">
        <f>IF($L110="","",IF(INDEX('Per Invoice'!$I$2:$I$151,$L110)="","",INDEX('Per Invoice'!$I$2:$I$151,$L110)))</f>
        <v/>
      </c>
      <c r="J110" s="5">
        <f>IF($L110="","",IF(INDEX('Per Invoice'!$J$2:$J$151,$L110)="","",INDEX('Per Invoice'!$J$2:$J$151,$L110)))</f>
        <v/>
      </c>
      <c r="K110">
        <f>IF($L110="","",IF(INDEX('Per Invoice'!$K$2:$K$151,$L110)="","",INDEX('Per Invoice'!$K$2:$K$151,$L110)))</f>
        <v/>
      </c>
      <c r="L110">
        <f>IF(ROWS($L$2:$L110)&lt;=COUNT('Per Invoice'!$M$2:$M$151),MATCH(ROWS($L$2:$L110),'Per Invoice'!$M$2:$M$151,0),"")</f>
        <v/>
      </c>
    </row>
    <row r="111">
      <c r="A111">
        <f>IF($L111="","",IF(INDEX('Per Invoice'!$A$2:$A$151,$L111)="","",INDEX('Per Invoice'!$A$2:$A$151,$L111)))</f>
        <v/>
      </c>
      <c r="B111">
        <f>IF($L111="","",IF(INDEX('Per Invoice'!$B$2:$B$151,$L111)="","",INDEX('Per Invoice'!$B$2:$B$151,$L111)))</f>
        <v/>
      </c>
      <c r="C111">
        <f>IF($L111="","",IF(INDEX('Per Invoice'!$C$2:$C$151,$L111)="","",INDEX('Per Invoice'!$C$2:$C$151,$L111)))</f>
        <v/>
      </c>
      <c r="D111">
        <f>IF($L111="","",IF(INDEX('Per Invoice'!$D$2:$D$151,$L111)="","",INDEX('Per Invoice'!$D$2:$D$151,$L111)))</f>
        <v/>
      </c>
      <c r="E111">
        <f>IF($L111="","",IF(INDEX('Per Invoice'!$E$2:$E$151,$L111)="","",INDEX('Per Invoice'!$E$2:$E$151,$L111)))</f>
        <v/>
      </c>
      <c r="F111" s="5">
        <f>IF($L111="","",IF(INDEX('Per Invoice'!$F$2:$F$151,$L111)="","",INDEX('Per Invoice'!$F$2:$F$151,$L111)))</f>
        <v/>
      </c>
      <c r="G111" s="5">
        <f>IF($L111="","",IF(INDEX('Per Invoice'!$G$2:$G$151,$L111)="","",INDEX('Per Invoice'!$G$2:$G$151,$L111)))</f>
        <v/>
      </c>
      <c r="H111" s="5">
        <f>IF($L111="","",IF(INDEX('Per Invoice'!$H$2:$H$151,$L111)="","",INDEX('Per Invoice'!$H$2:$H$151,$L111)))</f>
        <v/>
      </c>
      <c r="I111" s="5">
        <f>IF($L111="","",IF(INDEX('Per Invoice'!$I$2:$I$151,$L111)="","",INDEX('Per Invoice'!$I$2:$I$151,$L111)))</f>
        <v/>
      </c>
      <c r="J111" s="5">
        <f>IF($L111="","",IF(INDEX('Per Invoice'!$J$2:$J$151,$L111)="","",INDEX('Per Invoice'!$J$2:$J$151,$L111)))</f>
        <v/>
      </c>
      <c r="K111">
        <f>IF($L111="","",IF(INDEX('Per Invoice'!$K$2:$K$151,$L111)="","",INDEX('Per Invoice'!$K$2:$K$151,$L111)))</f>
        <v/>
      </c>
      <c r="L111">
        <f>IF(ROWS($L$2:$L111)&lt;=COUNT('Per Invoice'!$M$2:$M$151),MATCH(ROWS($L$2:$L111),'Per Invoice'!$M$2:$M$151,0),"")</f>
        <v/>
      </c>
    </row>
    <row r="112">
      <c r="A112">
        <f>IF($L112="","",IF(INDEX('Per Invoice'!$A$2:$A$151,$L112)="","",INDEX('Per Invoice'!$A$2:$A$151,$L112)))</f>
        <v/>
      </c>
      <c r="B112">
        <f>IF($L112="","",IF(INDEX('Per Invoice'!$B$2:$B$151,$L112)="","",INDEX('Per Invoice'!$B$2:$B$151,$L112)))</f>
        <v/>
      </c>
      <c r="C112">
        <f>IF($L112="","",IF(INDEX('Per Invoice'!$C$2:$C$151,$L112)="","",INDEX('Per Invoice'!$C$2:$C$151,$L112)))</f>
        <v/>
      </c>
      <c r="D112">
        <f>IF($L112="","",IF(INDEX('Per Invoice'!$D$2:$D$151,$L112)="","",INDEX('Per Invoice'!$D$2:$D$151,$L112)))</f>
        <v/>
      </c>
      <c r="E112">
        <f>IF($L112="","",IF(INDEX('Per Invoice'!$E$2:$E$151,$L112)="","",INDEX('Per Invoice'!$E$2:$E$151,$L112)))</f>
        <v/>
      </c>
      <c r="F112" s="5">
        <f>IF($L112="","",IF(INDEX('Per Invoice'!$F$2:$F$151,$L112)="","",INDEX('Per Invoice'!$F$2:$F$151,$L112)))</f>
        <v/>
      </c>
      <c r="G112" s="5">
        <f>IF($L112="","",IF(INDEX('Per Invoice'!$G$2:$G$151,$L112)="","",INDEX('Per Invoice'!$G$2:$G$151,$L112)))</f>
        <v/>
      </c>
      <c r="H112" s="5">
        <f>IF($L112="","",IF(INDEX('Per Invoice'!$H$2:$H$151,$L112)="","",INDEX('Per Invoice'!$H$2:$H$151,$L112)))</f>
        <v/>
      </c>
      <c r="I112" s="5">
        <f>IF($L112="","",IF(INDEX('Per Invoice'!$I$2:$I$151,$L112)="","",INDEX('Per Invoice'!$I$2:$I$151,$L112)))</f>
        <v/>
      </c>
      <c r="J112" s="5">
        <f>IF($L112="","",IF(INDEX('Per Invoice'!$J$2:$J$151,$L112)="","",INDEX('Per Invoice'!$J$2:$J$151,$L112)))</f>
        <v/>
      </c>
      <c r="K112">
        <f>IF($L112="","",IF(INDEX('Per Invoice'!$K$2:$K$151,$L112)="","",INDEX('Per Invoice'!$K$2:$K$151,$L112)))</f>
        <v/>
      </c>
      <c r="L112">
        <f>IF(ROWS($L$2:$L112)&lt;=COUNT('Per Invoice'!$M$2:$M$151),MATCH(ROWS($L$2:$L112),'Per Invoice'!$M$2:$M$151,0),"")</f>
        <v/>
      </c>
    </row>
    <row r="113">
      <c r="A113">
        <f>IF($L113="","",IF(INDEX('Per Invoice'!$A$2:$A$151,$L113)="","",INDEX('Per Invoice'!$A$2:$A$151,$L113)))</f>
        <v/>
      </c>
      <c r="B113">
        <f>IF($L113="","",IF(INDEX('Per Invoice'!$B$2:$B$151,$L113)="","",INDEX('Per Invoice'!$B$2:$B$151,$L113)))</f>
        <v/>
      </c>
      <c r="C113">
        <f>IF($L113="","",IF(INDEX('Per Invoice'!$C$2:$C$151,$L113)="","",INDEX('Per Invoice'!$C$2:$C$151,$L113)))</f>
        <v/>
      </c>
      <c r="D113">
        <f>IF($L113="","",IF(INDEX('Per Invoice'!$D$2:$D$151,$L113)="","",INDEX('Per Invoice'!$D$2:$D$151,$L113)))</f>
        <v/>
      </c>
      <c r="E113">
        <f>IF($L113="","",IF(INDEX('Per Invoice'!$E$2:$E$151,$L113)="","",INDEX('Per Invoice'!$E$2:$E$151,$L113)))</f>
        <v/>
      </c>
      <c r="F113" s="5">
        <f>IF($L113="","",IF(INDEX('Per Invoice'!$F$2:$F$151,$L113)="","",INDEX('Per Invoice'!$F$2:$F$151,$L113)))</f>
        <v/>
      </c>
      <c r="G113" s="5">
        <f>IF($L113="","",IF(INDEX('Per Invoice'!$G$2:$G$151,$L113)="","",INDEX('Per Invoice'!$G$2:$G$151,$L113)))</f>
        <v/>
      </c>
      <c r="H113" s="5">
        <f>IF($L113="","",IF(INDEX('Per Invoice'!$H$2:$H$151,$L113)="","",INDEX('Per Invoice'!$H$2:$H$151,$L113)))</f>
        <v/>
      </c>
      <c r="I113" s="5">
        <f>IF($L113="","",IF(INDEX('Per Invoice'!$I$2:$I$151,$L113)="","",INDEX('Per Invoice'!$I$2:$I$151,$L113)))</f>
        <v/>
      </c>
      <c r="J113" s="5">
        <f>IF($L113="","",IF(INDEX('Per Invoice'!$J$2:$J$151,$L113)="","",INDEX('Per Invoice'!$J$2:$J$151,$L113)))</f>
        <v/>
      </c>
      <c r="K113">
        <f>IF($L113="","",IF(INDEX('Per Invoice'!$K$2:$K$151,$L113)="","",INDEX('Per Invoice'!$K$2:$K$151,$L113)))</f>
        <v/>
      </c>
      <c r="L113">
        <f>IF(ROWS($L$2:$L113)&lt;=COUNT('Per Invoice'!$M$2:$M$151),MATCH(ROWS($L$2:$L113),'Per Invoice'!$M$2:$M$151,0),"")</f>
        <v/>
      </c>
    </row>
    <row r="114">
      <c r="A114">
        <f>IF($L114="","",IF(INDEX('Per Invoice'!$A$2:$A$151,$L114)="","",INDEX('Per Invoice'!$A$2:$A$151,$L114)))</f>
        <v/>
      </c>
      <c r="B114">
        <f>IF($L114="","",IF(INDEX('Per Invoice'!$B$2:$B$151,$L114)="","",INDEX('Per Invoice'!$B$2:$B$151,$L114)))</f>
        <v/>
      </c>
      <c r="C114">
        <f>IF($L114="","",IF(INDEX('Per Invoice'!$C$2:$C$151,$L114)="","",INDEX('Per Invoice'!$C$2:$C$151,$L114)))</f>
        <v/>
      </c>
      <c r="D114">
        <f>IF($L114="","",IF(INDEX('Per Invoice'!$D$2:$D$151,$L114)="","",INDEX('Per Invoice'!$D$2:$D$151,$L114)))</f>
        <v/>
      </c>
      <c r="E114">
        <f>IF($L114="","",IF(INDEX('Per Invoice'!$E$2:$E$151,$L114)="","",INDEX('Per Invoice'!$E$2:$E$151,$L114)))</f>
        <v/>
      </c>
      <c r="F114" s="5">
        <f>IF($L114="","",IF(INDEX('Per Invoice'!$F$2:$F$151,$L114)="","",INDEX('Per Invoice'!$F$2:$F$151,$L114)))</f>
        <v/>
      </c>
      <c r="G114" s="5">
        <f>IF($L114="","",IF(INDEX('Per Invoice'!$G$2:$G$151,$L114)="","",INDEX('Per Invoice'!$G$2:$G$151,$L114)))</f>
        <v/>
      </c>
      <c r="H114" s="5">
        <f>IF($L114="","",IF(INDEX('Per Invoice'!$H$2:$H$151,$L114)="","",INDEX('Per Invoice'!$H$2:$H$151,$L114)))</f>
        <v/>
      </c>
      <c r="I114" s="5">
        <f>IF($L114="","",IF(INDEX('Per Invoice'!$I$2:$I$151,$L114)="","",INDEX('Per Invoice'!$I$2:$I$151,$L114)))</f>
        <v/>
      </c>
      <c r="J114" s="5">
        <f>IF($L114="","",IF(INDEX('Per Invoice'!$J$2:$J$151,$L114)="","",INDEX('Per Invoice'!$J$2:$J$151,$L114)))</f>
        <v/>
      </c>
      <c r="K114">
        <f>IF($L114="","",IF(INDEX('Per Invoice'!$K$2:$K$151,$L114)="","",INDEX('Per Invoice'!$K$2:$K$151,$L114)))</f>
        <v/>
      </c>
      <c r="L114">
        <f>IF(ROWS($L$2:$L114)&lt;=COUNT('Per Invoice'!$M$2:$M$151),MATCH(ROWS($L$2:$L114),'Per Invoice'!$M$2:$M$151,0),"")</f>
        <v/>
      </c>
    </row>
    <row r="115">
      <c r="A115">
        <f>IF($L115="","",IF(INDEX('Per Invoice'!$A$2:$A$151,$L115)="","",INDEX('Per Invoice'!$A$2:$A$151,$L115)))</f>
        <v/>
      </c>
      <c r="B115">
        <f>IF($L115="","",IF(INDEX('Per Invoice'!$B$2:$B$151,$L115)="","",INDEX('Per Invoice'!$B$2:$B$151,$L115)))</f>
        <v/>
      </c>
      <c r="C115">
        <f>IF($L115="","",IF(INDEX('Per Invoice'!$C$2:$C$151,$L115)="","",INDEX('Per Invoice'!$C$2:$C$151,$L115)))</f>
        <v/>
      </c>
      <c r="D115">
        <f>IF($L115="","",IF(INDEX('Per Invoice'!$D$2:$D$151,$L115)="","",INDEX('Per Invoice'!$D$2:$D$151,$L115)))</f>
        <v/>
      </c>
      <c r="E115">
        <f>IF($L115="","",IF(INDEX('Per Invoice'!$E$2:$E$151,$L115)="","",INDEX('Per Invoice'!$E$2:$E$151,$L115)))</f>
        <v/>
      </c>
      <c r="F115" s="5">
        <f>IF($L115="","",IF(INDEX('Per Invoice'!$F$2:$F$151,$L115)="","",INDEX('Per Invoice'!$F$2:$F$151,$L115)))</f>
        <v/>
      </c>
      <c r="G115" s="5">
        <f>IF($L115="","",IF(INDEX('Per Invoice'!$G$2:$G$151,$L115)="","",INDEX('Per Invoice'!$G$2:$G$151,$L115)))</f>
        <v/>
      </c>
      <c r="H115" s="5">
        <f>IF($L115="","",IF(INDEX('Per Invoice'!$H$2:$H$151,$L115)="","",INDEX('Per Invoice'!$H$2:$H$151,$L115)))</f>
        <v/>
      </c>
      <c r="I115" s="5">
        <f>IF($L115="","",IF(INDEX('Per Invoice'!$I$2:$I$151,$L115)="","",INDEX('Per Invoice'!$I$2:$I$151,$L115)))</f>
        <v/>
      </c>
      <c r="J115" s="5">
        <f>IF($L115="","",IF(INDEX('Per Invoice'!$J$2:$J$151,$L115)="","",INDEX('Per Invoice'!$J$2:$J$151,$L115)))</f>
        <v/>
      </c>
      <c r="K115">
        <f>IF($L115="","",IF(INDEX('Per Invoice'!$K$2:$K$151,$L115)="","",INDEX('Per Invoice'!$K$2:$K$151,$L115)))</f>
        <v/>
      </c>
      <c r="L115">
        <f>IF(ROWS($L$2:$L115)&lt;=COUNT('Per Invoice'!$M$2:$M$151),MATCH(ROWS($L$2:$L115),'Per Invoice'!$M$2:$M$151,0),"")</f>
        <v/>
      </c>
    </row>
    <row r="116">
      <c r="A116">
        <f>IF($L116="","",IF(INDEX('Per Invoice'!$A$2:$A$151,$L116)="","",INDEX('Per Invoice'!$A$2:$A$151,$L116)))</f>
        <v/>
      </c>
      <c r="B116">
        <f>IF($L116="","",IF(INDEX('Per Invoice'!$B$2:$B$151,$L116)="","",INDEX('Per Invoice'!$B$2:$B$151,$L116)))</f>
        <v/>
      </c>
      <c r="C116">
        <f>IF($L116="","",IF(INDEX('Per Invoice'!$C$2:$C$151,$L116)="","",INDEX('Per Invoice'!$C$2:$C$151,$L116)))</f>
        <v/>
      </c>
      <c r="D116">
        <f>IF($L116="","",IF(INDEX('Per Invoice'!$D$2:$D$151,$L116)="","",INDEX('Per Invoice'!$D$2:$D$151,$L116)))</f>
        <v/>
      </c>
      <c r="E116">
        <f>IF($L116="","",IF(INDEX('Per Invoice'!$E$2:$E$151,$L116)="","",INDEX('Per Invoice'!$E$2:$E$151,$L116)))</f>
        <v/>
      </c>
      <c r="F116" s="5">
        <f>IF($L116="","",IF(INDEX('Per Invoice'!$F$2:$F$151,$L116)="","",INDEX('Per Invoice'!$F$2:$F$151,$L116)))</f>
        <v/>
      </c>
      <c r="G116" s="5">
        <f>IF($L116="","",IF(INDEX('Per Invoice'!$G$2:$G$151,$L116)="","",INDEX('Per Invoice'!$G$2:$G$151,$L116)))</f>
        <v/>
      </c>
      <c r="H116" s="5">
        <f>IF($L116="","",IF(INDEX('Per Invoice'!$H$2:$H$151,$L116)="","",INDEX('Per Invoice'!$H$2:$H$151,$L116)))</f>
        <v/>
      </c>
      <c r="I116" s="5">
        <f>IF($L116="","",IF(INDEX('Per Invoice'!$I$2:$I$151,$L116)="","",INDEX('Per Invoice'!$I$2:$I$151,$L116)))</f>
        <v/>
      </c>
      <c r="J116" s="5">
        <f>IF($L116="","",IF(INDEX('Per Invoice'!$J$2:$J$151,$L116)="","",INDEX('Per Invoice'!$J$2:$J$151,$L116)))</f>
        <v/>
      </c>
      <c r="K116">
        <f>IF($L116="","",IF(INDEX('Per Invoice'!$K$2:$K$151,$L116)="","",INDEX('Per Invoice'!$K$2:$K$151,$L116)))</f>
        <v/>
      </c>
      <c r="L116">
        <f>IF(ROWS($L$2:$L116)&lt;=COUNT('Per Invoice'!$M$2:$M$151),MATCH(ROWS($L$2:$L116),'Per Invoice'!$M$2:$M$151,0),"")</f>
        <v/>
      </c>
    </row>
    <row r="117">
      <c r="A117">
        <f>IF($L117="","",IF(INDEX('Per Invoice'!$A$2:$A$151,$L117)="","",INDEX('Per Invoice'!$A$2:$A$151,$L117)))</f>
        <v/>
      </c>
      <c r="B117">
        <f>IF($L117="","",IF(INDEX('Per Invoice'!$B$2:$B$151,$L117)="","",INDEX('Per Invoice'!$B$2:$B$151,$L117)))</f>
        <v/>
      </c>
      <c r="C117">
        <f>IF($L117="","",IF(INDEX('Per Invoice'!$C$2:$C$151,$L117)="","",INDEX('Per Invoice'!$C$2:$C$151,$L117)))</f>
        <v/>
      </c>
      <c r="D117">
        <f>IF($L117="","",IF(INDEX('Per Invoice'!$D$2:$D$151,$L117)="","",INDEX('Per Invoice'!$D$2:$D$151,$L117)))</f>
        <v/>
      </c>
      <c r="E117">
        <f>IF($L117="","",IF(INDEX('Per Invoice'!$E$2:$E$151,$L117)="","",INDEX('Per Invoice'!$E$2:$E$151,$L117)))</f>
        <v/>
      </c>
      <c r="F117" s="5">
        <f>IF($L117="","",IF(INDEX('Per Invoice'!$F$2:$F$151,$L117)="","",INDEX('Per Invoice'!$F$2:$F$151,$L117)))</f>
        <v/>
      </c>
      <c r="G117" s="5">
        <f>IF($L117="","",IF(INDEX('Per Invoice'!$G$2:$G$151,$L117)="","",INDEX('Per Invoice'!$G$2:$G$151,$L117)))</f>
        <v/>
      </c>
      <c r="H117" s="5">
        <f>IF($L117="","",IF(INDEX('Per Invoice'!$H$2:$H$151,$L117)="","",INDEX('Per Invoice'!$H$2:$H$151,$L117)))</f>
        <v/>
      </c>
      <c r="I117" s="5">
        <f>IF($L117="","",IF(INDEX('Per Invoice'!$I$2:$I$151,$L117)="","",INDEX('Per Invoice'!$I$2:$I$151,$L117)))</f>
        <v/>
      </c>
      <c r="J117" s="5">
        <f>IF($L117="","",IF(INDEX('Per Invoice'!$J$2:$J$151,$L117)="","",INDEX('Per Invoice'!$J$2:$J$151,$L117)))</f>
        <v/>
      </c>
      <c r="K117">
        <f>IF($L117="","",IF(INDEX('Per Invoice'!$K$2:$K$151,$L117)="","",INDEX('Per Invoice'!$K$2:$K$151,$L117)))</f>
        <v/>
      </c>
      <c r="L117">
        <f>IF(ROWS($L$2:$L117)&lt;=COUNT('Per Invoice'!$M$2:$M$151),MATCH(ROWS($L$2:$L117),'Per Invoice'!$M$2:$M$151,0),"")</f>
        <v/>
      </c>
    </row>
    <row r="118">
      <c r="A118">
        <f>IF($L118="","",IF(INDEX('Per Invoice'!$A$2:$A$151,$L118)="","",INDEX('Per Invoice'!$A$2:$A$151,$L118)))</f>
        <v/>
      </c>
      <c r="B118">
        <f>IF($L118="","",IF(INDEX('Per Invoice'!$B$2:$B$151,$L118)="","",INDEX('Per Invoice'!$B$2:$B$151,$L118)))</f>
        <v/>
      </c>
      <c r="C118">
        <f>IF($L118="","",IF(INDEX('Per Invoice'!$C$2:$C$151,$L118)="","",INDEX('Per Invoice'!$C$2:$C$151,$L118)))</f>
        <v/>
      </c>
      <c r="D118">
        <f>IF($L118="","",IF(INDEX('Per Invoice'!$D$2:$D$151,$L118)="","",INDEX('Per Invoice'!$D$2:$D$151,$L118)))</f>
        <v/>
      </c>
      <c r="E118">
        <f>IF($L118="","",IF(INDEX('Per Invoice'!$E$2:$E$151,$L118)="","",INDEX('Per Invoice'!$E$2:$E$151,$L118)))</f>
        <v/>
      </c>
      <c r="F118" s="5">
        <f>IF($L118="","",IF(INDEX('Per Invoice'!$F$2:$F$151,$L118)="","",INDEX('Per Invoice'!$F$2:$F$151,$L118)))</f>
        <v/>
      </c>
      <c r="G118" s="5">
        <f>IF($L118="","",IF(INDEX('Per Invoice'!$G$2:$G$151,$L118)="","",INDEX('Per Invoice'!$G$2:$G$151,$L118)))</f>
        <v/>
      </c>
      <c r="H118" s="5">
        <f>IF($L118="","",IF(INDEX('Per Invoice'!$H$2:$H$151,$L118)="","",INDEX('Per Invoice'!$H$2:$H$151,$L118)))</f>
        <v/>
      </c>
      <c r="I118" s="5">
        <f>IF($L118="","",IF(INDEX('Per Invoice'!$I$2:$I$151,$L118)="","",INDEX('Per Invoice'!$I$2:$I$151,$L118)))</f>
        <v/>
      </c>
      <c r="J118" s="5">
        <f>IF($L118="","",IF(INDEX('Per Invoice'!$J$2:$J$151,$L118)="","",INDEX('Per Invoice'!$J$2:$J$151,$L118)))</f>
        <v/>
      </c>
      <c r="K118">
        <f>IF($L118="","",IF(INDEX('Per Invoice'!$K$2:$K$151,$L118)="","",INDEX('Per Invoice'!$K$2:$K$151,$L118)))</f>
        <v/>
      </c>
      <c r="L118">
        <f>IF(ROWS($L$2:$L118)&lt;=COUNT('Per Invoice'!$M$2:$M$151),MATCH(ROWS($L$2:$L118),'Per Invoice'!$M$2:$M$151,0),"")</f>
        <v/>
      </c>
    </row>
    <row r="119">
      <c r="A119">
        <f>IF($L119="","",IF(INDEX('Per Invoice'!$A$2:$A$151,$L119)="","",INDEX('Per Invoice'!$A$2:$A$151,$L119)))</f>
        <v/>
      </c>
      <c r="B119">
        <f>IF($L119="","",IF(INDEX('Per Invoice'!$B$2:$B$151,$L119)="","",INDEX('Per Invoice'!$B$2:$B$151,$L119)))</f>
        <v/>
      </c>
      <c r="C119">
        <f>IF($L119="","",IF(INDEX('Per Invoice'!$C$2:$C$151,$L119)="","",INDEX('Per Invoice'!$C$2:$C$151,$L119)))</f>
        <v/>
      </c>
      <c r="D119">
        <f>IF($L119="","",IF(INDEX('Per Invoice'!$D$2:$D$151,$L119)="","",INDEX('Per Invoice'!$D$2:$D$151,$L119)))</f>
        <v/>
      </c>
      <c r="E119">
        <f>IF($L119="","",IF(INDEX('Per Invoice'!$E$2:$E$151,$L119)="","",INDEX('Per Invoice'!$E$2:$E$151,$L119)))</f>
        <v/>
      </c>
      <c r="F119" s="5">
        <f>IF($L119="","",IF(INDEX('Per Invoice'!$F$2:$F$151,$L119)="","",INDEX('Per Invoice'!$F$2:$F$151,$L119)))</f>
        <v/>
      </c>
      <c r="G119" s="5">
        <f>IF($L119="","",IF(INDEX('Per Invoice'!$G$2:$G$151,$L119)="","",INDEX('Per Invoice'!$G$2:$G$151,$L119)))</f>
        <v/>
      </c>
      <c r="H119" s="5">
        <f>IF($L119="","",IF(INDEX('Per Invoice'!$H$2:$H$151,$L119)="","",INDEX('Per Invoice'!$H$2:$H$151,$L119)))</f>
        <v/>
      </c>
      <c r="I119" s="5">
        <f>IF($L119="","",IF(INDEX('Per Invoice'!$I$2:$I$151,$L119)="","",INDEX('Per Invoice'!$I$2:$I$151,$L119)))</f>
        <v/>
      </c>
      <c r="J119" s="5">
        <f>IF($L119="","",IF(INDEX('Per Invoice'!$J$2:$J$151,$L119)="","",INDEX('Per Invoice'!$J$2:$J$151,$L119)))</f>
        <v/>
      </c>
      <c r="K119">
        <f>IF($L119="","",IF(INDEX('Per Invoice'!$K$2:$K$151,$L119)="","",INDEX('Per Invoice'!$K$2:$K$151,$L119)))</f>
        <v/>
      </c>
      <c r="L119">
        <f>IF(ROWS($L$2:$L119)&lt;=COUNT('Per Invoice'!$M$2:$M$151),MATCH(ROWS($L$2:$L119),'Per Invoice'!$M$2:$M$151,0),"")</f>
        <v/>
      </c>
    </row>
    <row r="120">
      <c r="A120">
        <f>IF($L120="","",IF(INDEX('Per Invoice'!$A$2:$A$151,$L120)="","",INDEX('Per Invoice'!$A$2:$A$151,$L120)))</f>
        <v/>
      </c>
      <c r="B120">
        <f>IF($L120="","",IF(INDEX('Per Invoice'!$B$2:$B$151,$L120)="","",INDEX('Per Invoice'!$B$2:$B$151,$L120)))</f>
        <v/>
      </c>
      <c r="C120">
        <f>IF($L120="","",IF(INDEX('Per Invoice'!$C$2:$C$151,$L120)="","",INDEX('Per Invoice'!$C$2:$C$151,$L120)))</f>
        <v/>
      </c>
      <c r="D120">
        <f>IF($L120="","",IF(INDEX('Per Invoice'!$D$2:$D$151,$L120)="","",INDEX('Per Invoice'!$D$2:$D$151,$L120)))</f>
        <v/>
      </c>
      <c r="E120">
        <f>IF($L120="","",IF(INDEX('Per Invoice'!$E$2:$E$151,$L120)="","",INDEX('Per Invoice'!$E$2:$E$151,$L120)))</f>
        <v/>
      </c>
      <c r="F120" s="5">
        <f>IF($L120="","",IF(INDEX('Per Invoice'!$F$2:$F$151,$L120)="","",INDEX('Per Invoice'!$F$2:$F$151,$L120)))</f>
        <v/>
      </c>
      <c r="G120" s="5">
        <f>IF($L120="","",IF(INDEX('Per Invoice'!$G$2:$G$151,$L120)="","",INDEX('Per Invoice'!$G$2:$G$151,$L120)))</f>
        <v/>
      </c>
      <c r="H120" s="5">
        <f>IF($L120="","",IF(INDEX('Per Invoice'!$H$2:$H$151,$L120)="","",INDEX('Per Invoice'!$H$2:$H$151,$L120)))</f>
        <v/>
      </c>
      <c r="I120" s="5">
        <f>IF($L120="","",IF(INDEX('Per Invoice'!$I$2:$I$151,$L120)="","",INDEX('Per Invoice'!$I$2:$I$151,$L120)))</f>
        <v/>
      </c>
      <c r="J120" s="5">
        <f>IF($L120="","",IF(INDEX('Per Invoice'!$J$2:$J$151,$L120)="","",INDEX('Per Invoice'!$J$2:$J$151,$L120)))</f>
        <v/>
      </c>
      <c r="K120">
        <f>IF($L120="","",IF(INDEX('Per Invoice'!$K$2:$K$151,$L120)="","",INDEX('Per Invoice'!$K$2:$K$151,$L120)))</f>
        <v/>
      </c>
      <c r="L120">
        <f>IF(ROWS($L$2:$L120)&lt;=COUNT('Per Invoice'!$M$2:$M$151),MATCH(ROWS($L$2:$L120),'Per Invoice'!$M$2:$M$151,0),"")</f>
        <v/>
      </c>
    </row>
    <row r="121">
      <c r="A121">
        <f>IF($L121="","",IF(INDEX('Per Invoice'!$A$2:$A$151,$L121)="","",INDEX('Per Invoice'!$A$2:$A$151,$L121)))</f>
        <v/>
      </c>
      <c r="B121">
        <f>IF($L121="","",IF(INDEX('Per Invoice'!$B$2:$B$151,$L121)="","",INDEX('Per Invoice'!$B$2:$B$151,$L121)))</f>
        <v/>
      </c>
      <c r="C121">
        <f>IF($L121="","",IF(INDEX('Per Invoice'!$C$2:$C$151,$L121)="","",INDEX('Per Invoice'!$C$2:$C$151,$L121)))</f>
        <v/>
      </c>
      <c r="D121">
        <f>IF($L121="","",IF(INDEX('Per Invoice'!$D$2:$D$151,$L121)="","",INDEX('Per Invoice'!$D$2:$D$151,$L121)))</f>
        <v/>
      </c>
      <c r="E121">
        <f>IF($L121="","",IF(INDEX('Per Invoice'!$E$2:$E$151,$L121)="","",INDEX('Per Invoice'!$E$2:$E$151,$L121)))</f>
        <v/>
      </c>
      <c r="F121" s="5">
        <f>IF($L121="","",IF(INDEX('Per Invoice'!$F$2:$F$151,$L121)="","",INDEX('Per Invoice'!$F$2:$F$151,$L121)))</f>
        <v/>
      </c>
      <c r="G121" s="5">
        <f>IF($L121="","",IF(INDEX('Per Invoice'!$G$2:$G$151,$L121)="","",INDEX('Per Invoice'!$G$2:$G$151,$L121)))</f>
        <v/>
      </c>
      <c r="H121" s="5">
        <f>IF($L121="","",IF(INDEX('Per Invoice'!$H$2:$H$151,$L121)="","",INDEX('Per Invoice'!$H$2:$H$151,$L121)))</f>
        <v/>
      </c>
      <c r="I121" s="5">
        <f>IF($L121="","",IF(INDEX('Per Invoice'!$I$2:$I$151,$L121)="","",INDEX('Per Invoice'!$I$2:$I$151,$L121)))</f>
        <v/>
      </c>
      <c r="J121" s="5">
        <f>IF($L121="","",IF(INDEX('Per Invoice'!$J$2:$J$151,$L121)="","",INDEX('Per Invoice'!$J$2:$J$151,$L121)))</f>
        <v/>
      </c>
      <c r="K121">
        <f>IF($L121="","",IF(INDEX('Per Invoice'!$K$2:$K$151,$L121)="","",INDEX('Per Invoice'!$K$2:$K$151,$L121)))</f>
        <v/>
      </c>
      <c r="L121">
        <f>IF(ROWS($L$2:$L121)&lt;=COUNT('Per Invoice'!$M$2:$M$151),MATCH(ROWS($L$2:$L121),'Per Invoice'!$M$2:$M$151,0),"")</f>
        <v/>
      </c>
    </row>
    <row r="122">
      <c r="A122">
        <f>IF($L122="","",IF(INDEX('Per Invoice'!$A$2:$A$151,$L122)="","",INDEX('Per Invoice'!$A$2:$A$151,$L122)))</f>
        <v/>
      </c>
      <c r="B122">
        <f>IF($L122="","",IF(INDEX('Per Invoice'!$B$2:$B$151,$L122)="","",INDEX('Per Invoice'!$B$2:$B$151,$L122)))</f>
        <v/>
      </c>
      <c r="C122">
        <f>IF($L122="","",IF(INDEX('Per Invoice'!$C$2:$C$151,$L122)="","",INDEX('Per Invoice'!$C$2:$C$151,$L122)))</f>
        <v/>
      </c>
      <c r="D122">
        <f>IF($L122="","",IF(INDEX('Per Invoice'!$D$2:$D$151,$L122)="","",INDEX('Per Invoice'!$D$2:$D$151,$L122)))</f>
        <v/>
      </c>
      <c r="E122">
        <f>IF($L122="","",IF(INDEX('Per Invoice'!$E$2:$E$151,$L122)="","",INDEX('Per Invoice'!$E$2:$E$151,$L122)))</f>
        <v/>
      </c>
      <c r="F122" s="5">
        <f>IF($L122="","",IF(INDEX('Per Invoice'!$F$2:$F$151,$L122)="","",INDEX('Per Invoice'!$F$2:$F$151,$L122)))</f>
        <v/>
      </c>
      <c r="G122" s="5">
        <f>IF($L122="","",IF(INDEX('Per Invoice'!$G$2:$G$151,$L122)="","",INDEX('Per Invoice'!$G$2:$G$151,$L122)))</f>
        <v/>
      </c>
      <c r="H122" s="5">
        <f>IF($L122="","",IF(INDEX('Per Invoice'!$H$2:$H$151,$L122)="","",INDEX('Per Invoice'!$H$2:$H$151,$L122)))</f>
        <v/>
      </c>
      <c r="I122" s="5">
        <f>IF($L122="","",IF(INDEX('Per Invoice'!$I$2:$I$151,$L122)="","",INDEX('Per Invoice'!$I$2:$I$151,$L122)))</f>
        <v/>
      </c>
      <c r="J122" s="5">
        <f>IF($L122="","",IF(INDEX('Per Invoice'!$J$2:$J$151,$L122)="","",INDEX('Per Invoice'!$J$2:$J$151,$L122)))</f>
        <v/>
      </c>
      <c r="K122">
        <f>IF($L122="","",IF(INDEX('Per Invoice'!$K$2:$K$151,$L122)="","",INDEX('Per Invoice'!$K$2:$K$151,$L122)))</f>
        <v/>
      </c>
      <c r="L122">
        <f>IF(ROWS($L$2:$L122)&lt;=COUNT('Per Invoice'!$M$2:$M$151),MATCH(ROWS($L$2:$L122),'Per Invoice'!$M$2:$M$151,0),"")</f>
        <v/>
      </c>
    </row>
    <row r="123">
      <c r="A123">
        <f>IF($L123="","",IF(INDEX('Per Invoice'!$A$2:$A$151,$L123)="","",INDEX('Per Invoice'!$A$2:$A$151,$L123)))</f>
        <v/>
      </c>
      <c r="B123">
        <f>IF($L123="","",IF(INDEX('Per Invoice'!$B$2:$B$151,$L123)="","",INDEX('Per Invoice'!$B$2:$B$151,$L123)))</f>
        <v/>
      </c>
      <c r="C123">
        <f>IF($L123="","",IF(INDEX('Per Invoice'!$C$2:$C$151,$L123)="","",INDEX('Per Invoice'!$C$2:$C$151,$L123)))</f>
        <v/>
      </c>
      <c r="D123">
        <f>IF($L123="","",IF(INDEX('Per Invoice'!$D$2:$D$151,$L123)="","",INDEX('Per Invoice'!$D$2:$D$151,$L123)))</f>
        <v/>
      </c>
      <c r="E123">
        <f>IF($L123="","",IF(INDEX('Per Invoice'!$E$2:$E$151,$L123)="","",INDEX('Per Invoice'!$E$2:$E$151,$L123)))</f>
        <v/>
      </c>
      <c r="F123" s="5">
        <f>IF($L123="","",IF(INDEX('Per Invoice'!$F$2:$F$151,$L123)="","",INDEX('Per Invoice'!$F$2:$F$151,$L123)))</f>
        <v/>
      </c>
      <c r="G123" s="5">
        <f>IF($L123="","",IF(INDEX('Per Invoice'!$G$2:$G$151,$L123)="","",INDEX('Per Invoice'!$G$2:$G$151,$L123)))</f>
        <v/>
      </c>
      <c r="H123" s="5">
        <f>IF($L123="","",IF(INDEX('Per Invoice'!$H$2:$H$151,$L123)="","",INDEX('Per Invoice'!$H$2:$H$151,$L123)))</f>
        <v/>
      </c>
      <c r="I123" s="5">
        <f>IF($L123="","",IF(INDEX('Per Invoice'!$I$2:$I$151,$L123)="","",INDEX('Per Invoice'!$I$2:$I$151,$L123)))</f>
        <v/>
      </c>
      <c r="J123" s="5">
        <f>IF($L123="","",IF(INDEX('Per Invoice'!$J$2:$J$151,$L123)="","",INDEX('Per Invoice'!$J$2:$J$151,$L123)))</f>
        <v/>
      </c>
      <c r="K123">
        <f>IF($L123="","",IF(INDEX('Per Invoice'!$K$2:$K$151,$L123)="","",INDEX('Per Invoice'!$K$2:$K$151,$L123)))</f>
        <v/>
      </c>
      <c r="L123">
        <f>IF(ROWS($L$2:$L123)&lt;=COUNT('Per Invoice'!$M$2:$M$151),MATCH(ROWS($L$2:$L123),'Per Invoice'!$M$2:$M$151,0),"")</f>
        <v/>
      </c>
    </row>
    <row r="124">
      <c r="A124">
        <f>IF($L124="","",IF(INDEX('Per Invoice'!$A$2:$A$151,$L124)="","",INDEX('Per Invoice'!$A$2:$A$151,$L124)))</f>
        <v/>
      </c>
      <c r="B124">
        <f>IF($L124="","",IF(INDEX('Per Invoice'!$B$2:$B$151,$L124)="","",INDEX('Per Invoice'!$B$2:$B$151,$L124)))</f>
        <v/>
      </c>
      <c r="C124">
        <f>IF($L124="","",IF(INDEX('Per Invoice'!$C$2:$C$151,$L124)="","",INDEX('Per Invoice'!$C$2:$C$151,$L124)))</f>
        <v/>
      </c>
      <c r="D124">
        <f>IF($L124="","",IF(INDEX('Per Invoice'!$D$2:$D$151,$L124)="","",INDEX('Per Invoice'!$D$2:$D$151,$L124)))</f>
        <v/>
      </c>
      <c r="E124">
        <f>IF($L124="","",IF(INDEX('Per Invoice'!$E$2:$E$151,$L124)="","",INDEX('Per Invoice'!$E$2:$E$151,$L124)))</f>
        <v/>
      </c>
      <c r="F124" s="5">
        <f>IF($L124="","",IF(INDEX('Per Invoice'!$F$2:$F$151,$L124)="","",INDEX('Per Invoice'!$F$2:$F$151,$L124)))</f>
        <v/>
      </c>
      <c r="G124" s="5">
        <f>IF($L124="","",IF(INDEX('Per Invoice'!$G$2:$G$151,$L124)="","",INDEX('Per Invoice'!$G$2:$G$151,$L124)))</f>
        <v/>
      </c>
      <c r="H124" s="5">
        <f>IF($L124="","",IF(INDEX('Per Invoice'!$H$2:$H$151,$L124)="","",INDEX('Per Invoice'!$H$2:$H$151,$L124)))</f>
        <v/>
      </c>
      <c r="I124" s="5">
        <f>IF($L124="","",IF(INDEX('Per Invoice'!$I$2:$I$151,$L124)="","",INDEX('Per Invoice'!$I$2:$I$151,$L124)))</f>
        <v/>
      </c>
      <c r="J124" s="5">
        <f>IF($L124="","",IF(INDEX('Per Invoice'!$J$2:$J$151,$L124)="","",INDEX('Per Invoice'!$J$2:$J$151,$L124)))</f>
        <v/>
      </c>
      <c r="K124">
        <f>IF($L124="","",IF(INDEX('Per Invoice'!$K$2:$K$151,$L124)="","",INDEX('Per Invoice'!$K$2:$K$151,$L124)))</f>
        <v/>
      </c>
      <c r="L124">
        <f>IF(ROWS($L$2:$L124)&lt;=COUNT('Per Invoice'!$M$2:$M$151),MATCH(ROWS($L$2:$L124),'Per Invoice'!$M$2:$M$151,0),"")</f>
        <v/>
      </c>
    </row>
    <row r="125">
      <c r="A125">
        <f>IF($L125="","",IF(INDEX('Per Invoice'!$A$2:$A$151,$L125)="","",INDEX('Per Invoice'!$A$2:$A$151,$L125)))</f>
        <v/>
      </c>
      <c r="B125">
        <f>IF($L125="","",IF(INDEX('Per Invoice'!$B$2:$B$151,$L125)="","",INDEX('Per Invoice'!$B$2:$B$151,$L125)))</f>
        <v/>
      </c>
      <c r="C125">
        <f>IF($L125="","",IF(INDEX('Per Invoice'!$C$2:$C$151,$L125)="","",INDEX('Per Invoice'!$C$2:$C$151,$L125)))</f>
        <v/>
      </c>
      <c r="D125">
        <f>IF($L125="","",IF(INDEX('Per Invoice'!$D$2:$D$151,$L125)="","",INDEX('Per Invoice'!$D$2:$D$151,$L125)))</f>
        <v/>
      </c>
      <c r="E125">
        <f>IF($L125="","",IF(INDEX('Per Invoice'!$E$2:$E$151,$L125)="","",INDEX('Per Invoice'!$E$2:$E$151,$L125)))</f>
        <v/>
      </c>
      <c r="F125" s="5">
        <f>IF($L125="","",IF(INDEX('Per Invoice'!$F$2:$F$151,$L125)="","",INDEX('Per Invoice'!$F$2:$F$151,$L125)))</f>
        <v/>
      </c>
      <c r="G125" s="5">
        <f>IF($L125="","",IF(INDEX('Per Invoice'!$G$2:$G$151,$L125)="","",INDEX('Per Invoice'!$G$2:$G$151,$L125)))</f>
        <v/>
      </c>
      <c r="H125" s="5">
        <f>IF($L125="","",IF(INDEX('Per Invoice'!$H$2:$H$151,$L125)="","",INDEX('Per Invoice'!$H$2:$H$151,$L125)))</f>
        <v/>
      </c>
      <c r="I125" s="5">
        <f>IF($L125="","",IF(INDEX('Per Invoice'!$I$2:$I$151,$L125)="","",INDEX('Per Invoice'!$I$2:$I$151,$L125)))</f>
        <v/>
      </c>
      <c r="J125" s="5">
        <f>IF($L125="","",IF(INDEX('Per Invoice'!$J$2:$J$151,$L125)="","",INDEX('Per Invoice'!$J$2:$J$151,$L125)))</f>
        <v/>
      </c>
      <c r="K125">
        <f>IF($L125="","",IF(INDEX('Per Invoice'!$K$2:$K$151,$L125)="","",INDEX('Per Invoice'!$K$2:$K$151,$L125)))</f>
        <v/>
      </c>
      <c r="L125">
        <f>IF(ROWS($L$2:$L125)&lt;=COUNT('Per Invoice'!$M$2:$M$151),MATCH(ROWS($L$2:$L125),'Per Invoice'!$M$2:$M$151,0),"")</f>
        <v/>
      </c>
    </row>
    <row r="126">
      <c r="A126">
        <f>IF($L126="","",IF(INDEX('Per Invoice'!$A$2:$A$151,$L126)="","",INDEX('Per Invoice'!$A$2:$A$151,$L126)))</f>
        <v/>
      </c>
      <c r="B126">
        <f>IF($L126="","",IF(INDEX('Per Invoice'!$B$2:$B$151,$L126)="","",INDEX('Per Invoice'!$B$2:$B$151,$L126)))</f>
        <v/>
      </c>
      <c r="C126">
        <f>IF($L126="","",IF(INDEX('Per Invoice'!$C$2:$C$151,$L126)="","",INDEX('Per Invoice'!$C$2:$C$151,$L126)))</f>
        <v/>
      </c>
      <c r="D126">
        <f>IF($L126="","",IF(INDEX('Per Invoice'!$D$2:$D$151,$L126)="","",INDEX('Per Invoice'!$D$2:$D$151,$L126)))</f>
        <v/>
      </c>
      <c r="E126">
        <f>IF($L126="","",IF(INDEX('Per Invoice'!$E$2:$E$151,$L126)="","",INDEX('Per Invoice'!$E$2:$E$151,$L126)))</f>
        <v/>
      </c>
      <c r="F126" s="5">
        <f>IF($L126="","",IF(INDEX('Per Invoice'!$F$2:$F$151,$L126)="","",INDEX('Per Invoice'!$F$2:$F$151,$L126)))</f>
        <v/>
      </c>
      <c r="G126" s="5">
        <f>IF($L126="","",IF(INDEX('Per Invoice'!$G$2:$G$151,$L126)="","",INDEX('Per Invoice'!$G$2:$G$151,$L126)))</f>
        <v/>
      </c>
      <c r="H126" s="5">
        <f>IF($L126="","",IF(INDEX('Per Invoice'!$H$2:$H$151,$L126)="","",INDEX('Per Invoice'!$H$2:$H$151,$L126)))</f>
        <v/>
      </c>
      <c r="I126" s="5">
        <f>IF($L126="","",IF(INDEX('Per Invoice'!$I$2:$I$151,$L126)="","",INDEX('Per Invoice'!$I$2:$I$151,$L126)))</f>
        <v/>
      </c>
      <c r="J126" s="5">
        <f>IF($L126="","",IF(INDEX('Per Invoice'!$J$2:$J$151,$L126)="","",INDEX('Per Invoice'!$J$2:$J$151,$L126)))</f>
        <v/>
      </c>
      <c r="K126">
        <f>IF($L126="","",IF(INDEX('Per Invoice'!$K$2:$K$151,$L126)="","",INDEX('Per Invoice'!$K$2:$K$151,$L126)))</f>
        <v/>
      </c>
      <c r="L126">
        <f>IF(ROWS($L$2:$L126)&lt;=COUNT('Per Invoice'!$M$2:$M$151),MATCH(ROWS($L$2:$L126),'Per Invoice'!$M$2:$M$151,0),"")</f>
        <v/>
      </c>
    </row>
    <row r="127">
      <c r="A127">
        <f>IF($L127="","",IF(INDEX('Per Invoice'!$A$2:$A$151,$L127)="","",INDEX('Per Invoice'!$A$2:$A$151,$L127)))</f>
        <v/>
      </c>
      <c r="B127">
        <f>IF($L127="","",IF(INDEX('Per Invoice'!$B$2:$B$151,$L127)="","",INDEX('Per Invoice'!$B$2:$B$151,$L127)))</f>
        <v/>
      </c>
      <c r="C127">
        <f>IF($L127="","",IF(INDEX('Per Invoice'!$C$2:$C$151,$L127)="","",INDEX('Per Invoice'!$C$2:$C$151,$L127)))</f>
        <v/>
      </c>
      <c r="D127">
        <f>IF($L127="","",IF(INDEX('Per Invoice'!$D$2:$D$151,$L127)="","",INDEX('Per Invoice'!$D$2:$D$151,$L127)))</f>
        <v/>
      </c>
      <c r="E127">
        <f>IF($L127="","",IF(INDEX('Per Invoice'!$E$2:$E$151,$L127)="","",INDEX('Per Invoice'!$E$2:$E$151,$L127)))</f>
        <v/>
      </c>
      <c r="F127" s="5">
        <f>IF($L127="","",IF(INDEX('Per Invoice'!$F$2:$F$151,$L127)="","",INDEX('Per Invoice'!$F$2:$F$151,$L127)))</f>
        <v/>
      </c>
      <c r="G127" s="5">
        <f>IF($L127="","",IF(INDEX('Per Invoice'!$G$2:$G$151,$L127)="","",INDEX('Per Invoice'!$G$2:$G$151,$L127)))</f>
        <v/>
      </c>
      <c r="H127" s="5">
        <f>IF($L127="","",IF(INDEX('Per Invoice'!$H$2:$H$151,$L127)="","",INDEX('Per Invoice'!$H$2:$H$151,$L127)))</f>
        <v/>
      </c>
      <c r="I127" s="5">
        <f>IF($L127="","",IF(INDEX('Per Invoice'!$I$2:$I$151,$L127)="","",INDEX('Per Invoice'!$I$2:$I$151,$L127)))</f>
        <v/>
      </c>
      <c r="J127" s="5">
        <f>IF($L127="","",IF(INDEX('Per Invoice'!$J$2:$J$151,$L127)="","",INDEX('Per Invoice'!$J$2:$J$151,$L127)))</f>
        <v/>
      </c>
      <c r="K127">
        <f>IF($L127="","",IF(INDEX('Per Invoice'!$K$2:$K$151,$L127)="","",INDEX('Per Invoice'!$K$2:$K$151,$L127)))</f>
        <v/>
      </c>
      <c r="L127">
        <f>IF(ROWS($L$2:$L127)&lt;=COUNT('Per Invoice'!$M$2:$M$151),MATCH(ROWS($L$2:$L127),'Per Invoice'!$M$2:$M$151,0),"")</f>
        <v/>
      </c>
    </row>
    <row r="128">
      <c r="A128">
        <f>IF($L128="","",IF(INDEX('Per Invoice'!$A$2:$A$151,$L128)="","",INDEX('Per Invoice'!$A$2:$A$151,$L128)))</f>
        <v/>
      </c>
      <c r="B128">
        <f>IF($L128="","",IF(INDEX('Per Invoice'!$B$2:$B$151,$L128)="","",INDEX('Per Invoice'!$B$2:$B$151,$L128)))</f>
        <v/>
      </c>
      <c r="C128">
        <f>IF($L128="","",IF(INDEX('Per Invoice'!$C$2:$C$151,$L128)="","",INDEX('Per Invoice'!$C$2:$C$151,$L128)))</f>
        <v/>
      </c>
      <c r="D128">
        <f>IF($L128="","",IF(INDEX('Per Invoice'!$D$2:$D$151,$L128)="","",INDEX('Per Invoice'!$D$2:$D$151,$L128)))</f>
        <v/>
      </c>
      <c r="E128">
        <f>IF($L128="","",IF(INDEX('Per Invoice'!$E$2:$E$151,$L128)="","",INDEX('Per Invoice'!$E$2:$E$151,$L128)))</f>
        <v/>
      </c>
      <c r="F128" s="5">
        <f>IF($L128="","",IF(INDEX('Per Invoice'!$F$2:$F$151,$L128)="","",INDEX('Per Invoice'!$F$2:$F$151,$L128)))</f>
        <v/>
      </c>
      <c r="G128" s="5">
        <f>IF($L128="","",IF(INDEX('Per Invoice'!$G$2:$G$151,$L128)="","",INDEX('Per Invoice'!$G$2:$G$151,$L128)))</f>
        <v/>
      </c>
      <c r="H128" s="5">
        <f>IF($L128="","",IF(INDEX('Per Invoice'!$H$2:$H$151,$L128)="","",INDEX('Per Invoice'!$H$2:$H$151,$L128)))</f>
        <v/>
      </c>
      <c r="I128" s="5">
        <f>IF($L128="","",IF(INDEX('Per Invoice'!$I$2:$I$151,$L128)="","",INDEX('Per Invoice'!$I$2:$I$151,$L128)))</f>
        <v/>
      </c>
      <c r="J128" s="5">
        <f>IF($L128="","",IF(INDEX('Per Invoice'!$J$2:$J$151,$L128)="","",INDEX('Per Invoice'!$J$2:$J$151,$L128)))</f>
        <v/>
      </c>
      <c r="K128">
        <f>IF($L128="","",IF(INDEX('Per Invoice'!$K$2:$K$151,$L128)="","",INDEX('Per Invoice'!$K$2:$K$151,$L128)))</f>
        <v/>
      </c>
      <c r="L128">
        <f>IF(ROWS($L$2:$L128)&lt;=COUNT('Per Invoice'!$M$2:$M$151),MATCH(ROWS($L$2:$L128),'Per Invoice'!$M$2:$M$151,0),"")</f>
        <v/>
      </c>
    </row>
    <row r="129">
      <c r="A129">
        <f>IF($L129="","",IF(INDEX('Per Invoice'!$A$2:$A$151,$L129)="","",INDEX('Per Invoice'!$A$2:$A$151,$L129)))</f>
        <v/>
      </c>
      <c r="B129">
        <f>IF($L129="","",IF(INDEX('Per Invoice'!$B$2:$B$151,$L129)="","",INDEX('Per Invoice'!$B$2:$B$151,$L129)))</f>
        <v/>
      </c>
      <c r="C129">
        <f>IF($L129="","",IF(INDEX('Per Invoice'!$C$2:$C$151,$L129)="","",INDEX('Per Invoice'!$C$2:$C$151,$L129)))</f>
        <v/>
      </c>
      <c r="D129">
        <f>IF($L129="","",IF(INDEX('Per Invoice'!$D$2:$D$151,$L129)="","",INDEX('Per Invoice'!$D$2:$D$151,$L129)))</f>
        <v/>
      </c>
      <c r="E129">
        <f>IF($L129="","",IF(INDEX('Per Invoice'!$E$2:$E$151,$L129)="","",INDEX('Per Invoice'!$E$2:$E$151,$L129)))</f>
        <v/>
      </c>
      <c r="F129" s="5">
        <f>IF($L129="","",IF(INDEX('Per Invoice'!$F$2:$F$151,$L129)="","",INDEX('Per Invoice'!$F$2:$F$151,$L129)))</f>
        <v/>
      </c>
      <c r="G129" s="5">
        <f>IF($L129="","",IF(INDEX('Per Invoice'!$G$2:$G$151,$L129)="","",INDEX('Per Invoice'!$G$2:$G$151,$L129)))</f>
        <v/>
      </c>
      <c r="H129" s="5">
        <f>IF($L129="","",IF(INDEX('Per Invoice'!$H$2:$H$151,$L129)="","",INDEX('Per Invoice'!$H$2:$H$151,$L129)))</f>
        <v/>
      </c>
      <c r="I129" s="5">
        <f>IF($L129="","",IF(INDEX('Per Invoice'!$I$2:$I$151,$L129)="","",INDEX('Per Invoice'!$I$2:$I$151,$L129)))</f>
        <v/>
      </c>
      <c r="J129" s="5">
        <f>IF($L129="","",IF(INDEX('Per Invoice'!$J$2:$J$151,$L129)="","",INDEX('Per Invoice'!$J$2:$J$151,$L129)))</f>
        <v/>
      </c>
      <c r="K129">
        <f>IF($L129="","",IF(INDEX('Per Invoice'!$K$2:$K$151,$L129)="","",INDEX('Per Invoice'!$K$2:$K$151,$L129)))</f>
        <v/>
      </c>
      <c r="L129">
        <f>IF(ROWS($L$2:$L129)&lt;=COUNT('Per Invoice'!$M$2:$M$151),MATCH(ROWS($L$2:$L129),'Per Invoice'!$M$2:$M$151,0),"")</f>
        <v/>
      </c>
    </row>
    <row r="130">
      <c r="A130">
        <f>IF($L130="","",IF(INDEX('Per Invoice'!$A$2:$A$151,$L130)="","",INDEX('Per Invoice'!$A$2:$A$151,$L130)))</f>
        <v/>
      </c>
      <c r="B130">
        <f>IF($L130="","",IF(INDEX('Per Invoice'!$B$2:$B$151,$L130)="","",INDEX('Per Invoice'!$B$2:$B$151,$L130)))</f>
        <v/>
      </c>
      <c r="C130">
        <f>IF($L130="","",IF(INDEX('Per Invoice'!$C$2:$C$151,$L130)="","",INDEX('Per Invoice'!$C$2:$C$151,$L130)))</f>
        <v/>
      </c>
      <c r="D130">
        <f>IF($L130="","",IF(INDEX('Per Invoice'!$D$2:$D$151,$L130)="","",INDEX('Per Invoice'!$D$2:$D$151,$L130)))</f>
        <v/>
      </c>
      <c r="E130">
        <f>IF($L130="","",IF(INDEX('Per Invoice'!$E$2:$E$151,$L130)="","",INDEX('Per Invoice'!$E$2:$E$151,$L130)))</f>
        <v/>
      </c>
      <c r="F130" s="5">
        <f>IF($L130="","",IF(INDEX('Per Invoice'!$F$2:$F$151,$L130)="","",INDEX('Per Invoice'!$F$2:$F$151,$L130)))</f>
        <v/>
      </c>
      <c r="G130" s="5">
        <f>IF($L130="","",IF(INDEX('Per Invoice'!$G$2:$G$151,$L130)="","",INDEX('Per Invoice'!$G$2:$G$151,$L130)))</f>
        <v/>
      </c>
      <c r="H130" s="5">
        <f>IF($L130="","",IF(INDEX('Per Invoice'!$H$2:$H$151,$L130)="","",INDEX('Per Invoice'!$H$2:$H$151,$L130)))</f>
        <v/>
      </c>
      <c r="I130" s="5">
        <f>IF($L130="","",IF(INDEX('Per Invoice'!$I$2:$I$151,$L130)="","",INDEX('Per Invoice'!$I$2:$I$151,$L130)))</f>
        <v/>
      </c>
      <c r="J130" s="5">
        <f>IF($L130="","",IF(INDEX('Per Invoice'!$J$2:$J$151,$L130)="","",INDEX('Per Invoice'!$J$2:$J$151,$L130)))</f>
        <v/>
      </c>
      <c r="K130">
        <f>IF($L130="","",IF(INDEX('Per Invoice'!$K$2:$K$151,$L130)="","",INDEX('Per Invoice'!$K$2:$K$151,$L130)))</f>
        <v/>
      </c>
      <c r="L130">
        <f>IF(ROWS($L$2:$L130)&lt;=COUNT('Per Invoice'!$M$2:$M$151),MATCH(ROWS($L$2:$L130),'Per Invoice'!$M$2:$M$151,0),"")</f>
        <v/>
      </c>
    </row>
    <row r="131">
      <c r="A131">
        <f>IF($L131="","",IF(INDEX('Per Invoice'!$A$2:$A$151,$L131)="","",INDEX('Per Invoice'!$A$2:$A$151,$L131)))</f>
        <v/>
      </c>
      <c r="B131">
        <f>IF($L131="","",IF(INDEX('Per Invoice'!$B$2:$B$151,$L131)="","",INDEX('Per Invoice'!$B$2:$B$151,$L131)))</f>
        <v/>
      </c>
      <c r="C131">
        <f>IF($L131="","",IF(INDEX('Per Invoice'!$C$2:$C$151,$L131)="","",INDEX('Per Invoice'!$C$2:$C$151,$L131)))</f>
        <v/>
      </c>
      <c r="D131">
        <f>IF($L131="","",IF(INDEX('Per Invoice'!$D$2:$D$151,$L131)="","",INDEX('Per Invoice'!$D$2:$D$151,$L131)))</f>
        <v/>
      </c>
      <c r="E131">
        <f>IF($L131="","",IF(INDEX('Per Invoice'!$E$2:$E$151,$L131)="","",INDEX('Per Invoice'!$E$2:$E$151,$L131)))</f>
        <v/>
      </c>
      <c r="F131" s="5">
        <f>IF($L131="","",IF(INDEX('Per Invoice'!$F$2:$F$151,$L131)="","",INDEX('Per Invoice'!$F$2:$F$151,$L131)))</f>
        <v/>
      </c>
      <c r="G131" s="5">
        <f>IF($L131="","",IF(INDEX('Per Invoice'!$G$2:$G$151,$L131)="","",INDEX('Per Invoice'!$G$2:$G$151,$L131)))</f>
        <v/>
      </c>
      <c r="H131" s="5">
        <f>IF($L131="","",IF(INDEX('Per Invoice'!$H$2:$H$151,$L131)="","",INDEX('Per Invoice'!$H$2:$H$151,$L131)))</f>
        <v/>
      </c>
      <c r="I131" s="5">
        <f>IF($L131="","",IF(INDEX('Per Invoice'!$I$2:$I$151,$L131)="","",INDEX('Per Invoice'!$I$2:$I$151,$L131)))</f>
        <v/>
      </c>
      <c r="J131" s="5">
        <f>IF($L131="","",IF(INDEX('Per Invoice'!$J$2:$J$151,$L131)="","",INDEX('Per Invoice'!$J$2:$J$151,$L131)))</f>
        <v/>
      </c>
      <c r="K131">
        <f>IF($L131="","",IF(INDEX('Per Invoice'!$K$2:$K$151,$L131)="","",INDEX('Per Invoice'!$K$2:$K$151,$L131)))</f>
        <v/>
      </c>
      <c r="L131">
        <f>IF(ROWS($L$2:$L131)&lt;=COUNT('Per Invoice'!$M$2:$M$151),MATCH(ROWS($L$2:$L131),'Per Invoice'!$M$2:$M$151,0),"")</f>
        <v/>
      </c>
    </row>
    <row r="132">
      <c r="A132">
        <f>IF($L132="","",IF(INDEX('Per Invoice'!$A$2:$A$151,$L132)="","",INDEX('Per Invoice'!$A$2:$A$151,$L132)))</f>
        <v/>
      </c>
      <c r="B132">
        <f>IF($L132="","",IF(INDEX('Per Invoice'!$B$2:$B$151,$L132)="","",INDEX('Per Invoice'!$B$2:$B$151,$L132)))</f>
        <v/>
      </c>
      <c r="C132">
        <f>IF($L132="","",IF(INDEX('Per Invoice'!$C$2:$C$151,$L132)="","",INDEX('Per Invoice'!$C$2:$C$151,$L132)))</f>
        <v/>
      </c>
      <c r="D132">
        <f>IF($L132="","",IF(INDEX('Per Invoice'!$D$2:$D$151,$L132)="","",INDEX('Per Invoice'!$D$2:$D$151,$L132)))</f>
        <v/>
      </c>
      <c r="E132">
        <f>IF($L132="","",IF(INDEX('Per Invoice'!$E$2:$E$151,$L132)="","",INDEX('Per Invoice'!$E$2:$E$151,$L132)))</f>
        <v/>
      </c>
      <c r="F132" s="5">
        <f>IF($L132="","",IF(INDEX('Per Invoice'!$F$2:$F$151,$L132)="","",INDEX('Per Invoice'!$F$2:$F$151,$L132)))</f>
        <v/>
      </c>
      <c r="G132" s="5">
        <f>IF($L132="","",IF(INDEX('Per Invoice'!$G$2:$G$151,$L132)="","",INDEX('Per Invoice'!$G$2:$G$151,$L132)))</f>
        <v/>
      </c>
      <c r="H132" s="5">
        <f>IF($L132="","",IF(INDEX('Per Invoice'!$H$2:$H$151,$L132)="","",INDEX('Per Invoice'!$H$2:$H$151,$L132)))</f>
        <v/>
      </c>
      <c r="I132" s="5">
        <f>IF($L132="","",IF(INDEX('Per Invoice'!$I$2:$I$151,$L132)="","",INDEX('Per Invoice'!$I$2:$I$151,$L132)))</f>
        <v/>
      </c>
      <c r="J132" s="5">
        <f>IF($L132="","",IF(INDEX('Per Invoice'!$J$2:$J$151,$L132)="","",INDEX('Per Invoice'!$J$2:$J$151,$L132)))</f>
        <v/>
      </c>
      <c r="K132">
        <f>IF($L132="","",IF(INDEX('Per Invoice'!$K$2:$K$151,$L132)="","",INDEX('Per Invoice'!$K$2:$K$151,$L132)))</f>
        <v/>
      </c>
      <c r="L132">
        <f>IF(ROWS($L$2:$L132)&lt;=COUNT('Per Invoice'!$M$2:$M$151),MATCH(ROWS($L$2:$L132),'Per Invoice'!$M$2:$M$151,0),"")</f>
        <v/>
      </c>
    </row>
    <row r="133">
      <c r="A133">
        <f>IF($L133="","",IF(INDEX('Per Invoice'!$A$2:$A$151,$L133)="","",INDEX('Per Invoice'!$A$2:$A$151,$L133)))</f>
        <v/>
      </c>
      <c r="B133">
        <f>IF($L133="","",IF(INDEX('Per Invoice'!$B$2:$B$151,$L133)="","",INDEX('Per Invoice'!$B$2:$B$151,$L133)))</f>
        <v/>
      </c>
      <c r="C133">
        <f>IF($L133="","",IF(INDEX('Per Invoice'!$C$2:$C$151,$L133)="","",INDEX('Per Invoice'!$C$2:$C$151,$L133)))</f>
        <v/>
      </c>
      <c r="D133">
        <f>IF($L133="","",IF(INDEX('Per Invoice'!$D$2:$D$151,$L133)="","",INDEX('Per Invoice'!$D$2:$D$151,$L133)))</f>
        <v/>
      </c>
      <c r="E133">
        <f>IF($L133="","",IF(INDEX('Per Invoice'!$E$2:$E$151,$L133)="","",INDEX('Per Invoice'!$E$2:$E$151,$L133)))</f>
        <v/>
      </c>
      <c r="F133" s="5">
        <f>IF($L133="","",IF(INDEX('Per Invoice'!$F$2:$F$151,$L133)="","",INDEX('Per Invoice'!$F$2:$F$151,$L133)))</f>
        <v/>
      </c>
      <c r="G133" s="5">
        <f>IF($L133="","",IF(INDEX('Per Invoice'!$G$2:$G$151,$L133)="","",INDEX('Per Invoice'!$G$2:$G$151,$L133)))</f>
        <v/>
      </c>
      <c r="H133" s="5">
        <f>IF($L133="","",IF(INDEX('Per Invoice'!$H$2:$H$151,$L133)="","",INDEX('Per Invoice'!$H$2:$H$151,$L133)))</f>
        <v/>
      </c>
      <c r="I133" s="5">
        <f>IF($L133="","",IF(INDEX('Per Invoice'!$I$2:$I$151,$L133)="","",INDEX('Per Invoice'!$I$2:$I$151,$L133)))</f>
        <v/>
      </c>
      <c r="J133" s="5">
        <f>IF($L133="","",IF(INDEX('Per Invoice'!$J$2:$J$151,$L133)="","",INDEX('Per Invoice'!$J$2:$J$151,$L133)))</f>
        <v/>
      </c>
      <c r="K133">
        <f>IF($L133="","",IF(INDEX('Per Invoice'!$K$2:$K$151,$L133)="","",INDEX('Per Invoice'!$K$2:$K$151,$L133)))</f>
        <v/>
      </c>
      <c r="L133">
        <f>IF(ROWS($L$2:$L133)&lt;=COUNT('Per Invoice'!$M$2:$M$151),MATCH(ROWS($L$2:$L133),'Per Invoice'!$M$2:$M$151,0),"")</f>
        <v/>
      </c>
    </row>
    <row r="134">
      <c r="A134">
        <f>IF($L134="","",IF(INDEX('Per Invoice'!$A$2:$A$151,$L134)="","",INDEX('Per Invoice'!$A$2:$A$151,$L134)))</f>
        <v/>
      </c>
      <c r="B134">
        <f>IF($L134="","",IF(INDEX('Per Invoice'!$B$2:$B$151,$L134)="","",INDEX('Per Invoice'!$B$2:$B$151,$L134)))</f>
        <v/>
      </c>
      <c r="C134">
        <f>IF($L134="","",IF(INDEX('Per Invoice'!$C$2:$C$151,$L134)="","",INDEX('Per Invoice'!$C$2:$C$151,$L134)))</f>
        <v/>
      </c>
      <c r="D134">
        <f>IF($L134="","",IF(INDEX('Per Invoice'!$D$2:$D$151,$L134)="","",INDEX('Per Invoice'!$D$2:$D$151,$L134)))</f>
        <v/>
      </c>
      <c r="E134">
        <f>IF($L134="","",IF(INDEX('Per Invoice'!$E$2:$E$151,$L134)="","",INDEX('Per Invoice'!$E$2:$E$151,$L134)))</f>
        <v/>
      </c>
      <c r="F134" s="5">
        <f>IF($L134="","",IF(INDEX('Per Invoice'!$F$2:$F$151,$L134)="","",INDEX('Per Invoice'!$F$2:$F$151,$L134)))</f>
        <v/>
      </c>
      <c r="G134" s="5">
        <f>IF($L134="","",IF(INDEX('Per Invoice'!$G$2:$G$151,$L134)="","",INDEX('Per Invoice'!$G$2:$G$151,$L134)))</f>
        <v/>
      </c>
      <c r="H134" s="5">
        <f>IF($L134="","",IF(INDEX('Per Invoice'!$H$2:$H$151,$L134)="","",INDEX('Per Invoice'!$H$2:$H$151,$L134)))</f>
        <v/>
      </c>
      <c r="I134" s="5">
        <f>IF($L134="","",IF(INDEX('Per Invoice'!$I$2:$I$151,$L134)="","",INDEX('Per Invoice'!$I$2:$I$151,$L134)))</f>
        <v/>
      </c>
      <c r="J134" s="5">
        <f>IF($L134="","",IF(INDEX('Per Invoice'!$J$2:$J$151,$L134)="","",INDEX('Per Invoice'!$J$2:$J$151,$L134)))</f>
        <v/>
      </c>
      <c r="K134">
        <f>IF($L134="","",IF(INDEX('Per Invoice'!$K$2:$K$151,$L134)="","",INDEX('Per Invoice'!$K$2:$K$151,$L134)))</f>
        <v/>
      </c>
      <c r="L134">
        <f>IF(ROWS($L$2:$L134)&lt;=COUNT('Per Invoice'!$M$2:$M$151),MATCH(ROWS($L$2:$L134),'Per Invoice'!$M$2:$M$151,0),"")</f>
        <v/>
      </c>
    </row>
    <row r="135">
      <c r="A135">
        <f>IF($L135="","",IF(INDEX('Per Invoice'!$A$2:$A$151,$L135)="","",INDEX('Per Invoice'!$A$2:$A$151,$L135)))</f>
        <v/>
      </c>
      <c r="B135">
        <f>IF($L135="","",IF(INDEX('Per Invoice'!$B$2:$B$151,$L135)="","",INDEX('Per Invoice'!$B$2:$B$151,$L135)))</f>
        <v/>
      </c>
      <c r="C135">
        <f>IF($L135="","",IF(INDEX('Per Invoice'!$C$2:$C$151,$L135)="","",INDEX('Per Invoice'!$C$2:$C$151,$L135)))</f>
        <v/>
      </c>
      <c r="D135">
        <f>IF($L135="","",IF(INDEX('Per Invoice'!$D$2:$D$151,$L135)="","",INDEX('Per Invoice'!$D$2:$D$151,$L135)))</f>
        <v/>
      </c>
      <c r="E135">
        <f>IF($L135="","",IF(INDEX('Per Invoice'!$E$2:$E$151,$L135)="","",INDEX('Per Invoice'!$E$2:$E$151,$L135)))</f>
        <v/>
      </c>
      <c r="F135" s="5">
        <f>IF($L135="","",IF(INDEX('Per Invoice'!$F$2:$F$151,$L135)="","",INDEX('Per Invoice'!$F$2:$F$151,$L135)))</f>
        <v/>
      </c>
      <c r="G135" s="5">
        <f>IF($L135="","",IF(INDEX('Per Invoice'!$G$2:$G$151,$L135)="","",INDEX('Per Invoice'!$G$2:$G$151,$L135)))</f>
        <v/>
      </c>
      <c r="H135" s="5">
        <f>IF($L135="","",IF(INDEX('Per Invoice'!$H$2:$H$151,$L135)="","",INDEX('Per Invoice'!$H$2:$H$151,$L135)))</f>
        <v/>
      </c>
      <c r="I135" s="5">
        <f>IF($L135="","",IF(INDEX('Per Invoice'!$I$2:$I$151,$L135)="","",INDEX('Per Invoice'!$I$2:$I$151,$L135)))</f>
        <v/>
      </c>
      <c r="J135" s="5">
        <f>IF($L135="","",IF(INDEX('Per Invoice'!$J$2:$J$151,$L135)="","",INDEX('Per Invoice'!$J$2:$J$151,$L135)))</f>
        <v/>
      </c>
      <c r="K135">
        <f>IF($L135="","",IF(INDEX('Per Invoice'!$K$2:$K$151,$L135)="","",INDEX('Per Invoice'!$K$2:$K$151,$L135)))</f>
        <v/>
      </c>
      <c r="L135">
        <f>IF(ROWS($L$2:$L135)&lt;=COUNT('Per Invoice'!$M$2:$M$151),MATCH(ROWS($L$2:$L135),'Per Invoice'!$M$2:$M$151,0),"")</f>
        <v/>
      </c>
    </row>
    <row r="136">
      <c r="A136">
        <f>IF($L136="","",IF(INDEX('Per Invoice'!$A$2:$A$151,$L136)="","",INDEX('Per Invoice'!$A$2:$A$151,$L136)))</f>
        <v/>
      </c>
      <c r="B136">
        <f>IF($L136="","",IF(INDEX('Per Invoice'!$B$2:$B$151,$L136)="","",INDEX('Per Invoice'!$B$2:$B$151,$L136)))</f>
        <v/>
      </c>
      <c r="C136">
        <f>IF($L136="","",IF(INDEX('Per Invoice'!$C$2:$C$151,$L136)="","",INDEX('Per Invoice'!$C$2:$C$151,$L136)))</f>
        <v/>
      </c>
      <c r="D136">
        <f>IF($L136="","",IF(INDEX('Per Invoice'!$D$2:$D$151,$L136)="","",INDEX('Per Invoice'!$D$2:$D$151,$L136)))</f>
        <v/>
      </c>
      <c r="E136">
        <f>IF($L136="","",IF(INDEX('Per Invoice'!$E$2:$E$151,$L136)="","",INDEX('Per Invoice'!$E$2:$E$151,$L136)))</f>
        <v/>
      </c>
      <c r="F136" s="5">
        <f>IF($L136="","",IF(INDEX('Per Invoice'!$F$2:$F$151,$L136)="","",INDEX('Per Invoice'!$F$2:$F$151,$L136)))</f>
        <v/>
      </c>
      <c r="G136" s="5">
        <f>IF($L136="","",IF(INDEX('Per Invoice'!$G$2:$G$151,$L136)="","",INDEX('Per Invoice'!$G$2:$G$151,$L136)))</f>
        <v/>
      </c>
      <c r="H136" s="5">
        <f>IF($L136="","",IF(INDEX('Per Invoice'!$H$2:$H$151,$L136)="","",INDEX('Per Invoice'!$H$2:$H$151,$L136)))</f>
        <v/>
      </c>
      <c r="I136" s="5">
        <f>IF($L136="","",IF(INDEX('Per Invoice'!$I$2:$I$151,$L136)="","",INDEX('Per Invoice'!$I$2:$I$151,$L136)))</f>
        <v/>
      </c>
      <c r="J136" s="5">
        <f>IF($L136="","",IF(INDEX('Per Invoice'!$J$2:$J$151,$L136)="","",INDEX('Per Invoice'!$J$2:$J$151,$L136)))</f>
        <v/>
      </c>
      <c r="K136">
        <f>IF($L136="","",IF(INDEX('Per Invoice'!$K$2:$K$151,$L136)="","",INDEX('Per Invoice'!$K$2:$K$151,$L136)))</f>
        <v/>
      </c>
      <c r="L136">
        <f>IF(ROWS($L$2:$L136)&lt;=COUNT('Per Invoice'!$M$2:$M$151),MATCH(ROWS($L$2:$L136),'Per Invoice'!$M$2:$M$151,0),"")</f>
        <v/>
      </c>
    </row>
    <row r="137">
      <c r="A137">
        <f>IF($L137="","",IF(INDEX('Per Invoice'!$A$2:$A$151,$L137)="","",INDEX('Per Invoice'!$A$2:$A$151,$L137)))</f>
        <v/>
      </c>
      <c r="B137">
        <f>IF($L137="","",IF(INDEX('Per Invoice'!$B$2:$B$151,$L137)="","",INDEX('Per Invoice'!$B$2:$B$151,$L137)))</f>
        <v/>
      </c>
      <c r="C137">
        <f>IF($L137="","",IF(INDEX('Per Invoice'!$C$2:$C$151,$L137)="","",INDEX('Per Invoice'!$C$2:$C$151,$L137)))</f>
        <v/>
      </c>
      <c r="D137">
        <f>IF($L137="","",IF(INDEX('Per Invoice'!$D$2:$D$151,$L137)="","",INDEX('Per Invoice'!$D$2:$D$151,$L137)))</f>
        <v/>
      </c>
      <c r="E137">
        <f>IF($L137="","",IF(INDEX('Per Invoice'!$E$2:$E$151,$L137)="","",INDEX('Per Invoice'!$E$2:$E$151,$L137)))</f>
        <v/>
      </c>
      <c r="F137" s="5">
        <f>IF($L137="","",IF(INDEX('Per Invoice'!$F$2:$F$151,$L137)="","",INDEX('Per Invoice'!$F$2:$F$151,$L137)))</f>
        <v/>
      </c>
      <c r="G137" s="5">
        <f>IF($L137="","",IF(INDEX('Per Invoice'!$G$2:$G$151,$L137)="","",INDEX('Per Invoice'!$G$2:$G$151,$L137)))</f>
        <v/>
      </c>
      <c r="H137" s="5">
        <f>IF($L137="","",IF(INDEX('Per Invoice'!$H$2:$H$151,$L137)="","",INDEX('Per Invoice'!$H$2:$H$151,$L137)))</f>
        <v/>
      </c>
      <c r="I137" s="5">
        <f>IF($L137="","",IF(INDEX('Per Invoice'!$I$2:$I$151,$L137)="","",INDEX('Per Invoice'!$I$2:$I$151,$L137)))</f>
        <v/>
      </c>
      <c r="J137" s="5">
        <f>IF($L137="","",IF(INDEX('Per Invoice'!$J$2:$J$151,$L137)="","",INDEX('Per Invoice'!$J$2:$J$151,$L137)))</f>
        <v/>
      </c>
      <c r="K137">
        <f>IF($L137="","",IF(INDEX('Per Invoice'!$K$2:$K$151,$L137)="","",INDEX('Per Invoice'!$K$2:$K$151,$L137)))</f>
        <v/>
      </c>
      <c r="L137">
        <f>IF(ROWS($L$2:$L137)&lt;=COUNT('Per Invoice'!$M$2:$M$151),MATCH(ROWS($L$2:$L137),'Per Invoice'!$M$2:$M$151,0),"")</f>
        <v/>
      </c>
    </row>
    <row r="138">
      <c r="A138">
        <f>IF($L138="","",IF(INDEX('Per Invoice'!$A$2:$A$151,$L138)="","",INDEX('Per Invoice'!$A$2:$A$151,$L138)))</f>
        <v/>
      </c>
      <c r="B138">
        <f>IF($L138="","",IF(INDEX('Per Invoice'!$B$2:$B$151,$L138)="","",INDEX('Per Invoice'!$B$2:$B$151,$L138)))</f>
        <v/>
      </c>
      <c r="C138">
        <f>IF($L138="","",IF(INDEX('Per Invoice'!$C$2:$C$151,$L138)="","",INDEX('Per Invoice'!$C$2:$C$151,$L138)))</f>
        <v/>
      </c>
      <c r="D138">
        <f>IF($L138="","",IF(INDEX('Per Invoice'!$D$2:$D$151,$L138)="","",INDEX('Per Invoice'!$D$2:$D$151,$L138)))</f>
        <v/>
      </c>
      <c r="E138">
        <f>IF($L138="","",IF(INDEX('Per Invoice'!$E$2:$E$151,$L138)="","",INDEX('Per Invoice'!$E$2:$E$151,$L138)))</f>
        <v/>
      </c>
      <c r="F138" s="5">
        <f>IF($L138="","",IF(INDEX('Per Invoice'!$F$2:$F$151,$L138)="","",INDEX('Per Invoice'!$F$2:$F$151,$L138)))</f>
        <v/>
      </c>
      <c r="G138" s="5">
        <f>IF($L138="","",IF(INDEX('Per Invoice'!$G$2:$G$151,$L138)="","",INDEX('Per Invoice'!$G$2:$G$151,$L138)))</f>
        <v/>
      </c>
      <c r="H138" s="5">
        <f>IF($L138="","",IF(INDEX('Per Invoice'!$H$2:$H$151,$L138)="","",INDEX('Per Invoice'!$H$2:$H$151,$L138)))</f>
        <v/>
      </c>
      <c r="I138" s="5">
        <f>IF($L138="","",IF(INDEX('Per Invoice'!$I$2:$I$151,$L138)="","",INDEX('Per Invoice'!$I$2:$I$151,$L138)))</f>
        <v/>
      </c>
      <c r="J138" s="5">
        <f>IF($L138="","",IF(INDEX('Per Invoice'!$J$2:$J$151,$L138)="","",INDEX('Per Invoice'!$J$2:$J$151,$L138)))</f>
        <v/>
      </c>
      <c r="K138">
        <f>IF($L138="","",IF(INDEX('Per Invoice'!$K$2:$K$151,$L138)="","",INDEX('Per Invoice'!$K$2:$K$151,$L138)))</f>
        <v/>
      </c>
      <c r="L138">
        <f>IF(ROWS($L$2:$L138)&lt;=COUNT('Per Invoice'!$M$2:$M$151),MATCH(ROWS($L$2:$L138),'Per Invoice'!$M$2:$M$151,0),"")</f>
        <v/>
      </c>
    </row>
    <row r="139">
      <c r="A139">
        <f>IF($L139="","",IF(INDEX('Per Invoice'!$A$2:$A$151,$L139)="","",INDEX('Per Invoice'!$A$2:$A$151,$L139)))</f>
        <v/>
      </c>
      <c r="B139">
        <f>IF($L139="","",IF(INDEX('Per Invoice'!$B$2:$B$151,$L139)="","",INDEX('Per Invoice'!$B$2:$B$151,$L139)))</f>
        <v/>
      </c>
      <c r="C139">
        <f>IF($L139="","",IF(INDEX('Per Invoice'!$C$2:$C$151,$L139)="","",INDEX('Per Invoice'!$C$2:$C$151,$L139)))</f>
        <v/>
      </c>
      <c r="D139">
        <f>IF($L139="","",IF(INDEX('Per Invoice'!$D$2:$D$151,$L139)="","",INDEX('Per Invoice'!$D$2:$D$151,$L139)))</f>
        <v/>
      </c>
      <c r="E139">
        <f>IF($L139="","",IF(INDEX('Per Invoice'!$E$2:$E$151,$L139)="","",INDEX('Per Invoice'!$E$2:$E$151,$L139)))</f>
        <v/>
      </c>
      <c r="F139" s="5">
        <f>IF($L139="","",IF(INDEX('Per Invoice'!$F$2:$F$151,$L139)="","",INDEX('Per Invoice'!$F$2:$F$151,$L139)))</f>
        <v/>
      </c>
      <c r="G139" s="5">
        <f>IF($L139="","",IF(INDEX('Per Invoice'!$G$2:$G$151,$L139)="","",INDEX('Per Invoice'!$G$2:$G$151,$L139)))</f>
        <v/>
      </c>
      <c r="H139" s="5">
        <f>IF($L139="","",IF(INDEX('Per Invoice'!$H$2:$H$151,$L139)="","",INDEX('Per Invoice'!$H$2:$H$151,$L139)))</f>
        <v/>
      </c>
      <c r="I139" s="5">
        <f>IF($L139="","",IF(INDEX('Per Invoice'!$I$2:$I$151,$L139)="","",INDEX('Per Invoice'!$I$2:$I$151,$L139)))</f>
        <v/>
      </c>
      <c r="J139" s="5">
        <f>IF($L139="","",IF(INDEX('Per Invoice'!$J$2:$J$151,$L139)="","",INDEX('Per Invoice'!$J$2:$J$151,$L139)))</f>
        <v/>
      </c>
      <c r="K139">
        <f>IF($L139="","",IF(INDEX('Per Invoice'!$K$2:$K$151,$L139)="","",INDEX('Per Invoice'!$K$2:$K$151,$L139)))</f>
        <v/>
      </c>
      <c r="L139">
        <f>IF(ROWS($L$2:$L139)&lt;=COUNT('Per Invoice'!$M$2:$M$151),MATCH(ROWS($L$2:$L139),'Per Invoice'!$M$2:$M$151,0),"")</f>
        <v/>
      </c>
    </row>
    <row r="140">
      <c r="A140">
        <f>IF($L140="","",IF(INDEX('Per Invoice'!$A$2:$A$151,$L140)="","",INDEX('Per Invoice'!$A$2:$A$151,$L140)))</f>
        <v/>
      </c>
      <c r="B140">
        <f>IF($L140="","",IF(INDEX('Per Invoice'!$B$2:$B$151,$L140)="","",INDEX('Per Invoice'!$B$2:$B$151,$L140)))</f>
        <v/>
      </c>
      <c r="C140">
        <f>IF($L140="","",IF(INDEX('Per Invoice'!$C$2:$C$151,$L140)="","",INDEX('Per Invoice'!$C$2:$C$151,$L140)))</f>
        <v/>
      </c>
      <c r="D140">
        <f>IF($L140="","",IF(INDEX('Per Invoice'!$D$2:$D$151,$L140)="","",INDEX('Per Invoice'!$D$2:$D$151,$L140)))</f>
        <v/>
      </c>
      <c r="E140">
        <f>IF($L140="","",IF(INDEX('Per Invoice'!$E$2:$E$151,$L140)="","",INDEX('Per Invoice'!$E$2:$E$151,$L140)))</f>
        <v/>
      </c>
      <c r="F140" s="5">
        <f>IF($L140="","",IF(INDEX('Per Invoice'!$F$2:$F$151,$L140)="","",INDEX('Per Invoice'!$F$2:$F$151,$L140)))</f>
        <v/>
      </c>
      <c r="G140" s="5">
        <f>IF($L140="","",IF(INDEX('Per Invoice'!$G$2:$G$151,$L140)="","",INDEX('Per Invoice'!$G$2:$G$151,$L140)))</f>
        <v/>
      </c>
      <c r="H140" s="5">
        <f>IF($L140="","",IF(INDEX('Per Invoice'!$H$2:$H$151,$L140)="","",INDEX('Per Invoice'!$H$2:$H$151,$L140)))</f>
        <v/>
      </c>
      <c r="I140" s="5">
        <f>IF($L140="","",IF(INDEX('Per Invoice'!$I$2:$I$151,$L140)="","",INDEX('Per Invoice'!$I$2:$I$151,$L140)))</f>
        <v/>
      </c>
      <c r="J140" s="5">
        <f>IF($L140="","",IF(INDEX('Per Invoice'!$J$2:$J$151,$L140)="","",INDEX('Per Invoice'!$J$2:$J$151,$L140)))</f>
        <v/>
      </c>
      <c r="K140">
        <f>IF($L140="","",IF(INDEX('Per Invoice'!$K$2:$K$151,$L140)="","",INDEX('Per Invoice'!$K$2:$K$151,$L140)))</f>
        <v/>
      </c>
      <c r="L140">
        <f>IF(ROWS($L$2:$L140)&lt;=COUNT('Per Invoice'!$M$2:$M$151),MATCH(ROWS($L$2:$L140),'Per Invoice'!$M$2:$M$151,0),"")</f>
        <v/>
      </c>
    </row>
    <row r="141">
      <c r="A141">
        <f>IF($L141="","",IF(INDEX('Per Invoice'!$A$2:$A$151,$L141)="","",INDEX('Per Invoice'!$A$2:$A$151,$L141)))</f>
        <v/>
      </c>
      <c r="B141">
        <f>IF($L141="","",IF(INDEX('Per Invoice'!$B$2:$B$151,$L141)="","",INDEX('Per Invoice'!$B$2:$B$151,$L141)))</f>
        <v/>
      </c>
      <c r="C141">
        <f>IF($L141="","",IF(INDEX('Per Invoice'!$C$2:$C$151,$L141)="","",INDEX('Per Invoice'!$C$2:$C$151,$L141)))</f>
        <v/>
      </c>
      <c r="D141">
        <f>IF($L141="","",IF(INDEX('Per Invoice'!$D$2:$D$151,$L141)="","",INDEX('Per Invoice'!$D$2:$D$151,$L141)))</f>
        <v/>
      </c>
      <c r="E141">
        <f>IF($L141="","",IF(INDEX('Per Invoice'!$E$2:$E$151,$L141)="","",INDEX('Per Invoice'!$E$2:$E$151,$L141)))</f>
        <v/>
      </c>
      <c r="F141" s="5">
        <f>IF($L141="","",IF(INDEX('Per Invoice'!$F$2:$F$151,$L141)="","",INDEX('Per Invoice'!$F$2:$F$151,$L141)))</f>
        <v/>
      </c>
      <c r="G141" s="5">
        <f>IF($L141="","",IF(INDEX('Per Invoice'!$G$2:$G$151,$L141)="","",INDEX('Per Invoice'!$G$2:$G$151,$L141)))</f>
        <v/>
      </c>
      <c r="H141" s="5">
        <f>IF($L141="","",IF(INDEX('Per Invoice'!$H$2:$H$151,$L141)="","",INDEX('Per Invoice'!$H$2:$H$151,$L141)))</f>
        <v/>
      </c>
      <c r="I141" s="5">
        <f>IF($L141="","",IF(INDEX('Per Invoice'!$I$2:$I$151,$L141)="","",INDEX('Per Invoice'!$I$2:$I$151,$L141)))</f>
        <v/>
      </c>
      <c r="J141" s="5">
        <f>IF($L141="","",IF(INDEX('Per Invoice'!$J$2:$J$151,$L141)="","",INDEX('Per Invoice'!$J$2:$J$151,$L141)))</f>
        <v/>
      </c>
      <c r="K141">
        <f>IF($L141="","",IF(INDEX('Per Invoice'!$K$2:$K$151,$L141)="","",INDEX('Per Invoice'!$K$2:$K$151,$L141)))</f>
        <v/>
      </c>
      <c r="L141">
        <f>IF(ROWS($L$2:$L141)&lt;=COUNT('Per Invoice'!$M$2:$M$151),MATCH(ROWS($L$2:$L141),'Per Invoice'!$M$2:$M$151,0),"")</f>
        <v/>
      </c>
    </row>
    <row r="142">
      <c r="A142">
        <f>IF($L142="","",IF(INDEX('Per Invoice'!$A$2:$A$151,$L142)="","",INDEX('Per Invoice'!$A$2:$A$151,$L142)))</f>
        <v/>
      </c>
      <c r="B142">
        <f>IF($L142="","",IF(INDEX('Per Invoice'!$B$2:$B$151,$L142)="","",INDEX('Per Invoice'!$B$2:$B$151,$L142)))</f>
        <v/>
      </c>
      <c r="C142">
        <f>IF($L142="","",IF(INDEX('Per Invoice'!$C$2:$C$151,$L142)="","",INDEX('Per Invoice'!$C$2:$C$151,$L142)))</f>
        <v/>
      </c>
      <c r="D142">
        <f>IF($L142="","",IF(INDEX('Per Invoice'!$D$2:$D$151,$L142)="","",INDEX('Per Invoice'!$D$2:$D$151,$L142)))</f>
        <v/>
      </c>
      <c r="E142">
        <f>IF($L142="","",IF(INDEX('Per Invoice'!$E$2:$E$151,$L142)="","",INDEX('Per Invoice'!$E$2:$E$151,$L142)))</f>
        <v/>
      </c>
      <c r="F142" s="5">
        <f>IF($L142="","",IF(INDEX('Per Invoice'!$F$2:$F$151,$L142)="","",INDEX('Per Invoice'!$F$2:$F$151,$L142)))</f>
        <v/>
      </c>
      <c r="G142" s="5">
        <f>IF($L142="","",IF(INDEX('Per Invoice'!$G$2:$G$151,$L142)="","",INDEX('Per Invoice'!$G$2:$G$151,$L142)))</f>
        <v/>
      </c>
      <c r="H142" s="5">
        <f>IF($L142="","",IF(INDEX('Per Invoice'!$H$2:$H$151,$L142)="","",INDEX('Per Invoice'!$H$2:$H$151,$L142)))</f>
        <v/>
      </c>
      <c r="I142" s="5">
        <f>IF($L142="","",IF(INDEX('Per Invoice'!$I$2:$I$151,$L142)="","",INDEX('Per Invoice'!$I$2:$I$151,$L142)))</f>
        <v/>
      </c>
      <c r="J142" s="5">
        <f>IF($L142="","",IF(INDEX('Per Invoice'!$J$2:$J$151,$L142)="","",INDEX('Per Invoice'!$J$2:$J$151,$L142)))</f>
        <v/>
      </c>
      <c r="K142">
        <f>IF($L142="","",IF(INDEX('Per Invoice'!$K$2:$K$151,$L142)="","",INDEX('Per Invoice'!$K$2:$K$151,$L142)))</f>
        <v/>
      </c>
      <c r="L142">
        <f>IF(ROWS($L$2:$L142)&lt;=COUNT('Per Invoice'!$M$2:$M$151),MATCH(ROWS($L$2:$L142),'Per Invoice'!$M$2:$M$151,0),"")</f>
        <v/>
      </c>
    </row>
    <row r="143">
      <c r="A143">
        <f>IF($L143="","",IF(INDEX('Per Invoice'!$A$2:$A$151,$L143)="","",INDEX('Per Invoice'!$A$2:$A$151,$L143)))</f>
        <v/>
      </c>
      <c r="B143">
        <f>IF($L143="","",IF(INDEX('Per Invoice'!$B$2:$B$151,$L143)="","",INDEX('Per Invoice'!$B$2:$B$151,$L143)))</f>
        <v/>
      </c>
      <c r="C143">
        <f>IF($L143="","",IF(INDEX('Per Invoice'!$C$2:$C$151,$L143)="","",INDEX('Per Invoice'!$C$2:$C$151,$L143)))</f>
        <v/>
      </c>
      <c r="D143">
        <f>IF($L143="","",IF(INDEX('Per Invoice'!$D$2:$D$151,$L143)="","",INDEX('Per Invoice'!$D$2:$D$151,$L143)))</f>
        <v/>
      </c>
      <c r="E143">
        <f>IF($L143="","",IF(INDEX('Per Invoice'!$E$2:$E$151,$L143)="","",INDEX('Per Invoice'!$E$2:$E$151,$L143)))</f>
        <v/>
      </c>
      <c r="F143" s="5">
        <f>IF($L143="","",IF(INDEX('Per Invoice'!$F$2:$F$151,$L143)="","",INDEX('Per Invoice'!$F$2:$F$151,$L143)))</f>
        <v/>
      </c>
      <c r="G143" s="5">
        <f>IF($L143="","",IF(INDEX('Per Invoice'!$G$2:$G$151,$L143)="","",INDEX('Per Invoice'!$G$2:$G$151,$L143)))</f>
        <v/>
      </c>
      <c r="H143" s="5">
        <f>IF($L143="","",IF(INDEX('Per Invoice'!$H$2:$H$151,$L143)="","",INDEX('Per Invoice'!$H$2:$H$151,$L143)))</f>
        <v/>
      </c>
      <c r="I143" s="5">
        <f>IF($L143="","",IF(INDEX('Per Invoice'!$I$2:$I$151,$L143)="","",INDEX('Per Invoice'!$I$2:$I$151,$L143)))</f>
        <v/>
      </c>
      <c r="J143" s="5">
        <f>IF($L143="","",IF(INDEX('Per Invoice'!$J$2:$J$151,$L143)="","",INDEX('Per Invoice'!$J$2:$J$151,$L143)))</f>
        <v/>
      </c>
      <c r="K143">
        <f>IF($L143="","",IF(INDEX('Per Invoice'!$K$2:$K$151,$L143)="","",INDEX('Per Invoice'!$K$2:$K$151,$L143)))</f>
        <v/>
      </c>
      <c r="L143">
        <f>IF(ROWS($L$2:$L143)&lt;=COUNT('Per Invoice'!$M$2:$M$151),MATCH(ROWS($L$2:$L143),'Per Invoice'!$M$2:$M$151,0),"")</f>
        <v/>
      </c>
    </row>
    <row r="144">
      <c r="A144">
        <f>IF($L144="","",IF(INDEX('Per Invoice'!$A$2:$A$151,$L144)="","",INDEX('Per Invoice'!$A$2:$A$151,$L144)))</f>
        <v/>
      </c>
      <c r="B144">
        <f>IF($L144="","",IF(INDEX('Per Invoice'!$B$2:$B$151,$L144)="","",INDEX('Per Invoice'!$B$2:$B$151,$L144)))</f>
        <v/>
      </c>
      <c r="C144">
        <f>IF($L144="","",IF(INDEX('Per Invoice'!$C$2:$C$151,$L144)="","",INDEX('Per Invoice'!$C$2:$C$151,$L144)))</f>
        <v/>
      </c>
      <c r="D144">
        <f>IF($L144="","",IF(INDEX('Per Invoice'!$D$2:$D$151,$L144)="","",INDEX('Per Invoice'!$D$2:$D$151,$L144)))</f>
        <v/>
      </c>
      <c r="E144">
        <f>IF($L144="","",IF(INDEX('Per Invoice'!$E$2:$E$151,$L144)="","",INDEX('Per Invoice'!$E$2:$E$151,$L144)))</f>
        <v/>
      </c>
      <c r="F144" s="5">
        <f>IF($L144="","",IF(INDEX('Per Invoice'!$F$2:$F$151,$L144)="","",INDEX('Per Invoice'!$F$2:$F$151,$L144)))</f>
        <v/>
      </c>
      <c r="G144" s="5">
        <f>IF($L144="","",IF(INDEX('Per Invoice'!$G$2:$G$151,$L144)="","",INDEX('Per Invoice'!$G$2:$G$151,$L144)))</f>
        <v/>
      </c>
      <c r="H144" s="5">
        <f>IF($L144="","",IF(INDEX('Per Invoice'!$H$2:$H$151,$L144)="","",INDEX('Per Invoice'!$H$2:$H$151,$L144)))</f>
        <v/>
      </c>
      <c r="I144" s="5">
        <f>IF($L144="","",IF(INDEX('Per Invoice'!$I$2:$I$151,$L144)="","",INDEX('Per Invoice'!$I$2:$I$151,$L144)))</f>
        <v/>
      </c>
      <c r="J144" s="5">
        <f>IF($L144="","",IF(INDEX('Per Invoice'!$J$2:$J$151,$L144)="","",INDEX('Per Invoice'!$J$2:$J$151,$L144)))</f>
        <v/>
      </c>
      <c r="K144">
        <f>IF($L144="","",IF(INDEX('Per Invoice'!$K$2:$K$151,$L144)="","",INDEX('Per Invoice'!$K$2:$K$151,$L144)))</f>
        <v/>
      </c>
      <c r="L144">
        <f>IF(ROWS($L$2:$L144)&lt;=COUNT('Per Invoice'!$M$2:$M$151),MATCH(ROWS($L$2:$L144),'Per Invoice'!$M$2:$M$151,0),"")</f>
        <v/>
      </c>
    </row>
    <row r="145">
      <c r="A145">
        <f>IF($L145="","",IF(INDEX('Per Invoice'!$A$2:$A$151,$L145)="","",INDEX('Per Invoice'!$A$2:$A$151,$L145)))</f>
        <v/>
      </c>
      <c r="B145">
        <f>IF($L145="","",IF(INDEX('Per Invoice'!$B$2:$B$151,$L145)="","",INDEX('Per Invoice'!$B$2:$B$151,$L145)))</f>
        <v/>
      </c>
      <c r="C145">
        <f>IF($L145="","",IF(INDEX('Per Invoice'!$C$2:$C$151,$L145)="","",INDEX('Per Invoice'!$C$2:$C$151,$L145)))</f>
        <v/>
      </c>
      <c r="D145">
        <f>IF($L145="","",IF(INDEX('Per Invoice'!$D$2:$D$151,$L145)="","",INDEX('Per Invoice'!$D$2:$D$151,$L145)))</f>
        <v/>
      </c>
      <c r="E145">
        <f>IF($L145="","",IF(INDEX('Per Invoice'!$E$2:$E$151,$L145)="","",INDEX('Per Invoice'!$E$2:$E$151,$L145)))</f>
        <v/>
      </c>
      <c r="F145" s="5">
        <f>IF($L145="","",IF(INDEX('Per Invoice'!$F$2:$F$151,$L145)="","",INDEX('Per Invoice'!$F$2:$F$151,$L145)))</f>
        <v/>
      </c>
      <c r="G145" s="5">
        <f>IF($L145="","",IF(INDEX('Per Invoice'!$G$2:$G$151,$L145)="","",INDEX('Per Invoice'!$G$2:$G$151,$L145)))</f>
        <v/>
      </c>
      <c r="H145" s="5">
        <f>IF($L145="","",IF(INDEX('Per Invoice'!$H$2:$H$151,$L145)="","",INDEX('Per Invoice'!$H$2:$H$151,$L145)))</f>
        <v/>
      </c>
      <c r="I145" s="5">
        <f>IF($L145="","",IF(INDEX('Per Invoice'!$I$2:$I$151,$L145)="","",INDEX('Per Invoice'!$I$2:$I$151,$L145)))</f>
        <v/>
      </c>
      <c r="J145" s="5">
        <f>IF($L145="","",IF(INDEX('Per Invoice'!$J$2:$J$151,$L145)="","",INDEX('Per Invoice'!$J$2:$J$151,$L145)))</f>
        <v/>
      </c>
      <c r="K145">
        <f>IF($L145="","",IF(INDEX('Per Invoice'!$K$2:$K$151,$L145)="","",INDEX('Per Invoice'!$K$2:$K$151,$L145)))</f>
        <v/>
      </c>
      <c r="L145">
        <f>IF(ROWS($L$2:$L145)&lt;=COUNT('Per Invoice'!$M$2:$M$151),MATCH(ROWS($L$2:$L145),'Per Invoice'!$M$2:$M$151,0),"")</f>
        <v/>
      </c>
    </row>
    <row r="146">
      <c r="A146">
        <f>IF($L146="","",IF(INDEX('Per Invoice'!$A$2:$A$151,$L146)="","",INDEX('Per Invoice'!$A$2:$A$151,$L146)))</f>
        <v/>
      </c>
      <c r="B146">
        <f>IF($L146="","",IF(INDEX('Per Invoice'!$B$2:$B$151,$L146)="","",INDEX('Per Invoice'!$B$2:$B$151,$L146)))</f>
        <v/>
      </c>
      <c r="C146">
        <f>IF($L146="","",IF(INDEX('Per Invoice'!$C$2:$C$151,$L146)="","",INDEX('Per Invoice'!$C$2:$C$151,$L146)))</f>
        <v/>
      </c>
      <c r="D146">
        <f>IF($L146="","",IF(INDEX('Per Invoice'!$D$2:$D$151,$L146)="","",INDEX('Per Invoice'!$D$2:$D$151,$L146)))</f>
        <v/>
      </c>
      <c r="E146">
        <f>IF($L146="","",IF(INDEX('Per Invoice'!$E$2:$E$151,$L146)="","",INDEX('Per Invoice'!$E$2:$E$151,$L146)))</f>
        <v/>
      </c>
      <c r="F146" s="5">
        <f>IF($L146="","",IF(INDEX('Per Invoice'!$F$2:$F$151,$L146)="","",INDEX('Per Invoice'!$F$2:$F$151,$L146)))</f>
        <v/>
      </c>
      <c r="G146" s="5">
        <f>IF($L146="","",IF(INDEX('Per Invoice'!$G$2:$G$151,$L146)="","",INDEX('Per Invoice'!$G$2:$G$151,$L146)))</f>
        <v/>
      </c>
      <c r="H146" s="5">
        <f>IF($L146="","",IF(INDEX('Per Invoice'!$H$2:$H$151,$L146)="","",INDEX('Per Invoice'!$H$2:$H$151,$L146)))</f>
        <v/>
      </c>
      <c r="I146" s="5">
        <f>IF($L146="","",IF(INDEX('Per Invoice'!$I$2:$I$151,$L146)="","",INDEX('Per Invoice'!$I$2:$I$151,$L146)))</f>
        <v/>
      </c>
      <c r="J146" s="5">
        <f>IF($L146="","",IF(INDEX('Per Invoice'!$J$2:$J$151,$L146)="","",INDEX('Per Invoice'!$J$2:$J$151,$L146)))</f>
        <v/>
      </c>
      <c r="K146">
        <f>IF($L146="","",IF(INDEX('Per Invoice'!$K$2:$K$151,$L146)="","",INDEX('Per Invoice'!$K$2:$K$151,$L146)))</f>
        <v/>
      </c>
      <c r="L146">
        <f>IF(ROWS($L$2:$L146)&lt;=COUNT('Per Invoice'!$M$2:$M$151),MATCH(ROWS($L$2:$L146),'Per Invoice'!$M$2:$M$151,0),"")</f>
        <v/>
      </c>
    </row>
    <row r="147">
      <c r="A147">
        <f>IF($L147="","",IF(INDEX('Per Invoice'!$A$2:$A$151,$L147)="","",INDEX('Per Invoice'!$A$2:$A$151,$L147)))</f>
        <v/>
      </c>
      <c r="B147">
        <f>IF($L147="","",IF(INDEX('Per Invoice'!$B$2:$B$151,$L147)="","",INDEX('Per Invoice'!$B$2:$B$151,$L147)))</f>
        <v/>
      </c>
      <c r="C147">
        <f>IF($L147="","",IF(INDEX('Per Invoice'!$C$2:$C$151,$L147)="","",INDEX('Per Invoice'!$C$2:$C$151,$L147)))</f>
        <v/>
      </c>
      <c r="D147">
        <f>IF($L147="","",IF(INDEX('Per Invoice'!$D$2:$D$151,$L147)="","",INDEX('Per Invoice'!$D$2:$D$151,$L147)))</f>
        <v/>
      </c>
      <c r="E147">
        <f>IF($L147="","",IF(INDEX('Per Invoice'!$E$2:$E$151,$L147)="","",INDEX('Per Invoice'!$E$2:$E$151,$L147)))</f>
        <v/>
      </c>
      <c r="F147" s="5">
        <f>IF($L147="","",IF(INDEX('Per Invoice'!$F$2:$F$151,$L147)="","",INDEX('Per Invoice'!$F$2:$F$151,$L147)))</f>
        <v/>
      </c>
      <c r="G147" s="5">
        <f>IF($L147="","",IF(INDEX('Per Invoice'!$G$2:$G$151,$L147)="","",INDEX('Per Invoice'!$G$2:$G$151,$L147)))</f>
        <v/>
      </c>
      <c r="H147" s="5">
        <f>IF($L147="","",IF(INDEX('Per Invoice'!$H$2:$H$151,$L147)="","",INDEX('Per Invoice'!$H$2:$H$151,$L147)))</f>
        <v/>
      </c>
      <c r="I147" s="5">
        <f>IF($L147="","",IF(INDEX('Per Invoice'!$I$2:$I$151,$L147)="","",INDEX('Per Invoice'!$I$2:$I$151,$L147)))</f>
        <v/>
      </c>
      <c r="J147" s="5">
        <f>IF($L147="","",IF(INDEX('Per Invoice'!$J$2:$J$151,$L147)="","",INDEX('Per Invoice'!$J$2:$J$151,$L147)))</f>
        <v/>
      </c>
      <c r="K147">
        <f>IF($L147="","",IF(INDEX('Per Invoice'!$K$2:$K$151,$L147)="","",INDEX('Per Invoice'!$K$2:$K$151,$L147)))</f>
        <v/>
      </c>
      <c r="L147">
        <f>IF(ROWS($L$2:$L147)&lt;=COUNT('Per Invoice'!$M$2:$M$151),MATCH(ROWS($L$2:$L147),'Per Invoice'!$M$2:$M$151,0),"")</f>
        <v/>
      </c>
    </row>
    <row r="148">
      <c r="A148">
        <f>IF($L148="","",IF(INDEX('Per Invoice'!$A$2:$A$151,$L148)="","",INDEX('Per Invoice'!$A$2:$A$151,$L148)))</f>
        <v/>
      </c>
      <c r="B148">
        <f>IF($L148="","",IF(INDEX('Per Invoice'!$B$2:$B$151,$L148)="","",INDEX('Per Invoice'!$B$2:$B$151,$L148)))</f>
        <v/>
      </c>
      <c r="C148">
        <f>IF($L148="","",IF(INDEX('Per Invoice'!$C$2:$C$151,$L148)="","",INDEX('Per Invoice'!$C$2:$C$151,$L148)))</f>
        <v/>
      </c>
      <c r="D148">
        <f>IF($L148="","",IF(INDEX('Per Invoice'!$D$2:$D$151,$L148)="","",INDEX('Per Invoice'!$D$2:$D$151,$L148)))</f>
        <v/>
      </c>
      <c r="E148">
        <f>IF($L148="","",IF(INDEX('Per Invoice'!$E$2:$E$151,$L148)="","",INDEX('Per Invoice'!$E$2:$E$151,$L148)))</f>
        <v/>
      </c>
      <c r="F148" s="5">
        <f>IF($L148="","",IF(INDEX('Per Invoice'!$F$2:$F$151,$L148)="","",INDEX('Per Invoice'!$F$2:$F$151,$L148)))</f>
        <v/>
      </c>
      <c r="G148" s="5">
        <f>IF($L148="","",IF(INDEX('Per Invoice'!$G$2:$G$151,$L148)="","",INDEX('Per Invoice'!$G$2:$G$151,$L148)))</f>
        <v/>
      </c>
      <c r="H148" s="5">
        <f>IF($L148="","",IF(INDEX('Per Invoice'!$H$2:$H$151,$L148)="","",INDEX('Per Invoice'!$H$2:$H$151,$L148)))</f>
        <v/>
      </c>
      <c r="I148" s="5">
        <f>IF($L148="","",IF(INDEX('Per Invoice'!$I$2:$I$151,$L148)="","",INDEX('Per Invoice'!$I$2:$I$151,$L148)))</f>
        <v/>
      </c>
      <c r="J148" s="5">
        <f>IF($L148="","",IF(INDEX('Per Invoice'!$J$2:$J$151,$L148)="","",INDEX('Per Invoice'!$J$2:$J$151,$L148)))</f>
        <v/>
      </c>
      <c r="K148">
        <f>IF($L148="","",IF(INDEX('Per Invoice'!$K$2:$K$151,$L148)="","",INDEX('Per Invoice'!$K$2:$K$151,$L148)))</f>
        <v/>
      </c>
      <c r="L148">
        <f>IF(ROWS($L$2:$L148)&lt;=COUNT('Per Invoice'!$M$2:$M$151),MATCH(ROWS($L$2:$L148),'Per Invoice'!$M$2:$M$151,0),"")</f>
        <v/>
      </c>
    </row>
    <row r="149">
      <c r="A149">
        <f>IF($L149="","",IF(INDEX('Per Invoice'!$A$2:$A$151,$L149)="","",INDEX('Per Invoice'!$A$2:$A$151,$L149)))</f>
        <v/>
      </c>
      <c r="B149">
        <f>IF($L149="","",IF(INDEX('Per Invoice'!$B$2:$B$151,$L149)="","",INDEX('Per Invoice'!$B$2:$B$151,$L149)))</f>
        <v/>
      </c>
      <c r="C149">
        <f>IF($L149="","",IF(INDEX('Per Invoice'!$C$2:$C$151,$L149)="","",INDEX('Per Invoice'!$C$2:$C$151,$L149)))</f>
        <v/>
      </c>
      <c r="D149">
        <f>IF($L149="","",IF(INDEX('Per Invoice'!$D$2:$D$151,$L149)="","",INDEX('Per Invoice'!$D$2:$D$151,$L149)))</f>
        <v/>
      </c>
      <c r="E149">
        <f>IF($L149="","",IF(INDEX('Per Invoice'!$E$2:$E$151,$L149)="","",INDEX('Per Invoice'!$E$2:$E$151,$L149)))</f>
        <v/>
      </c>
      <c r="F149" s="5">
        <f>IF($L149="","",IF(INDEX('Per Invoice'!$F$2:$F$151,$L149)="","",INDEX('Per Invoice'!$F$2:$F$151,$L149)))</f>
        <v/>
      </c>
      <c r="G149" s="5">
        <f>IF($L149="","",IF(INDEX('Per Invoice'!$G$2:$G$151,$L149)="","",INDEX('Per Invoice'!$G$2:$G$151,$L149)))</f>
        <v/>
      </c>
      <c r="H149" s="5">
        <f>IF($L149="","",IF(INDEX('Per Invoice'!$H$2:$H$151,$L149)="","",INDEX('Per Invoice'!$H$2:$H$151,$L149)))</f>
        <v/>
      </c>
      <c r="I149" s="5">
        <f>IF($L149="","",IF(INDEX('Per Invoice'!$I$2:$I$151,$L149)="","",INDEX('Per Invoice'!$I$2:$I$151,$L149)))</f>
        <v/>
      </c>
      <c r="J149" s="5">
        <f>IF($L149="","",IF(INDEX('Per Invoice'!$J$2:$J$151,$L149)="","",INDEX('Per Invoice'!$J$2:$J$151,$L149)))</f>
        <v/>
      </c>
      <c r="K149">
        <f>IF($L149="","",IF(INDEX('Per Invoice'!$K$2:$K$151,$L149)="","",INDEX('Per Invoice'!$K$2:$K$151,$L149)))</f>
        <v/>
      </c>
      <c r="L149">
        <f>IF(ROWS($L$2:$L149)&lt;=COUNT('Per Invoice'!$M$2:$M$151),MATCH(ROWS($L$2:$L149),'Per Invoice'!$M$2:$M$151,0),"")</f>
        <v/>
      </c>
    </row>
    <row r="150">
      <c r="A150">
        <f>IF($L150="","",IF(INDEX('Per Invoice'!$A$2:$A$151,$L150)="","",INDEX('Per Invoice'!$A$2:$A$151,$L150)))</f>
        <v/>
      </c>
      <c r="B150">
        <f>IF($L150="","",IF(INDEX('Per Invoice'!$B$2:$B$151,$L150)="","",INDEX('Per Invoice'!$B$2:$B$151,$L150)))</f>
        <v/>
      </c>
      <c r="C150">
        <f>IF($L150="","",IF(INDEX('Per Invoice'!$C$2:$C$151,$L150)="","",INDEX('Per Invoice'!$C$2:$C$151,$L150)))</f>
        <v/>
      </c>
      <c r="D150">
        <f>IF($L150="","",IF(INDEX('Per Invoice'!$D$2:$D$151,$L150)="","",INDEX('Per Invoice'!$D$2:$D$151,$L150)))</f>
        <v/>
      </c>
      <c r="E150">
        <f>IF($L150="","",IF(INDEX('Per Invoice'!$E$2:$E$151,$L150)="","",INDEX('Per Invoice'!$E$2:$E$151,$L150)))</f>
        <v/>
      </c>
      <c r="F150" s="5">
        <f>IF($L150="","",IF(INDEX('Per Invoice'!$F$2:$F$151,$L150)="","",INDEX('Per Invoice'!$F$2:$F$151,$L150)))</f>
        <v/>
      </c>
      <c r="G150" s="5">
        <f>IF($L150="","",IF(INDEX('Per Invoice'!$G$2:$G$151,$L150)="","",INDEX('Per Invoice'!$G$2:$G$151,$L150)))</f>
        <v/>
      </c>
      <c r="H150" s="5">
        <f>IF($L150="","",IF(INDEX('Per Invoice'!$H$2:$H$151,$L150)="","",INDEX('Per Invoice'!$H$2:$H$151,$L150)))</f>
        <v/>
      </c>
      <c r="I150" s="5">
        <f>IF($L150="","",IF(INDEX('Per Invoice'!$I$2:$I$151,$L150)="","",INDEX('Per Invoice'!$I$2:$I$151,$L150)))</f>
        <v/>
      </c>
      <c r="J150" s="5">
        <f>IF($L150="","",IF(INDEX('Per Invoice'!$J$2:$J$151,$L150)="","",INDEX('Per Invoice'!$J$2:$J$151,$L150)))</f>
        <v/>
      </c>
      <c r="K150">
        <f>IF($L150="","",IF(INDEX('Per Invoice'!$K$2:$K$151,$L150)="","",INDEX('Per Invoice'!$K$2:$K$151,$L150)))</f>
        <v/>
      </c>
      <c r="L150">
        <f>IF(ROWS($L$2:$L150)&lt;=COUNT('Per Invoice'!$M$2:$M$151),MATCH(ROWS($L$2:$L150),'Per Invoice'!$M$2:$M$151,0),"")</f>
        <v/>
      </c>
    </row>
    <row r="151">
      <c r="A151">
        <f>IF($L151="","",IF(INDEX('Per Invoice'!$A$2:$A$151,$L151)="","",INDEX('Per Invoice'!$A$2:$A$151,$L151)))</f>
        <v/>
      </c>
      <c r="B151">
        <f>IF($L151="","",IF(INDEX('Per Invoice'!$B$2:$B$151,$L151)="","",INDEX('Per Invoice'!$B$2:$B$151,$L151)))</f>
        <v/>
      </c>
      <c r="C151">
        <f>IF($L151="","",IF(INDEX('Per Invoice'!$C$2:$C$151,$L151)="","",INDEX('Per Invoice'!$C$2:$C$151,$L151)))</f>
        <v/>
      </c>
      <c r="D151">
        <f>IF($L151="","",IF(INDEX('Per Invoice'!$D$2:$D$151,$L151)="","",INDEX('Per Invoice'!$D$2:$D$151,$L151)))</f>
        <v/>
      </c>
      <c r="E151">
        <f>IF($L151="","",IF(INDEX('Per Invoice'!$E$2:$E$151,$L151)="","",INDEX('Per Invoice'!$E$2:$E$151,$L151)))</f>
        <v/>
      </c>
      <c r="F151" s="5">
        <f>IF($L151="","",IF(INDEX('Per Invoice'!$F$2:$F$151,$L151)="","",INDEX('Per Invoice'!$F$2:$F$151,$L151)))</f>
        <v/>
      </c>
      <c r="G151" s="5">
        <f>IF($L151="","",IF(INDEX('Per Invoice'!$G$2:$G$151,$L151)="","",INDEX('Per Invoice'!$G$2:$G$151,$L151)))</f>
        <v/>
      </c>
      <c r="H151" s="5">
        <f>IF($L151="","",IF(INDEX('Per Invoice'!$H$2:$H$151,$L151)="","",INDEX('Per Invoice'!$H$2:$H$151,$L151)))</f>
        <v/>
      </c>
      <c r="I151" s="5">
        <f>IF($L151="","",IF(INDEX('Per Invoice'!$I$2:$I$151,$L151)="","",INDEX('Per Invoice'!$I$2:$I$151,$L151)))</f>
        <v/>
      </c>
      <c r="J151" s="5">
        <f>IF($L151="","",IF(INDEX('Per Invoice'!$J$2:$J$151,$L151)="","",INDEX('Per Invoice'!$J$2:$J$151,$L151)))</f>
        <v/>
      </c>
      <c r="K151">
        <f>IF($L151="","",IF(INDEX('Per Invoice'!$K$2:$K$151,$L151)="","",INDEX('Per Invoice'!$K$2:$K$151,$L151)))</f>
        <v/>
      </c>
      <c r="L151">
        <f>IF(ROWS($L$2:$L151)&lt;=COUNT('Per Invoice'!$M$2:$M$151),MATCH(ROWS($L$2:$L151),'Per Invoice'!$M$2:$M$151,0),"")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9D18E"/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6" customWidth="1" min="12" max="12"/>
  </cols>
  <sheetData>
    <row r="1" ht="32" customHeight="1">
      <c r="A1" s="7" t="inlineStr">
        <is>
          <t>Invoice</t>
        </is>
      </c>
      <c r="B1" s="7" t="inlineStr">
        <is>
          <t>So</t>
        </is>
      </c>
      <c r="C1" s="7" t="inlineStr">
        <is>
          <t>Lot</t>
        </is>
      </c>
      <c r="D1" s="7" t="inlineStr">
        <is>
          <t>SSNBR</t>
        </is>
      </c>
      <c r="E1" s="7" t="inlineStr">
        <is>
          <t>Svc Date</t>
        </is>
      </c>
      <c r="F1" s="7" t="inlineStr">
        <is>
          <t>Sum of Total Approved</t>
        </is>
      </c>
      <c r="G1" s="7" t="inlineStr">
        <is>
          <t>Sum of dis</t>
        </is>
      </c>
      <c r="H1" s="7" t="inlineStr">
        <is>
          <t>Sum of Paid Amount</t>
        </is>
      </c>
      <c r="I1" s="7" t="inlineStr">
        <is>
          <t>Sum of Subtotal</t>
        </is>
      </c>
      <c r="J1" s="7" t="inlineStr">
        <is>
          <t>Sum of Net Amt</t>
        </is>
      </c>
      <c r="K1" s="7" t="inlineStr">
        <is>
          <t>Seg</t>
        </is>
      </c>
      <c r="L1" s="10" t="inlineStr">
        <is>
          <t>Per Invoice Row (helper)</t>
        </is>
      </c>
    </row>
    <row r="2">
      <c r="A2">
        <f>IF($L2="","",IF(INDEX('Per Invoice'!$A$2:$A$151,$L2)="","",INDEX('Per Invoice'!$A$2:$A$151,$L2)))</f>
        <v/>
      </c>
      <c r="B2">
        <f>IF($L2="","",IF(INDEX('Per Invoice'!$B$2:$B$151,$L2)="","",INDEX('Per Invoice'!$B$2:$B$151,$L2)))</f>
        <v/>
      </c>
      <c r="C2">
        <f>IF($L2="","",IF(INDEX('Per Invoice'!$C$2:$C$151,$L2)="","",INDEX('Per Invoice'!$C$2:$C$151,$L2)))</f>
        <v/>
      </c>
      <c r="D2">
        <f>IF($L2="","",IF(INDEX('Per Invoice'!$D$2:$D$151,$L2)="","",INDEX('Per Invoice'!$D$2:$D$151,$L2)))</f>
        <v/>
      </c>
      <c r="E2">
        <f>IF($L2="","",IF(INDEX('Per Invoice'!$E$2:$E$151,$L2)="","",INDEX('Per Invoice'!$E$2:$E$151,$L2)))</f>
        <v/>
      </c>
      <c r="F2" s="5">
        <f>IF($L2="","",IF(INDEX('Per Invoice'!$F$2:$F$151,$L2)="","",INDEX('Per Invoice'!$F$2:$F$151,$L2)))</f>
        <v/>
      </c>
      <c r="G2" s="5">
        <f>IF($L2="","",IF(INDEX('Per Invoice'!$G$2:$G$151,$L2)="","",INDEX('Per Invoice'!$G$2:$G$151,$L2)))</f>
        <v/>
      </c>
      <c r="H2" s="5">
        <f>IF($L2="","",IF(INDEX('Per Invoice'!$H$2:$H$151,$L2)="","",INDEX('Per Invoice'!$H$2:$H$151,$L2)))</f>
        <v/>
      </c>
      <c r="I2" s="5">
        <f>IF($L2="","",IF(INDEX('Per Invoice'!$I$2:$I$151,$L2)="","",INDEX('Per Invoice'!$I$2:$I$151,$L2)))</f>
        <v/>
      </c>
      <c r="J2" s="5">
        <f>IF($L2="","",IF(INDEX('Per Invoice'!$J$2:$J$151,$L2)="","",INDEX('Per Invoice'!$J$2:$J$151,$L2)))</f>
        <v/>
      </c>
      <c r="K2">
        <f>IF($L2="","",IF(INDEX('Per Invoice'!$K$2:$K$151,$L2)="","",INDEX('Per Invoice'!$K$2:$K$151,$L2)))</f>
        <v/>
      </c>
      <c r="L2">
        <f>IF(ROWS($L$2:$L2)&lt;=COUNT('Per Invoice'!$N$2:$N$151),MATCH(ROWS($L$2:$L2),'Per Invoice'!$N$2:$N$151,0),"")</f>
        <v/>
      </c>
    </row>
    <row r="3">
      <c r="A3">
        <f>IF($L3="","",IF(INDEX('Per Invoice'!$A$2:$A$151,$L3)="","",INDEX('Per Invoice'!$A$2:$A$151,$L3)))</f>
        <v/>
      </c>
      <c r="B3">
        <f>IF($L3="","",IF(INDEX('Per Invoice'!$B$2:$B$151,$L3)="","",INDEX('Per Invoice'!$B$2:$B$151,$L3)))</f>
        <v/>
      </c>
      <c r="C3">
        <f>IF($L3="","",IF(INDEX('Per Invoice'!$C$2:$C$151,$L3)="","",INDEX('Per Invoice'!$C$2:$C$151,$L3)))</f>
        <v/>
      </c>
      <c r="D3">
        <f>IF($L3="","",IF(INDEX('Per Invoice'!$D$2:$D$151,$L3)="","",INDEX('Per Invoice'!$D$2:$D$151,$L3)))</f>
        <v/>
      </c>
      <c r="E3">
        <f>IF($L3="","",IF(INDEX('Per Invoice'!$E$2:$E$151,$L3)="","",INDEX('Per Invoice'!$E$2:$E$151,$L3)))</f>
        <v/>
      </c>
      <c r="F3" s="5">
        <f>IF($L3="","",IF(INDEX('Per Invoice'!$F$2:$F$151,$L3)="","",INDEX('Per Invoice'!$F$2:$F$151,$L3)))</f>
        <v/>
      </c>
      <c r="G3" s="5">
        <f>IF($L3="","",IF(INDEX('Per Invoice'!$G$2:$G$151,$L3)="","",INDEX('Per Invoice'!$G$2:$G$151,$L3)))</f>
        <v/>
      </c>
      <c r="H3" s="5">
        <f>IF($L3="","",IF(INDEX('Per Invoice'!$H$2:$H$151,$L3)="","",INDEX('Per Invoice'!$H$2:$H$151,$L3)))</f>
        <v/>
      </c>
      <c r="I3" s="5">
        <f>IF($L3="","",IF(INDEX('Per Invoice'!$I$2:$I$151,$L3)="","",INDEX('Per Invoice'!$I$2:$I$151,$L3)))</f>
        <v/>
      </c>
      <c r="J3" s="5">
        <f>IF($L3="","",IF(INDEX('Per Invoice'!$J$2:$J$151,$L3)="","",INDEX('Per Invoice'!$J$2:$J$151,$L3)))</f>
        <v/>
      </c>
      <c r="K3">
        <f>IF($L3="","",IF(INDEX('Per Invoice'!$K$2:$K$151,$L3)="","",INDEX('Per Invoice'!$K$2:$K$151,$L3)))</f>
        <v/>
      </c>
      <c r="L3">
        <f>IF(ROWS($L$2:$L3)&lt;=COUNT('Per Invoice'!$N$2:$N$151),MATCH(ROWS($L$2:$L3),'Per Invoice'!$N$2:$N$151,0),"")</f>
        <v/>
      </c>
    </row>
    <row r="4">
      <c r="A4">
        <f>IF($L4="","",IF(INDEX('Per Invoice'!$A$2:$A$151,$L4)="","",INDEX('Per Invoice'!$A$2:$A$151,$L4)))</f>
        <v/>
      </c>
      <c r="B4">
        <f>IF($L4="","",IF(INDEX('Per Invoice'!$B$2:$B$151,$L4)="","",INDEX('Per Invoice'!$B$2:$B$151,$L4)))</f>
        <v/>
      </c>
      <c r="C4">
        <f>IF($L4="","",IF(INDEX('Per Invoice'!$C$2:$C$151,$L4)="","",INDEX('Per Invoice'!$C$2:$C$151,$L4)))</f>
        <v/>
      </c>
      <c r="D4">
        <f>IF($L4="","",IF(INDEX('Per Invoice'!$D$2:$D$151,$L4)="","",INDEX('Per Invoice'!$D$2:$D$151,$L4)))</f>
        <v/>
      </c>
      <c r="E4">
        <f>IF($L4="","",IF(INDEX('Per Invoice'!$E$2:$E$151,$L4)="","",INDEX('Per Invoice'!$E$2:$E$151,$L4)))</f>
        <v/>
      </c>
      <c r="F4" s="5">
        <f>IF($L4="","",IF(INDEX('Per Invoice'!$F$2:$F$151,$L4)="","",INDEX('Per Invoice'!$F$2:$F$151,$L4)))</f>
        <v/>
      </c>
      <c r="G4" s="5">
        <f>IF($L4="","",IF(INDEX('Per Invoice'!$G$2:$G$151,$L4)="","",INDEX('Per Invoice'!$G$2:$G$151,$L4)))</f>
        <v/>
      </c>
      <c r="H4" s="5">
        <f>IF($L4="","",IF(INDEX('Per Invoice'!$H$2:$H$151,$L4)="","",INDEX('Per Invoice'!$H$2:$H$151,$L4)))</f>
        <v/>
      </c>
      <c r="I4" s="5">
        <f>IF($L4="","",IF(INDEX('Per Invoice'!$I$2:$I$151,$L4)="","",INDEX('Per Invoice'!$I$2:$I$151,$L4)))</f>
        <v/>
      </c>
      <c r="J4" s="5">
        <f>IF($L4="","",IF(INDEX('Per Invoice'!$J$2:$J$151,$L4)="","",INDEX('Per Invoice'!$J$2:$J$151,$L4)))</f>
        <v/>
      </c>
      <c r="K4">
        <f>IF($L4="","",IF(INDEX('Per Invoice'!$K$2:$K$151,$L4)="","",INDEX('Per Invoice'!$K$2:$K$151,$L4)))</f>
        <v/>
      </c>
      <c r="L4">
        <f>IF(ROWS($L$2:$L4)&lt;=COUNT('Per Invoice'!$N$2:$N$151),MATCH(ROWS($L$2:$L4),'Per Invoice'!$N$2:$N$151,0),"")</f>
        <v/>
      </c>
    </row>
    <row r="5">
      <c r="A5">
        <f>IF($L5="","",IF(INDEX('Per Invoice'!$A$2:$A$151,$L5)="","",INDEX('Per Invoice'!$A$2:$A$151,$L5)))</f>
        <v/>
      </c>
      <c r="B5">
        <f>IF($L5="","",IF(INDEX('Per Invoice'!$B$2:$B$151,$L5)="","",INDEX('Per Invoice'!$B$2:$B$151,$L5)))</f>
        <v/>
      </c>
      <c r="C5">
        <f>IF($L5="","",IF(INDEX('Per Invoice'!$C$2:$C$151,$L5)="","",INDEX('Per Invoice'!$C$2:$C$151,$L5)))</f>
        <v/>
      </c>
      <c r="D5">
        <f>IF($L5="","",IF(INDEX('Per Invoice'!$D$2:$D$151,$L5)="","",INDEX('Per Invoice'!$D$2:$D$151,$L5)))</f>
        <v/>
      </c>
      <c r="E5">
        <f>IF($L5="","",IF(INDEX('Per Invoice'!$E$2:$E$151,$L5)="","",INDEX('Per Invoice'!$E$2:$E$151,$L5)))</f>
        <v/>
      </c>
      <c r="F5" s="5">
        <f>IF($L5="","",IF(INDEX('Per Invoice'!$F$2:$F$151,$L5)="","",INDEX('Per Invoice'!$F$2:$F$151,$L5)))</f>
        <v/>
      </c>
      <c r="G5" s="5">
        <f>IF($L5="","",IF(INDEX('Per Invoice'!$G$2:$G$151,$L5)="","",INDEX('Per Invoice'!$G$2:$G$151,$L5)))</f>
        <v/>
      </c>
      <c r="H5" s="5">
        <f>IF($L5="","",IF(INDEX('Per Invoice'!$H$2:$H$151,$L5)="","",INDEX('Per Invoice'!$H$2:$H$151,$L5)))</f>
        <v/>
      </c>
      <c r="I5" s="5">
        <f>IF($L5="","",IF(INDEX('Per Invoice'!$I$2:$I$151,$L5)="","",INDEX('Per Invoice'!$I$2:$I$151,$L5)))</f>
        <v/>
      </c>
      <c r="J5" s="5">
        <f>IF($L5="","",IF(INDEX('Per Invoice'!$J$2:$J$151,$L5)="","",INDEX('Per Invoice'!$J$2:$J$151,$L5)))</f>
        <v/>
      </c>
      <c r="K5">
        <f>IF($L5="","",IF(INDEX('Per Invoice'!$K$2:$K$151,$L5)="","",INDEX('Per Invoice'!$K$2:$K$151,$L5)))</f>
        <v/>
      </c>
      <c r="L5">
        <f>IF(ROWS($L$2:$L5)&lt;=COUNT('Per Invoice'!$N$2:$N$151),MATCH(ROWS($L$2:$L5),'Per Invoice'!$N$2:$N$151,0),"")</f>
        <v/>
      </c>
    </row>
    <row r="6">
      <c r="A6">
        <f>IF($L6="","",IF(INDEX('Per Invoice'!$A$2:$A$151,$L6)="","",INDEX('Per Invoice'!$A$2:$A$151,$L6)))</f>
        <v/>
      </c>
      <c r="B6">
        <f>IF($L6="","",IF(INDEX('Per Invoice'!$B$2:$B$151,$L6)="","",INDEX('Per Invoice'!$B$2:$B$151,$L6)))</f>
        <v/>
      </c>
      <c r="C6">
        <f>IF($L6="","",IF(INDEX('Per Invoice'!$C$2:$C$151,$L6)="","",INDEX('Per Invoice'!$C$2:$C$151,$L6)))</f>
        <v/>
      </c>
      <c r="D6">
        <f>IF($L6="","",IF(INDEX('Per Invoice'!$D$2:$D$151,$L6)="","",INDEX('Per Invoice'!$D$2:$D$151,$L6)))</f>
        <v/>
      </c>
      <c r="E6">
        <f>IF($L6="","",IF(INDEX('Per Invoice'!$E$2:$E$151,$L6)="","",INDEX('Per Invoice'!$E$2:$E$151,$L6)))</f>
        <v/>
      </c>
      <c r="F6" s="5">
        <f>IF($L6="","",IF(INDEX('Per Invoice'!$F$2:$F$151,$L6)="","",INDEX('Per Invoice'!$F$2:$F$151,$L6)))</f>
        <v/>
      </c>
      <c r="G6" s="5">
        <f>IF($L6="","",IF(INDEX('Per Invoice'!$G$2:$G$151,$L6)="","",INDEX('Per Invoice'!$G$2:$G$151,$L6)))</f>
        <v/>
      </c>
      <c r="H6" s="5">
        <f>IF($L6="","",IF(INDEX('Per Invoice'!$H$2:$H$151,$L6)="","",INDEX('Per Invoice'!$H$2:$H$151,$L6)))</f>
        <v/>
      </c>
      <c r="I6" s="5">
        <f>IF($L6="","",IF(INDEX('Per Invoice'!$I$2:$I$151,$L6)="","",INDEX('Per Invoice'!$I$2:$I$151,$L6)))</f>
        <v/>
      </c>
      <c r="J6" s="5">
        <f>IF($L6="","",IF(INDEX('Per Invoice'!$J$2:$J$151,$L6)="","",INDEX('Per Invoice'!$J$2:$J$151,$L6)))</f>
        <v/>
      </c>
      <c r="K6">
        <f>IF($L6="","",IF(INDEX('Per Invoice'!$K$2:$K$151,$L6)="","",INDEX('Per Invoice'!$K$2:$K$151,$L6)))</f>
        <v/>
      </c>
      <c r="L6">
        <f>IF(ROWS($L$2:$L6)&lt;=COUNT('Per Invoice'!$N$2:$N$151),MATCH(ROWS($L$2:$L6),'Per Invoice'!$N$2:$N$151,0),"")</f>
        <v/>
      </c>
    </row>
    <row r="7">
      <c r="A7">
        <f>IF($L7="","",IF(INDEX('Per Invoice'!$A$2:$A$151,$L7)="","",INDEX('Per Invoice'!$A$2:$A$151,$L7)))</f>
        <v/>
      </c>
      <c r="B7">
        <f>IF($L7="","",IF(INDEX('Per Invoice'!$B$2:$B$151,$L7)="","",INDEX('Per Invoice'!$B$2:$B$151,$L7)))</f>
        <v/>
      </c>
      <c r="C7">
        <f>IF($L7="","",IF(INDEX('Per Invoice'!$C$2:$C$151,$L7)="","",INDEX('Per Invoice'!$C$2:$C$151,$L7)))</f>
        <v/>
      </c>
      <c r="D7">
        <f>IF($L7="","",IF(INDEX('Per Invoice'!$D$2:$D$151,$L7)="","",INDEX('Per Invoice'!$D$2:$D$151,$L7)))</f>
        <v/>
      </c>
      <c r="E7">
        <f>IF($L7="","",IF(INDEX('Per Invoice'!$E$2:$E$151,$L7)="","",INDEX('Per Invoice'!$E$2:$E$151,$L7)))</f>
        <v/>
      </c>
      <c r="F7" s="5">
        <f>IF($L7="","",IF(INDEX('Per Invoice'!$F$2:$F$151,$L7)="","",INDEX('Per Invoice'!$F$2:$F$151,$L7)))</f>
        <v/>
      </c>
      <c r="G7" s="5">
        <f>IF($L7="","",IF(INDEX('Per Invoice'!$G$2:$G$151,$L7)="","",INDEX('Per Invoice'!$G$2:$G$151,$L7)))</f>
        <v/>
      </c>
      <c r="H7" s="5">
        <f>IF($L7="","",IF(INDEX('Per Invoice'!$H$2:$H$151,$L7)="","",INDEX('Per Invoice'!$H$2:$H$151,$L7)))</f>
        <v/>
      </c>
      <c r="I7" s="5">
        <f>IF($L7="","",IF(INDEX('Per Invoice'!$I$2:$I$151,$L7)="","",INDEX('Per Invoice'!$I$2:$I$151,$L7)))</f>
        <v/>
      </c>
      <c r="J7" s="5">
        <f>IF($L7="","",IF(INDEX('Per Invoice'!$J$2:$J$151,$L7)="","",INDEX('Per Invoice'!$J$2:$J$151,$L7)))</f>
        <v/>
      </c>
      <c r="K7">
        <f>IF($L7="","",IF(INDEX('Per Invoice'!$K$2:$K$151,$L7)="","",INDEX('Per Invoice'!$K$2:$K$151,$L7)))</f>
        <v/>
      </c>
      <c r="L7">
        <f>IF(ROWS($L$2:$L7)&lt;=COUNT('Per Invoice'!$N$2:$N$151),MATCH(ROWS($L$2:$L7),'Per Invoice'!$N$2:$N$151,0),"")</f>
        <v/>
      </c>
    </row>
    <row r="8">
      <c r="A8">
        <f>IF($L8="","",IF(INDEX('Per Invoice'!$A$2:$A$151,$L8)="","",INDEX('Per Invoice'!$A$2:$A$151,$L8)))</f>
        <v/>
      </c>
      <c r="B8">
        <f>IF($L8="","",IF(INDEX('Per Invoice'!$B$2:$B$151,$L8)="","",INDEX('Per Invoice'!$B$2:$B$151,$L8)))</f>
        <v/>
      </c>
      <c r="C8">
        <f>IF($L8="","",IF(INDEX('Per Invoice'!$C$2:$C$151,$L8)="","",INDEX('Per Invoice'!$C$2:$C$151,$L8)))</f>
        <v/>
      </c>
      <c r="D8">
        <f>IF($L8="","",IF(INDEX('Per Invoice'!$D$2:$D$151,$L8)="","",INDEX('Per Invoice'!$D$2:$D$151,$L8)))</f>
        <v/>
      </c>
      <c r="E8">
        <f>IF($L8="","",IF(INDEX('Per Invoice'!$E$2:$E$151,$L8)="","",INDEX('Per Invoice'!$E$2:$E$151,$L8)))</f>
        <v/>
      </c>
      <c r="F8" s="5">
        <f>IF($L8="","",IF(INDEX('Per Invoice'!$F$2:$F$151,$L8)="","",INDEX('Per Invoice'!$F$2:$F$151,$L8)))</f>
        <v/>
      </c>
      <c r="G8" s="5">
        <f>IF($L8="","",IF(INDEX('Per Invoice'!$G$2:$G$151,$L8)="","",INDEX('Per Invoice'!$G$2:$G$151,$L8)))</f>
        <v/>
      </c>
      <c r="H8" s="5">
        <f>IF($L8="","",IF(INDEX('Per Invoice'!$H$2:$H$151,$L8)="","",INDEX('Per Invoice'!$H$2:$H$151,$L8)))</f>
        <v/>
      </c>
      <c r="I8" s="5">
        <f>IF($L8="","",IF(INDEX('Per Invoice'!$I$2:$I$151,$L8)="","",INDEX('Per Invoice'!$I$2:$I$151,$L8)))</f>
        <v/>
      </c>
      <c r="J8" s="5">
        <f>IF($L8="","",IF(INDEX('Per Invoice'!$J$2:$J$151,$L8)="","",INDEX('Per Invoice'!$J$2:$J$151,$L8)))</f>
        <v/>
      </c>
      <c r="K8">
        <f>IF($L8="","",IF(INDEX('Per Invoice'!$K$2:$K$151,$L8)="","",INDEX('Per Invoice'!$K$2:$K$151,$L8)))</f>
        <v/>
      </c>
      <c r="L8">
        <f>IF(ROWS($L$2:$L8)&lt;=COUNT('Per Invoice'!$N$2:$N$151),MATCH(ROWS($L$2:$L8),'Per Invoice'!$N$2:$N$151,0),"")</f>
        <v/>
      </c>
    </row>
    <row r="9">
      <c r="A9">
        <f>IF($L9="","",IF(INDEX('Per Invoice'!$A$2:$A$151,$L9)="","",INDEX('Per Invoice'!$A$2:$A$151,$L9)))</f>
        <v/>
      </c>
      <c r="B9">
        <f>IF($L9="","",IF(INDEX('Per Invoice'!$B$2:$B$151,$L9)="","",INDEX('Per Invoice'!$B$2:$B$151,$L9)))</f>
        <v/>
      </c>
      <c r="C9">
        <f>IF($L9="","",IF(INDEX('Per Invoice'!$C$2:$C$151,$L9)="","",INDEX('Per Invoice'!$C$2:$C$151,$L9)))</f>
        <v/>
      </c>
      <c r="D9">
        <f>IF($L9="","",IF(INDEX('Per Invoice'!$D$2:$D$151,$L9)="","",INDEX('Per Invoice'!$D$2:$D$151,$L9)))</f>
        <v/>
      </c>
      <c r="E9">
        <f>IF($L9="","",IF(INDEX('Per Invoice'!$E$2:$E$151,$L9)="","",INDEX('Per Invoice'!$E$2:$E$151,$L9)))</f>
        <v/>
      </c>
      <c r="F9" s="5">
        <f>IF($L9="","",IF(INDEX('Per Invoice'!$F$2:$F$151,$L9)="","",INDEX('Per Invoice'!$F$2:$F$151,$L9)))</f>
        <v/>
      </c>
      <c r="G9" s="5">
        <f>IF($L9="","",IF(INDEX('Per Invoice'!$G$2:$G$151,$L9)="","",INDEX('Per Invoice'!$G$2:$G$151,$L9)))</f>
        <v/>
      </c>
      <c r="H9" s="5">
        <f>IF($L9="","",IF(INDEX('Per Invoice'!$H$2:$H$151,$L9)="","",INDEX('Per Invoice'!$H$2:$H$151,$L9)))</f>
        <v/>
      </c>
      <c r="I9" s="5">
        <f>IF($L9="","",IF(INDEX('Per Invoice'!$I$2:$I$151,$L9)="","",INDEX('Per Invoice'!$I$2:$I$151,$L9)))</f>
        <v/>
      </c>
      <c r="J9" s="5">
        <f>IF($L9="","",IF(INDEX('Per Invoice'!$J$2:$J$151,$L9)="","",INDEX('Per Invoice'!$J$2:$J$151,$L9)))</f>
        <v/>
      </c>
      <c r="K9">
        <f>IF($L9="","",IF(INDEX('Per Invoice'!$K$2:$K$151,$L9)="","",INDEX('Per Invoice'!$K$2:$K$151,$L9)))</f>
        <v/>
      </c>
      <c r="L9">
        <f>IF(ROWS($L$2:$L9)&lt;=COUNT('Per Invoice'!$N$2:$N$151),MATCH(ROWS($L$2:$L9),'Per Invoice'!$N$2:$N$151,0),"")</f>
        <v/>
      </c>
    </row>
    <row r="10">
      <c r="A10">
        <f>IF($L10="","",IF(INDEX('Per Invoice'!$A$2:$A$151,$L10)="","",INDEX('Per Invoice'!$A$2:$A$151,$L10)))</f>
        <v/>
      </c>
      <c r="B10">
        <f>IF($L10="","",IF(INDEX('Per Invoice'!$B$2:$B$151,$L10)="","",INDEX('Per Invoice'!$B$2:$B$151,$L10)))</f>
        <v/>
      </c>
      <c r="C10">
        <f>IF($L10="","",IF(INDEX('Per Invoice'!$C$2:$C$151,$L10)="","",INDEX('Per Invoice'!$C$2:$C$151,$L10)))</f>
        <v/>
      </c>
      <c r="D10">
        <f>IF($L10="","",IF(INDEX('Per Invoice'!$D$2:$D$151,$L10)="","",INDEX('Per Invoice'!$D$2:$D$151,$L10)))</f>
        <v/>
      </c>
      <c r="E10">
        <f>IF($L10="","",IF(INDEX('Per Invoice'!$E$2:$E$151,$L10)="","",INDEX('Per Invoice'!$E$2:$E$151,$L10)))</f>
        <v/>
      </c>
      <c r="F10" s="5">
        <f>IF($L10="","",IF(INDEX('Per Invoice'!$F$2:$F$151,$L10)="","",INDEX('Per Invoice'!$F$2:$F$151,$L10)))</f>
        <v/>
      </c>
      <c r="G10" s="5">
        <f>IF($L10="","",IF(INDEX('Per Invoice'!$G$2:$G$151,$L10)="","",INDEX('Per Invoice'!$G$2:$G$151,$L10)))</f>
        <v/>
      </c>
      <c r="H10" s="5">
        <f>IF($L10="","",IF(INDEX('Per Invoice'!$H$2:$H$151,$L10)="","",INDEX('Per Invoice'!$H$2:$H$151,$L10)))</f>
        <v/>
      </c>
      <c r="I10" s="5">
        <f>IF($L10="","",IF(INDEX('Per Invoice'!$I$2:$I$151,$L10)="","",INDEX('Per Invoice'!$I$2:$I$151,$L10)))</f>
        <v/>
      </c>
      <c r="J10" s="5">
        <f>IF($L10="","",IF(INDEX('Per Invoice'!$J$2:$J$151,$L10)="","",INDEX('Per Invoice'!$J$2:$J$151,$L10)))</f>
        <v/>
      </c>
      <c r="K10">
        <f>IF($L10="","",IF(INDEX('Per Invoice'!$K$2:$K$151,$L10)="","",INDEX('Per Invoice'!$K$2:$K$151,$L10)))</f>
        <v/>
      </c>
      <c r="L10">
        <f>IF(ROWS($L$2:$L10)&lt;=COUNT('Per Invoice'!$N$2:$N$151),MATCH(ROWS($L$2:$L10),'Per Invoice'!$N$2:$N$151,0),"")</f>
        <v/>
      </c>
    </row>
    <row r="11">
      <c r="A11">
        <f>IF($L11="","",IF(INDEX('Per Invoice'!$A$2:$A$151,$L11)="","",INDEX('Per Invoice'!$A$2:$A$151,$L11)))</f>
        <v/>
      </c>
      <c r="B11">
        <f>IF($L11="","",IF(INDEX('Per Invoice'!$B$2:$B$151,$L11)="","",INDEX('Per Invoice'!$B$2:$B$151,$L11)))</f>
        <v/>
      </c>
      <c r="C11">
        <f>IF($L11="","",IF(INDEX('Per Invoice'!$C$2:$C$151,$L11)="","",INDEX('Per Invoice'!$C$2:$C$151,$L11)))</f>
        <v/>
      </c>
      <c r="D11">
        <f>IF($L11="","",IF(INDEX('Per Invoice'!$D$2:$D$151,$L11)="","",INDEX('Per Invoice'!$D$2:$D$151,$L11)))</f>
        <v/>
      </c>
      <c r="E11">
        <f>IF($L11="","",IF(INDEX('Per Invoice'!$E$2:$E$151,$L11)="","",INDEX('Per Invoice'!$E$2:$E$151,$L11)))</f>
        <v/>
      </c>
      <c r="F11" s="5">
        <f>IF($L11="","",IF(INDEX('Per Invoice'!$F$2:$F$151,$L11)="","",INDEX('Per Invoice'!$F$2:$F$151,$L11)))</f>
        <v/>
      </c>
      <c r="G11" s="5">
        <f>IF($L11="","",IF(INDEX('Per Invoice'!$G$2:$G$151,$L11)="","",INDEX('Per Invoice'!$G$2:$G$151,$L11)))</f>
        <v/>
      </c>
      <c r="H11" s="5">
        <f>IF($L11="","",IF(INDEX('Per Invoice'!$H$2:$H$151,$L11)="","",INDEX('Per Invoice'!$H$2:$H$151,$L11)))</f>
        <v/>
      </c>
      <c r="I11" s="5">
        <f>IF($L11="","",IF(INDEX('Per Invoice'!$I$2:$I$151,$L11)="","",INDEX('Per Invoice'!$I$2:$I$151,$L11)))</f>
        <v/>
      </c>
      <c r="J11" s="5">
        <f>IF($L11="","",IF(INDEX('Per Invoice'!$J$2:$J$151,$L11)="","",INDEX('Per Invoice'!$J$2:$J$151,$L11)))</f>
        <v/>
      </c>
      <c r="K11">
        <f>IF($L11="","",IF(INDEX('Per Invoice'!$K$2:$K$151,$L11)="","",INDEX('Per Invoice'!$K$2:$K$151,$L11)))</f>
        <v/>
      </c>
      <c r="L11">
        <f>IF(ROWS($L$2:$L11)&lt;=COUNT('Per Invoice'!$N$2:$N$151),MATCH(ROWS($L$2:$L11),'Per Invoice'!$N$2:$N$151,0),"")</f>
        <v/>
      </c>
    </row>
    <row r="12">
      <c r="A12">
        <f>IF($L12="","",IF(INDEX('Per Invoice'!$A$2:$A$151,$L12)="","",INDEX('Per Invoice'!$A$2:$A$151,$L12)))</f>
        <v/>
      </c>
      <c r="B12">
        <f>IF($L12="","",IF(INDEX('Per Invoice'!$B$2:$B$151,$L12)="","",INDEX('Per Invoice'!$B$2:$B$151,$L12)))</f>
        <v/>
      </c>
      <c r="C12">
        <f>IF($L12="","",IF(INDEX('Per Invoice'!$C$2:$C$151,$L12)="","",INDEX('Per Invoice'!$C$2:$C$151,$L12)))</f>
        <v/>
      </c>
      <c r="D12">
        <f>IF($L12="","",IF(INDEX('Per Invoice'!$D$2:$D$151,$L12)="","",INDEX('Per Invoice'!$D$2:$D$151,$L12)))</f>
        <v/>
      </c>
      <c r="E12">
        <f>IF($L12="","",IF(INDEX('Per Invoice'!$E$2:$E$151,$L12)="","",INDEX('Per Invoice'!$E$2:$E$151,$L12)))</f>
        <v/>
      </c>
      <c r="F12" s="5">
        <f>IF($L12="","",IF(INDEX('Per Invoice'!$F$2:$F$151,$L12)="","",INDEX('Per Invoice'!$F$2:$F$151,$L12)))</f>
        <v/>
      </c>
      <c r="G12" s="5">
        <f>IF($L12="","",IF(INDEX('Per Invoice'!$G$2:$G$151,$L12)="","",INDEX('Per Invoice'!$G$2:$G$151,$L12)))</f>
        <v/>
      </c>
      <c r="H12" s="5">
        <f>IF($L12="","",IF(INDEX('Per Invoice'!$H$2:$H$151,$L12)="","",INDEX('Per Invoice'!$H$2:$H$151,$L12)))</f>
        <v/>
      </c>
      <c r="I12" s="5">
        <f>IF($L12="","",IF(INDEX('Per Invoice'!$I$2:$I$151,$L12)="","",INDEX('Per Invoice'!$I$2:$I$151,$L12)))</f>
        <v/>
      </c>
      <c r="J12" s="5">
        <f>IF($L12="","",IF(INDEX('Per Invoice'!$J$2:$J$151,$L12)="","",INDEX('Per Invoice'!$J$2:$J$151,$L12)))</f>
        <v/>
      </c>
      <c r="K12">
        <f>IF($L12="","",IF(INDEX('Per Invoice'!$K$2:$K$151,$L12)="","",INDEX('Per Invoice'!$K$2:$K$151,$L12)))</f>
        <v/>
      </c>
      <c r="L12">
        <f>IF(ROWS($L$2:$L12)&lt;=COUNT('Per Invoice'!$N$2:$N$151),MATCH(ROWS($L$2:$L12),'Per Invoice'!$N$2:$N$151,0),"")</f>
        <v/>
      </c>
    </row>
    <row r="13">
      <c r="A13">
        <f>IF($L13="","",IF(INDEX('Per Invoice'!$A$2:$A$151,$L13)="","",INDEX('Per Invoice'!$A$2:$A$151,$L13)))</f>
        <v/>
      </c>
      <c r="B13">
        <f>IF($L13="","",IF(INDEX('Per Invoice'!$B$2:$B$151,$L13)="","",INDEX('Per Invoice'!$B$2:$B$151,$L13)))</f>
        <v/>
      </c>
      <c r="C13">
        <f>IF($L13="","",IF(INDEX('Per Invoice'!$C$2:$C$151,$L13)="","",INDEX('Per Invoice'!$C$2:$C$151,$L13)))</f>
        <v/>
      </c>
      <c r="D13">
        <f>IF($L13="","",IF(INDEX('Per Invoice'!$D$2:$D$151,$L13)="","",INDEX('Per Invoice'!$D$2:$D$151,$L13)))</f>
        <v/>
      </c>
      <c r="E13">
        <f>IF($L13="","",IF(INDEX('Per Invoice'!$E$2:$E$151,$L13)="","",INDEX('Per Invoice'!$E$2:$E$151,$L13)))</f>
        <v/>
      </c>
      <c r="F13" s="5">
        <f>IF($L13="","",IF(INDEX('Per Invoice'!$F$2:$F$151,$L13)="","",INDEX('Per Invoice'!$F$2:$F$151,$L13)))</f>
        <v/>
      </c>
      <c r="G13" s="5">
        <f>IF($L13="","",IF(INDEX('Per Invoice'!$G$2:$G$151,$L13)="","",INDEX('Per Invoice'!$G$2:$G$151,$L13)))</f>
        <v/>
      </c>
      <c r="H13" s="5">
        <f>IF($L13="","",IF(INDEX('Per Invoice'!$H$2:$H$151,$L13)="","",INDEX('Per Invoice'!$H$2:$H$151,$L13)))</f>
        <v/>
      </c>
      <c r="I13" s="5">
        <f>IF($L13="","",IF(INDEX('Per Invoice'!$I$2:$I$151,$L13)="","",INDEX('Per Invoice'!$I$2:$I$151,$L13)))</f>
        <v/>
      </c>
      <c r="J13" s="5">
        <f>IF($L13="","",IF(INDEX('Per Invoice'!$J$2:$J$151,$L13)="","",INDEX('Per Invoice'!$J$2:$J$151,$L13)))</f>
        <v/>
      </c>
      <c r="K13">
        <f>IF($L13="","",IF(INDEX('Per Invoice'!$K$2:$K$151,$L13)="","",INDEX('Per Invoice'!$K$2:$K$151,$L13)))</f>
        <v/>
      </c>
      <c r="L13">
        <f>IF(ROWS($L$2:$L13)&lt;=COUNT('Per Invoice'!$N$2:$N$151),MATCH(ROWS($L$2:$L13),'Per Invoice'!$N$2:$N$151,0),"")</f>
        <v/>
      </c>
    </row>
    <row r="14">
      <c r="A14">
        <f>IF($L14="","",IF(INDEX('Per Invoice'!$A$2:$A$151,$L14)="","",INDEX('Per Invoice'!$A$2:$A$151,$L14)))</f>
        <v/>
      </c>
      <c r="B14">
        <f>IF($L14="","",IF(INDEX('Per Invoice'!$B$2:$B$151,$L14)="","",INDEX('Per Invoice'!$B$2:$B$151,$L14)))</f>
        <v/>
      </c>
      <c r="C14">
        <f>IF($L14="","",IF(INDEX('Per Invoice'!$C$2:$C$151,$L14)="","",INDEX('Per Invoice'!$C$2:$C$151,$L14)))</f>
        <v/>
      </c>
      <c r="D14">
        <f>IF($L14="","",IF(INDEX('Per Invoice'!$D$2:$D$151,$L14)="","",INDEX('Per Invoice'!$D$2:$D$151,$L14)))</f>
        <v/>
      </c>
      <c r="E14">
        <f>IF($L14="","",IF(INDEX('Per Invoice'!$E$2:$E$151,$L14)="","",INDEX('Per Invoice'!$E$2:$E$151,$L14)))</f>
        <v/>
      </c>
      <c r="F14" s="5">
        <f>IF($L14="","",IF(INDEX('Per Invoice'!$F$2:$F$151,$L14)="","",INDEX('Per Invoice'!$F$2:$F$151,$L14)))</f>
        <v/>
      </c>
      <c r="G14" s="5">
        <f>IF($L14="","",IF(INDEX('Per Invoice'!$G$2:$G$151,$L14)="","",INDEX('Per Invoice'!$G$2:$G$151,$L14)))</f>
        <v/>
      </c>
      <c r="H14" s="5">
        <f>IF($L14="","",IF(INDEX('Per Invoice'!$H$2:$H$151,$L14)="","",INDEX('Per Invoice'!$H$2:$H$151,$L14)))</f>
        <v/>
      </c>
      <c r="I14" s="5">
        <f>IF($L14="","",IF(INDEX('Per Invoice'!$I$2:$I$151,$L14)="","",INDEX('Per Invoice'!$I$2:$I$151,$L14)))</f>
        <v/>
      </c>
      <c r="J14" s="5">
        <f>IF($L14="","",IF(INDEX('Per Invoice'!$J$2:$J$151,$L14)="","",INDEX('Per Invoice'!$J$2:$J$151,$L14)))</f>
        <v/>
      </c>
      <c r="K14">
        <f>IF($L14="","",IF(INDEX('Per Invoice'!$K$2:$K$151,$L14)="","",INDEX('Per Invoice'!$K$2:$K$151,$L14)))</f>
        <v/>
      </c>
      <c r="L14">
        <f>IF(ROWS($L$2:$L14)&lt;=COUNT('Per Invoice'!$N$2:$N$151),MATCH(ROWS($L$2:$L14),'Per Invoice'!$N$2:$N$151,0),"")</f>
        <v/>
      </c>
    </row>
    <row r="15">
      <c r="A15">
        <f>IF($L15="","",IF(INDEX('Per Invoice'!$A$2:$A$151,$L15)="","",INDEX('Per Invoice'!$A$2:$A$151,$L15)))</f>
        <v/>
      </c>
      <c r="B15">
        <f>IF($L15="","",IF(INDEX('Per Invoice'!$B$2:$B$151,$L15)="","",INDEX('Per Invoice'!$B$2:$B$151,$L15)))</f>
        <v/>
      </c>
      <c r="C15">
        <f>IF($L15="","",IF(INDEX('Per Invoice'!$C$2:$C$151,$L15)="","",INDEX('Per Invoice'!$C$2:$C$151,$L15)))</f>
        <v/>
      </c>
      <c r="D15">
        <f>IF($L15="","",IF(INDEX('Per Invoice'!$D$2:$D$151,$L15)="","",INDEX('Per Invoice'!$D$2:$D$151,$L15)))</f>
        <v/>
      </c>
      <c r="E15">
        <f>IF($L15="","",IF(INDEX('Per Invoice'!$E$2:$E$151,$L15)="","",INDEX('Per Invoice'!$E$2:$E$151,$L15)))</f>
        <v/>
      </c>
      <c r="F15" s="5">
        <f>IF($L15="","",IF(INDEX('Per Invoice'!$F$2:$F$151,$L15)="","",INDEX('Per Invoice'!$F$2:$F$151,$L15)))</f>
        <v/>
      </c>
      <c r="G15" s="5">
        <f>IF($L15="","",IF(INDEX('Per Invoice'!$G$2:$G$151,$L15)="","",INDEX('Per Invoice'!$G$2:$G$151,$L15)))</f>
        <v/>
      </c>
      <c r="H15" s="5">
        <f>IF($L15="","",IF(INDEX('Per Invoice'!$H$2:$H$151,$L15)="","",INDEX('Per Invoice'!$H$2:$H$151,$L15)))</f>
        <v/>
      </c>
      <c r="I15" s="5">
        <f>IF($L15="","",IF(INDEX('Per Invoice'!$I$2:$I$151,$L15)="","",INDEX('Per Invoice'!$I$2:$I$151,$L15)))</f>
        <v/>
      </c>
      <c r="J15" s="5">
        <f>IF($L15="","",IF(INDEX('Per Invoice'!$J$2:$J$151,$L15)="","",INDEX('Per Invoice'!$J$2:$J$151,$L15)))</f>
        <v/>
      </c>
      <c r="K15">
        <f>IF($L15="","",IF(INDEX('Per Invoice'!$K$2:$K$151,$L15)="","",INDEX('Per Invoice'!$K$2:$K$151,$L15)))</f>
        <v/>
      </c>
      <c r="L15">
        <f>IF(ROWS($L$2:$L15)&lt;=COUNT('Per Invoice'!$N$2:$N$151),MATCH(ROWS($L$2:$L15),'Per Invoice'!$N$2:$N$151,0),"")</f>
        <v/>
      </c>
    </row>
    <row r="16">
      <c r="A16">
        <f>IF($L16="","",IF(INDEX('Per Invoice'!$A$2:$A$151,$L16)="","",INDEX('Per Invoice'!$A$2:$A$151,$L16)))</f>
        <v/>
      </c>
      <c r="B16">
        <f>IF($L16="","",IF(INDEX('Per Invoice'!$B$2:$B$151,$L16)="","",INDEX('Per Invoice'!$B$2:$B$151,$L16)))</f>
        <v/>
      </c>
      <c r="C16">
        <f>IF($L16="","",IF(INDEX('Per Invoice'!$C$2:$C$151,$L16)="","",INDEX('Per Invoice'!$C$2:$C$151,$L16)))</f>
        <v/>
      </c>
      <c r="D16">
        <f>IF($L16="","",IF(INDEX('Per Invoice'!$D$2:$D$151,$L16)="","",INDEX('Per Invoice'!$D$2:$D$151,$L16)))</f>
        <v/>
      </c>
      <c r="E16">
        <f>IF($L16="","",IF(INDEX('Per Invoice'!$E$2:$E$151,$L16)="","",INDEX('Per Invoice'!$E$2:$E$151,$L16)))</f>
        <v/>
      </c>
      <c r="F16" s="5">
        <f>IF($L16="","",IF(INDEX('Per Invoice'!$F$2:$F$151,$L16)="","",INDEX('Per Invoice'!$F$2:$F$151,$L16)))</f>
        <v/>
      </c>
      <c r="G16" s="5">
        <f>IF($L16="","",IF(INDEX('Per Invoice'!$G$2:$G$151,$L16)="","",INDEX('Per Invoice'!$G$2:$G$151,$L16)))</f>
        <v/>
      </c>
      <c r="H16" s="5">
        <f>IF($L16="","",IF(INDEX('Per Invoice'!$H$2:$H$151,$L16)="","",INDEX('Per Invoice'!$H$2:$H$151,$L16)))</f>
        <v/>
      </c>
      <c r="I16" s="5">
        <f>IF($L16="","",IF(INDEX('Per Invoice'!$I$2:$I$151,$L16)="","",INDEX('Per Invoice'!$I$2:$I$151,$L16)))</f>
        <v/>
      </c>
      <c r="J16" s="5">
        <f>IF($L16="","",IF(INDEX('Per Invoice'!$J$2:$J$151,$L16)="","",INDEX('Per Invoice'!$J$2:$J$151,$L16)))</f>
        <v/>
      </c>
      <c r="K16">
        <f>IF($L16="","",IF(INDEX('Per Invoice'!$K$2:$K$151,$L16)="","",INDEX('Per Invoice'!$K$2:$K$151,$L16)))</f>
        <v/>
      </c>
      <c r="L16">
        <f>IF(ROWS($L$2:$L16)&lt;=COUNT('Per Invoice'!$N$2:$N$151),MATCH(ROWS($L$2:$L16),'Per Invoice'!$N$2:$N$151,0),"")</f>
        <v/>
      </c>
    </row>
    <row r="17">
      <c r="A17">
        <f>IF($L17="","",IF(INDEX('Per Invoice'!$A$2:$A$151,$L17)="","",INDEX('Per Invoice'!$A$2:$A$151,$L17)))</f>
        <v/>
      </c>
      <c r="B17">
        <f>IF($L17="","",IF(INDEX('Per Invoice'!$B$2:$B$151,$L17)="","",INDEX('Per Invoice'!$B$2:$B$151,$L17)))</f>
        <v/>
      </c>
      <c r="C17">
        <f>IF($L17="","",IF(INDEX('Per Invoice'!$C$2:$C$151,$L17)="","",INDEX('Per Invoice'!$C$2:$C$151,$L17)))</f>
        <v/>
      </c>
      <c r="D17">
        <f>IF($L17="","",IF(INDEX('Per Invoice'!$D$2:$D$151,$L17)="","",INDEX('Per Invoice'!$D$2:$D$151,$L17)))</f>
        <v/>
      </c>
      <c r="E17">
        <f>IF($L17="","",IF(INDEX('Per Invoice'!$E$2:$E$151,$L17)="","",INDEX('Per Invoice'!$E$2:$E$151,$L17)))</f>
        <v/>
      </c>
      <c r="F17" s="5">
        <f>IF($L17="","",IF(INDEX('Per Invoice'!$F$2:$F$151,$L17)="","",INDEX('Per Invoice'!$F$2:$F$151,$L17)))</f>
        <v/>
      </c>
      <c r="G17" s="5">
        <f>IF($L17="","",IF(INDEX('Per Invoice'!$G$2:$G$151,$L17)="","",INDEX('Per Invoice'!$G$2:$G$151,$L17)))</f>
        <v/>
      </c>
      <c r="H17" s="5">
        <f>IF($L17="","",IF(INDEX('Per Invoice'!$H$2:$H$151,$L17)="","",INDEX('Per Invoice'!$H$2:$H$151,$L17)))</f>
        <v/>
      </c>
      <c r="I17" s="5">
        <f>IF($L17="","",IF(INDEX('Per Invoice'!$I$2:$I$151,$L17)="","",INDEX('Per Invoice'!$I$2:$I$151,$L17)))</f>
        <v/>
      </c>
      <c r="J17" s="5">
        <f>IF($L17="","",IF(INDEX('Per Invoice'!$J$2:$J$151,$L17)="","",INDEX('Per Invoice'!$J$2:$J$151,$L17)))</f>
        <v/>
      </c>
      <c r="K17">
        <f>IF($L17="","",IF(INDEX('Per Invoice'!$K$2:$K$151,$L17)="","",INDEX('Per Invoice'!$K$2:$K$151,$L17)))</f>
        <v/>
      </c>
      <c r="L17">
        <f>IF(ROWS($L$2:$L17)&lt;=COUNT('Per Invoice'!$N$2:$N$151),MATCH(ROWS($L$2:$L17),'Per Invoice'!$N$2:$N$151,0),"")</f>
        <v/>
      </c>
    </row>
    <row r="18">
      <c r="A18">
        <f>IF($L18="","",IF(INDEX('Per Invoice'!$A$2:$A$151,$L18)="","",INDEX('Per Invoice'!$A$2:$A$151,$L18)))</f>
        <v/>
      </c>
      <c r="B18">
        <f>IF($L18="","",IF(INDEX('Per Invoice'!$B$2:$B$151,$L18)="","",INDEX('Per Invoice'!$B$2:$B$151,$L18)))</f>
        <v/>
      </c>
      <c r="C18">
        <f>IF($L18="","",IF(INDEX('Per Invoice'!$C$2:$C$151,$L18)="","",INDEX('Per Invoice'!$C$2:$C$151,$L18)))</f>
        <v/>
      </c>
      <c r="D18">
        <f>IF($L18="","",IF(INDEX('Per Invoice'!$D$2:$D$151,$L18)="","",INDEX('Per Invoice'!$D$2:$D$151,$L18)))</f>
        <v/>
      </c>
      <c r="E18">
        <f>IF($L18="","",IF(INDEX('Per Invoice'!$E$2:$E$151,$L18)="","",INDEX('Per Invoice'!$E$2:$E$151,$L18)))</f>
        <v/>
      </c>
      <c r="F18" s="5">
        <f>IF($L18="","",IF(INDEX('Per Invoice'!$F$2:$F$151,$L18)="","",INDEX('Per Invoice'!$F$2:$F$151,$L18)))</f>
        <v/>
      </c>
      <c r="G18" s="5">
        <f>IF($L18="","",IF(INDEX('Per Invoice'!$G$2:$G$151,$L18)="","",INDEX('Per Invoice'!$G$2:$G$151,$L18)))</f>
        <v/>
      </c>
      <c r="H18" s="5">
        <f>IF($L18="","",IF(INDEX('Per Invoice'!$H$2:$H$151,$L18)="","",INDEX('Per Invoice'!$H$2:$H$151,$L18)))</f>
        <v/>
      </c>
      <c r="I18" s="5">
        <f>IF($L18="","",IF(INDEX('Per Invoice'!$I$2:$I$151,$L18)="","",INDEX('Per Invoice'!$I$2:$I$151,$L18)))</f>
        <v/>
      </c>
      <c r="J18" s="5">
        <f>IF($L18="","",IF(INDEX('Per Invoice'!$J$2:$J$151,$L18)="","",INDEX('Per Invoice'!$J$2:$J$151,$L18)))</f>
        <v/>
      </c>
      <c r="K18">
        <f>IF($L18="","",IF(INDEX('Per Invoice'!$K$2:$K$151,$L18)="","",INDEX('Per Invoice'!$K$2:$K$151,$L18)))</f>
        <v/>
      </c>
      <c r="L18">
        <f>IF(ROWS($L$2:$L18)&lt;=COUNT('Per Invoice'!$N$2:$N$151),MATCH(ROWS($L$2:$L18),'Per Invoice'!$N$2:$N$151,0),"")</f>
        <v/>
      </c>
    </row>
    <row r="19">
      <c r="A19">
        <f>IF($L19="","",IF(INDEX('Per Invoice'!$A$2:$A$151,$L19)="","",INDEX('Per Invoice'!$A$2:$A$151,$L19)))</f>
        <v/>
      </c>
      <c r="B19">
        <f>IF($L19="","",IF(INDEX('Per Invoice'!$B$2:$B$151,$L19)="","",INDEX('Per Invoice'!$B$2:$B$151,$L19)))</f>
        <v/>
      </c>
      <c r="C19">
        <f>IF($L19="","",IF(INDEX('Per Invoice'!$C$2:$C$151,$L19)="","",INDEX('Per Invoice'!$C$2:$C$151,$L19)))</f>
        <v/>
      </c>
      <c r="D19">
        <f>IF($L19="","",IF(INDEX('Per Invoice'!$D$2:$D$151,$L19)="","",INDEX('Per Invoice'!$D$2:$D$151,$L19)))</f>
        <v/>
      </c>
      <c r="E19">
        <f>IF($L19="","",IF(INDEX('Per Invoice'!$E$2:$E$151,$L19)="","",INDEX('Per Invoice'!$E$2:$E$151,$L19)))</f>
        <v/>
      </c>
      <c r="F19" s="5">
        <f>IF($L19="","",IF(INDEX('Per Invoice'!$F$2:$F$151,$L19)="","",INDEX('Per Invoice'!$F$2:$F$151,$L19)))</f>
        <v/>
      </c>
      <c r="G19" s="5">
        <f>IF($L19="","",IF(INDEX('Per Invoice'!$G$2:$G$151,$L19)="","",INDEX('Per Invoice'!$G$2:$G$151,$L19)))</f>
        <v/>
      </c>
      <c r="H19" s="5">
        <f>IF($L19="","",IF(INDEX('Per Invoice'!$H$2:$H$151,$L19)="","",INDEX('Per Invoice'!$H$2:$H$151,$L19)))</f>
        <v/>
      </c>
      <c r="I19" s="5">
        <f>IF($L19="","",IF(INDEX('Per Invoice'!$I$2:$I$151,$L19)="","",INDEX('Per Invoice'!$I$2:$I$151,$L19)))</f>
        <v/>
      </c>
      <c r="J19" s="5">
        <f>IF($L19="","",IF(INDEX('Per Invoice'!$J$2:$J$151,$L19)="","",INDEX('Per Invoice'!$J$2:$J$151,$L19)))</f>
        <v/>
      </c>
      <c r="K19">
        <f>IF($L19="","",IF(INDEX('Per Invoice'!$K$2:$K$151,$L19)="","",INDEX('Per Invoice'!$K$2:$K$151,$L19)))</f>
        <v/>
      </c>
      <c r="L19">
        <f>IF(ROWS($L$2:$L19)&lt;=COUNT('Per Invoice'!$N$2:$N$151),MATCH(ROWS($L$2:$L19),'Per Invoice'!$N$2:$N$151,0),"")</f>
        <v/>
      </c>
    </row>
    <row r="20">
      <c r="A20">
        <f>IF($L20="","",IF(INDEX('Per Invoice'!$A$2:$A$151,$L20)="","",INDEX('Per Invoice'!$A$2:$A$151,$L20)))</f>
        <v/>
      </c>
      <c r="B20">
        <f>IF($L20="","",IF(INDEX('Per Invoice'!$B$2:$B$151,$L20)="","",INDEX('Per Invoice'!$B$2:$B$151,$L20)))</f>
        <v/>
      </c>
      <c r="C20">
        <f>IF($L20="","",IF(INDEX('Per Invoice'!$C$2:$C$151,$L20)="","",INDEX('Per Invoice'!$C$2:$C$151,$L20)))</f>
        <v/>
      </c>
      <c r="D20">
        <f>IF($L20="","",IF(INDEX('Per Invoice'!$D$2:$D$151,$L20)="","",INDEX('Per Invoice'!$D$2:$D$151,$L20)))</f>
        <v/>
      </c>
      <c r="E20">
        <f>IF($L20="","",IF(INDEX('Per Invoice'!$E$2:$E$151,$L20)="","",INDEX('Per Invoice'!$E$2:$E$151,$L20)))</f>
        <v/>
      </c>
      <c r="F20" s="5">
        <f>IF($L20="","",IF(INDEX('Per Invoice'!$F$2:$F$151,$L20)="","",INDEX('Per Invoice'!$F$2:$F$151,$L20)))</f>
        <v/>
      </c>
      <c r="G20" s="5">
        <f>IF($L20="","",IF(INDEX('Per Invoice'!$G$2:$G$151,$L20)="","",INDEX('Per Invoice'!$G$2:$G$151,$L20)))</f>
        <v/>
      </c>
      <c r="H20" s="5">
        <f>IF($L20="","",IF(INDEX('Per Invoice'!$H$2:$H$151,$L20)="","",INDEX('Per Invoice'!$H$2:$H$151,$L20)))</f>
        <v/>
      </c>
      <c r="I20" s="5">
        <f>IF($L20="","",IF(INDEX('Per Invoice'!$I$2:$I$151,$L20)="","",INDEX('Per Invoice'!$I$2:$I$151,$L20)))</f>
        <v/>
      </c>
      <c r="J20" s="5">
        <f>IF($L20="","",IF(INDEX('Per Invoice'!$J$2:$J$151,$L20)="","",INDEX('Per Invoice'!$J$2:$J$151,$L20)))</f>
        <v/>
      </c>
      <c r="K20">
        <f>IF($L20="","",IF(INDEX('Per Invoice'!$K$2:$K$151,$L20)="","",INDEX('Per Invoice'!$K$2:$K$151,$L20)))</f>
        <v/>
      </c>
      <c r="L20">
        <f>IF(ROWS($L$2:$L20)&lt;=COUNT('Per Invoice'!$N$2:$N$151),MATCH(ROWS($L$2:$L20),'Per Invoice'!$N$2:$N$151,0),"")</f>
        <v/>
      </c>
    </row>
    <row r="21">
      <c r="A21">
        <f>IF($L21="","",IF(INDEX('Per Invoice'!$A$2:$A$151,$L21)="","",INDEX('Per Invoice'!$A$2:$A$151,$L21)))</f>
        <v/>
      </c>
      <c r="B21">
        <f>IF($L21="","",IF(INDEX('Per Invoice'!$B$2:$B$151,$L21)="","",INDEX('Per Invoice'!$B$2:$B$151,$L21)))</f>
        <v/>
      </c>
      <c r="C21">
        <f>IF($L21="","",IF(INDEX('Per Invoice'!$C$2:$C$151,$L21)="","",INDEX('Per Invoice'!$C$2:$C$151,$L21)))</f>
        <v/>
      </c>
      <c r="D21">
        <f>IF($L21="","",IF(INDEX('Per Invoice'!$D$2:$D$151,$L21)="","",INDEX('Per Invoice'!$D$2:$D$151,$L21)))</f>
        <v/>
      </c>
      <c r="E21">
        <f>IF($L21="","",IF(INDEX('Per Invoice'!$E$2:$E$151,$L21)="","",INDEX('Per Invoice'!$E$2:$E$151,$L21)))</f>
        <v/>
      </c>
      <c r="F21" s="5">
        <f>IF($L21="","",IF(INDEX('Per Invoice'!$F$2:$F$151,$L21)="","",INDEX('Per Invoice'!$F$2:$F$151,$L21)))</f>
        <v/>
      </c>
      <c r="G21" s="5">
        <f>IF($L21="","",IF(INDEX('Per Invoice'!$G$2:$G$151,$L21)="","",INDEX('Per Invoice'!$G$2:$G$151,$L21)))</f>
        <v/>
      </c>
      <c r="H21" s="5">
        <f>IF($L21="","",IF(INDEX('Per Invoice'!$H$2:$H$151,$L21)="","",INDEX('Per Invoice'!$H$2:$H$151,$L21)))</f>
        <v/>
      </c>
      <c r="I21" s="5">
        <f>IF($L21="","",IF(INDEX('Per Invoice'!$I$2:$I$151,$L21)="","",INDEX('Per Invoice'!$I$2:$I$151,$L21)))</f>
        <v/>
      </c>
      <c r="J21" s="5">
        <f>IF($L21="","",IF(INDEX('Per Invoice'!$J$2:$J$151,$L21)="","",INDEX('Per Invoice'!$J$2:$J$151,$L21)))</f>
        <v/>
      </c>
      <c r="K21">
        <f>IF($L21="","",IF(INDEX('Per Invoice'!$K$2:$K$151,$L21)="","",INDEX('Per Invoice'!$K$2:$K$151,$L21)))</f>
        <v/>
      </c>
      <c r="L21">
        <f>IF(ROWS($L$2:$L21)&lt;=COUNT('Per Invoice'!$N$2:$N$151),MATCH(ROWS($L$2:$L21),'Per Invoice'!$N$2:$N$151,0),"")</f>
        <v/>
      </c>
    </row>
    <row r="22">
      <c r="A22">
        <f>IF($L22="","",IF(INDEX('Per Invoice'!$A$2:$A$151,$L22)="","",INDEX('Per Invoice'!$A$2:$A$151,$L22)))</f>
        <v/>
      </c>
      <c r="B22">
        <f>IF($L22="","",IF(INDEX('Per Invoice'!$B$2:$B$151,$L22)="","",INDEX('Per Invoice'!$B$2:$B$151,$L22)))</f>
        <v/>
      </c>
      <c r="C22">
        <f>IF($L22="","",IF(INDEX('Per Invoice'!$C$2:$C$151,$L22)="","",INDEX('Per Invoice'!$C$2:$C$151,$L22)))</f>
        <v/>
      </c>
      <c r="D22">
        <f>IF($L22="","",IF(INDEX('Per Invoice'!$D$2:$D$151,$L22)="","",INDEX('Per Invoice'!$D$2:$D$151,$L22)))</f>
        <v/>
      </c>
      <c r="E22">
        <f>IF($L22="","",IF(INDEX('Per Invoice'!$E$2:$E$151,$L22)="","",INDEX('Per Invoice'!$E$2:$E$151,$L22)))</f>
        <v/>
      </c>
      <c r="F22" s="5">
        <f>IF($L22="","",IF(INDEX('Per Invoice'!$F$2:$F$151,$L22)="","",INDEX('Per Invoice'!$F$2:$F$151,$L22)))</f>
        <v/>
      </c>
      <c r="G22" s="5">
        <f>IF($L22="","",IF(INDEX('Per Invoice'!$G$2:$G$151,$L22)="","",INDEX('Per Invoice'!$G$2:$G$151,$L22)))</f>
        <v/>
      </c>
      <c r="H22" s="5">
        <f>IF($L22="","",IF(INDEX('Per Invoice'!$H$2:$H$151,$L22)="","",INDEX('Per Invoice'!$H$2:$H$151,$L22)))</f>
        <v/>
      </c>
      <c r="I22" s="5">
        <f>IF($L22="","",IF(INDEX('Per Invoice'!$I$2:$I$151,$L22)="","",INDEX('Per Invoice'!$I$2:$I$151,$L22)))</f>
        <v/>
      </c>
      <c r="J22" s="5">
        <f>IF($L22="","",IF(INDEX('Per Invoice'!$J$2:$J$151,$L22)="","",INDEX('Per Invoice'!$J$2:$J$151,$L22)))</f>
        <v/>
      </c>
      <c r="K22">
        <f>IF($L22="","",IF(INDEX('Per Invoice'!$K$2:$K$151,$L22)="","",INDEX('Per Invoice'!$K$2:$K$151,$L22)))</f>
        <v/>
      </c>
      <c r="L22">
        <f>IF(ROWS($L$2:$L22)&lt;=COUNT('Per Invoice'!$N$2:$N$151),MATCH(ROWS($L$2:$L22),'Per Invoice'!$N$2:$N$151,0),"")</f>
        <v/>
      </c>
    </row>
    <row r="23">
      <c r="A23">
        <f>IF($L23="","",IF(INDEX('Per Invoice'!$A$2:$A$151,$L23)="","",INDEX('Per Invoice'!$A$2:$A$151,$L23)))</f>
        <v/>
      </c>
      <c r="B23">
        <f>IF($L23="","",IF(INDEX('Per Invoice'!$B$2:$B$151,$L23)="","",INDEX('Per Invoice'!$B$2:$B$151,$L23)))</f>
        <v/>
      </c>
      <c r="C23">
        <f>IF($L23="","",IF(INDEX('Per Invoice'!$C$2:$C$151,$L23)="","",INDEX('Per Invoice'!$C$2:$C$151,$L23)))</f>
        <v/>
      </c>
      <c r="D23">
        <f>IF($L23="","",IF(INDEX('Per Invoice'!$D$2:$D$151,$L23)="","",INDEX('Per Invoice'!$D$2:$D$151,$L23)))</f>
        <v/>
      </c>
      <c r="E23">
        <f>IF($L23="","",IF(INDEX('Per Invoice'!$E$2:$E$151,$L23)="","",INDEX('Per Invoice'!$E$2:$E$151,$L23)))</f>
        <v/>
      </c>
      <c r="F23" s="5">
        <f>IF($L23="","",IF(INDEX('Per Invoice'!$F$2:$F$151,$L23)="","",INDEX('Per Invoice'!$F$2:$F$151,$L23)))</f>
        <v/>
      </c>
      <c r="G23" s="5">
        <f>IF($L23="","",IF(INDEX('Per Invoice'!$G$2:$G$151,$L23)="","",INDEX('Per Invoice'!$G$2:$G$151,$L23)))</f>
        <v/>
      </c>
      <c r="H23" s="5">
        <f>IF($L23="","",IF(INDEX('Per Invoice'!$H$2:$H$151,$L23)="","",INDEX('Per Invoice'!$H$2:$H$151,$L23)))</f>
        <v/>
      </c>
      <c r="I23" s="5">
        <f>IF($L23="","",IF(INDEX('Per Invoice'!$I$2:$I$151,$L23)="","",INDEX('Per Invoice'!$I$2:$I$151,$L23)))</f>
        <v/>
      </c>
      <c r="J23" s="5">
        <f>IF($L23="","",IF(INDEX('Per Invoice'!$J$2:$J$151,$L23)="","",INDEX('Per Invoice'!$J$2:$J$151,$L23)))</f>
        <v/>
      </c>
      <c r="K23">
        <f>IF($L23="","",IF(INDEX('Per Invoice'!$K$2:$K$151,$L23)="","",INDEX('Per Invoice'!$K$2:$K$151,$L23)))</f>
        <v/>
      </c>
      <c r="L23">
        <f>IF(ROWS($L$2:$L23)&lt;=COUNT('Per Invoice'!$N$2:$N$151),MATCH(ROWS($L$2:$L23),'Per Invoice'!$N$2:$N$151,0),"")</f>
        <v/>
      </c>
    </row>
    <row r="24">
      <c r="A24">
        <f>IF($L24="","",IF(INDEX('Per Invoice'!$A$2:$A$151,$L24)="","",INDEX('Per Invoice'!$A$2:$A$151,$L24)))</f>
        <v/>
      </c>
      <c r="B24">
        <f>IF($L24="","",IF(INDEX('Per Invoice'!$B$2:$B$151,$L24)="","",INDEX('Per Invoice'!$B$2:$B$151,$L24)))</f>
        <v/>
      </c>
      <c r="C24">
        <f>IF($L24="","",IF(INDEX('Per Invoice'!$C$2:$C$151,$L24)="","",INDEX('Per Invoice'!$C$2:$C$151,$L24)))</f>
        <v/>
      </c>
      <c r="D24">
        <f>IF($L24="","",IF(INDEX('Per Invoice'!$D$2:$D$151,$L24)="","",INDEX('Per Invoice'!$D$2:$D$151,$L24)))</f>
        <v/>
      </c>
      <c r="E24">
        <f>IF($L24="","",IF(INDEX('Per Invoice'!$E$2:$E$151,$L24)="","",INDEX('Per Invoice'!$E$2:$E$151,$L24)))</f>
        <v/>
      </c>
      <c r="F24" s="5">
        <f>IF($L24="","",IF(INDEX('Per Invoice'!$F$2:$F$151,$L24)="","",INDEX('Per Invoice'!$F$2:$F$151,$L24)))</f>
        <v/>
      </c>
      <c r="G24" s="5">
        <f>IF($L24="","",IF(INDEX('Per Invoice'!$G$2:$G$151,$L24)="","",INDEX('Per Invoice'!$G$2:$G$151,$L24)))</f>
        <v/>
      </c>
      <c r="H24" s="5">
        <f>IF($L24="","",IF(INDEX('Per Invoice'!$H$2:$H$151,$L24)="","",INDEX('Per Invoice'!$H$2:$H$151,$L24)))</f>
        <v/>
      </c>
      <c r="I24" s="5">
        <f>IF($L24="","",IF(INDEX('Per Invoice'!$I$2:$I$151,$L24)="","",INDEX('Per Invoice'!$I$2:$I$151,$L24)))</f>
        <v/>
      </c>
      <c r="J24" s="5">
        <f>IF($L24="","",IF(INDEX('Per Invoice'!$J$2:$J$151,$L24)="","",INDEX('Per Invoice'!$J$2:$J$151,$L24)))</f>
        <v/>
      </c>
      <c r="K24">
        <f>IF($L24="","",IF(INDEX('Per Invoice'!$K$2:$K$151,$L24)="","",INDEX('Per Invoice'!$K$2:$K$151,$L24)))</f>
        <v/>
      </c>
      <c r="L24">
        <f>IF(ROWS($L$2:$L24)&lt;=COUNT('Per Invoice'!$N$2:$N$151),MATCH(ROWS($L$2:$L24),'Per Invoice'!$N$2:$N$151,0),"")</f>
        <v/>
      </c>
    </row>
    <row r="25">
      <c r="A25">
        <f>IF($L25="","",IF(INDEX('Per Invoice'!$A$2:$A$151,$L25)="","",INDEX('Per Invoice'!$A$2:$A$151,$L25)))</f>
        <v/>
      </c>
      <c r="B25">
        <f>IF($L25="","",IF(INDEX('Per Invoice'!$B$2:$B$151,$L25)="","",INDEX('Per Invoice'!$B$2:$B$151,$L25)))</f>
        <v/>
      </c>
      <c r="C25">
        <f>IF($L25="","",IF(INDEX('Per Invoice'!$C$2:$C$151,$L25)="","",INDEX('Per Invoice'!$C$2:$C$151,$L25)))</f>
        <v/>
      </c>
      <c r="D25">
        <f>IF($L25="","",IF(INDEX('Per Invoice'!$D$2:$D$151,$L25)="","",INDEX('Per Invoice'!$D$2:$D$151,$L25)))</f>
        <v/>
      </c>
      <c r="E25">
        <f>IF($L25="","",IF(INDEX('Per Invoice'!$E$2:$E$151,$L25)="","",INDEX('Per Invoice'!$E$2:$E$151,$L25)))</f>
        <v/>
      </c>
      <c r="F25" s="5">
        <f>IF($L25="","",IF(INDEX('Per Invoice'!$F$2:$F$151,$L25)="","",INDEX('Per Invoice'!$F$2:$F$151,$L25)))</f>
        <v/>
      </c>
      <c r="G25" s="5">
        <f>IF($L25="","",IF(INDEX('Per Invoice'!$G$2:$G$151,$L25)="","",INDEX('Per Invoice'!$G$2:$G$151,$L25)))</f>
        <v/>
      </c>
      <c r="H25" s="5">
        <f>IF($L25="","",IF(INDEX('Per Invoice'!$H$2:$H$151,$L25)="","",INDEX('Per Invoice'!$H$2:$H$151,$L25)))</f>
        <v/>
      </c>
      <c r="I25" s="5">
        <f>IF($L25="","",IF(INDEX('Per Invoice'!$I$2:$I$151,$L25)="","",INDEX('Per Invoice'!$I$2:$I$151,$L25)))</f>
        <v/>
      </c>
      <c r="J25" s="5">
        <f>IF($L25="","",IF(INDEX('Per Invoice'!$J$2:$J$151,$L25)="","",INDEX('Per Invoice'!$J$2:$J$151,$L25)))</f>
        <v/>
      </c>
      <c r="K25">
        <f>IF($L25="","",IF(INDEX('Per Invoice'!$K$2:$K$151,$L25)="","",INDEX('Per Invoice'!$K$2:$K$151,$L25)))</f>
        <v/>
      </c>
      <c r="L25">
        <f>IF(ROWS($L$2:$L25)&lt;=COUNT('Per Invoice'!$N$2:$N$151),MATCH(ROWS($L$2:$L25),'Per Invoice'!$N$2:$N$151,0),"")</f>
        <v/>
      </c>
    </row>
    <row r="26">
      <c r="A26">
        <f>IF($L26="","",IF(INDEX('Per Invoice'!$A$2:$A$151,$L26)="","",INDEX('Per Invoice'!$A$2:$A$151,$L26)))</f>
        <v/>
      </c>
      <c r="B26">
        <f>IF($L26="","",IF(INDEX('Per Invoice'!$B$2:$B$151,$L26)="","",INDEX('Per Invoice'!$B$2:$B$151,$L26)))</f>
        <v/>
      </c>
      <c r="C26">
        <f>IF($L26="","",IF(INDEX('Per Invoice'!$C$2:$C$151,$L26)="","",INDEX('Per Invoice'!$C$2:$C$151,$L26)))</f>
        <v/>
      </c>
      <c r="D26">
        <f>IF($L26="","",IF(INDEX('Per Invoice'!$D$2:$D$151,$L26)="","",INDEX('Per Invoice'!$D$2:$D$151,$L26)))</f>
        <v/>
      </c>
      <c r="E26">
        <f>IF($L26="","",IF(INDEX('Per Invoice'!$E$2:$E$151,$L26)="","",INDEX('Per Invoice'!$E$2:$E$151,$L26)))</f>
        <v/>
      </c>
      <c r="F26" s="5">
        <f>IF($L26="","",IF(INDEX('Per Invoice'!$F$2:$F$151,$L26)="","",INDEX('Per Invoice'!$F$2:$F$151,$L26)))</f>
        <v/>
      </c>
      <c r="G26" s="5">
        <f>IF($L26="","",IF(INDEX('Per Invoice'!$G$2:$G$151,$L26)="","",INDEX('Per Invoice'!$G$2:$G$151,$L26)))</f>
        <v/>
      </c>
      <c r="H26" s="5">
        <f>IF($L26="","",IF(INDEX('Per Invoice'!$H$2:$H$151,$L26)="","",INDEX('Per Invoice'!$H$2:$H$151,$L26)))</f>
        <v/>
      </c>
      <c r="I26" s="5">
        <f>IF($L26="","",IF(INDEX('Per Invoice'!$I$2:$I$151,$L26)="","",INDEX('Per Invoice'!$I$2:$I$151,$L26)))</f>
        <v/>
      </c>
      <c r="J26" s="5">
        <f>IF($L26="","",IF(INDEX('Per Invoice'!$J$2:$J$151,$L26)="","",INDEX('Per Invoice'!$J$2:$J$151,$L26)))</f>
        <v/>
      </c>
      <c r="K26">
        <f>IF($L26="","",IF(INDEX('Per Invoice'!$K$2:$K$151,$L26)="","",INDEX('Per Invoice'!$K$2:$K$151,$L26)))</f>
        <v/>
      </c>
      <c r="L26">
        <f>IF(ROWS($L$2:$L26)&lt;=COUNT('Per Invoice'!$N$2:$N$151),MATCH(ROWS($L$2:$L26),'Per Invoice'!$N$2:$N$151,0),"")</f>
        <v/>
      </c>
    </row>
    <row r="27">
      <c r="A27">
        <f>IF($L27="","",IF(INDEX('Per Invoice'!$A$2:$A$151,$L27)="","",INDEX('Per Invoice'!$A$2:$A$151,$L27)))</f>
        <v/>
      </c>
      <c r="B27">
        <f>IF($L27="","",IF(INDEX('Per Invoice'!$B$2:$B$151,$L27)="","",INDEX('Per Invoice'!$B$2:$B$151,$L27)))</f>
        <v/>
      </c>
      <c r="C27">
        <f>IF($L27="","",IF(INDEX('Per Invoice'!$C$2:$C$151,$L27)="","",INDEX('Per Invoice'!$C$2:$C$151,$L27)))</f>
        <v/>
      </c>
      <c r="D27">
        <f>IF($L27="","",IF(INDEX('Per Invoice'!$D$2:$D$151,$L27)="","",INDEX('Per Invoice'!$D$2:$D$151,$L27)))</f>
        <v/>
      </c>
      <c r="E27">
        <f>IF($L27="","",IF(INDEX('Per Invoice'!$E$2:$E$151,$L27)="","",INDEX('Per Invoice'!$E$2:$E$151,$L27)))</f>
        <v/>
      </c>
      <c r="F27" s="5">
        <f>IF($L27="","",IF(INDEX('Per Invoice'!$F$2:$F$151,$L27)="","",INDEX('Per Invoice'!$F$2:$F$151,$L27)))</f>
        <v/>
      </c>
      <c r="G27" s="5">
        <f>IF($L27="","",IF(INDEX('Per Invoice'!$G$2:$G$151,$L27)="","",INDEX('Per Invoice'!$G$2:$G$151,$L27)))</f>
        <v/>
      </c>
      <c r="H27" s="5">
        <f>IF($L27="","",IF(INDEX('Per Invoice'!$H$2:$H$151,$L27)="","",INDEX('Per Invoice'!$H$2:$H$151,$L27)))</f>
        <v/>
      </c>
      <c r="I27" s="5">
        <f>IF($L27="","",IF(INDEX('Per Invoice'!$I$2:$I$151,$L27)="","",INDEX('Per Invoice'!$I$2:$I$151,$L27)))</f>
        <v/>
      </c>
      <c r="J27" s="5">
        <f>IF($L27="","",IF(INDEX('Per Invoice'!$J$2:$J$151,$L27)="","",INDEX('Per Invoice'!$J$2:$J$151,$L27)))</f>
        <v/>
      </c>
      <c r="K27">
        <f>IF($L27="","",IF(INDEX('Per Invoice'!$K$2:$K$151,$L27)="","",INDEX('Per Invoice'!$K$2:$K$151,$L27)))</f>
        <v/>
      </c>
      <c r="L27">
        <f>IF(ROWS($L$2:$L27)&lt;=COUNT('Per Invoice'!$N$2:$N$151),MATCH(ROWS($L$2:$L27),'Per Invoice'!$N$2:$N$151,0),"")</f>
        <v/>
      </c>
    </row>
    <row r="28">
      <c r="A28">
        <f>IF($L28="","",IF(INDEX('Per Invoice'!$A$2:$A$151,$L28)="","",INDEX('Per Invoice'!$A$2:$A$151,$L28)))</f>
        <v/>
      </c>
      <c r="B28">
        <f>IF($L28="","",IF(INDEX('Per Invoice'!$B$2:$B$151,$L28)="","",INDEX('Per Invoice'!$B$2:$B$151,$L28)))</f>
        <v/>
      </c>
      <c r="C28">
        <f>IF($L28="","",IF(INDEX('Per Invoice'!$C$2:$C$151,$L28)="","",INDEX('Per Invoice'!$C$2:$C$151,$L28)))</f>
        <v/>
      </c>
      <c r="D28">
        <f>IF($L28="","",IF(INDEX('Per Invoice'!$D$2:$D$151,$L28)="","",INDEX('Per Invoice'!$D$2:$D$151,$L28)))</f>
        <v/>
      </c>
      <c r="E28">
        <f>IF($L28="","",IF(INDEX('Per Invoice'!$E$2:$E$151,$L28)="","",INDEX('Per Invoice'!$E$2:$E$151,$L28)))</f>
        <v/>
      </c>
      <c r="F28" s="5">
        <f>IF($L28="","",IF(INDEX('Per Invoice'!$F$2:$F$151,$L28)="","",INDEX('Per Invoice'!$F$2:$F$151,$L28)))</f>
        <v/>
      </c>
      <c r="G28" s="5">
        <f>IF($L28="","",IF(INDEX('Per Invoice'!$G$2:$G$151,$L28)="","",INDEX('Per Invoice'!$G$2:$G$151,$L28)))</f>
        <v/>
      </c>
      <c r="H28" s="5">
        <f>IF($L28="","",IF(INDEX('Per Invoice'!$H$2:$H$151,$L28)="","",INDEX('Per Invoice'!$H$2:$H$151,$L28)))</f>
        <v/>
      </c>
      <c r="I28" s="5">
        <f>IF($L28="","",IF(INDEX('Per Invoice'!$I$2:$I$151,$L28)="","",INDEX('Per Invoice'!$I$2:$I$151,$L28)))</f>
        <v/>
      </c>
      <c r="J28" s="5">
        <f>IF($L28="","",IF(INDEX('Per Invoice'!$J$2:$J$151,$L28)="","",INDEX('Per Invoice'!$J$2:$J$151,$L28)))</f>
        <v/>
      </c>
      <c r="K28">
        <f>IF($L28="","",IF(INDEX('Per Invoice'!$K$2:$K$151,$L28)="","",INDEX('Per Invoice'!$K$2:$K$151,$L28)))</f>
        <v/>
      </c>
      <c r="L28">
        <f>IF(ROWS($L$2:$L28)&lt;=COUNT('Per Invoice'!$N$2:$N$151),MATCH(ROWS($L$2:$L28),'Per Invoice'!$N$2:$N$151,0),"")</f>
        <v/>
      </c>
    </row>
    <row r="29">
      <c r="A29">
        <f>IF($L29="","",IF(INDEX('Per Invoice'!$A$2:$A$151,$L29)="","",INDEX('Per Invoice'!$A$2:$A$151,$L29)))</f>
        <v/>
      </c>
      <c r="B29">
        <f>IF($L29="","",IF(INDEX('Per Invoice'!$B$2:$B$151,$L29)="","",INDEX('Per Invoice'!$B$2:$B$151,$L29)))</f>
        <v/>
      </c>
      <c r="C29">
        <f>IF($L29="","",IF(INDEX('Per Invoice'!$C$2:$C$151,$L29)="","",INDEX('Per Invoice'!$C$2:$C$151,$L29)))</f>
        <v/>
      </c>
      <c r="D29">
        <f>IF($L29="","",IF(INDEX('Per Invoice'!$D$2:$D$151,$L29)="","",INDEX('Per Invoice'!$D$2:$D$151,$L29)))</f>
        <v/>
      </c>
      <c r="E29">
        <f>IF($L29="","",IF(INDEX('Per Invoice'!$E$2:$E$151,$L29)="","",INDEX('Per Invoice'!$E$2:$E$151,$L29)))</f>
        <v/>
      </c>
      <c r="F29" s="5">
        <f>IF($L29="","",IF(INDEX('Per Invoice'!$F$2:$F$151,$L29)="","",INDEX('Per Invoice'!$F$2:$F$151,$L29)))</f>
        <v/>
      </c>
      <c r="G29" s="5">
        <f>IF($L29="","",IF(INDEX('Per Invoice'!$G$2:$G$151,$L29)="","",INDEX('Per Invoice'!$G$2:$G$151,$L29)))</f>
        <v/>
      </c>
      <c r="H29" s="5">
        <f>IF($L29="","",IF(INDEX('Per Invoice'!$H$2:$H$151,$L29)="","",INDEX('Per Invoice'!$H$2:$H$151,$L29)))</f>
        <v/>
      </c>
      <c r="I29" s="5">
        <f>IF($L29="","",IF(INDEX('Per Invoice'!$I$2:$I$151,$L29)="","",INDEX('Per Invoice'!$I$2:$I$151,$L29)))</f>
        <v/>
      </c>
      <c r="J29" s="5">
        <f>IF($L29="","",IF(INDEX('Per Invoice'!$J$2:$J$151,$L29)="","",INDEX('Per Invoice'!$J$2:$J$151,$L29)))</f>
        <v/>
      </c>
      <c r="K29">
        <f>IF($L29="","",IF(INDEX('Per Invoice'!$K$2:$K$151,$L29)="","",INDEX('Per Invoice'!$K$2:$K$151,$L29)))</f>
        <v/>
      </c>
      <c r="L29">
        <f>IF(ROWS($L$2:$L29)&lt;=COUNT('Per Invoice'!$N$2:$N$151),MATCH(ROWS($L$2:$L29),'Per Invoice'!$N$2:$N$151,0),"")</f>
        <v/>
      </c>
    </row>
    <row r="30">
      <c r="A30">
        <f>IF($L30="","",IF(INDEX('Per Invoice'!$A$2:$A$151,$L30)="","",INDEX('Per Invoice'!$A$2:$A$151,$L30)))</f>
        <v/>
      </c>
      <c r="B30">
        <f>IF($L30="","",IF(INDEX('Per Invoice'!$B$2:$B$151,$L30)="","",INDEX('Per Invoice'!$B$2:$B$151,$L30)))</f>
        <v/>
      </c>
      <c r="C30">
        <f>IF($L30="","",IF(INDEX('Per Invoice'!$C$2:$C$151,$L30)="","",INDEX('Per Invoice'!$C$2:$C$151,$L30)))</f>
        <v/>
      </c>
      <c r="D30">
        <f>IF($L30="","",IF(INDEX('Per Invoice'!$D$2:$D$151,$L30)="","",INDEX('Per Invoice'!$D$2:$D$151,$L30)))</f>
        <v/>
      </c>
      <c r="E30">
        <f>IF($L30="","",IF(INDEX('Per Invoice'!$E$2:$E$151,$L30)="","",INDEX('Per Invoice'!$E$2:$E$151,$L30)))</f>
        <v/>
      </c>
      <c r="F30" s="5">
        <f>IF($L30="","",IF(INDEX('Per Invoice'!$F$2:$F$151,$L30)="","",INDEX('Per Invoice'!$F$2:$F$151,$L30)))</f>
        <v/>
      </c>
      <c r="G30" s="5">
        <f>IF($L30="","",IF(INDEX('Per Invoice'!$G$2:$G$151,$L30)="","",INDEX('Per Invoice'!$G$2:$G$151,$L30)))</f>
        <v/>
      </c>
      <c r="H30" s="5">
        <f>IF($L30="","",IF(INDEX('Per Invoice'!$H$2:$H$151,$L30)="","",INDEX('Per Invoice'!$H$2:$H$151,$L30)))</f>
        <v/>
      </c>
      <c r="I30" s="5">
        <f>IF($L30="","",IF(INDEX('Per Invoice'!$I$2:$I$151,$L30)="","",INDEX('Per Invoice'!$I$2:$I$151,$L30)))</f>
        <v/>
      </c>
      <c r="J30" s="5">
        <f>IF($L30="","",IF(INDEX('Per Invoice'!$J$2:$J$151,$L30)="","",INDEX('Per Invoice'!$J$2:$J$151,$L30)))</f>
        <v/>
      </c>
      <c r="K30">
        <f>IF($L30="","",IF(INDEX('Per Invoice'!$K$2:$K$151,$L30)="","",INDEX('Per Invoice'!$K$2:$K$151,$L30)))</f>
        <v/>
      </c>
      <c r="L30">
        <f>IF(ROWS($L$2:$L30)&lt;=COUNT('Per Invoice'!$N$2:$N$151),MATCH(ROWS($L$2:$L30),'Per Invoice'!$N$2:$N$151,0),"")</f>
        <v/>
      </c>
    </row>
    <row r="31">
      <c r="A31">
        <f>IF($L31="","",IF(INDEX('Per Invoice'!$A$2:$A$151,$L31)="","",INDEX('Per Invoice'!$A$2:$A$151,$L31)))</f>
        <v/>
      </c>
      <c r="B31">
        <f>IF($L31="","",IF(INDEX('Per Invoice'!$B$2:$B$151,$L31)="","",INDEX('Per Invoice'!$B$2:$B$151,$L31)))</f>
        <v/>
      </c>
      <c r="C31">
        <f>IF($L31="","",IF(INDEX('Per Invoice'!$C$2:$C$151,$L31)="","",INDEX('Per Invoice'!$C$2:$C$151,$L31)))</f>
        <v/>
      </c>
      <c r="D31">
        <f>IF($L31="","",IF(INDEX('Per Invoice'!$D$2:$D$151,$L31)="","",INDEX('Per Invoice'!$D$2:$D$151,$L31)))</f>
        <v/>
      </c>
      <c r="E31">
        <f>IF($L31="","",IF(INDEX('Per Invoice'!$E$2:$E$151,$L31)="","",INDEX('Per Invoice'!$E$2:$E$151,$L31)))</f>
        <v/>
      </c>
      <c r="F31" s="5">
        <f>IF($L31="","",IF(INDEX('Per Invoice'!$F$2:$F$151,$L31)="","",INDEX('Per Invoice'!$F$2:$F$151,$L31)))</f>
        <v/>
      </c>
      <c r="G31" s="5">
        <f>IF($L31="","",IF(INDEX('Per Invoice'!$G$2:$G$151,$L31)="","",INDEX('Per Invoice'!$G$2:$G$151,$L31)))</f>
        <v/>
      </c>
      <c r="H31" s="5">
        <f>IF($L31="","",IF(INDEX('Per Invoice'!$H$2:$H$151,$L31)="","",INDEX('Per Invoice'!$H$2:$H$151,$L31)))</f>
        <v/>
      </c>
      <c r="I31" s="5">
        <f>IF($L31="","",IF(INDEX('Per Invoice'!$I$2:$I$151,$L31)="","",INDEX('Per Invoice'!$I$2:$I$151,$L31)))</f>
        <v/>
      </c>
      <c r="J31" s="5">
        <f>IF($L31="","",IF(INDEX('Per Invoice'!$J$2:$J$151,$L31)="","",INDEX('Per Invoice'!$J$2:$J$151,$L31)))</f>
        <v/>
      </c>
      <c r="K31">
        <f>IF($L31="","",IF(INDEX('Per Invoice'!$K$2:$K$151,$L31)="","",INDEX('Per Invoice'!$K$2:$K$151,$L31)))</f>
        <v/>
      </c>
      <c r="L31">
        <f>IF(ROWS($L$2:$L31)&lt;=COUNT('Per Invoice'!$N$2:$N$151),MATCH(ROWS($L$2:$L31),'Per Invoice'!$N$2:$N$151,0),"")</f>
        <v/>
      </c>
    </row>
    <row r="32">
      <c r="A32">
        <f>IF($L32="","",IF(INDEX('Per Invoice'!$A$2:$A$151,$L32)="","",INDEX('Per Invoice'!$A$2:$A$151,$L32)))</f>
        <v/>
      </c>
      <c r="B32">
        <f>IF($L32="","",IF(INDEX('Per Invoice'!$B$2:$B$151,$L32)="","",INDEX('Per Invoice'!$B$2:$B$151,$L32)))</f>
        <v/>
      </c>
      <c r="C32">
        <f>IF($L32="","",IF(INDEX('Per Invoice'!$C$2:$C$151,$L32)="","",INDEX('Per Invoice'!$C$2:$C$151,$L32)))</f>
        <v/>
      </c>
      <c r="D32">
        <f>IF($L32="","",IF(INDEX('Per Invoice'!$D$2:$D$151,$L32)="","",INDEX('Per Invoice'!$D$2:$D$151,$L32)))</f>
        <v/>
      </c>
      <c r="E32">
        <f>IF($L32="","",IF(INDEX('Per Invoice'!$E$2:$E$151,$L32)="","",INDEX('Per Invoice'!$E$2:$E$151,$L32)))</f>
        <v/>
      </c>
      <c r="F32" s="5">
        <f>IF($L32="","",IF(INDEX('Per Invoice'!$F$2:$F$151,$L32)="","",INDEX('Per Invoice'!$F$2:$F$151,$L32)))</f>
        <v/>
      </c>
      <c r="G32" s="5">
        <f>IF($L32="","",IF(INDEX('Per Invoice'!$G$2:$G$151,$L32)="","",INDEX('Per Invoice'!$G$2:$G$151,$L32)))</f>
        <v/>
      </c>
      <c r="H32" s="5">
        <f>IF($L32="","",IF(INDEX('Per Invoice'!$H$2:$H$151,$L32)="","",INDEX('Per Invoice'!$H$2:$H$151,$L32)))</f>
        <v/>
      </c>
      <c r="I32" s="5">
        <f>IF($L32="","",IF(INDEX('Per Invoice'!$I$2:$I$151,$L32)="","",INDEX('Per Invoice'!$I$2:$I$151,$L32)))</f>
        <v/>
      </c>
      <c r="J32" s="5">
        <f>IF($L32="","",IF(INDEX('Per Invoice'!$J$2:$J$151,$L32)="","",INDEX('Per Invoice'!$J$2:$J$151,$L32)))</f>
        <v/>
      </c>
      <c r="K32">
        <f>IF($L32="","",IF(INDEX('Per Invoice'!$K$2:$K$151,$L32)="","",INDEX('Per Invoice'!$K$2:$K$151,$L32)))</f>
        <v/>
      </c>
      <c r="L32">
        <f>IF(ROWS($L$2:$L32)&lt;=COUNT('Per Invoice'!$N$2:$N$151),MATCH(ROWS($L$2:$L32),'Per Invoice'!$N$2:$N$151,0),"")</f>
        <v/>
      </c>
    </row>
    <row r="33">
      <c r="A33">
        <f>IF($L33="","",IF(INDEX('Per Invoice'!$A$2:$A$151,$L33)="","",INDEX('Per Invoice'!$A$2:$A$151,$L33)))</f>
        <v/>
      </c>
      <c r="B33">
        <f>IF($L33="","",IF(INDEX('Per Invoice'!$B$2:$B$151,$L33)="","",INDEX('Per Invoice'!$B$2:$B$151,$L33)))</f>
        <v/>
      </c>
      <c r="C33">
        <f>IF($L33="","",IF(INDEX('Per Invoice'!$C$2:$C$151,$L33)="","",INDEX('Per Invoice'!$C$2:$C$151,$L33)))</f>
        <v/>
      </c>
      <c r="D33">
        <f>IF($L33="","",IF(INDEX('Per Invoice'!$D$2:$D$151,$L33)="","",INDEX('Per Invoice'!$D$2:$D$151,$L33)))</f>
        <v/>
      </c>
      <c r="E33">
        <f>IF($L33="","",IF(INDEX('Per Invoice'!$E$2:$E$151,$L33)="","",INDEX('Per Invoice'!$E$2:$E$151,$L33)))</f>
        <v/>
      </c>
      <c r="F33" s="5">
        <f>IF($L33="","",IF(INDEX('Per Invoice'!$F$2:$F$151,$L33)="","",INDEX('Per Invoice'!$F$2:$F$151,$L33)))</f>
        <v/>
      </c>
      <c r="G33" s="5">
        <f>IF($L33="","",IF(INDEX('Per Invoice'!$G$2:$G$151,$L33)="","",INDEX('Per Invoice'!$G$2:$G$151,$L33)))</f>
        <v/>
      </c>
      <c r="H33" s="5">
        <f>IF($L33="","",IF(INDEX('Per Invoice'!$H$2:$H$151,$L33)="","",INDEX('Per Invoice'!$H$2:$H$151,$L33)))</f>
        <v/>
      </c>
      <c r="I33" s="5">
        <f>IF($L33="","",IF(INDEX('Per Invoice'!$I$2:$I$151,$L33)="","",INDEX('Per Invoice'!$I$2:$I$151,$L33)))</f>
        <v/>
      </c>
      <c r="J33" s="5">
        <f>IF($L33="","",IF(INDEX('Per Invoice'!$J$2:$J$151,$L33)="","",INDEX('Per Invoice'!$J$2:$J$151,$L33)))</f>
        <v/>
      </c>
      <c r="K33">
        <f>IF($L33="","",IF(INDEX('Per Invoice'!$K$2:$K$151,$L33)="","",INDEX('Per Invoice'!$K$2:$K$151,$L33)))</f>
        <v/>
      </c>
      <c r="L33">
        <f>IF(ROWS($L$2:$L33)&lt;=COUNT('Per Invoice'!$N$2:$N$151),MATCH(ROWS($L$2:$L33),'Per Invoice'!$N$2:$N$151,0),"")</f>
        <v/>
      </c>
    </row>
    <row r="34">
      <c r="A34">
        <f>IF($L34="","",IF(INDEX('Per Invoice'!$A$2:$A$151,$L34)="","",INDEX('Per Invoice'!$A$2:$A$151,$L34)))</f>
        <v/>
      </c>
      <c r="B34">
        <f>IF($L34="","",IF(INDEX('Per Invoice'!$B$2:$B$151,$L34)="","",INDEX('Per Invoice'!$B$2:$B$151,$L34)))</f>
        <v/>
      </c>
      <c r="C34">
        <f>IF($L34="","",IF(INDEX('Per Invoice'!$C$2:$C$151,$L34)="","",INDEX('Per Invoice'!$C$2:$C$151,$L34)))</f>
        <v/>
      </c>
      <c r="D34">
        <f>IF($L34="","",IF(INDEX('Per Invoice'!$D$2:$D$151,$L34)="","",INDEX('Per Invoice'!$D$2:$D$151,$L34)))</f>
        <v/>
      </c>
      <c r="E34">
        <f>IF($L34="","",IF(INDEX('Per Invoice'!$E$2:$E$151,$L34)="","",INDEX('Per Invoice'!$E$2:$E$151,$L34)))</f>
        <v/>
      </c>
      <c r="F34" s="5">
        <f>IF($L34="","",IF(INDEX('Per Invoice'!$F$2:$F$151,$L34)="","",INDEX('Per Invoice'!$F$2:$F$151,$L34)))</f>
        <v/>
      </c>
      <c r="G34" s="5">
        <f>IF($L34="","",IF(INDEX('Per Invoice'!$G$2:$G$151,$L34)="","",INDEX('Per Invoice'!$G$2:$G$151,$L34)))</f>
        <v/>
      </c>
      <c r="H34" s="5">
        <f>IF($L34="","",IF(INDEX('Per Invoice'!$H$2:$H$151,$L34)="","",INDEX('Per Invoice'!$H$2:$H$151,$L34)))</f>
        <v/>
      </c>
      <c r="I34" s="5">
        <f>IF($L34="","",IF(INDEX('Per Invoice'!$I$2:$I$151,$L34)="","",INDEX('Per Invoice'!$I$2:$I$151,$L34)))</f>
        <v/>
      </c>
      <c r="J34" s="5">
        <f>IF($L34="","",IF(INDEX('Per Invoice'!$J$2:$J$151,$L34)="","",INDEX('Per Invoice'!$J$2:$J$151,$L34)))</f>
        <v/>
      </c>
      <c r="K34">
        <f>IF($L34="","",IF(INDEX('Per Invoice'!$K$2:$K$151,$L34)="","",INDEX('Per Invoice'!$K$2:$K$151,$L34)))</f>
        <v/>
      </c>
      <c r="L34">
        <f>IF(ROWS($L$2:$L34)&lt;=COUNT('Per Invoice'!$N$2:$N$151),MATCH(ROWS($L$2:$L34),'Per Invoice'!$N$2:$N$151,0),"")</f>
        <v/>
      </c>
    </row>
    <row r="35">
      <c r="A35">
        <f>IF($L35="","",IF(INDEX('Per Invoice'!$A$2:$A$151,$L35)="","",INDEX('Per Invoice'!$A$2:$A$151,$L35)))</f>
        <v/>
      </c>
      <c r="B35">
        <f>IF($L35="","",IF(INDEX('Per Invoice'!$B$2:$B$151,$L35)="","",INDEX('Per Invoice'!$B$2:$B$151,$L35)))</f>
        <v/>
      </c>
      <c r="C35">
        <f>IF($L35="","",IF(INDEX('Per Invoice'!$C$2:$C$151,$L35)="","",INDEX('Per Invoice'!$C$2:$C$151,$L35)))</f>
        <v/>
      </c>
      <c r="D35">
        <f>IF($L35="","",IF(INDEX('Per Invoice'!$D$2:$D$151,$L35)="","",INDEX('Per Invoice'!$D$2:$D$151,$L35)))</f>
        <v/>
      </c>
      <c r="E35">
        <f>IF($L35="","",IF(INDEX('Per Invoice'!$E$2:$E$151,$L35)="","",INDEX('Per Invoice'!$E$2:$E$151,$L35)))</f>
        <v/>
      </c>
      <c r="F35" s="5">
        <f>IF($L35="","",IF(INDEX('Per Invoice'!$F$2:$F$151,$L35)="","",INDEX('Per Invoice'!$F$2:$F$151,$L35)))</f>
        <v/>
      </c>
      <c r="G35" s="5">
        <f>IF($L35="","",IF(INDEX('Per Invoice'!$G$2:$G$151,$L35)="","",INDEX('Per Invoice'!$G$2:$G$151,$L35)))</f>
        <v/>
      </c>
      <c r="H35" s="5">
        <f>IF($L35="","",IF(INDEX('Per Invoice'!$H$2:$H$151,$L35)="","",INDEX('Per Invoice'!$H$2:$H$151,$L35)))</f>
        <v/>
      </c>
      <c r="I35" s="5">
        <f>IF($L35="","",IF(INDEX('Per Invoice'!$I$2:$I$151,$L35)="","",INDEX('Per Invoice'!$I$2:$I$151,$L35)))</f>
        <v/>
      </c>
      <c r="J35" s="5">
        <f>IF($L35="","",IF(INDEX('Per Invoice'!$J$2:$J$151,$L35)="","",INDEX('Per Invoice'!$J$2:$J$151,$L35)))</f>
        <v/>
      </c>
      <c r="K35">
        <f>IF($L35="","",IF(INDEX('Per Invoice'!$K$2:$K$151,$L35)="","",INDEX('Per Invoice'!$K$2:$K$151,$L35)))</f>
        <v/>
      </c>
      <c r="L35">
        <f>IF(ROWS($L$2:$L35)&lt;=COUNT('Per Invoice'!$N$2:$N$151),MATCH(ROWS($L$2:$L35),'Per Invoice'!$N$2:$N$151,0),"")</f>
        <v/>
      </c>
    </row>
    <row r="36">
      <c r="A36">
        <f>IF($L36="","",IF(INDEX('Per Invoice'!$A$2:$A$151,$L36)="","",INDEX('Per Invoice'!$A$2:$A$151,$L36)))</f>
        <v/>
      </c>
      <c r="B36">
        <f>IF($L36="","",IF(INDEX('Per Invoice'!$B$2:$B$151,$L36)="","",INDEX('Per Invoice'!$B$2:$B$151,$L36)))</f>
        <v/>
      </c>
      <c r="C36">
        <f>IF($L36="","",IF(INDEX('Per Invoice'!$C$2:$C$151,$L36)="","",INDEX('Per Invoice'!$C$2:$C$151,$L36)))</f>
        <v/>
      </c>
      <c r="D36">
        <f>IF($L36="","",IF(INDEX('Per Invoice'!$D$2:$D$151,$L36)="","",INDEX('Per Invoice'!$D$2:$D$151,$L36)))</f>
        <v/>
      </c>
      <c r="E36">
        <f>IF($L36="","",IF(INDEX('Per Invoice'!$E$2:$E$151,$L36)="","",INDEX('Per Invoice'!$E$2:$E$151,$L36)))</f>
        <v/>
      </c>
      <c r="F36" s="5">
        <f>IF($L36="","",IF(INDEX('Per Invoice'!$F$2:$F$151,$L36)="","",INDEX('Per Invoice'!$F$2:$F$151,$L36)))</f>
        <v/>
      </c>
      <c r="G36" s="5">
        <f>IF($L36="","",IF(INDEX('Per Invoice'!$G$2:$G$151,$L36)="","",INDEX('Per Invoice'!$G$2:$G$151,$L36)))</f>
        <v/>
      </c>
      <c r="H36" s="5">
        <f>IF($L36="","",IF(INDEX('Per Invoice'!$H$2:$H$151,$L36)="","",INDEX('Per Invoice'!$H$2:$H$151,$L36)))</f>
        <v/>
      </c>
      <c r="I36" s="5">
        <f>IF($L36="","",IF(INDEX('Per Invoice'!$I$2:$I$151,$L36)="","",INDEX('Per Invoice'!$I$2:$I$151,$L36)))</f>
        <v/>
      </c>
      <c r="J36" s="5">
        <f>IF($L36="","",IF(INDEX('Per Invoice'!$J$2:$J$151,$L36)="","",INDEX('Per Invoice'!$J$2:$J$151,$L36)))</f>
        <v/>
      </c>
      <c r="K36">
        <f>IF($L36="","",IF(INDEX('Per Invoice'!$K$2:$K$151,$L36)="","",INDEX('Per Invoice'!$K$2:$K$151,$L36)))</f>
        <v/>
      </c>
      <c r="L36">
        <f>IF(ROWS($L$2:$L36)&lt;=COUNT('Per Invoice'!$N$2:$N$151),MATCH(ROWS($L$2:$L36),'Per Invoice'!$N$2:$N$151,0),"")</f>
        <v/>
      </c>
    </row>
    <row r="37">
      <c r="A37">
        <f>IF($L37="","",IF(INDEX('Per Invoice'!$A$2:$A$151,$L37)="","",INDEX('Per Invoice'!$A$2:$A$151,$L37)))</f>
        <v/>
      </c>
      <c r="B37">
        <f>IF($L37="","",IF(INDEX('Per Invoice'!$B$2:$B$151,$L37)="","",INDEX('Per Invoice'!$B$2:$B$151,$L37)))</f>
        <v/>
      </c>
      <c r="C37">
        <f>IF($L37="","",IF(INDEX('Per Invoice'!$C$2:$C$151,$L37)="","",INDEX('Per Invoice'!$C$2:$C$151,$L37)))</f>
        <v/>
      </c>
      <c r="D37">
        <f>IF($L37="","",IF(INDEX('Per Invoice'!$D$2:$D$151,$L37)="","",INDEX('Per Invoice'!$D$2:$D$151,$L37)))</f>
        <v/>
      </c>
      <c r="E37">
        <f>IF($L37="","",IF(INDEX('Per Invoice'!$E$2:$E$151,$L37)="","",INDEX('Per Invoice'!$E$2:$E$151,$L37)))</f>
        <v/>
      </c>
      <c r="F37" s="5">
        <f>IF($L37="","",IF(INDEX('Per Invoice'!$F$2:$F$151,$L37)="","",INDEX('Per Invoice'!$F$2:$F$151,$L37)))</f>
        <v/>
      </c>
      <c r="G37" s="5">
        <f>IF($L37="","",IF(INDEX('Per Invoice'!$G$2:$G$151,$L37)="","",INDEX('Per Invoice'!$G$2:$G$151,$L37)))</f>
        <v/>
      </c>
      <c r="H37" s="5">
        <f>IF($L37="","",IF(INDEX('Per Invoice'!$H$2:$H$151,$L37)="","",INDEX('Per Invoice'!$H$2:$H$151,$L37)))</f>
        <v/>
      </c>
      <c r="I37" s="5">
        <f>IF($L37="","",IF(INDEX('Per Invoice'!$I$2:$I$151,$L37)="","",INDEX('Per Invoice'!$I$2:$I$151,$L37)))</f>
        <v/>
      </c>
      <c r="J37" s="5">
        <f>IF($L37="","",IF(INDEX('Per Invoice'!$J$2:$J$151,$L37)="","",INDEX('Per Invoice'!$J$2:$J$151,$L37)))</f>
        <v/>
      </c>
      <c r="K37">
        <f>IF($L37="","",IF(INDEX('Per Invoice'!$K$2:$K$151,$L37)="","",INDEX('Per Invoice'!$K$2:$K$151,$L37)))</f>
        <v/>
      </c>
      <c r="L37">
        <f>IF(ROWS($L$2:$L37)&lt;=COUNT('Per Invoice'!$N$2:$N$151),MATCH(ROWS($L$2:$L37),'Per Invoice'!$N$2:$N$151,0),"")</f>
        <v/>
      </c>
    </row>
    <row r="38">
      <c r="A38">
        <f>IF($L38="","",IF(INDEX('Per Invoice'!$A$2:$A$151,$L38)="","",INDEX('Per Invoice'!$A$2:$A$151,$L38)))</f>
        <v/>
      </c>
      <c r="B38">
        <f>IF($L38="","",IF(INDEX('Per Invoice'!$B$2:$B$151,$L38)="","",INDEX('Per Invoice'!$B$2:$B$151,$L38)))</f>
        <v/>
      </c>
      <c r="C38">
        <f>IF($L38="","",IF(INDEX('Per Invoice'!$C$2:$C$151,$L38)="","",INDEX('Per Invoice'!$C$2:$C$151,$L38)))</f>
        <v/>
      </c>
      <c r="D38">
        <f>IF($L38="","",IF(INDEX('Per Invoice'!$D$2:$D$151,$L38)="","",INDEX('Per Invoice'!$D$2:$D$151,$L38)))</f>
        <v/>
      </c>
      <c r="E38">
        <f>IF($L38="","",IF(INDEX('Per Invoice'!$E$2:$E$151,$L38)="","",INDEX('Per Invoice'!$E$2:$E$151,$L38)))</f>
        <v/>
      </c>
      <c r="F38" s="5">
        <f>IF($L38="","",IF(INDEX('Per Invoice'!$F$2:$F$151,$L38)="","",INDEX('Per Invoice'!$F$2:$F$151,$L38)))</f>
        <v/>
      </c>
      <c r="G38" s="5">
        <f>IF($L38="","",IF(INDEX('Per Invoice'!$G$2:$G$151,$L38)="","",INDEX('Per Invoice'!$G$2:$G$151,$L38)))</f>
        <v/>
      </c>
      <c r="H38" s="5">
        <f>IF($L38="","",IF(INDEX('Per Invoice'!$H$2:$H$151,$L38)="","",INDEX('Per Invoice'!$H$2:$H$151,$L38)))</f>
        <v/>
      </c>
      <c r="I38" s="5">
        <f>IF($L38="","",IF(INDEX('Per Invoice'!$I$2:$I$151,$L38)="","",INDEX('Per Invoice'!$I$2:$I$151,$L38)))</f>
        <v/>
      </c>
      <c r="J38" s="5">
        <f>IF($L38="","",IF(INDEX('Per Invoice'!$J$2:$J$151,$L38)="","",INDEX('Per Invoice'!$J$2:$J$151,$L38)))</f>
        <v/>
      </c>
      <c r="K38">
        <f>IF($L38="","",IF(INDEX('Per Invoice'!$K$2:$K$151,$L38)="","",INDEX('Per Invoice'!$K$2:$K$151,$L38)))</f>
        <v/>
      </c>
      <c r="L38">
        <f>IF(ROWS($L$2:$L38)&lt;=COUNT('Per Invoice'!$N$2:$N$151),MATCH(ROWS($L$2:$L38),'Per Invoice'!$N$2:$N$151,0),"")</f>
        <v/>
      </c>
    </row>
    <row r="39">
      <c r="A39">
        <f>IF($L39="","",IF(INDEX('Per Invoice'!$A$2:$A$151,$L39)="","",INDEX('Per Invoice'!$A$2:$A$151,$L39)))</f>
        <v/>
      </c>
      <c r="B39">
        <f>IF($L39="","",IF(INDEX('Per Invoice'!$B$2:$B$151,$L39)="","",INDEX('Per Invoice'!$B$2:$B$151,$L39)))</f>
        <v/>
      </c>
      <c r="C39">
        <f>IF($L39="","",IF(INDEX('Per Invoice'!$C$2:$C$151,$L39)="","",INDEX('Per Invoice'!$C$2:$C$151,$L39)))</f>
        <v/>
      </c>
      <c r="D39">
        <f>IF($L39="","",IF(INDEX('Per Invoice'!$D$2:$D$151,$L39)="","",INDEX('Per Invoice'!$D$2:$D$151,$L39)))</f>
        <v/>
      </c>
      <c r="E39">
        <f>IF($L39="","",IF(INDEX('Per Invoice'!$E$2:$E$151,$L39)="","",INDEX('Per Invoice'!$E$2:$E$151,$L39)))</f>
        <v/>
      </c>
      <c r="F39" s="5">
        <f>IF($L39="","",IF(INDEX('Per Invoice'!$F$2:$F$151,$L39)="","",INDEX('Per Invoice'!$F$2:$F$151,$L39)))</f>
        <v/>
      </c>
      <c r="G39" s="5">
        <f>IF($L39="","",IF(INDEX('Per Invoice'!$G$2:$G$151,$L39)="","",INDEX('Per Invoice'!$G$2:$G$151,$L39)))</f>
        <v/>
      </c>
      <c r="H39" s="5">
        <f>IF($L39="","",IF(INDEX('Per Invoice'!$H$2:$H$151,$L39)="","",INDEX('Per Invoice'!$H$2:$H$151,$L39)))</f>
        <v/>
      </c>
      <c r="I39" s="5">
        <f>IF($L39="","",IF(INDEX('Per Invoice'!$I$2:$I$151,$L39)="","",INDEX('Per Invoice'!$I$2:$I$151,$L39)))</f>
        <v/>
      </c>
      <c r="J39" s="5">
        <f>IF($L39="","",IF(INDEX('Per Invoice'!$J$2:$J$151,$L39)="","",INDEX('Per Invoice'!$J$2:$J$151,$L39)))</f>
        <v/>
      </c>
      <c r="K39">
        <f>IF($L39="","",IF(INDEX('Per Invoice'!$K$2:$K$151,$L39)="","",INDEX('Per Invoice'!$K$2:$K$151,$L39)))</f>
        <v/>
      </c>
      <c r="L39">
        <f>IF(ROWS($L$2:$L39)&lt;=COUNT('Per Invoice'!$N$2:$N$151),MATCH(ROWS($L$2:$L39),'Per Invoice'!$N$2:$N$151,0),"")</f>
        <v/>
      </c>
    </row>
    <row r="40">
      <c r="A40">
        <f>IF($L40="","",IF(INDEX('Per Invoice'!$A$2:$A$151,$L40)="","",INDEX('Per Invoice'!$A$2:$A$151,$L40)))</f>
        <v/>
      </c>
      <c r="B40">
        <f>IF($L40="","",IF(INDEX('Per Invoice'!$B$2:$B$151,$L40)="","",INDEX('Per Invoice'!$B$2:$B$151,$L40)))</f>
        <v/>
      </c>
      <c r="C40">
        <f>IF($L40="","",IF(INDEX('Per Invoice'!$C$2:$C$151,$L40)="","",INDEX('Per Invoice'!$C$2:$C$151,$L40)))</f>
        <v/>
      </c>
      <c r="D40">
        <f>IF($L40="","",IF(INDEX('Per Invoice'!$D$2:$D$151,$L40)="","",INDEX('Per Invoice'!$D$2:$D$151,$L40)))</f>
        <v/>
      </c>
      <c r="E40">
        <f>IF($L40="","",IF(INDEX('Per Invoice'!$E$2:$E$151,$L40)="","",INDEX('Per Invoice'!$E$2:$E$151,$L40)))</f>
        <v/>
      </c>
      <c r="F40" s="5">
        <f>IF($L40="","",IF(INDEX('Per Invoice'!$F$2:$F$151,$L40)="","",INDEX('Per Invoice'!$F$2:$F$151,$L40)))</f>
        <v/>
      </c>
      <c r="G40" s="5">
        <f>IF($L40="","",IF(INDEX('Per Invoice'!$G$2:$G$151,$L40)="","",INDEX('Per Invoice'!$G$2:$G$151,$L40)))</f>
        <v/>
      </c>
      <c r="H40" s="5">
        <f>IF($L40="","",IF(INDEX('Per Invoice'!$H$2:$H$151,$L40)="","",INDEX('Per Invoice'!$H$2:$H$151,$L40)))</f>
        <v/>
      </c>
      <c r="I40" s="5">
        <f>IF($L40="","",IF(INDEX('Per Invoice'!$I$2:$I$151,$L40)="","",INDEX('Per Invoice'!$I$2:$I$151,$L40)))</f>
        <v/>
      </c>
      <c r="J40" s="5">
        <f>IF($L40="","",IF(INDEX('Per Invoice'!$J$2:$J$151,$L40)="","",INDEX('Per Invoice'!$J$2:$J$151,$L40)))</f>
        <v/>
      </c>
      <c r="K40">
        <f>IF($L40="","",IF(INDEX('Per Invoice'!$K$2:$K$151,$L40)="","",INDEX('Per Invoice'!$K$2:$K$151,$L40)))</f>
        <v/>
      </c>
      <c r="L40">
        <f>IF(ROWS($L$2:$L40)&lt;=COUNT('Per Invoice'!$N$2:$N$151),MATCH(ROWS($L$2:$L40),'Per Invoice'!$N$2:$N$151,0),"")</f>
        <v/>
      </c>
    </row>
    <row r="41">
      <c r="A41">
        <f>IF($L41="","",IF(INDEX('Per Invoice'!$A$2:$A$151,$L41)="","",INDEX('Per Invoice'!$A$2:$A$151,$L41)))</f>
        <v/>
      </c>
      <c r="B41">
        <f>IF($L41="","",IF(INDEX('Per Invoice'!$B$2:$B$151,$L41)="","",INDEX('Per Invoice'!$B$2:$B$151,$L41)))</f>
        <v/>
      </c>
      <c r="C41">
        <f>IF($L41="","",IF(INDEX('Per Invoice'!$C$2:$C$151,$L41)="","",INDEX('Per Invoice'!$C$2:$C$151,$L41)))</f>
        <v/>
      </c>
      <c r="D41">
        <f>IF($L41="","",IF(INDEX('Per Invoice'!$D$2:$D$151,$L41)="","",INDEX('Per Invoice'!$D$2:$D$151,$L41)))</f>
        <v/>
      </c>
      <c r="E41">
        <f>IF($L41="","",IF(INDEX('Per Invoice'!$E$2:$E$151,$L41)="","",INDEX('Per Invoice'!$E$2:$E$151,$L41)))</f>
        <v/>
      </c>
      <c r="F41" s="5">
        <f>IF($L41="","",IF(INDEX('Per Invoice'!$F$2:$F$151,$L41)="","",INDEX('Per Invoice'!$F$2:$F$151,$L41)))</f>
        <v/>
      </c>
      <c r="G41" s="5">
        <f>IF($L41="","",IF(INDEX('Per Invoice'!$G$2:$G$151,$L41)="","",INDEX('Per Invoice'!$G$2:$G$151,$L41)))</f>
        <v/>
      </c>
      <c r="H41" s="5">
        <f>IF($L41="","",IF(INDEX('Per Invoice'!$H$2:$H$151,$L41)="","",INDEX('Per Invoice'!$H$2:$H$151,$L41)))</f>
        <v/>
      </c>
      <c r="I41" s="5">
        <f>IF($L41="","",IF(INDEX('Per Invoice'!$I$2:$I$151,$L41)="","",INDEX('Per Invoice'!$I$2:$I$151,$L41)))</f>
        <v/>
      </c>
      <c r="J41" s="5">
        <f>IF($L41="","",IF(INDEX('Per Invoice'!$J$2:$J$151,$L41)="","",INDEX('Per Invoice'!$J$2:$J$151,$L41)))</f>
        <v/>
      </c>
      <c r="K41">
        <f>IF($L41="","",IF(INDEX('Per Invoice'!$K$2:$K$151,$L41)="","",INDEX('Per Invoice'!$K$2:$K$151,$L41)))</f>
        <v/>
      </c>
      <c r="L41">
        <f>IF(ROWS($L$2:$L41)&lt;=COUNT('Per Invoice'!$N$2:$N$151),MATCH(ROWS($L$2:$L41),'Per Invoice'!$N$2:$N$151,0),"")</f>
        <v/>
      </c>
    </row>
    <row r="42">
      <c r="A42">
        <f>IF($L42="","",IF(INDEX('Per Invoice'!$A$2:$A$151,$L42)="","",INDEX('Per Invoice'!$A$2:$A$151,$L42)))</f>
        <v/>
      </c>
      <c r="B42">
        <f>IF($L42="","",IF(INDEX('Per Invoice'!$B$2:$B$151,$L42)="","",INDEX('Per Invoice'!$B$2:$B$151,$L42)))</f>
        <v/>
      </c>
      <c r="C42">
        <f>IF($L42="","",IF(INDEX('Per Invoice'!$C$2:$C$151,$L42)="","",INDEX('Per Invoice'!$C$2:$C$151,$L42)))</f>
        <v/>
      </c>
      <c r="D42">
        <f>IF($L42="","",IF(INDEX('Per Invoice'!$D$2:$D$151,$L42)="","",INDEX('Per Invoice'!$D$2:$D$151,$L42)))</f>
        <v/>
      </c>
      <c r="E42">
        <f>IF($L42="","",IF(INDEX('Per Invoice'!$E$2:$E$151,$L42)="","",INDEX('Per Invoice'!$E$2:$E$151,$L42)))</f>
        <v/>
      </c>
      <c r="F42" s="5">
        <f>IF($L42="","",IF(INDEX('Per Invoice'!$F$2:$F$151,$L42)="","",INDEX('Per Invoice'!$F$2:$F$151,$L42)))</f>
        <v/>
      </c>
      <c r="G42" s="5">
        <f>IF($L42="","",IF(INDEX('Per Invoice'!$G$2:$G$151,$L42)="","",INDEX('Per Invoice'!$G$2:$G$151,$L42)))</f>
        <v/>
      </c>
      <c r="H42" s="5">
        <f>IF($L42="","",IF(INDEX('Per Invoice'!$H$2:$H$151,$L42)="","",INDEX('Per Invoice'!$H$2:$H$151,$L42)))</f>
        <v/>
      </c>
      <c r="I42" s="5">
        <f>IF($L42="","",IF(INDEX('Per Invoice'!$I$2:$I$151,$L42)="","",INDEX('Per Invoice'!$I$2:$I$151,$L42)))</f>
        <v/>
      </c>
      <c r="J42" s="5">
        <f>IF($L42="","",IF(INDEX('Per Invoice'!$J$2:$J$151,$L42)="","",INDEX('Per Invoice'!$J$2:$J$151,$L42)))</f>
        <v/>
      </c>
      <c r="K42">
        <f>IF($L42="","",IF(INDEX('Per Invoice'!$K$2:$K$151,$L42)="","",INDEX('Per Invoice'!$K$2:$K$151,$L42)))</f>
        <v/>
      </c>
      <c r="L42">
        <f>IF(ROWS($L$2:$L42)&lt;=COUNT('Per Invoice'!$N$2:$N$151),MATCH(ROWS($L$2:$L42),'Per Invoice'!$N$2:$N$151,0),"")</f>
        <v/>
      </c>
    </row>
    <row r="43">
      <c r="A43">
        <f>IF($L43="","",IF(INDEX('Per Invoice'!$A$2:$A$151,$L43)="","",INDEX('Per Invoice'!$A$2:$A$151,$L43)))</f>
        <v/>
      </c>
      <c r="B43">
        <f>IF($L43="","",IF(INDEX('Per Invoice'!$B$2:$B$151,$L43)="","",INDEX('Per Invoice'!$B$2:$B$151,$L43)))</f>
        <v/>
      </c>
      <c r="C43">
        <f>IF($L43="","",IF(INDEX('Per Invoice'!$C$2:$C$151,$L43)="","",INDEX('Per Invoice'!$C$2:$C$151,$L43)))</f>
        <v/>
      </c>
      <c r="D43">
        <f>IF($L43="","",IF(INDEX('Per Invoice'!$D$2:$D$151,$L43)="","",INDEX('Per Invoice'!$D$2:$D$151,$L43)))</f>
        <v/>
      </c>
      <c r="E43">
        <f>IF($L43="","",IF(INDEX('Per Invoice'!$E$2:$E$151,$L43)="","",INDEX('Per Invoice'!$E$2:$E$151,$L43)))</f>
        <v/>
      </c>
      <c r="F43" s="5">
        <f>IF($L43="","",IF(INDEX('Per Invoice'!$F$2:$F$151,$L43)="","",INDEX('Per Invoice'!$F$2:$F$151,$L43)))</f>
        <v/>
      </c>
      <c r="G43" s="5">
        <f>IF($L43="","",IF(INDEX('Per Invoice'!$G$2:$G$151,$L43)="","",INDEX('Per Invoice'!$G$2:$G$151,$L43)))</f>
        <v/>
      </c>
      <c r="H43" s="5">
        <f>IF($L43="","",IF(INDEX('Per Invoice'!$H$2:$H$151,$L43)="","",INDEX('Per Invoice'!$H$2:$H$151,$L43)))</f>
        <v/>
      </c>
      <c r="I43" s="5">
        <f>IF($L43="","",IF(INDEX('Per Invoice'!$I$2:$I$151,$L43)="","",INDEX('Per Invoice'!$I$2:$I$151,$L43)))</f>
        <v/>
      </c>
      <c r="J43" s="5">
        <f>IF($L43="","",IF(INDEX('Per Invoice'!$J$2:$J$151,$L43)="","",INDEX('Per Invoice'!$J$2:$J$151,$L43)))</f>
        <v/>
      </c>
      <c r="K43">
        <f>IF($L43="","",IF(INDEX('Per Invoice'!$K$2:$K$151,$L43)="","",INDEX('Per Invoice'!$K$2:$K$151,$L43)))</f>
        <v/>
      </c>
      <c r="L43">
        <f>IF(ROWS($L$2:$L43)&lt;=COUNT('Per Invoice'!$N$2:$N$151),MATCH(ROWS($L$2:$L43),'Per Invoice'!$N$2:$N$151,0),"")</f>
        <v/>
      </c>
    </row>
    <row r="44">
      <c r="A44">
        <f>IF($L44="","",IF(INDEX('Per Invoice'!$A$2:$A$151,$L44)="","",INDEX('Per Invoice'!$A$2:$A$151,$L44)))</f>
        <v/>
      </c>
      <c r="B44">
        <f>IF($L44="","",IF(INDEX('Per Invoice'!$B$2:$B$151,$L44)="","",INDEX('Per Invoice'!$B$2:$B$151,$L44)))</f>
        <v/>
      </c>
      <c r="C44">
        <f>IF($L44="","",IF(INDEX('Per Invoice'!$C$2:$C$151,$L44)="","",INDEX('Per Invoice'!$C$2:$C$151,$L44)))</f>
        <v/>
      </c>
      <c r="D44">
        <f>IF($L44="","",IF(INDEX('Per Invoice'!$D$2:$D$151,$L44)="","",INDEX('Per Invoice'!$D$2:$D$151,$L44)))</f>
        <v/>
      </c>
      <c r="E44">
        <f>IF($L44="","",IF(INDEX('Per Invoice'!$E$2:$E$151,$L44)="","",INDEX('Per Invoice'!$E$2:$E$151,$L44)))</f>
        <v/>
      </c>
      <c r="F44" s="5">
        <f>IF($L44="","",IF(INDEX('Per Invoice'!$F$2:$F$151,$L44)="","",INDEX('Per Invoice'!$F$2:$F$151,$L44)))</f>
        <v/>
      </c>
      <c r="G44" s="5">
        <f>IF($L44="","",IF(INDEX('Per Invoice'!$G$2:$G$151,$L44)="","",INDEX('Per Invoice'!$G$2:$G$151,$L44)))</f>
        <v/>
      </c>
      <c r="H44" s="5">
        <f>IF($L44="","",IF(INDEX('Per Invoice'!$H$2:$H$151,$L44)="","",INDEX('Per Invoice'!$H$2:$H$151,$L44)))</f>
        <v/>
      </c>
      <c r="I44" s="5">
        <f>IF($L44="","",IF(INDEX('Per Invoice'!$I$2:$I$151,$L44)="","",INDEX('Per Invoice'!$I$2:$I$151,$L44)))</f>
        <v/>
      </c>
      <c r="J44" s="5">
        <f>IF($L44="","",IF(INDEX('Per Invoice'!$J$2:$J$151,$L44)="","",INDEX('Per Invoice'!$J$2:$J$151,$L44)))</f>
        <v/>
      </c>
      <c r="K44">
        <f>IF($L44="","",IF(INDEX('Per Invoice'!$K$2:$K$151,$L44)="","",INDEX('Per Invoice'!$K$2:$K$151,$L44)))</f>
        <v/>
      </c>
      <c r="L44">
        <f>IF(ROWS($L$2:$L44)&lt;=COUNT('Per Invoice'!$N$2:$N$151),MATCH(ROWS($L$2:$L44),'Per Invoice'!$N$2:$N$151,0),"")</f>
        <v/>
      </c>
    </row>
    <row r="45">
      <c r="A45">
        <f>IF($L45="","",IF(INDEX('Per Invoice'!$A$2:$A$151,$L45)="","",INDEX('Per Invoice'!$A$2:$A$151,$L45)))</f>
        <v/>
      </c>
      <c r="B45">
        <f>IF($L45="","",IF(INDEX('Per Invoice'!$B$2:$B$151,$L45)="","",INDEX('Per Invoice'!$B$2:$B$151,$L45)))</f>
        <v/>
      </c>
      <c r="C45">
        <f>IF($L45="","",IF(INDEX('Per Invoice'!$C$2:$C$151,$L45)="","",INDEX('Per Invoice'!$C$2:$C$151,$L45)))</f>
        <v/>
      </c>
      <c r="D45">
        <f>IF($L45="","",IF(INDEX('Per Invoice'!$D$2:$D$151,$L45)="","",INDEX('Per Invoice'!$D$2:$D$151,$L45)))</f>
        <v/>
      </c>
      <c r="E45">
        <f>IF($L45="","",IF(INDEX('Per Invoice'!$E$2:$E$151,$L45)="","",INDEX('Per Invoice'!$E$2:$E$151,$L45)))</f>
        <v/>
      </c>
      <c r="F45" s="5">
        <f>IF($L45="","",IF(INDEX('Per Invoice'!$F$2:$F$151,$L45)="","",INDEX('Per Invoice'!$F$2:$F$151,$L45)))</f>
        <v/>
      </c>
      <c r="G45" s="5">
        <f>IF($L45="","",IF(INDEX('Per Invoice'!$G$2:$G$151,$L45)="","",INDEX('Per Invoice'!$G$2:$G$151,$L45)))</f>
        <v/>
      </c>
      <c r="H45" s="5">
        <f>IF($L45="","",IF(INDEX('Per Invoice'!$H$2:$H$151,$L45)="","",INDEX('Per Invoice'!$H$2:$H$151,$L45)))</f>
        <v/>
      </c>
      <c r="I45" s="5">
        <f>IF($L45="","",IF(INDEX('Per Invoice'!$I$2:$I$151,$L45)="","",INDEX('Per Invoice'!$I$2:$I$151,$L45)))</f>
        <v/>
      </c>
      <c r="J45" s="5">
        <f>IF($L45="","",IF(INDEX('Per Invoice'!$J$2:$J$151,$L45)="","",INDEX('Per Invoice'!$J$2:$J$151,$L45)))</f>
        <v/>
      </c>
      <c r="K45">
        <f>IF($L45="","",IF(INDEX('Per Invoice'!$K$2:$K$151,$L45)="","",INDEX('Per Invoice'!$K$2:$K$151,$L45)))</f>
        <v/>
      </c>
      <c r="L45">
        <f>IF(ROWS($L$2:$L45)&lt;=COUNT('Per Invoice'!$N$2:$N$151),MATCH(ROWS($L$2:$L45),'Per Invoice'!$N$2:$N$151,0),"")</f>
        <v/>
      </c>
    </row>
    <row r="46">
      <c r="A46">
        <f>IF($L46="","",IF(INDEX('Per Invoice'!$A$2:$A$151,$L46)="","",INDEX('Per Invoice'!$A$2:$A$151,$L46)))</f>
        <v/>
      </c>
      <c r="B46">
        <f>IF($L46="","",IF(INDEX('Per Invoice'!$B$2:$B$151,$L46)="","",INDEX('Per Invoice'!$B$2:$B$151,$L46)))</f>
        <v/>
      </c>
      <c r="C46">
        <f>IF($L46="","",IF(INDEX('Per Invoice'!$C$2:$C$151,$L46)="","",INDEX('Per Invoice'!$C$2:$C$151,$L46)))</f>
        <v/>
      </c>
      <c r="D46">
        <f>IF($L46="","",IF(INDEX('Per Invoice'!$D$2:$D$151,$L46)="","",INDEX('Per Invoice'!$D$2:$D$151,$L46)))</f>
        <v/>
      </c>
      <c r="E46">
        <f>IF($L46="","",IF(INDEX('Per Invoice'!$E$2:$E$151,$L46)="","",INDEX('Per Invoice'!$E$2:$E$151,$L46)))</f>
        <v/>
      </c>
      <c r="F46" s="5">
        <f>IF($L46="","",IF(INDEX('Per Invoice'!$F$2:$F$151,$L46)="","",INDEX('Per Invoice'!$F$2:$F$151,$L46)))</f>
        <v/>
      </c>
      <c r="G46" s="5">
        <f>IF($L46="","",IF(INDEX('Per Invoice'!$G$2:$G$151,$L46)="","",INDEX('Per Invoice'!$G$2:$G$151,$L46)))</f>
        <v/>
      </c>
      <c r="H46" s="5">
        <f>IF($L46="","",IF(INDEX('Per Invoice'!$H$2:$H$151,$L46)="","",INDEX('Per Invoice'!$H$2:$H$151,$L46)))</f>
        <v/>
      </c>
      <c r="I46" s="5">
        <f>IF($L46="","",IF(INDEX('Per Invoice'!$I$2:$I$151,$L46)="","",INDEX('Per Invoice'!$I$2:$I$151,$L46)))</f>
        <v/>
      </c>
      <c r="J46" s="5">
        <f>IF($L46="","",IF(INDEX('Per Invoice'!$J$2:$J$151,$L46)="","",INDEX('Per Invoice'!$J$2:$J$151,$L46)))</f>
        <v/>
      </c>
      <c r="K46">
        <f>IF($L46="","",IF(INDEX('Per Invoice'!$K$2:$K$151,$L46)="","",INDEX('Per Invoice'!$K$2:$K$151,$L46)))</f>
        <v/>
      </c>
      <c r="L46">
        <f>IF(ROWS($L$2:$L46)&lt;=COUNT('Per Invoice'!$N$2:$N$151),MATCH(ROWS($L$2:$L46),'Per Invoice'!$N$2:$N$151,0),"")</f>
        <v/>
      </c>
    </row>
    <row r="47">
      <c r="A47">
        <f>IF($L47="","",IF(INDEX('Per Invoice'!$A$2:$A$151,$L47)="","",INDEX('Per Invoice'!$A$2:$A$151,$L47)))</f>
        <v/>
      </c>
      <c r="B47">
        <f>IF($L47="","",IF(INDEX('Per Invoice'!$B$2:$B$151,$L47)="","",INDEX('Per Invoice'!$B$2:$B$151,$L47)))</f>
        <v/>
      </c>
      <c r="C47">
        <f>IF($L47="","",IF(INDEX('Per Invoice'!$C$2:$C$151,$L47)="","",INDEX('Per Invoice'!$C$2:$C$151,$L47)))</f>
        <v/>
      </c>
      <c r="D47">
        <f>IF($L47="","",IF(INDEX('Per Invoice'!$D$2:$D$151,$L47)="","",INDEX('Per Invoice'!$D$2:$D$151,$L47)))</f>
        <v/>
      </c>
      <c r="E47">
        <f>IF($L47="","",IF(INDEX('Per Invoice'!$E$2:$E$151,$L47)="","",INDEX('Per Invoice'!$E$2:$E$151,$L47)))</f>
        <v/>
      </c>
      <c r="F47" s="5">
        <f>IF($L47="","",IF(INDEX('Per Invoice'!$F$2:$F$151,$L47)="","",INDEX('Per Invoice'!$F$2:$F$151,$L47)))</f>
        <v/>
      </c>
      <c r="G47" s="5">
        <f>IF($L47="","",IF(INDEX('Per Invoice'!$G$2:$G$151,$L47)="","",INDEX('Per Invoice'!$G$2:$G$151,$L47)))</f>
        <v/>
      </c>
      <c r="H47" s="5">
        <f>IF($L47="","",IF(INDEX('Per Invoice'!$H$2:$H$151,$L47)="","",INDEX('Per Invoice'!$H$2:$H$151,$L47)))</f>
        <v/>
      </c>
      <c r="I47" s="5">
        <f>IF($L47="","",IF(INDEX('Per Invoice'!$I$2:$I$151,$L47)="","",INDEX('Per Invoice'!$I$2:$I$151,$L47)))</f>
        <v/>
      </c>
      <c r="J47" s="5">
        <f>IF($L47="","",IF(INDEX('Per Invoice'!$J$2:$J$151,$L47)="","",INDEX('Per Invoice'!$J$2:$J$151,$L47)))</f>
        <v/>
      </c>
      <c r="K47">
        <f>IF($L47="","",IF(INDEX('Per Invoice'!$K$2:$K$151,$L47)="","",INDEX('Per Invoice'!$K$2:$K$151,$L47)))</f>
        <v/>
      </c>
      <c r="L47">
        <f>IF(ROWS($L$2:$L47)&lt;=COUNT('Per Invoice'!$N$2:$N$151),MATCH(ROWS($L$2:$L47),'Per Invoice'!$N$2:$N$151,0),"")</f>
        <v/>
      </c>
    </row>
    <row r="48">
      <c r="A48">
        <f>IF($L48="","",IF(INDEX('Per Invoice'!$A$2:$A$151,$L48)="","",INDEX('Per Invoice'!$A$2:$A$151,$L48)))</f>
        <v/>
      </c>
      <c r="B48">
        <f>IF($L48="","",IF(INDEX('Per Invoice'!$B$2:$B$151,$L48)="","",INDEX('Per Invoice'!$B$2:$B$151,$L48)))</f>
        <v/>
      </c>
      <c r="C48">
        <f>IF($L48="","",IF(INDEX('Per Invoice'!$C$2:$C$151,$L48)="","",INDEX('Per Invoice'!$C$2:$C$151,$L48)))</f>
        <v/>
      </c>
      <c r="D48">
        <f>IF($L48="","",IF(INDEX('Per Invoice'!$D$2:$D$151,$L48)="","",INDEX('Per Invoice'!$D$2:$D$151,$L48)))</f>
        <v/>
      </c>
      <c r="E48">
        <f>IF($L48="","",IF(INDEX('Per Invoice'!$E$2:$E$151,$L48)="","",INDEX('Per Invoice'!$E$2:$E$151,$L48)))</f>
        <v/>
      </c>
      <c r="F48" s="5">
        <f>IF($L48="","",IF(INDEX('Per Invoice'!$F$2:$F$151,$L48)="","",INDEX('Per Invoice'!$F$2:$F$151,$L48)))</f>
        <v/>
      </c>
      <c r="G48" s="5">
        <f>IF($L48="","",IF(INDEX('Per Invoice'!$G$2:$G$151,$L48)="","",INDEX('Per Invoice'!$G$2:$G$151,$L48)))</f>
        <v/>
      </c>
      <c r="H48" s="5">
        <f>IF($L48="","",IF(INDEX('Per Invoice'!$H$2:$H$151,$L48)="","",INDEX('Per Invoice'!$H$2:$H$151,$L48)))</f>
        <v/>
      </c>
      <c r="I48" s="5">
        <f>IF($L48="","",IF(INDEX('Per Invoice'!$I$2:$I$151,$L48)="","",INDEX('Per Invoice'!$I$2:$I$151,$L48)))</f>
        <v/>
      </c>
      <c r="J48" s="5">
        <f>IF($L48="","",IF(INDEX('Per Invoice'!$J$2:$J$151,$L48)="","",INDEX('Per Invoice'!$J$2:$J$151,$L48)))</f>
        <v/>
      </c>
      <c r="K48">
        <f>IF($L48="","",IF(INDEX('Per Invoice'!$K$2:$K$151,$L48)="","",INDEX('Per Invoice'!$K$2:$K$151,$L48)))</f>
        <v/>
      </c>
      <c r="L48">
        <f>IF(ROWS($L$2:$L48)&lt;=COUNT('Per Invoice'!$N$2:$N$151),MATCH(ROWS($L$2:$L48),'Per Invoice'!$N$2:$N$151,0),"")</f>
        <v/>
      </c>
    </row>
    <row r="49">
      <c r="A49">
        <f>IF($L49="","",IF(INDEX('Per Invoice'!$A$2:$A$151,$L49)="","",INDEX('Per Invoice'!$A$2:$A$151,$L49)))</f>
        <v/>
      </c>
      <c r="B49">
        <f>IF($L49="","",IF(INDEX('Per Invoice'!$B$2:$B$151,$L49)="","",INDEX('Per Invoice'!$B$2:$B$151,$L49)))</f>
        <v/>
      </c>
      <c r="C49">
        <f>IF($L49="","",IF(INDEX('Per Invoice'!$C$2:$C$151,$L49)="","",INDEX('Per Invoice'!$C$2:$C$151,$L49)))</f>
        <v/>
      </c>
      <c r="D49">
        <f>IF($L49="","",IF(INDEX('Per Invoice'!$D$2:$D$151,$L49)="","",INDEX('Per Invoice'!$D$2:$D$151,$L49)))</f>
        <v/>
      </c>
      <c r="E49">
        <f>IF($L49="","",IF(INDEX('Per Invoice'!$E$2:$E$151,$L49)="","",INDEX('Per Invoice'!$E$2:$E$151,$L49)))</f>
        <v/>
      </c>
      <c r="F49" s="5">
        <f>IF($L49="","",IF(INDEX('Per Invoice'!$F$2:$F$151,$L49)="","",INDEX('Per Invoice'!$F$2:$F$151,$L49)))</f>
        <v/>
      </c>
      <c r="G49" s="5">
        <f>IF($L49="","",IF(INDEX('Per Invoice'!$G$2:$G$151,$L49)="","",INDEX('Per Invoice'!$G$2:$G$151,$L49)))</f>
        <v/>
      </c>
      <c r="H49" s="5">
        <f>IF($L49="","",IF(INDEX('Per Invoice'!$H$2:$H$151,$L49)="","",INDEX('Per Invoice'!$H$2:$H$151,$L49)))</f>
        <v/>
      </c>
      <c r="I49" s="5">
        <f>IF($L49="","",IF(INDEX('Per Invoice'!$I$2:$I$151,$L49)="","",INDEX('Per Invoice'!$I$2:$I$151,$L49)))</f>
        <v/>
      </c>
      <c r="J49" s="5">
        <f>IF($L49="","",IF(INDEX('Per Invoice'!$J$2:$J$151,$L49)="","",INDEX('Per Invoice'!$J$2:$J$151,$L49)))</f>
        <v/>
      </c>
      <c r="K49">
        <f>IF($L49="","",IF(INDEX('Per Invoice'!$K$2:$K$151,$L49)="","",INDEX('Per Invoice'!$K$2:$K$151,$L49)))</f>
        <v/>
      </c>
      <c r="L49">
        <f>IF(ROWS($L$2:$L49)&lt;=COUNT('Per Invoice'!$N$2:$N$151),MATCH(ROWS($L$2:$L49),'Per Invoice'!$N$2:$N$151,0),"")</f>
        <v/>
      </c>
    </row>
    <row r="50">
      <c r="A50">
        <f>IF($L50="","",IF(INDEX('Per Invoice'!$A$2:$A$151,$L50)="","",INDEX('Per Invoice'!$A$2:$A$151,$L50)))</f>
        <v/>
      </c>
      <c r="B50">
        <f>IF($L50="","",IF(INDEX('Per Invoice'!$B$2:$B$151,$L50)="","",INDEX('Per Invoice'!$B$2:$B$151,$L50)))</f>
        <v/>
      </c>
      <c r="C50">
        <f>IF($L50="","",IF(INDEX('Per Invoice'!$C$2:$C$151,$L50)="","",INDEX('Per Invoice'!$C$2:$C$151,$L50)))</f>
        <v/>
      </c>
      <c r="D50">
        <f>IF($L50="","",IF(INDEX('Per Invoice'!$D$2:$D$151,$L50)="","",INDEX('Per Invoice'!$D$2:$D$151,$L50)))</f>
        <v/>
      </c>
      <c r="E50">
        <f>IF($L50="","",IF(INDEX('Per Invoice'!$E$2:$E$151,$L50)="","",INDEX('Per Invoice'!$E$2:$E$151,$L50)))</f>
        <v/>
      </c>
      <c r="F50" s="5">
        <f>IF($L50="","",IF(INDEX('Per Invoice'!$F$2:$F$151,$L50)="","",INDEX('Per Invoice'!$F$2:$F$151,$L50)))</f>
        <v/>
      </c>
      <c r="G50" s="5">
        <f>IF($L50="","",IF(INDEX('Per Invoice'!$G$2:$G$151,$L50)="","",INDEX('Per Invoice'!$G$2:$G$151,$L50)))</f>
        <v/>
      </c>
      <c r="H50" s="5">
        <f>IF($L50="","",IF(INDEX('Per Invoice'!$H$2:$H$151,$L50)="","",INDEX('Per Invoice'!$H$2:$H$151,$L50)))</f>
        <v/>
      </c>
      <c r="I50" s="5">
        <f>IF($L50="","",IF(INDEX('Per Invoice'!$I$2:$I$151,$L50)="","",INDEX('Per Invoice'!$I$2:$I$151,$L50)))</f>
        <v/>
      </c>
      <c r="J50" s="5">
        <f>IF($L50="","",IF(INDEX('Per Invoice'!$J$2:$J$151,$L50)="","",INDEX('Per Invoice'!$J$2:$J$151,$L50)))</f>
        <v/>
      </c>
      <c r="K50">
        <f>IF($L50="","",IF(INDEX('Per Invoice'!$K$2:$K$151,$L50)="","",INDEX('Per Invoice'!$K$2:$K$151,$L50)))</f>
        <v/>
      </c>
      <c r="L50">
        <f>IF(ROWS($L$2:$L50)&lt;=COUNT('Per Invoice'!$N$2:$N$151),MATCH(ROWS($L$2:$L50),'Per Invoice'!$N$2:$N$151,0),"")</f>
        <v/>
      </c>
    </row>
    <row r="51">
      <c r="A51">
        <f>IF($L51="","",IF(INDEX('Per Invoice'!$A$2:$A$151,$L51)="","",INDEX('Per Invoice'!$A$2:$A$151,$L51)))</f>
        <v/>
      </c>
      <c r="B51">
        <f>IF($L51="","",IF(INDEX('Per Invoice'!$B$2:$B$151,$L51)="","",INDEX('Per Invoice'!$B$2:$B$151,$L51)))</f>
        <v/>
      </c>
      <c r="C51">
        <f>IF($L51="","",IF(INDEX('Per Invoice'!$C$2:$C$151,$L51)="","",INDEX('Per Invoice'!$C$2:$C$151,$L51)))</f>
        <v/>
      </c>
      <c r="D51">
        <f>IF($L51="","",IF(INDEX('Per Invoice'!$D$2:$D$151,$L51)="","",INDEX('Per Invoice'!$D$2:$D$151,$L51)))</f>
        <v/>
      </c>
      <c r="E51">
        <f>IF($L51="","",IF(INDEX('Per Invoice'!$E$2:$E$151,$L51)="","",INDEX('Per Invoice'!$E$2:$E$151,$L51)))</f>
        <v/>
      </c>
      <c r="F51" s="5">
        <f>IF($L51="","",IF(INDEX('Per Invoice'!$F$2:$F$151,$L51)="","",INDEX('Per Invoice'!$F$2:$F$151,$L51)))</f>
        <v/>
      </c>
      <c r="G51" s="5">
        <f>IF($L51="","",IF(INDEX('Per Invoice'!$G$2:$G$151,$L51)="","",INDEX('Per Invoice'!$G$2:$G$151,$L51)))</f>
        <v/>
      </c>
      <c r="H51" s="5">
        <f>IF($L51="","",IF(INDEX('Per Invoice'!$H$2:$H$151,$L51)="","",INDEX('Per Invoice'!$H$2:$H$151,$L51)))</f>
        <v/>
      </c>
      <c r="I51" s="5">
        <f>IF($L51="","",IF(INDEX('Per Invoice'!$I$2:$I$151,$L51)="","",INDEX('Per Invoice'!$I$2:$I$151,$L51)))</f>
        <v/>
      </c>
      <c r="J51" s="5">
        <f>IF($L51="","",IF(INDEX('Per Invoice'!$J$2:$J$151,$L51)="","",INDEX('Per Invoice'!$J$2:$J$151,$L51)))</f>
        <v/>
      </c>
      <c r="K51">
        <f>IF($L51="","",IF(INDEX('Per Invoice'!$K$2:$K$151,$L51)="","",INDEX('Per Invoice'!$K$2:$K$151,$L51)))</f>
        <v/>
      </c>
      <c r="L51">
        <f>IF(ROWS($L$2:$L51)&lt;=COUNT('Per Invoice'!$N$2:$N$151),MATCH(ROWS($L$2:$L51),'Per Invoice'!$N$2:$N$151,0),"")</f>
        <v/>
      </c>
    </row>
    <row r="52">
      <c r="A52">
        <f>IF($L52="","",IF(INDEX('Per Invoice'!$A$2:$A$151,$L52)="","",INDEX('Per Invoice'!$A$2:$A$151,$L52)))</f>
        <v/>
      </c>
      <c r="B52">
        <f>IF($L52="","",IF(INDEX('Per Invoice'!$B$2:$B$151,$L52)="","",INDEX('Per Invoice'!$B$2:$B$151,$L52)))</f>
        <v/>
      </c>
      <c r="C52">
        <f>IF($L52="","",IF(INDEX('Per Invoice'!$C$2:$C$151,$L52)="","",INDEX('Per Invoice'!$C$2:$C$151,$L52)))</f>
        <v/>
      </c>
      <c r="D52">
        <f>IF($L52="","",IF(INDEX('Per Invoice'!$D$2:$D$151,$L52)="","",INDEX('Per Invoice'!$D$2:$D$151,$L52)))</f>
        <v/>
      </c>
      <c r="E52">
        <f>IF($L52="","",IF(INDEX('Per Invoice'!$E$2:$E$151,$L52)="","",INDEX('Per Invoice'!$E$2:$E$151,$L52)))</f>
        <v/>
      </c>
      <c r="F52" s="5">
        <f>IF($L52="","",IF(INDEX('Per Invoice'!$F$2:$F$151,$L52)="","",INDEX('Per Invoice'!$F$2:$F$151,$L52)))</f>
        <v/>
      </c>
      <c r="G52" s="5">
        <f>IF($L52="","",IF(INDEX('Per Invoice'!$G$2:$G$151,$L52)="","",INDEX('Per Invoice'!$G$2:$G$151,$L52)))</f>
        <v/>
      </c>
      <c r="H52" s="5">
        <f>IF($L52="","",IF(INDEX('Per Invoice'!$H$2:$H$151,$L52)="","",INDEX('Per Invoice'!$H$2:$H$151,$L52)))</f>
        <v/>
      </c>
      <c r="I52" s="5">
        <f>IF($L52="","",IF(INDEX('Per Invoice'!$I$2:$I$151,$L52)="","",INDEX('Per Invoice'!$I$2:$I$151,$L52)))</f>
        <v/>
      </c>
      <c r="J52" s="5">
        <f>IF($L52="","",IF(INDEX('Per Invoice'!$J$2:$J$151,$L52)="","",INDEX('Per Invoice'!$J$2:$J$151,$L52)))</f>
        <v/>
      </c>
      <c r="K52">
        <f>IF($L52="","",IF(INDEX('Per Invoice'!$K$2:$K$151,$L52)="","",INDEX('Per Invoice'!$K$2:$K$151,$L52)))</f>
        <v/>
      </c>
      <c r="L52">
        <f>IF(ROWS($L$2:$L52)&lt;=COUNT('Per Invoice'!$N$2:$N$151),MATCH(ROWS($L$2:$L52),'Per Invoice'!$N$2:$N$151,0),"")</f>
        <v/>
      </c>
    </row>
    <row r="53">
      <c r="A53">
        <f>IF($L53="","",IF(INDEX('Per Invoice'!$A$2:$A$151,$L53)="","",INDEX('Per Invoice'!$A$2:$A$151,$L53)))</f>
        <v/>
      </c>
      <c r="B53">
        <f>IF($L53="","",IF(INDEX('Per Invoice'!$B$2:$B$151,$L53)="","",INDEX('Per Invoice'!$B$2:$B$151,$L53)))</f>
        <v/>
      </c>
      <c r="C53">
        <f>IF($L53="","",IF(INDEX('Per Invoice'!$C$2:$C$151,$L53)="","",INDEX('Per Invoice'!$C$2:$C$151,$L53)))</f>
        <v/>
      </c>
      <c r="D53">
        <f>IF($L53="","",IF(INDEX('Per Invoice'!$D$2:$D$151,$L53)="","",INDEX('Per Invoice'!$D$2:$D$151,$L53)))</f>
        <v/>
      </c>
      <c r="E53">
        <f>IF($L53="","",IF(INDEX('Per Invoice'!$E$2:$E$151,$L53)="","",INDEX('Per Invoice'!$E$2:$E$151,$L53)))</f>
        <v/>
      </c>
      <c r="F53" s="5">
        <f>IF($L53="","",IF(INDEX('Per Invoice'!$F$2:$F$151,$L53)="","",INDEX('Per Invoice'!$F$2:$F$151,$L53)))</f>
        <v/>
      </c>
      <c r="G53" s="5">
        <f>IF($L53="","",IF(INDEX('Per Invoice'!$G$2:$G$151,$L53)="","",INDEX('Per Invoice'!$G$2:$G$151,$L53)))</f>
        <v/>
      </c>
      <c r="H53" s="5">
        <f>IF($L53="","",IF(INDEX('Per Invoice'!$H$2:$H$151,$L53)="","",INDEX('Per Invoice'!$H$2:$H$151,$L53)))</f>
        <v/>
      </c>
      <c r="I53" s="5">
        <f>IF($L53="","",IF(INDEX('Per Invoice'!$I$2:$I$151,$L53)="","",INDEX('Per Invoice'!$I$2:$I$151,$L53)))</f>
        <v/>
      </c>
      <c r="J53" s="5">
        <f>IF($L53="","",IF(INDEX('Per Invoice'!$J$2:$J$151,$L53)="","",INDEX('Per Invoice'!$J$2:$J$151,$L53)))</f>
        <v/>
      </c>
      <c r="K53">
        <f>IF($L53="","",IF(INDEX('Per Invoice'!$K$2:$K$151,$L53)="","",INDEX('Per Invoice'!$K$2:$K$151,$L53)))</f>
        <v/>
      </c>
      <c r="L53">
        <f>IF(ROWS($L$2:$L53)&lt;=COUNT('Per Invoice'!$N$2:$N$151),MATCH(ROWS($L$2:$L53),'Per Invoice'!$N$2:$N$151,0),"")</f>
        <v/>
      </c>
    </row>
    <row r="54">
      <c r="A54">
        <f>IF($L54="","",IF(INDEX('Per Invoice'!$A$2:$A$151,$L54)="","",INDEX('Per Invoice'!$A$2:$A$151,$L54)))</f>
        <v/>
      </c>
      <c r="B54">
        <f>IF($L54="","",IF(INDEX('Per Invoice'!$B$2:$B$151,$L54)="","",INDEX('Per Invoice'!$B$2:$B$151,$L54)))</f>
        <v/>
      </c>
      <c r="C54">
        <f>IF($L54="","",IF(INDEX('Per Invoice'!$C$2:$C$151,$L54)="","",INDEX('Per Invoice'!$C$2:$C$151,$L54)))</f>
        <v/>
      </c>
      <c r="D54">
        <f>IF($L54="","",IF(INDEX('Per Invoice'!$D$2:$D$151,$L54)="","",INDEX('Per Invoice'!$D$2:$D$151,$L54)))</f>
        <v/>
      </c>
      <c r="E54">
        <f>IF($L54="","",IF(INDEX('Per Invoice'!$E$2:$E$151,$L54)="","",INDEX('Per Invoice'!$E$2:$E$151,$L54)))</f>
        <v/>
      </c>
      <c r="F54" s="5">
        <f>IF($L54="","",IF(INDEX('Per Invoice'!$F$2:$F$151,$L54)="","",INDEX('Per Invoice'!$F$2:$F$151,$L54)))</f>
        <v/>
      </c>
      <c r="G54" s="5">
        <f>IF($L54="","",IF(INDEX('Per Invoice'!$G$2:$G$151,$L54)="","",INDEX('Per Invoice'!$G$2:$G$151,$L54)))</f>
        <v/>
      </c>
      <c r="H54" s="5">
        <f>IF($L54="","",IF(INDEX('Per Invoice'!$H$2:$H$151,$L54)="","",INDEX('Per Invoice'!$H$2:$H$151,$L54)))</f>
        <v/>
      </c>
      <c r="I54" s="5">
        <f>IF($L54="","",IF(INDEX('Per Invoice'!$I$2:$I$151,$L54)="","",INDEX('Per Invoice'!$I$2:$I$151,$L54)))</f>
        <v/>
      </c>
      <c r="J54" s="5">
        <f>IF($L54="","",IF(INDEX('Per Invoice'!$J$2:$J$151,$L54)="","",INDEX('Per Invoice'!$J$2:$J$151,$L54)))</f>
        <v/>
      </c>
      <c r="K54">
        <f>IF($L54="","",IF(INDEX('Per Invoice'!$K$2:$K$151,$L54)="","",INDEX('Per Invoice'!$K$2:$K$151,$L54)))</f>
        <v/>
      </c>
      <c r="L54">
        <f>IF(ROWS($L$2:$L54)&lt;=COUNT('Per Invoice'!$N$2:$N$151),MATCH(ROWS($L$2:$L54),'Per Invoice'!$N$2:$N$151,0),"")</f>
        <v/>
      </c>
    </row>
    <row r="55">
      <c r="A55">
        <f>IF($L55="","",IF(INDEX('Per Invoice'!$A$2:$A$151,$L55)="","",INDEX('Per Invoice'!$A$2:$A$151,$L55)))</f>
        <v/>
      </c>
      <c r="B55">
        <f>IF($L55="","",IF(INDEX('Per Invoice'!$B$2:$B$151,$L55)="","",INDEX('Per Invoice'!$B$2:$B$151,$L55)))</f>
        <v/>
      </c>
      <c r="C55">
        <f>IF($L55="","",IF(INDEX('Per Invoice'!$C$2:$C$151,$L55)="","",INDEX('Per Invoice'!$C$2:$C$151,$L55)))</f>
        <v/>
      </c>
      <c r="D55">
        <f>IF($L55="","",IF(INDEX('Per Invoice'!$D$2:$D$151,$L55)="","",INDEX('Per Invoice'!$D$2:$D$151,$L55)))</f>
        <v/>
      </c>
      <c r="E55">
        <f>IF($L55="","",IF(INDEX('Per Invoice'!$E$2:$E$151,$L55)="","",INDEX('Per Invoice'!$E$2:$E$151,$L55)))</f>
        <v/>
      </c>
      <c r="F55" s="5">
        <f>IF($L55="","",IF(INDEX('Per Invoice'!$F$2:$F$151,$L55)="","",INDEX('Per Invoice'!$F$2:$F$151,$L55)))</f>
        <v/>
      </c>
      <c r="G55" s="5">
        <f>IF($L55="","",IF(INDEX('Per Invoice'!$G$2:$G$151,$L55)="","",INDEX('Per Invoice'!$G$2:$G$151,$L55)))</f>
        <v/>
      </c>
      <c r="H55" s="5">
        <f>IF($L55="","",IF(INDEX('Per Invoice'!$H$2:$H$151,$L55)="","",INDEX('Per Invoice'!$H$2:$H$151,$L55)))</f>
        <v/>
      </c>
      <c r="I55" s="5">
        <f>IF($L55="","",IF(INDEX('Per Invoice'!$I$2:$I$151,$L55)="","",INDEX('Per Invoice'!$I$2:$I$151,$L55)))</f>
        <v/>
      </c>
      <c r="J55" s="5">
        <f>IF($L55="","",IF(INDEX('Per Invoice'!$J$2:$J$151,$L55)="","",INDEX('Per Invoice'!$J$2:$J$151,$L55)))</f>
        <v/>
      </c>
      <c r="K55">
        <f>IF($L55="","",IF(INDEX('Per Invoice'!$K$2:$K$151,$L55)="","",INDEX('Per Invoice'!$K$2:$K$151,$L55)))</f>
        <v/>
      </c>
      <c r="L55">
        <f>IF(ROWS($L$2:$L55)&lt;=COUNT('Per Invoice'!$N$2:$N$151),MATCH(ROWS($L$2:$L55),'Per Invoice'!$N$2:$N$151,0),"")</f>
        <v/>
      </c>
    </row>
    <row r="56">
      <c r="A56">
        <f>IF($L56="","",IF(INDEX('Per Invoice'!$A$2:$A$151,$L56)="","",INDEX('Per Invoice'!$A$2:$A$151,$L56)))</f>
        <v/>
      </c>
      <c r="B56">
        <f>IF($L56="","",IF(INDEX('Per Invoice'!$B$2:$B$151,$L56)="","",INDEX('Per Invoice'!$B$2:$B$151,$L56)))</f>
        <v/>
      </c>
      <c r="C56">
        <f>IF($L56="","",IF(INDEX('Per Invoice'!$C$2:$C$151,$L56)="","",INDEX('Per Invoice'!$C$2:$C$151,$L56)))</f>
        <v/>
      </c>
      <c r="D56">
        <f>IF($L56="","",IF(INDEX('Per Invoice'!$D$2:$D$151,$L56)="","",INDEX('Per Invoice'!$D$2:$D$151,$L56)))</f>
        <v/>
      </c>
      <c r="E56">
        <f>IF($L56="","",IF(INDEX('Per Invoice'!$E$2:$E$151,$L56)="","",INDEX('Per Invoice'!$E$2:$E$151,$L56)))</f>
        <v/>
      </c>
      <c r="F56" s="5">
        <f>IF($L56="","",IF(INDEX('Per Invoice'!$F$2:$F$151,$L56)="","",INDEX('Per Invoice'!$F$2:$F$151,$L56)))</f>
        <v/>
      </c>
      <c r="G56" s="5">
        <f>IF($L56="","",IF(INDEX('Per Invoice'!$G$2:$G$151,$L56)="","",INDEX('Per Invoice'!$G$2:$G$151,$L56)))</f>
        <v/>
      </c>
      <c r="H56" s="5">
        <f>IF($L56="","",IF(INDEX('Per Invoice'!$H$2:$H$151,$L56)="","",INDEX('Per Invoice'!$H$2:$H$151,$L56)))</f>
        <v/>
      </c>
      <c r="I56" s="5">
        <f>IF($L56="","",IF(INDEX('Per Invoice'!$I$2:$I$151,$L56)="","",INDEX('Per Invoice'!$I$2:$I$151,$L56)))</f>
        <v/>
      </c>
      <c r="J56" s="5">
        <f>IF($L56="","",IF(INDEX('Per Invoice'!$J$2:$J$151,$L56)="","",INDEX('Per Invoice'!$J$2:$J$151,$L56)))</f>
        <v/>
      </c>
      <c r="K56">
        <f>IF($L56="","",IF(INDEX('Per Invoice'!$K$2:$K$151,$L56)="","",INDEX('Per Invoice'!$K$2:$K$151,$L56)))</f>
        <v/>
      </c>
      <c r="L56">
        <f>IF(ROWS($L$2:$L56)&lt;=COUNT('Per Invoice'!$N$2:$N$151),MATCH(ROWS($L$2:$L56),'Per Invoice'!$N$2:$N$151,0),"")</f>
        <v/>
      </c>
    </row>
    <row r="57">
      <c r="A57">
        <f>IF($L57="","",IF(INDEX('Per Invoice'!$A$2:$A$151,$L57)="","",INDEX('Per Invoice'!$A$2:$A$151,$L57)))</f>
        <v/>
      </c>
      <c r="B57">
        <f>IF($L57="","",IF(INDEX('Per Invoice'!$B$2:$B$151,$L57)="","",INDEX('Per Invoice'!$B$2:$B$151,$L57)))</f>
        <v/>
      </c>
      <c r="C57">
        <f>IF($L57="","",IF(INDEX('Per Invoice'!$C$2:$C$151,$L57)="","",INDEX('Per Invoice'!$C$2:$C$151,$L57)))</f>
        <v/>
      </c>
      <c r="D57">
        <f>IF($L57="","",IF(INDEX('Per Invoice'!$D$2:$D$151,$L57)="","",INDEX('Per Invoice'!$D$2:$D$151,$L57)))</f>
        <v/>
      </c>
      <c r="E57">
        <f>IF($L57="","",IF(INDEX('Per Invoice'!$E$2:$E$151,$L57)="","",INDEX('Per Invoice'!$E$2:$E$151,$L57)))</f>
        <v/>
      </c>
      <c r="F57" s="5">
        <f>IF($L57="","",IF(INDEX('Per Invoice'!$F$2:$F$151,$L57)="","",INDEX('Per Invoice'!$F$2:$F$151,$L57)))</f>
        <v/>
      </c>
      <c r="G57" s="5">
        <f>IF($L57="","",IF(INDEX('Per Invoice'!$G$2:$G$151,$L57)="","",INDEX('Per Invoice'!$G$2:$G$151,$L57)))</f>
        <v/>
      </c>
      <c r="H57" s="5">
        <f>IF($L57="","",IF(INDEX('Per Invoice'!$H$2:$H$151,$L57)="","",INDEX('Per Invoice'!$H$2:$H$151,$L57)))</f>
        <v/>
      </c>
      <c r="I57" s="5">
        <f>IF($L57="","",IF(INDEX('Per Invoice'!$I$2:$I$151,$L57)="","",INDEX('Per Invoice'!$I$2:$I$151,$L57)))</f>
        <v/>
      </c>
      <c r="J57" s="5">
        <f>IF($L57="","",IF(INDEX('Per Invoice'!$J$2:$J$151,$L57)="","",INDEX('Per Invoice'!$J$2:$J$151,$L57)))</f>
        <v/>
      </c>
      <c r="K57">
        <f>IF($L57="","",IF(INDEX('Per Invoice'!$K$2:$K$151,$L57)="","",INDEX('Per Invoice'!$K$2:$K$151,$L57)))</f>
        <v/>
      </c>
      <c r="L57">
        <f>IF(ROWS($L$2:$L57)&lt;=COUNT('Per Invoice'!$N$2:$N$151),MATCH(ROWS($L$2:$L57),'Per Invoice'!$N$2:$N$151,0),"")</f>
        <v/>
      </c>
    </row>
    <row r="58">
      <c r="A58">
        <f>IF($L58="","",IF(INDEX('Per Invoice'!$A$2:$A$151,$L58)="","",INDEX('Per Invoice'!$A$2:$A$151,$L58)))</f>
        <v/>
      </c>
      <c r="B58">
        <f>IF($L58="","",IF(INDEX('Per Invoice'!$B$2:$B$151,$L58)="","",INDEX('Per Invoice'!$B$2:$B$151,$L58)))</f>
        <v/>
      </c>
      <c r="C58">
        <f>IF($L58="","",IF(INDEX('Per Invoice'!$C$2:$C$151,$L58)="","",INDEX('Per Invoice'!$C$2:$C$151,$L58)))</f>
        <v/>
      </c>
      <c r="D58">
        <f>IF($L58="","",IF(INDEX('Per Invoice'!$D$2:$D$151,$L58)="","",INDEX('Per Invoice'!$D$2:$D$151,$L58)))</f>
        <v/>
      </c>
      <c r="E58">
        <f>IF($L58="","",IF(INDEX('Per Invoice'!$E$2:$E$151,$L58)="","",INDEX('Per Invoice'!$E$2:$E$151,$L58)))</f>
        <v/>
      </c>
      <c r="F58" s="5">
        <f>IF($L58="","",IF(INDEX('Per Invoice'!$F$2:$F$151,$L58)="","",INDEX('Per Invoice'!$F$2:$F$151,$L58)))</f>
        <v/>
      </c>
      <c r="G58" s="5">
        <f>IF($L58="","",IF(INDEX('Per Invoice'!$G$2:$G$151,$L58)="","",INDEX('Per Invoice'!$G$2:$G$151,$L58)))</f>
        <v/>
      </c>
      <c r="H58" s="5">
        <f>IF($L58="","",IF(INDEX('Per Invoice'!$H$2:$H$151,$L58)="","",INDEX('Per Invoice'!$H$2:$H$151,$L58)))</f>
        <v/>
      </c>
      <c r="I58" s="5">
        <f>IF($L58="","",IF(INDEX('Per Invoice'!$I$2:$I$151,$L58)="","",INDEX('Per Invoice'!$I$2:$I$151,$L58)))</f>
        <v/>
      </c>
      <c r="J58" s="5">
        <f>IF($L58="","",IF(INDEX('Per Invoice'!$J$2:$J$151,$L58)="","",INDEX('Per Invoice'!$J$2:$J$151,$L58)))</f>
        <v/>
      </c>
      <c r="K58">
        <f>IF($L58="","",IF(INDEX('Per Invoice'!$K$2:$K$151,$L58)="","",INDEX('Per Invoice'!$K$2:$K$151,$L58)))</f>
        <v/>
      </c>
      <c r="L58">
        <f>IF(ROWS($L$2:$L58)&lt;=COUNT('Per Invoice'!$N$2:$N$151),MATCH(ROWS($L$2:$L58),'Per Invoice'!$N$2:$N$151,0),"")</f>
        <v/>
      </c>
    </row>
    <row r="59">
      <c r="A59">
        <f>IF($L59="","",IF(INDEX('Per Invoice'!$A$2:$A$151,$L59)="","",INDEX('Per Invoice'!$A$2:$A$151,$L59)))</f>
        <v/>
      </c>
      <c r="B59">
        <f>IF($L59="","",IF(INDEX('Per Invoice'!$B$2:$B$151,$L59)="","",INDEX('Per Invoice'!$B$2:$B$151,$L59)))</f>
        <v/>
      </c>
      <c r="C59">
        <f>IF($L59="","",IF(INDEX('Per Invoice'!$C$2:$C$151,$L59)="","",INDEX('Per Invoice'!$C$2:$C$151,$L59)))</f>
        <v/>
      </c>
      <c r="D59">
        <f>IF($L59="","",IF(INDEX('Per Invoice'!$D$2:$D$151,$L59)="","",INDEX('Per Invoice'!$D$2:$D$151,$L59)))</f>
        <v/>
      </c>
      <c r="E59">
        <f>IF($L59="","",IF(INDEX('Per Invoice'!$E$2:$E$151,$L59)="","",INDEX('Per Invoice'!$E$2:$E$151,$L59)))</f>
        <v/>
      </c>
      <c r="F59" s="5">
        <f>IF($L59="","",IF(INDEX('Per Invoice'!$F$2:$F$151,$L59)="","",INDEX('Per Invoice'!$F$2:$F$151,$L59)))</f>
        <v/>
      </c>
      <c r="G59" s="5">
        <f>IF($L59="","",IF(INDEX('Per Invoice'!$G$2:$G$151,$L59)="","",INDEX('Per Invoice'!$G$2:$G$151,$L59)))</f>
        <v/>
      </c>
      <c r="H59" s="5">
        <f>IF($L59="","",IF(INDEX('Per Invoice'!$H$2:$H$151,$L59)="","",INDEX('Per Invoice'!$H$2:$H$151,$L59)))</f>
        <v/>
      </c>
      <c r="I59" s="5">
        <f>IF($L59="","",IF(INDEX('Per Invoice'!$I$2:$I$151,$L59)="","",INDEX('Per Invoice'!$I$2:$I$151,$L59)))</f>
        <v/>
      </c>
      <c r="J59" s="5">
        <f>IF($L59="","",IF(INDEX('Per Invoice'!$J$2:$J$151,$L59)="","",INDEX('Per Invoice'!$J$2:$J$151,$L59)))</f>
        <v/>
      </c>
      <c r="K59">
        <f>IF($L59="","",IF(INDEX('Per Invoice'!$K$2:$K$151,$L59)="","",INDEX('Per Invoice'!$K$2:$K$151,$L59)))</f>
        <v/>
      </c>
      <c r="L59">
        <f>IF(ROWS($L$2:$L59)&lt;=COUNT('Per Invoice'!$N$2:$N$151),MATCH(ROWS($L$2:$L59),'Per Invoice'!$N$2:$N$151,0),"")</f>
        <v/>
      </c>
    </row>
    <row r="60">
      <c r="A60">
        <f>IF($L60="","",IF(INDEX('Per Invoice'!$A$2:$A$151,$L60)="","",INDEX('Per Invoice'!$A$2:$A$151,$L60)))</f>
        <v/>
      </c>
      <c r="B60">
        <f>IF($L60="","",IF(INDEX('Per Invoice'!$B$2:$B$151,$L60)="","",INDEX('Per Invoice'!$B$2:$B$151,$L60)))</f>
        <v/>
      </c>
      <c r="C60">
        <f>IF($L60="","",IF(INDEX('Per Invoice'!$C$2:$C$151,$L60)="","",INDEX('Per Invoice'!$C$2:$C$151,$L60)))</f>
        <v/>
      </c>
      <c r="D60">
        <f>IF($L60="","",IF(INDEX('Per Invoice'!$D$2:$D$151,$L60)="","",INDEX('Per Invoice'!$D$2:$D$151,$L60)))</f>
        <v/>
      </c>
      <c r="E60">
        <f>IF($L60="","",IF(INDEX('Per Invoice'!$E$2:$E$151,$L60)="","",INDEX('Per Invoice'!$E$2:$E$151,$L60)))</f>
        <v/>
      </c>
      <c r="F60" s="5">
        <f>IF($L60="","",IF(INDEX('Per Invoice'!$F$2:$F$151,$L60)="","",INDEX('Per Invoice'!$F$2:$F$151,$L60)))</f>
        <v/>
      </c>
      <c r="G60" s="5">
        <f>IF($L60="","",IF(INDEX('Per Invoice'!$G$2:$G$151,$L60)="","",INDEX('Per Invoice'!$G$2:$G$151,$L60)))</f>
        <v/>
      </c>
      <c r="H60" s="5">
        <f>IF($L60="","",IF(INDEX('Per Invoice'!$H$2:$H$151,$L60)="","",INDEX('Per Invoice'!$H$2:$H$151,$L60)))</f>
        <v/>
      </c>
      <c r="I60" s="5">
        <f>IF($L60="","",IF(INDEX('Per Invoice'!$I$2:$I$151,$L60)="","",INDEX('Per Invoice'!$I$2:$I$151,$L60)))</f>
        <v/>
      </c>
      <c r="J60" s="5">
        <f>IF($L60="","",IF(INDEX('Per Invoice'!$J$2:$J$151,$L60)="","",INDEX('Per Invoice'!$J$2:$J$151,$L60)))</f>
        <v/>
      </c>
      <c r="K60">
        <f>IF($L60="","",IF(INDEX('Per Invoice'!$K$2:$K$151,$L60)="","",INDEX('Per Invoice'!$K$2:$K$151,$L60)))</f>
        <v/>
      </c>
      <c r="L60">
        <f>IF(ROWS($L$2:$L60)&lt;=COUNT('Per Invoice'!$N$2:$N$151),MATCH(ROWS($L$2:$L60),'Per Invoice'!$N$2:$N$151,0),"")</f>
        <v/>
      </c>
    </row>
    <row r="61">
      <c r="A61">
        <f>IF($L61="","",IF(INDEX('Per Invoice'!$A$2:$A$151,$L61)="","",INDEX('Per Invoice'!$A$2:$A$151,$L61)))</f>
        <v/>
      </c>
      <c r="B61">
        <f>IF($L61="","",IF(INDEX('Per Invoice'!$B$2:$B$151,$L61)="","",INDEX('Per Invoice'!$B$2:$B$151,$L61)))</f>
        <v/>
      </c>
      <c r="C61">
        <f>IF($L61="","",IF(INDEX('Per Invoice'!$C$2:$C$151,$L61)="","",INDEX('Per Invoice'!$C$2:$C$151,$L61)))</f>
        <v/>
      </c>
      <c r="D61">
        <f>IF($L61="","",IF(INDEX('Per Invoice'!$D$2:$D$151,$L61)="","",INDEX('Per Invoice'!$D$2:$D$151,$L61)))</f>
        <v/>
      </c>
      <c r="E61">
        <f>IF($L61="","",IF(INDEX('Per Invoice'!$E$2:$E$151,$L61)="","",INDEX('Per Invoice'!$E$2:$E$151,$L61)))</f>
        <v/>
      </c>
      <c r="F61" s="5">
        <f>IF($L61="","",IF(INDEX('Per Invoice'!$F$2:$F$151,$L61)="","",INDEX('Per Invoice'!$F$2:$F$151,$L61)))</f>
        <v/>
      </c>
      <c r="G61" s="5">
        <f>IF($L61="","",IF(INDEX('Per Invoice'!$G$2:$G$151,$L61)="","",INDEX('Per Invoice'!$G$2:$G$151,$L61)))</f>
        <v/>
      </c>
      <c r="H61" s="5">
        <f>IF($L61="","",IF(INDEX('Per Invoice'!$H$2:$H$151,$L61)="","",INDEX('Per Invoice'!$H$2:$H$151,$L61)))</f>
        <v/>
      </c>
      <c r="I61" s="5">
        <f>IF($L61="","",IF(INDEX('Per Invoice'!$I$2:$I$151,$L61)="","",INDEX('Per Invoice'!$I$2:$I$151,$L61)))</f>
        <v/>
      </c>
      <c r="J61" s="5">
        <f>IF($L61="","",IF(INDEX('Per Invoice'!$J$2:$J$151,$L61)="","",INDEX('Per Invoice'!$J$2:$J$151,$L61)))</f>
        <v/>
      </c>
      <c r="K61">
        <f>IF($L61="","",IF(INDEX('Per Invoice'!$K$2:$K$151,$L61)="","",INDEX('Per Invoice'!$K$2:$K$151,$L61)))</f>
        <v/>
      </c>
      <c r="L61">
        <f>IF(ROWS($L$2:$L61)&lt;=COUNT('Per Invoice'!$N$2:$N$151),MATCH(ROWS($L$2:$L61),'Per Invoice'!$N$2:$N$151,0),"")</f>
        <v/>
      </c>
    </row>
    <row r="62">
      <c r="A62">
        <f>IF($L62="","",IF(INDEX('Per Invoice'!$A$2:$A$151,$L62)="","",INDEX('Per Invoice'!$A$2:$A$151,$L62)))</f>
        <v/>
      </c>
      <c r="B62">
        <f>IF($L62="","",IF(INDEX('Per Invoice'!$B$2:$B$151,$L62)="","",INDEX('Per Invoice'!$B$2:$B$151,$L62)))</f>
        <v/>
      </c>
      <c r="C62">
        <f>IF($L62="","",IF(INDEX('Per Invoice'!$C$2:$C$151,$L62)="","",INDEX('Per Invoice'!$C$2:$C$151,$L62)))</f>
        <v/>
      </c>
      <c r="D62">
        <f>IF($L62="","",IF(INDEX('Per Invoice'!$D$2:$D$151,$L62)="","",INDEX('Per Invoice'!$D$2:$D$151,$L62)))</f>
        <v/>
      </c>
      <c r="E62">
        <f>IF($L62="","",IF(INDEX('Per Invoice'!$E$2:$E$151,$L62)="","",INDEX('Per Invoice'!$E$2:$E$151,$L62)))</f>
        <v/>
      </c>
      <c r="F62" s="5">
        <f>IF($L62="","",IF(INDEX('Per Invoice'!$F$2:$F$151,$L62)="","",INDEX('Per Invoice'!$F$2:$F$151,$L62)))</f>
        <v/>
      </c>
      <c r="G62" s="5">
        <f>IF($L62="","",IF(INDEX('Per Invoice'!$G$2:$G$151,$L62)="","",INDEX('Per Invoice'!$G$2:$G$151,$L62)))</f>
        <v/>
      </c>
      <c r="H62" s="5">
        <f>IF($L62="","",IF(INDEX('Per Invoice'!$H$2:$H$151,$L62)="","",INDEX('Per Invoice'!$H$2:$H$151,$L62)))</f>
        <v/>
      </c>
      <c r="I62" s="5">
        <f>IF($L62="","",IF(INDEX('Per Invoice'!$I$2:$I$151,$L62)="","",INDEX('Per Invoice'!$I$2:$I$151,$L62)))</f>
        <v/>
      </c>
      <c r="J62" s="5">
        <f>IF($L62="","",IF(INDEX('Per Invoice'!$J$2:$J$151,$L62)="","",INDEX('Per Invoice'!$J$2:$J$151,$L62)))</f>
        <v/>
      </c>
      <c r="K62">
        <f>IF($L62="","",IF(INDEX('Per Invoice'!$K$2:$K$151,$L62)="","",INDEX('Per Invoice'!$K$2:$K$151,$L62)))</f>
        <v/>
      </c>
      <c r="L62">
        <f>IF(ROWS($L$2:$L62)&lt;=COUNT('Per Invoice'!$N$2:$N$151),MATCH(ROWS($L$2:$L62),'Per Invoice'!$N$2:$N$151,0),"")</f>
        <v/>
      </c>
    </row>
    <row r="63">
      <c r="A63">
        <f>IF($L63="","",IF(INDEX('Per Invoice'!$A$2:$A$151,$L63)="","",INDEX('Per Invoice'!$A$2:$A$151,$L63)))</f>
        <v/>
      </c>
      <c r="B63">
        <f>IF($L63="","",IF(INDEX('Per Invoice'!$B$2:$B$151,$L63)="","",INDEX('Per Invoice'!$B$2:$B$151,$L63)))</f>
        <v/>
      </c>
      <c r="C63">
        <f>IF($L63="","",IF(INDEX('Per Invoice'!$C$2:$C$151,$L63)="","",INDEX('Per Invoice'!$C$2:$C$151,$L63)))</f>
        <v/>
      </c>
      <c r="D63">
        <f>IF($L63="","",IF(INDEX('Per Invoice'!$D$2:$D$151,$L63)="","",INDEX('Per Invoice'!$D$2:$D$151,$L63)))</f>
        <v/>
      </c>
      <c r="E63">
        <f>IF($L63="","",IF(INDEX('Per Invoice'!$E$2:$E$151,$L63)="","",INDEX('Per Invoice'!$E$2:$E$151,$L63)))</f>
        <v/>
      </c>
      <c r="F63" s="5">
        <f>IF($L63="","",IF(INDEX('Per Invoice'!$F$2:$F$151,$L63)="","",INDEX('Per Invoice'!$F$2:$F$151,$L63)))</f>
        <v/>
      </c>
      <c r="G63" s="5">
        <f>IF($L63="","",IF(INDEX('Per Invoice'!$G$2:$G$151,$L63)="","",INDEX('Per Invoice'!$G$2:$G$151,$L63)))</f>
        <v/>
      </c>
      <c r="H63" s="5">
        <f>IF($L63="","",IF(INDEX('Per Invoice'!$H$2:$H$151,$L63)="","",INDEX('Per Invoice'!$H$2:$H$151,$L63)))</f>
        <v/>
      </c>
      <c r="I63" s="5">
        <f>IF($L63="","",IF(INDEX('Per Invoice'!$I$2:$I$151,$L63)="","",INDEX('Per Invoice'!$I$2:$I$151,$L63)))</f>
        <v/>
      </c>
      <c r="J63" s="5">
        <f>IF($L63="","",IF(INDEX('Per Invoice'!$J$2:$J$151,$L63)="","",INDEX('Per Invoice'!$J$2:$J$151,$L63)))</f>
        <v/>
      </c>
      <c r="K63">
        <f>IF($L63="","",IF(INDEX('Per Invoice'!$K$2:$K$151,$L63)="","",INDEX('Per Invoice'!$K$2:$K$151,$L63)))</f>
        <v/>
      </c>
      <c r="L63">
        <f>IF(ROWS($L$2:$L63)&lt;=COUNT('Per Invoice'!$N$2:$N$151),MATCH(ROWS($L$2:$L63),'Per Invoice'!$N$2:$N$151,0),"")</f>
        <v/>
      </c>
    </row>
    <row r="64">
      <c r="A64">
        <f>IF($L64="","",IF(INDEX('Per Invoice'!$A$2:$A$151,$L64)="","",INDEX('Per Invoice'!$A$2:$A$151,$L64)))</f>
        <v/>
      </c>
      <c r="B64">
        <f>IF($L64="","",IF(INDEX('Per Invoice'!$B$2:$B$151,$L64)="","",INDEX('Per Invoice'!$B$2:$B$151,$L64)))</f>
        <v/>
      </c>
      <c r="C64">
        <f>IF($L64="","",IF(INDEX('Per Invoice'!$C$2:$C$151,$L64)="","",INDEX('Per Invoice'!$C$2:$C$151,$L64)))</f>
        <v/>
      </c>
      <c r="D64">
        <f>IF($L64="","",IF(INDEX('Per Invoice'!$D$2:$D$151,$L64)="","",INDEX('Per Invoice'!$D$2:$D$151,$L64)))</f>
        <v/>
      </c>
      <c r="E64">
        <f>IF($L64="","",IF(INDEX('Per Invoice'!$E$2:$E$151,$L64)="","",INDEX('Per Invoice'!$E$2:$E$151,$L64)))</f>
        <v/>
      </c>
      <c r="F64" s="5">
        <f>IF($L64="","",IF(INDEX('Per Invoice'!$F$2:$F$151,$L64)="","",INDEX('Per Invoice'!$F$2:$F$151,$L64)))</f>
        <v/>
      </c>
      <c r="G64" s="5">
        <f>IF($L64="","",IF(INDEX('Per Invoice'!$G$2:$G$151,$L64)="","",INDEX('Per Invoice'!$G$2:$G$151,$L64)))</f>
        <v/>
      </c>
      <c r="H64" s="5">
        <f>IF($L64="","",IF(INDEX('Per Invoice'!$H$2:$H$151,$L64)="","",INDEX('Per Invoice'!$H$2:$H$151,$L64)))</f>
        <v/>
      </c>
      <c r="I64" s="5">
        <f>IF($L64="","",IF(INDEX('Per Invoice'!$I$2:$I$151,$L64)="","",INDEX('Per Invoice'!$I$2:$I$151,$L64)))</f>
        <v/>
      </c>
      <c r="J64" s="5">
        <f>IF($L64="","",IF(INDEX('Per Invoice'!$J$2:$J$151,$L64)="","",INDEX('Per Invoice'!$J$2:$J$151,$L64)))</f>
        <v/>
      </c>
      <c r="K64">
        <f>IF($L64="","",IF(INDEX('Per Invoice'!$K$2:$K$151,$L64)="","",INDEX('Per Invoice'!$K$2:$K$151,$L64)))</f>
        <v/>
      </c>
      <c r="L64">
        <f>IF(ROWS($L$2:$L64)&lt;=COUNT('Per Invoice'!$N$2:$N$151),MATCH(ROWS($L$2:$L64),'Per Invoice'!$N$2:$N$151,0),"")</f>
        <v/>
      </c>
    </row>
    <row r="65">
      <c r="A65">
        <f>IF($L65="","",IF(INDEX('Per Invoice'!$A$2:$A$151,$L65)="","",INDEX('Per Invoice'!$A$2:$A$151,$L65)))</f>
        <v/>
      </c>
      <c r="B65">
        <f>IF($L65="","",IF(INDEX('Per Invoice'!$B$2:$B$151,$L65)="","",INDEX('Per Invoice'!$B$2:$B$151,$L65)))</f>
        <v/>
      </c>
      <c r="C65">
        <f>IF($L65="","",IF(INDEX('Per Invoice'!$C$2:$C$151,$L65)="","",INDEX('Per Invoice'!$C$2:$C$151,$L65)))</f>
        <v/>
      </c>
      <c r="D65">
        <f>IF($L65="","",IF(INDEX('Per Invoice'!$D$2:$D$151,$L65)="","",INDEX('Per Invoice'!$D$2:$D$151,$L65)))</f>
        <v/>
      </c>
      <c r="E65">
        <f>IF($L65="","",IF(INDEX('Per Invoice'!$E$2:$E$151,$L65)="","",INDEX('Per Invoice'!$E$2:$E$151,$L65)))</f>
        <v/>
      </c>
      <c r="F65" s="5">
        <f>IF($L65="","",IF(INDEX('Per Invoice'!$F$2:$F$151,$L65)="","",INDEX('Per Invoice'!$F$2:$F$151,$L65)))</f>
        <v/>
      </c>
      <c r="G65" s="5">
        <f>IF($L65="","",IF(INDEX('Per Invoice'!$G$2:$G$151,$L65)="","",INDEX('Per Invoice'!$G$2:$G$151,$L65)))</f>
        <v/>
      </c>
      <c r="H65" s="5">
        <f>IF($L65="","",IF(INDEX('Per Invoice'!$H$2:$H$151,$L65)="","",INDEX('Per Invoice'!$H$2:$H$151,$L65)))</f>
        <v/>
      </c>
      <c r="I65" s="5">
        <f>IF($L65="","",IF(INDEX('Per Invoice'!$I$2:$I$151,$L65)="","",INDEX('Per Invoice'!$I$2:$I$151,$L65)))</f>
        <v/>
      </c>
      <c r="J65" s="5">
        <f>IF($L65="","",IF(INDEX('Per Invoice'!$J$2:$J$151,$L65)="","",INDEX('Per Invoice'!$J$2:$J$151,$L65)))</f>
        <v/>
      </c>
      <c r="K65">
        <f>IF($L65="","",IF(INDEX('Per Invoice'!$K$2:$K$151,$L65)="","",INDEX('Per Invoice'!$K$2:$K$151,$L65)))</f>
        <v/>
      </c>
      <c r="L65">
        <f>IF(ROWS($L$2:$L65)&lt;=COUNT('Per Invoice'!$N$2:$N$151),MATCH(ROWS($L$2:$L65),'Per Invoice'!$N$2:$N$151,0),"")</f>
        <v/>
      </c>
    </row>
    <row r="66">
      <c r="A66">
        <f>IF($L66="","",IF(INDEX('Per Invoice'!$A$2:$A$151,$L66)="","",INDEX('Per Invoice'!$A$2:$A$151,$L66)))</f>
        <v/>
      </c>
      <c r="B66">
        <f>IF($L66="","",IF(INDEX('Per Invoice'!$B$2:$B$151,$L66)="","",INDEX('Per Invoice'!$B$2:$B$151,$L66)))</f>
        <v/>
      </c>
      <c r="C66">
        <f>IF($L66="","",IF(INDEX('Per Invoice'!$C$2:$C$151,$L66)="","",INDEX('Per Invoice'!$C$2:$C$151,$L66)))</f>
        <v/>
      </c>
      <c r="D66">
        <f>IF($L66="","",IF(INDEX('Per Invoice'!$D$2:$D$151,$L66)="","",INDEX('Per Invoice'!$D$2:$D$151,$L66)))</f>
        <v/>
      </c>
      <c r="E66">
        <f>IF($L66="","",IF(INDEX('Per Invoice'!$E$2:$E$151,$L66)="","",INDEX('Per Invoice'!$E$2:$E$151,$L66)))</f>
        <v/>
      </c>
      <c r="F66" s="5">
        <f>IF($L66="","",IF(INDEX('Per Invoice'!$F$2:$F$151,$L66)="","",INDEX('Per Invoice'!$F$2:$F$151,$L66)))</f>
        <v/>
      </c>
      <c r="G66" s="5">
        <f>IF($L66="","",IF(INDEX('Per Invoice'!$G$2:$G$151,$L66)="","",INDEX('Per Invoice'!$G$2:$G$151,$L66)))</f>
        <v/>
      </c>
      <c r="H66" s="5">
        <f>IF($L66="","",IF(INDEX('Per Invoice'!$H$2:$H$151,$L66)="","",INDEX('Per Invoice'!$H$2:$H$151,$L66)))</f>
        <v/>
      </c>
      <c r="I66" s="5">
        <f>IF($L66="","",IF(INDEX('Per Invoice'!$I$2:$I$151,$L66)="","",INDEX('Per Invoice'!$I$2:$I$151,$L66)))</f>
        <v/>
      </c>
      <c r="J66" s="5">
        <f>IF($L66="","",IF(INDEX('Per Invoice'!$J$2:$J$151,$L66)="","",INDEX('Per Invoice'!$J$2:$J$151,$L66)))</f>
        <v/>
      </c>
      <c r="K66">
        <f>IF($L66="","",IF(INDEX('Per Invoice'!$K$2:$K$151,$L66)="","",INDEX('Per Invoice'!$K$2:$K$151,$L66)))</f>
        <v/>
      </c>
      <c r="L66">
        <f>IF(ROWS($L$2:$L66)&lt;=COUNT('Per Invoice'!$N$2:$N$151),MATCH(ROWS($L$2:$L66),'Per Invoice'!$N$2:$N$151,0),"")</f>
        <v/>
      </c>
    </row>
    <row r="67">
      <c r="A67">
        <f>IF($L67="","",IF(INDEX('Per Invoice'!$A$2:$A$151,$L67)="","",INDEX('Per Invoice'!$A$2:$A$151,$L67)))</f>
        <v/>
      </c>
      <c r="B67">
        <f>IF($L67="","",IF(INDEX('Per Invoice'!$B$2:$B$151,$L67)="","",INDEX('Per Invoice'!$B$2:$B$151,$L67)))</f>
        <v/>
      </c>
      <c r="C67">
        <f>IF($L67="","",IF(INDEX('Per Invoice'!$C$2:$C$151,$L67)="","",INDEX('Per Invoice'!$C$2:$C$151,$L67)))</f>
        <v/>
      </c>
      <c r="D67">
        <f>IF($L67="","",IF(INDEX('Per Invoice'!$D$2:$D$151,$L67)="","",INDEX('Per Invoice'!$D$2:$D$151,$L67)))</f>
        <v/>
      </c>
      <c r="E67">
        <f>IF($L67="","",IF(INDEX('Per Invoice'!$E$2:$E$151,$L67)="","",INDEX('Per Invoice'!$E$2:$E$151,$L67)))</f>
        <v/>
      </c>
      <c r="F67" s="5">
        <f>IF($L67="","",IF(INDEX('Per Invoice'!$F$2:$F$151,$L67)="","",INDEX('Per Invoice'!$F$2:$F$151,$L67)))</f>
        <v/>
      </c>
      <c r="G67" s="5">
        <f>IF($L67="","",IF(INDEX('Per Invoice'!$G$2:$G$151,$L67)="","",INDEX('Per Invoice'!$G$2:$G$151,$L67)))</f>
        <v/>
      </c>
      <c r="H67" s="5">
        <f>IF($L67="","",IF(INDEX('Per Invoice'!$H$2:$H$151,$L67)="","",INDEX('Per Invoice'!$H$2:$H$151,$L67)))</f>
        <v/>
      </c>
      <c r="I67" s="5">
        <f>IF($L67="","",IF(INDEX('Per Invoice'!$I$2:$I$151,$L67)="","",INDEX('Per Invoice'!$I$2:$I$151,$L67)))</f>
        <v/>
      </c>
      <c r="J67" s="5">
        <f>IF($L67="","",IF(INDEX('Per Invoice'!$J$2:$J$151,$L67)="","",INDEX('Per Invoice'!$J$2:$J$151,$L67)))</f>
        <v/>
      </c>
      <c r="K67">
        <f>IF($L67="","",IF(INDEX('Per Invoice'!$K$2:$K$151,$L67)="","",INDEX('Per Invoice'!$K$2:$K$151,$L67)))</f>
        <v/>
      </c>
      <c r="L67">
        <f>IF(ROWS($L$2:$L67)&lt;=COUNT('Per Invoice'!$N$2:$N$151),MATCH(ROWS($L$2:$L67),'Per Invoice'!$N$2:$N$151,0),"")</f>
        <v/>
      </c>
    </row>
    <row r="68">
      <c r="A68">
        <f>IF($L68="","",IF(INDEX('Per Invoice'!$A$2:$A$151,$L68)="","",INDEX('Per Invoice'!$A$2:$A$151,$L68)))</f>
        <v/>
      </c>
      <c r="B68">
        <f>IF($L68="","",IF(INDEX('Per Invoice'!$B$2:$B$151,$L68)="","",INDEX('Per Invoice'!$B$2:$B$151,$L68)))</f>
        <v/>
      </c>
      <c r="C68">
        <f>IF($L68="","",IF(INDEX('Per Invoice'!$C$2:$C$151,$L68)="","",INDEX('Per Invoice'!$C$2:$C$151,$L68)))</f>
        <v/>
      </c>
      <c r="D68">
        <f>IF($L68="","",IF(INDEX('Per Invoice'!$D$2:$D$151,$L68)="","",INDEX('Per Invoice'!$D$2:$D$151,$L68)))</f>
        <v/>
      </c>
      <c r="E68">
        <f>IF($L68="","",IF(INDEX('Per Invoice'!$E$2:$E$151,$L68)="","",INDEX('Per Invoice'!$E$2:$E$151,$L68)))</f>
        <v/>
      </c>
      <c r="F68" s="5">
        <f>IF($L68="","",IF(INDEX('Per Invoice'!$F$2:$F$151,$L68)="","",INDEX('Per Invoice'!$F$2:$F$151,$L68)))</f>
        <v/>
      </c>
      <c r="G68" s="5">
        <f>IF($L68="","",IF(INDEX('Per Invoice'!$G$2:$G$151,$L68)="","",INDEX('Per Invoice'!$G$2:$G$151,$L68)))</f>
        <v/>
      </c>
      <c r="H68" s="5">
        <f>IF($L68="","",IF(INDEX('Per Invoice'!$H$2:$H$151,$L68)="","",INDEX('Per Invoice'!$H$2:$H$151,$L68)))</f>
        <v/>
      </c>
      <c r="I68" s="5">
        <f>IF($L68="","",IF(INDEX('Per Invoice'!$I$2:$I$151,$L68)="","",INDEX('Per Invoice'!$I$2:$I$151,$L68)))</f>
        <v/>
      </c>
      <c r="J68" s="5">
        <f>IF($L68="","",IF(INDEX('Per Invoice'!$J$2:$J$151,$L68)="","",INDEX('Per Invoice'!$J$2:$J$151,$L68)))</f>
        <v/>
      </c>
      <c r="K68">
        <f>IF($L68="","",IF(INDEX('Per Invoice'!$K$2:$K$151,$L68)="","",INDEX('Per Invoice'!$K$2:$K$151,$L68)))</f>
        <v/>
      </c>
      <c r="L68">
        <f>IF(ROWS($L$2:$L68)&lt;=COUNT('Per Invoice'!$N$2:$N$151),MATCH(ROWS($L$2:$L68),'Per Invoice'!$N$2:$N$151,0),"")</f>
        <v/>
      </c>
    </row>
    <row r="69">
      <c r="A69">
        <f>IF($L69="","",IF(INDEX('Per Invoice'!$A$2:$A$151,$L69)="","",INDEX('Per Invoice'!$A$2:$A$151,$L69)))</f>
        <v/>
      </c>
      <c r="B69">
        <f>IF($L69="","",IF(INDEX('Per Invoice'!$B$2:$B$151,$L69)="","",INDEX('Per Invoice'!$B$2:$B$151,$L69)))</f>
        <v/>
      </c>
      <c r="C69">
        <f>IF($L69="","",IF(INDEX('Per Invoice'!$C$2:$C$151,$L69)="","",INDEX('Per Invoice'!$C$2:$C$151,$L69)))</f>
        <v/>
      </c>
      <c r="D69">
        <f>IF($L69="","",IF(INDEX('Per Invoice'!$D$2:$D$151,$L69)="","",INDEX('Per Invoice'!$D$2:$D$151,$L69)))</f>
        <v/>
      </c>
      <c r="E69">
        <f>IF($L69="","",IF(INDEX('Per Invoice'!$E$2:$E$151,$L69)="","",INDEX('Per Invoice'!$E$2:$E$151,$L69)))</f>
        <v/>
      </c>
      <c r="F69" s="5">
        <f>IF($L69="","",IF(INDEX('Per Invoice'!$F$2:$F$151,$L69)="","",INDEX('Per Invoice'!$F$2:$F$151,$L69)))</f>
        <v/>
      </c>
      <c r="G69" s="5">
        <f>IF($L69="","",IF(INDEX('Per Invoice'!$G$2:$G$151,$L69)="","",INDEX('Per Invoice'!$G$2:$G$151,$L69)))</f>
        <v/>
      </c>
      <c r="H69" s="5">
        <f>IF($L69="","",IF(INDEX('Per Invoice'!$H$2:$H$151,$L69)="","",INDEX('Per Invoice'!$H$2:$H$151,$L69)))</f>
        <v/>
      </c>
      <c r="I69" s="5">
        <f>IF($L69="","",IF(INDEX('Per Invoice'!$I$2:$I$151,$L69)="","",INDEX('Per Invoice'!$I$2:$I$151,$L69)))</f>
        <v/>
      </c>
      <c r="J69" s="5">
        <f>IF($L69="","",IF(INDEX('Per Invoice'!$J$2:$J$151,$L69)="","",INDEX('Per Invoice'!$J$2:$J$151,$L69)))</f>
        <v/>
      </c>
      <c r="K69">
        <f>IF($L69="","",IF(INDEX('Per Invoice'!$K$2:$K$151,$L69)="","",INDEX('Per Invoice'!$K$2:$K$151,$L69)))</f>
        <v/>
      </c>
      <c r="L69">
        <f>IF(ROWS($L$2:$L69)&lt;=COUNT('Per Invoice'!$N$2:$N$151),MATCH(ROWS($L$2:$L69),'Per Invoice'!$N$2:$N$151,0),"")</f>
        <v/>
      </c>
    </row>
    <row r="70">
      <c r="A70">
        <f>IF($L70="","",IF(INDEX('Per Invoice'!$A$2:$A$151,$L70)="","",INDEX('Per Invoice'!$A$2:$A$151,$L70)))</f>
        <v/>
      </c>
      <c r="B70">
        <f>IF($L70="","",IF(INDEX('Per Invoice'!$B$2:$B$151,$L70)="","",INDEX('Per Invoice'!$B$2:$B$151,$L70)))</f>
        <v/>
      </c>
      <c r="C70">
        <f>IF($L70="","",IF(INDEX('Per Invoice'!$C$2:$C$151,$L70)="","",INDEX('Per Invoice'!$C$2:$C$151,$L70)))</f>
        <v/>
      </c>
      <c r="D70">
        <f>IF($L70="","",IF(INDEX('Per Invoice'!$D$2:$D$151,$L70)="","",INDEX('Per Invoice'!$D$2:$D$151,$L70)))</f>
        <v/>
      </c>
      <c r="E70">
        <f>IF($L70="","",IF(INDEX('Per Invoice'!$E$2:$E$151,$L70)="","",INDEX('Per Invoice'!$E$2:$E$151,$L70)))</f>
        <v/>
      </c>
      <c r="F70" s="5">
        <f>IF($L70="","",IF(INDEX('Per Invoice'!$F$2:$F$151,$L70)="","",INDEX('Per Invoice'!$F$2:$F$151,$L70)))</f>
        <v/>
      </c>
      <c r="G70" s="5">
        <f>IF($L70="","",IF(INDEX('Per Invoice'!$G$2:$G$151,$L70)="","",INDEX('Per Invoice'!$G$2:$G$151,$L70)))</f>
        <v/>
      </c>
      <c r="H70" s="5">
        <f>IF($L70="","",IF(INDEX('Per Invoice'!$H$2:$H$151,$L70)="","",INDEX('Per Invoice'!$H$2:$H$151,$L70)))</f>
        <v/>
      </c>
      <c r="I70" s="5">
        <f>IF($L70="","",IF(INDEX('Per Invoice'!$I$2:$I$151,$L70)="","",INDEX('Per Invoice'!$I$2:$I$151,$L70)))</f>
        <v/>
      </c>
      <c r="J70" s="5">
        <f>IF($L70="","",IF(INDEX('Per Invoice'!$J$2:$J$151,$L70)="","",INDEX('Per Invoice'!$J$2:$J$151,$L70)))</f>
        <v/>
      </c>
      <c r="K70">
        <f>IF($L70="","",IF(INDEX('Per Invoice'!$K$2:$K$151,$L70)="","",INDEX('Per Invoice'!$K$2:$K$151,$L70)))</f>
        <v/>
      </c>
      <c r="L70">
        <f>IF(ROWS($L$2:$L70)&lt;=COUNT('Per Invoice'!$N$2:$N$151),MATCH(ROWS($L$2:$L70),'Per Invoice'!$N$2:$N$151,0),"")</f>
        <v/>
      </c>
    </row>
    <row r="71">
      <c r="A71">
        <f>IF($L71="","",IF(INDEX('Per Invoice'!$A$2:$A$151,$L71)="","",INDEX('Per Invoice'!$A$2:$A$151,$L71)))</f>
        <v/>
      </c>
      <c r="B71">
        <f>IF($L71="","",IF(INDEX('Per Invoice'!$B$2:$B$151,$L71)="","",INDEX('Per Invoice'!$B$2:$B$151,$L71)))</f>
        <v/>
      </c>
      <c r="C71">
        <f>IF($L71="","",IF(INDEX('Per Invoice'!$C$2:$C$151,$L71)="","",INDEX('Per Invoice'!$C$2:$C$151,$L71)))</f>
        <v/>
      </c>
      <c r="D71">
        <f>IF($L71="","",IF(INDEX('Per Invoice'!$D$2:$D$151,$L71)="","",INDEX('Per Invoice'!$D$2:$D$151,$L71)))</f>
        <v/>
      </c>
      <c r="E71">
        <f>IF($L71="","",IF(INDEX('Per Invoice'!$E$2:$E$151,$L71)="","",INDEX('Per Invoice'!$E$2:$E$151,$L71)))</f>
        <v/>
      </c>
      <c r="F71" s="5">
        <f>IF($L71="","",IF(INDEX('Per Invoice'!$F$2:$F$151,$L71)="","",INDEX('Per Invoice'!$F$2:$F$151,$L71)))</f>
        <v/>
      </c>
      <c r="G71" s="5">
        <f>IF($L71="","",IF(INDEX('Per Invoice'!$G$2:$G$151,$L71)="","",INDEX('Per Invoice'!$G$2:$G$151,$L71)))</f>
        <v/>
      </c>
      <c r="H71" s="5">
        <f>IF($L71="","",IF(INDEX('Per Invoice'!$H$2:$H$151,$L71)="","",INDEX('Per Invoice'!$H$2:$H$151,$L71)))</f>
        <v/>
      </c>
      <c r="I71" s="5">
        <f>IF($L71="","",IF(INDEX('Per Invoice'!$I$2:$I$151,$L71)="","",INDEX('Per Invoice'!$I$2:$I$151,$L71)))</f>
        <v/>
      </c>
      <c r="J71" s="5">
        <f>IF($L71="","",IF(INDEX('Per Invoice'!$J$2:$J$151,$L71)="","",INDEX('Per Invoice'!$J$2:$J$151,$L71)))</f>
        <v/>
      </c>
      <c r="K71">
        <f>IF($L71="","",IF(INDEX('Per Invoice'!$K$2:$K$151,$L71)="","",INDEX('Per Invoice'!$K$2:$K$151,$L71)))</f>
        <v/>
      </c>
      <c r="L71">
        <f>IF(ROWS($L$2:$L71)&lt;=COUNT('Per Invoice'!$N$2:$N$151),MATCH(ROWS($L$2:$L71),'Per Invoice'!$N$2:$N$151,0),"")</f>
        <v/>
      </c>
    </row>
    <row r="72">
      <c r="A72">
        <f>IF($L72="","",IF(INDEX('Per Invoice'!$A$2:$A$151,$L72)="","",INDEX('Per Invoice'!$A$2:$A$151,$L72)))</f>
        <v/>
      </c>
      <c r="B72">
        <f>IF($L72="","",IF(INDEX('Per Invoice'!$B$2:$B$151,$L72)="","",INDEX('Per Invoice'!$B$2:$B$151,$L72)))</f>
        <v/>
      </c>
      <c r="C72">
        <f>IF($L72="","",IF(INDEX('Per Invoice'!$C$2:$C$151,$L72)="","",INDEX('Per Invoice'!$C$2:$C$151,$L72)))</f>
        <v/>
      </c>
      <c r="D72">
        <f>IF($L72="","",IF(INDEX('Per Invoice'!$D$2:$D$151,$L72)="","",INDEX('Per Invoice'!$D$2:$D$151,$L72)))</f>
        <v/>
      </c>
      <c r="E72">
        <f>IF($L72="","",IF(INDEX('Per Invoice'!$E$2:$E$151,$L72)="","",INDEX('Per Invoice'!$E$2:$E$151,$L72)))</f>
        <v/>
      </c>
      <c r="F72" s="5">
        <f>IF($L72="","",IF(INDEX('Per Invoice'!$F$2:$F$151,$L72)="","",INDEX('Per Invoice'!$F$2:$F$151,$L72)))</f>
        <v/>
      </c>
      <c r="G72" s="5">
        <f>IF($L72="","",IF(INDEX('Per Invoice'!$G$2:$G$151,$L72)="","",INDEX('Per Invoice'!$G$2:$G$151,$L72)))</f>
        <v/>
      </c>
      <c r="H72" s="5">
        <f>IF($L72="","",IF(INDEX('Per Invoice'!$H$2:$H$151,$L72)="","",INDEX('Per Invoice'!$H$2:$H$151,$L72)))</f>
        <v/>
      </c>
      <c r="I72" s="5">
        <f>IF($L72="","",IF(INDEX('Per Invoice'!$I$2:$I$151,$L72)="","",INDEX('Per Invoice'!$I$2:$I$151,$L72)))</f>
        <v/>
      </c>
      <c r="J72" s="5">
        <f>IF($L72="","",IF(INDEX('Per Invoice'!$J$2:$J$151,$L72)="","",INDEX('Per Invoice'!$J$2:$J$151,$L72)))</f>
        <v/>
      </c>
      <c r="K72">
        <f>IF($L72="","",IF(INDEX('Per Invoice'!$K$2:$K$151,$L72)="","",INDEX('Per Invoice'!$K$2:$K$151,$L72)))</f>
        <v/>
      </c>
      <c r="L72">
        <f>IF(ROWS($L$2:$L72)&lt;=COUNT('Per Invoice'!$N$2:$N$151),MATCH(ROWS($L$2:$L72),'Per Invoice'!$N$2:$N$151,0),"")</f>
        <v/>
      </c>
    </row>
    <row r="73">
      <c r="A73">
        <f>IF($L73="","",IF(INDEX('Per Invoice'!$A$2:$A$151,$L73)="","",INDEX('Per Invoice'!$A$2:$A$151,$L73)))</f>
        <v/>
      </c>
      <c r="B73">
        <f>IF($L73="","",IF(INDEX('Per Invoice'!$B$2:$B$151,$L73)="","",INDEX('Per Invoice'!$B$2:$B$151,$L73)))</f>
        <v/>
      </c>
      <c r="C73">
        <f>IF($L73="","",IF(INDEX('Per Invoice'!$C$2:$C$151,$L73)="","",INDEX('Per Invoice'!$C$2:$C$151,$L73)))</f>
        <v/>
      </c>
      <c r="D73">
        <f>IF($L73="","",IF(INDEX('Per Invoice'!$D$2:$D$151,$L73)="","",INDEX('Per Invoice'!$D$2:$D$151,$L73)))</f>
        <v/>
      </c>
      <c r="E73">
        <f>IF($L73="","",IF(INDEX('Per Invoice'!$E$2:$E$151,$L73)="","",INDEX('Per Invoice'!$E$2:$E$151,$L73)))</f>
        <v/>
      </c>
      <c r="F73" s="5">
        <f>IF($L73="","",IF(INDEX('Per Invoice'!$F$2:$F$151,$L73)="","",INDEX('Per Invoice'!$F$2:$F$151,$L73)))</f>
        <v/>
      </c>
      <c r="G73" s="5">
        <f>IF($L73="","",IF(INDEX('Per Invoice'!$G$2:$G$151,$L73)="","",INDEX('Per Invoice'!$G$2:$G$151,$L73)))</f>
        <v/>
      </c>
      <c r="H73" s="5">
        <f>IF($L73="","",IF(INDEX('Per Invoice'!$H$2:$H$151,$L73)="","",INDEX('Per Invoice'!$H$2:$H$151,$L73)))</f>
        <v/>
      </c>
      <c r="I73" s="5">
        <f>IF($L73="","",IF(INDEX('Per Invoice'!$I$2:$I$151,$L73)="","",INDEX('Per Invoice'!$I$2:$I$151,$L73)))</f>
        <v/>
      </c>
      <c r="J73" s="5">
        <f>IF($L73="","",IF(INDEX('Per Invoice'!$J$2:$J$151,$L73)="","",INDEX('Per Invoice'!$J$2:$J$151,$L73)))</f>
        <v/>
      </c>
      <c r="K73">
        <f>IF($L73="","",IF(INDEX('Per Invoice'!$K$2:$K$151,$L73)="","",INDEX('Per Invoice'!$K$2:$K$151,$L73)))</f>
        <v/>
      </c>
      <c r="L73">
        <f>IF(ROWS($L$2:$L73)&lt;=COUNT('Per Invoice'!$N$2:$N$151),MATCH(ROWS($L$2:$L73),'Per Invoice'!$N$2:$N$151,0),"")</f>
        <v/>
      </c>
    </row>
    <row r="74">
      <c r="A74">
        <f>IF($L74="","",IF(INDEX('Per Invoice'!$A$2:$A$151,$L74)="","",INDEX('Per Invoice'!$A$2:$A$151,$L74)))</f>
        <v/>
      </c>
      <c r="B74">
        <f>IF($L74="","",IF(INDEX('Per Invoice'!$B$2:$B$151,$L74)="","",INDEX('Per Invoice'!$B$2:$B$151,$L74)))</f>
        <v/>
      </c>
      <c r="C74">
        <f>IF($L74="","",IF(INDEX('Per Invoice'!$C$2:$C$151,$L74)="","",INDEX('Per Invoice'!$C$2:$C$151,$L74)))</f>
        <v/>
      </c>
      <c r="D74">
        <f>IF($L74="","",IF(INDEX('Per Invoice'!$D$2:$D$151,$L74)="","",INDEX('Per Invoice'!$D$2:$D$151,$L74)))</f>
        <v/>
      </c>
      <c r="E74">
        <f>IF($L74="","",IF(INDEX('Per Invoice'!$E$2:$E$151,$L74)="","",INDEX('Per Invoice'!$E$2:$E$151,$L74)))</f>
        <v/>
      </c>
      <c r="F74" s="5">
        <f>IF($L74="","",IF(INDEX('Per Invoice'!$F$2:$F$151,$L74)="","",INDEX('Per Invoice'!$F$2:$F$151,$L74)))</f>
        <v/>
      </c>
      <c r="G74" s="5">
        <f>IF($L74="","",IF(INDEX('Per Invoice'!$G$2:$G$151,$L74)="","",INDEX('Per Invoice'!$G$2:$G$151,$L74)))</f>
        <v/>
      </c>
      <c r="H74" s="5">
        <f>IF($L74="","",IF(INDEX('Per Invoice'!$H$2:$H$151,$L74)="","",INDEX('Per Invoice'!$H$2:$H$151,$L74)))</f>
        <v/>
      </c>
      <c r="I74" s="5">
        <f>IF($L74="","",IF(INDEX('Per Invoice'!$I$2:$I$151,$L74)="","",INDEX('Per Invoice'!$I$2:$I$151,$L74)))</f>
        <v/>
      </c>
      <c r="J74" s="5">
        <f>IF($L74="","",IF(INDEX('Per Invoice'!$J$2:$J$151,$L74)="","",INDEX('Per Invoice'!$J$2:$J$151,$L74)))</f>
        <v/>
      </c>
      <c r="K74">
        <f>IF($L74="","",IF(INDEX('Per Invoice'!$K$2:$K$151,$L74)="","",INDEX('Per Invoice'!$K$2:$K$151,$L74)))</f>
        <v/>
      </c>
      <c r="L74">
        <f>IF(ROWS($L$2:$L74)&lt;=COUNT('Per Invoice'!$N$2:$N$151),MATCH(ROWS($L$2:$L74),'Per Invoice'!$N$2:$N$151,0),"")</f>
        <v/>
      </c>
    </row>
    <row r="75">
      <c r="A75">
        <f>IF($L75="","",IF(INDEX('Per Invoice'!$A$2:$A$151,$L75)="","",INDEX('Per Invoice'!$A$2:$A$151,$L75)))</f>
        <v/>
      </c>
      <c r="B75">
        <f>IF($L75="","",IF(INDEX('Per Invoice'!$B$2:$B$151,$L75)="","",INDEX('Per Invoice'!$B$2:$B$151,$L75)))</f>
        <v/>
      </c>
      <c r="C75">
        <f>IF($L75="","",IF(INDEX('Per Invoice'!$C$2:$C$151,$L75)="","",INDEX('Per Invoice'!$C$2:$C$151,$L75)))</f>
        <v/>
      </c>
      <c r="D75">
        <f>IF($L75="","",IF(INDEX('Per Invoice'!$D$2:$D$151,$L75)="","",INDEX('Per Invoice'!$D$2:$D$151,$L75)))</f>
        <v/>
      </c>
      <c r="E75">
        <f>IF($L75="","",IF(INDEX('Per Invoice'!$E$2:$E$151,$L75)="","",INDEX('Per Invoice'!$E$2:$E$151,$L75)))</f>
        <v/>
      </c>
      <c r="F75" s="5">
        <f>IF($L75="","",IF(INDEX('Per Invoice'!$F$2:$F$151,$L75)="","",INDEX('Per Invoice'!$F$2:$F$151,$L75)))</f>
        <v/>
      </c>
      <c r="G75" s="5">
        <f>IF($L75="","",IF(INDEX('Per Invoice'!$G$2:$G$151,$L75)="","",INDEX('Per Invoice'!$G$2:$G$151,$L75)))</f>
        <v/>
      </c>
      <c r="H75" s="5">
        <f>IF($L75="","",IF(INDEX('Per Invoice'!$H$2:$H$151,$L75)="","",INDEX('Per Invoice'!$H$2:$H$151,$L75)))</f>
        <v/>
      </c>
      <c r="I75" s="5">
        <f>IF($L75="","",IF(INDEX('Per Invoice'!$I$2:$I$151,$L75)="","",INDEX('Per Invoice'!$I$2:$I$151,$L75)))</f>
        <v/>
      </c>
      <c r="J75" s="5">
        <f>IF($L75="","",IF(INDEX('Per Invoice'!$J$2:$J$151,$L75)="","",INDEX('Per Invoice'!$J$2:$J$151,$L75)))</f>
        <v/>
      </c>
      <c r="K75">
        <f>IF($L75="","",IF(INDEX('Per Invoice'!$K$2:$K$151,$L75)="","",INDEX('Per Invoice'!$K$2:$K$151,$L75)))</f>
        <v/>
      </c>
      <c r="L75">
        <f>IF(ROWS($L$2:$L75)&lt;=COUNT('Per Invoice'!$N$2:$N$151),MATCH(ROWS($L$2:$L75),'Per Invoice'!$N$2:$N$151,0),"")</f>
        <v/>
      </c>
    </row>
    <row r="76">
      <c r="A76">
        <f>IF($L76="","",IF(INDEX('Per Invoice'!$A$2:$A$151,$L76)="","",INDEX('Per Invoice'!$A$2:$A$151,$L76)))</f>
        <v/>
      </c>
      <c r="B76">
        <f>IF($L76="","",IF(INDEX('Per Invoice'!$B$2:$B$151,$L76)="","",INDEX('Per Invoice'!$B$2:$B$151,$L76)))</f>
        <v/>
      </c>
      <c r="C76">
        <f>IF($L76="","",IF(INDEX('Per Invoice'!$C$2:$C$151,$L76)="","",INDEX('Per Invoice'!$C$2:$C$151,$L76)))</f>
        <v/>
      </c>
      <c r="D76">
        <f>IF($L76="","",IF(INDEX('Per Invoice'!$D$2:$D$151,$L76)="","",INDEX('Per Invoice'!$D$2:$D$151,$L76)))</f>
        <v/>
      </c>
      <c r="E76">
        <f>IF($L76="","",IF(INDEX('Per Invoice'!$E$2:$E$151,$L76)="","",INDEX('Per Invoice'!$E$2:$E$151,$L76)))</f>
        <v/>
      </c>
      <c r="F76" s="5">
        <f>IF($L76="","",IF(INDEX('Per Invoice'!$F$2:$F$151,$L76)="","",INDEX('Per Invoice'!$F$2:$F$151,$L76)))</f>
        <v/>
      </c>
      <c r="G76" s="5">
        <f>IF($L76="","",IF(INDEX('Per Invoice'!$G$2:$G$151,$L76)="","",INDEX('Per Invoice'!$G$2:$G$151,$L76)))</f>
        <v/>
      </c>
      <c r="H76" s="5">
        <f>IF($L76="","",IF(INDEX('Per Invoice'!$H$2:$H$151,$L76)="","",INDEX('Per Invoice'!$H$2:$H$151,$L76)))</f>
        <v/>
      </c>
      <c r="I76" s="5">
        <f>IF($L76="","",IF(INDEX('Per Invoice'!$I$2:$I$151,$L76)="","",INDEX('Per Invoice'!$I$2:$I$151,$L76)))</f>
        <v/>
      </c>
      <c r="J76" s="5">
        <f>IF($L76="","",IF(INDEX('Per Invoice'!$J$2:$J$151,$L76)="","",INDEX('Per Invoice'!$J$2:$J$151,$L76)))</f>
        <v/>
      </c>
      <c r="K76">
        <f>IF($L76="","",IF(INDEX('Per Invoice'!$K$2:$K$151,$L76)="","",INDEX('Per Invoice'!$K$2:$K$151,$L76)))</f>
        <v/>
      </c>
      <c r="L76">
        <f>IF(ROWS($L$2:$L76)&lt;=COUNT('Per Invoice'!$N$2:$N$151),MATCH(ROWS($L$2:$L76),'Per Invoice'!$N$2:$N$151,0),"")</f>
        <v/>
      </c>
    </row>
    <row r="77">
      <c r="A77">
        <f>IF($L77="","",IF(INDEX('Per Invoice'!$A$2:$A$151,$L77)="","",INDEX('Per Invoice'!$A$2:$A$151,$L77)))</f>
        <v/>
      </c>
      <c r="B77">
        <f>IF($L77="","",IF(INDEX('Per Invoice'!$B$2:$B$151,$L77)="","",INDEX('Per Invoice'!$B$2:$B$151,$L77)))</f>
        <v/>
      </c>
      <c r="C77">
        <f>IF($L77="","",IF(INDEX('Per Invoice'!$C$2:$C$151,$L77)="","",INDEX('Per Invoice'!$C$2:$C$151,$L77)))</f>
        <v/>
      </c>
      <c r="D77">
        <f>IF($L77="","",IF(INDEX('Per Invoice'!$D$2:$D$151,$L77)="","",INDEX('Per Invoice'!$D$2:$D$151,$L77)))</f>
        <v/>
      </c>
      <c r="E77">
        <f>IF($L77="","",IF(INDEX('Per Invoice'!$E$2:$E$151,$L77)="","",INDEX('Per Invoice'!$E$2:$E$151,$L77)))</f>
        <v/>
      </c>
      <c r="F77" s="5">
        <f>IF($L77="","",IF(INDEX('Per Invoice'!$F$2:$F$151,$L77)="","",INDEX('Per Invoice'!$F$2:$F$151,$L77)))</f>
        <v/>
      </c>
      <c r="G77" s="5">
        <f>IF($L77="","",IF(INDEX('Per Invoice'!$G$2:$G$151,$L77)="","",INDEX('Per Invoice'!$G$2:$G$151,$L77)))</f>
        <v/>
      </c>
      <c r="H77" s="5">
        <f>IF($L77="","",IF(INDEX('Per Invoice'!$H$2:$H$151,$L77)="","",INDEX('Per Invoice'!$H$2:$H$151,$L77)))</f>
        <v/>
      </c>
      <c r="I77" s="5">
        <f>IF($L77="","",IF(INDEX('Per Invoice'!$I$2:$I$151,$L77)="","",INDEX('Per Invoice'!$I$2:$I$151,$L77)))</f>
        <v/>
      </c>
      <c r="J77" s="5">
        <f>IF($L77="","",IF(INDEX('Per Invoice'!$J$2:$J$151,$L77)="","",INDEX('Per Invoice'!$J$2:$J$151,$L77)))</f>
        <v/>
      </c>
      <c r="K77">
        <f>IF($L77="","",IF(INDEX('Per Invoice'!$K$2:$K$151,$L77)="","",INDEX('Per Invoice'!$K$2:$K$151,$L77)))</f>
        <v/>
      </c>
      <c r="L77">
        <f>IF(ROWS($L$2:$L77)&lt;=COUNT('Per Invoice'!$N$2:$N$151),MATCH(ROWS($L$2:$L77),'Per Invoice'!$N$2:$N$151,0),"")</f>
        <v/>
      </c>
    </row>
    <row r="78">
      <c r="A78">
        <f>IF($L78="","",IF(INDEX('Per Invoice'!$A$2:$A$151,$L78)="","",INDEX('Per Invoice'!$A$2:$A$151,$L78)))</f>
        <v/>
      </c>
      <c r="B78">
        <f>IF($L78="","",IF(INDEX('Per Invoice'!$B$2:$B$151,$L78)="","",INDEX('Per Invoice'!$B$2:$B$151,$L78)))</f>
        <v/>
      </c>
      <c r="C78">
        <f>IF($L78="","",IF(INDEX('Per Invoice'!$C$2:$C$151,$L78)="","",INDEX('Per Invoice'!$C$2:$C$151,$L78)))</f>
        <v/>
      </c>
      <c r="D78">
        <f>IF($L78="","",IF(INDEX('Per Invoice'!$D$2:$D$151,$L78)="","",INDEX('Per Invoice'!$D$2:$D$151,$L78)))</f>
        <v/>
      </c>
      <c r="E78">
        <f>IF($L78="","",IF(INDEX('Per Invoice'!$E$2:$E$151,$L78)="","",INDEX('Per Invoice'!$E$2:$E$151,$L78)))</f>
        <v/>
      </c>
      <c r="F78" s="5">
        <f>IF($L78="","",IF(INDEX('Per Invoice'!$F$2:$F$151,$L78)="","",INDEX('Per Invoice'!$F$2:$F$151,$L78)))</f>
        <v/>
      </c>
      <c r="G78" s="5">
        <f>IF($L78="","",IF(INDEX('Per Invoice'!$G$2:$G$151,$L78)="","",INDEX('Per Invoice'!$G$2:$G$151,$L78)))</f>
        <v/>
      </c>
      <c r="H78" s="5">
        <f>IF($L78="","",IF(INDEX('Per Invoice'!$H$2:$H$151,$L78)="","",INDEX('Per Invoice'!$H$2:$H$151,$L78)))</f>
        <v/>
      </c>
      <c r="I78" s="5">
        <f>IF($L78="","",IF(INDEX('Per Invoice'!$I$2:$I$151,$L78)="","",INDEX('Per Invoice'!$I$2:$I$151,$L78)))</f>
        <v/>
      </c>
      <c r="J78" s="5">
        <f>IF($L78="","",IF(INDEX('Per Invoice'!$J$2:$J$151,$L78)="","",INDEX('Per Invoice'!$J$2:$J$151,$L78)))</f>
        <v/>
      </c>
      <c r="K78">
        <f>IF($L78="","",IF(INDEX('Per Invoice'!$K$2:$K$151,$L78)="","",INDEX('Per Invoice'!$K$2:$K$151,$L78)))</f>
        <v/>
      </c>
      <c r="L78">
        <f>IF(ROWS($L$2:$L78)&lt;=COUNT('Per Invoice'!$N$2:$N$151),MATCH(ROWS($L$2:$L78),'Per Invoice'!$N$2:$N$151,0),"")</f>
        <v/>
      </c>
    </row>
    <row r="79">
      <c r="A79">
        <f>IF($L79="","",IF(INDEX('Per Invoice'!$A$2:$A$151,$L79)="","",INDEX('Per Invoice'!$A$2:$A$151,$L79)))</f>
        <v/>
      </c>
      <c r="B79">
        <f>IF($L79="","",IF(INDEX('Per Invoice'!$B$2:$B$151,$L79)="","",INDEX('Per Invoice'!$B$2:$B$151,$L79)))</f>
        <v/>
      </c>
      <c r="C79">
        <f>IF($L79="","",IF(INDEX('Per Invoice'!$C$2:$C$151,$L79)="","",INDEX('Per Invoice'!$C$2:$C$151,$L79)))</f>
        <v/>
      </c>
      <c r="D79">
        <f>IF($L79="","",IF(INDEX('Per Invoice'!$D$2:$D$151,$L79)="","",INDEX('Per Invoice'!$D$2:$D$151,$L79)))</f>
        <v/>
      </c>
      <c r="E79">
        <f>IF($L79="","",IF(INDEX('Per Invoice'!$E$2:$E$151,$L79)="","",INDEX('Per Invoice'!$E$2:$E$151,$L79)))</f>
        <v/>
      </c>
      <c r="F79" s="5">
        <f>IF($L79="","",IF(INDEX('Per Invoice'!$F$2:$F$151,$L79)="","",INDEX('Per Invoice'!$F$2:$F$151,$L79)))</f>
        <v/>
      </c>
      <c r="G79" s="5">
        <f>IF($L79="","",IF(INDEX('Per Invoice'!$G$2:$G$151,$L79)="","",INDEX('Per Invoice'!$G$2:$G$151,$L79)))</f>
        <v/>
      </c>
      <c r="H79" s="5">
        <f>IF($L79="","",IF(INDEX('Per Invoice'!$H$2:$H$151,$L79)="","",INDEX('Per Invoice'!$H$2:$H$151,$L79)))</f>
        <v/>
      </c>
      <c r="I79" s="5">
        <f>IF($L79="","",IF(INDEX('Per Invoice'!$I$2:$I$151,$L79)="","",INDEX('Per Invoice'!$I$2:$I$151,$L79)))</f>
        <v/>
      </c>
      <c r="J79" s="5">
        <f>IF($L79="","",IF(INDEX('Per Invoice'!$J$2:$J$151,$L79)="","",INDEX('Per Invoice'!$J$2:$J$151,$L79)))</f>
        <v/>
      </c>
      <c r="K79">
        <f>IF($L79="","",IF(INDEX('Per Invoice'!$K$2:$K$151,$L79)="","",INDEX('Per Invoice'!$K$2:$K$151,$L79)))</f>
        <v/>
      </c>
      <c r="L79">
        <f>IF(ROWS($L$2:$L79)&lt;=COUNT('Per Invoice'!$N$2:$N$151),MATCH(ROWS($L$2:$L79),'Per Invoice'!$N$2:$N$151,0),"")</f>
        <v/>
      </c>
    </row>
    <row r="80">
      <c r="A80">
        <f>IF($L80="","",IF(INDEX('Per Invoice'!$A$2:$A$151,$L80)="","",INDEX('Per Invoice'!$A$2:$A$151,$L80)))</f>
        <v/>
      </c>
      <c r="B80">
        <f>IF($L80="","",IF(INDEX('Per Invoice'!$B$2:$B$151,$L80)="","",INDEX('Per Invoice'!$B$2:$B$151,$L80)))</f>
        <v/>
      </c>
      <c r="C80">
        <f>IF($L80="","",IF(INDEX('Per Invoice'!$C$2:$C$151,$L80)="","",INDEX('Per Invoice'!$C$2:$C$151,$L80)))</f>
        <v/>
      </c>
      <c r="D80">
        <f>IF($L80="","",IF(INDEX('Per Invoice'!$D$2:$D$151,$L80)="","",INDEX('Per Invoice'!$D$2:$D$151,$L80)))</f>
        <v/>
      </c>
      <c r="E80">
        <f>IF($L80="","",IF(INDEX('Per Invoice'!$E$2:$E$151,$L80)="","",INDEX('Per Invoice'!$E$2:$E$151,$L80)))</f>
        <v/>
      </c>
      <c r="F80" s="5">
        <f>IF($L80="","",IF(INDEX('Per Invoice'!$F$2:$F$151,$L80)="","",INDEX('Per Invoice'!$F$2:$F$151,$L80)))</f>
        <v/>
      </c>
      <c r="G80" s="5">
        <f>IF($L80="","",IF(INDEX('Per Invoice'!$G$2:$G$151,$L80)="","",INDEX('Per Invoice'!$G$2:$G$151,$L80)))</f>
        <v/>
      </c>
      <c r="H80" s="5">
        <f>IF($L80="","",IF(INDEX('Per Invoice'!$H$2:$H$151,$L80)="","",INDEX('Per Invoice'!$H$2:$H$151,$L80)))</f>
        <v/>
      </c>
      <c r="I80" s="5">
        <f>IF($L80="","",IF(INDEX('Per Invoice'!$I$2:$I$151,$L80)="","",INDEX('Per Invoice'!$I$2:$I$151,$L80)))</f>
        <v/>
      </c>
      <c r="J80" s="5">
        <f>IF($L80="","",IF(INDEX('Per Invoice'!$J$2:$J$151,$L80)="","",INDEX('Per Invoice'!$J$2:$J$151,$L80)))</f>
        <v/>
      </c>
      <c r="K80">
        <f>IF($L80="","",IF(INDEX('Per Invoice'!$K$2:$K$151,$L80)="","",INDEX('Per Invoice'!$K$2:$K$151,$L80)))</f>
        <v/>
      </c>
      <c r="L80">
        <f>IF(ROWS($L$2:$L80)&lt;=COUNT('Per Invoice'!$N$2:$N$151),MATCH(ROWS($L$2:$L80),'Per Invoice'!$N$2:$N$151,0),"")</f>
        <v/>
      </c>
    </row>
    <row r="81">
      <c r="A81">
        <f>IF($L81="","",IF(INDEX('Per Invoice'!$A$2:$A$151,$L81)="","",INDEX('Per Invoice'!$A$2:$A$151,$L81)))</f>
        <v/>
      </c>
      <c r="B81">
        <f>IF($L81="","",IF(INDEX('Per Invoice'!$B$2:$B$151,$L81)="","",INDEX('Per Invoice'!$B$2:$B$151,$L81)))</f>
        <v/>
      </c>
      <c r="C81">
        <f>IF($L81="","",IF(INDEX('Per Invoice'!$C$2:$C$151,$L81)="","",INDEX('Per Invoice'!$C$2:$C$151,$L81)))</f>
        <v/>
      </c>
      <c r="D81">
        <f>IF($L81="","",IF(INDEX('Per Invoice'!$D$2:$D$151,$L81)="","",INDEX('Per Invoice'!$D$2:$D$151,$L81)))</f>
        <v/>
      </c>
      <c r="E81">
        <f>IF($L81="","",IF(INDEX('Per Invoice'!$E$2:$E$151,$L81)="","",INDEX('Per Invoice'!$E$2:$E$151,$L81)))</f>
        <v/>
      </c>
      <c r="F81" s="5">
        <f>IF($L81="","",IF(INDEX('Per Invoice'!$F$2:$F$151,$L81)="","",INDEX('Per Invoice'!$F$2:$F$151,$L81)))</f>
        <v/>
      </c>
      <c r="G81" s="5">
        <f>IF($L81="","",IF(INDEX('Per Invoice'!$G$2:$G$151,$L81)="","",INDEX('Per Invoice'!$G$2:$G$151,$L81)))</f>
        <v/>
      </c>
      <c r="H81" s="5">
        <f>IF($L81="","",IF(INDEX('Per Invoice'!$H$2:$H$151,$L81)="","",INDEX('Per Invoice'!$H$2:$H$151,$L81)))</f>
        <v/>
      </c>
      <c r="I81" s="5">
        <f>IF($L81="","",IF(INDEX('Per Invoice'!$I$2:$I$151,$L81)="","",INDEX('Per Invoice'!$I$2:$I$151,$L81)))</f>
        <v/>
      </c>
      <c r="J81" s="5">
        <f>IF($L81="","",IF(INDEX('Per Invoice'!$J$2:$J$151,$L81)="","",INDEX('Per Invoice'!$J$2:$J$151,$L81)))</f>
        <v/>
      </c>
      <c r="K81">
        <f>IF($L81="","",IF(INDEX('Per Invoice'!$K$2:$K$151,$L81)="","",INDEX('Per Invoice'!$K$2:$K$151,$L81)))</f>
        <v/>
      </c>
      <c r="L81">
        <f>IF(ROWS($L$2:$L81)&lt;=COUNT('Per Invoice'!$N$2:$N$151),MATCH(ROWS($L$2:$L81),'Per Invoice'!$N$2:$N$151,0),"")</f>
        <v/>
      </c>
    </row>
    <row r="82">
      <c r="A82">
        <f>IF($L82="","",IF(INDEX('Per Invoice'!$A$2:$A$151,$L82)="","",INDEX('Per Invoice'!$A$2:$A$151,$L82)))</f>
        <v/>
      </c>
      <c r="B82">
        <f>IF($L82="","",IF(INDEX('Per Invoice'!$B$2:$B$151,$L82)="","",INDEX('Per Invoice'!$B$2:$B$151,$L82)))</f>
        <v/>
      </c>
      <c r="C82">
        <f>IF($L82="","",IF(INDEX('Per Invoice'!$C$2:$C$151,$L82)="","",INDEX('Per Invoice'!$C$2:$C$151,$L82)))</f>
        <v/>
      </c>
      <c r="D82">
        <f>IF($L82="","",IF(INDEX('Per Invoice'!$D$2:$D$151,$L82)="","",INDEX('Per Invoice'!$D$2:$D$151,$L82)))</f>
        <v/>
      </c>
      <c r="E82">
        <f>IF($L82="","",IF(INDEX('Per Invoice'!$E$2:$E$151,$L82)="","",INDEX('Per Invoice'!$E$2:$E$151,$L82)))</f>
        <v/>
      </c>
      <c r="F82" s="5">
        <f>IF($L82="","",IF(INDEX('Per Invoice'!$F$2:$F$151,$L82)="","",INDEX('Per Invoice'!$F$2:$F$151,$L82)))</f>
        <v/>
      </c>
      <c r="G82" s="5">
        <f>IF($L82="","",IF(INDEX('Per Invoice'!$G$2:$G$151,$L82)="","",INDEX('Per Invoice'!$G$2:$G$151,$L82)))</f>
        <v/>
      </c>
      <c r="H82" s="5">
        <f>IF($L82="","",IF(INDEX('Per Invoice'!$H$2:$H$151,$L82)="","",INDEX('Per Invoice'!$H$2:$H$151,$L82)))</f>
        <v/>
      </c>
      <c r="I82" s="5">
        <f>IF($L82="","",IF(INDEX('Per Invoice'!$I$2:$I$151,$L82)="","",INDEX('Per Invoice'!$I$2:$I$151,$L82)))</f>
        <v/>
      </c>
      <c r="J82" s="5">
        <f>IF($L82="","",IF(INDEX('Per Invoice'!$J$2:$J$151,$L82)="","",INDEX('Per Invoice'!$J$2:$J$151,$L82)))</f>
        <v/>
      </c>
      <c r="K82">
        <f>IF($L82="","",IF(INDEX('Per Invoice'!$K$2:$K$151,$L82)="","",INDEX('Per Invoice'!$K$2:$K$151,$L82)))</f>
        <v/>
      </c>
      <c r="L82">
        <f>IF(ROWS($L$2:$L82)&lt;=COUNT('Per Invoice'!$N$2:$N$151),MATCH(ROWS($L$2:$L82),'Per Invoice'!$N$2:$N$151,0),"")</f>
        <v/>
      </c>
    </row>
    <row r="83">
      <c r="A83">
        <f>IF($L83="","",IF(INDEX('Per Invoice'!$A$2:$A$151,$L83)="","",INDEX('Per Invoice'!$A$2:$A$151,$L83)))</f>
        <v/>
      </c>
      <c r="B83">
        <f>IF($L83="","",IF(INDEX('Per Invoice'!$B$2:$B$151,$L83)="","",INDEX('Per Invoice'!$B$2:$B$151,$L83)))</f>
        <v/>
      </c>
      <c r="C83">
        <f>IF($L83="","",IF(INDEX('Per Invoice'!$C$2:$C$151,$L83)="","",INDEX('Per Invoice'!$C$2:$C$151,$L83)))</f>
        <v/>
      </c>
      <c r="D83">
        <f>IF($L83="","",IF(INDEX('Per Invoice'!$D$2:$D$151,$L83)="","",INDEX('Per Invoice'!$D$2:$D$151,$L83)))</f>
        <v/>
      </c>
      <c r="E83">
        <f>IF($L83="","",IF(INDEX('Per Invoice'!$E$2:$E$151,$L83)="","",INDEX('Per Invoice'!$E$2:$E$151,$L83)))</f>
        <v/>
      </c>
      <c r="F83" s="5">
        <f>IF($L83="","",IF(INDEX('Per Invoice'!$F$2:$F$151,$L83)="","",INDEX('Per Invoice'!$F$2:$F$151,$L83)))</f>
        <v/>
      </c>
      <c r="G83" s="5">
        <f>IF($L83="","",IF(INDEX('Per Invoice'!$G$2:$G$151,$L83)="","",INDEX('Per Invoice'!$G$2:$G$151,$L83)))</f>
        <v/>
      </c>
      <c r="H83" s="5">
        <f>IF($L83="","",IF(INDEX('Per Invoice'!$H$2:$H$151,$L83)="","",INDEX('Per Invoice'!$H$2:$H$151,$L83)))</f>
        <v/>
      </c>
      <c r="I83" s="5">
        <f>IF($L83="","",IF(INDEX('Per Invoice'!$I$2:$I$151,$L83)="","",INDEX('Per Invoice'!$I$2:$I$151,$L83)))</f>
        <v/>
      </c>
      <c r="J83" s="5">
        <f>IF($L83="","",IF(INDEX('Per Invoice'!$J$2:$J$151,$L83)="","",INDEX('Per Invoice'!$J$2:$J$151,$L83)))</f>
        <v/>
      </c>
      <c r="K83">
        <f>IF($L83="","",IF(INDEX('Per Invoice'!$K$2:$K$151,$L83)="","",INDEX('Per Invoice'!$K$2:$K$151,$L83)))</f>
        <v/>
      </c>
      <c r="L83">
        <f>IF(ROWS($L$2:$L83)&lt;=COUNT('Per Invoice'!$N$2:$N$151),MATCH(ROWS($L$2:$L83),'Per Invoice'!$N$2:$N$151,0),"")</f>
        <v/>
      </c>
    </row>
    <row r="84">
      <c r="A84">
        <f>IF($L84="","",IF(INDEX('Per Invoice'!$A$2:$A$151,$L84)="","",INDEX('Per Invoice'!$A$2:$A$151,$L84)))</f>
        <v/>
      </c>
      <c r="B84">
        <f>IF($L84="","",IF(INDEX('Per Invoice'!$B$2:$B$151,$L84)="","",INDEX('Per Invoice'!$B$2:$B$151,$L84)))</f>
        <v/>
      </c>
      <c r="C84">
        <f>IF($L84="","",IF(INDEX('Per Invoice'!$C$2:$C$151,$L84)="","",INDEX('Per Invoice'!$C$2:$C$151,$L84)))</f>
        <v/>
      </c>
      <c r="D84">
        <f>IF($L84="","",IF(INDEX('Per Invoice'!$D$2:$D$151,$L84)="","",INDEX('Per Invoice'!$D$2:$D$151,$L84)))</f>
        <v/>
      </c>
      <c r="E84">
        <f>IF($L84="","",IF(INDEX('Per Invoice'!$E$2:$E$151,$L84)="","",INDEX('Per Invoice'!$E$2:$E$151,$L84)))</f>
        <v/>
      </c>
      <c r="F84" s="5">
        <f>IF($L84="","",IF(INDEX('Per Invoice'!$F$2:$F$151,$L84)="","",INDEX('Per Invoice'!$F$2:$F$151,$L84)))</f>
        <v/>
      </c>
      <c r="G84" s="5">
        <f>IF($L84="","",IF(INDEX('Per Invoice'!$G$2:$G$151,$L84)="","",INDEX('Per Invoice'!$G$2:$G$151,$L84)))</f>
        <v/>
      </c>
      <c r="H84" s="5">
        <f>IF($L84="","",IF(INDEX('Per Invoice'!$H$2:$H$151,$L84)="","",INDEX('Per Invoice'!$H$2:$H$151,$L84)))</f>
        <v/>
      </c>
      <c r="I84" s="5">
        <f>IF($L84="","",IF(INDEX('Per Invoice'!$I$2:$I$151,$L84)="","",INDEX('Per Invoice'!$I$2:$I$151,$L84)))</f>
        <v/>
      </c>
      <c r="J84" s="5">
        <f>IF($L84="","",IF(INDEX('Per Invoice'!$J$2:$J$151,$L84)="","",INDEX('Per Invoice'!$J$2:$J$151,$L84)))</f>
        <v/>
      </c>
      <c r="K84">
        <f>IF($L84="","",IF(INDEX('Per Invoice'!$K$2:$K$151,$L84)="","",INDEX('Per Invoice'!$K$2:$K$151,$L84)))</f>
        <v/>
      </c>
      <c r="L84">
        <f>IF(ROWS($L$2:$L84)&lt;=COUNT('Per Invoice'!$N$2:$N$151),MATCH(ROWS($L$2:$L84),'Per Invoice'!$N$2:$N$151,0),"")</f>
        <v/>
      </c>
    </row>
    <row r="85">
      <c r="A85">
        <f>IF($L85="","",IF(INDEX('Per Invoice'!$A$2:$A$151,$L85)="","",INDEX('Per Invoice'!$A$2:$A$151,$L85)))</f>
        <v/>
      </c>
      <c r="B85">
        <f>IF($L85="","",IF(INDEX('Per Invoice'!$B$2:$B$151,$L85)="","",INDEX('Per Invoice'!$B$2:$B$151,$L85)))</f>
        <v/>
      </c>
      <c r="C85">
        <f>IF($L85="","",IF(INDEX('Per Invoice'!$C$2:$C$151,$L85)="","",INDEX('Per Invoice'!$C$2:$C$151,$L85)))</f>
        <v/>
      </c>
      <c r="D85">
        <f>IF($L85="","",IF(INDEX('Per Invoice'!$D$2:$D$151,$L85)="","",INDEX('Per Invoice'!$D$2:$D$151,$L85)))</f>
        <v/>
      </c>
      <c r="E85">
        <f>IF($L85="","",IF(INDEX('Per Invoice'!$E$2:$E$151,$L85)="","",INDEX('Per Invoice'!$E$2:$E$151,$L85)))</f>
        <v/>
      </c>
      <c r="F85" s="5">
        <f>IF($L85="","",IF(INDEX('Per Invoice'!$F$2:$F$151,$L85)="","",INDEX('Per Invoice'!$F$2:$F$151,$L85)))</f>
        <v/>
      </c>
      <c r="G85" s="5">
        <f>IF($L85="","",IF(INDEX('Per Invoice'!$G$2:$G$151,$L85)="","",INDEX('Per Invoice'!$G$2:$G$151,$L85)))</f>
        <v/>
      </c>
      <c r="H85" s="5">
        <f>IF($L85="","",IF(INDEX('Per Invoice'!$H$2:$H$151,$L85)="","",INDEX('Per Invoice'!$H$2:$H$151,$L85)))</f>
        <v/>
      </c>
      <c r="I85" s="5">
        <f>IF($L85="","",IF(INDEX('Per Invoice'!$I$2:$I$151,$L85)="","",INDEX('Per Invoice'!$I$2:$I$151,$L85)))</f>
        <v/>
      </c>
      <c r="J85" s="5">
        <f>IF($L85="","",IF(INDEX('Per Invoice'!$J$2:$J$151,$L85)="","",INDEX('Per Invoice'!$J$2:$J$151,$L85)))</f>
        <v/>
      </c>
      <c r="K85">
        <f>IF($L85="","",IF(INDEX('Per Invoice'!$K$2:$K$151,$L85)="","",INDEX('Per Invoice'!$K$2:$K$151,$L85)))</f>
        <v/>
      </c>
      <c r="L85">
        <f>IF(ROWS($L$2:$L85)&lt;=COUNT('Per Invoice'!$N$2:$N$151),MATCH(ROWS($L$2:$L85),'Per Invoice'!$N$2:$N$151,0),"")</f>
        <v/>
      </c>
    </row>
    <row r="86">
      <c r="A86">
        <f>IF($L86="","",IF(INDEX('Per Invoice'!$A$2:$A$151,$L86)="","",INDEX('Per Invoice'!$A$2:$A$151,$L86)))</f>
        <v/>
      </c>
      <c r="B86">
        <f>IF($L86="","",IF(INDEX('Per Invoice'!$B$2:$B$151,$L86)="","",INDEX('Per Invoice'!$B$2:$B$151,$L86)))</f>
        <v/>
      </c>
      <c r="C86">
        <f>IF($L86="","",IF(INDEX('Per Invoice'!$C$2:$C$151,$L86)="","",INDEX('Per Invoice'!$C$2:$C$151,$L86)))</f>
        <v/>
      </c>
      <c r="D86">
        <f>IF($L86="","",IF(INDEX('Per Invoice'!$D$2:$D$151,$L86)="","",INDEX('Per Invoice'!$D$2:$D$151,$L86)))</f>
        <v/>
      </c>
      <c r="E86">
        <f>IF($L86="","",IF(INDEX('Per Invoice'!$E$2:$E$151,$L86)="","",INDEX('Per Invoice'!$E$2:$E$151,$L86)))</f>
        <v/>
      </c>
      <c r="F86" s="5">
        <f>IF($L86="","",IF(INDEX('Per Invoice'!$F$2:$F$151,$L86)="","",INDEX('Per Invoice'!$F$2:$F$151,$L86)))</f>
        <v/>
      </c>
      <c r="G86" s="5">
        <f>IF($L86="","",IF(INDEX('Per Invoice'!$G$2:$G$151,$L86)="","",INDEX('Per Invoice'!$G$2:$G$151,$L86)))</f>
        <v/>
      </c>
      <c r="H86" s="5">
        <f>IF($L86="","",IF(INDEX('Per Invoice'!$H$2:$H$151,$L86)="","",INDEX('Per Invoice'!$H$2:$H$151,$L86)))</f>
        <v/>
      </c>
      <c r="I86" s="5">
        <f>IF($L86="","",IF(INDEX('Per Invoice'!$I$2:$I$151,$L86)="","",INDEX('Per Invoice'!$I$2:$I$151,$L86)))</f>
        <v/>
      </c>
      <c r="J86" s="5">
        <f>IF($L86="","",IF(INDEX('Per Invoice'!$J$2:$J$151,$L86)="","",INDEX('Per Invoice'!$J$2:$J$151,$L86)))</f>
        <v/>
      </c>
      <c r="K86">
        <f>IF($L86="","",IF(INDEX('Per Invoice'!$K$2:$K$151,$L86)="","",INDEX('Per Invoice'!$K$2:$K$151,$L86)))</f>
        <v/>
      </c>
      <c r="L86">
        <f>IF(ROWS($L$2:$L86)&lt;=COUNT('Per Invoice'!$N$2:$N$151),MATCH(ROWS($L$2:$L86),'Per Invoice'!$N$2:$N$151,0),"")</f>
        <v/>
      </c>
    </row>
    <row r="87">
      <c r="A87">
        <f>IF($L87="","",IF(INDEX('Per Invoice'!$A$2:$A$151,$L87)="","",INDEX('Per Invoice'!$A$2:$A$151,$L87)))</f>
        <v/>
      </c>
      <c r="B87">
        <f>IF($L87="","",IF(INDEX('Per Invoice'!$B$2:$B$151,$L87)="","",INDEX('Per Invoice'!$B$2:$B$151,$L87)))</f>
        <v/>
      </c>
      <c r="C87">
        <f>IF($L87="","",IF(INDEX('Per Invoice'!$C$2:$C$151,$L87)="","",INDEX('Per Invoice'!$C$2:$C$151,$L87)))</f>
        <v/>
      </c>
      <c r="D87">
        <f>IF($L87="","",IF(INDEX('Per Invoice'!$D$2:$D$151,$L87)="","",INDEX('Per Invoice'!$D$2:$D$151,$L87)))</f>
        <v/>
      </c>
      <c r="E87">
        <f>IF($L87="","",IF(INDEX('Per Invoice'!$E$2:$E$151,$L87)="","",INDEX('Per Invoice'!$E$2:$E$151,$L87)))</f>
        <v/>
      </c>
      <c r="F87" s="5">
        <f>IF($L87="","",IF(INDEX('Per Invoice'!$F$2:$F$151,$L87)="","",INDEX('Per Invoice'!$F$2:$F$151,$L87)))</f>
        <v/>
      </c>
      <c r="G87" s="5">
        <f>IF($L87="","",IF(INDEX('Per Invoice'!$G$2:$G$151,$L87)="","",INDEX('Per Invoice'!$G$2:$G$151,$L87)))</f>
        <v/>
      </c>
      <c r="H87" s="5">
        <f>IF($L87="","",IF(INDEX('Per Invoice'!$H$2:$H$151,$L87)="","",INDEX('Per Invoice'!$H$2:$H$151,$L87)))</f>
        <v/>
      </c>
      <c r="I87" s="5">
        <f>IF($L87="","",IF(INDEX('Per Invoice'!$I$2:$I$151,$L87)="","",INDEX('Per Invoice'!$I$2:$I$151,$L87)))</f>
        <v/>
      </c>
      <c r="J87" s="5">
        <f>IF($L87="","",IF(INDEX('Per Invoice'!$J$2:$J$151,$L87)="","",INDEX('Per Invoice'!$J$2:$J$151,$L87)))</f>
        <v/>
      </c>
      <c r="K87">
        <f>IF($L87="","",IF(INDEX('Per Invoice'!$K$2:$K$151,$L87)="","",INDEX('Per Invoice'!$K$2:$K$151,$L87)))</f>
        <v/>
      </c>
      <c r="L87">
        <f>IF(ROWS($L$2:$L87)&lt;=COUNT('Per Invoice'!$N$2:$N$151),MATCH(ROWS($L$2:$L87),'Per Invoice'!$N$2:$N$151,0),"")</f>
        <v/>
      </c>
    </row>
    <row r="88">
      <c r="A88">
        <f>IF($L88="","",IF(INDEX('Per Invoice'!$A$2:$A$151,$L88)="","",INDEX('Per Invoice'!$A$2:$A$151,$L88)))</f>
        <v/>
      </c>
      <c r="B88">
        <f>IF($L88="","",IF(INDEX('Per Invoice'!$B$2:$B$151,$L88)="","",INDEX('Per Invoice'!$B$2:$B$151,$L88)))</f>
        <v/>
      </c>
      <c r="C88">
        <f>IF($L88="","",IF(INDEX('Per Invoice'!$C$2:$C$151,$L88)="","",INDEX('Per Invoice'!$C$2:$C$151,$L88)))</f>
        <v/>
      </c>
      <c r="D88">
        <f>IF($L88="","",IF(INDEX('Per Invoice'!$D$2:$D$151,$L88)="","",INDEX('Per Invoice'!$D$2:$D$151,$L88)))</f>
        <v/>
      </c>
      <c r="E88">
        <f>IF($L88="","",IF(INDEX('Per Invoice'!$E$2:$E$151,$L88)="","",INDEX('Per Invoice'!$E$2:$E$151,$L88)))</f>
        <v/>
      </c>
      <c r="F88" s="5">
        <f>IF($L88="","",IF(INDEX('Per Invoice'!$F$2:$F$151,$L88)="","",INDEX('Per Invoice'!$F$2:$F$151,$L88)))</f>
        <v/>
      </c>
      <c r="G88" s="5">
        <f>IF($L88="","",IF(INDEX('Per Invoice'!$G$2:$G$151,$L88)="","",INDEX('Per Invoice'!$G$2:$G$151,$L88)))</f>
        <v/>
      </c>
      <c r="H88" s="5">
        <f>IF($L88="","",IF(INDEX('Per Invoice'!$H$2:$H$151,$L88)="","",INDEX('Per Invoice'!$H$2:$H$151,$L88)))</f>
        <v/>
      </c>
      <c r="I88" s="5">
        <f>IF($L88="","",IF(INDEX('Per Invoice'!$I$2:$I$151,$L88)="","",INDEX('Per Invoice'!$I$2:$I$151,$L88)))</f>
        <v/>
      </c>
      <c r="J88" s="5">
        <f>IF($L88="","",IF(INDEX('Per Invoice'!$J$2:$J$151,$L88)="","",INDEX('Per Invoice'!$J$2:$J$151,$L88)))</f>
        <v/>
      </c>
      <c r="K88">
        <f>IF($L88="","",IF(INDEX('Per Invoice'!$K$2:$K$151,$L88)="","",INDEX('Per Invoice'!$K$2:$K$151,$L88)))</f>
        <v/>
      </c>
      <c r="L88">
        <f>IF(ROWS($L$2:$L88)&lt;=COUNT('Per Invoice'!$N$2:$N$151),MATCH(ROWS($L$2:$L88),'Per Invoice'!$N$2:$N$151,0),"")</f>
        <v/>
      </c>
    </row>
    <row r="89">
      <c r="A89">
        <f>IF($L89="","",IF(INDEX('Per Invoice'!$A$2:$A$151,$L89)="","",INDEX('Per Invoice'!$A$2:$A$151,$L89)))</f>
        <v/>
      </c>
      <c r="B89">
        <f>IF($L89="","",IF(INDEX('Per Invoice'!$B$2:$B$151,$L89)="","",INDEX('Per Invoice'!$B$2:$B$151,$L89)))</f>
        <v/>
      </c>
      <c r="C89">
        <f>IF($L89="","",IF(INDEX('Per Invoice'!$C$2:$C$151,$L89)="","",INDEX('Per Invoice'!$C$2:$C$151,$L89)))</f>
        <v/>
      </c>
      <c r="D89">
        <f>IF($L89="","",IF(INDEX('Per Invoice'!$D$2:$D$151,$L89)="","",INDEX('Per Invoice'!$D$2:$D$151,$L89)))</f>
        <v/>
      </c>
      <c r="E89">
        <f>IF($L89="","",IF(INDEX('Per Invoice'!$E$2:$E$151,$L89)="","",INDEX('Per Invoice'!$E$2:$E$151,$L89)))</f>
        <v/>
      </c>
      <c r="F89" s="5">
        <f>IF($L89="","",IF(INDEX('Per Invoice'!$F$2:$F$151,$L89)="","",INDEX('Per Invoice'!$F$2:$F$151,$L89)))</f>
        <v/>
      </c>
      <c r="G89" s="5">
        <f>IF($L89="","",IF(INDEX('Per Invoice'!$G$2:$G$151,$L89)="","",INDEX('Per Invoice'!$G$2:$G$151,$L89)))</f>
        <v/>
      </c>
      <c r="H89" s="5">
        <f>IF($L89="","",IF(INDEX('Per Invoice'!$H$2:$H$151,$L89)="","",INDEX('Per Invoice'!$H$2:$H$151,$L89)))</f>
        <v/>
      </c>
      <c r="I89" s="5">
        <f>IF($L89="","",IF(INDEX('Per Invoice'!$I$2:$I$151,$L89)="","",INDEX('Per Invoice'!$I$2:$I$151,$L89)))</f>
        <v/>
      </c>
      <c r="J89" s="5">
        <f>IF($L89="","",IF(INDEX('Per Invoice'!$J$2:$J$151,$L89)="","",INDEX('Per Invoice'!$J$2:$J$151,$L89)))</f>
        <v/>
      </c>
      <c r="K89">
        <f>IF($L89="","",IF(INDEX('Per Invoice'!$K$2:$K$151,$L89)="","",INDEX('Per Invoice'!$K$2:$K$151,$L89)))</f>
        <v/>
      </c>
      <c r="L89">
        <f>IF(ROWS($L$2:$L89)&lt;=COUNT('Per Invoice'!$N$2:$N$151),MATCH(ROWS($L$2:$L89),'Per Invoice'!$N$2:$N$151,0),"")</f>
        <v/>
      </c>
    </row>
    <row r="90">
      <c r="A90">
        <f>IF($L90="","",IF(INDEX('Per Invoice'!$A$2:$A$151,$L90)="","",INDEX('Per Invoice'!$A$2:$A$151,$L90)))</f>
        <v/>
      </c>
      <c r="B90">
        <f>IF($L90="","",IF(INDEX('Per Invoice'!$B$2:$B$151,$L90)="","",INDEX('Per Invoice'!$B$2:$B$151,$L90)))</f>
        <v/>
      </c>
      <c r="C90">
        <f>IF($L90="","",IF(INDEX('Per Invoice'!$C$2:$C$151,$L90)="","",INDEX('Per Invoice'!$C$2:$C$151,$L90)))</f>
        <v/>
      </c>
      <c r="D90">
        <f>IF($L90="","",IF(INDEX('Per Invoice'!$D$2:$D$151,$L90)="","",INDEX('Per Invoice'!$D$2:$D$151,$L90)))</f>
        <v/>
      </c>
      <c r="E90">
        <f>IF($L90="","",IF(INDEX('Per Invoice'!$E$2:$E$151,$L90)="","",INDEX('Per Invoice'!$E$2:$E$151,$L90)))</f>
        <v/>
      </c>
      <c r="F90" s="5">
        <f>IF($L90="","",IF(INDEX('Per Invoice'!$F$2:$F$151,$L90)="","",INDEX('Per Invoice'!$F$2:$F$151,$L90)))</f>
        <v/>
      </c>
      <c r="G90" s="5">
        <f>IF($L90="","",IF(INDEX('Per Invoice'!$G$2:$G$151,$L90)="","",INDEX('Per Invoice'!$G$2:$G$151,$L90)))</f>
        <v/>
      </c>
      <c r="H90" s="5">
        <f>IF($L90="","",IF(INDEX('Per Invoice'!$H$2:$H$151,$L90)="","",INDEX('Per Invoice'!$H$2:$H$151,$L90)))</f>
        <v/>
      </c>
      <c r="I90" s="5">
        <f>IF($L90="","",IF(INDEX('Per Invoice'!$I$2:$I$151,$L90)="","",INDEX('Per Invoice'!$I$2:$I$151,$L90)))</f>
        <v/>
      </c>
      <c r="J90" s="5">
        <f>IF($L90="","",IF(INDEX('Per Invoice'!$J$2:$J$151,$L90)="","",INDEX('Per Invoice'!$J$2:$J$151,$L90)))</f>
        <v/>
      </c>
      <c r="K90">
        <f>IF($L90="","",IF(INDEX('Per Invoice'!$K$2:$K$151,$L90)="","",INDEX('Per Invoice'!$K$2:$K$151,$L90)))</f>
        <v/>
      </c>
      <c r="L90">
        <f>IF(ROWS($L$2:$L90)&lt;=COUNT('Per Invoice'!$N$2:$N$151),MATCH(ROWS($L$2:$L90),'Per Invoice'!$N$2:$N$151,0),"")</f>
        <v/>
      </c>
    </row>
    <row r="91">
      <c r="A91">
        <f>IF($L91="","",IF(INDEX('Per Invoice'!$A$2:$A$151,$L91)="","",INDEX('Per Invoice'!$A$2:$A$151,$L91)))</f>
        <v/>
      </c>
      <c r="B91">
        <f>IF($L91="","",IF(INDEX('Per Invoice'!$B$2:$B$151,$L91)="","",INDEX('Per Invoice'!$B$2:$B$151,$L91)))</f>
        <v/>
      </c>
      <c r="C91">
        <f>IF($L91="","",IF(INDEX('Per Invoice'!$C$2:$C$151,$L91)="","",INDEX('Per Invoice'!$C$2:$C$151,$L91)))</f>
        <v/>
      </c>
      <c r="D91">
        <f>IF($L91="","",IF(INDEX('Per Invoice'!$D$2:$D$151,$L91)="","",INDEX('Per Invoice'!$D$2:$D$151,$L91)))</f>
        <v/>
      </c>
      <c r="E91">
        <f>IF($L91="","",IF(INDEX('Per Invoice'!$E$2:$E$151,$L91)="","",INDEX('Per Invoice'!$E$2:$E$151,$L91)))</f>
        <v/>
      </c>
      <c r="F91" s="5">
        <f>IF($L91="","",IF(INDEX('Per Invoice'!$F$2:$F$151,$L91)="","",INDEX('Per Invoice'!$F$2:$F$151,$L91)))</f>
        <v/>
      </c>
      <c r="G91" s="5">
        <f>IF($L91="","",IF(INDEX('Per Invoice'!$G$2:$G$151,$L91)="","",INDEX('Per Invoice'!$G$2:$G$151,$L91)))</f>
        <v/>
      </c>
      <c r="H91" s="5">
        <f>IF($L91="","",IF(INDEX('Per Invoice'!$H$2:$H$151,$L91)="","",INDEX('Per Invoice'!$H$2:$H$151,$L91)))</f>
        <v/>
      </c>
      <c r="I91" s="5">
        <f>IF($L91="","",IF(INDEX('Per Invoice'!$I$2:$I$151,$L91)="","",INDEX('Per Invoice'!$I$2:$I$151,$L91)))</f>
        <v/>
      </c>
      <c r="J91" s="5">
        <f>IF($L91="","",IF(INDEX('Per Invoice'!$J$2:$J$151,$L91)="","",INDEX('Per Invoice'!$J$2:$J$151,$L91)))</f>
        <v/>
      </c>
      <c r="K91">
        <f>IF($L91="","",IF(INDEX('Per Invoice'!$K$2:$K$151,$L91)="","",INDEX('Per Invoice'!$K$2:$K$151,$L91)))</f>
        <v/>
      </c>
      <c r="L91">
        <f>IF(ROWS($L$2:$L91)&lt;=COUNT('Per Invoice'!$N$2:$N$151),MATCH(ROWS($L$2:$L91),'Per Invoice'!$N$2:$N$151,0),"")</f>
        <v/>
      </c>
    </row>
    <row r="92">
      <c r="A92">
        <f>IF($L92="","",IF(INDEX('Per Invoice'!$A$2:$A$151,$L92)="","",INDEX('Per Invoice'!$A$2:$A$151,$L92)))</f>
        <v/>
      </c>
      <c r="B92">
        <f>IF($L92="","",IF(INDEX('Per Invoice'!$B$2:$B$151,$L92)="","",INDEX('Per Invoice'!$B$2:$B$151,$L92)))</f>
        <v/>
      </c>
      <c r="C92">
        <f>IF($L92="","",IF(INDEX('Per Invoice'!$C$2:$C$151,$L92)="","",INDEX('Per Invoice'!$C$2:$C$151,$L92)))</f>
        <v/>
      </c>
      <c r="D92">
        <f>IF($L92="","",IF(INDEX('Per Invoice'!$D$2:$D$151,$L92)="","",INDEX('Per Invoice'!$D$2:$D$151,$L92)))</f>
        <v/>
      </c>
      <c r="E92">
        <f>IF($L92="","",IF(INDEX('Per Invoice'!$E$2:$E$151,$L92)="","",INDEX('Per Invoice'!$E$2:$E$151,$L92)))</f>
        <v/>
      </c>
      <c r="F92" s="5">
        <f>IF($L92="","",IF(INDEX('Per Invoice'!$F$2:$F$151,$L92)="","",INDEX('Per Invoice'!$F$2:$F$151,$L92)))</f>
        <v/>
      </c>
      <c r="G92" s="5">
        <f>IF($L92="","",IF(INDEX('Per Invoice'!$G$2:$G$151,$L92)="","",INDEX('Per Invoice'!$G$2:$G$151,$L92)))</f>
        <v/>
      </c>
      <c r="H92" s="5">
        <f>IF($L92="","",IF(INDEX('Per Invoice'!$H$2:$H$151,$L92)="","",INDEX('Per Invoice'!$H$2:$H$151,$L92)))</f>
        <v/>
      </c>
      <c r="I92" s="5">
        <f>IF($L92="","",IF(INDEX('Per Invoice'!$I$2:$I$151,$L92)="","",INDEX('Per Invoice'!$I$2:$I$151,$L92)))</f>
        <v/>
      </c>
      <c r="J92" s="5">
        <f>IF($L92="","",IF(INDEX('Per Invoice'!$J$2:$J$151,$L92)="","",INDEX('Per Invoice'!$J$2:$J$151,$L92)))</f>
        <v/>
      </c>
      <c r="K92">
        <f>IF($L92="","",IF(INDEX('Per Invoice'!$K$2:$K$151,$L92)="","",INDEX('Per Invoice'!$K$2:$K$151,$L92)))</f>
        <v/>
      </c>
      <c r="L92">
        <f>IF(ROWS($L$2:$L92)&lt;=COUNT('Per Invoice'!$N$2:$N$151),MATCH(ROWS($L$2:$L92),'Per Invoice'!$N$2:$N$151,0),"")</f>
        <v/>
      </c>
    </row>
    <row r="93">
      <c r="A93">
        <f>IF($L93="","",IF(INDEX('Per Invoice'!$A$2:$A$151,$L93)="","",INDEX('Per Invoice'!$A$2:$A$151,$L93)))</f>
        <v/>
      </c>
      <c r="B93">
        <f>IF($L93="","",IF(INDEX('Per Invoice'!$B$2:$B$151,$L93)="","",INDEX('Per Invoice'!$B$2:$B$151,$L93)))</f>
        <v/>
      </c>
      <c r="C93">
        <f>IF($L93="","",IF(INDEX('Per Invoice'!$C$2:$C$151,$L93)="","",INDEX('Per Invoice'!$C$2:$C$151,$L93)))</f>
        <v/>
      </c>
      <c r="D93">
        <f>IF($L93="","",IF(INDEX('Per Invoice'!$D$2:$D$151,$L93)="","",INDEX('Per Invoice'!$D$2:$D$151,$L93)))</f>
        <v/>
      </c>
      <c r="E93">
        <f>IF($L93="","",IF(INDEX('Per Invoice'!$E$2:$E$151,$L93)="","",INDEX('Per Invoice'!$E$2:$E$151,$L93)))</f>
        <v/>
      </c>
      <c r="F93" s="5">
        <f>IF($L93="","",IF(INDEX('Per Invoice'!$F$2:$F$151,$L93)="","",INDEX('Per Invoice'!$F$2:$F$151,$L93)))</f>
        <v/>
      </c>
      <c r="G93" s="5">
        <f>IF($L93="","",IF(INDEX('Per Invoice'!$G$2:$G$151,$L93)="","",INDEX('Per Invoice'!$G$2:$G$151,$L93)))</f>
        <v/>
      </c>
      <c r="H93" s="5">
        <f>IF($L93="","",IF(INDEX('Per Invoice'!$H$2:$H$151,$L93)="","",INDEX('Per Invoice'!$H$2:$H$151,$L93)))</f>
        <v/>
      </c>
      <c r="I93" s="5">
        <f>IF($L93="","",IF(INDEX('Per Invoice'!$I$2:$I$151,$L93)="","",INDEX('Per Invoice'!$I$2:$I$151,$L93)))</f>
        <v/>
      </c>
      <c r="J93" s="5">
        <f>IF($L93="","",IF(INDEX('Per Invoice'!$J$2:$J$151,$L93)="","",INDEX('Per Invoice'!$J$2:$J$151,$L93)))</f>
        <v/>
      </c>
      <c r="K93">
        <f>IF($L93="","",IF(INDEX('Per Invoice'!$K$2:$K$151,$L93)="","",INDEX('Per Invoice'!$K$2:$K$151,$L93)))</f>
        <v/>
      </c>
      <c r="L93">
        <f>IF(ROWS($L$2:$L93)&lt;=COUNT('Per Invoice'!$N$2:$N$151),MATCH(ROWS($L$2:$L93),'Per Invoice'!$N$2:$N$151,0),"")</f>
        <v/>
      </c>
    </row>
    <row r="94">
      <c r="A94">
        <f>IF($L94="","",IF(INDEX('Per Invoice'!$A$2:$A$151,$L94)="","",INDEX('Per Invoice'!$A$2:$A$151,$L94)))</f>
        <v/>
      </c>
      <c r="B94">
        <f>IF($L94="","",IF(INDEX('Per Invoice'!$B$2:$B$151,$L94)="","",INDEX('Per Invoice'!$B$2:$B$151,$L94)))</f>
        <v/>
      </c>
      <c r="C94">
        <f>IF($L94="","",IF(INDEX('Per Invoice'!$C$2:$C$151,$L94)="","",INDEX('Per Invoice'!$C$2:$C$151,$L94)))</f>
        <v/>
      </c>
      <c r="D94">
        <f>IF($L94="","",IF(INDEX('Per Invoice'!$D$2:$D$151,$L94)="","",INDEX('Per Invoice'!$D$2:$D$151,$L94)))</f>
        <v/>
      </c>
      <c r="E94">
        <f>IF($L94="","",IF(INDEX('Per Invoice'!$E$2:$E$151,$L94)="","",INDEX('Per Invoice'!$E$2:$E$151,$L94)))</f>
        <v/>
      </c>
      <c r="F94" s="5">
        <f>IF($L94="","",IF(INDEX('Per Invoice'!$F$2:$F$151,$L94)="","",INDEX('Per Invoice'!$F$2:$F$151,$L94)))</f>
        <v/>
      </c>
      <c r="G94" s="5">
        <f>IF($L94="","",IF(INDEX('Per Invoice'!$G$2:$G$151,$L94)="","",INDEX('Per Invoice'!$G$2:$G$151,$L94)))</f>
        <v/>
      </c>
      <c r="H94" s="5">
        <f>IF($L94="","",IF(INDEX('Per Invoice'!$H$2:$H$151,$L94)="","",INDEX('Per Invoice'!$H$2:$H$151,$L94)))</f>
        <v/>
      </c>
      <c r="I94" s="5">
        <f>IF($L94="","",IF(INDEX('Per Invoice'!$I$2:$I$151,$L94)="","",INDEX('Per Invoice'!$I$2:$I$151,$L94)))</f>
        <v/>
      </c>
      <c r="J94" s="5">
        <f>IF($L94="","",IF(INDEX('Per Invoice'!$J$2:$J$151,$L94)="","",INDEX('Per Invoice'!$J$2:$J$151,$L94)))</f>
        <v/>
      </c>
      <c r="K94">
        <f>IF($L94="","",IF(INDEX('Per Invoice'!$K$2:$K$151,$L94)="","",INDEX('Per Invoice'!$K$2:$K$151,$L94)))</f>
        <v/>
      </c>
      <c r="L94">
        <f>IF(ROWS($L$2:$L94)&lt;=COUNT('Per Invoice'!$N$2:$N$151),MATCH(ROWS($L$2:$L94),'Per Invoice'!$N$2:$N$151,0),"")</f>
        <v/>
      </c>
    </row>
    <row r="95">
      <c r="A95">
        <f>IF($L95="","",IF(INDEX('Per Invoice'!$A$2:$A$151,$L95)="","",INDEX('Per Invoice'!$A$2:$A$151,$L95)))</f>
        <v/>
      </c>
      <c r="B95">
        <f>IF($L95="","",IF(INDEX('Per Invoice'!$B$2:$B$151,$L95)="","",INDEX('Per Invoice'!$B$2:$B$151,$L95)))</f>
        <v/>
      </c>
      <c r="C95">
        <f>IF($L95="","",IF(INDEX('Per Invoice'!$C$2:$C$151,$L95)="","",INDEX('Per Invoice'!$C$2:$C$151,$L95)))</f>
        <v/>
      </c>
      <c r="D95">
        <f>IF($L95="","",IF(INDEX('Per Invoice'!$D$2:$D$151,$L95)="","",INDEX('Per Invoice'!$D$2:$D$151,$L95)))</f>
        <v/>
      </c>
      <c r="E95">
        <f>IF($L95="","",IF(INDEX('Per Invoice'!$E$2:$E$151,$L95)="","",INDEX('Per Invoice'!$E$2:$E$151,$L95)))</f>
        <v/>
      </c>
      <c r="F95" s="5">
        <f>IF($L95="","",IF(INDEX('Per Invoice'!$F$2:$F$151,$L95)="","",INDEX('Per Invoice'!$F$2:$F$151,$L95)))</f>
        <v/>
      </c>
      <c r="G95" s="5">
        <f>IF($L95="","",IF(INDEX('Per Invoice'!$G$2:$G$151,$L95)="","",INDEX('Per Invoice'!$G$2:$G$151,$L95)))</f>
        <v/>
      </c>
      <c r="H95" s="5">
        <f>IF($L95="","",IF(INDEX('Per Invoice'!$H$2:$H$151,$L95)="","",INDEX('Per Invoice'!$H$2:$H$151,$L95)))</f>
        <v/>
      </c>
      <c r="I95" s="5">
        <f>IF($L95="","",IF(INDEX('Per Invoice'!$I$2:$I$151,$L95)="","",INDEX('Per Invoice'!$I$2:$I$151,$L95)))</f>
        <v/>
      </c>
      <c r="J95" s="5">
        <f>IF($L95="","",IF(INDEX('Per Invoice'!$J$2:$J$151,$L95)="","",INDEX('Per Invoice'!$J$2:$J$151,$L95)))</f>
        <v/>
      </c>
      <c r="K95">
        <f>IF($L95="","",IF(INDEX('Per Invoice'!$K$2:$K$151,$L95)="","",INDEX('Per Invoice'!$K$2:$K$151,$L95)))</f>
        <v/>
      </c>
      <c r="L95">
        <f>IF(ROWS($L$2:$L95)&lt;=COUNT('Per Invoice'!$N$2:$N$151),MATCH(ROWS($L$2:$L95),'Per Invoice'!$N$2:$N$151,0),"")</f>
        <v/>
      </c>
    </row>
    <row r="96">
      <c r="A96">
        <f>IF($L96="","",IF(INDEX('Per Invoice'!$A$2:$A$151,$L96)="","",INDEX('Per Invoice'!$A$2:$A$151,$L96)))</f>
        <v/>
      </c>
      <c r="B96">
        <f>IF($L96="","",IF(INDEX('Per Invoice'!$B$2:$B$151,$L96)="","",INDEX('Per Invoice'!$B$2:$B$151,$L96)))</f>
        <v/>
      </c>
      <c r="C96">
        <f>IF($L96="","",IF(INDEX('Per Invoice'!$C$2:$C$151,$L96)="","",INDEX('Per Invoice'!$C$2:$C$151,$L96)))</f>
        <v/>
      </c>
      <c r="D96">
        <f>IF($L96="","",IF(INDEX('Per Invoice'!$D$2:$D$151,$L96)="","",INDEX('Per Invoice'!$D$2:$D$151,$L96)))</f>
        <v/>
      </c>
      <c r="E96">
        <f>IF($L96="","",IF(INDEX('Per Invoice'!$E$2:$E$151,$L96)="","",INDEX('Per Invoice'!$E$2:$E$151,$L96)))</f>
        <v/>
      </c>
      <c r="F96" s="5">
        <f>IF($L96="","",IF(INDEX('Per Invoice'!$F$2:$F$151,$L96)="","",INDEX('Per Invoice'!$F$2:$F$151,$L96)))</f>
        <v/>
      </c>
      <c r="G96" s="5">
        <f>IF($L96="","",IF(INDEX('Per Invoice'!$G$2:$G$151,$L96)="","",INDEX('Per Invoice'!$G$2:$G$151,$L96)))</f>
        <v/>
      </c>
      <c r="H96" s="5">
        <f>IF($L96="","",IF(INDEX('Per Invoice'!$H$2:$H$151,$L96)="","",INDEX('Per Invoice'!$H$2:$H$151,$L96)))</f>
        <v/>
      </c>
      <c r="I96" s="5">
        <f>IF($L96="","",IF(INDEX('Per Invoice'!$I$2:$I$151,$L96)="","",INDEX('Per Invoice'!$I$2:$I$151,$L96)))</f>
        <v/>
      </c>
      <c r="J96" s="5">
        <f>IF($L96="","",IF(INDEX('Per Invoice'!$J$2:$J$151,$L96)="","",INDEX('Per Invoice'!$J$2:$J$151,$L96)))</f>
        <v/>
      </c>
      <c r="K96">
        <f>IF($L96="","",IF(INDEX('Per Invoice'!$K$2:$K$151,$L96)="","",INDEX('Per Invoice'!$K$2:$K$151,$L96)))</f>
        <v/>
      </c>
      <c r="L96">
        <f>IF(ROWS($L$2:$L96)&lt;=COUNT('Per Invoice'!$N$2:$N$151),MATCH(ROWS($L$2:$L96),'Per Invoice'!$N$2:$N$151,0),"")</f>
        <v/>
      </c>
    </row>
    <row r="97">
      <c r="A97">
        <f>IF($L97="","",IF(INDEX('Per Invoice'!$A$2:$A$151,$L97)="","",INDEX('Per Invoice'!$A$2:$A$151,$L97)))</f>
        <v/>
      </c>
      <c r="B97">
        <f>IF($L97="","",IF(INDEX('Per Invoice'!$B$2:$B$151,$L97)="","",INDEX('Per Invoice'!$B$2:$B$151,$L97)))</f>
        <v/>
      </c>
      <c r="C97">
        <f>IF($L97="","",IF(INDEX('Per Invoice'!$C$2:$C$151,$L97)="","",INDEX('Per Invoice'!$C$2:$C$151,$L97)))</f>
        <v/>
      </c>
      <c r="D97">
        <f>IF($L97="","",IF(INDEX('Per Invoice'!$D$2:$D$151,$L97)="","",INDEX('Per Invoice'!$D$2:$D$151,$L97)))</f>
        <v/>
      </c>
      <c r="E97">
        <f>IF($L97="","",IF(INDEX('Per Invoice'!$E$2:$E$151,$L97)="","",INDEX('Per Invoice'!$E$2:$E$151,$L97)))</f>
        <v/>
      </c>
      <c r="F97" s="5">
        <f>IF($L97="","",IF(INDEX('Per Invoice'!$F$2:$F$151,$L97)="","",INDEX('Per Invoice'!$F$2:$F$151,$L97)))</f>
        <v/>
      </c>
      <c r="G97" s="5">
        <f>IF($L97="","",IF(INDEX('Per Invoice'!$G$2:$G$151,$L97)="","",INDEX('Per Invoice'!$G$2:$G$151,$L97)))</f>
        <v/>
      </c>
      <c r="H97" s="5">
        <f>IF($L97="","",IF(INDEX('Per Invoice'!$H$2:$H$151,$L97)="","",INDEX('Per Invoice'!$H$2:$H$151,$L97)))</f>
        <v/>
      </c>
      <c r="I97" s="5">
        <f>IF($L97="","",IF(INDEX('Per Invoice'!$I$2:$I$151,$L97)="","",INDEX('Per Invoice'!$I$2:$I$151,$L97)))</f>
        <v/>
      </c>
      <c r="J97" s="5">
        <f>IF($L97="","",IF(INDEX('Per Invoice'!$J$2:$J$151,$L97)="","",INDEX('Per Invoice'!$J$2:$J$151,$L97)))</f>
        <v/>
      </c>
      <c r="K97">
        <f>IF($L97="","",IF(INDEX('Per Invoice'!$K$2:$K$151,$L97)="","",INDEX('Per Invoice'!$K$2:$K$151,$L97)))</f>
        <v/>
      </c>
      <c r="L97">
        <f>IF(ROWS($L$2:$L97)&lt;=COUNT('Per Invoice'!$N$2:$N$151),MATCH(ROWS($L$2:$L97),'Per Invoice'!$N$2:$N$151,0),"")</f>
        <v/>
      </c>
    </row>
    <row r="98">
      <c r="A98">
        <f>IF($L98="","",IF(INDEX('Per Invoice'!$A$2:$A$151,$L98)="","",INDEX('Per Invoice'!$A$2:$A$151,$L98)))</f>
        <v/>
      </c>
      <c r="B98">
        <f>IF($L98="","",IF(INDEX('Per Invoice'!$B$2:$B$151,$L98)="","",INDEX('Per Invoice'!$B$2:$B$151,$L98)))</f>
        <v/>
      </c>
      <c r="C98">
        <f>IF($L98="","",IF(INDEX('Per Invoice'!$C$2:$C$151,$L98)="","",INDEX('Per Invoice'!$C$2:$C$151,$L98)))</f>
        <v/>
      </c>
      <c r="D98">
        <f>IF($L98="","",IF(INDEX('Per Invoice'!$D$2:$D$151,$L98)="","",INDEX('Per Invoice'!$D$2:$D$151,$L98)))</f>
        <v/>
      </c>
      <c r="E98">
        <f>IF($L98="","",IF(INDEX('Per Invoice'!$E$2:$E$151,$L98)="","",INDEX('Per Invoice'!$E$2:$E$151,$L98)))</f>
        <v/>
      </c>
      <c r="F98" s="5">
        <f>IF($L98="","",IF(INDEX('Per Invoice'!$F$2:$F$151,$L98)="","",INDEX('Per Invoice'!$F$2:$F$151,$L98)))</f>
        <v/>
      </c>
      <c r="G98" s="5">
        <f>IF($L98="","",IF(INDEX('Per Invoice'!$G$2:$G$151,$L98)="","",INDEX('Per Invoice'!$G$2:$G$151,$L98)))</f>
        <v/>
      </c>
      <c r="H98" s="5">
        <f>IF($L98="","",IF(INDEX('Per Invoice'!$H$2:$H$151,$L98)="","",INDEX('Per Invoice'!$H$2:$H$151,$L98)))</f>
        <v/>
      </c>
      <c r="I98" s="5">
        <f>IF($L98="","",IF(INDEX('Per Invoice'!$I$2:$I$151,$L98)="","",INDEX('Per Invoice'!$I$2:$I$151,$L98)))</f>
        <v/>
      </c>
      <c r="J98" s="5">
        <f>IF($L98="","",IF(INDEX('Per Invoice'!$J$2:$J$151,$L98)="","",INDEX('Per Invoice'!$J$2:$J$151,$L98)))</f>
        <v/>
      </c>
      <c r="K98">
        <f>IF($L98="","",IF(INDEX('Per Invoice'!$K$2:$K$151,$L98)="","",INDEX('Per Invoice'!$K$2:$K$151,$L98)))</f>
        <v/>
      </c>
      <c r="L98">
        <f>IF(ROWS($L$2:$L98)&lt;=COUNT('Per Invoice'!$N$2:$N$151),MATCH(ROWS($L$2:$L98),'Per Invoice'!$N$2:$N$151,0),"")</f>
        <v/>
      </c>
    </row>
    <row r="99">
      <c r="A99">
        <f>IF($L99="","",IF(INDEX('Per Invoice'!$A$2:$A$151,$L99)="","",INDEX('Per Invoice'!$A$2:$A$151,$L99)))</f>
        <v/>
      </c>
      <c r="B99">
        <f>IF($L99="","",IF(INDEX('Per Invoice'!$B$2:$B$151,$L99)="","",INDEX('Per Invoice'!$B$2:$B$151,$L99)))</f>
        <v/>
      </c>
      <c r="C99">
        <f>IF($L99="","",IF(INDEX('Per Invoice'!$C$2:$C$151,$L99)="","",INDEX('Per Invoice'!$C$2:$C$151,$L99)))</f>
        <v/>
      </c>
      <c r="D99">
        <f>IF($L99="","",IF(INDEX('Per Invoice'!$D$2:$D$151,$L99)="","",INDEX('Per Invoice'!$D$2:$D$151,$L99)))</f>
        <v/>
      </c>
      <c r="E99">
        <f>IF($L99="","",IF(INDEX('Per Invoice'!$E$2:$E$151,$L99)="","",INDEX('Per Invoice'!$E$2:$E$151,$L99)))</f>
        <v/>
      </c>
      <c r="F99" s="5">
        <f>IF($L99="","",IF(INDEX('Per Invoice'!$F$2:$F$151,$L99)="","",INDEX('Per Invoice'!$F$2:$F$151,$L99)))</f>
        <v/>
      </c>
      <c r="G99" s="5">
        <f>IF($L99="","",IF(INDEX('Per Invoice'!$G$2:$G$151,$L99)="","",INDEX('Per Invoice'!$G$2:$G$151,$L99)))</f>
        <v/>
      </c>
      <c r="H99" s="5">
        <f>IF($L99="","",IF(INDEX('Per Invoice'!$H$2:$H$151,$L99)="","",INDEX('Per Invoice'!$H$2:$H$151,$L99)))</f>
        <v/>
      </c>
      <c r="I99" s="5">
        <f>IF($L99="","",IF(INDEX('Per Invoice'!$I$2:$I$151,$L99)="","",INDEX('Per Invoice'!$I$2:$I$151,$L99)))</f>
        <v/>
      </c>
      <c r="J99" s="5">
        <f>IF($L99="","",IF(INDEX('Per Invoice'!$J$2:$J$151,$L99)="","",INDEX('Per Invoice'!$J$2:$J$151,$L99)))</f>
        <v/>
      </c>
      <c r="K99">
        <f>IF($L99="","",IF(INDEX('Per Invoice'!$K$2:$K$151,$L99)="","",INDEX('Per Invoice'!$K$2:$K$151,$L99)))</f>
        <v/>
      </c>
      <c r="L99">
        <f>IF(ROWS($L$2:$L99)&lt;=COUNT('Per Invoice'!$N$2:$N$151),MATCH(ROWS($L$2:$L99),'Per Invoice'!$N$2:$N$151,0),"")</f>
        <v/>
      </c>
    </row>
    <row r="100">
      <c r="A100">
        <f>IF($L100="","",IF(INDEX('Per Invoice'!$A$2:$A$151,$L100)="","",INDEX('Per Invoice'!$A$2:$A$151,$L100)))</f>
        <v/>
      </c>
      <c r="B100">
        <f>IF($L100="","",IF(INDEX('Per Invoice'!$B$2:$B$151,$L100)="","",INDEX('Per Invoice'!$B$2:$B$151,$L100)))</f>
        <v/>
      </c>
      <c r="C100">
        <f>IF($L100="","",IF(INDEX('Per Invoice'!$C$2:$C$151,$L100)="","",INDEX('Per Invoice'!$C$2:$C$151,$L100)))</f>
        <v/>
      </c>
      <c r="D100">
        <f>IF($L100="","",IF(INDEX('Per Invoice'!$D$2:$D$151,$L100)="","",INDEX('Per Invoice'!$D$2:$D$151,$L100)))</f>
        <v/>
      </c>
      <c r="E100">
        <f>IF($L100="","",IF(INDEX('Per Invoice'!$E$2:$E$151,$L100)="","",INDEX('Per Invoice'!$E$2:$E$151,$L100)))</f>
        <v/>
      </c>
      <c r="F100" s="5">
        <f>IF($L100="","",IF(INDEX('Per Invoice'!$F$2:$F$151,$L100)="","",INDEX('Per Invoice'!$F$2:$F$151,$L100)))</f>
        <v/>
      </c>
      <c r="G100" s="5">
        <f>IF($L100="","",IF(INDEX('Per Invoice'!$G$2:$G$151,$L100)="","",INDEX('Per Invoice'!$G$2:$G$151,$L100)))</f>
        <v/>
      </c>
      <c r="H100" s="5">
        <f>IF($L100="","",IF(INDEX('Per Invoice'!$H$2:$H$151,$L100)="","",INDEX('Per Invoice'!$H$2:$H$151,$L100)))</f>
        <v/>
      </c>
      <c r="I100" s="5">
        <f>IF($L100="","",IF(INDEX('Per Invoice'!$I$2:$I$151,$L100)="","",INDEX('Per Invoice'!$I$2:$I$151,$L100)))</f>
        <v/>
      </c>
      <c r="J100" s="5">
        <f>IF($L100="","",IF(INDEX('Per Invoice'!$J$2:$J$151,$L100)="","",INDEX('Per Invoice'!$J$2:$J$151,$L100)))</f>
        <v/>
      </c>
      <c r="K100">
        <f>IF($L100="","",IF(INDEX('Per Invoice'!$K$2:$K$151,$L100)="","",INDEX('Per Invoice'!$K$2:$K$151,$L100)))</f>
        <v/>
      </c>
      <c r="L100">
        <f>IF(ROWS($L$2:$L100)&lt;=COUNT('Per Invoice'!$N$2:$N$151),MATCH(ROWS($L$2:$L100),'Per Invoice'!$N$2:$N$151,0),"")</f>
        <v/>
      </c>
    </row>
    <row r="101">
      <c r="A101">
        <f>IF($L101="","",IF(INDEX('Per Invoice'!$A$2:$A$151,$L101)="","",INDEX('Per Invoice'!$A$2:$A$151,$L101)))</f>
        <v/>
      </c>
      <c r="B101">
        <f>IF($L101="","",IF(INDEX('Per Invoice'!$B$2:$B$151,$L101)="","",INDEX('Per Invoice'!$B$2:$B$151,$L101)))</f>
        <v/>
      </c>
      <c r="C101">
        <f>IF($L101="","",IF(INDEX('Per Invoice'!$C$2:$C$151,$L101)="","",INDEX('Per Invoice'!$C$2:$C$151,$L101)))</f>
        <v/>
      </c>
      <c r="D101">
        <f>IF($L101="","",IF(INDEX('Per Invoice'!$D$2:$D$151,$L101)="","",INDEX('Per Invoice'!$D$2:$D$151,$L101)))</f>
        <v/>
      </c>
      <c r="E101">
        <f>IF($L101="","",IF(INDEX('Per Invoice'!$E$2:$E$151,$L101)="","",INDEX('Per Invoice'!$E$2:$E$151,$L101)))</f>
        <v/>
      </c>
      <c r="F101" s="5">
        <f>IF($L101="","",IF(INDEX('Per Invoice'!$F$2:$F$151,$L101)="","",INDEX('Per Invoice'!$F$2:$F$151,$L101)))</f>
        <v/>
      </c>
      <c r="G101" s="5">
        <f>IF($L101="","",IF(INDEX('Per Invoice'!$G$2:$G$151,$L101)="","",INDEX('Per Invoice'!$G$2:$G$151,$L101)))</f>
        <v/>
      </c>
      <c r="H101" s="5">
        <f>IF($L101="","",IF(INDEX('Per Invoice'!$H$2:$H$151,$L101)="","",INDEX('Per Invoice'!$H$2:$H$151,$L101)))</f>
        <v/>
      </c>
      <c r="I101" s="5">
        <f>IF($L101="","",IF(INDEX('Per Invoice'!$I$2:$I$151,$L101)="","",INDEX('Per Invoice'!$I$2:$I$151,$L101)))</f>
        <v/>
      </c>
      <c r="J101" s="5">
        <f>IF($L101="","",IF(INDEX('Per Invoice'!$J$2:$J$151,$L101)="","",INDEX('Per Invoice'!$J$2:$J$151,$L101)))</f>
        <v/>
      </c>
      <c r="K101">
        <f>IF($L101="","",IF(INDEX('Per Invoice'!$K$2:$K$151,$L101)="","",INDEX('Per Invoice'!$K$2:$K$151,$L101)))</f>
        <v/>
      </c>
      <c r="L101">
        <f>IF(ROWS($L$2:$L101)&lt;=COUNT('Per Invoice'!$N$2:$N$151),MATCH(ROWS($L$2:$L101),'Per Invoice'!$N$2:$N$151,0),"")</f>
        <v/>
      </c>
    </row>
    <row r="102">
      <c r="A102">
        <f>IF($L102="","",IF(INDEX('Per Invoice'!$A$2:$A$151,$L102)="","",INDEX('Per Invoice'!$A$2:$A$151,$L102)))</f>
        <v/>
      </c>
      <c r="B102">
        <f>IF($L102="","",IF(INDEX('Per Invoice'!$B$2:$B$151,$L102)="","",INDEX('Per Invoice'!$B$2:$B$151,$L102)))</f>
        <v/>
      </c>
      <c r="C102">
        <f>IF($L102="","",IF(INDEX('Per Invoice'!$C$2:$C$151,$L102)="","",INDEX('Per Invoice'!$C$2:$C$151,$L102)))</f>
        <v/>
      </c>
      <c r="D102">
        <f>IF($L102="","",IF(INDEX('Per Invoice'!$D$2:$D$151,$L102)="","",INDEX('Per Invoice'!$D$2:$D$151,$L102)))</f>
        <v/>
      </c>
      <c r="E102">
        <f>IF($L102="","",IF(INDEX('Per Invoice'!$E$2:$E$151,$L102)="","",INDEX('Per Invoice'!$E$2:$E$151,$L102)))</f>
        <v/>
      </c>
      <c r="F102" s="5">
        <f>IF($L102="","",IF(INDEX('Per Invoice'!$F$2:$F$151,$L102)="","",INDEX('Per Invoice'!$F$2:$F$151,$L102)))</f>
        <v/>
      </c>
      <c r="G102" s="5">
        <f>IF($L102="","",IF(INDEX('Per Invoice'!$G$2:$G$151,$L102)="","",INDEX('Per Invoice'!$G$2:$G$151,$L102)))</f>
        <v/>
      </c>
      <c r="H102" s="5">
        <f>IF($L102="","",IF(INDEX('Per Invoice'!$H$2:$H$151,$L102)="","",INDEX('Per Invoice'!$H$2:$H$151,$L102)))</f>
        <v/>
      </c>
      <c r="I102" s="5">
        <f>IF($L102="","",IF(INDEX('Per Invoice'!$I$2:$I$151,$L102)="","",INDEX('Per Invoice'!$I$2:$I$151,$L102)))</f>
        <v/>
      </c>
      <c r="J102" s="5">
        <f>IF($L102="","",IF(INDEX('Per Invoice'!$J$2:$J$151,$L102)="","",INDEX('Per Invoice'!$J$2:$J$151,$L102)))</f>
        <v/>
      </c>
      <c r="K102">
        <f>IF($L102="","",IF(INDEX('Per Invoice'!$K$2:$K$151,$L102)="","",INDEX('Per Invoice'!$K$2:$K$151,$L102)))</f>
        <v/>
      </c>
      <c r="L102">
        <f>IF(ROWS($L$2:$L102)&lt;=COUNT('Per Invoice'!$N$2:$N$151),MATCH(ROWS($L$2:$L102),'Per Invoice'!$N$2:$N$151,0),"")</f>
        <v/>
      </c>
    </row>
    <row r="103">
      <c r="A103">
        <f>IF($L103="","",IF(INDEX('Per Invoice'!$A$2:$A$151,$L103)="","",INDEX('Per Invoice'!$A$2:$A$151,$L103)))</f>
        <v/>
      </c>
      <c r="B103">
        <f>IF($L103="","",IF(INDEX('Per Invoice'!$B$2:$B$151,$L103)="","",INDEX('Per Invoice'!$B$2:$B$151,$L103)))</f>
        <v/>
      </c>
      <c r="C103">
        <f>IF($L103="","",IF(INDEX('Per Invoice'!$C$2:$C$151,$L103)="","",INDEX('Per Invoice'!$C$2:$C$151,$L103)))</f>
        <v/>
      </c>
      <c r="D103">
        <f>IF($L103="","",IF(INDEX('Per Invoice'!$D$2:$D$151,$L103)="","",INDEX('Per Invoice'!$D$2:$D$151,$L103)))</f>
        <v/>
      </c>
      <c r="E103">
        <f>IF($L103="","",IF(INDEX('Per Invoice'!$E$2:$E$151,$L103)="","",INDEX('Per Invoice'!$E$2:$E$151,$L103)))</f>
        <v/>
      </c>
      <c r="F103" s="5">
        <f>IF($L103="","",IF(INDEX('Per Invoice'!$F$2:$F$151,$L103)="","",INDEX('Per Invoice'!$F$2:$F$151,$L103)))</f>
        <v/>
      </c>
      <c r="G103" s="5">
        <f>IF($L103="","",IF(INDEX('Per Invoice'!$G$2:$G$151,$L103)="","",INDEX('Per Invoice'!$G$2:$G$151,$L103)))</f>
        <v/>
      </c>
      <c r="H103" s="5">
        <f>IF($L103="","",IF(INDEX('Per Invoice'!$H$2:$H$151,$L103)="","",INDEX('Per Invoice'!$H$2:$H$151,$L103)))</f>
        <v/>
      </c>
      <c r="I103" s="5">
        <f>IF($L103="","",IF(INDEX('Per Invoice'!$I$2:$I$151,$L103)="","",INDEX('Per Invoice'!$I$2:$I$151,$L103)))</f>
        <v/>
      </c>
      <c r="J103" s="5">
        <f>IF($L103="","",IF(INDEX('Per Invoice'!$J$2:$J$151,$L103)="","",INDEX('Per Invoice'!$J$2:$J$151,$L103)))</f>
        <v/>
      </c>
      <c r="K103">
        <f>IF($L103="","",IF(INDEX('Per Invoice'!$K$2:$K$151,$L103)="","",INDEX('Per Invoice'!$K$2:$K$151,$L103)))</f>
        <v/>
      </c>
      <c r="L103">
        <f>IF(ROWS($L$2:$L103)&lt;=COUNT('Per Invoice'!$N$2:$N$151),MATCH(ROWS($L$2:$L103),'Per Invoice'!$N$2:$N$151,0),"")</f>
        <v/>
      </c>
    </row>
    <row r="104">
      <c r="A104">
        <f>IF($L104="","",IF(INDEX('Per Invoice'!$A$2:$A$151,$L104)="","",INDEX('Per Invoice'!$A$2:$A$151,$L104)))</f>
        <v/>
      </c>
      <c r="B104">
        <f>IF($L104="","",IF(INDEX('Per Invoice'!$B$2:$B$151,$L104)="","",INDEX('Per Invoice'!$B$2:$B$151,$L104)))</f>
        <v/>
      </c>
      <c r="C104">
        <f>IF($L104="","",IF(INDEX('Per Invoice'!$C$2:$C$151,$L104)="","",INDEX('Per Invoice'!$C$2:$C$151,$L104)))</f>
        <v/>
      </c>
      <c r="D104">
        <f>IF($L104="","",IF(INDEX('Per Invoice'!$D$2:$D$151,$L104)="","",INDEX('Per Invoice'!$D$2:$D$151,$L104)))</f>
        <v/>
      </c>
      <c r="E104">
        <f>IF($L104="","",IF(INDEX('Per Invoice'!$E$2:$E$151,$L104)="","",INDEX('Per Invoice'!$E$2:$E$151,$L104)))</f>
        <v/>
      </c>
      <c r="F104" s="5">
        <f>IF($L104="","",IF(INDEX('Per Invoice'!$F$2:$F$151,$L104)="","",INDEX('Per Invoice'!$F$2:$F$151,$L104)))</f>
        <v/>
      </c>
      <c r="G104" s="5">
        <f>IF($L104="","",IF(INDEX('Per Invoice'!$G$2:$G$151,$L104)="","",INDEX('Per Invoice'!$G$2:$G$151,$L104)))</f>
        <v/>
      </c>
      <c r="H104" s="5">
        <f>IF($L104="","",IF(INDEX('Per Invoice'!$H$2:$H$151,$L104)="","",INDEX('Per Invoice'!$H$2:$H$151,$L104)))</f>
        <v/>
      </c>
      <c r="I104" s="5">
        <f>IF($L104="","",IF(INDEX('Per Invoice'!$I$2:$I$151,$L104)="","",INDEX('Per Invoice'!$I$2:$I$151,$L104)))</f>
        <v/>
      </c>
      <c r="J104" s="5">
        <f>IF($L104="","",IF(INDEX('Per Invoice'!$J$2:$J$151,$L104)="","",INDEX('Per Invoice'!$J$2:$J$151,$L104)))</f>
        <v/>
      </c>
      <c r="K104">
        <f>IF($L104="","",IF(INDEX('Per Invoice'!$K$2:$K$151,$L104)="","",INDEX('Per Invoice'!$K$2:$K$151,$L104)))</f>
        <v/>
      </c>
      <c r="L104">
        <f>IF(ROWS($L$2:$L104)&lt;=COUNT('Per Invoice'!$N$2:$N$151),MATCH(ROWS($L$2:$L104),'Per Invoice'!$N$2:$N$151,0),"")</f>
        <v/>
      </c>
    </row>
    <row r="105">
      <c r="A105">
        <f>IF($L105="","",IF(INDEX('Per Invoice'!$A$2:$A$151,$L105)="","",INDEX('Per Invoice'!$A$2:$A$151,$L105)))</f>
        <v/>
      </c>
      <c r="B105">
        <f>IF($L105="","",IF(INDEX('Per Invoice'!$B$2:$B$151,$L105)="","",INDEX('Per Invoice'!$B$2:$B$151,$L105)))</f>
        <v/>
      </c>
      <c r="C105">
        <f>IF($L105="","",IF(INDEX('Per Invoice'!$C$2:$C$151,$L105)="","",INDEX('Per Invoice'!$C$2:$C$151,$L105)))</f>
        <v/>
      </c>
      <c r="D105">
        <f>IF($L105="","",IF(INDEX('Per Invoice'!$D$2:$D$151,$L105)="","",INDEX('Per Invoice'!$D$2:$D$151,$L105)))</f>
        <v/>
      </c>
      <c r="E105">
        <f>IF($L105="","",IF(INDEX('Per Invoice'!$E$2:$E$151,$L105)="","",INDEX('Per Invoice'!$E$2:$E$151,$L105)))</f>
        <v/>
      </c>
      <c r="F105" s="5">
        <f>IF($L105="","",IF(INDEX('Per Invoice'!$F$2:$F$151,$L105)="","",INDEX('Per Invoice'!$F$2:$F$151,$L105)))</f>
        <v/>
      </c>
      <c r="G105" s="5">
        <f>IF($L105="","",IF(INDEX('Per Invoice'!$G$2:$G$151,$L105)="","",INDEX('Per Invoice'!$G$2:$G$151,$L105)))</f>
        <v/>
      </c>
      <c r="H105" s="5">
        <f>IF($L105="","",IF(INDEX('Per Invoice'!$H$2:$H$151,$L105)="","",INDEX('Per Invoice'!$H$2:$H$151,$L105)))</f>
        <v/>
      </c>
      <c r="I105" s="5">
        <f>IF($L105="","",IF(INDEX('Per Invoice'!$I$2:$I$151,$L105)="","",INDEX('Per Invoice'!$I$2:$I$151,$L105)))</f>
        <v/>
      </c>
      <c r="J105" s="5">
        <f>IF($L105="","",IF(INDEX('Per Invoice'!$J$2:$J$151,$L105)="","",INDEX('Per Invoice'!$J$2:$J$151,$L105)))</f>
        <v/>
      </c>
      <c r="K105">
        <f>IF($L105="","",IF(INDEX('Per Invoice'!$K$2:$K$151,$L105)="","",INDEX('Per Invoice'!$K$2:$K$151,$L105)))</f>
        <v/>
      </c>
      <c r="L105">
        <f>IF(ROWS($L$2:$L105)&lt;=COUNT('Per Invoice'!$N$2:$N$151),MATCH(ROWS($L$2:$L105),'Per Invoice'!$N$2:$N$151,0),"")</f>
        <v/>
      </c>
    </row>
    <row r="106">
      <c r="A106">
        <f>IF($L106="","",IF(INDEX('Per Invoice'!$A$2:$A$151,$L106)="","",INDEX('Per Invoice'!$A$2:$A$151,$L106)))</f>
        <v/>
      </c>
      <c r="B106">
        <f>IF($L106="","",IF(INDEX('Per Invoice'!$B$2:$B$151,$L106)="","",INDEX('Per Invoice'!$B$2:$B$151,$L106)))</f>
        <v/>
      </c>
      <c r="C106">
        <f>IF($L106="","",IF(INDEX('Per Invoice'!$C$2:$C$151,$L106)="","",INDEX('Per Invoice'!$C$2:$C$151,$L106)))</f>
        <v/>
      </c>
      <c r="D106">
        <f>IF($L106="","",IF(INDEX('Per Invoice'!$D$2:$D$151,$L106)="","",INDEX('Per Invoice'!$D$2:$D$151,$L106)))</f>
        <v/>
      </c>
      <c r="E106">
        <f>IF($L106="","",IF(INDEX('Per Invoice'!$E$2:$E$151,$L106)="","",INDEX('Per Invoice'!$E$2:$E$151,$L106)))</f>
        <v/>
      </c>
      <c r="F106" s="5">
        <f>IF($L106="","",IF(INDEX('Per Invoice'!$F$2:$F$151,$L106)="","",INDEX('Per Invoice'!$F$2:$F$151,$L106)))</f>
        <v/>
      </c>
      <c r="G106" s="5">
        <f>IF($L106="","",IF(INDEX('Per Invoice'!$G$2:$G$151,$L106)="","",INDEX('Per Invoice'!$G$2:$G$151,$L106)))</f>
        <v/>
      </c>
      <c r="H106" s="5">
        <f>IF($L106="","",IF(INDEX('Per Invoice'!$H$2:$H$151,$L106)="","",INDEX('Per Invoice'!$H$2:$H$151,$L106)))</f>
        <v/>
      </c>
      <c r="I106" s="5">
        <f>IF($L106="","",IF(INDEX('Per Invoice'!$I$2:$I$151,$L106)="","",INDEX('Per Invoice'!$I$2:$I$151,$L106)))</f>
        <v/>
      </c>
      <c r="J106" s="5">
        <f>IF($L106="","",IF(INDEX('Per Invoice'!$J$2:$J$151,$L106)="","",INDEX('Per Invoice'!$J$2:$J$151,$L106)))</f>
        <v/>
      </c>
      <c r="K106">
        <f>IF($L106="","",IF(INDEX('Per Invoice'!$K$2:$K$151,$L106)="","",INDEX('Per Invoice'!$K$2:$K$151,$L106)))</f>
        <v/>
      </c>
      <c r="L106">
        <f>IF(ROWS($L$2:$L106)&lt;=COUNT('Per Invoice'!$N$2:$N$151),MATCH(ROWS($L$2:$L106),'Per Invoice'!$N$2:$N$151,0),"")</f>
        <v/>
      </c>
    </row>
    <row r="107">
      <c r="A107">
        <f>IF($L107="","",IF(INDEX('Per Invoice'!$A$2:$A$151,$L107)="","",INDEX('Per Invoice'!$A$2:$A$151,$L107)))</f>
        <v/>
      </c>
      <c r="B107">
        <f>IF($L107="","",IF(INDEX('Per Invoice'!$B$2:$B$151,$L107)="","",INDEX('Per Invoice'!$B$2:$B$151,$L107)))</f>
        <v/>
      </c>
      <c r="C107">
        <f>IF($L107="","",IF(INDEX('Per Invoice'!$C$2:$C$151,$L107)="","",INDEX('Per Invoice'!$C$2:$C$151,$L107)))</f>
        <v/>
      </c>
      <c r="D107">
        <f>IF($L107="","",IF(INDEX('Per Invoice'!$D$2:$D$151,$L107)="","",INDEX('Per Invoice'!$D$2:$D$151,$L107)))</f>
        <v/>
      </c>
      <c r="E107">
        <f>IF($L107="","",IF(INDEX('Per Invoice'!$E$2:$E$151,$L107)="","",INDEX('Per Invoice'!$E$2:$E$151,$L107)))</f>
        <v/>
      </c>
      <c r="F107" s="5">
        <f>IF($L107="","",IF(INDEX('Per Invoice'!$F$2:$F$151,$L107)="","",INDEX('Per Invoice'!$F$2:$F$151,$L107)))</f>
        <v/>
      </c>
      <c r="G107" s="5">
        <f>IF($L107="","",IF(INDEX('Per Invoice'!$G$2:$G$151,$L107)="","",INDEX('Per Invoice'!$G$2:$G$151,$L107)))</f>
        <v/>
      </c>
      <c r="H107" s="5">
        <f>IF($L107="","",IF(INDEX('Per Invoice'!$H$2:$H$151,$L107)="","",INDEX('Per Invoice'!$H$2:$H$151,$L107)))</f>
        <v/>
      </c>
      <c r="I107" s="5">
        <f>IF($L107="","",IF(INDEX('Per Invoice'!$I$2:$I$151,$L107)="","",INDEX('Per Invoice'!$I$2:$I$151,$L107)))</f>
        <v/>
      </c>
      <c r="J107" s="5">
        <f>IF($L107="","",IF(INDEX('Per Invoice'!$J$2:$J$151,$L107)="","",INDEX('Per Invoice'!$J$2:$J$151,$L107)))</f>
        <v/>
      </c>
      <c r="K107">
        <f>IF($L107="","",IF(INDEX('Per Invoice'!$K$2:$K$151,$L107)="","",INDEX('Per Invoice'!$K$2:$K$151,$L107)))</f>
        <v/>
      </c>
      <c r="L107">
        <f>IF(ROWS($L$2:$L107)&lt;=COUNT('Per Invoice'!$N$2:$N$151),MATCH(ROWS($L$2:$L107),'Per Invoice'!$N$2:$N$151,0),"")</f>
        <v/>
      </c>
    </row>
    <row r="108">
      <c r="A108">
        <f>IF($L108="","",IF(INDEX('Per Invoice'!$A$2:$A$151,$L108)="","",INDEX('Per Invoice'!$A$2:$A$151,$L108)))</f>
        <v/>
      </c>
      <c r="B108">
        <f>IF($L108="","",IF(INDEX('Per Invoice'!$B$2:$B$151,$L108)="","",INDEX('Per Invoice'!$B$2:$B$151,$L108)))</f>
        <v/>
      </c>
      <c r="C108">
        <f>IF($L108="","",IF(INDEX('Per Invoice'!$C$2:$C$151,$L108)="","",INDEX('Per Invoice'!$C$2:$C$151,$L108)))</f>
        <v/>
      </c>
      <c r="D108">
        <f>IF($L108="","",IF(INDEX('Per Invoice'!$D$2:$D$151,$L108)="","",INDEX('Per Invoice'!$D$2:$D$151,$L108)))</f>
        <v/>
      </c>
      <c r="E108">
        <f>IF($L108="","",IF(INDEX('Per Invoice'!$E$2:$E$151,$L108)="","",INDEX('Per Invoice'!$E$2:$E$151,$L108)))</f>
        <v/>
      </c>
      <c r="F108" s="5">
        <f>IF($L108="","",IF(INDEX('Per Invoice'!$F$2:$F$151,$L108)="","",INDEX('Per Invoice'!$F$2:$F$151,$L108)))</f>
        <v/>
      </c>
      <c r="G108" s="5">
        <f>IF($L108="","",IF(INDEX('Per Invoice'!$G$2:$G$151,$L108)="","",INDEX('Per Invoice'!$G$2:$G$151,$L108)))</f>
        <v/>
      </c>
      <c r="H108" s="5">
        <f>IF($L108="","",IF(INDEX('Per Invoice'!$H$2:$H$151,$L108)="","",INDEX('Per Invoice'!$H$2:$H$151,$L108)))</f>
        <v/>
      </c>
      <c r="I108" s="5">
        <f>IF($L108="","",IF(INDEX('Per Invoice'!$I$2:$I$151,$L108)="","",INDEX('Per Invoice'!$I$2:$I$151,$L108)))</f>
        <v/>
      </c>
      <c r="J108" s="5">
        <f>IF($L108="","",IF(INDEX('Per Invoice'!$J$2:$J$151,$L108)="","",INDEX('Per Invoice'!$J$2:$J$151,$L108)))</f>
        <v/>
      </c>
      <c r="K108">
        <f>IF($L108="","",IF(INDEX('Per Invoice'!$K$2:$K$151,$L108)="","",INDEX('Per Invoice'!$K$2:$K$151,$L108)))</f>
        <v/>
      </c>
      <c r="L108">
        <f>IF(ROWS($L$2:$L108)&lt;=COUNT('Per Invoice'!$N$2:$N$151),MATCH(ROWS($L$2:$L108),'Per Invoice'!$N$2:$N$151,0),"")</f>
        <v/>
      </c>
    </row>
    <row r="109">
      <c r="A109">
        <f>IF($L109="","",IF(INDEX('Per Invoice'!$A$2:$A$151,$L109)="","",INDEX('Per Invoice'!$A$2:$A$151,$L109)))</f>
        <v/>
      </c>
      <c r="B109">
        <f>IF($L109="","",IF(INDEX('Per Invoice'!$B$2:$B$151,$L109)="","",INDEX('Per Invoice'!$B$2:$B$151,$L109)))</f>
        <v/>
      </c>
      <c r="C109">
        <f>IF($L109="","",IF(INDEX('Per Invoice'!$C$2:$C$151,$L109)="","",INDEX('Per Invoice'!$C$2:$C$151,$L109)))</f>
        <v/>
      </c>
      <c r="D109">
        <f>IF($L109="","",IF(INDEX('Per Invoice'!$D$2:$D$151,$L109)="","",INDEX('Per Invoice'!$D$2:$D$151,$L109)))</f>
        <v/>
      </c>
      <c r="E109">
        <f>IF($L109="","",IF(INDEX('Per Invoice'!$E$2:$E$151,$L109)="","",INDEX('Per Invoice'!$E$2:$E$151,$L109)))</f>
        <v/>
      </c>
      <c r="F109" s="5">
        <f>IF($L109="","",IF(INDEX('Per Invoice'!$F$2:$F$151,$L109)="","",INDEX('Per Invoice'!$F$2:$F$151,$L109)))</f>
        <v/>
      </c>
      <c r="G109" s="5">
        <f>IF($L109="","",IF(INDEX('Per Invoice'!$G$2:$G$151,$L109)="","",INDEX('Per Invoice'!$G$2:$G$151,$L109)))</f>
        <v/>
      </c>
      <c r="H109" s="5">
        <f>IF($L109="","",IF(INDEX('Per Invoice'!$H$2:$H$151,$L109)="","",INDEX('Per Invoice'!$H$2:$H$151,$L109)))</f>
        <v/>
      </c>
      <c r="I109" s="5">
        <f>IF($L109="","",IF(INDEX('Per Invoice'!$I$2:$I$151,$L109)="","",INDEX('Per Invoice'!$I$2:$I$151,$L109)))</f>
        <v/>
      </c>
      <c r="J109" s="5">
        <f>IF($L109="","",IF(INDEX('Per Invoice'!$J$2:$J$151,$L109)="","",INDEX('Per Invoice'!$J$2:$J$151,$L109)))</f>
        <v/>
      </c>
      <c r="K109">
        <f>IF($L109="","",IF(INDEX('Per Invoice'!$K$2:$K$151,$L109)="","",INDEX('Per Invoice'!$K$2:$K$151,$L109)))</f>
        <v/>
      </c>
      <c r="L109">
        <f>IF(ROWS($L$2:$L109)&lt;=COUNT('Per Invoice'!$N$2:$N$151),MATCH(ROWS($L$2:$L109),'Per Invoice'!$N$2:$N$151,0),"")</f>
        <v/>
      </c>
    </row>
    <row r="110">
      <c r="A110">
        <f>IF($L110="","",IF(INDEX('Per Invoice'!$A$2:$A$151,$L110)="","",INDEX('Per Invoice'!$A$2:$A$151,$L110)))</f>
        <v/>
      </c>
      <c r="B110">
        <f>IF($L110="","",IF(INDEX('Per Invoice'!$B$2:$B$151,$L110)="","",INDEX('Per Invoice'!$B$2:$B$151,$L110)))</f>
        <v/>
      </c>
      <c r="C110">
        <f>IF($L110="","",IF(INDEX('Per Invoice'!$C$2:$C$151,$L110)="","",INDEX('Per Invoice'!$C$2:$C$151,$L110)))</f>
        <v/>
      </c>
      <c r="D110">
        <f>IF($L110="","",IF(INDEX('Per Invoice'!$D$2:$D$151,$L110)="","",INDEX('Per Invoice'!$D$2:$D$151,$L110)))</f>
        <v/>
      </c>
      <c r="E110">
        <f>IF($L110="","",IF(INDEX('Per Invoice'!$E$2:$E$151,$L110)="","",INDEX('Per Invoice'!$E$2:$E$151,$L110)))</f>
        <v/>
      </c>
      <c r="F110" s="5">
        <f>IF($L110="","",IF(INDEX('Per Invoice'!$F$2:$F$151,$L110)="","",INDEX('Per Invoice'!$F$2:$F$151,$L110)))</f>
        <v/>
      </c>
      <c r="G110" s="5">
        <f>IF($L110="","",IF(INDEX('Per Invoice'!$G$2:$G$151,$L110)="","",INDEX('Per Invoice'!$G$2:$G$151,$L110)))</f>
        <v/>
      </c>
      <c r="H110" s="5">
        <f>IF($L110="","",IF(INDEX('Per Invoice'!$H$2:$H$151,$L110)="","",INDEX('Per Invoice'!$H$2:$H$151,$L110)))</f>
        <v/>
      </c>
      <c r="I110" s="5">
        <f>IF($L110="","",IF(INDEX('Per Invoice'!$I$2:$I$151,$L110)="","",INDEX('Per Invoice'!$I$2:$I$151,$L110)))</f>
        <v/>
      </c>
      <c r="J110" s="5">
        <f>IF($L110="","",IF(INDEX('Per Invoice'!$J$2:$J$151,$L110)="","",INDEX('Per Invoice'!$J$2:$J$151,$L110)))</f>
        <v/>
      </c>
      <c r="K110">
        <f>IF($L110="","",IF(INDEX('Per Invoice'!$K$2:$K$151,$L110)="","",INDEX('Per Invoice'!$K$2:$K$151,$L110)))</f>
        <v/>
      </c>
      <c r="L110">
        <f>IF(ROWS($L$2:$L110)&lt;=COUNT('Per Invoice'!$N$2:$N$151),MATCH(ROWS($L$2:$L110),'Per Invoice'!$N$2:$N$151,0),"")</f>
        <v/>
      </c>
    </row>
    <row r="111">
      <c r="A111">
        <f>IF($L111="","",IF(INDEX('Per Invoice'!$A$2:$A$151,$L111)="","",INDEX('Per Invoice'!$A$2:$A$151,$L111)))</f>
        <v/>
      </c>
      <c r="B111">
        <f>IF($L111="","",IF(INDEX('Per Invoice'!$B$2:$B$151,$L111)="","",INDEX('Per Invoice'!$B$2:$B$151,$L111)))</f>
        <v/>
      </c>
      <c r="C111">
        <f>IF($L111="","",IF(INDEX('Per Invoice'!$C$2:$C$151,$L111)="","",INDEX('Per Invoice'!$C$2:$C$151,$L111)))</f>
        <v/>
      </c>
      <c r="D111">
        <f>IF($L111="","",IF(INDEX('Per Invoice'!$D$2:$D$151,$L111)="","",INDEX('Per Invoice'!$D$2:$D$151,$L111)))</f>
        <v/>
      </c>
      <c r="E111">
        <f>IF($L111="","",IF(INDEX('Per Invoice'!$E$2:$E$151,$L111)="","",INDEX('Per Invoice'!$E$2:$E$151,$L111)))</f>
        <v/>
      </c>
      <c r="F111" s="5">
        <f>IF($L111="","",IF(INDEX('Per Invoice'!$F$2:$F$151,$L111)="","",INDEX('Per Invoice'!$F$2:$F$151,$L111)))</f>
        <v/>
      </c>
      <c r="G111" s="5">
        <f>IF($L111="","",IF(INDEX('Per Invoice'!$G$2:$G$151,$L111)="","",INDEX('Per Invoice'!$G$2:$G$151,$L111)))</f>
        <v/>
      </c>
      <c r="H111" s="5">
        <f>IF($L111="","",IF(INDEX('Per Invoice'!$H$2:$H$151,$L111)="","",INDEX('Per Invoice'!$H$2:$H$151,$L111)))</f>
        <v/>
      </c>
      <c r="I111" s="5">
        <f>IF($L111="","",IF(INDEX('Per Invoice'!$I$2:$I$151,$L111)="","",INDEX('Per Invoice'!$I$2:$I$151,$L111)))</f>
        <v/>
      </c>
      <c r="J111" s="5">
        <f>IF($L111="","",IF(INDEX('Per Invoice'!$J$2:$J$151,$L111)="","",INDEX('Per Invoice'!$J$2:$J$151,$L111)))</f>
        <v/>
      </c>
      <c r="K111">
        <f>IF($L111="","",IF(INDEX('Per Invoice'!$K$2:$K$151,$L111)="","",INDEX('Per Invoice'!$K$2:$K$151,$L111)))</f>
        <v/>
      </c>
      <c r="L111">
        <f>IF(ROWS($L$2:$L111)&lt;=COUNT('Per Invoice'!$N$2:$N$151),MATCH(ROWS($L$2:$L111),'Per Invoice'!$N$2:$N$151,0),"")</f>
        <v/>
      </c>
    </row>
    <row r="112">
      <c r="A112">
        <f>IF($L112="","",IF(INDEX('Per Invoice'!$A$2:$A$151,$L112)="","",INDEX('Per Invoice'!$A$2:$A$151,$L112)))</f>
        <v/>
      </c>
      <c r="B112">
        <f>IF($L112="","",IF(INDEX('Per Invoice'!$B$2:$B$151,$L112)="","",INDEX('Per Invoice'!$B$2:$B$151,$L112)))</f>
        <v/>
      </c>
      <c r="C112">
        <f>IF($L112="","",IF(INDEX('Per Invoice'!$C$2:$C$151,$L112)="","",INDEX('Per Invoice'!$C$2:$C$151,$L112)))</f>
        <v/>
      </c>
      <c r="D112">
        <f>IF($L112="","",IF(INDEX('Per Invoice'!$D$2:$D$151,$L112)="","",INDEX('Per Invoice'!$D$2:$D$151,$L112)))</f>
        <v/>
      </c>
      <c r="E112">
        <f>IF($L112="","",IF(INDEX('Per Invoice'!$E$2:$E$151,$L112)="","",INDEX('Per Invoice'!$E$2:$E$151,$L112)))</f>
        <v/>
      </c>
      <c r="F112" s="5">
        <f>IF($L112="","",IF(INDEX('Per Invoice'!$F$2:$F$151,$L112)="","",INDEX('Per Invoice'!$F$2:$F$151,$L112)))</f>
        <v/>
      </c>
      <c r="G112" s="5">
        <f>IF($L112="","",IF(INDEX('Per Invoice'!$G$2:$G$151,$L112)="","",INDEX('Per Invoice'!$G$2:$G$151,$L112)))</f>
        <v/>
      </c>
      <c r="H112" s="5">
        <f>IF($L112="","",IF(INDEX('Per Invoice'!$H$2:$H$151,$L112)="","",INDEX('Per Invoice'!$H$2:$H$151,$L112)))</f>
        <v/>
      </c>
      <c r="I112" s="5">
        <f>IF($L112="","",IF(INDEX('Per Invoice'!$I$2:$I$151,$L112)="","",INDEX('Per Invoice'!$I$2:$I$151,$L112)))</f>
        <v/>
      </c>
      <c r="J112" s="5">
        <f>IF($L112="","",IF(INDEX('Per Invoice'!$J$2:$J$151,$L112)="","",INDEX('Per Invoice'!$J$2:$J$151,$L112)))</f>
        <v/>
      </c>
      <c r="K112">
        <f>IF($L112="","",IF(INDEX('Per Invoice'!$K$2:$K$151,$L112)="","",INDEX('Per Invoice'!$K$2:$K$151,$L112)))</f>
        <v/>
      </c>
      <c r="L112">
        <f>IF(ROWS($L$2:$L112)&lt;=COUNT('Per Invoice'!$N$2:$N$151),MATCH(ROWS($L$2:$L112),'Per Invoice'!$N$2:$N$151,0),"")</f>
        <v/>
      </c>
    </row>
    <row r="113">
      <c r="A113">
        <f>IF($L113="","",IF(INDEX('Per Invoice'!$A$2:$A$151,$L113)="","",INDEX('Per Invoice'!$A$2:$A$151,$L113)))</f>
        <v/>
      </c>
      <c r="B113">
        <f>IF($L113="","",IF(INDEX('Per Invoice'!$B$2:$B$151,$L113)="","",INDEX('Per Invoice'!$B$2:$B$151,$L113)))</f>
        <v/>
      </c>
      <c r="C113">
        <f>IF($L113="","",IF(INDEX('Per Invoice'!$C$2:$C$151,$L113)="","",INDEX('Per Invoice'!$C$2:$C$151,$L113)))</f>
        <v/>
      </c>
      <c r="D113">
        <f>IF($L113="","",IF(INDEX('Per Invoice'!$D$2:$D$151,$L113)="","",INDEX('Per Invoice'!$D$2:$D$151,$L113)))</f>
        <v/>
      </c>
      <c r="E113">
        <f>IF($L113="","",IF(INDEX('Per Invoice'!$E$2:$E$151,$L113)="","",INDEX('Per Invoice'!$E$2:$E$151,$L113)))</f>
        <v/>
      </c>
      <c r="F113" s="5">
        <f>IF($L113="","",IF(INDEX('Per Invoice'!$F$2:$F$151,$L113)="","",INDEX('Per Invoice'!$F$2:$F$151,$L113)))</f>
        <v/>
      </c>
      <c r="G113" s="5">
        <f>IF($L113="","",IF(INDEX('Per Invoice'!$G$2:$G$151,$L113)="","",INDEX('Per Invoice'!$G$2:$G$151,$L113)))</f>
        <v/>
      </c>
      <c r="H113" s="5">
        <f>IF($L113="","",IF(INDEX('Per Invoice'!$H$2:$H$151,$L113)="","",INDEX('Per Invoice'!$H$2:$H$151,$L113)))</f>
        <v/>
      </c>
      <c r="I113" s="5">
        <f>IF($L113="","",IF(INDEX('Per Invoice'!$I$2:$I$151,$L113)="","",INDEX('Per Invoice'!$I$2:$I$151,$L113)))</f>
        <v/>
      </c>
      <c r="J113" s="5">
        <f>IF($L113="","",IF(INDEX('Per Invoice'!$J$2:$J$151,$L113)="","",INDEX('Per Invoice'!$J$2:$J$151,$L113)))</f>
        <v/>
      </c>
      <c r="K113">
        <f>IF($L113="","",IF(INDEX('Per Invoice'!$K$2:$K$151,$L113)="","",INDEX('Per Invoice'!$K$2:$K$151,$L113)))</f>
        <v/>
      </c>
      <c r="L113">
        <f>IF(ROWS($L$2:$L113)&lt;=COUNT('Per Invoice'!$N$2:$N$151),MATCH(ROWS($L$2:$L113),'Per Invoice'!$N$2:$N$151,0),"")</f>
        <v/>
      </c>
    </row>
    <row r="114">
      <c r="A114">
        <f>IF($L114="","",IF(INDEX('Per Invoice'!$A$2:$A$151,$L114)="","",INDEX('Per Invoice'!$A$2:$A$151,$L114)))</f>
        <v/>
      </c>
      <c r="B114">
        <f>IF($L114="","",IF(INDEX('Per Invoice'!$B$2:$B$151,$L114)="","",INDEX('Per Invoice'!$B$2:$B$151,$L114)))</f>
        <v/>
      </c>
      <c r="C114">
        <f>IF($L114="","",IF(INDEX('Per Invoice'!$C$2:$C$151,$L114)="","",INDEX('Per Invoice'!$C$2:$C$151,$L114)))</f>
        <v/>
      </c>
      <c r="D114">
        <f>IF($L114="","",IF(INDEX('Per Invoice'!$D$2:$D$151,$L114)="","",INDEX('Per Invoice'!$D$2:$D$151,$L114)))</f>
        <v/>
      </c>
      <c r="E114">
        <f>IF($L114="","",IF(INDEX('Per Invoice'!$E$2:$E$151,$L114)="","",INDEX('Per Invoice'!$E$2:$E$151,$L114)))</f>
        <v/>
      </c>
      <c r="F114" s="5">
        <f>IF($L114="","",IF(INDEX('Per Invoice'!$F$2:$F$151,$L114)="","",INDEX('Per Invoice'!$F$2:$F$151,$L114)))</f>
        <v/>
      </c>
      <c r="G114" s="5">
        <f>IF($L114="","",IF(INDEX('Per Invoice'!$G$2:$G$151,$L114)="","",INDEX('Per Invoice'!$G$2:$G$151,$L114)))</f>
        <v/>
      </c>
      <c r="H114" s="5">
        <f>IF($L114="","",IF(INDEX('Per Invoice'!$H$2:$H$151,$L114)="","",INDEX('Per Invoice'!$H$2:$H$151,$L114)))</f>
        <v/>
      </c>
      <c r="I114" s="5">
        <f>IF($L114="","",IF(INDEX('Per Invoice'!$I$2:$I$151,$L114)="","",INDEX('Per Invoice'!$I$2:$I$151,$L114)))</f>
        <v/>
      </c>
      <c r="J114" s="5">
        <f>IF($L114="","",IF(INDEX('Per Invoice'!$J$2:$J$151,$L114)="","",INDEX('Per Invoice'!$J$2:$J$151,$L114)))</f>
        <v/>
      </c>
      <c r="K114">
        <f>IF($L114="","",IF(INDEX('Per Invoice'!$K$2:$K$151,$L114)="","",INDEX('Per Invoice'!$K$2:$K$151,$L114)))</f>
        <v/>
      </c>
      <c r="L114">
        <f>IF(ROWS($L$2:$L114)&lt;=COUNT('Per Invoice'!$N$2:$N$151),MATCH(ROWS($L$2:$L114),'Per Invoice'!$N$2:$N$151,0),"")</f>
        <v/>
      </c>
    </row>
    <row r="115">
      <c r="A115">
        <f>IF($L115="","",IF(INDEX('Per Invoice'!$A$2:$A$151,$L115)="","",INDEX('Per Invoice'!$A$2:$A$151,$L115)))</f>
        <v/>
      </c>
      <c r="B115">
        <f>IF($L115="","",IF(INDEX('Per Invoice'!$B$2:$B$151,$L115)="","",INDEX('Per Invoice'!$B$2:$B$151,$L115)))</f>
        <v/>
      </c>
      <c r="C115">
        <f>IF($L115="","",IF(INDEX('Per Invoice'!$C$2:$C$151,$L115)="","",INDEX('Per Invoice'!$C$2:$C$151,$L115)))</f>
        <v/>
      </c>
      <c r="D115">
        <f>IF($L115="","",IF(INDEX('Per Invoice'!$D$2:$D$151,$L115)="","",INDEX('Per Invoice'!$D$2:$D$151,$L115)))</f>
        <v/>
      </c>
      <c r="E115">
        <f>IF($L115="","",IF(INDEX('Per Invoice'!$E$2:$E$151,$L115)="","",INDEX('Per Invoice'!$E$2:$E$151,$L115)))</f>
        <v/>
      </c>
      <c r="F115" s="5">
        <f>IF($L115="","",IF(INDEX('Per Invoice'!$F$2:$F$151,$L115)="","",INDEX('Per Invoice'!$F$2:$F$151,$L115)))</f>
        <v/>
      </c>
      <c r="G115" s="5">
        <f>IF($L115="","",IF(INDEX('Per Invoice'!$G$2:$G$151,$L115)="","",INDEX('Per Invoice'!$G$2:$G$151,$L115)))</f>
        <v/>
      </c>
      <c r="H115" s="5">
        <f>IF($L115="","",IF(INDEX('Per Invoice'!$H$2:$H$151,$L115)="","",INDEX('Per Invoice'!$H$2:$H$151,$L115)))</f>
        <v/>
      </c>
      <c r="I115" s="5">
        <f>IF($L115="","",IF(INDEX('Per Invoice'!$I$2:$I$151,$L115)="","",INDEX('Per Invoice'!$I$2:$I$151,$L115)))</f>
        <v/>
      </c>
      <c r="J115" s="5">
        <f>IF($L115="","",IF(INDEX('Per Invoice'!$J$2:$J$151,$L115)="","",INDEX('Per Invoice'!$J$2:$J$151,$L115)))</f>
        <v/>
      </c>
      <c r="K115">
        <f>IF($L115="","",IF(INDEX('Per Invoice'!$K$2:$K$151,$L115)="","",INDEX('Per Invoice'!$K$2:$K$151,$L115)))</f>
        <v/>
      </c>
      <c r="L115">
        <f>IF(ROWS($L$2:$L115)&lt;=COUNT('Per Invoice'!$N$2:$N$151),MATCH(ROWS($L$2:$L115),'Per Invoice'!$N$2:$N$151,0),"")</f>
        <v/>
      </c>
    </row>
    <row r="116">
      <c r="A116">
        <f>IF($L116="","",IF(INDEX('Per Invoice'!$A$2:$A$151,$L116)="","",INDEX('Per Invoice'!$A$2:$A$151,$L116)))</f>
        <v/>
      </c>
      <c r="B116">
        <f>IF($L116="","",IF(INDEX('Per Invoice'!$B$2:$B$151,$L116)="","",INDEX('Per Invoice'!$B$2:$B$151,$L116)))</f>
        <v/>
      </c>
      <c r="C116">
        <f>IF($L116="","",IF(INDEX('Per Invoice'!$C$2:$C$151,$L116)="","",INDEX('Per Invoice'!$C$2:$C$151,$L116)))</f>
        <v/>
      </c>
      <c r="D116">
        <f>IF($L116="","",IF(INDEX('Per Invoice'!$D$2:$D$151,$L116)="","",INDEX('Per Invoice'!$D$2:$D$151,$L116)))</f>
        <v/>
      </c>
      <c r="E116">
        <f>IF($L116="","",IF(INDEX('Per Invoice'!$E$2:$E$151,$L116)="","",INDEX('Per Invoice'!$E$2:$E$151,$L116)))</f>
        <v/>
      </c>
      <c r="F116" s="5">
        <f>IF($L116="","",IF(INDEX('Per Invoice'!$F$2:$F$151,$L116)="","",INDEX('Per Invoice'!$F$2:$F$151,$L116)))</f>
        <v/>
      </c>
      <c r="G116" s="5">
        <f>IF($L116="","",IF(INDEX('Per Invoice'!$G$2:$G$151,$L116)="","",INDEX('Per Invoice'!$G$2:$G$151,$L116)))</f>
        <v/>
      </c>
      <c r="H116" s="5">
        <f>IF($L116="","",IF(INDEX('Per Invoice'!$H$2:$H$151,$L116)="","",INDEX('Per Invoice'!$H$2:$H$151,$L116)))</f>
        <v/>
      </c>
      <c r="I116" s="5">
        <f>IF($L116="","",IF(INDEX('Per Invoice'!$I$2:$I$151,$L116)="","",INDEX('Per Invoice'!$I$2:$I$151,$L116)))</f>
        <v/>
      </c>
      <c r="J116" s="5">
        <f>IF($L116="","",IF(INDEX('Per Invoice'!$J$2:$J$151,$L116)="","",INDEX('Per Invoice'!$J$2:$J$151,$L116)))</f>
        <v/>
      </c>
      <c r="K116">
        <f>IF($L116="","",IF(INDEX('Per Invoice'!$K$2:$K$151,$L116)="","",INDEX('Per Invoice'!$K$2:$K$151,$L116)))</f>
        <v/>
      </c>
      <c r="L116">
        <f>IF(ROWS($L$2:$L116)&lt;=COUNT('Per Invoice'!$N$2:$N$151),MATCH(ROWS($L$2:$L116),'Per Invoice'!$N$2:$N$151,0),"")</f>
        <v/>
      </c>
    </row>
    <row r="117">
      <c r="A117">
        <f>IF($L117="","",IF(INDEX('Per Invoice'!$A$2:$A$151,$L117)="","",INDEX('Per Invoice'!$A$2:$A$151,$L117)))</f>
        <v/>
      </c>
      <c r="B117">
        <f>IF($L117="","",IF(INDEX('Per Invoice'!$B$2:$B$151,$L117)="","",INDEX('Per Invoice'!$B$2:$B$151,$L117)))</f>
        <v/>
      </c>
      <c r="C117">
        <f>IF($L117="","",IF(INDEX('Per Invoice'!$C$2:$C$151,$L117)="","",INDEX('Per Invoice'!$C$2:$C$151,$L117)))</f>
        <v/>
      </c>
      <c r="D117">
        <f>IF($L117="","",IF(INDEX('Per Invoice'!$D$2:$D$151,$L117)="","",INDEX('Per Invoice'!$D$2:$D$151,$L117)))</f>
        <v/>
      </c>
      <c r="E117">
        <f>IF($L117="","",IF(INDEX('Per Invoice'!$E$2:$E$151,$L117)="","",INDEX('Per Invoice'!$E$2:$E$151,$L117)))</f>
        <v/>
      </c>
      <c r="F117" s="5">
        <f>IF($L117="","",IF(INDEX('Per Invoice'!$F$2:$F$151,$L117)="","",INDEX('Per Invoice'!$F$2:$F$151,$L117)))</f>
        <v/>
      </c>
      <c r="G117" s="5">
        <f>IF($L117="","",IF(INDEX('Per Invoice'!$G$2:$G$151,$L117)="","",INDEX('Per Invoice'!$G$2:$G$151,$L117)))</f>
        <v/>
      </c>
      <c r="H117" s="5">
        <f>IF($L117="","",IF(INDEX('Per Invoice'!$H$2:$H$151,$L117)="","",INDEX('Per Invoice'!$H$2:$H$151,$L117)))</f>
        <v/>
      </c>
      <c r="I117" s="5">
        <f>IF($L117="","",IF(INDEX('Per Invoice'!$I$2:$I$151,$L117)="","",INDEX('Per Invoice'!$I$2:$I$151,$L117)))</f>
        <v/>
      </c>
      <c r="J117" s="5">
        <f>IF($L117="","",IF(INDEX('Per Invoice'!$J$2:$J$151,$L117)="","",INDEX('Per Invoice'!$J$2:$J$151,$L117)))</f>
        <v/>
      </c>
      <c r="K117">
        <f>IF($L117="","",IF(INDEX('Per Invoice'!$K$2:$K$151,$L117)="","",INDEX('Per Invoice'!$K$2:$K$151,$L117)))</f>
        <v/>
      </c>
      <c r="L117">
        <f>IF(ROWS($L$2:$L117)&lt;=COUNT('Per Invoice'!$N$2:$N$151),MATCH(ROWS($L$2:$L117),'Per Invoice'!$N$2:$N$151,0),"")</f>
        <v/>
      </c>
    </row>
    <row r="118">
      <c r="A118">
        <f>IF($L118="","",IF(INDEX('Per Invoice'!$A$2:$A$151,$L118)="","",INDEX('Per Invoice'!$A$2:$A$151,$L118)))</f>
        <v/>
      </c>
      <c r="B118">
        <f>IF($L118="","",IF(INDEX('Per Invoice'!$B$2:$B$151,$L118)="","",INDEX('Per Invoice'!$B$2:$B$151,$L118)))</f>
        <v/>
      </c>
      <c r="C118">
        <f>IF($L118="","",IF(INDEX('Per Invoice'!$C$2:$C$151,$L118)="","",INDEX('Per Invoice'!$C$2:$C$151,$L118)))</f>
        <v/>
      </c>
      <c r="D118">
        <f>IF($L118="","",IF(INDEX('Per Invoice'!$D$2:$D$151,$L118)="","",INDEX('Per Invoice'!$D$2:$D$151,$L118)))</f>
        <v/>
      </c>
      <c r="E118">
        <f>IF($L118="","",IF(INDEX('Per Invoice'!$E$2:$E$151,$L118)="","",INDEX('Per Invoice'!$E$2:$E$151,$L118)))</f>
        <v/>
      </c>
      <c r="F118" s="5">
        <f>IF($L118="","",IF(INDEX('Per Invoice'!$F$2:$F$151,$L118)="","",INDEX('Per Invoice'!$F$2:$F$151,$L118)))</f>
        <v/>
      </c>
      <c r="G118" s="5">
        <f>IF($L118="","",IF(INDEX('Per Invoice'!$G$2:$G$151,$L118)="","",INDEX('Per Invoice'!$G$2:$G$151,$L118)))</f>
        <v/>
      </c>
      <c r="H118" s="5">
        <f>IF($L118="","",IF(INDEX('Per Invoice'!$H$2:$H$151,$L118)="","",INDEX('Per Invoice'!$H$2:$H$151,$L118)))</f>
        <v/>
      </c>
      <c r="I118" s="5">
        <f>IF($L118="","",IF(INDEX('Per Invoice'!$I$2:$I$151,$L118)="","",INDEX('Per Invoice'!$I$2:$I$151,$L118)))</f>
        <v/>
      </c>
      <c r="J118" s="5">
        <f>IF($L118="","",IF(INDEX('Per Invoice'!$J$2:$J$151,$L118)="","",INDEX('Per Invoice'!$J$2:$J$151,$L118)))</f>
        <v/>
      </c>
      <c r="K118">
        <f>IF($L118="","",IF(INDEX('Per Invoice'!$K$2:$K$151,$L118)="","",INDEX('Per Invoice'!$K$2:$K$151,$L118)))</f>
        <v/>
      </c>
      <c r="L118">
        <f>IF(ROWS($L$2:$L118)&lt;=COUNT('Per Invoice'!$N$2:$N$151),MATCH(ROWS($L$2:$L118),'Per Invoice'!$N$2:$N$151,0),"")</f>
        <v/>
      </c>
    </row>
    <row r="119">
      <c r="A119">
        <f>IF($L119="","",IF(INDEX('Per Invoice'!$A$2:$A$151,$L119)="","",INDEX('Per Invoice'!$A$2:$A$151,$L119)))</f>
        <v/>
      </c>
      <c r="B119">
        <f>IF($L119="","",IF(INDEX('Per Invoice'!$B$2:$B$151,$L119)="","",INDEX('Per Invoice'!$B$2:$B$151,$L119)))</f>
        <v/>
      </c>
      <c r="C119">
        <f>IF($L119="","",IF(INDEX('Per Invoice'!$C$2:$C$151,$L119)="","",INDEX('Per Invoice'!$C$2:$C$151,$L119)))</f>
        <v/>
      </c>
      <c r="D119">
        <f>IF($L119="","",IF(INDEX('Per Invoice'!$D$2:$D$151,$L119)="","",INDEX('Per Invoice'!$D$2:$D$151,$L119)))</f>
        <v/>
      </c>
      <c r="E119">
        <f>IF($L119="","",IF(INDEX('Per Invoice'!$E$2:$E$151,$L119)="","",INDEX('Per Invoice'!$E$2:$E$151,$L119)))</f>
        <v/>
      </c>
      <c r="F119" s="5">
        <f>IF($L119="","",IF(INDEX('Per Invoice'!$F$2:$F$151,$L119)="","",INDEX('Per Invoice'!$F$2:$F$151,$L119)))</f>
        <v/>
      </c>
      <c r="G119" s="5">
        <f>IF($L119="","",IF(INDEX('Per Invoice'!$G$2:$G$151,$L119)="","",INDEX('Per Invoice'!$G$2:$G$151,$L119)))</f>
        <v/>
      </c>
      <c r="H119" s="5">
        <f>IF($L119="","",IF(INDEX('Per Invoice'!$H$2:$H$151,$L119)="","",INDEX('Per Invoice'!$H$2:$H$151,$L119)))</f>
        <v/>
      </c>
      <c r="I119" s="5">
        <f>IF($L119="","",IF(INDEX('Per Invoice'!$I$2:$I$151,$L119)="","",INDEX('Per Invoice'!$I$2:$I$151,$L119)))</f>
        <v/>
      </c>
      <c r="J119" s="5">
        <f>IF($L119="","",IF(INDEX('Per Invoice'!$J$2:$J$151,$L119)="","",INDEX('Per Invoice'!$J$2:$J$151,$L119)))</f>
        <v/>
      </c>
      <c r="K119">
        <f>IF($L119="","",IF(INDEX('Per Invoice'!$K$2:$K$151,$L119)="","",INDEX('Per Invoice'!$K$2:$K$151,$L119)))</f>
        <v/>
      </c>
      <c r="L119">
        <f>IF(ROWS($L$2:$L119)&lt;=COUNT('Per Invoice'!$N$2:$N$151),MATCH(ROWS($L$2:$L119),'Per Invoice'!$N$2:$N$151,0),"")</f>
        <v/>
      </c>
    </row>
    <row r="120">
      <c r="A120">
        <f>IF($L120="","",IF(INDEX('Per Invoice'!$A$2:$A$151,$L120)="","",INDEX('Per Invoice'!$A$2:$A$151,$L120)))</f>
        <v/>
      </c>
      <c r="B120">
        <f>IF($L120="","",IF(INDEX('Per Invoice'!$B$2:$B$151,$L120)="","",INDEX('Per Invoice'!$B$2:$B$151,$L120)))</f>
        <v/>
      </c>
      <c r="C120">
        <f>IF($L120="","",IF(INDEX('Per Invoice'!$C$2:$C$151,$L120)="","",INDEX('Per Invoice'!$C$2:$C$151,$L120)))</f>
        <v/>
      </c>
      <c r="D120">
        <f>IF($L120="","",IF(INDEX('Per Invoice'!$D$2:$D$151,$L120)="","",INDEX('Per Invoice'!$D$2:$D$151,$L120)))</f>
        <v/>
      </c>
      <c r="E120">
        <f>IF($L120="","",IF(INDEX('Per Invoice'!$E$2:$E$151,$L120)="","",INDEX('Per Invoice'!$E$2:$E$151,$L120)))</f>
        <v/>
      </c>
      <c r="F120" s="5">
        <f>IF($L120="","",IF(INDEX('Per Invoice'!$F$2:$F$151,$L120)="","",INDEX('Per Invoice'!$F$2:$F$151,$L120)))</f>
        <v/>
      </c>
      <c r="G120" s="5">
        <f>IF($L120="","",IF(INDEX('Per Invoice'!$G$2:$G$151,$L120)="","",INDEX('Per Invoice'!$G$2:$G$151,$L120)))</f>
        <v/>
      </c>
      <c r="H120" s="5">
        <f>IF($L120="","",IF(INDEX('Per Invoice'!$H$2:$H$151,$L120)="","",INDEX('Per Invoice'!$H$2:$H$151,$L120)))</f>
        <v/>
      </c>
      <c r="I120" s="5">
        <f>IF($L120="","",IF(INDEX('Per Invoice'!$I$2:$I$151,$L120)="","",INDEX('Per Invoice'!$I$2:$I$151,$L120)))</f>
        <v/>
      </c>
      <c r="J120" s="5">
        <f>IF($L120="","",IF(INDEX('Per Invoice'!$J$2:$J$151,$L120)="","",INDEX('Per Invoice'!$J$2:$J$151,$L120)))</f>
        <v/>
      </c>
      <c r="K120">
        <f>IF($L120="","",IF(INDEX('Per Invoice'!$K$2:$K$151,$L120)="","",INDEX('Per Invoice'!$K$2:$K$151,$L120)))</f>
        <v/>
      </c>
      <c r="L120">
        <f>IF(ROWS($L$2:$L120)&lt;=COUNT('Per Invoice'!$N$2:$N$151),MATCH(ROWS($L$2:$L120),'Per Invoice'!$N$2:$N$151,0),"")</f>
        <v/>
      </c>
    </row>
    <row r="121">
      <c r="A121">
        <f>IF($L121="","",IF(INDEX('Per Invoice'!$A$2:$A$151,$L121)="","",INDEX('Per Invoice'!$A$2:$A$151,$L121)))</f>
        <v/>
      </c>
      <c r="B121">
        <f>IF($L121="","",IF(INDEX('Per Invoice'!$B$2:$B$151,$L121)="","",INDEX('Per Invoice'!$B$2:$B$151,$L121)))</f>
        <v/>
      </c>
      <c r="C121">
        <f>IF($L121="","",IF(INDEX('Per Invoice'!$C$2:$C$151,$L121)="","",INDEX('Per Invoice'!$C$2:$C$151,$L121)))</f>
        <v/>
      </c>
      <c r="D121">
        <f>IF($L121="","",IF(INDEX('Per Invoice'!$D$2:$D$151,$L121)="","",INDEX('Per Invoice'!$D$2:$D$151,$L121)))</f>
        <v/>
      </c>
      <c r="E121">
        <f>IF($L121="","",IF(INDEX('Per Invoice'!$E$2:$E$151,$L121)="","",INDEX('Per Invoice'!$E$2:$E$151,$L121)))</f>
        <v/>
      </c>
      <c r="F121" s="5">
        <f>IF($L121="","",IF(INDEX('Per Invoice'!$F$2:$F$151,$L121)="","",INDEX('Per Invoice'!$F$2:$F$151,$L121)))</f>
        <v/>
      </c>
      <c r="G121" s="5">
        <f>IF($L121="","",IF(INDEX('Per Invoice'!$G$2:$G$151,$L121)="","",INDEX('Per Invoice'!$G$2:$G$151,$L121)))</f>
        <v/>
      </c>
      <c r="H121" s="5">
        <f>IF($L121="","",IF(INDEX('Per Invoice'!$H$2:$H$151,$L121)="","",INDEX('Per Invoice'!$H$2:$H$151,$L121)))</f>
        <v/>
      </c>
      <c r="I121" s="5">
        <f>IF($L121="","",IF(INDEX('Per Invoice'!$I$2:$I$151,$L121)="","",INDEX('Per Invoice'!$I$2:$I$151,$L121)))</f>
        <v/>
      </c>
      <c r="J121" s="5">
        <f>IF($L121="","",IF(INDEX('Per Invoice'!$J$2:$J$151,$L121)="","",INDEX('Per Invoice'!$J$2:$J$151,$L121)))</f>
        <v/>
      </c>
      <c r="K121">
        <f>IF($L121="","",IF(INDEX('Per Invoice'!$K$2:$K$151,$L121)="","",INDEX('Per Invoice'!$K$2:$K$151,$L121)))</f>
        <v/>
      </c>
      <c r="L121">
        <f>IF(ROWS($L$2:$L121)&lt;=COUNT('Per Invoice'!$N$2:$N$151),MATCH(ROWS($L$2:$L121),'Per Invoice'!$N$2:$N$151,0),"")</f>
        <v/>
      </c>
    </row>
    <row r="122">
      <c r="A122">
        <f>IF($L122="","",IF(INDEX('Per Invoice'!$A$2:$A$151,$L122)="","",INDEX('Per Invoice'!$A$2:$A$151,$L122)))</f>
        <v/>
      </c>
      <c r="B122">
        <f>IF($L122="","",IF(INDEX('Per Invoice'!$B$2:$B$151,$L122)="","",INDEX('Per Invoice'!$B$2:$B$151,$L122)))</f>
        <v/>
      </c>
      <c r="C122">
        <f>IF($L122="","",IF(INDEX('Per Invoice'!$C$2:$C$151,$L122)="","",INDEX('Per Invoice'!$C$2:$C$151,$L122)))</f>
        <v/>
      </c>
      <c r="D122">
        <f>IF($L122="","",IF(INDEX('Per Invoice'!$D$2:$D$151,$L122)="","",INDEX('Per Invoice'!$D$2:$D$151,$L122)))</f>
        <v/>
      </c>
      <c r="E122">
        <f>IF($L122="","",IF(INDEX('Per Invoice'!$E$2:$E$151,$L122)="","",INDEX('Per Invoice'!$E$2:$E$151,$L122)))</f>
        <v/>
      </c>
      <c r="F122" s="5">
        <f>IF($L122="","",IF(INDEX('Per Invoice'!$F$2:$F$151,$L122)="","",INDEX('Per Invoice'!$F$2:$F$151,$L122)))</f>
        <v/>
      </c>
      <c r="G122" s="5">
        <f>IF($L122="","",IF(INDEX('Per Invoice'!$G$2:$G$151,$L122)="","",INDEX('Per Invoice'!$G$2:$G$151,$L122)))</f>
        <v/>
      </c>
      <c r="H122" s="5">
        <f>IF($L122="","",IF(INDEX('Per Invoice'!$H$2:$H$151,$L122)="","",INDEX('Per Invoice'!$H$2:$H$151,$L122)))</f>
        <v/>
      </c>
      <c r="I122" s="5">
        <f>IF($L122="","",IF(INDEX('Per Invoice'!$I$2:$I$151,$L122)="","",INDEX('Per Invoice'!$I$2:$I$151,$L122)))</f>
        <v/>
      </c>
      <c r="J122" s="5">
        <f>IF($L122="","",IF(INDEX('Per Invoice'!$J$2:$J$151,$L122)="","",INDEX('Per Invoice'!$J$2:$J$151,$L122)))</f>
        <v/>
      </c>
      <c r="K122">
        <f>IF($L122="","",IF(INDEX('Per Invoice'!$K$2:$K$151,$L122)="","",INDEX('Per Invoice'!$K$2:$K$151,$L122)))</f>
        <v/>
      </c>
      <c r="L122">
        <f>IF(ROWS($L$2:$L122)&lt;=COUNT('Per Invoice'!$N$2:$N$151),MATCH(ROWS($L$2:$L122),'Per Invoice'!$N$2:$N$151,0),"")</f>
        <v/>
      </c>
    </row>
    <row r="123">
      <c r="A123">
        <f>IF($L123="","",IF(INDEX('Per Invoice'!$A$2:$A$151,$L123)="","",INDEX('Per Invoice'!$A$2:$A$151,$L123)))</f>
        <v/>
      </c>
      <c r="B123">
        <f>IF($L123="","",IF(INDEX('Per Invoice'!$B$2:$B$151,$L123)="","",INDEX('Per Invoice'!$B$2:$B$151,$L123)))</f>
        <v/>
      </c>
      <c r="C123">
        <f>IF($L123="","",IF(INDEX('Per Invoice'!$C$2:$C$151,$L123)="","",INDEX('Per Invoice'!$C$2:$C$151,$L123)))</f>
        <v/>
      </c>
      <c r="D123">
        <f>IF($L123="","",IF(INDEX('Per Invoice'!$D$2:$D$151,$L123)="","",INDEX('Per Invoice'!$D$2:$D$151,$L123)))</f>
        <v/>
      </c>
      <c r="E123">
        <f>IF($L123="","",IF(INDEX('Per Invoice'!$E$2:$E$151,$L123)="","",INDEX('Per Invoice'!$E$2:$E$151,$L123)))</f>
        <v/>
      </c>
      <c r="F123" s="5">
        <f>IF($L123="","",IF(INDEX('Per Invoice'!$F$2:$F$151,$L123)="","",INDEX('Per Invoice'!$F$2:$F$151,$L123)))</f>
        <v/>
      </c>
      <c r="G123" s="5">
        <f>IF($L123="","",IF(INDEX('Per Invoice'!$G$2:$G$151,$L123)="","",INDEX('Per Invoice'!$G$2:$G$151,$L123)))</f>
        <v/>
      </c>
      <c r="H123" s="5">
        <f>IF($L123="","",IF(INDEX('Per Invoice'!$H$2:$H$151,$L123)="","",INDEX('Per Invoice'!$H$2:$H$151,$L123)))</f>
        <v/>
      </c>
      <c r="I123" s="5">
        <f>IF($L123="","",IF(INDEX('Per Invoice'!$I$2:$I$151,$L123)="","",INDEX('Per Invoice'!$I$2:$I$151,$L123)))</f>
        <v/>
      </c>
      <c r="J123" s="5">
        <f>IF($L123="","",IF(INDEX('Per Invoice'!$J$2:$J$151,$L123)="","",INDEX('Per Invoice'!$J$2:$J$151,$L123)))</f>
        <v/>
      </c>
      <c r="K123">
        <f>IF($L123="","",IF(INDEX('Per Invoice'!$K$2:$K$151,$L123)="","",INDEX('Per Invoice'!$K$2:$K$151,$L123)))</f>
        <v/>
      </c>
      <c r="L123">
        <f>IF(ROWS($L$2:$L123)&lt;=COUNT('Per Invoice'!$N$2:$N$151),MATCH(ROWS($L$2:$L123),'Per Invoice'!$N$2:$N$151,0),"")</f>
        <v/>
      </c>
    </row>
    <row r="124">
      <c r="A124">
        <f>IF($L124="","",IF(INDEX('Per Invoice'!$A$2:$A$151,$L124)="","",INDEX('Per Invoice'!$A$2:$A$151,$L124)))</f>
        <v/>
      </c>
      <c r="B124">
        <f>IF($L124="","",IF(INDEX('Per Invoice'!$B$2:$B$151,$L124)="","",INDEX('Per Invoice'!$B$2:$B$151,$L124)))</f>
        <v/>
      </c>
      <c r="C124">
        <f>IF($L124="","",IF(INDEX('Per Invoice'!$C$2:$C$151,$L124)="","",INDEX('Per Invoice'!$C$2:$C$151,$L124)))</f>
        <v/>
      </c>
      <c r="D124">
        <f>IF($L124="","",IF(INDEX('Per Invoice'!$D$2:$D$151,$L124)="","",INDEX('Per Invoice'!$D$2:$D$151,$L124)))</f>
        <v/>
      </c>
      <c r="E124">
        <f>IF($L124="","",IF(INDEX('Per Invoice'!$E$2:$E$151,$L124)="","",INDEX('Per Invoice'!$E$2:$E$151,$L124)))</f>
        <v/>
      </c>
      <c r="F124" s="5">
        <f>IF($L124="","",IF(INDEX('Per Invoice'!$F$2:$F$151,$L124)="","",INDEX('Per Invoice'!$F$2:$F$151,$L124)))</f>
        <v/>
      </c>
      <c r="G124" s="5">
        <f>IF($L124="","",IF(INDEX('Per Invoice'!$G$2:$G$151,$L124)="","",INDEX('Per Invoice'!$G$2:$G$151,$L124)))</f>
        <v/>
      </c>
      <c r="H124" s="5">
        <f>IF($L124="","",IF(INDEX('Per Invoice'!$H$2:$H$151,$L124)="","",INDEX('Per Invoice'!$H$2:$H$151,$L124)))</f>
        <v/>
      </c>
      <c r="I124" s="5">
        <f>IF($L124="","",IF(INDEX('Per Invoice'!$I$2:$I$151,$L124)="","",INDEX('Per Invoice'!$I$2:$I$151,$L124)))</f>
        <v/>
      </c>
      <c r="J124" s="5">
        <f>IF($L124="","",IF(INDEX('Per Invoice'!$J$2:$J$151,$L124)="","",INDEX('Per Invoice'!$J$2:$J$151,$L124)))</f>
        <v/>
      </c>
      <c r="K124">
        <f>IF($L124="","",IF(INDEX('Per Invoice'!$K$2:$K$151,$L124)="","",INDEX('Per Invoice'!$K$2:$K$151,$L124)))</f>
        <v/>
      </c>
      <c r="L124">
        <f>IF(ROWS($L$2:$L124)&lt;=COUNT('Per Invoice'!$N$2:$N$151),MATCH(ROWS($L$2:$L124),'Per Invoice'!$N$2:$N$151,0),"")</f>
        <v/>
      </c>
    </row>
    <row r="125">
      <c r="A125">
        <f>IF($L125="","",IF(INDEX('Per Invoice'!$A$2:$A$151,$L125)="","",INDEX('Per Invoice'!$A$2:$A$151,$L125)))</f>
        <v/>
      </c>
      <c r="B125">
        <f>IF($L125="","",IF(INDEX('Per Invoice'!$B$2:$B$151,$L125)="","",INDEX('Per Invoice'!$B$2:$B$151,$L125)))</f>
        <v/>
      </c>
      <c r="C125">
        <f>IF($L125="","",IF(INDEX('Per Invoice'!$C$2:$C$151,$L125)="","",INDEX('Per Invoice'!$C$2:$C$151,$L125)))</f>
        <v/>
      </c>
      <c r="D125">
        <f>IF($L125="","",IF(INDEX('Per Invoice'!$D$2:$D$151,$L125)="","",INDEX('Per Invoice'!$D$2:$D$151,$L125)))</f>
        <v/>
      </c>
      <c r="E125">
        <f>IF($L125="","",IF(INDEX('Per Invoice'!$E$2:$E$151,$L125)="","",INDEX('Per Invoice'!$E$2:$E$151,$L125)))</f>
        <v/>
      </c>
      <c r="F125" s="5">
        <f>IF($L125="","",IF(INDEX('Per Invoice'!$F$2:$F$151,$L125)="","",INDEX('Per Invoice'!$F$2:$F$151,$L125)))</f>
        <v/>
      </c>
      <c r="G125" s="5">
        <f>IF($L125="","",IF(INDEX('Per Invoice'!$G$2:$G$151,$L125)="","",INDEX('Per Invoice'!$G$2:$G$151,$L125)))</f>
        <v/>
      </c>
      <c r="H125" s="5">
        <f>IF($L125="","",IF(INDEX('Per Invoice'!$H$2:$H$151,$L125)="","",INDEX('Per Invoice'!$H$2:$H$151,$L125)))</f>
        <v/>
      </c>
      <c r="I125" s="5">
        <f>IF($L125="","",IF(INDEX('Per Invoice'!$I$2:$I$151,$L125)="","",INDEX('Per Invoice'!$I$2:$I$151,$L125)))</f>
        <v/>
      </c>
      <c r="J125" s="5">
        <f>IF($L125="","",IF(INDEX('Per Invoice'!$J$2:$J$151,$L125)="","",INDEX('Per Invoice'!$J$2:$J$151,$L125)))</f>
        <v/>
      </c>
      <c r="K125">
        <f>IF($L125="","",IF(INDEX('Per Invoice'!$K$2:$K$151,$L125)="","",INDEX('Per Invoice'!$K$2:$K$151,$L125)))</f>
        <v/>
      </c>
      <c r="L125">
        <f>IF(ROWS($L$2:$L125)&lt;=COUNT('Per Invoice'!$N$2:$N$151),MATCH(ROWS($L$2:$L125),'Per Invoice'!$N$2:$N$151,0),"")</f>
        <v/>
      </c>
    </row>
    <row r="126">
      <c r="A126">
        <f>IF($L126="","",IF(INDEX('Per Invoice'!$A$2:$A$151,$L126)="","",INDEX('Per Invoice'!$A$2:$A$151,$L126)))</f>
        <v/>
      </c>
      <c r="B126">
        <f>IF($L126="","",IF(INDEX('Per Invoice'!$B$2:$B$151,$L126)="","",INDEX('Per Invoice'!$B$2:$B$151,$L126)))</f>
        <v/>
      </c>
      <c r="C126">
        <f>IF($L126="","",IF(INDEX('Per Invoice'!$C$2:$C$151,$L126)="","",INDEX('Per Invoice'!$C$2:$C$151,$L126)))</f>
        <v/>
      </c>
      <c r="D126">
        <f>IF($L126="","",IF(INDEX('Per Invoice'!$D$2:$D$151,$L126)="","",INDEX('Per Invoice'!$D$2:$D$151,$L126)))</f>
        <v/>
      </c>
      <c r="E126">
        <f>IF($L126="","",IF(INDEX('Per Invoice'!$E$2:$E$151,$L126)="","",INDEX('Per Invoice'!$E$2:$E$151,$L126)))</f>
        <v/>
      </c>
      <c r="F126" s="5">
        <f>IF($L126="","",IF(INDEX('Per Invoice'!$F$2:$F$151,$L126)="","",INDEX('Per Invoice'!$F$2:$F$151,$L126)))</f>
        <v/>
      </c>
      <c r="G126" s="5">
        <f>IF($L126="","",IF(INDEX('Per Invoice'!$G$2:$G$151,$L126)="","",INDEX('Per Invoice'!$G$2:$G$151,$L126)))</f>
        <v/>
      </c>
      <c r="H126" s="5">
        <f>IF($L126="","",IF(INDEX('Per Invoice'!$H$2:$H$151,$L126)="","",INDEX('Per Invoice'!$H$2:$H$151,$L126)))</f>
        <v/>
      </c>
      <c r="I126" s="5">
        <f>IF($L126="","",IF(INDEX('Per Invoice'!$I$2:$I$151,$L126)="","",INDEX('Per Invoice'!$I$2:$I$151,$L126)))</f>
        <v/>
      </c>
      <c r="J126" s="5">
        <f>IF($L126="","",IF(INDEX('Per Invoice'!$J$2:$J$151,$L126)="","",INDEX('Per Invoice'!$J$2:$J$151,$L126)))</f>
        <v/>
      </c>
      <c r="K126">
        <f>IF($L126="","",IF(INDEX('Per Invoice'!$K$2:$K$151,$L126)="","",INDEX('Per Invoice'!$K$2:$K$151,$L126)))</f>
        <v/>
      </c>
      <c r="L126">
        <f>IF(ROWS($L$2:$L126)&lt;=COUNT('Per Invoice'!$N$2:$N$151),MATCH(ROWS($L$2:$L126),'Per Invoice'!$N$2:$N$151,0),"")</f>
        <v/>
      </c>
    </row>
    <row r="127">
      <c r="A127">
        <f>IF($L127="","",IF(INDEX('Per Invoice'!$A$2:$A$151,$L127)="","",INDEX('Per Invoice'!$A$2:$A$151,$L127)))</f>
        <v/>
      </c>
      <c r="B127">
        <f>IF($L127="","",IF(INDEX('Per Invoice'!$B$2:$B$151,$L127)="","",INDEX('Per Invoice'!$B$2:$B$151,$L127)))</f>
        <v/>
      </c>
      <c r="C127">
        <f>IF($L127="","",IF(INDEX('Per Invoice'!$C$2:$C$151,$L127)="","",INDEX('Per Invoice'!$C$2:$C$151,$L127)))</f>
        <v/>
      </c>
      <c r="D127">
        <f>IF($L127="","",IF(INDEX('Per Invoice'!$D$2:$D$151,$L127)="","",INDEX('Per Invoice'!$D$2:$D$151,$L127)))</f>
        <v/>
      </c>
      <c r="E127">
        <f>IF($L127="","",IF(INDEX('Per Invoice'!$E$2:$E$151,$L127)="","",INDEX('Per Invoice'!$E$2:$E$151,$L127)))</f>
        <v/>
      </c>
      <c r="F127" s="5">
        <f>IF($L127="","",IF(INDEX('Per Invoice'!$F$2:$F$151,$L127)="","",INDEX('Per Invoice'!$F$2:$F$151,$L127)))</f>
        <v/>
      </c>
      <c r="G127" s="5">
        <f>IF($L127="","",IF(INDEX('Per Invoice'!$G$2:$G$151,$L127)="","",INDEX('Per Invoice'!$G$2:$G$151,$L127)))</f>
        <v/>
      </c>
      <c r="H127" s="5">
        <f>IF($L127="","",IF(INDEX('Per Invoice'!$H$2:$H$151,$L127)="","",INDEX('Per Invoice'!$H$2:$H$151,$L127)))</f>
        <v/>
      </c>
      <c r="I127" s="5">
        <f>IF($L127="","",IF(INDEX('Per Invoice'!$I$2:$I$151,$L127)="","",INDEX('Per Invoice'!$I$2:$I$151,$L127)))</f>
        <v/>
      </c>
      <c r="J127" s="5">
        <f>IF($L127="","",IF(INDEX('Per Invoice'!$J$2:$J$151,$L127)="","",INDEX('Per Invoice'!$J$2:$J$151,$L127)))</f>
        <v/>
      </c>
      <c r="K127">
        <f>IF($L127="","",IF(INDEX('Per Invoice'!$K$2:$K$151,$L127)="","",INDEX('Per Invoice'!$K$2:$K$151,$L127)))</f>
        <v/>
      </c>
      <c r="L127">
        <f>IF(ROWS($L$2:$L127)&lt;=COUNT('Per Invoice'!$N$2:$N$151),MATCH(ROWS($L$2:$L127),'Per Invoice'!$N$2:$N$151,0),"")</f>
        <v/>
      </c>
    </row>
    <row r="128">
      <c r="A128">
        <f>IF($L128="","",IF(INDEX('Per Invoice'!$A$2:$A$151,$L128)="","",INDEX('Per Invoice'!$A$2:$A$151,$L128)))</f>
        <v/>
      </c>
      <c r="B128">
        <f>IF($L128="","",IF(INDEX('Per Invoice'!$B$2:$B$151,$L128)="","",INDEX('Per Invoice'!$B$2:$B$151,$L128)))</f>
        <v/>
      </c>
      <c r="C128">
        <f>IF($L128="","",IF(INDEX('Per Invoice'!$C$2:$C$151,$L128)="","",INDEX('Per Invoice'!$C$2:$C$151,$L128)))</f>
        <v/>
      </c>
      <c r="D128">
        <f>IF($L128="","",IF(INDEX('Per Invoice'!$D$2:$D$151,$L128)="","",INDEX('Per Invoice'!$D$2:$D$151,$L128)))</f>
        <v/>
      </c>
      <c r="E128">
        <f>IF($L128="","",IF(INDEX('Per Invoice'!$E$2:$E$151,$L128)="","",INDEX('Per Invoice'!$E$2:$E$151,$L128)))</f>
        <v/>
      </c>
      <c r="F128" s="5">
        <f>IF($L128="","",IF(INDEX('Per Invoice'!$F$2:$F$151,$L128)="","",INDEX('Per Invoice'!$F$2:$F$151,$L128)))</f>
        <v/>
      </c>
      <c r="G128" s="5">
        <f>IF($L128="","",IF(INDEX('Per Invoice'!$G$2:$G$151,$L128)="","",INDEX('Per Invoice'!$G$2:$G$151,$L128)))</f>
        <v/>
      </c>
      <c r="H128" s="5">
        <f>IF($L128="","",IF(INDEX('Per Invoice'!$H$2:$H$151,$L128)="","",INDEX('Per Invoice'!$H$2:$H$151,$L128)))</f>
        <v/>
      </c>
      <c r="I128" s="5">
        <f>IF($L128="","",IF(INDEX('Per Invoice'!$I$2:$I$151,$L128)="","",INDEX('Per Invoice'!$I$2:$I$151,$L128)))</f>
        <v/>
      </c>
      <c r="J128" s="5">
        <f>IF($L128="","",IF(INDEX('Per Invoice'!$J$2:$J$151,$L128)="","",INDEX('Per Invoice'!$J$2:$J$151,$L128)))</f>
        <v/>
      </c>
      <c r="K128">
        <f>IF($L128="","",IF(INDEX('Per Invoice'!$K$2:$K$151,$L128)="","",INDEX('Per Invoice'!$K$2:$K$151,$L128)))</f>
        <v/>
      </c>
      <c r="L128">
        <f>IF(ROWS($L$2:$L128)&lt;=COUNT('Per Invoice'!$N$2:$N$151),MATCH(ROWS($L$2:$L128),'Per Invoice'!$N$2:$N$151,0),"")</f>
        <v/>
      </c>
    </row>
    <row r="129">
      <c r="A129">
        <f>IF($L129="","",IF(INDEX('Per Invoice'!$A$2:$A$151,$L129)="","",INDEX('Per Invoice'!$A$2:$A$151,$L129)))</f>
        <v/>
      </c>
      <c r="B129">
        <f>IF($L129="","",IF(INDEX('Per Invoice'!$B$2:$B$151,$L129)="","",INDEX('Per Invoice'!$B$2:$B$151,$L129)))</f>
        <v/>
      </c>
      <c r="C129">
        <f>IF($L129="","",IF(INDEX('Per Invoice'!$C$2:$C$151,$L129)="","",INDEX('Per Invoice'!$C$2:$C$151,$L129)))</f>
        <v/>
      </c>
      <c r="D129">
        <f>IF($L129="","",IF(INDEX('Per Invoice'!$D$2:$D$151,$L129)="","",INDEX('Per Invoice'!$D$2:$D$151,$L129)))</f>
        <v/>
      </c>
      <c r="E129">
        <f>IF($L129="","",IF(INDEX('Per Invoice'!$E$2:$E$151,$L129)="","",INDEX('Per Invoice'!$E$2:$E$151,$L129)))</f>
        <v/>
      </c>
      <c r="F129" s="5">
        <f>IF($L129="","",IF(INDEX('Per Invoice'!$F$2:$F$151,$L129)="","",INDEX('Per Invoice'!$F$2:$F$151,$L129)))</f>
        <v/>
      </c>
      <c r="G129" s="5">
        <f>IF($L129="","",IF(INDEX('Per Invoice'!$G$2:$G$151,$L129)="","",INDEX('Per Invoice'!$G$2:$G$151,$L129)))</f>
        <v/>
      </c>
      <c r="H129" s="5">
        <f>IF($L129="","",IF(INDEX('Per Invoice'!$H$2:$H$151,$L129)="","",INDEX('Per Invoice'!$H$2:$H$151,$L129)))</f>
        <v/>
      </c>
      <c r="I129" s="5">
        <f>IF($L129="","",IF(INDEX('Per Invoice'!$I$2:$I$151,$L129)="","",INDEX('Per Invoice'!$I$2:$I$151,$L129)))</f>
        <v/>
      </c>
      <c r="J129" s="5">
        <f>IF($L129="","",IF(INDEX('Per Invoice'!$J$2:$J$151,$L129)="","",INDEX('Per Invoice'!$J$2:$J$151,$L129)))</f>
        <v/>
      </c>
      <c r="K129">
        <f>IF($L129="","",IF(INDEX('Per Invoice'!$K$2:$K$151,$L129)="","",INDEX('Per Invoice'!$K$2:$K$151,$L129)))</f>
        <v/>
      </c>
      <c r="L129">
        <f>IF(ROWS($L$2:$L129)&lt;=COUNT('Per Invoice'!$N$2:$N$151),MATCH(ROWS($L$2:$L129),'Per Invoice'!$N$2:$N$151,0),"")</f>
        <v/>
      </c>
    </row>
    <row r="130">
      <c r="A130">
        <f>IF($L130="","",IF(INDEX('Per Invoice'!$A$2:$A$151,$L130)="","",INDEX('Per Invoice'!$A$2:$A$151,$L130)))</f>
        <v/>
      </c>
      <c r="B130">
        <f>IF($L130="","",IF(INDEX('Per Invoice'!$B$2:$B$151,$L130)="","",INDEX('Per Invoice'!$B$2:$B$151,$L130)))</f>
        <v/>
      </c>
      <c r="C130">
        <f>IF($L130="","",IF(INDEX('Per Invoice'!$C$2:$C$151,$L130)="","",INDEX('Per Invoice'!$C$2:$C$151,$L130)))</f>
        <v/>
      </c>
      <c r="D130">
        <f>IF($L130="","",IF(INDEX('Per Invoice'!$D$2:$D$151,$L130)="","",INDEX('Per Invoice'!$D$2:$D$151,$L130)))</f>
        <v/>
      </c>
      <c r="E130">
        <f>IF($L130="","",IF(INDEX('Per Invoice'!$E$2:$E$151,$L130)="","",INDEX('Per Invoice'!$E$2:$E$151,$L130)))</f>
        <v/>
      </c>
      <c r="F130" s="5">
        <f>IF($L130="","",IF(INDEX('Per Invoice'!$F$2:$F$151,$L130)="","",INDEX('Per Invoice'!$F$2:$F$151,$L130)))</f>
        <v/>
      </c>
      <c r="G130" s="5">
        <f>IF($L130="","",IF(INDEX('Per Invoice'!$G$2:$G$151,$L130)="","",INDEX('Per Invoice'!$G$2:$G$151,$L130)))</f>
        <v/>
      </c>
      <c r="H130" s="5">
        <f>IF($L130="","",IF(INDEX('Per Invoice'!$H$2:$H$151,$L130)="","",INDEX('Per Invoice'!$H$2:$H$151,$L130)))</f>
        <v/>
      </c>
      <c r="I130" s="5">
        <f>IF($L130="","",IF(INDEX('Per Invoice'!$I$2:$I$151,$L130)="","",INDEX('Per Invoice'!$I$2:$I$151,$L130)))</f>
        <v/>
      </c>
      <c r="J130" s="5">
        <f>IF($L130="","",IF(INDEX('Per Invoice'!$J$2:$J$151,$L130)="","",INDEX('Per Invoice'!$J$2:$J$151,$L130)))</f>
        <v/>
      </c>
      <c r="K130">
        <f>IF($L130="","",IF(INDEX('Per Invoice'!$K$2:$K$151,$L130)="","",INDEX('Per Invoice'!$K$2:$K$151,$L130)))</f>
        <v/>
      </c>
      <c r="L130">
        <f>IF(ROWS($L$2:$L130)&lt;=COUNT('Per Invoice'!$N$2:$N$151),MATCH(ROWS($L$2:$L130),'Per Invoice'!$N$2:$N$151,0),"")</f>
        <v/>
      </c>
    </row>
    <row r="131">
      <c r="A131">
        <f>IF($L131="","",IF(INDEX('Per Invoice'!$A$2:$A$151,$L131)="","",INDEX('Per Invoice'!$A$2:$A$151,$L131)))</f>
        <v/>
      </c>
      <c r="B131">
        <f>IF($L131="","",IF(INDEX('Per Invoice'!$B$2:$B$151,$L131)="","",INDEX('Per Invoice'!$B$2:$B$151,$L131)))</f>
        <v/>
      </c>
      <c r="C131">
        <f>IF($L131="","",IF(INDEX('Per Invoice'!$C$2:$C$151,$L131)="","",INDEX('Per Invoice'!$C$2:$C$151,$L131)))</f>
        <v/>
      </c>
      <c r="D131">
        <f>IF($L131="","",IF(INDEX('Per Invoice'!$D$2:$D$151,$L131)="","",INDEX('Per Invoice'!$D$2:$D$151,$L131)))</f>
        <v/>
      </c>
      <c r="E131">
        <f>IF($L131="","",IF(INDEX('Per Invoice'!$E$2:$E$151,$L131)="","",INDEX('Per Invoice'!$E$2:$E$151,$L131)))</f>
        <v/>
      </c>
      <c r="F131" s="5">
        <f>IF($L131="","",IF(INDEX('Per Invoice'!$F$2:$F$151,$L131)="","",INDEX('Per Invoice'!$F$2:$F$151,$L131)))</f>
        <v/>
      </c>
      <c r="G131" s="5">
        <f>IF($L131="","",IF(INDEX('Per Invoice'!$G$2:$G$151,$L131)="","",INDEX('Per Invoice'!$G$2:$G$151,$L131)))</f>
        <v/>
      </c>
      <c r="H131" s="5">
        <f>IF($L131="","",IF(INDEX('Per Invoice'!$H$2:$H$151,$L131)="","",INDEX('Per Invoice'!$H$2:$H$151,$L131)))</f>
        <v/>
      </c>
      <c r="I131" s="5">
        <f>IF($L131="","",IF(INDEX('Per Invoice'!$I$2:$I$151,$L131)="","",INDEX('Per Invoice'!$I$2:$I$151,$L131)))</f>
        <v/>
      </c>
      <c r="J131" s="5">
        <f>IF($L131="","",IF(INDEX('Per Invoice'!$J$2:$J$151,$L131)="","",INDEX('Per Invoice'!$J$2:$J$151,$L131)))</f>
        <v/>
      </c>
      <c r="K131">
        <f>IF($L131="","",IF(INDEX('Per Invoice'!$K$2:$K$151,$L131)="","",INDEX('Per Invoice'!$K$2:$K$151,$L131)))</f>
        <v/>
      </c>
      <c r="L131">
        <f>IF(ROWS($L$2:$L131)&lt;=COUNT('Per Invoice'!$N$2:$N$151),MATCH(ROWS($L$2:$L131),'Per Invoice'!$N$2:$N$151,0),"")</f>
        <v/>
      </c>
    </row>
    <row r="132">
      <c r="A132">
        <f>IF($L132="","",IF(INDEX('Per Invoice'!$A$2:$A$151,$L132)="","",INDEX('Per Invoice'!$A$2:$A$151,$L132)))</f>
        <v/>
      </c>
      <c r="B132">
        <f>IF($L132="","",IF(INDEX('Per Invoice'!$B$2:$B$151,$L132)="","",INDEX('Per Invoice'!$B$2:$B$151,$L132)))</f>
        <v/>
      </c>
      <c r="C132">
        <f>IF($L132="","",IF(INDEX('Per Invoice'!$C$2:$C$151,$L132)="","",INDEX('Per Invoice'!$C$2:$C$151,$L132)))</f>
        <v/>
      </c>
      <c r="D132">
        <f>IF($L132="","",IF(INDEX('Per Invoice'!$D$2:$D$151,$L132)="","",INDEX('Per Invoice'!$D$2:$D$151,$L132)))</f>
        <v/>
      </c>
      <c r="E132">
        <f>IF($L132="","",IF(INDEX('Per Invoice'!$E$2:$E$151,$L132)="","",INDEX('Per Invoice'!$E$2:$E$151,$L132)))</f>
        <v/>
      </c>
      <c r="F132" s="5">
        <f>IF($L132="","",IF(INDEX('Per Invoice'!$F$2:$F$151,$L132)="","",INDEX('Per Invoice'!$F$2:$F$151,$L132)))</f>
        <v/>
      </c>
      <c r="G132" s="5">
        <f>IF($L132="","",IF(INDEX('Per Invoice'!$G$2:$G$151,$L132)="","",INDEX('Per Invoice'!$G$2:$G$151,$L132)))</f>
        <v/>
      </c>
      <c r="H132" s="5">
        <f>IF($L132="","",IF(INDEX('Per Invoice'!$H$2:$H$151,$L132)="","",INDEX('Per Invoice'!$H$2:$H$151,$L132)))</f>
        <v/>
      </c>
      <c r="I132" s="5">
        <f>IF($L132="","",IF(INDEX('Per Invoice'!$I$2:$I$151,$L132)="","",INDEX('Per Invoice'!$I$2:$I$151,$L132)))</f>
        <v/>
      </c>
      <c r="J132" s="5">
        <f>IF($L132="","",IF(INDEX('Per Invoice'!$J$2:$J$151,$L132)="","",INDEX('Per Invoice'!$J$2:$J$151,$L132)))</f>
        <v/>
      </c>
      <c r="K132">
        <f>IF($L132="","",IF(INDEX('Per Invoice'!$K$2:$K$151,$L132)="","",INDEX('Per Invoice'!$K$2:$K$151,$L132)))</f>
        <v/>
      </c>
      <c r="L132">
        <f>IF(ROWS($L$2:$L132)&lt;=COUNT('Per Invoice'!$N$2:$N$151),MATCH(ROWS($L$2:$L132),'Per Invoice'!$N$2:$N$151,0),"")</f>
        <v/>
      </c>
    </row>
    <row r="133">
      <c r="A133">
        <f>IF($L133="","",IF(INDEX('Per Invoice'!$A$2:$A$151,$L133)="","",INDEX('Per Invoice'!$A$2:$A$151,$L133)))</f>
        <v/>
      </c>
      <c r="B133">
        <f>IF($L133="","",IF(INDEX('Per Invoice'!$B$2:$B$151,$L133)="","",INDEX('Per Invoice'!$B$2:$B$151,$L133)))</f>
        <v/>
      </c>
      <c r="C133">
        <f>IF($L133="","",IF(INDEX('Per Invoice'!$C$2:$C$151,$L133)="","",INDEX('Per Invoice'!$C$2:$C$151,$L133)))</f>
        <v/>
      </c>
      <c r="D133">
        <f>IF($L133="","",IF(INDEX('Per Invoice'!$D$2:$D$151,$L133)="","",INDEX('Per Invoice'!$D$2:$D$151,$L133)))</f>
        <v/>
      </c>
      <c r="E133">
        <f>IF($L133="","",IF(INDEX('Per Invoice'!$E$2:$E$151,$L133)="","",INDEX('Per Invoice'!$E$2:$E$151,$L133)))</f>
        <v/>
      </c>
      <c r="F133" s="5">
        <f>IF($L133="","",IF(INDEX('Per Invoice'!$F$2:$F$151,$L133)="","",INDEX('Per Invoice'!$F$2:$F$151,$L133)))</f>
        <v/>
      </c>
      <c r="G133" s="5">
        <f>IF($L133="","",IF(INDEX('Per Invoice'!$G$2:$G$151,$L133)="","",INDEX('Per Invoice'!$G$2:$G$151,$L133)))</f>
        <v/>
      </c>
      <c r="H133" s="5">
        <f>IF($L133="","",IF(INDEX('Per Invoice'!$H$2:$H$151,$L133)="","",INDEX('Per Invoice'!$H$2:$H$151,$L133)))</f>
        <v/>
      </c>
      <c r="I133" s="5">
        <f>IF($L133="","",IF(INDEX('Per Invoice'!$I$2:$I$151,$L133)="","",INDEX('Per Invoice'!$I$2:$I$151,$L133)))</f>
        <v/>
      </c>
      <c r="J133" s="5">
        <f>IF($L133="","",IF(INDEX('Per Invoice'!$J$2:$J$151,$L133)="","",INDEX('Per Invoice'!$J$2:$J$151,$L133)))</f>
        <v/>
      </c>
      <c r="K133">
        <f>IF($L133="","",IF(INDEX('Per Invoice'!$K$2:$K$151,$L133)="","",INDEX('Per Invoice'!$K$2:$K$151,$L133)))</f>
        <v/>
      </c>
      <c r="L133">
        <f>IF(ROWS($L$2:$L133)&lt;=COUNT('Per Invoice'!$N$2:$N$151),MATCH(ROWS($L$2:$L133),'Per Invoice'!$N$2:$N$151,0),"")</f>
        <v/>
      </c>
    </row>
    <row r="134">
      <c r="A134">
        <f>IF($L134="","",IF(INDEX('Per Invoice'!$A$2:$A$151,$L134)="","",INDEX('Per Invoice'!$A$2:$A$151,$L134)))</f>
        <v/>
      </c>
      <c r="B134">
        <f>IF($L134="","",IF(INDEX('Per Invoice'!$B$2:$B$151,$L134)="","",INDEX('Per Invoice'!$B$2:$B$151,$L134)))</f>
        <v/>
      </c>
      <c r="C134">
        <f>IF($L134="","",IF(INDEX('Per Invoice'!$C$2:$C$151,$L134)="","",INDEX('Per Invoice'!$C$2:$C$151,$L134)))</f>
        <v/>
      </c>
      <c r="D134">
        <f>IF($L134="","",IF(INDEX('Per Invoice'!$D$2:$D$151,$L134)="","",INDEX('Per Invoice'!$D$2:$D$151,$L134)))</f>
        <v/>
      </c>
      <c r="E134">
        <f>IF($L134="","",IF(INDEX('Per Invoice'!$E$2:$E$151,$L134)="","",INDEX('Per Invoice'!$E$2:$E$151,$L134)))</f>
        <v/>
      </c>
      <c r="F134" s="5">
        <f>IF($L134="","",IF(INDEX('Per Invoice'!$F$2:$F$151,$L134)="","",INDEX('Per Invoice'!$F$2:$F$151,$L134)))</f>
        <v/>
      </c>
      <c r="G134" s="5">
        <f>IF($L134="","",IF(INDEX('Per Invoice'!$G$2:$G$151,$L134)="","",INDEX('Per Invoice'!$G$2:$G$151,$L134)))</f>
        <v/>
      </c>
      <c r="H134" s="5">
        <f>IF($L134="","",IF(INDEX('Per Invoice'!$H$2:$H$151,$L134)="","",INDEX('Per Invoice'!$H$2:$H$151,$L134)))</f>
        <v/>
      </c>
      <c r="I134" s="5">
        <f>IF($L134="","",IF(INDEX('Per Invoice'!$I$2:$I$151,$L134)="","",INDEX('Per Invoice'!$I$2:$I$151,$L134)))</f>
        <v/>
      </c>
      <c r="J134" s="5">
        <f>IF($L134="","",IF(INDEX('Per Invoice'!$J$2:$J$151,$L134)="","",INDEX('Per Invoice'!$J$2:$J$151,$L134)))</f>
        <v/>
      </c>
      <c r="K134">
        <f>IF($L134="","",IF(INDEX('Per Invoice'!$K$2:$K$151,$L134)="","",INDEX('Per Invoice'!$K$2:$K$151,$L134)))</f>
        <v/>
      </c>
      <c r="L134">
        <f>IF(ROWS($L$2:$L134)&lt;=COUNT('Per Invoice'!$N$2:$N$151),MATCH(ROWS($L$2:$L134),'Per Invoice'!$N$2:$N$151,0),"")</f>
        <v/>
      </c>
    </row>
    <row r="135">
      <c r="A135">
        <f>IF($L135="","",IF(INDEX('Per Invoice'!$A$2:$A$151,$L135)="","",INDEX('Per Invoice'!$A$2:$A$151,$L135)))</f>
        <v/>
      </c>
      <c r="B135">
        <f>IF($L135="","",IF(INDEX('Per Invoice'!$B$2:$B$151,$L135)="","",INDEX('Per Invoice'!$B$2:$B$151,$L135)))</f>
        <v/>
      </c>
      <c r="C135">
        <f>IF($L135="","",IF(INDEX('Per Invoice'!$C$2:$C$151,$L135)="","",INDEX('Per Invoice'!$C$2:$C$151,$L135)))</f>
        <v/>
      </c>
      <c r="D135">
        <f>IF($L135="","",IF(INDEX('Per Invoice'!$D$2:$D$151,$L135)="","",INDEX('Per Invoice'!$D$2:$D$151,$L135)))</f>
        <v/>
      </c>
      <c r="E135">
        <f>IF($L135="","",IF(INDEX('Per Invoice'!$E$2:$E$151,$L135)="","",INDEX('Per Invoice'!$E$2:$E$151,$L135)))</f>
        <v/>
      </c>
      <c r="F135" s="5">
        <f>IF($L135="","",IF(INDEX('Per Invoice'!$F$2:$F$151,$L135)="","",INDEX('Per Invoice'!$F$2:$F$151,$L135)))</f>
        <v/>
      </c>
      <c r="G135" s="5">
        <f>IF($L135="","",IF(INDEX('Per Invoice'!$G$2:$G$151,$L135)="","",INDEX('Per Invoice'!$G$2:$G$151,$L135)))</f>
        <v/>
      </c>
      <c r="H135" s="5">
        <f>IF($L135="","",IF(INDEX('Per Invoice'!$H$2:$H$151,$L135)="","",INDEX('Per Invoice'!$H$2:$H$151,$L135)))</f>
        <v/>
      </c>
      <c r="I135" s="5">
        <f>IF($L135="","",IF(INDEX('Per Invoice'!$I$2:$I$151,$L135)="","",INDEX('Per Invoice'!$I$2:$I$151,$L135)))</f>
        <v/>
      </c>
      <c r="J135" s="5">
        <f>IF($L135="","",IF(INDEX('Per Invoice'!$J$2:$J$151,$L135)="","",INDEX('Per Invoice'!$J$2:$J$151,$L135)))</f>
        <v/>
      </c>
      <c r="K135">
        <f>IF($L135="","",IF(INDEX('Per Invoice'!$K$2:$K$151,$L135)="","",INDEX('Per Invoice'!$K$2:$K$151,$L135)))</f>
        <v/>
      </c>
      <c r="L135">
        <f>IF(ROWS($L$2:$L135)&lt;=COUNT('Per Invoice'!$N$2:$N$151),MATCH(ROWS($L$2:$L135),'Per Invoice'!$N$2:$N$151,0),"")</f>
        <v/>
      </c>
    </row>
    <row r="136">
      <c r="A136">
        <f>IF($L136="","",IF(INDEX('Per Invoice'!$A$2:$A$151,$L136)="","",INDEX('Per Invoice'!$A$2:$A$151,$L136)))</f>
        <v/>
      </c>
      <c r="B136">
        <f>IF($L136="","",IF(INDEX('Per Invoice'!$B$2:$B$151,$L136)="","",INDEX('Per Invoice'!$B$2:$B$151,$L136)))</f>
        <v/>
      </c>
      <c r="C136">
        <f>IF($L136="","",IF(INDEX('Per Invoice'!$C$2:$C$151,$L136)="","",INDEX('Per Invoice'!$C$2:$C$151,$L136)))</f>
        <v/>
      </c>
      <c r="D136">
        <f>IF($L136="","",IF(INDEX('Per Invoice'!$D$2:$D$151,$L136)="","",INDEX('Per Invoice'!$D$2:$D$151,$L136)))</f>
        <v/>
      </c>
      <c r="E136">
        <f>IF($L136="","",IF(INDEX('Per Invoice'!$E$2:$E$151,$L136)="","",INDEX('Per Invoice'!$E$2:$E$151,$L136)))</f>
        <v/>
      </c>
      <c r="F136" s="5">
        <f>IF($L136="","",IF(INDEX('Per Invoice'!$F$2:$F$151,$L136)="","",INDEX('Per Invoice'!$F$2:$F$151,$L136)))</f>
        <v/>
      </c>
      <c r="G136" s="5">
        <f>IF($L136="","",IF(INDEX('Per Invoice'!$G$2:$G$151,$L136)="","",INDEX('Per Invoice'!$G$2:$G$151,$L136)))</f>
        <v/>
      </c>
      <c r="H136" s="5">
        <f>IF($L136="","",IF(INDEX('Per Invoice'!$H$2:$H$151,$L136)="","",INDEX('Per Invoice'!$H$2:$H$151,$L136)))</f>
        <v/>
      </c>
      <c r="I136" s="5">
        <f>IF($L136="","",IF(INDEX('Per Invoice'!$I$2:$I$151,$L136)="","",INDEX('Per Invoice'!$I$2:$I$151,$L136)))</f>
        <v/>
      </c>
      <c r="J136" s="5">
        <f>IF($L136="","",IF(INDEX('Per Invoice'!$J$2:$J$151,$L136)="","",INDEX('Per Invoice'!$J$2:$J$151,$L136)))</f>
        <v/>
      </c>
      <c r="K136">
        <f>IF($L136="","",IF(INDEX('Per Invoice'!$K$2:$K$151,$L136)="","",INDEX('Per Invoice'!$K$2:$K$151,$L136)))</f>
        <v/>
      </c>
      <c r="L136">
        <f>IF(ROWS($L$2:$L136)&lt;=COUNT('Per Invoice'!$N$2:$N$151),MATCH(ROWS($L$2:$L136),'Per Invoice'!$N$2:$N$151,0),"")</f>
        <v/>
      </c>
    </row>
    <row r="137">
      <c r="A137">
        <f>IF($L137="","",IF(INDEX('Per Invoice'!$A$2:$A$151,$L137)="","",INDEX('Per Invoice'!$A$2:$A$151,$L137)))</f>
        <v/>
      </c>
      <c r="B137">
        <f>IF($L137="","",IF(INDEX('Per Invoice'!$B$2:$B$151,$L137)="","",INDEX('Per Invoice'!$B$2:$B$151,$L137)))</f>
        <v/>
      </c>
      <c r="C137">
        <f>IF($L137="","",IF(INDEX('Per Invoice'!$C$2:$C$151,$L137)="","",INDEX('Per Invoice'!$C$2:$C$151,$L137)))</f>
        <v/>
      </c>
      <c r="D137">
        <f>IF($L137="","",IF(INDEX('Per Invoice'!$D$2:$D$151,$L137)="","",INDEX('Per Invoice'!$D$2:$D$151,$L137)))</f>
        <v/>
      </c>
      <c r="E137">
        <f>IF($L137="","",IF(INDEX('Per Invoice'!$E$2:$E$151,$L137)="","",INDEX('Per Invoice'!$E$2:$E$151,$L137)))</f>
        <v/>
      </c>
      <c r="F137" s="5">
        <f>IF($L137="","",IF(INDEX('Per Invoice'!$F$2:$F$151,$L137)="","",INDEX('Per Invoice'!$F$2:$F$151,$L137)))</f>
        <v/>
      </c>
      <c r="G137" s="5">
        <f>IF($L137="","",IF(INDEX('Per Invoice'!$G$2:$G$151,$L137)="","",INDEX('Per Invoice'!$G$2:$G$151,$L137)))</f>
        <v/>
      </c>
      <c r="H137" s="5">
        <f>IF($L137="","",IF(INDEX('Per Invoice'!$H$2:$H$151,$L137)="","",INDEX('Per Invoice'!$H$2:$H$151,$L137)))</f>
        <v/>
      </c>
      <c r="I137" s="5">
        <f>IF($L137="","",IF(INDEX('Per Invoice'!$I$2:$I$151,$L137)="","",INDEX('Per Invoice'!$I$2:$I$151,$L137)))</f>
        <v/>
      </c>
      <c r="J137" s="5">
        <f>IF($L137="","",IF(INDEX('Per Invoice'!$J$2:$J$151,$L137)="","",INDEX('Per Invoice'!$J$2:$J$151,$L137)))</f>
        <v/>
      </c>
      <c r="K137">
        <f>IF($L137="","",IF(INDEX('Per Invoice'!$K$2:$K$151,$L137)="","",INDEX('Per Invoice'!$K$2:$K$151,$L137)))</f>
        <v/>
      </c>
      <c r="L137">
        <f>IF(ROWS($L$2:$L137)&lt;=COUNT('Per Invoice'!$N$2:$N$151),MATCH(ROWS($L$2:$L137),'Per Invoice'!$N$2:$N$151,0),"")</f>
        <v/>
      </c>
    </row>
    <row r="138">
      <c r="A138">
        <f>IF($L138="","",IF(INDEX('Per Invoice'!$A$2:$A$151,$L138)="","",INDEX('Per Invoice'!$A$2:$A$151,$L138)))</f>
        <v/>
      </c>
      <c r="B138">
        <f>IF($L138="","",IF(INDEX('Per Invoice'!$B$2:$B$151,$L138)="","",INDEX('Per Invoice'!$B$2:$B$151,$L138)))</f>
        <v/>
      </c>
      <c r="C138">
        <f>IF($L138="","",IF(INDEX('Per Invoice'!$C$2:$C$151,$L138)="","",INDEX('Per Invoice'!$C$2:$C$151,$L138)))</f>
        <v/>
      </c>
      <c r="D138">
        <f>IF($L138="","",IF(INDEX('Per Invoice'!$D$2:$D$151,$L138)="","",INDEX('Per Invoice'!$D$2:$D$151,$L138)))</f>
        <v/>
      </c>
      <c r="E138">
        <f>IF($L138="","",IF(INDEX('Per Invoice'!$E$2:$E$151,$L138)="","",INDEX('Per Invoice'!$E$2:$E$151,$L138)))</f>
        <v/>
      </c>
      <c r="F138" s="5">
        <f>IF($L138="","",IF(INDEX('Per Invoice'!$F$2:$F$151,$L138)="","",INDEX('Per Invoice'!$F$2:$F$151,$L138)))</f>
        <v/>
      </c>
      <c r="G138" s="5">
        <f>IF($L138="","",IF(INDEX('Per Invoice'!$G$2:$G$151,$L138)="","",INDEX('Per Invoice'!$G$2:$G$151,$L138)))</f>
        <v/>
      </c>
      <c r="H138" s="5">
        <f>IF($L138="","",IF(INDEX('Per Invoice'!$H$2:$H$151,$L138)="","",INDEX('Per Invoice'!$H$2:$H$151,$L138)))</f>
        <v/>
      </c>
      <c r="I138" s="5">
        <f>IF($L138="","",IF(INDEX('Per Invoice'!$I$2:$I$151,$L138)="","",INDEX('Per Invoice'!$I$2:$I$151,$L138)))</f>
        <v/>
      </c>
      <c r="J138" s="5">
        <f>IF($L138="","",IF(INDEX('Per Invoice'!$J$2:$J$151,$L138)="","",INDEX('Per Invoice'!$J$2:$J$151,$L138)))</f>
        <v/>
      </c>
      <c r="K138">
        <f>IF($L138="","",IF(INDEX('Per Invoice'!$K$2:$K$151,$L138)="","",INDEX('Per Invoice'!$K$2:$K$151,$L138)))</f>
        <v/>
      </c>
      <c r="L138">
        <f>IF(ROWS($L$2:$L138)&lt;=COUNT('Per Invoice'!$N$2:$N$151),MATCH(ROWS($L$2:$L138),'Per Invoice'!$N$2:$N$151,0),"")</f>
        <v/>
      </c>
    </row>
    <row r="139">
      <c r="A139">
        <f>IF($L139="","",IF(INDEX('Per Invoice'!$A$2:$A$151,$L139)="","",INDEX('Per Invoice'!$A$2:$A$151,$L139)))</f>
        <v/>
      </c>
      <c r="B139">
        <f>IF($L139="","",IF(INDEX('Per Invoice'!$B$2:$B$151,$L139)="","",INDEX('Per Invoice'!$B$2:$B$151,$L139)))</f>
        <v/>
      </c>
      <c r="C139">
        <f>IF($L139="","",IF(INDEX('Per Invoice'!$C$2:$C$151,$L139)="","",INDEX('Per Invoice'!$C$2:$C$151,$L139)))</f>
        <v/>
      </c>
      <c r="D139">
        <f>IF($L139="","",IF(INDEX('Per Invoice'!$D$2:$D$151,$L139)="","",INDEX('Per Invoice'!$D$2:$D$151,$L139)))</f>
        <v/>
      </c>
      <c r="E139">
        <f>IF($L139="","",IF(INDEX('Per Invoice'!$E$2:$E$151,$L139)="","",INDEX('Per Invoice'!$E$2:$E$151,$L139)))</f>
        <v/>
      </c>
      <c r="F139" s="5">
        <f>IF($L139="","",IF(INDEX('Per Invoice'!$F$2:$F$151,$L139)="","",INDEX('Per Invoice'!$F$2:$F$151,$L139)))</f>
        <v/>
      </c>
      <c r="G139" s="5">
        <f>IF($L139="","",IF(INDEX('Per Invoice'!$G$2:$G$151,$L139)="","",INDEX('Per Invoice'!$G$2:$G$151,$L139)))</f>
        <v/>
      </c>
      <c r="H139" s="5">
        <f>IF($L139="","",IF(INDEX('Per Invoice'!$H$2:$H$151,$L139)="","",INDEX('Per Invoice'!$H$2:$H$151,$L139)))</f>
        <v/>
      </c>
      <c r="I139" s="5">
        <f>IF($L139="","",IF(INDEX('Per Invoice'!$I$2:$I$151,$L139)="","",INDEX('Per Invoice'!$I$2:$I$151,$L139)))</f>
        <v/>
      </c>
      <c r="J139" s="5">
        <f>IF($L139="","",IF(INDEX('Per Invoice'!$J$2:$J$151,$L139)="","",INDEX('Per Invoice'!$J$2:$J$151,$L139)))</f>
        <v/>
      </c>
      <c r="K139">
        <f>IF($L139="","",IF(INDEX('Per Invoice'!$K$2:$K$151,$L139)="","",INDEX('Per Invoice'!$K$2:$K$151,$L139)))</f>
        <v/>
      </c>
      <c r="L139">
        <f>IF(ROWS($L$2:$L139)&lt;=COUNT('Per Invoice'!$N$2:$N$151),MATCH(ROWS($L$2:$L139),'Per Invoice'!$N$2:$N$151,0),"")</f>
        <v/>
      </c>
    </row>
    <row r="140">
      <c r="A140">
        <f>IF($L140="","",IF(INDEX('Per Invoice'!$A$2:$A$151,$L140)="","",INDEX('Per Invoice'!$A$2:$A$151,$L140)))</f>
        <v/>
      </c>
      <c r="B140">
        <f>IF($L140="","",IF(INDEX('Per Invoice'!$B$2:$B$151,$L140)="","",INDEX('Per Invoice'!$B$2:$B$151,$L140)))</f>
        <v/>
      </c>
      <c r="C140">
        <f>IF($L140="","",IF(INDEX('Per Invoice'!$C$2:$C$151,$L140)="","",INDEX('Per Invoice'!$C$2:$C$151,$L140)))</f>
        <v/>
      </c>
      <c r="D140">
        <f>IF($L140="","",IF(INDEX('Per Invoice'!$D$2:$D$151,$L140)="","",INDEX('Per Invoice'!$D$2:$D$151,$L140)))</f>
        <v/>
      </c>
      <c r="E140">
        <f>IF($L140="","",IF(INDEX('Per Invoice'!$E$2:$E$151,$L140)="","",INDEX('Per Invoice'!$E$2:$E$151,$L140)))</f>
        <v/>
      </c>
      <c r="F140" s="5">
        <f>IF($L140="","",IF(INDEX('Per Invoice'!$F$2:$F$151,$L140)="","",INDEX('Per Invoice'!$F$2:$F$151,$L140)))</f>
        <v/>
      </c>
      <c r="G140" s="5">
        <f>IF($L140="","",IF(INDEX('Per Invoice'!$G$2:$G$151,$L140)="","",INDEX('Per Invoice'!$G$2:$G$151,$L140)))</f>
        <v/>
      </c>
      <c r="H140" s="5">
        <f>IF($L140="","",IF(INDEX('Per Invoice'!$H$2:$H$151,$L140)="","",INDEX('Per Invoice'!$H$2:$H$151,$L140)))</f>
        <v/>
      </c>
      <c r="I140" s="5">
        <f>IF($L140="","",IF(INDEX('Per Invoice'!$I$2:$I$151,$L140)="","",INDEX('Per Invoice'!$I$2:$I$151,$L140)))</f>
        <v/>
      </c>
      <c r="J140" s="5">
        <f>IF($L140="","",IF(INDEX('Per Invoice'!$J$2:$J$151,$L140)="","",INDEX('Per Invoice'!$J$2:$J$151,$L140)))</f>
        <v/>
      </c>
      <c r="K140">
        <f>IF($L140="","",IF(INDEX('Per Invoice'!$K$2:$K$151,$L140)="","",INDEX('Per Invoice'!$K$2:$K$151,$L140)))</f>
        <v/>
      </c>
      <c r="L140">
        <f>IF(ROWS($L$2:$L140)&lt;=COUNT('Per Invoice'!$N$2:$N$151),MATCH(ROWS($L$2:$L140),'Per Invoice'!$N$2:$N$151,0),"")</f>
        <v/>
      </c>
    </row>
    <row r="141">
      <c r="A141">
        <f>IF($L141="","",IF(INDEX('Per Invoice'!$A$2:$A$151,$L141)="","",INDEX('Per Invoice'!$A$2:$A$151,$L141)))</f>
        <v/>
      </c>
      <c r="B141">
        <f>IF($L141="","",IF(INDEX('Per Invoice'!$B$2:$B$151,$L141)="","",INDEX('Per Invoice'!$B$2:$B$151,$L141)))</f>
        <v/>
      </c>
      <c r="C141">
        <f>IF($L141="","",IF(INDEX('Per Invoice'!$C$2:$C$151,$L141)="","",INDEX('Per Invoice'!$C$2:$C$151,$L141)))</f>
        <v/>
      </c>
      <c r="D141">
        <f>IF($L141="","",IF(INDEX('Per Invoice'!$D$2:$D$151,$L141)="","",INDEX('Per Invoice'!$D$2:$D$151,$L141)))</f>
        <v/>
      </c>
      <c r="E141">
        <f>IF($L141="","",IF(INDEX('Per Invoice'!$E$2:$E$151,$L141)="","",INDEX('Per Invoice'!$E$2:$E$151,$L141)))</f>
        <v/>
      </c>
      <c r="F141" s="5">
        <f>IF($L141="","",IF(INDEX('Per Invoice'!$F$2:$F$151,$L141)="","",INDEX('Per Invoice'!$F$2:$F$151,$L141)))</f>
        <v/>
      </c>
      <c r="G141" s="5">
        <f>IF($L141="","",IF(INDEX('Per Invoice'!$G$2:$G$151,$L141)="","",INDEX('Per Invoice'!$G$2:$G$151,$L141)))</f>
        <v/>
      </c>
      <c r="H141" s="5">
        <f>IF($L141="","",IF(INDEX('Per Invoice'!$H$2:$H$151,$L141)="","",INDEX('Per Invoice'!$H$2:$H$151,$L141)))</f>
        <v/>
      </c>
      <c r="I141" s="5">
        <f>IF($L141="","",IF(INDEX('Per Invoice'!$I$2:$I$151,$L141)="","",INDEX('Per Invoice'!$I$2:$I$151,$L141)))</f>
        <v/>
      </c>
      <c r="J141" s="5">
        <f>IF($L141="","",IF(INDEX('Per Invoice'!$J$2:$J$151,$L141)="","",INDEX('Per Invoice'!$J$2:$J$151,$L141)))</f>
        <v/>
      </c>
      <c r="K141">
        <f>IF($L141="","",IF(INDEX('Per Invoice'!$K$2:$K$151,$L141)="","",INDEX('Per Invoice'!$K$2:$K$151,$L141)))</f>
        <v/>
      </c>
      <c r="L141">
        <f>IF(ROWS($L$2:$L141)&lt;=COUNT('Per Invoice'!$N$2:$N$151),MATCH(ROWS($L$2:$L141),'Per Invoice'!$N$2:$N$151,0),"")</f>
        <v/>
      </c>
    </row>
    <row r="142">
      <c r="A142">
        <f>IF($L142="","",IF(INDEX('Per Invoice'!$A$2:$A$151,$L142)="","",INDEX('Per Invoice'!$A$2:$A$151,$L142)))</f>
        <v/>
      </c>
      <c r="B142">
        <f>IF($L142="","",IF(INDEX('Per Invoice'!$B$2:$B$151,$L142)="","",INDEX('Per Invoice'!$B$2:$B$151,$L142)))</f>
        <v/>
      </c>
      <c r="C142">
        <f>IF($L142="","",IF(INDEX('Per Invoice'!$C$2:$C$151,$L142)="","",INDEX('Per Invoice'!$C$2:$C$151,$L142)))</f>
        <v/>
      </c>
      <c r="D142">
        <f>IF($L142="","",IF(INDEX('Per Invoice'!$D$2:$D$151,$L142)="","",INDEX('Per Invoice'!$D$2:$D$151,$L142)))</f>
        <v/>
      </c>
      <c r="E142">
        <f>IF($L142="","",IF(INDEX('Per Invoice'!$E$2:$E$151,$L142)="","",INDEX('Per Invoice'!$E$2:$E$151,$L142)))</f>
        <v/>
      </c>
      <c r="F142" s="5">
        <f>IF($L142="","",IF(INDEX('Per Invoice'!$F$2:$F$151,$L142)="","",INDEX('Per Invoice'!$F$2:$F$151,$L142)))</f>
        <v/>
      </c>
      <c r="G142" s="5">
        <f>IF($L142="","",IF(INDEX('Per Invoice'!$G$2:$G$151,$L142)="","",INDEX('Per Invoice'!$G$2:$G$151,$L142)))</f>
        <v/>
      </c>
      <c r="H142" s="5">
        <f>IF($L142="","",IF(INDEX('Per Invoice'!$H$2:$H$151,$L142)="","",INDEX('Per Invoice'!$H$2:$H$151,$L142)))</f>
        <v/>
      </c>
      <c r="I142" s="5">
        <f>IF($L142="","",IF(INDEX('Per Invoice'!$I$2:$I$151,$L142)="","",INDEX('Per Invoice'!$I$2:$I$151,$L142)))</f>
        <v/>
      </c>
      <c r="J142" s="5">
        <f>IF($L142="","",IF(INDEX('Per Invoice'!$J$2:$J$151,$L142)="","",INDEX('Per Invoice'!$J$2:$J$151,$L142)))</f>
        <v/>
      </c>
      <c r="K142">
        <f>IF($L142="","",IF(INDEX('Per Invoice'!$K$2:$K$151,$L142)="","",INDEX('Per Invoice'!$K$2:$K$151,$L142)))</f>
        <v/>
      </c>
      <c r="L142">
        <f>IF(ROWS($L$2:$L142)&lt;=COUNT('Per Invoice'!$N$2:$N$151),MATCH(ROWS($L$2:$L142),'Per Invoice'!$N$2:$N$151,0),"")</f>
        <v/>
      </c>
    </row>
    <row r="143">
      <c r="A143">
        <f>IF($L143="","",IF(INDEX('Per Invoice'!$A$2:$A$151,$L143)="","",INDEX('Per Invoice'!$A$2:$A$151,$L143)))</f>
        <v/>
      </c>
      <c r="B143">
        <f>IF($L143="","",IF(INDEX('Per Invoice'!$B$2:$B$151,$L143)="","",INDEX('Per Invoice'!$B$2:$B$151,$L143)))</f>
        <v/>
      </c>
      <c r="C143">
        <f>IF($L143="","",IF(INDEX('Per Invoice'!$C$2:$C$151,$L143)="","",INDEX('Per Invoice'!$C$2:$C$151,$L143)))</f>
        <v/>
      </c>
      <c r="D143">
        <f>IF($L143="","",IF(INDEX('Per Invoice'!$D$2:$D$151,$L143)="","",INDEX('Per Invoice'!$D$2:$D$151,$L143)))</f>
        <v/>
      </c>
      <c r="E143">
        <f>IF($L143="","",IF(INDEX('Per Invoice'!$E$2:$E$151,$L143)="","",INDEX('Per Invoice'!$E$2:$E$151,$L143)))</f>
        <v/>
      </c>
      <c r="F143" s="5">
        <f>IF($L143="","",IF(INDEX('Per Invoice'!$F$2:$F$151,$L143)="","",INDEX('Per Invoice'!$F$2:$F$151,$L143)))</f>
        <v/>
      </c>
      <c r="G143" s="5">
        <f>IF($L143="","",IF(INDEX('Per Invoice'!$G$2:$G$151,$L143)="","",INDEX('Per Invoice'!$G$2:$G$151,$L143)))</f>
        <v/>
      </c>
      <c r="H143" s="5">
        <f>IF($L143="","",IF(INDEX('Per Invoice'!$H$2:$H$151,$L143)="","",INDEX('Per Invoice'!$H$2:$H$151,$L143)))</f>
        <v/>
      </c>
      <c r="I143" s="5">
        <f>IF($L143="","",IF(INDEX('Per Invoice'!$I$2:$I$151,$L143)="","",INDEX('Per Invoice'!$I$2:$I$151,$L143)))</f>
        <v/>
      </c>
      <c r="J143" s="5">
        <f>IF($L143="","",IF(INDEX('Per Invoice'!$J$2:$J$151,$L143)="","",INDEX('Per Invoice'!$J$2:$J$151,$L143)))</f>
        <v/>
      </c>
      <c r="K143">
        <f>IF($L143="","",IF(INDEX('Per Invoice'!$K$2:$K$151,$L143)="","",INDEX('Per Invoice'!$K$2:$K$151,$L143)))</f>
        <v/>
      </c>
      <c r="L143">
        <f>IF(ROWS($L$2:$L143)&lt;=COUNT('Per Invoice'!$N$2:$N$151),MATCH(ROWS($L$2:$L143),'Per Invoice'!$N$2:$N$151,0),"")</f>
        <v/>
      </c>
    </row>
    <row r="144">
      <c r="A144">
        <f>IF($L144="","",IF(INDEX('Per Invoice'!$A$2:$A$151,$L144)="","",INDEX('Per Invoice'!$A$2:$A$151,$L144)))</f>
        <v/>
      </c>
      <c r="B144">
        <f>IF($L144="","",IF(INDEX('Per Invoice'!$B$2:$B$151,$L144)="","",INDEX('Per Invoice'!$B$2:$B$151,$L144)))</f>
        <v/>
      </c>
      <c r="C144">
        <f>IF($L144="","",IF(INDEX('Per Invoice'!$C$2:$C$151,$L144)="","",INDEX('Per Invoice'!$C$2:$C$151,$L144)))</f>
        <v/>
      </c>
      <c r="D144">
        <f>IF($L144="","",IF(INDEX('Per Invoice'!$D$2:$D$151,$L144)="","",INDEX('Per Invoice'!$D$2:$D$151,$L144)))</f>
        <v/>
      </c>
      <c r="E144">
        <f>IF($L144="","",IF(INDEX('Per Invoice'!$E$2:$E$151,$L144)="","",INDEX('Per Invoice'!$E$2:$E$151,$L144)))</f>
        <v/>
      </c>
      <c r="F144" s="5">
        <f>IF($L144="","",IF(INDEX('Per Invoice'!$F$2:$F$151,$L144)="","",INDEX('Per Invoice'!$F$2:$F$151,$L144)))</f>
        <v/>
      </c>
      <c r="G144" s="5">
        <f>IF($L144="","",IF(INDEX('Per Invoice'!$G$2:$G$151,$L144)="","",INDEX('Per Invoice'!$G$2:$G$151,$L144)))</f>
        <v/>
      </c>
      <c r="H144" s="5">
        <f>IF($L144="","",IF(INDEX('Per Invoice'!$H$2:$H$151,$L144)="","",INDEX('Per Invoice'!$H$2:$H$151,$L144)))</f>
        <v/>
      </c>
      <c r="I144" s="5">
        <f>IF($L144="","",IF(INDEX('Per Invoice'!$I$2:$I$151,$L144)="","",INDEX('Per Invoice'!$I$2:$I$151,$L144)))</f>
        <v/>
      </c>
      <c r="J144" s="5">
        <f>IF($L144="","",IF(INDEX('Per Invoice'!$J$2:$J$151,$L144)="","",INDEX('Per Invoice'!$J$2:$J$151,$L144)))</f>
        <v/>
      </c>
      <c r="K144">
        <f>IF($L144="","",IF(INDEX('Per Invoice'!$K$2:$K$151,$L144)="","",INDEX('Per Invoice'!$K$2:$K$151,$L144)))</f>
        <v/>
      </c>
      <c r="L144">
        <f>IF(ROWS($L$2:$L144)&lt;=COUNT('Per Invoice'!$N$2:$N$151),MATCH(ROWS($L$2:$L144),'Per Invoice'!$N$2:$N$151,0),"")</f>
        <v/>
      </c>
    </row>
    <row r="145">
      <c r="A145">
        <f>IF($L145="","",IF(INDEX('Per Invoice'!$A$2:$A$151,$L145)="","",INDEX('Per Invoice'!$A$2:$A$151,$L145)))</f>
        <v/>
      </c>
      <c r="B145">
        <f>IF($L145="","",IF(INDEX('Per Invoice'!$B$2:$B$151,$L145)="","",INDEX('Per Invoice'!$B$2:$B$151,$L145)))</f>
        <v/>
      </c>
      <c r="C145">
        <f>IF($L145="","",IF(INDEX('Per Invoice'!$C$2:$C$151,$L145)="","",INDEX('Per Invoice'!$C$2:$C$151,$L145)))</f>
        <v/>
      </c>
      <c r="D145">
        <f>IF($L145="","",IF(INDEX('Per Invoice'!$D$2:$D$151,$L145)="","",INDEX('Per Invoice'!$D$2:$D$151,$L145)))</f>
        <v/>
      </c>
      <c r="E145">
        <f>IF($L145="","",IF(INDEX('Per Invoice'!$E$2:$E$151,$L145)="","",INDEX('Per Invoice'!$E$2:$E$151,$L145)))</f>
        <v/>
      </c>
      <c r="F145" s="5">
        <f>IF($L145="","",IF(INDEX('Per Invoice'!$F$2:$F$151,$L145)="","",INDEX('Per Invoice'!$F$2:$F$151,$L145)))</f>
        <v/>
      </c>
      <c r="G145" s="5">
        <f>IF($L145="","",IF(INDEX('Per Invoice'!$G$2:$G$151,$L145)="","",INDEX('Per Invoice'!$G$2:$G$151,$L145)))</f>
        <v/>
      </c>
      <c r="H145" s="5">
        <f>IF($L145="","",IF(INDEX('Per Invoice'!$H$2:$H$151,$L145)="","",INDEX('Per Invoice'!$H$2:$H$151,$L145)))</f>
        <v/>
      </c>
      <c r="I145" s="5">
        <f>IF($L145="","",IF(INDEX('Per Invoice'!$I$2:$I$151,$L145)="","",INDEX('Per Invoice'!$I$2:$I$151,$L145)))</f>
        <v/>
      </c>
      <c r="J145" s="5">
        <f>IF($L145="","",IF(INDEX('Per Invoice'!$J$2:$J$151,$L145)="","",INDEX('Per Invoice'!$J$2:$J$151,$L145)))</f>
        <v/>
      </c>
      <c r="K145">
        <f>IF($L145="","",IF(INDEX('Per Invoice'!$K$2:$K$151,$L145)="","",INDEX('Per Invoice'!$K$2:$K$151,$L145)))</f>
        <v/>
      </c>
      <c r="L145">
        <f>IF(ROWS($L$2:$L145)&lt;=COUNT('Per Invoice'!$N$2:$N$151),MATCH(ROWS($L$2:$L145),'Per Invoice'!$N$2:$N$151,0),"")</f>
        <v/>
      </c>
    </row>
    <row r="146">
      <c r="A146">
        <f>IF($L146="","",IF(INDEX('Per Invoice'!$A$2:$A$151,$L146)="","",INDEX('Per Invoice'!$A$2:$A$151,$L146)))</f>
        <v/>
      </c>
      <c r="B146">
        <f>IF($L146="","",IF(INDEX('Per Invoice'!$B$2:$B$151,$L146)="","",INDEX('Per Invoice'!$B$2:$B$151,$L146)))</f>
        <v/>
      </c>
      <c r="C146">
        <f>IF($L146="","",IF(INDEX('Per Invoice'!$C$2:$C$151,$L146)="","",INDEX('Per Invoice'!$C$2:$C$151,$L146)))</f>
        <v/>
      </c>
      <c r="D146">
        <f>IF($L146="","",IF(INDEX('Per Invoice'!$D$2:$D$151,$L146)="","",INDEX('Per Invoice'!$D$2:$D$151,$L146)))</f>
        <v/>
      </c>
      <c r="E146">
        <f>IF($L146="","",IF(INDEX('Per Invoice'!$E$2:$E$151,$L146)="","",INDEX('Per Invoice'!$E$2:$E$151,$L146)))</f>
        <v/>
      </c>
      <c r="F146" s="5">
        <f>IF($L146="","",IF(INDEX('Per Invoice'!$F$2:$F$151,$L146)="","",INDEX('Per Invoice'!$F$2:$F$151,$L146)))</f>
        <v/>
      </c>
      <c r="G146" s="5">
        <f>IF($L146="","",IF(INDEX('Per Invoice'!$G$2:$G$151,$L146)="","",INDEX('Per Invoice'!$G$2:$G$151,$L146)))</f>
        <v/>
      </c>
      <c r="H146" s="5">
        <f>IF($L146="","",IF(INDEX('Per Invoice'!$H$2:$H$151,$L146)="","",INDEX('Per Invoice'!$H$2:$H$151,$L146)))</f>
        <v/>
      </c>
      <c r="I146" s="5">
        <f>IF($L146="","",IF(INDEX('Per Invoice'!$I$2:$I$151,$L146)="","",INDEX('Per Invoice'!$I$2:$I$151,$L146)))</f>
        <v/>
      </c>
      <c r="J146" s="5">
        <f>IF($L146="","",IF(INDEX('Per Invoice'!$J$2:$J$151,$L146)="","",INDEX('Per Invoice'!$J$2:$J$151,$L146)))</f>
        <v/>
      </c>
      <c r="K146">
        <f>IF($L146="","",IF(INDEX('Per Invoice'!$K$2:$K$151,$L146)="","",INDEX('Per Invoice'!$K$2:$K$151,$L146)))</f>
        <v/>
      </c>
      <c r="L146">
        <f>IF(ROWS($L$2:$L146)&lt;=COUNT('Per Invoice'!$N$2:$N$151),MATCH(ROWS($L$2:$L146),'Per Invoice'!$N$2:$N$151,0),"")</f>
        <v/>
      </c>
    </row>
    <row r="147">
      <c r="A147">
        <f>IF($L147="","",IF(INDEX('Per Invoice'!$A$2:$A$151,$L147)="","",INDEX('Per Invoice'!$A$2:$A$151,$L147)))</f>
        <v/>
      </c>
      <c r="B147">
        <f>IF($L147="","",IF(INDEX('Per Invoice'!$B$2:$B$151,$L147)="","",INDEX('Per Invoice'!$B$2:$B$151,$L147)))</f>
        <v/>
      </c>
      <c r="C147">
        <f>IF($L147="","",IF(INDEX('Per Invoice'!$C$2:$C$151,$L147)="","",INDEX('Per Invoice'!$C$2:$C$151,$L147)))</f>
        <v/>
      </c>
      <c r="D147">
        <f>IF($L147="","",IF(INDEX('Per Invoice'!$D$2:$D$151,$L147)="","",INDEX('Per Invoice'!$D$2:$D$151,$L147)))</f>
        <v/>
      </c>
      <c r="E147">
        <f>IF($L147="","",IF(INDEX('Per Invoice'!$E$2:$E$151,$L147)="","",INDEX('Per Invoice'!$E$2:$E$151,$L147)))</f>
        <v/>
      </c>
      <c r="F147" s="5">
        <f>IF($L147="","",IF(INDEX('Per Invoice'!$F$2:$F$151,$L147)="","",INDEX('Per Invoice'!$F$2:$F$151,$L147)))</f>
        <v/>
      </c>
      <c r="G147" s="5">
        <f>IF($L147="","",IF(INDEX('Per Invoice'!$G$2:$G$151,$L147)="","",INDEX('Per Invoice'!$G$2:$G$151,$L147)))</f>
        <v/>
      </c>
      <c r="H147" s="5">
        <f>IF($L147="","",IF(INDEX('Per Invoice'!$H$2:$H$151,$L147)="","",INDEX('Per Invoice'!$H$2:$H$151,$L147)))</f>
        <v/>
      </c>
      <c r="I147" s="5">
        <f>IF($L147="","",IF(INDEX('Per Invoice'!$I$2:$I$151,$L147)="","",INDEX('Per Invoice'!$I$2:$I$151,$L147)))</f>
        <v/>
      </c>
      <c r="J147" s="5">
        <f>IF($L147="","",IF(INDEX('Per Invoice'!$J$2:$J$151,$L147)="","",INDEX('Per Invoice'!$J$2:$J$151,$L147)))</f>
        <v/>
      </c>
      <c r="K147">
        <f>IF($L147="","",IF(INDEX('Per Invoice'!$K$2:$K$151,$L147)="","",INDEX('Per Invoice'!$K$2:$K$151,$L147)))</f>
        <v/>
      </c>
      <c r="L147">
        <f>IF(ROWS($L$2:$L147)&lt;=COUNT('Per Invoice'!$N$2:$N$151),MATCH(ROWS($L$2:$L147),'Per Invoice'!$N$2:$N$151,0),"")</f>
        <v/>
      </c>
    </row>
    <row r="148">
      <c r="A148">
        <f>IF($L148="","",IF(INDEX('Per Invoice'!$A$2:$A$151,$L148)="","",INDEX('Per Invoice'!$A$2:$A$151,$L148)))</f>
        <v/>
      </c>
      <c r="B148">
        <f>IF($L148="","",IF(INDEX('Per Invoice'!$B$2:$B$151,$L148)="","",INDEX('Per Invoice'!$B$2:$B$151,$L148)))</f>
        <v/>
      </c>
      <c r="C148">
        <f>IF($L148="","",IF(INDEX('Per Invoice'!$C$2:$C$151,$L148)="","",INDEX('Per Invoice'!$C$2:$C$151,$L148)))</f>
        <v/>
      </c>
      <c r="D148">
        <f>IF($L148="","",IF(INDEX('Per Invoice'!$D$2:$D$151,$L148)="","",INDEX('Per Invoice'!$D$2:$D$151,$L148)))</f>
        <v/>
      </c>
      <c r="E148">
        <f>IF($L148="","",IF(INDEX('Per Invoice'!$E$2:$E$151,$L148)="","",INDEX('Per Invoice'!$E$2:$E$151,$L148)))</f>
        <v/>
      </c>
      <c r="F148" s="5">
        <f>IF($L148="","",IF(INDEX('Per Invoice'!$F$2:$F$151,$L148)="","",INDEX('Per Invoice'!$F$2:$F$151,$L148)))</f>
        <v/>
      </c>
      <c r="G148" s="5">
        <f>IF($L148="","",IF(INDEX('Per Invoice'!$G$2:$G$151,$L148)="","",INDEX('Per Invoice'!$G$2:$G$151,$L148)))</f>
        <v/>
      </c>
      <c r="H148" s="5">
        <f>IF($L148="","",IF(INDEX('Per Invoice'!$H$2:$H$151,$L148)="","",INDEX('Per Invoice'!$H$2:$H$151,$L148)))</f>
        <v/>
      </c>
      <c r="I148" s="5">
        <f>IF($L148="","",IF(INDEX('Per Invoice'!$I$2:$I$151,$L148)="","",INDEX('Per Invoice'!$I$2:$I$151,$L148)))</f>
        <v/>
      </c>
      <c r="J148" s="5">
        <f>IF($L148="","",IF(INDEX('Per Invoice'!$J$2:$J$151,$L148)="","",INDEX('Per Invoice'!$J$2:$J$151,$L148)))</f>
        <v/>
      </c>
      <c r="K148">
        <f>IF($L148="","",IF(INDEX('Per Invoice'!$K$2:$K$151,$L148)="","",INDEX('Per Invoice'!$K$2:$K$151,$L148)))</f>
        <v/>
      </c>
      <c r="L148">
        <f>IF(ROWS($L$2:$L148)&lt;=COUNT('Per Invoice'!$N$2:$N$151),MATCH(ROWS($L$2:$L148),'Per Invoice'!$N$2:$N$151,0),"")</f>
        <v/>
      </c>
    </row>
    <row r="149">
      <c r="A149">
        <f>IF($L149="","",IF(INDEX('Per Invoice'!$A$2:$A$151,$L149)="","",INDEX('Per Invoice'!$A$2:$A$151,$L149)))</f>
        <v/>
      </c>
      <c r="B149">
        <f>IF($L149="","",IF(INDEX('Per Invoice'!$B$2:$B$151,$L149)="","",INDEX('Per Invoice'!$B$2:$B$151,$L149)))</f>
        <v/>
      </c>
      <c r="C149">
        <f>IF($L149="","",IF(INDEX('Per Invoice'!$C$2:$C$151,$L149)="","",INDEX('Per Invoice'!$C$2:$C$151,$L149)))</f>
        <v/>
      </c>
      <c r="D149">
        <f>IF($L149="","",IF(INDEX('Per Invoice'!$D$2:$D$151,$L149)="","",INDEX('Per Invoice'!$D$2:$D$151,$L149)))</f>
        <v/>
      </c>
      <c r="E149">
        <f>IF($L149="","",IF(INDEX('Per Invoice'!$E$2:$E$151,$L149)="","",INDEX('Per Invoice'!$E$2:$E$151,$L149)))</f>
        <v/>
      </c>
      <c r="F149" s="5">
        <f>IF($L149="","",IF(INDEX('Per Invoice'!$F$2:$F$151,$L149)="","",INDEX('Per Invoice'!$F$2:$F$151,$L149)))</f>
        <v/>
      </c>
      <c r="G149" s="5">
        <f>IF($L149="","",IF(INDEX('Per Invoice'!$G$2:$G$151,$L149)="","",INDEX('Per Invoice'!$G$2:$G$151,$L149)))</f>
        <v/>
      </c>
      <c r="H149" s="5">
        <f>IF($L149="","",IF(INDEX('Per Invoice'!$H$2:$H$151,$L149)="","",INDEX('Per Invoice'!$H$2:$H$151,$L149)))</f>
        <v/>
      </c>
      <c r="I149" s="5">
        <f>IF($L149="","",IF(INDEX('Per Invoice'!$I$2:$I$151,$L149)="","",INDEX('Per Invoice'!$I$2:$I$151,$L149)))</f>
        <v/>
      </c>
      <c r="J149" s="5">
        <f>IF($L149="","",IF(INDEX('Per Invoice'!$J$2:$J$151,$L149)="","",INDEX('Per Invoice'!$J$2:$J$151,$L149)))</f>
        <v/>
      </c>
      <c r="K149">
        <f>IF($L149="","",IF(INDEX('Per Invoice'!$K$2:$K$151,$L149)="","",INDEX('Per Invoice'!$K$2:$K$151,$L149)))</f>
        <v/>
      </c>
      <c r="L149">
        <f>IF(ROWS($L$2:$L149)&lt;=COUNT('Per Invoice'!$N$2:$N$151),MATCH(ROWS($L$2:$L149),'Per Invoice'!$N$2:$N$151,0),"")</f>
        <v/>
      </c>
    </row>
    <row r="150">
      <c r="A150">
        <f>IF($L150="","",IF(INDEX('Per Invoice'!$A$2:$A$151,$L150)="","",INDEX('Per Invoice'!$A$2:$A$151,$L150)))</f>
        <v/>
      </c>
      <c r="B150">
        <f>IF($L150="","",IF(INDEX('Per Invoice'!$B$2:$B$151,$L150)="","",INDEX('Per Invoice'!$B$2:$B$151,$L150)))</f>
        <v/>
      </c>
      <c r="C150">
        <f>IF($L150="","",IF(INDEX('Per Invoice'!$C$2:$C$151,$L150)="","",INDEX('Per Invoice'!$C$2:$C$151,$L150)))</f>
        <v/>
      </c>
      <c r="D150">
        <f>IF($L150="","",IF(INDEX('Per Invoice'!$D$2:$D$151,$L150)="","",INDEX('Per Invoice'!$D$2:$D$151,$L150)))</f>
        <v/>
      </c>
      <c r="E150">
        <f>IF($L150="","",IF(INDEX('Per Invoice'!$E$2:$E$151,$L150)="","",INDEX('Per Invoice'!$E$2:$E$151,$L150)))</f>
        <v/>
      </c>
      <c r="F150" s="5">
        <f>IF($L150="","",IF(INDEX('Per Invoice'!$F$2:$F$151,$L150)="","",INDEX('Per Invoice'!$F$2:$F$151,$L150)))</f>
        <v/>
      </c>
      <c r="G150" s="5">
        <f>IF($L150="","",IF(INDEX('Per Invoice'!$G$2:$G$151,$L150)="","",INDEX('Per Invoice'!$G$2:$G$151,$L150)))</f>
        <v/>
      </c>
      <c r="H150" s="5">
        <f>IF($L150="","",IF(INDEX('Per Invoice'!$H$2:$H$151,$L150)="","",INDEX('Per Invoice'!$H$2:$H$151,$L150)))</f>
        <v/>
      </c>
      <c r="I150" s="5">
        <f>IF($L150="","",IF(INDEX('Per Invoice'!$I$2:$I$151,$L150)="","",INDEX('Per Invoice'!$I$2:$I$151,$L150)))</f>
        <v/>
      </c>
      <c r="J150" s="5">
        <f>IF($L150="","",IF(INDEX('Per Invoice'!$J$2:$J$151,$L150)="","",INDEX('Per Invoice'!$J$2:$J$151,$L150)))</f>
        <v/>
      </c>
      <c r="K150">
        <f>IF($L150="","",IF(INDEX('Per Invoice'!$K$2:$K$151,$L150)="","",INDEX('Per Invoice'!$K$2:$K$151,$L150)))</f>
        <v/>
      </c>
      <c r="L150">
        <f>IF(ROWS($L$2:$L150)&lt;=COUNT('Per Invoice'!$N$2:$N$151),MATCH(ROWS($L$2:$L150),'Per Invoice'!$N$2:$N$151,0),"")</f>
        <v/>
      </c>
    </row>
    <row r="151">
      <c r="A151">
        <f>IF($L151="","",IF(INDEX('Per Invoice'!$A$2:$A$151,$L151)="","",INDEX('Per Invoice'!$A$2:$A$151,$L151)))</f>
        <v/>
      </c>
      <c r="B151">
        <f>IF($L151="","",IF(INDEX('Per Invoice'!$B$2:$B$151,$L151)="","",INDEX('Per Invoice'!$B$2:$B$151,$L151)))</f>
        <v/>
      </c>
      <c r="C151">
        <f>IF($L151="","",IF(INDEX('Per Invoice'!$C$2:$C$151,$L151)="","",INDEX('Per Invoice'!$C$2:$C$151,$L151)))</f>
        <v/>
      </c>
      <c r="D151">
        <f>IF($L151="","",IF(INDEX('Per Invoice'!$D$2:$D$151,$L151)="","",INDEX('Per Invoice'!$D$2:$D$151,$L151)))</f>
        <v/>
      </c>
      <c r="E151">
        <f>IF($L151="","",IF(INDEX('Per Invoice'!$E$2:$E$151,$L151)="","",INDEX('Per Invoice'!$E$2:$E$151,$L151)))</f>
        <v/>
      </c>
      <c r="F151" s="5">
        <f>IF($L151="","",IF(INDEX('Per Invoice'!$F$2:$F$151,$L151)="","",INDEX('Per Invoice'!$F$2:$F$151,$L151)))</f>
        <v/>
      </c>
      <c r="G151" s="5">
        <f>IF($L151="","",IF(INDEX('Per Invoice'!$G$2:$G$151,$L151)="","",INDEX('Per Invoice'!$G$2:$G$151,$L151)))</f>
        <v/>
      </c>
      <c r="H151" s="5">
        <f>IF($L151="","",IF(INDEX('Per Invoice'!$H$2:$H$151,$L151)="","",INDEX('Per Invoice'!$H$2:$H$151,$L151)))</f>
        <v/>
      </c>
      <c r="I151" s="5">
        <f>IF($L151="","",IF(INDEX('Per Invoice'!$I$2:$I$151,$L151)="","",INDEX('Per Invoice'!$I$2:$I$151,$L151)))</f>
        <v/>
      </c>
      <c r="J151" s="5">
        <f>IF($L151="","",IF(INDEX('Per Invoice'!$J$2:$J$151,$L151)="","",INDEX('Per Invoice'!$J$2:$J$151,$L151)))</f>
        <v/>
      </c>
      <c r="K151">
        <f>IF($L151="","",IF(INDEX('Per Invoice'!$K$2:$K$151,$L151)="","",INDEX('Per Invoice'!$K$2:$K$151,$L151)))</f>
        <v/>
      </c>
      <c r="L151">
        <f>IF(ROWS($L$2:$L151)&lt;=COUNT('Per Invoice'!$N$2:$N$151),MATCH(ROWS($L$2:$L151),'Per Invoice'!$N$2:$N$151,0),"")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2026-10-12T12:41:38Z</dcterms:created>
  <dcterms:modified xmlns:dcterms="http://purl.org/dc/terms/" xmlns:xsi="http://www.w3.org/2001/XMLSchema-instance" xsi:type="dcterms:W3CDTF">2026-10-12T12:41:38Z</dcterms:modified>
</cp:coreProperties>
</file>